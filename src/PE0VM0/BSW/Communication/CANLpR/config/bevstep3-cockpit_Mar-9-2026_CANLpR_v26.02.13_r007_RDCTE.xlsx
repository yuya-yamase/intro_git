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lobaldenso-my.sharepoint.com/personal/takahiro_hayakawa_j8x_jp_denso_com/Documents/CDC_CAN_Share/xx個人フォルダ/高橋/02_Ver25_12_15_0対応(名前変更予定有)/03_r15_merge/CANLpR/"/>
    </mc:Choice>
  </mc:AlternateContent>
  <xr:revisionPtr revIDLastSave="33" documentId="13_ncr:1_{FE9DBD0D-2E22-46A2-92B7-08D26AEB2931}" xr6:coauthVersionLast="47" xr6:coauthVersionMax="47" xr10:uidLastSave="{1FF7F497-6FD4-462B-A089-DFBFC8561215}"/>
  <bookViews>
    <workbookView xWindow="-28920" yWindow="7215" windowWidth="29040" windowHeight="15720" tabRatio="934" firstSheet="10" activeTab="14" xr2:uid="{5B8E7159-F3D5-47D5-BC93-3947C2C55F38}"/>
  </bookViews>
  <sheets>
    <sheet name="G2M-1_v2" sheetId="46" r:id="rId1"/>
    <sheet name="CANRx_G2M-1_v2" sheetId="41" r:id="rId2"/>
    <sheet name="RRMB_G2M-1" sheetId="30" r:id="rId3"/>
    <sheet name="CANRx_G2M-2" sheetId="38" r:id="rId4"/>
    <sheet name="RRMB_G2M-2" sheetId="39" r:id="rId5"/>
    <sheet name="CANRx_G5M" sheetId="21" r:id="rId6"/>
    <sheet name="RRMB_G5M" sheetId="33" r:id="rId7"/>
    <sheet name="CANRx_Local" sheetId="43" r:id="rId8"/>
    <sheet name="RRMB_Local" sheetId="44" r:id="rId9"/>
    <sheet name="vCANRx" sheetId="47" r:id="rId10"/>
    <sheet name="SecOCRx_G2M-1" sheetId="24" r:id="rId11"/>
    <sheet name="SecOCTx_GxM-y" sheetId="25" r:id="rId12"/>
    <sheet name="can_lpfq_cfg" sheetId="29" r:id="rId13"/>
    <sheet name="can_lpr_uds_tx_cfg_G2M_1-&gt;vCAN" sheetId="50" r:id="rId14"/>
    <sheet name="can_lpr_uds_tx_cfg_vCAN-&gt;G2M_1" sheetId="51" r:id="rId15"/>
    <sheet name="SecOC_Cfg.h" sheetId="26" r:id="rId16"/>
    <sheet name="can_rscf4_cfg.h" sheetId="42" r:id="rId17"/>
    <sheet name="can_rscf4c_cfg.h" sheetId="45" r:id="rId18"/>
    <sheet name="VCan_PBcfg.c" sheetId="34" r:id="rId19"/>
  </sheets>
  <externalReferences>
    <externalReference r:id="rId20"/>
  </externalReferences>
  <definedNames>
    <definedName name="____t3" localSheetId="9" hidden="1">{"'アクションアイテム'!$A$1:$M$60"}</definedName>
    <definedName name="____t3" hidden="1">{"'アクションアイテム'!$A$1:$M$60"}</definedName>
    <definedName name="___t3" localSheetId="9" hidden="1">{"'アクションアイテム'!$A$1:$M$60"}</definedName>
    <definedName name="___t3" hidden="1">{"'アクションアイテム'!$A$1:$M$60"}</definedName>
    <definedName name="__123Graph_A" hidden="1">#N/A</definedName>
    <definedName name="__123Graph_AB57" hidden="1">#N/A</definedName>
    <definedName name="__123Graph_AB57A" hidden="1">#N/A</definedName>
    <definedName name="__123Graph_AG00A" hidden="1">#N/A</definedName>
    <definedName name="__123Graph_AGOO" hidden="1">#N/A</definedName>
    <definedName name="__123Graph_ARR0" hidden="1">#N/A</definedName>
    <definedName name="__123Graph_ARR0A" hidden="1">#N/A</definedName>
    <definedName name="__123Graph_ART2" hidden="1">#N/A</definedName>
    <definedName name="__123Graph_ART2A" hidden="1">#N/A</definedName>
    <definedName name="__123Graph_AT23" hidden="1">#N/A</definedName>
    <definedName name="__123Graph_AT23A" hidden="1">#N/A</definedName>
    <definedName name="__123Graph_B" hidden="1">#N/A</definedName>
    <definedName name="__123Graph_BB57" hidden="1">#N/A</definedName>
    <definedName name="__123Graph_BGOO" hidden="1">#N/A</definedName>
    <definedName name="__123Graph_BRR0" hidden="1">#N/A</definedName>
    <definedName name="__123Graph_BRT2" hidden="1">#N/A</definedName>
    <definedName name="__123Graph_BT23" hidden="1">#N/A</definedName>
    <definedName name="__123Graph_C" hidden="1">#N/A</definedName>
    <definedName name="__123Graph_CB57" hidden="1">#N/A</definedName>
    <definedName name="__123Graph_CGOO" hidden="1">#N/A</definedName>
    <definedName name="__123Graph_CRR0" hidden="1">#N/A</definedName>
    <definedName name="__123Graph_CRT2" hidden="1">#N/A</definedName>
    <definedName name="__123Graph_CT23" hidden="1">#N/A</definedName>
    <definedName name="__123Graph_D" hidden="1">#N/A</definedName>
    <definedName name="__123Graph_DB57" hidden="1">#N/A</definedName>
    <definedName name="__123Graph_DGOO" hidden="1">#N/A</definedName>
    <definedName name="__123Graph_DRR0" hidden="1">#N/A</definedName>
    <definedName name="__123Graph_DRT2" hidden="1">#N/A</definedName>
    <definedName name="__123Graph_DT23" hidden="1">#N/A</definedName>
    <definedName name="__123Graph_E" hidden="1">#N/A</definedName>
    <definedName name="__123Graph_EB57" hidden="1">#N/A</definedName>
    <definedName name="__123Graph_EGOO" hidden="1">#N/A</definedName>
    <definedName name="__123Graph_ERR0" hidden="1">#N/A</definedName>
    <definedName name="__123Graph_ERT2" hidden="1">#N/A</definedName>
    <definedName name="__123Graph_ET23" hidden="1">#N/A</definedName>
    <definedName name="__123Graph_LBL_A" hidden="1">#N/A</definedName>
    <definedName name="__123Graph_LBL_AB57" hidden="1">#N/A</definedName>
    <definedName name="__123Graph_LBL_AB57A" hidden="1">#N/A</definedName>
    <definedName name="__123Graph_LBL_AG00A" hidden="1">#N/A</definedName>
    <definedName name="__123Graph_LBL_AGOO" hidden="1">#N/A</definedName>
    <definedName name="__123Graph_LBL_ARR0" hidden="1">#N/A</definedName>
    <definedName name="__123Graph_LBL_ARR0A" hidden="1">#N/A</definedName>
    <definedName name="__123Graph_LBL_ART2" hidden="1">#N/A</definedName>
    <definedName name="__123Graph_LBL_ART2A" hidden="1">#N/A</definedName>
    <definedName name="__123Graph_LBL_AT23" hidden="1">#N/A</definedName>
    <definedName name="__123Graph_LBL_AT23A" hidden="1">#N/A</definedName>
    <definedName name="__123Graph_LBL_B" hidden="1">#N/A</definedName>
    <definedName name="__123Graph_LBL_BB57" hidden="1">#N/A</definedName>
    <definedName name="__123Graph_LBL_BGOO" hidden="1">#N/A</definedName>
    <definedName name="__123Graph_LBL_BRR0" hidden="1">#N/A</definedName>
    <definedName name="__123Graph_LBL_BRT2" hidden="1">#N/A</definedName>
    <definedName name="__123Graph_LBL_BT23" hidden="1">#N/A</definedName>
    <definedName name="__123Graph_LBL_C" hidden="1">#N/A</definedName>
    <definedName name="__123Graph_LBL_CB57" hidden="1">#N/A</definedName>
    <definedName name="__123Graph_LBL_CGOO" hidden="1">#N/A</definedName>
    <definedName name="__123Graph_LBL_CRR0" hidden="1">#N/A</definedName>
    <definedName name="__123Graph_LBL_CRT2" hidden="1">#N/A</definedName>
    <definedName name="__123Graph_LBL_CT23" hidden="1">#N/A</definedName>
    <definedName name="__123Graph_LBL_D" hidden="1">#N/A</definedName>
    <definedName name="__123Graph_LBL_DB57" hidden="1">#N/A</definedName>
    <definedName name="__123Graph_LBL_DGOO" hidden="1">#N/A</definedName>
    <definedName name="__123Graph_LBL_DRR0" hidden="1">#N/A</definedName>
    <definedName name="__123Graph_LBL_DRT2" hidden="1">#N/A</definedName>
    <definedName name="__123Graph_LBL_DT23" hidden="1">#N/A</definedName>
    <definedName name="__123Graph_LBL_E" hidden="1">#N/A</definedName>
    <definedName name="__123Graph_LBL_EB57" hidden="1">#N/A</definedName>
    <definedName name="__123Graph_LBL_EGOO" hidden="1">#N/A</definedName>
    <definedName name="__123Graph_LBL_ERR0" hidden="1">#N/A</definedName>
    <definedName name="__123Graph_LBL_ERT2" hidden="1">#N/A</definedName>
    <definedName name="__123Graph_LBL_ET23" hidden="1">#N/A</definedName>
    <definedName name="__123Graph_X" hidden="1">#N/A</definedName>
    <definedName name="__123Graph_XB57" hidden="1">#N/A</definedName>
    <definedName name="__123Graph_XB57A" hidden="1">#N/A</definedName>
    <definedName name="__123Graph_XG00A" hidden="1">#N/A</definedName>
    <definedName name="__123Graph_XGOO" hidden="1">#N/A</definedName>
    <definedName name="__123Graph_XRR0" hidden="1">#N/A</definedName>
    <definedName name="__123Graph_XRR0A" hidden="1">#N/A</definedName>
    <definedName name="__123Graph_XRT2" hidden="1">#N/A</definedName>
    <definedName name="__123Graph_XRT2A" hidden="1">#N/A</definedName>
    <definedName name="__123Graph_XT23" hidden="1">#N/A</definedName>
    <definedName name="__123Graph_XT23A" hidden="1">#N/A</definedName>
    <definedName name="__ｚ７" localSheetId="9" hidden="1">{"'Ｔ＿バイヤーコード表'!$A$1:$E$236"}</definedName>
    <definedName name="__ｚ７" hidden="1">{"'Ｔ＿バイヤーコード表'!$A$1:$E$236"}</definedName>
    <definedName name="_Fill" hidden="1">#REF!</definedName>
    <definedName name="_xlnm._FilterDatabase" localSheetId="12" hidden="1">can_lpfq_cfg!$A$5:$K$161</definedName>
    <definedName name="_xlnm._FilterDatabase" localSheetId="13" hidden="1">'can_lpr_uds_tx_cfg_G2M_1-&gt;vCAN'!$I$11:$AR$94</definedName>
    <definedName name="_xlnm._FilterDatabase" localSheetId="14" hidden="1">'can_lpr_uds_tx_cfg_vCAN-&gt;G2M_1'!$I$11:$AR$94</definedName>
    <definedName name="_xlnm._FilterDatabase" localSheetId="16" hidden="1">'can_rscf4_cfg.h'!$A$3:$H$5272</definedName>
    <definedName name="_xlnm._FilterDatabase" localSheetId="17" hidden="1">'can_rscf4c_cfg.h'!$A$3:$B$5272</definedName>
    <definedName name="_xlnm._FilterDatabase" localSheetId="1" hidden="1">'CANRx_G2M-1_v2'!$A$5:$AO$570</definedName>
    <definedName name="_xlnm._FilterDatabase" localSheetId="3" hidden="1">'CANRx_G2M-2'!$A$5:$AO$12</definedName>
    <definedName name="_xlnm._FilterDatabase" localSheetId="5">CANRx_G5M!$A$5:$AN$181</definedName>
    <definedName name="_xlnm._FilterDatabase" localSheetId="7" hidden="1">CANRx_Local!$A$5:$AP$14</definedName>
    <definedName name="_xlnm._FilterDatabase" localSheetId="0" hidden="1">'G2M-1_v2'!$P$6:$P$278</definedName>
    <definedName name="_xlnm._FilterDatabase" localSheetId="2" hidden="1">'RRMB_G2M-1'!$A$1:$M$285</definedName>
    <definedName name="_xlnm._FilterDatabase" localSheetId="4" hidden="1">'RRMB_G2M-2'!$A$1:$M$2</definedName>
    <definedName name="_xlnm._FilterDatabase" localSheetId="8" hidden="1">RRMB_Local!$A$1:$M$2</definedName>
    <definedName name="_xlnm._FilterDatabase" localSheetId="18" hidden="1">VCan_PBcfg.c!$A$1:$B$363</definedName>
    <definedName name="_xlnm._FilterDatabase" localSheetId="9" hidden="1">vCANRx!$A$5:$AP$268</definedName>
    <definedName name="_xlnm._FilterDatabase" hidden="1">#REF!</definedName>
    <definedName name="_Key1" hidden="1">#REF!</definedName>
    <definedName name="_Key2" hidden="1">#N/A</definedName>
    <definedName name="_LSC" hidden="1">#REF!</definedName>
    <definedName name="_Order1" hidden="1">255</definedName>
    <definedName name="_Order2" hidden="1">1</definedName>
    <definedName name="_Regression_Int" hidden="1">1</definedName>
    <definedName name="_Sort" hidden="1">#REF!</definedName>
    <definedName name="_t3" localSheetId="9" hidden="1">{"'アクションアイテム'!$A$1:$M$60"}</definedName>
    <definedName name="_t3" hidden="1">{"'アクションアイテム'!$A$1:$M$60"}</definedName>
    <definedName name="aaaaaa" localSheetId="9" hidden="1">{"'2EEEポートRev.3'!$A$1:$Q$181"}</definedName>
    <definedName name="aaaaaa" hidden="1">{"'2EEEポートRev.3'!$A$1:$Q$181"}</definedName>
    <definedName name="aaaaaaaaaaaaaaaaaaaaaaa" localSheetId="9" hidden="1">{"'アクションアイテム'!$A$1:$M$60"}</definedName>
    <definedName name="aaaaaaaaaaaaaaaaaaaaaaa" hidden="1">{"'アクションアイテム'!$A$1:$M$60"}</definedName>
    <definedName name="abc" localSheetId="9" hidden="1">{"'2EEEポートRev.3'!$A$1:$Q$181"}</definedName>
    <definedName name="abc" hidden="1">{"'2EEEポートRev.3'!$A$1:$Q$181"}</definedName>
    <definedName name="abcd" localSheetId="9" hidden="1">{"'2EEEポートRev.3'!$A$1:$Q$181"}</definedName>
    <definedName name="abcd" hidden="1">{"'2EEEポートRev.3'!$A$1:$Q$181"}</definedName>
    <definedName name="abcde" localSheetId="9" hidden="1">{"'2EEEポートRev.3'!$A$1:$Q$181"}</definedName>
    <definedName name="abcde" hidden="1">{"'2EEEポートRev.3'!$A$1:$Q$181"}</definedName>
    <definedName name="abcdef" localSheetId="9" hidden="1">{"'2EEEポートRev.3'!$A$1:$Q$181"}</definedName>
    <definedName name="abcdef" hidden="1">{"'2EEEポートRev.3'!$A$1:$Q$181"}</definedName>
    <definedName name="agbe" localSheetId="9" hidden="1">{"'2EEEポートRev.3'!$A$1:$Q$181"}</definedName>
    <definedName name="agbe" hidden="1">{"'2EEEポートRev.3'!$A$1:$Q$181"}</definedName>
    <definedName name="ahahaht" hidden="1">#N/A</definedName>
    <definedName name="cwecerw" hidden="1">#N/A</definedName>
    <definedName name="dada" hidden="1">#N/A</definedName>
    <definedName name="dafda" hidden="1">#N/A</definedName>
    <definedName name="darabase" hidden="1">#REF!</definedName>
    <definedName name="djdjdy" hidden="1">#N/A</definedName>
    <definedName name="djydyjdyjd" hidden="1">#N/A</definedName>
    <definedName name="dtyjdjd" hidden="1">#N/A</definedName>
    <definedName name="dtyjdyj" hidden="1">#N/A</definedName>
    <definedName name="dyd" hidden="1">#N/A</definedName>
    <definedName name="dydjdy" hidden="1">#N/A</definedName>
    <definedName name="dydjyddjy" hidden="1">#N/A</definedName>
    <definedName name="dydyd" hidden="1">#N/A</definedName>
    <definedName name="dydyjdjy" hidden="1">#N/A</definedName>
    <definedName name="dyjdjdk" hidden="1">#N/A</definedName>
    <definedName name="dyjdjy" hidden="1">#N/A</definedName>
    <definedName name="dyjdydyjd" hidden="1">#N/A</definedName>
    <definedName name="dyjdyjd" hidden="1">#N/A</definedName>
    <definedName name="dytjdt" hidden="1">#N/A</definedName>
    <definedName name="ekf" hidden="1">#N/A</definedName>
    <definedName name="fsdfsdfasdfasdfasdf" hidden="1">#REF!</definedName>
    <definedName name="fulfylf" hidden="1">#N/A</definedName>
    <definedName name="fulfyulf" hidden="1">#N/A</definedName>
    <definedName name="fykf" hidden="1">#N/A</definedName>
    <definedName name="fykfk" hidden="1">#N/A</definedName>
    <definedName name="fykfkf" hidden="1">#N/A</definedName>
    <definedName name="fykuf" hidden="1">#N/A</definedName>
    <definedName name="fykufku" hidden="1">#N/A</definedName>
    <definedName name="fyulflu" hidden="1">#N/A</definedName>
    <definedName name="hshsrh" hidden="1">#N/A</definedName>
    <definedName name="hsths" hidden="1">#N/A</definedName>
    <definedName name="hstrshs" hidden="1">#N/A</definedName>
    <definedName name="HTML_CodePage" hidden="1">932</definedName>
    <definedName name="HTML_Control" localSheetId="9" hidden="1">{"'問題点連絡書'!$A$1:$AU$75"}</definedName>
    <definedName name="HTML_Control" hidden="1">{"'問題点連絡書'!$A$1:$AU$75"}</definedName>
    <definedName name="HTML_Description" hidden="1">""</definedName>
    <definedName name="HTML_Email" hidden="1">""</definedName>
    <definedName name="HTML_Header" hidden="1">"Ｈ１３年度委員活動分担"</definedName>
    <definedName name="HTML_LastUpdate" hidden="1">"01/04/16"</definedName>
    <definedName name="HTML_LineAfter" hidden="1">FALSE</definedName>
    <definedName name="HTML_LineBefore" hidden="1">FALSE</definedName>
    <definedName name="HTML_Name" hidden="1">"吉田　寛"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"D:\project\業務\各体制\ＨＰ化\nakami.htm"</definedName>
    <definedName name="HTML_PathTemplate" hidden="1">"C:\WINDOWS\ﾃﾞｽｸﾄｯﾌﾟ\共有\coastmaster\2_1\cst目次010.htm"</definedName>
    <definedName name="HTML_Title" hidden="1">"委員活動分担表0104"</definedName>
    <definedName name="j_1" localSheetId="0">#REF!</definedName>
    <definedName name="j_1">#REF!</definedName>
    <definedName name="j_10" localSheetId="0">#REF!</definedName>
    <definedName name="j_10">#REF!</definedName>
    <definedName name="j_100" localSheetId="0">#REF!</definedName>
    <definedName name="j_100">#REF!</definedName>
    <definedName name="j_101" localSheetId="0">#REF!</definedName>
    <definedName name="j_101">#REF!</definedName>
    <definedName name="j_102" localSheetId="0">#REF!</definedName>
    <definedName name="j_102">#REF!</definedName>
    <definedName name="j_103" localSheetId="0">#REF!</definedName>
    <definedName name="j_103">#REF!</definedName>
    <definedName name="j_104" localSheetId="0">#REF!</definedName>
    <definedName name="j_104">#REF!</definedName>
    <definedName name="j_105" localSheetId="0">#REF!</definedName>
    <definedName name="j_105">#REF!</definedName>
    <definedName name="j_106" localSheetId="0">#REF!</definedName>
    <definedName name="j_106">#REF!</definedName>
    <definedName name="j_107" localSheetId="0">#REF!</definedName>
    <definedName name="j_107">#REF!</definedName>
    <definedName name="j_108" localSheetId="0">#REF!</definedName>
    <definedName name="j_108">#REF!</definedName>
    <definedName name="j_109" localSheetId="0">#REF!</definedName>
    <definedName name="j_109">#REF!</definedName>
    <definedName name="j_11" localSheetId="0">#REF!</definedName>
    <definedName name="j_11">#REF!</definedName>
    <definedName name="j_110" localSheetId="0">#REF!</definedName>
    <definedName name="j_110">#REF!</definedName>
    <definedName name="j_111" localSheetId="0">#REF!</definedName>
    <definedName name="j_111">#REF!</definedName>
    <definedName name="j_112" localSheetId="0">#REF!</definedName>
    <definedName name="j_112">#REF!</definedName>
    <definedName name="j_113" localSheetId="0">#REF!</definedName>
    <definedName name="j_113">#REF!</definedName>
    <definedName name="j_114" localSheetId="0">#REF!</definedName>
    <definedName name="j_114">#REF!</definedName>
    <definedName name="j_115" localSheetId="0">#REF!</definedName>
    <definedName name="j_115">#REF!</definedName>
    <definedName name="j_116" localSheetId="0">#REF!</definedName>
    <definedName name="j_116">#REF!</definedName>
    <definedName name="j_117" localSheetId="0">#REF!</definedName>
    <definedName name="j_117">#REF!</definedName>
    <definedName name="j_118" localSheetId="0">#REF!</definedName>
    <definedName name="j_118">#REF!</definedName>
    <definedName name="j_119" localSheetId="0">#REF!</definedName>
    <definedName name="j_119">#REF!</definedName>
    <definedName name="j_12" localSheetId="0">#REF!</definedName>
    <definedName name="j_12">#REF!</definedName>
    <definedName name="j_120" localSheetId="0">#REF!</definedName>
    <definedName name="j_120">#REF!</definedName>
    <definedName name="j_121" localSheetId="0">#REF!</definedName>
    <definedName name="j_121">#REF!</definedName>
    <definedName name="j_122" localSheetId="0">#REF!</definedName>
    <definedName name="j_122">#REF!</definedName>
    <definedName name="j_123" localSheetId="0">#REF!</definedName>
    <definedName name="j_123">#REF!</definedName>
    <definedName name="j_124" localSheetId="0">#REF!</definedName>
    <definedName name="j_124">#REF!</definedName>
    <definedName name="j_125" localSheetId="0">#REF!</definedName>
    <definedName name="j_125">#REF!</definedName>
    <definedName name="j_126" localSheetId="0">#REF!</definedName>
    <definedName name="j_126">#REF!</definedName>
    <definedName name="j_127" localSheetId="0">#REF!</definedName>
    <definedName name="j_127">#REF!</definedName>
    <definedName name="j_128" localSheetId="0">#REF!</definedName>
    <definedName name="j_128">#REF!</definedName>
    <definedName name="j_129" localSheetId="0">#REF!</definedName>
    <definedName name="j_129">#REF!</definedName>
    <definedName name="j_13" localSheetId="0">#REF!</definedName>
    <definedName name="j_13">#REF!</definedName>
    <definedName name="j_130" localSheetId="0">#REF!</definedName>
    <definedName name="j_130">#REF!</definedName>
    <definedName name="j_131" localSheetId="0">#REF!</definedName>
    <definedName name="j_131">#REF!</definedName>
    <definedName name="j_132" localSheetId="0">#REF!</definedName>
    <definedName name="j_132">#REF!</definedName>
    <definedName name="j_133" localSheetId="0">#REF!</definedName>
    <definedName name="j_133">#REF!</definedName>
    <definedName name="j_134" localSheetId="0">#REF!</definedName>
    <definedName name="j_134">#REF!</definedName>
    <definedName name="j_135" localSheetId="0">#REF!</definedName>
    <definedName name="j_135">#REF!</definedName>
    <definedName name="j_136" localSheetId="0">#REF!</definedName>
    <definedName name="j_136">#REF!</definedName>
    <definedName name="j_137" localSheetId="0">#REF!</definedName>
    <definedName name="j_137">#REF!</definedName>
    <definedName name="j_138" localSheetId="0">#REF!</definedName>
    <definedName name="j_138">#REF!</definedName>
    <definedName name="j_139" localSheetId="0">#REF!</definedName>
    <definedName name="j_139">#REF!</definedName>
    <definedName name="j_14" localSheetId="0">#REF!</definedName>
    <definedName name="j_14">#REF!</definedName>
    <definedName name="j_140" localSheetId="0">#REF!</definedName>
    <definedName name="j_140">#REF!</definedName>
    <definedName name="j_141" localSheetId="0">#REF!</definedName>
    <definedName name="j_141">#REF!</definedName>
    <definedName name="j_142" localSheetId="0">#REF!</definedName>
    <definedName name="j_142">#REF!</definedName>
    <definedName name="j_143" localSheetId="0">#REF!</definedName>
    <definedName name="j_143">#REF!</definedName>
    <definedName name="j_144" localSheetId="0">#REF!</definedName>
    <definedName name="j_144">#REF!</definedName>
    <definedName name="j_145" localSheetId="0">#REF!</definedName>
    <definedName name="j_145">#REF!</definedName>
    <definedName name="j_146" localSheetId="0">#REF!</definedName>
    <definedName name="j_146">#REF!</definedName>
    <definedName name="j_147" localSheetId="0">#REF!</definedName>
    <definedName name="j_147">#REF!</definedName>
    <definedName name="j_148" localSheetId="0">#REF!</definedName>
    <definedName name="j_148">#REF!</definedName>
    <definedName name="j_149" localSheetId="0">#REF!</definedName>
    <definedName name="j_149">#REF!</definedName>
    <definedName name="j_15" localSheetId="0">#REF!</definedName>
    <definedName name="j_15">#REF!</definedName>
    <definedName name="j_150" localSheetId="0">#REF!</definedName>
    <definedName name="j_150">#REF!</definedName>
    <definedName name="j_151" localSheetId="0">#REF!</definedName>
    <definedName name="j_151">#REF!</definedName>
    <definedName name="j_152" localSheetId="0">#REF!</definedName>
    <definedName name="j_152">#REF!</definedName>
    <definedName name="j_153" localSheetId="0">#REF!</definedName>
    <definedName name="j_153">#REF!</definedName>
    <definedName name="j_154" localSheetId="0">#REF!</definedName>
    <definedName name="j_154">#REF!</definedName>
    <definedName name="j_155" localSheetId="0">#REF!</definedName>
    <definedName name="j_155">#REF!</definedName>
    <definedName name="j_156" localSheetId="0">#REF!</definedName>
    <definedName name="j_156">#REF!</definedName>
    <definedName name="j_157" localSheetId="0">#REF!</definedName>
    <definedName name="j_157">#REF!</definedName>
    <definedName name="j_158" localSheetId="0">#REF!</definedName>
    <definedName name="j_158">#REF!</definedName>
    <definedName name="j_159" localSheetId="0">#REF!</definedName>
    <definedName name="j_159">#REF!</definedName>
    <definedName name="j_16" localSheetId="0">#REF!</definedName>
    <definedName name="j_16">#REF!</definedName>
    <definedName name="j_160" localSheetId="0">#REF!</definedName>
    <definedName name="j_160">#REF!</definedName>
    <definedName name="j_161" localSheetId="0">#REF!</definedName>
    <definedName name="j_161">#REF!</definedName>
    <definedName name="j_162" localSheetId="0">#REF!</definedName>
    <definedName name="j_162">#REF!</definedName>
    <definedName name="j_163" localSheetId="0">#REF!</definedName>
    <definedName name="j_163">#REF!</definedName>
    <definedName name="j_164" localSheetId="0">#REF!</definedName>
    <definedName name="j_164">#REF!</definedName>
    <definedName name="j_165" localSheetId="0">#REF!</definedName>
    <definedName name="j_165">#REF!</definedName>
    <definedName name="j_166" localSheetId="0">#REF!</definedName>
    <definedName name="j_166">#REF!</definedName>
    <definedName name="j_167" localSheetId="0">#REF!</definedName>
    <definedName name="j_167">#REF!</definedName>
    <definedName name="j_168" localSheetId="0">#REF!</definedName>
    <definedName name="j_168">#REF!</definedName>
    <definedName name="j_169" localSheetId="0">#REF!</definedName>
    <definedName name="j_169">#REF!</definedName>
    <definedName name="j_17" localSheetId="0">#REF!</definedName>
    <definedName name="j_17">#REF!</definedName>
    <definedName name="j_170" localSheetId="0">#REF!</definedName>
    <definedName name="j_170">#REF!</definedName>
    <definedName name="j_171" localSheetId="0">#REF!</definedName>
    <definedName name="j_171">#REF!</definedName>
    <definedName name="j_172" localSheetId="0">#REF!</definedName>
    <definedName name="j_172">#REF!</definedName>
    <definedName name="j_173" localSheetId="0">#REF!</definedName>
    <definedName name="j_173">#REF!</definedName>
    <definedName name="j_174" localSheetId="0">#REF!</definedName>
    <definedName name="j_174">#REF!</definedName>
    <definedName name="j_175" localSheetId="0">#REF!</definedName>
    <definedName name="j_175">#REF!</definedName>
    <definedName name="j_176" localSheetId="0">#REF!</definedName>
    <definedName name="j_176">#REF!</definedName>
    <definedName name="j_177" localSheetId="0">#REF!</definedName>
    <definedName name="j_177">#REF!</definedName>
    <definedName name="j_178" localSheetId="0">#REF!</definedName>
    <definedName name="j_178">#REF!</definedName>
    <definedName name="j_179" localSheetId="0">#REF!</definedName>
    <definedName name="j_179">#REF!</definedName>
    <definedName name="j_18" localSheetId="0">#REF!</definedName>
    <definedName name="j_18">#REF!</definedName>
    <definedName name="j_180" localSheetId="0">#REF!</definedName>
    <definedName name="j_180">#REF!</definedName>
    <definedName name="j_181" localSheetId="0">#REF!</definedName>
    <definedName name="j_181">#REF!</definedName>
    <definedName name="j_182" localSheetId="0">#REF!</definedName>
    <definedName name="j_182">#REF!</definedName>
    <definedName name="j_183" localSheetId="0">#REF!</definedName>
    <definedName name="j_183">#REF!</definedName>
    <definedName name="j_184" localSheetId="0">#REF!</definedName>
    <definedName name="j_184">#REF!</definedName>
    <definedName name="j_185" localSheetId="0">#REF!</definedName>
    <definedName name="j_185">#REF!</definedName>
    <definedName name="j_186" localSheetId="0">#REF!</definedName>
    <definedName name="j_186">#REF!</definedName>
    <definedName name="j_187" localSheetId="0">#REF!</definedName>
    <definedName name="j_187">#REF!</definedName>
    <definedName name="j_188" localSheetId="0">#REF!</definedName>
    <definedName name="j_188">#REF!</definedName>
    <definedName name="j_189" localSheetId="0">#REF!</definedName>
    <definedName name="j_189">#REF!</definedName>
    <definedName name="j_19" localSheetId="0">#REF!</definedName>
    <definedName name="j_19">#REF!</definedName>
    <definedName name="j_190" localSheetId="0">#REF!</definedName>
    <definedName name="j_190">#REF!</definedName>
    <definedName name="j_191" localSheetId="0">#REF!</definedName>
    <definedName name="j_191">#REF!</definedName>
    <definedName name="j_192" localSheetId="0">#REF!</definedName>
    <definedName name="j_192">#REF!</definedName>
    <definedName name="j_193" localSheetId="0">#REF!</definedName>
    <definedName name="j_193">#REF!</definedName>
    <definedName name="j_194" localSheetId="0">#REF!</definedName>
    <definedName name="j_194">#REF!</definedName>
    <definedName name="j_195" localSheetId="0">#REF!</definedName>
    <definedName name="j_195">#REF!</definedName>
    <definedName name="j_196" localSheetId="0">#REF!</definedName>
    <definedName name="j_196">#REF!</definedName>
    <definedName name="j_197" localSheetId="0">#REF!</definedName>
    <definedName name="j_197">#REF!</definedName>
    <definedName name="j_198" localSheetId="0">#REF!</definedName>
    <definedName name="j_198">#REF!</definedName>
    <definedName name="j_199" localSheetId="0">#REF!</definedName>
    <definedName name="j_199">#REF!</definedName>
    <definedName name="j_2" localSheetId="0">#REF!</definedName>
    <definedName name="j_2">#REF!</definedName>
    <definedName name="j_20" localSheetId="0">#REF!</definedName>
    <definedName name="j_20">#REF!</definedName>
    <definedName name="j_200" localSheetId="0">#REF!</definedName>
    <definedName name="j_200">#REF!</definedName>
    <definedName name="j_201" localSheetId="0">#REF!</definedName>
    <definedName name="j_201">#REF!</definedName>
    <definedName name="j_202" localSheetId="0">#REF!</definedName>
    <definedName name="j_202">#REF!</definedName>
    <definedName name="j_203" localSheetId="0">#REF!</definedName>
    <definedName name="j_203">#REF!</definedName>
    <definedName name="j_204" localSheetId="0">#REF!</definedName>
    <definedName name="j_204">#REF!</definedName>
    <definedName name="j_205" localSheetId="0">#REF!</definedName>
    <definedName name="j_205">#REF!</definedName>
    <definedName name="j_206" localSheetId="0">#REF!</definedName>
    <definedName name="j_206">#REF!</definedName>
    <definedName name="j_207" localSheetId="0">#REF!</definedName>
    <definedName name="j_207">#REF!</definedName>
    <definedName name="j_208" localSheetId="0">#REF!</definedName>
    <definedName name="j_208">#REF!</definedName>
    <definedName name="j_209" localSheetId="0">#REF!</definedName>
    <definedName name="j_209">#REF!</definedName>
    <definedName name="j_21" localSheetId="0">#REF!</definedName>
    <definedName name="j_21">#REF!</definedName>
    <definedName name="j_210" localSheetId="0">#REF!</definedName>
    <definedName name="j_210">#REF!</definedName>
    <definedName name="j_211" localSheetId="0">#REF!</definedName>
    <definedName name="j_211">#REF!</definedName>
    <definedName name="j_212" localSheetId="0">#REF!</definedName>
    <definedName name="j_212">#REF!</definedName>
    <definedName name="j_213" localSheetId="0">#REF!</definedName>
    <definedName name="j_213">#REF!</definedName>
    <definedName name="j_214" localSheetId="0">#REF!</definedName>
    <definedName name="j_214">#REF!</definedName>
    <definedName name="j_215" localSheetId="0">#REF!</definedName>
    <definedName name="j_215">#REF!</definedName>
    <definedName name="j_216" localSheetId="0">#REF!</definedName>
    <definedName name="j_216">#REF!</definedName>
    <definedName name="j_217" localSheetId="0">#REF!</definedName>
    <definedName name="j_217">#REF!</definedName>
    <definedName name="j_218" localSheetId="0">#REF!</definedName>
    <definedName name="j_218">#REF!</definedName>
    <definedName name="j_219" localSheetId="0">#REF!</definedName>
    <definedName name="j_219">#REF!</definedName>
    <definedName name="j_22" localSheetId="0">#REF!</definedName>
    <definedName name="j_22">#REF!</definedName>
    <definedName name="j_220" localSheetId="0">#REF!</definedName>
    <definedName name="j_220">#REF!</definedName>
    <definedName name="j_221" localSheetId="0">#REF!</definedName>
    <definedName name="j_221">#REF!</definedName>
    <definedName name="j_222" localSheetId="0">#REF!</definedName>
    <definedName name="j_222">#REF!</definedName>
    <definedName name="j_223" localSheetId="0">#REF!</definedName>
    <definedName name="j_223">#REF!</definedName>
    <definedName name="j_224" localSheetId="0">#REF!</definedName>
    <definedName name="j_224">#REF!</definedName>
    <definedName name="j_225" localSheetId="0">#REF!</definedName>
    <definedName name="j_225">#REF!</definedName>
    <definedName name="j_226" localSheetId="0">#REF!</definedName>
    <definedName name="j_226">#REF!</definedName>
    <definedName name="j_227" localSheetId="0">#REF!</definedName>
    <definedName name="j_227">#REF!</definedName>
    <definedName name="j_228" localSheetId="0">#REF!</definedName>
    <definedName name="j_228">#REF!</definedName>
    <definedName name="j_229" localSheetId="0">#REF!</definedName>
    <definedName name="j_229">#REF!</definedName>
    <definedName name="j_23" localSheetId="0">#REF!</definedName>
    <definedName name="j_23">#REF!</definedName>
    <definedName name="j_230" localSheetId="0">#REF!</definedName>
    <definedName name="j_230">#REF!</definedName>
    <definedName name="j_231" localSheetId="0">#REF!</definedName>
    <definedName name="j_231">#REF!</definedName>
    <definedName name="j_232" localSheetId="0">#REF!</definedName>
    <definedName name="j_232">#REF!</definedName>
    <definedName name="j_233" localSheetId="0">#REF!</definedName>
    <definedName name="j_233">#REF!</definedName>
    <definedName name="j_234" localSheetId="0">#REF!</definedName>
    <definedName name="j_234">#REF!</definedName>
    <definedName name="j_235" localSheetId="0">#REF!</definedName>
    <definedName name="j_235">#REF!</definedName>
    <definedName name="j_236" localSheetId="0">#REF!</definedName>
    <definedName name="j_236">#REF!</definedName>
    <definedName name="j_237" localSheetId="0">#REF!</definedName>
    <definedName name="j_237">#REF!</definedName>
    <definedName name="j_238" localSheetId="0">#REF!</definedName>
    <definedName name="j_238">#REF!</definedName>
    <definedName name="j_239" localSheetId="0">#REF!</definedName>
    <definedName name="j_239">#REF!</definedName>
    <definedName name="j_24" localSheetId="0">#REF!</definedName>
    <definedName name="j_24">#REF!</definedName>
    <definedName name="j_240" localSheetId="0">#REF!</definedName>
    <definedName name="j_240">#REF!</definedName>
    <definedName name="j_241" localSheetId="0">#REF!</definedName>
    <definedName name="j_241">#REF!</definedName>
    <definedName name="j_242" localSheetId="0">#REF!</definedName>
    <definedName name="j_242">#REF!</definedName>
    <definedName name="j_243" localSheetId="0">#REF!</definedName>
    <definedName name="j_243">#REF!</definedName>
    <definedName name="j_244" localSheetId="0">#REF!</definedName>
    <definedName name="j_244">#REF!</definedName>
    <definedName name="j_245" localSheetId="0">#REF!</definedName>
    <definedName name="j_245">#REF!</definedName>
    <definedName name="j_246" localSheetId="0">#REF!</definedName>
    <definedName name="j_246">#REF!</definedName>
    <definedName name="j_247" localSheetId="0">#REF!</definedName>
    <definedName name="j_247">#REF!</definedName>
    <definedName name="j_248" localSheetId="0">#REF!</definedName>
    <definedName name="j_248">#REF!</definedName>
    <definedName name="j_249" localSheetId="0">#REF!</definedName>
    <definedName name="j_249">#REF!</definedName>
    <definedName name="j_25" localSheetId="0">#REF!</definedName>
    <definedName name="j_25">#REF!</definedName>
    <definedName name="j_250" localSheetId="0">#REF!</definedName>
    <definedName name="j_250">#REF!</definedName>
    <definedName name="j_251" localSheetId="0">#REF!</definedName>
    <definedName name="j_251">#REF!</definedName>
    <definedName name="j_252" localSheetId="0">#REF!</definedName>
    <definedName name="j_252">#REF!</definedName>
    <definedName name="j_253" localSheetId="0">#REF!</definedName>
    <definedName name="j_253">#REF!</definedName>
    <definedName name="j_254" localSheetId="0">#REF!</definedName>
    <definedName name="j_254">#REF!</definedName>
    <definedName name="j_255" localSheetId="0">#REF!</definedName>
    <definedName name="j_255">#REF!</definedName>
    <definedName name="j_256" localSheetId="0">#REF!</definedName>
    <definedName name="j_256">#REF!</definedName>
    <definedName name="j_257" localSheetId="0">#REF!</definedName>
    <definedName name="j_257">#REF!</definedName>
    <definedName name="j_258" localSheetId="0">#REF!</definedName>
    <definedName name="j_258">#REF!</definedName>
    <definedName name="j_259" localSheetId="0">#REF!</definedName>
    <definedName name="j_259">#REF!</definedName>
    <definedName name="j_26" localSheetId="0">#REF!</definedName>
    <definedName name="j_26">#REF!</definedName>
    <definedName name="j_260" localSheetId="0">#REF!</definedName>
    <definedName name="j_260">#REF!</definedName>
    <definedName name="j_261" localSheetId="0">#REF!</definedName>
    <definedName name="j_261">#REF!</definedName>
    <definedName name="j_262" localSheetId="0">#REF!</definedName>
    <definedName name="j_262">#REF!</definedName>
    <definedName name="j_263" localSheetId="0">#REF!</definedName>
    <definedName name="j_263">#REF!</definedName>
    <definedName name="j_264" localSheetId="0">#REF!</definedName>
    <definedName name="j_264">#REF!</definedName>
    <definedName name="j_265" localSheetId="0">#REF!</definedName>
    <definedName name="j_265">#REF!</definedName>
    <definedName name="j_266" localSheetId="0">#REF!</definedName>
    <definedName name="j_266">#REF!</definedName>
    <definedName name="j_267" localSheetId="0">#REF!</definedName>
    <definedName name="j_267">#REF!</definedName>
    <definedName name="j_268" localSheetId="0">#REF!</definedName>
    <definedName name="j_268">#REF!</definedName>
    <definedName name="j_269" localSheetId="0">#REF!</definedName>
    <definedName name="j_269">#REF!</definedName>
    <definedName name="j_27" localSheetId="0">#REF!</definedName>
    <definedName name="j_27">#REF!</definedName>
    <definedName name="j_270" localSheetId="0">#REF!</definedName>
    <definedName name="j_270">#REF!</definedName>
    <definedName name="j_271" localSheetId="0">#REF!</definedName>
    <definedName name="j_271">#REF!</definedName>
    <definedName name="j_272" localSheetId="0">#REF!</definedName>
    <definedName name="j_272">#REF!</definedName>
    <definedName name="j_273" localSheetId="0">#REF!</definedName>
    <definedName name="j_273">#REF!</definedName>
    <definedName name="j_274" localSheetId="0">#REF!</definedName>
    <definedName name="j_274">#REF!</definedName>
    <definedName name="j_275" localSheetId="0">#REF!</definedName>
    <definedName name="j_275">#REF!</definedName>
    <definedName name="j_276" localSheetId="0">#REF!</definedName>
    <definedName name="j_276">#REF!</definedName>
    <definedName name="j_277" localSheetId="0">#REF!</definedName>
    <definedName name="j_277">#REF!</definedName>
    <definedName name="j_278" localSheetId="0">#REF!</definedName>
    <definedName name="j_278">#REF!</definedName>
    <definedName name="j_279" localSheetId="0">#REF!</definedName>
    <definedName name="j_279">#REF!</definedName>
    <definedName name="j_28" localSheetId="0">#REF!</definedName>
    <definedName name="j_28">#REF!</definedName>
    <definedName name="j_280" localSheetId="0">#REF!</definedName>
    <definedName name="j_280">#REF!</definedName>
    <definedName name="j_281" localSheetId="0">#REF!</definedName>
    <definedName name="j_281">#REF!</definedName>
    <definedName name="j_282" localSheetId="0">#REF!</definedName>
    <definedName name="j_282">#REF!</definedName>
    <definedName name="j_283" localSheetId="0">#REF!</definedName>
    <definedName name="j_283">#REF!</definedName>
    <definedName name="j_284" localSheetId="0">#REF!</definedName>
    <definedName name="j_284">#REF!</definedName>
    <definedName name="j_285" localSheetId="0">#REF!</definedName>
    <definedName name="j_285">#REF!</definedName>
    <definedName name="j_286" localSheetId="0">#REF!</definedName>
    <definedName name="j_286">#REF!</definedName>
    <definedName name="j_287" localSheetId="0">#REF!</definedName>
    <definedName name="j_287">#REF!</definedName>
    <definedName name="j_288" localSheetId="0">#REF!</definedName>
    <definedName name="j_288">#REF!</definedName>
    <definedName name="j_289" localSheetId="0">#REF!</definedName>
    <definedName name="j_289">#REF!</definedName>
    <definedName name="j_29" localSheetId="0">#REF!</definedName>
    <definedName name="j_29">#REF!</definedName>
    <definedName name="j_290" localSheetId="0">#REF!</definedName>
    <definedName name="j_290">#REF!</definedName>
    <definedName name="j_291" localSheetId="0">#REF!</definedName>
    <definedName name="j_291">#REF!</definedName>
    <definedName name="j_292" localSheetId="0">#REF!</definedName>
    <definedName name="j_292">#REF!</definedName>
    <definedName name="j_293" localSheetId="0">#REF!</definedName>
    <definedName name="j_293">#REF!</definedName>
    <definedName name="j_294" localSheetId="0">#REF!</definedName>
    <definedName name="j_294">#REF!</definedName>
    <definedName name="j_295" localSheetId="0">#REF!</definedName>
    <definedName name="j_295">#REF!</definedName>
    <definedName name="j_296" localSheetId="0">#REF!</definedName>
    <definedName name="j_296">#REF!</definedName>
    <definedName name="j_297" localSheetId="0">#REF!</definedName>
    <definedName name="j_297">#REF!</definedName>
    <definedName name="j_298" localSheetId="0">#REF!</definedName>
    <definedName name="j_298">#REF!</definedName>
    <definedName name="j_299" localSheetId="0">#REF!</definedName>
    <definedName name="j_299">#REF!</definedName>
    <definedName name="j_3" localSheetId="0">#REF!</definedName>
    <definedName name="j_3">#REF!</definedName>
    <definedName name="j_30" localSheetId="0">#REF!</definedName>
    <definedName name="j_30">#REF!</definedName>
    <definedName name="j_300" localSheetId="0">#REF!</definedName>
    <definedName name="j_300">#REF!</definedName>
    <definedName name="j_301" localSheetId="0">#REF!</definedName>
    <definedName name="j_301">#REF!</definedName>
    <definedName name="j_302" localSheetId="0">#REF!</definedName>
    <definedName name="j_302">#REF!</definedName>
    <definedName name="j_303" localSheetId="0">#REF!</definedName>
    <definedName name="j_303">#REF!</definedName>
    <definedName name="j_304" localSheetId="0">#REF!</definedName>
    <definedName name="j_304">#REF!</definedName>
    <definedName name="j_305" localSheetId="0">#REF!</definedName>
    <definedName name="j_305">#REF!</definedName>
    <definedName name="j_306" localSheetId="0">#REF!</definedName>
    <definedName name="j_306">#REF!</definedName>
    <definedName name="j_307" localSheetId="0">#REF!</definedName>
    <definedName name="j_307">#REF!</definedName>
    <definedName name="j_308" localSheetId="0">#REF!</definedName>
    <definedName name="j_308">#REF!</definedName>
    <definedName name="j_309" localSheetId="0">#REF!</definedName>
    <definedName name="j_309">#REF!</definedName>
    <definedName name="j_31" localSheetId="0">#REF!</definedName>
    <definedName name="j_31">#REF!</definedName>
    <definedName name="j_310" localSheetId="0">#REF!</definedName>
    <definedName name="j_310">#REF!</definedName>
    <definedName name="j_311" localSheetId="0">#REF!</definedName>
    <definedName name="j_311">#REF!</definedName>
    <definedName name="j_312" localSheetId="0">#REF!</definedName>
    <definedName name="j_312">#REF!</definedName>
    <definedName name="j_313" localSheetId="0">#REF!</definedName>
    <definedName name="j_313">#REF!</definedName>
    <definedName name="j_314" localSheetId="0">#REF!</definedName>
    <definedName name="j_314">#REF!</definedName>
    <definedName name="j_315" localSheetId="0">#REF!</definedName>
    <definedName name="j_315">#REF!</definedName>
    <definedName name="j_316" localSheetId="0">#REF!</definedName>
    <definedName name="j_316">#REF!</definedName>
    <definedName name="j_317" localSheetId="0">#REF!</definedName>
    <definedName name="j_317">#REF!</definedName>
    <definedName name="j_318" localSheetId="0">#REF!</definedName>
    <definedName name="j_318">#REF!</definedName>
    <definedName name="j_319" localSheetId="0">#REF!</definedName>
    <definedName name="j_319">#REF!</definedName>
    <definedName name="j_32" localSheetId="0">#REF!</definedName>
    <definedName name="j_32">#REF!</definedName>
    <definedName name="j_320" localSheetId="0">#REF!</definedName>
    <definedName name="j_320">#REF!</definedName>
    <definedName name="j_321" localSheetId="0">#REF!</definedName>
    <definedName name="j_321">#REF!</definedName>
    <definedName name="j_322" localSheetId="0">#REF!</definedName>
    <definedName name="j_322">#REF!</definedName>
    <definedName name="j_323" localSheetId="0">#REF!</definedName>
    <definedName name="j_323">#REF!</definedName>
    <definedName name="j_324" localSheetId="0">#REF!</definedName>
    <definedName name="j_324">#REF!</definedName>
    <definedName name="j_325" localSheetId="0">#REF!</definedName>
    <definedName name="j_325">#REF!</definedName>
    <definedName name="j_326" localSheetId="0">#REF!</definedName>
    <definedName name="j_326">#REF!</definedName>
    <definedName name="j_327" localSheetId="0">#REF!</definedName>
    <definedName name="j_327">#REF!</definedName>
    <definedName name="j_328" localSheetId="0">#REF!</definedName>
    <definedName name="j_328">#REF!</definedName>
    <definedName name="j_329" localSheetId="0">#REF!</definedName>
    <definedName name="j_329">#REF!</definedName>
    <definedName name="j_33" localSheetId="0">#REF!</definedName>
    <definedName name="j_33">#REF!</definedName>
    <definedName name="j_330" localSheetId="0">#REF!</definedName>
    <definedName name="j_330">#REF!</definedName>
    <definedName name="j_331" localSheetId="0">#REF!</definedName>
    <definedName name="j_331">#REF!</definedName>
    <definedName name="j_332" localSheetId="0">#REF!</definedName>
    <definedName name="j_332">#REF!</definedName>
    <definedName name="j_333" localSheetId="0">#REF!</definedName>
    <definedName name="j_333">#REF!</definedName>
    <definedName name="j_334" localSheetId="0">#REF!</definedName>
    <definedName name="j_334">#REF!</definedName>
    <definedName name="j_335" localSheetId="0">#REF!</definedName>
    <definedName name="j_335">#REF!</definedName>
    <definedName name="j_336" localSheetId="0">#REF!</definedName>
    <definedName name="j_336">#REF!</definedName>
    <definedName name="j_337" localSheetId="0">#REF!</definedName>
    <definedName name="j_337">#REF!</definedName>
    <definedName name="j_338" localSheetId="0">#REF!</definedName>
    <definedName name="j_338">#REF!</definedName>
    <definedName name="j_339" localSheetId="0">#REF!</definedName>
    <definedName name="j_339">#REF!</definedName>
    <definedName name="j_34" localSheetId="0">#REF!</definedName>
    <definedName name="j_34">#REF!</definedName>
    <definedName name="j_340" localSheetId="0">#REF!</definedName>
    <definedName name="j_340">#REF!</definedName>
    <definedName name="j_341" localSheetId="0">#REF!</definedName>
    <definedName name="j_341">#REF!</definedName>
    <definedName name="j_342" localSheetId="0">#REF!</definedName>
    <definedName name="j_342">#REF!</definedName>
    <definedName name="j_343" localSheetId="0">#REF!</definedName>
    <definedName name="j_343">#REF!</definedName>
    <definedName name="j_344" localSheetId="0">#REF!</definedName>
    <definedName name="j_344">#REF!</definedName>
    <definedName name="j_345" localSheetId="0">#REF!</definedName>
    <definedName name="j_345">#REF!</definedName>
    <definedName name="j_346" localSheetId="0">#REF!</definedName>
    <definedName name="j_346">#REF!</definedName>
    <definedName name="j_347" localSheetId="0">#REF!</definedName>
    <definedName name="j_347">#REF!</definedName>
    <definedName name="j_348" localSheetId="0">#REF!</definedName>
    <definedName name="j_348">#REF!</definedName>
    <definedName name="j_349" localSheetId="0">#REF!</definedName>
    <definedName name="j_349">#REF!</definedName>
    <definedName name="j_35" localSheetId="0">#REF!</definedName>
    <definedName name="j_35">#REF!</definedName>
    <definedName name="j_350" localSheetId="0">#REF!</definedName>
    <definedName name="j_350">#REF!</definedName>
    <definedName name="j_351" localSheetId="0">#REF!</definedName>
    <definedName name="j_351">#REF!</definedName>
    <definedName name="j_352" localSheetId="0">#REF!</definedName>
    <definedName name="j_352">#REF!</definedName>
    <definedName name="j_353" localSheetId="0">#REF!</definedName>
    <definedName name="j_353">#REF!</definedName>
    <definedName name="j_354" localSheetId="0">#REF!</definedName>
    <definedName name="j_354">#REF!</definedName>
    <definedName name="j_355" localSheetId="0">#REF!</definedName>
    <definedName name="j_355">#REF!</definedName>
    <definedName name="j_356" localSheetId="0">#REF!</definedName>
    <definedName name="j_356">#REF!</definedName>
    <definedName name="j_357" localSheetId="0">#REF!</definedName>
    <definedName name="j_357">#REF!</definedName>
    <definedName name="j_358" localSheetId="0">#REF!</definedName>
    <definedName name="j_358">#REF!</definedName>
    <definedName name="j_359" localSheetId="0">#REF!</definedName>
    <definedName name="j_359">#REF!</definedName>
    <definedName name="j_36" localSheetId="0">#REF!</definedName>
    <definedName name="j_36">#REF!</definedName>
    <definedName name="j_360" localSheetId="0">#REF!</definedName>
    <definedName name="j_360">#REF!</definedName>
    <definedName name="j_361" localSheetId="0">#REF!</definedName>
    <definedName name="j_361">#REF!</definedName>
    <definedName name="j_362" localSheetId="0">#REF!</definedName>
    <definedName name="j_362">#REF!</definedName>
    <definedName name="j_363" localSheetId="0">#REF!</definedName>
    <definedName name="j_363">#REF!</definedName>
    <definedName name="j_364" localSheetId="0">#REF!</definedName>
    <definedName name="j_364">#REF!</definedName>
    <definedName name="j_365" localSheetId="0">#REF!</definedName>
    <definedName name="j_365">#REF!</definedName>
    <definedName name="j_366" localSheetId="0">#REF!</definedName>
    <definedName name="j_366">#REF!</definedName>
    <definedName name="j_367" localSheetId="0">#REF!</definedName>
    <definedName name="j_367">#REF!</definedName>
    <definedName name="j_368" localSheetId="0">#REF!</definedName>
    <definedName name="j_368">#REF!</definedName>
    <definedName name="j_369" localSheetId="0">#REF!</definedName>
    <definedName name="j_369">#REF!</definedName>
    <definedName name="j_37" localSheetId="0">#REF!</definedName>
    <definedName name="j_37">#REF!</definedName>
    <definedName name="j_370" localSheetId="0">#REF!</definedName>
    <definedName name="j_370">#REF!</definedName>
    <definedName name="j_371" localSheetId="0">#REF!</definedName>
    <definedName name="j_371">#REF!</definedName>
    <definedName name="j_372" localSheetId="0">#REF!</definedName>
    <definedName name="j_372">#REF!</definedName>
    <definedName name="j_373" localSheetId="0">#REF!</definedName>
    <definedName name="j_373">#REF!</definedName>
    <definedName name="j_374" localSheetId="0">#REF!</definedName>
    <definedName name="j_374">#REF!</definedName>
    <definedName name="j_375" localSheetId="0">#REF!</definedName>
    <definedName name="j_375">#REF!</definedName>
    <definedName name="j_376" localSheetId="0">#REF!</definedName>
    <definedName name="j_376">#REF!</definedName>
    <definedName name="j_377" localSheetId="0">#REF!</definedName>
    <definedName name="j_377">#REF!</definedName>
    <definedName name="j_378" localSheetId="0">#REF!</definedName>
    <definedName name="j_378">#REF!</definedName>
    <definedName name="j_379" localSheetId="0">#REF!</definedName>
    <definedName name="j_379">#REF!</definedName>
    <definedName name="j_38" localSheetId="0">#REF!</definedName>
    <definedName name="j_38">#REF!</definedName>
    <definedName name="j_380" localSheetId="0">#REF!</definedName>
    <definedName name="j_380">#REF!</definedName>
    <definedName name="j_381" localSheetId="0">#REF!</definedName>
    <definedName name="j_381">#REF!</definedName>
    <definedName name="j_382" localSheetId="0">#REF!</definedName>
    <definedName name="j_382">#REF!</definedName>
    <definedName name="j_383" localSheetId="0">#REF!</definedName>
    <definedName name="j_383">#REF!</definedName>
    <definedName name="j_384" localSheetId="0">#REF!</definedName>
    <definedName name="j_384">#REF!</definedName>
    <definedName name="j_385" localSheetId="0">#REF!</definedName>
    <definedName name="j_385">#REF!</definedName>
    <definedName name="j_386" localSheetId="0">#REF!</definedName>
    <definedName name="j_386">#REF!</definedName>
    <definedName name="j_387" localSheetId="0">#REF!</definedName>
    <definedName name="j_387">#REF!</definedName>
    <definedName name="j_388" localSheetId="0">#REF!</definedName>
    <definedName name="j_388">#REF!</definedName>
    <definedName name="j_389" localSheetId="0">#REF!</definedName>
    <definedName name="j_389">#REF!</definedName>
    <definedName name="j_39" localSheetId="0">#REF!</definedName>
    <definedName name="j_39">#REF!</definedName>
    <definedName name="j_390" localSheetId="0">#REF!</definedName>
    <definedName name="j_390">#REF!</definedName>
    <definedName name="j_391" localSheetId="0">#REF!</definedName>
    <definedName name="j_391">#REF!</definedName>
    <definedName name="j_392" localSheetId="0">#REF!</definedName>
    <definedName name="j_392">#REF!</definedName>
    <definedName name="j_393" localSheetId="0">#REF!</definedName>
    <definedName name="j_393">#REF!</definedName>
    <definedName name="j_394" localSheetId="0">#REF!</definedName>
    <definedName name="j_394">#REF!</definedName>
    <definedName name="j_395" localSheetId="0">#REF!</definedName>
    <definedName name="j_395">#REF!</definedName>
    <definedName name="j_396" localSheetId="0">#REF!</definedName>
    <definedName name="j_396">#REF!</definedName>
    <definedName name="j_397" localSheetId="0">#REF!</definedName>
    <definedName name="j_397">#REF!</definedName>
    <definedName name="j_398" localSheetId="0">#REF!</definedName>
    <definedName name="j_398">#REF!</definedName>
    <definedName name="j_399" localSheetId="0">#REF!</definedName>
    <definedName name="j_399">#REF!</definedName>
    <definedName name="j_4" localSheetId="0">#REF!</definedName>
    <definedName name="j_4">#REF!</definedName>
    <definedName name="j_40" localSheetId="0">#REF!</definedName>
    <definedName name="j_40">#REF!</definedName>
    <definedName name="j_400" localSheetId="0">#REF!</definedName>
    <definedName name="j_400">#REF!</definedName>
    <definedName name="j_401" localSheetId="0">#REF!</definedName>
    <definedName name="j_401">#REF!</definedName>
    <definedName name="j_402" localSheetId="0">#REF!</definedName>
    <definedName name="j_402">#REF!</definedName>
    <definedName name="j_403" localSheetId="0">#REF!</definedName>
    <definedName name="j_403">#REF!</definedName>
    <definedName name="j_404" localSheetId="0">#REF!</definedName>
    <definedName name="j_404">#REF!</definedName>
    <definedName name="j_405" localSheetId="0">#REF!</definedName>
    <definedName name="j_405">#REF!</definedName>
    <definedName name="j_406" localSheetId="0">#REF!</definedName>
    <definedName name="j_406">#REF!</definedName>
    <definedName name="j_407" localSheetId="0">#REF!</definedName>
    <definedName name="j_407">#REF!</definedName>
    <definedName name="j_408" localSheetId="0">#REF!</definedName>
    <definedName name="j_408">#REF!</definedName>
    <definedName name="j_409" localSheetId="0">#REF!</definedName>
    <definedName name="j_409">#REF!</definedName>
    <definedName name="j_41" localSheetId="0">#REF!</definedName>
    <definedName name="j_41">#REF!</definedName>
    <definedName name="j_410" localSheetId="0">#REF!</definedName>
    <definedName name="j_410">#REF!</definedName>
    <definedName name="j_411" localSheetId="0">#REF!</definedName>
    <definedName name="j_411">#REF!</definedName>
    <definedName name="j_412" localSheetId="0">#REF!</definedName>
    <definedName name="j_412">#REF!</definedName>
    <definedName name="j_413" localSheetId="0">#REF!</definedName>
    <definedName name="j_413">#REF!</definedName>
    <definedName name="j_414" localSheetId="0">#REF!</definedName>
    <definedName name="j_414">#REF!</definedName>
    <definedName name="j_415" localSheetId="0">#REF!</definedName>
    <definedName name="j_415">#REF!</definedName>
    <definedName name="j_416" localSheetId="0">#REF!</definedName>
    <definedName name="j_416">#REF!</definedName>
    <definedName name="j_417" localSheetId="0">#REF!</definedName>
    <definedName name="j_417">#REF!</definedName>
    <definedName name="j_418" localSheetId="0">#REF!</definedName>
    <definedName name="j_418">#REF!</definedName>
    <definedName name="j_419" localSheetId="0">#REF!</definedName>
    <definedName name="j_419">#REF!</definedName>
    <definedName name="j_42" localSheetId="0">#REF!</definedName>
    <definedName name="j_42">#REF!</definedName>
    <definedName name="j_43" localSheetId="0">#REF!</definedName>
    <definedName name="j_43">#REF!</definedName>
    <definedName name="j_44" localSheetId="0">#REF!</definedName>
    <definedName name="j_44">#REF!</definedName>
    <definedName name="j_45" localSheetId="0">#REF!</definedName>
    <definedName name="j_45">#REF!</definedName>
    <definedName name="j_46" localSheetId="0">#REF!</definedName>
    <definedName name="j_46">#REF!</definedName>
    <definedName name="j_47" localSheetId="0">#REF!</definedName>
    <definedName name="j_47">#REF!</definedName>
    <definedName name="j_48" localSheetId="0">#REF!</definedName>
    <definedName name="j_48">#REF!</definedName>
    <definedName name="j_49" localSheetId="0">#REF!</definedName>
    <definedName name="j_49">#REF!</definedName>
    <definedName name="j_5" localSheetId="0">#REF!</definedName>
    <definedName name="j_5">#REF!</definedName>
    <definedName name="j_50" localSheetId="0">#REF!</definedName>
    <definedName name="j_50">#REF!</definedName>
    <definedName name="j_51" localSheetId="0">#REF!</definedName>
    <definedName name="j_51">#REF!</definedName>
    <definedName name="j_52" localSheetId="0">#REF!</definedName>
    <definedName name="j_52">#REF!</definedName>
    <definedName name="j_53" localSheetId="0">#REF!</definedName>
    <definedName name="j_53">#REF!</definedName>
    <definedName name="j_54" localSheetId="0">#REF!</definedName>
    <definedName name="j_54">#REF!</definedName>
    <definedName name="j_55" localSheetId="0">#REF!</definedName>
    <definedName name="j_55">#REF!</definedName>
    <definedName name="j_56" localSheetId="0">#REF!</definedName>
    <definedName name="j_56">#REF!</definedName>
    <definedName name="j_57" localSheetId="0">#REF!</definedName>
    <definedName name="j_57">#REF!</definedName>
    <definedName name="j_58" localSheetId="0">#REF!</definedName>
    <definedName name="j_58">#REF!</definedName>
    <definedName name="j_59" localSheetId="0">#REF!</definedName>
    <definedName name="j_59">#REF!</definedName>
    <definedName name="j_6" localSheetId="0">#REF!</definedName>
    <definedName name="j_6">#REF!</definedName>
    <definedName name="j_60" localSheetId="0">#REF!</definedName>
    <definedName name="j_60">#REF!</definedName>
    <definedName name="j_61" localSheetId="0">#REF!</definedName>
    <definedName name="j_61">#REF!</definedName>
    <definedName name="j_62" localSheetId="0">#REF!</definedName>
    <definedName name="j_62">#REF!</definedName>
    <definedName name="j_63" localSheetId="0">#REF!</definedName>
    <definedName name="j_63">#REF!</definedName>
    <definedName name="j_64" localSheetId="0">#REF!</definedName>
    <definedName name="j_64">#REF!</definedName>
    <definedName name="j_65" localSheetId="0">#REF!</definedName>
    <definedName name="j_65">#REF!</definedName>
    <definedName name="j_66" localSheetId="0">#REF!</definedName>
    <definedName name="j_66">#REF!</definedName>
    <definedName name="j_67" localSheetId="0">#REF!</definedName>
    <definedName name="j_67">#REF!</definedName>
    <definedName name="j_68" localSheetId="0">#REF!</definedName>
    <definedName name="j_68">#REF!</definedName>
    <definedName name="j_69" localSheetId="0">#REF!</definedName>
    <definedName name="j_69">#REF!</definedName>
    <definedName name="j_7" localSheetId="0">#REF!</definedName>
    <definedName name="j_7">#REF!</definedName>
    <definedName name="j_70" localSheetId="0">#REF!</definedName>
    <definedName name="j_70">#REF!</definedName>
    <definedName name="j_71" localSheetId="0">#REF!</definedName>
    <definedName name="j_71">#REF!</definedName>
    <definedName name="j_72" localSheetId="0">#REF!</definedName>
    <definedName name="j_72">#REF!</definedName>
    <definedName name="j_73" localSheetId="0">#REF!</definedName>
    <definedName name="j_73">#REF!</definedName>
    <definedName name="j_74" localSheetId="0">#REF!</definedName>
    <definedName name="j_74">#REF!</definedName>
    <definedName name="j_75" localSheetId="0">#REF!</definedName>
    <definedName name="j_75">#REF!</definedName>
    <definedName name="j_76" localSheetId="0">#REF!</definedName>
    <definedName name="j_76">#REF!</definedName>
    <definedName name="j_77" localSheetId="0">#REF!</definedName>
    <definedName name="j_77">#REF!</definedName>
    <definedName name="j_78" localSheetId="0">#REF!</definedName>
    <definedName name="j_78">#REF!</definedName>
    <definedName name="j_79" localSheetId="0">#REF!</definedName>
    <definedName name="j_79">#REF!</definedName>
    <definedName name="j_8" localSheetId="0">#REF!</definedName>
    <definedName name="j_8">#REF!</definedName>
    <definedName name="j_80" localSheetId="0">#REF!</definedName>
    <definedName name="j_80">#REF!</definedName>
    <definedName name="j_81" localSheetId="0">#REF!</definedName>
    <definedName name="j_81">#REF!</definedName>
    <definedName name="j_82" localSheetId="0">#REF!</definedName>
    <definedName name="j_82">#REF!</definedName>
    <definedName name="j_83" localSheetId="0">#REF!</definedName>
    <definedName name="j_83">#REF!</definedName>
    <definedName name="j_84" localSheetId="0">#REF!</definedName>
    <definedName name="j_84">#REF!</definedName>
    <definedName name="j_85" localSheetId="0">#REF!</definedName>
    <definedName name="j_85">#REF!</definedName>
    <definedName name="j_86" localSheetId="0">#REF!</definedName>
    <definedName name="j_86">#REF!</definedName>
    <definedName name="j_87" localSheetId="0">#REF!</definedName>
    <definedName name="j_87">#REF!</definedName>
    <definedName name="j_88" localSheetId="0">#REF!</definedName>
    <definedName name="j_88">#REF!</definedName>
    <definedName name="j_89" localSheetId="0">#REF!</definedName>
    <definedName name="j_89">#REF!</definedName>
    <definedName name="j_9" localSheetId="0">#REF!</definedName>
    <definedName name="j_9">#REF!</definedName>
    <definedName name="j_90" localSheetId="0">#REF!</definedName>
    <definedName name="j_90">#REF!</definedName>
    <definedName name="j_91" localSheetId="0">#REF!</definedName>
    <definedName name="j_91">#REF!</definedName>
    <definedName name="j_92" localSheetId="0">#REF!</definedName>
    <definedName name="j_92">#REF!</definedName>
    <definedName name="j_93" localSheetId="0">#REF!</definedName>
    <definedName name="j_93">#REF!</definedName>
    <definedName name="j_94" localSheetId="0">#REF!</definedName>
    <definedName name="j_94">#REF!</definedName>
    <definedName name="j_95" localSheetId="0">#REF!</definedName>
    <definedName name="j_95">#REF!</definedName>
    <definedName name="j_96" localSheetId="0">#REF!</definedName>
    <definedName name="j_96">#REF!</definedName>
    <definedName name="j_97" localSheetId="0">#REF!</definedName>
    <definedName name="j_97">#REF!</definedName>
    <definedName name="j_98" localSheetId="0">#REF!</definedName>
    <definedName name="j_98">#REF!</definedName>
    <definedName name="j_99" localSheetId="0">#REF!</definedName>
    <definedName name="j_99">#REF!</definedName>
    <definedName name="jfty" hidden="1">#N/A</definedName>
    <definedName name="jyd" hidden="1">#N/A</definedName>
    <definedName name="jydtj" hidden="1">#N/A</definedName>
    <definedName name="kinji" hidden="1">#N/A</definedName>
    <definedName name="kkdtyukd" hidden="1">#N/A</definedName>
    <definedName name="lfylf" hidden="1">#N/A</definedName>
    <definedName name="LSC" hidden="1">#REF!</definedName>
    <definedName name="lulitgi" hidden="1">#N/A</definedName>
    <definedName name="muroi" hidden="1">#N/A</definedName>
    <definedName name="nsrns" hidden="1">#N/A</definedName>
    <definedName name="_xlnm.Print_Area" localSheetId="0">#REF!</definedName>
    <definedName name="_xlnm.Print_Area">#REF!</definedName>
    <definedName name="_xlnm.Print_Titles" localSheetId="0">#REF!,#REF!</definedName>
    <definedName name="_xlnm.Print_Titles">#REF!,#REF!</definedName>
    <definedName name="qweqwqeweq" localSheetId="9" hidden="1">{0}</definedName>
    <definedName name="qweqwqeweq" hidden="1">{0}</definedName>
    <definedName name="rdhrd" hidden="1">#N/A</definedName>
    <definedName name="rhsrt" hidden="1">#N/A</definedName>
    <definedName name="rthshsthn" hidden="1">#N/A</definedName>
    <definedName name="serhsthn" hidden="1">#N/A</definedName>
    <definedName name="sh" hidden="1">#N/A</definedName>
    <definedName name="shsjsyj" hidden="1">#N/A</definedName>
    <definedName name="shsths" hidden="1">#N/A</definedName>
    <definedName name="srhsh" hidden="1">#N/A</definedName>
    <definedName name="srthsht" hidden="1">#N/A</definedName>
    <definedName name="srthsn" hidden="1">#N/A</definedName>
    <definedName name="sss" hidden="1">#N/A</definedName>
    <definedName name="sths" hidden="1">#N/A</definedName>
    <definedName name="sthshstn" hidden="1">#N/A</definedName>
    <definedName name="sthsht" hidden="1">#N/A</definedName>
    <definedName name="sthsjs" hidden="1">#N/A</definedName>
    <definedName name="sthsth" hidden="1">#N/A</definedName>
    <definedName name="sthsths" hidden="1">#N/A</definedName>
    <definedName name="tex" localSheetId="9" hidden="1">{"'2EEEポートRev.3'!$A$1:$Q$181"}</definedName>
    <definedName name="tex" hidden="1">{"'2EEEポートRev.3'!$A$1:$Q$181"}</definedName>
    <definedName name="trdh" hidden="1">#N/A</definedName>
    <definedName name="tyjtdjj" hidden="1">#N/A</definedName>
    <definedName name="ukfkd" hidden="1">#N/A</definedName>
    <definedName name="wrn.インジェクタドライバ仕様案." localSheetId="9" hidden="1">{#N/A,#N/A,FALSE,"絶対最大定格";#N/A,#N/A,FALSE,"動作範囲";#N/A,#N/A,FALSE,"電気的特性";#N/A,#N/A,FALSE,"使用負荷特性";#N/A,#N/A,FALSE,"仕様概略"}</definedName>
    <definedName name="wrn.インジェクタドライバ仕様案." hidden="1">{#N/A,#N/A,FALSE,"絶対最大定格";#N/A,#N/A,FALSE,"動作範囲";#N/A,#N/A,FALSE,"電気的特性";#N/A,#N/A,FALSE,"使用負荷特性";#N/A,#N/A,FALSE,"仕様概略"}</definedName>
    <definedName name="ydjdyjdjd" hidden="1">#N/A</definedName>
    <definedName name="yjdykdn" hidden="1">#N/A</definedName>
    <definedName name="ykdy" hidden="1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98" i="51" l="1"/>
  <c r="AG98" i="51"/>
  <c r="Y98" i="51"/>
  <c r="AT98" i="51" s="1"/>
  <c r="Q98" i="51"/>
  <c r="AO96" i="51"/>
  <c r="AG96" i="51"/>
  <c r="Y96" i="51"/>
  <c r="Q96" i="51"/>
  <c r="AS96" i="51" s="1"/>
  <c r="AO94" i="51"/>
  <c r="AG94" i="51"/>
  <c r="Y94" i="51"/>
  <c r="Q94" i="51"/>
  <c r="AR94" i="51" s="1"/>
  <c r="AQ92" i="51"/>
  <c r="AO92" i="51"/>
  <c r="AG92" i="51"/>
  <c r="Y92" i="51"/>
  <c r="Q92" i="51"/>
  <c r="AO90" i="51"/>
  <c r="AN89" i="51"/>
  <c r="AN90" i="51" s="1"/>
  <c r="AO87" i="51"/>
  <c r="AG87" i="51"/>
  <c r="Y87" i="51"/>
  <c r="Q87" i="51"/>
  <c r="AT87" i="51" s="1"/>
  <c r="AO85" i="51"/>
  <c r="AG85" i="51"/>
  <c r="Y85" i="51"/>
  <c r="Q85" i="51"/>
  <c r="AS85" i="51" s="1"/>
  <c r="AO83" i="51"/>
  <c r="AG83" i="51"/>
  <c r="AR83" i="51" s="1"/>
  <c r="Y83" i="51"/>
  <c r="Q83" i="51"/>
  <c r="AQ81" i="51"/>
  <c r="AO81" i="51"/>
  <c r="AG81" i="51"/>
  <c r="Y81" i="51"/>
  <c r="Q81" i="51"/>
  <c r="AO79" i="51"/>
  <c r="AN79" i="51"/>
  <c r="AN78" i="51"/>
  <c r="AM78" i="51"/>
  <c r="AM79" i="51" s="1"/>
  <c r="AO76" i="51"/>
  <c r="AG76" i="51"/>
  <c r="Y76" i="51"/>
  <c r="Q76" i="51"/>
  <c r="AT76" i="51" s="1"/>
  <c r="AO74" i="51"/>
  <c r="AG74" i="51"/>
  <c r="Y74" i="51"/>
  <c r="Q74" i="51"/>
  <c r="AS74" i="51" s="1"/>
  <c r="AO72" i="51"/>
  <c r="AG72" i="51"/>
  <c r="Y72" i="51"/>
  <c r="AR72" i="51" s="1"/>
  <c r="Q72" i="51"/>
  <c r="AO70" i="51"/>
  <c r="AG70" i="51"/>
  <c r="Y70" i="51"/>
  <c r="Q70" i="51"/>
  <c r="AQ70" i="51" s="1"/>
  <c r="AO68" i="51"/>
  <c r="AN68" i="51"/>
  <c r="AM68" i="51"/>
  <c r="AL68" i="51"/>
  <c r="AK68" i="51"/>
  <c r="AJ68" i="51"/>
  <c r="AN67" i="51"/>
  <c r="AM67" i="51"/>
  <c r="AL67" i="51"/>
  <c r="AK67" i="51"/>
  <c r="AJ67" i="51"/>
  <c r="AI67" i="51"/>
  <c r="AI68" i="51" s="1"/>
  <c r="AO65" i="51"/>
  <c r="AG65" i="51"/>
  <c r="Y65" i="51"/>
  <c r="Q65" i="51"/>
  <c r="AT65" i="51" s="1"/>
  <c r="AO63" i="51"/>
  <c r="AS63" i="51" s="1"/>
  <c r="AG63" i="51"/>
  <c r="Y63" i="51"/>
  <c r="Q63" i="51"/>
  <c r="AO61" i="51"/>
  <c r="AG61" i="51"/>
  <c r="Y61" i="51"/>
  <c r="Q61" i="51"/>
  <c r="AR61" i="51" s="1"/>
  <c r="AO59" i="51"/>
  <c r="AG59" i="51"/>
  <c r="Y59" i="51"/>
  <c r="Q59" i="51"/>
  <c r="AQ59" i="51" s="1"/>
  <c r="AO57" i="51"/>
  <c r="AN57" i="51"/>
  <c r="AM57" i="51"/>
  <c r="AN56" i="51"/>
  <c r="AM56" i="51"/>
  <c r="AL56" i="51"/>
  <c r="AL57" i="51" s="1"/>
  <c r="AO54" i="51"/>
  <c r="AG54" i="51"/>
  <c r="Y54" i="51"/>
  <c r="AT54" i="51" s="1"/>
  <c r="Q54" i="51"/>
  <c r="AO52" i="51"/>
  <c r="AG52" i="51"/>
  <c r="AS52" i="51" s="1"/>
  <c r="Y52" i="51"/>
  <c r="Q52" i="51"/>
  <c r="AO50" i="51"/>
  <c r="AG50" i="51"/>
  <c r="Y50" i="51"/>
  <c r="Q50" i="51"/>
  <c r="AR50" i="51" s="1"/>
  <c r="AO48" i="51"/>
  <c r="AG48" i="51"/>
  <c r="Y48" i="51"/>
  <c r="Q48" i="51"/>
  <c r="AQ48" i="51" s="1"/>
  <c r="AO46" i="51"/>
  <c r="AN46" i="51"/>
  <c r="AM46" i="51"/>
  <c r="AN45" i="51"/>
  <c r="AM45" i="51"/>
  <c r="AL45" i="51"/>
  <c r="AL46" i="51" s="1"/>
  <c r="AT43" i="51"/>
  <c r="AO43" i="51"/>
  <c r="AG43" i="51"/>
  <c r="Y43" i="51"/>
  <c r="Q43" i="51"/>
  <c r="AO41" i="51"/>
  <c r="AG41" i="51"/>
  <c r="Y41" i="51"/>
  <c r="Q41" i="51"/>
  <c r="AS41" i="51" s="1"/>
  <c r="AO39" i="51"/>
  <c r="AG39" i="51"/>
  <c r="Y39" i="51"/>
  <c r="Q39" i="51"/>
  <c r="AR39" i="51" s="1"/>
  <c r="AO37" i="51"/>
  <c r="AQ37" i="51" s="1"/>
  <c r="AG37" i="51"/>
  <c r="Y37" i="51"/>
  <c r="Q37" i="51"/>
  <c r="AO35" i="51"/>
  <c r="AN34" i="51"/>
  <c r="AN35" i="51" s="1"/>
  <c r="AT32" i="51"/>
  <c r="AO32" i="51"/>
  <c r="AG32" i="51"/>
  <c r="Y32" i="51"/>
  <c r="Q32" i="51"/>
  <c r="AO30" i="51"/>
  <c r="AG30" i="51"/>
  <c r="Y30" i="51"/>
  <c r="Q30" i="51"/>
  <c r="AS30" i="51" s="1"/>
  <c r="AO28" i="51"/>
  <c r="AG28" i="51"/>
  <c r="Y28" i="51"/>
  <c r="AR28" i="51" s="1"/>
  <c r="Q28" i="51"/>
  <c r="AO26" i="51"/>
  <c r="AG26" i="51"/>
  <c r="AQ26" i="51" s="1"/>
  <c r="Y26" i="51"/>
  <c r="Q26" i="51"/>
  <c r="AO24" i="51"/>
  <c r="AN24" i="51"/>
  <c r="AM24" i="51"/>
  <c r="AN23" i="51"/>
  <c r="AM23" i="51"/>
  <c r="AL23" i="51"/>
  <c r="AL24" i="51" s="1"/>
  <c r="AO21" i="51"/>
  <c r="AG21" i="51"/>
  <c r="Y21" i="51"/>
  <c r="Q21" i="51"/>
  <c r="AT21" i="51" s="1"/>
  <c r="AO19" i="51"/>
  <c r="AG19" i="51"/>
  <c r="Y19" i="51"/>
  <c r="Q19" i="51"/>
  <c r="AS19" i="51" s="1"/>
  <c r="AR17" i="51"/>
  <c r="AO17" i="51"/>
  <c r="AG17" i="51"/>
  <c r="Y17" i="51"/>
  <c r="Q17" i="51"/>
  <c r="AO15" i="51"/>
  <c r="AG15" i="51"/>
  <c r="Y15" i="51"/>
  <c r="Q15" i="51"/>
  <c r="AQ15" i="51" s="1"/>
  <c r="AO13" i="51"/>
  <c r="AN12" i="51"/>
  <c r="AN13" i="51" s="1"/>
  <c r="AO9" i="51"/>
  <c r="AQ9" i="51" s="1"/>
  <c r="AG9" i="51"/>
  <c r="Y9" i="51"/>
  <c r="Q9" i="51"/>
  <c r="AO7" i="51"/>
  <c r="AG7" i="51"/>
  <c r="AQ7" i="51" s="1"/>
  <c r="AA3" i="51"/>
  <c r="AB3" i="51" s="1"/>
  <c r="AC3" i="51" s="1"/>
  <c r="AD3" i="51" s="1"/>
  <c r="AE3" i="51" s="1"/>
  <c r="AF3" i="51" s="1"/>
  <c r="AG3" i="51" s="1"/>
  <c r="AH3" i="51" s="1"/>
  <c r="AI3" i="51" s="1"/>
  <c r="AJ3" i="51" s="1"/>
  <c r="AK3" i="51" s="1"/>
  <c r="AL3" i="51" s="1"/>
  <c r="AM3" i="51" s="1"/>
  <c r="AN3" i="51" s="1"/>
  <c r="AO3" i="51" s="1"/>
  <c r="K3" i="51"/>
  <c r="L3" i="51" s="1"/>
  <c r="M3" i="51" s="1"/>
  <c r="N3" i="51" s="1"/>
  <c r="O3" i="51" s="1"/>
  <c r="P3" i="51" s="1"/>
  <c r="Q3" i="51" s="1"/>
  <c r="R3" i="51" s="1"/>
  <c r="S3" i="51" s="1"/>
  <c r="T3" i="51" s="1"/>
  <c r="U3" i="51" s="1"/>
  <c r="V3" i="51" s="1"/>
  <c r="W3" i="51" s="1"/>
  <c r="X3" i="51" s="1"/>
  <c r="Y3" i="51" s="1"/>
  <c r="AO98" i="50"/>
  <c r="AG98" i="50"/>
  <c r="Y98" i="50"/>
  <c r="Q98" i="50"/>
  <c r="AT98" i="50" s="1"/>
  <c r="AO96" i="50"/>
  <c r="AG96" i="50"/>
  <c r="Y96" i="50"/>
  <c r="Q96" i="50"/>
  <c r="AS96" i="50" s="1"/>
  <c r="AO94" i="50"/>
  <c r="AG94" i="50"/>
  <c r="Y94" i="50"/>
  <c r="Q94" i="50"/>
  <c r="AR94" i="50" s="1"/>
  <c r="AQ92" i="50"/>
  <c r="AO92" i="50"/>
  <c r="AG92" i="50"/>
  <c r="Y92" i="50"/>
  <c r="Q92" i="50"/>
  <c r="AO90" i="50"/>
  <c r="AN90" i="50"/>
  <c r="AM90" i="50"/>
  <c r="AN89" i="50"/>
  <c r="AM89" i="50"/>
  <c r="AL89" i="50"/>
  <c r="AL90" i="50" s="1"/>
  <c r="AK89" i="50"/>
  <c r="AK90" i="50" s="1"/>
  <c r="AJ89" i="50"/>
  <c r="AJ90" i="50" s="1"/>
  <c r="AI89" i="50"/>
  <c r="AI90" i="50" s="1"/>
  <c r="AH89" i="50"/>
  <c r="AH90" i="50" s="1"/>
  <c r="AO87" i="50"/>
  <c r="AG87" i="50"/>
  <c r="Y87" i="50"/>
  <c r="Q87" i="50"/>
  <c r="AT87" i="50" s="1"/>
  <c r="AO85" i="50"/>
  <c r="AG85" i="50"/>
  <c r="Y85" i="50"/>
  <c r="Q85" i="50"/>
  <c r="AS85" i="50" s="1"/>
  <c r="AO83" i="50"/>
  <c r="AG83" i="50"/>
  <c r="AR83" i="50" s="1"/>
  <c r="Y83" i="50"/>
  <c r="Q83" i="50"/>
  <c r="AO81" i="50"/>
  <c r="AG81" i="50"/>
  <c r="Y81" i="50"/>
  <c r="Q81" i="50"/>
  <c r="AQ81" i="50" s="1"/>
  <c r="AO79" i="50"/>
  <c r="AN78" i="50"/>
  <c r="AN79" i="50" s="1"/>
  <c r="AM78" i="50"/>
  <c r="AM79" i="50" s="1"/>
  <c r="AL78" i="50"/>
  <c r="AL79" i="50" s="1"/>
  <c r="AK78" i="50"/>
  <c r="AK79" i="50" s="1"/>
  <c r="AJ78" i="50"/>
  <c r="AJ79" i="50" s="1"/>
  <c r="AI78" i="50"/>
  <c r="AI79" i="50" s="1"/>
  <c r="AH78" i="50"/>
  <c r="AH79" i="50" s="1"/>
  <c r="AG78" i="50"/>
  <c r="AG79" i="50" s="1"/>
  <c r="AO76" i="50"/>
  <c r="AG76" i="50"/>
  <c r="Y76" i="50"/>
  <c r="Q76" i="50"/>
  <c r="AT76" i="50" s="1"/>
  <c r="AO74" i="50"/>
  <c r="AG74" i="50"/>
  <c r="Y74" i="50"/>
  <c r="AS74" i="50" s="1"/>
  <c r="Q74" i="50"/>
  <c r="AO72" i="50"/>
  <c r="AG72" i="50"/>
  <c r="Y72" i="50"/>
  <c r="Q72" i="50"/>
  <c r="AR72" i="50" s="1"/>
  <c r="AO70" i="50"/>
  <c r="AG70" i="50"/>
  <c r="Y70" i="50"/>
  <c r="Q70" i="50"/>
  <c r="AQ70" i="50" s="1"/>
  <c r="AO68" i="50"/>
  <c r="AN67" i="50"/>
  <c r="AN68" i="50" s="1"/>
  <c r="AO65" i="50"/>
  <c r="AG65" i="50"/>
  <c r="Y65" i="50"/>
  <c r="Q65" i="50"/>
  <c r="AT65" i="50" s="1"/>
  <c r="AO63" i="50"/>
  <c r="AS63" i="50" s="1"/>
  <c r="AG63" i="50"/>
  <c r="Y63" i="50"/>
  <c r="Q63" i="50"/>
  <c r="AO61" i="50"/>
  <c r="AG61" i="50"/>
  <c r="Y61" i="50"/>
  <c r="Q61" i="50"/>
  <c r="AO59" i="50"/>
  <c r="AQ59" i="50" s="1"/>
  <c r="AG59" i="50"/>
  <c r="Y59" i="50"/>
  <c r="Q59" i="50"/>
  <c r="AO57" i="50"/>
  <c r="AN56" i="50"/>
  <c r="AN57" i="50" s="1"/>
  <c r="AM56" i="50"/>
  <c r="AM57" i="50" s="1"/>
  <c r="AL56" i="50"/>
  <c r="AO54" i="50"/>
  <c r="AG54" i="50"/>
  <c r="Y54" i="50"/>
  <c r="AT54" i="50" s="1"/>
  <c r="Q54" i="50"/>
  <c r="AO52" i="50"/>
  <c r="AG52" i="50"/>
  <c r="Y52" i="50"/>
  <c r="Q52" i="50"/>
  <c r="AS52" i="50" s="1"/>
  <c r="AO50" i="50"/>
  <c r="AG50" i="50"/>
  <c r="Y50" i="50"/>
  <c r="Q50" i="50"/>
  <c r="AR50" i="50" s="1"/>
  <c r="AO48" i="50"/>
  <c r="AG48" i="50"/>
  <c r="Y48" i="50"/>
  <c r="Q48" i="50"/>
  <c r="AQ48" i="50" s="1"/>
  <c r="AO46" i="50"/>
  <c r="AN46" i="50"/>
  <c r="AN45" i="50"/>
  <c r="AM45" i="50"/>
  <c r="AM46" i="50" s="1"/>
  <c r="AT43" i="50"/>
  <c r="AO43" i="50"/>
  <c r="AG43" i="50"/>
  <c r="Y43" i="50"/>
  <c r="Q43" i="50"/>
  <c r="AO41" i="50"/>
  <c r="AG41" i="50"/>
  <c r="Y41" i="50"/>
  <c r="Q41" i="50"/>
  <c r="AO39" i="50"/>
  <c r="AG39" i="50"/>
  <c r="Y39" i="50"/>
  <c r="Q39" i="50"/>
  <c r="AR39" i="50" s="1"/>
  <c r="AO37" i="50"/>
  <c r="AQ37" i="50" s="1"/>
  <c r="AG37" i="50"/>
  <c r="Y37" i="50"/>
  <c r="Q37" i="50"/>
  <c r="AO35" i="50"/>
  <c r="AN35" i="50"/>
  <c r="AM35" i="50"/>
  <c r="AL35" i="50"/>
  <c r="AK35" i="50"/>
  <c r="AN34" i="50"/>
  <c r="AM34" i="50"/>
  <c r="AL34" i="50"/>
  <c r="AK34" i="50"/>
  <c r="AJ34" i="50"/>
  <c r="AJ35" i="50" s="1"/>
  <c r="AI34" i="50"/>
  <c r="AI35" i="50" s="1"/>
  <c r="AH34" i="50"/>
  <c r="AH35" i="50" s="1"/>
  <c r="AG34" i="50"/>
  <c r="AG35" i="50" s="1"/>
  <c r="AF34" i="50"/>
  <c r="AF35" i="50" s="1"/>
  <c r="AE34" i="50"/>
  <c r="AE35" i="50" s="1"/>
  <c r="AD34" i="50"/>
  <c r="AD35" i="50" s="1"/>
  <c r="AC34" i="50"/>
  <c r="AC35" i="50" s="1"/>
  <c r="AB34" i="50"/>
  <c r="AO32" i="50"/>
  <c r="AG32" i="50"/>
  <c r="Y32" i="50"/>
  <c r="Q32" i="50"/>
  <c r="AT32" i="50" s="1"/>
  <c r="AO30" i="50"/>
  <c r="AG30" i="50"/>
  <c r="AS30" i="50" s="1"/>
  <c r="Y30" i="50"/>
  <c r="Q30" i="50"/>
  <c r="AO28" i="50"/>
  <c r="AG28" i="50"/>
  <c r="Y28" i="50"/>
  <c r="AR28" i="50" s="1"/>
  <c r="Q28" i="50"/>
  <c r="AO26" i="50"/>
  <c r="AG26" i="50"/>
  <c r="Y26" i="50"/>
  <c r="Q26" i="50"/>
  <c r="AQ26" i="50" s="1"/>
  <c r="AO24" i="50"/>
  <c r="AN23" i="50"/>
  <c r="AM23" i="50" s="1"/>
  <c r="AL23" i="50" s="1"/>
  <c r="AK23" i="50" s="1"/>
  <c r="AJ23" i="50" s="1"/>
  <c r="AO21" i="50"/>
  <c r="AG21" i="50"/>
  <c r="Y21" i="50"/>
  <c r="Q21" i="50"/>
  <c r="AT21" i="50" s="1"/>
  <c r="AO19" i="50"/>
  <c r="AG19" i="50"/>
  <c r="Y19" i="50"/>
  <c r="Q19" i="50"/>
  <c r="AS19" i="50" s="1"/>
  <c r="AR17" i="50"/>
  <c r="AO17" i="50"/>
  <c r="AG17" i="50"/>
  <c r="Y17" i="50"/>
  <c r="Q17" i="50"/>
  <c r="AO15" i="50"/>
  <c r="AG15" i="50"/>
  <c r="Y15" i="50"/>
  <c r="Q15" i="50"/>
  <c r="AQ15" i="50" s="1"/>
  <c r="AO13" i="50"/>
  <c r="AN12" i="50"/>
  <c r="AN13" i="50" s="1"/>
  <c r="AM12" i="50"/>
  <c r="AM13" i="50" s="1"/>
  <c r="AL12" i="50"/>
  <c r="AL13" i="50" s="1"/>
  <c r="AK12" i="50"/>
  <c r="AJ12" i="50" s="1"/>
  <c r="AI12" i="50" s="1"/>
  <c r="AH12" i="50" s="1"/>
  <c r="AO9" i="50"/>
  <c r="AG9" i="50"/>
  <c r="AQ9" i="50" s="1"/>
  <c r="Y9" i="50"/>
  <c r="Q9" i="50"/>
  <c r="AO7" i="50"/>
  <c r="AG7" i="50"/>
  <c r="AQ7" i="50" s="1"/>
  <c r="AD3" i="50"/>
  <c r="AE3" i="50" s="1"/>
  <c r="AF3" i="50" s="1"/>
  <c r="AG3" i="50" s="1"/>
  <c r="AH3" i="50" s="1"/>
  <c r="AI3" i="50" s="1"/>
  <c r="AJ3" i="50" s="1"/>
  <c r="AK3" i="50" s="1"/>
  <c r="AL3" i="50" s="1"/>
  <c r="AM3" i="50" s="1"/>
  <c r="AN3" i="50" s="1"/>
  <c r="AO3" i="50" s="1"/>
  <c r="AB3" i="50"/>
  <c r="AC3" i="50" s="1"/>
  <c r="AA3" i="50"/>
  <c r="K3" i="50"/>
  <c r="L3" i="50" s="1"/>
  <c r="M3" i="50" s="1"/>
  <c r="N3" i="50" s="1"/>
  <c r="O3" i="50" s="1"/>
  <c r="P3" i="50" s="1"/>
  <c r="Q3" i="50" s="1"/>
  <c r="R3" i="50" s="1"/>
  <c r="S3" i="50" s="1"/>
  <c r="T3" i="50" s="1"/>
  <c r="U3" i="50" s="1"/>
  <c r="V3" i="50" s="1"/>
  <c r="W3" i="50" s="1"/>
  <c r="X3" i="50" s="1"/>
  <c r="Y3" i="50" s="1"/>
  <c r="AM12" i="51" l="1"/>
  <c r="AK23" i="51"/>
  <c r="AL78" i="51"/>
  <c r="AM89" i="51"/>
  <c r="AM34" i="51"/>
  <c r="AK45" i="51"/>
  <c r="AK56" i="51"/>
  <c r="AH67" i="51"/>
  <c r="AH13" i="50"/>
  <c r="AG12" i="50"/>
  <c r="AI13" i="50"/>
  <c r="AJ13" i="50"/>
  <c r="AK24" i="50"/>
  <c r="AK13" i="50"/>
  <c r="AL24" i="50"/>
  <c r="AR61" i="50"/>
  <c r="AF78" i="50"/>
  <c r="AB35" i="50"/>
  <c r="AA34" i="50"/>
  <c r="AJ24" i="50"/>
  <c r="AI23" i="50"/>
  <c r="AM24" i="50"/>
  <c r="AN24" i="50"/>
  <c r="AM67" i="50"/>
  <c r="AG89" i="50"/>
  <c r="AL57" i="50"/>
  <c r="AK56" i="50"/>
  <c r="AS41" i="50"/>
  <c r="AL45" i="50"/>
  <c r="AK57" i="51" l="1"/>
  <c r="AJ56" i="51"/>
  <c r="AK46" i="51"/>
  <c r="AJ45" i="51"/>
  <c r="AM35" i="51"/>
  <c r="AL34" i="51"/>
  <c r="AM90" i="51"/>
  <c r="AL89" i="51"/>
  <c r="AL79" i="51"/>
  <c r="AK78" i="51"/>
  <c r="AK24" i="51"/>
  <c r="AJ23" i="51"/>
  <c r="AH68" i="51"/>
  <c r="AG67" i="51"/>
  <c r="AL12" i="51"/>
  <c r="AM13" i="51"/>
  <c r="AA35" i="50"/>
  <c r="Z34" i="50"/>
  <c r="AL67" i="50"/>
  <c r="AM68" i="50"/>
  <c r="AL46" i="50"/>
  <c r="AK45" i="50"/>
  <c r="AI24" i="50"/>
  <c r="AH23" i="50"/>
  <c r="AK57" i="50"/>
  <c r="AJ56" i="50"/>
  <c r="AF79" i="50"/>
  <c r="AE78" i="50"/>
  <c r="AG13" i="50"/>
  <c r="AF12" i="50"/>
  <c r="AF89" i="50"/>
  <c r="AG90" i="50"/>
  <c r="AJ78" i="51" l="1"/>
  <c r="AK79" i="51"/>
  <c r="AL90" i="51"/>
  <c r="AK89" i="51"/>
  <c r="AK12" i="51"/>
  <c r="AL13" i="51"/>
  <c r="AF67" i="51"/>
  <c r="AG68" i="51"/>
  <c r="AI23" i="51"/>
  <c r="AJ24" i="51"/>
  <c r="AL35" i="51"/>
  <c r="AK34" i="51"/>
  <c r="AJ46" i="51"/>
  <c r="AI45" i="51"/>
  <c r="AJ57" i="51"/>
  <c r="AI56" i="51"/>
  <c r="AE89" i="50"/>
  <c r="AF90" i="50"/>
  <c r="AF13" i="50"/>
  <c r="AE12" i="50"/>
  <c r="AE79" i="50"/>
  <c r="AD78" i="50"/>
  <c r="AJ57" i="50"/>
  <c r="AI56" i="50"/>
  <c r="AG23" i="50"/>
  <c r="AH24" i="50"/>
  <c r="AK46" i="50"/>
  <c r="AJ45" i="50"/>
  <c r="AK67" i="50"/>
  <c r="AL68" i="50"/>
  <c r="Z35" i="50"/>
  <c r="Y34" i="50"/>
  <c r="AI57" i="51" l="1"/>
  <c r="AH56" i="51"/>
  <c r="AK35" i="51"/>
  <c r="AJ34" i="51"/>
  <c r="AH23" i="51"/>
  <c r="AI24" i="51"/>
  <c r="AF68" i="51"/>
  <c r="AE67" i="51"/>
  <c r="AK13" i="51"/>
  <c r="AJ12" i="51"/>
  <c r="AJ89" i="51"/>
  <c r="AK90" i="51"/>
  <c r="AI46" i="51"/>
  <c r="AH45" i="51"/>
  <c r="AI78" i="51"/>
  <c r="AJ79" i="51"/>
  <c r="X34" i="50"/>
  <c r="Y35" i="50"/>
  <c r="AJ46" i="50"/>
  <c r="AI45" i="50"/>
  <c r="AF23" i="50"/>
  <c r="AG24" i="50"/>
  <c r="AD79" i="50"/>
  <c r="AC78" i="50"/>
  <c r="AJ67" i="50"/>
  <c r="AK68" i="50"/>
  <c r="AI57" i="50"/>
  <c r="AH56" i="50"/>
  <c r="AE13" i="50"/>
  <c r="AD12" i="50"/>
  <c r="AD89" i="50"/>
  <c r="AE90" i="50"/>
  <c r="AJ90" i="51" l="1"/>
  <c r="AI89" i="51"/>
  <c r="AE68" i="51"/>
  <c r="AD67" i="51"/>
  <c r="AI79" i="51"/>
  <c r="AH78" i="51"/>
  <c r="AH46" i="51"/>
  <c r="AG45" i="51"/>
  <c r="AI12" i="51"/>
  <c r="AJ13" i="51"/>
  <c r="AH24" i="51"/>
  <c r="AG23" i="51"/>
  <c r="AJ35" i="51"/>
  <c r="AI34" i="51"/>
  <c r="AH57" i="51"/>
  <c r="AG56" i="51"/>
  <c r="AC89" i="50"/>
  <c r="AD90" i="50"/>
  <c r="AD13" i="50"/>
  <c r="AC12" i="50"/>
  <c r="AB78" i="50"/>
  <c r="AC79" i="50"/>
  <c r="AH57" i="50"/>
  <c r="AG56" i="50"/>
  <c r="AI67" i="50"/>
  <c r="AJ68" i="50"/>
  <c r="AF24" i="50"/>
  <c r="AE23" i="50"/>
  <c r="AH45" i="50"/>
  <c r="AI46" i="50"/>
  <c r="X35" i="50"/>
  <c r="W34" i="50"/>
  <c r="AG57" i="51" l="1"/>
  <c r="AF56" i="51"/>
  <c r="AI35" i="51"/>
  <c r="AH34" i="51"/>
  <c r="AG24" i="51"/>
  <c r="AF23" i="51"/>
  <c r="AF45" i="51"/>
  <c r="AG46" i="51"/>
  <c r="AI90" i="51"/>
  <c r="AH89" i="51"/>
  <c r="AH12" i="51"/>
  <c r="AI13" i="51"/>
  <c r="AG78" i="51"/>
  <c r="AH79" i="51"/>
  <c r="AD68" i="51"/>
  <c r="AC67" i="51"/>
  <c r="W35" i="50"/>
  <c r="V34" i="50"/>
  <c r="AE24" i="50"/>
  <c r="AD23" i="50"/>
  <c r="AB79" i="50"/>
  <c r="AA78" i="50"/>
  <c r="AH46" i="50"/>
  <c r="AG45" i="50"/>
  <c r="AI68" i="50"/>
  <c r="AH67" i="50"/>
  <c r="AG57" i="50"/>
  <c r="AF56" i="50"/>
  <c r="AB12" i="50"/>
  <c r="AC13" i="50"/>
  <c r="AC90" i="50"/>
  <c r="AB89" i="50"/>
  <c r="AC68" i="51" l="1"/>
  <c r="AB67" i="51"/>
  <c r="AF78" i="51"/>
  <c r="AG79" i="51"/>
  <c r="AH13" i="51"/>
  <c r="AG12" i="51"/>
  <c r="AG89" i="51"/>
  <c r="AH90" i="51"/>
  <c r="AF46" i="51"/>
  <c r="AE45" i="51"/>
  <c r="AE23" i="51"/>
  <c r="AF24" i="51"/>
  <c r="AH35" i="51"/>
  <c r="AG34" i="51"/>
  <c r="AF57" i="51"/>
  <c r="AE56" i="51"/>
  <c r="AG46" i="50"/>
  <c r="AF45" i="50"/>
  <c r="AF57" i="50"/>
  <c r="AE56" i="50"/>
  <c r="AH68" i="50"/>
  <c r="AG67" i="50"/>
  <c r="V35" i="50"/>
  <c r="U34" i="50"/>
  <c r="AB90" i="50"/>
  <c r="AA89" i="50"/>
  <c r="AA12" i="50"/>
  <c r="AB13" i="50"/>
  <c r="Z78" i="50"/>
  <c r="AA79" i="50"/>
  <c r="AD24" i="50"/>
  <c r="AC23" i="50"/>
  <c r="AG35" i="51" l="1"/>
  <c r="AF34" i="51"/>
  <c r="AE46" i="51"/>
  <c r="AD45" i="51"/>
  <c r="AE57" i="51"/>
  <c r="AD56" i="51"/>
  <c r="AE24" i="51"/>
  <c r="AD23" i="51"/>
  <c r="AG90" i="51"/>
  <c r="AF89" i="51"/>
  <c r="AG13" i="51"/>
  <c r="AF12" i="51"/>
  <c r="AF79" i="51"/>
  <c r="AE78" i="51"/>
  <c r="AB68" i="51"/>
  <c r="AA67" i="51"/>
  <c r="T34" i="50"/>
  <c r="U35" i="50"/>
  <c r="AG68" i="50"/>
  <c r="AF67" i="50"/>
  <c r="AE57" i="50"/>
  <c r="AD56" i="50"/>
  <c r="AF46" i="50"/>
  <c r="AE45" i="50"/>
  <c r="AC24" i="50"/>
  <c r="AB23" i="50"/>
  <c r="Z79" i="50"/>
  <c r="Y78" i="50"/>
  <c r="Z12" i="50"/>
  <c r="AA13" i="50"/>
  <c r="AA90" i="50"/>
  <c r="Z89" i="50"/>
  <c r="AF13" i="51" l="1"/>
  <c r="AE12" i="51"/>
  <c r="AF90" i="51"/>
  <c r="AE89" i="51"/>
  <c r="AC56" i="51"/>
  <c r="AD57" i="51"/>
  <c r="AE79" i="51"/>
  <c r="AD78" i="51"/>
  <c r="AD24" i="51"/>
  <c r="AC23" i="51"/>
  <c r="AA68" i="51"/>
  <c r="Z67" i="51"/>
  <c r="AC45" i="51"/>
  <c r="AD46" i="51"/>
  <c r="AE34" i="51"/>
  <c r="AF35" i="51"/>
  <c r="Z13" i="50"/>
  <c r="Y12" i="50"/>
  <c r="Y79" i="50"/>
  <c r="X78" i="50"/>
  <c r="AB24" i="50"/>
  <c r="AA23" i="50"/>
  <c r="AD45" i="50"/>
  <c r="AE46" i="50"/>
  <c r="AF68" i="50"/>
  <c r="AE67" i="50"/>
  <c r="Z90" i="50"/>
  <c r="Y89" i="50"/>
  <c r="AD57" i="50"/>
  <c r="AC56" i="50"/>
  <c r="S34" i="50"/>
  <c r="T35" i="50"/>
  <c r="Z68" i="51" l="1"/>
  <c r="Y67" i="51"/>
  <c r="AC24" i="51"/>
  <c r="AB23" i="51"/>
  <c r="AC57" i="51"/>
  <c r="AB56" i="51"/>
  <c r="AD34" i="51"/>
  <c r="AE35" i="51"/>
  <c r="AD79" i="51"/>
  <c r="AC78" i="51"/>
  <c r="AD89" i="51"/>
  <c r="AE90" i="51"/>
  <c r="AC46" i="51"/>
  <c r="AB45" i="51"/>
  <c r="AE13" i="51"/>
  <c r="AD12" i="51"/>
  <c r="AC57" i="50"/>
  <c r="AB56" i="50"/>
  <c r="X89" i="50"/>
  <c r="Y90" i="50"/>
  <c r="AE68" i="50"/>
  <c r="AD67" i="50"/>
  <c r="AA24" i="50"/>
  <c r="Z23" i="50"/>
  <c r="AD46" i="50"/>
  <c r="AC45" i="50"/>
  <c r="X79" i="50"/>
  <c r="W78" i="50"/>
  <c r="Y13" i="50"/>
  <c r="X12" i="50"/>
  <c r="R34" i="50"/>
  <c r="S35" i="50"/>
  <c r="AD13" i="51" l="1"/>
  <c r="AC12" i="51"/>
  <c r="AC89" i="51"/>
  <c r="AD90" i="51"/>
  <c r="AC79" i="51"/>
  <c r="AB78" i="51"/>
  <c r="AB57" i="51"/>
  <c r="AA56" i="51"/>
  <c r="AD35" i="51"/>
  <c r="AC34" i="51"/>
  <c r="AB24" i="51"/>
  <c r="AA23" i="51"/>
  <c r="AA45" i="51"/>
  <c r="AB46" i="51"/>
  <c r="Y68" i="51"/>
  <c r="X67" i="51"/>
  <c r="AC46" i="50"/>
  <c r="AB45" i="50"/>
  <c r="AC67" i="50"/>
  <c r="AD68" i="50"/>
  <c r="W12" i="50"/>
  <c r="X13" i="50"/>
  <c r="V78" i="50"/>
  <c r="W79" i="50"/>
  <c r="Y23" i="50"/>
  <c r="Z24" i="50"/>
  <c r="W89" i="50"/>
  <c r="X90" i="50"/>
  <c r="AB57" i="50"/>
  <c r="AA56" i="50"/>
  <c r="Q34" i="50"/>
  <c r="R35" i="50"/>
  <c r="AA57" i="51" l="1"/>
  <c r="Z56" i="51"/>
  <c r="X68" i="51"/>
  <c r="W67" i="51"/>
  <c r="AC90" i="51"/>
  <c r="AB89" i="51"/>
  <c r="Z45" i="51"/>
  <c r="AA46" i="51"/>
  <c r="AC13" i="51"/>
  <c r="AB12" i="51"/>
  <c r="AA24" i="51"/>
  <c r="Z23" i="51"/>
  <c r="AB34" i="51"/>
  <c r="AC35" i="51"/>
  <c r="AB79" i="51"/>
  <c r="AA78" i="51"/>
  <c r="V89" i="50"/>
  <c r="W90" i="50"/>
  <c r="Z56" i="50"/>
  <c r="AA57" i="50"/>
  <c r="P34" i="50"/>
  <c r="Q35" i="50"/>
  <c r="AB67" i="50"/>
  <c r="AC68" i="50"/>
  <c r="AB46" i="50"/>
  <c r="AA45" i="50"/>
  <c r="Y24" i="50"/>
  <c r="X23" i="50"/>
  <c r="U78" i="50"/>
  <c r="V79" i="50"/>
  <c r="W13" i="50"/>
  <c r="V12" i="50"/>
  <c r="AB13" i="51" l="1"/>
  <c r="AA12" i="51"/>
  <c r="Z46" i="51"/>
  <c r="Y45" i="51"/>
  <c r="AB90" i="51"/>
  <c r="AA89" i="51"/>
  <c r="W68" i="51"/>
  <c r="V67" i="51"/>
  <c r="AA79" i="51"/>
  <c r="Z78" i="51"/>
  <c r="AB35" i="51"/>
  <c r="AA34" i="51"/>
  <c r="Y56" i="51"/>
  <c r="Z57" i="51"/>
  <c r="Z24" i="51"/>
  <c r="Y23" i="51"/>
  <c r="T78" i="50"/>
  <c r="U79" i="50"/>
  <c r="X24" i="50"/>
  <c r="W23" i="50"/>
  <c r="V13" i="50"/>
  <c r="U12" i="50"/>
  <c r="O34" i="50"/>
  <c r="P35" i="50"/>
  <c r="AA46" i="50"/>
  <c r="Z45" i="50"/>
  <c r="AB68" i="50"/>
  <c r="AA67" i="50"/>
  <c r="Y56" i="50"/>
  <c r="Z57" i="50"/>
  <c r="U89" i="50"/>
  <c r="V90" i="50"/>
  <c r="Y24" i="51" l="1"/>
  <c r="X23" i="51"/>
  <c r="Y57" i="51"/>
  <c r="X56" i="51"/>
  <c r="AA35" i="51"/>
  <c r="Z34" i="51"/>
  <c r="U67" i="51"/>
  <c r="V68" i="51"/>
  <c r="AA13" i="51"/>
  <c r="Z12" i="51"/>
  <c r="Z79" i="51"/>
  <c r="Y78" i="51"/>
  <c r="AA90" i="51"/>
  <c r="Z89" i="51"/>
  <c r="Y46" i="51"/>
  <c r="X45" i="51"/>
  <c r="X56" i="50"/>
  <c r="Y57" i="50"/>
  <c r="U90" i="50"/>
  <c r="T89" i="50"/>
  <c r="AA68" i="50"/>
  <c r="Z67" i="50"/>
  <c r="Z46" i="50"/>
  <c r="Y45" i="50"/>
  <c r="N34" i="50"/>
  <c r="O35" i="50"/>
  <c r="U13" i="50"/>
  <c r="T12" i="50"/>
  <c r="W24" i="50"/>
  <c r="V23" i="50"/>
  <c r="S78" i="50"/>
  <c r="T79" i="50"/>
  <c r="X46" i="51" l="1"/>
  <c r="W45" i="51"/>
  <c r="Z90" i="51"/>
  <c r="Y89" i="51"/>
  <c r="Y79" i="51"/>
  <c r="X78" i="51"/>
  <c r="Y12" i="51"/>
  <c r="Z13" i="51"/>
  <c r="U68" i="51"/>
  <c r="T67" i="51"/>
  <c r="Z35" i="51"/>
  <c r="Y34" i="51"/>
  <c r="X57" i="51"/>
  <c r="W56" i="51"/>
  <c r="X24" i="51"/>
  <c r="W23" i="51"/>
  <c r="N35" i="50"/>
  <c r="M34" i="50"/>
  <c r="S79" i="50"/>
  <c r="R78" i="50"/>
  <c r="V24" i="50"/>
  <c r="U23" i="50"/>
  <c r="T13" i="50"/>
  <c r="S12" i="50"/>
  <c r="Y67" i="50"/>
  <c r="Z68" i="50"/>
  <c r="Y46" i="50"/>
  <c r="X45" i="50"/>
  <c r="T90" i="50"/>
  <c r="S89" i="50"/>
  <c r="W56" i="50"/>
  <c r="X57" i="50"/>
  <c r="V23" i="51" l="1"/>
  <c r="W24" i="51"/>
  <c r="W57" i="51"/>
  <c r="V56" i="51"/>
  <c r="Y13" i="51"/>
  <c r="X12" i="51"/>
  <c r="W78" i="51"/>
  <c r="X79" i="51"/>
  <c r="W46" i="51"/>
  <c r="V45" i="51"/>
  <c r="Y35" i="51"/>
  <c r="X34" i="51"/>
  <c r="T68" i="51"/>
  <c r="S67" i="51"/>
  <c r="Y90" i="51"/>
  <c r="X89" i="51"/>
  <c r="R89" i="50"/>
  <c r="S90" i="50"/>
  <c r="X46" i="50"/>
  <c r="W45" i="50"/>
  <c r="Y68" i="50"/>
  <c r="X67" i="50"/>
  <c r="S13" i="50"/>
  <c r="R12" i="50"/>
  <c r="U24" i="50"/>
  <c r="T23" i="50"/>
  <c r="R79" i="50"/>
  <c r="Q78" i="50"/>
  <c r="M35" i="50"/>
  <c r="L34" i="50"/>
  <c r="V56" i="50"/>
  <c r="W57" i="50"/>
  <c r="S68" i="51" l="1"/>
  <c r="R67" i="51"/>
  <c r="X90" i="51"/>
  <c r="W89" i="51"/>
  <c r="X13" i="51"/>
  <c r="W12" i="51"/>
  <c r="X35" i="51"/>
  <c r="W34" i="51"/>
  <c r="V46" i="51"/>
  <c r="U45" i="51"/>
  <c r="W79" i="51"/>
  <c r="V78" i="51"/>
  <c r="V57" i="51"/>
  <c r="U56" i="51"/>
  <c r="V24" i="51"/>
  <c r="U23" i="51"/>
  <c r="V57" i="50"/>
  <c r="U56" i="50"/>
  <c r="L35" i="50"/>
  <c r="K34" i="50"/>
  <c r="P78" i="50"/>
  <c r="Q79" i="50"/>
  <c r="R13" i="50"/>
  <c r="Q12" i="50"/>
  <c r="S23" i="50"/>
  <c r="T24" i="50"/>
  <c r="W46" i="50"/>
  <c r="V45" i="50"/>
  <c r="X68" i="50"/>
  <c r="W67" i="50"/>
  <c r="Q89" i="50"/>
  <c r="R90" i="50"/>
  <c r="V79" i="51" l="1"/>
  <c r="U78" i="51"/>
  <c r="U46" i="51"/>
  <c r="T45" i="51"/>
  <c r="R68" i="51"/>
  <c r="Q67" i="51"/>
  <c r="U24" i="51"/>
  <c r="T23" i="51"/>
  <c r="U57" i="51"/>
  <c r="T56" i="51"/>
  <c r="W35" i="51"/>
  <c r="V34" i="51"/>
  <c r="V12" i="51"/>
  <c r="W13" i="51"/>
  <c r="W90" i="51"/>
  <c r="V89" i="51"/>
  <c r="Q90" i="50"/>
  <c r="P89" i="50"/>
  <c r="W68" i="50"/>
  <c r="V67" i="50"/>
  <c r="V46" i="50"/>
  <c r="U45" i="50"/>
  <c r="K35" i="50"/>
  <c r="J34" i="50"/>
  <c r="J35" i="50" s="1"/>
  <c r="U57" i="50"/>
  <c r="T56" i="50"/>
  <c r="S24" i="50"/>
  <c r="R23" i="50"/>
  <c r="P12" i="50"/>
  <c r="Q13" i="50"/>
  <c r="P79" i="50"/>
  <c r="O78" i="50"/>
  <c r="V90" i="51" l="1"/>
  <c r="U89" i="51"/>
  <c r="V13" i="51"/>
  <c r="U12" i="51"/>
  <c r="V35" i="51"/>
  <c r="U34" i="51"/>
  <c r="T57" i="51"/>
  <c r="S56" i="51"/>
  <c r="T24" i="51"/>
  <c r="S23" i="51"/>
  <c r="Q68" i="51"/>
  <c r="P67" i="51"/>
  <c r="T46" i="51"/>
  <c r="S45" i="51"/>
  <c r="T78" i="51"/>
  <c r="U79" i="51"/>
  <c r="T57" i="50"/>
  <c r="S56" i="50"/>
  <c r="P13" i="50"/>
  <c r="O12" i="50"/>
  <c r="U46" i="50"/>
  <c r="T45" i="50"/>
  <c r="V68" i="50"/>
  <c r="U67" i="50"/>
  <c r="P90" i="50"/>
  <c r="O89" i="50"/>
  <c r="O79" i="50"/>
  <c r="N78" i="50"/>
  <c r="Q23" i="50"/>
  <c r="R24" i="50"/>
  <c r="T79" i="51" l="1"/>
  <c r="S78" i="51"/>
  <c r="S46" i="51"/>
  <c r="R45" i="51"/>
  <c r="P68" i="51"/>
  <c r="O67" i="51"/>
  <c r="R23" i="51"/>
  <c r="S24" i="51"/>
  <c r="S57" i="51"/>
  <c r="R56" i="51"/>
  <c r="U35" i="51"/>
  <c r="T34" i="51"/>
  <c r="U13" i="51"/>
  <c r="T12" i="51"/>
  <c r="T89" i="51"/>
  <c r="U90" i="51"/>
  <c r="U68" i="50"/>
  <c r="T67" i="50"/>
  <c r="S57" i="50"/>
  <c r="R56" i="50"/>
  <c r="P23" i="50"/>
  <c r="Q24" i="50"/>
  <c r="N79" i="50"/>
  <c r="M78" i="50"/>
  <c r="O90" i="50"/>
  <c r="N89" i="50"/>
  <c r="T46" i="50"/>
  <c r="S45" i="50"/>
  <c r="O13" i="50"/>
  <c r="N12" i="50"/>
  <c r="R57" i="51" l="1"/>
  <c r="Q56" i="51"/>
  <c r="O68" i="51"/>
  <c r="N67" i="51"/>
  <c r="T90" i="51"/>
  <c r="S89" i="51"/>
  <c r="S12" i="51"/>
  <c r="T13" i="51"/>
  <c r="T35" i="51"/>
  <c r="S34" i="51"/>
  <c r="R24" i="51"/>
  <c r="Q23" i="51"/>
  <c r="R46" i="51"/>
  <c r="Q45" i="51"/>
  <c r="S79" i="51"/>
  <c r="R78" i="51"/>
  <c r="N90" i="50"/>
  <c r="M89" i="50"/>
  <c r="R57" i="50"/>
  <c r="Q56" i="50"/>
  <c r="T68" i="50"/>
  <c r="S67" i="50"/>
  <c r="N13" i="50"/>
  <c r="M12" i="50"/>
  <c r="S46" i="50"/>
  <c r="R45" i="50"/>
  <c r="M79" i="50"/>
  <c r="L78" i="50"/>
  <c r="O23" i="50"/>
  <c r="P24" i="50"/>
  <c r="Q78" i="51" l="1"/>
  <c r="R79" i="51"/>
  <c r="P45" i="51"/>
  <c r="Q46" i="51"/>
  <c r="Q24" i="51"/>
  <c r="P23" i="51"/>
  <c r="S35" i="51"/>
  <c r="R34" i="51"/>
  <c r="S13" i="51"/>
  <c r="R12" i="51"/>
  <c r="S90" i="51"/>
  <c r="R89" i="51"/>
  <c r="N68" i="51"/>
  <c r="M67" i="51"/>
  <c r="Q57" i="51"/>
  <c r="P56" i="51"/>
  <c r="M13" i="50"/>
  <c r="L12" i="50"/>
  <c r="S68" i="50"/>
  <c r="R67" i="50"/>
  <c r="O24" i="50"/>
  <c r="N23" i="50"/>
  <c r="L79" i="50"/>
  <c r="K78" i="50"/>
  <c r="M90" i="50"/>
  <c r="L89" i="50"/>
  <c r="Q45" i="50"/>
  <c r="R46" i="50"/>
  <c r="P56" i="50"/>
  <c r="Q57" i="50"/>
  <c r="P57" i="51" l="1"/>
  <c r="O56" i="51"/>
  <c r="R90" i="51"/>
  <c r="Q89" i="51"/>
  <c r="R35" i="51"/>
  <c r="Q34" i="51"/>
  <c r="M68" i="51"/>
  <c r="L67" i="51"/>
  <c r="R13" i="51"/>
  <c r="Q12" i="51"/>
  <c r="P24" i="51"/>
  <c r="O23" i="51"/>
  <c r="P46" i="51"/>
  <c r="O45" i="51"/>
  <c r="P78" i="51"/>
  <c r="Q79" i="51"/>
  <c r="P57" i="50"/>
  <c r="O56" i="50"/>
  <c r="P45" i="50"/>
  <c r="Q46" i="50"/>
  <c r="L90" i="50"/>
  <c r="K89" i="50"/>
  <c r="R68" i="50"/>
  <c r="Q67" i="50"/>
  <c r="L13" i="50"/>
  <c r="K12" i="50"/>
  <c r="K79" i="50"/>
  <c r="J78" i="50"/>
  <c r="J79" i="50" s="1"/>
  <c r="N24" i="50"/>
  <c r="M23" i="50"/>
  <c r="O24" i="51" l="1"/>
  <c r="N23" i="51"/>
  <c r="L68" i="51"/>
  <c r="K67" i="51"/>
  <c r="O57" i="51"/>
  <c r="N56" i="51"/>
  <c r="P79" i="51"/>
  <c r="O78" i="51"/>
  <c r="O46" i="51"/>
  <c r="N45" i="51"/>
  <c r="Q13" i="51"/>
  <c r="P12" i="51"/>
  <c r="Q35" i="51"/>
  <c r="P34" i="51"/>
  <c r="Q90" i="51"/>
  <c r="P89" i="51"/>
  <c r="K90" i="50"/>
  <c r="J89" i="50"/>
  <c r="J90" i="50" s="1"/>
  <c r="O45" i="50"/>
  <c r="P46" i="50"/>
  <c r="M24" i="50"/>
  <c r="L23" i="50"/>
  <c r="J12" i="50"/>
  <c r="J13" i="50" s="1"/>
  <c r="K13" i="50"/>
  <c r="O57" i="50"/>
  <c r="N56" i="50"/>
  <c r="Q68" i="50"/>
  <c r="P67" i="50"/>
  <c r="O12" i="51" l="1"/>
  <c r="P13" i="51"/>
  <c r="O79" i="51"/>
  <c r="N78" i="51"/>
  <c r="P90" i="51"/>
  <c r="O89" i="51"/>
  <c r="O34" i="51"/>
  <c r="P35" i="51"/>
  <c r="N46" i="51"/>
  <c r="M45" i="51"/>
  <c r="M56" i="51"/>
  <c r="N57" i="51"/>
  <c r="K68" i="51"/>
  <c r="J67" i="51"/>
  <c r="J68" i="51" s="1"/>
  <c r="N24" i="51"/>
  <c r="M23" i="51"/>
  <c r="N45" i="50"/>
  <c r="O46" i="50"/>
  <c r="P68" i="50"/>
  <c r="O67" i="50"/>
  <c r="M56" i="50"/>
  <c r="N57" i="50"/>
  <c r="L24" i="50"/>
  <c r="K23" i="50"/>
  <c r="M57" i="51" l="1"/>
  <c r="L56" i="51"/>
  <c r="M24" i="51"/>
  <c r="L23" i="51"/>
  <c r="L45" i="51"/>
  <c r="M46" i="51"/>
  <c r="N34" i="51"/>
  <c r="O35" i="51"/>
  <c r="N89" i="51"/>
  <c r="O90" i="51"/>
  <c r="M78" i="51"/>
  <c r="N79" i="51"/>
  <c r="O13" i="51"/>
  <c r="N12" i="51"/>
  <c r="J23" i="50"/>
  <c r="J24" i="50" s="1"/>
  <c r="K24" i="50"/>
  <c r="M57" i="50"/>
  <c r="L56" i="50"/>
  <c r="O68" i="50"/>
  <c r="N67" i="50"/>
  <c r="M45" i="50"/>
  <c r="N46" i="50"/>
  <c r="N13" i="51" l="1"/>
  <c r="M12" i="51"/>
  <c r="M79" i="51"/>
  <c r="L78" i="51"/>
  <c r="N90" i="51"/>
  <c r="M89" i="51"/>
  <c r="N35" i="51"/>
  <c r="M34" i="51"/>
  <c r="K45" i="51"/>
  <c r="L46" i="51"/>
  <c r="L24" i="51"/>
  <c r="K23" i="51"/>
  <c r="L57" i="51"/>
  <c r="K56" i="51"/>
  <c r="M67" i="50"/>
  <c r="N68" i="50"/>
  <c r="L57" i="50"/>
  <c r="K56" i="50"/>
  <c r="L45" i="50"/>
  <c r="M46" i="50"/>
  <c r="K57" i="51" l="1"/>
  <c r="J56" i="51"/>
  <c r="J57" i="51" s="1"/>
  <c r="M35" i="51"/>
  <c r="L34" i="51"/>
  <c r="K24" i="51"/>
  <c r="J23" i="51"/>
  <c r="J24" i="51" s="1"/>
  <c r="J45" i="51"/>
  <c r="J46" i="51" s="1"/>
  <c r="K46" i="51"/>
  <c r="M90" i="51"/>
  <c r="L89" i="51"/>
  <c r="L79" i="51"/>
  <c r="K78" i="51"/>
  <c r="M13" i="51"/>
  <c r="L12" i="51"/>
  <c r="L46" i="50"/>
  <c r="K45" i="50"/>
  <c r="K57" i="50"/>
  <c r="J56" i="50"/>
  <c r="J57" i="50" s="1"/>
  <c r="M68" i="50"/>
  <c r="L67" i="50"/>
  <c r="L13" i="51" l="1"/>
  <c r="K12" i="51"/>
  <c r="K79" i="51"/>
  <c r="J78" i="51"/>
  <c r="J79" i="51" s="1"/>
  <c r="L90" i="51"/>
  <c r="K89" i="51"/>
  <c r="L35" i="51"/>
  <c r="K34" i="51"/>
  <c r="L68" i="50"/>
  <c r="K67" i="50"/>
  <c r="K46" i="50"/>
  <c r="J45" i="50"/>
  <c r="J46" i="50" s="1"/>
  <c r="K90" i="51" l="1"/>
  <c r="J89" i="51"/>
  <c r="J90" i="51" s="1"/>
  <c r="K35" i="51"/>
  <c r="J34" i="51"/>
  <c r="J35" i="51" s="1"/>
  <c r="K13" i="51"/>
  <c r="J12" i="51"/>
  <c r="J13" i="51" s="1"/>
  <c r="J67" i="50"/>
  <c r="J68" i="50" s="1"/>
  <c r="K68" i="50"/>
  <c r="B279" i="30" l="1"/>
  <c r="B275" i="30"/>
  <c r="AN279" i="41"/>
  <c r="AN280" i="41"/>
  <c r="AN281" i="41"/>
  <c r="AN282" i="41"/>
  <c r="AN283" i="41"/>
  <c r="AN284" i="41"/>
  <c r="AN285" i="41"/>
  <c r="AN286" i="41"/>
  <c r="AO267" i="47" l="1"/>
  <c r="AI267" i="47"/>
  <c r="AH267" i="47"/>
  <c r="J267" i="47"/>
  <c r="I267" i="47"/>
  <c r="H267" i="47"/>
  <c r="G267" i="47"/>
  <c r="F267" i="47"/>
  <c r="E267" i="47"/>
  <c r="D267" i="47"/>
  <c r="C267" i="47"/>
  <c r="B267" i="47"/>
  <c r="A267" i="47"/>
  <c r="AO266" i="47"/>
  <c r="AN266" i="47"/>
  <c r="AN267" i="47" s="1"/>
  <c r="AI266" i="47"/>
  <c r="AH266" i="47"/>
  <c r="J266" i="47"/>
  <c r="I266" i="47"/>
  <c r="H266" i="47"/>
  <c r="G266" i="47"/>
  <c r="F266" i="47"/>
  <c r="E266" i="47"/>
  <c r="D266" i="47"/>
  <c r="C266" i="47"/>
  <c r="B266" i="47"/>
  <c r="A266" i="47"/>
  <c r="AO265" i="47"/>
  <c r="AI265" i="47"/>
  <c r="AH265" i="47"/>
  <c r="J265" i="47"/>
  <c r="I265" i="47"/>
  <c r="H265" i="47"/>
  <c r="G265" i="47"/>
  <c r="F265" i="47"/>
  <c r="E265" i="47"/>
  <c r="D265" i="47"/>
  <c r="C265" i="47"/>
  <c r="B265" i="47"/>
  <c r="A265" i="47"/>
  <c r="AO264" i="47"/>
  <c r="AN264" i="47"/>
  <c r="AN265" i="47" s="1"/>
  <c r="AI264" i="47"/>
  <c r="AH264" i="47"/>
  <c r="J264" i="47"/>
  <c r="I264" i="47"/>
  <c r="H264" i="47"/>
  <c r="G264" i="47"/>
  <c r="F264" i="47"/>
  <c r="E264" i="47"/>
  <c r="D264" i="47"/>
  <c r="C264" i="47"/>
  <c r="B264" i="47"/>
  <c r="A264" i="47"/>
  <c r="J263" i="47"/>
  <c r="I263" i="47"/>
  <c r="H263" i="47"/>
  <c r="G263" i="47"/>
  <c r="F263" i="47"/>
  <c r="E263" i="47"/>
  <c r="D263" i="47"/>
  <c r="C263" i="47"/>
  <c r="B263" i="47"/>
  <c r="A263" i="47"/>
  <c r="J262" i="47"/>
  <c r="I262" i="47"/>
  <c r="H262" i="47"/>
  <c r="G262" i="47"/>
  <c r="F262" i="47"/>
  <c r="E262" i="47"/>
  <c r="D262" i="47"/>
  <c r="C262" i="47"/>
  <c r="B262" i="47"/>
  <c r="A262" i="47"/>
  <c r="J261" i="47"/>
  <c r="I261" i="47"/>
  <c r="H261" i="47"/>
  <c r="G261" i="47"/>
  <c r="F261" i="47"/>
  <c r="E261" i="47"/>
  <c r="D261" i="47"/>
  <c r="C261" i="47"/>
  <c r="B261" i="47"/>
  <c r="A261" i="47"/>
  <c r="J260" i="47"/>
  <c r="I260" i="47"/>
  <c r="H260" i="47"/>
  <c r="G260" i="47"/>
  <c r="F260" i="47"/>
  <c r="E260" i="47"/>
  <c r="D260" i="47"/>
  <c r="C260" i="47"/>
  <c r="B260" i="47"/>
  <c r="A260" i="47"/>
  <c r="J259" i="47"/>
  <c r="I259" i="47"/>
  <c r="H259" i="47"/>
  <c r="G259" i="47"/>
  <c r="F259" i="47"/>
  <c r="E259" i="47"/>
  <c r="D259" i="47"/>
  <c r="C259" i="47"/>
  <c r="B259" i="47"/>
  <c r="A259" i="47"/>
  <c r="J258" i="47"/>
  <c r="I258" i="47"/>
  <c r="H258" i="47"/>
  <c r="G258" i="47"/>
  <c r="F258" i="47"/>
  <c r="E258" i="47"/>
  <c r="D258" i="47"/>
  <c r="C258" i="47"/>
  <c r="B258" i="47"/>
  <c r="A258" i="47"/>
  <c r="J257" i="47"/>
  <c r="I257" i="47"/>
  <c r="H257" i="47"/>
  <c r="G257" i="47"/>
  <c r="F257" i="47"/>
  <c r="E257" i="47"/>
  <c r="D257" i="47"/>
  <c r="C257" i="47"/>
  <c r="B257" i="47"/>
  <c r="A257" i="47"/>
  <c r="J256" i="47"/>
  <c r="I256" i="47"/>
  <c r="H256" i="47"/>
  <c r="G256" i="47"/>
  <c r="F256" i="47"/>
  <c r="E256" i="47"/>
  <c r="D256" i="47"/>
  <c r="C256" i="47"/>
  <c r="B256" i="47"/>
  <c r="A256" i="47"/>
  <c r="J255" i="47"/>
  <c r="I255" i="47"/>
  <c r="H255" i="47"/>
  <c r="G255" i="47"/>
  <c r="F255" i="47"/>
  <c r="E255" i="47"/>
  <c r="D255" i="47"/>
  <c r="C255" i="47"/>
  <c r="B255" i="47"/>
  <c r="A255" i="47"/>
  <c r="J254" i="47"/>
  <c r="I254" i="47"/>
  <c r="H254" i="47"/>
  <c r="G254" i="47"/>
  <c r="F254" i="47"/>
  <c r="E254" i="47"/>
  <c r="D254" i="47"/>
  <c r="C254" i="47"/>
  <c r="B254" i="47"/>
  <c r="A254" i="47"/>
  <c r="J253" i="47"/>
  <c r="I253" i="47"/>
  <c r="H253" i="47"/>
  <c r="G253" i="47"/>
  <c r="F253" i="47"/>
  <c r="E253" i="47"/>
  <c r="D253" i="47"/>
  <c r="C253" i="47"/>
  <c r="B253" i="47"/>
  <c r="A253" i="47"/>
  <c r="J252" i="47"/>
  <c r="I252" i="47"/>
  <c r="H252" i="47"/>
  <c r="G252" i="47"/>
  <c r="F252" i="47"/>
  <c r="E252" i="47"/>
  <c r="D252" i="47"/>
  <c r="C252" i="47"/>
  <c r="B252" i="47"/>
  <c r="A252" i="47"/>
  <c r="J251" i="47"/>
  <c r="I251" i="47"/>
  <c r="H251" i="47"/>
  <c r="G251" i="47"/>
  <c r="F251" i="47"/>
  <c r="E251" i="47"/>
  <c r="D251" i="47"/>
  <c r="C251" i="47"/>
  <c r="B251" i="47"/>
  <c r="A251" i="47"/>
  <c r="J250" i="47"/>
  <c r="I250" i="47"/>
  <c r="H250" i="47"/>
  <c r="G250" i="47"/>
  <c r="F250" i="47"/>
  <c r="E250" i="47"/>
  <c r="D250" i="47"/>
  <c r="C250" i="47"/>
  <c r="B250" i="47"/>
  <c r="A250" i="47"/>
  <c r="J249" i="47"/>
  <c r="I249" i="47"/>
  <c r="H249" i="47"/>
  <c r="G249" i="47"/>
  <c r="F249" i="47"/>
  <c r="E249" i="47"/>
  <c r="D249" i="47"/>
  <c r="C249" i="47"/>
  <c r="B249" i="47"/>
  <c r="A249" i="47"/>
  <c r="J248" i="47"/>
  <c r="I248" i="47"/>
  <c r="H248" i="47"/>
  <c r="G248" i="47"/>
  <c r="F248" i="47"/>
  <c r="E248" i="47"/>
  <c r="D248" i="47"/>
  <c r="C248" i="47"/>
  <c r="B248" i="47"/>
  <c r="A248" i="47"/>
  <c r="J247" i="47"/>
  <c r="I247" i="47"/>
  <c r="H247" i="47"/>
  <c r="G247" i="47"/>
  <c r="F247" i="47"/>
  <c r="E247" i="47"/>
  <c r="D247" i="47"/>
  <c r="C247" i="47"/>
  <c r="B247" i="47"/>
  <c r="A247" i="47"/>
  <c r="J246" i="47"/>
  <c r="I246" i="47"/>
  <c r="H246" i="47"/>
  <c r="G246" i="47"/>
  <c r="F246" i="47"/>
  <c r="E246" i="47"/>
  <c r="D246" i="47"/>
  <c r="C246" i="47"/>
  <c r="B246" i="47"/>
  <c r="A246" i="47"/>
  <c r="J245" i="47"/>
  <c r="I245" i="47"/>
  <c r="H245" i="47"/>
  <c r="G245" i="47"/>
  <c r="F245" i="47"/>
  <c r="E245" i="47"/>
  <c r="D245" i="47"/>
  <c r="C245" i="47"/>
  <c r="B245" i="47"/>
  <c r="A245" i="47"/>
  <c r="J244" i="47"/>
  <c r="I244" i="47"/>
  <c r="H244" i="47"/>
  <c r="G244" i="47"/>
  <c r="F244" i="47"/>
  <c r="E244" i="47"/>
  <c r="D244" i="47"/>
  <c r="C244" i="47"/>
  <c r="B244" i="47"/>
  <c r="A244" i="47"/>
  <c r="J243" i="47"/>
  <c r="I243" i="47"/>
  <c r="H243" i="47"/>
  <c r="G243" i="47"/>
  <c r="F243" i="47"/>
  <c r="E243" i="47"/>
  <c r="D243" i="47"/>
  <c r="C243" i="47"/>
  <c r="B243" i="47"/>
  <c r="A243" i="47"/>
  <c r="J242" i="47"/>
  <c r="I242" i="47"/>
  <c r="H242" i="47"/>
  <c r="G242" i="47"/>
  <c r="F242" i="47"/>
  <c r="E242" i="47"/>
  <c r="D242" i="47"/>
  <c r="C242" i="47"/>
  <c r="B242" i="47"/>
  <c r="A242" i="47"/>
  <c r="J241" i="47"/>
  <c r="I241" i="47"/>
  <c r="H241" i="47"/>
  <c r="G241" i="47"/>
  <c r="F241" i="47"/>
  <c r="E241" i="47"/>
  <c r="D241" i="47"/>
  <c r="C241" i="47"/>
  <c r="B241" i="47"/>
  <c r="A241" i="47"/>
  <c r="J240" i="47"/>
  <c r="I240" i="47"/>
  <c r="H240" i="47"/>
  <c r="G240" i="47"/>
  <c r="F240" i="47"/>
  <c r="E240" i="47"/>
  <c r="D240" i="47"/>
  <c r="C240" i="47"/>
  <c r="B240" i="47"/>
  <c r="A240" i="47"/>
  <c r="J239" i="47"/>
  <c r="I239" i="47"/>
  <c r="H239" i="47"/>
  <c r="G239" i="47"/>
  <c r="F239" i="47"/>
  <c r="E239" i="47"/>
  <c r="D239" i="47"/>
  <c r="C239" i="47"/>
  <c r="B239" i="47"/>
  <c r="A239" i="47"/>
  <c r="J238" i="47"/>
  <c r="I238" i="47"/>
  <c r="H238" i="47"/>
  <c r="G238" i="47"/>
  <c r="F238" i="47"/>
  <c r="E238" i="47"/>
  <c r="D238" i="47"/>
  <c r="C238" i="47"/>
  <c r="B238" i="47"/>
  <c r="A238" i="47"/>
  <c r="J237" i="47"/>
  <c r="I237" i="47"/>
  <c r="H237" i="47"/>
  <c r="G237" i="47"/>
  <c r="F237" i="47"/>
  <c r="E237" i="47"/>
  <c r="D237" i="47"/>
  <c r="C237" i="47"/>
  <c r="B237" i="47"/>
  <c r="A237" i="47"/>
  <c r="J236" i="47"/>
  <c r="I236" i="47"/>
  <c r="H236" i="47"/>
  <c r="G236" i="47"/>
  <c r="F236" i="47"/>
  <c r="E236" i="47"/>
  <c r="D236" i="47"/>
  <c r="C236" i="47"/>
  <c r="B236" i="47"/>
  <c r="A236" i="47"/>
  <c r="J235" i="47"/>
  <c r="I235" i="47"/>
  <c r="H235" i="47"/>
  <c r="G235" i="47"/>
  <c r="F235" i="47"/>
  <c r="E235" i="47"/>
  <c r="D235" i="47"/>
  <c r="C235" i="47"/>
  <c r="B235" i="47"/>
  <c r="A235" i="47"/>
  <c r="J234" i="47"/>
  <c r="I234" i="47"/>
  <c r="H234" i="47"/>
  <c r="G234" i="47"/>
  <c r="F234" i="47"/>
  <c r="E234" i="47"/>
  <c r="D234" i="47"/>
  <c r="C234" i="47"/>
  <c r="B234" i="47"/>
  <c r="A234" i="47"/>
  <c r="J233" i="47"/>
  <c r="I233" i="47"/>
  <c r="H233" i="47"/>
  <c r="G233" i="47"/>
  <c r="F233" i="47"/>
  <c r="E233" i="47"/>
  <c r="D233" i="47"/>
  <c r="C233" i="47"/>
  <c r="B233" i="47"/>
  <c r="A233" i="47"/>
  <c r="J232" i="47"/>
  <c r="I232" i="47"/>
  <c r="H232" i="47"/>
  <c r="G232" i="47"/>
  <c r="F232" i="47"/>
  <c r="E232" i="47"/>
  <c r="D232" i="47"/>
  <c r="C232" i="47"/>
  <c r="B232" i="47"/>
  <c r="A232" i="47"/>
  <c r="J231" i="47"/>
  <c r="I231" i="47"/>
  <c r="H231" i="47"/>
  <c r="G231" i="47"/>
  <c r="F231" i="47"/>
  <c r="E231" i="47"/>
  <c r="D231" i="47"/>
  <c r="C231" i="47"/>
  <c r="B231" i="47"/>
  <c r="A231" i="47"/>
  <c r="J230" i="47"/>
  <c r="I230" i="47"/>
  <c r="H230" i="47"/>
  <c r="G230" i="47"/>
  <c r="F230" i="47"/>
  <c r="E230" i="47"/>
  <c r="D230" i="47"/>
  <c r="C230" i="47"/>
  <c r="B230" i="47"/>
  <c r="A230" i="47"/>
  <c r="J229" i="47"/>
  <c r="I229" i="47"/>
  <c r="H229" i="47"/>
  <c r="G229" i="47"/>
  <c r="F229" i="47"/>
  <c r="E229" i="47"/>
  <c r="D229" i="47"/>
  <c r="C229" i="47"/>
  <c r="B229" i="47"/>
  <c r="A229" i="47"/>
  <c r="J228" i="47"/>
  <c r="I228" i="47"/>
  <c r="H228" i="47"/>
  <c r="G228" i="47"/>
  <c r="F228" i="47"/>
  <c r="E228" i="47"/>
  <c r="D228" i="47"/>
  <c r="C228" i="47"/>
  <c r="B228" i="47"/>
  <c r="A228" i="47"/>
  <c r="J227" i="47"/>
  <c r="I227" i="47"/>
  <c r="H227" i="47"/>
  <c r="G227" i="47"/>
  <c r="F227" i="47"/>
  <c r="E227" i="47"/>
  <c r="D227" i="47"/>
  <c r="C227" i="47"/>
  <c r="B227" i="47"/>
  <c r="A227" i="47"/>
  <c r="J226" i="47"/>
  <c r="I226" i="47"/>
  <c r="H226" i="47"/>
  <c r="G226" i="47"/>
  <c r="F226" i="47"/>
  <c r="E226" i="47"/>
  <c r="D226" i="47"/>
  <c r="C226" i="47"/>
  <c r="B226" i="47"/>
  <c r="A226" i="47"/>
  <c r="J225" i="47"/>
  <c r="I225" i="47"/>
  <c r="H225" i="47"/>
  <c r="G225" i="47"/>
  <c r="F225" i="47"/>
  <c r="E225" i="47"/>
  <c r="D225" i="47"/>
  <c r="C225" i="47"/>
  <c r="B225" i="47"/>
  <c r="A225" i="47"/>
  <c r="J224" i="47"/>
  <c r="I224" i="47"/>
  <c r="H224" i="47"/>
  <c r="G224" i="47"/>
  <c r="F224" i="47"/>
  <c r="E224" i="47"/>
  <c r="D224" i="47"/>
  <c r="C224" i="47"/>
  <c r="B224" i="47"/>
  <c r="A224" i="47"/>
  <c r="J223" i="47"/>
  <c r="I223" i="47"/>
  <c r="H223" i="47"/>
  <c r="G223" i="47"/>
  <c r="F223" i="47"/>
  <c r="E223" i="47"/>
  <c r="D223" i="47"/>
  <c r="C223" i="47"/>
  <c r="B223" i="47"/>
  <c r="A223" i="47"/>
  <c r="J222" i="47"/>
  <c r="I222" i="47"/>
  <c r="H222" i="47"/>
  <c r="G222" i="47"/>
  <c r="F222" i="47"/>
  <c r="E222" i="47"/>
  <c r="D222" i="47"/>
  <c r="C222" i="47"/>
  <c r="B222" i="47"/>
  <c r="A222" i="47"/>
  <c r="J221" i="47"/>
  <c r="I221" i="47"/>
  <c r="H221" i="47"/>
  <c r="G221" i="47"/>
  <c r="F221" i="47"/>
  <c r="E221" i="47"/>
  <c r="D221" i="47"/>
  <c r="C221" i="47"/>
  <c r="B221" i="47"/>
  <c r="A221" i="47"/>
  <c r="J220" i="47"/>
  <c r="I220" i="47"/>
  <c r="H220" i="47"/>
  <c r="G220" i="47"/>
  <c r="F220" i="47"/>
  <c r="E220" i="47"/>
  <c r="D220" i="47"/>
  <c r="C220" i="47"/>
  <c r="B220" i="47"/>
  <c r="A220" i="47"/>
  <c r="J219" i="47"/>
  <c r="I219" i="47"/>
  <c r="H219" i="47"/>
  <c r="G219" i="47"/>
  <c r="F219" i="47"/>
  <c r="E219" i="47"/>
  <c r="D219" i="47"/>
  <c r="C219" i="47"/>
  <c r="B219" i="47"/>
  <c r="A219" i="47"/>
  <c r="J218" i="47"/>
  <c r="I218" i="47"/>
  <c r="H218" i="47"/>
  <c r="G218" i="47"/>
  <c r="F218" i="47"/>
  <c r="E218" i="47"/>
  <c r="D218" i="47"/>
  <c r="C218" i="47"/>
  <c r="B218" i="47"/>
  <c r="A218" i="47"/>
  <c r="J217" i="47"/>
  <c r="I217" i="47"/>
  <c r="H217" i="47"/>
  <c r="G217" i="47"/>
  <c r="F217" i="47"/>
  <c r="E217" i="47"/>
  <c r="D217" i="47"/>
  <c r="C217" i="47"/>
  <c r="B217" i="47"/>
  <c r="A217" i="47"/>
  <c r="J216" i="47"/>
  <c r="I216" i="47"/>
  <c r="H216" i="47"/>
  <c r="G216" i="47"/>
  <c r="F216" i="47"/>
  <c r="E216" i="47"/>
  <c r="D216" i="47"/>
  <c r="C216" i="47"/>
  <c r="B216" i="47"/>
  <c r="A216" i="47"/>
  <c r="J215" i="47"/>
  <c r="I215" i="47"/>
  <c r="H215" i="47"/>
  <c r="G215" i="47"/>
  <c r="F215" i="47"/>
  <c r="E215" i="47"/>
  <c r="D215" i="47"/>
  <c r="C215" i="47"/>
  <c r="B215" i="47"/>
  <c r="A215" i="47"/>
  <c r="J214" i="47"/>
  <c r="I214" i="47"/>
  <c r="H214" i="47"/>
  <c r="G214" i="47"/>
  <c r="F214" i="47"/>
  <c r="E214" i="47"/>
  <c r="D214" i="47"/>
  <c r="C214" i="47"/>
  <c r="B214" i="47"/>
  <c r="A214" i="47"/>
  <c r="J213" i="47"/>
  <c r="I213" i="47"/>
  <c r="H213" i="47"/>
  <c r="G213" i="47"/>
  <c r="F213" i="47"/>
  <c r="E213" i="47"/>
  <c r="D213" i="47"/>
  <c r="C213" i="47"/>
  <c r="B213" i="47"/>
  <c r="A213" i="47"/>
  <c r="J212" i="47"/>
  <c r="I212" i="47"/>
  <c r="H212" i="47"/>
  <c r="G212" i="47"/>
  <c r="F212" i="47"/>
  <c r="E212" i="47"/>
  <c r="D212" i="47"/>
  <c r="C212" i="47"/>
  <c r="B212" i="47"/>
  <c r="A212" i="47"/>
  <c r="J211" i="47"/>
  <c r="I211" i="47"/>
  <c r="H211" i="47"/>
  <c r="G211" i="47"/>
  <c r="F211" i="47"/>
  <c r="E211" i="47"/>
  <c r="D211" i="47"/>
  <c r="C211" i="47"/>
  <c r="B211" i="47"/>
  <c r="A211" i="47"/>
  <c r="J210" i="47"/>
  <c r="I210" i="47"/>
  <c r="H210" i="47"/>
  <c r="G210" i="47"/>
  <c r="F210" i="47"/>
  <c r="E210" i="47"/>
  <c r="D210" i="47"/>
  <c r="C210" i="47"/>
  <c r="B210" i="47"/>
  <c r="A210" i="47"/>
  <c r="J209" i="47"/>
  <c r="I209" i="47"/>
  <c r="H209" i="47"/>
  <c r="G209" i="47"/>
  <c r="F209" i="47"/>
  <c r="E209" i="47"/>
  <c r="D209" i="47"/>
  <c r="C209" i="47"/>
  <c r="B209" i="47"/>
  <c r="A209" i="47"/>
  <c r="J208" i="47"/>
  <c r="I208" i="47"/>
  <c r="H208" i="47"/>
  <c r="G208" i="47"/>
  <c r="F208" i="47"/>
  <c r="E208" i="47"/>
  <c r="D208" i="47"/>
  <c r="C208" i="47"/>
  <c r="B208" i="47"/>
  <c r="A208" i="47"/>
  <c r="J207" i="47"/>
  <c r="I207" i="47"/>
  <c r="H207" i="47"/>
  <c r="G207" i="47"/>
  <c r="F207" i="47"/>
  <c r="E207" i="47"/>
  <c r="D207" i="47"/>
  <c r="C207" i="47"/>
  <c r="B207" i="47"/>
  <c r="A207" i="47"/>
  <c r="J206" i="47"/>
  <c r="I206" i="47"/>
  <c r="H206" i="47"/>
  <c r="G206" i="47"/>
  <c r="F206" i="47"/>
  <c r="E206" i="47"/>
  <c r="D206" i="47"/>
  <c r="C206" i="47"/>
  <c r="B206" i="47"/>
  <c r="A206" i="47"/>
  <c r="J205" i="47"/>
  <c r="I205" i="47"/>
  <c r="H205" i="47"/>
  <c r="G205" i="47"/>
  <c r="F205" i="47"/>
  <c r="E205" i="47"/>
  <c r="D205" i="47"/>
  <c r="C205" i="47"/>
  <c r="B205" i="47"/>
  <c r="A205" i="47"/>
  <c r="J204" i="47"/>
  <c r="I204" i="47"/>
  <c r="H204" i="47"/>
  <c r="G204" i="47"/>
  <c r="F204" i="47"/>
  <c r="E204" i="47"/>
  <c r="D204" i="47"/>
  <c r="C204" i="47"/>
  <c r="B204" i="47"/>
  <c r="A204" i="47"/>
  <c r="J203" i="47"/>
  <c r="I203" i="47"/>
  <c r="H203" i="47"/>
  <c r="G203" i="47"/>
  <c r="F203" i="47"/>
  <c r="E203" i="47"/>
  <c r="D203" i="47"/>
  <c r="C203" i="47"/>
  <c r="B203" i="47"/>
  <c r="A203" i="47"/>
  <c r="J202" i="47"/>
  <c r="I202" i="47"/>
  <c r="H202" i="47"/>
  <c r="G202" i="47"/>
  <c r="F202" i="47"/>
  <c r="E202" i="47"/>
  <c r="D202" i="47"/>
  <c r="C202" i="47"/>
  <c r="B202" i="47"/>
  <c r="A202" i="47"/>
  <c r="J201" i="47"/>
  <c r="I201" i="47"/>
  <c r="H201" i="47"/>
  <c r="G201" i="47"/>
  <c r="F201" i="47"/>
  <c r="E201" i="47"/>
  <c r="D201" i="47"/>
  <c r="C201" i="47"/>
  <c r="B201" i="47"/>
  <c r="A201" i="47"/>
  <c r="J200" i="47"/>
  <c r="I200" i="47"/>
  <c r="H200" i="47"/>
  <c r="G200" i="47"/>
  <c r="F200" i="47"/>
  <c r="E200" i="47"/>
  <c r="D200" i="47"/>
  <c r="C200" i="47"/>
  <c r="B200" i="47"/>
  <c r="A200" i="47"/>
  <c r="J199" i="47"/>
  <c r="I199" i="47"/>
  <c r="H199" i="47"/>
  <c r="G199" i="47"/>
  <c r="F199" i="47"/>
  <c r="E199" i="47"/>
  <c r="D199" i="47"/>
  <c r="C199" i="47"/>
  <c r="B199" i="47"/>
  <c r="A199" i="47"/>
  <c r="J198" i="47"/>
  <c r="I198" i="47"/>
  <c r="H198" i="47"/>
  <c r="G198" i="47"/>
  <c r="F198" i="47"/>
  <c r="E198" i="47"/>
  <c r="D198" i="47"/>
  <c r="C198" i="47"/>
  <c r="B198" i="47"/>
  <c r="A198" i="47"/>
  <c r="J197" i="47"/>
  <c r="I197" i="47"/>
  <c r="H197" i="47"/>
  <c r="G197" i="47"/>
  <c r="F197" i="47"/>
  <c r="E197" i="47"/>
  <c r="D197" i="47"/>
  <c r="C197" i="47"/>
  <c r="B197" i="47"/>
  <c r="A197" i="47"/>
  <c r="J196" i="47"/>
  <c r="I196" i="47"/>
  <c r="H196" i="47"/>
  <c r="G196" i="47"/>
  <c r="F196" i="47"/>
  <c r="E196" i="47"/>
  <c r="D196" i="47"/>
  <c r="C196" i="47"/>
  <c r="B196" i="47"/>
  <c r="A196" i="47"/>
  <c r="J195" i="47"/>
  <c r="I195" i="47"/>
  <c r="H195" i="47"/>
  <c r="G195" i="47"/>
  <c r="F195" i="47"/>
  <c r="E195" i="47"/>
  <c r="D195" i="47"/>
  <c r="C195" i="47"/>
  <c r="B195" i="47"/>
  <c r="A195" i="47"/>
  <c r="J194" i="47"/>
  <c r="I194" i="47"/>
  <c r="H194" i="47"/>
  <c r="G194" i="47"/>
  <c r="F194" i="47"/>
  <c r="E194" i="47"/>
  <c r="D194" i="47"/>
  <c r="C194" i="47"/>
  <c r="B194" i="47"/>
  <c r="A194" i="47"/>
  <c r="J193" i="47"/>
  <c r="I193" i="47"/>
  <c r="H193" i="47"/>
  <c r="G193" i="47"/>
  <c r="F193" i="47"/>
  <c r="E193" i="47"/>
  <c r="D193" i="47"/>
  <c r="C193" i="47"/>
  <c r="B193" i="47"/>
  <c r="A193" i="47"/>
  <c r="J192" i="47"/>
  <c r="I192" i="47"/>
  <c r="H192" i="47"/>
  <c r="G192" i="47"/>
  <c r="F192" i="47"/>
  <c r="E192" i="47"/>
  <c r="D192" i="47"/>
  <c r="C192" i="47"/>
  <c r="B192" i="47"/>
  <c r="A192" i="47"/>
  <c r="J191" i="47"/>
  <c r="I191" i="47"/>
  <c r="H191" i="47"/>
  <c r="G191" i="47"/>
  <c r="F191" i="47"/>
  <c r="E191" i="47"/>
  <c r="D191" i="47"/>
  <c r="C191" i="47"/>
  <c r="B191" i="47"/>
  <c r="A191" i="47"/>
  <c r="J190" i="47"/>
  <c r="I190" i="47"/>
  <c r="H190" i="47"/>
  <c r="G190" i="47"/>
  <c r="F190" i="47"/>
  <c r="E190" i="47"/>
  <c r="D190" i="47"/>
  <c r="C190" i="47"/>
  <c r="B190" i="47"/>
  <c r="A190" i="47"/>
  <c r="J189" i="47"/>
  <c r="I189" i="47"/>
  <c r="H189" i="47"/>
  <c r="G189" i="47"/>
  <c r="F189" i="47"/>
  <c r="E189" i="47"/>
  <c r="D189" i="47"/>
  <c r="C189" i="47"/>
  <c r="B189" i="47"/>
  <c r="A189" i="47"/>
  <c r="J188" i="47"/>
  <c r="I188" i="47"/>
  <c r="H188" i="47"/>
  <c r="G188" i="47"/>
  <c r="F188" i="47"/>
  <c r="E188" i="47"/>
  <c r="D188" i="47"/>
  <c r="C188" i="47"/>
  <c r="B188" i="47"/>
  <c r="A188" i="47"/>
  <c r="J187" i="47"/>
  <c r="I187" i="47"/>
  <c r="H187" i="47"/>
  <c r="G187" i="47"/>
  <c r="F187" i="47"/>
  <c r="E187" i="47"/>
  <c r="D187" i="47"/>
  <c r="C187" i="47"/>
  <c r="B187" i="47"/>
  <c r="A187" i="47"/>
  <c r="J186" i="47"/>
  <c r="I186" i="47"/>
  <c r="H186" i="47"/>
  <c r="G186" i="47"/>
  <c r="F186" i="47"/>
  <c r="E186" i="47"/>
  <c r="D186" i="47"/>
  <c r="C186" i="47"/>
  <c r="B186" i="47"/>
  <c r="A186" i="47"/>
  <c r="J185" i="47"/>
  <c r="I185" i="47"/>
  <c r="H185" i="47"/>
  <c r="G185" i="47"/>
  <c r="F185" i="47"/>
  <c r="E185" i="47"/>
  <c r="D185" i="47"/>
  <c r="C185" i="47"/>
  <c r="B185" i="47"/>
  <c r="A185" i="47"/>
  <c r="J184" i="47"/>
  <c r="I184" i="47"/>
  <c r="H184" i="47"/>
  <c r="G184" i="47"/>
  <c r="F184" i="47"/>
  <c r="E184" i="47"/>
  <c r="D184" i="47"/>
  <c r="C184" i="47"/>
  <c r="B184" i="47"/>
  <c r="A184" i="47"/>
  <c r="J183" i="47"/>
  <c r="I183" i="47"/>
  <c r="H183" i="47"/>
  <c r="G183" i="47"/>
  <c r="F183" i="47"/>
  <c r="E183" i="47"/>
  <c r="D183" i="47"/>
  <c r="C183" i="47"/>
  <c r="B183" i="47"/>
  <c r="A183" i="47"/>
  <c r="J182" i="47"/>
  <c r="I182" i="47"/>
  <c r="H182" i="47"/>
  <c r="G182" i="47"/>
  <c r="F182" i="47"/>
  <c r="E182" i="47"/>
  <c r="D182" i="47"/>
  <c r="C182" i="47"/>
  <c r="B182" i="47"/>
  <c r="A182" i="47"/>
  <c r="J181" i="47"/>
  <c r="I181" i="47"/>
  <c r="H181" i="47"/>
  <c r="G181" i="47"/>
  <c r="F181" i="47"/>
  <c r="E181" i="47"/>
  <c r="D181" i="47"/>
  <c r="C181" i="47"/>
  <c r="B181" i="47"/>
  <c r="A181" i="47"/>
  <c r="J180" i="47"/>
  <c r="I180" i="47"/>
  <c r="H180" i="47"/>
  <c r="G180" i="47"/>
  <c r="F180" i="47"/>
  <c r="E180" i="47"/>
  <c r="D180" i="47"/>
  <c r="C180" i="47"/>
  <c r="B180" i="47"/>
  <c r="A180" i="47"/>
  <c r="J179" i="47"/>
  <c r="I179" i="47"/>
  <c r="H179" i="47"/>
  <c r="G179" i="47"/>
  <c r="F179" i="47"/>
  <c r="E179" i="47"/>
  <c r="D179" i="47"/>
  <c r="C179" i="47"/>
  <c r="B179" i="47"/>
  <c r="A179" i="47"/>
  <c r="J178" i="47"/>
  <c r="I178" i="47"/>
  <c r="H178" i="47"/>
  <c r="G178" i="47"/>
  <c r="F178" i="47"/>
  <c r="E178" i="47"/>
  <c r="D178" i="47"/>
  <c r="C178" i="47"/>
  <c r="B178" i="47"/>
  <c r="A178" i="47"/>
  <c r="J177" i="47"/>
  <c r="I177" i="47"/>
  <c r="H177" i="47"/>
  <c r="G177" i="47"/>
  <c r="F177" i="47"/>
  <c r="E177" i="47"/>
  <c r="D177" i="47"/>
  <c r="C177" i="47"/>
  <c r="B177" i="47"/>
  <c r="A177" i="47"/>
  <c r="J176" i="47"/>
  <c r="I176" i="47"/>
  <c r="H176" i="47"/>
  <c r="G176" i="47"/>
  <c r="F176" i="47"/>
  <c r="E176" i="47"/>
  <c r="D176" i="47"/>
  <c r="C176" i="47"/>
  <c r="B176" i="47"/>
  <c r="A176" i="47"/>
  <c r="J175" i="47"/>
  <c r="I175" i="47"/>
  <c r="H175" i="47"/>
  <c r="G175" i="47"/>
  <c r="F175" i="47"/>
  <c r="E175" i="47"/>
  <c r="D175" i="47"/>
  <c r="C175" i="47"/>
  <c r="B175" i="47"/>
  <c r="A175" i="47"/>
  <c r="J174" i="47"/>
  <c r="I174" i="47"/>
  <c r="H174" i="47"/>
  <c r="G174" i="47"/>
  <c r="F174" i="47"/>
  <c r="E174" i="47"/>
  <c r="D174" i="47"/>
  <c r="C174" i="47"/>
  <c r="B174" i="47"/>
  <c r="A174" i="47"/>
  <c r="J173" i="47"/>
  <c r="I173" i="47"/>
  <c r="H173" i="47"/>
  <c r="G173" i="47"/>
  <c r="F173" i="47"/>
  <c r="E173" i="47"/>
  <c r="D173" i="47"/>
  <c r="C173" i="47"/>
  <c r="B173" i="47"/>
  <c r="A173" i="47"/>
  <c r="J172" i="47"/>
  <c r="I172" i="47"/>
  <c r="H172" i="47"/>
  <c r="G172" i="47"/>
  <c r="F172" i="47"/>
  <c r="E172" i="47"/>
  <c r="D172" i="47"/>
  <c r="C172" i="47"/>
  <c r="B172" i="47"/>
  <c r="A172" i="47"/>
  <c r="J171" i="47"/>
  <c r="I171" i="47"/>
  <c r="H171" i="47"/>
  <c r="G171" i="47"/>
  <c r="F171" i="47"/>
  <c r="E171" i="47"/>
  <c r="D171" i="47"/>
  <c r="C171" i="47"/>
  <c r="B171" i="47"/>
  <c r="A171" i="47"/>
  <c r="J170" i="47"/>
  <c r="I170" i="47"/>
  <c r="H170" i="47"/>
  <c r="G170" i="47"/>
  <c r="F170" i="47"/>
  <c r="E170" i="47"/>
  <c r="D170" i="47"/>
  <c r="C170" i="47"/>
  <c r="B170" i="47"/>
  <c r="A170" i="47"/>
  <c r="J169" i="47"/>
  <c r="I169" i="47"/>
  <c r="H169" i="47"/>
  <c r="G169" i="47"/>
  <c r="F169" i="47"/>
  <c r="E169" i="47"/>
  <c r="D169" i="47"/>
  <c r="C169" i="47"/>
  <c r="B169" i="47"/>
  <c r="A169" i="47"/>
  <c r="J168" i="47"/>
  <c r="I168" i="47"/>
  <c r="H168" i="47"/>
  <c r="G168" i="47"/>
  <c r="F168" i="47"/>
  <c r="E168" i="47"/>
  <c r="D168" i="47"/>
  <c r="C168" i="47"/>
  <c r="B168" i="47"/>
  <c r="A168" i="47"/>
  <c r="J167" i="47"/>
  <c r="I167" i="47"/>
  <c r="H167" i="47"/>
  <c r="G167" i="47"/>
  <c r="F167" i="47"/>
  <c r="E167" i="47"/>
  <c r="D167" i="47"/>
  <c r="C167" i="47"/>
  <c r="B167" i="47"/>
  <c r="A167" i="47"/>
  <c r="J166" i="47"/>
  <c r="I166" i="47"/>
  <c r="H166" i="47"/>
  <c r="G166" i="47"/>
  <c r="F166" i="47"/>
  <c r="E166" i="47"/>
  <c r="D166" i="47"/>
  <c r="C166" i="47"/>
  <c r="B166" i="47"/>
  <c r="A166" i="47"/>
  <c r="J165" i="47"/>
  <c r="I165" i="47"/>
  <c r="H165" i="47"/>
  <c r="G165" i="47"/>
  <c r="F165" i="47"/>
  <c r="E165" i="47"/>
  <c r="D165" i="47"/>
  <c r="C165" i="47"/>
  <c r="B165" i="47"/>
  <c r="A165" i="47"/>
  <c r="J164" i="47"/>
  <c r="I164" i="47"/>
  <c r="H164" i="47"/>
  <c r="G164" i="47"/>
  <c r="F164" i="47"/>
  <c r="E164" i="47"/>
  <c r="D164" i="47"/>
  <c r="C164" i="47"/>
  <c r="B164" i="47"/>
  <c r="A164" i="47"/>
  <c r="J163" i="47"/>
  <c r="I163" i="47"/>
  <c r="H163" i="47"/>
  <c r="G163" i="47"/>
  <c r="F163" i="47"/>
  <c r="E163" i="47"/>
  <c r="D163" i="47"/>
  <c r="C163" i="47"/>
  <c r="B163" i="47"/>
  <c r="A163" i="47"/>
  <c r="J162" i="47"/>
  <c r="I162" i="47"/>
  <c r="H162" i="47"/>
  <c r="G162" i="47"/>
  <c r="F162" i="47"/>
  <c r="E162" i="47"/>
  <c r="D162" i="47"/>
  <c r="C162" i="47"/>
  <c r="B162" i="47"/>
  <c r="A162" i="47"/>
  <c r="J161" i="47"/>
  <c r="I161" i="47"/>
  <c r="H161" i="47"/>
  <c r="G161" i="47"/>
  <c r="F161" i="47"/>
  <c r="E161" i="47"/>
  <c r="D161" i="47"/>
  <c r="C161" i="47"/>
  <c r="B161" i="47"/>
  <c r="A161" i="47"/>
  <c r="J160" i="47"/>
  <c r="I160" i="47"/>
  <c r="H160" i="47"/>
  <c r="G160" i="47"/>
  <c r="F160" i="47"/>
  <c r="E160" i="47"/>
  <c r="D160" i="47"/>
  <c r="C160" i="47"/>
  <c r="B160" i="47"/>
  <c r="A160" i="47"/>
  <c r="J159" i="47"/>
  <c r="I159" i="47"/>
  <c r="H159" i="47"/>
  <c r="G159" i="47"/>
  <c r="F159" i="47"/>
  <c r="E159" i="47"/>
  <c r="D159" i="47"/>
  <c r="C159" i="47"/>
  <c r="B159" i="47"/>
  <c r="A159" i="47"/>
  <c r="J158" i="47"/>
  <c r="I158" i="47"/>
  <c r="H158" i="47"/>
  <c r="G158" i="47"/>
  <c r="F158" i="47"/>
  <c r="E158" i="47"/>
  <c r="D158" i="47"/>
  <c r="C158" i="47"/>
  <c r="B158" i="47"/>
  <c r="A158" i="47"/>
  <c r="J157" i="47"/>
  <c r="I157" i="47"/>
  <c r="H157" i="47"/>
  <c r="G157" i="47"/>
  <c r="F157" i="47"/>
  <c r="E157" i="47"/>
  <c r="D157" i="47"/>
  <c r="C157" i="47"/>
  <c r="B157" i="47"/>
  <c r="A157" i="47"/>
  <c r="J156" i="47"/>
  <c r="I156" i="47"/>
  <c r="H156" i="47"/>
  <c r="G156" i="47"/>
  <c r="F156" i="47"/>
  <c r="E156" i="47"/>
  <c r="D156" i="47"/>
  <c r="C156" i="47"/>
  <c r="B156" i="47"/>
  <c r="A156" i="47"/>
  <c r="J155" i="47"/>
  <c r="I155" i="47"/>
  <c r="H155" i="47"/>
  <c r="G155" i="47"/>
  <c r="F155" i="47"/>
  <c r="E155" i="47"/>
  <c r="D155" i="47"/>
  <c r="C155" i="47"/>
  <c r="B155" i="47"/>
  <c r="A155" i="47"/>
  <c r="J154" i="47"/>
  <c r="I154" i="47"/>
  <c r="H154" i="47"/>
  <c r="G154" i="47"/>
  <c r="F154" i="47"/>
  <c r="E154" i="47"/>
  <c r="D154" i="47"/>
  <c r="C154" i="47"/>
  <c r="B154" i="47"/>
  <c r="A154" i="47"/>
  <c r="J153" i="47"/>
  <c r="I153" i="47"/>
  <c r="H153" i="47"/>
  <c r="G153" i="47"/>
  <c r="F153" i="47"/>
  <c r="E153" i="47"/>
  <c r="D153" i="47"/>
  <c r="C153" i="47"/>
  <c r="B153" i="47"/>
  <c r="A153" i="47"/>
  <c r="J152" i="47"/>
  <c r="I152" i="47"/>
  <c r="H152" i="47"/>
  <c r="G152" i="47"/>
  <c r="F152" i="47"/>
  <c r="E152" i="47"/>
  <c r="D152" i="47"/>
  <c r="C152" i="47"/>
  <c r="B152" i="47"/>
  <c r="A152" i="47"/>
  <c r="J151" i="47"/>
  <c r="I151" i="47"/>
  <c r="H151" i="47"/>
  <c r="G151" i="47"/>
  <c r="F151" i="47"/>
  <c r="E151" i="47"/>
  <c r="D151" i="47"/>
  <c r="C151" i="47"/>
  <c r="B151" i="47"/>
  <c r="A151" i="47"/>
  <c r="J150" i="47"/>
  <c r="I150" i="47"/>
  <c r="H150" i="47"/>
  <c r="G150" i="47"/>
  <c r="F150" i="47"/>
  <c r="E150" i="47"/>
  <c r="D150" i="47"/>
  <c r="C150" i="47"/>
  <c r="B150" i="47"/>
  <c r="A150" i="47"/>
  <c r="J149" i="47"/>
  <c r="I149" i="47"/>
  <c r="H149" i="47"/>
  <c r="G149" i="47"/>
  <c r="F149" i="47"/>
  <c r="E149" i="47"/>
  <c r="D149" i="47"/>
  <c r="C149" i="47"/>
  <c r="B149" i="47"/>
  <c r="A149" i="47"/>
  <c r="J148" i="47"/>
  <c r="I148" i="47"/>
  <c r="H148" i="47"/>
  <c r="G148" i="47"/>
  <c r="F148" i="47"/>
  <c r="E148" i="47"/>
  <c r="D148" i="47"/>
  <c r="C148" i="47"/>
  <c r="B148" i="47"/>
  <c r="A148" i="47"/>
  <c r="J147" i="47"/>
  <c r="I147" i="47"/>
  <c r="H147" i="47"/>
  <c r="G147" i="47"/>
  <c r="F147" i="47"/>
  <c r="E147" i="47"/>
  <c r="D147" i="47"/>
  <c r="C147" i="47"/>
  <c r="B147" i="47"/>
  <c r="A147" i="47"/>
  <c r="J146" i="47"/>
  <c r="I146" i="47"/>
  <c r="H146" i="47"/>
  <c r="G146" i="47"/>
  <c r="F146" i="47"/>
  <c r="E146" i="47"/>
  <c r="D146" i="47"/>
  <c r="C146" i="47"/>
  <c r="B146" i="47"/>
  <c r="A146" i="47"/>
  <c r="J145" i="47"/>
  <c r="I145" i="47"/>
  <c r="H145" i="47"/>
  <c r="G145" i="47"/>
  <c r="F145" i="47"/>
  <c r="E145" i="47"/>
  <c r="D145" i="47"/>
  <c r="C145" i="47"/>
  <c r="B145" i="47"/>
  <c r="A145" i="47"/>
  <c r="J144" i="47"/>
  <c r="I144" i="47"/>
  <c r="H144" i="47"/>
  <c r="G144" i="47"/>
  <c r="F144" i="47"/>
  <c r="E144" i="47"/>
  <c r="D144" i="47"/>
  <c r="C144" i="47"/>
  <c r="B144" i="47"/>
  <c r="A144" i="47"/>
  <c r="J143" i="47"/>
  <c r="I143" i="47"/>
  <c r="H143" i="47"/>
  <c r="G143" i="47"/>
  <c r="F143" i="47"/>
  <c r="E143" i="47"/>
  <c r="D143" i="47"/>
  <c r="C143" i="47"/>
  <c r="B143" i="47"/>
  <c r="A143" i="47"/>
  <c r="Z142" i="47"/>
  <c r="Z143" i="47" s="1"/>
  <c r="Z144" i="47" s="1"/>
  <c r="J142" i="47"/>
  <c r="I142" i="47"/>
  <c r="H142" i="47"/>
  <c r="G142" i="47"/>
  <c r="F142" i="47"/>
  <c r="E142" i="47"/>
  <c r="D142" i="47"/>
  <c r="C142" i="47"/>
  <c r="B142" i="47"/>
  <c r="A142" i="47"/>
  <c r="AE141" i="47"/>
  <c r="AD141" i="47"/>
  <c r="AC141" i="47"/>
  <c r="J141" i="47"/>
  <c r="I141" i="47"/>
  <c r="H141" i="47"/>
  <c r="G141" i="47"/>
  <c r="F141" i="47"/>
  <c r="E141" i="47"/>
  <c r="D141" i="47"/>
  <c r="C141" i="47"/>
  <c r="B141" i="47"/>
  <c r="A141" i="47"/>
  <c r="AE140" i="47"/>
  <c r="AD140" i="47"/>
  <c r="AC140" i="47"/>
  <c r="J140" i="47"/>
  <c r="I140" i="47"/>
  <c r="H140" i="47"/>
  <c r="G140" i="47"/>
  <c r="F140" i="47"/>
  <c r="E140" i="47"/>
  <c r="D140" i="47"/>
  <c r="C140" i="47"/>
  <c r="B140" i="47"/>
  <c r="A140" i="47"/>
  <c r="AE139" i="47"/>
  <c r="AD139" i="47"/>
  <c r="AC139" i="47"/>
  <c r="J139" i="47"/>
  <c r="I139" i="47"/>
  <c r="H139" i="47"/>
  <c r="G139" i="47"/>
  <c r="F139" i="47"/>
  <c r="E139" i="47"/>
  <c r="D139" i="47"/>
  <c r="C139" i="47"/>
  <c r="B139" i="47"/>
  <c r="A139" i="47"/>
  <c r="AE138" i="47"/>
  <c r="AD138" i="47"/>
  <c r="AC138" i="47"/>
  <c r="J138" i="47"/>
  <c r="I138" i="47"/>
  <c r="H138" i="47"/>
  <c r="G138" i="47"/>
  <c r="F138" i="47"/>
  <c r="E138" i="47"/>
  <c r="D138" i="47"/>
  <c r="C138" i="47"/>
  <c r="B138" i="47"/>
  <c r="A138" i="47"/>
  <c r="AN135" i="47"/>
  <c r="AM135" i="47"/>
  <c r="AL135" i="47"/>
  <c r="AJ135" i="47"/>
  <c r="AP267" i="47" s="1"/>
  <c r="AN134" i="47"/>
  <c r="AM266" i="47" s="1"/>
  <c r="AM267" i="47" s="1"/>
  <c r="AJ134" i="47"/>
  <c r="AP266" i="47" s="1"/>
  <c r="AN133" i="47"/>
  <c r="AM133" i="47"/>
  <c r="AL133" i="47"/>
  <c r="AJ133" i="47"/>
  <c r="AP265" i="47" s="1"/>
  <c r="AN132" i="47"/>
  <c r="AM264" i="47" s="1"/>
  <c r="AM265" i="47" s="1"/>
  <c r="AJ132" i="47"/>
  <c r="AP264" i="47" s="1"/>
  <c r="AJ131" i="47"/>
  <c r="AK131" i="47" s="1"/>
  <c r="AJ130" i="47"/>
  <c r="AK130" i="47" s="1"/>
  <c r="AJ129" i="47"/>
  <c r="AK129" i="47" s="1"/>
  <c r="AJ128" i="47"/>
  <c r="AK128" i="47" s="1"/>
  <c r="AJ127" i="47"/>
  <c r="AK127" i="47" s="1"/>
  <c r="AJ126" i="47"/>
  <c r="AK126" i="47" s="1"/>
  <c r="AJ125" i="47"/>
  <c r="AK125" i="47" s="1"/>
  <c r="AJ124" i="47"/>
  <c r="AK124" i="47" s="1"/>
  <c r="AJ123" i="47"/>
  <c r="AK123" i="47" s="1"/>
  <c r="AJ122" i="47"/>
  <c r="AK122" i="47" s="1"/>
  <c r="AJ121" i="47"/>
  <c r="AK121" i="47" s="1"/>
  <c r="AJ120" i="47"/>
  <c r="AK120" i="47" s="1"/>
  <c r="AJ119" i="47"/>
  <c r="AK119" i="47" s="1"/>
  <c r="AJ118" i="47"/>
  <c r="AK118" i="47" s="1"/>
  <c r="AJ117" i="47"/>
  <c r="AK117" i="47" s="1"/>
  <c r="AJ116" i="47"/>
  <c r="AK116" i="47" s="1"/>
  <c r="AJ115" i="47"/>
  <c r="AK115" i="47" s="1"/>
  <c r="AJ114" i="47"/>
  <c r="AK114" i="47" s="1"/>
  <c r="AJ113" i="47"/>
  <c r="AK113" i="47" s="1"/>
  <c r="AJ112" i="47"/>
  <c r="AK112" i="47" s="1"/>
  <c r="AJ111" i="47"/>
  <c r="AK111" i="47" s="1"/>
  <c r="AJ110" i="47"/>
  <c r="AK110" i="47" s="1"/>
  <c r="AJ109" i="47"/>
  <c r="AK109" i="47" s="1"/>
  <c r="AJ108" i="47"/>
  <c r="AK108" i="47" s="1"/>
  <c r="AJ107" i="47"/>
  <c r="AK107" i="47" s="1"/>
  <c r="AJ106" i="47"/>
  <c r="AK106" i="47" s="1"/>
  <c r="AJ105" i="47"/>
  <c r="AK105" i="47" s="1"/>
  <c r="AJ104" i="47"/>
  <c r="AK104" i="47" s="1"/>
  <c r="AJ103" i="47"/>
  <c r="AK103" i="47" s="1"/>
  <c r="AJ102" i="47"/>
  <c r="AK102" i="47" s="1"/>
  <c r="AJ101" i="47"/>
  <c r="AK101" i="47" s="1"/>
  <c r="AJ100" i="47"/>
  <c r="AK100" i="47" s="1"/>
  <c r="AB100" i="47"/>
  <c r="AJ99" i="47"/>
  <c r="AK99" i="47" s="1"/>
  <c r="AJ98" i="47"/>
  <c r="AK98" i="47" s="1"/>
  <c r="AJ97" i="47"/>
  <c r="AK97" i="47" s="1"/>
  <c r="AJ96" i="47"/>
  <c r="AK96" i="47" s="1"/>
  <c r="AJ95" i="47"/>
  <c r="AK95" i="47" s="1"/>
  <c r="AJ94" i="47"/>
  <c r="AK94" i="47" s="1"/>
  <c r="AJ93" i="47"/>
  <c r="AK93" i="47" s="1"/>
  <c r="AJ92" i="47"/>
  <c r="AK92" i="47" s="1"/>
  <c r="AJ91" i="47"/>
  <c r="AK91" i="47" s="1"/>
  <c r="AJ90" i="47"/>
  <c r="AK90" i="47" s="1"/>
  <c r="AJ89" i="47"/>
  <c r="AK89" i="47" s="1"/>
  <c r="AJ88" i="47"/>
  <c r="AK88" i="47" s="1"/>
  <c r="AJ87" i="47"/>
  <c r="AK87" i="47" s="1"/>
  <c r="AJ86" i="47"/>
  <c r="AK86" i="47" s="1"/>
  <c r="AJ85" i="47"/>
  <c r="AK85" i="47" s="1"/>
  <c r="AJ84" i="47"/>
  <c r="AK84" i="47" s="1"/>
  <c r="AJ83" i="47"/>
  <c r="AK83" i="47" s="1"/>
  <c r="AJ82" i="47"/>
  <c r="AK82" i="47" s="1"/>
  <c r="AJ81" i="47"/>
  <c r="AK81" i="47" s="1"/>
  <c r="AJ80" i="47"/>
  <c r="AK80" i="47" s="1"/>
  <c r="AJ79" i="47"/>
  <c r="AK79" i="47" s="1"/>
  <c r="AJ78" i="47"/>
  <c r="AK78" i="47" s="1"/>
  <c r="AJ77" i="47"/>
  <c r="AK77" i="47" s="1"/>
  <c r="AJ76" i="47"/>
  <c r="AK76" i="47" s="1"/>
  <c r="AJ75" i="47"/>
  <c r="AK75" i="47" s="1"/>
  <c r="AJ74" i="47"/>
  <c r="AK74" i="47" s="1"/>
  <c r="AJ73" i="47"/>
  <c r="AK73" i="47" s="1"/>
  <c r="AJ72" i="47"/>
  <c r="AK72" i="47" s="1"/>
  <c r="AJ71" i="47"/>
  <c r="AK71" i="47" s="1"/>
  <c r="AJ70" i="47"/>
  <c r="AK70" i="47" s="1"/>
  <c r="AB70" i="47"/>
  <c r="AJ69" i="47"/>
  <c r="AK69" i="47" s="1"/>
  <c r="AJ68" i="47"/>
  <c r="AK68" i="47" s="1"/>
  <c r="AJ67" i="47"/>
  <c r="AK67" i="47" s="1"/>
  <c r="AJ66" i="47"/>
  <c r="AK66" i="47" s="1"/>
  <c r="AJ65" i="47"/>
  <c r="AK65" i="47" s="1"/>
  <c r="AJ64" i="47"/>
  <c r="AK64" i="47" s="1"/>
  <c r="AJ63" i="47"/>
  <c r="AK63" i="47" s="1"/>
  <c r="AJ62" i="47"/>
  <c r="AK62" i="47" s="1"/>
  <c r="AJ61" i="47"/>
  <c r="AK61" i="47" s="1"/>
  <c r="AJ60" i="47"/>
  <c r="AK60" i="47" s="1"/>
  <c r="AJ59" i="47"/>
  <c r="AK59" i="47" s="1"/>
  <c r="AJ58" i="47"/>
  <c r="AK58" i="47" s="1"/>
  <c r="AJ57" i="47"/>
  <c r="AK57" i="47" s="1"/>
  <c r="AB57" i="47"/>
  <c r="AJ56" i="47"/>
  <c r="AK56" i="47" s="1"/>
  <c r="AB56" i="47"/>
  <c r="AJ55" i="47"/>
  <c r="AK55" i="47" s="1"/>
  <c r="AB55" i="47"/>
  <c r="AJ54" i="47"/>
  <c r="AK54" i="47" s="1"/>
  <c r="AB54" i="47"/>
  <c r="AJ53" i="47"/>
  <c r="AK53" i="47" s="1"/>
  <c r="AJ52" i="47"/>
  <c r="AK52" i="47" s="1"/>
  <c r="AB52" i="47"/>
  <c r="AJ51" i="47"/>
  <c r="AK51" i="47" s="1"/>
  <c r="AB51" i="47"/>
  <c r="AJ50" i="47"/>
  <c r="AK50" i="47" s="1"/>
  <c r="AB50" i="47"/>
  <c r="AJ49" i="47"/>
  <c r="AK49" i="47" s="1"/>
  <c r="AB49" i="47"/>
  <c r="AJ48" i="47"/>
  <c r="AK48" i="47" s="1"/>
  <c r="AB48" i="47"/>
  <c r="AJ47" i="47"/>
  <c r="AK47" i="47" s="1"/>
  <c r="AB47" i="47"/>
  <c r="AJ46" i="47"/>
  <c r="AK46" i="47" s="1"/>
  <c r="AB46" i="47"/>
  <c r="AB141" i="47" s="1"/>
  <c r="AJ45" i="47"/>
  <c r="AK45" i="47" s="1"/>
  <c r="AB45" i="47"/>
  <c r="AB140" i="47" s="1"/>
  <c r="AJ44" i="47"/>
  <c r="AK44" i="47" s="1"/>
  <c r="AJ43" i="47"/>
  <c r="AK43" i="47" s="1"/>
  <c r="AB43" i="47"/>
  <c r="AB139" i="47" s="1"/>
  <c r="AJ42" i="47"/>
  <c r="AK42" i="47" s="1"/>
  <c r="AJ41" i="47"/>
  <c r="AK41" i="47" s="1"/>
  <c r="AB41" i="47"/>
  <c r="AB138" i="47" s="1"/>
  <c r="AJ40" i="47"/>
  <c r="AK40" i="47" s="1"/>
  <c r="AJ39" i="47"/>
  <c r="AK39" i="47" s="1"/>
  <c r="AJ38" i="47"/>
  <c r="AK38" i="47" s="1"/>
  <c r="AJ37" i="47"/>
  <c r="AK37" i="47" s="1"/>
  <c r="AJ36" i="47"/>
  <c r="AK36" i="47" s="1"/>
  <c r="AJ35" i="47"/>
  <c r="AK35" i="47" s="1"/>
  <c r="AJ34" i="47"/>
  <c r="AK34" i="47" s="1"/>
  <c r="AJ33" i="47"/>
  <c r="AK33" i="47" s="1"/>
  <c r="AJ32" i="47"/>
  <c r="AK32" i="47" s="1"/>
  <c r="AJ31" i="47"/>
  <c r="AK31" i="47" s="1"/>
  <c r="AJ30" i="47"/>
  <c r="AK30" i="47" s="1"/>
  <c r="AJ29" i="47"/>
  <c r="AK29" i="47" s="1"/>
  <c r="AJ28" i="47"/>
  <c r="AK28" i="47" s="1"/>
  <c r="AJ27" i="47"/>
  <c r="AK27" i="47" s="1"/>
  <c r="AJ26" i="47"/>
  <c r="AK26" i="47" s="1"/>
  <c r="AJ25" i="47"/>
  <c r="AK25" i="47" s="1"/>
  <c r="AJ24" i="47"/>
  <c r="AK24" i="47" s="1"/>
  <c r="AJ23" i="47"/>
  <c r="AK23" i="47" s="1"/>
  <c r="AJ22" i="47"/>
  <c r="AK22" i="47" s="1"/>
  <c r="AJ21" i="47"/>
  <c r="AK21" i="47" s="1"/>
  <c r="AJ20" i="47"/>
  <c r="AK20" i="47" s="1"/>
  <c r="AJ19" i="47"/>
  <c r="AK19" i="47" s="1"/>
  <c r="AJ18" i="47"/>
  <c r="AK18" i="47" s="1"/>
  <c r="AJ17" i="47"/>
  <c r="AK17" i="47" s="1"/>
  <c r="AJ16" i="47"/>
  <c r="AK16" i="47" s="1"/>
  <c r="AJ15" i="47"/>
  <c r="AK15" i="47" s="1"/>
  <c r="AJ14" i="47"/>
  <c r="AK14" i="47" s="1"/>
  <c r="AJ13" i="47"/>
  <c r="AK13" i="47" s="1"/>
  <c r="AJ12" i="47"/>
  <c r="AK12" i="47" s="1"/>
  <c r="AJ11" i="47"/>
  <c r="AK11" i="47" s="1"/>
  <c r="AJ10" i="47"/>
  <c r="AK10" i="47" s="1"/>
  <c r="AJ9" i="47"/>
  <c r="AK9" i="47" s="1"/>
  <c r="AJ8" i="47"/>
  <c r="AK8" i="47" s="1"/>
  <c r="AJ7" i="47"/>
  <c r="AK7" i="47" s="1"/>
  <c r="AJ6" i="47"/>
  <c r="AH6" i="47"/>
  <c r="X3" i="47"/>
  <c r="W3" i="47" s="1"/>
  <c r="V3" i="47" s="1"/>
  <c r="U3" i="47" s="1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X1" i="47"/>
  <c r="W1" i="47" s="1"/>
  <c r="V1" i="47" s="1"/>
  <c r="U1" i="47" s="1"/>
  <c r="T1" i="47" s="1"/>
  <c r="S1" i="47" s="1"/>
  <c r="R1" i="47" s="1"/>
  <c r="Q1" i="47" s="1"/>
  <c r="P1" i="47" s="1"/>
  <c r="O1" i="47" s="1"/>
  <c r="N1" i="47" s="1"/>
  <c r="M1" i="47" s="1"/>
  <c r="L1" i="47" s="1"/>
  <c r="K1" i="47" s="1"/>
  <c r="AK132" i="47" l="1"/>
  <c r="AL132" i="47"/>
  <c r="AK264" i="47" s="1"/>
  <c r="AK265" i="47" s="1"/>
  <c r="Z2" i="47"/>
  <c r="AH7" i="47"/>
  <c r="AH8" i="47" s="1"/>
  <c r="AH9" i="47" s="1"/>
  <c r="AH10" i="47" s="1"/>
  <c r="AH11" i="47" s="1"/>
  <c r="AH12" i="47" s="1"/>
  <c r="AH13" i="47" s="1"/>
  <c r="AH14" i="47" s="1"/>
  <c r="AH15" i="47" s="1"/>
  <c r="AH16" i="47" s="1"/>
  <c r="AH17" i="47" s="1"/>
  <c r="AH18" i="47" s="1"/>
  <c r="AH19" i="47" s="1"/>
  <c r="AH20" i="47" s="1"/>
  <c r="AH21" i="47" s="1"/>
  <c r="AH22" i="47" s="1"/>
  <c r="AH23" i="47" s="1"/>
  <c r="AH24" i="47" s="1"/>
  <c r="AH25" i="47" s="1"/>
  <c r="AH26" i="47" s="1"/>
  <c r="AH27" i="47" s="1"/>
  <c r="AH28" i="47" s="1"/>
  <c r="AH29" i="47" s="1"/>
  <c r="AH30" i="47" s="1"/>
  <c r="AH31" i="47" s="1"/>
  <c r="AH32" i="47" s="1"/>
  <c r="AH33" i="47" s="1"/>
  <c r="AH34" i="47" s="1"/>
  <c r="AH35" i="47" s="1"/>
  <c r="AH36" i="47" s="1"/>
  <c r="AH37" i="47" s="1"/>
  <c r="AH38" i="47" s="1"/>
  <c r="AH39" i="47" s="1"/>
  <c r="AH40" i="47" s="1"/>
  <c r="AH41" i="47" s="1"/>
  <c r="AK133" i="47"/>
  <c r="AL6" i="47"/>
  <c r="AK138" i="47" s="1"/>
  <c r="AK6" i="47"/>
  <c r="AN6" i="47"/>
  <c r="AM138" i="47" s="1"/>
  <c r="Z145" i="47"/>
  <c r="AC144" i="47"/>
  <c r="AB144" i="47"/>
  <c r="AE144" i="47"/>
  <c r="AD144" i="47"/>
  <c r="T3" i="47"/>
  <c r="S3" i="47" s="1"/>
  <c r="R3" i="47" s="1"/>
  <c r="Q3" i="47" s="1"/>
  <c r="P3" i="47" s="1"/>
  <c r="O3" i="47" s="1"/>
  <c r="N3" i="47" s="1"/>
  <c r="M3" i="47" s="1"/>
  <c r="L3" i="47" s="1"/>
  <c r="K3" i="47" s="1"/>
  <c r="AP138" i="47"/>
  <c r="AN138" i="47"/>
  <c r="AO138" i="47"/>
  <c r="AI138" i="47"/>
  <c r="AH138" i="47"/>
  <c r="AD143" i="47"/>
  <c r="AC143" i="47"/>
  <c r="AB143" i="47"/>
  <c r="AE143" i="47"/>
  <c r="AB142" i="47"/>
  <c r="AK134" i="47"/>
  <c r="AC142" i="47"/>
  <c r="AL134" i="47"/>
  <c r="AK266" i="47" s="1"/>
  <c r="AK267" i="47" s="1"/>
  <c r="AD142" i="47"/>
  <c r="AE142" i="47"/>
  <c r="AK135" i="47"/>
  <c r="AJ138" i="47" l="1"/>
  <c r="AN139" i="47"/>
  <c r="AL8" i="47"/>
  <c r="AK140" i="47" s="1"/>
  <c r="AN7" i="47"/>
  <c r="AM139" i="47" s="1"/>
  <c r="AI140" i="47"/>
  <c r="AI139" i="47"/>
  <c r="AP140" i="47"/>
  <c r="AJ139" i="47"/>
  <c r="AH140" i="47"/>
  <c r="AI6" i="47"/>
  <c r="AO139" i="47"/>
  <c r="AI7" i="47"/>
  <c r="AH44" i="47"/>
  <c r="AH45" i="47" s="1"/>
  <c r="AP139" i="47"/>
  <c r="AO140" i="47"/>
  <c r="AL7" i="47"/>
  <c r="AK139" i="47" s="1"/>
  <c r="AN8" i="47"/>
  <c r="AM140" i="47" s="1"/>
  <c r="AH42" i="47"/>
  <c r="AH43" i="47" s="1"/>
  <c r="AH139" i="47"/>
  <c r="AN140" i="47"/>
  <c r="AD145" i="47"/>
  <c r="AC145" i="47"/>
  <c r="AB145" i="47"/>
  <c r="Z146" i="47"/>
  <c r="AE145" i="47"/>
  <c r="AJ140" i="47"/>
  <c r="AJ264" i="47"/>
  <c r="AJ265" i="47" s="1"/>
  <c r="AJ266" i="47"/>
  <c r="AJ267" i="47" s="1"/>
  <c r="AP141" i="47"/>
  <c r="AO141" i="47"/>
  <c r="AN141" i="47"/>
  <c r="AJ141" i="47"/>
  <c r="AI141" i="47"/>
  <c r="AH141" i="47"/>
  <c r="AI8" i="47"/>
  <c r="AN9" i="47"/>
  <c r="AM141" i="47" s="1"/>
  <c r="AL9" i="47"/>
  <c r="AK141" i="47" s="1"/>
  <c r="AH46" i="47" l="1"/>
  <c r="AN142" i="47"/>
  <c r="AJ142" i="47"/>
  <c r="AI142" i="47"/>
  <c r="AH142" i="47"/>
  <c r="AP142" i="47"/>
  <c r="AO142" i="47"/>
  <c r="AI9" i="47"/>
  <c r="AN10" i="47"/>
  <c r="AM142" i="47" s="1"/>
  <c r="AL10" i="47"/>
  <c r="AK142" i="47" s="1"/>
  <c r="AD146" i="47"/>
  <c r="AC146" i="47"/>
  <c r="AB146" i="47"/>
  <c r="Z147" i="47"/>
  <c r="AE146" i="47"/>
  <c r="AH47" i="47" l="1"/>
  <c r="AH48" i="47" s="1"/>
  <c r="AH49" i="47" s="1"/>
  <c r="AH50" i="47" s="1"/>
  <c r="AH51" i="47" s="1"/>
  <c r="AH52" i="47" s="1"/>
  <c r="AH53" i="47" s="1"/>
  <c r="AH54" i="47" s="1"/>
  <c r="AH55" i="47" s="1"/>
  <c r="AH56" i="47" s="1"/>
  <c r="AH57" i="47" s="1"/>
  <c r="AH58" i="47" s="1"/>
  <c r="AH59" i="47" s="1"/>
  <c r="AH60" i="47" s="1"/>
  <c r="AH61" i="47" s="1"/>
  <c r="AH62" i="47" s="1"/>
  <c r="AH63" i="47" s="1"/>
  <c r="AH64" i="47" s="1"/>
  <c r="AH65" i="47" s="1"/>
  <c r="AH66" i="47" s="1"/>
  <c r="AH67" i="47" s="1"/>
  <c r="AH68" i="47" s="1"/>
  <c r="AH69" i="47" s="1"/>
  <c r="AH70" i="47" s="1"/>
  <c r="AH71" i="47" s="1"/>
  <c r="AH72" i="47" s="1"/>
  <c r="AH73" i="47" s="1"/>
  <c r="AH74" i="47" s="1"/>
  <c r="AH75" i="47" s="1"/>
  <c r="AH76" i="47" s="1"/>
  <c r="AH77" i="47" s="1"/>
  <c r="AH78" i="47" s="1"/>
  <c r="AH79" i="47" s="1"/>
  <c r="AH80" i="47" s="1"/>
  <c r="AH81" i="47" s="1"/>
  <c r="AH82" i="47" s="1"/>
  <c r="AH83" i="47" s="1"/>
  <c r="AH84" i="47" s="1"/>
  <c r="AH85" i="47" s="1"/>
  <c r="AH86" i="47" s="1"/>
  <c r="AH87" i="47" s="1"/>
  <c r="AH88" i="47" s="1"/>
  <c r="AH89" i="47" s="1"/>
  <c r="AH90" i="47" s="1"/>
  <c r="AH91" i="47" s="1"/>
  <c r="AH92" i="47" s="1"/>
  <c r="AH93" i="47" s="1"/>
  <c r="AH94" i="47" s="1"/>
  <c r="AH95" i="47" s="1"/>
  <c r="AH96" i="47" s="1"/>
  <c r="AH97" i="47" s="1"/>
  <c r="AH98" i="47" s="1"/>
  <c r="AH99" i="47" s="1"/>
  <c r="AH100" i="47" s="1"/>
  <c r="AH101" i="47" s="1"/>
  <c r="AH102" i="47" s="1"/>
  <c r="AH103" i="47" s="1"/>
  <c r="AH104" i="47" s="1"/>
  <c r="AH105" i="47" s="1"/>
  <c r="AH106" i="47" s="1"/>
  <c r="AH107" i="47" s="1"/>
  <c r="AH108" i="47" s="1"/>
  <c r="AH109" i="47" s="1"/>
  <c r="AH110" i="47" s="1"/>
  <c r="AH111" i="47" s="1"/>
  <c r="AH112" i="47" s="1"/>
  <c r="AH113" i="47" s="1"/>
  <c r="AH114" i="47" s="1"/>
  <c r="AH115" i="47" s="1"/>
  <c r="AH116" i="47" s="1"/>
  <c r="AH117" i="47" s="1"/>
  <c r="AH118" i="47" s="1"/>
  <c r="AH119" i="47" s="1"/>
  <c r="AH120" i="47" s="1"/>
  <c r="AH121" i="47" s="1"/>
  <c r="AH122" i="47" s="1"/>
  <c r="AH123" i="47" s="1"/>
  <c r="AH124" i="47" s="1"/>
  <c r="AH125" i="47" s="1"/>
  <c r="AH126" i="47" s="1"/>
  <c r="AH127" i="47" s="1"/>
  <c r="AH128" i="47" s="1"/>
  <c r="AH129" i="47" s="1"/>
  <c r="AH130" i="47" s="1"/>
  <c r="AH131" i="47" s="1"/>
  <c r="AI131" i="47" s="1"/>
  <c r="AH143" i="47"/>
  <c r="AP143" i="47"/>
  <c r="AO143" i="47"/>
  <c r="AN143" i="47"/>
  <c r="AI10" i="47"/>
  <c r="AJ143" i="47"/>
  <c r="AI143" i="47"/>
  <c r="AN11" i="47"/>
  <c r="AM143" i="47" s="1"/>
  <c r="AL11" i="47"/>
  <c r="AK143" i="47" s="1"/>
  <c r="AD147" i="47"/>
  <c r="AC147" i="47"/>
  <c r="AB147" i="47"/>
  <c r="AE147" i="47"/>
  <c r="Z148" i="47"/>
  <c r="AN144" i="47" l="1"/>
  <c r="AP144" i="47"/>
  <c r="AO144" i="47"/>
  <c r="AJ144" i="47"/>
  <c r="AI144" i="47"/>
  <c r="AH144" i="47"/>
  <c r="AL12" i="47"/>
  <c r="AK144" i="47" s="1"/>
  <c r="AI11" i="47"/>
  <c r="AN12" i="47"/>
  <c r="AM144" i="47" s="1"/>
  <c r="Z149" i="47"/>
  <c r="AE148" i="47"/>
  <c r="AD148" i="47"/>
  <c r="AC148" i="47"/>
  <c r="AB148" i="47"/>
  <c r="AD149" i="47" l="1"/>
  <c r="AC149" i="47"/>
  <c r="AB149" i="47"/>
  <c r="AE149" i="47"/>
  <c r="Z150" i="47"/>
  <c r="AN145" i="47"/>
  <c r="AM145" i="47"/>
  <c r="AK145" i="47"/>
  <c r="AJ145" i="47"/>
  <c r="AI145" i="47"/>
  <c r="AH145" i="47"/>
  <c r="AP145" i="47"/>
  <c r="AI12" i="47"/>
  <c r="AO145" i="47"/>
  <c r="AL13" i="47"/>
  <c r="AN13" i="47"/>
  <c r="AM13" i="47"/>
  <c r="AE150" i="47" l="1"/>
  <c r="AD150" i="47"/>
  <c r="AC150" i="47"/>
  <c r="AB150" i="47"/>
  <c r="Z151" i="47"/>
  <c r="AN146" i="47"/>
  <c r="AJ146" i="47"/>
  <c r="AH146" i="47"/>
  <c r="AL14" i="47"/>
  <c r="AK146" i="47" s="1"/>
  <c r="AP146" i="47"/>
  <c r="AO146" i="47"/>
  <c r="AI146" i="47"/>
  <c r="AN14" i="47"/>
  <c r="AM146" i="47" s="1"/>
  <c r="AI13" i="47"/>
  <c r="AD151" i="47" l="1"/>
  <c r="AC151" i="47"/>
  <c r="AB151" i="47"/>
  <c r="Z152" i="47"/>
  <c r="AE151" i="47"/>
  <c r="AP147" i="47"/>
  <c r="AO147" i="47"/>
  <c r="AN147" i="47"/>
  <c r="AI147" i="47"/>
  <c r="AH147" i="47"/>
  <c r="AJ147" i="47"/>
  <c r="AL15" i="47"/>
  <c r="AK147" i="47" s="1"/>
  <c r="AI14" i="47"/>
  <c r="AN15" i="47"/>
  <c r="AM147" i="47" s="1"/>
  <c r="Z153" i="47" l="1"/>
  <c r="AE152" i="47"/>
  <c r="AD152" i="47"/>
  <c r="AC152" i="47"/>
  <c r="AB152" i="47"/>
  <c r="AN148" i="47"/>
  <c r="AM148" i="47"/>
  <c r="AO148" i="47"/>
  <c r="AK148" i="47"/>
  <c r="AJ148" i="47"/>
  <c r="AI148" i="47"/>
  <c r="AH148" i="47"/>
  <c r="AP148" i="47"/>
  <c r="AM16" i="47"/>
  <c r="AN16" i="47"/>
  <c r="AL16" i="47"/>
  <c r="AI15" i="47"/>
  <c r="AJ149" i="47" l="1"/>
  <c r="AI149" i="47"/>
  <c r="AH149" i="47"/>
  <c r="AO149" i="47"/>
  <c r="AN149" i="47"/>
  <c r="AP149" i="47"/>
  <c r="AM149" i="47"/>
  <c r="AK149" i="47"/>
  <c r="AN17" i="47"/>
  <c r="AM17" i="47"/>
  <c r="AL17" i="47"/>
  <c r="AI16" i="47"/>
  <c r="AD153" i="47"/>
  <c r="AC153" i="47"/>
  <c r="AB153" i="47"/>
  <c r="Z154" i="47"/>
  <c r="AE153" i="47"/>
  <c r="AN150" i="47" l="1"/>
  <c r="AM150" i="47"/>
  <c r="AP150" i="47"/>
  <c r="AO150" i="47"/>
  <c r="AK150" i="47"/>
  <c r="AJ150" i="47"/>
  <c r="AN18" i="47"/>
  <c r="AI150" i="47"/>
  <c r="AH150" i="47"/>
  <c r="AI17" i="47"/>
  <c r="AM18" i="47"/>
  <c r="AL18" i="47"/>
  <c r="Z155" i="47"/>
  <c r="AE154" i="47"/>
  <c r="AD154" i="47"/>
  <c r="AC154" i="47"/>
  <c r="AB154" i="47"/>
  <c r="AP151" i="47" l="1"/>
  <c r="AO151" i="47"/>
  <c r="AN151" i="47"/>
  <c r="AM151" i="47"/>
  <c r="AK151" i="47"/>
  <c r="AJ151" i="47"/>
  <c r="AI151" i="47"/>
  <c r="AH151" i="47"/>
  <c r="AL19" i="47"/>
  <c r="AI18" i="47"/>
  <c r="AM19" i="47"/>
  <c r="AN19" i="47"/>
  <c r="AD155" i="47"/>
  <c r="AC155" i="47"/>
  <c r="AB155" i="47"/>
  <c r="Z156" i="47"/>
  <c r="AE155" i="47"/>
  <c r="AN152" i="47" l="1"/>
  <c r="AM152" i="47"/>
  <c r="AH152" i="47"/>
  <c r="AP152" i="47"/>
  <c r="AO152" i="47"/>
  <c r="AK152" i="47"/>
  <c r="AJ152" i="47"/>
  <c r="AI152" i="47"/>
  <c r="AI19" i="47"/>
  <c r="AN20" i="47"/>
  <c r="AM20" i="47"/>
  <c r="AL20" i="47"/>
  <c r="AB156" i="47"/>
  <c r="Z157" i="47"/>
  <c r="AE156" i="47"/>
  <c r="AD156" i="47"/>
  <c r="AC156" i="47"/>
  <c r="AP153" i="47" l="1"/>
  <c r="AO153" i="47"/>
  <c r="AN153" i="47"/>
  <c r="AK153" i="47"/>
  <c r="AJ153" i="47"/>
  <c r="AI153" i="47"/>
  <c r="AH153" i="47"/>
  <c r="AN21" i="47"/>
  <c r="AL21" i="47"/>
  <c r="AM153" i="47"/>
  <c r="AM21" i="47"/>
  <c r="AI20" i="47"/>
  <c r="AD157" i="47"/>
  <c r="AC157" i="47"/>
  <c r="AB157" i="47"/>
  <c r="Z158" i="47"/>
  <c r="AE157" i="47"/>
  <c r="AN154" i="47" l="1"/>
  <c r="AM154" i="47"/>
  <c r="AP154" i="47"/>
  <c r="AO154" i="47"/>
  <c r="AK154" i="47"/>
  <c r="AJ154" i="47"/>
  <c r="AI154" i="47"/>
  <c r="AH154" i="47"/>
  <c r="AI21" i="47"/>
  <c r="AM22" i="47"/>
  <c r="AN22" i="47"/>
  <c r="AL22" i="47"/>
  <c r="Z159" i="47"/>
  <c r="AE158" i="47"/>
  <c r="AD158" i="47"/>
  <c r="AC158" i="47"/>
  <c r="AB158" i="47"/>
  <c r="AK155" i="47" l="1"/>
  <c r="AJ155" i="47"/>
  <c r="AI155" i="47"/>
  <c r="AH155" i="47"/>
  <c r="AP155" i="47"/>
  <c r="AO155" i="47"/>
  <c r="AN155" i="47"/>
  <c r="AM155" i="47"/>
  <c r="AN23" i="47"/>
  <c r="AL23" i="47"/>
  <c r="AM23" i="47"/>
  <c r="AI22" i="47"/>
  <c r="AD159" i="47"/>
  <c r="AC159" i="47"/>
  <c r="AB159" i="47"/>
  <c r="AE159" i="47"/>
  <c r="Z160" i="47"/>
  <c r="AN156" i="47" l="1"/>
  <c r="AM156" i="47"/>
  <c r="AP156" i="47"/>
  <c r="AO156" i="47"/>
  <c r="AI156" i="47"/>
  <c r="AH156" i="47"/>
  <c r="AK156" i="47"/>
  <c r="AJ156" i="47"/>
  <c r="AN24" i="47"/>
  <c r="AL24" i="47"/>
  <c r="AM24" i="47"/>
  <c r="AI23" i="47"/>
  <c r="Z161" i="47"/>
  <c r="AC160" i="47"/>
  <c r="AB160" i="47"/>
  <c r="AE160" i="47"/>
  <c r="AD160" i="47"/>
  <c r="AP157" i="47" l="1"/>
  <c r="AO157" i="47"/>
  <c r="AN157" i="47"/>
  <c r="AM157" i="47"/>
  <c r="AK157" i="47"/>
  <c r="AJ157" i="47"/>
  <c r="AI24" i="47"/>
  <c r="AN25" i="47"/>
  <c r="AM25" i="47"/>
  <c r="AI157" i="47"/>
  <c r="AH157" i="47"/>
  <c r="AL25" i="47"/>
  <c r="AD161" i="47"/>
  <c r="AC161" i="47"/>
  <c r="AB161" i="47"/>
  <c r="Z162" i="47"/>
  <c r="AE161" i="47"/>
  <c r="AN158" i="47" l="1"/>
  <c r="AM158" i="47"/>
  <c r="AJ158" i="47"/>
  <c r="AI158" i="47"/>
  <c r="AH158" i="47"/>
  <c r="AP158" i="47"/>
  <c r="AO158" i="47"/>
  <c r="AK158" i="47"/>
  <c r="AM26" i="47"/>
  <c r="AL26" i="47"/>
  <c r="AN26" i="47"/>
  <c r="AI25" i="47"/>
  <c r="AD162" i="47"/>
  <c r="AC162" i="47"/>
  <c r="AB162" i="47"/>
  <c r="Z163" i="47"/>
  <c r="AE162" i="47"/>
  <c r="AH159" i="47" l="1"/>
  <c r="AP159" i="47"/>
  <c r="AM159" i="47"/>
  <c r="AK159" i="47"/>
  <c r="AJ159" i="47"/>
  <c r="AI159" i="47"/>
  <c r="AO159" i="47"/>
  <c r="AN159" i="47"/>
  <c r="AI26" i="47"/>
  <c r="AN27" i="47"/>
  <c r="AL27" i="47"/>
  <c r="AM27" i="47"/>
  <c r="AD163" i="47"/>
  <c r="AC163" i="47"/>
  <c r="AB163" i="47"/>
  <c r="AE163" i="47"/>
  <c r="Z164" i="47"/>
  <c r="AN160" i="47" l="1"/>
  <c r="AM160" i="47"/>
  <c r="AP160" i="47"/>
  <c r="AO160" i="47"/>
  <c r="AK160" i="47"/>
  <c r="AJ160" i="47"/>
  <c r="AI160" i="47"/>
  <c r="AH160" i="47"/>
  <c r="AM28" i="47"/>
  <c r="AI27" i="47"/>
  <c r="AN28" i="47"/>
  <c r="AL28" i="47"/>
  <c r="AB164" i="47"/>
  <c r="AE164" i="47"/>
  <c r="Z165" i="47"/>
  <c r="AD164" i="47"/>
  <c r="AC164" i="47"/>
  <c r="AN161" i="47" l="1"/>
  <c r="AM161" i="47"/>
  <c r="AK161" i="47"/>
  <c r="AJ161" i="47"/>
  <c r="AI161" i="47"/>
  <c r="AH161" i="47"/>
  <c r="AP161" i="47"/>
  <c r="AO161" i="47"/>
  <c r="AI28" i="47"/>
  <c r="AL29" i="47"/>
  <c r="AM29" i="47"/>
  <c r="AN29" i="47"/>
  <c r="AD165" i="47"/>
  <c r="AC165" i="47"/>
  <c r="AB165" i="47"/>
  <c r="Z166" i="47"/>
  <c r="AE165" i="47"/>
  <c r="AN162" i="47" l="1"/>
  <c r="AM162" i="47"/>
  <c r="AK162" i="47"/>
  <c r="AJ162" i="47"/>
  <c r="AI162" i="47"/>
  <c r="AH162" i="47"/>
  <c r="AP162" i="47"/>
  <c r="AO162" i="47"/>
  <c r="AM30" i="47"/>
  <c r="AL30" i="47"/>
  <c r="AN30" i="47"/>
  <c r="AI29" i="47"/>
  <c r="AB166" i="47"/>
  <c r="AE166" i="47"/>
  <c r="Z167" i="47"/>
  <c r="AD166" i="47"/>
  <c r="AC166" i="47"/>
  <c r="AP163" i="47" l="1"/>
  <c r="AO163" i="47"/>
  <c r="AN163" i="47"/>
  <c r="AI163" i="47"/>
  <c r="AH163" i="47"/>
  <c r="AI30" i="47"/>
  <c r="AJ163" i="47"/>
  <c r="AL31" i="47"/>
  <c r="AK163" i="47" s="1"/>
  <c r="AN31" i="47"/>
  <c r="AM163" i="47" s="1"/>
  <c r="AD167" i="47"/>
  <c r="AC167" i="47"/>
  <c r="AB167" i="47"/>
  <c r="AE167" i="47"/>
  <c r="AN164" i="47" l="1"/>
  <c r="AM164" i="47"/>
  <c r="AP164" i="47"/>
  <c r="AO164" i="47"/>
  <c r="AK164" i="47"/>
  <c r="AJ164" i="47"/>
  <c r="AI164" i="47"/>
  <c r="AH164" i="47"/>
  <c r="AL32" i="47"/>
  <c r="AN32" i="47"/>
  <c r="AM32" i="47"/>
  <c r="AI31" i="47"/>
  <c r="AO165" i="47" l="1"/>
  <c r="AN165" i="47"/>
  <c r="AM165" i="47"/>
  <c r="AK165" i="47"/>
  <c r="AJ165" i="47"/>
  <c r="AI165" i="47"/>
  <c r="AH165" i="47"/>
  <c r="AP165" i="47"/>
  <c r="AN33" i="47"/>
  <c r="AM33" i="47"/>
  <c r="AL33" i="47"/>
  <c r="AI32" i="47"/>
  <c r="AN166" i="47" l="1"/>
  <c r="AM166" i="47"/>
  <c r="AI166" i="47"/>
  <c r="AH166" i="47"/>
  <c r="AP166" i="47"/>
  <c r="AO166" i="47"/>
  <c r="AK166" i="47"/>
  <c r="AJ166" i="47"/>
  <c r="AN34" i="47"/>
  <c r="AM34" i="47"/>
  <c r="AL34" i="47"/>
  <c r="AI33" i="47"/>
  <c r="AO167" i="47" l="1"/>
  <c r="AM167" i="47"/>
  <c r="AK167" i="47"/>
  <c r="AJ167" i="47"/>
  <c r="AI167" i="47"/>
  <c r="AH167" i="47"/>
  <c r="AL35" i="47"/>
  <c r="AP167" i="47"/>
  <c r="AN167" i="47"/>
  <c r="AI34" i="47"/>
  <c r="AN35" i="47"/>
  <c r="AM35" i="47"/>
  <c r="AI168" i="47" l="1"/>
  <c r="AP168" i="47"/>
  <c r="AJ168" i="47"/>
  <c r="AH168" i="47"/>
  <c r="AI35" i="47"/>
  <c r="AO168" i="47"/>
  <c r="AN168" i="47"/>
  <c r="AN36" i="47"/>
  <c r="AM168" i="47" s="1"/>
  <c r="AL36" i="47"/>
  <c r="AK168" i="47" s="1"/>
  <c r="AP169" i="47" l="1"/>
  <c r="AO169" i="47"/>
  <c r="AN169" i="47"/>
  <c r="AI169" i="47"/>
  <c r="AJ169" i="47"/>
  <c r="AH169" i="47"/>
  <c r="AN37" i="47"/>
  <c r="AM169" i="47" s="1"/>
  <c r="AL37" i="47"/>
  <c r="AK169" i="47" s="1"/>
  <c r="AI36" i="47"/>
  <c r="AM170" i="47" l="1"/>
  <c r="AK170" i="47"/>
  <c r="AN170" i="47"/>
  <c r="AJ170" i="47"/>
  <c r="AI170" i="47"/>
  <c r="AH170" i="47"/>
  <c r="AP170" i="47"/>
  <c r="AI37" i="47"/>
  <c r="AO170" i="47"/>
  <c r="AN38" i="47"/>
  <c r="AM38" i="47"/>
  <c r="AL38" i="47"/>
  <c r="AP171" i="47" l="1"/>
  <c r="AJ171" i="47"/>
  <c r="AI171" i="47"/>
  <c r="AH171" i="47"/>
  <c r="AN171" i="47"/>
  <c r="AM171" i="47"/>
  <c r="AK171" i="47"/>
  <c r="AN39" i="47"/>
  <c r="AM39" i="47"/>
  <c r="AL39" i="47"/>
  <c r="AO171" i="47"/>
  <c r="AI38" i="47"/>
  <c r="AM172" i="47" l="1"/>
  <c r="AP172" i="47"/>
  <c r="AK172" i="47"/>
  <c r="AJ172" i="47"/>
  <c r="AI172" i="47"/>
  <c r="AH172" i="47"/>
  <c r="AN172" i="47"/>
  <c r="AO172" i="47"/>
  <c r="AI39" i="47"/>
  <c r="AN40" i="47"/>
  <c r="AM40" i="47"/>
  <c r="AL40" i="47"/>
  <c r="AJ173" i="47" l="1"/>
  <c r="AP173" i="47"/>
  <c r="AI173" i="47"/>
  <c r="AH173" i="47"/>
  <c r="AO173" i="47"/>
  <c r="AI40" i="47"/>
  <c r="AN173" i="47"/>
  <c r="AN41" i="47"/>
  <c r="AM173" i="47" s="1"/>
  <c r="AL41" i="47"/>
  <c r="AK173" i="47" s="1"/>
  <c r="AP174" i="47" l="1"/>
  <c r="AO174" i="47"/>
  <c r="AJ174" i="47"/>
  <c r="AN174" i="47"/>
  <c r="AI174" i="47"/>
  <c r="AH174" i="47"/>
  <c r="AI41" i="47"/>
  <c r="AN42" i="47"/>
  <c r="AM174" i="47" s="1"/>
  <c r="AL42" i="47"/>
  <c r="AK174" i="47" s="1"/>
  <c r="AN175" i="47" l="1"/>
  <c r="AP175" i="47"/>
  <c r="AJ175" i="47"/>
  <c r="AI175" i="47"/>
  <c r="AH175" i="47"/>
  <c r="AN43" i="47"/>
  <c r="AM175" i="47" s="1"/>
  <c r="AL43" i="47"/>
  <c r="AK175" i="47" s="1"/>
  <c r="AO175" i="47"/>
  <c r="AI42" i="47"/>
  <c r="AJ176" i="47" l="1"/>
  <c r="AI176" i="47"/>
  <c r="AP176" i="47"/>
  <c r="AH176" i="47"/>
  <c r="AN176" i="47"/>
  <c r="AO176" i="47"/>
  <c r="AN44" i="47"/>
  <c r="AM176" i="47" s="1"/>
  <c r="AL44" i="47"/>
  <c r="AK176" i="47" s="1"/>
  <c r="AI43" i="47"/>
  <c r="AN177" i="47" l="1"/>
  <c r="AH177" i="47"/>
  <c r="AP177" i="47"/>
  <c r="AO177" i="47"/>
  <c r="AJ177" i="47"/>
  <c r="AI177" i="47"/>
  <c r="AI44" i="47"/>
  <c r="AN45" i="47"/>
  <c r="AM177" i="47" s="1"/>
  <c r="AL45" i="47"/>
  <c r="AK177" i="47" s="1"/>
  <c r="AN178" i="47" l="1"/>
  <c r="AP178" i="47"/>
  <c r="AO178" i="47"/>
  <c r="AI178" i="47"/>
  <c r="AH178" i="47"/>
  <c r="AL46" i="47"/>
  <c r="AK178" i="47" s="1"/>
  <c r="AJ178" i="47"/>
  <c r="AN46" i="47"/>
  <c r="AM178" i="47" s="1"/>
  <c r="AI45" i="47"/>
  <c r="AH179" i="47" l="1"/>
  <c r="AP179" i="47"/>
  <c r="AI46" i="47"/>
  <c r="AO179" i="47"/>
  <c r="AN179" i="47"/>
  <c r="AI179" i="47"/>
  <c r="AN47" i="47"/>
  <c r="AM179" i="47" s="1"/>
  <c r="AJ179" i="47"/>
  <c r="AL47" i="47"/>
  <c r="AK179" i="47" s="1"/>
  <c r="AO180" i="47" l="1"/>
  <c r="AN180" i="47"/>
  <c r="AH180" i="47"/>
  <c r="AP180" i="47"/>
  <c r="AI180" i="47"/>
  <c r="AJ180" i="47"/>
  <c r="AI47" i="47"/>
  <c r="AN48" i="47"/>
  <c r="AM180" i="47" s="1"/>
  <c r="AL48" i="47"/>
  <c r="AK180" i="47" s="1"/>
  <c r="AJ181" i="47" l="1"/>
  <c r="AI48" i="47"/>
  <c r="AP181" i="47"/>
  <c r="AO181" i="47"/>
  <c r="AI181" i="47"/>
  <c r="AH181" i="47"/>
  <c r="AN181" i="47"/>
  <c r="AN49" i="47"/>
  <c r="AM181" i="47" s="1"/>
  <c r="AL49" i="47"/>
  <c r="AK181" i="47" s="1"/>
  <c r="AO182" i="47" l="1"/>
  <c r="AI182" i="47"/>
  <c r="AH182" i="47"/>
  <c r="AP182" i="47"/>
  <c r="AN182" i="47"/>
  <c r="AJ182" i="47"/>
  <c r="AN50" i="47"/>
  <c r="AL50" i="47"/>
  <c r="AK182" i="47" s="1"/>
  <c r="AM182" i="47"/>
  <c r="AI49" i="47"/>
  <c r="AO183" i="47" l="1"/>
  <c r="AI50" i="47"/>
  <c r="AP183" i="47"/>
  <c r="AN183" i="47"/>
  <c r="AI183" i="47"/>
  <c r="AH183" i="47"/>
  <c r="AJ183" i="47"/>
  <c r="AN51" i="47"/>
  <c r="AM183" i="47" s="1"/>
  <c r="AL51" i="47"/>
  <c r="AK183" i="47" s="1"/>
  <c r="AI184" i="47" l="1"/>
  <c r="AP184" i="47"/>
  <c r="AO184" i="47"/>
  <c r="AN184" i="47"/>
  <c r="AH184" i="47"/>
  <c r="AJ184" i="47"/>
  <c r="AL52" i="47"/>
  <c r="AK184" i="47" s="1"/>
  <c r="AN52" i="47"/>
  <c r="AM184" i="47" s="1"/>
  <c r="AI51" i="47"/>
  <c r="AP185" i="47" l="1"/>
  <c r="AO185" i="47"/>
  <c r="AN185" i="47"/>
  <c r="AI185" i="47"/>
  <c r="AI52" i="47"/>
  <c r="AJ185" i="47"/>
  <c r="AH185" i="47"/>
  <c r="AN53" i="47"/>
  <c r="AM185" i="47" s="1"/>
  <c r="AL53" i="47"/>
  <c r="AK185" i="47" s="1"/>
  <c r="AP186" i="47" l="1"/>
  <c r="AO186" i="47"/>
  <c r="AN186" i="47"/>
  <c r="AH186" i="47"/>
  <c r="AN54" i="47"/>
  <c r="AM186" i="47" s="1"/>
  <c r="AJ186" i="47"/>
  <c r="AL54" i="47"/>
  <c r="AK186" i="47" s="1"/>
  <c r="AI186" i="47"/>
  <c r="AI53" i="47"/>
  <c r="AP187" i="47" l="1"/>
  <c r="AJ187" i="47"/>
  <c r="AI187" i="47"/>
  <c r="AH187" i="47"/>
  <c r="AO187" i="47"/>
  <c r="AN187" i="47"/>
  <c r="AL55" i="47"/>
  <c r="AK187" i="47" s="1"/>
  <c r="AN55" i="47"/>
  <c r="AM187" i="47" s="1"/>
  <c r="AI54" i="47"/>
  <c r="AP188" i="47" l="1"/>
  <c r="AO188" i="47"/>
  <c r="AN188" i="47"/>
  <c r="AI188" i="47"/>
  <c r="AH188" i="47"/>
  <c r="AJ188" i="47"/>
  <c r="AN56" i="47"/>
  <c r="AM188" i="47" s="1"/>
  <c r="AL56" i="47"/>
  <c r="AK188" i="47" s="1"/>
  <c r="AI55" i="47"/>
  <c r="AJ189" i="47" l="1"/>
  <c r="AP189" i="47"/>
  <c r="AO189" i="47"/>
  <c r="AN189" i="47"/>
  <c r="AH189" i="47"/>
  <c r="AI189" i="47"/>
  <c r="AI56" i="47"/>
  <c r="AN57" i="47"/>
  <c r="AM189" i="47" s="1"/>
  <c r="AL57" i="47"/>
  <c r="AK189" i="47" s="1"/>
  <c r="AP190" i="47" l="1"/>
  <c r="AO190" i="47"/>
  <c r="AJ190" i="47"/>
  <c r="AN190" i="47"/>
  <c r="AI190" i="47"/>
  <c r="AH190" i="47"/>
  <c r="AN58" i="47"/>
  <c r="AM190" i="47" s="1"/>
  <c r="AI57" i="47"/>
  <c r="AL58" i="47"/>
  <c r="AK190" i="47" s="1"/>
  <c r="AN191" i="47" l="1"/>
  <c r="AP191" i="47"/>
  <c r="AO191" i="47"/>
  <c r="AJ191" i="47"/>
  <c r="AN59" i="47"/>
  <c r="AM191" i="47" s="1"/>
  <c r="AL59" i="47"/>
  <c r="AK191" i="47" s="1"/>
  <c r="AI191" i="47"/>
  <c r="AH191" i="47"/>
  <c r="AI58" i="47"/>
  <c r="AJ192" i="47" l="1"/>
  <c r="AI192" i="47"/>
  <c r="AP192" i="47"/>
  <c r="AO192" i="47"/>
  <c r="AN192" i="47"/>
  <c r="AH192" i="47"/>
  <c r="AI59" i="47"/>
  <c r="AL60" i="47"/>
  <c r="AK192" i="47" s="1"/>
  <c r="AN60" i="47"/>
  <c r="AM192" i="47" s="1"/>
  <c r="AN193" i="47" l="1"/>
  <c r="AH193" i="47"/>
  <c r="AP193" i="47"/>
  <c r="AO193" i="47"/>
  <c r="AM193" i="47"/>
  <c r="AK193" i="47"/>
  <c r="AJ193" i="47"/>
  <c r="AI193" i="47"/>
  <c r="AN61" i="47"/>
  <c r="AM61" i="47"/>
  <c r="AL61" i="47"/>
  <c r="AI60" i="47"/>
  <c r="AN194" i="47" l="1"/>
  <c r="AP194" i="47"/>
  <c r="AO194" i="47"/>
  <c r="AJ194" i="47"/>
  <c r="AI194" i="47"/>
  <c r="AL62" i="47"/>
  <c r="AK194" i="47" s="1"/>
  <c r="AH194" i="47"/>
  <c r="AI61" i="47"/>
  <c r="AN62" i="47"/>
  <c r="AM194" i="47" s="1"/>
  <c r="AH195" i="47" l="1"/>
  <c r="AP195" i="47"/>
  <c r="AK195" i="47"/>
  <c r="AO195" i="47"/>
  <c r="AN195" i="47"/>
  <c r="AM195" i="47"/>
  <c r="AJ195" i="47"/>
  <c r="AI195" i="47"/>
  <c r="AN63" i="47"/>
  <c r="AM63" i="47"/>
  <c r="AL63" i="47"/>
  <c r="AI62" i="47"/>
  <c r="AO196" i="47" l="1"/>
  <c r="AN196" i="47"/>
  <c r="AH196" i="47"/>
  <c r="AP196" i="47"/>
  <c r="AJ196" i="47"/>
  <c r="AI196" i="47"/>
  <c r="AN64" i="47"/>
  <c r="AM196" i="47" s="1"/>
  <c r="AL64" i="47"/>
  <c r="AK196" i="47" s="1"/>
  <c r="AI63" i="47"/>
  <c r="AJ197" i="47" l="1"/>
  <c r="AP197" i="47"/>
  <c r="AO197" i="47"/>
  <c r="AN197" i="47"/>
  <c r="AI197" i="47"/>
  <c r="AI64" i="47"/>
  <c r="AH197" i="47"/>
  <c r="AL65" i="47"/>
  <c r="AK197" i="47" s="1"/>
  <c r="AN65" i="47"/>
  <c r="AM197" i="47" s="1"/>
  <c r="AO198" i="47" l="1"/>
  <c r="AI198" i="47"/>
  <c r="AH198" i="47"/>
  <c r="AP198" i="47"/>
  <c r="AN198" i="47"/>
  <c r="AM198" i="47"/>
  <c r="AK198" i="47"/>
  <c r="AN66" i="47"/>
  <c r="AM66" i="47"/>
  <c r="AL66" i="47"/>
  <c r="AJ198" i="47"/>
  <c r="AI65" i="47"/>
  <c r="AO199" i="47" l="1"/>
  <c r="AP199" i="47"/>
  <c r="AN199" i="47"/>
  <c r="AM199" i="47"/>
  <c r="AL67" i="47"/>
  <c r="AK199" i="47"/>
  <c r="AJ199" i="47"/>
  <c r="AI199" i="47"/>
  <c r="AH199" i="47"/>
  <c r="AI66" i="47"/>
  <c r="AM67" i="47"/>
  <c r="AN67" i="47"/>
  <c r="AI200" i="47" l="1"/>
  <c r="AP200" i="47"/>
  <c r="AO200" i="47"/>
  <c r="AN200" i="47"/>
  <c r="AJ200" i="47"/>
  <c r="AH200" i="47"/>
  <c r="AI67" i="47"/>
  <c r="AN68" i="47"/>
  <c r="AM200" i="47" s="1"/>
  <c r="AL68" i="47"/>
  <c r="AK200" i="47" s="1"/>
  <c r="AP201" i="47" l="1"/>
  <c r="AO201" i="47"/>
  <c r="AN201" i="47"/>
  <c r="AI201" i="47"/>
  <c r="AN69" i="47"/>
  <c r="AM201" i="47" s="1"/>
  <c r="AJ201" i="47"/>
  <c r="AH201" i="47"/>
  <c r="AL69" i="47"/>
  <c r="AK201" i="47" s="1"/>
  <c r="AI68" i="47"/>
  <c r="AP202" i="47" l="1"/>
  <c r="AO202" i="47"/>
  <c r="AN202" i="47"/>
  <c r="AJ202" i="47"/>
  <c r="AI202" i="47"/>
  <c r="AH202" i="47"/>
  <c r="AI69" i="47"/>
  <c r="AL70" i="47"/>
  <c r="AK202" i="47" s="1"/>
  <c r="AN70" i="47"/>
  <c r="AM202" i="47" s="1"/>
  <c r="AP203" i="47" l="1"/>
  <c r="AJ203" i="47"/>
  <c r="AI203" i="47"/>
  <c r="AH203" i="47"/>
  <c r="AO203" i="47"/>
  <c r="AN203" i="47"/>
  <c r="AL71" i="47"/>
  <c r="AK203" i="47" s="1"/>
  <c r="AN71" i="47"/>
  <c r="AM203" i="47" s="1"/>
  <c r="AI70" i="47"/>
  <c r="AM204" i="47" l="1"/>
  <c r="AP204" i="47"/>
  <c r="AO204" i="47"/>
  <c r="AN204" i="47"/>
  <c r="AK204" i="47"/>
  <c r="AJ204" i="47"/>
  <c r="AI204" i="47"/>
  <c r="AH204" i="47"/>
  <c r="AL72" i="47"/>
  <c r="AI71" i="47"/>
  <c r="AN72" i="47"/>
  <c r="AM72" i="47"/>
  <c r="AJ205" i="47" l="1"/>
  <c r="AP205" i="47"/>
  <c r="AO205" i="47"/>
  <c r="AN205" i="47"/>
  <c r="AI205" i="47"/>
  <c r="AH205" i="47"/>
  <c r="AN73" i="47"/>
  <c r="AM205" i="47" s="1"/>
  <c r="AI72" i="47"/>
  <c r="AL73" i="47"/>
  <c r="AK205" i="47" s="1"/>
  <c r="AP206" i="47" l="1"/>
  <c r="AO206" i="47"/>
  <c r="AJ206" i="47"/>
  <c r="AN206" i="47"/>
  <c r="AM206" i="47"/>
  <c r="AK206" i="47"/>
  <c r="AI206" i="47"/>
  <c r="AH206" i="47"/>
  <c r="AN74" i="47"/>
  <c r="AM74" i="47"/>
  <c r="AL74" i="47"/>
  <c r="AI73" i="47"/>
  <c r="AN207" i="47" l="1"/>
  <c r="AM207" i="47"/>
  <c r="AP207" i="47"/>
  <c r="AO207" i="47"/>
  <c r="AK207" i="47"/>
  <c r="AJ207" i="47"/>
  <c r="AI207" i="47"/>
  <c r="AH207" i="47"/>
  <c r="AI74" i="47"/>
  <c r="AM75" i="47"/>
  <c r="AL75" i="47"/>
  <c r="AN75" i="47"/>
  <c r="AJ208" i="47" l="1"/>
  <c r="AI208" i="47"/>
  <c r="AP208" i="47"/>
  <c r="AO208" i="47"/>
  <c r="AN76" i="47"/>
  <c r="AM208" i="47" s="1"/>
  <c r="AN208" i="47"/>
  <c r="AL76" i="47"/>
  <c r="AK208" i="47" s="1"/>
  <c r="AH208" i="47"/>
  <c r="AI75" i="47"/>
  <c r="AM52" i="47" l="1"/>
  <c r="AM57" i="47"/>
  <c r="AM55" i="47"/>
  <c r="AM51" i="47"/>
  <c r="AM56" i="47"/>
  <c r="AM48" i="47"/>
  <c r="AM47" i="47"/>
  <c r="AM49" i="47"/>
  <c r="AM50" i="47"/>
  <c r="AM46" i="47"/>
  <c r="AM6" i="47"/>
  <c r="AL138" i="47" s="1"/>
  <c r="AM7" i="47"/>
  <c r="AL139" i="47" s="1"/>
  <c r="AM42" i="47"/>
  <c r="AL174" i="47" s="1"/>
  <c r="AM53" i="47"/>
  <c r="AL185" i="47" s="1"/>
  <c r="AM65" i="47"/>
  <c r="AL197" i="47" s="1"/>
  <c r="AL198" i="47" s="1"/>
  <c r="AL199" i="47" s="1"/>
  <c r="AM45" i="47"/>
  <c r="AL177" i="47" s="1"/>
  <c r="AM68" i="47"/>
  <c r="AL200" i="47" s="1"/>
  <c r="AM31" i="47"/>
  <c r="AL163" i="47" s="1"/>
  <c r="AL164" i="47" s="1"/>
  <c r="AL165" i="47" s="1"/>
  <c r="AL166" i="47" s="1"/>
  <c r="AL167" i="47" s="1"/>
  <c r="AM14" i="47"/>
  <c r="AL146" i="47" s="1"/>
  <c r="AM8" i="47"/>
  <c r="AL140" i="47" s="1"/>
  <c r="AM70" i="47"/>
  <c r="AL202" i="47" s="1"/>
  <c r="AM58" i="47"/>
  <c r="AL190" i="47" s="1"/>
  <c r="AM60" i="47"/>
  <c r="AL192" i="47" s="1"/>
  <c r="AL193" i="47" s="1"/>
  <c r="AM62" i="47"/>
  <c r="AL194" i="47" s="1"/>
  <c r="AL195" i="47" s="1"/>
  <c r="AM15" i="47"/>
  <c r="AL147" i="47" s="1"/>
  <c r="AL148" i="47" s="1"/>
  <c r="AL149" i="47" s="1"/>
  <c r="AL150" i="47" s="1"/>
  <c r="AL151" i="47" s="1"/>
  <c r="AL152" i="47" s="1"/>
  <c r="AL153" i="47" s="1"/>
  <c r="AL154" i="47" s="1"/>
  <c r="AL155" i="47" s="1"/>
  <c r="AL156" i="47" s="1"/>
  <c r="AL157" i="47" s="1"/>
  <c r="AL158" i="47" s="1"/>
  <c r="AL159" i="47" s="1"/>
  <c r="AL160" i="47" s="1"/>
  <c r="AL161" i="47" s="1"/>
  <c r="AL162" i="47" s="1"/>
  <c r="AM54" i="47"/>
  <c r="AL186" i="47" s="1"/>
  <c r="AM43" i="47"/>
  <c r="AL175" i="47" s="1"/>
  <c r="AM69" i="47"/>
  <c r="AL201" i="47" s="1"/>
  <c r="AM64" i="47"/>
  <c r="AL196" i="47" s="1"/>
  <c r="AM9" i="47"/>
  <c r="AL141" i="47" s="1"/>
  <c r="AN209" i="47"/>
  <c r="AH209" i="47"/>
  <c r="AP209" i="47"/>
  <c r="AO209" i="47"/>
  <c r="AJ209" i="47"/>
  <c r="AI209" i="47"/>
  <c r="AI76" i="47"/>
  <c r="AL77" i="47"/>
  <c r="AK209" i="47" s="1"/>
  <c r="AN77" i="47"/>
  <c r="AM209" i="47" s="1"/>
  <c r="AM11" i="47"/>
  <c r="AL143" i="47" s="1"/>
  <c r="AM44" i="47"/>
  <c r="AL176" i="47" s="1"/>
  <c r="AM10" i="47"/>
  <c r="AL142" i="47" s="1"/>
  <c r="AM41" i="47"/>
  <c r="AL173" i="47" s="1"/>
  <c r="AM36" i="47"/>
  <c r="AL168" i="47" s="1"/>
  <c r="AM12" i="47"/>
  <c r="AL144" i="47" s="1"/>
  <c r="AL145" i="47" s="1"/>
  <c r="AM37" i="47"/>
  <c r="AL169" i="47" s="1"/>
  <c r="AL170" i="47" s="1"/>
  <c r="AL171" i="47" s="1"/>
  <c r="AL172" i="47" s="1"/>
  <c r="AM59" i="47"/>
  <c r="AL191" i="47" s="1"/>
  <c r="AL187" i="47" l="1"/>
  <c r="AL188" i="47" s="1"/>
  <c r="AL189" i="47"/>
  <c r="AL178" i="47"/>
  <c r="AL179" i="47" s="1"/>
  <c r="AL180" i="47" s="1"/>
  <c r="AL181" i="47" s="1"/>
  <c r="AL182" i="47" s="1"/>
  <c r="AL183" i="47" s="1"/>
  <c r="AL184" i="47" s="1"/>
  <c r="AN210" i="47"/>
  <c r="AP210" i="47"/>
  <c r="AO210" i="47"/>
  <c r="AJ210" i="47"/>
  <c r="AI210" i="47"/>
  <c r="AN78" i="47"/>
  <c r="AM210" i="47" s="1"/>
  <c r="AH210" i="47"/>
  <c r="AI77" i="47"/>
  <c r="AL78" i="47"/>
  <c r="AK210" i="47" s="1"/>
  <c r="AH211" i="47" l="1"/>
  <c r="AP211" i="47"/>
  <c r="AK211" i="47"/>
  <c r="AO211" i="47"/>
  <c r="AN211" i="47"/>
  <c r="AM211" i="47"/>
  <c r="AJ211" i="47"/>
  <c r="AI211" i="47"/>
  <c r="AN79" i="47"/>
  <c r="AM79" i="47"/>
  <c r="AL79" i="47"/>
  <c r="AI78" i="47"/>
  <c r="AO212" i="47" l="1"/>
  <c r="AN212" i="47"/>
  <c r="AH212" i="47"/>
  <c r="AP212" i="47"/>
  <c r="AI79" i="47"/>
  <c r="AJ212" i="47"/>
  <c r="AI212" i="47"/>
  <c r="AN80" i="47"/>
  <c r="AM212" i="47" s="1"/>
  <c r="AL80" i="47"/>
  <c r="AK212" i="47" s="1"/>
  <c r="AJ213" i="47" l="1"/>
  <c r="AP213" i="47"/>
  <c r="AO213" i="47"/>
  <c r="AN213" i="47"/>
  <c r="AI213" i="47"/>
  <c r="AH213" i="47"/>
  <c r="AI80" i="47"/>
  <c r="AL81" i="47"/>
  <c r="AK213" i="47" s="1"/>
  <c r="AN81" i="47"/>
  <c r="AM213" i="47" s="1"/>
  <c r="AO214" i="47" l="1"/>
  <c r="AI214" i="47"/>
  <c r="AH214" i="47"/>
  <c r="AP214" i="47"/>
  <c r="AN214" i="47"/>
  <c r="AI81" i="47"/>
  <c r="AJ214" i="47"/>
  <c r="AN82" i="47"/>
  <c r="AM214" i="47" s="1"/>
  <c r="AL82" i="47"/>
  <c r="AK214" i="47" s="1"/>
  <c r="AO215" i="47" l="1"/>
  <c r="AP215" i="47"/>
  <c r="AN215" i="47"/>
  <c r="AM215" i="47"/>
  <c r="AK215" i="47"/>
  <c r="AM83" i="47"/>
  <c r="AJ215" i="47"/>
  <c r="AI215" i="47"/>
  <c r="AH215" i="47"/>
  <c r="AI82" i="47"/>
  <c r="AN83" i="47"/>
  <c r="AL83" i="47"/>
  <c r="AI216" i="47" l="1"/>
  <c r="AO216" i="47"/>
  <c r="AN216" i="47"/>
  <c r="AJ216" i="47"/>
  <c r="AH216" i="47"/>
  <c r="AP216" i="47"/>
  <c r="AI83" i="47"/>
  <c r="AN84" i="47"/>
  <c r="AM216" i="47" s="1"/>
  <c r="AL84" i="47"/>
  <c r="AK216" i="47" s="1"/>
  <c r="AP217" i="47" l="1"/>
  <c r="AO217" i="47"/>
  <c r="AN217" i="47"/>
  <c r="AI217" i="47"/>
  <c r="AJ217" i="47"/>
  <c r="AH217" i="47"/>
  <c r="AN85" i="47"/>
  <c r="AM217" i="47" s="1"/>
  <c r="AL85" i="47"/>
  <c r="AK217" i="47" s="1"/>
  <c r="AI84" i="47"/>
  <c r="AM218" i="47" l="1"/>
  <c r="AK218" i="47"/>
  <c r="AP218" i="47"/>
  <c r="AO218" i="47"/>
  <c r="AN218" i="47"/>
  <c r="AJ218" i="47"/>
  <c r="AI218" i="47"/>
  <c r="AH218" i="47"/>
  <c r="AI85" i="47"/>
  <c r="AN86" i="47"/>
  <c r="AM86" i="47"/>
  <c r="AL86" i="47"/>
  <c r="AP219" i="47" l="1"/>
  <c r="AJ219" i="47"/>
  <c r="AI219" i="47"/>
  <c r="AH219" i="47"/>
  <c r="AO219" i="47"/>
  <c r="AN219" i="47"/>
  <c r="AL87" i="47"/>
  <c r="AK219" i="47" s="1"/>
  <c r="AI86" i="47"/>
  <c r="AN87" i="47"/>
  <c r="AM219" i="47" s="1"/>
  <c r="AM220" i="47" l="1"/>
  <c r="AP220" i="47"/>
  <c r="AO220" i="47"/>
  <c r="AN220" i="47"/>
  <c r="AK220" i="47"/>
  <c r="AJ220" i="47"/>
  <c r="AI220" i="47"/>
  <c r="AH220" i="47"/>
  <c r="AM88" i="47"/>
  <c r="AL88" i="47"/>
  <c r="AN88" i="47"/>
  <c r="AI87" i="47"/>
  <c r="AJ221" i="47" l="1"/>
  <c r="AM221" i="47"/>
  <c r="AO221" i="47"/>
  <c r="AN221" i="47"/>
  <c r="AK221" i="47"/>
  <c r="AI221" i="47"/>
  <c r="AH221" i="47"/>
  <c r="AN89" i="47"/>
  <c r="AP221" i="47"/>
  <c r="AI88" i="47"/>
  <c r="AM89" i="47"/>
  <c r="AL89" i="47"/>
  <c r="AP222" i="47" l="1"/>
  <c r="AO222" i="47"/>
  <c r="AJ222" i="47"/>
  <c r="AI222" i="47"/>
  <c r="AL90" i="47"/>
  <c r="AK222" i="47" s="1"/>
  <c r="AH222" i="47"/>
  <c r="AN222" i="47"/>
  <c r="AN90" i="47"/>
  <c r="AM222" i="47" s="1"/>
  <c r="AI89" i="47"/>
  <c r="AN223" i="47" l="1"/>
  <c r="AO223" i="47"/>
  <c r="AJ223" i="47"/>
  <c r="AI223" i="47"/>
  <c r="AH223" i="47"/>
  <c r="AP223" i="47"/>
  <c r="AI90" i="47"/>
  <c r="AN91" i="47"/>
  <c r="AM223" i="47" s="1"/>
  <c r="AL91" i="47"/>
  <c r="AK223" i="47" s="1"/>
  <c r="AJ224" i="47" l="1"/>
  <c r="AI224" i="47"/>
  <c r="AO224" i="47"/>
  <c r="AN224" i="47"/>
  <c r="AN92" i="47"/>
  <c r="AM224" i="47" s="1"/>
  <c r="AH224" i="47"/>
  <c r="AL92" i="47"/>
  <c r="AK224" i="47" s="1"/>
  <c r="AP224" i="47"/>
  <c r="AI91" i="47"/>
  <c r="AN225" i="47" l="1"/>
  <c r="AH225" i="47"/>
  <c r="AJ225" i="47"/>
  <c r="AI225" i="47"/>
  <c r="AI92" i="47"/>
  <c r="AP225" i="47"/>
  <c r="AO225" i="47"/>
  <c r="AN93" i="47"/>
  <c r="AM225" i="47" s="1"/>
  <c r="AL93" i="47"/>
  <c r="AK225" i="47" s="1"/>
  <c r="AN226" i="47" l="1"/>
  <c r="AJ226" i="47"/>
  <c r="AI226" i="47"/>
  <c r="AH226" i="47"/>
  <c r="AN94" i="47"/>
  <c r="AP226" i="47"/>
  <c r="AO226" i="47"/>
  <c r="AM226" i="47"/>
  <c r="AI93" i="47"/>
  <c r="AL94" i="47"/>
  <c r="AK226" i="47" s="1"/>
  <c r="AH227" i="47" l="1"/>
  <c r="AP227" i="47"/>
  <c r="AJ227" i="47"/>
  <c r="AI227" i="47"/>
  <c r="AO227" i="47"/>
  <c r="AN227" i="47"/>
  <c r="AN95" i="47"/>
  <c r="AM227" i="47" s="1"/>
  <c r="AL95" i="47"/>
  <c r="AK227" i="47" s="1"/>
  <c r="AI94" i="47"/>
  <c r="AO228" i="47" l="1"/>
  <c r="AN228" i="47"/>
  <c r="AH228" i="47"/>
  <c r="AJ228" i="47"/>
  <c r="AI228" i="47"/>
  <c r="AI95" i="47"/>
  <c r="AP228" i="47"/>
  <c r="AN96" i="47"/>
  <c r="AM228" i="47" s="1"/>
  <c r="AL96" i="47"/>
  <c r="AK228" i="47" s="1"/>
  <c r="AJ229" i="47" l="1"/>
  <c r="AN229" i="47"/>
  <c r="AI229" i="47"/>
  <c r="AH229" i="47"/>
  <c r="AP229" i="47"/>
  <c r="AO229" i="47"/>
  <c r="AI96" i="47"/>
  <c r="AN97" i="47"/>
  <c r="AM229" i="47" s="1"/>
  <c r="AL97" i="47"/>
  <c r="AK229" i="47" s="1"/>
  <c r="AO230" i="47" l="1"/>
  <c r="AI230" i="47"/>
  <c r="AH230" i="47"/>
  <c r="AJ230" i="47"/>
  <c r="AI97" i="47"/>
  <c r="AP230" i="47"/>
  <c r="AN230" i="47"/>
  <c r="AN98" i="47"/>
  <c r="AM230" i="47" s="1"/>
  <c r="AL98" i="47"/>
  <c r="AK230" i="47" s="1"/>
  <c r="AO231" i="47" l="1"/>
  <c r="AK231" i="47"/>
  <c r="AJ231" i="47"/>
  <c r="AI231" i="47"/>
  <c r="AH231" i="47"/>
  <c r="AM99" i="47"/>
  <c r="AP231" i="47"/>
  <c r="AN231" i="47"/>
  <c r="AM231" i="47"/>
  <c r="AN99" i="47"/>
  <c r="AL99" i="47"/>
  <c r="AI98" i="47"/>
  <c r="AI232" i="47" l="1"/>
  <c r="AJ232" i="47"/>
  <c r="AH232" i="47"/>
  <c r="AP232" i="47"/>
  <c r="AO232" i="47"/>
  <c r="AN232" i="47"/>
  <c r="AI99" i="47"/>
  <c r="AN100" i="47"/>
  <c r="AM232" i="47" s="1"/>
  <c r="AL100" i="47"/>
  <c r="AK232" i="47" s="1"/>
  <c r="AP233" i="47" l="1"/>
  <c r="AO233" i="47"/>
  <c r="AN233" i="47"/>
  <c r="AI233" i="47"/>
  <c r="AJ233" i="47"/>
  <c r="AH233" i="47"/>
  <c r="AN101" i="47"/>
  <c r="AM233" i="47" s="1"/>
  <c r="AL101" i="47"/>
  <c r="AK233" i="47" s="1"/>
  <c r="AI100" i="47"/>
  <c r="AJ234" i="47" l="1"/>
  <c r="AI234" i="47"/>
  <c r="AH234" i="47"/>
  <c r="AI101" i="47"/>
  <c r="AP234" i="47"/>
  <c r="AO234" i="47"/>
  <c r="AN234" i="47"/>
  <c r="AL102" i="47"/>
  <c r="AK234" i="47" s="1"/>
  <c r="AN102" i="47"/>
  <c r="AM234" i="47" s="1"/>
  <c r="AP235" i="47" l="1"/>
  <c r="AJ235" i="47"/>
  <c r="AI235" i="47"/>
  <c r="AH235" i="47"/>
  <c r="AN103" i="47"/>
  <c r="AM235" i="47" s="1"/>
  <c r="AO235" i="47"/>
  <c r="AN235" i="47"/>
  <c r="AI102" i="47"/>
  <c r="AL103" i="47"/>
  <c r="AK235" i="47" s="1"/>
  <c r="AP236" i="47" l="1"/>
  <c r="AJ236" i="47"/>
  <c r="AI236" i="47"/>
  <c r="AH236" i="47"/>
  <c r="AO236" i="47"/>
  <c r="AN236" i="47"/>
  <c r="AN104" i="47"/>
  <c r="AM236" i="47" s="1"/>
  <c r="AL104" i="47"/>
  <c r="AK236" i="47" s="1"/>
  <c r="AI103" i="47"/>
  <c r="AM71" i="47" l="1"/>
  <c r="AL203" i="47" s="1"/>
  <c r="AL204" i="47" s="1"/>
  <c r="AM73" i="47"/>
  <c r="AL205" i="47" s="1"/>
  <c r="AL206" i="47" s="1"/>
  <c r="AL207" i="47" s="1"/>
  <c r="AJ237" i="47"/>
  <c r="AI237" i="47"/>
  <c r="AH237" i="47"/>
  <c r="AI104" i="47"/>
  <c r="AP237" i="47"/>
  <c r="AO237" i="47"/>
  <c r="AN237" i="47"/>
  <c r="AN105" i="47"/>
  <c r="AM237" i="47" s="1"/>
  <c r="AL105" i="47"/>
  <c r="AK237" i="47" s="1"/>
  <c r="AP238" i="47" l="1"/>
  <c r="AO238" i="47"/>
  <c r="AJ238" i="47"/>
  <c r="AI238" i="47"/>
  <c r="AH238" i="47"/>
  <c r="AN238" i="47"/>
  <c r="AM238" i="47"/>
  <c r="AK238" i="47"/>
  <c r="AI105" i="47"/>
  <c r="AN106" i="47"/>
  <c r="AM106" i="47"/>
  <c r="AL106" i="47"/>
  <c r="AN239" i="47" l="1"/>
  <c r="AI239" i="47"/>
  <c r="AH239" i="47"/>
  <c r="AI106" i="47"/>
  <c r="AP239" i="47"/>
  <c r="AO239" i="47"/>
  <c r="AJ239" i="47"/>
  <c r="AN107" i="47"/>
  <c r="AM239" i="47" s="1"/>
  <c r="AL107" i="47"/>
  <c r="AK239" i="47" s="1"/>
  <c r="AJ240" i="47" l="1"/>
  <c r="AI240" i="47"/>
  <c r="AH240" i="47"/>
  <c r="AP240" i="47"/>
  <c r="AO240" i="47"/>
  <c r="AN240" i="47"/>
  <c r="AI107" i="47"/>
  <c r="AN108" i="47"/>
  <c r="AM240" i="47" s="1"/>
  <c r="AL108" i="47"/>
  <c r="AK240" i="47" s="1"/>
  <c r="AN241" i="47" l="1"/>
  <c r="AH241" i="47"/>
  <c r="AJ241" i="47"/>
  <c r="AI241" i="47"/>
  <c r="AP241" i="47"/>
  <c r="AO241" i="47"/>
  <c r="AM241" i="47"/>
  <c r="AK241" i="47"/>
  <c r="AI108" i="47"/>
  <c r="AN109" i="47"/>
  <c r="AM109" i="47"/>
  <c r="AL109" i="47"/>
  <c r="AK242" i="47" l="1"/>
  <c r="AN242" i="47"/>
  <c r="AH242" i="47"/>
  <c r="AM110" i="47"/>
  <c r="AO242" i="47"/>
  <c r="AM242" i="47"/>
  <c r="AJ242" i="47"/>
  <c r="AI242" i="47"/>
  <c r="AN110" i="47"/>
  <c r="AL110" i="47"/>
  <c r="AP242" i="47"/>
  <c r="AI109" i="47"/>
  <c r="AH243" i="47" l="1"/>
  <c r="AP243" i="47"/>
  <c r="AK243" i="47"/>
  <c r="AN243" i="47"/>
  <c r="AM243" i="47"/>
  <c r="AJ243" i="47"/>
  <c r="AI243" i="47"/>
  <c r="AI110" i="47"/>
  <c r="AO243" i="47"/>
  <c r="AM111" i="47"/>
  <c r="AL111" i="47"/>
  <c r="AN111" i="47"/>
  <c r="AO244" i="47" l="1"/>
  <c r="AN244" i="47"/>
  <c r="AH244" i="47"/>
  <c r="AL112" i="47"/>
  <c r="AP244" i="47"/>
  <c r="AK244" i="47"/>
  <c r="AJ244" i="47"/>
  <c r="AI244" i="47"/>
  <c r="AN112" i="47"/>
  <c r="AM244" i="47" s="1"/>
  <c r="AI111" i="47"/>
  <c r="AM80" i="47" l="1"/>
  <c r="AL212" i="47" s="1"/>
  <c r="AM84" i="47"/>
  <c r="AL216" i="47" s="1"/>
  <c r="AM82" i="47"/>
  <c r="AL214" i="47" s="1"/>
  <c r="AL215" i="47" s="1"/>
  <c r="AM94" i="47"/>
  <c r="AL226" i="47" s="1"/>
  <c r="AM92" i="47"/>
  <c r="AL224" i="47" s="1"/>
  <c r="AJ245" i="47"/>
  <c r="AH245" i="47"/>
  <c r="AP245" i="47"/>
  <c r="AO245" i="47"/>
  <c r="AN245" i="47"/>
  <c r="AI245" i="47"/>
  <c r="AL113" i="47"/>
  <c r="AK245" i="47" s="1"/>
  <c r="AI112" i="47"/>
  <c r="AN113" i="47"/>
  <c r="AM245" i="47" s="1"/>
  <c r="AM102" i="47"/>
  <c r="AL234" i="47" s="1"/>
  <c r="AM87" i="47"/>
  <c r="AL219" i="47" s="1"/>
  <c r="AL220" i="47" s="1"/>
  <c r="AL221" i="47" s="1"/>
  <c r="AM91" i="47"/>
  <c r="AL223" i="47" s="1"/>
  <c r="AM101" i="47"/>
  <c r="AL233" i="47" s="1"/>
  <c r="AM81" i="47"/>
  <c r="AL213" i="47" s="1"/>
  <c r="AM97" i="47"/>
  <c r="AL229" i="47" s="1"/>
  <c r="AM100" i="47"/>
  <c r="AL232" i="47" s="1"/>
  <c r="AM98" i="47"/>
  <c r="AL230" i="47" s="1"/>
  <c r="AL231" i="47" s="1"/>
  <c r="AM78" i="47"/>
  <c r="AL210" i="47" s="1"/>
  <c r="AL211" i="47" s="1"/>
  <c r="AM85" i="47"/>
  <c r="AL217" i="47" s="1"/>
  <c r="AL218" i="47" s="1"/>
  <c r="AM96" i="47"/>
  <c r="AL228" i="47" s="1"/>
  <c r="AM90" i="47"/>
  <c r="AL222" i="47" s="1"/>
  <c r="AM103" i="47"/>
  <c r="AL235" i="47" s="1"/>
  <c r="AM93" i="47"/>
  <c r="AL225" i="47" s="1"/>
  <c r="AM95" i="47"/>
  <c r="AL227" i="47" s="1"/>
  <c r="AO246" i="47" l="1"/>
  <c r="AI246" i="47"/>
  <c r="AH246" i="47"/>
  <c r="AJ246" i="47"/>
  <c r="AN114" i="47"/>
  <c r="AP246" i="47"/>
  <c r="AN246" i="47"/>
  <c r="AM246" i="47"/>
  <c r="AI113" i="47"/>
  <c r="AL114" i="47"/>
  <c r="AK246" i="47" s="1"/>
  <c r="AO247" i="47" l="1"/>
  <c r="AH247" i="47"/>
  <c r="AL115" i="47"/>
  <c r="AK247" i="47" s="1"/>
  <c r="AN247" i="47"/>
  <c r="AJ247" i="47"/>
  <c r="AI247" i="47"/>
  <c r="AN115" i="47"/>
  <c r="AM247" i="47" s="1"/>
  <c r="AI114" i="47"/>
  <c r="AP247" i="47"/>
  <c r="AI248" i="47" l="1"/>
  <c r="AN248" i="47"/>
  <c r="AM248" i="47"/>
  <c r="AK248" i="47"/>
  <c r="AJ248" i="47"/>
  <c r="AH248" i="47"/>
  <c r="AP248" i="47"/>
  <c r="AO248" i="47"/>
  <c r="AI115" i="47"/>
  <c r="AN116" i="47"/>
  <c r="AM116" i="47"/>
  <c r="AL116" i="47"/>
  <c r="AP249" i="47" l="1"/>
  <c r="AO249" i="47"/>
  <c r="AN249" i="47"/>
  <c r="AI249" i="47"/>
  <c r="AN117" i="47"/>
  <c r="AL117" i="47"/>
  <c r="AK249" i="47" s="1"/>
  <c r="AJ249" i="47"/>
  <c r="AH249" i="47"/>
  <c r="AI116" i="47"/>
  <c r="AM249" i="47"/>
  <c r="AM250" i="47" l="1"/>
  <c r="AK250" i="47"/>
  <c r="AI117" i="47"/>
  <c r="AO250" i="47"/>
  <c r="AN250" i="47"/>
  <c r="AJ250" i="47"/>
  <c r="AI250" i="47"/>
  <c r="AH250" i="47"/>
  <c r="AN118" i="47"/>
  <c r="AM118" i="47"/>
  <c r="AL118" i="47"/>
  <c r="AP250" i="47"/>
  <c r="AP251" i="47" l="1"/>
  <c r="AJ251" i="47"/>
  <c r="AI251" i="47"/>
  <c r="AH251" i="47"/>
  <c r="AN119" i="47"/>
  <c r="AO251" i="47"/>
  <c r="AN251" i="47"/>
  <c r="AM251" i="47"/>
  <c r="AK251" i="47"/>
  <c r="AI118" i="47"/>
  <c r="AM119" i="47"/>
  <c r="AL119" i="47"/>
  <c r="AP252" i="47" l="1"/>
  <c r="AH252" i="47"/>
  <c r="AN252" i="47"/>
  <c r="AJ252" i="47"/>
  <c r="AI252" i="47"/>
  <c r="AN120" i="47"/>
  <c r="AM252" i="47" s="1"/>
  <c r="AL120" i="47"/>
  <c r="AK252" i="47" s="1"/>
  <c r="AO252" i="47"/>
  <c r="AI119" i="47"/>
  <c r="AM105" i="47" l="1"/>
  <c r="AL237" i="47" s="1"/>
  <c r="AL238" i="47" s="1"/>
  <c r="AM107" i="47"/>
  <c r="AL239" i="47" s="1"/>
  <c r="AM104" i="47"/>
  <c r="AL236" i="47" s="1"/>
  <c r="AM108" i="47"/>
  <c r="AL240" i="47" s="1"/>
  <c r="AL241" i="47" s="1"/>
  <c r="AL242" i="47" s="1"/>
  <c r="AL243" i="47" s="1"/>
  <c r="AJ253" i="47"/>
  <c r="AI120" i="47"/>
  <c r="AN253" i="47"/>
  <c r="AI253" i="47"/>
  <c r="AH253" i="47"/>
  <c r="AL121" i="47"/>
  <c r="AK253" i="47" s="1"/>
  <c r="AP253" i="47"/>
  <c r="AO253" i="47"/>
  <c r="AN121" i="47"/>
  <c r="AM253" i="47" s="1"/>
  <c r="AP254" i="47" l="1"/>
  <c r="AO254" i="47"/>
  <c r="AJ254" i="47"/>
  <c r="AI254" i="47"/>
  <c r="AH254" i="47"/>
  <c r="AN254" i="47"/>
  <c r="AI121" i="47"/>
  <c r="AL122" i="47"/>
  <c r="AK254" i="47" s="1"/>
  <c r="AN122" i="47"/>
  <c r="AM254" i="47" s="1"/>
  <c r="AN255" i="47" l="1"/>
  <c r="AI122" i="47"/>
  <c r="AJ255" i="47"/>
  <c r="AI255" i="47"/>
  <c r="AH255" i="47"/>
  <c r="AN123" i="47"/>
  <c r="AM255" i="47" s="1"/>
  <c r="AP255" i="47"/>
  <c r="AO255" i="47"/>
  <c r="AL123" i="47"/>
  <c r="AK255" i="47" s="1"/>
  <c r="AJ256" i="47" l="1"/>
  <c r="AI256" i="47"/>
  <c r="AN256" i="47"/>
  <c r="AH256" i="47"/>
  <c r="AL124" i="47"/>
  <c r="AK256" i="47" s="1"/>
  <c r="AP256" i="47"/>
  <c r="AI123" i="47"/>
  <c r="AO256" i="47"/>
  <c r="AN124" i="47"/>
  <c r="AM256" i="47" s="1"/>
  <c r="AN257" i="47" l="1"/>
  <c r="AH257" i="47"/>
  <c r="AP257" i="47"/>
  <c r="AJ257" i="47"/>
  <c r="AI257" i="47"/>
  <c r="AI124" i="47"/>
  <c r="AN125" i="47"/>
  <c r="AM257" i="47" s="1"/>
  <c r="AO257" i="47"/>
  <c r="AL125" i="47"/>
  <c r="AK257" i="47" s="1"/>
  <c r="AK258" i="47" l="1"/>
  <c r="AN258" i="47"/>
  <c r="AM126" i="47"/>
  <c r="AP258" i="47"/>
  <c r="AO258" i="47"/>
  <c r="AJ258" i="47"/>
  <c r="AI258" i="47"/>
  <c r="AH258" i="47"/>
  <c r="AM258" i="47"/>
  <c r="AN126" i="47"/>
  <c r="AL126" i="47"/>
  <c r="AI125" i="47"/>
  <c r="AH259" i="47" l="1"/>
  <c r="AP259" i="47"/>
  <c r="AN259" i="47"/>
  <c r="AO259" i="47"/>
  <c r="AJ259" i="47"/>
  <c r="AI259" i="47"/>
  <c r="AI126" i="47"/>
  <c r="AN127" i="47"/>
  <c r="AM259" i="47" s="1"/>
  <c r="AL127" i="47"/>
  <c r="AK259" i="47" s="1"/>
  <c r="AM112" i="47" l="1"/>
  <c r="AL244" i="47" s="1"/>
  <c r="AM113" i="47"/>
  <c r="AL245" i="47" s="1"/>
  <c r="AM114" i="47"/>
  <c r="AL246" i="47" s="1"/>
  <c r="AM115" i="47"/>
  <c r="AL247" i="47" s="1"/>
  <c r="AL248" i="47" s="1"/>
  <c r="AM117" i="47"/>
  <c r="AL249" i="47" s="1"/>
  <c r="AL250" i="47" s="1"/>
  <c r="AL251" i="47" s="1"/>
  <c r="AO260" i="47"/>
  <c r="AN260" i="47"/>
  <c r="AH260" i="47"/>
  <c r="AL128" i="47"/>
  <c r="AK260" i="47" s="1"/>
  <c r="AJ260" i="47"/>
  <c r="AI260" i="47"/>
  <c r="AI127" i="47"/>
  <c r="AM125" i="47" s="1"/>
  <c r="AL257" i="47" s="1"/>
  <c r="AL258" i="47" s="1"/>
  <c r="AN128" i="47"/>
  <c r="AM260" i="47" s="1"/>
  <c r="AP260" i="47"/>
  <c r="AM123" i="47" l="1"/>
  <c r="AL255" i="47" s="1"/>
  <c r="AM121" i="47"/>
  <c r="AL253" i="47" s="1"/>
  <c r="AM122" i="47"/>
  <c r="AL254" i="47" s="1"/>
  <c r="AM124" i="47"/>
  <c r="AL256" i="47" s="1"/>
  <c r="AM120" i="47"/>
  <c r="AL252" i="47" s="1"/>
  <c r="AJ261" i="47"/>
  <c r="AH261" i="47"/>
  <c r="AP261" i="47"/>
  <c r="AO261" i="47"/>
  <c r="AN261" i="47"/>
  <c r="AI261" i="47"/>
  <c r="AN129" i="47"/>
  <c r="AM261" i="47" s="1"/>
  <c r="AL129" i="47"/>
  <c r="AK261" i="47" s="1"/>
  <c r="AI128" i="47"/>
  <c r="AO262" i="47" l="1"/>
  <c r="AI262" i="47"/>
  <c r="AH262" i="47"/>
  <c r="AJ262" i="47"/>
  <c r="AN130" i="47"/>
  <c r="AP262" i="47"/>
  <c r="AN262" i="47"/>
  <c r="AM262" i="47"/>
  <c r="AK262" i="47"/>
  <c r="AI129" i="47"/>
  <c r="AL130" i="47"/>
  <c r="AM130" i="47"/>
  <c r="AO263" i="47" l="1"/>
  <c r="AH263" i="47"/>
  <c r="AL131" i="47"/>
  <c r="AN263" i="47"/>
  <c r="AM263" i="47"/>
  <c r="AK263" i="47"/>
  <c r="AJ263" i="47"/>
  <c r="AI263" i="47"/>
  <c r="AN131" i="47"/>
  <c r="AM131" i="47"/>
  <c r="AP263" i="47"/>
  <c r="AI130" i="47"/>
  <c r="AM127" i="47" l="1"/>
  <c r="AL259" i="47" s="1"/>
  <c r="AM129" i="47" l="1"/>
  <c r="AL261" i="47" s="1"/>
  <c r="AL262" i="47" s="1"/>
  <c r="AL263" i="47" s="1"/>
  <c r="AM128" i="47"/>
  <c r="AL260" i="47" s="1"/>
  <c r="AM134" i="47"/>
  <c r="AL266" i="47" s="1"/>
  <c r="AL267" i="47" s="1"/>
  <c r="AM132" i="47"/>
  <c r="AL264" i="47" s="1"/>
  <c r="AL265" i="47" s="1"/>
  <c r="AM77" i="47"/>
  <c r="AL209" i="47" s="1"/>
  <c r="AM76" i="47"/>
  <c r="AL208" i="47" s="1"/>
  <c r="J278" i="46" l="1"/>
  <c r="I278" i="46"/>
  <c r="N278" i="46" s="1"/>
  <c r="I277" i="46"/>
  <c r="N277" i="46" s="1"/>
  <c r="N276" i="46"/>
  <c r="M276" i="46"/>
  <c r="L276" i="46"/>
  <c r="K276" i="46"/>
  <c r="J276" i="46"/>
  <c r="I276" i="46"/>
  <c r="M275" i="46"/>
  <c r="L275" i="46"/>
  <c r="K275" i="46"/>
  <c r="I275" i="46"/>
  <c r="N275" i="46" s="1"/>
  <c r="M274" i="46"/>
  <c r="K274" i="46"/>
  <c r="I274" i="46"/>
  <c r="J274" i="46" s="1"/>
  <c r="M273" i="46"/>
  <c r="K273" i="46"/>
  <c r="I273" i="46"/>
  <c r="N273" i="46" s="1"/>
  <c r="I272" i="46"/>
  <c r="N272" i="46" s="1"/>
  <c r="I271" i="46"/>
  <c r="N271" i="46" s="1"/>
  <c r="M270" i="46"/>
  <c r="I270" i="46"/>
  <c r="N270" i="46" s="1"/>
  <c r="N269" i="46"/>
  <c r="I269" i="46"/>
  <c r="M269" i="46" s="1"/>
  <c r="N268" i="46"/>
  <c r="K268" i="46"/>
  <c r="I268" i="46"/>
  <c r="M268" i="46" s="1"/>
  <c r="N267" i="46"/>
  <c r="L267" i="46"/>
  <c r="I267" i="46"/>
  <c r="K267" i="46" s="1"/>
  <c r="M266" i="46"/>
  <c r="I266" i="46"/>
  <c r="N265" i="46"/>
  <c r="L265" i="46"/>
  <c r="J265" i="46"/>
  <c r="I265" i="46"/>
  <c r="M265" i="46" s="1"/>
  <c r="N264" i="46"/>
  <c r="L264" i="46"/>
  <c r="K264" i="46"/>
  <c r="J264" i="46"/>
  <c r="I264" i="46"/>
  <c r="M264" i="46" s="1"/>
  <c r="N263" i="46"/>
  <c r="L263" i="46"/>
  <c r="J263" i="46"/>
  <c r="I263" i="46"/>
  <c r="M263" i="46" s="1"/>
  <c r="I262" i="46"/>
  <c r="L261" i="46"/>
  <c r="J261" i="46"/>
  <c r="I261" i="46"/>
  <c r="N261" i="46" s="1"/>
  <c r="N260" i="46"/>
  <c r="M260" i="46"/>
  <c r="L260" i="46"/>
  <c r="J260" i="46"/>
  <c r="I260" i="46"/>
  <c r="K260" i="46" s="1"/>
  <c r="N259" i="46"/>
  <c r="M259" i="46"/>
  <c r="J259" i="46"/>
  <c r="I259" i="46"/>
  <c r="L259" i="46" s="1"/>
  <c r="N258" i="46"/>
  <c r="M258" i="46"/>
  <c r="L258" i="46"/>
  <c r="K258" i="46"/>
  <c r="J258" i="46"/>
  <c r="I258" i="46"/>
  <c r="N257" i="46"/>
  <c r="M257" i="46"/>
  <c r="L257" i="46"/>
  <c r="K257" i="46"/>
  <c r="J257" i="46"/>
  <c r="I257" i="46"/>
  <c r="K256" i="46"/>
  <c r="I256" i="46"/>
  <c r="I255" i="46"/>
  <c r="M254" i="46"/>
  <c r="I254" i="46"/>
  <c r="N253" i="46"/>
  <c r="I253" i="46"/>
  <c r="M253" i="46" s="1"/>
  <c r="N252" i="46"/>
  <c r="K252" i="46"/>
  <c r="I252" i="46"/>
  <c r="M252" i="46" s="1"/>
  <c r="N251" i="46"/>
  <c r="L251" i="46"/>
  <c r="I251" i="46"/>
  <c r="K251" i="46" s="1"/>
  <c r="M250" i="46"/>
  <c r="L250" i="46"/>
  <c r="I250" i="46"/>
  <c r="N249" i="46"/>
  <c r="L249" i="46"/>
  <c r="J249" i="46"/>
  <c r="I249" i="46"/>
  <c r="M249" i="46" s="1"/>
  <c r="N248" i="46"/>
  <c r="L248" i="46"/>
  <c r="K248" i="46"/>
  <c r="J248" i="46"/>
  <c r="I248" i="46"/>
  <c r="M248" i="46" s="1"/>
  <c r="N247" i="46"/>
  <c r="L247" i="46"/>
  <c r="J247" i="46"/>
  <c r="I247" i="46"/>
  <c r="M247" i="46" s="1"/>
  <c r="J246" i="46"/>
  <c r="I246" i="46"/>
  <c r="L245" i="46"/>
  <c r="J245" i="46"/>
  <c r="I245" i="46"/>
  <c r="N245" i="46" s="1"/>
  <c r="N244" i="46"/>
  <c r="M244" i="46"/>
  <c r="L244" i="46"/>
  <c r="J244" i="46"/>
  <c r="I244" i="46"/>
  <c r="K244" i="46" s="1"/>
  <c r="N243" i="46"/>
  <c r="M243" i="46"/>
  <c r="L243" i="46"/>
  <c r="J243" i="46"/>
  <c r="I243" i="46"/>
  <c r="K243" i="46" s="1"/>
  <c r="N242" i="46"/>
  <c r="M242" i="46"/>
  <c r="L242" i="46"/>
  <c r="K242" i="46"/>
  <c r="J242" i="46"/>
  <c r="I242" i="46"/>
  <c r="N241" i="46"/>
  <c r="M241" i="46"/>
  <c r="L241" i="46"/>
  <c r="K241" i="46"/>
  <c r="J241" i="46"/>
  <c r="I241" i="46"/>
  <c r="K240" i="46"/>
  <c r="J240" i="46"/>
  <c r="I240" i="46"/>
  <c r="J239" i="46"/>
  <c r="I239" i="46"/>
  <c r="K238" i="46"/>
  <c r="I238" i="46"/>
  <c r="N237" i="46"/>
  <c r="M237" i="46"/>
  <c r="K237" i="46"/>
  <c r="I237" i="46"/>
  <c r="N236" i="46"/>
  <c r="K236" i="46"/>
  <c r="I236" i="46"/>
  <c r="N235" i="46"/>
  <c r="L235" i="46"/>
  <c r="K235" i="46"/>
  <c r="I235" i="46"/>
  <c r="J235" i="46" s="1"/>
  <c r="N234" i="46"/>
  <c r="I234" i="46"/>
  <c r="I233" i="46"/>
  <c r="N232" i="46"/>
  <c r="L232" i="46"/>
  <c r="K232" i="46"/>
  <c r="J232" i="46"/>
  <c r="I232" i="46"/>
  <c r="M232" i="46" s="1"/>
  <c r="N231" i="46"/>
  <c r="L231" i="46"/>
  <c r="J231" i="46"/>
  <c r="I231" i="46"/>
  <c r="N230" i="46"/>
  <c r="L230" i="46"/>
  <c r="J230" i="46"/>
  <c r="I230" i="46"/>
  <c r="N229" i="46"/>
  <c r="L229" i="46"/>
  <c r="J229" i="46"/>
  <c r="I229" i="46"/>
  <c r="M229" i="46" s="1"/>
  <c r="N228" i="46"/>
  <c r="M228" i="46"/>
  <c r="L228" i="46"/>
  <c r="J228" i="46"/>
  <c r="I228" i="46"/>
  <c r="K228" i="46" s="1"/>
  <c r="N227" i="46"/>
  <c r="M227" i="46"/>
  <c r="L227" i="46"/>
  <c r="J227" i="46"/>
  <c r="I227" i="46"/>
  <c r="K227" i="46" s="1"/>
  <c r="N226" i="46"/>
  <c r="M226" i="46"/>
  <c r="L226" i="46"/>
  <c r="K226" i="46"/>
  <c r="J226" i="46"/>
  <c r="I226" i="46"/>
  <c r="N225" i="46"/>
  <c r="M225" i="46"/>
  <c r="L225" i="46"/>
  <c r="K225" i="46"/>
  <c r="J225" i="46"/>
  <c r="I225" i="46"/>
  <c r="M224" i="46"/>
  <c r="K224" i="46"/>
  <c r="J224" i="46"/>
  <c r="I224" i="46"/>
  <c r="K223" i="46"/>
  <c r="J223" i="46"/>
  <c r="I223" i="46"/>
  <c r="I222" i="46"/>
  <c r="I221" i="46"/>
  <c r="I220" i="46"/>
  <c r="N220" i="46" s="1"/>
  <c r="N219" i="46"/>
  <c r="M219" i="46"/>
  <c r="L219" i="46"/>
  <c r="K219" i="46"/>
  <c r="I219" i="46"/>
  <c r="J219" i="46" s="1"/>
  <c r="I218" i="46"/>
  <c r="J218" i="46" s="1"/>
  <c r="N217" i="46"/>
  <c r="L217" i="46"/>
  <c r="K217" i="46"/>
  <c r="J217" i="46"/>
  <c r="I217" i="46"/>
  <c r="M217" i="46" s="1"/>
  <c r="N216" i="46"/>
  <c r="M216" i="46"/>
  <c r="L216" i="46"/>
  <c r="K216" i="46"/>
  <c r="J216" i="46"/>
  <c r="I216" i="46"/>
  <c r="N215" i="46"/>
  <c r="L215" i="46"/>
  <c r="J215" i="46"/>
  <c r="I215" i="46"/>
  <c r="N214" i="46"/>
  <c r="L214" i="46"/>
  <c r="K214" i="46"/>
  <c r="J214" i="46"/>
  <c r="I214" i="46"/>
  <c r="M214" i="46" s="1"/>
  <c r="N213" i="46"/>
  <c r="L213" i="46"/>
  <c r="J213" i="46"/>
  <c r="I213" i="46"/>
  <c r="M213" i="46" s="1"/>
  <c r="I212" i="46"/>
  <c r="K212" i="46" s="1"/>
  <c r="N211" i="46"/>
  <c r="M211" i="46"/>
  <c r="L211" i="46"/>
  <c r="J211" i="46"/>
  <c r="I211" i="46"/>
  <c r="K211" i="46" s="1"/>
  <c r="N210" i="46"/>
  <c r="M210" i="46"/>
  <c r="L210" i="46"/>
  <c r="K210" i="46"/>
  <c r="J210" i="46"/>
  <c r="I210" i="46"/>
  <c r="N209" i="46"/>
  <c r="M209" i="46"/>
  <c r="L209" i="46"/>
  <c r="K209" i="46"/>
  <c r="J209" i="46"/>
  <c r="I209" i="46"/>
  <c r="M208" i="46"/>
  <c r="L208" i="46"/>
  <c r="K208" i="46"/>
  <c r="J208" i="46"/>
  <c r="I208" i="46"/>
  <c r="N208" i="46" s="1"/>
  <c r="I207" i="46"/>
  <c r="N207" i="46" s="1"/>
  <c r="M206" i="46"/>
  <c r="K206" i="46"/>
  <c r="J206" i="46"/>
  <c r="I206" i="46"/>
  <c r="N205" i="46"/>
  <c r="M205" i="46"/>
  <c r="K205" i="46"/>
  <c r="J205" i="46"/>
  <c r="I205" i="46"/>
  <c r="L205" i="46" s="1"/>
  <c r="I204" i="46"/>
  <c r="N203" i="46"/>
  <c r="I203" i="46"/>
  <c r="J203" i="46" s="1"/>
  <c r="N202" i="46"/>
  <c r="M202" i="46"/>
  <c r="L202" i="46"/>
  <c r="I202" i="46"/>
  <c r="J202" i="46" s="1"/>
  <c r="K201" i="46"/>
  <c r="J201" i="46"/>
  <c r="I201" i="46"/>
  <c r="N201" i="46" s="1"/>
  <c r="N200" i="46"/>
  <c r="M200" i="46"/>
  <c r="K200" i="46"/>
  <c r="J200" i="46"/>
  <c r="I200" i="46"/>
  <c r="L200" i="46" s="1"/>
  <c r="N199" i="46"/>
  <c r="L199" i="46"/>
  <c r="K199" i="46"/>
  <c r="J199" i="46"/>
  <c r="I199" i="46"/>
  <c r="M199" i="46" s="1"/>
  <c r="L198" i="46"/>
  <c r="K198" i="46"/>
  <c r="J198" i="46"/>
  <c r="I198" i="46"/>
  <c r="M198" i="46" s="1"/>
  <c r="L197" i="46"/>
  <c r="J197" i="46"/>
  <c r="I197" i="46"/>
  <c r="N196" i="46"/>
  <c r="L196" i="46"/>
  <c r="I196" i="46"/>
  <c r="K196" i="46" s="1"/>
  <c r="N195" i="46"/>
  <c r="M195" i="46"/>
  <c r="L195" i="46"/>
  <c r="J195" i="46"/>
  <c r="I195" i="46"/>
  <c r="K195" i="46" s="1"/>
  <c r="N194" i="46"/>
  <c r="M194" i="46"/>
  <c r="L194" i="46"/>
  <c r="K194" i="46"/>
  <c r="J194" i="46"/>
  <c r="I194" i="46"/>
  <c r="N193" i="46"/>
  <c r="M193" i="46"/>
  <c r="L193" i="46"/>
  <c r="K193" i="46"/>
  <c r="J193" i="46"/>
  <c r="I193" i="46"/>
  <c r="M192" i="46"/>
  <c r="K192" i="46"/>
  <c r="J192" i="46"/>
  <c r="I192" i="46"/>
  <c r="N192" i="46" s="1"/>
  <c r="M191" i="46"/>
  <c r="K191" i="46"/>
  <c r="I191" i="46"/>
  <c r="N191" i="46" s="1"/>
  <c r="M190" i="46"/>
  <c r="K190" i="46"/>
  <c r="J190" i="46"/>
  <c r="I190" i="46"/>
  <c r="I189" i="46"/>
  <c r="L189" i="46" s="1"/>
  <c r="M188" i="46"/>
  <c r="I188" i="46"/>
  <c r="N187" i="46"/>
  <c r="M187" i="46"/>
  <c r="L187" i="46"/>
  <c r="I187" i="46"/>
  <c r="J187" i="46" s="1"/>
  <c r="N186" i="46"/>
  <c r="M186" i="46"/>
  <c r="K186" i="46"/>
  <c r="I186" i="46"/>
  <c r="J186" i="46" s="1"/>
  <c r="I185" i="46"/>
  <c r="N185" i="46" s="1"/>
  <c r="N184" i="46"/>
  <c r="M184" i="46"/>
  <c r="I184" i="46"/>
  <c r="K184" i="46" s="1"/>
  <c r="N183" i="46"/>
  <c r="L183" i="46"/>
  <c r="K183" i="46"/>
  <c r="J183" i="46"/>
  <c r="I183" i="46"/>
  <c r="M183" i="46" s="1"/>
  <c r="I182" i="46"/>
  <c r="I181" i="46"/>
  <c r="N181" i="46" s="1"/>
  <c r="N180" i="46"/>
  <c r="M180" i="46"/>
  <c r="L180" i="46"/>
  <c r="I180" i="46"/>
  <c r="K180" i="46" s="1"/>
  <c r="N179" i="46"/>
  <c r="M179" i="46"/>
  <c r="L179" i="46"/>
  <c r="J179" i="46"/>
  <c r="I179" i="46"/>
  <c r="K179" i="46" s="1"/>
  <c r="N178" i="46"/>
  <c r="M178" i="46"/>
  <c r="L178" i="46"/>
  <c r="K178" i="46"/>
  <c r="J178" i="46"/>
  <c r="I178" i="46"/>
  <c r="N177" i="46"/>
  <c r="M177" i="46"/>
  <c r="L177" i="46"/>
  <c r="K177" i="46"/>
  <c r="J177" i="46"/>
  <c r="I177" i="46"/>
  <c r="M176" i="46"/>
  <c r="I176" i="46"/>
  <c r="N176" i="46" s="1"/>
  <c r="M175" i="46"/>
  <c r="L175" i="46"/>
  <c r="K175" i="46"/>
  <c r="I175" i="46"/>
  <c r="N175" i="46" s="1"/>
  <c r="I174" i="46"/>
  <c r="I173" i="46"/>
  <c r="L173" i="46" s="1"/>
  <c r="N172" i="46"/>
  <c r="M172" i="46"/>
  <c r="I172" i="46"/>
  <c r="K171" i="46"/>
  <c r="I171" i="46"/>
  <c r="J171" i="46" s="1"/>
  <c r="N170" i="46"/>
  <c r="L170" i="46"/>
  <c r="K170" i="46"/>
  <c r="I170" i="46"/>
  <c r="J170" i="46" s="1"/>
  <c r="N169" i="46"/>
  <c r="M169" i="46"/>
  <c r="K169" i="46"/>
  <c r="I169" i="46"/>
  <c r="L169" i="46" s="1"/>
  <c r="M168" i="46"/>
  <c r="L168" i="46"/>
  <c r="K168" i="46"/>
  <c r="I168" i="46"/>
  <c r="N168" i="46" s="1"/>
  <c r="I167" i="46"/>
  <c r="N166" i="46"/>
  <c r="L166" i="46"/>
  <c r="K166" i="46"/>
  <c r="J166" i="46"/>
  <c r="I166" i="46"/>
  <c r="M166" i="46" s="1"/>
  <c r="N165" i="46"/>
  <c r="L165" i="46"/>
  <c r="I165" i="46"/>
  <c r="J165" i="46" s="1"/>
  <c r="N164" i="46"/>
  <c r="M164" i="46"/>
  <c r="J164" i="46"/>
  <c r="I164" i="46"/>
  <c r="K164" i="46" s="1"/>
  <c r="N163" i="46"/>
  <c r="M163" i="46"/>
  <c r="L163" i="46"/>
  <c r="J163" i="46"/>
  <c r="I163" i="46"/>
  <c r="K163" i="46" s="1"/>
  <c r="N162" i="46"/>
  <c r="M162" i="46"/>
  <c r="L162" i="46"/>
  <c r="K162" i="46"/>
  <c r="J162" i="46"/>
  <c r="I162" i="46"/>
  <c r="N161" i="46"/>
  <c r="M161" i="46"/>
  <c r="L161" i="46"/>
  <c r="K161" i="46"/>
  <c r="J161" i="46"/>
  <c r="I161" i="46"/>
  <c r="M160" i="46"/>
  <c r="L160" i="46"/>
  <c r="K160" i="46"/>
  <c r="I160" i="46"/>
  <c r="N160" i="46" s="1"/>
  <c r="L159" i="46"/>
  <c r="J159" i="46"/>
  <c r="I159" i="46"/>
  <c r="N159" i="46" s="1"/>
  <c r="M158" i="46"/>
  <c r="K158" i="46"/>
  <c r="J158" i="46"/>
  <c r="I158" i="46"/>
  <c r="N157" i="46"/>
  <c r="M157" i="46"/>
  <c r="K157" i="46"/>
  <c r="J157" i="46"/>
  <c r="I157" i="46"/>
  <c r="L157" i="46" s="1"/>
  <c r="N156" i="46"/>
  <c r="K156" i="46"/>
  <c r="I156" i="46"/>
  <c r="I155" i="46"/>
  <c r="N154" i="46"/>
  <c r="L154" i="46"/>
  <c r="I154" i="46"/>
  <c r="J154" i="46" s="1"/>
  <c r="N153" i="46"/>
  <c r="M153" i="46"/>
  <c r="L153" i="46"/>
  <c r="K153" i="46"/>
  <c r="I153" i="46"/>
  <c r="J153" i="46" s="1"/>
  <c r="I152" i="46"/>
  <c r="I151" i="46"/>
  <c r="M151" i="46" s="1"/>
  <c r="N150" i="46"/>
  <c r="L150" i="46"/>
  <c r="J150" i="46"/>
  <c r="I150" i="46"/>
  <c r="M150" i="46" s="1"/>
  <c r="L149" i="46"/>
  <c r="J149" i="46"/>
  <c r="I149" i="46"/>
  <c r="N148" i="46"/>
  <c r="L148" i="46"/>
  <c r="J148" i="46"/>
  <c r="I148" i="46"/>
  <c r="K148" i="46" s="1"/>
  <c r="N147" i="46"/>
  <c r="M147" i="46"/>
  <c r="L147" i="46"/>
  <c r="J147" i="46"/>
  <c r="I147" i="46"/>
  <c r="K147" i="46" s="1"/>
  <c r="N146" i="46"/>
  <c r="M146" i="46"/>
  <c r="L146" i="46"/>
  <c r="K146" i="46"/>
  <c r="J146" i="46"/>
  <c r="I146" i="46"/>
  <c r="N145" i="46"/>
  <c r="M145" i="46"/>
  <c r="L145" i="46"/>
  <c r="K145" i="46"/>
  <c r="J145" i="46"/>
  <c r="I145" i="46"/>
  <c r="K144" i="46"/>
  <c r="J144" i="46"/>
  <c r="I144" i="46"/>
  <c r="M143" i="46"/>
  <c r="J143" i="46"/>
  <c r="I143" i="46"/>
  <c r="N143" i="46" s="1"/>
  <c r="M142" i="46"/>
  <c r="J142" i="46"/>
  <c r="I142" i="46"/>
  <c r="M141" i="46"/>
  <c r="K141" i="46"/>
  <c r="J141" i="46"/>
  <c r="I141" i="46"/>
  <c r="L141" i="46" s="1"/>
  <c r="K140" i="46"/>
  <c r="I140" i="46"/>
  <c r="N139" i="46"/>
  <c r="L139" i="46"/>
  <c r="I139" i="46"/>
  <c r="J139" i="46" s="1"/>
  <c r="N138" i="46"/>
  <c r="M138" i="46"/>
  <c r="L138" i="46"/>
  <c r="I138" i="46"/>
  <c r="J138" i="46" s="1"/>
  <c r="L137" i="46"/>
  <c r="I137" i="46"/>
  <c r="I136" i="46"/>
  <c r="N135" i="46"/>
  <c r="L135" i="46"/>
  <c r="K135" i="46"/>
  <c r="J135" i="46"/>
  <c r="I135" i="46"/>
  <c r="M135" i="46" s="1"/>
  <c r="N134" i="46"/>
  <c r="L134" i="46"/>
  <c r="K134" i="46"/>
  <c r="J134" i="46"/>
  <c r="I134" i="46"/>
  <c r="M134" i="46" s="1"/>
  <c r="I133" i="46"/>
  <c r="N132" i="46"/>
  <c r="L132" i="46"/>
  <c r="I132" i="46"/>
  <c r="K132" i="46" s="1"/>
  <c r="N131" i="46"/>
  <c r="M131" i="46"/>
  <c r="L131" i="46"/>
  <c r="J131" i="46"/>
  <c r="I131" i="46"/>
  <c r="K131" i="46" s="1"/>
  <c r="N130" i="46"/>
  <c r="M130" i="46"/>
  <c r="L130" i="46"/>
  <c r="K130" i="46"/>
  <c r="J130" i="46"/>
  <c r="I130" i="46"/>
  <c r="N129" i="46"/>
  <c r="M129" i="46"/>
  <c r="L129" i="46"/>
  <c r="K129" i="46"/>
  <c r="J129" i="46"/>
  <c r="I129" i="46"/>
  <c r="I128" i="46"/>
  <c r="M127" i="46"/>
  <c r="K127" i="46"/>
  <c r="I127" i="46"/>
  <c r="N127" i="46" s="1"/>
  <c r="M126" i="46"/>
  <c r="K126" i="46"/>
  <c r="J126" i="46"/>
  <c r="I126" i="46"/>
  <c r="J125" i="46"/>
  <c r="I125" i="46"/>
  <c r="M124" i="46"/>
  <c r="I124" i="46"/>
  <c r="N124" i="46" s="1"/>
  <c r="N123" i="46"/>
  <c r="M123" i="46"/>
  <c r="L123" i="46"/>
  <c r="I123" i="46"/>
  <c r="J123" i="46" s="1"/>
  <c r="I122" i="46"/>
  <c r="I121" i="46"/>
  <c r="M121" i="46" s="1"/>
  <c r="N120" i="46"/>
  <c r="M120" i="46"/>
  <c r="K120" i="46"/>
  <c r="I120" i="46"/>
  <c r="L120" i="46" s="1"/>
  <c r="L119" i="46"/>
  <c r="K119" i="46"/>
  <c r="J119" i="46"/>
  <c r="I119" i="46"/>
  <c r="M119" i="46" s="1"/>
  <c r="K118" i="46"/>
  <c r="I118" i="46"/>
  <c r="L117" i="46"/>
  <c r="I117" i="46"/>
  <c r="M116" i="46"/>
  <c r="I116" i="46"/>
  <c r="N115" i="46"/>
  <c r="M115" i="46"/>
  <c r="L115" i="46"/>
  <c r="J115" i="46"/>
  <c r="I115" i="46"/>
  <c r="K115" i="46" s="1"/>
  <c r="N114" i="46"/>
  <c r="M114" i="46"/>
  <c r="L114" i="46"/>
  <c r="K114" i="46"/>
  <c r="J114" i="46"/>
  <c r="I114" i="46"/>
  <c r="N113" i="46"/>
  <c r="M113" i="46"/>
  <c r="L113" i="46"/>
  <c r="K113" i="46"/>
  <c r="J113" i="46"/>
  <c r="I113" i="46"/>
  <c r="M112" i="46"/>
  <c r="K112" i="46"/>
  <c r="I112" i="46"/>
  <c r="N112" i="46" s="1"/>
  <c r="M111" i="46"/>
  <c r="I111" i="46"/>
  <c r="I110" i="46"/>
  <c r="K110" i="46" s="1"/>
  <c r="N109" i="46"/>
  <c r="M109" i="46"/>
  <c r="K109" i="46"/>
  <c r="J109" i="46"/>
  <c r="I109" i="46"/>
  <c r="L109" i="46" s="1"/>
  <c r="I108" i="46"/>
  <c r="L107" i="46"/>
  <c r="K107" i="46"/>
  <c r="I107" i="46"/>
  <c r="I106" i="46"/>
  <c r="N105" i="46"/>
  <c r="M105" i="46"/>
  <c r="K105" i="46"/>
  <c r="I105" i="46"/>
  <c r="J105" i="46" s="1"/>
  <c r="N104" i="46"/>
  <c r="M104" i="46"/>
  <c r="L104" i="46"/>
  <c r="K104" i="46"/>
  <c r="I104" i="46"/>
  <c r="J104" i="46" s="1"/>
  <c r="I103" i="46"/>
  <c r="I102" i="46"/>
  <c r="N101" i="46"/>
  <c r="L101" i="46"/>
  <c r="I101" i="46"/>
  <c r="J100" i="46"/>
  <c r="I100" i="46"/>
  <c r="L100" i="46" s="1"/>
  <c r="N99" i="46"/>
  <c r="M99" i="46"/>
  <c r="L99" i="46"/>
  <c r="J99" i="46"/>
  <c r="I99" i="46"/>
  <c r="K99" i="46" s="1"/>
  <c r="N98" i="46"/>
  <c r="M98" i="46"/>
  <c r="L98" i="46"/>
  <c r="K98" i="46"/>
  <c r="J98" i="46"/>
  <c r="I98" i="46"/>
  <c r="N97" i="46"/>
  <c r="M97" i="46"/>
  <c r="L97" i="46"/>
  <c r="K97" i="46"/>
  <c r="J97" i="46"/>
  <c r="I97" i="46"/>
  <c r="M96" i="46"/>
  <c r="L96" i="46"/>
  <c r="K96" i="46"/>
  <c r="I96" i="46"/>
  <c r="N96" i="46" s="1"/>
  <c r="K95" i="46"/>
  <c r="I95" i="46"/>
  <c r="I94" i="46"/>
  <c r="N93" i="46"/>
  <c r="M93" i="46"/>
  <c r="J93" i="46"/>
  <c r="I93" i="46"/>
  <c r="L93" i="46" s="1"/>
  <c r="M92" i="46"/>
  <c r="I92" i="46"/>
  <c r="N91" i="46"/>
  <c r="I91" i="46"/>
  <c r="N90" i="46"/>
  <c r="L90" i="46"/>
  <c r="I90" i="46"/>
  <c r="J90" i="46" s="1"/>
  <c r="M89" i="46"/>
  <c r="K89" i="46"/>
  <c r="I89" i="46"/>
  <c r="L89" i="46" s="1"/>
  <c r="L88" i="46"/>
  <c r="K88" i="46"/>
  <c r="J88" i="46"/>
  <c r="I88" i="46"/>
  <c r="N87" i="46"/>
  <c r="L87" i="46"/>
  <c r="K87" i="46"/>
  <c r="J87" i="46"/>
  <c r="I87" i="46"/>
  <c r="M87" i="46" s="1"/>
  <c r="N86" i="46"/>
  <c r="L86" i="46"/>
  <c r="K86" i="46"/>
  <c r="J86" i="46"/>
  <c r="I86" i="46"/>
  <c r="M86" i="46" s="1"/>
  <c r="L85" i="46"/>
  <c r="I85" i="46"/>
  <c r="I84" i="46"/>
  <c r="N83" i="46"/>
  <c r="M83" i="46"/>
  <c r="L83" i="46"/>
  <c r="J83" i="46"/>
  <c r="I83" i="46"/>
  <c r="K83" i="46" s="1"/>
  <c r="N82" i="46"/>
  <c r="M82" i="46"/>
  <c r="L82" i="46"/>
  <c r="K82" i="46"/>
  <c r="J82" i="46"/>
  <c r="I82" i="46"/>
  <c r="N81" i="46"/>
  <c r="M81" i="46"/>
  <c r="L81" i="46"/>
  <c r="K81" i="46"/>
  <c r="J81" i="46"/>
  <c r="I81" i="46"/>
  <c r="K80" i="46"/>
  <c r="I80" i="46"/>
  <c r="I79" i="46"/>
  <c r="M78" i="46"/>
  <c r="K78" i="46"/>
  <c r="J78" i="46"/>
  <c r="I78" i="46"/>
  <c r="N77" i="46"/>
  <c r="M77" i="46"/>
  <c r="K77" i="46"/>
  <c r="J77" i="46"/>
  <c r="I77" i="46"/>
  <c r="L77" i="46" s="1"/>
  <c r="I76" i="46"/>
  <c r="N75" i="46"/>
  <c r="M75" i="46"/>
  <c r="L75" i="46"/>
  <c r="I75" i="46"/>
  <c r="J75" i="46" s="1"/>
  <c r="N74" i="46"/>
  <c r="M74" i="46"/>
  <c r="L74" i="46"/>
  <c r="I74" i="46"/>
  <c r="J74" i="46" s="1"/>
  <c r="K73" i="46"/>
  <c r="J73" i="46"/>
  <c r="I73" i="46"/>
  <c r="N72" i="46"/>
  <c r="M72" i="46"/>
  <c r="I72" i="46"/>
  <c r="N71" i="46"/>
  <c r="L71" i="46"/>
  <c r="J71" i="46"/>
  <c r="I71" i="46"/>
  <c r="M71" i="46" s="1"/>
  <c r="L70" i="46"/>
  <c r="J70" i="46"/>
  <c r="I70" i="46"/>
  <c r="K70" i="46" s="1"/>
  <c r="I69" i="46"/>
  <c r="N68" i="46"/>
  <c r="L68" i="46"/>
  <c r="I68" i="46"/>
  <c r="K68" i="46" s="1"/>
  <c r="N67" i="46"/>
  <c r="M67" i="46"/>
  <c r="L67" i="46"/>
  <c r="J67" i="46"/>
  <c r="I67" i="46"/>
  <c r="K67" i="46" s="1"/>
  <c r="N66" i="46"/>
  <c r="M66" i="46"/>
  <c r="L66" i="46"/>
  <c r="K66" i="46"/>
  <c r="J66" i="46"/>
  <c r="I66" i="46"/>
  <c r="N65" i="46"/>
  <c r="M65" i="46"/>
  <c r="L65" i="46"/>
  <c r="K65" i="46"/>
  <c r="J65" i="46"/>
  <c r="I65" i="46"/>
  <c r="I64" i="46"/>
  <c r="M64" i="46" s="1"/>
  <c r="M63" i="46"/>
  <c r="K63" i="46"/>
  <c r="I63" i="46"/>
  <c r="N63" i="46" s="1"/>
  <c r="M62" i="46"/>
  <c r="K62" i="46"/>
  <c r="J62" i="46"/>
  <c r="I62" i="46"/>
  <c r="K61" i="46"/>
  <c r="I61" i="46"/>
  <c r="M60" i="46"/>
  <c r="I60" i="46"/>
  <c r="N59" i="46"/>
  <c r="M59" i="46"/>
  <c r="L59" i="46"/>
  <c r="K59" i="46"/>
  <c r="J59" i="46"/>
  <c r="I59" i="46"/>
  <c r="N58" i="46"/>
  <c r="M58" i="46"/>
  <c r="L58" i="46"/>
  <c r="K58" i="46"/>
  <c r="I58" i="46"/>
  <c r="J58" i="46" s="1"/>
  <c r="I57" i="46"/>
  <c r="I56" i="46"/>
  <c r="J56" i="46" s="1"/>
  <c r="N55" i="46"/>
  <c r="M55" i="46"/>
  <c r="K55" i="46"/>
  <c r="I55" i="46"/>
  <c r="L55" i="46" s="1"/>
  <c r="N54" i="46"/>
  <c r="M54" i="46"/>
  <c r="L54" i="46"/>
  <c r="K54" i="46"/>
  <c r="J54" i="46"/>
  <c r="I54" i="46"/>
  <c r="N53" i="46"/>
  <c r="L53" i="46"/>
  <c r="K53" i="46"/>
  <c r="J53" i="46"/>
  <c r="I53" i="46"/>
  <c r="M53" i="46" s="1"/>
  <c r="I52" i="46"/>
  <c r="J52" i="46" s="1"/>
  <c r="N51" i="46"/>
  <c r="I51" i="46"/>
  <c r="N50" i="46"/>
  <c r="M50" i="46"/>
  <c r="L50" i="46"/>
  <c r="K50" i="46"/>
  <c r="J50" i="46"/>
  <c r="I50" i="46"/>
  <c r="M49" i="46"/>
  <c r="K49" i="46"/>
  <c r="I49" i="46"/>
  <c r="J49" i="46" s="1"/>
  <c r="N48" i="46"/>
  <c r="M48" i="46"/>
  <c r="L48" i="46"/>
  <c r="J48" i="46"/>
  <c r="I48" i="46"/>
  <c r="K48" i="46" s="1"/>
  <c r="K47" i="46"/>
  <c r="I47" i="46"/>
  <c r="N47" i="46" s="1"/>
  <c r="N46" i="46"/>
  <c r="M46" i="46"/>
  <c r="L46" i="46"/>
  <c r="K46" i="46"/>
  <c r="J46" i="46"/>
  <c r="I46" i="46"/>
  <c r="K45" i="46"/>
  <c r="J45" i="46"/>
  <c r="I45" i="46"/>
  <c r="N44" i="46"/>
  <c r="J44" i="46"/>
  <c r="I44" i="46"/>
  <c r="M44" i="46" s="1"/>
  <c r="I43" i="46"/>
  <c r="N42" i="46"/>
  <c r="M42" i="46"/>
  <c r="L42" i="46"/>
  <c r="J42" i="46"/>
  <c r="I42" i="46"/>
  <c r="K42" i="46" s="1"/>
  <c r="N41" i="46"/>
  <c r="M41" i="46"/>
  <c r="K41" i="46"/>
  <c r="I41" i="46"/>
  <c r="L41" i="46" s="1"/>
  <c r="N40" i="46"/>
  <c r="M40" i="46"/>
  <c r="L40" i="46"/>
  <c r="K40" i="46"/>
  <c r="J40" i="46"/>
  <c r="I40" i="46"/>
  <c r="N39" i="46"/>
  <c r="M39" i="46"/>
  <c r="L39" i="46"/>
  <c r="K39" i="46"/>
  <c r="I39" i="46"/>
  <c r="J39" i="46" s="1"/>
  <c r="L38" i="46"/>
  <c r="K38" i="46"/>
  <c r="J38" i="46"/>
  <c r="I38" i="46"/>
  <c r="I37" i="46"/>
  <c r="N37" i="46" s="1"/>
  <c r="J36" i="46"/>
  <c r="I36" i="46"/>
  <c r="N36" i="46" s="1"/>
  <c r="M35" i="46"/>
  <c r="I35" i="46"/>
  <c r="L35" i="46" s="1"/>
  <c r="N34" i="46"/>
  <c r="M34" i="46"/>
  <c r="L34" i="46"/>
  <c r="K34" i="46"/>
  <c r="J34" i="46"/>
  <c r="I34" i="46"/>
  <c r="N33" i="46"/>
  <c r="L33" i="46"/>
  <c r="I33" i="46"/>
  <c r="J33" i="46" s="1"/>
  <c r="N32" i="46"/>
  <c r="M32" i="46"/>
  <c r="L32" i="46"/>
  <c r="J32" i="46"/>
  <c r="I32" i="46"/>
  <c r="K32" i="46" s="1"/>
  <c r="J31" i="46"/>
  <c r="I31" i="46"/>
  <c r="N31" i="46" s="1"/>
  <c r="N30" i="46"/>
  <c r="M30" i="46"/>
  <c r="L30" i="46"/>
  <c r="K30" i="46"/>
  <c r="J30" i="46"/>
  <c r="I30" i="46"/>
  <c r="K29" i="46"/>
  <c r="I29" i="46"/>
  <c r="J28" i="46"/>
  <c r="I28" i="46"/>
  <c r="M28" i="46" s="1"/>
  <c r="I27" i="46"/>
  <c r="N26" i="46"/>
  <c r="M26" i="46"/>
  <c r="L26" i="46"/>
  <c r="J26" i="46"/>
  <c r="I26" i="46"/>
  <c r="K26" i="46" s="1"/>
  <c r="N25" i="46"/>
  <c r="M25" i="46"/>
  <c r="K25" i="46"/>
  <c r="I25" i="46"/>
  <c r="L25" i="46" s="1"/>
  <c r="N24" i="46"/>
  <c r="M24" i="46"/>
  <c r="L24" i="46"/>
  <c r="K24" i="46"/>
  <c r="J24" i="46"/>
  <c r="I24" i="46"/>
  <c r="N23" i="46"/>
  <c r="M23" i="46"/>
  <c r="L23" i="46"/>
  <c r="I23" i="46"/>
  <c r="J23" i="46" s="1"/>
  <c r="I22" i="46"/>
  <c r="K22" i="46" s="1"/>
  <c r="M21" i="46"/>
  <c r="L21" i="46"/>
  <c r="K21" i="46"/>
  <c r="J21" i="46"/>
  <c r="I21" i="46"/>
  <c r="N21" i="46" s="1"/>
  <c r="N20" i="46"/>
  <c r="I20" i="46"/>
  <c r="K19" i="46"/>
  <c r="I19" i="46"/>
  <c r="L19" i="46" s="1"/>
  <c r="N18" i="46"/>
  <c r="M18" i="46"/>
  <c r="L18" i="46"/>
  <c r="K18" i="46"/>
  <c r="J18" i="46"/>
  <c r="I18" i="46"/>
  <c r="N17" i="46"/>
  <c r="M17" i="46"/>
  <c r="L17" i="46"/>
  <c r="I17" i="46"/>
  <c r="J17" i="46" s="1"/>
  <c r="N16" i="46"/>
  <c r="M16" i="46"/>
  <c r="L16" i="46"/>
  <c r="J16" i="46"/>
  <c r="I16" i="46"/>
  <c r="K16" i="46" s="1"/>
  <c r="M15" i="46"/>
  <c r="K15" i="46"/>
  <c r="I15" i="46"/>
  <c r="N15" i="46" s="1"/>
  <c r="N14" i="46"/>
  <c r="M14" i="46"/>
  <c r="L14" i="46"/>
  <c r="K14" i="46"/>
  <c r="J14" i="46"/>
  <c r="I14" i="46"/>
  <c r="I13" i="46"/>
  <c r="J13" i="46" s="1"/>
  <c r="N12" i="46"/>
  <c r="K12" i="46"/>
  <c r="I12" i="46"/>
  <c r="M12" i="46" s="1"/>
  <c r="I11" i="46"/>
  <c r="I10" i="46"/>
  <c r="K10" i="46" s="1"/>
  <c r="N9" i="46"/>
  <c r="M9" i="46"/>
  <c r="K9" i="46"/>
  <c r="I9" i="46"/>
  <c r="L9" i="46" s="1"/>
  <c r="N8" i="46"/>
  <c r="M8" i="46"/>
  <c r="L8" i="46"/>
  <c r="K8" i="46"/>
  <c r="J8" i="46"/>
  <c r="I8" i="46"/>
  <c r="I7" i="46"/>
  <c r="J7" i="46" s="1"/>
  <c r="I6" i="46"/>
  <c r="L6" i="46" s="1"/>
  <c r="K116" i="46" l="1"/>
  <c r="J116" i="46"/>
  <c r="N137" i="46"/>
  <c r="M137" i="46"/>
  <c r="K137" i="46"/>
  <c r="L49" i="46"/>
  <c r="L116" i="46"/>
  <c r="L125" i="46"/>
  <c r="N125" i="46"/>
  <c r="M125" i="46"/>
  <c r="K125" i="46"/>
  <c r="J137" i="46"/>
  <c r="M149" i="46"/>
  <c r="K149" i="46"/>
  <c r="N149" i="46"/>
  <c r="N6" i="46"/>
  <c r="M6" i="46"/>
  <c r="N27" i="46"/>
  <c r="L27" i="46"/>
  <c r="K27" i="46"/>
  <c r="J27" i="46"/>
  <c r="K6" i="46"/>
  <c r="L7" i="46"/>
  <c r="J10" i="46"/>
  <c r="K13" i="46"/>
  <c r="J22" i="46"/>
  <c r="L28" i="46"/>
  <c r="L31" i="46"/>
  <c r="K37" i="46"/>
  <c r="M56" i="46"/>
  <c r="J64" i="46"/>
  <c r="N80" i="46"/>
  <c r="M80" i="46"/>
  <c r="N95" i="46"/>
  <c r="M95" i="46"/>
  <c r="L95" i="46"/>
  <c r="J106" i="46"/>
  <c r="N106" i="46"/>
  <c r="M106" i="46"/>
  <c r="L106" i="46"/>
  <c r="K106" i="46"/>
  <c r="J110" i="46"/>
  <c r="J121" i="46"/>
  <c r="M133" i="46"/>
  <c r="K133" i="46"/>
  <c r="N133" i="46"/>
  <c r="L133" i="46"/>
  <c r="J133" i="46"/>
  <c r="N43" i="46"/>
  <c r="M43" i="46"/>
  <c r="L43" i="46"/>
  <c r="K43" i="46"/>
  <c r="J43" i="46"/>
  <c r="M7" i="46"/>
  <c r="L10" i="46"/>
  <c r="J19" i="46"/>
  <c r="N28" i="46"/>
  <c r="M31" i="46"/>
  <c r="L37" i="46"/>
  <c r="J47" i="46"/>
  <c r="N56" i="46"/>
  <c r="J80" i="46"/>
  <c r="J95" i="46"/>
  <c r="J107" i="46"/>
  <c r="N107" i="46"/>
  <c r="J155" i="46"/>
  <c r="N155" i="46"/>
  <c r="M155" i="46"/>
  <c r="L155" i="46"/>
  <c r="K155" i="46"/>
  <c r="N22" i="46"/>
  <c r="M22" i="46"/>
  <c r="K28" i="46"/>
  <c r="J37" i="46"/>
  <c r="N79" i="46"/>
  <c r="M79" i="46"/>
  <c r="L79" i="46"/>
  <c r="K79" i="46"/>
  <c r="J79" i="46"/>
  <c r="N110" i="46"/>
  <c r="L110" i="46"/>
  <c r="M110" i="46"/>
  <c r="N116" i="46"/>
  <c r="L121" i="46"/>
  <c r="K121" i="46"/>
  <c r="N121" i="46"/>
  <c r="M102" i="46"/>
  <c r="K102" i="46"/>
  <c r="J102" i="46"/>
  <c r="N102" i="46"/>
  <c r="N111" i="46"/>
  <c r="J111" i="46"/>
  <c r="J122" i="46"/>
  <c r="N122" i="46"/>
  <c r="M122" i="46"/>
  <c r="N255" i="46"/>
  <c r="M255" i="46"/>
  <c r="L255" i="46"/>
  <c r="K255" i="46"/>
  <c r="J255" i="46"/>
  <c r="N94" i="46"/>
  <c r="L94" i="46"/>
  <c r="K94" i="46"/>
  <c r="J94" i="46"/>
  <c r="K7" i="46"/>
  <c r="K31" i="46"/>
  <c r="N49" i="46"/>
  <c r="N64" i="46"/>
  <c r="L64" i="46"/>
  <c r="K64" i="46"/>
  <c r="N7" i="46"/>
  <c r="M10" i="46"/>
  <c r="L22" i="46"/>
  <c r="M37" i="46"/>
  <c r="N10" i="46"/>
  <c r="M19" i="46"/>
  <c r="N29" i="46"/>
  <c r="M29" i="46"/>
  <c r="L29" i="46"/>
  <c r="K44" i="46"/>
  <c r="L47" i="46"/>
  <c r="L72" i="46"/>
  <c r="K72" i="46"/>
  <c r="L80" i="46"/>
  <c r="J91" i="46"/>
  <c r="M91" i="46"/>
  <c r="L91" i="46"/>
  <c r="L102" i="46"/>
  <c r="K111" i="46"/>
  <c r="M118" i="46"/>
  <c r="N118" i="46"/>
  <c r="L118" i="46"/>
  <c r="K122" i="46"/>
  <c r="N13" i="46"/>
  <c r="M13" i="46"/>
  <c r="L13" i="46"/>
  <c r="L56" i="46"/>
  <c r="K56" i="46"/>
  <c r="M94" i="46"/>
  <c r="N57" i="46"/>
  <c r="M57" i="46"/>
  <c r="L57" i="46"/>
  <c r="K57" i="46"/>
  <c r="L61" i="46"/>
  <c r="N61" i="46"/>
  <c r="M61" i="46"/>
  <c r="K17" i="46"/>
  <c r="N19" i="46"/>
  <c r="K23" i="46"/>
  <c r="J29" i="46"/>
  <c r="N38" i="46"/>
  <c r="M38" i="46"/>
  <c r="L44" i="46"/>
  <c r="M47" i="46"/>
  <c r="J57" i="46"/>
  <c r="J61" i="46"/>
  <c r="J72" i="46"/>
  <c r="L76" i="46"/>
  <c r="J76" i="46"/>
  <c r="N76" i="46"/>
  <c r="M76" i="46"/>
  <c r="K76" i="46"/>
  <c r="K91" i="46"/>
  <c r="M107" i="46"/>
  <c r="L111" i="46"/>
  <c r="J118" i="46"/>
  <c r="L122" i="46"/>
  <c r="N144" i="46"/>
  <c r="M144" i="46"/>
  <c r="L144" i="46"/>
  <c r="M167" i="46"/>
  <c r="N167" i="46"/>
  <c r="L167" i="46"/>
  <c r="K167" i="46"/>
  <c r="J167" i="46"/>
  <c r="N52" i="46"/>
  <c r="M52" i="46"/>
  <c r="L52" i="46"/>
  <c r="N11" i="46"/>
  <c r="L11" i="46"/>
  <c r="K11" i="46"/>
  <c r="J11" i="46"/>
  <c r="M103" i="46"/>
  <c r="N103" i="46"/>
  <c r="L103" i="46"/>
  <c r="K103" i="46"/>
  <c r="L108" i="46"/>
  <c r="J108" i="46"/>
  <c r="K108" i="46"/>
  <c r="N152" i="46"/>
  <c r="M152" i="46"/>
  <c r="L152" i="46"/>
  <c r="M182" i="46"/>
  <c r="N182" i="46"/>
  <c r="J182" i="46"/>
  <c r="L182" i="46"/>
  <c r="K182" i="46"/>
  <c r="M11" i="46"/>
  <c r="M20" i="46"/>
  <c r="L20" i="46"/>
  <c r="K20" i="46"/>
  <c r="L92" i="46"/>
  <c r="J92" i="46"/>
  <c r="N92" i="46"/>
  <c r="J103" i="46"/>
  <c r="M108" i="46"/>
  <c r="J152" i="46"/>
  <c r="K52" i="46"/>
  <c r="J35" i="46"/>
  <c r="J20" i="46"/>
  <c r="K35" i="46"/>
  <c r="N45" i="46"/>
  <c r="M45" i="46"/>
  <c r="L45" i="46"/>
  <c r="N62" i="46"/>
  <c r="L62" i="46"/>
  <c r="N73" i="46"/>
  <c r="M73" i="46"/>
  <c r="L73" i="46"/>
  <c r="K84" i="46"/>
  <c r="N84" i="46"/>
  <c r="M84" i="46"/>
  <c r="L84" i="46"/>
  <c r="J84" i="46"/>
  <c r="N88" i="46"/>
  <c r="M88" i="46"/>
  <c r="K92" i="46"/>
  <c r="N108" i="46"/>
  <c r="K152" i="46"/>
  <c r="N174" i="46"/>
  <c r="L174" i="46"/>
  <c r="M174" i="46"/>
  <c r="K174" i="46"/>
  <c r="J174" i="46"/>
  <c r="L221" i="46"/>
  <c r="J221" i="46"/>
  <c r="N221" i="46"/>
  <c r="M221" i="46"/>
  <c r="K221" i="46"/>
  <c r="M69" i="46"/>
  <c r="K69" i="46"/>
  <c r="N69" i="46"/>
  <c r="L69" i="46"/>
  <c r="M85" i="46"/>
  <c r="K85" i="46"/>
  <c r="N128" i="46"/>
  <c r="M128" i="46"/>
  <c r="L128" i="46"/>
  <c r="K128" i="46"/>
  <c r="J128" i="46"/>
  <c r="M233" i="46"/>
  <c r="N233" i="46"/>
  <c r="L233" i="46"/>
  <c r="K233" i="46"/>
  <c r="J233" i="46"/>
  <c r="K51" i="46"/>
  <c r="M51" i="46"/>
  <c r="L51" i="46"/>
  <c r="J12" i="46"/>
  <c r="J15" i="46"/>
  <c r="K33" i="46"/>
  <c r="N35" i="46"/>
  <c r="J51" i="46"/>
  <c r="J69" i="46"/>
  <c r="J85" i="46"/>
  <c r="J6" i="46"/>
  <c r="L12" i="46"/>
  <c r="L15" i="46"/>
  <c r="M27" i="46"/>
  <c r="M33" i="46"/>
  <c r="M36" i="46"/>
  <c r="L36" i="46"/>
  <c r="K36" i="46"/>
  <c r="M70" i="46"/>
  <c r="N70" i="46"/>
  <c r="N85" i="46"/>
  <c r="N89" i="46"/>
  <c r="J89" i="46"/>
  <c r="K100" i="46"/>
  <c r="N100" i="46"/>
  <c r="M100" i="46"/>
  <c r="N136" i="46"/>
  <c r="M136" i="46"/>
  <c r="L136" i="46"/>
  <c r="K136" i="46"/>
  <c r="J136" i="46"/>
  <c r="L105" i="46"/>
  <c r="L127" i="46"/>
  <c r="M132" i="46"/>
  <c r="K138" i="46"/>
  <c r="N151" i="46"/>
  <c r="M154" i="46"/>
  <c r="J160" i="46"/>
  <c r="J168" i="46"/>
  <c r="N173" i="46"/>
  <c r="L176" i="46"/>
  <c r="L184" i="46"/>
  <c r="K187" i="46"/>
  <c r="N190" i="46"/>
  <c r="L190" i="46"/>
  <c r="M203" i="46"/>
  <c r="N224" i="46"/>
  <c r="L224" i="46"/>
  <c r="M236" i="46"/>
  <c r="L236" i="46"/>
  <c r="J236" i="46"/>
  <c r="N254" i="46"/>
  <c r="L254" i="46"/>
  <c r="K254" i="46"/>
  <c r="J254" i="46"/>
  <c r="N262" i="46"/>
  <c r="M262" i="46"/>
  <c r="L262" i="46"/>
  <c r="K262" i="46"/>
  <c r="J262" i="46"/>
  <c r="N240" i="46"/>
  <c r="L240" i="46"/>
  <c r="L171" i="46"/>
  <c r="L204" i="46"/>
  <c r="J204" i="46"/>
  <c r="N119" i="46"/>
  <c r="N141" i="46"/>
  <c r="N158" i="46"/>
  <c r="L158" i="46"/>
  <c r="M171" i="46"/>
  <c r="J185" i="46"/>
  <c r="N198" i="46"/>
  <c r="L201" i="46"/>
  <c r="K204" i="46"/>
  <c r="J207" i="46"/>
  <c r="J212" i="46"/>
  <c r="M215" i="46"/>
  <c r="K215" i="46"/>
  <c r="K218" i="46"/>
  <c r="M230" i="46"/>
  <c r="K230" i="46"/>
  <c r="L237" i="46"/>
  <c r="J237" i="46"/>
  <c r="M240" i="46"/>
  <c r="N246" i="46"/>
  <c r="M246" i="46"/>
  <c r="L246" i="46"/>
  <c r="K246" i="46"/>
  <c r="N250" i="46"/>
  <c r="K250" i="46"/>
  <c r="J250" i="46"/>
  <c r="N256" i="46"/>
  <c r="M256" i="46"/>
  <c r="L256" i="46"/>
  <c r="J256" i="46"/>
  <c r="L60" i="46"/>
  <c r="J60" i="46"/>
  <c r="M117" i="46"/>
  <c r="K117" i="46"/>
  <c r="N171" i="46"/>
  <c r="K185" i="46"/>
  <c r="L188" i="46"/>
  <c r="J188" i="46"/>
  <c r="M201" i="46"/>
  <c r="M204" i="46"/>
  <c r="K207" i="46"/>
  <c r="L212" i="46"/>
  <c r="L218" i="46"/>
  <c r="J9" i="46"/>
  <c r="J25" i="46"/>
  <c r="J41" i="46"/>
  <c r="J55" i="46"/>
  <c r="K60" i="46"/>
  <c r="J63" i="46"/>
  <c r="J68" i="46"/>
  <c r="K90" i="46"/>
  <c r="J112" i="46"/>
  <c r="J117" i="46"/>
  <c r="J120" i="46"/>
  <c r="K139" i="46"/>
  <c r="N142" i="46"/>
  <c r="L142" i="46"/>
  <c r="J169" i="46"/>
  <c r="L185" i="46"/>
  <c r="K188" i="46"/>
  <c r="J191" i="46"/>
  <c r="J196" i="46"/>
  <c r="N204" i="46"/>
  <c r="L207" i="46"/>
  <c r="M212" i="46"/>
  <c r="M218" i="46"/>
  <c r="M101" i="46"/>
  <c r="K101" i="46"/>
  <c r="L172" i="46"/>
  <c r="J172" i="46"/>
  <c r="M185" i="46"/>
  <c r="M207" i="46"/>
  <c r="N212" i="46"/>
  <c r="N218" i="46"/>
  <c r="N222" i="46"/>
  <c r="L222" i="46"/>
  <c r="J222" i="46"/>
  <c r="K234" i="46"/>
  <c r="J234" i="46"/>
  <c r="N60" i="46"/>
  <c r="L63" i="46"/>
  <c r="M68" i="46"/>
  <c r="K71" i="46"/>
  <c r="K74" i="46"/>
  <c r="M90" i="46"/>
  <c r="K93" i="46"/>
  <c r="J96" i="46"/>
  <c r="J101" i="46"/>
  <c r="L112" i="46"/>
  <c r="N117" i="46"/>
  <c r="K123" i="46"/>
  <c r="N126" i="46"/>
  <c r="L126" i="46"/>
  <c r="M139" i="46"/>
  <c r="K142" i="46"/>
  <c r="K150" i="46"/>
  <c r="K172" i="46"/>
  <c r="J175" i="46"/>
  <c r="J180" i="46"/>
  <c r="N188" i="46"/>
  <c r="L191" i="46"/>
  <c r="M196" i="46"/>
  <c r="K202" i="46"/>
  <c r="K222" i="46"/>
  <c r="L234" i="46"/>
  <c r="L156" i="46"/>
  <c r="J156" i="46"/>
  <c r="M222" i="46"/>
  <c r="M231" i="46"/>
  <c r="K231" i="46"/>
  <c r="M234" i="46"/>
  <c r="N238" i="46"/>
  <c r="L238" i="46"/>
  <c r="J238" i="46"/>
  <c r="L140" i="46"/>
  <c r="J140" i="46"/>
  <c r="M156" i="46"/>
  <c r="K159" i="46"/>
  <c r="L164" i="46"/>
  <c r="L186" i="46"/>
  <c r="J189" i="46"/>
  <c r="M197" i="46"/>
  <c r="K197" i="46"/>
  <c r="N223" i="46"/>
  <c r="L223" i="46"/>
  <c r="M238" i="46"/>
  <c r="K189" i="46"/>
  <c r="N239" i="46"/>
  <c r="L239" i="46"/>
  <c r="M140" i="46"/>
  <c r="K143" i="46"/>
  <c r="J173" i="46"/>
  <c r="M181" i="46"/>
  <c r="K181" i="46"/>
  <c r="L220" i="46"/>
  <c r="J220" i="46"/>
  <c r="L124" i="46"/>
  <c r="J124" i="46"/>
  <c r="J151" i="46"/>
  <c r="M159" i="46"/>
  <c r="M189" i="46"/>
  <c r="K75" i="46"/>
  <c r="N78" i="46"/>
  <c r="L78" i="46"/>
  <c r="K124" i="46"/>
  <c r="J127" i="46"/>
  <c r="J132" i="46"/>
  <c r="N140" i="46"/>
  <c r="L143" i="46"/>
  <c r="M148" i="46"/>
  <c r="K151" i="46"/>
  <c r="K154" i="46"/>
  <c r="M170" i="46"/>
  <c r="K173" i="46"/>
  <c r="J176" i="46"/>
  <c r="J181" i="46"/>
  <c r="J184" i="46"/>
  <c r="N189" i="46"/>
  <c r="L192" i="46"/>
  <c r="N197" i="46"/>
  <c r="K203" i="46"/>
  <c r="N206" i="46"/>
  <c r="L206" i="46"/>
  <c r="K220" i="46"/>
  <c r="M223" i="46"/>
  <c r="M235" i="46"/>
  <c r="K239" i="46"/>
  <c r="L151" i="46"/>
  <c r="M165" i="46"/>
  <c r="K165" i="46"/>
  <c r="M173" i="46"/>
  <c r="K176" i="46"/>
  <c r="L181" i="46"/>
  <c r="L203" i="46"/>
  <c r="M220" i="46"/>
  <c r="M239" i="46"/>
  <c r="N266" i="46"/>
  <c r="L266" i="46"/>
  <c r="K266" i="46"/>
  <c r="J266" i="46"/>
  <c r="K249" i="46"/>
  <c r="M251" i="46"/>
  <c r="K265" i="46"/>
  <c r="M267" i="46"/>
  <c r="J272" i="46"/>
  <c r="L274" i="46"/>
  <c r="K272" i="46"/>
  <c r="K247" i="46"/>
  <c r="K263" i="46"/>
  <c r="J270" i="46"/>
  <c r="L272" i="46"/>
  <c r="N274" i="46"/>
  <c r="K270" i="46"/>
  <c r="M272" i="46"/>
  <c r="J277" i="46"/>
  <c r="K213" i="46"/>
  <c r="K229" i="46"/>
  <c r="K245" i="46"/>
  <c r="J252" i="46"/>
  <c r="K261" i="46"/>
  <c r="J268" i="46"/>
  <c r="L270" i="46"/>
  <c r="K277" i="46"/>
  <c r="J275" i="46"/>
  <c r="L277" i="46"/>
  <c r="M245" i="46"/>
  <c r="L252" i="46"/>
  <c r="K259" i="46"/>
  <c r="M261" i="46"/>
  <c r="L268" i="46"/>
  <c r="M277" i="46"/>
  <c r="J273" i="46"/>
  <c r="J271" i="46"/>
  <c r="L273" i="46"/>
  <c r="K271" i="46"/>
  <c r="J253" i="46"/>
  <c r="J269" i="46"/>
  <c r="L271" i="46"/>
  <c r="K278" i="46"/>
  <c r="K253" i="46"/>
  <c r="K269" i="46"/>
  <c r="M271" i="46"/>
  <c r="L278" i="46"/>
  <c r="J251" i="46"/>
  <c r="L253" i="46"/>
  <c r="J267" i="46"/>
  <c r="L269" i="46"/>
  <c r="M278" i="46"/>
  <c r="P278" i="46" l="1"/>
  <c r="P271" i="46"/>
  <c r="P255" i="46"/>
  <c r="P264" i="46"/>
  <c r="P248" i="46"/>
  <c r="P232" i="46"/>
  <c r="P216" i="46"/>
  <c r="P200" i="46"/>
  <c r="P184" i="46"/>
  <c r="P168" i="46"/>
  <c r="P152" i="46"/>
  <c r="P136" i="46"/>
  <c r="P120" i="46"/>
  <c r="P104" i="46"/>
  <c r="P88" i="46"/>
  <c r="P72" i="46"/>
  <c r="P273" i="46"/>
  <c r="P257" i="46"/>
  <c r="P266" i="46"/>
  <c r="P250" i="46"/>
  <c r="P234" i="46"/>
  <c r="P218" i="46"/>
  <c r="P275" i="46"/>
  <c r="P259" i="46"/>
  <c r="P268" i="46"/>
  <c r="P277" i="46"/>
  <c r="P261" i="46"/>
  <c r="P270" i="46"/>
  <c r="P254" i="46"/>
  <c r="P238" i="46"/>
  <c r="P263" i="46"/>
  <c r="P247" i="46"/>
  <c r="P231" i="46"/>
  <c r="P215" i="46"/>
  <c r="P199" i="46"/>
  <c r="P183" i="46"/>
  <c r="P167" i="46"/>
  <c r="P151" i="46"/>
  <c r="P135" i="46"/>
  <c r="P119" i="46"/>
  <c r="P103" i="46"/>
  <c r="P87" i="46"/>
  <c r="P71" i="46"/>
  <c r="P55" i="46"/>
  <c r="P272" i="46"/>
  <c r="P265" i="46"/>
  <c r="P249" i="46"/>
  <c r="P233" i="46"/>
  <c r="P217" i="46"/>
  <c r="P201" i="46"/>
  <c r="P185" i="46"/>
  <c r="P169" i="46"/>
  <c r="P153" i="46"/>
  <c r="P137" i="46"/>
  <c r="P121" i="46"/>
  <c r="P105" i="46"/>
  <c r="P89" i="46"/>
  <c r="P73" i="46"/>
  <c r="P57" i="46"/>
  <c r="P274" i="46"/>
  <c r="P258" i="46"/>
  <c r="P267" i="46"/>
  <c r="P251" i="46"/>
  <c r="P235" i="46"/>
  <c r="P219" i="46"/>
  <c r="P276" i="46"/>
  <c r="P269" i="46"/>
  <c r="P253" i="46"/>
  <c r="P244" i="46"/>
  <c r="P223" i="46"/>
  <c r="P197" i="46"/>
  <c r="P189" i="46"/>
  <c r="P140" i="46"/>
  <c r="P228" i="46"/>
  <c r="P208" i="46"/>
  <c r="P194" i="46"/>
  <c r="P186" i="46"/>
  <c r="P164" i="46"/>
  <c r="P159" i="46"/>
  <c r="P115" i="46"/>
  <c r="P110" i="46"/>
  <c r="P107" i="46"/>
  <c r="P80" i="46"/>
  <c r="P66" i="46"/>
  <c r="P46" i="46"/>
  <c r="P30" i="46"/>
  <c r="P14" i="46"/>
  <c r="P156" i="46"/>
  <c r="P145" i="46"/>
  <c r="P77" i="46"/>
  <c r="P58" i="46"/>
  <c r="P53" i="46"/>
  <c r="P252" i="46"/>
  <c r="P213" i="46"/>
  <c r="P205" i="46"/>
  <c r="P134" i="46"/>
  <c r="P85" i="46"/>
  <c r="P260" i="46"/>
  <c r="P241" i="46"/>
  <c r="P210" i="46"/>
  <c r="P202" i="46"/>
  <c r="P180" i="46"/>
  <c r="P175" i="46"/>
  <c r="P225" i="46"/>
  <c r="P172" i="46"/>
  <c r="P161" i="46"/>
  <c r="P150" i="46"/>
  <c r="P222" i="46"/>
  <c r="P196" i="46"/>
  <c r="P191" i="46"/>
  <c r="P243" i="46"/>
  <c r="P188" i="46"/>
  <c r="P177" i="46"/>
  <c r="P166" i="46"/>
  <c r="P237" i="46"/>
  <c r="P230" i="46"/>
  <c r="P227" i="46"/>
  <c r="P212" i="46"/>
  <c r="P207" i="46"/>
  <c r="P163" i="46"/>
  <c r="P158" i="46"/>
  <c r="P155" i="46"/>
  <c r="P128" i="46"/>
  <c r="P114" i="46"/>
  <c r="P106" i="46"/>
  <c r="P84" i="46"/>
  <c r="P79" i="46"/>
  <c r="P36" i="46"/>
  <c r="P20" i="46"/>
  <c r="P125" i="46"/>
  <c r="P45" i="46"/>
  <c r="P204" i="46"/>
  <c r="P193" i="46"/>
  <c r="P182" i="46"/>
  <c r="P133" i="46"/>
  <c r="P76" i="46"/>
  <c r="P65" i="46"/>
  <c r="P52" i="46"/>
  <c r="P256" i="46"/>
  <c r="P246" i="46"/>
  <c r="P221" i="46"/>
  <c r="P179" i="46"/>
  <c r="P174" i="46"/>
  <c r="P171" i="46"/>
  <c r="P144" i="46"/>
  <c r="P130" i="46"/>
  <c r="P122" i="46"/>
  <c r="P100" i="46"/>
  <c r="P95" i="46"/>
  <c r="P38" i="46"/>
  <c r="P22" i="46"/>
  <c r="P6" i="46"/>
  <c r="P92" i="46"/>
  <c r="P70" i="46"/>
  <c r="P47" i="46"/>
  <c r="P31" i="46"/>
  <c r="P240" i="46"/>
  <c r="P209" i="46"/>
  <c r="P198" i="46"/>
  <c r="P149" i="46"/>
  <c r="P141" i="46"/>
  <c r="P81" i="46"/>
  <c r="P15" i="46"/>
  <c r="P165" i="46"/>
  <c r="P224" i="46"/>
  <c r="P195" i="46"/>
  <c r="P190" i="46"/>
  <c r="P187" i="46"/>
  <c r="P160" i="46"/>
  <c r="P146" i="46"/>
  <c r="P138" i="46"/>
  <c r="P116" i="46"/>
  <c r="P111" i="46"/>
  <c r="P67" i="46"/>
  <c r="P62" i="46"/>
  <c r="P59" i="46"/>
  <c r="P54" i="46"/>
  <c r="P40" i="46"/>
  <c r="P24" i="46"/>
  <c r="P8" i="46"/>
  <c r="P245" i="46"/>
  <c r="P242" i="46"/>
  <c r="P236" i="46"/>
  <c r="P229" i="46"/>
  <c r="P214" i="46"/>
  <c r="P262" i="46"/>
  <c r="P220" i="46"/>
  <c r="P181" i="46"/>
  <c r="P173" i="46"/>
  <c r="P239" i="46"/>
  <c r="P192" i="46"/>
  <c r="P178" i="46"/>
  <c r="P170" i="46"/>
  <c r="P148" i="46"/>
  <c r="P143" i="46"/>
  <c r="P99" i="46"/>
  <c r="P94" i="46"/>
  <c r="P91" i="46"/>
  <c r="P131" i="46"/>
  <c r="P51" i="46"/>
  <c r="P48" i="46"/>
  <c r="P157" i="46"/>
  <c r="P69" i="46"/>
  <c r="P35" i="46"/>
  <c r="P123" i="46"/>
  <c r="P112" i="46"/>
  <c r="P26" i="46"/>
  <c r="P41" i="46"/>
  <c r="P23" i="46"/>
  <c r="P17" i="46"/>
  <c r="P147" i="46"/>
  <c r="P108" i="46"/>
  <c r="P127" i="46"/>
  <c r="P96" i="46"/>
  <c r="P68" i="46"/>
  <c r="P50" i="46"/>
  <c r="P32" i="46"/>
  <c r="P11" i="46"/>
  <c r="P19" i="46"/>
  <c r="P97" i="46"/>
  <c r="P211" i="46"/>
  <c r="P139" i="46"/>
  <c r="P118" i="46"/>
  <c r="P83" i="46"/>
  <c r="P61" i="46"/>
  <c r="P44" i="46"/>
  <c r="P29" i="46"/>
  <c r="P27" i="46"/>
  <c r="P98" i="46"/>
  <c r="P102" i="46"/>
  <c r="P34" i="46"/>
  <c r="P10" i="46"/>
  <c r="P75" i="46"/>
  <c r="P37" i="46"/>
  <c r="P7" i="46"/>
  <c r="P60" i="46"/>
  <c r="P28" i="46"/>
  <c r="P18" i="46"/>
  <c r="P203" i="46"/>
  <c r="P126" i="46"/>
  <c r="P25" i="46"/>
  <c r="P64" i="46"/>
  <c r="P56" i="46"/>
  <c r="P78" i="46"/>
  <c r="P63" i="46"/>
  <c r="P21" i="46"/>
  <c r="P162" i="46"/>
  <c r="P117" i="46"/>
  <c r="P90" i="46"/>
  <c r="P16" i="46"/>
  <c r="P132" i="46"/>
  <c r="P129" i="46"/>
  <c r="P74" i="46"/>
  <c r="P101" i="46"/>
  <c r="P86" i="46"/>
  <c r="P13" i="46"/>
  <c r="P109" i="46"/>
  <c r="P42" i="46"/>
  <c r="P154" i="46"/>
  <c r="P142" i="46"/>
  <c r="P113" i="46"/>
  <c r="P82" i="46"/>
  <c r="P49" i="46"/>
  <c r="P43" i="46"/>
  <c r="P206" i="46"/>
  <c r="P176" i="46"/>
  <c r="P9" i="46"/>
  <c r="P93" i="46"/>
  <c r="P39" i="46"/>
  <c r="P33" i="46"/>
  <c r="P12" i="46"/>
  <c r="P226" i="46"/>
  <c r="P124" i="46"/>
  <c r="X2" i="25" l="1"/>
  <c r="X2" i="24"/>
  <c r="Y2" i="43"/>
  <c r="X2" i="21"/>
  <c r="AC292" i="41"/>
  <c r="AC291" i="41"/>
  <c r="AC290" i="41"/>
  <c r="AC289" i="41"/>
  <c r="AM11" i="38"/>
  <c r="AM10" i="38"/>
  <c r="AH11" i="38"/>
  <c r="AI11" i="38"/>
  <c r="AJ11" i="38"/>
  <c r="AK11" i="38"/>
  <c r="AL11" i="38"/>
  <c r="AN11" i="38"/>
  <c r="AN10" i="38"/>
  <c r="AL10" i="38"/>
  <c r="AK10" i="38"/>
  <c r="AJ10" i="38"/>
  <c r="AI10" i="38"/>
  <c r="AH10" i="38"/>
  <c r="G11" i="38"/>
  <c r="H11" i="38"/>
  <c r="I11" i="38"/>
  <c r="I10" i="38"/>
  <c r="G10" i="38"/>
  <c r="H10" i="38"/>
  <c r="F11" i="38"/>
  <c r="F10" i="38"/>
  <c r="A11" i="38"/>
  <c r="B11" i="38"/>
  <c r="C11" i="38"/>
  <c r="D11" i="38"/>
  <c r="D10" i="38"/>
  <c r="C10" i="38"/>
  <c r="B10" i="38"/>
  <c r="A10" i="38"/>
  <c r="A276" i="30"/>
  <c r="A277" i="30"/>
  <c r="A278" i="30"/>
  <c r="A279" i="30"/>
  <c r="A280" i="30"/>
  <c r="A281" i="30"/>
  <c r="A282" i="30"/>
  <c r="A275" i="30"/>
  <c r="G568" i="41"/>
  <c r="H568" i="41"/>
  <c r="I568" i="41"/>
  <c r="G569" i="41"/>
  <c r="H569" i="41"/>
  <c r="I569" i="41"/>
  <c r="AH282" i="41"/>
  <c r="AH281" i="41"/>
  <c r="AH280" i="41"/>
  <c r="AH279" i="41"/>
  <c r="U19" i="29"/>
  <c r="N19" i="29" l="1"/>
  <c r="W19" i="29" s="1"/>
  <c r="X19" i="29" s="1"/>
  <c r="Z19" i="29" s="1"/>
  <c r="AA19" i="29" s="1"/>
  <c r="AB19" i="29" l="1"/>
  <c r="AC19" i="29" l="1"/>
  <c r="H2718" i="45" l="1"/>
  <c r="H2719" i="45"/>
  <c r="H2717" i="45"/>
  <c r="I85" i="33" l="1"/>
  <c r="M85" i="33"/>
  <c r="A2" i="33" l="1"/>
  <c r="AF6" i="21"/>
  <c r="K3" i="39" l="1"/>
  <c r="M3" i="39"/>
  <c r="K2" i="39"/>
  <c r="H3" i="39"/>
  <c r="I3" i="39" s="1"/>
  <c r="L3" i="39" s="1"/>
  <c r="B3" i="39"/>
  <c r="B2" i="39"/>
  <c r="A3" i="39"/>
  <c r="A2" i="39"/>
  <c r="AK7" i="38"/>
  <c r="AK6" i="38"/>
  <c r="AH6" i="38"/>
  <c r="AF11" i="38"/>
  <c r="AG11" i="38"/>
  <c r="AG10" i="38"/>
  <c r="AF10" i="38"/>
  <c r="AL6" i="38"/>
  <c r="AJ6" i="38"/>
  <c r="AI6" i="38" l="1"/>
  <c r="H141" i="30" l="1"/>
  <c r="H140" i="30"/>
  <c r="B276" i="30"/>
  <c r="B277" i="30" s="1"/>
  <c r="B278" i="30" s="1"/>
  <c r="B280" i="30"/>
  <c r="B281" i="30" s="1"/>
  <c r="B282" i="30" s="1"/>
  <c r="A2" i="30" l="1"/>
  <c r="AF6" i="41" l="1"/>
  <c r="AF289" i="41" l="1"/>
  <c r="Z263" i="41" l="1"/>
  <c r="Z194" i="41"/>
  <c r="Z187" i="41"/>
  <c r="Z185" i="41"/>
  <c r="Z184" i="41"/>
  <c r="Z180" i="41"/>
  <c r="Z179" i="41"/>
  <c r="Z178" i="41"/>
  <c r="Z176" i="41"/>
  <c r="Z175" i="41"/>
  <c r="Z172" i="41"/>
  <c r="Z171" i="41"/>
  <c r="Z170" i="41"/>
  <c r="Z165" i="41"/>
  <c r="Z164" i="41"/>
  <c r="Z162" i="41"/>
  <c r="Z161" i="41"/>
  <c r="Z159" i="41"/>
  <c r="Z158" i="41"/>
  <c r="Z156" i="41"/>
  <c r="Z155" i="41"/>
  <c r="Z154" i="41"/>
  <c r="Z152" i="41"/>
  <c r="Z151" i="41"/>
  <c r="Z132" i="41"/>
  <c r="Z115" i="41"/>
  <c r="Z96" i="41"/>
  <c r="Z82" i="41"/>
  <c r="Z55" i="41"/>
  <c r="Z37" i="24" l="1"/>
  <c r="AA11" i="43"/>
  <c r="Z95" i="21"/>
  <c r="Z10" i="38"/>
  <c r="AA317" i="41"/>
  <c r="AA316" i="41"/>
  <c r="AA315" i="41"/>
  <c r="AA314" i="41"/>
  <c r="AA313" i="41"/>
  <c r="AA312" i="41"/>
  <c r="AA311" i="41"/>
  <c r="AA310" i="41"/>
  <c r="AA309" i="41"/>
  <c r="AA308" i="41"/>
  <c r="AA307" i="41"/>
  <c r="AA306" i="41"/>
  <c r="AA305" i="41"/>
  <c r="AA304" i="41"/>
  <c r="AA303" i="41"/>
  <c r="AA302" i="41"/>
  <c r="AA301" i="41"/>
  <c r="AA300" i="41"/>
  <c r="AA299" i="41"/>
  <c r="AA298" i="41"/>
  <c r="AA297" i="41"/>
  <c r="AA296" i="41"/>
  <c r="AA295" i="41"/>
  <c r="AA294" i="41"/>
  <c r="AA293" i="41"/>
  <c r="AA292" i="41"/>
  <c r="AA291" i="41"/>
  <c r="AA290" i="41"/>
  <c r="AA289" i="41"/>
  <c r="AA319" i="41"/>
  <c r="AA318" i="41"/>
  <c r="AF7" i="25"/>
  <c r="AF8" i="25"/>
  <c r="AF9" i="25"/>
  <c r="AF10" i="25"/>
  <c r="AF11" i="25"/>
  <c r="AF12" i="25"/>
  <c r="AF13" i="25"/>
  <c r="AF14" i="25"/>
  <c r="AF15" i="25"/>
  <c r="AF16" i="25"/>
  <c r="AF17" i="25"/>
  <c r="AF18" i="25"/>
  <c r="AF19" i="25"/>
  <c r="AF20" i="25"/>
  <c r="AF21" i="25"/>
  <c r="AF6" i="25"/>
  <c r="AB290" i="41" l="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Z318" i="41"/>
  <c r="AB318" i="41"/>
  <c r="Z319" i="41"/>
  <c r="AB319" i="41"/>
  <c r="AB289" i="41"/>
  <c r="AC293" i="41"/>
  <c r="AC294" i="41"/>
  <c r="AC295" i="41"/>
  <c r="AC296" i="41"/>
  <c r="AC297" i="41"/>
  <c r="AC298" i="41"/>
  <c r="AC299" i="41"/>
  <c r="AC300" i="41"/>
  <c r="AC301" i="41"/>
  <c r="AC302" i="41"/>
  <c r="AC303" i="41"/>
  <c r="AC304" i="41"/>
  <c r="AC305" i="41"/>
  <c r="AC306" i="41"/>
  <c r="AC307" i="41"/>
  <c r="AC308" i="41"/>
  <c r="AC309" i="41"/>
  <c r="AC310" i="41"/>
  <c r="AC311" i="41"/>
  <c r="AC312" i="41"/>
  <c r="AC313" i="41"/>
  <c r="AC314" i="41"/>
  <c r="AC315" i="41"/>
  <c r="AC316" i="41"/>
  <c r="AC317" i="41"/>
  <c r="AC318" i="41"/>
  <c r="AC319" i="41"/>
  <c r="Z317" i="41"/>
  <c r="Z316" i="41"/>
  <c r="Z315" i="41"/>
  <c r="Z314" i="41"/>
  <c r="Z313" i="41"/>
  <c r="Z312" i="41"/>
  <c r="Z311" i="41"/>
  <c r="Z310" i="41"/>
  <c r="Z309" i="41"/>
  <c r="Z308" i="41"/>
  <c r="Z307" i="41"/>
  <c r="Z306" i="41"/>
  <c r="Z305" i="41"/>
  <c r="Z304" i="41"/>
  <c r="Z303" i="41"/>
  <c r="Z302" i="41"/>
  <c r="Z301" i="41"/>
  <c r="Z300" i="41"/>
  <c r="Z299" i="41"/>
  <c r="Z298" i="41"/>
  <c r="Z297" i="41"/>
  <c r="Z296" i="41"/>
  <c r="Z295" i="41"/>
  <c r="Z294" i="41"/>
  <c r="Z293" i="41"/>
  <c r="Z292" i="41"/>
  <c r="Z291" i="41"/>
  <c r="Z290" i="41"/>
  <c r="Z289" i="41"/>
  <c r="AN65" i="24"/>
  <c r="AM65" i="24"/>
  <c r="AL65" i="24"/>
  <c r="AK65" i="24"/>
  <c r="AJ65" i="24"/>
  <c r="AI65" i="24"/>
  <c r="AH65" i="24"/>
  <c r="AG65" i="24"/>
  <c r="AF65" i="24"/>
  <c r="I65" i="24"/>
  <c r="H65" i="24"/>
  <c r="G65" i="24"/>
  <c r="F65" i="24"/>
  <c r="E65" i="24"/>
  <c r="D65" i="24"/>
  <c r="C65" i="24"/>
  <c r="B65" i="24"/>
  <c r="A65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L34" i="24" s="1"/>
  <c r="AF6" i="24"/>
  <c r="AI13" i="43"/>
  <c r="AI12" i="43"/>
  <c r="AI11" i="43"/>
  <c r="K3" i="43"/>
  <c r="K2" i="43"/>
  <c r="K1" i="43"/>
  <c r="M4" i="44" l="1"/>
  <c r="M3" i="44"/>
  <c r="M2" i="44"/>
  <c r="H4" i="44" l="1"/>
  <c r="I4" i="44" s="1"/>
  <c r="A4" i="44"/>
  <c r="AH13" i="43"/>
  <c r="AG13" i="43"/>
  <c r="I13" i="43"/>
  <c r="H13" i="43"/>
  <c r="G13" i="43"/>
  <c r="F13" i="43"/>
  <c r="D13" i="43"/>
  <c r="C13" i="43"/>
  <c r="B13" i="43"/>
  <c r="A13" i="43"/>
  <c r="AM8" i="43"/>
  <c r="AI8" i="43"/>
  <c r="AK8" i="43" s="1"/>
  <c r="AJ8" i="43" l="1"/>
  <c r="AO13" i="43"/>
  <c r="AL8" i="43"/>
  <c r="H3" i="44"/>
  <c r="I3" i="44" s="1"/>
  <c r="A3" i="44"/>
  <c r="A2" i="44"/>
  <c r="B2" i="44"/>
  <c r="B3" i="44" s="1"/>
  <c r="H2" i="44"/>
  <c r="I2" i="44" s="1"/>
  <c r="AH12" i="43"/>
  <c r="AG12" i="43"/>
  <c r="I12" i="43"/>
  <c r="H12" i="43"/>
  <c r="G12" i="43"/>
  <c r="F12" i="43"/>
  <c r="D12" i="43"/>
  <c r="C12" i="43"/>
  <c r="B12" i="43"/>
  <c r="A12" i="43"/>
  <c r="AM7" i="43"/>
  <c r="AI7" i="43"/>
  <c r="AM6" i="43"/>
  <c r="AL11" i="43" s="1"/>
  <c r="AI6" i="43"/>
  <c r="AK6" i="43" s="1"/>
  <c r="AJ11" i="43" s="1"/>
  <c r="AN11" i="43"/>
  <c r="AM11" i="43"/>
  <c r="AM12" i="43" s="1"/>
  <c r="AM13" i="43" s="1"/>
  <c r="AH11" i="43"/>
  <c r="AG11" i="43"/>
  <c r="AD11" i="43"/>
  <c r="I11" i="43"/>
  <c r="H11" i="43"/>
  <c r="G11" i="43"/>
  <c r="F11" i="43"/>
  <c r="D11" i="43"/>
  <c r="C11" i="43"/>
  <c r="B11" i="43"/>
  <c r="A11" i="43"/>
  <c r="W3" i="43"/>
  <c r="V3" i="43" s="1"/>
  <c r="U3" i="43" s="1"/>
  <c r="T3" i="43" s="1"/>
  <c r="S3" i="43" s="1"/>
  <c r="R3" i="43" s="1"/>
  <c r="Q3" i="43" s="1"/>
  <c r="P3" i="43" s="1"/>
  <c r="O3" i="43" s="1"/>
  <c r="N3" i="43" s="1"/>
  <c r="M3" i="43" s="1"/>
  <c r="L3" i="43" s="1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W1" i="43"/>
  <c r="V1" i="43" s="1"/>
  <c r="U1" i="43" s="1"/>
  <c r="T1" i="43" s="1"/>
  <c r="S1" i="43" s="1"/>
  <c r="R1" i="43" s="1"/>
  <c r="Q1" i="43" s="1"/>
  <c r="P1" i="43" s="1"/>
  <c r="O1" i="43" s="1"/>
  <c r="N1" i="43" s="1"/>
  <c r="M1" i="43" s="1"/>
  <c r="L1" i="43" s="1"/>
  <c r="AL12" i="43" l="1"/>
  <c r="AL13" i="43" s="1"/>
  <c r="K3" i="44"/>
  <c r="L3" i="44"/>
  <c r="L2" i="44"/>
  <c r="K2" i="44"/>
  <c r="AJ7" i="43"/>
  <c r="AO12" i="43"/>
  <c r="AL7" i="43"/>
  <c r="AL6" i="43"/>
  <c r="AK11" i="43" s="1"/>
  <c r="AK12" i="43" s="1"/>
  <c r="AK13" i="43" s="1"/>
  <c r="B4" i="44"/>
  <c r="AK7" i="43"/>
  <c r="AJ12" i="43" s="1"/>
  <c r="AJ13" i="43" s="1"/>
  <c r="AJ6" i="43"/>
  <c r="AO11" i="43"/>
  <c r="A565" i="41"/>
  <c r="A564" i="41"/>
  <c r="A563" i="41"/>
  <c r="A566" i="41"/>
  <c r="I565" i="41"/>
  <c r="H565" i="41"/>
  <c r="G565" i="41"/>
  <c r="F565" i="41"/>
  <c r="D565" i="41"/>
  <c r="C565" i="41"/>
  <c r="B565" i="41"/>
  <c r="I564" i="41"/>
  <c r="H564" i="41"/>
  <c r="G564" i="41"/>
  <c r="F564" i="41"/>
  <c r="D564" i="41"/>
  <c r="C564" i="41"/>
  <c r="B564" i="41"/>
  <c r="L4" i="44" l="1"/>
  <c r="K4" i="44"/>
  <c r="AI281" i="41"/>
  <c r="AI282" i="41"/>
  <c r="AI20" i="25" l="1"/>
  <c r="AI19" i="25"/>
  <c r="AI18" i="25"/>
  <c r="AI17" i="25"/>
  <c r="AI16" i="25"/>
  <c r="AI15" i="25"/>
  <c r="AI14" i="25"/>
  <c r="AI13" i="25"/>
  <c r="AI12" i="25"/>
  <c r="AI11" i="25"/>
  <c r="AI10" i="25"/>
  <c r="AI9" i="25"/>
  <c r="AI8" i="25"/>
  <c r="AI6" i="25"/>
  <c r="AH21" i="25"/>
  <c r="AI21" i="25" s="1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H6" i="25"/>
  <c r="AL20" i="25"/>
  <c r="AJ19" i="25"/>
  <c r="AJ18" i="25"/>
  <c r="AJ17" i="25"/>
  <c r="AJ16" i="25"/>
  <c r="AJ15" i="25"/>
  <c r="AJ14" i="25"/>
  <c r="AJ13" i="25"/>
  <c r="AJ12" i="25"/>
  <c r="AJ11" i="25"/>
  <c r="AJ10" i="25"/>
  <c r="AJ9" i="25"/>
  <c r="AJ8" i="25"/>
  <c r="AJ6" i="25"/>
  <c r="I38" i="25"/>
  <c r="H38" i="25"/>
  <c r="G38" i="25"/>
  <c r="F38" i="25"/>
  <c r="E38" i="25"/>
  <c r="D38" i="25"/>
  <c r="C38" i="25"/>
  <c r="B38" i="25"/>
  <c r="A38" i="25"/>
  <c r="I37" i="25"/>
  <c r="H37" i="25"/>
  <c r="G37" i="25"/>
  <c r="F37" i="25"/>
  <c r="E37" i="25"/>
  <c r="D37" i="25"/>
  <c r="C37" i="25"/>
  <c r="B37" i="25"/>
  <c r="A37" i="25"/>
  <c r="AJ20" i="25" l="1"/>
  <c r="AI38" i="25" s="1"/>
  <c r="AJ7" i="25"/>
  <c r="AL19" i="25"/>
  <c r="AK37" i="25" s="1"/>
  <c r="AJ21" i="25"/>
  <c r="AI7" i="25"/>
  <c r="AF37" i="25"/>
  <c r="AG37" i="25"/>
  <c r="AH37" i="25"/>
  <c r="AF38" i="25"/>
  <c r="AI37" i="25"/>
  <c r="AG38" i="25"/>
  <c r="AJ37" i="25"/>
  <c r="AH38" i="25"/>
  <c r="AL37" i="25"/>
  <c r="AJ38" i="25"/>
  <c r="AM37" i="25"/>
  <c r="AK38" i="25"/>
  <c r="AN37" i="25"/>
  <c r="AL38" i="25"/>
  <c r="AM38" i="25"/>
  <c r="AN38" i="25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A6" i="30"/>
  <c r="A5" i="30"/>
  <c r="A4" i="30"/>
  <c r="A3" i="30"/>
  <c r="AL6" i="41"/>
  <c r="AK289" i="41" s="1"/>
  <c r="AH278" i="41"/>
  <c r="AH277" i="41"/>
  <c r="AH276" i="41"/>
  <c r="AI276" i="41" s="1"/>
  <c r="AH275" i="41"/>
  <c r="AH274" i="41"/>
  <c r="AH273" i="41"/>
  <c r="AH272" i="41"/>
  <c r="AH271" i="41"/>
  <c r="AH270" i="41"/>
  <c r="AH269" i="41"/>
  <c r="AH268" i="41"/>
  <c r="AH267" i="41"/>
  <c r="AH266" i="41"/>
  <c r="AH265" i="41"/>
  <c r="AH264" i="41"/>
  <c r="AH263" i="41"/>
  <c r="AI263" i="41" s="1"/>
  <c r="AH262" i="41"/>
  <c r="AH261" i="41"/>
  <c r="AI261" i="41" s="1"/>
  <c r="AH260" i="41"/>
  <c r="AI260" i="41" s="1"/>
  <c r="AH259" i="41"/>
  <c r="AH258" i="41"/>
  <c r="AH257" i="41"/>
  <c r="AH256" i="41"/>
  <c r="AH255" i="41"/>
  <c r="AH254" i="41"/>
  <c r="AI254" i="41" s="1"/>
  <c r="AH253" i="41"/>
  <c r="AH252" i="41"/>
  <c r="AH251" i="41"/>
  <c r="AI251" i="41" s="1"/>
  <c r="AH250" i="41"/>
  <c r="AI250" i="41" s="1"/>
  <c r="AH249" i="41"/>
  <c r="AI249" i="41" s="1"/>
  <c r="AH248" i="41"/>
  <c r="AI248" i="41" s="1"/>
  <c r="AH247" i="41"/>
  <c r="AH246" i="41"/>
  <c r="AH245" i="41"/>
  <c r="AH244" i="41"/>
  <c r="AI244" i="41" s="1"/>
  <c r="AH243" i="41"/>
  <c r="AH242" i="41"/>
  <c r="AI242" i="41" s="1"/>
  <c r="AH241" i="41"/>
  <c r="AI241" i="41" s="1"/>
  <c r="AH240" i="41"/>
  <c r="AI240" i="41" s="1"/>
  <c r="AH239" i="41"/>
  <c r="AH238" i="41"/>
  <c r="AH237" i="41"/>
  <c r="AH236" i="41"/>
  <c r="AI236" i="41" s="1"/>
  <c r="AH235" i="41"/>
  <c r="AH234" i="41"/>
  <c r="AI234" i="41" s="1"/>
  <c r="AH233" i="41"/>
  <c r="AH232" i="41"/>
  <c r="AH231" i="41"/>
  <c r="AH230" i="41"/>
  <c r="AH229" i="41"/>
  <c r="AH228" i="41"/>
  <c r="AH227" i="41"/>
  <c r="AH226" i="41"/>
  <c r="AH225" i="41"/>
  <c r="AH224" i="41"/>
  <c r="AI224" i="41" s="1"/>
  <c r="AH223" i="41"/>
  <c r="AH222" i="41"/>
  <c r="AH221" i="41"/>
  <c r="AH220" i="41"/>
  <c r="AH219" i="41"/>
  <c r="AH218" i="41"/>
  <c r="AH217" i="41"/>
  <c r="AH216" i="41"/>
  <c r="AH215" i="41"/>
  <c r="AH214" i="41"/>
  <c r="AH213" i="41"/>
  <c r="AH212" i="41"/>
  <c r="AH211" i="41"/>
  <c r="AH210" i="41"/>
  <c r="AH209" i="41"/>
  <c r="AH208" i="41"/>
  <c r="AI208" i="41" s="1"/>
  <c r="AH207" i="41"/>
  <c r="AH206" i="41"/>
  <c r="AH205" i="41"/>
  <c r="AH204" i="41"/>
  <c r="AH203" i="41"/>
  <c r="AH202" i="41"/>
  <c r="AH201" i="41"/>
  <c r="AH200" i="41"/>
  <c r="AH199" i="41"/>
  <c r="AH198" i="41"/>
  <c r="AI198" i="41" s="1"/>
  <c r="AH197" i="41"/>
  <c r="AH196" i="41"/>
  <c r="AH195" i="41"/>
  <c r="AH194" i="41"/>
  <c r="AH193" i="41"/>
  <c r="AI193" i="41" s="1"/>
  <c r="AH192" i="41"/>
  <c r="AI192" i="41" s="1"/>
  <c r="AH191" i="41"/>
  <c r="AH190" i="41"/>
  <c r="AH189" i="41"/>
  <c r="AH188" i="41"/>
  <c r="AH187" i="41"/>
  <c r="AH186" i="41"/>
  <c r="AH185" i="41"/>
  <c r="AH184" i="41"/>
  <c r="AH183" i="41"/>
  <c r="AH182" i="41"/>
  <c r="AI182" i="41" s="1"/>
  <c r="AH181" i="41"/>
  <c r="AH180" i="41"/>
  <c r="AH179" i="41"/>
  <c r="AH178" i="41"/>
  <c r="AH177" i="41"/>
  <c r="AI177" i="41" s="1"/>
  <c r="AH176" i="41"/>
  <c r="AI176" i="41" s="1"/>
  <c r="AH175" i="41"/>
  <c r="AH174" i="41"/>
  <c r="AH173" i="41"/>
  <c r="AI173" i="41" s="1"/>
  <c r="AH172" i="41"/>
  <c r="AH171" i="41"/>
  <c r="AH170" i="41"/>
  <c r="AH169" i="41"/>
  <c r="AH168" i="41"/>
  <c r="AH167" i="41"/>
  <c r="AH166" i="41"/>
  <c r="AH165" i="41"/>
  <c r="AI165" i="41" s="1"/>
  <c r="AH164" i="41"/>
  <c r="AH163" i="41"/>
  <c r="AH162" i="41"/>
  <c r="AH161" i="41"/>
  <c r="AH160" i="41"/>
  <c r="AI160" i="41" s="1"/>
  <c r="AH159" i="41"/>
  <c r="AH158" i="41"/>
  <c r="AI158" i="41" s="1"/>
  <c r="AH157" i="41"/>
  <c r="AH156" i="41"/>
  <c r="AH155" i="41"/>
  <c r="AH154" i="41"/>
  <c r="AH153" i="41"/>
  <c r="AH152" i="41"/>
  <c r="AH151" i="41"/>
  <c r="AH150" i="41"/>
  <c r="AH149" i="41"/>
  <c r="AH148" i="41"/>
  <c r="AH147" i="41"/>
  <c r="AH146" i="41"/>
  <c r="AI146" i="41" s="1"/>
  <c r="AH145" i="41"/>
  <c r="AI145" i="41" s="1"/>
  <c r="AH144" i="41"/>
  <c r="AI144" i="41" s="1"/>
  <c r="AH143" i="41"/>
  <c r="AH142" i="41"/>
  <c r="AI142" i="41" s="1"/>
  <c r="AH141" i="41"/>
  <c r="AI141" i="41" s="1"/>
  <c r="AH140" i="41"/>
  <c r="AH139" i="41"/>
  <c r="AH138" i="41"/>
  <c r="AH137" i="41"/>
  <c r="AH136" i="41"/>
  <c r="AH135" i="41"/>
  <c r="AH134" i="41"/>
  <c r="AH133" i="41"/>
  <c r="AI133" i="41" s="1"/>
  <c r="AH132" i="41"/>
  <c r="AH131" i="41"/>
  <c r="AH130" i="41"/>
  <c r="AI130" i="41" s="1"/>
  <c r="AH129" i="41"/>
  <c r="AI129" i="41" s="1"/>
  <c r="AH128" i="41"/>
  <c r="AH127" i="41"/>
  <c r="AI127" i="41" s="1"/>
  <c r="AH126" i="41"/>
  <c r="AH125" i="41"/>
  <c r="AH124" i="41"/>
  <c r="AH123" i="41"/>
  <c r="AH122" i="41"/>
  <c r="AH121" i="41"/>
  <c r="AH120" i="41"/>
  <c r="AH119" i="41"/>
  <c r="AH118" i="41"/>
  <c r="AH117" i="41"/>
  <c r="AH116" i="41"/>
  <c r="AH115" i="41"/>
  <c r="AH114" i="41"/>
  <c r="AH113" i="41"/>
  <c r="AH112" i="41"/>
  <c r="AI112" i="41" s="1"/>
  <c r="AH111" i="41"/>
  <c r="AH110" i="41"/>
  <c r="AI110" i="41" s="1"/>
  <c r="AH109" i="41"/>
  <c r="AH108" i="41"/>
  <c r="AI108" i="41" s="1"/>
  <c r="AH107" i="41"/>
  <c r="AH106" i="41"/>
  <c r="AH105" i="41"/>
  <c r="AH104" i="41"/>
  <c r="AH103" i="41"/>
  <c r="AH102" i="41"/>
  <c r="AH101" i="41"/>
  <c r="AH100" i="41"/>
  <c r="AH99" i="41"/>
  <c r="AH98" i="41"/>
  <c r="AI98" i="41" s="1"/>
  <c r="AH97" i="41"/>
  <c r="AH96" i="41"/>
  <c r="AI96" i="41" s="1"/>
  <c r="AH95" i="41"/>
  <c r="AH94" i="41"/>
  <c r="AI94" i="41" s="1"/>
  <c r="AH93" i="41"/>
  <c r="AH92" i="41"/>
  <c r="AH91" i="41"/>
  <c r="AH90" i="41"/>
  <c r="AH89" i="41"/>
  <c r="AH88" i="41"/>
  <c r="AH87" i="41"/>
  <c r="AH86" i="41"/>
  <c r="AH85" i="41"/>
  <c r="AH84" i="41"/>
  <c r="AH83" i="41"/>
  <c r="AH82" i="41"/>
  <c r="AH81" i="41"/>
  <c r="AI81" i="41" s="1"/>
  <c r="AH80" i="41"/>
  <c r="AH79" i="41"/>
  <c r="AH78" i="41"/>
  <c r="AI78" i="41" s="1"/>
  <c r="AH77" i="41"/>
  <c r="AH76" i="41"/>
  <c r="AH75" i="41"/>
  <c r="AH74" i="41"/>
  <c r="AH73" i="41"/>
  <c r="AH72" i="41"/>
  <c r="AH71" i="41"/>
  <c r="AH70" i="41"/>
  <c r="AH69" i="41"/>
  <c r="AH68" i="41"/>
  <c r="AH67" i="41"/>
  <c r="AH66" i="41"/>
  <c r="AH65" i="41"/>
  <c r="AH64" i="41"/>
  <c r="AI64" i="41" s="1"/>
  <c r="AH63" i="41"/>
  <c r="AI63" i="41" s="1"/>
  <c r="AH62" i="41"/>
  <c r="AI62" i="41" s="1"/>
  <c r="AH61" i="41"/>
  <c r="AI61" i="41" s="1"/>
  <c r="AH60" i="41"/>
  <c r="AI60" i="41" s="1"/>
  <c r="AH59" i="41"/>
  <c r="AH58" i="41"/>
  <c r="AH57" i="41"/>
  <c r="AH56" i="41"/>
  <c r="AH55" i="41"/>
  <c r="AH54" i="41"/>
  <c r="AH53" i="41"/>
  <c r="AH52" i="41"/>
  <c r="AH51" i="41"/>
  <c r="AH50" i="41"/>
  <c r="AH49" i="41"/>
  <c r="AH48" i="41"/>
  <c r="AH47" i="41"/>
  <c r="AH46" i="41"/>
  <c r="AI46" i="41" s="1"/>
  <c r="AH45" i="41"/>
  <c r="AI45" i="41" s="1"/>
  <c r="AH44" i="41"/>
  <c r="AH43" i="41"/>
  <c r="AI43" i="41" s="1"/>
  <c r="AH42" i="41"/>
  <c r="AH41" i="41"/>
  <c r="AH40" i="41"/>
  <c r="AH39" i="41"/>
  <c r="AH38" i="41"/>
  <c r="AH37" i="41"/>
  <c r="AH36" i="41"/>
  <c r="AH35" i="41"/>
  <c r="AI35" i="41" s="1"/>
  <c r="AH34" i="41"/>
  <c r="AH33" i="41"/>
  <c r="AH32" i="41"/>
  <c r="AH31" i="41"/>
  <c r="AH30" i="41"/>
  <c r="AH29" i="41"/>
  <c r="AH28" i="41"/>
  <c r="AI28" i="41" s="1"/>
  <c r="AH27" i="41"/>
  <c r="AH26" i="41"/>
  <c r="AH25" i="41"/>
  <c r="AH24" i="41"/>
  <c r="AH23" i="41"/>
  <c r="AH22" i="41"/>
  <c r="AH21" i="41"/>
  <c r="AH20" i="41"/>
  <c r="AI20" i="41" s="1"/>
  <c r="AH19" i="41"/>
  <c r="AH18" i="41"/>
  <c r="AH17" i="41"/>
  <c r="AI17" i="41" s="1"/>
  <c r="AH16" i="41"/>
  <c r="AI16" i="41" s="1"/>
  <c r="AH15" i="41"/>
  <c r="AH14" i="41"/>
  <c r="AH13" i="41"/>
  <c r="AH12" i="41"/>
  <c r="AH11" i="41"/>
  <c r="AH10" i="41"/>
  <c r="AH9" i="41"/>
  <c r="AH8" i="41"/>
  <c r="AH7" i="41"/>
  <c r="AI7" i="41" s="1"/>
  <c r="AH6" i="41"/>
  <c r="M141" i="30"/>
  <c r="M140" i="30"/>
  <c r="M139" i="30"/>
  <c r="M138" i="30"/>
  <c r="M137" i="30"/>
  <c r="M136" i="30"/>
  <c r="M135" i="30"/>
  <c r="M134" i="30"/>
  <c r="M133" i="30"/>
  <c r="M132" i="30"/>
  <c r="M131" i="30"/>
  <c r="M130" i="30"/>
  <c r="M129" i="30"/>
  <c r="M128" i="30"/>
  <c r="M127" i="30"/>
  <c r="M126" i="30"/>
  <c r="M125" i="30"/>
  <c r="M124" i="30"/>
  <c r="M123" i="30"/>
  <c r="M122" i="30"/>
  <c r="M121" i="30"/>
  <c r="M120" i="30"/>
  <c r="M119" i="30"/>
  <c r="M118" i="30"/>
  <c r="M117" i="30"/>
  <c r="M116" i="30"/>
  <c r="M115" i="30"/>
  <c r="M114" i="30"/>
  <c r="M113" i="30"/>
  <c r="M112" i="30"/>
  <c r="M111" i="30"/>
  <c r="M110" i="30"/>
  <c r="M109" i="30"/>
  <c r="M108" i="30"/>
  <c r="M107" i="30"/>
  <c r="M106" i="30"/>
  <c r="M105" i="30"/>
  <c r="M104" i="30"/>
  <c r="M103" i="30"/>
  <c r="M102" i="30"/>
  <c r="M101" i="30"/>
  <c r="M100" i="30"/>
  <c r="M99" i="30"/>
  <c r="M98" i="30"/>
  <c r="M97" i="30"/>
  <c r="M96" i="30"/>
  <c r="M95" i="30"/>
  <c r="M94" i="30"/>
  <c r="M93" i="30"/>
  <c r="M92" i="30"/>
  <c r="M91" i="30"/>
  <c r="M90" i="30"/>
  <c r="M89" i="30"/>
  <c r="M88" i="30"/>
  <c r="M87" i="30"/>
  <c r="M86" i="30"/>
  <c r="M85" i="30"/>
  <c r="M84" i="30"/>
  <c r="M83" i="30"/>
  <c r="M82" i="30"/>
  <c r="M81" i="30"/>
  <c r="M80" i="30"/>
  <c r="M79" i="30"/>
  <c r="M78" i="30"/>
  <c r="M77" i="30"/>
  <c r="M76" i="30"/>
  <c r="M75" i="30"/>
  <c r="M74" i="30"/>
  <c r="M73" i="30"/>
  <c r="M72" i="30"/>
  <c r="M71" i="30"/>
  <c r="M70" i="30"/>
  <c r="M69" i="30"/>
  <c r="M68" i="30"/>
  <c r="M67" i="30"/>
  <c r="M66" i="30"/>
  <c r="M65" i="30"/>
  <c r="M64" i="30"/>
  <c r="M63" i="30"/>
  <c r="M62" i="30"/>
  <c r="M61" i="30"/>
  <c r="M60" i="30"/>
  <c r="M59" i="30"/>
  <c r="M58" i="30"/>
  <c r="M57" i="30"/>
  <c r="M56" i="30"/>
  <c r="M55" i="30"/>
  <c r="M54" i="30"/>
  <c r="M53" i="30"/>
  <c r="M52" i="30"/>
  <c r="M51" i="30"/>
  <c r="M50" i="30"/>
  <c r="M49" i="30"/>
  <c r="M48" i="30"/>
  <c r="M47" i="30"/>
  <c r="M46" i="30"/>
  <c r="M45" i="30"/>
  <c r="M44" i="30"/>
  <c r="M43" i="30"/>
  <c r="M42" i="30"/>
  <c r="M41" i="30"/>
  <c r="M40" i="30"/>
  <c r="M39" i="30"/>
  <c r="M38" i="30"/>
  <c r="M37" i="30"/>
  <c r="M36" i="30"/>
  <c r="M35" i="30"/>
  <c r="M34" i="30"/>
  <c r="M33" i="30"/>
  <c r="M32" i="30"/>
  <c r="M31" i="30"/>
  <c r="M30" i="30"/>
  <c r="M29" i="30"/>
  <c r="M28" i="30"/>
  <c r="M27" i="30"/>
  <c r="M26" i="30"/>
  <c r="M25" i="30"/>
  <c r="M24" i="30"/>
  <c r="M23" i="30"/>
  <c r="M22" i="30"/>
  <c r="M21" i="30"/>
  <c r="M20" i="30"/>
  <c r="M19" i="30"/>
  <c r="M18" i="30"/>
  <c r="M17" i="30"/>
  <c r="M16" i="30"/>
  <c r="M15" i="30"/>
  <c r="M14" i="30"/>
  <c r="M13" i="30"/>
  <c r="M12" i="30"/>
  <c r="M11" i="30"/>
  <c r="M10" i="30"/>
  <c r="M9" i="30"/>
  <c r="M8" i="30"/>
  <c r="M7" i="30"/>
  <c r="M6" i="30"/>
  <c r="M5" i="30"/>
  <c r="M4" i="30"/>
  <c r="M3" i="30"/>
  <c r="M84" i="33"/>
  <c r="M83" i="33"/>
  <c r="M82" i="33"/>
  <c r="M81" i="33"/>
  <c r="M80" i="33"/>
  <c r="M79" i="33"/>
  <c r="M78" i="33"/>
  <c r="M77" i="33"/>
  <c r="M76" i="33"/>
  <c r="M75" i="33"/>
  <c r="M74" i="33"/>
  <c r="M73" i="33"/>
  <c r="M72" i="33"/>
  <c r="M71" i="33"/>
  <c r="M70" i="33"/>
  <c r="M69" i="33"/>
  <c r="M68" i="33"/>
  <c r="M67" i="33"/>
  <c r="M66" i="33"/>
  <c r="M65" i="33"/>
  <c r="M64" i="33"/>
  <c r="M63" i="33"/>
  <c r="M62" i="33"/>
  <c r="M61" i="33"/>
  <c r="M60" i="33"/>
  <c r="M59" i="33"/>
  <c r="M58" i="33"/>
  <c r="M57" i="33"/>
  <c r="M56" i="33"/>
  <c r="M55" i="33"/>
  <c r="M54" i="33"/>
  <c r="M53" i="33"/>
  <c r="M52" i="33"/>
  <c r="M51" i="33"/>
  <c r="M50" i="33"/>
  <c r="M49" i="33"/>
  <c r="M48" i="33"/>
  <c r="M47" i="33"/>
  <c r="M46" i="33"/>
  <c r="M45" i="33"/>
  <c r="M44" i="33"/>
  <c r="M43" i="33"/>
  <c r="M42" i="33"/>
  <c r="M41" i="33"/>
  <c r="M40" i="33"/>
  <c r="M39" i="33"/>
  <c r="M38" i="33"/>
  <c r="M37" i="33"/>
  <c r="M36" i="33"/>
  <c r="M35" i="33"/>
  <c r="M34" i="33"/>
  <c r="M33" i="33"/>
  <c r="M32" i="33"/>
  <c r="M31" i="33"/>
  <c r="M30" i="33"/>
  <c r="M29" i="33"/>
  <c r="M28" i="33"/>
  <c r="M27" i="33"/>
  <c r="M26" i="33"/>
  <c r="M25" i="33"/>
  <c r="M24" i="33"/>
  <c r="M23" i="33"/>
  <c r="M22" i="33"/>
  <c r="M21" i="33"/>
  <c r="M20" i="33"/>
  <c r="M19" i="33"/>
  <c r="M18" i="33"/>
  <c r="M17" i="33"/>
  <c r="M16" i="33"/>
  <c r="M15" i="33"/>
  <c r="M14" i="33"/>
  <c r="M13" i="33"/>
  <c r="M12" i="33"/>
  <c r="M11" i="33"/>
  <c r="M10" i="33"/>
  <c r="M9" i="33"/>
  <c r="M8" i="33"/>
  <c r="M7" i="33"/>
  <c r="M6" i="33"/>
  <c r="M5" i="33"/>
  <c r="M4" i="33"/>
  <c r="M3" i="33"/>
  <c r="F569" i="41"/>
  <c r="D569" i="41"/>
  <c r="C569" i="41"/>
  <c r="B569" i="41"/>
  <c r="A569" i="41"/>
  <c r="F568" i="41"/>
  <c r="D568" i="41"/>
  <c r="C568" i="41"/>
  <c r="B568" i="41"/>
  <c r="A568" i="41"/>
  <c r="G567" i="41"/>
  <c r="F567" i="41"/>
  <c r="D567" i="41"/>
  <c r="C567" i="41"/>
  <c r="B567" i="41"/>
  <c r="A567" i="41"/>
  <c r="G566" i="41"/>
  <c r="F566" i="41"/>
  <c r="D566" i="41"/>
  <c r="C566" i="41"/>
  <c r="B566" i="41"/>
  <c r="G563" i="41"/>
  <c r="F563" i="41"/>
  <c r="D563" i="41"/>
  <c r="C563" i="41"/>
  <c r="B563" i="41"/>
  <c r="G562" i="41"/>
  <c r="F562" i="41"/>
  <c r="D562" i="41"/>
  <c r="C562" i="41"/>
  <c r="B562" i="41"/>
  <c r="A562" i="41"/>
  <c r="G561" i="41"/>
  <c r="F561" i="41"/>
  <c r="D561" i="41"/>
  <c r="C561" i="41"/>
  <c r="B561" i="41"/>
  <c r="A561" i="41"/>
  <c r="G560" i="41"/>
  <c r="F560" i="41"/>
  <c r="D560" i="41"/>
  <c r="C560" i="41"/>
  <c r="B560" i="41"/>
  <c r="A560" i="41"/>
  <c r="G559" i="41"/>
  <c r="F559" i="41"/>
  <c r="D559" i="41"/>
  <c r="C559" i="41"/>
  <c r="B559" i="41"/>
  <c r="A559" i="41"/>
  <c r="G558" i="41"/>
  <c r="F558" i="41"/>
  <c r="D558" i="41"/>
  <c r="C558" i="41"/>
  <c r="B558" i="41"/>
  <c r="A558" i="41"/>
  <c r="G557" i="41"/>
  <c r="F557" i="41"/>
  <c r="D557" i="41"/>
  <c r="C557" i="41"/>
  <c r="B557" i="41"/>
  <c r="A557" i="41"/>
  <c r="G556" i="41"/>
  <c r="F556" i="41"/>
  <c r="D556" i="41"/>
  <c r="C556" i="41"/>
  <c r="B556" i="41"/>
  <c r="A556" i="41"/>
  <c r="G555" i="41"/>
  <c r="F555" i="41"/>
  <c r="D555" i="41"/>
  <c r="C555" i="41"/>
  <c r="B555" i="41"/>
  <c r="A555" i="41"/>
  <c r="G554" i="41"/>
  <c r="F554" i="41"/>
  <c r="D554" i="41"/>
  <c r="C554" i="41"/>
  <c r="B554" i="41"/>
  <c r="A554" i="41"/>
  <c r="G553" i="41"/>
  <c r="F553" i="41"/>
  <c r="D553" i="41"/>
  <c r="C553" i="41"/>
  <c r="B553" i="41"/>
  <c r="A553" i="41"/>
  <c r="G552" i="41"/>
  <c r="F552" i="41"/>
  <c r="D552" i="41"/>
  <c r="C552" i="41"/>
  <c r="B552" i="41"/>
  <c r="A552" i="41"/>
  <c r="G551" i="41"/>
  <c r="F551" i="41"/>
  <c r="D551" i="41"/>
  <c r="C551" i="41"/>
  <c r="B551" i="41"/>
  <c r="A551" i="41"/>
  <c r="G550" i="41"/>
  <c r="F550" i="41"/>
  <c r="D550" i="41"/>
  <c r="C550" i="41"/>
  <c r="B550" i="41"/>
  <c r="A550" i="41"/>
  <c r="G549" i="41"/>
  <c r="F549" i="41"/>
  <c r="D549" i="41"/>
  <c r="C549" i="41"/>
  <c r="B549" i="41"/>
  <c r="A549" i="41"/>
  <c r="G548" i="41"/>
  <c r="F548" i="41"/>
  <c r="D548" i="41"/>
  <c r="C548" i="41"/>
  <c r="B548" i="41"/>
  <c r="A548" i="41"/>
  <c r="G547" i="41"/>
  <c r="F547" i="41"/>
  <c r="D547" i="41"/>
  <c r="C547" i="41"/>
  <c r="B547" i="41"/>
  <c r="A547" i="41"/>
  <c r="G546" i="41"/>
  <c r="F546" i="41"/>
  <c r="D546" i="41"/>
  <c r="C546" i="41"/>
  <c r="B546" i="41"/>
  <c r="A546" i="41"/>
  <c r="G545" i="41"/>
  <c r="F545" i="41"/>
  <c r="D545" i="41"/>
  <c r="C545" i="41"/>
  <c r="B545" i="41"/>
  <c r="A545" i="41"/>
  <c r="G544" i="41"/>
  <c r="F544" i="41"/>
  <c r="D544" i="41"/>
  <c r="C544" i="41"/>
  <c r="B544" i="41"/>
  <c r="A544" i="41"/>
  <c r="G543" i="41"/>
  <c r="F543" i="41"/>
  <c r="D543" i="41"/>
  <c r="C543" i="41"/>
  <c r="B543" i="41"/>
  <c r="A543" i="41"/>
  <c r="G542" i="41"/>
  <c r="F542" i="41"/>
  <c r="D542" i="41"/>
  <c r="C542" i="41"/>
  <c r="B542" i="41"/>
  <c r="A542" i="41"/>
  <c r="G541" i="41"/>
  <c r="F541" i="41"/>
  <c r="D541" i="41"/>
  <c r="C541" i="41"/>
  <c r="B541" i="41"/>
  <c r="A541" i="41"/>
  <c r="G540" i="41"/>
  <c r="F540" i="41"/>
  <c r="D540" i="41"/>
  <c r="C540" i="41"/>
  <c r="B540" i="41"/>
  <c r="A540" i="41"/>
  <c r="G539" i="41"/>
  <c r="F539" i="41"/>
  <c r="D539" i="41"/>
  <c r="C539" i="41"/>
  <c r="B539" i="41"/>
  <c r="A539" i="41"/>
  <c r="G538" i="41"/>
  <c r="F538" i="41"/>
  <c r="D538" i="41"/>
  <c r="C538" i="41"/>
  <c r="B538" i="41"/>
  <c r="A538" i="41"/>
  <c r="G537" i="41"/>
  <c r="F537" i="41"/>
  <c r="D537" i="41"/>
  <c r="C537" i="41"/>
  <c r="B537" i="41"/>
  <c r="A537" i="41"/>
  <c r="G536" i="41"/>
  <c r="F536" i="41"/>
  <c r="D536" i="41"/>
  <c r="C536" i="41"/>
  <c r="B536" i="41"/>
  <c r="A536" i="41"/>
  <c r="G535" i="41"/>
  <c r="F535" i="41"/>
  <c r="D535" i="41"/>
  <c r="C535" i="41"/>
  <c r="B535" i="41"/>
  <c r="A535" i="41"/>
  <c r="G534" i="41"/>
  <c r="F534" i="41"/>
  <c r="D534" i="41"/>
  <c r="C534" i="41"/>
  <c r="B534" i="41"/>
  <c r="A534" i="41"/>
  <c r="G533" i="41"/>
  <c r="F533" i="41"/>
  <c r="D533" i="41"/>
  <c r="C533" i="41"/>
  <c r="B533" i="41"/>
  <c r="A533" i="41"/>
  <c r="G532" i="41"/>
  <c r="F532" i="41"/>
  <c r="D532" i="41"/>
  <c r="C532" i="41"/>
  <c r="B532" i="41"/>
  <c r="A532" i="41"/>
  <c r="G531" i="41"/>
  <c r="F531" i="41"/>
  <c r="D531" i="41"/>
  <c r="C531" i="41"/>
  <c r="B531" i="41"/>
  <c r="A531" i="41"/>
  <c r="G530" i="41"/>
  <c r="F530" i="41"/>
  <c r="D530" i="41"/>
  <c r="C530" i="41"/>
  <c r="B530" i="41"/>
  <c r="A530" i="41"/>
  <c r="G529" i="41"/>
  <c r="F529" i="41"/>
  <c r="D529" i="41"/>
  <c r="C529" i="41"/>
  <c r="B529" i="41"/>
  <c r="A529" i="41"/>
  <c r="G528" i="41"/>
  <c r="F528" i="41"/>
  <c r="D528" i="41"/>
  <c r="C528" i="41"/>
  <c r="B528" i="41"/>
  <c r="A528" i="41"/>
  <c r="G527" i="41"/>
  <c r="F527" i="41"/>
  <c r="D527" i="41"/>
  <c r="C527" i="41"/>
  <c r="B527" i="41"/>
  <c r="A527" i="41"/>
  <c r="G526" i="41"/>
  <c r="F526" i="41"/>
  <c r="D526" i="41"/>
  <c r="C526" i="41"/>
  <c r="B526" i="41"/>
  <c r="A526" i="41"/>
  <c r="G525" i="41"/>
  <c r="F525" i="41"/>
  <c r="D525" i="41"/>
  <c r="C525" i="41"/>
  <c r="B525" i="41"/>
  <c r="A525" i="41"/>
  <c r="G524" i="41"/>
  <c r="F524" i="41"/>
  <c r="D524" i="41"/>
  <c r="C524" i="41"/>
  <c r="B524" i="41"/>
  <c r="A524" i="41"/>
  <c r="G523" i="41"/>
  <c r="F523" i="41"/>
  <c r="D523" i="41"/>
  <c r="C523" i="41"/>
  <c r="B523" i="41"/>
  <c r="A523" i="41"/>
  <c r="G522" i="41"/>
  <c r="F522" i="41"/>
  <c r="D522" i="41"/>
  <c r="C522" i="41"/>
  <c r="B522" i="41"/>
  <c r="A522" i="41"/>
  <c r="G521" i="41"/>
  <c r="F521" i="41"/>
  <c r="D521" i="41"/>
  <c r="C521" i="41"/>
  <c r="B521" i="41"/>
  <c r="A521" i="41"/>
  <c r="G520" i="41"/>
  <c r="F520" i="41"/>
  <c r="D520" i="41"/>
  <c r="C520" i="41"/>
  <c r="B520" i="41"/>
  <c r="A520" i="41"/>
  <c r="G519" i="41"/>
  <c r="F519" i="41"/>
  <c r="D519" i="41"/>
  <c r="C519" i="41"/>
  <c r="B519" i="41"/>
  <c r="A519" i="41"/>
  <c r="G518" i="41"/>
  <c r="F518" i="41"/>
  <c r="D518" i="41"/>
  <c r="C518" i="41"/>
  <c r="B518" i="41"/>
  <c r="A518" i="41"/>
  <c r="G517" i="41"/>
  <c r="F517" i="41"/>
  <c r="D517" i="41"/>
  <c r="C517" i="41"/>
  <c r="B517" i="41"/>
  <c r="A517" i="41"/>
  <c r="G516" i="41"/>
  <c r="F516" i="41"/>
  <c r="D516" i="41"/>
  <c r="C516" i="41"/>
  <c r="B516" i="41"/>
  <c r="A516" i="41"/>
  <c r="G515" i="41"/>
  <c r="F515" i="41"/>
  <c r="D515" i="41"/>
  <c r="C515" i="41"/>
  <c r="B515" i="41"/>
  <c r="A515" i="41"/>
  <c r="G514" i="41"/>
  <c r="F514" i="41"/>
  <c r="D514" i="41"/>
  <c r="C514" i="41"/>
  <c r="B514" i="41"/>
  <c r="A514" i="41"/>
  <c r="G513" i="41"/>
  <c r="F513" i="41"/>
  <c r="D513" i="41"/>
  <c r="C513" i="41"/>
  <c r="B513" i="41"/>
  <c r="A513" i="41"/>
  <c r="G512" i="41"/>
  <c r="F512" i="41"/>
  <c r="D512" i="41"/>
  <c r="C512" i="41"/>
  <c r="B512" i="41"/>
  <c r="A512" i="41"/>
  <c r="G511" i="41"/>
  <c r="F511" i="41"/>
  <c r="D511" i="41"/>
  <c r="C511" i="41"/>
  <c r="B511" i="41"/>
  <c r="A511" i="41"/>
  <c r="G510" i="41"/>
  <c r="F510" i="41"/>
  <c r="D510" i="41"/>
  <c r="C510" i="41"/>
  <c r="B510" i="41"/>
  <c r="A510" i="41"/>
  <c r="G509" i="41"/>
  <c r="F509" i="41"/>
  <c r="D509" i="41"/>
  <c r="C509" i="41"/>
  <c r="B509" i="41"/>
  <c r="A509" i="41"/>
  <c r="G508" i="41"/>
  <c r="F508" i="41"/>
  <c r="D508" i="41"/>
  <c r="C508" i="41"/>
  <c r="B508" i="41"/>
  <c r="A508" i="41"/>
  <c r="G507" i="41"/>
  <c r="F507" i="41"/>
  <c r="D507" i="41"/>
  <c r="C507" i="41"/>
  <c r="B507" i="41"/>
  <c r="A507" i="41"/>
  <c r="G506" i="41"/>
  <c r="F506" i="41"/>
  <c r="D506" i="41"/>
  <c r="C506" i="41"/>
  <c r="B506" i="41"/>
  <c r="A506" i="41"/>
  <c r="G505" i="41"/>
  <c r="F505" i="41"/>
  <c r="D505" i="41"/>
  <c r="C505" i="41"/>
  <c r="B505" i="41"/>
  <c r="A505" i="41"/>
  <c r="G504" i="41"/>
  <c r="F504" i="41"/>
  <c r="D504" i="41"/>
  <c r="C504" i="41"/>
  <c r="B504" i="41"/>
  <c r="A504" i="41"/>
  <c r="G503" i="41"/>
  <c r="F503" i="41"/>
  <c r="D503" i="41"/>
  <c r="C503" i="41"/>
  <c r="B503" i="41"/>
  <c r="A503" i="41"/>
  <c r="G502" i="41"/>
  <c r="F502" i="41"/>
  <c r="D502" i="41"/>
  <c r="C502" i="41"/>
  <c r="B502" i="41"/>
  <c r="A502" i="41"/>
  <c r="G501" i="41"/>
  <c r="F501" i="41"/>
  <c r="D501" i="41"/>
  <c r="C501" i="41"/>
  <c r="B501" i="41"/>
  <c r="A501" i="41"/>
  <c r="G500" i="41"/>
  <c r="F500" i="41"/>
  <c r="D500" i="41"/>
  <c r="C500" i="41"/>
  <c r="B500" i="41"/>
  <c r="A500" i="41"/>
  <c r="G499" i="41"/>
  <c r="F499" i="41"/>
  <c r="D499" i="41"/>
  <c r="C499" i="41"/>
  <c r="B499" i="41"/>
  <c r="A499" i="41"/>
  <c r="G498" i="41"/>
  <c r="F498" i="41"/>
  <c r="D498" i="41"/>
  <c r="C498" i="41"/>
  <c r="B498" i="41"/>
  <c r="A498" i="41"/>
  <c r="G497" i="41"/>
  <c r="F497" i="41"/>
  <c r="D497" i="41"/>
  <c r="C497" i="41"/>
  <c r="B497" i="41"/>
  <c r="A497" i="41"/>
  <c r="G496" i="41"/>
  <c r="F496" i="41"/>
  <c r="D496" i="41"/>
  <c r="C496" i="41"/>
  <c r="B496" i="41"/>
  <c r="A496" i="41"/>
  <c r="G495" i="41"/>
  <c r="F495" i="41"/>
  <c r="D495" i="41"/>
  <c r="C495" i="41"/>
  <c r="B495" i="41"/>
  <c r="A495" i="41"/>
  <c r="G494" i="41"/>
  <c r="F494" i="41"/>
  <c r="D494" i="41"/>
  <c r="C494" i="41"/>
  <c r="B494" i="41"/>
  <c r="A494" i="41"/>
  <c r="G493" i="41"/>
  <c r="F493" i="41"/>
  <c r="D493" i="41"/>
  <c r="C493" i="41"/>
  <c r="B493" i="41"/>
  <c r="A493" i="41"/>
  <c r="G492" i="41"/>
  <c r="F492" i="41"/>
  <c r="D492" i="41"/>
  <c r="C492" i="41"/>
  <c r="B492" i="41"/>
  <c r="A492" i="41"/>
  <c r="G491" i="41"/>
  <c r="F491" i="41"/>
  <c r="D491" i="41"/>
  <c r="C491" i="41"/>
  <c r="B491" i="41"/>
  <c r="A491" i="41"/>
  <c r="G490" i="41"/>
  <c r="F490" i="41"/>
  <c r="D490" i="41"/>
  <c r="C490" i="41"/>
  <c r="B490" i="41"/>
  <c r="A490" i="41"/>
  <c r="G489" i="41"/>
  <c r="F489" i="41"/>
  <c r="D489" i="41"/>
  <c r="C489" i="41"/>
  <c r="B489" i="41"/>
  <c r="A489" i="41"/>
  <c r="G488" i="41"/>
  <c r="F488" i="41"/>
  <c r="D488" i="41"/>
  <c r="C488" i="41"/>
  <c r="B488" i="41"/>
  <c r="A488" i="41"/>
  <c r="G487" i="41"/>
  <c r="F487" i="41"/>
  <c r="D487" i="41"/>
  <c r="C487" i="41"/>
  <c r="B487" i="41"/>
  <c r="A487" i="41"/>
  <c r="G486" i="41"/>
  <c r="F486" i="41"/>
  <c r="D486" i="41"/>
  <c r="C486" i="41"/>
  <c r="B486" i="41"/>
  <c r="A486" i="41"/>
  <c r="G485" i="41"/>
  <c r="F485" i="41"/>
  <c r="D485" i="41"/>
  <c r="C485" i="41"/>
  <c r="B485" i="41"/>
  <c r="A485" i="41"/>
  <c r="G484" i="41"/>
  <c r="F484" i="41"/>
  <c r="D484" i="41"/>
  <c r="C484" i="41"/>
  <c r="B484" i="41"/>
  <c r="A484" i="41"/>
  <c r="G483" i="41"/>
  <c r="F483" i="41"/>
  <c r="D483" i="41"/>
  <c r="C483" i="41"/>
  <c r="B483" i="41"/>
  <c r="A483" i="41"/>
  <c r="G482" i="41"/>
  <c r="F482" i="41"/>
  <c r="D482" i="41"/>
  <c r="C482" i="41"/>
  <c r="B482" i="41"/>
  <c r="A482" i="41"/>
  <c r="G481" i="41"/>
  <c r="F481" i="41"/>
  <c r="D481" i="41"/>
  <c r="C481" i="41"/>
  <c r="B481" i="41"/>
  <c r="A481" i="41"/>
  <c r="G480" i="41"/>
  <c r="F480" i="41"/>
  <c r="D480" i="41"/>
  <c r="C480" i="41"/>
  <c r="B480" i="41"/>
  <c r="A480" i="41"/>
  <c r="G479" i="41"/>
  <c r="F479" i="41"/>
  <c r="D479" i="41"/>
  <c r="C479" i="41"/>
  <c r="B479" i="41"/>
  <c r="A479" i="41"/>
  <c r="G478" i="41"/>
  <c r="F478" i="41"/>
  <c r="D478" i="41"/>
  <c r="C478" i="41"/>
  <c r="B478" i="41"/>
  <c r="A478" i="41"/>
  <c r="G477" i="41"/>
  <c r="F477" i="41"/>
  <c r="D477" i="41"/>
  <c r="C477" i="41"/>
  <c r="B477" i="41"/>
  <c r="A477" i="41"/>
  <c r="G476" i="41"/>
  <c r="F476" i="41"/>
  <c r="D476" i="41"/>
  <c r="C476" i="41"/>
  <c r="B476" i="41"/>
  <c r="A476" i="41"/>
  <c r="G475" i="41"/>
  <c r="F475" i="41"/>
  <c r="D475" i="41"/>
  <c r="C475" i="41"/>
  <c r="B475" i="41"/>
  <c r="A475" i="41"/>
  <c r="G474" i="41"/>
  <c r="F474" i="41"/>
  <c r="D474" i="41"/>
  <c r="C474" i="41"/>
  <c r="B474" i="41"/>
  <c r="A474" i="41"/>
  <c r="G473" i="41"/>
  <c r="F473" i="41"/>
  <c r="D473" i="41"/>
  <c r="C473" i="41"/>
  <c r="B473" i="41"/>
  <c r="A473" i="41"/>
  <c r="G472" i="41"/>
  <c r="F472" i="41"/>
  <c r="D472" i="41"/>
  <c r="C472" i="41"/>
  <c r="B472" i="41"/>
  <c r="A472" i="41"/>
  <c r="G471" i="41"/>
  <c r="F471" i="41"/>
  <c r="D471" i="41"/>
  <c r="C471" i="41"/>
  <c r="B471" i="41"/>
  <c r="A471" i="41"/>
  <c r="G470" i="41"/>
  <c r="F470" i="41"/>
  <c r="D470" i="41"/>
  <c r="C470" i="41"/>
  <c r="B470" i="41"/>
  <c r="A470" i="41"/>
  <c r="G469" i="41"/>
  <c r="F469" i="41"/>
  <c r="D469" i="41"/>
  <c r="C469" i="41"/>
  <c r="B469" i="41"/>
  <c r="A469" i="41"/>
  <c r="G468" i="41"/>
  <c r="F468" i="41"/>
  <c r="D468" i="41"/>
  <c r="C468" i="41"/>
  <c r="B468" i="41"/>
  <c r="A468" i="41"/>
  <c r="G467" i="41"/>
  <c r="F467" i="41"/>
  <c r="D467" i="41"/>
  <c r="C467" i="41"/>
  <c r="B467" i="41"/>
  <c r="A467" i="41"/>
  <c r="G466" i="41"/>
  <c r="F466" i="41"/>
  <c r="D466" i="41"/>
  <c r="C466" i="41"/>
  <c r="B466" i="41"/>
  <c r="A466" i="41"/>
  <c r="G465" i="41"/>
  <c r="F465" i="41"/>
  <c r="D465" i="41"/>
  <c r="C465" i="41"/>
  <c r="B465" i="41"/>
  <c r="A465" i="41"/>
  <c r="G464" i="41"/>
  <c r="F464" i="41"/>
  <c r="D464" i="41"/>
  <c r="C464" i="41"/>
  <c r="B464" i="41"/>
  <c r="A464" i="41"/>
  <c r="G463" i="41"/>
  <c r="F463" i="41"/>
  <c r="D463" i="41"/>
  <c r="C463" i="41"/>
  <c r="B463" i="41"/>
  <c r="A463" i="41"/>
  <c r="G462" i="41"/>
  <c r="F462" i="41"/>
  <c r="D462" i="41"/>
  <c r="C462" i="41"/>
  <c r="B462" i="41"/>
  <c r="A462" i="41"/>
  <c r="G461" i="41"/>
  <c r="F461" i="41"/>
  <c r="D461" i="41"/>
  <c r="C461" i="41"/>
  <c r="B461" i="41"/>
  <c r="A461" i="41"/>
  <c r="G460" i="41"/>
  <c r="F460" i="41"/>
  <c r="D460" i="41"/>
  <c r="C460" i="41"/>
  <c r="B460" i="41"/>
  <c r="A460" i="41"/>
  <c r="G459" i="41"/>
  <c r="F459" i="41"/>
  <c r="D459" i="41"/>
  <c r="C459" i="41"/>
  <c r="B459" i="41"/>
  <c r="A459" i="41"/>
  <c r="G458" i="41"/>
  <c r="F458" i="41"/>
  <c r="D458" i="41"/>
  <c r="C458" i="41"/>
  <c r="B458" i="41"/>
  <c r="A458" i="41"/>
  <c r="G457" i="41"/>
  <c r="F457" i="41"/>
  <c r="D457" i="41"/>
  <c r="C457" i="41"/>
  <c r="B457" i="41"/>
  <c r="A457" i="41"/>
  <c r="G456" i="41"/>
  <c r="F456" i="41"/>
  <c r="D456" i="41"/>
  <c r="C456" i="41"/>
  <c r="B456" i="41"/>
  <c r="A456" i="41"/>
  <c r="G455" i="41"/>
  <c r="F455" i="41"/>
  <c r="D455" i="41"/>
  <c r="C455" i="41"/>
  <c r="B455" i="41"/>
  <c r="A455" i="41"/>
  <c r="G454" i="41"/>
  <c r="F454" i="41"/>
  <c r="D454" i="41"/>
  <c r="C454" i="41"/>
  <c r="B454" i="41"/>
  <c r="A454" i="41"/>
  <c r="G453" i="41"/>
  <c r="F453" i="41"/>
  <c r="D453" i="41"/>
  <c r="C453" i="41"/>
  <c r="B453" i="41"/>
  <c r="A453" i="41"/>
  <c r="G452" i="41"/>
  <c r="F452" i="41"/>
  <c r="D452" i="41"/>
  <c r="C452" i="41"/>
  <c r="B452" i="41"/>
  <c r="A452" i="41"/>
  <c r="G451" i="41"/>
  <c r="F451" i="41"/>
  <c r="D451" i="41"/>
  <c r="C451" i="41"/>
  <c r="B451" i="41"/>
  <c r="A451" i="41"/>
  <c r="G450" i="41"/>
  <c r="F450" i="41"/>
  <c r="D450" i="41"/>
  <c r="C450" i="41"/>
  <c r="B450" i="41"/>
  <c r="A450" i="41"/>
  <c r="G449" i="41"/>
  <c r="F449" i="41"/>
  <c r="D449" i="41"/>
  <c r="C449" i="41"/>
  <c r="B449" i="41"/>
  <c r="A449" i="41"/>
  <c r="G448" i="41"/>
  <c r="F448" i="41"/>
  <c r="D448" i="41"/>
  <c r="C448" i="41"/>
  <c r="B448" i="41"/>
  <c r="A448" i="41"/>
  <c r="G447" i="41"/>
  <c r="F447" i="41"/>
  <c r="D447" i="41"/>
  <c r="C447" i="41"/>
  <c r="B447" i="41"/>
  <c r="A447" i="41"/>
  <c r="G446" i="41"/>
  <c r="F446" i="41"/>
  <c r="D446" i="41"/>
  <c r="C446" i="41"/>
  <c r="B446" i="41"/>
  <c r="A446" i="41"/>
  <c r="G445" i="41"/>
  <c r="F445" i="41"/>
  <c r="D445" i="41"/>
  <c r="C445" i="41"/>
  <c r="B445" i="41"/>
  <c r="A445" i="41"/>
  <c r="G444" i="41"/>
  <c r="F444" i="41"/>
  <c r="D444" i="41"/>
  <c r="C444" i="41"/>
  <c r="B444" i="41"/>
  <c r="A444" i="41"/>
  <c r="G443" i="41"/>
  <c r="F443" i="41"/>
  <c r="D443" i="41"/>
  <c r="C443" i="41"/>
  <c r="B443" i="41"/>
  <c r="A443" i="41"/>
  <c r="G442" i="41"/>
  <c r="F442" i="41"/>
  <c r="D442" i="41"/>
  <c r="C442" i="41"/>
  <c r="B442" i="41"/>
  <c r="A442" i="41"/>
  <c r="G441" i="41"/>
  <c r="F441" i="41"/>
  <c r="D441" i="41"/>
  <c r="C441" i="41"/>
  <c r="B441" i="41"/>
  <c r="A441" i="41"/>
  <c r="G440" i="41"/>
  <c r="F440" i="41"/>
  <c r="D440" i="41"/>
  <c r="C440" i="41"/>
  <c r="B440" i="41"/>
  <c r="A440" i="41"/>
  <c r="G439" i="41"/>
  <c r="F439" i="41"/>
  <c r="D439" i="41"/>
  <c r="C439" i="41"/>
  <c r="B439" i="41"/>
  <c r="A439" i="41"/>
  <c r="G438" i="41"/>
  <c r="F438" i="41"/>
  <c r="D438" i="41"/>
  <c r="C438" i="41"/>
  <c r="B438" i="41"/>
  <c r="A438" i="41"/>
  <c r="G437" i="41"/>
  <c r="F437" i="41"/>
  <c r="D437" i="41"/>
  <c r="C437" i="41"/>
  <c r="B437" i="41"/>
  <c r="A437" i="41"/>
  <c r="G436" i="41"/>
  <c r="F436" i="41"/>
  <c r="D436" i="41"/>
  <c r="C436" i="41"/>
  <c r="B436" i="41"/>
  <c r="A436" i="41"/>
  <c r="G435" i="41"/>
  <c r="F435" i="41"/>
  <c r="D435" i="41"/>
  <c r="C435" i="41"/>
  <c r="B435" i="41"/>
  <c r="A435" i="41"/>
  <c r="G434" i="41"/>
  <c r="F434" i="41"/>
  <c r="D434" i="41"/>
  <c r="C434" i="41"/>
  <c r="B434" i="41"/>
  <c r="A434" i="41"/>
  <c r="G433" i="41"/>
  <c r="F433" i="41"/>
  <c r="D433" i="41"/>
  <c r="C433" i="41"/>
  <c r="B433" i="41"/>
  <c r="A433" i="41"/>
  <c r="G432" i="41"/>
  <c r="F432" i="41"/>
  <c r="D432" i="41"/>
  <c r="C432" i="41"/>
  <c r="B432" i="41"/>
  <c r="A432" i="41"/>
  <c r="G431" i="41"/>
  <c r="F431" i="41"/>
  <c r="D431" i="41"/>
  <c r="C431" i="41"/>
  <c r="B431" i="41"/>
  <c r="A431" i="41"/>
  <c r="G430" i="41"/>
  <c r="F430" i="41"/>
  <c r="D430" i="41"/>
  <c r="C430" i="41"/>
  <c r="B430" i="41"/>
  <c r="A430" i="41"/>
  <c r="G429" i="41"/>
  <c r="F429" i="41"/>
  <c r="D429" i="41"/>
  <c r="C429" i="41"/>
  <c r="B429" i="41"/>
  <c r="A429" i="41"/>
  <c r="G428" i="41"/>
  <c r="F428" i="41"/>
  <c r="D428" i="41"/>
  <c r="C428" i="41"/>
  <c r="B428" i="41"/>
  <c r="A428" i="41"/>
  <c r="G427" i="41"/>
  <c r="F427" i="41"/>
  <c r="D427" i="41"/>
  <c r="C427" i="41"/>
  <c r="B427" i="41"/>
  <c r="A427" i="41"/>
  <c r="G426" i="41"/>
  <c r="F426" i="41"/>
  <c r="D426" i="41"/>
  <c r="C426" i="41"/>
  <c r="B426" i="41"/>
  <c r="A426" i="41"/>
  <c r="G425" i="41"/>
  <c r="F425" i="41"/>
  <c r="D425" i="41"/>
  <c r="C425" i="41"/>
  <c r="B425" i="41"/>
  <c r="A425" i="41"/>
  <c r="G424" i="41"/>
  <c r="F424" i="41"/>
  <c r="D424" i="41"/>
  <c r="C424" i="41"/>
  <c r="B424" i="41"/>
  <c r="A424" i="41"/>
  <c r="G423" i="41"/>
  <c r="F423" i="41"/>
  <c r="D423" i="41"/>
  <c r="C423" i="41"/>
  <c r="B423" i="41"/>
  <c r="A423" i="41"/>
  <c r="G422" i="41"/>
  <c r="F422" i="41"/>
  <c r="D422" i="41"/>
  <c r="C422" i="41"/>
  <c r="B422" i="41"/>
  <c r="A422" i="41"/>
  <c r="G421" i="41"/>
  <c r="F421" i="41"/>
  <c r="D421" i="41"/>
  <c r="C421" i="41"/>
  <c r="B421" i="41"/>
  <c r="A421" i="41"/>
  <c r="G420" i="41"/>
  <c r="F420" i="41"/>
  <c r="D420" i="41"/>
  <c r="C420" i="41"/>
  <c r="B420" i="41"/>
  <c r="A420" i="41"/>
  <c r="G419" i="41"/>
  <c r="F419" i="41"/>
  <c r="D419" i="41"/>
  <c r="C419" i="41"/>
  <c r="B419" i="41"/>
  <c r="A419" i="41"/>
  <c r="G418" i="41"/>
  <c r="F418" i="41"/>
  <c r="D418" i="41"/>
  <c r="C418" i="41"/>
  <c r="B418" i="41"/>
  <c r="A418" i="41"/>
  <c r="G417" i="41"/>
  <c r="F417" i="41"/>
  <c r="D417" i="41"/>
  <c r="C417" i="41"/>
  <c r="B417" i="41"/>
  <c r="A417" i="41"/>
  <c r="G416" i="41"/>
  <c r="F416" i="41"/>
  <c r="D416" i="41"/>
  <c r="C416" i="41"/>
  <c r="B416" i="41"/>
  <c r="A416" i="41"/>
  <c r="G415" i="41"/>
  <c r="F415" i="41"/>
  <c r="D415" i="41"/>
  <c r="C415" i="41"/>
  <c r="B415" i="41"/>
  <c r="A415" i="41"/>
  <c r="G414" i="41"/>
  <c r="F414" i="41"/>
  <c r="D414" i="41"/>
  <c r="C414" i="41"/>
  <c r="B414" i="41"/>
  <c r="A414" i="41"/>
  <c r="G413" i="41"/>
  <c r="F413" i="41"/>
  <c r="D413" i="41"/>
  <c r="C413" i="41"/>
  <c r="B413" i="41"/>
  <c r="A413" i="41"/>
  <c r="G412" i="41"/>
  <c r="F412" i="41"/>
  <c r="D412" i="41"/>
  <c r="C412" i="41"/>
  <c r="B412" i="41"/>
  <c r="A412" i="41"/>
  <c r="G411" i="41"/>
  <c r="F411" i="41"/>
  <c r="D411" i="41"/>
  <c r="C411" i="41"/>
  <c r="B411" i="41"/>
  <c r="A411" i="41"/>
  <c r="G410" i="41"/>
  <c r="F410" i="41"/>
  <c r="D410" i="41"/>
  <c r="C410" i="41"/>
  <c r="B410" i="41"/>
  <c r="A410" i="41"/>
  <c r="G409" i="41"/>
  <c r="F409" i="41"/>
  <c r="D409" i="41"/>
  <c r="C409" i="41"/>
  <c r="B409" i="41"/>
  <c r="A409" i="41"/>
  <c r="G408" i="41"/>
  <c r="F408" i="41"/>
  <c r="D408" i="41"/>
  <c r="C408" i="41"/>
  <c r="B408" i="41"/>
  <c r="A408" i="41"/>
  <c r="G407" i="41"/>
  <c r="F407" i="41"/>
  <c r="D407" i="41"/>
  <c r="C407" i="41"/>
  <c r="B407" i="41"/>
  <c r="A407" i="41"/>
  <c r="G406" i="41"/>
  <c r="F406" i="41"/>
  <c r="D406" i="41"/>
  <c r="C406" i="41"/>
  <c r="B406" i="41"/>
  <c r="A406" i="41"/>
  <c r="G405" i="41"/>
  <c r="F405" i="41"/>
  <c r="D405" i="41"/>
  <c r="C405" i="41"/>
  <c r="B405" i="41"/>
  <c r="A405" i="41"/>
  <c r="G404" i="41"/>
  <c r="F404" i="41"/>
  <c r="D404" i="41"/>
  <c r="C404" i="41"/>
  <c r="B404" i="41"/>
  <c r="A404" i="41"/>
  <c r="G403" i="41"/>
  <c r="F403" i="41"/>
  <c r="D403" i="41"/>
  <c r="C403" i="41"/>
  <c r="B403" i="41"/>
  <c r="A403" i="41"/>
  <c r="G402" i="41"/>
  <c r="F402" i="41"/>
  <c r="D402" i="41"/>
  <c r="C402" i="41"/>
  <c r="B402" i="41"/>
  <c r="A402" i="41"/>
  <c r="G401" i="41"/>
  <c r="F401" i="41"/>
  <c r="D401" i="41"/>
  <c r="C401" i="41"/>
  <c r="B401" i="41"/>
  <c r="A401" i="41"/>
  <c r="G400" i="41"/>
  <c r="F400" i="41"/>
  <c r="D400" i="41"/>
  <c r="C400" i="41"/>
  <c r="B400" i="41"/>
  <c r="A400" i="41"/>
  <c r="G399" i="41"/>
  <c r="F399" i="41"/>
  <c r="D399" i="41"/>
  <c r="C399" i="41"/>
  <c r="B399" i="41"/>
  <c r="A399" i="41"/>
  <c r="G398" i="41"/>
  <c r="F398" i="41"/>
  <c r="D398" i="41"/>
  <c r="C398" i="41"/>
  <c r="B398" i="41"/>
  <c r="A398" i="41"/>
  <c r="G397" i="41"/>
  <c r="F397" i="41"/>
  <c r="D397" i="41"/>
  <c r="C397" i="41"/>
  <c r="B397" i="41"/>
  <c r="A397" i="41"/>
  <c r="G396" i="41"/>
  <c r="F396" i="41"/>
  <c r="D396" i="41"/>
  <c r="C396" i="41"/>
  <c r="B396" i="41"/>
  <c r="A396" i="41"/>
  <c r="G395" i="41"/>
  <c r="F395" i="41"/>
  <c r="D395" i="41"/>
  <c r="C395" i="41"/>
  <c r="B395" i="41"/>
  <c r="A395" i="41"/>
  <c r="G394" i="41"/>
  <c r="F394" i="41"/>
  <c r="D394" i="41"/>
  <c r="C394" i="41"/>
  <c r="B394" i="41"/>
  <c r="A394" i="41"/>
  <c r="G393" i="41"/>
  <c r="F393" i="41"/>
  <c r="D393" i="41"/>
  <c r="C393" i="41"/>
  <c r="B393" i="41"/>
  <c r="A393" i="41"/>
  <c r="G392" i="41"/>
  <c r="F392" i="41"/>
  <c r="D392" i="41"/>
  <c r="C392" i="41"/>
  <c r="B392" i="41"/>
  <c r="A392" i="41"/>
  <c r="G391" i="41"/>
  <c r="F391" i="41"/>
  <c r="D391" i="41"/>
  <c r="C391" i="41"/>
  <c r="B391" i="41"/>
  <c r="A391" i="41"/>
  <c r="G390" i="41"/>
  <c r="F390" i="41"/>
  <c r="D390" i="41"/>
  <c r="C390" i="41"/>
  <c r="B390" i="41"/>
  <c r="A390" i="41"/>
  <c r="G389" i="41"/>
  <c r="F389" i="41"/>
  <c r="D389" i="41"/>
  <c r="C389" i="41"/>
  <c r="B389" i="41"/>
  <c r="A389" i="41"/>
  <c r="G388" i="41"/>
  <c r="F388" i="41"/>
  <c r="D388" i="41"/>
  <c r="C388" i="41"/>
  <c r="B388" i="41"/>
  <c r="A388" i="41"/>
  <c r="G387" i="41"/>
  <c r="F387" i="41"/>
  <c r="D387" i="41"/>
  <c r="C387" i="41"/>
  <c r="B387" i="41"/>
  <c r="A387" i="41"/>
  <c r="G386" i="41"/>
  <c r="F386" i="41"/>
  <c r="D386" i="41"/>
  <c r="C386" i="41"/>
  <c r="B386" i="41"/>
  <c r="A386" i="41"/>
  <c r="G385" i="41"/>
  <c r="F385" i="41"/>
  <c r="D385" i="41"/>
  <c r="C385" i="41"/>
  <c r="B385" i="41"/>
  <c r="A385" i="41"/>
  <c r="G384" i="41"/>
  <c r="F384" i="41"/>
  <c r="D384" i="41"/>
  <c r="C384" i="41"/>
  <c r="B384" i="41"/>
  <c r="A384" i="41"/>
  <c r="G383" i="41"/>
  <c r="F383" i="41"/>
  <c r="D383" i="41"/>
  <c r="C383" i="41"/>
  <c r="B383" i="41"/>
  <c r="A383" i="41"/>
  <c r="G382" i="41"/>
  <c r="F382" i="41"/>
  <c r="D382" i="41"/>
  <c r="C382" i="41"/>
  <c r="B382" i="41"/>
  <c r="A382" i="41"/>
  <c r="G381" i="41"/>
  <c r="F381" i="41"/>
  <c r="D381" i="41"/>
  <c r="C381" i="41"/>
  <c r="B381" i="41"/>
  <c r="A381" i="41"/>
  <c r="G380" i="41"/>
  <c r="F380" i="41"/>
  <c r="D380" i="41"/>
  <c r="C380" i="41"/>
  <c r="B380" i="41"/>
  <c r="A380" i="41"/>
  <c r="G379" i="41"/>
  <c r="F379" i="41"/>
  <c r="D379" i="41"/>
  <c r="C379" i="41"/>
  <c r="B379" i="41"/>
  <c r="A379" i="41"/>
  <c r="G378" i="41"/>
  <c r="F378" i="41"/>
  <c r="D378" i="41"/>
  <c r="C378" i="41"/>
  <c r="B378" i="41"/>
  <c r="A378" i="41"/>
  <c r="G377" i="41"/>
  <c r="F377" i="41"/>
  <c r="D377" i="41"/>
  <c r="C377" i="41"/>
  <c r="B377" i="41"/>
  <c r="A377" i="41"/>
  <c r="G376" i="41"/>
  <c r="F376" i="41"/>
  <c r="D376" i="41"/>
  <c r="C376" i="41"/>
  <c r="B376" i="41"/>
  <c r="A376" i="41"/>
  <c r="G375" i="41"/>
  <c r="F375" i="41"/>
  <c r="D375" i="41"/>
  <c r="C375" i="41"/>
  <c r="B375" i="41"/>
  <c r="A375" i="41"/>
  <c r="G374" i="41"/>
  <c r="F374" i="41"/>
  <c r="D374" i="41"/>
  <c r="C374" i="41"/>
  <c r="B374" i="41"/>
  <c r="A374" i="41"/>
  <c r="G373" i="41"/>
  <c r="F373" i="41"/>
  <c r="D373" i="41"/>
  <c r="C373" i="41"/>
  <c r="B373" i="41"/>
  <c r="A373" i="41"/>
  <c r="G372" i="41"/>
  <c r="F372" i="41"/>
  <c r="D372" i="41"/>
  <c r="C372" i="41"/>
  <c r="B372" i="41"/>
  <c r="A372" i="41"/>
  <c r="G371" i="41"/>
  <c r="F371" i="41"/>
  <c r="D371" i="41"/>
  <c r="C371" i="41"/>
  <c r="B371" i="41"/>
  <c r="A371" i="41"/>
  <c r="G370" i="41"/>
  <c r="F370" i="41"/>
  <c r="D370" i="41"/>
  <c r="C370" i="41"/>
  <c r="B370" i="41"/>
  <c r="A370" i="41"/>
  <c r="G369" i="41"/>
  <c r="F369" i="41"/>
  <c r="D369" i="41"/>
  <c r="C369" i="41"/>
  <c r="B369" i="41"/>
  <c r="A369" i="41"/>
  <c r="G368" i="41"/>
  <c r="F368" i="41"/>
  <c r="D368" i="41"/>
  <c r="C368" i="41"/>
  <c r="B368" i="41"/>
  <c r="A368" i="41"/>
  <c r="G367" i="41"/>
  <c r="F367" i="41"/>
  <c r="D367" i="41"/>
  <c r="C367" i="41"/>
  <c r="B367" i="41"/>
  <c r="A367" i="41"/>
  <c r="G366" i="41"/>
  <c r="F366" i="41"/>
  <c r="D366" i="41"/>
  <c r="C366" i="41"/>
  <c r="B366" i="41"/>
  <c r="A366" i="41"/>
  <c r="G365" i="41"/>
  <c r="F365" i="41"/>
  <c r="D365" i="41"/>
  <c r="C365" i="41"/>
  <c r="B365" i="41"/>
  <c r="A365" i="41"/>
  <c r="G364" i="41"/>
  <c r="F364" i="41"/>
  <c r="D364" i="41"/>
  <c r="C364" i="41"/>
  <c r="B364" i="41"/>
  <c r="A364" i="41"/>
  <c r="G363" i="41"/>
  <c r="F363" i="41"/>
  <c r="D363" i="41"/>
  <c r="C363" i="41"/>
  <c r="B363" i="41"/>
  <c r="A363" i="41"/>
  <c r="G362" i="41"/>
  <c r="F362" i="41"/>
  <c r="D362" i="41"/>
  <c r="C362" i="41"/>
  <c r="B362" i="41"/>
  <c r="A362" i="41"/>
  <c r="G361" i="41"/>
  <c r="F361" i="41"/>
  <c r="D361" i="41"/>
  <c r="C361" i="41"/>
  <c r="B361" i="41"/>
  <c r="A361" i="41"/>
  <c r="G360" i="41"/>
  <c r="F360" i="41"/>
  <c r="D360" i="41"/>
  <c r="C360" i="41"/>
  <c r="B360" i="41"/>
  <c r="A360" i="41"/>
  <c r="G359" i="41"/>
  <c r="F359" i="41"/>
  <c r="D359" i="41"/>
  <c r="C359" i="41"/>
  <c r="B359" i="41"/>
  <c r="A359" i="41"/>
  <c r="G358" i="41"/>
  <c r="F358" i="41"/>
  <c r="D358" i="41"/>
  <c r="C358" i="41"/>
  <c r="B358" i="41"/>
  <c r="A358" i="41"/>
  <c r="G357" i="41"/>
  <c r="F357" i="41"/>
  <c r="D357" i="41"/>
  <c r="C357" i="41"/>
  <c r="B357" i="41"/>
  <c r="A357" i="41"/>
  <c r="G356" i="41"/>
  <c r="F356" i="41"/>
  <c r="D356" i="41"/>
  <c r="C356" i="41"/>
  <c r="B356" i="41"/>
  <c r="A356" i="41"/>
  <c r="G355" i="41"/>
  <c r="F355" i="41"/>
  <c r="D355" i="41"/>
  <c r="C355" i="41"/>
  <c r="B355" i="41"/>
  <c r="A355" i="41"/>
  <c r="G354" i="41"/>
  <c r="F354" i="41"/>
  <c r="D354" i="41"/>
  <c r="C354" i="41"/>
  <c r="B354" i="41"/>
  <c r="A354" i="41"/>
  <c r="G353" i="41"/>
  <c r="F353" i="41"/>
  <c r="D353" i="41"/>
  <c r="C353" i="41"/>
  <c r="B353" i="41"/>
  <c r="A353" i="41"/>
  <c r="G352" i="41"/>
  <c r="F352" i="41"/>
  <c r="D352" i="41"/>
  <c r="C352" i="41"/>
  <c r="B352" i="41"/>
  <c r="A352" i="41"/>
  <c r="G351" i="41"/>
  <c r="F351" i="41"/>
  <c r="D351" i="41"/>
  <c r="C351" i="41"/>
  <c r="B351" i="41"/>
  <c r="A351" i="41"/>
  <c r="G350" i="41"/>
  <c r="F350" i="41"/>
  <c r="D350" i="41"/>
  <c r="C350" i="41"/>
  <c r="B350" i="41"/>
  <c r="A350" i="41"/>
  <c r="G349" i="41"/>
  <c r="F349" i="41"/>
  <c r="D349" i="41"/>
  <c r="C349" i="41"/>
  <c r="B349" i="41"/>
  <c r="A349" i="41"/>
  <c r="G348" i="41"/>
  <c r="F348" i="41"/>
  <c r="D348" i="41"/>
  <c r="C348" i="41"/>
  <c r="B348" i="41"/>
  <c r="A348" i="41"/>
  <c r="G347" i="41"/>
  <c r="F347" i="41"/>
  <c r="D347" i="41"/>
  <c r="C347" i="41"/>
  <c r="B347" i="41"/>
  <c r="A347" i="41"/>
  <c r="G346" i="41"/>
  <c r="F346" i="41"/>
  <c r="D346" i="41"/>
  <c r="C346" i="41"/>
  <c r="B346" i="41"/>
  <c r="A346" i="41"/>
  <c r="G345" i="41"/>
  <c r="F345" i="41"/>
  <c r="D345" i="41"/>
  <c r="C345" i="41"/>
  <c r="B345" i="41"/>
  <c r="A345" i="41"/>
  <c r="G344" i="41"/>
  <c r="F344" i="41"/>
  <c r="D344" i="41"/>
  <c r="C344" i="41"/>
  <c r="B344" i="41"/>
  <c r="A344" i="41"/>
  <c r="G343" i="41"/>
  <c r="F343" i="41"/>
  <c r="D343" i="41"/>
  <c r="C343" i="41"/>
  <c r="B343" i="41"/>
  <c r="A343" i="41"/>
  <c r="G342" i="41"/>
  <c r="F342" i="41"/>
  <c r="D342" i="41"/>
  <c r="C342" i="41"/>
  <c r="B342" i="41"/>
  <c r="A342" i="41"/>
  <c r="G341" i="41"/>
  <c r="F341" i="41"/>
  <c r="D341" i="41"/>
  <c r="C341" i="41"/>
  <c r="B341" i="41"/>
  <c r="A341" i="41"/>
  <c r="G340" i="41"/>
  <c r="F340" i="41"/>
  <c r="D340" i="41"/>
  <c r="C340" i="41"/>
  <c r="B340" i="41"/>
  <c r="A340" i="41"/>
  <c r="G339" i="41"/>
  <c r="F339" i="41"/>
  <c r="D339" i="41"/>
  <c r="C339" i="41"/>
  <c r="B339" i="41"/>
  <c r="A339" i="41"/>
  <c r="G338" i="41"/>
  <c r="F338" i="41"/>
  <c r="D338" i="41"/>
  <c r="C338" i="41"/>
  <c r="B338" i="41"/>
  <c r="A338" i="41"/>
  <c r="G337" i="41"/>
  <c r="F337" i="41"/>
  <c r="D337" i="41"/>
  <c r="C337" i="41"/>
  <c r="B337" i="41"/>
  <c r="A337" i="41"/>
  <c r="G336" i="41"/>
  <c r="F336" i="41"/>
  <c r="D336" i="41"/>
  <c r="C336" i="41"/>
  <c r="B336" i="41"/>
  <c r="A336" i="41"/>
  <c r="G335" i="41"/>
  <c r="F335" i="41"/>
  <c r="D335" i="41"/>
  <c r="C335" i="41"/>
  <c r="B335" i="41"/>
  <c r="A335" i="41"/>
  <c r="G334" i="41"/>
  <c r="F334" i="41"/>
  <c r="D334" i="41"/>
  <c r="C334" i="41"/>
  <c r="B334" i="41"/>
  <c r="A334" i="41"/>
  <c r="G333" i="41"/>
  <c r="F333" i="41"/>
  <c r="D333" i="41"/>
  <c r="C333" i="41"/>
  <c r="B333" i="41"/>
  <c r="A333" i="41"/>
  <c r="G332" i="41"/>
  <c r="F332" i="41"/>
  <c r="D332" i="41"/>
  <c r="C332" i="41"/>
  <c r="B332" i="41"/>
  <c r="A332" i="41"/>
  <c r="G331" i="41"/>
  <c r="F331" i="41"/>
  <c r="D331" i="41"/>
  <c r="C331" i="41"/>
  <c r="B331" i="41"/>
  <c r="A331" i="41"/>
  <c r="G330" i="41"/>
  <c r="F330" i="41"/>
  <c r="D330" i="41"/>
  <c r="C330" i="41"/>
  <c r="B330" i="41"/>
  <c r="A330" i="41"/>
  <c r="G329" i="41"/>
  <c r="F329" i="41"/>
  <c r="D329" i="41"/>
  <c r="C329" i="41"/>
  <c r="B329" i="41"/>
  <c r="A329" i="41"/>
  <c r="G328" i="41"/>
  <c r="F328" i="41"/>
  <c r="D328" i="41"/>
  <c r="C328" i="41"/>
  <c r="B328" i="41"/>
  <c r="A328" i="41"/>
  <c r="G327" i="41"/>
  <c r="F327" i="41"/>
  <c r="D327" i="41"/>
  <c r="C327" i="41"/>
  <c r="B327" i="41"/>
  <c r="A327" i="41"/>
  <c r="G326" i="41"/>
  <c r="F326" i="41"/>
  <c r="D326" i="41"/>
  <c r="C326" i="41"/>
  <c r="B326" i="41"/>
  <c r="A326" i="41"/>
  <c r="G325" i="41"/>
  <c r="F325" i="41"/>
  <c r="D325" i="41"/>
  <c r="C325" i="41"/>
  <c r="B325" i="41"/>
  <c r="A325" i="41"/>
  <c r="G324" i="41"/>
  <c r="F324" i="41"/>
  <c r="D324" i="41"/>
  <c r="C324" i="41"/>
  <c r="B324" i="41"/>
  <c r="A324" i="41"/>
  <c r="G323" i="41"/>
  <c r="F323" i="41"/>
  <c r="D323" i="41"/>
  <c r="C323" i="41"/>
  <c r="B323" i="41"/>
  <c r="A323" i="41"/>
  <c r="G322" i="41"/>
  <c r="F322" i="41"/>
  <c r="D322" i="41"/>
  <c r="C322" i="41"/>
  <c r="B322" i="41"/>
  <c r="A322" i="41"/>
  <c r="G321" i="41"/>
  <c r="F321" i="41"/>
  <c r="D321" i="41"/>
  <c r="C321" i="41"/>
  <c r="B321" i="41"/>
  <c r="A321" i="41"/>
  <c r="G320" i="41"/>
  <c r="F320" i="41"/>
  <c r="D320" i="41"/>
  <c r="C320" i="41"/>
  <c r="B320" i="41"/>
  <c r="A320" i="41"/>
  <c r="G319" i="41"/>
  <c r="F319" i="41"/>
  <c r="D319" i="41"/>
  <c r="C319" i="41"/>
  <c r="B319" i="41"/>
  <c r="A319" i="41"/>
  <c r="G318" i="41"/>
  <c r="F318" i="41"/>
  <c r="D318" i="41"/>
  <c r="C318" i="41"/>
  <c r="B318" i="41"/>
  <c r="A318" i="41"/>
  <c r="G317" i="41"/>
  <c r="F317" i="41"/>
  <c r="D317" i="41"/>
  <c r="C317" i="41"/>
  <c r="B317" i="41"/>
  <c r="A317" i="41"/>
  <c r="G316" i="41"/>
  <c r="F316" i="41"/>
  <c r="D316" i="41"/>
  <c r="C316" i="41"/>
  <c r="B316" i="41"/>
  <c r="A316" i="41"/>
  <c r="G315" i="41"/>
  <c r="F315" i="41"/>
  <c r="D315" i="41"/>
  <c r="C315" i="41"/>
  <c r="B315" i="41"/>
  <c r="A315" i="41"/>
  <c r="G314" i="41"/>
  <c r="F314" i="41"/>
  <c r="D314" i="41"/>
  <c r="C314" i="41"/>
  <c r="B314" i="41"/>
  <c r="A314" i="41"/>
  <c r="G313" i="41"/>
  <c r="F313" i="41"/>
  <c r="D313" i="41"/>
  <c r="C313" i="41"/>
  <c r="B313" i="41"/>
  <c r="A313" i="41"/>
  <c r="G312" i="41"/>
  <c r="F312" i="41"/>
  <c r="D312" i="41"/>
  <c r="C312" i="41"/>
  <c r="B312" i="41"/>
  <c r="A312" i="41"/>
  <c r="G311" i="41"/>
  <c r="F311" i="41"/>
  <c r="D311" i="41"/>
  <c r="C311" i="41"/>
  <c r="B311" i="41"/>
  <c r="A311" i="41"/>
  <c r="G310" i="41"/>
  <c r="F310" i="41"/>
  <c r="D310" i="41"/>
  <c r="C310" i="41"/>
  <c r="B310" i="41"/>
  <c r="A310" i="41"/>
  <c r="G309" i="41"/>
  <c r="F309" i="41"/>
  <c r="D309" i="41"/>
  <c r="C309" i="41"/>
  <c r="B309" i="41"/>
  <c r="A309" i="41"/>
  <c r="G308" i="41"/>
  <c r="F308" i="41"/>
  <c r="D308" i="41"/>
  <c r="C308" i="41"/>
  <c r="B308" i="41"/>
  <c r="A308" i="41"/>
  <c r="G307" i="41"/>
  <c r="F307" i="41"/>
  <c r="D307" i="41"/>
  <c r="C307" i="41"/>
  <c r="B307" i="41"/>
  <c r="A307" i="41"/>
  <c r="G306" i="41"/>
  <c r="F306" i="41"/>
  <c r="D306" i="41"/>
  <c r="C306" i="41"/>
  <c r="B306" i="41"/>
  <c r="A306" i="41"/>
  <c r="G305" i="41"/>
  <c r="F305" i="41"/>
  <c r="D305" i="41"/>
  <c r="C305" i="41"/>
  <c r="B305" i="41"/>
  <c r="A305" i="41"/>
  <c r="G304" i="41"/>
  <c r="F304" i="41"/>
  <c r="D304" i="41"/>
  <c r="C304" i="41"/>
  <c r="B304" i="41"/>
  <c r="A304" i="41"/>
  <c r="H2" i="30"/>
  <c r="I2" i="30" s="1"/>
  <c r="B2" i="30"/>
  <c r="K50" i="30" s="1"/>
  <c r="AL289" i="41"/>
  <c r="AH286" i="41"/>
  <c r="AH285" i="41"/>
  <c r="AH284" i="41"/>
  <c r="AI284" i="41" s="1"/>
  <c r="AH283" i="41"/>
  <c r="AI283" i="41" s="1"/>
  <c r="I567" i="41"/>
  <c r="H567" i="41"/>
  <c r="I566" i="41"/>
  <c r="H566" i="41"/>
  <c r="I563" i="41"/>
  <c r="H563" i="41"/>
  <c r="I562" i="41"/>
  <c r="H562" i="41"/>
  <c r="I561" i="41"/>
  <c r="H561" i="41"/>
  <c r="I560" i="41"/>
  <c r="H560" i="41"/>
  <c r="I559" i="41"/>
  <c r="H559" i="41"/>
  <c r="I558" i="41"/>
  <c r="H558" i="41"/>
  <c r="I557" i="41"/>
  <c r="H557" i="41"/>
  <c r="I556" i="41"/>
  <c r="H556" i="41"/>
  <c r="I555" i="41"/>
  <c r="H555" i="41"/>
  <c r="I554" i="41"/>
  <c r="H554" i="41"/>
  <c r="I553" i="41"/>
  <c r="H553" i="41"/>
  <c r="I552" i="41"/>
  <c r="H552" i="41"/>
  <c r="I551" i="41"/>
  <c r="H551" i="41"/>
  <c r="I550" i="41"/>
  <c r="H550" i="41"/>
  <c r="I549" i="41"/>
  <c r="H549" i="41"/>
  <c r="I548" i="41"/>
  <c r="H548" i="41"/>
  <c r="I547" i="41"/>
  <c r="H547" i="41"/>
  <c r="I546" i="41"/>
  <c r="H546" i="41"/>
  <c r="I545" i="41"/>
  <c r="H545" i="41"/>
  <c r="I544" i="41"/>
  <c r="H544" i="41"/>
  <c r="I543" i="41"/>
  <c r="H543" i="41"/>
  <c r="I542" i="41"/>
  <c r="H542" i="41"/>
  <c r="I541" i="41"/>
  <c r="H541" i="41"/>
  <c r="I540" i="41"/>
  <c r="H540" i="41"/>
  <c r="I539" i="41"/>
  <c r="H539" i="41"/>
  <c r="I538" i="41"/>
  <c r="H538" i="41"/>
  <c r="I537" i="41"/>
  <c r="H537" i="41"/>
  <c r="I536" i="41"/>
  <c r="H536" i="41"/>
  <c r="I535" i="41"/>
  <c r="H535" i="41"/>
  <c r="I534" i="41"/>
  <c r="H534" i="41"/>
  <c r="I533" i="41"/>
  <c r="H533" i="41"/>
  <c r="I532" i="41"/>
  <c r="H532" i="41"/>
  <c r="I531" i="41"/>
  <c r="H531" i="41"/>
  <c r="I530" i="41"/>
  <c r="H530" i="41"/>
  <c r="I529" i="41"/>
  <c r="H529" i="41"/>
  <c r="I528" i="41"/>
  <c r="H528" i="41"/>
  <c r="I527" i="41"/>
  <c r="H527" i="41"/>
  <c r="I526" i="41"/>
  <c r="H526" i="41"/>
  <c r="I525" i="41"/>
  <c r="H525" i="41"/>
  <c r="I524" i="41"/>
  <c r="H524" i="41"/>
  <c r="I523" i="41"/>
  <c r="H523" i="41"/>
  <c r="I522" i="41"/>
  <c r="H522" i="41"/>
  <c r="I521" i="41"/>
  <c r="H521" i="41"/>
  <c r="I520" i="41"/>
  <c r="H520" i="41"/>
  <c r="I519" i="41"/>
  <c r="H519" i="41"/>
  <c r="I518" i="41"/>
  <c r="H518" i="41"/>
  <c r="I517" i="41"/>
  <c r="H517" i="41"/>
  <c r="I516" i="41"/>
  <c r="H516" i="41"/>
  <c r="I515" i="41"/>
  <c r="H515" i="41"/>
  <c r="I514" i="41"/>
  <c r="H514" i="41"/>
  <c r="I513" i="41"/>
  <c r="H513" i="41"/>
  <c r="I512" i="41"/>
  <c r="H512" i="41"/>
  <c r="I511" i="41"/>
  <c r="H511" i="41"/>
  <c r="I510" i="41"/>
  <c r="H510" i="41"/>
  <c r="I509" i="41"/>
  <c r="H509" i="41"/>
  <c r="I508" i="41"/>
  <c r="H508" i="41"/>
  <c r="I507" i="41"/>
  <c r="H507" i="41"/>
  <c r="I506" i="41"/>
  <c r="H506" i="41"/>
  <c r="I505" i="41"/>
  <c r="H505" i="41"/>
  <c r="I504" i="41"/>
  <c r="H504" i="41"/>
  <c r="I503" i="41"/>
  <c r="H503" i="41"/>
  <c r="I502" i="41"/>
  <c r="H502" i="41"/>
  <c r="I501" i="41"/>
  <c r="H501" i="41"/>
  <c r="I500" i="41"/>
  <c r="H500" i="41"/>
  <c r="I499" i="41"/>
  <c r="H499" i="41"/>
  <c r="I498" i="41"/>
  <c r="H498" i="41"/>
  <c r="I497" i="41"/>
  <c r="H497" i="41"/>
  <c r="I496" i="41"/>
  <c r="H496" i="41"/>
  <c r="I495" i="41"/>
  <c r="H495" i="41"/>
  <c r="I494" i="41"/>
  <c r="H494" i="41"/>
  <c r="I493" i="41"/>
  <c r="H493" i="41"/>
  <c r="I492" i="41"/>
  <c r="H492" i="41"/>
  <c r="I491" i="41"/>
  <c r="H491" i="41"/>
  <c r="I490" i="41"/>
  <c r="H490" i="41"/>
  <c r="I489" i="41"/>
  <c r="H489" i="41"/>
  <c r="I488" i="41"/>
  <c r="H488" i="41"/>
  <c r="I487" i="41"/>
  <c r="H487" i="41"/>
  <c r="I486" i="41"/>
  <c r="H486" i="41"/>
  <c r="I485" i="41"/>
  <c r="H485" i="41"/>
  <c r="I484" i="41"/>
  <c r="H484" i="41"/>
  <c r="I483" i="41"/>
  <c r="H483" i="41"/>
  <c r="I482" i="41"/>
  <c r="H482" i="41"/>
  <c r="I481" i="41"/>
  <c r="H481" i="41"/>
  <c r="I480" i="41"/>
  <c r="H480" i="41"/>
  <c r="I479" i="41"/>
  <c r="H479" i="41"/>
  <c r="I478" i="41"/>
  <c r="H478" i="41"/>
  <c r="I477" i="41"/>
  <c r="H477" i="41"/>
  <c r="I476" i="41"/>
  <c r="H476" i="41"/>
  <c r="I475" i="41"/>
  <c r="H475" i="41"/>
  <c r="I474" i="41"/>
  <c r="H474" i="41"/>
  <c r="I473" i="41"/>
  <c r="H473" i="41"/>
  <c r="I472" i="41"/>
  <c r="H472" i="41"/>
  <c r="I471" i="41"/>
  <c r="H471" i="41"/>
  <c r="I470" i="41"/>
  <c r="H470" i="41"/>
  <c r="I469" i="41"/>
  <c r="H469" i="41"/>
  <c r="I468" i="41"/>
  <c r="H468" i="41"/>
  <c r="I467" i="41"/>
  <c r="H467" i="41"/>
  <c r="I466" i="41"/>
  <c r="H466" i="41"/>
  <c r="I465" i="41"/>
  <c r="H465" i="41"/>
  <c r="I464" i="41"/>
  <c r="H464" i="41"/>
  <c r="I463" i="41"/>
  <c r="H463" i="41"/>
  <c r="I462" i="41"/>
  <c r="H462" i="41"/>
  <c r="I461" i="41"/>
  <c r="H461" i="41"/>
  <c r="I460" i="41"/>
  <c r="H460" i="41"/>
  <c r="I459" i="41"/>
  <c r="H459" i="41"/>
  <c r="I458" i="41"/>
  <c r="H458" i="41"/>
  <c r="I457" i="41"/>
  <c r="H457" i="41"/>
  <c r="I456" i="41"/>
  <c r="H456" i="41"/>
  <c r="I455" i="41"/>
  <c r="H455" i="41"/>
  <c r="I454" i="41"/>
  <c r="H454" i="41"/>
  <c r="I453" i="41"/>
  <c r="H453" i="41"/>
  <c r="I452" i="41"/>
  <c r="H452" i="41"/>
  <c r="I451" i="41"/>
  <c r="H451" i="41"/>
  <c r="I450" i="41"/>
  <c r="H450" i="41"/>
  <c r="I449" i="41"/>
  <c r="H449" i="41"/>
  <c r="I448" i="41"/>
  <c r="H448" i="41"/>
  <c r="I447" i="41"/>
  <c r="H447" i="41"/>
  <c r="I446" i="41"/>
  <c r="H446" i="41"/>
  <c r="I445" i="41"/>
  <c r="H445" i="41"/>
  <c r="I444" i="41"/>
  <c r="H444" i="41"/>
  <c r="I443" i="41"/>
  <c r="H443" i="41"/>
  <c r="I442" i="41"/>
  <c r="H442" i="41"/>
  <c r="I441" i="41"/>
  <c r="H441" i="41"/>
  <c r="I440" i="41"/>
  <c r="H440" i="41"/>
  <c r="I439" i="41"/>
  <c r="H439" i="41"/>
  <c r="I438" i="41"/>
  <c r="H438" i="41"/>
  <c r="I437" i="41"/>
  <c r="H437" i="41"/>
  <c r="I436" i="41"/>
  <c r="H436" i="41"/>
  <c r="I435" i="41"/>
  <c r="H435" i="41"/>
  <c r="I434" i="41"/>
  <c r="H434" i="41"/>
  <c r="I433" i="41"/>
  <c r="H433" i="41"/>
  <c r="I432" i="41"/>
  <c r="H432" i="41"/>
  <c r="I431" i="41"/>
  <c r="H431" i="41"/>
  <c r="I430" i="41"/>
  <c r="H430" i="41"/>
  <c r="I429" i="41"/>
  <c r="H429" i="41"/>
  <c r="I428" i="41"/>
  <c r="H428" i="41"/>
  <c r="I427" i="41"/>
  <c r="H427" i="41"/>
  <c r="I426" i="41"/>
  <c r="H426" i="41"/>
  <c r="I425" i="41"/>
  <c r="H425" i="41"/>
  <c r="I424" i="41"/>
  <c r="H424" i="41"/>
  <c r="I423" i="41"/>
  <c r="H423" i="41"/>
  <c r="I422" i="41"/>
  <c r="H422" i="41"/>
  <c r="I421" i="41"/>
  <c r="H421" i="41"/>
  <c r="I420" i="41"/>
  <c r="H420" i="41"/>
  <c r="I419" i="41"/>
  <c r="H419" i="41"/>
  <c r="I418" i="41"/>
  <c r="H418" i="41"/>
  <c r="I417" i="41"/>
  <c r="H417" i="41"/>
  <c r="I416" i="41"/>
  <c r="H416" i="41"/>
  <c r="I415" i="41"/>
  <c r="H415" i="41"/>
  <c r="I414" i="41"/>
  <c r="H414" i="41"/>
  <c r="I413" i="41"/>
  <c r="H413" i="41"/>
  <c r="I412" i="41"/>
  <c r="H412" i="41"/>
  <c r="I411" i="41"/>
  <c r="H411" i="41"/>
  <c r="I410" i="41"/>
  <c r="H410" i="41"/>
  <c r="I409" i="41"/>
  <c r="H409" i="41"/>
  <c r="I408" i="41"/>
  <c r="H408" i="41"/>
  <c r="I407" i="41"/>
  <c r="H407" i="41"/>
  <c r="I406" i="41"/>
  <c r="H406" i="41"/>
  <c r="I405" i="41"/>
  <c r="H405" i="41"/>
  <c r="I404" i="41"/>
  <c r="H404" i="41"/>
  <c r="I403" i="41"/>
  <c r="H403" i="41"/>
  <c r="I402" i="41"/>
  <c r="H402" i="41"/>
  <c r="I401" i="41"/>
  <c r="H401" i="41"/>
  <c r="I400" i="41"/>
  <c r="H400" i="41"/>
  <c r="I399" i="41"/>
  <c r="H399" i="41"/>
  <c r="I398" i="41"/>
  <c r="H398" i="41"/>
  <c r="I397" i="41"/>
  <c r="H397" i="41"/>
  <c r="I396" i="41"/>
  <c r="H396" i="41"/>
  <c r="I395" i="41"/>
  <c r="H395" i="41"/>
  <c r="I394" i="41"/>
  <c r="H394" i="41"/>
  <c r="I393" i="41"/>
  <c r="H393" i="41"/>
  <c r="I392" i="41"/>
  <c r="H392" i="41"/>
  <c r="I391" i="41"/>
  <c r="H391" i="41"/>
  <c r="I390" i="41"/>
  <c r="H390" i="41"/>
  <c r="I389" i="41"/>
  <c r="H389" i="41"/>
  <c r="I388" i="41"/>
  <c r="H388" i="41"/>
  <c r="I387" i="41"/>
  <c r="H387" i="41"/>
  <c r="I386" i="41"/>
  <c r="H386" i="41"/>
  <c r="I385" i="41"/>
  <c r="H385" i="41"/>
  <c r="I384" i="41"/>
  <c r="H384" i="41"/>
  <c r="I383" i="41"/>
  <c r="H383" i="41"/>
  <c r="I382" i="41"/>
  <c r="H382" i="41"/>
  <c r="I381" i="41"/>
  <c r="H381" i="41"/>
  <c r="I380" i="41"/>
  <c r="H380" i="41"/>
  <c r="I379" i="41"/>
  <c r="H379" i="41"/>
  <c r="I378" i="41"/>
  <c r="H378" i="41"/>
  <c r="I377" i="41"/>
  <c r="H377" i="41"/>
  <c r="I376" i="41"/>
  <c r="H376" i="41"/>
  <c r="I375" i="41"/>
  <c r="H375" i="41"/>
  <c r="I374" i="41"/>
  <c r="H374" i="41"/>
  <c r="I373" i="41"/>
  <c r="H373" i="41"/>
  <c r="I372" i="41"/>
  <c r="H372" i="41"/>
  <c r="I371" i="41"/>
  <c r="H371" i="41"/>
  <c r="I370" i="41"/>
  <c r="H370" i="41"/>
  <c r="I369" i="41"/>
  <c r="H369" i="41"/>
  <c r="I368" i="41"/>
  <c r="H368" i="41"/>
  <c r="I367" i="41"/>
  <c r="H367" i="41"/>
  <c r="I366" i="41"/>
  <c r="H366" i="41"/>
  <c r="I365" i="41"/>
  <c r="H365" i="41"/>
  <c r="I364" i="41"/>
  <c r="H364" i="41"/>
  <c r="I363" i="41"/>
  <c r="H363" i="41"/>
  <c r="I362" i="41"/>
  <c r="H362" i="41"/>
  <c r="I361" i="41"/>
  <c r="H361" i="41"/>
  <c r="I360" i="41"/>
  <c r="H360" i="41"/>
  <c r="I359" i="41"/>
  <c r="H359" i="41"/>
  <c r="I358" i="41"/>
  <c r="H358" i="41"/>
  <c r="I357" i="41"/>
  <c r="H357" i="41"/>
  <c r="I356" i="41"/>
  <c r="H356" i="41"/>
  <c r="I355" i="41"/>
  <c r="H355" i="41"/>
  <c r="I354" i="41"/>
  <c r="H354" i="41"/>
  <c r="I353" i="41"/>
  <c r="H353" i="41"/>
  <c r="I352" i="41"/>
  <c r="H352" i="41"/>
  <c r="I351" i="41"/>
  <c r="H351" i="41"/>
  <c r="I350" i="41"/>
  <c r="H350" i="41"/>
  <c r="I349" i="41"/>
  <c r="H349" i="41"/>
  <c r="I348" i="41"/>
  <c r="H348" i="41"/>
  <c r="I347" i="41"/>
  <c r="H347" i="41"/>
  <c r="I346" i="41"/>
  <c r="H346" i="41"/>
  <c r="I345" i="41"/>
  <c r="H345" i="41"/>
  <c r="I344" i="41"/>
  <c r="H344" i="41"/>
  <c r="I343" i="41"/>
  <c r="H343" i="41"/>
  <c r="I342" i="41"/>
  <c r="H342" i="41"/>
  <c r="I341" i="41"/>
  <c r="H341" i="41"/>
  <c r="I340" i="41"/>
  <c r="H340" i="41"/>
  <c r="I339" i="41"/>
  <c r="H339" i="41"/>
  <c r="I338" i="41"/>
  <c r="H338" i="41"/>
  <c r="I337" i="41"/>
  <c r="H337" i="41"/>
  <c r="I336" i="41"/>
  <c r="H336" i="41"/>
  <c r="I335" i="41"/>
  <c r="I617" i="41" s="1"/>
  <c r="H335" i="41"/>
  <c r="H617" i="41" s="1"/>
  <c r="I334" i="41"/>
  <c r="I616" i="41" s="1"/>
  <c r="H334" i="41"/>
  <c r="H616" i="41" s="1"/>
  <c r="I333" i="41"/>
  <c r="I615" i="41" s="1"/>
  <c r="H333" i="41"/>
  <c r="H615" i="41" s="1"/>
  <c r="I332" i="41"/>
  <c r="I614" i="41" s="1"/>
  <c r="H332" i="41"/>
  <c r="H614" i="41" s="1"/>
  <c r="I331" i="41"/>
  <c r="I613" i="41" s="1"/>
  <c r="H331" i="41"/>
  <c r="H613" i="41" s="1"/>
  <c r="I330" i="41"/>
  <c r="I612" i="41" s="1"/>
  <c r="H330" i="41"/>
  <c r="H612" i="41" s="1"/>
  <c r="I329" i="41"/>
  <c r="I611" i="41" s="1"/>
  <c r="H329" i="41"/>
  <c r="H611" i="41" s="1"/>
  <c r="I328" i="41"/>
  <c r="I610" i="41" s="1"/>
  <c r="H328" i="41"/>
  <c r="H610" i="41" s="1"/>
  <c r="I327" i="41"/>
  <c r="I609" i="41" s="1"/>
  <c r="H327" i="41"/>
  <c r="H609" i="41" s="1"/>
  <c r="I326" i="41"/>
  <c r="I608" i="41" s="1"/>
  <c r="H326" i="41"/>
  <c r="H608" i="41" s="1"/>
  <c r="I325" i="41"/>
  <c r="I607" i="41" s="1"/>
  <c r="H325" i="41"/>
  <c r="H607" i="41" s="1"/>
  <c r="I324" i="41"/>
  <c r="I606" i="41" s="1"/>
  <c r="H324" i="41"/>
  <c r="H606" i="41" s="1"/>
  <c r="I323" i="41"/>
  <c r="I605" i="41" s="1"/>
  <c r="H323" i="41"/>
  <c r="H605" i="41" s="1"/>
  <c r="I322" i="41"/>
  <c r="I604" i="41" s="1"/>
  <c r="H322" i="41"/>
  <c r="H604" i="41" s="1"/>
  <c r="I321" i="41"/>
  <c r="I603" i="41" s="1"/>
  <c r="H321" i="41"/>
  <c r="H603" i="41" s="1"/>
  <c r="I320" i="41"/>
  <c r="I602" i="41" s="1"/>
  <c r="H320" i="41"/>
  <c r="H602" i="41" s="1"/>
  <c r="I319" i="41"/>
  <c r="I601" i="41" s="1"/>
  <c r="H319" i="41"/>
  <c r="H601" i="41" s="1"/>
  <c r="I318" i="41"/>
  <c r="I600" i="41" s="1"/>
  <c r="H318" i="41"/>
  <c r="H600" i="41" s="1"/>
  <c r="I317" i="41"/>
  <c r="I599" i="41" s="1"/>
  <c r="H317" i="41"/>
  <c r="H599" i="41" s="1"/>
  <c r="I316" i="41"/>
  <c r="I598" i="41" s="1"/>
  <c r="H316" i="41"/>
  <c r="H598" i="41" s="1"/>
  <c r="I315" i="41"/>
  <c r="I597" i="41" s="1"/>
  <c r="H315" i="41"/>
  <c r="H597" i="41" s="1"/>
  <c r="I314" i="41"/>
  <c r="I596" i="41" s="1"/>
  <c r="H314" i="41"/>
  <c r="H596" i="41" s="1"/>
  <c r="I313" i="41"/>
  <c r="I595" i="41" s="1"/>
  <c r="H313" i="41"/>
  <c r="H595" i="41" s="1"/>
  <c r="I312" i="41"/>
  <c r="I594" i="41" s="1"/>
  <c r="H312" i="41"/>
  <c r="H594" i="41" s="1"/>
  <c r="I311" i="41"/>
  <c r="I593" i="41" s="1"/>
  <c r="H311" i="41"/>
  <c r="H593" i="41" s="1"/>
  <c r="I310" i="41"/>
  <c r="I592" i="41" s="1"/>
  <c r="H310" i="41"/>
  <c r="H592" i="41" s="1"/>
  <c r="I309" i="41"/>
  <c r="I591" i="41" s="1"/>
  <c r="H309" i="41"/>
  <c r="H591" i="41" s="1"/>
  <c r="I308" i="41"/>
  <c r="I590" i="41" s="1"/>
  <c r="H308" i="41"/>
  <c r="H590" i="41" s="1"/>
  <c r="I307" i="41"/>
  <c r="I589" i="41" s="1"/>
  <c r="H307" i="41"/>
  <c r="H589" i="41" s="1"/>
  <c r="I306" i="41"/>
  <c r="I588" i="41" s="1"/>
  <c r="H306" i="41"/>
  <c r="H588" i="41" s="1"/>
  <c r="I305" i="41"/>
  <c r="I587" i="41" s="1"/>
  <c r="H305" i="41"/>
  <c r="H587" i="41" s="1"/>
  <c r="I304" i="41"/>
  <c r="H304" i="41"/>
  <c r="I303" i="41"/>
  <c r="H303" i="41"/>
  <c r="G303" i="41"/>
  <c r="F303" i="41"/>
  <c r="D303" i="41"/>
  <c r="C303" i="41"/>
  <c r="B303" i="41"/>
  <c r="A303" i="41"/>
  <c r="I302" i="41"/>
  <c r="H302" i="41"/>
  <c r="G302" i="41"/>
  <c r="F302" i="41"/>
  <c r="D302" i="41"/>
  <c r="C302" i="41"/>
  <c r="B302" i="41"/>
  <c r="A302" i="41"/>
  <c r="I301" i="41"/>
  <c r="H301" i="41"/>
  <c r="G301" i="41"/>
  <c r="F301" i="41"/>
  <c r="D301" i="41"/>
  <c r="C301" i="41"/>
  <c r="B301" i="41"/>
  <c r="A301" i="41"/>
  <c r="I300" i="41"/>
  <c r="H300" i="41"/>
  <c r="G300" i="41"/>
  <c r="F300" i="41"/>
  <c r="D300" i="41"/>
  <c r="C300" i="41"/>
  <c r="B300" i="41"/>
  <c r="A300" i="41"/>
  <c r="I299" i="41"/>
  <c r="H299" i="41"/>
  <c r="G299" i="41"/>
  <c r="F299" i="41"/>
  <c r="D299" i="41"/>
  <c r="C299" i="41"/>
  <c r="B299" i="41"/>
  <c r="A299" i="41"/>
  <c r="I298" i="41"/>
  <c r="H298" i="41"/>
  <c r="G298" i="41"/>
  <c r="F298" i="41"/>
  <c r="D298" i="41"/>
  <c r="C298" i="41"/>
  <c r="B298" i="41"/>
  <c r="A298" i="41"/>
  <c r="I297" i="41"/>
  <c r="H297" i="41"/>
  <c r="G297" i="41"/>
  <c r="F297" i="41"/>
  <c r="D297" i="41"/>
  <c r="C297" i="41"/>
  <c r="B297" i="41"/>
  <c r="A297" i="41"/>
  <c r="I296" i="41"/>
  <c r="H296" i="41"/>
  <c r="G296" i="41"/>
  <c r="F296" i="41"/>
  <c r="D296" i="41"/>
  <c r="C296" i="41"/>
  <c r="B296" i="41"/>
  <c r="A296" i="41"/>
  <c r="I295" i="41"/>
  <c r="H295" i="41"/>
  <c r="G295" i="41"/>
  <c r="F295" i="41"/>
  <c r="D295" i="41"/>
  <c r="C295" i="41"/>
  <c r="B295" i="41"/>
  <c r="A295" i="41"/>
  <c r="I294" i="41"/>
  <c r="H294" i="41"/>
  <c r="G294" i="41"/>
  <c r="F294" i="41"/>
  <c r="D294" i="41"/>
  <c r="C294" i="41"/>
  <c r="B294" i="41"/>
  <c r="A294" i="41"/>
  <c r="I293" i="41"/>
  <c r="H293" i="41"/>
  <c r="G293" i="41"/>
  <c r="F293" i="41"/>
  <c r="D293" i="41"/>
  <c r="C293" i="41"/>
  <c r="B293" i="41"/>
  <c r="A293" i="41"/>
  <c r="I292" i="41"/>
  <c r="H292" i="41"/>
  <c r="G292" i="41"/>
  <c r="F292" i="41"/>
  <c r="D292" i="41"/>
  <c r="C292" i="41"/>
  <c r="B292" i="41"/>
  <c r="A292" i="41"/>
  <c r="I291" i="41"/>
  <c r="H291" i="41"/>
  <c r="G291" i="41"/>
  <c r="F291" i="41"/>
  <c r="D291" i="41"/>
  <c r="C291" i="41"/>
  <c r="B291" i="41"/>
  <c r="A291" i="41"/>
  <c r="I290" i="41"/>
  <c r="H290" i="41"/>
  <c r="G290" i="41"/>
  <c r="F290" i="41"/>
  <c r="D290" i="41"/>
  <c r="C290" i="41"/>
  <c r="B290" i="41"/>
  <c r="A290" i="41"/>
  <c r="AM289" i="41"/>
  <c r="AG289" i="41"/>
  <c r="I289" i="41"/>
  <c r="H289" i="41"/>
  <c r="G289" i="41"/>
  <c r="F289" i="41"/>
  <c r="D289" i="41"/>
  <c r="C289" i="41"/>
  <c r="B289" i="41"/>
  <c r="A289" i="41"/>
  <c r="V3" i="41"/>
  <c r="U3" i="41" s="1"/>
  <c r="T3" i="41" s="1"/>
  <c r="S3" i="41" s="1"/>
  <c r="R3" i="41" s="1"/>
  <c r="Q3" i="41" s="1"/>
  <c r="P3" i="41" s="1"/>
  <c r="O3" i="41" s="1"/>
  <c r="N3" i="41" s="1"/>
  <c r="M3" i="41" s="1"/>
  <c r="L3" i="41" s="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V1" i="41"/>
  <c r="U1" i="41" s="1"/>
  <c r="T1" i="41" s="1"/>
  <c r="S1" i="41" s="1"/>
  <c r="R1" i="41" s="1"/>
  <c r="Q1" i="41" s="1"/>
  <c r="P1" i="41" s="1"/>
  <c r="O1" i="41" s="1"/>
  <c r="N1" i="41" s="1"/>
  <c r="M1" i="41" s="1"/>
  <c r="L1" i="41" s="1"/>
  <c r="K1" i="41" s="1"/>
  <c r="AF7" i="41" l="1"/>
  <c r="X2" i="41"/>
  <c r="K140" i="30"/>
  <c r="K141" i="30"/>
  <c r="AJ6" i="41"/>
  <c r="AI289" i="41" s="1"/>
  <c r="AI215" i="41"/>
  <c r="AI147" i="41"/>
  <c r="AI216" i="41"/>
  <c r="AI67" i="41"/>
  <c r="AI156" i="41"/>
  <c r="AI225" i="41"/>
  <c r="AI76" i="41"/>
  <c r="AI157" i="41"/>
  <c r="AI226" i="41"/>
  <c r="AI77" i="41"/>
  <c r="AI164" i="41"/>
  <c r="AI229" i="41"/>
  <c r="AI83" i="41"/>
  <c r="AI92" i="41"/>
  <c r="AI237" i="41"/>
  <c r="AI12" i="41"/>
  <c r="AI93" i="41"/>
  <c r="AI174" i="41"/>
  <c r="AI246" i="41"/>
  <c r="AI13" i="41"/>
  <c r="AI99" i="41"/>
  <c r="AI181" i="41"/>
  <c r="AI247" i="41"/>
  <c r="AI19" i="41"/>
  <c r="AI253" i="41"/>
  <c r="AI109" i="41"/>
  <c r="AI190" i="41"/>
  <c r="AI29" i="41"/>
  <c r="AI115" i="41"/>
  <c r="AI124" i="41"/>
  <c r="AI264" i="41"/>
  <c r="AI44" i="41"/>
  <c r="AI125" i="41"/>
  <c r="AI199" i="41"/>
  <c r="AI271" i="41"/>
  <c r="AI131" i="41"/>
  <c r="AI272" i="41"/>
  <c r="AI51" i="41"/>
  <c r="AI140" i="41"/>
  <c r="AI209" i="41"/>
  <c r="AI279" i="41"/>
  <c r="AI14" i="41"/>
  <c r="AI30" i="41"/>
  <c r="AI126" i="41"/>
  <c r="AI210" i="41"/>
  <c r="AI227" i="41"/>
  <c r="AI265" i="41"/>
  <c r="AI285" i="41"/>
  <c r="AI15" i="41"/>
  <c r="AI31" i="41"/>
  <c r="AI47" i="41"/>
  <c r="AI79" i="41"/>
  <c r="AI95" i="41"/>
  <c r="AI111" i="41"/>
  <c r="AN111" i="41" s="1"/>
  <c r="AI143" i="41"/>
  <c r="AI194" i="41"/>
  <c r="AI211" i="41"/>
  <c r="AI228" i="41"/>
  <c r="AI266" i="41"/>
  <c r="AI32" i="41"/>
  <c r="AI48" i="41"/>
  <c r="AI80" i="41"/>
  <c r="AI128" i="41"/>
  <c r="AN128" i="41" s="1"/>
  <c r="AI161" i="41"/>
  <c r="AI178" i="41"/>
  <c r="AI195" i="41"/>
  <c r="AI212" i="41"/>
  <c r="AI267" i="41"/>
  <c r="AI286" i="41"/>
  <c r="AI33" i="41"/>
  <c r="AI49" i="41"/>
  <c r="AI65" i="41"/>
  <c r="AI97" i="41"/>
  <c r="AI113" i="41"/>
  <c r="AN113" i="41" s="1"/>
  <c r="AI162" i="41"/>
  <c r="AI179" i="41"/>
  <c r="AI196" i="41"/>
  <c r="AI213" i="41"/>
  <c r="AI230" i="41"/>
  <c r="AI268" i="41"/>
  <c r="AI18" i="41"/>
  <c r="AI34" i="41"/>
  <c r="AI50" i="41"/>
  <c r="AI66" i="41"/>
  <c r="AI82" i="41"/>
  <c r="AI114" i="41"/>
  <c r="AI163" i="41"/>
  <c r="AI180" i="41"/>
  <c r="AI197" i="41"/>
  <c r="AI214" i="41"/>
  <c r="AI235" i="41"/>
  <c r="AI252" i="41"/>
  <c r="AI270" i="41"/>
  <c r="AI36" i="41"/>
  <c r="AI52" i="41"/>
  <c r="AI68" i="41"/>
  <c r="AI84" i="41"/>
  <c r="AI100" i="41"/>
  <c r="AI116" i="41"/>
  <c r="AI132" i="41"/>
  <c r="AI148" i="41"/>
  <c r="AI21" i="41"/>
  <c r="AI37" i="41"/>
  <c r="AI53" i="41"/>
  <c r="AI69" i="41"/>
  <c r="AI85" i="41"/>
  <c r="AI101" i="41"/>
  <c r="AI117" i="41"/>
  <c r="AI149" i="41"/>
  <c r="AI166" i="41"/>
  <c r="AI183" i="41"/>
  <c r="AI200" i="41"/>
  <c r="AI217" i="41"/>
  <c r="AI238" i="41"/>
  <c r="AI255" i="41"/>
  <c r="AI273" i="41"/>
  <c r="AI269" i="41"/>
  <c r="AI6" i="41"/>
  <c r="AN7" i="41" s="1"/>
  <c r="AI22" i="41"/>
  <c r="AI38" i="41"/>
  <c r="AI54" i="41"/>
  <c r="AI70" i="41"/>
  <c r="AI86" i="41"/>
  <c r="AI102" i="41"/>
  <c r="AI118" i="41"/>
  <c r="AI134" i="41"/>
  <c r="AI150" i="41"/>
  <c r="AI167" i="41"/>
  <c r="AI184" i="41"/>
  <c r="AI201" i="41"/>
  <c r="AI218" i="41"/>
  <c r="AI239" i="41"/>
  <c r="AI256" i="41"/>
  <c r="AI274" i="41"/>
  <c r="AI23" i="41"/>
  <c r="AI39" i="41"/>
  <c r="AI55" i="41"/>
  <c r="AI71" i="41"/>
  <c r="AI87" i="41"/>
  <c r="AI103" i="41"/>
  <c r="AI119" i="41"/>
  <c r="AI135" i="41"/>
  <c r="AI151" i="41"/>
  <c r="AI168" i="41"/>
  <c r="AI185" i="41"/>
  <c r="AI202" i="41"/>
  <c r="AI219" i="41"/>
  <c r="AI257" i="41"/>
  <c r="AI159" i="41"/>
  <c r="AI175" i="41"/>
  <c r="AI191" i="41"/>
  <c r="AI207" i="41"/>
  <c r="AI223" i="41"/>
  <c r="AN224" i="41" s="1"/>
  <c r="AI8" i="41"/>
  <c r="AI24" i="41"/>
  <c r="AI40" i="41"/>
  <c r="AI56" i="41"/>
  <c r="AI72" i="41"/>
  <c r="AI88" i="41"/>
  <c r="AI104" i="41"/>
  <c r="AI120" i="41"/>
  <c r="AI136" i="41"/>
  <c r="AI152" i="41"/>
  <c r="AI169" i="41"/>
  <c r="AI186" i="41"/>
  <c r="AI203" i="41"/>
  <c r="AI220" i="41"/>
  <c r="AI258" i="41"/>
  <c r="AI277" i="41"/>
  <c r="AI9" i="41"/>
  <c r="AI25" i="41"/>
  <c r="AI41" i="41"/>
  <c r="AI57" i="41"/>
  <c r="AI73" i="41"/>
  <c r="AI89" i="41"/>
  <c r="AI105" i="41"/>
  <c r="AI121" i="41"/>
  <c r="AI137" i="41"/>
  <c r="AI153" i="41"/>
  <c r="AI170" i="41"/>
  <c r="AI187" i="41"/>
  <c r="AI204" i="41"/>
  <c r="AI221" i="41"/>
  <c r="AI278" i="41"/>
  <c r="AI10" i="41"/>
  <c r="AI26" i="41"/>
  <c r="AI42" i="41"/>
  <c r="AI58" i="41"/>
  <c r="AI74" i="41"/>
  <c r="AI90" i="41"/>
  <c r="AI106" i="41"/>
  <c r="AI122" i="41"/>
  <c r="AI138" i="41"/>
  <c r="AI154" i="41"/>
  <c r="AI171" i="41"/>
  <c r="AI188" i="41"/>
  <c r="AI205" i="41"/>
  <c r="AI222" i="41"/>
  <c r="AI11" i="41"/>
  <c r="AI27" i="41"/>
  <c r="AI59" i="41"/>
  <c r="AI75" i="41"/>
  <c r="AI91" i="41"/>
  <c r="AI107" i="41"/>
  <c r="AI123" i="41"/>
  <c r="AI139" i="41"/>
  <c r="AI155" i="41"/>
  <c r="AI172" i="41"/>
  <c r="AI189" i="41"/>
  <c r="AI206" i="41"/>
  <c r="AI245" i="41"/>
  <c r="AI262" i="41"/>
  <c r="AN263" i="41" s="1"/>
  <c r="AI243" i="41"/>
  <c r="AI259" i="41"/>
  <c r="AI275" i="41"/>
  <c r="AI280" i="41"/>
  <c r="AI231" i="41"/>
  <c r="AI232" i="41"/>
  <c r="AI233" i="41"/>
  <c r="AN234" i="41" s="1"/>
  <c r="AH289" i="41"/>
  <c r="K3" i="41"/>
  <c r="AN289" i="41"/>
  <c r="AN130" i="41"/>
  <c r="AN261" i="41"/>
  <c r="AN145" i="41"/>
  <c r="AN249" i="41"/>
  <c r="AL7" i="38"/>
  <c r="AL6" i="21"/>
  <c r="AH7" i="38"/>
  <c r="M2" i="39"/>
  <c r="H2" i="39"/>
  <c r="I2" i="39" s="1"/>
  <c r="L2" i="39" s="1"/>
  <c r="AC10" i="38"/>
  <c r="V3" i="38"/>
  <c r="U3" i="38" s="1"/>
  <c r="T3" i="38" s="1"/>
  <c r="S3" i="38" s="1"/>
  <c r="R3" i="38" s="1"/>
  <c r="Q3" i="38" s="1"/>
  <c r="P3" i="38" s="1"/>
  <c r="O3" i="38" s="1"/>
  <c r="N3" i="38" s="1"/>
  <c r="M3" i="38" s="1"/>
  <c r="L3" i="38" s="1"/>
  <c r="W2" i="38"/>
  <c r="V2" i="38"/>
  <c r="U2" i="38"/>
  <c r="T2" i="38"/>
  <c r="S2" i="38"/>
  <c r="R2" i="38"/>
  <c r="Q2" i="38"/>
  <c r="P2" i="38"/>
  <c r="O2" i="38"/>
  <c r="N2" i="38"/>
  <c r="M2" i="38"/>
  <c r="L2" i="38"/>
  <c r="K2" i="38"/>
  <c r="V1" i="38"/>
  <c r="U1" i="38" s="1"/>
  <c r="T1" i="38" s="1"/>
  <c r="S1" i="38" s="1"/>
  <c r="R1" i="38" s="1"/>
  <c r="Q1" i="38" s="1"/>
  <c r="P1" i="38" s="1"/>
  <c r="O1" i="38" s="1"/>
  <c r="N1" i="38" s="1"/>
  <c r="M1" i="38" s="1"/>
  <c r="L1" i="38" s="1"/>
  <c r="K1" i="38" s="1"/>
  <c r="AF8" i="41" l="1"/>
  <c r="AF9" i="41" s="1"/>
  <c r="AF10" i="41" s="1"/>
  <c r="AF11" i="41" s="1"/>
  <c r="AF12" i="41" s="1"/>
  <c r="AF13" i="41" s="1"/>
  <c r="AF14" i="41" s="1"/>
  <c r="AF15" i="41" s="1"/>
  <c r="AF16" i="41" s="1"/>
  <c r="AF17" i="41" s="1"/>
  <c r="AF18" i="41" s="1"/>
  <c r="AF19" i="41" s="1"/>
  <c r="AF20" i="41" s="1"/>
  <c r="AF21" i="41" s="1"/>
  <c r="AF22" i="41" s="1"/>
  <c r="AF23" i="41" s="1"/>
  <c r="AF24" i="41" s="1"/>
  <c r="AF25" i="41" s="1"/>
  <c r="AF26" i="41" s="1"/>
  <c r="AF27" i="41" s="1"/>
  <c r="AF28" i="41" s="1"/>
  <c r="AF29" i="41" s="1"/>
  <c r="AF30" i="41" s="1"/>
  <c r="AF31" i="41" s="1"/>
  <c r="AF32" i="41" s="1"/>
  <c r="AF33" i="41" s="1"/>
  <c r="AF34" i="41" s="1"/>
  <c r="AF35" i="41" s="1"/>
  <c r="AF36" i="41" s="1"/>
  <c r="AF37" i="41" s="1"/>
  <c r="AF38" i="41" s="1"/>
  <c r="AF39" i="41" s="1"/>
  <c r="AF40" i="41" s="1"/>
  <c r="AF41" i="41" s="1"/>
  <c r="AF42" i="41" s="1"/>
  <c r="AF43" i="41" s="1"/>
  <c r="AF44" i="41" s="1"/>
  <c r="AF45" i="41" s="1"/>
  <c r="AF46" i="41" s="1"/>
  <c r="AF47" i="41" s="1"/>
  <c r="AF48" i="41" s="1"/>
  <c r="AF49" i="41" s="1"/>
  <c r="AF50" i="41" s="1"/>
  <c r="AF51" i="41" s="1"/>
  <c r="AF52" i="41" s="1"/>
  <c r="AF53" i="41" s="1"/>
  <c r="AF54" i="41" s="1"/>
  <c r="AN290" i="41"/>
  <c r="AH290" i="41"/>
  <c r="AI7" i="38"/>
  <c r="AJ7" i="38"/>
  <c r="AG6" i="41"/>
  <c r="AF290" i="41"/>
  <c r="AL7" i="41"/>
  <c r="AK290" i="41" s="1"/>
  <c r="AM290" i="41"/>
  <c r="AG290" i="41"/>
  <c r="AJ7" i="41"/>
  <c r="AI290" i="41" s="1"/>
  <c r="B3" i="30"/>
  <c r="AL290" i="41"/>
  <c r="AN14" i="41"/>
  <c r="AN164" i="41"/>
  <c r="AN125" i="41"/>
  <c r="AN27" i="41"/>
  <c r="AN48" i="41"/>
  <c r="AN39" i="41"/>
  <c r="AN15" i="41"/>
  <c r="AN12" i="41"/>
  <c r="AN38" i="41"/>
  <c r="AN50" i="41"/>
  <c r="AN26" i="41"/>
  <c r="AN269" i="41"/>
  <c r="AN205" i="41"/>
  <c r="AN166" i="41"/>
  <c r="X2" i="38"/>
  <c r="AN34" i="41"/>
  <c r="AN239" i="41"/>
  <c r="AN246" i="41"/>
  <c r="AN259" i="41"/>
  <c r="AN61" i="41"/>
  <c r="AN75" i="41"/>
  <c r="AN10" i="41"/>
  <c r="AN237" i="41"/>
  <c r="AN186" i="41"/>
  <c r="AN142" i="41"/>
  <c r="AN243" i="41"/>
  <c r="AN266" i="41"/>
  <c r="AN245" i="41"/>
  <c r="AN258" i="41"/>
  <c r="AN133" i="41"/>
  <c r="AN251" i="41"/>
  <c r="AN103" i="41"/>
  <c r="AN91" i="41"/>
  <c r="AN272" i="41"/>
  <c r="AN255" i="41"/>
  <c r="AN222" i="41"/>
  <c r="AN18" i="41"/>
  <c r="AN99" i="41"/>
  <c r="AN265" i="41"/>
  <c r="AN242" i="41"/>
  <c r="AN252" i="41"/>
  <c r="AN236" i="41"/>
  <c r="AN268" i="41"/>
  <c r="AN257" i="41"/>
  <c r="AN248" i="41"/>
  <c r="AN274" i="41"/>
  <c r="AN276" i="41"/>
  <c r="AN275" i="41"/>
  <c r="AN267" i="41"/>
  <c r="AN162" i="41"/>
  <c r="AN199" i="41"/>
  <c r="AN253" i="41"/>
  <c r="AN247" i="41"/>
  <c r="AN264" i="41"/>
  <c r="AN240" i="41"/>
  <c r="AN244" i="41"/>
  <c r="AN169" i="41"/>
  <c r="AN254" i="41"/>
  <c r="AN277" i="41"/>
  <c r="AN59" i="41"/>
  <c r="AN94" i="41"/>
  <c r="AN238" i="41"/>
  <c r="AN139" i="41"/>
  <c r="AN262" i="41"/>
  <c r="AN260" i="41"/>
  <c r="AN250" i="41"/>
  <c r="AN85" i="41"/>
  <c r="AN109" i="41"/>
  <c r="AN171" i="41"/>
  <c r="AN190" i="41"/>
  <c r="AN43" i="41"/>
  <c r="AN29" i="41"/>
  <c r="AN241" i="41"/>
  <c r="AN278" i="41"/>
  <c r="AN37" i="41"/>
  <c r="AN154" i="41"/>
  <c r="AN78" i="41"/>
  <c r="AN271" i="41"/>
  <c r="AN270" i="41"/>
  <c r="AN256" i="41"/>
  <c r="AN273" i="41"/>
  <c r="AN235" i="41"/>
  <c r="AN45" i="41"/>
  <c r="AN79" i="41"/>
  <c r="AN135" i="41"/>
  <c r="AN66" i="41"/>
  <c r="AN175" i="41"/>
  <c r="AN54" i="41"/>
  <c r="AN181" i="41"/>
  <c r="AN231" i="41"/>
  <c r="AN228" i="41"/>
  <c r="AN23" i="41"/>
  <c r="AN68" i="41"/>
  <c r="AN88" i="41"/>
  <c r="AN217" i="41"/>
  <c r="AN188" i="41"/>
  <c r="AN214" i="41"/>
  <c r="AN82" i="41"/>
  <c r="AN119" i="41"/>
  <c r="AN127" i="41"/>
  <c r="AN198" i="41"/>
  <c r="AN63" i="41"/>
  <c r="AN74" i="41"/>
  <c r="AN226" i="41"/>
  <c r="AN183" i="41"/>
  <c r="AN204" i="41"/>
  <c r="AN209" i="41"/>
  <c r="AN223" i="41"/>
  <c r="AN115" i="41"/>
  <c r="AN47" i="41"/>
  <c r="AN118" i="41"/>
  <c r="AN163" i="41"/>
  <c r="AN55" i="41"/>
  <c r="AN107" i="41"/>
  <c r="AN31" i="41"/>
  <c r="AN219" i="41"/>
  <c r="AN174" i="41"/>
  <c r="AN193" i="41"/>
  <c r="AN147" i="41"/>
  <c r="AN32" i="41"/>
  <c r="AN56" i="41"/>
  <c r="AN227" i="41"/>
  <c r="AN138" i="41"/>
  <c r="AN83" i="41"/>
  <c r="AN195" i="41"/>
  <c r="AN30" i="41"/>
  <c r="AN202" i="41"/>
  <c r="AN80" i="41"/>
  <c r="AN58" i="41"/>
  <c r="AN230" i="41"/>
  <c r="AN53" i="41"/>
  <c r="AN117" i="41"/>
  <c r="AN152" i="41"/>
  <c r="AN178" i="41"/>
  <c r="AN150" i="41"/>
  <c r="AN65" i="41"/>
  <c r="AN211" i="41"/>
  <c r="AN21" i="41"/>
  <c r="AN35" i="41"/>
  <c r="AN208" i="41"/>
  <c r="AN110" i="41"/>
  <c r="AN158" i="41"/>
  <c r="AN25" i="41"/>
  <c r="AN97" i="41"/>
  <c r="AN159" i="41"/>
  <c r="AN73" i="41"/>
  <c r="AN77" i="41"/>
  <c r="AN168" i="41"/>
  <c r="AN180" i="41"/>
  <c r="AN122" i="41"/>
  <c r="AN112" i="41"/>
  <c r="AN90" i="41"/>
  <c r="AN22" i="41"/>
  <c r="AN155" i="41"/>
  <c r="AN95" i="41"/>
  <c r="AN92" i="41"/>
  <c r="AN179" i="41"/>
  <c r="AN140" i="41"/>
  <c r="AN60" i="41"/>
  <c r="AN165" i="41"/>
  <c r="AN49" i="41"/>
  <c r="AN17" i="41"/>
  <c r="AN41" i="41"/>
  <c r="AN141" i="41"/>
  <c r="AN187" i="41"/>
  <c r="AN201" i="41"/>
  <c r="AN11" i="41"/>
  <c r="AN167" i="41"/>
  <c r="AN172" i="41"/>
  <c r="AN100" i="41"/>
  <c r="AN69" i="41"/>
  <c r="AN176" i="41"/>
  <c r="AN84" i="41"/>
  <c r="AN62" i="41"/>
  <c r="AN19" i="41"/>
  <c r="AN185" i="41"/>
  <c r="AN9" i="41"/>
  <c r="AN216" i="41"/>
  <c r="AN144" i="41"/>
  <c r="AN184" i="41"/>
  <c r="AN40" i="41"/>
  <c r="AN207" i="41"/>
  <c r="AN106" i="41"/>
  <c r="AN161" i="41"/>
  <c r="AN177" i="41"/>
  <c r="AN101" i="41"/>
  <c r="AN28" i="41"/>
  <c r="AN194" i="41"/>
  <c r="AN213" i="41"/>
  <c r="AN220" i="41"/>
  <c r="AN160" i="41"/>
  <c r="AN126" i="41"/>
  <c r="AN13" i="41"/>
  <c r="AN123" i="41"/>
  <c r="AN151" i="41"/>
  <c r="AN153" i="41"/>
  <c r="AN196" i="41"/>
  <c r="AN156" i="41"/>
  <c r="AN8" i="41"/>
  <c r="AN203" i="41"/>
  <c r="AN212" i="41"/>
  <c r="AN182" i="41"/>
  <c r="AN206" i="41"/>
  <c r="AN98" i="41"/>
  <c r="AN96" i="41"/>
  <c r="AN148" i="41"/>
  <c r="AN36" i="41"/>
  <c r="AN192" i="41"/>
  <c r="AN114" i="41"/>
  <c r="AN42" i="41"/>
  <c r="AN157" i="41"/>
  <c r="AN149" i="41"/>
  <c r="AN137" i="41"/>
  <c r="AN16" i="41"/>
  <c r="AN104" i="41"/>
  <c r="AN173" i="41"/>
  <c r="AN89" i="41"/>
  <c r="AN33" i="41"/>
  <c r="AN136" i="41"/>
  <c r="AN81" i="41"/>
  <c r="AN229" i="41"/>
  <c r="AN189" i="41"/>
  <c r="AN143" i="41"/>
  <c r="AN76" i="41"/>
  <c r="AN170" i="41"/>
  <c r="AN72" i="41"/>
  <c r="AN70" i="41"/>
  <c r="AN197" i="41"/>
  <c r="AN67" i="41"/>
  <c r="AN132" i="41"/>
  <c r="AN52" i="41"/>
  <c r="AN191" i="41"/>
  <c r="AN105" i="41"/>
  <c r="AN215" i="41"/>
  <c r="AN131" i="41"/>
  <c r="AN146" i="41"/>
  <c r="AN87" i="41"/>
  <c r="AN71" i="41"/>
  <c r="AN124" i="41"/>
  <c r="AN20" i="41"/>
  <c r="AN64" i="41"/>
  <c r="AN134" i="41"/>
  <c r="AN51" i="41"/>
  <c r="AN210" i="41"/>
  <c r="AN102" i="41"/>
  <c r="AN121" i="41"/>
  <c r="AN46" i="41"/>
  <c r="AN221" i="41"/>
  <c r="AN93" i="41"/>
  <c r="AN86" i="41"/>
  <c r="AN44" i="41"/>
  <c r="AN57" i="41"/>
  <c r="AN108" i="41"/>
  <c r="AN233" i="41"/>
  <c r="AN116" i="41"/>
  <c r="AN218" i="41"/>
  <c r="AN24" i="41"/>
  <c r="AN232" i="41"/>
  <c r="AN120" i="41"/>
  <c r="AN200" i="41"/>
  <c r="AN129" i="41"/>
  <c r="AN225" i="41"/>
  <c r="K3" i="38"/>
  <c r="AF55" i="41" l="1"/>
  <c r="AF56" i="41" s="1"/>
  <c r="AF57" i="41" s="1"/>
  <c r="AF58" i="41" s="1"/>
  <c r="AF59" i="41" s="1"/>
  <c r="AF60" i="41" s="1"/>
  <c r="AF61" i="41" s="1"/>
  <c r="AF62" i="41" s="1"/>
  <c r="AF63" i="41" s="1"/>
  <c r="AF64" i="41" s="1"/>
  <c r="AF65" i="41" s="1"/>
  <c r="AF66" i="41" s="1"/>
  <c r="AF67" i="41" s="1"/>
  <c r="AF68" i="41" s="1"/>
  <c r="AF69" i="41" s="1"/>
  <c r="AF70" i="41" s="1"/>
  <c r="AF71" i="41" s="1"/>
  <c r="AF72" i="41" s="1"/>
  <c r="AF73" i="41" s="1"/>
  <c r="AF74" i="41" s="1"/>
  <c r="AF75" i="41" s="1"/>
  <c r="AF76" i="41" s="1"/>
  <c r="AF77" i="41" s="1"/>
  <c r="AF78" i="41" s="1"/>
  <c r="AF79" i="41" s="1"/>
  <c r="AF80" i="41" s="1"/>
  <c r="AF81" i="41" s="1"/>
  <c r="AG26" i="41"/>
  <c r="AG14" i="41"/>
  <c r="AG40" i="41"/>
  <c r="AG57" i="41"/>
  <c r="AG17" i="41"/>
  <c r="AG59" i="41"/>
  <c r="AG44" i="41"/>
  <c r="AG47" i="41"/>
  <c r="AG33" i="41"/>
  <c r="AG9" i="41"/>
  <c r="AG23" i="41"/>
  <c r="AG13" i="41"/>
  <c r="AG36" i="41"/>
  <c r="AG54" i="41"/>
  <c r="AG50" i="41"/>
  <c r="AG19" i="41"/>
  <c r="AG25" i="41"/>
  <c r="AG15" i="41"/>
  <c r="AG7" i="41"/>
  <c r="AG38" i="41"/>
  <c r="AG53" i="41"/>
  <c r="AG56" i="41"/>
  <c r="AG39" i="41"/>
  <c r="AG12" i="41"/>
  <c r="AG29" i="41"/>
  <c r="AG32" i="41"/>
  <c r="AG58" i="41"/>
  <c r="AG42" i="41"/>
  <c r="AG31" i="41"/>
  <c r="AG22" i="41"/>
  <c r="AG11" i="41"/>
  <c r="AG41" i="41"/>
  <c r="AG20" i="41"/>
  <c r="AG16" i="41"/>
  <c r="AG34" i="41"/>
  <c r="AG51" i="41"/>
  <c r="AG48" i="41"/>
  <c r="AG8" i="41"/>
  <c r="AG24" i="41"/>
  <c r="AG52" i="41"/>
  <c r="AG49" i="41"/>
  <c r="AG35" i="41"/>
  <c r="AG37" i="41"/>
  <c r="AG27" i="41"/>
  <c r="AG30" i="41"/>
  <c r="AG18" i="41"/>
  <c r="AG45" i="41"/>
  <c r="AG43" i="41"/>
  <c r="AG28" i="41"/>
  <c r="AG21" i="41"/>
  <c r="AG55" i="41"/>
  <c r="AG10" i="41"/>
  <c r="AG46" i="41"/>
  <c r="AG66" i="41" l="1"/>
  <c r="AG63" i="41"/>
  <c r="AG61" i="41"/>
  <c r="AG70" i="41"/>
  <c r="AG68" i="41"/>
  <c r="AG75" i="41"/>
  <c r="AG77" i="41"/>
  <c r="AG76" i="41"/>
  <c r="AG69" i="41"/>
  <c r="AG73" i="41"/>
  <c r="AF82" i="41"/>
  <c r="AF83" i="41" s="1"/>
  <c r="AF84" i="41" s="1"/>
  <c r="AF85" i="41" s="1"/>
  <c r="AF86" i="41" s="1"/>
  <c r="AF87" i="41" s="1"/>
  <c r="AF88" i="41" s="1"/>
  <c r="AF89" i="41" s="1"/>
  <c r="AF90" i="41" s="1"/>
  <c r="AF91" i="41" s="1"/>
  <c r="AF92" i="41" s="1"/>
  <c r="AF93" i="41" s="1"/>
  <c r="AF94" i="41" s="1"/>
  <c r="AF95" i="41" s="1"/>
  <c r="AF96" i="41" s="1"/>
  <c r="AF97" i="41" s="1"/>
  <c r="AF98" i="41" s="1"/>
  <c r="AF99" i="41" s="1"/>
  <c r="AF100" i="41" s="1"/>
  <c r="AF101" i="41" s="1"/>
  <c r="AF102" i="41" s="1"/>
  <c r="AF103" i="41" s="1"/>
  <c r="AF104" i="41" s="1"/>
  <c r="AF105" i="41" s="1"/>
  <c r="AF106" i="41" s="1"/>
  <c r="AF107" i="41" s="1"/>
  <c r="AF108" i="41" s="1"/>
  <c r="AF109" i="41" s="1"/>
  <c r="AF110" i="41" s="1"/>
  <c r="AF111" i="41" s="1"/>
  <c r="AF112" i="41" s="1"/>
  <c r="AF113" i="41" s="1"/>
  <c r="AF114" i="41" s="1"/>
  <c r="AF115" i="41" s="1"/>
  <c r="AF116" i="41" s="1"/>
  <c r="AF117" i="41" s="1"/>
  <c r="AF118" i="41" s="1"/>
  <c r="AF119" i="41" s="1"/>
  <c r="AF120" i="41" s="1"/>
  <c r="AF121" i="41" s="1"/>
  <c r="AF122" i="41" s="1"/>
  <c r="AF123" i="41" s="1"/>
  <c r="AF124" i="41" s="1"/>
  <c r="AF125" i="41" s="1"/>
  <c r="AF126" i="41" s="1"/>
  <c r="AF127" i="41" s="1"/>
  <c r="AF128" i="41" s="1"/>
  <c r="AF129" i="41" s="1"/>
  <c r="AF130" i="41" s="1"/>
  <c r="AF131" i="41" s="1"/>
  <c r="AF132" i="41" s="1"/>
  <c r="AF133" i="41" s="1"/>
  <c r="AF134" i="41" s="1"/>
  <c r="AF135" i="41" s="1"/>
  <c r="AF136" i="41" s="1"/>
  <c r="AF137" i="41" s="1"/>
  <c r="AF138" i="41" s="1"/>
  <c r="AF139" i="41" s="1"/>
  <c r="AF140" i="41" s="1"/>
  <c r="AF141" i="41" s="1"/>
  <c r="AF142" i="41" s="1"/>
  <c r="AF143" i="41" s="1"/>
  <c r="AF144" i="41" s="1"/>
  <c r="AF145" i="41" s="1"/>
  <c r="AF146" i="41" s="1"/>
  <c r="AF147" i="41" s="1"/>
  <c r="AF148" i="41" s="1"/>
  <c r="AF149" i="41" s="1"/>
  <c r="AF150" i="41" s="1"/>
  <c r="AF151" i="41" s="1"/>
  <c r="AF152" i="41" s="1"/>
  <c r="AF153" i="41" s="1"/>
  <c r="AF154" i="41" s="1"/>
  <c r="AF155" i="41" s="1"/>
  <c r="AF156" i="41" s="1"/>
  <c r="AF157" i="41" s="1"/>
  <c r="AF158" i="41" s="1"/>
  <c r="AF159" i="41" s="1"/>
  <c r="AF160" i="41" s="1"/>
  <c r="AF161" i="41" s="1"/>
  <c r="AF162" i="41" s="1"/>
  <c r="AF163" i="41" s="1"/>
  <c r="AF164" i="41" s="1"/>
  <c r="AF165" i="41" s="1"/>
  <c r="AF166" i="41" s="1"/>
  <c r="AF167" i="41" s="1"/>
  <c r="AF168" i="41" s="1"/>
  <c r="AF169" i="41" s="1"/>
  <c r="AF170" i="41" s="1"/>
  <c r="AF171" i="41" s="1"/>
  <c r="AF172" i="41" s="1"/>
  <c r="AF173" i="41" s="1"/>
  <c r="AF174" i="41" s="1"/>
  <c r="AF175" i="41" s="1"/>
  <c r="AF176" i="41" s="1"/>
  <c r="AF177" i="41" s="1"/>
  <c r="AF178" i="41" s="1"/>
  <c r="AF179" i="41" s="1"/>
  <c r="AF180" i="41" s="1"/>
  <c r="AF181" i="41" s="1"/>
  <c r="AF182" i="41" s="1"/>
  <c r="AF183" i="41" s="1"/>
  <c r="AF184" i="41" s="1"/>
  <c r="AF185" i="41" s="1"/>
  <c r="AF186" i="41" s="1"/>
  <c r="AF187" i="41" s="1"/>
  <c r="AF188" i="41" s="1"/>
  <c r="AF189" i="41" s="1"/>
  <c r="AF190" i="41" s="1"/>
  <c r="AF191" i="41" s="1"/>
  <c r="AF192" i="41" s="1"/>
  <c r="AF193" i="41" s="1"/>
  <c r="AF194" i="41" s="1"/>
  <c r="AF195" i="41" s="1"/>
  <c r="AF196" i="41" s="1"/>
  <c r="AF197" i="41" s="1"/>
  <c r="AF198" i="41" s="1"/>
  <c r="AF199" i="41" s="1"/>
  <c r="AF200" i="41" s="1"/>
  <c r="AF201" i="41" s="1"/>
  <c r="AF202" i="41" s="1"/>
  <c r="AF203" i="41" s="1"/>
  <c r="AF204" i="41" s="1"/>
  <c r="AF205" i="41" s="1"/>
  <c r="AF206" i="41" s="1"/>
  <c r="AF207" i="41" s="1"/>
  <c r="AF208" i="41" s="1"/>
  <c r="AF209" i="41" s="1"/>
  <c r="AF210" i="41" s="1"/>
  <c r="AF211" i="41" s="1"/>
  <c r="AF212" i="41" s="1"/>
  <c r="AF213" i="41" s="1"/>
  <c r="AF214" i="41" s="1"/>
  <c r="AF215" i="41" s="1"/>
  <c r="AF216" i="41" s="1"/>
  <c r="AF217" i="41" s="1"/>
  <c r="AF218" i="41" s="1"/>
  <c r="AF219" i="41" s="1"/>
  <c r="AF220" i="41" s="1"/>
  <c r="AF221" i="41" s="1"/>
  <c r="AF222" i="41" s="1"/>
  <c r="AF223" i="41" s="1"/>
  <c r="AF224" i="41" s="1"/>
  <c r="AF225" i="41" s="1"/>
  <c r="AF226" i="41" s="1"/>
  <c r="AF227" i="41" s="1"/>
  <c r="AF228" i="41" s="1"/>
  <c r="AF229" i="41" s="1"/>
  <c r="AF230" i="41" s="1"/>
  <c r="AF231" i="41" s="1"/>
  <c r="AF232" i="41" s="1"/>
  <c r="AF233" i="41" s="1"/>
  <c r="AF234" i="41" s="1"/>
  <c r="AF235" i="41" s="1"/>
  <c r="AF236" i="41" s="1"/>
  <c r="AF237" i="41" s="1"/>
  <c r="AF238" i="41" s="1"/>
  <c r="AF239" i="41" s="1"/>
  <c r="AF240" i="41" s="1"/>
  <c r="AF241" i="41" s="1"/>
  <c r="AF242" i="41" s="1"/>
  <c r="AF243" i="41" s="1"/>
  <c r="AF244" i="41" s="1"/>
  <c r="AF245" i="41" s="1"/>
  <c r="AF246" i="41" s="1"/>
  <c r="AF247" i="41" s="1"/>
  <c r="AF248" i="41" s="1"/>
  <c r="AF249" i="41" s="1"/>
  <c r="AF250" i="41" s="1"/>
  <c r="AF251" i="41" s="1"/>
  <c r="AF252" i="41" s="1"/>
  <c r="AF253" i="41" s="1"/>
  <c r="AF254" i="41" s="1"/>
  <c r="AF255" i="41" s="1"/>
  <c r="AF256" i="41" s="1"/>
  <c r="AF257" i="41" s="1"/>
  <c r="AF258" i="41" s="1"/>
  <c r="AF259" i="41" s="1"/>
  <c r="AF260" i="41" s="1"/>
  <c r="AF261" i="41" s="1"/>
  <c r="AF262" i="41" s="1"/>
  <c r="AF263" i="41" s="1"/>
  <c r="AF264" i="41" s="1"/>
  <c r="AF265" i="41" s="1"/>
  <c r="AF266" i="41" s="1"/>
  <c r="AF267" i="41" s="1"/>
  <c r="AF268" i="41" s="1"/>
  <c r="AF269" i="41" s="1"/>
  <c r="AF270" i="41" s="1"/>
  <c r="AF271" i="41" s="1"/>
  <c r="AF272" i="41" s="1"/>
  <c r="AG71" i="41"/>
  <c r="AG67" i="41"/>
  <c r="AG79" i="41"/>
  <c r="AG78" i="41"/>
  <c r="AG64" i="41"/>
  <c r="AG74" i="41"/>
  <c r="AG72" i="41"/>
  <c r="AG65" i="41"/>
  <c r="AG80" i="41"/>
  <c r="AG60" i="41"/>
  <c r="AG62" i="41"/>
  <c r="U13" i="29"/>
  <c r="W13" i="29" s="1"/>
  <c r="X13" i="29" s="1"/>
  <c r="U12" i="29"/>
  <c r="U11" i="29"/>
  <c r="U10" i="29"/>
  <c r="N13" i="29"/>
  <c r="N12" i="29"/>
  <c r="N11" i="29"/>
  <c r="N10" i="29"/>
  <c r="AH92" i="21"/>
  <c r="AH91" i="21"/>
  <c r="AL95" i="21"/>
  <c r="AK95" i="21"/>
  <c r="K2" i="25"/>
  <c r="K2" i="24"/>
  <c r="K2" i="21"/>
  <c r="X25" i="25"/>
  <c r="Z25" i="25" s="1"/>
  <c r="AA24" i="25"/>
  <c r="Z24" i="25"/>
  <c r="V3" i="25"/>
  <c r="U3" i="25" s="1"/>
  <c r="T3" i="25" s="1"/>
  <c r="S3" i="25" s="1"/>
  <c r="R3" i="25" s="1"/>
  <c r="Q3" i="25" s="1"/>
  <c r="P3" i="25" s="1"/>
  <c r="O3" i="25" s="1"/>
  <c r="N3" i="25" s="1"/>
  <c r="M3" i="25" s="1"/>
  <c r="L3" i="25" s="1"/>
  <c r="K3" i="25" s="1"/>
  <c r="W2" i="25"/>
  <c r="V2" i="25"/>
  <c r="U2" i="25"/>
  <c r="T2" i="25"/>
  <c r="S2" i="25"/>
  <c r="R2" i="25"/>
  <c r="Q2" i="25"/>
  <c r="P2" i="25"/>
  <c r="O2" i="25"/>
  <c r="N2" i="25"/>
  <c r="M2" i="25"/>
  <c r="L2" i="25"/>
  <c r="V1" i="25"/>
  <c r="U1" i="25" s="1"/>
  <c r="T1" i="25" s="1"/>
  <c r="S1" i="25" s="1"/>
  <c r="R1" i="25" s="1"/>
  <c r="Q1" i="25" s="1"/>
  <c r="P1" i="25" s="1"/>
  <c r="O1" i="25" s="1"/>
  <c r="N1" i="25" s="1"/>
  <c r="M1" i="25" s="1"/>
  <c r="L1" i="25" s="1"/>
  <c r="K1" i="25" s="1"/>
  <c r="AA37" i="24"/>
  <c r="V3" i="24"/>
  <c r="U3" i="24" s="1"/>
  <c r="T3" i="24" s="1"/>
  <c r="S3" i="24" s="1"/>
  <c r="R3" i="24" s="1"/>
  <c r="Q3" i="24" s="1"/>
  <c r="P3" i="24" s="1"/>
  <c r="O3" i="24" s="1"/>
  <c r="N3" i="24" s="1"/>
  <c r="W2" i="24"/>
  <c r="V2" i="24"/>
  <c r="U2" i="24"/>
  <c r="T2" i="24"/>
  <c r="S2" i="24"/>
  <c r="R2" i="24"/>
  <c r="Q2" i="24"/>
  <c r="P2" i="24"/>
  <c r="O2" i="24"/>
  <c r="N2" i="24"/>
  <c r="M2" i="24"/>
  <c r="L2" i="24"/>
  <c r="V1" i="24"/>
  <c r="U1" i="24" s="1"/>
  <c r="T1" i="24" s="1"/>
  <c r="S1" i="24" s="1"/>
  <c r="R1" i="24" s="1"/>
  <c r="Q1" i="24" s="1"/>
  <c r="P1" i="24" s="1"/>
  <c r="O1" i="24" s="1"/>
  <c r="N1" i="24" s="1"/>
  <c r="M1" i="24" s="1"/>
  <c r="L1" i="24" s="1"/>
  <c r="K1" i="24" s="1"/>
  <c r="AA95" i="21"/>
  <c r="V3" i="21"/>
  <c r="U3" i="21" s="1"/>
  <c r="T3" i="21" s="1"/>
  <c r="S3" i="21" s="1"/>
  <c r="R3" i="21" s="1"/>
  <c r="Q3" i="21" s="1"/>
  <c r="P3" i="21" s="1"/>
  <c r="O3" i="21" s="1"/>
  <c r="N3" i="21" s="1"/>
  <c r="AH95" i="21" s="1"/>
  <c r="W2" i="21"/>
  <c r="V2" i="21"/>
  <c r="U2" i="21"/>
  <c r="T2" i="21"/>
  <c r="S2" i="21"/>
  <c r="R2" i="21"/>
  <c r="Q2" i="21"/>
  <c r="P2" i="21"/>
  <c r="O2" i="21"/>
  <c r="N2" i="21"/>
  <c r="M2" i="21"/>
  <c r="L2" i="21"/>
  <c r="V1" i="21"/>
  <c r="U1" i="21" s="1"/>
  <c r="T1" i="21" s="1"/>
  <c r="S1" i="21" s="1"/>
  <c r="R1" i="21" s="1"/>
  <c r="Q1" i="21" s="1"/>
  <c r="P1" i="21" s="1"/>
  <c r="O1" i="21" s="1"/>
  <c r="N1" i="21" s="1"/>
  <c r="M1" i="21" s="1"/>
  <c r="L1" i="21" s="1"/>
  <c r="K1" i="21" s="1"/>
  <c r="N9" i="29"/>
  <c r="N20" i="29"/>
  <c r="AF95" i="21"/>
  <c r="H129" i="30"/>
  <c r="I129" i="30" s="1"/>
  <c r="B2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A6" i="33"/>
  <c r="A5" i="33"/>
  <c r="A4" i="33"/>
  <c r="A3" i="33"/>
  <c r="H84" i="33"/>
  <c r="I84" i="33" s="1"/>
  <c r="H83" i="33"/>
  <c r="I83" i="33" s="1"/>
  <c r="H82" i="33"/>
  <c r="I82" i="33" s="1"/>
  <c r="H81" i="33"/>
  <c r="I81" i="33" s="1"/>
  <c r="H80" i="33"/>
  <c r="I80" i="33" s="1"/>
  <c r="H79" i="33"/>
  <c r="I79" i="33" s="1"/>
  <c r="H78" i="33"/>
  <c r="I78" i="33" s="1"/>
  <c r="H77" i="33"/>
  <c r="I77" i="33" s="1"/>
  <c r="H76" i="33"/>
  <c r="I76" i="33" s="1"/>
  <c r="H75" i="33"/>
  <c r="I75" i="33" s="1"/>
  <c r="H74" i="33"/>
  <c r="I74" i="33" s="1"/>
  <c r="H73" i="33"/>
  <c r="I73" i="33" s="1"/>
  <c r="H72" i="33"/>
  <c r="I72" i="33" s="1"/>
  <c r="H71" i="33"/>
  <c r="I71" i="33" s="1"/>
  <c r="H70" i="33"/>
  <c r="I70" i="33" s="1"/>
  <c r="H69" i="33"/>
  <c r="I69" i="33" s="1"/>
  <c r="H68" i="33"/>
  <c r="I68" i="33" s="1"/>
  <c r="H67" i="33"/>
  <c r="I67" i="33" s="1"/>
  <c r="H66" i="33"/>
  <c r="I66" i="33" s="1"/>
  <c r="H65" i="33"/>
  <c r="I65" i="33" s="1"/>
  <c r="H64" i="33"/>
  <c r="I64" i="33" s="1"/>
  <c r="H63" i="33"/>
  <c r="I63" i="33" s="1"/>
  <c r="H62" i="33"/>
  <c r="I62" i="33" s="1"/>
  <c r="H61" i="33"/>
  <c r="I61" i="33" s="1"/>
  <c r="H60" i="33"/>
  <c r="I60" i="33" s="1"/>
  <c r="H59" i="33"/>
  <c r="I59" i="33" s="1"/>
  <c r="H58" i="33"/>
  <c r="I58" i="33" s="1"/>
  <c r="H57" i="33"/>
  <c r="I57" i="33" s="1"/>
  <c r="H56" i="33"/>
  <c r="I56" i="33" s="1"/>
  <c r="H55" i="33"/>
  <c r="I55" i="33" s="1"/>
  <c r="H54" i="33"/>
  <c r="I54" i="33" s="1"/>
  <c r="H53" i="33"/>
  <c r="I53" i="33" s="1"/>
  <c r="H52" i="33"/>
  <c r="I52" i="33" s="1"/>
  <c r="H51" i="33"/>
  <c r="I51" i="33" s="1"/>
  <c r="H50" i="33"/>
  <c r="I50" i="33" s="1"/>
  <c r="H49" i="33"/>
  <c r="I49" i="33" s="1"/>
  <c r="H48" i="33"/>
  <c r="I48" i="33" s="1"/>
  <c r="H47" i="33"/>
  <c r="I47" i="33" s="1"/>
  <c r="H46" i="33"/>
  <c r="I46" i="33" s="1"/>
  <c r="H45" i="33"/>
  <c r="I45" i="33" s="1"/>
  <c r="H44" i="33"/>
  <c r="I44" i="33" s="1"/>
  <c r="H43" i="33"/>
  <c r="I43" i="33" s="1"/>
  <c r="H42" i="33"/>
  <c r="I42" i="33" s="1"/>
  <c r="H41" i="33"/>
  <c r="I41" i="33" s="1"/>
  <c r="H40" i="33"/>
  <c r="I40" i="33" s="1"/>
  <c r="H39" i="33"/>
  <c r="I39" i="33" s="1"/>
  <c r="H38" i="33"/>
  <c r="I38" i="33" s="1"/>
  <c r="H37" i="33"/>
  <c r="I37" i="33" s="1"/>
  <c r="H36" i="33"/>
  <c r="I36" i="33" s="1"/>
  <c r="H35" i="33"/>
  <c r="I35" i="33" s="1"/>
  <c r="H34" i="33"/>
  <c r="I34" i="33" s="1"/>
  <c r="H33" i="33"/>
  <c r="I33" i="33" s="1"/>
  <c r="H32" i="33"/>
  <c r="I32" i="33" s="1"/>
  <c r="H31" i="33"/>
  <c r="I31" i="33" s="1"/>
  <c r="H30" i="33"/>
  <c r="I30" i="33" s="1"/>
  <c r="H29" i="33"/>
  <c r="I29" i="33" s="1"/>
  <c r="H28" i="33"/>
  <c r="I28" i="33" s="1"/>
  <c r="H27" i="33"/>
  <c r="I27" i="33" s="1"/>
  <c r="H26" i="33"/>
  <c r="I26" i="33" s="1"/>
  <c r="H25" i="33"/>
  <c r="I25" i="33" s="1"/>
  <c r="H24" i="33"/>
  <c r="I24" i="33" s="1"/>
  <c r="H23" i="33"/>
  <c r="I23" i="33" s="1"/>
  <c r="H22" i="33"/>
  <c r="I22" i="33" s="1"/>
  <c r="H21" i="33"/>
  <c r="I21" i="33" s="1"/>
  <c r="H20" i="33"/>
  <c r="I20" i="33" s="1"/>
  <c r="H19" i="33"/>
  <c r="I19" i="33" s="1"/>
  <c r="H18" i="33"/>
  <c r="I18" i="33" s="1"/>
  <c r="H17" i="33"/>
  <c r="I17" i="33" s="1"/>
  <c r="H16" i="33"/>
  <c r="I16" i="33" s="1"/>
  <c r="H15" i="33"/>
  <c r="I15" i="33" s="1"/>
  <c r="H14" i="33"/>
  <c r="I14" i="33" s="1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H3" i="33"/>
  <c r="I3" i="33" s="1"/>
  <c r="M2" i="33"/>
  <c r="H2" i="33"/>
  <c r="I2" i="33" s="1"/>
  <c r="M2" i="30"/>
  <c r="I141" i="30"/>
  <c r="I140" i="30"/>
  <c r="H139" i="30"/>
  <c r="I139" i="30" s="1"/>
  <c r="H138" i="30"/>
  <c r="I138" i="30" s="1"/>
  <c r="H137" i="30"/>
  <c r="I137" i="30" s="1"/>
  <c r="H136" i="30"/>
  <c r="I136" i="30" s="1"/>
  <c r="H135" i="30"/>
  <c r="I135" i="30" s="1"/>
  <c r="H134" i="30"/>
  <c r="I134" i="30" s="1"/>
  <c r="H133" i="30"/>
  <c r="I133" i="30" s="1"/>
  <c r="H132" i="30"/>
  <c r="I132" i="30" s="1"/>
  <c r="H131" i="30"/>
  <c r="I131" i="30" s="1"/>
  <c r="H130" i="30"/>
  <c r="I130" i="30" s="1"/>
  <c r="H128" i="30"/>
  <c r="I128" i="30" s="1"/>
  <c r="H127" i="30"/>
  <c r="I127" i="30" s="1"/>
  <c r="H126" i="30"/>
  <c r="I126" i="30" s="1"/>
  <c r="H125" i="30"/>
  <c r="I125" i="30" s="1"/>
  <c r="H124" i="30"/>
  <c r="I124" i="30" s="1"/>
  <c r="H123" i="30"/>
  <c r="I123" i="30" s="1"/>
  <c r="H122" i="30"/>
  <c r="I122" i="30" s="1"/>
  <c r="H121" i="30"/>
  <c r="I121" i="30" s="1"/>
  <c r="H120" i="30"/>
  <c r="I120" i="30" s="1"/>
  <c r="H119" i="30"/>
  <c r="I119" i="30" s="1"/>
  <c r="H118" i="30"/>
  <c r="I118" i="30" s="1"/>
  <c r="H117" i="30"/>
  <c r="I117" i="30" s="1"/>
  <c r="H116" i="30"/>
  <c r="I116" i="30" s="1"/>
  <c r="H115" i="30"/>
  <c r="I115" i="30" s="1"/>
  <c r="H114" i="30"/>
  <c r="I114" i="30" s="1"/>
  <c r="H113" i="30"/>
  <c r="I113" i="30" s="1"/>
  <c r="H112" i="30"/>
  <c r="I112" i="30" s="1"/>
  <c r="H111" i="30"/>
  <c r="I111" i="30" s="1"/>
  <c r="H110" i="30"/>
  <c r="I110" i="30" s="1"/>
  <c r="H109" i="30"/>
  <c r="I109" i="30" s="1"/>
  <c r="H108" i="30"/>
  <c r="I108" i="30" s="1"/>
  <c r="H107" i="30"/>
  <c r="I107" i="30" s="1"/>
  <c r="H106" i="30"/>
  <c r="I106" i="30" s="1"/>
  <c r="H105" i="30"/>
  <c r="I105" i="30" s="1"/>
  <c r="H104" i="30"/>
  <c r="I104" i="30" s="1"/>
  <c r="H103" i="30"/>
  <c r="I103" i="30" s="1"/>
  <c r="H102" i="30"/>
  <c r="I102" i="30" s="1"/>
  <c r="H101" i="30"/>
  <c r="I101" i="30" s="1"/>
  <c r="H100" i="30"/>
  <c r="I100" i="30" s="1"/>
  <c r="H99" i="30"/>
  <c r="I99" i="30" s="1"/>
  <c r="H98" i="30"/>
  <c r="I98" i="30" s="1"/>
  <c r="H97" i="30"/>
  <c r="I97" i="30" s="1"/>
  <c r="H96" i="30"/>
  <c r="I96" i="30" s="1"/>
  <c r="H95" i="30"/>
  <c r="I95" i="30" s="1"/>
  <c r="H94" i="30"/>
  <c r="I94" i="30" s="1"/>
  <c r="H93" i="30"/>
  <c r="I93" i="30" s="1"/>
  <c r="H92" i="30"/>
  <c r="I92" i="30" s="1"/>
  <c r="H91" i="30"/>
  <c r="I91" i="30" s="1"/>
  <c r="H90" i="30"/>
  <c r="I90" i="30" s="1"/>
  <c r="H89" i="30"/>
  <c r="I89" i="30" s="1"/>
  <c r="H88" i="30"/>
  <c r="I88" i="30" s="1"/>
  <c r="H87" i="30"/>
  <c r="I87" i="30" s="1"/>
  <c r="H86" i="30"/>
  <c r="I86" i="30" s="1"/>
  <c r="H85" i="30"/>
  <c r="I85" i="30" s="1"/>
  <c r="H84" i="30"/>
  <c r="I84" i="30" s="1"/>
  <c r="H83" i="30"/>
  <c r="I83" i="30" s="1"/>
  <c r="H82" i="30"/>
  <c r="I82" i="30" s="1"/>
  <c r="H81" i="30"/>
  <c r="I81" i="30" s="1"/>
  <c r="H80" i="30"/>
  <c r="I80" i="30" s="1"/>
  <c r="H79" i="30"/>
  <c r="I79" i="30" s="1"/>
  <c r="H78" i="30"/>
  <c r="I78" i="30" s="1"/>
  <c r="H77" i="30"/>
  <c r="I77" i="30" s="1"/>
  <c r="H76" i="30"/>
  <c r="I76" i="30" s="1"/>
  <c r="H75" i="30"/>
  <c r="I75" i="30" s="1"/>
  <c r="H74" i="30"/>
  <c r="I74" i="30" s="1"/>
  <c r="H73" i="30"/>
  <c r="I73" i="30" s="1"/>
  <c r="H72" i="30"/>
  <c r="I72" i="30" s="1"/>
  <c r="H71" i="30"/>
  <c r="I71" i="30" s="1"/>
  <c r="H70" i="30"/>
  <c r="I70" i="30" s="1"/>
  <c r="H69" i="30"/>
  <c r="I69" i="30" s="1"/>
  <c r="H68" i="30"/>
  <c r="I68" i="30" s="1"/>
  <c r="H67" i="30"/>
  <c r="I67" i="30" s="1"/>
  <c r="H66" i="30"/>
  <c r="I66" i="30" s="1"/>
  <c r="H65" i="30"/>
  <c r="I65" i="30" s="1"/>
  <c r="H64" i="30"/>
  <c r="I64" i="30" s="1"/>
  <c r="H63" i="30"/>
  <c r="I63" i="30" s="1"/>
  <c r="H62" i="30"/>
  <c r="I62" i="30" s="1"/>
  <c r="H61" i="30"/>
  <c r="I61" i="30" s="1"/>
  <c r="H60" i="30"/>
  <c r="I60" i="30" s="1"/>
  <c r="H59" i="30"/>
  <c r="I59" i="30" s="1"/>
  <c r="H58" i="30"/>
  <c r="I58" i="30" s="1"/>
  <c r="H57" i="30"/>
  <c r="I57" i="30" s="1"/>
  <c r="H56" i="30"/>
  <c r="I56" i="30" s="1"/>
  <c r="H55" i="30"/>
  <c r="I55" i="30" s="1"/>
  <c r="H54" i="30"/>
  <c r="I54" i="30" s="1"/>
  <c r="H53" i="30"/>
  <c r="I53" i="30" s="1"/>
  <c r="H52" i="30"/>
  <c r="I52" i="30" s="1"/>
  <c r="H51" i="30"/>
  <c r="I51" i="30" s="1"/>
  <c r="H50" i="30"/>
  <c r="I50" i="30" s="1"/>
  <c r="L50" i="30" s="1"/>
  <c r="H49" i="30"/>
  <c r="I49" i="30" s="1"/>
  <c r="H48" i="30"/>
  <c r="I48" i="30" s="1"/>
  <c r="H47" i="30"/>
  <c r="I47" i="30" s="1"/>
  <c r="H46" i="30"/>
  <c r="I46" i="30" s="1"/>
  <c r="H45" i="30"/>
  <c r="I45" i="30" s="1"/>
  <c r="H44" i="30"/>
  <c r="I44" i="30" s="1"/>
  <c r="H43" i="30"/>
  <c r="I43" i="30" s="1"/>
  <c r="H42" i="30"/>
  <c r="I42" i="30" s="1"/>
  <c r="H41" i="30"/>
  <c r="I41" i="30" s="1"/>
  <c r="H40" i="30"/>
  <c r="I40" i="30" s="1"/>
  <c r="H39" i="30"/>
  <c r="I39" i="30" s="1"/>
  <c r="H38" i="30"/>
  <c r="I38" i="30" s="1"/>
  <c r="H37" i="30"/>
  <c r="I37" i="30" s="1"/>
  <c r="H36" i="30"/>
  <c r="I36" i="30" s="1"/>
  <c r="H35" i="30"/>
  <c r="I35" i="30" s="1"/>
  <c r="H34" i="30"/>
  <c r="I34" i="30" s="1"/>
  <c r="H33" i="30"/>
  <c r="I33" i="30" s="1"/>
  <c r="H32" i="30"/>
  <c r="I32" i="30" s="1"/>
  <c r="H31" i="30"/>
  <c r="I31" i="30" s="1"/>
  <c r="H30" i="30"/>
  <c r="I30" i="30" s="1"/>
  <c r="H29" i="30"/>
  <c r="I29" i="30" s="1"/>
  <c r="H28" i="30"/>
  <c r="I28" i="30" s="1"/>
  <c r="H27" i="30"/>
  <c r="I27" i="30" s="1"/>
  <c r="H26" i="30"/>
  <c r="I26" i="30" s="1"/>
  <c r="H25" i="30"/>
  <c r="I25" i="30" s="1"/>
  <c r="H24" i="30"/>
  <c r="I24" i="30" s="1"/>
  <c r="H23" i="30"/>
  <c r="I23" i="30" s="1"/>
  <c r="H22" i="30"/>
  <c r="I22" i="30" s="1"/>
  <c r="H21" i="30"/>
  <c r="I21" i="30" s="1"/>
  <c r="H20" i="30"/>
  <c r="I20" i="30" s="1"/>
  <c r="H19" i="30"/>
  <c r="I19" i="30" s="1"/>
  <c r="H18" i="30"/>
  <c r="I18" i="30" s="1"/>
  <c r="H17" i="30"/>
  <c r="I17" i="30" s="1"/>
  <c r="H16" i="30"/>
  <c r="I16" i="30" s="1"/>
  <c r="H15" i="30"/>
  <c r="I15" i="30" s="1"/>
  <c r="H14" i="30"/>
  <c r="I14" i="30" s="1"/>
  <c r="H13" i="30"/>
  <c r="I13" i="30" s="1"/>
  <c r="H12" i="30"/>
  <c r="I12" i="30" s="1"/>
  <c r="H11" i="30"/>
  <c r="I11" i="30" s="1"/>
  <c r="H10" i="30"/>
  <c r="I10" i="30" s="1"/>
  <c r="H9" i="30"/>
  <c r="I9" i="30" s="1"/>
  <c r="H8" i="30"/>
  <c r="I8" i="30" s="1"/>
  <c r="H7" i="30"/>
  <c r="I7" i="30" s="1"/>
  <c r="H6" i="30"/>
  <c r="I6" i="30" s="1"/>
  <c r="H5" i="30"/>
  <c r="I5" i="30" s="1"/>
  <c r="H4" i="30"/>
  <c r="I4" i="30" s="1"/>
  <c r="H3" i="30"/>
  <c r="I3" i="30" s="1"/>
  <c r="U18" i="29"/>
  <c r="W18" i="29" s="1"/>
  <c r="X18" i="29" s="1"/>
  <c r="Z18" i="29" s="1"/>
  <c r="AA18" i="29" s="1"/>
  <c r="AB18" i="29" s="1"/>
  <c r="U17" i="29"/>
  <c r="U16" i="29"/>
  <c r="U15" i="29"/>
  <c r="U14" i="29"/>
  <c r="U9" i="29"/>
  <c r="U8" i="29"/>
  <c r="U7" i="29"/>
  <c r="U6" i="29"/>
  <c r="N17" i="29"/>
  <c r="N16" i="29"/>
  <c r="N15" i="29"/>
  <c r="N14" i="29"/>
  <c r="N8" i="29"/>
  <c r="N7" i="29"/>
  <c r="N6" i="29"/>
  <c r="AF56" i="24"/>
  <c r="AJ39" i="25"/>
  <c r="AL36" i="25"/>
  <c r="AN35" i="25"/>
  <c r="AM34" i="25"/>
  <c r="AG33" i="25"/>
  <c r="AL32" i="25"/>
  <c r="AH31" i="25"/>
  <c r="AL30" i="25"/>
  <c r="AN29" i="25"/>
  <c r="AF28" i="25"/>
  <c r="AF27" i="25"/>
  <c r="AL26" i="25"/>
  <c r="AF25" i="25"/>
  <c r="AF64" i="24"/>
  <c r="AF63" i="24"/>
  <c r="AF62" i="24"/>
  <c r="AF61" i="24"/>
  <c r="AF60" i="24"/>
  <c r="AF59" i="24"/>
  <c r="AF58" i="24"/>
  <c r="AF57" i="24"/>
  <c r="AF55" i="24"/>
  <c r="AF54" i="24"/>
  <c r="AF53" i="24"/>
  <c r="AF52" i="24"/>
  <c r="AF51" i="24"/>
  <c r="AF50" i="24"/>
  <c r="AF49" i="24"/>
  <c r="AF48" i="24"/>
  <c r="AF47" i="24"/>
  <c r="AF46" i="24"/>
  <c r="AF45" i="24"/>
  <c r="AF44" i="24"/>
  <c r="AF43" i="24"/>
  <c r="AF40" i="24"/>
  <c r="AF39" i="24"/>
  <c r="AF38" i="24"/>
  <c r="AF37" i="24"/>
  <c r="I39" i="25"/>
  <c r="H39" i="25"/>
  <c r="G39" i="25"/>
  <c r="I36" i="25"/>
  <c r="H36" i="25"/>
  <c r="G36" i="25"/>
  <c r="I35" i="25"/>
  <c r="H35" i="25"/>
  <c r="G35" i="25"/>
  <c r="I34" i="25"/>
  <c r="H34" i="25"/>
  <c r="G34" i="25"/>
  <c r="I33" i="25"/>
  <c r="H33" i="25"/>
  <c r="G33" i="25"/>
  <c r="I32" i="25"/>
  <c r="H32" i="25"/>
  <c r="G32" i="25"/>
  <c r="I31" i="25"/>
  <c r="H31" i="25"/>
  <c r="G31" i="25"/>
  <c r="I30" i="25"/>
  <c r="H30" i="25"/>
  <c r="G30" i="25"/>
  <c r="I29" i="25"/>
  <c r="H29" i="25"/>
  <c r="G29" i="25"/>
  <c r="I28" i="25"/>
  <c r="H28" i="25"/>
  <c r="G28" i="25"/>
  <c r="I27" i="25"/>
  <c r="H27" i="25"/>
  <c r="G27" i="25"/>
  <c r="I26" i="25"/>
  <c r="H26" i="25"/>
  <c r="G26" i="25"/>
  <c r="I25" i="25"/>
  <c r="H25" i="25"/>
  <c r="G25" i="25"/>
  <c r="I24" i="25"/>
  <c r="H24" i="25"/>
  <c r="G24" i="25"/>
  <c r="F39" i="25"/>
  <c r="E39" i="25"/>
  <c r="D39" i="25"/>
  <c r="C39" i="25"/>
  <c r="B39" i="25"/>
  <c r="A39" i="25"/>
  <c r="F36" i="25"/>
  <c r="E36" i="25"/>
  <c r="D36" i="25"/>
  <c r="C36" i="25"/>
  <c r="B36" i="25"/>
  <c r="A36" i="25"/>
  <c r="F35" i="25"/>
  <c r="E35" i="25"/>
  <c r="D35" i="25"/>
  <c r="C35" i="25"/>
  <c r="B35" i="25"/>
  <c r="A35" i="25"/>
  <c r="F34" i="25"/>
  <c r="E34" i="25"/>
  <c r="D34" i="25"/>
  <c r="C34" i="25"/>
  <c r="B34" i="25"/>
  <c r="A34" i="25"/>
  <c r="F33" i="25"/>
  <c r="E33" i="25"/>
  <c r="D33" i="25"/>
  <c r="C33" i="25"/>
  <c r="B33" i="25"/>
  <c r="A33" i="25"/>
  <c r="F32" i="25"/>
  <c r="E32" i="25"/>
  <c r="D32" i="25"/>
  <c r="C32" i="25"/>
  <c r="B32" i="25"/>
  <c r="A32" i="25"/>
  <c r="F31" i="25"/>
  <c r="E31" i="25"/>
  <c r="D31" i="25"/>
  <c r="C31" i="25"/>
  <c r="B31" i="25"/>
  <c r="A31" i="25"/>
  <c r="F30" i="25"/>
  <c r="E30" i="25"/>
  <c r="D30" i="25"/>
  <c r="C30" i="25"/>
  <c r="B30" i="25"/>
  <c r="A30" i="25"/>
  <c r="F29" i="25"/>
  <c r="E29" i="25"/>
  <c r="D29" i="25"/>
  <c r="C29" i="25"/>
  <c r="B29" i="25"/>
  <c r="A29" i="25"/>
  <c r="F28" i="25"/>
  <c r="E28" i="25"/>
  <c r="D28" i="25"/>
  <c r="C28" i="25"/>
  <c r="B28" i="25"/>
  <c r="A28" i="25"/>
  <c r="F27" i="25"/>
  <c r="E27" i="25"/>
  <c r="D27" i="25"/>
  <c r="C27" i="25"/>
  <c r="B27" i="25"/>
  <c r="A27" i="25"/>
  <c r="F26" i="25"/>
  <c r="E26" i="25"/>
  <c r="D26" i="25"/>
  <c r="C26" i="25"/>
  <c r="B26" i="25"/>
  <c r="A26" i="25"/>
  <c r="F25" i="25"/>
  <c r="E25" i="25"/>
  <c r="D25" i="25"/>
  <c r="C25" i="25"/>
  <c r="B25" i="25"/>
  <c r="A25" i="25"/>
  <c r="F24" i="25"/>
  <c r="E24" i="25"/>
  <c r="D24" i="25"/>
  <c r="C24" i="25"/>
  <c r="B24" i="25"/>
  <c r="A24" i="25"/>
  <c r="I64" i="24"/>
  <c r="H64" i="24"/>
  <c r="G64" i="24"/>
  <c r="F64" i="24"/>
  <c r="E64" i="24"/>
  <c r="D64" i="24"/>
  <c r="C64" i="24"/>
  <c r="B64" i="24"/>
  <c r="A64" i="24"/>
  <c r="I63" i="24"/>
  <c r="H63" i="24"/>
  <c r="G63" i="24"/>
  <c r="F63" i="24"/>
  <c r="E63" i="24"/>
  <c r="D63" i="24"/>
  <c r="C63" i="24"/>
  <c r="B63" i="24"/>
  <c r="A63" i="24"/>
  <c r="I62" i="24"/>
  <c r="H62" i="24"/>
  <c r="G62" i="24"/>
  <c r="F62" i="24"/>
  <c r="E62" i="24"/>
  <c r="D62" i="24"/>
  <c r="C62" i="24"/>
  <c r="B62" i="24"/>
  <c r="A62" i="24"/>
  <c r="I61" i="24"/>
  <c r="H61" i="24"/>
  <c r="G61" i="24"/>
  <c r="F61" i="24"/>
  <c r="E61" i="24"/>
  <c r="D61" i="24"/>
  <c r="C61" i="24"/>
  <c r="B61" i="24"/>
  <c r="A61" i="24"/>
  <c r="I60" i="24"/>
  <c r="H60" i="24"/>
  <c r="G60" i="24"/>
  <c r="F60" i="24"/>
  <c r="E60" i="24"/>
  <c r="D60" i="24"/>
  <c r="C60" i="24"/>
  <c r="B60" i="24"/>
  <c r="A60" i="24"/>
  <c r="I59" i="24"/>
  <c r="H59" i="24"/>
  <c r="G59" i="24"/>
  <c r="F59" i="24"/>
  <c r="E59" i="24"/>
  <c r="D59" i="24"/>
  <c r="C59" i="24"/>
  <c r="B59" i="24"/>
  <c r="A59" i="24"/>
  <c r="I58" i="24"/>
  <c r="H58" i="24"/>
  <c r="G58" i="24"/>
  <c r="F58" i="24"/>
  <c r="E58" i="24"/>
  <c r="D58" i="24"/>
  <c r="C58" i="24"/>
  <c r="B58" i="24"/>
  <c r="A58" i="24"/>
  <c r="I57" i="24"/>
  <c r="H57" i="24"/>
  <c r="G57" i="24"/>
  <c r="F57" i="24"/>
  <c r="E57" i="24"/>
  <c r="D57" i="24"/>
  <c r="C57" i="24"/>
  <c r="B57" i="24"/>
  <c r="A57" i="24"/>
  <c r="I56" i="24"/>
  <c r="H56" i="24"/>
  <c r="G56" i="24"/>
  <c r="F56" i="24"/>
  <c r="E56" i="24"/>
  <c r="D56" i="24"/>
  <c r="C56" i="24"/>
  <c r="B56" i="24"/>
  <c r="A56" i="24"/>
  <c r="I55" i="24"/>
  <c r="H55" i="24"/>
  <c r="G55" i="24"/>
  <c r="F55" i="24"/>
  <c r="E55" i="24"/>
  <c r="D55" i="24"/>
  <c r="C55" i="24"/>
  <c r="B55" i="24"/>
  <c r="A55" i="24"/>
  <c r="I54" i="24"/>
  <c r="H54" i="24"/>
  <c r="G54" i="24"/>
  <c r="F54" i="24"/>
  <c r="E54" i="24"/>
  <c r="D54" i="24"/>
  <c r="C54" i="24"/>
  <c r="B54" i="24"/>
  <c r="A54" i="24"/>
  <c r="I53" i="24"/>
  <c r="H53" i="24"/>
  <c r="G53" i="24"/>
  <c r="F53" i="24"/>
  <c r="E53" i="24"/>
  <c r="D53" i="24"/>
  <c r="C53" i="24"/>
  <c r="B53" i="24"/>
  <c r="A53" i="24"/>
  <c r="I52" i="24"/>
  <c r="H52" i="24"/>
  <c r="G52" i="24"/>
  <c r="F52" i="24"/>
  <c r="E52" i="24"/>
  <c r="D52" i="24"/>
  <c r="C52" i="24"/>
  <c r="B52" i="24"/>
  <c r="A52" i="24"/>
  <c r="I51" i="24"/>
  <c r="H51" i="24"/>
  <c r="G51" i="24"/>
  <c r="F51" i="24"/>
  <c r="E51" i="24"/>
  <c r="D51" i="24"/>
  <c r="C51" i="24"/>
  <c r="B51" i="24"/>
  <c r="A51" i="24"/>
  <c r="I50" i="24"/>
  <c r="H50" i="24"/>
  <c r="G50" i="24"/>
  <c r="F50" i="24"/>
  <c r="E50" i="24"/>
  <c r="D50" i="24"/>
  <c r="C50" i="24"/>
  <c r="B50" i="24"/>
  <c r="A50" i="24"/>
  <c r="I49" i="24"/>
  <c r="H49" i="24"/>
  <c r="G49" i="24"/>
  <c r="F49" i="24"/>
  <c r="E49" i="24"/>
  <c r="D49" i="24"/>
  <c r="C49" i="24"/>
  <c r="B49" i="24"/>
  <c r="A49" i="24"/>
  <c r="I48" i="24"/>
  <c r="H48" i="24"/>
  <c r="G48" i="24"/>
  <c r="F48" i="24"/>
  <c r="E48" i="24"/>
  <c r="D48" i="24"/>
  <c r="C48" i="24"/>
  <c r="B48" i="24"/>
  <c r="A48" i="24"/>
  <c r="I47" i="24"/>
  <c r="H47" i="24"/>
  <c r="G47" i="24"/>
  <c r="F47" i="24"/>
  <c r="E47" i="24"/>
  <c r="D47" i="24"/>
  <c r="C47" i="24"/>
  <c r="B47" i="24"/>
  <c r="A47" i="24"/>
  <c r="I46" i="24"/>
  <c r="H46" i="24"/>
  <c r="G46" i="24"/>
  <c r="F46" i="24"/>
  <c r="E46" i="24"/>
  <c r="D46" i="24"/>
  <c r="C46" i="24"/>
  <c r="B46" i="24"/>
  <c r="A46" i="24"/>
  <c r="I45" i="24"/>
  <c r="H45" i="24"/>
  <c r="G45" i="24"/>
  <c r="F45" i="24"/>
  <c r="E45" i="24"/>
  <c r="D45" i="24"/>
  <c r="C45" i="24"/>
  <c r="B45" i="24"/>
  <c r="A45" i="24"/>
  <c r="I44" i="24"/>
  <c r="H44" i="24"/>
  <c r="G44" i="24"/>
  <c r="F44" i="24"/>
  <c r="E44" i="24"/>
  <c r="D44" i="24"/>
  <c r="C44" i="24"/>
  <c r="B44" i="24"/>
  <c r="A44" i="24"/>
  <c r="I43" i="24"/>
  <c r="H43" i="24"/>
  <c r="G43" i="24"/>
  <c r="F43" i="24"/>
  <c r="E43" i="24"/>
  <c r="D43" i="24"/>
  <c r="C43" i="24"/>
  <c r="B43" i="24"/>
  <c r="A43" i="24"/>
  <c r="I42" i="24"/>
  <c r="H42" i="24"/>
  <c r="G42" i="24"/>
  <c r="F42" i="24"/>
  <c r="E42" i="24"/>
  <c r="D42" i="24"/>
  <c r="C42" i="24"/>
  <c r="B42" i="24"/>
  <c r="A42" i="24"/>
  <c r="I41" i="24"/>
  <c r="H41" i="24"/>
  <c r="G41" i="24"/>
  <c r="F41" i="24"/>
  <c r="E41" i="24"/>
  <c r="D41" i="24"/>
  <c r="C41" i="24"/>
  <c r="B41" i="24"/>
  <c r="A41" i="24"/>
  <c r="I40" i="24"/>
  <c r="H40" i="24"/>
  <c r="G40" i="24"/>
  <c r="F40" i="24"/>
  <c r="E40" i="24"/>
  <c r="D40" i="24"/>
  <c r="C40" i="24"/>
  <c r="B40" i="24"/>
  <c r="A40" i="24"/>
  <c r="I39" i="24"/>
  <c r="H39" i="24"/>
  <c r="G39" i="24"/>
  <c r="F39" i="24"/>
  <c r="E39" i="24"/>
  <c r="D39" i="24"/>
  <c r="C39" i="24"/>
  <c r="B39" i="24"/>
  <c r="A39" i="24"/>
  <c r="I38" i="24"/>
  <c r="H38" i="24"/>
  <c r="G38" i="24"/>
  <c r="F38" i="24"/>
  <c r="E38" i="24"/>
  <c r="D38" i="24"/>
  <c r="C38" i="24"/>
  <c r="B38" i="24"/>
  <c r="A38" i="24"/>
  <c r="I37" i="24"/>
  <c r="H37" i="24"/>
  <c r="G37" i="24"/>
  <c r="F37" i="24"/>
  <c r="E37" i="24"/>
  <c r="D37" i="24"/>
  <c r="C37" i="24"/>
  <c r="B37" i="24"/>
  <c r="A37" i="24"/>
  <c r="AG95" i="21"/>
  <c r="AM95" i="21"/>
  <c r="I181" i="21"/>
  <c r="H181" i="21"/>
  <c r="G181" i="21"/>
  <c r="F181" i="21"/>
  <c r="C181" i="21"/>
  <c r="B181" i="21"/>
  <c r="A181" i="21"/>
  <c r="I180" i="21"/>
  <c r="H180" i="21"/>
  <c r="G180" i="21"/>
  <c r="F180" i="21"/>
  <c r="C180" i="21"/>
  <c r="B180" i="21"/>
  <c r="A180" i="21"/>
  <c r="I179" i="21"/>
  <c r="H179" i="21"/>
  <c r="G179" i="21"/>
  <c r="F179" i="21"/>
  <c r="C179" i="21"/>
  <c r="B179" i="21"/>
  <c r="A179" i="21"/>
  <c r="I178" i="21"/>
  <c r="H178" i="21"/>
  <c r="G178" i="21"/>
  <c r="F178" i="21"/>
  <c r="C178" i="21"/>
  <c r="B178" i="21"/>
  <c r="A178" i="21"/>
  <c r="I177" i="21"/>
  <c r="H177" i="21"/>
  <c r="G177" i="21"/>
  <c r="F177" i="21"/>
  <c r="D177" i="21"/>
  <c r="C177" i="21"/>
  <c r="B177" i="21"/>
  <c r="A177" i="21"/>
  <c r="I176" i="21"/>
  <c r="H176" i="21"/>
  <c r="G176" i="21"/>
  <c r="F176" i="21"/>
  <c r="D176" i="21"/>
  <c r="C176" i="21"/>
  <c r="B176" i="21"/>
  <c r="A176" i="21"/>
  <c r="I175" i="21"/>
  <c r="H175" i="21"/>
  <c r="G175" i="21"/>
  <c r="F175" i="21"/>
  <c r="D175" i="21"/>
  <c r="C175" i="21"/>
  <c r="B175" i="21"/>
  <c r="A175" i="21"/>
  <c r="I174" i="21"/>
  <c r="H174" i="21"/>
  <c r="G174" i="21"/>
  <c r="F174" i="21"/>
  <c r="D174" i="21"/>
  <c r="C174" i="21"/>
  <c r="B174" i="21"/>
  <c r="A174" i="21"/>
  <c r="I173" i="21"/>
  <c r="H173" i="21"/>
  <c r="G173" i="21"/>
  <c r="F173" i="21"/>
  <c r="D173" i="21"/>
  <c r="C173" i="21"/>
  <c r="B173" i="21"/>
  <c r="A173" i="21"/>
  <c r="I172" i="21"/>
  <c r="H172" i="21"/>
  <c r="G172" i="21"/>
  <c r="F172" i="21"/>
  <c r="D172" i="21"/>
  <c r="C172" i="21"/>
  <c r="B172" i="21"/>
  <c r="A172" i="21"/>
  <c r="I171" i="21"/>
  <c r="H171" i="21"/>
  <c r="G171" i="21"/>
  <c r="F171" i="21"/>
  <c r="D171" i="21"/>
  <c r="C171" i="21"/>
  <c r="B171" i="21"/>
  <c r="A171" i="21"/>
  <c r="I170" i="21"/>
  <c r="H170" i="21"/>
  <c r="G170" i="21"/>
  <c r="F170" i="21"/>
  <c r="D170" i="21"/>
  <c r="C170" i="21"/>
  <c r="B170" i="21"/>
  <c r="A170" i="21"/>
  <c r="I169" i="21"/>
  <c r="H169" i="21"/>
  <c r="G169" i="21"/>
  <c r="F169" i="21"/>
  <c r="D169" i="21"/>
  <c r="C169" i="21"/>
  <c r="B169" i="21"/>
  <c r="A169" i="21"/>
  <c r="I168" i="21"/>
  <c r="H168" i="21"/>
  <c r="G168" i="21"/>
  <c r="F168" i="21"/>
  <c r="D168" i="21"/>
  <c r="C168" i="21"/>
  <c r="B168" i="21"/>
  <c r="A168" i="21"/>
  <c r="I167" i="21"/>
  <c r="H167" i="21"/>
  <c r="G167" i="21"/>
  <c r="F167" i="21"/>
  <c r="D167" i="21"/>
  <c r="C167" i="21"/>
  <c r="B167" i="21"/>
  <c r="A167" i="21"/>
  <c r="I166" i="21"/>
  <c r="H166" i="21"/>
  <c r="G166" i="21"/>
  <c r="F166" i="21"/>
  <c r="D166" i="21"/>
  <c r="C166" i="21"/>
  <c r="B166" i="21"/>
  <c r="A166" i="21"/>
  <c r="I165" i="21"/>
  <c r="H165" i="21"/>
  <c r="G165" i="21"/>
  <c r="F165" i="21"/>
  <c r="D165" i="21"/>
  <c r="C165" i="21"/>
  <c r="B165" i="21"/>
  <c r="A165" i="21"/>
  <c r="I164" i="21"/>
  <c r="H164" i="21"/>
  <c r="G164" i="21"/>
  <c r="F164" i="21"/>
  <c r="D164" i="21"/>
  <c r="C164" i="21"/>
  <c r="B164" i="21"/>
  <c r="A164" i="21"/>
  <c r="I163" i="21"/>
  <c r="H163" i="21"/>
  <c r="G163" i="21"/>
  <c r="F163" i="21"/>
  <c r="D163" i="21"/>
  <c r="C163" i="21"/>
  <c r="B163" i="21"/>
  <c r="A163" i="21"/>
  <c r="I162" i="21"/>
  <c r="H162" i="21"/>
  <c r="G162" i="21"/>
  <c r="F162" i="21"/>
  <c r="D162" i="21"/>
  <c r="C162" i="21"/>
  <c r="B162" i="21"/>
  <c r="A162" i="21"/>
  <c r="I161" i="21"/>
  <c r="H161" i="21"/>
  <c r="G161" i="21"/>
  <c r="F161" i="21"/>
  <c r="D161" i="21"/>
  <c r="C161" i="21"/>
  <c r="B161" i="21"/>
  <c r="A161" i="21"/>
  <c r="I160" i="21"/>
  <c r="H160" i="21"/>
  <c r="G160" i="21"/>
  <c r="F160" i="21"/>
  <c r="D160" i="21"/>
  <c r="C160" i="21"/>
  <c r="B160" i="21"/>
  <c r="A160" i="21"/>
  <c r="I159" i="21"/>
  <c r="H159" i="21"/>
  <c r="G159" i="21"/>
  <c r="F159" i="21"/>
  <c r="D159" i="21"/>
  <c r="C159" i="21"/>
  <c r="B159" i="21"/>
  <c r="A159" i="21"/>
  <c r="I158" i="21"/>
  <c r="H158" i="21"/>
  <c r="G158" i="21"/>
  <c r="F158" i="21"/>
  <c r="D158" i="21"/>
  <c r="C158" i="21"/>
  <c r="B158" i="21"/>
  <c r="A158" i="21"/>
  <c r="I157" i="21"/>
  <c r="H157" i="21"/>
  <c r="G157" i="21"/>
  <c r="F157" i="21"/>
  <c r="D157" i="21"/>
  <c r="C157" i="21"/>
  <c r="B157" i="21"/>
  <c r="A157" i="21"/>
  <c r="I156" i="21"/>
  <c r="H156" i="21"/>
  <c r="G156" i="21"/>
  <c r="F156" i="21"/>
  <c r="D156" i="21"/>
  <c r="C156" i="21"/>
  <c r="B156" i="21"/>
  <c r="A156" i="21"/>
  <c r="I155" i="21"/>
  <c r="H155" i="21"/>
  <c r="G155" i="21"/>
  <c r="F155" i="21"/>
  <c r="D155" i="21"/>
  <c r="C155" i="21"/>
  <c r="B155" i="21"/>
  <c r="A155" i="21"/>
  <c r="I154" i="21"/>
  <c r="H154" i="21"/>
  <c r="G154" i="21"/>
  <c r="F154" i="21"/>
  <c r="D154" i="21"/>
  <c r="C154" i="21"/>
  <c r="B154" i="21"/>
  <c r="A154" i="21"/>
  <c r="I153" i="21"/>
  <c r="H153" i="21"/>
  <c r="G153" i="21"/>
  <c r="F153" i="21"/>
  <c r="D153" i="21"/>
  <c r="C153" i="21"/>
  <c r="B153" i="21"/>
  <c r="A153" i="21"/>
  <c r="I152" i="21"/>
  <c r="H152" i="21"/>
  <c r="G152" i="21"/>
  <c r="F152" i="21"/>
  <c r="D152" i="21"/>
  <c r="C152" i="21"/>
  <c r="B152" i="21"/>
  <c r="A152" i="21"/>
  <c r="I151" i="21"/>
  <c r="H151" i="21"/>
  <c r="G151" i="21"/>
  <c r="F151" i="21"/>
  <c r="D151" i="21"/>
  <c r="C151" i="21"/>
  <c r="B151" i="21"/>
  <c r="A151" i="21"/>
  <c r="I150" i="21"/>
  <c r="H150" i="21"/>
  <c r="G150" i="21"/>
  <c r="F150" i="21"/>
  <c r="D150" i="21"/>
  <c r="C150" i="21"/>
  <c r="B150" i="21"/>
  <c r="A150" i="21"/>
  <c r="I149" i="21"/>
  <c r="H149" i="21"/>
  <c r="G149" i="21"/>
  <c r="F149" i="21"/>
  <c r="D149" i="21"/>
  <c r="C149" i="21"/>
  <c r="B149" i="21"/>
  <c r="A149" i="21"/>
  <c r="I148" i="21"/>
  <c r="H148" i="21"/>
  <c r="G148" i="21"/>
  <c r="F148" i="21"/>
  <c r="D148" i="21"/>
  <c r="C148" i="21"/>
  <c r="B148" i="21"/>
  <c r="A148" i="21"/>
  <c r="I147" i="21"/>
  <c r="H147" i="21"/>
  <c r="G147" i="21"/>
  <c r="F147" i="21"/>
  <c r="D147" i="21"/>
  <c r="C147" i="21"/>
  <c r="B147" i="21"/>
  <c r="A147" i="21"/>
  <c r="I146" i="21"/>
  <c r="H146" i="21"/>
  <c r="G146" i="21"/>
  <c r="F146" i="21"/>
  <c r="D146" i="21"/>
  <c r="C146" i="21"/>
  <c r="B146" i="21"/>
  <c r="A146" i="21"/>
  <c r="I145" i="21"/>
  <c r="H145" i="21"/>
  <c r="G145" i="21"/>
  <c r="F145" i="21"/>
  <c r="D145" i="21"/>
  <c r="C145" i="21"/>
  <c r="B145" i="21"/>
  <c r="A145" i="21"/>
  <c r="I144" i="21"/>
  <c r="H144" i="21"/>
  <c r="G144" i="21"/>
  <c r="F144" i="21"/>
  <c r="D144" i="21"/>
  <c r="C144" i="21"/>
  <c r="B144" i="21"/>
  <c r="A144" i="21"/>
  <c r="I143" i="21"/>
  <c r="H143" i="21"/>
  <c r="G143" i="21"/>
  <c r="F143" i="21"/>
  <c r="D143" i="21"/>
  <c r="C143" i="21"/>
  <c r="B143" i="21"/>
  <c r="A143" i="21"/>
  <c r="I142" i="21"/>
  <c r="H142" i="21"/>
  <c r="G142" i="21"/>
  <c r="F142" i="21"/>
  <c r="D142" i="21"/>
  <c r="C142" i="21"/>
  <c r="B142" i="21"/>
  <c r="A142" i="21"/>
  <c r="I141" i="21"/>
  <c r="H141" i="21"/>
  <c r="G141" i="21"/>
  <c r="F141" i="21"/>
  <c r="D141" i="21"/>
  <c r="C141" i="21"/>
  <c r="B141" i="21"/>
  <c r="A141" i="21"/>
  <c r="I140" i="21"/>
  <c r="H140" i="21"/>
  <c r="G140" i="21"/>
  <c r="F140" i="21"/>
  <c r="D140" i="21"/>
  <c r="C140" i="21"/>
  <c r="B140" i="21"/>
  <c r="A140" i="21"/>
  <c r="I139" i="21"/>
  <c r="H139" i="21"/>
  <c r="G139" i="21"/>
  <c r="F139" i="21"/>
  <c r="D139" i="21"/>
  <c r="C139" i="21"/>
  <c r="B139" i="21"/>
  <c r="A139" i="21"/>
  <c r="I138" i="21"/>
  <c r="H138" i="21"/>
  <c r="G138" i="21"/>
  <c r="F138" i="21"/>
  <c r="D138" i="21"/>
  <c r="C138" i="21"/>
  <c r="B138" i="21"/>
  <c r="A138" i="21"/>
  <c r="I137" i="21"/>
  <c r="H137" i="21"/>
  <c r="G137" i="21"/>
  <c r="F137" i="21"/>
  <c r="D137" i="21"/>
  <c r="C137" i="21"/>
  <c r="B137" i="21"/>
  <c r="A137" i="21"/>
  <c r="I136" i="21"/>
  <c r="H136" i="21"/>
  <c r="G136" i="21"/>
  <c r="F136" i="21"/>
  <c r="D136" i="21"/>
  <c r="C136" i="21"/>
  <c r="B136" i="21"/>
  <c r="A136" i="21"/>
  <c r="I135" i="21"/>
  <c r="H135" i="21"/>
  <c r="G135" i="21"/>
  <c r="F135" i="21"/>
  <c r="D135" i="21"/>
  <c r="C135" i="21"/>
  <c r="B135" i="21"/>
  <c r="A135" i="21"/>
  <c r="I134" i="21"/>
  <c r="H134" i="21"/>
  <c r="G134" i="21"/>
  <c r="F134" i="21"/>
  <c r="D134" i="21"/>
  <c r="C134" i="21"/>
  <c r="B134" i="21"/>
  <c r="A134" i="21"/>
  <c r="I133" i="21"/>
  <c r="H133" i="21"/>
  <c r="G133" i="21"/>
  <c r="F133" i="21"/>
  <c r="D133" i="21"/>
  <c r="C133" i="21"/>
  <c r="B133" i="21"/>
  <c r="A133" i="21"/>
  <c r="I132" i="21"/>
  <c r="H132" i="21"/>
  <c r="G132" i="21"/>
  <c r="F132" i="21"/>
  <c r="D132" i="21"/>
  <c r="C132" i="21"/>
  <c r="B132" i="21"/>
  <c r="A132" i="21"/>
  <c r="I131" i="21"/>
  <c r="H131" i="21"/>
  <c r="G131" i="21"/>
  <c r="F131" i="21"/>
  <c r="D131" i="21"/>
  <c r="C131" i="21"/>
  <c r="B131" i="21"/>
  <c r="A131" i="21"/>
  <c r="I130" i="21"/>
  <c r="H130" i="21"/>
  <c r="G130" i="21"/>
  <c r="F130" i="21"/>
  <c r="D130" i="21"/>
  <c r="C130" i="21"/>
  <c r="B130" i="21"/>
  <c r="A130" i="21"/>
  <c r="I129" i="21"/>
  <c r="H129" i="21"/>
  <c r="G129" i="21"/>
  <c r="F129" i="21"/>
  <c r="D129" i="21"/>
  <c r="C129" i="21"/>
  <c r="B129" i="21"/>
  <c r="A129" i="21"/>
  <c r="I128" i="21"/>
  <c r="H128" i="21"/>
  <c r="G128" i="21"/>
  <c r="F128" i="21"/>
  <c r="D128" i="21"/>
  <c r="C128" i="21"/>
  <c r="B128" i="21"/>
  <c r="A128" i="21"/>
  <c r="I127" i="21"/>
  <c r="H127" i="21"/>
  <c r="G127" i="21"/>
  <c r="F127" i="21"/>
  <c r="D127" i="21"/>
  <c r="C127" i="21"/>
  <c r="B127" i="21"/>
  <c r="A127" i="21"/>
  <c r="I126" i="21"/>
  <c r="H126" i="21"/>
  <c r="G126" i="21"/>
  <c r="F126" i="21"/>
  <c r="D126" i="21"/>
  <c r="C126" i="21"/>
  <c r="B126" i="21"/>
  <c r="A126" i="21"/>
  <c r="I125" i="21"/>
  <c r="H125" i="21"/>
  <c r="G125" i="21"/>
  <c r="F125" i="21"/>
  <c r="D125" i="21"/>
  <c r="C125" i="21"/>
  <c r="B125" i="21"/>
  <c r="A125" i="21"/>
  <c r="I124" i="21"/>
  <c r="H124" i="21"/>
  <c r="G124" i="21"/>
  <c r="F124" i="21"/>
  <c r="D124" i="21"/>
  <c r="C124" i="21"/>
  <c r="B124" i="21"/>
  <c r="A124" i="21"/>
  <c r="I123" i="21"/>
  <c r="H123" i="21"/>
  <c r="G123" i="21"/>
  <c r="F123" i="21"/>
  <c r="D123" i="21"/>
  <c r="C123" i="21"/>
  <c r="B123" i="21"/>
  <c r="A123" i="21"/>
  <c r="I122" i="21"/>
  <c r="H122" i="21"/>
  <c r="G122" i="21"/>
  <c r="F122" i="21"/>
  <c r="D122" i="21"/>
  <c r="C122" i="21"/>
  <c r="B122" i="21"/>
  <c r="A122" i="21"/>
  <c r="I121" i="21"/>
  <c r="H121" i="21"/>
  <c r="G121" i="21"/>
  <c r="F121" i="21"/>
  <c r="D121" i="21"/>
  <c r="C121" i="21"/>
  <c r="B121" i="21"/>
  <c r="A121" i="21"/>
  <c r="I120" i="21"/>
  <c r="H120" i="21"/>
  <c r="G120" i="21"/>
  <c r="F120" i="21"/>
  <c r="D120" i="21"/>
  <c r="C120" i="21"/>
  <c r="B120" i="21"/>
  <c r="A120" i="21"/>
  <c r="I119" i="21"/>
  <c r="H119" i="21"/>
  <c r="G119" i="21"/>
  <c r="F119" i="21"/>
  <c r="D119" i="21"/>
  <c r="C119" i="21"/>
  <c r="B119" i="21"/>
  <c r="A119" i="21"/>
  <c r="I118" i="21"/>
  <c r="H118" i="21"/>
  <c r="G118" i="21"/>
  <c r="F118" i="21"/>
  <c r="D118" i="21"/>
  <c r="C118" i="21"/>
  <c r="B118" i="21"/>
  <c r="A118" i="21"/>
  <c r="I117" i="21"/>
  <c r="H117" i="21"/>
  <c r="G117" i="21"/>
  <c r="F117" i="21"/>
  <c r="D117" i="21"/>
  <c r="C117" i="21"/>
  <c r="B117" i="21"/>
  <c r="A117" i="21"/>
  <c r="I116" i="21"/>
  <c r="H116" i="21"/>
  <c r="G116" i="21"/>
  <c r="F116" i="21"/>
  <c r="D116" i="21"/>
  <c r="C116" i="21"/>
  <c r="B116" i="21"/>
  <c r="A116" i="21"/>
  <c r="I115" i="21"/>
  <c r="H115" i="21"/>
  <c r="G115" i="21"/>
  <c r="F115" i="21"/>
  <c r="D115" i="21"/>
  <c r="C115" i="21"/>
  <c r="B115" i="21"/>
  <c r="A115" i="21"/>
  <c r="I114" i="21"/>
  <c r="H114" i="21"/>
  <c r="G114" i="21"/>
  <c r="F114" i="21"/>
  <c r="D114" i="21"/>
  <c r="C114" i="21"/>
  <c r="B114" i="21"/>
  <c r="A114" i="21"/>
  <c r="I113" i="21"/>
  <c r="H113" i="21"/>
  <c r="G113" i="21"/>
  <c r="F113" i="21"/>
  <c r="D113" i="21"/>
  <c r="C113" i="21"/>
  <c r="B113" i="21"/>
  <c r="A113" i="21"/>
  <c r="I112" i="21"/>
  <c r="H112" i="21"/>
  <c r="G112" i="21"/>
  <c r="F112" i="21"/>
  <c r="D112" i="21"/>
  <c r="C112" i="21"/>
  <c r="B112" i="21"/>
  <c r="A112" i="21"/>
  <c r="I111" i="21"/>
  <c r="H111" i="21"/>
  <c r="G111" i="21"/>
  <c r="F111" i="21"/>
  <c r="D111" i="21"/>
  <c r="C111" i="21"/>
  <c r="B111" i="21"/>
  <c r="A111" i="21"/>
  <c r="I110" i="21"/>
  <c r="H110" i="21"/>
  <c r="G110" i="21"/>
  <c r="F110" i="21"/>
  <c r="D110" i="21"/>
  <c r="C110" i="21"/>
  <c r="B110" i="21"/>
  <c r="A110" i="21"/>
  <c r="I109" i="21"/>
  <c r="H109" i="21"/>
  <c r="G109" i="21"/>
  <c r="F109" i="21"/>
  <c r="D109" i="21"/>
  <c r="C109" i="21"/>
  <c r="B109" i="21"/>
  <c r="A109" i="21"/>
  <c r="I108" i="21"/>
  <c r="H108" i="21"/>
  <c r="G108" i="21"/>
  <c r="F108" i="21"/>
  <c r="D108" i="21"/>
  <c r="C108" i="21"/>
  <c r="B108" i="21"/>
  <c r="A108" i="21"/>
  <c r="I107" i="21"/>
  <c r="H107" i="21"/>
  <c r="G107" i="21"/>
  <c r="F107" i="21"/>
  <c r="D107" i="21"/>
  <c r="C107" i="21"/>
  <c r="B107" i="21"/>
  <c r="A107" i="21"/>
  <c r="I106" i="21"/>
  <c r="H106" i="21"/>
  <c r="G106" i="21"/>
  <c r="F106" i="21"/>
  <c r="D106" i="21"/>
  <c r="C106" i="21"/>
  <c r="B106" i="21"/>
  <c r="A106" i="21"/>
  <c r="I105" i="21"/>
  <c r="H105" i="21"/>
  <c r="G105" i="21"/>
  <c r="F105" i="21"/>
  <c r="D105" i="21"/>
  <c r="C105" i="21"/>
  <c r="B105" i="21"/>
  <c r="A105" i="21"/>
  <c r="I104" i="21"/>
  <c r="H104" i="21"/>
  <c r="G104" i="21"/>
  <c r="F104" i="21"/>
  <c r="D104" i="21"/>
  <c r="C104" i="21"/>
  <c r="B104" i="21"/>
  <c r="A104" i="21"/>
  <c r="I103" i="21"/>
  <c r="H103" i="21"/>
  <c r="G103" i="21"/>
  <c r="F103" i="21"/>
  <c r="D103" i="21"/>
  <c r="C103" i="21"/>
  <c r="B103" i="21"/>
  <c r="A103" i="21"/>
  <c r="I102" i="21"/>
  <c r="H102" i="21"/>
  <c r="G102" i="21"/>
  <c r="F102" i="21"/>
  <c r="D102" i="21"/>
  <c r="C102" i="21"/>
  <c r="B102" i="21"/>
  <c r="A102" i="21"/>
  <c r="I101" i="21"/>
  <c r="H101" i="21"/>
  <c r="G101" i="21"/>
  <c r="F101" i="21"/>
  <c r="D101" i="21"/>
  <c r="C101" i="21"/>
  <c r="B101" i="21"/>
  <c r="A101" i="21"/>
  <c r="I100" i="21"/>
  <c r="H100" i="21"/>
  <c r="G100" i="21"/>
  <c r="F100" i="21"/>
  <c r="D100" i="21"/>
  <c r="C100" i="21"/>
  <c r="B100" i="21"/>
  <c r="A100" i="21"/>
  <c r="I99" i="21"/>
  <c r="H99" i="21"/>
  <c r="G99" i="21"/>
  <c r="F99" i="21"/>
  <c r="D99" i="21"/>
  <c r="C99" i="21"/>
  <c r="B99" i="21"/>
  <c r="A99" i="21"/>
  <c r="I98" i="21"/>
  <c r="H98" i="21"/>
  <c r="G98" i="21"/>
  <c r="F98" i="21"/>
  <c r="D98" i="21"/>
  <c r="C98" i="21"/>
  <c r="B98" i="21"/>
  <c r="A98" i="21"/>
  <c r="I97" i="21"/>
  <c r="H97" i="21"/>
  <c r="G97" i="21"/>
  <c r="F97" i="21"/>
  <c r="D97" i="21"/>
  <c r="C97" i="21"/>
  <c r="B97" i="21"/>
  <c r="A97" i="21"/>
  <c r="I96" i="21"/>
  <c r="H96" i="21"/>
  <c r="G96" i="21"/>
  <c r="F96" i="21"/>
  <c r="D96" i="21"/>
  <c r="C96" i="21"/>
  <c r="B96" i="21"/>
  <c r="A96" i="21"/>
  <c r="I95" i="21"/>
  <c r="H95" i="21"/>
  <c r="G95" i="21"/>
  <c r="F95" i="21"/>
  <c r="D95" i="21"/>
  <c r="C95" i="21"/>
  <c r="B95" i="21"/>
  <c r="A95" i="21"/>
  <c r="AH90" i="21"/>
  <c r="AH89" i="21"/>
  <c r="AH57" i="21"/>
  <c r="AH87" i="21"/>
  <c r="AH10" i="21"/>
  <c r="AH67" i="21"/>
  <c r="AH74" i="21"/>
  <c r="AH18" i="21"/>
  <c r="AH40" i="21"/>
  <c r="AH52" i="21"/>
  <c r="AH71" i="21"/>
  <c r="AH73" i="21"/>
  <c r="AH6" i="21"/>
  <c r="AH82" i="21"/>
  <c r="AH19" i="21"/>
  <c r="AH15" i="21"/>
  <c r="AH55" i="21"/>
  <c r="AH49" i="21"/>
  <c r="AH23" i="21"/>
  <c r="AH66" i="21"/>
  <c r="AH64" i="21"/>
  <c r="AH62" i="21"/>
  <c r="AH61" i="21"/>
  <c r="AH60" i="21"/>
  <c r="AH56" i="21"/>
  <c r="AH54" i="21"/>
  <c r="AH81" i="21"/>
  <c r="AH80" i="21"/>
  <c r="AH88" i="21"/>
  <c r="AH12" i="21"/>
  <c r="AH86" i="21"/>
  <c r="AH85" i="21"/>
  <c r="AH84" i="21"/>
  <c r="AH83" i="21"/>
  <c r="AH11" i="21"/>
  <c r="AH8" i="21"/>
  <c r="AH14" i="21"/>
  <c r="AH72" i="21"/>
  <c r="AH70" i="21"/>
  <c r="AH69" i="21"/>
  <c r="AH13" i="21"/>
  <c r="AH9" i="21"/>
  <c r="AH75" i="21"/>
  <c r="AH68" i="21"/>
  <c r="AH50" i="21"/>
  <c r="AH20" i="21"/>
  <c r="AH65" i="21"/>
  <c r="AH77" i="21"/>
  <c r="AH76" i="21"/>
  <c r="AH79" i="21"/>
  <c r="AH16" i="21"/>
  <c r="AH78" i="21"/>
  <c r="AH63" i="21"/>
  <c r="AH59" i="21"/>
  <c r="AH41" i="21"/>
  <c r="AH36" i="21"/>
  <c r="AH17" i="21"/>
  <c r="AH58" i="21"/>
  <c r="AH7" i="21"/>
  <c r="AH34" i="21"/>
  <c r="AH33" i="21"/>
  <c r="AH32" i="21"/>
  <c r="AH31" i="21"/>
  <c r="AH30" i="21"/>
  <c r="AH29" i="21"/>
  <c r="AH28" i="21"/>
  <c r="AH27" i="21"/>
  <c r="AH26" i="21"/>
  <c r="AH25" i="21"/>
  <c r="AH24" i="21"/>
  <c r="AH51" i="21"/>
  <c r="AH42" i="21"/>
  <c r="AH44" i="21"/>
  <c r="AH53" i="21"/>
  <c r="AH22" i="21"/>
  <c r="AH37" i="21"/>
  <c r="AH48" i="21"/>
  <c r="AH35" i="21"/>
  <c r="AH47" i="21"/>
  <c r="AH46" i="21"/>
  <c r="AH45" i="21"/>
  <c r="AH21" i="21"/>
  <c r="AH43" i="21"/>
  <c r="AH38" i="21"/>
  <c r="AH39" i="21"/>
  <c r="AG104" i="41" l="1"/>
  <c r="AG89" i="41"/>
  <c r="AG125" i="41"/>
  <c r="AG99" i="41"/>
  <c r="AG91" i="41"/>
  <c r="AG85" i="41"/>
  <c r="AG103" i="41"/>
  <c r="AG82" i="41"/>
  <c r="AG84" i="41"/>
  <c r="AG115" i="41"/>
  <c r="AG128" i="41"/>
  <c r="AG129" i="41"/>
  <c r="AG92" i="41"/>
  <c r="AG87" i="41"/>
  <c r="AG112" i="41"/>
  <c r="AG206" i="41"/>
  <c r="AG159" i="41"/>
  <c r="AG197" i="41"/>
  <c r="AG155" i="41"/>
  <c r="AG186" i="41"/>
  <c r="AG182" i="41"/>
  <c r="AG117" i="41"/>
  <c r="AG163" i="41"/>
  <c r="AG124" i="41"/>
  <c r="AG109" i="41"/>
  <c r="AG127" i="41"/>
  <c r="AG118" i="41"/>
  <c r="AG185" i="41"/>
  <c r="AG179" i="41"/>
  <c r="AG217" i="41"/>
  <c r="AG107" i="41"/>
  <c r="AG203" i="41"/>
  <c r="AG214" i="41"/>
  <c r="AG205" i="41"/>
  <c r="AG131" i="41"/>
  <c r="AG93" i="41"/>
  <c r="AG189" i="41"/>
  <c r="AG162" i="41"/>
  <c r="AG200" i="41"/>
  <c r="AG114" i="41"/>
  <c r="AG158" i="41"/>
  <c r="AG152" i="41"/>
  <c r="AG123" i="41"/>
  <c r="AG110" i="41"/>
  <c r="AG145" i="41"/>
  <c r="AG178" i="41"/>
  <c r="AG169" i="41"/>
  <c r="AG134" i="41"/>
  <c r="AG122" i="41"/>
  <c r="AG88" i="41"/>
  <c r="AG196" i="41"/>
  <c r="AG165" i="41"/>
  <c r="AG113" i="41"/>
  <c r="AG164" i="41"/>
  <c r="AG139" i="41"/>
  <c r="AG151" i="41"/>
  <c r="AG168" i="41"/>
  <c r="AG138" i="41"/>
  <c r="AG183" i="41"/>
  <c r="AG190" i="41"/>
  <c r="AG121" i="41"/>
  <c r="AG149" i="41"/>
  <c r="AG172" i="41"/>
  <c r="AG126" i="41"/>
  <c r="AG193" i="41"/>
  <c r="AG176" i="41"/>
  <c r="AG120" i="41"/>
  <c r="AG137" i="41"/>
  <c r="AG108" i="41"/>
  <c r="AG174" i="41"/>
  <c r="AG166" i="41"/>
  <c r="AG94" i="41"/>
  <c r="AG105" i="41"/>
  <c r="AG101" i="41"/>
  <c r="AG106" i="41"/>
  <c r="AG111" i="41"/>
  <c r="AG192" i="41"/>
  <c r="AG116" i="41"/>
  <c r="AG204" i="41"/>
  <c r="AG188" i="41"/>
  <c r="AG173" i="41"/>
  <c r="AG146" i="41"/>
  <c r="AG100" i="41"/>
  <c r="AG83" i="41"/>
  <c r="AG86" i="41"/>
  <c r="AG181" i="41"/>
  <c r="AG161" i="41"/>
  <c r="AG156" i="41"/>
  <c r="AG177" i="41"/>
  <c r="AG209" i="41"/>
  <c r="AG187" i="41"/>
  <c r="AG143" i="41"/>
  <c r="AG150" i="41"/>
  <c r="AG81" i="41"/>
  <c r="AG199" i="41"/>
  <c r="AG194" i="41"/>
  <c r="AG202" i="41"/>
  <c r="AG208" i="41"/>
  <c r="AG130" i="41"/>
  <c r="AG147" i="41"/>
  <c r="AG167" i="41"/>
  <c r="AG148" i="41"/>
  <c r="AG119" i="41"/>
  <c r="AG198" i="41"/>
  <c r="AG140" i="41"/>
  <c r="AG184" i="41"/>
  <c r="AG135" i="41"/>
  <c r="AG207" i="41"/>
  <c r="AG157" i="41"/>
  <c r="AG144" i="41"/>
  <c r="AG136" i="41"/>
  <c r="AG132" i="41"/>
  <c r="AG153" i="41"/>
  <c r="AG95" i="41"/>
  <c r="AG201" i="41"/>
  <c r="AG170" i="41"/>
  <c r="AG141" i="41"/>
  <c r="AG133" i="41"/>
  <c r="AG154" i="41"/>
  <c r="AG102" i="41"/>
  <c r="AG175" i="41"/>
  <c r="AG171" i="41"/>
  <c r="AG142" i="41"/>
  <c r="AG97" i="41"/>
  <c r="AG195" i="41"/>
  <c r="AG191" i="41"/>
  <c r="AG180" i="41"/>
  <c r="AG160" i="41"/>
  <c r="AG98" i="41"/>
  <c r="AG90" i="41"/>
  <c r="AG96" i="41"/>
  <c r="AG227" i="41"/>
  <c r="AG243" i="41"/>
  <c r="AG215" i="41"/>
  <c r="AG211" i="41"/>
  <c r="AG222" i="41"/>
  <c r="AG241" i="41"/>
  <c r="AG229" i="41"/>
  <c r="AG216" i="41"/>
  <c r="AG233" i="41"/>
  <c r="AG236" i="41"/>
  <c r="AG210" i="41"/>
  <c r="AG259" i="41"/>
  <c r="AG219" i="41"/>
  <c r="AG224" i="41"/>
  <c r="AG234" i="41"/>
  <c r="AG230" i="41"/>
  <c r="AG254" i="41"/>
  <c r="AG250" i="41"/>
  <c r="AG218" i="41"/>
  <c r="AG231" i="41"/>
  <c r="AG212" i="41"/>
  <c r="AG223" i="41"/>
  <c r="AG228" i="41"/>
  <c r="AG244" i="41"/>
  <c r="AG252" i="41"/>
  <c r="AG249" i="41"/>
  <c r="AG257" i="41"/>
  <c r="AG240" i="41"/>
  <c r="AG221" i="41"/>
  <c r="AG267" i="41"/>
  <c r="AG220" i="41"/>
  <c r="AG262" i="41"/>
  <c r="AG247" i="41"/>
  <c r="AG268" i="41"/>
  <c r="AG264" i="41"/>
  <c r="AG253" i="41"/>
  <c r="AG269" i="41"/>
  <c r="AG251" i="41"/>
  <c r="AG270" i="41"/>
  <c r="AG256" i="41"/>
  <c r="AG245" i="41"/>
  <c r="AG271" i="41"/>
  <c r="AG265" i="41"/>
  <c r="AG235" i="41"/>
  <c r="AG255" i="41"/>
  <c r="AG246" i="41"/>
  <c r="AG239" i="41"/>
  <c r="AG266" i="41"/>
  <c r="AG260" i="41"/>
  <c r="AG258" i="41"/>
  <c r="AG232" i="41"/>
  <c r="AG238" i="41"/>
  <c r="AG226" i="41"/>
  <c r="AG225" i="41"/>
  <c r="AF273" i="41"/>
  <c r="AG263" i="41"/>
  <c r="AG248" i="41"/>
  <c r="AG261" i="41"/>
  <c r="AG237" i="41"/>
  <c r="AG242" i="41"/>
  <c r="AG213" i="41"/>
  <c r="W15" i="29"/>
  <c r="X15" i="29" s="1"/>
  <c r="AJ6" i="21"/>
  <c r="AI95" i="21" s="1"/>
  <c r="AF7" i="21"/>
  <c r="B3" i="33" s="1"/>
  <c r="AH96" i="21"/>
  <c r="M3" i="21"/>
  <c r="L3" i="21" s="1"/>
  <c r="K3" i="21" s="1"/>
  <c r="AI31" i="21"/>
  <c r="AI74" i="21"/>
  <c r="AI27" i="21"/>
  <c r="AI30" i="21"/>
  <c r="AI11" i="21"/>
  <c r="AI73" i="21"/>
  <c r="AI45" i="21"/>
  <c r="AI28" i="21"/>
  <c r="AI71" i="21"/>
  <c r="AI65" i="21"/>
  <c r="AI85" i="21"/>
  <c r="AI58" i="21"/>
  <c r="AI87" i="21"/>
  <c r="AI21" i="21"/>
  <c r="AI80" i="21"/>
  <c r="AI81" i="21"/>
  <c r="AI46" i="21"/>
  <c r="AI29" i="21"/>
  <c r="AI76" i="21"/>
  <c r="AI54" i="21"/>
  <c r="AI52" i="21"/>
  <c r="AI40" i="21"/>
  <c r="AI18" i="21"/>
  <c r="AI37" i="21"/>
  <c r="AI34" i="21"/>
  <c r="AI68" i="21"/>
  <c r="AI64" i="21"/>
  <c r="AI10" i="21"/>
  <c r="AI61" i="21"/>
  <c r="AI49" i="21"/>
  <c r="AI47" i="21"/>
  <c r="AI77" i="21"/>
  <c r="AI56" i="21"/>
  <c r="L19" i="33"/>
  <c r="K19" i="33"/>
  <c r="AI35" i="21"/>
  <c r="AI60" i="21"/>
  <c r="AI48" i="21"/>
  <c r="AI32" i="21"/>
  <c r="AI20" i="21"/>
  <c r="AI50" i="21"/>
  <c r="AI67" i="21"/>
  <c r="AI66" i="21"/>
  <c r="AI9" i="21"/>
  <c r="AI23" i="21"/>
  <c r="AI17" i="21"/>
  <c r="AI13" i="21"/>
  <c r="AI57" i="21"/>
  <c r="AI39" i="21"/>
  <c r="AI41" i="21"/>
  <c r="AI15" i="21"/>
  <c r="AI38" i="21"/>
  <c r="AI88" i="21"/>
  <c r="AI84" i="21"/>
  <c r="AI86" i="21"/>
  <c r="AI22" i="21"/>
  <c r="AI7" i="21"/>
  <c r="AN96" i="21"/>
  <c r="AI42" i="21"/>
  <c r="AI36" i="21"/>
  <c r="AI55" i="21"/>
  <c r="AI24" i="21"/>
  <c r="AI59" i="21"/>
  <c r="AI72" i="21"/>
  <c r="AI19" i="21"/>
  <c r="AI25" i="21"/>
  <c r="AI63" i="21"/>
  <c r="AI14" i="21"/>
  <c r="AI82" i="21"/>
  <c r="AI83" i="21"/>
  <c r="AI33" i="21"/>
  <c r="AI62" i="21"/>
  <c r="AI75" i="21"/>
  <c r="AI53" i="21"/>
  <c r="AI44" i="21"/>
  <c r="AI12" i="21"/>
  <c r="AI69" i="21"/>
  <c r="AI51" i="21"/>
  <c r="AI43" i="21"/>
  <c r="AI26" i="21"/>
  <c r="AI8" i="21"/>
  <c r="M3" i="24"/>
  <c r="L3" i="24" s="1"/>
  <c r="K3" i="24" s="1"/>
  <c r="AF41" i="24"/>
  <c r="AL10" i="24"/>
  <c r="AK41" i="24" s="1"/>
  <c r="AF42" i="24"/>
  <c r="AL11" i="24"/>
  <c r="AK42" i="24" s="1"/>
  <c r="AJ24" i="25"/>
  <c r="AH24" i="25"/>
  <c r="AI52" i="24"/>
  <c r="AI51" i="24"/>
  <c r="AG37" i="24"/>
  <c r="AL12" i="24"/>
  <c r="AK43" i="24" s="1"/>
  <c r="AL20" i="24"/>
  <c r="AK51" i="24" s="1"/>
  <c r="AL28" i="24"/>
  <c r="AK59" i="24" s="1"/>
  <c r="AL42" i="24"/>
  <c r="AI37" i="24"/>
  <c r="AI62" i="24"/>
  <c r="AH52" i="24"/>
  <c r="AL62" i="24"/>
  <c r="AJ52" i="24"/>
  <c r="AN37" i="24"/>
  <c r="AL21" i="24"/>
  <c r="AK52" i="24" s="1"/>
  <c r="AI53" i="24"/>
  <c r="AL31" i="24"/>
  <c r="AJ37" i="24"/>
  <c r="AL53" i="24"/>
  <c r="AJ42" i="24"/>
  <c r="AH59" i="24"/>
  <c r="AH60" i="24"/>
  <c r="AH43" i="24"/>
  <c r="AI60" i="24"/>
  <c r="AJ60" i="24"/>
  <c r="AL37" i="24"/>
  <c r="AL45" i="24"/>
  <c r="AL60" i="24"/>
  <c r="AH37" i="24"/>
  <c r="AH51" i="24"/>
  <c r="AH62" i="24"/>
  <c r="AJ38" i="24"/>
  <c r="AL44" i="24"/>
  <c r="AH48" i="24"/>
  <c r="AJ54" i="24"/>
  <c r="AL8" i="24"/>
  <c r="AK39" i="24" s="1"/>
  <c r="AL24" i="24"/>
  <c r="AK55" i="24" s="1"/>
  <c r="AH39" i="24"/>
  <c r="AI42" i="24"/>
  <c r="AJ45" i="24"/>
  <c r="AL51" i="24"/>
  <c r="AH55" i="24"/>
  <c r="AI58" i="24"/>
  <c r="AJ61" i="24"/>
  <c r="AL9" i="24"/>
  <c r="AK40" i="24" s="1"/>
  <c r="AL25" i="24"/>
  <c r="AK56" i="24" s="1"/>
  <c r="AI39" i="24"/>
  <c r="AL48" i="24"/>
  <c r="AI55" i="24"/>
  <c r="AJ58" i="24"/>
  <c r="AL64" i="24"/>
  <c r="AL26" i="24"/>
  <c r="AK57" i="24" s="1"/>
  <c r="AJ39" i="24"/>
  <c r="AH49" i="24"/>
  <c r="AJ55" i="24"/>
  <c r="AL61" i="24"/>
  <c r="AL27" i="24"/>
  <c r="AK58" i="24" s="1"/>
  <c r="AH46" i="24"/>
  <c r="AI49" i="24"/>
  <c r="AL58" i="24"/>
  <c r="AL55" i="24"/>
  <c r="AL13" i="24"/>
  <c r="AK44" i="24" s="1"/>
  <c r="AL29" i="24"/>
  <c r="AK60" i="24" s="1"/>
  <c r="AH40" i="24"/>
  <c r="AI43" i="24"/>
  <c r="AJ46" i="24"/>
  <c r="AL52" i="24"/>
  <c r="AH56" i="24"/>
  <c r="AI59" i="24"/>
  <c r="AJ62" i="24"/>
  <c r="AL39" i="24"/>
  <c r="AI46" i="24"/>
  <c r="AJ49" i="24"/>
  <c r="AL14" i="24"/>
  <c r="AK45" i="24" s="1"/>
  <c r="AL30" i="24"/>
  <c r="AK61" i="24" s="1"/>
  <c r="AI40" i="24"/>
  <c r="AJ43" i="24"/>
  <c r="AL49" i="24"/>
  <c r="AH53" i="24"/>
  <c r="AI56" i="24"/>
  <c r="AJ59" i="24"/>
  <c r="AK62" i="24"/>
  <c r="AJ40" i="24"/>
  <c r="AL15" i="24"/>
  <c r="AK46" i="24" s="1"/>
  <c r="AL46" i="24"/>
  <c r="AH50" i="24"/>
  <c r="AJ56" i="24"/>
  <c r="AL16" i="24"/>
  <c r="AK47" i="24" s="1"/>
  <c r="AL32" i="24"/>
  <c r="AK63" i="24" s="1"/>
  <c r="AL43" i="24"/>
  <c r="AH47" i="24"/>
  <c r="AI50" i="24"/>
  <c r="AJ53" i="24"/>
  <c r="AL59" i="24"/>
  <c r="AH63" i="24"/>
  <c r="AL17" i="24"/>
  <c r="AK48" i="24" s="1"/>
  <c r="AL33" i="24"/>
  <c r="AK64" i="24" s="1"/>
  <c r="AL40" i="24"/>
  <c r="AH44" i="24"/>
  <c r="AI47" i="24"/>
  <c r="AJ50" i="24"/>
  <c r="AL56" i="24"/>
  <c r="AI63" i="24"/>
  <c r="AL18" i="24"/>
  <c r="AK49" i="24" s="1"/>
  <c r="AH41" i="24"/>
  <c r="AI44" i="24"/>
  <c r="AJ47" i="24"/>
  <c r="AH57" i="24"/>
  <c r="AJ63" i="24"/>
  <c r="AL19" i="24"/>
  <c r="AK50" i="24" s="1"/>
  <c r="AH38" i="24"/>
  <c r="AI41" i="24"/>
  <c r="AJ44" i="24"/>
  <c r="AL50" i="24"/>
  <c r="AH54" i="24"/>
  <c r="AI57" i="24"/>
  <c r="AI38" i="24"/>
  <c r="AJ41" i="24"/>
  <c r="AL47" i="24"/>
  <c r="AI54" i="24"/>
  <c r="AJ57" i="24"/>
  <c r="AL63" i="24"/>
  <c r="AH64" i="24"/>
  <c r="AL6" i="24"/>
  <c r="AK37" i="24" s="1"/>
  <c r="AL22" i="24"/>
  <c r="AK53" i="24" s="1"/>
  <c r="AL41" i="24"/>
  <c r="AH45" i="24"/>
  <c r="AI48" i="24"/>
  <c r="AJ51" i="24"/>
  <c r="AL57" i="24"/>
  <c r="AH61" i="24"/>
  <c r="AI64" i="24"/>
  <c r="AL7" i="24"/>
  <c r="AK38" i="24" s="1"/>
  <c r="AL23" i="24"/>
  <c r="AK54" i="24" s="1"/>
  <c r="AL38" i="24"/>
  <c r="AH42" i="24"/>
  <c r="AI45" i="24"/>
  <c r="AJ48" i="24"/>
  <c r="AL54" i="24"/>
  <c r="AH58" i="24"/>
  <c r="AI61" i="24"/>
  <c r="AJ64" i="24"/>
  <c r="AL31" i="25"/>
  <c r="AJ31" i="25"/>
  <c r="AL9" i="25"/>
  <c r="AK27" i="25" s="1"/>
  <c r="AL11" i="25"/>
  <c r="AK29" i="25" s="1"/>
  <c r="AL8" i="25"/>
  <c r="AK26" i="25" s="1"/>
  <c r="AH28" i="25"/>
  <c r="AI31" i="25"/>
  <c r="AJ34" i="25"/>
  <c r="AH25" i="25"/>
  <c r="AI28" i="25"/>
  <c r="AL39" i="25"/>
  <c r="AL10" i="25"/>
  <c r="AK28" i="25" s="1"/>
  <c r="AI25" i="25"/>
  <c r="AJ28" i="25"/>
  <c r="AL34" i="25"/>
  <c r="AJ25" i="25"/>
  <c r="AH35" i="25"/>
  <c r="AL12" i="25"/>
  <c r="AK30" i="25" s="1"/>
  <c r="AL28" i="25"/>
  <c r="AH32" i="25"/>
  <c r="AI35" i="25"/>
  <c r="AL13" i="25"/>
  <c r="AK31" i="25" s="1"/>
  <c r="AL25" i="25"/>
  <c r="AH29" i="25"/>
  <c r="AI32" i="25"/>
  <c r="AJ35" i="25"/>
  <c r="AL14" i="25"/>
  <c r="AK32" i="25" s="1"/>
  <c r="AH26" i="25"/>
  <c r="AI29" i="25"/>
  <c r="AJ32" i="25"/>
  <c r="AL15" i="25"/>
  <c r="AK33" i="25" s="1"/>
  <c r="AI26" i="25"/>
  <c r="AJ29" i="25"/>
  <c r="AL35" i="25"/>
  <c r="AL16" i="25"/>
  <c r="AK34" i="25" s="1"/>
  <c r="AJ26" i="25"/>
  <c r="AH36" i="25"/>
  <c r="AG35" i="25"/>
  <c r="AL17" i="25"/>
  <c r="AK35" i="25" s="1"/>
  <c r="AL29" i="25"/>
  <c r="AH33" i="25"/>
  <c r="AI36" i="25"/>
  <c r="AG34" i="25"/>
  <c r="AM35" i="25"/>
  <c r="AL18" i="25"/>
  <c r="AK36" i="25" s="1"/>
  <c r="AH30" i="25"/>
  <c r="AI33" i="25"/>
  <c r="AJ36" i="25"/>
  <c r="AL21" i="25"/>
  <c r="AK39" i="25" s="1"/>
  <c r="AH27" i="25"/>
  <c r="AI30" i="25"/>
  <c r="AJ33" i="25"/>
  <c r="AL24" i="25"/>
  <c r="AI27" i="25"/>
  <c r="AJ30" i="25"/>
  <c r="AJ27" i="25"/>
  <c r="AL33" i="25"/>
  <c r="AH39" i="25"/>
  <c r="AL6" i="25"/>
  <c r="AK24" i="25" s="1"/>
  <c r="AI24" i="25"/>
  <c r="AH34" i="25"/>
  <c r="AI39" i="25"/>
  <c r="AL7" i="25"/>
  <c r="AK25" i="25" s="1"/>
  <c r="AL27" i="25"/>
  <c r="AI34" i="25"/>
  <c r="W12" i="29"/>
  <c r="X12" i="29" s="1"/>
  <c r="AC12" i="29" s="1"/>
  <c r="W10" i="29"/>
  <c r="X10" i="29" s="1"/>
  <c r="AC10" i="29" s="1"/>
  <c r="W11" i="29"/>
  <c r="X11" i="29" s="1"/>
  <c r="Z11" i="29" s="1"/>
  <c r="AA11" i="29" s="1"/>
  <c r="AB11" i="29" s="1"/>
  <c r="W9" i="29"/>
  <c r="X9" i="29" s="1"/>
  <c r="AC9" i="29" s="1"/>
  <c r="AC13" i="29"/>
  <c r="Z13" i="29"/>
  <c r="AA13" i="29" s="1"/>
  <c r="AB13" i="29" s="1"/>
  <c r="X26" i="25"/>
  <c r="AA26" i="25" s="1"/>
  <c r="AG32" i="25"/>
  <c r="AA25" i="25"/>
  <c r="AF34" i="25"/>
  <c r="AF35" i="25"/>
  <c r="AF36" i="25"/>
  <c r="AF33" i="25"/>
  <c r="AN33" i="25"/>
  <c r="AF24" i="25"/>
  <c r="AF31" i="25"/>
  <c r="AF32" i="25"/>
  <c r="AF39" i="25"/>
  <c r="AF26" i="25"/>
  <c r="AG30" i="25"/>
  <c r="AF29" i="25"/>
  <c r="AM30" i="25"/>
  <c r="AF30" i="25"/>
  <c r="AN30" i="25"/>
  <c r="AG36" i="25"/>
  <c r="AM37" i="24"/>
  <c r="AC18" i="29"/>
  <c r="AG31" i="25"/>
  <c r="AM31" i="25"/>
  <c r="AN31" i="25"/>
  <c r="AM36" i="25"/>
  <c r="AN36" i="25"/>
  <c r="AG29" i="25"/>
  <c r="AM29" i="25"/>
  <c r="AM39" i="25"/>
  <c r="AG39" i="25"/>
  <c r="AN39" i="25"/>
  <c r="AN32" i="25"/>
  <c r="AM32" i="25"/>
  <c r="AM33" i="25"/>
  <c r="AG25" i="25"/>
  <c r="AN26" i="25"/>
  <c r="AN28" i="25"/>
  <c r="AM26" i="25"/>
  <c r="AG26" i="25"/>
  <c r="AM28" i="25"/>
  <c r="AG28" i="25"/>
  <c r="W6" i="29"/>
  <c r="X6" i="29" s="1"/>
  <c r="Z6" i="29" s="1"/>
  <c r="AA6" i="29" s="1"/>
  <c r="W16" i="29"/>
  <c r="X16" i="29" s="1"/>
  <c r="W7" i="29"/>
  <c r="X7" i="29" s="1"/>
  <c r="W14" i="29"/>
  <c r="X14" i="29" s="1"/>
  <c r="W8" i="29"/>
  <c r="X8" i="29" s="1"/>
  <c r="W17" i="29"/>
  <c r="X17" i="29" s="1"/>
  <c r="Z17" i="29" s="1"/>
  <c r="AN34" i="25"/>
  <c r="AG27" i="25"/>
  <c r="AM27" i="25"/>
  <c r="AN27" i="25"/>
  <c r="AM25" i="25"/>
  <c r="AN25" i="25"/>
  <c r="AM24" i="25"/>
  <c r="AG24" i="25"/>
  <c r="AN24" i="25"/>
  <c r="AM38" i="24"/>
  <c r="AG38" i="24"/>
  <c r="AN38" i="24"/>
  <c r="AN95" i="21"/>
  <c r="AI89" i="21"/>
  <c r="AI90" i="21"/>
  <c r="AI91" i="21"/>
  <c r="AI92" i="21"/>
  <c r="AI16" i="21"/>
  <c r="AI6" i="21"/>
  <c r="AI78" i="21"/>
  <c r="AI79" i="21"/>
  <c r="AI70" i="21"/>
  <c r="AK6" i="41" l="1"/>
  <c r="AJ289" i="41" s="1"/>
  <c r="AK7" i="41"/>
  <c r="AF274" i="41"/>
  <c r="AF275" i="41" s="1"/>
  <c r="AF276" i="41" s="1"/>
  <c r="AF277" i="41" s="1"/>
  <c r="AF278" i="41" s="1"/>
  <c r="AG272" i="41"/>
  <c r="AL96" i="21"/>
  <c r="AK96" i="21"/>
  <c r="AF8" i="21"/>
  <c r="AG7" i="21"/>
  <c r="AG6" i="21"/>
  <c r="AM96" i="21"/>
  <c r="AF96" i="21"/>
  <c r="AG96" i="21"/>
  <c r="AL7" i="21"/>
  <c r="AK7" i="21"/>
  <c r="AJ7" i="21"/>
  <c r="AI96" i="21"/>
  <c r="Z26" i="25"/>
  <c r="Z10" i="29"/>
  <c r="AA10" i="29" s="1"/>
  <c r="AB10" i="29" s="1"/>
  <c r="Z12" i="29"/>
  <c r="AA12" i="29" s="1"/>
  <c r="AB12" i="29" s="1"/>
  <c r="AC11" i="29"/>
  <c r="AA17" i="29"/>
  <c r="AB17" i="29" s="1"/>
  <c r="AC17" i="29"/>
  <c r="Z15" i="29"/>
  <c r="AA15" i="29" s="1"/>
  <c r="AB15" i="29" s="1"/>
  <c r="AC15" i="29"/>
  <c r="Z8" i="29"/>
  <c r="AA8" i="29" s="1"/>
  <c r="AB8" i="29" s="1"/>
  <c r="AC8" i="29"/>
  <c r="Z16" i="29"/>
  <c r="AA16" i="29" s="1"/>
  <c r="AB16" i="29" s="1"/>
  <c r="AC16" i="29"/>
  <c r="AC6" i="29"/>
  <c r="AB6" i="29"/>
  <c r="Z14" i="29"/>
  <c r="AA14" i="29" s="1"/>
  <c r="AB14" i="29" s="1"/>
  <c r="AC14" i="29"/>
  <c r="AC7" i="29"/>
  <c r="Z7" i="29"/>
  <c r="AA7" i="29" s="1"/>
  <c r="AB7" i="29" s="1"/>
  <c r="Z9" i="29"/>
  <c r="AN39" i="24"/>
  <c r="AG39" i="24"/>
  <c r="AM39" i="24"/>
  <c r="AJ290" i="41" l="1"/>
  <c r="AG276" i="41"/>
  <c r="AG277" i="41"/>
  <c r="AG281" i="41"/>
  <c r="AG279" i="41"/>
  <c r="AG278" i="41"/>
  <c r="AG274" i="41"/>
  <c r="AG275" i="41"/>
  <c r="AG273" i="41"/>
  <c r="AK97" i="21"/>
  <c r="AF9" i="21"/>
  <c r="AG8" i="21" s="1"/>
  <c r="AM97" i="21"/>
  <c r="AG97" i="21"/>
  <c r="AF97" i="21"/>
  <c r="AL8" i="21"/>
  <c r="AJ8" i="21"/>
  <c r="AK8" i="21"/>
  <c r="AN97" i="21"/>
  <c r="AH97" i="21"/>
  <c r="AL97" i="21"/>
  <c r="AI97" i="21"/>
  <c r="B4" i="33"/>
  <c r="Z4" i="29"/>
  <c r="AA9" i="29"/>
  <c r="AM40" i="24"/>
  <c r="AG40" i="24"/>
  <c r="AN40" i="24"/>
  <c r="AF10" i="21" l="1"/>
  <c r="AB9" i="29"/>
  <c r="AA4" i="29"/>
  <c r="AM41" i="24"/>
  <c r="AN41" i="24"/>
  <c r="AG41" i="24"/>
  <c r="AF11" i="21" l="1"/>
  <c r="AF12" i="21" s="1"/>
  <c r="AF13" i="21" s="1"/>
  <c r="AF14" i="21" s="1"/>
  <c r="AF15" i="21" s="1"/>
  <c r="AF16" i="21" s="1"/>
  <c r="AF17" i="21" s="1"/>
  <c r="AF18" i="21" s="1"/>
  <c r="AF19" i="21" s="1"/>
  <c r="AF20" i="21" s="1"/>
  <c r="AF21" i="21" s="1"/>
  <c r="AF22" i="21" s="1"/>
  <c r="AF23" i="21" s="1"/>
  <c r="AF24" i="21" s="1"/>
  <c r="AF25" i="21" s="1"/>
  <c r="AF26" i="21" s="1"/>
  <c r="AF27" i="21" s="1"/>
  <c r="AF28" i="21" s="1"/>
  <c r="AF29" i="21" s="1"/>
  <c r="AF30" i="21" s="1"/>
  <c r="AF31" i="21" s="1"/>
  <c r="AF32" i="21" s="1"/>
  <c r="AF33" i="21" s="1"/>
  <c r="AF34" i="21" s="1"/>
  <c r="AF35" i="21" s="1"/>
  <c r="AF36" i="21" s="1"/>
  <c r="AF37" i="21" s="1"/>
  <c r="AF38" i="21" s="1"/>
  <c r="AF39" i="21" s="1"/>
  <c r="AF40" i="21" s="1"/>
  <c r="AF41" i="21" s="1"/>
  <c r="AF42" i="21" s="1"/>
  <c r="AF43" i="21" s="1"/>
  <c r="AF44" i="21" s="1"/>
  <c r="AF45" i="21" s="1"/>
  <c r="AF46" i="21" s="1"/>
  <c r="AF47" i="21" s="1"/>
  <c r="AF48" i="21" s="1"/>
  <c r="AF49" i="21" s="1"/>
  <c r="AF50" i="21" s="1"/>
  <c r="AF51" i="21" s="1"/>
  <c r="AF52" i="21" s="1"/>
  <c r="AF53" i="21" s="1"/>
  <c r="AF54" i="21" s="1"/>
  <c r="AF55" i="21" s="1"/>
  <c r="AF56" i="21" s="1"/>
  <c r="AF57" i="21" s="1"/>
  <c r="AF58" i="21" s="1"/>
  <c r="AF59" i="21" s="1"/>
  <c r="AF60" i="21" s="1"/>
  <c r="AF61" i="21" s="1"/>
  <c r="AF62" i="21" s="1"/>
  <c r="AF63" i="21" s="1"/>
  <c r="AF64" i="21" s="1"/>
  <c r="AF65" i="21" s="1"/>
  <c r="AF66" i="21" s="1"/>
  <c r="AF67" i="21" s="1"/>
  <c r="AF68" i="21" s="1"/>
  <c r="AF69" i="21" s="1"/>
  <c r="AF70" i="21" s="1"/>
  <c r="AF71" i="21" s="1"/>
  <c r="AF72" i="21" s="1"/>
  <c r="AF73" i="21" s="1"/>
  <c r="AF74" i="21" s="1"/>
  <c r="AF75" i="21" s="1"/>
  <c r="AF76" i="21" s="1"/>
  <c r="AF77" i="21" s="1"/>
  <c r="AF78" i="21" s="1"/>
  <c r="AF79" i="21" s="1"/>
  <c r="AF80" i="21" s="1"/>
  <c r="AF81" i="21" s="1"/>
  <c r="AF82" i="21" s="1"/>
  <c r="AF83" i="21" s="1"/>
  <c r="AF84" i="21" s="1"/>
  <c r="AF85" i="21" s="1"/>
  <c r="AF86" i="21" s="1"/>
  <c r="AF87" i="21" s="1"/>
  <c r="AF88" i="21" s="1"/>
  <c r="AF89" i="21" s="1"/>
  <c r="AF90" i="21" s="1"/>
  <c r="AF92" i="21" s="1"/>
  <c r="AG91" i="21" s="1"/>
  <c r="AG9" i="21"/>
  <c r="AG10" i="21"/>
  <c r="AM42" i="24"/>
  <c r="AN42" i="24"/>
  <c r="AG42" i="24"/>
  <c r="AG18" i="21" l="1"/>
  <c r="AG23" i="21"/>
  <c r="AG15" i="21"/>
  <c r="AG13" i="21"/>
  <c r="AG14" i="21"/>
  <c r="AG11" i="21"/>
  <c r="AG12" i="21"/>
  <c r="AG84" i="21"/>
  <c r="AG29" i="21"/>
  <c r="AG25" i="21"/>
  <c r="AG80" i="21"/>
  <c r="AG54" i="21"/>
  <c r="AG88" i="21"/>
  <c r="AG62" i="21"/>
  <c r="AG77" i="21"/>
  <c r="AG44" i="21"/>
  <c r="AG75" i="21"/>
  <c r="AG39" i="21"/>
  <c r="AG45" i="21"/>
  <c r="AG73" i="21"/>
  <c r="AG31" i="21"/>
  <c r="AG32" i="21"/>
  <c r="AG49" i="21"/>
  <c r="AG41" i="21"/>
  <c r="AG60" i="21"/>
  <c r="AG81" i="21"/>
  <c r="AG67" i="21"/>
  <c r="AG27" i="21"/>
  <c r="AG34" i="21"/>
  <c r="AG42" i="21"/>
  <c r="AG61" i="21"/>
  <c r="AG68" i="21"/>
  <c r="AG66" i="21"/>
  <c r="AG35" i="21"/>
  <c r="AG33" i="21"/>
  <c r="AG86" i="21"/>
  <c r="AG43" i="21"/>
  <c r="AG63" i="21"/>
  <c r="AG50" i="21"/>
  <c r="AG26" i="21"/>
  <c r="AG55" i="21"/>
  <c r="AG65" i="21"/>
  <c r="AG28" i="21"/>
  <c r="AG64" i="21"/>
  <c r="AG37" i="21"/>
  <c r="AG24" i="21"/>
  <c r="AG48" i="21"/>
  <c r="AG72" i="21"/>
  <c r="AG52" i="21"/>
  <c r="AG85" i="21"/>
  <c r="AG40" i="21"/>
  <c r="AG46" i="21"/>
  <c r="AG76" i="21"/>
  <c r="AG51" i="21"/>
  <c r="AG59" i="21"/>
  <c r="AG38" i="21"/>
  <c r="AG36" i="21"/>
  <c r="AG56" i="21"/>
  <c r="AG22" i="21"/>
  <c r="AG47" i="21"/>
  <c r="AG53" i="21"/>
  <c r="AG16" i="21"/>
  <c r="AG20" i="21"/>
  <c r="AG83" i="21"/>
  <c r="AG57" i="21"/>
  <c r="AG17" i="21"/>
  <c r="AG87" i="21"/>
  <c r="AG79" i="21"/>
  <c r="AG78" i="21"/>
  <c r="AG69" i="21"/>
  <c r="AG58" i="21"/>
  <c r="AG74" i="21"/>
  <c r="AG21" i="21"/>
  <c r="AG89" i="21"/>
  <c r="AG70" i="21"/>
  <c r="AG30" i="21"/>
  <c r="AG19" i="21"/>
  <c r="AG71" i="21"/>
  <c r="AG82" i="21"/>
  <c r="AM43" i="24"/>
  <c r="AN43" i="24"/>
  <c r="AG43" i="24"/>
  <c r="AK6" i="21" l="1"/>
  <c r="AJ95" i="21" s="1"/>
  <c r="AJ96" i="21" s="1"/>
  <c r="AJ97" i="21" s="1"/>
  <c r="AN44" i="24"/>
  <c r="AG44" i="24"/>
  <c r="AM44" i="24"/>
  <c r="AN45" i="24" l="1"/>
  <c r="AG45" i="24"/>
  <c r="AM45" i="24"/>
  <c r="AN46" i="24" l="1"/>
  <c r="AG46" i="24"/>
  <c r="AM46" i="24"/>
  <c r="AN47" i="24" l="1"/>
  <c r="AG47" i="24"/>
  <c r="AM47" i="24"/>
  <c r="AG48" i="24" l="1"/>
  <c r="AN48" i="24"/>
  <c r="AM48" i="24"/>
  <c r="AN49" i="24" l="1"/>
  <c r="AG49" i="24"/>
  <c r="AM49" i="24"/>
  <c r="AN50" i="24" l="1"/>
  <c r="AG50" i="24"/>
  <c r="AM50" i="24"/>
  <c r="AN51" i="24" l="1"/>
  <c r="AG51" i="24"/>
  <c r="AM51" i="24"/>
  <c r="AM52" i="24" l="1"/>
  <c r="AN52" i="24"/>
  <c r="AG52" i="24"/>
  <c r="AM53" i="24" l="1"/>
  <c r="AN53" i="24"/>
  <c r="AG53" i="24"/>
  <c r="AM54" i="24" l="1"/>
  <c r="AN54" i="24"/>
  <c r="AG54" i="24"/>
  <c r="AM55" i="24" l="1"/>
  <c r="AN55" i="24"/>
  <c r="AG55" i="24"/>
  <c r="AN56" i="24" l="1"/>
  <c r="AG56" i="24"/>
  <c r="AM56" i="24"/>
  <c r="AN57" i="24" l="1"/>
  <c r="AG57" i="24"/>
  <c r="AM57" i="24"/>
  <c r="AN58" i="24" l="1"/>
  <c r="AG58" i="24"/>
  <c r="AM58" i="24"/>
  <c r="AN59" i="24" l="1"/>
  <c r="AG59" i="24"/>
  <c r="AM59" i="24"/>
  <c r="AN60" i="24" l="1"/>
  <c r="AG60" i="24"/>
  <c r="AM60" i="24"/>
  <c r="AN61" i="24" l="1"/>
  <c r="AG61" i="24"/>
  <c r="AM61" i="24"/>
  <c r="AN62" i="24" l="1"/>
  <c r="AG62" i="24"/>
  <c r="AM62" i="24"/>
  <c r="AN63" i="24" l="1"/>
  <c r="AG63" i="24"/>
  <c r="AM63" i="24"/>
  <c r="AM64" i="24" l="1"/>
  <c r="AG64" i="24"/>
  <c r="AN64" i="24"/>
  <c r="B74" i="30" l="1"/>
  <c r="K7" i="30" s="1"/>
  <c r="B190" i="30"/>
  <c r="B242" i="30"/>
  <c r="B89" i="30"/>
  <c r="B196" i="30"/>
  <c r="B266" i="30"/>
  <c r="B4" i="30"/>
  <c r="K111" i="30" s="1"/>
  <c r="B7" i="30"/>
  <c r="K45" i="30" s="1"/>
  <c r="B173" i="30"/>
  <c r="K38" i="30" s="1"/>
  <c r="B73" i="30"/>
  <c r="B249" i="30"/>
  <c r="B125" i="30"/>
  <c r="B71" i="30"/>
  <c r="K93" i="30" s="1"/>
  <c r="B169" i="30"/>
  <c r="K3" i="30" s="1"/>
  <c r="B61" i="30"/>
  <c r="K83" i="30" s="1"/>
  <c r="B35" i="30"/>
  <c r="B159" i="30"/>
  <c r="K5" i="30" s="1"/>
  <c r="B191" i="30"/>
  <c r="K78" i="30" s="1"/>
  <c r="B141" i="30"/>
  <c r="AM355" i="41"/>
  <c r="AG355" i="41"/>
  <c r="AF355" i="41"/>
  <c r="AJ72" i="41"/>
  <c r="AI355" i="41" s="1"/>
  <c r="AI356" i="41" s="1"/>
  <c r="AH355" i="41"/>
  <c r="AH356" i="41" s="1"/>
  <c r="AN355" i="41"/>
  <c r="AK72" i="41"/>
  <c r="AJ355" i="41" s="1"/>
  <c r="AJ356" i="41" s="1"/>
  <c r="AL72" i="41"/>
  <c r="AK355" i="41" s="1"/>
  <c r="AK356" i="41" s="1"/>
  <c r="AL355" i="41"/>
  <c r="AL356" i="41" s="1"/>
  <c r="AN369" i="41"/>
  <c r="AG369" i="41"/>
  <c r="AJ86" i="41"/>
  <c r="AK86" i="41"/>
  <c r="AF369" i="41"/>
  <c r="AL86" i="41"/>
  <c r="AM369" i="41"/>
  <c r="B257" i="30"/>
  <c r="B227" i="30"/>
  <c r="AL150" i="41"/>
  <c r="AG433" i="41"/>
  <c r="AM433" i="41"/>
  <c r="AF433" i="41"/>
  <c r="AJ150" i="41"/>
  <c r="AN433" i="41"/>
  <c r="AK150" i="41"/>
  <c r="AL199" i="41"/>
  <c r="AF482" i="41"/>
  <c r="AM482" i="41"/>
  <c r="AG482" i="41"/>
  <c r="AN482" i="41"/>
  <c r="AJ199" i="41"/>
  <c r="AK199" i="41"/>
  <c r="AL16" i="41"/>
  <c r="AN299" i="41"/>
  <c r="AM299" i="41"/>
  <c r="AF299" i="41"/>
  <c r="AG299" i="41"/>
  <c r="AK16" i="41"/>
  <c r="AJ16" i="41"/>
  <c r="B20" i="30"/>
  <c r="B112" i="30"/>
  <c r="B237" i="30"/>
  <c r="K66" i="30" s="1"/>
  <c r="B122" i="30"/>
  <c r="B271" i="30"/>
  <c r="B77" i="30"/>
  <c r="K58" i="30" s="1"/>
  <c r="AF501" i="41"/>
  <c r="AG501" i="41"/>
  <c r="AJ218" i="41"/>
  <c r="AN501" i="41"/>
  <c r="AL218" i="41"/>
  <c r="AK218" i="41"/>
  <c r="AM501" i="41"/>
  <c r="AM561" i="41"/>
  <c r="AK278" i="41"/>
  <c r="AJ278" i="41"/>
  <c r="AF561" i="41"/>
  <c r="AL278" i="41"/>
  <c r="AG561" i="41"/>
  <c r="AN561" i="41"/>
  <c r="B114" i="30"/>
  <c r="K51" i="30" s="1"/>
  <c r="B40" i="30"/>
  <c r="B41" i="30" s="1"/>
  <c r="B180" i="30"/>
  <c r="B36" i="30"/>
  <c r="B103" i="30"/>
  <c r="K42" i="30" s="1"/>
  <c r="B186" i="30"/>
  <c r="AK116" i="41"/>
  <c r="AJ399" i="41" s="1"/>
  <c r="AJ400" i="41" s="1"/>
  <c r="AH399" i="41"/>
  <c r="AH400" i="41" s="1"/>
  <c r="AF399" i="41"/>
  <c r="AG399" i="41"/>
  <c r="AM399" i="41"/>
  <c r="AL116" i="41"/>
  <c r="AK399" i="41" s="1"/>
  <c r="AK400" i="41" s="1"/>
  <c r="AL399" i="41"/>
  <c r="AL400" i="41" s="1"/>
  <c r="AJ116" i="41"/>
  <c r="AI399" i="41" s="1"/>
  <c r="AI400" i="41" s="1"/>
  <c r="AN399" i="41"/>
  <c r="AK39" i="41"/>
  <c r="AJ322" i="41" s="1"/>
  <c r="AL39" i="41"/>
  <c r="AK322" i="41" s="1"/>
  <c r="AN322" i="41"/>
  <c r="AL322" i="41"/>
  <c r="AG322" i="41"/>
  <c r="AF322" i="41"/>
  <c r="AJ39" i="41"/>
  <c r="AI322" i="41" s="1"/>
  <c r="AM322" i="41"/>
  <c r="AH322" i="41"/>
  <c r="AK157" i="41"/>
  <c r="AJ440" i="41" s="1"/>
  <c r="AG440" i="41"/>
  <c r="AF440" i="41"/>
  <c r="AN440" i="41"/>
  <c r="AM440" i="41"/>
  <c r="AH440" i="41"/>
  <c r="AL157" i="41"/>
  <c r="AK440" i="41" s="1"/>
  <c r="AL440" i="41"/>
  <c r="AJ157" i="41"/>
  <c r="AI440" i="41" s="1"/>
  <c r="B92" i="30"/>
  <c r="B53" i="30"/>
  <c r="K19" i="30" s="1"/>
  <c r="B241" i="30"/>
  <c r="K67" i="30" s="1"/>
  <c r="B33" i="30"/>
  <c r="B253" i="30"/>
  <c r="K71" i="30" s="1"/>
  <c r="B269" i="30"/>
  <c r="B206" i="30"/>
  <c r="AN545" i="41"/>
  <c r="AJ262" i="41"/>
  <c r="AL262" i="41"/>
  <c r="AM545" i="41"/>
  <c r="AG545" i="41"/>
  <c r="AF545" i="41"/>
  <c r="AK262" i="41"/>
  <c r="AL338" i="41"/>
  <c r="AG338" i="41"/>
  <c r="AF338" i="41"/>
  <c r="AM338" i="41"/>
  <c r="AL55" i="41"/>
  <c r="AK338" i="41" s="1"/>
  <c r="AH338" i="41"/>
  <c r="AJ55" i="41"/>
  <c r="AI338" i="41" s="1"/>
  <c r="AN338" i="41"/>
  <c r="AK55" i="41"/>
  <c r="AJ338" i="41" s="1"/>
  <c r="AG434" i="41"/>
  <c r="AL434" i="41"/>
  <c r="AL435" i="41" s="1"/>
  <c r="AF434" i="41"/>
  <c r="B147" i="30"/>
  <c r="B148" i="30" s="1"/>
  <c r="AK151" i="41"/>
  <c r="AJ434" i="41" s="1"/>
  <c r="AJ151" i="41"/>
  <c r="AI434" i="41" s="1"/>
  <c r="AM434" i="41"/>
  <c r="AH434" i="41"/>
  <c r="AH435" i="41" s="1"/>
  <c r="AL151" i="41"/>
  <c r="AK434" i="41" s="1"/>
  <c r="AN434" i="41"/>
  <c r="AJ231" i="41"/>
  <c r="AI514" i="41" s="1"/>
  <c r="AK231" i="41"/>
  <c r="AJ514" i="41" s="1"/>
  <c r="AH514" i="41"/>
  <c r="AL514" i="41"/>
  <c r="AG514" i="41"/>
  <c r="AM514" i="41"/>
  <c r="AF514" i="41"/>
  <c r="AN514" i="41"/>
  <c r="AL231" i="41"/>
  <c r="AK514" i="41" s="1"/>
  <c r="AM329" i="41"/>
  <c r="AG329" i="41"/>
  <c r="AF329" i="41"/>
  <c r="AJ46" i="41"/>
  <c r="AI329" i="41" s="1"/>
  <c r="AI330" i="41" s="1"/>
  <c r="AI331" i="41" s="1"/>
  <c r="AI332" i="41" s="1"/>
  <c r="AI333" i="41" s="1"/>
  <c r="AN329" i="41"/>
  <c r="AL46" i="41"/>
  <c r="AK329" i="41" s="1"/>
  <c r="AK330" i="41" s="1"/>
  <c r="AK331" i="41" s="1"/>
  <c r="AK332" i="41" s="1"/>
  <c r="AK333" i="41" s="1"/>
  <c r="AK46" i="41"/>
  <c r="AJ329" i="41" s="1"/>
  <c r="AJ330" i="41" s="1"/>
  <c r="AJ331" i="41" s="1"/>
  <c r="AJ332" i="41" s="1"/>
  <c r="AJ333" i="41" s="1"/>
  <c r="AL329" i="41"/>
  <c r="AL330" i="41" s="1"/>
  <c r="AL331" i="41" s="1"/>
  <c r="AL332" i="41" s="1"/>
  <c r="AL333" i="41" s="1"/>
  <c r="AH329" i="41"/>
  <c r="AH330" i="41" s="1"/>
  <c r="AH331" i="41" s="1"/>
  <c r="AH332" i="41" s="1"/>
  <c r="AH333" i="41" s="1"/>
  <c r="AL307" i="41"/>
  <c r="AL308" i="41" s="1"/>
  <c r="AH307" i="41"/>
  <c r="AH308" i="41" s="1"/>
  <c r="AM307" i="41"/>
  <c r="AK24" i="41"/>
  <c r="AJ307" i="41" s="1"/>
  <c r="AJ308" i="41" s="1"/>
  <c r="AN307" i="41"/>
  <c r="AG307" i="41"/>
  <c r="AJ24" i="41"/>
  <c r="AI307" i="41" s="1"/>
  <c r="AI308" i="41" s="1"/>
  <c r="AF307" i="41"/>
  <c r="AL24" i="41"/>
  <c r="AK307" i="41" s="1"/>
  <c r="AK308" i="41" s="1"/>
  <c r="AJ40" i="41"/>
  <c r="AI323" i="41" s="1"/>
  <c r="AI324" i="41" s="1"/>
  <c r="AI325" i="41" s="1"/>
  <c r="AI326" i="41" s="1"/>
  <c r="AN323" i="41"/>
  <c r="AK40" i="41"/>
  <c r="AJ323" i="41" s="1"/>
  <c r="AJ324" i="41" s="1"/>
  <c r="AJ325" i="41" s="1"/>
  <c r="AJ326" i="41" s="1"/>
  <c r="AH323" i="41"/>
  <c r="AH324" i="41" s="1"/>
  <c r="AH325" i="41" s="1"/>
  <c r="AH326" i="41" s="1"/>
  <c r="AL323" i="41"/>
  <c r="AL324" i="41" s="1"/>
  <c r="AL325" i="41" s="1"/>
  <c r="AL326" i="41" s="1"/>
  <c r="AG323" i="41"/>
  <c r="AL40" i="41"/>
  <c r="AK323" i="41" s="1"/>
  <c r="AK324" i="41" s="1"/>
  <c r="AK325" i="41" s="1"/>
  <c r="AK326" i="41" s="1"/>
  <c r="AF323" i="41"/>
  <c r="AM323" i="41"/>
  <c r="AN403" i="41"/>
  <c r="AK120" i="41"/>
  <c r="AJ403" i="41" s="1"/>
  <c r="AJ404" i="41" s="1"/>
  <c r="AJ405" i="41" s="1"/>
  <c r="AJ406" i="41" s="1"/>
  <c r="AJ407" i="41" s="1"/>
  <c r="AM403" i="41"/>
  <c r="AH403" i="41"/>
  <c r="AH404" i="41" s="1"/>
  <c r="AH405" i="41" s="1"/>
  <c r="AH406" i="41" s="1"/>
  <c r="AH407" i="41" s="1"/>
  <c r="AJ120" i="41"/>
  <c r="AI403" i="41" s="1"/>
  <c r="AI404" i="41" s="1"/>
  <c r="AI405" i="41" s="1"/>
  <c r="AI406" i="41" s="1"/>
  <c r="AI407" i="41" s="1"/>
  <c r="AL403" i="41"/>
  <c r="AL404" i="41" s="1"/>
  <c r="AL405" i="41" s="1"/>
  <c r="AL406" i="41" s="1"/>
  <c r="AL407" i="41" s="1"/>
  <c r="AF403" i="41"/>
  <c r="AL120" i="41"/>
  <c r="AK403" i="41" s="1"/>
  <c r="AK404" i="41" s="1"/>
  <c r="AK405" i="41" s="1"/>
  <c r="AK406" i="41" s="1"/>
  <c r="AK407" i="41" s="1"/>
  <c r="AG403" i="41"/>
  <c r="AL547" i="41"/>
  <c r="AL548" i="41" s="1"/>
  <c r="AL549" i="41" s="1"/>
  <c r="AL550" i="41" s="1"/>
  <c r="AJ264" i="41"/>
  <c r="AI547" i="41" s="1"/>
  <c r="AI548" i="41" s="1"/>
  <c r="AI549" i="41" s="1"/>
  <c r="AI550" i="41" s="1"/>
  <c r="AK264" i="41"/>
  <c r="AJ547" i="41" s="1"/>
  <c r="AJ548" i="41" s="1"/>
  <c r="AJ549" i="41" s="1"/>
  <c r="AJ550" i="41" s="1"/>
  <c r="AL264" i="41"/>
  <c r="AK547" i="41" s="1"/>
  <c r="AK548" i="41" s="1"/>
  <c r="AK549" i="41" s="1"/>
  <c r="AK550" i="41" s="1"/>
  <c r="AF547" i="41"/>
  <c r="AG547" i="41"/>
  <c r="AH547" i="41"/>
  <c r="AH548" i="41" s="1"/>
  <c r="AH549" i="41" s="1"/>
  <c r="AH550" i="41" s="1"/>
  <c r="AN547" i="41"/>
  <c r="B260" i="30"/>
  <c r="B261" i="30" s="1"/>
  <c r="B262" i="30" s="1"/>
  <c r="AM547" i="41"/>
  <c r="AN548" i="41"/>
  <c r="AL265" i="41"/>
  <c r="AJ265" i="41"/>
  <c r="AM548" i="41"/>
  <c r="AF548" i="41"/>
  <c r="AG548" i="41"/>
  <c r="AK265" i="41"/>
  <c r="AL340" i="41"/>
  <c r="AL341" i="41" s="1"/>
  <c r="AM340" i="41"/>
  <c r="AF340" i="41"/>
  <c r="AH340" i="41"/>
  <c r="AH341" i="41" s="1"/>
  <c r="AN340" i="41"/>
  <c r="AJ57" i="41"/>
  <c r="AI340" i="41" s="1"/>
  <c r="AI341" i="41" s="1"/>
  <c r="AK57" i="41"/>
  <c r="AJ340" i="41" s="1"/>
  <c r="AJ341" i="41" s="1"/>
  <c r="AL57" i="41"/>
  <c r="AK340" i="41" s="1"/>
  <c r="AK341" i="41" s="1"/>
  <c r="AG340" i="41"/>
  <c r="AG379" i="41"/>
  <c r="AN379" i="41"/>
  <c r="AJ96" i="41"/>
  <c r="AI379" i="41" s="1"/>
  <c r="AL379" i="41"/>
  <c r="AM379" i="41"/>
  <c r="AK96" i="41"/>
  <c r="AJ379" i="41" s="1"/>
  <c r="AL96" i="41"/>
  <c r="AK379" i="41" s="1"/>
  <c r="AH379" i="41"/>
  <c r="AF379" i="41"/>
  <c r="AH454" i="41"/>
  <c r="AK171" i="41"/>
  <c r="AJ454" i="41" s="1"/>
  <c r="AF454" i="41"/>
  <c r="AL454" i="41"/>
  <c r="AL455" i="41" s="1"/>
  <c r="AL171" i="41"/>
  <c r="AK454" i="41" s="1"/>
  <c r="AM454" i="41"/>
  <c r="AJ171" i="41"/>
  <c r="AI454" i="41" s="1"/>
  <c r="AN454" i="41"/>
  <c r="AG454" i="41"/>
  <c r="AJ15" i="41"/>
  <c r="AN298" i="41"/>
  <c r="AK15" i="41"/>
  <c r="AM298" i="41"/>
  <c r="AG298" i="41"/>
  <c r="AL15" i="41"/>
  <c r="AF298" i="41"/>
  <c r="AG520" i="41"/>
  <c r="AN520" i="41"/>
  <c r="AK237" i="41"/>
  <c r="AJ237" i="41"/>
  <c r="AM520" i="41"/>
  <c r="AF520" i="41"/>
  <c r="AL237" i="41"/>
  <c r="AJ167" i="41"/>
  <c r="AI450" i="41" s="1"/>
  <c r="AH450" i="41"/>
  <c r="AN450" i="41"/>
  <c r="AM450" i="41"/>
  <c r="AG450" i="41"/>
  <c r="AL167" i="41"/>
  <c r="AK450" i="41" s="1"/>
  <c r="AF450" i="41"/>
  <c r="AL450" i="41"/>
  <c r="AK167" i="41"/>
  <c r="AJ450" i="41" s="1"/>
  <c r="B259" i="30"/>
  <c r="K74" i="30" s="1"/>
  <c r="B91" i="30"/>
  <c r="B72" i="30"/>
  <c r="B185" i="30"/>
  <c r="K77" i="30" s="1"/>
  <c r="B63" i="30"/>
  <c r="K20" i="30" s="1"/>
  <c r="B25" i="30"/>
  <c r="K117" i="30" s="1"/>
  <c r="AH291" i="41"/>
  <c r="AM291" i="41"/>
  <c r="AG291" i="41"/>
  <c r="AF291" i="41"/>
  <c r="AL291" i="41"/>
  <c r="AL8" i="41"/>
  <c r="AK291" i="41" s="1"/>
  <c r="AJ8" i="41"/>
  <c r="AI291" i="41" s="1"/>
  <c r="AK8" i="41"/>
  <c r="AJ291" i="41" s="1"/>
  <c r="AN291" i="41"/>
  <c r="B179" i="30"/>
  <c r="K61" i="30" s="1"/>
  <c r="B88" i="30"/>
  <c r="B56" i="30"/>
  <c r="AJ73" i="41"/>
  <c r="AM356" i="41"/>
  <c r="AL73" i="41"/>
  <c r="AF356" i="41"/>
  <c r="AK73" i="41"/>
  <c r="AN356" i="41"/>
  <c r="AG356" i="41"/>
  <c r="B244" i="30"/>
  <c r="B8" i="30"/>
  <c r="AL182" i="41"/>
  <c r="AG465" i="41"/>
  <c r="AM465" i="41"/>
  <c r="AK182" i="41"/>
  <c r="AJ182" i="41"/>
  <c r="AN465" i="41"/>
  <c r="AF465" i="41"/>
  <c r="B86" i="30"/>
  <c r="AL216" i="41"/>
  <c r="AK499" i="41" s="1"/>
  <c r="AJ216" i="41"/>
  <c r="AI499" i="41" s="1"/>
  <c r="AM499" i="41"/>
  <c r="AK216" i="41"/>
  <c r="AJ499" i="41" s="1"/>
  <c r="AN499" i="41"/>
  <c r="AG499" i="41"/>
  <c r="AL499" i="41"/>
  <c r="AH499" i="41"/>
  <c r="AF499" i="41"/>
  <c r="B212" i="30"/>
  <c r="B85" i="30"/>
  <c r="AH551" i="41"/>
  <c r="AH552" i="41" s="1"/>
  <c r="AL551" i="41"/>
  <c r="AL552" i="41" s="1"/>
  <c r="AK268" i="41"/>
  <c r="AJ551" i="41" s="1"/>
  <c r="AJ552" i="41" s="1"/>
  <c r="AL268" i="41"/>
  <c r="AK551" i="41" s="1"/>
  <c r="AK552" i="41" s="1"/>
  <c r="AN551" i="41"/>
  <c r="AM551" i="41"/>
  <c r="AG551" i="41"/>
  <c r="AF551" i="41"/>
  <c r="AJ268" i="41"/>
  <c r="AI551" i="41" s="1"/>
  <c r="AI552" i="41" s="1"/>
  <c r="AM357" i="41"/>
  <c r="AG357" i="41"/>
  <c r="AK74" i="41"/>
  <c r="AJ357" i="41" s="1"/>
  <c r="AF357" i="41"/>
  <c r="AH357" i="41"/>
  <c r="AJ74" i="41"/>
  <c r="AI357" i="41" s="1"/>
  <c r="AL74" i="41"/>
  <c r="AK357" i="41" s="1"/>
  <c r="AL357" i="41"/>
  <c r="AN357" i="41"/>
  <c r="B256" i="30"/>
  <c r="B229" i="30"/>
  <c r="AG516" i="41"/>
  <c r="AJ233" i="41"/>
  <c r="AI516" i="41" s="1"/>
  <c r="AL233" i="41"/>
  <c r="AK516" i="41" s="1"/>
  <c r="AK233" i="41"/>
  <c r="AJ516" i="41" s="1"/>
  <c r="AN516" i="41"/>
  <c r="AF516" i="41"/>
  <c r="AH516" i="41"/>
  <c r="AM516" i="41"/>
  <c r="AL516" i="41"/>
  <c r="AL562" i="41"/>
  <c r="AL563" i="41" s="1"/>
  <c r="AJ11" i="41"/>
  <c r="AI294" i="41" s="1"/>
  <c r="AL11" i="41"/>
  <c r="AK294" i="41" s="1"/>
  <c r="AL294" i="41"/>
  <c r="AM294" i="41"/>
  <c r="AG294" i="41"/>
  <c r="AF294" i="41"/>
  <c r="AK11" i="41"/>
  <c r="AJ294" i="41" s="1"/>
  <c r="AH294" i="41"/>
  <c r="AN294" i="41"/>
  <c r="AF405" i="41"/>
  <c r="AN405" i="41"/>
  <c r="AJ122" i="41"/>
  <c r="AG405" i="41"/>
  <c r="AM405" i="41"/>
  <c r="AK122" i="41"/>
  <c r="AL122" i="41"/>
  <c r="AH378" i="41"/>
  <c r="AG378" i="41"/>
  <c r="AL378" i="41"/>
  <c r="AJ95" i="41"/>
  <c r="AI378" i="41" s="1"/>
  <c r="AM378" i="41"/>
  <c r="AL95" i="41"/>
  <c r="AK378" i="41" s="1"/>
  <c r="AK95" i="41"/>
  <c r="AJ378" i="41" s="1"/>
  <c r="AF378" i="41"/>
  <c r="AN378" i="41"/>
  <c r="AF489" i="41"/>
  <c r="AJ206" i="41"/>
  <c r="AN489" i="41"/>
  <c r="AM489" i="41"/>
  <c r="AL206" i="41"/>
  <c r="AG489" i="41"/>
  <c r="AK206" i="41"/>
  <c r="AM521" i="41"/>
  <c r="AG521" i="41"/>
  <c r="AK238" i="41"/>
  <c r="AJ521" i="41" s="1"/>
  <c r="AJ522" i="41" s="1"/>
  <c r="AL238" i="41"/>
  <c r="AK521" i="41" s="1"/>
  <c r="AK522" i="41" s="1"/>
  <c r="B234" i="30"/>
  <c r="B235" i="30" s="1"/>
  <c r="AL521" i="41"/>
  <c r="AF521" i="41"/>
  <c r="AH521" i="41"/>
  <c r="AH522" i="41" s="1"/>
  <c r="AJ238" i="41"/>
  <c r="AI521" i="41" s="1"/>
  <c r="AI522" i="41" s="1"/>
  <c r="AN521" i="41"/>
  <c r="AM427" i="41"/>
  <c r="AK144" i="41"/>
  <c r="AJ144" i="41"/>
  <c r="AG427" i="41"/>
  <c r="AF427" i="41"/>
  <c r="AL144" i="41"/>
  <c r="AN427" i="41"/>
  <c r="AJ208" i="41"/>
  <c r="AG491" i="41"/>
  <c r="AN491" i="41"/>
  <c r="AL208" i="41"/>
  <c r="AM491" i="41"/>
  <c r="AF491" i="41"/>
  <c r="AK208" i="41"/>
  <c r="B183" i="30"/>
  <c r="AH470" i="41"/>
  <c r="AK187" i="41"/>
  <c r="AJ470" i="41" s="1"/>
  <c r="AN470" i="41"/>
  <c r="AJ187" i="41"/>
  <c r="AI470" i="41" s="1"/>
  <c r="AG470" i="41"/>
  <c r="AF470" i="41"/>
  <c r="AL187" i="41"/>
  <c r="AK470" i="41" s="1"/>
  <c r="AM470" i="41"/>
  <c r="AL470" i="41"/>
  <c r="AM391" i="41"/>
  <c r="B104" i="30"/>
  <c r="B105" i="30" s="1"/>
  <c r="B106" i="30" s="1"/>
  <c r="AK108" i="41"/>
  <c r="AJ391" i="41" s="1"/>
  <c r="AJ392" i="41" s="1"/>
  <c r="AJ393" i="41" s="1"/>
  <c r="AJ108" i="41"/>
  <c r="AI391" i="41" s="1"/>
  <c r="AI392" i="41" s="1"/>
  <c r="AI393" i="41" s="1"/>
  <c r="AL108" i="41"/>
  <c r="AK391" i="41" s="1"/>
  <c r="AK392" i="41" s="1"/>
  <c r="AK393" i="41" s="1"/>
  <c r="AF391" i="41"/>
  <c r="AH391" i="41"/>
  <c r="AH392" i="41" s="1"/>
  <c r="AH393" i="41" s="1"/>
  <c r="AL391" i="41"/>
  <c r="AL392" i="41" s="1"/>
  <c r="AL393" i="41" s="1"/>
  <c r="AG391" i="41"/>
  <c r="AN391" i="41"/>
  <c r="AN503" i="41"/>
  <c r="AK220" i="41"/>
  <c r="AJ220" i="41"/>
  <c r="AF503" i="41"/>
  <c r="AL220" i="41"/>
  <c r="AM503" i="41"/>
  <c r="AG503" i="41"/>
  <c r="AF563" i="41"/>
  <c r="AM563" i="41"/>
  <c r="AK280" i="41"/>
  <c r="AJ280" i="41"/>
  <c r="AL280" i="41"/>
  <c r="AG563" i="41"/>
  <c r="AN563" i="41"/>
  <c r="AL30" i="41"/>
  <c r="AG313" i="41"/>
  <c r="AN313" i="41"/>
  <c r="AF313" i="41"/>
  <c r="AJ30" i="41"/>
  <c r="AK30" i="41"/>
  <c r="AM313" i="41"/>
  <c r="AF419" i="41"/>
  <c r="AN419" i="41"/>
  <c r="AL136" i="41"/>
  <c r="AK419" i="41" s="1"/>
  <c r="AK420" i="41" s="1"/>
  <c r="AK421" i="41" s="1"/>
  <c r="AG419" i="41"/>
  <c r="AJ136" i="41"/>
  <c r="AI419" i="41" s="1"/>
  <c r="AI420" i="41" s="1"/>
  <c r="AI421" i="41" s="1"/>
  <c r="AM419" i="41"/>
  <c r="AL419" i="41"/>
  <c r="AL420" i="41" s="1"/>
  <c r="AL421" i="41" s="1"/>
  <c r="AK136" i="41"/>
  <c r="AJ419" i="41" s="1"/>
  <c r="AJ420" i="41" s="1"/>
  <c r="AJ421" i="41" s="1"/>
  <c r="B132" i="30"/>
  <c r="B133" i="30" s="1"/>
  <c r="B134" i="30" s="1"/>
  <c r="AH419" i="41"/>
  <c r="AH420" i="41" s="1"/>
  <c r="AH421" i="41" s="1"/>
  <c r="AL339" i="41"/>
  <c r="AH339" i="41"/>
  <c r="AG339" i="41"/>
  <c r="AL56" i="41"/>
  <c r="AK339" i="41" s="1"/>
  <c r="AM339" i="41"/>
  <c r="AK56" i="41"/>
  <c r="AJ339" i="41" s="1"/>
  <c r="AF339" i="41"/>
  <c r="AN339" i="41"/>
  <c r="AJ56" i="41"/>
  <c r="AI339" i="41" s="1"/>
  <c r="AK217" i="41"/>
  <c r="AJ500" i="41" s="1"/>
  <c r="AJ501" i="41" s="1"/>
  <c r="AF500" i="41"/>
  <c r="AH500" i="41"/>
  <c r="AH501" i="41" s="1"/>
  <c r="AJ217" i="41"/>
  <c r="AI500" i="41" s="1"/>
  <c r="AI501" i="41" s="1"/>
  <c r="AN500" i="41"/>
  <c r="AL500" i="41"/>
  <c r="AL501" i="41" s="1"/>
  <c r="AL217" i="41"/>
  <c r="AK500" i="41" s="1"/>
  <c r="AK501" i="41" s="1"/>
  <c r="AM500" i="41"/>
  <c r="AG500" i="41"/>
  <c r="B213" i="30"/>
  <c r="B214" i="30" s="1"/>
  <c r="AJ71" i="41"/>
  <c r="AG354" i="41"/>
  <c r="AL71" i="41"/>
  <c r="AN354" i="41"/>
  <c r="AM354" i="41"/>
  <c r="AK71" i="41"/>
  <c r="AF354" i="41"/>
  <c r="AL267" i="41"/>
  <c r="AM550" i="41"/>
  <c r="AF550" i="41"/>
  <c r="AG550" i="41"/>
  <c r="AK267" i="41"/>
  <c r="AN550" i="41"/>
  <c r="AJ267" i="41"/>
  <c r="B93" i="30"/>
  <c r="B94" i="30" s="1"/>
  <c r="K49" i="30" s="1"/>
  <c r="AL507" i="41"/>
  <c r="AF507" i="41"/>
  <c r="AH507" i="41"/>
  <c r="AJ224" i="41"/>
  <c r="AI507" i="41" s="1"/>
  <c r="AL224" i="41"/>
  <c r="AK507" i="41" s="1"/>
  <c r="AM507" i="41"/>
  <c r="AG507" i="41"/>
  <c r="AN507" i="41"/>
  <c r="AK224" i="41"/>
  <c r="AJ507" i="41" s="1"/>
  <c r="B220" i="30"/>
  <c r="AM488" i="41"/>
  <c r="AJ205" i="41"/>
  <c r="AG488" i="41"/>
  <c r="AF488" i="41"/>
  <c r="AL205" i="41"/>
  <c r="AK205" i="41"/>
  <c r="AN488" i="41"/>
  <c r="B70" i="30"/>
  <c r="AN372" i="41"/>
  <c r="AG372" i="41"/>
  <c r="AM372" i="41"/>
  <c r="AK89" i="41"/>
  <c r="AJ372" i="41" s="1"/>
  <c r="AJ89" i="41"/>
  <c r="AI372" i="41" s="1"/>
  <c r="AH372" i="41"/>
  <c r="AL372" i="41"/>
  <c r="AF372" i="41"/>
  <c r="AL89" i="41"/>
  <c r="AK372" i="41" s="1"/>
  <c r="AL105" i="41"/>
  <c r="AK388" i="41" s="1"/>
  <c r="AF388" i="41"/>
  <c r="AM388" i="41"/>
  <c r="AL388" i="41"/>
  <c r="AG388" i="41"/>
  <c r="AN388" i="41"/>
  <c r="AK105" i="41"/>
  <c r="AJ388" i="41" s="1"/>
  <c r="AH388" i="41"/>
  <c r="AJ105" i="41"/>
  <c r="AI388" i="41" s="1"/>
  <c r="AK121" i="41"/>
  <c r="AN404" i="41"/>
  <c r="AF404" i="41"/>
  <c r="AM404" i="41"/>
  <c r="AL121" i="41"/>
  <c r="AG404" i="41"/>
  <c r="AJ121" i="41"/>
  <c r="AF420" i="41"/>
  <c r="AJ137" i="41"/>
  <c r="AN420" i="41"/>
  <c r="AL137" i="41"/>
  <c r="AM420" i="41"/>
  <c r="AG420" i="41"/>
  <c r="AK137" i="41"/>
  <c r="AL169" i="41"/>
  <c r="AK452" i="41" s="1"/>
  <c r="AM452" i="41"/>
  <c r="AG452" i="41"/>
  <c r="AJ169" i="41"/>
  <c r="AI452" i="41" s="1"/>
  <c r="AF452" i="41"/>
  <c r="AH452" i="41"/>
  <c r="B165" i="30"/>
  <c r="AL452" i="41"/>
  <c r="AN452" i="41"/>
  <c r="AK169" i="41"/>
  <c r="AJ452" i="41" s="1"/>
  <c r="AL201" i="41"/>
  <c r="AJ201" i="41"/>
  <c r="AK201" i="41"/>
  <c r="AN484" i="41"/>
  <c r="AM484" i="41"/>
  <c r="AF484" i="41"/>
  <c r="AG484" i="41"/>
  <c r="AN532" i="41"/>
  <c r="AK249" i="41"/>
  <c r="AJ532" i="41" s="1"/>
  <c r="AJ533" i="41" s="1"/>
  <c r="AJ534" i="41" s="1"/>
  <c r="AL532" i="41"/>
  <c r="AL533" i="41" s="1"/>
  <c r="AL534" i="41" s="1"/>
  <c r="AM532" i="41"/>
  <c r="AJ249" i="41"/>
  <c r="AI532" i="41" s="1"/>
  <c r="AI533" i="41" s="1"/>
  <c r="AI534" i="41" s="1"/>
  <c r="AL249" i="41"/>
  <c r="AK532" i="41" s="1"/>
  <c r="AK533" i="41" s="1"/>
  <c r="AK534" i="41" s="1"/>
  <c r="AH532" i="41"/>
  <c r="AH533" i="41" s="1"/>
  <c r="AH534" i="41" s="1"/>
  <c r="AG532" i="41"/>
  <c r="AF532" i="41"/>
  <c r="AG293" i="41"/>
  <c r="AL10" i="41"/>
  <c r="AK293" i="41" s="1"/>
  <c r="AN293" i="41"/>
  <c r="AJ10" i="41"/>
  <c r="AI293" i="41" s="1"/>
  <c r="AH293" i="41"/>
  <c r="AL293" i="41"/>
  <c r="AF293" i="41"/>
  <c r="AM293" i="41"/>
  <c r="AK10" i="41"/>
  <c r="AJ293" i="41" s="1"/>
  <c r="AL26" i="41"/>
  <c r="AK309" i="41" s="1"/>
  <c r="AK310" i="41" s="1"/>
  <c r="AK311" i="41" s="1"/>
  <c r="AL309" i="41"/>
  <c r="AL310" i="41" s="1"/>
  <c r="AL311" i="41" s="1"/>
  <c r="AN309" i="41"/>
  <c r="AJ26" i="41"/>
  <c r="AI309" i="41" s="1"/>
  <c r="AI310" i="41" s="1"/>
  <c r="AI311" i="41" s="1"/>
  <c r="AM309" i="41"/>
  <c r="AG309" i="41"/>
  <c r="AH309" i="41"/>
  <c r="AH310" i="41" s="1"/>
  <c r="AH311" i="41" s="1"/>
  <c r="AK26" i="41"/>
  <c r="AJ309" i="41" s="1"/>
  <c r="AJ310" i="41" s="1"/>
  <c r="AJ311" i="41" s="1"/>
  <c r="AF309" i="41"/>
  <c r="AF325" i="41"/>
  <c r="AL42" i="41"/>
  <c r="AN325" i="41"/>
  <c r="AJ42" i="41"/>
  <c r="AK42" i="41"/>
  <c r="AM325" i="41"/>
  <c r="AG325" i="41"/>
  <c r="AF406" i="41"/>
  <c r="AK123" i="41"/>
  <c r="AL123" i="41"/>
  <c r="AJ123" i="41"/>
  <c r="AG406" i="41"/>
  <c r="AM406" i="41"/>
  <c r="AN406" i="41"/>
  <c r="AN437" i="41"/>
  <c r="AJ154" i="41"/>
  <c r="AI437" i="41" s="1"/>
  <c r="AF437" i="41"/>
  <c r="AL437" i="41"/>
  <c r="AL438" i="41" s="1"/>
  <c r="AL439" i="41" s="1"/>
  <c r="AL154" i="41"/>
  <c r="AK437" i="41" s="1"/>
  <c r="AM437" i="41"/>
  <c r="AH437" i="41"/>
  <c r="AH438" i="41" s="1"/>
  <c r="AH439" i="41" s="1"/>
  <c r="AK154" i="41"/>
  <c r="AJ437" i="41" s="1"/>
  <c r="B150" i="30"/>
  <c r="B151" i="30" s="1"/>
  <c r="B152" i="30" s="1"/>
  <c r="AG437" i="41"/>
  <c r="AL453" i="41"/>
  <c r="AM453" i="41"/>
  <c r="AF453" i="41"/>
  <c r="AN453" i="41"/>
  <c r="AL170" i="41"/>
  <c r="AK453" i="41" s="1"/>
  <c r="AK170" i="41"/>
  <c r="AJ453" i="41" s="1"/>
  <c r="AH453" i="41"/>
  <c r="AG453" i="41"/>
  <c r="AJ170" i="41"/>
  <c r="AI453" i="41" s="1"/>
  <c r="AJ186" i="41"/>
  <c r="AI469" i="41" s="1"/>
  <c r="AN469" i="41"/>
  <c r="AH469" i="41"/>
  <c r="AL469" i="41"/>
  <c r="AG469" i="41"/>
  <c r="AL186" i="41"/>
  <c r="AK469" i="41" s="1"/>
  <c r="B182" i="30"/>
  <c r="AM469" i="41"/>
  <c r="AF469" i="41"/>
  <c r="AK186" i="41"/>
  <c r="AJ469" i="41" s="1"/>
  <c r="AN485" i="41"/>
  <c r="AG485" i="41"/>
  <c r="AL202" i="41"/>
  <c r="AK485" i="41" s="1"/>
  <c r="AK486" i="41" s="1"/>
  <c r="AM485" i="41"/>
  <c r="AL485" i="41"/>
  <c r="AL486" i="41" s="1"/>
  <c r="AF485" i="41"/>
  <c r="AJ202" i="41"/>
  <c r="AI485" i="41" s="1"/>
  <c r="AI486" i="41" s="1"/>
  <c r="B198" i="30"/>
  <c r="B199" i="30" s="1"/>
  <c r="AH485" i="41"/>
  <c r="AH486" i="41" s="1"/>
  <c r="AK202" i="41"/>
  <c r="AJ485" i="41" s="1"/>
  <c r="AJ486" i="41" s="1"/>
  <c r="B230" i="30"/>
  <c r="AM517" i="41"/>
  <c r="AG517" i="41"/>
  <c r="AK234" i="41"/>
  <c r="AJ517" i="41" s="1"/>
  <c r="AH517" i="41"/>
  <c r="AF517" i="41"/>
  <c r="AL234" i="41"/>
  <c r="AK517" i="41" s="1"/>
  <c r="AJ234" i="41"/>
  <c r="AI517" i="41" s="1"/>
  <c r="AL517" i="41"/>
  <c r="AN517" i="41"/>
  <c r="AJ62" i="41"/>
  <c r="AK62" i="41"/>
  <c r="AF345" i="41"/>
  <c r="AG345" i="41"/>
  <c r="AL62" i="41"/>
  <c r="AN345" i="41"/>
  <c r="AM345" i="41"/>
  <c r="AL409" i="41"/>
  <c r="AH409" i="41"/>
  <c r="AJ126" i="41"/>
  <c r="AI409" i="41" s="1"/>
  <c r="AM409" i="41"/>
  <c r="AF409" i="41"/>
  <c r="AN409" i="41"/>
  <c r="AK126" i="41"/>
  <c r="AJ409" i="41" s="1"/>
  <c r="AG409" i="41"/>
  <c r="AL126" i="41"/>
  <c r="AK409" i="41" s="1"/>
  <c r="AF457" i="41"/>
  <c r="AL174" i="41"/>
  <c r="AM457" i="41"/>
  <c r="AN457" i="41"/>
  <c r="AG457" i="41"/>
  <c r="AJ174" i="41"/>
  <c r="AK174" i="41"/>
  <c r="AG565" i="41"/>
  <c r="AM565" i="41"/>
  <c r="AL282" i="41"/>
  <c r="AN565" i="41"/>
  <c r="AJ282" i="41"/>
  <c r="AK282" i="41"/>
  <c r="AF565" i="41"/>
  <c r="AL63" i="41"/>
  <c r="AK346" i="41" s="1"/>
  <c r="AK347" i="41" s="1"/>
  <c r="AF346" i="41"/>
  <c r="AH346" i="41"/>
  <c r="AH347" i="41" s="1"/>
  <c r="AL346" i="41"/>
  <c r="AL347" i="41" s="1"/>
  <c r="AK63" i="41"/>
  <c r="AJ346" i="41" s="1"/>
  <c r="AJ347" i="41" s="1"/>
  <c r="AN346" i="41"/>
  <c r="AJ63" i="41"/>
  <c r="AI346" i="41" s="1"/>
  <c r="AI347" i="41" s="1"/>
  <c r="AM346" i="41"/>
  <c r="AG346" i="41"/>
  <c r="AL426" i="41"/>
  <c r="AL427" i="41" s="1"/>
  <c r="AF426" i="41"/>
  <c r="AK143" i="41"/>
  <c r="AJ426" i="41" s="1"/>
  <c r="AJ427" i="41" s="1"/>
  <c r="AH426" i="41"/>
  <c r="AH427" i="41" s="1"/>
  <c r="AL143" i="41"/>
  <c r="AK426" i="41" s="1"/>
  <c r="AK427" i="41" s="1"/>
  <c r="AJ143" i="41"/>
  <c r="AI426" i="41" s="1"/>
  <c r="AI427" i="41" s="1"/>
  <c r="AM426" i="41"/>
  <c r="AN426" i="41"/>
  <c r="B139" i="30"/>
  <c r="B140" i="30" s="1"/>
  <c r="AG426" i="41"/>
  <c r="B171" i="30"/>
  <c r="B172" i="30" s="1"/>
  <c r="AL458" i="41"/>
  <c r="AL459" i="41" s="1"/>
  <c r="AH458" i="41"/>
  <c r="AG458" i="41"/>
  <c r="AL175" i="41"/>
  <c r="AK458" i="41" s="1"/>
  <c r="AJ175" i="41"/>
  <c r="AI458" i="41" s="1"/>
  <c r="AF458" i="41"/>
  <c r="AM458" i="41"/>
  <c r="AK175" i="41"/>
  <c r="AJ458" i="41" s="1"/>
  <c r="AN458" i="41"/>
  <c r="AL255" i="41"/>
  <c r="AK538" i="41" s="1"/>
  <c r="AL538" i="41"/>
  <c r="AK255" i="41"/>
  <c r="AJ538" i="41" s="1"/>
  <c r="AN538" i="41"/>
  <c r="AM538" i="41"/>
  <c r="AH538" i="41"/>
  <c r="AF538" i="41"/>
  <c r="AG538" i="41"/>
  <c r="B251" i="30"/>
  <c r="AJ255" i="41"/>
  <c r="AI538" i="41" s="1"/>
  <c r="AL128" i="41"/>
  <c r="AJ128" i="41"/>
  <c r="AG411" i="41"/>
  <c r="AN411" i="41"/>
  <c r="AF411" i="41"/>
  <c r="AM411" i="41"/>
  <c r="AK128" i="41"/>
  <c r="AF443" i="41"/>
  <c r="AL443" i="41"/>
  <c r="AN443" i="41"/>
  <c r="AJ160" i="41"/>
  <c r="AI443" i="41" s="1"/>
  <c r="AL160" i="41"/>
  <c r="AK443" i="41" s="1"/>
  <c r="B156" i="30"/>
  <c r="AG443" i="41"/>
  <c r="AK160" i="41"/>
  <c r="AJ443" i="41" s="1"/>
  <c r="AH443" i="41"/>
  <c r="AM443" i="41"/>
  <c r="AM326" i="41"/>
  <c r="AL43" i="41"/>
  <c r="AG326" i="41"/>
  <c r="AK43" i="41"/>
  <c r="AF326" i="41"/>
  <c r="AJ43" i="41"/>
  <c r="AN326" i="41"/>
  <c r="AJ59" i="41"/>
  <c r="AI342" i="41" s="1"/>
  <c r="AH342" i="41"/>
  <c r="AL59" i="41"/>
  <c r="AK342" i="41" s="1"/>
  <c r="AN342" i="41"/>
  <c r="AL342" i="41"/>
  <c r="AG342" i="41"/>
  <c r="AF342" i="41"/>
  <c r="AK59" i="41"/>
  <c r="AJ342" i="41" s="1"/>
  <c r="AM342" i="41"/>
  <c r="AJ91" i="41"/>
  <c r="AI374" i="41" s="1"/>
  <c r="AH374" i="41"/>
  <c r="AN374" i="41"/>
  <c r="AF374" i="41"/>
  <c r="AL91" i="41"/>
  <c r="AK374" i="41" s="1"/>
  <c r="AL374" i="41"/>
  <c r="AK91" i="41"/>
  <c r="AJ374" i="41" s="1"/>
  <c r="AM374" i="41"/>
  <c r="AG374" i="41"/>
  <c r="AK139" i="41"/>
  <c r="AJ422" i="41" s="1"/>
  <c r="AJ423" i="41" s="1"/>
  <c r="AL139" i="41"/>
  <c r="AK422" i="41" s="1"/>
  <c r="AK423" i="41" s="1"/>
  <c r="AH422" i="41"/>
  <c r="AH423" i="41" s="1"/>
  <c r="AN422" i="41"/>
  <c r="AM422" i="41"/>
  <c r="AL422" i="41"/>
  <c r="AL423" i="41" s="1"/>
  <c r="AJ139" i="41"/>
  <c r="AI422" i="41" s="1"/>
  <c r="AI423" i="41" s="1"/>
  <c r="AG422" i="41"/>
  <c r="AF422" i="41"/>
  <c r="AL155" i="41"/>
  <c r="AG438" i="41"/>
  <c r="AJ155" i="41"/>
  <c r="AF438" i="41"/>
  <c r="AK155" i="41"/>
  <c r="AM438" i="41"/>
  <c r="AN438" i="41"/>
  <c r="AL553" i="41"/>
  <c r="AL554" i="41" s="1"/>
  <c r="AL555" i="41" s="1"/>
  <c r="AF553" i="41"/>
  <c r="AJ270" i="41"/>
  <c r="AI553" i="41" s="1"/>
  <c r="AI554" i="41" s="1"/>
  <c r="AI555" i="41" s="1"/>
  <c r="AG553" i="41"/>
  <c r="AN553" i="41"/>
  <c r="AH553" i="41"/>
  <c r="AH554" i="41" s="1"/>
  <c r="AH555" i="41" s="1"/>
  <c r="AK270" i="41"/>
  <c r="AJ553" i="41" s="1"/>
  <c r="AJ554" i="41" s="1"/>
  <c r="AJ555" i="41" s="1"/>
  <c r="AM553" i="41"/>
  <c r="AL270" i="41"/>
  <c r="AK553" i="41" s="1"/>
  <c r="AK554" i="41" s="1"/>
  <c r="AK555" i="41" s="1"/>
  <c r="AK279" i="41"/>
  <c r="AJ562" i="41" s="1"/>
  <c r="AJ563" i="41" s="1"/>
  <c r="AG562" i="41"/>
  <c r="AJ279" i="41"/>
  <c r="AL279" i="41"/>
  <c r="AM562" i="41"/>
  <c r="AF562" i="41"/>
  <c r="AN562" i="41"/>
  <c r="AH562" i="41"/>
  <c r="AH563" i="41" s="1"/>
  <c r="AH564" i="41" s="1"/>
  <c r="AH565" i="41" s="1"/>
  <c r="AL327" i="41"/>
  <c r="AL328" i="41" s="1"/>
  <c r="AH327" i="41"/>
  <c r="AH328" i="41" s="1"/>
  <c r="AM327" i="41"/>
  <c r="AK44" i="41"/>
  <c r="AJ327" i="41" s="1"/>
  <c r="AJ328" i="41" s="1"/>
  <c r="AF327" i="41"/>
  <c r="AJ44" i="41"/>
  <c r="AI327" i="41" s="1"/>
  <c r="AI328" i="41" s="1"/>
  <c r="AN327" i="41"/>
  <c r="AL44" i="41"/>
  <c r="AK327" i="41" s="1"/>
  <c r="AK328" i="41" s="1"/>
  <c r="AG327" i="41"/>
  <c r="AG359" i="41"/>
  <c r="AF359" i="41"/>
  <c r="AL359" i="41"/>
  <c r="AH359" i="41"/>
  <c r="AM359" i="41"/>
  <c r="AK76" i="41"/>
  <c r="AJ359" i="41" s="1"/>
  <c r="AJ76" i="41"/>
  <c r="AI359" i="41" s="1"/>
  <c r="AN359" i="41"/>
  <c r="AL76" i="41"/>
  <c r="AK359" i="41" s="1"/>
  <c r="AG375" i="41"/>
  <c r="AL375" i="41"/>
  <c r="AF375" i="41"/>
  <c r="AN375" i="41"/>
  <c r="AJ92" i="41"/>
  <c r="AI375" i="41" s="1"/>
  <c r="AH375" i="41"/>
  <c r="AM375" i="41"/>
  <c r="AL92" i="41"/>
  <c r="AK375" i="41" s="1"/>
  <c r="AK92" i="41"/>
  <c r="AJ375" i="41" s="1"/>
  <c r="AL519" i="41"/>
  <c r="AL520" i="41" s="1"/>
  <c r="AG519" i="41"/>
  <c r="AF519" i="41"/>
  <c r="AJ236" i="41"/>
  <c r="AI519" i="41" s="1"/>
  <c r="AI520" i="41" s="1"/>
  <c r="AH519" i="41"/>
  <c r="AH520" i="41" s="1"/>
  <c r="AL236" i="41"/>
  <c r="AK519" i="41" s="1"/>
  <c r="AK520" i="41" s="1"/>
  <c r="AK236" i="41"/>
  <c r="AJ519" i="41" s="1"/>
  <c r="AJ520" i="41" s="1"/>
  <c r="AN519" i="41"/>
  <c r="AM519" i="41"/>
  <c r="AN537" i="41"/>
  <c r="AL254" i="41"/>
  <c r="AJ254" i="41"/>
  <c r="AF537" i="41"/>
  <c r="AG537" i="41"/>
  <c r="AK254" i="41"/>
  <c r="AM537" i="41"/>
  <c r="AL29" i="41"/>
  <c r="AK312" i="41" s="1"/>
  <c r="AK313" i="41" s="1"/>
  <c r="AN312" i="41"/>
  <c r="AK29" i="41"/>
  <c r="AJ312" i="41" s="1"/>
  <c r="AJ313" i="41" s="1"/>
  <c r="AH312" i="41"/>
  <c r="AH313" i="41" s="1"/>
  <c r="AG312" i="41"/>
  <c r="AJ29" i="41"/>
  <c r="AI312" i="41" s="1"/>
  <c r="AI313" i="41" s="1"/>
  <c r="AL312" i="41"/>
  <c r="AL313" i="41" s="1"/>
  <c r="AF312" i="41"/>
  <c r="AM312" i="41"/>
  <c r="AH376" i="41"/>
  <c r="AH377" i="41" s="1"/>
  <c r="AN376" i="41"/>
  <c r="AM376" i="41"/>
  <c r="AF376" i="41"/>
  <c r="AJ93" i="41"/>
  <c r="AI376" i="41" s="1"/>
  <c r="AI377" i="41" s="1"/>
  <c r="AL376" i="41"/>
  <c r="AL377" i="41" s="1"/>
  <c r="AG376" i="41"/>
  <c r="AK93" i="41"/>
  <c r="AJ376" i="41" s="1"/>
  <c r="AJ377" i="41" s="1"/>
  <c r="AL93" i="41"/>
  <c r="AK376" i="41" s="1"/>
  <c r="AK377" i="41" s="1"/>
  <c r="AG392" i="41"/>
  <c r="AF392" i="41"/>
  <c r="AL109" i="41"/>
  <c r="AM392" i="41"/>
  <c r="AK109" i="41"/>
  <c r="AN392" i="41"/>
  <c r="AJ109" i="41"/>
  <c r="AK221" i="41"/>
  <c r="AF504" i="41"/>
  <c r="AM504" i="41"/>
  <c r="AG504" i="41"/>
  <c r="AN504" i="41"/>
  <c r="AJ221" i="41"/>
  <c r="AL221" i="41"/>
  <c r="AJ281" i="41"/>
  <c r="AL281" i="41"/>
  <c r="AK281" i="41"/>
  <c r="AN564" i="41"/>
  <c r="AG564" i="41"/>
  <c r="AF564" i="41"/>
  <c r="AM564" i="41"/>
  <c r="AJ78" i="41"/>
  <c r="AI361" i="41" s="1"/>
  <c r="AH361" i="41"/>
  <c r="AN361" i="41"/>
  <c r="AF361" i="41"/>
  <c r="AL78" i="41"/>
  <c r="AK361" i="41" s="1"/>
  <c r="AK78" i="41"/>
  <c r="AJ361" i="41" s="1"/>
  <c r="AG361" i="41"/>
  <c r="AM361" i="41"/>
  <c r="AL361" i="41"/>
  <c r="AH441" i="41"/>
  <c r="AH442" i="41" s="1"/>
  <c r="AG441" i="41"/>
  <c r="AM441" i="41"/>
  <c r="AL441" i="41"/>
  <c r="AL442" i="41" s="1"/>
  <c r="AJ158" i="41"/>
  <c r="AI441" i="41" s="1"/>
  <c r="AN441" i="41"/>
  <c r="AF441" i="41"/>
  <c r="AL158" i="41"/>
  <c r="AK441" i="41" s="1"/>
  <c r="AK158" i="41"/>
  <c r="AJ441" i="41" s="1"/>
  <c r="AM396" i="41"/>
  <c r="AN396" i="41"/>
  <c r="AK113" i="41"/>
  <c r="AJ113" i="41"/>
  <c r="AL113" i="41"/>
  <c r="AG396" i="41"/>
  <c r="AF396" i="41"/>
  <c r="AL300" i="41"/>
  <c r="AG300" i="41"/>
  <c r="AF300" i="41"/>
  <c r="AL17" i="41"/>
  <c r="AK300" i="41" s="1"/>
  <c r="AM300" i="41"/>
  <c r="AK17" i="41"/>
  <c r="AJ300" i="41" s="1"/>
  <c r="AN300" i="41"/>
  <c r="AH300" i="41"/>
  <c r="AJ17" i="41"/>
  <c r="AI300" i="41" s="1"/>
  <c r="B22" i="30"/>
  <c r="B23" i="30" s="1"/>
  <c r="B24" i="30" s="1"/>
  <c r="AF498" i="41"/>
  <c r="AG498" i="41"/>
  <c r="AJ215" i="41"/>
  <c r="AN498" i="41"/>
  <c r="AK215" i="41"/>
  <c r="AM498" i="41"/>
  <c r="AL215" i="41"/>
  <c r="AF308" i="41"/>
  <c r="AK25" i="41"/>
  <c r="AL25" i="41"/>
  <c r="AM308" i="41"/>
  <c r="AJ25" i="41"/>
  <c r="AN308" i="41"/>
  <c r="AG308" i="41"/>
  <c r="B200" i="30"/>
  <c r="AG566" i="41"/>
  <c r="AM566" i="41"/>
  <c r="AJ283" i="41"/>
  <c r="AN566" i="41"/>
  <c r="AL283" i="41"/>
  <c r="AF566" i="41"/>
  <c r="AK283" i="41"/>
  <c r="B5" i="30"/>
  <c r="AM370" i="41"/>
  <c r="AL87" i="41"/>
  <c r="AJ87" i="41"/>
  <c r="AG370" i="41"/>
  <c r="AK87" i="41"/>
  <c r="AN370" i="41"/>
  <c r="AF370" i="41"/>
  <c r="B144" i="30"/>
  <c r="AN486" i="41"/>
  <c r="AL203" i="41"/>
  <c r="AK203" i="41"/>
  <c r="AJ203" i="41"/>
  <c r="AF486" i="41"/>
  <c r="AM486" i="41"/>
  <c r="AG486" i="41"/>
  <c r="B149" i="30"/>
  <c r="K25" i="30" s="1"/>
  <c r="AF490" i="41"/>
  <c r="AL207" i="41"/>
  <c r="AN490" i="41"/>
  <c r="AK207" i="41"/>
  <c r="AG490" i="41"/>
  <c r="AM490" i="41"/>
  <c r="AJ207" i="41"/>
  <c r="AF421" i="41"/>
  <c r="AG421" i="41"/>
  <c r="AJ138" i="41"/>
  <c r="AK138" i="41"/>
  <c r="AL138" i="41"/>
  <c r="AM421" i="41"/>
  <c r="AN421" i="41"/>
  <c r="B231" i="30"/>
  <c r="AM328" i="41"/>
  <c r="AG328" i="41"/>
  <c r="AF328" i="41"/>
  <c r="AK45" i="41"/>
  <c r="AN328" i="41"/>
  <c r="AL45" i="41"/>
  <c r="AJ45" i="41"/>
  <c r="B101" i="30"/>
  <c r="K41" i="30" s="1"/>
  <c r="AG296" i="41"/>
  <c r="AL296" i="41"/>
  <c r="AL297" i="41" s="1"/>
  <c r="AL298" i="41" s="1"/>
  <c r="AL299" i="41" s="1"/>
  <c r="AL13" i="41"/>
  <c r="AK296" i="41" s="1"/>
  <c r="AK297" i="41" s="1"/>
  <c r="AK298" i="41" s="1"/>
  <c r="AK299" i="41" s="1"/>
  <c r="AN296" i="41"/>
  <c r="AJ13" i="41"/>
  <c r="AI296" i="41" s="1"/>
  <c r="AI297" i="41" s="1"/>
  <c r="AI298" i="41" s="1"/>
  <c r="AI299" i="41" s="1"/>
  <c r="AF296" i="41"/>
  <c r="AH296" i="41"/>
  <c r="AH297" i="41" s="1"/>
  <c r="AH298" i="41" s="1"/>
  <c r="AH299" i="41" s="1"/>
  <c r="AM296" i="41"/>
  <c r="AK13" i="41"/>
  <c r="AJ296" i="41" s="1"/>
  <c r="AJ297" i="41" s="1"/>
  <c r="AJ298" i="41" s="1"/>
  <c r="AJ299" i="41" s="1"/>
  <c r="B255" i="30"/>
  <c r="K80" i="30" s="1"/>
  <c r="AM423" i="41"/>
  <c r="AL140" i="41"/>
  <c r="AJ140" i="41"/>
  <c r="AG423" i="41"/>
  <c r="AF423" i="41"/>
  <c r="AN423" i="41"/>
  <c r="AK140" i="41"/>
  <c r="AL79" i="41"/>
  <c r="AK362" i="41" s="1"/>
  <c r="AM362" i="41"/>
  <c r="AN362" i="41"/>
  <c r="AH362" i="41"/>
  <c r="AG362" i="41"/>
  <c r="AL362" i="41"/>
  <c r="AF362" i="41"/>
  <c r="AK79" i="41"/>
  <c r="AJ362" i="41" s="1"/>
  <c r="AJ79" i="41"/>
  <c r="AI362" i="41" s="1"/>
  <c r="AK127" i="41"/>
  <c r="AJ410" i="41" s="1"/>
  <c r="AJ411" i="41" s="1"/>
  <c r="AH410" i="41"/>
  <c r="AH411" i="41" s="1"/>
  <c r="AJ127" i="41"/>
  <c r="AI410" i="41" s="1"/>
  <c r="AI411" i="41" s="1"/>
  <c r="AL127" i="41"/>
  <c r="AK410" i="41" s="1"/>
  <c r="AK411" i="41" s="1"/>
  <c r="AF410" i="41"/>
  <c r="AM410" i="41"/>
  <c r="AG410" i="41"/>
  <c r="AN410" i="41"/>
  <c r="AL410" i="41"/>
  <c r="AL411" i="41" s="1"/>
  <c r="AM442" i="41"/>
  <c r="AK159" i="41"/>
  <c r="AG442" i="41"/>
  <c r="AF442" i="41"/>
  <c r="AL159" i="41"/>
  <c r="AJ159" i="41"/>
  <c r="AN442" i="41"/>
  <c r="AG554" i="41"/>
  <c r="AK271" i="41"/>
  <c r="AF554" i="41"/>
  <c r="AM554" i="41"/>
  <c r="AJ271" i="41"/>
  <c r="AL271" i="41"/>
  <c r="AN554" i="41"/>
  <c r="AM397" i="41"/>
  <c r="AK114" i="41"/>
  <c r="AG397" i="41"/>
  <c r="AF397" i="41"/>
  <c r="AL114" i="41"/>
  <c r="AJ114" i="41"/>
  <c r="AN397" i="41"/>
  <c r="AL162" i="41"/>
  <c r="AK162" i="41"/>
  <c r="AN445" i="41"/>
  <c r="AF445" i="41"/>
  <c r="AG445" i="41"/>
  <c r="AM445" i="41"/>
  <c r="AJ162" i="41"/>
  <c r="AL65" i="41"/>
  <c r="AK348" i="41" s="1"/>
  <c r="AK349" i="41" s="1"/>
  <c r="AN348" i="41"/>
  <c r="AG348" i="41"/>
  <c r="AF348" i="41"/>
  <c r="AL348" i="41"/>
  <c r="AL349" i="41" s="1"/>
  <c r="AK65" i="41"/>
  <c r="AJ348" i="41" s="1"/>
  <c r="AJ349" i="41" s="1"/>
  <c r="AJ65" i="41"/>
  <c r="AI348" i="41" s="1"/>
  <c r="AI349" i="41" s="1"/>
  <c r="AH348" i="41"/>
  <c r="AH349" i="41" s="1"/>
  <c r="AM348" i="41"/>
  <c r="AM446" i="41"/>
  <c r="AK163" i="41"/>
  <c r="AJ446" i="41" s="1"/>
  <c r="AH446" i="41"/>
  <c r="AL163" i="41"/>
  <c r="AK446" i="41" s="1"/>
  <c r="AN446" i="41"/>
  <c r="AL446" i="41"/>
  <c r="AJ163" i="41"/>
  <c r="AI446" i="41" s="1"/>
  <c r="AF446" i="41"/>
  <c r="AG446" i="41"/>
  <c r="AL460" i="41"/>
  <c r="AM460" i="41"/>
  <c r="AN460" i="41"/>
  <c r="AL177" i="41"/>
  <c r="AK460" i="41" s="1"/>
  <c r="AG460" i="41"/>
  <c r="AF460" i="41"/>
  <c r="AK177" i="41"/>
  <c r="AJ460" i="41" s="1"/>
  <c r="AH460" i="41"/>
  <c r="AJ177" i="41"/>
  <c r="AI460" i="41" s="1"/>
  <c r="B129" i="30"/>
  <c r="K56" i="30" s="1"/>
  <c r="B181" i="30"/>
  <c r="K60" i="30" s="1"/>
  <c r="B29" i="30"/>
  <c r="K13" i="30" s="1"/>
  <c r="AM506" i="41"/>
  <c r="AL223" i="41"/>
  <c r="AK506" i="41" s="1"/>
  <c r="AF506" i="41"/>
  <c r="AG506" i="41"/>
  <c r="AN506" i="41"/>
  <c r="AL506" i="41"/>
  <c r="AH506" i="41"/>
  <c r="AJ223" i="41"/>
  <c r="AI506" i="41" s="1"/>
  <c r="AK223" i="41"/>
  <c r="AJ506" i="41" s="1"/>
  <c r="B9" i="30"/>
  <c r="K47" i="30" s="1"/>
  <c r="AF425" i="41"/>
  <c r="AG425" i="41"/>
  <c r="AN425" i="41"/>
  <c r="AH425" i="41"/>
  <c r="AK142" i="41"/>
  <c r="AJ425" i="41" s="1"/>
  <c r="AL142" i="41"/>
  <c r="AK425" i="41" s="1"/>
  <c r="AM425" i="41"/>
  <c r="AL425" i="41"/>
  <c r="AJ142" i="41"/>
  <c r="AI425" i="41" s="1"/>
  <c r="B18" i="30"/>
  <c r="K21" i="30" s="1"/>
  <c r="AJ152" i="41"/>
  <c r="AI435" i="41" s="1"/>
  <c r="AM435" i="41"/>
  <c r="AG435" i="41"/>
  <c r="AF435" i="41"/>
  <c r="AK152" i="41"/>
  <c r="AN435" i="41"/>
  <c r="AL152" i="41"/>
  <c r="AK166" i="41"/>
  <c r="AJ449" i="41" s="1"/>
  <c r="AH449" i="41"/>
  <c r="AN449" i="41"/>
  <c r="AJ166" i="41"/>
  <c r="AI449" i="41" s="1"/>
  <c r="AG449" i="41"/>
  <c r="AL449" i="41"/>
  <c r="AF449" i="41"/>
  <c r="AM449" i="41"/>
  <c r="AL166" i="41"/>
  <c r="AK449" i="41" s="1"/>
  <c r="B47" i="30"/>
  <c r="B48" i="30"/>
  <c r="K46" i="30" s="1"/>
  <c r="AG468" i="41"/>
  <c r="AK185" i="41"/>
  <c r="AJ468" i="41" s="1"/>
  <c r="AN468" i="41"/>
  <c r="AJ185" i="41"/>
  <c r="AI468" i="41" s="1"/>
  <c r="AL468" i="41"/>
  <c r="AF468" i="41"/>
  <c r="AL185" i="41"/>
  <c r="AK468" i="41" s="1"/>
  <c r="AM468" i="41"/>
  <c r="AH468" i="41"/>
  <c r="B128" i="30"/>
  <c r="B68" i="30"/>
  <c r="B219" i="30"/>
  <c r="K64" i="30" s="1"/>
  <c r="AL269" i="41"/>
  <c r="AN552" i="41"/>
  <c r="AK269" i="41"/>
  <c r="AF552" i="41"/>
  <c r="AM552" i="41"/>
  <c r="AG552" i="41"/>
  <c r="AJ269" i="41"/>
  <c r="B153" i="30"/>
  <c r="B102" i="30"/>
  <c r="AL184" i="41"/>
  <c r="AK467" i="41" s="1"/>
  <c r="AJ184" i="41"/>
  <c r="AI467" i="41" s="1"/>
  <c r="AH467" i="41"/>
  <c r="AN467" i="41"/>
  <c r="AL467" i="41"/>
  <c r="AG467" i="41"/>
  <c r="AM467" i="41"/>
  <c r="AK184" i="41"/>
  <c r="AJ467" i="41" s="1"/>
  <c r="AF467" i="41"/>
  <c r="B167" i="30"/>
  <c r="K59" i="30" s="1"/>
  <c r="AH466" i="41"/>
  <c r="AK183" i="41"/>
  <c r="AJ466" i="41" s="1"/>
  <c r="AL183" i="41"/>
  <c r="AK466" i="41" s="1"/>
  <c r="AG466" i="41"/>
  <c r="AL466" i="41"/>
  <c r="AF466" i="41"/>
  <c r="AM466" i="41"/>
  <c r="AN466" i="41"/>
  <c r="AJ183" i="41"/>
  <c r="AI466" i="41" s="1"/>
  <c r="B138" i="30"/>
  <c r="K22" i="30" s="1"/>
  <c r="AJ156" i="41"/>
  <c r="AM439" i="41"/>
  <c r="AL156" i="41"/>
  <c r="AK156" i="41"/>
  <c r="AG439" i="41"/>
  <c r="AF439" i="41"/>
  <c r="AN439" i="41"/>
  <c r="AJ9" i="41"/>
  <c r="AI292" i="41" s="1"/>
  <c r="AN292" i="41"/>
  <c r="AH292" i="41"/>
  <c r="AL292" i="41"/>
  <c r="AG292" i="41"/>
  <c r="AL9" i="41"/>
  <c r="AK292" i="41" s="1"/>
  <c r="AM292" i="41"/>
  <c r="AF292" i="41"/>
  <c r="AK9" i="41"/>
  <c r="AJ292" i="41" s="1"/>
  <c r="B166" i="30"/>
  <c r="AM473" i="41"/>
  <c r="AH473" i="41"/>
  <c r="AJ190" i="41"/>
  <c r="AI473" i="41" s="1"/>
  <c r="AL473" i="41"/>
  <c r="AL190" i="41"/>
  <c r="AK473" i="41" s="1"/>
  <c r="AK190" i="41"/>
  <c r="AJ473" i="41" s="1"/>
  <c r="AN473" i="41"/>
  <c r="AF473" i="41"/>
  <c r="AG473" i="41"/>
  <c r="AL518" i="41"/>
  <c r="AK235" i="41"/>
  <c r="AJ518" i="41" s="1"/>
  <c r="AF518" i="41"/>
  <c r="AM518" i="41"/>
  <c r="AH518" i="41"/>
  <c r="AJ235" i="41"/>
  <c r="AI518" i="41" s="1"/>
  <c r="AN518" i="41"/>
  <c r="AG518" i="41"/>
  <c r="AL235" i="41"/>
  <c r="AK518" i="41" s="1"/>
  <c r="B75" i="30"/>
  <c r="B51" i="30"/>
  <c r="B162" i="30"/>
  <c r="AF407" i="41"/>
  <c r="AJ124" i="41"/>
  <c r="AN407" i="41"/>
  <c r="AG407" i="41"/>
  <c r="AL124" i="41"/>
  <c r="AK124" i="41"/>
  <c r="AM407" i="41"/>
  <c r="AL28" i="41"/>
  <c r="AG311" i="41"/>
  <c r="AM311" i="41"/>
  <c r="AF311" i="41"/>
  <c r="AJ28" i="41"/>
  <c r="AK28" i="41"/>
  <c r="AN311" i="41"/>
  <c r="B176" i="30"/>
  <c r="AM495" i="41"/>
  <c r="AK212" i="41"/>
  <c r="AN495" i="41"/>
  <c r="AG495" i="41"/>
  <c r="AF495" i="41"/>
  <c r="AJ212" i="41"/>
  <c r="AL212" i="41"/>
  <c r="AG302" i="41"/>
  <c r="AM302" i="41"/>
  <c r="AK19" i="41"/>
  <c r="AN302" i="41"/>
  <c r="AJ19" i="41"/>
  <c r="AL19" i="41"/>
  <c r="AF302" i="41"/>
  <c r="AN447" i="41"/>
  <c r="AK164" i="41"/>
  <c r="AJ447" i="41" s="1"/>
  <c r="AH447" i="41"/>
  <c r="AH448" i="41" s="1"/>
  <c r="AL447" i="41"/>
  <c r="AL448" i="41" s="1"/>
  <c r="AG447" i="41"/>
  <c r="B160" i="30"/>
  <c r="B161" i="30" s="1"/>
  <c r="AJ164" i="41"/>
  <c r="AI447" i="41" s="1"/>
  <c r="AM447" i="41"/>
  <c r="AL164" i="41"/>
  <c r="AK447" i="41" s="1"/>
  <c r="AF447" i="41"/>
  <c r="AL34" i="41"/>
  <c r="AF317" i="41"/>
  <c r="AN317" i="41"/>
  <c r="AJ34" i="41"/>
  <c r="AG317" i="41"/>
  <c r="AM317" i="41"/>
  <c r="AK34" i="41"/>
  <c r="AN417" i="41"/>
  <c r="AF417" i="41"/>
  <c r="AK134" i="41"/>
  <c r="AG417" i="41"/>
  <c r="AJ134" i="41"/>
  <c r="AL134" i="41"/>
  <c r="AM417" i="41"/>
  <c r="AJ38" i="41"/>
  <c r="AI321" i="41" s="1"/>
  <c r="AG321" i="41"/>
  <c r="AM321" i="41"/>
  <c r="AF321" i="41"/>
  <c r="AL38" i="41"/>
  <c r="AK321" i="41" s="1"/>
  <c r="AK38" i="41"/>
  <c r="AJ321" i="41" s="1"/>
  <c r="AN321" i="41"/>
  <c r="AH321" i="41"/>
  <c r="AL321" i="41"/>
  <c r="AK246" i="41"/>
  <c r="AJ529" i="41" s="1"/>
  <c r="AJ530" i="41" s="1"/>
  <c r="AG529" i="41"/>
  <c r="AF529" i="41"/>
  <c r="AJ246" i="41"/>
  <c r="AI529" i="41" s="1"/>
  <c r="AI530" i="41" s="1"/>
  <c r="AM529" i="41"/>
  <c r="AN529" i="41"/>
  <c r="AL246" i="41"/>
  <c r="AK529" i="41" s="1"/>
  <c r="AK530" i="41" s="1"/>
  <c r="AH529" i="41"/>
  <c r="AH530" i="41" s="1"/>
  <c r="AL529" i="41"/>
  <c r="AL530" i="41" s="1"/>
  <c r="AN337" i="41"/>
  <c r="AJ54" i="41"/>
  <c r="AI337" i="41" s="1"/>
  <c r="AM337" i="41"/>
  <c r="AL54" i="41"/>
  <c r="AK337" i="41" s="1"/>
  <c r="AF337" i="41"/>
  <c r="AK54" i="41"/>
  <c r="AJ337" i="41" s="1"/>
  <c r="AG337" i="41"/>
  <c r="AH337" i="41"/>
  <c r="B50" i="30"/>
  <c r="AL337" i="41"/>
  <c r="AL493" i="41"/>
  <c r="AF493" i="41"/>
  <c r="AG493" i="41"/>
  <c r="AL210" i="41"/>
  <c r="AK493" i="41" s="1"/>
  <c r="AM493" i="41"/>
  <c r="AK210" i="41"/>
  <c r="AJ493" i="41" s="1"/>
  <c r="AH493" i="41"/>
  <c r="AJ210" i="41"/>
  <c r="AI493" i="41" s="1"/>
  <c r="AN493" i="41"/>
  <c r="AL250" i="41"/>
  <c r="AN533" i="41"/>
  <c r="AJ250" i="41"/>
  <c r="AG533" i="41"/>
  <c r="AM533" i="41"/>
  <c r="AF533" i="41"/>
  <c r="AK250" i="41"/>
  <c r="B116" i="30"/>
  <c r="B52" i="30"/>
  <c r="B6" i="30"/>
  <c r="B42" i="30"/>
  <c r="B187" i="30"/>
  <c r="K87" i="30" s="1"/>
  <c r="B189" i="30"/>
  <c r="K63" i="30" s="1"/>
  <c r="AM363" i="41"/>
  <c r="AL80" i="41"/>
  <c r="AK363" i="41" s="1"/>
  <c r="AG363" i="41"/>
  <c r="AL363" i="41"/>
  <c r="AJ80" i="41"/>
  <c r="AI363" i="41" s="1"/>
  <c r="AK80" i="41"/>
  <c r="AJ363" i="41" s="1"/>
  <c r="AF363" i="41"/>
  <c r="AH363" i="41"/>
  <c r="AN363" i="41"/>
  <c r="AM393" i="41"/>
  <c r="AK110" i="41"/>
  <c r="AJ110" i="41"/>
  <c r="AL110" i="41"/>
  <c r="AN393" i="41"/>
  <c r="AG393" i="41"/>
  <c r="AF393" i="41"/>
  <c r="B184" i="30"/>
  <c r="AK130" i="41"/>
  <c r="AL130" i="41"/>
  <c r="AF413" i="41"/>
  <c r="AM413" i="41"/>
  <c r="AG413" i="41"/>
  <c r="AN413" i="41"/>
  <c r="AJ130" i="41"/>
  <c r="AG513" i="41"/>
  <c r="AM513" i="41"/>
  <c r="AK230" i="41"/>
  <c r="AJ230" i="41"/>
  <c r="AL230" i="41"/>
  <c r="AN513" i="41"/>
  <c r="AF513" i="41"/>
  <c r="AN336" i="41"/>
  <c r="AM336" i="41"/>
  <c r="AF336" i="41"/>
  <c r="AK53" i="41"/>
  <c r="AL53" i="41"/>
  <c r="AG336" i="41"/>
  <c r="AJ53" i="41"/>
  <c r="B79" i="30"/>
  <c r="B100" i="30"/>
  <c r="AH344" i="41"/>
  <c r="AH345" i="41" s="1"/>
  <c r="AJ61" i="41"/>
  <c r="AI344" i="41" s="1"/>
  <c r="AI345" i="41" s="1"/>
  <c r="AN344" i="41"/>
  <c r="AL61" i="41"/>
  <c r="AK344" i="41" s="1"/>
  <c r="AK345" i="41" s="1"/>
  <c r="AK61" i="41"/>
  <c r="AJ344" i="41" s="1"/>
  <c r="AJ345" i="41" s="1"/>
  <c r="AF344" i="41"/>
  <c r="AL344" i="41"/>
  <c r="AL345" i="41" s="1"/>
  <c r="AM344" i="41"/>
  <c r="AG344" i="41"/>
  <c r="AL394" i="41"/>
  <c r="AL395" i="41" s="1"/>
  <c r="AL396" i="41" s="1"/>
  <c r="AL397" i="41" s="1"/>
  <c r="AM394" i="41"/>
  <c r="AK111" i="41"/>
  <c r="AJ394" i="41" s="1"/>
  <c r="AJ395" i="41" s="1"/>
  <c r="AJ396" i="41" s="1"/>
  <c r="AJ397" i="41" s="1"/>
  <c r="AH394" i="41"/>
  <c r="AH395" i="41" s="1"/>
  <c r="AH396" i="41" s="1"/>
  <c r="AH397" i="41" s="1"/>
  <c r="AG394" i="41"/>
  <c r="AL111" i="41"/>
  <c r="AK394" i="41" s="1"/>
  <c r="AK395" i="41" s="1"/>
  <c r="AK396" i="41" s="1"/>
  <c r="AK397" i="41" s="1"/>
  <c r="AN394" i="41"/>
  <c r="AJ111" i="41"/>
  <c r="AI394" i="41" s="1"/>
  <c r="AI395" i="41" s="1"/>
  <c r="AI396" i="41" s="1"/>
  <c r="AI397" i="41" s="1"/>
  <c r="AF394" i="41"/>
  <c r="B17" i="30"/>
  <c r="B272" i="30"/>
  <c r="B27" i="30"/>
  <c r="AJ191" i="41"/>
  <c r="AI474" i="41" s="1"/>
  <c r="AI475" i="41" s="1"/>
  <c r="AL474" i="41"/>
  <c r="AL475" i="41" s="1"/>
  <c r="AF474" i="41"/>
  <c r="AH474" i="41"/>
  <c r="AH475" i="41" s="1"/>
  <c r="AL191" i="41"/>
  <c r="AK474" i="41" s="1"/>
  <c r="AK475" i="41" s="1"/>
  <c r="AN474" i="41"/>
  <c r="AM474" i="41"/>
  <c r="AG474" i="41"/>
  <c r="AK191" i="41"/>
  <c r="AJ474" i="41" s="1"/>
  <c r="AJ475" i="41" s="1"/>
  <c r="AG385" i="41"/>
  <c r="AL102" i="41"/>
  <c r="AK385" i="41" s="1"/>
  <c r="AH385" i="41"/>
  <c r="AM385" i="41"/>
  <c r="AJ102" i="41"/>
  <c r="AI385" i="41" s="1"/>
  <c r="AK102" i="41"/>
  <c r="AJ385" i="41" s="1"/>
  <c r="AN385" i="41"/>
  <c r="AL385" i="41"/>
  <c r="AF385" i="41"/>
  <c r="AL408" i="41"/>
  <c r="AL125" i="41"/>
  <c r="AK408" i="41" s="1"/>
  <c r="AK125" i="41"/>
  <c r="AJ408" i="41" s="1"/>
  <c r="AJ125" i="41"/>
  <c r="AI408" i="41" s="1"/>
  <c r="AF408" i="41"/>
  <c r="AM408" i="41"/>
  <c r="AG408" i="41"/>
  <c r="AH408" i="41"/>
  <c r="AN408" i="41"/>
  <c r="B215" i="30"/>
  <c r="AJ47" i="41"/>
  <c r="AL47" i="41"/>
  <c r="AK47" i="41"/>
  <c r="AM330" i="41"/>
  <c r="AG330" i="41"/>
  <c r="AN330" i="41"/>
  <c r="AF330" i="41"/>
  <c r="B236" i="30"/>
  <c r="AL424" i="41"/>
  <c r="AK141" i="41"/>
  <c r="AJ424" i="41" s="1"/>
  <c r="AM424" i="41"/>
  <c r="AN424" i="41"/>
  <c r="AL141" i="41"/>
  <c r="AK424" i="41" s="1"/>
  <c r="AJ141" i="41"/>
  <c r="AI424" i="41" s="1"/>
  <c r="AH424" i="41"/>
  <c r="AG424" i="41"/>
  <c r="AF424" i="41"/>
  <c r="B65" i="30"/>
  <c r="B76" i="30"/>
  <c r="AK18" i="41"/>
  <c r="AJ301" i="41" s="1"/>
  <c r="AJ302" i="41" s="1"/>
  <c r="AL18" i="41"/>
  <c r="AK301" i="41" s="1"/>
  <c r="AK302" i="41" s="1"/>
  <c r="AH301" i="41"/>
  <c r="AH302" i="41" s="1"/>
  <c r="AN301" i="41"/>
  <c r="AM301" i="41"/>
  <c r="AL301" i="41"/>
  <c r="AL302" i="41" s="1"/>
  <c r="AG301" i="41"/>
  <c r="AJ18" i="41"/>
  <c r="AI301" i="41" s="1"/>
  <c r="AI302" i="41" s="1"/>
  <c r="AF301" i="41"/>
  <c r="AK115" i="41"/>
  <c r="AJ398" i="41" s="1"/>
  <c r="AJ115" i="41"/>
  <c r="AI398" i="41" s="1"/>
  <c r="AF398" i="41"/>
  <c r="AG398" i="41"/>
  <c r="AL398" i="41"/>
  <c r="AH398" i="41"/>
  <c r="AN398" i="41"/>
  <c r="AM398" i="41"/>
  <c r="AL115" i="41"/>
  <c r="AK398" i="41" s="1"/>
  <c r="AL213" i="41"/>
  <c r="AK213" i="41"/>
  <c r="AN496" i="41"/>
  <c r="AF496" i="41"/>
  <c r="AJ213" i="41"/>
  <c r="AG496" i="41"/>
  <c r="AM496" i="41"/>
  <c r="AN542" i="41"/>
  <c r="AL259" i="41"/>
  <c r="AK542" i="41" s="1"/>
  <c r="AJ259" i="41"/>
  <c r="AI542" i="41" s="1"/>
  <c r="AH542" i="41"/>
  <c r="AG542" i="41"/>
  <c r="AF542" i="41"/>
  <c r="AL542" i="41"/>
  <c r="AM542" i="41"/>
  <c r="AK259" i="41"/>
  <c r="AJ542" i="41" s="1"/>
  <c r="AL350" i="41"/>
  <c r="AL351" i="41" s="1"/>
  <c r="AF350" i="41"/>
  <c r="AH350" i="41"/>
  <c r="AH351" i="41" s="1"/>
  <c r="AM350" i="41"/>
  <c r="AK67" i="41"/>
  <c r="AJ350" i="41" s="1"/>
  <c r="AJ351" i="41" s="1"/>
  <c r="AJ67" i="41"/>
  <c r="AI350" i="41" s="1"/>
  <c r="AI351" i="41" s="1"/>
  <c r="AL67" i="41"/>
  <c r="AK350" i="41" s="1"/>
  <c r="AK351" i="41" s="1"/>
  <c r="AG350" i="41"/>
  <c r="AN350" i="41"/>
  <c r="AM448" i="41"/>
  <c r="AL165" i="41"/>
  <c r="AG448" i="41"/>
  <c r="AF448" i="41"/>
  <c r="AN448" i="41"/>
  <c r="AK165" i="41"/>
  <c r="AJ165" i="41"/>
  <c r="AN560" i="41"/>
  <c r="AK277" i="41"/>
  <c r="AJ277" i="41"/>
  <c r="AL277" i="41"/>
  <c r="AG560" i="41"/>
  <c r="AF560" i="41"/>
  <c r="AM560" i="41"/>
  <c r="AL242" i="41"/>
  <c r="AM525" i="41"/>
  <c r="AK242" i="41"/>
  <c r="AN525" i="41"/>
  <c r="AJ242" i="41"/>
  <c r="AG525" i="41"/>
  <c r="AF525" i="41"/>
  <c r="AJ49" i="41"/>
  <c r="AN332" i="41"/>
  <c r="AK49" i="41"/>
  <c r="AM332" i="41"/>
  <c r="AL49" i="41"/>
  <c r="AF332" i="41"/>
  <c r="AG332" i="41"/>
  <c r="AL51" i="41"/>
  <c r="AK334" i="41" s="1"/>
  <c r="AF334" i="41"/>
  <c r="AH334" i="41"/>
  <c r="AL334" i="41"/>
  <c r="AG334" i="41"/>
  <c r="AJ51" i="41"/>
  <c r="AI334" i="41" s="1"/>
  <c r="AK51" i="41"/>
  <c r="AJ334" i="41" s="1"/>
  <c r="AM334" i="41"/>
  <c r="AN334" i="41"/>
  <c r="AN432" i="41"/>
  <c r="AF432" i="41"/>
  <c r="AH432" i="41"/>
  <c r="AH433" i="41" s="1"/>
  <c r="AG432" i="41"/>
  <c r="AL149" i="41"/>
  <c r="AK432" i="41" s="1"/>
  <c r="AK433" i="41" s="1"/>
  <c r="AJ149" i="41"/>
  <c r="AI432" i="41" s="1"/>
  <c r="AI433" i="41" s="1"/>
  <c r="AM432" i="41"/>
  <c r="AL432" i="41"/>
  <c r="AL433" i="41" s="1"/>
  <c r="AK149" i="41"/>
  <c r="AJ432" i="41" s="1"/>
  <c r="AJ433" i="41" s="1"/>
  <c r="AM304" i="41"/>
  <c r="AL21" i="41"/>
  <c r="AK304" i="41" s="1"/>
  <c r="AF304" i="41"/>
  <c r="AJ21" i="41"/>
  <c r="AI304" i="41" s="1"/>
  <c r="AL304" i="41"/>
  <c r="AG304" i="41"/>
  <c r="AK21" i="41"/>
  <c r="AJ304" i="41" s="1"/>
  <c r="AH304" i="41"/>
  <c r="AN304" i="41"/>
  <c r="AH416" i="41"/>
  <c r="AH417" i="41" s="1"/>
  <c r="AH418" i="41" s="1"/>
  <c r="AJ133" i="41"/>
  <c r="AI416" i="41" s="1"/>
  <c r="AI417" i="41" s="1"/>
  <c r="AI418" i="41" s="1"/>
  <c r="AG416" i="41"/>
  <c r="AF416" i="41"/>
  <c r="AL133" i="41"/>
  <c r="AK416" i="41" s="1"/>
  <c r="AK417" i="41" s="1"/>
  <c r="AK418" i="41" s="1"/>
  <c r="AK133" i="41"/>
  <c r="AJ416" i="41" s="1"/>
  <c r="AJ417" i="41" s="1"/>
  <c r="AJ418" i="41" s="1"/>
  <c r="AM416" i="41"/>
  <c r="AN416" i="41"/>
  <c r="AL416" i="41"/>
  <c r="AL417" i="41" s="1"/>
  <c r="AL418" i="41" s="1"/>
  <c r="AH463" i="41"/>
  <c r="AG463" i="41"/>
  <c r="AN463" i="41"/>
  <c r="AF463" i="41"/>
  <c r="AJ180" i="41"/>
  <c r="AI463" i="41" s="1"/>
  <c r="AL180" i="41"/>
  <c r="AK463" i="41" s="1"/>
  <c r="AM463" i="41"/>
  <c r="AL463" i="41"/>
  <c r="AK180" i="41"/>
  <c r="AJ463" i="41" s="1"/>
  <c r="AJ276" i="41"/>
  <c r="AI559" i="41" s="1"/>
  <c r="AI560" i="41" s="1"/>
  <c r="AI561" i="41" s="1"/>
  <c r="AK276" i="41"/>
  <c r="AJ559" i="41" s="1"/>
  <c r="AJ560" i="41" s="1"/>
  <c r="AJ561" i="41" s="1"/>
  <c r="AH559" i="41"/>
  <c r="AH560" i="41" s="1"/>
  <c r="AH561" i="41" s="1"/>
  <c r="AM559" i="41"/>
  <c r="AN559" i="41"/>
  <c r="AG559" i="41"/>
  <c r="AF559" i="41"/>
  <c r="AL276" i="41"/>
  <c r="AK559" i="41" s="1"/>
  <c r="AK560" i="41" s="1"/>
  <c r="AK561" i="41" s="1"/>
  <c r="AL559" i="41"/>
  <c r="AL560" i="41" s="1"/>
  <c r="AL561" i="41" s="1"/>
  <c r="AL478" i="41"/>
  <c r="AJ195" i="41"/>
  <c r="AI478" i="41" s="1"/>
  <c r="AG478" i="41"/>
  <c r="AK195" i="41"/>
  <c r="AJ478" i="41" s="1"/>
  <c r="AN478" i="41"/>
  <c r="AF478" i="41"/>
  <c r="AH478" i="41"/>
  <c r="AM478" i="41"/>
  <c r="AL195" i="41"/>
  <c r="AK478" i="41" s="1"/>
  <c r="AM567" i="41"/>
  <c r="AF567" i="41"/>
  <c r="AK284" i="41"/>
  <c r="AN567" i="41"/>
  <c r="AG567" i="41"/>
  <c r="AL284" i="41"/>
  <c r="AJ284" i="41"/>
  <c r="AF383" i="41"/>
  <c r="AK100" i="41"/>
  <c r="AJ383" i="41" s="1"/>
  <c r="AJ384" i="41" s="1"/>
  <c r="B96" i="30"/>
  <c r="B97" i="30" s="1"/>
  <c r="AM383" i="41"/>
  <c r="AJ100" i="41"/>
  <c r="AI383" i="41" s="1"/>
  <c r="AI384" i="41" s="1"/>
  <c r="AG383" i="41"/>
  <c r="AL100" i="41"/>
  <c r="AK383" i="41" s="1"/>
  <c r="AK384" i="41" s="1"/>
  <c r="AN383" i="41"/>
  <c r="AL383" i="41"/>
  <c r="AL384" i="41" s="1"/>
  <c r="AH383" i="41"/>
  <c r="AH384" i="41" s="1"/>
  <c r="AK245" i="41"/>
  <c r="AJ528" i="41" s="1"/>
  <c r="AL245" i="41"/>
  <c r="AK528" i="41" s="1"/>
  <c r="AM528" i="41"/>
  <c r="AL528" i="41"/>
  <c r="AH528" i="41"/>
  <c r="AN528" i="41"/>
  <c r="AG528" i="41"/>
  <c r="AJ245" i="41"/>
  <c r="AI528" i="41" s="1"/>
  <c r="AF528" i="41"/>
  <c r="AL540" i="41"/>
  <c r="AL541" i="41" s="1"/>
  <c r="AK257" i="41"/>
  <c r="AJ540" i="41" s="1"/>
  <c r="AJ541" i="41" s="1"/>
  <c r="AJ257" i="41"/>
  <c r="AI540" i="41" s="1"/>
  <c r="AI541" i="41" s="1"/>
  <c r="AL257" i="41"/>
  <c r="AK540" i="41" s="1"/>
  <c r="AK541" i="41" s="1"/>
  <c r="AF540" i="41"/>
  <c r="AG540" i="41"/>
  <c r="AM540" i="41"/>
  <c r="AH540" i="41"/>
  <c r="AH541" i="41" s="1"/>
  <c r="AN540" i="41"/>
  <c r="AH472" i="41"/>
  <c r="AM472" i="41"/>
  <c r="AL472" i="41"/>
  <c r="AN472" i="41"/>
  <c r="AK189" i="41"/>
  <c r="AJ472" i="41" s="1"/>
  <c r="AG472" i="41"/>
  <c r="AL189" i="41"/>
  <c r="AK472" i="41" s="1"/>
  <c r="AF472" i="41"/>
  <c r="AJ189" i="41"/>
  <c r="AI472" i="41" s="1"/>
  <c r="AL104" i="41"/>
  <c r="AK387" i="41" s="1"/>
  <c r="AN387" i="41"/>
  <c r="AM387" i="41"/>
  <c r="AK104" i="41"/>
  <c r="AJ387" i="41" s="1"/>
  <c r="AJ104" i="41"/>
  <c r="AI387" i="41" s="1"/>
  <c r="AH387" i="41"/>
  <c r="AL387" i="41"/>
  <c r="AG387" i="41"/>
  <c r="AF387" i="41"/>
  <c r="B57" i="30"/>
  <c r="K107" i="30" s="1"/>
  <c r="B84" i="30"/>
  <c r="B13" i="30"/>
  <c r="B55" i="30"/>
  <c r="K52" i="30" s="1"/>
  <c r="AL314" i="41"/>
  <c r="AL315" i="41" s="1"/>
  <c r="AL31" i="41"/>
  <c r="AK314" i="41" s="1"/>
  <c r="AK315" i="41" s="1"/>
  <c r="AN314" i="41"/>
  <c r="AK31" i="41"/>
  <c r="AJ314" i="41" s="1"/>
  <c r="AJ315" i="41" s="1"/>
  <c r="AH314" i="41"/>
  <c r="AH315" i="41" s="1"/>
  <c r="AM314" i="41"/>
  <c r="AF314" i="41"/>
  <c r="AG314" i="41"/>
  <c r="AJ31" i="41"/>
  <c r="AI314" i="41" s="1"/>
  <c r="AI315" i="41" s="1"/>
  <c r="AF358" i="41"/>
  <c r="AM358" i="41"/>
  <c r="AL358" i="41"/>
  <c r="AL75" i="41"/>
  <c r="AK358" i="41" s="1"/>
  <c r="AG358" i="41"/>
  <c r="AJ75" i="41"/>
  <c r="AI358" i="41" s="1"/>
  <c r="AN358" i="41"/>
  <c r="AK75" i="41"/>
  <c r="AJ358" i="41" s="1"/>
  <c r="AH358" i="41"/>
  <c r="B14" i="30"/>
  <c r="AL502" i="41"/>
  <c r="AL503" i="41" s="1"/>
  <c r="AL504" i="41" s="1"/>
  <c r="AL505" i="41" s="1"/>
  <c r="AK219" i="41"/>
  <c r="AJ502" i="41" s="1"/>
  <c r="AJ503" i="41" s="1"/>
  <c r="AJ504" i="41" s="1"/>
  <c r="AJ505" i="41" s="1"/>
  <c r="AJ219" i="41"/>
  <c r="AI502" i="41" s="1"/>
  <c r="AI503" i="41" s="1"/>
  <c r="AI504" i="41" s="1"/>
  <c r="AI505" i="41" s="1"/>
  <c r="AN502" i="41"/>
  <c r="AH502" i="41"/>
  <c r="AH503" i="41" s="1"/>
  <c r="AH504" i="41" s="1"/>
  <c r="AH505" i="41" s="1"/>
  <c r="AM502" i="41"/>
  <c r="AF502" i="41"/>
  <c r="AG502" i="41"/>
  <c r="AL219" i="41"/>
  <c r="AK502" i="41" s="1"/>
  <c r="AK503" i="41" s="1"/>
  <c r="AK504" i="41" s="1"/>
  <c r="AK505" i="41" s="1"/>
  <c r="B137" i="30"/>
  <c r="K138" i="30" s="1"/>
  <c r="AL305" i="41"/>
  <c r="AJ22" i="41"/>
  <c r="AI305" i="41" s="1"/>
  <c r="AK22" i="41"/>
  <c r="AJ305" i="41" s="1"/>
  <c r="AM305" i="41"/>
  <c r="AF305" i="41"/>
  <c r="AG305" i="41"/>
  <c r="AL22" i="41"/>
  <c r="AK305" i="41" s="1"/>
  <c r="AN305" i="41"/>
  <c r="AH305" i="41"/>
  <c r="B252" i="30"/>
  <c r="AM389" i="41"/>
  <c r="AL106" i="41"/>
  <c r="AK389" i="41" s="1"/>
  <c r="AJ106" i="41"/>
  <c r="AI389" i="41" s="1"/>
  <c r="AN389" i="41"/>
  <c r="AH389" i="41"/>
  <c r="AL389" i="41"/>
  <c r="AK106" i="41"/>
  <c r="AJ389" i="41" s="1"/>
  <c r="AG389" i="41"/>
  <c r="AF389" i="41"/>
  <c r="AG459" i="41"/>
  <c r="AJ176" i="41"/>
  <c r="AM459" i="41"/>
  <c r="AL176" i="41"/>
  <c r="AN459" i="41"/>
  <c r="AH459" i="41"/>
  <c r="AK176" i="41"/>
  <c r="AF459" i="41"/>
  <c r="B111" i="30"/>
  <c r="AJ90" i="41"/>
  <c r="AI373" i="41" s="1"/>
  <c r="AK90" i="41"/>
  <c r="AJ373" i="41" s="1"/>
  <c r="AN373" i="41"/>
  <c r="AH373" i="41"/>
  <c r="AM373" i="41"/>
  <c r="AG373" i="41"/>
  <c r="AL90" i="41"/>
  <c r="AK373" i="41" s="1"/>
  <c r="AF373" i="41"/>
  <c r="AL373" i="41"/>
  <c r="B245" i="30"/>
  <c r="B135" i="30"/>
  <c r="K48" i="30" s="1"/>
  <c r="AM536" i="41"/>
  <c r="AN536" i="41"/>
  <c r="AH536" i="41"/>
  <c r="AH537" i="41" s="1"/>
  <c r="AJ253" i="41"/>
  <c r="AI536" i="41" s="1"/>
  <c r="AI537" i="41" s="1"/>
  <c r="AK253" i="41"/>
  <c r="AJ536" i="41" s="1"/>
  <c r="AJ537" i="41" s="1"/>
  <c r="AG536" i="41"/>
  <c r="AL536" i="41"/>
  <c r="AL537" i="41" s="1"/>
  <c r="AL253" i="41"/>
  <c r="AK536" i="41" s="1"/>
  <c r="AK537" i="41" s="1"/>
  <c r="AF536" i="41"/>
  <c r="AL371" i="41"/>
  <c r="AG371" i="41"/>
  <c r="AJ88" i="41"/>
  <c r="AI371" i="41" s="1"/>
  <c r="AK88" i="41"/>
  <c r="AJ371" i="41" s="1"/>
  <c r="AH371" i="41"/>
  <c r="AF371" i="41"/>
  <c r="AL88" i="41"/>
  <c r="AK371" i="41" s="1"/>
  <c r="AN371" i="41"/>
  <c r="AM371" i="41"/>
  <c r="AK32" i="41"/>
  <c r="AM315" i="41"/>
  <c r="AJ32" i="41"/>
  <c r="AL32" i="41"/>
  <c r="AG315" i="41"/>
  <c r="AN315" i="41"/>
  <c r="AF315" i="41"/>
  <c r="AF451" i="41"/>
  <c r="AH451" i="41"/>
  <c r="AG451" i="41"/>
  <c r="AM451" i="41"/>
  <c r="AK168" i="41"/>
  <c r="AJ451" i="41" s="1"/>
  <c r="AJ168" i="41"/>
  <c r="AI451" i="41" s="1"/>
  <c r="AL451" i="41"/>
  <c r="AL168" i="41"/>
  <c r="AK451" i="41" s="1"/>
  <c r="AN451" i="41"/>
  <c r="B164" i="30"/>
  <c r="AG347" i="41"/>
  <c r="AF347" i="41"/>
  <c r="AM347" i="41"/>
  <c r="AL64" i="41"/>
  <c r="AN347" i="41"/>
  <c r="AJ64" i="41"/>
  <c r="AK64" i="41"/>
  <c r="AN331" i="41"/>
  <c r="AK48" i="41"/>
  <c r="AG331" i="41"/>
  <c r="AF331" i="41"/>
  <c r="AJ48" i="41"/>
  <c r="AM331" i="41"/>
  <c r="AL48" i="41"/>
  <c r="AN395" i="41"/>
  <c r="AM395" i="41"/>
  <c r="AG395" i="41"/>
  <c r="AK112" i="41"/>
  <c r="AF395" i="41"/>
  <c r="AJ112" i="41"/>
  <c r="AL112" i="41"/>
  <c r="B232" i="30"/>
  <c r="AF401" i="41"/>
  <c r="AM401" i="41"/>
  <c r="AN401" i="41"/>
  <c r="AL401" i="41"/>
  <c r="AH401" i="41"/>
  <c r="AK118" i="41"/>
  <c r="AJ401" i="41" s="1"/>
  <c r="AJ118" i="41"/>
  <c r="AI401" i="41" s="1"/>
  <c r="AL118" i="41"/>
  <c r="AK401" i="41" s="1"/>
  <c r="AG401" i="41"/>
  <c r="B264" i="30"/>
  <c r="K84" i="30" s="1"/>
  <c r="AM360" i="41"/>
  <c r="AL77" i="41"/>
  <c r="AK360" i="41" s="1"/>
  <c r="AH360" i="41"/>
  <c r="AK77" i="41"/>
  <c r="AJ360" i="41" s="1"/>
  <c r="AJ77" i="41"/>
  <c r="AI360" i="41" s="1"/>
  <c r="AN360" i="41"/>
  <c r="AL360" i="41"/>
  <c r="AG360" i="41"/>
  <c r="AF360" i="41"/>
  <c r="AK135" i="41"/>
  <c r="AJ135" i="41"/>
  <c r="AN418" i="41"/>
  <c r="AM418" i="41"/>
  <c r="AG418" i="41"/>
  <c r="AF418" i="41"/>
  <c r="AL135" i="41"/>
  <c r="AN324" i="41"/>
  <c r="AK41" i="41"/>
  <c r="AG324" i="41"/>
  <c r="AF324" i="41"/>
  <c r="AM324" i="41"/>
  <c r="AL41" i="41"/>
  <c r="AJ41" i="41"/>
  <c r="AK66" i="41"/>
  <c r="AJ66" i="41"/>
  <c r="AN349" i="41"/>
  <c r="AM349" i="41"/>
  <c r="AF349" i="41"/>
  <c r="AL66" i="41"/>
  <c r="AG349" i="41"/>
  <c r="AN471" i="41"/>
  <c r="AH471" i="41"/>
  <c r="AM471" i="41"/>
  <c r="AF471" i="41"/>
  <c r="AL188" i="41"/>
  <c r="AK471" i="41" s="1"/>
  <c r="AG471" i="41"/>
  <c r="AJ188" i="41"/>
  <c r="AI471" i="41" s="1"/>
  <c r="AK188" i="41"/>
  <c r="AJ471" i="41" s="1"/>
  <c r="AL471" i="41"/>
  <c r="AL222" i="41"/>
  <c r="AK222" i="41"/>
  <c r="AJ222" i="41"/>
  <c r="AM505" i="41"/>
  <c r="AF505" i="41"/>
  <c r="AG505" i="41"/>
  <c r="AN505" i="41"/>
  <c r="AH295" i="41"/>
  <c r="AL295" i="41"/>
  <c r="AK12" i="41"/>
  <c r="AJ295" i="41" s="1"/>
  <c r="AG295" i="41"/>
  <c r="AL12" i="41"/>
  <c r="AK295" i="41" s="1"/>
  <c r="AN295" i="41"/>
  <c r="AF295" i="41"/>
  <c r="AM295" i="41"/>
  <c r="AJ12" i="41"/>
  <c r="AI295" i="41" s="1"/>
  <c r="AF549" i="41"/>
  <c r="AL266" i="41"/>
  <c r="AM549" i="41"/>
  <c r="AN549" i="41"/>
  <c r="AK266" i="41"/>
  <c r="AJ266" i="41"/>
  <c r="AG549" i="41"/>
  <c r="AK60" i="41"/>
  <c r="AJ343" i="41" s="1"/>
  <c r="AH343" i="41"/>
  <c r="AF343" i="41"/>
  <c r="AJ60" i="41"/>
  <c r="AI343" i="41" s="1"/>
  <c r="AM343" i="41"/>
  <c r="AN343" i="41"/>
  <c r="AL343" i="41"/>
  <c r="AG343" i="41"/>
  <c r="AL60" i="41"/>
  <c r="AK343" i="41" s="1"/>
  <c r="AJ260" i="41"/>
  <c r="AI543" i="41" s="1"/>
  <c r="AN543" i="41"/>
  <c r="AK260" i="41"/>
  <c r="AJ543" i="41" s="1"/>
  <c r="AG543" i="41"/>
  <c r="AF543" i="41"/>
  <c r="AM543" i="41"/>
  <c r="AH543" i="41"/>
  <c r="AL543" i="41"/>
  <c r="AL260" i="41"/>
  <c r="AK543" i="41" s="1"/>
  <c r="AL522" i="41"/>
  <c r="AL239" i="41"/>
  <c r="AF522" i="41"/>
  <c r="AG522" i="41"/>
  <c r="AK239" i="41"/>
  <c r="AN522" i="41"/>
  <c r="AJ239" i="41"/>
  <c r="AM522" i="41"/>
  <c r="AH508" i="41"/>
  <c r="AH509" i="41" s="1"/>
  <c r="AH510" i="41" s="1"/>
  <c r="AL225" i="41"/>
  <c r="AK508" i="41" s="1"/>
  <c r="AK509" i="41" s="1"/>
  <c r="AK510" i="41" s="1"/>
  <c r="AM508" i="41"/>
  <c r="AK225" i="41"/>
  <c r="AJ508" i="41" s="1"/>
  <c r="AJ509" i="41" s="1"/>
  <c r="AJ510" i="41" s="1"/>
  <c r="AL508" i="41"/>
  <c r="AL509" i="41" s="1"/>
  <c r="AL510" i="41" s="1"/>
  <c r="AG508" i="41"/>
  <c r="B221" i="30"/>
  <c r="B222" i="30" s="1"/>
  <c r="AF508" i="41"/>
  <c r="AN508" i="41"/>
  <c r="AJ225" i="41"/>
  <c r="AI508" i="41" s="1"/>
  <c r="AI509" i="41" s="1"/>
  <c r="AI510" i="41" s="1"/>
  <c r="AN380" i="41"/>
  <c r="AG380" i="41"/>
  <c r="AF380" i="41"/>
  <c r="AL97" i="41"/>
  <c r="AK380" i="41" s="1"/>
  <c r="AK381" i="41" s="1"/>
  <c r="AK97" i="41"/>
  <c r="AJ380" i="41" s="1"/>
  <c r="AJ381" i="41" s="1"/>
  <c r="AH380" i="41"/>
  <c r="AH381" i="41" s="1"/>
  <c r="AJ97" i="41"/>
  <c r="AI380" i="41" s="1"/>
  <c r="AI381" i="41" s="1"/>
  <c r="AM380" i="41"/>
  <c r="AL380" i="41"/>
  <c r="AL381" i="41" s="1"/>
  <c r="AK50" i="41"/>
  <c r="AM333" i="41"/>
  <c r="AG333" i="41"/>
  <c r="AL50" i="41"/>
  <c r="AJ50" i="41"/>
  <c r="AN333" i="41"/>
  <c r="AF333" i="41"/>
  <c r="AL197" i="41"/>
  <c r="AF480" i="41"/>
  <c r="AN480" i="41"/>
  <c r="AG480" i="41"/>
  <c r="AK197" i="41"/>
  <c r="AM480" i="41"/>
  <c r="AJ197" i="41"/>
  <c r="AM492" i="41"/>
  <c r="AG492" i="41"/>
  <c r="AN492" i="41"/>
  <c r="AK209" i="41"/>
  <c r="AL209" i="41"/>
  <c r="AJ209" i="41"/>
  <c r="AF492" i="41"/>
  <c r="AK148" i="41"/>
  <c r="AJ431" i="41" s="1"/>
  <c r="AN431" i="41"/>
  <c r="AM431" i="41"/>
  <c r="AL431" i="41"/>
  <c r="AL148" i="41"/>
  <c r="AK431" i="41" s="1"/>
  <c r="AJ148" i="41"/>
  <c r="AI431" i="41" s="1"/>
  <c r="AF431" i="41"/>
  <c r="AG431" i="41"/>
  <c r="AH431" i="41"/>
  <c r="B157" i="30"/>
  <c r="B158" i="30" s="1"/>
  <c r="AF444" i="41"/>
  <c r="AL444" i="41"/>
  <c r="AL445" i="41" s="1"/>
  <c r="AL161" i="41"/>
  <c r="AK444" i="41" s="1"/>
  <c r="AK161" i="41"/>
  <c r="AJ444" i="41" s="1"/>
  <c r="AN444" i="41"/>
  <c r="AH444" i="41"/>
  <c r="AH445" i="41" s="1"/>
  <c r="AG444" i="41"/>
  <c r="AM444" i="41"/>
  <c r="AJ161" i="41"/>
  <c r="AI444" i="41" s="1"/>
  <c r="AL412" i="41"/>
  <c r="AL413" i="41" s="1"/>
  <c r="AL414" i="41" s="1"/>
  <c r="AG412" i="41"/>
  <c r="AF412" i="41"/>
  <c r="AL129" i="41"/>
  <c r="AK412" i="41" s="1"/>
  <c r="AK413" i="41" s="1"/>
  <c r="AK414" i="41" s="1"/>
  <c r="AH412" i="41"/>
  <c r="AH413" i="41" s="1"/>
  <c r="AH414" i="41" s="1"/>
  <c r="AN412" i="41"/>
  <c r="AJ129" i="41"/>
  <c r="AI412" i="41" s="1"/>
  <c r="AI413" i="41" s="1"/>
  <c r="AI414" i="41" s="1"/>
  <c r="AK129" i="41"/>
  <c r="AJ412" i="41" s="1"/>
  <c r="AJ413" i="41" s="1"/>
  <c r="AJ414" i="41" s="1"/>
  <c r="AM412" i="41"/>
  <c r="AM461" i="41"/>
  <c r="AG461" i="41"/>
  <c r="B174" i="30"/>
  <c r="B175" i="30" s="1"/>
  <c r="AF461" i="41"/>
  <c r="AJ178" i="41"/>
  <c r="AI461" i="41" s="1"/>
  <c r="AL461" i="41"/>
  <c r="AL462" i="41" s="1"/>
  <c r="AN461" i="41"/>
  <c r="AL178" i="41"/>
  <c r="AK461" i="41" s="1"/>
  <c r="AK178" i="41"/>
  <c r="AJ461" i="41" s="1"/>
  <c r="AH461" i="41"/>
  <c r="AH462" i="41" s="1"/>
  <c r="AN555" i="41"/>
  <c r="AJ272" i="41"/>
  <c r="AM555" i="41"/>
  <c r="AL272" i="41"/>
  <c r="AK272" i="41"/>
  <c r="AF555" i="41"/>
  <c r="AG555" i="41"/>
  <c r="AL273" i="41"/>
  <c r="AK556" i="41" s="1"/>
  <c r="AK557" i="41" s="1"/>
  <c r="AK273" i="41"/>
  <c r="AJ556" i="41" s="1"/>
  <c r="AJ557" i="41" s="1"/>
  <c r="AF556" i="41"/>
  <c r="AN556" i="41"/>
  <c r="AM556" i="41"/>
  <c r="AL556" i="41"/>
  <c r="AL557" i="41" s="1"/>
  <c r="AG556" i="41"/>
  <c r="AJ273" i="41"/>
  <c r="AI556" i="41" s="1"/>
  <c r="AI557" i="41" s="1"/>
  <c r="AH556" i="41"/>
  <c r="AH557" i="41" s="1"/>
  <c r="AG364" i="41"/>
  <c r="AH364" i="41"/>
  <c r="AK81" i="41"/>
  <c r="AJ364" i="41" s="1"/>
  <c r="AM364" i="41"/>
  <c r="AL81" i="41"/>
  <c r="AK364" i="41" s="1"/>
  <c r="AL364" i="41"/>
  <c r="AF364" i="41"/>
  <c r="AN364" i="41"/>
  <c r="AJ81" i="41"/>
  <c r="AI364" i="41" s="1"/>
  <c r="AN462" i="41"/>
  <c r="AF462" i="41"/>
  <c r="AL179" i="41"/>
  <c r="AK179" i="41"/>
  <c r="AJ179" i="41"/>
  <c r="AG462" i="41"/>
  <c r="AM462" i="41"/>
  <c r="AN316" i="41"/>
  <c r="AH316" i="41"/>
  <c r="AH317" i="41" s="1"/>
  <c r="AH318" i="41" s="1"/>
  <c r="AH319" i="41" s="1"/>
  <c r="AJ33" i="41"/>
  <c r="AI316" i="41" s="1"/>
  <c r="AI317" i="41" s="1"/>
  <c r="AI318" i="41" s="1"/>
  <c r="AI319" i="41" s="1"/>
  <c r="AF316" i="41"/>
  <c r="AL316" i="41"/>
  <c r="AL317" i="41" s="1"/>
  <c r="AL318" i="41" s="1"/>
  <c r="AL319" i="41" s="1"/>
  <c r="AK33" i="41"/>
  <c r="AJ316" i="41" s="1"/>
  <c r="AJ317" i="41" s="1"/>
  <c r="AJ318" i="41" s="1"/>
  <c r="AJ319" i="41" s="1"/>
  <c r="AG316" i="41"/>
  <c r="AL33" i="41"/>
  <c r="AK316" i="41" s="1"/>
  <c r="AK317" i="41" s="1"/>
  <c r="AK318" i="41" s="1"/>
  <c r="AK319" i="41" s="1"/>
  <c r="AM316" i="41"/>
  <c r="AL415" i="41"/>
  <c r="AK132" i="41"/>
  <c r="AJ415" i="41" s="1"/>
  <c r="AF415" i="41"/>
  <c r="AG415" i="41"/>
  <c r="AJ132" i="41"/>
  <c r="AI415" i="41" s="1"/>
  <c r="AM415" i="41"/>
  <c r="AL132" i="41"/>
  <c r="AK415" i="41" s="1"/>
  <c r="AN415" i="41"/>
  <c r="AH415" i="41"/>
  <c r="AN511" i="41"/>
  <c r="AM511" i="41"/>
  <c r="AL511" i="41"/>
  <c r="B224" i="30"/>
  <c r="AF511" i="41"/>
  <c r="AK228" i="41"/>
  <c r="AJ511" i="41" s="1"/>
  <c r="AL228" i="41"/>
  <c r="AK511" i="41" s="1"/>
  <c r="AJ228" i="41"/>
  <c r="AI511" i="41" s="1"/>
  <c r="AH511" i="41"/>
  <c r="AG511" i="41"/>
  <c r="AL83" i="41"/>
  <c r="AK366" i="41" s="1"/>
  <c r="AK367" i="41" s="1"/>
  <c r="AG366" i="41"/>
  <c r="AL366" i="41"/>
  <c r="AL367" i="41" s="1"/>
  <c r="AN366" i="41"/>
  <c r="AK83" i="41"/>
  <c r="AJ366" i="41" s="1"/>
  <c r="AJ367" i="41" s="1"/>
  <c r="AH366" i="41"/>
  <c r="AH367" i="41" s="1"/>
  <c r="AF366" i="41"/>
  <c r="AM366" i="41"/>
  <c r="AJ83" i="41"/>
  <c r="AI366" i="41" s="1"/>
  <c r="AI367" i="41" s="1"/>
  <c r="B225" i="30"/>
  <c r="B226" i="30" s="1"/>
  <c r="AH512" i="41"/>
  <c r="AH513" i="41" s="1"/>
  <c r="AG512" i="41"/>
  <c r="AK229" i="41"/>
  <c r="AJ229" i="41"/>
  <c r="AI512" i="41" s="1"/>
  <c r="AI513" i="41" s="1"/>
  <c r="AN512" i="41"/>
  <c r="AF512" i="41"/>
  <c r="AL512" i="41"/>
  <c r="AL513" i="41" s="1"/>
  <c r="AM512" i="41"/>
  <c r="AL229" i="41"/>
  <c r="AK512" i="41" s="1"/>
  <c r="AK513" i="41" s="1"/>
  <c r="AK275" i="41"/>
  <c r="AJ558" i="41" s="1"/>
  <c r="AN558" i="41"/>
  <c r="AH558" i="41"/>
  <c r="AJ275" i="41"/>
  <c r="AI558" i="41" s="1"/>
  <c r="AG558" i="41"/>
  <c r="AL275" i="41"/>
  <c r="AK558" i="41" s="1"/>
  <c r="AM558" i="41"/>
  <c r="AL558" i="41"/>
  <c r="AF558" i="41"/>
  <c r="AL35" i="41"/>
  <c r="AN318" i="41"/>
  <c r="AF318" i="41"/>
  <c r="AJ35" i="41"/>
  <c r="AK35" i="41"/>
  <c r="AG318" i="41"/>
  <c r="AM318" i="41"/>
  <c r="AM367" i="41"/>
  <c r="AG367" i="41"/>
  <c r="AF367" i="41"/>
  <c r="AL84" i="41"/>
  <c r="AN367" i="41"/>
  <c r="AK84" i="41"/>
  <c r="AJ84" i="41"/>
  <c r="AK193" i="41"/>
  <c r="AJ476" i="41" s="1"/>
  <c r="AJ193" i="41"/>
  <c r="AI476" i="41" s="1"/>
  <c r="AF476" i="41"/>
  <c r="AL193" i="41"/>
  <c r="AK476" i="41" s="1"/>
  <c r="AL476" i="41"/>
  <c r="AG476" i="41"/>
  <c r="AN476" i="41"/>
  <c r="AH476" i="41"/>
  <c r="AM476" i="41"/>
  <c r="AL524" i="41"/>
  <c r="AL525" i="41" s="1"/>
  <c r="AL526" i="41" s="1"/>
  <c r="AN524" i="41"/>
  <c r="AJ241" i="41"/>
  <c r="AI524" i="41" s="1"/>
  <c r="AI525" i="41" s="1"/>
  <c r="AI526" i="41" s="1"/>
  <c r="AL241" i="41"/>
  <c r="AK524" i="41" s="1"/>
  <c r="AK525" i="41" s="1"/>
  <c r="AK526" i="41" s="1"/>
  <c r="AK241" i="41"/>
  <c r="AJ524" i="41" s="1"/>
  <c r="AJ525" i="41" s="1"/>
  <c r="AJ526" i="41" s="1"/>
  <c r="AF524" i="41"/>
  <c r="AH524" i="41"/>
  <c r="AH525" i="41" s="1"/>
  <c r="AH526" i="41" s="1"/>
  <c r="AM524" i="41"/>
  <c r="AG524" i="41"/>
  <c r="AJ36" i="41"/>
  <c r="AM319" i="41"/>
  <c r="AF319" i="41"/>
  <c r="AL36" i="41"/>
  <c r="AK36" i="41"/>
  <c r="AN319" i="41"/>
  <c r="AG319" i="41"/>
  <c r="AJ145" i="41"/>
  <c r="AI428" i="41" s="1"/>
  <c r="AL428" i="41"/>
  <c r="AL145" i="41"/>
  <c r="AK428" i="41" s="1"/>
  <c r="AN428" i="41"/>
  <c r="AH428" i="41"/>
  <c r="AG428" i="41"/>
  <c r="AM428" i="41"/>
  <c r="AK145" i="41"/>
  <c r="AJ428" i="41" s="1"/>
  <c r="AF428" i="41"/>
  <c r="AM477" i="41"/>
  <c r="AL194" i="41"/>
  <c r="AK477" i="41" s="1"/>
  <c r="AK194" i="41"/>
  <c r="AJ477" i="41" s="1"/>
  <c r="AG477" i="41"/>
  <c r="AF477" i="41"/>
  <c r="AN477" i="41"/>
  <c r="AH477" i="41"/>
  <c r="AJ194" i="41"/>
  <c r="AI477" i="41" s="1"/>
  <c r="AL477" i="41"/>
  <c r="AK37" i="41"/>
  <c r="AJ320" i="41" s="1"/>
  <c r="AM320" i="41"/>
  <c r="AG320" i="41"/>
  <c r="AN320" i="41"/>
  <c r="AF320" i="41"/>
  <c r="AL37" i="41"/>
  <c r="AK320" i="41" s="1"/>
  <c r="AH320" i="41"/>
  <c r="AL320" i="41"/>
  <c r="AJ37" i="41"/>
  <c r="AI320" i="41" s="1"/>
  <c r="AJ196" i="41"/>
  <c r="AI479" i="41" s="1"/>
  <c r="AI480" i="41" s="1"/>
  <c r="AL479" i="41"/>
  <c r="AL480" i="41" s="1"/>
  <c r="AG479" i="41"/>
  <c r="AM479" i="41"/>
  <c r="AN479" i="41"/>
  <c r="AH479" i="41"/>
  <c r="AH480" i="41" s="1"/>
  <c r="B192" i="30"/>
  <c r="B193" i="30" s="1"/>
  <c r="AF479" i="41"/>
  <c r="AK196" i="41"/>
  <c r="AJ479" i="41" s="1"/>
  <c r="AJ480" i="41" s="1"/>
  <c r="AL196" i="41"/>
  <c r="AK479" i="41" s="1"/>
  <c r="AK480" i="41" s="1"/>
  <c r="AK99" i="41"/>
  <c r="AJ382" i="41" s="1"/>
  <c r="AG382" i="41"/>
  <c r="B95" i="30"/>
  <c r="AL99" i="41"/>
  <c r="AK382" i="41" s="1"/>
  <c r="AL382" i="41"/>
  <c r="AF382" i="41"/>
  <c r="AJ99" i="41"/>
  <c r="AI382" i="41" s="1"/>
  <c r="AM382" i="41"/>
  <c r="AH382" i="41"/>
  <c r="AN382" i="41"/>
  <c r="B240" i="30"/>
  <c r="AL244" i="41"/>
  <c r="AK527" i="41" s="1"/>
  <c r="AM527" i="41"/>
  <c r="AL527" i="41"/>
  <c r="AF527" i="41"/>
  <c r="AJ244" i="41"/>
  <c r="AI527" i="41" s="1"/>
  <c r="AG527" i="41"/>
  <c r="AN527" i="41"/>
  <c r="AK244" i="41"/>
  <c r="AJ527" i="41" s="1"/>
  <c r="AH527" i="41"/>
  <c r="AG531" i="41"/>
  <c r="AL248" i="41"/>
  <c r="AK531" i="41" s="1"/>
  <c r="AJ248" i="41"/>
  <c r="AI531" i="41" s="1"/>
  <c r="AK248" i="41"/>
  <c r="AJ531" i="41" s="1"/>
  <c r="AF531" i="41"/>
  <c r="AL531" i="41"/>
  <c r="AN531" i="41"/>
  <c r="AM531" i="41"/>
  <c r="AH531" i="41"/>
  <c r="AL247" i="41"/>
  <c r="AG530" i="41"/>
  <c r="AM530" i="41"/>
  <c r="AJ247" i="41"/>
  <c r="AF530" i="41"/>
  <c r="AN530" i="41"/>
  <c r="AK247" i="41"/>
  <c r="AG335" i="41"/>
  <c r="AL52" i="41"/>
  <c r="AK335" i="41" s="1"/>
  <c r="AK336" i="41" s="1"/>
  <c r="AK52" i="41"/>
  <c r="AJ335" i="41" s="1"/>
  <c r="AJ336" i="41" s="1"/>
  <c r="AJ52" i="41"/>
  <c r="AI335" i="41" s="1"/>
  <c r="AI336" i="41" s="1"/>
  <c r="AH335" i="41"/>
  <c r="AH336" i="41" s="1"/>
  <c r="AM335" i="41"/>
  <c r="AF335" i="41"/>
  <c r="AL335" i="41"/>
  <c r="AL336" i="41" s="1"/>
  <c r="AN335" i="41"/>
  <c r="AL539" i="41"/>
  <c r="AG539" i="41"/>
  <c r="AM539" i="41"/>
  <c r="AH539" i="41"/>
  <c r="AJ256" i="41"/>
  <c r="AI539" i="41" s="1"/>
  <c r="AN539" i="41"/>
  <c r="AL256" i="41"/>
  <c r="AK539" i="41" s="1"/>
  <c r="AK256" i="41"/>
  <c r="AJ539" i="41" s="1"/>
  <c r="AF539" i="41"/>
  <c r="AG510" i="41"/>
  <c r="AL227" i="41"/>
  <c r="AM510" i="41"/>
  <c r="AK227" i="41"/>
  <c r="AN510" i="41"/>
  <c r="AJ227" i="41"/>
  <c r="AF510" i="41"/>
  <c r="AJ261" i="41"/>
  <c r="AI544" i="41" s="1"/>
  <c r="AI545" i="41" s="1"/>
  <c r="AF544" i="41"/>
  <c r="AK261" i="41"/>
  <c r="AJ544" i="41" s="1"/>
  <c r="AJ545" i="41" s="1"/>
  <c r="AG544" i="41"/>
  <c r="AM544" i="41"/>
  <c r="AL261" i="41"/>
  <c r="AK544" i="41" s="1"/>
  <c r="AK545" i="41" s="1"/>
  <c r="AN544" i="41"/>
  <c r="AL544" i="41"/>
  <c r="AL545" i="41" s="1"/>
  <c r="AH544" i="41"/>
  <c r="AH545" i="41" s="1"/>
  <c r="AL27" i="41"/>
  <c r="AJ27" i="41"/>
  <c r="AK27" i="41"/>
  <c r="AM310" i="41"/>
  <c r="AF310" i="41"/>
  <c r="AG310" i="41"/>
  <c r="AN310" i="41"/>
  <c r="AL70" i="41"/>
  <c r="AG353" i="41"/>
  <c r="AM353" i="41"/>
  <c r="AN353" i="41"/>
  <c r="AK70" i="41"/>
  <c r="AF353" i="41"/>
  <c r="AJ70" i="41"/>
  <c r="AJ243" i="41"/>
  <c r="AG526" i="41"/>
  <c r="AK243" i="41"/>
  <c r="AN526" i="41"/>
  <c r="AL243" i="41"/>
  <c r="AM526" i="41"/>
  <c r="AF526" i="41"/>
  <c r="AL172" i="41"/>
  <c r="AF455" i="41"/>
  <c r="AN455" i="41"/>
  <c r="AJ172" i="41"/>
  <c r="AH455" i="41"/>
  <c r="AK172" i="41"/>
  <c r="AG455" i="41"/>
  <c r="AM455" i="41"/>
  <c r="B107" i="30"/>
  <c r="B163" i="30"/>
  <c r="K62" i="30" s="1"/>
  <c r="B123" i="30"/>
  <c r="K43" i="30" s="1"/>
  <c r="AK263" i="41"/>
  <c r="AJ546" i="41" s="1"/>
  <c r="AH546" i="41"/>
  <c r="AN546" i="41"/>
  <c r="AG546" i="41"/>
  <c r="AF546" i="41"/>
  <c r="AL546" i="41"/>
  <c r="AM546" i="41"/>
  <c r="AL263" i="41"/>
  <c r="AK546" i="41" s="1"/>
  <c r="AJ263" i="41"/>
  <c r="AI546" i="41" s="1"/>
  <c r="AN381" i="41"/>
  <c r="AJ98" i="41"/>
  <c r="AG381" i="41"/>
  <c r="AF381" i="41"/>
  <c r="AM381" i="41"/>
  <c r="AK98" i="41"/>
  <c r="AL98" i="41"/>
  <c r="B98" i="30"/>
  <c r="K133" i="30" s="1"/>
  <c r="B34" i="30"/>
  <c r="B154" i="30"/>
  <c r="B145" i="30"/>
  <c r="AL200" i="41"/>
  <c r="AK483" i="41" s="1"/>
  <c r="AK484" i="41" s="1"/>
  <c r="AK200" i="41"/>
  <c r="AJ483" i="41" s="1"/>
  <c r="AJ484" i="41" s="1"/>
  <c r="AG483" i="41"/>
  <c r="AL483" i="41"/>
  <c r="AL484" i="41" s="1"/>
  <c r="AN483" i="41"/>
  <c r="AJ200" i="41"/>
  <c r="AI483" i="41" s="1"/>
  <c r="AI484" i="41" s="1"/>
  <c r="AF483" i="41"/>
  <c r="AM483" i="41"/>
  <c r="AH483" i="41"/>
  <c r="AH484" i="41" s="1"/>
  <c r="AM523" i="41"/>
  <c r="AL523" i="41"/>
  <c r="AG523" i="41"/>
  <c r="AL240" i="41"/>
  <c r="AK523" i="41" s="1"/>
  <c r="AF523" i="41"/>
  <c r="AN523" i="41"/>
  <c r="AJ240" i="41"/>
  <c r="AI523" i="41" s="1"/>
  <c r="AH523" i="41"/>
  <c r="AK240" i="41"/>
  <c r="AJ523" i="41" s="1"/>
  <c r="AM456" i="41"/>
  <c r="AH456" i="41"/>
  <c r="AH457" i="41" s="1"/>
  <c r="AN456" i="41"/>
  <c r="AK173" i="41"/>
  <c r="AJ456" i="41" s="1"/>
  <c r="AJ457" i="41" s="1"/>
  <c r="AL173" i="41"/>
  <c r="AK456" i="41" s="1"/>
  <c r="AK457" i="41" s="1"/>
  <c r="AJ173" i="41"/>
  <c r="AI456" i="41" s="1"/>
  <c r="AI457" i="41" s="1"/>
  <c r="AL456" i="41"/>
  <c r="AL457" i="41" s="1"/>
  <c r="AG456" i="41"/>
  <c r="AF456" i="41"/>
  <c r="AL487" i="41"/>
  <c r="AL488" i="41" s="1"/>
  <c r="AL489" i="41" s="1"/>
  <c r="AL490" i="41" s="1"/>
  <c r="AL491" i="41" s="1"/>
  <c r="AL492" i="41" s="1"/>
  <c r="AL204" i="41"/>
  <c r="AK487" i="41" s="1"/>
  <c r="AK488" i="41" s="1"/>
  <c r="AK489" i="41" s="1"/>
  <c r="AK490" i="41" s="1"/>
  <c r="AK491" i="41" s="1"/>
  <c r="AK492" i="41" s="1"/>
  <c r="AF487" i="41"/>
  <c r="AG487" i="41"/>
  <c r="AJ204" i="41"/>
  <c r="AI487" i="41" s="1"/>
  <c r="AI488" i="41" s="1"/>
  <c r="AI489" i="41" s="1"/>
  <c r="AI490" i="41" s="1"/>
  <c r="AI491" i="41" s="1"/>
  <c r="AI492" i="41" s="1"/>
  <c r="AN487" i="41"/>
  <c r="AK204" i="41"/>
  <c r="AJ487" i="41" s="1"/>
  <c r="AJ488" i="41" s="1"/>
  <c r="AJ489" i="41" s="1"/>
  <c r="AJ490" i="41" s="1"/>
  <c r="AJ491" i="41" s="1"/>
  <c r="AJ492" i="41" s="1"/>
  <c r="AH487" i="41"/>
  <c r="AH488" i="41" s="1"/>
  <c r="AH489" i="41" s="1"/>
  <c r="AH490" i="41" s="1"/>
  <c r="AH491" i="41" s="1"/>
  <c r="AH492" i="41" s="1"/>
  <c r="AM487" i="41"/>
  <c r="AL69" i="41"/>
  <c r="AK352" i="41" s="1"/>
  <c r="AK353" i="41" s="1"/>
  <c r="AK354" i="41" s="1"/>
  <c r="AG352" i="41"/>
  <c r="AN352" i="41"/>
  <c r="AH352" i="41"/>
  <c r="AH353" i="41" s="1"/>
  <c r="AH354" i="41" s="1"/>
  <c r="AF352" i="41"/>
  <c r="AK69" i="41"/>
  <c r="AJ352" i="41" s="1"/>
  <c r="AJ353" i="41" s="1"/>
  <c r="AJ354" i="41" s="1"/>
  <c r="AJ69" i="41"/>
  <c r="AI352" i="41" s="1"/>
  <c r="AI353" i="41" s="1"/>
  <c r="AI354" i="41" s="1"/>
  <c r="AL352" i="41"/>
  <c r="AL353" i="41" s="1"/>
  <c r="AL354" i="41" s="1"/>
  <c r="AM352" i="41"/>
  <c r="AK153" i="41"/>
  <c r="AJ436" i="41" s="1"/>
  <c r="AJ153" i="41"/>
  <c r="AI436" i="41" s="1"/>
  <c r="AL436" i="41"/>
  <c r="AG436" i="41"/>
  <c r="AM436" i="41"/>
  <c r="AF436" i="41"/>
  <c r="AL153" i="41"/>
  <c r="AK436" i="41" s="1"/>
  <c r="AN436" i="41"/>
  <c r="AH436" i="41"/>
  <c r="AK192" i="41"/>
  <c r="AN475" i="41"/>
  <c r="AG475" i="41"/>
  <c r="AM475" i="41"/>
  <c r="AL192" i="41"/>
  <c r="AJ192" i="41"/>
  <c r="AF475" i="41"/>
  <c r="AG297" i="41"/>
  <c r="AK14" i="41"/>
  <c r="AF297" i="41"/>
  <c r="AM297" i="41"/>
  <c r="AL14" i="41"/>
  <c r="AN297" i="41"/>
  <c r="AJ14" i="41"/>
  <c r="AN464" i="41"/>
  <c r="AH464" i="41"/>
  <c r="AH465" i="41" s="1"/>
  <c r="AJ181" i="41"/>
  <c r="AI464" i="41" s="1"/>
  <c r="AI465" i="41" s="1"/>
  <c r="AF464" i="41"/>
  <c r="AL181" i="41"/>
  <c r="AK464" i="41" s="1"/>
  <c r="AK465" i="41" s="1"/>
  <c r="AL464" i="41"/>
  <c r="AL465" i="41" s="1"/>
  <c r="AK181" i="41"/>
  <c r="AJ464" i="41" s="1"/>
  <c r="AJ465" i="41" s="1"/>
  <c r="AG464" i="41"/>
  <c r="AM464" i="41"/>
  <c r="AL365" i="41"/>
  <c r="AN365" i="41"/>
  <c r="AL82" i="41"/>
  <c r="AK365" i="41" s="1"/>
  <c r="AK82" i="41"/>
  <c r="AJ365" i="41" s="1"/>
  <c r="AF365" i="41"/>
  <c r="AH365" i="41"/>
  <c r="AG365" i="41"/>
  <c r="AM365" i="41"/>
  <c r="AJ82" i="41"/>
  <c r="AI365" i="41" s="1"/>
  <c r="AN414" i="41"/>
  <c r="AJ131" i="41"/>
  <c r="AG414" i="41"/>
  <c r="AF414" i="41"/>
  <c r="AM414" i="41"/>
  <c r="AL131" i="41"/>
  <c r="AK131" i="41"/>
  <c r="AG400" i="41"/>
  <c r="AL117" i="41"/>
  <c r="AK117" i="41"/>
  <c r="AJ117" i="41"/>
  <c r="AN400" i="41"/>
  <c r="AM400" i="41"/>
  <c r="AF400" i="41"/>
  <c r="AN509" i="41"/>
  <c r="AJ226" i="41"/>
  <c r="AL226" i="41"/>
  <c r="AK226" i="41"/>
  <c r="AM509" i="41"/>
  <c r="AG509" i="41"/>
  <c r="AF509" i="41"/>
  <c r="AF377" i="41"/>
  <c r="AL94" i="41"/>
  <c r="AG377" i="41"/>
  <c r="AN377" i="41"/>
  <c r="AK94" i="41"/>
  <c r="AJ94" i="41"/>
  <c r="AM377" i="41"/>
  <c r="AH386" i="41"/>
  <c r="AG386" i="41"/>
  <c r="AK103" i="41"/>
  <c r="AJ386" i="41" s="1"/>
  <c r="AM386" i="41"/>
  <c r="AL103" i="41"/>
  <c r="AK386" i="41" s="1"/>
  <c r="AJ103" i="41"/>
  <c r="AI386" i="41" s="1"/>
  <c r="AL386" i="41"/>
  <c r="AN386" i="41"/>
  <c r="AF386" i="41"/>
  <c r="B177" i="30"/>
  <c r="B78" i="30"/>
  <c r="B99" i="30"/>
  <c r="B207" i="30"/>
  <c r="B81" i="30"/>
  <c r="AK232" i="41"/>
  <c r="AJ515" i="41" s="1"/>
  <c r="AJ232" i="41"/>
  <c r="AI515" i="41" s="1"/>
  <c r="AL515" i="41"/>
  <c r="AL232" i="41"/>
  <c r="AK515" i="41" s="1"/>
  <c r="AM515" i="41"/>
  <c r="AG515" i="41"/>
  <c r="AF515" i="41"/>
  <c r="AN515" i="41"/>
  <c r="AH515" i="41"/>
  <c r="AG430" i="41"/>
  <c r="AM430" i="41"/>
  <c r="AK147" i="41"/>
  <c r="AF430" i="41"/>
  <c r="AJ147" i="41"/>
  <c r="AL147" i="41"/>
  <c r="AN430" i="41"/>
  <c r="B142" i="30"/>
  <c r="AG569" i="41"/>
  <c r="AL286" i="41"/>
  <c r="AJ286" i="41"/>
  <c r="AN569" i="41"/>
  <c r="AF569" i="41"/>
  <c r="AK286" i="41"/>
  <c r="AM569" i="41"/>
  <c r="AM306" i="41"/>
  <c r="AL306" i="41"/>
  <c r="AG306" i="41"/>
  <c r="AL23" i="41"/>
  <c r="AK306" i="41" s="1"/>
  <c r="AF306" i="41"/>
  <c r="AJ23" i="41"/>
  <c r="AI306" i="41" s="1"/>
  <c r="AK23" i="41"/>
  <c r="AJ306" i="41" s="1"/>
  <c r="AN306" i="41"/>
  <c r="AH306" i="41"/>
  <c r="AM303" i="41"/>
  <c r="AG303" i="41"/>
  <c r="AN303" i="41"/>
  <c r="AF303" i="41"/>
  <c r="AJ20" i="41"/>
  <c r="AI303" i="41" s="1"/>
  <c r="AK20" i="41"/>
  <c r="AJ303" i="41" s="1"/>
  <c r="AH303" i="41"/>
  <c r="AL20" i="41"/>
  <c r="AK303" i="41" s="1"/>
  <c r="AL303" i="41"/>
  <c r="AL198" i="41"/>
  <c r="AK481" i="41" s="1"/>
  <c r="AK482" i="41" s="1"/>
  <c r="AG481" i="41"/>
  <c r="AF481" i="41"/>
  <c r="AH481" i="41"/>
  <c r="AH482" i="41" s="1"/>
  <c r="AK198" i="41"/>
  <c r="AJ481" i="41" s="1"/>
  <c r="AJ482" i="41" s="1"/>
  <c r="AN481" i="41"/>
  <c r="AM481" i="41"/>
  <c r="AL481" i="41"/>
  <c r="AL482" i="41" s="1"/>
  <c r="AJ198" i="41"/>
  <c r="AI481" i="41" s="1"/>
  <c r="AI482" i="41" s="1"/>
  <c r="AF351" i="41"/>
  <c r="AN351" i="41"/>
  <c r="AJ68" i="41"/>
  <c r="AK68" i="41"/>
  <c r="AG351" i="41"/>
  <c r="AL68" i="41"/>
  <c r="AM351" i="41"/>
  <c r="AF402" i="41"/>
  <c r="AN402" i="41"/>
  <c r="AL402" i="41"/>
  <c r="AG402" i="41"/>
  <c r="AH402" i="41"/>
  <c r="AM402" i="41"/>
  <c r="AK119" i="41"/>
  <c r="AJ402" i="41" s="1"/>
  <c r="AL119" i="41"/>
  <c r="AK402" i="41" s="1"/>
  <c r="AJ119" i="41"/>
  <c r="AI402" i="41" s="1"/>
  <c r="AJ101" i="41"/>
  <c r="AM384" i="41"/>
  <c r="AG384" i="41"/>
  <c r="AF384" i="41"/>
  <c r="AN384" i="41"/>
  <c r="AK101" i="41"/>
  <c r="AL101" i="41"/>
  <c r="AF535" i="41"/>
  <c r="AJ252" i="41"/>
  <c r="AI535" i="41" s="1"/>
  <c r="AL252" i="41"/>
  <c r="AK535" i="41" s="1"/>
  <c r="AN535" i="41"/>
  <c r="AM535" i="41"/>
  <c r="AL535" i="41"/>
  <c r="AK252" i="41"/>
  <c r="AJ535" i="41" s="1"/>
  <c r="AH535" i="41"/>
  <c r="AG535" i="41"/>
  <c r="AK58" i="41"/>
  <c r="AG341" i="41"/>
  <c r="AM341" i="41"/>
  <c r="AF341" i="41"/>
  <c r="AL58" i="41"/>
  <c r="AN341" i="41"/>
  <c r="AJ58" i="41"/>
  <c r="AK258" i="41"/>
  <c r="AG541" i="41"/>
  <c r="AL258" i="41"/>
  <c r="AJ258" i="41"/>
  <c r="AN541" i="41"/>
  <c r="AF541" i="41"/>
  <c r="AM541" i="41"/>
  <c r="B87" i="30"/>
  <c r="K127" i="30" s="1"/>
  <c r="AJ251" i="41"/>
  <c r="AG534" i="41"/>
  <c r="AF534" i="41"/>
  <c r="AK251" i="41"/>
  <c r="AM534" i="41"/>
  <c r="AL251" i="41"/>
  <c r="AN534" i="41"/>
  <c r="B59" i="30"/>
  <c r="B121" i="30"/>
  <c r="K68" i="30" s="1"/>
  <c r="AM390" i="41"/>
  <c r="AJ107" i="41"/>
  <c r="AI390" i="41" s="1"/>
  <c r="AH390" i="41"/>
  <c r="AL107" i="41"/>
  <c r="AK390" i="41" s="1"/>
  <c r="AK107" i="41"/>
  <c r="AJ390" i="41" s="1"/>
  <c r="AN390" i="41"/>
  <c r="AF390" i="41"/>
  <c r="AG390" i="41"/>
  <c r="AL390" i="41"/>
  <c r="AJ211" i="41"/>
  <c r="AI494" i="41" s="1"/>
  <c r="AI495" i="41" s="1"/>
  <c r="AI496" i="41" s="1"/>
  <c r="AI497" i="41" s="1"/>
  <c r="AI498" i="41" s="1"/>
  <c r="AN494" i="41"/>
  <c r="AH494" i="41"/>
  <c r="AH495" i="41" s="1"/>
  <c r="AH496" i="41" s="1"/>
  <c r="AH497" i="41" s="1"/>
  <c r="AH498" i="41" s="1"/>
  <c r="AK211" i="41"/>
  <c r="AJ494" i="41" s="1"/>
  <c r="AJ495" i="41" s="1"/>
  <c r="AJ496" i="41" s="1"/>
  <c r="AJ497" i="41" s="1"/>
  <c r="AJ498" i="41" s="1"/>
  <c r="AL494" i="41"/>
  <c r="AL495" i="41" s="1"/>
  <c r="AL496" i="41" s="1"/>
  <c r="AL497" i="41" s="1"/>
  <c r="AL498" i="41" s="1"/>
  <c r="AG494" i="41"/>
  <c r="AM494" i="41"/>
  <c r="AF494" i="41"/>
  <c r="AL211" i="41"/>
  <c r="AK494" i="41" s="1"/>
  <c r="AK495" i="41" s="1"/>
  <c r="AK496" i="41" s="1"/>
  <c r="AK497" i="41" s="1"/>
  <c r="AK498" i="41" s="1"/>
  <c r="AK214" i="41"/>
  <c r="AM497" i="41"/>
  <c r="AF497" i="41"/>
  <c r="AL214" i="41"/>
  <c r="AN497" i="41"/>
  <c r="AG497" i="41"/>
  <c r="AJ214" i="41"/>
  <c r="AL368" i="41"/>
  <c r="AL369" i="41" s="1"/>
  <c r="AL370" i="41" s="1"/>
  <c r="AH368" i="41"/>
  <c r="AH369" i="41" s="1"/>
  <c r="AH370" i="41" s="1"/>
  <c r="AG368" i="41"/>
  <c r="AM368" i="41"/>
  <c r="AJ85" i="41"/>
  <c r="AI368" i="41" s="1"/>
  <c r="AI369" i="41" s="1"/>
  <c r="AI370" i="41" s="1"/>
  <c r="AN368" i="41"/>
  <c r="AF368" i="41"/>
  <c r="AL85" i="41"/>
  <c r="AK368" i="41" s="1"/>
  <c r="AK369" i="41" s="1"/>
  <c r="AK370" i="41" s="1"/>
  <c r="AK85" i="41"/>
  <c r="AJ368" i="41" s="1"/>
  <c r="AJ369" i="41" s="1"/>
  <c r="AJ370" i="41" s="1"/>
  <c r="B228" i="30"/>
  <c r="K65" i="30" s="1"/>
  <c r="AN557" i="41"/>
  <c r="AK274" i="41"/>
  <c r="AF557" i="41"/>
  <c r="AL274" i="41"/>
  <c r="AG557" i="41"/>
  <c r="AM557" i="41"/>
  <c r="AJ274" i="41"/>
  <c r="AL146" i="41"/>
  <c r="AK429" i="41" s="1"/>
  <c r="AK430" i="41" s="1"/>
  <c r="AM429" i="41"/>
  <c r="AH429" i="41"/>
  <c r="AH430" i="41" s="1"/>
  <c r="AK146" i="41"/>
  <c r="AJ429" i="41" s="1"/>
  <c r="AJ430" i="41" s="1"/>
  <c r="AG429" i="41"/>
  <c r="AJ146" i="41"/>
  <c r="AI429" i="41" s="1"/>
  <c r="AI430" i="41" s="1"/>
  <c r="AL429" i="41"/>
  <c r="AL430" i="41" s="1"/>
  <c r="AN429" i="41"/>
  <c r="AF429" i="41"/>
  <c r="AF568" i="41"/>
  <c r="AL285" i="41"/>
  <c r="AM568" i="41"/>
  <c r="AJ285" i="41"/>
  <c r="AK285" i="41"/>
  <c r="AG568" i="41"/>
  <c r="AN568" i="41"/>
  <c r="B19" i="30"/>
  <c r="B16" i="30"/>
  <c r="B194" i="30"/>
  <c r="B115" i="30"/>
  <c r="B248" i="30"/>
  <c r="AI445" i="41" l="1"/>
  <c r="AJ512" i="41"/>
  <c r="AJ513" i="41" s="1"/>
  <c r="L9" i="30"/>
  <c r="AK462" i="41"/>
  <c r="AI459" i="41"/>
  <c r="L60" i="30"/>
  <c r="AK438" i="41"/>
  <c r="AK439" i="41" s="1"/>
  <c r="AK455" i="41"/>
  <c r="AK459" i="41"/>
  <c r="AK448" i="41"/>
  <c r="AJ455" i="41"/>
  <c r="AJ448" i="41"/>
  <c r="AJ459" i="41"/>
  <c r="AJ445" i="41"/>
  <c r="AI442" i="41"/>
  <c r="AI462" i="41"/>
  <c r="AJ435" i="41"/>
  <c r="L45" i="30"/>
  <c r="AJ438" i="41"/>
  <c r="AJ439" i="41" s="1"/>
  <c r="AK445" i="41"/>
  <c r="AJ442" i="41"/>
  <c r="AI448" i="41"/>
  <c r="AK435" i="41"/>
  <c r="AI438" i="41"/>
  <c r="AI439" i="41" s="1"/>
  <c r="AK442" i="41"/>
  <c r="AJ462" i="41"/>
  <c r="AI455" i="41"/>
  <c r="L52" i="30"/>
  <c r="L80" i="30"/>
  <c r="L127" i="30"/>
  <c r="L41" i="30"/>
  <c r="L78" i="30"/>
  <c r="L25" i="30"/>
  <c r="L5" i="30"/>
  <c r="L7" i="30"/>
  <c r="L68" i="30"/>
  <c r="L42" i="30"/>
  <c r="L72" i="30"/>
  <c r="L62" i="30"/>
  <c r="L111" i="30"/>
  <c r="K32" i="30"/>
  <c r="L32" i="30"/>
  <c r="K129" i="30"/>
  <c r="L129" i="30"/>
  <c r="B155" i="30"/>
  <c r="K36" i="30" s="1"/>
  <c r="K57" i="30"/>
  <c r="L57" i="30"/>
  <c r="K96" i="30"/>
  <c r="L96" i="30"/>
  <c r="K115" i="30"/>
  <c r="L115" i="30"/>
  <c r="L24" i="30"/>
  <c r="B250" i="30"/>
  <c r="K72" i="30"/>
  <c r="K89" i="30"/>
  <c r="L89" i="30"/>
  <c r="K90" i="30"/>
  <c r="L90" i="30"/>
  <c r="K104" i="30"/>
  <c r="L104" i="30"/>
  <c r="B197" i="30"/>
  <c r="K9" i="30"/>
  <c r="L51" i="30"/>
  <c r="K98" i="30"/>
  <c r="L98" i="30"/>
  <c r="L138" i="30"/>
  <c r="K94" i="30"/>
  <c r="L94" i="30"/>
  <c r="L49" i="30"/>
  <c r="B69" i="30"/>
  <c r="K11" i="30" s="1"/>
  <c r="K88" i="30"/>
  <c r="L88" i="30"/>
  <c r="K54" i="30"/>
  <c r="L54" i="30"/>
  <c r="L77" i="30"/>
  <c r="B258" i="30"/>
  <c r="K70" i="30"/>
  <c r="L70" i="30"/>
  <c r="B90" i="30"/>
  <c r="L33" i="30" s="1"/>
  <c r="K33" i="30"/>
  <c r="K34" i="30"/>
  <c r="L34" i="30"/>
  <c r="L65" i="30"/>
  <c r="L3" i="30"/>
  <c r="L22" i="30"/>
  <c r="B243" i="30"/>
  <c r="K69" i="30" s="1"/>
  <c r="L67" i="30"/>
  <c r="K125" i="30"/>
  <c r="L125" i="30"/>
  <c r="K108" i="30"/>
  <c r="L108" i="30"/>
  <c r="B113" i="30"/>
  <c r="L105" i="30" s="1"/>
  <c r="K105" i="30"/>
  <c r="B126" i="30"/>
  <c r="L10" i="30" s="1"/>
  <c r="K10" i="30"/>
  <c r="B21" i="30"/>
  <c r="K44" i="30" s="1"/>
  <c r="K103" i="30"/>
  <c r="L103" i="30"/>
  <c r="B223" i="30"/>
  <c r="K2" i="30" s="1"/>
  <c r="L64" i="30"/>
  <c r="K110" i="30"/>
  <c r="L110" i="30"/>
  <c r="L4" i="30"/>
  <c r="B117" i="30"/>
  <c r="K130" i="30"/>
  <c r="L130" i="30"/>
  <c r="K123" i="30"/>
  <c r="L123" i="30"/>
  <c r="B270" i="30"/>
  <c r="K30" i="30" s="1"/>
  <c r="K82" i="30"/>
  <c r="L82" i="30"/>
  <c r="K118" i="30"/>
  <c r="L118" i="30"/>
  <c r="L38" i="30"/>
  <c r="L58" i="30"/>
  <c r="L46" i="30"/>
  <c r="B37" i="30"/>
  <c r="L102" i="30" s="1"/>
  <c r="K102" i="30"/>
  <c r="L63" i="30"/>
  <c r="B146" i="30"/>
  <c r="K24" i="30"/>
  <c r="B201" i="30"/>
  <c r="B202" i="30" s="1"/>
  <c r="B203" i="30" s="1"/>
  <c r="L8" i="30" s="1"/>
  <c r="K8" i="30"/>
  <c r="K14" i="30"/>
  <c r="L14" i="30"/>
  <c r="K139" i="30"/>
  <c r="L139" i="30"/>
  <c r="B246" i="30"/>
  <c r="B247" i="30" s="1"/>
  <c r="K12" i="30" s="1"/>
  <c r="K100" i="30"/>
  <c r="L100" i="30"/>
  <c r="K95" i="30"/>
  <c r="L95" i="30"/>
  <c r="K112" i="30"/>
  <c r="L112" i="30"/>
  <c r="B233" i="30"/>
  <c r="K4" i="30"/>
  <c r="B216" i="30"/>
  <c r="B217" i="30" s="1"/>
  <c r="B218" i="30" s="1"/>
  <c r="L29" i="30" s="1"/>
  <c r="K29" i="30"/>
  <c r="K134" i="30"/>
  <c r="L134" i="30"/>
  <c r="K121" i="30"/>
  <c r="L121" i="30"/>
  <c r="K126" i="30"/>
  <c r="L126" i="30"/>
  <c r="K92" i="30"/>
  <c r="L92" i="30"/>
  <c r="B143" i="30"/>
  <c r="K6" i="30" s="1"/>
  <c r="K137" i="30"/>
  <c r="L137" i="30"/>
  <c r="K79" i="30"/>
  <c r="L79" i="30"/>
  <c r="K120" i="30"/>
  <c r="L120" i="30"/>
  <c r="L133" i="30"/>
  <c r="K119" i="30"/>
  <c r="L119" i="30"/>
  <c r="L74" i="30"/>
  <c r="K128" i="30"/>
  <c r="L128" i="30"/>
  <c r="L21" i="30"/>
  <c r="B178" i="30"/>
  <c r="L101" i="30" s="1"/>
  <c r="K101" i="30"/>
  <c r="K91" i="30"/>
  <c r="L91" i="30"/>
  <c r="L93" i="30"/>
  <c r="K40" i="30"/>
  <c r="L40" i="30"/>
  <c r="L61" i="30"/>
  <c r="B64" i="30"/>
  <c r="L20" i="30" s="1"/>
  <c r="B238" i="30"/>
  <c r="B254" i="30"/>
  <c r="L71" i="30" s="1"/>
  <c r="B54" i="30"/>
  <c r="L19" i="30" s="1"/>
  <c r="B108" i="30"/>
  <c r="K37" i="30" s="1"/>
  <c r="B136" i="30"/>
  <c r="L48" i="30" s="1"/>
  <c r="B170" i="30"/>
  <c r="B26" i="30"/>
  <c r="L117" i="30" s="1"/>
  <c r="B265" i="30"/>
  <c r="L84" i="30" s="1"/>
  <c r="B30" i="30"/>
  <c r="L13" i="30" s="1"/>
  <c r="B188" i="30"/>
  <c r="L87" i="30" s="1"/>
  <c r="B82" i="30"/>
  <c r="K76" i="30" s="1"/>
  <c r="B28" i="30"/>
  <c r="B124" i="30"/>
  <c r="L43" i="30" s="1"/>
  <c r="AI562" i="41"/>
  <c r="AI563" i="41" s="1"/>
  <c r="AK562" i="41"/>
  <c r="AK563" i="41" s="1"/>
  <c r="AK564" i="41" s="1"/>
  <c r="AK565" i="41" s="1"/>
  <c r="AL566" i="41"/>
  <c r="AL567" i="41" s="1"/>
  <c r="AL568" i="41" s="1"/>
  <c r="AL569" i="41" s="1"/>
  <c r="AL564" i="41"/>
  <c r="AL565" i="41" s="1"/>
  <c r="AJ566" i="41"/>
  <c r="AJ567" i="41" s="1"/>
  <c r="AJ568" i="41" s="1"/>
  <c r="AJ569" i="41" s="1"/>
  <c r="AJ564" i="41"/>
  <c r="AJ565" i="41" s="1"/>
  <c r="AK566" i="41"/>
  <c r="AK567" i="41" s="1"/>
  <c r="AK568" i="41" s="1"/>
  <c r="AK569" i="41" s="1"/>
  <c r="AI566" i="41"/>
  <c r="AI567" i="41" s="1"/>
  <c r="AI568" i="41" s="1"/>
  <c r="AI569" i="41" s="1"/>
  <c r="AH566" i="41"/>
  <c r="AH567" i="41" s="1"/>
  <c r="AH568" i="41" s="1"/>
  <c r="AH569" i="41" s="1"/>
  <c r="B80" i="30"/>
  <c r="B263" i="30"/>
  <c r="B58" i="30"/>
  <c r="L107" i="30" s="1"/>
  <c r="B15" i="30"/>
  <c r="K114" i="30" s="1"/>
  <c r="B208" i="30"/>
  <c r="B62" i="30"/>
  <c r="L83" i="30" s="1"/>
  <c r="B130" i="30"/>
  <c r="L56" i="30" s="1"/>
  <c r="B66" i="30"/>
  <c r="B195" i="30"/>
  <c r="B168" i="30"/>
  <c r="L59" i="30" s="1"/>
  <c r="B49" i="30"/>
  <c r="B43" i="30"/>
  <c r="B273" i="30"/>
  <c r="B267" i="30"/>
  <c r="B60" i="30"/>
  <c r="B10" i="30"/>
  <c r="L47" i="30" s="1"/>
  <c r="AI564" i="41" l="1"/>
  <c r="AI565" i="41" s="1"/>
  <c r="L69" i="30"/>
  <c r="L114" i="30"/>
  <c r="L11" i="30"/>
  <c r="B38" i="30"/>
  <c r="B39" i="30" s="1"/>
  <c r="L2" i="30"/>
  <c r="L6" i="30"/>
  <c r="K35" i="30"/>
  <c r="L35" i="30"/>
  <c r="K73" i="30"/>
  <c r="L73" i="30"/>
  <c r="K39" i="30"/>
  <c r="L39" i="30"/>
  <c r="B118" i="30"/>
  <c r="B119" i="30" s="1"/>
  <c r="B120" i="30" s="1"/>
  <c r="L16" i="30" s="1"/>
  <c r="K16" i="30"/>
  <c r="K15" i="30"/>
  <c r="L15" i="30"/>
  <c r="K31" i="30"/>
  <c r="L31" i="30"/>
  <c r="L12" i="30"/>
  <c r="K26" i="30"/>
  <c r="L26" i="30"/>
  <c r="K75" i="30"/>
  <c r="L75" i="30"/>
  <c r="K136" i="30"/>
  <c r="L136" i="30"/>
  <c r="B204" i="30"/>
  <c r="B205" i="30" s="1"/>
  <c r="B239" i="30"/>
  <c r="L66" i="30"/>
  <c r="K99" i="30"/>
  <c r="L99" i="30"/>
  <c r="B127" i="30"/>
  <c r="L36" i="30"/>
  <c r="L44" i="30"/>
  <c r="K124" i="30"/>
  <c r="L124" i="30"/>
  <c r="L30" i="30"/>
  <c r="K122" i="30"/>
  <c r="L122" i="30"/>
  <c r="K113" i="30"/>
  <c r="L113" i="30"/>
  <c r="L17" i="30"/>
  <c r="L37" i="30"/>
  <c r="B109" i="30"/>
  <c r="B110" i="30" s="1"/>
  <c r="B31" i="30"/>
  <c r="B83" i="30"/>
  <c r="L76" i="30" s="1"/>
  <c r="B67" i="30"/>
  <c r="B209" i="30"/>
  <c r="B11" i="30"/>
  <c r="B274" i="30"/>
  <c r="B268" i="30"/>
  <c r="B44" i="30"/>
  <c r="B131" i="30"/>
  <c r="K17" i="30" l="1"/>
  <c r="K109" i="30"/>
  <c r="L109" i="30"/>
  <c r="K23" i="30"/>
  <c r="L23" i="30"/>
  <c r="K106" i="30"/>
  <c r="L106" i="30"/>
  <c r="K81" i="30"/>
  <c r="L81" i="30"/>
  <c r="K97" i="30"/>
  <c r="L97" i="30"/>
  <c r="K116" i="30"/>
  <c r="L116" i="30"/>
  <c r="K131" i="30"/>
  <c r="L131" i="30"/>
  <c r="K18" i="30"/>
  <c r="L18" i="30"/>
  <c r="K55" i="30"/>
  <c r="L55" i="30"/>
  <c r="K85" i="30"/>
  <c r="L85" i="30"/>
  <c r="K53" i="30"/>
  <c r="L53" i="30"/>
  <c r="K27" i="30"/>
  <c r="L27" i="30"/>
  <c r="B32" i="30"/>
  <c r="B12" i="30"/>
  <c r="B45" i="30"/>
  <c r="B46" i="30" s="1"/>
  <c r="B210" i="30"/>
  <c r="K132" i="30" l="1"/>
  <c r="L132" i="30"/>
  <c r="K135" i="30"/>
  <c r="L135" i="30"/>
  <c r="K86" i="30"/>
  <c r="L86" i="30"/>
  <c r="B211" i="30"/>
  <c r="K28" i="30" l="1"/>
  <c r="L28" i="30"/>
  <c r="B11" i="33"/>
  <c r="B5" i="33"/>
  <c r="AL98" i="21"/>
  <c r="AF98" i="21"/>
  <c r="AK9" i="21"/>
  <c r="AJ98" i="21" s="1"/>
  <c r="AH98" i="21"/>
  <c r="AG98" i="21"/>
  <c r="AL9" i="21"/>
  <c r="AK98" i="21" s="1"/>
  <c r="AM98" i="21"/>
  <c r="AN98" i="21"/>
  <c r="AJ9" i="21"/>
  <c r="AI98" i="21" s="1"/>
  <c r="AG105" i="21"/>
  <c r="AL16" i="21"/>
  <c r="AF105" i="21"/>
  <c r="AJ16" i="21"/>
  <c r="AM105" i="21"/>
  <c r="AJ13" i="21"/>
  <c r="AL13" i="21"/>
  <c r="AG102" i="21"/>
  <c r="AM102" i="21"/>
  <c r="AF102" i="21"/>
  <c r="AN102" i="21"/>
  <c r="AK13" i="21"/>
  <c r="B8" i="33"/>
  <c r="AH99" i="21"/>
  <c r="AH100" i="21" s="1"/>
  <c r="AL99" i="21"/>
  <c r="AL100" i="21" s="1"/>
  <c r="AJ10" i="21"/>
  <c r="AI99" i="21" s="1"/>
  <c r="AI100" i="21" s="1"/>
  <c r="AG99" i="21"/>
  <c r="AK10" i="21"/>
  <c r="AJ99" i="21" s="1"/>
  <c r="AJ100" i="21" s="1"/>
  <c r="AN99" i="21"/>
  <c r="AM99" i="21"/>
  <c r="AL10" i="21"/>
  <c r="AK99" i="21" s="1"/>
  <c r="AK100" i="21" s="1"/>
  <c r="AF99" i="21"/>
  <c r="AG104" i="21"/>
  <c r="AL104" i="21"/>
  <c r="AN104" i="21"/>
  <c r="AL15" i="21"/>
  <c r="AK15" i="21"/>
  <c r="AJ104" i="21" s="1"/>
  <c r="AJ105" i="21" s="1"/>
  <c r="AM104" i="21"/>
  <c r="AJ15" i="21"/>
  <c r="AI104" i="21" s="1"/>
  <c r="AF104" i="21"/>
  <c r="AK104" i="21"/>
  <c r="AK105" i="21" s="1"/>
  <c r="AH104" i="21"/>
  <c r="AM101" i="21"/>
  <c r="AG101" i="21"/>
  <c r="AL12" i="21"/>
  <c r="AK101" i="21" s="1"/>
  <c r="AK102" i="21" s="1"/>
  <c r="AK103" i="21" s="1"/>
  <c r="AK12" i="21"/>
  <c r="AJ101" i="21" s="1"/>
  <c r="AJ102" i="21" s="1"/>
  <c r="AJ103" i="21" s="1"/>
  <c r="AN101" i="21"/>
  <c r="AH101" i="21"/>
  <c r="AH102" i="21" s="1"/>
  <c r="AH103" i="21" s="1"/>
  <c r="AJ12" i="21"/>
  <c r="AI101" i="21" s="1"/>
  <c r="AI102" i="21" s="1"/>
  <c r="AI103" i="21" s="1"/>
  <c r="AF101" i="21"/>
  <c r="AL101" i="21"/>
  <c r="AL102" i="21" s="1"/>
  <c r="AL103" i="21" s="1"/>
  <c r="AJ14" i="21"/>
  <c r="AF103" i="21"/>
  <c r="AK14" i="21"/>
  <c r="AG103" i="21"/>
  <c r="AN103" i="21"/>
  <c r="AL14" i="21"/>
  <c r="AM103" i="21"/>
  <c r="AM100" i="21"/>
  <c r="AF100" i="21"/>
  <c r="AG100" i="21"/>
  <c r="AN100" i="21"/>
  <c r="AL11" i="21"/>
  <c r="AJ11" i="21"/>
  <c r="AK11" i="21"/>
  <c r="AL105" i="21"/>
  <c r="B6" i="33"/>
  <c r="K49" i="33" l="1"/>
  <c r="L49" i="33"/>
  <c r="L81" i="33"/>
  <c r="K81" i="33"/>
  <c r="B12" i="33"/>
  <c r="B7" i="33"/>
  <c r="B9" i="33"/>
  <c r="AI105" i="21"/>
  <c r="AH105" i="21"/>
  <c r="AK16" i="21"/>
  <c r="AN105" i="21"/>
  <c r="L23" i="33" l="1"/>
  <c r="K23" i="33"/>
  <c r="B10" i="33"/>
  <c r="K48" i="33" l="1"/>
  <c r="L48" i="33"/>
  <c r="B78" i="33"/>
  <c r="B55" i="33"/>
  <c r="K47" i="33" s="1"/>
  <c r="B47" i="33"/>
  <c r="L74" i="33" s="1"/>
  <c r="B43" i="33"/>
  <c r="B44" i="33" s="1"/>
  <c r="B71" i="33"/>
  <c r="K63" i="33" s="1"/>
  <c r="B84" i="33"/>
  <c r="K12" i="33" s="1"/>
  <c r="B85" i="33"/>
  <c r="K85" i="33" s="1"/>
  <c r="B72" i="33"/>
  <c r="B20" i="33"/>
  <c r="L13" i="33" s="1"/>
  <c r="K13" i="33"/>
  <c r="B48" i="33"/>
  <c r="B25" i="33"/>
  <c r="K17" i="33" s="1"/>
  <c r="B73" i="33"/>
  <c r="B18" i="33"/>
  <c r="B33" i="33"/>
  <c r="B75" i="33"/>
  <c r="B63" i="33"/>
  <c r="B40" i="33"/>
  <c r="B53" i="33"/>
  <c r="K74" i="33" s="1"/>
  <c r="AF122" i="21"/>
  <c r="AL33" i="21"/>
  <c r="AM122" i="21"/>
  <c r="AN122" i="21"/>
  <c r="AJ33" i="21"/>
  <c r="AK33" i="21"/>
  <c r="AG122" i="21"/>
  <c r="AG126" i="21"/>
  <c r="AM126" i="21"/>
  <c r="AH126" i="21"/>
  <c r="AL37" i="21"/>
  <c r="AK126" i="21" s="1"/>
  <c r="AK127" i="21" s="1"/>
  <c r="AL126" i="21"/>
  <c r="AL127" i="21" s="1"/>
  <c r="AJ37" i="21"/>
  <c r="AI126" i="21" s="1"/>
  <c r="AI127" i="21" s="1"/>
  <c r="AN126" i="21"/>
  <c r="AF126" i="21"/>
  <c r="AK37" i="21"/>
  <c r="AJ126" i="21" s="1"/>
  <c r="AJ127" i="21" s="1"/>
  <c r="AJ44" i="21"/>
  <c r="AI133" i="21" s="1"/>
  <c r="AI134" i="21" s="1"/>
  <c r="AI135" i="21" s="1"/>
  <c r="AM133" i="21"/>
  <c r="AL44" i="21"/>
  <c r="AK133" i="21" s="1"/>
  <c r="AK134" i="21" s="1"/>
  <c r="AK135" i="21" s="1"/>
  <c r="AL133" i="21"/>
  <c r="AL134" i="21" s="1"/>
  <c r="AL135" i="21" s="1"/>
  <c r="AK44" i="21"/>
  <c r="AJ133" i="21" s="1"/>
  <c r="AJ134" i="21" s="1"/>
  <c r="AJ135" i="21" s="1"/>
  <c r="AG133" i="21"/>
  <c r="AF133" i="21"/>
  <c r="AH133" i="21"/>
  <c r="AN133" i="21"/>
  <c r="AH148" i="21"/>
  <c r="AH149" i="21" s="1"/>
  <c r="AJ59" i="21"/>
  <c r="AI148" i="21" s="1"/>
  <c r="AI149" i="21" s="1"/>
  <c r="AK59" i="21"/>
  <c r="AJ148" i="21" s="1"/>
  <c r="AJ149" i="21" s="1"/>
  <c r="AL148" i="21"/>
  <c r="AL59" i="21"/>
  <c r="AK148" i="21" s="1"/>
  <c r="AK149" i="21" s="1"/>
  <c r="AG148" i="21"/>
  <c r="AN148" i="21"/>
  <c r="AM148" i="21"/>
  <c r="AF148" i="21"/>
  <c r="AJ52" i="21"/>
  <c r="AI141" i="21" s="1"/>
  <c r="AI142" i="21" s="1"/>
  <c r="AI143" i="21" s="1"/>
  <c r="AI144" i="21" s="1"/>
  <c r="AL141" i="21"/>
  <c r="AH141" i="21"/>
  <c r="AH142" i="21" s="1"/>
  <c r="AH143" i="21" s="1"/>
  <c r="AH144" i="21" s="1"/>
  <c r="AK52" i="21"/>
  <c r="AJ141" i="21" s="1"/>
  <c r="AJ142" i="21" s="1"/>
  <c r="AJ143" i="21" s="1"/>
  <c r="AJ144" i="21" s="1"/>
  <c r="AM141" i="21"/>
  <c r="AF141" i="21"/>
  <c r="AL52" i="21"/>
  <c r="AK141" i="21" s="1"/>
  <c r="AK142" i="21" s="1"/>
  <c r="AK143" i="21" s="1"/>
  <c r="AK144" i="21" s="1"/>
  <c r="AN141" i="21"/>
  <c r="AG141" i="21"/>
  <c r="AG130" i="21"/>
  <c r="AJ41" i="21"/>
  <c r="AM130" i="21"/>
  <c r="AL41" i="21"/>
  <c r="AK41" i="21"/>
  <c r="AF130" i="21"/>
  <c r="AN130" i="21"/>
  <c r="AJ81" i="21"/>
  <c r="AG170" i="21"/>
  <c r="AK81" i="21"/>
  <c r="AL81" i="21"/>
  <c r="AN170" i="21"/>
  <c r="AM170" i="21"/>
  <c r="AF170" i="21"/>
  <c r="B21" i="33"/>
  <c r="B22" i="33" s="1"/>
  <c r="AG145" i="21"/>
  <c r="AL145" i="21"/>
  <c r="AM145" i="21"/>
  <c r="AF145" i="21"/>
  <c r="AN145" i="21"/>
  <c r="AH145" i="21"/>
  <c r="AK145" i="21"/>
  <c r="AL56" i="21"/>
  <c r="AJ56" i="21"/>
  <c r="AI145" i="21"/>
  <c r="AK56" i="21"/>
  <c r="AJ145" i="21" s="1"/>
  <c r="B14" i="33"/>
  <c r="K79" i="33" s="1"/>
  <c r="AL26" i="21"/>
  <c r="AJ26" i="21"/>
  <c r="AN115" i="21"/>
  <c r="AM115" i="21"/>
  <c r="AF115" i="21"/>
  <c r="AK26" i="21"/>
  <c r="AG115" i="21"/>
  <c r="AL71" i="21"/>
  <c r="AF160" i="21"/>
  <c r="AK71" i="21"/>
  <c r="AM160" i="21"/>
  <c r="AG160" i="21"/>
  <c r="AN160" i="21"/>
  <c r="AJ71" i="21"/>
  <c r="B52" i="33"/>
  <c r="K84" i="33" s="1"/>
  <c r="B24" i="33"/>
  <c r="B81" i="33"/>
  <c r="B74" i="33"/>
  <c r="AN176" i="21"/>
  <c r="AL87" i="21"/>
  <c r="AJ87" i="21"/>
  <c r="AG176" i="21"/>
  <c r="AK87" i="21"/>
  <c r="AF176" i="21"/>
  <c r="AM176" i="21"/>
  <c r="B41" i="33"/>
  <c r="L70" i="33" s="1"/>
  <c r="AJ86" i="21"/>
  <c r="AN175" i="21"/>
  <c r="AL86" i="21"/>
  <c r="AK86" i="21"/>
  <c r="AM175" i="21"/>
  <c r="AG175" i="21"/>
  <c r="AF175" i="21"/>
  <c r="AF159" i="21"/>
  <c r="AG159" i="21"/>
  <c r="AL70" i="21"/>
  <c r="AJ70" i="21"/>
  <c r="AK70" i="21"/>
  <c r="AM159" i="21"/>
  <c r="AN159" i="21"/>
  <c r="B32" i="33"/>
  <c r="B19" i="33"/>
  <c r="K10" i="33" s="1"/>
  <c r="B57" i="33"/>
  <c r="B64" i="33"/>
  <c r="B65" i="33" s="1"/>
  <c r="AF135" i="21"/>
  <c r="AK46" i="21"/>
  <c r="AM135" i="21"/>
  <c r="AG135" i="21"/>
  <c r="AL46" i="21"/>
  <c r="AN135" i="21"/>
  <c r="AJ46" i="21"/>
  <c r="AF119" i="21"/>
  <c r="AM119" i="21"/>
  <c r="AL30" i="21"/>
  <c r="AN119" i="21"/>
  <c r="AK30" i="21"/>
  <c r="AG119" i="21"/>
  <c r="AJ30" i="21"/>
  <c r="AK58" i="21"/>
  <c r="AM147" i="21"/>
  <c r="AJ58" i="21"/>
  <c r="AL58" i="21"/>
  <c r="AN147" i="21"/>
  <c r="AG147" i="21"/>
  <c r="AF147" i="21"/>
  <c r="AF169" i="21"/>
  <c r="AJ80" i="21"/>
  <c r="AL80" i="21"/>
  <c r="AK80" i="21"/>
  <c r="AM169" i="21"/>
  <c r="AG169" i="21"/>
  <c r="AN169" i="21"/>
  <c r="AM152" i="21"/>
  <c r="AF152" i="21"/>
  <c r="AK63" i="21"/>
  <c r="AJ152" i="21" s="1"/>
  <c r="AJ153" i="21" s="1"/>
  <c r="AJ154" i="21" s="1"/>
  <c r="AJ155" i="21" s="1"/>
  <c r="AL63" i="21"/>
  <c r="AL152" i="21"/>
  <c r="AL153" i="21" s="1"/>
  <c r="AL154" i="21" s="1"/>
  <c r="AL155" i="21" s="1"/>
  <c r="AH152" i="21"/>
  <c r="AH153" i="21" s="1"/>
  <c r="AH154" i="21" s="1"/>
  <c r="AH155" i="21" s="1"/>
  <c r="AN152" i="21"/>
  <c r="AK152" i="21"/>
  <c r="AK153" i="21" s="1"/>
  <c r="AK154" i="21" s="1"/>
  <c r="AK155" i="21" s="1"/>
  <c r="AJ63" i="21"/>
  <c r="AI152" i="21" s="1"/>
  <c r="AI153" i="21" s="1"/>
  <c r="AI154" i="21" s="1"/>
  <c r="AI155" i="21" s="1"/>
  <c r="AG152" i="21"/>
  <c r="AF154" i="21"/>
  <c r="AJ65" i="21"/>
  <c r="AN154" i="21"/>
  <c r="AG154" i="21"/>
  <c r="AK65" i="21"/>
  <c r="AM154" i="21"/>
  <c r="AL65" i="21"/>
  <c r="AF131" i="21"/>
  <c r="AM131" i="21"/>
  <c r="AN131" i="21"/>
  <c r="AG131" i="21"/>
  <c r="AL42" i="21"/>
  <c r="AK42" i="21"/>
  <c r="AJ42" i="21"/>
  <c r="AH134" i="21"/>
  <c r="AH135" i="21" s="1"/>
  <c r="AM134" i="21"/>
  <c r="AG134" i="21"/>
  <c r="AF134" i="21"/>
  <c r="AL45" i="21"/>
  <c r="AN134" i="21"/>
  <c r="AK45" i="21"/>
  <c r="AJ45" i="21"/>
  <c r="AM140" i="21"/>
  <c r="AK51" i="21"/>
  <c r="AJ140" i="21" s="1"/>
  <c r="AL51" i="21"/>
  <c r="AK140" i="21" s="1"/>
  <c r="AL140" i="21"/>
  <c r="AN140" i="21"/>
  <c r="AF140" i="21"/>
  <c r="AG140" i="21"/>
  <c r="AH140" i="21"/>
  <c r="AJ51" i="21"/>
  <c r="AI140" i="21" s="1"/>
  <c r="AL106" i="21"/>
  <c r="AJ17" i="21"/>
  <c r="AI106" i="21" s="1"/>
  <c r="AM106" i="21"/>
  <c r="AF106" i="21"/>
  <c r="AL17" i="21"/>
  <c r="AK106" i="21" s="1"/>
  <c r="AK17" i="21"/>
  <c r="AJ106" i="21" s="1"/>
  <c r="AN106" i="21"/>
  <c r="AG106" i="21"/>
  <c r="AH106" i="21"/>
  <c r="AL171" i="21"/>
  <c r="AK82" i="21"/>
  <c r="AJ171" i="21" s="1"/>
  <c r="AJ172" i="21" s="1"/>
  <c r="AJ173" i="21" s="1"/>
  <c r="AM171" i="21"/>
  <c r="AH171" i="21"/>
  <c r="AH172" i="21" s="1"/>
  <c r="AH173" i="21" s="1"/>
  <c r="AL82" i="21"/>
  <c r="AK171" i="21" s="1"/>
  <c r="AK172" i="21" s="1"/>
  <c r="AK173" i="21" s="1"/>
  <c r="AJ82" i="21"/>
  <c r="AI171" i="21" s="1"/>
  <c r="AI172" i="21" s="1"/>
  <c r="AI173" i="21" s="1"/>
  <c r="AF171" i="21"/>
  <c r="AN171" i="21"/>
  <c r="AG171" i="21"/>
  <c r="AL88" i="21"/>
  <c r="AF177" i="21"/>
  <c r="AK177" i="21"/>
  <c r="AG177" i="21"/>
  <c r="AL177" i="21"/>
  <c r="AK88" i="21"/>
  <c r="AJ177" i="21" s="1"/>
  <c r="AH177" i="21"/>
  <c r="AN177" i="21"/>
  <c r="AM177" i="21"/>
  <c r="AJ88" i="21"/>
  <c r="AI177" i="21" s="1"/>
  <c r="AK35" i="21"/>
  <c r="AN124" i="21"/>
  <c r="AM124" i="21"/>
  <c r="AG124" i="21"/>
  <c r="AJ35" i="21"/>
  <c r="AL35" i="21"/>
  <c r="AF124" i="21"/>
  <c r="AH146" i="21"/>
  <c r="AH147" i="21" s="1"/>
  <c r="AK57" i="21"/>
  <c r="AJ146" i="21" s="1"/>
  <c r="AJ147" i="21" s="1"/>
  <c r="AN146" i="21"/>
  <c r="AM146" i="21"/>
  <c r="AJ57" i="21"/>
  <c r="AI146" i="21" s="1"/>
  <c r="AI147" i="21" s="1"/>
  <c r="AF146" i="21"/>
  <c r="AL57" i="21"/>
  <c r="AK146" i="21" s="1"/>
  <c r="AK147" i="21" s="1"/>
  <c r="AG146" i="21"/>
  <c r="AL146" i="21"/>
  <c r="AL147" i="21" s="1"/>
  <c r="AN123" i="21"/>
  <c r="AL34" i="21"/>
  <c r="AM123" i="21"/>
  <c r="AF123" i="21"/>
  <c r="AJ34" i="21"/>
  <c r="AG123" i="21"/>
  <c r="AK34" i="21"/>
  <c r="AG121" i="21"/>
  <c r="AN121" i="21"/>
  <c r="AM121" i="21"/>
  <c r="AF121" i="21"/>
  <c r="AK32" i="21"/>
  <c r="AL32" i="21"/>
  <c r="AJ32" i="21"/>
  <c r="AJ62" i="21"/>
  <c r="AM151" i="21"/>
  <c r="AN151" i="21"/>
  <c r="AF151" i="21"/>
  <c r="AK62" i="21"/>
  <c r="AL62" i="21"/>
  <c r="AG151" i="21"/>
  <c r="AJ89" i="21"/>
  <c r="AI178" i="21" s="1"/>
  <c r="AI179" i="21" s="1"/>
  <c r="AN178" i="21"/>
  <c r="AK89" i="21"/>
  <c r="AJ178" i="21" s="1"/>
  <c r="AJ179" i="21" s="1"/>
  <c r="AH178" i="21"/>
  <c r="AF178" i="21"/>
  <c r="AG178" i="21"/>
  <c r="AL178" i="21"/>
  <c r="AL179" i="21" s="1"/>
  <c r="AL180" i="21" s="1"/>
  <c r="AL181" i="21" s="1"/>
  <c r="AM178" i="21"/>
  <c r="AL89" i="21"/>
  <c r="AK178" i="21" s="1"/>
  <c r="AK179" i="21" s="1"/>
  <c r="AL128" i="21"/>
  <c r="AL129" i="21" s="1"/>
  <c r="AL130" i="21" s="1"/>
  <c r="AL131" i="21" s="1"/>
  <c r="AL132" i="21" s="1"/>
  <c r="AF128" i="21"/>
  <c r="AG128" i="21"/>
  <c r="AH128" i="21"/>
  <c r="AH129" i="21" s="1"/>
  <c r="AH130" i="21" s="1"/>
  <c r="AH131" i="21" s="1"/>
  <c r="AH132" i="21" s="1"/>
  <c r="AK39" i="21"/>
  <c r="AJ128" i="21" s="1"/>
  <c r="AJ129" i="21" s="1"/>
  <c r="AJ130" i="21" s="1"/>
  <c r="AJ131" i="21" s="1"/>
  <c r="AJ132" i="21" s="1"/>
  <c r="AJ39" i="21"/>
  <c r="AI128" i="21" s="1"/>
  <c r="AI129" i="21" s="1"/>
  <c r="AI130" i="21" s="1"/>
  <c r="AI131" i="21" s="1"/>
  <c r="AI132" i="21" s="1"/>
  <c r="AM128" i="21"/>
  <c r="AL39" i="21"/>
  <c r="AK128" i="21" s="1"/>
  <c r="AK129" i="21" s="1"/>
  <c r="AK130" i="21" s="1"/>
  <c r="AK131" i="21" s="1"/>
  <c r="AK132" i="21" s="1"/>
  <c r="AN128" i="21"/>
  <c r="AF114" i="21"/>
  <c r="AG114" i="21"/>
  <c r="AL25" i="21"/>
  <c r="AK114" i="21" s="1"/>
  <c r="AK115" i="21" s="1"/>
  <c r="AK116" i="21" s="1"/>
  <c r="AJ25" i="21"/>
  <c r="AI114" i="21" s="1"/>
  <c r="AI115" i="21" s="1"/>
  <c r="AI116" i="21" s="1"/>
  <c r="AL114" i="21"/>
  <c r="AL115" i="21" s="1"/>
  <c r="AL116" i="21" s="1"/>
  <c r="AH114" i="21"/>
  <c r="AH115" i="21" s="1"/>
  <c r="AH116" i="21" s="1"/>
  <c r="AM114" i="21"/>
  <c r="AK25" i="21"/>
  <c r="AJ114" i="21" s="1"/>
  <c r="AJ115" i="21" s="1"/>
  <c r="AJ116" i="21" s="1"/>
  <c r="AN114" i="21"/>
  <c r="AJ31" i="21"/>
  <c r="AL31" i="21"/>
  <c r="AK31" i="21"/>
  <c r="AF120" i="21"/>
  <c r="AG120" i="21"/>
  <c r="AM120" i="21"/>
  <c r="AN120" i="21"/>
  <c r="AG116" i="21"/>
  <c r="AN116" i="21"/>
  <c r="AJ27" i="21"/>
  <c r="AK27" i="21"/>
  <c r="AF116" i="21"/>
  <c r="AL27" i="21"/>
  <c r="AM116" i="21"/>
  <c r="AK60" i="21"/>
  <c r="AJ60" i="21"/>
  <c r="AG149" i="21"/>
  <c r="AF149" i="21"/>
  <c r="AL60" i="21"/>
  <c r="AM149" i="21"/>
  <c r="AL149" i="21"/>
  <c r="AN149" i="21"/>
  <c r="AL91" i="21"/>
  <c r="AK91" i="21"/>
  <c r="AG180" i="21"/>
  <c r="AN180" i="21"/>
  <c r="AF180" i="21"/>
  <c r="AM180" i="21"/>
  <c r="AJ91" i="21"/>
  <c r="AJ75" i="21"/>
  <c r="AI164" i="21" s="1"/>
  <c r="AN164" i="21"/>
  <c r="AH164" i="21"/>
  <c r="AL164" i="21"/>
  <c r="AM164" i="21"/>
  <c r="AL75" i="21"/>
  <c r="AK164" i="21" s="1"/>
  <c r="AF164" i="21"/>
  <c r="AK75" i="21"/>
  <c r="AJ164" i="21" s="1"/>
  <c r="AG164" i="21"/>
  <c r="AM132" i="21"/>
  <c r="AG132" i="21"/>
  <c r="AJ43" i="21"/>
  <c r="AF132" i="21"/>
  <c r="AK43" i="21"/>
  <c r="AL43" i="21"/>
  <c r="AN132" i="21"/>
  <c r="AL174" i="21"/>
  <c r="AL175" i="21" s="1"/>
  <c r="AL176" i="21" s="1"/>
  <c r="AM174" i="21"/>
  <c r="AN174" i="21"/>
  <c r="AF174" i="21"/>
  <c r="AJ85" i="21"/>
  <c r="AI174" i="21" s="1"/>
  <c r="AI175" i="21" s="1"/>
  <c r="AI176" i="21" s="1"/>
  <c r="AH174" i="21"/>
  <c r="AH175" i="21" s="1"/>
  <c r="AH176" i="21" s="1"/>
  <c r="AK85" i="21"/>
  <c r="AJ174" i="21" s="1"/>
  <c r="AJ175" i="21" s="1"/>
  <c r="AJ176" i="21" s="1"/>
  <c r="AG174" i="21"/>
  <c r="AL85" i="21"/>
  <c r="AK174" i="21" s="1"/>
  <c r="AK175" i="21" s="1"/>
  <c r="AK176" i="21" s="1"/>
  <c r="AK21" i="21"/>
  <c r="AM110" i="21"/>
  <c r="AN110" i="21"/>
  <c r="AG110" i="21"/>
  <c r="AF110" i="21"/>
  <c r="AJ21" i="21"/>
  <c r="AL21" i="21"/>
  <c r="AM108" i="21"/>
  <c r="AK19" i="21"/>
  <c r="AG108" i="21"/>
  <c r="AJ19" i="21"/>
  <c r="AL19" i="21"/>
  <c r="AF108" i="21"/>
  <c r="AN108" i="21"/>
  <c r="AK50" i="21"/>
  <c r="AG139" i="21"/>
  <c r="AL50" i="21"/>
  <c r="AN139" i="21"/>
  <c r="AJ50" i="21"/>
  <c r="AM139" i="21"/>
  <c r="AF139" i="21"/>
  <c r="AL142" i="21"/>
  <c r="AL143" i="21" s="1"/>
  <c r="AL144" i="21" s="1"/>
  <c r="AF142" i="21"/>
  <c r="AM142" i="21"/>
  <c r="AN142" i="21"/>
  <c r="AJ53" i="21"/>
  <c r="AL53" i="21"/>
  <c r="AG142" i="21"/>
  <c r="AK53" i="21"/>
  <c r="AG137" i="21"/>
  <c r="AK48" i="21"/>
  <c r="AJ48" i="21"/>
  <c r="AN137" i="21"/>
  <c r="AM137" i="21"/>
  <c r="AL48" i="21"/>
  <c r="AF137" i="21"/>
  <c r="AL136" i="21"/>
  <c r="AL137" i="21" s="1"/>
  <c r="AL138" i="21" s="1"/>
  <c r="AL139" i="21" s="1"/>
  <c r="AN136" i="21"/>
  <c r="AH136" i="21"/>
  <c r="AH137" i="21" s="1"/>
  <c r="AH138" i="21" s="1"/>
  <c r="AH139" i="21" s="1"/>
  <c r="AK47" i="21"/>
  <c r="AJ136" i="21" s="1"/>
  <c r="AJ137" i="21" s="1"/>
  <c r="AJ138" i="21" s="1"/>
  <c r="AJ139" i="21" s="1"/>
  <c r="AL47" i="21"/>
  <c r="AK136" i="21" s="1"/>
  <c r="AK137" i="21" s="1"/>
  <c r="AK138" i="21" s="1"/>
  <c r="AK139" i="21" s="1"/>
  <c r="AG136" i="21"/>
  <c r="AJ47" i="21"/>
  <c r="AI136" i="21"/>
  <c r="AI137" i="21" s="1"/>
  <c r="AI138" i="21" s="1"/>
  <c r="AI139" i="21" s="1"/>
  <c r="AM136" i="21"/>
  <c r="AF136" i="21"/>
  <c r="AH163" i="21"/>
  <c r="AK74" i="21"/>
  <c r="AJ163" i="21" s="1"/>
  <c r="AN163" i="21"/>
  <c r="AL74" i="21"/>
  <c r="AK163" i="21" s="1"/>
  <c r="AJ74" i="21"/>
  <c r="AI163" i="21" s="1"/>
  <c r="AM163" i="21"/>
  <c r="AL163" i="21"/>
  <c r="AF163" i="21"/>
  <c r="AG163" i="21"/>
  <c r="AM162" i="21"/>
  <c r="AL73" i="21"/>
  <c r="AK73" i="21"/>
  <c r="AF162" i="21"/>
  <c r="AJ73" i="21"/>
  <c r="AG162" i="21"/>
  <c r="AN162" i="21"/>
  <c r="AM129" i="21"/>
  <c r="AJ40" i="21"/>
  <c r="AG129" i="21"/>
  <c r="AF129" i="21"/>
  <c r="AK40" i="21"/>
  <c r="AL40" i="21"/>
  <c r="AN129" i="21"/>
  <c r="AN113" i="21"/>
  <c r="AH113" i="21"/>
  <c r="AL24" i="21"/>
  <c r="AK113" i="21" s="1"/>
  <c r="AM113" i="21"/>
  <c r="AJ24" i="21"/>
  <c r="AI113" i="21" s="1"/>
  <c r="AK24" i="21"/>
  <c r="AJ113" i="21" s="1"/>
  <c r="AF113" i="21"/>
  <c r="AL113" i="21"/>
  <c r="AG113" i="21"/>
  <c r="AL111" i="21"/>
  <c r="AG111" i="21"/>
  <c r="AN111" i="21"/>
  <c r="AK22" i="21"/>
  <c r="AJ111" i="21" s="1"/>
  <c r="AJ22" i="21"/>
  <c r="AI111" i="21" s="1"/>
  <c r="AH111" i="21"/>
  <c r="AM111" i="21"/>
  <c r="AF111" i="21"/>
  <c r="AL22" i="21"/>
  <c r="AK111" i="21" s="1"/>
  <c r="AJ84" i="21"/>
  <c r="AG173" i="21"/>
  <c r="AK84" i="21"/>
  <c r="AM173" i="21"/>
  <c r="AF173" i="21"/>
  <c r="AL84" i="21"/>
  <c r="AN173" i="21"/>
  <c r="AN172" i="21"/>
  <c r="AM172" i="21"/>
  <c r="AF172" i="21"/>
  <c r="AK83" i="21"/>
  <c r="AG172" i="21"/>
  <c r="AL83" i="21"/>
  <c r="AL172" i="21"/>
  <c r="AL173" i="21" s="1"/>
  <c r="AJ83" i="21"/>
  <c r="AK66" i="21"/>
  <c r="AG155" i="21"/>
  <c r="AN155" i="21"/>
  <c r="AF155" i="21"/>
  <c r="AM155" i="21"/>
  <c r="AL66" i="21"/>
  <c r="AJ66" i="21"/>
  <c r="AF168" i="21"/>
  <c r="AG168" i="21"/>
  <c r="AL79" i="21"/>
  <c r="AK168" i="21" s="1"/>
  <c r="AK169" i="21" s="1"/>
  <c r="AK170" i="21" s="1"/>
  <c r="AK79" i="21"/>
  <c r="AJ168" i="21" s="1"/>
  <c r="AJ169" i="21" s="1"/>
  <c r="AJ170" i="21" s="1"/>
  <c r="AL168" i="21"/>
  <c r="AL169" i="21" s="1"/>
  <c r="AL170" i="21" s="1"/>
  <c r="AJ79" i="21"/>
  <c r="AI168" i="21" s="1"/>
  <c r="AI169" i="21" s="1"/>
  <c r="AI170" i="21" s="1"/>
  <c r="AH168" i="21"/>
  <c r="AH169" i="21" s="1"/>
  <c r="AH170" i="21" s="1"/>
  <c r="AM168" i="21"/>
  <c r="AN168" i="21"/>
  <c r="AL78" i="21"/>
  <c r="AM167" i="21"/>
  <c r="AK167" i="21"/>
  <c r="AL167" i="21"/>
  <c r="AG167" i="21"/>
  <c r="AJ78" i="21"/>
  <c r="AI167" i="21" s="1"/>
  <c r="AF167" i="21"/>
  <c r="AN167" i="21"/>
  <c r="AH167" i="21"/>
  <c r="AK78" i="21"/>
  <c r="AJ167" i="21" s="1"/>
  <c r="AN166" i="21"/>
  <c r="AK77" i="21"/>
  <c r="AJ166" i="21" s="1"/>
  <c r="AH166" i="21"/>
  <c r="AL77" i="21"/>
  <c r="AK166" i="21" s="1"/>
  <c r="AF166" i="21"/>
  <c r="AM166" i="21"/>
  <c r="AG166" i="21"/>
  <c r="AL166" i="21"/>
  <c r="AJ77" i="21"/>
  <c r="AI166" i="21" s="1"/>
  <c r="AK72" i="21"/>
  <c r="AL72" i="21"/>
  <c r="AM161" i="21"/>
  <c r="AN161" i="21"/>
  <c r="AJ72" i="21"/>
  <c r="AG161" i="21"/>
  <c r="AF161" i="21"/>
  <c r="AJ61" i="21"/>
  <c r="AI150" i="21" s="1"/>
  <c r="AI151" i="21" s="1"/>
  <c r="AL61" i="21"/>
  <c r="AK150" i="21" s="1"/>
  <c r="AK151" i="21" s="1"/>
  <c r="AK61" i="21"/>
  <c r="AJ150" i="21" s="1"/>
  <c r="AJ151" i="21" s="1"/>
  <c r="AN150" i="21"/>
  <c r="AH150" i="21"/>
  <c r="AH151" i="21" s="1"/>
  <c r="AL150" i="21"/>
  <c r="AL151" i="21" s="1"/>
  <c r="AF150" i="21"/>
  <c r="AG150" i="21"/>
  <c r="AM150" i="21"/>
  <c r="AM144" i="21"/>
  <c r="AG144" i="21"/>
  <c r="AF144" i="21"/>
  <c r="AK55" i="21"/>
  <c r="AL55" i="21"/>
  <c r="AJ55" i="21"/>
  <c r="AN144" i="21"/>
  <c r="AM118" i="21"/>
  <c r="AL29" i="21"/>
  <c r="AK118" i="21" s="1"/>
  <c r="AK119" i="21" s="1"/>
  <c r="AK120" i="21" s="1"/>
  <c r="AK121" i="21" s="1"/>
  <c r="AK122" i="21" s="1"/>
  <c r="AK123" i="21" s="1"/>
  <c r="AK124" i="21" s="1"/>
  <c r="AG118" i="21"/>
  <c r="AK29" i="21"/>
  <c r="AJ118" i="21" s="1"/>
  <c r="AJ119" i="21" s="1"/>
  <c r="AJ120" i="21" s="1"/>
  <c r="AJ121" i="21" s="1"/>
  <c r="AJ122" i="21" s="1"/>
  <c r="AJ123" i="21" s="1"/>
  <c r="AJ124" i="21" s="1"/>
  <c r="AL118" i="21"/>
  <c r="AL119" i="21" s="1"/>
  <c r="AL120" i="21" s="1"/>
  <c r="AL121" i="21" s="1"/>
  <c r="AL122" i="21" s="1"/>
  <c r="AL123" i="21" s="1"/>
  <c r="AL124" i="21" s="1"/>
  <c r="AH118" i="21"/>
  <c r="AH119" i="21" s="1"/>
  <c r="AH120" i="21" s="1"/>
  <c r="AH121" i="21" s="1"/>
  <c r="AH122" i="21" s="1"/>
  <c r="AH123" i="21" s="1"/>
  <c r="AH124" i="21" s="1"/>
  <c r="AF118" i="21"/>
  <c r="AJ29" i="21"/>
  <c r="AI118" i="21" s="1"/>
  <c r="AI119" i="21" s="1"/>
  <c r="AI120" i="21" s="1"/>
  <c r="AI121" i="21" s="1"/>
  <c r="AI122" i="21" s="1"/>
  <c r="AI123" i="21" s="1"/>
  <c r="AI124" i="21" s="1"/>
  <c r="AN118" i="21"/>
  <c r="AL112" i="21"/>
  <c r="AH112" i="21"/>
  <c r="AL23" i="21"/>
  <c r="AK112" i="21" s="1"/>
  <c r="AK23" i="21"/>
  <c r="AJ112" i="21" s="1"/>
  <c r="AF112" i="21"/>
  <c r="AJ23" i="21"/>
  <c r="AI112" i="21" s="1"/>
  <c r="AN112" i="21"/>
  <c r="AM112" i="21"/>
  <c r="AG112" i="21"/>
  <c r="B76" i="33"/>
  <c r="L59" i="33" s="1"/>
  <c r="B59" i="33"/>
  <c r="K36" i="33"/>
  <c r="AM125" i="21"/>
  <c r="AH125" i="21"/>
  <c r="AL36" i="21"/>
  <c r="AK125" i="21" s="1"/>
  <c r="AJ36" i="21"/>
  <c r="AL125" i="21"/>
  <c r="AG125" i="21"/>
  <c r="AF125" i="21"/>
  <c r="AN125" i="21"/>
  <c r="AK36" i="21"/>
  <c r="AJ125" i="21" s="1"/>
  <c r="AI125" i="21"/>
  <c r="B13" i="33"/>
  <c r="AJ54" i="21"/>
  <c r="AF143" i="21"/>
  <c r="AL54" i="21"/>
  <c r="AN143" i="21"/>
  <c r="AG143" i="21"/>
  <c r="AM143" i="21"/>
  <c r="AK54" i="21"/>
  <c r="AK28" i="21"/>
  <c r="AJ117" i="21" s="1"/>
  <c r="AL28" i="21"/>
  <c r="AK117" i="21" s="1"/>
  <c r="AF117" i="21"/>
  <c r="AM117" i="21"/>
  <c r="AJ28" i="21"/>
  <c r="AI117" i="21" s="1"/>
  <c r="AL117" i="21"/>
  <c r="AG117" i="21"/>
  <c r="AH117" i="21"/>
  <c r="AN117" i="21"/>
  <c r="AJ76" i="21"/>
  <c r="AG165" i="21"/>
  <c r="AK76" i="21"/>
  <c r="AJ165" i="21" s="1"/>
  <c r="AH165" i="21"/>
  <c r="AL76" i="21"/>
  <c r="AK165" i="21" s="1"/>
  <c r="AF165" i="21"/>
  <c r="AI165" i="21"/>
  <c r="AN165" i="21"/>
  <c r="AL165" i="21"/>
  <c r="AM165" i="21"/>
  <c r="AM138" i="21"/>
  <c r="AG138" i="21"/>
  <c r="AN138" i="21"/>
  <c r="AK49" i="21"/>
  <c r="AJ49" i="21"/>
  <c r="AF138" i="21"/>
  <c r="AL49" i="21"/>
  <c r="AK67" i="21"/>
  <c r="AJ156" i="21" s="1"/>
  <c r="AL156" i="21"/>
  <c r="AF156" i="21"/>
  <c r="AN156" i="21"/>
  <c r="AG156" i="21"/>
  <c r="AH156" i="21"/>
  <c r="AJ67" i="21"/>
  <c r="AI156" i="21" s="1"/>
  <c r="AL67" i="21"/>
  <c r="AK156" i="21" s="1"/>
  <c r="AM156" i="21"/>
  <c r="AJ20" i="21"/>
  <c r="AI109" i="21" s="1"/>
  <c r="AI110" i="21" s="1"/>
  <c r="AF109" i="21"/>
  <c r="AL20" i="21"/>
  <c r="AK109" i="21" s="1"/>
  <c r="AK110" i="21" s="1"/>
  <c r="AM109" i="21"/>
  <c r="AL109" i="21"/>
  <c r="AL110" i="21" s="1"/>
  <c r="AG109" i="21"/>
  <c r="AH109" i="21"/>
  <c r="AH110" i="21" s="1"/>
  <c r="AK20" i="21"/>
  <c r="AJ109" i="21" s="1"/>
  <c r="AJ110" i="21" s="1"/>
  <c r="AN109" i="21"/>
  <c r="AN181" i="21"/>
  <c r="AG181" i="21"/>
  <c r="AK92" i="21"/>
  <c r="AL92" i="21"/>
  <c r="AM181" i="21"/>
  <c r="AF181" i="21"/>
  <c r="AJ92" i="21"/>
  <c r="AK18" i="21"/>
  <c r="AJ107" i="21" s="1"/>
  <c r="AJ108" i="21" s="1"/>
  <c r="AL18" i="21"/>
  <c r="AK107" i="21" s="1"/>
  <c r="AK108" i="21" s="1"/>
  <c r="AH107" i="21"/>
  <c r="AH108" i="21" s="1"/>
  <c r="AM107" i="21"/>
  <c r="AJ18" i="21"/>
  <c r="AF107" i="21"/>
  <c r="AG107" i="21"/>
  <c r="AN107" i="21"/>
  <c r="AI107" i="21"/>
  <c r="AI108" i="21" s="1"/>
  <c r="AL107" i="21"/>
  <c r="AL108" i="21" s="1"/>
  <c r="AG127" i="21"/>
  <c r="AN127" i="21"/>
  <c r="AF127" i="21"/>
  <c r="AH127" i="21"/>
  <c r="AK38" i="21"/>
  <c r="AL38" i="21"/>
  <c r="AM127" i="21"/>
  <c r="AJ38" i="21"/>
  <c r="AG153" i="21"/>
  <c r="AL64" i="21"/>
  <c r="AN153" i="21"/>
  <c r="AK64" i="21"/>
  <c r="AJ64" i="21"/>
  <c r="AM153" i="21"/>
  <c r="AF153" i="21"/>
  <c r="AG179" i="21"/>
  <c r="AL90" i="21"/>
  <c r="AH179" i="21"/>
  <c r="AH180" i="21" s="1"/>
  <c r="AH181" i="21" s="1"/>
  <c r="AK90" i="21"/>
  <c r="AM179" i="21"/>
  <c r="AN179" i="21"/>
  <c r="AJ90" i="21"/>
  <c r="AF179" i="21"/>
  <c r="B16" i="33"/>
  <c r="B17" i="33" s="1"/>
  <c r="AK69" i="21"/>
  <c r="AL69" i="21"/>
  <c r="AG158" i="21"/>
  <c r="AF158" i="21"/>
  <c r="AL158" i="21"/>
  <c r="AL159" i="21" s="1"/>
  <c r="AL160" i="21" s="1"/>
  <c r="AL161" i="21" s="1"/>
  <c r="AL162" i="21" s="1"/>
  <c r="AM158" i="21"/>
  <c r="AN158" i="21"/>
  <c r="AJ69" i="21"/>
  <c r="B70" i="33"/>
  <c r="AL68" i="21"/>
  <c r="AK157" i="21" s="1"/>
  <c r="AK158" i="21" s="1"/>
  <c r="AK159" i="21" s="1"/>
  <c r="AK160" i="21" s="1"/>
  <c r="AK161" i="21" s="1"/>
  <c r="AK162" i="21" s="1"/>
  <c r="AJ68" i="21"/>
  <c r="AI157" i="21" s="1"/>
  <c r="AI158" i="21" s="1"/>
  <c r="AI159" i="21" s="1"/>
  <c r="AI160" i="21" s="1"/>
  <c r="AI161" i="21" s="1"/>
  <c r="AI162" i="21" s="1"/>
  <c r="AH157" i="21"/>
  <c r="AH158" i="21" s="1"/>
  <c r="AH159" i="21" s="1"/>
  <c r="AH160" i="21" s="1"/>
  <c r="AH161" i="21" s="1"/>
  <c r="AH162" i="21" s="1"/>
  <c r="AF157" i="21"/>
  <c r="AL157" i="21"/>
  <c r="AN157" i="21"/>
  <c r="AG157" i="21"/>
  <c r="AM157" i="21"/>
  <c r="AK68" i="21"/>
  <c r="AJ157" i="21" s="1"/>
  <c r="AJ158" i="21" s="1"/>
  <c r="AJ159" i="21" s="1"/>
  <c r="AJ160" i="21" s="1"/>
  <c r="AJ161" i="21" s="1"/>
  <c r="AJ162" i="21" s="1"/>
  <c r="B35" i="33"/>
  <c r="L51" i="33" l="1"/>
  <c r="L83" i="33"/>
  <c r="L78" i="33"/>
  <c r="K78" i="33"/>
  <c r="L80" i="33"/>
  <c r="B60" i="33"/>
  <c r="K25" i="33"/>
  <c r="L25" i="33"/>
  <c r="L21" i="33"/>
  <c r="K21" i="33"/>
  <c r="AI180" i="21"/>
  <c r="AI181" i="21" s="1"/>
  <c r="L76" i="33"/>
  <c r="K40" i="33"/>
  <c r="K29" i="33"/>
  <c r="L29" i="33"/>
  <c r="K31" i="33"/>
  <c r="K20" i="33"/>
  <c r="L20" i="33"/>
  <c r="B79" i="33"/>
  <c r="B80" i="33" s="1"/>
  <c r="K50" i="33"/>
  <c r="L50" i="33"/>
  <c r="K83" i="33"/>
  <c r="L10" i="33"/>
  <c r="B82" i="33"/>
  <c r="L52" i="33" s="1"/>
  <c r="K59" i="33"/>
  <c r="K61" i="33"/>
  <c r="B58" i="33"/>
  <c r="L31" i="33" s="1"/>
  <c r="B49" i="33"/>
  <c r="L79" i="33"/>
  <c r="B56" i="33"/>
  <c r="L72" i="33"/>
  <c r="B86" i="33"/>
  <c r="B87" i="33" s="1"/>
  <c r="B88" i="33" s="1"/>
  <c r="B26" i="33"/>
  <c r="L5" i="33" s="1"/>
  <c r="L84" i="33"/>
  <c r="K3" i="33"/>
  <c r="L12" i="33"/>
  <c r="B15" i="33"/>
  <c r="K67" i="33"/>
  <c r="B36" i="33"/>
  <c r="L67" i="33"/>
  <c r="L17" i="33"/>
  <c r="L6" i="33"/>
  <c r="B54" i="33"/>
  <c r="K75" i="33" s="1"/>
  <c r="L63" i="33"/>
  <c r="AJ180" i="21"/>
  <c r="AJ181" i="21" s="1"/>
  <c r="AK180" i="21"/>
  <c r="AK181" i="21" s="1"/>
  <c r="B45" i="33"/>
  <c r="K32" i="33"/>
  <c r="L32" i="33"/>
  <c r="L2" i="33"/>
  <c r="K2" i="33"/>
  <c r="B23" i="33"/>
  <c r="K76" i="33" s="1"/>
  <c r="L42" i="33"/>
  <c r="K42" i="33"/>
  <c r="L14" i="33"/>
  <c r="K14" i="33"/>
  <c r="L4" i="33"/>
  <c r="K4" i="33"/>
  <c r="L37" i="33"/>
  <c r="K37" i="33"/>
  <c r="B61" i="33"/>
  <c r="L36" i="33"/>
  <c r="K52" i="33"/>
  <c r="L3" i="33"/>
  <c r="K72" i="33"/>
  <c r="B66" i="33"/>
  <c r="B77" i="33"/>
  <c r="K51" i="33" s="1"/>
  <c r="K6" i="33"/>
  <c r="L61" i="33"/>
  <c r="L40" i="33"/>
  <c r="K80" i="33"/>
  <c r="L47" i="33"/>
  <c r="B34" i="33"/>
  <c r="B42" i="33"/>
  <c r="K70" i="33"/>
  <c r="L75" i="33" l="1"/>
  <c r="L60" i="33"/>
  <c r="K60" i="33"/>
  <c r="L22" i="33"/>
  <c r="K22" i="33"/>
  <c r="B83" i="33"/>
  <c r="L28" i="33"/>
  <c r="K28" i="33"/>
  <c r="B50" i="33"/>
  <c r="K30" i="33"/>
  <c r="L30" i="33"/>
  <c r="L26" i="33"/>
  <c r="K26" i="33"/>
  <c r="K41" i="33"/>
  <c r="K82" i="33"/>
  <c r="L82" i="33"/>
  <c r="L41" i="33"/>
  <c r="B37" i="33"/>
  <c r="L15" i="33"/>
  <c r="L39" i="33"/>
  <c r="K39" i="33"/>
  <c r="K5" i="33"/>
  <c r="B27" i="33"/>
  <c r="K15" i="33"/>
  <c r="K18" i="33"/>
  <c r="L18" i="33"/>
  <c r="L53" i="33"/>
  <c r="K53" i="33"/>
  <c r="B67" i="33"/>
  <c r="L46" i="33"/>
  <c r="K46" i="33"/>
  <c r="K64" i="33"/>
  <c r="L64" i="33"/>
  <c r="L62" i="33"/>
  <c r="K62" i="33"/>
  <c r="L71" i="33"/>
  <c r="K71" i="33"/>
  <c r="L33" i="33"/>
  <c r="K33" i="33"/>
  <c r="B62" i="33"/>
  <c r="K73" i="33"/>
  <c r="B46" i="33"/>
  <c r="L73" i="33"/>
  <c r="L65" i="33"/>
  <c r="K65" i="33"/>
  <c r="K43" i="33" l="1"/>
  <c r="L43" i="33"/>
  <c r="B51" i="33"/>
  <c r="L34" i="33"/>
  <c r="K34" i="33"/>
  <c r="K24" i="33"/>
  <c r="L24" i="33"/>
  <c r="L57" i="33"/>
  <c r="K57" i="33"/>
  <c r="L27" i="33"/>
  <c r="K27" i="33"/>
  <c r="L16" i="33"/>
  <c r="K16" i="33"/>
  <c r="B28" i="33"/>
  <c r="L68" i="33"/>
  <c r="B38" i="33"/>
  <c r="K68" i="33"/>
  <c r="L38" i="33"/>
  <c r="K38" i="33"/>
  <c r="K54" i="33"/>
  <c r="B68" i="33"/>
  <c r="L54" i="33"/>
  <c r="K35" i="33"/>
  <c r="L35" i="33"/>
  <c r="L66" i="33" l="1"/>
  <c r="K66" i="33"/>
  <c r="L44" i="33"/>
  <c r="K44" i="33"/>
  <c r="K77" i="33"/>
  <c r="L77" i="33"/>
  <c r="B39" i="33"/>
  <c r="L7" i="33"/>
  <c r="K7" i="33"/>
  <c r="B29" i="33"/>
  <c r="B69" i="33"/>
  <c r="K55" i="33"/>
  <c r="L55" i="33"/>
  <c r="L58" i="33" l="1"/>
  <c r="K58" i="33"/>
  <c r="L45" i="33"/>
  <c r="K45" i="33"/>
  <c r="L8" i="33"/>
  <c r="B30" i="33"/>
  <c r="K8" i="33"/>
  <c r="K69" i="33"/>
  <c r="L69" i="33"/>
  <c r="L56" i="33"/>
  <c r="K56" i="33"/>
  <c r="K9" i="33" l="1"/>
  <c r="B31" i="33"/>
  <c r="L9" i="33"/>
  <c r="K11" i="33" l="1"/>
  <c r="L11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TAKASHI NAGAI</author>
  </authors>
  <commentList>
    <comment ref="AO14" authorId="0" shapeId="0" xr:uid="{F9B1C9EA-51A9-4875-B3D6-F06A172C1F71}">
      <text>
        <r>
          <rPr>
            <b/>
            <sz val="9"/>
            <color indexed="81"/>
            <rFont val="MS P ゴシック"/>
            <family val="3"/>
            <charset val="128"/>
          </rPr>
          <t>TAKASHI NAGAI:</t>
        </r>
        <r>
          <rPr>
            <sz val="9"/>
            <color indexed="81"/>
            <rFont val="MS P ゴシック"/>
            <family val="3"/>
            <charset val="128"/>
          </rPr>
          <t xml:space="preserve">
Qualcomm/SAIL上のUDS/Clientでダイアグツール接続判定に利用
</t>
        </r>
      </text>
    </comment>
  </commentList>
</comments>
</file>

<file path=xl/sharedStrings.xml><?xml version="1.0" encoding="utf-8"?>
<sst xmlns="http://schemas.openxmlformats.org/spreadsheetml/2006/main" count="23192" uniqueCount="8495">
  <si>
    <t>can_rscf4_cfg.h
CAN_CFG_ID_VALUE_5_MB###</t>
    <phoneticPr fontId="4"/>
  </si>
  <si>
    <t>can_rscf4_cfg.h
CAN_CFG_FILTER_MASK_VALUE_#</t>
    <phoneticPr fontId="4"/>
  </si>
  <si>
    <t>Message Inf.</t>
  </si>
  <si>
    <t>0x00000013</t>
  </si>
  <si>
    <t>0x00000000</t>
    <phoneticPr fontId="4"/>
  </si>
  <si>
    <t>CAN_CFG_ID_VALUE_5_MB</t>
  </si>
  <si>
    <t>0x00000008</t>
  </si>
  <si>
    <t/>
  </si>
  <si>
    <t>G2M-1</t>
    <phoneticPr fontId="4"/>
  </si>
  <si>
    <t>G2M-2</t>
    <phoneticPr fontId="4"/>
  </si>
  <si>
    <t>G5M</t>
    <phoneticPr fontId="4"/>
  </si>
  <si>
    <t>0x00000062</t>
  </si>
  <si>
    <t>CAN
ID</t>
  </si>
  <si>
    <t>Msg. Label</t>
    <phoneticPr fontId="4"/>
  </si>
  <si>
    <t>FDF</t>
  </si>
  <si>
    <t>DLC</t>
  </si>
  <si>
    <t>Com.
Trans.
Cycle</t>
  </si>
  <si>
    <t>KZK Message/C-DC Only</t>
    <phoneticPr fontId="4"/>
  </si>
  <si>
    <t>Cockpit Domain Controller</t>
  </si>
  <si>
    <t>Msg. Label</t>
  </si>
  <si>
    <t>KZK Message/C-DC Only</t>
  </si>
  <si>
    <t>(11bit/29bit)</t>
    <phoneticPr fontId="4"/>
  </si>
  <si>
    <t>(0/1)</t>
  </si>
  <si>
    <t>(dec)</t>
  </si>
  <si>
    <t>(ms)</t>
  </si>
  <si>
    <t>(11bit/29bit)</t>
  </si>
  <si>
    <t>0x00000069</t>
  </si>
  <si>
    <t>013</t>
  </si>
  <si>
    <t>BDC1S52</t>
  </si>
  <si>
    <t>1</t>
  </si>
  <si>
    <t>-</t>
  </si>
  <si>
    <t>0</t>
  </si>
  <si>
    <t>R</t>
  </si>
  <si>
    <t>0x00000086</t>
  </si>
  <si>
    <t>01B</t>
  </si>
  <si>
    <t>BDC1S60</t>
  </si>
  <si>
    <t>0x00000100</t>
  </si>
  <si>
    <t>062</t>
  </si>
  <si>
    <t>EPS1S11</t>
  </si>
  <si>
    <t>0x0000009C</t>
  </si>
  <si>
    <t>069</t>
  </si>
  <si>
    <t>VSC1G12</t>
  </si>
  <si>
    <t>VSC1F01</t>
  </si>
  <si>
    <t>06A</t>
  </si>
  <si>
    <t>0x00000002</t>
  </si>
  <si>
    <t>0x000000A4</t>
  </si>
  <si>
    <t>NOUSE</t>
  </si>
  <si>
    <t>086</t>
  </si>
  <si>
    <t>ZN11S08</t>
  </si>
  <si>
    <t>0x000000B7</t>
  </si>
  <si>
    <t>09C</t>
  </si>
  <si>
    <t>BDC1S40</t>
  </si>
  <si>
    <t>BDC1S30</t>
  </si>
  <si>
    <t>186</t>
  </si>
  <si>
    <t>0x000000B8</t>
  </si>
  <si>
    <t>09E</t>
  </si>
  <si>
    <t>VSC1G13</t>
  </si>
  <si>
    <t>0x000000FC</t>
  </si>
  <si>
    <t>0A4</t>
  </si>
  <si>
    <t>ENG1G03</t>
  </si>
  <si>
    <t>0B7</t>
  </si>
  <si>
    <t>VSC1G14</t>
  </si>
  <si>
    <t>0x00000400</t>
  </si>
  <si>
    <t>0B8</t>
  </si>
  <si>
    <t>DDM1S12</t>
  </si>
  <si>
    <t>0x00000122</t>
  </si>
  <si>
    <t>0FC</t>
  </si>
  <si>
    <t>ENG1G92</t>
  </si>
  <si>
    <t>0x00000124</t>
  </si>
  <si>
    <t>100</t>
  </si>
  <si>
    <t>FCM1S79</t>
  </si>
  <si>
    <t>0x00000080</t>
  </si>
  <si>
    <t>122</t>
  </si>
  <si>
    <t>DMC1S08</t>
  </si>
  <si>
    <t>0x00000128</t>
  </si>
  <si>
    <t>124</t>
  </si>
  <si>
    <t>BAT1S08</t>
  </si>
  <si>
    <t>ZN11S38</t>
  </si>
  <si>
    <t>500</t>
  </si>
  <si>
    <t>0x00000140</t>
  </si>
  <si>
    <t>128</t>
  </si>
  <si>
    <t>EHV1G30</t>
  </si>
  <si>
    <t>140</t>
  </si>
  <si>
    <t>BDC1S23</t>
  </si>
  <si>
    <t>148</t>
  </si>
  <si>
    <t>BDC1S41</t>
  </si>
  <si>
    <t>BDC1SA0</t>
  </si>
  <si>
    <t>1A4</t>
  </si>
  <si>
    <t>0x00000090</t>
  </si>
  <si>
    <t>14B</t>
  </si>
  <si>
    <t>IDT1S08</t>
  </si>
  <si>
    <t>0x00000148</t>
  </si>
  <si>
    <t>14D</t>
  </si>
  <si>
    <t>RCP1S01</t>
  </si>
  <si>
    <t>0x00000010</t>
  </si>
  <si>
    <t>14F</t>
  </si>
  <si>
    <t>RCP1S03</t>
  </si>
  <si>
    <t>BDC1S82</t>
  </si>
  <si>
    <t>150</t>
  </si>
  <si>
    <t>0x0000014B</t>
  </si>
  <si>
    <t>ADC1S31</t>
  </si>
  <si>
    <t>1C0</t>
  </si>
  <si>
    <t>0x00000004</t>
  </si>
  <si>
    <t>EHV1S23</t>
  </si>
  <si>
    <t>1D0</t>
  </si>
  <si>
    <t>0x0000014D</t>
  </si>
  <si>
    <t>158</t>
  </si>
  <si>
    <t>DDM1S77</t>
  </si>
  <si>
    <t>15A</t>
  </si>
  <si>
    <t>FCM1S78</t>
  </si>
  <si>
    <t>0x0000015A</t>
  </si>
  <si>
    <t>16E</t>
  </si>
  <si>
    <t>BAT1E45</t>
  </si>
  <si>
    <t>0x0000016E</t>
  </si>
  <si>
    <t>17E</t>
  </si>
  <si>
    <t>ADC1S11</t>
  </si>
  <si>
    <t>0x0000018D</t>
  </si>
  <si>
    <t>18D</t>
  </si>
  <si>
    <t>BDF3S02</t>
  </si>
  <si>
    <t>0x0000019A</t>
  </si>
  <si>
    <t>19A</t>
  </si>
  <si>
    <t>BDR3S02</t>
  </si>
  <si>
    <t>0x000001A0</t>
  </si>
  <si>
    <t>1A0</t>
  </si>
  <si>
    <t>BDC1S87</t>
  </si>
  <si>
    <t>0x000001B2</t>
  </si>
  <si>
    <t>0x000001BB</t>
  </si>
  <si>
    <t>1B2</t>
  </si>
  <si>
    <t>FCM1S90</t>
  </si>
  <si>
    <t>0x00000200</t>
  </si>
  <si>
    <t>1BB</t>
  </si>
  <si>
    <t>SOL1S06</t>
  </si>
  <si>
    <t>0x000001BC</t>
  </si>
  <si>
    <t>1BC</t>
  </si>
  <si>
    <t>EHV1E96</t>
  </si>
  <si>
    <t>1BE</t>
  </si>
  <si>
    <t>ZN21S28</t>
  </si>
  <si>
    <t>0x000001CA</t>
  </si>
  <si>
    <t>0x000001CC</t>
  </si>
  <si>
    <t>ZN11SF9</t>
  </si>
  <si>
    <t>3BB</t>
  </si>
  <si>
    <t>0x000001CE</t>
  </si>
  <si>
    <t>1CA</t>
  </si>
  <si>
    <t>EPS1S90</t>
  </si>
  <si>
    <t>1CC</t>
  </si>
  <si>
    <t>PDC1G01</t>
  </si>
  <si>
    <t>1CE</t>
  </si>
  <si>
    <t>ZN21S52</t>
  </si>
  <si>
    <t>0x00000011</t>
  </si>
  <si>
    <t>1CF</t>
  </si>
  <si>
    <t>BDB1S01</t>
  </si>
  <si>
    <t>0x000001D2</t>
  </si>
  <si>
    <t>1D1</t>
  </si>
  <si>
    <t>PMN1G03</t>
  </si>
  <si>
    <t>1D2</t>
  </si>
  <si>
    <t>BDC1S33</t>
  </si>
  <si>
    <t>ZN11S14</t>
  </si>
  <si>
    <t>1DE</t>
  </si>
  <si>
    <t>1D3</t>
  </si>
  <si>
    <t>BDC1S46</t>
  </si>
  <si>
    <t>ZN11S17</t>
  </si>
  <si>
    <t>1DF</t>
  </si>
  <si>
    <t>0x00000201</t>
  </si>
  <si>
    <t>1D7</t>
  </si>
  <si>
    <t>DDM1S17</t>
  </si>
  <si>
    <t>0x000001D7</t>
  </si>
  <si>
    <t>1D9</t>
  </si>
  <si>
    <t>CMB1S03</t>
  </si>
  <si>
    <t>0x000001D9</t>
  </si>
  <si>
    <t>1DD</t>
  </si>
  <si>
    <t>ARS1S90</t>
  </si>
  <si>
    <t>ZN11S64</t>
  </si>
  <si>
    <t>3D2</t>
  </si>
  <si>
    <t>0x000001E1</t>
  </si>
  <si>
    <t>BDC1SE1</t>
  </si>
  <si>
    <t>3D3</t>
  </si>
  <si>
    <t>1E1</t>
  </si>
  <si>
    <t>ZN21S05</t>
  </si>
  <si>
    <t>0x000001EA</t>
  </si>
  <si>
    <t>1E3</t>
  </si>
  <si>
    <t>BDC1S81</t>
  </si>
  <si>
    <t>1EA</t>
  </si>
  <si>
    <t>SOL1S05</t>
  </si>
  <si>
    <t>0x000001EB</t>
  </si>
  <si>
    <t>1EB</t>
  </si>
  <si>
    <t>SOL1S04</t>
  </si>
  <si>
    <t>0x000001F4</t>
  </si>
  <si>
    <t>1F4</t>
  </si>
  <si>
    <t>BDB1F03</t>
  </si>
  <si>
    <t>0x00000202</t>
  </si>
  <si>
    <t>1FA</t>
  </si>
  <si>
    <t>EHV1S96</t>
  </si>
  <si>
    <t>202</t>
  </si>
  <si>
    <t>EHV2G70</t>
  </si>
  <si>
    <t>0x00000204</t>
  </si>
  <si>
    <t>204</t>
  </si>
  <si>
    <t>PLG1S21</t>
  </si>
  <si>
    <t>207</t>
  </si>
  <si>
    <t>ADC1S13</t>
  </si>
  <si>
    <t>0x00000207</t>
  </si>
  <si>
    <t>20B</t>
  </si>
  <si>
    <t>ADC1S23</t>
  </si>
  <si>
    <t>0x0000020B</t>
  </si>
  <si>
    <t>20E</t>
  </si>
  <si>
    <t>ADU1S07</t>
  </si>
  <si>
    <t>BDC1SV2</t>
  </si>
  <si>
    <t>602</t>
  </si>
  <si>
    <t>0x0000020E</t>
  </si>
  <si>
    <t>214</t>
  </si>
  <si>
    <t>BAT1E41</t>
  </si>
  <si>
    <t>0x00000235</t>
  </si>
  <si>
    <t>235</t>
  </si>
  <si>
    <t>BSR1S02</t>
  </si>
  <si>
    <t>0x00000251</t>
  </si>
  <si>
    <t>251</t>
  </si>
  <si>
    <t>FCM1S39</t>
  </si>
  <si>
    <t>255</t>
  </si>
  <si>
    <t>ACN1S25</t>
  </si>
  <si>
    <t>0x0000025A</t>
  </si>
  <si>
    <t>25A</t>
  </si>
  <si>
    <t>FCM1S70</t>
  </si>
  <si>
    <t>27B</t>
  </si>
  <si>
    <t>ITS1S08</t>
  </si>
  <si>
    <t>0x0000027B</t>
  </si>
  <si>
    <t>0x00000282</t>
  </si>
  <si>
    <t>282</t>
  </si>
  <si>
    <t>DDM1SFH</t>
  </si>
  <si>
    <t>285</t>
  </si>
  <si>
    <t>DS11S27</t>
  </si>
  <si>
    <t>0x00000285</t>
  </si>
  <si>
    <t>295</t>
  </si>
  <si>
    <t>PLG1G15</t>
  </si>
  <si>
    <t>DDM1S20</t>
  </si>
  <si>
    <t>2DA</t>
  </si>
  <si>
    <t>0x00000295</t>
  </si>
  <si>
    <t>296</t>
  </si>
  <si>
    <t>PLG1G16</t>
  </si>
  <si>
    <t>2A6</t>
  </si>
  <si>
    <t>PLG1S20</t>
  </si>
  <si>
    <t>0x00000296</t>
  </si>
  <si>
    <t>2AF</t>
  </si>
  <si>
    <t>BSR1S03</t>
  </si>
  <si>
    <t>ACN1S05</t>
  </si>
  <si>
    <t>382</t>
  </si>
  <si>
    <t>0x000002A6</t>
  </si>
  <si>
    <t>2B3</t>
  </si>
  <si>
    <t>BDC1SH8</t>
  </si>
  <si>
    <t>0x000002AF</t>
  </si>
  <si>
    <t>0x000002B3</t>
  </si>
  <si>
    <t>2E5</t>
  </si>
  <si>
    <t>DDM1S35</t>
  </si>
  <si>
    <t>BDC1SC2</t>
  </si>
  <si>
    <t>395</t>
  </si>
  <si>
    <t>0x00000040</t>
  </si>
  <si>
    <t>2EB</t>
  </si>
  <si>
    <t>EHV1SL2</t>
  </si>
  <si>
    <t>0x000002E5</t>
  </si>
  <si>
    <t>2EE</t>
  </si>
  <si>
    <t>DDM1S16</t>
  </si>
  <si>
    <t>0x000002EB</t>
  </si>
  <si>
    <t>2F3</t>
  </si>
  <si>
    <t>CMB1S04</t>
  </si>
  <si>
    <t>0x000002EE</t>
  </si>
  <si>
    <t>2F9</t>
  </si>
  <si>
    <t>WIP1S01</t>
  </si>
  <si>
    <t>0x000002F9</t>
  </si>
  <si>
    <t>2FD</t>
  </si>
  <si>
    <t>SCS1S11</t>
  </si>
  <si>
    <t>305</t>
  </si>
  <si>
    <t>BDB1S26</t>
  </si>
  <si>
    <t>0x00000305</t>
  </si>
  <si>
    <t>306</t>
  </si>
  <si>
    <t>BDB1S25</t>
  </si>
  <si>
    <t>0x00000020</t>
  </si>
  <si>
    <t>312</t>
  </si>
  <si>
    <t>BDC1S13</t>
  </si>
  <si>
    <t>0x00000306</t>
  </si>
  <si>
    <t>314</t>
  </si>
  <si>
    <t>ITS1S05</t>
  </si>
  <si>
    <t>0x00000312</t>
  </si>
  <si>
    <t>317</t>
  </si>
  <si>
    <t>DS11S37</t>
  </si>
  <si>
    <t>318</t>
  </si>
  <si>
    <t>VAS1S01</t>
  </si>
  <si>
    <t>0x00000314</t>
  </si>
  <si>
    <t>31E</t>
  </si>
  <si>
    <t>BDC1SI4</t>
  </si>
  <si>
    <t>EHV1S31</t>
  </si>
  <si>
    <t>325</t>
  </si>
  <si>
    <t>0x00000317</t>
  </si>
  <si>
    <t>31F</t>
  </si>
  <si>
    <t>BDC1SI5</t>
  </si>
  <si>
    <t>320</t>
  </si>
  <si>
    <t>BDC1S14</t>
  </si>
  <si>
    <t>321</t>
  </si>
  <si>
    <t>BDC1SI6</t>
  </si>
  <si>
    <t>0x00000028</t>
  </si>
  <si>
    <t>0x00000318</t>
  </si>
  <si>
    <t>328</t>
  </si>
  <si>
    <t>RST1S03</t>
  </si>
  <si>
    <t>32A</t>
  </si>
  <si>
    <t>BDC1S16</t>
  </si>
  <si>
    <t>0x0000031E</t>
  </si>
  <si>
    <t>32F</t>
  </si>
  <si>
    <t>RSE1G24</t>
  </si>
  <si>
    <t>BDC1S48</t>
  </si>
  <si>
    <t>337</t>
  </si>
  <si>
    <t>0x00000320</t>
  </si>
  <si>
    <t>335</t>
  </si>
  <si>
    <t>EIM1S01</t>
  </si>
  <si>
    <t>ZN11S63</t>
  </si>
  <si>
    <t>33F</t>
  </si>
  <si>
    <t>0x00000001</t>
  </si>
  <si>
    <t>336</t>
  </si>
  <si>
    <t>RSE1G25</t>
  </si>
  <si>
    <t>ZN11S25</t>
  </si>
  <si>
    <t>398</t>
  </si>
  <si>
    <t>0x00000328</t>
  </si>
  <si>
    <t>341</t>
  </si>
  <si>
    <t>BDC1S74</t>
  </si>
  <si>
    <t>0x00000042</t>
  </si>
  <si>
    <t>347</t>
  </si>
  <si>
    <t>TPM1S04</t>
  </si>
  <si>
    <t>0x0000032F</t>
  </si>
  <si>
    <t>348</t>
  </si>
  <si>
    <t>DCM1S08</t>
  </si>
  <si>
    <t>0x00000335</t>
  </si>
  <si>
    <t>349</t>
  </si>
  <si>
    <t>ADC1S30</t>
  </si>
  <si>
    <t>34C</t>
  </si>
  <si>
    <t>TPM1S05</t>
  </si>
  <si>
    <t>ZN11S19</t>
  </si>
  <si>
    <t>368</t>
  </si>
  <si>
    <t>34D</t>
  </si>
  <si>
    <t>RSE1G26</t>
  </si>
  <si>
    <t>ZN11S26</t>
  </si>
  <si>
    <t>36A</t>
  </si>
  <si>
    <t>0x000000C0</t>
  </si>
  <si>
    <t>34E</t>
  </si>
  <si>
    <t>BDC1SF5</t>
  </si>
  <si>
    <t>0x00000336</t>
  </si>
  <si>
    <t>34F</t>
  </si>
  <si>
    <t>DCM1S03</t>
  </si>
  <si>
    <t>SCN1S02</t>
  </si>
  <si>
    <t>375</t>
  </si>
  <si>
    <t>0x00000341</t>
  </si>
  <si>
    <t>BDB1S35</t>
  </si>
  <si>
    <t>3B5</t>
  </si>
  <si>
    <t>353</t>
  </si>
  <si>
    <t>ZN11SF8</t>
  </si>
  <si>
    <t>BDC1SE7</t>
  </si>
  <si>
    <t>3F5</t>
  </si>
  <si>
    <t>0x00000347</t>
  </si>
  <si>
    <t>354</t>
  </si>
  <si>
    <t>ACN1S22</t>
  </si>
  <si>
    <t>0x00000348</t>
  </si>
  <si>
    <t>355</t>
  </si>
  <si>
    <t>BDC1S97</t>
  </si>
  <si>
    <t>EHV1S90</t>
  </si>
  <si>
    <t>3B6</t>
  </si>
  <si>
    <t>358</t>
  </si>
  <si>
    <t>BDC1S98</t>
  </si>
  <si>
    <t>35D</t>
  </si>
  <si>
    <t>BDC1S99</t>
  </si>
  <si>
    <t>BDC1SJ4</t>
  </si>
  <si>
    <t>361</t>
  </si>
  <si>
    <t>0x00000005</t>
  </si>
  <si>
    <t>35F</t>
  </si>
  <si>
    <t>BDC1SA1</t>
  </si>
  <si>
    <t>0x0000034E</t>
  </si>
  <si>
    <t>363</t>
  </si>
  <si>
    <t>DCM1S04</t>
  </si>
  <si>
    <t>364</t>
  </si>
  <si>
    <t>BDC1S45</t>
  </si>
  <si>
    <t>367</t>
  </si>
  <si>
    <t>BDC1S83</t>
  </si>
  <si>
    <t>0x00000353</t>
  </si>
  <si>
    <t>0x00000354</t>
  </si>
  <si>
    <t>36B</t>
  </si>
  <si>
    <t>ITS1S01</t>
  </si>
  <si>
    <t>0x0000035D</t>
  </si>
  <si>
    <t>36C</t>
  </si>
  <si>
    <t>BDC1S89</t>
  </si>
  <si>
    <t>36E</t>
  </si>
  <si>
    <t>ZN11S60</t>
  </si>
  <si>
    <t>0x00000363</t>
  </si>
  <si>
    <t>36F</t>
  </si>
  <si>
    <t>TPM1S07</t>
  </si>
  <si>
    <t>378</t>
  </si>
  <si>
    <t>BDC1SJ5</t>
  </si>
  <si>
    <t>0x0000000C</t>
  </si>
  <si>
    <t>379</t>
  </si>
  <si>
    <t>BCC1S05</t>
  </si>
  <si>
    <t>0x00000364</t>
  </si>
  <si>
    <t>37B</t>
  </si>
  <si>
    <t>BDF3S01</t>
  </si>
  <si>
    <t>37F</t>
  </si>
  <si>
    <t>ZN11S02</t>
  </si>
  <si>
    <t>0x0000036E</t>
  </si>
  <si>
    <t>380</t>
  </si>
  <si>
    <t>BDB1S05</t>
  </si>
  <si>
    <t>0x00000378</t>
  </si>
  <si>
    <t>381</t>
  </si>
  <si>
    <t>ACN1S04</t>
  </si>
  <si>
    <t>0x00000379</t>
  </si>
  <si>
    <t>38A</t>
  </si>
  <si>
    <t>ZN11S03</t>
  </si>
  <si>
    <t>38B</t>
  </si>
  <si>
    <t>BDB1F01</t>
  </si>
  <si>
    <t>0x00000082</t>
  </si>
  <si>
    <t>38D</t>
  </si>
  <si>
    <t>BDB1F02</t>
  </si>
  <si>
    <t>0x0000037F</t>
  </si>
  <si>
    <t>390</t>
  </si>
  <si>
    <t>ZN21S13</t>
  </si>
  <si>
    <t>0x00000380</t>
  </si>
  <si>
    <t>393</t>
  </si>
  <si>
    <t>BDC1SC1</t>
  </si>
  <si>
    <t>ZN11S65</t>
  </si>
  <si>
    <t>3F9</t>
  </si>
  <si>
    <t>0x0000038A</t>
  </si>
  <si>
    <t>396</t>
  </si>
  <si>
    <t>BDC1SC3</t>
  </si>
  <si>
    <t>IDT1S07</t>
  </si>
  <si>
    <t>3FB</t>
  </si>
  <si>
    <t>397</t>
  </si>
  <si>
    <t>BDB1S29</t>
  </si>
  <si>
    <t>39A</t>
  </si>
  <si>
    <t>BDC1SC4</t>
  </si>
  <si>
    <t>0x0000038D</t>
  </si>
  <si>
    <t>39B</t>
  </si>
  <si>
    <t>BDC1SC5</t>
  </si>
  <si>
    <t>39D</t>
  </si>
  <si>
    <t>BDC1SC6</t>
  </si>
  <si>
    <t>0x00000050</t>
  </si>
  <si>
    <t>39E</t>
  </si>
  <si>
    <t>BDC1SC7</t>
  </si>
  <si>
    <t>0x00000390</t>
  </si>
  <si>
    <t>39F</t>
  </si>
  <si>
    <t>BDC1SC8</t>
  </si>
  <si>
    <t>0x00000393</t>
  </si>
  <si>
    <t>3A1</t>
  </si>
  <si>
    <t>ACN1S03</t>
  </si>
  <si>
    <t>0x00000396</t>
  </si>
  <si>
    <t>3A5</t>
  </si>
  <si>
    <t>BDC1SC9</t>
  </si>
  <si>
    <t>BDC1SD9</t>
  </si>
  <si>
    <t>3CD</t>
  </si>
  <si>
    <t>3A9</t>
  </si>
  <si>
    <t>ZN21S72</t>
  </si>
  <si>
    <t>BDC1SE3</t>
  </si>
  <si>
    <t>3DD</t>
  </si>
  <si>
    <t>3AB</t>
  </si>
  <si>
    <t>BKD1S02</t>
  </si>
  <si>
    <t>0x00000009</t>
  </si>
  <si>
    <t>3AC</t>
  </si>
  <si>
    <t>BDC1SD1</t>
  </si>
  <si>
    <t>3AE</t>
  </si>
  <si>
    <t>BDC1SD2</t>
  </si>
  <si>
    <t>0x000003A1</t>
  </si>
  <si>
    <t>3B0</t>
  </si>
  <si>
    <t>ACN1S07</t>
  </si>
  <si>
    <t>3B1</t>
  </si>
  <si>
    <t>ABG1S01</t>
  </si>
  <si>
    <t>0x00000044</t>
  </si>
  <si>
    <t>3B2</t>
  </si>
  <si>
    <t>BDC1SD3</t>
  </si>
  <si>
    <t>0x000003A9</t>
  </si>
  <si>
    <t>3B3</t>
  </si>
  <si>
    <t>BDC1SD4</t>
  </si>
  <si>
    <t>BDC1SE4</t>
  </si>
  <si>
    <t>3E1</t>
  </si>
  <si>
    <t>3B8</t>
  </si>
  <si>
    <t>BDB1S36</t>
  </si>
  <si>
    <t>BAT1S01</t>
  </si>
  <si>
    <t>3E5</t>
  </si>
  <si>
    <t>0x000003AC</t>
  </si>
  <si>
    <t>3B9</t>
  </si>
  <si>
    <t>BDC1SD5</t>
  </si>
  <si>
    <t>3BC</t>
  </si>
  <si>
    <t>BDC1SD6</t>
  </si>
  <si>
    <t>BDC1SI2</t>
  </si>
  <si>
    <t>3E9</t>
  </si>
  <si>
    <t>3BD</t>
  </si>
  <si>
    <t>PCN1S01</t>
  </si>
  <si>
    <t>BDC1SE5</t>
  </si>
  <si>
    <t>3EB</t>
  </si>
  <si>
    <t>0x000003B0</t>
  </si>
  <si>
    <t>3BF</t>
  </si>
  <si>
    <t>ECT1G01</t>
  </si>
  <si>
    <t>3C3</t>
  </si>
  <si>
    <t>BDC1SJ6</t>
  </si>
  <si>
    <t>3C6</t>
  </si>
  <si>
    <t>BDC1SD7</t>
  </si>
  <si>
    <t>0x00000003</t>
  </si>
  <si>
    <t>3C7</t>
  </si>
  <si>
    <t>BDC1SD8</t>
  </si>
  <si>
    <t>0x000003B8</t>
  </si>
  <si>
    <t>3C8</t>
  </si>
  <si>
    <t>RSE1S02</t>
  </si>
  <si>
    <t>3CA</t>
  </si>
  <si>
    <t>RSE1G20</t>
  </si>
  <si>
    <t>3CB</t>
  </si>
  <si>
    <t>BKD1S01</t>
  </si>
  <si>
    <t>0x000003C3</t>
  </si>
  <si>
    <t>3CE</t>
  </si>
  <si>
    <t>BDC1SI0</t>
  </si>
  <si>
    <t>0x000003C6</t>
  </si>
  <si>
    <t>3D6</t>
  </si>
  <si>
    <t>BDC1SE2</t>
  </si>
  <si>
    <t>0x00000018</t>
  </si>
  <si>
    <t>3DE</t>
  </si>
  <si>
    <t>ITS1S04</t>
  </si>
  <si>
    <t>0x000003C8</t>
  </si>
  <si>
    <t>0x000003CA</t>
  </si>
  <si>
    <t>3E7</t>
  </si>
  <si>
    <t>UCB1S01</t>
  </si>
  <si>
    <t>3E8</t>
  </si>
  <si>
    <t>BDC1SI1</t>
  </si>
  <si>
    <t>0x000003E7</t>
  </si>
  <si>
    <t>0x000003F0</t>
  </si>
  <si>
    <t>3EF</t>
  </si>
  <si>
    <t>BDC1SE6</t>
  </si>
  <si>
    <t>3F0</t>
  </si>
  <si>
    <t>DST1S02</t>
  </si>
  <si>
    <t>3F2</t>
  </si>
  <si>
    <t>BDC1SJ7</t>
  </si>
  <si>
    <t>0x00000006</t>
  </si>
  <si>
    <t>3F4</t>
  </si>
  <si>
    <t>BDC1SI3</t>
  </si>
  <si>
    <t>0x000003FC</t>
  </si>
  <si>
    <t>3F6</t>
  </si>
  <si>
    <t>BSR1S01</t>
  </si>
  <si>
    <t>3FC</t>
  </si>
  <si>
    <t>BDB1S19</t>
  </si>
  <si>
    <t>0x00000401</t>
  </si>
  <si>
    <t>400</t>
  </si>
  <si>
    <t>ZN11S66</t>
  </si>
  <si>
    <t>401</t>
  </si>
  <si>
    <t>ECT1S93</t>
  </si>
  <si>
    <t>ZN11S67</t>
  </si>
  <si>
    <t>404</t>
  </si>
  <si>
    <t>403</t>
  </si>
  <si>
    <t>PST1S01</t>
  </si>
  <si>
    <t>ACN1S16</t>
  </si>
  <si>
    <t>408</t>
  </si>
  <si>
    <t>SOL1S02</t>
  </si>
  <si>
    <t>40C</t>
  </si>
  <si>
    <t>0x0000040B</t>
  </si>
  <si>
    <t>405</t>
  </si>
  <si>
    <t>PST1S02</t>
  </si>
  <si>
    <t>0x0000040D</t>
  </si>
  <si>
    <t>407</t>
  </si>
  <si>
    <t>ACN1S15</t>
  </si>
  <si>
    <t>0x00000411</t>
  </si>
  <si>
    <t>40B</t>
  </si>
  <si>
    <t>EHV1S95</t>
  </si>
  <si>
    <t>0x00000412</t>
  </si>
  <si>
    <t>0x00000417</t>
  </si>
  <si>
    <t>40D</t>
  </si>
  <si>
    <t>SOL1S03</t>
  </si>
  <si>
    <t>0x00000418</t>
  </si>
  <si>
    <t>411</t>
  </si>
  <si>
    <t>DS12F02</t>
  </si>
  <si>
    <t>BDC1SJ2</t>
  </si>
  <si>
    <t>50D</t>
  </si>
  <si>
    <t>0x00000421</t>
  </si>
  <si>
    <t>412</t>
  </si>
  <si>
    <t>DS12F03</t>
  </si>
  <si>
    <t>417</t>
  </si>
  <si>
    <t>TPM1S06</t>
  </si>
  <si>
    <t>418</t>
  </si>
  <si>
    <t>TPM1S08</t>
  </si>
  <si>
    <t>421</t>
  </si>
  <si>
    <t>EHV1S94</t>
  </si>
  <si>
    <t>0x00000422</t>
  </si>
  <si>
    <t>422</t>
  </si>
  <si>
    <t>PLG1S01</t>
  </si>
  <si>
    <t>423</t>
  </si>
  <si>
    <t>BDC1SE8</t>
  </si>
  <si>
    <t>426</t>
  </si>
  <si>
    <t>TPM1S09</t>
  </si>
  <si>
    <t>BDB1S02</t>
  </si>
  <si>
    <t>621</t>
  </si>
  <si>
    <t>428</t>
  </si>
  <si>
    <t>TPM1S10</t>
  </si>
  <si>
    <t>BDB1S04</t>
  </si>
  <si>
    <t>623</t>
  </si>
  <si>
    <t>0x00000428</t>
  </si>
  <si>
    <t>429</t>
  </si>
  <si>
    <t>BDC1SE9</t>
  </si>
  <si>
    <t>4BC</t>
  </si>
  <si>
    <t>ABG1D51</t>
  </si>
  <si>
    <t>1</t>
    <phoneticPr fontId="4"/>
  </si>
  <si>
    <t>42A</t>
  </si>
  <si>
    <t>TPM1S11</t>
  </si>
  <si>
    <t>BDB1S03</t>
  </si>
  <si>
    <t>622</t>
  </si>
  <si>
    <t>42B</t>
  </si>
  <si>
    <t>EHV1S97</t>
  </si>
  <si>
    <t>BDB1S10</t>
  </si>
  <si>
    <t>626</t>
  </si>
  <si>
    <t>0x0000042C</t>
  </si>
  <si>
    <t>42C</t>
  </si>
  <si>
    <t>TPM1S12</t>
  </si>
  <si>
    <t>42F</t>
  </si>
  <si>
    <t>EHV1S26</t>
  </si>
  <si>
    <t>430</t>
  </si>
  <si>
    <t>BDC1SF1</t>
  </si>
  <si>
    <t>432</t>
  </si>
  <si>
    <t>PLG1S06</t>
  </si>
  <si>
    <t>0x0000042F</t>
  </si>
  <si>
    <t>438</t>
  </si>
  <si>
    <t>DCM1S01</t>
  </si>
  <si>
    <t>0x00000430</t>
  </si>
  <si>
    <t>439</t>
  </si>
  <si>
    <t>SCN1S01</t>
  </si>
  <si>
    <t>BDC1SJ8</t>
  </si>
  <si>
    <t>43C</t>
  </si>
  <si>
    <t>43B</t>
  </si>
  <si>
    <t>IPA1S05</t>
  </si>
  <si>
    <t>ABG1D50</t>
  </si>
  <si>
    <t>4AC</t>
  </si>
  <si>
    <t>0x00000102</t>
  </si>
  <si>
    <t>480</t>
  </si>
  <si>
    <t>BDC1SF2</t>
  </si>
  <si>
    <t>0x00000438</t>
  </si>
  <si>
    <t>484</t>
  </si>
  <si>
    <t>BDC1SF3</t>
  </si>
  <si>
    <t>485</t>
  </si>
  <si>
    <t>BDC1SJ1</t>
  </si>
  <si>
    <t>491</t>
  </si>
  <si>
    <t>BDC1SF4</t>
  </si>
  <si>
    <t>BDC1SG8</t>
  </si>
  <si>
    <t>530</t>
  </si>
  <si>
    <t>0x00000081</t>
  </si>
  <si>
    <t>495</t>
  </si>
  <si>
    <t>TPM1S02</t>
  </si>
  <si>
    <t>IDT1S15</t>
  </si>
  <si>
    <t>532</t>
  </si>
  <si>
    <t>0x0000043B</t>
  </si>
  <si>
    <t>496</t>
  </si>
  <si>
    <t>TPM1S03</t>
  </si>
  <si>
    <t>0x00000480</t>
  </si>
  <si>
    <t>497</t>
  </si>
  <si>
    <t>BDC1SF6</t>
  </si>
  <si>
    <t>4A0</t>
  </si>
  <si>
    <t>EBU1D01</t>
  </si>
  <si>
    <t>ACN1D50</t>
  </si>
  <si>
    <t>4B8</t>
  </si>
  <si>
    <t>0x00000485</t>
  </si>
  <si>
    <t>BDC1D00</t>
  </si>
  <si>
    <t>4B9</t>
  </si>
  <si>
    <t>0x00000491</t>
  </si>
  <si>
    <t>0x00000496</t>
  </si>
  <si>
    <t>4BA</t>
  </si>
  <si>
    <t>BDC1D01</t>
  </si>
  <si>
    <t>0x000004A0</t>
  </si>
  <si>
    <t>506</t>
  </si>
  <si>
    <t>ACN1S29</t>
  </si>
  <si>
    <t>0x000004BA</t>
  </si>
  <si>
    <t>507</t>
  </si>
  <si>
    <t>PDC1G02</t>
  </si>
  <si>
    <t>0x00000506</t>
  </si>
  <si>
    <t>508</t>
  </si>
  <si>
    <t>BDC1SI7</t>
  </si>
  <si>
    <t>50B</t>
  </si>
  <si>
    <t>BDC1SI8</t>
  </si>
  <si>
    <t>0x00000508</t>
  </si>
  <si>
    <t>50C</t>
  </si>
  <si>
    <t>BDC1SI9</t>
  </si>
  <si>
    <t>50E</t>
  </si>
  <si>
    <t>BDC1SJ0</t>
  </si>
  <si>
    <t>0x00000024</t>
  </si>
  <si>
    <t>51E</t>
  </si>
  <si>
    <t>ENG1G90</t>
  </si>
  <si>
    <t>0x0000050B</t>
  </si>
  <si>
    <t>526</t>
  </si>
  <si>
    <t>BDC1SG4</t>
  </si>
  <si>
    <t>528</t>
  </si>
  <si>
    <t>DKY1S26</t>
  </si>
  <si>
    <t>0x0000050E</t>
  </si>
  <si>
    <t>52B</t>
  </si>
  <si>
    <t>BDC1SG6</t>
  </si>
  <si>
    <t>52C</t>
  </si>
  <si>
    <t>BDC1SG7</t>
  </si>
  <si>
    <t>0x00000526</t>
  </si>
  <si>
    <t>0x00000531</t>
  </si>
  <si>
    <t>531</t>
  </si>
  <si>
    <t>BDC1SG9</t>
  </si>
  <si>
    <t>0x00000534</t>
  </si>
  <si>
    <t>534</t>
  </si>
  <si>
    <t>BDC1SH3</t>
  </si>
  <si>
    <t>535</t>
  </si>
  <si>
    <t>BDC1SH4</t>
  </si>
  <si>
    <t>536</t>
  </si>
  <si>
    <t>BDC1SJ3</t>
  </si>
  <si>
    <t>0x00000538</t>
  </si>
  <si>
    <t>537</t>
  </si>
  <si>
    <t>BDC1SH5</t>
  </si>
  <si>
    <t>0x00000592</t>
  </si>
  <si>
    <t>538</t>
  </si>
  <si>
    <t>BDC1SH6</t>
  </si>
  <si>
    <t>0x000005AD</t>
  </si>
  <si>
    <t>592</t>
  </si>
  <si>
    <t>ENG1S51</t>
  </si>
  <si>
    <t>0x00000601</t>
  </si>
  <si>
    <t>596</t>
  </si>
  <si>
    <t>BDC1SV3</t>
  </si>
  <si>
    <t>0x00000608</t>
  </si>
  <si>
    <t>5AD</t>
  </si>
  <si>
    <t>IMS1S01</t>
  </si>
  <si>
    <t>0x00000610</t>
  </si>
  <si>
    <t>601</t>
  </si>
  <si>
    <t>VUM1S01</t>
  </si>
  <si>
    <t>0x00000624</t>
  </si>
  <si>
    <t>608</t>
  </si>
  <si>
    <t>DS11S40</t>
  </si>
  <si>
    <t>0x00000629</t>
  </si>
  <si>
    <t>610</t>
  </si>
  <si>
    <t>BDC1SV1</t>
  </si>
  <si>
    <t>0x0000062A</t>
  </si>
  <si>
    <t>0x00000633</t>
  </si>
  <si>
    <t>BDB1S08</t>
  </si>
  <si>
    <t>624</t>
  </si>
  <si>
    <t>BDB1S13</t>
  </si>
  <si>
    <t>62C</t>
  </si>
  <si>
    <t>0x98000000</t>
  </si>
  <si>
    <t>0x800003FF</t>
  </si>
  <si>
    <t>BDB1S27</t>
  </si>
  <si>
    <t>629</t>
  </si>
  <si>
    <t>0x98DA0000</t>
  </si>
  <si>
    <t>0x8001FFFF</t>
  </si>
  <si>
    <t>BDB1S28</t>
  </si>
  <si>
    <t>62A</t>
  </si>
  <si>
    <t>IDT1S02</t>
  </si>
  <si>
    <t>633</t>
  </si>
  <si>
    <t>708</t>
    <phoneticPr fontId="4"/>
  </si>
  <si>
    <t>UDS/CAN</t>
  </si>
  <si>
    <t>UDS/CAN-FD</t>
  </si>
  <si>
    <t>R</t>
    <phoneticPr fontId="4"/>
  </si>
  <si>
    <t>QSEv/CAN</t>
  </si>
  <si>
    <t>18000000</t>
  </si>
  <si>
    <t>18DA0000</t>
    <phoneticPr fontId="4"/>
  </si>
  <si>
    <t>UDS/CAN</t>
    <phoneticPr fontId="4"/>
  </si>
  <si>
    <t>18DA0000</t>
  </si>
  <si>
    <t>18DBFFFF</t>
  </si>
  <si>
    <t>QSEv/CAN-FD</t>
  </si>
  <si>
    <t>UDS/CAN-FD</t>
    <phoneticPr fontId="4"/>
  </si>
  <si>
    <t>EPUD-ID</t>
    <phoneticPr fontId="4"/>
  </si>
  <si>
    <t>Egress #0</t>
    <phoneticPr fontId="4"/>
  </si>
  <si>
    <t>Egress #1</t>
    <phoneticPr fontId="4"/>
  </si>
  <si>
    <t>Egress #2</t>
    <phoneticPr fontId="4"/>
  </si>
  <si>
    <t>CAN_LPR_REGR_EN_PHY_RX_G2M2</t>
    <phoneticPr fontId="4"/>
  </si>
  <si>
    <t>CAN_LPR_REGR_EN_PHY_RX_G2M1</t>
    <phoneticPr fontId="4"/>
  </si>
  <si>
    <t xml:space="preserve">CAN_LPR_REGR_EN_UDS_TX_VIR_0 </t>
    <phoneticPr fontId="4"/>
  </si>
  <si>
    <t xml:space="preserve">CAN_LPR_REGR_EN_VIR_TX_0 </t>
    <phoneticPr fontId="4"/>
  </si>
  <si>
    <t>CAN_LPR_REGR_EN_PHY_TX_LOCA</t>
    <phoneticPr fontId="4"/>
  </si>
  <si>
    <t>CAN_LPR_REGR_EN_PHY_TX_G5M</t>
    <phoneticPr fontId="4"/>
  </si>
  <si>
    <t>CAN_LPR_REGR_EN_PHY_TX_G2M1</t>
    <phoneticPr fontId="4"/>
  </si>
  <si>
    <t>CAN_LPR_REGR_EN_UDS_FQ_G2M1</t>
    <phoneticPr fontId="4"/>
  </si>
  <si>
    <t>CAN_LPR_REGR_EN_PHY_FQ_LOCA</t>
    <phoneticPr fontId="4"/>
  </si>
  <si>
    <t>CAN_LPR_REGR_EN_PHY_FQ_G5M</t>
    <phoneticPr fontId="4"/>
  </si>
  <si>
    <t>CAN_LPR_REGR_EN_PHY_FQ_G2M1</t>
    <phoneticPr fontId="4"/>
  </si>
  <si>
    <t>CAN_LPR_REGR_EN_SECOC_RX</t>
    <phoneticPr fontId="4"/>
  </si>
  <si>
    <t>CAN_LPR_REGR_EN_SECOC_TX</t>
    <phoneticPr fontId="4"/>
  </si>
  <si>
    <t>Number of EPDU-ID</t>
    <phoneticPr fontId="4"/>
  </si>
  <si>
    <t>Row of u2p_EPDU_ID[]</t>
    <phoneticPr fontId="4"/>
  </si>
  <si>
    <t>CAN_LPR_REGR_EN_VIR_TX_0 
bit#15-#8 : Controller
bit#7-#0:Message Box</t>
    <phoneticPr fontId="4"/>
  </si>
  <si>
    <t>Routing Rule Table Index/
CAN-ID Min</t>
    <phoneticPr fontId="4"/>
  </si>
  <si>
    <t>Routing Rule Table Index/
CAN-ID Max</t>
    <phoneticPr fontId="4"/>
  </si>
  <si>
    <t>CAN ID Hex</t>
    <phoneticPr fontId="4"/>
  </si>
  <si>
    <t>CAN ID Dec</t>
    <phoneticPr fontId="4"/>
  </si>
  <si>
    <t>Range Min</t>
    <phoneticPr fontId="4"/>
  </si>
  <si>
    <t>Range Max</t>
    <phoneticPr fontId="4"/>
  </si>
  <si>
    <t>Data Length Min</t>
    <phoneticPr fontId="4"/>
  </si>
  <si>
    <t>#</t>
    <phoneticPr fontId="4"/>
  </si>
  <si>
    <t>EPS1S11</t>
    <phoneticPr fontId="4"/>
  </si>
  <si>
    <t>VSC1F01</t>
    <phoneticPr fontId="4"/>
  </si>
  <si>
    <t>VSC1G12</t>
    <phoneticPr fontId="4"/>
  </si>
  <si>
    <t>VSC1G13</t>
    <phoneticPr fontId="4"/>
  </si>
  <si>
    <t>ENG1G03</t>
    <phoneticPr fontId="4"/>
  </si>
  <si>
    <t>VSC1G14</t>
    <phoneticPr fontId="4"/>
  </si>
  <si>
    <t>DDM1S12</t>
    <phoneticPr fontId="4"/>
  </si>
  <si>
    <t>DMC1S08</t>
    <phoneticPr fontId="4"/>
  </si>
  <si>
    <t>BDC1S82</t>
    <phoneticPr fontId="4"/>
  </si>
  <si>
    <t>ZN21S28</t>
    <phoneticPr fontId="4"/>
  </si>
  <si>
    <t>ADC1S31</t>
    <phoneticPr fontId="4"/>
  </si>
  <si>
    <t>BAT1S12</t>
    <phoneticPr fontId="4"/>
  </si>
  <si>
    <t>1C1</t>
  </si>
  <si>
    <t>BDC1SE1</t>
    <phoneticPr fontId="4"/>
  </si>
  <si>
    <t>BDC1S81</t>
    <phoneticPr fontId="4"/>
  </si>
  <si>
    <t>DDM1S20</t>
    <phoneticPr fontId="4"/>
  </si>
  <si>
    <t>BDC1SC2</t>
    <phoneticPr fontId="4"/>
  </si>
  <si>
    <t>BDC1S13</t>
    <phoneticPr fontId="4"/>
  </si>
  <si>
    <t>BDC1SE7</t>
    <phoneticPr fontId="4"/>
  </si>
  <si>
    <t>BDC1S20</t>
    <phoneticPr fontId="4"/>
  </si>
  <si>
    <t>373</t>
  </si>
  <si>
    <t>BDC1S97</t>
    <phoneticPr fontId="4"/>
  </si>
  <si>
    <t>BDC1S98</t>
    <phoneticPr fontId="4"/>
  </si>
  <si>
    <t>BDC1SJ5</t>
    <phoneticPr fontId="4"/>
  </si>
  <si>
    <t>BDC1S99</t>
    <phoneticPr fontId="4"/>
  </si>
  <si>
    <t>BDF3S01</t>
    <phoneticPr fontId="4"/>
  </si>
  <si>
    <t>BDC1SC4</t>
    <phoneticPr fontId="4"/>
  </si>
  <si>
    <t>BDC1SC6</t>
    <phoneticPr fontId="4"/>
  </si>
  <si>
    <t>BDC1SD9</t>
    <phoneticPr fontId="4"/>
  </si>
  <si>
    <t>BDC1SE3</t>
    <phoneticPr fontId="4"/>
  </si>
  <si>
    <t>BDC1SC1</t>
    <phoneticPr fontId="4"/>
  </si>
  <si>
    <t>BDC1SC3</t>
    <phoneticPr fontId="4"/>
  </si>
  <si>
    <t>BDC1SC7</t>
    <phoneticPr fontId="4"/>
  </si>
  <si>
    <t>BDC1SC8</t>
    <phoneticPr fontId="4"/>
  </si>
  <si>
    <t>BDC1SC9</t>
    <phoneticPr fontId="4"/>
  </si>
  <si>
    <t>BDC1SE4</t>
    <phoneticPr fontId="4"/>
  </si>
  <si>
    <t>BDC1SE5</t>
    <phoneticPr fontId="4"/>
  </si>
  <si>
    <t>BDC1SD1</t>
    <phoneticPr fontId="4"/>
  </si>
  <si>
    <t>BDC1SD2</t>
    <phoneticPr fontId="4"/>
  </si>
  <si>
    <t>BDC1SD3</t>
    <phoneticPr fontId="4"/>
  </si>
  <si>
    <t>BDC1SD4</t>
    <phoneticPr fontId="4"/>
  </si>
  <si>
    <t>BDC1SD5</t>
    <phoneticPr fontId="4"/>
  </si>
  <si>
    <t>BDC1SD6</t>
    <phoneticPr fontId="4"/>
  </si>
  <si>
    <t>PCN1S01</t>
    <phoneticPr fontId="4"/>
  </si>
  <si>
    <t>ECT1G01</t>
    <phoneticPr fontId="4"/>
  </si>
  <si>
    <t>BDC1SD8</t>
    <phoneticPr fontId="4"/>
  </si>
  <si>
    <t>BDC1SD7</t>
    <phoneticPr fontId="4"/>
  </si>
  <si>
    <t>BDC1SE2</t>
    <phoneticPr fontId="4"/>
  </si>
  <si>
    <t>BDC1SE6</t>
    <phoneticPr fontId="4"/>
  </si>
  <si>
    <t>BDB1D50</t>
  </si>
  <si>
    <t>4A5</t>
  </si>
  <si>
    <t>BDC1SH3</t>
    <phoneticPr fontId="4"/>
  </si>
  <si>
    <t>BDB1S08</t>
    <phoneticPr fontId="4"/>
  </si>
  <si>
    <t>180003FF</t>
  </si>
  <si>
    <t>CAN
ID</t>
    <phoneticPr fontId="4"/>
  </si>
  <si>
    <t>st_sp_CAN_LPR_RRMB_G2M_1[]</t>
    <phoneticPr fontId="4"/>
  </si>
  <si>
    <t>CAN_CFG_ID_VALUE_5_MB011</t>
  </si>
  <si>
    <t>CAN_CFG_ID_VALUE_5_MB012</t>
  </si>
  <si>
    <t>CAN_CFG_ID_VALUE_5_MB013</t>
  </si>
  <si>
    <t>CAN_CFG_ID_VALUE_5_MB014</t>
  </si>
  <si>
    <t>CAN_CFG_ID_VALUE_5_MB015</t>
  </si>
  <si>
    <t>CAN_CFG_ID_VALUE_5_MB016</t>
  </si>
  <si>
    <t>CAN_CFG_ID_VALUE_5_MB017</t>
  </si>
  <si>
    <t>CAN_CFG_ID_VALUE_5_MB018</t>
  </si>
  <si>
    <t>CAN_CFG_ID_VALUE_5_MB019</t>
  </si>
  <si>
    <t>CAN_CFG_ID_VALUE_5_MB020</t>
  </si>
  <si>
    <t>CAN_CFG_ID_VALUE_5_MB021</t>
  </si>
  <si>
    <t>CAN_CFG_ID_VALUE_5_MB022</t>
  </si>
  <si>
    <t>CAN_CFG_ID_VALUE_5_MB023</t>
  </si>
  <si>
    <t>CAN_CFG_ID_VALUE_5_MB024</t>
  </si>
  <si>
    <t>CAN_CFG_ID_VALUE_5_MB025</t>
  </si>
  <si>
    <t>CAN_CFG_ID_VALUE_5_MB026</t>
  </si>
  <si>
    <t>0x000001C0</t>
  </si>
  <si>
    <t>CAN_CFG_ID_VALUE_5_MB027</t>
  </si>
  <si>
    <t>CAN_CFG_ID_VALUE_5_MB028</t>
  </si>
  <si>
    <t>CAN_CFG_ID_VALUE_5_MB029</t>
  </si>
  <si>
    <t>CAN_CFG_ID_VALUE_5_MB030</t>
  </si>
  <si>
    <t>CAN_CFG_ID_VALUE_5_MB031</t>
  </si>
  <si>
    <t>CAN_CFG_ID_VALUE_5_MB032</t>
  </si>
  <si>
    <t>CAN_CFG_ID_VALUE_5_MB033</t>
  </si>
  <si>
    <t>CAN_CFG_ID_VALUE_5_MB034</t>
  </si>
  <si>
    <t>CAN_CFG_ID_VALUE_5_MB035</t>
  </si>
  <si>
    <t>CAN_CFG_ID_VALUE_5_MB036</t>
  </si>
  <si>
    <t>CAN_CFG_ID_VALUE_5_MB037</t>
  </si>
  <si>
    <t>CAN_CFG_ID_VALUE_5_MB038</t>
  </si>
  <si>
    <t>CAN_CFG_ID_VALUE_5_MB039</t>
  </si>
  <si>
    <t>CAN_CFG_ID_VALUE_5_MB040</t>
  </si>
  <si>
    <t>CAN_CFG_ID_VALUE_5_MB041</t>
  </si>
  <si>
    <t>CAN_CFG_ID_VALUE_5_MB042</t>
  </si>
  <si>
    <t>CAN_CFG_ID_VALUE_5_MB043</t>
  </si>
  <si>
    <t>CAN_CFG_ID_VALUE_5_MB044</t>
  </si>
  <si>
    <t>CAN_CFG_ID_VALUE_5_MB045</t>
  </si>
  <si>
    <t>CAN_CFG_ID_VALUE_5_MB046</t>
  </si>
  <si>
    <t>CAN_CFG_ID_VALUE_5_MB047</t>
  </si>
  <si>
    <t>CAN_CFG_ID_VALUE_5_MB048</t>
  </si>
  <si>
    <t>CAN_CFG_ID_VALUE_5_MB049</t>
  </si>
  <si>
    <t>CAN_CFG_ID_VALUE_5_MB050</t>
  </si>
  <si>
    <t>CAN_CFG_ID_VALUE_5_MB051</t>
  </si>
  <si>
    <t>CAN_CFG_ID_VALUE_5_MB052</t>
  </si>
  <si>
    <t>CAN_CFG_ID_VALUE_5_MB053</t>
  </si>
  <si>
    <t>CAN_CFG_ID_VALUE_5_MB054</t>
  </si>
  <si>
    <t>CAN_CFG_ID_VALUE_5_MB055</t>
  </si>
  <si>
    <t>CAN_CFG_ID_VALUE_5_MB056</t>
  </si>
  <si>
    <t>CAN_CFG_ID_VALUE_5_MB057</t>
  </si>
  <si>
    <t>CAN_CFG_ID_VALUE_5_MB058</t>
  </si>
  <si>
    <t>CAN_CFG_ID_VALUE_5_MB059</t>
  </si>
  <si>
    <t>CAN_CFG_ID_VALUE_5_MB060</t>
  </si>
  <si>
    <t>CAN_CFG_ID_VALUE_5_MB061</t>
  </si>
  <si>
    <t>CAN_CFG_ID_VALUE_5_MB062</t>
  </si>
  <si>
    <t>CAN_CFG_ID_VALUE_5_MB063</t>
  </si>
  <si>
    <t>CAN_CFG_ID_VALUE_5_MB064</t>
  </si>
  <si>
    <t>0x00000358</t>
  </si>
  <si>
    <t>CAN_CFG_ID_VALUE_5_MB065</t>
  </si>
  <si>
    <t>CAN_CFG_ID_VALUE_5_MB066</t>
  </si>
  <si>
    <t>CAN_CFG_ID_VALUE_5_MB067</t>
  </si>
  <si>
    <t>CAN_CFG_ID_VALUE_5_MB068</t>
  </si>
  <si>
    <t>CAN_CFG_ID_VALUE_5_MB069</t>
  </si>
  <si>
    <t>CAN_CFG_ID_VALUE_5_MB070</t>
  </si>
  <si>
    <t>CAN_CFG_ID_VALUE_5_MB071</t>
  </si>
  <si>
    <t>CAN_CFG_ID_VALUE_5_MB072</t>
  </si>
  <si>
    <t>CAN_CFG_ID_VALUE_5_MB073</t>
  </si>
  <si>
    <t>CAN_CFG_ID_VALUE_5_MB074</t>
  </si>
  <si>
    <t>CAN_CFG_ID_VALUE_5_MB075</t>
  </si>
  <si>
    <t>CAN_CFG_ID_VALUE_5_MB076</t>
  </si>
  <si>
    <t>CAN_CFG_ID_VALUE_5_MB077</t>
  </si>
  <si>
    <t>CAN_CFG_ID_VALUE_5_MB078</t>
  </si>
  <si>
    <t>CAN_CFG_ID_VALUE_5_MB079</t>
  </si>
  <si>
    <t>CAN_CFG_ID_VALUE_5_MB080</t>
  </si>
  <si>
    <t>CAN_CFG_ID_VALUE_5_MB081</t>
  </si>
  <si>
    <t>CAN_CFG_ID_VALUE_5_MB082</t>
  </si>
  <si>
    <t>CAN_CFG_ID_VALUE_5_MB083</t>
  </si>
  <si>
    <t>CAN_CFG_ID_VALUE_5_MB084</t>
  </si>
  <si>
    <t>CAN_CFG_ID_VALUE_5_MB085</t>
  </si>
  <si>
    <t>CAN_CFG_ID_VALUE_5_MB086</t>
  </si>
  <si>
    <t>CAN_CFG_ID_VALUE_5_MB087</t>
  </si>
  <si>
    <t>CAN_CFG_ID_VALUE_5_MB088</t>
  </si>
  <si>
    <t>CAN_CFG_ID_VALUE_5_MB089</t>
  </si>
  <si>
    <t>CAN_CFG_ID_VALUE_5_MB090</t>
  </si>
  <si>
    <t>CAN_CFG_ID_VALUE_5_MB091</t>
  </si>
  <si>
    <t>CAN_CFG_ID_VALUE_5_MB092</t>
  </si>
  <si>
    <t>CAN_CFG_ID_VALUE_5_MB093</t>
  </si>
  <si>
    <t>CAN_CFG_ID_VALUE_5_MB094</t>
  </si>
  <si>
    <t>CAN_CFG_ID_VALUE_5_MB095</t>
  </si>
  <si>
    <t>CAN_CFG_ID_VALUE_5_MB096</t>
  </si>
  <si>
    <t>CAN_CFG_ID_VALUE_5_MB097</t>
  </si>
  <si>
    <t>CAN_CFG_ID_VALUE_5_MB098</t>
  </si>
  <si>
    <t>CAN_CFG_ID_VALUE_5_MB099</t>
  </si>
  <si>
    <t>CAN_CFG_ID_VALUE_5_MB100</t>
  </si>
  <si>
    <t>CAN_CFG_ID_VALUE_5_MB101</t>
  </si>
  <si>
    <t>CAN_CFG_ID_VALUE_5_MB102</t>
  </si>
  <si>
    <t>CAN_CFG_ID_VALUE_5_MB103</t>
  </si>
  <si>
    <t>CAN_CFG_ID_VALUE_5_MB104</t>
  </si>
  <si>
    <t>CAN_CFG_ID_VALUE_5_MB105</t>
  </si>
  <si>
    <t>CAN_CFG_ID_VALUE_5_MB106</t>
  </si>
  <si>
    <t>CAN_CFG_ID_VALUE_5_MB107</t>
  </si>
  <si>
    <t>CAN_CFG_ID_VALUE_5_MB108</t>
  </si>
  <si>
    <t>CAN_CFG_ID_VALUE_5_MB109</t>
  </si>
  <si>
    <t>CAN_CFG_ID_VALUE_5_MB110</t>
  </si>
  <si>
    <t>0x000003BB</t>
  </si>
  <si>
    <t>CAN_CFG_ID_VALUE_5_MB111</t>
  </si>
  <si>
    <t>CAN_CFG_ID_VALUE_5_MB112</t>
  </si>
  <si>
    <t>CAN_CFG_ID_VALUE_5_MB113</t>
  </si>
  <si>
    <t>CAN_CFG_ID_VALUE_5_MB114</t>
  </si>
  <si>
    <t>CAN_CFG_ID_VALUE_5_MB115</t>
  </si>
  <si>
    <t>CAN_CFG_ID_VALUE_5_MB116</t>
  </si>
  <si>
    <t>CAN_CFG_ID_VALUE_5_MB117</t>
  </si>
  <si>
    <t>CAN_CFG_ID_VALUE_5_MB118</t>
  </si>
  <si>
    <t>CAN_CFG_ID_VALUE_5_MB119</t>
  </si>
  <si>
    <t>CAN_CFG_ID_VALUE_5_MB120</t>
  </si>
  <si>
    <t>CAN_CFG_ID_VALUE_5_MB121</t>
  </si>
  <si>
    <t>CAN_CFG_ID_VALUE_5_MB122</t>
  </si>
  <si>
    <t>CAN_CFG_ID_VALUE_5_MB123</t>
  </si>
  <si>
    <t>CAN_CFG_ID_VALUE_5_MB124</t>
  </si>
  <si>
    <t>CAN_CFG_ID_VALUE_5_MB125</t>
  </si>
  <si>
    <t>CAN_CFG_ID_VALUE_5_MB126</t>
  </si>
  <si>
    <t>CAN_CFG_ID_VALUE_5_MB127</t>
  </si>
  <si>
    <t>CAN_CFG_ID_VALUE_5_MB128</t>
  </si>
  <si>
    <t>CAN_CFG_ID_VALUE_5_MB129</t>
  </si>
  <si>
    <t>CAN_CFG_ID_VALUE_5_MB130</t>
  </si>
  <si>
    <t>CAN_CFG_ID_VALUE_5_MB131</t>
  </si>
  <si>
    <t>CAN_CFG_ID_VALUE_5_MB132</t>
  </si>
  <si>
    <t>CAN_CFG_ID_VALUE_5_MB133</t>
  </si>
  <si>
    <t>CAN_CFG_ID_VALUE_5_MB134</t>
  </si>
  <si>
    <t>CAN_CFG_ID_VALUE_5_MB135</t>
  </si>
  <si>
    <t>CAN_CFG_ID_VALUE_5_MB136</t>
  </si>
  <si>
    <t>CAN_CFG_ID_VALUE_5_MB137</t>
  </si>
  <si>
    <t>CAN_CFG_ID_VALUE_5_MB138</t>
  </si>
  <si>
    <t>CAN_CFG_ID_VALUE_5_MB139</t>
  </si>
  <si>
    <t>CAN_CFG_ID_VALUE_5_MB140</t>
  </si>
  <si>
    <t>CAN_CFG_ID_VALUE_5_MB141</t>
  </si>
  <si>
    <t>CAN_CFG_ID_VALUE_5_MB142</t>
  </si>
  <si>
    <t>CAN_CFG_ID_VALUE_5_MB143</t>
  </si>
  <si>
    <t>CAN_CFG_ID_VALUE_5_MB144</t>
  </si>
  <si>
    <t>CAN_CFG_ID_VALUE_5_MB145</t>
  </si>
  <si>
    <t>CAN_CFG_ID_VALUE_5_MB146</t>
  </si>
  <si>
    <t>CAN_CFG_ID_VALUE_5_MB147</t>
  </si>
  <si>
    <t>CAN_CFG_ID_VALUE_5_MB148</t>
  </si>
  <si>
    <t>(U2)2U},</t>
  </si>
  <si>
    <t>BDC1S91</t>
  </si>
  <si>
    <t>1E4</t>
  </si>
  <si>
    <t>ADC1S33</t>
    <phoneticPr fontId="4"/>
  </si>
  <si>
    <t>5D0</t>
  </si>
  <si>
    <t>1000</t>
  </si>
  <si>
    <t>CAN_CFG_ID_VALUE_3_MB002</t>
  </si>
  <si>
    <t>0x000005D0</t>
  </si>
  <si>
    <t>CAN_CFG_ID_VALUE_3_MB003</t>
  </si>
  <si>
    <t>0x000001E4</t>
  </si>
  <si>
    <t>MGC1F13</t>
  </si>
  <si>
    <t>049</t>
  </si>
  <si>
    <t>ARS1S01</t>
  </si>
  <si>
    <t>072</t>
  </si>
  <si>
    <t>EHV2G10</t>
  </si>
  <si>
    <t>075</t>
  </si>
  <si>
    <t>EHV1F02</t>
  </si>
  <si>
    <t>07E</t>
  </si>
  <si>
    <t>TRA1S02</t>
  </si>
  <si>
    <t>0A0</t>
  </si>
  <si>
    <t>EHV2G20</t>
  </si>
  <si>
    <t>0A1</t>
  </si>
  <si>
    <t>ENG1G17</t>
  </si>
  <si>
    <t>0A3</t>
  </si>
  <si>
    <t>EHV1F04</t>
  </si>
  <si>
    <t>0A5</t>
  </si>
  <si>
    <t>EHV2G02</t>
  </si>
  <si>
    <t>0A6</t>
  </si>
  <si>
    <t>FCM1S95</t>
  </si>
  <si>
    <t>0A8</t>
  </si>
  <si>
    <t>CSR1G10</t>
  </si>
  <si>
    <t>0A9</t>
  </si>
  <si>
    <t>SCS1S10</t>
  </si>
  <si>
    <t>10B</t>
  </si>
  <si>
    <t>FWD1S10</t>
  </si>
  <si>
    <t>115</t>
  </si>
  <si>
    <t>DDM1S09</t>
  </si>
  <si>
    <t>12B</t>
  </si>
  <si>
    <t>ADC1S10</t>
  </si>
  <si>
    <t>143</t>
  </si>
  <si>
    <t>ADC1S27</t>
  </si>
  <si>
    <t>144</t>
  </si>
  <si>
    <t>FCM1S76</t>
  </si>
  <si>
    <t>159</t>
  </si>
  <si>
    <t>ADC1S16</t>
  </si>
  <si>
    <t>180</t>
  </si>
  <si>
    <t>ADC1S20</t>
  </si>
  <si>
    <t>1C7</t>
  </si>
  <si>
    <t>ABG1S09</t>
  </si>
  <si>
    <t>1D6</t>
  </si>
  <si>
    <t>ABG1S04</t>
  </si>
  <si>
    <t>1D8</t>
  </si>
  <si>
    <t>SBW1G02</t>
  </si>
  <si>
    <t>1DB</t>
  </si>
  <si>
    <t>BAT1EDA</t>
  </si>
  <si>
    <t>1EF</t>
  </si>
  <si>
    <t>ADU1S05</t>
  </si>
  <si>
    <t>1F0</t>
  </si>
  <si>
    <t>ADC1S08</t>
  </si>
  <si>
    <t>1F1</t>
  </si>
  <si>
    <t>ADU1S03</t>
  </si>
  <si>
    <t>1F5</t>
  </si>
  <si>
    <t>ADC1S12</t>
  </si>
  <si>
    <t>203</t>
  </si>
  <si>
    <t>ADC1S14</t>
  </si>
  <si>
    <t>208</t>
  </si>
  <si>
    <t>ADC1S15</t>
  </si>
  <si>
    <t>209</t>
  </si>
  <si>
    <t>ADC1S17</t>
  </si>
  <si>
    <t>20A</t>
  </si>
  <si>
    <t>FCM1S88</t>
  </si>
  <si>
    <t>20F</t>
  </si>
  <si>
    <t>DDM1S32</t>
  </si>
  <si>
    <t>219</t>
  </si>
  <si>
    <t>ADU1S06</t>
  </si>
  <si>
    <t>22E</t>
  </si>
  <si>
    <t>RCP1S02</t>
  </si>
  <si>
    <t>230</t>
  </si>
  <si>
    <t>ADU1S02</t>
  </si>
  <si>
    <t>247</t>
  </si>
  <si>
    <t>FCM1S40</t>
  </si>
  <si>
    <t>252</t>
  </si>
  <si>
    <t>FCM1S92</t>
  </si>
  <si>
    <t>259</t>
  </si>
  <si>
    <t>FCM1S41</t>
  </si>
  <si>
    <t>261</t>
  </si>
  <si>
    <t>VSC1G96</t>
  </si>
  <si>
    <t>262</t>
  </si>
  <si>
    <t>FCM1S49</t>
  </si>
  <si>
    <t>274</t>
  </si>
  <si>
    <t>FCM1S51</t>
  </si>
  <si>
    <t>275</t>
  </si>
  <si>
    <t>FCM1S52</t>
  </si>
  <si>
    <t>276</t>
  </si>
  <si>
    <t>BAT2ED2</t>
  </si>
  <si>
    <t>279</t>
  </si>
  <si>
    <t>FCM1S58</t>
  </si>
  <si>
    <t>27C</t>
  </si>
  <si>
    <t>DDM1S00</t>
  </si>
  <si>
    <t>27D</t>
  </si>
  <si>
    <t>FCM1S66</t>
  </si>
  <si>
    <t>28A</t>
  </si>
  <si>
    <t>TRA1S01</t>
  </si>
  <si>
    <t>2A0</t>
  </si>
  <si>
    <t>ECT1G92</t>
  </si>
  <si>
    <t>2A1</t>
  </si>
  <si>
    <t>EHV1G70</t>
  </si>
  <si>
    <t>2A7</t>
  </si>
  <si>
    <t>EHV1G71</t>
  </si>
  <si>
    <t>2A8</t>
  </si>
  <si>
    <t>RCP1S04</t>
  </si>
  <si>
    <t>2C6</t>
  </si>
  <si>
    <t>RCP1S05</t>
  </si>
  <si>
    <t>2C7</t>
  </si>
  <si>
    <t>RCP1S06</t>
  </si>
  <si>
    <t>2C8</t>
  </si>
  <si>
    <t>EHV1S99</t>
  </si>
  <si>
    <t>2DE</t>
  </si>
  <si>
    <t>PDS1S01</t>
  </si>
  <si>
    <t>2F4</t>
  </si>
  <si>
    <t>SCS1S14</t>
  </si>
  <si>
    <t>2FE</t>
  </si>
  <si>
    <t>ECT1S80</t>
  </si>
  <si>
    <t>3D4</t>
  </si>
  <si>
    <t>CSR1S07</t>
  </si>
  <si>
    <t>3DB</t>
  </si>
  <si>
    <t>CSR1S08</t>
  </si>
  <si>
    <t>3DC</t>
  </si>
  <si>
    <t>BCC1S06</t>
  </si>
  <si>
    <t>3F3</t>
  </si>
  <si>
    <t>CSR1S04</t>
  </si>
  <si>
    <t>43A</t>
  </si>
  <si>
    <t>FCM1S10</t>
  </si>
  <si>
    <t>489</t>
  </si>
  <si>
    <t>FCM1S12</t>
  </si>
  <si>
    <t>48B</t>
  </si>
  <si>
    <t>LVN1S01</t>
  </si>
  <si>
    <t>494</t>
  </si>
  <si>
    <t>ENG1D51</t>
  </si>
  <si>
    <t>499</t>
  </si>
  <si>
    <t>ENG1D52</t>
  </si>
  <si>
    <t>49A</t>
  </si>
  <si>
    <t>ENG1D53</t>
  </si>
  <si>
    <t>49B</t>
  </si>
  <si>
    <t>ENG1D55</t>
  </si>
  <si>
    <t>49D</t>
  </si>
  <si>
    <t>VSC1D51</t>
  </si>
  <si>
    <t>4A1</t>
  </si>
  <si>
    <t>EPS1D50</t>
  </si>
  <si>
    <t>4A3</t>
  </si>
  <si>
    <t>VGR1D50</t>
  </si>
  <si>
    <t>4A4</t>
  </si>
  <si>
    <t>ENG1D56</t>
  </si>
  <si>
    <t>4A8</t>
  </si>
  <si>
    <t>SCS1D50</t>
  </si>
  <si>
    <t>4A9</t>
  </si>
  <si>
    <t>ENG1D59</t>
  </si>
  <si>
    <t>4AE</t>
  </si>
  <si>
    <t>ENG1D60</t>
  </si>
  <si>
    <t>4AF</t>
  </si>
  <si>
    <t>ENG1S99</t>
  </si>
  <si>
    <t>583</t>
  </si>
  <si>
    <t>ENG1S60</t>
  </si>
  <si>
    <t>589</t>
  </si>
  <si>
    <t>ADC1S06</t>
  </si>
  <si>
    <t>594</t>
  </si>
  <si>
    <t>FCM1C03</t>
  </si>
  <si>
    <t>5F1</t>
  </si>
  <si>
    <t>ENG1C01</t>
  </si>
  <si>
    <t>5F3</t>
  </si>
  <si>
    <t>ENG1C02</t>
  </si>
  <si>
    <t>5F4</t>
  </si>
  <si>
    <t>FCM1C01</t>
  </si>
  <si>
    <t>5F6</t>
  </si>
  <si>
    <t>ADC1S19</t>
  </si>
  <si>
    <t>613</t>
  </si>
  <si>
    <t>CAN/QSEv</t>
    <phoneticPr fontId="4"/>
  </si>
  <si>
    <t>18002000</t>
    <phoneticPr fontId="4"/>
  </si>
  <si>
    <t>180021ff</t>
    <phoneticPr fontId="4"/>
  </si>
  <si>
    <t>CAN-FD/QSEv</t>
    <phoneticPr fontId="4"/>
  </si>
  <si>
    <t>#</t>
  </si>
  <si>
    <t>can_rscf4_cfg.h
CAN_CFG_ID_VALUE_7_MB###</t>
    <phoneticPr fontId="4"/>
  </si>
  <si>
    <t>st_sp_CAN_LPR_RRMB_G5M[]</t>
    <phoneticPr fontId="4"/>
  </si>
  <si>
    <t>CAN_CFG_ID_VALUE_7_MB004</t>
  </si>
  <si>
    <t>0x000001D8</t>
  </si>
  <si>
    <t>CAN_CFG_ID_VALUE_7_MB005</t>
  </si>
  <si>
    <t>0x000001D6</t>
  </si>
  <si>
    <t>CAN_CFG_ID_VALUE_7_MB006</t>
  </si>
  <si>
    <t>0x00000594</t>
  </si>
  <si>
    <t>CAN_CFG_ID_VALUE_7_MB007</t>
  </si>
  <si>
    <t>0x000001F1</t>
  </si>
  <si>
    <t>CAN_CFG_ID_VALUE_7_MB008</t>
  </si>
  <si>
    <t>0x00000143</t>
  </si>
  <si>
    <t>CAN_CFG_ID_VALUE_7_MB009</t>
  </si>
  <si>
    <t>0x00000203</t>
  </si>
  <si>
    <t>CAN_CFG_ID_VALUE_7_MB010</t>
  </si>
  <si>
    <t>0x00000208</t>
  </si>
  <si>
    <t>CAN_CFG_ID_VALUE_7_MB011</t>
  </si>
  <si>
    <t>0x00000209</t>
  </si>
  <si>
    <t>CAN_CFG_ID_VALUE_7_MB012</t>
  </si>
  <si>
    <t>0x00000180</t>
  </si>
  <si>
    <t>CAN_CFG_ID_VALUE_7_MB013</t>
  </si>
  <si>
    <t>0x0000020A</t>
  </si>
  <si>
    <t>CAN_CFG_ID_VALUE_7_MB014</t>
  </si>
  <si>
    <t>0x00000613</t>
  </si>
  <si>
    <t>CAN_CFG_ID_VALUE_7_MB015</t>
  </si>
  <si>
    <t>0x000001C7</t>
  </si>
  <si>
    <t>CAN_CFG_ID_VALUE_7_MB016</t>
  </si>
  <si>
    <t>0x00000144</t>
  </si>
  <si>
    <t>CAN_CFG_ID_VALUE_7_MB017</t>
  </si>
  <si>
    <t>0x00000247</t>
  </si>
  <si>
    <t>CAN_CFG_ID_VALUE_7_MB018</t>
  </si>
  <si>
    <t>0x000001F5</t>
  </si>
  <si>
    <t>CAN_CFG_ID_VALUE_7_MB019</t>
  </si>
  <si>
    <t>0x000001F0</t>
  </si>
  <si>
    <t>CAN_CFG_ID_VALUE_7_MB020</t>
  </si>
  <si>
    <t>0x0000022E</t>
  </si>
  <si>
    <t>CAN_CFG_ID_VALUE_7_MB021</t>
  </si>
  <si>
    <t>0x00000072</t>
  </si>
  <si>
    <t>CAN_CFG_ID_VALUE_7_MB022</t>
  </si>
  <si>
    <t>0x000001EF</t>
  </si>
  <si>
    <t>CAN_CFG_ID_VALUE_7_MB023</t>
  </si>
  <si>
    <t>0x00000279</t>
  </si>
  <si>
    <t>CAN_CFG_ID_VALUE_7_MB024</t>
  </si>
  <si>
    <t>0x000003F3</t>
  </si>
  <si>
    <t>CAN_CFG_ID_VALUE_7_MB025</t>
  </si>
  <si>
    <t>0x000000A9</t>
  </si>
  <si>
    <t>CAN_CFG_ID_VALUE_7_MB026</t>
  </si>
  <si>
    <t>0x0000043A</t>
  </si>
  <si>
    <t>CAN_CFG_ID_VALUE_7_MB027</t>
  </si>
  <si>
    <t>0x000003DB</t>
  </si>
  <si>
    <t>CAN_CFG_ID_VALUE_7_MB028</t>
  </si>
  <si>
    <t>0x000003DC</t>
  </si>
  <si>
    <t>CAN_CFG_ID_VALUE_7_MB029</t>
  </si>
  <si>
    <t>0x0000027D</t>
  </si>
  <si>
    <t>CAN_CFG_ID_VALUE_7_MB030</t>
  </si>
  <si>
    <t>0x0000012B</t>
  </si>
  <si>
    <t>CAN_CFG_ID_VALUE_7_MB031</t>
  </si>
  <si>
    <t>0x00000219</t>
  </si>
  <si>
    <t>CAN_CFG_ID_VALUE_7_MB032</t>
  </si>
  <si>
    <t>0x000002A1</t>
  </si>
  <si>
    <t>CAN_CFG_ID_VALUE_7_MB033</t>
  </si>
  <si>
    <t>0x000003D4</t>
  </si>
  <si>
    <t>CAN_CFG_ID_VALUE_7_MB034</t>
  </si>
  <si>
    <t>0x0000007E</t>
  </si>
  <si>
    <t>CAN_CFG_ID_VALUE_7_MB035</t>
  </si>
  <si>
    <t>0x000000A5</t>
  </si>
  <si>
    <t>CAN_CFG_ID_VALUE_7_MB036</t>
  </si>
  <si>
    <t>0x000002A7</t>
  </si>
  <si>
    <t>CAN_CFG_ID_VALUE_7_MB037</t>
  </si>
  <si>
    <t>0x000002A8</t>
  </si>
  <si>
    <t>CAN_CFG_ID_VALUE_7_MB038</t>
  </si>
  <si>
    <t>0x000002DE</t>
  </si>
  <si>
    <t>CAN_CFG_ID_VALUE_7_MB039</t>
  </si>
  <si>
    <t>0x000000A6</t>
  </si>
  <si>
    <t>CAN_CFG_ID_VALUE_7_MB040</t>
  </si>
  <si>
    <t>0x00000075</t>
  </si>
  <si>
    <t>CAN_CFG_ID_VALUE_7_MB041</t>
  </si>
  <si>
    <t>0x000000A1</t>
  </si>
  <si>
    <t>CAN_CFG_ID_VALUE_7_MB042</t>
  </si>
  <si>
    <t>0x000005F3</t>
  </si>
  <si>
    <t>CAN_CFG_ID_VALUE_7_MB043</t>
  </si>
  <si>
    <t>0x000005F4</t>
  </si>
  <si>
    <t>CAN_CFG_ID_VALUE_7_MB044</t>
  </si>
  <si>
    <t>0x00000499</t>
  </si>
  <si>
    <t>CAN_CFG_ID_VALUE_7_MB045</t>
  </si>
  <si>
    <t>0x0000049A</t>
  </si>
  <si>
    <t>CAN_CFG_ID_VALUE_7_MB046</t>
  </si>
  <si>
    <t>0x0000049B</t>
  </si>
  <si>
    <t>CAN_CFG_ID_VALUE_7_MB047</t>
  </si>
  <si>
    <t>0x0000049D</t>
  </si>
  <si>
    <t>CAN_CFG_ID_VALUE_7_MB048</t>
  </si>
  <si>
    <t>0x000004A8</t>
  </si>
  <si>
    <t>CAN_CFG_ID_VALUE_7_MB049</t>
  </si>
  <si>
    <t>0x000004AE</t>
  </si>
  <si>
    <t>CAN_CFG_ID_VALUE_7_MB050</t>
  </si>
  <si>
    <t>0x000004AF</t>
  </si>
  <si>
    <t>CAN_CFG_ID_VALUE_7_MB051</t>
  </si>
  <si>
    <t>0x000000A3</t>
  </si>
  <si>
    <t>CAN_CFG_ID_VALUE_7_MB052</t>
  </si>
  <si>
    <t>0x00000589</t>
  </si>
  <si>
    <t>CAN_CFG_ID_VALUE_7_MB053</t>
  </si>
  <si>
    <t>0x00000583</t>
  </si>
  <si>
    <t>CAN_CFG_ID_VALUE_7_MB054</t>
  </si>
  <si>
    <t>0x000004A3</t>
  </si>
  <si>
    <t>CAN_CFG_ID_VALUE_7_MB055</t>
  </si>
  <si>
    <t>0x000005F6</t>
  </si>
  <si>
    <t>CAN_CFG_ID_VALUE_7_MB056</t>
  </si>
  <si>
    <t>0x000005F1</t>
  </si>
  <si>
    <t>CAN_CFG_ID_VALUE_7_MB057</t>
  </si>
  <si>
    <t>0x00000489</t>
  </si>
  <si>
    <t>CAN_CFG_ID_VALUE_7_MB058</t>
  </si>
  <si>
    <t>0x0000048B</t>
  </si>
  <si>
    <t>CAN_CFG_ID_VALUE_7_MB059</t>
  </si>
  <si>
    <t>0x00000252</t>
  </si>
  <si>
    <t>CAN_CFG_ID_VALUE_7_MB060</t>
  </si>
  <si>
    <t>0x00000261</t>
  </si>
  <si>
    <t>CAN_CFG_ID_VALUE_7_MB061</t>
  </si>
  <si>
    <t>0x00000274</t>
  </si>
  <si>
    <t>CAN_CFG_ID_VALUE_7_MB062</t>
  </si>
  <si>
    <t>0x00000275</t>
  </si>
  <si>
    <t>CAN_CFG_ID_VALUE_7_MB063</t>
  </si>
  <si>
    <t>0x00000276</t>
  </si>
  <si>
    <t>CAN_CFG_ID_VALUE_7_MB064</t>
  </si>
  <si>
    <t>0x0000027C</t>
  </si>
  <si>
    <t>CAN_CFG_ID_VALUE_7_MB065</t>
  </si>
  <si>
    <t>0x0000028A</t>
  </si>
  <si>
    <t>CAN_CFG_ID_VALUE_7_MB066</t>
  </si>
  <si>
    <t>0x00000159</t>
  </si>
  <si>
    <t>CAN_CFG_ID_VALUE_7_MB067</t>
  </si>
  <si>
    <t>0x0000020F</t>
  </si>
  <si>
    <t>CAN_CFG_ID_VALUE_7_MB068</t>
  </si>
  <si>
    <t>0x00000259</t>
  </si>
  <si>
    <t>CAN_CFG_ID_VALUE_7_MB069</t>
  </si>
  <si>
    <t>0x000000A8</t>
  </si>
  <si>
    <t>CAN_CFG_ID_VALUE_7_MB070</t>
  </si>
  <si>
    <t>0x00000115</t>
  </si>
  <si>
    <t>CAN_CFG_ID_VALUE_7_MB071</t>
  </si>
  <si>
    <t>0x00000494</t>
  </si>
  <si>
    <t>CAN_CFG_ID_VALUE_7_MB072</t>
  </si>
  <si>
    <t>0x00000049</t>
  </si>
  <si>
    <t>CAN_CFG_ID_VALUE_7_MB073</t>
  </si>
  <si>
    <t>0x000002F4</t>
  </si>
  <si>
    <t>CAN_CFG_ID_VALUE_7_MB074</t>
  </si>
  <si>
    <t>0x00000230</t>
  </si>
  <si>
    <t>CAN_CFG_ID_VALUE_7_MB075</t>
  </si>
  <si>
    <t>0x000002C6</t>
  </si>
  <si>
    <t>CAN_CFG_ID_VALUE_7_MB076</t>
  </si>
  <si>
    <t>0x000002C7</t>
  </si>
  <si>
    <t>CAN_CFG_ID_VALUE_7_MB077</t>
  </si>
  <si>
    <t>0x000002C8</t>
  </si>
  <si>
    <t>CAN_CFG_ID_VALUE_7_MB078</t>
  </si>
  <si>
    <t>0x000001DB</t>
  </si>
  <si>
    <t>CAN_CFG_ID_VALUE_7_MB079</t>
  </si>
  <si>
    <t>0x000004A9</t>
  </si>
  <si>
    <t>CAN_CFG_ID_VALUE_7_MB080</t>
  </si>
  <si>
    <t>0x0000010B</t>
  </si>
  <si>
    <t>CAN_CFG_ID_VALUE_7_MB081</t>
  </si>
  <si>
    <t>0x000002FE</t>
  </si>
  <si>
    <t>CAN_CFG_ID_VALUE_7_MB082</t>
  </si>
  <si>
    <t>0x000002A0</t>
  </si>
  <si>
    <t>CAN_CFG_ID_VALUE_7_MB083</t>
  </si>
  <si>
    <t>0x000000A0</t>
  </si>
  <si>
    <t>CAN_CFG_ID_VALUE_7_MB084</t>
  </si>
  <si>
    <t>0x000004A4</t>
  </si>
  <si>
    <t>CAN_CFG_ID_VALUE_7_MB085</t>
  </si>
  <si>
    <t>0x000004A1</t>
  </si>
  <si>
    <t>CAN_CFG_ID_VALUE_7_MB086</t>
  </si>
  <si>
    <t>0x00000262</t>
  </si>
  <si>
    <t>CAN_CFG_ID_VALUE_7_MB087</t>
  </si>
  <si>
    <t>0x18002000</t>
    <phoneticPr fontId="4"/>
  </si>
  <si>
    <t>0x800001FF</t>
  </si>
  <si>
    <t>(U2)2U},</t>
    <phoneticPr fontId="4"/>
  </si>
  <si>
    <t>Local</t>
    <phoneticPr fontId="4"/>
  </si>
  <si>
    <t>CAN_LPR_REGR_EN_PHY_RX_LOCA</t>
    <phoneticPr fontId="4"/>
  </si>
  <si>
    <t>MCDMN01</t>
  </si>
  <si>
    <t>MCDMS01</t>
  </si>
  <si>
    <t>0</t>
    <phoneticPr fontId="4"/>
  </si>
  <si>
    <t>MCDMS02</t>
  </si>
  <si>
    <t>can_rscf4_cfg.h
CAN_CFG_ID_VALUE_3_MB###</t>
    <phoneticPr fontId="4"/>
  </si>
  <si>
    <t>0x00000310</t>
  </si>
  <si>
    <t>CAN_CFG_ID_VALUE_3_MB004</t>
  </si>
  <si>
    <t>0x00000311</t>
  </si>
  <si>
    <t>Egress #0-0</t>
    <phoneticPr fontId="4"/>
  </si>
  <si>
    <t>Egress #1-0</t>
    <phoneticPr fontId="4"/>
  </si>
  <si>
    <t>Egress #1-1</t>
    <phoneticPr fontId="4"/>
  </si>
  <si>
    <r>
      <t>Egress #</t>
    </r>
    <r>
      <rPr>
        <sz val="10"/>
        <rFont val="Meiryo UI"/>
        <family val="3"/>
        <charset val="128"/>
      </rPr>
      <t>２</t>
    </r>
    <phoneticPr fontId="4"/>
  </si>
  <si>
    <t>CAN_LPR_REGR_EN_PHY_FQ_G2M2</t>
    <phoneticPr fontId="4"/>
  </si>
  <si>
    <t>CAN_LPR_REGR_EN_PHY_TX_G2M1
CAN_LPR_REGR_EN_PHY_TX_G5M
bit#15-#7 : I-PDU-ID</t>
    <phoneticPr fontId="4"/>
  </si>
  <si>
    <t>CAN_LPR_REGR_EN_PHY_TX_G2M1
CAN_LPR_REGR_EN_PHY_TX_G5M
bit#6-#0 : FIFO/Queue Channel</t>
    <phoneticPr fontId="4"/>
  </si>
  <si>
    <t>AVN1S38</t>
  </si>
  <si>
    <t>121</t>
  </si>
  <si>
    <t>T</t>
  </si>
  <si>
    <t>AVN1S34</t>
  </si>
  <si>
    <t>126</t>
  </si>
  <si>
    <t>AVN1SG7</t>
  </si>
  <si>
    <t>141</t>
  </si>
  <si>
    <t>AVN1S71</t>
  </si>
  <si>
    <t>14C</t>
  </si>
  <si>
    <t>AVN1S32</t>
  </si>
  <si>
    <t>17F</t>
  </si>
  <si>
    <t>AVN1SD4</t>
  </si>
  <si>
    <t>185</t>
  </si>
  <si>
    <t>AVN1SD6</t>
  </si>
  <si>
    <t>1A1</t>
  </si>
  <si>
    <t>AVN1SD7</t>
  </si>
  <si>
    <t>1A2</t>
  </si>
  <si>
    <t>AVN1SF6</t>
  </si>
  <si>
    <t>1A3</t>
  </si>
  <si>
    <t>AVN1SD8</t>
  </si>
  <si>
    <t>1A5</t>
  </si>
  <si>
    <t>AVN1SD9</t>
  </si>
  <si>
    <t>1A7</t>
  </si>
  <si>
    <t>AVN1SE9</t>
  </si>
  <si>
    <t>1A8</t>
  </si>
  <si>
    <t>AVN1SF1</t>
  </si>
  <si>
    <t>1A9</t>
  </si>
  <si>
    <t>AVN1SF2</t>
  </si>
  <si>
    <t>1AB</t>
  </si>
  <si>
    <t>AVN1SF3</t>
  </si>
  <si>
    <t>1AC</t>
  </si>
  <si>
    <t>AVN1SE3</t>
  </si>
  <si>
    <t>1AD</t>
  </si>
  <si>
    <t>AVN1SE8</t>
  </si>
  <si>
    <t>1AE</t>
  </si>
  <si>
    <t>AVN1SE4</t>
  </si>
  <si>
    <t>1AF</t>
  </si>
  <si>
    <t>AVN1SE5</t>
  </si>
  <si>
    <t>1B0</t>
  </si>
  <si>
    <t>AVN1SE6</t>
  </si>
  <si>
    <t>1B3</t>
  </si>
  <si>
    <t>AVN1SE7</t>
  </si>
  <si>
    <t>1B4</t>
  </si>
  <si>
    <t>AVN1SE2</t>
  </si>
  <si>
    <t>1B5</t>
  </si>
  <si>
    <t>AVN1SE1</t>
  </si>
  <si>
    <t>1B7</t>
  </si>
  <si>
    <t>AVN1SF4</t>
  </si>
  <si>
    <t>1B8</t>
  </si>
  <si>
    <t>AVN1SF5</t>
  </si>
  <si>
    <t>1B9</t>
  </si>
  <si>
    <t>AVN1S52</t>
  </si>
  <si>
    <t>1BD</t>
  </si>
  <si>
    <t>MET1S47</t>
  </si>
  <si>
    <t>1DC</t>
  </si>
  <si>
    <t>AVN1SA6</t>
  </si>
  <si>
    <t>1EC</t>
  </si>
  <si>
    <t>AVN1SB9</t>
  </si>
  <si>
    <t>1F2</t>
  </si>
  <si>
    <t>MET1S01</t>
  </si>
  <si>
    <t>1F6</t>
  </si>
  <si>
    <t>MET1S55</t>
  </si>
  <si>
    <t>1F7</t>
  </si>
  <si>
    <t>AVN1S40</t>
  </si>
  <si>
    <t>1FC</t>
  </si>
  <si>
    <t>AVN1S41</t>
  </si>
  <si>
    <t>1FD</t>
  </si>
  <si>
    <t>AVN1S42</t>
  </si>
  <si>
    <t>1FE</t>
  </si>
  <si>
    <t>AVN1S43</t>
  </si>
  <si>
    <t>1FF</t>
  </si>
  <si>
    <t>MET1S44</t>
  </si>
  <si>
    <t>24D</t>
  </si>
  <si>
    <t>AVN1S73</t>
  </si>
  <si>
    <t>2AA</t>
  </si>
  <si>
    <t>AVN1SB7</t>
  </si>
  <si>
    <t>2D2</t>
  </si>
  <si>
    <t>AVN1SB8</t>
  </si>
  <si>
    <t>2D3</t>
  </si>
  <si>
    <t>AVN1SC1</t>
  </si>
  <si>
    <t>2D4</t>
  </si>
  <si>
    <t>AVN1SC2</t>
  </si>
  <si>
    <t>2D5</t>
  </si>
  <si>
    <t>AVN1SC3</t>
  </si>
  <si>
    <t>2D6</t>
  </si>
  <si>
    <t>AVN1SC4</t>
  </si>
  <si>
    <t>2D7</t>
  </si>
  <si>
    <t>AVN1SC5</t>
  </si>
  <si>
    <t>2DF</t>
  </si>
  <si>
    <t>AVN1SC6</t>
  </si>
  <si>
    <t>2E0</t>
  </si>
  <si>
    <t>AVN1SC7</t>
  </si>
  <si>
    <t>2E1</t>
  </si>
  <si>
    <t>AVN1SC8</t>
  </si>
  <si>
    <t>2E2</t>
  </si>
  <si>
    <t>AVN1SH1</t>
  </si>
  <si>
    <t>2E3</t>
  </si>
  <si>
    <t>AVN1SC9</t>
  </si>
  <si>
    <t>2EF</t>
  </si>
  <si>
    <t>AVN1SD1</t>
  </si>
  <si>
    <t>2F0</t>
  </si>
  <si>
    <t>AVN1SD2</t>
  </si>
  <si>
    <t>2F2</t>
  </si>
  <si>
    <t>AVN1SD3</t>
  </si>
  <si>
    <t>2F5</t>
  </si>
  <si>
    <t>AVN1SD5</t>
  </si>
  <si>
    <t>2F6</t>
  </si>
  <si>
    <t>AVN1SF7</t>
  </si>
  <si>
    <t>2F7</t>
  </si>
  <si>
    <t>AVN1SF8</t>
  </si>
  <si>
    <t>2F8</t>
  </si>
  <si>
    <t>AVN1SF9</t>
  </si>
  <si>
    <t>2FA</t>
  </si>
  <si>
    <t>CDCMS01</t>
  </si>
  <si>
    <t>MET1S52</t>
  </si>
  <si>
    <t>30D</t>
  </si>
  <si>
    <t>AVN1S67</t>
  </si>
  <si>
    <t>30E</t>
  </si>
  <si>
    <t>AVN1S68</t>
  </si>
  <si>
    <t>30F</t>
  </si>
  <si>
    <t>AVN1SB2</t>
  </si>
  <si>
    <t>313</t>
  </si>
  <si>
    <t>MET1S33</t>
  </si>
  <si>
    <t>315</t>
  </si>
  <si>
    <t>AVN1S30</t>
  </si>
  <si>
    <t>31A</t>
  </si>
  <si>
    <t>AVN1SA1</t>
  </si>
  <si>
    <t>31D</t>
  </si>
  <si>
    <t>AVN1SG4</t>
  </si>
  <si>
    <t>322</t>
  </si>
  <si>
    <t>CDC1S01</t>
  </si>
  <si>
    <t>333</t>
  </si>
  <si>
    <t>CDC1S03</t>
  </si>
  <si>
    <t>334</t>
  </si>
  <si>
    <t>AVN1SG3</t>
  </si>
  <si>
    <t>33A</t>
  </si>
  <si>
    <t>AVN1S94</t>
  </si>
  <si>
    <t>345</t>
  </si>
  <si>
    <t>AVN1S95</t>
  </si>
  <si>
    <t>346</t>
  </si>
  <si>
    <t>CDC1S04</t>
  </si>
  <si>
    <t>351</t>
  </si>
  <si>
    <t>MET1S70</t>
  </si>
  <si>
    <t>357</t>
  </si>
  <si>
    <t>AVN1SA7</t>
  </si>
  <si>
    <t>35A</t>
  </si>
  <si>
    <t>AVN1S62</t>
  </si>
  <si>
    <t>35B</t>
  </si>
  <si>
    <t>MET1S28</t>
  </si>
  <si>
    <t>37E</t>
  </si>
  <si>
    <t>AVN1S01</t>
  </si>
  <si>
    <t>384</t>
  </si>
  <si>
    <t>AVN1S03</t>
  </si>
  <si>
    <t>386</t>
  </si>
  <si>
    <t>AVN1S05</t>
  </si>
  <si>
    <t>387</t>
  </si>
  <si>
    <t>AVN1S06</t>
  </si>
  <si>
    <t>388</t>
  </si>
  <si>
    <t>AVN1S08</t>
  </si>
  <si>
    <t>389</t>
  </si>
  <si>
    <t>AVN1S04</t>
  </si>
  <si>
    <t>38E</t>
  </si>
  <si>
    <t>AVN1S07</t>
  </si>
  <si>
    <t>38F</t>
  </si>
  <si>
    <t>AVN1S46</t>
  </si>
  <si>
    <t>3A6</t>
  </si>
  <si>
    <t>AVN1S47</t>
  </si>
  <si>
    <t>3A7</t>
  </si>
  <si>
    <t>AVN1S70</t>
  </si>
  <si>
    <t>3A8</t>
  </si>
  <si>
    <t>AVN1S99</t>
  </si>
  <si>
    <t>3C0</t>
  </si>
  <si>
    <t>AVN1SA9</t>
  </si>
  <si>
    <t>3C2</t>
  </si>
  <si>
    <t>AVN1S78</t>
  </si>
  <si>
    <t>3C4</t>
  </si>
  <si>
    <t>AVN1S63</t>
  </si>
  <si>
    <t>3C9</t>
  </si>
  <si>
    <t>AVN1S76</t>
  </si>
  <si>
    <t>3D0</t>
  </si>
  <si>
    <t>AVN1S97</t>
  </si>
  <si>
    <t>3D9</t>
  </si>
  <si>
    <t>AVN1S98</t>
  </si>
  <si>
    <t>3E4</t>
  </si>
  <si>
    <t>AVN1S11</t>
  </si>
  <si>
    <t>3E6</t>
  </si>
  <si>
    <t>MET1S27</t>
  </si>
  <si>
    <t>3EA</t>
  </si>
  <si>
    <t>MET1S29</t>
  </si>
  <si>
    <t>3EC</t>
  </si>
  <si>
    <t>MET1S30</t>
  </si>
  <si>
    <t>3EE</t>
  </si>
  <si>
    <t>AVN1SA8</t>
  </si>
  <si>
    <t>3F1</t>
  </si>
  <si>
    <t>HUD1S01</t>
  </si>
  <si>
    <t>3F7</t>
  </si>
  <si>
    <t>AVN1S77</t>
  </si>
  <si>
    <t>3FD</t>
  </si>
  <si>
    <t>MET1S62</t>
  </si>
  <si>
    <t>41A</t>
  </si>
  <si>
    <t>DMS1S02</t>
  </si>
  <si>
    <t>427</t>
  </si>
  <si>
    <t>AVN1S33</t>
  </si>
  <si>
    <t>42E</t>
  </si>
  <si>
    <t>AVN1S20</t>
  </si>
  <si>
    <t>434</t>
  </si>
  <si>
    <t>AVN1S21</t>
  </si>
  <si>
    <t>435</t>
  </si>
  <si>
    <t>AVN1S22</t>
  </si>
  <si>
    <t>436</t>
  </si>
  <si>
    <t>AVN1S23</t>
  </si>
  <si>
    <t>437</t>
  </si>
  <si>
    <t>AVN1SG5</t>
  </si>
  <si>
    <t>43E</t>
  </si>
  <si>
    <t>AVN1S64</t>
  </si>
  <si>
    <t>490</t>
  </si>
  <si>
    <t>AVN1SB3</t>
  </si>
  <si>
    <t>515</t>
  </si>
  <si>
    <t>AVN1SB4</t>
  </si>
  <si>
    <t>51A</t>
  </si>
  <si>
    <t>AVN1SB5</t>
  </si>
  <si>
    <t>51B</t>
  </si>
  <si>
    <t>AVN1S44</t>
  </si>
  <si>
    <t>51D</t>
  </si>
  <si>
    <t>AVN1S65</t>
  </si>
  <si>
    <t>51F</t>
  </si>
  <si>
    <t>AVN1S69</t>
  </si>
  <si>
    <t>521</t>
  </si>
  <si>
    <t>MET1S38</t>
  </si>
  <si>
    <t>524</t>
  </si>
  <si>
    <t>MET1S41</t>
  </si>
  <si>
    <t>527</t>
  </si>
  <si>
    <t>MET1S43</t>
  </si>
  <si>
    <t>529</t>
  </si>
  <si>
    <t>AVN1S66</t>
  </si>
  <si>
    <t>52A</t>
  </si>
  <si>
    <t>CDC1N02</t>
  </si>
  <si>
    <t>56D</t>
  </si>
  <si>
    <t>AVN1S39</t>
  </si>
  <si>
    <t>58A</t>
  </si>
  <si>
    <t>MET1S25</t>
  </si>
  <si>
    <t>58D</t>
  </si>
  <si>
    <t>AVN1SH2</t>
  </si>
  <si>
    <t>5D1</t>
  </si>
  <si>
    <t>AVN1SG6</t>
  </si>
  <si>
    <t>60C</t>
  </si>
  <si>
    <t>MET1S02</t>
  </si>
  <si>
    <t>611</t>
  </si>
  <si>
    <t>MET1S10</t>
  </si>
  <si>
    <t>614</t>
  </si>
  <si>
    <t>MET1S11</t>
  </si>
  <si>
    <t>615</t>
  </si>
  <si>
    <t>18DBffff</t>
    <phoneticPr fontId="4"/>
  </si>
  <si>
    <t>0x400003d3</t>
  </si>
  <si>
    <t>0x40000395</t>
  </si>
  <si>
    <t>0x40000312</t>
  </si>
  <si>
    <t>0x400003f5</t>
  </si>
  <si>
    <t>0x40000378</t>
  </si>
  <si>
    <t>0x4000039a</t>
  </si>
  <si>
    <t>BDC1SC5</t>
    <phoneticPr fontId="4"/>
  </si>
  <si>
    <t>0x4000039b</t>
  </si>
  <si>
    <t>0x4000039d</t>
  </si>
  <si>
    <t>0x400003cd</t>
  </si>
  <si>
    <t>0x400003dd</t>
  </si>
  <si>
    <t>0x40000393</t>
  </si>
  <si>
    <t>0x40000396</t>
  </si>
  <si>
    <t>0x4000039e</t>
  </si>
  <si>
    <t>0x4000039f</t>
  </si>
  <si>
    <t>0x400003a5</t>
  </si>
  <si>
    <t>0x400003e1</t>
  </si>
  <si>
    <t>0x400003eb</t>
  </si>
  <si>
    <t>0x400003ac</t>
  </si>
  <si>
    <t>0x400003ae</t>
  </si>
  <si>
    <t>0x400003b2</t>
  </si>
  <si>
    <t>0x400003b3</t>
  </si>
  <si>
    <t>0x400003b9</t>
  </si>
  <si>
    <t>0x400003bc</t>
  </si>
  <si>
    <t>0x400003bd</t>
  </si>
  <si>
    <t>0x400003c7</t>
  </si>
  <si>
    <t>0x400003c6</t>
  </si>
  <si>
    <t>0x400003d6</t>
  </si>
  <si>
    <t>0x400003ef</t>
  </si>
  <si>
    <t>0x40000534</t>
  </si>
  <si>
    <t>{(U4)0x00000200U,</t>
  </si>
  <si>
    <t>(U4)0x40000312U,</t>
  </si>
  <si>
    <t>(U2)32U,</t>
  </si>
  <si>
    <t>(U2)0U},</t>
  </si>
  <si>
    <t>/* 0 : BDC1S13 = 0x40000312 */</t>
  </si>
  <si>
    <t>(U4)0x40000393U,</t>
  </si>
  <si>
    <t>(U2)64U,</t>
  </si>
  <si>
    <t>/* 1 : BDC1SC1 = 0x40000393 */</t>
  </si>
  <si>
    <t>(U4)0x40000395U,</t>
  </si>
  <si>
    <t>/* 2 : BDC1SC2 = 0x40000395 */</t>
  </si>
  <si>
    <t>(U4)0x40000396U,</t>
  </si>
  <si>
    <t>/* 3 : BDC1SC3 = 0x40000396 */</t>
  </si>
  <si>
    <t>(U4)0x4000039aU,</t>
  </si>
  <si>
    <t>/* 4 : BDC1SC4 = 0x4000039a */</t>
  </si>
  <si>
    <t>(U4)0x4000039bU,</t>
  </si>
  <si>
    <t>/* 5 : BDC1SC5 = 0x4000039b */</t>
  </si>
  <si>
    <t>(U4)0x4000039dU,</t>
  </si>
  <si>
    <t>/* 6 : BDC1SC6 = 0x4000039d */</t>
  </si>
  <si>
    <t>(U4)0x4000039eU,</t>
  </si>
  <si>
    <t>/* 7 : BDC1SC7 = 0x4000039e */</t>
  </si>
  <si>
    <t>(U4)0x4000039fU,</t>
  </si>
  <si>
    <t>/* 8 : BDC1SC8 = 0x4000039f */</t>
  </si>
  <si>
    <t>(U4)0x400003a5U,</t>
  </si>
  <si>
    <t>/* 9 : BDC1SC9 = 0x400003a5 */</t>
  </si>
  <si>
    <t>(U4)0x400003acU,</t>
  </si>
  <si>
    <t>/* 10 : BDC1SD1 = 0x400003ac */</t>
  </si>
  <si>
    <t>(U4)0x400003aeU,</t>
  </si>
  <si>
    <t>/* 11 : BDC1SD2 = 0x400003ae */</t>
  </si>
  <si>
    <t>(U4)0x400003b2U,</t>
  </si>
  <si>
    <t>/* 12 : BDC1SD3 = 0x400003b2 */</t>
  </si>
  <si>
    <t>(U4)0x400003b3U,</t>
  </si>
  <si>
    <t>/* 13 : BDC1SD4 = 0x400003b3 */</t>
  </si>
  <si>
    <t>(U4)0x400003b9U,</t>
  </si>
  <si>
    <t>/* 14 : BDC1SD5 = 0x400003b9 */</t>
  </si>
  <si>
    <t>(U4)0x400003bcU,</t>
  </si>
  <si>
    <t>/* 15 : BDC1SD6 = 0x400003bc */</t>
  </si>
  <si>
    <t>(U4)0x400003c6U,</t>
  </si>
  <si>
    <t>/* 16 : BDC1SD7 = 0x400003c6 */</t>
  </si>
  <si>
    <t>(U4)0x400003c7U,</t>
  </si>
  <si>
    <t>/* 17 : BDC1SD8 = 0x400003c7 */</t>
  </si>
  <si>
    <t>(U4)0x400003cdU,</t>
  </si>
  <si>
    <t>/* 18 : BDC1SD9 = 0x400003cd */</t>
  </si>
  <si>
    <t>(U4)0x400003d3U,</t>
  </si>
  <si>
    <t>/* 19 : BDC1SE1 = 0x400003d3 */</t>
  </si>
  <si>
    <t>(U4)0x400003d6U,</t>
  </si>
  <si>
    <t>/* 20 : BDC1SE2 = 0x400003d6 */</t>
  </si>
  <si>
    <t>(U4)0x400003ddU,</t>
  </si>
  <si>
    <t>/* 21 : BDC1SE3 = 0x400003dd */</t>
  </si>
  <si>
    <t>(U4)0x400003e1U,</t>
  </si>
  <si>
    <t>/* 22 : BDC1SE4 = 0x400003e1 */</t>
  </si>
  <si>
    <t>(U4)0x400003ebU,</t>
  </si>
  <si>
    <t>/* 23 : BDC1SE5 = 0x400003eb */</t>
  </si>
  <si>
    <t>(U4)0x400003efU,</t>
  </si>
  <si>
    <t>/* 24 : BDC1SE6 = 0x400003ef */</t>
  </si>
  <si>
    <t>(U4)0x400003f5U,</t>
  </si>
  <si>
    <t>/* 25 : BDC1SE7 = 0x400003f5 */</t>
  </si>
  <si>
    <t>(U4)0x40000534U,</t>
  </si>
  <si>
    <t>/* 26 : BDC1SH3 = 0x40000534 */</t>
  </si>
  <si>
    <t>(U4)0x40000378U,</t>
  </si>
  <si>
    <t>/* 27 : BDC1SJ5 = 0x40000378 */</t>
  </si>
  <si>
    <t>(U4)0x400003bdU,</t>
  </si>
  <si>
    <t>/* 28 : PCN1S01 = 0x400003bd */</t>
  </si>
  <si>
    <t>Egress #0-1</t>
    <phoneticPr fontId="4"/>
  </si>
  <si>
    <t>0x4000024D</t>
  </si>
  <si>
    <t>2D2</t>
    <phoneticPr fontId="4"/>
  </si>
  <si>
    <t>0x400002D2</t>
  </si>
  <si>
    <t>0x400002D4</t>
  </si>
  <si>
    <t>0x400002D5</t>
  </si>
  <si>
    <t>0x400002D6</t>
  </si>
  <si>
    <t>0x400002D7</t>
  </si>
  <si>
    <t>0x400002DF</t>
  </si>
  <si>
    <t>0x400002E0</t>
  </si>
  <si>
    <t>0x400002E1</t>
  </si>
  <si>
    <t>0x400002E2</t>
  </si>
  <si>
    <t>0x400002EF</t>
  </si>
  <si>
    <t>0x400002F0</t>
  </si>
  <si>
    <t>0x400002F2</t>
  </si>
  <si>
    <t>AVN1SD3</t>
    <phoneticPr fontId="4"/>
  </si>
  <si>
    <t>0x400002F5</t>
  </si>
  <si>
    <t>0x40000333</t>
  </si>
  <si>
    <t>3EE</t>
    <phoneticPr fontId="4"/>
  </si>
  <si>
    <t>0x400003EE</t>
  </si>
  <si>
    <t>{(U4)0x00000004U,</t>
  </si>
  <si>
    <t>(U4)0x400002d2U,</t>
  </si>
  <si>
    <t>(U2)1U},</t>
  </si>
  <si>
    <t>/* 0 : AVN1SB7 = 0x400002d2 */</t>
  </si>
  <si>
    <t>(U4)0x400002d4U,</t>
  </si>
  <si>
    <t>/* 1 : AVN1SC1 = 0x400002d4 */</t>
  </si>
  <si>
    <t>(U4)0x400002d5U,</t>
  </si>
  <si>
    <t>/* 2 : AVN1SC2 = 0x400002d5 */</t>
  </si>
  <si>
    <t>(U4)0x400002d6U,</t>
  </si>
  <si>
    <t>/* 3 : AVN1SC3 = 0x400002d6 */</t>
  </si>
  <si>
    <t>(U4)0x400002d7U,</t>
  </si>
  <si>
    <t>/* 4 : AVN1SC4 = 0x400002d7 */</t>
  </si>
  <si>
    <t>(U4)0x400002dfU,</t>
  </si>
  <si>
    <t>/* 5 : AVN1SC5 = 0x400002df */</t>
  </si>
  <si>
    <t>(U4)0x400002e0U,</t>
  </si>
  <si>
    <t>/* 6 : AVN1SC6 = 0x400002e0 */</t>
  </si>
  <si>
    <t>(U4)0x400002e1U,</t>
  </si>
  <si>
    <t>/* 7 : AVN1SC7 = 0x400002e1 */</t>
  </si>
  <si>
    <t>(U4)0x400002e2U,</t>
  </si>
  <si>
    <t>/* 8 : AVN1SC8 = 0x400002e2 */</t>
  </si>
  <si>
    <t>(U4)0x400002efU,</t>
  </si>
  <si>
    <t>/* 9 : AVN1SC9 = 0x400002ef */</t>
  </si>
  <si>
    <t>(U4)0x400002f0U,</t>
  </si>
  <si>
    <t>/* 10 : AVN1SD1 = 0x400002f0 */</t>
  </si>
  <si>
    <t>(U4)0x400002f2U,</t>
  </si>
  <si>
    <t>/* 11 : AVN1SD2 = 0x400002f2 */</t>
  </si>
  <si>
    <t>(U4)0x400002f5U,</t>
  </si>
  <si>
    <t>/* 12 : AVN1SD3 = 0x400002f5 */</t>
  </si>
  <si>
    <t>(U4)0x40000333U,</t>
  </si>
  <si>
    <t>/* 13 : CDC1S01 = 0x40000333 */</t>
  </si>
  <si>
    <t>(U4)0x400003eeU,</t>
  </si>
  <si>
    <t>/* 14 : MET1S30 = 0x400003ee */</t>
  </si>
  <si>
    <t>{(U4)0x00000008U,</t>
  </si>
  <si>
    <t>(U4)0x4000024dU,</t>
  </si>
  <si>
    <t>/* 15 : MET1S44 = 0x4000024d */</t>
  </si>
  <si>
    <t>FIFO/Que#</t>
    <phoneticPr fontId="4"/>
  </si>
  <si>
    <t># of messages tx</t>
    <phoneticPr fontId="4"/>
  </si>
  <si>
    <t>CAN_LPFQ_CH_##que_name##</t>
    <phoneticPr fontId="4"/>
  </si>
  <si>
    <t>CAN Message Type</t>
    <phoneticPr fontId="4"/>
  </si>
  <si>
    <t>VM#0 : # of messages txed
 every 5 milliseconds</t>
    <phoneticPr fontId="4"/>
  </si>
  <si>
    <t>VM#1 : # of messages txed
 every 5 milliseconds</t>
    <phoneticPr fontId="4"/>
  </si>
  <si>
    <t>VM#2 : # of messages txed
 every 5 milliseconds</t>
    <phoneticPr fontId="4"/>
  </si>
  <si>
    <t>VM#3 : # of messages txed
 every 5 milliseconds</t>
    <phoneticPr fontId="4"/>
  </si>
  <si>
    <t>Total VM#0/#1/#2/#3</t>
    <phoneticPr fontId="4"/>
  </si>
  <si>
    <t>IF(N6&lt;T6,N6,T6)</t>
    <phoneticPr fontId="4"/>
  </si>
  <si>
    <t>* safe size factor = 3</t>
    <phoneticPr fontId="4"/>
  </si>
  <si>
    <t>Data Length Max [bytes]</t>
    <phoneticPr fontId="4"/>
  </si>
  <si>
    <t>PHY_TX_G2M1_P0</t>
    <phoneticPr fontId="4"/>
  </si>
  <si>
    <t>Control</t>
    <phoneticPr fontId="4"/>
  </si>
  <si>
    <t>70f</t>
    <phoneticPr fontId="4"/>
  </si>
  <si>
    <t>PHY_TX_G2M1_P1</t>
    <phoneticPr fontId="4"/>
  </si>
  <si>
    <t>PHY_TX_G2M1_P2</t>
    <phoneticPr fontId="4"/>
  </si>
  <si>
    <t>PHY_TX_G2M1_P3</t>
    <phoneticPr fontId="4"/>
  </si>
  <si>
    <t>PHY_TX_G2M1_P4</t>
    <phoneticPr fontId="4"/>
  </si>
  <si>
    <t>PHY_TX_G2M1_P5</t>
    <phoneticPr fontId="4"/>
  </si>
  <si>
    <t>PHY_TX_G2M1_P6</t>
    <phoneticPr fontId="4"/>
  </si>
  <si>
    <t>PHY_TX_G2M1_P7</t>
    <phoneticPr fontId="4"/>
  </si>
  <si>
    <t>UDS</t>
    <phoneticPr fontId="4"/>
  </si>
  <si>
    <t>PHY_TX_G5M__P0</t>
    <phoneticPr fontId="4"/>
  </si>
  <si>
    <t>PHY_TX_G5M__P1</t>
    <phoneticPr fontId="4"/>
  </si>
  <si>
    <t>PHY_TX_G5M__P2</t>
    <phoneticPr fontId="4"/>
  </si>
  <si>
    <t>PHY_TX_G5M__P3</t>
    <phoneticPr fontId="4"/>
  </si>
  <si>
    <t>PHY_TX_LOCA_P0</t>
    <phoneticPr fontId="4"/>
  </si>
  <si>
    <t>PHY_TX_G2M2_P0</t>
    <phoneticPr fontId="4"/>
  </si>
  <si>
    <t>18DA17E0</t>
    <phoneticPr fontId="4"/>
  </si>
  <si>
    <t>UDS/CAN MET</t>
    <phoneticPr fontId="4"/>
  </si>
  <si>
    <t>18DA17E1</t>
  </si>
  <si>
    <t>18DA17E2</t>
    <phoneticPr fontId="4"/>
  </si>
  <si>
    <t>18DAC1E0</t>
    <phoneticPr fontId="4"/>
  </si>
  <si>
    <t>UDS/CAN IVI</t>
    <phoneticPr fontId="4"/>
  </si>
  <si>
    <t>18DAC1E1</t>
    <phoneticPr fontId="4"/>
  </si>
  <si>
    <t>18DAC1E2</t>
    <phoneticPr fontId="4"/>
  </si>
  <si>
    <t>18DAE116</t>
    <phoneticPr fontId="4"/>
  </si>
  <si>
    <t>18DAE117</t>
  </si>
  <si>
    <t>18DAE118</t>
    <phoneticPr fontId="4"/>
  </si>
  <si>
    <t>18DAE1C0</t>
    <phoneticPr fontId="4"/>
  </si>
  <si>
    <t>18DAE1C1</t>
    <phoneticPr fontId="4"/>
  </si>
  <si>
    <t>18DAE1C2</t>
    <phoneticPr fontId="4"/>
  </si>
  <si>
    <t>UDS/CAN-FD MET</t>
    <phoneticPr fontId="4"/>
  </si>
  <si>
    <t>UDS/CAN-FD IVI</t>
    <phoneticPr fontId="4"/>
  </si>
  <si>
    <t>CAN-ID (16進数)</t>
    <rPh sb="10" eb="12">
      <t>シンスウ</t>
    </rPh>
    <phoneticPr fontId="4"/>
  </si>
  <si>
    <t>フレーム種別</t>
    <rPh sb="4" eb="6">
      <t>シュベツ</t>
    </rPh>
    <phoneticPr fontId="4"/>
  </si>
  <si>
    <t>備考</t>
    <rPh sb="0" eb="2">
      <t>ビコウ</t>
    </rPh>
    <phoneticPr fontId="4"/>
  </si>
  <si>
    <t>Bit 28-24</t>
  </si>
  <si>
    <t>Bit 23-16</t>
  </si>
  <si>
    <t>Bit 15-8 (TA)</t>
  </si>
  <si>
    <t>Bit 7-0 (SA)</t>
  </si>
  <si>
    <t>0x18</t>
  </si>
  <si>
    <t>DA,DB</t>
  </si>
  <si>
    <t>00-DF</t>
  </si>
  <si>
    <t>N/A</t>
  </si>
  <si>
    <t>中継禁止[破棄](TA×SA=Server×Server)</t>
    <rPh sb="0" eb="2">
      <t>チュウケイ</t>
    </rPh>
    <rPh sb="2" eb="4">
      <t>キンシ</t>
    </rPh>
    <rPh sb="5" eb="7">
      <t>ハキ</t>
    </rPh>
    <phoneticPr fontId="4"/>
  </si>
  <si>
    <t>Target Addr</t>
    <phoneticPr fontId="16"/>
  </si>
  <si>
    <t>F0</t>
    <phoneticPr fontId="16"/>
  </si>
  <si>
    <t>EF</t>
    <phoneticPr fontId="16"/>
  </si>
  <si>
    <t>E0</t>
    <phoneticPr fontId="16"/>
  </si>
  <si>
    <t>DF</t>
    <phoneticPr fontId="16"/>
  </si>
  <si>
    <t>(共通)</t>
    <rPh sb="1" eb="3">
      <t>キョウツウ</t>
    </rPh>
    <phoneticPr fontId="4"/>
  </si>
  <si>
    <t>(Server)</t>
  </si>
  <si>
    <t>E0,E2,E4,E6,E8,EA,EC,EE</t>
  </si>
  <si>
    <t>ダイアグ要求,サービス,非法規</t>
  </si>
  <si>
    <t>E0,EA以外は予約領域(中継として設定)</t>
  </si>
  <si>
    <t>Source Addr</t>
    <phoneticPr fontId="16"/>
  </si>
  <si>
    <t>E1,E3,E5,E7,E9,EB,ED</t>
  </si>
  <si>
    <t>ダイアグ要求,リモート</t>
    <rPh sb="4" eb="6">
      <t>ヨウキュウ</t>
    </rPh>
    <phoneticPr fontId="4"/>
  </si>
  <si>
    <t>E1,EB以外は予約領域(中継として設定)</t>
  </si>
  <si>
    <t>EF</t>
  </si>
  <si>
    <t>F0-FF</t>
  </si>
  <si>
    <t>ダイアグ要求,サービス,法規</t>
  </si>
  <si>
    <t>F1,F9以外は予約領域(中継として設定)</t>
  </si>
  <si>
    <t>G2M_1-&gt;vCAN</t>
    <phoneticPr fontId="16"/>
  </si>
  <si>
    <t>type_en</t>
    <phoneticPr fontId="4"/>
  </si>
  <si>
    <t>ダイアグ応答,サービス,非法規</t>
  </si>
  <si>
    <t>(Client/非法規/サービス)</t>
  </si>
  <si>
    <t>E0-EE</t>
  </si>
  <si>
    <t>中継禁止[破棄](TA×SA=Client×Client)</t>
    <rPh sb="0" eb="2">
      <t>チュウケイ</t>
    </rPh>
    <rPh sb="2" eb="4">
      <t>キンシ</t>
    </rPh>
    <rPh sb="5" eb="7">
      <t>ハキ</t>
    </rPh>
    <phoneticPr fontId="4"/>
  </si>
  <si>
    <t>EGR_TA</t>
    <phoneticPr fontId="16"/>
  </si>
  <si>
    <t>EGR_SO</t>
    <phoneticPr fontId="16"/>
  </si>
  <si>
    <t>REC_TA</t>
    <phoneticPr fontId="16"/>
  </si>
  <si>
    <t>REC_SO</t>
    <phoneticPr fontId="16"/>
  </si>
  <si>
    <t>Addr(dec)</t>
    <phoneticPr fontId="16"/>
  </si>
  <si>
    <t>ダイアグ応答,リモート</t>
    <rPh sb="4" eb="6">
      <t>オウトウ</t>
    </rPh>
    <phoneticPr fontId="4"/>
  </si>
  <si>
    <t>Addr(hex)</t>
    <phoneticPr fontId="16"/>
  </si>
  <si>
    <t>(Client/リモート)</t>
  </si>
  <si>
    <t>中継禁止[破棄](TA×SA=Server×Server)</t>
    <rPh sb="0" eb="4">
      <t>チュウケイキンシ</t>
    </rPh>
    <rPh sb="5" eb="7">
      <t>ハキ</t>
    </rPh>
    <phoneticPr fontId="4"/>
  </si>
  <si>
    <t>(Server/非法規/機能アドレス)</t>
    <rPh sb="8" eb="11">
      <t>ヒホウキ</t>
    </rPh>
    <phoneticPr fontId="4"/>
  </si>
  <si>
    <t>ダイアグ応答,サービス,法規</t>
  </si>
  <si>
    <t>(Client/法規/サービス)</t>
  </si>
  <si>
    <t>GWC-GWDGRM-XBEV3DGW-012-A(MAP).xlsx</t>
    <phoneticPr fontId="16"/>
  </si>
  <si>
    <t>IVI</t>
    <phoneticPr fontId="16"/>
  </si>
  <si>
    <t>vCAN-&gt;G2M_1</t>
    <phoneticPr fontId="16"/>
  </si>
  <si>
    <t>#define SecOCConf_SecOCRxAuthenticPduLayer_Auth_BDC1S13_Rx_CANFD_G2M_1_BUS_Rx_CANFD_G2M_1_BUS (0U)</t>
  </si>
  <si>
    <t>SecOCConf</t>
  </si>
  <si>
    <t>Auth</t>
  </si>
  <si>
    <t>Rx</t>
  </si>
  <si>
    <t>CANFD</t>
  </si>
  <si>
    <t>G2M</t>
  </si>
  <si>
    <t>#define SecOCConf_SecOCRxAuthenticPduLayer_Auth_BDC1SC1_Rx_CANFD_G2M_1_BUS_Rx_CANFD_G2M_1_BUS (1U)</t>
  </si>
  <si>
    <t>#define SecOCConf_SecOCRxAuthenticPduLayer_Auth_BDC1SC2_Rx_CANFD_G2M_1_BUS_Rx_CANFD_G2M_1_BUS (2U)</t>
  </si>
  <si>
    <t>#define SecOCConf_SecOCRxAuthenticPduLayer_Auth_BDC1SC3_Rx_CANFD_G2M_1_BUS_Rx_CANFD_G2M_1_BUS (3U)</t>
  </si>
  <si>
    <t>#define SecOCConf_SecOCRxAuthenticPduLayer_Auth_BDC1SC4_Rx_CANFD_G2M_1_BUS_Rx_CANFD_G2M_1_BUS (4U)</t>
  </si>
  <si>
    <t>#define SecOCConf_SecOCRxAuthenticPduLayer_Auth_BDC1SC5_Rx_CANFD_G2M_1_BUS_Rx_CANFD_G2M_1_BUS (5U)</t>
  </si>
  <si>
    <t>#define SecOCConf_SecOCRxAuthenticPduLayer_Auth_BDC1SC6_Rx_CANFD_G2M_1_BUS_Rx_CANFD_G2M_1_BUS (6U)</t>
  </si>
  <si>
    <t>#define SecOCConf_SecOCRxAuthenticPduLayer_Auth_BDC1SC7_Rx_CANFD_G2M_1_BUS_Rx_CANFD_G2M_1_BUS (7U)</t>
  </si>
  <si>
    <t>#define SecOCConf_SecOCRxAuthenticPduLayer_Auth_BDC1SC8_Rx_CANFD_G2M_1_BUS_Rx_CANFD_G2M_1_BUS (8U)</t>
  </si>
  <si>
    <t>#define SecOCConf_SecOCRxAuthenticPduLayer_Auth_BDC1SC9_Rx_CANFD_G2M_1_BUS_Rx_CANFD_G2M_1_BUS (9U)</t>
  </si>
  <si>
    <t>#define SecOCConf_SecOCRxAuthenticPduLayer_Auth_BDC1SD1_Rx_CANFD_G2M_1_BUS_Rx_CANFD_G2M_1_BUS (10U)</t>
  </si>
  <si>
    <t>#define SecOCConf_SecOCRxAuthenticPduLayer_Auth_BDC1SD2_Rx_CANFD_G2M_1_BUS_Rx_CANFD_G2M_1_BUS (11U)</t>
  </si>
  <si>
    <t>#define SecOCConf_SecOCRxAuthenticPduLayer_Auth_BDC1SD3_Rx_CANFD_G2M_1_BUS_Rx_CANFD_G2M_1_BUS (12U)</t>
  </si>
  <si>
    <t>#define SecOCConf_SecOCRxAuthenticPduLayer_Auth_BDC1SD4_Rx_CANFD_G2M_1_BUS_Rx_CANFD_G2M_1_BUS (13U)</t>
  </si>
  <si>
    <t>#define SecOCConf_SecOCRxAuthenticPduLayer_Auth_BDC1SD5_Rx_CANFD_G2M_1_BUS_Rx_CANFD_G2M_1_BUS (14U)</t>
  </si>
  <si>
    <t>#define SecOCConf_SecOCRxAuthenticPduLayer_Auth_BDC1SD6_Rx_CANFD_G2M_1_BUS_Rx_CANFD_G2M_1_BUS (15U)</t>
  </si>
  <si>
    <t>#define SecOCConf_SecOCRxAuthenticPduLayer_Auth_BDC1SD7_Rx_CANFD_G2M_1_BUS_Rx_CANFD_G2M_1_BUS (16U)</t>
  </si>
  <si>
    <t>#define SecOCConf_SecOCRxAuthenticPduLayer_Auth_BDC1SD8_Rx_CANFD_G2M_1_BUS_Rx_CANFD_G2M_1_BUS (17U)</t>
  </si>
  <si>
    <t>#define SecOCConf_SecOCRxAuthenticPduLayer_Auth_BDC1SD9_Rx_CANFD_G2M_1_BUS_Rx_CANFD_G2M_1_BUS (18U)</t>
  </si>
  <si>
    <t>#define SecOCConf_SecOCRxAuthenticPduLayer_Auth_BDC1SE1_Rx_CANFD_G2M_1_BUS_Rx_CANFD_G2M_1_BUS (19U)</t>
  </si>
  <si>
    <t>#define SecOCConf_SecOCRxAuthenticPduLayer_Auth_BDC1SE2_Rx_CANFD_G2M_1_BUS_Rx_CANFD_G2M_1_BUS (20U)</t>
  </si>
  <si>
    <t>#define SecOCConf_SecOCRxAuthenticPduLayer_Auth_BDC1SE3_Rx_CANFD_G2M_1_BUS_Rx_CANFD_G2M_1_BUS (21U)</t>
  </si>
  <si>
    <t>#define SecOCConf_SecOCRxAuthenticPduLayer_Auth_BDC1SE4_Rx_CANFD_G2M_1_BUS_Rx_CANFD_G2M_1_BUS (22U)</t>
  </si>
  <si>
    <t>#define SecOCConf_SecOCRxAuthenticPduLayer_Auth_BDC1SE5_Rx_CANFD_G2M_1_BUS_Rx_CANFD_G2M_1_BUS (23U)</t>
  </si>
  <si>
    <t>#define SecOCConf_SecOCRxAuthenticPduLayer_Auth_BDC1SE6_Rx_CANFD_G2M_1_BUS_Rx_CANFD_G2M_1_BUS (24U)</t>
  </si>
  <si>
    <t>#define SecOCConf_SecOCRxAuthenticPduLayer_Auth_BDC1SE7_Rx_CANFD_G2M_1_BUS_Rx_CANFD_G2M_1_BUS (25U)</t>
  </si>
  <si>
    <t>#define SecOCConf_SecOCRxAuthenticPduLayer_Auth_BDC1SH3_Rx_CANFD_G2M_1_BUS_Rx_CANFD_G2M_1_BUS (26U)</t>
  </si>
  <si>
    <t>#define SecOCConf_SecOCRxAuthenticPduLayer_Auth_BDC1SJ5_Rx_CANFD_G2M_1_BUS_Rx_CANFD_G2M_1_BUS (27U)</t>
  </si>
  <si>
    <t>#define SecOCConf_SecOCRxAuthenticPduLayer_Auth_PCN1S01_Rx_CANFD_G2M_1_BUS_Rx_CANFD_G2M_1_BUS (28U)</t>
  </si>
  <si>
    <t>#define SecOCConf_SecOCRxSecuredPdu_SecuPdu_BDC1S13_Rx_CANFD_G2M_1_BUS_SPDU_Rx_CANFD_G2M_1_BUS (0U)</t>
  </si>
  <si>
    <t>SecuPdu</t>
  </si>
  <si>
    <t>#define SecOCConf_SecOCRxSecuredPdu_SecuPdu_BDC1SC1_Rx_CANFD_G2M_1_BUS_SPDU_Rx_CANFD_G2M_1_BUS (1U)</t>
  </si>
  <si>
    <t>#define SecOCConf_SecOCRxSecuredPdu_SecuPdu_BDC1SC2_Rx_CANFD_G2M_1_BUS_SPDU_Rx_CANFD_G2M_1_BUS (2U)</t>
  </si>
  <si>
    <t>#define SecOCConf_SecOCRxSecuredPdu_SecuPdu_BDC1SC3_Rx_CANFD_G2M_1_BUS_SPDU_Rx_CANFD_G2M_1_BUS (3U)</t>
  </si>
  <si>
    <t>#define SecOCConf_SecOCRxSecuredPdu_SecuPdu_BDC1SC4_Rx_CANFD_G2M_1_BUS_SPDU_Rx_CANFD_G2M_1_BUS (4U)</t>
  </si>
  <si>
    <t>#define SecOCConf_SecOCRxSecuredPdu_SecuPdu_BDC1SC5_Rx_CANFD_G2M_1_BUS_SPDU_Rx_CANFD_G2M_1_BUS (5U)</t>
  </si>
  <si>
    <t>#define SecOCConf_SecOCRxSecuredPdu_SecuPdu_BDC1SC6_Rx_CANFD_G2M_1_BUS_SPDU_Rx_CANFD_G2M_1_BUS (6U)</t>
  </si>
  <si>
    <t>#define SecOCConf_SecOCRxSecuredPdu_SecuPdu_BDC1SC7_Rx_CANFD_G2M_1_BUS_SPDU_Rx_CANFD_G2M_1_BUS (7U)</t>
  </si>
  <si>
    <t>#define SecOCConf_SecOCRxSecuredPdu_SecuPdu_BDC1SC8_Rx_CANFD_G2M_1_BUS_SPDU_Rx_CANFD_G2M_1_BUS (8U)</t>
  </si>
  <si>
    <t>#define SecOCConf_SecOCRxSecuredPdu_SecuPdu_BDC1SC9_Rx_CANFD_G2M_1_BUS_SPDU_Rx_CANFD_G2M_1_BUS (9U)</t>
  </si>
  <si>
    <t>#define SecOCConf_SecOCRxSecuredPdu_SecuPdu_BDC1SD1_Rx_CANFD_G2M_1_BUS_SPDU_Rx_CANFD_G2M_1_BUS (10U)</t>
  </si>
  <si>
    <t>#define SecOCConf_SecOCRxSecuredPdu_SecuPdu_BDC1SD2_Rx_CANFD_G2M_1_BUS_SPDU_Rx_CANFD_G2M_1_BUS (11U)</t>
  </si>
  <si>
    <t>#define SecOCConf_SecOCRxSecuredPdu_SecuPdu_BDC1SD3_Rx_CANFD_G2M_1_BUS_SPDU_Rx_CANFD_G2M_1_BUS (12U)</t>
  </si>
  <si>
    <t>#define SecOCConf_SecOCRxSecuredPdu_SecuPdu_BDC1SD4_Rx_CANFD_G2M_1_BUS_SPDU_Rx_CANFD_G2M_1_BUS (13U)</t>
  </si>
  <si>
    <t>#define SecOCConf_SecOCRxSecuredPdu_SecuPdu_BDC1SD5_Rx_CANFD_G2M_1_BUS_SPDU_Rx_CANFD_G2M_1_BUS (14U)</t>
  </si>
  <si>
    <t>#define SecOCConf_SecOCRxSecuredPdu_SecuPdu_BDC1SD6_Rx_CANFD_G2M_1_BUS_SPDU_Rx_CANFD_G2M_1_BUS (15U)</t>
  </si>
  <si>
    <t>#define SecOCConf_SecOCRxSecuredPdu_SecuPdu_BDC1SD7_Rx_CANFD_G2M_1_BUS_SPDU_Rx_CANFD_G2M_1_BUS (16U)</t>
  </si>
  <si>
    <t>#define SecOCConf_SecOCRxSecuredPdu_SecuPdu_BDC1SD8_Rx_CANFD_G2M_1_BUS_SPDU_Rx_CANFD_G2M_1_BUS (17U)</t>
  </si>
  <si>
    <t>#define SecOCConf_SecOCRxSecuredPdu_SecuPdu_BDC1SD9_Rx_CANFD_G2M_1_BUS_SPDU_Rx_CANFD_G2M_1_BUS (18U)</t>
  </si>
  <si>
    <t>#define SecOCConf_SecOCRxSecuredPdu_SecuPdu_BDC1SE1_Rx_CANFD_G2M_1_BUS_SPDU_Rx_CANFD_G2M_1_BUS (19U)</t>
  </si>
  <si>
    <t>#define SecOCConf_SecOCRxSecuredPdu_SecuPdu_BDC1SE2_Rx_CANFD_G2M_1_BUS_SPDU_Rx_CANFD_G2M_1_BUS (20U)</t>
  </si>
  <si>
    <t>#define SecOCConf_SecOCRxSecuredPdu_SecuPdu_BDC1SE3_Rx_CANFD_G2M_1_BUS_SPDU_Rx_CANFD_G2M_1_BUS (21U)</t>
  </si>
  <si>
    <t>#define SecOCConf_SecOCRxSecuredPdu_SecuPdu_BDC1SE4_Rx_CANFD_G2M_1_BUS_SPDU_Rx_CANFD_G2M_1_BUS (22U)</t>
  </si>
  <si>
    <t>#define SecOCConf_SecOCRxSecuredPdu_SecuPdu_BDC1SE5_Rx_CANFD_G2M_1_BUS_SPDU_Rx_CANFD_G2M_1_BUS (23U)</t>
  </si>
  <si>
    <t>#define SecOCConf_SecOCRxSecuredPdu_SecuPdu_BDC1SE6_Rx_CANFD_G2M_1_BUS_SPDU_Rx_CANFD_G2M_1_BUS (24U)</t>
  </si>
  <si>
    <t>#define SecOCConf_SecOCRxSecuredPdu_SecuPdu_BDC1SE7_Rx_CANFD_G2M_1_BUS_SPDU_Rx_CANFD_G2M_1_BUS (25U)</t>
  </si>
  <si>
    <t>#define SecOCConf_SecOCRxSecuredPdu_SecuPdu_BDC1SH3_Rx_CANFD_G2M_1_BUS_SPDU_Rx_CANFD_G2M_1_BUS (26U)</t>
  </si>
  <si>
    <t>#define SecOCConf_SecOCRxSecuredPdu_SecuPdu_BDC1SJ5_Rx_CANFD_G2M_1_BUS_SPDU_Rx_CANFD_G2M_1_BUS (27U)</t>
  </si>
  <si>
    <t>#define SecOCConf_SecOCRxSecuredPdu_SecuPdu_PCN1S01_Rx_CANFD_G2M_1_BUS_SPDU_Rx_CANFD_G2M_1_BUS (28U)</t>
  </si>
  <si>
    <t>#define SecOCConf_SecOCTxAuthenticPduLayer_Auth_AVN1SB7_Tx_CANFD_G2M_1_BUS_Tx_CANFD_G2M_1_BUS (0U)</t>
  </si>
  <si>
    <t>Tx</t>
  </si>
  <si>
    <t>#define SecOCConf_SecOCTxAuthenticPduLayer_Auth_AVN1SC1_Tx_CANFD_G2M_1_BUS_Tx_CANFD_G2M_1_BUS (1U)</t>
  </si>
  <si>
    <t>#define SecOCConf_SecOCTxAuthenticPduLayer_Auth_AVN1SC2_Tx_CANFD_G2M_1_BUS_Tx_CANFD_G2M_1_BUS (2U)</t>
  </si>
  <si>
    <t>#define SecOCConf_SecOCTxAuthenticPduLayer_Auth_AVN1SC3_Tx_CANFD_G2M_1_BUS_Tx_CANFD_G2M_1_BUS (3U)</t>
  </si>
  <si>
    <t>#define SecOCConf_SecOCTxAuthenticPduLayer_Auth_AVN1SC4_Tx_CANFD_G2M_1_BUS_Tx_CANFD_G2M_1_BUS (4U)</t>
  </si>
  <si>
    <t>#define SecOCConf_SecOCTxAuthenticPduLayer_Auth_AVN1SC5_Tx_CANFD_G2M_1_BUS_Tx_CANFD_G2M_1_BUS (5U)</t>
  </si>
  <si>
    <t>#define SecOCConf_SecOCTxAuthenticPduLayer_Auth_AVN1SC6_Tx_CANFD_G2M_1_BUS_Tx_CANFD_G2M_1_BUS (6U)</t>
  </si>
  <si>
    <t>#define SecOCConf_SecOCTxAuthenticPduLayer_Auth_AVN1SC7_Tx_CANFD_G2M_1_BUS_Tx_CANFD_G2M_1_BUS (7U)</t>
  </si>
  <si>
    <t>#define SecOCConf_SecOCTxAuthenticPduLayer_Auth_AVN1SC8_Tx_CANFD_G2M_1_BUS_Tx_CANFD_G2M_1_BUS (8U)</t>
  </si>
  <si>
    <t>#define SecOCConf_SecOCTxAuthenticPduLayer_Auth_AVN1SC9_Tx_CANFD_G2M_1_BUS_Tx_CANFD_G2M_1_BUS (9U)</t>
  </si>
  <si>
    <t>#define SecOCConf_SecOCTxAuthenticPduLayer_Auth_AVN1SD1_Tx_CANFD_G2M_1_BUS_Tx_CANFD_G2M_1_BUS (10U)</t>
  </si>
  <si>
    <t>#define SecOCConf_SecOCTxAuthenticPduLayer_Auth_AVN1SD2_Tx_CANFD_G2M_1_BUS_Tx_CANFD_G2M_1_BUS (11U)</t>
  </si>
  <si>
    <t>#define SecOCConf_SecOCTxAuthenticPduLayer_Auth_AVN1SD3_Tx_CANFD_G2M_1_BUS_Tx_CANFD_G2M_1_BUS (12U)</t>
  </si>
  <si>
    <t>#define SecOCConf_SecOCTxAuthenticPduLayer_Auth_CDC1S01_Tx_CANFD_G2M_1_BUS_Tx_CANFD_G2M_1_BUS (13U)</t>
  </si>
  <si>
    <t>#define SecOCConf_SecOCTxAuthenticPduLayer_Auth_MET1S30_Tx_CANFD_G2M_1_BUS_Tx_CANFD_G2M_1_BUS (14U)</t>
  </si>
  <si>
    <t>#define SecOCConf_SecOCTxAuthenticPduLayer_Auth_MET1S44_Tx_CANFD_G5M_BUS_Tx_CANFD_G5M_BUS (15U)</t>
  </si>
  <si>
    <t>G5M</t>
  </si>
  <si>
    <t>#define SecOCConf_SecOCTxSecuredPdu_SecuPdu_AVN1SB7_Tx_CANFD_G2M_1_BUS_SPDU_Tx_CANFD_G2M_1_BUS (0U)</t>
  </si>
  <si>
    <t>#define SecOCConf_SecOCTxSecuredPdu_SecuPdu_AVN1SC1_Tx_CANFD_G2M_1_BUS_SPDU_Tx_CANFD_G2M_1_BUS (1U)</t>
  </si>
  <si>
    <t>#define SecOCConf_SecOCTxSecuredPdu_SecuPdu_AVN1SC2_Tx_CANFD_G2M_1_BUS_SPDU_Tx_CANFD_G2M_1_BUS (2U)</t>
  </si>
  <si>
    <t>#define SecOCConf_SecOCTxSecuredPdu_SecuPdu_AVN1SC3_Tx_CANFD_G2M_1_BUS_SPDU_Tx_CANFD_G2M_1_BUS (3U)</t>
  </si>
  <si>
    <t>#define SecOCConf_SecOCTxSecuredPdu_SecuPdu_AVN1SC4_Tx_CANFD_G2M_1_BUS_SPDU_Tx_CANFD_G2M_1_BUS (4U)</t>
  </si>
  <si>
    <t>#define SecOCConf_SecOCTxSecuredPdu_SecuPdu_AVN1SC5_Tx_CANFD_G2M_1_BUS_SPDU_Tx_CANFD_G2M_1_BUS (5U)</t>
  </si>
  <si>
    <t>#define SecOCConf_SecOCTxSecuredPdu_SecuPdu_AVN1SC6_Tx_CANFD_G2M_1_BUS_SPDU_Tx_CANFD_G2M_1_BUS (6U)</t>
  </si>
  <si>
    <t>#define SecOCConf_SecOCTxSecuredPdu_SecuPdu_AVN1SC7_Tx_CANFD_G2M_1_BUS_SPDU_Tx_CANFD_G2M_1_BUS (7U)</t>
  </si>
  <si>
    <t>#define SecOCConf_SecOCTxSecuredPdu_SecuPdu_AVN1SC8_Tx_CANFD_G2M_1_BUS_SPDU_Tx_CANFD_G2M_1_BUS (8U)</t>
  </si>
  <si>
    <t>#define SecOCConf_SecOCTxSecuredPdu_SecuPdu_AVN1SC9_Tx_CANFD_G2M_1_BUS_SPDU_Tx_CANFD_G2M_1_BUS (9U)</t>
  </si>
  <si>
    <t>#define SecOCConf_SecOCTxSecuredPdu_SecuPdu_AVN1SD1_Tx_CANFD_G2M_1_BUS_SPDU_Tx_CANFD_G2M_1_BUS (10U)</t>
  </si>
  <si>
    <t>#define SecOCConf_SecOCTxSecuredPdu_SecuPdu_AVN1SD2_Tx_CANFD_G2M_1_BUS_SPDU_Tx_CANFD_G2M_1_BUS (11U)</t>
  </si>
  <si>
    <t>#define SecOCConf_SecOCTxSecuredPdu_SecuPdu_AVN1SD3_Tx_CANFD_G2M_1_BUS_SPDU_Tx_CANFD_G2M_1_BUS (12U)</t>
  </si>
  <si>
    <t>#define SecOCConf_SecOCTxSecuredPdu_SecuPdu_CDC1S01_Tx_CANFD_G2M_1_BUS_SPDU_Tx_CANFD_G2M_1_BUS (13U)</t>
  </si>
  <si>
    <t>#define SecOCConf_SecOCTxSecuredPdu_SecuPdu_MET1S30_Tx_CANFD_G2M_1_BUS_SPDU_Tx_CANFD_G2M_1_BUS (14U)</t>
  </si>
  <si>
    <t>#define SecOCConf_SecOCTxSecuredPdu_SecuPdu_MET1S44_Tx_CANFD_G5M_BUS_SPDU_Tx_CANFD_G5M_BUS (15U)</t>
  </si>
  <si>
    <t>/* can_rscf4_cfg_h_m10700_v3-0-0                                            */</t>
  </si>
  <si>
    <t>/****************************************************************************/</t>
  </si>
  <si>
    <t>/* Protected                                                                */</t>
  </si>
  <si>
    <t>/* Copyright DENSO CORPORATION                                              */</t>
  </si>
  <si>
    <t>/* Object Name  | CAN/RSCF4/CFG/HEADER                                      */</t>
  </si>
  <si>
    <t>/*--------------------------------------------------------------------------*/</t>
  </si>
  <si>
    <t>/* Notes        |                                                           */</t>
  </si>
  <si>
    <t>#ifndef CAN_RSCF4_CFG_H</t>
  </si>
  <si>
    <t>#define CAN_RSCF4_CFG_H</t>
  </si>
  <si>
    <t>/* Macros                                                                   */</t>
  </si>
  <si>
    <t>/********************************/</t>
  </si>
  <si>
    <t>/* CAN Common Configuration     */</t>
  </si>
  <si>
    <t>/*--------------------------------------------------------------*/</t>
  </si>
  <si>
    <t>/* CAN USE/NOUSE                                                */</t>
  </si>
  <si>
    <t>#define CAN_CFG_CAN                         (CAN_USE)</t>
  </si>
  <si>
    <t>/* CPU Operating Clock                                          */</t>
  </si>
  <si>
    <t>#define CAN_CFG_CLK                         (400U)</t>
  </si>
  <si>
    <t>/* CAN Operating Clock                                          */</t>
  </si>
  <si>
    <t>#define CAN_CFG_CONTROLLER_CLK              (80U)</t>
  </si>
  <si>
    <t>/* CAN Baudrate Control Clock                                   */</t>
  </si>
  <si>
    <t>#define CAN_CFG_BAUDRATE_CLK                (80U)</t>
  </si>
  <si>
    <t>/* Number of Configuration Sets                                 */</t>
  </si>
  <si>
    <t>#define CAN_CFG_CONFIGSET_NUM               (1U)</t>
  </si>
  <si>
    <t>/* Maximum Number of CAN Controllers                            */</t>
  </si>
  <si>
    <t>#define CAN_CFG_CONTROLLERNUM_MAX           (8U)</t>
  </si>
  <si>
    <t>/* CAN Regisger Base Address                                    */</t>
  </si>
  <si>
    <t>#define CAN_CFG_REG_BASEADDR                (0xFFF50000UL)</t>
  </si>
  <si>
    <t>/* Addressing Mode                                              */</t>
  </si>
  <si>
    <t>#define CAN_CFG_ADRSING                     (CAN_ADRSING_NORMAL)</t>
  </si>
  <si>
    <t>/* Tx Function USE/NOUSE                                        */</t>
  </si>
  <si>
    <t>#define CAN_CFG_TRANSMIT                    (CAN_USE)</t>
  </si>
  <si>
    <t>/* Tx Abort Send Function USE/NOUSE                             */</t>
  </si>
  <si>
    <t>#define CAN_CFG_ABORTSEND                   (CAN_USE)</t>
  </si>
  <si>
    <t>/* User Tx Function USE/NOUSE                                   */</t>
  </si>
  <si>
    <t>#define CAN_CFG_USER_TRANSMIT               (CAN_USE)</t>
  </si>
  <si>
    <t>/* Rx Function USE/NOUSE                                        */</t>
  </si>
  <si>
    <t>#define CAN_CFG_RECEIVE                     (CAN_USE)</t>
  </si>
  <si>
    <t>/* User Rx Function USE/NOUSE                                   */</t>
  </si>
  <si>
    <t>#define CAN_CFG_USER_RX_HOOK                (CAN_USE)</t>
  </si>
  <si>
    <t>/* Communication Parameter Check USE/NOUSE                      */</t>
  </si>
  <si>
    <t>#define CAN_CFG_PARAM_CHECK                 (CAN_NOUSE)</t>
  </si>
  <si>
    <t>/* Response when Stuck Register is Detected                     */</t>
  </si>
  <si>
    <t>#define CAN_CFG_CHKSTKREG_RESP              (CAN_RESP_NOT_OK)</t>
  </si>
  <si>
    <t>/* Number of Divisions for Checking Stuck Register              */</t>
  </si>
  <si>
    <t>#define CAN_CFG_CHKSTKREG_LIMIT             (1U)</t>
  </si>
  <si>
    <t>/* Sleep Function USE/NOUSE                                     */</t>
  </si>
  <si>
    <t>#define CAN_CFG_SLEEP                       (CAN_USE)</t>
  </si>
  <si>
    <t>/* Number of Baudrate Switch Configuration Table Elements       */</t>
  </si>
  <si>
    <t>#define CAN_CFG_BRSCFGTBL_SIZE              (1U)</t>
  </si>
  <si>
    <t>/* Number of Filter Mask Values                                 */</t>
  </si>
  <si>
    <t>#define CAN_CFG_FILTER_MASK_NUM             (48U)</t>
  </si>
  <si>
    <t>/* Filter Mask Values                                           */</t>
  </si>
  <si>
    <t>#define CAN_CFG_FILTER_MASK_VALUE_0         (0x0000003FUL)</t>
  </si>
  <si>
    <t>m</t>
    <phoneticPr fontId="4"/>
  </si>
  <si>
    <t>CAN_CFG_FILTER_MASK_VALUE_0</t>
  </si>
  <si>
    <t>0x0000003F</t>
  </si>
  <si>
    <t>#define CAN_CFG_FILTER_MASK_VALUE_1         (0x00000090UL)</t>
  </si>
  <si>
    <t>#define CAN_CFG_FILTER_MASK_VALUE_2         (0x00000003UL)</t>
  </si>
  <si>
    <t>#define CAN_CFG_FILTER_MASK_VALUE_3         (0x00000081UL)</t>
  </si>
  <si>
    <t>#define CAN_CFG_FILTER_MASK_VALUE_4         (0x00000044UL)</t>
  </si>
  <si>
    <t>#define CAN_CFG_FILTER_MASK_VALUE_5         (0x00000006UL)</t>
  </si>
  <si>
    <t>#define CAN_CFG_FILTER_MASK_VALUE_6         (0x0000000CUL)</t>
  </si>
  <si>
    <t>#define CAN_CFG_FILTER_MASK_VALUE_7         (0x00000005UL)</t>
  </si>
  <si>
    <t>#define CAN_CFG_FILTER_MASK_VALUE_8         (0x00000011UL)</t>
  </si>
  <si>
    <t>#define CAN_CFG_FILTER_MASK_VALUE_9         (0x00000082UL)</t>
  </si>
  <si>
    <t>#define CAN_CFG_FILTER_MASK_VALUE_10        (0x00000050UL)</t>
  </si>
  <si>
    <t>#define CAN_CFG_FILTER_MASK_VALUE_11        (0x00000202UL)</t>
  </si>
  <si>
    <t>#define CAN_CFG_FILTER_MASK_VALUE_12        (0x00000204UL)</t>
  </si>
  <si>
    <t>#define CAN_CFG_FILTER_MASK_VALUE_13        (0x00000009UL)</t>
  </si>
  <si>
    <t>#define CAN_CFG_FILTER_MASK_VALUE_14        (0x000000C0UL)</t>
  </si>
  <si>
    <t>#define CAN_CFG_FILTER_MASK_VALUE_15        (0x00000042UL)</t>
  </si>
  <si>
    <t>#define CAN_CFG_FILTER_MASK_VALUE_16        (0x00000018UL)</t>
  </si>
  <si>
    <t>#define CAN_CFG_FILTER_MASK_VALUE_17        (0x00000201UL)</t>
  </si>
  <si>
    <t>#define CAN_CFG_FILTER_MASK_VALUE_18        (0x00000028UL)</t>
  </si>
  <si>
    <t>#define CAN_CFG_FILTER_MASK_VALUE_19        (0x00000102UL)</t>
  </si>
  <si>
    <t>#define CAN_CFG_FILTER_MASK_VALUE_20        (0x00000024UL)</t>
  </si>
  <si>
    <t>#define CAN_CFG_FILTER_MASK_VALUE_21        (0x00000001UL)</t>
  </si>
  <si>
    <t>#define CAN_CFG_FILTER_MASK_VALUE_22        (0x00000100UL)</t>
  </si>
  <si>
    <t>#define CAN_CFG_FILTER_MASK_VALUE_23        (0x00000004UL)</t>
  </si>
  <si>
    <t>#define CAN_CFG_FILTER_MASK_VALUE_24        (0x00000010UL)</t>
  </si>
  <si>
    <t>#define CAN_CFG_FILTER_MASK_VALUE_25        (0x00000080UL)</t>
  </si>
  <si>
    <t>#define CAN_CFG_FILTER_MASK_VALUE_26        (0x00000020UL)</t>
  </si>
  <si>
    <t>#define CAN_CFG_FILTER_MASK_VALUE_27        (0x00000008UL)</t>
  </si>
  <si>
    <t>#define CAN_CFG_FILTER_MASK_VALUE_28        (0x00000002UL)</t>
  </si>
  <si>
    <t>#define CAN_CFG_FILTER_MASK_VALUE_29        (0x00000040UL)</t>
  </si>
  <si>
    <t>#define CAN_CFG_FILTER_MASK_VALUE_30        (0x00000400UL)</t>
  </si>
  <si>
    <t>#define CAN_CFG_FILTER_MASK_VALUE_31        (0x8001FFFFUL)</t>
  </si>
  <si>
    <t>#define CAN_CFG_FILTER_MASK_VALUE_35        (0x00000000UL)</t>
  </si>
  <si>
    <t>#define CAN_CFG_FILTER_MASK_VALUE_36        (0x00000000UL)</t>
  </si>
  <si>
    <t>#define CAN_CFG_FILTER_MASK_VALUE_37        (0x00000000UL)</t>
  </si>
  <si>
    <t>#define CAN_CFG_FILTER_MASK_VALUE_38        (0x00000000UL)</t>
  </si>
  <si>
    <t>#define CAN_CFG_FILTER_MASK_VALUE_39        (0x00000000UL)</t>
  </si>
  <si>
    <t>#define CAN_CFG_FILTER_MASK_VALUE_40        (0x00000000UL)</t>
  </si>
  <si>
    <t>#define CAN_CFG_FILTER_MASK_VALUE_41        (0x00000000UL)</t>
  </si>
  <si>
    <t>#define CAN_CFG_FILTER_MASK_VALUE_42        (0x00000000UL)</t>
  </si>
  <si>
    <t>#define CAN_CFG_FILTER_MASK_VALUE_43        (0x00000000UL)</t>
  </si>
  <si>
    <t>#define CAN_CFG_FILTER_MASK_VALUE_44        (0x00000000UL)</t>
  </si>
  <si>
    <t>#define CAN_CFG_FILTER_MASK_VALUE_45        (0x00000000UL)</t>
  </si>
  <si>
    <t>#define CAN_CFG_FILTER_MASK_VALUE_46        (0x00000000UL)</t>
  </si>
  <si>
    <t>#define CAN_CFG_FILTER_MASK_VALUE_47        (0x00000000UL)</t>
  </si>
  <si>
    <t>#define CAN_CFG_FILTER_MASK_VALUE_48        (0x00000000UL)</t>
  </si>
  <si>
    <t>#define CAN_CFG_FILTER_MASK_VALUE_49        (0x00000000UL)</t>
  </si>
  <si>
    <t>#define CAN_CFG_FILTER_MASK_VALUE_50        (0x00000000UL)</t>
  </si>
  <si>
    <t>#define CAN_CFG_FILTER_MASK_VALUE_51        (0x00000000UL)</t>
  </si>
  <si>
    <t>#define CAN_CFG_FILTER_MASK_VALUE_52        (0x00000000UL)</t>
  </si>
  <si>
    <t>#define CAN_CFG_FILTER_MASK_VALUE_53        (0x00000000UL)</t>
  </si>
  <si>
    <t>#define CAN_CFG_FILTER_MASK_VALUE_54        (0x00000000UL)</t>
  </si>
  <si>
    <t>#define CAN_CFG_FILTER_MASK_VALUE_55        (0x00000000UL)</t>
  </si>
  <si>
    <t>#define CAN_CFG_FILTER_MASK_VALUE_56        (0x00000000UL)</t>
  </si>
  <si>
    <t>#define CAN_CFG_FILTER_MASK_VALUE_57        (0x00000000UL)</t>
  </si>
  <si>
    <t>#define CAN_CFG_FILTER_MASK_VALUE_58        (0x00000000UL)</t>
  </si>
  <si>
    <t>#define CAN_CFG_FILTER_MASK_VALUE_59        (0x00000000UL)</t>
  </si>
  <si>
    <t>#define CAN_CFG_FILTER_MASK_VALUE_60        (0x00000000UL)</t>
  </si>
  <si>
    <t>#define CAN_CFG_FILTER_MASK_VALUE_61        (0x00000000UL)</t>
  </si>
  <si>
    <t>#define CAN_CFG_FILTER_MASK_VALUE_62        (0x00000000UL)</t>
  </si>
  <si>
    <t>#define CAN_CFG_FILTER_MASK_VALUE_63        (0x00000000UL)</t>
  </si>
  <si>
    <t>#define CAN_CFG_FILTER_MASK_VALUE_64        (0x00000000UL)</t>
  </si>
  <si>
    <t>#define CAN_CFG_FILTER_MASK_VALUE_65        (0x00000000UL)</t>
  </si>
  <si>
    <t>#define CAN_CFG_FILTER_MASK_VALUE_66        (0x00000000UL)</t>
  </si>
  <si>
    <t>#define CAN_CFG_FILTER_MASK_VALUE_67        (0x00000000UL)</t>
  </si>
  <si>
    <t>#define CAN_CFG_FILTER_MASK_VALUE_68        (0x00000000UL)</t>
  </si>
  <si>
    <t>#define CAN_CFG_FILTER_MASK_VALUE_69        (0x00000000UL)</t>
  </si>
  <si>
    <t>#define CAN_CFG_FILTER_MASK_VALUE_70        (0x00000000UL)</t>
  </si>
  <si>
    <t>#define CAN_CFG_FILTER_MASK_VALUE_71        (0x00000000UL)</t>
  </si>
  <si>
    <t>#define CAN_CFG_FILTER_MASK_VALUE_72        (0x00000000UL)</t>
  </si>
  <si>
    <t>#define CAN_CFG_FILTER_MASK_VALUE_73        (0x00000000UL)</t>
  </si>
  <si>
    <t>#define CAN_CFG_FILTER_MASK_VALUE_74        (0x00000000UL)</t>
  </si>
  <si>
    <t>#define CAN_CFG_FILTER_MASK_VALUE_75        (0x00000000UL)</t>
  </si>
  <si>
    <t>#define CAN_CFG_FILTER_MASK_VALUE_76        (0x00000000UL)</t>
  </si>
  <si>
    <t>#define CAN_CFG_FILTER_MASK_VALUE_77        (0x00000000UL)</t>
  </si>
  <si>
    <t>#define CAN_CFG_FILTER_MASK_VALUE_78        (0x00000000UL)</t>
  </si>
  <si>
    <t>#define CAN_CFG_FILTER_MASK_VALUE_79        (0x00000000UL)</t>
  </si>
  <si>
    <t>#define CAN_CFG_FILTER_MASK_VALUE_80        (0x00000000UL)</t>
  </si>
  <si>
    <t>#define CAN_CFG_FILTER_MASK_VALUE_81        (0x00000000UL)</t>
  </si>
  <si>
    <t>#define CAN_CFG_FILTER_MASK_VALUE_82        (0x00000000UL)</t>
  </si>
  <si>
    <t>#define CAN_CFG_FILTER_MASK_VALUE_83        (0x00000000UL)</t>
  </si>
  <si>
    <t>#define CAN_CFG_FILTER_MASK_VALUE_84        (0x00000000UL)</t>
  </si>
  <si>
    <t>#define CAN_CFG_FILTER_MASK_VALUE_85        (0x00000000UL)</t>
  </si>
  <si>
    <t>#define CAN_CFG_FILTER_MASK_VALUE_86        (0x00000000UL)</t>
  </si>
  <si>
    <t>#define CAN_CFG_FILTER_MASK_VALUE_87        (0x00000000UL)</t>
  </si>
  <si>
    <t>#define CAN_CFG_FILTER_MASK_VALUE_88        (0x00000000UL)</t>
  </si>
  <si>
    <t>#define CAN_CFG_FILTER_MASK_VALUE_89        (0x00000000UL)</t>
  </si>
  <si>
    <t>#define CAN_CFG_FILTER_MASK_VALUE_90        (0x00000000UL)</t>
  </si>
  <si>
    <t>#define CAN_CFG_FILTER_MASK_VALUE_91        (0x00000000UL)</t>
  </si>
  <si>
    <t>#define CAN_CFG_FILTER_MASK_VALUE_92        (0x00000000UL)</t>
  </si>
  <si>
    <t>#define CAN_CFG_FILTER_MASK_VALUE_93        (0x00000000UL)</t>
  </si>
  <si>
    <t>#define CAN_CFG_FILTER_MASK_VALUE_94        (0x00000000UL)</t>
  </si>
  <si>
    <t>#define CAN_CFG_FILTER_MASK_VALUE_95        (0x00000000UL)</t>
  </si>
  <si>
    <t>#define CAN_CFG_FILTER_MASK_VALUE_96        (0x00000000UL)</t>
  </si>
  <si>
    <t>#define CAN_CFG_FILTER_MASK_VALUE_97        (0x00000000UL)</t>
  </si>
  <si>
    <t>#define CAN_CFG_FILTER_MASK_VALUE_98        (0x00000000UL)</t>
  </si>
  <si>
    <t>#define CAN_CFG_FILTER_MASK_VALUE_99        (0x00000000UL)</t>
  </si>
  <si>
    <t>#define CAN_CFG_FILTER_MASK_VALUE_100       (0x00000000UL)</t>
  </si>
  <si>
    <t>#define CAN_CFG_FILTER_MASK_VALUE_101       (0x00000000UL)</t>
  </si>
  <si>
    <t>#define CAN_CFG_FILTER_MASK_VALUE_102       (0x00000000UL)</t>
  </si>
  <si>
    <t>#define CAN_CFG_FILTER_MASK_VALUE_103       (0x00000000UL)</t>
  </si>
  <si>
    <t>#define CAN_CFG_FILTER_MASK_VALUE_104       (0x00000000UL)</t>
  </si>
  <si>
    <t>#define CAN_CFG_FILTER_MASK_VALUE_105       (0x00000000UL)</t>
  </si>
  <si>
    <t>#define CAN_CFG_FILTER_MASK_VALUE_106       (0x00000000UL)</t>
  </si>
  <si>
    <t>#define CAN_CFG_FILTER_MASK_VALUE_107       (0x00000000UL)</t>
  </si>
  <si>
    <t>#define CAN_CFG_FILTER_MASK_VALUE_108       (0x00000000UL)</t>
  </si>
  <si>
    <t>#define CAN_CFG_FILTER_MASK_VALUE_109       (0x00000000UL)</t>
  </si>
  <si>
    <t>#define CAN_CFG_FILTER_MASK_VALUE_110       (0x00000000UL)</t>
  </si>
  <si>
    <t>#define CAN_CFG_FILTER_MASK_VALUE_111       (0x00000000UL)</t>
  </si>
  <si>
    <t>#define CAN_CFG_FILTER_MASK_VALUE_112       (0x00000000UL)</t>
  </si>
  <si>
    <t>#define CAN_CFG_FILTER_MASK_VALUE_113       (0x00000000UL)</t>
  </si>
  <si>
    <t>#define CAN_CFG_FILTER_MASK_VALUE_114       (0x00000000UL)</t>
  </si>
  <si>
    <t>#define CAN_CFG_FILTER_MASK_VALUE_115       (0x00000000UL)</t>
  </si>
  <si>
    <t>#define CAN_CFG_FILTER_MASK_VALUE_116       (0x00000000UL)</t>
  </si>
  <si>
    <t>#define CAN_CFG_FILTER_MASK_VALUE_117       (0x00000000UL)</t>
  </si>
  <si>
    <t>#define CAN_CFG_FILTER_MASK_VALUE_118       (0x00000000UL)</t>
  </si>
  <si>
    <t>#define CAN_CFG_FILTER_MASK_VALUE_119       (0x00000000UL)</t>
  </si>
  <si>
    <t>#define CAN_CFG_FILTER_MASK_VALUE_120       (0x00000000UL)</t>
  </si>
  <si>
    <t>#define CAN_CFG_FILTER_MASK_VALUE_121       (0x00000000UL)</t>
  </si>
  <si>
    <t>#define CAN_CFG_FILTER_MASK_VALUE_122       (0x00000000UL)</t>
  </si>
  <si>
    <t>#define CAN_CFG_FILTER_MASK_VALUE_123       (0x00000000UL)</t>
  </si>
  <si>
    <t>#define CAN_CFG_FILTER_MASK_VALUE_124       (0x00000000UL)</t>
  </si>
  <si>
    <t>#define CAN_CFG_FILTER_MASK_VALUE_125       (0x00000000UL)</t>
  </si>
  <si>
    <t>#define CAN_CFG_FILTER_MASK_VALUE_126       (0x00000000UL)</t>
  </si>
  <si>
    <t>#define CAN_CFG_FILTER_MASK_VALUE_127       (0x00000000UL)</t>
  </si>
  <si>
    <t>/**********************************/</t>
  </si>
  <si>
    <t>/* CAN Controller Configuration   */</t>
  </si>
  <si>
    <t>/* CAN Controller Activation TRUE/FALSE                         */</t>
  </si>
  <si>
    <t>#define CAN_CFG_CONTROLLER_ACTIVATION_0     (CAN_TRUE)</t>
  </si>
  <si>
    <t>#define CAN_CFG_CONTROLLER_ACTIVATION_1     (CAN_TRUE)</t>
  </si>
  <si>
    <t>#define CAN_CFG_CONTROLLER_ACTIVATION_2     (CAN_TRUE)</t>
  </si>
  <si>
    <t>#define CAN_CFG_CONTROLLER_ACTIVATION_3     (CAN_TRUE)</t>
  </si>
  <si>
    <t>#define CAN_CFG_CONTROLLER_ACTIVATION_4     (CAN_TRUE)</t>
  </si>
  <si>
    <t>#define CAN_CFG_CONTROLLER_ACTIVATION_5     (CAN_TRUE)</t>
  </si>
  <si>
    <t>#define CAN_CFG_CONTROLLER_ACTIVATION_6     (CAN_TRUE)</t>
  </si>
  <si>
    <t>#define CAN_CFG_CONTROLLER_ACTIVATION_7     (CAN_TRUE)</t>
  </si>
  <si>
    <t>/* CAN Controller USE/NOUSE                                     */</t>
  </si>
  <si>
    <t>#define CAN_CFG_CONTROLLER_CAN_0            (CAN_NOUSE)</t>
  </si>
  <si>
    <t>#define CAN_CFG_CONTROLLER_CAN_1            (CAN_NOUSE)</t>
  </si>
  <si>
    <t>#define CAN_CFG_CONTROLLER_CAN_2            (CAN_NOUSE)</t>
  </si>
  <si>
    <t>#define CAN_CFG_CONTROLLER_CAN_3            (CAN_USE)</t>
  </si>
  <si>
    <t>#define CAN_CFG_CONTROLLER_CAN_4            (CAN_NOUSE)</t>
  </si>
  <si>
    <t>#define CAN_CFG_CONTROLLER_CAN_5            (CAN_USE)</t>
  </si>
  <si>
    <t>#define CAN_CFG_CONTROLLER_CAN_6            (CAN_NOUSE)</t>
  </si>
  <si>
    <t>#define CAN_CFG_CONTROLLER_CAN_7            (CAN_USE)</t>
  </si>
  <si>
    <t>/* CAN Operation Mode(Each CAN Controller)                      */</t>
  </si>
  <si>
    <t>#define CAN_CFG_OPEMODE_0                   (CAN_OPEMODE_CAN)</t>
  </si>
  <si>
    <t>#define CAN_CFG_OPEMODE_1                   (CAN_OPEMODE_CAN)</t>
  </si>
  <si>
    <t>#define CAN_CFG_OPEMODE_2                   (CAN_OPEMODE_CAN)</t>
  </si>
  <si>
    <t>#define CAN_CFG_OPEMODE_3                   (CAN_OPEMODE_CANFD)</t>
  </si>
  <si>
    <t>#define CAN_CFG_OPEMODE_4                   (CAN_OPEMODE_CAN)</t>
  </si>
  <si>
    <t>#define CAN_CFG_OPEMODE_5                   (CAN_OPEMODE_CANFD)</t>
  </si>
  <si>
    <t>#define CAN_CFG_OPEMODE_6                   (CAN_OPEMODE_CAN)</t>
  </si>
  <si>
    <t>#define CAN_CFG_OPEMODE_7                   (CAN_OPEMODE_CANFD)</t>
  </si>
  <si>
    <t>/* CAN RAM Size(Each CAN Controller)                            */</t>
  </si>
  <si>
    <t>#define CAN_CFG_RAM_SIZE_0                  (222464UL)</t>
  </si>
  <si>
    <t>#define CAN_CFG_RAM_SIZE_1                  (0UL)</t>
  </si>
  <si>
    <t>#define CAN_CFG_RAM_SIZE_2                  (0UL)</t>
  </si>
  <si>
    <t>#define CAN_CFG_RAM_SIZE_3                  (0UL)</t>
  </si>
  <si>
    <t>#define CAN_CFG_RAM_SIZE_4                  (0UL)</t>
  </si>
  <si>
    <t>#define CAN_CFG_RAM_SIZE_5                  (0UL)</t>
  </si>
  <si>
    <t>#define CAN_CFG_RAM_SIZE_6                  (0UL)</t>
  </si>
  <si>
    <t>#define CAN_CFG_RAM_SIZE_7                  (0UL)</t>
  </si>
  <si>
    <t>/* ESI Bit(Each CAN Controller)                                 */</t>
  </si>
  <si>
    <t>#define CAN_CFG_ESI_0                       (CAN_NOUSE)</t>
  </si>
  <si>
    <t>#define CAN_CFG_ESI_1                       (CAN_NOUSE)</t>
  </si>
  <si>
    <t>#define CAN_CFG_ESI_2                       (CAN_NOUSE)</t>
  </si>
  <si>
    <t>#define CAN_CFG_ESI_3                       (CAN_NOUSE)</t>
  </si>
  <si>
    <t>#define CAN_CFG_ESI_4                       (CAN_NOUSE)</t>
  </si>
  <si>
    <t>#define CAN_CFG_ESI_5                       (CAN_NOUSE)</t>
  </si>
  <si>
    <t>#define CAN_CFG_ESI_6                       (CAN_NOUSE)</t>
  </si>
  <si>
    <t>#define CAN_CFG_ESI_7                       (CAN_NOUSE)</t>
  </si>
  <si>
    <t>/* Edge Filtering(Each CAN Controller)                          */</t>
  </si>
  <si>
    <t>#define CAN_CFG_EDGE_FILTERING_0            (CAN_NOUSE)</t>
  </si>
  <si>
    <t>#define CAN_CFG_EDGE_FILTERING_1            (CAN_NOUSE)</t>
  </si>
  <si>
    <t>#define CAN_CFG_EDGE_FILTERING_2            (CAN_NOUSE)</t>
  </si>
  <si>
    <t>#define CAN_CFG_EDGE_FILTERING_3            (CAN_NOUSE)</t>
  </si>
  <si>
    <t>#define CAN_CFG_EDGE_FILTERING_4            (CAN_NOUSE)</t>
  </si>
  <si>
    <t>#define CAN_CFG_EDGE_FILTERING_5            (CAN_NOUSE)</t>
  </si>
  <si>
    <t>#define CAN_CFG_EDGE_FILTERING_6            (CAN_NOUSE)</t>
  </si>
  <si>
    <t>#define CAN_CFG_EDGE_FILTERING_7            (CAN_NOUSE)</t>
  </si>
  <si>
    <t>/* Protocol Exception Event(Each CAN Controller)                */</t>
  </si>
  <si>
    <t>#define CAN_CFG_PROTOCOL_EXCEPTION_0        (CAN_NOUSE)</t>
  </si>
  <si>
    <t>#define CAN_CFG_PROTOCOL_EXCEPTION_1        (CAN_NOUSE)</t>
  </si>
  <si>
    <t>#define CAN_CFG_PROTOCOL_EXCEPTION_2        (CAN_NOUSE)</t>
  </si>
  <si>
    <t>#define CAN_CFG_PROTOCOL_EXCEPTION_3        (CAN_NOUSE)</t>
  </si>
  <si>
    <t>#define CAN_CFG_PROTOCOL_EXCEPTION_4        (CAN_NOUSE)</t>
  </si>
  <si>
    <t>#define CAN_CFG_PROTOCOL_EXCEPTION_5        (CAN_NOUSE)</t>
  </si>
  <si>
    <t>#define CAN_CFG_PROTOCOL_EXCEPTION_6        (CAN_NOUSE)</t>
  </si>
  <si>
    <t>#define CAN_CFG_PROTOCOL_EXCEPTION_7        (CAN_NOUSE)</t>
  </si>
  <si>
    <t>/* Data Baudrate Switch(Each CAN Controller)                    */</t>
  </si>
  <si>
    <t>#define CAN_CFG_DBAUDRATE_SWT_0             (CAN_NOUSE)</t>
  </si>
  <si>
    <t>#define CAN_CFG_DBAUDRATE_SWT_1             (CAN_NOUSE)</t>
  </si>
  <si>
    <t>#define CAN_CFG_DBAUDRATE_SWT_2             (CAN_NOUSE)</t>
  </si>
  <si>
    <t>#define CAN_CFG_DBAUDRATE_SWT_3             (CAN_USE)</t>
  </si>
  <si>
    <t>#define CAN_CFG_DBAUDRATE_SWT_4             (CAN_NOUSE)</t>
  </si>
  <si>
    <t>#define CAN_CFG_DBAUDRATE_SWT_5             (CAN_USE)</t>
  </si>
  <si>
    <t>#define CAN_CFG_DBAUDRATE_SWT_6             (CAN_NOUSE)</t>
  </si>
  <si>
    <t>#define CAN_CFG_DBAUDRATE_SWT_7             (CAN_USE)</t>
  </si>
  <si>
    <t>/* Nominal Baudrate(Each CAN Controller)                        */</t>
  </si>
  <si>
    <t>#define CAN_CFG_CONTROLLER_BAUDRATE_0       (CAN_250KBPS_4M_PTN1)</t>
  </si>
  <si>
    <t>#define CAN_CFG_CONTROLLER_BAUDRATE_1       (CAN_250KBPS_4M_PTN1)</t>
  </si>
  <si>
    <t>#define CAN_CFG_CONTROLLER_BAUDRATE_2       (CAN_250KBPS_4M_PTN1)</t>
  </si>
  <si>
    <t>#define CAN_CFG_CONTROLLER_BAUDRATE_3       (CAN_500KBPS_40M_PTN2)</t>
  </si>
  <si>
    <t>#define CAN_CFG_CONTROLLER_BAUDRATE_4       (CAN_250KBPS_4M_PTN1)</t>
  </si>
  <si>
    <t>#define CAN_CFG_CONTROLLER_BAUDRATE_5       (CAN_500KBPS_40M_PTN2)</t>
  </si>
  <si>
    <t>#define CAN_CFG_CONTROLLER_BAUDRATE_6       (CAN_250KBPS_4M_PTN1)</t>
  </si>
  <si>
    <t>#define CAN_CFG_CONTROLLER_BAUDRATE_7       (CAN_500KBPS_40M_PTN2)</t>
  </si>
  <si>
    <t>/* User Nominal Baudrate(Each CAN Controller)                   */</t>
  </si>
  <si>
    <t>#define CAN_CFG_USER_BAUDRATE_0             (0x00000000UL)</t>
  </si>
  <si>
    <t>#define CAN_CFG_USER_BAUDRATE_1             (0x00000000UL)</t>
  </si>
  <si>
    <t>#define CAN_CFG_USER_BAUDRATE_2             (0x00000000UL)</t>
  </si>
  <si>
    <t>#define CAN_CFG_USER_BAUDRATE_3             (0x00000000UL)</t>
  </si>
  <si>
    <t>#define CAN_CFG_USER_BAUDRATE_4             (0x00000000UL)</t>
  </si>
  <si>
    <t>#define CAN_CFG_USER_BAUDRATE_5             (0x00000000UL)</t>
  </si>
  <si>
    <t>#define CAN_CFG_USER_BAUDRATE_6             (0x00000000UL)</t>
  </si>
  <si>
    <t>#define CAN_CFG_USER_BAUDRATE_7             (0x00000000UL)</t>
  </si>
  <si>
    <t>/* Data Baudrate(Each CAN Controller)                           */</t>
  </si>
  <si>
    <t>#define CAN_CFG_CONTROLLER_DBAUDRATE_0      (CAN_DB_2MBPS_20M_PTN1)</t>
  </si>
  <si>
    <t>#define CAN_CFG_CONTROLLER_DBAUDRATE_1      (CAN_DB_2MBPS_20M_PTN1)</t>
  </si>
  <si>
    <t>#define CAN_CFG_CONTROLLER_DBAUDRATE_2      (CAN_DB_2MBPS_20M_PTN1)</t>
  </si>
  <si>
    <t>#define CAN_CFG_CONTROLLER_DBAUDRATE_3      (CAN_DB_2MBPS_40M_PTN2)</t>
  </si>
  <si>
    <t>#define CAN_CFG_CONTROLLER_DBAUDRATE_4      (CAN_DB_2MBPS_20M_PTN1)</t>
  </si>
  <si>
    <t>#define CAN_CFG_CONTROLLER_DBAUDRATE_5      (CAN_DB_2MBPS_40M_PTN2)</t>
  </si>
  <si>
    <t>#define CAN_CFG_CONTROLLER_DBAUDRATE_6      (CAN_DB_2MBPS_20M_PTN1)</t>
  </si>
  <si>
    <t>#define CAN_CFG_CONTROLLER_DBAUDRATE_7      (CAN_USER_DATABAUDRATE)</t>
  </si>
  <si>
    <t>/* User Data Baudrate(Each CAN Controller)                      */</t>
  </si>
  <si>
    <t>#define CAN_CFG_USER_DBAUDRATE_0            (0x00000000UL)</t>
  </si>
  <si>
    <t>#define CAN_CFG_USER_DBAUDRATE_1            (0x00000000UL)</t>
  </si>
  <si>
    <t>#define CAN_CFG_USER_DBAUDRATE_2            (0x00000000UL)</t>
  </si>
  <si>
    <t>#define CAN_CFG_USER_DBAUDRATE_3            (0x00000000UL)</t>
  </si>
  <si>
    <t>#define CAN_CFG_USER_DBAUDRATE_4            (0x00000000UL)</t>
  </si>
  <si>
    <t>#define CAN_CFG_USER_DBAUDRATE_5            (0x00000000UL)</t>
  </si>
  <si>
    <t>#define CAN_CFG_USER_DBAUDRATE_6            (0x00000000UL)</t>
  </si>
  <si>
    <t>#define CAN_CFG_USER_DBAUDRATE_7            (0x02020301UL)</t>
  </si>
  <si>
    <t>/* Tx Processing(Each CAN Controller)                           */</t>
  </si>
  <si>
    <t>#define CAN_CFG_TX_PROCESSING_0             (CAN_POLLING)</t>
  </si>
  <si>
    <t>#define CAN_CFG_TX_PROCESSING_1             (CAN_POLLING)</t>
  </si>
  <si>
    <t>#define CAN_CFG_TX_PROCESSING_2             (CAN_POLLING)</t>
  </si>
  <si>
    <t>#define CAN_CFG_TX_PROCESSING_3             (CAN_INTERRUPT)</t>
  </si>
  <si>
    <t>#define CAN_CFG_TX_PROCESSING_4             (CAN_POLLING)</t>
  </si>
  <si>
    <t>#define CAN_CFG_TX_PROCESSING_5             (CAN_INTERRUPT)</t>
  </si>
  <si>
    <t>#define CAN_CFG_TX_PROCESSING_6             (CAN_POLLING)</t>
  </si>
  <si>
    <t>#define CAN_CFG_TX_PROCESSING_7             (CAN_INTERRUPT)</t>
  </si>
  <si>
    <t>/* Tx Priority Mode(Each CAN Controller)                        */</t>
  </si>
  <si>
    <t>#define CAN_CFG_TXPRIMD_0                   (CAN_IDMODE)</t>
  </si>
  <si>
    <t>#define CAN_CFG_TXPRIMD_1                   (CAN_IDMODE)</t>
  </si>
  <si>
    <t>#define CAN_CFG_TXPRIMD_2                   (CAN_IDMODE)</t>
  </si>
  <si>
    <t>#define CAN_CFG_TXPRIMD_3                   (CAN_IDMODE)</t>
  </si>
  <si>
    <t>#define CAN_CFG_TXPRIMD_4                   (CAN_IDMODE)</t>
  </si>
  <si>
    <t>#define CAN_CFG_TXPRIMD_5                   (CAN_IDMODE)</t>
  </si>
  <si>
    <t>#define CAN_CFG_TXPRIMD_6                   (CAN_IDMODE)</t>
  </si>
  <si>
    <t>#define CAN_CFG_TXPRIMD_7                   (CAN_IDMODE)</t>
  </si>
  <si>
    <t>/* Rx Processing(Each CAN Controller)                           */</t>
  </si>
  <si>
    <t>#define CAN_CFG_RX_PROCESSING_0             (CAN_POLLING)</t>
  </si>
  <si>
    <t>#define CAN_CFG_RX_PROCESSING_1             (CAN_POLLING)</t>
  </si>
  <si>
    <t>#define CAN_CFG_RX_PROCESSING_2             (CAN_POLLING)</t>
  </si>
  <si>
    <t>#define CAN_CFG_RX_PROCESSING_3             (CAN_INTERRUPT)</t>
  </si>
  <si>
    <t>#define CAN_CFG_RX_PROCESSING_4             (CAN_POLLING)</t>
  </si>
  <si>
    <t>#define CAN_CFG_RX_PROCESSING_5             (CAN_INTERRUPT)</t>
  </si>
  <si>
    <t>#define CAN_CFG_RX_PROCESSING_6             (CAN_POLLING)</t>
  </si>
  <si>
    <t>#define CAN_CFG_RX_PROCESSING_7             (CAN_INTERRUPT)</t>
  </si>
  <si>
    <t>/* Bus-off Recovery(Each CAN Controller)                        */</t>
  </si>
  <si>
    <t>#define CAN_CFG_BUSOFF_RECOVERY_0           (CAN_MANUAL)</t>
  </si>
  <si>
    <t>#define CAN_CFG_BUSOFF_RECOVERY_1           (CAN_MANUAL)</t>
  </si>
  <si>
    <t>#define CAN_CFG_BUSOFF_RECOVERY_2           (CAN_MANUAL)</t>
  </si>
  <si>
    <t>#define CAN_CFG_BUSOFF_RECOVERY_3           (CAN_MANUAL)</t>
  </si>
  <si>
    <t>#define CAN_CFG_BUSOFF_RECOVERY_4           (CAN_MANUAL)</t>
  </si>
  <si>
    <t>#define CAN_CFG_BUSOFF_RECOVERY_5           (CAN_MANUAL)</t>
  </si>
  <si>
    <t>#define CAN_CFG_BUSOFF_RECOVERY_6           (CAN_MANUAL)</t>
  </si>
  <si>
    <t>#define CAN_CFG_BUSOFF_RECOVERY_7           (CAN_MANUAL)</t>
  </si>
  <si>
    <t>/* Bus-off Processing(Each CAN Controller)                      */</t>
  </si>
  <si>
    <t>#define CAN_CFG_BUSOFF_PROCESSING_0         (CAN_POLLING)</t>
  </si>
  <si>
    <t>#define CAN_CFG_BUSOFF_PROCESSING_1         (CAN_POLLING)</t>
  </si>
  <si>
    <t>#define CAN_CFG_BUSOFF_PROCESSING_2         (CAN_POLLING)</t>
  </si>
  <si>
    <t>#define CAN_CFG_BUSOFF_PROCESSING_3         (CAN_POLLING)</t>
  </si>
  <si>
    <t>#define CAN_CFG_BUSOFF_PROCESSING_4         (CAN_POLLING)</t>
  </si>
  <si>
    <t>#define CAN_CFG_BUSOFF_PROCESSING_5         (CAN_POLLING)</t>
  </si>
  <si>
    <t>#define CAN_CFG_BUSOFF_PROCESSING_6         (CAN_POLLING)</t>
  </si>
  <si>
    <t>#define CAN_CFG_BUSOFF_PROCESSING_7         (CAN_POLLING)</t>
  </si>
  <si>
    <t>/* Number of HTH(Each CAN Controller)                           */</t>
  </si>
  <si>
    <t>#define CAN_CFG_HTHNUM_0                    (0U)</t>
  </si>
  <si>
    <t>#define CAN_CFG_HTHNUM_1                    (0U)</t>
  </si>
  <si>
    <t>#define CAN_CFG_HTHNUM_2                    (0U)</t>
  </si>
  <si>
    <t>#define CAN_CFG_HTHNUM_3                    (1U)</t>
  </si>
  <si>
    <t>#define CAN_CFG_HTHNUM_4                    (0U)</t>
  </si>
  <si>
    <t>#define CAN_CFG_HTHNUM_6                    (0U)</t>
  </si>
  <si>
    <t>#define CAN_CFG_HTHNUM_7                    (0U)</t>
  </si>
  <si>
    <t>/* First MBOX Number for HTH(Each CAN Controller)               */</t>
  </si>
  <si>
    <t>#define CAN_CFG_MB_TXOFFSET_0               (0U)</t>
  </si>
  <si>
    <t>#define CAN_CFG_MB_TXOFFSET_1               (0U)</t>
  </si>
  <si>
    <t>#define CAN_CFG_MB_TXOFFSET_2               (0U)</t>
  </si>
  <si>
    <t>#define CAN_CFG_MB_TXOFFSET_3               (1U)</t>
  </si>
  <si>
    <t>#define CAN_CFG_MB_TXOFFSET_4               (0U)</t>
  </si>
  <si>
    <t>#define CAN_CFG_MB_TXOFFSET_5               (8U)</t>
  </si>
  <si>
    <t>#define CAN_CFG_MB_TXOFFSET_6               (0U)</t>
  </si>
  <si>
    <t>#define CAN_CFG_MB_TXOFFSET_7               (0U)</t>
  </si>
  <si>
    <t>/* Number of User Tx MBOX(Each CAN Controller)                  */</t>
  </si>
  <si>
    <t>#define CAN_CFG_USERTXMBOXNUM_0             (0U)</t>
  </si>
  <si>
    <t>#define CAN_CFG_USERTXMBOXNUM_1             (0U)</t>
  </si>
  <si>
    <t>#define CAN_CFG_USERTXMBOXNUM_2             (0U)</t>
  </si>
  <si>
    <t>#define CAN_CFG_USERTXMBOXNUM_3             (1U)</t>
  </si>
  <si>
    <t>#define CAN_CFG_USERTXMBOXNUM_4             (0U)</t>
  </si>
  <si>
    <t>#define CAN_CFG_USERTXMBOXNUM_5             (8U)</t>
  </si>
  <si>
    <t>#define CAN_CFG_USERTXMBOXNUM_6             (0U)</t>
  </si>
  <si>
    <t>#define CAN_CFG_USERTXMBOXNUM_7             (4U)</t>
  </si>
  <si>
    <t>/* First MBOX Number for User Tx(Each CAN Controller)           */</t>
  </si>
  <si>
    <t>#define CAN_CFG_MB_UTXOFFSET_0              (0U)</t>
  </si>
  <si>
    <t>#define CAN_CFG_MB_UTXOFFSET_1              (0U)</t>
  </si>
  <si>
    <t>#define CAN_CFG_MB_UTXOFFSET_2              (0U)</t>
  </si>
  <si>
    <t>#define CAN_CFG_MB_UTXOFFSET_3              (0U)</t>
  </si>
  <si>
    <t>#define CAN_CFG_MB_UTXOFFSET_4              (0U)</t>
  </si>
  <si>
    <t>#define CAN_CFG_MB_UTXOFFSET_5              (0U)</t>
  </si>
  <si>
    <t>#define CAN_CFG_MB_UTXOFFSET_6              (0U)</t>
  </si>
  <si>
    <t>#define CAN_CFG_MB_UTXOFFSET_7              (0U)</t>
  </si>
  <si>
    <t>/* Number of HRH(Each CAN Controller)                           */</t>
  </si>
  <si>
    <t>#define CAN_CFG_HRHNUM_0                    (0U)</t>
  </si>
  <si>
    <t>#define CAN_CFG_HRHNUM_1                    (0U)</t>
  </si>
  <si>
    <t>#define CAN_CFG_HRHNUM_2                    (0U)</t>
  </si>
  <si>
    <t>#define CAN_CFG_HRHNUM_3                    (3U)</t>
  </si>
  <si>
    <t>#define CAN_CFG_HRHNUM_4                    (0U)</t>
  </si>
  <si>
    <t>#define CAN_CFG_HRHNUM_6                    (0U)</t>
  </si>
  <si>
    <t>#define CAN_CFG_HRHNUM_7                    (84U)</t>
  </si>
  <si>
    <t>/* First MBOX Number for HRH(Each CAN Controller)               */</t>
  </si>
  <si>
    <t>#define CAN_CFG_MB_RXOFFSET_0               (0U)</t>
  </si>
  <si>
    <t>#define CAN_CFG_MB_RXOFFSET_1               (0U)</t>
  </si>
  <si>
    <t>#define CAN_CFG_MB_RXOFFSET_2               (0U)</t>
  </si>
  <si>
    <t>#define CAN_CFG_MB_RXOFFSET_3               (2U)</t>
  </si>
  <si>
    <t>#define CAN_CFG_MB_RXOFFSET_4               (0U)</t>
  </si>
  <si>
    <t>#define CAN_CFG_MB_RXOFFSET_6               (0U)</t>
  </si>
  <si>
    <t>#define CAN_CFG_MB_RXOFFSET_7               (4U)</t>
  </si>
  <si>
    <t>/* MBOX Settings(Each CAN Controller)                           */</t>
  </si>
  <si>
    <t>/* CAN Controller 0 MBOX Settings */</t>
  </si>
  <si>
    <t>#define CAN_CFG_MBOXSET_0_MB000             (CAN_MB_NOUSE)</t>
  </si>
  <si>
    <t>#define CAN_CFG_MBOXSET_0_MB001             (CAN_MB_NOUSE)</t>
  </si>
  <si>
    <t>#define CAN_CFG_MBOXSET_0_MB002             (CAN_MB_NOUSE)</t>
  </si>
  <si>
    <t>#define CAN_CFG_MBOXSET_0_MB003             (CAN_MB_NOUSE)</t>
  </si>
  <si>
    <t>#define CAN_CFG_MBOXSET_0_MB004             (CAN_MB_NOUSE)</t>
  </si>
  <si>
    <t>#define CAN_CFG_MBOXSET_0_MB005             (CAN_MB_NOUSE)</t>
  </si>
  <si>
    <t>#define CAN_CFG_MBOXSET_0_MB006             (CAN_MB_NOUSE)</t>
  </si>
  <si>
    <t>#define CAN_CFG_MBOXSET_0_MB007             (CAN_MB_NOUSE)</t>
  </si>
  <si>
    <t>#define CAN_CFG_MBOXSET_0_MB008             (CAN_MB_NOUSE)</t>
  </si>
  <si>
    <t>#define CAN_CFG_MBOXSET_0_MB009             (CAN_MB_NOUSE)</t>
  </si>
  <si>
    <t>#define CAN_CFG_MBOXSET_0_MB010             (CAN_MB_NOUSE)</t>
  </si>
  <si>
    <t>#define CAN_CFG_MBOXSET_0_MB011             (CAN_MB_NOUSE)</t>
  </si>
  <si>
    <t>#define CAN_CFG_MBOXSET_0_MB012             (CAN_MB_NOUSE)</t>
  </si>
  <si>
    <t>#define CAN_CFG_MBOXSET_0_MB013             (CAN_MB_NOUSE)</t>
  </si>
  <si>
    <t>#define CAN_CFG_MBOXSET_0_MB014             (CAN_MB_NOUSE)</t>
  </si>
  <si>
    <t>#define CAN_CFG_MBOXSET_0_MB015             (CAN_MB_NOUSE)</t>
  </si>
  <si>
    <t>#define CAN_CFG_MBOXSET_0_MB016             (CAN_MB_NOUSE)</t>
  </si>
  <si>
    <t>#define CAN_CFG_MBOXSET_0_MB017             (CAN_MB_NOUSE)</t>
  </si>
  <si>
    <t>#define CAN_CFG_MBOXSET_0_MB018             (CAN_MB_NOUSE)</t>
  </si>
  <si>
    <t>#define CAN_CFG_MBOXSET_0_MB019             (CAN_MB_NOUSE)</t>
  </si>
  <si>
    <t>#define CAN_CFG_MBOXSET_0_MB020             (CAN_MB_NOUSE)</t>
  </si>
  <si>
    <t>#define CAN_CFG_MBOXSET_0_MB021             (CAN_MB_NOUSE)</t>
  </si>
  <si>
    <t>#define CAN_CFG_MBOXSET_0_MB022             (CAN_MB_NOUSE)</t>
  </si>
  <si>
    <t>#define CAN_CFG_MBOXSET_0_MB023             (CAN_MB_NOUSE)</t>
  </si>
  <si>
    <t>#define CAN_CFG_MBOXSET_0_MB024             (CAN_MB_NOUSE)</t>
  </si>
  <si>
    <t>#define CAN_CFG_MBOXSET_0_MB025             (CAN_MB_NOUSE)</t>
  </si>
  <si>
    <t>#define CAN_CFG_MBOXSET_0_MB026             (CAN_MB_NOUSE)</t>
  </si>
  <si>
    <t>#define CAN_CFG_MBOXSET_0_MB027             (CAN_MB_NOUSE)</t>
  </si>
  <si>
    <t>#define CAN_CFG_MBOXSET_0_MB028             (CAN_MB_NOUSE)</t>
  </si>
  <si>
    <t>#define CAN_CFG_MBOXSET_0_MB029             (CAN_MB_NOUSE)</t>
  </si>
  <si>
    <t>#define CAN_CFG_MBOXSET_0_MB030             (CAN_MB_NOUSE)</t>
  </si>
  <si>
    <t>#define CAN_CFG_MBOXSET_0_MB031             (CAN_MB_NOUSE)</t>
  </si>
  <si>
    <t>#define CAN_CFG_MBOXSET_0_MB032             (CAN_MB_NOUSE)</t>
  </si>
  <si>
    <t>#define CAN_CFG_MBOXSET_0_MB033             (CAN_MB_NOUSE)</t>
  </si>
  <si>
    <t>#define CAN_CFG_MBOXSET_0_MB034             (CAN_MB_NOUSE)</t>
  </si>
  <si>
    <t>#define CAN_CFG_MBOXSET_0_MB035             (CAN_MB_NOUSE)</t>
  </si>
  <si>
    <t>#define CAN_CFG_MBOXSET_0_MB036             (CAN_MB_NOUSE)</t>
  </si>
  <si>
    <t>#define CAN_CFG_MBOXSET_0_MB037             (CAN_MB_NOUSE)</t>
  </si>
  <si>
    <t>#define CAN_CFG_MBOXSET_0_MB038             (CAN_MB_NOUSE)</t>
  </si>
  <si>
    <t>#define CAN_CFG_MBOXSET_0_MB039             (CAN_MB_NOUSE)</t>
  </si>
  <si>
    <t>#define CAN_CFG_MBOXSET_0_MB040             (CAN_MB_NOUSE)</t>
  </si>
  <si>
    <t>#define CAN_CFG_MBOXSET_0_MB041             (CAN_MB_NOUSE)</t>
  </si>
  <si>
    <t>#define CAN_CFG_MBOXSET_0_MB042             (CAN_MB_NOUSE)</t>
  </si>
  <si>
    <t>#define CAN_CFG_MBOXSET_0_MB043             (CAN_MB_NOUSE)</t>
  </si>
  <si>
    <t>#define CAN_CFG_MBOXSET_0_MB044             (CAN_MB_NOUSE)</t>
  </si>
  <si>
    <t>#define CAN_CFG_MBOXSET_0_MB045             (CAN_MB_NOUSE)</t>
  </si>
  <si>
    <t>#define CAN_CFG_MBOXSET_0_MB046             (CAN_MB_NOUSE)</t>
  </si>
  <si>
    <t>#define CAN_CFG_MBOXSET_0_MB047             (CAN_MB_NOUSE)</t>
  </si>
  <si>
    <t>#define CAN_CFG_MBOXSET_0_MB048             (CAN_MB_NOUSE)</t>
  </si>
  <si>
    <t>#define CAN_CFG_MBOXSET_0_MB049             (CAN_MB_NOUSE)</t>
  </si>
  <si>
    <t>#define CAN_CFG_MBOXSET_0_MB050             (CAN_MB_NOUSE)</t>
  </si>
  <si>
    <t>#define CAN_CFG_MBOXSET_0_MB051             (CAN_MB_NOUSE)</t>
  </si>
  <si>
    <t>#define CAN_CFG_MBOXSET_0_MB052             (CAN_MB_NOUSE)</t>
  </si>
  <si>
    <t>#define CAN_CFG_MBOXSET_0_MB053             (CAN_MB_NOUSE)</t>
  </si>
  <si>
    <t>#define CAN_CFG_MBOXSET_0_MB054             (CAN_MB_NOUSE)</t>
  </si>
  <si>
    <t>#define CAN_CFG_MBOXSET_0_MB055             (CAN_MB_NOUSE)</t>
  </si>
  <si>
    <t>#define CAN_CFG_MBOXSET_0_MB056             (CAN_MB_NOUSE)</t>
  </si>
  <si>
    <t>#define CAN_CFG_MBOXSET_0_MB057             (CAN_MB_NOUSE)</t>
  </si>
  <si>
    <t>#define CAN_CFG_MBOXSET_0_MB058             (CAN_MB_NOUSE)</t>
  </si>
  <si>
    <t>#define CAN_CFG_MBOXSET_0_MB059             (CAN_MB_NOUSE)</t>
  </si>
  <si>
    <t>#define CAN_CFG_MBOXSET_0_MB060             (CAN_MB_NOUSE)</t>
  </si>
  <si>
    <t>#define CAN_CFG_MBOXSET_0_MB061             (CAN_MB_NOUSE)</t>
  </si>
  <si>
    <t>#define CAN_CFG_MBOXSET_0_MB062             (CAN_MB_NOUSE)</t>
  </si>
  <si>
    <t>#define CAN_CFG_MBOXSET_0_MB063             (CAN_MB_NOUSE)</t>
  </si>
  <si>
    <t>#define CAN_CFG_MBOXSET_0_MB064             (CAN_MB_NOUSE)</t>
  </si>
  <si>
    <t>#define CAN_CFG_MBOXSET_0_MB065             (CAN_MB_NOUSE)</t>
  </si>
  <si>
    <t>#define CAN_CFG_MBOXSET_0_MB066             (CAN_MB_NOUSE)</t>
  </si>
  <si>
    <t>#define CAN_CFG_MBOXSET_0_MB067             (CAN_MB_NOUSE)</t>
  </si>
  <si>
    <t>#define CAN_CFG_MBOXSET_0_MB068             (CAN_MB_NOUSE)</t>
  </si>
  <si>
    <t>#define CAN_CFG_MBOXSET_0_MB069             (CAN_MB_NOUSE)</t>
  </si>
  <si>
    <t>#define CAN_CFG_MBOXSET_0_MB070             (CAN_MB_NOUSE)</t>
  </si>
  <si>
    <t>#define CAN_CFG_MBOXSET_0_MB071             (CAN_MB_NOUSE)</t>
  </si>
  <si>
    <t>#define CAN_CFG_MBOXSET_0_MB072             (CAN_MB_NOUSE)</t>
  </si>
  <si>
    <t>#define CAN_CFG_MBOXSET_0_MB073             (CAN_MB_NOUSE)</t>
  </si>
  <si>
    <t>#define CAN_CFG_MBOXSET_0_MB074             (CAN_MB_NOUSE)</t>
  </si>
  <si>
    <t>#define CAN_CFG_MBOXSET_0_MB075             (CAN_MB_NOUSE)</t>
  </si>
  <si>
    <t>#define CAN_CFG_MBOXSET_0_MB076             (CAN_MB_NOUSE)</t>
  </si>
  <si>
    <t>#define CAN_CFG_MBOXSET_0_MB077             (CAN_MB_NOUSE)</t>
  </si>
  <si>
    <t>#define CAN_CFG_MBOXSET_0_MB078             (CAN_MB_NOUSE)</t>
  </si>
  <si>
    <t>#define CAN_CFG_MBOXSET_0_MB079             (CAN_MB_NOUSE)</t>
  </si>
  <si>
    <t>#define CAN_CFG_MBOXSET_0_MB080             (CAN_MB_NOUSE)</t>
  </si>
  <si>
    <t>#define CAN_CFG_MBOXSET_0_MB081             (CAN_MB_NOUSE)</t>
  </si>
  <si>
    <t>#define CAN_CFG_MBOXSET_0_MB082             (CAN_MB_NOUSE)</t>
  </si>
  <si>
    <t>#define CAN_CFG_MBOXSET_0_MB083             (CAN_MB_NOUSE)</t>
  </si>
  <si>
    <t>#define CAN_CFG_MBOXSET_0_MB084             (CAN_MB_NOUSE)</t>
  </si>
  <si>
    <t>#define CAN_CFG_MBOXSET_0_MB085             (CAN_MB_NOUSE)</t>
  </si>
  <si>
    <t>#define CAN_CFG_MBOXSET_0_MB086             (CAN_MB_NOUSE)</t>
  </si>
  <si>
    <t>#define CAN_CFG_MBOXSET_0_MB087             (CAN_MB_NOUSE)</t>
  </si>
  <si>
    <t>#define CAN_CFG_MBOXSET_0_MB088             (CAN_MB_NOUSE)</t>
  </si>
  <si>
    <t>#define CAN_CFG_MBOXSET_0_MB089             (CAN_MB_NOUSE)</t>
  </si>
  <si>
    <t>#define CAN_CFG_MBOXSET_0_MB090             (CAN_MB_NOUSE)</t>
  </si>
  <si>
    <t>#define CAN_CFG_MBOXSET_0_MB091             (CAN_MB_NOUSE)</t>
  </si>
  <si>
    <t>#define CAN_CFG_MBOXSET_0_MB092             (CAN_MB_NOUSE)</t>
  </si>
  <si>
    <t>#define CAN_CFG_MBOXSET_0_MB093             (CAN_MB_NOUSE)</t>
  </si>
  <si>
    <t>#define CAN_CFG_MBOXSET_0_MB094             (CAN_MB_NOUSE)</t>
  </si>
  <si>
    <t>#define CAN_CFG_MBOXSET_0_MB095             (CAN_MB_NOUSE)</t>
  </si>
  <si>
    <t>#define CAN_CFG_MBOXSET_0_MB096             (CAN_MB_NOUSE)</t>
  </si>
  <si>
    <t>#define CAN_CFG_MBOXSET_0_MB097             (CAN_MB_NOUSE)</t>
  </si>
  <si>
    <t>#define CAN_CFG_MBOXSET_0_MB098             (CAN_MB_NOUSE)</t>
  </si>
  <si>
    <t>#define CAN_CFG_MBOXSET_0_MB099             (CAN_MB_NOUSE)</t>
  </si>
  <si>
    <t>#define CAN_CFG_MBOXSET_0_MB100             (CAN_MB_NOUSE)</t>
  </si>
  <si>
    <t>#define CAN_CFG_MBOXSET_0_MB101             (CAN_MB_NOUSE)</t>
  </si>
  <si>
    <t>#define CAN_CFG_MBOXSET_0_MB102             (CAN_MB_NOUSE)</t>
  </si>
  <si>
    <t>#define CAN_CFG_MBOXSET_0_MB103             (CAN_MB_NOUSE)</t>
  </si>
  <si>
    <t>#define CAN_CFG_MBOXSET_0_MB104             (CAN_MB_NOUSE)</t>
  </si>
  <si>
    <t>#define CAN_CFG_MBOXSET_0_MB105             (CAN_MB_NOUSE)</t>
  </si>
  <si>
    <t>#define CAN_CFG_MBOXSET_0_MB106             (CAN_MB_NOUSE)</t>
  </si>
  <si>
    <t>#define CAN_CFG_MBOXSET_0_MB107             (CAN_MB_NOUSE)</t>
  </si>
  <si>
    <t>#define CAN_CFG_MBOXSET_0_MB108             (CAN_MB_NOUSE)</t>
  </si>
  <si>
    <t>#define CAN_CFG_MBOXSET_0_MB109             (CAN_MB_NOUSE)</t>
  </si>
  <si>
    <t>#define CAN_CFG_MBOXSET_0_MB110             (CAN_MB_NOUSE)</t>
  </si>
  <si>
    <t>#define CAN_CFG_MBOXSET_0_MB111             (CAN_MB_NOUSE)</t>
  </si>
  <si>
    <t>#define CAN_CFG_MBOXSET_0_MB112             (CAN_MB_NOUSE)</t>
  </si>
  <si>
    <t>#define CAN_CFG_MBOXSET_0_MB113             (CAN_MB_NOUSE)</t>
  </si>
  <si>
    <t>#define CAN_CFG_MBOXSET_0_MB114             (CAN_MB_NOUSE)</t>
  </si>
  <si>
    <t>#define CAN_CFG_MBOXSET_0_MB115             (CAN_MB_NOUSE)</t>
  </si>
  <si>
    <t>#define CAN_CFG_MBOXSET_0_MB116             (CAN_MB_NOUSE)</t>
  </si>
  <si>
    <t>#define CAN_CFG_MBOXSET_0_MB117             (CAN_MB_NOUSE)</t>
  </si>
  <si>
    <t>#define CAN_CFG_MBOXSET_0_MB118             (CAN_MB_NOUSE)</t>
  </si>
  <si>
    <t>#define CAN_CFG_MBOXSET_0_MB119             (CAN_MB_NOUSE)</t>
  </si>
  <si>
    <t>#define CAN_CFG_MBOXSET_0_MB120             (CAN_MB_NOUSE)</t>
  </si>
  <si>
    <t>#define CAN_CFG_MBOXSET_0_MB121             (CAN_MB_NOUSE)</t>
  </si>
  <si>
    <t>#define CAN_CFG_MBOXSET_0_MB122             (CAN_MB_NOUSE)</t>
  </si>
  <si>
    <t>#define CAN_CFG_MBOXSET_0_MB123             (CAN_MB_NOUSE)</t>
  </si>
  <si>
    <t>#define CAN_CFG_MBOXSET_0_MB124             (CAN_MB_NOUSE)</t>
  </si>
  <si>
    <t>#define CAN_CFG_MBOXSET_0_MB125             (CAN_MB_NOUSE)</t>
  </si>
  <si>
    <t>#define CAN_CFG_MBOXSET_0_MB126             (CAN_MB_NOUSE)</t>
  </si>
  <si>
    <t>#define CAN_CFG_MBOXSET_0_MB127             (CAN_MB_NOUSE)</t>
  </si>
  <si>
    <t>#define CAN_CFG_MBOXSET_0_MB128             (CAN_MB_NOUSE)</t>
  </si>
  <si>
    <t>#define CAN_CFG_MBOXSET_0_MB129             (CAN_MB_NOUSE)</t>
  </si>
  <si>
    <t>#define CAN_CFG_MBOXSET_0_MB130             (CAN_MB_NOUSE)</t>
  </si>
  <si>
    <t>#define CAN_CFG_MBOXSET_0_MB131             (CAN_MB_NOUSE)</t>
  </si>
  <si>
    <t>#define CAN_CFG_MBOXSET_0_MB132             (CAN_MB_NOUSE)</t>
  </si>
  <si>
    <t>#define CAN_CFG_MBOXSET_0_MB133             (CAN_MB_NOUSE)</t>
  </si>
  <si>
    <t>#define CAN_CFG_MBOXSET_0_MB134             (CAN_MB_NOUSE)</t>
  </si>
  <si>
    <t>#define CAN_CFG_MBOXSET_0_MB135             (CAN_MB_NOUSE)</t>
  </si>
  <si>
    <t>#define CAN_CFG_MBOXSET_0_MB136             (CAN_MB_NOUSE)</t>
  </si>
  <si>
    <t>#define CAN_CFG_MBOXSET_0_MB137             (CAN_MB_NOUSE)</t>
  </si>
  <si>
    <t>#define CAN_CFG_MBOXSET_0_MB138             (CAN_MB_NOUSE)</t>
  </si>
  <si>
    <t>#define CAN_CFG_MBOXSET_0_MB139             (CAN_MB_NOUSE)</t>
  </si>
  <si>
    <t>#define CAN_CFG_MBOXSET_0_MB140             (CAN_MB_NOUSE)</t>
  </si>
  <si>
    <t>#define CAN_CFG_MBOXSET_0_MB141             (CAN_MB_NOUSE)</t>
  </si>
  <si>
    <t>#define CAN_CFG_MBOXSET_0_MB142             (CAN_MB_NOUSE)</t>
  </si>
  <si>
    <t>#define CAN_CFG_MBOXSET_0_MB143             (CAN_MB_NOUSE)</t>
  </si>
  <si>
    <t>#define CAN_CFG_MBOXSET_0_MB144             (CAN_MB_NOUSE)</t>
  </si>
  <si>
    <t>#define CAN_CFG_MBOXSET_0_MB145             (CAN_MB_NOUSE)</t>
  </si>
  <si>
    <t>#define CAN_CFG_MBOXSET_0_MB146             (CAN_MB_NOUSE)</t>
  </si>
  <si>
    <t>#define CAN_CFG_MBOXSET_0_MB147             (CAN_MB_NOUSE)</t>
  </si>
  <si>
    <t>#define CAN_CFG_MBOXSET_0_MB148             (CAN_MB_NOUSE)</t>
  </si>
  <si>
    <t>#define CAN_CFG_MBOXSET_0_MB149             (CAN_MB_NOUSE)</t>
  </si>
  <si>
    <t>#define CAN_CFG_MBOXSET_0_MB150             (CAN_MB_NOUSE)</t>
  </si>
  <si>
    <t>#define CAN_CFG_MBOXSET_0_MB151             (CAN_MB_NOUSE)</t>
  </si>
  <si>
    <t>#define CAN_CFG_MBOXSET_0_MB152             (CAN_MB_NOUSE)</t>
  </si>
  <si>
    <t>#define CAN_CFG_MBOXSET_0_MB153             (CAN_MB_NOUSE)</t>
  </si>
  <si>
    <t>#define CAN_CFG_MBOXSET_0_MB154             (CAN_MB_NOUSE)</t>
  </si>
  <si>
    <t>#define CAN_CFG_MBOXSET_0_MB155             (CAN_MB_NOUSE)</t>
  </si>
  <si>
    <t>#define CAN_CFG_MBOXSET_0_MB156             (CAN_MB_NOUSE)</t>
  </si>
  <si>
    <t>#define CAN_CFG_MBOXSET_0_MB157             (CAN_MB_NOUSE)</t>
  </si>
  <si>
    <t>#define CAN_CFG_MBOXSET_0_MB158             (CAN_MB_NOUSE)</t>
  </si>
  <si>
    <t>#define CAN_CFG_MBOXSET_0_MB159             (CAN_MB_NOUSE)</t>
  </si>
  <si>
    <t>#define CAN_CFG_MBOXSET_0_MB160             (CAN_MB_NOUSE)</t>
  </si>
  <si>
    <t>#define CAN_CFG_MBOXSET_0_MB161             (CAN_MB_NOUSE)</t>
  </si>
  <si>
    <t>#define CAN_CFG_MBOXSET_0_MB162             (CAN_MB_NOUSE)</t>
  </si>
  <si>
    <t>#define CAN_CFG_MBOXSET_0_MB163             (CAN_MB_NOUSE)</t>
  </si>
  <si>
    <t>#define CAN_CFG_MBOXSET_0_MB164             (CAN_MB_NOUSE)</t>
  </si>
  <si>
    <t>#define CAN_CFG_MBOXSET_0_MB165             (CAN_MB_NOUSE)</t>
  </si>
  <si>
    <t>#define CAN_CFG_MBOXSET_0_MB166             (CAN_MB_NOUSE)</t>
  </si>
  <si>
    <t>#define CAN_CFG_MBOXSET_0_MB167             (CAN_MB_NOUSE)</t>
  </si>
  <si>
    <t>#define CAN_CFG_MBOXSET_0_MB168             (CAN_MB_NOUSE)</t>
  </si>
  <si>
    <t>#define CAN_CFG_MBOXSET_0_MB169             (CAN_MB_NOUSE)</t>
  </si>
  <si>
    <t>#define CAN_CFG_MBOXSET_0_MB170             (CAN_MB_NOUSE)</t>
  </si>
  <si>
    <t>#define CAN_CFG_MBOXSET_0_MB171             (CAN_MB_NOUSE)</t>
  </si>
  <si>
    <t>#define CAN_CFG_MBOXSET_0_MB172             (CAN_MB_NOUSE)</t>
  </si>
  <si>
    <t>#define CAN_CFG_MBOXSET_0_MB173             (CAN_MB_NOUSE)</t>
  </si>
  <si>
    <t>#define CAN_CFG_MBOXSET_0_MB174             (CAN_MB_NOUSE)</t>
  </si>
  <si>
    <t>#define CAN_CFG_MBOXSET_0_MB175             (CAN_MB_NOUSE)</t>
  </si>
  <si>
    <t>#define CAN_CFG_MBOXSET_0_MB176             (CAN_MB_NOUSE)</t>
  </si>
  <si>
    <t>#define CAN_CFG_MBOXSET_0_MB177             (CAN_MB_NOUSE)</t>
  </si>
  <si>
    <t>#define CAN_CFG_MBOXSET_0_MB178             (CAN_MB_NOUSE)</t>
  </si>
  <si>
    <t>#define CAN_CFG_MBOXSET_0_MB179             (CAN_MB_NOUSE)</t>
  </si>
  <si>
    <t>#define CAN_CFG_MBOXSET_0_MB180             (CAN_MB_NOUSE)</t>
  </si>
  <si>
    <t>#define CAN_CFG_MBOXSET_0_MB181             (CAN_MB_NOUSE)</t>
  </si>
  <si>
    <t>#define CAN_CFG_MBOXSET_0_MB182             (CAN_MB_NOUSE)</t>
  </si>
  <si>
    <t>#define CAN_CFG_MBOXSET_0_MB183             (CAN_MB_NOUSE)</t>
  </si>
  <si>
    <t>#define CAN_CFG_MBOXSET_0_MB184             (CAN_MB_NOUSE)</t>
  </si>
  <si>
    <t>#define CAN_CFG_MBOXSET_0_MB185             (CAN_MB_NOUSE)</t>
  </si>
  <si>
    <t>#define CAN_CFG_MBOXSET_0_MB186             (CAN_MB_NOUSE)</t>
  </si>
  <si>
    <t>#define CAN_CFG_MBOXSET_0_MB187             (CAN_MB_NOUSE)</t>
  </si>
  <si>
    <t>#define CAN_CFG_MBOXSET_0_MB188             (CAN_MB_NOUSE)</t>
  </si>
  <si>
    <t>#define CAN_CFG_MBOXSET_0_MB189             (CAN_MB_NOUSE)</t>
  </si>
  <si>
    <t>#define CAN_CFG_MBOXSET_0_MB190             (CAN_MB_NOUSE)</t>
  </si>
  <si>
    <t>#define CAN_CFG_MBOXSET_0_MB191             (CAN_MB_NOUSE)</t>
  </si>
  <si>
    <t>/* CAN Controller 1 MBOX Settings */</t>
  </si>
  <si>
    <t>#define CAN_CFG_MBOXSET_1_MB000             (CAN_MB_NOUSE)</t>
  </si>
  <si>
    <t>#define CAN_CFG_MBOXSET_1_MB001             (CAN_MB_NOUSE)</t>
  </si>
  <si>
    <t>#define CAN_CFG_MBOXSET_1_MB002             (CAN_MB_NOUSE)</t>
  </si>
  <si>
    <t>#define CAN_CFG_MBOXSET_1_MB003             (CAN_MB_NOUSE)</t>
  </si>
  <si>
    <t>#define CAN_CFG_MBOXSET_1_MB004             (CAN_MB_NOUSE)</t>
  </si>
  <si>
    <t>#define CAN_CFG_MBOXSET_1_MB005             (CAN_MB_NOUSE)</t>
  </si>
  <si>
    <t>#define CAN_CFG_MBOXSET_1_MB006             (CAN_MB_NOUSE)</t>
  </si>
  <si>
    <t>#define CAN_CFG_MBOXSET_1_MB007             (CAN_MB_NOUSE)</t>
  </si>
  <si>
    <t>#define CAN_CFG_MBOXSET_1_MB008             (CAN_MB_NOUSE)</t>
  </si>
  <si>
    <t>#define CAN_CFG_MBOXSET_1_MB009             (CAN_MB_NOUSE)</t>
  </si>
  <si>
    <t>#define CAN_CFG_MBOXSET_1_MB010             (CAN_MB_NOUSE)</t>
  </si>
  <si>
    <t>#define CAN_CFG_MBOXSET_1_MB011             (CAN_MB_NOUSE)</t>
  </si>
  <si>
    <t>#define CAN_CFG_MBOXSET_1_MB012             (CAN_MB_NOUSE)</t>
  </si>
  <si>
    <t>#define CAN_CFG_MBOXSET_1_MB013             (CAN_MB_NOUSE)</t>
  </si>
  <si>
    <t>#define CAN_CFG_MBOXSET_1_MB014             (CAN_MB_NOUSE)</t>
  </si>
  <si>
    <t>#define CAN_CFG_MBOXSET_1_MB015             (CAN_MB_NOUSE)</t>
  </si>
  <si>
    <t>#define CAN_CFG_MBOXSET_1_MB016             (CAN_MB_NOUSE)</t>
  </si>
  <si>
    <t>#define CAN_CFG_MBOXSET_1_MB017             (CAN_MB_NOUSE)</t>
  </si>
  <si>
    <t>#define CAN_CFG_MBOXSET_1_MB018             (CAN_MB_NOUSE)</t>
  </si>
  <si>
    <t>#define CAN_CFG_MBOXSET_1_MB019             (CAN_MB_NOUSE)</t>
  </si>
  <si>
    <t>#define CAN_CFG_MBOXSET_1_MB020             (CAN_MB_NOUSE)</t>
  </si>
  <si>
    <t>#define CAN_CFG_MBOXSET_1_MB021             (CAN_MB_NOUSE)</t>
  </si>
  <si>
    <t>#define CAN_CFG_MBOXSET_1_MB022             (CAN_MB_NOUSE)</t>
  </si>
  <si>
    <t>#define CAN_CFG_MBOXSET_1_MB023             (CAN_MB_NOUSE)</t>
  </si>
  <si>
    <t>#define CAN_CFG_MBOXSET_1_MB024             (CAN_MB_NOUSE)</t>
  </si>
  <si>
    <t>#define CAN_CFG_MBOXSET_1_MB025             (CAN_MB_NOUSE)</t>
  </si>
  <si>
    <t>#define CAN_CFG_MBOXSET_1_MB026             (CAN_MB_NOUSE)</t>
  </si>
  <si>
    <t>#define CAN_CFG_MBOXSET_1_MB027             (CAN_MB_NOUSE)</t>
  </si>
  <si>
    <t>#define CAN_CFG_MBOXSET_1_MB028             (CAN_MB_NOUSE)</t>
  </si>
  <si>
    <t>#define CAN_CFG_MBOXSET_1_MB029             (CAN_MB_NOUSE)</t>
  </si>
  <si>
    <t>#define CAN_CFG_MBOXSET_1_MB030             (CAN_MB_NOUSE)</t>
  </si>
  <si>
    <t>#define CAN_CFG_MBOXSET_1_MB031             (CAN_MB_NOUSE)</t>
  </si>
  <si>
    <t>#define CAN_CFG_MBOXSET_1_MB032             (CAN_MB_NOUSE)</t>
  </si>
  <si>
    <t>#define CAN_CFG_MBOXSET_1_MB033             (CAN_MB_NOUSE)</t>
  </si>
  <si>
    <t>#define CAN_CFG_MBOXSET_1_MB034             (CAN_MB_NOUSE)</t>
  </si>
  <si>
    <t>#define CAN_CFG_MBOXSET_1_MB035             (CAN_MB_NOUSE)</t>
  </si>
  <si>
    <t>#define CAN_CFG_MBOXSET_1_MB036             (CAN_MB_NOUSE)</t>
  </si>
  <si>
    <t>#define CAN_CFG_MBOXSET_1_MB037             (CAN_MB_NOUSE)</t>
  </si>
  <si>
    <t>#define CAN_CFG_MBOXSET_1_MB038             (CAN_MB_NOUSE)</t>
  </si>
  <si>
    <t>#define CAN_CFG_MBOXSET_1_MB039             (CAN_MB_NOUSE)</t>
  </si>
  <si>
    <t>#define CAN_CFG_MBOXSET_1_MB040             (CAN_MB_NOUSE)</t>
  </si>
  <si>
    <t>#define CAN_CFG_MBOXSET_1_MB041             (CAN_MB_NOUSE)</t>
  </si>
  <si>
    <t>#define CAN_CFG_MBOXSET_1_MB042             (CAN_MB_NOUSE)</t>
  </si>
  <si>
    <t>#define CAN_CFG_MBOXSET_1_MB043             (CAN_MB_NOUSE)</t>
  </si>
  <si>
    <t>#define CAN_CFG_MBOXSET_1_MB044             (CAN_MB_NOUSE)</t>
  </si>
  <si>
    <t>#define CAN_CFG_MBOXSET_1_MB045             (CAN_MB_NOUSE)</t>
  </si>
  <si>
    <t>#define CAN_CFG_MBOXSET_1_MB046             (CAN_MB_NOUSE)</t>
  </si>
  <si>
    <t>#define CAN_CFG_MBOXSET_1_MB047             (CAN_MB_NOUSE)</t>
  </si>
  <si>
    <t>#define CAN_CFG_MBOXSET_1_MB048             (CAN_MB_NOUSE)</t>
  </si>
  <si>
    <t>#define CAN_CFG_MBOXSET_1_MB049             (CAN_MB_NOUSE)</t>
  </si>
  <si>
    <t>#define CAN_CFG_MBOXSET_1_MB050             (CAN_MB_NOUSE)</t>
  </si>
  <si>
    <t>#define CAN_CFG_MBOXSET_1_MB051             (CAN_MB_NOUSE)</t>
  </si>
  <si>
    <t>#define CAN_CFG_MBOXSET_1_MB052             (CAN_MB_NOUSE)</t>
  </si>
  <si>
    <t>#define CAN_CFG_MBOXSET_1_MB053             (CAN_MB_NOUSE)</t>
  </si>
  <si>
    <t>#define CAN_CFG_MBOXSET_1_MB054             (CAN_MB_NOUSE)</t>
  </si>
  <si>
    <t>#define CAN_CFG_MBOXSET_1_MB055             (CAN_MB_NOUSE)</t>
  </si>
  <si>
    <t>#define CAN_CFG_MBOXSET_1_MB056             (CAN_MB_NOUSE)</t>
  </si>
  <si>
    <t>#define CAN_CFG_MBOXSET_1_MB057             (CAN_MB_NOUSE)</t>
  </si>
  <si>
    <t>#define CAN_CFG_MBOXSET_1_MB058             (CAN_MB_NOUSE)</t>
  </si>
  <si>
    <t>#define CAN_CFG_MBOXSET_1_MB059             (CAN_MB_NOUSE)</t>
  </si>
  <si>
    <t>#define CAN_CFG_MBOXSET_1_MB060             (CAN_MB_NOUSE)</t>
  </si>
  <si>
    <t>#define CAN_CFG_MBOXSET_1_MB061             (CAN_MB_NOUSE)</t>
  </si>
  <si>
    <t>#define CAN_CFG_MBOXSET_1_MB062             (CAN_MB_NOUSE)</t>
  </si>
  <si>
    <t>#define CAN_CFG_MBOXSET_1_MB063             (CAN_MB_NOUSE)</t>
  </si>
  <si>
    <t>#define CAN_CFG_MBOXSET_1_MB064             (CAN_MB_NOUSE)</t>
  </si>
  <si>
    <t>#define CAN_CFG_MBOXSET_1_MB065             (CAN_MB_NOUSE)</t>
  </si>
  <si>
    <t>#define CAN_CFG_MBOXSET_1_MB066             (CAN_MB_NOUSE)</t>
  </si>
  <si>
    <t>#define CAN_CFG_MBOXSET_1_MB067             (CAN_MB_NOUSE)</t>
  </si>
  <si>
    <t>#define CAN_CFG_MBOXSET_1_MB068             (CAN_MB_NOUSE)</t>
  </si>
  <si>
    <t>#define CAN_CFG_MBOXSET_1_MB069             (CAN_MB_NOUSE)</t>
  </si>
  <si>
    <t>#define CAN_CFG_MBOXSET_1_MB070             (CAN_MB_NOUSE)</t>
  </si>
  <si>
    <t>#define CAN_CFG_MBOXSET_1_MB071             (CAN_MB_NOUSE)</t>
  </si>
  <si>
    <t>#define CAN_CFG_MBOXSET_1_MB072             (CAN_MB_NOUSE)</t>
  </si>
  <si>
    <t>#define CAN_CFG_MBOXSET_1_MB073             (CAN_MB_NOUSE)</t>
  </si>
  <si>
    <t>#define CAN_CFG_MBOXSET_1_MB074             (CAN_MB_NOUSE)</t>
  </si>
  <si>
    <t>#define CAN_CFG_MBOXSET_1_MB075             (CAN_MB_NOUSE)</t>
  </si>
  <si>
    <t>#define CAN_CFG_MBOXSET_1_MB076             (CAN_MB_NOUSE)</t>
  </si>
  <si>
    <t>#define CAN_CFG_MBOXSET_1_MB077             (CAN_MB_NOUSE)</t>
  </si>
  <si>
    <t>#define CAN_CFG_MBOXSET_1_MB078             (CAN_MB_NOUSE)</t>
  </si>
  <si>
    <t>#define CAN_CFG_MBOXSET_1_MB079             (CAN_MB_NOUSE)</t>
  </si>
  <si>
    <t>#define CAN_CFG_MBOXSET_1_MB080             (CAN_MB_NOUSE)</t>
  </si>
  <si>
    <t>#define CAN_CFG_MBOXSET_1_MB081             (CAN_MB_NOUSE)</t>
  </si>
  <si>
    <t>#define CAN_CFG_MBOXSET_1_MB082             (CAN_MB_NOUSE)</t>
  </si>
  <si>
    <t>#define CAN_CFG_MBOXSET_1_MB083             (CAN_MB_NOUSE)</t>
  </si>
  <si>
    <t>#define CAN_CFG_MBOXSET_1_MB084             (CAN_MB_NOUSE)</t>
  </si>
  <si>
    <t>#define CAN_CFG_MBOXSET_1_MB085             (CAN_MB_NOUSE)</t>
  </si>
  <si>
    <t>#define CAN_CFG_MBOXSET_1_MB086             (CAN_MB_NOUSE)</t>
  </si>
  <si>
    <t>#define CAN_CFG_MBOXSET_1_MB087             (CAN_MB_NOUSE)</t>
  </si>
  <si>
    <t>#define CAN_CFG_MBOXSET_1_MB088             (CAN_MB_NOUSE)</t>
  </si>
  <si>
    <t>#define CAN_CFG_MBOXSET_1_MB089             (CAN_MB_NOUSE)</t>
  </si>
  <si>
    <t>#define CAN_CFG_MBOXSET_1_MB090             (CAN_MB_NOUSE)</t>
  </si>
  <si>
    <t>#define CAN_CFG_MBOXSET_1_MB091             (CAN_MB_NOUSE)</t>
  </si>
  <si>
    <t>#define CAN_CFG_MBOXSET_1_MB092             (CAN_MB_NOUSE)</t>
  </si>
  <si>
    <t>#define CAN_CFG_MBOXSET_1_MB093             (CAN_MB_NOUSE)</t>
  </si>
  <si>
    <t>#define CAN_CFG_MBOXSET_1_MB094             (CAN_MB_NOUSE)</t>
  </si>
  <si>
    <t>#define CAN_CFG_MBOXSET_1_MB095             (CAN_MB_NOUSE)</t>
  </si>
  <si>
    <t>#define CAN_CFG_MBOXSET_1_MB096             (CAN_MB_NOUSE)</t>
  </si>
  <si>
    <t>#define CAN_CFG_MBOXSET_1_MB097             (CAN_MB_NOUSE)</t>
  </si>
  <si>
    <t>#define CAN_CFG_MBOXSET_1_MB098             (CAN_MB_NOUSE)</t>
  </si>
  <si>
    <t>#define CAN_CFG_MBOXSET_1_MB099             (CAN_MB_NOUSE)</t>
  </si>
  <si>
    <t>#define CAN_CFG_MBOXSET_1_MB100             (CAN_MB_NOUSE)</t>
  </si>
  <si>
    <t>#define CAN_CFG_MBOXSET_1_MB101             (CAN_MB_NOUSE)</t>
  </si>
  <si>
    <t>#define CAN_CFG_MBOXSET_1_MB102             (CAN_MB_NOUSE)</t>
  </si>
  <si>
    <t>#define CAN_CFG_MBOXSET_1_MB103             (CAN_MB_NOUSE)</t>
  </si>
  <si>
    <t>#define CAN_CFG_MBOXSET_1_MB104             (CAN_MB_NOUSE)</t>
  </si>
  <si>
    <t>#define CAN_CFG_MBOXSET_1_MB105             (CAN_MB_NOUSE)</t>
  </si>
  <si>
    <t>#define CAN_CFG_MBOXSET_1_MB106             (CAN_MB_NOUSE)</t>
  </si>
  <si>
    <t>#define CAN_CFG_MBOXSET_1_MB107             (CAN_MB_NOUSE)</t>
  </si>
  <si>
    <t>#define CAN_CFG_MBOXSET_1_MB108             (CAN_MB_NOUSE)</t>
  </si>
  <si>
    <t>#define CAN_CFG_MBOXSET_1_MB109             (CAN_MB_NOUSE)</t>
  </si>
  <si>
    <t>#define CAN_CFG_MBOXSET_1_MB110             (CAN_MB_NOUSE)</t>
  </si>
  <si>
    <t>#define CAN_CFG_MBOXSET_1_MB111             (CAN_MB_NOUSE)</t>
  </si>
  <si>
    <t>#define CAN_CFG_MBOXSET_1_MB112             (CAN_MB_NOUSE)</t>
  </si>
  <si>
    <t>#define CAN_CFG_MBOXSET_1_MB113             (CAN_MB_NOUSE)</t>
  </si>
  <si>
    <t>#define CAN_CFG_MBOXSET_1_MB114             (CAN_MB_NOUSE)</t>
  </si>
  <si>
    <t>#define CAN_CFG_MBOXSET_1_MB115             (CAN_MB_NOUSE)</t>
  </si>
  <si>
    <t>#define CAN_CFG_MBOXSET_1_MB116             (CAN_MB_NOUSE)</t>
  </si>
  <si>
    <t>#define CAN_CFG_MBOXSET_1_MB117             (CAN_MB_NOUSE)</t>
  </si>
  <si>
    <t>#define CAN_CFG_MBOXSET_1_MB118             (CAN_MB_NOUSE)</t>
  </si>
  <si>
    <t>#define CAN_CFG_MBOXSET_1_MB119             (CAN_MB_NOUSE)</t>
  </si>
  <si>
    <t>#define CAN_CFG_MBOXSET_1_MB120             (CAN_MB_NOUSE)</t>
  </si>
  <si>
    <t>#define CAN_CFG_MBOXSET_1_MB121             (CAN_MB_NOUSE)</t>
  </si>
  <si>
    <t>#define CAN_CFG_MBOXSET_1_MB122             (CAN_MB_NOUSE)</t>
  </si>
  <si>
    <t>#define CAN_CFG_MBOXSET_1_MB123             (CAN_MB_NOUSE)</t>
  </si>
  <si>
    <t>#define CAN_CFG_MBOXSET_1_MB124             (CAN_MB_NOUSE)</t>
  </si>
  <si>
    <t>#define CAN_CFG_MBOXSET_1_MB125             (CAN_MB_NOUSE)</t>
  </si>
  <si>
    <t>#define CAN_CFG_MBOXSET_1_MB126             (CAN_MB_NOUSE)</t>
  </si>
  <si>
    <t>#define CAN_CFG_MBOXSET_1_MB127             (CAN_MB_NOUSE)</t>
  </si>
  <si>
    <t>#define CAN_CFG_MBOXSET_1_MB128             (CAN_MB_NOUSE)</t>
  </si>
  <si>
    <t>#define CAN_CFG_MBOXSET_1_MB129             (CAN_MB_NOUSE)</t>
  </si>
  <si>
    <t>#define CAN_CFG_MBOXSET_1_MB130             (CAN_MB_NOUSE)</t>
  </si>
  <si>
    <t>#define CAN_CFG_MBOXSET_1_MB131             (CAN_MB_NOUSE)</t>
  </si>
  <si>
    <t>#define CAN_CFG_MBOXSET_1_MB132             (CAN_MB_NOUSE)</t>
  </si>
  <si>
    <t>#define CAN_CFG_MBOXSET_1_MB133             (CAN_MB_NOUSE)</t>
  </si>
  <si>
    <t>#define CAN_CFG_MBOXSET_1_MB134             (CAN_MB_NOUSE)</t>
  </si>
  <si>
    <t>#define CAN_CFG_MBOXSET_1_MB135             (CAN_MB_NOUSE)</t>
  </si>
  <si>
    <t>#define CAN_CFG_MBOXSET_1_MB136             (CAN_MB_NOUSE)</t>
  </si>
  <si>
    <t>#define CAN_CFG_MBOXSET_1_MB137             (CAN_MB_NOUSE)</t>
  </si>
  <si>
    <t>#define CAN_CFG_MBOXSET_1_MB138             (CAN_MB_NOUSE)</t>
  </si>
  <si>
    <t>#define CAN_CFG_MBOXSET_1_MB139             (CAN_MB_NOUSE)</t>
  </si>
  <si>
    <t>#define CAN_CFG_MBOXSET_1_MB140             (CAN_MB_NOUSE)</t>
  </si>
  <si>
    <t>#define CAN_CFG_MBOXSET_1_MB141             (CAN_MB_NOUSE)</t>
  </si>
  <si>
    <t>#define CAN_CFG_MBOXSET_1_MB142             (CAN_MB_NOUSE)</t>
  </si>
  <si>
    <t>#define CAN_CFG_MBOXSET_1_MB143             (CAN_MB_NOUSE)</t>
  </si>
  <si>
    <t>#define CAN_CFG_MBOXSET_1_MB144             (CAN_MB_NOUSE)</t>
  </si>
  <si>
    <t>#define CAN_CFG_MBOXSET_1_MB145             (CAN_MB_NOUSE)</t>
  </si>
  <si>
    <t>#define CAN_CFG_MBOXSET_1_MB146             (CAN_MB_NOUSE)</t>
  </si>
  <si>
    <t>#define CAN_CFG_MBOXSET_1_MB147             (CAN_MB_NOUSE)</t>
  </si>
  <si>
    <t>#define CAN_CFG_MBOXSET_1_MB148             (CAN_MB_NOUSE)</t>
  </si>
  <si>
    <t>#define CAN_CFG_MBOXSET_1_MB149             (CAN_MB_NOUSE)</t>
  </si>
  <si>
    <t>#define CAN_CFG_MBOXSET_1_MB150             (CAN_MB_NOUSE)</t>
  </si>
  <si>
    <t>#define CAN_CFG_MBOXSET_1_MB151             (CAN_MB_NOUSE)</t>
  </si>
  <si>
    <t>#define CAN_CFG_MBOXSET_1_MB152             (CAN_MB_NOUSE)</t>
  </si>
  <si>
    <t>#define CAN_CFG_MBOXSET_1_MB153             (CAN_MB_NOUSE)</t>
  </si>
  <si>
    <t>#define CAN_CFG_MBOXSET_1_MB154             (CAN_MB_NOUSE)</t>
  </si>
  <si>
    <t>#define CAN_CFG_MBOXSET_1_MB155             (CAN_MB_NOUSE)</t>
  </si>
  <si>
    <t>#define CAN_CFG_MBOXSET_1_MB156             (CAN_MB_NOUSE)</t>
  </si>
  <si>
    <t>#define CAN_CFG_MBOXSET_1_MB157             (CAN_MB_NOUSE)</t>
  </si>
  <si>
    <t>#define CAN_CFG_MBOXSET_1_MB158             (CAN_MB_NOUSE)</t>
  </si>
  <si>
    <t>#define CAN_CFG_MBOXSET_1_MB159             (CAN_MB_NOUSE)</t>
  </si>
  <si>
    <t>#define CAN_CFG_MBOXSET_1_MB160             (CAN_MB_NOUSE)</t>
  </si>
  <si>
    <t>#define CAN_CFG_MBOXSET_1_MB161             (CAN_MB_NOUSE)</t>
  </si>
  <si>
    <t>#define CAN_CFG_MBOXSET_1_MB162             (CAN_MB_NOUSE)</t>
  </si>
  <si>
    <t>#define CAN_CFG_MBOXSET_1_MB163             (CAN_MB_NOUSE)</t>
  </si>
  <si>
    <t>#define CAN_CFG_MBOXSET_1_MB164             (CAN_MB_NOUSE)</t>
  </si>
  <si>
    <t>#define CAN_CFG_MBOXSET_1_MB165             (CAN_MB_NOUSE)</t>
  </si>
  <si>
    <t>#define CAN_CFG_MBOXSET_1_MB166             (CAN_MB_NOUSE)</t>
  </si>
  <si>
    <t>#define CAN_CFG_MBOXSET_1_MB167             (CAN_MB_NOUSE)</t>
  </si>
  <si>
    <t>#define CAN_CFG_MBOXSET_1_MB168             (CAN_MB_NOUSE)</t>
  </si>
  <si>
    <t>#define CAN_CFG_MBOXSET_1_MB169             (CAN_MB_NOUSE)</t>
  </si>
  <si>
    <t>#define CAN_CFG_MBOXSET_1_MB170             (CAN_MB_NOUSE)</t>
  </si>
  <si>
    <t>#define CAN_CFG_MBOXSET_1_MB171             (CAN_MB_NOUSE)</t>
  </si>
  <si>
    <t>#define CAN_CFG_MBOXSET_1_MB172             (CAN_MB_NOUSE)</t>
  </si>
  <si>
    <t>#define CAN_CFG_MBOXSET_1_MB173             (CAN_MB_NOUSE)</t>
  </si>
  <si>
    <t>#define CAN_CFG_MBOXSET_1_MB174             (CAN_MB_NOUSE)</t>
  </si>
  <si>
    <t>#define CAN_CFG_MBOXSET_1_MB175             (CAN_MB_NOUSE)</t>
  </si>
  <si>
    <t>#define CAN_CFG_MBOXSET_1_MB176             (CAN_MB_NOUSE)</t>
  </si>
  <si>
    <t>#define CAN_CFG_MBOXSET_1_MB177             (CAN_MB_NOUSE)</t>
  </si>
  <si>
    <t>#define CAN_CFG_MBOXSET_1_MB178             (CAN_MB_NOUSE)</t>
  </si>
  <si>
    <t>#define CAN_CFG_MBOXSET_1_MB179             (CAN_MB_NOUSE)</t>
  </si>
  <si>
    <t>#define CAN_CFG_MBOXSET_1_MB180             (CAN_MB_NOUSE)</t>
  </si>
  <si>
    <t>#define CAN_CFG_MBOXSET_1_MB181             (CAN_MB_NOUSE)</t>
  </si>
  <si>
    <t>#define CAN_CFG_MBOXSET_1_MB182             (CAN_MB_NOUSE)</t>
  </si>
  <si>
    <t>#define CAN_CFG_MBOXSET_1_MB183             (CAN_MB_NOUSE)</t>
  </si>
  <si>
    <t>#define CAN_CFG_MBOXSET_1_MB184             (CAN_MB_NOUSE)</t>
  </si>
  <si>
    <t>#define CAN_CFG_MBOXSET_1_MB185             (CAN_MB_NOUSE)</t>
  </si>
  <si>
    <t>#define CAN_CFG_MBOXSET_1_MB186             (CAN_MB_NOUSE)</t>
  </si>
  <si>
    <t>#define CAN_CFG_MBOXSET_1_MB187             (CAN_MB_NOUSE)</t>
  </si>
  <si>
    <t>#define CAN_CFG_MBOXSET_1_MB188             (CAN_MB_NOUSE)</t>
  </si>
  <si>
    <t>#define CAN_CFG_MBOXSET_1_MB189             (CAN_MB_NOUSE)</t>
  </si>
  <si>
    <t>#define CAN_CFG_MBOXSET_1_MB190             (CAN_MB_NOUSE)</t>
  </si>
  <si>
    <t>#define CAN_CFG_MBOXSET_1_MB191             (CAN_MB_NOUSE)</t>
  </si>
  <si>
    <t>/* CAN Controller 2 MBOX Settings */</t>
  </si>
  <si>
    <t>#define CAN_CFG_MBOXSET_2_MB000             (CAN_MB_NOUSE)</t>
  </si>
  <si>
    <t>#define CAN_CFG_MBOXSET_2_MB001             (CAN_MB_NOUSE)</t>
  </si>
  <si>
    <t>#define CAN_CFG_MBOXSET_2_MB002             (CAN_MB_NOUSE)</t>
  </si>
  <si>
    <t>#define CAN_CFG_MBOXSET_2_MB003             (CAN_MB_NOUSE)</t>
  </si>
  <si>
    <t>#define CAN_CFG_MBOXSET_2_MB004             (CAN_MB_NOUSE)</t>
  </si>
  <si>
    <t>#define CAN_CFG_MBOXSET_2_MB005             (CAN_MB_NOUSE)</t>
  </si>
  <si>
    <t>#define CAN_CFG_MBOXSET_2_MB006             (CAN_MB_NOUSE)</t>
  </si>
  <si>
    <t>#define CAN_CFG_MBOXSET_2_MB007             (CAN_MB_NOUSE)</t>
  </si>
  <si>
    <t>#define CAN_CFG_MBOXSET_2_MB008             (CAN_MB_NOUSE)</t>
  </si>
  <si>
    <t>#define CAN_CFG_MBOXSET_2_MB009             (CAN_MB_NOUSE)</t>
  </si>
  <si>
    <t>#define CAN_CFG_MBOXSET_2_MB010             (CAN_MB_NOUSE)</t>
  </si>
  <si>
    <t>#define CAN_CFG_MBOXSET_2_MB011             (CAN_MB_NOUSE)</t>
  </si>
  <si>
    <t>#define CAN_CFG_MBOXSET_2_MB012             (CAN_MB_NOUSE)</t>
  </si>
  <si>
    <t>#define CAN_CFG_MBOXSET_2_MB013             (CAN_MB_NOUSE)</t>
  </si>
  <si>
    <t>#define CAN_CFG_MBOXSET_2_MB014             (CAN_MB_NOUSE)</t>
  </si>
  <si>
    <t>#define CAN_CFG_MBOXSET_2_MB015             (CAN_MB_NOUSE)</t>
  </si>
  <si>
    <t>#define CAN_CFG_MBOXSET_2_MB016             (CAN_MB_NOUSE)</t>
  </si>
  <si>
    <t>#define CAN_CFG_MBOXSET_2_MB017             (CAN_MB_NOUSE)</t>
  </si>
  <si>
    <t>#define CAN_CFG_MBOXSET_2_MB018             (CAN_MB_NOUSE)</t>
  </si>
  <si>
    <t>#define CAN_CFG_MBOXSET_2_MB019             (CAN_MB_NOUSE)</t>
  </si>
  <si>
    <t>#define CAN_CFG_MBOXSET_2_MB020             (CAN_MB_NOUSE)</t>
  </si>
  <si>
    <t>#define CAN_CFG_MBOXSET_2_MB021             (CAN_MB_NOUSE)</t>
  </si>
  <si>
    <t>#define CAN_CFG_MBOXSET_2_MB022             (CAN_MB_NOUSE)</t>
  </si>
  <si>
    <t>#define CAN_CFG_MBOXSET_2_MB023             (CAN_MB_NOUSE)</t>
  </si>
  <si>
    <t>#define CAN_CFG_MBOXSET_2_MB024             (CAN_MB_NOUSE)</t>
  </si>
  <si>
    <t>#define CAN_CFG_MBOXSET_2_MB025             (CAN_MB_NOUSE)</t>
  </si>
  <si>
    <t>#define CAN_CFG_MBOXSET_2_MB026             (CAN_MB_NOUSE)</t>
  </si>
  <si>
    <t>#define CAN_CFG_MBOXSET_2_MB027             (CAN_MB_NOUSE)</t>
  </si>
  <si>
    <t>#define CAN_CFG_MBOXSET_2_MB028             (CAN_MB_NOUSE)</t>
  </si>
  <si>
    <t>#define CAN_CFG_MBOXSET_2_MB029             (CAN_MB_NOUSE)</t>
  </si>
  <si>
    <t>#define CAN_CFG_MBOXSET_2_MB030             (CAN_MB_NOUSE)</t>
  </si>
  <si>
    <t>#define CAN_CFG_MBOXSET_2_MB031             (CAN_MB_NOUSE)</t>
  </si>
  <si>
    <t>#define CAN_CFG_MBOXSET_2_MB032             (CAN_MB_NOUSE)</t>
  </si>
  <si>
    <t>#define CAN_CFG_MBOXSET_2_MB033             (CAN_MB_NOUSE)</t>
  </si>
  <si>
    <t>#define CAN_CFG_MBOXSET_2_MB034             (CAN_MB_NOUSE)</t>
  </si>
  <si>
    <t>#define CAN_CFG_MBOXSET_2_MB035             (CAN_MB_NOUSE)</t>
  </si>
  <si>
    <t>#define CAN_CFG_MBOXSET_2_MB036             (CAN_MB_NOUSE)</t>
  </si>
  <si>
    <t>#define CAN_CFG_MBOXSET_2_MB037             (CAN_MB_NOUSE)</t>
  </si>
  <si>
    <t>#define CAN_CFG_MBOXSET_2_MB038             (CAN_MB_NOUSE)</t>
  </si>
  <si>
    <t>#define CAN_CFG_MBOXSET_2_MB039             (CAN_MB_NOUSE)</t>
  </si>
  <si>
    <t>#define CAN_CFG_MBOXSET_2_MB040             (CAN_MB_NOUSE)</t>
  </si>
  <si>
    <t>#define CAN_CFG_MBOXSET_2_MB041             (CAN_MB_NOUSE)</t>
  </si>
  <si>
    <t>#define CAN_CFG_MBOXSET_2_MB042             (CAN_MB_NOUSE)</t>
  </si>
  <si>
    <t>#define CAN_CFG_MBOXSET_2_MB043             (CAN_MB_NOUSE)</t>
  </si>
  <si>
    <t>#define CAN_CFG_MBOXSET_2_MB044             (CAN_MB_NOUSE)</t>
  </si>
  <si>
    <t>#define CAN_CFG_MBOXSET_2_MB045             (CAN_MB_NOUSE)</t>
  </si>
  <si>
    <t>#define CAN_CFG_MBOXSET_2_MB046             (CAN_MB_NOUSE)</t>
  </si>
  <si>
    <t>#define CAN_CFG_MBOXSET_2_MB047             (CAN_MB_NOUSE)</t>
  </si>
  <si>
    <t>#define CAN_CFG_MBOXSET_2_MB048             (CAN_MB_NOUSE)</t>
  </si>
  <si>
    <t>#define CAN_CFG_MBOXSET_2_MB049             (CAN_MB_NOUSE)</t>
  </si>
  <si>
    <t>#define CAN_CFG_MBOXSET_2_MB050             (CAN_MB_NOUSE)</t>
  </si>
  <si>
    <t>#define CAN_CFG_MBOXSET_2_MB051             (CAN_MB_NOUSE)</t>
  </si>
  <si>
    <t>#define CAN_CFG_MBOXSET_2_MB052             (CAN_MB_NOUSE)</t>
  </si>
  <si>
    <t>#define CAN_CFG_MBOXSET_2_MB053             (CAN_MB_NOUSE)</t>
  </si>
  <si>
    <t>#define CAN_CFG_MBOXSET_2_MB054             (CAN_MB_NOUSE)</t>
  </si>
  <si>
    <t>#define CAN_CFG_MBOXSET_2_MB055             (CAN_MB_NOUSE)</t>
  </si>
  <si>
    <t>#define CAN_CFG_MBOXSET_2_MB056             (CAN_MB_NOUSE)</t>
  </si>
  <si>
    <t>#define CAN_CFG_MBOXSET_2_MB057             (CAN_MB_NOUSE)</t>
  </si>
  <si>
    <t>#define CAN_CFG_MBOXSET_2_MB058             (CAN_MB_NOUSE)</t>
  </si>
  <si>
    <t>#define CAN_CFG_MBOXSET_2_MB059             (CAN_MB_NOUSE)</t>
  </si>
  <si>
    <t>#define CAN_CFG_MBOXSET_2_MB060             (CAN_MB_NOUSE)</t>
  </si>
  <si>
    <t>#define CAN_CFG_MBOXSET_2_MB061             (CAN_MB_NOUSE)</t>
  </si>
  <si>
    <t>#define CAN_CFG_MBOXSET_2_MB062             (CAN_MB_NOUSE)</t>
  </si>
  <si>
    <t>#define CAN_CFG_MBOXSET_2_MB063             (CAN_MB_NOUSE)</t>
  </si>
  <si>
    <t>#define CAN_CFG_MBOXSET_2_MB064             (CAN_MB_NOUSE)</t>
  </si>
  <si>
    <t>#define CAN_CFG_MBOXSET_2_MB065             (CAN_MB_NOUSE)</t>
  </si>
  <si>
    <t>#define CAN_CFG_MBOXSET_2_MB066             (CAN_MB_NOUSE)</t>
  </si>
  <si>
    <t>#define CAN_CFG_MBOXSET_2_MB067             (CAN_MB_NOUSE)</t>
  </si>
  <si>
    <t>#define CAN_CFG_MBOXSET_2_MB068             (CAN_MB_NOUSE)</t>
  </si>
  <si>
    <t>#define CAN_CFG_MBOXSET_2_MB069             (CAN_MB_NOUSE)</t>
  </si>
  <si>
    <t>#define CAN_CFG_MBOXSET_2_MB070             (CAN_MB_NOUSE)</t>
  </si>
  <si>
    <t>#define CAN_CFG_MBOXSET_2_MB071             (CAN_MB_NOUSE)</t>
  </si>
  <si>
    <t>#define CAN_CFG_MBOXSET_2_MB072             (CAN_MB_NOUSE)</t>
  </si>
  <si>
    <t>#define CAN_CFG_MBOXSET_2_MB073             (CAN_MB_NOUSE)</t>
  </si>
  <si>
    <t>#define CAN_CFG_MBOXSET_2_MB074             (CAN_MB_NOUSE)</t>
  </si>
  <si>
    <t>#define CAN_CFG_MBOXSET_2_MB075             (CAN_MB_NOUSE)</t>
  </si>
  <si>
    <t>#define CAN_CFG_MBOXSET_2_MB076             (CAN_MB_NOUSE)</t>
  </si>
  <si>
    <t>#define CAN_CFG_MBOXSET_2_MB077             (CAN_MB_NOUSE)</t>
  </si>
  <si>
    <t>#define CAN_CFG_MBOXSET_2_MB078             (CAN_MB_NOUSE)</t>
  </si>
  <si>
    <t>#define CAN_CFG_MBOXSET_2_MB079             (CAN_MB_NOUSE)</t>
  </si>
  <si>
    <t>#define CAN_CFG_MBOXSET_2_MB080             (CAN_MB_NOUSE)</t>
  </si>
  <si>
    <t>#define CAN_CFG_MBOXSET_2_MB081             (CAN_MB_NOUSE)</t>
  </si>
  <si>
    <t>#define CAN_CFG_MBOXSET_2_MB082             (CAN_MB_NOUSE)</t>
  </si>
  <si>
    <t>#define CAN_CFG_MBOXSET_2_MB083             (CAN_MB_NOUSE)</t>
  </si>
  <si>
    <t>#define CAN_CFG_MBOXSET_2_MB084             (CAN_MB_NOUSE)</t>
  </si>
  <si>
    <t>#define CAN_CFG_MBOXSET_2_MB085             (CAN_MB_NOUSE)</t>
  </si>
  <si>
    <t>#define CAN_CFG_MBOXSET_2_MB086             (CAN_MB_NOUSE)</t>
  </si>
  <si>
    <t>#define CAN_CFG_MBOXSET_2_MB087             (CAN_MB_NOUSE)</t>
  </si>
  <si>
    <t>#define CAN_CFG_MBOXSET_2_MB088             (CAN_MB_NOUSE)</t>
  </si>
  <si>
    <t>#define CAN_CFG_MBOXSET_2_MB089             (CAN_MB_NOUSE)</t>
  </si>
  <si>
    <t>#define CAN_CFG_MBOXSET_2_MB090             (CAN_MB_NOUSE)</t>
  </si>
  <si>
    <t>#define CAN_CFG_MBOXSET_2_MB091             (CAN_MB_NOUSE)</t>
  </si>
  <si>
    <t>#define CAN_CFG_MBOXSET_2_MB092             (CAN_MB_NOUSE)</t>
  </si>
  <si>
    <t>#define CAN_CFG_MBOXSET_2_MB093             (CAN_MB_NOUSE)</t>
  </si>
  <si>
    <t>#define CAN_CFG_MBOXSET_2_MB094             (CAN_MB_NOUSE)</t>
  </si>
  <si>
    <t>#define CAN_CFG_MBOXSET_2_MB095             (CAN_MB_NOUSE)</t>
  </si>
  <si>
    <t>#define CAN_CFG_MBOXSET_2_MB096             (CAN_MB_NOUSE)</t>
  </si>
  <si>
    <t>#define CAN_CFG_MBOXSET_2_MB097             (CAN_MB_NOUSE)</t>
  </si>
  <si>
    <t>#define CAN_CFG_MBOXSET_2_MB098             (CAN_MB_NOUSE)</t>
  </si>
  <si>
    <t>#define CAN_CFG_MBOXSET_2_MB099             (CAN_MB_NOUSE)</t>
  </si>
  <si>
    <t>#define CAN_CFG_MBOXSET_2_MB100             (CAN_MB_NOUSE)</t>
  </si>
  <si>
    <t>#define CAN_CFG_MBOXSET_2_MB101             (CAN_MB_NOUSE)</t>
  </si>
  <si>
    <t>#define CAN_CFG_MBOXSET_2_MB102             (CAN_MB_NOUSE)</t>
  </si>
  <si>
    <t>#define CAN_CFG_MBOXSET_2_MB103             (CAN_MB_NOUSE)</t>
  </si>
  <si>
    <t>#define CAN_CFG_MBOXSET_2_MB104             (CAN_MB_NOUSE)</t>
  </si>
  <si>
    <t>#define CAN_CFG_MBOXSET_2_MB105             (CAN_MB_NOUSE)</t>
  </si>
  <si>
    <t>#define CAN_CFG_MBOXSET_2_MB106             (CAN_MB_NOUSE)</t>
  </si>
  <si>
    <t>#define CAN_CFG_MBOXSET_2_MB107             (CAN_MB_NOUSE)</t>
  </si>
  <si>
    <t>#define CAN_CFG_MBOXSET_2_MB108             (CAN_MB_NOUSE)</t>
  </si>
  <si>
    <t>#define CAN_CFG_MBOXSET_2_MB109             (CAN_MB_NOUSE)</t>
  </si>
  <si>
    <t>#define CAN_CFG_MBOXSET_2_MB110             (CAN_MB_NOUSE)</t>
  </si>
  <si>
    <t>#define CAN_CFG_MBOXSET_2_MB111             (CAN_MB_NOUSE)</t>
  </si>
  <si>
    <t>#define CAN_CFG_MBOXSET_2_MB112             (CAN_MB_NOUSE)</t>
  </si>
  <si>
    <t>#define CAN_CFG_MBOXSET_2_MB113             (CAN_MB_NOUSE)</t>
  </si>
  <si>
    <t>#define CAN_CFG_MBOXSET_2_MB114             (CAN_MB_NOUSE)</t>
  </si>
  <si>
    <t>#define CAN_CFG_MBOXSET_2_MB115             (CAN_MB_NOUSE)</t>
  </si>
  <si>
    <t>#define CAN_CFG_MBOXSET_2_MB116             (CAN_MB_NOUSE)</t>
  </si>
  <si>
    <t>#define CAN_CFG_MBOXSET_2_MB117             (CAN_MB_NOUSE)</t>
  </si>
  <si>
    <t>#define CAN_CFG_MBOXSET_2_MB118             (CAN_MB_NOUSE)</t>
  </si>
  <si>
    <t>#define CAN_CFG_MBOXSET_2_MB119             (CAN_MB_NOUSE)</t>
  </si>
  <si>
    <t>#define CAN_CFG_MBOXSET_2_MB120             (CAN_MB_NOUSE)</t>
  </si>
  <si>
    <t>#define CAN_CFG_MBOXSET_2_MB121             (CAN_MB_NOUSE)</t>
  </si>
  <si>
    <t>#define CAN_CFG_MBOXSET_2_MB122             (CAN_MB_NOUSE)</t>
  </si>
  <si>
    <t>#define CAN_CFG_MBOXSET_2_MB123             (CAN_MB_NOUSE)</t>
  </si>
  <si>
    <t>#define CAN_CFG_MBOXSET_2_MB124             (CAN_MB_NOUSE)</t>
  </si>
  <si>
    <t>#define CAN_CFG_MBOXSET_2_MB125             (CAN_MB_NOUSE)</t>
  </si>
  <si>
    <t>#define CAN_CFG_MBOXSET_2_MB126             (CAN_MB_NOUSE)</t>
  </si>
  <si>
    <t>#define CAN_CFG_MBOXSET_2_MB127             (CAN_MB_NOUSE)</t>
  </si>
  <si>
    <t>#define CAN_CFG_MBOXSET_2_MB128             (CAN_MB_NOUSE)</t>
  </si>
  <si>
    <t>#define CAN_CFG_MBOXSET_2_MB129             (CAN_MB_NOUSE)</t>
  </si>
  <si>
    <t>#define CAN_CFG_MBOXSET_2_MB130             (CAN_MB_NOUSE)</t>
  </si>
  <si>
    <t>#define CAN_CFG_MBOXSET_2_MB131             (CAN_MB_NOUSE)</t>
  </si>
  <si>
    <t>#define CAN_CFG_MBOXSET_2_MB132             (CAN_MB_NOUSE)</t>
  </si>
  <si>
    <t>#define CAN_CFG_MBOXSET_2_MB133             (CAN_MB_NOUSE)</t>
  </si>
  <si>
    <t>#define CAN_CFG_MBOXSET_2_MB134             (CAN_MB_NOUSE)</t>
  </si>
  <si>
    <t>#define CAN_CFG_MBOXSET_2_MB135             (CAN_MB_NOUSE)</t>
  </si>
  <si>
    <t>#define CAN_CFG_MBOXSET_2_MB136             (CAN_MB_NOUSE)</t>
  </si>
  <si>
    <t>#define CAN_CFG_MBOXSET_2_MB137             (CAN_MB_NOUSE)</t>
  </si>
  <si>
    <t>#define CAN_CFG_MBOXSET_2_MB138             (CAN_MB_NOUSE)</t>
  </si>
  <si>
    <t>#define CAN_CFG_MBOXSET_2_MB139             (CAN_MB_NOUSE)</t>
  </si>
  <si>
    <t>#define CAN_CFG_MBOXSET_2_MB140             (CAN_MB_NOUSE)</t>
  </si>
  <si>
    <t>#define CAN_CFG_MBOXSET_2_MB141             (CAN_MB_NOUSE)</t>
  </si>
  <si>
    <t>#define CAN_CFG_MBOXSET_2_MB142             (CAN_MB_NOUSE)</t>
  </si>
  <si>
    <t>#define CAN_CFG_MBOXSET_2_MB143             (CAN_MB_NOUSE)</t>
  </si>
  <si>
    <t>#define CAN_CFG_MBOXSET_2_MB144             (CAN_MB_NOUSE)</t>
  </si>
  <si>
    <t>#define CAN_CFG_MBOXSET_2_MB145             (CAN_MB_NOUSE)</t>
  </si>
  <si>
    <t>#define CAN_CFG_MBOXSET_2_MB146             (CAN_MB_NOUSE)</t>
  </si>
  <si>
    <t>#define CAN_CFG_MBOXSET_2_MB147             (CAN_MB_NOUSE)</t>
  </si>
  <si>
    <t>#define CAN_CFG_MBOXSET_2_MB148             (CAN_MB_NOUSE)</t>
  </si>
  <si>
    <t>#define CAN_CFG_MBOXSET_2_MB149             (CAN_MB_NOUSE)</t>
  </si>
  <si>
    <t>#define CAN_CFG_MBOXSET_2_MB150             (CAN_MB_NOUSE)</t>
  </si>
  <si>
    <t>#define CAN_CFG_MBOXSET_2_MB151             (CAN_MB_NOUSE)</t>
  </si>
  <si>
    <t>#define CAN_CFG_MBOXSET_2_MB152             (CAN_MB_NOUSE)</t>
  </si>
  <si>
    <t>#define CAN_CFG_MBOXSET_2_MB153             (CAN_MB_NOUSE)</t>
  </si>
  <si>
    <t>#define CAN_CFG_MBOXSET_2_MB154             (CAN_MB_NOUSE)</t>
  </si>
  <si>
    <t>#define CAN_CFG_MBOXSET_2_MB155             (CAN_MB_NOUSE)</t>
  </si>
  <si>
    <t>#define CAN_CFG_MBOXSET_2_MB156             (CAN_MB_NOUSE)</t>
  </si>
  <si>
    <t>#define CAN_CFG_MBOXSET_2_MB157             (CAN_MB_NOUSE)</t>
  </si>
  <si>
    <t>#define CAN_CFG_MBOXSET_2_MB158             (CAN_MB_NOUSE)</t>
  </si>
  <si>
    <t>#define CAN_CFG_MBOXSET_2_MB159             (CAN_MB_NOUSE)</t>
  </si>
  <si>
    <t>#define CAN_CFG_MBOXSET_2_MB160             (CAN_MB_NOUSE)</t>
  </si>
  <si>
    <t>#define CAN_CFG_MBOXSET_2_MB161             (CAN_MB_NOUSE)</t>
  </si>
  <si>
    <t>#define CAN_CFG_MBOXSET_2_MB162             (CAN_MB_NOUSE)</t>
  </si>
  <si>
    <t>#define CAN_CFG_MBOXSET_2_MB163             (CAN_MB_NOUSE)</t>
  </si>
  <si>
    <t>#define CAN_CFG_MBOXSET_2_MB164             (CAN_MB_NOUSE)</t>
  </si>
  <si>
    <t>#define CAN_CFG_MBOXSET_2_MB165             (CAN_MB_NOUSE)</t>
  </si>
  <si>
    <t>#define CAN_CFG_MBOXSET_2_MB166             (CAN_MB_NOUSE)</t>
  </si>
  <si>
    <t>#define CAN_CFG_MBOXSET_2_MB167             (CAN_MB_NOUSE)</t>
  </si>
  <si>
    <t>#define CAN_CFG_MBOXSET_2_MB168             (CAN_MB_NOUSE)</t>
  </si>
  <si>
    <t>#define CAN_CFG_MBOXSET_2_MB169             (CAN_MB_NOUSE)</t>
  </si>
  <si>
    <t>#define CAN_CFG_MBOXSET_2_MB170             (CAN_MB_NOUSE)</t>
  </si>
  <si>
    <t>#define CAN_CFG_MBOXSET_2_MB171             (CAN_MB_NOUSE)</t>
  </si>
  <si>
    <t>#define CAN_CFG_MBOXSET_2_MB172             (CAN_MB_NOUSE)</t>
  </si>
  <si>
    <t>#define CAN_CFG_MBOXSET_2_MB173             (CAN_MB_NOUSE)</t>
  </si>
  <si>
    <t>#define CAN_CFG_MBOXSET_2_MB174             (CAN_MB_NOUSE)</t>
  </si>
  <si>
    <t>#define CAN_CFG_MBOXSET_2_MB175             (CAN_MB_NOUSE)</t>
  </si>
  <si>
    <t>#define CAN_CFG_MBOXSET_2_MB176             (CAN_MB_NOUSE)</t>
  </si>
  <si>
    <t>#define CAN_CFG_MBOXSET_2_MB177             (CAN_MB_NOUSE)</t>
  </si>
  <si>
    <t>#define CAN_CFG_MBOXSET_2_MB178             (CAN_MB_NOUSE)</t>
  </si>
  <si>
    <t>#define CAN_CFG_MBOXSET_2_MB179             (CAN_MB_NOUSE)</t>
  </si>
  <si>
    <t>#define CAN_CFG_MBOXSET_2_MB180             (CAN_MB_NOUSE)</t>
  </si>
  <si>
    <t>#define CAN_CFG_MBOXSET_2_MB181             (CAN_MB_NOUSE)</t>
  </si>
  <si>
    <t>#define CAN_CFG_MBOXSET_2_MB182             (CAN_MB_NOUSE)</t>
  </si>
  <si>
    <t>#define CAN_CFG_MBOXSET_2_MB183             (CAN_MB_NOUSE)</t>
  </si>
  <si>
    <t>#define CAN_CFG_MBOXSET_2_MB184             (CAN_MB_NOUSE)</t>
  </si>
  <si>
    <t>#define CAN_CFG_MBOXSET_2_MB185             (CAN_MB_NOUSE)</t>
  </si>
  <si>
    <t>#define CAN_CFG_MBOXSET_2_MB186             (CAN_MB_NOUSE)</t>
  </si>
  <si>
    <t>#define CAN_CFG_MBOXSET_2_MB187             (CAN_MB_NOUSE)</t>
  </si>
  <si>
    <t>#define CAN_CFG_MBOXSET_2_MB188             (CAN_MB_NOUSE)</t>
  </si>
  <si>
    <t>#define CAN_CFG_MBOXSET_2_MB189             (CAN_MB_NOUSE)</t>
  </si>
  <si>
    <t>#define CAN_CFG_MBOXSET_2_MB190             (CAN_MB_NOUSE)</t>
  </si>
  <si>
    <t>#define CAN_CFG_MBOXSET_2_MB191             (CAN_MB_NOUSE)</t>
  </si>
  <si>
    <t>/* CAN Controller 3 MBOX Settings */</t>
  </si>
  <si>
    <t>#define CAN_CFG_MBOXSET_3_MB000             (CAN_MB_UTRANSMIT|CAN_MB_INTERRUPT)</t>
  </si>
  <si>
    <t>#define CAN_CFG_MBOXSET_3_MB001             (CAN_MB_TRANSMIT |CAN_MB_INTERRUPT)</t>
  </si>
  <si>
    <t>#define CAN_CFG_MBOXSET_3_MB002             (CAN_MB_RECEPTION|CAN_MB_INTERRUPT)</t>
  </si>
  <si>
    <t>#define CAN_CFG_MBOXSET_3_MB003             (CAN_MB_RECEPTION|CAN_MB_POLLING)</t>
  </si>
  <si>
    <t>#define CAN_CFG_MBOXSET_3_MB004             (CAN_MB_RECEPTION|CAN_MB_POLLING)</t>
  </si>
  <si>
    <t>#define CAN_CFG_MBOXSET_3_MB005             (CAN_MB_NOUSE)</t>
  </si>
  <si>
    <t>#define CAN_CFG_MBOXSET_3_MB006             (CAN_MB_NOUSE)</t>
  </si>
  <si>
    <t>#define CAN_CFG_MBOXSET_3_MB007             (CAN_MB_NOUSE)</t>
  </si>
  <si>
    <t>#define CAN_CFG_MBOXSET_3_MB008             (CAN_MB_NOUSE)</t>
  </si>
  <si>
    <t>#define CAN_CFG_MBOXSET_3_MB009             (CAN_MB_NOUSE)</t>
  </si>
  <si>
    <t>#define CAN_CFG_MBOXSET_3_MB010             (CAN_MB_NOUSE)</t>
  </si>
  <si>
    <t>#define CAN_CFG_MBOXSET_3_MB011             (CAN_MB_NOUSE)</t>
  </si>
  <si>
    <t>#define CAN_CFG_MBOXSET_3_MB012             (CAN_MB_NOUSE)</t>
  </si>
  <si>
    <t>#define CAN_CFG_MBOXSET_3_MB013             (CAN_MB_NOUSE)</t>
  </si>
  <si>
    <t>#define CAN_CFG_MBOXSET_3_MB014             (CAN_MB_NOUSE)</t>
  </si>
  <si>
    <t>#define CAN_CFG_MBOXSET_3_MB015             (CAN_MB_NOUSE)</t>
  </si>
  <si>
    <t>#define CAN_CFG_MBOXSET_3_MB016             (CAN_MB_NOUSE)</t>
  </si>
  <si>
    <t>#define CAN_CFG_MBOXSET_3_MB017             (CAN_MB_NOUSE)</t>
  </si>
  <si>
    <t>#define CAN_CFG_MBOXSET_3_MB018             (CAN_MB_NOUSE)</t>
  </si>
  <si>
    <t>#define CAN_CFG_MBOXSET_3_MB019             (CAN_MB_NOUSE)</t>
  </si>
  <si>
    <t>#define CAN_CFG_MBOXSET_3_MB020             (CAN_MB_NOUSE)</t>
  </si>
  <si>
    <t>#define CAN_CFG_MBOXSET_3_MB021             (CAN_MB_NOUSE)</t>
  </si>
  <si>
    <t>#define CAN_CFG_MBOXSET_3_MB022             (CAN_MB_NOUSE)</t>
  </si>
  <si>
    <t>#define CAN_CFG_MBOXSET_3_MB023             (CAN_MB_NOUSE)</t>
  </si>
  <si>
    <t>#define CAN_CFG_MBOXSET_3_MB024             (CAN_MB_NOUSE)</t>
  </si>
  <si>
    <t>#define CAN_CFG_MBOXSET_3_MB025             (CAN_MB_NOUSE)</t>
  </si>
  <si>
    <t>#define CAN_CFG_MBOXSET_3_MB026             (CAN_MB_NOUSE)</t>
  </si>
  <si>
    <t>#define CAN_CFG_MBOXSET_3_MB027             (CAN_MB_NOUSE)</t>
  </si>
  <si>
    <t>#define CAN_CFG_MBOXSET_3_MB028             (CAN_MB_NOUSE)</t>
  </si>
  <si>
    <t>#define CAN_CFG_MBOXSET_3_MB029             (CAN_MB_NOUSE)</t>
  </si>
  <si>
    <t>#define CAN_CFG_MBOXSET_3_MB030             (CAN_MB_NOUSE)</t>
  </si>
  <si>
    <t>#define CAN_CFG_MBOXSET_3_MB031             (CAN_MB_NOUSE)</t>
  </si>
  <si>
    <t>#define CAN_CFG_MBOXSET_3_MB032             (CAN_MB_NOUSE)</t>
  </si>
  <si>
    <t>#define CAN_CFG_MBOXSET_3_MB033             (CAN_MB_NOUSE)</t>
  </si>
  <si>
    <t>#define CAN_CFG_MBOXSET_3_MB034             (CAN_MB_NOUSE)</t>
  </si>
  <si>
    <t>#define CAN_CFG_MBOXSET_3_MB035             (CAN_MB_NOUSE)</t>
  </si>
  <si>
    <t>#define CAN_CFG_MBOXSET_3_MB036             (CAN_MB_NOUSE)</t>
  </si>
  <si>
    <t>#define CAN_CFG_MBOXSET_3_MB037             (CAN_MB_NOUSE)</t>
  </si>
  <si>
    <t>#define CAN_CFG_MBOXSET_3_MB038             (CAN_MB_NOUSE)</t>
  </si>
  <si>
    <t>#define CAN_CFG_MBOXSET_3_MB039             (CAN_MB_NOUSE)</t>
  </si>
  <si>
    <t>#define CAN_CFG_MBOXSET_3_MB040             (CAN_MB_NOUSE)</t>
  </si>
  <si>
    <t>#define CAN_CFG_MBOXSET_3_MB041             (CAN_MB_NOUSE)</t>
  </si>
  <si>
    <t>#define CAN_CFG_MBOXSET_3_MB042             (CAN_MB_NOUSE)</t>
  </si>
  <si>
    <t>#define CAN_CFG_MBOXSET_3_MB043             (CAN_MB_NOUSE)</t>
  </si>
  <si>
    <t>#define CAN_CFG_MBOXSET_3_MB044             (CAN_MB_NOUSE)</t>
  </si>
  <si>
    <t>#define CAN_CFG_MBOXSET_3_MB045             (CAN_MB_NOUSE)</t>
  </si>
  <si>
    <t>#define CAN_CFG_MBOXSET_3_MB046             (CAN_MB_NOUSE)</t>
  </si>
  <si>
    <t>#define CAN_CFG_MBOXSET_3_MB047             (CAN_MB_NOUSE)</t>
  </si>
  <si>
    <t>#define CAN_CFG_MBOXSET_3_MB048             (CAN_MB_NOUSE)</t>
  </si>
  <si>
    <t>#define CAN_CFG_MBOXSET_3_MB049             (CAN_MB_NOUSE)</t>
  </si>
  <si>
    <t>#define CAN_CFG_MBOXSET_3_MB050             (CAN_MB_NOUSE)</t>
  </si>
  <si>
    <t>#define CAN_CFG_MBOXSET_3_MB051             (CAN_MB_NOUSE)</t>
  </si>
  <si>
    <t>#define CAN_CFG_MBOXSET_3_MB052             (CAN_MB_NOUSE)</t>
  </si>
  <si>
    <t>#define CAN_CFG_MBOXSET_3_MB053             (CAN_MB_NOUSE)</t>
  </si>
  <si>
    <t>#define CAN_CFG_MBOXSET_3_MB054             (CAN_MB_NOUSE)</t>
  </si>
  <si>
    <t>#define CAN_CFG_MBOXSET_3_MB055             (CAN_MB_NOUSE)</t>
  </si>
  <si>
    <t>#define CAN_CFG_MBOXSET_3_MB056             (CAN_MB_NOUSE)</t>
  </si>
  <si>
    <t>#define CAN_CFG_MBOXSET_3_MB057             (CAN_MB_NOUSE)</t>
  </si>
  <si>
    <t>#define CAN_CFG_MBOXSET_3_MB058             (CAN_MB_NOUSE)</t>
  </si>
  <si>
    <t>#define CAN_CFG_MBOXSET_3_MB059             (CAN_MB_NOUSE)</t>
  </si>
  <si>
    <t>#define CAN_CFG_MBOXSET_3_MB060             (CAN_MB_NOUSE)</t>
  </si>
  <si>
    <t>#define CAN_CFG_MBOXSET_3_MB061             (CAN_MB_NOUSE)</t>
  </si>
  <si>
    <t>#define CAN_CFG_MBOXSET_3_MB062             (CAN_MB_NOUSE)</t>
  </si>
  <si>
    <t>#define CAN_CFG_MBOXSET_3_MB063             (CAN_MB_NOUSE)</t>
  </si>
  <si>
    <t>#define CAN_CFG_MBOXSET_3_MB064             (CAN_MB_NOUSE)</t>
  </si>
  <si>
    <t>#define CAN_CFG_MBOXSET_3_MB065             (CAN_MB_NOUSE)</t>
  </si>
  <si>
    <t>#define CAN_CFG_MBOXSET_3_MB066             (CAN_MB_NOUSE)</t>
  </si>
  <si>
    <t>#define CAN_CFG_MBOXSET_3_MB067             (CAN_MB_NOUSE)</t>
  </si>
  <si>
    <t>#define CAN_CFG_MBOXSET_3_MB068             (CAN_MB_NOUSE)</t>
  </si>
  <si>
    <t>#define CAN_CFG_MBOXSET_3_MB069             (CAN_MB_NOUSE)</t>
  </si>
  <si>
    <t>#define CAN_CFG_MBOXSET_3_MB070             (CAN_MB_NOUSE)</t>
  </si>
  <si>
    <t>#define CAN_CFG_MBOXSET_3_MB071             (CAN_MB_NOUSE)</t>
  </si>
  <si>
    <t>#define CAN_CFG_MBOXSET_3_MB072             (CAN_MB_NOUSE)</t>
  </si>
  <si>
    <t>#define CAN_CFG_MBOXSET_3_MB073             (CAN_MB_NOUSE)</t>
  </si>
  <si>
    <t>#define CAN_CFG_MBOXSET_3_MB074             (CAN_MB_NOUSE)</t>
  </si>
  <si>
    <t>#define CAN_CFG_MBOXSET_3_MB075             (CAN_MB_NOUSE)</t>
  </si>
  <si>
    <t>#define CAN_CFG_MBOXSET_3_MB076             (CAN_MB_NOUSE)</t>
  </si>
  <si>
    <t>#define CAN_CFG_MBOXSET_3_MB077             (CAN_MB_NOUSE)</t>
  </si>
  <si>
    <t>#define CAN_CFG_MBOXSET_3_MB078             (CAN_MB_NOUSE)</t>
  </si>
  <si>
    <t>#define CAN_CFG_MBOXSET_3_MB079             (CAN_MB_NOUSE)</t>
  </si>
  <si>
    <t>#define CAN_CFG_MBOXSET_3_MB080             (CAN_MB_NOUSE)</t>
  </si>
  <si>
    <t>#define CAN_CFG_MBOXSET_3_MB081             (CAN_MB_NOUSE)</t>
  </si>
  <si>
    <t>#define CAN_CFG_MBOXSET_3_MB082             (CAN_MB_NOUSE)</t>
  </si>
  <si>
    <t>#define CAN_CFG_MBOXSET_3_MB083             (CAN_MB_NOUSE)</t>
  </si>
  <si>
    <t>#define CAN_CFG_MBOXSET_3_MB084             (CAN_MB_NOUSE)</t>
  </si>
  <si>
    <t>#define CAN_CFG_MBOXSET_3_MB085             (CAN_MB_NOUSE)</t>
  </si>
  <si>
    <t>#define CAN_CFG_MBOXSET_3_MB086             (CAN_MB_NOUSE)</t>
  </si>
  <si>
    <t>#define CAN_CFG_MBOXSET_3_MB087             (CAN_MB_NOUSE)</t>
  </si>
  <si>
    <t>#define CAN_CFG_MBOXSET_3_MB088             (CAN_MB_NOUSE)</t>
  </si>
  <si>
    <t>#define CAN_CFG_MBOXSET_3_MB089             (CAN_MB_NOUSE)</t>
  </si>
  <si>
    <t>#define CAN_CFG_MBOXSET_3_MB090             (CAN_MB_NOUSE)</t>
  </si>
  <si>
    <t>#define CAN_CFG_MBOXSET_3_MB091             (CAN_MB_NOUSE)</t>
  </si>
  <si>
    <t>#define CAN_CFG_MBOXSET_3_MB092             (CAN_MB_NOUSE)</t>
  </si>
  <si>
    <t>#define CAN_CFG_MBOXSET_3_MB093             (CAN_MB_NOUSE)</t>
  </si>
  <si>
    <t>#define CAN_CFG_MBOXSET_3_MB094             (CAN_MB_NOUSE)</t>
  </si>
  <si>
    <t>#define CAN_CFG_MBOXSET_3_MB095             (CAN_MB_NOUSE)</t>
  </si>
  <si>
    <t>#define CAN_CFG_MBOXSET_3_MB096             (CAN_MB_NOUSE)</t>
  </si>
  <si>
    <t>#define CAN_CFG_MBOXSET_3_MB097             (CAN_MB_NOUSE)</t>
  </si>
  <si>
    <t>#define CAN_CFG_MBOXSET_3_MB098             (CAN_MB_NOUSE)</t>
  </si>
  <si>
    <t>#define CAN_CFG_MBOXSET_3_MB099             (CAN_MB_NOUSE)</t>
  </si>
  <si>
    <t>#define CAN_CFG_MBOXSET_3_MB100             (CAN_MB_NOUSE)</t>
  </si>
  <si>
    <t>#define CAN_CFG_MBOXSET_3_MB101             (CAN_MB_NOUSE)</t>
  </si>
  <si>
    <t>#define CAN_CFG_MBOXSET_3_MB102             (CAN_MB_NOUSE)</t>
  </si>
  <si>
    <t>#define CAN_CFG_MBOXSET_3_MB103             (CAN_MB_NOUSE)</t>
  </si>
  <si>
    <t>#define CAN_CFG_MBOXSET_3_MB104             (CAN_MB_NOUSE)</t>
  </si>
  <si>
    <t>#define CAN_CFG_MBOXSET_3_MB105             (CAN_MB_NOUSE)</t>
  </si>
  <si>
    <t>#define CAN_CFG_MBOXSET_3_MB106             (CAN_MB_NOUSE)</t>
  </si>
  <si>
    <t>#define CAN_CFG_MBOXSET_3_MB107             (CAN_MB_NOUSE)</t>
  </si>
  <si>
    <t>#define CAN_CFG_MBOXSET_3_MB108             (CAN_MB_NOUSE)</t>
  </si>
  <si>
    <t>#define CAN_CFG_MBOXSET_3_MB109             (CAN_MB_NOUSE)</t>
  </si>
  <si>
    <t>#define CAN_CFG_MBOXSET_3_MB110             (CAN_MB_NOUSE)</t>
  </si>
  <si>
    <t>#define CAN_CFG_MBOXSET_3_MB111             (CAN_MB_NOUSE)</t>
  </si>
  <si>
    <t>#define CAN_CFG_MBOXSET_3_MB112             (CAN_MB_NOUSE)</t>
  </si>
  <si>
    <t>#define CAN_CFG_MBOXSET_3_MB113             (CAN_MB_NOUSE)</t>
  </si>
  <si>
    <t>#define CAN_CFG_MBOXSET_3_MB114             (CAN_MB_NOUSE)</t>
  </si>
  <si>
    <t>#define CAN_CFG_MBOXSET_3_MB115             (CAN_MB_NOUSE)</t>
  </si>
  <si>
    <t>#define CAN_CFG_MBOXSET_3_MB116             (CAN_MB_NOUSE)</t>
  </si>
  <si>
    <t>#define CAN_CFG_MBOXSET_3_MB117             (CAN_MB_NOUSE)</t>
  </si>
  <si>
    <t>#define CAN_CFG_MBOXSET_3_MB118             (CAN_MB_NOUSE)</t>
  </si>
  <si>
    <t>#define CAN_CFG_MBOXSET_3_MB119             (CAN_MB_NOUSE)</t>
  </si>
  <si>
    <t>#define CAN_CFG_MBOXSET_3_MB120             (CAN_MB_NOUSE)</t>
  </si>
  <si>
    <t>#define CAN_CFG_MBOXSET_3_MB121             (CAN_MB_NOUSE)</t>
  </si>
  <si>
    <t>#define CAN_CFG_MBOXSET_3_MB122             (CAN_MB_NOUSE)</t>
  </si>
  <si>
    <t>#define CAN_CFG_MBOXSET_3_MB123             (CAN_MB_NOUSE)</t>
  </si>
  <si>
    <t>#define CAN_CFG_MBOXSET_3_MB124             (CAN_MB_NOUSE)</t>
  </si>
  <si>
    <t>#define CAN_CFG_MBOXSET_3_MB125             (CAN_MB_NOUSE)</t>
  </si>
  <si>
    <t>#define CAN_CFG_MBOXSET_3_MB126             (CAN_MB_NOUSE)</t>
  </si>
  <si>
    <t>#define CAN_CFG_MBOXSET_3_MB127             (CAN_MB_NOUSE)</t>
  </si>
  <si>
    <t>#define CAN_CFG_MBOXSET_3_MB128             (CAN_MB_NOUSE)</t>
  </si>
  <si>
    <t>#define CAN_CFG_MBOXSET_3_MB129             (CAN_MB_NOUSE)</t>
  </si>
  <si>
    <t>#define CAN_CFG_MBOXSET_3_MB130             (CAN_MB_NOUSE)</t>
  </si>
  <si>
    <t>#define CAN_CFG_MBOXSET_3_MB131             (CAN_MB_NOUSE)</t>
  </si>
  <si>
    <t>#define CAN_CFG_MBOXSET_3_MB132             (CAN_MB_NOUSE)</t>
  </si>
  <si>
    <t>#define CAN_CFG_MBOXSET_3_MB133             (CAN_MB_NOUSE)</t>
  </si>
  <si>
    <t>#define CAN_CFG_MBOXSET_3_MB134             (CAN_MB_NOUSE)</t>
  </si>
  <si>
    <t>#define CAN_CFG_MBOXSET_3_MB135             (CAN_MB_NOUSE)</t>
  </si>
  <si>
    <t>#define CAN_CFG_MBOXSET_3_MB136             (CAN_MB_NOUSE)</t>
  </si>
  <si>
    <t>#define CAN_CFG_MBOXSET_3_MB137             (CAN_MB_NOUSE)</t>
  </si>
  <si>
    <t>#define CAN_CFG_MBOXSET_3_MB138             (CAN_MB_NOUSE)</t>
  </si>
  <si>
    <t>#define CAN_CFG_MBOXSET_3_MB139             (CAN_MB_NOUSE)</t>
  </si>
  <si>
    <t>#define CAN_CFG_MBOXSET_3_MB140             (CAN_MB_NOUSE)</t>
  </si>
  <si>
    <t>#define CAN_CFG_MBOXSET_3_MB141             (CAN_MB_NOUSE)</t>
  </si>
  <si>
    <t>#define CAN_CFG_MBOXSET_3_MB142             (CAN_MB_NOUSE)</t>
  </si>
  <si>
    <t>#define CAN_CFG_MBOXSET_3_MB143             (CAN_MB_NOUSE)</t>
  </si>
  <si>
    <t>#define CAN_CFG_MBOXSET_3_MB144             (CAN_MB_NOUSE)</t>
  </si>
  <si>
    <t>#define CAN_CFG_MBOXSET_3_MB145             (CAN_MB_NOUSE)</t>
  </si>
  <si>
    <t>#define CAN_CFG_MBOXSET_3_MB146             (CAN_MB_NOUSE)</t>
  </si>
  <si>
    <t>#define CAN_CFG_MBOXSET_3_MB147             (CAN_MB_NOUSE)</t>
  </si>
  <si>
    <t>#define CAN_CFG_MBOXSET_3_MB148             (CAN_MB_NOUSE)</t>
  </si>
  <si>
    <t>#define CAN_CFG_MBOXSET_3_MB149             (CAN_MB_NOUSE)</t>
  </si>
  <si>
    <t>#define CAN_CFG_MBOXSET_3_MB150             (CAN_MB_NOUSE)</t>
  </si>
  <si>
    <t>#define CAN_CFG_MBOXSET_3_MB151             (CAN_MB_NOUSE)</t>
  </si>
  <si>
    <t>#define CAN_CFG_MBOXSET_3_MB152             (CAN_MB_NOUSE)</t>
  </si>
  <si>
    <t>#define CAN_CFG_MBOXSET_3_MB153             (CAN_MB_NOUSE)</t>
  </si>
  <si>
    <t>#define CAN_CFG_MBOXSET_3_MB154             (CAN_MB_NOUSE)</t>
  </si>
  <si>
    <t>#define CAN_CFG_MBOXSET_3_MB155             (CAN_MB_NOUSE)</t>
  </si>
  <si>
    <t>#define CAN_CFG_MBOXSET_3_MB156             (CAN_MB_NOUSE)</t>
  </si>
  <si>
    <t>#define CAN_CFG_MBOXSET_3_MB157             (CAN_MB_NOUSE)</t>
  </si>
  <si>
    <t>#define CAN_CFG_MBOXSET_3_MB158             (CAN_MB_NOUSE)</t>
  </si>
  <si>
    <t>#define CAN_CFG_MBOXSET_3_MB159             (CAN_MB_NOUSE)</t>
  </si>
  <si>
    <t>#define CAN_CFG_MBOXSET_3_MB160             (CAN_MB_NOUSE)</t>
  </si>
  <si>
    <t>#define CAN_CFG_MBOXSET_3_MB161             (CAN_MB_NOUSE)</t>
  </si>
  <si>
    <t>#define CAN_CFG_MBOXSET_3_MB162             (CAN_MB_NOUSE)</t>
  </si>
  <si>
    <t>#define CAN_CFG_MBOXSET_3_MB163             (CAN_MB_NOUSE)</t>
  </si>
  <si>
    <t>#define CAN_CFG_MBOXSET_3_MB164             (CAN_MB_NOUSE)</t>
  </si>
  <si>
    <t>#define CAN_CFG_MBOXSET_3_MB165             (CAN_MB_NOUSE)</t>
  </si>
  <si>
    <t>#define CAN_CFG_MBOXSET_3_MB166             (CAN_MB_NOUSE)</t>
  </si>
  <si>
    <t>#define CAN_CFG_MBOXSET_3_MB167             (CAN_MB_NOUSE)</t>
  </si>
  <si>
    <t>#define CAN_CFG_MBOXSET_3_MB168             (CAN_MB_NOUSE)</t>
  </si>
  <si>
    <t>#define CAN_CFG_MBOXSET_3_MB169             (CAN_MB_NOUSE)</t>
  </si>
  <si>
    <t>#define CAN_CFG_MBOXSET_3_MB170             (CAN_MB_NOUSE)</t>
  </si>
  <si>
    <t>#define CAN_CFG_MBOXSET_3_MB171             (CAN_MB_NOUSE)</t>
  </si>
  <si>
    <t>#define CAN_CFG_MBOXSET_3_MB172             (CAN_MB_NOUSE)</t>
  </si>
  <si>
    <t>#define CAN_CFG_MBOXSET_3_MB173             (CAN_MB_NOUSE)</t>
  </si>
  <si>
    <t>#define CAN_CFG_MBOXSET_3_MB174             (CAN_MB_NOUSE)</t>
  </si>
  <si>
    <t>#define CAN_CFG_MBOXSET_3_MB175             (CAN_MB_NOUSE)</t>
  </si>
  <si>
    <t>#define CAN_CFG_MBOXSET_3_MB176             (CAN_MB_NOUSE)</t>
  </si>
  <si>
    <t>#define CAN_CFG_MBOXSET_3_MB177             (CAN_MB_NOUSE)</t>
  </si>
  <si>
    <t>#define CAN_CFG_MBOXSET_3_MB178             (CAN_MB_NOUSE)</t>
  </si>
  <si>
    <t>#define CAN_CFG_MBOXSET_3_MB179             (CAN_MB_NOUSE)</t>
  </si>
  <si>
    <t>#define CAN_CFG_MBOXSET_3_MB180             (CAN_MB_NOUSE)</t>
  </si>
  <si>
    <t>#define CAN_CFG_MBOXSET_3_MB181             (CAN_MB_NOUSE)</t>
  </si>
  <si>
    <t>#define CAN_CFG_MBOXSET_3_MB182             (CAN_MB_NOUSE)</t>
  </si>
  <si>
    <t>#define CAN_CFG_MBOXSET_3_MB183             (CAN_MB_NOUSE)</t>
  </si>
  <si>
    <t>#define CAN_CFG_MBOXSET_3_MB184             (CAN_MB_NOUSE)</t>
  </si>
  <si>
    <t>#define CAN_CFG_MBOXSET_3_MB185             (CAN_MB_NOUSE)</t>
  </si>
  <si>
    <t>#define CAN_CFG_MBOXSET_3_MB186             (CAN_MB_NOUSE)</t>
  </si>
  <si>
    <t>#define CAN_CFG_MBOXSET_3_MB187             (CAN_MB_NOUSE)</t>
  </si>
  <si>
    <t>#define CAN_CFG_MBOXSET_3_MB188             (CAN_MB_NOUSE)</t>
  </si>
  <si>
    <t>#define CAN_CFG_MBOXSET_3_MB189             (CAN_MB_NOUSE)</t>
  </si>
  <si>
    <t>#define CAN_CFG_MBOXSET_3_MB190             (CAN_MB_NOUSE)</t>
  </si>
  <si>
    <t>#define CAN_CFG_MBOXSET_3_MB191             (CAN_MB_NOUSE)</t>
  </si>
  <si>
    <t>/* CAN Controller 4 MBOX Settings */</t>
  </si>
  <si>
    <t>#define CAN_CFG_MBOXSET_4_MB000             (CAN_MB_NOUSE)</t>
  </si>
  <si>
    <t>#define CAN_CFG_MBOXSET_4_MB001             (CAN_MB_NOUSE)</t>
  </si>
  <si>
    <t>#define CAN_CFG_MBOXSET_4_MB002             (CAN_MB_NOUSE)</t>
  </si>
  <si>
    <t>#define CAN_CFG_MBOXSET_4_MB003             (CAN_MB_NOUSE)</t>
  </si>
  <si>
    <t>#define CAN_CFG_MBOXSET_4_MB004             (CAN_MB_NOUSE)</t>
  </si>
  <si>
    <t>#define CAN_CFG_MBOXSET_4_MB005             (CAN_MB_NOUSE)</t>
  </si>
  <si>
    <t>#define CAN_CFG_MBOXSET_4_MB006             (CAN_MB_NOUSE)</t>
  </si>
  <si>
    <t>#define CAN_CFG_MBOXSET_4_MB007             (CAN_MB_NOUSE)</t>
  </si>
  <si>
    <t>#define CAN_CFG_MBOXSET_4_MB008             (CAN_MB_NOUSE)</t>
  </si>
  <si>
    <t>#define CAN_CFG_MBOXSET_4_MB009             (CAN_MB_NOUSE)</t>
  </si>
  <si>
    <t>#define CAN_CFG_MBOXSET_4_MB010             (CAN_MB_NOUSE)</t>
  </si>
  <si>
    <t>#define CAN_CFG_MBOXSET_4_MB011             (CAN_MB_NOUSE)</t>
  </si>
  <si>
    <t>#define CAN_CFG_MBOXSET_4_MB012             (CAN_MB_NOUSE)</t>
  </si>
  <si>
    <t>#define CAN_CFG_MBOXSET_4_MB013             (CAN_MB_NOUSE)</t>
  </si>
  <si>
    <t>#define CAN_CFG_MBOXSET_4_MB014             (CAN_MB_NOUSE)</t>
  </si>
  <si>
    <t>#define CAN_CFG_MBOXSET_4_MB015             (CAN_MB_NOUSE)</t>
  </si>
  <si>
    <t>#define CAN_CFG_MBOXSET_4_MB016             (CAN_MB_NOUSE)</t>
  </si>
  <si>
    <t>#define CAN_CFG_MBOXSET_4_MB017             (CAN_MB_NOUSE)</t>
  </si>
  <si>
    <t>#define CAN_CFG_MBOXSET_4_MB018             (CAN_MB_NOUSE)</t>
  </si>
  <si>
    <t>#define CAN_CFG_MBOXSET_4_MB019             (CAN_MB_NOUSE)</t>
  </si>
  <si>
    <t>#define CAN_CFG_MBOXSET_4_MB020             (CAN_MB_NOUSE)</t>
  </si>
  <si>
    <t>#define CAN_CFG_MBOXSET_4_MB021             (CAN_MB_NOUSE)</t>
  </si>
  <si>
    <t>#define CAN_CFG_MBOXSET_4_MB022             (CAN_MB_NOUSE)</t>
  </si>
  <si>
    <t>#define CAN_CFG_MBOXSET_4_MB023             (CAN_MB_NOUSE)</t>
  </si>
  <si>
    <t>#define CAN_CFG_MBOXSET_4_MB024             (CAN_MB_NOUSE)</t>
  </si>
  <si>
    <t>#define CAN_CFG_MBOXSET_4_MB025             (CAN_MB_NOUSE)</t>
  </si>
  <si>
    <t>#define CAN_CFG_MBOXSET_4_MB026             (CAN_MB_NOUSE)</t>
  </si>
  <si>
    <t>#define CAN_CFG_MBOXSET_4_MB027             (CAN_MB_NOUSE)</t>
  </si>
  <si>
    <t>#define CAN_CFG_MBOXSET_4_MB028             (CAN_MB_NOUSE)</t>
  </si>
  <si>
    <t>#define CAN_CFG_MBOXSET_4_MB029             (CAN_MB_NOUSE)</t>
  </si>
  <si>
    <t>#define CAN_CFG_MBOXSET_4_MB030             (CAN_MB_NOUSE)</t>
  </si>
  <si>
    <t>#define CAN_CFG_MBOXSET_4_MB031             (CAN_MB_NOUSE)</t>
  </si>
  <si>
    <t>#define CAN_CFG_MBOXSET_4_MB032             (CAN_MB_NOUSE)</t>
  </si>
  <si>
    <t>#define CAN_CFG_MBOXSET_4_MB033             (CAN_MB_NOUSE)</t>
  </si>
  <si>
    <t>#define CAN_CFG_MBOXSET_4_MB034             (CAN_MB_NOUSE)</t>
  </si>
  <si>
    <t>#define CAN_CFG_MBOXSET_4_MB035             (CAN_MB_NOUSE)</t>
  </si>
  <si>
    <t>#define CAN_CFG_MBOXSET_4_MB036             (CAN_MB_NOUSE)</t>
  </si>
  <si>
    <t>#define CAN_CFG_MBOXSET_4_MB037             (CAN_MB_NOUSE)</t>
  </si>
  <si>
    <t>#define CAN_CFG_MBOXSET_4_MB038             (CAN_MB_NOUSE)</t>
  </si>
  <si>
    <t>#define CAN_CFG_MBOXSET_4_MB039             (CAN_MB_NOUSE)</t>
  </si>
  <si>
    <t>#define CAN_CFG_MBOXSET_4_MB040             (CAN_MB_NOUSE)</t>
  </si>
  <si>
    <t>#define CAN_CFG_MBOXSET_4_MB041             (CAN_MB_NOUSE)</t>
  </si>
  <si>
    <t>#define CAN_CFG_MBOXSET_4_MB042             (CAN_MB_NOUSE)</t>
  </si>
  <si>
    <t>#define CAN_CFG_MBOXSET_4_MB043             (CAN_MB_NOUSE)</t>
  </si>
  <si>
    <t>#define CAN_CFG_MBOXSET_4_MB044             (CAN_MB_NOUSE)</t>
  </si>
  <si>
    <t>#define CAN_CFG_MBOXSET_4_MB045             (CAN_MB_NOUSE)</t>
  </si>
  <si>
    <t>#define CAN_CFG_MBOXSET_4_MB046             (CAN_MB_NOUSE)</t>
  </si>
  <si>
    <t>#define CAN_CFG_MBOXSET_4_MB047             (CAN_MB_NOUSE)</t>
  </si>
  <si>
    <t>#define CAN_CFG_MBOXSET_4_MB048             (CAN_MB_NOUSE)</t>
  </si>
  <si>
    <t>#define CAN_CFG_MBOXSET_4_MB049             (CAN_MB_NOUSE)</t>
  </si>
  <si>
    <t>#define CAN_CFG_MBOXSET_4_MB050             (CAN_MB_NOUSE)</t>
  </si>
  <si>
    <t>#define CAN_CFG_MBOXSET_4_MB051             (CAN_MB_NOUSE)</t>
  </si>
  <si>
    <t>#define CAN_CFG_MBOXSET_4_MB052             (CAN_MB_NOUSE)</t>
  </si>
  <si>
    <t>#define CAN_CFG_MBOXSET_4_MB053             (CAN_MB_NOUSE)</t>
  </si>
  <si>
    <t>#define CAN_CFG_MBOXSET_4_MB054             (CAN_MB_NOUSE)</t>
  </si>
  <si>
    <t>#define CAN_CFG_MBOXSET_4_MB055             (CAN_MB_NOUSE)</t>
  </si>
  <si>
    <t>#define CAN_CFG_MBOXSET_4_MB056             (CAN_MB_NOUSE)</t>
  </si>
  <si>
    <t>#define CAN_CFG_MBOXSET_4_MB057             (CAN_MB_NOUSE)</t>
  </si>
  <si>
    <t>#define CAN_CFG_MBOXSET_4_MB058             (CAN_MB_NOUSE)</t>
  </si>
  <si>
    <t>#define CAN_CFG_MBOXSET_4_MB059             (CAN_MB_NOUSE)</t>
  </si>
  <si>
    <t>#define CAN_CFG_MBOXSET_4_MB060             (CAN_MB_NOUSE)</t>
  </si>
  <si>
    <t>#define CAN_CFG_MBOXSET_4_MB061             (CAN_MB_NOUSE)</t>
  </si>
  <si>
    <t>#define CAN_CFG_MBOXSET_4_MB062             (CAN_MB_NOUSE)</t>
  </si>
  <si>
    <t>#define CAN_CFG_MBOXSET_4_MB063             (CAN_MB_NOUSE)</t>
  </si>
  <si>
    <t>#define CAN_CFG_MBOXSET_4_MB064             (CAN_MB_NOUSE)</t>
  </si>
  <si>
    <t>#define CAN_CFG_MBOXSET_4_MB065             (CAN_MB_NOUSE)</t>
  </si>
  <si>
    <t>#define CAN_CFG_MBOXSET_4_MB066             (CAN_MB_NOUSE)</t>
  </si>
  <si>
    <t>#define CAN_CFG_MBOXSET_4_MB067             (CAN_MB_NOUSE)</t>
  </si>
  <si>
    <t>#define CAN_CFG_MBOXSET_4_MB068             (CAN_MB_NOUSE)</t>
  </si>
  <si>
    <t>#define CAN_CFG_MBOXSET_4_MB069             (CAN_MB_NOUSE)</t>
  </si>
  <si>
    <t>#define CAN_CFG_MBOXSET_4_MB070             (CAN_MB_NOUSE)</t>
  </si>
  <si>
    <t>#define CAN_CFG_MBOXSET_4_MB071             (CAN_MB_NOUSE)</t>
  </si>
  <si>
    <t>#define CAN_CFG_MBOXSET_4_MB072             (CAN_MB_NOUSE)</t>
  </si>
  <si>
    <t>#define CAN_CFG_MBOXSET_4_MB073             (CAN_MB_NOUSE)</t>
  </si>
  <si>
    <t>#define CAN_CFG_MBOXSET_4_MB074             (CAN_MB_NOUSE)</t>
  </si>
  <si>
    <t>#define CAN_CFG_MBOXSET_4_MB075             (CAN_MB_NOUSE)</t>
  </si>
  <si>
    <t>#define CAN_CFG_MBOXSET_4_MB076             (CAN_MB_NOUSE)</t>
  </si>
  <si>
    <t>#define CAN_CFG_MBOXSET_4_MB077             (CAN_MB_NOUSE)</t>
  </si>
  <si>
    <t>#define CAN_CFG_MBOXSET_4_MB078             (CAN_MB_NOUSE)</t>
  </si>
  <si>
    <t>#define CAN_CFG_MBOXSET_4_MB079             (CAN_MB_NOUSE)</t>
  </si>
  <si>
    <t>#define CAN_CFG_MBOXSET_4_MB080             (CAN_MB_NOUSE)</t>
  </si>
  <si>
    <t>#define CAN_CFG_MBOXSET_4_MB081             (CAN_MB_NOUSE)</t>
  </si>
  <si>
    <t>#define CAN_CFG_MBOXSET_4_MB082             (CAN_MB_NOUSE)</t>
  </si>
  <si>
    <t>#define CAN_CFG_MBOXSET_4_MB083             (CAN_MB_NOUSE)</t>
  </si>
  <si>
    <t>#define CAN_CFG_MBOXSET_4_MB084             (CAN_MB_NOUSE)</t>
  </si>
  <si>
    <t>#define CAN_CFG_MBOXSET_4_MB085             (CAN_MB_NOUSE)</t>
  </si>
  <si>
    <t>#define CAN_CFG_MBOXSET_4_MB086             (CAN_MB_NOUSE)</t>
  </si>
  <si>
    <t>#define CAN_CFG_MBOXSET_4_MB087             (CAN_MB_NOUSE)</t>
  </si>
  <si>
    <t>#define CAN_CFG_MBOXSET_4_MB088             (CAN_MB_NOUSE)</t>
  </si>
  <si>
    <t>#define CAN_CFG_MBOXSET_4_MB089             (CAN_MB_NOUSE)</t>
  </si>
  <si>
    <t>#define CAN_CFG_MBOXSET_4_MB090             (CAN_MB_NOUSE)</t>
  </si>
  <si>
    <t>#define CAN_CFG_MBOXSET_4_MB091             (CAN_MB_NOUSE)</t>
  </si>
  <si>
    <t>#define CAN_CFG_MBOXSET_4_MB092             (CAN_MB_NOUSE)</t>
  </si>
  <si>
    <t>#define CAN_CFG_MBOXSET_4_MB093             (CAN_MB_NOUSE)</t>
  </si>
  <si>
    <t>#define CAN_CFG_MBOXSET_4_MB094             (CAN_MB_NOUSE)</t>
  </si>
  <si>
    <t>#define CAN_CFG_MBOXSET_4_MB095             (CAN_MB_NOUSE)</t>
  </si>
  <si>
    <t>#define CAN_CFG_MBOXSET_4_MB096             (CAN_MB_NOUSE)</t>
  </si>
  <si>
    <t>#define CAN_CFG_MBOXSET_4_MB097             (CAN_MB_NOUSE)</t>
  </si>
  <si>
    <t>#define CAN_CFG_MBOXSET_4_MB098             (CAN_MB_NOUSE)</t>
  </si>
  <si>
    <t>#define CAN_CFG_MBOXSET_4_MB099             (CAN_MB_NOUSE)</t>
  </si>
  <si>
    <t>#define CAN_CFG_MBOXSET_4_MB100             (CAN_MB_NOUSE)</t>
  </si>
  <si>
    <t>#define CAN_CFG_MBOXSET_4_MB101             (CAN_MB_NOUSE)</t>
  </si>
  <si>
    <t>#define CAN_CFG_MBOXSET_4_MB102             (CAN_MB_NOUSE)</t>
  </si>
  <si>
    <t>#define CAN_CFG_MBOXSET_4_MB103             (CAN_MB_NOUSE)</t>
  </si>
  <si>
    <t>#define CAN_CFG_MBOXSET_4_MB104             (CAN_MB_NOUSE)</t>
  </si>
  <si>
    <t>#define CAN_CFG_MBOXSET_4_MB105             (CAN_MB_NOUSE)</t>
  </si>
  <si>
    <t>#define CAN_CFG_MBOXSET_4_MB106             (CAN_MB_NOUSE)</t>
  </si>
  <si>
    <t>#define CAN_CFG_MBOXSET_4_MB107             (CAN_MB_NOUSE)</t>
  </si>
  <si>
    <t>#define CAN_CFG_MBOXSET_4_MB108             (CAN_MB_NOUSE)</t>
  </si>
  <si>
    <t>#define CAN_CFG_MBOXSET_4_MB109             (CAN_MB_NOUSE)</t>
  </si>
  <si>
    <t>#define CAN_CFG_MBOXSET_4_MB110             (CAN_MB_NOUSE)</t>
  </si>
  <si>
    <t>#define CAN_CFG_MBOXSET_4_MB111             (CAN_MB_NOUSE)</t>
  </si>
  <si>
    <t>#define CAN_CFG_MBOXSET_4_MB112             (CAN_MB_NOUSE)</t>
  </si>
  <si>
    <t>#define CAN_CFG_MBOXSET_4_MB113             (CAN_MB_NOUSE)</t>
  </si>
  <si>
    <t>#define CAN_CFG_MBOXSET_4_MB114             (CAN_MB_NOUSE)</t>
  </si>
  <si>
    <t>#define CAN_CFG_MBOXSET_4_MB115             (CAN_MB_NOUSE)</t>
  </si>
  <si>
    <t>#define CAN_CFG_MBOXSET_4_MB116             (CAN_MB_NOUSE)</t>
  </si>
  <si>
    <t>#define CAN_CFG_MBOXSET_4_MB117             (CAN_MB_NOUSE)</t>
  </si>
  <si>
    <t>#define CAN_CFG_MBOXSET_4_MB118             (CAN_MB_NOUSE)</t>
  </si>
  <si>
    <t>#define CAN_CFG_MBOXSET_4_MB119             (CAN_MB_NOUSE)</t>
  </si>
  <si>
    <t>#define CAN_CFG_MBOXSET_4_MB120             (CAN_MB_NOUSE)</t>
  </si>
  <si>
    <t>#define CAN_CFG_MBOXSET_4_MB121             (CAN_MB_NOUSE)</t>
  </si>
  <si>
    <t>#define CAN_CFG_MBOXSET_4_MB122             (CAN_MB_NOUSE)</t>
  </si>
  <si>
    <t>#define CAN_CFG_MBOXSET_4_MB123             (CAN_MB_NOUSE)</t>
  </si>
  <si>
    <t>#define CAN_CFG_MBOXSET_4_MB124             (CAN_MB_NOUSE)</t>
  </si>
  <si>
    <t>#define CAN_CFG_MBOXSET_4_MB125             (CAN_MB_NOUSE)</t>
  </si>
  <si>
    <t>#define CAN_CFG_MBOXSET_4_MB126             (CAN_MB_NOUSE)</t>
  </si>
  <si>
    <t>#define CAN_CFG_MBOXSET_4_MB127             (CAN_MB_NOUSE)</t>
  </si>
  <si>
    <t>#define CAN_CFG_MBOXSET_4_MB128             (CAN_MB_NOUSE)</t>
  </si>
  <si>
    <t>#define CAN_CFG_MBOXSET_4_MB129             (CAN_MB_NOUSE)</t>
  </si>
  <si>
    <t>#define CAN_CFG_MBOXSET_4_MB130             (CAN_MB_NOUSE)</t>
  </si>
  <si>
    <t>#define CAN_CFG_MBOXSET_4_MB131             (CAN_MB_NOUSE)</t>
  </si>
  <si>
    <t>#define CAN_CFG_MBOXSET_4_MB132             (CAN_MB_NOUSE)</t>
  </si>
  <si>
    <t>#define CAN_CFG_MBOXSET_4_MB133             (CAN_MB_NOUSE)</t>
  </si>
  <si>
    <t>#define CAN_CFG_MBOXSET_4_MB134             (CAN_MB_NOUSE)</t>
  </si>
  <si>
    <t>#define CAN_CFG_MBOXSET_4_MB135             (CAN_MB_NOUSE)</t>
  </si>
  <si>
    <t>#define CAN_CFG_MBOXSET_4_MB136             (CAN_MB_NOUSE)</t>
  </si>
  <si>
    <t>#define CAN_CFG_MBOXSET_4_MB137             (CAN_MB_NOUSE)</t>
  </si>
  <si>
    <t>#define CAN_CFG_MBOXSET_4_MB138             (CAN_MB_NOUSE)</t>
  </si>
  <si>
    <t>#define CAN_CFG_MBOXSET_4_MB139             (CAN_MB_NOUSE)</t>
  </si>
  <si>
    <t>#define CAN_CFG_MBOXSET_4_MB140             (CAN_MB_NOUSE)</t>
  </si>
  <si>
    <t>#define CAN_CFG_MBOXSET_4_MB141             (CAN_MB_NOUSE)</t>
  </si>
  <si>
    <t>#define CAN_CFG_MBOXSET_4_MB142             (CAN_MB_NOUSE)</t>
  </si>
  <si>
    <t>#define CAN_CFG_MBOXSET_4_MB143             (CAN_MB_NOUSE)</t>
  </si>
  <si>
    <t>#define CAN_CFG_MBOXSET_4_MB144             (CAN_MB_NOUSE)</t>
  </si>
  <si>
    <t>#define CAN_CFG_MBOXSET_4_MB145             (CAN_MB_NOUSE)</t>
  </si>
  <si>
    <t>#define CAN_CFG_MBOXSET_4_MB146             (CAN_MB_NOUSE)</t>
  </si>
  <si>
    <t>#define CAN_CFG_MBOXSET_4_MB147             (CAN_MB_NOUSE)</t>
  </si>
  <si>
    <t>#define CAN_CFG_MBOXSET_4_MB148             (CAN_MB_NOUSE)</t>
  </si>
  <si>
    <t>#define CAN_CFG_MBOXSET_4_MB149             (CAN_MB_NOUSE)</t>
  </si>
  <si>
    <t>#define CAN_CFG_MBOXSET_4_MB150             (CAN_MB_NOUSE)</t>
  </si>
  <si>
    <t>#define CAN_CFG_MBOXSET_4_MB151             (CAN_MB_NOUSE)</t>
  </si>
  <si>
    <t>#define CAN_CFG_MBOXSET_4_MB152             (CAN_MB_NOUSE)</t>
  </si>
  <si>
    <t>#define CAN_CFG_MBOXSET_4_MB153             (CAN_MB_NOUSE)</t>
  </si>
  <si>
    <t>#define CAN_CFG_MBOXSET_4_MB154             (CAN_MB_NOUSE)</t>
  </si>
  <si>
    <t>#define CAN_CFG_MBOXSET_4_MB155             (CAN_MB_NOUSE)</t>
  </si>
  <si>
    <t>#define CAN_CFG_MBOXSET_4_MB156             (CAN_MB_NOUSE)</t>
  </si>
  <si>
    <t>#define CAN_CFG_MBOXSET_4_MB157             (CAN_MB_NOUSE)</t>
  </si>
  <si>
    <t>#define CAN_CFG_MBOXSET_4_MB158             (CAN_MB_NOUSE)</t>
  </si>
  <si>
    <t>#define CAN_CFG_MBOXSET_4_MB159             (CAN_MB_NOUSE)</t>
  </si>
  <si>
    <t>#define CAN_CFG_MBOXSET_4_MB160             (CAN_MB_NOUSE)</t>
  </si>
  <si>
    <t>#define CAN_CFG_MBOXSET_4_MB161             (CAN_MB_NOUSE)</t>
  </si>
  <si>
    <t>#define CAN_CFG_MBOXSET_4_MB162             (CAN_MB_NOUSE)</t>
  </si>
  <si>
    <t>#define CAN_CFG_MBOXSET_4_MB163             (CAN_MB_NOUSE)</t>
  </si>
  <si>
    <t>#define CAN_CFG_MBOXSET_4_MB164             (CAN_MB_NOUSE)</t>
  </si>
  <si>
    <t>#define CAN_CFG_MBOXSET_4_MB165             (CAN_MB_NOUSE)</t>
  </si>
  <si>
    <t>#define CAN_CFG_MBOXSET_4_MB166             (CAN_MB_NOUSE)</t>
  </si>
  <si>
    <t>#define CAN_CFG_MBOXSET_4_MB167             (CAN_MB_NOUSE)</t>
  </si>
  <si>
    <t>#define CAN_CFG_MBOXSET_4_MB168             (CAN_MB_NOUSE)</t>
  </si>
  <si>
    <t>#define CAN_CFG_MBOXSET_4_MB169             (CAN_MB_NOUSE)</t>
  </si>
  <si>
    <t>#define CAN_CFG_MBOXSET_4_MB170             (CAN_MB_NOUSE)</t>
  </si>
  <si>
    <t>#define CAN_CFG_MBOXSET_4_MB171             (CAN_MB_NOUSE)</t>
  </si>
  <si>
    <t>#define CAN_CFG_MBOXSET_4_MB172             (CAN_MB_NOUSE)</t>
  </si>
  <si>
    <t>#define CAN_CFG_MBOXSET_4_MB173             (CAN_MB_NOUSE)</t>
  </si>
  <si>
    <t>#define CAN_CFG_MBOXSET_4_MB174             (CAN_MB_NOUSE)</t>
  </si>
  <si>
    <t>#define CAN_CFG_MBOXSET_4_MB175             (CAN_MB_NOUSE)</t>
  </si>
  <si>
    <t>#define CAN_CFG_MBOXSET_4_MB176             (CAN_MB_NOUSE)</t>
  </si>
  <si>
    <t>#define CAN_CFG_MBOXSET_4_MB177             (CAN_MB_NOUSE)</t>
  </si>
  <si>
    <t>#define CAN_CFG_MBOXSET_4_MB178             (CAN_MB_NOUSE)</t>
  </si>
  <si>
    <t>#define CAN_CFG_MBOXSET_4_MB179             (CAN_MB_NOUSE)</t>
  </si>
  <si>
    <t>#define CAN_CFG_MBOXSET_4_MB180             (CAN_MB_NOUSE)</t>
  </si>
  <si>
    <t>#define CAN_CFG_MBOXSET_4_MB181             (CAN_MB_NOUSE)</t>
  </si>
  <si>
    <t>#define CAN_CFG_MBOXSET_4_MB182             (CAN_MB_NOUSE)</t>
  </si>
  <si>
    <t>#define CAN_CFG_MBOXSET_4_MB183             (CAN_MB_NOUSE)</t>
  </si>
  <si>
    <t>#define CAN_CFG_MBOXSET_4_MB184             (CAN_MB_NOUSE)</t>
  </si>
  <si>
    <t>#define CAN_CFG_MBOXSET_4_MB185             (CAN_MB_NOUSE)</t>
  </si>
  <si>
    <t>#define CAN_CFG_MBOXSET_4_MB186             (CAN_MB_NOUSE)</t>
  </si>
  <si>
    <t>#define CAN_CFG_MBOXSET_4_MB187             (CAN_MB_NOUSE)</t>
  </si>
  <si>
    <t>#define CAN_CFG_MBOXSET_4_MB188             (CAN_MB_NOUSE)</t>
  </si>
  <si>
    <t>#define CAN_CFG_MBOXSET_4_MB189             (CAN_MB_NOUSE)</t>
  </si>
  <si>
    <t>#define CAN_CFG_MBOXSET_4_MB190             (CAN_MB_NOUSE)</t>
  </si>
  <si>
    <t>#define CAN_CFG_MBOXSET_4_MB191             (CAN_MB_NOUSE)</t>
  </si>
  <si>
    <t>/* CAN Controller 5 MBOX Settings */</t>
  </si>
  <si>
    <t>#define CAN_CFG_MBOXSET_5_MB000             (CAN_MB_UTRANSMIT|CAN_MB_INTERRUPT)</t>
  </si>
  <si>
    <t>#define CAN_CFG_MBOXSET_5_MB001             (CAN_MB_UTRANSMIT|CAN_MB_INTERRUPT)</t>
  </si>
  <si>
    <t>#define CAN_CFG_MBOXSET_5_MB002             (CAN_MB_UTRANSMIT|CAN_MB_INTERRUPT)</t>
  </si>
  <si>
    <t>#define CAN_CFG_MBOXSET_5_MB003             (CAN_MB_UTRANSMIT|CAN_MB_INTERRUPT)</t>
  </si>
  <si>
    <t>#define CAN_CFG_MBOXSET_5_MB004             (CAN_MB_UTRANSMIT|CAN_MB_INTERRUPT)</t>
  </si>
  <si>
    <t>#define CAN_CFG_MBOXSET_5_MB005             (CAN_MB_UTRANSMIT|CAN_MB_INTERRUPT)</t>
  </si>
  <si>
    <t>#define CAN_CFG_MBOXSET_5_MB006             (CAN_MB_UTRANSMIT|CAN_MB_INTERRUPT)</t>
  </si>
  <si>
    <t>#define CAN_CFG_MBOXSET_5_MB007             (CAN_MB_UTRANSMIT|CAN_MB_INTERRUPT)</t>
  </si>
  <si>
    <t>#define CAN_CFG_MBOXSET_5_MB008             (CAN_MB_TRANSMIT |CAN_MB_INTERRUPT)</t>
  </si>
  <si>
    <t>#define CAN_CFG_MBOXSET_5_MB011             (CAN_MB_RECEPTION|CAN_MB_POLLING)</t>
  </si>
  <si>
    <t>#define CAN_CFG_MBOXSET_5_MB012             (CAN_MB_RECEPTION|CAN_MB_POLLING)</t>
  </si>
  <si>
    <t>#define CAN_CFG_MBOXSET_5_MB013             (CAN_MB_RECEPTION|CAN_MB_POLLING)</t>
  </si>
  <si>
    <t>#define CAN_CFG_MBOXSET_5_MB014             (CAN_MB_RECEPTION|CAN_MB_POLLING)</t>
  </si>
  <si>
    <t>#define CAN_CFG_MBOXSET_5_MB015             (CAN_MB_RECEPTION|CAN_MB_POLLING)</t>
  </si>
  <si>
    <t>#define CAN_CFG_MBOXSET_5_MB016             (CAN_MB_RECEPTION|CAN_MB_POLLING)</t>
  </si>
  <si>
    <t>#define CAN_CFG_MBOXSET_5_MB017             (CAN_MB_RECEPTION|CAN_MB_POLLING)</t>
  </si>
  <si>
    <t>#define CAN_CFG_MBOXSET_5_MB018             (CAN_MB_RECEPTION|CAN_MB_POLLING)</t>
  </si>
  <si>
    <t>#define CAN_CFG_MBOXSET_5_MB019             (CAN_MB_RECEPTION|CAN_MB_POLLING)</t>
  </si>
  <si>
    <t>#define CAN_CFG_MBOXSET_5_MB020             (CAN_MB_RECEPTION|CAN_MB_POLLING)</t>
  </si>
  <si>
    <t>#define CAN_CFG_MBOXSET_5_MB021             (CAN_MB_RECEPTION|CAN_MB_POLLING)</t>
  </si>
  <si>
    <t>#define CAN_CFG_MBOXSET_5_MB022             (CAN_MB_RECEPTION|CAN_MB_POLLING)</t>
  </si>
  <si>
    <t>#define CAN_CFG_MBOXSET_5_MB023             (CAN_MB_RECEPTION|CAN_MB_POLLING)</t>
  </si>
  <si>
    <t>#define CAN_CFG_MBOXSET_5_MB024             (CAN_MB_RECEPTION|CAN_MB_POLLING)</t>
  </si>
  <si>
    <t>#define CAN_CFG_MBOXSET_5_MB025             (CAN_MB_RECEPTION|CAN_MB_POLLING)</t>
  </si>
  <si>
    <t>#define CAN_CFG_MBOXSET_5_MB026             (CAN_MB_RECEPTION|CAN_MB_POLLING)</t>
  </si>
  <si>
    <t>#define CAN_CFG_MBOXSET_5_MB027             (CAN_MB_RECEPTION|CAN_MB_POLLING)</t>
  </si>
  <si>
    <t>#define CAN_CFG_MBOXSET_5_MB028             (CAN_MB_RECEPTION|CAN_MB_POLLING)</t>
  </si>
  <si>
    <t>#define CAN_CFG_MBOXSET_5_MB029             (CAN_MB_RECEPTION|CAN_MB_POLLING)</t>
  </si>
  <si>
    <t>#define CAN_CFG_MBOXSET_5_MB030             (CAN_MB_RECEPTION|CAN_MB_POLLING)</t>
  </si>
  <si>
    <t>#define CAN_CFG_MBOXSET_5_MB031             (CAN_MB_RECEPTION|CAN_MB_POLLING)</t>
  </si>
  <si>
    <t>#define CAN_CFG_MBOXSET_5_MB032             (CAN_MB_RECEPTION|CAN_MB_POLLING)</t>
  </si>
  <si>
    <t>#define CAN_CFG_MBOXSET_5_MB033             (CAN_MB_RECEPTION|CAN_MB_POLLING)</t>
  </si>
  <si>
    <t>#define CAN_CFG_MBOXSET_5_MB034             (CAN_MB_RECEPTION|CAN_MB_POLLING)</t>
  </si>
  <si>
    <t>#define CAN_CFG_MBOXSET_5_MB035             (CAN_MB_RECEPTION|CAN_MB_POLLING)</t>
  </si>
  <si>
    <t>#define CAN_CFG_MBOXSET_5_MB036             (CAN_MB_RECEPTION|CAN_MB_POLLING)</t>
  </si>
  <si>
    <t>#define CAN_CFG_MBOXSET_5_MB037             (CAN_MB_RECEPTION|CAN_MB_POLLING)</t>
  </si>
  <si>
    <t>#define CAN_CFG_MBOXSET_5_MB038             (CAN_MB_RECEPTION|CAN_MB_POLLING)</t>
  </si>
  <si>
    <t>#define CAN_CFG_MBOXSET_5_MB039             (CAN_MB_RECEPTION|CAN_MB_POLLING)</t>
  </si>
  <si>
    <t>#define CAN_CFG_MBOXSET_5_MB040             (CAN_MB_RECEPTION|CAN_MB_POLLING)</t>
  </si>
  <si>
    <t>#define CAN_CFG_MBOXSET_5_MB041             (CAN_MB_RECEPTION|CAN_MB_POLLING)</t>
  </si>
  <si>
    <t>#define CAN_CFG_MBOXSET_5_MB042             (CAN_MB_RECEPTION|CAN_MB_POLLING)</t>
  </si>
  <si>
    <t>#define CAN_CFG_MBOXSET_5_MB043             (CAN_MB_RECEPTION|CAN_MB_POLLING)</t>
  </si>
  <si>
    <t>#define CAN_CFG_MBOXSET_5_MB044             (CAN_MB_RECEPTION|CAN_MB_POLLING)</t>
  </si>
  <si>
    <t>#define CAN_CFG_MBOXSET_5_MB045             (CAN_MB_RECEPTION|CAN_MB_POLLING)</t>
  </si>
  <si>
    <t>#define CAN_CFG_MBOXSET_5_MB046             (CAN_MB_RECEPTION|CAN_MB_POLLING)</t>
  </si>
  <si>
    <t>#define CAN_CFG_MBOXSET_5_MB047             (CAN_MB_RECEPTION|CAN_MB_POLLING)</t>
  </si>
  <si>
    <t>#define CAN_CFG_MBOXSET_5_MB048             (CAN_MB_RECEPTION|CAN_MB_POLLING)</t>
  </si>
  <si>
    <t>#define CAN_CFG_MBOXSET_5_MB049             (CAN_MB_RECEPTION|CAN_MB_POLLING)</t>
  </si>
  <si>
    <t>#define CAN_CFG_MBOXSET_5_MB050             (CAN_MB_RECEPTION|CAN_MB_POLLING)</t>
  </si>
  <si>
    <t>#define CAN_CFG_MBOXSET_5_MB051             (CAN_MB_RECEPTION|CAN_MB_POLLING)</t>
  </si>
  <si>
    <t>#define CAN_CFG_MBOXSET_5_MB052             (CAN_MB_RECEPTION|CAN_MB_POLLING)</t>
  </si>
  <si>
    <t>#define CAN_CFG_MBOXSET_5_MB053             (CAN_MB_RECEPTION|CAN_MB_POLLING)</t>
  </si>
  <si>
    <t>#define CAN_CFG_MBOXSET_5_MB054             (CAN_MB_RECEPTION|CAN_MB_POLLING)</t>
  </si>
  <si>
    <t>#define CAN_CFG_MBOXSET_5_MB055             (CAN_MB_RECEPTION|CAN_MB_POLLING)</t>
  </si>
  <si>
    <t>#define CAN_CFG_MBOXSET_5_MB056             (CAN_MB_RECEPTION|CAN_MB_POLLING)</t>
  </si>
  <si>
    <t>#define CAN_CFG_MBOXSET_5_MB057             (CAN_MB_RECEPTION|CAN_MB_POLLING)</t>
  </si>
  <si>
    <t>#define CAN_CFG_MBOXSET_5_MB058             (CAN_MB_RECEPTION|CAN_MB_POLLING)</t>
  </si>
  <si>
    <t>#define CAN_CFG_MBOXSET_5_MB059             (CAN_MB_RECEPTION|CAN_MB_POLLING)</t>
  </si>
  <si>
    <t>#define CAN_CFG_MBOXSET_5_MB060             (CAN_MB_RECEPTION|CAN_MB_POLLING)</t>
  </si>
  <si>
    <t>#define CAN_CFG_MBOXSET_5_MB061             (CAN_MB_RECEPTION|CAN_MB_POLLING)</t>
  </si>
  <si>
    <t>#define CAN_CFG_MBOXSET_5_MB062             (CAN_MB_RECEPTION|CAN_MB_POLLING)</t>
  </si>
  <si>
    <t>#define CAN_CFG_MBOXSET_5_MB063             (CAN_MB_RECEPTION|CAN_MB_POLLING)</t>
  </si>
  <si>
    <t>#define CAN_CFG_MBOXSET_5_MB064             (CAN_MB_RECEPTION|CAN_MB_POLLING)</t>
  </si>
  <si>
    <t>#define CAN_CFG_MBOXSET_5_MB065             (CAN_MB_RECEPTION|CAN_MB_POLLING)</t>
  </si>
  <si>
    <t>#define CAN_CFG_MBOXSET_5_MB066             (CAN_MB_RECEPTION|CAN_MB_POLLING)</t>
  </si>
  <si>
    <t>#define CAN_CFG_MBOXSET_5_MB067             (CAN_MB_RECEPTION|CAN_MB_POLLING)</t>
  </si>
  <si>
    <t>#define CAN_CFG_MBOXSET_5_MB068             (CAN_MB_RECEPTION|CAN_MB_POLLING)</t>
  </si>
  <si>
    <t>#define CAN_CFG_MBOXSET_5_MB069             (CAN_MB_RECEPTION|CAN_MB_POLLING)</t>
  </si>
  <si>
    <t>#define CAN_CFG_MBOXSET_5_MB070             (CAN_MB_RECEPTION|CAN_MB_POLLING)</t>
  </si>
  <si>
    <t>#define CAN_CFG_MBOXSET_5_MB071             (CAN_MB_RECEPTION|CAN_MB_POLLING)</t>
  </si>
  <si>
    <t>#define CAN_CFG_MBOXSET_5_MB072             (CAN_MB_RECEPTION|CAN_MB_POLLING)</t>
  </si>
  <si>
    <t>#define CAN_CFG_MBOXSET_5_MB073             (CAN_MB_RECEPTION|CAN_MB_POLLING)</t>
  </si>
  <si>
    <t>#define CAN_CFG_MBOXSET_5_MB074             (CAN_MB_RECEPTION|CAN_MB_POLLING)</t>
  </si>
  <si>
    <t>#define CAN_CFG_MBOXSET_5_MB075             (CAN_MB_RECEPTION|CAN_MB_POLLING)</t>
  </si>
  <si>
    <t>#define CAN_CFG_MBOXSET_5_MB076             (CAN_MB_RECEPTION|CAN_MB_POLLING)</t>
  </si>
  <si>
    <t>#define CAN_CFG_MBOXSET_5_MB077             (CAN_MB_RECEPTION|CAN_MB_POLLING)</t>
  </si>
  <si>
    <t>#define CAN_CFG_MBOXSET_5_MB078             (CAN_MB_RECEPTION|CAN_MB_POLLING)</t>
  </si>
  <si>
    <t>#define CAN_CFG_MBOXSET_5_MB079             (CAN_MB_RECEPTION|CAN_MB_POLLING)</t>
  </si>
  <si>
    <t>#define CAN_CFG_MBOXSET_5_MB080             (CAN_MB_RECEPTION|CAN_MB_POLLING)</t>
  </si>
  <si>
    <t>#define CAN_CFG_MBOXSET_5_MB081             (CAN_MB_RECEPTION|CAN_MB_POLLING)</t>
  </si>
  <si>
    <t>#define CAN_CFG_MBOXSET_5_MB082             (CAN_MB_RECEPTION|CAN_MB_POLLING)</t>
  </si>
  <si>
    <t>#define CAN_CFG_MBOXSET_5_MB083             (CAN_MB_RECEPTION|CAN_MB_POLLING)</t>
  </si>
  <si>
    <t>#define CAN_CFG_MBOXSET_5_MB084             (CAN_MB_RECEPTION|CAN_MB_POLLING)</t>
  </si>
  <si>
    <t>#define CAN_CFG_MBOXSET_5_MB085             (CAN_MB_RECEPTION|CAN_MB_POLLING)</t>
  </si>
  <si>
    <t>#define CAN_CFG_MBOXSET_5_MB086             (CAN_MB_RECEPTION|CAN_MB_POLLING)</t>
  </si>
  <si>
    <t>#define CAN_CFG_MBOXSET_5_MB087             (CAN_MB_RECEPTION|CAN_MB_POLLING)</t>
  </si>
  <si>
    <t>#define CAN_CFG_MBOXSET_5_MB088             (CAN_MB_RECEPTION|CAN_MB_POLLING)</t>
  </si>
  <si>
    <t>#define CAN_CFG_MBOXSET_5_MB089             (CAN_MB_RECEPTION|CAN_MB_POLLING)</t>
  </si>
  <si>
    <t>#define CAN_CFG_MBOXSET_5_MB090             (CAN_MB_RECEPTION|CAN_MB_POLLING)</t>
  </si>
  <si>
    <t>#define CAN_CFG_MBOXSET_5_MB091             (CAN_MB_RECEPTION|CAN_MB_POLLING)</t>
  </si>
  <si>
    <t>#define CAN_CFG_MBOXSET_5_MB092             (CAN_MB_RECEPTION|CAN_MB_POLLING)</t>
  </si>
  <si>
    <t>#define CAN_CFG_MBOXSET_5_MB093             (CAN_MB_RECEPTION|CAN_MB_POLLING)</t>
  </si>
  <si>
    <t>#define CAN_CFG_MBOXSET_5_MB094             (CAN_MB_RECEPTION|CAN_MB_POLLING)</t>
  </si>
  <si>
    <t>#define CAN_CFG_MBOXSET_5_MB095             (CAN_MB_RECEPTION|CAN_MB_POLLING)</t>
  </si>
  <si>
    <t>#define CAN_CFG_MBOXSET_5_MB096             (CAN_MB_RECEPTION|CAN_MB_POLLING)</t>
  </si>
  <si>
    <t>#define CAN_CFG_MBOXSET_5_MB097             (CAN_MB_RECEPTION|CAN_MB_POLLING)</t>
  </si>
  <si>
    <t>#define CAN_CFG_MBOXSET_5_MB098             (CAN_MB_RECEPTION|CAN_MB_POLLING)</t>
  </si>
  <si>
    <t>#define CAN_CFG_MBOXSET_5_MB099             (CAN_MB_RECEPTION|CAN_MB_POLLING)</t>
  </si>
  <si>
    <t>#define CAN_CFG_MBOXSET_5_MB100             (CAN_MB_RECEPTION|CAN_MB_POLLING)</t>
  </si>
  <si>
    <t>#define CAN_CFG_MBOXSET_5_MB101             (CAN_MB_RECEPTION|CAN_MB_POLLING)</t>
  </si>
  <si>
    <t>#define CAN_CFG_MBOXSET_5_MB102             (CAN_MB_RECEPTION|CAN_MB_POLLING)</t>
  </si>
  <si>
    <t>#define CAN_CFG_MBOXSET_5_MB103             (CAN_MB_RECEPTION|CAN_MB_POLLING)</t>
  </si>
  <si>
    <t>#define CAN_CFG_MBOXSET_5_MB104             (CAN_MB_RECEPTION|CAN_MB_POLLING)</t>
  </si>
  <si>
    <t>#define CAN_CFG_MBOXSET_5_MB105             (CAN_MB_RECEPTION|CAN_MB_POLLING)</t>
  </si>
  <si>
    <t>#define CAN_CFG_MBOXSET_5_MB106             (CAN_MB_RECEPTION|CAN_MB_POLLING)</t>
  </si>
  <si>
    <t>#define CAN_CFG_MBOXSET_5_MB107             (CAN_MB_RECEPTION|CAN_MB_POLLING)</t>
  </si>
  <si>
    <t>#define CAN_CFG_MBOXSET_5_MB108             (CAN_MB_RECEPTION|CAN_MB_POLLING)</t>
  </si>
  <si>
    <t>#define CAN_CFG_MBOXSET_5_MB109             (CAN_MB_RECEPTION|CAN_MB_POLLING)</t>
  </si>
  <si>
    <t>#define CAN_CFG_MBOXSET_5_MB110             (CAN_MB_RECEPTION|CAN_MB_POLLING)</t>
  </si>
  <si>
    <t>#define CAN_CFG_MBOXSET_5_MB111             (CAN_MB_RECEPTION|CAN_MB_POLLING)</t>
  </si>
  <si>
    <t>#define CAN_CFG_MBOXSET_5_MB112             (CAN_MB_RECEPTION|CAN_MB_POLLING)</t>
  </si>
  <si>
    <t>#define CAN_CFG_MBOXSET_5_MB113             (CAN_MB_RECEPTION|CAN_MB_POLLING)</t>
  </si>
  <si>
    <t>#define CAN_CFG_MBOXSET_5_MB114             (CAN_MB_RECEPTION|CAN_MB_POLLING)</t>
  </si>
  <si>
    <t>#define CAN_CFG_MBOXSET_5_MB115             (CAN_MB_RECEPTION|CAN_MB_POLLING)</t>
  </si>
  <si>
    <t>#define CAN_CFG_MBOXSET_5_MB116             (CAN_MB_RECEPTION|CAN_MB_POLLING)</t>
  </si>
  <si>
    <t>#define CAN_CFG_MBOXSET_5_MB117             (CAN_MB_RECEPTION|CAN_MB_POLLING)</t>
  </si>
  <si>
    <t>#define CAN_CFG_MBOXSET_5_MB118             (CAN_MB_RECEPTION|CAN_MB_POLLING)</t>
  </si>
  <si>
    <t>#define CAN_CFG_MBOXSET_5_MB119             (CAN_MB_RECEPTION|CAN_MB_POLLING)</t>
  </si>
  <si>
    <t>#define CAN_CFG_MBOXSET_5_MB120             (CAN_MB_RECEPTION|CAN_MB_POLLING)</t>
  </si>
  <si>
    <t>#define CAN_CFG_MBOXSET_5_MB121             (CAN_MB_RECEPTION|CAN_MB_POLLING)</t>
  </si>
  <si>
    <t>#define CAN_CFG_MBOXSET_5_MB122             (CAN_MB_RECEPTION|CAN_MB_POLLING)</t>
  </si>
  <si>
    <t>#define CAN_CFG_MBOXSET_5_MB123             (CAN_MB_RECEPTION|CAN_MB_POLLING)</t>
  </si>
  <si>
    <t>#define CAN_CFG_MBOXSET_5_MB124             (CAN_MB_RECEPTION|CAN_MB_POLLING)</t>
  </si>
  <si>
    <t>#define CAN_CFG_MBOXSET_5_MB125             (CAN_MB_RECEPTION|CAN_MB_POLLING)</t>
  </si>
  <si>
    <t>#define CAN_CFG_MBOXSET_5_MB126             (CAN_MB_RECEPTION|CAN_MB_POLLING)</t>
  </si>
  <si>
    <t>#define CAN_CFG_MBOXSET_5_MB127             (CAN_MB_RECEPTION|CAN_MB_POLLING)</t>
  </si>
  <si>
    <t>#define CAN_CFG_MBOXSET_5_MB128             (CAN_MB_RECEPTION|CAN_MB_POLLING)</t>
  </si>
  <si>
    <t>#define CAN_CFG_MBOXSET_5_MB129             (CAN_MB_RECEPTION|CAN_MB_POLLING)</t>
  </si>
  <si>
    <t>#define CAN_CFG_MBOXSET_5_MB130             (CAN_MB_RECEPTION|CAN_MB_POLLING)</t>
  </si>
  <si>
    <t>#define CAN_CFG_MBOXSET_5_MB131             (CAN_MB_RECEPTION|CAN_MB_POLLING)</t>
  </si>
  <si>
    <t>#define CAN_CFG_MBOXSET_5_MB132             (CAN_MB_RECEPTION|CAN_MB_POLLING)</t>
  </si>
  <si>
    <t>#define CAN_CFG_MBOXSET_5_MB133             (CAN_MB_RECEPTION|CAN_MB_POLLING)</t>
  </si>
  <si>
    <t>#define CAN_CFG_MBOXSET_5_MB134             (CAN_MB_RECEPTION|CAN_MB_POLLING)</t>
  </si>
  <si>
    <t>#define CAN_CFG_MBOXSET_5_MB135             (CAN_MB_RECEPTION|CAN_MB_POLLING)</t>
  </si>
  <si>
    <t>#define CAN_CFG_MBOXSET_5_MB136             (CAN_MB_RECEPTION|CAN_MB_POLLING)</t>
  </si>
  <si>
    <t>#define CAN_CFG_MBOXSET_5_MB137             (CAN_MB_RECEPTION|CAN_MB_POLLING)</t>
  </si>
  <si>
    <t>#define CAN_CFG_MBOXSET_5_MB138             (CAN_MB_RECEPTION|CAN_MB_POLLING)</t>
  </si>
  <si>
    <t>#define CAN_CFG_MBOXSET_5_MB139             (CAN_MB_RECEPTION|CAN_MB_POLLING)</t>
  </si>
  <si>
    <t>#define CAN_CFG_MBOXSET_5_MB140             (CAN_MB_RECEPTION|CAN_MB_POLLING)</t>
  </si>
  <si>
    <t>#define CAN_CFG_MBOXSET_5_MB141             (CAN_MB_RECEPTION|CAN_MB_POLLING)</t>
  </si>
  <si>
    <t>#define CAN_CFG_MBOXSET_5_MB142             (CAN_MB_RECEPTION|CAN_MB_POLLING)</t>
  </si>
  <si>
    <t>#define CAN_CFG_MBOXSET_5_MB143             (CAN_MB_RECEPTION|CAN_MB_POLLING)</t>
  </si>
  <si>
    <t>#define CAN_CFG_MBOXSET_5_MB144             (CAN_MB_RECEPTION|CAN_MB_POLLING)</t>
  </si>
  <si>
    <t>#define CAN_CFG_MBOXSET_5_MB145             (CAN_MB_RECEPTION|CAN_MB_POLLING)</t>
  </si>
  <si>
    <t>#define CAN_CFG_MBOXSET_5_MB146             (CAN_MB_RECEPTION|CAN_MB_POLLING)</t>
  </si>
  <si>
    <t>#define CAN_CFG_MBOXSET_5_MB147             (CAN_MB_RECEPTION|CAN_MB_POLLING)</t>
  </si>
  <si>
    <t>#define CAN_CFG_MBOXSET_5_MB149             (CAN_MB_RECEPTION|CAN_MB_INTERRUPT)</t>
  </si>
  <si>
    <t>#define CAN_CFG_MBOXSET_5_MB153             (CAN_MB_NOUSE)</t>
  </si>
  <si>
    <t>#define CAN_CFG_MBOXSET_5_MB154             (CAN_MB_NOUSE)</t>
  </si>
  <si>
    <t>#define CAN_CFG_MBOXSET_5_MB155             (CAN_MB_NOUSE)</t>
  </si>
  <si>
    <t>#define CAN_CFG_MBOXSET_5_MB156             (CAN_MB_NOUSE)</t>
  </si>
  <si>
    <t>#define CAN_CFG_MBOXSET_5_MB157             (CAN_MB_NOUSE)</t>
  </si>
  <si>
    <t>#define CAN_CFG_MBOXSET_5_MB158             (CAN_MB_NOUSE)</t>
  </si>
  <si>
    <t>#define CAN_CFG_MBOXSET_5_MB159             (CAN_MB_NOUSE)</t>
  </si>
  <si>
    <t>#define CAN_CFG_MBOXSET_5_MB160             (CAN_MB_NOUSE)</t>
  </si>
  <si>
    <t>#define CAN_CFG_MBOXSET_5_MB161             (CAN_MB_NOUSE)</t>
  </si>
  <si>
    <t>#define CAN_CFG_MBOXSET_5_MB162             (CAN_MB_NOUSE)</t>
  </si>
  <si>
    <t>#define CAN_CFG_MBOXSET_5_MB163             (CAN_MB_NOUSE)</t>
  </si>
  <si>
    <t>#define CAN_CFG_MBOXSET_5_MB164             (CAN_MB_NOUSE)</t>
  </si>
  <si>
    <t>#define CAN_CFG_MBOXSET_5_MB165             (CAN_MB_NOUSE)</t>
  </si>
  <si>
    <t>#define CAN_CFG_MBOXSET_5_MB166             (CAN_MB_NOUSE)</t>
  </si>
  <si>
    <t>#define CAN_CFG_MBOXSET_5_MB167             (CAN_MB_NOUSE)</t>
  </si>
  <si>
    <t>#define CAN_CFG_MBOXSET_5_MB168             (CAN_MB_NOUSE)</t>
  </si>
  <si>
    <t>#define CAN_CFG_MBOXSET_5_MB169             (CAN_MB_NOUSE)</t>
  </si>
  <si>
    <t>#define CAN_CFG_MBOXSET_5_MB170             (CAN_MB_NOUSE)</t>
  </si>
  <si>
    <t>#define CAN_CFG_MBOXSET_5_MB171             (CAN_MB_NOUSE)</t>
  </si>
  <si>
    <t>#define CAN_CFG_MBOXSET_5_MB172             (CAN_MB_NOUSE)</t>
  </si>
  <si>
    <t>#define CAN_CFG_MBOXSET_5_MB173             (CAN_MB_NOUSE)</t>
  </si>
  <si>
    <t>#define CAN_CFG_MBOXSET_5_MB174             (CAN_MB_NOUSE)</t>
  </si>
  <si>
    <t>#define CAN_CFG_MBOXSET_5_MB175             (CAN_MB_NOUSE)</t>
  </si>
  <si>
    <t>#define CAN_CFG_MBOXSET_5_MB176             (CAN_MB_NOUSE)</t>
  </si>
  <si>
    <t>#define CAN_CFG_MBOXSET_5_MB177             (CAN_MB_NOUSE)</t>
  </si>
  <si>
    <t>#define CAN_CFG_MBOXSET_5_MB178             (CAN_MB_NOUSE)</t>
  </si>
  <si>
    <t>#define CAN_CFG_MBOXSET_5_MB179             (CAN_MB_NOUSE)</t>
  </si>
  <si>
    <t>#define CAN_CFG_MBOXSET_5_MB180             (CAN_MB_NOUSE)</t>
  </si>
  <si>
    <t>#define CAN_CFG_MBOXSET_5_MB181             (CAN_MB_NOUSE)</t>
  </si>
  <si>
    <t>#define CAN_CFG_MBOXSET_5_MB182             (CAN_MB_NOUSE)</t>
  </si>
  <si>
    <t>#define CAN_CFG_MBOXSET_5_MB183             (CAN_MB_NOUSE)</t>
  </si>
  <si>
    <t>#define CAN_CFG_MBOXSET_5_MB184             (CAN_MB_NOUSE)</t>
  </si>
  <si>
    <t>#define CAN_CFG_MBOXSET_5_MB185             (CAN_MB_NOUSE)</t>
  </si>
  <si>
    <t>#define CAN_CFG_MBOXSET_5_MB186             (CAN_MB_NOUSE)</t>
  </si>
  <si>
    <t>#define CAN_CFG_MBOXSET_5_MB187             (CAN_MB_NOUSE)</t>
  </si>
  <si>
    <t>#define CAN_CFG_MBOXSET_5_MB188             (CAN_MB_NOUSE)</t>
  </si>
  <si>
    <t>#define CAN_CFG_MBOXSET_5_MB189             (CAN_MB_NOUSE)</t>
  </si>
  <si>
    <t>#define CAN_CFG_MBOXSET_5_MB190             (CAN_MB_NOUSE)</t>
  </si>
  <si>
    <t>#define CAN_CFG_MBOXSET_5_MB191             (CAN_MB_NOUSE)</t>
  </si>
  <si>
    <t>/* CAN Controller 6 MBOX Settings */</t>
  </si>
  <si>
    <t>#define CAN_CFG_MBOXSET_6_MB000             (CAN_MB_NOUSE)</t>
  </si>
  <si>
    <t>#define CAN_CFG_MBOXSET_6_MB001             (CAN_MB_NOUSE)</t>
  </si>
  <si>
    <t>#define CAN_CFG_MBOXSET_6_MB002             (CAN_MB_NOUSE)</t>
  </si>
  <si>
    <t>#define CAN_CFG_MBOXSET_6_MB003             (CAN_MB_NOUSE)</t>
  </si>
  <si>
    <t>#define CAN_CFG_MBOXSET_6_MB004             (CAN_MB_NOUSE)</t>
  </si>
  <si>
    <t>#define CAN_CFG_MBOXSET_6_MB005             (CAN_MB_NOUSE)</t>
  </si>
  <si>
    <t>#define CAN_CFG_MBOXSET_6_MB006             (CAN_MB_NOUSE)</t>
  </si>
  <si>
    <t>#define CAN_CFG_MBOXSET_6_MB007             (CAN_MB_NOUSE)</t>
  </si>
  <si>
    <t>#define CAN_CFG_MBOXSET_6_MB008             (CAN_MB_NOUSE)</t>
  </si>
  <si>
    <t>#define CAN_CFG_MBOXSET_6_MB009             (CAN_MB_NOUSE)</t>
  </si>
  <si>
    <t>#define CAN_CFG_MBOXSET_6_MB010             (CAN_MB_NOUSE)</t>
  </si>
  <si>
    <t>#define CAN_CFG_MBOXSET_6_MB011             (CAN_MB_NOUSE)</t>
  </si>
  <si>
    <t>#define CAN_CFG_MBOXSET_6_MB012             (CAN_MB_NOUSE)</t>
  </si>
  <si>
    <t>#define CAN_CFG_MBOXSET_6_MB013             (CAN_MB_NOUSE)</t>
  </si>
  <si>
    <t>#define CAN_CFG_MBOXSET_6_MB014             (CAN_MB_NOUSE)</t>
  </si>
  <si>
    <t>#define CAN_CFG_MBOXSET_6_MB015             (CAN_MB_NOUSE)</t>
  </si>
  <si>
    <t>#define CAN_CFG_MBOXSET_6_MB016             (CAN_MB_NOUSE)</t>
  </si>
  <si>
    <t>#define CAN_CFG_MBOXSET_6_MB017             (CAN_MB_NOUSE)</t>
  </si>
  <si>
    <t>#define CAN_CFG_MBOXSET_6_MB018             (CAN_MB_NOUSE)</t>
  </si>
  <si>
    <t>#define CAN_CFG_MBOXSET_6_MB019             (CAN_MB_NOUSE)</t>
  </si>
  <si>
    <t>#define CAN_CFG_MBOXSET_6_MB020             (CAN_MB_NOUSE)</t>
  </si>
  <si>
    <t>#define CAN_CFG_MBOXSET_6_MB021             (CAN_MB_NOUSE)</t>
  </si>
  <si>
    <t>#define CAN_CFG_MBOXSET_6_MB022             (CAN_MB_NOUSE)</t>
  </si>
  <si>
    <t>#define CAN_CFG_MBOXSET_6_MB023             (CAN_MB_NOUSE)</t>
  </si>
  <si>
    <t>#define CAN_CFG_MBOXSET_6_MB024             (CAN_MB_NOUSE)</t>
  </si>
  <si>
    <t>#define CAN_CFG_MBOXSET_6_MB025             (CAN_MB_NOUSE)</t>
  </si>
  <si>
    <t>#define CAN_CFG_MBOXSET_6_MB026             (CAN_MB_NOUSE)</t>
  </si>
  <si>
    <t>#define CAN_CFG_MBOXSET_6_MB027             (CAN_MB_NOUSE)</t>
  </si>
  <si>
    <t>#define CAN_CFG_MBOXSET_6_MB028             (CAN_MB_NOUSE)</t>
  </si>
  <si>
    <t>#define CAN_CFG_MBOXSET_6_MB029             (CAN_MB_NOUSE)</t>
  </si>
  <si>
    <t>#define CAN_CFG_MBOXSET_6_MB030             (CAN_MB_NOUSE)</t>
  </si>
  <si>
    <t>#define CAN_CFG_MBOXSET_6_MB031             (CAN_MB_NOUSE)</t>
  </si>
  <si>
    <t>#define CAN_CFG_MBOXSET_6_MB032             (CAN_MB_NOUSE)</t>
  </si>
  <si>
    <t>#define CAN_CFG_MBOXSET_6_MB033             (CAN_MB_NOUSE)</t>
  </si>
  <si>
    <t>#define CAN_CFG_MBOXSET_6_MB034             (CAN_MB_NOUSE)</t>
  </si>
  <si>
    <t>#define CAN_CFG_MBOXSET_6_MB035             (CAN_MB_NOUSE)</t>
  </si>
  <si>
    <t>#define CAN_CFG_MBOXSET_6_MB036             (CAN_MB_NOUSE)</t>
  </si>
  <si>
    <t>#define CAN_CFG_MBOXSET_6_MB037             (CAN_MB_NOUSE)</t>
  </si>
  <si>
    <t>#define CAN_CFG_MBOXSET_6_MB038             (CAN_MB_NOUSE)</t>
  </si>
  <si>
    <t>#define CAN_CFG_MBOXSET_6_MB039             (CAN_MB_NOUSE)</t>
  </si>
  <si>
    <t>#define CAN_CFG_MBOXSET_6_MB040             (CAN_MB_NOUSE)</t>
  </si>
  <si>
    <t>#define CAN_CFG_MBOXSET_6_MB041             (CAN_MB_NOUSE)</t>
  </si>
  <si>
    <t>#define CAN_CFG_MBOXSET_6_MB042             (CAN_MB_NOUSE)</t>
  </si>
  <si>
    <t>#define CAN_CFG_MBOXSET_6_MB043             (CAN_MB_NOUSE)</t>
  </si>
  <si>
    <t>#define CAN_CFG_MBOXSET_6_MB044             (CAN_MB_NOUSE)</t>
  </si>
  <si>
    <t>#define CAN_CFG_MBOXSET_6_MB045             (CAN_MB_NOUSE)</t>
  </si>
  <si>
    <t>#define CAN_CFG_MBOXSET_6_MB046             (CAN_MB_NOUSE)</t>
  </si>
  <si>
    <t>#define CAN_CFG_MBOXSET_6_MB047             (CAN_MB_NOUSE)</t>
  </si>
  <si>
    <t>#define CAN_CFG_MBOXSET_6_MB048             (CAN_MB_NOUSE)</t>
  </si>
  <si>
    <t>#define CAN_CFG_MBOXSET_6_MB049             (CAN_MB_NOUSE)</t>
  </si>
  <si>
    <t>#define CAN_CFG_MBOXSET_6_MB050             (CAN_MB_NOUSE)</t>
  </si>
  <si>
    <t>#define CAN_CFG_MBOXSET_6_MB051             (CAN_MB_NOUSE)</t>
  </si>
  <si>
    <t>#define CAN_CFG_MBOXSET_6_MB052             (CAN_MB_NOUSE)</t>
  </si>
  <si>
    <t>#define CAN_CFG_MBOXSET_6_MB053             (CAN_MB_NOUSE)</t>
  </si>
  <si>
    <t>#define CAN_CFG_MBOXSET_6_MB054             (CAN_MB_NOUSE)</t>
  </si>
  <si>
    <t>#define CAN_CFG_MBOXSET_6_MB055             (CAN_MB_NOUSE)</t>
  </si>
  <si>
    <t>#define CAN_CFG_MBOXSET_6_MB056             (CAN_MB_NOUSE)</t>
  </si>
  <si>
    <t>#define CAN_CFG_MBOXSET_6_MB057             (CAN_MB_NOUSE)</t>
  </si>
  <si>
    <t>#define CAN_CFG_MBOXSET_6_MB058             (CAN_MB_NOUSE)</t>
  </si>
  <si>
    <t>#define CAN_CFG_MBOXSET_6_MB059             (CAN_MB_NOUSE)</t>
  </si>
  <si>
    <t>#define CAN_CFG_MBOXSET_6_MB060             (CAN_MB_NOUSE)</t>
  </si>
  <si>
    <t>#define CAN_CFG_MBOXSET_6_MB061             (CAN_MB_NOUSE)</t>
  </si>
  <si>
    <t>#define CAN_CFG_MBOXSET_6_MB062             (CAN_MB_NOUSE)</t>
  </si>
  <si>
    <t>#define CAN_CFG_MBOXSET_6_MB063             (CAN_MB_NOUSE)</t>
  </si>
  <si>
    <t>#define CAN_CFG_MBOXSET_6_MB064             (CAN_MB_NOUSE)</t>
  </si>
  <si>
    <t>#define CAN_CFG_MBOXSET_6_MB065             (CAN_MB_NOUSE)</t>
  </si>
  <si>
    <t>#define CAN_CFG_MBOXSET_6_MB066             (CAN_MB_NOUSE)</t>
  </si>
  <si>
    <t>#define CAN_CFG_MBOXSET_6_MB067             (CAN_MB_NOUSE)</t>
  </si>
  <si>
    <t>#define CAN_CFG_MBOXSET_6_MB068             (CAN_MB_NOUSE)</t>
  </si>
  <si>
    <t>#define CAN_CFG_MBOXSET_6_MB069             (CAN_MB_NOUSE)</t>
  </si>
  <si>
    <t>#define CAN_CFG_MBOXSET_6_MB070             (CAN_MB_NOUSE)</t>
  </si>
  <si>
    <t>#define CAN_CFG_MBOXSET_6_MB071             (CAN_MB_NOUSE)</t>
  </si>
  <si>
    <t>#define CAN_CFG_MBOXSET_6_MB072             (CAN_MB_NOUSE)</t>
  </si>
  <si>
    <t>#define CAN_CFG_MBOXSET_6_MB073             (CAN_MB_NOUSE)</t>
  </si>
  <si>
    <t>#define CAN_CFG_MBOXSET_6_MB074             (CAN_MB_NOUSE)</t>
  </si>
  <si>
    <t>#define CAN_CFG_MBOXSET_6_MB075             (CAN_MB_NOUSE)</t>
  </si>
  <si>
    <t>#define CAN_CFG_MBOXSET_6_MB076             (CAN_MB_NOUSE)</t>
  </si>
  <si>
    <t>#define CAN_CFG_MBOXSET_6_MB077             (CAN_MB_NOUSE)</t>
  </si>
  <si>
    <t>#define CAN_CFG_MBOXSET_6_MB078             (CAN_MB_NOUSE)</t>
  </si>
  <si>
    <t>#define CAN_CFG_MBOXSET_6_MB079             (CAN_MB_NOUSE)</t>
  </si>
  <si>
    <t>#define CAN_CFG_MBOXSET_6_MB080             (CAN_MB_NOUSE)</t>
  </si>
  <si>
    <t>#define CAN_CFG_MBOXSET_6_MB081             (CAN_MB_NOUSE)</t>
  </si>
  <si>
    <t>#define CAN_CFG_MBOXSET_6_MB082             (CAN_MB_NOUSE)</t>
  </si>
  <si>
    <t>#define CAN_CFG_MBOXSET_6_MB083             (CAN_MB_NOUSE)</t>
  </si>
  <si>
    <t>#define CAN_CFG_MBOXSET_6_MB084             (CAN_MB_NOUSE)</t>
  </si>
  <si>
    <t>#define CAN_CFG_MBOXSET_6_MB085             (CAN_MB_NOUSE)</t>
  </si>
  <si>
    <t>#define CAN_CFG_MBOXSET_6_MB086             (CAN_MB_NOUSE)</t>
  </si>
  <si>
    <t>#define CAN_CFG_MBOXSET_6_MB087             (CAN_MB_NOUSE)</t>
  </si>
  <si>
    <t>#define CAN_CFG_MBOXSET_6_MB088             (CAN_MB_NOUSE)</t>
  </si>
  <si>
    <t>#define CAN_CFG_MBOXSET_6_MB089             (CAN_MB_NOUSE)</t>
  </si>
  <si>
    <t>#define CAN_CFG_MBOXSET_6_MB090             (CAN_MB_NOUSE)</t>
  </si>
  <si>
    <t>#define CAN_CFG_MBOXSET_6_MB091             (CAN_MB_NOUSE)</t>
  </si>
  <si>
    <t>#define CAN_CFG_MBOXSET_6_MB092             (CAN_MB_NOUSE)</t>
  </si>
  <si>
    <t>#define CAN_CFG_MBOXSET_6_MB093             (CAN_MB_NOUSE)</t>
  </si>
  <si>
    <t>#define CAN_CFG_MBOXSET_6_MB094             (CAN_MB_NOUSE)</t>
  </si>
  <si>
    <t>#define CAN_CFG_MBOXSET_6_MB095             (CAN_MB_NOUSE)</t>
  </si>
  <si>
    <t>#define CAN_CFG_MBOXSET_6_MB096             (CAN_MB_NOUSE)</t>
  </si>
  <si>
    <t>#define CAN_CFG_MBOXSET_6_MB097             (CAN_MB_NOUSE)</t>
  </si>
  <si>
    <t>#define CAN_CFG_MBOXSET_6_MB098             (CAN_MB_NOUSE)</t>
  </si>
  <si>
    <t>#define CAN_CFG_MBOXSET_6_MB099             (CAN_MB_NOUSE)</t>
  </si>
  <si>
    <t>#define CAN_CFG_MBOXSET_6_MB100             (CAN_MB_NOUSE)</t>
  </si>
  <si>
    <t>#define CAN_CFG_MBOXSET_6_MB101             (CAN_MB_NOUSE)</t>
  </si>
  <si>
    <t>#define CAN_CFG_MBOXSET_6_MB102             (CAN_MB_NOUSE)</t>
  </si>
  <si>
    <t>#define CAN_CFG_MBOXSET_6_MB103             (CAN_MB_NOUSE)</t>
  </si>
  <si>
    <t>#define CAN_CFG_MBOXSET_6_MB104             (CAN_MB_NOUSE)</t>
  </si>
  <si>
    <t>#define CAN_CFG_MBOXSET_6_MB105             (CAN_MB_NOUSE)</t>
  </si>
  <si>
    <t>#define CAN_CFG_MBOXSET_6_MB106             (CAN_MB_NOUSE)</t>
  </si>
  <si>
    <t>#define CAN_CFG_MBOXSET_6_MB107             (CAN_MB_NOUSE)</t>
  </si>
  <si>
    <t>#define CAN_CFG_MBOXSET_6_MB108             (CAN_MB_NOUSE)</t>
  </si>
  <si>
    <t>#define CAN_CFG_MBOXSET_6_MB109             (CAN_MB_NOUSE)</t>
  </si>
  <si>
    <t>#define CAN_CFG_MBOXSET_6_MB110             (CAN_MB_NOUSE)</t>
  </si>
  <si>
    <t>#define CAN_CFG_MBOXSET_6_MB111             (CAN_MB_NOUSE)</t>
  </si>
  <si>
    <t>#define CAN_CFG_MBOXSET_6_MB112             (CAN_MB_NOUSE)</t>
  </si>
  <si>
    <t>#define CAN_CFG_MBOXSET_6_MB113             (CAN_MB_NOUSE)</t>
  </si>
  <si>
    <t>#define CAN_CFG_MBOXSET_6_MB114             (CAN_MB_NOUSE)</t>
  </si>
  <si>
    <t>#define CAN_CFG_MBOXSET_6_MB115             (CAN_MB_NOUSE)</t>
  </si>
  <si>
    <t>#define CAN_CFG_MBOXSET_6_MB116             (CAN_MB_NOUSE)</t>
  </si>
  <si>
    <t>#define CAN_CFG_MBOXSET_6_MB117             (CAN_MB_NOUSE)</t>
  </si>
  <si>
    <t>#define CAN_CFG_MBOXSET_6_MB118             (CAN_MB_NOUSE)</t>
  </si>
  <si>
    <t>#define CAN_CFG_MBOXSET_6_MB119             (CAN_MB_NOUSE)</t>
  </si>
  <si>
    <t>#define CAN_CFG_MBOXSET_6_MB120             (CAN_MB_NOUSE)</t>
  </si>
  <si>
    <t>#define CAN_CFG_MBOXSET_6_MB121             (CAN_MB_NOUSE)</t>
  </si>
  <si>
    <t>#define CAN_CFG_MBOXSET_6_MB122             (CAN_MB_NOUSE)</t>
  </si>
  <si>
    <t>#define CAN_CFG_MBOXSET_6_MB123             (CAN_MB_NOUSE)</t>
  </si>
  <si>
    <t>#define CAN_CFG_MBOXSET_6_MB124             (CAN_MB_NOUSE)</t>
  </si>
  <si>
    <t>#define CAN_CFG_MBOXSET_6_MB125             (CAN_MB_NOUSE)</t>
  </si>
  <si>
    <t>#define CAN_CFG_MBOXSET_6_MB126             (CAN_MB_NOUSE)</t>
  </si>
  <si>
    <t>#define CAN_CFG_MBOXSET_6_MB127             (CAN_MB_NOUSE)</t>
  </si>
  <si>
    <t>#define CAN_CFG_MBOXSET_6_MB128             (CAN_MB_NOUSE)</t>
  </si>
  <si>
    <t>#define CAN_CFG_MBOXSET_6_MB129             (CAN_MB_NOUSE)</t>
  </si>
  <si>
    <t>#define CAN_CFG_MBOXSET_6_MB130             (CAN_MB_NOUSE)</t>
  </si>
  <si>
    <t>#define CAN_CFG_MBOXSET_6_MB131             (CAN_MB_NOUSE)</t>
  </si>
  <si>
    <t>#define CAN_CFG_MBOXSET_6_MB132             (CAN_MB_NOUSE)</t>
  </si>
  <si>
    <t>#define CAN_CFG_MBOXSET_6_MB133             (CAN_MB_NOUSE)</t>
  </si>
  <si>
    <t>#define CAN_CFG_MBOXSET_6_MB134             (CAN_MB_NOUSE)</t>
  </si>
  <si>
    <t>#define CAN_CFG_MBOXSET_6_MB135             (CAN_MB_NOUSE)</t>
  </si>
  <si>
    <t>#define CAN_CFG_MBOXSET_6_MB136             (CAN_MB_NOUSE)</t>
  </si>
  <si>
    <t>#define CAN_CFG_MBOXSET_6_MB137             (CAN_MB_NOUSE)</t>
  </si>
  <si>
    <t>#define CAN_CFG_MBOXSET_6_MB138             (CAN_MB_NOUSE)</t>
  </si>
  <si>
    <t>#define CAN_CFG_MBOXSET_6_MB139             (CAN_MB_NOUSE)</t>
  </si>
  <si>
    <t>#define CAN_CFG_MBOXSET_6_MB140             (CAN_MB_NOUSE)</t>
  </si>
  <si>
    <t>#define CAN_CFG_MBOXSET_6_MB141             (CAN_MB_NOUSE)</t>
  </si>
  <si>
    <t>#define CAN_CFG_MBOXSET_6_MB142             (CAN_MB_NOUSE)</t>
  </si>
  <si>
    <t>#define CAN_CFG_MBOXSET_6_MB143             (CAN_MB_NOUSE)</t>
  </si>
  <si>
    <t>#define CAN_CFG_MBOXSET_6_MB144             (CAN_MB_NOUSE)</t>
  </si>
  <si>
    <t>#define CAN_CFG_MBOXSET_6_MB145             (CAN_MB_NOUSE)</t>
  </si>
  <si>
    <t>#define CAN_CFG_MBOXSET_6_MB146             (CAN_MB_NOUSE)</t>
  </si>
  <si>
    <t>#define CAN_CFG_MBOXSET_6_MB147             (CAN_MB_NOUSE)</t>
  </si>
  <si>
    <t>#define CAN_CFG_MBOXSET_6_MB148             (CAN_MB_NOUSE)</t>
  </si>
  <si>
    <t>#define CAN_CFG_MBOXSET_6_MB149             (CAN_MB_NOUSE)</t>
  </si>
  <si>
    <t>#define CAN_CFG_MBOXSET_6_MB150             (CAN_MB_NOUSE)</t>
  </si>
  <si>
    <t>#define CAN_CFG_MBOXSET_6_MB151             (CAN_MB_NOUSE)</t>
  </si>
  <si>
    <t>#define CAN_CFG_MBOXSET_6_MB152             (CAN_MB_NOUSE)</t>
  </si>
  <si>
    <t>#define CAN_CFG_MBOXSET_6_MB153             (CAN_MB_NOUSE)</t>
  </si>
  <si>
    <t>#define CAN_CFG_MBOXSET_6_MB154             (CAN_MB_NOUSE)</t>
  </si>
  <si>
    <t>#define CAN_CFG_MBOXSET_6_MB155             (CAN_MB_NOUSE)</t>
  </si>
  <si>
    <t>#define CAN_CFG_MBOXSET_6_MB156             (CAN_MB_NOUSE)</t>
  </si>
  <si>
    <t>#define CAN_CFG_MBOXSET_6_MB157             (CAN_MB_NOUSE)</t>
  </si>
  <si>
    <t>#define CAN_CFG_MBOXSET_6_MB158             (CAN_MB_NOUSE)</t>
  </si>
  <si>
    <t>#define CAN_CFG_MBOXSET_6_MB159             (CAN_MB_NOUSE)</t>
  </si>
  <si>
    <t>#define CAN_CFG_MBOXSET_6_MB160             (CAN_MB_NOUSE)</t>
  </si>
  <si>
    <t>#define CAN_CFG_MBOXSET_6_MB161             (CAN_MB_NOUSE)</t>
  </si>
  <si>
    <t>#define CAN_CFG_MBOXSET_6_MB162             (CAN_MB_NOUSE)</t>
  </si>
  <si>
    <t>#define CAN_CFG_MBOXSET_6_MB163             (CAN_MB_NOUSE)</t>
  </si>
  <si>
    <t>#define CAN_CFG_MBOXSET_6_MB164             (CAN_MB_NOUSE)</t>
  </si>
  <si>
    <t>#define CAN_CFG_MBOXSET_6_MB165             (CAN_MB_NOUSE)</t>
  </si>
  <si>
    <t>#define CAN_CFG_MBOXSET_6_MB166             (CAN_MB_NOUSE)</t>
  </si>
  <si>
    <t>#define CAN_CFG_MBOXSET_6_MB167             (CAN_MB_NOUSE)</t>
  </si>
  <si>
    <t>#define CAN_CFG_MBOXSET_6_MB168             (CAN_MB_NOUSE)</t>
  </si>
  <si>
    <t>#define CAN_CFG_MBOXSET_6_MB169             (CAN_MB_NOUSE)</t>
  </si>
  <si>
    <t>#define CAN_CFG_MBOXSET_6_MB170             (CAN_MB_NOUSE)</t>
  </si>
  <si>
    <t>#define CAN_CFG_MBOXSET_6_MB171             (CAN_MB_NOUSE)</t>
  </si>
  <si>
    <t>#define CAN_CFG_MBOXSET_6_MB172             (CAN_MB_NOUSE)</t>
  </si>
  <si>
    <t>#define CAN_CFG_MBOXSET_6_MB173             (CAN_MB_NOUSE)</t>
  </si>
  <si>
    <t>#define CAN_CFG_MBOXSET_6_MB174             (CAN_MB_NOUSE)</t>
  </si>
  <si>
    <t>#define CAN_CFG_MBOXSET_6_MB175             (CAN_MB_NOUSE)</t>
  </si>
  <si>
    <t>#define CAN_CFG_MBOXSET_6_MB176             (CAN_MB_NOUSE)</t>
  </si>
  <si>
    <t>#define CAN_CFG_MBOXSET_6_MB177             (CAN_MB_NOUSE)</t>
  </si>
  <si>
    <t>#define CAN_CFG_MBOXSET_6_MB178             (CAN_MB_NOUSE)</t>
  </si>
  <si>
    <t>#define CAN_CFG_MBOXSET_6_MB179             (CAN_MB_NOUSE)</t>
  </si>
  <si>
    <t>#define CAN_CFG_MBOXSET_6_MB180             (CAN_MB_NOUSE)</t>
  </si>
  <si>
    <t>#define CAN_CFG_MBOXSET_6_MB181             (CAN_MB_NOUSE)</t>
  </si>
  <si>
    <t>#define CAN_CFG_MBOXSET_6_MB182             (CAN_MB_NOUSE)</t>
  </si>
  <si>
    <t>#define CAN_CFG_MBOXSET_6_MB183             (CAN_MB_NOUSE)</t>
  </si>
  <si>
    <t>#define CAN_CFG_MBOXSET_6_MB184             (CAN_MB_NOUSE)</t>
  </si>
  <si>
    <t>#define CAN_CFG_MBOXSET_6_MB185             (CAN_MB_NOUSE)</t>
  </si>
  <si>
    <t>#define CAN_CFG_MBOXSET_6_MB186             (CAN_MB_NOUSE)</t>
  </si>
  <si>
    <t>#define CAN_CFG_MBOXSET_6_MB187             (CAN_MB_NOUSE)</t>
  </si>
  <si>
    <t>#define CAN_CFG_MBOXSET_6_MB188             (CAN_MB_NOUSE)</t>
  </si>
  <si>
    <t>#define CAN_CFG_MBOXSET_6_MB189             (CAN_MB_NOUSE)</t>
  </si>
  <si>
    <t>#define CAN_CFG_MBOXSET_6_MB190             (CAN_MB_NOUSE)</t>
  </si>
  <si>
    <t>#define CAN_CFG_MBOXSET_6_MB191             (CAN_MB_NOUSE)</t>
  </si>
  <si>
    <t>/* CAN Controller 7 MBOX Settings */</t>
  </si>
  <si>
    <t>#define CAN_CFG_MBOXSET_7_MB000             (CAN_MB_UTRANSMIT|CAN_MB_INTERRUPT)</t>
  </si>
  <si>
    <t>#define CAN_CFG_MBOXSET_7_MB001             (CAN_MB_UTRANSMIT|CAN_MB_INTERRUPT)</t>
  </si>
  <si>
    <t>#define CAN_CFG_MBOXSET_7_MB002             (CAN_MB_UTRANSMIT|CAN_MB_INTERRUPT)</t>
  </si>
  <si>
    <t>#define CAN_CFG_MBOXSET_7_MB003             (CAN_MB_UTRANSMIT|CAN_MB_INTERRUPT)</t>
  </si>
  <si>
    <t>#define CAN_CFG_MBOXSET_7_MB004             (CAN_MB_RECEPTION|CAN_MB_POLLING)</t>
  </si>
  <si>
    <t>#define CAN_CFG_MBOXSET_7_MB005             (CAN_MB_RECEPTION|CAN_MB_POLLING)</t>
  </si>
  <si>
    <t>#define CAN_CFG_MBOXSET_7_MB006             (CAN_MB_RECEPTION|CAN_MB_POLLING)</t>
  </si>
  <si>
    <t>#define CAN_CFG_MBOXSET_7_MB007             (CAN_MB_RECEPTION|CAN_MB_POLLING)</t>
  </si>
  <si>
    <t>#define CAN_CFG_MBOXSET_7_MB008             (CAN_MB_RECEPTION|CAN_MB_POLLING)</t>
  </si>
  <si>
    <t>#define CAN_CFG_MBOXSET_7_MB009             (CAN_MB_RECEPTION|CAN_MB_POLLING)</t>
  </si>
  <si>
    <t>#define CAN_CFG_MBOXSET_7_MB010             (CAN_MB_RECEPTION|CAN_MB_POLLING)</t>
  </si>
  <si>
    <t>#define CAN_CFG_MBOXSET_7_MB011             (CAN_MB_RECEPTION|CAN_MB_POLLING)</t>
  </si>
  <si>
    <t>#define CAN_CFG_MBOXSET_7_MB012             (CAN_MB_RECEPTION|CAN_MB_POLLING)</t>
  </si>
  <si>
    <t>#define CAN_CFG_MBOXSET_7_MB013             (CAN_MB_RECEPTION|CAN_MB_POLLING)</t>
  </si>
  <si>
    <t>#define CAN_CFG_MBOXSET_7_MB014             (CAN_MB_RECEPTION|CAN_MB_POLLING)</t>
  </si>
  <si>
    <t>#define CAN_CFG_MBOXSET_7_MB015             (CAN_MB_RECEPTION|CAN_MB_POLLING)</t>
  </si>
  <si>
    <t>#define CAN_CFG_MBOXSET_7_MB016             (CAN_MB_RECEPTION|CAN_MB_POLLING)</t>
  </si>
  <si>
    <t>#define CAN_CFG_MBOXSET_7_MB017             (CAN_MB_RECEPTION|CAN_MB_POLLING)</t>
  </si>
  <si>
    <t>#define CAN_CFG_MBOXSET_7_MB018             (CAN_MB_RECEPTION|CAN_MB_POLLING)</t>
  </si>
  <si>
    <t>#define CAN_CFG_MBOXSET_7_MB019             (CAN_MB_RECEPTION|CAN_MB_POLLING)</t>
  </si>
  <si>
    <t>#define CAN_CFG_MBOXSET_7_MB020             (CAN_MB_RECEPTION|CAN_MB_POLLING)</t>
  </si>
  <si>
    <t>#define CAN_CFG_MBOXSET_7_MB021             (CAN_MB_RECEPTION|CAN_MB_POLLING)</t>
  </si>
  <si>
    <t>#define CAN_CFG_MBOXSET_7_MB022             (CAN_MB_RECEPTION|CAN_MB_POLLING)</t>
  </si>
  <si>
    <t>#define CAN_CFG_MBOXSET_7_MB023             (CAN_MB_RECEPTION|CAN_MB_POLLING)</t>
  </si>
  <si>
    <t>#define CAN_CFG_MBOXSET_7_MB024             (CAN_MB_RECEPTION|CAN_MB_POLLING)</t>
  </si>
  <si>
    <t>#define CAN_CFG_MBOXSET_7_MB025             (CAN_MB_RECEPTION|CAN_MB_POLLING)</t>
  </si>
  <si>
    <t>#define CAN_CFG_MBOXSET_7_MB026             (CAN_MB_RECEPTION|CAN_MB_POLLING)</t>
  </si>
  <si>
    <t>#define CAN_CFG_MBOXSET_7_MB027             (CAN_MB_RECEPTION|CAN_MB_POLLING)</t>
  </si>
  <si>
    <t>#define CAN_CFG_MBOXSET_7_MB028             (CAN_MB_RECEPTION|CAN_MB_POLLING)</t>
  </si>
  <si>
    <t>#define CAN_CFG_MBOXSET_7_MB029             (CAN_MB_RECEPTION|CAN_MB_POLLING)</t>
  </si>
  <si>
    <t>#define CAN_CFG_MBOXSET_7_MB030             (CAN_MB_RECEPTION|CAN_MB_POLLING)</t>
  </si>
  <si>
    <t>#define CAN_CFG_MBOXSET_7_MB031             (CAN_MB_RECEPTION|CAN_MB_POLLING)</t>
  </si>
  <si>
    <t>#define CAN_CFG_MBOXSET_7_MB032             (CAN_MB_RECEPTION|CAN_MB_POLLING)</t>
  </si>
  <si>
    <t>#define CAN_CFG_MBOXSET_7_MB033             (CAN_MB_RECEPTION|CAN_MB_POLLING)</t>
  </si>
  <si>
    <t>#define CAN_CFG_MBOXSET_7_MB034             (CAN_MB_RECEPTION|CAN_MB_POLLING)</t>
  </si>
  <si>
    <t>#define CAN_CFG_MBOXSET_7_MB035             (CAN_MB_RECEPTION|CAN_MB_POLLING)</t>
  </si>
  <si>
    <t>#define CAN_CFG_MBOXSET_7_MB036             (CAN_MB_RECEPTION|CAN_MB_POLLING)</t>
  </si>
  <si>
    <t>#define CAN_CFG_MBOXSET_7_MB037             (CAN_MB_RECEPTION|CAN_MB_POLLING)</t>
  </si>
  <si>
    <t>#define CAN_CFG_MBOXSET_7_MB038             (CAN_MB_RECEPTION|CAN_MB_POLLING)</t>
  </si>
  <si>
    <t>#define CAN_CFG_MBOXSET_7_MB039             (CAN_MB_RECEPTION|CAN_MB_POLLING)</t>
  </si>
  <si>
    <t>#define CAN_CFG_MBOXSET_7_MB040             (CAN_MB_RECEPTION|CAN_MB_POLLING)</t>
  </si>
  <si>
    <t>#define CAN_CFG_MBOXSET_7_MB041             (CAN_MB_RECEPTION|CAN_MB_POLLING)</t>
  </si>
  <si>
    <t>#define CAN_CFG_MBOXSET_7_MB042             (CAN_MB_RECEPTION|CAN_MB_POLLING)</t>
  </si>
  <si>
    <t>#define CAN_CFG_MBOXSET_7_MB043             (CAN_MB_RECEPTION|CAN_MB_POLLING)</t>
  </si>
  <si>
    <t>#define CAN_CFG_MBOXSET_7_MB044             (CAN_MB_RECEPTION|CAN_MB_POLLING)</t>
  </si>
  <si>
    <t>#define CAN_CFG_MBOXSET_7_MB045             (CAN_MB_RECEPTION|CAN_MB_POLLING)</t>
  </si>
  <si>
    <t>#define CAN_CFG_MBOXSET_7_MB046             (CAN_MB_RECEPTION|CAN_MB_POLLING)</t>
  </si>
  <si>
    <t>#define CAN_CFG_MBOXSET_7_MB047             (CAN_MB_RECEPTION|CAN_MB_POLLING)</t>
  </si>
  <si>
    <t>#define CAN_CFG_MBOXSET_7_MB048             (CAN_MB_RECEPTION|CAN_MB_POLLING)</t>
  </si>
  <si>
    <t>#define CAN_CFG_MBOXSET_7_MB049             (CAN_MB_RECEPTION|CAN_MB_POLLING)</t>
  </si>
  <si>
    <t>#define CAN_CFG_MBOXSET_7_MB050             (CAN_MB_RECEPTION|CAN_MB_POLLING)</t>
  </si>
  <si>
    <t>#define CAN_CFG_MBOXSET_7_MB051             (CAN_MB_RECEPTION|CAN_MB_POLLING)</t>
  </si>
  <si>
    <t>#define CAN_CFG_MBOXSET_7_MB052             (CAN_MB_RECEPTION|CAN_MB_POLLING)</t>
  </si>
  <si>
    <t>#define CAN_CFG_MBOXSET_7_MB053             (CAN_MB_RECEPTION|CAN_MB_POLLING)</t>
  </si>
  <si>
    <t>#define CAN_CFG_MBOXSET_7_MB054             (CAN_MB_RECEPTION|CAN_MB_POLLING)</t>
  </si>
  <si>
    <t>#define CAN_CFG_MBOXSET_7_MB055             (CAN_MB_RECEPTION|CAN_MB_POLLING)</t>
  </si>
  <si>
    <t>#define CAN_CFG_MBOXSET_7_MB056             (CAN_MB_RECEPTION|CAN_MB_POLLING)</t>
  </si>
  <si>
    <t>#define CAN_CFG_MBOXSET_7_MB057             (CAN_MB_RECEPTION|CAN_MB_POLLING)</t>
  </si>
  <si>
    <t>#define CAN_CFG_MBOXSET_7_MB058             (CAN_MB_RECEPTION|CAN_MB_POLLING)</t>
  </si>
  <si>
    <t>#define CAN_CFG_MBOXSET_7_MB059             (CAN_MB_RECEPTION|CAN_MB_POLLING)</t>
  </si>
  <si>
    <t>#define CAN_CFG_MBOXSET_7_MB060             (CAN_MB_RECEPTION|CAN_MB_POLLING)</t>
  </si>
  <si>
    <t>#define CAN_CFG_MBOXSET_7_MB061             (CAN_MB_RECEPTION|CAN_MB_POLLING)</t>
  </si>
  <si>
    <t>#define CAN_CFG_MBOXSET_7_MB062             (CAN_MB_RECEPTION|CAN_MB_POLLING)</t>
  </si>
  <si>
    <t>#define CAN_CFG_MBOXSET_7_MB063             (CAN_MB_RECEPTION|CAN_MB_POLLING)</t>
  </si>
  <si>
    <t>#define CAN_CFG_MBOXSET_7_MB064             (CAN_MB_RECEPTION|CAN_MB_POLLING)</t>
  </si>
  <si>
    <t>#define CAN_CFG_MBOXSET_7_MB065             (CAN_MB_RECEPTION|CAN_MB_POLLING)</t>
  </si>
  <si>
    <t>#define CAN_CFG_MBOXSET_7_MB066             (CAN_MB_RECEPTION|CAN_MB_POLLING)</t>
  </si>
  <si>
    <t>#define CAN_CFG_MBOXSET_7_MB067             (CAN_MB_RECEPTION|CAN_MB_POLLING)</t>
  </si>
  <si>
    <t>#define CAN_CFG_MBOXSET_7_MB068             (CAN_MB_RECEPTION|CAN_MB_POLLING)</t>
  </si>
  <si>
    <t>#define CAN_CFG_MBOXSET_7_MB069             (CAN_MB_RECEPTION|CAN_MB_POLLING)</t>
  </si>
  <si>
    <t>#define CAN_CFG_MBOXSET_7_MB070             (CAN_MB_RECEPTION|CAN_MB_POLLING)</t>
  </si>
  <si>
    <t>#define CAN_CFG_MBOXSET_7_MB071             (CAN_MB_RECEPTION|CAN_MB_POLLING)</t>
  </si>
  <si>
    <t>#define CAN_CFG_MBOXSET_7_MB072             (CAN_MB_RECEPTION|CAN_MB_POLLING)</t>
  </si>
  <si>
    <t>#define CAN_CFG_MBOXSET_7_MB073             (CAN_MB_RECEPTION|CAN_MB_POLLING)</t>
  </si>
  <si>
    <t>#define CAN_CFG_MBOXSET_7_MB074             (CAN_MB_RECEPTION|CAN_MB_POLLING)</t>
  </si>
  <si>
    <t>#define CAN_CFG_MBOXSET_7_MB075             (CAN_MB_RECEPTION|CAN_MB_POLLING)</t>
  </si>
  <si>
    <t>#define CAN_CFG_MBOXSET_7_MB076             (CAN_MB_RECEPTION|CAN_MB_POLLING)</t>
  </si>
  <si>
    <t>#define CAN_CFG_MBOXSET_7_MB077             (CAN_MB_RECEPTION|CAN_MB_POLLING)</t>
  </si>
  <si>
    <t>#define CAN_CFG_MBOXSET_7_MB078             (CAN_MB_RECEPTION|CAN_MB_POLLING)</t>
  </si>
  <si>
    <t>#define CAN_CFG_MBOXSET_7_MB079             (CAN_MB_RECEPTION|CAN_MB_POLLING)</t>
  </si>
  <si>
    <t>#define CAN_CFG_MBOXSET_7_MB080             (CAN_MB_RECEPTION|CAN_MB_POLLING)</t>
  </si>
  <si>
    <t>#define CAN_CFG_MBOXSET_7_MB081             (CAN_MB_RECEPTION|CAN_MB_POLLING)</t>
  </si>
  <si>
    <t>#define CAN_CFG_MBOXSET_7_MB082             (CAN_MB_RECEPTION|CAN_MB_POLLING)</t>
  </si>
  <si>
    <t>#define CAN_CFG_MBOXSET_7_MB083             (CAN_MB_RECEPTION|CAN_MB_POLLING)</t>
  </si>
  <si>
    <t>#define CAN_CFG_MBOXSET_7_MB084             (CAN_MB_RECEPTION|CAN_MB_POLLING)</t>
  </si>
  <si>
    <t>#define CAN_CFG_MBOXSET_7_MB085             (CAN_MB_RECEPTION|CAN_MB_POLLING)</t>
  </si>
  <si>
    <t>#define CAN_CFG_MBOXSET_7_MB086             (CAN_MB_RECEPTION|CAN_MB_POLLING)</t>
  </si>
  <si>
    <t>#define CAN_CFG_MBOXSET_7_MB087             (CAN_MB_RECEPTION|CAN_MB_INTERRUPT)</t>
  </si>
  <si>
    <t>#define CAN_CFG_MBOXSET_7_MB088             (CAN_MB_NOUSE)</t>
  </si>
  <si>
    <t>#define CAN_CFG_MBOXSET_7_MB089             (CAN_MB_NOUSE)</t>
  </si>
  <si>
    <t>#define CAN_CFG_MBOXSET_7_MB090             (CAN_MB_NOUSE)</t>
  </si>
  <si>
    <t>#define CAN_CFG_MBOXSET_7_MB091             (CAN_MB_NOUSE)</t>
  </si>
  <si>
    <t>#define CAN_CFG_MBOXSET_7_MB092             (CAN_MB_NOUSE)</t>
  </si>
  <si>
    <t>#define CAN_CFG_MBOXSET_7_MB093             (CAN_MB_NOUSE)</t>
  </si>
  <si>
    <t>#define CAN_CFG_MBOXSET_7_MB094             (CAN_MB_NOUSE)</t>
  </si>
  <si>
    <t>#define CAN_CFG_MBOXSET_7_MB095             (CAN_MB_NOUSE)</t>
  </si>
  <si>
    <t>#define CAN_CFG_MBOXSET_7_MB096             (CAN_MB_NOUSE)</t>
  </si>
  <si>
    <t>#define CAN_CFG_MBOXSET_7_MB097             (CAN_MB_NOUSE)</t>
  </si>
  <si>
    <t>#define CAN_CFG_MBOXSET_7_MB098             (CAN_MB_NOUSE)</t>
  </si>
  <si>
    <t>#define CAN_CFG_MBOXSET_7_MB099             (CAN_MB_NOUSE)</t>
  </si>
  <si>
    <t>#define CAN_CFG_MBOXSET_7_MB100             (CAN_MB_NOUSE)</t>
  </si>
  <si>
    <t>#define CAN_CFG_MBOXSET_7_MB101             (CAN_MB_NOUSE)</t>
  </si>
  <si>
    <t>#define CAN_CFG_MBOXSET_7_MB102             (CAN_MB_NOUSE)</t>
  </si>
  <si>
    <t>#define CAN_CFG_MBOXSET_7_MB103             (CAN_MB_NOUSE)</t>
  </si>
  <si>
    <t>#define CAN_CFG_MBOXSET_7_MB104             (CAN_MB_NOUSE)</t>
  </si>
  <si>
    <t>#define CAN_CFG_MBOXSET_7_MB105             (CAN_MB_NOUSE)</t>
  </si>
  <si>
    <t>#define CAN_CFG_MBOXSET_7_MB106             (CAN_MB_NOUSE)</t>
  </si>
  <si>
    <t>#define CAN_CFG_MBOXSET_7_MB107             (CAN_MB_NOUSE)</t>
  </si>
  <si>
    <t>#define CAN_CFG_MBOXSET_7_MB108             (CAN_MB_NOUSE)</t>
  </si>
  <si>
    <t>#define CAN_CFG_MBOXSET_7_MB109             (CAN_MB_NOUSE)</t>
  </si>
  <si>
    <t>#define CAN_CFG_MBOXSET_7_MB110             (CAN_MB_NOUSE)</t>
  </si>
  <si>
    <t>#define CAN_CFG_MBOXSET_7_MB111             (CAN_MB_NOUSE)</t>
  </si>
  <si>
    <t>#define CAN_CFG_MBOXSET_7_MB112             (CAN_MB_NOUSE)</t>
  </si>
  <si>
    <t>#define CAN_CFG_MBOXSET_7_MB113             (CAN_MB_NOUSE)</t>
  </si>
  <si>
    <t>#define CAN_CFG_MBOXSET_7_MB114             (CAN_MB_NOUSE)</t>
  </si>
  <si>
    <t>#define CAN_CFG_MBOXSET_7_MB115             (CAN_MB_NOUSE)</t>
  </si>
  <si>
    <t>#define CAN_CFG_MBOXSET_7_MB116             (CAN_MB_NOUSE)</t>
  </si>
  <si>
    <t>#define CAN_CFG_MBOXSET_7_MB117             (CAN_MB_NOUSE)</t>
  </si>
  <si>
    <t>#define CAN_CFG_MBOXSET_7_MB118             (CAN_MB_NOUSE)</t>
  </si>
  <si>
    <t>#define CAN_CFG_MBOXSET_7_MB119             (CAN_MB_NOUSE)</t>
  </si>
  <si>
    <t>#define CAN_CFG_MBOXSET_7_MB120             (CAN_MB_NOUSE)</t>
  </si>
  <si>
    <t>#define CAN_CFG_MBOXSET_7_MB121             (CAN_MB_NOUSE)</t>
  </si>
  <si>
    <t>#define CAN_CFG_MBOXSET_7_MB122             (CAN_MB_NOUSE)</t>
  </si>
  <si>
    <t>#define CAN_CFG_MBOXSET_7_MB123             (CAN_MB_NOUSE)</t>
  </si>
  <si>
    <t>#define CAN_CFG_MBOXSET_7_MB124             (CAN_MB_NOUSE)</t>
  </si>
  <si>
    <t>#define CAN_CFG_MBOXSET_7_MB125             (CAN_MB_NOUSE)</t>
  </si>
  <si>
    <t>#define CAN_CFG_MBOXSET_7_MB126             (CAN_MB_NOUSE)</t>
  </si>
  <si>
    <t>#define CAN_CFG_MBOXSET_7_MB127             (CAN_MB_NOUSE)</t>
  </si>
  <si>
    <t>#define CAN_CFG_MBOXSET_7_MB128             (CAN_MB_NOUSE)</t>
  </si>
  <si>
    <t>#define CAN_CFG_MBOXSET_7_MB129             (CAN_MB_NOUSE)</t>
  </si>
  <si>
    <t>#define CAN_CFG_MBOXSET_7_MB130             (CAN_MB_NOUSE)</t>
  </si>
  <si>
    <t>#define CAN_CFG_MBOXSET_7_MB131             (CAN_MB_NOUSE)</t>
  </si>
  <si>
    <t>#define CAN_CFG_MBOXSET_7_MB132             (CAN_MB_NOUSE)</t>
  </si>
  <si>
    <t>#define CAN_CFG_MBOXSET_7_MB133             (CAN_MB_NOUSE)</t>
  </si>
  <si>
    <t>#define CAN_CFG_MBOXSET_7_MB134             (CAN_MB_NOUSE)</t>
  </si>
  <si>
    <t>#define CAN_CFG_MBOXSET_7_MB135             (CAN_MB_NOUSE)</t>
  </si>
  <si>
    <t>#define CAN_CFG_MBOXSET_7_MB136             (CAN_MB_NOUSE)</t>
  </si>
  <si>
    <t>#define CAN_CFG_MBOXSET_7_MB137             (CAN_MB_NOUSE)</t>
  </si>
  <si>
    <t>#define CAN_CFG_MBOXSET_7_MB138             (CAN_MB_NOUSE)</t>
  </si>
  <si>
    <t>#define CAN_CFG_MBOXSET_7_MB139             (CAN_MB_NOUSE)</t>
  </si>
  <si>
    <t>#define CAN_CFG_MBOXSET_7_MB140             (CAN_MB_NOUSE)</t>
  </si>
  <si>
    <t>#define CAN_CFG_MBOXSET_7_MB141             (CAN_MB_NOUSE)</t>
  </si>
  <si>
    <t>#define CAN_CFG_MBOXSET_7_MB142             (CAN_MB_NOUSE)</t>
  </si>
  <si>
    <t>#define CAN_CFG_MBOXSET_7_MB143             (CAN_MB_NOUSE)</t>
  </si>
  <si>
    <t>#define CAN_CFG_MBOXSET_7_MB144             (CAN_MB_NOUSE)</t>
  </si>
  <si>
    <t>#define CAN_CFG_MBOXSET_7_MB145             (CAN_MB_NOUSE)</t>
  </si>
  <si>
    <t>#define CAN_CFG_MBOXSET_7_MB146             (CAN_MB_NOUSE)</t>
  </si>
  <si>
    <t>#define CAN_CFG_MBOXSET_7_MB147             (CAN_MB_NOUSE)</t>
  </si>
  <si>
    <t>#define CAN_CFG_MBOXSET_7_MB148             (CAN_MB_NOUSE)</t>
  </si>
  <si>
    <t>#define CAN_CFG_MBOXSET_7_MB149             (CAN_MB_NOUSE)</t>
  </si>
  <si>
    <t>#define CAN_CFG_MBOXSET_7_MB150             (CAN_MB_NOUSE)</t>
  </si>
  <si>
    <t>#define CAN_CFG_MBOXSET_7_MB151             (CAN_MB_NOUSE)</t>
  </si>
  <si>
    <t>#define CAN_CFG_MBOXSET_7_MB152             (CAN_MB_NOUSE)</t>
  </si>
  <si>
    <t>#define CAN_CFG_MBOXSET_7_MB153             (CAN_MB_NOUSE)</t>
  </si>
  <si>
    <t>#define CAN_CFG_MBOXSET_7_MB154             (CAN_MB_NOUSE)</t>
  </si>
  <si>
    <t>#define CAN_CFG_MBOXSET_7_MB155             (CAN_MB_NOUSE)</t>
  </si>
  <si>
    <t>#define CAN_CFG_MBOXSET_7_MB156             (CAN_MB_NOUSE)</t>
  </si>
  <si>
    <t>#define CAN_CFG_MBOXSET_7_MB157             (CAN_MB_NOUSE)</t>
  </si>
  <si>
    <t>#define CAN_CFG_MBOXSET_7_MB158             (CAN_MB_NOUSE)</t>
  </si>
  <si>
    <t>#define CAN_CFG_MBOXSET_7_MB159             (CAN_MB_NOUSE)</t>
  </si>
  <si>
    <t>#define CAN_CFG_MBOXSET_7_MB160             (CAN_MB_NOUSE)</t>
  </si>
  <si>
    <t>#define CAN_CFG_MBOXSET_7_MB161             (CAN_MB_NOUSE)</t>
  </si>
  <si>
    <t>#define CAN_CFG_MBOXSET_7_MB162             (CAN_MB_NOUSE)</t>
  </si>
  <si>
    <t>#define CAN_CFG_MBOXSET_7_MB163             (CAN_MB_NOUSE)</t>
  </si>
  <si>
    <t>#define CAN_CFG_MBOXSET_7_MB164             (CAN_MB_NOUSE)</t>
  </si>
  <si>
    <t>#define CAN_CFG_MBOXSET_7_MB165             (CAN_MB_NOUSE)</t>
  </si>
  <si>
    <t>#define CAN_CFG_MBOXSET_7_MB166             (CAN_MB_NOUSE)</t>
  </si>
  <si>
    <t>#define CAN_CFG_MBOXSET_7_MB167             (CAN_MB_NOUSE)</t>
  </si>
  <si>
    <t>#define CAN_CFG_MBOXSET_7_MB168             (CAN_MB_NOUSE)</t>
  </si>
  <si>
    <t>#define CAN_CFG_MBOXSET_7_MB169             (CAN_MB_NOUSE)</t>
  </si>
  <si>
    <t>#define CAN_CFG_MBOXSET_7_MB170             (CAN_MB_NOUSE)</t>
  </si>
  <si>
    <t>#define CAN_CFG_MBOXSET_7_MB171             (CAN_MB_NOUSE)</t>
  </si>
  <si>
    <t>#define CAN_CFG_MBOXSET_7_MB172             (CAN_MB_NOUSE)</t>
  </si>
  <si>
    <t>#define CAN_CFG_MBOXSET_7_MB173             (CAN_MB_NOUSE)</t>
  </si>
  <si>
    <t>#define CAN_CFG_MBOXSET_7_MB174             (CAN_MB_NOUSE)</t>
  </si>
  <si>
    <t>#define CAN_CFG_MBOXSET_7_MB175             (CAN_MB_NOUSE)</t>
  </si>
  <si>
    <t>#define CAN_CFG_MBOXSET_7_MB176             (CAN_MB_NOUSE)</t>
  </si>
  <si>
    <t>#define CAN_CFG_MBOXSET_7_MB177             (CAN_MB_NOUSE)</t>
  </si>
  <si>
    <t>#define CAN_CFG_MBOXSET_7_MB178             (CAN_MB_NOUSE)</t>
  </si>
  <si>
    <t>#define CAN_CFG_MBOXSET_7_MB179             (CAN_MB_NOUSE)</t>
  </si>
  <si>
    <t>#define CAN_CFG_MBOXSET_7_MB180             (CAN_MB_NOUSE)</t>
  </si>
  <si>
    <t>#define CAN_CFG_MBOXSET_7_MB181             (CAN_MB_NOUSE)</t>
  </si>
  <si>
    <t>#define CAN_CFG_MBOXSET_7_MB182             (CAN_MB_NOUSE)</t>
  </si>
  <si>
    <t>#define CAN_CFG_MBOXSET_7_MB183             (CAN_MB_NOUSE)</t>
  </si>
  <si>
    <t>#define CAN_CFG_MBOXSET_7_MB184             (CAN_MB_NOUSE)</t>
  </si>
  <si>
    <t>#define CAN_CFG_MBOXSET_7_MB185             (CAN_MB_NOUSE)</t>
  </si>
  <si>
    <t>#define CAN_CFG_MBOXSET_7_MB186             (CAN_MB_NOUSE)</t>
  </si>
  <si>
    <t>#define CAN_CFG_MBOXSET_7_MB187             (CAN_MB_NOUSE)</t>
  </si>
  <si>
    <t>#define CAN_CFG_MBOXSET_7_MB188             (CAN_MB_NOUSE)</t>
  </si>
  <si>
    <t>#define CAN_CFG_MBOXSET_7_MB189             (CAN_MB_NOUSE)</t>
  </si>
  <si>
    <t>#define CAN_CFG_MBOXSET_7_MB190             (CAN_MB_NOUSE)</t>
  </si>
  <si>
    <t>#define CAN_CFG_MBOXSET_7_MB191             (CAN_MB_NOUSE)</t>
  </si>
  <si>
    <t>/* CAN-ID Values(Each CAN Controller)                           */</t>
  </si>
  <si>
    <t>/* CAN Controller 0 CAN-ID Values */</t>
  </si>
  <si>
    <t>#define CAN_CFG_ID_VALUE_0_MB000            (0x00000000UL)</t>
  </si>
  <si>
    <t>#define CAN_CFG_ID_VALUE_0_MB001            (0x00000000UL)</t>
  </si>
  <si>
    <t>#define CAN_CFG_ID_VALUE_0_MB002            (0x00000000UL)</t>
  </si>
  <si>
    <t>#define CAN_CFG_ID_VALUE_0_MB003            (0x00000000UL)</t>
  </si>
  <si>
    <t>#define CAN_CFG_ID_VALUE_0_MB004            (0x00000000UL)</t>
  </si>
  <si>
    <t>#define CAN_CFG_ID_VALUE_0_MB005            (0x00000000UL)</t>
  </si>
  <si>
    <t>#define CAN_CFG_ID_VALUE_0_MB006            (0x00000000UL)</t>
  </si>
  <si>
    <t>#define CAN_CFG_ID_VALUE_0_MB007            (0x00000000UL)</t>
  </si>
  <si>
    <t>#define CAN_CFG_ID_VALUE_0_MB008            (0x00000000UL)</t>
  </si>
  <si>
    <t>#define CAN_CFG_ID_VALUE_0_MB009            (0x00000000UL)</t>
  </si>
  <si>
    <t>#define CAN_CFG_ID_VALUE_0_MB010            (0x00000000UL)</t>
  </si>
  <si>
    <t>#define CAN_CFG_ID_VALUE_0_MB011            (0x00000000UL)</t>
  </si>
  <si>
    <t>#define CAN_CFG_ID_VALUE_0_MB012            (0x00000000UL)</t>
  </si>
  <si>
    <t>#define CAN_CFG_ID_VALUE_0_MB013            (0x00000000UL)</t>
  </si>
  <si>
    <t>#define CAN_CFG_ID_VALUE_0_MB014            (0x00000000UL)</t>
  </si>
  <si>
    <t>#define CAN_CFG_ID_VALUE_0_MB015            (0x00000000UL)</t>
  </si>
  <si>
    <t>#define CAN_CFG_ID_VALUE_0_MB016            (0x00000000UL)</t>
  </si>
  <si>
    <t>#define CAN_CFG_ID_VALUE_0_MB017            (0x00000000UL)</t>
  </si>
  <si>
    <t>#define CAN_CFG_ID_VALUE_0_MB018            (0x00000000UL)</t>
  </si>
  <si>
    <t>#define CAN_CFG_ID_VALUE_0_MB019            (0x00000000UL)</t>
  </si>
  <si>
    <t>#define CAN_CFG_ID_VALUE_0_MB020            (0x00000000UL)</t>
  </si>
  <si>
    <t>#define CAN_CFG_ID_VALUE_0_MB021            (0x00000000UL)</t>
  </si>
  <si>
    <t>#define CAN_CFG_ID_VALUE_0_MB022            (0x00000000UL)</t>
  </si>
  <si>
    <t>#define CAN_CFG_ID_VALUE_0_MB023            (0x00000000UL)</t>
  </si>
  <si>
    <t>#define CAN_CFG_ID_VALUE_0_MB024            (0x00000000UL)</t>
  </si>
  <si>
    <t>#define CAN_CFG_ID_VALUE_0_MB025            (0x00000000UL)</t>
  </si>
  <si>
    <t>#define CAN_CFG_ID_VALUE_0_MB026            (0x00000000UL)</t>
  </si>
  <si>
    <t>#define CAN_CFG_ID_VALUE_0_MB027            (0x00000000UL)</t>
  </si>
  <si>
    <t>#define CAN_CFG_ID_VALUE_0_MB028            (0x00000000UL)</t>
  </si>
  <si>
    <t>#define CAN_CFG_ID_VALUE_0_MB029            (0x00000000UL)</t>
  </si>
  <si>
    <t>#define CAN_CFG_ID_VALUE_0_MB030            (0x00000000UL)</t>
  </si>
  <si>
    <t>#define CAN_CFG_ID_VALUE_0_MB031            (0x00000000UL)</t>
  </si>
  <si>
    <t>#define CAN_CFG_ID_VALUE_0_MB032            (0x00000000UL)</t>
  </si>
  <si>
    <t>#define CAN_CFG_ID_VALUE_0_MB033            (0x00000000UL)</t>
  </si>
  <si>
    <t>#define CAN_CFG_ID_VALUE_0_MB034            (0x00000000UL)</t>
  </si>
  <si>
    <t>#define CAN_CFG_ID_VALUE_0_MB035            (0x00000000UL)</t>
  </si>
  <si>
    <t>#define CAN_CFG_ID_VALUE_0_MB036            (0x00000000UL)</t>
  </si>
  <si>
    <t>#define CAN_CFG_ID_VALUE_0_MB037            (0x00000000UL)</t>
  </si>
  <si>
    <t>#define CAN_CFG_ID_VALUE_0_MB038            (0x00000000UL)</t>
  </si>
  <si>
    <t>#define CAN_CFG_ID_VALUE_0_MB039            (0x00000000UL)</t>
  </si>
  <si>
    <t>#define CAN_CFG_ID_VALUE_0_MB040            (0x00000000UL)</t>
  </si>
  <si>
    <t>#define CAN_CFG_ID_VALUE_0_MB041            (0x00000000UL)</t>
  </si>
  <si>
    <t>#define CAN_CFG_ID_VALUE_0_MB042            (0x00000000UL)</t>
  </si>
  <si>
    <t>#define CAN_CFG_ID_VALUE_0_MB043            (0x00000000UL)</t>
  </si>
  <si>
    <t>#define CAN_CFG_ID_VALUE_0_MB044            (0x00000000UL)</t>
  </si>
  <si>
    <t>#define CAN_CFG_ID_VALUE_0_MB045            (0x00000000UL)</t>
  </si>
  <si>
    <t>#define CAN_CFG_ID_VALUE_0_MB046            (0x00000000UL)</t>
  </si>
  <si>
    <t>#define CAN_CFG_ID_VALUE_0_MB047            (0x00000000UL)</t>
  </si>
  <si>
    <t>#define CAN_CFG_ID_VALUE_0_MB048            (0x00000000UL)</t>
  </si>
  <si>
    <t>#define CAN_CFG_ID_VALUE_0_MB049            (0x00000000UL)</t>
  </si>
  <si>
    <t>#define CAN_CFG_ID_VALUE_0_MB050            (0x00000000UL)</t>
  </si>
  <si>
    <t>#define CAN_CFG_ID_VALUE_0_MB051            (0x00000000UL)</t>
  </si>
  <si>
    <t>#define CAN_CFG_ID_VALUE_0_MB052            (0x00000000UL)</t>
  </si>
  <si>
    <t>#define CAN_CFG_ID_VALUE_0_MB053            (0x00000000UL)</t>
  </si>
  <si>
    <t>#define CAN_CFG_ID_VALUE_0_MB054            (0x00000000UL)</t>
  </si>
  <si>
    <t>#define CAN_CFG_ID_VALUE_0_MB055            (0x00000000UL)</t>
  </si>
  <si>
    <t>#define CAN_CFG_ID_VALUE_0_MB056            (0x00000000UL)</t>
  </si>
  <si>
    <t>#define CAN_CFG_ID_VALUE_0_MB057            (0x00000000UL)</t>
  </si>
  <si>
    <t>#define CAN_CFG_ID_VALUE_0_MB058            (0x00000000UL)</t>
  </si>
  <si>
    <t>#define CAN_CFG_ID_VALUE_0_MB059            (0x00000000UL)</t>
  </si>
  <si>
    <t>#define CAN_CFG_ID_VALUE_0_MB060            (0x00000000UL)</t>
  </si>
  <si>
    <t>#define CAN_CFG_ID_VALUE_0_MB061            (0x00000000UL)</t>
  </si>
  <si>
    <t>#define CAN_CFG_ID_VALUE_0_MB062            (0x00000000UL)</t>
  </si>
  <si>
    <t>#define CAN_CFG_ID_VALUE_0_MB063            (0x00000000UL)</t>
  </si>
  <si>
    <t>#define CAN_CFG_ID_VALUE_0_MB064            (0x00000000UL)</t>
  </si>
  <si>
    <t>#define CAN_CFG_ID_VALUE_0_MB065            (0x00000000UL)</t>
  </si>
  <si>
    <t>#define CAN_CFG_ID_VALUE_0_MB066            (0x00000000UL)</t>
  </si>
  <si>
    <t>#define CAN_CFG_ID_VALUE_0_MB067            (0x00000000UL)</t>
  </si>
  <si>
    <t>#define CAN_CFG_ID_VALUE_0_MB068            (0x00000000UL)</t>
  </si>
  <si>
    <t>#define CAN_CFG_ID_VALUE_0_MB069            (0x00000000UL)</t>
  </si>
  <si>
    <t>#define CAN_CFG_ID_VALUE_0_MB070            (0x00000000UL)</t>
  </si>
  <si>
    <t>#define CAN_CFG_ID_VALUE_0_MB071            (0x00000000UL)</t>
  </si>
  <si>
    <t>#define CAN_CFG_ID_VALUE_0_MB072            (0x00000000UL)</t>
  </si>
  <si>
    <t>#define CAN_CFG_ID_VALUE_0_MB073            (0x00000000UL)</t>
  </si>
  <si>
    <t>#define CAN_CFG_ID_VALUE_0_MB074            (0x00000000UL)</t>
  </si>
  <si>
    <t>#define CAN_CFG_ID_VALUE_0_MB075            (0x00000000UL)</t>
  </si>
  <si>
    <t>#define CAN_CFG_ID_VALUE_0_MB076            (0x00000000UL)</t>
  </si>
  <si>
    <t>#define CAN_CFG_ID_VALUE_0_MB077            (0x00000000UL)</t>
  </si>
  <si>
    <t>#define CAN_CFG_ID_VALUE_0_MB078            (0x00000000UL)</t>
  </si>
  <si>
    <t>#define CAN_CFG_ID_VALUE_0_MB079            (0x00000000UL)</t>
  </si>
  <si>
    <t>#define CAN_CFG_ID_VALUE_0_MB080            (0x00000000UL)</t>
  </si>
  <si>
    <t>#define CAN_CFG_ID_VALUE_0_MB081            (0x00000000UL)</t>
  </si>
  <si>
    <t>#define CAN_CFG_ID_VALUE_0_MB082            (0x00000000UL)</t>
  </si>
  <si>
    <t>#define CAN_CFG_ID_VALUE_0_MB083            (0x00000000UL)</t>
  </si>
  <si>
    <t>#define CAN_CFG_ID_VALUE_0_MB084            (0x00000000UL)</t>
  </si>
  <si>
    <t>#define CAN_CFG_ID_VALUE_0_MB085            (0x00000000UL)</t>
  </si>
  <si>
    <t>#define CAN_CFG_ID_VALUE_0_MB086            (0x00000000UL)</t>
  </si>
  <si>
    <t>#define CAN_CFG_ID_VALUE_0_MB087            (0x00000000UL)</t>
  </si>
  <si>
    <t>#define CAN_CFG_ID_VALUE_0_MB088            (0x00000000UL)</t>
  </si>
  <si>
    <t>#define CAN_CFG_ID_VALUE_0_MB089            (0x00000000UL)</t>
  </si>
  <si>
    <t>#define CAN_CFG_ID_VALUE_0_MB090            (0x00000000UL)</t>
  </si>
  <si>
    <t>#define CAN_CFG_ID_VALUE_0_MB091            (0x00000000UL)</t>
  </si>
  <si>
    <t>#define CAN_CFG_ID_VALUE_0_MB092            (0x00000000UL)</t>
  </si>
  <si>
    <t>#define CAN_CFG_ID_VALUE_0_MB093            (0x00000000UL)</t>
  </si>
  <si>
    <t>#define CAN_CFG_ID_VALUE_0_MB094            (0x00000000UL)</t>
  </si>
  <si>
    <t>#define CAN_CFG_ID_VALUE_0_MB095            (0x00000000UL)</t>
  </si>
  <si>
    <t>#define CAN_CFG_ID_VALUE_0_MB096            (0x00000000UL)</t>
  </si>
  <si>
    <t>#define CAN_CFG_ID_VALUE_0_MB097            (0x00000000UL)</t>
  </si>
  <si>
    <t>#define CAN_CFG_ID_VALUE_0_MB098            (0x00000000UL)</t>
  </si>
  <si>
    <t>#define CAN_CFG_ID_VALUE_0_MB099            (0x00000000UL)</t>
  </si>
  <si>
    <t>#define CAN_CFG_ID_VALUE_0_MB100            (0x00000000UL)</t>
  </si>
  <si>
    <t>#define CAN_CFG_ID_VALUE_0_MB101            (0x00000000UL)</t>
  </si>
  <si>
    <t>#define CAN_CFG_ID_VALUE_0_MB102            (0x00000000UL)</t>
  </si>
  <si>
    <t>#define CAN_CFG_ID_VALUE_0_MB103            (0x00000000UL)</t>
  </si>
  <si>
    <t>#define CAN_CFG_ID_VALUE_0_MB104            (0x00000000UL)</t>
  </si>
  <si>
    <t>#define CAN_CFG_ID_VALUE_0_MB105            (0x00000000UL)</t>
  </si>
  <si>
    <t>#define CAN_CFG_ID_VALUE_0_MB106            (0x00000000UL)</t>
  </si>
  <si>
    <t>#define CAN_CFG_ID_VALUE_0_MB107            (0x00000000UL)</t>
  </si>
  <si>
    <t>#define CAN_CFG_ID_VALUE_0_MB108            (0x00000000UL)</t>
  </si>
  <si>
    <t>#define CAN_CFG_ID_VALUE_0_MB109            (0x00000000UL)</t>
  </si>
  <si>
    <t>#define CAN_CFG_ID_VALUE_0_MB110            (0x00000000UL)</t>
  </si>
  <si>
    <t>#define CAN_CFG_ID_VALUE_0_MB111            (0x00000000UL)</t>
  </si>
  <si>
    <t>#define CAN_CFG_ID_VALUE_0_MB112            (0x00000000UL)</t>
  </si>
  <si>
    <t>#define CAN_CFG_ID_VALUE_0_MB113            (0x00000000UL)</t>
  </si>
  <si>
    <t>#define CAN_CFG_ID_VALUE_0_MB114            (0x00000000UL)</t>
  </si>
  <si>
    <t>#define CAN_CFG_ID_VALUE_0_MB115            (0x00000000UL)</t>
  </si>
  <si>
    <t>#define CAN_CFG_ID_VALUE_0_MB116            (0x00000000UL)</t>
  </si>
  <si>
    <t>#define CAN_CFG_ID_VALUE_0_MB117            (0x00000000UL)</t>
  </si>
  <si>
    <t>#define CAN_CFG_ID_VALUE_0_MB118            (0x00000000UL)</t>
  </si>
  <si>
    <t>#define CAN_CFG_ID_VALUE_0_MB119            (0x00000000UL)</t>
  </si>
  <si>
    <t>#define CAN_CFG_ID_VALUE_0_MB120            (0x00000000UL)</t>
  </si>
  <si>
    <t>#define CAN_CFG_ID_VALUE_0_MB121            (0x00000000UL)</t>
  </si>
  <si>
    <t>#define CAN_CFG_ID_VALUE_0_MB122            (0x00000000UL)</t>
  </si>
  <si>
    <t>#define CAN_CFG_ID_VALUE_0_MB123            (0x00000000UL)</t>
  </si>
  <si>
    <t>#define CAN_CFG_ID_VALUE_0_MB124            (0x00000000UL)</t>
  </si>
  <si>
    <t>#define CAN_CFG_ID_VALUE_0_MB125            (0x00000000UL)</t>
  </si>
  <si>
    <t>#define CAN_CFG_ID_VALUE_0_MB126            (0x00000000UL)</t>
  </si>
  <si>
    <t>#define CAN_CFG_ID_VALUE_0_MB127            (0x00000000UL)</t>
  </si>
  <si>
    <t>#define CAN_CFG_ID_VALUE_0_MB128            (0x00000000UL)</t>
  </si>
  <si>
    <t>#define CAN_CFG_ID_VALUE_0_MB129            (0x00000000UL)</t>
  </si>
  <si>
    <t>#define CAN_CFG_ID_VALUE_0_MB130            (0x00000000UL)</t>
  </si>
  <si>
    <t>#define CAN_CFG_ID_VALUE_0_MB131            (0x00000000UL)</t>
  </si>
  <si>
    <t>#define CAN_CFG_ID_VALUE_0_MB132            (0x00000000UL)</t>
  </si>
  <si>
    <t>#define CAN_CFG_ID_VALUE_0_MB133            (0x00000000UL)</t>
  </si>
  <si>
    <t>#define CAN_CFG_ID_VALUE_0_MB134            (0x00000000UL)</t>
  </si>
  <si>
    <t>#define CAN_CFG_ID_VALUE_0_MB135            (0x00000000UL)</t>
  </si>
  <si>
    <t>#define CAN_CFG_ID_VALUE_0_MB136            (0x00000000UL)</t>
  </si>
  <si>
    <t>#define CAN_CFG_ID_VALUE_0_MB137            (0x00000000UL)</t>
  </si>
  <si>
    <t>#define CAN_CFG_ID_VALUE_0_MB138            (0x00000000UL)</t>
  </si>
  <si>
    <t>#define CAN_CFG_ID_VALUE_0_MB139            (0x00000000UL)</t>
  </si>
  <si>
    <t>#define CAN_CFG_ID_VALUE_0_MB140            (0x00000000UL)</t>
  </si>
  <si>
    <t>#define CAN_CFG_ID_VALUE_0_MB141            (0x00000000UL)</t>
  </si>
  <si>
    <t>#define CAN_CFG_ID_VALUE_0_MB142            (0x00000000UL)</t>
  </si>
  <si>
    <t>#define CAN_CFG_ID_VALUE_0_MB143            (0x00000000UL)</t>
  </si>
  <si>
    <t>#define CAN_CFG_ID_VALUE_0_MB144            (0x00000000UL)</t>
  </si>
  <si>
    <t>#define CAN_CFG_ID_VALUE_0_MB145            (0x00000000UL)</t>
  </si>
  <si>
    <t>#define CAN_CFG_ID_VALUE_0_MB146            (0x00000000UL)</t>
  </si>
  <si>
    <t>#define CAN_CFG_ID_VALUE_0_MB147            (0x00000000UL)</t>
  </si>
  <si>
    <t>#define CAN_CFG_ID_VALUE_0_MB148            (0x00000000UL)</t>
  </si>
  <si>
    <t>#define CAN_CFG_ID_VALUE_0_MB149            (0x00000000UL)</t>
  </si>
  <si>
    <t>#define CAN_CFG_ID_VALUE_0_MB150            (0x00000000UL)</t>
  </si>
  <si>
    <t>#define CAN_CFG_ID_VALUE_0_MB151            (0x00000000UL)</t>
  </si>
  <si>
    <t>#define CAN_CFG_ID_VALUE_0_MB152            (0x00000000UL)</t>
  </si>
  <si>
    <t>#define CAN_CFG_ID_VALUE_0_MB153            (0x00000000UL)</t>
  </si>
  <si>
    <t>#define CAN_CFG_ID_VALUE_0_MB154            (0x00000000UL)</t>
  </si>
  <si>
    <t>#define CAN_CFG_ID_VALUE_0_MB155            (0x00000000UL)</t>
  </si>
  <si>
    <t>#define CAN_CFG_ID_VALUE_0_MB156            (0x00000000UL)</t>
  </si>
  <si>
    <t>#define CAN_CFG_ID_VALUE_0_MB157            (0x00000000UL)</t>
  </si>
  <si>
    <t>#define CAN_CFG_ID_VALUE_0_MB158            (0x00000000UL)</t>
  </si>
  <si>
    <t>#define CAN_CFG_ID_VALUE_0_MB159            (0x00000000UL)</t>
  </si>
  <si>
    <t>#define CAN_CFG_ID_VALUE_0_MB160            (0x00000000UL)</t>
  </si>
  <si>
    <t>#define CAN_CFG_ID_VALUE_0_MB161            (0x00000000UL)</t>
  </si>
  <si>
    <t>#define CAN_CFG_ID_VALUE_0_MB162            (0x00000000UL)</t>
  </si>
  <si>
    <t>#define CAN_CFG_ID_VALUE_0_MB163            (0x00000000UL)</t>
  </si>
  <si>
    <t>#define CAN_CFG_ID_VALUE_0_MB164            (0x00000000UL)</t>
  </si>
  <si>
    <t>#define CAN_CFG_ID_VALUE_0_MB165            (0x00000000UL)</t>
  </si>
  <si>
    <t>#define CAN_CFG_ID_VALUE_0_MB166            (0x00000000UL)</t>
  </si>
  <si>
    <t>#define CAN_CFG_ID_VALUE_0_MB167            (0x00000000UL)</t>
  </si>
  <si>
    <t>#define CAN_CFG_ID_VALUE_0_MB168            (0x00000000UL)</t>
  </si>
  <si>
    <t>#define CAN_CFG_ID_VALUE_0_MB169            (0x00000000UL)</t>
  </si>
  <si>
    <t>#define CAN_CFG_ID_VALUE_0_MB170            (0x00000000UL)</t>
  </si>
  <si>
    <t>#define CAN_CFG_ID_VALUE_0_MB171            (0x00000000UL)</t>
  </si>
  <si>
    <t>#define CAN_CFG_ID_VALUE_0_MB172            (0x00000000UL)</t>
  </si>
  <si>
    <t>#define CAN_CFG_ID_VALUE_0_MB173            (0x00000000UL)</t>
  </si>
  <si>
    <t>#define CAN_CFG_ID_VALUE_0_MB174            (0x00000000UL)</t>
  </si>
  <si>
    <t>#define CAN_CFG_ID_VALUE_0_MB175            (0x00000000UL)</t>
  </si>
  <si>
    <t>#define CAN_CFG_ID_VALUE_0_MB176            (0x00000000UL)</t>
  </si>
  <si>
    <t>#define CAN_CFG_ID_VALUE_0_MB177            (0x00000000UL)</t>
  </si>
  <si>
    <t>#define CAN_CFG_ID_VALUE_0_MB178            (0x00000000UL)</t>
  </si>
  <si>
    <t>#define CAN_CFG_ID_VALUE_0_MB179            (0x00000000UL)</t>
  </si>
  <si>
    <t>#define CAN_CFG_ID_VALUE_0_MB180            (0x00000000UL)</t>
  </si>
  <si>
    <t>#define CAN_CFG_ID_VALUE_0_MB181            (0x00000000UL)</t>
  </si>
  <si>
    <t>#define CAN_CFG_ID_VALUE_0_MB182            (0x00000000UL)</t>
  </si>
  <si>
    <t>#define CAN_CFG_ID_VALUE_0_MB183            (0x00000000UL)</t>
  </si>
  <si>
    <t>#define CAN_CFG_ID_VALUE_0_MB184            (0x00000000UL)</t>
  </si>
  <si>
    <t>#define CAN_CFG_ID_VALUE_0_MB185            (0x00000000UL)</t>
  </si>
  <si>
    <t>#define CAN_CFG_ID_VALUE_0_MB186            (0x00000000UL)</t>
  </si>
  <si>
    <t>#define CAN_CFG_ID_VALUE_0_MB187            (0x00000000UL)</t>
  </si>
  <si>
    <t>#define CAN_CFG_ID_VALUE_0_MB188            (0x00000000UL)</t>
  </si>
  <si>
    <t>#define CAN_CFG_ID_VALUE_0_MB189            (0x00000000UL)</t>
  </si>
  <si>
    <t>#define CAN_CFG_ID_VALUE_0_MB190            (0x00000000UL)</t>
  </si>
  <si>
    <t>#define CAN_CFG_ID_VALUE_0_MB191            (0x00000000UL)</t>
  </si>
  <si>
    <t>/* CAN Controller 1 CAN-ID Values */</t>
  </si>
  <si>
    <t>#define CAN_CFG_ID_VALUE_1_MB000            (0x00000000UL)</t>
  </si>
  <si>
    <t>#define CAN_CFG_ID_VALUE_1_MB001            (0x00000000UL)</t>
  </si>
  <si>
    <t>#define CAN_CFG_ID_VALUE_1_MB002            (0x00000000UL)</t>
  </si>
  <si>
    <t>#define CAN_CFG_ID_VALUE_1_MB003            (0x00000000UL)</t>
  </si>
  <si>
    <t>#define CAN_CFG_ID_VALUE_1_MB004            (0x00000000UL)</t>
  </si>
  <si>
    <t>#define CAN_CFG_ID_VALUE_1_MB005            (0x00000000UL)</t>
  </si>
  <si>
    <t>#define CAN_CFG_ID_VALUE_1_MB006            (0x00000000UL)</t>
  </si>
  <si>
    <t>#define CAN_CFG_ID_VALUE_1_MB007            (0x00000000UL)</t>
  </si>
  <si>
    <t>#define CAN_CFG_ID_VALUE_1_MB008            (0x00000000UL)</t>
  </si>
  <si>
    <t>#define CAN_CFG_ID_VALUE_1_MB009            (0x00000000UL)</t>
  </si>
  <si>
    <t>#define CAN_CFG_ID_VALUE_1_MB010            (0x00000000UL)</t>
  </si>
  <si>
    <t>#define CAN_CFG_ID_VALUE_1_MB011            (0x00000000UL)</t>
  </si>
  <si>
    <t>#define CAN_CFG_ID_VALUE_1_MB012            (0x00000000UL)</t>
  </si>
  <si>
    <t>#define CAN_CFG_ID_VALUE_1_MB013            (0x00000000UL)</t>
  </si>
  <si>
    <t>#define CAN_CFG_ID_VALUE_1_MB014            (0x00000000UL)</t>
  </si>
  <si>
    <t>#define CAN_CFG_ID_VALUE_1_MB015            (0x00000000UL)</t>
  </si>
  <si>
    <t>#define CAN_CFG_ID_VALUE_1_MB016            (0x00000000UL)</t>
  </si>
  <si>
    <t>#define CAN_CFG_ID_VALUE_1_MB017            (0x00000000UL)</t>
  </si>
  <si>
    <t>#define CAN_CFG_ID_VALUE_1_MB018            (0x00000000UL)</t>
  </si>
  <si>
    <t>#define CAN_CFG_ID_VALUE_1_MB019            (0x00000000UL)</t>
  </si>
  <si>
    <t>#define CAN_CFG_ID_VALUE_1_MB020            (0x00000000UL)</t>
  </si>
  <si>
    <t>#define CAN_CFG_ID_VALUE_1_MB021            (0x00000000UL)</t>
  </si>
  <si>
    <t>#define CAN_CFG_ID_VALUE_1_MB022            (0x00000000UL)</t>
  </si>
  <si>
    <t>#define CAN_CFG_ID_VALUE_1_MB023            (0x00000000UL)</t>
  </si>
  <si>
    <t>#define CAN_CFG_ID_VALUE_1_MB024            (0x00000000UL)</t>
  </si>
  <si>
    <t>#define CAN_CFG_ID_VALUE_1_MB025            (0x00000000UL)</t>
  </si>
  <si>
    <t>#define CAN_CFG_ID_VALUE_1_MB026            (0x00000000UL)</t>
  </si>
  <si>
    <t>#define CAN_CFG_ID_VALUE_1_MB027            (0x00000000UL)</t>
  </si>
  <si>
    <t>#define CAN_CFG_ID_VALUE_1_MB028            (0x00000000UL)</t>
  </si>
  <si>
    <t>#define CAN_CFG_ID_VALUE_1_MB029            (0x00000000UL)</t>
  </si>
  <si>
    <t>#define CAN_CFG_ID_VALUE_1_MB030            (0x00000000UL)</t>
  </si>
  <si>
    <t>#define CAN_CFG_ID_VALUE_1_MB031            (0x00000000UL)</t>
  </si>
  <si>
    <t>#define CAN_CFG_ID_VALUE_1_MB032            (0x00000000UL)</t>
  </si>
  <si>
    <t>#define CAN_CFG_ID_VALUE_1_MB033            (0x00000000UL)</t>
  </si>
  <si>
    <t>#define CAN_CFG_ID_VALUE_1_MB034            (0x00000000UL)</t>
  </si>
  <si>
    <t>#define CAN_CFG_ID_VALUE_1_MB035            (0x00000000UL)</t>
  </si>
  <si>
    <t>#define CAN_CFG_ID_VALUE_1_MB036            (0x00000000UL)</t>
  </si>
  <si>
    <t>#define CAN_CFG_ID_VALUE_1_MB037            (0x00000000UL)</t>
  </si>
  <si>
    <t>#define CAN_CFG_ID_VALUE_1_MB038            (0x00000000UL)</t>
  </si>
  <si>
    <t>#define CAN_CFG_ID_VALUE_1_MB039            (0x00000000UL)</t>
  </si>
  <si>
    <t>#define CAN_CFG_ID_VALUE_1_MB040            (0x00000000UL)</t>
  </si>
  <si>
    <t>#define CAN_CFG_ID_VALUE_1_MB041            (0x00000000UL)</t>
  </si>
  <si>
    <t>#define CAN_CFG_ID_VALUE_1_MB042            (0x00000000UL)</t>
  </si>
  <si>
    <t>#define CAN_CFG_ID_VALUE_1_MB043            (0x00000000UL)</t>
  </si>
  <si>
    <t>#define CAN_CFG_ID_VALUE_1_MB044            (0x00000000UL)</t>
  </si>
  <si>
    <t>#define CAN_CFG_ID_VALUE_1_MB045            (0x00000000UL)</t>
  </si>
  <si>
    <t>#define CAN_CFG_ID_VALUE_1_MB046            (0x00000000UL)</t>
  </si>
  <si>
    <t>#define CAN_CFG_ID_VALUE_1_MB047            (0x00000000UL)</t>
  </si>
  <si>
    <t>#define CAN_CFG_ID_VALUE_1_MB048            (0x00000000UL)</t>
  </si>
  <si>
    <t>#define CAN_CFG_ID_VALUE_1_MB049            (0x00000000UL)</t>
  </si>
  <si>
    <t>#define CAN_CFG_ID_VALUE_1_MB050            (0x00000000UL)</t>
  </si>
  <si>
    <t>#define CAN_CFG_ID_VALUE_1_MB051            (0x00000000UL)</t>
  </si>
  <si>
    <t>#define CAN_CFG_ID_VALUE_1_MB052            (0x00000000UL)</t>
  </si>
  <si>
    <t>#define CAN_CFG_ID_VALUE_1_MB053            (0x00000000UL)</t>
  </si>
  <si>
    <t>#define CAN_CFG_ID_VALUE_1_MB054            (0x00000000UL)</t>
  </si>
  <si>
    <t>#define CAN_CFG_ID_VALUE_1_MB055            (0x00000000UL)</t>
  </si>
  <si>
    <t>#define CAN_CFG_ID_VALUE_1_MB056            (0x00000000UL)</t>
  </si>
  <si>
    <t>#define CAN_CFG_ID_VALUE_1_MB057            (0x00000000UL)</t>
  </si>
  <si>
    <t>#define CAN_CFG_ID_VALUE_1_MB058            (0x00000000UL)</t>
  </si>
  <si>
    <t>#define CAN_CFG_ID_VALUE_1_MB059            (0x00000000UL)</t>
  </si>
  <si>
    <t>#define CAN_CFG_ID_VALUE_1_MB060            (0x00000000UL)</t>
  </si>
  <si>
    <t>#define CAN_CFG_ID_VALUE_1_MB061            (0x00000000UL)</t>
  </si>
  <si>
    <t>#define CAN_CFG_ID_VALUE_1_MB062            (0x00000000UL)</t>
  </si>
  <si>
    <t>#define CAN_CFG_ID_VALUE_1_MB063            (0x00000000UL)</t>
  </si>
  <si>
    <t>#define CAN_CFG_ID_VALUE_1_MB064            (0x00000000UL)</t>
  </si>
  <si>
    <t>#define CAN_CFG_ID_VALUE_1_MB065            (0x00000000UL)</t>
  </si>
  <si>
    <t>#define CAN_CFG_ID_VALUE_1_MB066            (0x00000000UL)</t>
  </si>
  <si>
    <t>#define CAN_CFG_ID_VALUE_1_MB067            (0x00000000UL)</t>
  </si>
  <si>
    <t>#define CAN_CFG_ID_VALUE_1_MB068            (0x00000000UL)</t>
  </si>
  <si>
    <t>#define CAN_CFG_ID_VALUE_1_MB069            (0x00000000UL)</t>
  </si>
  <si>
    <t>#define CAN_CFG_ID_VALUE_1_MB070            (0x00000000UL)</t>
  </si>
  <si>
    <t>#define CAN_CFG_ID_VALUE_1_MB071            (0x00000000UL)</t>
  </si>
  <si>
    <t>#define CAN_CFG_ID_VALUE_1_MB072            (0x00000000UL)</t>
  </si>
  <si>
    <t>#define CAN_CFG_ID_VALUE_1_MB073            (0x00000000UL)</t>
  </si>
  <si>
    <t>#define CAN_CFG_ID_VALUE_1_MB074            (0x00000000UL)</t>
  </si>
  <si>
    <t>#define CAN_CFG_ID_VALUE_1_MB075            (0x00000000UL)</t>
  </si>
  <si>
    <t>#define CAN_CFG_ID_VALUE_1_MB076            (0x00000000UL)</t>
  </si>
  <si>
    <t>#define CAN_CFG_ID_VALUE_1_MB077            (0x00000000UL)</t>
  </si>
  <si>
    <t>#define CAN_CFG_ID_VALUE_1_MB078            (0x00000000UL)</t>
  </si>
  <si>
    <t>#define CAN_CFG_ID_VALUE_1_MB079            (0x00000000UL)</t>
  </si>
  <si>
    <t>#define CAN_CFG_ID_VALUE_1_MB080            (0x00000000UL)</t>
  </si>
  <si>
    <t>#define CAN_CFG_ID_VALUE_1_MB081            (0x00000000UL)</t>
  </si>
  <si>
    <t>#define CAN_CFG_ID_VALUE_1_MB082            (0x00000000UL)</t>
  </si>
  <si>
    <t>#define CAN_CFG_ID_VALUE_1_MB083            (0x00000000UL)</t>
  </si>
  <si>
    <t>#define CAN_CFG_ID_VALUE_1_MB084            (0x00000000UL)</t>
  </si>
  <si>
    <t>#define CAN_CFG_ID_VALUE_1_MB085            (0x00000000UL)</t>
  </si>
  <si>
    <t>#define CAN_CFG_ID_VALUE_1_MB086            (0x00000000UL)</t>
  </si>
  <si>
    <t>#define CAN_CFG_ID_VALUE_1_MB087            (0x00000000UL)</t>
  </si>
  <si>
    <t>#define CAN_CFG_ID_VALUE_1_MB088            (0x00000000UL)</t>
  </si>
  <si>
    <t>#define CAN_CFG_ID_VALUE_1_MB089            (0x00000000UL)</t>
  </si>
  <si>
    <t>#define CAN_CFG_ID_VALUE_1_MB090            (0x00000000UL)</t>
  </si>
  <si>
    <t>#define CAN_CFG_ID_VALUE_1_MB091            (0x00000000UL)</t>
  </si>
  <si>
    <t>#define CAN_CFG_ID_VALUE_1_MB092            (0x00000000UL)</t>
  </si>
  <si>
    <t>#define CAN_CFG_ID_VALUE_1_MB093            (0x00000000UL)</t>
  </si>
  <si>
    <t>#define CAN_CFG_ID_VALUE_1_MB094            (0x00000000UL)</t>
  </si>
  <si>
    <t>#define CAN_CFG_ID_VALUE_1_MB095            (0x00000000UL)</t>
  </si>
  <si>
    <t>#define CAN_CFG_ID_VALUE_1_MB096            (0x00000000UL)</t>
  </si>
  <si>
    <t>#define CAN_CFG_ID_VALUE_1_MB097            (0x00000000UL)</t>
  </si>
  <si>
    <t>#define CAN_CFG_ID_VALUE_1_MB098            (0x00000000UL)</t>
  </si>
  <si>
    <t>#define CAN_CFG_ID_VALUE_1_MB099            (0x00000000UL)</t>
  </si>
  <si>
    <t>#define CAN_CFG_ID_VALUE_1_MB100            (0x00000000UL)</t>
  </si>
  <si>
    <t>#define CAN_CFG_ID_VALUE_1_MB101            (0x00000000UL)</t>
  </si>
  <si>
    <t>#define CAN_CFG_ID_VALUE_1_MB102            (0x00000000UL)</t>
  </si>
  <si>
    <t>#define CAN_CFG_ID_VALUE_1_MB103            (0x00000000UL)</t>
  </si>
  <si>
    <t>#define CAN_CFG_ID_VALUE_1_MB104            (0x00000000UL)</t>
  </si>
  <si>
    <t>#define CAN_CFG_ID_VALUE_1_MB105            (0x00000000UL)</t>
  </si>
  <si>
    <t>#define CAN_CFG_ID_VALUE_1_MB106            (0x00000000UL)</t>
  </si>
  <si>
    <t>#define CAN_CFG_ID_VALUE_1_MB107            (0x00000000UL)</t>
  </si>
  <si>
    <t>#define CAN_CFG_ID_VALUE_1_MB108            (0x00000000UL)</t>
  </si>
  <si>
    <t>#define CAN_CFG_ID_VALUE_1_MB109            (0x00000000UL)</t>
  </si>
  <si>
    <t>#define CAN_CFG_ID_VALUE_1_MB110            (0x00000000UL)</t>
  </si>
  <si>
    <t>#define CAN_CFG_ID_VALUE_1_MB111            (0x00000000UL)</t>
  </si>
  <si>
    <t>#define CAN_CFG_ID_VALUE_1_MB112            (0x00000000UL)</t>
  </si>
  <si>
    <t>#define CAN_CFG_ID_VALUE_1_MB113            (0x00000000UL)</t>
  </si>
  <si>
    <t>#define CAN_CFG_ID_VALUE_1_MB114            (0x00000000UL)</t>
  </si>
  <si>
    <t>#define CAN_CFG_ID_VALUE_1_MB115            (0x00000000UL)</t>
  </si>
  <si>
    <t>#define CAN_CFG_ID_VALUE_1_MB116            (0x00000000UL)</t>
  </si>
  <si>
    <t>#define CAN_CFG_ID_VALUE_1_MB117            (0x00000000UL)</t>
  </si>
  <si>
    <t>#define CAN_CFG_ID_VALUE_1_MB118            (0x00000000UL)</t>
  </si>
  <si>
    <t>#define CAN_CFG_ID_VALUE_1_MB119            (0x00000000UL)</t>
  </si>
  <si>
    <t>#define CAN_CFG_ID_VALUE_1_MB120            (0x00000000UL)</t>
  </si>
  <si>
    <t>#define CAN_CFG_ID_VALUE_1_MB121            (0x00000000UL)</t>
  </si>
  <si>
    <t>#define CAN_CFG_ID_VALUE_1_MB122            (0x00000000UL)</t>
  </si>
  <si>
    <t>#define CAN_CFG_ID_VALUE_1_MB123            (0x00000000UL)</t>
  </si>
  <si>
    <t>#define CAN_CFG_ID_VALUE_1_MB124            (0x00000000UL)</t>
  </si>
  <si>
    <t>#define CAN_CFG_ID_VALUE_1_MB125            (0x00000000UL)</t>
  </si>
  <si>
    <t>#define CAN_CFG_ID_VALUE_1_MB126            (0x00000000UL)</t>
  </si>
  <si>
    <t>#define CAN_CFG_ID_VALUE_1_MB127            (0x00000000UL)</t>
  </si>
  <si>
    <t>#define CAN_CFG_ID_VALUE_1_MB128            (0x00000000UL)</t>
  </si>
  <si>
    <t>#define CAN_CFG_ID_VALUE_1_MB129            (0x00000000UL)</t>
  </si>
  <si>
    <t>#define CAN_CFG_ID_VALUE_1_MB130            (0x00000000UL)</t>
  </si>
  <si>
    <t>#define CAN_CFG_ID_VALUE_1_MB131            (0x00000000UL)</t>
  </si>
  <si>
    <t>#define CAN_CFG_ID_VALUE_1_MB132            (0x00000000UL)</t>
  </si>
  <si>
    <t>#define CAN_CFG_ID_VALUE_1_MB133            (0x00000000UL)</t>
  </si>
  <si>
    <t>#define CAN_CFG_ID_VALUE_1_MB134            (0x00000000UL)</t>
  </si>
  <si>
    <t>#define CAN_CFG_ID_VALUE_1_MB135            (0x00000000UL)</t>
  </si>
  <si>
    <t>#define CAN_CFG_ID_VALUE_1_MB136            (0x00000000UL)</t>
  </si>
  <si>
    <t>#define CAN_CFG_ID_VALUE_1_MB137            (0x00000000UL)</t>
  </si>
  <si>
    <t>#define CAN_CFG_ID_VALUE_1_MB138            (0x00000000UL)</t>
  </si>
  <si>
    <t>#define CAN_CFG_ID_VALUE_1_MB139            (0x00000000UL)</t>
  </si>
  <si>
    <t>#define CAN_CFG_ID_VALUE_1_MB140            (0x00000000UL)</t>
  </si>
  <si>
    <t>#define CAN_CFG_ID_VALUE_1_MB141            (0x00000000UL)</t>
  </si>
  <si>
    <t>#define CAN_CFG_ID_VALUE_1_MB142            (0x00000000UL)</t>
  </si>
  <si>
    <t>#define CAN_CFG_ID_VALUE_1_MB143            (0x00000000UL)</t>
  </si>
  <si>
    <t>#define CAN_CFG_ID_VALUE_1_MB144            (0x00000000UL)</t>
  </si>
  <si>
    <t>#define CAN_CFG_ID_VALUE_1_MB145            (0x00000000UL)</t>
  </si>
  <si>
    <t>#define CAN_CFG_ID_VALUE_1_MB146            (0x00000000UL)</t>
  </si>
  <si>
    <t>#define CAN_CFG_ID_VALUE_1_MB147            (0x00000000UL)</t>
  </si>
  <si>
    <t>#define CAN_CFG_ID_VALUE_1_MB148            (0x00000000UL)</t>
  </si>
  <si>
    <t>#define CAN_CFG_ID_VALUE_1_MB149            (0x00000000UL)</t>
  </si>
  <si>
    <t>#define CAN_CFG_ID_VALUE_1_MB150            (0x00000000UL)</t>
  </si>
  <si>
    <t>#define CAN_CFG_ID_VALUE_1_MB151            (0x00000000UL)</t>
  </si>
  <si>
    <t>#define CAN_CFG_ID_VALUE_1_MB152            (0x00000000UL)</t>
  </si>
  <si>
    <t>#define CAN_CFG_ID_VALUE_1_MB153            (0x00000000UL)</t>
  </si>
  <si>
    <t>#define CAN_CFG_ID_VALUE_1_MB154            (0x00000000UL)</t>
  </si>
  <si>
    <t>#define CAN_CFG_ID_VALUE_1_MB155            (0x00000000UL)</t>
  </si>
  <si>
    <t>#define CAN_CFG_ID_VALUE_1_MB156            (0x00000000UL)</t>
  </si>
  <si>
    <t>#define CAN_CFG_ID_VALUE_1_MB157            (0x00000000UL)</t>
  </si>
  <si>
    <t>#define CAN_CFG_ID_VALUE_1_MB158            (0x00000000UL)</t>
  </si>
  <si>
    <t>#define CAN_CFG_ID_VALUE_1_MB159            (0x00000000UL)</t>
  </si>
  <si>
    <t>#define CAN_CFG_ID_VALUE_1_MB160            (0x00000000UL)</t>
  </si>
  <si>
    <t>#define CAN_CFG_ID_VALUE_1_MB161            (0x00000000UL)</t>
  </si>
  <si>
    <t>#define CAN_CFG_ID_VALUE_1_MB162            (0x00000000UL)</t>
  </si>
  <si>
    <t>#define CAN_CFG_ID_VALUE_1_MB163            (0x00000000UL)</t>
  </si>
  <si>
    <t>#define CAN_CFG_ID_VALUE_1_MB164            (0x00000000UL)</t>
  </si>
  <si>
    <t>#define CAN_CFG_ID_VALUE_1_MB165            (0x00000000UL)</t>
  </si>
  <si>
    <t>#define CAN_CFG_ID_VALUE_1_MB166            (0x00000000UL)</t>
  </si>
  <si>
    <t>#define CAN_CFG_ID_VALUE_1_MB167            (0x00000000UL)</t>
  </si>
  <si>
    <t>#define CAN_CFG_ID_VALUE_1_MB168            (0x00000000UL)</t>
  </si>
  <si>
    <t>#define CAN_CFG_ID_VALUE_1_MB169            (0x00000000UL)</t>
  </si>
  <si>
    <t>#define CAN_CFG_ID_VALUE_1_MB170            (0x00000000UL)</t>
  </si>
  <si>
    <t>#define CAN_CFG_ID_VALUE_1_MB171            (0x00000000UL)</t>
  </si>
  <si>
    <t>#define CAN_CFG_ID_VALUE_1_MB172            (0x00000000UL)</t>
  </si>
  <si>
    <t>#define CAN_CFG_ID_VALUE_1_MB173            (0x00000000UL)</t>
  </si>
  <si>
    <t>#define CAN_CFG_ID_VALUE_1_MB174            (0x00000000UL)</t>
  </si>
  <si>
    <t>#define CAN_CFG_ID_VALUE_1_MB175            (0x00000000UL)</t>
  </si>
  <si>
    <t>#define CAN_CFG_ID_VALUE_1_MB176            (0x00000000UL)</t>
  </si>
  <si>
    <t>#define CAN_CFG_ID_VALUE_1_MB177            (0x00000000UL)</t>
  </si>
  <si>
    <t>#define CAN_CFG_ID_VALUE_1_MB178            (0x00000000UL)</t>
  </si>
  <si>
    <t>#define CAN_CFG_ID_VALUE_1_MB179            (0x00000000UL)</t>
  </si>
  <si>
    <t>#define CAN_CFG_ID_VALUE_1_MB180            (0x00000000UL)</t>
  </si>
  <si>
    <t>#define CAN_CFG_ID_VALUE_1_MB181            (0x00000000UL)</t>
  </si>
  <si>
    <t>#define CAN_CFG_ID_VALUE_1_MB182            (0x00000000UL)</t>
  </si>
  <si>
    <t>#define CAN_CFG_ID_VALUE_1_MB183            (0x00000000UL)</t>
  </si>
  <si>
    <t>#define CAN_CFG_ID_VALUE_1_MB184            (0x00000000UL)</t>
  </si>
  <si>
    <t>#define CAN_CFG_ID_VALUE_1_MB185            (0x00000000UL)</t>
  </si>
  <si>
    <t>#define CAN_CFG_ID_VALUE_1_MB186            (0x00000000UL)</t>
  </si>
  <si>
    <t>#define CAN_CFG_ID_VALUE_1_MB187            (0x00000000UL)</t>
  </si>
  <si>
    <t>#define CAN_CFG_ID_VALUE_1_MB188            (0x00000000UL)</t>
  </si>
  <si>
    <t>#define CAN_CFG_ID_VALUE_1_MB189            (0x00000000UL)</t>
  </si>
  <si>
    <t>#define CAN_CFG_ID_VALUE_1_MB190            (0x00000000UL)</t>
  </si>
  <si>
    <t>#define CAN_CFG_ID_VALUE_1_MB191            (0x00000000UL)</t>
  </si>
  <si>
    <t>/* CAN Controller 2 CAN-ID Values */</t>
  </si>
  <si>
    <t>#define CAN_CFG_ID_VALUE_2_MB000            (0x00000000UL)</t>
  </si>
  <si>
    <t>#define CAN_CFG_ID_VALUE_2_MB001            (0x00000000UL)</t>
  </si>
  <si>
    <t>#define CAN_CFG_ID_VALUE_2_MB002            (0x00000000UL)</t>
  </si>
  <si>
    <t>#define CAN_CFG_ID_VALUE_2_MB003            (0x00000000UL)</t>
  </si>
  <si>
    <t>#define CAN_CFG_ID_VALUE_2_MB004            (0x00000000UL)</t>
  </si>
  <si>
    <t>#define CAN_CFG_ID_VALUE_2_MB005            (0x00000000UL)</t>
  </si>
  <si>
    <t>#define CAN_CFG_ID_VALUE_2_MB006            (0x00000000UL)</t>
  </si>
  <si>
    <t>#define CAN_CFG_ID_VALUE_2_MB007            (0x00000000UL)</t>
  </si>
  <si>
    <t>#define CAN_CFG_ID_VALUE_2_MB008            (0x00000000UL)</t>
  </si>
  <si>
    <t>#define CAN_CFG_ID_VALUE_2_MB009            (0x00000000UL)</t>
  </si>
  <si>
    <t>#define CAN_CFG_ID_VALUE_2_MB010            (0x00000000UL)</t>
  </si>
  <si>
    <t>#define CAN_CFG_ID_VALUE_2_MB011            (0x00000000UL)</t>
  </si>
  <si>
    <t>#define CAN_CFG_ID_VALUE_2_MB012            (0x00000000UL)</t>
  </si>
  <si>
    <t>#define CAN_CFG_ID_VALUE_2_MB013            (0x00000000UL)</t>
  </si>
  <si>
    <t>#define CAN_CFG_ID_VALUE_2_MB014            (0x00000000UL)</t>
  </si>
  <si>
    <t>#define CAN_CFG_ID_VALUE_2_MB015            (0x00000000UL)</t>
  </si>
  <si>
    <t>#define CAN_CFG_ID_VALUE_2_MB016            (0x00000000UL)</t>
  </si>
  <si>
    <t>#define CAN_CFG_ID_VALUE_2_MB017            (0x00000000UL)</t>
  </si>
  <si>
    <t>#define CAN_CFG_ID_VALUE_2_MB018            (0x00000000UL)</t>
  </si>
  <si>
    <t>#define CAN_CFG_ID_VALUE_2_MB019            (0x00000000UL)</t>
  </si>
  <si>
    <t>#define CAN_CFG_ID_VALUE_2_MB020            (0x00000000UL)</t>
  </si>
  <si>
    <t>#define CAN_CFG_ID_VALUE_2_MB021            (0x00000000UL)</t>
  </si>
  <si>
    <t>#define CAN_CFG_ID_VALUE_2_MB022            (0x00000000UL)</t>
  </si>
  <si>
    <t>#define CAN_CFG_ID_VALUE_2_MB023            (0x00000000UL)</t>
  </si>
  <si>
    <t>#define CAN_CFG_ID_VALUE_2_MB024            (0x00000000UL)</t>
  </si>
  <si>
    <t>#define CAN_CFG_ID_VALUE_2_MB025            (0x00000000UL)</t>
  </si>
  <si>
    <t>#define CAN_CFG_ID_VALUE_2_MB026            (0x00000000UL)</t>
  </si>
  <si>
    <t>#define CAN_CFG_ID_VALUE_2_MB027            (0x00000000UL)</t>
  </si>
  <si>
    <t>#define CAN_CFG_ID_VALUE_2_MB028            (0x00000000UL)</t>
  </si>
  <si>
    <t>#define CAN_CFG_ID_VALUE_2_MB029            (0x00000000UL)</t>
  </si>
  <si>
    <t>#define CAN_CFG_ID_VALUE_2_MB030            (0x00000000UL)</t>
  </si>
  <si>
    <t>#define CAN_CFG_ID_VALUE_2_MB031            (0x00000000UL)</t>
  </si>
  <si>
    <t>#define CAN_CFG_ID_VALUE_2_MB032            (0x00000000UL)</t>
  </si>
  <si>
    <t>#define CAN_CFG_ID_VALUE_2_MB033            (0x00000000UL)</t>
  </si>
  <si>
    <t>#define CAN_CFG_ID_VALUE_2_MB034            (0x00000000UL)</t>
  </si>
  <si>
    <t>#define CAN_CFG_ID_VALUE_2_MB035            (0x00000000UL)</t>
  </si>
  <si>
    <t>#define CAN_CFG_ID_VALUE_2_MB036            (0x00000000UL)</t>
  </si>
  <si>
    <t>#define CAN_CFG_ID_VALUE_2_MB037            (0x00000000UL)</t>
  </si>
  <si>
    <t>#define CAN_CFG_ID_VALUE_2_MB038            (0x00000000UL)</t>
  </si>
  <si>
    <t>#define CAN_CFG_ID_VALUE_2_MB039            (0x00000000UL)</t>
  </si>
  <si>
    <t>#define CAN_CFG_ID_VALUE_2_MB040            (0x00000000UL)</t>
  </si>
  <si>
    <t>#define CAN_CFG_ID_VALUE_2_MB041            (0x00000000UL)</t>
  </si>
  <si>
    <t>#define CAN_CFG_ID_VALUE_2_MB042            (0x00000000UL)</t>
  </si>
  <si>
    <t>#define CAN_CFG_ID_VALUE_2_MB043            (0x00000000UL)</t>
  </si>
  <si>
    <t>#define CAN_CFG_ID_VALUE_2_MB044            (0x00000000UL)</t>
  </si>
  <si>
    <t>#define CAN_CFG_ID_VALUE_2_MB045            (0x00000000UL)</t>
  </si>
  <si>
    <t>#define CAN_CFG_ID_VALUE_2_MB046            (0x00000000UL)</t>
  </si>
  <si>
    <t>#define CAN_CFG_ID_VALUE_2_MB047            (0x00000000UL)</t>
  </si>
  <si>
    <t>#define CAN_CFG_ID_VALUE_2_MB048            (0x00000000UL)</t>
  </si>
  <si>
    <t>#define CAN_CFG_ID_VALUE_2_MB049            (0x00000000UL)</t>
  </si>
  <si>
    <t>#define CAN_CFG_ID_VALUE_2_MB050            (0x00000000UL)</t>
  </si>
  <si>
    <t>#define CAN_CFG_ID_VALUE_2_MB051            (0x00000000UL)</t>
  </si>
  <si>
    <t>#define CAN_CFG_ID_VALUE_2_MB052            (0x00000000UL)</t>
  </si>
  <si>
    <t>#define CAN_CFG_ID_VALUE_2_MB053            (0x00000000UL)</t>
  </si>
  <si>
    <t>#define CAN_CFG_ID_VALUE_2_MB054            (0x00000000UL)</t>
  </si>
  <si>
    <t>#define CAN_CFG_ID_VALUE_2_MB055            (0x00000000UL)</t>
  </si>
  <si>
    <t>#define CAN_CFG_ID_VALUE_2_MB056            (0x00000000UL)</t>
  </si>
  <si>
    <t>#define CAN_CFG_ID_VALUE_2_MB057            (0x00000000UL)</t>
  </si>
  <si>
    <t>#define CAN_CFG_ID_VALUE_2_MB058            (0x00000000UL)</t>
  </si>
  <si>
    <t>#define CAN_CFG_ID_VALUE_2_MB059            (0x00000000UL)</t>
  </si>
  <si>
    <t>#define CAN_CFG_ID_VALUE_2_MB060            (0x00000000UL)</t>
  </si>
  <si>
    <t>#define CAN_CFG_ID_VALUE_2_MB061            (0x00000000UL)</t>
  </si>
  <si>
    <t>#define CAN_CFG_ID_VALUE_2_MB062            (0x00000000UL)</t>
  </si>
  <si>
    <t>#define CAN_CFG_ID_VALUE_2_MB063            (0x00000000UL)</t>
  </si>
  <si>
    <t>#define CAN_CFG_ID_VALUE_2_MB064            (0x00000000UL)</t>
  </si>
  <si>
    <t>#define CAN_CFG_ID_VALUE_2_MB065            (0x00000000UL)</t>
  </si>
  <si>
    <t>#define CAN_CFG_ID_VALUE_2_MB066            (0x00000000UL)</t>
  </si>
  <si>
    <t>#define CAN_CFG_ID_VALUE_2_MB067            (0x00000000UL)</t>
  </si>
  <si>
    <t>#define CAN_CFG_ID_VALUE_2_MB068            (0x00000000UL)</t>
  </si>
  <si>
    <t>#define CAN_CFG_ID_VALUE_2_MB069            (0x00000000UL)</t>
  </si>
  <si>
    <t>#define CAN_CFG_ID_VALUE_2_MB070            (0x00000000UL)</t>
  </si>
  <si>
    <t>#define CAN_CFG_ID_VALUE_2_MB071            (0x00000000UL)</t>
  </si>
  <si>
    <t>#define CAN_CFG_ID_VALUE_2_MB072            (0x00000000UL)</t>
  </si>
  <si>
    <t>#define CAN_CFG_ID_VALUE_2_MB073            (0x00000000UL)</t>
  </si>
  <si>
    <t>#define CAN_CFG_ID_VALUE_2_MB074            (0x00000000UL)</t>
  </si>
  <si>
    <t>#define CAN_CFG_ID_VALUE_2_MB075            (0x00000000UL)</t>
  </si>
  <si>
    <t>#define CAN_CFG_ID_VALUE_2_MB076            (0x00000000UL)</t>
  </si>
  <si>
    <t>#define CAN_CFG_ID_VALUE_2_MB077            (0x00000000UL)</t>
  </si>
  <si>
    <t>#define CAN_CFG_ID_VALUE_2_MB078            (0x00000000UL)</t>
  </si>
  <si>
    <t>#define CAN_CFG_ID_VALUE_2_MB079            (0x00000000UL)</t>
  </si>
  <si>
    <t>#define CAN_CFG_ID_VALUE_2_MB080            (0x00000000UL)</t>
  </si>
  <si>
    <t>#define CAN_CFG_ID_VALUE_2_MB081            (0x00000000UL)</t>
  </si>
  <si>
    <t>#define CAN_CFG_ID_VALUE_2_MB082            (0x00000000UL)</t>
  </si>
  <si>
    <t>#define CAN_CFG_ID_VALUE_2_MB083            (0x00000000UL)</t>
  </si>
  <si>
    <t>#define CAN_CFG_ID_VALUE_2_MB084            (0x00000000UL)</t>
  </si>
  <si>
    <t>#define CAN_CFG_ID_VALUE_2_MB085            (0x00000000UL)</t>
  </si>
  <si>
    <t>#define CAN_CFG_ID_VALUE_2_MB086            (0x00000000UL)</t>
  </si>
  <si>
    <t>#define CAN_CFG_ID_VALUE_2_MB087            (0x00000000UL)</t>
  </si>
  <si>
    <t>#define CAN_CFG_ID_VALUE_2_MB088            (0x00000000UL)</t>
  </si>
  <si>
    <t>#define CAN_CFG_ID_VALUE_2_MB089            (0x00000000UL)</t>
  </si>
  <si>
    <t>#define CAN_CFG_ID_VALUE_2_MB090            (0x00000000UL)</t>
  </si>
  <si>
    <t>#define CAN_CFG_ID_VALUE_2_MB091            (0x00000000UL)</t>
  </si>
  <si>
    <t>#define CAN_CFG_ID_VALUE_2_MB092            (0x00000000UL)</t>
  </si>
  <si>
    <t>#define CAN_CFG_ID_VALUE_2_MB093            (0x00000000UL)</t>
  </si>
  <si>
    <t>#define CAN_CFG_ID_VALUE_2_MB094            (0x00000000UL)</t>
  </si>
  <si>
    <t>#define CAN_CFG_ID_VALUE_2_MB095            (0x00000000UL)</t>
  </si>
  <si>
    <t>#define CAN_CFG_ID_VALUE_2_MB096            (0x00000000UL)</t>
  </si>
  <si>
    <t>#define CAN_CFG_ID_VALUE_2_MB097            (0x00000000UL)</t>
  </si>
  <si>
    <t>#define CAN_CFG_ID_VALUE_2_MB098            (0x00000000UL)</t>
  </si>
  <si>
    <t>#define CAN_CFG_ID_VALUE_2_MB099            (0x00000000UL)</t>
  </si>
  <si>
    <t>#define CAN_CFG_ID_VALUE_2_MB100            (0x00000000UL)</t>
  </si>
  <si>
    <t>#define CAN_CFG_ID_VALUE_2_MB101            (0x00000000UL)</t>
  </si>
  <si>
    <t>#define CAN_CFG_ID_VALUE_2_MB102            (0x00000000UL)</t>
  </si>
  <si>
    <t>#define CAN_CFG_ID_VALUE_2_MB103            (0x00000000UL)</t>
  </si>
  <si>
    <t>#define CAN_CFG_ID_VALUE_2_MB104            (0x00000000UL)</t>
  </si>
  <si>
    <t>#define CAN_CFG_ID_VALUE_2_MB105            (0x00000000UL)</t>
  </si>
  <si>
    <t>#define CAN_CFG_ID_VALUE_2_MB106            (0x00000000UL)</t>
  </si>
  <si>
    <t>#define CAN_CFG_ID_VALUE_2_MB107            (0x00000000UL)</t>
  </si>
  <si>
    <t>#define CAN_CFG_ID_VALUE_2_MB108            (0x00000000UL)</t>
  </si>
  <si>
    <t>#define CAN_CFG_ID_VALUE_2_MB109            (0x00000000UL)</t>
  </si>
  <si>
    <t>#define CAN_CFG_ID_VALUE_2_MB110            (0x00000000UL)</t>
  </si>
  <si>
    <t>#define CAN_CFG_ID_VALUE_2_MB111            (0x00000000UL)</t>
  </si>
  <si>
    <t>#define CAN_CFG_ID_VALUE_2_MB112            (0x00000000UL)</t>
  </si>
  <si>
    <t>#define CAN_CFG_ID_VALUE_2_MB113            (0x00000000UL)</t>
  </si>
  <si>
    <t>#define CAN_CFG_ID_VALUE_2_MB114            (0x00000000UL)</t>
  </si>
  <si>
    <t>#define CAN_CFG_ID_VALUE_2_MB115            (0x00000000UL)</t>
  </si>
  <si>
    <t>#define CAN_CFG_ID_VALUE_2_MB116            (0x00000000UL)</t>
  </si>
  <si>
    <t>#define CAN_CFG_ID_VALUE_2_MB117            (0x00000000UL)</t>
  </si>
  <si>
    <t>#define CAN_CFG_ID_VALUE_2_MB118            (0x00000000UL)</t>
  </si>
  <si>
    <t>#define CAN_CFG_ID_VALUE_2_MB119            (0x00000000UL)</t>
  </si>
  <si>
    <t>#define CAN_CFG_ID_VALUE_2_MB120            (0x00000000UL)</t>
  </si>
  <si>
    <t>#define CAN_CFG_ID_VALUE_2_MB121            (0x00000000UL)</t>
  </si>
  <si>
    <t>#define CAN_CFG_ID_VALUE_2_MB122            (0x00000000UL)</t>
  </si>
  <si>
    <t>#define CAN_CFG_ID_VALUE_2_MB123            (0x00000000UL)</t>
  </si>
  <si>
    <t>#define CAN_CFG_ID_VALUE_2_MB124            (0x00000000UL)</t>
  </si>
  <si>
    <t>#define CAN_CFG_ID_VALUE_2_MB125            (0x00000000UL)</t>
  </si>
  <si>
    <t>#define CAN_CFG_ID_VALUE_2_MB126            (0x00000000UL)</t>
  </si>
  <si>
    <t>#define CAN_CFG_ID_VALUE_2_MB127            (0x00000000UL)</t>
  </si>
  <si>
    <t>#define CAN_CFG_ID_VALUE_2_MB128            (0x00000000UL)</t>
  </si>
  <si>
    <t>#define CAN_CFG_ID_VALUE_2_MB129            (0x00000000UL)</t>
  </si>
  <si>
    <t>#define CAN_CFG_ID_VALUE_2_MB130            (0x00000000UL)</t>
  </si>
  <si>
    <t>#define CAN_CFG_ID_VALUE_2_MB131            (0x00000000UL)</t>
  </si>
  <si>
    <t>#define CAN_CFG_ID_VALUE_2_MB132            (0x00000000UL)</t>
  </si>
  <si>
    <t>#define CAN_CFG_ID_VALUE_2_MB133            (0x00000000UL)</t>
  </si>
  <si>
    <t>#define CAN_CFG_ID_VALUE_2_MB134            (0x00000000UL)</t>
  </si>
  <si>
    <t>#define CAN_CFG_ID_VALUE_2_MB135            (0x00000000UL)</t>
  </si>
  <si>
    <t>#define CAN_CFG_ID_VALUE_2_MB136            (0x00000000UL)</t>
  </si>
  <si>
    <t>#define CAN_CFG_ID_VALUE_2_MB137            (0x00000000UL)</t>
  </si>
  <si>
    <t>#define CAN_CFG_ID_VALUE_2_MB138            (0x00000000UL)</t>
  </si>
  <si>
    <t>#define CAN_CFG_ID_VALUE_2_MB139            (0x00000000UL)</t>
  </si>
  <si>
    <t>#define CAN_CFG_ID_VALUE_2_MB140            (0x00000000UL)</t>
  </si>
  <si>
    <t>#define CAN_CFG_ID_VALUE_2_MB141            (0x00000000UL)</t>
  </si>
  <si>
    <t>#define CAN_CFG_ID_VALUE_2_MB142            (0x00000000UL)</t>
  </si>
  <si>
    <t>#define CAN_CFG_ID_VALUE_2_MB143            (0x00000000UL)</t>
  </si>
  <si>
    <t>#define CAN_CFG_ID_VALUE_2_MB144            (0x00000000UL)</t>
  </si>
  <si>
    <t>#define CAN_CFG_ID_VALUE_2_MB145            (0x00000000UL)</t>
  </si>
  <si>
    <t>#define CAN_CFG_ID_VALUE_2_MB146            (0x00000000UL)</t>
  </si>
  <si>
    <t>#define CAN_CFG_ID_VALUE_2_MB147            (0x00000000UL)</t>
  </si>
  <si>
    <t>#define CAN_CFG_ID_VALUE_2_MB148            (0x00000000UL)</t>
  </si>
  <si>
    <t>#define CAN_CFG_ID_VALUE_2_MB149            (0x00000000UL)</t>
  </si>
  <si>
    <t>#define CAN_CFG_ID_VALUE_2_MB150            (0x00000000UL)</t>
  </si>
  <si>
    <t>#define CAN_CFG_ID_VALUE_2_MB151            (0x00000000UL)</t>
  </si>
  <si>
    <t>#define CAN_CFG_ID_VALUE_2_MB152            (0x00000000UL)</t>
  </si>
  <si>
    <t>#define CAN_CFG_ID_VALUE_2_MB153            (0x00000000UL)</t>
  </si>
  <si>
    <t>#define CAN_CFG_ID_VALUE_2_MB154            (0x00000000UL)</t>
  </si>
  <si>
    <t>#define CAN_CFG_ID_VALUE_2_MB155            (0x00000000UL)</t>
  </si>
  <si>
    <t>#define CAN_CFG_ID_VALUE_2_MB156            (0x00000000UL)</t>
  </si>
  <si>
    <t>#define CAN_CFG_ID_VALUE_2_MB157            (0x00000000UL)</t>
  </si>
  <si>
    <t>#define CAN_CFG_ID_VALUE_2_MB158            (0x00000000UL)</t>
  </si>
  <si>
    <t>#define CAN_CFG_ID_VALUE_2_MB159            (0x00000000UL)</t>
  </si>
  <si>
    <t>#define CAN_CFG_ID_VALUE_2_MB160            (0x00000000UL)</t>
  </si>
  <si>
    <t>#define CAN_CFG_ID_VALUE_2_MB161            (0x00000000UL)</t>
  </si>
  <si>
    <t>#define CAN_CFG_ID_VALUE_2_MB162            (0x00000000UL)</t>
  </si>
  <si>
    <t>#define CAN_CFG_ID_VALUE_2_MB163            (0x00000000UL)</t>
  </si>
  <si>
    <t>#define CAN_CFG_ID_VALUE_2_MB164            (0x00000000UL)</t>
  </si>
  <si>
    <t>#define CAN_CFG_ID_VALUE_2_MB165            (0x00000000UL)</t>
  </si>
  <si>
    <t>#define CAN_CFG_ID_VALUE_2_MB166            (0x00000000UL)</t>
  </si>
  <si>
    <t>#define CAN_CFG_ID_VALUE_2_MB167            (0x00000000UL)</t>
  </si>
  <si>
    <t>#define CAN_CFG_ID_VALUE_2_MB168            (0x00000000UL)</t>
  </si>
  <si>
    <t>#define CAN_CFG_ID_VALUE_2_MB169            (0x00000000UL)</t>
  </si>
  <si>
    <t>#define CAN_CFG_ID_VALUE_2_MB170            (0x00000000UL)</t>
  </si>
  <si>
    <t>#define CAN_CFG_ID_VALUE_2_MB171            (0x00000000UL)</t>
  </si>
  <si>
    <t>#define CAN_CFG_ID_VALUE_2_MB172            (0x00000000UL)</t>
  </si>
  <si>
    <t>#define CAN_CFG_ID_VALUE_2_MB173            (0x00000000UL)</t>
  </si>
  <si>
    <t>#define CAN_CFG_ID_VALUE_2_MB174            (0x00000000UL)</t>
  </si>
  <si>
    <t>#define CAN_CFG_ID_VALUE_2_MB175            (0x00000000UL)</t>
  </si>
  <si>
    <t>#define CAN_CFG_ID_VALUE_2_MB176            (0x00000000UL)</t>
  </si>
  <si>
    <t>#define CAN_CFG_ID_VALUE_2_MB177            (0x00000000UL)</t>
  </si>
  <si>
    <t>#define CAN_CFG_ID_VALUE_2_MB178            (0x00000000UL)</t>
  </si>
  <si>
    <t>#define CAN_CFG_ID_VALUE_2_MB179            (0x00000000UL)</t>
  </si>
  <si>
    <t>#define CAN_CFG_ID_VALUE_2_MB180            (0x00000000UL)</t>
  </si>
  <si>
    <t>#define CAN_CFG_ID_VALUE_2_MB181            (0x00000000UL)</t>
  </si>
  <si>
    <t>#define CAN_CFG_ID_VALUE_2_MB182            (0x00000000UL)</t>
  </si>
  <si>
    <t>#define CAN_CFG_ID_VALUE_2_MB183            (0x00000000UL)</t>
  </si>
  <si>
    <t>#define CAN_CFG_ID_VALUE_2_MB184            (0x00000000UL)</t>
  </si>
  <si>
    <t>#define CAN_CFG_ID_VALUE_2_MB185            (0x00000000UL)</t>
  </si>
  <si>
    <t>#define CAN_CFG_ID_VALUE_2_MB186            (0x00000000UL)</t>
  </si>
  <si>
    <t>#define CAN_CFG_ID_VALUE_2_MB187            (0x00000000UL)</t>
  </si>
  <si>
    <t>#define CAN_CFG_ID_VALUE_2_MB188            (0x00000000UL)</t>
  </si>
  <si>
    <t>#define CAN_CFG_ID_VALUE_2_MB189            (0x00000000UL)</t>
  </si>
  <si>
    <t>#define CAN_CFG_ID_VALUE_2_MB190            (0x00000000UL)</t>
  </si>
  <si>
    <t>#define CAN_CFG_ID_VALUE_2_MB191            (0x00000000UL)</t>
  </si>
  <si>
    <t>/* CAN Controller 3 CAN-ID Values */</t>
  </si>
  <si>
    <t>#define CAN_CFG_ID_VALUE_3_MB000            (0x00000000UL)</t>
  </si>
  <si>
    <t>#define CAN_CFG_ID_VALUE_3_MB001            (0x00000000UL)</t>
  </si>
  <si>
    <t>#define CAN_CFG_ID_VALUE_3_MB002            (0x00000440UL)</t>
  </si>
  <si>
    <t>#define CAN_CFG_ID_VALUE_3_MB003            (0x000005D0UL)</t>
  </si>
  <si>
    <t>CAN_CFG_ID_VALUE_3_MB003      </t>
  </si>
  <si>
    <t>#define CAN_CFG_ID_VALUE_3_MB004            (0x000001E4UL)</t>
  </si>
  <si>
    <t>CAN_CFG_ID_VALUE_3_MB004      </t>
  </si>
  <si>
    <t>#define CAN_CFG_ID_VALUE_3_MB005            (0x00000000UL)</t>
  </si>
  <si>
    <t>#define CAN_CFG_ID_VALUE_3_MB006            (0x00000000UL)</t>
  </si>
  <si>
    <t>#define CAN_CFG_ID_VALUE_3_MB007            (0x00000000UL)</t>
  </si>
  <si>
    <t>#define CAN_CFG_ID_VALUE_3_MB008            (0x00000000UL)</t>
  </si>
  <si>
    <t>#define CAN_CFG_ID_VALUE_3_MB009            (0x00000000UL)</t>
  </si>
  <si>
    <t>#define CAN_CFG_ID_VALUE_3_MB010            (0x00000000UL)</t>
  </si>
  <si>
    <t>#define CAN_CFG_ID_VALUE_3_MB011            (0x00000000UL)</t>
  </si>
  <si>
    <t>#define CAN_CFG_ID_VALUE_3_MB012            (0x00000000UL)</t>
  </si>
  <si>
    <t>#define CAN_CFG_ID_VALUE_3_MB013            (0x00000000UL)</t>
  </si>
  <si>
    <t>#define CAN_CFG_ID_VALUE_3_MB014            (0x00000000UL)</t>
  </si>
  <si>
    <t>#define CAN_CFG_ID_VALUE_3_MB015            (0x00000000UL)</t>
  </si>
  <si>
    <t>#define CAN_CFG_ID_VALUE_3_MB016            (0x00000000UL)</t>
  </si>
  <si>
    <t>#define CAN_CFG_ID_VALUE_3_MB017            (0x00000000UL)</t>
  </si>
  <si>
    <t>#define CAN_CFG_ID_VALUE_3_MB018            (0x00000000UL)</t>
  </si>
  <si>
    <t>#define CAN_CFG_ID_VALUE_3_MB019            (0x00000000UL)</t>
  </si>
  <si>
    <t>#define CAN_CFG_ID_VALUE_3_MB020            (0x00000000UL)</t>
  </si>
  <si>
    <t>#define CAN_CFG_ID_VALUE_3_MB021            (0x00000000UL)</t>
  </si>
  <si>
    <t>#define CAN_CFG_ID_VALUE_3_MB022            (0x00000000UL)</t>
  </si>
  <si>
    <t>#define CAN_CFG_ID_VALUE_3_MB023            (0x00000000UL)</t>
  </si>
  <si>
    <t>#define CAN_CFG_ID_VALUE_3_MB024            (0x00000000UL)</t>
  </si>
  <si>
    <t>#define CAN_CFG_ID_VALUE_3_MB025            (0x00000000UL)</t>
  </si>
  <si>
    <t>#define CAN_CFG_ID_VALUE_3_MB026            (0x00000000UL)</t>
  </si>
  <si>
    <t>#define CAN_CFG_ID_VALUE_3_MB027            (0x00000000UL)</t>
  </si>
  <si>
    <t>#define CAN_CFG_ID_VALUE_3_MB028            (0x00000000UL)</t>
  </si>
  <si>
    <t>#define CAN_CFG_ID_VALUE_3_MB029            (0x00000000UL)</t>
  </si>
  <si>
    <t>#define CAN_CFG_ID_VALUE_3_MB030            (0x00000000UL)</t>
  </si>
  <si>
    <t>#define CAN_CFG_ID_VALUE_3_MB031            (0x00000000UL)</t>
  </si>
  <si>
    <t>#define CAN_CFG_ID_VALUE_3_MB032            (0x00000000UL)</t>
  </si>
  <si>
    <t>#define CAN_CFG_ID_VALUE_3_MB033            (0x00000000UL)</t>
  </si>
  <si>
    <t>#define CAN_CFG_ID_VALUE_3_MB034            (0x00000000UL)</t>
  </si>
  <si>
    <t>#define CAN_CFG_ID_VALUE_3_MB035            (0x00000000UL)</t>
  </si>
  <si>
    <t>#define CAN_CFG_ID_VALUE_3_MB036            (0x00000000UL)</t>
  </si>
  <si>
    <t>#define CAN_CFG_ID_VALUE_3_MB037            (0x00000000UL)</t>
  </si>
  <si>
    <t>#define CAN_CFG_ID_VALUE_3_MB038            (0x00000000UL)</t>
  </si>
  <si>
    <t>#define CAN_CFG_ID_VALUE_3_MB039            (0x00000000UL)</t>
  </si>
  <si>
    <t>#define CAN_CFG_ID_VALUE_3_MB040            (0x00000000UL)</t>
  </si>
  <si>
    <t>#define CAN_CFG_ID_VALUE_3_MB041            (0x00000000UL)</t>
  </si>
  <si>
    <t>#define CAN_CFG_ID_VALUE_3_MB042            (0x00000000UL)</t>
  </si>
  <si>
    <t>#define CAN_CFG_ID_VALUE_3_MB043            (0x00000000UL)</t>
  </si>
  <si>
    <t>#define CAN_CFG_ID_VALUE_3_MB044            (0x00000000UL)</t>
  </si>
  <si>
    <t>#define CAN_CFG_ID_VALUE_3_MB045            (0x00000000UL)</t>
  </si>
  <si>
    <t>#define CAN_CFG_ID_VALUE_3_MB046            (0x00000000UL)</t>
  </si>
  <si>
    <t>#define CAN_CFG_ID_VALUE_3_MB047            (0x00000000UL)</t>
  </si>
  <si>
    <t>#define CAN_CFG_ID_VALUE_3_MB048            (0x00000000UL)</t>
  </si>
  <si>
    <t>#define CAN_CFG_ID_VALUE_3_MB049            (0x00000000UL)</t>
  </si>
  <si>
    <t>#define CAN_CFG_ID_VALUE_3_MB050            (0x00000000UL)</t>
  </si>
  <si>
    <t>#define CAN_CFG_ID_VALUE_3_MB051            (0x00000000UL)</t>
  </si>
  <si>
    <t>#define CAN_CFG_ID_VALUE_3_MB052            (0x00000000UL)</t>
  </si>
  <si>
    <t>#define CAN_CFG_ID_VALUE_3_MB053            (0x00000000UL)</t>
  </si>
  <si>
    <t>#define CAN_CFG_ID_VALUE_3_MB054            (0x00000000UL)</t>
  </si>
  <si>
    <t>#define CAN_CFG_ID_VALUE_3_MB055            (0x00000000UL)</t>
  </si>
  <si>
    <t>#define CAN_CFG_ID_VALUE_3_MB056            (0x00000000UL)</t>
  </si>
  <si>
    <t>#define CAN_CFG_ID_VALUE_3_MB057            (0x00000000UL)</t>
  </si>
  <si>
    <t>#define CAN_CFG_ID_VALUE_3_MB058            (0x00000000UL)</t>
  </si>
  <si>
    <t>#define CAN_CFG_ID_VALUE_3_MB059            (0x00000000UL)</t>
  </si>
  <si>
    <t>#define CAN_CFG_ID_VALUE_3_MB060            (0x00000000UL)</t>
  </si>
  <si>
    <t>#define CAN_CFG_ID_VALUE_3_MB061            (0x00000000UL)</t>
  </si>
  <si>
    <t>#define CAN_CFG_ID_VALUE_3_MB062            (0x00000000UL)</t>
  </si>
  <si>
    <t>#define CAN_CFG_ID_VALUE_3_MB063            (0x00000000UL)</t>
  </si>
  <si>
    <t>#define CAN_CFG_ID_VALUE_3_MB064            (0x00000000UL)</t>
  </si>
  <si>
    <t>#define CAN_CFG_ID_VALUE_3_MB065            (0x00000000UL)</t>
  </si>
  <si>
    <t>#define CAN_CFG_ID_VALUE_3_MB066            (0x00000000UL)</t>
  </si>
  <si>
    <t>#define CAN_CFG_ID_VALUE_3_MB067            (0x00000000UL)</t>
  </si>
  <si>
    <t>#define CAN_CFG_ID_VALUE_3_MB068            (0x00000000UL)</t>
  </si>
  <si>
    <t>#define CAN_CFG_ID_VALUE_3_MB069            (0x00000000UL)</t>
  </si>
  <si>
    <t>#define CAN_CFG_ID_VALUE_3_MB070            (0x00000000UL)</t>
  </si>
  <si>
    <t>#define CAN_CFG_ID_VALUE_3_MB071            (0x00000000UL)</t>
  </si>
  <si>
    <t>#define CAN_CFG_ID_VALUE_3_MB072            (0x00000000UL)</t>
  </si>
  <si>
    <t>#define CAN_CFG_ID_VALUE_3_MB073            (0x00000000UL)</t>
  </si>
  <si>
    <t>#define CAN_CFG_ID_VALUE_3_MB074            (0x00000000UL)</t>
  </si>
  <si>
    <t>#define CAN_CFG_ID_VALUE_3_MB075            (0x00000000UL)</t>
  </si>
  <si>
    <t>#define CAN_CFG_ID_VALUE_3_MB076            (0x00000000UL)</t>
  </si>
  <si>
    <t>#define CAN_CFG_ID_VALUE_3_MB077            (0x00000000UL)</t>
  </si>
  <si>
    <t>#define CAN_CFG_ID_VALUE_3_MB078            (0x00000000UL)</t>
  </si>
  <si>
    <t>#define CAN_CFG_ID_VALUE_3_MB079            (0x00000000UL)</t>
  </si>
  <si>
    <t>#define CAN_CFG_ID_VALUE_3_MB080            (0x00000000UL)</t>
  </si>
  <si>
    <t>#define CAN_CFG_ID_VALUE_3_MB081            (0x00000000UL)</t>
  </si>
  <si>
    <t>#define CAN_CFG_ID_VALUE_3_MB082            (0x00000000UL)</t>
  </si>
  <si>
    <t>#define CAN_CFG_ID_VALUE_3_MB083            (0x00000000UL)</t>
  </si>
  <si>
    <t>#define CAN_CFG_ID_VALUE_3_MB084            (0x00000000UL)</t>
  </si>
  <si>
    <t>#define CAN_CFG_ID_VALUE_3_MB085            (0x00000000UL)</t>
  </si>
  <si>
    <t>#define CAN_CFG_ID_VALUE_3_MB086            (0x00000000UL)</t>
  </si>
  <si>
    <t>#define CAN_CFG_ID_VALUE_3_MB087            (0x00000000UL)</t>
  </si>
  <si>
    <t>#define CAN_CFG_ID_VALUE_3_MB088            (0x00000000UL)</t>
  </si>
  <si>
    <t>#define CAN_CFG_ID_VALUE_3_MB089            (0x00000000UL)</t>
  </si>
  <si>
    <t>#define CAN_CFG_ID_VALUE_3_MB090            (0x00000000UL)</t>
  </si>
  <si>
    <t>#define CAN_CFG_ID_VALUE_3_MB091            (0x00000000UL)</t>
  </si>
  <si>
    <t>#define CAN_CFG_ID_VALUE_3_MB092            (0x00000000UL)</t>
  </si>
  <si>
    <t>#define CAN_CFG_ID_VALUE_3_MB093            (0x00000000UL)</t>
  </si>
  <si>
    <t>#define CAN_CFG_ID_VALUE_3_MB094            (0x00000000UL)</t>
  </si>
  <si>
    <t>#define CAN_CFG_ID_VALUE_3_MB095            (0x00000000UL)</t>
  </si>
  <si>
    <t>#define CAN_CFG_ID_VALUE_3_MB096            (0x00000000UL)</t>
  </si>
  <si>
    <t>#define CAN_CFG_ID_VALUE_3_MB097            (0x00000000UL)</t>
  </si>
  <si>
    <t>#define CAN_CFG_ID_VALUE_3_MB098            (0x00000000UL)</t>
  </si>
  <si>
    <t>#define CAN_CFG_ID_VALUE_3_MB099            (0x00000000UL)</t>
  </si>
  <si>
    <t>#define CAN_CFG_ID_VALUE_3_MB100            (0x00000000UL)</t>
  </si>
  <si>
    <t>#define CAN_CFG_ID_VALUE_3_MB101            (0x00000000UL)</t>
  </si>
  <si>
    <t>#define CAN_CFG_ID_VALUE_3_MB102            (0x00000000UL)</t>
  </si>
  <si>
    <t>#define CAN_CFG_ID_VALUE_3_MB103            (0x00000000UL)</t>
  </si>
  <si>
    <t>#define CAN_CFG_ID_VALUE_3_MB104            (0x00000000UL)</t>
  </si>
  <si>
    <t>#define CAN_CFG_ID_VALUE_3_MB105            (0x00000000UL)</t>
  </si>
  <si>
    <t>#define CAN_CFG_ID_VALUE_3_MB106            (0x00000000UL)</t>
  </si>
  <si>
    <t>#define CAN_CFG_ID_VALUE_3_MB107            (0x00000000UL)</t>
  </si>
  <si>
    <t>#define CAN_CFG_ID_VALUE_3_MB108            (0x00000000UL)</t>
  </si>
  <si>
    <t>#define CAN_CFG_ID_VALUE_3_MB109            (0x00000000UL)</t>
  </si>
  <si>
    <t>#define CAN_CFG_ID_VALUE_3_MB110            (0x00000000UL)</t>
  </si>
  <si>
    <t>#define CAN_CFG_ID_VALUE_3_MB111            (0x00000000UL)</t>
  </si>
  <si>
    <t>#define CAN_CFG_ID_VALUE_3_MB112            (0x00000000UL)</t>
  </si>
  <si>
    <t>#define CAN_CFG_ID_VALUE_3_MB113            (0x00000000UL)</t>
  </si>
  <si>
    <t>#define CAN_CFG_ID_VALUE_3_MB114            (0x00000000UL)</t>
  </si>
  <si>
    <t>#define CAN_CFG_ID_VALUE_3_MB115            (0x00000000UL)</t>
  </si>
  <si>
    <t>#define CAN_CFG_ID_VALUE_3_MB116            (0x00000000UL)</t>
  </si>
  <si>
    <t>#define CAN_CFG_ID_VALUE_3_MB117            (0x00000000UL)</t>
  </si>
  <si>
    <t>#define CAN_CFG_ID_VALUE_3_MB118            (0x00000000UL)</t>
  </si>
  <si>
    <t>#define CAN_CFG_ID_VALUE_3_MB119            (0x00000000UL)</t>
  </si>
  <si>
    <t>#define CAN_CFG_ID_VALUE_3_MB120            (0x00000000UL)</t>
  </si>
  <si>
    <t>#define CAN_CFG_ID_VALUE_3_MB121            (0x00000000UL)</t>
  </si>
  <si>
    <t>#define CAN_CFG_ID_VALUE_3_MB122            (0x00000000UL)</t>
  </si>
  <si>
    <t>#define CAN_CFG_ID_VALUE_3_MB123            (0x00000000UL)</t>
  </si>
  <si>
    <t>#define CAN_CFG_ID_VALUE_3_MB124            (0x00000000UL)</t>
  </si>
  <si>
    <t>#define CAN_CFG_ID_VALUE_3_MB125            (0x00000000UL)</t>
  </si>
  <si>
    <t>#define CAN_CFG_ID_VALUE_3_MB126            (0x00000000UL)</t>
  </si>
  <si>
    <t>#define CAN_CFG_ID_VALUE_3_MB127            (0x00000000UL)</t>
  </si>
  <si>
    <t>#define CAN_CFG_ID_VALUE_3_MB128            (0x00000000UL)</t>
  </si>
  <si>
    <t>#define CAN_CFG_ID_VALUE_3_MB129            (0x00000000UL)</t>
  </si>
  <si>
    <t>#define CAN_CFG_ID_VALUE_3_MB130            (0x00000000UL)</t>
  </si>
  <si>
    <t>#define CAN_CFG_ID_VALUE_3_MB131            (0x00000000UL)</t>
  </si>
  <si>
    <t>#define CAN_CFG_ID_VALUE_3_MB132            (0x00000000UL)</t>
  </si>
  <si>
    <t>#define CAN_CFG_ID_VALUE_3_MB133            (0x00000000UL)</t>
  </si>
  <si>
    <t>#define CAN_CFG_ID_VALUE_3_MB134            (0x00000000UL)</t>
  </si>
  <si>
    <t>#define CAN_CFG_ID_VALUE_3_MB135            (0x00000000UL)</t>
  </si>
  <si>
    <t>#define CAN_CFG_ID_VALUE_3_MB136            (0x00000000UL)</t>
  </si>
  <si>
    <t>#define CAN_CFG_ID_VALUE_3_MB137            (0x00000000UL)</t>
  </si>
  <si>
    <t>#define CAN_CFG_ID_VALUE_3_MB138            (0x00000000UL)</t>
  </si>
  <si>
    <t>#define CAN_CFG_ID_VALUE_3_MB139            (0x00000000UL)</t>
  </si>
  <si>
    <t>#define CAN_CFG_ID_VALUE_3_MB140            (0x00000000UL)</t>
  </si>
  <si>
    <t>#define CAN_CFG_ID_VALUE_3_MB141            (0x00000000UL)</t>
  </si>
  <si>
    <t>#define CAN_CFG_ID_VALUE_3_MB142            (0x00000000UL)</t>
  </si>
  <si>
    <t>#define CAN_CFG_ID_VALUE_3_MB143            (0x00000000UL)</t>
  </si>
  <si>
    <t>#define CAN_CFG_ID_VALUE_3_MB144            (0x00000000UL)</t>
  </si>
  <si>
    <t>#define CAN_CFG_ID_VALUE_3_MB145            (0x00000000UL)</t>
  </si>
  <si>
    <t>#define CAN_CFG_ID_VALUE_3_MB146            (0x00000000UL)</t>
  </si>
  <si>
    <t>#define CAN_CFG_ID_VALUE_3_MB147            (0x00000000UL)</t>
  </si>
  <si>
    <t>#define CAN_CFG_ID_VALUE_3_MB148            (0x00000000UL)</t>
  </si>
  <si>
    <t>#define CAN_CFG_ID_VALUE_3_MB149            (0x00000000UL)</t>
  </si>
  <si>
    <t>#define CAN_CFG_ID_VALUE_3_MB150            (0x00000000UL)</t>
  </si>
  <si>
    <t>#define CAN_CFG_ID_VALUE_3_MB151            (0x00000000UL)</t>
  </si>
  <si>
    <t>#define CAN_CFG_ID_VALUE_3_MB152            (0x00000000UL)</t>
  </si>
  <si>
    <t>#define CAN_CFG_ID_VALUE_3_MB153            (0x00000000UL)</t>
  </si>
  <si>
    <t>#define CAN_CFG_ID_VALUE_3_MB154            (0x00000000UL)</t>
  </si>
  <si>
    <t>#define CAN_CFG_ID_VALUE_3_MB155            (0x00000000UL)</t>
  </si>
  <si>
    <t>#define CAN_CFG_ID_VALUE_3_MB156            (0x00000000UL)</t>
  </si>
  <si>
    <t>#define CAN_CFG_ID_VALUE_3_MB157            (0x00000000UL)</t>
  </si>
  <si>
    <t>#define CAN_CFG_ID_VALUE_3_MB158            (0x00000000UL)</t>
  </si>
  <si>
    <t>#define CAN_CFG_ID_VALUE_3_MB159            (0x00000000UL)</t>
  </si>
  <si>
    <t>#define CAN_CFG_ID_VALUE_3_MB160            (0x00000000UL)</t>
  </si>
  <si>
    <t>#define CAN_CFG_ID_VALUE_3_MB161            (0x00000000UL)</t>
  </si>
  <si>
    <t>#define CAN_CFG_ID_VALUE_3_MB162            (0x00000000UL)</t>
  </si>
  <si>
    <t>#define CAN_CFG_ID_VALUE_3_MB163            (0x00000000UL)</t>
  </si>
  <si>
    <t>#define CAN_CFG_ID_VALUE_3_MB164            (0x00000000UL)</t>
  </si>
  <si>
    <t>#define CAN_CFG_ID_VALUE_3_MB165            (0x00000000UL)</t>
  </si>
  <si>
    <t>#define CAN_CFG_ID_VALUE_3_MB166            (0x00000000UL)</t>
  </si>
  <si>
    <t>#define CAN_CFG_ID_VALUE_3_MB167            (0x00000000UL)</t>
  </si>
  <si>
    <t>#define CAN_CFG_ID_VALUE_3_MB168            (0x00000000UL)</t>
  </si>
  <si>
    <t>#define CAN_CFG_ID_VALUE_3_MB169            (0x00000000UL)</t>
  </si>
  <si>
    <t>#define CAN_CFG_ID_VALUE_3_MB170            (0x00000000UL)</t>
  </si>
  <si>
    <t>#define CAN_CFG_ID_VALUE_3_MB171            (0x00000000UL)</t>
  </si>
  <si>
    <t>#define CAN_CFG_ID_VALUE_3_MB172            (0x00000000UL)</t>
  </si>
  <si>
    <t>#define CAN_CFG_ID_VALUE_3_MB173            (0x00000000UL)</t>
  </si>
  <si>
    <t>#define CAN_CFG_ID_VALUE_3_MB174            (0x00000000UL)</t>
  </si>
  <si>
    <t>#define CAN_CFG_ID_VALUE_3_MB175            (0x00000000UL)</t>
  </si>
  <si>
    <t>#define CAN_CFG_ID_VALUE_3_MB176            (0x00000000UL)</t>
  </si>
  <si>
    <t>#define CAN_CFG_ID_VALUE_3_MB177            (0x00000000UL)</t>
  </si>
  <si>
    <t>#define CAN_CFG_ID_VALUE_3_MB178            (0x00000000UL)</t>
  </si>
  <si>
    <t>#define CAN_CFG_ID_VALUE_3_MB179            (0x00000000UL)</t>
  </si>
  <si>
    <t>#define CAN_CFG_ID_VALUE_3_MB180            (0x00000000UL)</t>
  </si>
  <si>
    <t>#define CAN_CFG_ID_VALUE_3_MB181            (0x00000000UL)</t>
  </si>
  <si>
    <t>#define CAN_CFG_ID_VALUE_3_MB182            (0x00000000UL)</t>
  </si>
  <si>
    <t>#define CAN_CFG_ID_VALUE_3_MB183            (0x00000000UL)</t>
  </si>
  <si>
    <t>#define CAN_CFG_ID_VALUE_3_MB184            (0x00000000UL)</t>
  </si>
  <si>
    <t>#define CAN_CFG_ID_VALUE_3_MB185            (0x00000000UL)</t>
  </si>
  <si>
    <t>#define CAN_CFG_ID_VALUE_3_MB186            (0x00000000UL)</t>
  </si>
  <si>
    <t>#define CAN_CFG_ID_VALUE_3_MB187            (0x00000000UL)</t>
  </si>
  <si>
    <t>#define CAN_CFG_ID_VALUE_3_MB188            (0x00000000UL)</t>
  </si>
  <si>
    <t>#define CAN_CFG_ID_VALUE_3_MB189            (0x00000000UL)</t>
  </si>
  <si>
    <t>#define CAN_CFG_ID_VALUE_3_MB190            (0x00000000UL)</t>
  </si>
  <si>
    <t>#define CAN_CFG_ID_VALUE_3_MB191            (0x00000000UL)</t>
  </si>
  <si>
    <t>/* CAN Controller 4 CAN-ID Values */</t>
  </si>
  <si>
    <t>#define CAN_CFG_ID_VALUE_4_MB000            (0x00000000UL)</t>
  </si>
  <si>
    <t>#define CAN_CFG_ID_VALUE_4_MB001            (0x00000000UL)</t>
  </si>
  <si>
    <t>#define CAN_CFG_ID_VALUE_4_MB002            (0x00000000UL)</t>
  </si>
  <si>
    <t>#define CAN_CFG_ID_VALUE_4_MB003            (0x00000000UL)</t>
  </si>
  <si>
    <t>#define CAN_CFG_ID_VALUE_4_MB004            (0x00000000UL)</t>
  </si>
  <si>
    <t>#define CAN_CFG_ID_VALUE_4_MB005            (0x00000000UL)</t>
  </si>
  <si>
    <t>#define CAN_CFG_ID_VALUE_4_MB006            (0x00000000UL)</t>
  </si>
  <si>
    <t>#define CAN_CFG_ID_VALUE_4_MB007            (0x00000000UL)</t>
  </si>
  <si>
    <t>#define CAN_CFG_ID_VALUE_4_MB008            (0x00000000UL)</t>
  </si>
  <si>
    <t>#define CAN_CFG_ID_VALUE_4_MB009            (0x00000000UL)</t>
  </si>
  <si>
    <t>#define CAN_CFG_ID_VALUE_4_MB010            (0x00000000UL)</t>
  </si>
  <si>
    <t>#define CAN_CFG_ID_VALUE_4_MB011            (0x00000000UL)</t>
  </si>
  <si>
    <t>#define CAN_CFG_ID_VALUE_4_MB012            (0x00000000UL)</t>
  </si>
  <si>
    <t>#define CAN_CFG_ID_VALUE_4_MB013            (0x00000000UL)</t>
  </si>
  <si>
    <t>#define CAN_CFG_ID_VALUE_4_MB014            (0x00000000UL)</t>
  </si>
  <si>
    <t>#define CAN_CFG_ID_VALUE_4_MB015            (0x00000000UL)</t>
  </si>
  <si>
    <t>#define CAN_CFG_ID_VALUE_4_MB016            (0x00000000UL)</t>
  </si>
  <si>
    <t>#define CAN_CFG_ID_VALUE_4_MB017            (0x00000000UL)</t>
  </si>
  <si>
    <t>#define CAN_CFG_ID_VALUE_4_MB018            (0x00000000UL)</t>
  </si>
  <si>
    <t>#define CAN_CFG_ID_VALUE_4_MB019            (0x00000000UL)</t>
  </si>
  <si>
    <t>#define CAN_CFG_ID_VALUE_4_MB020            (0x00000000UL)</t>
  </si>
  <si>
    <t>#define CAN_CFG_ID_VALUE_4_MB021            (0x00000000UL)</t>
  </si>
  <si>
    <t>#define CAN_CFG_ID_VALUE_4_MB022            (0x00000000UL)</t>
  </si>
  <si>
    <t>#define CAN_CFG_ID_VALUE_4_MB023            (0x00000000UL)</t>
  </si>
  <si>
    <t>#define CAN_CFG_ID_VALUE_4_MB024            (0x00000000UL)</t>
  </si>
  <si>
    <t>#define CAN_CFG_ID_VALUE_4_MB025            (0x00000000UL)</t>
  </si>
  <si>
    <t>#define CAN_CFG_ID_VALUE_4_MB026            (0x00000000UL)</t>
  </si>
  <si>
    <t>#define CAN_CFG_ID_VALUE_4_MB027            (0x00000000UL)</t>
  </si>
  <si>
    <t>#define CAN_CFG_ID_VALUE_4_MB028            (0x00000000UL)</t>
  </si>
  <si>
    <t>#define CAN_CFG_ID_VALUE_4_MB029            (0x00000000UL)</t>
  </si>
  <si>
    <t>#define CAN_CFG_ID_VALUE_4_MB030            (0x00000000UL)</t>
  </si>
  <si>
    <t>#define CAN_CFG_ID_VALUE_4_MB031            (0x00000000UL)</t>
  </si>
  <si>
    <t>#define CAN_CFG_ID_VALUE_4_MB032            (0x00000000UL)</t>
  </si>
  <si>
    <t>#define CAN_CFG_ID_VALUE_4_MB033            (0x00000000UL)</t>
  </si>
  <si>
    <t>#define CAN_CFG_ID_VALUE_4_MB034            (0x00000000UL)</t>
  </si>
  <si>
    <t>#define CAN_CFG_ID_VALUE_4_MB035            (0x00000000UL)</t>
  </si>
  <si>
    <t>#define CAN_CFG_ID_VALUE_4_MB036            (0x00000000UL)</t>
  </si>
  <si>
    <t>#define CAN_CFG_ID_VALUE_4_MB037            (0x00000000UL)</t>
  </si>
  <si>
    <t>#define CAN_CFG_ID_VALUE_4_MB038            (0x00000000UL)</t>
  </si>
  <si>
    <t>#define CAN_CFG_ID_VALUE_4_MB039            (0x00000000UL)</t>
  </si>
  <si>
    <t>#define CAN_CFG_ID_VALUE_4_MB040            (0x00000000UL)</t>
  </si>
  <si>
    <t>#define CAN_CFG_ID_VALUE_4_MB041            (0x00000000UL)</t>
  </si>
  <si>
    <t>#define CAN_CFG_ID_VALUE_4_MB042            (0x00000000UL)</t>
  </si>
  <si>
    <t>#define CAN_CFG_ID_VALUE_4_MB043            (0x00000000UL)</t>
  </si>
  <si>
    <t>#define CAN_CFG_ID_VALUE_4_MB044            (0x00000000UL)</t>
  </si>
  <si>
    <t>#define CAN_CFG_ID_VALUE_4_MB045            (0x00000000UL)</t>
  </si>
  <si>
    <t>#define CAN_CFG_ID_VALUE_4_MB046            (0x00000000UL)</t>
  </si>
  <si>
    <t>#define CAN_CFG_ID_VALUE_4_MB047            (0x00000000UL)</t>
  </si>
  <si>
    <t>#define CAN_CFG_ID_VALUE_4_MB048            (0x00000000UL)</t>
  </si>
  <si>
    <t>#define CAN_CFG_ID_VALUE_4_MB049            (0x00000000UL)</t>
  </si>
  <si>
    <t>#define CAN_CFG_ID_VALUE_4_MB050            (0x00000000UL)</t>
  </si>
  <si>
    <t>#define CAN_CFG_ID_VALUE_4_MB051            (0x00000000UL)</t>
  </si>
  <si>
    <t>#define CAN_CFG_ID_VALUE_4_MB052            (0x00000000UL)</t>
  </si>
  <si>
    <t>#define CAN_CFG_ID_VALUE_4_MB053            (0x00000000UL)</t>
  </si>
  <si>
    <t>#define CAN_CFG_ID_VALUE_4_MB054            (0x00000000UL)</t>
  </si>
  <si>
    <t>#define CAN_CFG_ID_VALUE_4_MB055            (0x00000000UL)</t>
  </si>
  <si>
    <t>#define CAN_CFG_ID_VALUE_4_MB056            (0x00000000UL)</t>
  </si>
  <si>
    <t>#define CAN_CFG_ID_VALUE_4_MB057            (0x00000000UL)</t>
  </si>
  <si>
    <t>#define CAN_CFG_ID_VALUE_4_MB058            (0x00000000UL)</t>
  </si>
  <si>
    <t>#define CAN_CFG_ID_VALUE_4_MB059            (0x00000000UL)</t>
  </si>
  <si>
    <t>#define CAN_CFG_ID_VALUE_4_MB060            (0x00000000UL)</t>
  </si>
  <si>
    <t>#define CAN_CFG_ID_VALUE_4_MB061            (0x00000000UL)</t>
  </si>
  <si>
    <t>#define CAN_CFG_ID_VALUE_4_MB062            (0x00000000UL)</t>
  </si>
  <si>
    <t>#define CAN_CFG_ID_VALUE_4_MB063            (0x00000000UL)</t>
  </si>
  <si>
    <t>#define CAN_CFG_ID_VALUE_4_MB064            (0x00000000UL)</t>
  </si>
  <si>
    <t>#define CAN_CFG_ID_VALUE_4_MB065            (0x00000000UL)</t>
  </si>
  <si>
    <t>#define CAN_CFG_ID_VALUE_4_MB066            (0x00000000UL)</t>
  </si>
  <si>
    <t>#define CAN_CFG_ID_VALUE_4_MB067            (0x00000000UL)</t>
  </si>
  <si>
    <t>#define CAN_CFG_ID_VALUE_4_MB068            (0x00000000UL)</t>
  </si>
  <si>
    <t>#define CAN_CFG_ID_VALUE_4_MB069            (0x00000000UL)</t>
  </si>
  <si>
    <t>#define CAN_CFG_ID_VALUE_4_MB070            (0x00000000UL)</t>
  </si>
  <si>
    <t>#define CAN_CFG_ID_VALUE_4_MB071            (0x00000000UL)</t>
  </si>
  <si>
    <t>#define CAN_CFG_ID_VALUE_4_MB072            (0x00000000UL)</t>
  </si>
  <si>
    <t>#define CAN_CFG_ID_VALUE_4_MB073            (0x00000000UL)</t>
  </si>
  <si>
    <t>#define CAN_CFG_ID_VALUE_4_MB074            (0x00000000UL)</t>
  </si>
  <si>
    <t>#define CAN_CFG_ID_VALUE_4_MB075            (0x00000000UL)</t>
  </si>
  <si>
    <t>#define CAN_CFG_ID_VALUE_4_MB076            (0x00000000UL)</t>
  </si>
  <si>
    <t>#define CAN_CFG_ID_VALUE_4_MB077            (0x00000000UL)</t>
  </si>
  <si>
    <t>#define CAN_CFG_ID_VALUE_4_MB078            (0x00000000UL)</t>
  </si>
  <si>
    <t>#define CAN_CFG_ID_VALUE_4_MB079            (0x00000000UL)</t>
  </si>
  <si>
    <t>#define CAN_CFG_ID_VALUE_4_MB080            (0x00000000UL)</t>
  </si>
  <si>
    <t>#define CAN_CFG_ID_VALUE_4_MB081            (0x00000000UL)</t>
  </si>
  <si>
    <t>#define CAN_CFG_ID_VALUE_4_MB082            (0x00000000UL)</t>
  </si>
  <si>
    <t>#define CAN_CFG_ID_VALUE_4_MB083            (0x00000000UL)</t>
  </si>
  <si>
    <t>#define CAN_CFG_ID_VALUE_4_MB084            (0x00000000UL)</t>
  </si>
  <si>
    <t>#define CAN_CFG_ID_VALUE_4_MB085            (0x00000000UL)</t>
  </si>
  <si>
    <t>#define CAN_CFG_ID_VALUE_4_MB086            (0x00000000UL)</t>
  </si>
  <si>
    <t>#define CAN_CFG_ID_VALUE_4_MB087            (0x00000000UL)</t>
  </si>
  <si>
    <t>#define CAN_CFG_ID_VALUE_4_MB088            (0x00000000UL)</t>
  </si>
  <si>
    <t>#define CAN_CFG_ID_VALUE_4_MB089            (0x00000000UL)</t>
  </si>
  <si>
    <t>#define CAN_CFG_ID_VALUE_4_MB090            (0x00000000UL)</t>
  </si>
  <si>
    <t>#define CAN_CFG_ID_VALUE_4_MB091            (0x00000000UL)</t>
  </si>
  <si>
    <t>#define CAN_CFG_ID_VALUE_4_MB092            (0x00000000UL)</t>
  </si>
  <si>
    <t>#define CAN_CFG_ID_VALUE_4_MB093            (0x00000000UL)</t>
  </si>
  <si>
    <t>#define CAN_CFG_ID_VALUE_4_MB094            (0x00000000UL)</t>
  </si>
  <si>
    <t>#define CAN_CFG_ID_VALUE_4_MB095            (0x00000000UL)</t>
  </si>
  <si>
    <t>#define CAN_CFG_ID_VALUE_4_MB096            (0x00000000UL)</t>
  </si>
  <si>
    <t>#define CAN_CFG_ID_VALUE_4_MB097            (0x00000000UL)</t>
  </si>
  <si>
    <t>#define CAN_CFG_ID_VALUE_4_MB098            (0x00000000UL)</t>
  </si>
  <si>
    <t>#define CAN_CFG_ID_VALUE_4_MB099            (0x00000000UL)</t>
  </si>
  <si>
    <t>#define CAN_CFG_ID_VALUE_4_MB100            (0x00000000UL)</t>
  </si>
  <si>
    <t>#define CAN_CFG_ID_VALUE_4_MB101            (0x00000000UL)</t>
  </si>
  <si>
    <t>#define CAN_CFG_ID_VALUE_4_MB102            (0x00000000UL)</t>
  </si>
  <si>
    <t>#define CAN_CFG_ID_VALUE_4_MB103            (0x00000000UL)</t>
  </si>
  <si>
    <t>#define CAN_CFG_ID_VALUE_4_MB104            (0x00000000UL)</t>
  </si>
  <si>
    <t>#define CAN_CFG_ID_VALUE_4_MB105            (0x00000000UL)</t>
  </si>
  <si>
    <t>#define CAN_CFG_ID_VALUE_4_MB106            (0x00000000UL)</t>
  </si>
  <si>
    <t>#define CAN_CFG_ID_VALUE_4_MB107            (0x00000000UL)</t>
  </si>
  <si>
    <t>#define CAN_CFG_ID_VALUE_4_MB108            (0x00000000UL)</t>
  </si>
  <si>
    <t>#define CAN_CFG_ID_VALUE_4_MB109            (0x00000000UL)</t>
  </si>
  <si>
    <t>#define CAN_CFG_ID_VALUE_4_MB110            (0x00000000UL)</t>
  </si>
  <si>
    <t>#define CAN_CFG_ID_VALUE_4_MB111            (0x00000000UL)</t>
  </si>
  <si>
    <t>#define CAN_CFG_ID_VALUE_4_MB112            (0x00000000UL)</t>
  </si>
  <si>
    <t>#define CAN_CFG_ID_VALUE_4_MB113            (0x00000000UL)</t>
  </si>
  <si>
    <t>#define CAN_CFG_ID_VALUE_4_MB114            (0x00000000UL)</t>
  </si>
  <si>
    <t>#define CAN_CFG_ID_VALUE_4_MB115            (0x00000000UL)</t>
  </si>
  <si>
    <t>#define CAN_CFG_ID_VALUE_4_MB116            (0x00000000UL)</t>
  </si>
  <si>
    <t>#define CAN_CFG_ID_VALUE_4_MB117            (0x00000000UL)</t>
  </si>
  <si>
    <t>#define CAN_CFG_ID_VALUE_4_MB118            (0x00000000UL)</t>
  </si>
  <si>
    <t>#define CAN_CFG_ID_VALUE_4_MB119            (0x00000000UL)</t>
  </si>
  <si>
    <t>#define CAN_CFG_ID_VALUE_4_MB120            (0x00000000UL)</t>
  </si>
  <si>
    <t>#define CAN_CFG_ID_VALUE_4_MB121            (0x00000000UL)</t>
  </si>
  <si>
    <t>#define CAN_CFG_ID_VALUE_4_MB122            (0x00000000UL)</t>
  </si>
  <si>
    <t>#define CAN_CFG_ID_VALUE_4_MB123            (0x00000000UL)</t>
  </si>
  <si>
    <t>#define CAN_CFG_ID_VALUE_4_MB124            (0x00000000UL)</t>
  </si>
  <si>
    <t>#define CAN_CFG_ID_VALUE_4_MB125            (0x00000000UL)</t>
  </si>
  <si>
    <t>#define CAN_CFG_ID_VALUE_4_MB126            (0x00000000UL)</t>
  </si>
  <si>
    <t>#define CAN_CFG_ID_VALUE_4_MB127            (0x00000000UL)</t>
  </si>
  <si>
    <t>#define CAN_CFG_ID_VALUE_4_MB128            (0x00000000UL)</t>
  </si>
  <si>
    <t>#define CAN_CFG_ID_VALUE_4_MB129            (0x00000000UL)</t>
  </si>
  <si>
    <t>#define CAN_CFG_ID_VALUE_4_MB130            (0x00000000UL)</t>
  </si>
  <si>
    <t>#define CAN_CFG_ID_VALUE_4_MB131            (0x00000000UL)</t>
  </si>
  <si>
    <t>#define CAN_CFG_ID_VALUE_4_MB132            (0x00000000UL)</t>
  </si>
  <si>
    <t>#define CAN_CFG_ID_VALUE_4_MB133            (0x00000000UL)</t>
  </si>
  <si>
    <t>#define CAN_CFG_ID_VALUE_4_MB134            (0x00000000UL)</t>
  </si>
  <si>
    <t>#define CAN_CFG_ID_VALUE_4_MB135            (0x00000000UL)</t>
  </si>
  <si>
    <t>#define CAN_CFG_ID_VALUE_4_MB136            (0x00000000UL)</t>
  </si>
  <si>
    <t>#define CAN_CFG_ID_VALUE_4_MB137            (0x00000000UL)</t>
  </si>
  <si>
    <t>#define CAN_CFG_ID_VALUE_4_MB138            (0x00000000UL)</t>
  </si>
  <si>
    <t>#define CAN_CFG_ID_VALUE_4_MB139            (0x00000000UL)</t>
  </si>
  <si>
    <t>#define CAN_CFG_ID_VALUE_4_MB140            (0x00000000UL)</t>
  </si>
  <si>
    <t>#define CAN_CFG_ID_VALUE_4_MB141            (0x00000000UL)</t>
  </si>
  <si>
    <t>#define CAN_CFG_ID_VALUE_4_MB142            (0x00000000UL)</t>
  </si>
  <si>
    <t>#define CAN_CFG_ID_VALUE_4_MB143            (0x00000000UL)</t>
  </si>
  <si>
    <t>#define CAN_CFG_ID_VALUE_4_MB144            (0x00000000UL)</t>
  </si>
  <si>
    <t>#define CAN_CFG_ID_VALUE_4_MB145            (0x00000000UL)</t>
  </si>
  <si>
    <t>#define CAN_CFG_ID_VALUE_4_MB146            (0x00000000UL)</t>
  </si>
  <si>
    <t>#define CAN_CFG_ID_VALUE_4_MB147            (0x00000000UL)</t>
  </si>
  <si>
    <t>#define CAN_CFG_ID_VALUE_4_MB148            (0x00000000UL)</t>
  </si>
  <si>
    <t>#define CAN_CFG_ID_VALUE_4_MB149            (0x00000000UL)</t>
  </si>
  <si>
    <t>#define CAN_CFG_ID_VALUE_4_MB150            (0x00000000UL)</t>
  </si>
  <si>
    <t>#define CAN_CFG_ID_VALUE_4_MB151            (0x00000000UL)</t>
  </si>
  <si>
    <t>#define CAN_CFG_ID_VALUE_4_MB152            (0x00000000UL)</t>
  </si>
  <si>
    <t>#define CAN_CFG_ID_VALUE_4_MB153            (0x00000000UL)</t>
  </si>
  <si>
    <t>#define CAN_CFG_ID_VALUE_4_MB154            (0x00000000UL)</t>
  </si>
  <si>
    <t>#define CAN_CFG_ID_VALUE_4_MB155            (0x00000000UL)</t>
  </si>
  <si>
    <t>#define CAN_CFG_ID_VALUE_4_MB156            (0x00000000UL)</t>
  </si>
  <si>
    <t>#define CAN_CFG_ID_VALUE_4_MB157            (0x00000000UL)</t>
  </si>
  <si>
    <t>#define CAN_CFG_ID_VALUE_4_MB158            (0x00000000UL)</t>
  </si>
  <si>
    <t>#define CAN_CFG_ID_VALUE_4_MB159            (0x00000000UL)</t>
  </si>
  <si>
    <t>#define CAN_CFG_ID_VALUE_4_MB160            (0x00000000UL)</t>
  </si>
  <si>
    <t>#define CAN_CFG_ID_VALUE_4_MB161            (0x00000000UL)</t>
  </si>
  <si>
    <t>#define CAN_CFG_ID_VALUE_4_MB162            (0x00000000UL)</t>
  </si>
  <si>
    <t>#define CAN_CFG_ID_VALUE_4_MB163            (0x00000000UL)</t>
  </si>
  <si>
    <t>#define CAN_CFG_ID_VALUE_4_MB164            (0x00000000UL)</t>
  </si>
  <si>
    <t>#define CAN_CFG_ID_VALUE_4_MB165            (0x00000000UL)</t>
  </si>
  <si>
    <t>#define CAN_CFG_ID_VALUE_4_MB166            (0x00000000UL)</t>
  </si>
  <si>
    <t>#define CAN_CFG_ID_VALUE_4_MB167            (0x00000000UL)</t>
  </si>
  <si>
    <t>#define CAN_CFG_ID_VALUE_4_MB168            (0x00000000UL)</t>
  </si>
  <si>
    <t>#define CAN_CFG_ID_VALUE_4_MB169            (0x00000000UL)</t>
  </si>
  <si>
    <t>#define CAN_CFG_ID_VALUE_4_MB170            (0x00000000UL)</t>
  </si>
  <si>
    <t>#define CAN_CFG_ID_VALUE_4_MB171            (0x00000000UL)</t>
  </si>
  <si>
    <t>#define CAN_CFG_ID_VALUE_4_MB172            (0x00000000UL)</t>
  </si>
  <si>
    <t>#define CAN_CFG_ID_VALUE_4_MB173            (0x00000000UL)</t>
  </si>
  <si>
    <t>#define CAN_CFG_ID_VALUE_4_MB174            (0x00000000UL)</t>
  </si>
  <si>
    <t>#define CAN_CFG_ID_VALUE_4_MB175            (0x00000000UL)</t>
  </si>
  <si>
    <t>#define CAN_CFG_ID_VALUE_4_MB176            (0x00000000UL)</t>
  </si>
  <si>
    <t>#define CAN_CFG_ID_VALUE_4_MB177            (0x00000000UL)</t>
  </si>
  <si>
    <t>#define CAN_CFG_ID_VALUE_4_MB178            (0x00000000UL)</t>
  </si>
  <si>
    <t>#define CAN_CFG_ID_VALUE_4_MB179            (0x00000000UL)</t>
  </si>
  <si>
    <t>#define CAN_CFG_ID_VALUE_4_MB180            (0x00000000UL)</t>
  </si>
  <si>
    <t>#define CAN_CFG_ID_VALUE_4_MB181            (0x00000000UL)</t>
  </si>
  <si>
    <t>#define CAN_CFG_ID_VALUE_4_MB182            (0x00000000UL)</t>
  </si>
  <si>
    <t>#define CAN_CFG_ID_VALUE_4_MB183            (0x00000000UL)</t>
  </si>
  <si>
    <t>#define CAN_CFG_ID_VALUE_4_MB184            (0x00000000UL)</t>
  </si>
  <si>
    <t>#define CAN_CFG_ID_VALUE_4_MB185            (0x00000000UL)</t>
  </si>
  <si>
    <t>#define CAN_CFG_ID_VALUE_4_MB186            (0x00000000UL)</t>
  </si>
  <si>
    <t>#define CAN_CFG_ID_VALUE_4_MB187            (0x00000000UL)</t>
  </si>
  <si>
    <t>#define CAN_CFG_ID_VALUE_4_MB188            (0x00000000UL)</t>
  </si>
  <si>
    <t>#define CAN_CFG_ID_VALUE_4_MB189            (0x00000000UL)</t>
  </si>
  <si>
    <t>#define CAN_CFG_ID_VALUE_4_MB190            (0x00000000UL)</t>
  </si>
  <si>
    <t>#define CAN_CFG_ID_VALUE_4_MB191            (0x00000000UL)</t>
  </si>
  <si>
    <t>/* CAN Controller 5 CAN-ID Values */</t>
  </si>
  <si>
    <t>#define CAN_CFG_ID_VALUE_5_MB000            (0x00000000UL)</t>
  </si>
  <si>
    <t>#define CAN_CFG_ID_VALUE_5_MB001            (0x00000000UL)</t>
  </si>
  <si>
    <t>#define CAN_CFG_ID_VALUE_5_MB002            (0x00000000UL)</t>
  </si>
  <si>
    <t>#define CAN_CFG_ID_VALUE_5_MB003            (0x00000000UL)</t>
  </si>
  <si>
    <t>#define CAN_CFG_ID_VALUE_5_MB004            (0x00000000UL)</t>
  </si>
  <si>
    <t>#define CAN_CFG_ID_VALUE_5_MB005            (0x00000000UL)</t>
  </si>
  <si>
    <t>#define CAN_CFG_ID_VALUE_5_MB006            (0x00000000UL)</t>
  </si>
  <si>
    <t>#define CAN_CFG_ID_VALUE_5_MB007            (0x00000000UL)</t>
  </si>
  <si>
    <t>#define CAN_CFG_ID_VALUE_5_MB008            (0x00000000UL)</t>
  </si>
  <si>
    <t>#define CAN_CFG_ID_VALUE_5_MB009            (0x00000000UL)</t>
  </si>
  <si>
    <t>#define CAN_CFG_ID_VALUE_5_MB153            (0x00000000UL)</t>
  </si>
  <si>
    <t>#define CAN_CFG_ID_VALUE_5_MB154            (0x00000000UL)</t>
  </si>
  <si>
    <t>#define CAN_CFG_ID_VALUE_5_MB155            (0x00000000UL)</t>
  </si>
  <si>
    <t>#define CAN_CFG_ID_VALUE_5_MB156            (0x00000000UL)</t>
  </si>
  <si>
    <t>#define CAN_CFG_ID_VALUE_5_MB157            (0x00000000UL)</t>
  </si>
  <si>
    <t>#define CAN_CFG_ID_VALUE_5_MB158            (0x00000000UL)</t>
  </si>
  <si>
    <t>#define CAN_CFG_ID_VALUE_5_MB159            (0x00000000UL)</t>
  </si>
  <si>
    <t>#define CAN_CFG_ID_VALUE_5_MB160            (0x00000000UL)</t>
  </si>
  <si>
    <t>#define CAN_CFG_ID_VALUE_5_MB161            (0x00000000UL)</t>
  </si>
  <si>
    <t>#define CAN_CFG_ID_VALUE_5_MB162            (0x00000000UL)</t>
  </si>
  <si>
    <t>#define CAN_CFG_ID_VALUE_5_MB163            (0x00000000UL)</t>
  </si>
  <si>
    <t>#define CAN_CFG_ID_VALUE_5_MB164            (0x00000000UL)</t>
  </si>
  <si>
    <t>#define CAN_CFG_ID_VALUE_5_MB165            (0x00000000UL)</t>
  </si>
  <si>
    <t>#define CAN_CFG_ID_VALUE_5_MB166            (0x00000000UL)</t>
  </si>
  <si>
    <t>#define CAN_CFG_ID_VALUE_5_MB167            (0x00000000UL)</t>
  </si>
  <si>
    <t>#define CAN_CFG_ID_VALUE_5_MB168            (0x00000000UL)</t>
  </si>
  <si>
    <t>#define CAN_CFG_ID_VALUE_5_MB169            (0x00000000UL)</t>
  </si>
  <si>
    <t>#define CAN_CFG_ID_VALUE_5_MB170            (0x00000000UL)</t>
  </si>
  <si>
    <t>#define CAN_CFG_ID_VALUE_5_MB171            (0x00000000UL)</t>
  </si>
  <si>
    <t>#define CAN_CFG_ID_VALUE_5_MB172            (0x00000000UL)</t>
  </si>
  <si>
    <t>#define CAN_CFG_ID_VALUE_5_MB173            (0x00000000UL)</t>
  </si>
  <si>
    <t>#define CAN_CFG_ID_VALUE_5_MB174            (0x00000000UL)</t>
  </si>
  <si>
    <t>#define CAN_CFG_ID_VALUE_5_MB175            (0x00000000UL)</t>
  </si>
  <si>
    <t>#define CAN_CFG_ID_VALUE_5_MB176            (0x00000000UL)</t>
  </si>
  <si>
    <t>#define CAN_CFG_ID_VALUE_5_MB177            (0x00000000UL)</t>
  </si>
  <si>
    <t>#define CAN_CFG_ID_VALUE_5_MB178            (0x00000000UL)</t>
  </si>
  <si>
    <t>#define CAN_CFG_ID_VALUE_5_MB179            (0x00000000UL)</t>
  </si>
  <si>
    <t>#define CAN_CFG_ID_VALUE_5_MB180            (0x00000000UL)</t>
  </si>
  <si>
    <t>#define CAN_CFG_ID_VALUE_5_MB181            (0x00000000UL)</t>
  </si>
  <si>
    <t>#define CAN_CFG_ID_VALUE_5_MB182            (0x00000000UL)</t>
  </si>
  <si>
    <t>#define CAN_CFG_ID_VALUE_5_MB183            (0x00000000UL)</t>
  </si>
  <si>
    <t>#define CAN_CFG_ID_VALUE_5_MB184            (0x00000000UL)</t>
  </si>
  <si>
    <t>#define CAN_CFG_ID_VALUE_5_MB185            (0x00000000UL)</t>
  </si>
  <si>
    <t>#define CAN_CFG_ID_VALUE_5_MB186            (0x00000000UL)</t>
  </si>
  <si>
    <t>#define CAN_CFG_ID_VALUE_5_MB187            (0x00000000UL)</t>
  </si>
  <si>
    <t>#define CAN_CFG_ID_VALUE_5_MB188            (0x00000000UL)</t>
  </si>
  <si>
    <t>#define CAN_CFG_ID_VALUE_5_MB189            (0x00000000UL)</t>
  </si>
  <si>
    <t>#define CAN_CFG_ID_VALUE_5_MB190            (0x00000000UL)</t>
  </si>
  <si>
    <t>#define CAN_CFG_ID_VALUE_5_MB191            (0x00000000UL)</t>
  </si>
  <si>
    <t>/* CAN Controller 6 CAN-ID Values */</t>
  </si>
  <si>
    <t>#define CAN_CFG_ID_VALUE_6_MB000            (0x00000000UL)</t>
  </si>
  <si>
    <t>#define CAN_CFG_ID_VALUE_6_MB001            (0x00000000UL)</t>
  </si>
  <si>
    <t>#define CAN_CFG_ID_VALUE_6_MB002            (0x00000000UL)</t>
  </si>
  <si>
    <t>#define CAN_CFG_ID_VALUE_6_MB003            (0x00000000UL)</t>
  </si>
  <si>
    <t>#define CAN_CFG_ID_VALUE_6_MB004            (0x00000000UL)</t>
  </si>
  <si>
    <t>#define CAN_CFG_ID_VALUE_6_MB005            (0x00000000UL)</t>
  </si>
  <si>
    <t>#define CAN_CFG_ID_VALUE_6_MB006            (0x00000000UL)</t>
  </si>
  <si>
    <t>#define CAN_CFG_ID_VALUE_6_MB007            (0x00000000UL)</t>
  </si>
  <si>
    <t>#define CAN_CFG_ID_VALUE_6_MB008            (0x00000000UL)</t>
  </si>
  <si>
    <t>#define CAN_CFG_ID_VALUE_6_MB009            (0x00000000UL)</t>
  </si>
  <si>
    <t>#define CAN_CFG_ID_VALUE_6_MB010            (0x00000000UL)</t>
  </si>
  <si>
    <t>#define CAN_CFG_ID_VALUE_6_MB011            (0x00000000UL)</t>
  </si>
  <si>
    <t>#define CAN_CFG_ID_VALUE_6_MB012            (0x00000000UL)</t>
  </si>
  <si>
    <t>#define CAN_CFG_ID_VALUE_6_MB013            (0x00000000UL)</t>
  </si>
  <si>
    <t>#define CAN_CFG_ID_VALUE_6_MB014            (0x00000000UL)</t>
  </si>
  <si>
    <t>#define CAN_CFG_ID_VALUE_6_MB015            (0x00000000UL)</t>
  </si>
  <si>
    <t>#define CAN_CFG_ID_VALUE_6_MB016            (0x00000000UL)</t>
  </si>
  <si>
    <t>#define CAN_CFG_ID_VALUE_6_MB017            (0x00000000UL)</t>
  </si>
  <si>
    <t>#define CAN_CFG_ID_VALUE_6_MB018            (0x00000000UL)</t>
  </si>
  <si>
    <t>#define CAN_CFG_ID_VALUE_6_MB019            (0x00000000UL)</t>
  </si>
  <si>
    <t>#define CAN_CFG_ID_VALUE_6_MB020            (0x00000000UL)</t>
  </si>
  <si>
    <t>#define CAN_CFG_ID_VALUE_6_MB021            (0x00000000UL)</t>
  </si>
  <si>
    <t>#define CAN_CFG_ID_VALUE_6_MB022            (0x00000000UL)</t>
  </si>
  <si>
    <t>#define CAN_CFG_ID_VALUE_6_MB023            (0x00000000UL)</t>
  </si>
  <si>
    <t>#define CAN_CFG_ID_VALUE_6_MB024            (0x00000000UL)</t>
  </si>
  <si>
    <t>#define CAN_CFG_ID_VALUE_6_MB025            (0x00000000UL)</t>
  </si>
  <si>
    <t>#define CAN_CFG_ID_VALUE_6_MB026            (0x00000000UL)</t>
  </si>
  <si>
    <t>#define CAN_CFG_ID_VALUE_6_MB027            (0x00000000UL)</t>
  </si>
  <si>
    <t>#define CAN_CFG_ID_VALUE_6_MB028            (0x00000000UL)</t>
  </si>
  <si>
    <t>#define CAN_CFG_ID_VALUE_6_MB029            (0x00000000UL)</t>
  </si>
  <si>
    <t>#define CAN_CFG_ID_VALUE_6_MB030            (0x00000000UL)</t>
  </si>
  <si>
    <t>#define CAN_CFG_ID_VALUE_6_MB031            (0x00000000UL)</t>
  </si>
  <si>
    <t>#define CAN_CFG_ID_VALUE_6_MB032            (0x00000000UL)</t>
  </si>
  <si>
    <t>#define CAN_CFG_ID_VALUE_6_MB033            (0x00000000UL)</t>
  </si>
  <si>
    <t>#define CAN_CFG_ID_VALUE_6_MB034            (0x00000000UL)</t>
  </si>
  <si>
    <t>#define CAN_CFG_ID_VALUE_6_MB035            (0x00000000UL)</t>
  </si>
  <si>
    <t>#define CAN_CFG_ID_VALUE_6_MB036            (0x00000000UL)</t>
  </si>
  <si>
    <t>#define CAN_CFG_ID_VALUE_6_MB037            (0x00000000UL)</t>
  </si>
  <si>
    <t>#define CAN_CFG_ID_VALUE_6_MB038            (0x00000000UL)</t>
  </si>
  <si>
    <t>#define CAN_CFG_ID_VALUE_6_MB039            (0x00000000UL)</t>
  </si>
  <si>
    <t>#define CAN_CFG_ID_VALUE_6_MB040            (0x00000000UL)</t>
  </si>
  <si>
    <t>#define CAN_CFG_ID_VALUE_6_MB041            (0x00000000UL)</t>
  </si>
  <si>
    <t>#define CAN_CFG_ID_VALUE_6_MB042            (0x00000000UL)</t>
  </si>
  <si>
    <t>#define CAN_CFG_ID_VALUE_6_MB043            (0x00000000UL)</t>
  </si>
  <si>
    <t>#define CAN_CFG_ID_VALUE_6_MB044            (0x00000000UL)</t>
  </si>
  <si>
    <t>#define CAN_CFG_ID_VALUE_6_MB045            (0x00000000UL)</t>
  </si>
  <si>
    <t>#define CAN_CFG_ID_VALUE_6_MB046            (0x00000000UL)</t>
  </si>
  <si>
    <t>#define CAN_CFG_ID_VALUE_6_MB047            (0x00000000UL)</t>
  </si>
  <si>
    <t>#define CAN_CFG_ID_VALUE_6_MB048            (0x00000000UL)</t>
  </si>
  <si>
    <t>#define CAN_CFG_ID_VALUE_6_MB049            (0x00000000UL)</t>
  </si>
  <si>
    <t>#define CAN_CFG_ID_VALUE_6_MB050            (0x00000000UL)</t>
  </si>
  <si>
    <t>#define CAN_CFG_ID_VALUE_6_MB051            (0x00000000UL)</t>
  </si>
  <si>
    <t>#define CAN_CFG_ID_VALUE_6_MB052            (0x00000000UL)</t>
  </si>
  <si>
    <t>#define CAN_CFG_ID_VALUE_6_MB053            (0x00000000UL)</t>
  </si>
  <si>
    <t>#define CAN_CFG_ID_VALUE_6_MB054            (0x00000000UL)</t>
  </si>
  <si>
    <t>#define CAN_CFG_ID_VALUE_6_MB055            (0x00000000UL)</t>
  </si>
  <si>
    <t>#define CAN_CFG_ID_VALUE_6_MB056            (0x00000000UL)</t>
  </si>
  <si>
    <t>#define CAN_CFG_ID_VALUE_6_MB057            (0x00000000UL)</t>
  </si>
  <si>
    <t>#define CAN_CFG_ID_VALUE_6_MB058            (0x00000000UL)</t>
  </si>
  <si>
    <t>#define CAN_CFG_ID_VALUE_6_MB059            (0x00000000UL)</t>
  </si>
  <si>
    <t>#define CAN_CFG_ID_VALUE_6_MB060            (0x00000000UL)</t>
  </si>
  <si>
    <t>#define CAN_CFG_ID_VALUE_6_MB061            (0x00000000UL)</t>
  </si>
  <si>
    <t>#define CAN_CFG_ID_VALUE_6_MB062            (0x00000000UL)</t>
  </si>
  <si>
    <t>#define CAN_CFG_ID_VALUE_6_MB063            (0x00000000UL)</t>
  </si>
  <si>
    <t>#define CAN_CFG_ID_VALUE_6_MB064            (0x00000000UL)</t>
  </si>
  <si>
    <t>#define CAN_CFG_ID_VALUE_6_MB065            (0x00000000UL)</t>
  </si>
  <si>
    <t>#define CAN_CFG_ID_VALUE_6_MB066            (0x00000000UL)</t>
  </si>
  <si>
    <t>#define CAN_CFG_ID_VALUE_6_MB067            (0x00000000UL)</t>
  </si>
  <si>
    <t>#define CAN_CFG_ID_VALUE_6_MB068            (0x00000000UL)</t>
  </si>
  <si>
    <t>#define CAN_CFG_ID_VALUE_6_MB069            (0x00000000UL)</t>
  </si>
  <si>
    <t>#define CAN_CFG_ID_VALUE_6_MB070            (0x00000000UL)</t>
  </si>
  <si>
    <t>#define CAN_CFG_ID_VALUE_6_MB071            (0x00000000UL)</t>
  </si>
  <si>
    <t>#define CAN_CFG_ID_VALUE_6_MB072            (0x00000000UL)</t>
  </si>
  <si>
    <t>#define CAN_CFG_ID_VALUE_6_MB073            (0x00000000UL)</t>
  </si>
  <si>
    <t>#define CAN_CFG_ID_VALUE_6_MB074            (0x00000000UL)</t>
  </si>
  <si>
    <t>#define CAN_CFG_ID_VALUE_6_MB075            (0x00000000UL)</t>
  </si>
  <si>
    <t>#define CAN_CFG_ID_VALUE_6_MB076            (0x00000000UL)</t>
  </si>
  <si>
    <t>#define CAN_CFG_ID_VALUE_6_MB077            (0x00000000UL)</t>
  </si>
  <si>
    <t>#define CAN_CFG_ID_VALUE_6_MB078            (0x00000000UL)</t>
  </si>
  <si>
    <t>#define CAN_CFG_ID_VALUE_6_MB079            (0x00000000UL)</t>
  </si>
  <si>
    <t>#define CAN_CFG_ID_VALUE_6_MB080            (0x00000000UL)</t>
  </si>
  <si>
    <t>#define CAN_CFG_ID_VALUE_6_MB081            (0x00000000UL)</t>
  </si>
  <si>
    <t>#define CAN_CFG_ID_VALUE_6_MB082            (0x00000000UL)</t>
  </si>
  <si>
    <t>#define CAN_CFG_ID_VALUE_6_MB083            (0x00000000UL)</t>
  </si>
  <si>
    <t>#define CAN_CFG_ID_VALUE_6_MB084            (0x00000000UL)</t>
  </si>
  <si>
    <t>#define CAN_CFG_ID_VALUE_6_MB085            (0x00000000UL)</t>
  </si>
  <si>
    <t>#define CAN_CFG_ID_VALUE_6_MB086            (0x00000000UL)</t>
  </si>
  <si>
    <t>#define CAN_CFG_ID_VALUE_6_MB087            (0x00000000UL)</t>
  </si>
  <si>
    <t>#define CAN_CFG_ID_VALUE_6_MB088            (0x00000000UL)</t>
  </si>
  <si>
    <t>#define CAN_CFG_ID_VALUE_6_MB089            (0x00000000UL)</t>
  </si>
  <si>
    <t>#define CAN_CFG_ID_VALUE_6_MB090            (0x00000000UL)</t>
  </si>
  <si>
    <t>#define CAN_CFG_ID_VALUE_6_MB091            (0x00000000UL)</t>
  </si>
  <si>
    <t>#define CAN_CFG_ID_VALUE_6_MB092            (0x00000000UL)</t>
  </si>
  <si>
    <t>#define CAN_CFG_ID_VALUE_6_MB093            (0x00000000UL)</t>
  </si>
  <si>
    <t>#define CAN_CFG_ID_VALUE_6_MB094            (0x00000000UL)</t>
  </si>
  <si>
    <t>#define CAN_CFG_ID_VALUE_6_MB095            (0x00000000UL)</t>
  </si>
  <si>
    <t>#define CAN_CFG_ID_VALUE_6_MB096            (0x00000000UL)</t>
  </si>
  <si>
    <t>#define CAN_CFG_ID_VALUE_6_MB097            (0x00000000UL)</t>
  </si>
  <si>
    <t>#define CAN_CFG_ID_VALUE_6_MB098            (0x00000000UL)</t>
  </si>
  <si>
    <t>#define CAN_CFG_ID_VALUE_6_MB099            (0x00000000UL)</t>
  </si>
  <si>
    <t>#define CAN_CFG_ID_VALUE_6_MB100            (0x00000000UL)</t>
  </si>
  <si>
    <t>#define CAN_CFG_ID_VALUE_6_MB101            (0x00000000UL)</t>
  </si>
  <si>
    <t>#define CAN_CFG_ID_VALUE_6_MB102            (0x00000000UL)</t>
  </si>
  <si>
    <t>#define CAN_CFG_ID_VALUE_6_MB103            (0x00000000UL)</t>
  </si>
  <si>
    <t>#define CAN_CFG_ID_VALUE_6_MB104            (0x00000000UL)</t>
  </si>
  <si>
    <t>#define CAN_CFG_ID_VALUE_6_MB105            (0x00000000UL)</t>
  </si>
  <si>
    <t>#define CAN_CFG_ID_VALUE_6_MB106            (0x00000000UL)</t>
  </si>
  <si>
    <t>#define CAN_CFG_ID_VALUE_6_MB107            (0x00000000UL)</t>
  </si>
  <si>
    <t>#define CAN_CFG_ID_VALUE_6_MB108            (0x00000000UL)</t>
  </si>
  <si>
    <t>#define CAN_CFG_ID_VALUE_6_MB109            (0x00000000UL)</t>
  </si>
  <si>
    <t>#define CAN_CFG_ID_VALUE_6_MB110            (0x00000000UL)</t>
  </si>
  <si>
    <t>#define CAN_CFG_ID_VALUE_6_MB111            (0x00000000UL)</t>
  </si>
  <si>
    <t>#define CAN_CFG_ID_VALUE_6_MB112            (0x00000000UL)</t>
  </si>
  <si>
    <t>#define CAN_CFG_ID_VALUE_6_MB113            (0x00000000UL)</t>
  </si>
  <si>
    <t>#define CAN_CFG_ID_VALUE_6_MB114            (0x00000000UL)</t>
  </si>
  <si>
    <t>#define CAN_CFG_ID_VALUE_6_MB115            (0x00000000UL)</t>
  </si>
  <si>
    <t>#define CAN_CFG_ID_VALUE_6_MB116            (0x00000000UL)</t>
  </si>
  <si>
    <t>#define CAN_CFG_ID_VALUE_6_MB117            (0x00000000UL)</t>
  </si>
  <si>
    <t>#define CAN_CFG_ID_VALUE_6_MB118            (0x00000000UL)</t>
  </si>
  <si>
    <t>#define CAN_CFG_ID_VALUE_6_MB119            (0x00000000UL)</t>
  </si>
  <si>
    <t>#define CAN_CFG_ID_VALUE_6_MB120            (0x00000000UL)</t>
  </si>
  <si>
    <t>#define CAN_CFG_ID_VALUE_6_MB121            (0x00000000UL)</t>
  </si>
  <si>
    <t>#define CAN_CFG_ID_VALUE_6_MB122            (0x00000000UL)</t>
  </si>
  <si>
    <t>#define CAN_CFG_ID_VALUE_6_MB123            (0x00000000UL)</t>
  </si>
  <si>
    <t>#define CAN_CFG_ID_VALUE_6_MB124            (0x00000000UL)</t>
  </si>
  <si>
    <t>#define CAN_CFG_ID_VALUE_6_MB125            (0x00000000UL)</t>
  </si>
  <si>
    <t>#define CAN_CFG_ID_VALUE_6_MB126            (0x00000000UL)</t>
  </si>
  <si>
    <t>#define CAN_CFG_ID_VALUE_6_MB127            (0x00000000UL)</t>
  </si>
  <si>
    <t>#define CAN_CFG_ID_VALUE_6_MB128            (0x00000000UL)</t>
  </si>
  <si>
    <t>#define CAN_CFG_ID_VALUE_6_MB129            (0x00000000UL)</t>
  </si>
  <si>
    <t>#define CAN_CFG_ID_VALUE_6_MB130            (0x00000000UL)</t>
  </si>
  <si>
    <t>#define CAN_CFG_ID_VALUE_6_MB131            (0x00000000UL)</t>
  </si>
  <si>
    <t>#define CAN_CFG_ID_VALUE_6_MB132            (0x00000000UL)</t>
  </si>
  <si>
    <t>#define CAN_CFG_ID_VALUE_6_MB133            (0x00000000UL)</t>
  </si>
  <si>
    <t>#define CAN_CFG_ID_VALUE_6_MB134            (0x00000000UL)</t>
  </si>
  <si>
    <t>#define CAN_CFG_ID_VALUE_6_MB135            (0x00000000UL)</t>
  </si>
  <si>
    <t>#define CAN_CFG_ID_VALUE_6_MB136            (0x00000000UL)</t>
  </si>
  <si>
    <t>#define CAN_CFG_ID_VALUE_6_MB137            (0x00000000UL)</t>
  </si>
  <si>
    <t>#define CAN_CFG_ID_VALUE_6_MB138            (0x00000000UL)</t>
  </si>
  <si>
    <t>#define CAN_CFG_ID_VALUE_6_MB139            (0x00000000UL)</t>
  </si>
  <si>
    <t>#define CAN_CFG_ID_VALUE_6_MB140            (0x00000000UL)</t>
  </si>
  <si>
    <t>#define CAN_CFG_ID_VALUE_6_MB141            (0x00000000UL)</t>
  </si>
  <si>
    <t>#define CAN_CFG_ID_VALUE_6_MB142            (0x00000000UL)</t>
  </si>
  <si>
    <t>#define CAN_CFG_ID_VALUE_6_MB143            (0x00000000UL)</t>
  </si>
  <si>
    <t>#define CAN_CFG_ID_VALUE_6_MB144            (0x00000000UL)</t>
  </si>
  <si>
    <t>#define CAN_CFG_ID_VALUE_6_MB145            (0x00000000UL)</t>
  </si>
  <si>
    <t>#define CAN_CFG_ID_VALUE_6_MB146            (0x00000000UL)</t>
  </si>
  <si>
    <t>#define CAN_CFG_ID_VALUE_6_MB147            (0x00000000UL)</t>
  </si>
  <si>
    <t>#define CAN_CFG_ID_VALUE_6_MB148            (0x00000000UL)</t>
  </si>
  <si>
    <t>#define CAN_CFG_ID_VALUE_6_MB149            (0x00000000UL)</t>
  </si>
  <si>
    <t>#define CAN_CFG_ID_VALUE_6_MB150            (0x00000000UL)</t>
  </si>
  <si>
    <t>#define CAN_CFG_ID_VALUE_6_MB151            (0x00000000UL)</t>
  </si>
  <si>
    <t>#define CAN_CFG_ID_VALUE_6_MB152            (0x00000000UL)</t>
  </si>
  <si>
    <t>#define CAN_CFG_ID_VALUE_6_MB153            (0x00000000UL)</t>
  </si>
  <si>
    <t>#define CAN_CFG_ID_VALUE_6_MB154            (0x00000000UL)</t>
  </si>
  <si>
    <t>#define CAN_CFG_ID_VALUE_6_MB155            (0x00000000UL)</t>
  </si>
  <si>
    <t>#define CAN_CFG_ID_VALUE_6_MB156            (0x00000000UL)</t>
  </si>
  <si>
    <t>#define CAN_CFG_ID_VALUE_6_MB157            (0x00000000UL)</t>
  </si>
  <si>
    <t>#define CAN_CFG_ID_VALUE_6_MB158            (0x00000000UL)</t>
  </si>
  <si>
    <t>#define CAN_CFG_ID_VALUE_6_MB159            (0x00000000UL)</t>
  </si>
  <si>
    <t>#define CAN_CFG_ID_VALUE_6_MB160            (0x00000000UL)</t>
  </si>
  <si>
    <t>#define CAN_CFG_ID_VALUE_6_MB161            (0x00000000UL)</t>
  </si>
  <si>
    <t>#define CAN_CFG_ID_VALUE_6_MB162            (0x00000000UL)</t>
  </si>
  <si>
    <t>#define CAN_CFG_ID_VALUE_6_MB163            (0x00000000UL)</t>
  </si>
  <si>
    <t>#define CAN_CFG_ID_VALUE_6_MB164            (0x00000000UL)</t>
  </si>
  <si>
    <t>#define CAN_CFG_ID_VALUE_6_MB165            (0x00000000UL)</t>
  </si>
  <si>
    <t>#define CAN_CFG_ID_VALUE_6_MB166            (0x00000000UL)</t>
  </si>
  <si>
    <t>#define CAN_CFG_ID_VALUE_6_MB167            (0x00000000UL)</t>
  </si>
  <si>
    <t>#define CAN_CFG_ID_VALUE_6_MB168            (0x00000000UL)</t>
  </si>
  <si>
    <t>#define CAN_CFG_ID_VALUE_6_MB169            (0x00000000UL)</t>
  </si>
  <si>
    <t>#define CAN_CFG_ID_VALUE_6_MB170            (0x00000000UL)</t>
  </si>
  <si>
    <t>#define CAN_CFG_ID_VALUE_6_MB171            (0x00000000UL)</t>
  </si>
  <si>
    <t>#define CAN_CFG_ID_VALUE_6_MB172            (0x00000000UL)</t>
  </si>
  <si>
    <t>#define CAN_CFG_ID_VALUE_6_MB173            (0x00000000UL)</t>
  </si>
  <si>
    <t>#define CAN_CFG_ID_VALUE_6_MB174            (0x00000000UL)</t>
  </si>
  <si>
    <t>#define CAN_CFG_ID_VALUE_6_MB175            (0x00000000UL)</t>
  </si>
  <si>
    <t>#define CAN_CFG_ID_VALUE_6_MB176            (0x00000000UL)</t>
  </si>
  <si>
    <t>#define CAN_CFG_ID_VALUE_6_MB177            (0x00000000UL)</t>
  </si>
  <si>
    <t>#define CAN_CFG_ID_VALUE_6_MB178            (0x00000000UL)</t>
  </si>
  <si>
    <t>#define CAN_CFG_ID_VALUE_6_MB179            (0x00000000UL)</t>
  </si>
  <si>
    <t>#define CAN_CFG_ID_VALUE_6_MB180            (0x00000000UL)</t>
  </si>
  <si>
    <t>#define CAN_CFG_ID_VALUE_6_MB181            (0x00000000UL)</t>
  </si>
  <si>
    <t>#define CAN_CFG_ID_VALUE_6_MB182            (0x00000000UL)</t>
  </si>
  <si>
    <t>#define CAN_CFG_ID_VALUE_6_MB183            (0x00000000UL)</t>
  </si>
  <si>
    <t>#define CAN_CFG_ID_VALUE_6_MB184            (0x00000000UL)</t>
  </si>
  <si>
    <t>#define CAN_CFG_ID_VALUE_6_MB185            (0x00000000UL)</t>
  </si>
  <si>
    <t>#define CAN_CFG_ID_VALUE_6_MB186            (0x00000000UL)</t>
  </si>
  <si>
    <t>#define CAN_CFG_ID_VALUE_6_MB187            (0x00000000UL)</t>
  </si>
  <si>
    <t>#define CAN_CFG_ID_VALUE_6_MB188            (0x00000000UL)</t>
  </si>
  <si>
    <t>#define CAN_CFG_ID_VALUE_6_MB189            (0x00000000UL)</t>
  </si>
  <si>
    <t>#define CAN_CFG_ID_VALUE_6_MB190            (0x00000000UL)</t>
  </si>
  <si>
    <t>#define CAN_CFG_ID_VALUE_6_MB191            (0x00000000UL)</t>
  </si>
  <si>
    <t>/* CAN Controller 7 CAN-ID Values */</t>
  </si>
  <si>
    <t>#define CAN_CFG_ID_VALUE_7_MB000            (0x00000000UL)</t>
  </si>
  <si>
    <t>#define CAN_CFG_ID_VALUE_7_MB001            (0x00000000UL)</t>
  </si>
  <si>
    <t>#define CAN_CFG_ID_VALUE_7_MB002            (0x00000000UL)</t>
  </si>
  <si>
    <t>#define CAN_CFG_ID_VALUE_7_MB003            (0x00000000UL)</t>
  </si>
  <si>
    <t>#define CAN_CFG_ID_VALUE_7_MB004            (0x000001D8UL)</t>
  </si>
  <si>
    <t>#define CAN_CFG_ID_VALUE_7_MB005            (0x000001D6UL)</t>
  </si>
  <si>
    <t>#define CAN_CFG_ID_VALUE_7_MB006            (0x00000594UL)</t>
  </si>
  <si>
    <t>#define CAN_CFG_ID_VALUE_7_MB007            (0x000001F1UL)</t>
  </si>
  <si>
    <t>#define CAN_CFG_ID_VALUE_7_MB008            (0x00000143UL)</t>
  </si>
  <si>
    <t>#define CAN_CFG_ID_VALUE_7_MB009            (0x00000203UL)</t>
  </si>
  <si>
    <t>#define CAN_CFG_ID_VALUE_7_MB010            (0x00000208UL)</t>
  </si>
  <si>
    <t>#define CAN_CFG_ID_VALUE_7_MB011            (0x00000209UL)</t>
  </si>
  <si>
    <t>#define CAN_CFG_ID_VALUE_7_MB012            (0x00000180UL)</t>
  </si>
  <si>
    <t>#define CAN_CFG_ID_VALUE_7_MB013            (0x0000020AUL)</t>
  </si>
  <si>
    <t>#define CAN_CFG_ID_VALUE_7_MB014            (0x00000613UL)</t>
  </si>
  <si>
    <t>#define CAN_CFG_ID_VALUE_7_MB015            (0x000001C7UL)</t>
  </si>
  <si>
    <t>#define CAN_CFG_ID_VALUE_7_MB016            (0x00000144UL)</t>
  </si>
  <si>
    <t>#define CAN_CFG_ID_VALUE_7_MB017            (0x00000247UL)</t>
  </si>
  <si>
    <t>#define CAN_CFG_ID_VALUE_7_MB018            (0x000001F5UL)</t>
  </si>
  <si>
    <t>#define CAN_CFG_ID_VALUE_7_MB019            (0x000001F0UL)</t>
  </si>
  <si>
    <t>#define CAN_CFG_ID_VALUE_7_MB020            (0x0000022EUL)</t>
  </si>
  <si>
    <t>#define CAN_CFG_ID_VALUE_7_MB021            (0x00000072UL)</t>
  </si>
  <si>
    <t>#define CAN_CFG_ID_VALUE_7_MB022            (0x000001EFUL)</t>
  </si>
  <si>
    <t>#define CAN_CFG_ID_VALUE_7_MB023            (0x00000279UL)</t>
  </si>
  <si>
    <t>#define CAN_CFG_ID_VALUE_7_MB024            (0x000003F3UL)</t>
  </si>
  <si>
    <t>#define CAN_CFG_ID_VALUE_7_MB025            (0x000000A9UL)</t>
  </si>
  <si>
    <t>#define CAN_CFG_ID_VALUE_7_MB026            (0x0000043AUL)</t>
  </si>
  <si>
    <t>#define CAN_CFG_ID_VALUE_7_MB027            (0x000003DBUL)</t>
  </si>
  <si>
    <t>#define CAN_CFG_ID_VALUE_7_MB028            (0x000003DCUL)</t>
  </si>
  <si>
    <t>#define CAN_CFG_ID_VALUE_7_MB029            (0x0000027DUL)</t>
  </si>
  <si>
    <t>#define CAN_CFG_ID_VALUE_7_MB030            (0x0000012BUL)</t>
  </si>
  <si>
    <t>#define CAN_CFG_ID_VALUE_7_MB031            (0x00000219UL)</t>
  </si>
  <si>
    <t>#define CAN_CFG_ID_VALUE_7_MB032            (0x000002A1UL)</t>
  </si>
  <si>
    <t>#define CAN_CFG_ID_VALUE_7_MB033            (0x000003D4UL)</t>
  </si>
  <si>
    <t>#define CAN_CFG_ID_VALUE_7_MB034            (0x0000007EUL)</t>
  </si>
  <si>
    <t>#define CAN_CFG_ID_VALUE_7_MB035            (0x000000A5UL)</t>
  </si>
  <si>
    <t>#define CAN_CFG_ID_VALUE_7_MB036            (0x000002A7UL)</t>
  </si>
  <si>
    <t>#define CAN_CFG_ID_VALUE_7_MB037            (0x000002A8UL)</t>
  </si>
  <si>
    <t>#define CAN_CFG_ID_VALUE_7_MB038            (0x000002DEUL)</t>
  </si>
  <si>
    <t>#define CAN_CFG_ID_VALUE_7_MB039            (0x000000A6UL)</t>
  </si>
  <si>
    <t>#define CAN_CFG_ID_VALUE_7_MB040            (0x00000075UL)</t>
  </si>
  <si>
    <t>#define CAN_CFG_ID_VALUE_7_MB041            (0x000000A1UL)</t>
  </si>
  <si>
    <t>#define CAN_CFG_ID_VALUE_7_MB042            (0x000005F3UL)</t>
  </si>
  <si>
    <t>#define CAN_CFG_ID_VALUE_7_MB043            (0x000005F4UL)</t>
  </si>
  <si>
    <t>#define CAN_CFG_ID_VALUE_7_MB044            (0x00000499UL)</t>
  </si>
  <si>
    <t>#define CAN_CFG_ID_VALUE_7_MB045            (0x0000049AUL)</t>
  </si>
  <si>
    <t>#define CAN_CFG_ID_VALUE_7_MB046            (0x0000049BUL)</t>
  </si>
  <si>
    <t>#define CAN_CFG_ID_VALUE_7_MB047            (0x0000049DUL)</t>
  </si>
  <si>
    <t>#define CAN_CFG_ID_VALUE_7_MB048            (0x000004A8UL)</t>
  </si>
  <si>
    <t>#define CAN_CFG_ID_VALUE_7_MB049            (0x000004AEUL)</t>
  </si>
  <si>
    <t>#define CAN_CFG_ID_VALUE_7_MB050            (0x000004AFUL)</t>
  </si>
  <si>
    <t>#define CAN_CFG_ID_VALUE_7_MB051            (0x000000A3UL)</t>
  </si>
  <si>
    <t>#define CAN_CFG_ID_VALUE_7_MB052            (0x00000589UL)</t>
  </si>
  <si>
    <t>#define CAN_CFG_ID_VALUE_7_MB053            (0x00000583UL)</t>
  </si>
  <si>
    <t>#define CAN_CFG_ID_VALUE_7_MB054            (0x000004A3UL)</t>
  </si>
  <si>
    <t>#define CAN_CFG_ID_VALUE_7_MB055            (0x000005F6UL)</t>
  </si>
  <si>
    <t>#define CAN_CFG_ID_VALUE_7_MB056            (0x000005F1UL)</t>
  </si>
  <si>
    <t>#define CAN_CFG_ID_VALUE_7_MB057            (0x00000489UL)</t>
  </si>
  <si>
    <t>#define CAN_CFG_ID_VALUE_7_MB058            (0x0000048BUL)</t>
  </si>
  <si>
    <t>#define CAN_CFG_ID_VALUE_7_MB059            (0x00000252UL)</t>
  </si>
  <si>
    <t>#define CAN_CFG_ID_VALUE_7_MB060            (0x00000261UL)</t>
  </si>
  <si>
    <t>#define CAN_CFG_ID_VALUE_7_MB061            (0x00000274UL)</t>
  </si>
  <si>
    <t>#define CAN_CFG_ID_VALUE_7_MB062            (0x00000275UL)</t>
  </si>
  <si>
    <t>#define CAN_CFG_ID_VALUE_7_MB063            (0x00000276UL)</t>
  </si>
  <si>
    <t>#define CAN_CFG_ID_VALUE_7_MB064            (0x0000027CUL)</t>
  </si>
  <si>
    <t>#define CAN_CFG_ID_VALUE_7_MB065            (0x0000028AUL)</t>
  </si>
  <si>
    <t>#define CAN_CFG_ID_VALUE_7_MB066            (0x00000159UL)</t>
  </si>
  <si>
    <t>#define CAN_CFG_ID_VALUE_7_MB067            (0x0000020FUL)</t>
  </si>
  <si>
    <t>#define CAN_CFG_ID_VALUE_7_MB068            (0x00000259UL)</t>
  </si>
  <si>
    <t>#define CAN_CFG_ID_VALUE_7_MB069            (0x000000A8UL)</t>
  </si>
  <si>
    <t>#define CAN_CFG_ID_VALUE_7_MB070            (0x00000115UL)</t>
  </si>
  <si>
    <t>#define CAN_CFG_ID_VALUE_7_MB071            (0x00000494UL)</t>
  </si>
  <si>
    <t>#define CAN_CFG_ID_VALUE_7_MB072            (0x00000049UL)</t>
  </si>
  <si>
    <t>#define CAN_CFG_ID_VALUE_7_MB073            (0x000002F4UL)</t>
  </si>
  <si>
    <t>#define CAN_CFG_ID_VALUE_7_MB074            (0x00000230UL)</t>
  </si>
  <si>
    <t>#define CAN_CFG_ID_VALUE_7_MB075            (0x000002C6UL)</t>
  </si>
  <si>
    <t>#define CAN_CFG_ID_VALUE_7_MB076            (0x000002C7UL)</t>
  </si>
  <si>
    <t>#define CAN_CFG_ID_VALUE_7_MB077            (0x000002C8UL)</t>
  </si>
  <si>
    <t>#define CAN_CFG_ID_VALUE_7_MB078            (0x000001DBUL)</t>
  </si>
  <si>
    <t>#define CAN_CFG_ID_VALUE_7_MB079            (0x000004A9UL)</t>
  </si>
  <si>
    <t>#define CAN_CFG_ID_VALUE_7_MB080            (0x0000010BUL)</t>
  </si>
  <si>
    <t>#define CAN_CFG_ID_VALUE_7_MB081            (0x000002FEUL)</t>
  </si>
  <si>
    <t>#define CAN_CFG_ID_VALUE_7_MB082            (0x000002A0UL)</t>
  </si>
  <si>
    <t>#define CAN_CFG_ID_VALUE_7_MB083            (0x000000A0UL)</t>
  </si>
  <si>
    <t>#define CAN_CFG_ID_VALUE_7_MB084            (0x000004A4UL)</t>
  </si>
  <si>
    <t>#define CAN_CFG_ID_VALUE_7_MB085            (0x000004A1UL)</t>
  </si>
  <si>
    <t>#define CAN_CFG_ID_VALUE_7_MB086            (0x00000262UL)</t>
  </si>
  <si>
    <t>#define CAN_CFG_ID_VALUE_7_MB087            (0x98002000UL)</t>
  </si>
  <si>
    <t>0x98002000</t>
  </si>
  <si>
    <t>#define CAN_CFG_ID_VALUE_7_MB088            (0x00000000UL)</t>
  </si>
  <si>
    <t>#define CAN_CFG_ID_VALUE_7_MB089            (0x00000000UL)</t>
  </si>
  <si>
    <t>#define CAN_CFG_ID_VALUE_7_MB090            (0x00000000UL)</t>
  </si>
  <si>
    <t>#define CAN_CFG_ID_VALUE_7_MB091            (0x00000000UL)</t>
  </si>
  <si>
    <t>#define CAN_CFG_ID_VALUE_7_MB092            (0x00000000UL)</t>
  </si>
  <si>
    <t>#define CAN_CFG_ID_VALUE_7_MB093            (0x00000000UL)</t>
  </si>
  <si>
    <t>#define CAN_CFG_ID_VALUE_7_MB094            (0x00000000UL)</t>
  </si>
  <si>
    <t>#define CAN_CFG_ID_VALUE_7_MB095            (0x00000000UL)</t>
  </si>
  <si>
    <t>#define CAN_CFG_ID_VALUE_7_MB096            (0x00000000UL)</t>
  </si>
  <si>
    <t>#define CAN_CFG_ID_VALUE_7_MB097            (0x00000000UL)</t>
  </si>
  <si>
    <t>#define CAN_CFG_ID_VALUE_7_MB098            (0x00000000UL)</t>
  </si>
  <si>
    <t>#define CAN_CFG_ID_VALUE_7_MB099            (0x00000000UL)</t>
  </si>
  <si>
    <t>#define CAN_CFG_ID_VALUE_7_MB100            (0x00000000UL)</t>
  </si>
  <si>
    <t>#define CAN_CFG_ID_VALUE_7_MB101            (0x00000000UL)</t>
  </si>
  <si>
    <t>#define CAN_CFG_ID_VALUE_7_MB102            (0x00000000UL)</t>
  </si>
  <si>
    <t>#define CAN_CFG_ID_VALUE_7_MB103            (0x00000000UL)</t>
  </si>
  <si>
    <t>#define CAN_CFG_ID_VALUE_7_MB104            (0x00000000UL)</t>
  </si>
  <si>
    <t>#define CAN_CFG_ID_VALUE_7_MB105            (0x00000000UL)</t>
  </si>
  <si>
    <t>#define CAN_CFG_ID_VALUE_7_MB106            (0x00000000UL)</t>
  </si>
  <si>
    <t>#define CAN_CFG_ID_VALUE_7_MB107            (0x00000000UL)</t>
  </si>
  <si>
    <t>#define CAN_CFG_ID_VALUE_7_MB108            (0x00000000UL)</t>
  </si>
  <si>
    <t>#define CAN_CFG_ID_VALUE_7_MB109            (0x00000000UL)</t>
  </si>
  <si>
    <t>#define CAN_CFG_ID_VALUE_7_MB110            (0x00000000UL)</t>
  </si>
  <si>
    <t>#define CAN_CFG_ID_VALUE_7_MB111            (0x00000000UL)</t>
  </si>
  <si>
    <t>#define CAN_CFG_ID_VALUE_7_MB112            (0x00000000UL)</t>
  </si>
  <si>
    <t>#define CAN_CFG_ID_VALUE_7_MB113            (0x00000000UL)</t>
  </si>
  <si>
    <t>#define CAN_CFG_ID_VALUE_7_MB114            (0x00000000UL)</t>
  </si>
  <si>
    <t>#define CAN_CFG_ID_VALUE_7_MB115            (0x00000000UL)</t>
  </si>
  <si>
    <t>#define CAN_CFG_ID_VALUE_7_MB116            (0x00000000UL)</t>
  </si>
  <si>
    <t>#define CAN_CFG_ID_VALUE_7_MB117            (0x00000000UL)</t>
  </si>
  <si>
    <t>#define CAN_CFG_ID_VALUE_7_MB118            (0x00000000UL)</t>
  </si>
  <si>
    <t>#define CAN_CFG_ID_VALUE_7_MB119            (0x00000000UL)</t>
  </si>
  <si>
    <t>#define CAN_CFG_ID_VALUE_7_MB120            (0x00000000UL)</t>
  </si>
  <si>
    <t>#define CAN_CFG_ID_VALUE_7_MB121            (0x00000000UL)</t>
  </si>
  <si>
    <t>#define CAN_CFG_ID_VALUE_7_MB122            (0x00000000UL)</t>
  </si>
  <si>
    <t>#define CAN_CFG_ID_VALUE_7_MB123            (0x00000000UL)</t>
  </si>
  <si>
    <t>#define CAN_CFG_ID_VALUE_7_MB124            (0x00000000UL)</t>
  </si>
  <si>
    <t>#define CAN_CFG_ID_VALUE_7_MB125            (0x00000000UL)</t>
  </si>
  <si>
    <t>#define CAN_CFG_ID_VALUE_7_MB126            (0x00000000UL)</t>
  </si>
  <si>
    <t>#define CAN_CFG_ID_VALUE_7_MB127            (0x00000000UL)</t>
  </si>
  <si>
    <t>#define CAN_CFG_ID_VALUE_7_MB128            (0x00000000UL)</t>
  </si>
  <si>
    <t>#define CAN_CFG_ID_VALUE_7_MB129            (0x00000000UL)</t>
  </si>
  <si>
    <t>#define CAN_CFG_ID_VALUE_7_MB130            (0x00000000UL)</t>
  </si>
  <si>
    <t>#define CAN_CFG_ID_VALUE_7_MB131            (0x00000000UL)</t>
  </si>
  <si>
    <t>#define CAN_CFG_ID_VALUE_7_MB132            (0x00000000UL)</t>
  </si>
  <si>
    <t>#define CAN_CFG_ID_VALUE_7_MB133            (0x00000000UL)</t>
  </si>
  <si>
    <t>#define CAN_CFG_ID_VALUE_7_MB134            (0x00000000UL)</t>
  </si>
  <si>
    <t>#define CAN_CFG_ID_VALUE_7_MB135            (0x00000000UL)</t>
  </si>
  <si>
    <t>#define CAN_CFG_ID_VALUE_7_MB136            (0x00000000UL)</t>
  </si>
  <si>
    <t>#define CAN_CFG_ID_VALUE_7_MB137            (0x00000000UL)</t>
  </si>
  <si>
    <t>#define CAN_CFG_ID_VALUE_7_MB138            (0x00000000UL)</t>
  </si>
  <si>
    <t>#define CAN_CFG_ID_VALUE_7_MB139            (0x00000000UL)</t>
  </si>
  <si>
    <t>#define CAN_CFG_ID_VALUE_7_MB140            (0x00000000UL)</t>
  </si>
  <si>
    <t>#define CAN_CFG_ID_VALUE_7_MB141            (0x00000000UL)</t>
  </si>
  <si>
    <t>#define CAN_CFG_ID_VALUE_7_MB142            (0x00000000UL)</t>
  </si>
  <si>
    <t>#define CAN_CFG_ID_VALUE_7_MB143            (0x00000000UL)</t>
  </si>
  <si>
    <t>#define CAN_CFG_ID_VALUE_7_MB144            (0x00000000UL)</t>
  </si>
  <si>
    <t>#define CAN_CFG_ID_VALUE_7_MB145            (0x00000000UL)</t>
  </si>
  <si>
    <t>#define CAN_CFG_ID_VALUE_7_MB146            (0x00000000UL)</t>
  </si>
  <si>
    <t>#define CAN_CFG_ID_VALUE_7_MB147            (0x00000000UL)</t>
  </si>
  <si>
    <t>#define CAN_CFG_ID_VALUE_7_MB148            (0x00000000UL)</t>
  </si>
  <si>
    <t>#define CAN_CFG_ID_VALUE_7_MB149            (0x00000000UL)</t>
  </si>
  <si>
    <t>#define CAN_CFG_ID_VALUE_7_MB150            (0x00000000UL)</t>
  </si>
  <si>
    <t>#define CAN_CFG_ID_VALUE_7_MB151            (0x00000000UL)</t>
  </si>
  <si>
    <t>#define CAN_CFG_ID_VALUE_7_MB152            (0x00000000UL)</t>
  </si>
  <si>
    <t>#define CAN_CFG_ID_VALUE_7_MB153            (0x00000000UL)</t>
  </si>
  <si>
    <t>#define CAN_CFG_ID_VALUE_7_MB154            (0x00000000UL)</t>
  </si>
  <si>
    <t>#define CAN_CFG_ID_VALUE_7_MB155            (0x00000000UL)</t>
  </si>
  <si>
    <t>#define CAN_CFG_ID_VALUE_7_MB156            (0x00000000UL)</t>
  </si>
  <si>
    <t>#define CAN_CFG_ID_VALUE_7_MB157            (0x00000000UL)</t>
  </si>
  <si>
    <t>#define CAN_CFG_ID_VALUE_7_MB158            (0x00000000UL)</t>
  </si>
  <si>
    <t>#define CAN_CFG_ID_VALUE_7_MB159            (0x00000000UL)</t>
  </si>
  <si>
    <t>#define CAN_CFG_ID_VALUE_7_MB160            (0x00000000UL)</t>
  </si>
  <si>
    <t>#define CAN_CFG_ID_VALUE_7_MB161            (0x00000000UL)</t>
  </si>
  <si>
    <t>#define CAN_CFG_ID_VALUE_7_MB162            (0x00000000UL)</t>
  </si>
  <si>
    <t>#define CAN_CFG_ID_VALUE_7_MB163            (0x00000000UL)</t>
  </si>
  <si>
    <t>#define CAN_CFG_ID_VALUE_7_MB164            (0x00000000UL)</t>
  </si>
  <si>
    <t>#define CAN_CFG_ID_VALUE_7_MB165            (0x00000000UL)</t>
  </si>
  <si>
    <t>#define CAN_CFG_ID_VALUE_7_MB166            (0x00000000UL)</t>
  </si>
  <si>
    <t>#define CAN_CFG_ID_VALUE_7_MB167            (0x00000000UL)</t>
  </si>
  <si>
    <t>#define CAN_CFG_ID_VALUE_7_MB168            (0x00000000UL)</t>
  </si>
  <si>
    <t>#define CAN_CFG_ID_VALUE_7_MB169            (0x00000000UL)</t>
  </si>
  <si>
    <t>#define CAN_CFG_ID_VALUE_7_MB170            (0x00000000UL)</t>
  </si>
  <si>
    <t>#define CAN_CFG_ID_VALUE_7_MB171            (0x00000000UL)</t>
  </si>
  <si>
    <t>#define CAN_CFG_ID_VALUE_7_MB172            (0x00000000UL)</t>
  </si>
  <si>
    <t>#define CAN_CFG_ID_VALUE_7_MB173            (0x00000000UL)</t>
  </si>
  <si>
    <t>#define CAN_CFG_ID_VALUE_7_MB174            (0x00000000UL)</t>
  </si>
  <si>
    <t>#define CAN_CFG_ID_VALUE_7_MB175            (0x00000000UL)</t>
  </si>
  <si>
    <t>#define CAN_CFG_ID_VALUE_7_MB176            (0x00000000UL)</t>
  </si>
  <si>
    <t>#define CAN_CFG_ID_VALUE_7_MB177            (0x00000000UL)</t>
  </si>
  <si>
    <t>#define CAN_CFG_ID_VALUE_7_MB178            (0x00000000UL)</t>
  </si>
  <si>
    <t>#define CAN_CFG_ID_VALUE_7_MB179            (0x00000000UL)</t>
  </si>
  <si>
    <t>#define CAN_CFG_ID_VALUE_7_MB180            (0x00000000UL)</t>
  </si>
  <si>
    <t>#define CAN_CFG_ID_VALUE_7_MB181            (0x00000000UL)</t>
  </si>
  <si>
    <t>#define CAN_CFG_ID_VALUE_7_MB182            (0x00000000UL)</t>
  </si>
  <si>
    <t>#define CAN_CFG_ID_VALUE_7_MB183            (0x00000000UL)</t>
  </si>
  <si>
    <t>#define CAN_CFG_ID_VALUE_7_MB184            (0x00000000UL)</t>
  </si>
  <si>
    <t>#define CAN_CFG_ID_VALUE_7_MB185            (0x00000000UL)</t>
  </si>
  <si>
    <t>#define CAN_CFG_ID_VALUE_7_MB186            (0x00000000UL)</t>
  </si>
  <si>
    <t>#define CAN_CFG_ID_VALUE_7_MB187            (0x00000000UL)</t>
  </si>
  <si>
    <t>#define CAN_CFG_ID_VALUE_7_MB188            (0x00000000UL)</t>
  </si>
  <si>
    <t>#define CAN_CFG_ID_VALUE_7_MB189            (0x00000000UL)</t>
  </si>
  <si>
    <t>#define CAN_CFG_ID_VALUE_7_MB190            (0x00000000UL)</t>
  </si>
  <si>
    <t>#define CAN_CFG_ID_VALUE_7_MB191            (0x00000000UL)</t>
  </si>
  <si>
    <t>/* Filter Mask References(Each Can Controller)                  */</t>
  </si>
  <si>
    <t>/* CAN Controller 0 Filter Mask References */</t>
  </si>
  <si>
    <t>#define CAN_CFG_MASK_REFERENCE_0_MB000      (CAN_RXMASK_NOUSE)</t>
  </si>
  <si>
    <t>#define CAN_CFG_MASK_REFERENCE_0_MB001      (CAN_RXMASK_NOUSE)</t>
  </si>
  <si>
    <t>#define CAN_CFG_MASK_REFERENCE_0_MB002      (CAN_RXMASK_NOUSE)</t>
  </si>
  <si>
    <t>#define CAN_CFG_MASK_REFERENCE_0_MB003      (CAN_RXMASK_NOUSE)</t>
  </si>
  <si>
    <t>#define CAN_CFG_MASK_REFERENCE_0_MB004      (CAN_RXMASK_NOUSE)</t>
  </si>
  <si>
    <t>#define CAN_CFG_MASK_REFERENCE_0_MB005      (CAN_RXMASK_NOUSE)</t>
  </si>
  <si>
    <t>#define CAN_CFG_MASK_REFERENCE_0_MB006      (CAN_RXMASK_NOUSE)</t>
  </si>
  <si>
    <t>#define CAN_CFG_MASK_REFERENCE_0_MB007      (CAN_RXMASK_NOUSE)</t>
  </si>
  <si>
    <t>#define CAN_CFG_MASK_REFERENCE_0_MB008      (CAN_RXMASK_NOUSE)</t>
  </si>
  <si>
    <t>#define CAN_CFG_MASK_REFERENCE_0_MB009      (CAN_RXMASK_NOUSE)</t>
  </si>
  <si>
    <t>#define CAN_CFG_MASK_REFERENCE_0_MB010      (CAN_RXMASK_NOUSE)</t>
  </si>
  <si>
    <t>#define CAN_CFG_MASK_REFERENCE_0_MB011      (CAN_RXMASK_NOUSE)</t>
  </si>
  <si>
    <t>#define CAN_CFG_MASK_REFERENCE_0_MB012      (CAN_RXMASK_NOUSE)</t>
  </si>
  <si>
    <t>#define CAN_CFG_MASK_REFERENCE_0_MB013      (CAN_RXMASK_NOUSE)</t>
  </si>
  <si>
    <t>#define CAN_CFG_MASK_REFERENCE_0_MB014      (CAN_RXMASK_NOUSE)</t>
  </si>
  <si>
    <t>#define CAN_CFG_MASK_REFERENCE_0_MB015      (CAN_RXMASK_NOUSE)</t>
  </si>
  <si>
    <t>#define CAN_CFG_MASK_REFERENCE_0_MB016      (CAN_RXMASK_NOUSE)</t>
  </si>
  <si>
    <t>#define CAN_CFG_MASK_REFERENCE_0_MB017      (CAN_RXMASK_NOUSE)</t>
  </si>
  <si>
    <t>#define CAN_CFG_MASK_REFERENCE_0_MB018      (CAN_RXMASK_NOUSE)</t>
  </si>
  <si>
    <t>#define CAN_CFG_MASK_REFERENCE_0_MB019      (CAN_RXMASK_NOUSE)</t>
  </si>
  <si>
    <t>#define CAN_CFG_MASK_REFERENCE_0_MB020      (CAN_RXMASK_NOUSE)</t>
  </si>
  <si>
    <t>#define CAN_CFG_MASK_REFERENCE_0_MB021      (CAN_RXMASK_NOUSE)</t>
  </si>
  <si>
    <t>#define CAN_CFG_MASK_REFERENCE_0_MB022      (CAN_RXMASK_NOUSE)</t>
  </si>
  <si>
    <t>#define CAN_CFG_MASK_REFERENCE_0_MB023      (CAN_RXMASK_NOUSE)</t>
  </si>
  <si>
    <t>#define CAN_CFG_MASK_REFERENCE_0_MB024      (CAN_RXMASK_NOUSE)</t>
  </si>
  <si>
    <t>#define CAN_CFG_MASK_REFERENCE_0_MB025      (CAN_RXMASK_NOUSE)</t>
  </si>
  <si>
    <t>#define CAN_CFG_MASK_REFERENCE_0_MB026      (CAN_RXMASK_NOUSE)</t>
  </si>
  <si>
    <t>#define CAN_CFG_MASK_REFERENCE_0_MB027      (CAN_RXMASK_NOUSE)</t>
  </si>
  <si>
    <t>#define CAN_CFG_MASK_REFERENCE_0_MB028      (CAN_RXMASK_NOUSE)</t>
  </si>
  <si>
    <t>#define CAN_CFG_MASK_REFERENCE_0_MB029      (CAN_RXMASK_NOUSE)</t>
  </si>
  <si>
    <t>#define CAN_CFG_MASK_REFERENCE_0_MB030      (CAN_RXMASK_NOUSE)</t>
  </si>
  <si>
    <t>#define CAN_CFG_MASK_REFERENCE_0_MB031      (CAN_RXMASK_NOUSE)</t>
  </si>
  <si>
    <t>#define CAN_CFG_MASK_REFERENCE_0_MB032      (CAN_RXMASK_NOUSE)</t>
  </si>
  <si>
    <t>#define CAN_CFG_MASK_REFERENCE_0_MB033      (CAN_RXMASK_NOUSE)</t>
  </si>
  <si>
    <t>#define CAN_CFG_MASK_REFERENCE_0_MB034      (CAN_RXMASK_NOUSE)</t>
  </si>
  <si>
    <t>#define CAN_CFG_MASK_REFERENCE_0_MB035      (CAN_RXMASK_NOUSE)</t>
  </si>
  <si>
    <t>#define CAN_CFG_MASK_REFERENCE_0_MB036      (CAN_RXMASK_NOUSE)</t>
  </si>
  <si>
    <t>#define CAN_CFG_MASK_REFERENCE_0_MB037      (CAN_RXMASK_NOUSE)</t>
  </si>
  <si>
    <t>#define CAN_CFG_MASK_REFERENCE_0_MB038      (CAN_RXMASK_NOUSE)</t>
  </si>
  <si>
    <t>#define CAN_CFG_MASK_REFERENCE_0_MB039      (CAN_RXMASK_NOUSE)</t>
  </si>
  <si>
    <t>#define CAN_CFG_MASK_REFERENCE_0_MB040      (CAN_RXMASK_NOUSE)</t>
  </si>
  <si>
    <t>#define CAN_CFG_MASK_REFERENCE_0_MB041      (CAN_RXMASK_NOUSE)</t>
  </si>
  <si>
    <t>#define CAN_CFG_MASK_REFERENCE_0_MB042      (CAN_RXMASK_NOUSE)</t>
  </si>
  <si>
    <t>#define CAN_CFG_MASK_REFERENCE_0_MB043      (CAN_RXMASK_NOUSE)</t>
  </si>
  <si>
    <t>#define CAN_CFG_MASK_REFERENCE_0_MB044      (CAN_RXMASK_NOUSE)</t>
  </si>
  <si>
    <t>#define CAN_CFG_MASK_REFERENCE_0_MB045      (CAN_RXMASK_NOUSE)</t>
  </si>
  <si>
    <t>#define CAN_CFG_MASK_REFERENCE_0_MB046      (CAN_RXMASK_NOUSE)</t>
  </si>
  <si>
    <t>#define CAN_CFG_MASK_REFERENCE_0_MB047      (CAN_RXMASK_NOUSE)</t>
  </si>
  <si>
    <t>#define CAN_CFG_MASK_REFERENCE_0_MB048      (CAN_RXMASK_NOUSE)</t>
  </si>
  <si>
    <t>#define CAN_CFG_MASK_REFERENCE_0_MB049      (CAN_RXMASK_NOUSE)</t>
  </si>
  <si>
    <t>#define CAN_CFG_MASK_REFERENCE_0_MB050      (CAN_RXMASK_NOUSE)</t>
  </si>
  <si>
    <t>#define CAN_CFG_MASK_REFERENCE_0_MB051      (CAN_RXMASK_NOUSE)</t>
  </si>
  <si>
    <t>#define CAN_CFG_MASK_REFERENCE_0_MB052      (CAN_RXMASK_NOUSE)</t>
  </si>
  <si>
    <t>#define CAN_CFG_MASK_REFERENCE_0_MB053      (CAN_RXMASK_NOUSE)</t>
  </si>
  <si>
    <t>#define CAN_CFG_MASK_REFERENCE_0_MB054      (CAN_RXMASK_NOUSE)</t>
  </si>
  <si>
    <t>#define CAN_CFG_MASK_REFERENCE_0_MB055      (CAN_RXMASK_NOUSE)</t>
  </si>
  <si>
    <t>#define CAN_CFG_MASK_REFERENCE_0_MB056      (CAN_RXMASK_NOUSE)</t>
  </si>
  <si>
    <t>#define CAN_CFG_MASK_REFERENCE_0_MB057      (CAN_RXMASK_NOUSE)</t>
  </si>
  <si>
    <t>#define CAN_CFG_MASK_REFERENCE_0_MB058      (CAN_RXMASK_NOUSE)</t>
  </si>
  <si>
    <t>#define CAN_CFG_MASK_REFERENCE_0_MB059      (CAN_RXMASK_NOUSE)</t>
  </si>
  <si>
    <t>#define CAN_CFG_MASK_REFERENCE_0_MB060      (CAN_RXMASK_NOUSE)</t>
  </si>
  <si>
    <t>#define CAN_CFG_MASK_REFERENCE_0_MB061      (CAN_RXMASK_NOUSE)</t>
  </si>
  <si>
    <t>#define CAN_CFG_MASK_REFERENCE_0_MB062      (CAN_RXMASK_NOUSE)</t>
  </si>
  <si>
    <t>#define CAN_CFG_MASK_REFERENCE_0_MB063      (CAN_RXMASK_NOUSE)</t>
  </si>
  <si>
    <t>#define CAN_CFG_MASK_REFERENCE_0_MB064      (CAN_RXMASK_NOUSE)</t>
  </si>
  <si>
    <t>#define CAN_CFG_MASK_REFERENCE_0_MB065      (CAN_RXMASK_NOUSE)</t>
  </si>
  <si>
    <t>#define CAN_CFG_MASK_REFERENCE_0_MB066      (CAN_RXMASK_NOUSE)</t>
  </si>
  <si>
    <t>#define CAN_CFG_MASK_REFERENCE_0_MB067      (CAN_RXMASK_NOUSE)</t>
  </si>
  <si>
    <t>#define CAN_CFG_MASK_REFERENCE_0_MB068      (CAN_RXMASK_NOUSE)</t>
  </si>
  <si>
    <t>#define CAN_CFG_MASK_REFERENCE_0_MB069      (CAN_RXMASK_NOUSE)</t>
  </si>
  <si>
    <t>#define CAN_CFG_MASK_REFERENCE_0_MB070      (CAN_RXMASK_NOUSE)</t>
  </si>
  <si>
    <t>#define CAN_CFG_MASK_REFERENCE_0_MB071      (CAN_RXMASK_NOUSE)</t>
  </si>
  <si>
    <t>#define CAN_CFG_MASK_REFERENCE_0_MB072      (CAN_RXMASK_NOUSE)</t>
  </si>
  <si>
    <t>#define CAN_CFG_MASK_REFERENCE_0_MB073      (CAN_RXMASK_NOUSE)</t>
  </si>
  <si>
    <t>#define CAN_CFG_MASK_REFERENCE_0_MB074      (CAN_RXMASK_NOUSE)</t>
  </si>
  <si>
    <t>#define CAN_CFG_MASK_REFERENCE_0_MB075      (CAN_RXMASK_NOUSE)</t>
  </si>
  <si>
    <t>#define CAN_CFG_MASK_REFERENCE_0_MB076      (CAN_RXMASK_NOUSE)</t>
  </si>
  <si>
    <t>#define CAN_CFG_MASK_REFERENCE_0_MB077      (CAN_RXMASK_NOUSE)</t>
  </si>
  <si>
    <t>#define CAN_CFG_MASK_REFERENCE_0_MB078      (CAN_RXMASK_NOUSE)</t>
  </si>
  <si>
    <t>#define CAN_CFG_MASK_REFERENCE_0_MB079      (CAN_RXMASK_NOUSE)</t>
  </si>
  <si>
    <t>#define CAN_CFG_MASK_REFERENCE_0_MB080      (CAN_RXMASK_NOUSE)</t>
  </si>
  <si>
    <t>#define CAN_CFG_MASK_REFERENCE_0_MB081      (CAN_RXMASK_NOUSE)</t>
  </si>
  <si>
    <t>#define CAN_CFG_MASK_REFERENCE_0_MB082      (CAN_RXMASK_NOUSE)</t>
  </si>
  <si>
    <t>#define CAN_CFG_MASK_REFERENCE_0_MB083      (CAN_RXMASK_NOUSE)</t>
  </si>
  <si>
    <t>#define CAN_CFG_MASK_REFERENCE_0_MB084      (CAN_RXMASK_NOUSE)</t>
  </si>
  <si>
    <t>#define CAN_CFG_MASK_REFERENCE_0_MB085      (CAN_RXMASK_NOUSE)</t>
  </si>
  <si>
    <t>#define CAN_CFG_MASK_REFERENCE_0_MB086      (CAN_RXMASK_NOUSE)</t>
  </si>
  <si>
    <t>#define CAN_CFG_MASK_REFERENCE_0_MB087      (CAN_RXMASK_NOUSE)</t>
  </si>
  <si>
    <t>#define CAN_CFG_MASK_REFERENCE_0_MB088      (CAN_RXMASK_NOUSE)</t>
  </si>
  <si>
    <t>#define CAN_CFG_MASK_REFERENCE_0_MB089      (CAN_RXMASK_NOUSE)</t>
  </si>
  <si>
    <t>#define CAN_CFG_MASK_REFERENCE_0_MB090      (CAN_RXMASK_NOUSE)</t>
  </si>
  <si>
    <t>#define CAN_CFG_MASK_REFERENCE_0_MB091      (CAN_RXMASK_NOUSE)</t>
  </si>
  <si>
    <t>#define CAN_CFG_MASK_REFERENCE_0_MB092      (CAN_RXMASK_NOUSE)</t>
  </si>
  <si>
    <t>#define CAN_CFG_MASK_REFERENCE_0_MB093      (CAN_RXMASK_NOUSE)</t>
  </si>
  <si>
    <t>#define CAN_CFG_MASK_REFERENCE_0_MB094      (CAN_RXMASK_NOUSE)</t>
  </si>
  <si>
    <t>#define CAN_CFG_MASK_REFERENCE_0_MB095      (CAN_RXMASK_NOUSE)</t>
  </si>
  <si>
    <t>#define CAN_CFG_MASK_REFERENCE_0_MB096      (CAN_RXMASK_NOUSE)</t>
  </si>
  <si>
    <t>#define CAN_CFG_MASK_REFERENCE_0_MB097      (CAN_RXMASK_NOUSE)</t>
  </si>
  <si>
    <t>#define CAN_CFG_MASK_REFERENCE_0_MB098      (CAN_RXMASK_NOUSE)</t>
  </si>
  <si>
    <t>#define CAN_CFG_MASK_REFERENCE_0_MB099      (CAN_RXMASK_NOUSE)</t>
  </si>
  <si>
    <t>#define CAN_CFG_MASK_REFERENCE_0_MB100      (CAN_RXMASK_NOUSE)</t>
  </si>
  <si>
    <t>#define CAN_CFG_MASK_REFERENCE_0_MB101      (CAN_RXMASK_NOUSE)</t>
  </si>
  <si>
    <t>#define CAN_CFG_MASK_REFERENCE_0_MB102      (CAN_RXMASK_NOUSE)</t>
  </si>
  <si>
    <t>#define CAN_CFG_MASK_REFERENCE_0_MB103      (CAN_RXMASK_NOUSE)</t>
  </si>
  <si>
    <t>#define CAN_CFG_MASK_REFERENCE_0_MB104      (CAN_RXMASK_NOUSE)</t>
  </si>
  <si>
    <t>#define CAN_CFG_MASK_REFERENCE_0_MB105      (CAN_RXMASK_NOUSE)</t>
  </si>
  <si>
    <t>#define CAN_CFG_MASK_REFERENCE_0_MB106      (CAN_RXMASK_NOUSE)</t>
  </si>
  <si>
    <t>#define CAN_CFG_MASK_REFERENCE_0_MB107      (CAN_RXMASK_NOUSE)</t>
  </si>
  <si>
    <t>#define CAN_CFG_MASK_REFERENCE_0_MB108      (CAN_RXMASK_NOUSE)</t>
  </si>
  <si>
    <t>#define CAN_CFG_MASK_REFERENCE_0_MB109      (CAN_RXMASK_NOUSE)</t>
  </si>
  <si>
    <t>#define CAN_CFG_MASK_REFERENCE_0_MB110      (CAN_RXMASK_NOUSE)</t>
  </si>
  <si>
    <t>#define CAN_CFG_MASK_REFERENCE_0_MB111      (CAN_RXMASK_NOUSE)</t>
  </si>
  <si>
    <t>#define CAN_CFG_MASK_REFERENCE_0_MB112      (CAN_RXMASK_NOUSE)</t>
  </si>
  <si>
    <t>#define CAN_CFG_MASK_REFERENCE_0_MB113      (CAN_RXMASK_NOUSE)</t>
  </si>
  <si>
    <t>#define CAN_CFG_MASK_REFERENCE_0_MB114      (CAN_RXMASK_NOUSE)</t>
  </si>
  <si>
    <t>#define CAN_CFG_MASK_REFERENCE_0_MB115      (CAN_RXMASK_NOUSE)</t>
  </si>
  <si>
    <t>#define CAN_CFG_MASK_REFERENCE_0_MB116      (CAN_RXMASK_NOUSE)</t>
  </si>
  <si>
    <t>#define CAN_CFG_MASK_REFERENCE_0_MB117      (CAN_RXMASK_NOUSE)</t>
  </si>
  <si>
    <t>#define CAN_CFG_MASK_REFERENCE_0_MB118      (CAN_RXMASK_NOUSE)</t>
  </si>
  <si>
    <t>#define CAN_CFG_MASK_REFERENCE_0_MB119      (CAN_RXMASK_NOUSE)</t>
  </si>
  <si>
    <t>#define CAN_CFG_MASK_REFERENCE_0_MB120      (CAN_RXMASK_NOUSE)</t>
  </si>
  <si>
    <t>#define CAN_CFG_MASK_REFERENCE_0_MB121      (CAN_RXMASK_NOUSE)</t>
  </si>
  <si>
    <t>#define CAN_CFG_MASK_REFERENCE_0_MB122      (CAN_RXMASK_NOUSE)</t>
  </si>
  <si>
    <t>#define CAN_CFG_MASK_REFERENCE_0_MB123      (CAN_RXMASK_NOUSE)</t>
  </si>
  <si>
    <t>#define CAN_CFG_MASK_REFERENCE_0_MB124      (CAN_RXMASK_NOUSE)</t>
  </si>
  <si>
    <t>#define CAN_CFG_MASK_REFERENCE_0_MB125      (CAN_RXMASK_NOUSE)</t>
  </si>
  <si>
    <t>#define CAN_CFG_MASK_REFERENCE_0_MB126      (CAN_RXMASK_NOUSE)</t>
  </si>
  <si>
    <t>#define CAN_CFG_MASK_REFERENCE_0_MB127      (CAN_RXMASK_NOUSE)</t>
  </si>
  <si>
    <t>#define CAN_CFG_MASK_REFERENCE_0_MB128      (CAN_RXMASK_NOUSE)</t>
  </si>
  <si>
    <t>#define CAN_CFG_MASK_REFERENCE_0_MB129      (CAN_RXMASK_NOUSE)</t>
  </si>
  <si>
    <t>#define CAN_CFG_MASK_REFERENCE_0_MB130      (CAN_RXMASK_NOUSE)</t>
  </si>
  <si>
    <t>#define CAN_CFG_MASK_REFERENCE_0_MB131      (CAN_RXMASK_NOUSE)</t>
  </si>
  <si>
    <t>#define CAN_CFG_MASK_REFERENCE_0_MB132      (CAN_RXMASK_NOUSE)</t>
  </si>
  <si>
    <t>#define CAN_CFG_MASK_REFERENCE_0_MB133      (CAN_RXMASK_NOUSE)</t>
  </si>
  <si>
    <t>#define CAN_CFG_MASK_REFERENCE_0_MB134      (CAN_RXMASK_NOUSE)</t>
  </si>
  <si>
    <t>#define CAN_CFG_MASK_REFERENCE_0_MB135      (CAN_RXMASK_NOUSE)</t>
  </si>
  <si>
    <t>#define CAN_CFG_MASK_REFERENCE_0_MB136      (CAN_RXMASK_NOUSE)</t>
  </si>
  <si>
    <t>#define CAN_CFG_MASK_REFERENCE_0_MB137      (CAN_RXMASK_NOUSE)</t>
  </si>
  <si>
    <t>#define CAN_CFG_MASK_REFERENCE_0_MB138      (CAN_RXMASK_NOUSE)</t>
  </si>
  <si>
    <t>#define CAN_CFG_MASK_REFERENCE_0_MB139      (CAN_RXMASK_NOUSE)</t>
  </si>
  <si>
    <t>#define CAN_CFG_MASK_REFERENCE_0_MB140      (CAN_RXMASK_NOUSE)</t>
  </si>
  <si>
    <t>#define CAN_CFG_MASK_REFERENCE_0_MB141      (CAN_RXMASK_NOUSE)</t>
  </si>
  <si>
    <t>#define CAN_CFG_MASK_REFERENCE_0_MB142      (CAN_RXMASK_NOUSE)</t>
  </si>
  <si>
    <t>#define CAN_CFG_MASK_REFERENCE_0_MB143      (CAN_RXMASK_NOUSE)</t>
  </si>
  <si>
    <t>#define CAN_CFG_MASK_REFERENCE_0_MB144      (CAN_RXMASK_NOUSE)</t>
  </si>
  <si>
    <t>#define CAN_CFG_MASK_REFERENCE_0_MB145      (CAN_RXMASK_NOUSE)</t>
  </si>
  <si>
    <t>#define CAN_CFG_MASK_REFERENCE_0_MB146      (CAN_RXMASK_NOUSE)</t>
  </si>
  <si>
    <t>#define CAN_CFG_MASK_REFERENCE_0_MB147      (CAN_RXMASK_NOUSE)</t>
  </si>
  <si>
    <t>#define CAN_CFG_MASK_REFERENCE_0_MB148      (CAN_RXMASK_NOUSE)</t>
  </si>
  <si>
    <t>#define CAN_CFG_MASK_REFERENCE_0_MB149      (CAN_RXMASK_NOUSE)</t>
  </si>
  <si>
    <t>#define CAN_CFG_MASK_REFERENCE_0_MB150      (CAN_RXMASK_NOUSE)</t>
  </si>
  <si>
    <t>#define CAN_CFG_MASK_REFERENCE_0_MB151      (CAN_RXMASK_NOUSE)</t>
  </si>
  <si>
    <t>#define CAN_CFG_MASK_REFERENCE_0_MB152      (CAN_RXMASK_NOUSE)</t>
  </si>
  <si>
    <t>#define CAN_CFG_MASK_REFERENCE_0_MB153      (CAN_RXMASK_NOUSE)</t>
  </si>
  <si>
    <t>#define CAN_CFG_MASK_REFERENCE_0_MB154      (CAN_RXMASK_NOUSE)</t>
  </si>
  <si>
    <t>#define CAN_CFG_MASK_REFERENCE_0_MB155      (CAN_RXMASK_NOUSE)</t>
  </si>
  <si>
    <t>#define CAN_CFG_MASK_REFERENCE_0_MB156      (CAN_RXMASK_NOUSE)</t>
  </si>
  <si>
    <t>#define CAN_CFG_MASK_REFERENCE_0_MB157      (CAN_RXMASK_NOUSE)</t>
  </si>
  <si>
    <t>#define CAN_CFG_MASK_REFERENCE_0_MB158      (CAN_RXMASK_NOUSE)</t>
  </si>
  <si>
    <t>#define CAN_CFG_MASK_REFERENCE_0_MB159      (CAN_RXMASK_NOUSE)</t>
  </si>
  <si>
    <t>#define CAN_CFG_MASK_REFERENCE_0_MB160      (CAN_RXMASK_NOUSE)</t>
  </si>
  <si>
    <t>#define CAN_CFG_MASK_REFERENCE_0_MB161      (CAN_RXMASK_NOUSE)</t>
  </si>
  <si>
    <t>#define CAN_CFG_MASK_REFERENCE_0_MB162      (CAN_RXMASK_NOUSE)</t>
  </si>
  <si>
    <t>#define CAN_CFG_MASK_REFERENCE_0_MB163      (CAN_RXMASK_NOUSE)</t>
  </si>
  <si>
    <t>#define CAN_CFG_MASK_REFERENCE_0_MB164      (CAN_RXMASK_NOUSE)</t>
  </si>
  <si>
    <t>#define CAN_CFG_MASK_REFERENCE_0_MB165      (CAN_RXMASK_NOUSE)</t>
  </si>
  <si>
    <t>#define CAN_CFG_MASK_REFERENCE_0_MB166      (CAN_RXMASK_NOUSE)</t>
  </si>
  <si>
    <t>#define CAN_CFG_MASK_REFERENCE_0_MB167      (CAN_RXMASK_NOUSE)</t>
  </si>
  <si>
    <t>#define CAN_CFG_MASK_REFERENCE_0_MB168      (CAN_RXMASK_NOUSE)</t>
  </si>
  <si>
    <t>#define CAN_CFG_MASK_REFERENCE_0_MB169      (CAN_RXMASK_NOUSE)</t>
  </si>
  <si>
    <t>#define CAN_CFG_MASK_REFERENCE_0_MB170      (CAN_RXMASK_NOUSE)</t>
  </si>
  <si>
    <t>#define CAN_CFG_MASK_REFERENCE_0_MB171      (CAN_RXMASK_NOUSE)</t>
  </si>
  <si>
    <t>#define CAN_CFG_MASK_REFERENCE_0_MB172      (CAN_RXMASK_NOUSE)</t>
  </si>
  <si>
    <t>#define CAN_CFG_MASK_REFERENCE_0_MB173      (CAN_RXMASK_NOUSE)</t>
  </si>
  <si>
    <t>#define CAN_CFG_MASK_REFERENCE_0_MB174      (CAN_RXMASK_NOUSE)</t>
  </si>
  <si>
    <t>#define CAN_CFG_MASK_REFERENCE_0_MB175      (CAN_RXMASK_NOUSE)</t>
  </si>
  <si>
    <t>#define CAN_CFG_MASK_REFERENCE_0_MB176      (CAN_RXMASK_NOUSE)</t>
  </si>
  <si>
    <t>#define CAN_CFG_MASK_REFERENCE_0_MB177      (CAN_RXMASK_NOUSE)</t>
  </si>
  <si>
    <t>#define CAN_CFG_MASK_REFERENCE_0_MB178      (CAN_RXMASK_NOUSE)</t>
  </si>
  <si>
    <t>#define CAN_CFG_MASK_REFERENCE_0_MB179      (CAN_RXMASK_NOUSE)</t>
  </si>
  <si>
    <t>#define CAN_CFG_MASK_REFERENCE_0_MB180      (CAN_RXMASK_NOUSE)</t>
  </si>
  <si>
    <t>#define CAN_CFG_MASK_REFERENCE_0_MB181      (CAN_RXMASK_NOUSE)</t>
  </si>
  <si>
    <t>#define CAN_CFG_MASK_REFERENCE_0_MB182      (CAN_RXMASK_NOUSE)</t>
  </si>
  <si>
    <t>#define CAN_CFG_MASK_REFERENCE_0_MB183      (CAN_RXMASK_NOUSE)</t>
  </si>
  <si>
    <t>#define CAN_CFG_MASK_REFERENCE_0_MB184      (CAN_RXMASK_NOUSE)</t>
  </si>
  <si>
    <t>#define CAN_CFG_MASK_REFERENCE_0_MB185      (CAN_RXMASK_NOUSE)</t>
  </si>
  <si>
    <t>#define CAN_CFG_MASK_REFERENCE_0_MB186      (CAN_RXMASK_NOUSE)</t>
  </si>
  <si>
    <t>#define CAN_CFG_MASK_REFERENCE_0_MB187      (CAN_RXMASK_NOUSE)</t>
  </si>
  <si>
    <t>#define CAN_CFG_MASK_REFERENCE_0_MB188      (CAN_RXMASK_NOUSE)</t>
  </si>
  <si>
    <t>#define CAN_CFG_MASK_REFERENCE_0_MB189      (CAN_RXMASK_NOUSE)</t>
  </si>
  <si>
    <t>#define CAN_CFG_MASK_REFERENCE_0_MB190      (CAN_RXMASK_NOUSE)</t>
  </si>
  <si>
    <t>#define CAN_CFG_MASK_REFERENCE_0_MB191      (CAN_RXMASK_NOUSE)</t>
  </si>
  <si>
    <t>/* CAN Controller 1 Filter Mask References */</t>
  </si>
  <si>
    <t>#define CAN_CFG_MASK_REFERENCE_1_MB000      (CAN_RXMASK_NOUSE)</t>
  </si>
  <si>
    <t>#define CAN_CFG_MASK_REFERENCE_1_MB001      (CAN_RXMASK_NOUSE)</t>
  </si>
  <si>
    <t>#define CAN_CFG_MASK_REFERENCE_1_MB002      (CAN_RXMASK_NOUSE)</t>
  </si>
  <si>
    <t>#define CAN_CFG_MASK_REFERENCE_1_MB003      (CAN_RXMASK_NOUSE)</t>
  </si>
  <si>
    <t>#define CAN_CFG_MASK_REFERENCE_1_MB004      (CAN_RXMASK_NOUSE)</t>
  </si>
  <si>
    <t>#define CAN_CFG_MASK_REFERENCE_1_MB005      (CAN_RXMASK_NOUSE)</t>
  </si>
  <si>
    <t>#define CAN_CFG_MASK_REFERENCE_1_MB006      (CAN_RXMASK_NOUSE)</t>
  </si>
  <si>
    <t>#define CAN_CFG_MASK_REFERENCE_1_MB007      (CAN_RXMASK_NOUSE)</t>
  </si>
  <si>
    <t>#define CAN_CFG_MASK_REFERENCE_1_MB008      (CAN_RXMASK_NOUSE)</t>
  </si>
  <si>
    <t>#define CAN_CFG_MASK_REFERENCE_1_MB009      (CAN_RXMASK_NOUSE)</t>
  </si>
  <si>
    <t>#define CAN_CFG_MASK_REFERENCE_1_MB010      (CAN_RXMASK_NOUSE)</t>
  </si>
  <si>
    <t>#define CAN_CFG_MASK_REFERENCE_1_MB011      (CAN_RXMASK_NOUSE)</t>
  </si>
  <si>
    <t>#define CAN_CFG_MASK_REFERENCE_1_MB012      (CAN_RXMASK_NOUSE)</t>
  </si>
  <si>
    <t>#define CAN_CFG_MASK_REFERENCE_1_MB013      (CAN_RXMASK_NOUSE)</t>
  </si>
  <si>
    <t>#define CAN_CFG_MASK_REFERENCE_1_MB014      (CAN_RXMASK_NOUSE)</t>
  </si>
  <si>
    <t>#define CAN_CFG_MASK_REFERENCE_1_MB015      (CAN_RXMASK_NOUSE)</t>
  </si>
  <si>
    <t>#define CAN_CFG_MASK_REFERENCE_1_MB016      (CAN_RXMASK_NOUSE)</t>
  </si>
  <si>
    <t>#define CAN_CFG_MASK_REFERENCE_1_MB017      (CAN_RXMASK_NOUSE)</t>
  </si>
  <si>
    <t>#define CAN_CFG_MASK_REFERENCE_1_MB018      (CAN_RXMASK_NOUSE)</t>
  </si>
  <si>
    <t>#define CAN_CFG_MASK_REFERENCE_1_MB019      (CAN_RXMASK_NOUSE)</t>
  </si>
  <si>
    <t>#define CAN_CFG_MASK_REFERENCE_1_MB020      (CAN_RXMASK_NOUSE)</t>
  </si>
  <si>
    <t>#define CAN_CFG_MASK_REFERENCE_1_MB021      (CAN_RXMASK_NOUSE)</t>
  </si>
  <si>
    <t>#define CAN_CFG_MASK_REFERENCE_1_MB022      (CAN_RXMASK_NOUSE)</t>
  </si>
  <si>
    <t>#define CAN_CFG_MASK_REFERENCE_1_MB023      (CAN_RXMASK_NOUSE)</t>
  </si>
  <si>
    <t>#define CAN_CFG_MASK_REFERENCE_1_MB024      (CAN_RXMASK_NOUSE)</t>
  </si>
  <si>
    <t>#define CAN_CFG_MASK_REFERENCE_1_MB025      (CAN_RXMASK_NOUSE)</t>
  </si>
  <si>
    <t>#define CAN_CFG_MASK_REFERENCE_1_MB026      (CAN_RXMASK_NOUSE)</t>
  </si>
  <si>
    <t>#define CAN_CFG_MASK_REFERENCE_1_MB027      (CAN_RXMASK_NOUSE)</t>
  </si>
  <si>
    <t>#define CAN_CFG_MASK_REFERENCE_1_MB028      (CAN_RXMASK_NOUSE)</t>
  </si>
  <si>
    <t>#define CAN_CFG_MASK_REFERENCE_1_MB029      (CAN_RXMASK_NOUSE)</t>
  </si>
  <si>
    <t>#define CAN_CFG_MASK_REFERENCE_1_MB030      (CAN_RXMASK_NOUSE)</t>
  </si>
  <si>
    <t>#define CAN_CFG_MASK_REFERENCE_1_MB031      (CAN_RXMASK_NOUSE)</t>
  </si>
  <si>
    <t>#define CAN_CFG_MASK_REFERENCE_1_MB032      (CAN_RXMASK_NOUSE)</t>
  </si>
  <si>
    <t>#define CAN_CFG_MASK_REFERENCE_1_MB033      (CAN_RXMASK_NOUSE)</t>
  </si>
  <si>
    <t>#define CAN_CFG_MASK_REFERENCE_1_MB034      (CAN_RXMASK_NOUSE)</t>
  </si>
  <si>
    <t>#define CAN_CFG_MASK_REFERENCE_1_MB035      (CAN_RXMASK_NOUSE)</t>
  </si>
  <si>
    <t>#define CAN_CFG_MASK_REFERENCE_1_MB036      (CAN_RXMASK_NOUSE)</t>
  </si>
  <si>
    <t>#define CAN_CFG_MASK_REFERENCE_1_MB037      (CAN_RXMASK_NOUSE)</t>
  </si>
  <si>
    <t>#define CAN_CFG_MASK_REFERENCE_1_MB038      (CAN_RXMASK_NOUSE)</t>
  </si>
  <si>
    <t>#define CAN_CFG_MASK_REFERENCE_1_MB039      (CAN_RXMASK_NOUSE)</t>
  </si>
  <si>
    <t>#define CAN_CFG_MASK_REFERENCE_1_MB040      (CAN_RXMASK_NOUSE)</t>
  </si>
  <si>
    <t>#define CAN_CFG_MASK_REFERENCE_1_MB041      (CAN_RXMASK_NOUSE)</t>
  </si>
  <si>
    <t>#define CAN_CFG_MASK_REFERENCE_1_MB042      (CAN_RXMASK_NOUSE)</t>
  </si>
  <si>
    <t>#define CAN_CFG_MASK_REFERENCE_1_MB043      (CAN_RXMASK_NOUSE)</t>
  </si>
  <si>
    <t>#define CAN_CFG_MASK_REFERENCE_1_MB044      (CAN_RXMASK_NOUSE)</t>
  </si>
  <si>
    <t>#define CAN_CFG_MASK_REFERENCE_1_MB045      (CAN_RXMASK_NOUSE)</t>
  </si>
  <si>
    <t>#define CAN_CFG_MASK_REFERENCE_1_MB046      (CAN_RXMASK_NOUSE)</t>
  </si>
  <si>
    <t>#define CAN_CFG_MASK_REFERENCE_1_MB047      (CAN_RXMASK_NOUSE)</t>
  </si>
  <si>
    <t>#define CAN_CFG_MASK_REFERENCE_1_MB048      (CAN_RXMASK_NOUSE)</t>
  </si>
  <si>
    <t>#define CAN_CFG_MASK_REFERENCE_1_MB049      (CAN_RXMASK_NOUSE)</t>
  </si>
  <si>
    <t>#define CAN_CFG_MASK_REFERENCE_1_MB050      (CAN_RXMASK_NOUSE)</t>
  </si>
  <si>
    <t>#define CAN_CFG_MASK_REFERENCE_1_MB051      (CAN_RXMASK_NOUSE)</t>
  </si>
  <si>
    <t>#define CAN_CFG_MASK_REFERENCE_1_MB052      (CAN_RXMASK_NOUSE)</t>
  </si>
  <si>
    <t>#define CAN_CFG_MASK_REFERENCE_1_MB053      (CAN_RXMASK_NOUSE)</t>
  </si>
  <si>
    <t>#define CAN_CFG_MASK_REFERENCE_1_MB054      (CAN_RXMASK_NOUSE)</t>
  </si>
  <si>
    <t>#define CAN_CFG_MASK_REFERENCE_1_MB055      (CAN_RXMASK_NOUSE)</t>
  </si>
  <si>
    <t>#define CAN_CFG_MASK_REFERENCE_1_MB056      (CAN_RXMASK_NOUSE)</t>
  </si>
  <si>
    <t>#define CAN_CFG_MASK_REFERENCE_1_MB057      (CAN_RXMASK_NOUSE)</t>
  </si>
  <si>
    <t>#define CAN_CFG_MASK_REFERENCE_1_MB058      (CAN_RXMASK_NOUSE)</t>
  </si>
  <si>
    <t>#define CAN_CFG_MASK_REFERENCE_1_MB059      (CAN_RXMASK_NOUSE)</t>
  </si>
  <si>
    <t>#define CAN_CFG_MASK_REFERENCE_1_MB060      (CAN_RXMASK_NOUSE)</t>
  </si>
  <si>
    <t>#define CAN_CFG_MASK_REFERENCE_1_MB061      (CAN_RXMASK_NOUSE)</t>
  </si>
  <si>
    <t>#define CAN_CFG_MASK_REFERENCE_1_MB062      (CAN_RXMASK_NOUSE)</t>
  </si>
  <si>
    <t>#define CAN_CFG_MASK_REFERENCE_1_MB063      (CAN_RXMASK_NOUSE)</t>
  </si>
  <si>
    <t>#define CAN_CFG_MASK_REFERENCE_1_MB064      (CAN_RXMASK_NOUSE)</t>
  </si>
  <si>
    <t>#define CAN_CFG_MASK_REFERENCE_1_MB065      (CAN_RXMASK_NOUSE)</t>
  </si>
  <si>
    <t>#define CAN_CFG_MASK_REFERENCE_1_MB066      (CAN_RXMASK_NOUSE)</t>
  </si>
  <si>
    <t>#define CAN_CFG_MASK_REFERENCE_1_MB067      (CAN_RXMASK_NOUSE)</t>
  </si>
  <si>
    <t>#define CAN_CFG_MASK_REFERENCE_1_MB068      (CAN_RXMASK_NOUSE)</t>
  </si>
  <si>
    <t>#define CAN_CFG_MASK_REFERENCE_1_MB069      (CAN_RXMASK_NOUSE)</t>
  </si>
  <si>
    <t>#define CAN_CFG_MASK_REFERENCE_1_MB070      (CAN_RXMASK_NOUSE)</t>
  </si>
  <si>
    <t>#define CAN_CFG_MASK_REFERENCE_1_MB071      (CAN_RXMASK_NOUSE)</t>
  </si>
  <si>
    <t>#define CAN_CFG_MASK_REFERENCE_1_MB072      (CAN_RXMASK_NOUSE)</t>
  </si>
  <si>
    <t>#define CAN_CFG_MASK_REFERENCE_1_MB073      (CAN_RXMASK_NOUSE)</t>
  </si>
  <si>
    <t>#define CAN_CFG_MASK_REFERENCE_1_MB074      (CAN_RXMASK_NOUSE)</t>
  </si>
  <si>
    <t>#define CAN_CFG_MASK_REFERENCE_1_MB075      (CAN_RXMASK_NOUSE)</t>
  </si>
  <si>
    <t>#define CAN_CFG_MASK_REFERENCE_1_MB076      (CAN_RXMASK_NOUSE)</t>
  </si>
  <si>
    <t>#define CAN_CFG_MASK_REFERENCE_1_MB077      (CAN_RXMASK_NOUSE)</t>
  </si>
  <si>
    <t>#define CAN_CFG_MASK_REFERENCE_1_MB078      (CAN_RXMASK_NOUSE)</t>
  </si>
  <si>
    <t>#define CAN_CFG_MASK_REFERENCE_1_MB079      (CAN_RXMASK_NOUSE)</t>
  </si>
  <si>
    <t>#define CAN_CFG_MASK_REFERENCE_1_MB080      (CAN_RXMASK_NOUSE)</t>
  </si>
  <si>
    <t>#define CAN_CFG_MASK_REFERENCE_1_MB081      (CAN_RXMASK_NOUSE)</t>
  </si>
  <si>
    <t>#define CAN_CFG_MASK_REFERENCE_1_MB082      (CAN_RXMASK_NOUSE)</t>
  </si>
  <si>
    <t>#define CAN_CFG_MASK_REFERENCE_1_MB083      (CAN_RXMASK_NOUSE)</t>
  </si>
  <si>
    <t>#define CAN_CFG_MASK_REFERENCE_1_MB084      (CAN_RXMASK_NOUSE)</t>
  </si>
  <si>
    <t>#define CAN_CFG_MASK_REFERENCE_1_MB085      (CAN_RXMASK_NOUSE)</t>
  </si>
  <si>
    <t>#define CAN_CFG_MASK_REFERENCE_1_MB086      (CAN_RXMASK_NOUSE)</t>
  </si>
  <si>
    <t>#define CAN_CFG_MASK_REFERENCE_1_MB087      (CAN_RXMASK_NOUSE)</t>
  </si>
  <si>
    <t>#define CAN_CFG_MASK_REFERENCE_1_MB088      (CAN_RXMASK_NOUSE)</t>
  </si>
  <si>
    <t>#define CAN_CFG_MASK_REFERENCE_1_MB089      (CAN_RXMASK_NOUSE)</t>
  </si>
  <si>
    <t>#define CAN_CFG_MASK_REFERENCE_1_MB090      (CAN_RXMASK_NOUSE)</t>
  </si>
  <si>
    <t>#define CAN_CFG_MASK_REFERENCE_1_MB091      (CAN_RXMASK_NOUSE)</t>
  </si>
  <si>
    <t>#define CAN_CFG_MASK_REFERENCE_1_MB092      (CAN_RXMASK_NOUSE)</t>
  </si>
  <si>
    <t>#define CAN_CFG_MASK_REFERENCE_1_MB093      (CAN_RXMASK_NOUSE)</t>
  </si>
  <si>
    <t>#define CAN_CFG_MASK_REFERENCE_1_MB094      (CAN_RXMASK_NOUSE)</t>
  </si>
  <si>
    <t>#define CAN_CFG_MASK_REFERENCE_1_MB095      (CAN_RXMASK_NOUSE)</t>
  </si>
  <si>
    <t>#define CAN_CFG_MASK_REFERENCE_1_MB096      (CAN_RXMASK_NOUSE)</t>
  </si>
  <si>
    <t>#define CAN_CFG_MASK_REFERENCE_1_MB097      (CAN_RXMASK_NOUSE)</t>
  </si>
  <si>
    <t>#define CAN_CFG_MASK_REFERENCE_1_MB098      (CAN_RXMASK_NOUSE)</t>
  </si>
  <si>
    <t>#define CAN_CFG_MASK_REFERENCE_1_MB099      (CAN_RXMASK_NOUSE)</t>
  </si>
  <si>
    <t>#define CAN_CFG_MASK_REFERENCE_1_MB100      (CAN_RXMASK_NOUSE)</t>
  </si>
  <si>
    <t>#define CAN_CFG_MASK_REFERENCE_1_MB101      (CAN_RXMASK_NOUSE)</t>
  </si>
  <si>
    <t>#define CAN_CFG_MASK_REFERENCE_1_MB102      (CAN_RXMASK_NOUSE)</t>
  </si>
  <si>
    <t>#define CAN_CFG_MASK_REFERENCE_1_MB103      (CAN_RXMASK_NOUSE)</t>
  </si>
  <si>
    <t>#define CAN_CFG_MASK_REFERENCE_1_MB104      (CAN_RXMASK_NOUSE)</t>
  </si>
  <si>
    <t>#define CAN_CFG_MASK_REFERENCE_1_MB105      (CAN_RXMASK_NOUSE)</t>
  </si>
  <si>
    <t>#define CAN_CFG_MASK_REFERENCE_1_MB106      (CAN_RXMASK_NOUSE)</t>
  </si>
  <si>
    <t>#define CAN_CFG_MASK_REFERENCE_1_MB107      (CAN_RXMASK_NOUSE)</t>
  </si>
  <si>
    <t>#define CAN_CFG_MASK_REFERENCE_1_MB108      (CAN_RXMASK_NOUSE)</t>
  </si>
  <si>
    <t>#define CAN_CFG_MASK_REFERENCE_1_MB109      (CAN_RXMASK_NOUSE)</t>
  </si>
  <si>
    <t>#define CAN_CFG_MASK_REFERENCE_1_MB110      (CAN_RXMASK_NOUSE)</t>
  </si>
  <si>
    <t>#define CAN_CFG_MASK_REFERENCE_1_MB111      (CAN_RXMASK_NOUSE)</t>
  </si>
  <si>
    <t>#define CAN_CFG_MASK_REFERENCE_1_MB112      (CAN_RXMASK_NOUSE)</t>
  </si>
  <si>
    <t>#define CAN_CFG_MASK_REFERENCE_1_MB113      (CAN_RXMASK_NOUSE)</t>
  </si>
  <si>
    <t>#define CAN_CFG_MASK_REFERENCE_1_MB114      (CAN_RXMASK_NOUSE)</t>
  </si>
  <si>
    <t>#define CAN_CFG_MASK_REFERENCE_1_MB115      (CAN_RXMASK_NOUSE)</t>
  </si>
  <si>
    <t>#define CAN_CFG_MASK_REFERENCE_1_MB116      (CAN_RXMASK_NOUSE)</t>
  </si>
  <si>
    <t>#define CAN_CFG_MASK_REFERENCE_1_MB117      (CAN_RXMASK_NOUSE)</t>
  </si>
  <si>
    <t>#define CAN_CFG_MASK_REFERENCE_1_MB118      (CAN_RXMASK_NOUSE)</t>
  </si>
  <si>
    <t>#define CAN_CFG_MASK_REFERENCE_1_MB119      (CAN_RXMASK_NOUSE)</t>
  </si>
  <si>
    <t>#define CAN_CFG_MASK_REFERENCE_1_MB120      (CAN_RXMASK_NOUSE)</t>
  </si>
  <si>
    <t>#define CAN_CFG_MASK_REFERENCE_1_MB121      (CAN_RXMASK_NOUSE)</t>
  </si>
  <si>
    <t>#define CAN_CFG_MASK_REFERENCE_1_MB122      (CAN_RXMASK_NOUSE)</t>
  </si>
  <si>
    <t>#define CAN_CFG_MASK_REFERENCE_1_MB123      (CAN_RXMASK_NOUSE)</t>
  </si>
  <si>
    <t>#define CAN_CFG_MASK_REFERENCE_1_MB124      (CAN_RXMASK_NOUSE)</t>
  </si>
  <si>
    <t>#define CAN_CFG_MASK_REFERENCE_1_MB125      (CAN_RXMASK_NOUSE)</t>
  </si>
  <si>
    <t>#define CAN_CFG_MASK_REFERENCE_1_MB126      (CAN_RXMASK_NOUSE)</t>
  </si>
  <si>
    <t>#define CAN_CFG_MASK_REFERENCE_1_MB127      (CAN_RXMASK_NOUSE)</t>
  </si>
  <si>
    <t>#define CAN_CFG_MASK_REFERENCE_1_MB128      (CAN_RXMASK_NOUSE)</t>
  </si>
  <si>
    <t>#define CAN_CFG_MASK_REFERENCE_1_MB129      (CAN_RXMASK_NOUSE)</t>
  </si>
  <si>
    <t>#define CAN_CFG_MASK_REFERENCE_1_MB130      (CAN_RXMASK_NOUSE)</t>
  </si>
  <si>
    <t>#define CAN_CFG_MASK_REFERENCE_1_MB131      (CAN_RXMASK_NOUSE)</t>
  </si>
  <si>
    <t>#define CAN_CFG_MASK_REFERENCE_1_MB132      (CAN_RXMASK_NOUSE)</t>
  </si>
  <si>
    <t>#define CAN_CFG_MASK_REFERENCE_1_MB133      (CAN_RXMASK_NOUSE)</t>
  </si>
  <si>
    <t>#define CAN_CFG_MASK_REFERENCE_1_MB134      (CAN_RXMASK_NOUSE)</t>
  </si>
  <si>
    <t>#define CAN_CFG_MASK_REFERENCE_1_MB135      (CAN_RXMASK_NOUSE)</t>
  </si>
  <si>
    <t>#define CAN_CFG_MASK_REFERENCE_1_MB136      (CAN_RXMASK_NOUSE)</t>
  </si>
  <si>
    <t>#define CAN_CFG_MASK_REFERENCE_1_MB137      (CAN_RXMASK_NOUSE)</t>
  </si>
  <si>
    <t>#define CAN_CFG_MASK_REFERENCE_1_MB138      (CAN_RXMASK_NOUSE)</t>
  </si>
  <si>
    <t>#define CAN_CFG_MASK_REFERENCE_1_MB139      (CAN_RXMASK_NOUSE)</t>
  </si>
  <si>
    <t>#define CAN_CFG_MASK_REFERENCE_1_MB140      (CAN_RXMASK_NOUSE)</t>
  </si>
  <si>
    <t>#define CAN_CFG_MASK_REFERENCE_1_MB141      (CAN_RXMASK_NOUSE)</t>
  </si>
  <si>
    <t>#define CAN_CFG_MASK_REFERENCE_1_MB142      (CAN_RXMASK_NOUSE)</t>
  </si>
  <si>
    <t>#define CAN_CFG_MASK_REFERENCE_1_MB143      (CAN_RXMASK_NOUSE)</t>
  </si>
  <si>
    <t>#define CAN_CFG_MASK_REFERENCE_1_MB144      (CAN_RXMASK_NOUSE)</t>
  </si>
  <si>
    <t>#define CAN_CFG_MASK_REFERENCE_1_MB145      (CAN_RXMASK_NOUSE)</t>
  </si>
  <si>
    <t>#define CAN_CFG_MASK_REFERENCE_1_MB146      (CAN_RXMASK_NOUSE)</t>
  </si>
  <si>
    <t>#define CAN_CFG_MASK_REFERENCE_1_MB147      (CAN_RXMASK_NOUSE)</t>
  </si>
  <si>
    <t>#define CAN_CFG_MASK_REFERENCE_1_MB148      (CAN_RXMASK_NOUSE)</t>
  </si>
  <si>
    <t>#define CAN_CFG_MASK_REFERENCE_1_MB149      (CAN_RXMASK_NOUSE)</t>
  </si>
  <si>
    <t>#define CAN_CFG_MASK_REFERENCE_1_MB150      (CAN_RXMASK_NOUSE)</t>
  </si>
  <si>
    <t>#define CAN_CFG_MASK_REFERENCE_1_MB151      (CAN_RXMASK_NOUSE)</t>
  </si>
  <si>
    <t>#define CAN_CFG_MASK_REFERENCE_1_MB152      (CAN_RXMASK_NOUSE)</t>
  </si>
  <si>
    <t>#define CAN_CFG_MASK_REFERENCE_1_MB153      (CAN_RXMASK_NOUSE)</t>
  </si>
  <si>
    <t>#define CAN_CFG_MASK_REFERENCE_1_MB154      (CAN_RXMASK_NOUSE)</t>
  </si>
  <si>
    <t>#define CAN_CFG_MASK_REFERENCE_1_MB155      (CAN_RXMASK_NOUSE)</t>
  </si>
  <si>
    <t>#define CAN_CFG_MASK_REFERENCE_1_MB156      (CAN_RXMASK_NOUSE)</t>
  </si>
  <si>
    <t>#define CAN_CFG_MASK_REFERENCE_1_MB157      (CAN_RXMASK_NOUSE)</t>
  </si>
  <si>
    <t>#define CAN_CFG_MASK_REFERENCE_1_MB158      (CAN_RXMASK_NOUSE)</t>
  </si>
  <si>
    <t>#define CAN_CFG_MASK_REFERENCE_1_MB159      (CAN_RXMASK_NOUSE)</t>
  </si>
  <si>
    <t>#define CAN_CFG_MASK_REFERENCE_1_MB160      (CAN_RXMASK_NOUSE)</t>
  </si>
  <si>
    <t>#define CAN_CFG_MASK_REFERENCE_1_MB161      (CAN_RXMASK_NOUSE)</t>
  </si>
  <si>
    <t>#define CAN_CFG_MASK_REFERENCE_1_MB162      (CAN_RXMASK_NOUSE)</t>
  </si>
  <si>
    <t>#define CAN_CFG_MASK_REFERENCE_1_MB163      (CAN_RXMASK_NOUSE)</t>
  </si>
  <si>
    <t>#define CAN_CFG_MASK_REFERENCE_1_MB164      (CAN_RXMASK_NOUSE)</t>
  </si>
  <si>
    <t>#define CAN_CFG_MASK_REFERENCE_1_MB165      (CAN_RXMASK_NOUSE)</t>
  </si>
  <si>
    <t>#define CAN_CFG_MASK_REFERENCE_1_MB166      (CAN_RXMASK_NOUSE)</t>
  </si>
  <si>
    <t>#define CAN_CFG_MASK_REFERENCE_1_MB167      (CAN_RXMASK_NOUSE)</t>
  </si>
  <si>
    <t>#define CAN_CFG_MASK_REFERENCE_1_MB168      (CAN_RXMASK_NOUSE)</t>
  </si>
  <si>
    <t>#define CAN_CFG_MASK_REFERENCE_1_MB169      (CAN_RXMASK_NOUSE)</t>
  </si>
  <si>
    <t>#define CAN_CFG_MASK_REFERENCE_1_MB170      (CAN_RXMASK_NOUSE)</t>
  </si>
  <si>
    <t>#define CAN_CFG_MASK_REFERENCE_1_MB171      (CAN_RXMASK_NOUSE)</t>
  </si>
  <si>
    <t>#define CAN_CFG_MASK_REFERENCE_1_MB172      (CAN_RXMASK_NOUSE)</t>
  </si>
  <si>
    <t>#define CAN_CFG_MASK_REFERENCE_1_MB173      (CAN_RXMASK_NOUSE)</t>
  </si>
  <si>
    <t>#define CAN_CFG_MASK_REFERENCE_1_MB174      (CAN_RXMASK_NOUSE)</t>
  </si>
  <si>
    <t>#define CAN_CFG_MASK_REFERENCE_1_MB175      (CAN_RXMASK_NOUSE)</t>
  </si>
  <si>
    <t>#define CAN_CFG_MASK_REFERENCE_1_MB176      (CAN_RXMASK_NOUSE)</t>
  </si>
  <si>
    <t>#define CAN_CFG_MASK_REFERENCE_1_MB177      (CAN_RXMASK_NOUSE)</t>
  </si>
  <si>
    <t>#define CAN_CFG_MASK_REFERENCE_1_MB178      (CAN_RXMASK_NOUSE)</t>
  </si>
  <si>
    <t>#define CAN_CFG_MASK_REFERENCE_1_MB179      (CAN_RXMASK_NOUSE)</t>
  </si>
  <si>
    <t>#define CAN_CFG_MASK_REFERENCE_1_MB180      (CAN_RXMASK_NOUSE)</t>
  </si>
  <si>
    <t>#define CAN_CFG_MASK_REFERENCE_1_MB181      (CAN_RXMASK_NOUSE)</t>
  </si>
  <si>
    <t>#define CAN_CFG_MASK_REFERENCE_1_MB182      (CAN_RXMASK_NOUSE)</t>
  </si>
  <si>
    <t>#define CAN_CFG_MASK_REFERENCE_1_MB183      (CAN_RXMASK_NOUSE)</t>
  </si>
  <si>
    <t>#define CAN_CFG_MASK_REFERENCE_1_MB184      (CAN_RXMASK_NOUSE)</t>
  </si>
  <si>
    <t>#define CAN_CFG_MASK_REFERENCE_1_MB185      (CAN_RXMASK_NOUSE)</t>
  </si>
  <si>
    <t>#define CAN_CFG_MASK_REFERENCE_1_MB186      (CAN_RXMASK_NOUSE)</t>
  </si>
  <si>
    <t>#define CAN_CFG_MASK_REFERENCE_1_MB187      (CAN_RXMASK_NOUSE)</t>
  </si>
  <si>
    <t>#define CAN_CFG_MASK_REFERENCE_1_MB188      (CAN_RXMASK_NOUSE)</t>
  </si>
  <si>
    <t>#define CAN_CFG_MASK_REFERENCE_1_MB189      (CAN_RXMASK_NOUSE)</t>
  </si>
  <si>
    <t>#define CAN_CFG_MASK_REFERENCE_1_MB190      (CAN_RXMASK_NOUSE)</t>
  </si>
  <si>
    <t>#define CAN_CFG_MASK_REFERENCE_1_MB191      (CAN_RXMASK_NOUSE)</t>
  </si>
  <si>
    <t>/* CAN Controller 2 Filter Mask References */</t>
  </si>
  <si>
    <t>#define CAN_CFG_MASK_REFERENCE_2_MB000      (CAN_RXMASK_NOUSE)</t>
  </si>
  <si>
    <t>#define CAN_CFG_MASK_REFERENCE_2_MB001      (CAN_RXMASK_NOUSE)</t>
  </si>
  <si>
    <t>#define CAN_CFG_MASK_REFERENCE_2_MB002      (CAN_RXMASK_NOUSE)</t>
  </si>
  <si>
    <t>#define CAN_CFG_MASK_REFERENCE_2_MB003      (CAN_RXMASK_NOUSE)</t>
  </si>
  <si>
    <t>#define CAN_CFG_MASK_REFERENCE_2_MB004      (CAN_RXMASK_NOUSE)</t>
  </si>
  <si>
    <t>#define CAN_CFG_MASK_REFERENCE_2_MB005      (CAN_RXMASK_NOUSE)</t>
  </si>
  <si>
    <t>#define CAN_CFG_MASK_REFERENCE_2_MB006      (CAN_RXMASK_NOUSE)</t>
  </si>
  <si>
    <t>#define CAN_CFG_MASK_REFERENCE_2_MB007      (CAN_RXMASK_NOUSE)</t>
  </si>
  <si>
    <t>#define CAN_CFG_MASK_REFERENCE_2_MB008      (CAN_RXMASK_NOUSE)</t>
  </si>
  <si>
    <t>#define CAN_CFG_MASK_REFERENCE_2_MB009      (CAN_RXMASK_NOUSE)</t>
  </si>
  <si>
    <t>#define CAN_CFG_MASK_REFERENCE_2_MB010      (CAN_RXMASK_NOUSE)</t>
  </si>
  <si>
    <t>#define CAN_CFG_MASK_REFERENCE_2_MB011      (CAN_RXMASK_NOUSE)</t>
  </si>
  <si>
    <t>#define CAN_CFG_MASK_REFERENCE_2_MB012      (CAN_RXMASK_NOUSE)</t>
  </si>
  <si>
    <t>#define CAN_CFG_MASK_REFERENCE_2_MB013      (CAN_RXMASK_NOUSE)</t>
  </si>
  <si>
    <t>#define CAN_CFG_MASK_REFERENCE_2_MB014      (CAN_RXMASK_NOUSE)</t>
  </si>
  <si>
    <t>#define CAN_CFG_MASK_REFERENCE_2_MB015      (CAN_RXMASK_NOUSE)</t>
  </si>
  <si>
    <t>#define CAN_CFG_MASK_REFERENCE_2_MB016      (CAN_RXMASK_NOUSE)</t>
  </si>
  <si>
    <t>#define CAN_CFG_MASK_REFERENCE_2_MB017      (CAN_RXMASK_NOUSE)</t>
  </si>
  <si>
    <t>#define CAN_CFG_MASK_REFERENCE_2_MB018      (CAN_RXMASK_NOUSE)</t>
  </si>
  <si>
    <t>#define CAN_CFG_MASK_REFERENCE_2_MB019      (CAN_RXMASK_NOUSE)</t>
  </si>
  <si>
    <t>#define CAN_CFG_MASK_REFERENCE_2_MB020      (CAN_RXMASK_NOUSE)</t>
  </si>
  <si>
    <t>#define CAN_CFG_MASK_REFERENCE_2_MB021      (CAN_RXMASK_NOUSE)</t>
  </si>
  <si>
    <t>#define CAN_CFG_MASK_REFERENCE_2_MB022      (CAN_RXMASK_NOUSE)</t>
  </si>
  <si>
    <t>#define CAN_CFG_MASK_REFERENCE_2_MB023      (CAN_RXMASK_NOUSE)</t>
  </si>
  <si>
    <t>#define CAN_CFG_MASK_REFERENCE_2_MB024      (CAN_RXMASK_NOUSE)</t>
  </si>
  <si>
    <t>#define CAN_CFG_MASK_REFERENCE_2_MB025      (CAN_RXMASK_NOUSE)</t>
  </si>
  <si>
    <t>#define CAN_CFG_MASK_REFERENCE_2_MB026      (CAN_RXMASK_NOUSE)</t>
  </si>
  <si>
    <t>#define CAN_CFG_MASK_REFERENCE_2_MB027      (CAN_RXMASK_NOUSE)</t>
  </si>
  <si>
    <t>#define CAN_CFG_MASK_REFERENCE_2_MB028      (CAN_RXMASK_NOUSE)</t>
  </si>
  <si>
    <t>#define CAN_CFG_MASK_REFERENCE_2_MB029      (CAN_RXMASK_NOUSE)</t>
  </si>
  <si>
    <t>#define CAN_CFG_MASK_REFERENCE_2_MB030      (CAN_RXMASK_NOUSE)</t>
  </si>
  <si>
    <t>#define CAN_CFG_MASK_REFERENCE_2_MB031      (CAN_RXMASK_NOUSE)</t>
  </si>
  <si>
    <t>#define CAN_CFG_MASK_REFERENCE_2_MB032      (CAN_RXMASK_NOUSE)</t>
  </si>
  <si>
    <t>#define CAN_CFG_MASK_REFERENCE_2_MB033      (CAN_RXMASK_NOUSE)</t>
  </si>
  <si>
    <t>#define CAN_CFG_MASK_REFERENCE_2_MB034      (CAN_RXMASK_NOUSE)</t>
  </si>
  <si>
    <t>#define CAN_CFG_MASK_REFERENCE_2_MB035      (CAN_RXMASK_NOUSE)</t>
  </si>
  <si>
    <t>#define CAN_CFG_MASK_REFERENCE_2_MB036      (CAN_RXMASK_NOUSE)</t>
  </si>
  <si>
    <t>#define CAN_CFG_MASK_REFERENCE_2_MB037      (CAN_RXMASK_NOUSE)</t>
  </si>
  <si>
    <t>#define CAN_CFG_MASK_REFERENCE_2_MB038      (CAN_RXMASK_NOUSE)</t>
  </si>
  <si>
    <t>#define CAN_CFG_MASK_REFERENCE_2_MB039      (CAN_RXMASK_NOUSE)</t>
  </si>
  <si>
    <t>#define CAN_CFG_MASK_REFERENCE_2_MB040      (CAN_RXMASK_NOUSE)</t>
  </si>
  <si>
    <t>#define CAN_CFG_MASK_REFERENCE_2_MB041      (CAN_RXMASK_NOUSE)</t>
  </si>
  <si>
    <t>#define CAN_CFG_MASK_REFERENCE_2_MB042      (CAN_RXMASK_NOUSE)</t>
  </si>
  <si>
    <t>#define CAN_CFG_MASK_REFERENCE_2_MB043      (CAN_RXMASK_NOUSE)</t>
  </si>
  <si>
    <t>#define CAN_CFG_MASK_REFERENCE_2_MB044      (CAN_RXMASK_NOUSE)</t>
  </si>
  <si>
    <t>#define CAN_CFG_MASK_REFERENCE_2_MB045      (CAN_RXMASK_NOUSE)</t>
  </si>
  <si>
    <t>#define CAN_CFG_MASK_REFERENCE_2_MB046      (CAN_RXMASK_NOUSE)</t>
  </si>
  <si>
    <t>#define CAN_CFG_MASK_REFERENCE_2_MB047      (CAN_RXMASK_NOUSE)</t>
  </si>
  <si>
    <t>#define CAN_CFG_MASK_REFERENCE_2_MB048      (CAN_RXMASK_NOUSE)</t>
  </si>
  <si>
    <t>#define CAN_CFG_MASK_REFERENCE_2_MB049      (CAN_RXMASK_NOUSE)</t>
  </si>
  <si>
    <t>#define CAN_CFG_MASK_REFERENCE_2_MB050      (CAN_RXMASK_NOUSE)</t>
  </si>
  <si>
    <t>#define CAN_CFG_MASK_REFERENCE_2_MB051      (CAN_RXMASK_NOUSE)</t>
  </si>
  <si>
    <t>#define CAN_CFG_MASK_REFERENCE_2_MB052      (CAN_RXMASK_NOUSE)</t>
  </si>
  <si>
    <t>#define CAN_CFG_MASK_REFERENCE_2_MB053      (CAN_RXMASK_NOUSE)</t>
  </si>
  <si>
    <t>#define CAN_CFG_MASK_REFERENCE_2_MB054      (CAN_RXMASK_NOUSE)</t>
  </si>
  <si>
    <t>#define CAN_CFG_MASK_REFERENCE_2_MB055      (CAN_RXMASK_NOUSE)</t>
  </si>
  <si>
    <t>#define CAN_CFG_MASK_REFERENCE_2_MB056      (CAN_RXMASK_NOUSE)</t>
  </si>
  <si>
    <t>#define CAN_CFG_MASK_REFERENCE_2_MB057      (CAN_RXMASK_NOUSE)</t>
  </si>
  <si>
    <t>#define CAN_CFG_MASK_REFERENCE_2_MB058      (CAN_RXMASK_NOUSE)</t>
  </si>
  <si>
    <t>#define CAN_CFG_MASK_REFERENCE_2_MB059      (CAN_RXMASK_NOUSE)</t>
  </si>
  <si>
    <t>#define CAN_CFG_MASK_REFERENCE_2_MB060      (CAN_RXMASK_NOUSE)</t>
  </si>
  <si>
    <t>#define CAN_CFG_MASK_REFERENCE_2_MB061      (CAN_RXMASK_NOUSE)</t>
  </si>
  <si>
    <t>#define CAN_CFG_MASK_REFERENCE_2_MB062      (CAN_RXMASK_NOUSE)</t>
  </si>
  <si>
    <t>#define CAN_CFG_MASK_REFERENCE_2_MB063      (CAN_RXMASK_NOUSE)</t>
  </si>
  <si>
    <t>#define CAN_CFG_MASK_REFERENCE_2_MB064      (CAN_RXMASK_NOUSE)</t>
  </si>
  <si>
    <t>#define CAN_CFG_MASK_REFERENCE_2_MB065      (CAN_RXMASK_NOUSE)</t>
  </si>
  <si>
    <t>#define CAN_CFG_MASK_REFERENCE_2_MB066      (CAN_RXMASK_NOUSE)</t>
  </si>
  <si>
    <t>#define CAN_CFG_MASK_REFERENCE_2_MB067      (CAN_RXMASK_NOUSE)</t>
  </si>
  <si>
    <t>#define CAN_CFG_MASK_REFERENCE_2_MB068      (CAN_RXMASK_NOUSE)</t>
  </si>
  <si>
    <t>#define CAN_CFG_MASK_REFERENCE_2_MB069      (CAN_RXMASK_NOUSE)</t>
  </si>
  <si>
    <t>#define CAN_CFG_MASK_REFERENCE_2_MB070      (CAN_RXMASK_NOUSE)</t>
  </si>
  <si>
    <t>#define CAN_CFG_MASK_REFERENCE_2_MB071      (CAN_RXMASK_NOUSE)</t>
  </si>
  <si>
    <t>#define CAN_CFG_MASK_REFERENCE_2_MB072      (CAN_RXMASK_NOUSE)</t>
  </si>
  <si>
    <t>#define CAN_CFG_MASK_REFERENCE_2_MB073      (CAN_RXMASK_NOUSE)</t>
  </si>
  <si>
    <t>#define CAN_CFG_MASK_REFERENCE_2_MB074      (CAN_RXMASK_NOUSE)</t>
  </si>
  <si>
    <t>#define CAN_CFG_MASK_REFERENCE_2_MB075      (CAN_RXMASK_NOUSE)</t>
  </si>
  <si>
    <t>#define CAN_CFG_MASK_REFERENCE_2_MB076      (CAN_RXMASK_NOUSE)</t>
  </si>
  <si>
    <t>#define CAN_CFG_MASK_REFERENCE_2_MB077      (CAN_RXMASK_NOUSE)</t>
  </si>
  <si>
    <t>#define CAN_CFG_MASK_REFERENCE_2_MB078      (CAN_RXMASK_NOUSE)</t>
  </si>
  <si>
    <t>#define CAN_CFG_MASK_REFERENCE_2_MB079      (CAN_RXMASK_NOUSE)</t>
  </si>
  <si>
    <t>#define CAN_CFG_MASK_REFERENCE_2_MB080      (CAN_RXMASK_NOUSE)</t>
  </si>
  <si>
    <t>#define CAN_CFG_MASK_REFERENCE_2_MB081      (CAN_RXMASK_NOUSE)</t>
  </si>
  <si>
    <t>#define CAN_CFG_MASK_REFERENCE_2_MB082      (CAN_RXMASK_NOUSE)</t>
  </si>
  <si>
    <t>#define CAN_CFG_MASK_REFERENCE_2_MB083      (CAN_RXMASK_NOUSE)</t>
  </si>
  <si>
    <t>#define CAN_CFG_MASK_REFERENCE_2_MB084      (CAN_RXMASK_NOUSE)</t>
  </si>
  <si>
    <t>#define CAN_CFG_MASK_REFERENCE_2_MB085      (CAN_RXMASK_NOUSE)</t>
  </si>
  <si>
    <t>#define CAN_CFG_MASK_REFERENCE_2_MB086      (CAN_RXMASK_NOUSE)</t>
  </si>
  <si>
    <t>#define CAN_CFG_MASK_REFERENCE_2_MB087      (CAN_RXMASK_NOUSE)</t>
  </si>
  <si>
    <t>#define CAN_CFG_MASK_REFERENCE_2_MB088      (CAN_RXMASK_NOUSE)</t>
  </si>
  <si>
    <t>#define CAN_CFG_MASK_REFERENCE_2_MB089      (CAN_RXMASK_NOUSE)</t>
  </si>
  <si>
    <t>#define CAN_CFG_MASK_REFERENCE_2_MB090      (CAN_RXMASK_NOUSE)</t>
  </si>
  <si>
    <t>#define CAN_CFG_MASK_REFERENCE_2_MB091      (CAN_RXMASK_NOUSE)</t>
  </si>
  <si>
    <t>#define CAN_CFG_MASK_REFERENCE_2_MB092      (CAN_RXMASK_NOUSE)</t>
  </si>
  <si>
    <t>#define CAN_CFG_MASK_REFERENCE_2_MB093      (CAN_RXMASK_NOUSE)</t>
  </si>
  <si>
    <t>#define CAN_CFG_MASK_REFERENCE_2_MB094      (CAN_RXMASK_NOUSE)</t>
  </si>
  <si>
    <t>#define CAN_CFG_MASK_REFERENCE_2_MB095      (CAN_RXMASK_NOUSE)</t>
  </si>
  <si>
    <t>#define CAN_CFG_MASK_REFERENCE_2_MB096      (CAN_RXMASK_NOUSE)</t>
  </si>
  <si>
    <t>#define CAN_CFG_MASK_REFERENCE_2_MB097      (CAN_RXMASK_NOUSE)</t>
  </si>
  <si>
    <t>#define CAN_CFG_MASK_REFERENCE_2_MB098      (CAN_RXMASK_NOUSE)</t>
  </si>
  <si>
    <t>#define CAN_CFG_MASK_REFERENCE_2_MB099      (CAN_RXMASK_NOUSE)</t>
  </si>
  <si>
    <t>#define CAN_CFG_MASK_REFERENCE_2_MB100      (CAN_RXMASK_NOUSE)</t>
  </si>
  <si>
    <t>#define CAN_CFG_MASK_REFERENCE_2_MB101      (CAN_RXMASK_NOUSE)</t>
  </si>
  <si>
    <t>#define CAN_CFG_MASK_REFERENCE_2_MB102      (CAN_RXMASK_NOUSE)</t>
  </si>
  <si>
    <t>#define CAN_CFG_MASK_REFERENCE_2_MB103      (CAN_RXMASK_NOUSE)</t>
  </si>
  <si>
    <t>#define CAN_CFG_MASK_REFERENCE_2_MB104      (CAN_RXMASK_NOUSE)</t>
  </si>
  <si>
    <t>#define CAN_CFG_MASK_REFERENCE_2_MB105      (CAN_RXMASK_NOUSE)</t>
  </si>
  <si>
    <t>#define CAN_CFG_MASK_REFERENCE_2_MB106      (CAN_RXMASK_NOUSE)</t>
  </si>
  <si>
    <t>#define CAN_CFG_MASK_REFERENCE_2_MB107      (CAN_RXMASK_NOUSE)</t>
  </si>
  <si>
    <t>#define CAN_CFG_MASK_REFERENCE_2_MB108      (CAN_RXMASK_NOUSE)</t>
  </si>
  <si>
    <t>#define CAN_CFG_MASK_REFERENCE_2_MB109      (CAN_RXMASK_NOUSE)</t>
  </si>
  <si>
    <t>#define CAN_CFG_MASK_REFERENCE_2_MB110      (CAN_RXMASK_NOUSE)</t>
  </si>
  <si>
    <t>#define CAN_CFG_MASK_REFERENCE_2_MB111      (CAN_RXMASK_NOUSE)</t>
  </si>
  <si>
    <t>#define CAN_CFG_MASK_REFERENCE_2_MB112      (CAN_RXMASK_NOUSE)</t>
  </si>
  <si>
    <t>#define CAN_CFG_MASK_REFERENCE_2_MB113      (CAN_RXMASK_NOUSE)</t>
  </si>
  <si>
    <t>#define CAN_CFG_MASK_REFERENCE_2_MB114      (CAN_RXMASK_NOUSE)</t>
  </si>
  <si>
    <t>#define CAN_CFG_MASK_REFERENCE_2_MB115      (CAN_RXMASK_NOUSE)</t>
  </si>
  <si>
    <t>#define CAN_CFG_MASK_REFERENCE_2_MB116      (CAN_RXMASK_NOUSE)</t>
  </si>
  <si>
    <t>#define CAN_CFG_MASK_REFERENCE_2_MB117      (CAN_RXMASK_NOUSE)</t>
  </si>
  <si>
    <t>#define CAN_CFG_MASK_REFERENCE_2_MB118      (CAN_RXMASK_NOUSE)</t>
  </si>
  <si>
    <t>#define CAN_CFG_MASK_REFERENCE_2_MB119      (CAN_RXMASK_NOUSE)</t>
  </si>
  <si>
    <t>#define CAN_CFG_MASK_REFERENCE_2_MB120      (CAN_RXMASK_NOUSE)</t>
  </si>
  <si>
    <t>#define CAN_CFG_MASK_REFERENCE_2_MB121      (CAN_RXMASK_NOUSE)</t>
  </si>
  <si>
    <t>#define CAN_CFG_MASK_REFERENCE_2_MB122      (CAN_RXMASK_NOUSE)</t>
  </si>
  <si>
    <t>#define CAN_CFG_MASK_REFERENCE_2_MB123      (CAN_RXMASK_NOUSE)</t>
  </si>
  <si>
    <t>#define CAN_CFG_MASK_REFERENCE_2_MB124      (CAN_RXMASK_NOUSE)</t>
  </si>
  <si>
    <t>#define CAN_CFG_MASK_REFERENCE_2_MB125      (CAN_RXMASK_NOUSE)</t>
  </si>
  <si>
    <t>#define CAN_CFG_MASK_REFERENCE_2_MB126      (CAN_RXMASK_NOUSE)</t>
  </si>
  <si>
    <t>#define CAN_CFG_MASK_REFERENCE_2_MB127      (CAN_RXMASK_NOUSE)</t>
  </si>
  <si>
    <t>#define CAN_CFG_MASK_REFERENCE_2_MB128      (CAN_RXMASK_NOUSE)</t>
  </si>
  <si>
    <t>#define CAN_CFG_MASK_REFERENCE_2_MB129      (CAN_RXMASK_NOUSE)</t>
  </si>
  <si>
    <t>#define CAN_CFG_MASK_REFERENCE_2_MB130      (CAN_RXMASK_NOUSE)</t>
  </si>
  <si>
    <t>#define CAN_CFG_MASK_REFERENCE_2_MB131      (CAN_RXMASK_NOUSE)</t>
  </si>
  <si>
    <t>#define CAN_CFG_MASK_REFERENCE_2_MB132      (CAN_RXMASK_NOUSE)</t>
  </si>
  <si>
    <t>#define CAN_CFG_MASK_REFERENCE_2_MB133      (CAN_RXMASK_NOUSE)</t>
  </si>
  <si>
    <t>#define CAN_CFG_MASK_REFERENCE_2_MB134      (CAN_RXMASK_NOUSE)</t>
  </si>
  <si>
    <t>#define CAN_CFG_MASK_REFERENCE_2_MB135      (CAN_RXMASK_NOUSE)</t>
  </si>
  <si>
    <t>#define CAN_CFG_MASK_REFERENCE_2_MB136      (CAN_RXMASK_NOUSE)</t>
  </si>
  <si>
    <t>#define CAN_CFG_MASK_REFERENCE_2_MB137      (CAN_RXMASK_NOUSE)</t>
  </si>
  <si>
    <t>#define CAN_CFG_MASK_REFERENCE_2_MB138      (CAN_RXMASK_NOUSE)</t>
  </si>
  <si>
    <t>#define CAN_CFG_MASK_REFERENCE_2_MB139      (CAN_RXMASK_NOUSE)</t>
  </si>
  <si>
    <t>#define CAN_CFG_MASK_REFERENCE_2_MB140      (CAN_RXMASK_NOUSE)</t>
  </si>
  <si>
    <t>#define CAN_CFG_MASK_REFERENCE_2_MB141      (CAN_RXMASK_NOUSE)</t>
  </si>
  <si>
    <t>#define CAN_CFG_MASK_REFERENCE_2_MB142      (CAN_RXMASK_NOUSE)</t>
  </si>
  <si>
    <t>#define CAN_CFG_MASK_REFERENCE_2_MB143      (CAN_RXMASK_NOUSE)</t>
  </si>
  <si>
    <t>#define CAN_CFG_MASK_REFERENCE_2_MB144      (CAN_RXMASK_NOUSE)</t>
  </si>
  <si>
    <t>#define CAN_CFG_MASK_REFERENCE_2_MB145      (CAN_RXMASK_NOUSE)</t>
  </si>
  <si>
    <t>#define CAN_CFG_MASK_REFERENCE_2_MB146      (CAN_RXMASK_NOUSE)</t>
  </si>
  <si>
    <t>#define CAN_CFG_MASK_REFERENCE_2_MB147      (CAN_RXMASK_NOUSE)</t>
  </si>
  <si>
    <t>#define CAN_CFG_MASK_REFERENCE_2_MB148      (CAN_RXMASK_NOUSE)</t>
  </si>
  <si>
    <t>#define CAN_CFG_MASK_REFERENCE_2_MB149      (CAN_RXMASK_NOUSE)</t>
  </si>
  <si>
    <t>#define CAN_CFG_MASK_REFERENCE_2_MB150      (CAN_RXMASK_NOUSE)</t>
  </si>
  <si>
    <t>#define CAN_CFG_MASK_REFERENCE_2_MB151      (CAN_RXMASK_NOUSE)</t>
  </si>
  <si>
    <t>#define CAN_CFG_MASK_REFERENCE_2_MB152      (CAN_RXMASK_NOUSE)</t>
  </si>
  <si>
    <t>#define CAN_CFG_MASK_REFERENCE_2_MB153      (CAN_RXMASK_NOUSE)</t>
  </si>
  <si>
    <t>#define CAN_CFG_MASK_REFERENCE_2_MB154      (CAN_RXMASK_NOUSE)</t>
  </si>
  <si>
    <t>#define CAN_CFG_MASK_REFERENCE_2_MB155      (CAN_RXMASK_NOUSE)</t>
  </si>
  <si>
    <t>#define CAN_CFG_MASK_REFERENCE_2_MB156      (CAN_RXMASK_NOUSE)</t>
  </si>
  <si>
    <t>#define CAN_CFG_MASK_REFERENCE_2_MB157      (CAN_RXMASK_NOUSE)</t>
  </si>
  <si>
    <t>#define CAN_CFG_MASK_REFERENCE_2_MB158      (CAN_RXMASK_NOUSE)</t>
  </si>
  <si>
    <t>#define CAN_CFG_MASK_REFERENCE_2_MB159      (CAN_RXMASK_NOUSE)</t>
  </si>
  <si>
    <t>#define CAN_CFG_MASK_REFERENCE_2_MB160      (CAN_RXMASK_NOUSE)</t>
  </si>
  <si>
    <t>#define CAN_CFG_MASK_REFERENCE_2_MB161      (CAN_RXMASK_NOUSE)</t>
  </si>
  <si>
    <t>#define CAN_CFG_MASK_REFERENCE_2_MB162      (CAN_RXMASK_NOUSE)</t>
  </si>
  <si>
    <t>#define CAN_CFG_MASK_REFERENCE_2_MB163      (CAN_RXMASK_NOUSE)</t>
  </si>
  <si>
    <t>#define CAN_CFG_MASK_REFERENCE_2_MB164      (CAN_RXMASK_NOUSE)</t>
  </si>
  <si>
    <t>#define CAN_CFG_MASK_REFERENCE_2_MB165      (CAN_RXMASK_NOUSE)</t>
  </si>
  <si>
    <t>#define CAN_CFG_MASK_REFERENCE_2_MB166      (CAN_RXMASK_NOUSE)</t>
  </si>
  <si>
    <t>#define CAN_CFG_MASK_REFERENCE_2_MB167      (CAN_RXMASK_NOUSE)</t>
  </si>
  <si>
    <t>#define CAN_CFG_MASK_REFERENCE_2_MB168      (CAN_RXMASK_NOUSE)</t>
  </si>
  <si>
    <t>#define CAN_CFG_MASK_REFERENCE_2_MB169      (CAN_RXMASK_NOUSE)</t>
  </si>
  <si>
    <t>#define CAN_CFG_MASK_REFERENCE_2_MB170      (CAN_RXMASK_NOUSE)</t>
  </si>
  <si>
    <t>#define CAN_CFG_MASK_REFERENCE_2_MB171      (CAN_RXMASK_NOUSE)</t>
  </si>
  <si>
    <t>#define CAN_CFG_MASK_REFERENCE_2_MB172      (CAN_RXMASK_NOUSE)</t>
  </si>
  <si>
    <t>#define CAN_CFG_MASK_REFERENCE_2_MB173      (CAN_RXMASK_NOUSE)</t>
  </si>
  <si>
    <t>#define CAN_CFG_MASK_REFERENCE_2_MB174      (CAN_RXMASK_NOUSE)</t>
  </si>
  <si>
    <t>#define CAN_CFG_MASK_REFERENCE_2_MB175      (CAN_RXMASK_NOUSE)</t>
  </si>
  <si>
    <t>#define CAN_CFG_MASK_REFERENCE_2_MB176      (CAN_RXMASK_NOUSE)</t>
  </si>
  <si>
    <t>#define CAN_CFG_MASK_REFERENCE_2_MB177      (CAN_RXMASK_NOUSE)</t>
  </si>
  <si>
    <t>#define CAN_CFG_MASK_REFERENCE_2_MB178      (CAN_RXMASK_NOUSE)</t>
  </si>
  <si>
    <t>#define CAN_CFG_MASK_REFERENCE_2_MB179      (CAN_RXMASK_NOUSE)</t>
  </si>
  <si>
    <t>#define CAN_CFG_MASK_REFERENCE_2_MB180      (CAN_RXMASK_NOUSE)</t>
  </si>
  <si>
    <t>#define CAN_CFG_MASK_REFERENCE_2_MB181      (CAN_RXMASK_NOUSE)</t>
  </si>
  <si>
    <t>#define CAN_CFG_MASK_REFERENCE_2_MB182      (CAN_RXMASK_NOUSE)</t>
  </si>
  <si>
    <t>#define CAN_CFG_MASK_REFERENCE_2_MB183      (CAN_RXMASK_NOUSE)</t>
  </si>
  <si>
    <t>#define CAN_CFG_MASK_REFERENCE_2_MB184      (CAN_RXMASK_NOUSE)</t>
  </si>
  <si>
    <t>#define CAN_CFG_MASK_REFERENCE_2_MB185      (CAN_RXMASK_NOUSE)</t>
  </si>
  <si>
    <t>#define CAN_CFG_MASK_REFERENCE_2_MB186      (CAN_RXMASK_NOUSE)</t>
  </si>
  <si>
    <t>#define CAN_CFG_MASK_REFERENCE_2_MB187      (CAN_RXMASK_NOUSE)</t>
  </si>
  <si>
    <t>#define CAN_CFG_MASK_REFERENCE_2_MB188      (CAN_RXMASK_NOUSE)</t>
  </si>
  <si>
    <t>#define CAN_CFG_MASK_REFERENCE_2_MB189      (CAN_RXMASK_NOUSE)</t>
  </si>
  <si>
    <t>#define CAN_CFG_MASK_REFERENCE_2_MB190      (CAN_RXMASK_NOUSE)</t>
  </si>
  <si>
    <t>#define CAN_CFG_MASK_REFERENCE_2_MB191      (CAN_RXMASK_NOUSE)</t>
  </si>
  <si>
    <t>/* CAN Controller 3 Filter Mask References */</t>
  </si>
  <si>
    <t>#define CAN_CFG_MASK_REFERENCE_3_MB000      (CAN_RXMASK_NOUSE)</t>
  </si>
  <si>
    <t>#define CAN_CFG_MASK_REFERENCE_3_MB001      (CAN_RXMASK_NOUSE)</t>
  </si>
  <si>
    <t>#define CAN_CFG_MASK_REFERENCE_3_MB002      (CAN_RXMASK_0)</t>
  </si>
  <si>
    <t>CAN_CFG_MASK_REFERENCE_3_MB002</t>
  </si>
  <si>
    <t>#define CAN_CFG_MASK_REFERENCE_3_MB003      (CAN_RXMASK_NOUSE)</t>
  </si>
  <si>
    <t>CAN_CFG_MASK_REFERENCE_3_MB003</t>
  </si>
  <si>
    <t>#define CAN_CFG_MASK_REFERENCE_3_MB004      (CAN_RXMASK_NOUSE)</t>
  </si>
  <si>
    <t>CAN_CFG_MASK_REFERENCE_3_MB004</t>
  </si>
  <si>
    <t>#define CAN_CFG_MASK_REFERENCE_3_MB005      (CAN_RXMASK_NOUSE)</t>
  </si>
  <si>
    <t>#define CAN_CFG_MASK_REFERENCE_3_MB006      (CAN_RXMASK_NOUSE)</t>
  </si>
  <si>
    <t>#define CAN_CFG_MASK_REFERENCE_3_MB007      (CAN_RXMASK_NOUSE)</t>
  </si>
  <si>
    <t>#define CAN_CFG_MASK_REFERENCE_3_MB008      (CAN_RXMASK_NOUSE)</t>
  </si>
  <si>
    <t>#define CAN_CFG_MASK_REFERENCE_3_MB009      (CAN_RXMASK_NOUSE)</t>
  </si>
  <si>
    <t>#define CAN_CFG_MASK_REFERENCE_3_MB010      (CAN_RXMASK_NOUSE)</t>
  </si>
  <si>
    <t>#define CAN_CFG_MASK_REFERENCE_3_MB011      (CAN_RXMASK_NOUSE)</t>
  </si>
  <si>
    <t>#define CAN_CFG_MASK_REFERENCE_3_MB012      (CAN_RXMASK_NOUSE)</t>
  </si>
  <si>
    <t>#define CAN_CFG_MASK_REFERENCE_3_MB013      (CAN_RXMASK_NOUSE)</t>
  </si>
  <si>
    <t>#define CAN_CFG_MASK_REFERENCE_3_MB014      (CAN_RXMASK_NOUSE)</t>
  </si>
  <si>
    <t>#define CAN_CFG_MASK_REFERENCE_3_MB015      (CAN_RXMASK_NOUSE)</t>
  </si>
  <si>
    <t>#define CAN_CFG_MASK_REFERENCE_3_MB016      (CAN_RXMASK_NOUSE)</t>
  </si>
  <si>
    <t>#define CAN_CFG_MASK_REFERENCE_3_MB017      (CAN_RXMASK_NOUSE)</t>
  </si>
  <si>
    <t>#define CAN_CFG_MASK_REFERENCE_3_MB018      (CAN_RXMASK_NOUSE)</t>
  </si>
  <si>
    <t>#define CAN_CFG_MASK_REFERENCE_3_MB019      (CAN_RXMASK_NOUSE)</t>
  </si>
  <si>
    <t>#define CAN_CFG_MASK_REFERENCE_3_MB020      (CAN_RXMASK_NOUSE)</t>
  </si>
  <si>
    <t>#define CAN_CFG_MASK_REFERENCE_3_MB021      (CAN_RXMASK_NOUSE)</t>
  </si>
  <si>
    <t>#define CAN_CFG_MASK_REFERENCE_3_MB022      (CAN_RXMASK_NOUSE)</t>
  </si>
  <si>
    <t>#define CAN_CFG_MASK_REFERENCE_3_MB023      (CAN_RXMASK_NOUSE)</t>
  </si>
  <si>
    <t>#define CAN_CFG_MASK_REFERENCE_3_MB024      (CAN_RXMASK_NOUSE)</t>
  </si>
  <si>
    <t>#define CAN_CFG_MASK_REFERENCE_3_MB025      (CAN_RXMASK_NOUSE)</t>
  </si>
  <si>
    <t>#define CAN_CFG_MASK_REFERENCE_3_MB026      (CAN_RXMASK_NOUSE)</t>
  </si>
  <si>
    <t>#define CAN_CFG_MASK_REFERENCE_3_MB027      (CAN_RXMASK_NOUSE)</t>
  </si>
  <si>
    <t>#define CAN_CFG_MASK_REFERENCE_3_MB028      (CAN_RXMASK_NOUSE)</t>
  </si>
  <si>
    <t>#define CAN_CFG_MASK_REFERENCE_3_MB029      (CAN_RXMASK_NOUSE)</t>
  </si>
  <si>
    <t>#define CAN_CFG_MASK_REFERENCE_3_MB030      (CAN_RXMASK_NOUSE)</t>
  </si>
  <si>
    <t>#define CAN_CFG_MASK_REFERENCE_3_MB031      (CAN_RXMASK_NOUSE)</t>
  </si>
  <si>
    <t>#define CAN_CFG_MASK_REFERENCE_3_MB032      (CAN_RXMASK_NOUSE)</t>
  </si>
  <si>
    <t>#define CAN_CFG_MASK_REFERENCE_3_MB033      (CAN_RXMASK_NOUSE)</t>
  </si>
  <si>
    <t>#define CAN_CFG_MASK_REFERENCE_3_MB034      (CAN_RXMASK_NOUSE)</t>
  </si>
  <si>
    <t>#define CAN_CFG_MASK_REFERENCE_3_MB035      (CAN_RXMASK_NOUSE)</t>
  </si>
  <si>
    <t>#define CAN_CFG_MASK_REFERENCE_3_MB036      (CAN_RXMASK_NOUSE)</t>
  </si>
  <si>
    <t>#define CAN_CFG_MASK_REFERENCE_3_MB037      (CAN_RXMASK_NOUSE)</t>
  </si>
  <si>
    <t>#define CAN_CFG_MASK_REFERENCE_3_MB038      (CAN_RXMASK_NOUSE)</t>
  </si>
  <si>
    <t>#define CAN_CFG_MASK_REFERENCE_3_MB039      (CAN_RXMASK_NOUSE)</t>
  </si>
  <si>
    <t>#define CAN_CFG_MASK_REFERENCE_3_MB040      (CAN_RXMASK_NOUSE)</t>
  </si>
  <si>
    <t>#define CAN_CFG_MASK_REFERENCE_3_MB041      (CAN_RXMASK_NOUSE)</t>
  </si>
  <si>
    <t>#define CAN_CFG_MASK_REFERENCE_3_MB042      (CAN_RXMASK_NOUSE)</t>
  </si>
  <si>
    <t>#define CAN_CFG_MASK_REFERENCE_3_MB043      (CAN_RXMASK_NOUSE)</t>
  </si>
  <si>
    <t>#define CAN_CFG_MASK_REFERENCE_3_MB044      (CAN_RXMASK_NOUSE)</t>
  </si>
  <si>
    <t>#define CAN_CFG_MASK_REFERENCE_3_MB045      (CAN_RXMASK_NOUSE)</t>
  </si>
  <si>
    <t>#define CAN_CFG_MASK_REFERENCE_3_MB046      (CAN_RXMASK_NOUSE)</t>
  </si>
  <si>
    <t>#define CAN_CFG_MASK_REFERENCE_3_MB047      (CAN_RXMASK_NOUSE)</t>
  </si>
  <si>
    <t>#define CAN_CFG_MASK_REFERENCE_3_MB048      (CAN_RXMASK_NOUSE)</t>
  </si>
  <si>
    <t>#define CAN_CFG_MASK_REFERENCE_3_MB049      (CAN_RXMASK_NOUSE)</t>
  </si>
  <si>
    <t>#define CAN_CFG_MASK_REFERENCE_3_MB050      (CAN_RXMASK_NOUSE)</t>
  </si>
  <si>
    <t>#define CAN_CFG_MASK_REFERENCE_3_MB051      (CAN_RXMASK_NOUSE)</t>
  </si>
  <si>
    <t>#define CAN_CFG_MASK_REFERENCE_3_MB052      (CAN_RXMASK_NOUSE)</t>
  </si>
  <si>
    <t>#define CAN_CFG_MASK_REFERENCE_3_MB053      (CAN_RXMASK_NOUSE)</t>
  </si>
  <si>
    <t>#define CAN_CFG_MASK_REFERENCE_3_MB054      (CAN_RXMASK_NOUSE)</t>
  </si>
  <si>
    <t>#define CAN_CFG_MASK_REFERENCE_3_MB055      (CAN_RXMASK_NOUSE)</t>
  </si>
  <si>
    <t>#define CAN_CFG_MASK_REFERENCE_3_MB056      (CAN_RXMASK_NOUSE)</t>
  </si>
  <si>
    <t>#define CAN_CFG_MASK_REFERENCE_3_MB057      (CAN_RXMASK_NOUSE)</t>
  </si>
  <si>
    <t>#define CAN_CFG_MASK_REFERENCE_3_MB058      (CAN_RXMASK_NOUSE)</t>
  </si>
  <si>
    <t>#define CAN_CFG_MASK_REFERENCE_3_MB059      (CAN_RXMASK_NOUSE)</t>
  </si>
  <si>
    <t>#define CAN_CFG_MASK_REFERENCE_3_MB060      (CAN_RXMASK_NOUSE)</t>
  </si>
  <si>
    <t>#define CAN_CFG_MASK_REFERENCE_3_MB061      (CAN_RXMASK_NOUSE)</t>
  </si>
  <si>
    <t>#define CAN_CFG_MASK_REFERENCE_3_MB062      (CAN_RXMASK_NOUSE)</t>
  </si>
  <si>
    <t>#define CAN_CFG_MASK_REFERENCE_3_MB063      (CAN_RXMASK_NOUSE)</t>
  </si>
  <si>
    <t>#define CAN_CFG_MASK_REFERENCE_3_MB064      (CAN_RXMASK_NOUSE)</t>
  </si>
  <si>
    <t>#define CAN_CFG_MASK_REFERENCE_3_MB065      (CAN_RXMASK_NOUSE)</t>
  </si>
  <si>
    <t>#define CAN_CFG_MASK_REFERENCE_3_MB066      (CAN_RXMASK_NOUSE)</t>
  </si>
  <si>
    <t>#define CAN_CFG_MASK_REFERENCE_3_MB067      (CAN_RXMASK_NOUSE)</t>
  </si>
  <si>
    <t>#define CAN_CFG_MASK_REFERENCE_3_MB068      (CAN_RXMASK_NOUSE)</t>
  </si>
  <si>
    <t>#define CAN_CFG_MASK_REFERENCE_3_MB069      (CAN_RXMASK_NOUSE)</t>
  </si>
  <si>
    <t>#define CAN_CFG_MASK_REFERENCE_3_MB070      (CAN_RXMASK_NOUSE)</t>
  </si>
  <si>
    <t>#define CAN_CFG_MASK_REFERENCE_3_MB071      (CAN_RXMASK_NOUSE)</t>
  </si>
  <si>
    <t>#define CAN_CFG_MASK_REFERENCE_3_MB072      (CAN_RXMASK_NOUSE)</t>
  </si>
  <si>
    <t>#define CAN_CFG_MASK_REFERENCE_3_MB073      (CAN_RXMASK_NOUSE)</t>
  </si>
  <si>
    <t>#define CAN_CFG_MASK_REFERENCE_3_MB074      (CAN_RXMASK_NOUSE)</t>
  </si>
  <si>
    <t>#define CAN_CFG_MASK_REFERENCE_3_MB075      (CAN_RXMASK_NOUSE)</t>
  </si>
  <si>
    <t>#define CAN_CFG_MASK_REFERENCE_3_MB076      (CAN_RXMASK_NOUSE)</t>
  </si>
  <si>
    <t>#define CAN_CFG_MASK_REFERENCE_3_MB077      (CAN_RXMASK_NOUSE)</t>
  </si>
  <si>
    <t>#define CAN_CFG_MASK_REFERENCE_3_MB078      (CAN_RXMASK_NOUSE)</t>
  </si>
  <si>
    <t>#define CAN_CFG_MASK_REFERENCE_3_MB079      (CAN_RXMASK_NOUSE)</t>
  </si>
  <si>
    <t>#define CAN_CFG_MASK_REFERENCE_3_MB080      (CAN_RXMASK_NOUSE)</t>
  </si>
  <si>
    <t>#define CAN_CFG_MASK_REFERENCE_3_MB081      (CAN_RXMASK_NOUSE)</t>
  </si>
  <si>
    <t>#define CAN_CFG_MASK_REFERENCE_3_MB082      (CAN_RXMASK_NOUSE)</t>
  </si>
  <si>
    <t>#define CAN_CFG_MASK_REFERENCE_3_MB083      (CAN_RXMASK_NOUSE)</t>
  </si>
  <si>
    <t>#define CAN_CFG_MASK_REFERENCE_3_MB084      (CAN_RXMASK_NOUSE)</t>
  </si>
  <si>
    <t>#define CAN_CFG_MASK_REFERENCE_3_MB085      (CAN_RXMASK_NOUSE)</t>
  </si>
  <si>
    <t>#define CAN_CFG_MASK_REFERENCE_3_MB086      (CAN_RXMASK_NOUSE)</t>
  </si>
  <si>
    <t>#define CAN_CFG_MASK_REFERENCE_3_MB087      (CAN_RXMASK_NOUSE)</t>
  </si>
  <si>
    <t>#define CAN_CFG_MASK_REFERENCE_3_MB088      (CAN_RXMASK_NOUSE)</t>
  </si>
  <si>
    <t>#define CAN_CFG_MASK_REFERENCE_3_MB089      (CAN_RXMASK_NOUSE)</t>
  </si>
  <si>
    <t>#define CAN_CFG_MASK_REFERENCE_3_MB090      (CAN_RXMASK_NOUSE)</t>
  </si>
  <si>
    <t>#define CAN_CFG_MASK_REFERENCE_3_MB091      (CAN_RXMASK_NOUSE)</t>
  </si>
  <si>
    <t>#define CAN_CFG_MASK_REFERENCE_3_MB092      (CAN_RXMASK_NOUSE)</t>
  </si>
  <si>
    <t>#define CAN_CFG_MASK_REFERENCE_3_MB093      (CAN_RXMASK_NOUSE)</t>
  </si>
  <si>
    <t>#define CAN_CFG_MASK_REFERENCE_3_MB094      (CAN_RXMASK_NOUSE)</t>
  </si>
  <si>
    <t>#define CAN_CFG_MASK_REFERENCE_3_MB095      (CAN_RXMASK_NOUSE)</t>
  </si>
  <si>
    <t>#define CAN_CFG_MASK_REFERENCE_3_MB096      (CAN_RXMASK_NOUSE)</t>
  </si>
  <si>
    <t>#define CAN_CFG_MASK_REFERENCE_3_MB097      (CAN_RXMASK_NOUSE)</t>
  </si>
  <si>
    <t>#define CAN_CFG_MASK_REFERENCE_3_MB098      (CAN_RXMASK_NOUSE)</t>
  </si>
  <si>
    <t>#define CAN_CFG_MASK_REFERENCE_3_MB099      (CAN_RXMASK_NOUSE)</t>
  </si>
  <si>
    <t>#define CAN_CFG_MASK_REFERENCE_3_MB100      (CAN_RXMASK_NOUSE)</t>
  </si>
  <si>
    <t>#define CAN_CFG_MASK_REFERENCE_3_MB101      (CAN_RXMASK_NOUSE)</t>
  </si>
  <si>
    <t>#define CAN_CFG_MASK_REFERENCE_3_MB102      (CAN_RXMASK_NOUSE)</t>
  </si>
  <si>
    <t>#define CAN_CFG_MASK_REFERENCE_3_MB103      (CAN_RXMASK_NOUSE)</t>
  </si>
  <si>
    <t>#define CAN_CFG_MASK_REFERENCE_3_MB104      (CAN_RXMASK_NOUSE)</t>
  </si>
  <si>
    <t>#define CAN_CFG_MASK_REFERENCE_3_MB105      (CAN_RXMASK_NOUSE)</t>
  </si>
  <si>
    <t>#define CAN_CFG_MASK_REFERENCE_3_MB106      (CAN_RXMASK_NOUSE)</t>
  </si>
  <si>
    <t>#define CAN_CFG_MASK_REFERENCE_3_MB107      (CAN_RXMASK_NOUSE)</t>
  </si>
  <si>
    <t>#define CAN_CFG_MASK_REFERENCE_3_MB108      (CAN_RXMASK_NOUSE)</t>
  </si>
  <si>
    <t>#define CAN_CFG_MASK_REFERENCE_3_MB109      (CAN_RXMASK_NOUSE)</t>
  </si>
  <si>
    <t>#define CAN_CFG_MASK_REFERENCE_3_MB110      (CAN_RXMASK_NOUSE)</t>
  </si>
  <si>
    <t>#define CAN_CFG_MASK_REFERENCE_3_MB111      (CAN_RXMASK_NOUSE)</t>
  </si>
  <si>
    <t>#define CAN_CFG_MASK_REFERENCE_3_MB112      (CAN_RXMASK_NOUSE)</t>
  </si>
  <si>
    <t>#define CAN_CFG_MASK_REFERENCE_3_MB113      (CAN_RXMASK_NOUSE)</t>
  </si>
  <si>
    <t>#define CAN_CFG_MASK_REFERENCE_3_MB114      (CAN_RXMASK_NOUSE)</t>
  </si>
  <si>
    <t>#define CAN_CFG_MASK_REFERENCE_3_MB115      (CAN_RXMASK_NOUSE)</t>
  </si>
  <si>
    <t>#define CAN_CFG_MASK_REFERENCE_3_MB116      (CAN_RXMASK_NOUSE)</t>
  </si>
  <si>
    <t>#define CAN_CFG_MASK_REFERENCE_3_MB117      (CAN_RXMASK_NOUSE)</t>
  </si>
  <si>
    <t>#define CAN_CFG_MASK_REFERENCE_3_MB118      (CAN_RXMASK_NOUSE)</t>
  </si>
  <si>
    <t>#define CAN_CFG_MASK_REFERENCE_3_MB119      (CAN_RXMASK_NOUSE)</t>
  </si>
  <si>
    <t>#define CAN_CFG_MASK_REFERENCE_3_MB120      (CAN_RXMASK_NOUSE)</t>
  </si>
  <si>
    <t>#define CAN_CFG_MASK_REFERENCE_3_MB121      (CAN_RXMASK_NOUSE)</t>
  </si>
  <si>
    <t>#define CAN_CFG_MASK_REFERENCE_3_MB122      (CAN_RXMASK_NOUSE)</t>
  </si>
  <si>
    <t>#define CAN_CFG_MASK_REFERENCE_3_MB123      (CAN_RXMASK_NOUSE)</t>
  </si>
  <si>
    <t>#define CAN_CFG_MASK_REFERENCE_3_MB124      (CAN_RXMASK_NOUSE)</t>
  </si>
  <si>
    <t>#define CAN_CFG_MASK_REFERENCE_3_MB125      (CAN_RXMASK_NOUSE)</t>
  </si>
  <si>
    <t>#define CAN_CFG_MASK_REFERENCE_3_MB126      (CAN_RXMASK_NOUSE)</t>
  </si>
  <si>
    <t>#define CAN_CFG_MASK_REFERENCE_3_MB127      (CAN_RXMASK_NOUSE)</t>
  </si>
  <si>
    <t>#define CAN_CFG_MASK_REFERENCE_3_MB128      (CAN_RXMASK_NOUSE)</t>
  </si>
  <si>
    <t>#define CAN_CFG_MASK_REFERENCE_3_MB129      (CAN_RXMASK_NOUSE)</t>
  </si>
  <si>
    <t>#define CAN_CFG_MASK_REFERENCE_3_MB130      (CAN_RXMASK_NOUSE)</t>
  </si>
  <si>
    <t>#define CAN_CFG_MASK_REFERENCE_3_MB131      (CAN_RXMASK_NOUSE)</t>
  </si>
  <si>
    <t>#define CAN_CFG_MASK_REFERENCE_3_MB132      (CAN_RXMASK_NOUSE)</t>
  </si>
  <si>
    <t>#define CAN_CFG_MASK_REFERENCE_3_MB133      (CAN_RXMASK_NOUSE)</t>
  </si>
  <si>
    <t>#define CAN_CFG_MASK_REFERENCE_3_MB134      (CAN_RXMASK_NOUSE)</t>
  </si>
  <si>
    <t>#define CAN_CFG_MASK_REFERENCE_3_MB135      (CAN_RXMASK_NOUSE)</t>
  </si>
  <si>
    <t>#define CAN_CFG_MASK_REFERENCE_3_MB136      (CAN_RXMASK_NOUSE)</t>
  </si>
  <si>
    <t>#define CAN_CFG_MASK_REFERENCE_3_MB137      (CAN_RXMASK_NOUSE)</t>
  </si>
  <si>
    <t>#define CAN_CFG_MASK_REFERENCE_3_MB138      (CAN_RXMASK_NOUSE)</t>
  </si>
  <si>
    <t>#define CAN_CFG_MASK_REFERENCE_3_MB139      (CAN_RXMASK_NOUSE)</t>
  </si>
  <si>
    <t>#define CAN_CFG_MASK_REFERENCE_3_MB140      (CAN_RXMASK_NOUSE)</t>
  </si>
  <si>
    <t>#define CAN_CFG_MASK_REFERENCE_3_MB141      (CAN_RXMASK_NOUSE)</t>
  </si>
  <si>
    <t>#define CAN_CFG_MASK_REFERENCE_3_MB142      (CAN_RXMASK_NOUSE)</t>
  </si>
  <si>
    <t>#define CAN_CFG_MASK_REFERENCE_3_MB143      (CAN_RXMASK_NOUSE)</t>
  </si>
  <si>
    <t>#define CAN_CFG_MASK_REFERENCE_3_MB144      (CAN_RXMASK_NOUSE)</t>
  </si>
  <si>
    <t>#define CAN_CFG_MASK_REFERENCE_3_MB145      (CAN_RXMASK_NOUSE)</t>
  </si>
  <si>
    <t>#define CAN_CFG_MASK_REFERENCE_3_MB146      (CAN_RXMASK_NOUSE)</t>
  </si>
  <si>
    <t>#define CAN_CFG_MASK_REFERENCE_3_MB147      (CAN_RXMASK_NOUSE)</t>
  </si>
  <si>
    <t>#define CAN_CFG_MASK_REFERENCE_3_MB148      (CAN_RXMASK_NOUSE)</t>
  </si>
  <si>
    <t>#define CAN_CFG_MASK_REFERENCE_3_MB149      (CAN_RXMASK_NOUSE)</t>
  </si>
  <si>
    <t>#define CAN_CFG_MASK_REFERENCE_3_MB150      (CAN_RXMASK_NOUSE)</t>
  </si>
  <si>
    <t>#define CAN_CFG_MASK_REFERENCE_3_MB151      (CAN_RXMASK_NOUSE)</t>
  </si>
  <si>
    <t>#define CAN_CFG_MASK_REFERENCE_3_MB152      (CAN_RXMASK_NOUSE)</t>
  </si>
  <si>
    <t>#define CAN_CFG_MASK_REFERENCE_3_MB153      (CAN_RXMASK_NOUSE)</t>
  </si>
  <si>
    <t>#define CAN_CFG_MASK_REFERENCE_3_MB154      (CAN_RXMASK_NOUSE)</t>
  </si>
  <si>
    <t>#define CAN_CFG_MASK_REFERENCE_3_MB155      (CAN_RXMASK_NOUSE)</t>
  </si>
  <si>
    <t>#define CAN_CFG_MASK_REFERENCE_3_MB156      (CAN_RXMASK_NOUSE)</t>
  </si>
  <si>
    <t>#define CAN_CFG_MASK_REFERENCE_3_MB157      (CAN_RXMASK_NOUSE)</t>
  </si>
  <si>
    <t>#define CAN_CFG_MASK_REFERENCE_3_MB158      (CAN_RXMASK_NOUSE)</t>
  </si>
  <si>
    <t>#define CAN_CFG_MASK_REFERENCE_3_MB159      (CAN_RXMASK_NOUSE)</t>
  </si>
  <si>
    <t>#define CAN_CFG_MASK_REFERENCE_3_MB160      (CAN_RXMASK_NOUSE)</t>
  </si>
  <si>
    <t>#define CAN_CFG_MASK_REFERENCE_3_MB161      (CAN_RXMASK_NOUSE)</t>
  </si>
  <si>
    <t>#define CAN_CFG_MASK_REFERENCE_3_MB162      (CAN_RXMASK_NOUSE)</t>
  </si>
  <si>
    <t>#define CAN_CFG_MASK_REFERENCE_3_MB163      (CAN_RXMASK_NOUSE)</t>
  </si>
  <si>
    <t>#define CAN_CFG_MASK_REFERENCE_3_MB164      (CAN_RXMASK_NOUSE)</t>
  </si>
  <si>
    <t>#define CAN_CFG_MASK_REFERENCE_3_MB165      (CAN_RXMASK_NOUSE)</t>
  </si>
  <si>
    <t>#define CAN_CFG_MASK_REFERENCE_3_MB166      (CAN_RXMASK_NOUSE)</t>
  </si>
  <si>
    <t>#define CAN_CFG_MASK_REFERENCE_3_MB167      (CAN_RXMASK_NOUSE)</t>
  </si>
  <si>
    <t>#define CAN_CFG_MASK_REFERENCE_3_MB168      (CAN_RXMASK_NOUSE)</t>
  </si>
  <si>
    <t>#define CAN_CFG_MASK_REFERENCE_3_MB169      (CAN_RXMASK_NOUSE)</t>
  </si>
  <si>
    <t>#define CAN_CFG_MASK_REFERENCE_3_MB170      (CAN_RXMASK_NOUSE)</t>
  </si>
  <si>
    <t>#define CAN_CFG_MASK_REFERENCE_3_MB171      (CAN_RXMASK_NOUSE)</t>
  </si>
  <si>
    <t>#define CAN_CFG_MASK_REFERENCE_3_MB172      (CAN_RXMASK_NOUSE)</t>
  </si>
  <si>
    <t>#define CAN_CFG_MASK_REFERENCE_3_MB173      (CAN_RXMASK_NOUSE)</t>
  </si>
  <si>
    <t>#define CAN_CFG_MASK_REFERENCE_3_MB174      (CAN_RXMASK_NOUSE)</t>
  </si>
  <si>
    <t>#define CAN_CFG_MASK_REFERENCE_3_MB175      (CAN_RXMASK_NOUSE)</t>
  </si>
  <si>
    <t>#define CAN_CFG_MASK_REFERENCE_3_MB176      (CAN_RXMASK_NOUSE)</t>
  </si>
  <si>
    <t>#define CAN_CFG_MASK_REFERENCE_3_MB177      (CAN_RXMASK_NOUSE)</t>
  </si>
  <si>
    <t>#define CAN_CFG_MASK_REFERENCE_3_MB178      (CAN_RXMASK_NOUSE)</t>
  </si>
  <si>
    <t>#define CAN_CFG_MASK_REFERENCE_3_MB179      (CAN_RXMASK_NOUSE)</t>
  </si>
  <si>
    <t>#define CAN_CFG_MASK_REFERENCE_3_MB180      (CAN_RXMASK_NOUSE)</t>
  </si>
  <si>
    <t>#define CAN_CFG_MASK_REFERENCE_3_MB181      (CAN_RXMASK_NOUSE)</t>
  </si>
  <si>
    <t>#define CAN_CFG_MASK_REFERENCE_3_MB182      (CAN_RXMASK_NOUSE)</t>
  </si>
  <si>
    <t>#define CAN_CFG_MASK_REFERENCE_3_MB183      (CAN_RXMASK_NOUSE)</t>
  </si>
  <si>
    <t>#define CAN_CFG_MASK_REFERENCE_3_MB184      (CAN_RXMASK_NOUSE)</t>
  </si>
  <si>
    <t>#define CAN_CFG_MASK_REFERENCE_3_MB185      (CAN_RXMASK_NOUSE)</t>
  </si>
  <si>
    <t>#define CAN_CFG_MASK_REFERENCE_3_MB186      (CAN_RXMASK_NOUSE)</t>
  </si>
  <si>
    <t>#define CAN_CFG_MASK_REFERENCE_3_MB187      (CAN_RXMASK_NOUSE)</t>
  </si>
  <si>
    <t>#define CAN_CFG_MASK_REFERENCE_3_MB188      (CAN_RXMASK_NOUSE)</t>
  </si>
  <si>
    <t>#define CAN_CFG_MASK_REFERENCE_3_MB189      (CAN_RXMASK_NOUSE)</t>
  </si>
  <si>
    <t>#define CAN_CFG_MASK_REFERENCE_3_MB190      (CAN_RXMASK_NOUSE)</t>
  </si>
  <si>
    <t>#define CAN_CFG_MASK_REFERENCE_3_MB191      (CAN_RXMASK_NOUSE)</t>
  </si>
  <si>
    <t>/* CAN Controller 4 Filter Mask References */</t>
  </si>
  <si>
    <t>#define CAN_CFG_MASK_REFERENCE_4_MB000      (CAN_RXMASK_NOUSE)</t>
  </si>
  <si>
    <t>#define CAN_CFG_MASK_REFERENCE_4_MB001      (CAN_RXMASK_NOUSE)</t>
  </si>
  <si>
    <t>#define CAN_CFG_MASK_REFERENCE_4_MB002      (CAN_RXMASK_NOUSE)</t>
  </si>
  <si>
    <t>#define CAN_CFG_MASK_REFERENCE_4_MB003      (CAN_RXMASK_NOUSE)</t>
  </si>
  <si>
    <t>#define CAN_CFG_MASK_REFERENCE_4_MB004      (CAN_RXMASK_NOUSE)</t>
  </si>
  <si>
    <t>#define CAN_CFG_MASK_REFERENCE_4_MB005      (CAN_RXMASK_NOUSE)</t>
  </si>
  <si>
    <t>#define CAN_CFG_MASK_REFERENCE_4_MB006      (CAN_RXMASK_NOUSE)</t>
  </si>
  <si>
    <t>#define CAN_CFG_MASK_REFERENCE_4_MB007      (CAN_RXMASK_NOUSE)</t>
  </si>
  <si>
    <t>#define CAN_CFG_MASK_REFERENCE_4_MB008      (CAN_RXMASK_NOUSE)</t>
  </si>
  <si>
    <t>#define CAN_CFG_MASK_REFERENCE_4_MB009      (CAN_RXMASK_NOUSE)</t>
  </si>
  <si>
    <t>#define CAN_CFG_MASK_REFERENCE_4_MB010      (CAN_RXMASK_NOUSE)</t>
  </si>
  <si>
    <t>#define CAN_CFG_MASK_REFERENCE_4_MB011      (CAN_RXMASK_NOUSE)</t>
  </si>
  <si>
    <t>#define CAN_CFG_MASK_REFERENCE_4_MB012      (CAN_RXMASK_NOUSE)</t>
  </si>
  <si>
    <t>#define CAN_CFG_MASK_REFERENCE_4_MB013      (CAN_RXMASK_NOUSE)</t>
  </si>
  <si>
    <t>#define CAN_CFG_MASK_REFERENCE_4_MB014      (CAN_RXMASK_NOUSE)</t>
  </si>
  <si>
    <t>#define CAN_CFG_MASK_REFERENCE_4_MB015      (CAN_RXMASK_NOUSE)</t>
  </si>
  <si>
    <t>#define CAN_CFG_MASK_REFERENCE_4_MB016      (CAN_RXMASK_NOUSE)</t>
  </si>
  <si>
    <t>#define CAN_CFG_MASK_REFERENCE_4_MB017      (CAN_RXMASK_NOUSE)</t>
  </si>
  <si>
    <t>#define CAN_CFG_MASK_REFERENCE_4_MB018      (CAN_RXMASK_NOUSE)</t>
  </si>
  <si>
    <t>#define CAN_CFG_MASK_REFERENCE_4_MB019      (CAN_RXMASK_NOUSE)</t>
  </si>
  <si>
    <t>#define CAN_CFG_MASK_REFERENCE_4_MB020      (CAN_RXMASK_NOUSE)</t>
  </si>
  <si>
    <t>#define CAN_CFG_MASK_REFERENCE_4_MB021      (CAN_RXMASK_NOUSE)</t>
  </si>
  <si>
    <t>#define CAN_CFG_MASK_REFERENCE_4_MB022      (CAN_RXMASK_NOUSE)</t>
  </si>
  <si>
    <t>#define CAN_CFG_MASK_REFERENCE_4_MB023      (CAN_RXMASK_NOUSE)</t>
  </si>
  <si>
    <t>#define CAN_CFG_MASK_REFERENCE_4_MB024      (CAN_RXMASK_NOUSE)</t>
  </si>
  <si>
    <t>#define CAN_CFG_MASK_REFERENCE_4_MB025      (CAN_RXMASK_NOUSE)</t>
  </si>
  <si>
    <t>#define CAN_CFG_MASK_REFERENCE_4_MB026      (CAN_RXMASK_NOUSE)</t>
  </si>
  <si>
    <t>#define CAN_CFG_MASK_REFERENCE_4_MB027      (CAN_RXMASK_NOUSE)</t>
  </si>
  <si>
    <t>#define CAN_CFG_MASK_REFERENCE_4_MB028      (CAN_RXMASK_NOUSE)</t>
  </si>
  <si>
    <t>#define CAN_CFG_MASK_REFERENCE_4_MB029      (CAN_RXMASK_NOUSE)</t>
  </si>
  <si>
    <t>#define CAN_CFG_MASK_REFERENCE_4_MB030      (CAN_RXMASK_NOUSE)</t>
  </si>
  <si>
    <t>#define CAN_CFG_MASK_REFERENCE_4_MB031      (CAN_RXMASK_NOUSE)</t>
  </si>
  <si>
    <t>#define CAN_CFG_MASK_REFERENCE_4_MB032      (CAN_RXMASK_NOUSE)</t>
  </si>
  <si>
    <t>#define CAN_CFG_MASK_REFERENCE_4_MB033      (CAN_RXMASK_NOUSE)</t>
  </si>
  <si>
    <t>#define CAN_CFG_MASK_REFERENCE_4_MB034      (CAN_RXMASK_NOUSE)</t>
  </si>
  <si>
    <t>#define CAN_CFG_MASK_REFERENCE_4_MB035      (CAN_RXMASK_NOUSE)</t>
  </si>
  <si>
    <t>#define CAN_CFG_MASK_REFERENCE_4_MB036      (CAN_RXMASK_NOUSE)</t>
  </si>
  <si>
    <t>#define CAN_CFG_MASK_REFERENCE_4_MB037      (CAN_RXMASK_NOUSE)</t>
  </si>
  <si>
    <t>#define CAN_CFG_MASK_REFERENCE_4_MB038      (CAN_RXMASK_NOUSE)</t>
  </si>
  <si>
    <t>#define CAN_CFG_MASK_REFERENCE_4_MB039      (CAN_RXMASK_NOUSE)</t>
  </si>
  <si>
    <t>#define CAN_CFG_MASK_REFERENCE_4_MB040      (CAN_RXMASK_NOUSE)</t>
  </si>
  <si>
    <t>#define CAN_CFG_MASK_REFERENCE_4_MB041      (CAN_RXMASK_NOUSE)</t>
  </si>
  <si>
    <t>#define CAN_CFG_MASK_REFERENCE_4_MB042      (CAN_RXMASK_NOUSE)</t>
  </si>
  <si>
    <t>#define CAN_CFG_MASK_REFERENCE_4_MB043      (CAN_RXMASK_NOUSE)</t>
  </si>
  <si>
    <t>#define CAN_CFG_MASK_REFERENCE_4_MB044      (CAN_RXMASK_NOUSE)</t>
  </si>
  <si>
    <t>#define CAN_CFG_MASK_REFERENCE_4_MB045      (CAN_RXMASK_NOUSE)</t>
  </si>
  <si>
    <t>#define CAN_CFG_MASK_REFERENCE_4_MB046      (CAN_RXMASK_NOUSE)</t>
  </si>
  <si>
    <t>#define CAN_CFG_MASK_REFERENCE_4_MB047      (CAN_RXMASK_NOUSE)</t>
  </si>
  <si>
    <t>#define CAN_CFG_MASK_REFERENCE_4_MB048      (CAN_RXMASK_NOUSE)</t>
  </si>
  <si>
    <t>#define CAN_CFG_MASK_REFERENCE_4_MB049      (CAN_RXMASK_NOUSE)</t>
  </si>
  <si>
    <t>#define CAN_CFG_MASK_REFERENCE_4_MB050      (CAN_RXMASK_NOUSE)</t>
  </si>
  <si>
    <t>#define CAN_CFG_MASK_REFERENCE_4_MB051      (CAN_RXMASK_NOUSE)</t>
  </si>
  <si>
    <t>#define CAN_CFG_MASK_REFERENCE_4_MB052      (CAN_RXMASK_NOUSE)</t>
  </si>
  <si>
    <t>#define CAN_CFG_MASK_REFERENCE_4_MB053      (CAN_RXMASK_NOUSE)</t>
  </si>
  <si>
    <t>#define CAN_CFG_MASK_REFERENCE_4_MB054      (CAN_RXMASK_NOUSE)</t>
  </si>
  <si>
    <t>#define CAN_CFG_MASK_REFERENCE_4_MB055      (CAN_RXMASK_NOUSE)</t>
  </si>
  <si>
    <t>#define CAN_CFG_MASK_REFERENCE_4_MB056      (CAN_RXMASK_NOUSE)</t>
  </si>
  <si>
    <t>#define CAN_CFG_MASK_REFERENCE_4_MB057      (CAN_RXMASK_NOUSE)</t>
  </si>
  <si>
    <t>#define CAN_CFG_MASK_REFERENCE_4_MB058      (CAN_RXMASK_NOUSE)</t>
  </si>
  <si>
    <t>#define CAN_CFG_MASK_REFERENCE_4_MB059      (CAN_RXMASK_NOUSE)</t>
  </si>
  <si>
    <t>#define CAN_CFG_MASK_REFERENCE_4_MB060      (CAN_RXMASK_NOUSE)</t>
  </si>
  <si>
    <t>#define CAN_CFG_MASK_REFERENCE_4_MB061      (CAN_RXMASK_NOUSE)</t>
  </si>
  <si>
    <t>#define CAN_CFG_MASK_REFERENCE_4_MB062      (CAN_RXMASK_NOUSE)</t>
  </si>
  <si>
    <t>#define CAN_CFG_MASK_REFERENCE_4_MB063      (CAN_RXMASK_NOUSE)</t>
  </si>
  <si>
    <t>#define CAN_CFG_MASK_REFERENCE_4_MB064      (CAN_RXMASK_NOUSE)</t>
  </si>
  <si>
    <t>#define CAN_CFG_MASK_REFERENCE_4_MB065      (CAN_RXMASK_NOUSE)</t>
  </si>
  <si>
    <t>#define CAN_CFG_MASK_REFERENCE_4_MB066      (CAN_RXMASK_NOUSE)</t>
  </si>
  <si>
    <t>#define CAN_CFG_MASK_REFERENCE_4_MB067      (CAN_RXMASK_NOUSE)</t>
  </si>
  <si>
    <t>#define CAN_CFG_MASK_REFERENCE_4_MB068      (CAN_RXMASK_NOUSE)</t>
  </si>
  <si>
    <t>#define CAN_CFG_MASK_REFERENCE_4_MB069      (CAN_RXMASK_NOUSE)</t>
  </si>
  <si>
    <t>#define CAN_CFG_MASK_REFERENCE_4_MB070      (CAN_RXMASK_NOUSE)</t>
  </si>
  <si>
    <t>#define CAN_CFG_MASK_REFERENCE_4_MB071      (CAN_RXMASK_NOUSE)</t>
  </si>
  <si>
    <t>#define CAN_CFG_MASK_REFERENCE_4_MB072      (CAN_RXMASK_NOUSE)</t>
  </si>
  <si>
    <t>#define CAN_CFG_MASK_REFERENCE_4_MB073      (CAN_RXMASK_NOUSE)</t>
  </si>
  <si>
    <t>#define CAN_CFG_MASK_REFERENCE_4_MB074      (CAN_RXMASK_NOUSE)</t>
  </si>
  <si>
    <t>#define CAN_CFG_MASK_REFERENCE_4_MB075      (CAN_RXMASK_NOUSE)</t>
  </si>
  <si>
    <t>#define CAN_CFG_MASK_REFERENCE_4_MB076      (CAN_RXMASK_NOUSE)</t>
  </si>
  <si>
    <t>#define CAN_CFG_MASK_REFERENCE_4_MB077      (CAN_RXMASK_NOUSE)</t>
  </si>
  <si>
    <t>#define CAN_CFG_MASK_REFERENCE_4_MB078      (CAN_RXMASK_NOUSE)</t>
  </si>
  <si>
    <t>#define CAN_CFG_MASK_REFERENCE_4_MB079      (CAN_RXMASK_NOUSE)</t>
  </si>
  <si>
    <t>#define CAN_CFG_MASK_REFERENCE_4_MB080      (CAN_RXMASK_NOUSE)</t>
  </si>
  <si>
    <t>#define CAN_CFG_MASK_REFERENCE_4_MB081      (CAN_RXMASK_NOUSE)</t>
  </si>
  <si>
    <t>#define CAN_CFG_MASK_REFERENCE_4_MB082      (CAN_RXMASK_NOUSE)</t>
  </si>
  <si>
    <t>#define CAN_CFG_MASK_REFERENCE_4_MB083      (CAN_RXMASK_NOUSE)</t>
  </si>
  <si>
    <t>#define CAN_CFG_MASK_REFERENCE_4_MB084      (CAN_RXMASK_NOUSE)</t>
  </si>
  <si>
    <t>#define CAN_CFG_MASK_REFERENCE_4_MB085      (CAN_RXMASK_NOUSE)</t>
  </si>
  <si>
    <t>#define CAN_CFG_MASK_REFERENCE_4_MB086      (CAN_RXMASK_NOUSE)</t>
  </si>
  <si>
    <t>#define CAN_CFG_MASK_REFERENCE_4_MB087      (CAN_RXMASK_NOUSE)</t>
  </si>
  <si>
    <t>#define CAN_CFG_MASK_REFERENCE_4_MB088      (CAN_RXMASK_NOUSE)</t>
  </si>
  <si>
    <t>#define CAN_CFG_MASK_REFERENCE_4_MB089      (CAN_RXMASK_NOUSE)</t>
  </si>
  <si>
    <t>#define CAN_CFG_MASK_REFERENCE_4_MB090      (CAN_RXMASK_NOUSE)</t>
  </si>
  <si>
    <t>#define CAN_CFG_MASK_REFERENCE_4_MB091      (CAN_RXMASK_NOUSE)</t>
  </si>
  <si>
    <t>#define CAN_CFG_MASK_REFERENCE_4_MB092      (CAN_RXMASK_NOUSE)</t>
  </si>
  <si>
    <t>#define CAN_CFG_MASK_REFERENCE_4_MB093      (CAN_RXMASK_NOUSE)</t>
  </si>
  <si>
    <t>#define CAN_CFG_MASK_REFERENCE_4_MB094      (CAN_RXMASK_NOUSE)</t>
  </si>
  <si>
    <t>#define CAN_CFG_MASK_REFERENCE_4_MB095      (CAN_RXMASK_NOUSE)</t>
  </si>
  <si>
    <t>#define CAN_CFG_MASK_REFERENCE_4_MB096      (CAN_RXMASK_NOUSE)</t>
  </si>
  <si>
    <t>#define CAN_CFG_MASK_REFERENCE_4_MB097      (CAN_RXMASK_NOUSE)</t>
  </si>
  <si>
    <t>#define CAN_CFG_MASK_REFERENCE_4_MB098      (CAN_RXMASK_NOUSE)</t>
  </si>
  <si>
    <t>#define CAN_CFG_MASK_REFERENCE_4_MB099      (CAN_RXMASK_NOUSE)</t>
  </si>
  <si>
    <t>#define CAN_CFG_MASK_REFERENCE_4_MB100      (CAN_RXMASK_NOUSE)</t>
  </si>
  <si>
    <t>#define CAN_CFG_MASK_REFERENCE_4_MB101      (CAN_RXMASK_NOUSE)</t>
  </si>
  <si>
    <t>#define CAN_CFG_MASK_REFERENCE_4_MB102      (CAN_RXMASK_NOUSE)</t>
  </si>
  <si>
    <t>#define CAN_CFG_MASK_REFERENCE_4_MB103      (CAN_RXMASK_NOUSE)</t>
  </si>
  <si>
    <t>#define CAN_CFG_MASK_REFERENCE_4_MB104      (CAN_RXMASK_NOUSE)</t>
  </si>
  <si>
    <t>#define CAN_CFG_MASK_REFERENCE_4_MB105      (CAN_RXMASK_NOUSE)</t>
  </si>
  <si>
    <t>#define CAN_CFG_MASK_REFERENCE_4_MB106      (CAN_RXMASK_NOUSE)</t>
  </si>
  <si>
    <t>#define CAN_CFG_MASK_REFERENCE_4_MB107      (CAN_RXMASK_NOUSE)</t>
  </si>
  <si>
    <t>#define CAN_CFG_MASK_REFERENCE_4_MB108      (CAN_RXMASK_NOUSE)</t>
  </si>
  <si>
    <t>#define CAN_CFG_MASK_REFERENCE_4_MB109      (CAN_RXMASK_NOUSE)</t>
  </si>
  <si>
    <t>#define CAN_CFG_MASK_REFERENCE_4_MB110      (CAN_RXMASK_NOUSE)</t>
  </si>
  <si>
    <t>#define CAN_CFG_MASK_REFERENCE_4_MB111      (CAN_RXMASK_NOUSE)</t>
  </si>
  <si>
    <t>#define CAN_CFG_MASK_REFERENCE_4_MB112      (CAN_RXMASK_NOUSE)</t>
  </si>
  <si>
    <t>#define CAN_CFG_MASK_REFERENCE_4_MB113      (CAN_RXMASK_NOUSE)</t>
  </si>
  <si>
    <t>#define CAN_CFG_MASK_REFERENCE_4_MB114      (CAN_RXMASK_NOUSE)</t>
  </si>
  <si>
    <t>#define CAN_CFG_MASK_REFERENCE_4_MB115      (CAN_RXMASK_NOUSE)</t>
  </si>
  <si>
    <t>#define CAN_CFG_MASK_REFERENCE_4_MB116      (CAN_RXMASK_NOUSE)</t>
  </si>
  <si>
    <t>#define CAN_CFG_MASK_REFERENCE_4_MB117      (CAN_RXMASK_NOUSE)</t>
  </si>
  <si>
    <t>#define CAN_CFG_MASK_REFERENCE_4_MB118      (CAN_RXMASK_NOUSE)</t>
  </si>
  <si>
    <t>#define CAN_CFG_MASK_REFERENCE_4_MB119      (CAN_RXMASK_NOUSE)</t>
  </si>
  <si>
    <t>#define CAN_CFG_MASK_REFERENCE_4_MB120      (CAN_RXMASK_NOUSE)</t>
  </si>
  <si>
    <t>#define CAN_CFG_MASK_REFERENCE_4_MB121      (CAN_RXMASK_NOUSE)</t>
  </si>
  <si>
    <t>#define CAN_CFG_MASK_REFERENCE_4_MB122      (CAN_RXMASK_NOUSE)</t>
  </si>
  <si>
    <t>#define CAN_CFG_MASK_REFERENCE_4_MB123      (CAN_RXMASK_NOUSE)</t>
  </si>
  <si>
    <t>#define CAN_CFG_MASK_REFERENCE_4_MB124      (CAN_RXMASK_NOUSE)</t>
  </si>
  <si>
    <t>#define CAN_CFG_MASK_REFERENCE_4_MB125      (CAN_RXMASK_NOUSE)</t>
  </si>
  <si>
    <t>#define CAN_CFG_MASK_REFERENCE_4_MB126      (CAN_RXMASK_NOUSE)</t>
  </si>
  <si>
    <t>#define CAN_CFG_MASK_REFERENCE_4_MB127      (CAN_RXMASK_NOUSE)</t>
  </si>
  <si>
    <t>#define CAN_CFG_MASK_REFERENCE_4_MB128      (CAN_RXMASK_NOUSE)</t>
  </si>
  <si>
    <t>#define CAN_CFG_MASK_REFERENCE_4_MB129      (CAN_RXMASK_NOUSE)</t>
  </si>
  <si>
    <t>#define CAN_CFG_MASK_REFERENCE_4_MB130      (CAN_RXMASK_NOUSE)</t>
  </si>
  <si>
    <t>#define CAN_CFG_MASK_REFERENCE_4_MB131      (CAN_RXMASK_NOUSE)</t>
  </si>
  <si>
    <t>#define CAN_CFG_MASK_REFERENCE_4_MB132      (CAN_RXMASK_NOUSE)</t>
  </si>
  <si>
    <t>#define CAN_CFG_MASK_REFERENCE_4_MB133      (CAN_RXMASK_NOUSE)</t>
  </si>
  <si>
    <t>#define CAN_CFG_MASK_REFERENCE_4_MB134      (CAN_RXMASK_NOUSE)</t>
  </si>
  <si>
    <t>#define CAN_CFG_MASK_REFERENCE_4_MB135      (CAN_RXMASK_NOUSE)</t>
  </si>
  <si>
    <t>#define CAN_CFG_MASK_REFERENCE_4_MB136      (CAN_RXMASK_NOUSE)</t>
  </si>
  <si>
    <t>#define CAN_CFG_MASK_REFERENCE_4_MB137      (CAN_RXMASK_NOUSE)</t>
  </si>
  <si>
    <t>#define CAN_CFG_MASK_REFERENCE_4_MB138      (CAN_RXMASK_NOUSE)</t>
  </si>
  <si>
    <t>#define CAN_CFG_MASK_REFERENCE_4_MB139      (CAN_RXMASK_NOUSE)</t>
  </si>
  <si>
    <t>#define CAN_CFG_MASK_REFERENCE_4_MB140      (CAN_RXMASK_NOUSE)</t>
  </si>
  <si>
    <t>#define CAN_CFG_MASK_REFERENCE_4_MB141      (CAN_RXMASK_NOUSE)</t>
  </si>
  <si>
    <t>#define CAN_CFG_MASK_REFERENCE_4_MB142      (CAN_RXMASK_NOUSE)</t>
  </si>
  <si>
    <t>#define CAN_CFG_MASK_REFERENCE_4_MB143      (CAN_RXMASK_NOUSE)</t>
  </si>
  <si>
    <t>#define CAN_CFG_MASK_REFERENCE_4_MB144      (CAN_RXMASK_NOUSE)</t>
  </si>
  <si>
    <t>#define CAN_CFG_MASK_REFERENCE_4_MB145      (CAN_RXMASK_NOUSE)</t>
  </si>
  <si>
    <t>#define CAN_CFG_MASK_REFERENCE_4_MB146      (CAN_RXMASK_NOUSE)</t>
  </si>
  <si>
    <t>#define CAN_CFG_MASK_REFERENCE_4_MB147      (CAN_RXMASK_NOUSE)</t>
  </si>
  <si>
    <t>#define CAN_CFG_MASK_REFERENCE_4_MB148      (CAN_RXMASK_NOUSE)</t>
  </si>
  <si>
    <t>#define CAN_CFG_MASK_REFERENCE_4_MB149      (CAN_RXMASK_NOUSE)</t>
  </si>
  <si>
    <t>#define CAN_CFG_MASK_REFERENCE_4_MB150      (CAN_RXMASK_NOUSE)</t>
  </si>
  <si>
    <t>#define CAN_CFG_MASK_REFERENCE_4_MB151      (CAN_RXMASK_NOUSE)</t>
  </si>
  <si>
    <t>#define CAN_CFG_MASK_REFERENCE_4_MB152      (CAN_RXMASK_NOUSE)</t>
  </si>
  <si>
    <t>#define CAN_CFG_MASK_REFERENCE_4_MB153      (CAN_RXMASK_NOUSE)</t>
  </si>
  <si>
    <t>#define CAN_CFG_MASK_REFERENCE_4_MB154      (CAN_RXMASK_NOUSE)</t>
  </si>
  <si>
    <t>#define CAN_CFG_MASK_REFERENCE_4_MB155      (CAN_RXMASK_NOUSE)</t>
  </si>
  <si>
    <t>#define CAN_CFG_MASK_REFERENCE_4_MB156      (CAN_RXMASK_NOUSE)</t>
  </si>
  <si>
    <t>#define CAN_CFG_MASK_REFERENCE_4_MB157      (CAN_RXMASK_NOUSE)</t>
  </si>
  <si>
    <t>#define CAN_CFG_MASK_REFERENCE_4_MB158      (CAN_RXMASK_NOUSE)</t>
  </si>
  <si>
    <t>#define CAN_CFG_MASK_REFERENCE_4_MB159      (CAN_RXMASK_NOUSE)</t>
  </si>
  <si>
    <t>#define CAN_CFG_MASK_REFERENCE_4_MB160      (CAN_RXMASK_NOUSE)</t>
  </si>
  <si>
    <t>#define CAN_CFG_MASK_REFERENCE_4_MB161      (CAN_RXMASK_NOUSE)</t>
  </si>
  <si>
    <t>#define CAN_CFG_MASK_REFERENCE_4_MB162      (CAN_RXMASK_NOUSE)</t>
  </si>
  <si>
    <t>#define CAN_CFG_MASK_REFERENCE_4_MB163      (CAN_RXMASK_NOUSE)</t>
  </si>
  <si>
    <t>#define CAN_CFG_MASK_REFERENCE_4_MB164      (CAN_RXMASK_NOUSE)</t>
  </si>
  <si>
    <t>#define CAN_CFG_MASK_REFERENCE_4_MB165      (CAN_RXMASK_NOUSE)</t>
  </si>
  <si>
    <t>#define CAN_CFG_MASK_REFERENCE_4_MB166      (CAN_RXMASK_NOUSE)</t>
  </si>
  <si>
    <t>#define CAN_CFG_MASK_REFERENCE_4_MB167      (CAN_RXMASK_NOUSE)</t>
  </si>
  <si>
    <t>#define CAN_CFG_MASK_REFERENCE_4_MB168      (CAN_RXMASK_NOUSE)</t>
  </si>
  <si>
    <t>#define CAN_CFG_MASK_REFERENCE_4_MB169      (CAN_RXMASK_NOUSE)</t>
  </si>
  <si>
    <t>#define CAN_CFG_MASK_REFERENCE_4_MB170      (CAN_RXMASK_NOUSE)</t>
  </si>
  <si>
    <t>#define CAN_CFG_MASK_REFERENCE_4_MB171      (CAN_RXMASK_NOUSE)</t>
  </si>
  <si>
    <t>#define CAN_CFG_MASK_REFERENCE_4_MB172      (CAN_RXMASK_NOUSE)</t>
  </si>
  <si>
    <t>#define CAN_CFG_MASK_REFERENCE_4_MB173      (CAN_RXMASK_NOUSE)</t>
  </si>
  <si>
    <t>#define CAN_CFG_MASK_REFERENCE_4_MB174      (CAN_RXMASK_NOUSE)</t>
  </si>
  <si>
    <t>#define CAN_CFG_MASK_REFERENCE_4_MB175      (CAN_RXMASK_NOUSE)</t>
  </si>
  <si>
    <t>#define CAN_CFG_MASK_REFERENCE_4_MB176      (CAN_RXMASK_NOUSE)</t>
  </si>
  <si>
    <t>#define CAN_CFG_MASK_REFERENCE_4_MB177      (CAN_RXMASK_NOUSE)</t>
  </si>
  <si>
    <t>#define CAN_CFG_MASK_REFERENCE_4_MB178      (CAN_RXMASK_NOUSE)</t>
  </si>
  <si>
    <t>#define CAN_CFG_MASK_REFERENCE_4_MB179      (CAN_RXMASK_NOUSE)</t>
  </si>
  <si>
    <t>#define CAN_CFG_MASK_REFERENCE_4_MB180      (CAN_RXMASK_NOUSE)</t>
  </si>
  <si>
    <t>#define CAN_CFG_MASK_REFERENCE_4_MB181      (CAN_RXMASK_NOUSE)</t>
  </si>
  <si>
    <t>#define CAN_CFG_MASK_REFERENCE_4_MB182      (CAN_RXMASK_NOUSE)</t>
  </si>
  <si>
    <t>#define CAN_CFG_MASK_REFERENCE_4_MB183      (CAN_RXMASK_NOUSE)</t>
  </si>
  <si>
    <t>#define CAN_CFG_MASK_REFERENCE_4_MB184      (CAN_RXMASK_NOUSE)</t>
  </si>
  <si>
    <t>#define CAN_CFG_MASK_REFERENCE_4_MB185      (CAN_RXMASK_NOUSE)</t>
  </si>
  <si>
    <t>#define CAN_CFG_MASK_REFERENCE_4_MB186      (CAN_RXMASK_NOUSE)</t>
  </si>
  <si>
    <t>#define CAN_CFG_MASK_REFERENCE_4_MB187      (CAN_RXMASK_NOUSE)</t>
  </si>
  <si>
    <t>#define CAN_CFG_MASK_REFERENCE_4_MB188      (CAN_RXMASK_NOUSE)</t>
  </si>
  <si>
    <t>#define CAN_CFG_MASK_REFERENCE_4_MB189      (CAN_RXMASK_NOUSE)</t>
  </si>
  <si>
    <t>#define CAN_CFG_MASK_REFERENCE_4_MB190      (CAN_RXMASK_NOUSE)</t>
  </si>
  <si>
    <t>#define CAN_CFG_MASK_REFERENCE_4_MB191      (CAN_RXMASK_NOUSE)</t>
  </si>
  <si>
    <t>/* CAN Controller 5 Filter Mask References */</t>
  </si>
  <si>
    <t>#define CAN_CFG_MASK_REFERENCE_5_MB000      (CAN_RXMASK_NOUSE)</t>
  </si>
  <si>
    <t>#define CAN_CFG_MASK_REFERENCE_5_MB001      (CAN_RXMASK_NOUSE)</t>
  </si>
  <si>
    <t>#define CAN_CFG_MASK_REFERENCE_5_MB002      (CAN_RXMASK_NOUSE)</t>
  </si>
  <si>
    <t>#define CAN_CFG_MASK_REFERENCE_5_MB003      (CAN_RXMASK_NOUSE)</t>
  </si>
  <si>
    <t>#define CAN_CFG_MASK_REFERENCE_5_MB004      (CAN_RXMASK_NOUSE)</t>
  </si>
  <si>
    <t>#define CAN_CFG_MASK_REFERENCE_5_MB005      (CAN_RXMASK_NOUSE)</t>
  </si>
  <si>
    <t>#define CAN_CFG_MASK_REFERENCE_5_MB006      (CAN_RXMASK_NOUSE)</t>
  </si>
  <si>
    <t>#define CAN_CFG_MASK_REFERENCE_5_MB007      (CAN_RXMASK_NOUSE)</t>
  </si>
  <si>
    <t>#define CAN_CFG_MASK_REFERENCE_5_MB008      (CAN_RXMASK_NOUSE)</t>
  </si>
  <si>
    <t>#define CAN_CFG_MASK_REFERENCE_5_MB009      (CAN_RXMASK_NOUSE)</t>
  </si>
  <si>
    <t>#define CAN_CFG_MASK_REFERENCE_5_MB023      (CAN_RXMASK_NOUSE)</t>
  </si>
  <si>
    <t>#define CAN_CFG_MASK_REFERENCE_5_MB024      (CAN_RXMASK_NOUSE)</t>
  </si>
  <si>
    <t>#define CAN_CFG_MASK_REFERENCE_5_MB027      (CAN_RXMASK_NOUSE)</t>
  </si>
  <si>
    <t>#define CAN_CFG_MASK_REFERENCE_5_MB035      (CAN_RXMASK_NOUSE)</t>
  </si>
  <si>
    <t>#define CAN_CFG_MASK_REFERENCE_5_MB040      (CAN_RXMASK_NOUSE)</t>
  </si>
  <si>
    <t>#define CAN_CFG_MASK_REFERENCE_5_MB041      (CAN_RXMASK_NOUSE)</t>
  </si>
  <si>
    <t>#define CAN_CFG_MASK_REFERENCE_5_MB043      (CAN_RXMASK_NOUSE)</t>
  </si>
  <si>
    <t>#define CAN_CFG_MASK_REFERENCE_5_MB044      (CAN_RXMASK_NOUSE)</t>
  </si>
  <si>
    <t>#define CAN_CFG_MASK_REFERENCE_5_MB048      (CAN_RXMASK_NOUSE)</t>
  </si>
  <si>
    <t>#define CAN_CFG_MASK_REFERENCE_5_MB049      (CAN_RXMASK_NOUSE)</t>
  </si>
  <si>
    <t>#define CAN_CFG_MASK_REFERENCE_5_MB063      (CAN_RXMASK_NOUSE)</t>
  </si>
  <si>
    <t>#define CAN_CFG_MASK_REFERENCE_5_MB066      (CAN_RXMASK_NOUSE)</t>
  </si>
  <si>
    <t>#define CAN_CFG_MASK_REFERENCE_5_MB075      (CAN_RXMASK_23)</t>
  </si>
  <si>
    <t>#define CAN_CFG_MASK_REFERENCE_5_MB077      (CAN_RXMASK_21)</t>
  </si>
  <si>
    <t>#define CAN_CFG_MASK_REFERENCE_5_MB079      (CAN_RXMASK_NOUSE)</t>
  </si>
  <si>
    <t>#define CAN_CFG_MASK_REFERENCE_5_MB082      (CAN_RXMASK_NOUSE)</t>
  </si>
  <si>
    <t>#define CAN_CFG_MASK_REFERENCE_5_MB084      (CAN_RXMASK_NOUSE)</t>
  </si>
  <si>
    <t>#define CAN_CFG_MASK_REFERENCE_5_MB088      (CAN_RXMASK_NOUSE)</t>
  </si>
  <si>
    <t>#define CAN_CFG_MASK_REFERENCE_5_MB091      (CAN_RXMASK_NOUSE)</t>
  </si>
  <si>
    <t>#define CAN_CFG_MASK_REFERENCE_5_MB094      (CAN_RXMASK_NOUSE)</t>
  </si>
  <si>
    <t>#define CAN_CFG_MASK_REFERENCE_5_MB095      (CAN_RXMASK_NOUSE)</t>
  </si>
  <si>
    <t>#define CAN_CFG_MASK_REFERENCE_5_MB097      (CAN_RXMASK_NOUSE)</t>
  </si>
  <si>
    <t>#define CAN_CFG_MASK_REFERENCE_5_MB098      (CAN_RXMASK_NOUSE)</t>
  </si>
  <si>
    <t>#define CAN_CFG_MASK_REFERENCE_5_MB099      (CAN_RXMASK_NOUSE)</t>
  </si>
  <si>
    <t>#define CAN_CFG_MASK_REFERENCE_5_MB100      (CAN_RXMASK_NOUSE)</t>
  </si>
  <si>
    <t>#define CAN_CFG_MASK_REFERENCE_5_MB101      (CAN_RXMASK_NOUSE)</t>
  </si>
  <si>
    <t>#define CAN_CFG_MASK_REFERENCE_5_MB103      (CAN_RXMASK_NOUSE)</t>
  </si>
  <si>
    <t>#define CAN_CFG_MASK_REFERENCE_5_MB104      (CAN_RXMASK_NOUSE)</t>
  </si>
  <si>
    <t>#define CAN_CFG_MASK_REFERENCE_5_MB105      (CAN_RXMASK_NOUSE)</t>
  </si>
  <si>
    <t>#define CAN_CFG_MASK_REFERENCE_5_MB106      (CAN_RXMASK_NOUSE)</t>
  </si>
  <si>
    <t>#define CAN_CFG_MASK_REFERENCE_5_MB107      (CAN_RXMASK_NOUSE)</t>
  </si>
  <si>
    <t>#define CAN_CFG_MASK_REFERENCE_5_MB108      (CAN_RXMASK_NOUSE)</t>
  </si>
  <si>
    <t>#define CAN_CFG_MASK_REFERENCE_5_MB109      (CAN_RXMASK_NOUSE)</t>
  </si>
  <si>
    <t>#define CAN_CFG_MASK_REFERENCE_5_MB112      (CAN_RXMASK_NOUSE)</t>
  </si>
  <si>
    <t>#define CAN_CFG_MASK_REFERENCE_5_MB113      (CAN_RXMASK_NOUSE)</t>
  </si>
  <si>
    <t>#define CAN_CFG_MASK_REFERENCE_5_MB115      (CAN_RXMASK_NOUSE)</t>
  </si>
  <si>
    <t>#define CAN_CFG_MASK_REFERENCE_5_MB117      (CAN_RXMASK_NOUSE)</t>
  </si>
  <si>
    <t>#define CAN_CFG_MASK_REFERENCE_5_MB118      (CAN_RXMASK_NOUSE)</t>
  </si>
  <si>
    <t>#define CAN_CFG_MASK_REFERENCE_5_MB119      (CAN_RXMASK_NOUSE)</t>
  </si>
  <si>
    <t>#define CAN_CFG_MASK_REFERENCE_5_MB121      (CAN_RXMASK_NOUSE)</t>
  </si>
  <si>
    <t>#define CAN_CFG_MASK_REFERENCE_5_MB122      (CAN_RXMASK_NOUSE)</t>
  </si>
  <si>
    <t>#define CAN_CFG_MASK_REFERENCE_5_MB124      (CAN_RXMASK_NOUSE)</t>
  </si>
  <si>
    <t>#define CAN_CFG_MASK_REFERENCE_5_MB125      (CAN_RXMASK_NOUSE)</t>
  </si>
  <si>
    <t>#define CAN_CFG_MASK_REFERENCE_5_MB127      (CAN_RXMASK_NOUSE)</t>
  </si>
  <si>
    <t>#define CAN_CFG_MASK_REFERENCE_5_MB128      (CAN_RXMASK_NOUSE)</t>
  </si>
  <si>
    <t>#define CAN_CFG_MASK_REFERENCE_5_MB129      (CAN_RXMASK_NOUSE)</t>
  </si>
  <si>
    <t>#define CAN_CFG_MASK_REFERENCE_5_MB130      (CAN_RXMASK_NOUSE)</t>
  </si>
  <si>
    <t>#define CAN_CFG_MASK_REFERENCE_5_MB131      (CAN_RXMASK_NOUSE)</t>
  </si>
  <si>
    <t>#define CAN_CFG_MASK_REFERENCE_5_MB132      (CAN_RXMASK_NOUSE)</t>
  </si>
  <si>
    <t>#define CAN_CFG_MASK_REFERENCE_5_MB133      (CAN_RXMASK_NOUSE)</t>
  </si>
  <si>
    <t>#define CAN_CFG_MASK_REFERENCE_5_MB134      (CAN_RXMASK_NOUSE)</t>
  </si>
  <si>
    <t>#define CAN_CFG_MASK_REFERENCE_5_MB135      (CAN_RXMASK_NOUSE)</t>
  </si>
  <si>
    <t>#define CAN_CFG_MASK_REFERENCE_5_MB137      (CAN_RXMASK_NOUSE)</t>
  </si>
  <si>
    <t>#define CAN_CFG_MASK_REFERENCE_5_MB138      (CAN_RXMASK_NOUSE)</t>
  </si>
  <si>
    <t>#define CAN_CFG_MASK_REFERENCE_5_MB139      (CAN_RXMASK_NOUSE)</t>
  </si>
  <si>
    <t>#define CAN_CFG_MASK_REFERENCE_5_MB140      (CAN_RXMASK_NOUSE)</t>
  </si>
  <si>
    <t>#define CAN_CFG_MASK_REFERENCE_5_MB141      (CAN_RXMASK_NOUSE)</t>
  </si>
  <si>
    <t>#define CAN_CFG_MASK_REFERENCE_5_MB143      (CAN_RXMASK_NOUSE)</t>
  </si>
  <si>
    <t>#define CAN_CFG_MASK_REFERENCE_5_MB144      (CAN_RXMASK_NOUSE)</t>
  </si>
  <si>
    <t>#define CAN_CFG_MASK_REFERENCE_5_MB145      (CAN_RXMASK_NOUSE)</t>
  </si>
  <si>
    <t>#define CAN_CFG_MASK_REFERENCE_5_MB146      (CAN_RXMASK_NOUSE)</t>
  </si>
  <si>
    <t>#define CAN_CFG_MASK_REFERENCE_5_MB147      (CAN_RXMASK_NOUSE)</t>
  </si>
  <si>
    <t>#define CAN_CFG_MASK_REFERENCE_5_MB148      (CAN_RXMASK_NOUSE)</t>
  </si>
  <si>
    <t>#define CAN_CFG_MASK_REFERENCE_5_MB152      (CAN_RXMASK_NOUSE)</t>
  </si>
  <si>
    <t>#define CAN_CFG_MASK_REFERENCE_5_MB153      (CAN_RXMASK_NOUSE)</t>
  </si>
  <si>
    <t>#define CAN_CFG_MASK_REFERENCE_5_MB154      (CAN_RXMASK_NOUSE)</t>
  </si>
  <si>
    <t>#define CAN_CFG_MASK_REFERENCE_5_MB155      (CAN_RXMASK_NOUSE)</t>
  </si>
  <si>
    <t>#define CAN_CFG_MASK_REFERENCE_5_MB156      (CAN_RXMASK_NOUSE)</t>
  </si>
  <si>
    <t>#define CAN_CFG_MASK_REFERENCE_5_MB157      (CAN_RXMASK_NOUSE)</t>
  </si>
  <si>
    <t>#define CAN_CFG_MASK_REFERENCE_5_MB158      (CAN_RXMASK_NOUSE)</t>
  </si>
  <si>
    <t>#define CAN_CFG_MASK_REFERENCE_5_MB159      (CAN_RXMASK_NOUSE)</t>
  </si>
  <si>
    <t>#define CAN_CFG_MASK_REFERENCE_5_MB160      (CAN_RXMASK_NOUSE)</t>
  </si>
  <si>
    <t>#define CAN_CFG_MASK_REFERENCE_5_MB161      (CAN_RXMASK_NOUSE)</t>
  </si>
  <si>
    <t>#define CAN_CFG_MASK_REFERENCE_5_MB162      (CAN_RXMASK_NOUSE)</t>
  </si>
  <si>
    <t>#define CAN_CFG_MASK_REFERENCE_5_MB163      (CAN_RXMASK_NOUSE)</t>
  </si>
  <si>
    <t>#define CAN_CFG_MASK_REFERENCE_5_MB164      (CAN_RXMASK_NOUSE)</t>
  </si>
  <si>
    <t>#define CAN_CFG_MASK_REFERENCE_5_MB165      (CAN_RXMASK_NOUSE)</t>
  </si>
  <si>
    <t>#define CAN_CFG_MASK_REFERENCE_5_MB166      (CAN_RXMASK_NOUSE)</t>
  </si>
  <si>
    <t>#define CAN_CFG_MASK_REFERENCE_5_MB167      (CAN_RXMASK_NOUSE)</t>
  </si>
  <si>
    <t>#define CAN_CFG_MASK_REFERENCE_5_MB168      (CAN_RXMASK_NOUSE)</t>
  </si>
  <si>
    <t>#define CAN_CFG_MASK_REFERENCE_5_MB169      (CAN_RXMASK_NOUSE)</t>
  </si>
  <si>
    <t>#define CAN_CFG_MASK_REFERENCE_5_MB170      (CAN_RXMASK_NOUSE)</t>
  </si>
  <si>
    <t>#define CAN_CFG_MASK_REFERENCE_5_MB171      (CAN_RXMASK_NOUSE)</t>
  </si>
  <si>
    <t>#define CAN_CFG_MASK_REFERENCE_5_MB172      (CAN_RXMASK_NOUSE)</t>
  </si>
  <si>
    <t>#define CAN_CFG_MASK_REFERENCE_5_MB173      (CAN_RXMASK_NOUSE)</t>
  </si>
  <si>
    <t>#define CAN_CFG_MASK_REFERENCE_5_MB174      (CAN_RXMASK_NOUSE)</t>
  </si>
  <si>
    <t>#define CAN_CFG_MASK_REFERENCE_5_MB175      (CAN_RXMASK_NOUSE)</t>
  </si>
  <si>
    <t>#define CAN_CFG_MASK_REFERENCE_5_MB176      (CAN_RXMASK_NOUSE)</t>
  </si>
  <si>
    <t>#define CAN_CFG_MASK_REFERENCE_5_MB177      (CAN_RXMASK_NOUSE)</t>
  </si>
  <si>
    <t>#define CAN_CFG_MASK_REFERENCE_5_MB178      (CAN_RXMASK_NOUSE)</t>
  </si>
  <si>
    <t>#define CAN_CFG_MASK_REFERENCE_5_MB179      (CAN_RXMASK_NOUSE)</t>
  </si>
  <si>
    <t>#define CAN_CFG_MASK_REFERENCE_5_MB180      (CAN_RXMASK_NOUSE)</t>
  </si>
  <si>
    <t>#define CAN_CFG_MASK_REFERENCE_5_MB181      (CAN_RXMASK_NOUSE)</t>
  </si>
  <si>
    <t>#define CAN_CFG_MASK_REFERENCE_5_MB182      (CAN_RXMASK_NOUSE)</t>
  </si>
  <si>
    <t>#define CAN_CFG_MASK_REFERENCE_5_MB183      (CAN_RXMASK_NOUSE)</t>
  </si>
  <si>
    <t>#define CAN_CFG_MASK_REFERENCE_5_MB184      (CAN_RXMASK_NOUSE)</t>
  </si>
  <si>
    <t>#define CAN_CFG_MASK_REFERENCE_5_MB185      (CAN_RXMASK_NOUSE)</t>
  </si>
  <si>
    <t>#define CAN_CFG_MASK_REFERENCE_5_MB186      (CAN_RXMASK_NOUSE)</t>
  </si>
  <si>
    <t>#define CAN_CFG_MASK_REFERENCE_5_MB187      (CAN_RXMASK_NOUSE)</t>
  </si>
  <si>
    <t>#define CAN_CFG_MASK_REFERENCE_5_MB188      (CAN_RXMASK_NOUSE)</t>
  </si>
  <si>
    <t>#define CAN_CFG_MASK_REFERENCE_5_MB189      (CAN_RXMASK_NOUSE)</t>
  </si>
  <si>
    <t>#define CAN_CFG_MASK_REFERENCE_5_MB190      (CAN_RXMASK_NOUSE)</t>
  </si>
  <si>
    <t>#define CAN_CFG_MASK_REFERENCE_5_MB191      (CAN_RXMASK_NOUSE)</t>
  </si>
  <si>
    <t>/* CAN Controller 6 Filter Mask References */</t>
  </si>
  <si>
    <t>#define CAN_CFG_MASK_REFERENCE_6_MB000      (CAN_RXMASK_NOUSE)</t>
  </si>
  <si>
    <t>#define CAN_CFG_MASK_REFERENCE_6_MB001      (CAN_RXMASK_NOUSE)</t>
  </si>
  <si>
    <t>#define CAN_CFG_MASK_REFERENCE_6_MB002      (CAN_RXMASK_NOUSE)</t>
  </si>
  <si>
    <t>#define CAN_CFG_MASK_REFERENCE_6_MB003      (CAN_RXMASK_NOUSE)</t>
  </si>
  <si>
    <t>#define CAN_CFG_MASK_REFERENCE_6_MB004      (CAN_RXMASK_NOUSE)</t>
  </si>
  <si>
    <t>#define CAN_CFG_MASK_REFERENCE_6_MB005      (CAN_RXMASK_NOUSE)</t>
  </si>
  <si>
    <t>#define CAN_CFG_MASK_REFERENCE_6_MB006      (CAN_RXMASK_NOUSE)</t>
  </si>
  <si>
    <t>#define CAN_CFG_MASK_REFERENCE_6_MB007      (CAN_RXMASK_NOUSE)</t>
  </si>
  <si>
    <t>#define CAN_CFG_MASK_REFERENCE_6_MB008      (CAN_RXMASK_NOUSE)</t>
  </si>
  <si>
    <t>#define CAN_CFG_MASK_REFERENCE_6_MB009      (CAN_RXMASK_NOUSE)</t>
  </si>
  <si>
    <t>#define CAN_CFG_MASK_REFERENCE_6_MB010      (CAN_RXMASK_NOUSE)</t>
  </si>
  <si>
    <t>#define CAN_CFG_MASK_REFERENCE_6_MB011      (CAN_RXMASK_NOUSE)</t>
  </si>
  <si>
    <t>#define CAN_CFG_MASK_REFERENCE_6_MB012      (CAN_RXMASK_NOUSE)</t>
  </si>
  <si>
    <t>#define CAN_CFG_MASK_REFERENCE_6_MB013      (CAN_RXMASK_NOUSE)</t>
  </si>
  <si>
    <t>#define CAN_CFG_MASK_REFERENCE_6_MB014      (CAN_RXMASK_NOUSE)</t>
  </si>
  <si>
    <t>#define CAN_CFG_MASK_REFERENCE_6_MB015      (CAN_RXMASK_NOUSE)</t>
  </si>
  <si>
    <t>#define CAN_CFG_MASK_REFERENCE_6_MB016      (CAN_RXMASK_NOUSE)</t>
  </si>
  <si>
    <t>#define CAN_CFG_MASK_REFERENCE_6_MB017      (CAN_RXMASK_NOUSE)</t>
  </si>
  <si>
    <t>#define CAN_CFG_MASK_REFERENCE_6_MB018      (CAN_RXMASK_NOUSE)</t>
  </si>
  <si>
    <t>#define CAN_CFG_MASK_REFERENCE_6_MB019      (CAN_RXMASK_NOUSE)</t>
  </si>
  <si>
    <t>#define CAN_CFG_MASK_REFERENCE_6_MB020      (CAN_RXMASK_NOUSE)</t>
  </si>
  <si>
    <t>#define CAN_CFG_MASK_REFERENCE_6_MB021      (CAN_RXMASK_NOUSE)</t>
  </si>
  <si>
    <t>#define CAN_CFG_MASK_REFERENCE_6_MB022      (CAN_RXMASK_NOUSE)</t>
  </si>
  <si>
    <t>#define CAN_CFG_MASK_REFERENCE_6_MB023      (CAN_RXMASK_NOUSE)</t>
  </si>
  <si>
    <t>#define CAN_CFG_MASK_REFERENCE_6_MB024      (CAN_RXMASK_NOUSE)</t>
  </si>
  <si>
    <t>#define CAN_CFG_MASK_REFERENCE_6_MB025      (CAN_RXMASK_NOUSE)</t>
  </si>
  <si>
    <t>#define CAN_CFG_MASK_REFERENCE_6_MB026      (CAN_RXMASK_NOUSE)</t>
  </si>
  <si>
    <t>#define CAN_CFG_MASK_REFERENCE_6_MB027      (CAN_RXMASK_NOUSE)</t>
  </si>
  <si>
    <t>#define CAN_CFG_MASK_REFERENCE_6_MB028      (CAN_RXMASK_NOUSE)</t>
  </si>
  <si>
    <t>#define CAN_CFG_MASK_REFERENCE_6_MB029      (CAN_RXMASK_NOUSE)</t>
  </si>
  <si>
    <t>#define CAN_CFG_MASK_REFERENCE_6_MB030      (CAN_RXMASK_NOUSE)</t>
  </si>
  <si>
    <t>#define CAN_CFG_MASK_REFERENCE_6_MB031      (CAN_RXMASK_NOUSE)</t>
  </si>
  <si>
    <t>#define CAN_CFG_MASK_REFERENCE_6_MB032      (CAN_RXMASK_NOUSE)</t>
  </si>
  <si>
    <t>#define CAN_CFG_MASK_REFERENCE_6_MB033      (CAN_RXMASK_NOUSE)</t>
  </si>
  <si>
    <t>#define CAN_CFG_MASK_REFERENCE_6_MB034      (CAN_RXMASK_NOUSE)</t>
  </si>
  <si>
    <t>#define CAN_CFG_MASK_REFERENCE_6_MB035      (CAN_RXMASK_NOUSE)</t>
  </si>
  <si>
    <t>#define CAN_CFG_MASK_REFERENCE_6_MB036      (CAN_RXMASK_NOUSE)</t>
  </si>
  <si>
    <t>#define CAN_CFG_MASK_REFERENCE_6_MB037      (CAN_RXMASK_NOUSE)</t>
  </si>
  <si>
    <t>#define CAN_CFG_MASK_REFERENCE_6_MB038      (CAN_RXMASK_NOUSE)</t>
  </si>
  <si>
    <t>#define CAN_CFG_MASK_REFERENCE_6_MB039      (CAN_RXMASK_NOUSE)</t>
  </si>
  <si>
    <t>#define CAN_CFG_MASK_REFERENCE_6_MB040      (CAN_RXMASK_NOUSE)</t>
  </si>
  <si>
    <t>#define CAN_CFG_MASK_REFERENCE_6_MB041      (CAN_RXMASK_NOUSE)</t>
  </si>
  <si>
    <t>#define CAN_CFG_MASK_REFERENCE_6_MB042      (CAN_RXMASK_NOUSE)</t>
  </si>
  <si>
    <t>#define CAN_CFG_MASK_REFERENCE_6_MB043      (CAN_RXMASK_NOUSE)</t>
  </si>
  <si>
    <t>#define CAN_CFG_MASK_REFERENCE_6_MB044      (CAN_RXMASK_NOUSE)</t>
  </si>
  <si>
    <t>#define CAN_CFG_MASK_REFERENCE_6_MB045      (CAN_RXMASK_NOUSE)</t>
  </si>
  <si>
    <t>#define CAN_CFG_MASK_REFERENCE_6_MB046      (CAN_RXMASK_NOUSE)</t>
  </si>
  <si>
    <t>#define CAN_CFG_MASK_REFERENCE_6_MB047      (CAN_RXMASK_NOUSE)</t>
  </si>
  <si>
    <t>#define CAN_CFG_MASK_REFERENCE_6_MB048      (CAN_RXMASK_NOUSE)</t>
  </si>
  <si>
    <t>#define CAN_CFG_MASK_REFERENCE_6_MB049      (CAN_RXMASK_NOUSE)</t>
  </si>
  <si>
    <t>#define CAN_CFG_MASK_REFERENCE_6_MB050      (CAN_RXMASK_NOUSE)</t>
  </si>
  <si>
    <t>#define CAN_CFG_MASK_REFERENCE_6_MB051      (CAN_RXMASK_NOUSE)</t>
  </si>
  <si>
    <t>#define CAN_CFG_MASK_REFERENCE_6_MB052      (CAN_RXMASK_NOUSE)</t>
  </si>
  <si>
    <t>#define CAN_CFG_MASK_REFERENCE_6_MB053      (CAN_RXMASK_NOUSE)</t>
  </si>
  <si>
    <t>#define CAN_CFG_MASK_REFERENCE_6_MB054      (CAN_RXMASK_NOUSE)</t>
  </si>
  <si>
    <t>#define CAN_CFG_MASK_REFERENCE_6_MB055      (CAN_RXMASK_NOUSE)</t>
  </si>
  <si>
    <t>#define CAN_CFG_MASK_REFERENCE_6_MB056      (CAN_RXMASK_NOUSE)</t>
  </si>
  <si>
    <t>#define CAN_CFG_MASK_REFERENCE_6_MB057      (CAN_RXMASK_NOUSE)</t>
  </si>
  <si>
    <t>#define CAN_CFG_MASK_REFERENCE_6_MB058      (CAN_RXMASK_NOUSE)</t>
  </si>
  <si>
    <t>#define CAN_CFG_MASK_REFERENCE_6_MB059      (CAN_RXMASK_NOUSE)</t>
  </si>
  <si>
    <t>#define CAN_CFG_MASK_REFERENCE_6_MB060      (CAN_RXMASK_NOUSE)</t>
  </si>
  <si>
    <t>#define CAN_CFG_MASK_REFERENCE_6_MB061      (CAN_RXMASK_NOUSE)</t>
  </si>
  <si>
    <t>#define CAN_CFG_MASK_REFERENCE_6_MB062      (CAN_RXMASK_NOUSE)</t>
  </si>
  <si>
    <t>#define CAN_CFG_MASK_REFERENCE_6_MB063      (CAN_RXMASK_NOUSE)</t>
  </si>
  <si>
    <t>#define CAN_CFG_MASK_REFERENCE_6_MB064      (CAN_RXMASK_NOUSE)</t>
  </si>
  <si>
    <t>#define CAN_CFG_MASK_REFERENCE_6_MB065      (CAN_RXMASK_NOUSE)</t>
  </si>
  <si>
    <t>#define CAN_CFG_MASK_REFERENCE_6_MB066      (CAN_RXMASK_NOUSE)</t>
  </si>
  <si>
    <t>#define CAN_CFG_MASK_REFERENCE_6_MB067      (CAN_RXMASK_NOUSE)</t>
  </si>
  <si>
    <t>#define CAN_CFG_MASK_REFERENCE_6_MB068      (CAN_RXMASK_NOUSE)</t>
  </si>
  <si>
    <t>#define CAN_CFG_MASK_REFERENCE_6_MB069      (CAN_RXMASK_NOUSE)</t>
  </si>
  <si>
    <t>#define CAN_CFG_MASK_REFERENCE_6_MB070      (CAN_RXMASK_NOUSE)</t>
  </si>
  <si>
    <t>#define CAN_CFG_MASK_REFERENCE_6_MB071      (CAN_RXMASK_NOUSE)</t>
  </si>
  <si>
    <t>#define CAN_CFG_MASK_REFERENCE_6_MB072      (CAN_RXMASK_NOUSE)</t>
  </si>
  <si>
    <t>#define CAN_CFG_MASK_REFERENCE_6_MB073      (CAN_RXMASK_NOUSE)</t>
  </si>
  <si>
    <t>#define CAN_CFG_MASK_REFERENCE_6_MB074      (CAN_RXMASK_NOUSE)</t>
  </si>
  <si>
    <t>#define CAN_CFG_MASK_REFERENCE_6_MB075      (CAN_RXMASK_NOUSE)</t>
  </si>
  <si>
    <t>#define CAN_CFG_MASK_REFERENCE_6_MB076      (CAN_RXMASK_NOUSE)</t>
  </si>
  <si>
    <t>#define CAN_CFG_MASK_REFERENCE_6_MB077      (CAN_RXMASK_NOUSE)</t>
  </si>
  <si>
    <t>#define CAN_CFG_MASK_REFERENCE_6_MB078      (CAN_RXMASK_NOUSE)</t>
  </si>
  <si>
    <t>#define CAN_CFG_MASK_REFERENCE_6_MB079      (CAN_RXMASK_NOUSE)</t>
  </si>
  <si>
    <t>#define CAN_CFG_MASK_REFERENCE_6_MB080      (CAN_RXMASK_NOUSE)</t>
  </si>
  <si>
    <t>#define CAN_CFG_MASK_REFERENCE_6_MB081      (CAN_RXMASK_NOUSE)</t>
  </si>
  <si>
    <t>#define CAN_CFG_MASK_REFERENCE_6_MB082      (CAN_RXMASK_NOUSE)</t>
  </si>
  <si>
    <t>#define CAN_CFG_MASK_REFERENCE_6_MB083      (CAN_RXMASK_NOUSE)</t>
  </si>
  <si>
    <t>#define CAN_CFG_MASK_REFERENCE_6_MB084      (CAN_RXMASK_NOUSE)</t>
  </si>
  <si>
    <t>#define CAN_CFG_MASK_REFERENCE_6_MB085      (CAN_RXMASK_NOUSE)</t>
  </si>
  <si>
    <t>#define CAN_CFG_MASK_REFERENCE_6_MB086      (CAN_RXMASK_NOUSE)</t>
  </si>
  <si>
    <t>#define CAN_CFG_MASK_REFERENCE_6_MB087      (CAN_RXMASK_NOUSE)</t>
  </si>
  <si>
    <t>#define CAN_CFG_MASK_REFERENCE_6_MB088      (CAN_RXMASK_NOUSE)</t>
  </si>
  <si>
    <t>#define CAN_CFG_MASK_REFERENCE_6_MB089      (CAN_RXMASK_NOUSE)</t>
  </si>
  <si>
    <t>#define CAN_CFG_MASK_REFERENCE_6_MB090      (CAN_RXMASK_NOUSE)</t>
  </si>
  <si>
    <t>#define CAN_CFG_MASK_REFERENCE_6_MB091      (CAN_RXMASK_NOUSE)</t>
  </si>
  <si>
    <t>#define CAN_CFG_MASK_REFERENCE_6_MB092      (CAN_RXMASK_NOUSE)</t>
  </si>
  <si>
    <t>#define CAN_CFG_MASK_REFERENCE_6_MB093      (CAN_RXMASK_NOUSE)</t>
  </si>
  <si>
    <t>#define CAN_CFG_MASK_REFERENCE_6_MB094      (CAN_RXMASK_NOUSE)</t>
  </si>
  <si>
    <t>#define CAN_CFG_MASK_REFERENCE_6_MB095      (CAN_RXMASK_NOUSE)</t>
  </si>
  <si>
    <t>#define CAN_CFG_MASK_REFERENCE_6_MB096      (CAN_RXMASK_NOUSE)</t>
  </si>
  <si>
    <t>#define CAN_CFG_MASK_REFERENCE_6_MB097      (CAN_RXMASK_NOUSE)</t>
  </si>
  <si>
    <t>#define CAN_CFG_MASK_REFERENCE_6_MB098      (CAN_RXMASK_NOUSE)</t>
  </si>
  <si>
    <t>#define CAN_CFG_MASK_REFERENCE_6_MB099      (CAN_RXMASK_NOUSE)</t>
  </si>
  <si>
    <t>#define CAN_CFG_MASK_REFERENCE_6_MB100      (CAN_RXMASK_NOUSE)</t>
  </si>
  <si>
    <t>#define CAN_CFG_MASK_REFERENCE_6_MB101      (CAN_RXMASK_NOUSE)</t>
  </si>
  <si>
    <t>#define CAN_CFG_MASK_REFERENCE_6_MB102      (CAN_RXMASK_NOUSE)</t>
  </si>
  <si>
    <t>#define CAN_CFG_MASK_REFERENCE_6_MB103      (CAN_RXMASK_NOUSE)</t>
  </si>
  <si>
    <t>#define CAN_CFG_MASK_REFERENCE_6_MB104      (CAN_RXMASK_NOUSE)</t>
  </si>
  <si>
    <t>#define CAN_CFG_MASK_REFERENCE_6_MB105      (CAN_RXMASK_NOUSE)</t>
  </si>
  <si>
    <t>#define CAN_CFG_MASK_REFERENCE_6_MB106      (CAN_RXMASK_NOUSE)</t>
  </si>
  <si>
    <t>#define CAN_CFG_MASK_REFERENCE_6_MB107      (CAN_RXMASK_NOUSE)</t>
  </si>
  <si>
    <t>#define CAN_CFG_MASK_REFERENCE_6_MB108      (CAN_RXMASK_NOUSE)</t>
  </si>
  <si>
    <t>#define CAN_CFG_MASK_REFERENCE_6_MB109      (CAN_RXMASK_NOUSE)</t>
  </si>
  <si>
    <t>#define CAN_CFG_MASK_REFERENCE_6_MB110      (CAN_RXMASK_NOUSE)</t>
  </si>
  <si>
    <t>#define CAN_CFG_MASK_REFERENCE_6_MB111      (CAN_RXMASK_NOUSE)</t>
  </si>
  <si>
    <t>#define CAN_CFG_MASK_REFERENCE_6_MB112      (CAN_RXMASK_NOUSE)</t>
  </si>
  <si>
    <t>#define CAN_CFG_MASK_REFERENCE_6_MB113      (CAN_RXMASK_NOUSE)</t>
  </si>
  <si>
    <t>#define CAN_CFG_MASK_REFERENCE_6_MB114      (CAN_RXMASK_NOUSE)</t>
  </si>
  <si>
    <t>#define CAN_CFG_MASK_REFERENCE_6_MB115      (CAN_RXMASK_NOUSE)</t>
  </si>
  <si>
    <t>#define CAN_CFG_MASK_REFERENCE_6_MB116      (CAN_RXMASK_NOUSE)</t>
  </si>
  <si>
    <t>#define CAN_CFG_MASK_REFERENCE_6_MB117      (CAN_RXMASK_NOUSE)</t>
  </si>
  <si>
    <t>#define CAN_CFG_MASK_REFERENCE_6_MB118      (CAN_RXMASK_NOUSE)</t>
  </si>
  <si>
    <t>#define CAN_CFG_MASK_REFERENCE_6_MB119      (CAN_RXMASK_NOUSE)</t>
  </si>
  <si>
    <t>#define CAN_CFG_MASK_REFERENCE_6_MB120      (CAN_RXMASK_NOUSE)</t>
  </si>
  <si>
    <t>#define CAN_CFG_MASK_REFERENCE_6_MB121      (CAN_RXMASK_NOUSE)</t>
  </si>
  <si>
    <t>#define CAN_CFG_MASK_REFERENCE_6_MB122      (CAN_RXMASK_NOUSE)</t>
  </si>
  <si>
    <t>#define CAN_CFG_MASK_REFERENCE_6_MB123      (CAN_RXMASK_NOUSE)</t>
  </si>
  <si>
    <t>#define CAN_CFG_MASK_REFERENCE_6_MB124      (CAN_RXMASK_NOUSE)</t>
  </si>
  <si>
    <t>#define CAN_CFG_MASK_REFERENCE_6_MB125      (CAN_RXMASK_NOUSE)</t>
  </si>
  <si>
    <t>#define CAN_CFG_MASK_REFERENCE_6_MB126      (CAN_RXMASK_NOUSE)</t>
  </si>
  <si>
    <t>#define CAN_CFG_MASK_REFERENCE_6_MB127      (CAN_RXMASK_NOUSE)</t>
  </si>
  <si>
    <t>#define CAN_CFG_MASK_REFERENCE_6_MB128      (CAN_RXMASK_NOUSE)</t>
  </si>
  <si>
    <t>#define CAN_CFG_MASK_REFERENCE_6_MB129      (CAN_RXMASK_NOUSE)</t>
  </si>
  <si>
    <t>#define CAN_CFG_MASK_REFERENCE_6_MB130      (CAN_RXMASK_NOUSE)</t>
  </si>
  <si>
    <t>#define CAN_CFG_MASK_REFERENCE_6_MB131      (CAN_RXMASK_NOUSE)</t>
  </si>
  <si>
    <t>#define CAN_CFG_MASK_REFERENCE_6_MB132      (CAN_RXMASK_NOUSE)</t>
  </si>
  <si>
    <t>#define CAN_CFG_MASK_REFERENCE_6_MB133      (CAN_RXMASK_NOUSE)</t>
  </si>
  <si>
    <t>#define CAN_CFG_MASK_REFERENCE_6_MB134      (CAN_RXMASK_NOUSE)</t>
  </si>
  <si>
    <t>#define CAN_CFG_MASK_REFERENCE_6_MB135      (CAN_RXMASK_NOUSE)</t>
  </si>
  <si>
    <t>#define CAN_CFG_MASK_REFERENCE_6_MB136      (CAN_RXMASK_NOUSE)</t>
  </si>
  <si>
    <t>#define CAN_CFG_MASK_REFERENCE_6_MB137      (CAN_RXMASK_NOUSE)</t>
  </si>
  <si>
    <t>#define CAN_CFG_MASK_REFERENCE_6_MB138      (CAN_RXMASK_NOUSE)</t>
  </si>
  <si>
    <t>#define CAN_CFG_MASK_REFERENCE_6_MB139      (CAN_RXMASK_NOUSE)</t>
  </si>
  <si>
    <t>#define CAN_CFG_MASK_REFERENCE_6_MB140      (CAN_RXMASK_NOUSE)</t>
  </si>
  <si>
    <t>#define CAN_CFG_MASK_REFERENCE_6_MB141      (CAN_RXMASK_NOUSE)</t>
  </si>
  <si>
    <t>#define CAN_CFG_MASK_REFERENCE_6_MB142      (CAN_RXMASK_NOUSE)</t>
  </si>
  <si>
    <t>#define CAN_CFG_MASK_REFERENCE_6_MB143      (CAN_RXMASK_NOUSE)</t>
  </si>
  <si>
    <t>#define CAN_CFG_MASK_REFERENCE_6_MB144      (CAN_RXMASK_NOUSE)</t>
  </si>
  <si>
    <t>#define CAN_CFG_MASK_REFERENCE_6_MB145      (CAN_RXMASK_NOUSE)</t>
  </si>
  <si>
    <t>#define CAN_CFG_MASK_REFERENCE_6_MB146      (CAN_RXMASK_NOUSE)</t>
  </si>
  <si>
    <t>#define CAN_CFG_MASK_REFERENCE_6_MB147      (CAN_RXMASK_NOUSE)</t>
  </si>
  <si>
    <t>#define CAN_CFG_MASK_REFERENCE_6_MB148      (CAN_RXMASK_NOUSE)</t>
  </si>
  <si>
    <t>#define CAN_CFG_MASK_REFERENCE_6_MB149      (CAN_RXMASK_NOUSE)</t>
  </si>
  <si>
    <t>#define CAN_CFG_MASK_REFERENCE_6_MB150      (CAN_RXMASK_NOUSE)</t>
  </si>
  <si>
    <t>#define CAN_CFG_MASK_REFERENCE_6_MB151      (CAN_RXMASK_NOUSE)</t>
  </si>
  <si>
    <t>#define CAN_CFG_MASK_REFERENCE_6_MB152      (CAN_RXMASK_NOUSE)</t>
  </si>
  <si>
    <t>#define CAN_CFG_MASK_REFERENCE_6_MB153      (CAN_RXMASK_NOUSE)</t>
  </si>
  <si>
    <t>#define CAN_CFG_MASK_REFERENCE_6_MB154      (CAN_RXMASK_NOUSE)</t>
  </si>
  <si>
    <t>#define CAN_CFG_MASK_REFERENCE_6_MB155      (CAN_RXMASK_NOUSE)</t>
  </si>
  <si>
    <t>#define CAN_CFG_MASK_REFERENCE_6_MB156      (CAN_RXMASK_NOUSE)</t>
  </si>
  <si>
    <t>#define CAN_CFG_MASK_REFERENCE_6_MB157      (CAN_RXMASK_NOUSE)</t>
  </si>
  <si>
    <t>#define CAN_CFG_MASK_REFERENCE_6_MB158      (CAN_RXMASK_NOUSE)</t>
  </si>
  <si>
    <t>#define CAN_CFG_MASK_REFERENCE_6_MB159      (CAN_RXMASK_NOUSE)</t>
  </si>
  <si>
    <t>#define CAN_CFG_MASK_REFERENCE_6_MB160      (CAN_RXMASK_NOUSE)</t>
  </si>
  <si>
    <t>#define CAN_CFG_MASK_REFERENCE_6_MB161      (CAN_RXMASK_NOUSE)</t>
  </si>
  <si>
    <t>#define CAN_CFG_MASK_REFERENCE_6_MB162      (CAN_RXMASK_NOUSE)</t>
  </si>
  <si>
    <t>#define CAN_CFG_MASK_REFERENCE_6_MB163      (CAN_RXMASK_NOUSE)</t>
  </si>
  <si>
    <t>#define CAN_CFG_MASK_REFERENCE_6_MB164      (CAN_RXMASK_NOUSE)</t>
  </si>
  <si>
    <t>#define CAN_CFG_MASK_REFERENCE_6_MB165      (CAN_RXMASK_NOUSE)</t>
  </si>
  <si>
    <t>#define CAN_CFG_MASK_REFERENCE_6_MB166      (CAN_RXMASK_NOUSE)</t>
  </si>
  <si>
    <t>#define CAN_CFG_MASK_REFERENCE_6_MB167      (CAN_RXMASK_NOUSE)</t>
  </si>
  <si>
    <t>#define CAN_CFG_MASK_REFERENCE_6_MB168      (CAN_RXMASK_NOUSE)</t>
  </si>
  <si>
    <t>#define CAN_CFG_MASK_REFERENCE_6_MB169      (CAN_RXMASK_NOUSE)</t>
  </si>
  <si>
    <t>#define CAN_CFG_MASK_REFERENCE_6_MB170      (CAN_RXMASK_NOUSE)</t>
  </si>
  <si>
    <t>#define CAN_CFG_MASK_REFERENCE_6_MB171      (CAN_RXMASK_NOUSE)</t>
  </si>
  <si>
    <t>#define CAN_CFG_MASK_REFERENCE_6_MB172      (CAN_RXMASK_NOUSE)</t>
  </si>
  <si>
    <t>#define CAN_CFG_MASK_REFERENCE_6_MB173      (CAN_RXMASK_NOUSE)</t>
  </si>
  <si>
    <t>#define CAN_CFG_MASK_REFERENCE_6_MB174      (CAN_RXMASK_NOUSE)</t>
  </si>
  <si>
    <t>#define CAN_CFG_MASK_REFERENCE_6_MB175      (CAN_RXMASK_NOUSE)</t>
  </si>
  <si>
    <t>#define CAN_CFG_MASK_REFERENCE_6_MB176      (CAN_RXMASK_NOUSE)</t>
  </si>
  <si>
    <t>#define CAN_CFG_MASK_REFERENCE_6_MB177      (CAN_RXMASK_NOUSE)</t>
  </si>
  <si>
    <t>#define CAN_CFG_MASK_REFERENCE_6_MB178      (CAN_RXMASK_NOUSE)</t>
  </si>
  <si>
    <t>#define CAN_CFG_MASK_REFERENCE_6_MB179      (CAN_RXMASK_NOUSE)</t>
  </si>
  <si>
    <t>#define CAN_CFG_MASK_REFERENCE_6_MB180      (CAN_RXMASK_NOUSE)</t>
  </si>
  <si>
    <t>#define CAN_CFG_MASK_REFERENCE_6_MB181      (CAN_RXMASK_NOUSE)</t>
  </si>
  <si>
    <t>#define CAN_CFG_MASK_REFERENCE_6_MB182      (CAN_RXMASK_NOUSE)</t>
  </si>
  <si>
    <t>#define CAN_CFG_MASK_REFERENCE_6_MB183      (CAN_RXMASK_NOUSE)</t>
  </si>
  <si>
    <t>#define CAN_CFG_MASK_REFERENCE_6_MB184      (CAN_RXMASK_NOUSE)</t>
  </si>
  <si>
    <t>#define CAN_CFG_MASK_REFERENCE_6_MB185      (CAN_RXMASK_NOUSE)</t>
  </si>
  <si>
    <t>#define CAN_CFG_MASK_REFERENCE_6_MB186      (CAN_RXMASK_NOUSE)</t>
  </si>
  <si>
    <t>#define CAN_CFG_MASK_REFERENCE_6_MB187      (CAN_RXMASK_NOUSE)</t>
  </si>
  <si>
    <t>#define CAN_CFG_MASK_REFERENCE_6_MB188      (CAN_RXMASK_NOUSE)</t>
  </si>
  <si>
    <t>#define CAN_CFG_MASK_REFERENCE_6_MB189      (CAN_RXMASK_NOUSE)</t>
  </si>
  <si>
    <t>#define CAN_CFG_MASK_REFERENCE_6_MB190      (CAN_RXMASK_NOUSE)</t>
  </si>
  <si>
    <t>#define CAN_CFG_MASK_REFERENCE_6_MB191      (CAN_RXMASK_NOUSE)</t>
  </si>
  <si>
    <t>/* CAN Controller 7 Filter Mask References */</t>
  </si>
  <si>
    <t>#define CAN_CFG_MASK_REFERENCE_7_MB000      (CAN_RXMASK_NOUSE)</t>
  </si>
  <si>
    <t>#define CAN_CFG_MASK_REFERENCE_7_MB001      (CAN_RXMASK_NOUSE)</t>
  </si>
  <si>
    <t>#define CAN_CFG_MASK_REFERENCE_7_MB002      (CAN_RXMASK_NOUSE)</t>
  </si>
  <si>
    <t>#define CAN_CFG_MASK_REFERENCE_7_MB003      (CAN_RXMASK_NOUSE)</t>
  </si>
  <si>
    <t>#define CAN_CFG_MASK_REFERENCE_7_MB004      (CAN_RXMASK_NOUSE)</t>
  </si>
  <si>
    <t>#define CAN_CFG_MASK_REFERENCE_7_MB005      (CAN_RXMASK_NOUSE)</t>
  </si>
  <si>
    <t>#define CAN_CFG_MASK_REFERENCE_7_MB006      (CAN_RXMASK_NOUSE)</t>
  </si>
  <si>
    <t>#define CAN_CFG_MASK_REFERENCE_7_MB007      (CAN_RXMASK_NOUSE)</t>
  </si>
  <si>
    <t>#define CAN_CFG_MASK_REFERENCE_7_MB008      (CAN_RXMASK_NOUSE)</t>
  </si>
  <si>
    <t>#define CAN_CFG_MASK_REFERENCE_7_MB009      (CAN_RXMASK_NOUSE)</t>
  </si>
  <si>
    <t>#define CAN_CFG_MASK_REFERENCE_7_MB010      (CAN_RXMASK_NOUSE)</t>
  </si>
  <si>
    <t>#define CAN_CFG_MASK_REFERENCE_7_MB011      (CAN_RXMASK_NOUSE)</t>
  </si>
  <si>
    <t>#define CAN_CFG_MASK_REFERENCE_7_MB012      (CAN_RXMASK_NOUSE)</t>
  </si>
  <si>
    <t>#define CAN_CFG_MASK_REFERENCE_7_MB013      (CAN_RXMASK_NOUSE)</t>
  </si>
  <si>
    <t>#define CAN_CFG_MASK_REFERENCE_7_MB014      (CAN_RXMASK_NOUSE)</t>
  </si>
  <si>
    <t>#define CAN_CFG_MASK_REFERENCE_7_MB015      (CAN_RXMASK_NOUSE)</t>
  </si>
  <si>
    <t>#define CAN_CFG_MASK_REFERENCE_7_MB016      (CAN_RXMASK_NOUSE)</t>
  </si>
  <si>
    <t>#define CAN_CFG_MASK_REFERENCE_7_MB017      (CAN_RXMASK_NOUSE)</t>
  </si>
  <si>
    <t>#define CAN_CFG_MASK_REFERENCE_7_MB018      (CAN_RXMASK_NOUSE)</t>
  </si>
  <si>
    <t>#define CAN_CFG_MASK_REFERENCE_7_MB019      (CAN_RXMASK_NOUSE)</t>
  </si>
  <si>
    <t>#define CAN_CFG_MASK_REFERENCE_7_MB020      (CAN_RXMASK_NOUSE)</t>
  </si>
  <si>
    <t>#define CAN_CFG_MASK_REFERENCE_7_MB021      (CAN_RXMASK_NOUSE)</t>
  </si>
  <si>
    <t>#define CAN_CFG_MASK_REFERENCE_7_MB022      (CAN_RXMASK_NOUSE)</t>
  </si>
  <si>
    <t>#define CAN_CFG_MASK_REFERENCE_7_MB023      (CAN_RXMASK_NOUSE)</t>
  </si>
  <si>
    <t>#define CAN_CFG_MASK_REFERENCE_7_MB024      (CAN_RXMASK_NOUSE)</t>
  </si>
  <si>
    <t>#define CAN_CFG_MASK_REFERENCE_7_MB025      (CAN_RXMASK_NOUSE)</t>
  </si>
  <si>
    <t>#define CAN_CFG_MASK_REFERENCE_7_MB026      (CAN_RXMASK_NOUSE)</t>
  </si>
  <si>
    <t>#define CAN_CFG_MASK_REFERENCE_7_MB027      (CAN_RXMASK_NOUSE)</t>
  </si>
  <si>
    <t>#define CAN_CFG_MASK_REFERENCE_7_MB028      (CAN_RXMASK_NOUSE)</t>
  </si>
  <si>
    <t>#define CAN_CFG_MASK_REFERENCE_7_MB029      (CAN_RXMASK_NOUSE)</t>
  </si>
  <si>
    <t>#define CAN_CFG_MASK_REFERENCE_7_MB030      (CAN_RXMASK_NOUSE)</t>
  </si>
  <si>
    <t>#define CAN_CFG_MASK_REFERENCE_7_MB031      (CAN_RXMASK_NOUSE)</t>
  </si>
  <si>
    <t>#define CAN_CFG_MASK_REFERENCE_7_MB032      (CAN_RXMASK_NOUSE)</t>
  </si>
  <si>
    <t>#define CAN_CFG_MASK_REFERENCE_7_MB033      (CAN_RXMASK_NOUSE)</t>
  </si>
  <si>
    <t>#define CAN_CFG_MASK_REFERENCE_7_MB034      (CAN_RXMASK_NOUSE)</t>
  </si>
  <si>
    <t>#define CAN_CFG_MASK_REFERENCE_7_MB035      (CAN_RXMASK_NOUSE)</t>
  </si>
  <si>
    <t>#define CAN_CFG_MASK_REFERENCE_7_MB036      (CAN_RXMASK_NOUSE)</t>
  </si>
  <si>
    <t>#define CAN_CFG_MASK_REFERENCE_7_MB037      (CAN_RXMASK_NOUSE)</t>
  </si>
  <si>
    <t>#define CAN_CFG_MASK_REFERENCE_7_MB038      (CAN_RXMASK_NOUSE)</t>
  </si>
  <si>
    <t>#define CAN_CFG_MASK_REFERENCE_7_MB039      (CAN_RXMASK_NOUSE)</t>
  </si>
  <si>
    <t>#define CAN_CFG_MASK_REFERENCE_7_MB040      (CAN_RXMASK_NOUSE)</t>
  </si>
  <si>
    <t>#define CAN_CFG_MASK_REFERENCE_7_MB041      (CAN_RXMASK_NOUSE)</t>
  </si>
  <si>
    <t>#define CAN_CFG_MASK_REFERENCE_7_MB042      (CAN_RXMASK_NOUSE)</t>
  </si>
  <si>
    <t>#define CAN_CFG_MASK_REFERENCE_7_MB043      (CAN_RXMASK_NOUSE)</t>
  </si>
  <si>
    <t>#define CAN_CFG_MASK_REFERENCE_7_MB044      (CAN_RXMASK_NOUSE)</t>
  </si>
  <si>
    <t>#define CAN_CFG_MASK_REFERENCE_7_MB045      (CAN_RXMASK_NOUSE)</t>
  </si>
  <si>
    <t>#define CAN_CFG_MASK_REFERENCE_7_MB046      (CAN_RXMASK_NOUSE)</t>
  </si>
  <si>
    <t>#define CAN_CFG_MASK_REFERENCE_7_MB047      (CAN_RXMASK_NOUSE)</t>
  </si>
  <si>
    <t>#define CAN_CFG_MASK_REFERENCE_7_MB048      (CAN_RXMASK_NOUSE)</t>
  </si>
  <si>
    <t>#define CAN_CFG_MASK_REFERENCE_7_MB049      (CAN_RXMASK_NOUSE)</t>
  </si>
  <si>
    <t>#define CAN_CFG_MASK_REFERENCE_7_MB050      (CAN_RXMASK_NOUSE)</t>
  </si>
  <si>
    <t>#define CAN_CFG_MASK_REFERENCE_7_MB051      (CAN_RXMASK_NOUSE)</t>
  </si>
  <si>
    <t>#define CAN_CFG_MASK_REFERENCE_7_MB052      (CAN_RXMASK_NOUSE)</t>
  </si>
  <si>
    <t>#define CAN_CFG_MASK_REFERENCE_7_MB053      (CAN_RXMASK_NOUSE)</t>
  </si>
  <si>
    <t>#define CAN_CFG_MASK_REFERENCE_7_MB054      (CAN_RXMASK_NOUSE)</t>
  </si>
  <si>
    <t>#define CAN_CFG_MASK_REFERENCE_7_MB055      (CAN_RXMASK_NOUSE)</t>
  </si>
  <si>
    <t>#define CAN_CFG_MASK_REFERENCE_7_MB056      (CAN_RXMASK_NOUSE)</t>
  </si>
  <si>
    <t>#define CAN_CFG_MASK_REFERENCE_7_MB057      (CAN_RXMASK_NOUSE)</t>
  </si>
  <si>
    <t>#define CAN_CFG_MASK_REFERENCE_7_MB058      (CAN_RXMASK_NOUSE)</t>
  </si>
  <si>
    <t>#define CAN_CFG_MASK_REFERENCE_7_MB059      (CAN_RXMASK_NOUSE)</t>
  </si>
  <si>
    <t>#define CAN_CFG_MASK_REFERENCE_7_MB060      (CAN_RXMASK_NOUSE)</t>
  </si>
  <si>
    <t>#define CAN_CFG_MASK_REFERENCE_7_MB061      (CAN_RXMASK_NOUSE)</t>
  </si>
  <si>
    <t>#define CAN_CFG_MASK_REFERENCE_7_MB062      (CAN_RXMASK_NOUSE)</t>
  </si>
  <si>
    <t>#define CAN_CFG_MASK_REFERENCE_7_MB063      (CAN_RXMASK_NOUSE)</t>
  </si>
  <si>
    <t>#define CAN_CFG_MASK_REFERENCE_7_MB064      (CAN_RXMASK_NOUSE)</t>
  </si>
  <si>
    <t>#define CAN_CFG_MASK_REFERENCE_7_MB065      (CAN_RXMASK_NOUSE)</t>
  </si>
  <si>
    <t>#define CAN_CFG_MASK_REFERENCE_7_MB066      (CAN_RXMASK_NOUSE)</t>
  </si>
  <si>
    <t>#define CAN_CFG_MASK_REFERENCE_7_MB067      (CAN_RXMASK_NOUSE)</t>
  </si>
  <si>
    <t>#define CAN_CFG_MASK_REFERENCE_7_MB068      (CAN_RXMASK_NOUSE)</t>
  </si>
  <si>
    <t>#define CAN_CFG_MASK_REFERENCE_7_MB069      (CAN_RXMASK_NOUSE)</t>
  </si>
  <si>
    <t>#define CAN_CFG_MASK_REFERENCE_7_MB070      (CAN_RXMASK_NOUSE)</t>
  </si>
  <si>
    <t>#define CAN_CFG_MASK_REFERENCE_7_MB071      (CAN_RXMASK_NOUSE)</t>
  </si>
  <si>
    <t>#define CAN_CFG_MASK_REFERENCE_7_MB072      (CAN_RXMASK_NOUSE)</t>
  </si>
  <si>
    <t>#define CAN_CFG_MASK_REFERENCE_7_MB073      (CAN_RXMASK_NOUSE)</t>
  </si>
  <si>
    <t>#define CAN_CFG_MASK_REFERENCE_7_MB074      (CAN_RXMASK_NOUSE)</t>
  </si>
  <si>
    <t>#define CAN_CFG_MASK_REFERENCE_7_MB075      (CAN_RXMASK_NOUSE)</t>
  </si>
  <si>
    <t>#define CAN_CFG_MASK_REFERENCE_7_MB076      (CAN_RXMASK_NOUSE)</t>
  </si>
  <si>
    <t>#define CAN_CFG_MASK_REFERENCE_7_MB077      (CAN_RXMASK_NOUSE)</t>
  </si>
  <si>
    <t>#define CAN_CFG_MASK_REFERENCE_7_MB078      (CAN_RXMASK_NOUSE)</t>
  </si>
  <si>
    <t>#define CAN_CFG_MASK_REFERENCE_7_MB079      (CAN_RXMASK_NOUSE)</t>
  </si>
  <si>
    <t>#define CAN_CFG_MASK_REFERENCE_7_MB080      (CAN_RXMASK_NOUSE)</t>
  </si>
  <si>
    <t>#define CAN_CFG_MASK_REFERENCE_7_MB081      (CAN_RXMASK_NOUSE)</t>
  </si>
  <si>
    <t>#define CAN_CFG_MASK_REFERENCE_7_MB082      (CAN_RXMASK_NOUSE)</t>
  </si>
  <si>
    <t>#define CAN_CFG_MASK_REFERENCE_7_MB083      (CAN_RXMASK_NOUSE)</t>
  </si>
  <si>
    <t>#define CAN_CFG_MASK_REFERENCE_7_MB084      (CAN_RXMASK_NOUSE)</t>
  </si>
  <si>
    <t>#define CAN_CFG_MASK_REFERENCE_7_MB085      (CAN_RXMASK_NOUSE)</t>
  </si>
  <si>
    <t>#define CAN_CFG_MASK_REFERENCE_7_MB086      (CAN_RXMASK_NOUSE)</t>
  </si>
  <si>
    <t>#define CAN_CFG_MASK_REFERENCE_7_MB088      (CAN_RXMASK_NOUSE)</t>
  </si>
  <si>
    <t>#define CAN_CFG_MASK_REFERENCE_7_MB089      (CAN_RXMASK_NOUSE)</t>
  </si>
  <si>
    <t>#define CAN_CFG_MASK_REFERENCE_7_MB090      (CAN_RXMASK_NOUSE)</t>
  </si>
  <si>
    <t>#define CAN_CFG_MASK_REFERENCE_7_MB091      (CAN_RXMASK_NOUSE)</t>
  </si>
  <si>
    <t>#define CAN_CFG_MASK_REFERENCE_7_MB092      (CAN_RXMASK_NOUSE)</t>
  </si>
  <si>
    <t>#define CAN_CFG_MASK_REFERENCE_7_MB093      (CAN_RXMASK_NOUSE)</t>
  </si>
  <si>
    <t>#define CAN_CFG_MASK_REFERENCE_7_MB094      (CAN_RXMASK_NOUSE)</t>
  </si>
  <si>
    <t>#define CAN_CFG_MASK_REFERENCE_7_MB095      (CAN_RXMASK_NOUSE)</t>
  </si>
  <si>
    <t>#define CAN_CFG_MASK_REFERENCE_7_MB096      (CAN_RXMASK_NOUSE)</t>
  </si>
  <si>
    <t>#define CAN_CFG_MASK_REFERENCE_7_MB097      (CAN_RXMASK_NOUSE)</t>
  </si>
  <si>
    <t>#define CAN_CFG_MASK_REFERENCE_7_MB098      (CAN_RXMASK_NOUSE)</t>
  </si>
  <si>
    <t>#define CAN_CFG_MASK_REFERENCE_7_MB099      (CAN_RXMASK_NOUSE)</t>
  </si>
  <si>
    <t>#define CAN_CFG_MASK_REFERENCE_7_MB100      (CAN_RXMASK_NOUSE)</t>
  </si>
  <si>
    <t>#define CAN_CFG_MASK_REFERENCE_7_MB101      (CAN_RXMASK_NOUSE)</t>
  </si>
  <si>
    <t>#define CAN_CFG_MASK_REFERENCE_7_MB102      (CAN_RXMASK_NOUSE)</t>
  </si>
  <si>
    <t>#define CAN_CFG_MASK_REFERENCE_7_MB103      (CAN_RXMASK_NOUSE)</t>
  </si>
  <si>
    <t>#define CAN_CFG_MASK_REFERENCE_7_MB104      (CAN_RXMASK_NOUSE)</t>
  </si>
  <si>
    <t>#define CAN_CFG_MASK_REFERENCE_7_MB105      (CAN_RXMASK_NOUSE)</t>
  </si>
  <si>
    <t>#define CAN_CFG_MASK_REFERENCE_7_MB106      (CAN_RXMASK_NOUSE)</t>
  </si>
  <si>
    <t>#define CAN_CFG_MASK_REFERENCE_7_MB107      (CAN_RXMASK_NOUSE)</t>
  </si>
  <si>
    <t>#define CAN_CFG_MASK_REFERENCE_7_MB108      (CAN_RXMASK_NOUSE)</t>
  </si>
  <si>
    <t>#define CAN_CFG_MASK_REFERENCE_7_MB109      (CAN_RXMASK_NOUSE)</t>
  </si>
  <si>
    <t>#define CAN_CFG_MASK_REFERENCE_7_MB110      (CAN_RXMASK_NOUSE)</t>
  </si>
  <si>
    <t>#define CAN_CFG_MASK_REFERENCE_7_MB111      (CAN_RXMASK_NOUSE)</t>
  </si>
  <si>
    <t>#define CAN_CFG_MASK_REFERENCE_7_MB112      (CAN_RXMASK_NOUSE)</t>
  </si>
  <si>
    <t>#define CAN_CFG_MASK_REFERENCE_7_MB113      (CAN_RXMASK_NOUSE)</t>
  </si>
  <si>
    <t>#define CAN_CFG_MASK_REFERENCE_7_MB114      (CAN_RXMASK_NOUSE)</t>
  </si>
  <si>
    <t>#define CAN_CFG_MASK_REFERENCE_7_MB115      (CAN_RXMASK_NOUSE)</t>
  </si>
  <si>
    <t>#define CAN_CFG_MASK_REFERENCE_7_MB116      (CAN_RXMASK_NOUSE)</t>
  </si>
  <si>
    <t>#define CAN_CFG_MASK_REFERENCE_7_MB117      (CAN_RXMASK_NOUSE)</t>
  </si>
  <si>
    <t>#define CAN_CFG_MASK_REFERENCE_7_MB118      (CAN_RXMASK_NOUSE)</t>
  </si>
  <si>
    <t>#define CAN_CFG_MASK_REFERENCE_7_MB119      (CAN_RXMASK_NOUSE)</t>
  </si>
  <si>
    <t>#define CAN_CFG_MASK_REFERENCE_7_MB120      (CAN_RXMASK_NOUSE)</t>
  </si>
  <si>
    <t>#define CAN_CFG_MASK_REFERENCE_7_MB121      (CAN_RXMASK_NOUSE)</t>
  </si>
  <si>
    <t>#define CAN_CFG_MASK_REFERENCE_7_MB122      (CAN_RXMASK_NOUSE)</t>
  </si>
  <si>
    <t>#define CAN_CFG_MASK_REFERENCE_7_MB123      (CAN_RXMASK_NOUSE)</t>
  </si>
  <si>
    <t>#define CAN_CFG_MASK_REFERENCE_7_MB124      (CAN_RXMASK_NOUSE)</t>
  </si>
  <si>
    <t>#define CAN_CFG_MASK_REFERENCE_7_MB125      (CAN_RXMASK_NOUSE)</t>
  </si>
  <si>
    <t>#define CAN_CFG_MASK_REFERENCE_7_MB126      (CAN_RXMASK_NOUSE)</t>
  </si>
  <si>
    <t>#define CAN_CFG_MASK_REFERENCE_7_MB127      (CAN_RXMASK_NOUSE)</t>
  </si>
  <si>
    <t>#define CAN_CFG_MASK_REFERENCE_7_MB128      (CAN_RXMASK_NOUSE)</t>
  </si>
  <si>
    <t>#define CAN_CFG_MASK_REFERENCE_7_MB129      (CAN_RXMASK_NOUSE)</t>
  </si>
  <si>
    <t>#define CAN_CFG_MASK_REFERENCE_7_MB130      (CAN_RXMASK_NOUSE)</t>
  </si>
  <si>
    <t>#define CAN_CFG_MASK_REFERENCE_7_MB131      (CAN_RXMASK_NOUSE)</t>
  </si>
  <si>
    <t>#define CAN_CFG_MASK_REFERENCE_7_MB132      (CAN_RXMASK_NOUSE)</t>
  </si>
  <si>
    <t>#define CAN_CFG_MASK_REFERENCE_7_MB133      (CAN_RXMASK_NOUSE)</t>
  </si>
  <si>
    <t>#define CAN_CFG_MASK_REFERENCE_7_MB134      (CAN_RXMASK_NOUSE)</t>
  </si>
  <si>
    <t>#define CAN_CFG_MASK_REFERENCE_7_MB135      (CAN_RXMASK_NOUSE)</t>
  </si>
  <si>
    <t>#define CAN_CFG_MASK_REFERENCE_7_MB136      (CAN_RXMASK_NOUSE)</t>
  </si>
  <si>
    <t>#define CAN_CFG_MASK_REFERENCE_7_MB137      (CAN_RXMASK_NOUSE)</t>
  </si>
  <si>
    <t>#define CAN_CFG_MASK_REFERENCE_7_MB138      (CAN_RXMASK_NOUSE)</t>
  </si>
  <si>
    <t>#define CAN_CFG_MASK_REFERENCE_7_MB139      (CAN_RXMASK_NOUSE)</t>
  </si>
  <si>
    <t>#define CAN_CFG_MASK_REFERENCE_7_MB140      (CAN_RXMASK_NOUSE)</t>
  </si>
  <si>
    <t>#define CAN_CFG_MASK_REFERENCE_7_MB141      (CAN_RXMASK_NOUSE)</t>
  </si>
  <si>
    <t>#define CAN_CFG_MASK_REFERENCE_7_MB142      (CAN_RXMASK_NOUSE)</t>
  </si>
  <si>
    <t>#define CAN_CFG_MASK_REFERENCE_7_MB143      (CAN_RXMASK_NOUSE)</t>
  </si>
  <si>
    <t>#define CAN_CFG_MASK_REFERENCE_7_MB144      (CAN_RXMASK_NOUSE)</t>
  </si>
  <si>
    <t>#define CAN_CFG_MASK_REFERENCE_7_MB145      (CAN_RXMASK_NOUSE)</t>
  </si>
  <si>
    <t>#define CAN_CFG_MASK_REFERENCE_7_MB146      (CAN_RXMASK_NOUSE)</t>
  </si>
  <si>
    <t>#define CAN_CFG_MASK_REFERENCE_7_MB147      (CAN_RXMASK_NOUSE)</t>
  </si>
  <si>
    <t>#define CAN_CFG_MASK_REFERENCE_7_MB148      (CAN_RXMASK_NOUSE)</t>
  </si>
  <si>
    <t>#define CAN_CFG_MASK_REFERENCE_7_MB149      (CAN_RXMASK_NOUSE)</t>
  </si>
  <si>
    <t>#define CAN_CFG_MASK_REFERENCE_7_MB150      (CAN_RXMASK_NOUSE)</t>
  </si>
  <si>
    <t>#define CAN_CFG_MASK_REFERENCE_7_MB151      (CAN_RXMASK_NOUSE)</t>
  </si>
  <si>
    <t>#define CAN_CFG_MASK_REFERENCE_7_MB152      (CAN_RXMASK_NOUSE)</t>
  </si>
  <si>
    <t>#define CAN_CFG_MASK_REFERENCE_7_MB153      (CAN_RXMASK_NOUSE)</t>
  </si>
  <si>
    <t>#define CAN_CFG_MASK_REFERENCE_7_MB154      (CAN_RXMASK_NOUSE)</t>
  </si>
  <si>
    <t>#define CAN_CFG_MASK_REFERENCE_7_MB155      (CAN_RXMASK_NOUSE)</t>
  </si>
  <si>
    <t>#define CAN_CFG_MASK_REFERENCE_7_MB156      (CAN_RXMASK_NOUSE)</t>
  </si>
  <si>
    <t>#define CAN_CFG_MASK_REFERENCE_7_MB157      (CAN_RXMASK_NOUSE)</t>
  </si>
  <si>
    <t>#define CAN_CFG_MASK_REFERENCE_7_MB158      (CAN_RXMASK_NOUSE)</t>
  </si>
  <si>
    <t>#define CAN_CFG_MASK_REFERENCE_7_MB159      (CAN_RXMASK_NOUSE)</t>
  </si>
  <si>
    <t>#define CAN_CFG_MASK_REFERENCE_7_MB160      (CAN_RXMASK_NOUSE)</t>
  </si>
  <si>
    <t>#define CAN_CFG_MASK_REFERENCE_7_MB161      (CAN_RXMASK_NOUSE)</t>
  </si>
  <si>
    <t>#define CAN_CFG_MASK_REFERENCE_7_MB162      (CAN_RXMASK_NOUSE)</t>
  </si>
  <si>
    <t>#define CAN_CFG_MASK_REFERENCE_7_MB163      (CAN_RXMASK_NOUSE)</t>
  </si>
  <si>
    <t>#define CAN_CFG_MASK_REFERENCE_7_MB164      (CAN_RXMASK_NOUSE)</t>
  </si>
  <si>
    <t>#define CAN_CFG_MASK_REFERENCE_7_MB165      (CAN_RXMASK_NOUSE)</t>
  </si>
  <si>
    <t>#define CAN_CFG_MASK_REFERENCE_7_MB166      (CAN_RXMASK_NOUSE)</t>
  </si>
  <si>
    <t>#define CAN_CFG_MASK_REFERENCE_7_MB167      (CAN_RXMASK_NOUSE)</t>
  </si>
  <si>
    <t>#define CAN_CFG_MASK_REFERENCE_7_MB168      (CAN_RXMASK_NOUSE)</t>
  </si>
  <si>
    <t>#define CAN_CFG_MASK_REFERENCE_7_MB169      (CAN_RXMASK_NOUSE)</t>
  </si>
  <si>
    <t>#define CAN_CFG_MASK_REFERENCE_7_MB170      (CAN_RXMASK_NOUSE)</t>
  </si>
  <si>
    <t>#define CAN_CFG_MASK_REFERENCE_7_MB171      (CAN_RXMASK_NOUSE)</t>
  </si>
  <si>
    <t>#define CAN_CFG_MASK_REFERENCE_7_MB172      (CAN_RXMASK_NOUSE)</t>
  </si>
  <si>
    <t>#define CAN_CFG_MASK_REFERENCE_7_MB173      (CAN_RXMASK_NOUSE)</t>
  </si>
  <si>
    <t>#define CAN_CFG_MASK_REFERENCE_7_MB174      (CAN_RXMASK_NOUSE)</t>
  </si>
  <si>
    <t>#define CAN_CFG_MASK_REFERENCE_7_MB175      (CAN_RXMASK_NOUSE)</t>
  </si>
  <si>
    <t>#define CAN_CFG_MASK_REFERENCE_7_MB176      (CAN_RXMASK_NOUSE)</t>
  </si>
  <si>
    <t>#define CAN_CFG_MASK_REFERENCE_7_MB177      (CAN_RXMASK_NOUSE)</t>
  </si>
  <si>
    <t>#define CAN_CFG_MASK_REFERENCE_7_MB178      (CAN_RXMASK_NOUSE)</t>
  </si>
  <si>
    <t>#define CAN_CFG_MASK_REFERENCE_7_MB179      (CAN_RXMASK_NOUSE)</t>
  </si>
  <si>
    <t>#define CAN_CFG_MASK_REFERENCE_7_MB180      (CAN_RXMASK_NOUSE)</t>
  </si>
  <si>
    <t>#define CAN_CFG_MASK_REFERENCE_7_MB181      (CAN_RXMASK_NOUSE)</t>
  </si>
  <si>
    <t>#define CAN_CFG_MASK_REFERENCE_7_MB182      (CAN_RXMASK_NOUSE)</t>
  </si>
  <si>
    <t>#define CAN_CFG_MASK_REFERENCE_7_MB183      (CAN_RXMASK_NOUSE)</t>
  </si>
  <si>
    <t>#define CAN_CFG_MASK_REFERENCE_7_MB184      (CAN_RXMASK_NOUSE)</t>
  </si>
  <si>
    <t>#define CAN_CFG_MASK_REFERENCE_7_MB185      (CAN_RXMASK_NOUSE)</t>
  </si>
  <si>
    <t>#define CAN_CFG_MASK_REFERENCE_7_MB186      (CAN_RXMASK_NOUSE)</t>
  </si>
  <si>
    <t>#define CAN_CFG_MASK_REFERENCE_7_MB187      (CAN_RXMASK_NOUSE)</t>
  </si>
  <si>
    <t>#define CAN_CFG_MASK_REFERENCE_7_MB188      (CAN_RXMASK_NOUSE)</t>
  </si>
  <si>
    <t>#define CAN_CFG_MASK_REFERENCE_7_MB189      (CAN_RXMASK_NOUSE)</t>
  </si>
  <si>
    <t>#define CAN_CFG_MASK_REFERENCE_7_MB190      (CAN_RXMASK_NOUSE)</t>
  </si>
  <si>
    <t>#define CAN_CFG_MASK_REFERENCE_7_MB191      (CAN_RXMASK_NOUSE)</t>
  </si>
  <si>
    <t>/* Types                                                                    */</t>
  </si>
  <si>
    <t>/* Function Prototypes                                                      */</t>
  </si>
  <si>
    <t>/* Data                                                                     */</t>
  </si>
  <si>
    <t>/* Constants                                                                */</t>
  </si>
  <si>
    <t>#endif  /* CAN_RSCF4_CFG_H */</t>
  </si>
  <si>
    <t>/* History                                                                  */</t>
  </si>
  <si>
    <t>/*  Version        :Date                                                    */</t>
  </si>
  <si>
    <t>/*  v2-2-0         :2020/07/07                                              */</t>
  </si>
  <si>
    <t>/*  v3-0-0         :2025/02/13                                              */</t>
  </si>
  <si>
    <t>/* AUBIST Configurator Version                                              */</t>
  </si>
  <si>
    <t>/*  Framework          :v2-1-0                                              */</t>
  </si>
  <si>
    <t>/*  BSW plug-in        :v3-0-0                                              */</t>
  </si>
  <si>
    <t>/**** End of File ***********************************************************/</t>
  </si>
  <si>
    <t>/* can_rscf4c_cfg_h_m10700_v3-0-0                                           */</t>
  </si>
  <si>
    <t>/* Object Name  | CAN/RSCF4C/CFG/HEADER                                     */</t>
  </si>
  <si>
    <t>#ifndef CAN_RSCF4C_CFG_H</t>
  </si>
  <si>
    <t>#define CAN_RSCF4C_CFG_H</t>
  </si>
  <si>
    <t>#define CAN_CFG_REG_BASEADDR                (0xFFD00000UL)</t>
  </si>
  <si>
    <t>#define CAN_CFG_FILTER_MASK_NUM             (0U)</t>
  </si>
  <si>
    <t>#define CAN_CFG_FILTER_MASK_VALUE_0         (0x00000000UL)</t>
  </si>
  <si>
    <t>#define CAN_CFG_FILTER_MASK_VALUE_1         (0x00000000UL)</t>
  </si>
  <si>
    <t>#define CAN_CFG_FILTER_MASK_VALUE_2         (0x00000000UL)</t>
  </si>
  <si>
    <t>#define CAN_CFG_FILTER_MASK_VALUE_3         (0x00000000UL)</t>
  </si>
  <si>
    <t>#define CAN_CFG_FILTER_MASK_VALUE_4         (0x00000000UL)</t>
  </si>
  <si>
    <t>#define CAN_CFG_FILTER_MASK_VALUE_5         (0x00000000UL)</t>
  </si>
  <si>
    <t>#define CAN_CFG_FILTER_MASK_VALUE_6         (0x00000000UL)</t>
  </si>
  <si>
    <t>#define CAN_CFG_FILTER_MASK_VALUE_7         (0x00000000UL)</t>
  </si>
  <si>
    <t>#define CAN_CFG_FILTER_MASK_VALUE_8         (0x00000000UL)</t>
  </si>
  <si>
    <t>#define CAN_CFG_FILTER_MASK_VALUE_9         (0x00000000UL)</t>
  </si>
  <si>
    <t>#define CAN_CFG_FILTER_MASK_VALUE_10        (0x00000000UL)</t>
  </si>
  <si>
    <t>#define CAN_CFG_FILTER_MASK_VALUE_11        (0x00000000UL)</t>
  </si>
  <si>
    <t>#define CAN_CFG_FILTER_MASK_VALUE_12        (0x00000000UL)</t>
  </si>
  <si>
    <t>#define CAN_CFG_FILTER_MASK_VALUE_13        (0x00000000UL)</t>
  </si>
  <si>
    <t>#define CAN_CFG_FILTER_MASK_VALUE_14        (0x00000000UL)</t>
  </si>
  <si>
    <t>#define CAN_CFG_FILTER_MASK_VALUE_15        (0x00000000UL)</t>
  </si>
  <si>
    <t>#define CAN_CFG_FILTER_MASK_VALUE_16        (0x00000000UL)</t>
  </si>
  <si>
    <t>#define CAN_CFG_FILTER_MASK_VALUE_17        (0x00000000UL)</t>
  </si>
  <si>
    <t>#define CAN_CFG_FILTER_MASK_VALUE_18        (0x00000000UL)</t>
  </si>
  <si>
    <t>#define CAN_CFG_FILTER_MASK_VALUE_19        (0x00000000UL)</t>
  </si>
  <si>
    <t>#define CAN_CFG_FILTER_MASK_VALUE_20        (0x00000000UL)</t>
  </si>
  <si>
    <t>#define CAN_CFG_FILTER_MASK_VALUE_21        (0x00000000UL)</t>
  </si>
  <si>
    <t>#define CAN_CFG_FILTER_MASK_VALUE_22        (0x00000000UL)</t>
  </si>
  <si>
    <t>#define CAN_CFG_FILTER_MASK_VALUE_23        (0x00000000UL)</t>
  </si>
  <si>
    <t>#define CAN_CFG_FILTER_MASK_VALUE_24        (0x00000000UL)</t>
  </si>
  <si>
    <t>#define CAN_CFG_FILTER_MASK_VALUE_25        (0x00000000UL)</t>
  </si>
  <si>
    <t>#define CAN_CFG_FILTER_MASK_VALUE_26        (0x00000000UL)</t>
  </si>
  <si>
    <t>#define CAN_CFG_FILTER_MASK_VALUE_27        (0x00000000UL)</t>
  </si>
  <si>
    <t>#define CAN_CFG_FILTER_MASK_VALUE_28        (0x00000000UL)</t>
  </si>
  <si>
    <t>#define CAN_CFG_FILTER_MASK_VALUE_29        (0x00000000UL)</t>
  </si>
  <si>
    <t>#define CAN_CFG_FILTER_MASK_VALUE_30        (0x00000000UL)</t>
  </si>
  <si>
    <t>#define CAN_CFG_FILTER_MASK_VALUE_31        (0x00000000UL)</t>
  </si>
  <si>
    <t>#define CAN_CFG_FILTER_MASK_VALUE_32        (0x00000000UL)</t>
  </si>
  <si>
    <t>#define CAN_CFG_FILTER_MASK_VALUE_33        (0x00000000UL)</t>
  </si>
  <si>
    <t>#define CAN_CFG_FILTER_MASK_VALUE_34        (0x00000000UL)</t>
  </si>
  <si>
    <t>#define CAN_CFG_CONTROLLER_CAN_5            (CAN_NOUSE)</t>
  </si>
  <si>
    <t>#define CAN_CFG_CONTROLLER_CAN_7            (CAN_NOUSE)</t>
  </si>
  <si>
    <t>#define CAN_CFG_OPEMODE_3                   (CAN_OPEMODE_CAN)</t>
  </si>
  <si>
    <t>#define CAN_CFG_OPEMODE_5                   (CAN_OPEMODE_CAN)</t>
  </si>
  <si>
    <t>#define CAN_CFG_OPEMODE_7                   (CAN_OPEMODE_CAN)</t>
  </si>
  <si>
    <t>#define CAN_CFG_DBAUDRATE_SWT_3             (CAN_NOUSE)</t>
  </si>
  <si>
    <t>#define CAN_CFG_DBAUDRATE_SWT_5             (CAN_NOUSE)</t>
  </si>
  <si>
    <t>#define CAN_CFG_DBAUDRATE_SWT_7             (CAN_NOUSE)</t>
  </si>
  <si>
    <t>#define CAN_CFG_CONTROLLER_BAUDRATE_3       (CAN_500KBPS_8M_PTN1)</t>
  </si>
  <si>
    <t>#define CAN_CFG_CONTROLLER_BAUDRATE_5       (CAN_250KBPS_4M_PTN1)</t>
  </si>
  <si>
    <t>#define CAN_CFG_CONTROLLER_BAUDRATE_7       (CAN_250KBPS_4M_PTN1)</t>
  </si>
  <si>
    <t>#define CAN_CFG_CONTROLLER_DBAUDRATE_3      (CAN_DB_2MBPS_20M_PTN1)</t>
  </si>
  <si>
    <t>#define CAN_CFG_CONTROLLER_DBAUDRATE_5      (CAN_DB_2MBPS_20M_PTN1)</t>
  </si>
  <si>
    <t>#define CAN_CFG_CONTROLLER_DBAUDRATE_7      (CAN_DB_2MBPS_20M_PTN1)</t>
  </si>
  <si>
    <t>#define CAN_CFG_USER_DBAUDRATE_7            (0x00000000UL)</t>
  </si>
  <si>
    <t>#define CAN_CFG_TX_PROCESSING_5             (CAN_POLLING)</t>
  </si>
  <si>
    <t>#define CAN_CFG_TX_PROCESSING_7             (CAN_POLLING)</t>
  </si>
  <si>
    <t>#define CAN_CFG_RX_PROCESSING_5             (CAN_POLLING)</t>
  </si>
  <si>
    <t>#define CAN_CFG_RX_PROCESSING_7             (CAN_POLLING)</t>
  </si>
  <si>
    <t>#define CAN_CFG_HTHNUM_5                    (0U)</t>
  </si>
  <si>
    <t>#define CAN_CFG_MB_TXOFFSET_5               (0U)</t>
  </si>
  <si>
    <t>#define CAN_CFG_USERTXMBOXNUM_5             (0U)</t>
  </si>
  <si>
    <t>#define CAN_CFG_USERTXMBOXNUM_7             (0U)</t>
  </si>
  <si>
    <t>#define CAN_CFG_HRHNUM_5                    (0U)</t>
  </si>
  <si>
    <t>#define CAN_CFG_HRHNUM_7                    (0U)</t>
  </si>
  <si>
    <t>#define CAN_CFG_MB_RXOFFSET_5               (0U)</t>
  </si>
  <si>
    <t>#define CAN_CFG_MB_RXOFFSET_7               (0U)</t>
  </si>
  <si>
    <t>#define CAN_CFG_MBOXSET_5_MB000             (CAN_MB_NOUSE)</t>
  </si>
  <si>
    <t>#define CAN_CFG_MBOXSET_5_MB001             (CAN_MB_NOUSE)</t>
  </si>
  <si>
    <t>#define CAN_CFG_MBOXSET_5_MB002             (CAN_MB_NOUSE)</t>
  </si>
  <si>
    <t>#define CAN_CFG_MBOXSET_5_MB003             (CAN_MB_NOUSE)</t>
  </si>
  <si>
    <t>#define CAN_CFG_MBOXSET_5_MB004             (CAN_MB_NOUSE)</t>
  </si>
  <si>
    <t>#define CAN_CFG_MBOXSET_5_MB005             (CAN_MB_NOUSE)</t>
  </si>
  <si>
    <t>#define CAN_CFG_MBOXSET_5_MB006             (CAN_MB_NOUSE)</t>
  </si>
  <si>
    <t>#define CAN_CFG_MBOXSET_5_MB007             (CAN_MB_NOUSE)</t>
  </si>
  <si>
    <t>#define CAN_CFG_MBOXSET_5_MB008             (CAN_MB_NOUSE)</t>
  </si>
  <si>
    <t>#define CAN_CFG_MBOXSET_5_MB009             (CAN_MB_NOUSE)</t>
  </si>
  <si>
    <t>#define CAN_CFG_MBOXSET_5_MB010             (CAN_MB_NOUSE)</t>
  </si>
  <si>
    <t>#define CAN_CFG_MBOXSET_5_MB011             (CAN_MB_NOUSE)</t>
  </si>
  <si>
    <t>#define CAN_CFG_MBOXSET_5_MB012             (CAN_MB_NOUSE)</t>
  </si>
  <si>
    <t>#define CAN_CFG_MBOXSET_5_MB013             (CAN_MB_NOUSE)</t>
  </si>
  <si>
    <t>#define CAN_CFG_MBOXSET_5_MB014             (CAN_MB_NOUSE)</t>
  </si>
  <si>
    <t>#define CAN_CFG_MBOXSET_5_MB015             (CAN_MB_NOUSE)</t>
  </si>
  <si>
    <t>#define CAN_CFG_MBOXSET_5_MB016             (CAN_MB_NOUSE)</t>
  </si>
  <si>
    <t>#define CAN_CFG_MBOXSET_5_MB017             (CAN_MB_NOUSE)</t>
  </si>
  <si>
    <t>#define CAN_CFG_MBOXSET_5_MB018             (CAN_MB_NOUSE)</t>
  </si>
  <si>
    <t>#define CAN_CFG_MBOXSET_5_MB019             (CAN_MB_NOUSE)</t>
  </si>
  <si>
    <t>#define CAN_CFG_MBOXSET_5_MB020             (CAN_MB_NOUSE)</t>
  </si>
  <si>
    <t>#define CAN_CFG_MBOXSET_5_MB021             (CAN_MB_NOUSE)</t>
  </si>
  <si>
    <t>#define CAN_CFG_MBOXSET_5_MB022             (CAN_MB_NOUSE)</t>
  </si>
  <si>
    <t>#define CAN_CFG_MBOXSET_5_MB023             (CAN_MB_NOUSE)</t>
  </si>
  <si>
    <t>#define CAN_CFG_MBOXSET_5_MB024             (CAN_MB_NOUSE)</t>
  </si>
  <si>
    <t>#define CAN_CFG_MBOXSET_5_MB025             (CAN_MB_NOUSE)</t>
  </si>
  <si>
    <t>#define CAN_CFG_MBOXSET_5_MB026             (CAN_MB_NOUSE)</t>
  </si>
  <si>
    <t>#define CAN_CFG_MBOXSET_5_MB027             (CAN_MB_NOUSE)</t>
  </si>
  <si>
    <t>#define CAN_CFG_MBOXSET_5_MB028             (CAN_MB_NOUSE)</t>
  </si>
  <si>
    <t>#define CAN_CFG_MBOXSET_5_MB029             (CAN_MB_NOUSE)</t>
  </si>
  <si>
    <t>#define CAN_CFG_MBOXSET_5_MB030             (CAN_MB_NOUSE)</t>
  </si>
  <si>
    <t>#define CAN_CFG_MBOXSET_5_MB031             (CAN_MB_NOUSE)</t>
  </si>
  <si>
    <t>#define CAN_CFG_MBOXSET_5_MB032             (CAN_MB_NOUSE)</t>
  </si>
  <si>
    <t>#define CAN_CFG_MBOXSET_5_MB033             (CAN_MB_NOUSE)</t>
  </si>
  <si>
    <t>#define CAN_CFG_MBOXSET_5_MB034             (CAN_MB_NOUSE)</t>
  </si>
  <si>
    <t>#define CAN_CFG_MBOXSET_5_MB035             (CAN_MB_NOUSE)</t>
  </si>
  <si>
    <t>#define CAN_CFG_MBOXSET_5_MB036             (CAN_MB_NOUSE)</t>
  </si>
  <si>
    <t>#define CAN_CFG_MBOXSET_5_MB037             (CAN_MB_NOUSE)</t>
  </si>
  <si>
    <t>#define CAN_CFG_MBOXSET_5_MB038             (CAN_MB_NOUSE)</t>
  </si>
  <si>
    <t>#define CAN_CFG_MBOXSET_5_MB039             (CAN_MB_NOUSE)</t>
  </si>
  <si>
    <t>#define CAN_CFG_MBOXSET_5_MB040             (CAN_MB_NOUSE)</t>
  </si>
  <si>
    <t>#define CAN_CFG_MBOXSET_5_MB041             (CAN_MB_NOUSE)</t>
  </si>
  <si>
    <t>#define CAN_CFG_MBOXSET_5_MB042             (CAN_MB_NOUSE)</t>
  </si>
  <si>
    <t>#define CAN_CFG_MBOXSET_5_MB043             (CAN_MB_NOUSE)</t>
  </si>
  <si>
    <t>#define CAN_CFG_MBOXSET_5_MB044             (CAN_MB_NOUSE)</t>
  </si>
  <si>
    <t>#define CAN_CFG_MBOXSET_5_MB045             (CAN_MB_NOUSE)</t>
  </si>
  <si>
    <t>#define CAN_CFG_MBOXSET_5_MB046             (CAN_MB_NOUSE)</t>
  </si>
  <si>
    <t>#define CAN_CFG_MBOXSET_5_MB047             (CAN_MB_NOUSE)</t>
  </si>
  <si>
    <t>#define CAN_CFG_MBOXSET_5_MB048             (CAN_MB_NOUSE)</t>
  </si>
  <si>
    <t>#define CAN_CFG_MBOXSET_5_MB049             (CAN_MB_NOUSE)</t>
  </si>
  <si>
    <t>#define CAN_CFG_MBOXSET_5_MB050             (CAN_MB_NOUSE)</t>
  </si>
  <si>
    <t>#define CAN_CFG_MBOXSET_5_MB051             (CAN_MB_NOUSE)</t>
  </si>
  <si>
    <t>#define CAN_CFG_MBOXSET_5_MB052             (CAN_MB_NOUSE)</t>
  </si>
  <si>
    <t>#define CAN_CFG_MBOXSET_5_MB053             (CAN_MB_NOUSE)</t>
  </si>
  <si>
    <t>#define CAN_CFG_MBOXSET_5_MB054             (CAN_MB_NOUSE)</t>
  </si>
  <si>
    <t>#define CAN_CFG_MBOXSET_5_MB055             (CAN_MB_NOUSE)</t>
  </si>
  <si>
    <t>#define CAN_CFG_MBOXSET_5_MB056             (CAN_MB_NOUSE)</t>
  </si>
  <si>
    <t>#define CAN_CFG_MBOXSET_5_MB057             (CAN_MB_NOUSE)</t>
  </si>
  <si>
    <t>#define CAN_CFG_MBOXSET_5_MB058             (CAN_MB_NOUSE)</t>
  </si>
  <si>
    <t>#define CAN_CFG_MBOXSET_5_MB059             (CAN_MB_NOUSE)</t>
  </si>
  <si>
    <t>#define CAN_CFG_MBOXSET_5_MB060             (CAN_MB_NOUSE)</t>
  </si>
  <si>
    <t>#define CAN_CFG_MBOXSET_5_MB061             (CAN_MB_NOUSE)</t>
  </si>
  <si>
    <t>#define CAN_CFG_MBOXSET_5_MB062             (CAN_MB_NOUSE)</t>
  </si>
  <si>
    <t>#define CAN_CFG_MBOXSET_5_MB063             (CAN_MB_NOUSE)</t>
  </si>
  <si>
    <t>#define CAN_CFG_MBOXSET_5_MB064             (CAN_MB_NOUSE)</t>
  </si>
  <si>
    <t>#define CAN_CFG_MBOXSET_5_MB065             (CAN_MB_NOUSE)</t>
  </si>
  <si>
    <t>#define CAN_CFG_MBOXSET_5_MB066             (CAN_MB_NOUSE)</t>
  </si>
  <si>
    <t>#define CAN_CFG_MBOXSET_5_MB067             (CAN_MB_NOUSE)</t>
  </si>
  <si>
    <t>#define CAN_CFG_MBOXSET_5_MB068             (CAN_MB_NOUSE)</t>
  </si>
  <si>
    <t>#define CAN_CFG_MBOXSET_5_MB069             (CAN_MB_NOUSE)</t>
  </si>
  <si>
    <t>#define CAN_CFG_MBOXSET_5_MB070             (CAN_MB_NOUSE)</t>
  </si>
  <si>
    <t>#define CAN_CFG_MBOXSET_5_MB071             (CAN_MB_NOUSE)</t>
  </si>
  <si>
    <t>#define CAN_CFG_MBOXSET_5_MB072             (CAN_MB_NOUSE)</t>
  </si>
  <si>
    <t>#define CAN_CFG_MBOXSET_5_MB073             (CAN_MB_NOUSE)</t>
  </si>
  <si>
    <t>#define CAN_CFG_MBOXSET_5_MB074             (CAN_MB_NOUSE)</t>
  </si>
  <si>
    <t>#define CAN_CFG_MBOXSET_5_MB075             (CAN_MB_NOUSE)</t>
  </si>
  <si>
    <t>#define CAN_CFG_MBOXSET_5_MB076             (CAN_MB_NOUSE)</t>
  </si>
  <si>
    <t>#define CAN_CFG_MBOXSET_5_MB077             (CAN_MB_NOUSE)</t>
  </si>
  <si>
    <t>#define CAN_CFG_MBOXSET_5_MB078             (CAN_MB_NOUSE)</t>
  </si>
  <si>
    <t>#define CAN_CFG_MBOXSET_5_MB079             (CAN_MB_NOUSE)</t>
  </si>
  <si>
    <t>#define CAN_CFG_MBOXSET_5_MB080             (CAN_MB_NOUSE)</t>
  </si>
  <si>
    <t>#define CAN_CFG_MBOXSET_5_MB081             (CAN_MB_NOUSE)</t>
  </si>
  <si>
    <t>#define CAN_CFG_MBOXSET_5_MB082             (CAN_MB_NOUSE)</t>
  </si>
  <si>
    <t>#define CAN_CFG_MBOXSET_5_MB083             (CAN_MB_NOUSE)</t>
  </si>
  <si>
    <t>#define CAN_CFG_MBOXSET_5_MB084             (CAN_MB_NOUSE)</t>
  </si>
  <si>
    <t>#define CAN_CFG_MBOXSET_5_MB085             (CAN_MB_NOUSE)</t>
  </si>
  <si>
    <t>#define CAN_CFG_MBOXSET_5_MB086             (CAN_MB_NOUSE)</t>
  </si>
  <si>
    <t>#define CAN_CFG_MBOXSET_5_MB087             (CAN_MB_NOUSE)</t>
  </si>
  <si>
    <t>#define CAN_CFG_MBOXSET_5_MB088             (CAN_MB_NOUSE)</t>
  </si>
  <si>
    <t>#define CAN_CFG_MBOXSET_5_MB089             (CAN_MB_NOUSE)</t>
  </si>
  <si>
    <t>#define CAN_CFG_MBOXSET_5_MB090             (CAN_MB_NOUSE)</t>
  </si>
  <si>
    <t>#define CAN_CFG_MBOXSET_5_MB091             (CAN_MB_NOUSE)</t>
  </si>
  <si>
    <t>#define CAN_CFG_MBOXSET_5_MB092             (CAN_MB_NOUSE)</t>
  </si>
  <si>
    <t>#define CAN_CFG_MBOXSET_5_MB093             (CAN_MB_NOUSE)</t>
  </si>
  <si>
    <t>#define CAN_CFG_MBOXSET_5_MB094             (CAN_MB_NOUSE)</t>
  </si>
  <si>
    <t>#define CAN_CFG_MBOXSET_5_MB095             (CAN_MB_NOUSE)</t>
  </si>
  <si>
    <t>#define CAN_CFG_MBOXSET_5_MB096             (CAN_MB_NOUSE)</t>
  </si>
  <si>
    <t>#define CAN_CFG_MBOXSET_5_MB097             (CAN_MB_NOUSE)</t>
  </si>
  <si>
    <t>#define CAN_CFG_MBOXSET_5_MB098             (CAN_MB_NOUSE)</t>
  </si>
  <si>
    <t>#define CAN_CFG_MBOXSET_5_MB099             (CAN_MB_NOUSE)</t>
  </si>
  <si>
    <t>#define CAN_CFG_MBOXSET_5_MB100             (CAN_MB_NOUSE)</t>
  </si>
  <si>
    <t>#define CAN_CFG_MBOXSET_5_MB101             (CAN_MB_NOUSE)</t>
  </si>
  <si>
    <t>#define CAN_CFG_MBOXSET_5_MB102             (CAN_MB_NOUSE)</t>
  </si>
  <si>
    <t>#define CAN_CFG_MBOXSET_5_MB103             (CAN_MB_NOUSE)</t>
  </si>
  <si>
    <t>#define CAN_CFG_MBOXSET_5_MB104             (CAN_MB_NOUSE)</t>
  </si>
  <si>
    <t>#define CAN_CFG_MBOXSET_5_MB105             (CAN_MB_NOUSE)</t>
  </si>
  <si>
    <t>#define CAN_CFG_MBOXSET_5_MB106             (CAN_MB_NOUSE)</t>
  </si>
  <si>
    <t>#define CAN_CFG_MBOXSET_5_MB107             (CAN_MB_NOUSE)</t>
  </si>
  <si>
    <t>#define CAN_CFG_MBOXSET_5_MB108             (CAN_MB_NOUSE)</t>
  </si>
  <si>
    <t>#define CAN_CFG_MBOXSET_5_MB109             (CAN_MB_NOUSE)</t>
  </si>
  <si>
    <t>#define CAN_CFG_MBOXSET_5_MB110             (CAN_MB_NOUSE)</t>
  </si>
  <si>
    <t>#define CAN_CFG_MBOXSET_5_MB111             (CAN_MB_NOUSE)</t>
  </si>
  <si>
    <t>#define CAN_CFG_MBOXSET_5_MB112             (CAN_MB_NOUSE)</t>
  </si>
  <si>
    <t>#define CAN_CFG_MBOXSET_5_MB113             (CAN_MB_NOUSE)</t>
  </si>
  <si>
    <t>#define CAN_CFG_MBOXSET_5_MB114             (CAN_MB_NOUSE)</t>
  </si>
  <si>
    <t>#define CAN_CFG_MBOXSET_5_MB115             (CAN_MB_NOUSE)</t>
  </si>
  <si>
    <t>#define CAN_CFG_MBOXSET_5_MB116             (CAN_MB_NOUSE)</t>
  </si>
  <si>
    <t>#define CAN_CFG_MBOXSET_5_MB117             (CAN_MB_NOUSE)</t>
  </si>
  <si>
    <t>#define CAN_CFG_MBOXSET_5_MB118             (CAN_MB_NOUSE)</t>
  </si>
  <si>
    <t>#define CAN_CFG_MBOXSET_5_MB119             (CAN_MB_NOUSE)</t>
  </si>
  <si>
    <t>#define CAN_CFG_MBOXSET_5_MB120             (CAN_MB_NOUSE)</t>
  </si>
  <si>
    <t>#define CAN_CFG_MBOXSET_5_MB121             (CAN_MB_NOUSE)</t>
  </si>
  <si>
    <t>#define CAN_CFG_MBOXSET_5_MB122             (CAN_MB_NOUSE)</t>
  </si>
  <si>
    <t>#define CAN_CFG_MBOXSET_5_MB123             (CAN_MB_NOUSE)</t>
  </si>
  <si>
    <t>#define CAN_CFG_MBOXSET_5_MB124             (CAN_MB_NOUSE)</t>
  </si>
  <si>
    <t>#define CAN_CFG_MBOXSET_5_MB125             (CAN_MB_NOUSE)</t>
  </si>
  <si>
    <t>#define CAN_CFG_MBOXSET_5_MB126             (CAN_MB_NOUSE)</t>
  </si>
  <si>
    <t>#define CAN_CFG_MBOXSET_5_MB127             (CAN_MB_NOUSE)</t>
  </si>
  <si>
    <t>#define CAN_CFG_MBOXSET_5_MB128             (CAN_MB_NOUSE)</t>
  </si>
  <si>
    <t>#define CAN_CFG_MBOXSET_5_MB129             (CAN_MB_NOUSE)</t>
  </si>
  <si>
    <t>#define CAN_CFG_MBOXSET_5_MB130             (CAN_MB_NOUSE)</t>
  </si>
  <si>
    <t>#define CAN_CFG_MBOXSET_5_MB131             (CAN_MB_NOUSE)</t>
  </si>
  <si>
    <t>#define CAN_CFG_MBOXSET_5_MB132             (CAN_MB_NOUSE)</t>
  </si>
  <si>
    <t>#define CAN_CFG_MBOXSET_5_MB133             (CAN_MB_NOUSE)</t>
  </si>
  <si>
    <t>#define CAN_CFG_MBOXSET_5_MB134             (CAN_MB_NOUSE)</t>
  </si>
  <si>
    <t>#define CAN_CFG_MBOXSET_5_MB135             (CAN_MB_NOUSE)</t>
  </si>
  <si>
    <t>#define CAN_CFG_MBOXSET_5_MB136             (CAN_MB_NOUSE)</t>
  </si>
  <si>
    <t>#define CAN_CFG_MBOXSET_5_MB137             (CAN_MB_NOUSE)</t>
  </si>
  <si>
    <t>#define CAN_CFG_MBOXSET_5_MB138             (CAN_MB_NOUSE)</t>
  </si>
  <si>
    <t>#define CAN_CFG_MBOXSET_5_MB139             (CAN_MB_NOUSE)</t>
  </si>
  <si>
    <t>#define CAN_CFG_MBOXSET_5_MB140             (CAN_MB_NOUSE)</t>
  </si>
  <si>
    <t>#define CAN_CFG_MBOXSET_5_MB141             (CAN_MB_NOUSE)</t>
  </si>
  <si>
    <t>#define CAN_CFG_MBOXSET_5_MB142             (CAN_MB_NOUSE)</t>
  </si>
  <si>
    <t>#define CAN_CFG_MBOXSET_5_MB143             (CAN_MB_NOUSE)</t>
  </si>
  <si>
    <t>#define CAN_CFG_MBOXSET_5_MB144             (CAN_MB_NOUSE)</t>
  </si>
  <si>
    <t>#define CAN_CFG_MBOXSET_5_MB145             (CAN_MB_NOUSE)</t>
  </si>
  <si>
    <t>#define CAN_CFG_MBOXSET_5_MB146             (CAN_MB_NOUSE)</t>
  </si>
  <si>
    <t>#define CAN_CFG_MBOXSET_5_MB147             (CAN_MB_NOUSE)</t>
  </si>
  <si>
    <t>#define CAN_CFG_MBOXSET_5_MB148             (CAN_MB_NOUSE)</t>
  </si>
  <si>
    <t>#define CAN_CFG_MBOXSET_5_MB149             (CAN_MB_NOUSE)</t>
  </si>
  <si>
    <t>#define CAN_CFG_MBOXSET_5_MB150             (CAN_MB_NOUSE)</t>
  </si>
  <si>
    <t>#define CAN_CFG_MBOXSET_5_MB151             (CAN_MB_NOUSE)</t>
  </si>
  <si>
    <t>#define CAN_CFG_MBOXSET_5_MB152             (CAN_MB_NOUSE)</t>
  </si>
  <si>
    <t>#define CAN_CFG_MBOXSET_7_MB000             (CAN_MB_NOUSE)</t>
  </si>
  <si>
    <t>#define CAN_CFG_MBOXSET_7_MB001             (CAN_MB_NOUSE)</t>
  </si>
  <si>
    <t>#define CAN_CFG_MBOXSET_7_MB002             (CAN_MB_NOUSE)</t>
  </si>
  <si>
    <t>#define CAN_CFG_MBOXSET_7_MB003             (CAN_MB_NOUSE)</t>
  </si>
  <si>
    <t>#define CAN_CFG_MBOXSET_7_MB004             (CAN_MB_NOUSE)</t>
  </si>
  <si>
    <t>#define CAN_CFG_MBOXSET_7_MB005             (CAN_MB_NOUSE)</t>
  </si>
  <si>
    <t>#define CAN_CFG_MBOXSET_7_MB006             (CAN_MB_NOUSE)</t>
  </si>
  <si>
    <t>#define CAN_CFG_MBOXSET_7_MB007             (CAN_MB_NOUSE)</t>
  </si>
  <si>
    <t>#define CAN_CFG_MBOXSET_7_MB008             (CAN_MB_NOUSE)</t>
  </si>
  <si>
    <t>#define CAN_CFG_MBOXSET_7_MB009             (CAN_MB_NOUSE)</t>
  </si>
  <si>
    <t>#define CAN_CFG_MBOXSET_7_MB010             (CAN_MB_NOUSE)</t>
  </si>
  <si>
    <t>#define CAN_CFG_MBOXSET_7_MB011             (CAN_MB_NOUSE)</t>
  </si>
  <si>
    <t>#define CAN_CFG_MBOXSET_7_MB012             (CAN_MB_NOUSE)</t>
  </si>
  <si>
    <t>#define CAN_CFG_MBOXSET_7_MB013             (CAN_MB_NOUSE)</t>
  </si>
  <si>
    <t>#define CAN_CFG_MBOXSET_7_MB014             (CAN_MB_NOUSE)</t>
  </si>
  <si>
    <t>#define CAN_CFG_MBOXSET_7_MB015             (CAN_MB_NOUSE)</t>
  </si>
  <si>
    <t>#define CAN_CFG_MBOXSET_7_MB016             (CAN_MB_NOUSE)</t>
  </si>
  <si>
    <t>#define CAN_CFG_MBOXSET_7_MB017             (CAN_MB_NOUSE)</t>
  </si>
  <si>
    <t>#define CAN_CFG_MBOXSET_7_MB018             (CAN_MB_NOUSE)</t>
  </si>
  <si>
    <t>#define CAN_CFG_MBOXSET_7_MB019             (CAN_MB_NOUSE)</t>
  </si>
  <si>
    <t>#define CAN_CFG_MBOXSET_7_MB020             (CAN_MB_NOUSE)</t>
  </si>
  <si>
    <t>#define CAN_CFG_MBOXSET_7_MB021             (CAN_MB_NOUSE)</t>
  </si>
  <si>
    <t>#define CAN_CFG_MBOXSET_7_MB022             (CAN_MB_NOUSE)</t>
  </si>
  <si>
    <t>#define CAN_CFG_MBOXSET_7_MB023             (CAN_MB_NOUSE)</t>
  </si>
  <si>
    <t>#define CAN_CFG_MBOXSET_7_MB024             (CAN_MB_NOUSE)</t>
  </si>
  <si>
    <t>#define CAN_CFG_MBOXSET_7_MB025             (CAN_MB_NOUSE)</t>
  </si>
  <si>
    <t>#define CAN_CFG_MBOXSET_7_MB026             (CAN_MB_NOUSE)</t>
  </si>
  <si>
    <t>#define CAN_CFG_MBOXSET_7_MB027             (CAN_MB_NOUSE)</t>
  </si>
  <si>
    <t>#define CAN_CFG_MBOXSET_7_MB028             (CAN_MB_NOUSE)</t>
  </si>
  <si>
    <t>#define CAN_CFG_MBOXSET_7_MB029             (CAN_MB_NOUSE)</t>
  </si>
  <si>
    <t>#define CAN_CFG_MBOXSET_7_MB030             (CAN_MB_NOUSE)</t>
  </si>
  <si>
    <t>#define CAN_CFG_MBOXSET_7_MB031             (CAN_MB_NOUSE)</t>
  </si>
  <si>
    <t>#define CAN_CFG_MBOXSET_7_MB032             (CAN_MB_NOUSE)</t>
  </si>
  <si>
    <t>#define CAN_CFG_MBOXSET_7_MB033             (CAN_MB_NOUSE)</t>
  </si>
  <si>
    <t>#define CAN_CFG_MBOXSET_7_MB034             (CAN_MB_NOUSE)</t>
  </si>
  <si>
    <t>#define CAN_CFG_MBOXSET_7_MB035             (CAN_MB_NOUSE)</t>
  </si>
  <si>
    <t>#define CAN_CFG_MBOXSET_7_MB036             (CAN_MB_NOUSE)</t>
  </si>
  <si>
    <t>#define CAN_CFG_MBOXSET_7_MB037             (CAN_MB_NOUSE)</t>
  </si>
  <si>
    <t>#define CAN_CFG_MBOXSET_7_MB038             (CAN_MB_NOUSE)</t>
  </si>
  <si>
    <t>#define CAN_CFG_MBOXSET_7_MB039             (CAN_MB_NOUSE)</t>
  </si>
  <si>
    <t>#define CAN_CFG_MBOXSET_7_MB040             (CAN_MB_NOUSE)</t>
  </si>
  <si>
    <t>#define CAN_CFG_MBOXSET_7_MB041             (CAN_MB_NOUSE)</t>
  </si>
  <si>
    <t>#define CAN_CFG_MBOXSET_7_MB042             (CAN_MB_NOUSE)</t>
  </si>
  <si>
    <t>#define CAN_CFG_MBOXSET_7_MB043             (CAN_MB_NOUSE)</t>
  </si>
  <si>
    <t>#define CAN_CFG_MBOXSET_7_MB044             (CAN_MB_NOUSE)</t>
  </si>
  <si>
    <t>#define CAN_CFG_MBOXSET_7_MB045             (CAN_MB_NOUSE)</t>
  </si>
  <si>
    <t>#define CAN_CFG_MBOXSET_7_MB046             (CAN_MB_NOUSE)</t>
  </si>
  <si>
    <t>#define CAN_CFG_MBOXSET_7_MB047             (CAN_MB_NOUSE)</t>
  </si>
  <si>
    <t>#define CAN_CFG_MBOXSET_7_MB048             (CAN_MB_NOUSE)</t>
  </si>
  <si>
    <t>#define CAN_CFG_MBOXSET_7_MB049             (CAN_MB_NOUSE)</t>
  </si>
  <si>
    <t>#define CAN_CFG_MBOXSET_7_MB050             (CAN_MB_NOUSE)</t>
  </si>
  <si>
    <t>#define CAN_CFG_MBOXSET_7_MB051             (CAN_MB_NOUSE)</t>
  </si>
  <si>
    <t>#define CAN_CFG_MBOXSET_7_MB052             (CAN_MB_NOUSE)</t>
  </si>
  <si>
    <t>#define CAN_CFG_MBOXSET_7_MB053             (CAN_MB_NOUSE)</t>
  </si>
  <si>
    <t>#define CAN_CFG_MBOXSET_7_MB054             (CAN_MB_NOUSE)</t>
  </si>
  <si>
    <t>#define CAN_CFG_MBOXSET_7_MB055             (CAN_MB_NOUSE)</t>
  </si>
  <si>
    <t>#define CAN_CFG_MBOXSET_7_MB056             (CAN_MB_NOUSE)</t>
  </si>
  <si>
    <t>#define CAN_CFG_MBOXSET_7_MB057             (CAN_MB_NOUSE)</t>
  </si>
  <si>
    <t>#define CAN_CFG_MBOXSET_7_MB058             (CAN_MB_NOUSE)</t>
  </si>
  <si>
    <t>#define CAN_CFG_MBOXSET_7_MB059             (CAN_MB_NOUSE)</t>
  </si>
  <si>
    <t>#define CAN_CFG_MBOXSET_7_MB060             (CAN_MB_NOUSE)</t>
  </si>
  <si>
    <t>#define CAN_CFG_MBOXSET_7_MB061             (CAN_MB_NOUSE)</t>
  </si>
  <si>
    <t>#define CAN_CFG_MBOXSET_7_MB062             (CAN_MB_NOUSE)</t>
  </si>
  <si>
    <t>#define CAN_CFG_MBOXSET_7_MB063             (CAN_MB_NOUSE)</t>
  </si>
  <si>
    <t>#define CAN_CFG_MBOXSET_7_MB064             (CAN_MB_NOUSE)</t>
  </si>
  <si>
    <t>#define CAN_CFG_MBOXSET_7_MB065             (CAN_MB_NOUSE)</t>
  </si>
  <si>
    <t>#define CAN_CFG_MBOXSET_7_MB066             (CAN_MB_NOUSE)</t>
  </si>
  <si>
    <t>#define CAN_CFG_MBOXSET_7_MB067             (CAN_MB_NOUSE)</t>
  </si>
  <si>
    <t>#define CAN_CFG_MBOXSET_7_MB068             (CAN_MB_NOUSE)</t>
  </si>
  <si>
    <t>#define CAN_CFG_MBOXSET_7_MB069             (CAN_MB_NOUSE)</t>
  </si>
  <si>
    <t>#define CAN_CFG_MBOXSET_7_MB070             (CAN_MB_NOUSE)</t>
  </si>
  <si>
    <t>#define CAN_CFG_MBOXSET_7_MB071             (CAN_MB_NOUSE)</t>
  </si>
  <si>
    <t>#define CAN_CFG_MBOXSET_7_MB072             (CAN_MB_NOUSE)</t>
  </si>
  <si>
    <t>#define CAN_CFG_MBOXSET_7_MB073             (CAN_MB_NOUSE)</t>
  </si>
  <si>
    <t>#define CAN_CFG_MBOXSET_7_MB074             (CAN_MB_NOUSE)</t>
  </si>
  <si>
    <t>#define CAN_CFG_MBOXSET_7_MB075             (CAN_MB_NOUSE)</t>
  </si>
  <si>
    <t>#define CAN_CFG_MBOXSET_7_MB076             (CAN_MB_NOUSE)</t>
  </si>
  <si>
    <t>#define CAN_CFG_MBOXSET_7_MB077             (CAN_MB_NOUSE)</t>
  </si>
  <si>
    <t>#define CAN_CFG_MBOXSET_7_MB078             (CAN_MB_NOUSE)</t>
  </si>
  <si>
    <t>#define CAN_CFG_MBOXSET_7_MB079             (CAN_MB_NOUSE)</t>
  </si>
  <si>
    <t>#define CAN_CFG_MBOXSET_7_MB080             (CAN_MB_NOUSE)</t>
  </si>
  <si>
    <t>#define CAN_CFG_MBOXSET_7_MB081             (CAN_MB_NOUSE)</t>
  </si>
  <si>
    <t>#define CAN_CFG_MBOXSET_7_MB082             (CAN_MB_NOUSE)</t>
  </si>
  <si>
    <t>#define CAN_CFG_MBOXSET_7_MB083             (CAN_MB_NOUSE)</t>
  </si>
  <si>
    <t>#define CAN_CFG_MBOXSET_7_MB084             (CAN_MB_NOUSE)</t>
  </si>
  <si>
    <t>#define CAN_CFG_MBOXSET_7_MB085             (CAN_MB_NOUSE)</t>
  </si>
  <si>
    <t>#define CAN_CFG_MBOXSET_7_MB086             (CAN_MB_NOUSE)</t>
  </si>
  <si>
    <t>#define CAN_CFG_MBOXSET_7_MB087             (CAN_MB_NOUSE)</t>
  </si>
  <si>
    <t>#define CAN_CFG_ID_VALUE_3_MB002            (0x00000201UL)</t>
  </si>
  <si>
    <t>CAN_CFG_ID_VALUE_3_MB002</t>
    <phoneticPr fontId="4"/>
  </si>
  <si>
    <t>0x00000201</t>
    <phoneticPr fontId="4"/>
  </si>
  <si>
    <t>#define CAN_CFG_ID_VALUE_3_MB003            (0x00000310UL)</t>
  </si>
  <si>
    <t>CAN_CFG_ID_VALUE_3_MB003</t>
    <phoneticPr fontId="4"/>
  </si>
  <si>
    <t>0x00000310</t>
    <phoneticPr fontId="4"/>
  </si>
  <si>
    <t>#define CAN_CFG_ID_VALUE_3_MB004            (0x00000311UL)</t>
  </si>
  <si>
    <t>CAN_CFG_ID_VALUE_3_MB004</t>
    <phoneticPr fontId="4"/>
  </si>
  <si>
    <t>0x00000311</t>
    <phoneticPr fontId="4"/>
  </si>
  <si>
    <t>#define CAN_CFG_ID_VALUE_5_MB010            (0x00000000UL)</t>
  </si>
  <si>
    <t>#define CAN_CFG_ID_VALUE_5_MB011            (0x00000000UL)</t>
  </si>
  <si>
    <t>#define CAN_CFG_ID_VALUE_5_MB012            (0x00000000UL)</t>
  </si>
  <si>
    <t>#define CAN_CFG_ID_VALUE_5_MB013            (0x00000000UL)</t>
  </si>
  <si>
    <t>#define CAN_CFG_ID_VALUE_5_MB014            (0x00000000UL)</t>
  </si>
  <si>
    <t>#define CAN_CFG_ID_VALUE_5_MB015            (0x00000000UL)</t>
  </si>
  <si>
    <t>#define CAN_CFG_ID_VALUE_5_MB016            (0x00000000UL)</t>
  </si>
  <si>
    <t>#define CAN_CFG_ID_VALUE_5_MB017            (0x00000000UL)</t>
  </si>
  <si>
    <t>#define CAN_CFG_ID_VALUE_5_MB018            (0x00000000UL)</t>
  </si>
  <si>
    <t>#define CAN_CFG_ID_VALUE_5_MB019            (0x00000000UL)</t>
  </si>
  <si>
    <t>#define CAN_CFG_ID_VALUE_5_MB020            (0x00000000UL)</t>
  </si>
  <si>
    <t>#define CAN_CFG_ID_VALUE_5_MB021            (0x00000000UL)</t>
  </si>
  <si>
    <t>#define CAN_CFG_ID_VALUE_5_MB022            (0x00000000UL)</t>
  </si>
  <si>
    <t>#define CAN_CFG_ID_VALUE_5_MB023            (0x00000000UL)</t>
  </si>
  <si>
    <t>#define CAN_CFG_ID_VALUE_5_MB024            (0x00000000UL)</t>
  </si>
  <si>
    <t>#define CAN_CFG_ID_VALUE_5_MB025            (0x00000000UL)</t>
  </si>
  <si>
    <t>#define CAN_CFG_ID_VALUE_5_MB026            (0x00000000UL)</t>
  </si>
  <si>
    <t>#define CAN_CFG_ID_VALUE_5_MB027            (0x00000000UL)</t>
  </si>
  <si>
    <t>#define CAN_CFG_ID_VALUE_5_MB028            (0x00000000UL)</t>
  </si>
  <si>
    <t>#define CAN_CFG_ID_VALUE_5_MB029            (0x00000000UL)</t>
  </si>
  <si>
    <t>#define CAN_CFG_ID_VALUE_5_MB030            (0x00000000UL)</t>
  </si>
  <si>
    <t>#define CAN_CFG_ID_VALUE_5_MB031            (0x00000000UL)</t>
  </si>
  <si>
    <t>#define CAN_CFG_ID_VALUE_5_MB032            (0x00000000UL)</t>
  </si>
  <si>
    <t>#define CAN_CFG_ID_VALUE_5_MB033            (0x00000000UL)</t>
  </si>
  <si>
    <t>#define CAN_CFG_ID_VALUE_5_MB034            (0x00000000UL)</t>
  </si>
  <si>
    <t>#define CAN_CFG_ID_VALUE_5_MB035            (0x00000000UL)</t>
  </si>
  <si>
    <t>#define CAN_CFG_ID_VALUE_5_MB036            (0x00000000UL)</t>
  </si>
  <si>
    <t>#define CAN_CFG_ID_VALUE_5_MB037            (0x00000000UL)</t>
  </si>
  <si>
    <t>#define CAN_CFG_ID_VALUE_5_MB038            (0x00000000UL)</t>
  </si>
  <si>
    <t>#define CAN_CFG_ID_VALUE_5_MB039            (0x00000000UL)</t>
  </si>
  <si>
    <t>#define CAN_CFG_ID_VALUE_5_MB040            (0x00000000UL)</t>
  </si>
  <si>
    <t>#define CAN_CFG_ID_VALUE_5_MB041            (0x00000000UL)</t>
  </si>
  <si>
    <t>#define CAN_CFG_ID_VALUE_5_MB042            (0x00000000UL)</t>
  </si>
  <si>
    <t>#define CAN_CFG_ID_VALUE_5_MB043            (0x00000000UL)</t>
  </si>
  <si>
    <t>#define CAN_CFG_ID_VALUE_5_MB044            (0x00000000UL)</t>
  </si>
  <si>
    <t>#define CAN_CFG_ID_VALUE_5_MB045            (0x00000000UL)</t>
  </si>
  <si>
    <t>#define CAN_CFG_ID_VALUE_5_MB046            (0x00000000UL)</t>
  </si>
  <si>
    <t>#define CAN_CFG_ID_VALUE_5_MB047            (0x00000000UL)</t>
  </si>
  <si>
    <t>#define CAN_CFG_ID_VALUE_5_MB048            (0x00000000UL)</t>
  </si>
  <si>
    <t>#define CAN_CFG_ID_VALUE_5_MB049            (0x00000000UL)</t>
  </si>
  <si>
    <t>#define CAN_CFG_ID_VALUE_5_MB050            (0x00000000UL)</t>
  </si>
  <si>
    <t>#define CAN_CFG_ID_VALUE_5_MB051            (0x00000000UL)</t>
  </si>
  <si>
    <t>#define CAN_CFG_ID_VALUE_5_MB052            (0x00000000UL)</t>
  </si>
  <si>
    <t>#define CAN_CFG_ID_VALUE_5_MB053            (0x00000000UL)</t>
  </si>
  <si>
    <t>#define CAN_CFG_ID_VALUE_5_MB054            (0x00000000UL)</t>
  </si>
  <si>
    <t>#define CAN_CFG_ID_VALUE_5_MB055            (0x00000000UL)</t>
  </si>
  <si>
    <t>#define CAN_CFG_ID_VALUE_5_MB056            (0x00000000UL)</t>
  </si>
  <si>
    <t>#define CAN_CFG_ID_VALUE_5_MB057            (0x00000000UL)</t>
  </si>
  <si>
    <t>#define CAN_CFG_ID_VALUE_5_MB058            (0x00000000UL)</t>
  </si>
  <si>
    <t>#define CAN_CFG_ID_VALUE_5_MB059            (0x00000000UL)</t>
  </si>
  <si>
    <t>#define CAN_CFG_ID_VALUE_5_MB060            (0x00000000UL)</t>
  </si>
  <si>
    <t>#define CAN_CFG_ID_VALUE_5_MB061            (0x00000000UL)</t>
  </si>
  <si>
    <t>#define CAN_CFG_ID_VALUE_5_MB062            (0x00000000UL)</t>
  </si>
  <si>
    <t>#define CAN_CFG_ID_VALUE_5_MB063            (0x00000000UL)</t>
  </si>
  <si>
    <t>#define CAN_CFG_ID_VALUE_5_MB064            (0x00000000UL)</t>
  </si>
  <si>
    <t>#define CAN_CFG_ID_VALUE_5_MB065            (0x00000000UL)</t>
  </si>
  <si>
    <t>#define CAN_CFG_ID_VALUE_5_MB066            (0x00000000UL)</t>
  </si>
  <si>
    <t>#define CAN_CFG_ID_VALUE_5_MB067            (0x00000000UL)</t>
  </si>
  <si>
    <t>#define CAN_CFG_ID_VALUE_5_MB068            (0x00000000UL)</t>
  </si>
  <si>
    <t>#define CAN_CFG_ID_VALUE_5_MB069            (0x00000000UL)</t>
  </si>
  <si>
    <t>#define CAN_CFG_ID_VALUE_5_MB070            (0x00000000UL)</t>
  </si>
  <si>
    <t>#define CAN_CFG_ID_VALUE_5_MB071            (0x00000000UL)</t>
  </si>
  <si>
    <t>#define CAN_CFG_ID_VALUE_5_MB072            (0x00000000UL)</t>
  </si>
  <si>
    <t>#define CAN_CFG_ID_VALUE_5_MB073            (0x00000000UL)</t>
  </si>
  <si>
    <t>#define CAN_CFG_ID_VALUE_5_MB074            (0x00000000UL)</t>
  </si>
  <si>
    <t>#define CAN_CFG_ID_VALUE_5_MB075            (0x00000000UL)</t>
  </si>
  <si>
    <t>#define CAN_CFG_ID_VALUE_5_MB076            (0x00000000UL)</t>
  </si>
  <si>
    <t>#define CAN_CFG_ID_VALUE_5_MB077            (0x00000000UL)</t>
  </si>
  <si>
    <t>#define CAN_CFG_ID_VALUE_5_MB078            (0x00000000UL)</t>
  </si>
  <si>
    <t>#define CAN_CFG_ID_VALUE_5_MB079            (0x00000000UL)</t>
  </si>
  <si>
    <t>#define CAN_CFG_ID_VALUE_5_MB080            (0x00000000UL)</t>
  </si>
  <si>
    <t>#define CAN_CFG_ID_VALUE_5_MB081            (0x00000000UL)</t>
  </si>
  <si>
    <t>#define CAN_CFG_ID_VALUE_5_MB082            (0x00000000UL)</t>
  </si>
  <si>
    <t>#define CAN_CFG_ID_VALUE_5_MB083            (0x00000000UL)</t>
  </si>
  <si>
    <t>#define CAN_CFG_ID_VALUE_5_MB084            (0x00000000UL)</t>
  </si>
  <si>
    <t>#define CAN_CFG_ID_VALUE_5_MB085            (0x00000000UL)</t>
  </si>
  <si>
    <t>#define CAN_CFG_ID_VALUE_5_MB086            (0x00000000UL)</t>
  </si>
  <si>
    <t>#define CAN_CFG_ID_VALUE_5_MB087            (0x00000000UL)</t>
  </si>
  <si>
    <t>#define CAN_CFG_ID_VALUE_5_MB088            (0x00000000UL)</t>
  </si>
  <si>
    <t>#define CAN_CFG_ID_VALUE_5_MB089            (0x00000000UL)</t>
  </si>
  <si>
    <t>#define CAN_CFG_ID_VALUE_5_MB090            (0x00000000UL)</t>
  </si>
  <si>
    <t>#define CAN_CFG_ID_VALUE_5_MB091            (0x00000000UL)</t>
  </si>
  <si>
    <t>#define CAN_CFG_ID_VALUE_5_MB092            (0x00000000UL)</t>
  </si>
  <si>
    <t>#define CAN_CFG_ID_VALUE_5_MB093            (0x00000000UL)</t>
  </si>
  <si>
    <t>#define CAN_CFG_ID_VALUE_5_MB094            (0x00000000UL)</t>
  </si>
  <si>
    <t>#define CAN_CFG_ID_VALUE_5_MB095            (0x00000000UL)</t>
  </si>
  <si>
    <t>#define CAN_CFG_ID_VALUE_5_MB096            (0x00000000UL)</t>
  </si>
  <si>
    <t>#define CAN_CFG_ID_VALUE_5_MB097            (0x00000000UL)</t>
  </si>
  <si>
    <t>#define CAN_CFG_ID_VALUE_5_MB098            (0x00000000UL)</t>
  </si>
  <si>
    <t>#define CAN_CFG_ID_VALUE_5_MB099            (0x00000000UL)</t>
  </si>
  <si>
    <t>#define CAN_CFG_ID_VALUE_5_MB100            (0x00000000UL)</t>
  </si>
  <si>
    <t>#define CAN_CFG_ID_VALUE_5_MB101            (0x00000000UL)</t>
  </si>
  <si>
    <t>#define CAN_CFG_ID_VALUE_5_MB102            (0x00000000UL)</t>
  </si>
  <si>
    <t>#define CAN_CFG_ID_VALUE_5_MB103            (0x00000000UL)</t>
  </si>
  <si>
    <t>#define CAN_CFG_ID_VALUE_5_MB104            (0x00000000UL)</t>
  </si>
  <si>
    <t>#define CAN_CFG_ID_VALUE_5_MB105            (0x00000000UL)</t>
  </si>
  <si>
    <t>#define CAN_CFG_ID_VALUE_5_MB106            (0x00000000UL)</t>
  </si>
  <si>
    <t>#define CAN_CFG_ID_VALUE_5_MB107            (0x00000000UL)</t>
  </si>
  <si>
    <t>#define CAN_CFG_ID_VALUE_5_MB108            (0x00000000UL)</t>
  </si>
  <si>
    <t>#define CAN_CFG_ID_VALUE_5_MB109            (0x00000000UL)</t>
  </si>
  <si>
    <t>#define CAN_CFG_ID_VALUE_5_MB110            (0x00000000UL)</t>
  </si>
  <si>
    <t>#define CAN_CFG_ID_VALUE_5_MB111            (0x00000000UL)</t>
  </si>
  <si>
    <t>#define CAN_CFG_ID_VALUE_5_MB112            (0x00000000UL)</t>
  </si>
  <si>
    <t>#define CAN_CFG_ID_VALUE_5_MB113            (0x00000000UL)</t>
  </si>
  <si>
    <t>#define CAN_CFG_ID_VALUE_5_MB114            (0x00000000UL)</t>
  </si>
  <si>
    <t>#define CAN_CFG_ID_VALUE_5_MB115            (0x00000000UL)</t>
  </si>
  <si>
    <t>#define CAN_CFG_ID_VALUE_5_MB116            (0x00000000UL)</t>
  </si>
  <si>
    <t>#define CAN_CFG_ID_VALUE_5_MB117            (0x00000000UL)</t>
  </si>
  <si>
    <t>#define CAN_CFG_ID_VALUE_5_MB118            (0x00000000UL)</t>
  </si>
  <si>
    <t>#define CAN_CFG_ID_VALUE_5_MB119            (0x00000000UL)</t>
  </si>
  <si>
    <t>#define CAN_CFG_ID_VALUE_5_MB120            (0x00000000UL)</t>
  </si>
  <si>
    <t>#define CAN_CFG_ID_VALUE_5_MB121            (0x00000000UL)</t>
  </si>
  <si>
    <t>#define CAN_CFG_ID_VALUE_5_MB122            (0x00000000UL)</t>
  </si>
  <si>
    <t>#define CAN_CFG_ID_VALUE_5_MB123            (0x00000000UL)</t>
  </si>
  <si>
    <t>#define CAN_CFG_ID_VALUE_5_MB124            (0x00000000UL)</t>
  </si>
  <si>
    <t>#define CAN_CFG_ID_VALUE_5_MB125            (0x00000000UL)</t>
  </si>
  <si>
    <t>#define CAN_CFG_ID_VALUE_5_MB126            (0x00000000UL)</t>
  </si>
  <si>
    <t>#define CAN_CFG_ID_VALUE_5_MB127            (0x00000000UL)</t>
  </si>
  <si>
    <t>#define CAN_CFG_ID_VALUE_5_MB128            (0x00000000UL)</t>
  </si>
  <si>
    <t>#define CAN_CFG_ID_VALUE_5_MB129            (0x00000000UL)</t>
  </si>
  <si>
    <t>#define CAN_CFG_ID_VALUE_5_MB130            (0x00000000UL)</t>
  </si>
  <si>
    <t>#define CAN_CFG_ID_VALUE_5_MB131            (0x00000000UL)</t>
  </si>
  <si>
    <t>#define CAN_CFG_ID_VALUE_5_MB132            (0x00000000UL)</t>
  </si>
  <si>
    <t>#define CAN_CFG_ID_VALUE_5_MB133            (0x00000000UL)</t>
  </si>
  <si>
    <t>#define CAN_CFG_ID_VALUE_5_MB134            (0x00000000UL)</t>
  </si>
  <si>
    <t>#define CAN_CFG_ID_VALUE_5_MB135            (0x00000000UL)</t>
  </si>
  <si>
    <t>#define CAN_CFG_ID_VALUE_5_MB136            (0x00000000UL)</t>
  </si>
  <si>
    <t>#define CAN_CFG_ID_VALUE_5_MB137            (0x00000000UL)</t>
  </si>
  <si>
    <t>#define CAN_CFG_ID_VALUE_5_MB138            (0x00000000UL)</t>
  </si>
  <si>
    <t>#define CAN_CFG_ID_VALUE_5_MB139            (0x00000000UL)</t>
  </si>
  <si>
    <t>#define CAN_CFG_ID_VALUE_5_MB140            (0x00000000UL)</t>
  </si>
  <si>
    <t>#define CAN_CFG_ID_VALUE_5_MB141            (0x00000000UL)</t>
  </si>
  <si>
    <t>#define CAN_CFG_ID_VALUE_5_MB142            (0x00000000UL)</t>
  </si>
  <si>
    <t>#define CAN_CFG_ID_VALUE_5_MB143            (0x00000000UL)</t>
  </si>
  <si>
    <t>#define CAN_CFG_ID_VALUE_5_MB144            (0x00000000UL)</t>
  </si>
  <si>
    <t>#define CAN_CFG_ID_VALUE_5_MB145            (0x00000000UL)</t>
  </si>
  <si>
    <t>#define CAN_CFG_ID_VALUE_5_MB146            (0x00000000UL)</t>
  </si>
  <si>
    <t>#define CAN_CFG_ID_VALUE_5_MB147            (0x00000000UL)</t>
  </si>
  <si>
    <t>#define CAN_CFG_ID_VALUE_5_MB148            (0x00000000UL)</t>
  </si>
  <si>
    <t>#define CAN_CFG_ID_VALUE_5_MB149            (0x00000000UL)</t>
  </si>
  <si>
    <t>#define CAN_CFG_ID_VALUE_5_MB150            (0x00000000UL)</t>
  </si>
  <si>
    <t>#define CAN_CFG_ID_VALUE_5_MB151            (0x00000000UL)</t>
  </si>
  <si>
    <t>#define CAN_CFG_ID_VALUE_5_MB152            (0x00000000UL)</t>
  </si>
  <si>
    <t>#define CAN_CFG_ID_VALUE_7_MB004            (0x00000000UL)</t>
  </si>
  <si>
    <t>#define CAN_CFG_ID_VALUE_7_MB005            (0x00000000UL)</t>
  </si>
  <si>
    <t>#define CAN_CFG_ID_VALUE_7_MB006            (0x00000000UL)</t>
  </si>
  <si>
    <t>#define CAN_CFG_ID_VALUE_7_MB007            (0x00000000UL)</t>
  </si>
  <si>
    <t>#define CAN_CFG_ID_VALUE_7_MB008            (0x00000000UL)</t>
  </si>
  <si>
    <t>#define CAN_CFG_ID_VALUE_7_MB009            (0x00000000UL)</t>
  </si>
  <si>
    <t>#define CAN_CFG_ID_VALUE_7_MB010            (0x00000000UL)</t>
  </si>
  <si>
    <t>#define CAN_CFG_ID_VALUE_7_MB011            (0x00000000UL)</t>
  </si>
  <si>
    <t>#define CAN_CFG_ID_VALUE_7_MB012            (0x00000000UL)</t>
  </si>
  <si>
    <t>#define CAN_CFG_ID_VALUE_7_MB013            (0x00000000UL)</t>
  </si>
  <si>
    <t>#define CAN_CFG_ID_VALUE_7_MB014            (0x00000000UL)</t>
  </si>
  <si>
    <t>#define CAN_CFG_ID_VALUE_7_MB015            (0x00000000UL)</t>
  </si>
  <si>
    <t>#define CAN_CFG_ID_VALUE_7_MB016            (0x00000000UL)</t>
  </si>
  <si>
    <t>#define CAN_CFG_ID_VALUE_7_MB017            (0x00000000UL)</t>
  </si>
  <si>
    <t>#define CAN_CFG_ID_VALUE_7_MB018            (0x00000000UL)</t>
  </si>
  <si>
    <t>#define CAN_CFG_ID_VALUE_7_MB019            (0x00000000UL)</t>
  </si>
  <si>
    <t>#define CAN_CFG_ID_VALUE_7_MB020            (0x00000000UL)</t>
  </si>
  <si>
    <t>#define CAN_CFG_ID_VALUE_7_MB021            (0x00000000UL)</t>
  </si>
  <si>
    <t>#define CAN_CFG_ID_VALUE_7_MB022            (0x00000000UL)</t>
  </si>
  <si>
    <t>#define CAN_CFG_ID_VALUE_7_MB023            (0x00000000UL)</t>
  </si>
  <si>
    <t>#define CAN_CFG_ID_VALUE_7_MB024            (0x00000000UL)</t>
  </si>
  <si>
    <t>#define CAN_CFG_ID_VALUE_7_MB025            (0x00000000UL)</t>
  </si>
  <si>
    <t>#define CAN_CFG_ID_VALUE_7_MB026            (0x00000000UL)</t>
  </si>
  <si>
    <t>#define CAN_CFG_ID_VALUE_7_MB027            (0x00000000UL)</t>
  </si>
  <si>
    <t>#define CAN_CFG_ID_VALUE_7_MB028            (0x00000000UL)</t>
  </si>
  <si>
    <t>#define CAN_CFG_ID_VALUE_7_MB029            (0x00000000UL)</t>
  </si>
  <si>
    <t>#define CAN_CFG_ID_VALUE_7_MB030            (0x00000000UL)</t>
  </si>
  <si>
    <t>#define CAN_CFG_ID_VALUE_7_MB031            (0x00000000UL)</t>
  </si>
  <si>
    <t>#define CAN_CFG_ID_VALUE_7_MB032            (0x00000000UL)</t>
  </si>
  <si>
    <t>#define CAN_CFG_ID_VALUE_7_MB033            (0x00000000UL)</t>
  </si>
  <si>
    <t>#define CAN_CFG_ID_VALUE_7_MB034            (0x00000000UL)</t>
  </si>
  <si>
    <t>#define CAN_CFG_ID_VALUE_7_MB035            (0x00000000UL)</t>
  </si>
  <si>
    <t>#define CAN_CFG_ID_VALUE_7_MB036            (0x00000000UL)</t>
  </si>
  <si>
    <t>#define CAN_CFG_ID_VALUE_7_MB037            (0x00000000UL)</t>
  </si>
  <si>
    <t>#define CAN_CFG_ID_VALUE_7_MB038            (0x00000000UL)</t>
  </si>
  <si>
    <t>#define CAN_CFG_ID_VALUE_7_MB039            (0x00000000UL)</t>
  </si>
  <si>
    <t>#define CAN_CFG_ID_VALUE_7_MB040            (0x00000000UL)</t>
  </si>
  <si>
    <t>#define CAN_CFG_ID_VALUE_7_MB041            (0x00000000UL)</t>
  </si>
  <si>
    <t>#define CAN_CFG_ID_VALUE_7_MB042            (0x00000000UL)</t>
  </si>
  <si>
    <t>#define CAN_CFG_ID_VALUE_7_MB043            (0x00000000UL)</t>
  </si>
  <si>
    <t>#define CAN_CFG_ID_VALUE_7_MB044            (0x00000000UL)</t>
  </si>
  <si>
    <t>#define CAN_CFG_ID_VALUE_7_MB045            (0x00000000UL)</t>
  </si>
  <si>
    <t>#define CAN_CFG_ID_VALUE_7_MB046            (0x00000000UL)</t>
  </si>
  <si>
    <t>#define CAN_CFG_ID_VALUE_7_MB047            (0x00000000UL)</t>
  </si>
  <si>
    <t>#define CAN_CFG_ID_VALUE_7_MB048            (0x00000000UL)</t>
  </si>
  <si>
    <t>#define CAN_CFG_ID_VALUE_7_MB049            (0x00000000UL)</t>
  </si>
  <si>
    <t>#define CAN_CFG_ID_VALUE_7_MB050            (0x00000000UL)</t>
  </si>
  <si>
    <t>#define CAN_CFG_ID_VALUE_7_MB051            (0x00000000UL)</t>
  </si>
  <si>
    <t>#define CAN_CFG_ID_VALUE_7_MB052            (0x00000000UL)</t>
  </si>
  <si>
    <t>#define CAN_CFG_ID_VALUE_7_MB053            (0x00000000UL)</t>
  </si>
  <si>
    <t>#define CAN_CFG_ID_VALUE_7_MB054            (0x00000000UL)</t>
  </si>
  <si>
    <t>#define CAN_CFG_ID_VALUE_7_MB055            (0x00000000UL)</t>
  </si>
  <si>
    <t>#define CAN_CFG_ID_VALUE_7_MB056            (0x00000000UL)</t>
  </si>
  <si>
    <t>#define CAN_CFG_ID_VALUE_7_MB057            (0x00000000UL)</t>
  </si>
  <si>
    <t>#define CAN_CFG_ID_VALUE_7_MB058            (0x00000000UL)</t>
  </si>
  <si>
    <t>#define CAN_CFG_ID_VALUE_7_MB059            (0x00000000UL)</t>
  </si>
  <si>
    <t>#define CAN_CFG_ID_VALUE_7_MB060            (0x00000000UL)</t>
  </si>
  <si>
    <t>#define CAN_CFG_ID_VALUE_7_MB061            (0x00000000UL)</t>
  </si>
  <si>
    <t>#define CAN_CFG_ID_VALUE_7_MB062            (0x00000000UL)</t>
  </si>
  <si>
    <t>#define CAN_CFG_ID_VALUE_7_MB063            (0x00000000UL)</t>
  </si>
  <si>
    <t>#define CAN_CFG_ID_VALUE_7_MB064            (0x00000000UL)</t>
  </si>
  <si>
    <t>#define CAN_CFG_ID_VALUE_7_MB065            (0x00000000UL)</t>
  </si>
  <si>
    <t>#define CAN_CFG_ID_VALUE_7_MB066            (0x00000000UL)</t>
  </si>
  <si>
    <t>#define CAN_CFG_ID_VALUE_7_MB067            (0x00000000UL)</t>
  </si>
  <si>
    <t>#define CAN_CFG_ID_VALUE_7_MB068            (0x00000000UL)</t>
  </si>
  <si>
    <t>#define CAN_CFG_ID_VALUE_7_MB069            (0x00000000UL)</t>
  </si>
  <si>
    <t>#define CAN_CFG_ID_VALUE_7_MB070            (0x00000000UL)</t>
  </si>
  <si>
    <t>#define CAN_CFG_ID_VALUE_7_MB071            (0x00000000UL)</t>
  </si>
  <si>
    <t>#define CAN_CFG_ID_VALUE_7_MB072            (0x00000000UL)</t>
  </si>
  <si>
    <t>#define CAN_CFG_ID_VALUE_7_MB073            (0x00000000UL)</t>
  </si>
  <si>
    <t>#define CAN_CFG_ID_VALUE_7_MB074            (0x00000000UL)</t>
  </si>
  <si>
    <t>#define CAN_CFG_ID_VALUE_7_MB075            (0x00000000UL)</t>
  </si>
  <si>
    <t>#define CAN_CFG_ID_VALUE_7_MB076            (0x00000000UL)</t>
  </si>
  <si>
    <t>#define CAN_CFG_ID_VALUE_7_MB077            (0x00000000UL)</t>
  </si>
  <si>
    <t>#define CAN_CFG_ID_VALUE_7_MB078            (0x00000000UL)</t>
  </si>
  <si>
    <t>#define CAN_CFG_ID_VALUE_7_MB079            (0x00000000UL)</t>
  </si>
  <si>
    <t>#define CAN_CFG_ID_VALUE_7_MB080            (0x00000000UL)</t>
  </si>
  <si>
    <t>#define CAN_CFG_ID_VALUE_7_MB081            (0x00000000UL)</t>
  </si>
  <si>
    <t>#define CAN_CFG_ID_VALUE_7_MB082            (0x00000000UL)</t>
  </si>
  <si>
    <t>#define CAN_CFG_ID_VALUE_7_MB083            (0x00000000UL)</t>
  </si>
  <si>
    <t>#define CAN_CFG_ID_VALUE_7_MB084            (0x00000000UL)</t>
  </si>
  <si>
    <t>#define CAN_CFG_ID_VALUE_7_MB085            (0x00000000UL)</t>
  </si>
  <si>
    <t>#define CAN_CFG_ID_VALUE_7_MB086            (0x00000000UL)</t>
  </si>
  <si>
    <t>#define CAN_CFG_ID_VALUE_7_MB087            (0x00000000UL)</t>
  </si>
  <si>
    <t>#define CAN_CFG_MASK_REFERENCE_3_MB002      (CAN_RXMASK_NOUSE)</t>
  </si>
  <si>
    <t>CAN_CFG_MASK_REFERENCE_3_MB2</t>
    <phoneticPr fontId="4"/>
  </si>
  <si>
    <t>CAN_CFG_MASK_REFERENCE_3_MB3</t>
    <phoneticPr fontId="4"/>
  </si>
  <si>
    <t>CAN_CFG_MASK_REFERENCE_3_MB4</t>
    <phoneticPr fontId="4"/>
  </si>
  <si>
    <t>#define CAN_CFG_MASK_REFERENCE_5_MB010      (CAN_RXMASK_NOUSE)</t>
  </si>
  <si>
    <t>#define CAN_CFG_MASK_REFERENCE_5_MB011      (CAN_RXMASK_NOUSE)</t>
  </si>
  <si>
    <t>#define CAN_CFG_MASK_REFERENCE_5_MB012      (CAN_RXMASK_NOUSE)</t>
  </si>
  <si>
    <t>#define CAN_CFG_MASK_REFERENCE_5_MB013      (CAN_RXMASK_NOUSE)</t>
  </si>
  <si>
    <t>#define CAN_CFG_MASK_REFERENCE_5_MB014      (CAN_RXMASK_NOUSE)</t>
  </si>
  <si>
    <t>#define CAN_CFG_MASK_REFERENCE_5_MB015      (CAN_RXMASK_NOUSE)</t>
  </si>
  <si>
    <t>#define CAN_CFG_MASK_REFERENCE_5_MB016      (CAN_RXMASK_NOUSE)</t>
  </si>
  <si>
    <t>#define CAN_CFG_MASK_REFERENCE_5_MB017      (CAN_RXMASK_NOUSE)</t>
  </si>
  <si>
    <t>#define CAN_CFG_MASK_REFERENCE_5_MB018      (CAN_RXMASK_NOUSE)</t>
  </si>
  <si>
    <t>#define CAN_CFG_MASK_REFERENCE_5_MB019      (CAN_RXMASK_NOUSE)</t>
  </si>
  <si>
    <t>#define CAN_CFG_MASK_REFERENCE_5_MB020      (CAN_RXMASK_NOUSE)</t>
  </si>
  <si>
    <t>#define CAN_CFG_MASK_REFERENCE_5_MB021      (CAN_RXMASK_NOUSE)</t>
  </si>
  <si>
    <t>#define CAN_CFG_MASK_REFERENCE_5_MB022      (CAN_RXMASK_NOUSE)</t>
  </si>
  <si>
    <t>#define CAN_CFG_MASK_REFERENCE_5_MB025      (CAN_RXMASK_NOUSE)</t>
  </si>
  <si>
    <t>#define CAN_CFG_MASK_REFERENCE_5_MB026      (CAN_RXMASK_NOUSE)</t>
  </si>
  <si>
    <t>#define CAN_CFG_MASK_REFERENCE_5_MB028      (CAN_RXMASK_NOUSE)</t>
  </si>
  <si>
    <t>#define CAN_CFG_MASK_REFERENCE_5_MB029      (CAN_RXMASK_NOUSE)</t>
  </si>
  <si>
    <t>#define CAN_CFG_MASK_REFERENCE_5_MB030      (CAN_RXMASK_NOUSE)</t>
  </si>
  <si>
    <t>#define CAN_CFG_MASK_REFERENCE_5_MB031      (CAN_RXMASK_NOUSE)</t>
  </si>
  <si>
    <t>#define CAN_CFG_MASK_REFERENCE_5_MB032      (CAN_RXMASK_NOUSE)</t>
  </si>
  <si>
    <t>#define CAN_CFG_MASK_REFERENCE_5_MB033      (CAN_RXMASK_NOUSE)</t>
  </si>
  <si>
    <t>#define CAN_CFG_MASK_REFERENCE_5_MB034      (CAN_RXMASK_NOUSE)</t>
  </si>
  <si>
    <t>#define CAN_CFG_MASK_REFERENCE_5_MB036      (CAN_RXMASK_NOUSE)</t>
  </si>
  <si>
    <t>#define CAN_CFG_MASK_REFERENCE_5_MB037      (CAN_RXMASK_NOUSE)</t>
  </si>
  <si>
    <t>#define CAN_CFG_MASK_REFERENCE_5_MB038      (CAN_RXMASK_NOUSE)</t>
  </si>
  <si>
    <t>#define CAN_CFG_MASK_REFERENCE_5_MB039      (CAN_RXMASK_NOUSE)</t>
  </si>
  <si>
    <t>#define CAN_CFG_MASK_REFERENCE_5_MB042      (CAN_RXMASK_NOUSE)</t>
  </si>
  <si>
    <t>#define CAN_CFG_MASK_REFERENCE_5_MB045      (CAN_RXMASK_NOUSE)</t>
  </si>
  <si>
    <t>#define CAN_CFG_MASK_REFERENCE_5_MB046      (CAN_RXMASK_NOUSE)</t>
  </si>
  <si>
    <t>#define CAN_CFG_MASK_REFERENCE_5_MB047      (CAN_RXMASK_NOUSE)</t>
  </si>
  <si>
    <t>#define CAN_CFG_MASK_REFERENCE_5_MB050      (CAN_RXMASK_NOUSE)</t>
  </si>
  <si>
    <t>#define CAN_CFG_MASK_REFERENCE_5_MB051      (CAN_RXMASK_NOUSE)</t>
  </si>
  <si>
    <t>#define CAN_CFG_MASK_REFERENCE_5_MB052      (CAN_RXMASK_NOUSE)</t>
  </si>
  <si>
    <t>#define CAN_CFG_MASK_REFERENCE_5_MB053      (CAN_RXMASK_NOUSE)</t>
  </si>
  <si>
    <t>#define CAN_CFG_MASK_REFERENCE_5_MB054      (CAN_RXMASK_NOUSE)</t>
  </si>
  <si>
    <t>#define CAN_CFG_MASK_REFERENCE_5_MB055      (CAN_RXMASK_NOUSE)</t>
  </si>
  <si>
    <t>#define CAN_CFG_MASK_REFERENCE_5_MB056      (CAN_RXMASK_NOUSE)</t>
  </si>
  <si>
    <t>#define CAN_CFG_MASK_REFERENCE_5_MB057      (CAN_RXMASK_NOUSE)</t>
  </si>
  <si>
    <t>#define CAN_CFG_MASK_REFERENCE_5_MB058      (CAN_RXMASK_NOUSE)</t>
  </si>
  <si>
    <t>#define CAN_CFG_MASK_REFERENCE_5_MB059      (CAN_RXMASK_NOUSE)</t>
  </si>
  <si>
    <t>#define CAN_CFG_MASK_REFERENCE_5_MB060      (CAN_RXMASK_NOUSE)</t>
  </si>
  <si>
    <t>#define CAN_CFG_MASK_REFERENCE_5_MB061      (CAN_RXMASK_NOUSE)</t>
  </si>
  <si>
    <t>#define CAN_CFG_MASK_REFERENCE_5_MB062      (CAN_RXMASK_NOUSE)</t>
  </si>
  <si>
    <t>#define CAN_CFG_MASK_REFERENCE_5_MB064      (CAN_RXMASK_NOUSE)</t>
  </si>
  <si>
    <t>#define CAN_CFG_MASK_REFERENCE_5_MB065      (CAN_RXMASK_NOUSE)</t>
  </si>
  <si>
    <t>#define CAN_CFG_MASK_REFERENCE_5_MB067      (CAN_RXMASK_NOUSE)</t>
  </si>
  <si>
    <t>#define CAN_CFG_MASK_REFERENCE_5_MB068      (CAN_RXMASK_NOUSE)</t>
  </si>
  <si>
    <t>#define CAN_CFG_MASK_REFERENCE_5_MB069      (CAN_RXMASK_NOUSE)</t>
  </si>
  <si>
    <t>#define CAN_CFG_MASK_REFERENCE_5_MB070      (CAN_RXMASK_NOUSE)</t>
  </si>
  <si>
    <t>#define CAN_CFG_MASK_REFERENCE_5_MB071      (CAN_RXMASK_NOUSE)</t>
  </si>
  <si>
    <t>#define CAN_CFG_MASK_REFERENCE_5_MB072      (CAN_RXMASK_NOUSE)</t>
  </si>
  <si>
    <t>#define CAN_CFG_MASK_REFERENCE_5_MB073      (CAN_RXMASK_NOUSE)</t>
  </si>
  <si>
    <t>#define CAN_CFG_MASK_REFERENCE_5_MB074      (CAN_RXMASK_NOUSE)</t>
  </si>
  <si>
    <t>#define CAN_CFG_MASK_REFERENCE_5_MB075      (CAN_RXMASK_NOUSE)</t>
  </si>
  <si>
    <t>#define CAN_CFG_MASK_REFERENCE_5_MB076      (CAN_RXMASK_NOUSE)</t>
  </si>
  <si>
    <t>#define CAN_CFG_MASK_REFERENCE_5_MB077      (CAN_RXMASK_NOUSE)</t>
  </si>
  <si>
    <t>#define CAN_CFG_MASK_REFERENCE_5_MB078      (CAN_RXMASK_NOUSE)</t>
  </si>
  <si>
    <t>#define CAN_CFG_MASK_REFERENCE_5_MB080      (CAN_RXMASK_NOUSE)</t>
  </si>
  <si>
    <t>#define CAN_CFG_MASK_REFERENCE_5_MB081      (CAN_RXMASK_NOUSE)</t>
  </si>
  <si>
    <t>#define CAN_CFG_MASK_REFERENCE_5_MB083      (CAN_RXMASK_NOUSE)</t>
  </si>
  <si>
    <t>#define CAN_CFG_MASK_REFERENCE_5_MB085      (CAN_RXMASK_NOUSE)</t>
  </si>
  <si>
    <t>#define CAN_CFG_MASK_REFERENCE_5_MB086      (CAN_RXMASK_NOUSE)</t>
  </si>
  <si>
    <t>#define CAN_CFG_MASK_REFERENCE_5_MB087      (CAN_RXMASK_NOUSE)</t>
  </si>
  <si>
    <t>#define CAN_CFG_MASK_REFERENCE_5_MB089      (CAN_RXMASK_NOUSE)</t>
  </si>
  <si>
    <t>#define CAN_CFG_MASK_REFERENCE_5_MB090      (CAN_RXMASK_NOUSE)</t>
  </si>
  <si>
    <t>#define CAN_CFG_MASK_REFERENCE_5_MB092      (CAN_RXMASK_NOUSE)</t>
  </si>
  <si>
    <t>#define CAN_CFG_MASK_REFERENCE_5_MB093      (CAN_RXMASK_NOUSE)</t>
  </si>
  <si>
    <t>#define CAN_CFG_MASK_REFERENCE_5_MB096      (CAN_RXMASK_NOUSE)</t>
  </si>
  <si>
    <t>#define CAN_CFG_MASK_REFERENCE_5_MB102      (CAN_RXMASK_NOUSE)</t>
  </si>
  <si>
    <t>#define CAN_CFG_MASK_REFERENCE_5_MB110      (CAN_RXMASK_NOUSE)</t>
  </si>
  <si>
    <t>#define CAN_CFG_MASK_REFERENCE_5_MB111      (CAN_RXMASK_NOUSE)</t>
  </si>
  <si>
    <t>#define CAN_CFG_MASK_REFERENCE_5_MB114      (CAN_RXMASK_NOUSE)</t>
  </si>
  <si>
    <t>#define CAN_CFG_MASK_REFERENCE_5_MB116      (CAN_RXMASK_NOUSE)</t>
  </si>
  <si>
    <t>#define CAN_CFG_MASK_REFERENCE_5_MB120      (CAN_RXMASK_NOUSE)</t>
  </si>
  <si>
    <t>#define CAN_CFG_MASK_REFERENCE_5_MB123      (CAN_RXMASK_NOUSE)</t>
  </si>
  <si>
    <t>#define CAN_CFG_MASK_REFERENCE_5_MB126      (CAN_RXMASK_NOUSE)</t>
  </si>
  <si>
    <t>#define CAN_CFG_MASK_REFERENCE_5_MB136      (CAN_RXMASK_NOUSE)</t>
  </si>
  <si>
    <t>#define CAN_CFG_MASK_REFERENCE_5_MB142      (CAN_RXMASK_NOUSE)</t>
  </si>
  <si>
    <t>#define CAN_CFG_MASK_REFERENCE_5_MB149      (CAN_RXMASK_NOUSE)</t>
  </si>
  <si>
    <t>#define CAN_CFG_MASK_REFERENCE_5_MB150      (CAN_RXMASK_NOUSE)</t>
  </si>
  <si>
    <t>#define CAN_CFG_MASK_REFERENCE_5_MB151      (CAN_RXMASK_NOUSE)</t>
  </si>
  <si>
    <t>#define CAN_CFG_MASK_REFERENCE_7_MB087      (CAN_RXMASK_NOUSE)</t>
  </si>
  <si>
    <t>#endif  /* CAN_RSCF4C_CFG_H */</t>
  </si>
  <si>
    <t>/* vcan_pbcfg_c_v3-0-0                                                      */</t>
  </si>
  <si>
    <t>/* Protected                                                                */</t>
  </si>
  <si>
    <t>/* Copyright DENSO CORPORATION                                              */</t>
  </si>
  <si>
    <t>/* Object Name  | VCAN/PBCFG/CODE                                           */</t>
  </si>
  <si>
    <t>/* Notes        |                                                           */</t>
  </si>
  <si>
    <t>/* Include Files                                                            */</t>
  </si>
  <si>
    <t>#include &lt;Std_Types.h&gt;</t>
  </si>
  <si>
    <t>#include &lt;cs/bsw_cs_common.h&gt;</t>
  </si>
  <si>
    <t>#include &lt;cs/bsw_cs_system.h&gt;</t>
  </si>
  <si>
    <t>#include "../inc/bsw_vcan_MemMap.h"</t>
  </si>
  <si>
    <t>#include &lt;ComStack_Types.h&gt;</t>
  </si>
  <si>
    <t>#include &lt;bswm_cs/bsw_bswm_cs.h&gt;</t>
  </si>
  <si>
    <t>#include &lt;comm/bsw_comm.h&gt;</t>
  </si>
  <si>
    <t>#include &lt;canif/bsw_canif.h&gt;</t>
  </si>
  <si>
    <t>#include "../../ComM/inc/bsw_comm_config.h"</t>
  </si>
  <si>
    <t>#include "../../BswM_CS/inc/bsw_bswm_cs_config.h"</t>
  </si>
  <si>
    <t>#include "../../CanIf/inc/bsw_canif_config.h"</t>
  </si>
  <si>
    <t>#if (BSW_BSWM_CS_FUNC_VCAN == BSW_USE)</t>
  </si>
  <si>
    <t>#include "VCan_Cfg.h"</t>
  </si>
  <si>
    <t>#include &lt;vcan/bsw_vcan.h&gt;</t>
  </si>
  <si>
    <t>#include "../inc/bsw_vcan_rx.h"</t>
  </si>
  <si>
    <t>#include "../inc/bsw_vcan_tx.h"</t>
  </si>
  <si>
    <t>#include "../inc/bsw_vcan_config.h"</t>
  </si>
  <si>
    <t>/* Macros                                                                   */</t>
  </si>
  <si>
    <t>/* Types                                                                    */</t>
  </si>
  <si>
    <t>/* Function Prototypes                                                      */</t>
  </si>
  <si>
    <t>/* Data                                                                     */</t>
  </si>
  <si>
    <t>/* Constants                                                                */</t>
  </si>
  <si>
    <t>/************************************************/</t>
  </si>
  <si>
    <t>/*  Virtual-HOH Configuration Table             */</t>
  </si>
  <si>
    <t>BswConst BswU1 bsw_vcan_stVirtualHohTbl[ BSW_VCAN_VHOHNUM ] =</t>
  </si>
  <si>
    <t>{</t>
  </si>
  <si>
    <t>  /*   Virtual ControllerID    */</t>
  </si>
  <si>
    <t>  /*--- VM Reception(VHRH)    -----------------------------*/</t>
  </si>
  <si>
    <t>     ( (BswU1)BSW_VCAN_VCONTROLLER0 )   /* [0] */</t>
  </si>
  <si>
    <t>    ,( (BswU1)BSW_VCAN_VCONTROLLER0 )   /* [1] */</t>
  </si>
  <si>
    <t>    ,( (BswU1)BSW_VCAN_VCONTROLLER0 )   /* [2] */</t>
  </si>
  <si>
    <t>    ,( (BswU1)BSW_VCAN_VCONTROLLER0 )   /* [3] */</t>
  </si>
  <si>
    <t>    ,( (BswU1)BSW_VCAN_VCONTROLLER0 )   /* [4] */</t>
  </si>
  <si>
    <t>    ,( (BswU1)BSW_VCAN_VCONTROLLER0 )   /* [5] */</t>
  </si>
  <si>
    <t>    ,( (BswU1)BSW_VCAN_VCONTROLLER0 )   /* [6] */</t>
  </si>
  <si>
    <t>  /*--- VM Transmission(VHTH) -----------------------------*/</t>
  </si>
  <si>
    <t>};</t>
  </si>
  <si>
    <t>/*  Receive-Message Table                       */</t>
  </si>
  <si>
    <t>#if ( BSW_VCAN_VHRHNUM != 0U )</t>
  </si>
  <si>
    <t>BswConst Bsw_VCan_RxTblType bsw_vcan_stRxMessageTbl[ BSW_VCAN_VHRHNUM ] =</t>
  </si>
  <si>
    <t>  /*   CAN ID      , Mask              */</t>
  </si>
  <si>
    <t>  /*--- VM Reception(VHRH) ------------*/</t>
  </si>
  <si>
    <t>     { 0x40000000UL, 0xFFFFFC00UL }   /* [0] */</t>
  </si>
  <si>
    <t>    ,{ 0x00000300UL, 0xFFFFFFFFUL }   /* [1] */</t>
  </si>
  <si>
    <t>    ,{ 0x00000400UL, 0xBFFFFF00UL }   /* [2] */</t>
  </si>
  <si>
    <t>    ,{ 0x40000500UL, 0xFFFFFF00UL }   /* [3] */</t>
  </si>
  <si>
    <t>    ,{ 0x40000600UL, 0xFFFFFF00UL }   /* [4] */</t>
  </si>
  <si>
    <t>#endif /* ( BSW_VCAN_VHRHNUM != 0U ) */</t>
  </si>
  <si>
    <t>/**************************************************************************************/</t>
  </si>
  <si>
    <t>/*  Reception Node Table                                                              */</t>
  </si>
  <si>
    <t>/*   {                                                                                */</t>
  </si>
  <si>
    <t>/*     Rx Node Id (QueID for VCC / NodeID for IPC), Rx Timing(INTERRUPT/POLLING),     */</t>
  </si>
  <si>
    <t>/*     Extend1, Rx MaxNum(Polling), Rx MaxNum(Interrupt), Extend2                     */</t>
  </si>
  <si>
    <t>/*   }                                                                                */</t>
  </si>
  <si>
    <t>#if ( BSW_VCAN_CFG_RXNUM_VCONTROL0 != 0U )</t>
  </si>
  <si>
    <t>BswConst Bsw_VCan_RxNodeTblType bsw_vcan_stRxNodeTbl_VControl0[ BSW_VCAN_CFG_RXNUM_VCONTROL0 ] =</t>
  </si>
  <si>
    <t>    /* Rx Node Id, Rx Timing, Extend1, Rx MaxNum(Polling), Rx MaxNum(Interrupt), Extend2 */</t>
  </si>
  <si>
    <t>    { (BswU4)0x00000005, (BswU1)BSW_VCAN_POLLING,   (BswU1)0, (BswU2)20,    (BswU2)0,     (BswU2)0 }   /* [0] */</t>
  </si>
  <si>
    <t>   ,{ (BswU4)0x00000006, (BswU1)BSW_VCAN_POLLING,   (BswU1)0, (BswU2)20,    (BswU2)0,     (BswU2)0 }   /* [1] */</t>
  </si>
  <si>
    <t>   ,{ (BswU4)0x00000007, (BswU1)BSW_VCAN_POLLING,   (BswU1)0, (BswU2)20,    (BswU2)0,     (BswU2)0 }   /* [2] */</t>
  </si>
  <si>
    <t>#endif /* ( BSW_VCAN_CFG_RXNUM_VCONTROL0 != 0U ) */</t>
  </si>
  <si>
    <t>#if ( BSW_VCAN_CFG_RXNUM_VCONTROL1 != 0U )</t>
  </si>
  <si>
    <t>BswConst Bsw_VCan_RxNodeTblType bsw_vcan_stRxNodeTbl_VControl1[ BSW_VCAN_CFG_RXNUM_VCONTROL1 ] =</t>
  </si>
  <si>
    <t>#endif /* ( BSW_VCAN_CFG_RXNUM_VCONTROL1 != 0U ) */</t>
  </si>
  <si>
    <t>#if ( BSW_VCAN_CFG_RXNUM_VCONTROL2 != 0U )</t>
  </si>
  <si>
    <t>BswConst Bsw_VCan_RxNodeTblType bsw_vcan_stRxNodeTbl_VControl2[ BSW_VCAN_CFG_RXNUM_VCONTROL2 ] =</t>
  </si>
  <si>
    <t>#endif /* ( BSW_VCAN_CFG_RXNUM_VCONTROL2 != 0U ) */</t>
  </si>
  <si>
    <t>#if ( BSW_VCAN_CFG_RXNUM_VCONTROL3 != 0U )</t>
  </si>
  <si>
    <t>BswConst Bsw_VCan_RxNodeTblType bsw_vcan_stRxNodeTbl_VControl3[ BSW_VCAN_CFG_RXNUM_VCONTROL3 ] =</t>
  </si>
  <si>
    <t>#endif /* ( BSW_VCAN_CFG_RXNUM_VCONTROL3 != 0U ) */</t>
  </si>
  <si>
    <t>#if ( BSW_VCAN_CFG_RXNUM_VCONTROL4 != 0U )</t>
  </si>
  <si>
    <t>BswConst Bsw_VCan_RxNodeTblType bsw_vcan_stRxNodeTbl_VControl4[ BSW_VCAN_CFG_RXNUM_VCONTROL4 ] =</t>
  </si>
  <si>
    <t>#endif /* ( BSW_VCAN_CFG_RXNUM_VCONTROL4 != 0U ) */</t>
  </si>
  <si>
    <t>#if ( BSW_VCAN_CFG_RXNUM_VCONTROL5 != 0U )</t>
  </si>
  <si>
    <t>BswConst Bsw_VCan_RxNodeTblType bsw_vcan_stRxNodeTbl_VControl5[ BSW_VCAN_CFG_RXNUM_VCONTROL5 ] =</t>
  </si>
  <si>
    <t>#endif /* ( BSW_VCAN_CFG_RXNUM_VCONTROL5 != 0U ) */</t>
  </si>
  <si>
    <t>#if ( BSW_VCAN_CFG_RXNUM_VCONTROL6 != 0U )</t>
  </si>
  <si>
    <t>BswConst Bsw_VCan_RxNodeTblType bsw_vcan_stRxNodeTbl_VControl6[ BSW_VCAN_CFG_RXNUM_VCONTROL6 ] =</t>
  </si>
  <si>
    <t>#endif /* ( BSW_VCAN_CFG_RXNUM_VCONTROL6 != 0U ) */</t>
  </si>
  <si>
    <t>#if ( BSW_VCAN_CFG_RXNUM_VCONTROL7 != 0U )</t>
  </si>
  <si>
    <t>BswConst Bsw_VCan_RxNodeTblType bsw_vcan_stRxNodeTbl_VControl7[ BSW_VCAN_CFG_RXNUM_VCONTROL7 ] =</t>
  </si>
  <si>
    <t>#endif /* ( BSW_VCAN_CFG_RXNUM_VCONTROL7 != 0U ) */</t>
  </si>
  <si>
    <t>#if ( BSW_VCAN_CFG_RXNUM_VCONTROL8 != 0U )</t>
  </si>
  <si>
    <t>BswConst Bsw_VCan_RxNodeTblType bsw_vcan_stRxNodeTbl_VControl8[ BSW_VCAN_CFG_RXNUM_VCONTROL8 ] =</t>
  </si>
  <si>
    <t>#endif /* ( BSW_VCAN_CFG_RXNUM_VCONTROL8 != 0U ) */</t>
  </si>
  <si>
    <t>#if ( BSW_VCAN_CFG_RXNUM_VCONTROL9 != 0U )</t>
  </si>
  <si>
    <t>BswConst Bsw_VCan_RxNodeTblType bsw_vcan_stRxNodeTbl_VControl9[ BSW_VCAN_CFG_RXNUM_VCONTROL9 ] =</t>
  </si>
  <si>
    <t>#endif /* ( BSW_VCAN_CFG_RXNUM_VCONTROL9 != 0U ) */</t>
  </si>
  <si>
    <t>#if ( BSW_VCAN_CFG_RXNUM_VCONTROL10 != 0U )</t>
  </si>
  <si>
    <t>BswConst Bsw_VCan_RxNodeTblType bsw_vcan_stRxNodeTbl_VControl10[ BSW_VCAN_CFG_RXNUM_VCONTROL10 ] =</t>
  </si>
  <si>
    <t>#endif /* ( BSW_VCAN_CFG_RXNUM_VCONTROL10 != 0U ) */</t>
  </si>
  <si>
    <t>#if ( BSW_VCAN_CFG_RXNUM_VCONTROL11 != 0U )</t>
  </si>
  <si>
    <t>BswConst Bsw_VCan_RxNodeTblType bsw_vcan_stRxNodeTbl_VControl11[ BSW_VCAN_CFG_RXNUM_VCONTROL11 ] =</t>
  </si>
  <si>
    <t>#endif /* ( BSW_VCAN_CFG_RXNUM_VCONTROL11 != 0U ) */</t>
  </si>
  <si>
    <t>#if ( BSW_VCAN_CFG_RXNUM_VCONTROL12 != 0U )</t>
  </si>
  <si>
    <t>BswConst Bsw_VCan_RxNodeTblType bsw_vcan_stRxNodeTbl_VControl12[ BSW_VCAN_CFG_RXNUM_VCONTROL12 ] =</t>
  </si>
  <si>
    <t>#endif /* ( BSW_VCAN_CFG_RXNUM_VCONTROL12 != 0U ) */</t>
  </si>
  <si>
    <t>#if ( BSW_VCAN_CFG_RXNUM_VCONTROL13 != 0U )</t>
  </si>
  <si>
    <t>BswConst Bsw_VCan_RxNodeTblType bsw_vcan_stRxNodeTbl_VControl13[ BSW_VCAN_CFG_RXNUM_VCONTROL13 ] =</t>
  </si>
  <si>
    <t>#endif /* ( BSW_VCAN_CFG_RXNUM_VCONTROL13 != 0U ) */</t>
  </si>
  <si>
    <t>#if ( BSW_VCAN_CFG_RXNUM_VCONTROL14 != 0U )</t>
  </si>
  <si>
    <t>BswConst Bsw_VCan_RxNodeTblType bsw_vcan_stRxNodeTbl_VControl14[ BSW_VCAN_CFG_RXNUM_VCONTROL14 ] =</t>
  </si>
  <si>
    <t>#endif /* ( BSW_VCAN_CFG_RXNUM_VCONTROL14 != 0U ) */</t>
  </si>
  <si>
    <t>#if ( BSW_VCAN_CFG_RXNUM_VCONTROL15 != 0U )</t>
  </si>
  <si>
    <t>BswConst Bsw_VCan_RxNodeTblType bsw_vcan_stRxNodeTbl_VControl15[ BSW_VCAN_CFG_RXNUM_VCONTROL15 ] =</t>
  </si>
  <si>
    <t>#endif /* ( BSW_VCAN_CFG_RXNUM_VCONTROL15 != 0U ) */</t>
  </si>
  <si>
    <t>/*  Transmit Virtual MBOX Table                 */</t>
  </si>
  <si>
    <t>#if ( BSW_VCAN_TX_VMBOXNUM_0 != 0U )</t>
  </si>
  <si>
    <t>BswConst BswU1 bsw_vcan_u1TxMBoxTbl_VControl0[ BSW_VCAN_TX_VMBOXNUM_0 ] =</t>
  </si>
  <si>
    <t>    /* Virtual MBOX Setting (Timing|TxKind) */</t>
  </si>
  <si>
    <t>    (BswU1)(BSW_VCAN_INTERRUPT | BSW_VCAN_KIND_UTRANSMIT)   /* [0] */</t>
  </si>
  <si>
    <t>   ,(BswU1)(BSW_VCAN_POLLING   | BSW_VCAN_KIND_TRANSMIT )   /* [1] */</t>
  </si>
  <si>
    <t>#endif /* ( BSW_VCAN_TX_VMBOXNUM_0 != 0U ) */</t>
  </si>
  <si>
    <t>#if ( BSW_VCAN_TX_VMBOXNUM_1 != 0U )</t>
  </si>
  <si>
    <t>BswConst BswU1 bsw_vcan_u1TxMBoxTbl_VControl1[ BSW_VCAN_TX_VMBOXNUM_1 ] =</t>
  </si>
  <si>
    <t>#endif /* ( BSW_VCAN_TX_VMBOXNUM_1 != 0U ) */</t>
  </si>
  <si>
    <t>#if ( BSW_VCAN_TX_VMBOXNUM_2 != 0U )</t>
  </si>
  <si>
    <t>BswConst BswU1 bsw_vcan_u1TxMBoxTbl_VControl2[ BSW_VCAN_TX_VMBOXNUM_2 ] =</t>
  </si>
  <si>
    <t>#endif /* ( BSW_VCAN_TX_VMBOXNUM_2 != 0U ) */</t>
  </si>
  <si>
    <t>#if ( BSW_VCAN_TX_VMBOXNUM_3 != 0U )</t>
  </si>
  <si>
    <t>BswConst BswU1 bsw_vcan_u1TxMBoxTbl_VControl3[ BSW_VCAN_TX_VMBOXNUM_3 ] =</t>
  </si>
  <si>
    <t>#endif /* ( BSW_VCAN_TX_VMBOXNUM_3 != 0U ) */</t>
  </si>
  <si>
    <t>#if ( BSW_VCAN_TX_VMBOXNUM_4 != 0U )</t>
  </si>
  <si>
    <t>BswConst BswU1 bsw_vcan_u1TxMBoxTbl_VControl4[ BSW_VCAN_TX_VMBOXNUM_4 ] =</t>
  </si>
  <si>
    <t>#endif /* ( BSW_VCAN_TX_VMBOXNUM_4 != 0U ) */</t>
  </si>
  <si>
    <t>#if ( BSW_VCAN_TX_VMBOXNUM_5 != 0U )</t>
  </si>
  <si>
    <t>BswConst BswU1 bsw_vcan_u1TxMBoxTbl_VControl5[ BSW_VCAN_TX_VMBOXNUM_5 ] =</t>
  </si>
  <si>
    <t>#endif /* ( BSW_VCAN_TX_VMBOXNUM_5 != 0U ) */</t>
  </si>
  <si>
    <t>#if ( BSW_VCAN_TX_VMBOXNUM_6 != 0U )</t>
  </si>
  <si>
    <t>BswConst BswU1 bsw_vcan_u1TxMBoxTbl_VControl6[ BSW_VCAN_TX_VMBOXNUM_6 ] =</t>
  </si>
  <si>
    <t>#endif /* ( BSW_VCAN_TX_VMBOXNUM_6 != 0U ) */</t>
  </si>
  <si>
    <t>#if ( BSW_VCAN_TX_VMBOXNUM_7 != 0U )</t>
  </si>
  <si>
    <t>BswConst BswU1 bsw_vcan_u1TxMBoxTbl_VControl7[ BSW_VCAN_TX_VMBOXNUM_7 ] =</t>
  </si>
  <si>
    <t>#endif /* ( BSW_VCAN_TX_VMBOXNUM_7 != 0U ) */</t>
  </si>
  <si>
    <t>#if ( BSW_VCAN_TX_VMBOXNUM_8 != 0U )</t>
  </si>
  <si>
    <t>BswConst BswU1 bsw_vcan_u1TxMBoxTbl_VControl8[ BSW_VCAN_TX_VMBOXNUM_8 ] =</t>
  </si>
  <si>
    <t>#endif /* ( BSW_VCAN_TX_VMBOXNUM_8 != 0U ) */</t>
  </si>
  <si>
    <t>#if ( BSW_VCAN_TX_VMBOXNUM_9 != 0U )</t>
  </si>
  <si>
    <t>BswConst BswU1 bsw_vcan_u1TxMBoxTbl_VControl9[ BSW_VCAN_TX_VMBOXNUM_9 ] =</t>
  </si>
  <si>
    <t>#endif /* ( BSW_VCAN_TX_VMBOXNUM_9 != 0U ) */</t>
  </si>
  <si>
    <t>#if ( BSW_VCAN_TX_VMBOXNUM_10 != 0U )</t>
  </si>
  <si>
    <t>BswConst BswU1 bsw_vcan_u1TxMBoxTbl_VControl10[ BSW_VCAN_TX_VMBOXNUM_10 ] =</t>
  </si>
  <si>
    <t>#endif /* ( BSW_VCAN_TX_VMBOXNUM_10 != 0U ) */</t>
  </si>
  <si>
    <t>#if ( BSW_VCAN_TX_VMBOXNUM_11 != 0U )</t>
  </si>
  <si>
    <t>BswConst BswU1 bsw_vcan_u1TxMBoxTbl_VControl11[ BSW_VCAN_TX_VMBOXNUM_11 ] =</t>
  </si>
  <si>
    <t>#endif /* ( BSW_VCAN_TX_VMBOXNUM_11 != 0U ) */</t>
  </si>
  <si>
    <t>#if ( BSW_VCAN_TX_VMBOXNUM_12 != 0U )</t>
  </si>
  <si>
    <t>BswConst BswU1 bsw_vcan_u1TxMBoxTbl_VControl12[ BSW_VCAN_TX_VMBOXNUM_12 ] =</t>
  </si>
  <si>
    <t>#endif /* ( BSW_VCAN_TX_VMBOXNUM_12 != 0U ) */</t>
  </si>
  <si>
    <t>#if ( BSW_VCAN_TX_VMBOXNUM_13 != 0U )</t>
  </si>
  <si>
    <t>BswConst BswU1 bsw_vcan_u1TxMBoxTbl_VControl13[ BSW_VCAN_TX_VMBOXNUM_13 ] =</t>
  </si>
  <si>
    <t>#endif /* ( BSW_VCAN_TX_VMBOXNUM_13 != 0U ) */</t>
  </si>
  <si>
    <t>#if ( BSW_VCAN_TX_VMBOXNUM_14 != 0U )</t>
  </si>
  <si>
    <t>BswConst BswU1 bsw_vcan_u1TxMBoxTbl_VControl14[ BSW_VCAN_TX_VMBOXNUM_14 ] =</t>
  </si>
  <si>
    <t>#endif /* ( BSW_VCAN_TX_VMBOXNUM_14 != 0U ) */</t>
  </si>
  <si>
    <t>#if ( BSW_VCAN_TX_VMBOXNUM_15 != 0U )</t>
  </si>
  <si>
    <t>BswConst BswU1 bsw_vcan_u1TxMBoxTbl_VControl15[ BSW_VCAN_TX_VMBOXNUM_15 ] =</t>
  </si>
  <si>
    <t>#endif /* ( BSW_VCAN_TX_VMBOXNUM_15 != 0U ) */</t>
  </si>
  <si>
    <t>#endif /* (BSW_BSWM_CS_FUNC_VCAN == BSW_USE) */</t>
  </si>
  <si>
    <t>/* History                                                                  */</t>
  </si>
  <si>
    <t>/*  Version         :Date                                                   */</t>
  </si>
  <si>
    <t>/*  v2-0-0          :2022/02/03                                             */</t>
  </si>
  <si>
    <t>/*  v2-1-0          :2022/07/08                                             */</t>
  </si>
  <si>
    <t>/*  v3-0-0          :2024/08/30                                             */</t>
  </si>
  <si>
    <t>/* AUBIST Configurator Version                                              */</t>
  </si>
  <si>
    <t>/*  Framework          :v2-1-0                                              */</t>
  </si>
  <si>
    <t>/*  BSW plug-in        :v3-0-0                                              */</t>
  </si>
  <si>
    <t>can_rscf4_cfg.h
CAN_CFG_ID_VALUE_5_MB###2</t>
  </si>
  <si>
    <t>can_rscf4_cfg.h
CAN_CFG_ID_VALUE_5_MB###3</t>
    <phoneticPr fontId="24"/>
  </si>
  <si>
    <t>列1</t>
  </si>
  <si>
    <t>列2</t>
  </si>
  <si>
    <t>列3</t>
  </si>
  <si>
    <t>列4</t>
  </si>
  <si>
    <t>0x00000000</t>
  </si>
  <si>
    <t>0x0000001b</t>
  </si>
  <si>
    <t>KZK Message</t>
  </si>
  <si>
    <t>0x0000006a</t>
  </si>
  <si>
    <t>0x00000186</t>
  </si>
  <si>
    <t>0x0000009c</t>
  </si>
  <si>
    <t>0x0000009e</t>
  </si>
  <si>
    <t>0x000000a4</t>
  </si>
  <si>
    <t>0x000000b7</t>
  </si>
  <si>
    <t>0x000000b8</t>
  </si>
  <si>
    <t>0x000000fc</t>
  </si>
  <si>
    <t>0x00000500</t>
  </si>
  <si>
    <t>0x000001a4</t>
  </si>
  <si>
    <t>0x00000150</t>
  </si>
  <si>
    <t>0x00000158</t>
  </si>
  <si>
    <t>0x0000014b</t>
  </si>
  <si>
    <t>0x0000014f</t>
  </si>
  <si>
    <t>0x0000014d</t>
  </si>
  <si>
    <t>0x0000015a</t>
  </si>
  <si>
    <t>0x0000016e</t>
  </si>
  <si>
    <t>0x0000017e</t>
  </si>
  <si>
    <t>0x0000018d</t>
  </si>
  <si>
    <t>0x0000019a</t>
  </si>
  <si>
    <t>0x000001a0</t>
  </si>
  <si>
    <t>0x000001b2</t>
  </si>
  <si>
    <t>0x000001bb</t>
  </si>
  <si>
    <t>0x000001bc</t>
  </si>
  <si>
    <t>0x000001be</t>
  </si>
  <si>
    <t>0x000001c0</t>
  </si>
  <si>
    <t>0x000001c1</t>
  </si>
  <si>
    <t>0x000001d0</t>
  </si>
  <si>
    <t>0x000001d1</t>
  </si>
  <si>
    <t>0x000001ca</t>
  </si>
  <si>
    <t>BAT1S12</t>
  </si>
  <si>
    <t>0x000001cc</t>
  </si>
  <si>
    <t>0x000001ce</t>
  </si>
  <si>
    <t>0x000001cf</t>
  </si>
  <si>
    <t>0x000001de</t>
  </si>
  <si>
    <t>0x000001df</t>
  </si>
  <si>
    <t>0x000001d2</t>
  </si>
  <si>
    <t>0x000001d3</t>
  </si>
  <si>
    <t>0x000003d2</t>
  </si>
  <si>
    <t>0x000003d3</t>
  </si>
  <si>
    <t>0x000001d7</t>
  </si>
  <si>
    <t>0x000001d9</t>
  </si>
  <si>
    <t>0x000001dd</t>
  </si>
  <si>
    <t>0x000001e1</t>
  </si>
  <si>
    <t>0x000001e3</t>
  </si>
  <si>
    <t>0x000001ea</t>
  </si>
  <si>
    <t>0x000001fa</t>
  </si>
  <si>
    <t>0x000001eb</t>
  </si>
  <si>
    <t>0x000001f4</t>
  </si>
  <si>
    <t>0x00000602</t>
  </si>
  <si>
    <t>0x00000214</t>
  </si>
  <si>
    <t>0x0000020b</t>
  </si>
  <si>
    <t>0x0000020e</t>
  </si>
  <si>
    <t>0x00000255</t>
  </si>
  <si>
    <t>0x0000025a</t>
  </si>
  <si>
    <t>0x000002da</t>
  </si>
  <si>
    <t>0x0000027b</t>
  </si>
  <si>
    <t>0x00000382</t>
  </si>
  <si>
    <t>0x00000395</t>
  </si>
  <si>
    <t>0x000002a6</t>
  </si>
  <si>
    <t>0x000002af</t>
  </si>
  <si>
    <t>0x000002b3</t>
  </si>
  <si>
    <t>0x000002f3</t>
  </si>
  <si>
    <t>0x000002e5</t>
  </si>
  <si>
    <t>0x000002eb</t>
  </si>
  <si>
    <t>0x000002ee</t>
  </si>
  <si>
    <t>0x000002f9</t>
  </si>
  <si>
    <t>0x000002fd</t>
  </si>
  <si>
    <t>0x00000325</t>
  </si>
  <si>
    <t>0x0000031f</t>
  </si>
  <si>
    <t>0x00000337</t>
  </si>
  <si>
    <t>0x0000033f</t>
  </si>
  <si>
    <t>0x00000398</t>
  </si>
  <si>
    <t>0x0000031e</t>
  </si>
  <si>
    <t>0x00000321</t>
  </si>
  <si>
    <t>0x0000032a</t>
  </si>
  <si>
    <t>0x00000368</t>
  </si>
  <si>
    <t>0x0000036a</t>
  </si>
  <si>
    <t>0x0000032f</t>
  </si>
  <si>
    <t>0x00000375</t>
  </si>
  <si>
    <t>0x000003b5</t>
  </si>
  <si>
    <t>0x000003f5</t>
  </si>
  <si>
    <t>0x000003b6</t>
  </si>
  <si>
    <t>0x00000361</t>
  </si>
  <si>
    <t>0x00000349</t>
  </si>
  <si>
    <t>0x0000034c</t>
  </si>
  <si>
    <t>0x0000034d</t>
  </si>
  <si>
    <t>0x0000034e</t>
  </si>
  <si>
    <t>0x0000034f</t>
  </si>
  <si>
    <t>0x00000373</t>
  </si>
  <si>
    <t>0x00000355</t>
  </si>
  <si>
    <t>BDC1S20</t>
  </si>
  <si>
    <t>0x0000035d</t>
  </si>
  <si>
    <t>0x0000035f</t>
  </si>
  <si>
    <t>0x00000367</t>
  </si>
  <si>
    <t>0x0000036b</t>
  </si>
  <si>
    <t>0x0000036f</t>
  </si>
  <si>
    <t>0x0000036c</t>
  </si>
  <si>
    <t>0x0000036e</t>
  </si>
  <si>
    <t>0x0000037b</t>
  </si>
  <si>
    <t>0x000003f9</t>
  </si>
  <si>
    <t>0x000003fb</t>
  </si>
  <si>
    <t>0x0000037f</t>
  </si>
  <si>
    <t>0x00000381</t>
  </si>
  <si>
    <t>0x0000038a</t>
  </si>
  <si>
    <t>0x0000038b</t>
  </si>
  <si>
    <t>0x0000039a</t>
  </si>
  <si>
    <t>0x0000039b</t>
  </si>
  <si>
    <t>0x0000038d</t>
  </si>
  <si>
    <t>0x0000039d</t>
  </si>
  <si>
    <t>0x000003cd</t>
  </si>
  <si>
    <t>0x000003dd</t>
  </si>
  <si>
    <t>0x00000397</t>
  </si>
  <si>
    <t>0x0000039e</t>
  </si>
  <si>
    <t>0x0000039f</t>
  </si>
  <si>
    <t>0x000003a1</t>
  </si>
  <si>
    <t>0x000003a5</t>
  </si>
  <si>
    <t>0x000003e1</t>
  </si>
  <si>
    <t>0x000003e5</t>
  </si>
  <si>
    <t>0x000003a9</t>
  </si>
  <si>
    <t>0x000003ab</t>
  </si>
  <si>
    <t>0x000003e9</t>
  </si>
  <si>
    <t>0x000003eb</t>
  </si>
  <si>
    <t>0x000003ac</t>
  </si>
  <si>
    <t>0x000003ae</t>
  </si>
  <si>
    <t>0x000003b0</t>
  </si>
  <si>
    <t>0x000003b1</t>
  </si>
  <si>
    <t>0x000003b2</t>
  </si>
  <si>
    <t>0x000003b3</t>
  </si>
  <si>
    <t>0x000003b8</t>
  </si>
  <si>
    <t>0x000003b9</t>
  </si>
  <si>
    <t>0x000003bc</t>
  </si>
  <si>
    <t>0x000003bd</t>
  </si>
  <si>
    <t>0x000003bb</t>
  </si>
  <si>
    <t>0x000003bf</t>
  </si>
  <si>
    <t>0x000003c3</t>
  </si>
  <si>
    <t>0x000003c7</t>
  </si>
  <si>
    <t>0x000003c6</t>
  </si>
  <si>
    <t>0x000003ce</t>
  </si>
  <si>
    <t>0x000003d6</t>
  </si>
  <si>
    <t>0x000003de</t>
  </si>
  <si>
    <t>0x000003c8</t>
  </si>
  <si>
    <t>0x000003e8</t>
  </si>
  <si>
    <t>0x000003ca</t>
  </si>
  <si>
    <t>0x000003cb</t>
  </si>
  <si>
    <t>0x000003e7</t>
  </si>
  <si>
    <t>0x000003ef</t>
  </si>
  <si>
    <t>0x000003f0</t>
  </si>
  <si>
    <t>0x000003f2</t>
  </si>
  <si>
    <t>0x000003f4</t>
  </si>
  <si>
    <t>0x000003f6</t>
  </si>
  <si>
    <t>0x000003fc</t>
  </si>
  <si>
    <t>0x00000404</t>
  </si>
  <si>
    <t>0x00000408</t>
  </si>
  <si>
    <t>0x0000040c</t>
  </si>
  <si>
    <t>0x00000403</t>
  </si>
  <si>
    <t>0x00000405</t>
  </si>
  <si>
    <t>0x00000407</t>
  </si>
  <si>
    <t>0x0000040b</t>
  </si>
  <si>
    <t>0x0000040d</t>
  </si>
  <si>
    <t>0x0000050d</t>
  </si>
  <si>
    <t>0x00000423</t>
  </si>
  <si>
    <t>0x00000621</t>
  </si>
  <si>
    <t>0x00000623</t>
  </si>
  <si>
    <t>0x00000426</t>
  </si>
  <si>
    <t>0x00000622</t>
  </si>
  <si>
    <t>0x00000626</t>
  </si>
  <si>
    <t>0x00000429</t>
  </si>
  <si>
    <t>0x0000042a</t>
  </si>
  <si>
    <t>0x0000042b</t>
  </si>
  <si>
    <t>0x0000042c</t>
  </si>
  <si>
    <t>0x0000043c</t>
  </si>
  <si>
    <t>0x000004ac</t>
  </si>
  <si>
    <t>0x000004bc</t>
  </si>
  <si>
    <t>0x0000042f</t>
  </si>
  <si>
    <t>0x00000432</t>
  </si>
  <si>
    <t>0x00000530</t>
  </si>
  <si>
    <t>0x00000532</t>
  </si>
  <si>
    <t>0x00000439</t>
  </si>
  <si>
    <t>0x000004b8</t>
  </si>
  <si>
    <t>0x000004b9</t>
  </si>
  <si>
    <t>0x0000043b</t>
  </si>
  <si>
    <t>0x00000484</t>
  </si>
  <si>
    <t>0x000004a5</t>
  </si>
  <si>
    <t>0x00000495</t>
  </si>
  <si>
    <t>0x00000497</t>
  </si>
  <si>
    <t>0x000004a0</t>
  </si>
  <si>
    <t>0x000004ba</t>
  </si>
  <si>
    <t>0x00000507</t>
  </si>
  <si>
    <t>0x0000050c</t>
  </si>
  <si>
    <t>0x00000528</t>
  </si>
  <si>
    <t>0x0000052c</t>
  </si>
  <si>
    <t>0x0000050b</t>
  </si>
  <si>
    <t>0x0000052b</t>
  </si>
  <si>
    <t>0x0000050e</t>
  </si>
  <si>
    <t>0x0000051e</t>
  </si>
  <si>
    <t>0x00000535</t>
  </si>
  <si>
    <t>0x00000536</t>
  </si>
  <si>
    <t>0x00000537</t>
  </si>
  <si>
    <t>0x00000596</t>
  </si>
  <si>
    <t>0x000005ad</t>
  </si>
  <si>
    <t>0x0000062c</t>
  </si>
  <si>
    <t>0x0000062a</t>
  </si>
  <si>
    <t>#define CAN_CFG_FILTER_MASK_VALUE_32        (0x800003FFUL)</t>
  </si>
  <si>
    <t>#define CAN_CFG_FILTER_MASK_VALUE_33        (0x800001FFUL)</t>
  </si>
  <si>
    <t>#define CAN_CFG_HTHNUM_5                    (1U)</t>
  </si>
  <si>
    <t>#define CAN_CFG_HRHNUM_5                    (141U)</t>
  </si>
  <si>
    <t>#define CAN_CFG_MB_RXOFFSET_5               (9U)</t>
  </si>
  <si>
    <t>#define CAN_CFG_MBOXSET_5_MB009             (CAN_MB_RECEPTION|CAN_MB_INTERRUPT)</t>
  </si>
  <si>
    <t>#define CAN_CFG_MBOXSET_5_MB010             (CAN_MB_RECEPTION|CAN_MB_POLLING)</t>
  </si>
  <si>
    <t>#define CAN_CFG_MBOXSET_5_MB148             (CAN_MB_RECEPTION|CAN_MB_INTERRUPT)</t>
  </si>
  <si>
    <t>#define CAN_CFG_ID_VALUE_5_MB009            (0x00000440UL)</t>
  </si>
  <si>
    <t>#define CAN_CFG_ID_VALUE_5_MB010            (0x0000042CUL)</t>
  </si>
  <si>
    <t>#define CAN_CFG_ID_VALUE_5_MB011            (0x000003B0UL)</t>
  </si>
  <si>
    <t>#define CAN_CFG_ID_VALUE_5_MB012            (0x00000438UL)</t>
  </si>
  <si>
    <t>#define CAN_CFG_ID_VALUE_5_MB013            (0x000003A1UL)</t>
  </si>
  <si>
    <t>#define CAN_CFG_ID_VALUE_5_MB014            (0x00000380UL)</t>
  </si>
  <si>
    <t>#define CAN_CFG_ID_VALUE_5_MB015            (0x00000282UL)</t>
  </si>
  <si>
    <t>#define CAN_CFG_ID_VALUE_5_MB016            (0x00000401UL)</t>
  </si>
  <si>
    <t>#define CAN_CFG_ID_VALUE_5_MB017            (0x00000400UL)</t>
  </si>
  <si>
    <t>#define CAN_CFG_ID_VALUE_5_MB018            (0x00000354UL)</t>
  </si>
  <si>
    <t>#define CAN_CFG_ID_VALUE_5_MB019            (0x00000251UL)</t>
  </si>
  <si>
    <t>#define CAN_CFG_ID_VALUE_5_MB020            (0x00000506UL)</t>
  </si>
  <si>
    <t>#define CAN_CFG_ID_VALUE_5_MB021            (0x0000016EUL)</t>
  </si>
  <si>
    <t>#define CAN_CFG_ID_VALUE_5_MB022            (0x00000207UL)</t>
  </si>
  <si>
    <t>#define CAN_CFG_ID_VALUE_5_MB023            (0x0000020BUL)</t>
  </si>
  <si>
    <t>#define CAN_CFG_ID_VALUE_5_MB024            (0x00000348UL)</t>
  </si>
  <si>
    <t>#define CAN_CFG_ID_VALUE_5_MB025            (0x000001C0UL)</t>
  </si>
  <si>
    <t>#define CAN_CFG_ID_VALUE_5_MB026            (0x0000020EUL)</t>
  </si>
  <si>
    <t>#define CAN_CFG_ID_VALUE_5_MB027            (0x000001D9UL)</t>
  </si>
  <si>
    <t>#define CAN_CFG_ID_VALUE_5_MB028            (0x00000204UL)</t>
  </si>
  <si>
    <t>#define CAN_CFG_ID_VALUE_5_MB029            (0x00000124UL)</t>
  </si>
  <si>
    <t>#define CAN_CFG_ID_VALUE_5_MB030            (0x00000379UL)</t>
  </si>
  <si>
    <t>#define CAN_CFG_ID_VALUE_5_MB031            (0x00000485UL)</t>
  </si>
  <si>
    <t>#define CAN_CFG_ID_VALUE_5_MB032            (0x0000038AUL)</t>
  </si>
  <si>
    <t>#define CAN_CFG_ID_VALUE_5_MB033            (0x0000038DUL)</t>
  </si>
  <si>
    <t>#define CAN_CFG_ID_VALUE_5_MB034            (0x000001F4UL)</t>
  </si>
  <si>
    <t>#define CAN_CFG_ID_VALUE_5_MB035            (0x000001CEUL)</t>
  </si>
  <si>
    <t>#define CAN_CFG_ID_VALUE_5_MB036            (0x00000421UL)</t>
  </si>
  <si>
    <t>#define CAN_CFG_ID_VALUE_5_MB037            (0x00000422UL)</t>
  </si>
  <si>
    <t>#define CAN_CFG_ID_VALUE_5_MB038            (0x00000624UL)</t>
  </si>
  <si>
    <t>#define CAN_CFG_ID_VALUE_5_MB039            (0x000003FCUL)</t>
  </si>
  <si>
    <t>#define CAN_CFG_ID_VALUE_5_MB040            (0x00000306UL)</t>
  </si>
  <si>
    <t>#define CAN_CFG_ID_VALUE_5_MB041            (0x00000305UL)</t>
  </si>
  <si>
    <t>#define CAN_CFG_ID_VALUE_5_MB042            (0x00000629UL)</t>
  </si>
  <si>
    <t>#define CAN_CFG_ID_VALUE_5_MB043            (0x0000062AUL)</t>
  </si>
  <si>
    <t>#define CAN_CFG_ID_VALUE_5_MB044            (0x00000396UL)</t>
  </si>
  <si>
    <t>#define CAN_CFG_ID_VALUE_5_MB045            (0x00000335UL)</t>
  </si>
  <si>
    <t>#define CAN_CFG_ID_VALUE_5_MB046            (0x000003B8UL)</t>
  </si>
  <si>
    <t>#define CAN_CFG_ID_VALUE_5_MB047            (0x000004BAUL)</t>
  </si>
  <si>
    <t>#define CAN_CFG_ID_VALUE_5_MB048            (0x00000312UL)</t>
  </si>
  <si>
    <t>#define CAN_CFG_ID_VALUE_5_MB049            (0x00000320UL)</t>
  </si>
  <si>
    <t>#define CAN_CFG_ID_VALUE_5_MB050            (0x00000328UL)</t>
  </si>
  <si>
    <t>#define CAN_CFG_ID_VALUE_5_MB051            (0x00000353UL)</t>
  </si>
  <si>
    <t>#define CAN_CFG_ID_VALUE_5_MB052            (0x00000140UL)</t>
  </si>
  <si>
    <t>#define CAN_CFG_ID_VALUE_5_MB053            (0x00000086UL)</t>
  </si>
  <si>
    <t>#define CAN_CFG_ID_VALUE_5_MB054            (0x000001D2UL)</t>
  </si>
  <si>
    <t>#define CAN_CFG_ID_VALUE_5_MB055            (0x0000009CUL)</t>
  </si>
  <si>
    <t>#define CAN_CFG_ID_VALUE_5_MB056            (0x00000364UL)</t>
  </si>
  <si>
    <t>#define CAN_CFG_ID_VALUE_5_MB057            (0x00000317UL)</t>
  </si>
  <si>
    <t>#define CAN_CFG_ID_VALUE_5_MB058            (0x00000013UL)</t>
  </si>
  <si>
    <t>#define CAN_CFG_ID_VALUE_5_MB059            (0x00000341UL)</t>
  </si>
  <si>
    <t>#define CAN_CFG_ID_VALUE_5_MB060            (0x000001E1UL)</t>
  </si>
  <si>
    <t>#define CAN_CFG_ID_VALUE_5_MB061            (0x00000363UL)</t>
  </si>
  <si>
    <t>#define CAN_CFG_ID_VALUE_5_MB062            (0x000001A0UL)</t>
  </si>
  <si>
    <t>#define CAN_CFG_ID_VALUE_5_MB063            (0x00000358UL)</t>
  </si>
  <si>
    <t>#define CAN_CFG_ID_VALUE_5_MB064            (0x0000035DUL)</t>
  </si>
  <si>
    <t>#define CAN_CFG_ID_VALUE_5_MB065            (0x00000393UL)</t>
  </si>
  <si>
    <t>#define CAN_CFG_ID_VALUE_5_MB066            (0x00000295UL)</t>
  </si>
  <si>
    <t>#define CAN_CFG_ID_VALUE_5_MB067            (0x000003ACUL)</t>
  </si>
  <si>
    <t>#define CAN_CFG_ID_VALUE_5_MB068            (0x000003C6UL)</t>
  </si>
  <si>
    <t>#define CAN_CFG_ID_VALUE_5_MB069            (0x000003C3UL)</t>
  </si>
  <si>
    <t>#define CAN_CFG_ID_VALUE_5_MB070            (0x000003A9UL)</t>
  </si>
  <si>
    <t>#define CAN_CFG_ID_VALUE_5_MB071            (0x000003E7UL)</t>
  </si>
  <si>
    <t>#define CAN_CFG_ID_VALUE_5_MB072            (0x00000428UL)</t>
  </si>
  <si>
    <t>#define CAN_CFG_ID_VALUE_5_MB073            (0x00000430UL)</t>
  </si>
  <si>
    <t>#define CAN_CFG_ID_VALUE_5_MB074            (0x00000480UL)</t>
  </si>
  <si>
    <t>#define CAN_CFG_ID_VALUE_5_MB075            (0x00000491UL)</t>
  </si>
  <si>
    <t>#define CAN_CFG_ID_VALUE_5_MB076            (0x0000034EUL)</t>
  </si>
  <si>
    <t>#define CAN_CFG_ID_VALUE_5_MB077            (0x00000496UL)</t>
  </si>
  <si>
    <t>#define CAN_CFG_ID_VALUE_5_MB078            (0x00000526UL)</t>
  </si>
  <si>
    <t>#define CAN_CFG_ID_VALUE_5_MB079            (0x0000050BUL)</t>
  </si>
  <si>
    <t>#define CAN_CFG_ID_VALUE_5_MB080            (0x00000508UL)</t>
  </si>
  <si>
    <t>#define CAN_CFG_ID_VALUE_5_MB081            (0x00000531UL)</t>
  </si>
  <si>
    <t>#define CAN_CFG_ID_VALUE_5_MB082            (0x00000534UL)</t>
  </si>
  <si>
    <t>#define CAN_CFG_ID_VALUE_5_MB083            (0x00000538UL)</t>
  </si>
  <si>
    <t>#define CAN_CFG_ID_VALUE_5_MB084            (0x000002B3UL)</t>
  </si>
  <si>
    <t>#define CAN_CFG_ID_VALUE_5_MB085            (0x000003C8UL)</t>
  </si>
  <si>
    <t>#define CAN_CFG_ID_VALUE_5_MB086            (0x000003F0UL)</t>
  </si>
  <si>
    <t>#define CAN_CFG_ID_VALUE_5_MB087            (0x0000031EUL)</t>
  </si>
  <si>
    <t>#define CAN_CFG_ID_VALUE_5_MB088            (0x0000050EUL)</t>
  </si>
  <si>
    <t>#define CAN_CFG_ID_VALUE_5_MB089            (0x0000040DUL)</t>
  </si>
  <si>
    <t>#define CAN_CFG_ID_VALUE_5_MB090            (0x00000610UL)</t>
  </si>
  <si>
    <t>#define CAN_CFG_ID_VALUE_5_MB091            (0x00000202UL)</t>
  </si>
  <si>
    <t>#define CAN_CFG_ID_VALUE_5_MB092            (0x00000592UL)</t>
  </si>
  <si>
    <t>#define CAN_CFG_ID_VALUE_5_MB093            (0x0000018DUL)</t>
  </si>
  <si>
    <t>#define CAN_CFG_ID_VALUE_5_MB094            (0x0000019AUL)</t>
  </si>
  <si>
    <t>#define CAN_CFG_ID_VALUE_5_MB095            (0x000003CAUL)</t>
  </si>
  <si>
    <t>#define CAN_CFG_ID_VALUE_5_MB096            (0x00000235UL)</t>
  </si>
  <si>
    <t>#define CAN_CFG_ID_VALUE_5_MB097            (0x000002AFUL)</t>
  </si>
  <si>
    <t>#define CAN_CFG_ID_VALUE_5_MB098            (0x000000B8UL)</t>
  </si>
  <si>
    <t>#define CAN_CFG_ID_VALUE_5_MB099            (0x000002EEUL)</t>
  </si>
  <si>
    <t>#define CAN_CFG_ID_VALUE_5_MB100            (0x000001D7UL)</t>
  </si>
  <si>
    <t>#define CAN_CFG_ID_VALUE_5_MB101            (0x0000025AUL)</t>
  </si>
  <si>
    <t>#define CAN_CFG_ID_VALUE_5_MB102            (0x000002E5UL)</t>
  </si>
  <si>
    <t>#define CAN_CFG_ID_VALUE_5_MB103            (0x00000122UL)</t>
  </si>
  <si>
    <t>#define CAN_CFG_ID_VALUE_5_MB104            (0x00000285UL)</t>
  </si>
  <si>
    <t>#define CAN_CFG_ID_VALUE_5_MB105            (0x00000608UL)</t>
  </si>
  <si>
    <t>#define CAN_CFG_ID_VALUE_5_MB106            (0x00000411UL)</t>
  </si>
  <si>
    <t>#define CAN_CFG_ID_VALUE_5_MB107            (0x00000412UL)</t>
  </si>
  <si>
    <t>#define CAN_CFG_ID_VALUE_5_MB108            (0x000004A0UL)</t>
  </si>
  <si>
    <t>#define CAN_CFG_ID_VALUE_5_MB109            (0x000003BBUL)</t>
  </si>
  <si>
    <t>#define CAN_CFG_ID_VALUE_5_MB110            (0x000001BCUL)</t>
  </si>
  <si>
    <t>#define CAN_CFG_ID_VALUE_5_MB111            (0x00000128UL)</t>
  </si>
  <si>
    <t>#define CAN_CFG_ID_VALUE_5_MB112            (0x0000042FUL)</t>
  </si>
  <si>
    <t>#define CAN_CFG_ID_VALUE_5_MB113            (0x00000336UL)</t>
  </si>
  <si>
    <t>#define CAN_CFG_ID_VALUE_5_MB114            (0x0000040BUL)</t>
  </si>
  <si>
    <t>#define CAN_CFG_ID_VALUE_5_MB115            (0x000001EAUL)</t>
  </si>
  <si>
    <t>#define CAN_CFG_ID_VALUE_5_MB116            (0x000002EBUL)</t>
  </si>
  <si>
    <t>#define CAN_CFG_ID_VALUE_5_MB117            (0x000000A4UL)</t>
  </si>
  <si>
    <t>#define CAN_CFG_ID_VALUE_5_MB118            (0x000000FCUL)</t>
  </si>
  <si>
    <t>#define CAN_CFG_ID_VALUE_5_MB119            (0x00000062UL)</t>
  </si>
  <si>
    <t>#define CAN_CFG_ID_VALUE_5_MB120            (0x000001CAUL)</t>
  </si>
  <si>
    <t>#define CAN_CFG_ID_VALUE_5_MB121            (0x0000015AUL)</t>
  </si>
  <si>
    <t>#define CAN_CFG_ID_VALUE_5_MB122            (0x00000100UL)</t>
  </si>
  <si>
    <t>#define CAN_CFG_ID_VALUE_5_MB123            (0x000001B2UL)</t>
  </si>
  <si>
    <t>#define CAN_CFG_ID_VALUE_5_MB124            (0x00000633UL)</t>
  </si>
  <si>
    <t>#define CAN_CFG_ID_VALUE_5_MB125            (0x0000014BUL)</t>
  </si>
  <si>
    <t>#define CAN_CFG_ID_VALUE_5_MB126            (0x000005ADUL)</t>
  </si>
  <si>
    <t>#define CAN_CFG_ID_VALUE_5_MB127            (0x0000043BUL)</t>
  </si>
  <si>
    <t>#define CAN_CFG_ID_VALUE_5_MB128            (0x00000314UL)</t>
  </si>
  <si>
    <t>#define CAN_CFG_ID_VALUE_5_MB129            (0x0000027BUL)</t>
  </si>
  <si>
    <t>#define CAN_CFG_ID_VALUE_5_MB130            (0x000001CCUL)</t>
  </si>
  <si>
    <t>#define CAN_CFG_ID_VALUE_5_MB131            (0x00000296UL)</t>
  </si>
  <si>
    <t>#define CAN_CFG_ID_VALUE_5_MB132            (0x000002A6UL)</t>
  </si>
  <si>
    <t>#define CAN_CFG_ID_VALUE_5_MB133            (0x0000014DUL)</t>
  </si>
  <si>
    <t>#define CAN_CFG_ID_VALUE_5_MB134            (0x0000032FUL)</t>
  </si>
  <si>
    <t>#define CAN_CFG_ID_VALUE_5_MB135            (0x000002F9UL)</t>
  </si>
  <si>
    <t>#define CAN_CFG_ID_VALUE_5_MB136            (0x000001EBUL)</t>
  </si>
  <si>
    <t>#define CAN_CFG_ID_VALUE_5_MB137            (0x000001BBUL)</t>
  </si>
  <si>
    <t>#define CAN_CFG_ID_VALUE_5_MB138            (0x00000347UL)</t>
  </si>
  <si>
    <t>#define CAN_CFG_ID_VALUE_5_MB139            (0x00000417UL)</t>
  </si>
  <si>
    <t>#define CAN_CFG_ID_VALUE_5_MB140            (0x00000418UL)</t>
  </si>
  <si>
    <t>#define CAN_CFG_ID_VALUE_5_MB141            (0x00000318UL)</t>
  </si>
  <si>
    <t>#define CAN_CFG_ID_VALUE_5_MB142            (0x00000069UL)</t>
  </si>
  <si>
    <t>#define CAN_CFG_ID_VALUE_5_MB143            (0x000000B7UL)</t>
  </si>
  <si>
    <t>#define CAN_CFG_ID_VALUE_5_MB144            (0x00000601UL)</t>
  </si>
  <si>
    <t>#define CAN_CFG_ID_VALUE_5_MB145            (0x0000037FUL)</t>
  </si>
  <si>
    <t>#define CAN_CFG_ID_VALUE_5_MB146            (0x0000036EUL)</t>
  </si>
  <si>
    <t>#define CAN_CFG_ID_VALUE_5_MB147            (0x00000390UL)</t>
  </si>
  <si>
    <t>#define CAN_CFG_ID_VALUE_5_MB148            (0x98DA0000UL)</t>
  </si>
  <si>
    <t>#define CAN_CFG_ID_VALUE_5_MB149            (0x98000000UL)</t>
  </si>
  <si>
    <t>#define CAN_CFG_MASK_REFERENCE_5_MB009      (CAN_RXMASK_0)</t>
  </si>
  <si>
    <t>#define CAN_CFG_MASK_REFERENCE_5_MB010      (CAN_RXMASK_1)</t>
  </si>
  <si>
    <t>#define CAN_CFG_MASK_REFERENCE_5_MB011      (CAN_RXMASK_2)</t>
  </si>
  <si>
    <t>#define CAN_CFG_MASK_REFERENCE_5_MB012      (CAN_RXMASK_3)</t>
  </si>
  <si>
    <t>#define CAN_CFG_MASK_REFERENCE_5_MB013      (CAN_RXMASK_4)</t>
  </si>
  <si>
    <t>#define CAN_CFG_MASK_REFERENCE_5_MB014      (CAN_RXMASK_21)</t>
  </si>
  <si>
    <t>#define CAN_CFG_MASK_REFERENCE_5_MB015      (CAN_RXMASK_22)</t>
  </si>
  <si>
    <t>#define CAN_CFG_MASK_REFERENCE_5_MB016      (CAN_RXMASK_5)</t>
  </si>
  <si>
    <t>#define CAN_CFG_MASK_REFERENCE_5_MB017      (CAN_RXMASK_6)</t>
  </si>
  <si>
    <t>#define CAN_CFG_MASK_REFERENCE_5_MB018      (CAN_RXMASK_21)</t>
  </si>
  <si>
    <t>#define CAN_CFG_MASK_REFERENCE_5_MB019      (CAN_RXMASK_23)</t>
  </si>
  <si>
    <t>#define CAN_CFG_MASK_REFERENCE_5_MB020      (CAN_RXMASK_21)</t>
  </si>
  <si>
    <t>#define CAN_CFG_MASK_REFERENCE_5_MB021      (CAN_RXMASK_24)</t>
  </si>
  <si>
    <t>#define CAN_CFG_MASK_REFERENCE_5_MB024      (CAN_RXMASK_7)</t>
  </si>
  <si>
    <t>#define CAN_CFG_MASK_REFERENCE_5_MB025      (CAN_RXMASK_8)</t>
  </si>
  <si>
    <t>#define CAN_CFG_MASK_REFERENCE_5_MB027      (CAN_RXMASK_23)</t>
  </si>
  <si>
    <t>#define CAN_CFG_MASK_REFERENCE_5_MB028      (CAN_RXMASK_24)</t>
  </si>
  <si>
    <t>#define CAN_CFG_MASK_REFERENCE_5_MB029      (CAN_RXMASK_25)</t>
  </si>
  <si>
    <t>#define CAN_CFG_MASK_REFERENCE_5_MB030      (CAN_RXMASK_9)</t>
  </si>
  <si>
    <t>#define CAN_CFG_MASK_REFERENCE_5_MB031      (CAN_RXMASK_26)</t>
  </si>
  <si>
    <t>#define CAN_CFG_MASK_REFERENCE_5_MB032      (CAN_RXMASK_8)</t>
  </si>
  <si>
    <t>#define CAN_CFG_MASK_REFERENCE_5_MB033      (CAN_RXMASK_10)</t>
  </si>
  <si>
    <t>#define CAN_CFG_MASK_REFERENCE_5_MB035      (CAN_RXMASK_8)</t>
  </si>
  <si>
    <t>#define CAN_CFG_MASK_REFERENCE_5_MB036      (CAN_RXMASK_11)</t>
  </si>
  <si>
    <t>#define CAN_CFG_MASK_REFERENCE_5_MB037      (CAN_RXMASK_12)</t>
  </si>
  <si>
    <t>#define CAN_CFG_MASK_REFERENCE_5_MB038      (CAN_RXMASK_27)</t>
  </si>
  <si>
    <t>#define CAN_CFG_MASK_REFERENCE_5_MB041      (CAN_RXMASK_26)</t>
  </si>
  <si>
    <t>#define CAN_CFG_MASK_REFERENCE_5_MB044      (CAN_RXMASK_13)</t>
  </si>
  <si>
    <t>#define CAN_CFG_MASK_REFERENCE_5_MB045      (CAN_RXMASK_14)</t>
  </si>
  <si>
    <t>#define CAN_CFG_MASK_REFERENCE_5_MB046      (CAN_RXMASK_7)</t>
  </si>
  <si>
    <t>#define CAN_CFG_MASK_REFERENCE_5_MB049      (CAN_RXMASK_21)</t>
  </si>
  <si>
    <t>#define CAN_CFG_MASK_REFERENCE_5_MB050      (CAN_RXMASK_15)</t>
  </si>
  <si>
    <t>#define CAN_CFG_MASK_REFERENCE_5_MB051      (CAN_RXMASK_26)</t>
  </si>
  <si>
    <t>#define CAN_CFG_MASK_REFERENCE_5_MB052      (CAN_RXMASK_16)</t>
  </si>
  <si>
    <t>#define CAN_CFG_MASK_REFERENCE_5_MB053      (CAN_RXMASK_22)</t>
  </si>
  <si>
    <t>#define CAN_CFG_MASK_REFERENCE_5_MB054      (CAN_RXMASK_17)</t>
  </si>
  <si>
    <t>#define CAN_CFG_MASK_REFERENCE_5_MB055      (CAN_RXMASK_28)</t>
  </si>
  <si>
    <t>#define CAN_CFG_MASK_REFERENCE_5_MB056      (CAN_RXMASK_27)</t>
  </si>
  <si>
    <t>#define CAN_CFG_MASK_REFERENCE_5_MB057      (CAN_RXMASK_18)</t>
  </si>
  <si>
    <t>#define CAN_CFG_MASK_REFERENCE_5_MB058      (CAN_RXMASK_27)</t>
  </si>
  <si>
    <t>#define CAN_CFG_MASK_REFERENCE_5_MB059      (CAN_RXMASK_26)</t>
  </si>
  <si>
    <t>#define CAN_CFG_MASK_REFERENCE_5_MB060      (CAN_RXMASK_28)</t>
  </si>
  <si>
    <t>#define CAN_CFG_MASK_REFERENCE_5_MB061      (CAN_RXMASK_6)</t>
  </si>
  <si>
    <t>#define CAN_CFG_MASK_REFERENCE_5_MB063      (CAN_RXMASK_26)</t>
  </si>
  <si>
    <t>#define CAN_CFG_MASK_REFERENCE_5_MB064      (CAN_RXMASK_28)</t>
  </si>
  <si>
    <t>#define CAN_CFG_MASK_REFERENCE_5_MB066      (CAN_RXMASK_22)</t>
  </si>
  <si>
    <t>#define CAN_CFG_MASK_REFERENCE_5_MB067      (CAN_RXMASK_28)</t>
  </si>
  <si>
    <t>#define CAN_CFG_MASK_REFERENCE_5_MB068      (CAN_RXMASK_16)</t>
  </si>
  <si>
    <t>#define CAN_CFG_MASK_REFERENCE_5_MB069      (CAN_RXMASK_23)</t>
  </si>
  <si>
    <t>#define CAN_CFG_MASK_REFERENCE_5_MB070      (CAN_RXMASK_15)</t>
  </si>
  <si>
    <t>#define CAN_CFG_MASK_REFERENCE_5_MB071      (CAN_RXMASK_27)</t>
  </si>
  <si>
    <t>#define CAN_CFG_MASK_REFERENCE_5_MB072      (CAN_RXMASK_2)</t>
  </si>
  <si>
    <t>#define CAN_CFG_MASK_REFERENCE_5_MB073      (CAN_RXMASK_19)</t>
  </si>
  <si>
    <t>#define CAN_CFG_MASK_REFERENCE_5_MB074      (CAN_RXMASK_23)</t>
  </si>
  <si>
    <t>#define CAN_CFG_MASK_REFERENCE_5_MB076      (CAN_RXMASK_21)</t>
  </si>
  <si>
    <t>#define CAN_CFG_MASK_REFERENCE_5_MB079      (CAN_RXMASK_26)</t>
  </si>
  <si>
    <t>#define CAN_CFG_MASK_REFERENCE_5_MB080      (CAN_RXMASK_20)</t>
  </si>
  <si>
    <t>#define CAN_CFG_MASK_REFERENCE_5_MB082      (CAN_RXMASK_2)</t>
  </si>
  <si>
    <t>#define CAN_CFG_MASK_REFERENCE_5_MB084      (CAN_RXMASK_29)</t>
  </si>
  <si>
    <t>#define CAN_CFG_MASK_REFERENCE_5_MB085      (CAN_RXMASK_26)</t>
  </si>
  <si>
    <t>#define CAN_CFG_MASK_REFERENCE_5_MB086      (CAN_RXMASK_5)</t>
  </si>
  <si>
    <t>#define CAN_CFG_MASK_REFERENCE_5_MB088      (CAN_RXMASK_24)</t>
  </si>
  <si>
    <t>#define CAN_CFG_MASK_REFERENCE_5_MB089      (CAN_RXMASK_22)</t>
  </si>
  <si>
    <t>#define CAN_CFG_MASK_REFERENCE_5_MB091      (CAN_RXMASK_30)</t>
  </si>
  <si>
    <t>#define CAN_CFG_MASK_REFERENCE_5_MB092      (CAN_RXMASK_23)</t>
  </si>
  <si>
    <t>#define CAN_CFG_MASK_REFERENCE_5_MB095      (CAN_RXMASK_21)</t>
  </si>
  <si>
    <t>#define CAN_CFG_MASK_REFERENCE_5_MB101      (CAN_RXMASK_25)</t>
  </si>
  <si>
    <t>#define CAN_CFG_MASK_REFERENCE_5_MB109      (CAN_RXMASK_23)</t>
  </si>
  <si>
    <t>#define CAN_CFG_MASK_REFERENCE_5_MB110      (CAN_RXMASK_28)</t>
  </si>
  <si>
    <t>#define CAN_CFG_MASK_REFERENCE_5_MB113      (CAN_RXMASK_25)</t>
  </si>
  <si>
    <t>#define CAN_CFG_MASK_REFERENCE_5_MB115      (CAN_RXMASK_24)</t>
  </si>
  <si>
    <t>#define CAN_CFG_MASK_REFERENCE_5_MB119      (CAN_RXMASK_27)</t>
  </si>
  <si>
    <t>#define CAN_CFG_MASK_REFERENCE_5_MB122      (CAN_RXMASK_30)</t>
  </si>
  <si>
    <t>#define CAN_CFG_MASK_REFERENCE_5_MB125      (CAN_RXMASK_23)</t>
  </si>
  <si>
    <t>#define CAN_CFG_MASK_REFERENCE_5_MB135      (CAN_RXMASK_23)</t>
  </si>
  <si>
    <t>#define CAN_CFG_MASK_REFERENCE_5_MB141      (CAN_RXMASK_25)</t>
  </si>
  <si>
    <t>#define CAN_CFG_MASK_REFERENCE_5_MB148      (CAN_RXMASK_31)</t>
  </si>
  <si>
    <t>#define CAN_CFG_MASK_REFERENCE_5_MB149      (CAN_RXMASK_32)</t>
  </si>
  <si>
    <t>#define CAN_CFG_MASK_REFERENCE_7_MB087      (CAN_RXMASK_33)</t>
  </si>
  <si>
    <t>m</t>
  </si>
  <si>
    <t>CAN_CFG_FILTER_MASK_VALUE_0    </t>
  </si>
  <si>
    <t>CAN_CFG_FILTER_MASK_VALUE_1    </t>
  </si>
  <si>
    <t>CAN_CFG_FILTER_MASK_VALUE_2    </t>
  </si>
  <si>
    <t>CAN_CFG_FILTER_MASK_VALUE_3    </t>
  </si>
  <si>
    <t>CAN_CFG_FILTER_MASK_VALUE_4    </t>
  </si>
  <si>
    <t>CAN_CFG_FILTER_MASK_VALUE_5    </t>
  </si>
  <si>
    <t>CAN_CFG_FILTER_MASK_VALUE_6    </t>
  </si>
  <si>
    <t>CAN_CFG_FILTER_MASK_VALUE_7    </t>
  </si>
  <si>
    <t>CAN_CFG_FILTER_MASK_VALUE_8    </t>
  </si>
  <si>
    <t>CAN_CFG_FILTER_MASK_VALUE_9    </t>
  </si>
  <si>
    <t>CAN_CFG_FILTER_MASK_VALUE_10    </t>
  </si>
  <si>
    <t>CAN_CFG_FILTER_MASK_VALUE_11    </t>
  </si>
  <si>
    <t>CAN_CFG_FILTER_MASK_VALUE_12    </t>
  </si>
  <si>
    <t>CAN_CFG_FILTER_MASK_VALUE_13    </t>
  </si>
  <si>
    <t>CAN_CFG_FILTER_MASK_VALUE_14    </t>
  </si>
  <si>
    <t>CAN_CFG_FILTER_MASK_VALUE_15    </t>
  </si>
  <si>
    <t>CAN_CFG_FILTER_MASK_VALUE_16    </t>
  </si>
  <si>
    <t>CAN_CFG_FILTER_MASK_VALUE_17    </t>
  </si>
  <si>
    <t>CAN_CFG_FILTER_MASK_VALUE_18    </t>
  </si>
  <si>
    <t>CAN_CFG_FILTER_MASK_VALUE_19    </t>
  </si>
  <si>
    <t>CAN_CFG_FILTER_MASK_VALUE_20    </t>
  </si>
  <si>
    <t>CAN_CFG_FILTER_MASK_VALUE_21    </t>
  </si>
  <si>
    <t>CAN_CFG_FILTER_MASK_VALUE_22    </t>
  </si>
  <si>
    <t>CAN_CFG_FILTER_MASK_VALUE_23    </t>
  </si>
  <si>
    <t>CAN_CFG_FILTER_MASK_VALUE_24    </t>
  </si>
  <si>
    <t>CAN_CFG_FILTER_MASK_VALUE_25    </t>
  </si>
  <si>
    <t>CAN_CFG_FILTER_MASK_VALUE_26    </t>
  </si>
  <si>
    <t>CAN_CFG_FILTER_MASK_VALUE_27    </t>
  </si>
  <si>
    <t>CAN_CFG_FILTER_MASK_VALUE_28    </t>
  </si>
  <si>
    <t>CAN_CFG_FILTER_MASK_VALUE_29    </t>
  </si>
  <si>
    <t>CAN_CFG_FILTER_MASK_VALUE_30    </t>
  </si>
  <si>
    <t>CAN_CFG_FILTER_MASK_VALUE_31    </t>
  </si>
  <si>
    <t>CAN_CFG_FILTER_MASK_VALUE_32    </t>
  </si>
  <si>
    <t>CAN_CFG_FILTER_MASK_VALUE_33    </t>
  </si>
  <si>
    <t>CAN_CFG_ID_VALUE_5_MB010      </t>
  </si>
  <si>
    <t>CAN_CFG_ID_VALUE_5_MB011      </t>
  </si>
  <si>
    <t>CAN_CFG_ID_VALUE_5_MB012      </t>
  </si>
  <si>
    <t>CAN_CFG_ID_VALUE_5_MB013      </t>
  </si>
  <si>
    <t>CAN_CFG_ID_VALUE_5_MB014      </t>
  </si>
  <si>
    <t>CAN_CFG_ID_VALUE_5_MB015      </t>
  </si>
  <si>
    <t>CAN_CFG_ID_VALUE_5_MB016      </t>
  </si>
  <si>
    <t>CAN_CFG_ID_VALUE_5_MB017      </t>
  </si>
  <si>
    <t>CAN_CFG_ID_VALUE_5_MB018      </t>
  </si>
  <si>
    <t>CAN_CFG_ID_VALUE_5_MB019      </t>
  </si>
  <si>
    <t>CAN_CFG_ID_VALUE_5_MB020      </t>
  </si>
  <si>
    <t>CAN_CFG_ID_VALUE_5_MB021      </t>
  </si>
  <si>
    <t>CAN_CFG_ID_VALUE_5_MB022      </t>
  </si>
  <si>
    <t>CAN_CFG_ID_VALUE_5_MB023      </t>
  </si>
  <si>
    <t>CAN_CFG_ID_VALUE_5_MB024      </t>
  </si>
  <si>
    <t>CAN_CFG_ID_VALUE_5_MB025      </t>
  </si>
  <si>
    <t>CAN_CFG_ID_VALUE_5_MB026      </t>
  </si>
  <si>
    <t>CAN_CFG_ID_VALUE_5_MB027      </t>
  </si>
  <si>
    <t>CAN_CFG_ID_VALUE_5_MB028      </t>
  </si>
  <si>
    <t>CAN_CFG_ID_VALUE_5_MB029      </t>
  </si>
  <si>
    <t>CAN_CFG_ID_VALUE_5_MB030      </t>
  </si>
  <si>
    <t>CAN_CFG_ID_VALUE_5_MB031      </t>
  </si>
  <si>
    <t>CAN_CFG_ID_VALUE_5_MB032      </t>
  </si>
  <si>
    <t>CAN_CFG_ID_VALUE_5_MB033      </t>
  </si>
  <si>
    <t>CAN_CFG_ID_VALUE_5_MB034      </t>
  </si>
  <si>
    <t>CAN_CFG_ID_VALUE_5_MB035      </t>
  </si>
  <si>
    <t>CAN_CFG_ID_VALUE_5_MB036      </t>
  </si>
  <si>
    <t>CAN_CFG_ID_VALUE_5_MB037      </t>
  </si>
  <si>
    <t>CAN_CFG_ID_VALUE_5_MB038      </t>
  </si>
  <si>
    <t>CAN_CFG_ID_VALUE_5_MB039      </t>
  </si>
  <si>
    <t>CAN_CFG_ID_VALUE_5_MB040      </t>
  </si>
  <si>
    <t>CAN_CFG_ID_VALUE_5_MB041      </t>
  </si>
  <si>
    <t>CAN_CFG_ID_VALUE_5_MB042      </t>
  </si>
  <si>
    <t>CAN_CFG_ID_VALUE_5_MB043      </t>
  </si>
  <si>
    <t>CAN_CFG_ID_VALUE_5_MB044      </t>
  </si>
  <si>
    <t>CAN_CFG_ID_VALUE_5_MB045      </t>
  </si>
  <si>
    <t>CAN_CFG_ID_VALUE_5_MB046      </t>
  </si>
  <si>
    <t>CAN_CFG_ID_VALUE_5_MB047      </t>
  </si>
  <si>
    <t>CAN_CFG_ID_VALUE_5_MB048      </t>
  </si>
  <si>
    <t>CAN_CFG_ID_VALUE_5_MB049      </t>
  </si>
  <si>
    <t>CAN_CFG_ID_VALUE_5_MB050      </t>
  </si>
  <si>
    <t>CAN_CFG_ID_VALUE_5_MB051      </t>
  </si>
  <si>
    <t>CAN_CFG_ID_VALUE_5_MB052      </t>
  </si>
  <si>
    <t>CAN_CFG_ID_VALUE_5_MB053      </t>
  </si>
  <si>
    <t>CAN_CFG_ID_VALUE_5_MB054      </t>
  </si>
  <si>
    <t>CAN_CFG_ID_VALUE_5_MB055      </t>
  </si>
  <si>
    <t>CAN_CFG_ID_VALUE_5_MB056      </t>
  </si>
  <si>
    <t>CAN_CFG_ID_VALUE_5_MB057      </t>
  </si>
  <si>
    <t>CAN_CFG_ID_VALUE_5_MB058      </t>
  </si>
  <si>
    <t>CAN_CFG_ID_VALUE_5_MB059      </t>
  </si>
  <si>
    <t>CAN_CFG_ID_VALUE_5_MB060      </t>
  </si>
  <si>
    <t>CAN_CFG_ID_VALUE_5_MB061      </t>
  </si>
  <si>
    <t>CAN_CFG_ID_VALUE_5_MB062      </t>
  </si>
  <si>
    <t>CAN_CFG_ID_VALUE_5_MB063      </t>
  </si>
  <si>
    <t>CAN_CFG_ID_VALUE_5_MB064      </t>
  </si>
  <si>
    <t>CAN_CFG_ID_VALUE_5_MB065      </t>
  </si>
  <si>
    <t>CAN_CFG_ID_VALUE_5_MB066      </t>
  </si>
  <si>
    <t>CAN_CFG_ID_VALUE_5_MB067      </t>
  </si>
  <si>
    <t>CAN_CFG_ID_VALUE_5_MB068      </t>
  </si>
  <si>
    <t>CAN_CFG_ID_VALUE_5_MB069      </t>
  </si>
  <si>
    <t>CAN_CFG_ID_VALUE_5_MB070      </t>
  </si>
  <si>
    <t>CAN_CFG_ID_VALUE_5_MB071      </t>
  </si>
  <si>
    <t>CAN_CFG_ID_VALUE_5_MB072      </t>
  </si>
  <si>
    <t>CAN_CFG_ID_VALUE_5_MB073      </t>
  </si>
  <si>
    <t>CAN_CFG_ID_VALUE_5_MB074      </t>
  </si>
  <si>
    <t>CAN_CFG_ID_VALUE_5_MB075      </t>
  </si>
  <si>
    <t>CAN_CFG_ID_VALUE_5_MB076      </t>
  </si>
  <si>
    <t>CAN_CFG_ID_VALUE_5_MB077      </t>
  </si>
  <si>
    <t>CAN_CFG_ID_VALUE_5_MB078      </t>
  </si>
  <si>
    <t>CAN_CFG_ID_VALUE_5_MB079      </t>
  </si>
  <si>
    <t>CAN_CFG_ID_VALUE_5_MB080      </t>
  </si>
  <si>
    <t>CAN_CFG_ID_VALUE_5_MB081      </t>
  </si>
  <si>
    <t>CAN_CFG_ID_VALUE_5_MB082      </t>
  </si>
  <si>
    <t>CAN_CFG_ID_VALUE_5_MB083      </t>
  </si>
  <si>
    <t>CAN_CFG_ID_VALUE_5_MB084      </t>
  </si>
  <si>
    <t>CAN_CFG_ID_VALUE_5_MB085      </t>
  </si>
  <si>
    <t>CAN_CFG_ID_VALUE_5_MB086      </t>
  </si>
  <si>
    <t>CAN_CFG_ID_VALUE_5_MB087      </t>
  </si>
  <si>
    <t>CAN_CFG_ID_VALUE_5_MB088      </t>
  </si>
  <si>
    <t>CAN_CFG_ID_VALUE_5_MB089      </t>
  </si>
  <si>
    <t>CAN_CFG_ID_VALUE_5_MB090      </t>
  </si>
  <si>
    <t>CAN_CFG_ID_VALUE_5_MB091      </t>
  </si>
  <si>
    <t>CAN_CFG_ID_VALUE_5_MB092      </t>
  </si>
  <si>
    <t>CAN_CFG_ID_VALUE_5_MB093      </t>
  </si>
  <si>
    <t>CAN_CFG_ID_VALUE_5_MB094      </t>
  </si>
  <si>
    <t>CAN_CFG_ID_VALUE_5_MB095      </t>
  </si>
  <si>
    <t>CAN_CFG_ID_VALUE_5_MB096      </t>
  </si>
  <si>
    <t>CAN_CFG_ID_VALUE_5_MB097      </t>
  </si>
  <si>
    <t>CAN_CFG_ID_VALUE_5_MB098      </t>
  </si>
  <si>
    <t>CAN_CFG_ID_VALUE_5_MB099      </t>
  </si>
  <si>
    <t>CAN_CFG_ID_VALUE_5_MB100      </t>
  </si>
  <si>
    <t>CAN_CFG_ID_VALUE_5_MB101      </t>
  </si>
  <si>
    <t>CAN_CFG_ID_VALUE_5_MB102      </t>
  </si>
  <si>
    <t>CAN_CFG_ID_VALUE_5_MB103      </t>
  </si>
  <si>
    <t>CAN_CFG_ID_VALUE_5_MB104      </t>
  </si>
  <si>
    <t>CAN_CFG_ID_VALUE_5_MB105      </t>
  </si>
  <si>
    <t>CAN_CFG_ID_VALUE_5_MB106      </t>
  </si>
  <si>
    <t>CAN_CFG_ID_VALUE_5_MB107      </t>
  </si>
  <si>
    <t>CAN_CFG_ID_VALUE_5_MB108      </t>
  </si>
  <si>
    <t>CAN_CFG_ID_VALUE_5_MB109      </t>
  </si>
  <si>
    <t>CAN_CFG_ID_VALUE_5_MB110      </t>
  </si>
  <si>
    <t>CAN_CFG_ID_VALUE_5_MB111      </t>
  </si>
  <si>
    <t>CAN_CFG_ID_VALUE_5_MB112      </t>
  </si>
  <si>
    <t>CAN_CFG_ID_VALUE_5_MB113      </t>
  </si>
  <si>
    <t>CAN_CFG_ID_VALUE_5_MB114      </t>
  </si>
  <si>
    <t>CAN_CFG_ID_VALUE_5_MB115      </t>
  </si>
  <si>
    <t>CAN_CFG_ID_VALUE_5_MB116      </t>
  </si>
  <si>
    <t>CAN_CFG_ID_VALUE_5_MB117      </t>
  </si>
  <si>
    <t>CAN_CFG_ID_VALUE_5_MB118      </t>
  </si>
  <si>
    <t>CAN_CFG_ID_VALUE_5_MB119      </t>
  </si>
  <si>
    <t>CAN_CFG_ID_VALUE_5_MB120      </t>
  </si>
  <si>
    <t>CAN_CFG_ID_VALUE_5_MB121      </t>
  </si>
  <si>
    <t>CAN_CFG_ID_VALUE_5_MB122      </t>
  </si>
  <si>
    <t>CAN_CFG_ID_VALUE_5_MB123      </t>
  </si>
  <si>
    <t>CAN_CFG_ID_VALUE_5_MB124      </t>
  </si>
  <si>
    <t>CAN_CFG_ID_VALUE_5_MB125      </t>
  </si>
  <si>
    <t>CAN_CFG_ID_VALUE_5_MB126      </t>
  </si>
  <si>
    <t>CAN_CFG_ID_VALUE_5_MB127      </t>
  </si>
  <si>
    <t>CAN_CFG_ID_VALUE_5_MB128      </t>
  </si>
  <si>
    <t>CAN_CFG_ID_VALUE_5_MB129      </t>
  </si>
  <si>
    <t>CAN_CFG_ID_VALUE_5_MB130      </t>
  </si>
  <si>
    <t>CAN_CFG_ID_VALUE_5_MB131      </t>
  </si>
  <si>
    <t>CAN_CFG_ID_VALUE_5_MB132      </t>
  </si>
  <si>
    <t>CAN_CFG_ID_VALUE_5_MB133      </t>
  </si>
  <si>
    <t>CAN_CFG_ID_VALUE_5_MB134      </t>
  </si>
  <si>
    <t>CAN_CFG_ID_VALUE_5_MB135      </t>
  </si>
  <si>
    <t>CAN_CFG_ID_VALUE_5_MB136      </t>
  </si>
  <si>
    <t>CAN_CFG_ID_VALUE_5_MB137      </t>
  </si>
  <si>
    <t>CAN_CFG_ID_VALUE_5_MB138      </t>
  </si>
  <si>
    <t>CAN_CFG_ID_VALUE_5_MB139      </t>
  </si>
  <si>
    <t>CAN_CFG_ID_VALUE_5_MB140      </t>
  </si>
  <si>
    <t>CAN_CFG_ID_VALUE_5_MB141      </t>
  </si>
  <si>
    <t>CAN_CFG_ID_VALUE_5_MB142      </t>
  </si>
  <si>
    <t>CAN_CFG_ID_VALUE_5_MB143      </t>
  </si>
  <si>
    <t>CAN_CFG_ID_VALUE_5_MB144      </t>
  </si>
  <si>
    <t>CAN_CFG_ID_VALUE_5_MB145      </t>
  </si>
  <si>
    <t>CAN_CFG_ID_VALUE_5_MB146      </t>
  </si>
  <si>
    <t>CAN_CFG_ID_VALUE_5_MB147      </t>
  </si>
  <si>
    <t>CAN_CFG_ID_VALUE_5_MB148      </t>
  </si>
  <si>
    <t>CAN_CFG_ID_VALUE_5_MB149      </t>
  </si>
  <si>
    <t>CAN_CFG_ID_VALUE_7_MB004      </t>
  </si>
  <si>
    <t>CAN_CFG_ID_VALUE_7_MB005      </t>
  </si>
  <si>
    <t>CAN_CFG_ID_VALUE_7_MB006      </t>
  </si>
  <si>
    <t>CAN_CFG_ID_VALUE_7_MB007      </t>
  </si>
  <si>
    <t>CAN_CFG_ID_VALUE_7_MB008      </t>
  </si>
  <si>
    <t>CAN_CFG_ID_VALUE_7_MB009      </t>
  </si>
  <si>
    <t>CAN_CFG_ID_VALUE_7_MB010      </t>
  </si>
  <si>
    <t>CAN_CFG_ID_VALUE_7_MB011      </t>
  </si>
  <si>
    <t>CAN_CFG_ID_VALUE_7_MB012      </t>
  </si>
  <si>
    <t>CAN_CFG_ID_VALUE_7_MB013      </t>
  </si>
  <si>
    <t>CAN_CFG_ID_VALUE_7_MB014      </t>
  </si>
  <si>
    <t>CAN_CFG_ID_VALUE_7_MB015      </t>
  </si>
  <si>
    <t>CAN_CFG_ID_VALUE_7_MB016      </t>
  </si>
  <si>
    <t>CAN_CFG_ID_VALUE_7_MB017      </t>
  </si>
  <si>
    <t>CAN_CFG_ID_VALUE_7_MB018      </t>
  </si>
  <si>
    <t>CAN_CFG_ID_VALUE_7_MB019      </t>
  </si>
  <si>
    <t>CAN_CFG_ID_VALUE_7_MB020      </t>
  </si>
  <si>
    <t>CAN_CFG_ID_VALUE_7_MB021      </t>
  </si>
  <si>
    <t>CAN_CFG_ID_VALUE_7_MB022      </t>
  </si>
  <si>
    <t>CAN_CFG_ID_VALUE_7_MB023      </t>
  </si>
  <si>
    <t>CAN_CFG_ID_VALUE_7_MB024      </t>
  </si>
  <si>
    <t>CAN_CFG_ID_VALUE_7_MB025      </t>
  </si>
  <si>
    <t>CAN_CFG_ID_VALUE_7_MB026      </t>
  </si>
  <si>
    <t>CAN_CFG_ID_VALUE_7_MB027      </t>
  </si>
  <si>
    <t>CAN_CFG_ID_VALUE_7_MB028      </t>
  </si>
  <si>
    <t>CAN_CFG_ID_VALUE_7_MB029      </t>
  </si>
  <si>
    <t>CAN_CFG_ID_VALUE_7_MB030      </t>
  </si>
  <si>
    <t>CAN_CFG_ID_VALUE_7_MB031      </t>
  </si>
  <si>
    <t>CAN_CFG_ID_VALUE_7_MB032      </t>
  </si>
  <si>
    <t>CAN_CFG_ID_VALUE_7_MB033      </t>
  </si>
  <si>
    <t>CAN_CFG_ID_VALUE_7_MB034      </t>
  </si>
  <si>
    <t>CAN_CFG_ID_VALUE_7_MB035      </t>
  </si>
  <si>
    <t>CAN_CFG_ID_VALUE_7_MB036      </t>
  </si>
  <si>
    <t>CAN_CFG_ID_VALUE_7_MB037      </t>
  </si>
  <si>
    <t>CAN_CFG_ID_VALUE_7_MB038      </t>
  </si>
  <si>
    <t>CAN_CFG_ID_VALUE_7_MB039      </t>
  </si>
  <si>
    <t>CAN_CFG_ID_VALUE_7_MB040      </t>
  </si>
  <si>
    <t>CAN_CFG_ID_VALUE_7_MB041      </t>
  </si>
  <si>
    <t>CAN_CFG_ID_VALUE_7_MB042      </t>
  </si>
  <si>
    <t>CAN_CFG_ID_VALUE_7_MB043      </t>
  </si>
  <si>
    <t>CAN_CFG_ID_VALUE_7_MB044      </t>
  </si>
  <si>
    <t>CAN_CFG_ID_VALUE_7_MB045      </t>
  </si>
  <si>
    <t>CAN_CFG_ID_VALUE_7_MB046      </t>
  </si>
  <si>
    <t>CAN_CFG_ID_VALUE_7_MB047      </t>
  </si>
  <si>
    <t>CAN_CFG_ID_VALUE_7_MB048      </t>
  </si>
  <si>
    <t>CAN_CFG_ID_VALUE_7_MB049      </t>
  </si>
  <si>
    <t>CAN_CFG_ID_VALUE_7_MB050      </t>
  </si>
  <si>
    <t>CAN_CFG_ID_VALUE_7_MB051      </t>
  </si>
  <si>
    <t>CAN_CFG_ID_VALUE_7_MB052      </t>
  </si>
  <si>
    <t>CAN_CFG_ID_VALUE_7_MB053      </t>
  </si>
  <si>
    <t>CAN_CFG_ID_VALUE_7_MB054      </t>
  </si>
  <si>
    <t>CAN_CFG_ID_VALUE_7_MB055      </t>
  </si>
  <si>
    <t>CAN_CFG_ID_VALUE_7_MB056      </t>
  </si>
  <si>
    <t>CAN_CFG_ID_VALUE_7_MB057      </t>
  </si>
  <si>
    <t>CAN_CFG_ID_VALUE_7_MB058      </t>
  </si>
  <si>
    <t>CAN_CFG_ID_VALUE_7_MB059      </t>
  </si>
  <si>
    <t>CAN_CFG_ID_VALUE_7_MB060      </t>
  </si>
  <si>
    <t>CAN_CFG_ID_VALUE_7_MB061      </t>
  </si>
  <si>
    <t>CAN_CFG_ID_VALUE_7_MB062      </t>
  </si>
  <si>
    <t>CAN_CFG_ID_VALUE_7_MB063      </t>
  </si>
  <si>
    <t>CAN_CFG_ID_VALUE_7_MB064      </t>
  </si>
  <si>
    <t>CAN_CFG_ID_VALUE_7_MB065      </t>
  </si>
  <si>
    <t>CAN_CFG_ID_VALUE_7_MB066      </t>
  </si>
  <si>
    <t>CAN_CFG_ID_VALUE_7_MB067      </t>
  </si>
  <si>
    <t>CAN_CFG_ID_VALUE_7_MB068      </t>
  </si>
  <si>
    <t>CAN_CFG_ID_VALUE_7_MB069      </t>
  </si>
  <si>
    <t>CAN_CFG_ID_VALUE_7_MB070      </t>
  </si>
  <si>
    <t>CAN_CFG_ID_VALUE_7_MB071      </t>
  </si>
  <si>
    <t>CAN_CFG_ID_VALUE_7_MB072      </t>
  </si>
  <si>
    <t>CAN_CFG_ID_VALUE_7_MB073      </t>
  </si>
  <si>
    <t>CAN_CFG_ID_VALUE_7_MB074      </t>
  </si>
  <si>
    <t>CAN_CFG_ID_VALUE_7_MB075      </t>
  </si>
  <si>
    <t>CAN_CFG_ID_VALUE_7_MB076      </t>
  </si>
  <si>
    <t>CAN_CFG_ID_VALUE_7_MB077      </t>
  </si>
  <si>
    <t>CAN_CFG_ID_VALUE_7_MB078      </t>
  </si>
  <si>
    <t>CAN_CFG_ID_VALUE_7_MB079      </t>
  </si>
  <si>
    <t>CAN_CFG_ID_VALUE_7_MB080      </t>
  </si>
  <si>
    <t>CAN_CFG_ID_VALUE_7_MB081      </t>
  </si>
  <si>
    <t>CAN_CFG_ID_VALUE_7_MB082      </t>
  </si>
  <si>
    <t>CAN_CFG_ID_VALUE_7_MB083      </t>
  </si>
  <si>
    <t>CAN_CFG_ID_VALUE_7_MB084      </t>
  </si>
  <si>
    <t>CAN_CFG_ID_VALUE_7_MB085      </t>
  </si>
  <si>
    <t>CAN_CFG_ID_VALUE_7_MB086      </t>
  </si>
  <si>
    <t>CAN_CFG_ID_VALUE_7_MB087      </t>
  </si>
  <si>
    <t>CAN_CFG_MASK_REFERENCE_5_MB009</t>
  </si>
  <si>
    <t>CAN_CFG_MASK_REFERENCE_5_MB010</t>
  </si>
  <si>
    <t>CAN_CFG_MASK_REFERENCE_5_MB011</t>
  </si>
  <si>
    <t>2</t>
  </si>
  <si>
    <t>CAN_CFG_MASK_REFERENCE_5_MB012</t>
  </si>
  <si>
    <t>3</t>
  </si>
  <si>
    <t>CAN_CFG_MASK_REFERENCE_5_MB013</t>
  </si>
  <si>
    <t>4</t>
  </si>
  <si>
    <t>CAN_CFG_MASK_REFERENCE_5_MB014</t>
  </si>
  <si>
    <t>CAN_CFG_MASK_REFERENCE_5_MB015</t>
  </si>
  <si>
    <t>CAN_CFG_MASK_REFERENCE_5_MB016</t>
  </si>
  <si>
    <t>5</t>
  </si>
  <si>
    <t>CAN_CFG_MASK_REFERENCE_5_MB017</t>
  </si>
  <si>
    <t>CAN_CFG_MASK_REFERENCE_5_MB018</t>
  </si>
  <si>
    <t>CAN_CFG_MASK_REFERENCE_5_MB019</t>
  </si>
  <si>
    <t>CAN_CFG_MASK_REFERENCE_5_MB020</t>
  </si>
  <si>
    <t>CAN_CFG_MASK_REFERENCE_5_MB021</t>
  </si>
  <si>
    <t>CAN_CFG_MASK_REFERENCE_5_MB022</t>
  </si>
  <si>
    <t>CAN_CFG_MASK_REFERENCE_5_MB023</t>
  </si>
  <si>
    <t>CAN_CFG_MASK_REFERENCE_5_MB024</t>
  </si>
  <si>
    <t>CAN_CFG_MASK_REFERENCE_5_MB025</t>
  </si>
  <si>
    <t>CAN_CFG_MASK_REFERENCE_5_MB026</t>
  </si>
  <si>
    <t>CAN_CFG_MASK_REFERENCE_5_MB027</t>
  </si>
  <si>
    <t>CAN_CFG_MASK_REFERENCE_5_MB028</t>
  </si>
  <si>
    <t>CAN_CFG_MASK_REFERENCE_5_MB029</t>
  </si>
  <si>
    <t>CAN_CFG_MASK_REFERENCE_5_MB030</t>
  </si>
  <si>
    <t>CAN_CFG_MASK_REFERENCE_5_MB031</t>
  </si>
  <si>
    <t>CAN_CFG_MASK_REFERENCE_5_MB032</t>
  </si>
  <si>
    <t>CAN_CFG_MASK_REFERENCE_5_MB033</t>
  </si>
  <si>
    <t>CAN_CFG_MASK_REFERENCE_5_MB034</t>
  </si>
  <si>
    <t>CAN_CFG_MASK_REFERENCE_5_MB035</t>
  </si>
  <si>
    <t>CAN_CFG_MASK_REFERENCE_5_MB036</t>
  </si>
  <si>
    <t>CAN_CFG_MASK_REFERENCE_5_MB037</t>
  </si>
  <si>
    <t>CAN_CFG_MASK_REFERENCE_5_MB038</t>
  </si>
  <si>
    <t>CAN_CFG_MASK_REFERENCE_5_MB039</t>
  </si>
  <si>
    <t>CAN_CFG_MASK_REFERENCE_5_MB040</t>
  </si>
  <si>
    <t>CAN_CFG_MASK_REFERENCE_5_MB041</t>
  </si>
  <si>
    <t>CAN_CFG_MASK_REFERENCE_5_MB042</t>
  </si>
  <si>
    <t>CAN_CFG_MASK_REFERENCE_5_MB043</t>
  </si>
  <si>
    <t>CAN_CFG_MASK_REFERENCE_5_MB044</t>
  </si>
  <si>
    <t>CAN_CFG_MASK_REFERENCE_5_MB045</t>
  </si>
  <si>
    <t>CAN_CFG_MASK_REFERENCE_5_MB046</t>
  </si>
  <si>
    <t>CAN_CFG_MASK_REFERENCE_5_MB047</t>
  </si>
  <si>
    <t>CAN_CFG_MASK_REFERENCE_5_MB048</t>
  </si>
  <si>
    <t>CAN_CFG_MASK_REFERENCE_5_MB049</t>
  </si>
  <si>
    <t>CAN_CFG_MASK_REFERENCE_5_MB050</t>
  </si>
  <si>
    <t>CAN_CFG_MASK_REFERENCE_5_MB051</t>
  </si>
  <si>
    <t>CAN_CFG_MASK_REFERENCE_5_MB052</t>
  </si>
  <si>
    <t>CAN_CFG_MASK_REFERENCE_5_MB053</t>
  </si>
  <si>
    <t>CAN_CFG_MASK_REFERENCE_5_MB054</t>
  </si>
  <si>
    <t>CAN_CFG_MASK_REFERENCE_5_MB055</t>
  </si>
  <si>
    <t>CAN_CFG_MASK_REFERENCE_5_MB056</t>
  </si>
  <si>
    <t>CAN_CFG_MASK_REFERENCE_5_MB057</t>
  </si>
  <si>
    <t>CAN_CFG_MASK_REFERENCE_5_MB058</t>
  </si>
  <si>
    <t>CAN_CFG_MASK_REFERENCE_5_MB059</t>
  </si>
  <si>
    <t>CAN_CFG_MASK_REFERENCE_5_MB060</t>
  </si>
  <si>
    <t>CAN_CFG_MASK_REFERENCE_5_MB061</t>
  </si>
  <si>
    <t>CAN_CFG_MASK_REFERENCE_5_MB062</t>
  </si>
  <si>
    <t>CAN_CFG_MASK_REFERENCE_5_MB063</t>
  </si>
  <si>
    <t>CAN_CFG_MASK_REFERENCE_5_MB064</t>
  </si>
  <si>
    <t>CAN_CFG_MASK_REFERENCE_5_MB065</t>
  </si>
  <si>
    <t>CAN_CFG_MASK_REFERENCE_5_MB066</t>
  </si>
  <si>
    <t>CAN_CFG_MASK_REFERENCE_5_MB067</t>
  </si>
  <si>
    <t>CAN_CFG_MASK_REFERENCE_5_MB068</t>
  </si>
  <si>
    <t>CAN_CFG_MASK_REFERENCE_5_MB069</t>
  </si>
  <si>
    <t>CAN_CFG_MASK_REFERENCE_5_MB070</t>
  </si>
  <si>
    <t>CAN_CFG_MASK_REFERENCE_5_MB071</t>
  </si>
  <si>
    <t>CAN_CFG_MASK_REFERENCE_5_MB072</t>
  </si>
  <si>
    <t>CAN_CFG_MASK_REFERENCE_5_MB073</t>
  </si>
  <si>
    <t>CAN_CFG_MASK_REFERENCE_5_MB074</t>
  </si>
  <si>
    <t>CAN_CFG_MASK_REFERENCE_5_MB075</t>
  </si>
  <si>
    <t>CAN_CFG_MASK_REFERENCE_5_MB076</t>
  </si>
  <si>
    <t>CAN_CFG_MASK_REFERENCE_5_MB077</t>
  </si>
  <si>
    <t>CAN_CFG_MASK_REFERENCE_5_MB078</t>
  </si>
  <si>
    <t>CAN_CFG_MASK_REFERENCE_5_MB079</t>
  </si>
  <si>
    <t>CAN_CFG_MASK_REFERENCE_5_MB080</t>
  </si>
  <si>
    <t>CAN_CFG_MASK_REFERENCE_5_MB081</t>
  </si>
  <si>
    <t>CAN_CFG_MASK_REFERENCE_5_MB082</t>
  </si>
  <si>
    <t>CAN_CFG_MASK_REFERENCE_5_MB083</t>
  </si>
  <si>
    <t>CAN_CFG_MASK_REFERENCE_5_MB084</t>
  </si>
  <si>
    <t>CAN_CFG_MASK_REFERENCE_5_MB085</t>
  </si>
  <si>
    <t>CAN_CFG_MASK_REFERENCE_5_MB086</t>
  </si>
  <si>
    <t>CAN_CFG_MASK_REFERENCE_5_MB087</t>
  </si>
  <si>
    <t>CAN_CFG_MASK_REFERENCE_5_MB088</t>
  </si>
  <si>
    <t>CAN_CFG_MASK_REFERENCE_5_MB089</t>
  </si>
  <si>
    <t>CAN_CFG_MASK_REFERENCE_5_MB090</t>
  </si>
  <si>
    <t>CAN_CFG_MASK_REFERENCE_5_MB091</t>
  </si>
  <si>
    <t>CAN_CFG_MASK_REFERENCE_5_MB092</t>
  </si>
  <si>
    <t>CAN_CFG_MASK_REFERENCE_5_MB093</t>
  </si>
  <si>
    <t>CAN_CFG_MASK_REFERENCE_5_MB094</t>
  </si>
  <si>
    <t>CAN_CFG_MASK_REFERENCE_5_MB095</t>
  </si>
  <si>
    <t>CAN_CFG_MASK_REFERENCE_5_MB096</t>
  </si>
  <si>
    <t>CAN_CFG_MASK_REFERENCE_5_MB097</t>
  </si>
  <si>
    <t>CAN_CFG_MASK_REFERENCE_5_MB098</t>
  </si>
  <si>
    <t>CAN_CFG_MASK_REFERENCE_5_MB099</t>
  </si>
  <si>
    <t>CAN_CFG_MASK_REFERENCE_5_MB100</t>
  </si>
  <si>
    <t>CAN_CFG_MASK_REFERENCE_5_MB101</t>
  </si>
  <si>
    <t>CAN_CFG_MASK_REFERENCE_5_MB102</t>
  </si>
  <si>
    <t>CAN_CFG_MASK_REFERENCE_5_MB103</t>
  </si>
  <si>
    <t>CAN_CFG_MASK_REFERENCE_5_MB104</t>
  </si>
  <si>
    <t>CAN_CFG_MASK_REFERENCE_5_MB105</t>
  </si>
  <si>
    <t>CAN_CFG_MASK_REFERENCE_5_MB106</t>
  </si>
  <si>
    <t>CAN_CFG_MASK_REFERENCE_5_MB107</t>
  </si>
  <si>
    <t>CAN_CFG_MASK_REFERENCE_5_MB108</t>
  </si>
  <si>
    <t>CAN_CFG_MASK_REFERENCE_5_MB109</t>
  </si>
  <si>
    <t>CAN_CFG_MASK_REFERENCE_5_MB110</t>
  </si>
  <si>
    <t>CAN_CFG_MASK_REFERENCE_5_MB111</t>
  </si>
  <si>
    <t>CAN_CFG_MASK_REFERENCE_5_MB112</t>
  </si>
  <si>
    <t>CAN_CFG_MASK_REFERENCE_5_MB113</t>
  </si>
  <si>
    <t>CAN_CFG_MASK_REFERENCE_5_MB114</t>
  </si>
  <si>
    <t>CAN_CFG_MASK_REFERENCE_5_MB115</t>
  </si>
  <si>
    <t>CAN_CFG_MASK_REFERENCE_5_MB116</t>
  </si>
  <si>
    <t>CAN_CFG_MASK_REFERENCE_5_MB117</t>
  </si>
  <si>
    <t>CAN_CFG_MASK_REFERENCE_5_MB118</t>
  </si>
  <si>
    <t>CAN_CFG_MASK_REFERENCE_5_MB119</t>
  </si>
  <si>
    <t>CAN_CFG_MASK_REFERENCE_5_MB120</t>
  </si>
  <si>
    <t>CAN_CFG_MASK_REFERENCE_5_MB121</t>
  </si>
  <si>
    <t>CAN_CFG_MASK_REFERENCE_5_MB122</t>
  </si>
  <si>
    <t>CAN_CFG_MASK_REFERENCE_5_MB123</t>
  </si>
  <si>
    <t>CAN_CFG_MASK_REFERENCE_5_MB124</t>
  </si>
  <si>
    <t>CAN_CFG_MASK_REFERENCE_5_MB125</t>
  </si>
  <si>
    <t>CAN_CFG_MASK_REFERENCE_5_MB126</t>
  </si>
  <si>
    <t>CAN_CFG_MASK_REFERENCE_5_MB127</t>
  </si>
  <si>
    <t>CAN_CFG_MASK_REFERENCE_5_MB128</t>
  </si>
  <si>
    <t>CAN_CFG_MASK_REFERENCE_5_MB129</t>
  </si>
  <si>
    <t>CAN_CFG_MASK_REFERENCE_5_MB130</t>
  </si>
  <si>
    <t>CAN_CFG_MASK_REFERENCE_5_MB131</t>
  </si>
  <si>
    <t>CAN_CFG_MASK_REFERENCE_5_MB132</t>
  </si>
  <si>
    <t>CAN_CFG_MASK_REFERENCE_5_MB133</t>
  </si>
  <si>
    <t>CAN_CFG_MASK_REFERENCE_5_MB134</t>
  </si>
  <si>
    <t>CAN_CFG_MASK_REFERENCE_5_MB135</t>
  </si>
  <si>
    <t>CAN_CFG_MASK_REFERENCE_5_MB136</t>
  </si>
  <si>
    <t>CAN_CFG_MASK_REFERENCE_5_MB137</t>
  </si>
  <si>
    <t>CAN_CFG_MASK_REFERENCE_5_MB138</t>
  </si>
  <si>
    <t>CAN_CFG_MASK_REFERENCE_5_MB139</t>
  </si>
  <si>
    <t>CAN_CFG_MASK_REFERENCE_5_MB140</t>
  </si>
  <si>
    <t>CAN_CFG_MASK_REFERENCE_5_MB141</t>
  </si>
  <si>
    <t>CAN_CFG_MASK_REFERENCE_5_MB142</t>
  </si>
  <si>
    <t>CAN_CFG_MASK_REFERENCE_5_MB143</t>
  </si>
  <si>
    <t>CAN_CFG_MASK_REFERENCE_5_MB144</t>
  </si>
  <si>
    <t>CAN_CFG_MASK_REFERENCE_5_MB145</t>
  </si>
  <si>
    <t>CAN_CFG_MASK_REFERENCE_5_MB146</t>
  </si>
  <si>
    <t>CAN_CFG_MASK_REFERENCE_5_MB147</t>
  </si>
  <si>
    <t>CAN_CFG_MASK_REFERENCE_5_MB148</t>
  </si>
  <si>
    <t>CAN_CFG_MASK_REFERENCE_5_MB149</t>
  </si>
  <si>
    <t>CAN_CFG_MASK_REFERENCE_7_MB004</t>
  </si>
  <si>
    <t>CAN_CFG_MASK_REFERENCE_7_MB005</t>
  </si>
  <si>
    <t>CAN_CFG_MASK_REFERENCE_7_MB006</t>
  </si>
  <si>
    <t>CAN_CFG_MASK_REFERENCE_7_MB007</t>
  </si>
  <si>
    <t>CAN_CFG_MASK_REFERENCE_7_MB008</t>
  </si>
  <si>
    <t>CAN_CFG_MASK_REFERENCE_7_MB009</t>
  </si>
  <si>
    <t>CAN_CFG_MASK_REFERENCE_7_MB010</t>
  </si>
  <si>
    <t>CAN_CFG_MASK_REFERENCE_7_MB011</t>
  </si>
  <si>
    <t>CAN_CFG_MASK_REFERENCE_7_MB012</t>
  </si>
  <si>
    <t>CAN_CFG_MASK_REFERENCE_7_MB013</t>
  </si>
  <si>
    <t>CAN_CFG_MASK_REFERENCE_7_MB014</t>
  </si>
  <si>
    <t>CAN_CFG_MASK_REFERENCE_7_MB015</t>
  </si>
  <si>
    <t>CAN_CFG_MASK_REFERENCE_7_MB016</t>
  </si>
  <si>
    <t>CAN_CFG_MASK_REFERENCE_7_MB017</t>
  </si>
  <si>
    <t>CAN_CFG_MASK_REFERENCE_7_MB018</t>
  </si>
  <si>
    <t>CAN_CFG_MASK_REFERENCE_7_MB019</t>
  </si>
  <si>
    <t>CAN_CFG_MASK_REFERENCE_7_MB020</t>
  </si>
  <si>
    <t>CAN_CFG_MASK_REFERENCE_7_MB021</t>
  </si>
  <si>
    <t>CAN_CFG_MASK_REFERENCE_7_MB022</t>
  </si>
  <si>
    <t>CAN_CFG_MASK_REFERENCE_7_MB023</t>
  </si>
  <si>
    <t>CAN_CFG_MASK_REFERENCE_7_MB024</t>
  </si>
  <si>
    <t>CAN_CFG_MASK_REFERENCE_7_MB025</t>
  </si>
  <si>
    <t>CAN_CFG_MASK_REFERENCE_7_MB026</t>
  </si>
  <si>
    <t>CAN_CFG_MASK_REFERENCE_7_MB027</t>
  </si>
  <si>
    <t>CAN_CFG_MASK_REFERENCE_7_MB028</t>
  </si>
  <si>
    <t>CAN_CFG_MASK_REFERENCE_7_MB029</t>
  </si>
  <si>
    <t>CAN_CFG_MASK_REFERENCE_7_MB030</t>
  </si>
  <si>
    <t>CAN_CFG_MASK_REFERENCE_7_MB031</t>
  </si>
  <si>
    <t>CAN_CFG_MASK_REFERENCE_7_MB032</t>
  </si>
  <si>
    <t>CAN_CFG_MASK_REFERENCE_7_MB033</t>
  </si>
  <si>
    <t>CAN_CFG_MASK_REFERENCE_7_MB034</t>
  </si>
  <si>
    <t>CAN_CFG_MASK_REFERENCE_7_MB035</t>
  </si>
  <si>
    <t>CAN_CFG_MASK_REFERENCE_7_MB036</t>
  </si>
  <si>
    <t>CAN_CFG_MASK_REFERENCE_7_MB037</t>
  </si>
  <si>
    <t>CAN_CFG_MASK_REFERENCE_7_MB038</t>
  </si>
  <si>
    <t>CAN_CFG_MASK_REFERENCE_7_MB039</t>
  </si>
  <si>
    <t>CAN_CFG_MASK_REFERENCE_7_MB040</t>
  </si>
  <si>
    <t>CAN_CFG_MASK_REFERENCE_7_MB041</t>
  </si>
  <si>
    <t>CAN_CFG_MASK_REFERENCE_7_MB042</t>
  </si>
  <si>
    <t>CAN_CFG_MASK_REFERENCE_7_MB043</t>
  </si>
  <si>
    <t>CAN_CFG_MASK_REFERENCE_7_MB044</t>
  </si>
  <si>
    <t>CAN_CFG_MASK_REFERENCE_7_MB045</t>
  </si>
  <si>
    <t>CAN_CFG_MASK_REFERENCE_7_MB046</t>
  </si>
  <si>
    <t>CAN_CFG_MASK_REFERENCE_7_MB047</t>
  </si>
  <si>
    <t>CAN_CFG_MASK_REFERENCE_7_MB048</t>
  </si>
  <si>
    <t>CAN_CFG_MASK_REFERENCE_7_MB049</t>
  </si>
  <si>
    <t>CAN_CFG_MASK_REFERENCE_7_MB050</t>
  </si>
  <si>
    <t>CAN_CFG_MASK_REFERENCE_7_MB051</t>
  </si>
  <si>
    <t>CAN_CFG_MASK_REFERENCE_7_MB052</t>
  </si>
  <si>
    <t>CAN_CFG_MASK_REFERENCE_7_MB053</t>
  </si>
  <si>
    <t>CAN_CFG_MASK_REFERENCE_7_MB054</t>
  </si>
  <si>
    <t>CAN_CFG_MASK_REFERENCE_7_MB055</t>
  </si>
  <si>
    <t>CAN_CFG_MASK_REFERENCE_7_MB056</t>
  </si>
  <si>
    <t>CAN_CFG_MASK_REFERENCE_7_MB057</t>
  </si>
  <si>
    <t>CAN_CFG_MASK_REFERENCE_7_MB058</t>
  </si>
  <si>
    <t>CAN_CFG_MASK_REFERENCE_7_MB059</t>
  </si>
  <si>
    <t>CAN_CFG_MASK_REFERENCE_7_MB060</t>
  </si>
  <si>
    <t>CAN_CFG_MASK_REFERENCE_7_MB061</t>
  </si>
  <si>
    <t>CAN_CFG_MASK_REFERENCE_7_MB062</t>
  </si>
  <si>
    <t>CAN_CFG_MASK_REFERENCE_7_MB063</t>
  </si>
  <si>
    <t>CAN_CFG_MASK_REFERENCE_7_MB064</t>
  </si>
  <si>
    <t>CAN_CFG_MASK_REFERENCE_7_MB065</t>
  </si>
  <si>
    <t>CAN_CFG_MASK_REFERENCE_7_MB066</t>
  </si>
  <si>
    <t>CAN_CFG_MASK_REFERENCE_7_MB067</t>
  </si>
  <si>
    <t>CAN_CFG_MASK_REFERENCE_7_MB068</t>
  </si>
  <si>
    <t>CAN_CFG_MASK_REFERENCE_7_MB069</t>
  </si>
  <si>
    <t>CAN_CFG_MASK_REFERENCE_7_MB070</t>
  </si>
  <si>
    <t>CAN_CFG_MASK_REFERENCE_7_MB071</t>
  </si>
  <si>
    <t>CAN_CFG_MASK_REFERENCE_7_MB072</t>
  </si>
  <si>
    <t>CAN_CFG_MASK_REFERENCE_7_MB073</t>
  </si>
  <si>
    <t>CAN_CFG_MASK_REFERENCE_7_MB074</t>
  </si>
  <si>
    <t>CAN_CFG_MASK_REFERENCE_7_MB075</t>
  </si>
  <si>
    <t>CAN_CFG_MASK_REFERENCE_7_MB076</t>
  </si>
  <si>
    <t>CAN_CFG_MASK_REFERENCE_7_MB077</t>
  </si>
  <si>
    <t>CAN_CFG_MASK_REFERENCE_7_MB078</t>
  </si>
  <si>
    <t>CAN_CFG_MASK_REFERENCE_7_MB079</t>
  </si>
  <si>
    <t>CAN_CFG_MASK_REFERENCE_7_MB080</t>
  </si>
  <si>
    <t>CAN_CFG_MASK_REFERENCE_7_MB081</t>
  </si>
  <si>
    <t>CAN_CFG_MASK_REFERENCE_7_MB082</t>
  </si>
  <si>
    <t>CAN_CFG_MASK_REFERENCE_7_MB083</t>
  </si>
  <si>
    <t>CAN_CFG_MASK_REFERENCE_7_MB084</t>
  </si>
  <si>
    <t>CAN_CFG_MASK_REFERENCE_7_MB085</t>
  </si>
  <si>
    <t>CAN_CFG_MASK_REFERENCE_7_MB086</t>
  </si>
  <si>
    <t>CAN_CFG_MASK_REFERENCE_7_MB087</t>
  </si>
  <si>
    <t>0x18DA0000</t>
    <phoneticPr fontId="4"/>
  </si>
  <si>
    <t>0x18000000</t>
    <phoneticPr fontId="4"/>
  </si>
  <si>
    <t>    ,{ 0x98DA0000UL, 0xBFFE0000UL }   /* [5] */</t>
  </si>
  <si>
    <t>VCAN_CFG_ID_VALUE_0_MB</t>
  </si>
  <si>
    <t>0x40000000</t>
  </si>
  <si>
    <t>0xFFFFFC00</t>
  </si>
  <si>
    <t>0x00000300</t>
  </si>
  <si>
    <t>0xFFFFFFFF</t>
  </si>
  <si>
    <t>0xBFFFFF00</t>
  </si>
  <si>
    <t>0x40000500</t>
  </si>
  <si>
    <t>0xFFFFFF00</t>
  </si>
  <si>
    <t>0x40000600</t>
  </si>
  <si>
    <t>0xBFFE0000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</si>
</sst>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5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name val="Tahoma"/>
      <family val="2"/>
    </font>
    <font>
      <sz val="10"/>
      <color rgb="FFFF0000"/>
      <name val="Tahoma"/>
      <family val="2"/>
    </font>
    <font>
      <sz val="10"/>
      <name val="Courier New"/>
      <family val="3"/>
    </font>
    <font>
      <sz val="11"/>
      <name val="Courier New"/>
      <family val="3"/>
    </font>
    <font>
      <u/>
      <sz val="11"/>
      <color theme="10"/>
      <name val="ＭＳ Ｐゴシック"/>
      <family val="3"/>
      <charset val="128"/>
    </font>
    <font>
      <sz val="10"/>
      <color rgb="FF000000"/>
      <name val="Courier New"/>
      <family val="3"/>
    </font>
    <font>
      <u/>
      <sz val="10"/>
      <color theme="10"/>
      <name val="Courier New"/>
      <family val="3"/>
    </font>
    <font>
      <sz val="11"/>
      <name val="游ゴシック"/>
      <family val="3"/>
      <charset val="128"/>
      <scheme val="minor"/>
    </font>
    <font>
      <sz val="10"/>
      <color rgb="FF000000"/>
      <name val="Meiryo UI"/>
      <family val="3"/>
      <charset val="128"/>
    </font>
    <font>
      <sz val="10"/>
      <name val="Meiryo UI"/>
      <family val="3"/>
      <charset val="128"/>
    </font>
    <font>
      <sz val="6"/>
      <name val="游ゴシック"/>
      <family val="3"/>
      <charset val="128"/>
      <scheme val="minor"/>
    </font>
    <font>
      <u/>
      <sz val="11"/>
      <color theme="10"/>
      <name val="游ゴシック"/>
      <family val="2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Tahoma"/>
      <family val="2"/>
    </font>
    <font>
      <sz val="10"/>
      <color rgb="FF000000"/>
      <name val="Arial Unicode MS"/>
      <family val="2"/>
    </font>
    <font>
      <u/>
      <sz val="11"/>
      <color theme="10"/>
      <name val="Courier New"/>
      <family val="3"/>
    </font>
    <font>
      <sz val="11"/>
      <color rgb="FFFF0000"/>
      <name val="Courier New"/>
      <family val="3"/>
    </font>
    <font>
      <sz val="6"/>
      <name val="游ゴシック"/>
      <family val="2"/>
      <charset val="128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42"/>
      </patternFill>
    </fill>
    <fill>
      <patternFill patternType="solid">
        <fgColor indexed="41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9">
    <xf numFmtId="0" fontId="0" fillId="0" borderId="0" applyBorder="0"/>
    <xf numFmtId="0" fontId="5" fillId="0" borderId="0"/>
    <xf numFmtId="0" fontId="2" fillId="0" borderId="0">
      <alignment vertical="center"/>
    </xf>
    <xf numFmtId="0" fontId="2" fillId="0" borderId="0"/>
    <xf numFmtId="0" fontId="10" fillId="0" borderId="0" applyNumberFormat="0" applyFill="0" applyBorder="0" applyAlignment="0" applyProtection="0"/>
    <xf numFmtId="0" fontId="2" fillId="0" borderId="0" applyBorder="0"/>
    <xf numFmtId="0" fontId="17" fillId="0" borderId="0" applyNumberFormat="0" applyFill="0" applyBorder="0" applyAlignment="0" applyProtection="0"/>
    <xf numFmtId="0" fontId="2" fillId="0" borderId="0" applyBorder="0"/>
    <xf numFmtId="0" fontId="1" fillId="0" borderId="0">
      <alignment vertical="center"/>
    </xf>
  </cellStyleXfs>
  <cellXfs count="278">
    <xf numFmtId="0" fontId="0" fillId="0" borderId="0" xfId="0"/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4" xfId="0" applyNumberFormat="1" applyFont="1" applyFill="1" applyBorder="1" applyAlignment="1">
      <alignment horizontal="left" vertical="center" wrapText="1"/>
    </xf>
    <xf numFmtId="49" fontId="6" fillId="0" borderId="5" xfId="0" applyNumberFormat="1" applyFont="1" applyBorder="1" applyAlignment="1">
      <alignment horizontal="left" vertical="center" textRotation="180"/>
    </xf>
    <xf numFmtId="49" fontId="6" fillId="2" borderId="5" xfId="0" applyNumberFormat="1" applyFont="1" applyFill="1" applyBorder="1" applyAlignment="1">
      <alignment horizontal="left" vertical="center" textRotation="180"/>
    </xf>
    <xf numFmtId="0" fontId="6" fillId="0" borderId="0" xfId="0" applyFont="1"/>
    <xf numFmtId="0" fontId="8" fillId="0" borderId="0" xfId="0" applyFont="1"/>
    <xf numFmtId="49" fontId="6" fillId="0" borderId="1" xfId="0" applyNumberFormat="1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0" fontId="8" fillId="5" borderId="0" xfId="0" applyFont="1" applyFill="1"/>
    <xf numFmtId="0" fontId="6" fillId="0" borderId="1" xfId="0" applyFont="1" applyBorder="1"/>
    <xf numFmtId="0" fontId="6" fillId="0" borderId="0" xfId="0" applyFont="1" applyBorder="1"/>
    <xf numFmtId="0" fontId="8" fillId="0" borderId="0" xfId="0" applyFont="1" applyAlignment="1">
      <alignment textRotation="90"/>
    </xf>
    <xf numFmtId="0" fontId="9" fillId="0" borderId="0" xfId="0" applyFont="1"/>
    <xf numFmtId="0" fontId="9" fillId="5" borderId="0" xfId="0" applyFont="1" applyFill="1"/>
    <xf numFmtId="49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top" textRotation="90"/>
    </xf>
    <xf numFmtId="0" fontId="9" fillId="0" borderId="0" xfId="0" applyFont="1" applyBorder="1"/>
    <xf numFmtId="0" fontId="8" fillId="0" borderId="0" xfId="0" applyFont="1" applyAlignment="1">
      <alignment horizontal="left" vertical="top" textRotation="90"/>
    </xf>
    <xf numFmtId="0" fontId="6" fillId="0" borderId="0" xfId="0" applyFont="1" applyAlignment="1">
      <alignment vertical="top"/>
    </xf>
    <xf numFmtId="0" fontId="8" fillId="0" borderId="0" xfId="0" applyFont="1" applyAlignment="1">
      <alignment vertical="top"/>
    </xf>
    <xf numFmtId="49" fontId="6" fillId="0" borderId="0" xfId="0" quotePrefix="1" applyNumberFormat="1" applyFont="1" applyBorder="1" applyAlignment="1">
      <alignment horizontal="center" vertical="center"/>
    </xf>
    <xf numFmtId="0" fontId="0" fillId="0" borderId="0" xfId="0" applyBorder="1"/>
    <xf numFmtId="49" fontId="6" fillId="3" borderId="2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0" borderId="0" xfId="0" quotePrefix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 textRotation="180"/>
    </xf>
    <xf numFmtId="49" fontId="6" fillId="2" borderId="5" xfId="0" applyNumberFormat="1" applyFont="1" applyFill="1" applyBorder="1" applyAlignment="1">
      <alignment horizontal="center" vertical="center" textRotation="180"/>
    </xf>
    <xf numFmtId="49" fontId="6" fillId="3" borderId="6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/>
    </xf>
    <xf numFmtId="49" fontId="6" fillId="3" borderId="8" xfId="0" applyNumberFormat="1" applyFont="1" applyFill="1" applyBorder="1" applyAlignment="1">
      <alignment horizontal="center" vertical="center"/>
    </xf>
    <xf numFmtId="49" fontId="6" fillId="4" borderId="8" xfId="0" applyNumberFormat="1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/>
    </xf>
    <xf numFmtId="49" fontId="6" fillId="3" borderId="10" xfId="0" applyNumberFormat="1" applyFont="1" applyFill="1" applyBorder="1" applyAlignment="1">
      <alignment horizontal="center" vertical="center"/>
    </xf>
    <xf numFmtId="49" fontId="6" fillId="3" borderId="11" xfId="0" applyNumberFormat="1" applyFont="1" applyFill="1" applyBorder="1" applyAlignment="1">
      <alignment horizontal="center" vertical="center"/>
    </xf>
    <xf numFmtId="49" fontId="6" fillId="4" borderId="11" xfId="0" applyNumberFormat="1" applyFont="1" applyFill="1" applyBorder="1" applyAlignment="1">
      <alignment horizontal="center" vertical="center"/>
    </xf>
    <xf numFmtId="49" fontId="6" fillId="4" borderId="12" xfId="0" applyNumberFormat="1" applyFont="1" applyFill="1" applyBorder="1" applyAlignment="1">
      <alignment horizontal="center" vertical="center"/>
    </xf>
    <xf numFmtId="0" fontId="8" fillId="0" borderId="0" xfId="0" applyFont="1" applyBorder="1"/>
    <xf numFmtId="49" fontId="7" fillId="0" borderId="0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 textRotation="180"/>
    </xf>
    <xf numFmtId="49" fontId="6" fillId="2" borderId="1" xfId="0" applyNumberFormat="1" applyFont="1" applyFill="1" applyBorder="1" applyAlignment="1">
      <alignment horizontal="left" vertical="center" textRotation="180"/>
    </xf>
    <xf numFmtId="49" fontId="6" fillId="3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horizontal="left" vertical="top" wrapText="1"/>
    </xf>
    <xf numFmtId="49" fontId="6" fillId="0" borderId="1" xfId="0" applyNumberFormat="1" applyFont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49" fontId="6" fillId="3" borderId="3" xfId="0" applyNumberFormat="1" applyFont="1" applyFill="1" applyBorder="1" applyAlignment="1">
      <alignment horizontal="left" vertical="center" wrapText="1"/>
    </xf>
    <xf numFmtId="49" fontId="6" fillId="3" borderId="5" xfId="0" applyNumberFormat="1" applyFont="1" applyFill="1" applyBorder="1" applyAlignment="1">
      <alignment horizontal="left" vertical="center" wrapText="1"/>
    </xf>
    <xf numFmtId="49" fontId="6" fillId="3" borderId="7" xfId="0" applyNumberFormat="1" applyFont="1" applyFill="1" applyBorder="1" applyAlignment="1">
      <alignment horizontal="left" vertical="center"/>
    </xf>
    <xf numFmtId="49" fontId="6" fillId="3" borderId="8" xfId="0" applyNumberFormat="1" applyFont="1" applyFill="1" applyBorder="1"/>
    <xf numFmtId="49" fontId="6" fillId="4" borderId="8" xfId="0" applyNumberFormat="1" applyFont="1" applyFill="1" applyBorder="1"/>
    <xf numFmtId="49" fontId="6" fillId="4" borderId="9" xfId="0" applyNumberFormat="1" applyFont="1" applyFill="1" applyBorder="1"/>
    <xf numFmtId="49" fontId="6" fillId="3" borderId="10" xfId="0" applyNumberFormat="1" applyFont="1" applyFill="1" applyBorder="1"/>
    <xf numFmtId="49" fontId="6" fillId="3" borderId="11" xfId="0" applyNumberFormat="1" applyFont="1" applyFill="1" applyBorder="1"/>
    <xf numFmtId="49" fontId="6" fillId="4" borderId="11" xfId="0" applyNumberFormat="1" applyFont="1" applyFill="1" applyBorder="1"/>
    <xf numFmtId="49" fontId="6" fillId="4" borderId="12" xfId="0" applyNumberFormat="1" applyFont="1" applyFill="1" applyBorder="1"/>
    <xf numFmtId="49" fontId="6" fillId="3" borderId="6" xfId="0" applyNumberFormat="1" applyFont="1" applyFill="1" applyBorder="1" applyAlignment="1">
      <alignment horizontal="left" vertical="center" wrapText="1"/>
    </xf>
    <xf numFmtId="49" fontId="6" fillId="5" borderId="1" xfId="0" applyNumberFormat="1" applyFont="1" applyFill="1" applyBorder="1" applyAlignment="1">
      <alignment horizontal="center" vertical="center"/>
    </xf>
    <xf numFmtId="49" fontId="6" fillId="0" borderId="7" xfId="0" applyNumberFormat="1" applyFont="1" applyBorder="1" applyAlignment="1">
      <alignment horizontal="left" vertical="center" textRotation="180"/>
    </xf>
    <xf numFmtId="0" fontId="8" fillId="0" borderId="0" xfId="0" applyFont="1" applyBorder="1" applyAlignment="1">
      <alignment textRotation="90"/>
    </xf>
    <xf numFmtId="0" fontId="8" fillId="0" borderId="0" xfId="0" applyFont="1" applyBorder="1" applyAlignment="1">
      <alignment horizontal="center" vertical="top" textRotation="90"/>
    </xf>
    <xf numFmtId="0" fontId="6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/>
    <xf numFmtId="0" fontId="6" fillId="5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top" textRotation="90" wrapText="1"/>
    </xf>
    <xf numFmtId="49" fontId="6" fillId="0" borderId="0" xfId="0" applyNumberFormat="1" applyFont="1"/>
    <xf numFmtId="0" fontId="6" fillId="0" borderId="1" xfId="0" quotePrefix="1" applyFont="1" applyBorder="1" applyAlignment="1">
      <alignment horizontal="center" vertical="center"/>
    </xf>
    <xf numFmtId="49" fontId="6" fillId="4" borderId="1" xfId="0" applyNumberFormat="1" applyFont="1" applyFill="1" applyBorder="1" applyAlignment="1">
      <alignment vertical="top" textRotation="90" wrapText="1"/>
    </xf>
    <xf numFmtId="49" fontId="6" fillId="2" borderId="1" xfId="0" applyNumberFormat="1" applyFont="1" applyFill="1" applyBorder="1" applyAlignment="1">
      <alignment vertical="top" textRotation="90" wrapText="1"/>
    </xf>
    <xf numFmtId="0" fontId="8" fillId="0" borderId="0" xfId="0" applyFont="1" applyAlignment="1">
      <alignment horizontal="center" vertical="top" textRotation="90" wrapText="1"/>
    </xf>
    <xf numFmtId="49" fontId="6" fillId="3" borderId="2" xfId="0" applyNumberFormat="1" applyFont="1" applyFill="1" applyBorder="1" applyAlignment="1">
      <alignment horizontal="center" vertical="top"/>
    </xf>
    <xf numFmtId="49" fontId="6" fillId="3" borderId="4" xfId="0" applyNumberFormat="1" applyFont="1" applyFill="1" applyBorder="1" applyAlignment="1">
      <alignment horizontal="center" vertical="top" wrapText="1"/>
    </xf>
    <xf numFmtId="49" fontId="6" fillId="0" borderId="4" xfId="0" applyNumberFormat="1" applyFont="1" applyBorder="1" applyAlignment="1">
      <alignment horizontal="center" vertical="top"/>
    </xf>
    <xf numFmtId="49" fontId="6" fillId="2" borderId="4" xfId="0" applyNumberFormat="1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49" fontId="6" fillId="3" borderId="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8" fillId="0" borderId="0" xfId="0" applyFont="1" applyAlignment="1">
      <alignment horizontal="center" vertical="top"/>
    </xf>
    <xf numFmtId="0" fontId="9" fillId="0" borderId="0" xfId="0" applyFont="1" applyAlignment="1">
      <alignment horizontal="center" vertical="top"/>
    </xf>
    <xf numFmtId="49" fontId="6" fillId="3" borderId="2" xfId="0" applyNumberFormat="1" applyFont="1" applyFill="1" applyBorder="1" applyAlignment="1">
      <alignment vertical="top"/>
    </xf>
    <xf numFmtId="49" fontId="6" fillId="0" borderId="4" xfId="0" applyNumberFormat="1" applyFont="1" applyBorder="1" applyAlignment="1">
      <alignment vertical="top"/>
    </xf>
    <xf numFmtId="49" fontId="6" fillId="2" borderId="4" xfId="0" applyNumberFormat="1" applyFont="1" applyFill="1" applyBorder="1" applyAlignment="1">
      <alignment vertical="top"/>
    </xf>
    <xf numFmtId="49" fontId="6" fillId="0" borderId="6" xfId="0" applyNumberFormat="1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8" fillId="6" borderId="0" xfId="0" applyFont="1" applyFill="1"/>
    <xf numFmtId="0" fontId="3" fillId="0" borderId="0" xfId="0" applyFont="1"/>
    <xf numFmtId="0" fontId="8" fillId="0" borderId="13" xfId="0" applyFont="1" applyBorder="1"/>
    <xf numFmtId="0" fontId="8" fillId="5" borderId="13" xfId="0" applyFont="1" applyFill="1" applyBorder="1"/>
    <xf numFmtId="0" fontId="8" fillId="7" borderId="13" xfId="0" applyFont="1" applyFill="1" applyBorder="1"/>
    <xf numFmtId="0" fontId="8" fillId="0" borderId="13" xfId="0" applyFont="1" applyBorder="1" applyAlignment="1">
      <alignment horizontal="center" vertical="top" textRotation="90"/>
    </xf>
    <xf numFmtId="0" fontId="8" fillId="0" borderId="13" xfId="0" applyFont="1" applyBorder="1" applyAlignment="1">
      <alignment horizontal="center" vertical="top"/>
    </xf>
    <xf numFmtId="49" fontId="6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vertical="top"/>
    </xf>
    <xf numFmtId="0" fontId="8" fillId="0" borderId="14" xfId="0" applyFont="1" applyBorder="1"/>
    <xf numFmtId="0" fontId="8" fillId="0" borderId="14" xfId="0" applyFont="1" applyBorder="1" applyAlignment="1">
      <alignment textRotation="90"/>
    </xf>
    <xf numFmtId="0" fontId="8" fillId="0" borderId="14" xfId="0" applyFont="1" applyBorder="1" applyAlignment="1">
      <alignment horizontal="center" vertical="top" textRotation="90"/>
    </xf>
    <xf numFmtId="0" fontId="8" fillId="0" borderId="14" xfId="0" applyFont="1" applyBorder="1" applyAlignment="1">
      <alignment vertical="top"/>
    </xf>
    <xf numFmtId="49" fontId="6" fillId="0" borderId="14" xfId="0" applyNumberFormat="1" applyFont="1" applyBorder="1" applyAlignment="1">
      <alignment horizontal="center" vertical="center"/>
    </xf>
    <xf numFmtId="0" fontId="9" fillId="0" borderId="14" xfId="0" applyFont="1" applyBorder="1"/>
    <xf numFmtId="0" fontId="6" fillId="0" borderId="14" xfId="0" applyFont="1" applyBorder="1"/>
    <xf numFmtId="0" fontId="9" fillId="0" borderId="13" xfId="0" applyFont="1" applyBorder="1"/>
    <xf numFmtId="49" fontId="6" fillId="0" borderId="0" xfId="0" applyNumberFormat="1" applyFont="1" applyBorder="1"/>
    <xf numFmtId="49" fontId="6" fillId="0" borderId="14" xfId="0" applyNumberFormat="1" applyFont="1" applyBorder="1"/>
    <xf numFmtId="0" fontId="8" fillId="0" borderId="14" xfId="0" applyFont="1" applyBorder="1" applyAlignment="1">
      <alignment horizontal="center" vertical="top"/>
    </xf>
    <xf numFmtId="0" fontId="8" fillId="0" borderId="13" xfId="0" applyFont="1" applyBorder="1" applyAlignment="1">
      <alignment horizontal="left" vertical="top" textRotation="90" wrapText="1"/>
    </xf>
    <xf numFmtId="0" fontId="8" fillId="0" borderId="14" xfId="0" applyFont="1" applyBorder="1" applyAlignment="1">
      <alignment horizontal="left" vertical="top" textRotation="90" wrapText="1"/>
    </xf>
    <xf numFmtId="0" fontId="9" fillId="0" borderId="0" xfId="0" applyFont="1" applyAlignment="1">
      <alignment horizontal="left" vertical="top" textRotation="90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top" textRotation="90"/>
    </xf>
    <xf numFmtId="0" fontId="9" fillId="0" borderId="0" xfId="0" applyFont="1" applyAlignment="1">
      <alignment vertical="center"/>
    </xf>
    <xf numFmtId="0" fontId="12" fillId="0" borderId="0" xfId="4" applyFont="1"/>
    <xf numFmtId="0" fontId="8" fillId="0" borderId="0" xfId="0" applyFont="1" applyBorder="1" applyAlignment="1">
      <alignment horizontal="left" vertical="top" textRotation="90" wrapText="1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textRotation="90" wrapText="1"/>
    </xf>
    <xf numFmtId="0" fontId="9" fillId="8" borderId="0" xfId="0" applyFont="1" applyFill="1" applyBorder="1"/>
    <xf numFmtId="0" fontId="8" fillId="8" borderId="0" xfId="0" applyFont="1" applyFill="1"/>
    <xf numFmtId="0" fontId="9" fillId="7" borderId="13" xfId="0" applyFont="1" applyFill="1" applyBorder="1"/>
    <xf numFmtId="0" fontId="8" fillId="8" borderId="0" xfId="0" applyFont="1" applyFill="1" applyBorder="1"/>
    <xf numFmtId="0" fontId="13" fillId="0" borderId="0" xfId="1" applyFont="1"/>
    <xf numFmtId="0" fontId="9" fillId="0" borderId="0" xfId="1" applyFont="1"/>
    <xf numFmtId="0" fontId="15" fillId="10" borderId="25" xfId="5" applyFont="1" applyFill="1" applyBorder="1" applyAlignment="1">
      <alignment vertical="top" wrapText="1" readingOrder="1"/>
    </xf>
    <xf numFmtId="0" fontId="15" fillId="10" borderId="26" xfId="5" applyFont="1" applyFill="1" applyBorder="1" applyAlignment="1">
      <alignment horizontal="left" vertical="top" wrapText="1" readingOrder="1"/>
    </xf>
    <xf numFmtId="0" fontId="15" fillId="5" borderId="0" xfId="5" applyFont="1" applyFill="1" applyBorder="1" applyAlignment="1">
      <alignment horizontal="left" vertical="top" wrapText="1" readingOrder="1"/>
    </xf>
    <xf numFmtId="0" fontId="15" fillId="11" borderId="27" xfId="5" applyFont="1" applyFill="1" applyBorder="1" applyAlignment="1">
      <alignment horizontal="left" vertical="top" wrapText="1" readingOrder="1"/>
    </xf>
    <xf numFmtId="0" fontId="15" fillId="10" borderId="28" xfId="5" applyFont="1" applyFill="1" applyBorder="1" applyAlignment="1">
      <alignment horizontal="left" vertical="top" wrapText="1" readingOrder="1"/>
    </xf>
    <xf numFmtId="0" fontId="15" fillId="10" borderId="29" xfId="5" applyFont="1" applyFill="1" applyBorder="1" applyAlignment="1">
      <alignment horizontal="left" vertical="top" wrapText="1" readingOrder="1"/>
    </xf>
    <xf numFmtId="0" fontId="9" fillId="9" borderId="0" xfId="1" applyFont="1" applyFill="1"/>
    <xf numFmtId="0" fontId="9" fillId="5" borderId="0" xfId="1" applyFont="1" applyFill="1"/>
    <xf numFmtId="0" fontId="15" fillId="10" borderId="30" xfId="5" applyFont="1" applyFill="1" applyBorder="1" applyAlignment="1">
      <alignment horizontal="left" vertical="top" wrapText="1" readingOrder="1"/>
    </xf>
    <xf numFmtId="0" fontId="15" fillId="10" borderId="31" xfId="5" applyFont="1" applyFill="1" applyBorder="1" applyAlignment="1">
      <alignment horizontal="left" vertical="top" wrapText="1" readingOrder="1"/>
    </xf>
    <xf numFmtId="0" fontId="15" fillId="10" borderId="32" xfId="5" applyFont="1" applyFill="1" applyBorder="1" applyAlignment="1">
      <alignment horizontal="left" vertical="top" wrapText="1" readingOrder="1"/>
    </xf>
    <xf numFmtId="0" fontId="3" fillId="10" borderId="26" xfId="5" applyFont="1" applyFill="1" applyBorder="1" applyAlignment="1">
      <alignment vertical="top" wrapText="1"/>
    </xf>
    <xf numFmtId="0" fontId="3" fillId="5" borderId="0" xfId="5" applyFont="1" applyFill="1" applyBorder="1" applyAlignment="1">
      <alignment vertical="top" wrapText="1"/>
    </xf>
    <xf numFmtId="0" fontId="15" fillId="11" borderId="30" xfId="5" applyFont="1" applyFill="1" applyBorder="1" applyAlignment="1">
      <alignment horizontal="left" vertical="top" wrapText="1" readingOrder="1"/>
    </xf>
    <xf numFmtId="0" fontId="15" fillId="11" borderId="32" xfId="5" applyFont="1" applyFill="1" applyBorder="1" applyAlignment="1">
      <alignment horizontal="left" vertical="top" wrapText="1" readingOrder="1"/>
    </xf>
    <xf numFmtId="0" fontId="15" fillId="10" borderId="33" xfId="5" applyFont="1" applyFill="1" applyBorder="1" applyAlignment="1">
      <alignment horizontal="left" vertical="top" wrapText="1" readingOrder="1"/>
    </xf>
    <xf numFmtId="0" fontId="15" fillId="11" borderId="34" xfId="5" applyFont="1" applyFill="1" applyBorder="1" applyAlignment="1">
      <alignment horizontal="left" vertical="top" wrapText="1" readingOrder="1"/>
    </xf>
    <xf numFmtId="0" fontId="15" fillId="11" borderId="26" xfId="5" applyFont="1" applyFill="1" applyBorder="1" applyAlignment="1">
      <alignment horizontal="left" vertical="top" wrapText="1" readingOrder="1"/>
    </xf>
    <xf numFmtId="0" fontId="15" fillId="11" borderId="35" xfId="5" applyFont="1" applyFill="1" applyBorder="1" applyAlignment="1">
      <alignment horizontal="left" vertical="top" wrapText="1" readingOrder="1"/>
    </xf>
    <xf numFmtId="0" fontId="15" fillId="5" borderId="34" xfId="5" applyFont="1" applyFill="1" applyBorder="1" applyAlignment="1">
      <alignment horizontal="left" vertical="top" wrapText="1" readingOrder="1"/>
    </xf>
    <xf numFmtId="0" fontId="9" fillId="0" borderId="0" xfId="1" applyFont="1" applyAlignment="1">
      <alignment textRotation="90"/>
    </xf>
    <xf numFmtId="0" fontId="15" fillId="10" borderId="34" xfId="5" applyFont="1" applyFill="1" applyBorder="1" applyAlignment="1">
      <alignment horizontal="left" vertical="top" wrapText="1" readingOrder="1"/>
    </xf>
    <xf numFmtId="0" fontId="15" fillId="10" borderId="35" xfId="5" applyFont="1" applyFill="1" applyBorder="1" applyAlignment="1">
      <alignment horizontal="left" vertical="top" wrapText="1" readingOrder="1"/>
    </xf>
    <xf numFmtId="0" fontId="9" fillId="11" borderId="0" xfId="1" applyFont="1" applyFill="1"/>
    <xf numFmtId="0" fontId="15" fillId="11" borderId="33" xfId="5" applyFont="1" applyFill="1" applyBorder="1" applyAlignment="1">
      <alignment horizontal="left" vertical="top" wrapText="1" readingOrder="1"/>
    </xf>
    <xf numFmtId="0" fontId="15" fillId="11" borderId="36" xfId="5" applyFont="1" applyFill="1" applyBorder="1" applyAlignment="1">
      <alignment horizontal="left" vertical="top" wrapText="1" readingOrder="1"/>
    </xf>
    <xf numFmtId="0" fontId="15" fillId="10" borderId="37" xfId="5" applyFont="1" applyFill="1" applyBorder="1" applyAlignment="1">
      <alignment horizontal="left" vertical="top" wrapText="1" readingOrder="1"/>
    </xf>
    <xf numFmtId="0" fontId="15" fillId="10" borderId="38" xfId="5" applyFont="1" applyFill="1" applyBorder="1" applyAlignment="1">
      <alignment horizontal="left" vertical="top" wrapText="1" readingOrder="1"/>
    </xf>
    <xf numFmtId="0" fontId="15" fillId="10" borderId="19" xfId="5" applyFont="1" applyFill="1" applyBorder="1" applyAlignment="1">
      <alignment vertical="top" wrapText="1" readingOrder="1"/>
    </xf>
    <xf numFmtId="0" fontId="3" fillId="10" borderId="20" xfId="5" applyFont="1" applyFill="1" applyBorder="1" applyAlignment="1">
      <alignment vertical="top" wrapText="1"/>
    </xf>
    <xf numFmtId="0" fontId="15" fillId="11" borderId="22" xfId="5" applyFont="1" applyFill="1" applyBorder="1" applyAlignment="1">
      <alignment horizontal="left" vertical="top" wrapText="1" readingOrder="1"/>
    </xf>
    <xf numFmtId="0" fontId="15" fillId="11" borderId="39" xfId="5" applyFont="1" applyFill="1" applyBorder="1" applyAlignment="1">
      <alignment horizontal="left" vertical="top" wrapText="1" readingOrder="1"/>
    </xf>
    <xf numFmtId="0" fontId="15" fillId="10" borderId="40" xfId="5" applyFont="1" applyFill="1" applyBorder="1" applyAlignment="1">
      <alignment horizontal="left" vertical="top" wrapText="1" readingOrder="1"/>
    </xf>
    <xf numFmtId="0" fontId="15" fillId="10" borderId="41" xfId="5" applyFont="1" applyFill="1" applyBorder="1" applyAlignment="1">
      <alignment horizontal="left" vertical="top" wrapText="1" readingOrder="1"/>
    </xf>
    <xf numFmtId="0" fontId="17" fillId="0" borderId="0" xfId="6"/>
    <xf numFmtId="0" fontId="13" fillId="5" borderId="0" xfId="1" applyFont="1" applyFill="1"/>
    <xf numFmtId="0" fontId="15" fillId="0" borderId="28" xfId="5" applyFont="1" applyBorder="1" applyAlignment="1">
      <alignment horizontal="left" vertical="top" wrapText="1" readingOrder="1"/>
    </xf>
    <xf numFmtId="0" fontId="15" fillId="0" borderId="31" xfId="5" applyFont="1" applyBorder="1" applyAlignment="1">
      <alignment horizontal="left" vertical="top" wrapText="1" readingOrder="1"/>
    </xf>
    <xf numFmtId="0" fontId="15" fillId="0" borderId="30" xfId="5" applyFont="1" applyBorder="1" applyAlignment="1">
      <alignment horizontal="left" vertical="top" wrapText="1" readingOrder="1"/>
    </xf>
    <xf numFmtId="0" fontId="15" fillId="0" borderId="26" xfId="5" applyFont="1" applyBorder="1" applyAlignment="1">
      <alignment horizontal="left" vertical="top" wrapText="1" readingOrder="1"/>
    </xf>
    <xf numFmtId="0" fontId="15" fillId="0" borderId="34" xfId="5" applyFont="1" applyBorder="1" applyAlignment="1">
      <alignment horizontal="left" vertical="top" wrapText="1" readingOrder="1"/>
    </xf>
    <xf numFmtId="0" fontId="15" fillId="0" borderId="35" xfId="5" applyFont="1" applyBorder="1" applyAlignment="1">
      <alignment horizontal="left" vertical="top" wrapText="1" readingOrder="1"/>
    </xf>
    <xf numFmtId="0" fontId="15" fillId="0" borderId="37" xfId="5" applyFont="1" applyBorder="1" applyAlignment="1">
      <alignment horizontal="left" vertical="top" wrapText="1" readingOrder="1"/>
    </xf>
    <xf numFmtId="0" fontId="15" fillId="0" borderId="40" xfId="5" applyFont="1" applyBorder="1" applyAlignment="1">
      <alignment horizontal="left" vertical="top" wrapText="1" readingOrder="1"/>
    </xf>
    <xf numFmtId="0" fontId="14" fillId="12" borderId="19" xfId="5" applyFont="1" applyFill="1" applyBorder="1" applyAlignment="1">
      <alignment horizontal="center" vertical="center" wrapText="1" readingOrder="1"/>
    </xf>
    <xf numFmtId="0" fontId="14" fillId="12" borderId="20" xfId="5" applyFont="1" applyFill="1" applyBorder="1" applyAlignment="1">
      <alignment horizontal="center" vertical="center" wrapText="1" readingOrder="1"/>
    </xf>
    <xf numFmtId="0" fontId="14" fillId="12" borderId="21" xfId="5" applyFont="1" applyFill="1" applyBorder="1" applyAlignment="1">
      <alignment horizontal="center" vertical="center" wrapText="1" readingOrder="1"/>
    </xf>
    <xf numFmtId="0" fontId="14" fillId="12" borderId="22" xfId="5" applyFont="1" applyFill="1" applyBorder="1" applyAlignment="1">
      <alignment horizontal="center" vertical="center" wrapText="1" readingOrder="1"/>
    </xf>
    <xf numFmtId="0" fontId="9" fillId="13" borderId="0" xfId="1" applyFont="1" applyFill="1"/>
    <xf numFmtId="0" fontId="9" fillId="14" borderId="0" xfId="1" applyFont="1" applyFill="1"/>
    <xf numFmtId="0" fontId="9" fillId="15" borderId="0" xfId="1" applyFont="1" applyFill="1"/>
    <xf numFmtId="0" fontId="9" fillId="7" borderId="0" xfId="0" applyFont="1" applyFill="1" applyBorder="1"/>
    <xf numFmtId="0" fontId="6" fillId="0" borderId="13" xfId="0" applyFont="1" applyBorder="1"/>
    <xf numFmtId="0" fontId="20" fillId="0" borderId="0" xfId="0" applyFont="1" applyBorder="1"/>
    <xf numFmtId="49" fontId="8" fillId="0" borderId="0" xfId="0" applyNumberFormat="1" applyFont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0" fontId="9" fillId="7" borderId="0" xfId="1" applyFont="1" applyFill="1"/>
    <xf numFmtId="0" fontId="15" fillId="0" borderId="33" xfId="5" applyFont="1" applyBorder="1" applyAlignment="1">
      <alignment horizontal="left" vertical="top" wrapText="1" readingOrder="1"/>
    </xf>
    <xf numFmtId="0" fontId="15" fillId="0" borderId="36" xfId="5" applyFont="1" applyBorder="1" applyAlignment="1">
      <alignment horizontal="left" vertical="top" wrapText="1" readingOrder="1"/>
    </xf>
    <xf numFmtId="0" fontId="15" fillId="0" borderId="22" xfId="5" applyFont="1" applyBorder="1" applyAlignment="1">
      <alignment horizontal="left" vertical="top" wrapText="1" readingOrder="1"/>
    </xf>
    <xf numFmtId="0" fontId="21" fillId="0" borderId="0" xfId="0" applyFont="1" applyAlignment="1">
      <alignment vertical="center"/>
    </xf>
    <xf numFmtId="49" fontId="6" fillId="3" borderId="5" xfId="0" applyNumberFormat="1" applyFont="1" applyFill="1" applyBorder="1" applyAlignment="1">
      <alignment horizontal="center" vertical="center" wrapText="1"/>
    </xf>
    <xf numFmtId="49" fontId="6" fillId="3" borderId="3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5" borderId="0" xfId="0" applyFont="1" applyFill="1" applyBorder="1"/>
    <xf numFmtId="0" fontId="22" fillId="0" borderId="0" xfId="4" applyFont="1"/>
    <xf numFmtId="49" fontId="6" fillId="16" borderId="1" xfId="0" applyNumberFormat="1" applyFont="1" applyFill="1" applyBorder="1" applyAlignment="1">
      <alignment horizontal="center" vertical="center"/>
    </xf>
    <xf numFmtId="0" fontId="6" fillId="16" borderId="0" xfId="0" applyFont="1" applyFill="1"/>
    <xf numFmtId="0" fontId="8" fillId="16" borderId="0" xfId="0" applyFont="1" applyFill="1"/>
    <xf numFmtId="0" fontId="8" fillId="16" borderId="13" xfId="0" applyFont="1" applyFill="1" applyBorder="1"/>
    <xf numFmtId="0" fontId="8" fillId="16" borderId="14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23" fillId="0" borderId="0" xfId="1" applyFont="1"/>
    <xf numFmtId="0" fontId="23" fillId="11" borderId="0" xfId="1" applyFont="1" applyFill="1"/>
    <xf numFmtId="0" fontId="7" fillId="0" borderId="1" xfId="0" applyFont="1" applyBorder="1" applyAlignment="1">
      <alignment horizontal="center"/>
    </xf>
    <xf numFmtId="176" fontId="6" fillId="0" borderId="1" xfId="0" applyNumberFormat="1" applyFont="1" applyBorder="1" applyAlignment="1">
      <alignment horizontal="center" vertical="center"/>
    </xf>
    <xf numFmtId="49" fontId="6" fillId="0" borderId="43" xfId="0" applyNumberFormat="1" applyFont="1" applyBorder="1" applyAlignment="1">
      <alignment horizontal="center" vertical="center"/>
    </xf>
    <xf numFmtId="49" fontId="6" fillId="5" borderId="43" xfId="0" applyNumberFormat="1" applyFont="1" applyFill="1" applyBorder="1" applyAlignment="1">
      <alignment horizontal="center" vertical="center"/>
    </xf>
    <xf numFmtId="0" fontId="6" fillId="0" borderId="43" xfId="0" applyFont="1" applyBorder="1"/>
    <xf numFmtId="0" fontId="0" fillId="0" borderId="42" xfId="0" applyBorder="1"/>
    <xf numFmtId="49" fontId="3" fillId="0" borderId="42" xfId="0" applyNumberFormat="1" applyFont="1" applyBorder="1" applyAlignment="1">
      <alignment horizontal="center" vertical="center"/>
    </xf>
    <xf numFmtId="49" fontId="6" fillId="14" borderId="1" xfId="0" applyNumberFormat="1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49" fontId="6" fillId="14" borderId="43" xfId="0" applyNumberFormat="1" applyFont="1" applyFill="1" applyBorder="1" applyAlignment="1">
      <alignment horizontal="center" vertical="center"/>
    </xf>
    <xf numFmtId="0" fontId="0" fillId="14" borderId="42" xfId="0" applyFill="1" applyBorder="1"/>
    <xf numFmtId="0" fontId="8" fillId="14" borderId="0" xfId="0" applyFont="1" applyFill="1"/>
    <xf numFmtId="0" fontId="8" fillId="14" borderId="13" xfId="0" applyFont="1" applyFill="1" applyBorder="1"/>
    <xf numFmtId="0" fontId="8" fillId="14" borderId="0" xfId="0" applyFont="1" applyFill="1" applyBorder="1"/>
    <xf numFmtId="0" fontId="9" fillId="14" borderId="0" xfId="0" applyFont="1" applyFill="1" applyBorder="1"/>
    <xf numFmtId="0" fontId="9" fillId="14" borderId="0" xfId="0" applyFont="1" applyFill="1"/>
    <xf numFmtId="49" fontId="6" fillId="4" borderId="5" xfId="0" applyNumberFormat="1" applyFont="1" applyFill="1" applyBorder="1" applyAlignment="1">
      <alignment vertical="top" textRotation="90" wrapText="1"/>
    </xf>
    <xf numFmtId="49" fontId="6" fillId="0" borderId="42" xfId="0" applyNumberFormat="1" applyFont="1" applyBorder="1" applyAlignment="1">
      <alignment horizontal="left" vertical="center" textRotation="180"/>
    </xf>
    <xf numFmtId="0" fontId="3" fillId="0" borderId="42" xfId="0" applyFont="1" applyBorder="1"/>
    <xf numFmtId="0" fontId="3" fillId="14" borderId="42" xfId="0" applyFont="1" applyFill="1" applyBorder="1"/>
    <xf numFmtId="0" fontId="6" fillId="0" borderId="0" xfId="0" applyFont="1" applyBorder="1" applyAlignment="1">
      <alignment horizontal="center"/>
    </xf>
    <xf numFmtId="0" fontId="8" fillId="16" borderId="0" xfId="1" applyFont="1" applyFill="1"/>
    <xf numFmtId="0" fontId="8" fillId="16" borderId="14" xfId="1" applyFont="1" applyFill="1" applyBorder="1"/>
    <xf numFmtId="0" fontId="8" fillId="0" borderId="0" xfId="1" applyFont="1"/>
    <xf numFmtId="0" fontId="8" fillId="0" borderId="14" xfId="1" applyFont="1" applyBorder="1"/>
    <xf numFmtId="0" fontId="8" fillId="14" borderId="14" xfId="0" applyFont="1" applyFill="1" applyBorder="1"/>
    <xf numFmtId="0" fontId="0" fillId="14" borderId="0" xfId="0" applyFill="1"/>
    <xf numFmtId="49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49" fontId="6" fillId="17" borderId="43" xfId="0" applyNumberFormat="1" applyFont="1" applyFill="1" applyBorder="1" applyAlignment="1">
      <alignment horizontal="center" vertical="center"/>
    </xf>
    <xf numFmtId="0" fontId="0" fillId="17" borderId="42" xfId="0" applyFill="1" applyBorder="1"/>
    <xf numFmtId="0" fontId="8" fillId="17" borderId="0" xfId="0" applyFont="1" applyFill="1"/>
    <xf numFmtId="0" fontId="8" fillId="17" borderId="13" xfId="0" applyFont="1" applyFill="1" applyBorder="1"/>
    <xf numFmtId="0" fontId="8" fillId="17" borderId="0" xfId="0" applyFont="1" applyFill="1" applyBorder="1"/>
    <xf numFmtId="0" fontId="9" fillId="17" borderId="0" xfId="0" applyFont="1" applyFill="1" applyBorder="1"/>
    <xf numFmtId="0" fontId="8" fillId="17" borderId="14" xfId="0" applyFont="1" applyFill="1" applyBorder="1"/>
    <xf numFmtId="0" fontId="9" fillId="17" borderId="0" xfId="0" applyFont="1" applyFill="1"/>
    <xf numFmtId="0" fontId="0" fillId="17" borderId="0" xfId="0" applyFill="1"/>
    <xf numFmtId="0" fontId="3" fillId="17" borderId="42" xfId="0" applyFont="1" applyFill="1" applyBorder="1"/>
    <xf numFmtId="0" fontId="3" fillId="17" borderId="0" xfId="0" applyFont="1" applyFill="1"/>
    <xf numFmtId="49" fontId="6" fillId="17" borderId="0" xfId="0" applyNumberFormat="1" applyFont="1" applyFill="1" applyBorder="1" applyAlignment="1">
      <alignment horizontal="center" vertical="center"/>
    </xf>
    <xf numFmtId="0" fontId="6" fillId="17" borderId="0" xfId="0" applyFont="1" applyFill="1" applyBorder="1" applyAlignment="1">
      <alignment horizontal="center" vertical="center"/>
    </xf>
    <xf numFmtId="0" fontId="9" fillId="0" borderId="0" xfId="8" applyFont="1" applyAlignment="1">
      <alignment horizontal="left" vertical="top" textRotation="90" wrapText="1"/>
    </xf>
    <xf numFmtId="0" fontId="1" fillId="0" borderId="0" xfId="8">
      <alignment vertical="center"/>
    </xf>
    <xf numFmtId="49" fontId="6" fillId="3" borderId="8" xfId="7" applyNumberFormat="1" applyFont="1" applyFill="1" applyBorder="1"/>
    <xf numFmtId="49" fontId="6" fillId="3" borderId="7" xfId="7" applyNumberFormat="1" applyFont="1" applyFill="1" applyBorder="1" applyAlignment="1">
      <alignment horizontal="left" vertical="center"/>
    </xf>
    <xf numFmtId="49" fontId="6" fillId="4" borderId="8" xfId="7" applyNumberFormat="1" applyFont="1" applyFill="1" applyBorder="1"/>
    <xf numFmtId="49" fontId="6" fillId="4" borderId="9" xfId="7" applyNumberFormat="1" applyFont="1" applyFill="1" applyBorder="1"/>
    <xf numFmtId="49" fontId="6" fillId="3" borderId="11" xfId="7" applyNumberFormat="1" applyFont="1" applyFill="1" applyBorder="1"/>
    <xf numFmtId="49" fontId="6" fillId="3" borderId="10" xfId="7" applyNumberFormat="1" applyFont="1" applyFill="1" applyBorder="1"/>
    <xf numFmtId="49" fontId="6" fillId="4" borderId="11" xfId="7" applyNumberFormat="1" applyFont="1" applyFill="1" applyBorder="1"/>
    <xf numFmtId="49" fontId="6" fillId="4" borderId="12" xfId="7" applyNumberFormat="1" applyFont="1" applyFill="1" applyBorder="1"/>
    <xf numFmtId="49" fontId="6" fillId="3" borderId="5" xfId="7" applyNumberFormat="1" applyFont="1" applyFill="1" applyBorder="1" applyAlignment="1">
      <alignment horizontal="left" vertical="center" wrapText="1"/>
    </xf>
    <xf numFmtId="49" fontId="6" fillId="4" borderId="1" xfId="7" applyNumberFormat="1" applyFont="1" applyFill="1" applyBorder="1" applyAlignment="1">
      <alignment vertical="top" textRotation="90" wrapText="1"/>
    </xf>
    <xf numFmtId="49" fontId="6" fillId="2" borderId="1" xfId="7" applyNumberFormat="1" applyFont="1" applyFill="1" applyBorder="1" applyAlignment="1">
      <alignment vertical="top" textRotation="90" wrapText="1"/>
    </xf>
    <xf numFmtId="49" fontId="6" fillId="3" borderId="3" xfId="8" applyNumberFormat="1" applyFont="1" applyFill="1" applyBorder="1" applyAlignment="1">
      <alignment horizontal="left" vertical="center" wrapText="1"/>
    </xf>
    <xf numFmtId="49" fontId="3" fillId="3" borderId="4" xfId="7" applyNumberFormat="1" applyFont="1" applyFill="1" applyBorder="1" applyAlignment="1">
      <alignment horizontal="left" vertical="center" wrapText="1"/>
    </xf>
    <xf numFmtId="49" fontId="3" fillId="3" borderId="2" xfId="7" applyNumberFormat="1" applyFont="1" applyFill="1" applyBorder="1" applyAlignment="1">
      <alignment horizontal="left" vertical="center" wrapText="1"/>
    </xf>
    <xf numFmtId="49" fontId="3" fillId="0" borderId="5" xfId="7" applyNumberFormat="1" applyFont="1" applyBorder="1" applyAlignment="1">
      <alignment horizontal="left" vertical="center" textRotation="180"/>
    </xf>
    <xf numFmtId="0" fontId="9" fillId="0" borderId="0" xfId="7" applyFont="1"/>
    <xf numFmtId="49" fontId="6" fillId="3" borderId="1" xfId="8" applyNumberFormat="1" applyFont="1" applyFill="1" applyBorder="1" applyAlignment="1">
      <alignment horizontal="left" vertical="top" wrapText="1"/>
    </xf>
    <xf numFmtId="49" fontId="6" fillId="3" borderId="1" xfId="8" applyNumberFormat="1" applyFont="1" applyFill="1" applyBorder="1" applyAlignment="1">
      <alignment vertical="top"/>
    </xf>
    <xf numFmtId="49" fontId="3" fillId="3" borderId="2" xfId="7" applyNumberFormat="1" applyFont="1" applyFill="1" applyBorder="1"/>
    <xf numFmtId="49" fontId="3" fillId="0" borderId="4" xfId="7" applyNumberFormat="1" applyFont="1" applyBorder="1"/>
    <xf numFmtId="0" fontId="1" fillId="0" borderId="0" xfId="8" quotePrefix="1">
      <alignment vertical="center"/>
    </xf>
    <xf numFmtId="49" fontId="3" fillId="0" borderId="44" xfId="7" applyNumberFormat="1" applyFont="1" applyBorder="1" applyAlignment="1">
      <alignment horizontal="center" vertical="center"/>
    </xf>
    <xf numFmtId="49" fontId="3" fillId="0" borderId="45" xfId="7" applyNumberFormat="1" applyFont="1" applyBorder="1" applyAlignment="1">
      <alignment horizontal="center" vertical="center"/>
    </xf>
    <xf numFmtId="49" fontId="3" fillId="2" borderId="44" xfId="7" applyNumberFormat="1" applyFont="1" applyFill="1" applyBorder="1" applyAlignment="1">
      <alignment horizontal="center" vertical="center"/>
    </xf>
    <xf numFmtId="49" fontId="3" fillId="2" borderId="45" xfId="7" applyNumberFormat="1" applyFont="1" applyFill="1" applyBorder="1" applyAlignment="1">
      <alignment horizontal="center" vertical="center"/>
    </xf>
    <xf numFmtId="0" fontId="8" fillId="0" borderId="0" xfId="1" applyFont="1" applyFill="1"/>
    <xf numFmtId="0" fontId="9" fillId="0" borderId="0" xfId="0" applyNumberFormat="1" applyFont="1"/>
    <xf numFmtId="0" fontId="14" fillId="12" borderId="15" xfId="5" applyFont="1" applyFill="1" applyBorder="1" applyAlignment="1">
      <alignment horizontal="center" vertical="center" wrapText="1" readingOrder="1"/>
    </xf>
    <xf numFmtId="0" fontId="14" fillId="12" borderId="16" xfId="5" applyFont="1" applyFill="1" applyBorder="1" applyAlignment="1">
      <alignment horizontal="center" vertical="center" wrapText="1" readingOrder="1"/>
    </xf>
    <xf numFmtId="0" fontId="14" fillId="12" borderId="17" xfId="5" applyFont="1" applyFill="1" applyBorder="1" applyAlignment="1">
      <alignment horizontal="center" vertical="center" wrapText="1" readingOrder="1"/>
    </xf>
    <xf numFmtId="0" fontId="14" fillId="12" borderId="23" xfId="5" applyFont="1" applyFill="1" applyBorder="1" applyAlignment="1">
      <alignment horizontal="center" vertical="center" wrapText="1" readingOrder="1"/>
    </xf>
    <xf numFmtId="0" fontId="14" fillId="12" borderId="18" xfId="5" applyFont="1" applyFill="1" applyBorder="1" applyAlignment="1">
      <alignment horizontal="center" vertical="center" wrapText="1" readingOrder="1"/>
    </xf>
    <xf numFmtId="0" fontId="14" fillId="12" borderId="24" xfId="5" applyFont="1" applyFill="1" applyBorder="1" applyAlignment="1">
      <alignment horizontal="center" vertical="center" wrapText="1" readingOrder="1"/>
    </xf>
  </cellXfs>
  <cellStyles count="9">
    <cellStyle name="ハイパーリンク" xfId="4" builtinId="8"/>
    <cellStyle name="ハイパーリンク 2" xfId="6" xr:uid="{99AE7AE6-AD0F-4197-B7B8-BE9597131E5C}"/>
    <cellStyle name="標準" xfId="0" builtinId="0"/>
    <cellStyle name="標準 175" xfId="5" xr:uid="{16CC2294-28BA-4889-9660-8A27FF3D2809}"/>
    <cellStyle name="標準 2" xfId="1" xr:uid="{14F8C864-196A-4390-A5D8-277CA934C94A}"/>
    <cellStyle name="標準 2 2 2" xfId="7" xr:uid="{4917F63D-40F0-4E12-984D-C7D708D5B85B}"/>
    <cellStyle name="標準 3" xfId="2" xr:uid="{96BFC3BE-6FF4-4998-A591-C2DA89F902F2}"/>
    <cellStyle name="標準 4" xfId="3" xr:uid="{7623CA53-9FDC-419C-9E0A-37B38F82CB13}"/>
    <cellStyle name="標準 5" xfId="8" xr:uid="{49DF3429-6460-4732-8B19-BC4CC8B007E7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family val="3"/>
        <scheme val="none"/>
      </font>
      <alignment horizontal="left" vertical="top" textRotation="90" wrapText="1" indent="0" justifyLastLine="0" shrinkToFit="0" readingOrder="0"/>
    </dxf>
  </dxfs>
  <tableStyles count="0" defaultTableStyle="TableStyleMedium2" defaultPivotStyle="PivotStyleLight16"/>
  <colors>
    <mruColors>
      <color rgb="FF99CCFF"/>
      <color rgb="FFFFFF99"/>
      <color rgb="FFFF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559</xdr:colOff>
      <xdr:row>3</xdr:row>
      <xdr:rowOff>694765</xdr:rowOff>
    </xdr:from>
    <xdr:to>
      <xdr:col>15</xdr:col>
      <xdr:colOff>1485900</xdr:colOff>
      <xdr:row>3</xdr:row>
      <xdr:rowOff>1927412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38733EA-683C-713E-7247-9FFA5A16234E}"/>
            </a:ext>
          </a:extLst>
        </xdr:cNvPr>
        <xdr:cNvSpPr txBox="1"/>
      </xdr:nvSpPr>
      <xdr:spPr>
        <a:xfrm>
          <a:off x="4639234" y="1752040"/>
          <a:ext cx="5114366" cy="12326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G2M-1/ G5M【</a:t>
          </a:r>
          <a:r>
            <a:rPr kumimoji="1" lang="ja-JP" altLang="en-US" sz="1100"/>
            <a:t>方針</a:t>
          </a:r>
          <a:r>
            <a:rPr kumimoji="1" lang="en-US" altLang="ja-JP" sz="1100"/>
            <a:t>】</a:t>
          </a:r>
        </a:p>
        <a:p>
          <a:r>
            <a:rPr kumimoji="1" lang="en-US" altLang="ja-JP" sz="1100"/>
            <a:t> </a:t>
          </a:r>
          <a:r>
            <a:rPr kumimoji="1" lang="ja-JP" altLang="en-US" sz="1100"/>
            <a:t>　</a:t>
          </a:r>
          <a:r>
            <a:rPr kumimoji="1" lang="en-US" altLang="ja-JP" sz="1100"/>
            <a:t>CANID</a:t>
          </a:r>
          <a:r>
            <a:rPr kumimoji="1" lang="ja-JP" altLang="en-US" sz="1100"/>
            <a:t>の</a:t>
          </a:r>
          <a:r>
            <a:rPr kumimoji="1" lang="en-US" altLang="ja-JP" sz="1100"/>
            <a:t>0x100</a:t>
          </a:r>
          <a:r>
            <a:rPr kumimoji="1" lang="ja-JP" altLang="en-US" sz="1100"/>
            <a:t>番台、</a:t>
          </a:r>
          <a:r>
            <a:rPr kumimoji="1" lang="en-US" altLang="ja-JP" sz="1100"/>
            <a:t>0x200</a:t>
          </a:r>
          <a:r>
            <a:rPr kumimoji="1" lang="ja-JP" altLang="en-US" sz="1100"/>
            <a:t>番台・・・の順に送信</a:t>
          </a:r>
          <a:r>
            <a:rPr kumimoji="1" lang="en-US" altLang="ja-JP" sz="1100"/>
            <a:t>Queue</a:t>
          </a:r>
          <a:r>
            <a:rPr kumimoji="1" lang="ja-JP" altLang="en-US" sz="1100"/>
            <a:t>を若番から割り当てる。</a:t>
          </a:r>
          <a:endParaRPr kumimoji="1" lang="en-US" altLang="ja-JP" sz="1100"/>
        </a:p>
        <a:p>
          <a:r>
            <a:rPr kumimoji="1" lang="ja-JP" altLang="en-US" sz="1100"/>
            <a:t>　</a:t>
          </a:r>
          <a:r>
            <a:rPr kumimoji="1" lang="en-US" altLang="ja-JP" sz="1100"/>
            <a:t>(</a:t>
          </a:r>
          <a:r>
            <a:rPr kumimoji="1" lang="ja-JP" altLang="en-US" sz="1100"/>
            <a:t>優先度の高いメッセージから送信</a:t>
          </a:r>
          <a:r>
            <a:rPr kumimoji="1" lang="en-US" altLang="ja-JP" sz="1100"/>
            <a:t>Queue</a:t>
          </a:r>
          <a:r>
            <a:rPr kumimoji="1" lang="ja-JP" altLang="en-US" sz="1100"/>
            <a:t>の若番に割り当てる。</a:t>
          </a:r>
          <a:r>
            <a:rPr kumimoji="1" lang="en-US" altLang="ja-JP" sz="1100"/>
            <a:t>)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※G2M-1</a:t>
          </a:r>
          <a:r>
            <a:rPr kumimoji="1" lang="ja-JP" altLang="en-US" sz="1100"/>
            <a:t>の</a:t>
          </a:r>
          <a:r>
            <a:rPr kumimoji="1" lang="en-US" altLang="ja-JP" sz="1100"/>
            <a:t>0x300</a:t>
          </a:r>
          <a:r>
            <a:rPr kumimoji="1" lang="ja-JP" altLang="en-US" sz="1100"/>
            <a:t>番台はメッセージが多いため、送信</a:t>
          </a:r>
          <a:r>
            <a:rPr kumimoji="1" lang="en-US" altLang="ja-JP" sz="1100"/>
            <a:t>Queue</a:t>
          </a:r>
          <a:r>
            <a:rPr kumimoji="1" lang="ja-JP" altLang="en-US" sz="1100"/>
            <a:t>を</a:t>
          </a:r>
          <a:r>
            <a:rPr kumimoji="1" lang="en-US" altLang="ja-JP" sz="1100"/>
            <a:t>2</a:t>
          </a:r>
          <a:r>
            <a:rPr kumimoji="1" lang="ja-JP" altLang="en-US" sz="1100"/>
            <a:t>つ割り当てる</a:t>
          </a:r>
          <a:endParaRPr kumimoji="1" lang="en-US" altLang="ja-JP" sz="1100"/>
        </a:p>
        <a:p>
          <a:r>
            <a:rPr kumimoji="1" lang="en-US" altLang="ja-JP" sz="1100"/>
            <a:t> </a:t>
          </a:r>
          <a:endParaRPr kumimoji="1" lang="ja-JP" altLang="en-US" sz="1100"/>
        </a:p>
      </xdr:txBody>
    </xdr:sp>
    <xdr:clientData/>
  </xdr:twoCellAnchor>
  <xdr:twoCellAnchor editAs="oneCell">
    <xdr:from>
      <xdr:col>13</xdr:col>
      <xdr:colOff>313765</xdr:colOff>
      <xdr:row>131</xdr:row>
      <xdr:rowOff>0</xdr:rowOff>
    </xdr:from>
    <xdr:to>
      <xdr:col>15</xdr:col>
      <xdr:colOff>1370568</xdr:colOff>
      <xdr:row>138</xdr:row>
      <xdr:rowOff>35227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4987E9A-9DC4-4585-BF23-4E75EA2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2118" y="24473647"/>
          <a:ext cx="2992059" cy="12101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\260209_CDC_BAC_Change\VM0\CanLpR\bevstep3-cockpit_Mar-20-2026_CANLpR_v7.30_r006_selfcheck.xlsx" TargetMode="External"/><Relationship Id="rId1" Type="http://schemas.openxmlformats.org/officeDocument/2006/relationships/externalLinkPath" Target="/work/260209_CDC_BAC_Change/VM0/CanLpR/bevstep3-cockpit_Mar-20-2026_CANLpR_v7.30_r006_selfchec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2M-1_v2"/>
      <sheetName val="CANRx_G2M-1_v2"/>
      <sheetName val="RRMB_G2M-1"/>
      <sheetName val="CANRx_G2M-2"/>
      <sheetName val="RRMB_G2M-2"/>
      <sheetName val="CANRx_G5M"/>
      <sheetName val="RRMB_G5M"/>
      <sheetName val="CANRx_Local"/>
      <sheetName val="RRMB_Local"/>
      <sheetName val="vCANRx"/>
      <sheetName val="SecOCRx_G2M-1"/>
      <sheetName val="SecOCTx_GxM-y"/>
      <sheetName val="can_lpfq_cfg"/>
      <sheetName val="can_lpr_uds_tx_cfg_G2M_1-&gt;vCAN"/>
      <sheetName val="can_lpr_uds_tx_cfg_vCAN-&gt;G2M_1"/>
      <sheetName val="SecOC_Cfg.h"/>
      <sheetName val="can_rscf4_cfg.h"/>
      <sheetName val="can_rscf4c_cfg.h"/>
      <sheetName val="VCan_PBcfg.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8">
          <cell r="C78" t="str">
            <v>AVN1SB7</v>
          </cell>
          <cell r="D78">
            <v>0</v>
          </cell>
        </row>
        <row r="79">
          <cell r="C79" t="str">
            <v>AVN1SC1</v>
          </cell>
          <cell r="D79">
            <v>1</v>
          </cell>
        </row>
        <row r="80">
          <cell r="C80" t="str">
            <v>AVN1SC2</v>
          </cell>
          <cell r="D80">
            <v>2</v>
          </cell>
        </row>
        <row r="81">
          <cell r="C81" t="str">
            <v>AVN1SC3</v>
          </cell>
          <cell r="D81">
            <v>3</v>
          </cell>
        </row>
        <row r="82">
          <cell r="C82" t="str">
            <v>AVN1SC4</v>
          </cell>
          <cell r="D82">
            <v>4</v>
          </cell>
        </row>
        <row r="83">
          <cell r="C83" t="str">
            <v>AVN1SC5</v>
          </cell>
          <cell r="D83">
            <v>5</v>
          </cell>
        </row>
        <row r="84">
          <cell r="C84" t="str">
            <v>AVN1SC6</v>
          </cell>
          <cell r="D84">
            <v>6</v>
          </cell>
        </row>
        <row r="85">
          <cell r="C85" t="str">
            <v>AVN1SC7</v>
          </cell>
          <cell r="D85">
            <v>7</v>
          </cell>
        </row>
        <row r="86">
          <cell r="C86" t="str">
            <v>AVN1SC8</v>
          </cell>
          <cell r="D86">
            <v>8</v>
          </cell>
        </row>
        <row r="87">
          <cell r="C87" t="str">
            <v>AVN1SC9</v>
          </cell>
          <cell r="D87">
            <v>9</v>
          </cell>
        </row>
        <row r="88">
          <cell r="C88" t="str">
            <v>AVN1SD1</v>
          </cell>
          <cell r="D88">
            <v>10</v>
          </cell>
        </row>
        <row r="89">
          <cell r="C89" t="str">
            <v>AVN1SD2</v>
          </cell>
          <cell r="D89">
            <v>11</v>
          </cell>
        </row>
        <row r="90">
          <cell r="C90" t="str">
            <v>AVN1SD3</v>
          </cell>
          <cell r="D90">
            <v>12</v>
          </cell>
        </row>
        <row r="91">
          <cell r="C91" t="str">
            <v>CDC1S01</v>
          </cell>
          <cell r="D91">
            <v>13</v>
          </cell>
        </row>
        <row r="92">
          <cell r="C92" t="str">
            <v>MET1S30</v>
          </cell>
          <cell r="D92">
            <v>14</v>
          </cell>
        </row>
        <row r="93">
          <cell r="C93" t="str">
            <v>MET1S44</v>
          </cell>
          <cell r="D93">
            <v>15</v>
          </cell>
        </row>
      </sheetData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38B8E1-82A3-4869-88C1-0212926E4059}" name="テーブル1" displayName="テーブル1" ref="A1:H274" totalsRowShown="0" headerRowDxfId="0" headerRowCellStyle="標準 5" dataCellStyle="標準 5">
  <autoFilter ref="A1:H274" xr:uid="{CE2ADB17-02B2-4ACA-A5C8-9D3A10FBA438}"/>
  <sortState xmlns:xlrd2="http://schemas.microsoft.com/office/spreadsheetml/2017/richdata2" ref="A2:D143">
    <sortCondition ref="C1:C143"/>
  </sortState>
  <tableColumns count="8">
    <tableColumn id="1" xr3:uid="{6A60D485-5A53-4DDD-93FD-FED9CB542011}" name="can_rscf4_cfg.h_x000a_CAN_CFG_ID_VALUE_5_MB###" dataCellStyle="標準 5"/>
    <tableColumn id="2" xr3:uid="{B665373B-6CD4-45D3-AD54-5812B70D8F9D}" name="can_rscf4_cfg.h_x000a_CAN_CFG_ID_VALUE_5_MB###2" dataCellStyle="標準 5"/>
    <tableColumn id="3" xr3:uid="{9BA8DFAD-D42F-452A-B027-5FDB242508FA}" name="can_rscf4_cfg.h_x000a_CAN_CFG_ID_VALUE_5_MB###3" dataCellStyle="標準 5"/>
    <tableColumn id="4" xr3:uid="{3368900B-06E7-4F4B-B432-8B2404CA50AD}" name="can_rscf4_cfg.h_x000a_CAN_CFG_FILTER_MASK_VALUE_#" dataCellStyle="標準 5"/>
    <tableColumn id="5" xr3:uid="{29A6366C-01F0-4693-9686-726F90EFD8A3}" name="列1" dataCellStyle="標準 5"/>
    <tableColumn id="6" xr3:uid="{34EC000E-73CF-4ACB-8510-7C405485DC4A}" name="列2" dataCellStyle="標準 5"/>
    <tableColumn id="7" xr3:uid="{768B3CF9-4097-4B29-B479-D27463638371}" name="列3" dataCellStyle="標準 5"/>
    <tableColumn id="8" xr3:uid="{7073B989-F5FD-4064-A98F-FE93A8D03734}" name="列4" dataCellStyle="標準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vn.geniie.net/body/GW_CMN_Post19PF/CM/TMC_BEV/D-DC/trunk/99_%e5%85%a5%e5%8a%9b%e6%96%87%e6%9b%b8(INPUT)/%e8%a6%81%e6%b1%82%e4%bb%95%e6%a7%98%e6%9b%b8/40_%e3%82%b7%e3%82%b9%e6%a4%9c%232/20250331_%e3%83%80%e3%82%a4%e3%82%a2%e3%82%b0RM/08_%e5%ae%9a%e6%95%b0/BEV%20step3%20ECU%e5%86%85%e8%94%b5CAN%e3%82%b2%e3%83%bc%e3%83%88%e3%82%a6%e3%82%a7%e3%82%a4%e6%a9%9f%e8%83%bd%20%20%e3%83%80%e3%82%a4%e3%82%a2%e3%82%b0GW%e3%83%ab%e3%83%bc%e3%83%86%e3%82%a3%e3%83%b3%e3%82%b0%e3%83%9e%e3%83%83%e3%83%9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862A9-0F94-47D0-B8E8-E202EAAE33DD}">
  <dimension ref="A1:AF279"/>
  <sheetViews>
    <sheetView zoomScaleNormal="100" workbookViewId="0">
      <selection activeCell="G14" sqref="G14"/>
    </sheetView>
  </sheetViews>
  <sheetFormatPr defaultRowHeight="18.75"/>
  <cols>
    <col min="1" max="1" width="31.25" style="244" bestFit="1" customWidth="1"/>
    <col min="2" max="2" width="10.5" style="244" bestFit="1" customWidth="1"/>
    <col min="3" max="3" width="12.25" style="244" bestFit="1" customWidth="1"/>
    <col min="4" max="4" width="12.125" style="244" bestFit="1" customWidth="1"/>
    <col min="5" max="6" width="11.625" style="244" bestFit="1" customWidth="1"/>
    <col min="7" max="7" width="9" style="244"/>
    <col min="8" max="8" width="11.5" style="244" bestFit="1" customWidth="1"/>
    <col min="9" max="26" width="9" style="244"/>
    <col min="27" max="27" width="13.25" style="244" bestFit="1" customWidth="1"/>
    <col min="28" max="28" width="17" style="244" bestFit="1" customWidth="1"/>
    <col min="29" max="16384" width="9" style="244"/>
  </cols>
  <sheetData>
    <row r="1" spans="1:32" ht="191.25" customHeight="1">
      <c r="A1" s="243" t="s">
        <v>0</v>
      </c>
      <c r="B1" s="243" t="s">
        <v>7554</v>
      </c>
      <c r="C1" s="243" t="s">
        <v>7555</v>
      </c>
      <c r="D1" s="243" t="s">
        <v>1</v>
      </c>
      <c r="E1" s="243" t="s">
        <v>7556</v>
      </c>
      <c r="F1" s="243" t="s">
        <v>7557</v>
      </c>
      <c r="G1" s="243" t="s">
        <v>7558</v>
      </c>
      <c r="H1" s="243" t="s">
        <v>7559</v>
      </c>
      <c r="Q1" s="245"/>
      <c r="R1" s="246" t="s">
        <v>2</v>
      </c>
      <c r="S1" s="245"/>
      <c r="T1" s="245"/>
      <c r="U1" s="245"/>
      <c r="V1" s="245"/>
      <c r="W1" s="247"/>
      <c r="X1" s="247"/>
      <c r="Y1" s="248"/>
    </row>
    <row r="2" spans="1:32">
      <c r="A2" s="244" t="s">
        <v>7</v>
      </c>
      <c r="B2" s="244" t="s">
        <v>7</v>
      </c>
      <c r="C2" s="244" t="s">
        <v>3</v>
      </c>
      <c r="D2" s="244" t="s">
        <v>7560</v>
      </c>
      <c r="E2" s="244">
        <v>0</v>
      </c>
      <c r="F2" s="244">
        <v>19</v>
      </c>
      <c r="G2" s="244" t="s">
        <v>7</v>
      </c>
      <c r="H2" s="244" t="s">
        <v>3</v>
      </c>
      <c r="Q2" s="249"/>
      <c r="R2" s="250"/>
      <c r="S2" s="249"/>
      <c r="T2" s="249"/>
      <c r="U2" s="249"/>
      <c r="V2" s="249"/>
      <c r="W2" s="251"/>
      <c r="X2" s="251"/>
      <c r="Y2" s="252"/>
    </row>
    <row r="3" spans="1:32" ht="31.5" customHeight="1">
      <c r="A3" s="244" t="s">
        <v>882</v>
      </c>
      <c r="B3" s="244">
        <v>59</v>
      </c>
      <c r="C3" s="244" t="s">
        <v>3</v>
      </c>
      <c r="D3" s="244" t="s">
        <v>6</v>
      </c>
      <c r="E3" s="244">
        <v>8</v>
      </c>
      <c r="F3" s="244">
        <v>19</v>
      </c>
      <c r="G3" s="244" t="s">
        <v>7</v>
      </c>
      <c r="H3" s="244" t="s">
        <v>7561</v>
      </c>
      <c r="Q3" s="253" t="s">
        <v>7</v>
      </c>
      <c r="R3" s="253" t="s">
        <v>7</v>
      </c>
      <c r="S3" s="253"/>
      <c r="T3" s="253" t="s">
        <v>7</v>
      </c>
      <c r="U3" s="253" t="s">
        <v>7</v>
      </c>
      <c r="V3" s="253"/>
      <c r="W3" s="254" t="s">
        <v>8</v>
      </c>
      <c r="X3" s="255" t="s">
        <v>9</v>
      </c>
      <c r="Y3" s="254" t="s">
        <v>10</v>
      </c>
    </row>
    <row r="4" spans="1:32" ht="107.25" customHeight="1">
      <c r="A4" s="244" t="s">
        <v>7</v>
      </c>
      <c r="B4" s="244" t="s">
        <v>7</v>
      </c>
      <c r="C4" s="244" t="s">
        <v>11</v>
      </c>
      <c r="D4" s="244" t="s">
        <v>7560</v>
      </c>
      <c r="E4" s="244">
        <v>0</v>
      </c>
      <c r="F4" s="244">
        <v>98</v>
      </c>
      <c r="G4" s="244" t="s">
        <v>7</v>
      </c>
      <c r="H4" s="244" t="s">
        <v>11</v>
      </c>
      <c r="I4" s="256" t="s">
        <v>12</v>
      </c>
      <c r="J4" s="256" t="s">
        <v>13</v>
      </c>
      <c r="K4" s="256" t="s">
        <v>14</v>
      </c>
      <c r="L4" s="256" t="s">
        <v>15</v>
      </c>
      <c r="M4" s="256" t="s">
        <v>16</v>
      </c>
      <c r="N4" s="256" t="s">
        <v>17</v>
      </c>
      <c r="Q4" s="257" t="s">
        <v>12</v>
      </c>
      <c r="R4" s="258" t="s">
        <v>13</v>
      </c>
      <c r="S4" s="257" t="s">
        <v>14</v>
      </c>
      <c r="T4" s="257" t="s">
        <v>15</v>
      </c>
      <c r="U4" s="257" t="s">
        <v>16</v>
      </c>
      <c r="V4" s="257" t="s">
        <v>7562</v>
      </c>
      <c r="W4" s="259" t="s">
        <v>18</v>
      </c>
      <c r="X4" s="259" t="s">
        <v>18</v>
      </c>
      <c r="Y4" s="259" t="s">
        <v>18</v>
      </c>
      <c r="AA4" s="260" t="s">
        <v>19</v>
      </c>
      <c r="AB4" s="260" t="s">
        <v>12</v>
      </c>
      <c r="AC4" s="260" t="s">
        <v>14</v>
      </c>
      <c r="AD4" s="260" t="s">
        <v>15</v>
      </c>
      <c r="AE4" s="260" t="s">
        <v>16</v>
      </c>
      <c r="AF4" s="260" t="s">
        <v>20</v>
      </c>
    </row>
    <row r="5" spans="1:32" ht="26.25" thickBot="1">
      <c r="A5" s="244" t="s">
        <v>945</v>
      </c>
      <c r="B5" s="244">
        <v>120</v>
      </c>
      <c r="C5" s="244" t="s">
        <v>11</v>
      </c>
      <c r="D5" s="244" t="s">
        <v>6</v>
      </c>
      <c r="E5" s="244">
        <v>8</v>
      </c>
      <c r="F5" s="244">
        <v>98</v>
      </c>
      <c r="G5" s="244" t="s">
        <v>7</v>
      </c>
      <c r="H5" s="244" t="s">
        <v>7563</v>
      </c>
      <c r="I5" s="261" t="s">
        <v>21</v>
      </c>
      <c r="J5" s="262"/>
      <c r="K5" s="261" t="s">
        <v>22</v>
      </c>
      <c r="L5" s="261" t="s">
        <v>23</v>
      </c>
      <c r="M5" s="261" t="s">
        <v>24</v>
      </c>
      <c r="N5" s="261" t="s">
        <v>22</v>
      </c>
      <c r="Q5" s="257" t="s">
        <v>21</v>
      </c>
      <c r="R5" s="263"/>
      <c r="S5" s="257" t="s">
        <v>22</v>
      </c>
      <c r="T5" s="257" t="s">
        <v>23</v>
      </c>
      <c r="U5" s="257" t="s">
        <v>24</v>
      </c>
      <c r="V5" s="257" t="s">
        <v>22</v>
      </c>
      <c r="W5" s="264"/>
      <c r="X5" s="264"/>
      <c r="Y5" s="264"/>
      <c r="AA5" s="260"/>
      <c r="AB5" s="260" t="s">
        <v>25</v>
      </c>
      <c r="AC5" s="260" t="s">
        <v>22</v>
      </c>
      <c r="AD5" s="260" t="s">
        <v>23</v>
      </c>
      <c r="AE5" s="260" t="s">
        <v>24</v>
      </c>
      <c r="AF5" s="260" t="s">
        <v>22</v>
      </c>
    </row>
    <row r="6" spans="1:32" ht="19.5" thickBot="1">
      <c r="A6" s="244" t="s">
        <v>968</v>
      </c>
      <c r="B6" s="244">
        <v>143</v>
      </c>
      <c r="C6" s="244" t="s">
        <v>26</v>
      </c>
      <c r="D6" s="244" t="s">
        <v>7560</v>
      </c>
      <c r="E6" s="244">
        <v>0</v>
      </c>
      <c r="F6" s="244">
        <v>105</v>
      </c>
      <c r="G6" s="244" t="s">
        <v>7</v>
      </c>
      <c r="H6" s="244" t="s">
        <v>26</v>
      </c>
      <c r="I6" s="265" t="str">
        <f>UPPER(RIGHT(H2,3))</f>
        <v>013</v>
      </c>
      <c r="J6" s="244" t="str">
        <f>VLOOKUP($I6,$Q$6:$Y$278,2,FALSE)</f>
        <v>BDC1S52</v>
      </c>
      <c r="K6" s="244" t="str">
        <f>VLOOKUP($I6,$Q$6:$Y$278,3,FALSE)</f>
        <v>1</v>
      </c>
      <c r="L6" s="244">
        <f>VLOOKUP($I6,$Q$6:$Y$278,4,FALSE)</f>
        <v>64</v>
      </c>
      <c r="M6" s="244" t="str">
        <f>VLOOKUP($I6,$Q$6:$Y$278,5,FALSE)</f>
        <v>-</v>
      </c>
      <c r="N6" s="244" t="str">
        <f>VLOOKUP($I6,$Q$6:$Y$278,6,FALSE)</f>
        <v>0</v>
      </c>
      <c r="P6" s="244">
        <f t="shared" ref="P6:P69" si="0">COUNTIF($J$6:$J$278,R6)</f>
        <v>1</v>
      </c>
      <c r="Q6" s="266" t="s">
        <v>27</v>
      </c>
      <c r="R6" s="267" t="s">
        <v>28</v>
      </c>
      <c r="S6" s="266" t="s">
        <v>29</v>
      </c>
      <c r="T6" s="266">
        <v>64</v>
      </c>
      <c r="U6" s="266" t="s">
        <v>30</v>
      </c>
      <c r="V6" s="266" t="s">
        <v>31</v>
      </c>
      <c r="W6" s="266" t="s">
        <v>32</v>
      </c>
      <c r="X6" s="266"/>
      <c r="Y6" s="266" t="s">
        <v>7</v>
      </c>
      <c r="AA6" s="244" t="s">
        <v>28</v>
      </c>
      <c r="AB6" s="244" t="s">
        <v>27</v>
      </c>
      <c r="AC6" s="244" t="s">
        <v>29</v>
      </c>
      <c r="AD6" s="244">
        <v>64</v>
      </c>
      <c r="AE6" s="244" t="s">
        <v>30</v>
      </c>
      <c r="AF6" s="244" t="s">
        <v>31</v>
      </c>
    </row>
    <row r="7" spans="1:32" ht="19.5" thickBot="1">
      <c r="A7" s="244" t="s">
        <v>7</v>
      </c>
      <c r="B7" s="244" t="s">
        <v>7</v>
      </c>
      <c r="C7" s="244" t="s">
        <v>33</v>
      </c>
      <c r="D7" s="244" t="s">
        <v>7560</v>
      </c>
      <c r="E7" s="244">
        <v>0</v>
      </c>
      <c r="F7" s="244">
        <v>134</v>
      </c>
      <c r="G7" s="244" t="s">
        <v>7</v>
      </c>
      <c r="H7" s="244" t="s">
        <v>33</v>
      </c>
      <c r="I7" s="265" t="str">
        <f t="shared" ref="I7:I70" si="1">UPPER(RIGHT(H3,3))</f>
        <v>01B</v>
      </c>
      <c r="J7" s="244" t="str">
        <f t="shared" ref="J7:J70" si="2">VLOOKUP($I7,$Q$6:$Y$278,2,FALSE)</f>
        <v>BDC1S60</v>
      </c>
      <c r="K7" s="244" t="str">
        <f t="shared" ref="K7:K70" si="3">VLOOKUP($I7,$Q$6:$Y$278,3,FALSE)</f>
        <v>1</v>
      </c>
      <c r="L7" s="244">
        <f t="shared" ref="L7:L70" si="4">VLOOKUP($I7,$Q$6:$Y$278,4,FALSE)</f>
        <v>64</v>
      </c>
      <c r="M7" s="244" t="str">
        <f t="shared" ref="M7:M70" si="5">VLOOKUP($I7,$Q$6:$Y$278,5,FALSE)</f>
        <v>-</v>
      </c>
      <c r="N7" s="244" t="str">
        <f t="shared" ref="N7:N70" si="6">VLOOKUP($I7,$Q$6:$Y$278,6,FALSE)</f>
        <v>0</v>
      </c>
      <c r="P7" s="244">
        <f t="shared" si="0"/>
        <v>1</v>
      </c>
      <c r="Q7" s="266" t="s">
        <v>34</v>
      </c>
      <c r="R7" s="267" t="s">
        <v>35</v>
      </c>
      <c r="S7" s="266" t="s">
        <v>29</v>
      </c>
      <c r="T7" s="266">
        <v>64</v>
      </c>
      <c r="U7" s="266" t="s">
        <v>30</v>
      </c>
      <c r="V7" s="266" t="s">
        <v>31</v>
      </c>
      <c r="W7" s="266" t="s">
        <v>32</v>
      </c>
      <c r="X7" s="266"/>
      <c r="Y7" s="266" t="s">
        <v>7</v>
      </c>
      <c r="AA7" s="244" t="s">
        <v>35</v>
      </c>
      <c r="AB7" s="244" t="s">
        <v>34</v>
      </c>
      <c r="AC7" s="244" t="s">
        <v>29</v>
      </c>
      <c r="AD7" s="244">
        <v>64</v>
      </c>
      <c r="AE7" s="244" t="s">
        <v>30</v>
      </c>
      <c r="AF7" s="244" t="s">
        <v>31</v>
      </c>
    </row>
    <row r="8" spans="1:32" ht="19.5" thickBot="1">
      <c r="A8" s="244" t="s">
        <v>877</v>
      </c>
      <c r="B8" s="244">
        <v>54</v>
      </c>
      <c r="C8" s="244" t="s">
        <v>33</v>
      </c>
      <c r="D8" s="244" t="s">
        <v>36</v>
      </c>
      <c r="E8" s="244">
        <v>256</v>
      </c>
      <c r="F8" s="244">
        <v>134</v>
      </c>
      <c r="G8" s="244" t="s">
        <v>7</v>
      </c>
      <c r="H8" s="244" t="s">
        <v>7564</v>
      </c>
      <c r="I8" s="265" t="str">
        <f t="shared" si="1"/>
        <v>062</v>
      </c>
      <c r="J8" s="244" t="str">
        <f t="shared" si="2"/>
        <v>EPS1S11</v>
      </c>
      <c r="K8" s="244" t="str">
        <f t="shared" si="3"/>
        <v>1</v>
      </c>
      <c r="L8" s="244">
        <f t="shared" si="4"/>
        <v>64</v>
      </c>
      <c r="M8" s="244">
        <f t="shared" si="5"/>
        <v>10</v>
      </c>
      <c r="N8" s="244" t="str">
        <f t="shared" si="6"/>
        <v>1</v>
      </c>
      <c r="P8" s="244">
        <f t="shared" si="0"/>
        <v>1</v>
      </c>
      <c r="Q8" s="266" t="s">
        <v>37</v>
      </c>
      <c r="R8" s="267" t="s">
        <v>38</v>
      </c>
      <c r="S8" s="266" t="s">
        <v>29</v>
      </c>
      <c r="T8" s="266">
        <v>64</v>
      </c>
      <c r="U8" s="266">
        <v>10</v>
      </c>
      <c r="V8" s="266" t="s">
        <v>29</v>
      </c>
      <c r="W8" s="266" t="s">
        <v>32</v>
      </c>
      <c r="X8" s="266"/>
      <c r="Y8" s="266" t="s">
        <v>7</v>
      </c>
      <c r="AA8" s="244" t="s">
        <v>38</v>
      </c>
      <c r="AB8" s="244" t="s">
        <v>37</v>
      </c>
      <c r="AC8" s="244" t="s">
        <v>29</v>
      </c>
      <c r="AD8" s="244">
        <v>64</v>
      </c>
      <c r="AE8" s="244">
        <v>10</v>
      </c>
      <c r="AF8" s="244" t="s">
        <v>29</v>
      </c>
    </row>
    <row r="9" spans="1:32" ht="19.5" thickBot="1">
      <c r="A9" s="244" t="s">
        <v>7</v>
      </c>
      <c r="B9" s="244" t="s">
        <v>7</v>
      </c>
      <c r="C9" s="244" t="s">
        <v>39</v>
      </c>
      <c r="D9" s="244" t="s">
        <v>7560</v>
      </c>
      <c r="E9" s="244">
        <v>0</v>
      </c>
      <c r="F9" s="244">
        <v>156</v>
      </c>
      <c r="G9" s="244" t="s">
        <v>7</v>
      </c>
      <c r="H9" s="244" t="s">
        <v>7565</v>
      </c>
      <c r="I9" s="265" t="str">
        <f t="shared" si="1"/>
        <v>06A</v>
      </c>
      <c r="J9" s="244" t="str">
        <f t="shared" si="2"/>
        <v>VSC1F01</v>
      </c>
      <c r="K9" s="244" t="str">
        <f t="shared" si="3"/>
        <v>1</v>
      </c>
      <c r="L9" s="244">
        <f t="shared" si="4"/>
        <v>32</v>
      </c>
      <c r="M9" s="244">
        <f t="shared" si="5"/>
        <v>10</v>
      </c>
      <c r="N9" s="244" t="str">
        <f t="shared" si="6"/>
        <v>1</v>
      </c>
      <c r="P9" s="244">
        <f t="shared" si="0"/>
        <v>1</v>
      </c>
      <c r="Q9" s="266" t="s">
        <v>40</v>
      </c>
      <c r="R9" s="267" t="s">
        <v>41</v>
      </c>
      <c r="S9" s="266" t="s">
        <v>29</v>
      </c>
      <c r="T9" s="266">
        <v>32</v>
      </c>
      <c r="U9" s="266">
        <v>10</v>
      </c>
      <c r="V9" s="266" t="s">
        <v>29</v>
      </c>
      <c r="W9" s="266" t="s">
        <v>32</v>
      </c>
      <c r="X9" s="266"/>
      <c r="Y9" s="266" t="s">
        <v>7</v>
      </c>
      <c r="AA9" s="244" t="s">
        <v>42</v>
      </c>
      <c r="AB9" s="244" t="s">
        <v>43</v>
      </c>
      <c r="AC9" s="244" t="s">
        <v>29</v>
      </c>
      <c r="AD9" s="244">
        <v>32</v>
      </c>
      <c r="AE9" s="244">
        <v>10</v>
      </c>
      <c r="AF9" s="244" t="s">
        <v>29</v>
      </c>
    </row>
    <row r="10" spans="1:32" ht="19.5" thickBot="1">
      <c r="A10" s="244" t="s">
        <v>879</v>
      </c>
      <c r="B10" s="244">
        <v>56</v>
      </c>
      <c r="C10" s="244" t="s">
        <v>39</v>
      </c>
      <c r="D10" s="244" t="s">
        <v>44</v>
      </c>
      <c r="E10" s="244">
        <v>2</v>
      </c>
      <c r="F10" s="244">
        <v>156</v>
      </c>
      <c r="G10" s="244" t="s">
        <v>7</v>
      </c>
      <c r="H10" s="244" t="s">
        <v>7566</v>
      </c>
      <c r="I10" s="265" t="str">
        <f t="shared" si="1"/>
        <v>069</v>
      </c>
      <c r="J10" s="244" t="str">
        <f t="shared" si="2"/>
        <v>VSC1G12</v>
      </c>
      <c r="K10" s="244" t="str">
        <f t="shared" si="3"/>
        <v>1</v>
      </c>
      <c r="L10" s="244">
        <f t="shared" si="4"/>
        <v>32</v>
      </c>
      <c r="M10" s="244">
        <f t="shared" si="5"/>
        <v>10</v>
      </c>
      <c r="N10" s="244" t="str">
        <f t="shared" si="6"/>
        <v>1</v>
      </c>
      <c r="P10" s="244">
        <f t="shared" si="0"/>
        <v>1</v>
      </c>
      <c r="Q10" s="266" t="s">
        <v>43</v>
      </c>
      <c r="R10" s="267" t="s">
        <v>42</v>
      </c>
      <c r="S10" s="266" t="s">
        <v>29</v>
      </c>
      <c r="T10" s="266">
        <v>32</v>
      </c>
      <c r="U10" s="266">
        <v>10</v>
      </c>
      <c r="V10" s="266" t="s">
        <v>29</v>
      </c>
      <c r="W10" s="266" t="s">
        <v>32</v>
      </c>
      <c r="X10" s="266"/>
      <c r="Y10" s="266" t="s">
        <v>7</v>
      </c>
      <c r="AA10" s="244" t="s">
        <v>41</v>
      </c>
      <c r="AB10" s="244" t="s">
        <v>40</v>
      </c>
      <c r="AC10" s="244" t="s">
        <v>29</v>
      </c>
      <c r="AD10" s="244">
        <v>32</v>
      </c>
      <c r="AE10" s="244">
        <v>10</v>
      </c>
      <c r="AF10" s="244" t="s">
        <v>29</v>
      </c>
    </row>
    <row r="11" spans="1:32" ht="19.5" thickBot="1">
      <c r="A11" s="244" t="s">
        <v>943</v>
      </c>
      <c r="B11" s="244">
        <v>118</v>
      </c>
      <c r="C11" s="244" t="s">
        <v>45</v>
      </c>
      <c r="D11" s="244" t="s">
        <v>7560</v>
      </c>
      <c r="E11" s="244">
        <v>0</v>
      </c>
      <c r="F11" s="244">
        <v>164</v>
      </c>
      <c r="G11" s="244" t="s">
        <v>7</v>
      </c>
      <c r="H11" s="244" t="s">
        <v>7567</v>
      </c>
      <c r="I11" s="265" t="str">
        <f t="shared" si="1"/>
        <v>086</v>
      </c>
      <c r="J11" s="244" t="str">
        <f t="shared" si="2"/>
        <v>ZN11S08</v>
      </c>
      <c r="K11" s="244" t="str">
        <f t="shared" si="3"/>
        <v>1</v>
      </c>
      <c r="L11" s="244">
        <f t="shared" si="4"/>
        <v>8</v>
      </c>
      <c r="M11" s="244">
        <f t="shared" si="5"/>
        <v>20</v>
      </c>
      <c r="N11" s="244" t="str">
        <f t="shared" si="6"/>
        <v>0</v>
      </c>
      <c r="P11" s="244">
        <f t="shared" si="0"/>
        <v>1</v>
      </c>
      <c r="Q11" s="268" t="s">
        <v>47</v>
      </c>
      <c r="R11" s="269" t="s">
        <v>48</v>
      </c>
      <c r="S11" s="268" t="s">
        <v>29</v>
      </c>
      <c r="T11" s="268">
        <v>8</v>
      </c>
      <c r="U11" s="268">
        <v>20</v>
      </c>
      <c r="V11" s="268" t="s">
        <v>31</v>
      </c>
      <c r="W11" s="266" t="s">
        <v>32</v>
      </c>
      <c r="X11" s="266"/>
      <c r="Y11" s="266" t="s">
        <v>7</v>
      </c>
      <c r="AA11" s="244" t="s">
        <v>48</v>
      </c>
      <c r="AB11" s="244" t="s">
        <v>47</v>
      </c>
      <c r="AC11" s="244" t="s">
        <v>29</v>
      </c>
      <c r="AD11" s="244">
        <v>8</v>
      </c>
      <c r="AE11" s="244">
        <v>20</v>
      </c>
      <c r="AF11" s="244" t="s">
        <v>31</v>
      </c>
    </row>
    <row r="12" spans="1:32" ht="19.5" thickBot="1">
      <c r="A12" s="244" t="s">
        <v>969</v>
      </c>
      <c r="B12" s="244">
        <v>144</v>
      </c>
      <c r="C12" s="244" t="s">
        <v>49</v>
      </c>
      <c r="D12" s="244" t="s">
        <v>7560</v>
      </c>
      <c r="E12" s="244">
        <v>0</v>
      </c>
      <c r="F12" s="244">
        <v>183</v>
      </c>
      <c r="G12" s="244" t="s">
        <v>7</v>
      </c>
      <c r="H12" s="244" t="s">
        <v>7568</v>
      </c>
      <c r="I12" s="265" t="str">
        <f t="shared" si="1"/>
        <v>186</v>
      </c>
      <c r="J12" s="244" t="str">
        <f t="shared" si="2"/>
        <v>BDC1S30</v>
      </c>
      <c r="K12" s="244" t="str">
        <f t="shared" si="3"/>
        <v>1</v>
      </c>
      <c r="L12" s="244">
        <f t="shared" si="4"/>
        <v>32</v>
      </c>
      <c r="M12" s="244">
        <f t="shared" si="5"/>
        <v>100</v>
      </c>
      <c r="N12" s="244" t="str">
        <f t="shared" si="6"/>
        <v>0</v>
      </c>
      <c r="P12" s="244">
        <f t="shared" si="0"/>
        <v>1</v>
      </c>
      <c r="Q12" s="266" t="s">
        <v>50</v>
      </c>
      <c r="R12" s="267" t="s">
        <v>51</v>
      </c>
      <c r="S12" s="266" t="s">
        <v>29</v>
      </c>
      <c r="T12" s="266">
        <v>32</v>
      </c>
      <c r="U12" s="266">
        <v>50</v>
      </c>
      <c r="V12" s="266" t="s">
        <v>31</v>
      </c>
      <c r="W12" s="266" t="s">
        <v>32</v>
      </c>
      <c r="X12" s="266"/>
      <c r="Y12" s="266" t="s">
        <v>7</v>
      </c>
      <c r="AA12" s="244" t="s">
        <v>52</v>
      </c>
      <c r="AB12" s="244" t="s">
        <v>53</v>
      </c>
      <c r="AC12" s="244" t="s">
        <v>29</v>
      </c>
      <c r="AD12" s="244">
        <v>32</v>
      </c>
      <c r="AE12" s="244">
        <v>100</v>
      </c>
      <c r="AF12" s="244" t="s">
        <v>31</v>
      </c>
    </row>
    <row r="13" spans="1:32" ht="19.5" thickBot="1">
      <c r="A13" s="244" t="s">
        <v>923</v>
      </c>
      <c r="B13" s="244">
        <v>99</v>
      </c>
      <c r="C13" s="244" t="s">
        <v>54</v>
      </c>
      <c r="D13" s="244" t="s">
        <v>7560</v>
      </c>
      <c r="E13" s="244">
        <v>0</v>
      </c>
      <c r="F13" s="244">
        <v>184</v>
      </c>
      <c r="G13" s="244" t="s">
        <v>7</v>
      </c>
      <c r="H13" s="244" t="s">
        <v>7569</v>
      </c>
      <c r="I13" s="265" t="str">
        <f t="shared" si="1"/>
        <v>09C</v>
      </c>
      <c r="J13" s="244" t="str">
        <f t="shared" si="2"/>
        <v>BDC1S40</v>
      </c>
      <c r="K13" s="244" t="str">
        <f t="shared" si="3"/>
        <v>1</v>
      </c>
      <c r="L13" s="244">
        <f t="shared" si="4"/>
        <v>32</v>
      </c>
      <c r="M13" s="244">
        <f t="shared" si="5"/>
        <v>50</v>
      </c>
      <c r="N13" s="244" t="str">
        <f t="shared" si="6"/>
        <v>0</v>
      </c>
      <c r="P13" s="244">
        <f t="shared" si="0"/>
        <v>1</v>
      </c>
      <c r="Q13" s="266" t="s">
        <v>55</v>
      </c>
      <c r="R13" s="267" t="s">
        <v>56</v>
      </c>
      <c r="S13" s="266" t="s">
        <v>29</v>
      </c>
      <c r="T13" s="266">
        <v>32</v>
      </c>
      <c r="U13" s="266">
        <v>20</v>
      </c>
      <c r="V13" s="266" t="s">
        <v>29</v>
      </c>
      <c r="W13" s="266" t="s">
        <v>32</v>
      </c>
      <c r="X13" s="266"/>
      <c r="Y13" s="266" t="s">
        <v>7</v>
      </c>
      <c r="AA13" s="244" t="s">
        <v>51</v>
      </c>
      <c r="AB13" s="244" t="s">
        <v>50</v>
      </c>
      <c r="AC13" s="244" t="s">
        <v>29</v>
      </c>
      <c r="AD13" s="244">
        <v>32</v>
      </c>
      <c r="AE13" s="244">
        <v>50</v>
      </c>
      <c r="AF13" s="244" t="s">
        <v>31</v>
      </c>
    </row>
    <row r="14" spans="1:32" ht="19.5" thickBot="1">
      <c r="A14" s="244" t="s">
        <v>944</v>
      </c>
      <c r="B14" s="244">
        <v>119</v>
      </c>
      <c r="C14" s="244" t="s">
        <v>57</v>
      </c>
      <c r="D14" s="244" t="s">
        <v>7560</v>
      </c>
      <c r="E14" s="244">
        <v>0</v>
      </c>
      <c r="F14" s="244">
        <v>252</v>
      </c>
      <c r="G14" s="244" t="s">
        <v>7</v>
      </c>
      <c r="H14" s="244" t="s">
        <v>7570</v>
      </c>
      <c r="I14" s="265" t="str">
        <f t="shared" si="1"/>
        <v>09E</v>
      </c>
      <c r="J14" s="244" t="str">
        <f t="shared" si="2"/>
        <v>VSC1G13</v>
      </c>
      <c r="K14" s="244" t="str">
        <f t="shared" si="3"/>
        <v>1</v>
      </c>
      <c r="L14" s="244">
        <f t="shared" si="4"/>
        <v>32</v>
      </c>
      <c r="M14" s="244">
        <f t="shared" si="5"/>
        <v>20</v>
      </c>
      <c r="N14" s="244" t="str">
        <f t="shared" si="6"/>
        <v>1</v>
      </c>
      <c r="P14" s="244">
        <f t="shared" si="0"/>
        <v>1</v>
      </c>
      <c r="Q14" s="266" t="s">
        <v>58</v>
      </c>
      <c r="R14" s="267" t="s">
        <v>59</v>
      </c>
      <c r="S14" s="266" t="s">
        <v>29</v>
      </c>
      <c r="T14" s="266">
        <v>32</v>
      </c>
      <c r="U14" s="266">
        <v>24</v>
      </c>
      <c r="V14" s="266" t="s">
        <v>29</v>
      </c>
      <c r="W14" s="266" t="s">
        <v>32</v>
      </c>
      <c r="X14" s="266"/>
      <c r="Y14" s="266" t="s">
        <v>7</v>
      </c>
      <c r="AA14" s="244" t="s">
        <v>56</v>
      </c>
      <c r="AB14" s="244" t="s">
        <v>55</v>
      </c>
      <c r="AC14" s="244" t="s">
        <v>29</v>
      </c>
      <c r="AD14" s="244">
        <v>32</v>
      </c>
      <c r="AE14" s="244">
        <v>20</v>
      </c>
      <c r="AF14" s="244" t="s">
        <v>29</v>
      </c>
    </row>
    <row r="15" spans="1:32" ht="19.5" thickBot="1">
      <c r="A15" s="244" t="s">
        <v>7</v>
      </c>
      <c r="B15" s="244" t="s">
        <v>7</v>
      </c>
      <c r="C15" s="244" t="s">
        <v>36</v>
      </c>
      <c r="D15" s="244" t="s">
        <v>7560</v>
      </c>
      <c r="E15" s="244">
        <v>0</v>
      </c>
      <c r="F15" s="244">
        <v>256</v>
      </c>
      <c r="G15" s="244" t="s">
        <v>7</v>
      </c>
      <c r="H15" s="244" t="s">
        <v>36</v>
      </c>
      <c r="I15" s="265" t="str">
        <f t="shared" si="1"/>
        <v>0A4</v>
      </c>
      <c r="J15" s="244" t="str">
        <f t="shared" si="2"/>
        <v>ENG1G03</v>
      </c>
      <c r="K15" s="244" t="str">
        <f t="shared" si="3"/>
        <v>1</v>
      </c>
      <c r="L15" s="244">
        <f t="shared" si="4"/>
        <v>32</v>
      </c>
      <c r="M15" s="244">
        <f t="shared" si="5"/>
        <v>24</v>
      </c>
      <c r="N15" s="244" t="str">
        <f t="shared" si="6"/>
        <v>1</v>
      </c>
      <c r="P15" s="244">
        <f t="shared" si="0"/>
        <v>1</v>
      </c>
      <c r="Q15" s="266" t="s">
        <v>60</v>
      </c>
      <c r="R15" s="267" t="s">
        <v>61</v>
      </c>
      <c r="S15" s="266" t="s">
        <v>29</v>
      </c>
      <c r="T15" s="266">
        <v>32</v>
      </c>
      <c r="U15" s="266">
        <v>30</v>
      </c>
      <c r="V15" s="266" t="s">
        <v>29</v>
      </c>
      <c r="W15" s="266" t="s">
        <v>32</v>
      </c>
      <c r="X15" s="266"/>
      <c r="Y15" s="266" t="s">
        <v>7</v>
      </c>
      <c r="AA15" s="244" t="s">
        <v>59</v>
      </c>
      <c r="AB15" s="244" t="s">
        <v>58</v>
      </c>
      <c r="AC15" s="244" t="s">
        <v>29</v>
      </c>
      <c r="AD15" s="244">
        <v>32</v>
      </c>
      <c r="AE15" s="244">
        <v>24</v>
      </c>
      <c r="AF15" s="244" t="s">
        <v>29</v>
      </c>
    </row>
    <row r="16" spans="1:32" ht="19.5" thickBot="1">
      <c r="A16" s="244" t="s">
        <v>948</v>
      </c>
      <c r="B16" s="244">
        <v>123</v>
      </c>
      <c r="C16" s="244" t="s">
        <v>36</v>
      </c>
      <c r="D16" s="244" t="s">
        <v>62</v>
      </c>
      <c r="E16" s="244">
        <v>1024</v>
      </c>
      <c r="F16" s="244">
        <v>256</v>
      </c>
      <c r="G16" s="244" t="s">
        <v>7</v>
      </c>
      <c r="H16" s="244" t="s">
        <v>7571</v>
      </c>
      <c r="I16" s="265" t="str">
        <f t="shared" si="1"/>
        <v>0B7</v>
      </c>
      <c r="J16" s="244" t="str">
        <f t="shared" si="2"/>
        <v>VSC1G14</v>
      </c>
      <c r="K16" s="244" t="str">
        <f t="shared" si="3"/>
        <v>1</v>
      </c>
      <c r="L16" s="244">
        <f t="shared" si="4"/>
        <v>32</v>
      </c>
      <c r="M16" s="244">
        <f t="shared" si="5"/>
        <v>30</v>
      </c>
      <c r="N16" s="244" t="str">
        <f t="shared" si="6"/>
        <v>1</v>
      </c>
      <c r="P16" s="244">
        <f t="shared" si="0"/>
        <v>1</v>
      </c>
      <c r="Q16" s="266" t="s">
        <v>63</v>
      </c>
      <c r="R16" s="267" t="s">
        <v>64</v>
      </c>
      <c r="S16" s="266" t="s">
        <v>29</v>
      </c>
      <c r="T16" s="266">
        <v>64</v>
      </c>
      <c r="U16" s="266">
        <v>30</v>
      </c>
      <c r="V16" s="266" t="s">
        <v>29</v>
      </c>
      <c r="W16" s="266" t="s">
        <v>32</v>
      </c>
      <c r="X16" s="266"/>
      <c r="Y16" s="266" t="s">
        <v>7</v>
      </c>
      <c r="AA16" s="244" t="s">
        <v>61</v>
      </c>
      <c r="AB16" s="244" t="s">
        <v>60</v>
      </c>
      <c r="AC16" s="244" t="s">
        <v>29</v>
      </c>
      <c r="AD16" s="244">
        <v>32</v>
      </c>
      <c r="AE16" s="244">
        <v>30</v>
      </c>
      <c r="AF16" s="244" t="s">
        <v>29</v>
      </c>
    </row>
    <row r="17" spans="1:32" ht="19.5" thickBot="1">
      <c r="A17" s="244" t="s">
        <v>928</v>
      </c>
      <c r="B17" s="244">
        <v>104</v>
      </c>
      <c r="C17" s="244" t="s">
        <v>65</v>
      </c>
      <c r="D17" s="244" t="s">
        <v>7560</v>
      </c>
      <c r="E17" s="244">
        <v>0</v>
      </c>
      <c r="F17" s="244">
        <v>290</v>
      </c>
      <c r="G17" s="244" t="s">
        <v>7</v>
      </c>
      <c r="H17" s="244" t="s">
        <v>65</v>
      </c>
      <c r="I17" s="265" t="str">
        <f t="shared" si="1"/>
        <v>0B8</v>
      </c>
      <c r="J17" s="244" t="str">
        <f t="shared" si="2"/>
        <v>DDM1S12</v>
      </c>
      <c r="K17" s="244" t="str">
        <f t="shared" si="3"/>
        <v>1</v>
      </c>
      <c r="L17" s="244">
        <f t="shared" si="4"/>
        <v>64</v>
      </c>
      <c r="M17" s="244">
        <f t="shared" si="5"/>
        <v>30</v>
      </c>
      <c r="N17" s="244" t="str">
        <f t="shared" si="6"/>
        <v>1</v>
      </c>
      <c r="P17" s="244">
        <f t="shared" si="0"/>
        <v>1</v>
      </c>
      <c r="Q17" s="266" t="s">
        <v>66</v>
      </c>
      <c r="R17" s="267" t="s">
        <v>67</v>
      </c>
      <c r="S17" s="266" t="s">
        <v>29</v>
      </c>
      <c r="T17" s="266">
        <v>8</v>
      </c>
      <c r="U17" s="266">
        <v>1000</v>
      </c>
      <c r="V17" s="266" t="s">
        <v>31</v>
      </c>
      <c r="W17" s="266" t="s">
        <v>32</v>
      </c>
      <c r="X17" s="266"/>
      <c r="Y17" s="266" t="s">
        <v>7</v>
      </c>
      <c r="AA17" s="244" t="s">
        <v>64</v>
      </c>
      <c r="AB17" s="244" t="s">
        <v>63</v>
      </c>
      <c r="AC17" s="244" t="s">
        <v>29</v>
      </c>
      <c r="AD17" s="244">
        <v>64</v>
      </c>
      <c r="AE17" s="244">
        <v>30</v>
      </c>
      <c r="AF17" s="244" t="s">
        <v>29</v>
      </c>
    </row>
    <row r="18" spans="1:32" ht="19.5" thickBot="1">
      <c r="A18" s="244" t="s">
        <v>7</v>
      </c>
      <c r="B18" s="244" t="s">
        <v>7</v>
      </c>
      <c r="C18" s="244" t="s">
        <v>68</v>
      </c>
      <c r="D18" s="244" t="s">
        <v>7560</v>
      </c>
      <c r="E18" s="244">
        <v>0</v>
      </c>
      <c r="F18" s="244">
        <v>292</v>
      </c>
      <c r="G18" s="244" t="s">
        <v>7</v>
      </c>
      <c r="H18" s="244" t="s">
        <v>68</v>
      </c>
      <c r="I18" s="265" t="str">
        <f t="shared" si="1"/>
        <v>0FC</v>
      </c>
      <c r="J18" s="244" t="str">
        <f t="shared" si="2"/>
        <v>ENG1G92</v>
      </c>
      <c r="K18" s="244" t="str">
        <f t="shared" si="3"/>
        <v>1</v>
      </c>
      <c r="L18" s="244">
        <f t="shared" si="4"/>
        <v>8</v>
      </c>
      <c r="M18" s="244">
        <f t="shared" si="5"/>
        <v>1000</v>
      </c>
      <c r="N18" s="244" t="str">
        <f t="shared" si="6"/>
        <v>0</v>
      </c>
      <c r="P18" s="244">
        <f t="shared" si="0"/>
        <v>1</v>
      </c>
      <c r="Q18" s="266" t="s">
        <v>69</v>
      </c>
      <c r="R18" s="267" t="s">
        <v>70</v>
      </c>
      <c r="S18" s="266" t="s">
        <v>29</v>
      </c>
      <c r="T18" s="266">
        <v>8</v>
      </c>
      <c r="U18" s="266">
        <v>50</v>
      </c>
      <c r="V18" s="266" t="s">
        <v>31</v>
      </c>
      <c r="W18" s="266" t="s">
        <v>32</v>
      </c>
      <c r="X18" s="266"/>
      <c r="Y18" s="266" t="s">
        <v>7</v>
      </c>
      <c r="AA18" s="244" t="s">
        <v>67</v>
      </c>
      <c r="AB18" s="244" t="s">
        <v>66</v>
      </c>
      <c r="AC18" s="244" t="s">
        <v>29</v>
      </c>
      <c r="AD18" s="244">
        <v>8</v>
      </c>
      <c r="AE18" s="244">
        <v>1000</v>
      </c>
      <c r="AF18" s="244" t="s">
        <v>31</v>
      </c>
    </row>
    <row r="19" spans="1:32" ht="19.5" thickBot="1">
      <c r="A19" s="244" t="s">
        <v>853</v>
      </c>
      <c r="B19" s="244">
        <v>30</v>
      </c>
      <c r="C19" s="244" t="s">
        <v>68</v>
      </c>
      <c r="D19" s="244" t="s">
        <v>71</v>
      </c>
      <c r="E19" s="244">
        <v>128</v>
      </c>
      <c r="F19" s="244">
        <v>292</v>
      </c>
      <c r="G19" s="244" t="s">
        <v>7</v>
      </c>
      <c r="H19" s="244" t="s">
        <v>7572</v>
      </c>
      <c r="I19" s="265" t="str">
        <f t="shared" si="1"/>
        <v>100</v>
      </c>
      <c r="J19" s="244" t="str">
        <f t="shared" si="2"/>
        <v>FCM1S79</v>
      </c>
      <c r="K19" s="244" t="str">
        <f t="shared" si="3"/>
        <v>1</v>
      </c>
      <c r="L19" s="244">
        <f t="shared" si="4"/>
        <v>8</v>
      </c>
      <c r="M19" s="244">
        <f t="shared" si="5"/>
        <v>50</v>
      </c>
      <c r="N19" s="244" t="str">
        <f t="shared" si="6"/>
        <v>0</v>
      </c>
      <c r="P19" s="244">
        <f t="shared" si="0"/>
        <v>1</v>
      </c>
      <c r="Q19" s="266" t="s">
        <v>72</v>
      </c>
      <c r="R19" s="267" t="s">
        <v>73</v>
      </c>
      <c r="S19" s="266" t="s">
        <v>29</v>
      </c>
      <c r="T19" s="266">
        <v>32</v>
      </c>
      <c r="U19" s="266">
        <v>100</v>
      </c>
      <c r="V19" s="266" t="s">
        <v>29</v>
      </c>
      <c r="W19" s="266" t="s">
        <v>32</v>
      </c>
      <c r="X19" s="266"/>
      <c r="Y19" s="266" t="s">
        <v>7</v>
      </c>
      <c r="AA19" s="244" t="s">
        <v>70</v>
      </c>
      <c r="AB19" s="244" t="s">
        <v>69</v>
      </c>
      <c r="AC19" s="244" t="s">
        <v>29</v>
      </c>
      <c r="AD19" s="244">
        <v>8</v>
      </c>
      <c r="AE19" s="244">
        <v>50</v>
      </c>
      <c r="AF19" s="244" t="s">
        <v>31</v>
      </c>
    </row>
    <row r="20" spans="1:32" ht="19.5" thickBot="1">
      <c r="A20" s="244" t="s">
        <v>937</v>
      </c>
      <c r="B20" s="244">
        <v>112</v>
      </c>
      <c r="C20" s="244" t="s">
        <v>74</v>
      </c>
      <c r="D20" s="244" t="s">
        <v>7560</v>
      </c>
      <c r="E20" s="244">
        <v>0</v>
      </c>
      <c r="F20" s="244">
        <v>296</v>
      </c>
      <c r="G20" s="244" t="s">
        <v>7</v>
      </c>
      <c r="H20" s="244" t="s">
        <v>74</v>
      </c>
      <c r="I20" s="265" t="str">
        <f t="shared" si="1"/>
        <v>500</v>
      </c>
      <c r="J20" s="244" t="str">
        <f t="shared" si="2"/>
        <v>ZN11S38</v>
      </c>
      <c r="K20" s="244" t="str">
        <f t="shared" si="3"/>
        <v>1</v>
      </c>
      <c r="L20" s="244">
        <f t="shared" si="4"/>
        <v>32</v>
      </c>
      <c r="M20" s="244">
        <f t="shared" si="5"/>
        <v>2000</v>
      </c>
      <c r="N20" s="244" t="str">
        <f t="shared" si="6"/>
        <v>0</v>
      </c>
      <c r="P20" s="244">
        <f t="shared" si="0"/>
        <v>1</v>
      </c>
      <c r="Q20" s="268" t="s">
        <v>75</v>
      </c>
      <c r="R20" s="269" t="s">
        <v>76</v>
      </c>
      <c r="S20" s="268" t="s">
        <v>29</v>
      </c>
      <c r="T20" s="268">
        <v>8</v>
      </c>
      <c r="U20" s="268">
        <v>100</v>
      </c>
      <c r="V20" s="268" t="s">
        <v>31</v>
      </c>
      <c r="W20" s="266" t="s">
        <v>32</v>
      </c>
      <c r="X20" s="266"/>
      <c r="Y20" s="266" t="s">
        <v>7</v>
      </c>
      <c r="AA20" s="244" t="s">
        <v>77</v>
      </c>
      <c r="AB20" s="244" t="s">
        <v>78</v>
      </c>
      <c r="AC20" s="244" t="s">
        <v>29</v>
      </c>
      <c r="AD20" s="244">
        <v>32</v>
      </c>
      <c r="AE20" s="244">
        <v>2000</v>
      </c>
      <c r="AF20" s="244" t="s">
        <v>31</v>
      </c>
    </row>
    <row r="21" spans="1:32" ht="19.5" thickBot="1">
      <c r="A21" s="244" t="s">
        <v>7</v>
      </c>
      <c r="B21" s="244" t="s">
        <v>7</v>
      </c>
      <c r="C21" s="244" t="s">
        <v>79</v>
      </c>
      <c r="D21" s="244" t="s">
        <v>7560</v>
      </c>
      <c r="E21" s="244">
        <v>0</v>
      </c>
      <c r="F21" s="244">
        <v>320</v>
      </c>
      <c r="G21" s="244" t="s">
        <v>7</v>
      </c>
      <c r="H21" s="244" t="s">
        <v>79</v>
      </c>
      <c r="I21" s="265" t="str">
        <f t="shared" si="1"/>
        <v>122</v>
      </c>
      <c r="J21" s="244" t="str">
        <f t="shared" si="2"/>
        <v>DMC1S08</v>
      </c>
      <c r="K21" s="244" t="str">
        <f t="shared" si="3"/>
        <v>1</v>
      </c>
      <c r="L21" s="244">
        <f t="shared" si="4"/>
        <v>32</v>
      </c>
      <c r="M21" s="244">
        <f t="shared" si="5"/>
        <v>100</v>
      </c>
      <c r="N21" s="244" t="str">
        <f t="shared" si="6"/>
        <v>1</v>
      </c>
      <c r="P21" s="244">
        <f t="shared" si="0"/>
        <v>1</v>
      </c>
      <c r="Q21" s="266" t="s">
        <v>80</v>
      </c>
      <c r="R21" s="267" t="s">
        <v>81</v>
      </c>
      <c r="S21" s="266" t="s">
        <v>29</v>
      </c>
      <c r="T21" s="266">
        <v>8</v>
      </c>
      <c r="U21" s="266">
        <v>100</v>
      </c>
      <c r="V21" s="266" t="s">
        <v>31</v>
      </c>
      <c r="W21" s="266" t="s">
        <v>32</v>
      </c>
      <c r="X21" s="266"/>
      <c r="Y21" s="266" t="s">
        <v>7</v>
      </c>
      <c r="AA21" s="244" t="s">
        <v>73</v>
      </c>
      <c r="AB21" s="244" t="s">
        <v>72</v>
      </c>
      <c r="AC21" s="244" t="s">
        <v>29</v>
      </c>
      <c r="AD21" s="244">
        <v>32</v>
      </c>
      <c r="AE21" s="244">
        <v>100</v>
      </c>
      <c r="AF21" s="244" t="s">
        <v>29</v>
      </c>
    </row>
    <row r="22" spans="1:32" ht="19.5" thickBot="1">
      <c r="A22" s="244" t="s">
        <v>7</v>
      </c>
      <c r="B22" s="244" t="s">
        <v>7</v>
      </c>
      <c r="C22" s="244" t="s">
        <v>79</v>
      </c>
      <c r="D22" s="244" t="s">
        <v>6</v>
      </c>
      <c r="E22" s="244">
        <v>8</v>
      </c>
      <c r="F22" s="244">
        <v>320</v>
      </c>
      <c r="G22" s="244" t="s">
        <v>7</v>
      </c>
      <c r="H22" s="244" t="s">
        <v>91</v>
      </c>
      <c r="I22" s="265" t="str">
        <f t="shared" si="1"/>
        <v>124</v>
      </c>
      <c r="J22" s="244" t="str">
        <f t="shared" si="2"/>
        <v>BAT1S08</v>
      </c>
      <c r="K22" s="244" t="str">
        <f t="shared" si="3"/>
        <v>1</v>
      </c>
      <c r="L22" s="244">
        <f t="shared" si="4"/>
        <v>8</v>
      </c>
      <c r="M22" s="244">
        <f t="shared" si="5"/>
        <v>100</v>
      </c>
      <c r="N22" s="244" t="str">
        <f t="shared" si="6"/>
        <v>0</v>
      </c>
      <c r="P22" s="244">
        <f t="shared" si="0"/>
        <v>1</v>
      </c>
      <c r="Q22" s="266" t="s">
        <v>82</v>
      </c>
      <c r="R22" s="267" t="s">
        <v>83</v>
      </c>
      <c r="S22" s="266" t="s">
        <v>29</v>
      </c>
      <c r="T22" s="266">
        <v>8</v>
      </c>
      <c r="U22" s="266" t="s">
        <v>30</v>
      </c>
      <c r="V22" s="266" t="s">
        <v>31</v>
      </c>
      <c r="W22" s="266" t="s">
        <v>32</v>
      </c>
      <c r="X22" s="266"/>
      <c r="Y22" s="266" t="s">
        <v>7</v>
      </c>
      <c r="AA22" s="244" t="s">
        <v>76</v>
      </c>
      <c r="AB22" s="244" t="s">
        <v>75</v>
      </c>
      <c r="AC22" s="244" t="s">
        <v>29</v>
      </c>
      <c r="AD22" s="244">
        <v>8</v>
      </c>
      <c r="AE22" s="244">
        <v>100</v>
      </c>
      <c r="AF22" s="244" t="s">
        <v>31</v>
      </c>
    </row>
    <row r="23" spans="1:32" ht="19.5" thickBot="1">
      <c r="A23" s="244" t="s">
        <v>7</v>
      </c>
      <c r="B23" s="244" t="s">
        <v>7</v>
      </c>
      <c r="C23" s="244" t="s">
        <v>79</v>
      </c>
      <c r="D23" s="244" t="s">
        <v>94</v>
      </c>
      <c r="E23" s="244">
        <v>16</v>
      </c>
      <c r="F23" s="244">
        <v>320</v>
      </c>
      <c r="G23" s="244" t="s">
        <v>7</v>
      </c>
      <c r="H23" s="244" t="s">
        <v>7573</v>
      </c>
      <c r="I23" s="265" t="str">
        <f t="shared" si="1"/>
        <v>1A4</v>
      </c>
      <c r="J23" s="244" t="str">
        <f t="shared" si="2"/>
        <v>BDC1SA0</v>
      </c>
      <c r="K23" s="244" t="str">
        <f t="shared" si="3"/>
        <v>1</v>
      </c>
      <c r="L23" s="244">
        <f t="shared" si="4"/>
        <v>32</v>
      </c>
      <c r="M23" s="244">
        <f t="shared" si="5"/>
        <v>200</v>
      </c>
      <c r="N23" s="244" t="str">
        <f t="shared" si="6"/>
        <v>0</v>
      </c>
      <c r="P23" s="244">
        <f t="shared" si="0"/>
        <v>1</v>
      </c>
      <c r="Q23" s="266" t="s">
        <v>84</v>
      </c>
      <c r="R23" s="267" t="s">
        <v>85</v>
      </c>
      <c r="S23" s="266" t="s">
        <v>29</v>
      </c>
      <c r="T23" s="266">
        <v>32</v>
      </c>
      <c r="U23" s="266">
        <v>100</v>
      </c>
      <c r="V23" s="266" t="s">
        <v>31</v>
      </c>
      <c r="W23" s="266" t="s">
        <v>32</v>
      </c>
      <c r="X23" s="266"/>
      <c r="Y23" s="266" t="s">
        <v>7</v>
      </c>
      <c r="AA23" s="244" t="s">
        <v>86</v>
      </c>
      <c r="AB23" s="244" t="s">
        <v>87</v>
      </c>
      <c r="AC23" s="244" t="s">
        <v>29</v>
      </c>
      <c r="AD23" s="244">
        <v>32</v>
      </c>
      <c r="AE23" s="244">
        <v>200</v>
      </c>
      <c r="AF23" s="244" t="s">
        <v>31</v>
      </c>
    </row>
    <row r="24" spans="1:32" ht="19.5" thickBot="1">
      <c r="A24" s="244" t="s">
        <v>876</v>
      </c>
      <c r="B24" s="244">
        <v>53</v>
      </c>
      <c r="C24" s="244" t="s">
        <v>79</v>
      </c>
      <c r="D24" s="244" t="s">
        <v>510</v>
      </c>
      <c r="E24" s="244">
        <v>24</v>
      </c>
      <c r="F24" s="244">
        <v>320</v>
      </c>
      <c r="G24" s="244" t="s">
        <v>7</v>
      </c>
      <c r="H24" s="244" t="s">
        <v>7574</v>
      </c>
      <c r="I24" s="265" t="str">
        <f t="shared" si="1"/>
        <v>128</v>
      </c>
      <c r="J24" s="244" t="str">
        <f t="shared" si="2"/>
        <v>EHV1G30</v>
      </c>
      <c r="K24" s="244" t="str">
        <f t="shared" si="3"/>
        <v>1</v>
      </c>
      <c r="L24" s="244">
        <f t="shared" si="4"/>
        <v>8</v>
      </c>
      <c r="M24" s="244">
        <f t="shared" si="5"/>
        <v>100</v>
      </c>
      <c r="N24" s="244" t="str">
        <f t="shared" si="6"/>
        <v>0</v>
      </c>
      <c r="P24" s="244">
        <f t="shared" si="0"/>
        <v>1</v>
      </c>
      <c r="Q24" s="266" t="s">
        <v>89</v>
      </c>
      <c r="R24" s="267" t="s">
        <v>90</v>
      </c>
      <c r="S24" s="266" t="s">
        <v>29</v>
      </c>
      <c r="T24" s="266">
        <v>8</v>
      </c>
      <c r="U24" s="266">
        <v>100</v>
      </c>
      <c r="V24" s="266" t="s">
        <v>31</v>
      </c>
      <c r="W24" s="266" t="s">
        <v>32</v>
      </c>
      <c r="X24" s="266"/>
      <c r="Y24" s="266" t="s">
        <v>7</v>
      </c>
      <c r="AA24" s="244" t="s">
        <v>81</v>
      </c>
      <c r="AB24" s="244" t="s">
        <v>80</v>
      </c>
      <c r="AC24" s="244" t="s">
        <v>29</v>
      </c>
      <c r="AD24" s="244">
        <v>8</v>
      </c>
      <c r="AE24" s="244">
        <v>100</v>
      </c>
      <c r="AF24" s="244" t="s">
        <v>31</v>
      </c>
    </row>
    <row r="25" spans="1:32" ht="19.5" thickBot="1">
      <c r="A25" s="244" t="s">
        <v>7</v>
      </c>
      <c r="B25" s="244" t="s">
        <v>7</v>
      </c>
      <c r="C25" s="244" t="s">
        <v>99</v>
      </c>
      <c r="D25" s="244" t="s">
        <v>7560</v>
      </c>
      <c r="E25" s="244">
        <v>0</v>
      </c>
      <c r="F25" s="244">
        <v>331</v>
      </c>
      <c r="G25" s="244" t="s">
        <v>7</v>
      </c>
      <c r="H25" s="244" t="s">
        <v>7575</v>
      </c>
      <c r="I25" s="265" t="str">
        <f t="shared" si="1"/>
        <v>140</v>
      </c>
      <c r="J25" s="244" t="str">
        <f t="shared" si="2"/>
        <v>BDC1S23</v>
      </c>
      <c r="K25" s="244" t="str">
        <f t="shared" si="3"/>
        <v>1</v>
      </c>
      <c r="L25" s="244">
        <f t="shared" si="4"/>
        <v>8</v>
      </c>
      <c r="M25" s="244" t="str">
        <f t="shared" si="5"/>
        <v>-</v>
      </c>
      <c r="N25" s="244" t="str">
        <f t="shared" si="6"/>
        <v>0</v>
      </c>
      <c r="P25" s="244">
        <f t="shared" si="0"/>
        <v>1</v>
      </c>
      <c r="Q25" s="266" t="s">
        <v>92</v>
      </c>
      <c r="R25" s="267" t="s">
        <v>93</v>
      </c>
      <c r="S25" s="266" t="s">
        <v>29</v>
      </c>
      <c r="T25" s="266">
        <v>8</v>
      </c>
      <c r="U25" s="266">
        <v>100</v>
      </c>
      <c r="V25" s="266" t="s">
        <v>31</v>
      </c>
      <c r="W25" s="268" t="s">
        <v>32</v>
      </c>
      <c r="X25" s="268"/>
      <c r="Y25" s="268" t="s">
        <v>7</v>
      </c>
      <c r="AA25" s="244" t="s">
        <v>83</v>
      </c>
      <c r="AB25" s="244" t="s">
        <v>82</v>
      </c>
      <c r="AC25" s="244" t="s">
        <v>29</v>
      </c>
      <c r="AD25" s="244">
        <v>8</v>
      </c>
      <c r="AE25" s="244" t="s">
        <v>30</v>
      </c>
      <c r="AF25" s="244" t="s">
        <v>31</v>
      </c>
    </row>
    <row r="26" spans="1:32" ht="19.5" thickBot="1">
      <c r="A26" s="244" t="s">
        <v>951</v>
      </c>
      <c r="B26" s="244">
        <v>126</v>
      </c>
      <c r="C26" s="244" t="s">
        <v>99</v>
      </c>
      <c r="D26" s="244" t="s">
        <v>102</v>
      </c>
      <c r="E26" s="244">
        <v>4</v>
      </c>
      <c r="F26" s="244">
        <v>331</v>
      </c>
      <c r="G26" s="244" t="s">
        <v>7</v>
      </c>
      <c r="H26" s="244" t="s">
        <v>7576</v>
      </c>
      <c r="I26" s="265" t="str">
        <f t="shared" si="1"/>
        <v>148</v>
      </c>
      <c r="J26" s="244" t="str">
        <f t="shared" si="2"/>
        <v>BDC1S41</v>
      </c>
      <c r="K26" s="244" t="str">
        <f t="shared" si="3"/>
        <v>1</v>
      </c>
      <c r="L26" s="244">
        <f t="shared" si="4"/>
        <v>32</v>
      </c>
      <c r="M26" s="244">
        <f t="shared" si="5"/>
        <v>100</v>
      </c>
      <c r="N26" s="244" t="str">
        <f t="shared" si="6"/>
        <v>0</v>
      </c>
      <c r="P26" s="244">
        <f t="shared" si="0"/>
        <v>1</v>
      </c>
      <c r="Q26" s="266" t="s">
        <v>95</v>
      </c>
      <c r="R26" s="267" t="s">
        <v>96</v>
      </c>
      <c r="S26" s="266" t="s">
        <v>29</v>
      </c>
      <c r="T26" s="266">
        <v>8</v>
      </c>
      <c r="U26" s="266">
        <v>100</v>
      </c>
      <c r="V26" s="266" t="s">
        <v>31</v>
      </c>
      <c r="W26" s="268" t="s">
        <v>32</v>
      </c>
      <c r="X26" s="268"/>
      <c r="Y26" s="268" t="s">
        <v>7</v>
      </c>
      <c r="AA26" s="244" t="s">
        <v>85</v>
      </c>
      <c r="AB26" s="244" t="s">
        <v>84</v>
      </c>
      <c r="AC26" s="244" t="s">
        <v>29</v>
      </c>
      <c r="AD26" s="244">
        <v>32</v>
      </c>
      <c r="AE26" s="244">
        <v>100</v>
      </c>
      <c r="AF26" s="244" t="s">
        <v>31</v>
      </c>
    </row>
    <row r="27" spans="1:32" ht="19.5" thickBot="1">
      <c r="A27" s="244" t="s">
        <v>959</v>
      </c>
      <c r="B27" s="244">
        <v>134</v>
      </c>
      <c r="C27" s="244" t="s">
        <v>105</v>
      </c>
      <c r="D27" s="244" t="s">
        <v>7560</v>
      </c>
      <c r="E27" s="244">
        <v>0</v>
      </c>
      <c r="F27" s="244">
        <v>333</v>
      </c>
      <c r="G27" s="244" t="s">
        <v>7</v>
      </c>
      <c r="H27" s="244" t="s">
        <v>7577</v>
      </c>
      <c r="I27" s="265" t="str">
        <f t="shared" si="1"/>
        <v>150</v>
      </c>
      <c r="J27" s="244" t="str">
        <f t="shared" si="2"/>
        <v>BDC1S82</v>
      </c>
      <c r="K27" s="244" t="str">
        <f t="shared" si="3"/>
        <v>1</v>
      </c>
      <c r="L27" s="244">
        <f t="shared" si="4"/>
        <v>32</v>
      </c>
      <c r="M27" s="244">
        <f t="shared" si="5"/>
        <v>100</v>
      </c>
      <c r="N27" s="244" t="str">
        <f t="shared" si="6"/>
        <v>1</v>
      </c>
      <c r="P27" s="244">
        <f t="shared" si="0"/>
        <v>1</v>
      </c>
      <c r="Q27" s="266" t="s">
        <v>98</v>
      </c>
      <c r="R27" s="267" t="s">
        <v>97</v>
      </c>
      <c r="S27" s="266" t="s">
        <v>29</v>
      </c>
      <c r="T27" s="266">
        <v>32</v>
      </c>
      <c r="U27" s="266">
        <v>100</v>
      </c>
      <c r="V27" s="266" t="s">
        <v>29</v>
      </c>
      <c r="W27" s="266" t="s">
        <v>32</v>
      </c>
      <c r="X27" s="266"/>
      <c r="Y27" s="266" t="s">
        <v>7</v>
      </c>
      <c r="AA27" s="244" t="s">
        <v>97</v>
      </c>
      <c r="AB27" s="244" t="s">
        <v>98</v>
      </c>
      <c r="AC27" s="244" t="s">
        <v>29</v>
      </c>
      <c r="AD27" s="244">
        <v>32</v>
      </c>
      <c r="AE27" s="244">
        <v>100</v>
      </c>
      <c r="AF27" s="244" t="s">
        <v>29</v>
      </c>
    </row>
    <row r="28" spans="1:32" ht="19.5" thickBot="1">
      <c r="A28" s="244" t="s">
        <v>947</v>
      </c>
      <c r="B28" s="244">
        <v>122</v>
      </c>
      <c r="C28" s="244" t="s">
        <v>110</v>
      </c>
      <c r="D28" s="244" t="s">
        <v>7560</v>
      </c>
      <c r="E28" s="244">
        <v>0</v>
      </c>
      <c r="F28" s="244">
        <v>346</v>
      </c>
      <c r="G28" s="244" t="s">
        <v>7</v>
      </c>
      <c r="H28" s="244" t="s">
        <v>7578</v>
      </c>
      <c r="I28" s="265" t="str">
        <f t="shared" si="1"/>
        <v>158</v>
      </c>
      <c r="J28" s="244" t="str">
        <f t="shared" si="2"/>
        <v>DDM1S77</v>
      </c>
      <c r="K28" s="244" t="str">
        <f t="shared" si="3"/>
        <v>1</v>
      </c>
      <c r="L28" s="244">
        <f t="shared" si="4"/>
        <v>32</v>
      </c>
      <c r="M28" s="244">
        <f t="shared" si="5"/>
        <v>100</v>
      </c>
      <c r="N28" s="244" t="str">
        <f t="shared" si="6"/>
        <v>0</v>
      </c>
      <c r="P28" s="244">
        <f t="shared" si="0"/>
        <v>1</v>
      </c>
      <c r="Q28" s="266" t="s">
        <v>106</v>
      </c>
      <c r="R28" s="267" t="s">
        <v>107</v>
      </c>
      <c r="S28" s="266" t="s">
        <v>29</v>
      </c>
      <c r="T28" s="266">
        <v>32</v>
      </c>
      <c r="U28" s="266">
        <v>100</v>
      </c>
      <c r="V28" s="266" t="s">
        <v>31</v>
      </c>
      <c r="W28" s="268" t="s">
        <v>32</v>
      </c>
      <c r="X28" s="268"/>
      <c r="Y28" s="268" t="s">
        <v>7</v>
      </c>
      <c r="AA28" s="244" t="s">
        <v>107</v>
      </c>
      <c r="AB28" s="244" t="s">
        <v>106</v>
      </c>
      <c r="AC28" s="244" t="s">
        <v>29</v>
      </c>
      <c r="AD28" s="244">
        <v>32</v>
      </c>
      <c r="AE28" s="244">
        <v>100</v>
      </c>
      <c r="AF28" s="244" t="s">
        <v>31</v>
      </c>
    </row>
    <row r="29" spans="1:32" ht="19.5" thickBot="1">
      <c r="A29" s="244" t="s">
        <v>7</v>
      </c>
      <c r="B29" s="244" t="s">
        <v>7</v>
      </c>
      <c r="C29" s="244" t="s">
        <v>113</v>
      </c>
      <c r="D29" s="244" t="s">
        <v>7560</v>
      </c>
      <c r="E29" s="244">
        <v>0</v>
      </c>
      <c r="F29" s="244">
        <v>366</v>
      </c>
      <c r="G29" s="244" t="s">
        <v>7</v>
      </c>
      <c r="H29" s="244" t="s">
        <v>7579</v>
      </c>
      <c r="I29" s="265" t="str">
        <f t="shared" si="1"/>
        <v>14B</v>
      </c>
      <c r="J29" s="244" t="str">
        <f t="shared" si="2"/>
        <v>IDT1S08</v>
      </c>
      <c r="K29" s="244" t="str">
        <f t="shared" si="3"/>
        <v>1</v>
      </c>
      <c r="L29" s="244">
        <f t="shared" si="4"/>
        <v>8</v>
      </c>
      <c r="M29" s="244">
        <f t="shared" si="5"/>
        <v>100</v>
      </c>
      <c r="N29" s="244" t="str">
        <f t="shared" si="6"/>
        <v>0</v>
      </c>
      <c r="P29" s="244">
        <f t="shared" si="0"/>
        <v>1</v>
      </c>
      <c r="Q29" s="266" t="s">
        <v>108</v>
      </c>
      <c r="R29" s="267" t="s">
        <v>109</v>
      </c>
      <c r="S29" s="266" t="s">
        <v>29</v>
      </c>
      <c r="T29" s="266">
        <v>8</v>
      </c>
      <c r="U29" s="266">
        <v>100</v>
      </c>
      <c r="V29" s="266" t="s">
        <v>31</v>
      </c>
      <c r="W29" s="268" t="s">
        <v>32</v>
      </c>
      <c r="X29" s="268"/>
      <c r="Y29" s="268" t="s">
        <v>7</v>
      </c>
      <c r="AA29" s="244" t="s">
        <v>90</v>
      </c>
      <c r="AB29" s="244" t="s">
        <v>89</v>
      </c>
      <c r="AC29" s="244" t="s">
        <v>29</v>
      </c>
      <c r="AD29" s="244">
        <v>8</v>
      </c>
      <c r="AE29" s="244">
        <v>100</v>
      </c>
      <c r="AF29" s="244" t="s">
        <v>31</v>
      </c>
    </row>
    <row r="30" spans="1:32" ht="19.5" thickBot="1">
      <c r="A30" s="244" t="s">
        <v>844</v>
      </c>
      <c r="B30" s="244">
        <v>22</v>
      </c>
      <c r="C30" s="244" t="s">
        <v>113</v>
      </c>
      <c r="D30" s="244" t="s">
        <v>94</v>
      </c>
      <c r="E30" s="244">
        <v>16</v>
      </c>
      <c r="F30" s="244">
        <v>366</v>
      </c>
      <c r="G30" s="244" t="s">
        <v>7</v>
      </c>
      <c r="H30" s="244" t="s">
        <v>7580</v>
      </c>
      <c r="I30" s="265" t="str">
        <f t="shared" si="1"/>
        <v>14F</v>
      </c>
      <c r="J30" s="244" t="str">
        <f t="shared" si="2"/>
        <v>RCP1S03</v>
      </c>
      <c r="K30" s="244" t="str">
        <f t="shared" si="3"/>
        <v>1</v>
      </c>
      <c r="L30" s="244">
        <f t="shared" si="4"/>
        <v>8</v>
      </c>
      <c r="M30" s="244">
        <f t="shared" si="5"/>
        <v>100</v>
      </c>
      <c r="N30" s="244" t="str">
        <f t="shared" si="6"/>
        <v>0</v>
      </c>
      <c r="P30" s="244">
        <f t="shared" si="0"/>
        <v>1</v>
      </c>
      <c r="Q30" s="266" t="s">
        <v>111</v>
      </c>
      <c r="R30" s="267" t="s">
        <v>112</v>
      </c>
      <c r="S30" s="266" t="s">
        <v>29</v>
      </c>
      <c r="T30" s="266">
        <v>32</v>
      </c>
      <c r="U30" s="266">
        <v>100</v>
      </c>
      <c r="V30" s="266" t="s">
        <v>31</v>
      </c>
      <c r="W30" s="268" t="s">
        <v>32</v>
      </c>
      <c r="X30" s="268"/>
      <c r="Y30" s="268" t="s">
        <v>7</v>
      </c>
      <c r="AA30" s="244" t="s">
        <v>96</v>
      </c>
      <c r="AB30" s="244" t="s">
        <v>95</v>
      </c>
      <c r="AC30" s="244" t="s">
        <v>29</v>
      </c>
      <c r="AD30" s="244">
        <v>8</v>
      </c>
      <c r="AE30" s="244">
        <v>100</v>
      </c>
      <c r="AF30" s="244" t="s">
        <v>31</v>
      </c>
    </row>
    <row r="31" spans="1:32" ht="19.5" thickBot="1">
      <c r="A31" s="244" t="s">
        <v>918</v>
      </c>
      <c r="B31" s="244">
        <v>94</v>
      </c>
      <c r="C31" s="244" t="s">
        <v>116</v>
      </c>
      <c r="D31" s="244" t="s">
        <v>7560</v>
      </c>
      <c r="E31" s="244">
        <v>0</v>
      </c>
      <c r="F31" s="244">
        <v>397</v>
      </c>
      <c r="G31" s="244" t="s">
        <v>7</v>
      </c>
      <c r="H31" s="244" t="s">
        <v>7581</v>
      </c>
      <c r="I31" s="265" t="str">
        <f t="shared" si="1"/>
        <v>14D</v>
      </c>
      <c r="J31" s="244" t="str">
        <f t="shared" si="2"/>
        <v>RCP1S01</v>
      </c>
      <c r="K31" s="244" t="str">
        <f t="shared" si="3"/>
        <v>1</v>
      </c>
      <c r="L31" s="244">
        <f t="shared" si="4"/>
        <v>8</v>
      </c>
      <c r="M31" s="244">
        <f t="shared" si="5"/>
        <v>100</v>
      </c>
      <c r="N31" s="244" t="str">
        <f t="shared" si="6"/>
        <v>0</v>
      </c>
      <c r="P31" s="244">
        <f t="shared" si="0"/>
        <v>1</v>
      </c>
      <c r="Q31" s="266" t="s">
        <v>114</v>
      </c>
      <c r="R31" s="267" t="s">
        <v>115</v>
      </c>
      <c r="S31" s="266" t="s">
        <v>29</v>
      </c>
      <c r="T31" s="266">
        <v>32</v>
      </c>
      <c r="U31" s="266">
        <v>100</v>
      </c>
      <c r="V31" s="266" t="s">
        <v>31</v>
      </c>
      <c r="W31" s="266" t="s">
        <v>32</v>
      </c>
      <c r="X31" s="266"/>
      <c r="Y31" s="266" t="s">
        <v>7</v>
      </c>
      <c r="AA31" s="244" t="s">
        <v>93</v>
      </c>
      <c r="AB31" s="244" t="s">
        <v>92</v>
      </c>
      <c r="AC31" s="244" t="s">
        <v>29</v>
      </c>
      <c r="AD31" s="244">
        <v>8</v>
      </c>
      <c r="AE31" s="244">
        <v>100</v>
      </c>
      <c r="AF31" s="244" t="s">
        <v>31</v>
      </c>
    </row>
    <row r="32" spans="1:32" ht="19.5" thickBot="1">
      <c r="A32" s="244" t="s">
        <v>919</v>
      </c>
      <c r="B32" s="244">
        <v>95</v>
      </c>
      <c r="C32" s="244" t="s">
        <v>119</v>
      </c>
      <c r="D32" s="244" t="s">
        <v>7560</v>
      </c>
      <c r="E32" s="244">
        <v>0</v>
      </c>
      <c r="F32" s="244">
        <v>410</v>
      </c>
      <c r="G32" s="244" t="s">
        <v>7</v>
      </c>
      <c r="H32" s="244" t="s">
        <v>7582</v>
      </c>
      <c r="I32" s="265" t="str">
        <f t="shared" si="1"/>
        <v>15A</v>
      </c>
      <c r="J32" s="244" t="str">
        <f t="shared" si="2"/>
        <v>FCM1S78</v>
      </c>
      <c r="K32" s="244" t="str">
        <f t="shared" si="3"/>
        <v>1</v>
      </c>
      <c r="L32" s="244">
        <f t="shared" si="4"/>
        <v>8</v>
      </c>
      <c r="M32" s="244">
        <f t="shared" si="5"/>
        <v>100</v>
      </c>
      <c r="N32" s="244" t="str">
        <f t="shared" si="6"/>
        <v>0</v>
      </c>
      <c r="P32" s="244">
        <f t="shared" si="0"/>
        <v>1</v>
      </c>
      <c r="Q32" s="266" t="s">
        <v>53</v>
      </c>
      <c r="R32" s="267" t="s">
        <v>52</v>
      </c>
      <c r="S32" s="266" t="s">
        <v>29</v>
      </c>
      <c r="T32" s="266">
        <v>32</v>
      </c>
      <c r="U32" s="266">
        <v>100</v>
      </c>
      <c r="V32" s="266" t="s">
        <v>31</v>
      </c>
      <c r="W32" s="268" t="s">
        <v>32</v>
      </c>
      <c r="X32" s="268"/>
      <c r="Y32" s="268" t="s">
        <v>7</v>
      </c>
      <c r="AA32" s="244" t="s">
        <v>109</v>
      </c>
      <c r="AB32" s="244" t="s">
        <v>108</v>
      </c>
      <c r="AC32" s="244" t="s">
        <v>29</v>
      </c>
      <c r="AD32" s="244">
        <v>8</v>
      </c>
      <c r="AE32" s="244">
        <v>100</v>
      </c>
      <c r="AF32" s="244" t="s">
        <v>31</v>
      </c>
    </row>
    <row r="33" spans="1:32" ht="19.5" thickBot="1">
      <c r="A33" s="244" t="s">
        <v>886</v>
      </c>
      <c r="B33" s="244">
        <v>63</v>
      </c>
      <c r="C33" s="244" t="s">
        <v>122</v>
      </c>
      <c r="D33" s="244" t="s">
        <v>7560</v>
      </c>
      <c r="E33" s="244">
        <v>0</v>
      </c>
      <c r="F33" s="244">
        <v>416</v>
      </c>
      <c r="G33" s="244" t="s">
        <v>7</v>
      </c>
      <c r="H33" s="244" t="s">
        <v>7583</v>
      </c>
      <c r="I33" s="265" t="str">
        <f t="shared" si="1"/>
        <v>16E</v>
      </c>
      <c r="J33" s="244" t="str">
        <f t="shared" si="2"/>
        <v>BAT1E45</v>
      </c>
      <c r="K33" s="244" t="str">
        <f t="shared" si="3"/>
        <v>1</v>
      </c>
      <c r="L33" s="244">
        <f t="shared" si="4"/>
        <v>32</v>
      </c>
      <c r="M33" s="244">
        <f t="shared" si="5"/>
        <v>100</v>
      </c>
      <c r="N33" s="244" t="str">
        <f t="shared" si="6"/>
        <v>0</v>
      </c>
      <c r="P33" s="244">
        <f t="shared" si="0"/>
        <v>1</v>
      </c>
      <c r="Q33" s="266" t="s">
        <v>117</v>
      </c>
      <c r="R33" s="267" t="s">
        <v>118</v>
      </c>
      <c r="S33" s="266" t="s">
        <v>29</v>
      </c>
      <c r="T33" s="266">
        <v>32</v>
      </c>
      <c r="U33" s="266">
        <v>100</v>
      </c>
      <c r="V33" s="266" t="s">
        <v>31</v>
      </c>
      <c r="W33" s="266" t="s">
        <v>32</v>
      </c>
      <c r="X33" s="266"/>
      <c r="Y33" s="266" t="s">
        <v>7</v>
      </c>
      <c r="AA33" s="244" t="s">
        <v>112</v>
      </c>
      <c r="AB33" s="244" t="s">
        <v>111</v>
      </c>
      <c r="AC33" s="244" t="s">
        <v>29</v>
      </c>
      <c r="AD33" s="244">
        <v>32</v>
      </c>
      <c r="AE33" s="244">
        <v>100</v>
      </c>
      <c r="AF33" s="244" t="s">
        <v>31</v>
      </c>
    </row>
    <row r="34" spans="1:32" ht="19.5" thickBot="1">
      <c r="A34" s="244" t="s">
        <v>949</v>
      </c>
      <c r="B34" s="244">
        <v>124</v>
      </c>
      <c r="C34" s="244" t="s">
        <v>125</v>
      </c>
      <c r="D34" s="244" t="s">
        <v>7560</v>
      </c>
      <c r="E34" s="244">
        <v>0</v>
      </c>
      <c r="F34" s="244">
        <v>434</v>
      </c>
      <c r="G34" s="244" t="s">
        <v>7</v>
      </c>
      <c r="H34" s="244" t="s">
        <v>7584</v>
      </c>
      <c r="I34" s="265" t="str">
        <f t="shared" si="1"/>
        <v>17E</v>
      </c>
      <c r="J34" s="244" t="str">
        <f t="shared" si="2"/>
        <v>ADC1S11</v>
      </c>
      <c r="K34" s="244" t="str">
        <f t="shared" si="3"/>
        <v>1</v>
      </c>
      <c r="L34" s="244">
        <f t="shared" si="4"/>
        <v>32</v>
      </c>
      <c r="M34" s="244">
        <f t="shared" si="5"/>
        <v>100</v>
      </c>
      <c r="N34" s="244" t="str">
        <f t="shared" si="6"/>
        <v>0</v>
      </c>
      <c r="P34" s="244">
        <f t="shared" si="0"/>
        <v>1</v>
      </c>
      <c r="Q34" s="266" t="s">
        <v>120</v>
      </c>
      <c r="R34" s="267" t="s">
        <v>121</v>
      </c>
      <c r="S34" s="266" t="s">
        <v>29</v>
      </c>
      <c r="T34" s="266">
        <v>32</v>
      </c>
      <c r="U34" s="266">
        <v>200</v>
      </c>
      <c r="V34" s="266" t="s">
        <v>31</v>
      </c>
      <c r="W34" s="266" t="s">
        <v>32</v>
      </c>
      <c r="X34" s="266"/>
      <c r="Y34" s="266" t="s">
        <v>7</v>
      </c>
      <c r="AA34" s="244" t="s">
        <v>115</v>
      </c>
      <c r="AB34" s="244" t="s">
        <v>114</v>
      </c>
      <c r="AC34" s="244" t="s">
        <v>29</v>
      </c>
      <c r="AD34" s="244">
        <v>32</v>
      </c>
      <c r="AE34" s="244">
        <v>100</v>
      </c>
      <c r="AF34" s="244" t="s">
        <v>31</v>
      </c>
    </row>
    <row r="35" spans="1:32" ht="19.5" thickBot="1">
      <c r="A35" s="244" t="s">
        <v>963</v>
      </c>
      <c r="B35" s="244">
        <v>138</v>
      </c>
      <c r="C35" s="244" t="s">
        <v>126</v>
      </c>
      <c r="D35" s="244" t="s">
        <v>7560</v>
      </c>
      <c r="E35" s="244">
        <v>0</v>
      </c>
      <c r="F35" s="244">
        <v>443</v>
      </c>
      <c r="G35" s="244" t="s">
        <v>7</v>
      </c>
      <c r="H35" s="244" t="s">
        <v>7585</v>
      </c>
      <c r="I35" s="265" t="str">
        <f t="shared" si="1"/>
        <v>18D</v>
      </c>
      <c r="J35" s="244" t="str">
        <f t="shared" si="2"/>
        <v>BDF3S02</v>
      </c>
      <c r="K35" s="244" t="str">
        <f t="shared" si="3"/>
        <v>1</v>
      </c>
      <c r="L35" s="244">
        <f t="shared" si="4"/>
        <v>32</v>
      </c>
      <c r="M35" s="244">
        <f t="shared" si="5"/>
        <v>100</v>
      </c>
      <c r="N35" s="244" t="str">
        <f t="shared" si="6"/>
        <v>0</v>
      </c>
      <c r="P35" s="244">
        <f t="shared" si="0"/>
        <v>1</v>
      </c>
      <c r="Q35" s="266" t="s">
        <v>123</v>
      </c>
      <c r="R35" s="267" t="s">
        <v>124</v>
      </c>
      <c r="S35" s="266" t="s">
        <v>29</v>
      </c>
      <c r="T35" s="266">
        <v>8</v>
      </c>
      <c r="U35" s="266">
        <v>200</v>
      </c>
      <c r="V35" s="266" t="s">
        <v>31</v>
      </c>
      <c r="W35" s="266" t="s">
        <v>32</v>
      </c>
      <c r="X35" s="266"/>
      <c r="Y35" s="266" t="s">
        <v>7</v>
      </c>
      <c r="AA35" s="244" t="s">
        <v>118</v>
      </c>
      <c r="AB35" s="244" t="s">
        <v>117</v>
      </c>
      <c r="AC35" s="244" t="s">
        <v>29</v>
      </c>
      <c r="AD35" s="244">
        <v>32</v>
      </c>
      <c r="AE35" s="244">
        <v>100</v>
      </c>
      <c r="AF35" s="244" t="s">
        <v>31</v>
      </c>
    </row>
    <row r="36" spans="1:32" ht="19.5" thickBot="1">
      <c r="A36" s="244" t="s">
        <v>7</v>
      </c>
      <c r="B36" s="244" t="s">
        <v>7</v>
      </c>
      <c r="C36" s="244" t="s">
        <v>132</v>
      </c>
      <c r="D36" s="244" t="s">
        <v>7560</v>
      </c>
      <c r="E36" s="244">
        <v>0</v>
      </c>
      <c r="F36" s="244">
        <v>444</v>
      </c>
      <c r="G36" s="244" t="s">
        <v>7</v>
      </c>
      <c r="H36" s="244" t="s">
        <v>7586</v>
      </c>
      <c r="I36" s="265" t="str">
        <f t="shared" si="1"/>
        <v>19A</v>
      </c>
      <c r="J36" s="244" t="str">
        <f t="shared" si="2"/>
        <v>BDR3S02</v>
      </c>
      <c r="K36" s="244" t="str">
        <f t="shared" si="3"/>
        <v>1</v>
      </c>
      <c r="L36" s="244">
        <f t="shared" si="4"/>
        <v>32</v>
      </c>
      <c r="M36" s="244">
        <f t="shared" si="5"/>
        <v>200</v>
      </c>
      <c r="N36" s="244" t="str">
        <f t="shared" si="6"/>
        <v>0</v>
      </c>
      <c r="P36" s="244">
        <f t="shared" si="0"/>
        <v>1</v>
      </c>
      <c r="Q36" s="266" t="s">
        <v>87</v>
      </c>
      <c r="R36" s="267" t="s">
        <v>86</v>
      </c>
      <c r="S36" s="266" t="s">
        <v>29</v>
      </c>
      <c r="T36" s="266">
        <v>32</v>
      </c>
      <c r="U36" s="266">
        <v>200</v>
      </c>
      <c r="V36" s="266" t="s">
        <v>31</v>
      </c>
      <c r="W36" s="266" t="s">
        <v>32</v>
      </c>
      <c r="X36" s="266"/>
      <c r="Y36" s="266" t="s">
        <v>7</v>
      </c>
      <c r="AA36" s="244" t="s">
        <v>121</v>
      </c>
      <c r="AB36" s="244" t="s">
        <v>120</v>
      </c>
      <c r="AC36" s="244" t="s">
        <v>29</v>
      </c>
      <c r="AD36" s="244">
        <v>32</v>
      </c>
      <c r="AE36" s="244">
        <v>200</v>
      </c>
      <c r="AF36" s="244" t="s">
        <v>31</v>
      </c>
    </row>
    <row r="37" spans="1:32" ht="19.5" thickBot="1">
      <c r="A37" s="244" t="s">
        <v>936</v>
      </c>
      <c r="B37" s="244">
        <v>111</v>
      </c>
      <c r="C37" s="244" t="s">
        <v>132</v>
      </c>
      <c r="D37" s="244" t="s">
        <v>44</v>
      </c>
      <c r="E37" s="244">
        <v>2</v>
      </c>
      <c r="F37" s="244">
        <v>444</v>
      </c>
      <c r="G37" s="244" t="s">
        <v>7</v>
      </c>
      <c r="H37" s="244" t="s">
        <v>7587</v>
      </c>
      <c r="I37" s="265" t="str">
        <f t="shared" si="1"/>
        <v>1A0</v>
      </c>
      <c r="J37" s="244" t="str">
        <f t="shared" si="2"/>
        <v>BDC1S87</v>
      </c>
      <c r="K37" s="244" t="str">
        <f t="shared" si="3"/>
        <v>1</v>
      </c>
      <c r="L37" s="244">
        <f t="shared" si="4"/>
        <v>8</v>
      </c>
      <c r="M37" s="244">
        <f t="shared" si="5"/>
        <v>200</v>
      </c>
      <c r="N37" s="244" t="str">
        <f t="shared" si="6"/>
        <v>0</v>
      </c>
      <c r="P37" s="244">
        <f t="shared" si="0"/>
        <v>1</v>
      </c>
      <c r="Q37" s="266" t="s">
        <v>127</v>
      </c>
      <c r="R37" s="267" t="s">
        <v>128</v>
      </c>
      <c r="S37" s="266" t="s">
        <v>29</v>
      </c>
      <c r="T37" s="266">
        <v>32</v>
      </c>
      <c r="U37" s="266">
        <v>200</v>
      </c>
      <c r="V37" s="266" t="s">
        <v>31</v>
      </c>
      <c r="W37" s="266" t="s">
        <v>32</v>
      </c>
      <c r="X37" s="266"/>
      <c r="Y37" s="266" t="s">
        <v>7</v>
      </c>
      <c r="AA37" s="244" t="s">
        <v>124</v>
      </c>
      <c r="AB37" s="244" t="s">
        <v>123</v>
      </c>
      <c r="AC37" s="244" t="s">
        <v>29</v>
      </c>
      <c r="AD37" s="244">
        <v>8</v>
      </c>
      <c r="AE37" s="244">
        <v>200</v>
      </c>
      <c r="AF37" s="244" t="s">
        <v>31</v>
      </c>
    </row>
    <row r="38" spans="1:32" ht="19.5" thickBot="1">
      <c r="A38" s="244" t="s">
        <v>7</v>
      </c>
      <c r="B38" s="244" t="s">
        <v>7</v>
      </c>
      <c r="C38" s="244" t="s">
        <v>849</v>
      </c>
      <c r="D38" s="244" t="s">
        <v>7560</v>
      </c>
      <c r="E38" s="244">
        <v>0</v>
      </c>
      <c r="F38" s="244">
        <v>448</v>
      </c>
      <c r="G38" s="244" t="s">
        <v>7</v>
      </c>
      <c r="H38" s="244" t="s">
        <v>7588</v>
      </c>
      <c r="I38" s="265" t="str">
        <f t="shared" si="1"/>
        <v>1B2</v>
      </c>
      <c r="J38" s="244" t="str">
        <f t="shared" si="2"/>
        <v>FCM1S90</v>
      </c>
      <c r="K38" s="244" t="str">
        <f t="shared" si="3"/>
        <v>1</v>
      </c>
      <c r="L38" s="244">
        <f t="shared" si="4"/>
        <v>32</v>
      </c>
      <c r="M38" s="244">
        <f t="shared" si="5"/>
        <v>200</v>
      </c>
      <c r="N38" s="244" t="str">
        <f t="shared" si="6"/>
        <v>0</v>
      </c>
      <c r="P38" s="244">
        <f t="shared" si="0"/>
        <v>1</v>
      </c>
      <c r="Q38" s="266" t="s">
        <v>130</v>
      </c>
      <c r="R38" s="267" t="s">
        <v>131</v>
      </c>
      <c r="S38" s="266" t="s">
        <v>29</v>
      </c>
      <c r="T38" s="266">
        <v>8</v>
      </c>
      <c r="U38" s="266">
        <v>200</v>
      </c>
      <c r="V38" s="266" t="s">
        <v>31</v>
      </c>
      <c r="W38" s="266" t="s">
        <v>32</v>
      </c>
      <c r="X38" s="266"/>
      <c r="Y38" s="266" t="s">
        <v>7</v>
      </c>
      <c r="AA38" s="244" t="s">
        <v>128</v>
      </c>
      <c r="AB38" s="244" t="s">
        <v>127</v>
      </c>
      <c r="AC38" s="244" t="s">
        <v>29</v>
      </c>
      <c r="AD38" s="244">
        <v>32</v>
      </c>
      <c r="AE38" s="244">
        <v>200</v>
      </c>
      <c r="AF38" s="244" t="s">
        <v>31</v>
      </c>
    </row>
    <row r="39" spans="1:32" ht="19.5" thickBot="1">
      <c r="A39" s="244" t="s">
        <v>7</v>
      </c>
      <c r="B39" s="244" t="s">
        <v>7</v>
      </c>
      <c r="C39" s="244" t="s">
        <v>849</v>
      </c>
      <c r="D39" s="244" t="s">
        <v>312</v>
      </c>
      <c r="E39" s="244">
        <v>1</v>
      </c>
      <c r="F39" s="244">
        <v>448</v>
      </c>
      <c r="G39" s="244" t="s">
        <v>7</v>
      </c>
      <c r="H39" s="244" t="s">
        <v>7589</v>
      </c>
      <c r="I39" s="265" t="str">
        <f t="shared" si="1"/>
        <v>1BB</v>
      </c>
      <c r="J39" s="244" t="str">
        <f t="shared" si="2"/>
        <v>SOL1S06</v>
      </c>
      <c r="K39" s="244" t="str">
        <f t="shared" si="3"/>
        <v>1</v>
      </c>
      <c r="L39" s="244">
        <f t="shared" si="4"/>
        <v>8</v>
      </c>
      <c r="M39" s="244">
        <f t="shared" si="5"/>
        <v>200</v>
      </c>
      <c r="N39" s="244" t="str">
        <f t="shared" si="6"/>
        <v>0</v>
      </c>
      <c r="P39" s="244">
        <f t="shared" si="0"/>
        <v>1</v>
      </c>
      <c r="Q39" s="266" t="s">
        <v>133</v>
      </c>
      <c r="R39" s="267" t="s">
        <v>134</v>
      </c>
      <c r="S39" s="266" t="s">
        <v>29</v>
      </c>
      <c r="T39" s="266">
        <v>32</v>
      </c>
      <c r="U39" s="266">
        <v>200</v>
      </c>
      <c r="V39" s="266" t="s">
        <v>31</v>
      </c>
      <c r="W39" s="266" t="s">
        <v>32</v>
      </c>
      <c r="X39" s="266"/>
      <c r="Y39" s="266" t="s">
        <v>7</v>
      </c>
      <c r="AA39" s="244" t="s">
        <v>131</v>
      </c>
      <c r="AB39" s="244" t="s">
        <v>130</v>
      </c>
      <c r="AC39" s="244" t="s">
        <v>29</v>
      </c>
      <c r="AD39" s="244">
        <v>8</v>
      </c>
      <c r="AE39" s="244">
        <v>200</v>
      </c>
      <c r="AF39" s="244" t="s">
        <v>31</v>
      </c>
    </row>
    <row r="40" spans="1:32" ht="19.5" thickBot="1">
      <c r="A40" s="244" t="s">
        <v>7</v>
      </c>
      <c r="B40" s="244" t="s">
        <v>7</v>
      </c>
      <c r="C40" s="244" t="s">
        <v>849</v>
      </c>
      <c r="D40" s="244" t="s">
        <v>94</v>
      </c>
      <c r="E40" s="244">
        <v>16</v>
      </c>
      <c r="F40" s="244">
        <v>448</v>
      </c>
      <c r="G40" s="244" t="s">
        <v>7</v>
      </c>
      <c r="H40" s="244" t="s">
        <v>7590</v>
      </c>
      <c r="I40" s="265" t="str">
        <f t="shared" si="1"/>
        <v>1BC</v>
      </c>
      <c r="J40" s="244" t="str">
        <f t="shared" si="2"/>
        <v>EHV1E96</v>
      </c>
      <c r="K40" s="244" t="str">
        <f t="shared" si="3"/>
        <v>1</v>
      </c>
      <c r="L40" s="244">
        <f t="shared" si="4"/>
        <v>32</v>
      </c>
      <c r="M40" s="244">
        <f t="shared" si="5"/>
        <v>200</v>
      </c>
      <c r="N40" s="244" t="str">
        <f t="shared" si="6"/>
        <v>0</v>
      </c>
      <c r="P40" s="244">
        <f t="shared" si="0"/>
        <v>1</v>
      </c>
      <c r="Q40" s="266" t="s">
        <v>135</v>
      </c>
      <c r="R40" s="267" t="s">
        <v>136</v>
      </c>
      <c r="S40" s="266" t="s">
        <v>29</v>
      </c>
      <c r="T40" s="266">
        <v>32</v>
      </c>
      <c r="U40" s="266">
        <v>200</v>
      </c>
      <c r="V40" s="266" t="s">
        <v>29</v>
      </c>
      <c r="W40" s="266" t="s">
        <v>32</v>
      </c>
      <c r="X40" s="266"/>
      <c r="Y40" s="266" t="s">
        <v>7</v>
      </c>
      <c r="AA40" s="244" t="s">
        <v>134</v>
      </c>
      <c r="AB40" s="244" t="s">
        <v>133</v>
      </c>
      <c r="AC40" s="244" t="s">
        <v>29</v>
      </c>
      <c r="AD40" s="244">
        <v>32</v>
      </c>
      <c r="AE40" s="244">
        <v>200</v>
      </c>
      <c r="AF40" s="244" t="s">
        <v>31</v>
      </c>
    </row>
    <row r="41" spans="1:32" ht="19.5" thickBot="1">
      <c r="A41" s="244" t="s">
        <v>848</v>
      </c>
      <c r="B41" s="244">
        <v>26</v>
      </c>
      <c r="C41" s="244" t="s">
        <v>849</v>
      </c>
      <c r="D41" s="244" t="s">
        <v>148</v>
      </c>
      <c r="E41" s="244">
        <v>17</v>
      </c>
      <c r="F41" s="244">
        <v>448</v>
      </c>
      <c r="G41" s="244" t="s">
        <v>7</v>
      </c>
      <c r="H41" s="244" t="s">
        <v>7591</v>
      </c>
      <c r="I41" s="265" t="str">
        <f t="shared" si="1"/>
        <v>1BE</v>
      </c>
      <c r="J41" s="244" t="str">
        <f t="shared" si="2"/>
        <v>ZN21S28</v>
      </c>
      <c r="K41" s="244" t="str">
        <f t="shared" si="3"/>
        <v>1</v>
      </c>
      <c r="L41" s="244">
        <f t="shared" si="4"/>
        <v>32</v>
      </c>
      <c r="M41" s="244">
        <f t="shared" si="5"/>
        <v>200</v>
      </c>
      <c r="N41" s="244" t="str">
        <f t="shared" si="6"/>
        <v>1</v>
      </c>
      <c r="P41" s="244">
        <f t="shared" si="0"/>
        <v>1</v>
      </c>
      <c r="Q41" s="266" t="s">
        <v>101</v>
      </c>
      <c r="R41" s="267" t="s">
        <v>100</v>
      </c>
      <c r="S41" s="266" t="s">
        <v>29</v>
      </c>
      <c r="T41" s="266">
        <v>32</v>
      </c>
      <c r="U41" s="266">
        <v>200</v>
      </c>
      <c r="V41" s="266" t="s">
        <v>29</v>
      </c>
      <c r="W41" s="266" t="s">
        <v>32</v>
      </c>
      <c r="X41" s="266"/>
      <c r="Y41" s="266" t="s">
        <v>7</v>
      </c>
      <c r="AA41" s="244" t="s">
        <v>136</v>
      </c>
      <c r="AB41" s="244" t="s">
        <v>135</v>
      </c>
      <c r="AC41" s="244" t="s">
        <v>29</v>
      </c>
      <c r="AD41" s="244">
        <v>32</v>
      </c>
      <c r="AE41" s="244">
        <v>200</v>
      </c>
      <c r="AF41" s="244" t="s">
        <v>29</v>
      </c>
    </row>
    <row r="42" spans="1:32" ht="19.5" thickBot="1">
      <c r="A42" s="244" t="s">
        <v>946</v>
      </c>
      <c r="B42" s="244">
        <v>121</v>
      </c>
      <c r="C42" s="244" t="s">
        <v>137</v>
      </c>
      <c r="D42" s="244" t="s">
        <v>7560</v>
      </c>
      <c r="E42" s="244">
        <v>0</v>
      </c>
      <c r="F42" s="244">
        <v>458</v>
      </c>
      <c r="G42" s="244" t="s">
        <v>7</v>
      </c>
      <c r="H42" s="244" t="s">
        <v>7592</v>
      </c>
      <c r="I42" s="265" t="str">
        <f t="shared" si="1"/>
        <v>1C0</v>
      </c>
      <c r="J42" s="244" t="str">
        <f t="shared" si="2"/>
        <v>ADC1S31</v>
      </c>
      <c r="K42" s="244" t="str">
        <f t="shared" si="3"/>
        <v>1</v>
      </c>
      <c r="L42" s="244">
        <f t="shared" si="4"/>
        <v>32</v>
      </c>
      <c r="M42" s="244">
        <f t="shared" si="5"/>
        <v>200</v>
      </c>
      <c r="N42" s="244" t="str">
        <f t="shared" si="6"/>
        <v>1</v>
      </c>
      <c r="P42" s="244">
        <f t="shared" si="0"/>
        <v>1</v>
      </c>
      <c r="Q42" s="268" t="s">
        <v>789</v>
      </c>
      <c r="R42" s="269" t="s">
        <v>7593</v>
      </c>
      <c r="S42" s="268" t="s">
        <v>29</v>
      </c>
      <c r="T42" s="268">
        <v>32</v>
      </c>
      <c r="U42" s="268">
        <v>200</v>
      </c>
      <c r="V42" s="268" t="s">
        <v>29</v>
      </c>
      <c r="W42" s="266" t="s">
        <v>32</v>
      </c>
      <c r="X42" s="266"/>
      <c r="Y42" s="266" t="s">
        <v>7</v>
      </c>
      <c r="AA42" s="244" t="s">
        <v>100</v>
      </c>
      <c r="AB42" s="244" t="s">
        <v>101</v>
      </c>
      <c r="AC42" s="244" t="s">
        <v>29</v>
      </c>
      <c r="AD42" s="244">
        <v>32</v>
      </c>
      <c r="AE42" s="244">
        <v>200</v>
      </c>
      <c r="AF42" s="244" t="s">
        <v>29</v>
      </c>
    </row>
    <row r="43" spans="1:32" ht="19.5" thickBot="1">
      <c r="A43" s="244" t="s">
        <v>956</v>
      </c>
      <c r="B43" s="244">
        <v>131</v>
      </c>
      <c r="C43" s="244" t="s">
        <v>138</v>
      </c>
      <c r="D43" s="244" t="s">
        <v>7560</v>
      </c>
      <c r="E43" s="244">
        <v>0</v>
      </c>
      <c r="F43" s="244">
        <v>460</v>
      </c>
      <c r="G43" s="244" t="s">
        <v>7</v>
      </c>
      <c r="H43" s="244" t="s">
        <v>7594</v>
      </c>
      <c r="I43" s="265" t="str">
        <f t="shared" si="1"/>
        <v>1C1</v>
      </c>
      <c r="J43" s="244" t="str">
        <f t="shared" si="2"/>
        <v>BAT1S12</v>
      </c>
      <c r="K43" s="244" t="str">
        <f t="shared" si="3"/>
        <v>1</v>
      </c>
      <c r="L43" s="244">
        <f t="shared" si="4"/>
        <v>32</v>
      </c>
      <c r="M43" s="244">
        <f t="shared" si="5"/>
        <v>200</v>
      </c>
      <c r="N43" s="244" t="str">
        <f t="shared" si="6"/>
        <v>1</v>
      </c>
      <c r="P43" s="244">
        <f t="shared" si="0"/>
        <v>1</v>
      </c>
      <c r="Q43" s="266" t="s">
        <v>142</v>
      </c>
      <c r="R43" s="267" t="s">
        <v>143</v>
      </c>
      <c r="S43" s="266" t="s">
        <v>29</v>
      </c>
      <c r="T43" s="266">
        <v>8</v>
      </c>
      <c r="U43" s="266">
        <v>300</v>
      </c>
      <c r="V43" s="266" t="s">
        <v>31</v>
      </c>
      <c r="W43" s="266" t="s">
        <v>32</v>
      </c>
      <c r="X43" s="266"/>
      <c r="Y43" s="266" t="s">
        <v>7</v>
      </c>
      <c r="AA43" s="244" t="s">
        <v>7593</v>
      </c>
      <c r="AB43" s="244" t="s">
        <v>789</v>
      </c>
      <c r="AC43" s="244" t="s">
        <v>29</v>
      </c>
      <c r="AD43" s="244">
        <v>32</v>
      </c>
      <c r="AE43" s="244">
        <v>200</v>
      </c>
      <c r="AF43" s="244" t="s">
        <v>29</v>
      </c>
    </row>
    <row r="44" spans="1:32" ht="19.5" thickBot="1">
      <c r="A44" s="244" t="s">
        <v>7</v>
      </c>
      <c r="B44" s="244" t="s">
        <v>7</v>
      </c>
      <c r="C44" s="244" t="s">
        <v>141</v>
      </c>
      <c r="D44" s="244" t="s">
        <v>7560</v>
      </c>
      <c r="E44" s="244">
        <v>0</v>
      </c>
      <c r="F44" s="244">
        <v>462</v>
      </c>
      <c r="G44" s="244" t="s">
        <v>7</v>
      </c>
      <c r="H44" s="244" t="s">
        <v>7595</v>
      </c>
      <c r="I44" s="265" t="str">
        <f t="shared" si="1"/>
        <v>1D0</v>
      </c>
      <c r="J44" s="244" t="str">
        <f t="shared" si="2"/>
        <v>EHV1S23</v>
      </c>
      <c r="K44" s="244" t="str">
        <f t="shared" si="3"/>
        <v>1</v>
      </c>
      <c r="L44" s="244">
        <f t="shared" si="4"/>
        <v>8</v>
      </c>
      <c r="M44" s="244">
        <f t="shared" si="5"/>
        <v>300</v>
      </c>
      <c r="N44" s="244" t="str">
        <f t="shared" si="6"/>
        <v>0</v>
      </c>
      <c r="P44" s="244">
        <f t="shared" si="0"/>
        <v>1</v>
      </c>
      <c r="Q44" s="266" t="s">
        <v>144</v>
      </c>
      <c r="R44" s="267" t="s">
        <v>145</v>
      </c>
      <c r="S44" s="266" t="s">
        <v>29</v>
      </c>
      <c r="T44" s="266">
        <v>8</v>
      </c>
      <c r="U44" s="266">
        <v>300</v>
      </c>
      <c r="V44" s="266" t="s">
        <v>31</v>
      </c>
      <c r="W44" s="266" t="s">
        <v>32</v>
      </c>
      <c r="X44" s="266"/>
      <c r="Y44" s="266" t="s">
        <v>7</v>
      </c>
      <c r="AA44" s="244" t="s">
        <v>103</v>
      </c>
      <c r="AB44" s="244" t="s">
        <v>104</v>
      </c>
      <c r="AC44" s="244" t="s">
        <v>29</v>
      </c>
      <c r="AD44" s="244">
        <v>8</v>
      </c>
      <c r="AE44" s="244">
        <v>300</v>
      </c>
      <c r="AF44" s="244" t="s">
        <v>31</v>
      </c>
    </row>
    <row r="45" spans="1:32" ht="19.5" thickBot="1">
      <c r="A45" s="244" t="s">
        <v>7</v>
      </c>
      <c r="B45" s="244" t="s">
        <v>7</v>
      </c>
      <c r="C45" s="244" t="s">
        <v>141</v>
      </c>
      <c r="D45" s="244" t="s">
        <v>312</v>
      </c>
      <c r="E45" s="244">
        <v>1</v>
      </c>
      <c r="F45" s="244">
        <v>462</v>
      </c>
      <c r="G45" s="244" t="s">
        <v>7</v>
      </c>
      <c r="H45" s="244" t="s">
        <v>7596</v>
      </c>
      <c r="I45" s="265" t="str">
        <f t="shared" si="1"/>
        <v>1D1</v>
      </c>
      <c r="J45" s="244" t="str">
        <f t="shared" si="2"/>
        <v>PMN1G03</v>
      </c>
      <c r="K45" s="244" t="str">
        <f t="shared" si="3"/>
        <v>1</v>
      </c>
      <c r="L45" s="244">
        <f t="shared" si="4"/>
        <v>8</v>
      </c>
      <c r="M45" s="244">
        <f t="shared" si="5"/>
        <v>300</v>
      </c>
      <c r="N45" s="244" t="str">
        <f t="shared" si="6"/>
        <v>0</v>
      </c>
      <c r="P45" s="244">
        <f t="shared" si="0"/>
        <v>1</v>
      </c>
      <c r="Q45" s="266" t="s">
        <v>146</v>
      </c>
      <c r="R45" s="267" t="s">
        <v>147</v>
      </c>
      <c r="S45" s="266" t="s">
        <v>29</v>
      </c>
      <c r="T45" s="266">
        <v>8</v>
      </c>
      <c r="U45" s="266">
        <v>300</v>
      </c>
      <c r="V45" s="266" t="s">
        <v>31</v>
      </c>
      <c r="W45" s="266" t="s">
        <v>32</v>
      </c>
      <c r="X45" s="266"/>
      <c r="Y45" s="266" t="s">
        <v>7</v>
      </c>
      <c r="AA45" s="244" t="s">
        <v>153</v>
      </c>
      <c r="AB45" s="244" t="s">
        <v>152</v>
      </c>
      <c r="AC45" s="244" t="s">
        <v>29</v>
      </c>
      <c r="AD45" s="244">
        <v>8</v>
      </c>
      <c r="AE45" s="244">
        <v>300</v>
      </c>
      <c r="AF45" s="244" t="s">
        <v>31</v>
      </c>
    </row>
    <row r="46" spans="1:32" ht="19.5" thickBot="1">
      <c r="A46" s="244" t="s">
        <v>7</v>
      </c>
      <c r="B46" s="244" t="s">
        <v>7</v>
      </c>
      <c r="C46" s="244" t="s">
        <v>141</v>
      </c>
      <c r="D46" s="244" t="s">
        <v>94</v>
      </c>
      <c r="E46" s="244">
        <v>16</v>
      </c>
      <c r="F46" s="244">
        <v>462</v>
      </c>
      <c r="G46" s="244" t="s">
        <v>7</v>
      </c>
      <c r="H46" s="244" t="s">
        <v>7597</v>
      </c>
      <c r="I46" s="265" t="str">
        <f t="shared" si="1"/>
        <v>1CA</v>
      </c>
      <c r="J46" s="244" t="str">
        <f t="shared" si="2"/>
        <v>EPS1S90</v>
      </c>
      <c r="K46" s="244" t="str">
        <f t="shared" si="3"/>
        <v>1</v>
      </c>
      <c r="L46" s="244">
        <f t="shared" si="4"/>
        <v>8</v>
      </c>
      <c r="M46" s="244">
        <f t="shared" si="5"/>
        <v>300</v>
      </c>
      <c r="N46" s="244" t="str">
        <f t="shared" si="6"/>
        <v>0</v>
      </c>
      <c r="P46" s="244">
        <f t="shared" si="0"/>
        <v>1</v>
      </c>
      <c r="Q46" s="266" t="s">
        <v>149</v>
      </c>
      <c r="R46" s="267" t="s">
        <v>150</v>
      </c>
      <c r="S46" s="266" t="s">
        <v>29</v>
      </c>
      <c r="T46" s="266">
        <v>8</v>
      </c>
      <c r="U46" s="266">
        <v>300</v>
      </c>
      <c r="V46" s="266" t="s">
        <v>31</v>
      </c>
      <c r="W46" s="266" t="s">
        <v>32</v>
      </c>
      <c r="X46" s="266"/>
      <c r="Y46" s="266" t="s">
        <v>7</v>
      </c>
      <c r="AA46" s="244" t="s">
        <v>143</v>
      </c>
      <c r="AB46" s="244" t="s">
        <v>142</v>
      </c>
      <c r="AC46" s="244" t="s">
        <v>29</v>
      </c>
      <c r="AD46" s="244">
        <v>8</v>
      </c>
      <c r="AE46" s="244">
        <v>300</v>
      </c>
      <c r="AF46" s="244" t="s">
        <v>31</v>
      </c>
    </row>
    <row r="47" spans="1:32" ht="19.5" thickBot="1">
      <c r="A47" s="244" t="s">
        <v>859</v>
      </c>
      <c r="B47" s="244">
        <v>36</v>
      </c>
      <c r="C47" s="244" t="s">
        <v>141</v>
      </c>
      <c r="D47" s="244" t="s">
        <v>148</v>
      </c>
      <c r="E47" s="244">
        <v>17</v>
      </c>
      <c r="F47" s="244">
        <v>462</v>
      </c>
      <c r="G47" s="244" t="s">
        <v>7</v>
      </c>
      <c r="H47" s="244" t="s">
        <v>7598</v>
      </c>
      <c r="I47" s="265" t="str">
        <f t="shared" si="1"/>
        <v>1CC</v>
      </c>
      <c r="J47" s="244" t="str">
        <f t="shared" si="2"/>
        <v>PDC1G01</v>
      </c>
      <c r="K47" s="244" t="str">
        <f t="shared" si="3"/>
        <v>1</v>
      </c>
      <c r="L47" s="244">
        <f t="shared" si="4"/>
        <v>8</v>
      </c>
      <c r="M47" s="244">
        <f t="shared" si="5"/>
        <v>300</v>
      </c>
      <c r="N47" s="244" t="str">
        <f t="shared" si="6"/>
        <v>0</v>
      </c>
      <c r="P47" s="244">
        <f t="shared" si="0"/>
        <v>1</v>
      </c>
      <c r="Q47" s="266" t="s">
        <v>104</v>
      </c>
      <c r="R47" s="267" t="s">
        <v>103</v>
      </c>
      <c r="S47" s="266" t="s">
        <v>29</v>
      </c>
      <c r="T47" s="266">
        <v>8</v>
      </c>
      <c r="U47" s="266">
        <v>300</v>
      </c>
      <c r="V47" s="266" t="s">
        <v>31</v>
      </c>
      <c r="W47" s="266" t="s">
        <v>32</v>
      </c>
      <c r="X47" s="266"/>
      <c r="Y47" s="266" t="s">
        <v>7</v>
      </c>
      <c r="AA47" s="244" t="s">
        <v>145</v>
      </c>
      <c r="AB47" s="244" t="s">
        <v>144</v>
      </c>
      <c r="AC47" s="244" t="s">
        <v>29</v>
      </c>
      <c r="AD47" s="244">
        <v>8</v>
      </c>
      <c r="AE47" s="244">
        <v>300</v>
      </c>
      <c r="AF47" s="244" t="s">
        <v>31</v>
      </c>
    </row>
    <row r="48" spans="1:32" ht="19.5" thickBot="1">
      <c r="A48" s="244" t="s">
        <v>7</v>
      </c>
      <c r="B48" s="244" t="s">
        <v>7</v>
      </c>
      <c r="C48" s="244" t="s">
        <v>151</v>
      </c>
      <c r="D48" s="244" t="s">
        <v>7560</v>
      </c>
      <c r="E48" s="244">
        <v>0</v>
      </c>
      <c r="F48" s="244">
        <v>466</v>
      </c>
      <c r="G48" s="244" t="s">
        <v>7</v>
      </c>
      <c r="H48" s="244" t="s">
        <v>7599</v>
      </c>
      <c r="I48" s="265" t="str">
        <f t="shared" si="1"/>
        <v>1CE</v>
      </c>
      <c r="J48" s="244" t="str">
        <f t="shared" si="2"/>
        <v>ZN21S52</v>
      </c>
      <c r="K48" s="244" t="str">
        <f t="shared" si="3"/>
        <v>1</v>
      </c>
      <c r="L48" s="244">
        <f t="shared" si="4"/>
        <v>8</v>
      </c>
      <c r="M48" s="244">
        <f t="shared" si="5"/>
        <v>300</v>
      </c>
      <c r="N48" s="244" t="str">
        <f t="shared" si="6"/>
        <v>0</v>
      </c>
      <c r="P48" s="244">
        <f t="shared" si="0"/>
        <v>1</v>
      </c>
      <c r="Q48" s="266" t="s">
        <v>152</v>
      </c>
      <c r="R48" s="267" t="s">
        <v>153</v>
      </c>
      <c r="S48" s="266" t="s">
        <v>29</v>
      </c>
      <c r="T48" s="266">
        <v>8</v>
      </c>
      <c r="U48" s="266">
        <v>300</v>
      </c>
      <c r="V48" s="266" t="s">
        <v>31</v>
      </c>
      <c r="W48" s="266" t="s">
        <v>32</v>
      </c>
      <c r="X48" s="266"/>
      <c r="Y48" s="266" t="s">
        <v>7</v>
      </c>
      <c r="AA48" s="244" t="s">
        <v>147</v>
      </c>
      <c r="AB48" s="244" t="s">
        <v>146</v>
      </c>
      <c r="AC48" s="244" t="s">
        <v>29</v>
      </c>
      <c r="AD48" s="244">
        <v>8</v>
      </c>
      <c r="AE48" s="244">
        <v>300</v>
      </c>
      <c r="AF48" s="244" t="s">
        <v>31</v>
      </c>
    </row>
    <row r="49" spans="1:32" ht="19.5" thickBot="1">
      <c r="A49" s="244" t="s">
        <v>7</v>
      </c>
      <c r="B49" s="244" t="s">
        <v>7</v>
      </c>
      <c r="C49" s="244" t="s">
        <v>151</v>
      </c>
      <c r="D49" s="244" t="s">
        <v>312</v>
      </c>
      <c r="E49" s="244">
        <v>1</v>
      </c>
      <c r="F49" s="244">
        <v>466</v>
      </c>
      <c r="G49" s="244" t="s">
        <v>7</v>
      </c>
      <c r="H49" s="244" t="s">
        <v>7600</v>
      </c>
      <c r="I49" s="265" t="str">
        <f t="shared" si="1"/>
        <v>1CF</v>
      </c>
      <c r="J49" s="244" t="str">
        <f t="shared" si="2"/>
        <v>BDB1S01</v>
      </c>
      <c r="K49" s="244" t="str">
        <f t="shared" si="3"/>
        <v>1</v>
      </c>
      <c r="L49" s="244">
        <f t="shared" si="4"/>
        <v>8</v>
      </c>
      <c r="M49" s="244">
        <f t="shared" si="5"/>
        <v>300</v>
      </c>
      <c r="N49" s="244" t="str">
        <f t="shared" si="6"/>
        <v>0</v>
      </c>
      <c r="P49" s="244">
        <f t="shared" si="0"/>
        <v>1</v>
      </c>
      <c r="Q49" s="266" t="s">
        <v>154</v>
      </c>
      <c r="R49" s="267" t="s">
        <v>155</v>
      </c>
      <c r="S49" s="266" t="s">
        <v>29</v>
      </c>
      <c r="T49" s="266">
        <v>8</v>
      </c>
      <c r="U49" s="266">
        <v>300</v>
      </c>
      <c r="V49" s="266" t="s">
        <v>31</v>
      </c>
      <c r="W49" s="266" t="s">
        <v>32</v>
      </c>
      <c r="X49" s="266"/>
      <c r="Y49" s="266" t="s">
        <v>7</v>
      </c>
      <c r="AA49" s="244" t="s">
        <v>150</v>
      </c>
      <c r="AB49" s="244" t="s">
        <v>149</v>
      </c>
      <c r="AC49" s="244" t="s">
        <v>29</v>
      </c>
      <c r="AD49" s="244">
        <v>8</v>
      </c>
      <c r="AE49" s="244">
        <v>300</v>
      </c>
      <c r="AF49" s="244" t="s">
        <v>31</v>
      </c>
    </row>
    <row r="50" spans="1:32" ht="19.5" thickBot="1">
      <c r="A50" s="244" t="s">
        <v>7</v>
      </c>
      <c r="B50" s="244" t="s">
        <v>7</v>
      </c>
      <c r="C50" s="244" t="s">
        <v>151</v>
      </c>
      <c r="D50" s="244" t="s">
        <v>129</v>
      </c>
      <c r="E50" s="244">
        <v>512</v>
      </c>
      <c r="F50" s="244">
        <v>466</v>
      </c>
      <c r="G50" s="244" t="s">
        <v>7</v>
      </c>
      <c r="H50" s="244" t="s">
        <v>7601</v>
      </c>
      <c r="I50" s="265" t="str">
        <f t="shared" si="1"/>
        <v>1DE</v>
      </c>
      <c r="J50" s="244" t="str">
        <f t="shared" si="2"/>
        <v>ZN11S14</v>
      </c>
      <c r="K50" s="244" t="str">
        <f t="shared" si="3"/>
        <v>1</v>
      </c>
      <c r="L50" s="244">
        <f t="shared" si="4"/>
        <v>8</v>
      </c>
      <c r="M50" s="244">
        <f t="shared" si="5"/>
        <v>300</v>
      </c>
      <c r="N50" s="244" t="str">
        <f t="shared" si="6"/>
        <v>0</v>
      </c>
      <c r="P50" s="244">
        <f t="shared" si="0"/>
        <v>1</v>
      </c>
      <c r="Q50" s="266" t="s">
        <v>158</v>
      </c>
      <c r="R50" s="267" t="s">
        <v>159</v>
      </c>
      <c r="S50" s="266" t="s">
        <v>29</v>
      </c>
      <c r="T50" s="266">
        <v>8</v>
      </c>
      <c r="U50" s="266">
        <v>300</v>
      </c>
      <c r="V50" s="266" t="s">
        <v>31</v>
      </c>
      <c r="W50" s="266" t="s">
        <v>32</v>
      </c>
      <c r="X50" s="266"/>
      <c r="Y50" s="266" t="s">
        <v>7</v>
      </c>
      <c r="AA50" s="244" t="s">
        <v>156</v>
      </c>
      <c r="AB50" s="244" t="s">
        <v>157</v>
      </c>
      <c r="AC50" s="244" t="s">
        <v>29</v>
      </c>
      <c r="AD50" s="244">
        <v>8</v>
      </c>
      <c r="AE50" s="244">
        <v>300</v>
      </c>
      <c r="AF50" s="244" t="s">
        <v>31</v>
      </c>
    </row>
    <row r="51" spans="1:32" ht="19.5" thickBot="1">
      <c r="A51" s="244" t="s">
        <v>878</v>
      </c>
      <c r="B51" s="244">
        <v>55</v>
      </c>
      <c r="C51" s="244" t="s">
        <v>151</v>
      </c>
      <c r="D51" s="244" t="s">
        <v>162</v>
      </c>
      <c r="E51" s="244">
        <v>513</v>
      </c>
      <c r="F51" s="244">
        <v>466</v>
      </c>
      <c r="G51" s="244" t="s">
        <v>7</v>
      </c>
      <c r="H51" s="244" t="s">
        <v>7602</v>
      </c>
      <c r="I51" s="265" t="str">
        <f t="shared" si="1"/>
        <v>1DF</v>
      </c>
      <c r="J51" s="244" t="str">
        <f t="shared" si="2"/>
        <v>ZN11S17</v>
      </c>
      <c r="K51" s="244" t="str">
        <f t="shared" si="3"/>
        <v>1</v>
      </c>
      <c r="L51" s="244">
        <f t="shared" si="4"/>
        <v>32</v>
      </c>
      <c r="M51" s="244">
        <f t="shared" si="5"/>
        <v>300</v>
      </c>
      <c r="N51" s="244" t="str">
        <f t="shared" si="6"/>
        <v>0</v>
      </c>
      <c r="P51" s="244">
        <f t="shared" si="0"/>
        <v>1</v>
      </c>
      <c r="Q51" s="266" t="s">
        <v>163</v>
      </c>
      <c r="R51" s="267" t="s">
        <v>164</v>
      </c>
      <c r="S51" s="266" t="s">
        <v>29</v>
      </c>
      <c r="T51" s="266">
        <v>32</v>
      </c>
      <c r="U51" s="266">
        <v>300</v>
      </c>
      <c r="V51" s="266" t="s">
        <v>31</v>
      </c>
      <c r="W51" s="266" t="s">
        <v>32</v>
      </c>
      <c r="X51" s="266"/>
      <c r="Y51" s="266" t="s">
        <v>7</v>
      </c>
      <c r="AA51" s="244" t="s">
        <v>160</v>
      </c>
      <c r="AB51" s="244" t="s">
        <v>161</v>
      </c>
      <c r="AC51" s="244" t="s">
        <v>29</v>
      </c>
      <c r="AD51" s="244">
        <v>32</v>
      </c>
      <c r="AE51" s="244">
        <v>300</v>
      </c>
      <c r="AF51" s="244" t="s">
        <v>31</v>
      </c>
    </row>
    <row r="52" spans="1:32" ht="19.5" thickBot="1">
      <c r="A52" s="244" t="s">
        <v>925</v>
      </c>
      <c r="B52" s="244">
        <v>101</v>
      </c>
      <c r="C52" s="244" t="s">
        <v>165</v>
      </c>
      <c r="D52" s="244" t="s">
        <v>7560</v>
      </c>
      <c r="E52" s="244">
        <v>0</v>
      </c>
      <c r="F52" s="244">
        <v>471</v>
      </c>
      <c r="G52" s="244" t="s">
        <v>7</v>
      </c>
      <c r="H52" s="244" t="s">
        <v>7603</v>
      </c>
      <c r="I52" s="265" t="str">
        <f t="shared" si="1"/>
        <v>1D2</v>
      </c>
      <c r="J52" s="244" t="str">
        <f t="shared" si="2"/>
        <v>BDC1S33</v>
      </c>
      <c r="K52" s="244" t="str">
        <f t="shared" si="3"/>
        <v>1</v>
      </c>
      <c r="L52" s="244">
        <f t="shared" si="4"/>
        <v>8</v>
      </c>
      <c r="M52" s="244">
        <f t="shared" si="5"/>
        <v>300</v>
      </c>
      <c r="N52" s="244" t="str">
        <f t="shared" si="6"/>
        <v>0</v>
      </c>
      <c r="P52" s="244">
        <f t="shared" si="0"/>
        <v>1</v>
      </c>
      <c r="Q52" s="266" t="s">
        <v>166</v>
      </c>
      <c r="R52" s="267" t="s">
        <v>167</v>
      </c>
      <c r="S52" s="266" t="s">
        <v>29</v>
      </c>
      <c r="T52" s="266">
        <v>8</v>
      </c>
      <c r="U52" s="266">
        <v>300</v>
      </c>
      <c r="V52" s="266" t="s">
        <v>31</v>
      </c>
      <c r="W52" s="266" t="s">
        <v>32</v>
      </c>
      <c r="X52" s="266"/>
      <c r="Y52" s="266" t="s">
        <v>7</v>
      </c>
      <c r="AA52" s="244" t="s">
        <v>155</v>
      </c>
      <c r="AB52" s="244" t="s">
        <v>154</v>
      </c>
      <c r="AC52" s="244" t="s">
        <v>29</v>
      </c>
      <c r="AD52" s="244">
        <v>8</v>
      </c>
      <c r="AE52" s="244">
        <v>300</v>
      </c>
      <c r="AF52" s="244" t="s">
        <v>31</v>
      </c>
    </row>
    <row r="53" spans="1:32" ht="19.5" thickBot="1">
      <c r="A53" s="244" t="s">
        <v>7</v>
      </c>
      <c r="B53" s="244" t="s">
        <v>7</v>
      </c>
      <c r="C53" s="244" t="s">
        <v>168</v>
      </c>
      <c r="D53" s="244" t="s">
        <v>7560</v>
      </c>
      <c r="E53" s="244">
        <v>0</v>
      </c>
      <c r="F53" s="244">
        <v>473</v>
      </c>
      <c r="G53" s="244" t="s">
        <v>7</v>
      </c>
      <c r="H53" s="244" t="s">
        <v>7604</v>
      </c>
      <c r="I53" s="265" t="str">
        <f t="shared" si="1"/>
        <v>1D3</v>
      </c>
      <c r="J53" s="244" t="str">
        <f t="shared" si="2"/>
        <v>BDC1S46</v>
      </c>
      <c r="K53" s="244" t="str">
        <f t="shared" si="3"/>
        <v>1</v>
      </c>
      <c r="L53" s="244">
        <f t="shared" si="4"/>
        <v>8</v>
      </c>
      <c r="M53" s="244">
        <f t="shared" si="5"/>
        <v>300</v>
      </c>
      <c r="N53" s="244" t="str">
        <f t="shared" si="6"/>
        <v>0</v>
      </c>
      <c r="P53" s="244">
        <f t="shared" si="0"/>
        <v>1</v>
      </c>
      <c r="Q53" s="268" t="s">
        <v>169</v>
      </c>
      <c r="R53" s="269" t="s">
        <v>170</v>
      </c>
      <c r="S53" s="268" t="s">
        <v>29</v>
      </c>
      <c r="T53" s="268">
        <v>8</v>
      </c>
      <c r="U53" s="268">
        <v>300</v>
      </c>
      <c r="V53" s="268" t="s">
        <v>31</v>
      </c>
      <c r="W53" s="266" t="s">
        <v>32</v>
      </c>
      <c r="X53" s="266"/>
      <c r="Y53" s="266" t="s">
        <v>7</v>
      </c>
      <c r="AA53" s="244" t="s">
        <v>159</v>
      </c>
      <c r="AB53" s="244" t="s">
        <v>158</v>
      </c>
      <c r="AC53" s="244" t="s">
        <v>29</v>
      </c>
      <c r="AD53" s="244">
        <v>8</v>
      </c>
      <c r="AE53" s="244">
        <v>300</v>
      </c>
      <c r="AF53" s="244" t="s">
        <v>31</v>
      </c>
    </row>
    <row r="54" spans="1:32" ht="19.5" thickBot="1">
      <c r="A54" s="244" t="s">
        <v>851</v>
      </c>
      <c r="B54" s="244">
        <v>28</v>
      </c>
      <c r="C54" s="244" t="s">
        <v>168</v>
      </c>
      <c r="D54" s="244" t="s">
        <v>102</v>
      </c>
      <c r="E54" s="244">
        <v>4</v>
      </c>
      <c r="F54" s="244">
        <v>473</v>
      </c>
      <c r="G54" s="244" t="s">
        <v>7</v>
      </c>
      <c r="H54" s="244" t="s">
        <v>7605</v>
      </c>
      <c r="I54" s="265" t="str">
        <f t="shared" si="1"/>
        <v>3D2</v>
      </c>
      <c r="J54" s="244" t="str">
        <f t="shared" si="2"/>
        <v>ZN11S64</v>
      </c>
      <c r="K54" s="244" t="str">
        <f t="shared" si="3"/>
        <v>1</v>
      </c>
      <c r="L54" s="244">
        <f t="shared" si="4"/>
        <v>32</v>
      </c>
      <c r="M54" s="244">
        <f t="shared" si="5"/>
        <v>1000</v>
      </c>
      <c r="N54" s="244" t="str">
        <f t="shared" si="6"/>
        <v>0</v>
      </c>
      <c r="P54" s="244">
        <f t="shared" si="0"/>
        <v>1</v>
      </c>
      <c r="Q54" s="266" t="s">
        <v>157</v>
      </c>
      <c r="R54" s="267" t="s">
        <v>156</v>
      </c>
      <c r="S54" s="266" t="s">
        <v>29</v>
      </c>
      <c r="T54" s="266">
        <v>8</v>
      </c>
      <c r="U54" s="266">
        <v>300</v>
      </c>
      <c r="V54" s="266" t="s">
        <v>31</v>
      </c>
      <c r="W54" s="266" t="s">
        <v>32</v>
      </c>
      <c r="X54" s="266"/>
      <c r="Y54" s="266" t="s">
        <v>7</v>
      </c>
      <c r="AA54" s="244" t="s">
        <v>171</v>
      </c>
      <c r="AB54" s="244" t="s">
        <v>172</v>
      </c>
      <c r="AC54" s="244" t="s">
        <v>29</v>
      </c>
      <c r="AD54" s="244">
        <v>32</v>
      </c>
      <c r="AE54" s="244">
        <v>1000</v>
      </c>
      <c r="AF54" s="244" t="s">
        <v>31</v>
      </c>
    </row>
    <row r="55" spans="1:32" ht="19.5" thickBot="1">
      <c r="A55" s="244" t="s">
        <v>7</v>
      </c>
      <c r="B55" s="244" t="s">
        <v>7</v>
      </c>
      <c r="C55" s="244" t="s">
        <v>173</v>
      </c>
      <c r="D55" s="244" t="s">
        <v>7560</v>
      </c>
      <c r="E55" s="244">
        <v>0</v>
      </c>
      <c r="F55" s="244">
        <v>481</v>
      </c>
      <c r="G55" s="244" t="s">
        <v>7</v>
      </c>
      <c r="H55" s="244" t="s">
        <v>7606</v>
      </c>
      <c r="I55" s="265" t="str">
        <f t="shared" si="1"/>
        <v>3D3</v>
      </c>
      <c r="J55" s="244" t="str">
        <f t="shared" si="2"/>
        <v>BDC1SE1</v>
      </c>
      <c r="K55" s="244" t="str">
        <f t="shared" si="3"/>
        <v>1</v>
      </c>
      <c r="L55" s="244">
        <f t="shared" si="4"/>
        <v>64</v>
      </c>
      <c r="M55" s="244">
        <f t="shared" si="5"/>
        <v>1000</v>
      </c>
      <c r="N55" s="244" t="str">
        <f t="shared" si="6"/>
        <v>1</v>
      </c>
      <c r="P55" s="244">
        <f t="shared" si="0"/>
        <v>1</v>
      </c>
      <c r="Q55" s="266" t="s">
        <v>161</v>
      </c>
      <c r="R55" s="267" t="s">
        <v>160</v>
      </c>
      <c r="S55" s="266" t="s">
        <v>29</v>
      </c>
      <c r="T55" s="266">
        <v>32</v>
      </c>
      <c r="U55" s="266">
        <v>300</v>
      </c>
      <c r="V55" s="266" t="s">
        <v>31</v>
      </c>
      <c r="W55" s="266" t="s">
        <v>32</v>
      </c>
      <c r="X55" s="266"/>
      <c r="Y55" s="266" t="s">
        <v>7</v>
      </c>
      <c r="AA55" s="244" t="s">
        <v>174</v>
      </c>
      <c r="AB55" s="244" t="s">
        <v>175</v>
      </c>
      <c r="AC55" s="244" t="s">
        <v>29</v>
      </c>
      <c r="AD55" s="244">
        <v>64</v>
      </c>
      <c r="AE55" s="244">
        <v>1000</v>
      </c>
      <c r="AF55" s="244" t="s">
        <v>29</v>
      </c>
    </row>
    <row r="56" spans="1:32" ht="19.5" thickBot="1">
      <c r="A56" s="244" t="s">
        <v>884</v>
      </c>
      <c r="B56" s="244">
        <v>61</v>
      </c>
      <c r="C56" s="244" t="s">
        <v>173</v>
      </c>
      <c r="D56" s="244" t="s">
        <v>44</v>
      </c>
      <c r="E56" s="244">
        <v>2</v>
      </c>
      <c r="F56" s="244">
        <v>481</v>
      </c>
      <c r="G56" s="244" t="s">
        <v>7</v>
      </c>
      <c r="H56" s="244" t="s">
        <v>7607</v>
      </c>
      <c r="I56" s="265" t="str">
        <f t="shared" si="1"/>
        <v>1D7</v>
      </c>
      <c r="J56" s="244" t="str">
        <f t="shared" si="2"/>
        <v>DDM1S17</v>
      </c>
      <c r="K56" s="244" t="str">
        <f t="shared" si="3"/>
        <v>1</v>
      </c>
      <c r="L56" s="244">
        <f t="shared" si="4"/>
        <v>32</v>
      </c>
      <c r="M56" s="244">
        <f t="shared" si="5"/>
        <v>300</v>
      </c>
      <c r="N56" s="244" t="str">
        <f t="shared" si="6"/>
        <v>0</v>
      </c>
      <c r="P56" s="244">
        <f t="shared" si="0"/>
        <v>1</v>
      </c>
      <c r="Q56" s="266" t="s">
        <v>176</v>
      </c>
      <c r="R56" s="267" t="s">
        <v>177</v>
      </c>
      <c r="S56" s="266" t="s">
        <v>29</v>
      </c>
      <c r="T56" s="266">
        <v>32</v>
      </c>
      <c r="U56" s="266">
        <v>300</v>
      </c>
      <c r="V56" s="266" t="s">
        <v>31</v>
      </c>
      <c r="W56" s="266" t="s">
        <v>32</v>
      </c>
      <c r="X56" s="266"/>
      <c r="Y56" s="266" t="s">
        <v>7</v>
      </c>
      <c r="AA56" s="244" t="s">
        <v>164</v>
      </c>
      <c r="AB56" s="244" t="s">
        <v>163</v>
      </c>
      <c r="AC56" s="244" t="s">
        <v>29</v>
      </c>
      <c r="AD56" s="244">
        <v>32</v>
      </c>
      <c r="AE56" s="244">
        <v>300</v>
      </c>
      <c r="AF56" s="244" t="s">
        <v>31</v>
      </c>
    </row>
    <row r="57" spans="1:32" ht="19.5" thickBot="1">
      <c r="A57" s="244" t="s">
        <v>7</v>
      </c>
      <c r="B57" s="244" t="s">
        <v>7</v>
      </c>
      <c r="C57" s="244" t="s">
        <v>178</v>
      </c>
      <c r="D57" s="244" t="s">
        <v>7560</v>
      </c>
      <c r="E57" s="244">
        <v>0</v>
      </c>
      <c r="F57" s="244">
        <v>490</v>
      </c>
      <c r="G57" s="244" t="s">
        <v>7</v>
      </c>
      <c r="H57" s="244" t="s">
        <v>7608</v>
      </c>
      <c r="I57" s="265" t="str">
        <f t="shared" si="1"/>
        <v>1D9</v>
      </c>
      <c r="J57" s="244" t="str">
        <f t="shared" si="2"/>
        <v>CMB1S03</v>
      </c>
      <c r="K57" s="244" t="str">
        <f t="shared" si="3"/>
        <v>1</v>
      </c>
      <c r="L57" s="244">
        <f t="shared" si="4"/>
        <v>8</v>
      </c>
      <c r="M57" s="244">
        <f t="shared" si="5"/>
        <v>300</v>
      </c>
      <c r="N57" s="244" t="str">
        <f t="shared" si="6"/>
        <v>0</v>
      </c>
      <c r="P57" s="244">
        <f t="shared" si="0"/>
        <v>1</v>
      </c>
      <c r="Q57" s="266" t="s">
        <v>179</v>
      </c>
      <c r="R57" s="267" t="s">
        <v>180</v>
      </c>
      <c r="S57" s="266" t="s">
        <v>29</v>
      </c>
      <c r="T57" s="266">
        <v>32</v>
      </c>
      <c r="U57" s="266">
        <v>300</v>
      </c>
      <c r="V57" s="266" t="s">
        <v>29</v>
      </c>
      <c r="W57" s="266" t="s">
        <v>32</v>
      </c>
      <c r="X57" s="266"/>
      <c r="Y57" s="266" t="s">
        <v>7</v>
      </c>
      <c r="AA57" s="244" t="s">
        <v>167</v>
      </c>
      <c r="AB57" s="244" t="s">
        <v>166</v>
      </c>
      <c r="AC57" s="244" t="s">
        <v>29</v>
      </c>
      <c r="AD57" s="244">
        <v>8</v>
      </c>
      <c r="AE57" s="244">
        <v>300</v>
      </c>
      <c r="AF57" s="244" t="s">
        <v>31</v>
      </c>
    </row>
    <row r="58" spans="1:32" ht="19.5" thickBot="1">
      <c r="A58" s="244" t="s">
        <v>941</v>
      </c>
      <c r="B58" s="244">
        <v>116</v>
      </c>
      <c r="C58" s="244" t="s">
        <v>178</v>
      </c>
      <c r="D58" s="244" t="s">
        <v>94</v>
      </c>
      <c r="E58" s="244">
        <v>16</v>
      </c>
      <c r="F58" s="244">
        <v>490</v>
      </c>
      <c r="G58" s="244" t="s">
        <v>7</v>
      </c>
      <c r="H58" s="244" t="s">
        <v>7609</v>
      </c>
      <c r="I58" s="265" t="str">
        <f t="shared" si="1"/>
        <v>1DD</v>
      </c>
      <c r="J58" s="244" t="str">
        <f t="shared" si="2"/>
        <v>ARS1S90</v>
      </c>
      <c r="K58" s="244" t="str">
        <f t="shared" si="3"/>
        <v>1</v>
      </c>
      <c r="L58" s="244">
        <f t="shared" si="4"/>
        <v>8</v>
      </c>
      <c r="M58" s="244">
        <f t="shared" si="5"/>
        <v>300</v>
      </c>
      <c r="N58" s="244" t="str">
        <f t="shared" si="6"/>
        <v>0</v>
      </c>
      <c r="P58" s="244">
        <f t="shared" si="0"/>
        <v>1</v>
      </c>
      <c r="Q58" s="266" t="s">
        <v>181</v>
      </c>
      <c r="R58" s="267" t="s">
        <v>182</v>
      </c>
      <c r="S58" s="266" t="s">
        <v>29</v>
      </c>
      <c r="T58" s="266">
        <v>8</v>
      </c>
      <c r="U58" s="266">
        <v>500</v>
      </c>
      <c r="V58" s="266" t="s">
        <v>31</v>
      </c>
      <c r="W58" s="266" t="s">
        <v>32</v>
      </c>
      <c r="X58" s="266"/>
      <c r="Y58" s="266" t="s">
        <v>7</v>
      </c>
      <c r="AA58" s="244" t="s">
        <v>170</v>
      </c>
      <c r="AB58" s="244" t="s">
        <v>169</v>
      </c>
      <c r="AC58" s="244" t="s">
        <v>29</v>
      </c>
      <c r="AD58" s="244">
        <v>8</v>
      </c>
      <c r="AE58" s="244">
        <v>300</v>
      </c>
      <c r="AF58" s="244" t="s">
        <v>31</v>
      </c>
    </row>
    <row r="59" spans="1:32" ht="19.5" thickBot="1">
      <c r="A59" s="244" t="s">
        <v>962</v>
      </c>
      <c r="B59" s="244">
        <v>137</v>
      </c>
      <c r="C59" s="244" t="s">
        <v>183</v>
      </c>
      <c r="D59" s="244" t="s">
        <v>7560</v>
      </c>
      <c r="E59" s="244">
        <v>0</v>
      </c>
      <c r="F59" s="244">
        <v>491</v>
      </c>
      <c r="G59" s="244" t="s">
        <v>7</v>
      </c>
      <c r="H59" s="244" t="s">
        <v>7610</v>
      </c>
      <c r="I59" s="265" t="str">
        <f t="shared" si="1"/>
        <v>1E1</v>
      </c>
      <c r="J59" s="244" t="str">
        <f t="shared" si="2"/>
        <v>ZN21S05</v>
      </c>
      <c r="K59" s="244" t="str">
        <f t="shared" si="3"/>
        <v>1</v>
      </c>
      <c r="L59" s="244">
        <f t="shared" si="4"/>
        <v>32</v>
      </c>
      <c r="M59" s="244">
        <f t="shared" si="5"/>
        <v>300</v>
      </c>
      <c r="N59" s="244" t="str">
        <f t="shared" si="6"/>
        <v>0</v>
      </c>
      <c r="P59" s="244">
        <f t="shared" si="0"/>
        <v>1</v>
      </c>
      <c r="Q59" s="266" t="s">
        <v>184</v>
      </c>
      <c r="R59" s="267" t="s">
        <v>185</v>
      </c>
      <c r="S59" s="266" t="s">
        <v>29</v>
      </c>
      <c r="T59" s="266">
        <v>8</v>
      </c>
      <c r="U59" s="266">
        <v>500</v>
      </c>
      <c r="V59" s="266" t="s">
        <v>31</v>
      </c>
      <c r="W59" s="266" t="s">
        <v>32</v>
      </c>
      <c r="X59" s="266"/>
      <c r="Y59" s="266" t="s">
        <v>7</v>
      </c>
      <c r="AA59" s="244" t="s">
        <v>177</v>
      </c>
      <c r="AB59" s="244" t="s">
        <v>176</v>
      </c>
      <c r="AC59" s="244" t="s">
        <v>29</v>
      </c>
      <c r="AD59" s="244">
        <v>32</v>
      </c>
      <c r="AE59" s="244">
        <v>300</v>
      </c>
      <c r="AF59" s="244" t="s">
        <v>31</v>
      </c>
    </row>
    <row r="60" spans="1:32" ht="19.5" thickBot="1">
      <c r="A60" s="244" t="s">
        <v>858</v>
      </c>
      <c r="B60" s="244">
        <v>35</v>
      </c>
      <c r="C60" s="244" t="s">
        <v>186</v>
      </c>
      <c r="D60" s="244" t="s">
        <v>7560</v>
      </c>
      <c r="E60" s="244">
        <v>0</v>
      </c>
      <c r="F60" s="244">
        <v>500</v>
      </c>
      <c r="G60" s="244" t="s">
        <v>7</v>
      </c>
      <c r="H60" s="244" t="s">
        <v>7611</v>
      </c>
      <c r="I60" s="265" t="str">
        <f t="shared" si="1"/>
        <v>1E3</v>
      </c>
      <c r="J60" s="244" t="str">
        <f t="shared" si="2"/>
        <v>BDC1S81</v>
      </c>
      <c r="K60" s="244" t="str">
        <f t="shared" si="3"/>
        <v>1</v>
      </c>
      <c r="L60" s="244">
        <f t="shared" si="4"/>
        <v>32</v>
      </c>
      <c r="M60" s="244">
        <f t="shared" si="5"/>
        <v>300</v>
      </c>
      <c r="N60" s="244" t="str">
        <f t="shared" si="6"/>
        <v>1</v>
      </c>
      <c r="P60" s="244">
        <f t="shared" si="0"/>
        <v>1</v>
      </c>
      <c r="Q60" s="266" t="s">
        <v>187</v>
      </c>
      <c r="R60" s="267" t="s">
        <v>188</v>
      </c>
      <c r="S60" s="266" t="s">
        <v>29</v>
      </c>
      <c r="T60" s="266">
        <v>8</v>
      </c>
      <c r="U60" s="266">
        <v>500</v>
      </c>
      <c r="V60" s="266" t="s">
        <v>31</v>
      </c>
      <c r="W60" s="266" t="s">
        <v>32</v>
      </c>
      <c r="X60" s="266"/>
      <c r="Y60" s="266" t="s">
        <v>7</v>
      </c>
      <c r="AA60" s="244" t="s">
        <v>180</v>
      </c>
      <c r="AB60" s="244" t="s">
        <v>179</v>
      </c>
      <c r="AC60" s="244" t="s">
        <v>29</v>
      </c>
      <c r="AD60" s="244">
        <v>32</v>
      </c>
      <c r="AE60" s="244">
        <v>300</v>
      </c>
      <c r="AF60" s="244" t="s">
        <v>29</v>
      </c>
    </row>
    <row r="61" spans="1:32" ht="19.5" thickBot="1">
      <c r="A61" s="244" t="s">
        <v>7</v>
      </c>
      <c r="B61" s="244" t="s">
        <v>7</v>
      </c>
      <c r="C61" s="244" t="s">
        <v>189</v>
      </c>
      <c r="D61" s="244" t="s">
        <v>7560</v>
      </c>
      <c r="E61" s="244">
        <v>0</v>
      </c>
      <c r="F61" s="244">
        <v>514</v>
      </c>
      <c r="G61" s="244" t="s">
        <v>7</v>
      </c>
      <c r="H61" s="244" t="s">
        <v>189</v>
      </c>
      <c r="I61" s="265" t="str">
        <f t="shared" si="1"/>
        <v>1EA</v>
      </c>
      <c r="J61" s="244" t="str">
        <f t="shared" si="2"/>
        <v>SOL1S05</v>
      </c>
      <c r="K61" s="244" t="str">
        <f t="shared" si="3"/>
        <v>1</v>
      </c>
      <c r="L61" s="244">
        <f t="shared" si="4"/>
        <v>8</v>
      </c>
      <c r="M61" s="244">
        <f t="shared" si="5"/>
        <v>500</v>
      </c>
      <c r="N61" s="244" t="str">
        <f t="shared" si="6"/>
        <v>0</v>
      </c>
      <c r="P61" s="244">
        <f t="shared" si="0"/>
        <v>1</v>
      </c>
      <c r="Q61" s="266" t="s">
        <v>190</v>
      </c>
      <c r="R61" s="267" t="s">
        <v>191</v>
      </c>
      <c r="S61" s="266" t="s">
        <v>29</v>
      </c>
      <c r="T61" s="266">
        <v>8</v>
      </c>
      <c r="U61" s="266">
        <v>500</v>
      </c>
      <c r="V61" s="266" t="s">
        <v>31</v>
      </c>
      <c r="W61" s="266" t="s">
        <v>32</v>
      </c>
      <c r="X61" s="266"/>
      <c r="Y61" s="266" t="s">
        <v>7</v>
      </c>
      <c r="AA61" s="244" t="s">
        <v>182</v>
      </c>
      <c r="AB61" s="244" t="s">
        <v>181</v>
      </c>
      <c r="AC61" s="244" t="s">
        <v>29</v>
      </c>
      <c r="AD61" s="244">
        <v>8</v>
      </c>
      <c r="AE61" s="244">
        <v>500</v>
      </c>
      <c r="AF61" s="244" t="s">
        <v>31</v>
      </c>
    </row>
    <row r="62" spans="1:32" ht="19.5" thickBot="1">
      <c r="A62" s="244" t="s">
        <v>916</v>
      </c>
      <c r="B62" s="244">
        <v>92</v>
      </c>
      <c r="C62" s="244" t="s">
        <v>189</v>
      </c>
      <c r="D62" s="244" t="s">
        <v>62</v>
      </c>
      <c r="E62" s="244">
        <v>1024</v>
      </c>
      <c r="F62" s="244">
        <v>514</v>
      </c>
      <c r="G62" s="244" t="s">
        <v>7</v>
      </c>
      <c r="H62" s="244" t="s">
        <v>7612</v>
      </c>
      <c r="I62" s="265" t="str">
        <f t="shared" si="1"/>
        <v>1FA</v>
      </c>
      <c r="J62" s="244" t="str">
        <f t="shared" si="2"/>
        <v>EHV1S96</v>
      </c>
      <c r="K62" s="244" t="str">
        <f t="shared" si="3"/>
        <v>1</v>
      </c>
      <c r="L62" s="244">
        <f t="shared" si="4"/>
        <v>8</v>
      </c>
      <c r="M62" s="244">
        <f t="shared" si="5"/>
        <v>500</v>
      </c>
      <c r="N62" s="244" t="str">
        <f t="shared" si="6"/>
        <v>0</v>
      </c>
      <c r="P62" s="244">
        <f t="shared" si="0"/>
        <v>1</v>
      </c>
      <c r="Q62" s="266" t="s">
        <v>192</v>
      </c>
      <c r="R62" s="267" t="s">
        <v>193</v>
      </c>
      <c r="S62" s="266" t="s">
        <v>29</v>
      </c>
      <c r="T62" s="266">
        <v>32</v>
      </c>
      <c r="U62" s="266">
        <v>1000</v>
      </c>
      <c r="V62" s="266" t="s">
        <v>31</v>
      </c>
      <c r="W62" s="266" t="s">
        <v>32</v>
      </c>
      <c r="X62" s="266"/>
      <c r="Y62" s="266" t="s">
        <v>7</v>
      </c>
      <c r="AA62" s="244" t="s">
        <v>191</v>
      </c>
      <c r="AB62" s="244" t="s">
        <v>190</v>
      </c>
      <c r="AC62" s="244" t="s">
        <v>29</v>
      </c>
      <c r="AD62" s="244">
        <v>8</v>
      </c>
      <c r="AE62" s="244">
        <v>500</v>
      </c>
      <c r="AF62" s="244" t="s">
        <v>31</v>
      </c>
    </row>
    <row r="63" spans="1:32" ht="19.5" thickBot="1">
      <c r="A63" s="244" t="s">
        <v>7</v>
      </c>
      <c r="B63" s="244" t="s">
        <v>7</v>
      </c>
      <c r="C63" s="244" t="s">
        <v>194</v>
      </c>
      <c r="D63" s="244" t="s">
        <v>7560</v>
      </c>
      <c r="E63" s="244">
        <v>0</v>
      </c>
      <c r="F63" s="244">
        <v>516</v>
      </c>
      <c r="G63" s="244" t="s">
        <v>7</v>
      </c>
      <c r="H63" s="244" t="s">
        <v>194</v>
      </c>
      <c r="I63" s="265" t="str">
        <f t="shared" si="1"/>
        <v>1EB</v>
      </c>
      <c r="J63" s="244" t="str">
        <f t="shared" si="2"/>
        <v>SOL1S04</v>
      </c>
      <c r="K63" s="244" t="str">
        <f t="shared" si="3"/>
        <v>1</v>
      </c>
      <c r="L63" s="244">
        <f t="shared" si="4"/>
        <v>8</v>
      </c>
      <c r="M63" s="244">
        <f t="shared" si="5"/>
        <v>500</v>
      </c>
      <c r="N63" s="244" t="str">
        <f t="shared" si="6"/>
        <v>0</v>
      </c>
      <c r="P63" s="244">
        <f t="shared" si="0"/>
        <v>1</v>
      </c>
      <c r="Q63" s="266" t="s">
        <v>195</v>
      </c>
      <c r="R63" s="267" t="s">
        <v>196</v>
      </c>
      <c r="S63" s="266" t="s">
        <v>29</v>
      </c>
      <c r="T63" s="266">
        <v>32</v>
      </c>
      <c r="U63" s="266">
        <v>1000</v>
      </c>
      <c r="V63" s="266" t="s">
        <v>31</v>
      </c>
      <c r="W63" s="266" t="s">
        <v>32</v>
      </c>
      <c r="X63" s="266"/>
      <c r="Y63" s="266" t="s">
        <v>7</v>
      </c>
      <c r="AA63" s="244" t="s">
        <v>185</v>
      </c>
      <c r="AB63" s="244" t="s">
        <v>184</v>
      </c>
      <c r="AC63" s="244" t="s">
        <v>29</v>
      </c>
      <c r="AD63" s="244">
        <v>8</v>
      </c>
      <c r="AE63" s="244">
        <v>500</v>
      </c>
      <c r="AF63" s="244" t="s">
        <v>31</v>
      </c>
    </row>
    <row r="64" spans="1:32" ht="19.5" thickBot="1">
      <c r="A64" s="244" t="s">
        <v>852</v>
      </c>
      <c r="B64" s="244">
        <v>29</v>
      </c>
      <c r="C64" s="244" t="s">
        <v>194</v>
      </c>
      <c r="D64" s="244" t="s">
        <v>94</v>
      </c>
      <c r="E64" s="244">
        <v>16</v>
      </c>
      <c r="F64" s="244">
        <v>516</v>
      </c>
      <c r="G64" s="244" t="s">
        <v>7</v>
      </c>
      <c r="H64" s="244" t="s">
        <v>7613</v>
      </c>
      <c r="I64" s="265" t="str">
        <f t="shared" si="1"/>
        <v>1F4</v>
      </c>
      <c r="J64" s="244" t="str">
        <f t="shared" si="2"/>
        <v>BDB1F03</v>
      </c>
      <c r="K64" s="244" t="str">
        <f t="shared" si="3"/>
        <v>1</v>
      </c>
      <c r="L64" s="244">
        <f t="shared" si="4"/>
        <v>8</v>
      </c>
      <c r="M64" s="244">
        <f t="shared" si="5"/>
        <v>500</v>
      </c>
      <c r="N64" s="244" t="str">
        <f t="shared" si="6"/>
        <v>0</v>
      </c>
      <c r="P64" s="244">
        <f t="shared" si="0"/>
        <v>1</v>
      </c>
      <c r="Q64" s="266" t="s">
        <v>197</v>
      </c>
      <c r="R64" s="267" t="s">
        <v>198</v>
      </c>
      <c r="S64" s="266" t="s">
        <v>29</v>
      </c>
      <c r="T64" s="266">
        <v>32</v>
      </c>
      <c r="U64" s="266">
        <v>1000</v>
      </c>
      <c r="V64" s="266" t="s">
        <v>31</v>
      </c>
      <c r="W64" s="266" t="s">
        <v>32</v>
      </c>
      <c r="X64" s="266"/>
      <c r="Y64" s="266" t="s">
        <v>7</v>
      </c>
      <c r="AA64" s="244" t="s">
        <v>188</v>
      </c>
      <c r="AB64" s="244" t="s">
        <v>187</v>
      </c>
      <c r="AC64" s="244" t="s">
        <v>29</v>
      </c>
      <c r="AD64" s="244">
        <v>8</v>
      </c>
      <c r="AE64" s="244">
        <v>500</v>
      </c>
      <c r="AF64" s="244" t="s">
        <v>31</v>
      </c>
    </row>
    <row r="65" spans="1:32" ht="19.5" thickBot="1">
      <c r="A65" s="244" t="s">
        <v>845</v>
      </c>
      <c r="B65" s="244">
        <v>23</v>
      </c>
      <c r="C65" s="244" t="s">
        <v>199</v>
      </c>
      <c r="D65" s="244" t="s">
        <v>7560</v>
      </c>
      <c r="E65" s="244">
        <v>0</v>
      </c>
      <c r="F65" s="244">
        <v>519</v>
      </c>
      <c r="G65" s="244" t="s">
        <v>7</v>
      </c>
      <c r="H65" s="244" t="s">
        <v>199</v>
      </c>
      <c r="I65" s="265" t="str">
        <f t="shared" si="1"/>
        <v>202</v>
      </c>
      <c r="J65" s="244" t="str">
        <f t="shared" si="2"/>
        <v>EHV2G70</v>
      </c>
      <c r="K65" s="244" t="str">
        <f t="shared" si="3"/>
        <v>1</v>
      </c>
      <c r="L65" s="244">
        <f t="shared" si="4"/>
        <v>32</v>
      </c>
      <c r="M65" s="244">
        <f t="shared" si="5"/>
        <v>1000</v>
      </c>
      <c r="N65" s="244" t="str">
        <f t="shared" si="6"/>
        <v>0</v>
      </c>
      <c r="P65" s="244">
        <f t="shared" si="0"/>
        <v>1</v>
      </c>
      <c r="Q65" s="266" t="s">
        <v>200</v>
      </c>
      <c r="R65" s="267" t="s">
        <v>201</v>
      </c>
      <c r="S65" s="266" t="s">
        <v>29</v>
      </c>
      <c r="T65" s="266">
        <v>32</v>
      </c>
      <c r="U65" s="266">
        <v>1000</v>
      </c>
      <c r="V65" s="266" t="s">
        <v>31</v>
      </c>
      <c r="W65" s="266" t="s">
        <v>32</v>
      </c>
      <c r="X65" s="266"/>
      <c r="Y65" s="266" t="s">
        <v>7</v>
      </c>
      <c r="AA65" s="244" t="s">
        <v>193</v>
      </c>
      <c r="AB65" s="244" t="s">
        <v>192</v>
      </c>
      <c r="AC65" s="244" t="s">
        <v>29</v>
      </c>
      <c r="AD65" s="244">
        <v>32</v>
      </c>
      <c r="AE65" s="244">
        <v>1000</v>
      </c>
      <c r="AF65" s="244" t="s">
        <v>31</v>
      </c>
    </row>
    <row r="66" spans="1:32" ht="19.5" thickBot="1">
      <c r="A66" s="244" t="s">
        <v>846</v>
      </c>
      <c r="B66" s="244">
        <v>24</v>
      </c>
      <c r="C66" s="244" t="s">
        <v>202</v>
      </c>
      <c r="D66" s="244" t="s">
        <v>7560</v>
      </c>
      <c r="E66" s="244">
        <v>0</v>
      </c>
      <c r="F66" s="244">
        <v>523</v>
      </c>
      <c r="G66" s="244" t="s">
        <v>7</v>
      </c>
      <c r="H66" s="244" t="s">
        <v>7614</v>
      </c>
      <c r="I66" s="265" t="str">
        <f t="shared" si="1"/>
        <v>602</v>
      </c>
      <c r="J66" s="244" t="str">
        <f t="shared" si="2"/>
        <v>BDC1SV2</v>
      </c>
      <c r="K66" s="244" t="str">
        <f t="shared" si="3"/>
        <v>1</v>
      </c>
      <c r="L66" s="244">
        <f t="shared" si="4"/>
        <v>32</v>
      </c>
      <c r="M66" s="244">
        <f t="shared" si="5"/>
        <v>1000</v>
      </c>
      <c r="N66" s="244" t="str">
        <f t="shared" si="6"/>
        <v>0</v>
      </c>
      <c r="P66" s="244">
        <f t="shared" si="0"/>
        <v>1</v>
      </c>
      <c r="Q66" s="266" t="s">
        <v>203</v>
      </c>
      <c r="R66" s="267" t="s">
        <v>204</v>
      </c>
      <c r="S66" s="266" t="s">
        <v>29</v>
      </c>
      <c r="T66" s="266">
        <v>32</v>
      </c>
      <c r="U66" s="266">
        <v>1000</v>
      </c>
      <c r="V66" s="266" t="s">
        <v>31</v>
      </c>
      <c r="W66" s="266" t="s">
        <v>32</v>
      </c>
      <c r="X66" s="266"/>
      <c r="Y66" s="266" t="s">
        <v>7</v>
      </c>
      <c r="AA66" s="244" t="s">
        <v>205</v>
      </c>
      <c r="AB66" s="244" t="s">
        <v>206</v>
      </c>
      <c r="AC66" s="244" t="s">
        <v>29</v>
      </c>
      <c r="AD66" s="244">
        <v>32</v>
      </c>
      <c r="AE66" s="244">
        <v>1000</v>
      </c>
      <c r="AF66" s="244" t="s">
        <v>31</v>
      </c>
    </row>
    <row r="67" spans="1:32" ht="19.5" thickBot="1">
      <c r="A67" s="244" t="s">
        <v>850</v>
      </c>
      <c r="B67" s="244">
        <v>27</v>
      </c>
      <c r="C67" s="244" t="s">
        <v>207</v>
      </c>
      <c r="D67" s="244" t="s">
        <v>7560</v>
      </c>
      <c r="E67" s="244">
        <v>0</v>
      </c>
      <c r="F67" s="244">
        <v>526</v>
      </c>
      <c r="G67" s="244" t="s">
        <v>7</v>
      </c>
      <c r="H67" s="244" t="s">
        <v>7615</v>
      </c>
      <c r="I67" s="265" t="str">
        <f t="shared" si="1"/>
        <v>204</v>
      </c>
      <c r="J67" s="244" t="str">
        <f t="shared" si="2"/>
        <v>PLG1S21</v>
      </c>
      <c r="K67" s="244" t="str">
        <f t="shared" si="3"/>
        <v>1</v>
      </c>
      <c r="L67" s="244">
        <f t="shared" si="4"/>
        <v>32</v>
      </c>
      <c r="M67" s="244">
        <f t="shared" si="5"/>
        <v>1000</v>
      </c>
      <c r="N67" s="244" t="str">
        <f t="shared" si="6"/>
        <v>0</v>
      </c>
      <c r="P67" s="244">
        <f t="shared" si="0"/>
        <v>1</v>
      </c>
      <c r="Q67" s="268" t="s">
        <v>208</v>
      </c>
      <c r="R67" s="269" t="s">
        <v>209</v>
      </c>
      <c r="S67" s="268" t="s">
        <v>29</v>
      </c>
      <c r="T67" s="268">
        <v>32</v>
      </c>
      <c r="U67" s="268">
        <v>1000</v>
      </c>
      <c r="V67" s="268" t="s">
        <v>31</v>
      </c>
      <c r="W67" s="266" t="s">
        <v>32</v>
      </c>
      <c r="X67" s="266"/>
      <c r="Y67" s="266" t="s">
        <v>7</v>
      </c>
      <c r="AA67" s="244" t="s">
        <v>196</v>
      </c>
      <c r="AB67" s="244" t="s">
        <v>195</v>
      </c>
      <c r="AC67" s="244" t="s">
        <v>29</v>
      </c>
      <c r="AD67" s="244">
        <v>32</v>
      </c>
      <c r="AE67" s="244">
        <v>1000</v>
      </c>
      <c r="AF67" s="244" t="s">
        <v>31</v>
      </c>
    </row>
    <row r="68" spans="1:32" ht="19.5" thickBot="1">
      <c r="A68" s="244" t="s">
        <v>921</v>
      </c>
      <c r="B68" s="244">
        <v>97</v>
      </c>
      <c r="C68" s="244" t="s">
        <v>210</v>
      </c>
      <c r="D68" s="244" t="s">
        <v>7560</v>
      </c>
      <c r="E68" s="244">
        <v>0</v>
      </c>
      <c r="F68" s="244">
        <v>565</v>
      </c>
      <c r="G68" s="244" t="s">
        <v>7</v>
      </c>
      <c r="H68" s="244" t="s">
        <v>210</v>
      </c>
      <c r="I68" s="265" t="str">
        <f t="shared" si="1"/>
        <v>214</v>
      </c>
      <c r="J68" s="244" t="str">
        <f t="shared" si="2"/>
        <v>BAT1E41</v>
      </c>
      <c r="K68" s="244" t="str">
        <f t="shared" si="3"/>
        <v>1</v>
      </c>
      <c r="L68" s="244">
        <f t="shared" si="4"/>
        <v>32</v>
      </c>
      <c r="M68" s="244">
        <f t="shared" si="5"/>
        <v>1000</v>
      </c>
      <c r="N68" s="244" t="str">
        <f t="shared" si="6"/>
        <v>0</v>
      </c>
      <c r="P68" s="244">
        <f t="shared" si="0"/>
        <v>1</v>
      </c>
      <c r="Q68" s="266" t="s">
        <v>211</v>
      </c>
      <c r="R68" s="267" t="s">
        <v>212</v>
      </c>
      <c r="S68" s="266" t="s">
        <v>29</v>
      </c>
      <c r="T68" s="266">
        <v>8</v>
      </c>
      <c r="U68" s="266">
        <v>1000</v>
      </c>
      <c r="V68" s="266" t="s">
        <v>31</v>
      </c>
      <c r="W68" s="266" t="s">
        <v>32</v>
      </c>
      <c r="X68" s="266"/>
      <c r="Y68" s="266" t="s">
        <v>7</v>
      </c>
      <c r="AA68" s="244" t="s">
        <v>209</v>
      </c>
      <c r="AB68" s="244" t="s">
        <v>208</v>
      </c>
      <c r="AC68" s="244" t="s">
        <v>29</v>
      </c>
      <c r="AD68" s="244">
        <v>32</v>
      </c>
      <c r="AE68" s="244">
        <v>1000</v>
      </c>
      <c r="AF68" s="244" t="s">
        <v>31</v>
      </c>
    </row>
    <row r="69" spans="1:32" ht="19.5" thickBot="1">
      <c r="A69" s="244" t="s">
        <v>7</v>
      </c>
      <c r="B69" s="244" t="s">
        <v>7</v>
      </c>
      <c r="C69" s="244" t="s">
        <v>213</v>
      </c>
      <c r="D69" s="244" t="s">
        <v>7560</v>
      </c>
      <c r="E69" s="244">
        <v>0</v>
      </c>
      <c r="F69" s="244">
        <v>593</v>
      </c>
      <c r="G69" s="244" t="s">
        <v>7</v>
      </c>
      <c r="H69" s="244" t="s">
        <v>213</v>
      </c>
      <c r="I69" s="265" t="str">
        <f t="shared" si="1"/>
        <v>207</v>
      </c>
      <c r="J69" s="244" t="str">
        <f t="shared" si="2"/>
        <v>ADC1S13</v>
      </c>
      <c r="K69" s="244" t="str">
        <f t="shared" si="3"/>
        <v>1</v>
      </c>
      <c r="L69" s="244">
        <f t="shared" si="4"/>
        <v>32</v>
      </c>
      <c r="M69" s="244">
        <f t="shared" si="5"/>
        <v>1000</v>
      </c>
      <c r="N69" s="244" t="str">
        <f t="shared" si="6"/>
        <v>0</v>
      </c>
      <c r="P69" s="244">
        <f t="shared" si="0"/>
        <v>1</v>
      </c>
      <c r="Q69" s="266" t="s">
        <v>214</v>
      </c>
      <c r="R69" s="267" t="s">
        <v>215</v>
      </c>
      <c r="S69" s="266" t="s">
        <v>29</v>
      </c>
      <c r="T69" s="266">
        <v>8</v>
      </c>
      <c r="U69" s="266">
        <v>1000</v>
      </c>
      <c r="V69" s="266" t="s">
        <v>31</v>
      </c>
      <c r="W69" s="266" t="s">
        <v>32</v>
      </c>
      <c r="X69" s="266"/>
      <c r="Y69" s="266" t="s">
        <v>7</v>
      </c>
      <c r="AA69" s="244" t="s">
        <v>198</v>
      </c>
      <c r="AB69" s="244" t="s">
        <v>197</v>
      </c>
      <c r="AC69" s="244" t="s">
        <v>29</v>
      </c>
      <c r="AD69" s="244">
        <v>32</v>
      </c>
      <c r="AE69" s="244">
        <v>1000</v>
      </c>
      <c r="AF69" s="244" t="s">
        <v>31</v>
      </c>
    </row>
    <row r="70" spans="1:32" ht="19.5" thickBot="1">
      <c r="A70" s="244" t="s">
        <v>842</v>
      </c>
      <c r="B70" s="244">
        <v>20</v>
      </c>
      <c r="C70" s="244" t="s">
        <v>213</v>
      </c>
      <c r="D70" s="244" t="s">
        <v>102</v>
      </c>
      <c r="E70" s="244">
        <v>4</v>
      </c>
      <c r="F70" s="244">
        <v>593</v>
      </c>
      <c r="G70" s="244" t="s">
        <v>7</v>
      </c>
      <c r="H70" s="244" t="s">
        <v>7616</v>
      </c>
      <c r="I70" s="265" t="str">
        <f t="shared" si="1"/>
        <v>20B</v>
      </c>
      <c r="J70" s="244" t="str">
        <f t="shared" si="2"/>
        <v>ADC1S23</v>
      </c>
      <c r="K70" s="244" t="str">
        <f t="shared" si="3"/>
        <v>1</v>
      </c>
      <c r="L70" s="244">
        <f t="shared" si="4"/>
        <v>32</v>
      </c>
      <c r="M70" s="244">
        <f t="shared" si="5"/>
        <v>1000</v>
      </c>
      <c r="N70" s="244" t="str">
        <f t="shared" si="6"/>
        <v>0</v>
      </c>
      <c r="P70" s="244">
        <f t="shared" ref="P70:P133" si="7">COUNTIF($J$6:$J$278,R70)</f>
        <v>1</v>
      </c>
      <c r="Q70" s="266" t="s">
        <v>216</v>
      </c>
      <c r="R70" s="267" t="s">
        <v>217</v>
      </c>
      <c r="S70" s="266" t="s">
        <v>29</v>
      </c>
      <c r="T70" s="266">
        <v>32</v>
      </c>
      <c r="U70" s="266">
        <v>1000</v>
      </c>
      <c r="V70" s="266" t="s">
        <v>31</v>
      </c>
      <c r="W70" s="266" t="s">
        <v>32</v>
      </c>
      <c r="X70" s="266"/>
      <c r="Y70" s="266" t="s">
        <v>7</v>
      </c>
      <c r="AA70" s="244" t="s">
        <v>201</v>
      </c>
      <c r="AB70" s="244" t="s">
        <v>200</v>
      </c>
      <c r="AC70" s="244" t="s">
        <v>29</v>
      </c>
      <c r="AD70" s="244">
        <v>32</v>
      </c>
      <c r="AE70" s="244">
        <v>1000</v>
      </c>
      <c r="AF70" s="244" t="s">
        <v>31</v>
      </c>
    </row>
    <row r="71" spans="1:32" ht="19.5" thickBot="1">
      <c r="A71" s="244" t="s">
        <v>7</v>
      </c>
      <c r="B71" s="244" t="s">
        <v>7</v>
      </c>
      <c r="C71" s="244" t="s">
        <v>218</v>
      </c>
      <c r="D71" s="244" t="s">
        <v>7560</v>
      </c>
      <c r="E71" s="244">
        <v>0</v>
      </c>
      <c r="F71" s="244">
        <v>602</v>
      </c>
      <c r="G71" s="244" t="s">
        <v>7</v>
      </c>
      <c r="H71" s="244" t="s">
        <v>7617</v>
      </c>
      <c r="I71" s="265" t="str">
        <f t="shared" ref="I71:I134" si="8">UPPER(RIGHT(H67,3))</f>
        <v>20E</v>
      </c>
      <c r="J71" s="244" t="str">
        <f t="shared" ref="J71:J134" si="9">VLOOKUP($I71,$Q$6:$Y$278,2,FALSE)</f>
        <v>ADU1S07</v>
      </c>
      <c r="K71" s="244" t="str">
        <f t="shared" ref="K71:K134" si="10">VLOOKUP($I71,$Q$6:$Y$278,3,FALSE)</f>
        <v>1</v>
      </c>
      <c r="L71" s="244">
        <f t="shared" ref="L71:L134" si="11">VLOOKUP($I71,$Q$6:$Y$278,4,FALSE)</f>
        <v>32</v>
      </c>
      <c r="M71" s="244">
        <f t="shared" ref="M71:M134" si="12">VLOOKUP($I71,$Q$6:$Y$278,5,FALSE)</f>
        <v>1000</v>
      </c>
      <c r="N71" s="244" t="str">
        <f t="shared" ref="N71:N134" si="13">VLOOKUP($I71,$Q$6:$Y$278,6,FALSE)</f>
        <v>0</v>
      </c>
      <c r="P71" s="244">
        <f t="shared" si="7"/>
        <v>1</v>
      </c>
      <c r="Q71" s="266" t="s">
        <v>219</v>
      </c>
      <c r="R71" s="267" t="s">
        <v>220</v>
      </c>
      <c r="S71" s="266" t="s">
        <v>29</v>
      </c>
      <c r="T71" s="266">
        <v>8</v>
      </c>
      <c r="U71" s="266">
        <v>1000</v>
      </c>
      <c r="V71" s="266" t="s">
        <v>31</v>
      </c>
      <c r="W71" s="266" t="s">
        <v>32</v>
      </c>
      <c r="X71" s="266"/>
      <c r="Y71" s="266" t="s">
        <v>7</v>
      </c>
      <c r="AA71" s="244" t="s">
        <v>204</v>
      </c>
      <c r="AB71" s="244" t="s">
        <v>203</v>
      </c>
      <c r="AC71" s="244" t="s">
        <v>29</v>
      </c>
      <c r="AD71" s="244">
        <v>32</v>
      </c>
      <c r="AE71" s="244">
        <v>1000</v>
      </c>
      <c r="AF71" s="244" t="s">
        <v>31</v>
      </c>
    </row>
    <row r="72" spans="1:32" ht="19.5" thickBot="1">
      <c r="A72" s="244" t="s">
        <v>926</v>
      </c>
      <c r="B72" s="244">
        <v>102</v>
      </c>
      <c r="C72" s="244" t="s">
        <v>218</v>
      </c>
      <c r="D72" s="244" t="s">
        <v>71</v>
      </c>
      <c r="E72" s="244">
        <v>128</v>
      </c>
      <c r="F72" s="244">
        <v>602</v>
      </c>
      <c r="G72" s="244" t="s">
        <v>7</v>
      </c>
      <c r="H72" s="244" t="s">
        <v>7618</v>
      </c>
      <c r="I72" s="265" t="str">
        <f t="shared" si="8"/>
        <v>235</v>
      </c>
      <c r="J72" s="244" t="str">
        <f t="shared" si="9"/>
        <v>BSR1S02</v>
      </c>
      <c r="K72" s="244" t="str">
        <f t="shared" si="10"/>
        <v>1</v>
      </c>
      <c r="L72" s="244">
        <f t="shared" si="11"/>
        <v>8</v>
      </c>
      <c r="M72" s="244">
        <f t="shared" si="12"/>
        <v>1000</v>
      </c>
      <c r="N72" s="244" t="str">
        <f t="shared" si="13"/>
        <v>0</v>
      </c>
      <c r="P72" s="244">
        <f t="shared" si="7"/>
        <v>1</v>
      </c>
      <c r="Q72" s="266" t="s">
        <v>221</v>
      </c>
      <c r="R72" s="267" t="s">
        <v>222</v>
      </c>
      <c r="S72" s="266" t="s">
        <v>29</v>
      </c>
      <c r="T72" s="266">
        <v>8</v>
      </c>
      <c r="U72" s="266">
        <v>1000</v>
      </c>
      <c r="V72" s="266" t="s">
        <v>31</v>
      </c>
      <c r="W72" s="266" t="s">
        <v>32</v>
      </c>
      <c r="X72" s="266"/>
      <c r="Y72" s="266" t="s">
        <v>7</v>
      </c>
      <c r="AA72" s="244" t="s">
        <v>212</v>
      </c>
      <c r="AB72" s="244" t="s">
        <v>211</v>
      </c>
      <c r="AC72" s="244" t="s">
        <v>29</v>
      </c>
      <c r="AD72" s="244">
        <v>8</v>
      </c>
      <c r="AE72" s="244">
        <v>1000</v>
      </c>
      <c r="AF72" s="244" t="s">
        <v>31</v>
      </c>
    </row>
    <row r="73" spans="1:32" ht="19.5" thickBot="1">
      <c r="A73" s="244" t="s">
        <v>955</v>
      </c>
      <c r="B73" s="244">
        <v>130</v>
      </c>
      <c r="C73" s="244" t="s">
        <v>223</v>
      </c>
      <c r="D73" s="244" t="s">
        <v>7560</v>
      </c>
      <c r="E73" s="244">
        <v>0</v>
      </c>
      <c r="F73" s="244">
        <v>635</v>
      </c>
      <c r="G73" s="244" t="s">
        <v>7</v>
      </c>
      <c r="H73" s="244" t="s">
        <v>7619</v>
      </c>
      <c r="I73" s="265" t="str">
        <f t="shared" si="8"/>
        <v>251</v>
      </c>
      <c r="J73" s="244" t="str">
        <f t="shared" si="9"/>
        <v>FCM1S39</v>
      </c>
      <c r="K73" s="244" t="str">
        <f t="shared" si="10"/>
        <v>1</v>
      </c>
      <c r="L73" s="244">
        <f t="shared" si="11"/>
        <v>8</v>
      </c>
      <c r="M73" s="244">
        <f t="shared" si="12"/>
        <v>1000</v>
      </c>
      <c r="N73" s="244" t="str">
        <f t="shared" si="13"/>
        <v>0</v>
      </c>
      <c r="P73" s="244">
        <f t="shared" si="7"/>
        <v>1</v>
      </c>
      <c r="Q73" s="266" t="s">
        <v>225</v>
      </c>
      <c r="R73" s="267" t="s">
        <v>226</v>
      </c>
      <c r="S73" s="266" t="s">
        <v>29</v>
      </c>
      <c r="T73" s="266">
        <v>32</v>
      </c>
      <c r="U73" s="266">
        <v>1000</v>
      </c>
      <c r="V73" s="266" t="s">
        <v>31</v>
      </c>
      <c r="W73" s="266" t="s">
        <v>32</v>
      </c>
      <c r="X73" s="266"/>
      <c r="Y73" s="266" t="s">
        <v>7</v>
      </c>
      <c r="AA73" s="244" t="s">
        <v>215</v>
      </c>
      <c r="AB73" s="244" t="s">
        <v>214</v>
      </c>
      <c r="AC73" s="244" t="s">
        <v>29</v>
      </c>
      <c r="AD73" s="244">
        <v>8</v>
      </c>
      <c r="AE73" s="244">
        <v>1000</v>
      </c>
      <c r="AF73" s="244" t="s">
        <v>31</v>
      </c>
    </row>
    <row r="74" spans="1:32" ht="19.5" thickBot="1">
      <c r="A74" s="244" t="s">
        <v>7</v>
      </c>
      <c r="B74" s="244" t="s">
        <v>7</v>
      </c>
      <c r="C74" s="244" t="s">
        <v>224</v>
      </c>
      <c r="D74" s="244" t="s">
        <v>7560</v>
      </c>
      <c r="E74" s="244">
        <v>0</v>
      </c>
      <c r="F74" s="244">
        <v>642</v>
      </c>
      <c r="G74" s="244" t="s">
        <v>7</v>
      </c>
      <c r="H74" s="244" t="s">
        <v>224</v>
      </c>
      <c r="I74" s="265" t="str">
        <f t="shared" si="8"/>
        <v>255</v>
      </c>
      <c r="J74" s="244" t="str">
        <f t="shared" si="9"/>
        <v>ACN1S25</v>
      </c>
      <c r="K74" s="244" t="str">
        <f t="shared" si="10"/>
        <v>1</v>
      </c>
      <c r="L74" s="244">
        <f t="shared" si="11"/>
        <v>32</v>
      </c>
      <c r="M74" s="244">
        <f t="shared" si="12"/>
        <v>1000</v>
      </c>
      <c r="N74" s="244" t="str">
        <f t="shared" si="13"/>
        <v>0</v>
      </c>
      <c r="P74" s="244">
        <f t="shared" si="7"/>
        <v>1</v>
      </c>
      <c r="Q74" s="266" t="s">
        <v>227</v>
      </c>
      <c r="R74" s="267" t="s">
        <v>228</v>
      </c>
      <c r="S74" s="266" t="s">
        <v>29</v>
      </c>
      <c r="T74" s="266">
        <v>8</v>
      </c>
      <c r="U74" s="266">
        <v>1000</v>
      </c>
      <c r="V74" s="266" t="s">
        <v>31</v>
      </c>
      <c r="W74" s="266" t="s">
        <v>32</v>
      </c>
      <c r="X74" s="266"/>
      <c r="Y74" s="266" t="s">
        <v>7</v>
      </c>
      <c r="AA74" s="244" t="s">
        <v>217</v>
      </c>
      <c r="AB74" s="244" t="s">
        <v>216</v>
      </c>
      <c r="AC74" s="244" t="s">
        <v>29</v>
      </c>
      <c r="AD74" s="244">
        <v>32</v>
      </c>
      <c r="AE74" s="244">
        <v>1000</v>
      </c>
      <c r="AF74" s="244" t="s">
        <v>31</v>
      </c>
    </row>
    <row r="75" spans="1:32" ht="19.5" thickBot="1">
      <c r="A75" s="244" t="s">
        <v>838</v>
      </c>
      <c r="B75" s="244">
        <v>16</v>
      </c>
      <c r="C75" s="244" t="s">
        <v>224</v>
      </c>
      <c r="D75" s="244" t="s">
        <v>36</v>
      </c>
      <c r="E75" s="244">
        <v>256</v>
      </c>
      <c r="F75" s="244">
        <v>642</v>
      </c>
      <c r="G75" s="244" t="s">
        <v>7</v>
      </c>
      <c r="H75" s="244" t="s">
        <v>7620</v>
      </c>
      <c r="I75" s="265" t="str">
        <f t="shared" si="8"/>
        <v>25A</v>
      </c>
      <c r="J75" s="244" t="str">
        <f t="shared" si="9"/>
        <v>FCM1S70</v>
      </c>
      <c r="K75" s="244" t="str">
        <f t="shared" si="10"/>
        <v>1</v>
      </c>
      <c r="L75" s="244">
        <f t="shared" si="11"/>
        <v>8</v>
      </c>
      <c r="M75" s="244">
        <f t="shared" si="12"/>
        <v>1000</v>
      </c>
      <c r="N75" s="244" t="str">
        <f t="shared" si="13"/>
        <v>0</v>
      </c>
      <c r="P75" s="244">
        <f t="shared" si="7"/>
        <v>1</v>
      </c>
      <c r="Q75" s="266" t="s">
        <v>230</v>
      </c>
      <c r="R75" s="267" t="s">
        <v>231</v>
      </c>
      <c r="S75" s="266" t="s">
        <v>29</v>
      </c>
      <c r="T75" s="266">
        <v>32</v>
      </c>
      <c r="U75" s="266">
        <v>1000</v>
      </c>
      <c r="V75" s="266" t="s">
        <v>31</v>
      </c>
      <c r="W75" s="266" t="s">
        <v>32</v>
      </c>
      <c r="X75" s="266"/>
      <c r="Y75" s="266" t="s">
        <v>7</v>
      </c>
      <c r="AA75" s="244" t="s">
        <v>220</v>
      </c>
      <c r="AB75" s="244" t="s">
        <v>219</v>
      </c>
      <c r="AC75" s="244" t="s">
        <v>29</v>
      </c>
      <c r="AD75" s="244">
        <v>8</v>
      </c>
      <c r="AE75" s="244">
        <v>1000</v>
      </c>
      <c r="AF75" s="244" t="s">
        <v>31</v>
      </c>
    </row>
    <row r="76" spans="1:32" ht="19.5" thickBot="1">
      <c r="A76" s="244" t="s">
        <v>929</v>
      </c>
      <c r="B76" s="244">
        <v>105</v>
      </c>
      <c r="C76" s="244" t="s">
        <v>229</v>
      </c>
      <c r="D76" s="244" t="s">
        <v>7560</v>
      </c>
      <c r="E76" s="244">
        <v>0</v>
      </c>
      <c r="F76" s="244">
        <v>645</v>
      </c>
      <c r="G76" s="244" t="s">
        <v>7</v>
      </c>
      <c r="H76" s="244" t="s">
        <v>229</v>
      </c>
      <c r="I76" s="265" t="str">
        <f t="shared" si="8"/>
        <v>2DA</v>
      </c>
      <c r="J76" s="244" t="str">
        <f t="shared" si="9"/>
        <v>DDM1S20</v>
      </c>
      <c r="K76" s="244" t="str">
        <f t="shared" si="10"/>
        <v>1</v>
      </c>
      <c r="L76" s="244">
        <f t="shared" si="11"/>
        <v>32</v>
      </c>
      <c r="M76" s="244">
        <f t="shared" si="12"/>
        <v>1000</v>
      </c>
      <c r="N76" s="244" t="str">
        <f t="shared" si="13"/>
        <v>1</v>
      </c>
      <c r="P76" s="244">
        <f t="shared" si="7"/>
        <v>1</v>
      </c>
      <c r="Q76" s="266" t="s">
        <v>235</v>
      </c>
      <c r="R76" s="267" t="s">
        <v>236</v>
      </c>
      <c r="S76" s="266" t="s">
        <v>29</v>
      </c>
      <c r="T76" s="266">
        <v>32</v>
      </c>
      <c r="U76" s="266">
        <v>1000</v>
      </c>
      <c r="V76" s="266" t="s">
        <v>31</v>
      </c>
      <c r="W76" s="266" t="s">
        <v>32</v>
      </c>
      <c r="X76" s="266"/>
      <c r="Y76" s="266" t="s">
        <v>7</v>
      </c>
      <c r="AA76" s="244" t="s">
        <v>232</v>
      </c>
      <c r="AB76" s="244" t="s">
        <v>233</v>
      </c>
      <c r="AC76" s="244" t="s">
        <v>29</v>
      </c>
      <c r="AD76" s="244">
        <v>32</v>
      </c>
      <c r="AE76" s="244">
        <v>1000</v>
      </c>
      <c r="AF76" s="244" t="s">
        <v>29</v>
      </c>
    </row>
    <row r="77" spans="1:32" ht="19.5" thickBot="1">
      <c r="A77" s="244" t="s">
        <v>7</v>
      </c>
      <c r="B77" s="244" t="s">
        <v>7</v>
      </c>
      <c r="C77" s="244" t="s">
        <v>234</v>
      </c>
      <c r="D77" s="244" t="s">
        <v>7560</v>
      </c>
      <c r="E77" s="244">
        <v>0</v>
      </c>
      <c r="F77" s="244">
        <v>661</v>
      </c>
      <c r="G77" s="244" t="s">
        <v>7</v>
      </c>
      <c r="H77" s="244" t="s">
        <v>234</v>
      </c>
      <c r="I77" s="265" t="str">
        <f t="shared" si="8"/>
        <v>27B</v>
      </c>
      <c r="J77" s="244" t="str">
        <f t="shared" si="9"/>
        <v>ITS1S08</v>
      </c>
      <c r="K77" s="244" t="str">
        <f t="shared" si="10"/>
        <v>1</v>
      </c>
      <c r="L77" s="244">
        <f t="shared" si="11"/>
        <v>8</v>
      </c>
      <c r="M77" s="244">
        <f t="shared" si="12"/>
        <v>1000</v>
      </c>
      <c r="N77" s="244" t="str">
        <f t="shared" si="13"/>
        <v>0</v>
      </c>
      <c r="P77" s="244">
        <f t="shared" si="7"/>
        <v>1</v>
      </c>
      <c r="Q77" s="266" t="s">
        <v>237</v>
      </c>
      <c r="R77" s="267" t="s">
        <v>238</v>
      </c>
      <c r="S77" s="266" t="s">
        <v>29</v>
      </c>
      <c r="T77" s="266">
        <v>32</v>
      </c>
      <c r="U77" s="266">
        <v>1000</v>
      </c>
      <c r="V77" s="266" t="s">
        <v>31</v>
      </c>
      <c r="W77" s="266" t="s">
        <v>32</v>
      </c>
      <c r="X77" s="266"/>
      <c r="Y77" s="266" t="s">
        <v>7</v>
      </c>
      <c r="AA77" s="244" t="s">
        <v>222</v>
      </c>
      <c r="AB77" s="244" t="s">
        <v>221</v>
      </c>
      <c r="AC77" s="244" t="s">
        <v>29</v>
      </c>
      <c r="AD77" s="244">
        <v>8</v>
      </c>
      <c r="AE77" s="244">
        <v>1000</v>
      </c>
      <c r="AF77" s="244" t="s">
        <v>31</v>
      </c>
    </row>
    <row r="78" spans="1:32" ht="19.5" thickBot="1">
      <c r="A78" s="244" t="s">
        <v>891</v>
      </c>
      <c r="B78" s="244">
        <v>67</v>
      </c>
      <c r="C78" s="244" t="s">
        <v>234</v>
      </c>
      <c r="D78" s="244" t="s">
        <v>36</v>
      </c>
      <c r="E78" s="244">
        <v>256</v>
      </c>
      <c r="F78" s="244">
        <v>661</v>
      </c>
      <c r="G78" s="244" t="s">
        <v>7</v>
      </c>
      <c r="H78" s="244" t="s">
        <v>7621</v>
      </c>
      <c r="I78" s="265" t="str">
        <f t="shared" si="8"/>
        <v>282</v>
      </c>
      <c r="J78" s="244" t="str">
        <f t="shared" si="9"/>
        <v>DDM1SFH</v>
      </c>
      <c r="K78" s="244" t="str">
        <f t="shared" si="10"/>
        <v>1</v>
      </c>
      <c r="L78" s="244">
        <f t="shared" si="11"/>
        <v>32</v>
      </c>
      <c r="M78" s="244">
        <f t="shared" si="12"/>
        <v>1000</v>
      </c>
      <c r="N78" s="244" t="str">
        <f t="shared" si="13"/>
        <v>0</v>
      </c>
      <c r="P78" s="244">
        <f t="shared" si="7"/>
        <v>1</v>
      </c>
      <c r="Q78" s="266" t="s">
        <v>240</v>
      </c>
      <c r="R78" s="267" t="s">
        <v>241</v>
      </c>
      <c r="S78" s="266" t="s">
        <v>29</v>
      </c>
      <c r="T78" s="266">
        <v>8</v>
      </c>
      <c r="U78" s="266">
        <v>1000</v>
      </c>
      <c r="V78" s="266" t="s">
        <v>31</v>
      </c>
      <c r="W78" s="266" t="s">
        <v>32</v>
      </c>
      <c r="X78" s="266"/>
      <c r="Y78" s="266" t="s">
        <v>7</v>
      </c>
      <c r="AA78" s="244" t="s">
        <v>226</v>
      </c>
      <c r="AB78" s="244" t="s">
        <v>225</v>
      </c>
      <c r="AC78" s="244" t="s">
        <v>29</v>
      </c>
      <c r="AD78" s="244">
        <v>32</v>
      </c>
      <c r="AE78" s="244">
        <v>1000</v>
      </c>
      <c r="AF78" s="244" t="s">
        <v>31</v>
      </c>
    </row>
    <row r="79" spans="1:32" ht="19.5" thickBot="1">
      <c r="A79" s="244" t="s">
        <v>957</v>
      </c>
      <c r="B79" s="244">
        <v>132</v>
      </c>
      <c r="C79" s="244" t="s">
        <v>239</v>
      </c>
      <c r="D79" s="244" t="s">
        <v>7560</v>
      </c>
      <c r="E79" s="244">
        <v>0</v>
      </c>
      <c r="F79" s="244">
        <v>662</v>
      </c>
      <c r="G79" s="244" t="s">
        <v>7</v>
      </c>
      <c r="H79" s="244" t="s">
        <v>239</v>
      </c>
      <c r="I79" s="265" t="str">
        <f t="shared" si="8"/>
        <v>382</v>
      </c>
      <c r="J79" s="244" t="str">
        <f t="shared" si="9"/>
        <v>ACN1S05</v>
      </c>
      <c r="K79" s="244" t="str">
        <f t="shared" si="10"/>
        <v>1</v>
      </c>
      <c r="L79" s="244">
        <f t="shared" si="11"/>
        <v>8</v>
      </c>
      <c r="M79" s="244">
        <f t="shared" si="12"/>
        <v>5000</v>
      </c>
      <c r="N79" s="244" t="str">
        <f t="shared" si="13"/>
        <v>0</v>
      </c>
      <c r="P79" s="244">
        <f t="shared" si="7"/>
        <v>1</v>
      </c>
      <c r="Q79" s="266" t="s">
        <v>245</v>
      </c>
      <c r="R79" s="267" t="s">
        <v>246</v>
      </c>
      <c r="S79" s="266" t="s">
        <v>29</v>
      </c>
      <c r="T79" s="266">
        <v>8</v>
      </c>
      <c r="U79" s="266">
        <v>1000</v>
      </c>
      <c r="V79" s="266" t="s">
        <v>31</v>
      </c>
      <c r="W79" s="266" t="s">
        <v>32</v>
      </c>
      <c r="X79" s="266"/>
      <c r="Y79" s="266" t="s">
        <v>7</v>
      </c>
      <c r="AA79" s="244" t="s">
        <v>242</v>
      </c>
      <c r="AB79" s="244" t="s">
        <v>243</v>
      </c>
      <c r="AC79" s="244" t="s">
        <v>29</v>
      </c>
      <c r="AD79" s="244">
        <v>8</v>
      </c>
      <c r="AE79" s="244">
        <v>5000</v>
      </c>
      <c r="AF79" s="244" t="s">
        <v>31</v>
      </c>
    </row>
    <row r="80" spans="1:32" ht="19.5" thickBot="1">
      <c r="A80" s="244" t="s">
        <v>958</v>
      </c>
      <c r="B80" s="244">
        <v>133</v>
      </c>
      <c r="C80" s="244" t="s">
        <v>244</v>
      </c>
      <c r="D80" s="244" t="s">
        <v>7560</v>
      </c>
      <c r="E80" s="244">
        <v>0</v>
      </c>
      <c r="F80" s="244">
        <v>678</v>
      </c>
      <c r="G80" s="244" t="s">
        <v>7</v>
      </c>
      <c r="H80" s="244" t="s">
        <v>7622</v>
      </c>
      <c r="I80" s="265" t="str">
        <f t="shared" si="8"/>
        <v>285</v>
      </c>
      <c r="J80" s="244" t="str">
        <f t="shared" si="9"/>
        <v>DS11S27</v>
      </c>
      <c r="K80" s="244" t="str">
        <f t="shared" si="10"/>
        <v>1</v>
      </c>
      <c r="L80" s="244">
        <f t="shared" si="11"/>
        <v>8</v>
      </c>
      <c r="M80" s="244">
        <f t="shared" si="12"/>
        <v>1000</v>
      </c>
      <c r="N80" s="244" t="str">
        <f t="shared" si="13"/>
        <v>0</v>
      </c>
      <c r="P80" s="244">
        <f t="shared" si="7"/>
        <v>1</v>
      </c>
      <c r="Q80" s="266" t="s">
        <v>233</v>
      </c>
      <c r="R80" s="267" t="s">
        <v>232</v>
      </c>
      <c r="S80" s="266" t="s">
        <v>29</v>
      </c>
      <c r="T80" s="266">
        <v>32</v>
      </c>
      <c r="U80" s="266">
        <v>1000</v>
      </c>
      <c r="V80" s="266" t="s">
        <v>29</v>
      </c>
      <c r="W80" s="266" t="s">
        <v>32</v>
      </c>
      <c r="X80" s="266"/>
      <c r="Y80" s="266" t="s">
        <v>7</v>
      </c>
      <c r="AA80" s="244" t="s">
        <v>228</v>
      </c>
      <c r="AB80" s="244" t="s">
        <v>227</v>
      </c>
      <c r="AC80" s="244" t="s">
        <v>29</v>
      </c>
      <c r="AD80" s="244">
        <v>8</v>
      </c>
      <c r="AE80" s="244">
        <v>1000</v>
      </c>
      <c r="AF80" s="244" t="s">
        <v>31</v>
      </c>
    </row>
    <row r="81" spans="1:32" ht="19.5" thickBot="1">
      <c r="A81" s="244" t="s">
        <v>922</v>
      </c>
      <c r="B81" s="244">
        <v>98</v>
      </c>
      <c r="C81" s="244" t="s">
        <v>247</v>
      </c>
      <c r="D81" s="244" t="s">
        <v>7560</v>
      </c>
      <c r="E81" s="244">
        <v>0</v>
      </c>
      <c r="F81" s="244">
        <v>687</v>
      </c>
      <c r="G81" s="244" t="s">
        <v>7</v>
      </c>
      <c r="H81" s="244" t="s">
        <v>7623</v>
      </c>
      <c r="I81" s="265" t="str">
        <f t="shared" si="8"/>
        <v>295</v>
      </c>
      <c r="J81" s="244" t="str">
        <f t="shared" si="9"/>
        <v>PLG1G15</v>
      </c>
      <c r="K81" s="244" t="str">
        <f t="shared" si="10"/>
        <v>1</v>
      </c>
      <c r="L81" s="244">
        <f t="shared" si="11"/>
        <v>32</v>
      </c>
      <c r="M81" s="244">
        <f t="shared" si="12"/>
        <v>1000</v>
      </c>
      <c r="N81" s="244" t="str">
        <f t="shared" si="13"/>
        <v>0</v>
      </c>
      <c r="P81" s="244">
        <f t="shared" si="7"/>
        <v>1</v>
      </c>
      <c r="Q81" s="266" t="s">
        <v>249</v>
      </c>
      <c r="R81" s="267" t="s">
        <v>250</v>
      </c>
      <c r="S81" s="266" t="s">
        <v>29</v>
      </c>
      <c r="T81" s="266">
        <v>32</v>
      </c>
      <c r="U81" s="266">
        <v>1000</v>
      </c>
      <c r="V81" s="266" t="s">
        <v>31</v>
      </c>
      <c r="W81" s="266" t="s">
        <v>32</v>
      </c>
      <c r="X81" s="266"/>
      <c r="Y81" s="266" t="s">
        <v>7</v>
      </c>
      <c r="AA81" s="244" t="s">
        <v>231</v>
      </c>
      <c r="AB81" s="244" t="s">
        <v>230</v>
      </c>
      <c r="AC81" s="244" t="s">
        <v>29</v>
      </c>
      <c r="AD81" s="244">
        <v>32</v>
      </c>
      <c r="AE81" s="244">
        <v>1000</v>
      </c>
      <c r="AF81" s="244" t="s">
        <v>31</v>
      </c>
    </row>
    <row r="82" spans="1:32" ht="19.5" thickBot="1">
      <c r="A82" s="244" t="s">
        <v>7</v>
      </c>
      <c r="B82" s="244" t="s">
        <v>7</v>
      </c>
      <c r="C82" s="244" t="s">
        <v>248</v>
      </c>
      <c r="D82" s="244" t="s">
        <v>7560</v>
      </c>
      <c r="E82" s="244">
        <v>0</v>
      </c>
      <c r="F82" s="244">
        <v>691</v>
      </c>
      <c r="G82" s="244" t="s">
        <v>7</v>
      </c>
      <c r="H82" s="244" t="s">
        <v>7624</v>
      </c>
      <c r="I82" s="265" t="str">
        <f t="shared" si="8"/>
        <v>395</v>
      </c>
      <c r="J82" s="244" t="str">
        <f t="shared" si="9"/>
        <v>BDC1SC2</v>
      </c>
      <c r="K82" s="244" t="str">
        <f t="shared" si="10"/>
        <v>1</v>
      </c>
      <c r="L82" s="244">
        <f t="shared" si="11"/>
        <v>64</v>
      </c>
      <c r="M82" s="244">
        <f t="shared" si="12"/>
        <v>1000</v>
      </c>
      <c r="N82" s="244" t="str">
        <f t="shared" si="13"/>
        <v>1</v>
      </c>
      <c r="P82" s="244">
        <f t="shared" si="7"/>
        <v>1</v>
      </c>
      <c r="Q82" s="266" t="s">
        <v>254</v>
      </c>
      <c r="R82" s="267" t="s">
        <v>255</v>
      </c>
      <c r="S82" s="266" t="s">
        <v>29</v>
      </c>
      <c r="T82" s="266">
        <v>8</v>
      </c>
      <c r="U82" s="266">
        <v>1000</v>
      </c>
      <c r="V82" s="266" t="s">
        <v>31</v>
      </c>
      <c r="W82" s="266" t="s">
        <v>32</v>
      </c>
      <c r="X82" s="266"/>
      <c r="Y82" s="266" t="s">
        <v>7</v>
      </c>
      <c r="AA82" s="244" t="s">
        <v>251</v>
      </c>
      <c r="AB82" s="244" t="s">
        <v>252</v>
      </c>
      <c r="AC82" s="244" t="s">
        <v>29</v>
      </c>
      <c r="AD82" s="244">
        <v>64</v>
      </c>
      <c r="AE82" s="244">
        <v>1000</v>
      </c>
      <c r="AF82" s="244" t="s">
        <v>29</v>
      </c>
    </row>
    <row r="83" spans="1:32" ht="19.5" thickBot="1">
      <c r="A83" s="244" t="s">
        <v>909</v>
      </c>
      <c r="B83" s="244">
        <v>85</v>
      </c>
      <c r="C83" s="244" t="s">
        <v>248</v>
      </c>
      <c r="D83" s="244" t="s">
        <v>253</v>
      </c>
      <c r="E83" s="244">
        <v>64</v>
      </c>
      <c r="F83" s="244">
        <v>691</v>
      </c>
      <c r="G83" s="244" t="s">
        <v>7</v>
      </c>
      <c r="H83" s="244" t="s">
        <v>7625</v>
      </c>
      <c r="I83" s="265" t="str">
        <f t="shared" si="8"/>
        <v>296</v>
      </c>
      <c r="J83" s="244" t="str">
        <f t="shared" si="9"/>
        <v>PLG1G16</v>
      </c>
      <c r="K83" s="244" t="str">
        <f t="shared" si="10"/>
        <v>1</v>
      </c>
      <c r="L83" s="244">
        <f t="shared" si="11"/>
        <v>32</v>
      </c>
      <c r="M83" s="244">
        <f t="shared" si="12"/>
        <v>1000</v>
      </c>
      <c r="N83" s="244" t="str">
        <f t="shared" si="13"/>
        <v>0</v>
      </c>
      <c r="P83" s="244">
        <f t="shared" si="7"/>
        <v>1</v>
      </c>
      <c r="Q83" s="266" t="s">
        <v>257</v>
      </c>
      <c r="R83" s="267" t="s">
        <v>258</v>
      </c>
      <c r="S83" s="266" t="s">
        <v>29</v>
      </c>
      <c r="T83" s="266">
        <v>32</v>
      </c>
      <c r="U83" s="266">
        <v>1000</v>
      </c>
      <c r="V83" s="266" t="s">
        <v>31</v>
      </c>
      <c r="W83" s="266" t="s">
        <v>32</v>
      </c>
      <c r="X83" s="266"/>
      <c r="Y83" s="266" t="s">
        <v>7</v>
      </c>
      <c r="AA83" s="244" t="s">
        <v>236</v>
      </c>
      <c r="AB83" s="244" t="s">
        <v>235</v>
      </c>
      <c r="AC83" s="244" t="s">
        <v>29</v>
      </c>
      <c r="AD83" s="244">
        <v>32</v>
      </c>
      <c r="AE83" s="244">
        <v>1000</v>
      </c>
      <c r="AF83" s="244" t="s">
        <v>31</v>
      </c>
    </row>
    <row r="84" spans="1:32" ht="19.5" thickBot="1">
      <c r="A84" s="244" t="s">
        <v>927</v>
      </c>
      <c r="B84" s="244">
        <v>103</v>
      </c>
      <c r="C84" s="244" t="s">
        <v>256</v>
      </c>
      <c r="D84" s="244" t="s">
        <v>7560</v>
      </c>
      <c r="E84" s="244">
        <v>0</v>
      </c>
      <c r="F84" s="244">
        <v>741</v>
      </c>
      <c r="G84" s="244" t="s">
        <v>7</v>
      </c>
      <c r="H84" s="244" t="s">
        <v>7626</v>
      </c>
      <c r="I84" s="265" t="str">
        <f t="shared" si="8"/>
        <v>2A6</v>
      </c>
      <c r="J84" s="244" t="str">
        <f t="shared" si="9"/>
        <v>PLG1S20</v>
      </c>
      <c r="K84" s="244" t="str">
        <f t="shared" si="10"/>
        <v>1</v>
      </c>
      <c r="L84" s="244">
        <f t="shared" si="11"/>
        <v>32</v>
      </c>
      <c r="M84" s="244">
        <f t="shared" si="12"/>
        <v>1000</v>
      </c>
      <c r="N84" s="244" t="str">
        <f t="shared" si="13"/>
        <v>0</v>
      </c>
      <c r="P84" s="244">
        <f t="shared" si="7"/>
        <v>1</v>
      </c>
      <c r="Q84" s="266" t="s">
        <v>260</v>
      </c>
      <c r="R84" s="267" t="s">
        <v>261</v>
      </c>
      <c r="S84" s="266" t="s">
        <v>29</v>
      </c>
      <c r="T84" s="266">
        <v>8</v>
      </c>
      <c r="U84" s="266">
        <v>1000</v>
      </c>
      <c r="V84" s="266" t="s">
        <v>31</v>
      </c>
      <c r="W84" s="266" t="s">
        <v>32</v>
      </c>
      <c r="X84" s="266"/>
      <c r="Y84" s="266" t="s">
        <v>7</v>
      </c>
      <c r="AA84" s="244" t="s">
        <v>238</v>
      </c>
      <c r="AB84" s="244" t="s">
        <v>237</v>
      </c>
      <c r="AC84" s="244" t="s">
        <v>29</v>
      </c>
      <c r="AD84" s="244">
        <v>32</v>
      </c>
      <c r="AE84" s="244">
        <v>1000</v>
      </c>
      <c r="AF84" s="244" t="s">
        <v>31</v>
      </c>
    </row>
    <row r="85" spans="1:32" ht="19.5" thickBot="1">
      <c r="A85" s="244" t="s">
        <v>942</v>
      </c>
      <c r="B85" s="244">
        <v>117</v>
      </c>
      <c r="C85" s="244" t="s">
        <v>259</v>
      </c>
      <c r="D85" s="244" t="s">
        <v>7560</v>
      </c>
      <c r="E85" s="244">
        <v>0</v>
      </c>
      <c r="F85" s="244">
        <v>747</v>
      </c>
      <c r="G85" s="244" t="s">
        <v>7</v>
      </c>
      <c r="H85" s="244" t="s">
        <v>7627</v>
      </c>
      <c r="I85" s="265" t="str">
        <f t="shared" si="8"/>
        <v>2AF</v>
      </c>
      <c r="J85" s="244" t="str">
        <f t="shared" si="9"/>
        <v>BSR1S03</v>
      </c>
      <c r="K85" s="244" t="str">
        <f t="shared" si="10"/>
        <v>1</v>
      </c>
      <c r="L85" s="244">
        <f t="shared" si="11"/>
        <v>8</v>
      </c>
      <c r="M85" s="244">
        <f t="shared" si="12"/>
        <v>1000</v>
      </c>
      <c r="N85" s="244" t="str">
        <f t="shared" si="13"/>
        <v>0</v>
      </c>
      <c r="P85" s="244">
        <f t="shared" si="7"/>
        <v>1</v>
      </c>
      <c r="Q85" s="266" t="s">
        <v>263</v>
      </c>
      <c r="R85" s="267" t="s">
        <v>264</v>
      </c>
      <c r="S85" s="266" t="s">
        <v>29</v>
      </c>
      <c r="T85" s="266">
        <v>8</v>
      </c>
      <c r="U85" s="266">
        <v>1000</v>
      </c>
      <c r="V85" s="266" t="s">
        <v>31</v>
      </c>
      <c r="W85" s="266" t="s">
        <v>32</v>
      </c>
      <c r="X85" s="266"/>
      <c r="Y85" s="266" t="s">
        <v>7</v>
      </c>
      <c r="AA85" s="244" t="s">
        <v>241</v>
      </c>
      <c r="AB85" s="244" t="s">
        <v>240</v>
      </c>
      <c r="AC85" s="244" t="s">
        <v>29</v>
      </c>
      <c r="AD85" s="244">
        <v>8</v>
      </c>
      <c r="AE85" s="244">
        <v>1000</v>
      </c>
      <c r="AF85" s="244" t="s">
        <v>31</v>
      </c>
    </row>
    <row r="86" spans="1:32" ht="19.5" thickBot="1">
      <c r="A86" s="244" t="s">
        <v>924</v>
      </c>
      <c r="B86" s="244">
        <v>100</v>
      </c>
      <c r="C86" s="244" t="s">
        <v>262</v>
      </c>
      <c r="D86" s="244" t="s">
        <v>7560</v>
      </c>
      <c r="E86" s="244">
        <v>0</v>
      </c>
      <c r="F86" s="244">
        <v>750</v>
      </c>
      <c r="G86" s="244" t="s">
        <v>7</v>
      </c>
      <c r="H86" s="244" t="s">
        <v>7628</v>
      </c>
      <c r="I86" s="265" t="str">
        <f t="shared" si="8"/>
        <v>2B3</v>
      </c>
      <c r="J86" s="244" t="str">
        <f t="shared" si="9"/>
        <v>BDC1SH8</v>
      </c>
      <c r="K86" s="244" t="str">
        <f t="shared" si="10"/>
        <v>1</v>
      </c>
      <c r="L86" s="244">
        <f t="shared" si="11"/>
        <v>8</v>
      </c>
      <c r="M86" s="244">
        <f t="shared" si="12"/>
        <v>1000</v>
      </c>
      <c r="N86" s="244" t="str">
        <f t="shared" si="13"/>
        <v>0</v>
      </c>
      <c r="P86" s="244">
        <f t="shared" si="7"/>
        <v>1</v>
      </c>
      <c r="Q86" s="266" t="s">
        <v>266</v>
      </c>
      <c r="R86" s="267" t="s">
        <v>267</v>
      </c>
      <c r="S86" s="266" t="s">
        <v>29</v>
      </c>
      <c r="T86" s="266">
        <v>32</v>
      </c>
      <c r="U86" s="266">
        <v>2000</v>
      </c>
      <c r="V86" s="266" t="s">
        <v>31</v>
      </c>
      <c r="W86" s="266" t="s">
        <v>32</v>
      </c>
      <c r="X86" s="266"/>
      <c r="Y86" s="266" t="s">
        <v>7</v>
      </c>
      <c r="AA86" s="244" t="s">
        <v>246</v>
      </c>
      <c r="AB86" s="244" t="s">
        <v>245</v>
      </c>
      <c r="AC86" s="244" t="s">
        <v>29</v>
      </c>
      <c r="AD86" s="244">
        <v>8</v>
      </c>
      <c r="AE86" s="244">
        <v>1000</v>
      </c>
      <c r="AF86" s="244" t="s">
        <v>31</v>
      </c>
    </row>
    <row r="87" spans="1:32" ht="19.5" thickBot="1">
      <c r="A87" s="244" t="s">
        <v>7</v>
      </c>
      <c r="B87" s="244" t="s">
        <v>7</v>
      </c>
      <c r="C87" s="244" t="s">
        <v>265</v>
      </c>
      <c r="D87" s="244" t="s">
        <v>7560</v>
      </c>
      <c r="E87" s="244">
        <v>0</v>
      </c>
      <c r="F87" s="244">
        <v>761</v>
      </c>
      <c r="G87" s="244" t="s">
        <v>7</v>
      </c>
      <c r="H87" s="244" t="s">
        <v>7629</v>
      </c>
      <c r="I87" s="265" t="str">
        <f t="shared" si="8"/>
        <v>2F3</v>
      </c>
      <c r="J87" s="244" t="str">
        <f t="shared" si="9"/>
        <v>CMB1S04</v>
      </c>
      <c r="K87" s="244" t="str">
        <f t="shared" si="10"/>
        <v>1</v>
      </c>
      <c r="L87" s="244">
        <f t="shared" si="11"/>
        <v>8</v>
      </c>
      <c r="M87" s="244">
        <f t="shared" si="12"/>
        <v>1000</v>
      </c>
      <c r="N87" s="244" t="str">
        <f t="shared" si="13"/>
        <v>0</v>
      </c>
      <c r="P87" s="244">
        <f t="shared" si="7"/>
        <v>1</v>
      </c>
      <c r="Q87" s="266" t="s">
        <v>268</v>
      </c>
      <c r="R87" s="267" t="s">
        <v>269</v>
      </c>
      <c r="S87" s="266" t="s">
        <v>29</v>
      </c>
      <c r="T87" s="266">
        <v>8</v>
      </c>
      <c r="U87" s="266">
        <v>1000</v>
      </c>
      <c r="V87" s="266" t="s">
        <v>31</v>
      </c>
      <c r="W87" s="266" t="s">
        <v>32</v>
      </c>
      <c r="X87" s="266"/>
      <c r="Y87" s="266" t="s">
        <v>7</v>
      </c>
      <c r="AA87" s="244" t="s">
        <v>261</v>
      </c>
      <c r="AB87" s="244" t="s">
        <v>260</v>
      </c>
      <c r="AC87" s="244" t="s">
        <v>29</v>
      </c>
      <c r="AD87" s="244">
        <v>8</v>
      </c>
      <c r="AE87" s="244">
        <v>1000</v>
      </c>
      <c r="AF87" s="244" t="s">
        <v>31</v>
      </c>
    </row>
    <row r="88" spans="1:32" ht="19.5" thickBot="1">
      <c r="A88" s="244" t="s">
        <v>961</v>
      </c>
      <c r="B88" s="244">
        <v>136</v>
      </c>
      <c r="C88" s="244" t="s">
        <v>265</v>
      </c>
      <c r="D88" s="244" t="s">
        <v>102</v>
      </c>
      <c r="E88" s="244">
        <v>4</v>
      </c>
      <c r="F88" s="244">
        <v>761</v>
      </c>
      <c r="G88" s="244" t="s">
        <v>7</v>
      </c>
      <c r="H88" s="244" t="s">
        <v>7630</v>
      </c>
      <c r="I88" s="265" t="str">
        <f t="shared" si="8"/>
        <v>2E5</v>
      </c>
      <c r="J88" s="244" t="str">
        <f t="shared" si="9"/>
        <v>DDM1S35</v>
      </c>
      <c r="K88" s="244" t="str">
        <f t="shared" si="10"/>
        <v>1</v>
      </c>
      <c r="L88" s="244">
        <f t="shared" si="11"/>
        <v>32</v>
      </c>
      <c r="M88" s="244">
        <f t="shared" si="12"/>
        <v>1000</v>
      </c>
      <c r="N88" s="244" t="str">
        <f t="shared" si="13"/>
        <v>0</v>
      </c>
      <c r="P88" s="244">
        <f t="shared" si="7"/>
        <v>1</v>
      </c>
      <c r="Q88" s="266" t="s">
        <v>271</v>
      </c>
      <c r="R88" s="267" t="s">
        <v>272</v>
      </c>
      <c r="S88" s="266" t="s">
        <v>29</v>
      </c>
      <c r="T88" s="266">
        <v>8</v>
      </c>
      <c r="U88" s="266">
        <v>1000</v>
      </c>
      <c r="V88" s="266" t="s">
        <v>31</v>
      </c>
      <c r="W88" s="266" t="s">
        <v>32</v>
      </c>
      <c r="X88" s="266"/>
      <c r="Y88" s="266" t="s">
        <v>7</v>
      </c>
      <c r="AA88" s="244" t="s">
        <v>250</v>
      </c>
      <c r="AB88" s="244" t="s">
        <v>249</v>
      </c>
      <c r="AC88" s="244" t="s">
        <v>29</v>
      </c>
      <c r="AD88" s="244">
        <v>32</v>
      </c>
      <c r="AE88" s="244">
        <v>1000</v>
      </c>
      <c r="AF88" s="244" t="s">
        <v>31</v>
      </c>
    </row>
    <row r="89" spans="1:32" ht="19.5" thickBot="1">
      <c r="A89" s="244" t="s">
        <v>7</v>
      </c>
      <c r="B89" s="244" t="s">
        <v>7</v>
      </c>
      <c r="C89" s="244" t="s">
        <v>270</v>
      </c>
      <c r="D89" s="244" t="s">
        <v>7560</v>
      </c>
      <c r="E89" s="244">
        <v>0</v>
      </c>
      <c r="F89" s="244">
        <v>773</v>
      </c>
      <c r="G89" s="244" t="s">
        <v>7</v>
      </c>
      <c r="H89" s="244" t="s">
        <v>270</v>
      </c>
      <c r="I89" s="265" t="str">
        <f t="shared" si="8"/>
        <v>2EB</v>
      </c>
      <c r="J89" s="244" t="str">
        <f t="shared" si="9"/>
        <v>EHV1SL2</v>
      </c>
      <c r="K89" s="244" t="str">
        <f t="shared" si="10"/>
        <v>1</v>
      </c>
      <c r="L89" s="244">
        <f t="shared" si="11"/>
        <v>8</v>
      </c>
      <c r="M89" s="244">
        <f t="shared" si="12"/>
        <v>1000</v>
      </c>
      <c r="N89" s="244" t="str">
        <f t="shared" si="13"/>
        <v>0</v>
      </c>
      <c r="P89" s="244">
        <f t="shared" si="7"/>
        <v>1</v>
      </c>
      <c r="Q89" s="266" t="s">
        <v>274</v>
      </c>
      <c r="R89" s="267" t="s">
        <v>275</v>
      </c>
      <c r="S89" s="266" t="s">
        <v>29</v>
      </c>
      <c r="T89" s="266">
        <v>32</v>
      </c>
      <c r="U89" s="266">
        <v>1000</v>
      </c>
      <c r="V89" s="266" t="s">
        <v>29</v>
      </c>
      <c r="W89" s="266" t="s">
        <v>32</v>
      </c>
      <c r="X89" s="266"/>
      <c r="Y89" s="266" t="s">
        <v>7</v>
      </c>
      <c r="AA89" s="244" t="s">
        <v>255</v>
      </c>
      <c r="AB89" s="244" t="s">
        <v>254</v>
      </c>
      <c r="AC89" s="244" t="s">
        <v>29</v>
      </c>
      <c r="AD89" s="244">
        <v>8</v>
      </c>
      <c r="AE89" s="244">
        <v>1000</v>
      </c>
      <c r="AF89" s="244" t="s">
        <v>31</v>
      </c>
    </row>
    <row r="90" spans="1:32" ht="19.5" thickBot="1">
      <c r="A90" s="244" t="s">
        <v>865</v>
      </c>
      <c r="B90" s="244">
        <v>42</v>
      </c>
      <c r="C90" s="244" t="s">
        <v>270</v>
      </c>
      <c r="D90" s="244" t="s">
        <v>273</v>
      </c>
      <c r="E90" s="244">
        <v>32</v>
      </c>
      <c r="F90" s="244">
        <v>773</v>
      </c>
      <c r="G90" s="244" t="s">
        <v>7</v>
      </c>
      <c r="H90" s="244" t="s">
        <v>7631</v>
      </c>
      <c r="I90" s="265" t="str">
        <f t="shared" si="8"/>
        <v>2EE</v>
      </c>
      <c r="J90" s="244" t="str">
        <f t="shared" si="9"/>
        <v>DDM1S16</v>
      </c>
      <c r="K90" s="244" t="str">
        <f t="shared" si="10"/>
        <v>1</v>
      </c>
      <c r="L90" s="244">
        <f t="shared" si="11"/>
        <v>32</v>
      </c>
      <c r="M90" s="244">
        <f t="shared" si="12"/>
        <v>1000</v>
      </c>
      <c r="N90" s="244" t="str">
        <f t="shared" si="13"/>
        <v>0</v>
      </c>
      <c r="P90" s="244">
        <f t="shared" si="7"/>
        <v>1</v>
      </c>
      <c r="Q90" s="266" t="s">
        <v>277</v>
      </c>
      <c r="R90" s="267" t="s">
        <v>278</v>
      </c>
      <c r="S90" s="266" t="s">
        <v>29</v>
      </c>
      <c r="T90" s="266">
        <v>8</v>
      </c>
      <c r="U90" s="266">
        <v>1000</v>
      </c>
      <c r="V90" s="266" t="s">
        <v>31</v>
      </c>
      <c r="W90" s="266" t="s">
        <v>32</v>
      </c>
      <c r="X90" s="266"/>
      <c r="Y90" s="266" t="s">
        <v>7</v>
      </c>
      <c r="AA90" s="244" t="s">
        <v>258</v>
      </c>
      <c r="AB90" s="244" t="s">
        <v>257</v>
      </c>
      <c r="AC90" s="244" t="s">
        <v>29</v>
      </c>
      <c r="AD90" s="244">
        <v>32</v>
      </c>
      <c r="AE90" s="244">
        <v>1000</v>
      </c>
      <c r="AF90" s="244" t="s">
        <v>31</v>
      </c>
    </row>
    <row r="91" spans="1:32" ht="19.5" thickBot="1">
      <c r="A91" s="244" t="s">
        <v>864</v>
      </c>
      <c r="B91" s="244">
        <v>41</v>
      </c>
      <c r="C91" s="244" t="s">
        <v>276</v>
      </c>
      <c r="D91" s="244" t="s">
        <v>7560</v>
      </c>
      <c r="E91" s="244">
        <v>0</v>
      </c>
      <c r="F91" s="244">
        <v>774</v>
      </c>
      <c r="G91" s="244" t="s">
        <v>7</v>
      </c>
      <c r="H91" s="244" t="s">
        <v>276</v>
      </c>
      <c r="I91" s="265" t="str">
        <f t="shared" si="8"/>
        <v>2F9</v>
      </c>
      <c r="J91" s="244" t="str">
        <f t="shared" si="9"/>
        <v>WIP1S01</v>
      </c>
      <c r="K91" s="244" t="str">
        <f t="shared" si="10"/>
        <v>1</v>
      </c>
      <c r="L91" s="244">
        <f t="shared" si="11"/>
        <v>8</v>
      </c>
      <c r="M91" s="244">
        <f t="shared" si="12"/>
        <v>1000</v>
      </c>
      <c r="N91" s="244" t="str">
        <f t="shared" si="13"/>
        <v>0</v>
      </c>
      <c r="P91" s="244">
        <f t="shared" si="7"/>
        <v>1</v>
      </c>
      <c r="Q91" s="266" t="s">
        <v>280</v>
      </c>
      <c r="R91" s="267" t="s">
        <v>281</v>
      </c>
      <c r="S91" s="266" t="s">
        <v>29</v>
      </c>
      <c r="T91" s="266">
        <v>8</v>
      </c>
      <c r="U91" s="266">
        <v>1000</v>
      </c>
      <c r="V91" s="266" t="s">
        <v>31</v>
      </c>
      <c r="W91" s="266" t="s">
        <v>32</v>
      </c>
      <c r="X91" s="266"/>
      <c r="Y91" s="266" t="s">
        <v>7</v>
      </c>
      <c r="AA91" s="244" t="s">
        <v>264</v>
      </c>
      <c r="AB91" s="244" t="s">
        <v>263</v>
      </c>
      <c r="AC91" s="244" t="s">
        <v>29</v>
      </c>
      <c r="AD91" s="244">
        <v>8</v>
      </c>
      <c r="AE91" s="244">
        <v>1000</v>
      </c>
      <c r="AF91" s="244" t="s">
        <v>31</v>
      </c>
    </row>
    <row r="92" spans="1:32" ht="19.5" thickBot="1">
      <c r="A92" s="244" t="s">
        <v>872</v>
      </c>
      <c r="B92" s="244">
        <v>49</v>
      </c>
      <c r="C92" s="244" t="s">
        <v>279</v>
      </c>
      <c r="D92" s="244" t="s">
        <v>7560</v>
      </c>
      <c r="E92" s="244">
        <v>0</v>
      </c>
      <c r="F92" s="244">
        <v>786</v>
      </c>
      <c r="G92" s="244" t="s">
        <v>7</v>
      </c>
      <c r="H92" s="244" t="s">
        <v>279</v>
      </c>
      <c r="I92" s="265" t="str">
        <f t="shared" si="8"/>
        <v>2FD</v>
      </c>
      <c r="J92" s="244" t="str">
        <f t="shared" si="9"/>
        <v>SCS1S11</v>
      </c>
      <c r="K92" s="244" t="str">
        <f t="shared" si="10"/>
        <v>1</v>
      </c>
      <c r="L92" s="244">
        <f t="shared" si="11"/>
        <v>32</v>
      </c>
      <c r="M92" s="244">
        <f t="shared" si="12"/>
        <v>2000</v>
      </c>
      <c r="N92" s="244" t="str">
        <f t="shared" si="13"/>
        <v>0</v>
      </c>
      <c r="P92" s="244">
        <f t="shared" si="7"/>
        <v>1</v>
      </c>
      <c r="Q92" s="266" t="s">
        <v>282</v>
      </c>
      <c r="R92" s="267" t="s">
        <v>283</v>
      </c>
      <c r="S92" s="266" t="s">
        <v>29</v>
      </c>
      <c r="T92" s="266">
        <v>8</v>
      </c>
      <c r="U92" s="266">
        <v>1000</v>
      </c>
      <c r="V92" s="266" t="s">
        <v>31</v>
      </c>
      <c r="W92" s="266" t="s">
        <v>32</v>
      </c>
      <c r="X92" s="266"/>
      <c r="Y92" s="266" t="s">
        <v>7</v>
      </c>
      <c r="AA92" s="244" t="s">
        <v>267</v>
      </c>
      <c r="AB92" s="244" t="s">
        <v>266</v>
      </c>
      <c r="AC92" s="244" t="s">
        <v>29</v>
      </c>
      <c r="AD92" s="244">
        <v>32</v>
      </c>
      <c r="AE92" s="244">
        <v>2000</v>
      </c>
      <c r="AF92" s="244" t="s">
        <v>31</v>
      </c>
    </row>
    <row r="93" spans="1:32" ht="19.5" thickBot="1">
      <c r="A93" s="244" t="s">
        <v>954</v>
      </c>
      <c r="B93" s="244">
        <v>129</v>
      </c>
      <c r="C93" s="244" t="s">
        <v>284</v>
      </c>
      <c r="D93" s="244" t="s">
        <v>7560</v>
      </c>
      <c r="E93" s="244">
        <v>0</v>
      </c>
      <c r="F93" s="244">
        <v>788</v>
      </c>
      <c r="G93" s="244" t="s">
        <v>7</v>
      </c>
      <c r="H93" s="244" t="s">
        <v>284</v>
      </c>
      <c r="I93" s="265" t="str">
        <f t="shared" si="8"/>
        <v>305</v>
      </c>
      <c r="J93" s="244" t="str">
        <f t="shared" si="9"/>
        <v>BDB1S26</v>
      </c>
      <c r="K93" s="244" t="str">
        <f t="shared" si="10"/>
        <v>1</v>
      </c>
      <c r="L93" s="244">
        <f t="shared" si="11"/>
        <v>8</v>
      </c>
      <c r="M93" s="244">
        <f t="shared" si="12"/>
        <v>1000</v>
      </c>
      <c r="N93" s="244" t="str">
        <f t="shared" si="13"/>
        <v>0</v>
      </c>
      <c r="P93" s="244">
        <f t="shared" si="7"/>
        <v>1</v>
      </c>
      <c r="Q93" s="266" t="s">
        <v>285</v>
      </c>
      <c r="R93" s="267" t="s">
        <v>286</v>
      </c>
      <c r="S93" s="266" t="s">
        <v>29</v>
      </c>
      <c r="T93" s="266">
        <v>64</v>
      </c>
      <c r="U93" s="266">
        <v>1000</v>
      </c>
      <c r="V93" s="266" t="s">
        <v>31</v>
      </c>
      <c r="W93" s="266" t="s">
        <v>32</v>
      </c>
      <c r="X93" s="266"/>
      <c r="Y93" s="266" t="s">
        <v>7</v>
      </c>
      <c r="AA93" s="244" t="s">
        <v>269</v>
      </c>
      <c r="AB93" s="244" t="s">
        <v>268</v>
      </c>
      <c r="AC93" s="244" t="s">
        <v>29</v>
      </c>
      <c r="AD93" s="244">
        <v>8</v>
      </c>
      <c r="AE93" s="244">
        <v>1000</v>
      </c>
      <c r="AF93" s="244" t="s">
        <v>31</v>
      </c>
    </row>
    <row r="94" spans="1:32" ht="19.5" thickBot="1">
      <c r="A94" s="244" t="s">
        <v>7</v>
      </c>
      <c r="B94" s="244" t="s">
        <v>7</v>
      </c>
      <c r="C94" s="244" t="s">
        <v>289</v>
      </c>
      <c r="D94" s="244" t="s">
        <v>7560</v>
      </c>
      <c r="E94" s="244">
        <v>0</v>
      </c>
      <c r="F94" s="244">
        <v>791</v>
      </c>
      <c r="G94" s="244" t="s">
        <v>7</v>
      </c>
      <c r="H94" s="244" t="s">
        <v>289</v>
      </c>
      <c r="I94" s="265" t="str">
        <f t="shared" si="8"/>
        <v>325</v>
      </c>
      <c r="J94" s="244" t="str">
        <f t="shared" si="9"/>
        <v>EHV1S31</v>
      </c>
      <c r="K94" s="244" t="str">
        <f t="shared" si="10"/>
        <v>1</v>
      </c>
      <c r="L94" s="244">
        <f t="shared" si="11"/>
        <v>8</v>
      </c>
      <c r="M94" s="244">
        <f t="shared" si="12"/>
        <v>1000</v>
      </c>
      <c r="N94" s="244" t="str">
        <f t="shared" si="13"/>
        <v>0</v>
      </c>
      <c r="P94" s="244">
        <f t="shared" si="7"/>
        <v>1</v>
      </c>
      <c r="Q94" s="266" t="s">
        <v>290</v>
      </c>
      <c r="R94" s="267" t="s">
        <v>291</v>
      </c>
      <c r="S94" s="266" t="s">
        <v>29</v>
      </c>
      <c r="T94" s="266">
        <v>64</v>
      </c>
      <c r="U94" s="266">
        <v>1000</v>
      </c>
      <c r="V94" s="266" t="s">
        <v>31</v>
      </c>
      <c r="W94" s="266" t="s">
        <v>32</v>
      </c>
      <c r="X94" s="266"/>
      <c r="Y94" s="266" t="s">
        <v>7</v>
      </c>
      <c r="AA94" s="244" t="s">
        <v>287</v>
      </c>
      <c r="AB94" s="244" t="s">
        <v>288</v>
      </c>
      <c r="AC94" s="244" t="s">
        <v>29</v>
      </c>
      <c r="AD94" s="244">
        <v>8</v>
      </c>
      <c r="AE94" s="244">
        <v>1000</v>
      </c>
      <c r="AF94" s="244" t="s">
        <v>31</v>
      </c>
    </row>
    <row r="95" spans="1:32" ht="19.5" thickBot="1">
      <c r="A95" s="244" t="s">
        <v>7</v>
      </c>
      <c r="B95" s="244" t="s">
        <v>7</v>
      </c>
      <c r="C95" s="244" t="s">
        <v>289</v>
      </c>
      <c r="D95" s="244" t="s">
        <v>6</v>
      </c>
      <c r="E95" s="244">
        <v>8</v>
      </c>
      <c r="F95" s="244">
        <v>791</v>
      </c>
      <c r="G95" s="244" t="s">
        <v>7</v>
      </c>
      <c r="H95" s="244" t="s">
        <v>7632</v>
      </c>
      <c r="I95" s="265" t="str">
        <f t="shared" si="8"/>
        <v>306</v>
      </c>
      <c r="J95" s="244" t="str">
        <f t="shared" si="9"/>
        <v>BDB1S25</v>
      </c>
      <c r="K95" s="244" t="str">
        <f t="shared" si="10"/>
        <v>1</v>
      </c>
      <c r="L95" s="244">
        <f t="shared" si="11"/>
        <v>8</v>
      </c>
      <c r="M95" s="244">
        <f t="shared" si="12"/>
        <v>1000</v>
      </c>
      <c r="N95" s="244" t="str">
        <f t="shared" si="13"/>
        <v>0</v>
      </c>
      <c r="P95" s="244">
        <f t="shared" si="7"/>
        <v>1</v>
      </c>
      <c r="Q95" s="266" t="s">
        <v>292</v>
      </c>
      <c r="R95" s="267" t="s">
        <v>293</v>
      </c>
      <c r="S95" s="266" t="s">
        <v>29</v>
      </c>
      <c r="T95" s="266">
        <v>32</v>
      </c>
      <c r="U95" s="266">
        <v>1000</v>
      </c>
      <c r="V95" s="266" t="s">
        <v>31</v>
      </c>
      <c r="W95" s="266" t="s">
        <v>32</v>
      </c>
      <c r="X95" s="266"/>
      <c r="Y95" s="266" t="s">
        <v>7</v>
      </c>
      <c r="AA95" s="244" t="s">
        <v>272</v>
      </c>
      <c r="AB95" s="244" t="s">
        <v>271</v>
      </c>
      <c r="AC95" s="244" t="s">
        <v>29</v>
      </c>
      <c r="AD95" s="244">
        <v>8</v>
      </c>
      <c r="AE95" s="244">
        <v>1000</v>
      </c>
      <c r="AF95" s="244" t="s">
        <v>31</v>
      </c>
    </row>
    <row r="96" spans="1:32" ht="19.5" thickBot="1">
      <c r="A96" s="244" t="s">
        <v>7</v>
      </c>
      <c r="B96" s="244" t="s">
        <v>7</v>
      </c>
      <c r="C96" s="244" t="s">
        <v>289</v>
      </c>
      <c r="D96" s="244" t="s">
        <v>273</v>
      </c>
      <c r="E96" s="244">
        <v>32</v>
      </c>
      <c r="F96" s="244">
        <v>791</v>
      </c>
      <c r="G96" s="244" t="s">
        <v>7</v>
      </c>
      <c r="H96" s="244" t="s">
        <v>7633</v>
      </c>
      <c r="I96" s="265" t="str">
        <f t="shared" si="8"/>
        <v>312</v>
      </c>
      <c r="J96" s="244" t="str">
        <f t="shared" si="9"/>
        <v>BDC1S13</v>
      </c>
      <c r="K96" s="244" t="str">
        <f t="shared" si="10"/>
        <v>1</v>
      </c>
      <c r="L96" s="244">
        <f t="shared" si="11"/>
        <v>32</v>
      </c>
      <c r="M96" s="244">
        <f t="shared" si="12"/>
        <v>1000</v>
      </c>
      <c r="N96" s="244" t="str">
        <f t="shared" si="13"/>
        <v>1</v>
      </c>
      <c r="P96" s="244">
        <f t="shared" si="7"/>
        <v>1</v>
      </c>
      <c r="Q96" s="266" t="s">
        <v>294</v>
      </c>
      <c r="R96" s="267" t="s">
        <v>295</v>
      </c>
      <c r="S96" s="266" t="s">
        <v>29</v>
      </c>
      <c r="T96" s="266">
        <v>64</v>
      </c>
      <c r="U96" s="266">
        <v>1000</v>
      </c>
      <c r="V96" s="266" t="s">
        <v>31</v>
      </c>
      <c r="W96" s="266" t="s">
        <v>32</v>
      </c>
      <c r="X96" s="266"/>
      <c r="Y96" s="266" t="s">
        <v>7</v>
      </c>
      <c r="AA96" s="244" t="s">
        <v>275</v>
      </c>
      <c r="AB96" s="244" t="s">
        <v>274</v>
      </c>
      <c r="AC96" s="244" t="s">
        <v>29</v>
      </c>
      <c r="AD96" s="244">
        <v>32</v>
      </c>
      <c r="AE96" s="244">
        <v>1000</v>
      </c>
      <c r="AF96" s="244" t="s">
        <v>29</v>
      </c>
    </row>
    <row r="97" spans="1:32" ht="19.5" thickBot="1">
      <c r="A97" s="244" t="s">
        <v>881</v>
      </c>
      <c r="B97" s="244">
        <v>58</v>
      </c>
      <c r="C97" s="244" t="s">
        <v>289</v>
      </c>
      <c r="D97" s="244" t="s">
        <v>296</v>
      </c>
      <c r="E97" s="244">
        <v>40</v>
      </c>
      <c r="F97" s="244">
        <v>791</v>
      </c>
      <c r="G97" s="244" t="s">
        <v>7</v>
      </c>
      <c r="H97" s="244" t="s">
        <v>7634</v>
      </c>
      <c r="I97" s="265" t="str">
        <f t="shared" si="8"/>
        <v>314</v>
      </c>
      <c r="J97" s="244" t="str">
        <f t="shared" si="9"/>
        <v>ITS1S05</v>
      </c>
      <c r="K97" s="244" t="str">
        <f t="shared" si="10"/>
        <v>1</v>
      </c>
      <c r="L97" s="244">
        <f t="shared" si="11"/>
        <v>8</v>
      </c>
      <c r="M97" s="244">
        <f t="shared" si="12"/>
        <v>1000</v>
      </c>
      <c r="N97" s="244" t="str">
        <f t="shared" si="13"/>
        <v>0</v>
      </c>
      <c r="P97" s="244">
        <f t="shared" si="7"/>
        <v>1</v>
      </c>
      <c r="Q97" s="268" t="s">
        <v>288</v>
      </c>
      <c r="R97" s="269" t="s">
        <v>287</v>
      </c>
      <c r="S97" s="268" t="s">
        <v>29</v>
      </c>
      <c r="T97" s="268">
        <v>8</v>
      </c>
      <c r="U97" s="268">
        <v>1000</v>
      </c>
      <c r="V97" s="268" t="s">
        <v>31</v>
      </c>
      <c r="W97" s="266" t="s">
        <v>32</v>
      </c>
      <c r="X97" s="266"/>
      <c r="Y97" s="266" t="s">
        <v>7</v>
      </c>
      <c r="AA97" s="244" t="s">
        <v>278</v>
      </c>
      <c r="AB97" s="244" t="s">
        <v>277</v>
      </c>
      <c r="AC97" s="244" t="s">
        <v>29</v>
      </c>
      <c r="AD97" s="244">
        <v>8</v>
      </c>
      <c r="AE97" s="244">
        <v>1000</v>
      </c>
      <c r="AF97" s="244" t="s">
        <v>31</v>
      </c>
    </row>
    <row r="98" spans="1:32" ht="19.5" thickBot="1">
      <c r="A98" s="244" t="s">
        <v>7</v>
      </c>
      <c r="B98" s="244" t="s">
        <v>7</v>
      </c>
      <c r="C98" s="244" t="s">
        <v>297</v>
      </c>
      <c r="D98" s="244" t="s">
        <v>7560</v>
      </c>
      <c r="E98" s="244">
        <v>0</v>
      </c>
      <c r="F98" s="244">
        <v>792</v>
      </c>
      <c r="G98" s="244" t="s">
        <v>7</v>
      </c>
      <c r="H98" s="244" t="s">
        <v>297</v>
      </c>
      <c r="I98" s="265" t="str">
        <f t="shared" si="8"/>
        <v>317</v>
      </c>
      <c r="J98" s="244" t="str">
        <f t="shared" si="9"/>
        <v>DS11S37</v>
      </c>
      <c r="K98" s="244" t="str">
        <f t="shared" si="10"/>
        <v>1</v>
      </c>
      <c r="L98" s="244">
        <f t="shared" si="11"/>
        <v>8</v>
      </c>
      <c r="M98" s="244">
        <f t="shared" si="12"/>
        <v>1000</v>
      </c>
      <c r="N98" s="244" t="str">
        <f t="shared" si="13"/>
        <v>0</v>
      </c>
      <c r="P98" s="244">
        <f t="shared" si="7"/>
        <v>1</v>
      </c>
      <c r="Q98" s="266" t="s">
        <v>298</v>
      </c>
      <c r="R98" s="267" t="s">
        <v>299</v>
      </c>
      <c r="S98" s="266" t="s">
        <v>29</v>
      </c>
      <c r="T98" s="266">
        <v>8</v>
      </c>
      <c r="U98" s="266">
        <v>1000</v>
      </c>
      <c r="V98" s="266" t="s">
        <v>31</v>
      </c>
      <c r="W98" s="266" t="s">
        <v>32</v>
      </c>
      <c r="X98" s="266"/>
      <c r="Y98" s="266" t="s">
        <v>7</v>
      </c>
      <c r="AA98" s="244" t="s">
        <v>281</v>
      </c>
      <c r="AB98" s="244" t="s">
        <v>280</v>
      </c>
      <c r="AC98" s="244" t="s">
        <v>29</v>
      </c>
      <c r="AD98" s="244">
        <v>8</v>
      </c>
      <c r="AE98" s="244">
        <v>1000</v>
      </c>
      <c r="AF98" s="244" t="s">
        <v>31</v>
      </c>
    </row>
    <row r="99" spans="1:32" ht="19.5" thickBot="1">
      <c r="A99" s="244" t="s">
        <v>967</v>
      </c>
      <c r="B99" s="244">
        <v>142</v>
      </c>
      <c r="C99" s="244" t="s">
        <v>297</v>
      </c>
      <c r="D99" s="244" t="s">
        <v>71</v>
      </c>
      <c r="E99" s="244">
        <v>128</v>
      </c>
      <c r="F99" s="244">
        <v>792</v>
      </c>
      <c r="G99" s="244" t="s">
        <v>7</v>
      </c>
      <c r="H99" s="244" t="s">
        <v>7635</v>
      </c>
      <c r="I99" s="265" t="str">
        <f t="shared" si="8"/>
        <v>31F</v>
      </c>
      <c r="J99" s="244" t="str">
        <f t="shared" si="9"/>
        <v>BDC1SI5</v>
      </c>
      <c r="K99" s="244" t="str">
        <f t="shared" si="10"/>
        <v>1</v>
      </c>
      <c r="L99" s="244">
        <f t="shared" si="11"/>
        <v>64</v>
      </c>
      <c r="M99" s="244">
        <f t="shared" si="12"/>
        <v>1000</v>
      </c>
      <c r="N99" s="244" t="str">
        <f t="shared" si="13"/>
        <v>0</v>
      </c>
      <c r="P99" s="244">
        <f t="shared" si="7"/>
        <v>1</v>
      </c>
      <c r="Q99" s="266" t="s">
        <v>300</v>
      </c>
      <c r="R99" s="267" t="s">
        <v>301</v>
      </c>
      <c r="S99" s="266" t="s">
        <v>29</v>
      </c>
      <c r="T99" s="266">
        <v>32</v>
      </c>
      <c r="U99" s="266">
        <v>1000</v>
      </c>
      <c r="V99" s="266" t="s">
        <v>31</v>
      </c>
      <c r="W99" s="266" t="s">
        <v>32</v>
      </c>
      <c r="X99" s="266"/>
      <c r="Y99" s="266" t="s">
        <v>7</v>
      </c>
      <c r="AA99" s="244" t="s">
        <v>291</v>
      </c>
      <c r="AB99" s="244" t="s">
        <v>290</v>
      </c>
      <c r="AC99" s="244" t="s">
        <v>29</v>
      </c>
      <c r="AD99" s="244">
        <v>64</v>
      </c>
      <c r="AE99" s="244">
        <v>1000</v>
      </c>
      <c r="AF99" s="244" t="s">
        <v>31</v>
      </c>
    </row>
    <row r="100" spans="1:32" ht="19.5" thickBot="1">
      <c r="A100" s="244" t="s">
        <v>912</v>
      </c>
      <c r="B100" s="244">
        <v>88</v>
      </c>
      <c r="C100" s="244" t="s">
        <v>302</v>
      </c>
      <c r="D100" s="244" t="s">
        <v>7560</v>
      </c>
      <c r="E100" s="244">
        <v>0</v>
      </c>
      <c r="F100" s="244">
        <v>798</v>
      </c>
      <c r="G100" s="244" t="s">
        <v>7</v>
      </c>
      <c r="H100" s="244" t="s">
        <v>7636</v>
      </c>
      <c r="I100" s="265" t="str">
        <f t="shared" si="8"/>
        <v>337</v>
      </c>
      <c r="J100" s="244" t="str">
        <f t="shared" si="9"/>
        <v>BDC1S48</v>
      </c>
      <c r="K100" s="244" t="str">
        <f t="shared" si="10"/>
        <v>1</v>
      </c>
      <c r="L100" s="244">
        <f t="shared" si="11"/>
        <v>32</v>
      </c>
      <c r="M100" s="244">
        <f t="shared" si="12"/>
        <v>1000</v>
      </c>
      <c r="N100" s="244" t="str">
        <f t="shared" si="13"/>
        <v>0</v>
      </c>
      <c r="P100" s="244">
        <f t="shared" si="7"/>
        <v>1</v>
      </c>
      <c r="Q100" s="266" t="s">
        <v>303</v>
      </c>
      <c r="R100" s="267" t="s">
        <v>304</v>
      </c>
      <c r="S100" s="266" t="s">
        <v>29</v>
      </c>
      <c r="T100" s="266">
        <v>8</v>
      </c>
      <c r="U100" s="266">
        <v>1000</v>
      </c>
      <c r="V100" s="266" t="s">
        <v>31</v>
      </c>
      <c r="W100" s="266" t="s">
        <v>32</v>
      </c>
      <c r="X100" s="266"/>
      <c r="Y100" s="266" t="s">
        <v>7</v>
      </c>
      <c r="AA100" s="244" t="s">
        <v>305</v>
      </c>
      <c r="AB100" s="244" t="s">
        <v>306</v>
      </c>
      <c r="AC100" s="244" t="s">
        <v>29</v>
      </c>
      <c r="AD100" s="244">
        <v>32</v>
      </c>
      <c r="AE100" s="244">
        <v>1000</v>
      </c>
      <c r="AF100" s="244" t="s">
        <v>31</v>
      </c>
    </row>
    <row r="101" spans="1:32" ht="19.5" thickBot="1">
      <c r="A101" s="244" t="s">
        <v>7</v>
      </c>
      <c r="B101" s="244" t="s">
        <v>7</v>
      </c>
      <c r="C101" s="244" t="s">
        <v>307</v>
      </c>
      <c r="D101" s="244" t="s">
        <v>7560</v>
      </c>
      <c r="E101" s="244">
        <v>0</v>
      </c>
      <c r="F101" s="244">
        <v>800</v>
      </c>
      <c r="G101" s="244" t="s">
        <v>7</v>
      </c>
      <c r="H101" s="244" t="s">
        <v>307</v>
      </c>
      <c r="I101" s="265" t="str">
        <f t="shared" si="8"/>
        <v>33F</v>
      </c>
      <c r="J101" s="244" t="str">
        <f t="shared" si="9"/>
        <v>ZN11S63</v>
      </c>
      <c r="K101" s="244" t="str">
        <f t="shared" si="10"/>
        <v>1</v>
      </c>
      <c r="L101" s="244">
        <f t="shared" si="11"/>
        <v>32</v>
      </c>
      <c r="M101" s="244">
        <f t="shared" si="12"/>
        <v>1000</v>
      </c>
      <c r="N101" s="244" t="str">
        <f t="shared" si="13"/>
        <v>0</v>
      </c>
      <c r="P101" s="244">
        <f t="shared" si="7"/>
        <v>1</v>
      </c>
      <c r="Q101" s="266" t="s">
        <v>308</v>
      </c>
      <c r="R101" s="267" t="s">
        <v>309</v>
      </c>
      <c r="S101" s="266" t="s">
        <v>29</v>
      </c>
      <c r="T101" s="266">
        <v>8</v>
      </c>
      <c r="U101" s="266">
        <v>1000</v>
      </c>
      <c r="V101" s="266" t="s">
        <v>31</v>
      </c>
      <c r="W101" s="266" t="s">
        <v>32</v>
      </c>
      <c r="X101" s="266"/>
      <c r="Y101" s="266" t="s">
        <v>7</v>
      </c>
      <c r="AA101" s="244" t="s">
        <v>310</v>
      </c>
      <c r="AB101" s="244" t="s">
        <v>311</v>
      </c>
      <c r="AC101" s="244" t="s">
        <v>29</v>
      </c>
      <c r="AD101" s="244">
        <v>32</v>
      </c>
      <c r="AE101" s="244">
        <v>1000</v>
      </c>
      <c r="AF101" s="244" t="s">
        <v>31</v>
      </c>
    </row>
    <row r="102" spans="1:32" ht="19.5" thickBot="1">
      <c r="A102" s="244" t="s">
        <v>873</v>
      </c>
      <c r="B102" s="244">
        <v>50</v>
      </c>
      <c r="C102" s="244" t="s">
        <v>307</v>
      </c>
      <c r="D102" s="244" t="s">
        <v>312</v>
      </c>
      <c r="E102" s="244">
        <v>1</v>
      </c>
      <c r="F102" s="244">
        <v>800</v>
      </c>
      <c r="G102" s="244" t="s">
        <v>7</v>
      </c>
      <c r="H102" s="244" t="s">
        <v>7637</v>
      </c>
      <c r="I102" s="265" t="str">
        <f t="shared" si="8"/>
        <v>318</v>
      </c>
      <c r="J102" s="244" t="str">
        <f t="shared" si="9"/>
        <v>VAS1S01</v>
      </c>
      <c r="K102" s="244" t="str">
        <f t="shared" si="10"/>
        <v>1</v>
      </c>
      <c r="L102" s="244">
        <f t="shared" si="11"/>
        <v>8</v>
      </c>
      <c r="M102" s="244">
        <f t="shared" si="12"/>
        <v>1000</v>
      </c>
      <c r="N102" s="244" t="str">
        <f t="shared" si="13"/>
        <v>0</v>
      </c>
      <c r="P102" s="244">
        <f t="shared" si="7"/>
        <v>1</v>
      </c>
      <c r="Q102" s="266" t="s">
        <v>313</v>
      </c>
      <c r="R102" s="267" t="s">
        <v>314</v>
      </c>
      <c r="S102" s="266" t="s">
        <v>29</v>
      </c>
      <c r="T102" s="266">
        <v>8</v>
      </c>
      <c r="U102" s="266">
        <v>1000</v>
      </c>
      <c r="V102" s="266" t="s">
        <v>31</v>
      </c>
      <c r="W102" s="266" t="s">
        <v>32</v>
      </c>
      <c r="X102" s="266"/>
      <c r="Y102" s="266" t="s">
        <v>7</v>
      </c>
      <c r="AA102" s="244" t="s">
        <v>283</v>
      </c>
      <c r="AB102" s="244" t="s">
        <v>282</v>
      </c>
      <c r="AC102" s="244" t="s">
        <v>29</v>
      </c>
      <c r="AD102" s="244">
        <v>8</v>
      </c>
      <c r="AE102" s="244">
        <v>1000</v>
      </c>
      <c r="AF102" s="244" t="s">
        <v>31</v>
      </c>
    </row>
    <row r="103" spans="1:32" ht="19.5" thickBot="1">
      <c r="A103" s="244" t="s">
        <v>7</v>
      </c>
      <c r="B103" s="244" t="s">
        <v>7</v>
      </c>
      <c r="C103" s="244" t="s">
        <v>317</v>
      </c>
      <c r="D103" s="244" t="s">
        <v>7560</v>
      </c>
      <c r="E103" s="244">
        <v>0</v>
      </c>
      <c r="F103" s="244">
        <v>808</v>
      </c>
      <c r="G103" s="244" t="s">
        <v>7</v>
      </c>
      <c r="H103" s="244" t="s">
        <v>317</v>
      </c>
      <c r="I103" s="265" t="str">
        <f t="shared" si="8"/>
        <v>398</v>
      </c>
      <c r="J103" s="244" t="str">
        <f t="shared" si="9"/>
        <v>ZN11S25</v>
      </c>
      <c r="K103" s="244" t="str">
        <f t="shared" si="10"/>
        <v>1</v>
      </c>
      <c r="L103" s="244">
        <f t="shared" si="11"/>
        <v>32</v>
      </c>
      <c r="M103" s="244">
        <f t="shared" si="12"/>
        <v>1000</v>
      </c>
      <c r="N103" s="244" t="str">
        <f t="shared" si="13"/>
        <v>0</v>
      </c>
      <c r="P103" s="244">
        <f t="shared" si="7"/>
        <v>1</v>
      </c>
      <c r="Q103" s="266" t="s">
        <v>306</v>
      </c>
      <c r="R103" s="267" t="s">
        <v>305</v>
      </c>
      <c r="S103" s="266" t="s">
        <v>29</v>
      </c>
      <c r="T103" s="266">
        <v>32</v>
      </c>
      <c r="U103" s="266">
        <v>1000</v>
      </c>
      <c r="V103" s="266" t="s">
        <v>31</v>
      </c>
      <c r="W103" s="266" t="s">
        <v>32</v>
      </c>
      <c r="X103" s="266"/>
      <c r="Y103" s="266" t="s">
        <v>7</v>
      </c>
      <c r="AA103" s="244" t="s">
        <v>315</v>
      </c>
      <c r="AB103" s="244" t="s">
        <v>316</v>
      </c>
      <c r="AC103" s="244" t="s">
        <v>29</v>
      </c>
      <c r="AD103" s="244">
        <v>32</v>
      </c>
      <c r="AE103" s="244">
        <v>1000</v>
      </c>
      <c r="AF103" s="244" t="s">
        <v>31</v>
      </c>
    </row>
    <row r="104" spans="1:32" ht="19.5" thickBot="1">
      <c r="A104" s="244" t="s">
        <v>7</v>
      </c>
      <c r="B104" s="244" t="s">
        <v>7</v>
      </c>
      <c r="C104" s="244" t="s">
        <v>317</v>
      </c>
      <c r="D104" s="244" t="s">
        <v>44</v>
      </c>
      <c r="E104" s="244">
        <v>2</v>
      </c>
      <c r="F104" s="244">
        <v>808</v>
      </c>
      <c r="G104" s="244" t="s">
        <v>7</v>
      </c>
      <c r="H104" s="244" t="s">
        <v>7638</v>
      </c>
      <c r="I104" s="265" t="str">
        <f t="shared" si="8"/>
        <v>31E</v>
      </c>
      <c r="J104" s="244" t="str">
        <f t="shared" si="9"/>
        <v>BDC1SI4</v>
      </c>
      <c r="K104" s="244" t="str">
        <f t="shared" si="10"/>
        <v>1</v>
      </c>
      <c r="L104" s="244">
        <f t="shared" si="11"/>
        <v>64</v>
      </c>
      <c r="M104" s="244">
        <f t="shared" si="12"/>
        <v>1000</v>
      </c>
      <c r="N104" s="244" t="str">
        <f t="shared" si="13"/>
        <v>0</v>
      </c>
      <c r="P104" s="244">
        <f t="shared" si="7"/>
        <v>1</v>
      </c>
      <c r="Q104" s="266" t="s">
        <v>311</v>
      </c>
      <c r="R104" s="267" t="s">
        <v>310</v>
      </c>
      <c r="S104" s="266" t="s">
        <v>29</v>
      </c>
      <c r="T104" s="266">
        <v>32</v>
      </c>
      <c r="U104" s="266">
        <v>1000</v>
      </c>
      <c r="V104" s="266" t="s">
        <v>31</v>
      </c>
      <c r="W104" s="266" t="s">
        <v>32</v>
      </c>
      <c r="X104" s="266"/>
      <c r="Y104" s="266" t="s">
        <v>7</v>
      </c>
      <c r="AA104" s="244" t="s">
        <v>286</v>
      </c>
      <c r="AB104" s="244" t="s">
        <v>285</v>
      </c>
      <c r="AC104" s="244" t="s">
        <v>29</v>
      </c>
      <c r="AD104" s="244">
        <v>64</v>
      </c>
      <c r="AE104" s="244">
        <v>1000</v>
      </c>
      <c r="AF104" s="244" t="s">
        <v>31</v>
      </c>
    </row>
    <row r="105" spans="1:32" ht="19.5" thickBot="1">
      <c r="A105" s="244" t="s">
        <v>7</v>
      </c>
      <c r="B105" s="244" t="s">
        <v>7</v>
      </c>
      <c r="C105" s="244" t="s">
        <v>317</v>
      </c>
      <c r="D105" s="244" t="s">
        <v>253</v>
      </c>
      <c r="E105" s="244">
        <v>64</v>
      </c>
      <c r="F105" s="244">
        <v>808</v>
      </c>
      <c r="G105" s="244" t="s">
        <v>7</v>
      </c>
      <c r="H105" s="244" t="s">
        <v>7639</v>
      </c>
      <c r="I105" s="265" t="str">
        <f t="shared" si="8"/>
        <v>320</v>
      </c>
      <c r="J105" s="244" t="str">
        <f t="shared" si="9"/>
        <v>BDC1S14</v>
      </c>
      <c r="K105" s="244" t="str">
        <f t="shared" si="10"/>
        <v>1</v>
      </c>
      <c r="L105" s="244">
        <f t="shared" si="11"/>
        <v>32</v>
      </c>
      <c r="M105" s="244">
        <f t="shared" si="12"/>
        <v>1000</v>
      </c>
      <c r="N105" s="244" t="str">
        <f t="shared" si="13"/>
        <v>0</v>
      </c>
      <c r="P105" s="244">
        <f t="shared" si="7"/>
        <v>1</v>
      </c>
      <c r="Q105" s="266" t="s">
        <v>318</v>
      </c>
      <c r="R105" s="267" t="s">
        <v>319</v>
      </c>
      <c r="S105" s="266" t="s">
        <v>29</v>
      </c>
      <c r="T105" s="266">
        <v>8</v>
      </c>
      <c r="U105" s="266">
        <v>1000</v>
      </c>
      <c r="V105" s="266" t="s">
        <v>31</v>
      </c>
      <c r="W105" s="266" t="s">
        <v>32</v>
      </c>
      <c r="X105" s="266"/>
      <c r="Y105" s="266" t="s">
        <v>7</v>
      </c>
      <c r="AA105" s="244" t="s">
        <v>293</v>
      </c>
      <c r="AB105" s="244" t="s">
        <v>292</v>
      </c>
      <c r="AC105" s="244" t="s">
        <v>29</v>
      </c>
      <c r="AD105" s="244">
        <v>32</v>
      </c>
      <c r="AE105" s="244">
        <v>1000</v>
      </c>
      <c r="AF105" s="244" t="s">
        <v>31</v>
      </c>
    </row>
    <row r="106" spans="1:32" ht="19.5" thickBot="1">
      <c r="A106" s="244" t="s">
        <v>874</v>
      </c>
      <c r="B106" s="244">
        <v>51</v>
      </c>
      <c r="C106" s="244" t="s">
        <v>317</v>
      </c>
      <c r="D106" s="244" t="s">
        <v>320</v>
      </c>
      <c r="E106" s="244">
        <v>66</v>
      </c>
      <c r="F106" s="244">
        <v>808</v>
      </c>
      <c r="G106" s="244" t="s">
        <v>7</v>
      </c>
      <c r="H106" s="244" t="s">
        <v>7640</v>
      </c>
      <c r="I106" s="265" t="str">
        <f t="shared" si="8"/>
        <v>321</v>
      </c>
      <c r="J106" s="244" t="str">
        <f t="shared" si="9"/>
        <v>BDC1SI6</v>
      </c>
      <c r="K106" s="244" t="str">
        <f t="shared" si="10"/>
        <v>1</v>
      </c>
      <c r="L106" s="244">
        <f t="shared" si="11"/>
        <v>64</v>
      </c>
      <c r="M106" s="244">
        <f t="shared" si="12"/>
        <v>1000</v>
      </c>
      <c r="N106" s="244" t="str">
        <f t="shared" si="13"/>
        <v>0</v>
      </c>
      <c r="P106" s="244">
        <f t="shared" si="7"/>
        <v>1</v>
      </c>
      <c r="Q106" s="266" t="s">
        <v>321</v>
      </c>
      <c r="R106" s="267" t="s">
        <v>322</v>
      </c>
      <c r="S106" s="266" t="s">
        <v>29</v>
      </c>
      <c r="T106" s="266">
        <v>8</v>
      </c>
      <c r="U106" s="266">
        <v>1000</v>
      </c>
      <c r="V106" s="266" t="s">
        <v>31</v>
      </c>
      <c r="W106" s="266" t="s">
        <v>32</v>
      </c>
      <c r="X106" s="266"/>
      <c r="Y106" s="266" t="s">
        <v>7</v>
      </c>
      <c r="AA106" s="244" t="s">
        <v>295</v>
      </c>
      <c r="AB106" s="244" t="s">
        <v>294</v>
      </c>
      <c r="AC106" s="244" t="s">
        <v>29</v>
      </c>
      <c r="AD106" s="244">
        <v>64</v>
      </c>
      <c r="AE106" s="244">
        <v>1000</v>
      </c>
      <c r="AF106" s="244" t="s">
        <v>31</v>
      </c>
    </row>
    <row r="107" spans="1:32" ht="19.5" thickBot="1">
      <c r="A107" s="244" t="s">
        <v>960</v>
      </c>
      <c r="B107" s="244">
        <v>135</v>
      </c>
      <c r="C107" s="244" t="s">
        <v>323</v>
      </c>
      <c r="D107" s="244" t="s">
        <v>7560</v>
      </c>
      <c r="E107" s="244">
        <v>0</v>
      </c>
      <c r="F107" s="244">
        <v>815</v>
      </c>
      <c r="G107" s="244" t="s">
        <v>7</v>
      </c>
      <c r="H107" s="244" t="s">
        <v>7641</v>
      </c>
      <c r="I107" s="265" t="str">
        <f t="shared" si="8"/>
        <v>328</v>
      </c>
      <c r="J107" s="244" t="str">
        <f t="shared" si="9"/>
        <v>RST1S03</v>
      </c>
      <c r="K107" s="244" t="str">
        <f t="shared" si="10"/>
        <v>1</v>
      </c>
      <c r="L107" s="244">
        <f t="shared" si="11"/>
        <v>8</v>
      </c>
      <c r="M107" s="244">
        <f t="shared" si="12"/>
        <v>1000</v>
      </c>
      <c r="N107" s="244" t="str">
        <f t="shared" si="13"/>
        <v>0</v>
      </c>
      <c r="P107" s="244">
        <f t="shared" si="7"/>
        <v>1</v>
      </c>
      <c r="Q107" s="266" t="s">
        <v>324</v>
      </c>
      <c r="R107" s="267" t="s">
        <v>325</v>
      </c>
      <c r="S107" s="266" t="s">
        <v>29</v>
      </c>
      <c r="T107" s="266">
        <v>8</v>
      </c>
      <c r="U107" s="266">
        <v>1000</v>
      </c>
      <c r="V107" s="266" t="s">
        <v>31</v>
      </c>
      <c r="W107" s="266" t="s">
        <v>32</v>
      </c>
      <c r="X107" s="266"/>
      <c r="Y107" s="266" t="s">
        <v>7</v>
      </c>
      <c r="AA107" s="244" t="s">
        <v>299</v>
      </c>
      <c r="AB107" s="244" t="s">
        <v>298</v>
      </c>
      <c r="AC107" s="244" t="s">
        <v>29</v>
      </c>
      <c r="AD107" s="244">
        <v>8</v>
      </c>
      <c r="AE107" s="244">
        <v>1000</v>
      </c>
      <c r="AF107" s="244" t="s">
        <v>31</v>
      </c>
    </row>
    <row r="108" spans="1:32" ht="19.5" thickBot="1">
      <c r="A108" s="244" t="s">
        <v>7</v>
      </c>
      <c r="B108" s="244" t="s">
        <v>7</v>
      </c>
      <c r="C108" s="244" t="s">
        <v>326</v>
      </c>
      <c r="D108" s="244" t="s">
        <v>7560</v>
      </c>
      <c r="E108" s="244">
        <v>0</v>
      </c>
      <c r="F108" s="244">
        <v>821</v>
      </c>
      <c r="G108" s="244" t="s">
        <v>7</v>
      </c>
      <c r="H108" s="244" t="s">
        <v>326</v>
      </c>
      <c r="I108" s="265" t="str">
        <f t="shared" si="8"/>
        <v>32A</v>
      </c>
      <c r="J108" s="244" t="str">
        <f t="shared" si="9"/>
        <v>BDC1S16</v>
      </c>
      <c r="K108" s="244" t="str">
        <f t="shared" si="10"/>
        <v>1</v>
      </c>
      <c r="L108" s="244">
        <f t="shared" si="11"/>
        <v>32</v>
      </c>
      <c r="M108" s="244">
        <f t="shared" si="12"/>
        <v>1000</v>
      </c>
      <c r="N108" s="244" t="str">
        <f t="shared" si="13"/>
        <v>0</v>
      </c>
      <c r="P108" s="244">
        <f t="shared" si="7"/>
        <v>1</v>
      </c>
      <c r="Q108" s="266" t="s">
        <v>327</v>
      </c>
      <c r="R108" s="267" t="s">
        <v>328</v>
      </c>
      <c r="S108" s="266" t="s">
        <v>29</v>
      </c>
      <c r="T108" s="266">
        <v>8</v>
      </c>
      <c r="U108" s="266">
        <v>1000</v>
      </c>
      <c r="V108" s="266" t="s">
        <v>31</v>
      </c>
      <c r="W108" s="266" t="s">
        <v>32</v>
      </c>
      <c r="X108" s="266"/>
      <c r="Y108" s="266" t="s">
        <v>7</v>
      </c>
      <c r="AA108" s="244" t="s">
        <v>301</v>
      </c>
      <c r="AB108" s="244" t="s">
        <v>300</v>
      </c>
      <c r="AC108" s="244" t="s">
        <v>29</v>
      </c>
      <c r="AD108" s="244">
        <v>32</v>
      </c>
      <c r="AE108" s="244">
        <v>1000</v>
      </c>
      <c r="AF108" s="244" t="s">
        <v>31</v>
      </c>
    </row>
    <row r="109" spans="1:32" ht="19.5" thickBot="1">
      <c r="A109" s="244" t="s">
        <v>7</v>
      </c>
      <c r="B109" s="244" t="s">
        <v>7</v>
      </c>
      <c r="C109" s="244" t="s">
        <v>326</v>
      </c>
      <c r="D109" s="244" t="s">
        <v>253</v>
      </c>
      <c r="E109" s="244">
        <v>64</v>
      </c>
      <c r="F109" s="244">
        <v>821</v>
      </c>
      <c r="G109" s="244" t="s">
        <v>7</v>
      </c>
      <c r="H109" s="244" t="s">
        <v>7642</v>
      </c>
      <c r="I109" s="265" t="str">
        <f t="shared" si="8"/>
        <v>368</v>
      </c>
      <c r="J109" s="244" t="str">
        <f t="shared" si="9"/>
        <v>ZN11S19</v>
      </c>
      <c r="K109" s="244" t="str">
        <f t="shared" si="10"/>
        <v>1</v>
      </c>
      <c r="L109" s="244">
        <f t="shared" si="11"/>
        <v>32</v>
      </c>
      <c r="M109" s="244">
        <f t="shared" si="12"/>
        <v>1000</v>
      </c>
      <c r="N109" s="244" t="str">
        <f t="shared" si="13"/>
        <v>0</v>
      </c>
      <c r="P109" s="244">
        <f t="shared" si="7"/>
        <v>1</v>
      </c>
      <c r="Q109" s="266" t="s">
        <v>329</v>
      </c>
      <c r="R109" s="267" t="s">
        <v>330</v>
      </c>
      <c r="S109" s="266" t="s">
        <v>29</v>
      </c>
      <c r="T109" s="266">
        <v>8</v>
      </c>
      <c r="U109" s="266">
        <v>1000</v>
      </c>
      <c r="V109" s="266" t="s">
        <v>31</v>
      </c>
      <c r="W109" s="266" t="s">
        <v>32</v>
      </c>
      <c r="X109" s="266"/>
      <c r="Y109" s="266" t="s">
        <v>7</v>
      </c>
      <c r="AA109" s="244" t="s">
        <v>331</v>
      </c>
      <c r="AB109" s="244" t="s">
        <v>332</v>
      </c>
      <c r="AC109" s="244" t="s">
        <v>29</v>
      </c>
      <c r="AD109" s="244">
        <v>32</v>
      </c>
      <c r="AE109" s="244">
        <v>1000</v>
      </c>
      <c r="AF109" s="244" t="s">
        <v>31</v>
      </c>
    </row>
    <row r="110" spans="1:32" ht="19.5" thickBot="1">
      <c r="A110" s="244" t="s">
        <v>7</v>
      </c>
      <c r="B110" s="244" t="s">
        <v>7</v>
      </c>
      <c r="C110" s="244" t="s">
        <v>326</v>
      </c>
      <c r="D110" s="244" t="s">
        <v>71</v>
      </c>
      <c r="E110" s="244">
        <v>128</v>
      </c>
      <c r="F110" s="244">
        <v>821</v>
      </c>
      <c r="G110" s="244" t="s">
        <v>7</v>
      </c>
      <c r="H110" s="244" t="s">
        <v>7643</v>
      </c>
      <c r="I110" s="265" t="str">
        <f t="shared" si="8"/>
        <v>36A</v>
      </c>
      <c r="J110" s="244" t="str">
        <f t="shared" si="9"/>
        <v>ZN11S26</v>
      </c>
      <c r="K110" s="244" t="str">
        <f t="shared" si="10"/>
        <v>1</v>
      </c>
      <c r="L110" s="244">
        <f t="shared" si="11"/>
        <v>32</v>
      </c>
      <c r="M110" s="244">
        <f t="shared" si="12"/>
        <v>1000</v>
      </c>
      <c r="N110" s="244" t="str">
        <f t="shared" si="13"/>
        <v>0</v>
      </c>
      <c r="P110" s="244">
        <f t="shared" si="7"/>
        <v>1</v>
      </c>
      <c r="Q110" s="266" t="s">
        <v>333</v>
      </c>
      <c r="R110" s="267" t="s">
        <v>334</v>
      </c>
      <c r="S110" s="266" t="s">
        <v>29</v>
      </c>
      <c r="T110" s="266">
        <v>8</v>
      </c>
      <c r="U110" s="266">
        <v>1000</v>
      </c>
      <c r="V110" s="266" t="s">
        <v>31</v>
      </c>
      <c r="W110" s="266" t="s">
        <v>32</v>
      </c>
      <c r="X110" s="266"/>
      <c r="Y110" s="266" t="s">
        <v>7</v>
      </c>
      <c r="AA110" s="244" t="s">
        <v>335</v>
      </c>
      <c r="AB110" s="244" t="s">
        <v>336</v>
      </c>
      <c r="AC110" s="244" t="s">
        <v>29</v>
      </c>
      <c r="AD110" s="244">
        <v>32</v>
      </c>
      <c r="AE110" s="244">
        <v>1000</v>
      </c>
      <c r="AF110" s="244" t="s">
        <v>31</v>
      </c>
    </row>
    <row r="111" spans="1:32" ht="19.5" thickBot="1">
      <c r="A111" s="244" t="s">
        <v>869</v>
      </c>
      <c r="B111" s="244">
        <v>46</v>
      </c>
      <c r="C111" s="244" t="s">
        <v>326</v>
      </c>
      <c r="D111" s="244" t="s">
        <v>337</v>
      </c>
      <c r="E111" s="244">
        <v>192</v>
      </c>
      <c r="F111" s="244">
        <v>821</v>
      </c>
      <c r="G111" s="244" t="s">
        <v>7</v>
      </c>
      <c r="H111" s="244" t="s">
        <v>7644</v>
      </c>
      <c r="I111" s="265" t="str">
        <f t="shared" si="8"/>
        <v>32F</v>
      </c>
      <c r="J111" s="244" t="str">
        <f t="shared" si="9"/>
        <v>RSE1G24</v>
      </c>
      <c r="K111" s="244" t="str">
        <f t="shared" si="10"/>
        <v>1</v>
      </c>
      <c r="L111" s="244">
        <f t="shared" si="11"/>
        <v>8</v>
      </c>
      <c r="M111" s="244">
        <f t="shared" si="12"/>
        <v>1000</v>
      </c>
      <c r="N111" s="244" t="str">
        <f t="shared" si="13"/>
        <v>0</v>
      </c>
      <c r="P111" s="244">
        <f t="shared" si="7"/>
        <v>1</v>
      </c>
      <c r="Q111" s="266" t="s">
        <v>338</v>
      </c>
      <c r="R111" s="267" t="s">
        <v>339</v>
      </c>
      <c r="S111" s="266" t="s">
        <v>29</v>
      </c>
      <c r="T111" s="266">
        <v>64</v>
      </c>
      <c r="U111" s="266">
        <v>2000</v>
      </c>
      <c r="V111" s="266" t="s">
        <v>31</v>
      </c>
      <c r="W111" s="266" t="s">
        <v>32</v>
      </c>
      <c r="X111" s="266"/>
      <c r="Y111" s="266" t="s">
        <v>7</v>
      </c>
      <c r="AA111" s="244" t="s">
        <v>304</v>
      </c>
      <c r="AB111" s="244" t="s">
        <v>303</v>
      </c>
      <c r="AC111" s="244" t="s">
        <v>29</v>
      </c>
      <c r="AD111" s="244">
        <v>8</v>
      </c>
      <c r="AE111" s="244">
        <v>1000</v>
      </c>
      <c r="AF111" s="244" t="s">
        <v>31</v>
      </c>
    </row>
    <row r="112" spans="1:32" ht="19.5" thickBot="1">
      <c r="A112" s="244" t="s">
        <v>7</v>
      </c>
      <c r="B112" s="244" t="s">
        <v>7</v>
      </c>
      <c r="C112" s="244" t="s">
        <v>340</v>
      </c>
      <c r="D112" s="244" t="s">
        <v>7560</v>
      </c>
      <c r="E112" s="244">
        <v>0</v>
      </c>
      <c r="F112" s="244">
        <v>822</v>
      </c>
      <c r="G112" s="244" t="s">
        <v>7</v>
      </c>
      <c r="H112" s="244" t="s">
        <v>340</v>
      </c>
      <c r="I112" s="265" t="str">
        <f t="shared" si="8"/>
        <v>335</v>
      </c>
      <c r="J112" s="244" t="str">
        <f t="shared" si="9"/>
        <v>EIM1S01</v>
      </c>
      <c r="K112" s="244" t="str">
        <f t="shared" si="10"/>
        <v>1</v>
      </c>
      <c r="L112" s="244">
        <f t="shared" si="11"/>
        <v>8</v>
      </c>
      <c r="M112" s="244">
        <f t="shared" si="12"/>
        <v>1000</v>
      </c>
      <c r="N112" s="244" t="str">
        <f t="shared" si="13"/>
        <v>0</v>
      </c>
      <c r="P112" s="244">
        <f t="shared" si="7"/>
        <v>1</v>
      </c>
      <c r="Q112" s="266" t="s">
        <v>341</v>
      </c>
      <c r="R112" s="267" t="s">
        <v>342</v>
      </c>
      <c r="S112" s="266" t="s">
        <v>29</v>
      </c>
      <c r="T112" s="266">
        <v>8</v>
      </c>
      <c r="U112" s="266">
        <v>1000</v>
      </c>
      <c r="V112" s="266" t="s">
        <v>31</v>
      </c>
      <c r="W112" s="266" t="s">
        <v>32</v>
      </c>
      <c r="X112" s="266"/>
      <c r="Y112" s="266" t="s">
        <v>7</v>
      </c>
      <c r="AA112" s="244" t="s">
        <v>309</v>
      </c>
      <c r="AB112" s="244" t="s">
        <v>308</v>
      </c>
      <c r="AC112" s="244" t="s">
        <v>29</v>
      </c>
      <c r="AD112" s="244">
        <v>8</v>
      </c>
      <c r="AE112" s="244">
        <v>1000</v>
      </c>
      <c r="AF112" s="244" t="s">
        <v>31</v>
      </c>
    </row>
    <row r="113" spans="1:32" ht="19.5" thickBot="1">
      <c r="A113" s="244" t="s">
        <v>939</v>
      </c>
      <c r="B113" s="244">
        <v>114</v>
      </c>
      <c r="C113" s="244" t="s">
        <v>340</v>
      </c>
      <c r="D113" s="244" t="s">
        <v>71</v>
      </c>
      <c r="E113" s="244">
        <v>128</v>
      </c>
      <c r="F113" s="244">
        <v>822</v>
      </c>
      <c r="G113" s="244" t="s">
        <v>7</v>
      </c>
      <c r="H113" s="244" t="s">
        <v>7645</v>
      </c>
      <c r="I113" s="265" t="str">
        <f t="shared" si="8"/>
        <v>375</v>
      </c>
      <c r="J113" s="244" t="str">
        <f t="shared" si="9"/>
        <v>SCN1S02</v>
      </c>
      <c r="K113" s="244" t="str">
        <f t="shared" si="10"/>
        <v>1</v>
      </c>
      <c r="L113" s="244">
        <f t="shared" si="11"/>
        <v>8</v>
      </c>
      <c r="M113" s="244">
        <f t="shared" si="12"/>
        <v>1000</v>
      </c>
      <c r="N113" s="244" t="str">
        <f t="shared" si="13"/>
        <v>0</v>
      </c>
      <c r="P113" s="244">
        <f t="shared" si="7"/>
        <v>1</v>
      </c>
      <c r="Q113" s="266" t="s">
        <v>348</v>
      </c>
      <c r="R113" s="267" t="s">
        <v>349</v>
      </c>
      <c r="S113" s="266" t="s">
        <v>29</v>
      </c>
      <c r="T113" s="266">
        <v>32</v>
      </c>
      <c r="U113" s="266">
        <v>1000</v>
      </c>
      <c r="V113" s="266" t="s">
        <v>31</v>
      </c>
      <c r="W113" s="266" t="s">
        <v>32</v>
      </c>
      <c r="X113" s="266"/>
      <c r="Y113" s="266" t="s">
        <v>7</v>
      </c>
      <c r="AA113" s="244" t="s">
        <v>343</v>
      </c>
      <c r="AB113" s="244" t="s">
        <v>344</v>
      </c>
      <c r="AC113" s="244" t="s">
        <v>29</v>
      </c>
      <c r="AD113" s="244">
        <v>8</v>
      </c>
      <c r="AE113" s="244">
        <v>1000</v>
      </c>
      <c r="AF113" s="244" t="s">
        <v>31</v>
      </c>
    </row>
    <row r="114" spans="1:32" ht="19.5" thickBot="1">
      <c r="A114" s="244" t="s">
        <v>7</v>
      </c>
      <c r="B114" s="244" t="s">
        <v>7</v>
      </c>
      <c r="C114" s="244" t="s">
        <v>345</v>
      </c>
      <c r="D114" s="244" t="s">
        <v>7560</v>
      </c>
      <c r="E114" s="244">
        <v>0</v>
      </c>
      <c r="F114" s="244">
        <v>833</v>
      </c>
      <c r="G114" s="244" t="s">
        <v>7</v>
      </c>
      <c r="H114" s="244" t="s">
        <v>345</v>
      </c>
      <c r="I114" s="265" t="str">
        <f t="shared" si="8"/>
        <v>3B5</v>
      </c>
      <c r="J114" s="244" t="str">
        <f t="shared" si="9"/>
        <v>BDB1S35</v>
      </c>
      <c r="K114" s="244" t="str">
        <f t="shared" si="10"/>
        <v>1</v>
      </c>
      <c r="L114" s="244">
        <f t="shared" si="11"/>
        <v>8</v>
      </c>
      <c r="M114" s="244">
        <f t="shared" si="12"/>
        <v>1000</v>
      </c>
      <c r="N114" s="244" t="str">
        <f t="shared" si="13"/>
        <v>0</v>
      </c>
      <c r="P114" s="244">
        <f t="shared" si="7"/>
        <v>1</v>
      </c>
      <c r="Q114" s="266" t="s">
        <v>353</v>
      </c>
      <c r="R114" s="267" t="s">
        <v>354</v>
      </c>
      <c r="S114" s="266" t="s">
        <v>29</v>
      </c>
      <c r="T114" s="266">
        <v>32</v>
      </c>
      <c r="U114" s="266">
        <v>1000</v>
      </c>
      <c r="V114" s="266" t="s">
        <v>31</v>
      </c>
      <c r="W114" s="266" t="s">
        <v>32</v>
      </c>
      <c r="X114" s="266"/>
      <c r="Y114" s="266" t="s">
        <v>7</v>
      </c>
      <c r="AA114" s="244" t="s">
        <v>346</v>
      </c>
      <c r="AB114" s="244" t="s">
        <v>347</v>
      </c>
      <c r="AC114" s="244" t="s">
        <v>29</v>
      </c>
      <c r="AD114" s="244">
        <v>8</v>
      </c>
      <c r="AE114" s="244">
        <v>1000</v>
      </c>
      <c r="AF114" s="244" t="s">
        <v>31</v>
      </c>
    </row>
    <row r="115" spans="1:32" ht="19.5" thickBot="1">
      <c r="A115" s="244" t="s">
        <v>883</v>
      </c>
      <c r="B115" s="244">
        <v>60</v>
      </c>
      <c r="C115" s="244" t="s">
        <v>345</v>
      </c>
      <c r="D115" s="244" t="s">
        <v>273</v>
      </c>
      <c r="E115" s="244">
        <v>32</v>
      </c>
      <c r="F115" s="244">
        <v>833</v>
      </c>
      <c r="G115" s="244" t="s">
        <v>7</v>
      </c>
      <c r="H115" s="244" t="s">
        <v>7646</v>
      </c>
      <c r="I115" s="265" t="str">
        <f t="shared" si="8"/>
        <v>3F5</v>
      </c>
      <c r="J115" s="244" t="str">
        <f t="shared" si="9"/>
        <v>BDC1SE7</v>
      </c>
      <c r="K115" s="244" t="str">
        <f t="shared" si="10"/>
        <v>1</v>
      </c>
      <c r="L115" s="244">
        <f t="shared" si="11"/>
        <v>64</v>
      </c>
      <c r="M115" s="244">
        <f t="shared" si="12"/>
        <v>1000</v>
      </c>
      <c r="N115" s="244" t="str">
        <f t="shared" si="13"/>
        <v>1</v>
      </c>
      <c r="P115" s="244">
        <f t="shared" si="7"/>
        <v>1</v>
      </c>
      <c r="Q115" s="266" t="s">
        <v>356</v>
      </c>
      <c r="R115" s="267" t="s">
        <v>357</v>
      </c>
      <c r="S115" s="266" t="s">
        <v>29</v>
      </c>
      <c r="T115" s="266">
        <v>32</v>
      </c>
      <c r="U115" s="266">
        <v>1000</v>
      </c>
      <c r="V115" s="266" t="s">
        <v>29</v>
      </c>
      <c r="W115" s="266" t="s">
        <v>32</v>
      </c>
      <c r="X115" s="266"/>
      <c r="Y115" s="266" t="s">
        <v>7</v>
      </c>
      <c r="AA115" s="244" t="s">
        <v>350</v>
      </c>
      <c r="AB115" s="244" t="s">
        <v>351</v>
      </c>
      <c r="AC115" s="244" t="s">
        <v>29</v>
      </c>
      <c r="AD115" s="244">
        <v>64</v>
      </c>
      <c r="AE115" s="244">
        <v>1000</v>
      </c>
      <c r="AF115" s="244" t="s">
        <v>29</v>
      </c>
    </row>
    <row r="116" spans="1:32" ht="19.5" thickBot="1">
      <c r="A116" s="244" t="s">
        <v>964</v>
      </c>
      <c r="B116" s="244">
        <v>139</v>
      </c>
      <c r="C116" s="244" t="s">
        <v>352</v>
      </c>
      <c r="D116" s="244" t="s">
        <v>7560</v>
      </c>
      <c r="E116" s="244">
        <v>0</v>
      </c>
      <c r="F116" s="244">
        <v>839</v>
      </c>
      <c r="G116" s="244" t="s">
        <v>7</v>
      </c>
      <c r="H116" s="244" t="s">
        <v>352</v>
      </c>
      <c r="I116" s="265" t="str">
        <f t="shared" si="8"/>
        <v>336</v>
      </c>
      <c r="J116" s="244" t="str">
        <f t="shared" si="9"/>
        <v>RSE1G25</v>
      </c>
      <c r="K116" s="244" t="str">
        <f t="shared" si="10"/>
        <v>1</v>
      </c>
      <c r="L116" s="244">
        <f t="shared" si="11"/>
        <v>8</v>
      </c>
      <c r="M116" s="244">
        <f t="shared" si="12"/>
        <v>1000</v>
      </c>
      <c r="N116" s="244" t="str">
        <f t="shared" si="13"/>
        <v>0</v>
      </c>
      <c r="P116" s="244">
        <f t="shared" si="7"/>
        <v>1</v>
      </c>
      <c r="Q116" s="266" t="s">
        <v>360</v>
      </c>
      <c r="R116" s="267" t="s">
        <v>361</v>
      </c>
      <c r="S116" s="266" t="s">
        <v>29</v>
      </c>
      <c r="T116" s="266">
        <v>32</v>
      </c>
      <c r="U116" s="266">
        <v>1000</v>
      </c>
      <c r="V116" s="266" t="s">
        <v>29</v>
      </c>
      <c r="W116" s="266" t="s">
        <v>32</v>
      </c>
      <c r="X116" s="266"/>
      <c r="Y116" s="266" t="s">
        <v>7</v>
      </c>
      <c r="AA116" s="244" t="s">
        <v>314</v>
      </c>
      <c r="AB116" s="244" t="s">
        <v>313</v>
      </c>
      <c r="AC116" s="244" t="s">
        <v>29</v>
      </c>
      <c r="AD116" s="244">
        <v>8</v>
      </c>
      <c r="AE116" s="244">
        <v>1000</v>
      </c>
      <c r="AF116" s="244" t="s">
        <v>31</v>
      </c>
    </row>
    <row r="117" spans="1:32" ht="19.5" thickBot="1">
      <c r="A117" s="244" t="s">
        <v>7</v>
      </c>
      <c r="B117" s="244" t="s">
        <v>7</v>
      </c>
      <c r="C117" s="244" t="s">
        <v>355</v>
      </c>
      <c r="D117" s="244" t="s">
        <v>7560</v>
      </c>
      <c r="E117" s="244">
        <v>0</v>
      </c>
      <c r="F117" s="244">
        <v>840</v>
      </c>
      <c r="G117" s="244" t="s">
        <v>7</v>
      </c>
      <c r="H117" s="244" t="s">
        <v>355</v>
      </c>
      <c r="I117" s="265" t="str">
        <f t="shared" si="8"/>
        <v>3B6</v>
      </c>
      <c r="J117" s="244" t="str">
        <f t="shared" si="9"/>
        <v>EHV1S90</v>
      </c>
      <c r="K117" s="244" t="str">
        <f t="shared" si="10"/>
        <v>1</v>
      </c>
      <c r="L117" s="244">
        <f t="shared" si="11"/>
        <v>8</v>
      </c>
      <c r="M117" s="244">
        <f t="shared" si="12"/>
        <v>1000</v>
      </c>
      <c r="N117" s="244" t="str">
        <f t="shared" si="13"/>
        <v>0</v>
      </c>
      <c r="P117" s="244">
        <f t="shared" si="7"/>
        <v>1</v>
      </c>
      <c r="Q117" s="266" t="s">
        <v>362</v>
      </c>
      <c r="R117" s="267" t="s">
        <v>363</v>
      </c>
      <c r="S117" s="266" t="s">
        <v>29</v>
      </c>
      <c r="T117" s="266">
        <v>32</v>
      </c>
      <c r="U117" s="266">
        <v>1000</v>
      </c>
      <c r="V117" s="266" t="s">
        <v>29</v>
      </c>
      <c r="W117" s="266" t="s">
        <v>32</v>
      </c>
      <c r="X117" s="266"/>
      <c r="Y117" s="266" t="s">
        <v>7</v>
      </c>
      <c r="AA117" s="244" t="s">
        <v>358</v>
      </c>
      <c r="AB117" s="244" t="s">
        <v>359</v>
      </c>
      <c r="AC117" s="244" t="s">
        <v>29</v>
      </c>
      <c r="AD117" s="244">
        <v>8</v>
      </c>
      <c r="AE117" s="244">
        <v>1000</v>
      </c>
      <c r="AF117" s="244" t="s">
        <v>31</v>
      </c>
    </row>
    <row r="118" spans="1:32" ht="19.5" thickBot="1">
      <c r="A118" s="244" t="s">
        <v>7</v>
      </c>
      <c r="B118" s="244" t="s">
        <v>7</v>
      </c>
      <c r="C118" s="244" t="s">
        <v>355</v>
      </c>
      <c r="D118" s="244" t="s">
        <v>312</v>
      </c>
      <c r="E118" s="244">
        <v>1</v>
      </c>
      <c r="F118" s="244">
        <v>840</v>
      </c>
      <c r="G118" s="244" t="s">
        <v>7</v>
      </c>
      <c r="H118" s="244" t="s">
        <v>7647</v>
      </c>
      <c r="I118" s="265" t="str">
        <f t="shared" si="8"/>
        <v>341</v>
      </c>
      <c r="J118" s="244" t="str">
        <f t="shared" si="9"/>
        <v>BDC1S74</v>
      </c>
      <c r="K118" s="244" t="str">
        <f t="shared" si="10"/>
        <v>1</v>
      </c>
      <c r="L118" s="244">
        <f t="shared" si="11"/>
        <v>8</v>
      </c>
      <c r="M118" s="244">
        <f t="shared" si="12"/>
        <v>1000</v>
      </c>
      <c r="N118" s="244" t="str">
        <f t="shared" si="13"/>
        <v>0</v>
      </c>
      <c r="P118" s="244">
        <f t="shared" si="7"/>
        <v>1</v>
      </c>
      <c r="Q118" s="266" t="s">
        <v>367</v>
      </c>
      <c r="R118" s="267" t="s">
        <v>368</v>
      </c>
      <c r="S118" s="266" t="s">
        <v>29</v>
      </c>
      <c r="T118" s="266">
        <v>32</v>
      </c>
      <c r="U118" s="266">
        <v>1000</v>
      </c>
      <c r="V118" s="266" t="s">
        <v>31</v>
      </c>
      <c r="W118" s="266" t="s">
        <v>32</v>
      </c>
      <c r="X118" s="266"/>
      <c r="Y118" s="266" t="s">
        <v>7</v>
      </c>
      <c r="AA118" s="244" t="s">
        <v>319</v>
      </c>
      <c r="AB118" s="244" t="s">
        <v>318</v>
      </c>
      <c r="AC118" s="244" t="s">
        <v>29</v>
      </c>
      <c r="AD118" s="244">
        <v>8</v>
      </c>
      <c r="AE118" s="244">
        <v>1000</v>
      </c>
      <c r="AF118" s="244" t="s">
        <v>31</v>
      </c>
    </row>
    <row r="119" spans="1:32" ht="19.5" thickBot="1">
      <c r="A119" s="244" t="s">
        <v>7</v>
      </c>
      <c r="B119" s="244" t="s">
        <v>7</v>
      </c>
      <c r="C119" s="244" t="s">
        <v>355</v>
      </c>
      <c r="D119" s="244" t="s">
        <v>102</v>
      </c>
      <c r="E119" s="244">
        <v>4</v>
      </c>
      <c r="F119" s="244">
        <v>840</v>
      </c>
      <c r="G119" s="244" t="s">
        <v>7</v>
      </c>
      <c r="H119" s="244" t="s">
        <v>7648</v>
      </c>
      <c r="I119" s="265" t="str">
        <f t="shared" si="8"/>
        <v>361</v>
      </c>
      <c r="J119" s="244" t="str">
        <f t="shared" si="9"/>
        <v>BDC1SJ4</v>
      </c>
      <c r="K119" s="244" t="str">
        <f t="shared" si="10"/>
        <v>1</v>
      </c>
      <c r="L119" s="244">
        <f t="shared" si="11"/>
        <v>64</v>
      </c>
      <c r="M119" s="244">
        <f t="shared" si="12"/>
        <v>2000</v>
      </c>
      <c r="N119" s="244" t="str">
        <f t="shared" si="13"/>
        <v>0</v>
      </c>
      <c r="P119" s="244">
        <f t="shared" si="7"/>
        <v>1</v>
      </c>
      <c r="Q119" s="266" t="s">
        <v>365</v>
      </c>
      <c r="R119" s="267" t="s">
        <v>364</v>
      </c>
      <c r="S119" s="266" t="s">
        <v>29</v>
      </c>
      <c r="T119" s="266">
        <v>64</v>
      </c>
      <c r="U119" s="266">
        <v>2000</v>
      </c>
      <c r="V119" s="266" t="s">
        <v>31</v>
      </c>
      <c r="W119" s="266" t="s">
        <v>32</v>
      </c>
      <c r="X119" s="266"/>
      <c r="Y119" s="266" t="s">
        <v>7</v>
      </c>
      <c r="AA119" s="244" t="s">
        <v>364</v>
      </c>
      <c r="AB119" s="244" t="s">
        <v>365</v>
      </c>
      <c r="AC119" s="244" t="s">
        <v>29</v>
      </c>
      <c r="AD119" s="244">
        <v>64</v>
      </c>
      <c r="AE119" s="244">
        <v>2000</v>
      </c>
      <c r="AF119" s="244" t="s">
        <v>31</v>
      </c>
    </row>
    <row r="120" spans="1:32" ht="19.5" thickBot="1">
      <c r="A120" s="244" t="s">
        <v>847</v>
      </c>
      <c r="B120" s="244">
        <v>25</v>
      </c>
      <c r="C120" s="244" t="s">
        <v>355</v>
      </c>
      <c r="D120" s="244" t="s">
        <v>366</v>
      </c>
      <c r="E120" s="244">
        <v>5</v>
      </c>
      <c r="F120" s="244">
        <v>840</v>
      </c>
      <c r="G120" s="244" t="s">
        <v>7</v>
      </c>
      <c r="H120" s="244" t="s">
        <v>7649</v>
      </c>
      <c r="I120" s="265" t="str">
        <f t="shared" si="8"/>
        <v>347</v>
      </c>
      <c r="J120" s="244" t="str">
        <f t="shared" si="9"/>
        <v>TPM1S04</v>
      </c>
      <c r="K120" s="244" t="str">
        <f t="shared" si="10"/>
        <v>1</v>
      </c>
      <c r="L120" s="244">
        <f t="shared" si="11"/>
        <v>8</v>
      </c>
      <c r="M120" s="244">
        <f t="shared" si="12"/>
        <v>1000</v>
      </c>
      <c r="N120" s="244" t="str">
        <f t="shared" si="13"/>
        <v>0</v>
      </c>
      <c r="P120" s="244">
        <f t="shared" si="7"/>
        <v>1</v>
      </c>
      <c r="Q120" s="266" t="s">
        <v>370</v>
      </c>
      <c r="R120" s="267" t="s">
        <v>371</v>
      </c>
      <c r="S120" s="266" t="s">
        <v>29</v>
      </c>
      <c r="T120" s="266">
        <v>32</v>
      </c>
      <c r="U120" s="266" t="s">
        <v>30</v>
      </c>
      <c r="V120" s="266" t="s">
        <v>31</v>
      </c>
      <c r="W120" s="266" t="s">
        <v>32</v>
      </c>
      <c r="X120" s="266"/>
      <c r="Y120" s="266" t="s">
        <v>7</v>
      </c>
      <c r="AA120" s="244" t="s">
        <v>322</v>
      </c>
      <c r="AB120" s="244" t="s">
        <v>321</v>
      </c>
      <c r="AC120" s="244" t="s">
        <v>29</v>
      </c>
      <c r="AD120" s="244">
        <v>8</v>
      </c>
      <c r="AE120" s="244">
        <v>1000</v>
      </c>
      <c r="AF120" s="244" t="s">
        <v>31</v>
      </c>
    </row>
    <row r="121" spans="1:32" ht="19.5" thickBot="1">
      <c r="A121" s="244" t="s">
        <v>7</v>
      </c>
      <c r="B121" s="244" t="s">
        <v>7</v>
      </c>
      <c r="C121" s="244" t="s">
        <v>369</v>
      </c>
      <c r="D121" s="244" t="s">
        <v>7560</v>
      </c>
      <c r="E121" s="244">
        <v>0</v>
      </c>
      <c r="F121" s="244">
        <v>846</v>
      </c>
      <c r="G121" s="244" t="s">
        <v>7</v>
      </c>
      <c r="H121" s="244" t="s">
        <v>7650</v>
      </c>
      <c r="I121" s="265" t="str">
        <f t="shared" si="8"/>
        <v>348</v>
      </c>
      <c r="J121" s="244" t="str">
        <f t="shared" si="9"/>
        <v>DCM1S08</v>
      </c>
      <c r="K121" s="244" t="str">
        <f t="shared" si="10"/>
        <v>1</v>
      </c>
      <c r="L121" s="244">
        <f t="shared" si="11"/>
        <v>8</v>
      </c>
      <c r="M121" s="244">
        <f t="shared" si="12"/>
        <v>1000</v>
      </c>
      <c r="N121" s="244" t="str">
        <f t="shared" si="13"/>
        <v>0</v>
      </c>
      <c r="P121" s="244">
        <f t="shared" si="7"/>
        <v>1</v>
      </c>
      <c r="Q121" s="266" t="s">
        <v>372</v>
      </c>
      <c r="R121" s="267" t="s">
        <v>373</v>
      </c>
      <c r="S121" s="266" t="s">
        <v>29</v>
      </c>
      <c r="T121" s="266">
        <v>8</v>
      </c>
      <c r="U121" s="266">
        <v>1000</v>
      </c>
      <c r="V121" s="266" t="s">
        <v>31</v>
      </c>
      <c r="W121" s="266" t="s">
        <v>32</v>
      </c>
      <c r="X121" s="266"/>
      <c r="Y121" s="266" t="s">
        <v>7</v>
      </c>
      <c r="AA121" s="244" t="s">
        <v>325</v>
      </c>
      <c r="AB121" s="244" t="s">
        <v>324</v>
      </c>
      <c r="AC121" s="244" t="s">
        <v>29</v>
      </c>
      <c r="AD121" s="244">
        <v>8</v>
      </c>
      <c r="AE121" s="244">
        <v>1000</v>
      </c>
      <c r="AF121" s="244" t="s">
        <v>31</v>
      </c>
    </row>
    <row r="122" spans="1:32" ht="19.5" thickBot="1">
      <c r="A122" s="244" t="s">
        <v>901</v>
      </c>
      <c r="B122" s="244">
        <v>77</v>
      </c>
      <c r="C122" s="244" t="s">
        <v>369</v>
      </c>
      <c r="D122" s="244" t="s">
        <v>312</v>
      </c>
      <c r="E122" s="244">
        <v>1</v>
      </c>
      <c r="F122" s="244">
        <v>846</v>
      </c>
      <c r="G122" s="244" t="s">
        <v>7</v>
      </c>
      <c r="H122" s="244" t="s">
        <v>7651</v>
      </c>
      <c r="I122" s="265" t="str">
        <f t="shared" si="8"/>
        <v>349</v>
      </c>
      <c r="J122" s="244" t="str">
        <f t="shared" si="9"/>
        <v>ADC1S30</v>
      </c>
      <c r="K122" s="244" t="str">
        <f t="shared" si="10"/>
        <v>1</v>
      </c>
      <c r="L122" s="244">
        <f t="shared" si="11"/>
        <v>8</v>
      </c>
      <c r="M122" s="244">
        <f t="shared" si="12"/>
        <v>1000</v>
      </c>
      <c r="N122" s="244" t="str">
        <f t="shared" si="13"/>
        <v>0</v>
      </c>
      <c r="P122" s="244">
        <f t="shared" si="7"/>
        <v>1</v>
      </c>
      <c r="Q122" s="266" t="s">
        <v>374</v>
      </c>
      <c r="R122" s="267" t="s">
        <v>375</v>
      </c>
      <c r="S122" s="266" t="s">
        <v>29</v>
      </c>
      <c r="T122" s="266">
        <v>8</v>
      </c>
      <c r="U122" s="266">
        <v>1000</v>
      </c>
      <c r="V122" s="266" t="s">
        <v>31</v>
      </c>
      <c r="W122" s="266" t="s">
        <v>32</v>
      </c>
      <c r="X122" s="266"/>
      <c r="Y122" s="266" t="s">
        <v>7</v>
      </c>
      <c r="AA122" s="244" t="s">
        <v>328</v>
      </c>
      <c r="AB122" s="244" t="s">
        <v>327</v>
      </c>
      <c r="AC122" s="244" t="s">
        <v>29</v>
      </c>
      <c r="AD122" s="244">
        <v>8</v>
      </c>
      <c r="AE122" s="244">
        <v>1000</v>
      </c>
      <c r="AF122" s="244" t="s">
        <v>31</v>
      </c>
    </row>
    <row r="123" spans="1:32" ht="19.5" thickBot="1">
      <c r="A123" s="244" t="s">
        <v>7</v>
      </c>
      <c r="B123" s="244" t="s">
        <v>7</v>
      </c>
      <c r="C123" s="244" t="s">
        <v>376</v>
      </c>
      <c r="D123" s="244" t="s">
        <v>7560</v>
      </c>
      <c r="E123" s="244">
        <v>0</v>
      </c>
      <c r="F123" s="244">
        <v>851</v>
      </c>
      <c r="G123" s="244" t="s">
        <v>7</v>
      </c>
      <c r="H123" s="244" t="s">
        <v>376</v>
      </c>
      <c r="I123" s="265" t="str">
        <f t="shared" si="8"/>
        <v>34C</v>
      </c>
      <c r="J123" s="244" t="str">
        <f t="shared" si="9"/>
        <v>TPM1S05</v>
      </c>
      <c r="K123" s="244" t="str">
        <f t="shared" si="10"/>
        <v>1</v>
      </c>
      <c r="L123" s="244">
        <f t="shared" si="11"/>
        <v>8</v>
      </c>
      <c r="M123" s="244">
        <f t="shared" si="12"/>
        <v>1000</v>
      </c>
      <c r="N123" s="244" t="str">
        <f t="shared" si="13"/>
        <v>0</v>
      </c>
      <c r="P123" s="244">
        <f t="shared" si="7"/>
        <v>1</v>
      </c>
      <c r="Q123" s="266" t="s">
        <v>332</v>
      </c>
      <c r="R123" s="267" t="s">
        <v>331</v>
      </c>
      <c r="S123" s="266" t="s">
        <v>29</v>
      </c>
      <c r="T123" s="266">
        <v>32</v>
      </c>
      <c r="U123" s="266">
        <v>1000</v>
      </c>
      <c r="V123" s="266" t="s">
        <v>31</v>
      </c>
      <c r="W123" s="266" t="s">
        <v>32</v>
      </c>
      <c r="X123" s="266"/>
      <c r="Y123" s="266" t="s">
        <v>7</v>
      </c>
      <c r="AA123" s="244" t="s">
        <v>330</v>
      </c>
      <c r="AB123" s="244" t="s">
        <v>329</v>
      </c>
      <c r="AC123" s="244" t="s">
        <v>29</v>
      </c>
      <c r="AD123" s="244">
        <v>8</v>
      </c>
      <c r="AE123" s="244">
        <v>1000</v>
      </c>
      <c r="AF123" s="244" t="s">
        <v>31</v>
      </c>
    </row>
    <row r="124" spans="1:32" ht="19.5" thickBot="1">
      <c r="A124" s="244" t="s">
        <v>875</v>
      </c>
      <c r="B124" s="244">
        <v>52</v>
      </c>
      <c r="C124" s="244" t="s">
        <v>376</v>
      </c>
      <c r="D124" s="244" t="s">
        <v>273</v>
      </c>
      <c r="E124" s="244">
        <v>32</v>
      </c>
      <c r="F124" s="244">
        <v>851</v>
      </c>
      <c r="G124" s="244" t="s">
        <v>7</v>
      </c>
      <c r="H124" s="244" t="s">
        <v>7652</v>
      </c>
      <c r="I124" s="265" t="str">
        <f t="shared" si="8"/>
        <v>34D</v>
      </c>
      <c r="J124" s="244" t="str">
        <f t="shared" si="9"/>
        <v>RSE1G26</v>
      </c>
      <c r="K124" s="244" t="str">
        <f t="shared" si="10"/>
        <v>1</v>
      </c>
      <c r="L124" s="244">
        <f t="shared" si="11"/>
        <v>8</v>
      </c>
      <c r="M124" s="244">
        <f t="shared" si="12"/>
        <v>1000</v>
      </c>
      <c r="N124" s="244" t="str">
        <f t="shared" si="13"/>
        <v>0</v>
      </c>
      <c r="P124" s="244">
        <f t="shared" si="7"/>
        <v>1</v>
      </c>
      <c r="Q124" s="266" t="s">
        <v>336</v>
      </c>
      <c r="R124" s="267" t="s">
        <v>335</v>
      </c>
      <c r="S124" s="266" t="s">
        <v>29</v>
      </c>
      <c r="T124" s="266">
        <v>32</v>
      </c>
      <c r="U124" s="266">
        <v>1000</v>
      </c>
      <c r="V124" s="266" t="s">
        <v>31</v>
      </c>
      <c r="W124" s="266" t="s">
        <v>32</v>
      </c>
      <c r="X124" s="266"/>
      <c r="Y124" s="266" t="s">
        <v>7</v>
      </c>
      <c r="AA124" s="244" t="s">
        <v>334</v>
      </c>
      <c r="AB124" s="244" t="s">
        <v>333</v>
      </c>
      <c r="AC124" s="244" t="s">
        <v>29</v>
      </c>
      <c r="AD124" s="244">
        <v>8</v>
      </c>
      <c r="AE124" s="244">
        <v>1000</v>
      </c>
      <c r="AF124" s="244" t="s">
        <v>31</v>
      </c>
    </row>
    <row r="125" spans="1:32" ht="19.5" thickBot="1">
      <c r="A125" s="244" t="s">
        <v>7</v>
      </c>
      <c r="B125" s="244" t="s">
        <v>7</v>
      </c>
      <c r="C125" s="244" t="s">
        <v>377</v>
      </c>
      <c r="D125" s="244" t="s">
        <v>7560</v>
      </c>
      <c r="E125" s="244">
        <v>0</v>
      </c>
      <c r="F125" s="244">
        <v>852</v>
      </c>
      <c r="G125" s="244" t="s">
        <v>7</v>
      </c>
      <c r="H125" s="244" t="s">
        <v>377</v>
      </c>
      <c r="I125" s="265" t="str">
        <f t="shared" si="8"/>
        <v>34E</v>
      </c>
      <c r="J125" s="244" t="str">
        <f t="shared" si="9"/>
        <v>BDC1SF5</v>
      </c>
      <c r="K125" s="244" t="str">
        <f t="shared" si="10"/>
        <v>1</v>
      </c>
      <c r="L125" s="244">
        <f t="shared" si="11"/>
        <v>64</v>
      </c>
      <c r="M125" s="244">
        <f t="shared" si="12"/>
        <v>2000</v>
      </c>
      <c r="N125" s="244" t="str">
        <f t="shared" si="13"/>
        <v>0</v>
      </c>
      <c r="P125" s="244">
        <f t="shared" si="7"/>
        <v>1</v>
      </c>
      <c r="Q125" s="266" t="s">
        <v>378</v>
      </c>
      <c r="R125" s="267" t="s">
        <v>379</v>
      </c>
      <c r="S125" s="266" t="s">
        <v>29</v>
      </c>
      <c r="T125" s="266">
        <v>8</v>
      </c>
      <c r="U125" s="266">
        <v>1000</v>
      </c>
      <c r="V125" s="266" t="s">
        <v>31</v>
      </c>
      <c r="W125" s="266" t="s">
        <v>32</v>
      </c>
      <c r="X125" s="266"/>
      <c r="Y125" s="266" t="s">
        <v>7</v>
      </c>
      <c r="AA125" s="244" t="s">
        <v>339</v>
      </c>
      <c r="AB125" s="244" t="s">
        <v>338</v>
      </c>
      <c r="AC125" s="244" t="s">
        <v>29</v>
      </c>
      <c r="AD125" s="244">
        <v>64</v>
      </c>
      <c r="AE125" s="244">
        <v>2000</v>
      </c>
      <c r="AF125" s="244" t="s">
        <v>31</v>
      </c>
    </row>
    <row r="126" spans="1:32" ht="19.5" thickBot="1">
      <c r="A126" s="244" t="s">
        <v>841</v>
      </c>
      <c r="B126" s="244">
        <v>19</v>
      </c>
      <c r="C126" s="244" t="s">
        <v>377</v>
      </c>
      <c r="D126" s="244" t="s">
        <v>312</v>
      </c>
      <c r="E126" s="244">
        <v>1</v>
      </c>
      <c r="F126" s="244">
        <v>852</v>
      </c>
      <c r="G126" s="244" t="s">
        <v>7</v>
      </c>
      <c r="H126" s="244" t="s">
        <v>7653</v>
      </c>
      <c r="I126" s="265" t="str">
        <f t="shared" si="8"/>
        <v>34F</v>
      </c>
      <c r="J126" s="244" t="str">
        <f t="shared" si="9"/>
        <v>DCM1S03</v>
      </c>
      <c r="K126" s="244" t="str">
        <f t="shared" si="10"/>
        <v>1</v>
      </c>
      <c r="L126" s="244">
        <f t="shared" si="11"/>
        <v>8</v>
      </c>
      <c r="M126" s="244">
        <f t="shared" si="12"/>
        <v>1000</v>
      </c>
      <c r="N126" s="244" t="str">
        <f t="shared" si="13"/>
        <v>0</v>
      </c>
      <c r="P126" s="244">
        <f t="shared" si="7"/>
        <v>1</v>
      </c>
      <c r="Q126" s="266" t="s">
        <v>381</v>
      </c>
      <c r="R126" s="267" t="s">
        <v>382</v>
      </c>
      <c r="S126" s="266" t="s">
        <v>29</v>
      </c>
      <c r="T126" s="266">
        <v>8</v>
      </c>
      <c r="U126" s="266">
        <v>1000</v>
      </c>
      <c r="V126" s="266" t="s">
        <v>31</v>
      </c>
      <c r="W126" s="266" t="s">
        <v>32</v>
      </c>
      <c r="X126" s="266"/>
      <c r="Y126" s="266" t="s">
        <v>7</v>
      </c>
      <c r="AA126" s="244" t="s">
        <v>342</v>
      </c>
      <c r="AB126" s="244" t="s">
        <v>341</v>
      </c>
      <c r="AC126" s="244" t="s">
        <v>29</v>
      </c>
      <c r="AD126" s="244">
        <v>8</v>
      </c>
      <c r="AE126" s="244">
        <v>1000</v>
      </c>
      <c r="AF126" s="244" t="s">
        <v>31</v>
      </c>
    </row>
    <row r="127" spans="1:32" ht="19.5" thickBot="1">
      <c r="A127" s="244" t="s">
        <v>7</v>
      </c>
      <c r="B127" s="244" t="s">
        <v>7</v>
      </c>
      <c r="C127" s="244" t="s">
        <v>888</v>
      </c>
      <c r="D127" s="244" t="s">
        <v>7560</v>
      </c>
      <c r="E127" s="244">
        <v>0</v>
      </c>
      <c r="F127" s="244">
        <v>856</v>
      </c>
      <c r="G127" s="244" t="s">
        <v>7</v>
      </c>
      <c r="H127" s="244" t="s">
        <v>888</v>
      </c>
      <c r="I127" s="265" t="str">
        <f t="shared" si="8"/>
        <v>353</v>
      </c>
      <c r="J127" s="244" t="str">
        <f t="shared" si="9"/>
        <v>ZN11SF8</v>
      </c>
      <c r="K127" s="244" t="str">
        <f t="shared" si="10"/>
        <v>1</v>
      </c>
      <c r="L127" s="244">
        <f t="shared" si="11"/>
        <v>32</v>
      </c>
      <c r="M127" s="244">
        <f t="shared" si="12"/>
        <v>1000</v>
      </c>
      <c r="N127" s="244" t="str">
        <f t="shared" si="13"/>
        <v>0</v>
      </c>
      <c r="P127" s="244">
        <f t="shared" si="7"/>
        <v>1</v>
      </c>
      <c r="Q127" s="266" t="s">
        <v>383</v>
      </c>
      <c r="R127" s="267" t="s">
        <v>384</v>
      </c>
      <c r="S127" s="266" t="s">
        <v>29</v>
      </c>
      <c r="T127" s="266">
        <v>32</v>
      </c>
      <c r="U127" s="266">
        <v>1000</v>
      </c>
      <c r="V127" s="266" t="s">
        <v>31</v>
      </c>
      <c r="W127" s="266" t="s">
        <v>32</v>
      </c>
      <c r="X127" s="266"/>
      <c r="Y127" s="266" t="s">
        <v>7</v>
      </c>
      <c r="AA127" s="244" t="s">
        <v>349</v>
      </c>
      <c r="AB127" s="244" t="s">
        <v>348</v>
      </c>
      <c r="AC127" s="244" t="s">
        <v>29</v>
      </c>
      <c r="AD127" s="244">
        <v>32</v>
      </c>
      <c r="AE127" s="244">
        <v>1000</v>
      </c>
      <c r="AF127" s="244" t="s">
        <v>31</v>
      </c>
    </row>
    <row r="128" spans="1:32" ht="19.5" thickBot="1">
      <c r="A128" s="244" t="s">
        <v>887</v>
      </c>
      <c r="B128" s="244">
        <v>64</v>
      </c>
      <c r="C128" s="244" t="s">
        <v>888</v>
      </c>
      <c r="D128" s="244" t="s">
        <v>273</v>
      </c>
      <c r="E128" s="244">
        <v>32</v>
      </c>
      <c r="F128" s="244">
        <v>856</v>
      </c>
      <c r="G128" s="244" t="s">
        <v>7</v>
      </c>
      <c r="H128" s="244" t="s">
        <v>401</v>
      </c>
      <c r="I128" s="265" t="str">
        <f t="shared" si="8"/>
        <v>373</v>
      </c>
      <c r="J128" s="244" t="str">
        <f t="shared" si="9"/>
        <v>BDC1S20</v>
      </c>
      <c r="K128" s="244" t="str">
        <f t="shared" si="10"/>
        <v>1</v>
      </c>
      <c r="L128" s="244">
        <f t="shared" si="11"/>
        <v>32</v>
      </c>
      <c r="M128" s="244">
        <f t="shared" si="12"/>
        <v>1000</v>
      </c>
      <c r="N128" s="244" t="str">
        <f t="shared" si="13"/>
        <v>1</v>
      </c>
      <c r="P128" s="244">
        <f t="shared" si="7"/>
        <v>1</v>
      </c>
      <c r="Q128" s="266" t="s">
        <v>386</v>
      </c>
      <c r="R128" s="267" t="s">
        <v>387</v>
      </c>
      <c r="S128" s="266" t="s">
        <v>29</v>
      </c>
      <c r="T128" s="266">
        <v>8</v>
      </c>
      <c r="U128" s="266">
        <v>1000</v>
      </c>
      <c r="V128" s="266" t="s">
        <v>31</v>
      </c>
      <c r="W128" s="266" t="s">
        <v>32</v>
      </c>
      <c r="X128" s="266"/>
      <c r="Y128" s="266" t="s">
        <v>7</v>
      </c>
      <c r="AA128" s="244" t="s">
        <v>7654</v>
      </c>
      <c r="AB128" s="244" t="s">
        <v>797</v>
      </c>
      <c r="AC128" s="244" t="s">
        <v>29</v>
      </c>
      <c r="AD128" s="244">
        <v>32</v>
      </c>
      <c r="AE128" s="244">
        <v>1000</v>
      </c>
      <c r="AF128" s="244" t="s">
        <v>29</v>
      </c>
    </row>
    <row r="129" spans="1:32" ht="19.5" thickBot="1">
      <c r="A129" s="244" t="s">
        <v>7</v>
      </c>
      <c r="B129" s="244" t="s">
        <v>7</v>
      </c>
      <c r="C129" s="244" t="s">
        <v>380</v>
      </c>
      <c r="D129" s="244" t="s">
        <v>7560</v>
      </c>
      <c r="E129" s="244">
        <v>0</v>
      </c>
      <c r="F129" s="244">
        <v>861</v>
      </c>
      <c r="G129" s="244" t="s">
        <v>7</v>
      </c>
      <c r="H129" s="244" t="s">
        <v>7655</v>
      </c>
      <c r="I129" s="265" t="str">
        <f t="shared" si="8"/>
        <v>354</v>
      </c>
      <c r="J129" s="244" t="str">
        <f t="shared" si="9"/>
        <v>ACN1S22</v>
      </c>
      <c r="K129" s="244" t="str">
        <f t="shared" si="10"/>
        <v>1</v>
      </c>
      <c r="L129" s="244">
        <f t="shared" si="11"/>
        <v>32</v>
      </c>
      <c r="M129" s="244">
        <f t="shared" si="12"/>
        <v>1000</v>
      </c>
      <c r="N129" s="244" t="str">
        <f t="shared" si="13"/>
        <v>0</v>
      </c>
      <c r="P129" s="244">
        <f t="shared" si="7"/>
        <v>1</v>
      </c>
      <c r="Q129" s="266" t="s">
        <v>797</v>
      </c>
      <c r="R129" s="267" t="s">
        <v>7654</v>
      </c>
      <c r="S129" s="266" t="s">
        <v>29</v>
      </c>
      <c r="T129" s="266">
        <v>32</v>
      </c>
      <c r="U129" s="266">
        <v>1000</v>
      </c>
      <c r="V129" s="266" t="s">
        <v>29</v>
      </c>
      <c r="W129" s="266" t="s">
        <v>32</v>
      </c>
      <c r="X129" s="266"/>
      <c r="Y129" s="266" t="s">
        <v>7</v>
      </c>
      <c r="AA129" s="244" t="s">
        <v>354</v>
      </c>
      <c r="AB129" s="244" t="s">
        <v>353</v>
      </c>
      <c r="AC129" s="244" t="s">
        <v>29</v>
      </c>
      <c r="AD129" s="244">
        <v>32</v>
      </c>
      <c r="AE129" s="244">
        <v>1000</v>
      </c>
      <c r="AF129" s="244" t="s">
        <v>31</v>
      </c>
    </row>
    <row r="130" spans="1:32" ht="19.5" thickBot="1">
      <c r="A130" s="244" t="s">
        <v>889</v>
      </c>
      <c r="B130" s="244">
        <v>65</v>
      </c>
      <c r="C130" s="244" t="s">
        <v>380</v>
      </c>
      <c r="D130" s="244" t="s">
        <v>44</v>
      </c>
      <c r="E130" s="244">
        <v>2</v>
      </c>
      <c r="F130" s="244">
        <v>861</v>
      </c>
      <c r="G130" s="244" t="s">
        <v>7</v>
      </c>
      <c r="H130" s="244" t="s">
        <v>7656</v>
      </c>
      <c r="I130" s="265" t="str">
        <f t="shared" si="8"/>
        <v>355</v>
      </c>
      <c r="J130" s="244" t="str">
        <f t="shared" si="9"/>
        <v>BDC1S97</v>
      </c>
      <c r="K130" s="244" t="str">
        <f t="shared" si="10"/>
        <v>1</v>
      </c>
      <c r="L130" s="244">
        <f t="shared" si="11"/>
        <v>32</v>
      </c>
      <c r="M130" s="244">
        <f t="shared" si="12"/>
        <v>1000</v>
      </c>
      <c r="N130" s="244" t="str">
        <f t="shared" si="13"/>
        <v>1</v>
      </c>
      <c r="P130" s="244">
        <f t="shared" si="7"/>
        <v>1</v>
      </c>
      <c r="Q130" s="266" t="s">
        <v>344</v>
      </c>
      <c r="R130" s="267" t="s">
        <v>343</v>
      </c>
      <c r="S130" s="266" t="s">
        <v>29</v>
      </c>
      <c r="T130" s="266">
        <v>8</v>
      </c>
      <c r="U130" s="266">
        <v>1000</v>
      </c>
      <c r="V130" s="266" t="s">
        <v>31</v>
      </c>
      <c r="W130" s="266" t="s">
        <v>32</v>
      </c>
      <c r="X130" s="266"/>
      <c r="Y130" s="266" t="s">
        <v>7</v>
      </c>
      <c r="AA130" s="244" t="s">
        <v>357</v>
      </c>
      <c r="AB130" s="244" t="s">
        <v>356</v>
      </c>
      <c r="AC130" s="244" t="s">
        <v>29</v>
      </c>
      <c r="AD130" s="244">
        <v>32</v>
      </c>
      <c r="AE130" s="244">
        <v>1000</v>
      </c>
      <c r="AF130" s="244" t="s">
        <v>29</v>
      </c>
    </row>
    <row r="131" spans="1:32" ht="19.5" thickBot="1">
      <c r="A131" s="244" t="s">
        <v>7</v>
      </c>
      <c r="B131" s="244" t="s">
        <v>7</v>
      </c>
      <c r="C131" s="244" t="s">
        <v>385</v>
      </c>
      <c r="D131" s="244" t="s">
        <v>7560</v>
      </c>
      <c r="E131" s="244">
        <v>0</v>
      </c>
      <c r="F131" s="244">
        <v>867</v>
      </c>
      <c r="G131" s="244" t="s">
        <v>7</v>
      </c>
      <c r="H131" s="244" t="s">
        <v>385</v>
      </c>
      <c r="I131" s="265" t="str">
        <f t="shared" si="8"/>
        <v>358</v>
      </c>
      <c r="J131" s="244" t="str">
        <f t="shared" si="9"/>
        <v>BDC1S98</v>
      </c>
      <c r="K131" s="244" t="str">
        <f t="shared" si="10"/>
        <v>1</v>
      </c>
      <c r="L131" s="244">
        <f t="shared" si="11"/>
        <v>32</v>
      </c>
      <c r="M131" s="244">
        <f t="shared" si="12"/>
        <v>1000</v>
      </c>
      <c r="N131" s="244" t="str">
        <f t="shared" si="13"/>
        <v>1</v>
      </c>
      <c r="P131" s="244">
        <f t="shared" si="7"/>
        <v>1</v>
      </c>
      <c r="Q131" s="266" t="s">
        <v>388</v>
      </c>
      <c r="R131" s="267" t="s">
        <v>389</v>
      </c>
      <c r="S131" s="266" t="s">
        <v>29</v>
      </c>
      <c r="T131" s="266">
        <v>64</v>
      </c>
      <c r="U131" s="266">
        <v>2000</v>
      </c>
      <c r="V131" s="266" t="s">
        <v>29</v>
      </c>
      <c r="W131" s="266" t="s">
        <v>32</v>
      </c>
      <c r="X131" s="266"/>
      <c r="Y131" s="266" t="s">
        <v>7</v>
      </c>
      <c r="AA131" s="244" t="s">
        <v>361</v>
      </c>
      <c r="AB131" s="244" t="s">
        <v>360</v>
      </c>
      <c r="AC131" s="244" t="s">
        <v>29</v>
      </c>
      <c r="AD131" s="244">
        <v>32</v>
      </c>
      <c r="AE131" s="244">
        <v>1000</v>
      </c>
      <c r="AF131" s="244" t="s">
        <v>29</v>
      </c>
    </row>
    <row r="132" spans="1:32" ht="19.5" thickBot="1">
      <c r="A132" s="244" t="s">
        <v>7</v>
      </c>
      <c r="B132" s="244" t="s">
        <v>7</v>
      </c>
      <c r="C132" s="244" t="s">
        <v>385</v>
      </c>
      <c r="D132" s="244" t="s">
        <v>102</v>
      </c>
      <c r="E132" s="244">
        <v>4</v>
      </c>
      <c r="F132" s="244">
        <v>867</v>
      </c>
      <c r="G132" s="244" t="s">
        <v>7</v>
      </c>
      <c r="H132" s="244" t="s">
        <v>7657</v>
      </c>
      <c r="I132" s="265" t="str">
        <f t="shared" si="8"/>
        <v>378</v>
      </c>
      <c r="J132" s="244" t="str">
        <f t="shared" si="9"/>
        <v>BDC1SJ5</v>
      </c>
      <c r="K132" s="244" t="str">
        <f t="shared" si="10"/>
        <v>1</v>
      </c>
      <c r="L132" s="244">
        <f t="shared" si="11"/>
        <v>64</v>
      </c>
      <c r="M132" s="244">
        <f t="shared" si="12"/>
        <v>2000</v>
      </c>
      <c r="N132" s="244" t="str">
        <f t="shared" si="13"/>
        <v>1</v>
      </c>
      <c r="P132" s="244">
        <f t="shared" si="7"/>
        <v>1</v>
      </c>
      <c r="Q132" s="266" t="s">
        <v>391</v>
      </c>
      <c r="R132" s="267" t="s">
        <v>392</v>
      </c>
      <c r="S132" s="266" t="s">
        <v>29</v>
      </c>
      <c r="T132" s="266">
        <v>8</v>
      </c>
      <c r="U132" s="266">
        <v>1000</v>
      </c>
      <c r="V132" s="266" t="s">
        <v>31</v>
      </c>
      <c r="W132" s="266" t="s">
        <v>32</v>
      </c>
      <c r="X132" s="266"/>
      <c r="Y132" s="266" t="s">
        <v>7</v>
      </c>
      <c r="AA132" s="244" t="s">
        <v>389</v>
      </c>
      <c r="AB132" s="244" t="s">
        <v>388</v>
      </c>
      <c r="AC132" s="244" t="s">
        <v>29</v>
      </c>
      <c r="AD132" s="244">
        <v>64</v>
      </c>
      <c r="AE132" s="244">
        <v>2000</v>
      </c>
      <c r="AF132" s="244" t="s">
        <v>29</v>
      </c>
    </row>
    <row r="133" spans="1:32" ht="19.5" thickBot="1">
      <c r="A133" s="244" t="s">
        <v>7</v>
      </c>
      <c r="B133" s="244" t="s">
        <v>7</v>
      </c>
      <c r="C133" s="244" t="s">
        <v>385</v>
      </c>
      <c r="D133" s="244" t="s">
        <v>6</v>
      </c>
      <c r="E133" s="244">
        <v>8</v>
      </c>
      <c r="F133" s="244">
        <v>867</v>
      </c>
      <c r="G133" s="244" t="s">
        <v>7</v>
      </c>
      <c r="H133" s="244" t="s">
        <v>7658</v>
      </c>
      <c r="I133" s="265" t="str">
        <f t="shared" si="8"/>
        <v>35D</v>
      </c>
      <c r="J133" s="244" t="str">
        <f t="shared" si="9"/>
        <v>BDC1S99</v>
      </c>
      <c r="K133" s="244" t="str">
        <f t="shared" si="10"/>
        <v>1</v>
      </c>
      <c r="L133" s="244">
        <f t="shared" si="11"/>
        <v>32</v>
      </c>
      <c r="M133" s="244">
        <f t="shared" si="12"/>
        <v>1000</v>
      </c>
      <c r="N133" s="244" t="str">
        <f t="shared" si="13"/>
        <v>1</v>
      </c>
      <c r="P133" s="244">
        <f t="shared" si="7"/>
        <v>1</v>
      </c>
      <c r="Q133" s="266" t="s">
        <v>394</v>
      </c>
      <c r="R133" s="267" t="s">
        <v>395</v>
      </c>
      <c r="S133" s="266" t="s">
        <v>29</v>
      </c>
      <c r="T133" s="266">
        <v>32</v>
      </c>
      <c r="U133" s="266">
        <v>1000</v>
      </c>
      <c r="V133" s="266" t="s">
        <v>29</v>
      </c>
      <c r="W133" s="266" t="s">
        <v>32</v>
      </c>
      <c r="X133" s="266"/>
      <c r="Y133" s="266" t="s">
        <v>7</v>
      </c>
      <c r="AA133" s="244" t="s">
        <v>363</v>
      </c>
      <c r="AB133" s="244" t="s">
        <v>362</v>
      </c>
      <c r="AC133" s="244" t="s">
        <v>29</v>
      </c>
      <c r="AD133" s="244">
        <v>32</v>
      </c>
      <c r="AE133" s="244">
        <v>1000</v>
      </c>
      <c r="AF133" s="244" t="s">
        <v>29</v>
      </c>
    </row>
    <row r="134" spans="1:32" ht="19.5" thickBot="1">
      <c r="A134" s="244" t="s">
        <v>885</v>
      </c>
      <c r="B134" s="244">
        <v>62</v>
      </c>
      <c r="C134" s="244" t="s">
        <v>385</v>
      </c>
      <c r="D134" s="244" t="s">
        <v>390</v>
      </c>
      <c r="E134" s="244">
        <v>12</v>
      </c>
      <c r="F134" s="244">
        <v>867</v>
      </c>
      <c r="G134" s="244" t="s">
        <v>7</v>
      </c>
      <c r="H134" s="244" t="s">
        <v>7659</v>
      </c>
      <c r="I134" s="265" t="str">
        <f t="shared" si="8"/>
        <v>35F</v>
      </c>
      <c r="J134" s="244" t="str">
        <f t="shared" si="9"/>
        <v>BDC1SA1</v>
      </c>
      <c r="K134" s="244" t="str">
        <f t="shared" si="10"/>
        <v>1</v>
      </c>
      <c r="L134" s="244">
        <f t="shared" si="11"/>
        <v>32</v>
      </c>
      <c r="M134" s="244">
        <f t="shared" si="12"/>
        <v>1000</v>
      </c>
      <c r="N134" s="244" t="str">
        <f t="shared" si="13"/>
        <v>0</v>
      </c>
      <c r="P134" s="244">
        <f t="shared" ref="P134:P197" si="14">COUNTIF($J$6:$J$278,R134)</f>
        <v>1</v>
      </c>
      <c r="Q134" s="266" t="s">
        <v>396</v>
      </c>
      <c r="R134" s="267" t="s">
        <v>397</v>
      </c>
      <c r="S134" s="266" t="s">
        <v>29</v>
      </c>
      <c r="T134" s="266">
        <v>8</v>
      </c>
      <c r="U134" s="266">
        <v>1000</v>
      </c>
      <c r="V134" s="266" t="s">
        <v>31</v>
      </c>
      <c r="W134" s="266" t="s">
        <v>32</v>
      </c>
      <c r="X134" s="266"/>
      <c r="Y134" s="266" t="s">
        <v>7</v>
      </c>
      <c r="AA134" s="244" t="s">
        <v>368</v>
      </c>
      <c r="AB134" s="244" t="s">
        <v>367</v>
      </c>
      <c r="AC134" s="244" t="s">
        <v>29</v>
      </c>
      <c r="AD134" s="244">
        <v>32</v>
      </c>
      <c r="AE134" s="244">
        <v>1000</v>
      </c>
      <c r="AF134" s="244" t="s">
        <v>31</v>
      </c>
    </row>
    <row r="135" spans="1:32" ht="19.5" thickBot="1">
      <c r="A135" s="244" t="s">
        <v>7</v>
      </c>
      <c r="B135" s="244" t="s">
        <v>7</v>
      </c>
      <c r="C135" s="244" t="s">
        <v>393</v>
      </c>
      <c r="D135" s="244" t="s">
        <v>7560</v>
      </c>
      <c r="E135" s="244">
        <v>0</v>
      </c>
      <c r="F135" s="244">
        <v>868</v>
      </c>
      <c r="G135" s="244" t="s">
        <v>7</v>
      </c>
      <c r="H135" s="244" t="s">
        <v>393</v>
      </c>
      <c r="I135" s="265" t="str">
        <f t="shared" ref="I135:I198" si="15">UPPER(RIGHT(H131,3))</f>
        <v>363</v>
      </c>
      <c r="J135" s="244" t="str">
        <f t="shared" ref="J135:J198" si="16">VLOOKUP($I135,$Q$6:$Y$278,2,FALSE)</f>
        <v>DCM1S04</v>
      </c>
      <c r="K135" s="244" t="str">
        <f t="shared" ref="K135:K198" si="17">VLOOKUP($I135,$Q$6:$Y$278,3,FALSE)</f>
        <v>1</v>
      </c>
      <c r="L135" s="244">
        <f t="shared" ref="L135:L198" si="18">VLOOKUP($I135,$Q$6:$Y$278,4,FALSE)</f>
        <v>32</v>
      </c>
      <c r="M135" s="244" t="str">
        <f t="shared" ref="M135:M198" si="19">VLOOKUP($I135,$Q$6:$Y$278,5,FALSE)</f>
        <v>-</v>
      </c>
      <c r="N135" s="244" t="str">
        <f t="shared" ref="N135:N198" si="20">VLOOKUP($I135,$Q$6:$Y$278,6,FALSE)</f>
        <v>0</v>
      </c>
      <c r="P135" s="244">
        <f t="shared" si="14"/>
        <v>1</v>
      </c>
      <c r="Q135" s="266" t="s">
        <v>399</v>
      </c>
      <c r="R135" s="267" t="s">
        <v>400</v>
      </c>
      <c r="S135" s="266" t="s">
        <v>29</v>
      </c>
      <c r="T135" s="266">
        <v>8</v>
      </c>
      <c r="U135" s="266">
        <v>1000</v>
      </c>
      <c r="V135" s="266" t="s">
        <v>31</v>
      </c>
      <c r="W135" s="266" t="s">
        <v>32</v>
      </c>
      <c r="X135" s="266"/>
      <c r="Y135" s="266" t="s">
        <v>7</v>
      </c>
      <c r="AA135" s="244" t="s">
        <v>371</v>
      </c>
      <c r="AB135" s="244" t="s">
        <v>370</v>
      </c>
      <c r="AC135" s="244" t="s">
        <v>29</v>
      </c>
      <c r="AD135" s="244">
        <v>32</v>
      </c>
      <c r="AE135" s="244" t="s">
        <v>30</v>
      </c>
      <c r="AF135" s="244" t="s">
        <v>31</v>
      </c>
    </row>
    <row r="136" spans="1:32" ht="19.5" thickBot="1">
      <c r="A136" s="244" t="s">
        <v>880</v>
      </c>
      <c r="B136" s="244">
        <v>57</v>
      </c>
      <c r="C136" s="244" t="s">
        <v>393</v>
      </c>
      <c r="D136" s="244" t="s">
        <v>6</v>
      </c>
      <c r="E136" s="244">
        <v>8</v>
      </c>
      <c r="F136" s="244">
        <v>868</v>
      </c>
      <c r="G136" s="244" t="s">
        <v>7</v>
      </c>
      <c r="H136" s="244" t="s">
        <v>7660</v>
      </c>
      <c r="I136" s="265" t="str">
        <f t="shared" si="15"/>
        <v>367</v>
      </c>
      <c r="J136" s="244" t="str">
        <f t="shared" si="16"/>
        <v>BDC1S83</v>
      </c>
      <c r="K136" s="244" t="str">
        <f t="shared" si="17"/>
        <v>1</v>
      </c>
      <c r="L136" s="244">
        <f t="shared" si="18"/>
        <v>8</v>
      </c>
      <c r="M136" s="244">
        <f t="shared" si="19"/>
        <v>1000</v>
      </c>
      <c r="N136" s="244" t="str">
        <f t="shared" si="20"/>
        <v>0</v>
      </c>
      <c r="P136" s="244">
        <f t="shared" si="14"/>
        <v>1</v>
      </c>
      <c r="Q136" s="266" t="s">
        <v>402</v>
      </c>
      <c r="R136" s="267" t="s">
        <v>403</v>
      </c>
      <c r="S136" s="266" t="s">
        <v>29</v>
      </c>
      <c r="T136" s="266">
        <v>32</v>
      </c>
      <c r="U136" s="266">
        <v>1000</v>
      </c>
      <c r="V136" s="266" t="s">
        <v>31</v>
      </c>
      <c r="W136" s="266" t="s">
        <v>32</v>
      </c>
      <c r="X136" s="266"/>
      <c r="Y136" s="266" t="s">
        <v>7</v>
      </c>
      <c r="AA136" s="244" t="s">
        <v>375</v>
      </c>
      <c r="AB136" s="244" t="s">
        <v>374</v>
      </c>
      <c r="AC136" s="244" t="s">
        <v>29</v>
      </c>
      <c r="AD136" s="244">
        <v>8</v>
      </c>
      <c r="AE136" s="244">
        <v>1000</v>
      </c>
      <c r="AF136" s="244" t="s">
        <v>31</v>
      </c>
    </row>
    <row r="137" spans="1:32" ht="19.5" thickBot="1">
      <c r="A137" s="244" t="s">
        <v>972</v>
      </c>
      <c r="B137" s="244">
        <v>147</v>
      </c>
      <c r="C137" s="244" t="s">
        <v>398</v>
      </c>
      <c r="D137" s="244" t="s">
        <v>7560</v>
      </c>
      <c r="E137" s="244">
        <v>0</v>
      </c>
      <c r="F137" s="244">
        <v>878</v>
      </c>
      <c r="G137" s="244" t="s">
        <v>7</v>
      </c>
      <c r="H137" s="244" t="s">
        <v>7661</v>
      </c>
      <c r="I137" s="265" t="str">
        <f t="shared" si="15"/>
        <v>36B</v>
      </c>
      <c r="J137" s="244" t="str">
        <f t="shared" si="16"/>
        <v>ITS1S01</v>
      </c>
      <c r="K137" s="244" t="str">
        <f t="shared" si="17"/>
        <v>1</v>
      </c>
      <c r="L137" s="244">
        <f t="shared" si="18"/>
        <v>8</v>
      </c>
      <c r="M137" s="244">
        <f t="shared" si="19"/>
        <v>1000</v>
      </c>
      <c r="N137" s="244" t="str">
        <f t="shared" si="20"/>
        <v>0</v>
      </c>
      <c r="P137" s="244">
        <f t="shared" si="14"/>
        <v>1</v>
      </c>
      <c r="Q137" s="266" t="s">
        <v>243</v>
      </c>
      <c r="R137" s="267" t="s">
        <v>242</v>
      </c>
      <c r="S137" s="266" t="s">
        <v>29</v>
      </c>
      <c r="T137" s="266">
        <v>8</v>
      </c>
      <c r="U137" s="266">
        <v>5000</v>
      </c>
      <c r="V137" s="266" t="s">
        <v>31</v>
      </c>
      <c r="W137" s="266" t="s">
        <v>32</v>
      </c>
      <c r="X137" s="266"/>
      <c r="Y137" s="266" t="s">
        <v>7</v>
      </c>
      <c r="AA137" s="244" t="s">
        <v>379</v>
      </c>
      <c r="AB137" s="244" t="s">
        <v>378</v>
      </c>
      <c r="AC137" s="244" t="s">
        <v>29</v>
      </c>
      <c r="AD137" s="244">
        <v>8</v>
      </c>
      <c r="AE137" s="244">
        <v>1000</v>
      </c>
      <c r="AF137" s="244" t="s">
        <v>31</v>
      </c>
    </row>
    <row r="138" spans="1:32" ht="19.5" thickBot="1">
      <c r="A138" s="244" t="s">
        <v>7</v>
      </c>
      <c r="B138" s="244" t="s">
        <v>7</v>
      </c>
      <c r="C138" s="244" t="s">
        <v>404</v>
      </c>
      <c r="D138" s="244" t="s">
        <v>7560</v>
      </c>
      <c r="E138" s="244">
        <v>0</v>
      </c>
      <c r="F138" s="244">
        <v>889</v>
      </c>
      <c r="G138" s="244" t="s">
        <v>7</v>
      </c>
      <c r="H138" s="244" t="s">
        <v>404</v>
      </c>
      <c r="I138" s="265" t="str">
        <f t="shared" si="15"/>
        <v>36F</v>
      </c>
      <c r="J138" s="244" t="str">
        <f t="shared" si="16"/>
        <v>TPM1S07</v>
      </c>
      <c r="K138" s="244" t="str">
        <f t="shared" si="17"/>
        <v>1</v>
      </c>
      <c r="L138" s="244">
        <f t="shared" si="18"/>
        <v>8</v>
      </c>
      <c r="M138" s="244">
        <f t="shared" si="19"/>
        <v>1000</v>
      </c>
      <c r="N138" s="244" t="str">
        <f t="shared" si="20"/>
        <v>0</v>
      </c>
      <c r="P138" s="244">
        <f t="shared" si="14"/>
        <v>1</v>
      </c>
      <c r="Q138" s="266" t="s">
        <v>405</v>
      </c>
      <c r="R138" s="267" t="s">
        <v>406</v>
      </c>
      <c r="S138" s="266" t="s">
        <v>29</v>
      </c>
      <c r="T138" s="266">
        <v>8</v>
      </c>
      <c r="U138" s="266">
        <v>1000</v>
      </c>
      <c r="V138" s="266" t="s">
        <v>31</v>
      </c>
      <c r="W138" s="266" t="s">
        <v>32</v>
      </c>
      <c r="X138" s="266"/>
      <c r="Y138" s="266" t="s">
        <v>7</v>
      </c>
      <c r="AA138" s="244" t="s">
        <v>387</v>
      </c>
      <c r="AB138" s="244" t="s">
        <v>386</v>
      </c>
      <c r="AC138" s="244" t="s">
        <v>29</v>
      </c>
      <c r="AD138" s="244">
        <v>8</v>
      </c>
      <c r="AE138" s="244">
        <v>1000</v>
      </c>
      <c r="AF138" s="244" t="s">
        <v>31</v>
      </c>
    </row>
    <row r="139" spans="1:32" ht="19.5" thickBot="1">
      <c r="A139" s="244" t="s">
        <v>7</v>
      </c>
      <c r="B139" s="244" t="s">
        <v>7</v>
      </c>
      <c r="C139" s="244" t="s">
        <v>404</v>
      </c>
      <c r="D139" s="244" t="s">
        <v>44</v>
      </c>
      <c r="E139" s="244">
        <v>2</v>
      </c>
      <c r="F139" s="244">
        <v>889</v>
      </c>
      <c r="G139" s="244" t="s">
        <v>7</v>
      </c>
      <c r="H139" s="244" t="s">
        <v>7662</v>
      </c>
      <c r="I139" s="265" t="str">
        <f t="shared" si="15"/>
        <v>364</v>
      </c>
      <c r="J139" s="244" t="str">
        <f t="shared" si="16"/>
        <v>BDC1S45</v>
      </c>
      <c r="K139" s="244" t="str">
        <f t="shared" si="17"/>
        <v>1</v>
      </c>
      <c r="L139" s="244">
        <f t="shared" si="18"/>
        <v>8</v>
      </c>
      <c r="M139" s="244">
        <f t="shared" si="19"/>
        <v>1000</v>
      </c>
      <c r="N139" s="244" t="str">
        <f t="shared" si="20"/>
        <v>0</v>
      </c>
      <c r="P139" s="244">
        <f t="shared" si="14"/>
        <v>1</v>
      </c>
      <c r="Q139" s="266" t="s">
        <v>407</v>
      </c>
      <c r="R139" s="267" t="s">
        <v>408</v>
      </c>
      <c r="S139" s="266" t="s">
        <v>29</v>
      </c>
      <c r="T139" s="266">
        <v>8</v>
      </c>
      <c r="U139" s="266">
        <v>1000</v>
      </c>
      <c r="V139" s="266" t="s">
        <v>31</v>
      </c>
      <c r="W139" s="266" t="s">
        <v>32</v>
      </c>
      <c r="X139" s="266"/>
      <c r="Y139" s="266" t="s">
        <v>7</v>
      </c>
      <c r="AA139" s="244" t="s">
        <v>373</v>
      </c>
      <c r="AB139" s="244" t="s">
        <v>372</v>
      </c>
      <c r="AC139" s="244" t="s">
        <v>29</v>
      </c>
      <c r="AD139" s="244">
        <v>8</v>
      </c>
      <c r="AE139" s="244">
        <v>1000</v>
      </c>
      <c r="AF139" s="244" t="s">
        <v>31</v>
      </c>
    </row>
    <row r="140" spans="1:32" ht="19.5" thickBot="1">
      <c r="A140" s="244" t="s">
        <v>7</v>
      </c>
      <c r="B140" s="244" t="s">
        <v>7</v>
      </c>
      <c r="C140" s="244" t="s">
        <v>404</v>
      </c>
      <c r="D140" s="244" t="s">
        <v>71</v>
      </c>
      <c r="E140" s="244">
        <v>128</v>
      </c>
      <c r="F140" s="244">
        <v>889</v>
      </c>
      <c r="G140" s="244" t="s">
        <v>7</v>
      </c>
      <c r="H140" s="244" t="s">
        <v>7663</v>
      </c>
      <c r="I140" s="265" t="str">
        <f t="shared" si="15"/>
        <v>36C</v>
      </c>
      <c r="J140" s="244" t="str">
        <f t="shared" si="16"/>
        <v>BDC1S89</v>
      </c>
      <c r="K140" s="244" t="str">
        <f t="shared" si="17"/>
        <v>1</v>
      </c>
      <c r="L140" s="244">
        <f t="shared" si="18"/>
        <v>8</v>
      </c>
      <c r="M140" s="244">
        <f t="shared" si="19"/>
        <v>1000</v>
      </c>
      <c r="N140" s="244" t="str">
        <f t="shared" si="20"/>
        <v>0</v>
      </c>
      <c r="P140" s="244">
        <f t="shared" si="14"/>
        <v>1</v>
      </c>
      <c r="Q140" s="266" t="s">
        <v>410</v>
      </c>
      <c r="R140" s="267" t="s">
        <v>411</v>
      </c>
      <c r="S140" s="266" t="s">
        <v>29</v>
      </c>
      <c r="T140" s="266">
        <v>8</v>
      </c>
      <c r="U140" s="266">
        <v>1000</v>
      </c>
      <c r="V140" s="266" t="s">
        <v>31</v>
      </c>
      <c r="W140" s="266" t="s">
        <v>32</v>
      </c>
      <c r="X140" s="266"/>
      <c r="Y140" s="266" t="s">
        <v>7</v>
      </c>
      <c r="AA140" s="244" t="s">
        <v>382</v>
      </c>
      <c r="AB140" s="244" t="s">
        <v>381</v>
      </c>
      <c r="AC140" s="244" t="s">
        <v>29</v>
      </c>
      <c r="AD140" s="244">
        <v>8</v>
      </c>
      <c r="AE140" s="244">
        <v>1000</v>
      </c>
      <c r="AF140" s="244" t="s">
        <v>31</v>
      </c>
    </row>
    <row r="141" spans="1:32" ht="19.5" thickBot="1">
      <c r="A141" s="244" t="s">
        <v>854</v>
      </c>
      <c r="B141" s="244">
        <v>31</v>
      </c>
      <c r="C141" s="244" t="s">
        <v>404</v>
      </c>
      <c r="D141" s="244" t="s">
        <v>409</v>
      </c>
      <c r="E141" s="244">
        <v>130</v>
      </c>
      <c r="F141" s="244">
        <v>889</v>
      </c>
      <c r="G141" s="244" t="s">
        <v>7</v>
      </c>
      <c r="H141" s="244" t="s">
        <v>7664</v>
      </c>
      <c r="I141" s="265" t="str">
        <f t="shared" si="15"/>
        <v>36E</v>
      </c>
      <c r="J141" s="244" t="str">
        <f t="shared" si="16"/>
        <v>ZN11S60</v>
      </c>
      <c r="K141" s="244" t="str">
        <f t="shared" si="17"/>
        <v>1</v>
      </c>
      <c r="L141" s="244">
        <f t="shared" si="18"/>
        <v>32</v>
      </c>
      <c r="M141" s="244">
        <f t="shared" si="19"/>
        <v>1000</v>
      </c>
      <c r="N141" s="244" t="str">
        <f t="shared" si="20"/>
        <v>0</v>
      </c>
      <c r="P141" s="244">
        <f t="shared" si="14"/>
        <v>1</v>
      </c>
      <c r="Q141" s="266" t="s">
        <v>413</v>
      </c>
      <c r="R141" s="267" t="s">
        <v>414</v>
      </c>
      <c r="S141" s="266" t="s">
        <v>29</v>
      </c>
      <c r="T141" s="266">
        <v>8</v>
      </c>
      <c r="U141" s="266">
        <v>1000</v>
      </c>
      <c r="V141" s="266" t="s">
        <v>31</v>
      </c>
      <c r="W141" s="266" t="s">
        <v>32</v>
      </c>
      <c r="X141" s="266"/>
      <c r="Y141" s="266" t="s">
        <v>7</v>
      </c>
      <c r="AA141" s="244" t="s">
        <v>384</v>
      </c>
      <c r="AB141" s="244" t="s">
        <v>383</v>
      </c>
      <c r="AC141" s="244" t="s">
        <v>29</v>
      </c>
      <c r="AD141" s="244">
        <v>32</v>
      </c>
      <c r="AE141" s="244">
        <v>1000</v>
      </c>
      <c r="AF141" s="244" t="s">
        <v>31</v>
      </c>
    </row>
    <row r="142" spans="1:32" ht="19.5" thickBot="1">
      <c r="A142" s="244" t="s">
        <v>971</v>
      </c>
      <c r="B142" s="244">
        <v>146</v>
      </c>
      <c r="C142" s="244" t="s">
        <v>412</v>
      </c>
      <c r="D142" s="244" t="s">
        <v>7560</v>
      </c>
      <c r="E142" s="244">
        <v>0</v>
      </c>
      <c r="F142" s="244">
        <v>895</v>
      </c>
      <c r="G142" s="244" t="s">
        <v>7</v>
      </c>
      <c r="H142" s="244" t="s">
        <v>7665</v>
      </c>
      <c r="I142" s="265" t="str">
        <f t="shared" si="15"/>
        <v>379</v>
      </c>
      <c r="J142" s="244" t="str">
        <f t="shared" si="16"/>
        <v>BCC1S05</v>
      </c>
      <c r="K142" s="244" t="str">
        <f t="shared" si="17"/>
        <v>1</v>
      </c>
      <c r="L142" s="244">
        <f t="shared" si="18"/>
        <v>8</v>
      </c>
      <c r="M142" s="244">
        <f t="shared" si="19"/>
        <v>1000</v>
      </c>
      <c r="N142" s="244" t="str">
        <f t="shared" si="20"/>
        <v>0</v>
      </c>
      <c r="P142" s="244">
        <f t="shared" si="14"/>
        <v>1</v>
      </c>
      <c r="Q142" s="266" t="s">
        <v>416</v>
      </c>
      <c r="R142" s="267" t="s">
        <v>417</v>
      </c>
      <c r="S142" s="266" t="s">
        <v>29</v>
      </c>
      <c r="T142" s="266">
        <v>64</v>
      </c>
      <c r="U142" s="266">
        <v>1000</v>
      </c>
      <c r="V142" s="266" t="s">
        <v>29</v>
      </c>
      <c r="W142" s="266" t="s">
        <v>32</v>
      </c>
      <c r="X142" s="266"/>
      <c r="Y142" s="266" t="s">
        <v>7</v>
      </c>
      <c r="AA142" s="244" t="s">
        <v>392</v>
      </c>
      <c r="AB142" s="244" t="s">
        <v>391</v>
      </c>
      <c r="AC142" s="244" t="s">
        <v>29</v>
      </c>
      <c r="AD142" s="244">
        <v>8</v>
      </c>
      <c r="AE142" s="244">
        <v>1000</v>
      </c>
      <c r="AF142" s="244" t="s">
        <v>31</v>
      </c>
    </row>
    <row r="143" spans="1:32" ht="19.5" thickBot="1">
      <c r="A143" s="244" t="s">
        <v>7</v>
      </c>
      <c r="B143" s="244" t="s">
        <v>7</v>
      </c>
      <c r="C143" s="244" t="s">
        <v>415</v>
      </c>
      <c r="D143" s="244" t="s">
        <v>7560</v>
      </c>
      <c r="E143" s="244">
        <v>0</v>
      </c>
      <c r="F143" s="244">
        <v>896</v>
      </c>
      <c r="G143" s="244" t="s">
        <v>7</v>
      </c>
      <c r="H143" s="244" t="s">
        <v>415</v>
      </c>
      <c r="I143" s="265" t="str">
        <f t="shared" si="15"/>
        <v>37B</v>
      </c>
      <c r="J143" s="244" t="str">
        <f t="shared" si="16"/>
        <v>BDF3S01</v>
      </c>
      <c r="K143" s="244" t="str">
        <f t="shared" si="17"/>
        <v>1</v>
      </c>
      <c r="L143" s="244">
        <f t="shared" si="18"/>
        <v>32</v>
      </c>
      <c r="M143" s="244">
        <f t="shared" si="19"/>
        <v>1000</v>
      </c>
      <c r="N143" s="244" t="str">
        <f t="shared" si="20"/>
        <v>1</v>
      </c>
      <c r="P143" s="244">
        <f t="shared" si="14"/>
        <v>1</v>
      </c>
      <c r="Q143" s="266" t="s">
        <v>252</v>
      </c>
      <c r="R143" s="267" t="s">
        <v>251</v>
      </c>
      <c r="S143" s="266" t="s">
        <v>29</v>
      </c>
      <c r="T143" s="266">
        <v>64</v>
      </c>
      <c r="U143" s="266">
        <v>1000</v>
      </c>
      <c r="V143" s="266" t="s">
        <v>29</v>
      </c>
      <c r="W143" s="268" t="s">
        <v>32</v>
      </c>
      <c r="X143" s="266"/>
      <c r="Y143" s="266" t="s">
        <v>7</v>
      </c>
      <c r="AA143" s="244" t="s">
        <v>395</v>
      </c>
      <c r="AB143" s="244" t="s">
        <v>394</v>
      </c>
      <c r="AC143" s="244" t="s">
        <v>29</v>
      </c>
      <c r="AD143" s="244">
        <v>32</v>
      </c>
      <c r="AE143" s="244">
        <v>1000</v>
      </c>
      <c r="AF143" s="244" t="s">
        <v>29</v>
      </c>
    </row>
    <row r="144" spans="1:32" ht="19.5" thickBot="1">
      <c r="A144" s="244" t="s">
        <v>837</v>
      </c>
      <c r="B144" s="244">
        <v>15</v>
      </c>
      <c r="C144" s="244" t="s">
        <v>415</v>
      </c>
      <c r="D144" s="244" t="s">
        <v>312</v>
      </c>
      <c r="E144" s="244">
        <v>1</v>
      </c>
      <c r="F144" s="244">
        <v>896</v>
      </c>
      <c r="G144" s="244" t="s">
        <v>7</v>
      </c>
      <c r="H144" s="244" t="s">
        <v>7666</v>
      </c>
      <c r="I144" s="265" t="str">
        <f t="shared" si="15"/>
        <v>3F9</v>
      </c>
      <c r="J144" s="244" t="str">
        <f t="shared" si="16"/>
        <v>ZN11S65</v>
      </c>
      <c r="K144" s="244" t="str">
        <f t="shared" si="17"/>
        <v>1</v>
      </c>
      <c r="L144" s="244">
        <f t="shared" si="18"/>
        <v>32</v>
      </c>
      <c r="M144" s="244">
        <f t="shared" si="19"/>
        <v>1000</v>
      </c>
      <c r="N144" s="244" t="str">
        <f t="shared" si="20"/>
        <v>0</v>
      </c>
      <c r="P144" s="244">
        <f t="shared" si="14"/>
        <v>1</v>
      </c>
      <c r="Q144" s="266" t="s">
        <v>421</v>
      </c>
      <c r="R144" s="267" t="s">
        <v>422</v>
      </c>
      <c r="S144" s="266" t="s">
        <v>29</v>
      </c>
      <c r="T144" s="266">
        <v>64</v>
      </c>
      <c r="U144" s="266">
        <v>1000</v>
      </c>
      <c r="V144" s="266" t="s">
        <v>29</v>
      </c>
      <c r="W144" s="266" t="s">
        <v>32</v>
      </c>
      <c r="X144" s="266"/>
      <c r="Y144" s="266" t="s">
        <v>7</v>
      </c>
      <c r="AA144" s="244" t="s">
        <v>418</v>
      </c>
      <c r="AB144" s="244" t="s">
        <v>419</v>
      </c>
      <c r="AC144" s="244" t="s">
        <v>29</v>
      </c>
      <c r="AD144" s="244">
        <v>32</v>
      </c>
      <c r="AE144" s="244">
        <v>1000</v>
      </c>
      <c r="AF144" s="244" t="s">
        <v>31</v>
      </c>
    </row>
    <row r="145" spans="1:32" ht="19.5" thickBot="1">
      <c r="A145" s="244" t="s">
        <v>7</v>
      </c>
      <c r="B145" s="244" t="s">
        <v>7</v>
      </c>
      <c r="C145" s="244" t="s">
        <v>420</v>
      </c>
      <c r="D145" s="244" t="s">
        <v>7560</v>
      </c>
      <c r="E145" s="244">
        <v>0</v>
      </c>
      <c r="F145" s="244">
        <v>906</v>
      </c>
      <c r="G145" s="244" t="s">
        <v>7</v>
      </c>
      <c r="H145" s="244" t="s">
        <v>7667</v>
      </c>
      <c r="I145" s="265" t="str">
        <f t="shared" si="15"/>
        <v>3FB</v>
      </c>
      <c r="J145" s="244" t="str">
        <f t="shared" si="16"/>
        <v>IDT1S07</v>
      </c>
      <c r="K145" s="244" t="str">
        <f t="shared" si="17"/>
        <v>1</v>
      </c>
      <c r="L145" s="244">
        <f t="shared" si="18"/>
        <v>8</v>
      </c>
      <c r="M145" s="244">
        <f t="shared" si="19"/>
        <v>1000</v>
      </c>
      <c r="N145" s="244" t="str">
        <f t="shared" si="20"/>
        <v>0</v>
      </c>
      <c r="P145" s="244">
        <f t="shared" si="14"/>
        <v>1</v>
      </c>
      <c r="Q145" s="266" t="s">
        <v>425</v>
      </c>
      <c r="R145" s="267" t="s">
        <v>426</v>
      </c>
      <c r="S145" s="266" t="s">
        <v>29</v>
      </c>
      <c r="T145" s="266">
        <v>32</v>
      </c>
      <c r="U145" s="266">
        <v>1000</v>
      </c>
      <c r="V145" s="266" t="s">
        <v>31</v>
      </c>
      <c r="W145" s="266" t="s">
        <v>32</v>
      </c>
      <c r="X145" s="266"/>
      <c r="Y145" s="266" t="s">
        <v>7</v>
      </c>
      <c r="AA145" s="244" t="s">
        <v>423</v>
      </c>
      <c r="AB145" s="244" t="s">
        <v>424</v>
      </c>
      <c r="AC145" s="244" t="s">
        <v>29</v>
      </c>
      <c r="AD145" s="244">
        <v>8</v>
      </c>
      <c r="AE145" s="244">
        <v>1000</v>
      </c>
      <c r="AF145" s="244" t="s">
        <v>31</v>
      </c>
    </row>
    <row r="146" spans="1:32" ht="19.5" thickBot="1">
      <c r="A146" s="244" t="s">
        <v>7</v>
      </c>
      <c r="B146" s="244" t="s">
        <v>7</v>
      </c>
      <c r="C146" s="244" t="s">
        <v>420</v>
      </c>
      <c r="D146" s="244" t="s">
        <v>312</v>
      </c>
      <c r="E146" s="244">
        <v>1</v>
      </c>
      <c r="F146" s="244">
        <v>906</v>
      </c>
      <c r="G146" s="244" t="s">
        <v>7</v>
      </c>
      <c r="H146" s="244" t="s">
        <v>7668</v>
      </c>
      <c r="I146" s="265" t="str">
        <f t="shared" si="15"/>
        <v>37F</v>
      </c>
      <c r="J146" s="244" t="str">
        <f t="shared" si="16"/>
        <v>ZN11S02</v>
      </c>
      <c r="K146" s="244" t="str">
        <f t="shared" si="17"/>
        <v>1</v>
      </c>
      <c r="L146" s="244">
        <f t="shared" si="18"/>
        <v>8</v>
      </c>
      <c r="M146" s="244">
        <f t="shared" si="19"/>
        <v>1000</v>
      </c>
      <c r="N146" s="244" t="str">
        <f t="shared" si="20"/>
        <v>0</v>
      </c>
      <c r="P146" s="244">
        <f t="shared" si="14"/>
        <v>1</v>
      </c>
      <c r="Q146" s="266" t="s">
        <v>316</v>
      </c>
      <c r="R146" s="267" t="s">
        <v>315</v>
      </c>
      <c r="S146" s="266" t="s">
        <v>29</v>
      </c>
      <c r="T146" s="266">
        <v>32</v>
      </c>
      <c r="U146" s="266">
        <v>1000</v>
      </c>
      <c r="V146" s="266" t="s">
        <v>31</v>
      </c>
      <c r="W146" s="266" t="s">
        <v>32</v>
      </c>
      <c r="X146" s="266"/>
      <c r="Y146" s="266" t="s">
        <v>7</v>
      </c>
      <c r="AA146" s="244" t="s">
        <v>397</v>
      </c>
      <c r="AB146" s="244" t="s">
        <v>396</v>
      </c>
      <c r="AC146" s="244" t="s">
        <v>29</v>
      </c>
      <c r="AD146" s="244">
        <v>8</v>
      </c>
      <c r="AE146" s="244">
        <v>1000</v>
      </c>
      <c r="AF146" s="244" t="s">
        <v>31</v>
      </c>
    </row>
    <row r="147" spans="1:32" ht="19.5" thickBot="1">
      <c r="A147" s="244" t="s">
        <v>7</v>
      </c>
      <c r="B147" s="244" t="s">
        <v>7</v>
      </c>
      <c r="C147" s="244" t="s">
        <v>420</v>
      </c>
      <c r="D147" s="244" t="s">
        <v>94</v>
      </c>
      <c r="E147" s="244">
        <v>16</v>
      </c>
      <c r="F147" s="244">
        <v>906</v>
      </c>
      <c r="G147" s="244" t="s">
        <v>7</v>
      </c>
      <c r="H147" s="244" t="s">
        <v>7669</v>
      </c>
      <c r="I147" s="265" t="str">
        <f t="shared" si="15"/>
        <v>380</v>
      </c>
      <c r="J147" s="244" t="str">
        <f t="shared" si="16"/>
        <v>BDB1S05</v>
      </c>
      <c r="K147" s="244" t="str">
        <f t="shared" si="17"/>
        <v>1</v>
      </c>
      <c r="L147" s="244">
        <f t="shared" si="18"/>
        <v>8</v>
      </c>
      <c r="M147" s="244">
        <f t="shared" si="19"/>
        <v>1000</v>
      </c>
      <c r="N147" s="244" t="str">
        <f t="shared" si="20"/>
        <v>0</v>
      </c>
      <c r="P147" s="244">
        <f t="shared" si="14"/>
        <v>1</v>
      </c>
      <c r="Q147" s="266" t="s">
        <v>427</v>
      </c>
      <c r="R147" s="267" t="s">
        <v>428</v>
      </c>
      <c r="S147" s="266" t="s">
        <v>29</v>
      </c>
      <c r="T147" s="266">
        <v>64</v>
      </c>
      <c r="U147" s="266">
        <v>1000</v>
      </c>
      <c r="V147" s="266" t="s">
        <v>29</v>
      </c>
      <c r="W147" s="266" t="s">
        <v>32</v>
      </c>
      <c r="X147" s="266"/>
      <c r="Y147" s="266" t="s">
        <v>7</v>
      </c>
      <c r="AA147" s="244" t="s">
        <v>400</v>
      </c>
      <c r="AB147" s="244" t="s">
        <v>399</v>
      </c>
      <c r="AC147" s="244" t="s">
        <v>29</v>
      </c>
      <c r="AD147" s="244">
        <v>8</v>
      </c>
      <c r="AE147" s="244">
        <v>1000</v>
      </c>
      <c r="AF147" s="244" t="s">
        <v>31</v>
      </c>
    </row>
    <row r="148" spans="1:32" ht="19.5" thickBot="1">
      <c r="A148" s="244" t="s">
        <v>856</v>
      </c>
      <c r="B148" s="244">
        <v>33</v>
      </c>
      <c r="C148" s="244" t="s">
        <v>420</v>
      </c>
      <c r="D148" s="244" t="s">
        <v>148</v>
      </c>
      <c r="E148" s="244">
        <v>17</v>
      </c>
      <c r="F148" s="244">
        <v>906</v>
      </c>
      <c r="G148" s="244" t="s">
        <v>7</v>
      </c>
      <c r="H148" s="244" t="s">
        <v>7670</v>
      </c>
      <c r="I148" s="265" t="str">
        <f t="shared" si="15"/>
        <v>381</v>
      </c>
      <c r="J148" s="244" t="str">
        <f t="shared" si="16"/>
        <v>ACN1S04</v>
      </c>
      <c r="K148" s="244" t="str">
        <f t="shared" si="17"/>
        <v>1</v>
      </c>
      <c r="L148" s="244">
        <f t="shared" si="18"/>
        <v>32</v>
      </c>
      <c r="M148" s="244">
        <f t="shared" si="19"/>
        <v>1000</v>
      </c>
      <c r="N148" s="244" t="str">
        <f t="shared" si="20"/>
        <v>0</v>
      </c>
      <c r="P148" s="244">
        <f t="shared" si="14"/>
        <v>1</v>
      </c>
      <c r="Q148" s="266" t="s">
        <v>430</v>
      </c>
      <c r="R148" s="267" t="s">
        <v>431</v>
      </c>
      <c r="S148" s="266" t="s">
        <v>29</v>
      </c>
      <c r="T148" s="266">
        <v>64</v>
      </c>
      <c r="U148" s="266">
        <v>1000</v>
      </c>
      <c r="V148" s="266" t="s">
        <v>29</v>
      </c>
      <c r="W148" s="266" t="s">
        <v>32</v>
      </c>
      <c r="X148" s="266"/>
      <c r="Y148" s="266" t="s">
        <v>7</v>
      </c>
      <c r="AA148" s="244" t="s">
        <v>403</v>
      </c>
      <c r="AB148" s="244" t="s">
        <v>402</v>
      </c>
      <c r="AC148" s="244" t="s">
        <v>29</v>
      </c>
      <c r="AD148" s="244">
        <v>32</v>
      </c>
      <c r="AE148" s="244">
        <v>1000</v>
      </c>
      <c r="AF148" s="244" t="s">
        <v>31</v>
      </c>
    </row>
    <row r="149" spans="1:32" ht="19.5" thickBot="1">
      <c r="A149" s="244" t="s">
        <v>7</v>
      </c>
      <c r="B149" s="244" t="s">
        <v>7</v>
      </c>
      <c r="C149" s="244" t="s">
        <v>429</v>
      </c>
      <c r="D149" s="244" t="s">
        <v>7560</v>
      </c>
      <c r="E149" s="244">
        <v>0</v>
      </c>
      <c r="F149" s="244">
        <v>909</v>
      </c>
      <c r="G149" s="244" t="s">
        <v>7</v>
      </c>
      <c r="H149" s="244" t="s">
        <v>7671</v>
      </c>
      <c r="I149" s="265" t="str">
        <f t="shared" si="15"/>
        <v>38A</v>
      </c>
      <c r="J149" s="244" t="str">
        <f t="shared" si="16"/>
        <v>ZN11S03</v>
      </c>
      <c r="K149" s="244" t="str">
        <f t="shared" si="17"/>
        <v>1</v>
      </c>
      <c r="L149" s="244">
        <f t="shared" si="18"/>
        <v>8</v>
      </c>
      <c r="M149" s="244">
        <f t="shared" si="19"/>
        <v>1000</v>
      </c>
      <c r="N149" s="244" t="str">
        <f t="shared" si="20"/>
        <v>0</v>
      </c>
      <c r="P149" s="244">
        <f t="shared" si="14"/>
        <v>1</v>
      </c>
      <c r="Q149" s="266" t="s">
        <v>432</v>
      </c>
      <c r="R149" s="267" t="s">
        <v>433</v>
      </c>
      <c r="S149" s="266" t="s">
        <v>29</v>
      </c>
      <c r="T149" s="266">
        <v>64</v>
      </c>
      <c r="U149" s="266">
        <v>1000</v>
      </c>
      <c r="V149" s="266" t="s">
        <v>29</v>
      </c>
      <c r="W149" s="266" t="s">
        <v>32</v>
      </c>
      <c r="X149" s="266"/>
      <c r="Y149" s="266" t="s">
        <v>7</v>
      </c>
      <c r="AA149" s="244" t="s">
        <v>406</v>
      </c>
      <c r="AB149" s="244" t="s">
        <v>405</v>
      </c>
      <c r="AC149" s="244" t="s">
        <v>29</v>
      </c>
      <c r="AD149" s="244">
        <v>8</v>
      </c>
      <c r="AE149" s="244">
        <v>1000</v>
      </c>
      <c r="AF149" s="244" t="s">
        <v>31</v>
      </c>
    </row>
    <row r="150" spans="1:32" ht="19.5" thickBot="1">
      <c r="A150" s="244" t="s">
        <v>7</v>
      </c>
      <c r="B150" s="244" t="s">
        <v>7</v>
      </c>
      <c r="C150" s="244" t="s">
        <v>429</v>
      </c>
      <c r="D150" s="244" t="s">
        <v>94</v>
      </c>
      <c r="E150" s="244">
        <v>16</v>
      </c>
      <c r="F150" s="244">
        <v>909</v>
      </c>
      <c r="G150" s="244" t="s">
        <v>7</v>
      </c>
      <c r="H150" s="244" t="s">
        <v>7672</v>
      </c>
      <c r="I150" s="265" t="str">
        <f t="shared" si="15"/>
        <v>38B</v>
      </c>
      <c r="J150" s="244" t="str">
        <f t="shared" si="16"/>
        <v>BDB1F01</v>
      </c>
      <c r="K150" s="244" t="str">
        <f t="shared" si="17"/>
        <v>1</v>
      </c>
      <c r="L150" s="244">
        <f t="shared" si="18"/>
        <v>8</v>
      </c>
      <c r="M150" s="244">
        <f t="shared" si="19"/>
        <v>1000</v>
      </c>
      <c r="N150" s="244" t="str">
        <f t="shared" si="20"/>
        <v>0</v>
      </c>
      <c r="P150" s="244">
        <f t="shared" si="14"/>
        <v>1</v>
      </c>
      <c r="Q150" s="266" t="s">
        <v>435</v>
      </c>
      <c r="R150" s="267" t="s">
        <v>436</v>
      </c>
      <c r="S150" s="266" t="s">
        <v>29</v>
      </c>
      <c r="T150" s="266">
        <v>64</v>
      </c>
      <c r="U150" s="266">
        <v>1000</v>
      </c>
      <c r="V150" s="266" t="s">
        <v>29</v>
      </c>
      <c r="W150" s="266" t="s">
        <v>32</v>
      </c>
      <c r="X150" s="266"/>
      <c r="Y150" s="266" t="s">
        <v>7</v>
      </c>
      <c r="AA150" s="244" t="s">
        <v>408</v>
      </c>
      <c r="AB150" s="244" t="s">
        <v>407</v>
      </c>
      <c r="AC150" s="244" t="s">
        <v>29</v>
      </c>
      <c r="AD150" s="244">
        <v>8</v>
      </c>
      <c r="AE150" s="244">
        <v>1000</v>
      </c>
      <c r="AF150" s="244" t="s">
        <v>31</v>
      </c>
    </row>
    <row r="151" spans="1:32" ht="19.5" thickBot="1">
      <c r="A151" s="244" t="s">
        <v>7</v>
      </c>
      <c r="B151" s="244" t="s">
        <v>7</v>
      </c>
      <c r="C151" s="244" t="s">
        <v>429</v>
      </c>
      <c r="D151" s="244" t="s">
        <v>253</v>
      </c>
      <c r="E151" s="244">
        <v>64</v>
      </c>
      <c r="F151" s="244">
        <v>909</v>
      </c>
      <c r="G151" s="244" t="s">
        <v>7</v>
      </c>
      <c r="H151" s="244" t="s">
        <v>7673</v>
      </c>
      <c r="I151" s="265" t="str">
        <f t="shared" si="15"/>
        <v>39A</v>
      </c>
      <c r="J151" s="244" t="str">
        <f t="shared" si="16"/>
        <v>BDC1SC4</v>
      </c>
      <c r="K151" s="244" t="str">
        <f t="shared" si="17"/>
        <v>1</v>
      </c>
      <c r="L151" s="244">
        <f t="shared" si="18"/>
        <v>64</v>
      </c>
      <c r="M151" s="244">
        <f t="shared" si="19"/>
        <v>1000</v>
      </c>
      <c r="N151" s="244" t="str">
        <f t="shared" si="20"/>
        <v>1</v>
      </c>
      <c r="P151" s="244">
        <f t="shared" si="14"/>
        <v>1</v>
      </c>
      <c r="Q151" s="266" t="s">
        <v>438</v>
      </c>
      <c r="R151" s="267" t="s">
        <v>439</v>
      </c>
      <c r="S151" s="266" t="s">
        <v>29</v>
      </c>
      <c r="T151" s="266">
        <v>64</v>
      </c>
      <c r="U151" s="266">
        <v>1000</v>
      </c>
      <c r="V151" s="266" t="s">
        <v>29</v>
      </c>
      <c r="W151" s="266" t="s">
        <v>32</v>
      </c>
      <c r="X151" s="266"/>
      <c r="Y151" s="266" t="s">
        <v>7</v>
      </c>
      <c r="AA151" s="244" t="s">
        <v>428</v>
      </c>
      <c r="AB151" s="244" t="s">
        <v>427</v>
      </c>
      <c r="AC151" s="244" t="s">
        <v>29</v>
      </c>
      <c r="AD151" s="244">
        <v>64</v>
      </c>
      <c r="AE151" s="244">
        <v>1000</v>
      </c>
      <c r="AF151" s="244" t="s">
        <v>29</v>
      </c>
    </row>
    <row r="152" spans="1:32" ht="19.5" thickBot="1">
      <c r="A152" s="244" t="s">
        <v>857</v>
      </c>
      <c r="B152" s="244">
        <v>34</v>
      </c>
      <c r="C152" s="244" t="s">
        <v>429</v>
      </c>
      <c r="D152" s="244" t="s">
        <v>434</v>
      </c>
      <c r="E152" s="244">
        <v>80</v>
      </c>
      <c r="F152" s="244">
        <v>909</v>
      </c>
      <c r="G152" s="244" t="s">
        <v>7</v>
      </c>
      <c r="H152" s="244" t="s">
        <v>7674</v>
      </c>
      <c r="I152" s="265" t="str">
        <f t="shared" si="15"/>
        <v>39B</v>
      </c>
      <c r="J152" s="244" t="str">
        <f t="shared" si="16"/>
        <v>BDC1SC5</v>
      </c>
      <c r="K152" s="244" t="str">
        <f t="shared" si="17"/>
        <v>1</v>
      </c>
      <c r="L152" s="244">
        <f t="shared" si="18"/>
        <v>64</v>
      </c>
      <c r="M152" s="244">
        <f t="shared" si="19"/>
        <v>1000</v>
      </c>
      <c r="N152" s="244" t="str">
        <f t="shared" si="20"/>
        <v>1</v>
      </c>
      <c r="P152" s="244">
        <f t="shared" si="14"/>
        <v>1</v>
      </c>
      <c r="Q152" s="266" t="s">
        <v>441</v>
      </c>
      <c r="R152" s="267" t="s">
        <v>442</v>
      </c>
      <c r="S152" s="266" t="s">
        <v>29</v>
      </c>
      <c r="T152" s="266">
        <v>8</v>
      </c>
      <c r="U152" s="266">
        <v>1000</v>
      </c>
      <c r="V152" s="266" t="s">
        <v>31</v>
      </c>
      <c r="W152" s="266" t="s">
        <v>32</v>
      </c>
      <c r="X152" s="266"/>
      <c r="Y152" s="266" t="s">
        <v>7</v>
      </c>
      <c r="AA152" s="244" t="s">
        <v>431</v>
      </c>
      <c r="AB152" s="244" t="s">
        <v>430</v>
      </c>
      <c r="AC152" s="244" t="s">
        <v>29</v>
      </c>
      <c r="AD152" s="244">
        <v>64</v>
      </c>
      <c r="AE152" s="244">
        <v>1000</v>
      </c>
      <c r="AF152" s="244" t="s">
        <v>29</v>
      </c>
    </row>
    <row r="153" spans="1:32" ht="19.5" thickBot="1">
      <c r="A153" s="244" t="s">
        <v>973</v>
      </c>
      <c r="B153" s="244">
        <v>148</v>
      </c>
      <c r="C153" s="244" t="s">
        <v>437</v>
      </c>
      <c r="D153" s="244" t="s">
        <v>7560</v>
      </c>
      <c r="E153" s="244">
        <v>0</v>
      </c>
      <c r="F153" s="244">
        <v>912</v>
      </c>
      <c r="G153" s="244" t="s">
        <v>7</v>
      </c>
      <c r="H153" s="244" t="s">
        <v>437</v>
      </c>
      <c r="I153" s="265" t="str">
        <f t="shared" si="15"/>
        <v>38D</v>
      </c>
      <c r="J153" s="244" t="str">
        <f t="shared" si="16"/>
        <v>BDB1F02</v>
      </c>
      <c r="K153" s="244" t="str">
        <f t="shared" si="17"/>
        <v>1</v>
      </c>
      <c r="L153" s="244">
        <f t="shared" si="18"/>
        <v>8</v>
      </c>
      <c r="M153" s="244">
        <f t="shared" si="19"/>
        <v>1000</v>
      </c>
      <c r="N153" s="244" t="str">
        <f t="shared" si="20"/>
        <v>0</v>
      </c>
      <c r="P153" s="244">
        <f t="shared" si="14"/>
        <v>1</v>
      </c>
      <c r="Q153" s="266" t="s">
        <v>444</v>
      </c>
      <c r="R153" s="267" t="s">
        <v>445</v>
      </c>
      <c r="S153" s="266" t="s">
        <v>29</v>
      </c>
      <c r="T153" s="266">
        <v>64</v>
      </c>
      <c r="U153" s="266">
        <v>1000</v>
      </c>
      <c r="V153" s="266" t="s">
        <v>29</v>
      </c>
      <c r="W153" s="266" t="s">
        <v>32</v>
      </c>
      <c r="X153" s="266"/>
      <c r="Y153" s="266" t="s">
        <v>7</v>
      </c>
      <c r="AA153" s="244" t="s">
        <v>411</v>
      </c>
      <c r="AB153" s="244" t="s">
        <v>410</v>
      </c>
      <c r="AC153" s="244" t="s">
        <v>29</v>
      </c>
      <c r="AD153" s="244">
        <v>8</v>
      </c>
      <c r="AE153" s="244">
        <v>1000</v>
      </c>
      <c r="AF153" s="244" t="s">
        <v>31</v>
      </c>
    </row>
    <row r="154" spans="1:32" ht="19.5" thickBot="1">
      <c r="A154" s="244" t="s">
        <v>890</v>
      </c>
      <c r="B154" s="244">
        <v>66</v>
      </c>
      <c r="C154" s="244" t="s">
        <v>440</v>
      </c>
      <c r="D154" s="244" t="s">
        <v>7560</v>
      </c>
      <c r="E154" s="244">
        <v>0</v>
      </c>
      <c r="F154" s="244">
        <v>915</v>
      </c>
      <c r="G154" s="244" t="s">
        <v>7</v>
      </c>
      <c r="H154" s="244" t="s">
        <v>440</v>
      </c>
      <c r="I154" s="265" t="str">
        <f t="shared" si="15"/>
        <v>39D</v>
      </c>
      <c r="J154" s="244" t="str">
        <f t="shared" si="16"/>
        <v>BDC1SC6</v>
      </c>
      <c r="K154" s="244" t="str">
        <f t="shared" si="17"/>
        <v>1</v>
      </c>
      <c r="L154" s="244">
        <f t="shared" si="18"/>
        <v>64</v>
      </c>
      <c r="M154" s="244">
        <f t="shared" si="19"/>
        <v>1000</v>
      </c>
      <c r="N154" s="244" t="str">
        <f t="shared" si="20"/>
        <v>1</v>
      </c>
      <c r="P154" s="244">
        <f t="shared" si="14"/>
        <v>1</v>
      </c>
      <c r="Q154" s="266" t="s">
        <v>448</v>
      </c>
      <c r="R154" s="267" t="s">
        <v>449</v>
      </c>
      <c r="S154" s="266" t="s">
        <v>29</v>
      </c>
      <c r="T154" s="266">
        <v>32</v>
      </c>
      <c r="U154" s="266">
        <v>1000</v>
      </c>
      <c r="V154" s="266" t="s">
        <v>31</v>
      </c>
      <c r="W154" s="266" t="s">
        <v>32</v>
      </c>
      <c r="X154" s="266"/>
      <c r="Y154" s="266" t="s">
        <v>7</v>
      </c>
      <c r="AA154" s="244" t="s">
        <v>433</v>
      </c>
      <c r="AB154" s="244" t="s">
        <v>432</v>
      </c>
      <c r="AC154" s="244" t="s">
        <v>29</v>
      </c>
      <c r="AD154" s="244">
        <v>64</v>
      </c>
      <c r="AE154" s="244">
        <v>1000</v>
      </c>
      <c r="AF154" s="244" t="s">
        <v>29</v>
      </c>
    </row>
    <row r="155" spans="1:32" ht="19.5" thickBot="1">
      <c r="A155" s="244" t="s">
        <v>7</v>
      </c>
      <c r="B155" s="244" t="s">
        <v>7</v>
      </c>
      <c r="C155" s="244" t="s">
        <v>443</v>
      </c>
      <c r="D155" s="244" t="s">
        <v>7560</v>
      </c>
      <c r="E155" s="244">
        <v>0</v>
      </c>
      <c r="F155" s="244">
        <v>918</v>
      </c>
      <c r="G155" s="244" t="s">
        <v>7</v>
      </c>
      <c r="H155" s="244" t="s">
        <v>443</v>
      </c>
      <c r="I155" s="265" t="str">
        <f t="shared" si="15"/>
        <v>3CD</v>
      </c>
      <c r="J155" s="244" t="str">
        <f t="shared" si="16"/>
        <v>BDC1SD9</v>
      </c>
      <c r="K155" s="244" t="str">
        <f t="shared" si="17"/>
        <v>1</v>
      </c>
      <c r="L155" s="244">
        <f t="shared" si="18"/>
        <v>64</v>
      </c>
      <c r="M155" s="244">
        <f t="shared" si="19"/>
        <v>1000</v>
      </c>
      <c r="N155" s="244" t="str">
        <f t="shared" si="20"/>
        <v>1</v>
      </c>
      <c r="P155" s="244">
        <f t="shared" si="14"/>
        <v>1</v>
      </c>
      <c r="Q155" s="266" t="s">
        <v>452</v>
      </c>
      <c r="R155" s="267" t="s">
        <v>453</v>
      </c>
      <c r="S155" s="266" t="s">
        <v>29</v>
      </c>
      <c r="T155" s="266">
        <v>8</v>
      </c>
      <c r="U155" s="266">
        <v>1000</v>
      </c>
      <c r="V155" s="266" t="s">
        <v>31</v>
      </c>
      <c r="W155" s="266" t="s">
        <v>32</v>
      </c>
      <c r="X155" s="266"/>
      <c r="Y155" s="266" t="s">
        <v>7</v>
      </c>
      <c r="AA155" s="244" t="s">
        <v>446</v>
      </c>
      <c r="AB155" s="244" t="s">
        <v>447</v>
      </c>
      <c r="AC155" s="244" t="s">
        <v>29</v>
      </c>
      <c r="AD155" s="244">
        <v>64</v>
      </c>
      <c r="AE155" s="244">
        <v>1000</v>
      </c>
      <c r="AF155" s="244" t="s">
        <v>29</v>
      </c>
    </row>
    <row r="156" spans="1:32" ht="19.5" thickBot="1">
      <c r="A156" s="244" t="s">
        <v>7</v>
      </c>
      <c r="B156" s="244" t="s">
        <v>7</v>
      </c>
      <c r="C156" s="244" t="s">
        <v>443</v>
      </c>
      <c r="D156" s="244" t="s">
        <v>312</v>
      </c>
      <c r="E156" s="244">
        <v>1</v>
      </c>
      <c r="F156" s="244">
        <v>918</v>
      </c>
      <c r="G156" s="244" t="s">
        <v>7</v>
      </c>
      <c r="H156" s="244" t="s">
        <v>7675</v>
      </c>
      <c r="I156" s="265" t="str">
        <f t="shared" si="15"/>
        <v>3DD</v>
      </c>
      <c r="J156" s="244" t="str">
        <f t="shared" si="16"/>
        <v>BDC1SE3</v>
      </c>
      <c r="K156" s="244" t="str">
        <f t="shared" si="17"/>
        <v>1</v>
      </c>
      <c r="L156" s="244">
        <f t="shared" si="18"/>
        <v>64</v>
      </c>
      <c r="M156" s="244">
        <f t="shared" si="19"/>
        <v>1000</v>
      </c>
      <c r="N156" s="244" t="str">
        <f t="shared" si="20"/>
        <v>1</v>
      </c>
      <c r="P156" s="244">
        <f t="shared" si="14"/>
        <v>1</v>
      </c>
      <c r="Q156" s="266" t="s">
        <v>455</v>
      </c>
      <c r="R156" s="267" t="s">
        <v>456</v>
      </c>
      <c r="S156" s="266" t="s">
        <v>29</v>
      </c>
      <c r="T156" s="266">
        <v>64</v>
      </c>
      <c r="U156" s="266">
        <v>1000</v>
      </c>
      <c r="V156" s="266" t="s">
        <v>29</v>
      </c>
      <c r="W156" s="266" t="s">
        <v>32</v>
      </c>
      <c r="X156" s="266"/>
      <c r="Y156" s="266" t="s">
        <v>7</v>
      </c>
      <c r="AA156" s="244" t="s">
        <v>450</v>
      </c>
      <c r="AB156" s="244" t="s">
        <v>451</v>
      </c>
      <c r="AC156" s="244" t="s">
        <v>29</v>
      </c>
      <c r="AD156" s="244">
        <v>64</v>
      </c>
      <c r="AE156" s="244">
        <v>1000</v>
      </c>
      <c r="AF156" s="244" t="s">
        <v>29</v>
      </c>
    </row>
    <row r="157" spans="1:32" ht="19.5" thickBot="1">
      <c r="A157" s="244" t="s">
        <v>7</v>
      </c>
      <c r="B157" s="244" t="s">
        <v>7</v>
      </c>
      <c r="C157" s="244" t="s">
        <v>443</v>
      </c>
      <c r="D157" s="244" t="s">
        <v>6</v>
      </c>
      <c r="E157" s="244">
        <v>8</v>
      </c>
      <c r="F157" s="244">
        <v>918</v>
      </c>
      <c r="G157" s="244" t="s">
        <v>7</v>
      </c>
      <c r="H157" s="244" t="s">
        <v>7676</v>
      </c>
      <c r="I157" s="265" t="str">
        <f t="shared" si="15"/>
        <v>390</v>
      </c>
      <c r="J157" s="244" t="str">
        <f t="shared" si="16"/>
        <v>ZN21S13</v>
      </c>
      <c r="K157" s="244" t="str">
        <f t="shared" si="17"/>
        <v>1</v>
      </c>
      <c r="L157" s="244">
        <f t="shared" si="18"/>
        <v>8</v>
      </c>
      <c r="M157" s="244">
        <f t="shared" si="19"/>
        <v>1000</v>
      </c>
      <c r="N157" s="244" t="str">
        <f t="shared" si="20"/>
        <v>0</v>
      </c>
      <c r="P157" s="244">
        <f t="shared" si="14"/>
        <v>1</v>
      </c>
      <c r="Q157" s="266" t="s">
        <v>457</v>
      </c>
      <c r="R157" s="267" t="s">
        <v>458</v>
      </c>
      <c r="S157" s="266" t="s">
        <v>29</v>
      </c>
      <c r="T157" s="266">
        <v>64</v>
      </c>
      <c r="U157" s="266">
        <v>1000</v>
      </c>
      <c r="V157" s="266" t="s">
        <v>29</v>
      </c>
      <c r="W157" s="266" t="s">
        <v>32</v>
      </c>
      <c r="X157" s="266"/>
      <c r="Y157" s="266" t="s">
        <v>7</v>
      </c>
      <c r="AA157" s="244" t="s">
        <v>414</v>
      </c>
      <c r="AB157" s="244" t="s">
        <v>413</v>
      </c>
      <c r="AC157" s="244" t="s">
        <v>29</v>
      </c>
      <c r="AD157" s="244">
        <v>8</v>
      </c>
      <c r="AE157" s="244">
        <v>1000</v>
      </c>
      <c r="AF157" s="244" t="s">
        <v>31</v>
      </c>
    </row>
    <row r="158" spans="1:32" ht="19.5" thickBot="1">
      <c r="A158" s="244" t="s">
        <v>868</v>
      </c>
      <c r="B158" s="244">
        <v>45</v>
      </c>
      <c r="C158" s="244" t="s">
        <v>443</v>
      </c>
      <c r="D158" s="244" t="s">
        <v>454</v>
      </c>
      <c r="E158" s="244">
        <v>9</v>
      </c>
      <c r="F158" s="244">
        <v>918</v>
      </c>
      <c r="G158" s="244" t="s">
        <v>7</v>
      </c>
      <c r="H158" s="244" t="s">
        <v>7677</v>
      </c>
      <c r="I158" s="265" t="str">
        <f t="shared" si="15"/>
        <v>393</v>
      </c>
      <c r="J158" s="244" t="str">
        <f t="shared" si="16"/>
        <v>BDC1SC1</v>
      </c>
      <c r="K158" s="244" t="str">
        <f t="shared" si="17"/>
        <v>1</v>
      </c>
      <c r="L158" s="244">
        <f t="shared" si="18"/>
        <v>64</v>
      </c>
      <c r="M158" s="244">
        <f t="shared" si="19"/>
        <v>1000</v>
      </c>
      <c r="N158" s="244" t="str">
        <f t="shared" si="20"/>
        <v>1</v>
      </c>
      <c r="P158" s="244">
        <f t="shared" si="14"/>
        <v>1</v>
      </c>
      <c r="Q158" s="266" t="s">
        <v>460</v>
      </c>
      <c r="R158" s="267" t="s">
        <v>461</v>
      </c>
      <c r="S158" s="266" t="s">
        <v>29</v>
      </c>
      <c r="T158" s="266">
        <v>8</v>
      </c>
      <c r="U158" s="266">
        <v>1000</v>
      </c>
      <c r="V158" s="266" t="s">
        <v>31</v>
      </c>
      <c r="W158" s="266" t="s">
        <v>32</v>
      </c>
      <c r="X158" s="266"/>
      <c r="Y158" s="266" t="s">
        <v>7</v>
      </c>
      <c r="AA158" s="244" t="s">
        <v>417</v>
      </c>
      <c r="AB158" s="244" t="s">
        <v>416</v>
      </c>
      <c r="AC158" s="244" t="s">
        <v>29</v>
      </c>
      <c r="AD158" s="244">
        <v>64</v>
      </c>
      <c r="AE158" s="244">
        <v>1000</v>
      </c>
      <c r="AF158" s="244" t="s">
        <v>29</v>
      </c>
    </row>
    <row r="159" spans="1:32" ht="19.5" thickBot="1">
      <c r="A159" s="244" t="s">
        <v>7</v>
      </c>
      <c r="B159" s="244" t="s">
        <v>7</v>
      </c>
      <c r="C159" s="244" t="s">
        <v>459</v>
      </c>
      <c r="D159" s="244" t="s">
        <v>7560</v>
      </c>
      <c r="E159" s="244">
        <v>0</v>
      </c>
      <c r="F159" s="244">
        <v>929</v>
      </c>
      <c r="G159" s="244" t="s">
        <v>7</v>
      </c>
      <c r="H159" s="244" t="s">
        <v>7678</v>
      </c>
      <c r="I159" s="265" t="str">
        <f t="shared" si="15"/>
        <v>396</v>
      </c>
      <c r="J159" s="244" t="str">
        <f t="shared" si="16"/>
        <v>BDC1SC3</v>
      </c>
      <c r="K159" s="244" t="str">
        <f t="shared" si="17"/>
        <v>1</v>
      </c>
      <c r="L159" s="244">
        <f t="shared" si="18"/>
        <v>64</v>
      </c>
      <c r="M159" s="244">
        <f t="shared" si="19"/>
        <v>1000</v>
      </c>
      <c r="N159" s="244" t="str">
        <f t="shared" si="20"/>
        <v>1</v>
      </c>
      <c r="P159" s="244">
        <f t="shared" si="14"/>
        <v>1</v>
      </c>
      <c r="Q159" s="266" t="s">
        <v>462</v>
      </c>
      <c r="R159" s="267" t="s">
        <v>463</v>
      </c>
      <c r="S159" s="266" t="s">
        <v>29</v>
      </c>
      <c r="T159" s="266">
        <v>8</v>
      </c>
      <c r="U159" s="266">
        <v>1000</v>
      </c>
      <c r="V159" s="266" t="s">
        <v>31</v>
      </c>
      <c r="W159" s="266" t="s">
        <v>32</v>
      </c>
      <c r="X159" s="266"/>
      <c r="Y159" s="266" t="s">
        <v>7</v>
      </c>
      <c r="AA159" s="244" t="s">
        <v>422</v>
      </c>
      <c r="AB159" s="244" t="s">
        <v>421</v>
      </c>
      <c r="AC159" s="244" t="s">
        <v>29</v>
      </c>
      <c r="AD159" s="244">
        <v>64</v>
      </c>
      <c r="AE159" s="244">
        <v>1000</v>
      </c>
      <c r="AF159" s="244" t="s">
        <v>29</v>
      </c>
    </row>
    <row r="160" spans="1:32" ht="19.5" thickBot="1">
      <c r="A160" s="244" t="s">
        <v>7</v>
      </c>
      <c r="B160" s="244" t="s">
        <v>7</v>
      </c>
      <c r="C160" s="244" t="s">
        <v>459</v>
      </c>
      <c r="D160" s="244" t="s">
        <v>102</v>
      </c>
      <c r="E160" s="244">
        <v>4</v>
      </c>
      <c r="F160" s="244">
        <v>929</v>
      </c>
      <c r="G160" s="244" t="s">
        <v>7</v>
      </c>
      <c r="H160" s="244" t="s">
        <v>7679</v>
      </c>
      <c r="I160" s="265" t="str">
        <f t="shared" si="15"/>
        <v>397</v>
      </c>
      <c r="J160" s="244" t="str">
        <f t="shared" si="16"/>
        <v>BDB1S29</v>
      </c>
      <c r="K160" s="244" t="str">
        <f t="shared" si="17"/>
        <v>1</v>
      </c>
      <c r="L160" s="244">
        <f t="shared" si="18"/>
        <v>32</v>
      </c>
      <c r="M160" s="244">
        <f t="shared" si="19"/>
        <v>1000</v>
      </c>
      <c r="N160" s="244" t="str">
        <f t="shared" si="20"/>
        <v>0</v>
      </c>
      <c r="P160" s="244">
        <f t="shared" si="14"/>
        <v>1</v>
      </c>
      <c r="Q160" s="266" t="s">
        <v>465</v>
      </c>
      <c r="R160" s="267" t="s">
        <v>466</v>
      </c>
      <c r="S160" s="266" t="s">
        <v>29</v>
      </c>
      <c r="T160" s="266">
        <v>64</v>
      </c>
      <c r="U160" s="266">
        <v>1000</v>
      </c>
      <c r="V160" s="266" t="s">
        <v>29</v>
      </c>
      <c r="W160" s="266" t="s">
        <v>32</v>
      </c>
      <c r="X160" s="266"/>
      <c r="Y160" s="266" t="s">
        <v>7</v>
      </c>
      <c r="AA160" s="244" t="s">
        <v>426</v>
      </c>
      <c r="AB160" s="244" t="s">
        <v>425</v>
      </c>
      <c r="AC160" s="244" t="s">
        <v>29</v>
      </c>
      <c r="AD160" s="244">
        <v>32</v>
      </c>
      <c r="AE160" s="244">
        <v>1000</v>
      </c>
      <c r="AF160" s="244" t="s">
        <v>31</v>
      </c>
    </row>
    <row r="161" spans="1:32" ht="19.5" thickBot="1">
      <c r="A161" s="244" t="s">
        <v>7</v>
      </c>
      <c r="B161" s="244" t="s">
        <v>7</v>
      </c>
      <c r="C161" s="244" t="s">
        <v>459</v>
      </c>
      <c r="D161" s="244" t="s">
        <v>253</v>
      </c>
      <c r="E161" s="244">
        <v>64</v>
      </c>
      <c r="F161" s="244">
        <v>929</v>
      </c>
      <c r="G161" s="244" t="s">
        <v>7</v>
      </c>
      <c r="H161" s="244" t="s">
        <v>7680</v>
      </c>
      <c r="I161" s="265" t="str">
        <f t="shared" si="15"/>
        <v>39E</v>
      </c>
      <c r="J161" s="244" t="str">
        <f t="shared" si="16"/>
        <v>BDC1SC7</v>
      </c>
      <c r="K161" s="244" t="str">
        <f t="shared" si="17"/>
        <v>1</v>
      </c>
      <c r="L161" s="244">
        <f t="shared" si="18"/>
        <v>64</v>
      </c>
      <c r="M161" s="244">
        <f t="shared" si="19"/>
        <v>1000</v>
      </c>
      <c r="N161" s="244" t="str">
        <f t="shared" si="20"/>
        <v>1</v>
      </c>
      <c r="P161" s="244">
        <f t="shared" si="14"/>
        <v>1</v>
      </c>
      <c r="Q161" s="266" t="s">
        <v>468</v>
      </c>
      <c r="R161" s="267" t="s">
        <v>469</v>
      </c>
      <c r="S161" s="266" t="s">
        <v>29</v>
      </c>
      <c r="T161" s="266">
        <v>64</v>
      </c>
      <c r="U161" s="266">
        <v>1000</v>
      </c>
      <c r="V161" s="266" t="s">
        <v>29</v>
      </c>
      <c r="W161" s="266" t="s">
        <v>32</v>
      </c>
      <c r="X161" s="266"/>
      <c r="Y161" s="266" t="s">
        <v>7</v>
      </c>
      <c r="AA161" s="244" t="s">
        <v>436</v>
      </c>
      <c r="AB161" s="244" t="s">
        <v>435</v>
      </c>
      <c r="AC161" s="244" t="s">
        <v>29</v>
      </c>
      <c r="AD161" s="244">
        <v>64</v>
      </c>
      <c r="AE161" s="244">
        <v>1000</v>
      </c>
      <c r="AF161" s="244" t="s">
        <v>29</v>
      </c>
    </row>
    <row r="162" spans="1:32" ht="19.5" thickBot="1">
      <c r="A162" s="244" t="s">
        <v>836</v>
      </c>
      <c r="B162" s="244">
        <v>14</v>
      </c>
      <c r="C162" s="244" t="s">
        <v>459</v>
      </c>
      <c r="D162" s="244" t="s">
        <v>464</v>
      </c>
      <c r="E162" s="244">
        <v>68</v>
      </c>
      <c r="F162" s="244">
        <v>929</v>
      </c>
      <c r="G162" s="244" t="s">
        <v>7</v>
      </c>
      <c r="H162" s="244" t="s">
        <v>7681</v>
      </c>
      <c r="I162" s="265" t="str">
        <f t="shared" si="15"/>
        <v>39F</v>
      </c>
      <c r="J162" s="244" t="str">
        <f t="shared" si="16"/>
        <v>BDC1SC8</v>
      </c>
      <c r="K162" s="244" t="str">
        <f t="shared" si="17"/>
        <v>1</v>
      </c>
      <c r="L162" s="244">
        <f t="shared" si="18"/>
        <v>64</v>
      </c>
      <c r="M162" s="244">
        <f t="shared" si="19"/>
        <v>1000</v>
      </c>
      <c r="N162" s="244" t="str">
        <f t="shared" si="20"/>
        <v>1</v>
      </c>
      <c r="P162" s="244">
        <f t="shared" si="14"/>
        <v>1</v>
      </c>
      <c r="Q162" s="266" t="s">
        <v>347</v>
      </c>
      <c r="R162" s="267" t="s">
        <v>346</v>
      </c>
      <c r="S162" s="266" t="s">
        <v>29</v>
      </c>
      <c r="T162" s="266">
        <v>8</v>
      </c>
      <c r="U162" s="266">
        <v>1000</v>
      </c>
      <c r="V162" s="266" t="s">
        <v>31</v>
      </c>
      <c r="W162" s="266" t="s">
        <v>32</v>
      </c>
      <c r="X162" s="266"/>
      <c r="Y162" s="266" t="s">
        <v>7</v>
      </c>
      <c r="AA162" s="244" t="s">
        <v>439</v>
      </c>
      <c r="AB162" s="244" t="s">
        <v>438</v>
      </c>
      <c r="AC162" s="244" t="s">
        <v>29</v>
      </c>
      <c r="AD162" s="244">
        <v>64</v>
      </c>
      <c r="AE162" s="244">
        <v>1000</v>
      </c>
      <c r="AF162" s="244" t="s">
        <v>29</v>
      </c>
    </row>
    <row r="163" spans="1:32" ht="19.5" thickBot="1">
      <c r="A163" s="244" t="s">
        <v>7</v>
      </c>
      <c r="B163" s="244" t="s">
        <v>7</v>
      </c>
      <c r="C163" s="244" t="s">
        <v>467</v>
      </c>
      <c r="D163" s="244" t="s">
        <v>7560</v>
      </c>
      <c r="E163" s="244">
        <v>0</v>
      </c>
      <c r="F163" s="244">
        <v>937</v>
      </c>
      <c r="G163" s="244" t="s">
        <v>7</v>
      </c>
      <c r="H163" s="244" t="s">
        <v>7682</v>
      </c>
      <c r="I163" s="265" t="str">
        <f t="shared" si="15"/>
        <v>3A1</v>
      </c>
      <c r="J163" s="244" t="str">
        <f t="shared" si="16"/>
        <v>ACN1S03</v>
      </c>
      <c r="K163" s="244" t="str">
        <f t="shared" si="17"/>
        <v>1</v>
      </c>
      <c r="L163" s="244">
        <f t="shared" si="18"/>
        <v>8</v>
      </c>
      <c r="M163" s="244">
        <f t="shared" si="19"/>
        <v>1000</v>
      </c>
      <c r="N163" s="244" t="str">
        <f t="shared" si="20"/>
        <v>0</v>
      </c>
      <c r="P163" s="244">
        <f t="shared" si="14"/>
        <v>1</v>
      </c>
      <c r="Q163" s="268" t="s">
        <v>359</v>
      </c>
      <c r="R163" s="269" t="s">
        <v>358</v>
      </c>
      <c r="S163" s="268" t="s">
        <v>29</v>
      </c>
      <c r="T163" s="268">
        <v>8</v>
      </c>
      <c r="U163" s="268">
        <v>1000</v>
      </c>
      <c r="V163" s="268" t="s">
        <v>31</v>
      </c>
      <c r="W163" s="266" t="s">
        <v>32</v>
      </c>
      <c r="X163" s="266"/>
      <c r="Y163" s="266" t="s">
        <v>7</v>
      </c>
      <c r="AA163" s="244" t="s">
        <v>442</v>
      </c>
      <c r="AB163" s="244" t="s">
        <v>441</v>
      </c>
      <c r="AC163" s="244" t="s">
        <v>29</v>
      </c>
      <c r="AD163" s="244">
        <v>8</v>
      </c>
      <c r="AE163" s="244">
        <v>1000</v>
      </c>
      <c r="AF163" s="244" t="s">
        <v>31</v>
      </c>
    </row>
    <row r="164" spans="1:32" ht="19.5" thickBot="1">
      <c r="A164" s="244" t="s">
        <v>7</v>
      </c>
      <c r="B164" s="244" t="s">
        <v>7</v>
      </c>
      <c r="C164" s="244" t="s">
        <v>467</v>
      </c>
      <c r="D164" s="244" t="s">
        <v>44</v>
      </c>
      <c r="E164" s="244">
        <v>2</v>
      </c>
      <c r="F164" s="244">
        <v>937</v>
      </c>
      <c r="G164" s="244" t="s">
        <v>7</v>
      </c>
      <c r="H164" s="244" t="s">
        <v>7683</v>
      </c>
      <c r="I164" s="265" t="str">
        <f t="shared" si="15"/>
        <v>3A5</v>
      </c>
      <c r="J164" s="244" t="str">
        <f t="shared" si="16"/>
        <v>BDC1SC9</v>
      </c>
      <c r="K164" s="244" t="str">
        <f t="shared" si="17"/>
        <v>1</v>
      </c>
      <c r="L164" s="244">
        <f t="shared" si="18"/>
        <v>64</v>
      </c>
      <c r="M164" s="244">
        <f t="shared" si="19"/>
        <v>1000</v>
      </c>
      <c r="N164" s="244" t="str">
        <f t="shared" si="20"/>
        <v>1</v>
      </c>
      <c r="P164" s="244">
        <f t="shared" si="14"/>
        <v>1</v>
      </c>
      <c r="Q164" s="266" t="s">
        <v>472</v>
      </c>
      <c r="R164" s="267" t="s">
        <v>473</v>
      </c>
      <c r="S164" s="266" t="s">
        <v>29</v>
      </c>
      <c r="T164" s="266">
        <v>8</v>
      </c>
      <c r="U164" s="266">
        <v>1000</v>
      </c>
      <c r="V164" s="266" t="s">
        <v>31</v>
      </c>
      <c r="W164" s="266" t="s">
        <v>32</v>
      </c>
      <c r="X164" s="266"/>
      <c r="Y164" s="266" t="s">
        <v>7</v>
      </c>
      <c r="AA164" s="244" t="s">
        <v>445</v>
      </c>
      <c r="AB164" s="244" t="s">
        <v>444</v>
      </c>
      <c r="AC164" s="244" t="s">
        <v>29</v>
      </c>
      <c r="AD164" s="244">
        <v>64</v>
      </c>
      <c r="AE164" s="244">
        <v>1000</v>
      </c>
      <c r="AF164" s="244" t="s">
        <v>29</v>
      </c>
    </row>
    <row r="165" spans="1:32" ht="19.5" thickBot="1">
      <c r="A165" s="244" t="s">
        <v>7</v>
      </c>
      <c r="B165" s="244" t="s">
        <v>7</v>
      </c>
      <c r="C165" s="244" t="s">
        <v>467</v>
      </c>
      <c r="D165" s="244" t="s">
        <v>253</v>
      </c>
      <c r="E165" s="244">
        <v>64</v>
      </c>
      <c r="F165" s="244">
        <v>937</v>
      </c>
      <c r="G165" s="244" t="s">
        <v>7</v>
      </c>
      <c r="H165" s="244" t="s">
        <v>7684</v>
      </c>
      <c r="I165" s="265" t="str">
        <f t="shared" si="15"/>
        <v>3E1</v>
      </c>
      <c r="J165" s="244" t="str">
        <f t="shared" si="16"/>
        <v>BDC1SE4</v>
      </c>
      <c r="K165" s="244" t="str">
        <f t="shared" si="17"/>
        <v>1</v>
      </c>
      <c r="L165" s="244">
        <f t="shared" si="18"/>
        <v>64</v>
      </c>
      <c r="M165" s="244">
        <f t="shared" si="19"/>
        <v>1000</v>
      </c>
      <c r="N165" s="244" t="str">
        <f t="shared" si="20"/>
        <v>1</v>
      </c>
      <c r="P165" s="244">
        <f t="shared" si="14"/>
        <v>1</v>
      </c>
      <c r="Q165" s="266" t="s">
        <v>477</v>
      </c>
      <c r="R165" s="267" t="s">
        <v>478</v>
      </c>
      <c r="S165" s="266" t="s">
        <v>29</v>
      </c>
      <c r="T165" s="266">
        <v>64</v>
      </c>
      <c r="U165" s="266">
        <v>1000</v>
      </c>
      <c r="V165" s="266" t="s">
        <v>29</v>
      </c>
      <c r="W165" s="266" t="s">
        <v>32</v>
      </c>
      <c r="X165" s="266"/>
      <c r="Y165" s="266" t="s">
        <v>7</v>
      </c>
      <c r="AA165" s="244" t="s">
        <v>470</v>
      </c>
      <c r="AB165" s="244" t="s">
        <v>471</v>
      </c>
      <c r="AC165" s="244" t="s">
        <v>29</v>
      </c>
      <c r="AD165" s="244">
        <v>64</v>
      </c>
      <c r="AE165" s="244">
        <v>1000</v>
      </c>
      <c r="AF165" s="244" t="s">
        <v>29</v>
      </c>
    </row>
    <row r="166" spans="1:32" ht="19.5" thickBot="1">
      <c r="A166" s="244" t="s">
        <v>895</v>
      </c>
      <c r="B166" s="244">
        <v>71</v>
      </c>
      <c r="C166" s="244" t="s">
        <v>467</v>
      </c>
      <c r="D166" s="244" t="s">
        <v>320</v>
      </c>
      <c r="E166" s="244">
        <v>66</v>
      </c>
      <c r="F166" s="244">
        <v>937</v>
      </c>
      <c r="G166" s="244" t="s">
        <v>7</v>
      </c>
      <c r="H166" s="244" t="s">
        <v>7685</v>
      </c>
      <c r="I166" s="265" t="str">
        <f t="shared" si="15"/>
        <v>3E5</v>
      </c>
      <c r="J166" s="244" t="str">
        <f t="shared" si="16"/>
        <v>BAT1S01</v>
      </c>
      <c r="K166" s="244" t="str">
        <f t="shared" si="17"/>
        <v>1</v>
      </c>
      <c r="L166" s="244">
        <f t="shared" si="18"/>
        <v>32</v>
      </c>
      <c r="M166" s="244">
        <f t="shared" si="19"/>
        <v>1000</v>
      </c>
      <c r="N166" s="244" t="str">
        <f t="shared" si="20"/>
        <v>0</v>
      </c>
      <c r="P166" s="244">
        <f t="shared" si="14"/>
        <v>1</v>
      </c>
      <c r="Q166" s="266" t="s">
        <v>140</v>
      </c>
      <c r="R166" s="267" t="s">
        <v>139</v>
      </c>
      <c r="S166" s="266" t="s">
        <v>29</v>
      </c>
      <c r="T166" s="266">
        <v>32</v>
      </c>
      <c r="U166" s="266">
        <v>1000</v>
      </c>
      <c r="V166" s="266" t="s">
        <v>31</v>
      </c>
      <c r="W166" s="266" t="s">
        <v>32</v>
      </c>
      <c r="X166" s="266"/>
      <c r="Y166" s="266" t="s">
        <v>7</v>
      </c>
      <c r="AA166" s="244" t="s">
        <v>474</v>
      </c>
      <c r="AB166" s="244" t="s">
        <v>475</v>
      </c>
      <c r="AC166" s="244" t="s">
        <v>29</v>
      </c>
      <c r="AD166" s="244">
        <v>32</v>
      </c>
      <c r="AE166" s="244">
        <v>1000</v>
      </c>
      <c r="AF166" s="244" t="s">
        <v>31</v>
      </c>
    </row>
    <row r="167" spans="1:32" ht="19.5" thickBot="1">
      <c r="A167" s="244" t="s">
        <v>7</v>
      </c>
      <c r="B167" s="244" t="s">
        <v>7</v>
      </c>
      <c r="C167" s="244" t="s">
        <v>476</v>
      </c>
      <c r="D167" s="244" t="s">
        <v>7560</v>
      </c>
      <c r="E167" s="244">
        <v>0</v>
      </c>
      <c r="F167" s="244">
        <v>940</v>
      </c>
      <c r="G167" s="244" t="s">
        <v>7</v>
      </c>
      <c r="H167" s="244" t="s">
        <v>7686</v>
      </c>
      <c r="I167" s="265" t="str">
        <f t="shared" si="15"/>
        <v>3A9</v>
      </c>
      <c r="J167" s="244" t="str">
        <f t="shared" si="16"/>
        <v>ZN21S72</v>
      </c>
      <c r="K167" s="244" t="str">
        <f t="shared" si="17"/>
        <v>1</v>
      </c>
      <c r="L167" s="244">
        <f t="shared" si="18"/>
        <v>32</v>
      </c>
      <c r="M167" s="244">
        <f t="shared" si="19"/>
        <v>1000</v>
      </c>
      <c r="N167" s="244" t="str">
        <f t="shared" si="20"/>
        <v>0</v>
      </c>
      <c r="P167" s="244">
        <f t="shared" si="14"/>
        <v>1</v>
      </c>
      <c r="Q167" s="266" t="s">
        <v>479</v>
      </c>
      <c r="R167" s="267" t="s">
        <v>480</v>
      </c>
      <c r="S167" s="266" t="s">
        <v>29</v>
      </c>
      <c r="T167" s="266">
        <v>64</v>
      </c>
      <c r="U167" s="266">
        <v>1000</v>
      </c>
      <c r="V167" s="266" t="s">
        <v>29</v>
      </c>
      <c r="W167" s="266" t="s">
        <v>32</v>
      </c>
      <c r="X167" s="266"/>
      <c r="Y167" s="266" t="s">
        <v>7</v>
      </c>
      <c r="AA167" s="244" t="s">
        <v>449</v>
      </c>
      <c r="AB167" s="244" t="s">
        <v>448</v>
      </c>
      <c r="AC167" s="244" t="s">
        <v>29</v>
      </c>
      <c r="AD167" s="244">
        <v>32</v>
      </c>
      <c r="AE167" s="244">
        <v>1000</v>
      </c>
      <c r="AF167" s="244" t="s">
        <v>31</v>
      </c>
    </row>
    <row r="168" spans="1:32" ht="19.5" thickBot="1">
      <c r="A168" s="244" t="s">
        <v>892</v>
      </c>
      <c r="B168" s="244">
        <v>68</v>
      </c>
      <c r="C168" s="244" t="s">
        <v>476</v>
      </c>
      <c r="D168" s="244" t="s">
        <v>44</v>
      </c>
      <c r="E168" s="244">
        <v>2</v>
      </c>
      <c r="F168" s="244">
        <v>940</v>
      </c>
      <c r="G168" s="244" t="s">
        <v>7</v>
      </c>
      <c r="H168" s="244" t="s">
        <v>7687</v>
      </c>
      <c r="I168" s="265" t="str">
        <f t="shared" si="15"/>
        <v>3AB</v>
      </c>
      <c r="J168" s="244" t="str">
        <f t="shared" si="16"/>
        <v>BKD1S02</v>
      </c>
      <c r="K168" s="244" t="str">
        <f t="shared" si="17"/>
        <v>1</v>
      </c>
      <c r="L168" s="244">
        <f t="shared" si="18"/>
        <v>8</v>
      </c>
      <c r="M168" s="244">
        <f t="shared" si="19"/>
        <v>1000</v>
      </c>
      <c r="N168" s="244" t="str">
        <f t="shared" si="20"/>
        <v>0</v>
      </c>
      <c r="P168" s="244">
        <f t="shared" si="14"/>
        <v>1</v>
      </c>
      <c r="Q168" s="266" t="s">
        <v>483</v>
      </c>
      <c r="R168" s="267" t="s">
        <v>484</v>
      </c>
      <c r="S168" s="266" t="s">
        <v>29</v>
      </c>
      <c r="T168" s="266">
        <v>32</v>
      </c>
      <c r="U168" s="266">
        <v>1000</v>
      </c>
      <c r="V168" s="266" t="s">
        <v>29</v>
      </c>
      <c r="W168" s="266" t="s">
        <v>32</v>
      </c>
      <c r="X168" s="266"/>
      <c r="Y168" s="266" t="s">
        <v>7</v>
      </c>
      <c r="AA168" s="244" t="s">
        <v>453</v>
      </c>
      <c r="AB168" s="244" t="s">
        <v>452</v>
      </c>
      <c r="AC168" s="244" t="s">
        <v>29</v>
      </c>
      <c r="AD168" s="244">
        <v>8</v>
      </c>
      <c r="AE168" s="244">
        <v>1000</v>
      </c>
      <c r="AF168" s="244" t="s">
        <v>31</v>
      </c>
    </row>
    <row r="169" spans="1:32" ht="19.5" thickBot="1">
      <c r="A169" s="244" t="s">
        <v>7</v>
      </c>
      <c r="B169" s="244" t="s">
        <v>7</v>
      </c>
      <c r="C169" s="244" t="s">
        <v>487</v>
      </c>
      <c r="D169" s="244" t="s">
        <v>7560</v>
      </c>
      <c r="E169" s="244">
        <v>0</v>
      </c>
      <c r="F169" s="244">
        <v>944</v>
      </c>
      <c r="G169" s="244" t="s">
        <v>7</v>
      </c>
      <c r="H169" s="244" t="s">
        <v>7688</v>
      </c>
      <c r="I169" s="265" t="str">
        <f t="shared" si="15"/>
        <v>3E9</v>
      </c>
      <c r="J169" s="244" t="str">
        <f t="shared" si="16"/>
        <v>BDC1SI2</v>
      </c>
      <c r="K169" s="244" t="str">
        <f t="shared" si="17"/>
        <v>1</v>
      </c>
      <c r="L169" s="244">
        <f t="shared" si="18"/>
        <v>64</v>
      </c>
      <c r="M169" s="244">
        <f t="shared" si="19"/>
        <v>1000</v>
      </c>
      <c r="N169" s="244" t="str">
        <f t="shared" si="20"/>
        <v>0</v>
      </c>
      <c r="P169" s="244">
        <f t="shared" si="14"/>
        <v>1</v>
      </c>
      <c r="Q169" s="268" t="s">
        <v>488</v>
      </c>
      <c r="R169" s="269" t="s">
        <v>489</v>
      </c>
      <c r="S169" s="268" t="s">
        <v>29</v>
      </c>
      <c r="T169" s="268">
        <v>32</v>
      </c>
      <c r="U169" s="268">
        <v>1000</v>
      </c>
      <c r="V169" s="268" t="s">
        <v>29</v>
      </c>
      <c r="W169" s="266" t="s">
        <v>32</v>
      </c>
      <c r="X169" s="266"/>
      <c r="Y169" s="266" t="s">
        <v>7</v>
      </c>
      <c r="AA169" s="244" t="s">
        <v>481</v>
      </c>
      <c r="AB169" s="244" t="s">
        <v>482</v>
      </c>
      <c r="AC169" s="244" t="s">
        <v>29</v>
      </c>
      <c r="AD169" s="244">
        <v>64</v>
      </c>
      <c r="AE169" s="244">
        <v>1000</v>
      </c>
      <c r="AF169" s="244" t="s">
        <v>31</v>
      </c>
    </row>
    <row r="170" spans="1:32" ht="19.5" thickBot="1">
      <c r="A170" s="244" t="s">
        <v>7</v>
      </c>
      <c r="B170" s="244" t="s">
        <v>7</v>
      </c>
      <c r="C170" s="244" t="s">
        <v>487</v>
      </c>
      <c r="D170" s="244" t="s">
        <v>312</v>
      </c>
      <c r="E170" s="244">
        <v>1</v>
      </c>
      <c r="F170" s="244">
        <v>944</v>
      </c>
      <c r="G170" s="244" t="s">
        <v>7</v>
      </c>
      <c r="H170" s="244" t="s">
        <v>7689</v>
      </c>
      <c r="I170" s="265" t="str">
        <f t="shared" si="15"/>
        <v>3EB</v>
      </c>
      <c r="J170" s="244" t="str">
        <f t="shared" si="16"/>
        <v>BDC1SE5</v>
      </c>
      <c r="K170" s="244" t="str">
        <f t="shared" si="17"/>
        <v>1</v>
      </c>
      <c r="L170" s="244">
        <f t="shared" si="18"/>
        <v>64</v>
      </c>
      <c r="M170" s="244">
        <f t="shared" si="19"/>
        <v>1000</v>
      </c>
      <c r="N170" s="244" t="str">
        <f t="shared" si="20"/>
        <v>1</v>
      </c>
      <c r="P170" s="244">
        <f t="shared" si="14"/>
        <v>1</v>
      </c>
      <c r="Q170" s="266" t="s">
        <v>490</v>
      </c>
      <c r="R170" s="267" t="s">
        <v>491</v>
      </c>
      <c r="S170" s="266" t="s">
        <v>29</v>
      </c>
      <c r="T170" s="266">
        <v>64</v>
      </c>
      <c r="U170" s="266">
        <v>2000</v>
      </c>
      <c r="V170" s="266" t="s">
        <v>31</v>
      </c>
      <c r="W170" s="266" t="s">
        <v>32</v>
      </c>
      <c r="X170" s="266"/>
      <c r="Y170" s="266" t="s">
        <v>7</v>
      </c>
      <c r="AA170" s="244" t="s">
        <v>485</v>
      </c>
      <c r="AB170" s="244" t="s">
        <v>486</v>
      </c>
      <c r="AC170" s="244" t="s">
        <v>29</v>
      </c>
      <c r="AD170" s="244">
        <v>64</v>
      </c>
      <c r="AE170" s="244">
        <v>1000</v>
      </c>
      <c r="AF170" s="244" t="s">
        <v>29</v>
      </c>
    </row>
    <row r="171" spans="1:32" ht="19.5" thickBot="1">
      <c r="A171" s="244" t="s">
        <v>7</v>
      </c>
      <c r="B171" s="244" t="s">
        <v>7</v>
      </c>
      <c r="C171" s="244" t="s">
        <v>487</v>
      </c>
      <c r="D171" s="244" t="s">
        <v>44</v>
      </c>
      <c r="E171" s="244">
        <v>2</v>
      </c>
      <c r="F171" s="244">
        <v>944</v>
      </c>
      <c r="G171" s="244" t="s">
        <v>7</v>
      </c>
      <c r="H171" s="244" t="s">
        <v>7690</v>
      </c>
      <c r="I171" s="265" t="str">
        <f t="shared" si="15"/>
        <v>3AC</v>
      </c>
      <c r="J171" s="244" t="str">
        <f t="shared" si="16"/>
        <v>BDC1SD1</v>
      </c>
      <c r="K171" s="244" t="str">
        <f t="shared" si="17"/>
        <v>1</v>
      </c>
      <c r="L171" s="244">
        <f t="shared" si="18"/>
        <v>64</v>
      </c>
      <c r="M171" s="244">
        <f t="shared" si="19"/>
        <v>1000</v>
      </c>
      <c r="N171" s="244" t="str">
        <f t="shared" si="20"/>
        <v>1</v>
      </c>
      <c r="P171" s="244">
        <f t="shared" si="14"/>
        <v>1</v>
      </c>
      <c r="Q171" s="266" t="s">
        <v>492</v>
      </c>
      <c r="R171" s="267" t="s">
        <v>493</v>
      </c>
      <c r="S171" s="266" t="s">
        <v>29</v>
      </c>
      <c r="T171" s="266">
        <v>64</v>
      </c>
      <c r="U171" s="266">
        <v>1000</v>
      </c>
      <c r="V171" s="266" t="s">
        <v>29</v>
      </c>
      <c r="W171" s="266" t="s">
        <v>32</v>
      </c>
      <c r="X171" s="266"/>
      <c r="Y171" s="266" t="s">
        <v>7</v>
      </c>
      <c r="AA171" s="244" t="s">
        <v>456</v>
      </c>
      <c r="AB171" s="244" t="s">
        <v>455</v>
      </c>
      <c r="AC171" s="244" t="s">
        <v>29</v>
      </c>
      <c r="AD171" s="244">
        <v>64</v>
      </c>
      <c r="AE171" s="244">
        <v>1000</v>
      </c>
      <c r="AF171" s="244" t="s">
        <v>29</v>
      </c>
    </row>
    <row r="172" spans="1:32" ht="19.5" thickBot="1">
      <c r="A172" s="244" t="s">
        <v>834</v>
      </c>
      <c r="B172" s="244">
        <v>12</v>
      </c>
      <c r="C172" s="244" t="s">
        <v>487</v>
      </c>
      <c r="D172" s="244" t="s">
        <v>494</v>
      </c>
      <c r="E172" s="244">
        <v>3</v>
      </c>
      <c r="F172" s="244">
        <v>944</v>
      </c>
      <c r="G172" s="244" t="s">
        <v>7</v>
      </c>
      <c r="H172" s="244" t="s">
        <v>7691</v>
      </c>
      <c r="I172" s="265" t="str">
        <f t="shared" si="15"/>
        <v>3AE</v>
      </c>
      <c r="J172" s="244" t="str">
        <f t="shared" si="16"/>
        <v>BDC1SD2</v>
      </c>
      <c r="K172" s="244" t="str">
        <f t="shared" si="17"/>
        <v>1</v>
      </c>
      <c r="L172" s="244">
        <f t="shared" si="18"/>
        <v>64</v>
      </c>
      <c r="M172" s="244">
        <f t="shared" si="19"/>
        <v>1000</v>
      </c>
      <c r="N172" s="244" t="str">
        <f t="shared" si="20"/>
        <v>1</v>
      </c>
      <c r="P172" s="244">
        <f t="shared" si="14"/>
        <v>1</v>
      </c>
      <c r="Q172" s="266" t="s">
        <v>495</v>
      </c>
      <c r="R172" s="267" t="s">
        <v>496</v>
      </c>
      <c r="S172" s="266" t="s">
        <v>29</v>
      </c>
      <c r="T172" s="266">
        <v>64</v>
      </c>
      <c r="U172" s="266">
        <v>1000</v>
      </c>
      <c r="V172" s="266" t="s">
        <v>29</v>
      </c>
      <c r="W172" s="266" t="s">
        <v>32</v>
      </c>
      <c r="X172" s="266"/>
      <c r="Y172" s="266" t="s">
        <v>7</v>
      </c>
      <c r="AA172" s="244" t="s">
        <v>458</v>
      </c>
      <c r="AB172" s="244" t="s">
        <v>457</v>
      </c>
      <c r="AC172" s="244" t="s">
        <v>29</v>
      </c>
      <c r="AD172" s="244">
        <v>64</v>
      </c>
      <c r="AE172" s="244">
        <v>1000</v>
      </c>
      <c r="AF172" s="244" t="s">
        <v>29</v>
      </c>
    </row>
    <row r="173" spans="1:32" ht="19.5" thickBot="1">
      <c r="A173" s="244" t="s">
        <v>7</v>
      </c>
      <c r="B173" s="244" t="s">
        <v>7</v>
      </c>
      <c r="C173" s="244" t="s">
        <v>497</v>
      </c>
      <c r="D173" s="244" t="s">
        <v>7560</v>
      </c>
      <c r="E173" s="244">
        <v>0</v>
      </c>
      <c r="F173" s="244">
        <v>952</v>
      </c>
      <c r="G173" s="244" t="s">
        <v>7</v>
      </c>
      <c r="H173" s="244" t="s">
        <v>7692</v>
      </c>
      <c r="I173" s="265" t="str">
        <f t="shared" si="15"/>
        <v>3B0</v>
      </c>
      <c r="J173" s="244" t="str">
        <f t="shared" si="16"/>
        <v>ACN1S07</v>
      </c>
      <c r="K173" s="244" t="str">
        <f t="shared" si="17"/>
        <v>1</v>
      </c>
      <c r="L173" s="244">
        <f t="shared" si="18"/>
        <v>8</v>
      </c>
      <c r="M173" s="244">
        <f t="shared" si="19"/>
        <v>1000</v>
      </c>
      <c r="N173" s="244" t="str">
        <f t="shared" si="20"/>
        <v>0</v>
      </c>
      <c r="P173" s="244">
        <f t="shared" si="14"/>
        <v>1</v>
      </c>
      <c r="Q173" s="266" t="s">
        <v>498</v>
      </c>
      <c r="R173" s="267" t="s">
        <v>499</v>
      </c>
      <c r="S173" s="266" t="s">
        <v>29</v>
      </c>
      <c r="T173" s="266">
        <v>8</v>
      </c>
      <c r="U173" s="266">
        <v>1000</v>
      </c>
      <c r="V173" s="266" t="s">
        <v>31</v>
      </c>
      <c r="W173" s="266" t="s">
        <v>32</v>
      </c>
      <c r="X173" s="266"/>
      <c r="Y173" s="266" t="s">
        <v>7</v>
      </c>
      <c r="AA173" s="244" t="s">
        <v>461</v>
      </c>
      <c r="AB173" s="244" t="s">
        <v>460</v>
      </c>
      <c r="AC173" s="244" t="s">
        <v>29</v>
      </c>
      <c r="AD173" s="244">
        <v>8</v>
      </c>
      <c r="AE173" s="244">
        <v>1000</v>
      </c>
      <c r="AF173" s="244" t="s">
        <v>31</v>
      </c>
    </row>
    <row r="174" spans="1:32" ht="19.5" thickBot="1">
      <c r="A174" s="244" t="s">
        <v>7</v>
      </c>
      <c r="B174" s="244" t="s">
        <v>7</v>
      </c>
      <c r="C174" s="244" t="s">
        <v>497</v>
      </c>
      <c r="D174" s="244" t="s">
        <v>312</v>
      </c>
      <c r="E174" s="244">
        <v>1</v>
      </c>
      <c r="F174" s="244">
        <v>952</v>
      </c>
      <c r="G174" s="244" t="s">
        <v>7</v>
      </c>
      <c r="H174" s="244" t="s">
        <v>7693</v>
      </c>
      <c r="I174" s="265" t="str">
        <f t="shared" si="15"/>
        <v>3B1</v>
      </c>
      <c r="J174" s="244" t="str">
        <f t="shared" si="16"/>
        <v>ABG1S01</v>
      </c>
      <c r="K174" s="244" t="str">
        <f t="shared" si="17"/>
        <v>1</v>
      </c>
      <c r="L174" s="244">
        <f t="shared" si="18"/>
        <v>8</v>
      </c>
      <c r="M174" s="244">
        <f t="shared" si="19"/>
        <v>1000</v>
      </c>
      <c r="N174" s="244" t="str">
        <f t="shared" si="20"/>
        <v>0</v>
      </c>
      <c r="P174" s="244">
        <f t="shared" si="14"/>
        <v>1</v>
      </c>
      <c r="Q174" s="266" t="s">
        <v>500</v>
      </c>
      <c r="R174" s="267" t="s">
        <v>501</v>
      </c>
      <c r="S174" s="266" t="s">
        <v>29</v>
      </c>
      <c r="T174" s="266">
        <v>8</v>
      </c>
      <c r="U174" s="266">
        <v>1000</v>
      </c>
      <c r="V174" s="266" t="s">
        <v>31</v>
      </c>
      <c r="W174" s="268" t="s">
        <v>32</v>
      </c>
      <c r="X174" s="268"/>
      <c r="Y174" s="268" t="s">
        <v>7</v>
      </c>
      <c r="AA174" s="244" t="s">
        <v>463</v>
      </c>
      <c r="AB174" s="244" t="s">
        <v>462</v>
      </c>
      <c r="AC174" s="244" t="s">
        <v>29</v>
      </c>
      <c r="AD174" s="244">
        <v>8</v>
      </c>
      <c r="AE174" s="244">
        <v>1000</v>
      </c>
      <c r="AF174" s="244" t="s">
        <v>31</v>
      </c>
    </row>
    <row r="175" spans="1:32" ht="19.5" thickBot="1">
      <c r="A175" s="244" t="s">
        <v>7</v>
      </c>
      <c r="B175" s="244" t="s">
        <v>7</v>
      </c>
      <c r="C175" s="244" t="s">
        <v>497</v>
      </c>
      <c r="D175" s="244" t="s">
        <v>102</v>
      </c>
      <c r="E175" s="244">
        <v>4</v>
      </c>
      <c r="F175" s="244">
        <v>952</v>
      </c>
      <c r="G175" s="244" t="s">
        <v>7</v>
      </c>
      <c r="H175" s="244" t="s">
        <v>7694</v>
      </c>
      <c r="I175" s="265" t="str">
        <f t="shared" si="15"/>
        <v>3B2</v>
      </c>
      <c r="J175" s="244" t="str">
        <f t="shared" si="16"/>
        <v>BDC1SD3</v>
      </c>
      <c r="K175" s="244" t="str">
        <f t="shared" si="17"/>
        <v>1</v>
      </c>
      <c r="L175" s="244">
        <f t="shared" si="18"/>
        <v>64</v>
      </c>
      <c r="M175" s="244">
        <f t="shared" si="19"/>
        <v>1000</v>
      </c>
      <c r="N175" s="244" t="str">
        <f t="shared" si="20"/>
        <v>1</v>
      </c>
      <c r="P175" s="244">
        <f t="shared" si="14"/>
        <v>1</v>
      </c>
      <c r="Q175" s="266" t="s">
        <v>502</v>
      </c>
      <c r="R175" s="267" t="s">
        <v>503</v>
      </c>
      <c r="S175" s="266" t="s">
        <v>29</v>
      </c>
      <c r="T175" s="266">
        <v>8</v>
      </c>
      <c r="U175" s="266">
        <v>1000</v>
      </c>
      <c r="V175" s="266" t="s">
        <v>31</v>
      </c>
      <c r="W175" s="268" t="s">
        <v>32</v>
      </c>
      <c r="X175" s="268"/>
      <c r="Y175" s="268" t="s">
        <v>7</v>
      </c>
      <c r="AA175" s="244" t="s">
        <v>466</v>
      </c>
      <c r="AB175" s="244" t="s">
        <v>465</v>
      </c>
      <c r="AC175" s="244" t="s">
        <v>29</v>
      </c>
      <c r="AD175" s="244">
        <v>64</v>
      </c>
      <c r="AE175" s="244">
        <v>1000</v>
      </c>
      <c r="AF175" s="244" t="s">
        <v>29</v>
      </c>
    </row>
    <row r="176" spans="1:32" ht="19.5" thickBot="1">
      <c r="A176" s="244" t="s">
        <v>870</v>
      </c>
      <c r="B176" s="244">
        <v>47</v>
      </c>
      <c r="C176" s="244" t="s">
        <v>497</v>
      </c>
      <c r="D176" s="244" t="s">
        <v>366</v>
      </c>
      <c r="E176" s="244">
        <v>5</v>
      </c>
      <c r="F176" s="244">
        <v>952</v>
      </c>
      <c r="G176" s="244" t="s">
        <v>7</v>
      </c>
      <c r="H176" s="244" t="s">
        <v>7695</v>
      </c>
      <c r="I176" s="265" t="str">
        <f t="shared" si="15"/>
        <v>3B3</v>
      </c>
      <c r="J176" s="244" t="str">
        <f t="shared" si="16"/>
        <v>BDC1SD4</v>
      </c>
      <c r="K176" s="244" t="str">
        <f t="shared" si="17"/>
        <v>1</v>
      </c>
      <c r="L176" s="244">
        <f t="shared" si="18"/>
        <v>64</v>
      </c>
      <c r="M176" s="244">
        <f t="shared" si="19"/>
        <v>1000</v>
      </c>
      <c r="N176" s="244" t="str">
        <f t="shared" si="20"/>
        <v>1</v>
      </c>
      <c r="P176" s="244">
        <f t="shared" si="14"/>
        <v>1</v>
      </c>
      <c r="Q176" s="266" t="s">
        <v>447</v>
      </c>
      <c r="R176" s="267" t="s">
        <v>446</v>
      </c>
      <c r="S176" s="266" t="s">
        <v>29</v>
      </c>
      <c r="T176" s="266">
        <v>64</v>
      </c>
      <c r="U176" s="266">
        <v>1000</v>
      </c>
      <c r="V176" s="266" t="s">
        <v>29</v>
      </c>
      <c r="W176" s="266" t="s">
        <v>32</v>
      </c>
      <c r="X176" s="266"/>
      <c r="Y176" s="266" t="s">
        <v>7</v>
      </c>
      <c r="AA176" s="244" t="s">
        <v>469</v>
      </c>
      <c r="AB176" s="244" t="s">
        <v>468</v>
      </c>
      <c r="AC176" s="244" t="s">
        <v>29</v>
      </c>
      <c r="AD176" s="244">
        <v>64</v>
      </c>
      <c r="AE176" s="244">
        <v>1000</v>
      </c>
      <c r="AF176" s="244" t="s">
        <v>29</v>
      </c>
    </row>
    <row r="177" spans="1:32" ht="19.5" thickBot="1">
      <c r="A177" s="244" t="s">
        <v>7</v>
      </c>
      <c r="B177" s="244" t="s">
        <v>7</v>
      </c>
      <c r="C177" s="244" t="s">
        <v>935</v>
      </c>
      <c r="D177" s="244" t="s">
        <v>7560</v>
      </c>
      <c r="E177" s="244">
        <v>0</v>
      </c>
      <c r="F177" s="244">
        <v>955</v>
      </c>
      <c r="G177" s="244" t="s">
        <v>7</v>
      </c>
      <c r="H177" s="244" t="s">
        <v>7696</v>
      </c>
      <c r="I177" s="265" t="str">
        <f t="shared" si="15"/>
        <v>3B8</v>
      </c>
      <c r="J177" s="244" t="str">
        <f t="shared" si="16"/>
        <v>BDB1S36</v>
      </c>
      <c r="K177" s="244" t="str">
        <f t="shared" si="17"/>
        <v>1</v>
      </c>
      <c r="L177" s="244">
        <f t="shared" si="18"/>
        <v>8</v>
      </c>
      <c r="M177" s="244">
        <f t="shared" si="19"/>
        <v>1000</v>
      </c>
      <c r="N177" s="244" t="str">
        <f t="shared" si="20"/>
        <v>0</v>
      </c>
      <c r="P177" s="244">
        <f t="shared" si="14"/>
        <v>1</v>
      </c>
      <c r="Q177" s="266" t="s">
        <v>505</v>
      </c>
      <c r="R177" s="267" t="s">
        <v>506</v>
      </c>
      <c r="S177" s="266" t="s">
        <v>29</v>
      </c>
      <c r="T177" s="266">
        <v>64</v>
      </c>
      <c r="U177" s="266">
        <v>2000</v>
      </c>
      <c r="V177" s="266" t="s">
        <v>31</v>
      </c>
      <c r="W177" s="266" t="s">
        <v>32</v>
      </c>
      <c r="X177" s="266"/>
      <c r="Y177" s="266" t="s">
        <v>7</v>
      </c>
      <c r="AA177" s="244" t="s">
        <v>473</v>
      </c>
      <c r="AB177" s="244" t="s">
        <v>472</v>
      </c>
      <c r="AC177" s="244" t="s">
        <v>29</v>
      </c>
      <c r="AD177" s="244">
        <v>8</v>
      </c>
      <c r="AE177" s="244">
        <v>1000</v>
      </c>
      <c r="AF177" s="244" t="s">
        <v>31</v>
      </c>
    </row>
    <row r="178" spans="1:32" ht="19.5" thickBot="1">
      <c r="A178" s="244" t="s">
        <v>934</v>
      </c>
      <c r="B178" s="244">
        <v>110</v>
      </c>
      <c r="C178" s="244" t="s">
        <v>935</v>
      </c>
      <c r="D178" s="244" t="s">
        <v>102</v>
      </c>
      <c r="E178" s="244">
        <v>4</v>
      </c>
      <c r="F178" s="244">
        <v>955</v>
      </c>
      <c r="G178" s="244" t="s">
        <v>7</v>
      </c>
      <c r="H178" s="244" t="s">
        <v>7697</v>
      </c>
      <c r="I178" s="265" t="str">
        <f t="shared" si="15"/>
        <v>3B9</v>
      </c>
      <c r="J178" s="244" t="str">
        <f t="shared" si="16"/>
        <v>BDC1SD5</v>
      </c>
      <c r="K178" s="244" t="str">
        <f t="shared" si="17"/>
        <v>1</v>
      </c>
      <c r="L178" s="244">
        <f t="shared" si="18"/>
        <v>64</v>
      </c>
      <c r="M178" s="244">
        <f t="shared" si="19"/>
        <v>1000</v>
      </c>
      <c r="N178" s="244" t="str">
        <f t="shared" si="20"/>
        <v>1</v>
      </c>
      <c r="P178" s="244">
        <f t="shared" si="14"/>
        <v>1</v>
      </c>
      <c r="Q178" s="266" t="s">
        <v>172</v>
      </c>
      <c r="R178" s="267" t="s">
        <v>171</v>
      </c>
      <c r="S178" s="266" t="s">
        <v>29</v>
      </c>
      <c r="T178" s="266">
        <v>32</v>
      </c>
      <c r="U178" s="266">
        <v>1000</v>
      </c>
      <c r="V178" s="266" t="s">
        <v>31</v>
      </c>
      <c r="W178" s="266" t="s">
        <v>32</v>
      </c>
      <c r="X178" s="266"/>
      <c r="Y178" s="266" t="s">
        <v>7</v>
      </c>
      <c r="AA178" s="244" t="s">
        <v>478</v>
      </c>
      <c r="AB178" s="244" t="s">
        <v>477</v>
      </c>
      <c r="AC178" s="244" t="s">
        <v>29</v>
      </c>
      <c r="AD178" s="244">
        <v>64</v>
      </c>
      <c r="AE178" s="244">
        <v>1000</v>
      </c>
      <c r="AF178" s="244" t="s">
        <v>29</v>
      </c>
    </row>
    <row r="179" spans="1:32" ht="19.5" thickBot="1">
      <c r="A179" s="244" t="s">
        <v>7</v>
      </c>
      <c r="B179" s="244" t="s">
        <v>7</v>
      </c>
      <c r="C179" s="244" t="s">
        <v>504</v>
      </c>
      <c r="D179" s="244" t="s">
        <v>7560</v>
      </c>
      <c r="E179" s="244">
        <v>0</v>
      </c>
      <c r="F179" s="244">
        <v>963</v>
      </c>
      <c r="G179" s="244" t="s">
        <v>7</v>
      </c>
      <c r="H179" s="244" t="s">
        <v>7698</v>
      </c>
      <c r="I179" s="265" t="str">
        <f t="shared" si="15"/>
        <v>3BC</v>
      </c>
      <c r="J179" s="244" t="str">
        <f t="shared" si="16"/>
        <v>BDC1SD6</v>
      </c>
      <c r="K179" s="244" t="str">
        <f t="shared" si="17"/>
        <v>1</v>
      </c>
      <c r="L179" s="244">
        <f t="shared" si="18"/>
        <v>64</v>
      </c>
      <c r="M179" s="244">
        <f t="shared" si="19"/>
        <v>1000</v>
      </c>
      <c r="N179" s="244" t="str">
        <f t="shared" si="20"/>
        <v>1</v>
      </c>
      <c r="P179" s="244">
        <f t="shared" si="14"/>
        <v>1</v>
      </c>
      <c r="Q179" s="266" t="s">
        <v>175</v>
      </c>
      <c r="R179" s="267" t="s">
        <v>174</v>
      </c>
      <c r="S179" s="266" t="s">
        <v>29</v>
      </c>
      <c r="T179" s="266">
        <v>64</v>
      </c>
      <c r="U179" s="266">
        <v>1000</v>
      </c>
      <c r="V179" s="266" t="s">
        <v>29</v>
      </c>
      <c r="W179" s="266" t="s">
        <v>32</v>
      </c>
      <c r="X179" s="266"/>
      <c r="Y179" s="266" t="s">
        <v>7</v>
      </c>
      <c r="AA179" s="244" t="s">
        <v>480</v>
      </c>
      <c r="AB179" s="244" t="s">
        <v>479</v>
      </c>
      <c r="AC179" s="244" t="s">
        <v>29</v>
      </c>
      <c r="AD179" s="244">
        <v>64</v>
      </c>
      <c r="AE179" s="244">
        <v>1000</v>
      </c>
      <c r="AF179" s="244" t="s">
        <v>29</v>
      </c>
    </row>
    <row r="180" spans="1:32" ht="19.5" thickBot="1">
      <c r="A180" s="244" t="s">
        <v>894</v>
      </c>
      <c r="B180" s="244">
        <v>70</v>
      </c>
      <c r="C180" s="244" t="s">
        <v>504</v>
      </c>
      <c r="D180" s="244" t="s">
        <v>102</v>
      </c>
      <c r="E180" s="244">
        <v>4</v>
      </c>
      <c r="F180" s="244">
        <v>963</v>
      </c>
      <c r="G180" s="244" t="s">
        <v>7</v>
      </c>
      <c r="H180" s="244" t="s">
        <v>7699</v>
      </c>
      <c r="I180" s="265" t="str">
        <f t="shared" si="15"/>
        <v>3BD</v>
      </c>
      <c r="J180" s="244" t="str">
        <f t="shared" si="16"/>
        <v>PCN1S01</v>
      </c>
      <c r="K180" s="244" t="str">
        <f t="shared" si="17"/>
        <v>1</v>
      </c>
      <c r="L180" s="244">
        <f t="shared" si="18"/>
        <v>32</v>
      </c>
      <c r="M180" s="244">
        <f t="shared" si="19"/>
        <v>1000</v>
      </c>
      <c r="N180" s="244" t="str">
        <f t="shared" si="20"/>
        <v>1</v>
      </c>
      <c r="P180" s="244">
        <f t="shared" si="14"/>
        <v>1</v>
      </c>
      <c r="Q180" s="266" t="s">
        <v>508</v>
      </c>
      <c r="R180" s="267" t="s">
        <v>509</v>
      </c>
      <c r="S180" s="266" t="s">
        <v>29</v>
      </c>
      <c r="T180" s="266">
        <v>64</v>
      </c>
      <c r="U180" s="266">
        <v>1000</v>
      </c>
      <c r="V180" s="266" t="s">
        <v>29</v>
      </c>
      <c r="W180" s="268" t="s">
        <v>32</v>
      </c>
      <c r="X180" s="268"/>
      <c r="Y180" s="268" t="s">
        <v>7</v>
      </c>
      <c r="AA180" s="244" t="s">
        <v>484</v>
      </c>
      <c r="AB180" s="244" t="s">
        <v>483</v>
      </c>
      <c r="AC180" s="244" t="s">
        <v>29</v>
      </c>
      <c r="AD180" s="244">
        <v>32</v>
      </c>
      <c r="AE180" s="244">
        <v>1000</v>
      </c>
      <c r="AF180" s="244" t="s">
        <v>29</v>
      </c>
    </row>
    <row r="181" spans="1:32" ht="19.5" thickBot="1">
      <c r="A181" s="244" t="s">
        <v>7</v>
      </c>
      <c r="B181" s="244" t="s">
        <v>7</v>
      </c>
      <c r="C181" s="244" t="s">
        <v>507</v>
      </c>
      <c r="D181" s="244" t="s">
        <v>7560</v>
      </c>
      <c r="E181" s="244">
        <v>0</v>
      </c>
      <c r="F181" s="244">
        <v>966</v>
      </c>
      <c r="G181" s="244" t="s">
        <v>7</v>
      </c>
      <c r="H181" s="244" t="s">
        <v>7700</v>
      </c>
      <c r="I181" s="265" t="str">
        <f t="shared" si="15"/>
        <v>3BB</v>
      </c>
      <c r="J181" s="244" t="str">
        <f t="shared" si="16"/>
        <v>ZN11SF9</v>
      </c>
      <c r="K181" s="244" t="str">
        <f t="shared" si="17"/>
        <v>1</v>
      </c>
      <c r="L181" s="244">
        <f t="shared" si="18"/>
        <v>32</v>
      </c>
      <c r="M181" s="244">
        <f t="shared" si="19"/>
        <v>1000</v>
      </c>
      <c r="N181" s="244" t="str">
        <f t="shared" si="20"/>
        <v>0</v>
      </c>
      <c r="P181" s="244">
        <f t="shared" si="14"/>
        <v>1</v>
      </c>
      <c r="Q181" s="266" t="s">
        <v>451</v>
      </c>
      <c r="R181" s="267" t="s">
        <v>450</v>
      </c>
      <c r="S181" s="266" t="s">
        <v>29</v>
      </c>
      <c r="T181" s="266">
        <v>64</v>
      </c>
      <c r="U181" s="266">
        <v>1000</v>
      </c>
      <c r="V181" s="266" t="s">
        <v>29</v>
      </c>
      <c r="W181" s="268" t="s">
        <v>32</v>
      </c>
      <c r="X181" s="268"/>
      <c r="Y181" s="268" t="s">
        <v>7</v>
      </c>
      <c r="AA181" s="244" t="s">
        <v>139</v>
      </c>
      <c r="AB181" s="244" t="s">
        <v>140</v>
      </c>
      <c r="AC181" s="244" t="s">
        <v>29</v>
      </c>
      <c r="AD181" s="244">
        <v>32</v>
      </c>
      <c r="AE181" s="244">
        <v>1000</v>
      </c>
      <c r="AF181" s="244" t="s">
        <v>31</v>
      </c>
    </row>
    <row r="182" spans="1:32" ht="19.5" thickBot="1">
      <c r="A182" s="244" t="s">
        <v>7</v>
      </c>
      <c r="B182" s="244" t="s">
        <v>7</v>
      </c>
      <c r="C182" s="244" t="s">
        <v>507</v>
      </c>
      <c r="D182" s="244" t="s">
        <v>6</v>
      </c>
      <c r="E182" s="244">
        <v>8</v>
      </c>
      <c r="F182" s="244">
        <v>966</v>
      </c>
      <c r="G182" s="244" t="s">
        <v>7</v>
      </c>
      <c r="H182" s="244" t="s">
        <v>7701</v>
      </c>
      <c r="I182" s="265" t="str">
        <f t="shared" si="15"/>
        <v>3BF</v>
      </c>
      <c r="J182" s="244" t="str">
        <f t="shared" si="16"/>
        <v>ECT1G01</v>
      </c>
      <c r="K182" s="244" t="str">
        <f t="shared" si="17"/>
        <v>1</v>
      </c>
      <c r="L182" s="244">
        <f t="shared" si="18"/>
        <v>32</v>
      </c>
      <c r="M182" s="244">
        <f t="shared" si="19"/>
        <v>1000</v>
      </c>
      <c r="N182" s="244" t="str">
        <f t="shared" si="20"/>
        <v>1</v>
      </c>
      <c r="P182" s="244">
        <f t="shared" si="14"/>
        <v>1</v>
      </c>
      <c r="Q182" s="266" t="s">
        <v>511</v>
      </c>
      <c r="R182" s="267" t="s">
        <v>512</v>
      </c>
      <c r="S182" s="266" t="s">
        <v>29</v>
      </c>
      <c r="T182" s="266">
        <v>8</v>
      </c>
      <c r="U182" s="266">
        <v>1000</v>
      </c>
      <c r="V182" s="266" t="s">
        <v>31</v>
      </c>
      <c r="W182" s="268" t="s">
        <v>32</v>
      </c>
      <c r="X182" s="268"/>
      <c r="Y182" s="268" t="s">
        <v>7</v>
      </c>
      <c r="AA182" s="244" t="s">
        <v>489</v>
      </c>
      <c r="AB182" s="244" t="s">
        <v>488</v>
      </c>
      <c r="AC182" s="244" t="s">
        <v>29</v>
      </c>
      <c r="AD182" s="244">
        <v>32</v>
      </c>
      <c r="AE182" s="244">
        <v>1000</v>
      </c>
      <c r="AF182" s="244" t="s">
        <v>29</v>
      </c>
    </row>
    <row r="183" spans="1:32" ht="19.5" thickBot="1">
      <c r="A183" s="244" t="s">
        <v>7</v>
      </c>
      <c r="B183" s="244" t="s">
        <v>7</v>
      </c>
      <c r="C183" s="244" t="s">
        <v>507</v>
      </c>
      <c r="D183" s="244" t="s">
        <v>94</v>
      </c>
      <c r="E183" s="244">
        <v>16</v>
      </c>
      <c r="F183" s="244">
        <v>966</v>
      </c>
      <c r="G183" s="244" t="s">
        <v>7</v>
      </c>
      <c r="H183" s="244" t="s">
        <v>7702</v>
      </c>
      <c r="I183" s="265" t="str">
        <f t="shared" si="15"/>
        <v>3C3</v>
      </c>
      <c r="J183" s="244" t="str">
        <f t="shared" si="16"/>
        <v>BDC1SJ6</v>
      </c>
      <c r="K183" s="244" t="str">
        <f t="shared" si="17"/>
        <v>1</v>
      </c>
      <c r="L183" s="244">
        <f t="shared" si="18"/>
        <v>64</v>
      </c>
      <c r="M183" s="244">
        <f t="shared" si="19"/>
        <v>2000</v>
      </c>
      <c r="N183" s="244" t="str">
        <f t="shared" si="20"/>
        <v>0</v>
      </c>
      <c r="P183" s="244">
        <f t="shared" si="14"/>
        <v>1</v>
      </c>
      <c r="Q183" s="266" t="s">
        <v>471</v>
      </c>
      <c r="R183" s="267" t="s">
        <v>470</v>
      </c>
      <c r="S183" s="266" t="s">
        <v>29</v>
      </c>
      <c r="T183" s="266">
        <v>64</v>
      </c>
      <c r="U183" s="266">
        <v>1000</v>
      </c>
      <c r="V183" s="266" t="s">
        <v>29</v>
      </c>
      <c r="W183" s="266" t="s">
        <v>32</v>
      </c>
      <c r="X183" s="266"/>
      <c r="Y183" s="266" t="s">
        <v>7</v>
      </c>
      <c r="AA183" s="244" t="s">
        <v>491</v>
      </c>
      <c r="AB183" s="244" t="s">
        <v>490</v>
      </c>
      <c r="AC183" s="244" t="s">
        <v>29</v>
      </c>
      <c r="AD183" s="244">
        <v>64</v>
      </c>
      <c r="AE183" s="244">
        <v>2000</v>
      </c>
      <c r="AF183" s="244" t="s">
        <v>31</v>
      </c>
    </row>
    <row r="184" spans="1:32" ht="19.5" thickBot="1">
      <c r="A184" s="244" t="s">
        <v>893</v>
      </c>
      <c r="B184" s="244">
        <v>69</v>
      </c>
      <c r="C184" s="244" t="s">
        <v>507</v>
      </c>
      <c r="D184" s="244" t="s">
        <v>510</v>
      </c>
      <c r="E184" s="244">
        <v>24</v>
      </c>
      <c r="F184" s="244">
        <v>966</v>
      </c>
      <c r="G184" s="244" t="s">
        <v>7</v>
      </c>
      <c r="H184" s="244" t="s">
        <v>7703</v>
      </c>
      <c r="I184" s="265" t="str">
        <f t="shared" si="15"/>
        <v>3C7</v>
      </c>
      <c r="J184" s="244" t="str">
        <f t="shared" si="16"/>
        <v>BDC1SD8</v>
      </c>
      <c r="K184" s="244" t="str">
        <f t="shared" si="17"/>
        <v>1</v>
      </c>
      <c r="L184" s="244">
        <f t="shared" si="18"/>
        <v>64</v>
      </c>
      <c r="M184" s="244">
        <f t="shared" si="19"/>
        <v>1000</v>
      </c>
      <c r="N184" s="244" t="str">
        <f t="shared" si="20"/>
        <v>1</v>
      </c>
      <c r="P184" s="244">
        <f t="shared" si="14"/>
        <v>1</v>
      </c>
      <c r="Q184" s="268" t="s">
        <v>475</v>
      </c>
      <c r="R184" s="269" t="s">
        <v>474</v>
      </c>
      <c r="S184" s="268" t="s">
        <v>29</v>
      </c>
      <c r="T184" s="268">
        <v>32</v>
      </c>
      <c r="U184" s="268">
        <v>1000</v>
      </c>
      <c r="V184" s="268" t="s">
        <v>31</v>
      </c>
      <c r="W184" s="266" t="s">
        <v>32</v>
      </c>
      <c r="X184" s="266"/>
      <c r="Y184" s="266" t="s">
        <v>7</v>
      </c>
      <c r="AA184" s="244" t="s">
        <v>496</v>
      </c>
      <c r="AB184" s="244" t="s">
        <v>495</v>
      </c>
      <c r="AC184" s="244" t="s">
        <v>29</v>
      </c>
      <c r="AD184" s="244">
        <v>64</v>
      </c>
      <c r="AE184" s="244">
        <v>1000</v>
      </c>
      <c r="AF184" s="244" t="s">
        <v>29</v>
      </c>
    </row>
    <row r="185" spans="1:32" ht="19.5" thickBot="1">
      <c r="A185" s="244" t="s">
        <v>7</v>
      </c>
      <c r="B185" s="244" t="s">
        <v>7</v>
      </c>
      <c r="C185" s="244" t="s">
        <v>513</v>
      </c>
      <c r="D185" s="244" t="s">
        <v>7560</v>
      </c>
      <c r="E185" s="244">
        <v>0</v>
      </c>
      <c r="F185" s="244">
        <v>968</v>
      </c>
      <c r="G185" s="244" t="s">
        <v>7</v>
      </c>
      <c r="H185" s="244" t="s">
        <v>7704</v>
      </c>
      <c r="I185" s="265" t="str">
        <f t="shared" si="15"/>
        <v>3C6</v>
      </c>
      <c r="J185" s="244" t="str">
        <f t="shared" si="16"/>
        <v>BDC1SD7</v>
      </c>
      <c r="K185" s="244" t="str">
        <f t="shared" si="17"/>
        <v>1</v>
      </c>
      <c r="L185" s="244">
        <f t="shared" si="18"/>
        <v>64</v>
      </c>
      <c r="M185" s="244">
        <f t="shared" si="19"/>
        <v>1000</v>
      </c>
      <c r="N185" s="244" t="str">
        <f t="shared" si="20"/>
        <v>1</v>
      </c>
      <c r="P185" s="244">
        <f t="shared" si="14"/>
        <v>1</v>
      </c>
      <c r="Q185" s="266" t="s">
        <v>515</v>
      </c>
      <c r="R185" s="267" t="s">
        <v>516</v>
      </c>
      <c r="S185" s="266" t="s">
        <v>29</v>
      </c>
      <c r="T185" s="266">
        <v>32</v>
      </c>
      <c r="U185" s="266">
        <v>1000</v>
      </c>
      <c r="V185" s="266" t="s">
        <v>31</v>
      </c>
      <c r="W185" s="266" t="s">
        <v>32</v>
      </c>
      <c r="X185" s="266"/>
      <c r="Y185" s="266" t="s">
        <v>7</v>
      </c>
      <c r="AA185" s="244" t="s">
        <v>493</v>
      </c>
      <c r="AB185" s="244" t="s">
        <v>492</v>
      </c>
      <c r="AC185" s="244" t="s">
        <v>29</v>
      </c>
      <c r="AD185" s="244">
        <v>64</v>
      </c>
      <c r="AE185" s="244">
        <v>1000</v>
      </c>
      <c r="AF185" s="244" t="s">
        <v>29</v>
      </c>
    </row>
    <row r="186" spans="1:32" ht="19.5" thickBot="1">
      <c r="A186" s="244" t="s">
        <v>910</v>
      </c>
      <c r="B186" s="244">
        <v>86</v>
      </c>
      <c r="C186" s="244" t="s">
        <v>513</v>
      </c>
      <c r="D186" s="244" t="s">
        <v>273</v>
      </c>
      <c r="E186" s="244">
        <v>32</v>
      </c>
      <c r="F186" s="244">
        <v>968</v>
      </c>
      <c r="G186" s="244" t="s">
        <v>7</v>
      </c>
      <c r="H186" s="244" t="s">
        <v>7705</v>
      </c>
      <c r="I186" s="265" t="str">
        <f t="shared" si="15"/>
        <v>3CE</v>
      </c>
      <c r="J186" s="244" t="str">
        <f t="shared" si="16"/>
        <v>BDC1SI0</v>
      </c>
      <c r="K186" s="244" t="str">
        <f t="shared" si="17"/>
        <v>1</v>
      </c>
      <c r="L186" s="244">
        <f t="shared" si="18"/>
        <v>64</v>
      </c>
      <c r="M186" s="244">
        <f t="shared" si="19"/>
        <v>2000</v>
      </c>
      <c r="N186" s="244" t="str">
        <f t="shared" si="20"/>
        <v>0</v>
      </c>
      <c r="P186" s="244">
        <f t="shared" si="14"/>
        <v>1</v>
      </c>
      <c r="Q186" s="266" t="s">
        <v>517</v>
      </c>
      <c r="R186" s="267" t="s">
        <v>518</v>
      </c>
      <c r="S186" s="266" t="s">
        <v>29</v>
      </c>
      <c r="T186" s="266">
        <v>64</v>
      </c>
      <c r="U186" s="266">
        <v>1000</v>
      </c>
      <c r="V186" s="266" t="s">
        <v>31</v>
      </c>
      <c r="W186" s="266" t="s">
        <v>32</v>
      </c>
      <c r="X186" s="266"/>
      <c r="Y186" s="266" t="s">
        <v>7</v>
      </c>
      <c r="AA186" s="244" t="s">
        <v>506</v>
      </c>
      <c r="AB186" s="244" t="s">
        <v>505</v>
      </c>
      <c r="AC186" s="244" t="s">
        <v>29</v>
      </c>
      <c r="AD186" s="244">
        <v>64</v>
      </c>
      <c r="AE186" s="244">
        <v>2000</v>
      </c>
      <c r="AF186" s="244" t="s">
        <v>31</v>
      </c>
    </row>
    <row r="187" spans="1:32" ht="19.5" thickBot="1">
      <c r="A187" s="244" t="s">
        <v>7</v>
      </c>
      <c r="B187" s="244" t="s">
        <v>7</v>
      </c>
      <c r="C187" s="244" t="s">
        <v>514</v>
      </c>
      <c r="D187" s="244" t="s">
        <v>7560</v>
      </c>
      <c r="E187" s="244">
        <v>0</v>
      </c>
      <c r="F187" s="244">
        <v>970</v>
      </c>
      <c r="G187" s="244" t="s">
        <v>7</v>
      </c>
      <c r="H187" s="244" t="s">
        <v>7706</v>
      </c>
      <c r="I187" s="265" t="str">
        <f t="shared" si="15"/>
        <v>3D6</v>
      </c>
      <c r="J187" s="244" t="str">
        <f t="shared" si="16"/>
        <v>BDC1SE2</v>
      </c>
      <c r="K187" s="244" t="str">
        <f t="shared" si="17"/>
        <v>1</v>
      </c>
      <c r="L187" s="244">
        <f t="shared" si="18"/>
        <v>64</v>
      </c>
      <c r="M187" s="244">
        <f t="shared" si="19"/>
        <v>1000</v>
      </c>
      <c r="N187" s="244" t="str">
        <f t="shared" si="20"/>
        <v>1</v>
      </c>
      <c r="P187" s="244">
        <f t="shared" si="14"/>
        <v>1</v>
      </c>
      <c r="Q187" s="266" t="s">
        <v>482</v>
      </c>
      <c r="R187" s="267" t="s">
        <v>481</v>
      </c>
      <c r="S187" s="266" t="s">
        <v>29</v>
      </c>
      <c r="T187" s="266">
        <v>64</v>
      </c>
      <c r="U187" s="266">
        <v>1000</v>
      </c>
      <c r="V187" s="266" t="s">
        <v>31</v>
      </c>
      <c r="W187" s="266" t="s">
        <v>32</v>
      </c>
      <c r="X187" s="266"/>
      <c r="Y187" s="266" t="s">
        <v>7</v>
      </c>
      <c r="AA187" s="244" t="s">
        <v>509</v>
      </c>
      <c r="AB187" s="244" t="s">
        <v>508</v>
      </c>
      <c r="AC187" s="244" t="s">
        <v>29</v>
      </c>
      <c r="AD187" s="244">
        <v>64</v>
      </c>
      <c r="AE187" s="244">
        <v>1000</v>
      </c>
      <c r="AF187" s="244" t="s">
        <v>29</v>
      </c>
    </row>
    <row r="188" spans="1:32" ht="19.5" thickBot="1">
      <c r="A188" s="244" t="s">
        <v>920</v>
      </c>
      <c r="B188" s="244">
        <v>96</v>
      </c>
      <c r="C188" s="244" t="s">
        <v>514</v>
      </c>
      <c r="D188" s="244" t="s">
        <v>312</v>
      </c>
      <c r="E188" s="244">
        <v>1</v>
      </c>
      <c r="F188" s="244">
        <v>970</v>
      </c>
      <c r="G188" s="244" t="s">
        <v>7</v>
      </c>
      <c r="H188" s="244" t="s">
        <v>7707</v>
      </c>
      <c r="I188" s="265" t="str">
        <f t="shared" si="15"/>
        <v>3DE</v>
      </c>
      <c r="J188" s="244" t="str">
        <f t="shared" si="16"/>
        <v>ITS1S04</v>
      </c>
      <c r="K188" s="244" t="str">
        <f t="shared" si="17"/>
        <v>1</v>
      </c>
      <c r="L188" s="244">
        <f t="shared" si="18"/>
        <v>8</v>
      </c>
      <c r="M188" s="244">
        <f t="shared" si="19"/>
        <v>1000</v>
      </c>
      <c r="N188" s="244" t="str">
        <f t="shared" si="20"/>
        <v>0</v>
      </c>
      <c r="P188" s="244">
        <f t="shared" si="14"/>
        <v>1</v>
      </c>
      <c r="Q188" s="266" t="s">
        <v>486</v>
      </c>
      <c r="R188" s="267" t="s">
        <v>485</v>
      </c>
      <c r="S188" s="266" t="s">
        <v>29</v>
      </c>
      <c r="T188" s="266">
        <v>64</v>
      </c>
      <c r="U188" s="266">
        <v>1000</v>
      </c>
      <c r="V188" s="266" t="s">
        <v>29</v>
      </c>
      <c r="W188" s="266" t="s">
        <v>32</v>
      </c>
      <c r="X188" s="266"/>
      <c r="Y188" s="266" t="s">
        <v>7</v>
      </c>
      <c r="AA188" s="244" t="s">
        <v>512</v>
      </c>
      <c r="AB188" s="244" t="s">
        <v>511</v>
      </c>
      <c r="AC188" s="244" t="s">
        <v>29</v>
      </c>
      <c r="AD188" s="244">
        <v>8</v>
      </c>
      <c r="AE188" s="244">
        <v>1000</v>
      </c>
      <c r="AF188" s="244" t="s">
        <v>31</v>
      </c>
    </row>
    <row r="189" spans="1:32" ht="19.5" thickBot="1">
      <c r="A189" s="244" t="s">
        <v>7</v>
      </c>
      <c r="B189" s="244" t="s">
        <v>7</v>
      </c>
      <c r="C189" s="244" t="s">
        <v>519</v>
      </c>
      <c r="D189" s="244" t="s">
        <v>7560</v>
      </c>
      <c r="E189" s="244">
        <v>0</v>
      </c>
      <c r="F189" s="244">
        <v>999</v>
      </c>
      <c r="G189" s="244" t="s">
        <v>7</v>
      </c>
      <c r="H189" s="244" t="s">
        <v>7708</v>
      </c>
      <c r="I189" s="265" t="str">
        <f t="shared" si="15"/>
        <v>3C8</v>
      </c>
      <c r="J189" s="244" t="str">
        <f t="shared" si="16"/>
        <v>RSE1S02</v>
      </c>
      <c r="K189" s="244" t="str">
        <f t="shared" si="17"/>
        <v>1</v>
      </c>
      <c r="L189" s="244">
        <f t="shared" si="18"/>
        <v>8</v>
      </c>
      <c r="M189" s="244">
        <f t="shared" si="19"/>
        <v>1000</v>
      </c>
      <c r="N189" s="244" t="str">
        <f t="shared" si="20"/>
        <v>0</v>
      </c>
      <c r="P189" s="244">
        <f t="shared" si="14"/>
        <v>1</v>
      </c>
      <c r="Q189" s="266" t="s">
        <v>521</v>
      </c>
      <c r="R189" s="267" t="s">
        <v>522</v>
      </c>
      <c r="S189" s="266" t="s">
        <v>29</v>
      </c>
      <c r="T189" s="266">
        <v>64</v>
      </c>
      <c r="U189" s="266">
        <v>1000</v>
      </c>
      <c r="V189" s="266" t="s">
        <v>29</v>
      </c>
      <c r="W189" s="266" t="s">
        <v>32</v>
      </c>
      <c r="X189" s="266"/>
      <c r="Y189" s="266" t="s">
        <v>7</v>
      </c>
      <c r="AA189" s="244" t="s">
        <v>499</v>
      </c>
      <c r="AB189" s="244" t="s">
        <v>498</v>
      </c>
      <c r="AC189" s="244" t="s">
        <v>29</v>
      </c>
      <c r="AD189" s="244">
        <v>8</v>
      </c>
      <c r="AE189" s="244">
        <v>1000</v>
      </c>
      <c r="AF189" s="244" t="s">
        <v>31</v>
      </c>
    </row>
    <row r="190" spans="1:32" ht="19.5" thickBot="1">
      <c r="A190" s="244" t="s">
        <v>896</v>
      </c>
      <c r="B190" s="244">
        <v>72</v>
      </c>
      <c r="C190" s="244" t="s">
        <v>519</v>
      </c>
      <c r="D190" s="244" t="s">
        <v>6</v>
      </c>
      <c r="E190" s="244">
        <v>8</v>
      </c>
      <c r="F190" s="244">
        <v>999</v>
      </c>
      <c r="G190" s="244" t="s">
        <v>7</v>
      </c>
      <c r="H190" s="244" t="s">
        <v>7709</v>
      </c>
      <c r="I190" s="265" t="str">
        <f t="shared" si="15"/>
        <v>3E8</v>
      </c>
      <c r="J190" s="244" t="str">
        <f t="shared" si="16"/>
        <v>BDC1SI1</v>
      </c>
      <c r="K190" s="244" t="str">
        <f t="shared" si="17"/>
        <v>1</v>
      </c>
      <c r="L190" s="244">
        <f t="shared" si="18"/>
        <v>64</v>
      </c>
      <c r="M190" s="244">
        <f t="shared" si="19"/>
        <v>1000</v>
      </c>
      <c r="N190" s="244" t="str">
        <f t="shared" si="20"/>
        <v>0</v>
      </c>
      <c r="P190" s="244">
        <f t="shared" si="14"/>
        <v>1</v>
      </c>
      <c r="Q190" s="266" t="s">
        <v>523</v>
      </c>
      <c r="R190" s="267" t="s">
        <v>524</v>
      </c>
      <c r="S190" s="266" t="s">
        <v>29</v>
      </c>
      <c r="T190" s="266">
        <v>8</v>
      </c>
      <c r="U190" s="266">
        <v>1000</v>
      </c>
      <c r="V190" s="266" t="s">
        <v>31</v>
      </c>
      <c r="W190" s="266" t="s">
        <v>32</v>
      </c>
      <c r="X190" s="266"/>
      <c r="Y190" s="266" t="s">
        <v>7</v>
      </c>
      <c r="AA190" s="244" t="s">
        <v>518</v>
      </c>
      <c r="AB190" s="244" t="s">
        <v>517</v>
      </c>
      <c r="AC190" s="244" t="s">
        <v>29</v>
      </c>
      <c r="AD190" s="244">
        <v>64</v>
      </c>
      <c r="AE190" s="244">
        <v>1000</v>
      </c>
      <c r="AF190" s="244" t="s">
        <v>31</v>
      </c>
    </row>
    <row r="191" spans="1:32" ht="19.5" thickBot="1">
      <c r="A191" s="244" t="s">
        <v>7</v>
      </c>
      <c r="B191" s="244" t="s">
        <v>7</v>
      </c>
      <c r="C191" s="244" t="s">
        <v>520</v>
      </c>
      <c r="D191" s="244" t="s">
        <v>7560</v>
      </c>
      <c r="E191" s="244">
        <v>0</v>
      </c>
      <c r="F191" s="244">
        <v>1008</v>
      </c>
      <c r="G191" s="244" t="s">
        <v>7</v>
      </c>
      <c r="H191" s="244" t="s">
        <v>7710</v>
      </c>
      <c r="I191" s="265" t="str">
        <f t="shared" si="15"/>
        <v>3CA</v>
      </c>
      <c r="J191" s="244" t="str">
        <f t="shared" si="16"/>
        <v>RSE1G20</v>
      </c>
      <c r="K191" s="244" t="str">
        <f t="shared" si="17"/>
        <v>1</v>
      </c>
      <c r="L191" s="244">
        <f t="shared" si="18"/>
        <v>8</v>
      </c>
      <c r="M191" s="244">
        <f t="shared" si="19"/>
        <v>1000</v>
      </c>
      <c r="N191" s="244" t="str">
        <f t="shared" si="20"/>
        <v>0</v>
      </c>
      <c r="P191" s="244">
        <f t="shared" si="14"/>
        <v>1</v>
      </c>
      <c r="Q191" s="266" t="s">
        <v>525</v>
      </c>
      <c r="R191" s="267" t="s">
        <v>526</v>
      </c>
      <c r="S191" s="266" t="s">
        <v>29</v>
      </c>
      <c r="T191" s="266">
        <v>64</v>
      </c>
      <c r="U191" s="266">
        <v>2000</v>
      </c>
      <c r="V191" s="266" t="s">
        <v>31</v>
      </c>
      <c r="W191" s="266" t="s">
        <v>32</v>
      </c>
      <c r="X191" s="266"/>
      <c r="Y191" s="266" t="s">
        <v>7</v>
      </c>
      <c r="AA191" s="244" t="s">
        <v>501</v>
      </c>
      <c r="AB191" s="244" t="s">
        <v>500</v>
      </c>
      <c r="AC191" s="244" t="s">
        <v>29</v>
      </c>
      <c r="AD191" s="244">
        <v>8</v>
      </c>
      <c r="AE191" s="244">
        <v>1000</v>
      </c>
      <c r="AF191" s="244" t="s">
        <v>31</v>
      </c>
    </row>
    <row r="192" spans="1:32" ht="19.5" thickBot="1">
      <c r="A192" s="244" t="s">
        <v>7</v>
      </c>
      <c r="B192" s="244" t="s">
        <v>7</v>
      </c>
      <c r="C192" s="244" t="s">
        <v>520</v>
      </c>
      <c r="D192" s="244" t="s">
        <v>44</v>
      </c>
      <c r="E192" s="244">
        <v>2</v>
      </c>
      <c r="F192" s="244">
        <v>1008</v>
      </c>
      <c r="G192" s="244" t="s">
        <v>7</v>
      </c>
      <c r="H192" s="244" t="s">
        <v>7711</v>
      </c>
      <c r="I192" s="265" t="str">
        <f t="shared" si="15"/>
        <v>3CB</v>
      </c>
      <c r="J192" s="244" t="str">
        <f t="shared" si="16"/>
        <v>BKD1S01</v>
      </c>
      <c r="K192" s="244" t="str">
        <f t="shared" si="17"/>
        <v>1</v>
      </c>
      <c r="L192" s="244">
        <f t="shared" si="18"/>
        <v>8</v>
      </c>
      <c r="M192" s="244">
        <f t="shared" si="19"/>
        <v>1000</v>
      </c>
      <c r="N192" s="244" t="str">
        <f t="shared" si="20"/>
        <v>0</v>
      </c>
      <c r="P192" s="244">
        <f t="shared" si="14"/>
        <v>1</v>
      </c>
      <c r="Q192" s="266" t="s">
        <v>528</v>
      </c>
      <c r="R192" s="267" t="s">
        <v>529</v>
      </c>
      <c r="S192" s="266" t="s">
        <v>29</v>
      </c>
      <c r="T192" s="266">
        <v>64</v>
      </c>
      <c r="U192" s="266">
        <v>1000</v>
      </c>
      <c r="V192" s="266" t="s">
        <v>31</v>
      </c>
      <c r="W192" s="266" t="s">
        <v>32</v>
      </c>
      <c r="X192" s="266"/>
      <c r="Y192" s="266" t="s">
        <v>7</v>
      </c>
      <c r="AA192" s="244" t="s">
        <v>503</v>
      </c>
      <c r="AB192" s="244" t="s">
        <v>502</v>
      </c>
      <c r="AC192" s="244" t="s">
        <v>29</v>
      </c>
      <c r="AD192" s="244">
        <v>8</v>
      </c>
      <c r="AE192" s="244">
        <v>1000</v>
      </c>
      <c r="AF192" s="244" t="s">
        <v>31</v>
      </c>
    </row>
    <row r="193" spans="1:32" ht="19.5" thickBot="1">
      <c r="A193" s="244" t="s">
        <v>7</v>
      </c>
      <c r="B193" s="244" t="s">
        <v>7</v>
      </c>
      <c r="C193" s="244" t="s">
        <v>520</v>
      </c>
      <c r="D193" s="244" t="s">
        <v>102</v>
      </c>
      <c r="E193" s="244">
        <v>4</v>
      </c>
      <c r="F193" s="244">
        <v>1008</v>
      </c>
      <c r="G193" s="244" t="s">
        <v>7</v>
      </c>
      <c r="H193" s="244" t="s">
        <v>7712</v>
      </c>
      <c r="I193" s="265" t="str">
        <f t="shared" si="15"/>
        <v>3E7</v>
      </c>
      <c r="J193" s="244" t="str">
        <f t="shared" si="16"/>
        <v>UCB1S01</v>
      </c>
      <c r="K193" s="244" t="str">
        <f t="shared" si="17"/>
        <v>1</v>
      </c>
      <c r="L193" s="244">
        <f t="shared" si="18"/>
        <v>32</v>
      </c>
      <c r="M193" s="244">
        <f t="shared" si="19"/>
        <v>1000</v>
      </c>
      <c r="N193" s="244" t="str">
        <f t="shared" si="20"/>
        <v>0</v>
      </c>
      <c r="P193" s="244">
        <f t="shared" si="14"/>
        <v>1</v>
      </c>
      <c r="Q193" s="266" t="s">
        <v>351</v>
      </c>
      <c r="R193" s="267" t="s">
        <v>350</v>
      </c>
      <c r="S193" s="266" t="s">
        <v>29</v>
      </c>
      <c r="T193" s="266">
        <v>64</v>
      </c>
      <c r="U193" s="266">
        <v>1000</v>
      </c>
      <c r="V193" s="266" t="s">
        <v>29</v>
      </c>
      <c r="W193" s="266" t="s">
        <v>32</v>
      </c>
      <c r="X193" s="266"/>
      <c r="Y193" s="266" t="s">
        <v>7</v>
      </c>
      <c r="AA193" s="244" t="s">
        <v>516</v>
      </c>
      <c r="AB193" s="244" t="s">
        <v>515</v>
      </c>
      <c r="AC193" s="244" t="s">
        <v>29</v>
      </c>
      <c r="AD193" s="244">
        <v>32</v>
      </c>
      <c r="AE193" s="244">
        <v>1000</v>
      </c>
      <c r="AF193" s="244" t="s">
        <v>31</v>
      </c>
    </row>
    <row r="194" spans="1:32" ht="19.5" thickBot="1">
      <c r="A194" s="244" t="s">
        <v>911</v>
      </c>
      <c r="B194" s="244">
        <v>87</v>
      </c>
      <c r="C194" s="244" t="s">
        <v>520</v>
      </c>
      <c r="D194" s="244" t="s">
        <v>527</v>
      </c>
      <c r="E194" s="244">
        <v>6</v>
      </c>
      <c r="F194" s="244">
        <v>1008</v>
      </c>
      <c r="G194" s="244" t="s">
        <v>7</v>
      </c>
      <c r="H194" s="244" t="s">
        <v>7713</v>
      </c>
      <c r="I194" s="265" t="str">
        <f t="shared" si="15"/>
        <v>3EF</v>
      </c>
      <c r="J194" s="244" t="str">
        <f t="shared" si="16"/>
        <v>BDC1SE6</v>
      </c>
      <c r="K194" s="244" t="str">
        <f t="shared" si="17"/>
        <v>1</v>
      </c>
      <c r="L194" s="244">
        <f t="shared" si="18"/>
        <v>64</v>
      </c>
      <c r="M194" s="244">
        <f t="shared" si="19"/>
        <v>1000</v>
      </c>
      <c r="N194" s="244" t="str">
        <f t="shared" si="20"/>
        <v>1</v>
      </c>
      <c r="P194" s="244">
        <f t="shared" si="14"/>
        <v>1</v>
      </c>
      <c r="Q194" s="266" t="s">
        <v>531</v>
      </c>
      <c r="R194" s="267" t="s">
        <v>532</v>
      </c>
      <c r="S194" s="266" t="s">
        <v>29</v>
      </c>
      <c r="T194" s="266">
        <v>8</v>
      </c>
      <c r="U194" s="266">
        <v>1000</v>
      </c>
      <c r="V194" s="266" t="s">
        <v>31</v>
      </c>
      <c r="W194" s="266" t="s">
        <v>32</v>
      </c>
      <c r="X194" s="266"/>
      <c r="Y194" s="266" t="s">
        <v>7</v>
      </c>
      <c r="AA194" s="244" t="s">
        <v>522</v>
      </c>
      <c r="AB194" s="244" t="s">
        <v>521</v>
      </c>
      <c r="AC194" s="244" t="s">
        <v>29</v>
      </c>
      <c r="AD194" s="244">
        <v>64</v>
      </c>
      <c r="AE194" s="244">
        <v>1000</v>
      </c>
      <c r="AF194" s="244" t="s">
        <v>29</v>
      </c>
    </row>
    <row r="195" spans="1:32" ht="19.5" thickBot="1">
      <c r="A195" s="244" t="s">
        <v>863</v>
      </c>
      <c r="B195" s="244">
        <v>40</v>
      </c>
      <c r="C195" s="244" t="s">
        <v>530</v>
      </c>
      <c r="D195" s="244" t="s">
        <v>7560</v>
      </c>
      <c r="E195" s="244">
        <v>0</v>
      </c>
      <c r="F195" s="244">
        <v>1020</v>
      </c>
      <c r="G195" s="244" t="s">
        <v>7</v>
      </c>
      <c r="H195" s="244" t="s">
        <v>7714</v>
      </c>
      <c r="I195" s="265" t="str">
        <f t="shared" si="15"/>
        <v>3F0</v>
      </c>
      <c r="J195" s="244" t="str">
        <f t="shared" si="16"/>
        <v>DST1S02</v>
      </c>
      <c r="K195" s="244" t="str">
        <f t="shared" si="17"/>
        <v>1</v>
      </c>
      <c r="L195" s="244">
        <f t="shared" si="18"/>
        <v>8</v>
      </c>
      <c r="M195" s="244">
        <f t="shared" si="19"/>
        <v>1000</v>
      </c>
      <c r="N195" s="244" t="str">
        <f t="shared" si="20"/>
        <v>0</v>
      </c>
      <c r="P195" s="244">
        <f t="shared" si="14"/>
        <v>1</v>
      </c>
      <c r="Q195" s="266" t="s">
        <v>419</v>
      </c>
      <c r="R195" s="267" t="s">
        <v>418</v>
      </c>
      <c r="S195" s="266" t="s">
        <v>29</v>
      </c>
      <c r="T195" s="266">
        <v>32</v>
      </c>
      <c r="U195" s="266">
        <v>1000</v>
      </c>
      <c r="V195" s="266" t="s">
        <v>31</v>
      </c>
      <c r="W195" s="266" t="s">
        <v>32</v>
      </c>
      <c r="X195" s="266"/>
      <c r="Y195" s="266" t="s">
        <v>7</v>
      </c>
      <c r="AA195" s="244" t="s">
        <v>524</v>
      </c>
      <c r="AB195" s="244" t="s">
        <v>523</v>
      </c>
      <c r="AC195" s="244" t="s">
        <v>29</v>
      </c>
      <c r="AD195" s="244">
        <v>8</v>
      </c>
      <c r="AE195" s="244">
        <v>1000</v>
      </c>
      <c r="AF195" s="244" t="s">
        <v>31</v>
      </c>
    </row>
    <row r="196" spans="1:32" ht="19.5" thickBot="1">
      <c r="A196" s="244" t="s">
        <v>7</v>
      </c>
      <c r="B196" s="244" t="s">
        <v>7</v>
      </c>
      <c r="C196" s="244" t="s">
        <v>62</v>
      </c>
      <c r="D196" s="244" t="s">
        <v>7560</v>
      </c>
      <c r="E196" s="244">
        <v>0</v>
      </c>
      <c r="F196" s="244">
        <v>1024</v>
      </c>
      <c r="G196" s="244" t="s">
        <v>7</v>
      </c>
      <c r="H196" s="244" t="s">
        <v>62</v>
      </c>
      <c r="I196" s="265" t="str">
        <f t="shared" si="15"/>
        <v>3F2</v>
      </c>
      <c r="J196" s="244" t="str">
        <f t="shared" si="16"/>
        <v>BDC1SJ7</v>
      </c>
      <c r="K196" s="244" t="str">
        <f t="shared" si="17"/>
        <v>1</v>
      </c>
      <c r="L196" s="244">
        <f t="shared" si="18"/>
        <v>64</v>
      </c>
      <c r="M196" s="244">
        <f t="shared" si="19"/>
        <v>2000</v>
      </c>
      <c r="N196" s="244" t="str">
        <f t="shared" si="20"/>
        <v>0</v>
      </c>
      <c r="P196" s="244">
        <f t="shared" si="14"/>
        <v>1</v>
      </c>
      <c r="Q196" s="266" t="s">
        <v>424</v>
      </c>
      <c r="R196" s="267" t="s">
        <v>423</v>
      </c>
      <c r="S196" s="266" t="s">
        <v>29</v>
      </c>
      <c r="T196" s="266">
        <v>8</v>
      </c>
      <c r="U196" s="266">
        <v>1000</v>
      </c>
      <c r="V196" s="266" t="s">
        <v>31</v>
      </c>
      <c r="W196" s="266" t="s">
        <v>32</v>
      </c>
      <c r="X196" s="266"/>
      <c r="Y196" s="266" t="s">
        <v>7</v>
      </c>
      <c r="AA196" s="244" t="s">
        <v>526</v>
      </c>
      <c r="AB196" s="244" t="s">
        <v>525</v>
      </c>
      <c r="AC196" s="244" t="s">
        <v>29</v>
      </c>
      <c r="AD196" s="244">
        <v>64</v>
      </c>
      <c r="AE196" s="244">
        <v>2000</v>
      </c>
      <c r="AF196" s="244" t="s">
        <v>31</v>
      </c>
    </row>
    <row r="197" spans="1:32" ht="19.5" thickBot="1">
      <c r="A197" s="244" t="s">
        <v>7</v>
      </c>
      <c r="B197" s="244" t="s">
        <v>7</v>
      </c>
      <c r="C197" s="244" t="s">
        <v>62</v>
      </c>
      <c r="D197" s="244" t="s">
        <v>102</v>
      </c>
      <c r="E197" s="244">
        <v>4</v>
      </c>
      <c r="F197" s="244">
        <v>1024</v>
      </c>
      <c r="G197" s="244" t="s">
        <v>7</v>
      </c>
      <c r="H197" s="244" t="s">
        <v>7715</v>
      </c>
      <c r="I197" s="265" t="str">
        <f t="shared" si="15"/>
        <v>3F4</v>
      </c>
      <c r="J197" s="244" t="str">
        <f t="shared" si="16"/>
        <v>BDC1SI3</v>
      </c>
      <c r="K197" s="244" t="str">
        <f t="shared" si="17"/>
        <v>1</v>
      </c>
      <c r="L197" s="244">
        <f t="shared" si="18"/>
        <v>64</v>
      </c>
      <c r="M197" s="244">
        <f t="shared" si="19"/>
        <v>1000</v>
      </c>
      <c r="N197" s="244" t="str">
        <f t="shared" si="20"/>
        <v>0</v>
      </c>
      <c r="P197" s="244">
        <f t="shared" si="14"/>
        <v>1</v>
      </c>
      <c r="Q197" s="266" t="s">
        <v>533</v>
      </c>
      <c r="R197" s="267" t="s">
        <v>534</v>
      </c>
      <c r="S197" s="266" t="s">
        <v>29</v>
      </c>
      <c r="T197" s="266">
        <v>8</v>
      </c>
      <c r="U197" s="266">
        <v>50</v>
      </c>
      <c r="V197" s="266" t="s">
        <v>31</v>
      </c>
      <c r="W197" s="266" t="s">
        <v>32</v>
      </c>
      <c r="X197" s="266"/>
      <c r="Y197" s="266" t="s">
        <v>7</v>
      </c>
      <c r="AA197" s="244" t="s">
        <v>529</v>
      </c>
      <c r="AB197" s="244" t="s">
        <v>528</v>
      </c>
      <c r="AC197" s="244" t="s">
        <v>29</v>
      </c>
      <c r="AD197" s="244">
        <v>64</v>
      </c>
      <c r="AE197" s="244">
        <v>1000</v>
      </c>
      <c r="AF197" s="244" t="s">
        <v>31</v>
      </c>
    </row>
    <row r="198" spans="1:32" ht="19.5" thickBot="1">
      <c r="A198" s="244" t="s">
        <v>7</v>
      </c>
      <c r="B198" s="244" t="s">
        <v>7</v>
      </c>
      <c r="C198" s="244" t="s">
        <v>62</v>
      </c>
      <c r="D198" s="244" t="s">
        <v>6</v>
      </c>
      <c r="E198" s="244">
        <v>8</v>
      </c>
      <c r="F198" s="244">
        <v>1024</v>
      </c>
      <c r="G198" s="244" t="s">
        <v>7</v>
      </c>
      <c r="H198" s="244" t="s">
        <v>7716</v>
      </c>
      <c r="I198" s="265" t="str">
        <f t="shared" si="15"/>
        <v>3F6</v>
      </c>
      <c r="J198" s="244" t="str">
        <f t="shared" si="16"/>
        <v>BSR1S01</v>
      </c>
      <c r="K198" s="244" t="str">
        <f t="shared" si="17"/>
        <v>1</v>
      </c>
      <c r="L198" s="244">
        <f t="shared" si="18"/>
        <v>8</v>
      </c>
      <c r="M198" s="244">
        <f t="shared" si="19"/>
        <v>1000</v>
      </c>
      <c r="N198" s="244" t="str">
        <f t="shared" si="20"/>
        <v>0</v>
      </c>
      <c r="P198" s="244">
        <f t="shared" ref="P198:P261" si="21">COUNTIF($J$6:$J$278,R198)</f>
        <v>1</v>
      </c>
      <c r="Q198" s="266" t="s">
        <v>536</v>
      </c>
      <c r="R198" s="267" t="s">
        <v>537</v>
      </c>
      <c r="S198" s="266" t="s">
        <v>29</v>
      </c>
      <c r="T198" s="266">
        <v>32</v>
      </c>
      <c r="U198" s="266">
        <v>1000</v>
      </c>
      <c r="V198" s="266" t="s">
        <v>31</v>
      </c>
      <c r="W198" s="266" t="s">
        <v>32</v>
      </c>
      <c r="X198" s="266"/>
      <c r="Y198" s="266" t="s">
        <v>7</v>
      </c>
      <c r="AA198" s="244" t="s">
        <v>532</v>
      </c>
      <c r="AB198" s="244" t="s">
        <v>531</v>
      </c>
      <c r="AC198" s="244" t="s">
        <v>29</v>
      </c>
      <c r="AD198" s="244">
        <v>8</v>
      </c>
      <c r="AE198" s="244">
        <v>1000</v>
      </c>
      <c r="AF198" s="244" t="s">
        <v>31</v>
      </c>
    </row>
    <row r="199" spans="1:32" ht="19.5" thickBot="1">
      <c r="A199" s="244" t="s">
        <v>840</v>
      </c>
      <c r="B199" s="244">
        <v>18</v>
      </c>
      <c r="C199" s="244" t="s">
        <v>62</v>
      </c>
      <c r="D199" s="244" t="s">
        <v>390</v>
      </c>
      <c r="E199" s="244">
        <v>12</v>
      </c>
      <c r="F199" s="244">
        <v>1024</v>
      </c>
      <c r="G199" s="244" t="s">
        <v>7</v>
      </c>
      <c r="H199" s="244" t="s">
        <v>7717</v>
      </c>
      <c r="I199" s="265" t="str">
        <f t="shared" ref="I199:I262" si="22">UPPER(RIGHT(H195,3))</f>
        <v>3FC</v>
      </c>
      <c r="J199" s="244" t="str">
        <f t="shared" ref="J199:J262" si="23">VLOOKUP($I199,$Q$6:$Y$278,2,FALSE)</f>
        <v>BDB1S19</v>
      </c>
      <c r="K199" s="244" t="str">
        <f t="shared" ref="K199:K262" si="24">VLOOKUP($I199,$Q$6:$Y$278,3,FALSE)</f>
        <v>1</v>
      </c>
      <c r="L199" s="244">
        <f t="shared" ref="L199:L262" si="25">VLOOKUP($I199,$Q$6:$Y$278,4,FALSE)</f>
        <v>8</v>
      </c>
      <c r="M199" s="244">
        <f t="shared" ref="M199:M262" si="26">VLOOKUP($I199,$Q$6:$Y$278,5,FALSE)</f>
        <v>50</v>
      </c>
      <c r="N199" s="244" t="str">
        <f t="shared" ref="N199:N262" si="27">VLOOKUP($I199,$Q$6:$Y$278,6,FALSE)</f>
        <v>0</v>
      </c>
      <c r="P199" s="244">
        <f t="shared" si="21"/>
        <v>1</v>
      </c>
      <c r="Q199" s="268" t="s">
        <v>538</v>
      </c>
      <c r="R199" s="269" t="s">
        <v>539</v>
      </c>
      <c r="S199" s="268" t="s">
        <v>29</v>
      </c>
      <c r="T199" s="268">
        <v>8</v>
      </c>
      <c r="U199" s="268">
        <v>1024</v>
      </c>
      <c r="V199" s="268" t="s">
        <v>31</v>
      </c>
      <c r="W199" s="266" t="s">
        <v>32</v>
      </c>
      <c r="X199" s="266"/>
      <c r="Y199" s="266" t="s">
        <v>7</v>
      </c>
      <c r="AA199" s="244" t="s">
        <v>534</v>
      </c>
      <c r="AB199" s="244" t="s">
        <v>533</v>
      </c>
      <c r="AC199" s="244" t="s">
        <v>29</v>
      </c>
      <c r="AD199" s="244">
        <v>8</v>
      </c>
      <c r="AE199" s="244">
        <v>50</v>
      </c>
      <c r="AF199" s="244" t="s">
        <v>31</v>
      </c>
    </row>
    <row r="200" spans="1:32" ht="19.5" thickBot="1">
      <c r="A200" s="244" t="s">
        <v>7</v>
      </c>
      <c r="B200" s="244" t="s">
        <v>7</v>
      </c>
      <c r="C200" s="244" t="s">
        <v>535</v>
      </c>
      <c r="D200" s="244" t="s">
        <v>7560</v>
      </c>
      <c r="E200" s="244">
        <v>0</v>
      </c>
      <c r="F200" s="244">
        <v>1025</v>
      </c>
      <c r="G200" s="244" t="s">
        <v>7</v>
      </c>
      <c r="H200" s="244" t="s">
        <v>535</v>
      </c>
      <c r="I200" s="265" t="str">
        <f t="shared" si="22"/>
        <v>400</v>
      </c>
      <c r="J200" s="244" t="str">
        <f t="shared" si="23"/>
        <v>ZN11S66</v>
      </c>
      <c r="K200" s="244" t="str">
        <f t="shared" si="24"/>
        <v>1</v>
      </c>
      <c r="L200" s="244">
        <f t="shared" si="25"/>
        <v>32</v>
      </c>
      <c r="M200" s="244">
        <f t="shared" si="26"/>
        <v>1000</v>
      </c>
      <c r="N200" s="244" t="str">
        <f t="shared" si="27"/>
        <v>0</v>
      </c>
      <c r="P200" s="244">
        <f t="shared" si="21"/>
        <v>1</v>
      </c>
      <c r="Q200" s="266" t="s">
        <v>542</v>
      </c>
      <c r="R200" s="267" t="s">
        <v>543</v>
      </c>
      <c r="S200" s="266" t="s">
        <v>29</v>
      </c>
      <c r="T200" s="266">
        <v>8</v>
      </c>
      <c r="U200" s="266">
        <v>1000</v>
      </c>
      <c r="V200" s="266" t="s">
        <v>31</v>
      </c>
      <c r="W200" s="266" t="s">
        <v>32</v>
      </c>
      <c r="X200" s="266"/>
      <c r="Y200" s="266" t="s">
        <v>7</v>
      </c>
      <c r="AA200" s="244" t="s">
        <v>537</v>
      </c>
      <c r="AB200" s="244" t="s">
        <v>536</v>
      </c>
      <c r="AC200" s="244" t="s">
        <v>29</v>
      </c>
      <c r="AD200" s="244">
        <v>32</v>
      </c>
      <c r="AE200" s="244">
        <v>1000</v>
      </c>
      <c r="AF200" s="244" t="s">
        <v>31</v>
      </c>
    </row>
    <row r="201" spans="1:32" ht="19.5" thickBot="1">
      <c r="A201" s="244" t="s">
        <v>7</v>
      </c>
      <c r="B201" s="244" t="s">
        <v>7</v>
      </c>
      <c r="C201" s="244" t="s">
        <v>535</v>
      </c>
      <c r="D201" s="244" t="s">
        <v>44</v>
      </c>
      <c r="E201" s="244">
        <v>2</v>
      </c>
      <c r="F201" s="244">
        <v>1025</v>
      </c>
      <c r="G201" s="244" t="s">
        <v>7</v>
      </c>
      <c r="H201" s="244" t="s">
        <v>7718</v>
      </c>
      <c r="I201" s="265" t="str">
        <f t="shared" si="22"/>
        <v>404</v>
      </c>
      <c r="J201" s="244" t="str">
        <f t="shared" si="23"/>
        <v>ZN11S67</v>
      </c>
      <c r="K201" s="244" t="str">
        <f t="shared" si="24"/>
        <v>1</v>
      </c>
      <c r="L201" s="244">
        <f t="shared" si="25"/>
        <v>32</v>
      </c>
      <c r="M201" s="244">
        <f t="shared" si="26"/>
        <v>1000</v>
      </c>
      <c r="N201" s="244" t="str">
        <f t="shared" si="27"/>
        <v>0</v>
      </c>
      <c r="P201" s="244">
        <f t="shared" si="21"/>
        <v>1</v>
      </c>
      <c r="Q201" s="266" t="s">
        <v>541</v>
      </c>
      <c r="R201" s="267" t="s">
        <v>540</v>
      </c>
      <c r="S201" s="266" t="s">
        <v>29</v>
      </c>
      <c r="T201" s="266">
        <v>32</v>
      </c>
      <c r="U201" s="266">
        <v>1000</v>
      </c>
      <c r="V201" s="266" t="s">
        <v>31</v>
      </c>
      <c r="W201" s="266" t="s">
        <v>32</v>
      </c>
      <c r="X201" s="266"/>
      <c r="Y201" s="266" t="s">
        <v>7</v>
      </c>
      <c r="AA201" s="244" t="s">
        <v>540</v>
      </c>
      <c r="AB201" s="244" t="s">
        <v>541</v>
      </c>
      <c r="AC201" s="244" t="s">
        <v>29</v>
      </c>
      <c r="AD201" s="244">
        <v>32</v>
      </c>
      <c r="AE201" s="244">
        <v>1000</v>
      </c>
      <c r="AF201" s="244" t="s">
        <v>31</v>
      </c>
    </row>
    <row r="202" spans="1:32" ht="19.5" thickBot="1">
      <c r="A202" s="244" t="s">
        <v>7</v>
      </c>
      <c r="B202" s="244" t="s">
        <v>7</v>
      </c>
      <c r="C202" s="244" t="s">
        <v>535</v>
      </c>
      <c r="D202" s="244" t="s">
        <v>102</v>
      </c>
      <c r="E202" s="244">
        <v>4</v>
      </c>
      <c r="F202" s="244">
        <v>1025</v>
      </c>
      <c r="G202" s="244" t="s">
        <v>7</v>
      </c>
      <c r="H202" s="244" t="s">
        <v>7719</v>
      </c>
      <c r="I202" s="265" t="str">
        <f t="shared" si="22"/>
        <v>408</v>
      </c>
      <c r="J202" s="244" t="str">
        <f t="shared" si="23"/>
        <v>ACN1S16</v>
      </c>
      <c r="K202" s="244" t="str">
        <f t="shared" si="24"/>
        <v>1</v>
      </c>
      <c r="L202" s="244">
        <f t="shared" si="25"/>
        <v>8</v>
      </c>
      <c r="M202" s="244">
        <f t="shared" si="26"/>
        <v>1000</v>
      </c>
      <c r="N202" s="244" t="str">
        <f t="shared" si="27"/>
        <v>0</v>
      </c>
      <c r="P202" s="244">
        <f t="shared" si="21"/>
        <v>1</v>
      </c>
      <c r="Q202" s="266" t="s">
        <v>549</v>
      </c>
      <c r="R202" s="267" t="s">
        <v>550</v>
      </c>
      <c r="S202" s="266" t="s">
        <v>29</v>
      </c>
      <c r="T202" s="266">
        <v>8</v>
      </c>
      <c r="U202" s="266">
        <v>1000</v>
      </c>
      <c r="V202" s="266" t="s">
        <v>31</v>
      </c>
      <c r="W202" s="266" t="s">
        <v>32</v>
      </c>
      <c r="X202" s="266"/>
      <c r="Y202" s="266" t="s">
        <v>7</v>
      </c>
      <c r="AA202" s="244" t="s">
        <v>544</v>
      </c>
      <c r="AB202" s="244" t="s">
        <v>545</v>
      </c>
      <c r="AC202" s="244" t="s">
        <v>29</v>
      </c>
      <c r="AD202" s="244">
        <v>8</v>
      </c>
      <c r="AE202" s="244">
        <v>1000</v>
      </c>
      <c r="AF202" s="244" t="s">
        <v>31</v>
      </c>
    </row>
    <row r="203" spans="1:32" ht="19.5" thickBot="1">
      <c r="A203" s="244" t="s">
        <v>839</v>
      </c>
      <c r="B203" s="244">
        <v>17</v>
      </c>
      <c r="C203" s="244" t="s">
        <v>535</v>
      </c>
      <c r="D203" s="244" t="s">
        <v>527</v>
      </c>
      <c r="E203" s="244">
        <v>6</v>
      </c>
      <c r="F203" s="244">
        <v>1025</v>
      </c>
      <c r="G203" s="244" t="s">
        <v>7</v>
      </c>
      <c r="H203" s="244" t="s">
        <v>7720</v>
      </c>
      <c r="I203" s="265" t="str">
        <f t="shared" si="22"/>
        <v>40C</v>
      </c>
      <c r="J203" s="244" t="str">
        <f t="shared" si="23"/>
        <v>SOL1S02</v>
      </c>
      <c r="K203" s="244" t="str">
        <f t="shared" si="24"/>
        <v>1</v>
      </c>
      <c r="L203" s="244">
        <f t="shared" si="25"/>
        <v>8</v>
      </c>
      <c r="M203" s="244">
        <f t="shared" si="26"/>
        <v>1000</v>
      </c>
      <c r="N203" s="244" t="str">
        <f t="shared" si="27"/>
        <v>0</v>
      </c>
      <c r="P203" s="244">
        <f t="shared" si="21"/>
        <v>1</v>
      </c>
      <c r="Q203" s="266" t="s">
        <v>552</v>
      </c>
      <c r="R203" s="267" t="s">
        <v>553</v>
      </c>
      <c r="S203" s="266" t="s">
        <v>29</v>
      </c>
      <c r="T203" s="266">
        <v>8</v>
      </c>
      <c r="U203" s="266">
        <v>1000</v>
      </c>
      <c r="V203" s="266" t="s">
        <v>31</v>
      </c>
      <c r="W203" s="266" t="s">
        <v>32</v>
      </c>
      <c r="X203" s="266"/>
      <c r="Y203" s="266" t="s">
        <v>7</v>
      </c>
      <c r="AA203" s="244" t="s">
        <v>546</v>
      </c>
      <c r="AB203" s="244" t="s">
        <v>547</v>
      </c>
      <c r="AC203" s="244" t="s">
        <v>29</v>
      </c>
      <c r="AD203" s="244">
        <v>8</v>
      </c>
      <c r="AE203" s="244">
        <v>1000</v>
      </c>
      <c r="AF203" s="244" t="s">
        <v>31</v>
      </c>
    </row>
    <row r="204" spans="1:32" ht="19.5" thickBot="1">
      <c r="A204" s="244" t="s">
        <v>940</v>
      </c>
      <c r="B204" s="244">
        <v>115</v>
      </c>
      <c r="C204" s="244" t="s">
        <v>548</v>
      </c>
      <c r="D204" s="244" t="s">
        <v>7560</v>
      </c>
      <c r="E204" s="244">
        <v>0</v>
      </c>
      <c r="F204" s="244">
        <v>1035</v>
      </c>
      <c r="G204" s="244" t="s">
        <v>7</v>
      </c>
      <c r="H204" s="244" t="s">
        <v>7721</v>
      </c>
      <c r="I204" s="265" t="str">
        <f t="shared" si="22"/>
        <v>401</v>
      </c>
      <c r="J204" s="244" t="str">
        <f t="shared" si="23"/>
        <v>ECT1S93</v>
      </c>
      <c r="K204" s="244" t="str">
        <f t="shared" si="24"/>
        <v>1</v>
      </c>
      <c r="L204" s="244">
        <f t="shared" si="25"/>
        <v>8</v>
      </c>
      <c r="M204" s="244">
        <f t="shared" si="26"/>
        <v>1024</v>
      </c>
      <c r="N204" s="244" t="str">
        <f t="shared" si="27"/>
        <v>0</v>
      </c>
      <c r="P204" s="244">
        <f t="shared" si="21"/>
        <v>1</v>
      </c>
      <c r="Q204" s="266" t="s">
        <v>545</v>
      </c>
      <c r="R204" s="267" t="s">
        <v>544</v>
      </c>
      <c r="S204" s="266" t="s">
        <v>29</v>
      </c>
      <c r="T204" s="266">
        <v>8</v>
      </c>
      <c r="U204" s="266">
        <v>1000</v>
      </c>
      <c r="V204" s="266" t="s">
        <v>31</v>
      </c>
      <c r="W204" s="266" t="s">
        <v>32</v>
      </c>
      <c r="X204" s="266"/>
      <c r="Y204" s="266" t="s">
        <v>7</v>
      </c>
      <c r="AA204" s="244" t="s">
        <v>539</v>
      </c>
      <c r="AB204" s="244" t="s">
        <v>538</v>
      </c>
      <c r="AC204" s="244" t="s">
        <v>29</v>
      </c>
      <c r="AD204" s="244">
        <v>8</v>
      </c>
      <c r="AE204" s="244">
        <v>1024</v>
      </c>
      <c r="AF204" s="244" t="s">
        <v>31</v>
      </c>
    </row>
    <row r="205" spans="1:32" ht="19.5" thickBot="1">
      <c r="A205" s="244" t="s">
        <v>7</v>
      </c>
      <c r="B205" s="244" t="s">
        <v>7</v>
      </c>
      <c r="C205" s="244" t="s">
        <v>551</v>
      </c>
      <c r="D205" s="244" t="s">
        <v>7560</v>
      </c>
      <c r="E205" s="244">
        <v>0</v>
      </c>
      <c r="F205" s="244">
        <v>1037</v>
      </c>
      <c r="G205" s="244" t="s">
        <v>7</v>
      </c>
      <c r="H205" s="244" t="s">
        <v>7722</v>
      </c>
      <c r="I205" s="265" t="str">
        <f t="shared" si="22"/>
        <v>403</v>
      </c>
      <c r="J205" s="244" t="str">
        <f t="shared" si="23"/>
        <v>PST1S01</v>
      </c>
      <c r="K205" s="244" t="str">
        <f t="shared" si="24"/>
        <v>1</v>
      </c>
      <c r="L205" s="244">
        <f t="shared" si="25"/>
        <v>8</v>
      </c>
      <c r="M205" s="244">
        <f t="shared" si="26"/>
        <v>1000</v>
      </c>
      <c r="N205" s="244" t="str">
        <f t="shared" si="27"/>
        <v>0</v>
      </c>
      <c r="P205" s="244">
        <f t="shared" si="21"/>
        <v>1</v>
      </c>
      <c r="Q205" s="266" t="s">
        <v>555</v>
      </c>
      <c r="R205" s="267" t="s">
        <v>556</v>
      </c>
      <c r="S205" s="266" t="s">
        <v>29</v>
      </c>
      <c r="T205" s="266">
        <v>8</v>
      </c>
      <c r="U205" s="266">
        <v>1000</v>
      </c>
      <c r="V205" s="266" t="s">
        <v>31</v>
      </c>
      <c r="W205" s="266" t="s">
        <v>32</v>
      </c>
      <c r="X205" s="266"/>
      <c r="Y205" s="266" t="s">
        <v>7</v>
      </c>
      <c r="AA205" s="244" t="s">
        <v>543</v>
      </c>
      <c r="AB205" s="244" t="s">
        <v>542</v>
      </c>
      <c r="AC205" s="244" t="s">
        <v>29</v>
      </c>
      <c r="AD205" s="244">
        <v>8</v>
      </c>
      <c r="AE205" s="244">
        <v>1000</v>
      </c>
      <c r="AF205" s="244" t="s">
        <v>31</v>
      </c>
    </row>
    <row r="206" spans="1:32" ht="19.5" thickBot="1">
      <c r="A206" s="244" t="s">
        <v>914</v>
      </c>
      <c r="B206" s="244">
        <v>90</v>
      </c>
      <c r="C206" s="244" t="s">
        <v>551</v>
      </c>
      <c r="D206" s="244" t="s">
        <v>36</v>
      </c>
      <c r="E206" s="244">
        <v>256</v>
      </c>
      <c r="F206" s="244">
        <v>1037</v>
      </c>
      <c r="G206" s="244" t="s">
        <v>7</v>
      </c>
      <c r="H206" s="244" t="s">
        <v>7723</v>
      </c>
      <c r="I206" s="265" t="str">
        <f t="shared" si="22"/>
        <v>405</v>
      </c>
      <c r="J206" s="244" t="str">
        <f t="shared" si="23"/>
        <v>PST1S02</v>
      </c>
      <c r="K206" s="244" t="str">
        <f t="shared" si="24"/>
        <v>1</v>
      </c>
      <c r="L206" s="244">
        <f t="shared" si="25"/>
        <v>8</v>
      </c>
      <c r="M206" s="244">
        <f t="shared" si="26"/>
        <v>1000</v>
      </c>
      <c r="N206" s="244" t="str">
        <f t="shared" si="27"/>
        <v>0</v>
      </c>
      <c r="P206" s="244">
        <f t="shared" si="21"/>
        <v>1</v>
      </c>
      <c r="Q206" s="266" t="s">
        <v>547</v>
      </c>
      <c r="R206" s="267" t="s">
        <v>546</v>
      </c>
      <c r="S206" s="266" t="s">
        <v>29</v>
      </c>
      <c r="T206" s="266">
        <v>8</v>
      </c>
      <c r="U206" s="266">
        <v>1000</v>
      </c>
      <c r="V206" s="266" t="s">
        <v>31</v>
      </c>
      <c r="W206" s="266" t="s">
        <v>32</v>
      </c>
      <c r="X206" s="266"/>
      <c r="Y206" s="266" t="s">
        <v>7</v>
      </c>
      <c r="AA206" s="244" t="s">
        <v>550</v>
      </c>
      <c r="AB206" s="244" t="s">
        <v>549</v>
      </c>
      <c r="AC206" s="244" t="s">
        <v>29</v>
      </c>
      <c r="AD206" s="244">
        <v>8</v>
      </c>
      <c r="AE206" s="244">
        <v>1000</v>
      </c>
      <c r="AF206" s="244" t="s">
        <v>31</v>
      </c>
    </row>
    <row r="207" spans="1:32" ht="19.5" thickBot="1">
      <c r="A207" s="244" t="s">
        <v>931</v>
      </c>
      <c r="B207" s="244">
        <v>107</v>
      </c>
      <c r="C207" s="244" t="s">
        <v>554</v>
      </c>
      <c r="D207" s="244" t="s">
        <v>7560</v>
      </c>
      <c r="E207" s="244">
        <v>0</v>
      </c>
      <c r="F207" s="244">
        <v>1041</v>
      </c>
      <c r="G207" s="244" t="s">
        <v>7</v>
      </c>
      <c r="H207" s="244" t="s">
        <v>554</v>
      </c>
      <c r="I207" s="265" t="str">
        <f t="shared" si="22"/>
        <v>407</v>
      </c>
      <c r="J207" s="244" t="str">
        <f t="shared" si="23"/>
        <v>ACN1S15</v>
      </c>
      <c r="K207" s="244" t="str">
        <f t="shared" si="24"/>
        <v>1</v>
      </c>
      <c r="L207" s="244">
        <f t="shared" si="25"/>
        <v>8</v>
      </c>
      <c r="M207" s="244">
        <f t="shared" si="26"/>
        <v>1000</v>
      </c>
      <c r="N207" s="244" t="str">
        <f t="shared" si="27"/>
        <v>0</v>
      </c>
      <c r="P207" s="244">
        <f t="shared" si="21"/>
        <v>1</v>
      </c>
      <c r="Q207" s="266" t="s">
        <v>559</v>
      </c>
      <c r="R207" s="267" t="s">
        <v>560</v>
      </c>
      <c r="S207" s="266" t="s">
        <v>29</v>
      </c>
      <c r="T207" s="266">
        <v>8</v>
      </c>
      <c r="U207" s="266">
        <v>1000</v>
      </c>
      <c r="V207" s="266" t="s">
        <v>31</v>
      </c>
      <c r="W207" s="266" t="s">
        <v>32</v>
      </c>
      <c r="X207" s="266"/>
      <c r="Y207" s="266" t="s">
        <v>7</v>
      </c>
      <c r="AA207" s="244" t="s">
        <v>553</v>
      </c>
      <c r="AB207" s="244" t="s">
        <v>552</v>
      </c>
      <c r="AC207" s="244" t="s">
        <v>29</v>
      </c>
      <c r="AD207" s="244">
        <v>8</v>
      </c>
      <c r="AE207" s="244">
        <v>1000</v>
      </c>
      <c r="AF207" s="244" t="s">
        <v>31</v>
      </c>
    </row>
    <row r="208" spans="1:32" ht="19.5" thickBot="1">
      <c r="A208" s="244" t="s">
        <v>932</v>
      </c>
      <c r="B208" s="244">
        <v>108</v>
      </c>
      <c r="C208" s="244" t="s">
        <v>557</v>
      </c>
      <c r="D208" s="244" t="s">
        <v>7560</v>
      </c>
      <c r="E208" s="244">
        <v>0</v>
      </c>
      <c r="F208" s="244">
        <v>1042</v>
      </c>
      <c r="G208" s="244" t="s">
        <v>7</v>
      </c>
      <c r="H208" s="244" t="s">
        <v>557</v>
      </c>
      <c r="I208" s="265" t="str">
        <f t="shared" si="22"/>
        <v>40B</v>
      </c>
      <c r="J208" s="244" t="str">
        <f t="shared" si="23"/>
        <v>EHV1S95</v>
      </c>
      <c r="K208" s="244" t="str">
        <f t="shared" si="24"/>
        <v>1</v>
      </c>
      <c r="L208" s="244">
        <f t="shared" si="25"/>
        <v>8</v>
      </c>
      <c r="M208" s="244">
        <f t="shared" si="26"/>
        <v>1000</v>
      </c>
      <c r="N208" s="244" t="str">
        <f t="shared" si="27"/>
        <v>0</v>
      </c>
      <c r="P208" s="244">
        <f t="shared" si="21"/>
        <v>1</v>
      </c>
      <c r="Q208" s="266" t="s">
        <v>562</v>
      </c>
      <c r="R208" s="267" t="s">
        <v>563</v>
      </c>
      <c r="S208" s="266" t="s">
        <v>29</v>
      </c>
      <c r="T208" s="266">
        <v>8</v>
      </c>
      <c r="U208" s="266">
        <v>1000</v>
      </c>
      <c r="V208" s="266" t="s">
        <v>31</v>
      </c>
      <c r="W208" s="266" t="s">
        <v>32</v>
      </c>
      <c r="X208" s="266"/>
      <c r="Y208" s="266" t="s">
        <v>7</v>
      </c>
      <c r="AA208" s="244" t="s">
        <v>556</v>
      </c>
      <c r="AB208" s="244" t="s">
        <v>555</v>
      </c>
      <c r="AC208" s="244" t="s">
        <v>29</v>
      </c>
      <c r="AD208" s="244">
        <v>8</v>
      </c>
      <c r="AE208" s="244">
        <v>1000</v>
      </c>
      <c r="AF208" s="244" t="s">
        <v>31</v>
      </c>
    </row>
    <row r="209" spans="1:32" ht="19.5" thickBot="1">
      <c r="A209" s="244" t="s">
        <v>965</v>
      </c>
      <c r="B209" s="244">
        <v>140</v>
      </c>
      <c r="C209" s="244" t="s">
        <v>558</v>
      </c>
      <c r="D209" s="244" t="s">
        <v>7560</v>
      </c>
      <c r="E209" s="244">
        <v>0</v>
      </c>
      <c r="F209" s="244">
        <v>1047</v>
      </c>
      <c r="G209" s="244" t="s">
        <v>7</v>
      </c>
      <c r="H209" s="244" t="s">
        <v>558</v>
      </c>
      <c r="I209" s="265" t="str">
        <f t="shared" si="22"/>
        <v>40D</v>
      </c>
      <c r="J209" s="244" t="str">
        <f t="shared" si="23"/>
        <v>SOL1S03</v>
      </c>
      <c r="K209" s="244" t="str">
        <f t="shared" si="24"/>
        <v>1</v>
      </c>
      <c r="L209" s="244">
        <f t="shared" si="25"/>
        <v>8</v>
      </c>
      <c r="M209" s="244">
        <f t="shared" si="26"/>
        <v>1000</v>
      </c>
      <c r="N209" s="244" t="str">
        <f t="shared" si="27"/>
        <v>0</v>
      </c>
      <c r="P209" s="244">
        <f t="shared" si="21"/>
        <v>1</v>
      </c>
      <c r="Q209" s="266" t="s">
        <v>567</v>
      </c>
      <c r="R209" s="267" t="s">
        <v>568</v>
      </c>
      <c r="S209" s="266" t="s">
        <v>29</v>
      </c>
      <c r="T209" s="266">
        <v>8</v>
      </c>
      <c r="U209" s="266">
        <v>1000</v>
      </c>
      <c r="V209" s="266" t="s">
        <v>31</v>
      </c>
      <c r="W209" s="266" t="s">
        <v>32</v>
      </c>
      <c r="X209" s="266"/>
      <c r="Y209" s="266" t="s">
        <v>7</v>
      </c>
      <c r="AA209" s="244" t="s">
        <v>560</v>
      </c>
      <c r="AB209" s="244" t="s">
        <v>559</v>
      </c>
      <c r="AC209" s="244" t="s">
        <v>29</v>
      </c>
      <c r="AD209" s="244">
        <v>8</v>
      </c>
      <c r="AE209" s="244">
        <v>1000</v>
      </c>
      <c r="AF209" s="244" t="s">
        <v>31</v>
      </c>
    </row>
    <row r="210" spans="1:32" ht="19.5" thickBot="1">
      <c r="A210" s="244" t="s">
        <v>966</v>
      </c>
      <c r="B210" s="244">
        <v>141</v>
      </c>
      <c r="C210" s="244" t="s">
        <v>561</v>
      </c>
      <c r="D210" s="244" t="s">
        <v>7560</v>
      </c>
      <c r="E210" s="244">
        <v>0</v>
      </c>
      <c r="F210" s="244">
        <v>1048</v>
      </c>
      <c r="G210" s="244" t="s">
        <v>7</v>
      </c>
      <c r="H210" s="244" t="s">
        <v>561</v>
      </c>
      <c r="I210" s="265" t="str">
        <f t="shared" si="22"/>
        <v>50D</v>
      </c>
      <c r="J210" s="244" t="str">
        <f t="shared" si="23"/>
        <v>BDC1SJ2</v>
      </c>
      <c r="K210" s="244" t="str">
        <f t="shared" si="24"/>
        <v>1</v>
      </c>
      <c r="L210" s="244">
        <f t="shared" si="25"/>
        <v>64</v>
      </c>
      <c r="M210" s="244">
        <f t="shared" si="26"/>
        <v>1000</v>
      </c>
      <c r="N210" s="244" t="str">
        <f t="shared" si="27"/>
        <v>0</v>
      </c>
      <c r="P210" s="244">
        <f t="shared" si="21"/>
        <v>1</v>
      </c>
      <c r="Q210" s="266" t="s">
        <v>569</v>
      </c>
      <c r="R210" s="267" t="s">
        <v>570</v>
      </c>
      <c r="S210" s="266" t="s">
        <v>29</v>
      </c>
      <c r="T210" s="266">
        <v>8</v>
      </c>
      <c r="U210" s="266">
        <v>1000</v>
      </c>
      <c r="V210" s="266" t="s">
        <v>31</v>
      </c>
      <c r="W210" s="266" t="s">
        <v>32</v>
      </c>
      <c r="X210" s="266"/>
      <c r="Y210" s="266" t="s">
        <v>7</v>
      </c>
      <c r="AA210" s="244" t="s">
        <v>564</v>
      </c>
      <c r="AB210" s="244" t="s">
        <v>565</v>
      </c>
      <c r="AC210" s="244" t="s">
        <v>29</v>
      </c>
      <c r="AD210" s="244">
        <v>64</v>
      </c>
      <c r="AE210" s="244">
        <v>1000</v>
      </c>
      <c r="AF210" s="244" t="s">
        <v>31</v>
      </c>
    </row>
    <row r="211" spans="1:32" ht="19.5" thickBot="1">
      <c r="A211" s="244" t="s">
        <v>7</v>
      </c>
      <c r="B211" s="244" t="s">
        <v>7</v>
      </c>
      <c r="C211" s="244" t="s">
        <v>566</v>
      </c>
      <c r="D211" s="244" t="s">
        <v>7560</v>
      </c>
      <c r="E211" s="244">
        <v>0</v>
      </c>
      <c r="F211" s="244">
        <v>1057</v>
      </c>
      <c r="G211" s="244" t="s">
        <v>7</v>
      </c>
      <c r="H211" s="244" t="s">
        <v>566</v>
      </c>
      <c r="I211" s="265" t="str">
        <f t="shared" si="22"/>
        <v>411</v>
      </c>
      <c r="J211" s="244" t="str">
        <f t="shared" si="23"/>
        <v>DS12F02</v>
      </c>
      <c r="K211" s="244" t="str">
        <f t="shared" si="24"/>
        <v>1</v>
      </c>
      <c r="L211" s="244">
        <f t="shared" si="25"/>
        <v>8</v>
      </c>
      <c r="M211" s="244">
        <f t="shared" si="26"/>
        <v>1000</v>
      </c>
      <c r="N211" s="244" t="str">
        <f t="shared" si="27"/>
        <v>0</v>
      </c>
      <c r="P211" s="244">
        <f t="shared" si="21"/>
        <v>1</v>
      </c>
      <c r="Q211" s="266" t="s">
        <v>571</v>
      </c>
      <c r="R211" s="267" t="s">
        <v>572</v>
      </c>
      <c r="S211" s="266" t="s">
        <v>29</v>
      </c>
      <c r="T211" s="266">
        <v>8</v>
      </c>
      <c r="U211" s="266">
        <v>1000</v>
      </c>
      <c r="V211" s="266" t="s">
        <v>31</v>
      </c>
      <c r="W211" s="266" t="s">
        <v>32</v>
      </c>
      <c r="X211" s="266"/>
      <c r="Y211" s="266" t="s">
        <v>7</v>
      </c>
      <c r="AA211" s="244" t="s">
        <v>563</v>
      </c>
      <c r="AB211" s="244" t="s">
        <v>562</v>
      </c>
      <c r="AC211" s="244" t="s">
        <v>29</v>
      </c>
      <c r="AD211" s="244">
        <v>8</v>
      </c>
      <c r="AE211" s="244">
        <v>1000</v>
      </c>
      <c r="AF211" s="244" t="s">
        <v>31</v>
      </c>
    </row>
    <row r="212" spans="1:32" ht="19.5" thickBot="1">
      <c r="A212" s="244" t="s">
        <v>7</v>
      </c>
      <c r="B212" s="244" t="s">
        <v>7</v>
      </c>
      <c r="C212" s="244" t="s">
        <v>566</v>
      </c>
      <c r="D212" s="244" t="s">
        <v>44</v>
      </c>
      <c r="E212" s="244">
        <v>2</v>
      </c>
      <c r="F212" s="244">
        <v>1057</v>
      </c>
      <c r="G212" s="244" t="s">
        <v>7</v>
      </c>
      <c r="H212" s="244" t="s">
        <v>7724</v>
      </c>
      <c r="I212" s="265" t="str">
        <f t="shared" si="22"/>
        <v>412</v>
      </c>
      <c r="J212" s="244" t="str">
        <f t="shared" si="23"/>
        <v>DS12F03</v>
      </c>
      <c r="K212" s="244" t="str">
        <f t="shared" si="24"/>
        <v>1</v>
      </c>
      <c r="L212" s="244">
        <f t="shared" si="25"/>
        <v>8</v>
      </c>
      <c r="M212" s="244">
        <f t="shared" si="26"/>
        <v>1000</v>
      </c>
      <c r="N212" s="244" t="str">
        <f t="shared" si="27"/>
        <v>0</v>
      </c>
      <c r="P212" s="244">
        <f t="shared" si="21"/>
        <v>1</v>
      </c>
      <c r="Q212" s="268" t="s">
        <v>573</v>
      </c>
      <c r="R212" s="269" t="s">
        <v>574</v>
      </c>
      <c r="S212" s="268" t="s">
        <v>29</v>
      </c>
      <c r="T212" s="268">
        <v>8</v>
      </c>
      <c r="U212" s="268">
        <v>1000</v>
      </c>
      <c r="V212" s="268" t="s">
        <v>31</v>
      </c>
      <c r="W212" s="266" t="s">
        <v>32</v>
      </c>
      <c r="X212" s="266"/>
      <c r="Y212" s="266" t="s">
        <v>7</v>
      </c>
      <c r="AA212" s="244" t="s">
        <v>568</v>
      </c>
      <c r="AB212" s="244" t="s">
        <v>567</v>
      </c>
      <c r="AC212" s="244" t="s">
        <v>29</v>
      </c>
      <c r="AD212" s="244">
        <v>8</v>
      </c>
      <c r="AE212" s="244">
        <v>1000</v>
      </c>
      <c r="AF212" s="244" t="s">
        <v>31</v>
      </c>
    </row>
    <row r="213" spans="1:32" ht="19.5" thickBot="1">
      <c r="A213" s="244" t="s">
        <v>7</v>
      </c>
      <c r="B213" s="244" t="s">
        <v>7</v>
      </c>
      <c r="C213" s="244" t="s">
        <v>566</v>
      </c>
      <c r="D213" s="244" t="s">
        <v>129</v>
      </c>
      <c r="E213" s="244">
        <v>512</v>
      </c>
      <c r="F213" s="244">
        <v>1057</v>
      </c>
      <c r="G213" s="244" t="s">
        <v>7</v>
      </c>
      <c r="H213" s="244" t="s">
        <v>7725</v>
      </c>
      <c r="I213" s="265" t="str">
        <f t="shared" si="22"/>
        <v>417</v>
      </c>
      <c r="J213" s="244" t="str">
        <f t="shared" si="23"/>
        <v>TPM1S06</v>
      </c>
      <c r="K213" s="244" t="str">
        <f t="shared" si="24"/>
        <v>1</v>
      </c>
      <c r="L213" s="244">
        <f t="shared" si="25"/>
        <v>8</v>
      </c>
      <c r="M213" s="244">
        <f t="shared" si="26"/>
        <v>1000</v>
      </c>
      <c r="N213" s="244" t="str">
        <f t="shared" si="27"/>
        <v>0</v>
      </c>
      <c r="P213" s="244">
        <f t="shared" si="21"/>
        <v>1</v>
      </c>
      <c r="Q213" s="266" t="s">
        <v>576</v>
      </c>
      <c r="R213" s="267" t="s">
        <v>577</v>
      </c>
      <c r="S213" s="266" t="s">
        <v>29</v>
      </c>
      <c r="T213" s="266">
        <v>8</v>
      </c>
      <c r="U213" s="266">
        <v>1000</v>
      </c>
      <c r="V213" s="266" t="s">
        <v>31</v>
      </c>
      <c r="W213" s="266" t="s">
        <v>32</v>
      </c>
      <c r="X213" s="266"/>
      <c r="Y213" s="266" t="s">
        <v>7</v>
      </c>
      <c r="AA213" s="244" t="s">
        <v>570</v>
      </c>
      <c r="AB213" s="244" t="s">
        <v>569</v>
      </c>
      <c r="AC213" s="244" t="s">
        <v>29</v>
      </c>
      <c r="AD213" s="244">
        <v>8</v>
      </c>
      <c r="AE213" s="244">
        <v>1000</v>
      </c>
      <c r="AF213" s="244" t="s">
        <v>31</v>
      </c>
    </row>
    <row r="214" spans="1:32" ht="19.5" thickBot="1">
      <c r="A214" s="244" t="s">
        <v>860</v>
      </c>
      <c r="B214" s="244">
        <v>37</v>
      </c>
      <c r="C214" s="244" t="s">
        <v>566</v>
      </c>
      <c r="D214" s="244" t="s">
        <v>189</v>
      </c>
      <c r="E214" s="244">
        <v>514</v>
      </c>
      <c r="F214" s="244">
        <v>1057</v>
      </c>
      <c r="G214" s="244" t="s">
        <v>7</v>
      </c>
      <c r="H214" s="244" t="s">
        <v>7726</v>
      </c>
      <c r="I214" s="265" t="str">
        <f t="shared" si="22"/>
        <v>418</v>
      </c>
      <c r="J214" s="244" t="str">
        <f t="shared" si="23"/>
        <v>TPM1S08</v>
      </c>
      <c r="K214" s="244" t="str">
        <f t="shared" si="24"/>
        <v>1</v>
      </c>
      <c r="L214" s="244">
        <f t="shared" si="25"/>
        <v>8</v>
      </c>
      <c r="M214" s="244">
        <f t="shared" si="26"/>
        <v>1000</v>
      </c>
      <c r="N214" s="244" t="str">
        <f t="shared" si="27"/>
        <v>0</v>
      </c>
      <c r="P214" s="244">
        <f t="shared" si="21"/>
        <v>1</v>
      </c>
      <c r="Q214" s="266" t="s">
        <v>578</v>
      </c>
      <c r="R214" s="267" t="s">
        <v>579</v>
      </c>
      <c r="S214" s="266" t="s">
        <v>29</v>
      </c>
      <c r="T214" s="266">
        <v>64</v>
      </c>
      <c r="U214" s="266">
        <v>2000</v>
      </c>
      <c r="V214" s="266" t="s">
        <v>31</v>
      </c>
      <c r="W214" s="266" t="s">
        <v>32</v>
      </c>
      <c r="X214" s="266"/>
      <c r="Y214" s="266" t="s">
        <v>7</v>
      </c>
      <c r="AA214" s="244" t="s">
        <v>572</v>
      </c>
      <c r="AB214" s="244" t="s">
        <v>571</v>
      </c>
      <c r="AC214" s="244" t="s">
        <v>29</v>
      </c>
      <c r="AD214" s="244">
        <v>8</v>
      </c>
      <c r="AE214" s="244">
        <v>1000</v>
      </c>
      <c r="AF214" s="244" t="s">
        <v>31</v>
      </c>
    </row>
    <row r="215" spans="1:32" ht="19.5" thickBot="1">
      <c r="A215" s="244" t="s">
        <v>7</v>
      </c>
      <c r="B215" s="244" t="s">
        <v>7</v>
      </c>
      <c r="C215" s="244" t="s">
        <v>575</v>
      </c>
      <c r="D215" s="244" t="s">
        <v>7560</v>
      </c>
      <c r="E215" s="244">
        <v>0</v>
      </c>
      <c r="F215" s="244">
        <v>1058</v>
      </c>
      <c r="G215" s="244" t="s">
        <v>7</v>
      </c>
      <c r="H215" s="244" t="s">
        <v>575</v>
      </c>
      <c r="I215" s="265" t="str">
        <f t="shared" si="22"/>
        <v>421</v>
      </c>
      <c r="J215" s="244" t="str">
        <f t="shared" si="23"/>
        <v>EHV1S94</v>
      </c>
      <c r="K215" s="244" t="str">
        <f t="shared" si="24"/>
        <v>1</v>
      </c>
      <c r="L215" s="244">
        <f t="shared" si="25"/>
        <v>8</v>
      </c>
      <c r="M215" s="244">
        <f t="shared" si="26"/>
        <v>1000</v>
      </c>
      <c r="N215" s="244" t="str">
        <f t="shared" si="27"/>
        <v>0</v>
      </c>
      <c r="P215" s="244">
        <f t="shared" si="21"/>
        <v>1</v>
      </c>
      <c r="Q215" s="266" t="s">
        <v>580</v>
      </c>
      <c r="R215" s="267" t="s">
        <v>581</v>
      </c>
      <c r="S215" s="266" t="s">
        <v>29</v>
      </c>
      <c r="T215" s="266">
        <v>8</v>
      </c>
      <c r="U215" s="266">
        <v>1000</v>
      </c>
      <c r="V215" s="266" t="s">
        <v>31</v>
      </c>
      <c r="W215" s="266" t="s">
        <v>32</v>
      </c>
      <c r="X215" s="266"/>
      <c r="Y215" s="266" t="s">
        <v>7</v>
      </c>
      <c r="AA215" s="244" t="s">
        <v>574</v>
      </c>
      <c r="AB215" s="244" t="s">
        <v>573</v>
      </c>
      <c r="AC215" s="244" t="s">
        <v>29</v>
      </c>
      <c r="AD215" s="244">
        <v>8</v>
      </c>
      <c r="AE215" s="244">
        <v>1000</v>
      </c>
      <c r="AF215" s="244" t="s">
        <v>31</v>
      </c>
    </row>
    <row r="216" spans="1:32" ht="19.5" thickBot="1">
      <c r="A216" s="244" t="s">
        <v>7</v>
      </c>
      <c r="B216" s="244" t="s">
        <v>7</v>
      </c>
      <c r="C216" s="244" t="s">
        <v>575</v>
      </c>
      <c r="D216" s="244" t="s">
        <v>102</v>
      </c>
      <c r="E216" s="244">
        <v>4</v>
      </c>
      <c r="F216" s="244">
        <v>1058</v>
      </c>
      <c r="G216" s="244" t="s">
        <v>7</v>
      </c>
      <c r="H216" s="244" t="s">
        <v>7727</v>
      </c>
      <c r="I216" s="265" t="str">
        <f t="shared" si="22"/>
        <v>423</v>
      </c>
      <c r="J216" s="244" t="str">
        <f t="shared" si="23"/>
        <v>BDC1SE8</v>
      </c>
      <c r="K216" s="244" t="str">
        <f t="shared" si="24"/>
        <v>1</v>
      </c>
      <c r="L216" s="244">
        <f t="shared" si="25"/>
        <v>64</v>
      </c>
      <c r="M216" s="244">
        <f t="shared" si="26"/>
        <v>2000</v>
      </c>
      <c r="N216" s="244" t="str">
        <f t="shared" si="27"/>
        <v>0</v>
      </c>
      <c r="P216" s="244">
        <f t="shared" si="21"/>
        <v>1</v>
      </c>
      <c r="Q216" s="266" t="s">
        <v>584</v>
      </c>
      <c r="R216" s="267" t="s">
        <v>585</v>
      </c>
      <c r="S216" s="266" t="s">
        <v>29</v>
      </c>
      <c r="T216" s="266">
        <v>8</v>
      </c>
      <c r="U216" s="266">
        <v>1000</v>
      </c>
      <c r="V216" s="266" t="s">
        <v>31</v>
      </c>
      <c r="W216" s="266" t="s">
        <v>32</v>
      </c>
      <c r="X216" s="266"/>
      <c r="Y216" s="266" t="s">
        <v>7</v>
      </c>
      <c r="AA216" s="244" t="s">
        <v>579</v>
      </c>
      <c r="AB216" s="244" t="s">
        <v>578</v>
      </c>
      <c r="AC216" s="244" t="s">
        <v>29</v>
      </c>
      <c r="AD216" s="244">
        <v>64</v>
      </c>
      <c r="AE216" s="244">
        <v>2000</v>
      </c>
      <c r="AF216" s="244" t="s">
        <v>31</v>
      </c>
    </row>
    <row r="217" spans="1:32" ht="19.5" thickBot="1">
      <c r="A217" s="244" t="s">
        <v>7</v>
      </c>
      <c r="B217" s="244" t="s">
        <v>7</v>
      </c>
      <c r="C217" s="244" t="s">
        <v>575</v>
      </c>
      <c r="D217" s="244" t="s">
        <v>129</v>
      </c>
      <c r="E217" s="244">
        <v>512</v>
      </c>
      <c r="F217" s="244">
        <v>1058</v>
      </c>
      <c r="G217" s="244" t="s">
        <v>7</v>
      </c>
      <c r="H217" s="244" t="s">
        <v>7728</v>
      </c>
      <c r="I217" s="265" t="str">
        <f t="shared" si="22"/>
        <v>621</v>
      </c>
      <c r="J217" s="244" t="str">
        <f t="shared" si="23"/>
        <v>BDB1S02</v>
      </c>
      <c r="K217" s="244" t="str">
        <f t="shared" si="24"/>
        <v>1</v>
      </c>
      <c r="L217" s="244">
        <f t="shared" si="25"/>
        <v>8</v>
      </c>
      <c r="M217" s="244">
        <f t="shared" si="26"/>
        <v>1000</v>
      </c>
      <c r="N217" s="244" t="str">
        <f t="shared" si="27"/>
        <v>0</v>
      </c>
      <c r="P217" s="244">
        <f t="shared" si="21"/>
        <v>1</v>
      </c>
      <c r="Q217" s="266" t="s">
        <v>589</v>
      </c>
      <c r="R217" s="267" t="s">
        <v>590</v>
      </c>
      <c r="S217" s="266" t="s">
        <v>29</v>
      </c>
      <c r="T217" s="266">
        <v>64</v>
      </c>
      <c r="U217" s="266">
        <v>1000</v>
      </c>
      <c r="V217" s="266" t="s">
        <v>31</v>
      </c>
      <c r="W217" s="266" t="s">
        <v>32</v>
      </c>
      <c r="X217" s="266"/>
      <c r="Y217" s="266" t="s">
        <v>7</v>
      </c>
      <c r="AA217" s="244" t="s">
        <v>582</v>
      </c>
      <c r="AB217" s="244" t="s">
        <v>583</v>
      </c>
      <c r="AC217" s="244" t="s">
        <v>29</v>
      </c>
      <c r="AD217" s="244">
        <v>8</v>
      </c>
      <c r="AE217" s="244">
        <v>1000</v>
      </c>
      <c r="AF217" s="244" t="s">
        <v>31</v>
      </c>
    </row>
    <row r="218" spans="1:32" ht="19.5" thickBot="1">
      <c r="A218" s="244" t="s">
        <v>861</v>
      </c>
      <c r="B218" s="244">
        <v>38</v>
      </c>
      <c r="C218" s="244" t="s">
        <v>575</v>
      </c>
      <c r="D218" s="244" t="s">
        <v>194</v>
      </c>
      <c r="E218" s="244">
        <v>516</v>
      </c>
      <c r="F218" s="244">
        <v>1058</v>
      </c>
      <c r="G218" s="244" t="s">
        <v>7</v>
      </c>
      <c r="H218" s="244" t="s">
        <v>7729</v>
      </c>
      <c r="I218" s="265" t="str">
        <f t="shared" si="22"/>
        <v>623</v>
      </c>
      <c r="J218" s="244" t="str">
        <f t="shared" si="23"/>
        <v>BDB1S04</v>
      </c>
      <c r="K218" s="244" t="str">
        <f t="shared" si="24"/>
        <v>1</v>
      </c>
      <c r="L218" s="244">
        <f t="shared" si="25"/>
        <v>8</v>
      </c>
      <c r="M218" s="244">
        <f t="shared" si="26"/>
        <v>1000</v>
      </c>
      <c r="N218" s="244" t="str">
        <f t="shared" si="27"/>
        <v>0</v>
      </c>
      <c r="P218" s="244">
        <f t="shared" si="21"/>
        <v>1</v>
      </c>
      <c r="Q218" s="266" t="s">
        <v>594</v>
      </c>
      <c r="R218" s="267" t="s">
        <v>595</v>
      </c>
      <c r="S218" s="266" t="s">
        <v>29</v>
      </c>
      <c r="T218" s="266">
        <v>8</v>
      </c>
      <c r="U218" s="266">
        <v>1000</v>
      </c>
      <c r="V218" s="266" t="s">
        <v>31</v>
      </c>
      <c r="W218" s="266" t="s">
        <v>32</v>
      </c>
      <c r="X218" s="266"/>
      <c r="Y218" s="266" t="s">
        <v>7</v>
      </c>
      <c r="AA218" s="244" t="s">
        <v>586</v>
      </c>
      <c r="AB218" s="244" t="s">
        <v>587</v>
      </c>
      <c r="AC218" s="244" t="s">
        <v>29</v>
      </c>
      <c r="AD218" s="244">
        <v>8</v>
      </c>
      <c r="AE218" s="244">
        <v>1000</v>
      </c>
      <c r="AF218" s="244" t="s">
        <v>31</v>
      </c>
    </row>
    <row r="219" spans="1:32" ht="19.5" thickBot="1">
      <c r="A219" s="244" t="s">
        <v>7</v>
      </c>
      <c r="B219" s="244" t="s">
        <v>7</v>
      </c>
      <c r="C219" s="244" t="s">
        <v>588</v>
      </c>
      <c r="D219" s="244" t="s">
        <v>7560</v>
      </c>
      <c r="E219" s="244">
        <v>0</v>
      </c>
      <c r="F219" s="244">
        <v>1064</v>
      </c>
      <c r="G219" s="244" t="s">
        <v>7</v>
      </c>
      <c r="H219" s="244" t="s">
        <v>588</v>
      </c>
      <c r="I219" s="265" t="str">
        <f t="shared" si="22"/>
        <v>422</v>
      </c>
      <c r="J219" s="244" t="str">
        <f t="shared" si="23"/>
        <v>PLG1S01</v>
      </c>
      <c r="K219" s="244" t="str">
        <f t="shared" si="24"/>
        <v>1</v>
      </c>
      <c r="L219" s="244">
        <f t="shared" si="25"/>
        <v>8</v>
      </c>
      <c r="M219" s="244">
        <f t="shared" si="26"/>
        <v>1000</v>
      </c>
      <c r="N219" s="244" t="str">
        <f t="shared" si="27"/>
        <v>0</v>
      </c>
      <c r="P219" s="244">
        <f t="shared" si="21"/>
        <v>1</v>
      </c>
      <c r="Q219" s="266" t="s">
        <v>598</v>
      </c>
      <c r="R219" s="267" t="s">
        <v>599</v>
      </c>
      <c r="S219" s="266" t="s">
        <v>29</v>
      </c>
      <c r="T219" s="266">
        <v>8</v>
      </c>
      <c r="U219" s="266">
        <v>1000</v>
      </c>
      <c r="V219" s="266" t="s">
        <v>31</v>
      </c>
      <c r="W219" s="266" t="s">
        <v>32</v>
      </c>
      <c r="X219" s="266"/>
      <c r="Y219" s="266" t="s">
        <v>7</v>
      </c>
      <c r="AA219" s="244" t="s">
        <v>577</v>
      </c>
      <c r="AB219" s="244" t="s">
        <v>576</v>
      </c>
      <c r="AC219" s="244" t="s">
        <v>29</v>
      </c>
      <c r="AD219" s="244">
        <v>8</v>
      </c>
      <c r="AE219" s="244">
        <v>1000</v>
      </c>
      <c r="AF219" s="244" t="s">
        <v>31</v>
      </c>
    </row>
    <row r="220" spans="1:32" ht="19.5" thickBot="1">
      <c r="A220" s="244" t="s">
        <v>7</v>
      </c>
      <c r="B220" s="244" t="s">
        <v>7</v>
      </c>
      <c r="C220" s="244" t="s">
        <v>588</v>
      </c>
      <c r="D220" s="244" t="s">
        <v>312</v>
      </c>
      <c r="E220" s="244">
        <v>1</v>
      </c>
      <c r="F220" s="244">
        <v>1064</v>
      </c>
      <c r="G220" s="244" t="s">
        <v>7</v>
      </c>
      <c r="H220" s="244" t="s">
        <v>7730</v>
      </c>
      <c r="I220" s="265" t="str">
        <f t="shared" si="22"/>
        <v>426</v>
      </c>
      <c r="J220" s="244" t="str">
        <f t="shared" si="23"/>
        <v>TPM1S09</v>
      </c>
      <c r="K220" s="244" t="str">
        <f t="shared" si="24"/>
        <v>1</v>
      </c>
      <c r="L220" s="244">
        <f t="shared" si="25"/>
        <v>8</v>
      </c>
      <c r="M220" s="244">
        <f t="shared" si="26"/>
        <v>1000</v>
      </c>
      <c r="N220" s="244" t="str">
        <f t="shared" si="27"/>
        <v>0</v>
      </c>
      <c r="P220" s="244">
        <f t="shared" si="21"/>
        <v>1</v>
      </c>
      <c r="Q220" s="266" t="s">
        <v>603</v>
      </c>
      <c r="R220" s="267" t="s">
        <v>604</v>
      </c>
      <c r="S220" s="266" t="s">
        <v>29</v>
      </c>
      <c r="T220" s="266">
        <v>8</v>
      </c>
      <c r="U220" s="266">
        <v>1000</v>
      </c>
      <c r="V220" s="266" t="s">
        <v>31</v>
      </c>
      <c r="W220" s="266" t="s">
        <v>32</v>
      </c>
      <c r="X220" s="266"/>
      <c r="Y220" s="266" t="s">
        <v>7</v>
      </c>
      <c r="AA220" s="244" t="s">
        <v>581</v>
      </c>
      <c r="AB220" s="244" t="s">
        <v>580</v>
      </c>
      <c r="AC220" s="244" t="s">
        <v>29</v>
      </c>
      <c r="AD220" s="244">
        <v>8</v>
      </c>
      <c r="AE220" s="244">
        <v>1000</v>
      </c>
      <c r="AF220" s="244" t="s">
        <v>31</v>
      </c>
    </row>
    <row r="221" spans="1:32" ht="19.5" thickBot="1">
      <c r="A221" s="244" t="s">
        <v>7</v>
      </c>
      <c r="B221" s="244" t="s">
        <v>7</v>
      </c>
      <c r="C221" s="244" t="s">
        <v>588</v>
      </c>
      <c r="D221" s="244" t="s">
        <v>44</v>
      </c>
      <c r="E221" s="244">
        <v>2</v>
      </c>
      <c r="F221" s="244">
        <v>1064</v>
      </c>
      <c r="G221" s="244" t="s">
        <v>7</v>
      </c>
      <c r="H221" s="244" t="s">
        <v>7731</v>
      </c>
      <c r="I221" s="265" t="str">
        <f t="shared" si="22"/>
        <v>622</v>
      </c>
      <c r="J221" s="244" t="str">
        <f t="shared" si="23"/>
        <v>BDB1S03</v>
      </c>
      <c r="K221" s="244" t="str">
        <f t="shared" si="24"/>
        <v>1</v>
      </c>
      <c r="L221" s="244">
        <f t="shared" si="25"/>
        <v>8</v>
      </c>
      <c r="M221" s="244">
        <f t="shared" si="26"/>
        <v>1000</v>
      </c>
      <c r="N221" s="244" t="str">
        <f t="shared" si="27"/>
        <v>0</v>
      </c>
      <c r="P221" s="244">
        <f t="shared" si="21"/>
        <v>1</v>
      </c>
      <c r="Q221" s="266" t="s">
        <v>605</v>
      </c>
      <c r="R221" s="267" t="s">
        <v>606</v>
      </c>
      <c r="S221" s="266" t="s">
        <v>29</v>
      </c>
      <c r="T221" s="266">
        <v>8</v>
      </c>
      <c r="U221" s="266">
        <v>1000</v>
      </c>
      <c r="V221" s="266" t="s">
        <v>31</v>
      </c>
      <c r="W221" s="266" t="s">
        <v>32</v>
      </c>
      <c r="X221" s="266"/>
      <c r="Y221" s="266" t="s">
        <v>7</v>
      </c>
      <c r="AA221" s="244" t="s">
        <v>596</v>
      </c>
      <c r="AB221" s="244" t="s">
        <v>597</v>
      </c>
      <c r="AC221" s="244" t="s">
        <v>29</v>
      </c>
      <c r="AD221" s="244">
        <v>8</v>
      </c>
      <c r="AE221" s="244">
        <v>1000</v>
      </c>
      <c r="AF221" s="244" t="s">
        <v>31</v>
      </c>
    </row>
    <row r="222" spans="1:32" ht="19.5" thickBot="1">
      <c r="A222" s="244" t="s">
        <v>897</v>
      </c>
      <c r="B222" s="244">
        <v>73</v>
      </c>
      <c r="C222" s="244" t="s">
        <v>588</v>
      </c>
      <c r="D222" s="244" t="s">
        <v>494</v>
      </c>
      <c r="E222" s="244">
        <v>3</v>
      </c>
      <c r="F222" s="244">
        <v>1064</v>
      </c>
      <c r="G222" s="244" t="s">
        <v>7</v>
      </c>
      <c r="H222" s="244" t="s">
        <v>7732</v>
      </c>
      <c r="I222" s="265" t="str">
        <f t="shared" si="22"/>
        <v>626</v>
      </c>
      <c r="J222" s="244" t="str">
        <f t="shared" si="23"/>
        <v>BDB1S10</v>
      </c>
      <c r="K222" s="244" t="str">
        <f t="shared" si="24"/>
        <v>1</v>
      </c>
      <c r="L222" s="244">
        <f t="shared" si="25"/>
        <v>8</v>
      </c>
      <c r="M222" s="244">
        <f t="shared" si="26"/>
        <v>1000</v>
      </c>
      <c r="N222" s="244" t="str">
        <f t="shared" si="27"/>
        <v>0</v>
      </c>
      <c r="P222" s="244">
        <f t="shared" si="21"/>
        <v>1</v>
      </c>
      <c r="Q222" s="266" t="s">
        <v>607</v>
      </c>
      <c r="R222" s="267" t="s">
        <v>608</v>
      </c>
      <c r="S222" s="266" t="s">
        <v>29</v>
      </c>
      <c r="T222" s="266">
        <v>64</v>
      </c>
      <c r="U222" s="266">
        <v>1000</v>
      </c>
      <c r="V222" s="266" t="s">
        <v>31</v>
      </c>
      <c r="W222" s="266" t="s">
        <v>32</v>
      </c>
      <c r="X222" s="266"/>
      <c r="Y222" s="266" t="s">
        <v>7</v>
      </c>
      <c r="AA222" s="244" t="s">
        <v>600</v>
      </c>
      <c r="AB222" s="244" t="s">
        <v>601</v>
      </c>
      <c r="AC222" s="244" t="s">
        <v>29</v>
      </c>
      <c r="AD222" s="244">
        <v>8</v>
      </c>
      <c r="AE222" s="244">
        <v>1000</v>
      </c>
      <c r="AF222" s="244" t="s">
        <v>31</v>
      </c>
    </row>
    <row r="223" spans="1:32" ht="19.5" thickBot="1">
      <c r="A223" s="244" t="s">
        <v>7</v>
      </c>
      <c r="B223" s="244" t="s">
        <v>7</v>
      </c>
      <c r="C223" s="244" t="s">
        <v>602</v>
      </c>
      <c r="D223" s="244" t="s">
        <v>7560</v>
      </c>
      <c r="E223" s="244">
        <v>0</v>
      </c>
      <c r="F223" s="244">
        <v>1068</v>
      </c>
      <c r="G223" s="244" t="s">
        <v>7</v>
      </c>
      <c r="H223" s="244" t="s">
        <v>7733</v>
      </c>
      <c r="I223" s="265" t="str">
        <f t="shared" si="22"/>
        <v>428</v>
      </c>
      <c r="J223" s="244" t="str">
        <f t="shared" si="23"/>
        <v>TPM1S10</v>
      </c>
      <c r="K223" s="244" t="str">
        <f t="shared" si="24"/>
        <v>1</v>
      </c>
      <c r="L223" s="244">
        <f t="shared" si="25"/>
        <v>8</v>
      </c>
      <c r="M223" s="244">
        <f t="shared" si="26"/>
        <v>1000</v>
      </c>
      <c r="N223" s="244" t="str">
        <f t="shared" si="27"/>
        <v>0</v>
      </c>
      <c r="P223" s="244">
        <f t="shared" si="21"/>
        <v>1</v>
      </c>
      <c r="Q223" s="266" t="s">
        <v>609</v>
      </c>
      <c r="R223" s="267" t="s">
        <v>610</v>
      </c>
      <c r="S223" s="266" t="s">
        <v>29</v>
      </c>
      <c r="T223" s="266">
        <v>8</v>
      </c>
      <c r="U223" s="266">
        <v>1000</v>
      </c>
      <c r="V223" s="266" t="s">
        <v>31</v>
      </c>
      <c r="W223" s="266" t="s">
        <v>32</v>
      </c>
      <c r="X223" s="266"/>
      <c r="Y223" s="266" t="s">
        <v>7</v>
      </c>
      <c r="AA223" s="244" t="s">
        <v>585</v>
      </c>
      <c r="AB223" s="244" t="s">
        <v>584</v>
      </c>
      <c r="AC223" s="244" t="s">
        <v>29</v>
      </c>
      <c r="AD223" s="244">
        <v>8</v>
      </c>
      <c r="AE223" s="244">
        <v>1000</v>
      </c>
      <c r="AF223" s="244" t="s">
        <v>31</v>
      </c>
    </row>
    <row r="224" spans="1:32" ht="19.5" thickBot="1">
      <c r="A224" s="244" t="s">
        <v>7</v>
      </c>
      <c r="B224" s="244" t="s">
        <v>7</v>
      </c>
      <c r="C224" s="244" t="s">
        <v>602</v>
      </c>
      <c r="D224" s="244" t="s">
        <v>94</v>
      </c>
      <c r="E224" s="244">
        <v>16</v>
      </c>
      <c r="F224" s="244">
        <v>1068</v>
      </c>
      <c r="G224" s="244" t="s">
        <v>7</v>
      </c>
      <c r="H224" s="244" t="s">
        <v>7734</v>
      </c>
      <c r="I224" s="265" t="str">
        <f t="shared" si="22"/>
        <v>429</v>
      </c>
      <c r="J224" s="244" t="str">
        <f t="shared" si="23"/>
        <v>BDC1SE9</v>
      </c>
      <c r="K224" s="244" t="str">
        <f t="shared" si="24"/>
        <v>1</v>
      </c>
      <c r="L224" s="244">
        <f t="shared" si="25"/>
        <v>64</v>
      </c>
      <c r="M224" s="244">
        <f t="shared" si="26"/>
        <v>1000</v>
      </c>
      <c r="N224" s="244" t="str">
        <f t="shared" si="27"/>
        <v>0</v>
      </c>
      <c r="P224" s="244">
        <f t="shared" si="21"/>
        <v>1</v>
      </c>
      <c r="Q224" s="266" t="s">
        <v>612</v>
      </c>
      <c r="R224" s="267" t="s">
        <v>613</v>
      </c>
      <c r="S224" s="266" t="s">
        <v>29</v>
      </c>
      <c r="T224" s="266">
        <v>8</v>
      </c>
      <c r="U224" s="266">
        <v>1000</v>
      </c>
      <c r="V224" s="266" t="s">
        <v>31</v>
      </c>
      <c r="W224" s="266" t="s">
        <v>32</v>
      </c>
      <c r="X224" s="266"/>
      <c r="Y224" s="266" t="s">
        <v>7</v>
      </c>
      <c r="AA224" s="244" t="s">
        <v>590</v>
      </c>
      <c r="AB224" s="244" t="s">
        <v>589</v>
      </c>
      <c r="AC224" s="244" t="s">
        <v>29</v>
      </c>
      <c r="AD224" s="244">
        <v>64</v>
      </c>
      <c r="AE224" s="244">
        <v>1000</v>
      </c>
      <c r="AF224" s="244" t="s">
        <v>31</v>
      </c>
    </row>
    <row r="225" spans="1:32" ht="19.5" thickBot="1">
      <c r="A225" s="244" t="s">
        <v>7</v>
      </c>
      <c r="B225" s="244" t="s">
        <v>7</v>
      </c>
      <c r="C225" s="244" t="s">
        <v>602</v>
      </c>
      <c r="D225" s="244" t="s">
        <v>71</v>
      </c>
      <c r="E225" s="244">
        <v>128</v>
      </c>
      <c r="F225" s="244">
        <v>1068</v>
      </c>
      <c r="G225" s="244" t="s">
        <v>7</v>
      </c>
      <c r="H225" s="244" t="s">
        <v>7735</v>
      </c>
      <c r="I225" s="265" t="str">
        <f t="shared" si="22"/>
        <v>42A</v>
      </c>
      <c r="J225" s="244" t="str">
        <f t="shared" si="23"/>
        <v>TPM1S11</v>
      </c>
      <c r="K225" s="244" t="str">
        <f t="shared" si="24"/>
        <v>1</v>
      </c>
      <c r="L225" s="244">
        <f t="shared" si="25"/>
        <v>8</v>
      </c>
      <c r="M225" s="244">
        <f t="shared" si="26"/>
        <v>1000</v>
      </c>
      <c r="N225" s="244" t="str">
        <f t="shared" si="27"/>
        <v>0</v>
      </c>
      <c r="P225" s="244">
        <f t="shared" si="21"/>
        <v>1</v>
      </c>
      <c r="Q225" s="266" t="s">
        <v>615</v>
      </c>
      <c r="R225" s="267" t="s">
        <v>616</v>
      </c>
      <c r="S225" s="266" t="s">
        <v>29</v>
      </c>
      <c r="T225" s="266">
        <v>8</v>
      </c>
      <c r="U225" s="266">
        <v>1000</v>
      </c>
      <c r="V225" s="266" t="s">
        <v>31</v>
      </c>
      <c r="W225" s="266" t="s">
        <v>32</v>
      </c>
      <c r="X225" s="266"/>
      <c r="Y225" s="266" t="s">
        <v>7</v>
      </c>
      <c r="AA225" s="244" t="s">
        <v>595</v>
      </c>
      <c r="AB225" s="244" t="s">
        <v>594</v>
      </c>
      <c r="AC225" s="244" t="s">
        <v>29</v>
      </c>
      <c r="AD225" s="244">
        <v>8</v>
      </c>
      <c r="AE225" s="244">
        <v>1000</v>
      </c>
      <c r="AF225" s="244" t="s">
        <v>31</v>
      </c>
    </row>
    <row r="226" spans="1:32" ht="19.5" thickBot="1">
      <c r="A226" s="244" t="s">
        <v>833</v>
      </c>
      <c r="B226" s="244">
        <v>11</v>
      </c>
      <c r="C226" s="244" t="s">
        <v>602</v>
      </c>
      <c r="D226" s="244" t="s">
        <v>88</v>
      </c>
      <c r="E226" s="244">
        <v>144</v>
      </c>
      <c r="F226" s="244">
        <v>1068</v>
      </c>
      <c r="G226" s="244" t="s">
        <v>7</v>
      </c>
      <c r="H226" s="244" t="s">
        <v>7736</v>
      </c>
      <c r="I226" s="265" t="str">
        <f t="shared" si="22"/>
        <v>42B</v>
      </c>
      <c r="J226" s="244" t="str">
        <f t="shared" si="23"/>
        <v>EHV1S97</v>
      </c>
      <c r="K226" s="244" t="str">
        <f t="shared" si="24"/>
        <v>1</v>
      </c>
      <c r="L226" s="244">
        <f t="shared" si="25"/>
        <v>8</v>
      </c>
      <c r="M226" s="244">
        <f t="shared" si="26"/>
        <v>1000</v>
      </c>
      <c r="N226" s="244" t="str">
        <f t="shared" si="27"/>
        <v>0</v>
      </c>
      <c r="P226" s="244">
        <f t="shared" si="21"/>
        <v>1</v>
      </c>
      <c r="Q226" s="266" t="s">
        <v>619</v>
      </c>
      <c r="R226" s="267" t="s">
        <v>620</v>
      </c>
      <c r="S226" s="266" t="s">
        <v>29</v>
      </c>
      <c r="T226" s="266">
        <v>8</v>
      </c>
      <c r="U226" s="266">
        <v>1000</v>
      </c>
      <c r="V226" s="266" t="s">
        <v>31</v>
      </c>
      <c r="W226" s="266" t="s">
        <v>32</v>
      </c>
      <c r="X226" s="266"/>
      <c r="Y226" s="266" t="s">
        <v>7</v>
      </c>
      <c r="AA226" s="244" t="s">
        <v>599</v>
      </c>
      <c r="AB226" s="244" t="s">
        <v>598</v>
      </c>
      <c r="AC226" s="244" t="s">
        <v>29</v>
      </c>
      <c r="AD226" s="244">
        <v>8</v>
      </c>
      <c r="AE226" s="244">
        <v>1000</v>
      </c>
      <c r="AF226" s="244" t="s">
        <v>31</v>
      </c>
    </row>
    <row r="227" spans="1:32" ht="19.5" thickBot="1">
      <c r="A227" s="244" t="s">
        <v>938</v>
      </c>
      <c r="B227" s="244">
        <v>113</v>
      </c>
      <c r="C227" s="244" t="s">
        <v>611</v>
      </c>
      <c r="D227" s="244" t="s">
        <v>7560</v>
      </c>
      <c r="E227" s="244">
        <v>0</v>
      </c>
      <c r="F227" s="244">
        <v>1071</v>
      </c>
      <c r="G227" s="244" t="s">
        <v>7</v>
      </c>
      <c r="H227" s="244" t="s">
        <v>7737</v>
      </c>
      <c r="I227" s="265" t="str">
        <f t="shared" si="22"/>
        <v>42C</v>
      </c>
      <c r="J227" s="244" t="str">
        <f t="shared" si="23"/>
        <v>TPM1S12</v>
      </c>
      <c r="K227" s="244" t="str">
        <f t="shared" si="24"/>
        <v>1</v>
      </c>
      <c r="L227" s="244">
        <f t="shared" si="25"/>
        <v>8</v>
      </c>
      <c r="M227" s="244">
        <f t="shared" si="26"/>
        <v>1000</v>
      </c>
      <c r="N227" s="244" t="str">
        <f t="shared" si="27"/>
        <v>0</v>
      </c>
      <c r="P227" s="244">
        <f t="shared" si="21"/>
        <v>1</v>
      </c>
      <c r="Q227" s="266" t="s">
        <v>618</v>
      </c>
      <c r="R227" s="267" t="s">
        <v>617</v>
      </c>
      <c r="S227" s="266" t="s">
        <v>29</v>
      </c>
      <c r="T227" s="266">
        <v>64</v>
      </c>
      <c r="U227" s="266">
        <v>2000</v>
      </c>
      <c r="V227" s="266" t="s">
        <v>31</v>
      </c>
      <c r="W227" s="266" t="s">
        <v>32</v>
      </c>
      <c r="X227" s="266"/>
      <c r="Y227" s="266" t="s">
        <v>7</v>
      </c>
      <c r="AA227" s="244" t="s">
        <v>604</v>
      </c>
      <c r="AB227" s="244" t="s">
        <v>603</v>
      </c>
      <c r="AC227" s="244" t="s">
        <v>29</v>
      </c>
      <c r="AD227" s="244">
        <v>8</v>
      </c>
      <c r="AE227" s="244">
        <v>1000</v>
      </c>
      <c r="AF227" s="244" t="s">
        <v>31</v>
      </c>
    </row>
    <row r="228" spans="1:32" ht="19.5" thickBot="1">
      <c r="A228" s="244" t="s">
        <v>7</v>
      </c>
      <c r="B228" s="244" t="s">
        <v>7</v>
      </c>
      <c r="C228" s="244" t="s">
        <v>614</v>
      </c>
      <c r="D228" s="244" t="s">
        <v>7560</v>
      </c>
      <c r="E228" s="244">
        <v>0</v>
      </c>
      <c r="F228" s="244">
        <v>1072</v>
      </c>
      <c r="G228" s="244" t="s">
        <v>7</v>
      </c>
      <c r="H228" s="244" t="s">
        <v>614</v>
      </c>
      <c r="I228" s="265" t="str">
        <f t="shared" si="22"/>
        <v>43C</v>
      </c>
      <c r="J228" s="244" t="str">
        <f t="shared" si="23"/>
        <v>BDC1SJ8</v>
      </c>
      <c r="K228" s="244" t="str">
        <f t="shared" si="24"/>
        <v>1</v>
      </c>
      <c r="L228" s="244">
        <f t="shared" si="25"/>
        <v>64</v>
      </c>
      <c r="M228" s="244">
        <f t="shared" si="26"/>
        <v>2000</v>
      </c>
      <c r="N228" s="244" t="str">
        <f t="shared" si="27"/>
        <v>0</v>
      </c>
      <c r="P228" s="244">
        <f t="shared" si="21"/>
        <v>1</v>
      </c>
      <c r="Q228" s="266" t="s">
        <v>624</v>
      </c>
      <c r="R228" s="267" t="s">
        <v>625</v>
      </c>
      <c r="S228" s="266" t="s">
        <v>29</v>
      </c>
      <c r="T228" s="266">
        <v>64</v>
      </c>
      <c r="U228" s="266">
        <v>1000</v>
      </c>
      <c r="V228" s="266" t="s">
        <v>31</v>
      </c>
      <c r="W228" s="266" t="s">
        <v>32</v>
      </c>
      <c r="X228" s="266"/>
      <c r="Y228" s="266" t="s">
        <v>7</v>
      </c>
      <c r="AA228" s="244" t="s">
        <v>617</v>
      </c>
      <c r="AB228" s="244" t="s">
        <v>618</v>
      </c>
      <c r="AC228" s="244" t="s">
        <v>29</v>
      </c>
      <c r="AD228" s="244">
        <v>64</v>
      </c>
      <c r="AE228" s="244">
        <v>2000</v>
      </c>
      <c r="AF228" s="244" t="s">
        <v>31</v>
      </c>
    </row>
    <row r="229" spans="1:32" ht="19.5" thickBot="1">
      <c r="A229" s="244" t="s">
        <v>7</v>
      </c>
      <c r="B229" s="244" t="s">
        <v>7</v>
      </c>
      <c r="C229" s="244" t="s">
        <v>614</v>
      </c>
      <c r="D229" s="244" t="s">
        <v>44</v>
      </c>
      <c r="E229" s="244">
        <v>2</v>
      </c>
      <c r="F229" s="244">
        <v>1072</v>
      </c>
      <c r="G229" s="244" t="s">
        <v>7</v>
      </c>
      <c r="H229" s="244" t="s">
        <v>7738</v>
      </c>
      <c r="I229" s="265" t="str">
        <f t="shared" si="22"/>
        <v>4AC</v>
      </c>
      <c r="J229" s="244" t="str">
        <f t="shared" si="23"/>
        <v>ABG1D50</v>
      </c>
      <c r="K229" s="244" t="str">
        <f t="shared" si="24"/>
        <v>1</v>
      </c>
      <c r="L229" s="244">
        <f t="shared" si="25"/>
        <v>8</v>
      </c>
      <c r="M229" s="244">
        <f t="shared" si="26"/>
        <v>500</v>
      </c>
      <c r="N229" s="244" t="str">
        <f t="shared" si="27"/>
        <v>0</v>
      </c>
      <c r="P229" s="244">
        <f t="shared" si="21"/>
        <v>1</v>
      </c>
      <c r="Q229" s="266" t="s">
        <v>627</v>
      </c>
      <c r="R229" s="267" t="s">
        <v>628</v>
      </c>
      <c r="S229" s="266" t="s">
        <v>29</v>
      </c>
      <c r="T229" s="266">
        <v>64</v>
      </c>
      <c r="U229" s="266">
        <v>1000</v>
      </c>
      <c r="V229" s="266" t="s">
        <v>31</v>
      </c>
      <c r="W229" s="266" t="s">
        <v>32</v>
      </c>
      <c r="X229" s="266"/>
      <c r="Y229" s="266" t="s">
        <v>7</v>
      </c>
      <c r="AA229" s="244" t="s">
        <v>621</v>
      </c>
      <c r="AB229" s="244" t="s">
        <v>622</v>
      </c>
      <c r="AC229" s="244" t="s">
        <v>29</v>
      </c>
      <c r="AD229" s="244">
        <v>8</v>
      </c>
      <c r="AE229" s="244">
        <v>500</v>
      </c>
      <c r="AF229" s="244" t="s">
        <v>31</v>
      </c>
    </row>
    <row r="230" spans="1:32" ht="19.5" thickBot="1">
      <c r="A230" s="244" t="s">
        <v>7</v>
      </c>
      <c r="B230" s="244" t="s">
        <v>7</v>
      </c>
      <c r="C230" s="244" t="s">
        <v>614</v>
      </c>
      <c r="D230" s="244" t="s">
        <v>36</v>
      </c>
      <c r="E230" s="244">
        <v>256</v>
      </c>
      <c r="F230" s="244">
        <v>1072</v>
      </c>
      <c r="G230" s="244" t="s">
        <v>7</v>
      </c>
      <c r="H230" s="244" t="s">
        <v>7739</v>
      </c>
      <c r="I230" s="265" t="str">
        <f t="shared" si="22"/>
        <v>4BC</v>
      </c>
      <c r="J230" s="244" t="str">
        <f t="shared" si="23"/>
        <v>ABG1D51</v>
      </c>
      <c r="K230" s="244" t="str">
        <f t="shared" si="24"/>
        <v>1</v>
      </c>
      <c r="L230" s="244">
        <f t="shared" si="25"/>
        <v>8</v>
      </c>
      <c r="M230" s="244">
        <f t="shared" si="26"/>
        <v>1000</v>
      </c>
      <c r="N230" s="244" t="str">
        <f t="shared" si="27"/>
        <v>0</v>
      </c>
      <c r="P230" s="244">
        <f t="shared" si="21"/>
        <v>1</v>
      </c>
      <c r="Q230" s="266" t="s">
        <v>629</v>
      </c>
      <c r="R230" s="267" t="s">
        <v>630</v>
      </c>
      <c r="S230" s="266" t="s">
        <v>29</v>
      </c>
      <c r="T230" s="266">
        <v>64</v>
      </c>
      <c r="U230" s="266">
        <v>1000</v>
      </c>
      <c r="V230" s="266" t="s">
        <v>31</v>
      </c>
      <c r="W230" s="266" t="s">
        <v>32</v>
      </c>
      <c r="X230" s="266"/>
      <c r="Y230" s="266" t="s">
        <v>7</v>
      </c>
      <c r="AA230" s="244" t="s">
        <v>592</v>
      </c>
      <c r="AB230" s="244" t="s">
        <v>591</v>
      </c>
      <c r="AC230" s="244" t="s">
        <v>29</v>
      </c>
      <c r="AD230" s="244">
        <v>8</v>
      </c>
      <c r="AE230" s="244">
        <v>1000</v>
      </c>
      <c r="AF230" s="244" t="s">
        <v>31</v>
      </c>
    </row>
    <row r="231" spans="1:32" ht="19.5" thickBot="1">
      <c r="A231" s="244" t="s">
        <v>898</v>
      </c>
      <c r="B231" s="244">
        <v>74</v>
      </c>
      <c r="C231" s="244" t="s">
        <v>614</v>
      </c>
      <c r="D231" s="244" t="s">
        <v>623</v>
      </c>
      <c r="E231" s="244">
        <v>258</v>
      </c>
      <c r="F231" s="244">
        <v>1072</v>
      </c>
      <c r="G231" s="244" t="s">
        <v>7</v>
      </c>
      <c r="H231" s="244" t="s">
        <v>7740</v>
      </c>
      <c r="I231" s="265" t="str">
        <f t="shared" si="22"/>
        <v>42F</v>
      </c>
      <c r="J231" s="244" t="str">
        <f t="shared" si="23"/>
        <v>EHV1S26</v>
      </c>
      <c r="K231" s="244" t="str">
        <f t="shared" si="24"/>
        <v>1</v>
      </c>
      <c r="L231" s="244">
        <f t="shared" si="25"/>
        <v>8</v>
      </c>
      <c r="M231" s="244">
        <f t="shared" si="26"/>
        <v>1000</v>
      </c>
      <c r="N231" s="244" t="str">
        <f t="shared" si="27"/>
        <v>0</v>
      </c>
      <c r="P231" s="244">
        <f t="shared" si="21"/>
        <v>1</v>
      </c>
      <c r="Q231" s="266" t="s">
        <v>631</v>
      </c>
      <c r="R231" s="267" t="s">
        <v>632</v>
      </c>
      <c r="S231" s="266" t="s">
        <v>29</v>
      </c>
      <c r="T231" s="266">
        <v>64</v>
      </c>
      <c r="U231" s="266">
        <v>2000</v>
      </c>
      <c r="V231" s="266" t="s">
        <v>31</v>
      </c>
      <c r="W231" s="266" t="s">
        <v>32</v>
      </c>
      <c r="X231" s="266"/>
      <c r="Y231" s="266" t="s">
        <v>7</v>
      </c>
      <c r="AA231" s="244" t="s">
        <v>606</v>
      </c>
      <c r="AB231" s="244" t="s">
        <v>605</v>
      </c>
      <c r="AC231" s="244" t="s">
        <v>29</v>
      </c>
      <c r="AD231" s="244">
        <v>8</v>
      </c>
      <c r="AE231" s="244">
        <v>1000</v>
      </c>
      <c r="AF231" s="244" t="s">
        <v>31</v>
      </c>
    </row>
    <row r="232" spans="1:32" ht="19.5" thickBot="1">
      <c r="A232" s="244" t="s">
        <v>7</v>
      </c>
      <c r="B232" s="244" t="s">
        <v>7</v>
      </c>
      <c r="C232" s="244" t="s">
        <v>626</v>
      </c>
      <c r="D232" s="244" t="s">
        <v>7560</v>
      </c>
      <c r="E232" s="244">
        <v>0</v>
      </c>
      <c r="F232" s="244">
        <v>1080</v>
      </c>
      <c r="G232" s="244" t="s">
        <v>7</v>
      </c>
      <c r="H232" s="244" t="s">
        <v>626</v>
      </c>
      <c r="I232" s="265" t="str">
        <f t="shared" si="22"/>
        <v>430</v>
      </c>
      <c r="J232" s="244" t="str">
        <f t="shared" si="23"/>
        <v>BDC1SF1</v>
      </c>
      <c r="K232" s="244" t="str">
        <f t="shared" si="24"/>
        <v>1</v>
      </c>
      <c r="L232" s="244">
        <f t="shared" si="25"/>
        <v>64</v>
      </c>
      <c r="M232" s="244">
        <f t="shared" si="26"/>
        <v>1000</v>
      </c>
      <c r="N232" s="244" t="str">
        <f t="shared" si="27"/>
        <v>0</v>
      </c>
      <c r="P232" s="244">
        <f t="shared" si="21"/>
        <v>1</v>
      </c>
      <c r="Q232" s="266" t="s">
        <v>636</v>
      </c>
      <c r="R232" s="267" t="s">
        <v>637</v>
      </c>
      <c r="S232" s="266" t="s">
        <v>29</v>
      </c>
      <c r="T232" s="266">
        <v>8</v>
      </c>
      <c r="U232" s="266">
        <v>1000</v>
      </c>
      <c r="V232" s="266" t="s">
        <v>31</v>
      </c>
      <c r="W232" s="266" t="s">
        <v>32</v>
      </c>
      <c r="X232" s="266"/>
      <c r="Y232" s="266" t="s">
        <v>7</v>
      </c>
      <c r="AA232" s="244" t="s">
        <v>608</v>
      </c>
      <c r="AB232" s="244" t="s">
        <v>607</v>
      </c>
      <c r="AC232" s="244" t="s">
        <v>29</v>
      </c>
      <c r="AD232" s="244">
        <v>64</v>
      </c>
      <c r="AE232" s="244">
        <v>1000</v>
      </c>
      <c r="AF232" s="244" t="s">
        <v>31</v>
      </c>
    </row>
    <row r="233" spans="1:32" ht="19.5" thickBot="1">
      <c r="A233" s="244" t="s">
        <v>7</v>
      </c>
      <c r="B233" s="244" t="s">
        <v>7</v>
      </c>
      <c r="C233" s="244" t="s">
        <v>626</v>
      </c>
      <c r="D233" s="244" t="s">
        <v>312</v>
      </c>
      <c r="E233" s="244">
        <v>1</v>
      </c>
      <c r="F233" s="244">
        <v>1080</v>
      </c>
      <c r="G233" s="244" t="s">
        <v>7</v>
      </c>
      <c r="H233" s="244" t="s">
        <v>7741</v>
      </c>
      <c r="I233" s="265" t="str">
        <f t="shared" si="22"/>
        <v>432</v>
      </c>
      <c r="J233" s="244" t="str">
        <f t="shared" si="23"/>
        <v>PLG1S06</v>
      </c>
      <c r="K233" s="244" t="str">
        <f t="shared" si="24"/>
        <v>1</v>
      </c>
      <c r="L233" s="244">
        <f t="shared" si="25"/>
        <v>8</v>
      </c>
      <c r="M233" s="244">
        <f t="shared" si="26"/>
        <v>1000</v>
      </c>
      <c r="N233" s="244" t="str">
        <f t="shared" si="27"/>
        <v>0</v>
      </c>
      <c r="P233" s="244">
        <f t="shared" si="21"/>
        <v>1</v>
      </c>
      <c r="Q233" s="266" t="s">
        <v>641</v>
      </c>
      <c r="R233" s="267" t="s">
        <v>642</v>
      </c>
      <c r="S233" s="266" t="s">
        <v>29</v>
      </c>
      <c r="T233" s="266">
        <v>8</v>
      </c>
      <c r="U233" s="266">
        <v>1000</v>
      </c>
      <c r="V233" s="266" t="s">
        <v>31</v>
      </c>
      <c r="W233" s="266" t="s">
        <v>32</v>
      </c>
      <c r="X233" s="266"/>
      <c r="Y233" s="266" t="s">
        <v>7</v>
      </c>
      <c r="AA233" s="244" t="s">
        <v>610</v>
      </c>
      <c r="AB233" s="244" t="s">
        <v>609</v>
      </c>
      <c r="AC233" s="244" t="s">
        <v>29</v>
      </c>
      <c r="AD233" s="244">
        <v>8</v>
      </c>
      <c r="AE233" s="244">
        <v>1000</v>
      </c>
      <c r="AF233" s="244" t="s">
        <v>31</v>
      </c>
    </row>
    <row r="234" spans="1:32" ht="19.5" thickBot="1">
      <c r="A234" s="244" t="s">
        <v>7</v>
      </c>
      <c r="B234" s="244" t="s">
        <v>7</v>
      </c>
      <c r="C234" s="244" t="s">
        <v>626</v>
      </c>
      <c r="D234" s="244" t="s">
        <v>71</v>
      </c>
      <c r="E234" s="244">
        <v>128</v>
      </c>
      <c r="F234" s="244">
        <v>1080</v>
      </c>
      <c r="G234" s="244" t="s">
        <v>7</v>
      </c>
      <c r="H234" s="244" t="s">
        <v>7742</v>
      </c>
      <c r="I234" s="265" t="str">
        <f t="shared" si="22"/>
        <v>530</v>
      </c>
      <c r="J234" s="244" t="str">
        <f t="shared" si="23"/>
        <v>BDC1SG8</v>
      </c>
      <c r="K234" s="244" t="str">
        <f t="shared" si="24"/>
        <v>1</v>
      </c>
      <c r="L234" s="244">
        <f t="shared" si="25"/>
        <v>64</v>
      </c>
      <c r="M234" s="244">
        <f t="shared" si="26"/>
        <v>1000</v>
      </c>
      <c r="N234" s="244" t="str">
        <f t="shared" si="27"/>
        <v>0</v>
      </c>
      <c r="P234" s="244">
        <f t="shared" si="21"/>
        <v>1</v>
      </c>
      <c r="Q234" s="266" t="s">
        <v>644</v>
      </c>
      <c r="R234" s="267" t="s">
        <v>645</v>
      </c>
      <c r="S234" s="266" t="s">
        <v>29</v>
      </c>
      <c r="T234" s="266">
        <v>64</v>
      </c>
      <c r="U234" s="266">
        <v>2000</v>
      </c>
      <c r="V234" s="266" t="s">
        <v>31</v>
      </c>
      <c r="W234" s="266" t="s">
        <v>32</v>
      </c>
      <c r="X234" s="266"/>
      <c r="Y234" s="266" t="s">
        <v>7</v>
      </c>
      <c r="AA234" s="244" t="s">
        <v>633</v>
      </c>
      <c r="AB234" s="244" t="s">
        <v>634</v>
      </c>
      <c r="AC234" s="244" t="s">
        <v>29</v>
      </c>
      <c r="AD234" s="244">
        <v>64</v>
      </c>
      <c r="AE234" s="244">
        <v>1000</v>
      </c>
      <c r="AF234" s="244" t="s">
        <v>31</v>
      </c>
    </row>
    <row r="235" spans="1:32" ht="19.5" thickBot="1">
      <c r="A235" s="244" t="s">
        <v>835</v>
      </c>
      <c r="B235" s="244">
        <v>13</v>
      </c>
      <c r="C235" s="244" t="s">
        <v>626</v>
      </c>
      <c r="D235" s="244" t="s">
        <v>635</v>
      </c>
      <c r="E235" s="244">
        <v>129</v>
      </c>
      <c r="F235" s="244">
        <v>1080</v>
      </c>
      <c r="G235" s="244" t="s">
        <v>7</v>
      </c>
      <c r="H235" s="244" t="s">
        <v>7743</v>
      </c>
      <c r="I235" s="265" t="str">
        <f t="shared" si="22"/>
        <v>532</v>
      </c>
      <c r="J235" s="244" t="str">
        <f t="shared" si="23"/>
        <v>IDT1S15</v>
      </c>
      <c r="K235" s="244" t="str">
        <f t="shared" si="24"/>
        <v>1</v>
      </c>
      <c r="L235" s="244">
        <f t="shared" si="25"/>
        <v>8</v>
      </c>
      <c r="M235" s="244" t="str">
        <f t="shared" si="26"/>
        <v>-</v>
      </c>
      <c r="N235" s="244" t="str">
        <f t="shared" si="27"/>
        <v>0</v>
      </c>
      <c r="P235" s="244">
        <f t="shared" si="21"/>
        <v>1</v>
      </c>
      <c r="Q235" s="266" t="s">
        <v>646</v>
      </c>
      <c r="R235" s="267" t="s">
        <v>647</v>
      </c>
      <c r="S235" s="266" t="s">
        <v>29</v>
      </c>
      <c r="T235" s="266">
        <v>32</v>
      </c>
      <c r="U235" s="266">
        <v>500</v>
      </c>
      <c r="V235" s="266" t="s">
        <v>31</v>
      </c>
      <c r="W235" s="266" t="s">
        <v>32</v>
      </c>
      <c r="X235" s="266"/>
      <c r="Y235" s="266" t="s">
        <v>7</v>
      </c>
      <c r="AA235" s="244" t="s">
        <v>638</v>
      </c>
      <c r="AB235" s="244" t="s">
        <v>639</v>
      </c>
      <c r="AC235" s="244" t="s">
        <v>29</v>
      </c>
      <c r="AD235" s="244">
        <v>8</v>
      </c>
      <c r="AE235" s="244" t="s">
        <v>30</v>
      </c>
      <c r="AF235" s="244" t="s">
        <v>31</v>
      </c>
    </row>
    <row r="236" spans="1:32" ht="19.5" thickBot="1">
      <c r="A236" s="244" t="s">
        <v>953</v>
      </c>
      <c r="B236" s="244">
        <v>128</v>
      </c>
      <c r="C236" s="244" t="s">
        <v>640</v>
      </c>
      <c r="D236" s="244" t="s">
        <v>7560</v>
      </c>
      <c r="E236" s="244">
        <v>0</v>
      </c>
      <c r="F236" s="244">
        <v>1083</v>
      </c>
      <c r="G236" s="244" t="s">
        <v>7</v>
      </c>
      <c r="H236" s="244" t="s">
        <v>7744</v>
      </c>
      <c r="I236" s="265" t="str">
        <f t="shared" si="22"/>
        <v>438</v>
      </c>
      <c r="J236" s="244" t="str">
        <f t="shared" si="23"/>
        <v>DCM1S01</v>
      </c>
      <c r="K236" s="244" t="str">
        <f t="shared" si="24"/>
        <v>1</v>
      </c>
      <c r="L236" s="244">
        <f t="shared" si="25"/>
        <v>8</v>
      </c>
      <c r="M236" s="244">
        <f t="shared" si="26"/>
        <v>1000</v>
      </c>
      <c r="N236" s="244" t="str">
        <f t="shared" si="27"/>
        <v>0</v>
      </c>
      <c r="P236" s="244">
        <f t="shared" si="21"/>
        <v>1</v>
      </c>
      <c r="Q236" s="268" t="s">
        <v>827</v>
      </c>
      <c r="R236" s="269" t="s">
        <v>826</v>
      </c>
      <c r="S236" s="268" t="s">
        <v>29</v>
      </c>
      <c r="T236" s="268">
        <v>8</v>
      </c>
      <c r="U236" s="268">
        <v>500</v>
      </c>
      <c r="V236" s="268" t="s">
        <v>31</v>
      </c>
      <c r="W236" s="266" t="s">
        <v>32</v>
      </c>
      <c r="X236" s="266"/>
      <c r="Y236" s="266" t="s">
        <v>7</v>
      </c>
      <c r="AA236" s="244" t="s">
        <v>613</v>
      </c>
      <c r="AB236" s="244" t="s">
        <v>612</v>
      </c>
      <c r="AC236" s="244" t="s">
        <v>29</v>
      </c>
      <c r="AD236" s="244">
        <v>8</v>
      </c>
      <c r="AE236" s="244">
        <v>1000</v>
      </c>
      <c r="AF236" s="244" t="s">
        <v>31</v>
      </c>
    </row>
    <row r="237" spans="1:32" ht="19.5" thickBot="1">
      <c r="A237" s="244" t="s">
        <v>7</v>
      </c>
      <c r="B237" s="244" t="s">
        <v>7</v>
      </c>
      <c r="C237" s="244" t="s">
        <v>643</v>
      </c>
      <c r="D237" s="244" t="s">
        <v>7560</v>
      </c>
      <c r="E237" s="244">
        <v>0</v>
      </c>
      <c r="F237" s="244">
        <v>1152</v>
      </c>
      <c r="G237" s="244" t="s">
        <v>7</v>
      </c>
      <c r="H237" s="244" t="s">
        <v>643</v>
      </c>
      <c r="I237" s="265" t="str">
        <f t="shared" si="22"/>
        <v>439</v>
      </c>
      <c r="J237" s="244" t="str">
        <f t="shared" si="23"/>
        <v>SCN1S01</v>
      </c>
      <c r="K237" s="244" t="str">
        <f t="shared" si="24"/>
        <v>1</v>
      </c>
      <c r="L237" s="244">
        <f t="shared" si="25"/>
        <v>8</v>
      </c>
      <c r="M237" s="244">
        <f t="shared" si="26"/>
        <v>1000</v>
      </c>
      <c r="N237" s="244" t="str">
        <f t="shared" si="27"/>
        <v>0</v>
      </c>
      <c r="P237" s="244">
        <f t="shared" si="21"/>
        <v>1</v>
      </c>
      <c r="Q237" s="266" t="s">
        <v>622</v>
      </c>
      <c r="R237" s="267" t="s">
        <v>621</v>
      </c>
      <c r="S237" s="266" t="s">
        <v>29</v>
      </c>
      <c r="T237" s="266">
        <v>8</v>
      </c>
      <c r="U237" s="266">
        <v>500</v>
      </c>
      <c r="V237" s="266" t="s">
        <v>31</v>
      </c>
      <c r="W237" s="266" t="s">
        <v>32</v>
      </c>
      <c r="X237" s="266"/>
      <c r="Y237" s="266" t="s">
        <v>7</v>
      </c>
      <c r="AA237" s="244" t="s">
        <v>616</v>
      </c>
      <c r="AB237" s="244" t="s">
        <v>615</v>
      </c>
      <c r="AC237" s="244" t="s">
        <v>29</v>
      </c>
      <c r="AD237" s="244">
        <v>8</v>
      </c>
      <c r="AE237" s="244">
        <v>1000</v>
      </c>
      <c r="AF237" s="244" t="s">
        <v>31</v>
      </c>
    </row>
    <row r="238" spans="1:32" ht="19.5" thickBot="1">
      <c r="A238" s="244" t="s">
        <v>899</v>
      </c>
      <c r="B238" s="244">
        <v>75</v>
      </c>
      <c r="C238" s="244" t="s">
        <v>643</v>
      </c>
      <c r="D238" s="244" t="s">
        <v>102</v>
      </c>
      <c r="E238" s="244">
        <v>4</v>
      </c>
      <c r="F238" s="244">
        <v>1152</v>
      </c>
      <c r="G238" s="244" t="s">
        <v>7</v>
      </c>
      <c r="H238" s="244" t="s">
        <v>7745</v>
      </c>
      <c r="I238" s="265" t="str">
        <f t="shared" si="22"/>
        <v>4B8</v>
      </c>
      <c r="J238" s="244" t="str">
        <f t="shared" si="23"/>
        <v>ACN1D50</v>
      </c>
      <c r="K238" s="244" t="str">
        <f t="shared" si="24"/>
        <v>1</v>
      </c>
      <c r="L238" s="244">
        <f t="shared" si="25"/>
        <v>32</v>
      </c>
      <c r="M238" s="244">
        <f t="shared" si="26"/>
        <v>500</v>
      </c>
      <c r="N238" s="244" t="str">
        <f t="shared" si="27"/>
        <v>0</v>
      </c>
      <c r="P238" s="244">
        <f t="shared" si="21"/>
        <v>1</v>
      </c>
      <c r="Q238" s="266" t="s">
        <v>649</v>
      </c>
      <c r="R238" s="267" t="s">
        <v>648</v>
      </c>
      <c r="S238" s="266" t="s">
        <v>29</v>
      </c>
      <c r="T238" s="266">
        <v>32</v>
      </c>
      <c r="U238" s="266">
        <v>500</v>
      </c>
      <c r="V238" s="266" t="s">
        <v>31</v>
      </c>
      <c r="W238" s="266" t="s">
        <v>32</v>
      </c>
      <c r="X238" s="266"/>
      <c r="Y238" s="266" t="s">
        <v>7</v>
      </c>
      <c r="AA238" s="244" t="s">
        <v>648</v>
      </c>
      <c r="AB238" s="244" t="s">
        <v>649</v>
      </c>
      <c r="AC238" s="244" t="s">
        <v>29</v>
      </c>
      <c r="AD238" s="244">
        <v>32</v>
      </c>
      <c r="AE238" s="244">
        <v>500</v>
      </c>
      <c r="AF238" s="244" t="s">
        <v>31</v>
      </c>
    </row>
    <row r="239" spans="1:32" ht="19.5" thickBot="1">
      <c r="A239" s="244" t="s">
        <v>7</v>
      </c>
      <c r="B239" s="244" t="s">
        <v>7</v>
      </c>
      <c r="C239" s="244" t="s">
        <v>650</v>
      </c>
      <c r="D239" s="244" t="s">
        <v>7560</v>
      </c>
      <c r="E239" s="244">
        <v>0</v>
      </c>
      <c r="F239" s="244">
        <v>1157</v>
      </c>
      <c r="G239" s="244" t="s">
        <v>7</v>
      </c>
      <c r="H239" s="244" t="s">
        <v>650</v>
      </c>
      <c r="I239" s="265" t="str">
        <f t="shared" si="22"/>
        <v>4B9</v>
      </c>
      <c r="J239" s="244" t="str">
        <f t="shared" si="23"/>
        <v>BDC1D00</v>
      </c>
      <c r="K239" s="244" t="str">
        <f t="shared" si="24"/>
        <v>1</v>
      </c>
      <c r="L239" s="244">
        <f t="shared" si="25"/>
        <v>32</v>
      </c>
      <c r="M239" s="244">
        <f t="shared" si="26"/>
        <v>500</v>
      </c>
      <c r="N239" s="244" t="str">
        <f t="shared" si="27"/>
        <v>0</v>
      </c>
      <c r="P239" s="244">
        <f t="shared" si="21"/>
        <v>1</v>
      </c>
      <c r="Q239" s="266" t="s">
        <v>652</v>
      </c>
      <c r="R239" s="267" t="s">
        <v>651</v>
      </c>
      <c r="S239" s="266" t="s">
        <v>29</v>
      </c>
      <c r="T239" s="266">
        <v>32</v>
      </c>
      <c r="U239" s="266">
        <v>500</v>
      </c>
      <c r="V239" s="266" t="s">
        <v>31</v>
      </c>
      <c r="W239" s="266" t="s">
        <v>32</v>
      </c>
      <c r="X239" s="266"/>
      <c r="Y239" s="266" t="s">
        <v>7</v>
      </c>
      <c r="AA239" s="244" t="s">
        <v>651</v>
      </c>
      <c r="AB239" s="244" t="s">
        <v>652</v>
      </c>
      <c r="AC239" s="244" t="s">
        <v>29</v>
      </c>
      <c r="AD239" s="244">
        <v>32</v>
      </c>
      <c r="AE239" s="244">
        <v>500</v>
      </c>
      <c r="AF239" s="244" t="s">
        <v>31</v>
      </c>
    </row>
    <row r="240" spans="1:32" ht="19.5" thickBot="1">
      <c r="A240" s="244" t="s">
        <v>855</v>
      </c>
      <c r="B240" s="244">
        <v>32</v>
      </c>
      <c r="C240" s="244" t="s">
        <v>650</v>
      </c>
      <c r="D240" s="244" t="s">
        <v>273</v>
      </c>
      <c r="E240" s="244">
        <v>32</v>
      </c>
      <c r="F240" s="244">
        <v>1157</v>
      </c>
      <c r="G240" s="244" t="s">
        <v>7</v>
      </c>
      <c r="H240" s="244" t="s">
        <v>7746</v>
      </c>
      <c r="I240" s="265" t="str">
        <f t="shared" si="22"/>
        <v>43B</v>
      </c>
      <c r="J240" s="244" t="str">
        <f t="shared" si="23"/>
        <v>IPA1S05</v>
      </c>
      <c r="K240" s="244" t="str">
        <f t="shared" si="24"/>
        <v>1</v>
      </c>
      <c r="L240" s="244">
        <f t="shared" si="25"/>
        <v>8</v>
      </c>
      <c r="M240" s="244">
        <f t="shared" si="26"/>
        <v>1000</v>
      </c>
      <c r="N240" s="244" t="str">
        <f t="shared" si="27"/>
        <v>0</v>
      </c>
      <c r="P240" s="244">
        <f t="shared" si="21"/>
        <v>1</v>
      </c>
      <c r="Q240" s="266" t="s">
        <v>655</v>
      </c>
      <c r="R240" s="267" t="s">
        <v>656</v>
      </c>
      <c r="S240" s="266" t="s">
        <v>29</v>
      </c>
      <c r="T240" s="266">
        <v>32</v>
      </c>
      <c r="U240" s="266">
        <v>500</v>
      </c>
      <c r="V240" s="266" t="s">
        <v>31</v>
      </c>
      <c r="W240" s="266" t="s">
        <v>32</v>
      </c>
      <c r="X240" s="266"/>
      <c r="Y240" s="266" t="s">
        <v>7</v>
      </c>
      <c r="AA240" s="244" t="s">
        <v>620</v>
      </c>
      <c r="AB240" s="244" t="s">
        <v>619</v>
      </c>
      <c r="AC240" s="244" t="s">
        <v>29</v>
      </c>
      <c r="AD240" s="244">
        <v>8</v>
      </c>
      <c r="AE240" s="244">
        <v>1000</v>
      </c>
      <c r="AF240" s="244" t="s">
        <v>31</v>
      </c>
    </row>
    <row r="241" spans="1:32" ht="19.5" thickBot="1">
      <c r="A241" s="244" t="s">
        <v>7</v>
      </c>
      <c r="B241" s="244" t="s">
        <v>7</v>
      </c>
      <c r="C241" s="244" t="s">
        <v>653</v>
      </c>
      <c r="D241" s="244" t="s">
        <v>7560</v>
      </c>
      <c r="E241" s="244">
        <v>0</v>
      </c>
      <c r="F241" s="244">
        <v>1169</v>
      </c>
      <c r="G241" s="244" t="s">
        <v>7</v>
      </c>
      <c r="H241" s="244" t="s">
        <v>653</v>
      </c>
      <c r="I241" s="265" t="str">
        <f t="shared" si="22"/>
        <v>480</v>
      </c>
      <c r="J241" s="244" t="str">
        <f t="shared" si="23"/>
        <v>BDC1SF2</v>
      </c>
      <c r="K241" s="244" t="str">
        <f t="shared" si="24"/>
        <v>1</v>
      </c>
      <c r="L241" s="244">
        <f t="shared" si="25"/>
        <v>64</v>
      </c>
      <c r="M241" s="244">
        <f t="shared" si="26"/>
        <v>1000</v>
      </c>
      <c r="N241" s="244" t="str">
        <f t="shared" si="27"/>
        <v>0</v>
      </c>
      <c r="P241" s="244">
        <f t="shared" si="21"/>
        <v>1</v>
      </c>
      <c r="Q241" s="266" t="s">
        <v>591</v>
      </c>
      <c r="R241" s="267" t="s">
        <v>592</v>
      </c>
      <c r="S241" s="266" t="s">
        <v>29</v>
      </c>
      <c r="T241" s="266">
        <v>8</v>
      </c>
      <c r="U241" s="266">
        <v>1000</v>
      </c>
      <c r="V241" s="266" t="s">
        <v>31</v>
      </c>
      <c r="W241" s="266" t="s">
        <v>32</v>
      </c>
      <c r="X241" s="266"/>
      <c r="Y241" s="266" t="s">
        <v>7</v>
      </c>
      <c r="AA241" s="244" t="s">
        <v>625</v>
      </c>
      <c r="AB241" s="244" t="s">
        <v>624</v>
      </c>
      <c r="AC241" s="244" t="s">
        <v>29</v>
      </c>
      <c r="AD241" s="244">
        <v>64</v>
      </c>
      <c r="AE241" s="244">
        <v>1000</v>
      </c>
      <c r="AF241" s="244" t="s">
        <v>31</v>
      </c>
    </row>
    <row r="242" spans="1:32" ht="19.5" thickBot="1">
      <c r="A242" s="244" t="s">
        <v>900</v>
      </c>
      <c r="B242" s="244">
        <v>76</v>
      </c>
      <c r="C242" s="244" t="s">
        <v>653</v>
      </c>
      <c r="D242" s="244" t="s">
        <v>102</v>
      </c>
      <c r="E242" s="244">
        <v>4</v>
      </c>
      <c r="F242" s="244">
        <v>1169</v>
      </c>
      <c r="G242" s="244" t="s">
        <v>7</v>
      </c>
      <c r="H242" s="244" t="s">
        <v>7747</v>
      </c>
      <c r="I242" s="265" t="str">
        <f t="shared" si="22"/>
        <v>484</v>
      </c>
      <c r="J242" s="244" t="str">
        <f t="shared" si="23"/>
        <v>BDC1SF3</v>
      </c>
      <c r="K242" s="244" t="str">
        <f t="shared" si="24"/>
        <v>1</v>
      </c>
      <c r="L242" s="244">
        <f t="shared" si="25"/>
        <v>64</v>
      </c>
      <c r="M242" s="244">
        <f t="shared" si="26"/>
        <v>1000</v>
      </c>
      <c r="N242" s="244" t="str">
        <f t="shared" si="27"/>
        <v>0</v>
      </c>
      <c r="P242" s="244">
        <f t="shared" si="21"/>
        <v>1</v>
      </c>
      <c r="Q242" s="266" t="s">
        <v>78</v>
      </c>
      <c r="R242" s="267" t="s">
        <v>77</v>
      </c>
      <c r="S242" s="266" t="s">
        <v>29</v>
      </c>
      <c r="T242" s="266">
        <v>32</v>
      </c>
      <c r="U242" s="266">
        <v>2000</v>
      </c>
      <c r="V242" s="266" t="s">
        <v>31</v>
      </c>
      <c r="W242" s="266" t="s">
        <v>32</v>
      </c>
      <c r="X242" s="266"/>
      <c r="Y242" s="266" t="s">
        <v>7</v>
      </c>
      <c r="AA242" s="244" t="s">
        <v>628</v>
      </c>
      <c r="AB242" s="244" t="s">
        <v>627</v>
      </c>
      <c r="AC242" s="244" t="s">
        <v>29</v>
      </c>
      <c r="AD242" s="244">
        <v>64</v>
      </c>
      <c r="AE242" s="244">
        <v>1000</v>
      </c>
      <c r="AF242" s="244" t="s">
        <v>31</v>
      </c>
    </row>
    <row r="243" spans="1:32" ht="19.5" thickBot="1">
      <c r="A243" s="244" t="s">
        <v>7</v>
      </c>
      <c r="B243" s="244" t="s">
        <v>7</v>
      </c>
      <c r="C243" s="244" t="s">
        <v>654</v>
      </c>
      <c r="D243" s="244" t="s">
        <v>7560</v>
      </c>
      <c r="E243" s="244">
        <v>0</v>
      </c>
      <c r="F243" s="244">
        <v>1174</v>
      </c>
      <c r="G243" s="244" t="s">
        <v>7</v>
      </c>
      <c r="H243" s="244" t="s">
        <v>654</v>
      </c>
      <c r="I243" s="265" t="str">
        <f t="shared" si="22"/>
        <v>485</v>
      </c>
      <c r="J243" s="244" t="str">
        <f t="shared" si="23"/>
        <v>BDC1SJ1</v>
      </c>
      <c r="K243" s="244" t="str">
        <f t="shared" si="24"/>
        <v>1</v>
      </c>
      <c r="L243" s="244">
        <f t="shared" si="25"/>
        <v>64</v>
      </c>
      <c r="M243" s="244">
        <f t="shared" si="26"/>
        <v>1000</v>
      </c>
      <c r="N243" s="244" t="str">
        <f t="shared" si="27"/>
        <v>0</v>
      </c>
      <c r="P243" s="244">
        <f t="shared" si="21"/>
        <v>1</v>
      </c>
      <c r="Q243" s="266" t="s">
        <v>658</v>
      </c>
      <c r="R243" s="267" t="s">
        <v>659</v>
      </c>
      <c r="S243" s="266" t="s">
        <v>29</v>
      </c>
      <c r="T243" s="266">
        <v>32</v>
      </c>
      <c r="U243" s="266">
        <v>1000</v>
      </c>
      <c r="V243" s="266" t="s">
        <v>31</v>
      </c>
      <c r="W243" s="266" t="s">
        <v>32</v>
      </c>
      <c r="X243" s="266"/>
      <c r="Y243" s="266" t="s">
        <v>7</v>
      </c>
      <c r="AA243" s="244" t="s">
        <v>630</v>
      </c>
      <c r="AB243" s="244" t="s">
        <v>629</v>
      </c>
      <c r="AC243" s="244" t="s">
        <v>29</v>
      </c>
      <c r="AD243" s="244">
        <v>64</v>
      </c>
      <c r="AE243" s="244">
        <v>1000</v>
      </c>
      <c r="AF243" s="244" t="s">
        <v>31</v>
      </c>
    </row>
    <row r="244" spans="1:32" ht="19.5" thickBot="1">
      <c r="A244" s="244" t="s">
        <v>902</v>
      </c>
      <c r="B244" s="244">
        <v>78</v>
      </c>
      <c r="C244" s="244" t="s">
        <v>654</v>
      </c>
      <c r="D244" s="244" t="s">
        <v>312</v>
      </c>
      <c r="E244" s="244">
        <v>1</v>
      </c>
      <c r="F244" s="244">
        <v>1174</v>
      </c>
      <c r="G244" s="244" t="s">
        <v>7</v>
      </c>
      <c r="H244" s="244" t="s">
        <v>7748</v>
      </c>
      <c r="I244" s="265" t="str">
        <f t="shared" si="22"/>
        <v>4A5</v>
      </c>
      <c r="J244" s="244" t="str">
        <f t="shared" si="23"/>
        <v>BDB1D50</v>
      </c>
      <c r="K244" s="244" t="str">
        <f t="shared" si="24"/>
        <v>1</v>
      </c>
      <c r="L244" s="244">
        <f t="shared" si="25"/>
        <v>8</v>
      </c>
      <c r="M244" s="244">
        <f t="shared" si="26"/>
        <v>500</v>
      </c>
      <c r="N244" s="244" t="str">
        <f t="shared" si="27"/>
        <v>0</v>
      </c>
      <c r="P244" s="244">
        <f t="shared" si="21"/>
        <v>1</v>
      </c>
      <c r="Q244" s="266" t="s">
        <v>661</v>
      </c>
      <c r="R244" s="267" t="s">
        <v>662</v>
      </c>
      <c r="S244" s="266" t="s">
        <v>29</v>
      </c>
      <c r="T244" s="266">
        <v>8</v>
      </c>
      <c r="U244" s="266">
        <v>1000</v>
      </c>
      <c r="V244" s="266" t="s">
        <v>31</v>
      </c>
      <c r="W244" s="266" t="s">
        <v>32</v>
      </c>
      <c r="X244" s="266"/>
      <c r="Y244" s="266" t="s">
        <v>7</v>
      </c>
      <c r="AA244" s="244" t="s">
        <v>826</v>
      </c>
      <c r="AB244" s="244" t="s">
        <v>827</v>
      </c>
      <c r="AC244" s="244" t="s">
        <v>29</v>
      </c>
      <c r="AD244" s="244">
        <v>8</v>
      </c>
      <c r="AE244" s="244">
        <v>500</v>
      </c>
      <c r="AF244" s="244" t="s">
        <v>31</v>
      </c>
    </row>
    <row r="245" spans="1:32" ht="19.5" thickBot="1">
      <c r="A245" s="244" t="s">
        <v>933</v>
      </c>
      <c r="B245" s="244">
        <v>109</v>
      </c>
      <c r="C245" s="244" t="s">
        <v>657</v>
      </c>
      <c r="D245" s="244" t="s">
        <v>7560</v>
      </c>
      <c r="E245" s="244">
        <v>0</v>
      </c>
      <c r="F245" s="244">
        <v>1184</v>
      </c>
      <c r="G245" s="244" t="s">
        <v>7</v>
      </c>
      <c r="H245" s="244" t="s">
        <v>7749</v>
      </c>
      <c r="I245" s="265" t="str">
        <f t="shared" si="22"/>
        <v>491</v>
      </c>
      <c r="J245" s="244" t="str">
        <f t="shared" si="23"/>
        <v>BDC1SF4</v>
      </c>
      <c r="K245" s="244" t="str">
        <f t="shared" si="24"/>
        <v>1</v>
      </c>
      <c r="L245" s="244">
        <f t="shared" si="25"/>
        <v>64</v>
      </c>
      <c r="M245" s="244">
        <f t="shared" si="26"/>
        <v>2000</v>
      </c>
      <c r="N245" s="244" t="str">
        <f t="shared" si="27"/>
        <v>0</v>
      </c>
      <c r="P245" s="244">
        <f t="shared" si="21"/>
        <v>1</v>
      </c>
      <c r="Q245" s="266" t="s">
        <v>664</v>
      </c>
      <c r="R245" s="267" t="s">
        <v>665</v>
      </c>
      <c r="S245" s="266" t="s">
        <v>29</v>
      </c>
      <c r="T245" s="266">
        <v>64</v>
      </c>
      <c r="U245" s="266">
        <v>1000</v>
      </c>
      <c r="V245" s="266" t="s">
        <v>31</v>
      </c>
      <c r="W245" s="266" t="s">
        <v>32</v>
      </c>
      <c r="X245" s="266"/>
      <c r="Y245" s="266" t="s">
        <v>7</v>
      </c>
      <c r="AA245" s="244" t="s">
        <v>632</v>
      </c>
      <c r="AB245" s="244" t="s">
        <v>631</v>
      </c>
      <c r="AC245" s="244" t="s">
        <v>29</v>
      </c>
      <c r="AD245" s="244">
        <v>64</v>
      </c>
      <c r="AE245" s="244">
        <v>2000</v>
      </c>
      <c r="AF245" s="244" t="s">
        <v>31</v>
      </c>
    </row>
    <row r="246" spans="1:32" ht="19.5" thickBot="1">
      <c r="A246" s="244" t="s">
        <v>871</v>
      </c>
      <c r="B246" s="244">
        <v>48</v>
      </c>
      <c r="C246" s="244" t="s">
        <v>660</v>
      </c>
      <c r="D246" s="244" t="s">
        <v>7560</v>
      </c>
      <c r="E246" s="244">
        <v>0</v>
      </c>
      <c r="F246" s="244">
        <v>1210</v>
      </c>
      <c r="G246" s="244" t="s">
        <v>7</v>
      </c>
      <c r="H246" s="244" t="s">
        <v>7750</v>
      </c>
      <c r="I246" s="265" t="str">
        <f t="shared" si="22"/>
        <v>495</v>
      </c>
      <c r="J246" s="244" t="str">
        <f t="shared" si="23"/>
        <v>TPM1S02</v>
      </c>
      <c r="K246" s="244" t="str">
        <f t="shared" si="24"/>
        <v>1</v>
      </c>
      <c r="L246" s="244">
        <f t="shared" si="25"/>
        <v>8</v>
      </c>
      <c r="M246" s="244">
        <f t="shared" si="26"/>
        <v>1000</v>
      </c>
      <c r="N246" s="244" t="str">
        <f t="shared" si="27"/>
        <v>0</v>
      </c>
      <c r="P246" s="244">
        <f t="shared" si="21"/>
        <v>1</v>
      </c>
      <c r="Q246" s="266" t="s">
        <v>666</v>
      </c>
      <c r="R246" s="267" t="s">
        <v>667</v>
      </c>
      <c r="S246" s="266" t="s">
        <v>29</v>
      </c>
      <c r="T246" s="266">
        <v>64</v>
      </c>
      <c r="U246" s="266">
        <v>1000</v>
      </c>
      <c r="V246" s="266" t="s">
        <v>31</v>
      </c>
      <c r="W246" s="266" t="s">
        <v>32</v>
      </c>
      <c r="X246" s="266"/>
      <c r="Y246" s="266" t="s">
        <v>7</v>
      </c>
      <c r="AA246" s="244" t="s">
        <v>637</v>
      </c>
      <c r="AB246" s="244" t="s">
        <v>636</v>
      </c>
      <c r="AC246" s="244" t="s">
        <v>29</v>
      </c>
      <c r="AD246" s="244">
        <v>8</v>
      </c>
      <c r="AE246" s="244">
        <v>1000</v>
      </c>
      <c r="AF246" s="244" t="s">
        <v>31</v>
      </c>
    </row>
    <row r="247" spans="1:32" ht="19.5" thickBot="1">
      <c r="A247" s="244" t="s">
        <v>7</v>
      </c>
      <c r="B247" s="244" t="s">
        <v>7</v>
      </c>
      <c r="C247" s="244" t="s">
        <v>663</v>
      </c>
      <c r="D247" s="244" t="s">
        <v>7560</v>
      </c>
      <c r="E247" s="244">
        <v>0</v>
      </c>
      <c r="F247" s="244">
        <v>1286</v>
      </c>
      <c r="G247" s="244" t="s">
        <v>7</v>
      </c>
      <c r="H247" s="244" t="s">
        <v>663</v>
      </c>
      <c r="I247" s="265" t="str">
        <f t="shared" si="22"/>
        <v>496</v>
      </c>
      <c r="J247" s="244" t="str">
        <f t="shared" si="23"/>
        <v>TPM1S03</v>
      </c>
      <c r="K247" s="244" t="str">
        <f t="shared" si="24"/>
        <v>1</v>
      </c>
      <c r="L247" s="244">
        <f t="shared" si="25"/>
        <v>8</v>
      </c>
      <c r="M247" s="244">
        <f t="shared" si="26"/>
        <v>1000</v>
      </c>
      <c r="N247" s="244" t="str">
        <f t="shared" si="27"/>
        <v>0</v>
      </c>
      <c r="P247" s="244">
        <f t="shared" si="21"/>
        <v>1</v>
      </c>
      <c r="Q247" s="266" t="s">
        <v>669</v>
      </c>
      <c r="R247" s="267" t="s">
        <v>670</v>
      </c>
      <c r="S247" s="266" t="s">
        <v>29</v>
      </c>
      <c r="T247" s="266">
        <v>64</v>
      </c>
      <c r="U247" s="266">
        <v>1000</v>
      </c>
      <c r="V247" s="266" t="s">
        <v>31</v>
      </c>
      <c r="W247" s="266" t="s">
        <v>32</v>
      </c>
      <c r="X247" s="266"/>
      <c r="Y247" s="266" t="s">
        <v>7</v>
      </c>
      <c r="AA247" s="244" t="s">
        <v>642</v>
      </c>
      <c r="AB247" s="244" t="s">
        <v>641</v>
      </c>
      <c r="AC247" s="244" t="s">
        <v>29</v>
      </c>
      <c r="AD247" s="244">
        <v>8</v>
      </c>
      <c r="AE247" s="244">
        <v>1000</v>
      </c>
      <c r="AF247" s="244" t="s">
        <v>31</v>
      </c>
    </row>
    <row r="248" spans="1:32" ht="19.5" thickBot="1">
      <c r="A248" s="244" t="s">
        <v>843</v>
      </c>
      <c r="B248" s="244">
        <v>21</v>
      </c>
      <c r="C248" s="244" t="s">
        <v>663</v>
      </c>
      <c r="D248" s="244" t="s">
        <v>312</v>
      </c>
      <c r="E248" s="244">
        <v>1</v>
      </c>
      <c r="F248" s="244">
        <v>1286</v>
      </c>
      <c r="G248" s="244" t="s">
        <v>7</v>
      </c>
      <c r="H248" s="244" t="s">
        <v>7751</v>
      </c>
      <c r="I248" s="265" t="str">
        <f t="shared" si="22"/>
        <v>497</v>
      </c>
      <c r="J248" s="244" t="str">
        <f t="shared" si="23"/>
        <v>BDC1SF6</v>
      </c>
      <c r="K248" s="244" t="str">
        <f t="shared" si="24"/>
        <v>1</v>
      </c>
      <c r="L248" s="244">
        <f t="shared" si="25"/>
        <v>64</v>
      </c>
      <c r="M248" s="244">
        <f t="shared" si="26"/>
        <v>2000</v>
      </c>
      <c r="N248" s="244" t="str">
        <f t="shared" si="27"/>
        <v>0</v>
      </c>
      <c r="P248" s="244">
        <f t="shared" si="21"/>
        <v>1</v>
      </c>
      <c r="Q248" s="266" t="s">
        <v>565</v>
      </c>
      <c r="R248" s="267" t="s">
        <v>564</v>
      </c>
      <c r="S248" s="266" t="s">
        <v>29</v>
      </c>
      <c r="T248" s="266">
        <v>64</v>
      </c>
      <c r="U248" s="266">
        <v>1000</v>
      </c>
      <c r="V248" s="266" t="s">
        <v>31</v>
      </c>
      <c r="W248" s="266" t="s">
        <v>32</v>
      </c>
      <c r="X248" s="266"/>
      <c r="Y248" s="266" t="s">
        <v>7</v>
      </c>
      <c r="AA248" s="244" t="s">
        <v>645</v>
      </c>
      <c r="AB248" s="244" t="s">
        <v>644</v>
      </c>
      <c r="AC248" s="244" t="s">
        <v>29</v>
      </c>
      <c r="AD248" s="244">
        <v>64</v>
      </c>
      <c r="AE248" s="244">
        <v>2000</v>
      </c>
      <c r="AF248" s="244" t="s">
        <v>31</v>
      </c>
    </row>
    <row r="249" spans="1:32" ht="19.5" thickBot="1">
      <c r="A249" s="244" t="s">
        <v>7</v>
      </c>
      <c r="B249" s="244" t="s">
        <v>7</v>
      </c>
      <c r="C249" s="244" t="s">
        <v>668</v>
      </c>
      <c r="D249" s="244" t="s">
        <v>7560</v>
      </c>
      <c r="E249" s="244">
        <v>0</v>
      </c>
      <c r="F249" s="244">
        <v>1288</v>
      </c>
      <c r="G249" s="244" t="s">
        <v>7</v>
      </c>
      <c r="H249" s="244" t="s">
        <v>668</v>
      </c>
      <c r="I249" s="265" t="str">
        <f t="shared" si="22"/>
        <v>4A0</v>
      </c>
      <c r="J249" s="244" t="str">
        <f t="shared" si="23"/>
        <v>EBU1D01</v>
      </c>
      <c r="K249" s="244" t="str">
        <f t="shared" si="24"/>
        <v>1</v>
      </c>
      <c r="L249" s="244">
        <f t="shared" si="25"/>
        <v>32</v>
      </c>
      <c r="M249" s="244">
        <f t="shared" si="26"/>
        <v>500</v>
      </c>
      <c r="N249" s="244" t="str">
        <f t="shared" si="27"/>
        <v>0</v>
      </c>
      <c r="P249" s="244">
        <f t="shared" si="21"/>
        <v>1</v>
      </c>
      <c r="Q249" s="266" t="s">
        <v>671</v>
      </c>
      <c r="R249" s="267" t="s">
        <v>672</v>
      </c>
      <c r="S249" s="266" t="s">
        <v>29</v>
      </c>
      <c r="T249" s="266">
        <v>64</v>
      </c>
      <c r="U249" s="266">
        <v>1000</v>
      </c>
      <c r="V249" s="266" t="s">
        <v>31</v>
      </c>
      <c r="W249" s="266" t="s">
        <v>32</v>
      </c>
      <c r="X249" s="266"/>
      <c r="Y249" s="266" t="s">
        <v>7</v>
      </c>
      <c r="AA249" s="244" t="s">
        <v>647</v>
      </c>
      <c r="AB249" s="244" t="s">
        <v>646</v>
      </c>
      <c r="AC249" s="244" t="s">
        <v>29</v>
      </c>
      <c r="AD249" s="244">
        <v>32</v>
      </c>
      <c r="AE249" s="244">
        <v>500</v>
      </c>
      <c r="AF249" s="244" t="s">
        <v>31</v>
      </c>
    </row>
    <row r="250" spans="1:32" ht="19.5" thickBot="1">
      <c r="A250" s="244" t="s">
        <v>7</v>
      </c>
      <c r="B250" s="244" t="s">
        <v>7</v>
      </c>
      <c r="C250" s="244" t="s">
        <v>668</v>
      </c>
      <c r="D250" s="244" t="s">
        <v>102</v>
      </c>
      <c r="E250" s="244">
        <v>4</v>
      </c>
      <c r="F250" s="244">
        <v>1288</v>
      </c>
      <c r="G250" s="244" t="s">
        <v>7</v>
      </c>
      <c r="H250" s="244" t="s">
        <v>7752</v>
      </c>
      <c r="I250" s="265" t="str">
        <f t="shared" si="22"/>
        <v>4BA</v>
      </c>
      <c r="J250" s="244" t="str">
        <f t="shared" si="23"/>
        <v>BDC1D01</v>
      </c>
      <c r="K250" s="244" t="str">
        <f t="shared" si="24"/>
        <v>1</v>
      </c>
      <c r="L250" s="244">
        <f t="shared" si="25"/>
        <v>32</v>
      </c>
      <c r="M250" s="244">
        <f t="shared" si="26"/>
        <v>500</v>
      </c>
      <c r="N250" s="244" t="str">
        <f t="shared" si="27"/>
        <v>0</v>
      </c>
      <c r="P250" s="244">
        <f t="shared" si="21"/>
        <v>1</v>
      </c>
      <c r="Q250" s="266" t="s">
        <v>674</v>
      </c>
      <c r="R250" s="267" t="s">
        <v>675</v>
      </c>
      <c r="S250" s="266" t="s">
        <v>29</v>
      </c>
      <c r="T250" s="266">
        <v>8</v>
      </c>
      <c r="U250" s="266">
        <v>1000</v>
      </c>
      <c r="V250" s="266" t="s">
        <v>31</v>
      </c>
      <c r="W250" s="266" t="s">
        <v>32</v>
      </c>
      <c r="X250" s="266"/>
      <c r="Y250" s="266" t="s">
        <v>7</v>
      </c>
      <c r="AA250" s="244" t="s">
        <v>656</v>
      </c>
      <c r="AB250" s="244" t="s">
        <v>655</v>
      </c>
      <c r="AC250" s="244" t="s">
        <v>29</v>
      </c>
      <c r="AD250" s="244">
        <v>32</v>
      </c>
      <c r="AE250" s="244">
        <v>500</v>
      </c>
      <c r="AF250" s="244" t="s">
        <v>31</v>
      </c>
    </row>
    <row r="251" spans="1:32" ht="19.5" thickBot="1">
      <c r="A251" s="244" t="s">
        <v>7</v>
      </c>
      <c r="B251" s="244" t="s">
        <v>7</v>
      </c>
      <c r="C251" s="244" t="s">
        <v>668</v>
      </c>
      <c r="D251" s="244" t="s">
        <v>273</v>
      </c>
      <c r="E251" s="244">
        <v>32</v>
      </c>
      <c r="F251" s="244">
        <v>1288</v>
      </c>
      <c r="G251" s="244" t="s">
        <v>7</v>
      </c>
      <c r="H251" s="244" t="s">
        <v>7753</v>
      </c>
      <c r="I251" s="265" t="str">
        <f t="shared" si="22"/>
        <v>506</v>
      </c>
      <c r="J251" s="244" t="str">
        <f t="shared" si="23"/>
        <v>ACN1S29</v>
      </c>
      <c r="K251" s="244" t="str">
        <f t="shared" si="24"/>
        <v>1</v>
      </c>
      <c r="L251" s="244">
        <f t="shared" si="25"/>
        <v>32</v>
      </c>
      <c r="M251" s="244">
        <f t="shared" si="26"/>
        <v>1000</v>
      </c>
      <c r="N251" s="244" t="str">
        <f t="shared" si="27"/>
        <v>0</v>
      </c>
      <c r="P251" s="244">
        <f t="shared" si="21"/>
        <v>1</v>
      </c>
      <c r="Q251" s="266" t="s">
        <v>677</v>
      </c>
      <c r="R251" s="267" t="s">
        <v>678</v>
      </c>
      <c r="S251" s="266" t="s">
        <v>29</v>
      </c>
      <c r="T251" s="266">
        <v>64</v>
      </c>
      <c r="U251" s="266">
        <v>2000</v>
      </c>
      <c r="V251" s="266" t="s">
        <v>31</v>
      </c>
      <c r="W251" s="266" t="s">
        <v>32</v>
      </c>
      <c r="X251" s="266"/>
      <c r="Y251" s="266" t="s">
        <v>7</v>
      </c>
      <c r="AA251" s="244" t="s">
        <v>659</v>
      </c>
      <c r="AB251" s="244" t="s">
        <v>658</v>
      </c>
      <c r="AC251" s="244" t="s">
        <v>29</v>
      </c>
      <c r="AD251" s="244">
        <v>32</v>
      </c>
      <c r="AE251" s="244">
        <v>1000</v>
      </c>
      <c r="AF251" s="244" t="s">
        <v>31</v>
      </c>
    </row>
    <row r="252" spans="1:32" ht="19.5" thickBot="1">
      <c r="A252" s="244" t="s">
        <v>905</v>
      </c>
      <c r="B252" s="244">
        <v>81</v>
      </c>
      <c r="C252" s="244" t="s">
        <v>668</v>
      </c>
      <c r="D252" s="244" t="s">
        <v>673</v>
      </c>
      <c r="E252" s="244">
        <v>36</v>
      </c>
      <c r="F252" s="244">
        <v>1288</v>
      </c>
      <c r="G252" s="244" t="s">
        <v>7</v>
      </c>
      <c r="H252" s="244" t="s">
        <v>7754</v>
      </c>
      <c r="I252" s="265" t="str">
        <f t="shared" si="22"/>
        <v>507</v>
      </c>
      <c r="J252" s="244" t="str">
        <f t="shared" si="23"/>
        <v>PDC1G02</v>
      </c>
      <c r="K252" s="244" t="str">
        <f t="shared" si="24"/>
        <v>1</v>
      </c>
      <c r="L252" s="244">
        <f t="shared" si="25"/>
        <v>8</v>
      </c>
      <c r="M252" s="244">
        <f t="shared" si="26"/>
        <v>1000</v>
      </c>
      <c r="N252" s="244" t="str">
        <f t="shared" si="27"/>
        <v>0</v>
      </c>
      <c r="P252" s="244">
        <f t="shared" si="21"/>
        <v>1</v>
      </c>
      <c r="Q252" s="266" t="s">
        <v>679</v>
      </c>
      <c r="R252" s="267" t="s">
        <v>680</v>
      </c>
      <c r="S252" s="266" t="s">
        <v>29</v>
      </c>
      <c r="T252" s="266">
        <v>8</v>
      </c>
      <c r="U252" s="266" t="s">
        <v>30</v>
      </c>
      <c r="V252" s="266" t="s">
        <v>31</v>
      </c>
      <c r="W252" s="266" t="s">
        <v>32</v>
      </c>
      <c r="X252" s="266"/>
      <c r="Y252" s="266" t="s">
        <v>7</v>
      </c>
      <c r="AA252" s="244" t="s">
        <v>662</v>
      </c>
      <c r="AB252" s="244" t="s">
        <v>661</v>
      </c>
      <c r="AC252" s="244" t="s">
        <v>29</v>
      </c>
      <c r="AD252" s="244">
        <v>8</v>
      </c>
      <c r="AE252" s="244">
        <v>1000</v>
      </c>
      <c r="AF252" s="244" t="s">
        <v>31</v>
      </c>
    </row>
    <row r="253" spans="1:32" ht="19.5" thickBot="1">
      <c r="A253" s="244" t="s">
        <v>7</v>
      </c>
      <c r="B253" s="244" t="s">
        <v>7</v>
      </c>
      <c r="C253" s="244" t="s">
        <v>676</v>
      </c>
      <c r="D253" s="244" t="s">
        <v>7560</v>
      </c>
      <c r="E253" s="244">
        <v>0</v>
      </c>
      <c r="F253" s="244">
        <v>1291</v>
      </c>
      <c r="G253" s="244" t="s">
        <v>7</v>
      </c>
      <c r="H253" s="244" t="s">
        <v>7755</v>
      </c>
      <c r="I253" s="265" t="str">
        <f t="shared" si="22"/>
        <v>508</v>
      </c>
      <c r="J253" s="244" t="str">
        <f t="shared" si="23"/>
        <v>BDC1SI7</v>
      </c>
      <c r="K253" s="244" t="str">
        <f t="shared" si="24"/>
        <v>1</v>
      </c>
      <c r="L253" s="244">
        <f t="shared" si="25"/>
        <v>64</v>
      </c>
      <c r="M253" s="244">
        <f t="shared" si="26"/>
        <v>1000</v>
      </c>
      <c r="N253" s="244" t="str">
        <f t="shared" si="27"/>
        <v>0</v>
      </c>
      <c r="P253" s="244">
        <f t="shared" si="21"/>
        <v>1</v>
      </c>
      <c r="Q253" s="266" t="s">
        <v>682</v>
      </c>
      <c r="R253" s="267" t="s">
        <v>683</v>
      </c>
      <c r="S253" s="266" t="s">
        <v>29</v>
      </c>
      <c r="T253" s="266">
        <v>64</v>
      </c>
      <c r="U253" s="266">
        <v>1000</v>
      </c>
      <c r="V253" s="266" t="s">
        <v>31</v>
      </c>
      <c r="W253" s="266" t="s">
        <v>32</v>
      </c>
      <c r="X253" s="266"/>
      <c r="Y253" s="266" t="s">
        <v>7</v>
      </c>
      <c r="AA253" s="244" t="s">
        <v>665</v>
      </c>
      <c r="AB253" s="244" t="s">
        <v>664</v>
      </c>
      <c r="AC253" s="244" t="s">
        <v>29</v>
      </c>
      <c r="AD253" s="244">
        <v>64</v>
      </c>
      <c r="AE253" s="244">
        <v>1000</v>
      </c>
      <c r="AF253" s="244" t="s">
        <v>31</v>
      </c>
    </row>
    <row r="254" spans="1:32" ht="19.5" thickBot="1">
      <c r="A254" s="244" t="s">
        <v>904</v>
      </c>
      <c r="B254" s="244">
        <v>80</v>
      </c>
      <c r="C254" s="244" t="s">
        <v>676</v>
      </c>
      <c r="D254" s="244" t="s">
        <v>273</v>
      </c>
      <c r="E254" s="244">
        <v>32</v>
      </c>
      <c r="F254" s="244">
        <v>1291</v>
      </c>
      <c r="G254" s="244" t="s">
        <v>7</v>
      </c>
      <c r="H254" s="244" t="s">
        <v>7756</v>
      </c>
      <c r="I254" s="265" t="str">
        <f t="shared" si="22"/>
        <v>50C</v>
      </c>
      <c r="J254" s="244" t="str">
        <f t="shared" si="23"/>
        <v>BDC1SI9</v>
      </c>
      <c r="K254" s="244" t="str">
        <f t="shared" si="24"/>
        <v>1</v>
      </c>
      <c r="L254" s="244">
        <f t="shared" si="25"/>
        <v>64</v>
      </c>
      <c r="M254" s="244">
        <f t="shared" si="26"/>
        <v>1000</v>
      </c>
      <c r="N254" s="244" t="str">
        <f t="shared" si="27"/>
        <v>0</v>
      </c>
      <c r="P254" s="244">
        <f t="shared" si="21"/>
        <v>1</v>
      </c>
      <c r="Q254" s="266" t="s">
        <v>684</v>
      </c>
      <c r="R254" s="267" t="s">
        <v>685</v>
      </c>
      <c r="S254" s="266" t="s">
        <v>29</v>
      </c>
      <c r="T254" s="266">
        <v>64</v>
      </c>
      <c r="U254" s="266">
        <v>1000</v>
      </c>
      <c r="V254" s="266" t="s">
        <v>31</v>
      </c>
      <c r="W254" s="266" t="s">
        <v>32</v>
      </c>
      <c r="X254" s="266"/>
      <c r="Y254" s="266" t="s">
        <v>7</v>
      </c>
      <c r="AA254" s="244" t="s">
        <v>670</v>
      </c>
      <c r="AB254" s="244" t="s">
        <v>669</v>
      </c>
      <c r="AC254" s="244" t="s">
        <v>29</v>
      </c>
      <c r="AD254" s="244">
        <v>64</v>
      </c>
      <c r="AE254" s="244">
        <v>1000</v>
      </c>
      <c r="AF254" s="244" t="s">
        <v>31</v>
      </c>
    </row>
    <row r="255" spans="1:32" ht="19.5" thickBot="1">
      <c r="A255" s="244" t="s">
        <v>7</v>
      </c>
      <c r="B255" s="244" t="s">
        <v>7</v>
      </c>
      <c r="C255" s="244" t="s">
        <v>681</v>
      </c>
      <c r="D255" s="244" t="s">
        <v>7560</v>
      </c>
      <c r="E255" s="244">
        <v>0</v>
      </c>
      <c r="F255" s="244">
        <v>1294</v>
      </c>
      <c r="G255" s="244" t="s">
        <v>7</v>
      </c>
      <c r="H255" s="244" t="s">
        <v>7757</v>
      </c>
      <c r="I255" s="265" t="str">
        <f t="shared" si="22"/>
        <v>528</v>
      </c>
      <c r="J255" s="244" t="str">
        <f t="shared" si="23"/>
        <v>DKY1S26</v>
      </c>
      <c r="K255" s="244" t="str">
        <f t="shared" si="24"/>
        <v>1</v>
      </c>
      <c r="L255" s="244">
        <f t="shared" si="25"/>
        <v>8</v>
      </c>
      <c r="M255" s="244" t="str">
        <f t="shared" si="26"/>
        <v>-</v>
      </c>
      <c r="N255" s="244" t="str">
        <f t="shared" si="27"/>
        <v>0</v>
      </c>
      <c r="P255" s="244">
        <f t="shared" si="21"/>
        <v>1</v>
      </c>
      <c r="Q255" s="266" t="s">
        <v>634</v>
      </c>
      <c r="R255" s="267" t="s">
        <v>633</v>
      </c>
      <c r="S255" s="266" t="s">
        <v>29</v>
      </c>
      <c r="T255" s="266">
        <v>64</v>
      </c>
      <c r="U255" s="266">
        <v>1000</v>
      </c>
      <c r="V255" s="266" t="s">
        <v>31</v>
      </c>
      <c r="W255" s="266" t="s">
        <v>32</v>
      </c>
      <c r="X255" s="266"/>
      <c r="Y255" s="266" t="s">
        <v>7</v>
      </c>
      <c r="AA255" s="244" t="s">
        <v>680</v>
      </c>
      <c r="AB255" s="244" t="s">
        <v>679</v>
      </c>
      <c r="AC255" s="244" t="s">
        <v>29</v>
      </c>
      <c r="AD255" s="244">
        <v>8</v>
      </c>
      <c r="AE255" s="244" t="s">
        <v>30</v>
      </c>
      <c r="AF255" s="244" t="s">
        <v>31</v>
      </c>
    </row>
    <row r="256" spans="1:32" ht="19.5" thickBot="1">
      <c r="A256" s="244" t="s">
        <v>913</v>
      </c>
      <c r="B256" s="244">
        <v>89</v>
      </c>
      <c r="C256" s="244" t="s">
        <v>681</v>
      </c>
      <c r="D256" s="244" t="s">
        <v>94</v>
      </c>
      <c r="E256" s="244">
        <v>16</v>
      </c>
      <c r="F256" s="244">
        <v>1294</v>
      </c>
      <c r="G256" s="244" t="s">
        <v>7</v>
      </c>
      <c r="H256" s="244" t="s">
        <v>7758</v>
      </c>
      <c r="I256" s="265" t="str">
        <f t="shared" si="22"/>
        <v>52C</v>
      </c>
      <c r="J256" s="244" t="str">
        <f t="shared" si="23"/>
        <v>BDC1SG7</v>
      </c>
      <c r="K256" s="244" t="str">
        <f t="shared" si="24"/>
        <v>1</v>
      </c>
      <c r="L256" s="244">
        <f t="shared" si="25"/>
        <v>64</v>
      </c>
      <c r="M256" s="244">
        <f t="shared" si="26"/>
        <v>1000</v>
      </c>
      <c r="N256" s="244" t="str">
        <f t="shared" si="27"/>
        <v>0</v>
      </c>
      <c r="P256" s="244">
        <f t="shared" si="21"/>
        <v>1</v>
      </c>
      <c r="Q256" s="266" t="s">
        <v>688</v>
      </c>
      <c r="R256" s="267" t="s">
        <v>689</v>
      </c>
      <c r="S256" s="266" t="s">
        <v>29</v>
      </c>
      <c r="T256" s="266">
        <v>64</v>
      </c>
      <c r="U256" s="266">
        <v>1000</v>
      </c>
      <c r="V256" s="266" t="s">
        <v>31</v>
      </c>
      <c r="W256" s="266" t="s">
        <v>32</v>
      </c>
      <c r="X256" s="266"/>
      <c r="Y256" s="266" t="s">
        <v>7</v>
      </c>
      <c r="AA256" s="244" t="s">
        <v>685</v>
      </c>
      <c r="AB256" s="244" t="s">
        <v>684</v>
      </c>
      <c r="AC256" s="244" t="s">
        <v>29</v>
      </c>
      <c r="AD256" s="244">
        <v>64</v>
      </c>
      <c r="AE256" s="244">
        <v>1000</v>
      </c>
      <c r="AF256" s="244" t="s">
        <v>31</v>
      </c>
    </row>
    <row r="257" spans="1:32" ht="19.5" thickBot="1">
      <c r="A257" s="244" t="s">
        <v>903</v>
      </c>
      <c r="B257" s="244">
        <v>79</v>
      </c>
      <c r="C257" s="244" t="s">
        <v>686</v>
      </c>
      <c r="D257" s="244" t="s">
        <v>7560</v>
      </c>
      <c r="E257" s="244">
        <v>0</v>
      </c>
      <c r="F257" s="244">
        <v>1318</v>
      </c>
      <c r="G257" s="244" t="s">
        <v>7</v>
      </c>
      <c r="H257" s="244" t="s">
        <v>686</v>
      </c>
      <c r="I257" s="265" t="str">
        <f t="shared" si="22"/>
        <v>50B</v>
      </c>
      <c r="J257" s="244" t="str">
        <f t="shared" si="23"/>
        <v>BDC1SI8</v>
      </c>
      <c r="K257" s="244" t="str">
        <f t="shared" si="24"/>
        <v>1</v>
      </c>
      <c r="L257" s="244">
        <f t="shared" si="25"/>
        <v>64</v>
      </c>
      <c r="M257" s="244">
        <f t="shared" si="26"/>
        <v>1000</v>
      </c>
      <c r="N257" s="244" t="str">
        <f t="shared" si="27"/>
        <v>0</v>
      </c>
      <c r="P257" s="244">
        <f t="shared" si="21"/>
        <v>1</v>
      </c>
      <c r="Q257" s="266" t="s">
        <v>639</v>
      </c>
      <c r="R257" s="267" t="s">
        <v>638</v>
      </c>
      <c r="S257" s="266" t="s">
        <v>29</v>
      </c>
      <c r="T257" s="266">
        <v>8</v>
      </c>
      <c r="U257" s="266" t="s">
        <v>30</v>
      </c>
      <c r="V257" s="266" t="s">
        <v>31</v>
      </c>
      <c r="W257" s="266" t="s">
        <v>32</v>
      </c>
      <c r="X257" s="266"/>
      <c r="Y257" s="266" t="s">
        <v>7</v>
      </c>
      <c r="AA257" s="244" t="s">
        <v>667</v>
      </c>
      <c r="AB257" s="244" t="s">
        <v>666</v>
      </c>
      <c r="AC257" s="244" t="s">
        <v>29</v>
      </c>
      <c r="AD257" s="244">
        <v>64</v>
      </c>
      <c r="AE257" s="244">
        <v>1000</v>
      </c>
      <c r="AF257" s="244" t="s">
        <v>31</v>
      </c>
    </row>
    <row r="258" spans="1:32" ht="19.5" thickBot="1">
      <c r="A258" s="244" t="s">
        <v>906</v>
      </c>
      <c r="B258" s="244">
        <v>82</v>
      </c>
      <c r="C258" s="244" t="s">
        <v>687</v>
      </c>
      <c r="D258" s="244" t="s">
        <v>7560</v>
      </c>
      <c r="E258" s="244">
        <v>0</v>
      </c>
      <c r="F258" s="244">
        <v>1329</v>
      </c>
      <c r="G258" s="244" t="s">
        <v>7</v>
      </c>
      <c r="H258" s="244" t="s">
        <v>687</v>
      </c>
      <c r="I258" s="265" t="str">
        <f t="shared" si="22"/>
        <v>52B</v>
      </c>
      <c r="J258" s="244" t="str">
        <f t="shared" si="23"/>
        <v>BDC1SG6</v>
      </c>
      <c r="K258" s="244" t="str">
        <f t="shared" si="24"/>
        <v>1</v>
      </c>
      <c r="L258" s="244">
        <f t="shared" si="25"/>
        <v>64</v>
      </c>
      <c r="M258" s="244">
        <f t="shared" si="26"/>
        <v>1000</v>
      </c>
      <c r="N258" s="244" t="str">
        <f t="shared" si="27"/>
        <v>0</v>
      </c>
      <c r="P258" s="244">
        <f t="shared" si="21"/>
        <v>1</v>
      </c>
      <c r="Q258" s="266" t="s">
        <v>691</v>
      </c>
      <c r="R258" s="267" t="s">
        <v>692</v>
      </c>
      <c r="S258" s="266" t="s">
        <v>29</v>
      </c>
      <c r="T258" s="266">
        <v>64</v>
      </c>
      <c r="U258" s="266">
        <v>1000</v>
      </c>
      <c r="V258" s="266" t="s">
        <v>29</v>
      </c>
      <c r="W258" s="266" t="s">
        <v>32</v>
      </c>
      <c r="X258" s="266"/>
      <c r="Y258" s="266" t="s">
        <v>7</v>
      </c>
      <c r="AA258" s="244" t="s">
        <v>683</v>
      </c>
      <c r="AB258" s="244" t="s">
        <v>682</v>
      </c>
      <c r="AC258" s="244" t="s">
        <v>29</v>
      </c>
      <c r="AD258" s="244">
        <v>64</v>
      </c>
      <c r="AE258" s="244">
        <v>1000</v>
      </c>
      <c r="AF258" s="244" t="s">
        <v>31</v>
      </c>
    </row>
    <row r="259" spans="1:32" ht="19.5" thickBot="1">
      <c r="A259" s="244" t="s">
        <v>7</v>
      </c>
      <c r="B259" s="244" t="s">
        <v>7</v>
      </c>
      <c r="C259" s="244" t="s">
        <v>690</v>
      </c>
      <c r="D259" s="244" t="s">
        <v>7560</v>
      </c>
      <c r="E259" s="244">
        <v>0</v>
      </c>
      <c r="F259" s="244">
        <v>1332</v>
      </c>
      <c r="G259" s="244" t="s">
        <v>7</v>
      </c>
      <c r="H259" s="244" t="s">
        <v>690</v>
      </c>
      <c r="I259" s="265" t="str">
        <f t="shared" si="22"/>
        <v>50E</v>
      </c>
      <c r="J259" s="244" t="str">
        <f t="shared" si="23"/>
        <v>BDC1SJ0</v>
      </c>
      <c r="K259" s="244" t="str">
        <f t="shared" si="24"/>
        <v>1</v>
      </c>
      <c r="L259" s="244">
        <f t="shared" si="25"/>
        <v>64</v>
      </c>
      <c r="M259" s="244">
        <f t="shared" si="26"/>
        <v>1000</v>
      </c>
      <c r="N259" s="244" t="str">
        <f t="shared" si="27"/>
        <v>0</v>
      </c>
      <c r="P259" s="244">
        <f t="shared" si="21"/>
        <v>1</v>
      </c>
      <c r="Q259" s="266" t="s">
        <v>693</v>
      </c>
      <c r="R259" s="267" t="s">
        <v>694</v>
      </c>
      <c r="S259" s="266" t="s">
        <v>29</v>
      </c>
      <c r="T259" s="266">
        <v>64</v>
      </c>
      <c r="U259" s="266">
        <v>1000</v>
      </c>
      <c r="V259" s="266" t="s">
        <v>31</v>
      </c>
      <c r="W259" s="268" t="s">
        <v>32</v>
      </c>
      <c r="X259" s="268"/>
      <c r="Y259" s="268" t="s">
        <v>7</v>
      </c>
      <c r="AA259" s="244" t="s">
        <v>672</v>
      </c>
      <c r="AB259" s="244" t="s">
        <v>671</v>
      </c>
      <c r="AC259" s="244" t="s">
        <v>29</v>
      </c>
      <c r="AD259" s="244">
        <v>64</v>
      </c>
      <c r="AE259" s="244">
        <v>1000</v>
      </c>
      <c r="AF259" s="244" t="s">
        <v>31</v>
      </c>
    </row>
    <row r="260" spans="1:32" ht="19.5" thickBot="1">
      <c r="A260" s="244" t="s">
        <v>7</v>
      </c>
      <c r="B260" s="244" t="s">
        <v>7</v>
      </c>
      <c r="C260" s="244" t="s">
        <v>690</v>
      </c>
      <c r="D260" s="244" t="s">
        <v>312</v>
      </c>
      <c r="E260" s="244">
        <v>1</v>
      </c>
      <c r="F260" s="244">
        <v>1332</v>
      </c>
      <c r="G260" s="244" t="s">
        <v>7</v>
      </c>
      <c r="H260" s="244" t="s">
        <v>7759</v>
      </c>
      <c r="I260" s="265" t="str">
        <f t="shared" si="22"/>
        <v>51E</v>
      </c>
      <c r="J260" s="244" t="str">
        <f t="shared" si="23"/>
        <v>ENG1G90</v>
      </c>
      <c r="K260" s="244" t="str">
        <f t="shared" si="24"/>
        <v>1</v>
      </c>
      <c r="L260" s="244">
        <f t="shared" si="25"/>
        <v>8</v>
      </c>
      <c r="M260" s="244">
        <f t="shared" si="26"/>
        <v>1000</v>
      </c>
      <c r="N260" s="244" t="str">
        <f t="shared" si="27"/>
        <v>0</v>
      </c>
      <c r="P260" s="244">
        <f t="shared" si="21"/>
        <v>1</v>
      </c>
      <c r="Q260" s="266" t="s">
        <v>695</v>
      </c>
      <c r="R260" s="267" t="s">
        <v>696</v>
      </c>
      <c r="S260" s="266" t="s">
        <v>29</v>
      </c>
      <c r="T260" s="266">
        <v>64</v>
      </c>
      <c r="U260" s="266">
        <v>1000</v>
      </c>
      <c r="V260" s="266" t="s">
        <v>31</v>
      </c>
      <c r="W260" s="266" t="s">
        <v>32</v>
      </c>
      <c r="X260" s="266"/>
      <c r="Y260" s="266" t="s">
        <v>7</v>
      </c>
      <c r="AA260" s="244" t="s">
        <v>675</v>
      </c>
      <c r="AB260" s="244" t="s">
        <v>674</v>
      </c>
      <c r="AC260" s="244" t="s">
        <v>29</v>
      </c>
      <c r="AD260" s="244">
        <v>8</v>
      </c>
      <c r="AE260" s="244">
        <v>1000</v>
      </c>
      <c r="AF260" s="244" t="s">
        <v>31</v>
      </c>
    </row>
    <row r="261" spans="1:32" ht="19.5" thickBot="1">
      <c r="A261" s="244" t="s">
        <v>7</v>
      </c>
      <c r="B261" s="244" t="s">
        <v>7</v>
      </c>
      <c r="C261" s="244" t="s">
        <v>690</v>
      </c>
      <c r="D261" s="244" t="s">
        <v>44</v>
      </c>
      <c r="E261" s="244">
        <v>2</v>
      </c>
      <c r="F261" s="244">
        <v>1332</v>
      </c>
      <c r="G261" s="244" t="s">
        <v>7</v>
      </c>
      <c r="H261" s="244" t="s">
        <v>7760</v>
      </c>
      <c r="I261" s="265" t="str">
        <f t="shared" si="22"/>
        <v>526</v>
      </c>
      <c r="J261" s="244" t="str">
        <f t="shared" si="23"/>
        <v>BDC1SG4</v>
      </c>
      <c r="K261" s="244" t="str">
        <f t="shared" si="24"/>
        <v>1</v>
      </c>
      <c r="L261" s="244">
        <f t="shared" si="25"/>
        <v>64</v>
      </c>
      <c r="M261" s="244">
        <f t="shared" si="26"/>
        <v>2000</v>
      </c>
      <c r="N261" s="244" t="str">
        <f t="shared" si="27"/>
        <v>0</v>
      </c>
      <c r="P261" s="244">
        <f t="shared" si="21"/>
        <v>1</v>
      </c>
      <c r="Q261" s="266" t="s">
        <v>698</v>
      </c>
      <c r="R261" s="267" t="s">
        <v>699</v>
      </c>
      <c r="S261" s="266" t="s">
        <v>29</v>
      </c>
      <c r="T261" s="266">
        <v>64</v>
      </c>
      <c r="U261" s="266">
        <v>1000</v>
      </c>
      <c r="V261" s="266" t="s">
        <v>31</v>
      </c>
      <c r="W261" s="266" t="s">
        <v>32</v>
      </c>
      <c r="X261" s="266"/>
      <c r="Y261" s="266" t="s">
        <v>7</v>
      </c>
      <c r="AA261" s="244" t="s">
        <v>678</v>
      </c>
      <c r="AB261" s="244" t="s">
        <v>677</v>
      </c>
      <c r="AC261" s="244" t="s">
        <v>29</v>
      </c>
      <c r="AD261" s="244">
        <v>64</v>
      </c>
      <c r="AE261" s="244">
        <v>2000</v>
      </c>
      <c r="AF261" s="244" t="s">
        <v>31</v>
      </c>
    </row>
    <row r="262" spans="1:32" ht="19.5" thickBot="1">
      <c r="A262" s="244" t="s">
        <v>907</v>
      </c>
      <c r="B262" s="244">
        <v>83</v>
      </c>
      <c r="C262" s="244" t="s">
        <v>690</v>
      </c>
      <c r="D262" s="244" t="s">
        <v>494</v>
      </c>
      <c r="E262" s="244">
        <v>3</v>
      </c>
      <c r="F262" s="244">
        <v>1332</v>
      </c>
      <c r="G262" s="244" t="s">
        <v>7</v>
      </c>
      <c r="H262" s="244" t="s">
        <v>7761</v>
      </c>
      <c r="I262" s="265" t="str">
        <f t="shared" si="22"/>
        <v>531</v>
      </c>
      <c r="J262" s="244" t="str">
        <f t="shared" si="23"/>
        <v>BDC1SG9</v>
      </c>
      <c r="K262" s="244" t="str">
        <f t="shared" si="24"/>
        <v>1</v>
      </c>
      <c r="L262" s="244">
        <f t="shared" si="25"/>
        <v>64</v>
      </c>
      <c r="M262" s="244">
        <f t="shared" si="26"/>
        <v>1000</v>
      </c>
      <c r="N262" s="244" t="str">
        <f t="shared" si="27"/>
        <v>0</v>
      </c>
      <c r="P262" s="244">
        <f t="shared" ref="P262:P278" si="28">COUNTIF($J$6:$J$278,R262)</f>
        <v>1</v>
      </c>
      <c r="Q262" s="266" t="s">
        <v>701</v>
      </c>
      <c r="R262" s="267" t="s">
        <v>702</v>
      </c>
      <c r="S262" s="266" t="s">
        <v>29</v>
      </c>
      <c r="T262" s="266">
        <v>64</v>
      </c>
      <c r="U262" s="266">
        <v>1000</v>
      </c>
      <c r="V262" s="266" t="s">
        <v>31</v>
      </c>
      <c r="W262" s="266" t="s">
        <v>32</v>
      </c>
      <c r="X262" s="266"/>
      <c r="Y262" s="266" t="s">
        <v>7</v>
      </c>
      <c r="AA262" s="244" t="s">
        <v>689</v>
      </c>
      <c r="AB262" s="244" t="s">
        <v>688</v>
      </c>
      <c r="AC262" s="244" t="s">
        <v>29</v>
      </c>
      <c r="AD262" s="244">
        <v>64</v>
      </c>
      <c r="AE262" s="244">
        <v>1000</v>
      </c>
      <c r="AF262" s="244" t="s">
        <v>31</v>
      </c>
    </row>
    <row r="263" spans="1:32" ht="19.5" thickBot="1">
      <c r="A263" s="244" t="s">
        <v>908</v>
      </c>
      <c r="B263" s="244">
        <v>84</v>
      </c>
      <c r="C263" s="244" t="s">
        <v>697</v>
      </c>
      <c r="D263" s="244" t="s">
        <v>7560</v>
      </c>
      <c r="E263" s="244">
        <v>0</v>
      </c>
      <c r="F263" s="244">
        <v>1336</v>
      </c>
      <c r="G263" s="244" t="s">
        <v>7</v>
      </c>
      <c r="H263" s="244" t="s">
        <v>697</v>
      </c>
      <c r="I263" s="265" t="str">
        <f t="shared" ref="I263:I278" si="29">UPPER(RIGHT(H259,3))</f>
        <v>534</v>
      </c>
      <c r="J263" s="244" t="str">
        <f t="shared" ref="J263:J278" si="30">VLOOKUP($I263,$Q$6:$Y$278,2,FALSE)</f>
        <v>BDC1SH3</v>
      </c>
      <c r="K263" s="244" t="str">
        <f t="shared" ref="K263:K278" si="31">VLOOKUP($I263,$Q$6:$Y$278,3,FALSE)</f>
        <v>1</v>
      </c>
      <c r="L263" s="244">
        <f t="shared" ref="L263:L278" si="32">VLOOKUP($I263,$Q$6:$Y$278,4,FALSE)</f>
        <v>64</v>
      </c>
      <c r="M263" s="244">
        <f t="shared" ref="M263:M278" si="33">VLOOKUP($I263,$Q$6:$Y$278,5,FALSE)</f>
        <v>1000</v>
      </c>
      <c r="N263" s="244" t="str">
        <f t="shared" ref="N263:N278" si="34">VLOOKUP($I263,$Q$6:$Y$278,6,FALSE)</f>
        <v>1</v>
      </c>
      <c r="P263" s="244">
        <f t="shared" si="28"/>
        <v>1</v>
      </c>
      <c r="Q263" s="266" t="s">
        <v>704</v>
      </c>
      <c r="R263" s="267" t="s">
        <v>705</v>
      </c>
      <c r="S263" s="266" t="s">
        <v>29</v>
      </c>
      <c r="T263" s="266">
        <v>32</v>
      </c>
      <c r="U263" s="266">
        <v>1500</v>
      </c>
      <c r="V263" s="266" t="s">
        <v>31</v>
      </c>
      <c r="W263" s="266" t="s">
        <v>32</v>
      </c>
      <c r="X263" s="266"/>
      <c r="Y263" s="266" t="s">
        <v>7</v>
      </c>
      <c r="AA263" s="244" t="s">
        <v>692</v>
      </c>
      <c r="AB263" s="244" t="s">
        <v>691</v>
      </c>
      <c r="AC263" s="244" t="s">
        <v>29</v>
      </c>
      <c r="AD263" s="244">
        <v>64</v>
      </c>
      <c r="AE263" s="244">
        <v>1000</v>
      </c>
      <c r="AF263" s="244" t="s">
        <v>29</v>
      </c>
    </row>
    <row r="264" spans="1:32" ht="19.5" thickBot="1">
      <c r="A264" s="244" t="s">
        <v>7</v>
      </c>
      <c r="B264" s="244" t="s">
        <v>7</v>
      </c>
      <c r="C264" s="244" t="s">
        <v>700</v>
      </c>
      <c r="D264" s="244" t="s">
        <v>7560</v>
      </c>
      <c r="E264" s="244">
        <v>0</v>
      </c>
      <c r="F264" s="244">
        <v>1426</v>
      </c>
      <c r="G264" s="244" t="s">
        <v>7</v>
      </c>
      <c r="H264" s="244" t="s">
        <v>700</v>
      </c>
      <c r="I264" s="265" t="str">
        <f t="shared" si="29"/>
        <v>535</v>
      </c>
      <c r="J264" s="244" t="str">
        <f t="shared" si="30"/>
        <v>BDC1SH4</v>
      </c>
      <c r="K264" s="244" t="str">
        <f t="shared" si="31"/>
        <v>1</v>
      </c>
      <c r="L264" s="244">
        <f t="shared" si="32"/>
        <v>64</v>
      </c>
      <c r="M264" s="244">
        <f t="shared" si="33"/>
        <v>1000</v>
      </c>
      <c r="N264" s="244" t="str">
        <f t="shared" si="34"/>
        <v>0</v>
      </c>
      <c r="P264" s="244">
        <f t="shared" si="28"/>
        <v>1</v>
      </c>
      <c r="Q264" s="266" t="s">
        <v>707</v>
      </c>
      <c r="R264" s="267" t="s">
        <v>708</v>
      </c>
      <c r="S264" s="266" t="s">
        <v>29</v>
      </c>
      <c r="T264" s="266">
        <v>32</v>
      </c>
      <c r="U264" s="266">
        <v>1000</v>
      </c>
      <c r="V264" s="266" t="s">
        <v>31</v>
      </c>
      <c r="W264" s="266" t="s">
        <v>32</v>
      </c>
      <c r="X264" s="266"/>
      <c r="Y264" s="266" t="s">
        <v>7</v>
      </c>
      <c r="AA264" s="244" t="s">
        <v>694</v>
      </c>
      <c r="AB264" s="244" t="s">
        <v>693</v>
      </c>
      <c r="AC264" s="244" t="s">
        <v>29</v>
      </c>
      <c r="AD264" s="244">
        <v>64</v>
      </c>
      <c r="AE264" s="244">
        <v>1000</v>
      </c>
      <c r="AF264" s="244" t="s">
        <v>31</v>
      </c>
    </row>
    <row r="265" spans="1:32" ht="19.5" thickBot="1">
      <c r="A265" s="244" t="s">
        <v>917</v>
      </c>
      <c r="B265" s="244">
        <v>93</v>
      </c>
      <c r="C265" s="244" t="s">
        <v>700</v>
      </c>
      <c r="D265" s="244" t="s">
        <v>102</v>
      </c>
      <c r="E265" s="244">
        <v>4</v>
      </c>
      <c r="F265" s="244">
        <v>1426</v>
      </c>
      <c r="G265" s="244" t="s">
        <v>7</v>
      </c>
      <c r="H265" s="244" t="s">
        <v>7762</v>
      </c>
      <c r="I265" s="265" t="str">
        <f t="shared" si="29"/>
        <v>536</v>
      </c>
      <c r="J265" s="244" t="str">
        <f t="shared" si="30"/>
        <v>BDC1SJ3</v>
      </c>
      <c r="K265" s="244" t="str">
        <f t="shared" si="31"/>
        <v>1</v>
      </c>
      <c r="L265" s="244">
        <f t="shared" si="32"/>
        <v>64</v>
      </c>
      <c r="M265" s="244">
        <f t="shared" si="33"/>
        <v>1000</v>
      </c>
      <c r="N265" s="244" t="str">
        <f t="shared" si="34"/>
        <v>0</v>
      </c>
      <c r="P265" s="244">
        <f t="shared" si="28"/>
        <v>1</v>
      </c>
      <c r="Q265" s="266" t="s">
        <v>710</v>
      </c>
      <c r="R265" s="267" t="s">
        <v>711</v>
      </c>
      <c r="S265" s="266" t="s">
        <v>29</v>
      </c>
      <c r="T265" s="266">
        <v>8</v>
      </c>
      <c r="U265" s="266">
        <v>1000</v>
      </c>
      <c r="V265" s="266" t="s">
        <v>31</v>
      </c>
      <c r="W265" s="266" t="s">
        <v>32</v>
      </c>
      <c r="X265" s="266"/>
      <c r="Y265" s="266" t="s">
        <v>7</v>
      </c>
      <c r="AA265" s="244" t="s">
        <v>696</v>
      </c>
      <c r="AB265" s="244" t="s">
        <v>695</v>
      </c>
      <c r="AC265" s="244" t="s">
        <v>29</v>
      </c>
      <c r="AD265" s="244">
        <v>64</v>
      </c>
      <c r="AE265" s="244">
        <v>1000</v>
      </c>
      <c r="AF265" s="244" t="s">
        <v>31</v>
      </c>
    </row>
    <row r="266" spans="1:32" ht="19.5" thickBot="1">
      <c r="A266" s="244" t="s">
        <v>952</v>
      </c>
      <c r="B266" s="244">
        <v>127</v>
      </c>
      <c r="C266" s="244" t="s">
        <v>703</v>
      </c>
      <c r="D266" s="244" t="s">
        <v>7560</v>
      </c>
      <c r="E266" s="244">
        <v>0</v>
      </c>
      <c r="F266" s="244">
        <v>1453</v>
      </c>
      <c r="G266" s="244" t="s">
        <v>7</v>
      </c>
      <c r="H266" s="244" t="s">
        <v>7763</v>
      </c>
      <c r="I266" s="265" t="str">
        <f t="shared" si="29"/>
        <v>537</v>
      </c>
      <c r="J266" s="244" t="str">
        <f t="shared" si="30"/>
        <v>BDC1SH5</v>
      </c>
      <c r="K266" s="244" t="str">
        <f t="shared" si="31"/>
        <v>1</v>
      </c>
      <c r="L266" s="244">
        <f t="shared" si="32"/>
        <v>64</v>
      </c>
      <c r="M266" s="244">
        <f t="shared" si="33"/>
        <v>1000</v>
      </c>
      <c r="N266" s="244" t="str">
        <f t="shared" si="34"/>
        <v>0</v>
      </c>
      <c r="P266" s="244">
        <f t="shared" si="28"/>
        <v>1</v>
      </c>
      <c r="Q266" s="266" t="s">
        <v>713</v>
      </c>
      <c r="R266" s="267" t="s">
        <v>714</v>
      </c>
      <c r="S266" s="266" t="s">
        <v>29</v>
      </c>
      <c r="T266" s="266">
        <v>8</v>
      </c>
      <c r="U266" s="266">
        <v>1000</v>
      </c>
      <c r="V266" s="266" t="s">
        <v>31</v>
      </c>
      <c r="W266" s="266" t="s">
        <v>32</v>
      </c>
      <c r="X266" s="266"/>
      <c r="Y266" s="266" t="s">
        <v>7</v>
      </c>
      <c r="AA266" s="244" t="s">
        <v>699</v>
      </c>
      <c r="AB266" s="244" t="s">
        <v>698</v>
      </c>
      <c r="AC266" s="244" t="s">
        <v>29</v>
      </c>
      <c r="AD266" s="244">
        <v>64</v>
      </c>
      <c r="AE266" s="244">
        <v>1000</v>
      </c>
      <c r="AF266" s="244" t="s">
        <v>31</v>
      </c>
    </row>
    <row r="267" spans="1:32" ht="19.5" thickBot="1">
      <c r="A267" s="244" t="s">
        <v>970</v>
      </c>
      <c r="B267" s="244">
        <v>145</v>
      </c>
      <c r="C267" s="244" t="s">
        <v>706</v>
      </c>
      <c r="D267" s="244" t="s">
        <v>7560</v>
      </c>
      <c r="E267" s="244">
        <v>0</v>
      </c>
      <c r="F267" s="244">
        <v>1537</v>
      </c>
      <c r="G267" s="244" t="s">
        <v>7</v>
      </c>
      <c r="H267" s="244" t="s">
        <v>706</v>
      </c>
      <c r="I267" s="265" t="str">
        <f t="shared" si="29"/>
        <v>538</v>
      </c>
      <c r="J267" s="244" t="str">
        <f t="shared" si="30"/>
        <v>BDC1SH6</v>
      </c>
      <c r="K267" s="244" t="str">
        <f t="shared" si="31"/>
        <v>1</v>
      </c>
      <c r="L267" s="244">
        <f t="shared" si="32"/>
        <v>64</v>
      </c>
      <c r="M267" s="244">
        <f t="shared" si="33"/>
        <v>1000</v>
      </c>
      <c r="N267" s="244" t="str">
        <f t="shared" si="34"/>
        <v>0</v>
      </c>
      <c r="P267" s="244">
        <f t="shared" si="28"/>
        <v>1</v>
      </c>
      <c r="Q267" s="266" t="s">
        <v>206</v>
      </c>
      <c r="R267" s="267" t="s">
        <v>205</v>
      </c>
      <c r="S267" s="266" t="s">
        <v>29</v>
      </c>
      <c r="T267" s="266">
        <v>32</v>
      </c>
      <c r="U267" s="266">
        <v>1000</v>
      </c>
      <c r="V267" s="266" t="s">
        <v>31</v>
      </c>
      <c r="W267" s="266" t="s">
        <v>32</v>
      </c>
      <c r="X267" s="266"/>
      <c r="Y267" s="266" t="s">
        <v>7</v>
      </c>
      <c r="AA267" s="244" t="s">
        <v>702</v>
      </c>
      <c r="AB267" s="244" t="s">
        <v>701</v>
      </c>
      <c r="AC267" s="244" t="s">
        <v>29</v>
      </c>
      <c r="AD267" s="244">
        <v>64</v>
      </c>
      <c r="AE267" s="244">
        <v>1000</v>
      </c>
      <c r="AF267" s="244" t="s">
        <v>31</v>
      </c>
    </row>
    <row r="268" spans="1:32" ht="19.5" thickBot="1">
      <c r="A268" s="244" t="s">
        <v>930</v>
      </c>
      <c r="B268" s="244">
        <v>106</v>
      </c>
      <c r="C268" s="244" t="s">
        <v>709</v>
      </c>
      <c r="D268" s="244" t="s">
        <v>7560</v>
      </c>
      <c r="E268" s="244">
        <v>0</v>
      </c>
      <c r="F268" s="244">
        <v>1544</v>
      </c>
      <c r="G268" s="244" t="s">
        <v>7</v>
      </c>
      <c r="H268" s="244" t="s">
        <v>709</v>
      </c>
      <c r="I268" s="265" t="str">
        <f t="shared" si="29"/>
        <v>592</v>
      </c>
      <c r="J268" s="244" t="str">
        <f t="shared" si="30"/>
        <v>ENG1S51</v>
      </c>
      <c r="K268" s="244" t="str">
        <f t="shared" si="31"/>
        <v>1</v>
      </c>
      <c r="L268" s="244">
        <f t="shared" si="32"/>
        <v>32</v>
      </c>
      <c r="M268" s="244">
        <f t="shared" si="33"/>
        <v>1500</v>
      </c>
      <c r="N268" s="244" t="str">
        <f t="shared" si="34"/>
        <v>0</v>
      </c>
      <c r="P268" s="244">
        <f t="shared" si="28"/>
        <v>1</v>
      </c>
      <c r="Q268" s="266" t="s">
        <v>716</v>
      </c>
      <c r="R268" s="267" t="s">
        <v>717</v>
      </c>
      <c r="S268" s="266" t="s">
        <v>29</v>
      </c>
      <c r="T268" s="266">
        <v>8</v>
      </c>
      <c r="U268" s="266">
        <v>1000</v>
      </c>
      <c r="V268" s="266" t="s">
        <v>31</v>
      </c>
      <c r="W268" s="266" t="s">
        <v>32</v>
      </c>
      <c r="X268" s="266"/>
      <c r="Y268" s="266" t="s">
        <v>7</v>
      </c>
      <c r="AA268" s="244" t="s">
        <v>705</v>
      </c>
      <c r="AB268" s="244" t="s">
        <v>704</v>
      </c>
      <c r="AC268" s="244" t="s">
        <v>29</v>
      </c>
      <c r="AD268" s="244">
        <v>32</v>
      </c>
      <c r="AE268" s="244">
        <v>1500</v>
      </c>
      <c r="AF268" s="244" t="s">
        <v>31</v>
      </c>
    </row>
    <row r="269" spans="1:32" ht="19.5" thickBot="1">
      <c r="A269" s="244" t="s">
        <v>915</v>
      </c>
      <c r="B269" s="244">
        <v>91</v>
      </c>
      <c r="C269" s="244" t="s">
        <v>712</v>
      </c>
      <c r="D269" s="244" t="s">
        <v>7560</v>
      </c>
      <c r="E269" s="244">
        <v>0</v>
      </c>
      <c r="F269" s="244">
        <v>1552</v>
      </c>
      <c r="G269" s="244" t="s">
        <v>7</v>
      </c>
      <c r="H269" s="244" t="s">
        <v>712</v>
      </c>
      <c r="I269" s="265" t="str">
        <f t="shared" si="29"/>
        <v>596</v>
      </c>
      <c r="J269" s="244" t="str">
        <f t="shared" si="30"/>
        <v>BDC1SV3</v>
      </c>
      <c r="K269" s="244" t="str">
        <f t="shared" si="31"/>
        <v>1</v>
      </c>
      <c r="L269" s="244">
        <f t="shared" si="32"/>
        <v>32</v>
      </c>
      <c r="M269" s="244">
        <f t="shared" si="33"/>
        <v>1000</v>
      </c>
      <c r="N269" s="244" t="str">
        <f t="shared" si="34"/>
        <v>0</v>
      </c>
      <c r="P269" s="244">
        <f t="shared" si="28"/>
        <v>1</v>
      </c>
      <c r="Q269" s="266" t="s">
        <v>719</v>
      </c>
      <c r="R269" s="267" t="s">
        <v>720</v>
      </c>
      <c r="S269" s="266" t="s">
        <v>29</v>
      </c>
      <c r="T269" s="266">
        <v>32</v>
      </c>
      <c r="U269" s="266">
        <v>1000</v>
      </c>
      <c r="V269" s="266" t="s">
        <v>31</v>
      </c>
      <c r="W269" s="266" t="s">
        <v>32</v>
      </c>
      <c r="X269" s="266"/>
      <c r="Y269" s="266" t="s">
        <v>7</v>
      </c>
      <c r="AA269" s="244" t="s">
        <v>708</v>
      </c>
      <c r="AB269" s="244" t="s">
        <v>707</v>
      </c>
      <c r="AC269" s="244" t="s">
        <v>29</v>
      </c>
      <c r="AD269" s="244">
        <v>32</v>
      </c>
      <c r="AE269" s="244">
        <v>1000</v>
      </c>
      <c r="AF269" s="244" t="s">
        <v>31</v>
      </c>
    </row>
    <row r="270" spans="1:32" ht="19.5" thickBot="1">
      <c r="A270" s="244" t="s">
        <v>7</v>
      </c>
      <c r="B270" s="244" t="s">
        <v>7</v>
      </c>
      <c r="C270" s="244" t="s">
        <v>715</v>
      </c>
      <c r="D270" s="244" t="s">
        <v>7560</v>
      </c>
      <c r="E270" s="244">
        <v>0</v>
      </c>
      <c r="F270" s="244">
        <v>1572</v>
      </c>
      <c r="G270" s="244" t="s">
        <v>7</v>
      </c>
      <c r="H270" s="244" t="s">
        <v>715</v>
      </c>
      <c r="I270" s="265" t="str">
        <f t="shared" si="29"/>
        <v>5AD</v>
      </c>
      <c r="J270" s="244" t="str">
        <f t="shared" si="30"/>
        <v>IMS1S01</v>
      </c>
      <c r="K270" s="244" t="str">
        <f t="shared" si="31"/>
        <v>1</v>
      </c>
      <c r="L270" s="244">
        <f t="shared" si="32"/>
        <v>8</v>
      </c>
      <c r="M270" s="244">
        <f t="shared" si="33"/>
        <v>1000</v>
      </c>
      <c r="N270" s="244" t="str">
        <f t="shared" si="34"/>
        <v>0</v>
      </c>
      <c r="P270" s="244">
        <f t="shared" si="28"/>
        <v>1</v>
      </c>
      <c r="Q270" s="266" t="s">
        <v>583</v>
      </c>
      <c r="R270" s="267" t="s">
        <v>582</v>
      </c>
      <c r="S270" s="266" t="s">
        <v>29</v>
      </c>
      <c r="T270" s="266">
        <v>8</v>
      </c>
      <c r="U270" s="266">
        <v>1000</v>
      </c>
      <c r="V270" s="266" t="s">
        <v>31</v>
      </c>
      <c r="W270" s="266" t="s">
        <v>32</v>
      </c>
      <c r="X270" s="266"/>
      <c r="Y270" s="266" t="s">
        <v>7</v>
      </c>
      <c r="AA270" s="244" t="s">
        <v>711</v>
      </c>
      <c r="AB270" s="244" t="s">
        <v>710</v>
      </c>
      <c r="AC270" s="244" t="s">
        <v>29</v>
      </c>
      <c r="AD270" s="244">
        <v>8</v>
      </c>
      <c r="AE270" s="244">
        <v>1000</v>
      </c>
      <c r="AF270" s="244" t="s">
        <v>31</v>
      </c>
    </row>
    <row r="271" spans="1:32" ht="19.5" thickBot="1">
      <c r="A271" s="244" t="s">
        <v>862</v>
      </c>
      <c r="B271" s="244">
        <v>39</v>
      </c>
      <c r="C271" s="244" t="s">
        <v>715</v>
      </c>
      <c r="D271" s="244" t="s">
        <v>6</v>
      </c>
      <c r="E271" s="244">
        <v>8</v>
      </c>
      <c r="F271" s="244">
        <v>1572</v>
      </c>
      <c r="G271" s="244" t="s">
        <v>7</v>
      </c>
      <c r="H271" s="244" t="s">
        <v>7764</v>
      </c>
      <c r="I271" s="265" t="str">
        <f t="shared" si="29"/>
        <v>601</v>
      </c>
      <c r="J271" s="244" t="str">
        <f t="shared" si="30"/>
        <v>VUM1S01</v>
      </c>
      <c r="K271" s="244" t="str">
        <f t="shared" si="31"/>
        <v>1</v>
      </c>
      <c r="L271" s="244">
        <f t="shared" si="32"/>
        <v>8</v>
      </c>
      <c r="M271" s="244">
        <f t="shared" si="33"/>
        <v>1000</v>
      </c>
      <c r="N271" s="244" t="str">
        <f t="shared" si="34"/>
        <v>0</v>
      </c>
      <c r="P271" s="244">
        <f t="shared" si="28"/>
        <v>1</v>
      </c>
      <c r="Q271" s="266" t="s">
        <v>597</v>
      </c>
      <c r="R271" s="267" t="s">
        <v>596</v>
      </c>
      <c r="S271" s="266" t="s">
        <v>29</v>
      </c>
      <c r="T271" s="266">
        <v>8</v>
      </c>
      <c r="U271" s="266">
        <v>1000</v>
      </c>
      <c r="V271" s="266" t="s">
        <v>31</v>
      </c>
      <c r="W271" s="266" t="s">
        <v>32</v>
      </c>
      <c r="X271" s="266"/>
      <c r="Y271" s="266" t="s">
        <v>7</v>
      </c>
      <c r="AA271" s="244" t="s">
        <v>714</v>
      </c>
      <c r="AB271" s="244" t="s">
        <v>713</v>
      </c>
      <c r="AC271" s="244" t="s">
        <v>29</v>
      </c>
      <c r="AD271" s="244">
        <v>8</v>
      </c>
      <c r="AE271" s="244">
        <v>1000</v>
      </c>
      <c r="AF271" s="244" t="s">
        <v>31</v>
      </c>
    </row>
    <row r="272" spans="1:32" ht="19.5" thickBot="1">
      <c r="A272" s="244" t="s">
        <v>866</v>
      </c>
      <c r="B272" s="244">
        <v>43</v>
      </c>
      <c r="C272" s="244" t="s">
        <v>718</v>
      </c>
      <c r="D272" s="244" t="s">
        <v>7560</v>
      </c>
      <c r="E272" s="244">
        <v>0</v>
      </c>
      <c r="F272" s="244">
        <v>1577</v>
      </c>
      <c r="G272" s="244" t="s">
        <v>7</v>
      </c>
      <c r="H272" s="244" t="s">
        <v>718</v>
      </c>
      <c r="I272" s="265" t="str">
        <f t="shared" si="29"/>
        <v>608</v>
      </c>
      <c r="J272" s="244" t="str">
        <f t="shared" si="30"/>
        <v>DS11S40</v>
      </c>
      <c r="K272" s="244" t="str">
        <f t="shared" si="31"/>
        <v>1</v>
      </c>
      <c r="L272" s="244">
        <f t="shared" si="32"/>
        <v>8</v>
      </c>
      <c r="M272" s="244">
        <f t="shared" si="33"/>
        <v>1000</v>
      </c>
      <c r="N272" s="244" t="str">
        <f t="shared" si="34"/>
        <v>0</v>
      </c>
      <c r="P272" s="244">
        <f t="shared" si="28"/>
        <v>1</v>
      </c>
      <c r="Q272" s="266" t="s">
        <v>587</v>
      </c>
      <c r="R272" s="267" t="s">
        <v>586</v>
      </c>
      <c r="S272" s="266" t="s">
        <v>29</v>
      </c>
      <c r="T272" s="266">
        <v>8</v>
      </c>
      <c r="U272" s="266">
        <v>1000</v>
      </c>
      <c r="V272" s="266" t="s">
        <v>31</v>
      </c>
      <c r="W272" s="266" t="s">
        <v>32</v>
      </c>
      <c r="X272" s="266"/>
      <c r="Y272" s="266" t="s">
        <v>7</v>
      </c>
      <c r="AA272" s="244" t="s">
        <v>717</v>
      </c>
      <c r="AB272" s="244" t="s">
        <v>716</v>
      </c>
      <c r="AC272" s="244" t="s">
        <v>29</v>
      </c>
      <c r="AD272" s="244">
        <v>8</v>
      </c>
      <c r="AE272" s="244">
        <v>1000</v>
      </c>
      <c r="AF272" s="244" t="s">
        <v>31</v>
      </c>
    </row>
    <row r="273" spans="1:32" ht="19.5" thickBot="1">
      <c r="A273" s="244" t="s">
        <v>867</v>
      </c>
      <c r="B273" s="244">
        <v>44</v>
      </c>
      <c r="C273" s="244" t="s">
        <v>721</v>
      </c>
      <c r="D273" s="244" t="s">
        <v>7560</v>
      </c>
      <c r="E273" s="244">
        <v>0</v>
      </c>
      <c r="F273" s="244">
        <v>1578</v>
      </c>
      <c r="G273" s="244" t="s">
        <v>7</v>
      </c>
      <c r="H273" s="244" t="s">
        <v>7765</v>
      </c>
      <c r="I273" s="265" t="str">
        <f t="shared" si="29"/>
        <v>610</v>
      </c>
      <c r="J273" s="244" t="str">
        <f t="shared" si="30"/>
        <v>BDC1SV1</v>
      </c>
      <c r="K273" s="244" t="str">
        <f t="shared" si="31"/>
        <v>1</v>
      </c>
      <c r="L273" s="244">
        <f t="shared" si="32"/>
        <v>32</v>
      </c>
      <c r="M273" s="244">
        <f t="shared" si="33"/>
        <v>1000</v>
      </c>
      <c r="N273" s="244" t="str">
        <f t="shared" si="34"/>
        <v>0</v>
      </c>
      <c r="P273" s="244">
        <f t="shared" si="28"/>
        <v>1</v>
      </c>
      <c r="Q273" s="266" t="s">
        <v>724</v>
      </c>
      <c r="R273" s="267" t="s">
        <v>723</v>
      </c>
      <c r="S273" s="266" t="s">
        <v>29</v>
      </c>
      <c r="T273" s="266">
        <v>32</v>
      </c>
      <c r="U273" s="266">
        <v>1000</v>
      </c>
      <c r="V273" s="266" t="s">
        <v>29</v>
      </c>
      <c r="W273" s="266" t="s">
        <v>32</v>
      </c>
      <c r="X273" s="266"/>
      <c r="Y273" s="266" t="s">
        <v>7</v>
      </c>
      <c r="AA273" s="244" t="s">
        <v>720</v>
      </c>
      <c r="AB273" s="244" t="s">
        <v>719</v>
      </c>
      <c r="AC273" s="244" t="s">
        <v>29</v>
      </c>
      <c r="AD273" s="244">
        <v>32</v>
      </c>
      <c r="AE273" s="244">
        <v>1000</v>
      </c>
      <c r="AF273" s="244" t="s">
        <v>31</v>
      </c>
    </row>
    <row r="274" spans="1:32" ht="19.5" thickBot="1">
      <c r="A274" s="244" t="s">
        <v>950</v>
      </c>
      <c r="B274" s="244">
        <v>125</v>
      </c>
      <c r="C274" s="244" t="s">
        <v>722</v>
      </c>
      <c r="D274" s="244" t="s">
        <v>7560</v>
      </c>
      <c r="E274" s="244">
        <v>0</v>
      </c>
      <c r="F274" s="244">
        <v>1587</v>
      </c>
      <c r="G274" s="244" t="s">
        <v>7</v>
      </c>
      <c r="H274" s="244" t="s">
        <v>722</v>
      </c>
      <c r="I274" s="265" t="str">
        <f t="shared" si="29"/>
        <v>624</v>
      </c>
      <c r="J274" s="244" t="str">
        <f t="shared" si="30"/>
        <v>BDB1S08</v>
      </c>
      <c r="K274" s="244" t="str">
        <f t="shared" si="31"/>
        <v>1</v>
      </c>
      <c r="L274" s="244">
        <f t="shared" si="32"/>
        <v>32</v>
      </c>
      <c r="M274" s="244">
        <f t="shared" si="33"/>
        <v>1000</v>
      </c>
      <c r="N274" s="244" t="str">
        <f t="shared" si="34"/>
        <v>1</v>
      </c>
      <c r="P274" s="244">
        <f t="shared" si="28"/>
        <v>1</v>
      </c>
      <c r="Q274" s="266" t="s">
        <v>601</v>
      </c>
      <c r="R274" s="267" t="s">
        <v>600</v>
      </c>
      <c r="S274" s="266" t="s">
        <v>29</v>
      </c>
      <c r="T274" s="266">
        <v>8</v>
      </c>
      <c r="U274" s="266">
        <v>1000</v>
      </c>
      <c r="V274" s="266" t="s">
        <v>31</v>
      </c>
      <c r="W274" s="266" t="s">
        <v>32</v>
      </c>
      <c r="X274" s="266"/>
      <c r="Y274" s="266" t="s">
        <v>7</v>
      </c>
      <c r="AA274" s="244" t="s">
        <v>723</v>
      </c>
      <c r="AB274" s="244" t="s">
        <v>724</v>
      </c>
      <c r="AC274" s="244" t="s">
        <v>29</v>
      </c>
      <c r="AD274" s="244">
        <v>32</v>
      </c>
      <c r="AE274" s="244">
        <v>1000</v>
      </c>
      <c r="AF274" s="244" t="s">
        <v>29</v>
      </c>
    </row>
    <row r="275" spans="1:32" ht="19.5" thickBot="1">
      <c r="I275" s="265" t="str">
        <f t="shared" si="29"/>
        <v>62C</v>
      </c>
      <c r="J275" s="244" t="str">
        <f t="shared" si="30"/>
        <v>BDB1S13</v>
      </c>
      <c r="K275" s="244" t="str">
        <f t="shared" si="31"/>
        <v>1</v>
      </c>
      <c r="L275" s="244">
        <f t="shared" si="32"/>
        <v>8</v>
      </c>
      <c r="M275" s="244" t="str">
        <f t="shared" si="33"/>
        <v>-</v>
      </c>
      <c r="N275" s="244" t="str">
        <f t="shared" si="34"/>
        <v>0</v>
      </c>
      <c r="P275" s="244">
        <f t="shared" si="28"/>
        <v>1</v>
      </c>
      <c r="Q275" s="266" t="s">
        <v>730</v>
      </c>
      <c r="R275" s="267" t="s">
        <v>729</v>
      </c>
      <c r="S275" s="266" t="s">
        <v>29</v>
      </c>
      <c r="T275" s="266">
        <v>8</v>
      </c>
      <c r="U275" s="266">
        <v>1000</v>
      </c>
      <c r="V275" s="266" t="s">
        <v>31</v>
      </c>
      <c r="W275" s="266" t="s">
        <v>32</v>
      </c>
      <c r="X275" s="266"/>
      <c r="Y275" s="266" t="s">
        <v>7</v>
      </c>
      <c r="AA275" s="244" t="s">
        <v>725</v>
      </c>
      <c r="AB275" s="244" t="s">
        <v>726</v>
      </c>
      <c r="AC275" s="244" t="s">
        <v>29</v>
      </c>
      <c r="AD275" s="244">
        <v>8</v>
      </c>
      <c r="AE275" s="244" t="s">
        <v>30</v>
      </c>
      <c r="AF275" s="244" t="s">
        <v>31</v>
      </c>
    </row>
    <row r="276" spans="1:32" ht="19.5" thickBot="1">
      <c r="I276" s="265" t="str">
        <f t="shared" si="29"/>
        <v>629</v>
      </c>
      <c r="J276" s="244" t="str">
        <f t="shared" si="30"/>
        <v>BDB1S27</v>
      </c>
      <c r="K276" s="244" t="str">
        <f t="shared" si="31"/>
        <v>1</v>
      </c>
      <c r="L276" s="244">
        <f t="shared" si="32"/>
        <v>8</v>
      </c>
      <c r="M276" s="244">
        <f t="shared" si="33"/>
        <v>1000</v>
      </c>
      <c r="N276" s="244" t="str">
        <f t="shared" si="34"/>
        <v>0</v>
      </c>
      <c r="P276" s="244">
        <f t="shared" si="28"/>
        <v>1</v>
      </c>
      <c r="Q276" s="266" t="s">
        <v>734</v>
      </c>
      <c r="R276" s="267" t="s">
        <v>733</v>
      </c>
      <c r="S276" s="266" t="s">
        <v>29</v>
      </c>
      <c r="T276" s="266">
        <v>8</v>
      </c>
      <c r="U276" s="266">
        <v>1000</v>
      </c>
      <c r="V276" s="266" t="s">
        <v>31</v>
      </c>
      <c r="W276" s="266" t="s">
        <v>32</v>
      </c>
      <c r="X276" s="266"/>
      <c r="Y276" s="266" t="s">
        <v>7</v>
      </c>
      <c r="AA276" s="244" t="s">
        <v>729</v>
      </c>
      <c r="AB276" s="244" t="s">
        <v>730</v>
      </c>
      <c r="AC276" s="244" t="s">
        <v>29</v>
      </c>
      <c r="AD276" s="244">
        <v>8</v>
      </c>
      <c r="AE276" s="244">
        <v>1000</v>
      </c>
      <c r="AF276" s="244" t="s">
        <v>31</v>
      </c>
    </row>
    <row r="277" spans="1:32" ht="19.5" thickBot="1">
      <c r="I277" s="265" t="str">
        <f t="shared" si="29"/>
        <v>62A</v>
      </c>
      <c r="J277" s="244" t="str">
        <f t="shared" si="30"/>
        <v>BDB1S28</v>
      </c>
      <c r="K277" s="244" t="str">
        <f t="shared" si="31"/>
        <v>1</v>
      </c>
      <c r="L277" s="244">
        <f t="shared" si="32"/>
        <v>8</v>
      </c>
      <c r="M277" s="244">
        <f t="shared" si="33"/>
        <v>1000</v>
      </c>
      <c r="N277" s="244" t="str">
        <f t="shared" si="34"/>
        <v>0</v>
      </c>
      <c r="P277" s="244">
        <f t="shared" si="28"/>
        <v>1</v>
      </c>
      <c r="Q277" s="266" t="s">
        <v>726</v>
      </c>
      <c r="R277" s="267" t="s">
        <v>725</v>
      </c>
      <c r="S277" s="266" t="s">
        <v>29</v>
      </c>
      <c r="T277" s="266">
        <v>8</v>
      </c>
      <c r="U277" s="266" t="s">
        <v>30</v>
      </c>
      <c r="V277" s="266" t="s">
        <v>31</v>
      </c>
      <c r="W277" s="266" t="s">
        <v>32</v>
      </c>
      <c r="X277" s="266"/>
      <c r="Y277" s="266" t="s">
        <v>7</v>
      </c>
      <c r="AA277" s="244" t="s">
        <v>733</v>
      </c>
      <c r="AB277" s="244" t="s">
        <v>734</v>
      </c>
      <c r="AC277" s="244" t="s">
        <v>29</v>
      </c>
      <c r="AD277" s="244">
        <v>8</v>
      </c>
      <c r="AE277" s="244">
        <v>1000</v>
      </c>
      <c r="AF277" s="244" t="s">
        <v>31</v>
      </c>
    </row>
    <row r="278" spans="1:32">
      <c r="I278" s="265" t="str">
        <f t="shared" si="29"/>
        <v>633</v>
      </c>
      <c r="J278" s="244" t="str">
        <f t="shared" si="30"/>
        <v>IDT1S02</v>
      </c>
      <c r="K278" s="244" t="str">
        <f t="shared" si="31"/>
        <v>1</v>
      </c>
      <c r="L278" s="244">
        <f t="shared" si="32"/>
        <v>8</v>
      </c>
      <c r="M278" s="244">
        <f t="shared" si="33"/>
        <v>1000</v>
      </c>
      <c r="N278" s="244" t="str">
        <f t="shared" si="34"/>
        <v>0</v>
      </c>
      <c r="P278" s="244">
        <f t="shared" si="28"/>
        <v>1</v>
      </c>
      <c r="Q278" s="266" t="s">
        <v>736</v>
      </c>
      <c r="R278" s="267" t="s">
        <v>735</v>
      </c>
      <c r="S278" s="266" t="s">
        <v>29</v>
      </c>
      <c r="T278" s="266">
        <v>8</v>
      </c>
      <c r="U278" s="266">
        <v>1000</v>
      </c>
      <c r="V278" s="266" t="s">
        <v>31</v>
      </c>
      <c r="W278" s="266" t="s">
        <v>32</v>
      </c>
      <c r="X278" s="266"/>
      <c r="Y278" s="266" t="s">
        <v>7</v>
      </c>
      <c r="AA278" s="244" t="s">
        <v>735</v>
      </c>
      <c r="AB278" s="244" t="s">
        <v>736</v>
      </c>
      <c r="AC278" s="244" t="s">
        <v>29</v>
      </c>
      <c r="AD278" s="244">
        <v>8</v>
      </c>
      <c r="AE278" s="244">
        <v>1000</v>
      </c>
      <c r="AF278" s="244" t="s">
        <v>31</v>
      </c>
    </row>
    <row r="279" spans="1:32">
      <c r="I279" s="265"/>
    </row>
  </sheetData>
  <autoFilter ref="P6:P278" xr:uid="{6EE90155-3506-4683-A6A4-180DA8DD59F4}"/>
  <phoneticPr fontId="4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21DF-B7FA-4EC6-AB6E-9FD825AA9452}">
  <sheetPr codeName="Sheet2"/>
  <dimension ref="A1:AS617"/>
  <sheetViews>
    <sheetView zoomScale="85" zoomScaleNormal="85" workbookViewId="0">
      <pane ySplit="5" topLeftCell="A6" activePane="bottomLeft" state="frozen"/>
      <selection pane="bottomLeft" activeCell="AG289" sqref="AG289:AN569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188" bestFit="1" customWidth="1"/>
    <col min="7" max="9" width="2.75" style="5" bestFit="1" customWidth="1"/>
    <col min="10" max="10" width="4.375" style="5" customWidth="1"/>
    <col min="11" max="23" width="3.625" style="6" customWidth="1" outlineLevel="1"/>
    <col min="24" max="24" width="5" style="6" customWidth="1"/>
    <col min="25" max="25" width="5.375" style="6" customWidth="1"/>
    <col min="26" max="26" width="15.625" style="6" customWidth="1" outlineLevel="1"/>
    <col min="27" max="27" width="57.625" style="6" customWidth="1" outlineLevel="1"/>
    <col min="28" max="28" width="15.75" style="6" bestFit="1" customWidth="1" outlineLevel="1"/>
    <col min="29" max="29" width="5.375" style="6" customWidth="1" outlineLevel="1"/>
    <col min="30" max="30" width="3.75" style="6" customWidth="1" outlineLevel="1"/>
    <col min="31" max="31" width="4.1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25.375" style="6" bestFit="1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48" t="s">
        <v>2</v>
      </c>
      <c r="B1" s="49"/>
      <c r="C1" s="49"/>
      <c r="D1" s="49"/>
      <c r="E1" s="49"/>
      <c r="F1" s="31"/>
      <c r="G1" s="50"/>
      <c r="H1" s="50"/>
      <c r="I1" s="5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F1" s="38"/>
      <c r="AG1" s="96"/>
    </row>
    <row r="2" spans="1:45">
      <c r="A2" s="52"/>
      <c r="B2" s="53"/>
      <c r="C2" s="53"/>
      <c r="D2" s="53"/>
      <c r="E2" s="53"/>
      <c r="F2" s="35"/>
      <c r="G2" s="54"/>
      <c r="H2" s="54"/>
      <c r="I2" s="55"/>
      <c r="K2" s="6">
        <f t="shared" ref="K2:W2" si="1">MAX(K6:K286)</f>
        <v>0</v>
      </c>
      <c r="L2" s="6">
        <f t="shared" si="1"/>
        <v>1</v>
      </c>
      <c r="M2" s="6">
        <f t="shared" si="1"/>
        <v>1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1</v>
      </c>
      <c r="W2" s="6">
        <f t="shared" si="1"/>
        <v>0</v>
      </c>
      <c r="X2" s="90">
        <f>SUM(K2:W2)</f>
        <v>4</v>
      </c>
      <c r="Z2" s="6" t="s">
        <v>749</v>
      </c>
      <c r="AE2" s="96"/>
      <c r="AF2" s="38"/>
      <c r="AG2" s="96"/>
    </row>
    <row r="3" spans="1:45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185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3</v>
      </c>
      <c r="Y3" s="12"/>
      <c r="Z3" s="6" t="s">
        <v>750</v>
      </c>
      <c r="AA3" s="6" t="s">
        <v>751</v>
      </c>
      <c r="AB3" s="6" t="s">
        <v>752</v>
      </c>
      <c r="AE3" s="97"/>
      <c r="AF3" s="38"/>
      <c r="AG3" s="96"/>
    </row>
    <row r="4" spans="1:45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186" t="s">
        <v>17</v>
      </c>
      <c r="G4" s="40" t="s">
        <v>18</v>
      </c>
      <c r="H4" s="41" t="s">
        <v>18</v>
      </c>
      <c r="I4" s="40" t="s">
        <v>18</v>
      </c>
      <c r="K4" s="17" t="s">
        <v>753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92" t="s">
        <v>766</v>
      </c>
      <c r="Y4" s="17" t="s">
        <v>767</v>
      </c>
      <c r="Z4" s="70" t="s">
        <v>764</v>
      </c>
      <c r="AA4" s="70" t="s">
        <v>768</v>
      </c>
      <c r="AB4" s="17" t="s">
        <v>755</v>
      </c>
      <c r="AE4" s="98"/>
      <c r="AF4" s="107" t="s">
        <v>769</v>
      </c>
      <c r="AG4" s="108" t="s">
        <v>770</v>
      </c>
      <c r="AH4" s="19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  <c r="AM4" s="19"/>
      <c r="AN4" s="19"/>
      <c r="AO4" s="12"/>
    </row>
    <row r="5" spans="1:45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187" t="s">
        <v>22</v>
      </c>
      <c r="G5" s="44"/>
      <c r="H5" s="45"/>
      <c r="I5" s="44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95" t="s">
        <v>776</v>
      </c>
      <c r="Y5" s="21" t="s">
        <v>776</v>
      </c>
      <c r="Z5" s="21" t="s">
        <v>776</v>
      </c>
      <c r="AA5" s="21" t="s">
        <v>776</v>
      </c>
      <c r="AB5" s="21" t="s">
        <v>776</v>
      </c>
      <c r="AC5" s="21" t="s">
        <v>776</v>
      </c>
      <c r="AD5" s="21" t="s">
        <v>776</v>
      </c>
      <c r="AE5" s="99" t="s">
        <v>776</v>
      </c>
      <c r="AF5" s="86" t="s">
        <v>776</v>
      </c>
      <c r="AG5" s="99" t="s">
        <v>776</v>
      </c>
      <c r="AH5" s="21" t="s">
        <v>776</v>
      </c>
      <c r="AI5" s="21" t="s">
        <v>776</v>
      </c>
      <c r="AJ5" s="21" t="s">
        <v>776</v>
      </c>
      <c r="AK5" s="21" t="s">
        <v>776</v>
      </c>
      <c r="AL5" s="21"/>
      <c r="AM5" s="21" t="s">
        <v>776</v>
      </c>
      <c r="AN5" s="21" t="s">
        <v>776</v>
      </c>
      <c r="AO5" s="21"/>
      <c r="AP5" s="21"/>
      <c r="AQ5" s="21"/>
      <c r="AR5" s="21"/>
      <c r="AS5" s="21"/>
    </row>
    <row r="6" spans="1:45">
      <c r="A6" s="192" t="s">
        <v>28</v>
      </c>
      <c r="B6" s="192" t="s">
        <v>27</v>
      </c>
      <c r="C6" s="192" t="s">
        <v>29</v>
      </c>
      <c r="D6" s="192">
        <v>64</v>
      </c>
      <c r="E6" s="192" t="s">
        <v>30</v>
      </c>
      <c r="F6" s="192" t="s">
        <v>31</v>
      </c>
      <c r="G6" s="192" t="s">
        <v>32</v>
      </c>
      <c r="H6" s="192"/>
      <c r="I6" s="192"/>
      <c r="J6" s="193"/>
      <c r="K6" s="194">
        <v>0</v>
      </c>
      <c r="L6" s="194">
        <v>0</v>
      </c>
      <c r="M6" s="194">
        <v>0</v>
      </c>
      <c r="N6" s="194">
        <v>1</v>
      </c>
      <c r="O6" s="194">
        <v>0</v>
      </c>
      <c r="P6" s="194">
        <v>0</v>
      </c>
      <c r="Q6" s="194">
        <v>0</v>
      </c>
      <c r="R6" s="194">
        <v>0</v>
      </c>
      <c r="S6" s="194">
        <v>0</v>
      </c>
      <c r="T6" s="194">
        <v>0</v>
      </c>
      <c r="U6" s="194">
        <v>0</v>
      </c>
      <c r="V6" s="194">
        <v>0</v>
      </c>
      <c r="W6" s="194">
        <v>0</v>
      </c>
      <c r="X6" s="195"/>
      <c r="Y6" s="194">
        <v>29</v>
      </c>
      <c r="Z6" s="194">
        <v>65535</v>
      </c>
      <c r="AA6" s="6">
        <v>32768</v>
      </c>
      <c r="AB6" s="194">
        <v>65535</v>
      </c>
      <c r="AC6" s="194"/>
      <c r="AD6" s="194"/>
      <c r="AE6" s="196"/>
      <c r="AF6" s="222">
        <f>IF(AF5="#",0,IF(AND(D5=D6,K5=K6,L5=L6,M5=M6,N5=N6,O5=O6,P5=P6,Q5=Q6,R5=R6,S5=S6,T5=T6,U5=U6,V5=V6,W5=W6,HEX2DEC(SUBSTITUTE(AH5,"0x",""))&lt;HEX2DEC(SUBSTITUTE(AH6,"0x",""))),"",MAX($AF$6:AF6)+1))</f>
        <v>0</v>
      </c>
      <c r="AG6" s="223" t="str">
        <f>IF(MAX(INDEX($AF:$AF,ROW($AG$6)):INDEX($AF:$AF,ROW(AG6)))+1=AF7,MAX(INDEX($AF:$AF,ROW($AG$6)):INDEX($AF:$AF,ROW(AG6))),"")</f>
        <v/>
      </c>
      <c r="AH6" s="6" t="str">
        <f>LOWER(IF(C6="1", "0x40000"&amp;B6,"0x00000"&amp;B6))</f>
        <v>0x40000013</v>
      </c>
      <c r="AI6" s="6">
        <f>HEX2DEC(RIGHT(AH6,8))</f>
        <v>1073741843</v>
      </c>
      <c r="AJ6" s="6" t="str">
        <f>IF(AF6&lt;&gt;"",AH6,"")</f>
        <v>0x40000013</v>
      </c>
      <c r="AK6" s="6" t="str">
        <f t="shared" ref="AK6:AK69" si="3">IF(AF6&lt;&gt;"",VLOOKUP(AF6,$AG$6:$AH$286,2,TRUE),"")</f>
        <v>0x40000062</v>
      </c>
      <c r="AL6" s="6">
        <f>IF($AF6&lt;&gt;"",MIN($D6:$D6),"")</f>
        <v>64</v>
      </c>
    </row>
    <row r="7" spans="1:45">
      <c r="A7" s="192" t="s">
        <v>35</v>
      </c>
      <c r="B7" s="192" t="s">
        <v>34</v>
      </c>
      <c r="C7" s="192" t="s">
        <v>29</v>
      </c>
      <c r="D7" s="192">
        <v>64</v>
      </c>
      <c r="E7" s="192" t="s">
        <v>30</v>
      </c>
      <c r="F7" s="192" t="s">
        <v>31</v>
      </c>
      <c r="G7" s="192" t="s">
        <v>32</v>
      </c>
      <c r="H7" s="192"/>
      <c r="I7" s="192"/>
      <c r="J7" s="193"/>
      <c r="K7" s="194">
        <v>0</v>
      </c>
      <c r="L7" s="194">
        <v>0</v>
      </c>
      <c r="M7" s="194">
        <v>0</v>
      </c>
      <c r="N7" s="194">
        <v>1</v>
      </c>
      <c r="O7" s="194">
        <v>0</v>
      </c>
      <c r="P7" s="194">
        <v>0</v>
      </c>
      <c r="Q7" s="194">
        <v>0</v>
      </c>
      <c r="R7" s="194">
        <v>0</v>
      </c>
      <c r="S7" s="194">
        <v>0</v>
      </c>
      <c r="T7" s="194">
        <v>0</v>
      </c>
      <c r="U7" s="194">
        <v>0</v>
      </c>
      <c r="V7" s="194">
        <v>0</v>
      </c>
      <c r="W7" s="194">
        <v>0</v>
      </c>
      <c r="X7" s="195"/>
      <c r="Y7" s="194">
        <v>29</v>
      </c>
      <c r="Z7" s="194">
        <v>65535</v>
      </c>
      <c r="AA7" s="6">
        <v>32768</v>
      </c>
      <c r="AB7" s="194">
        <v>65535</v>
      </c>
      <c r="AC7" s="194"/>
      <c r="AD7" s="194"/>
      <c r="AE7" s="196"/>
      <c r="AF7" s="222" t="str">
        <f>IF(V7=1,MAX($AF$6:AF6)+1,IF(AF6="#",0,IF(AND(D6=D7,K6=K7,L6=L7,M6=M7,N6=N7,O6=O7,P6=P7,Q6=Q7,R6=R7,S6=S7,T6=T7,U6=U7,V6=V7,W6=W7,HEX2DEC(SUBSTITUTE(AH6,"0x",""))&lt;HEX2DEC(SUBSTITUTE(AH7,"0x",""))),"",MAX($AF$6:AF6)+1)))</f>
        <v/>
      </c>
      <c r="AG7" s="223" t="str">
        <f>IF(MAX(INDEX($AF:$AF,ROW($AG$6)):INDEX($AF:$AF,ROW(AG7)))+1=AF8,MAX(INDEX($AF:$AF,ROW($AG$6)):INDEX($AF:$AF,ROW(AG7))),"")</f>
        <v/>
      </c>
      <c r="AH7" s="6" t="str">
        <f t="shared" ref="AH7:AH70" si="4">LOWER(IF(C7="1", "0x40000"&amp;B7,"0x00000"&amp;B7))</f>
        <v>0x4000001b</v>
      </c>
      <c r="AI7" s="6">
        <f t="shared" ref="AI7:AI70" si="5">HEX2DEC(RIGHT(AH7,8))</f>
        <v>1073741851</v>
      </c>
      <c r="AJ7" s="6" t="str">
        <f t="shared" ref="AJ7:AJ70" si="6">IF(AF7&lt;&gt;"",AH7,"")</f>
        <v/>
      </c>
      <c r="AK7" s="6" t="str">
        <f t="shared" si="3"/>
        <v/>
      </c>
      <c r="AL7" s="6" t="str">
        <f t="shared" ref="AL7:AL70" si="7">IF($AF7&lt;&gt;"",MIN($D7:$D7),"")</f>
        <v/>
      </c>
      <c r="AN7" s="6" t="str">
        <f>IF(AI6&lt;AI7,"ok","not ok")</f>
        <v>ok</v>
      </c>
      <c r="AO7" s="6" t="s">
        <v>5</v>
      </c>
    </row>
    <row r="8" spans="1:45">
      <c r="A8" s="7" t="s">
        <v>777</v>
      </c>
      <c r="B8" s="7" t="s">
        <v>37</v>
      </c>
      <c r="C8" s="7" t="s">
        <v>29</v>
      </c>
      <c r="D8" s="7">
        <v>64</v>
      </c>
      <c r="E8" s="7">
        <v>10</v>
      </c>
      <c r="F8" s="7" t="s">
        <v>29</v>
      </c>
      <c r="G8" s="7" t="s">
        <v>32</v>
      </c>
      <c r="H8" s="7"/>
      <c r="I8" s="7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6">
        <v>29</v>
      </c>
      <c r="Z8" s="118">
        <v>65535</v>
      </c>
      <c r="AA8" s="6">
        <v>32768</v>
      </c>
      <c r="AB8" s="118">
        <v>65535</v>
      </c>
      <c r="AE8" s="96"/>
      <c r="AF8" s="270" t="str">
        <f>IF(V8=1,MAX($AF$6:AF7)+1,IF(AF7="#",0,IF(AND(D7=D8,K7=K8,L7=L8,M7=M8,N7=N8,O7=O8,P7=P8,Q7=Q8,R7=R8,S7=S8,T7=T8,U7=U8,V7=V8,W7=W8,HEX2DEC(SUBSTITUTE(AH7,"0x",""))&lt;HEX2DEC(SUBSTITUTE(AH8,"0x",""))),"",MAX($AF$6:AF7)+1)))</f>
        <v/>
      </c>
      <c r="AG8" s="225">
        <f>IF(MAX(INDEX($AF:$AF,ROW($AG$6)):INDEX($AF:$AF,ROW(AG8)))+1=AF9,MAX(INDEX($AF:$AF,ROW($AG$6)):INDEX($AF:$AF,ROW(AG8))),"")</f>
        <v>0</v>
      </c>
      <c r="AH8" s="6" t="str">
        <f t="shared" si="4"/>
        <v>0x40000062</v>
      </c>
      <c r="AI8" s="6">
        <f t="shared" si="5"/>
        <v>1073741922</v>
      </c>
      <c r="AJ8" s="6" t="str">
        <f t="shared" si="6"/>
        <v/>
      </c>
      <c r="AK8" s="6" t="str">
        <f t="shared" si="3"/>
        <v/>
      </c>
      <c r="AL8" s="6" t="str">
        <f t="shared" si="7"/>
        <v/>
      </c>
      <c r="AN8" s="6" t="str">
        <f t="shared" ref="AN8:AN71" si="8">IF(AI7&lt;AI8,"ok","not ok")</f>
        <v>ok</v>
      </c>
    </row>
    <row r="9" spans="1:45">
      <c r="A9" s="7" t="s">
        <v>778</v>
      </c>
      <c r="B9" s="7" t="s">
        <v>43</v>
      </c>
      <c r="C9" s="7" t="s">
        <v>29</v>
      </c>
      <c r="D9" s="7">
        <v>32</v>
      </c>
      <c r="E9" s="7">
        <v>10</v>
      </c>
      <c r="F9" s="7" t="s">
        <v>29</v>
      </c>
      <c r="G9" s="7" t="s">
        <v>32</v>
      </c>
      <c r="H9" s="7"/>
      <c r="I9" s="7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6">
        <v>29</v>
      </c>
      <c r="Z9" s="118">
        <v>65535</v>
      </c>
      <c r="AA9" s="6">
        <v>32768</v>
      </c>
      <c r="AB9" s="118">
        <v>65535</v>
      </c>
      <c r="AE9" s="96"/>
      <c r="AF9" s="270">
        <f>IF(V9=1,MAX($AF$6:AF8)+1,IF(AF8="#",0,IF(AND(D8=D9,K8=K9,L8=L9,M8=M9,N8=N9,O8=O9,P8=P9,Q8=Q9,R8=R9,S8=S9,T8=T9,U8=U9,V8=V9,W8=W9,HEX2DEC(SUBSTITUTE(AH8,"0x",""))&lt;HEX2DEC(SUBSTITUTE(AH9,"0x",""))),"",MAX($AF$6:AF8)+1)))</f>
        <v>1</v>
      </c>
      <c r="AG9" s="225">
        <f>IF(MAX(INDEX($AF:$AF,ROW($AG$6)):INDEX($AF:$AF,ROW(AG9)))+1=AF10,MAX(INDEX($AF:$AF,ROW($AG$6)):INDEX($AF:$AF,ROW(AG9))),"")</f>
        <v>1</v>
      </c>
      <c r="AH9" s="6" t="str">
        <f t="shared" si="4"/>
        <v>0x4000006a</v>
      </c>
      <c r="AI9" s="6">
        <f t="shared" si="5"/>
        <v>1073741930</v>
      </c>
      <c r="AJ9" s="6" t="str">
        <f t="shared" si="6"/>
        <v>0x4000006a</v>
      </c>
      <c r="AK9" s="6" t="str">
        <f t="shared" si="3"/>
        <v>0x4000006a</v>
      </c>
      <c r="AL9" s="6">
        <f t="shared" si="7"/>
        <v>32</v>
      </c>
      <c r="AN9" s="6" t="str">
        <f t="shared" si="8"/>
        <v>ok</v>
      </c>
      <c r="AO9" s="6" t="s">
        <v>5</v>
      </c>
    </row>
    <row r="10" spans="1:45">
      <c r="A10" s="7" t="s">
        <v>779</v>
      </c>
      <c r="B10" s="7" t="s">
        <v>40</v>
      </c>
      <c r="C10" s="7" t="s">
        <v>29</v>
      </c>
      <c r="D10" s="7">
        <v>32</v>
      </c>
      <c r="E10" s="7">
        <v>10</v>
      </c>
      <c r="F10" s="7" t="s">
        <v>29</v>
      </c>
      <c r="G10" s="7" t="s">
        <v>32</v>
      </c>
      <c r="H10" s="7"/>
      <c r="I10" s="7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6">
        <v>29</v>
      </c>
      <c r="Z10" s="118">
        <v>65535</v>
      </c>
      <c r="AA10" s="6">
        <v>32768</v>
      </c>
      <c r="AB10" s="118">
        <v>65535</v>
      </c>
      <c r="AE10" s="96"/>
      <c r="AF10" s="270">
        <f>IF(V10=1,MAX($AF$6:AF9)+1,IF(AF9="#",0,IF(AND(D9=D10,K9=K10,L9=L10,M9=M10,N9=N10,O9=O10,P9=P10,Q9=Q10,R9=R10,S9=S10,T9=T10,U9=U10,V9=V10,W9=W10,HEX2DEC(SUBSTITUTE(AH9,"0x",""))&lt;HEX2DEC(SUBSTITUTE(AH10,"0x",""))),"",MAX($AF$6:AF9)+1)))</f>
        <v>2</v>
      </c>
      <c r="AG10" s="225">
        <f>IF(MAX(INDEX($AF:$AF,ROW($AG$6)):INDEX($AF:$AF,ROW(AG10)))+1=AF11,MAX(INDEX($AF:$AF,ROW($AG$6)):INDEX($AF:$AF,ROW(AG10))),"")</f>
        <v>2</v>
      </c>
      <c r="AH10" s="6" t="str">
        <f t="shared" si="4"/>
        <v>0x40000069</v>
      </c>
      <c r="AI10" s="6">
        <f t="shared" si="5"/>
        <v>1073741929</v>
      </c>
      <c r="AJ10" s="6" t="str">
        <f t="shared" si="6"/>
        <v>0x40000069</v>
      </c>
      <c r="AK10" s="6" t="str">
        <f t="shared" si="3"/>
        <v>0x40000069</v>
      </c>
      <c r="AL10" s="6">
        <f t="shared" si="7"/>
        <v>32</v>
      </c>
      <c r="AN10" s="6" t="str">
        <f>IF(AI9&lt;AI10,"ok","not ok")</f>
        <v>not ok</v>
      </c>
      <c r="AO10" s="6" t="s">
        <v>5</v>
      </c>
    </row>
    <row r="11" spans="1:45">
      <c r="A11" s="7" t="s">
        <v>48</v>
      </c>
      <c r="B11" s="7" t="s">
        <v>47</v>
      </c>
      <c r="C11" s="7" t="s">
        <v>29</v>
      </c>
      <c r="D11" s="7">
        <v>8</v>
      </c>
      <c r="E11" s="7">
        <v>20</v>
      </c>
      <c r="F11" s="7" t="s">
        <v>31</v>
      </c>
      <c r="G11" s="7" t="s">
        <v>32</v>
      </c>
      <c r="H11" s="7"/>
      <c r="I11" s="7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6">
        <v>29</v>
      </c>
      <c r="Z11" s="118">
        <v>65535</v>
      </c>
      <c r="AA11" s="6">
        <v>32768</v>
      </c>
      <c r="AB11" s="118">
        <v>65535</v>
      </c>
      <c r="AE11" s="96"/>
      <c r="AF11" s="270">
        <f>IF(V11=1,MAX($AF$6:AF10)+1,IF(AF10="#",0,IF(AND(D10=D11,K10=K11,L10=L11,M10=M11,N10=N11,O10=O11,P10=P11,Q10=Q11,R10=R11,S10=S11,T10=T11,U10=U11,V10=V11,W10=W11,HEX2DEC(SUBSTITUTE(AH10,"0x",""))&lt;HEX2DEC(SUBSTITUTE(AH11,"0x",""))),"",MAX($AF$6:AF10)+1)))</f>
        <v>3</v>
      </c>
      <c r="AG11" s="225">
        <f>IF(MAX(INDEX($AF:$AF,ROW($AG$6)):INDEX($AF:$AF,ROW(AG11)))+1=AF12,MAX(INDEX($AF:$AF,ROW($AG$6)):INDEX($AF:$AF,ROW(AG11))),"")</f>
        <v>3</v>
      </c>
      <c r="AH11" s="6" t="str">
        <f t="shared" si="4"/>
        <v>0x40000086</v>
      </c>
      <c r="AI11" s="6">
        <f t="shared" si="5"/>
        <v>1073741958</v>
      </c>
      <c r="AJ11" s="6" t="str">
        <f t="shared" si="6"/>
        <v>0x40000086</v>
      </c>
      <c r="AK11" s="6" t="str">
        <f t="shared" si="3"/>
        <v>0x40000086</v>
      </c>
      <c r="AL11" s="6">
        <f t="shared" si="7"/>
        <v>8</v>
      </c>
      <c r="AN11" s="6" t="str">
        <f t="shared" si="8"/>
        <v>ok</v>
      </c>
    </row>
    <row r="12" spans="1:45">
      <c r="A12" s="7" t="s">
        <v>52</v>
      </c>
      <c r="B12" s="7" t="s">
        <v>53</v>
      </c>
      <c r="C12" s="7" t="s">
        <v>29</v>
      </c>
      <c r="D12" s="7">
        <v>32</v>
      </c>
      <c r="E12" s="7">
        <v>100</v>
      </c>
      <c r="F12" s="7" t="s">
        <v>31</v>
      </c>
      <c r="G12" s="7" t="s">
        <v>32</v>
      </c>
      <c r="H12" s="7"/>
      <c r="I12" s="7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6">
        <v>29</v>
      </c>
      <c r="Z12" s="118">
        <v>65535</v>
      </c>
      <c r="AA12" s="6">
        <v>32768</v>
      </c>
      <c r="AB12" s="118">
        <v>65535</v>
      </c>
      <c r="AE12" s="96"/>
      <c r="AF12" s="270">
        <f>IF(V12=1,MAX($AF$6:AF11)+1,IF(AF11="#",0,IF(AND(D11=D12,K11=K12,L11=L12,M11=M12,N11=N12,O11=O12,P11=P12,Q11=Q12,R11=R12,S11=S12,T11=T12,U11=U12,V11=V12,W11=W12,HEX2DEC(SUBSTITUTE(AH11,"0x",""))&lt;HEX2DEC(SUBSTITUTE(AH12,"0x",""))),"",MAX($AF$6:AF11)+1)))</f>
        <v>4</v>
      </c>
      <c r="AG12" s="225">
        <f>IF(MAX(INDEX($AF:$AF,ROW($AG$6)):INDEX($AF:$AF,ROW(AG12)))+1=AF13,MAX(INDEX($AF:$AF,ROW($AG$6)):INDEX($AF:$AF,ROW(AG12))),"")</f>
        <v>4</v>
      </c>
      <c r="AH12" s="6" t="str">
        <f t="shared" si="4"/>
        <v>0x40000186</v>
      </c>
      <c r="AI12" s="6">
        <f t="shared" si="5"/>
        <v>1073742214</v>
      </c>
      <c r="AJ12" s="6" t="str">
        <f t="shared" si="6"/>
        <v>0x40000186</v>
      </c>
      <c r="AK12" s="6" t="str">
        <f t="shared" si="3"/>
        <v>0x40000186</v>
      </c>
      <c r="AL12" s="6">
        <f t="shared" si="7"/>
        <v>32</v>
      </c>
      <c r="AN12" s="6" t="str">
        <f t="shared" si="8"/>
        <v>ok</v>
      </c>
      <c r="AO12" s="6" t="s">
        <v>5</v>
      </c>
    </row>
    <row r="13" spans="1:45">
      <c r="A13" s="7" t="s">
        <v>51</v>
      </c>
      <c r="B13" s="7" t="s">
        <v>50</v>
      </c>
      <c r="C13" s="7" t="s">
        <v>29</v>
      </c>
      <c r="D13" s="7">
        <v>32</v>
      </c>
      <c r="E13" s="7">
        <v>50</v>
      </c>
      <c r="F13" s="7" t="s">
        <v>31</v>
      </c>
      <c r="G13" s="7" t="s">
        <v>32</v>
      </c>
      <c r="H13" s="7"/>
      <c r="I13" s="7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6">
        <v>29</v>
      </c>
      <c r="Z13" s="118">
        <v>65535</v>
      </c>
      <c r="AA13" s="6">
        <v>32768</v>
      </c>
      <c r="AB13" s="118">
        <v>65535</v>
      </c>
      <c r="AE13" s="96"/>
      <c r="AF13" s="270">
        <f>IF(V13=1,MAX($AF$6:AF12)+1,IF(AF12="#",0,IF(AND(D12=D13,K12=K13,L12=L13,M12=M13,N12=N13,O12=O13,P12=P13,Q12=Q13,R12=R13,S12=S13,T12=T13,U12=U13,V12=V13,W12=W13,HEX2DEC(SUBSTITUTE(AH12,"0x",""))&lt;HEX2DEC(SUBSTITUTE(AH13,"0x",""))),"",MAX($AF$6:AF12)+1)))</f>
        <v>5</v>
      </c>
      <c r="AG13" s="225" t="str">
        <f>IF(MAX(INDEX($AF:$AF,ROW($AG$6)):INDEX($AF:$AF,ROW(AG13)))+1=AF14,MAX(INDEX($AF:$AF,ROW($AG$6)):INDEX($AF:$AF,ROW(AG13))),"")</f>
        <v/>
      </c>
      <c r="AH13" s="6" t="str">
        <f t="shared" si="4"/>
        <v>0x4000009c</v>
      </c>
      <c r="AI13" s="6">
        <f t="shared" si="5"/>
        <v>1073741980</v>
      </c>
      <c r="AJ13" s="6" t="str">
        <f t="shared" si="6"/>
        <v>0x4000009c</v>
      </c>
      <c r="AK13" s="6" t="str">
        <f t="shared" si="3"/>
        <v>0x400000b7</v>
      </c>
      <c r="AL13" s="6">
        <f t="shared" si="7"/>
        <v>32</v>
      </c>
      <c r="AN13" s="6" t="str">
        <f t="shared" si="8"/>
        <v>not ok</v>
      </c>
    </row>
    <row r="14" spans="1:45">
      <c r="A14" s="7" t="s">
        <v>780</v>
      </c>
      <c r="B14" s="7" t="s">
        <v>55</v>
      </c>
      <c r="C14" s="7" t="s">
        <v>29</v>
      </c>
      <c r="D14" s="7">
        <v>32</v>
      </c>
      <c r="E14" s="7">
        <v>20</v>
      </c>
      <c r="F14" s="7" t="s">
        <v>29</v>
      </c>
      <c r="G14" s="7" t="s">
        <v>32</v>
      </c>
      <c r="H14" s="7"/>
      <c r="I14" s="7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6">
        <v>29</v>
      </c>
      <c r="Z14" s="118">
        <v>65535</v>
      </c>
      <c r="AA14" s="6">
        <v>32768</v>
      </c>
      <c r="AB14" s="118">
        <v>65535</v>
      </c>
      <c r="AE14" s="96"/>
      <c r="AF14" s="270" t="str">
        <f>IF(V14=1,MAX($AF$6:AF13)+1,IF(AF13="#",0,IF(AND(D13=D14,K13=K14,L13=L14,M13=M14,N13=N14,O13=O14,P13=P14,Q13=Q14,R13=R14,S13=S14,T13=T14,U13=U14,V13=V14,W13=W14,HEX2DEC(SUBSTITUTE(AH13,"0x",""))&lt;HEX2DEC(SUBSTITUTE(AH14,"0x",""))),"",MAX($AF$6:AF13)+1)))</f>
        <v/>
      </c>
      <c r="AG14" s="225" t="str">
        <f>IF(MAX(INDEX($AF:$AF,ROW($AG$6)):INDEX($AF:$AF,ROW(AG14)))+1=AF15,MAX(INDEX($AF:$AF,ROW($AG$6)):INDEX($AF:$AF,ROW(AG14))),"")</f>
        <v/>
      </c>
      <c r="AH14" s="6" t="str">
        <f t="shared" si="4"/>
        <v>0x4000009e</v>
      </c>
      <c r="AI14" s="6">
        <f t="shared" si="5"/>
        <v>1073741982</v>
      </c>
      <c r="AJ14" s="6" t="str">
        <f t="shared" si="6"/>
        <v/>
      </c>
      <c r="AK14" s="6" t="str">
        <f t="shared" si="3"/>
        <v/>
      </c>
      <c r="AL14" s="6" t="str">
        <f t="shared" si="7"/>
        <v/>
      </c>
      <c r="AN14" s="6" t="str">
        <f t="shared" si="8"/>
        <v>ok</v>
      </c>
      <c r="AO14" s="6" t="s">
        <v>5</v>
      </c>
    </row>
    <row r="15" spans="1:45">
      <c r="A15" s="7" t="s">
        <v>781</v>
      </c>
      <c r="B15" s="7" t="s">
        <v>58</v>
      </c>
      <c r="C15" s="7" t="s">
        <v>29</v>
      </c>
      <c r="D15" s="7">
        <v>32</v>
      </c>
      <c r="E15" s="7">
        <v>24</v>
      </c>
      <c r="F15" s="7" t="s">
        <v>29</v>
      </c>
      <c r="G15" s="7" t="s">
        <v>32</v>
      </c>
      <c r="H15" s="7"/>
      <c r="I15" s="7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6">
        <v>29</v>
      </c>
      <c r="Z15" s="118">
        <v>65535</v>
      </c>
      <c r="AA15" s="6">
        <v>32768</v>
      </c>
      <c r="AB15" s="118">
        <v>65535</v>
      </c>
      <c r="AE15" s="96"/>
      <c r="AF15" s="270" t="str">
        <f>IF(V15=1,MAX($AF$6:AF14)+1,IF(AF14="#",0,IF(AND(D14=D15,K14=K15,L14=L15,M14=M15,N14=N15,O14=O15,P14=P15,Q14=Q15,R14=R15,S14=S15,T14=T15,U14=U15,V14=V15,W14=W15,HEX2DEC(SUBSTITUTE(AH14,"0x",""))&lt;HEX2DEC(SUBSTITUTE(AH15,"0x",""))),"",MAX($AF$6:AF14)+1)))</f>
        <v/>
      </c>
      <c r="AG15" s="225" t="str">
        <f>IF(MAX(INDEX($AF:$AF,ROW($AG$6)):INDEX($AF:$AF,ROW(AG15)))+1=AF16,MAX(INDEX($AF:$AF,ROW($AG$6)):INDEX($AF:$AF,ROW(AG15))),"")</f>
        <v/>
      </c>
      <c r="AH15" s="6" t="str">
        <f t="shared" si="4"/>
        <v>0x400000a4</v>
      </c>
      <c r="AI15" s="6">
        <f t="shared" si="5"/>
        <v>1073741988</v>
      </c>
      <c r="AJ15" s="6" t="str">
        <f t="shared" si="6"/>
        <v/>
      </c>
      <c r="AK15" s="6" t="str">
        <f t="shared" si="3"/>
        <v/>
      </c>
      <c r="AL15" s="6" t="str">
        <f t="shared" si="7"/>
        <v/>
      </c>
      <c r="AN15" s="6" t="str">
        <f t="shared" si="8"/>
        <v>ok</v>
      </c>
      <c r="AO15" s="6" t="s">
        <v>5</v>
      </c>
    </row>
    <row r="16" spans="1:45">
      <c r="A16" s="7" t="s">
        <v>782</v>
      </c>
      <c r="B16" s="7" t="s">
        <v>60</v>
      </c>
      <c r="C16" s="7" t="s">
        <v>29</v>
      </c>
      <c r="D16" s="7">
        <v>32</v>
      </c>
      <c r="E16" s="7">
        <v>30</v>
      </c>
      <c r="F16" s="7" t="s">
        <v>29</v>
      </c>
      <c r="G16" s="7" t="s">
        <v>32</v>
      </c>
      <c r="H16" s="7"/>
      <c r="I16" s="7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6">
        <v>29</v>
      </c>
      <c r="Z16" s="118">
        <v>65535</v>
      </c>
      <c r="AA16" s="6">
        <v>32768</v>
      </c>
      <c r="AB16" s="118">
        <v>65535</v>
      </c>
      <c r="AE16" s="96"/>
      <c r="AF16" s="270" t="str">
        <f>IF(V16=1,MAX($AF$6:AF15)+1,IF(AF15="#",0,IF(AND(D15=D16,K15=K16,L15=L16,M15=M16,N15=N16,O15=O16,P15=P16,Q15=Q16,R15=R16,S15=S16,T15=T16,U15=U16,V15=V16,W15=W16,HEX2DEC(SUBSTITUTE(AH15,"0x",""))&lt;HEX2DEC(SUBSTITUTE(AH16,"0x",""))),"",MAX($AF$6:AF15)+1)))</f>
        <v/>
      </c>
      <c r="AG16" s="225">
        <f>IF(MAX(INDEX($AF:$AF,ROW($AG$6)):INDEX($AF:$AF,ROW(AG16)))+1=AF17,MAX(INDEX($AF:$AF,ROW($AG$6)):INDEX($AF:$AF,ROW(AG16))),"")</f>
        <v>5</v>
      </c>
      <c r="AH16" s="6" t="str">
        <f t="shared" si="4"/>
        <v>0x400000b7</v>
      </c>
      <c r="AI16" s="6">
        <f t="shared" si="5"/>
        <v>1073742007</v>
      </c>
      <c r="AJ16" s="6" t="str">
        <f t="shared" si="6"/>
        <v/>
      </c>
      <c r="AK16" s="6" t="str">
        <f t="shared" si="3"/>
        <v/>
      </c>
      <c r="AL16" s="6" t="str">
        <f t="shared" si="7"/>
        <v/>
      </c>
      <c r="AN16" s="6" t="str">
        <f t="shared" si="8"/>
        <v>ok</v>
      </c>
      <c r="AO16" s="6" t="s">
        <v>5</v>
      </c>
    </row>
    <row r="17" spans="1:41">
      <c r="A17" s="7" t="s">
        <v>783</v>
      </c>
      <c r="B17" s="7" t="s">
        <v>63</v>
      </c>
      <c r="C17" s="7" t="s">
        <v>29</v>
      </c>
      <c r="D17" s="7">
        <v>64</v>
      </c>
      <c r="E17" s="7">
        <v>30</v>
      </c>
      <c r="F17" s="7" t="s">
        <v>29</v>
      </c>
      <c r="G17" s="7" t="s">
        <v>32</v>
      </c>
      <c r="H17" s="7"/>
      <c r="I17" s="7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6">
        <v>29</v>
      </c>
      <c r="Z17" s="118">
        <v>65535</v>
      </c>
      <c r="AA17" s="6">
        <v>32768</v>
      </c>
      <c r="AB17" s="118">
        <v>65535</v>
      </c>
      <c r="AE17" s="96"/>
      <c r="AF17" s="270">
        <f>IF(V17=1,MAX($AF$6:AF16)+1,IF(AF16="#",0,IF(AND(D16=D17,K16=K17,L16=L17,M16=M17,N16=N17,O16=O17,P16=P17,Q16=Q17,R16=R17,S16=S17,T16=T17,U16=U17,V16=V17,W16=W17,HEX2DEC(SUBSTITUTE(AH16,"0x",""))&lt;HEX2DEC(SUBSTITUTE(AH17,"0x",""))),"",MAX($AF$6:AF16)+1)))</f>
        <v>6</v>
      </c>
      <c r="AG17" s="225">
        <f>IF(MAX(INDEX($AF:$AF,ROW($AG$6)):INDEX($AF:$AF,ROW(AG17)))+1=AF18,MAX(INDEX($AF:$AF,ROW($AG$6)):INDEX($AF:$AF,ROW(AG17))),"")</f>
        <v>6</v>
      </c>
      <c r="AH17" s="6" t="str">
        <f t="shared" si="4"/>
        <v>0x400000b8</v>
      </c>
      <c r="AI17" s="6">
        <f t="shared" si="5"/>
        <v>1073742008</v>
      </c>
      <c r="AJ17" s="6" t="str">
        <f t="shared" si="6"/>
        <v>0x400000b8</v>
      </c>
      <c r="AK17" s="6" t="str">
        <f t="shared" si="3"/>
        <v>0x400000b8</v>
      </c>
      <c r="AL17" s="6">
        <f t="shared" si="7"/>
        <v>64</v>
      </c>
      <c r="AN17" s="6" t="str">
        <f t="shared" si="8"/>
        <v>ok</v>
      </c>
      <c r="AO17" s="6" t="s">
        <v>5</v>
      </c>
    </row>
    <row r="18" spans="1:41">
      <c r="A18" s="7" t="s">
        <v>67</v>
      </c>
      <c r="B18" s="7" t="s">
        <v>66</v>
      </c>
      <c r="C18" s="7" t="s">
        <v>29</v>
      </c>
      <c r="D18" s="7">
        <v>8</v>
      </c>
      <c r="E18" s="7">
        <v>1000</v>
      </c>
      <c r="F18" s="7" t="s">
        <v>31</v>
      </c>
      <c r="G18" s="7" t="s">
        <v>32</v>
      </c>
      <c r="H18" s="7"/>
      <c r="I18" s="7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6">
        <v>29</v>
      </c>
      <c r="Z18" s="118">
        <v>65535</v>
      </c>
      <c r="AA18" s="6">
        <v>32768</v>
      </c>
      <c r="AB18" s="118">
        <v>65535</v>
      </c>
      <c r="AE18" s="96"/>
      <c r="AF18" s="270">
        <f>IF(V18=1,MAX($AF$6:AF17)+1,IF(AF17="#",0,IF(AND(D17=D18,K17=K18,L17=L18,M17=M18,N17=N18,O17=O18,P17=P18,Q17=Q18,R17=R18,S17=S18,T17=T18,U17=U18,V17=V18,W17=W18,HEX2DEC(SUBSTITUTE(AH17,"0x",""))&lt;HEX2DEC(SUBSTITUTE(AH18,"0x",""))),"",MAX($AF$6:AF17)+1)))</f>
        <v>7</v>
      </c>
      <c r="AG18" s="225" t="str">
        <f>IF(MAX(INDEX($AF:$AF,ROW($AG$6)):INDEX($AF:$AF,ROW(AG18)))+1=AF19,MAX(INDEX($AF:$AF,ROW($AG$6)):INDEX($AF:$AF,ROW(AG18))),"")</f>
        <v/>
      </c>
      <c r="AH18" s="6" t="str">
        <f t="shared" si="4"/>
        <v>0x400000fc</v>
      </c>
      <c r="AI18" s="6">
        <f t="shared" si="5"/>
        <v>1073742076</v>
      </c>
      <c r="AJ18" s="6" t="str">
        <f t="shared" si="6"/>
        <v>0x400000fc</v>
      </c>
      <c r="AK18" s="6" t="str">
        <f t="shared" si="3"/>
        <v>0x40000100</v>
      </c>
      <c r="AL18" s="6">
        <f t="shared" si="7"/>
        <v>8</v>
      </c>
      <c r="AN18" s="6" t="str">
        <f t="shared" si="8"/>
        <v>ok</v>
      </c>
      <c r="AO18" s="6" t="s">
        <v>5</v>
      </c>
    </row>
    <row r="19" spans="1:41">
      <c r="A19" s="7" t="s">
        <v>70</v>
      </c>
      <c r="B19" s="7" t="s">
        <v>69</v>
      </c>
      <c r="C19" s="7" t="s">
        <v>29</v>
      </c>
      <c r="D19" s="7">
        <v>8</v>
      </c>
      <c r="E19" s="7">
        <v>50</v>
      </c>
      <c r="F19" s="7" t="s">
        <v>31</v>
      </c>
      <c r="G19" s="7" t="s">
        <v>32</v>
      </c>
      <c r="H19" s="7"/>
      <c r="I19" s="7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6">
        <v>29</v>
      </c>
      <c r="Z19" s="118">
        <v>65535</v>
      </c>
      <c r="AA19" s="6">
        <v>32768</v>
      </c>
      <c r="AB19" s="118">
        <v>65535</v>
      </c>
      <c r="AE19" s="96"/>
      <c r="AF19" s="270" t="str">
        <f>IF(V19=1,MAX($AF$6:AF18)+1,IF(AF18="#",0,IF(AND(D18=D19,K18=K19,L18=L19,M18=M19,N18=N19,O18=O19,P18=P19,Q18=Q19,R18=R19,S18=S19,T18=T19,U18=U19,V18=V19,W18=W19,HEX2DEC(SUBSTITUTE(AH18,"0x",""))&lt;HEX2DEC(SUBSTITUTE(AH19,"0x",""))),"",MAX($AF$6:AF18)+1)))</f>
        <v/>
      </c>
      <c r="AG19" s="225">
        <f>IF(MAX(INDEX($AF:$AF,ROW($AG$6)):INDEX($AF:$AF,ROW(AG19)))+1=AF20,MAX(INDEX($AF:$AF,ROW($AG$6)):INDEX($AF:$AF,ROW(AG19))),"")</f>
        <v>7</v>
      </c>
      <c r="AH19" s="6" t="str">
        <f t="shared" si="4"/>
        <v>0x40000100</v>
      </c>
      <c r="AI19" s="6">
        <f t="shared" si="5"/>
        <v>1073742080</v>
      </c>
      <c r="AJ19" s="6" t="str">
        <f t="shared" si="6"/>
        <v/>
      </c>
      <c r="AK19" s="6" t="str">
        <f t="shared" si="3"/>
        <v/>
      </c>
      <c r="AL19" s="6" t="str">
        <f t="shared" si="7"/>
        <v/>
      </c>
      <c r="AN19" s="6" t="str">
        <f t="shared" si="8"/>
        <v>ok</v>
      </c>
    </row>
    <row r="20" spans="1:41">
      <c r="A20" s="7" t="s">
        <v>77</v>
      </c>
      <c r="B20" s="7" t="s">
        <v>78</v>
      </c>
      <c r="C20" s="7" t="s">
        <v>29</v>
      </c>
      <c r="D20" s="7">
        <v>32</v>
      </c>
      <c r="E20" s="7">
        <v>2000</v>
      </c>
      <c r="F20" s="7" t="s">
        <v>31</v>
      </c>
      <c r="G20" s="7" t="s">
        <v>32</v>
      </c>
      <c r="H20" s="7"/>
      <c r="I20" s="7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6">
        <v>29</v>
      </c>
      <c r="Z20" s="118">
        <v>65535</v>
      </c>
      <c r="AA20" s="6">
        <v>32768</v>
      </c>
      <c r="AB20" s="118">
        <v>65535</v>
      </c>
      <c r="AE20" s="96"/>
      <c r="AF20" s="270">
        <f>IF(V20=1,MAX($AF$6:AF19)+1,IF(AF19="#",0,IF(AND(D19=D20,K19=K20,L19=L20,M19=M20,N19=N20,O19=O20,P19=P20,Q19=Q20,R19=R20,S19=S20,T19=T20,U19=U20,V19=V20,W19=W20,HEX2DEC(SUBSTITUTE(AH19,"0x",""))&lt;HEX2DEC(SUBSTITUTE(AH20,"0x",""))),"",MAX($AF$6:AF19)+1)))</f>
        <v>8</v>
      </c>
      <c r="AG20" s="225">
        <f>IF(MAX(INDEX($AF:$AF,ROW($AG$6)):INDEX($AF:$AF,ROW(AG20)))+1=AF21,MAX(INDEX($AF:$AF,ROW($AG$6)):INDEX($AF:$AF,ROW(AG20))),"")</f>
        <v>8</v>
      </c>
      <c r="AH20" s="6" t="str">
        <f t="shared" si="4"/>
        <v>0x40000500</v>
      </c>
      <c r="AI20" s="6">
        <f t="shared" si="5"/>
        <v>1073743104</v>
      </c>
      <c r="AJ20" s="6" t="str">
        <f t="shared" si="6"/>
        <v>0x40000500</v>
      </c>
      <c r="AK20" s="6" t="str">
        <f t="shared" si="3"/>
        <v>0x40000500</v>
      </c>
      <c r="AL20" s="6">
        <f t="shared" si="7"/>
        <v>32</v>
      </c>
      <c r="AN20" s="6" t="str">
        <f t="shared" si="8"/>
        <v>ok</v>
      </c>
      <c r="AO20" s="6" t="s">
        <v>5</v>
      </c>
    </row>
    <row r="21" spans="1:41">
      <c r="A21" s="7" t="s">
        <v>784</v>
      </c>
      <c r="B21" s="7" t="s">
        <v>72</v>
      </c>
      <c r="C21" s="7" t="s">
        <v>29</v>
      </c>
      <c r="D21" s="7">
        <v>32</v>
      </c>
      <c r="E21" s="7">
        <v>100</v>
      </c>
      <c r="F21" s="7" t="s">
        <v>29</v>
      </c>
      <c r="G21" s="7" t="s">
        <v>32</v>
      </c>
      <c r="H21" s="7"/>
      <c r="I21" s="7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6">
        <v>29</v>
      </c>
      <c r="Z21" s="118">
        <v>65535</v>
      </c>
      <c r="AA21" s="6">
        <v>32768</v>
      </c>
      <c r="AB21" s="118">
        <v>65535</v>
      </c>
      <c r="AE21" s="96"/>
      <c r="AF21" s="270">
        <f>IF(V21=1,MAX($AF$6:AF20)+1,IF(AF20="#",0,IF(AND(D20=D21,K20=K21,L20=L21,M20=M21,N20=N21,O20=O21,P20=P21,Q20=Q21,R20=R21,S20=S21,T20=T21,U20=U21,V20=V21,W20=W21,HEX2DEC(SUBSTITUTE(AH20,"0x",""))&lt;HEX2DEC(SUBSTITUTE(AH21,"0x",""))),"",MAX($AF$6:AF20)+1)))</f>
        <v>9</v>
      </c>
      <c r="AG21" s="225">
        <f>IF(MAX(INDEX($AF:$AF,ROW($AG$6)):INDEX($AF:$AF,ROW(AG21)))+1=AF22,MAX(INDEX($AF:$AF,ROW($AG$6)):INDEX($AF:$AF,ROW(AG21))),"")</f>
        <v>9</v>
      </c>
      <c r="AH21" s="6" t="str">
        <f t="shared" si="4"/>
        <v>0x40000122</v>
      </c>
      <c r="AI21" s="6">
        <f t="shared" si="5"/>
        <v>1073742114</v>
      </c>
      <c r="AJ21" s="6" t="str">
        <f t="shared" si="6"/>
        <v>0x40000122</v>
      </c>
      <c r="AK21" s="6" t="str">
        <f t="shared" si="3"/>
        <v>0x40000122</v>
      </c>
      <c r="AL21" s="6">
        <f t="shared" si="7"/>
        <v>32</v>
      </c>
      <c r="AN21" s="6" t="str">
        <f t="shared" si="8"/>
        <v>not ok</v>
      </c>
      <c r="AO21" s="6" t="s">
        <v>5</v>
      </c>
    </row>
    <row r="22" spans="1:41">
      <c r="A22" s="7" t="s">
        <v>76</v>
      </c>
      <c r="B22" s="7" t="s">
        <v>75</v>
      </c>
      <c r="C22" s="7" t="s">
        <v>29</v>
      </c>
      <c r="D22" s="7">
        <v>8</v>
      </c>
      <c r="E22" s="7">
        <v>100</v>
      </c>
      <c r="F22" s="7" t="s">
        <v>31</v>
      </c>
      <c r="G22" s="7" t="s">
        <v>32</v>
      </c>
      <c r="H22" s="7"/>
      <c r="I22" s="7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6">
        <v>29</v>
      </c>
      <c r="Z22" s="118">
        <v>65535</v>
      </c>
      <c r="AA22" s="6">
        <v>32768</v>
      </c>
      <c r="AB22" s="118">
        <v>65535</v>
      </c>
      <c r="AE22" s="96"/>
      <c r="AF22" s="270">
        <f>IF(V22=1,MAX($AF$6:AF21)+1,IF(AF21="#",0,IF(AND(D21=D22,K21=K22,L21=L22,M21=M22,N21=N22,O21=O22,P21=P22,Q21=Q22,R21=R22,S21=S22,T21=T22,U21=U22,V21=V22,W21=W22,HEX2DEC(SUBSTITUTE(AH21,"0x",""))&lt;HEX2DEC(SUBSTITUTE(AH22,"0x",""))),"",MAX($AF$6:AF21)+1)))</f>
        <v>10</v>
      </c>
      <c r="AG22" s="225">
        <f>IF(MAX(INDEX($AF:$AF,ROW($AG$6)):INDEX($AF:$AF,ROW(AG22)))+1=AF23,MAX(INDEX($AF:$AF,ROW($AG$6)):INDEX($AF:$AF,ROW(AG22))),"")</f>
        <v>10</v>
      </c>
      <c r="AH22" s="6" t="str">
        <f t="shared" si="4"/>
        <v>0x40000124</v>
      </c>
      <c r="AI22" s="6">
        <f t="shared" si="5"/>
        <v>1073742116</v>
      </c>
      <c r="AJ22" s="6" t="str">
        <f t="shared" si="6"/>
        <v>0x40000124</v>
      </c>
      <c r="AK22" s="6" t="str">
        <f t="shared" si="3"/>
        <v>0x40000124</v>
      </c>
      <c r="AL22" s="6">
        <f t="shared" si="7"/>
        <v>8</v>
      </c>
      <c r="AN22" s="6" t="str">
        <f t="shared" si="8"/>
        <v>ok</v>
      </c>
    </row>
    <row r="23" spans="1:41">
      <c r="A23" s="7" t="s">
        <v>86</v>
      </c>
      <c r="B23" s="7" t="s">
        <v>87</v>
      </c>
      <c r="C23" s="7" t="s">
        <v>29</v>
      </c>
      <c r="D23" s="7">
        <v>32</v>
      </c>
      <c r="E23" s="7">
        <v>200</v>
      </c>
      <c r="F23" s="7" t="s">
        <v>31</v>
      </c>
      <c r="G23" s="7" t="s">
        <v>32</v>
      </c>
      <c r="H23" s="7"/>
      <c r="I23" s="7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6">
        <v>29</v>
      </c>
      <c r="Z23" s="118">
        <v>65535</v>
      </c>
      <c r="AA23" s="6">
        <v>32768</v>
      </c>
      <c r="AB23" s="118">
        <v>65535</v>
      </c>
      <c r="AE23" s="96"/>
      <c r="AF23" s="270">
        <f>IF(V23=1,MAX($AF$6:AF22)+1,IF(AF22="#",0,IF(AND(D22=D23,K22=K23,L22=L23,M22=M23,N22=N23,O22=O23,P22=P23,Q22=Q23,R22=R23,S22=S23,T22=T23,U22=U23,V22=V23,W22=W23,HEX2DEC(SUBSTITUTE(AH22,"0x",""))&lt;HEX2DEC(SUBSTITUTE(AH23,"0x",""))),"",MAX($AF$6:AF22)+1)))</f>
        <v>11</v>
      </c>
      <c r="AG23" s="225">
        <f>IF(MAX(INDEX($AF:$AF,ROW($AG$6)):INDEX($AF:$AF,ROW(AG23)))+1=AF24,MAX(INDEX($AF:$AF,ROW($AG$6)):INDEX($AF:$AF,ROW(AG23))),"")</f>
        <v>11</v>
      </c>
      <c r="AH23" s="6" t="str">
        <f t="shared" si="4"/>
        <v>0x400001a4</v>
      </c>
      <c r="AI23" s="6">
        <f t="shared" si="5"/>
        <v>1073742244</v>
      </c>
      <c r="AJ23" s="6" t="str">
        <f t="shared" si="6"/>
        <v>0x400001a4</v>
      </c>
      <c r="AK23" s="6" t="str">
        <f t="shared" si="3"/>
        <v>0x400001a4</v>
      </c>
      <c r="AL23" s="6">
        <f t="shared" si="7"/>
        <v>32</v>
      </c>
      <c r="AN23" s="6" t="str">
        <f t="shared" si="8"/>
        <v>ok</v>
      </c>
      <c r="AO23" s="6" t="s">
        <v>5</v>
      </c>
    </row>
    <row r="24" spans="1:41">
      <c r="A24" s="7" t="s">
        <v>81</v>
      </c>
      <c r="B24" s="7" t="s">
        <v>80</v>
      </c>
      <c r="C24" s="7" t="s">
        <v>29</v>
      </c>
      <c r="D24" s="7">
        <v>8</v>
      </c>
      <c r="E24" s="7">
        <v>100</v>
      </c>
      <c r="F24" s="7" t="s">
        <v>31</v>
      </c>
      <c r="G24" s="7" t="s">
        <v>32</v>
      </c>
      <c r="H24" s="7"/>
      <c r="I24" s="7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6">
        <v>29</v>
      </c>
      <c r="Z24" s="118">
        <v>65535</v>
      </c>
      <c r="AA24" s="6">
        <v>32768</v>
      </c>
      <c r="AB24" s="118">
        <v>65535</v>
      </c>
      <c r="AE24" s="96"/>
      <c r="AF24" s="270">
        <f>IF(V24=1,MAX($AF$6:AF23)+1,IF(AF23="#",0,IF(AND(D23=D24,K23=K24,L23=L24,M23=M24,N23=N24,O23=O24,P23=P24,Q23=Q24,R23=R24,S23=S24,T23=T24,U23=U24,V23=V24,W23=W24,HEX2DEC(SUBSTITUTE(AH23,"0x",""))&lt;HEX2DEC(SUBSTITUTE(AH24,"0x",""))),"",MAX($AF$6:AF23)+1)))</f>
        <v>12</v>
      </c>
      <c r="AG24" s="225" t="str">
        <f>IF(MAX(INDEX($AF:$AF,ROW($AG$6)):INDEX($AF:$AF,ROW(AG24)))+1=AF25,MAX(INDEX($AF:$AF,ROW($AG$6)):INDEX($AF:$AF,ROW(AG24))),"")</f>
        <v/>
      </c>
      <c r="AH24" s="6" t="str">
        <f t="shared" si="4"/>
        <v>0x40000128</v>
      </c>
      <c r="AI24" s="6">
        <f t="shared" si="5"/>
        <v>1073742120</v>
      </c>
      <c r="AJ24" s="6" t="str">
        <f t="shared" si="6"/>
        <v>0x40000128</v>
      </c>
      <c r="AK24" s="6" t="str">
        <f t="shared" si="3"/>
        <v>0x40000140</v>
      </c>
      <c r="AL24" s="6">
        <f t="shared" si="7"/>
        <v>8</v>
      </c>
      <c r="AN24" s="6" t="str">
        <f t="shared" si="8"/>
        <v>not ok</v>
      </c>
      <c r="AO24" s="6" t="s">
        <v>5</v>
      </c>
    </row>
    <row r="25" spans="1:41">
      <c r="A25" s="7" t="s">
        <v>83</v>
      </c>
      <c r="B25" s="7" t="s">
        <v>82</v>
      </c>
      <c r="C25" s="7" t="s">
        <v>29</v>
      </c>
      <c r="D25" s="7">
        <v>8</v>
      </c>
      <c r="E25" s="7" t="s">
        <v>30</v>
      </c>
      <c r="F25" s="7" t="s">
        <v>31</v>
      </c>
      <c r="G25" s="7" t="s">
        <v>32</v>
      </c>
      <c r="H25" s="7"/>
      <c r="I25" s="7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6">
        <v>29</v>
      </c>
      <c r="Z25" s="118">
        <v>65535</v>
      </c>
      <c r="AA25" s="6">
        <v>32768</v>
      </c>
      <c r="AB25" s="118">
        <v>65535</v>
      </c>
      <c r="AE25" s="96"/>
      <c r="AF25" s="270" t="str">
        <f>IF(V25=1,MAX($AF$6:AF24)+1,IF(AF24="#",0,IF(AND(D24=D25,K24=K25,L24=L25,M24=M25,N24=N25,O24=O25,P24=P25,Q24=Q25,R24=R25,S24=S25,T24=T25,U24=U25,V24=V25,W24=W25,HEX2DEC(SUBSTITUTE(AH24,"0x",""))&lt;HEX2DEC(SUBSTITUTE(AH25,"0x",""))),"",MAX($AF$6:AF24)+1)))</f>
        <v/>
      </c>
      <c r="AG25" s="225">
        <f>IF(MAX(INDEX($AF:$AF,ROW($AG$6)):INDEX($AF:$AF,ROW(AG25)))+1=AF26,MAX(INDEX($AF:$AF,ROW($AG$6)):INDEX($AF:$AF,ROW(AG25))),"")</f>
        <v>12</v>
      </c>
      <c r="AH25" s="6" t="str">
        <f t="shared" si="4"/>
        <v>0x40000140</v>
      </c>
      <c r="AI25" s="6">
        <f t="shared" si="5"/>
        <v>1073742144</v>
      </c>
      <c r="AJ25" s="6" t="str">
        <f t="shared" si="6"/>
        <v/>
      </c>
      <c r="AK25" s="6" t="str">
        <f t="shared" si="3"/>
        <v/>
      </c>
      <c r="AL25" s="6" t="str">
        <f t="shared" si="7"/>
        <v/>
      </c>
      <c r="AN25" s="6" t="str">
        <f t="shared" si="8"/>
        <v>ok</v>
      </c>
    </row>
    <row r="26" spans="1:41">
      <c r="A26" s="7" t="s">
        <v>85</v>
      </c>
      <c r="B26" s="7" t="s">
        <v>84</v>
      </c>
      <c r="C26" s="7" t="s">
        <v>29</v>
      </c>
      <c r="D26" s="7">
        <v>32</v>
      </c>
      <c r="E26" s="7">
        <v>100</v>
      </c>
      <c r="F26" s="7" t="s">
        <v>31</v>
      </c>
      <c r="G26" s="7" t="s">
        <v>32</v>
      </c>
      <c r="H26" s="7"/>
      <c r="I26" s="7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6">
        <v>29</v>
      </c>
      <c r="Z26" s="118">
        <v>65535</v>
      </c>
      <c r="AA26" s="6">
        <v>32768</v>
      </c>
      <c r="AB26" s="118">
        <v>65535</v>
      </c>
      <c r="AE26" s="96"/>
      <c r="AF26" s="270">
        <f>IF(V26=1,MAX($AF$6:AF25)+1,IF(AF25="#",0,IF(AND(D25=D26,K25=K26,L25=L26,M25=M26,N25=N26,O25=O26,P25=P26,Q25=Q26,R25=R26,S25=S26,T25=T26,U25=U26,V25=V26,W25=W26,HEX2DEC(SUBSTITUTE(AH25,"0x",""))&lt;HEX2DEC(SUBSTITUTE(AH26,"0x",""))),"",MAX($AF$6:AF25)+1)))</f>
        <v>13</v>
      </c>
      <c r="AG26" s="225" t="str">
        <f>IF(MAX(INDEX($AF:$AF,ROW($AG$6)):INDEX($AF:$AF,ROW(AG26)))+1=AF27,MAX(INDEX($AF:$AF,ROW($AG$6)):INDEX($AF:$AF,ROW(AG26))),"")</f>
        <v/>
      </c>
      <c r="AH26" s="6" t="str">
        <f t="shared" si="4"/>
        <v>0x40000148</v>
      </c>
      <c r="AI26" s="6">
        <f t="shared" si="5"/>
        <v>1073742152</v>
      </c>
      <c r="AJ26" s="6" t="str">
        <f t="shared" si="6"/>
        <v>0x40000148</v>
      </c>
      <c r="AK26" s="6" t="str">
        <f t="shared" si="3"/>
        <v>0x40000158</v>
      </c>
      <c r="AL26" s="6">
        <f t="shared" si="7"/>
        <v>32</v>
      </c>
      <c r="AN26" s="6" t="str">
        <f t="shared" si="8"/>
        <v>ok</v>
      </c>
    </row>
    <row r="27" spans="1:41">
      <c r="A27" s="7" t="s">
        <v>785</v>
      </c>
      <c r="B27" s="7" t="s">
        <v>98</v>
      </c>
      <c r="C27" s="7" t="s">
        <v>29</v>
      </c>
      <c r="D27" s="7">
        <v>32</v>
      </c>
      <c r="E27" s="7">
        <v>100</v>
      </c>
      <c r="F27" s="7" t="s">
        <v>29</v>
      </c>
      <c r="G27" s="7" t="s">
        <v>32</v>
      </c>
      <c r="H27" s="7"/>
      <c r="I27" s="7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6">
        <v>29</v>
      </c>
      <c r="Z27" s="118">
        <v>65535</v>
      </c>
      <c r="AA27" s="6">
        <v>32768</v>
      </c>
      <c r="AB27" s="118">
        <v>65535</v>
      </c>
      <c r="AE27" s="96"/>
      <c r="AF27" s="270" t="str">
        <f>IF(V27=1,MAX($AF$6:AF26)+1,IF(AF26="#",0,IF(AND(D26=D27,K26=K27,L26=L27,M26=M27,N26=N27,O26=O27,P26=P27,Q26=Q27,R26=R27,S26=S27,T26=T27,U26=U27,V26=V27,W26=W27,HEX2DEC(SUBSTITUTE(AH26,"0x",""))&lt;HEX2DEC(SUBSTITUTE(AH27,"0x",""))),"",MAX($AF$6:AF26)+1)))</f>
        <v/>
      </c>
      <c r="AG27" s="225" t="str">
        <f>IF(MAX(INDEX($AF:$AF,ROW($AG$6)):INDEX($AF:$AF,ROW(AG27)))+1=AF28,MAX(INDEX($AF:$AF,ROW($AG$6)):INDEX($AF:$AF,ROW(AG27))),"")</f>
        <v/>
      </c>
      <c r="AH27" s="6" t="str">
        <f t="shared" si="4"/>
        <v>0x40000150</v>
      </c>
      <c r="AI27" s="6">
        <f t="shared" si="5"/>
        <v>1073742160</v>
      </c>
      <c r="AJ27" s="6" t="str">
        <f t="shared" si="6"/>
        <v/>
      </c>
      <c r="AK27" s="6" t="str">
        <f t="shared" si="3"/>
        <v/>
      </c>
      <c r="AL27" s="6" t="str">
        <f t="shared" si="7"/>
        <v/>
      </c>
      <c r="AN27" s="6" t="str">
        <f t="shared" si="8"/>
        <v>ok</v>
      </c>
    </row>
    <row r="28" spans="1:41">
      <c r="A28" s="7" t="s">
        <v>107</v>
      </c>
      <c r="B28" s="7" t="s">
        <v>106</v>
      </c>
      <c r="C28" s="7" t="s">
        <v>29</v>
      </c>
      <c r="D28" s="7">
        <v>32</v>
      </c>
      <c r="E28" s="7">
        <v>100</v>
      </c>
      <c r="F28" s="7" t="s">
        <v>31</v>
      </c>
      <c r="G28" s="7" t="s">
        <v>32</v>
      </c>
      <c r="H28" s="7"/>
      <c r="I28" s="7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6">
        <v>29</v>
      </c>
      <c r="Z28" s="118">
        <v>65535</v>
      </c>
      <c r="AA28" s="6">
        <v>32768</v>
      </c>
      <c r="AB28" s="118">
        <v>65535</v>
      </c>
      <c r="AE28" s="96"/>
      <c r="AF28" s="270" t="str">
        <f>IF(V28=1,MAX($AF$6:AF27)+1,IF(AF27="#",0,IF(AND(D27=D28,K27=K28,L27=L28,M27=M28,N27=N28,O27=O28,P27=P28,Q27=Q28,R27=R28,S27=S28,T27=T28,U27=U28,V27=V28,W27=W28,HEX2DEC(SUBSTITUTE(AH27,"0x",""))&lt;HEX2DEC(SUBSTITUTE(AH28,"0x",""))),"",MAX($AF$6:AF27)+1)))</f>
        <v/>
      </c>
      <c r="AG28" s="225">
        <f>IF(MAX(INDEX($AF:$AF,ROW($AG$6)):INDEX($AF:$AF,ROW(AG28)))+1=AF29,MAX(INDEX($AF:$AF,ROW($AG$6)):INDEX($AF:$AF,ROW(AG28))),"")</f>
        <v>13</v>
      </c>
      <c r="AH28" s="6" t="str">
        <f t="shared" si="4"/>
        <v>0x40000158</v>
      </c>
      <c r="AI28" s="6">
        <f t="shared" si="5"/>
        <v>1073742168</v>
      </c>
      <c r="AJ28" s="6" t="str">
        <f t="shared" si="6"/>
        <v/>
      </c>
      <c r="AK28" s="6" t="str">
        <f t="shared" si="3"/>
        <v/>
      </c>
      <c r="AL28" s="6" t="str">
        <f t="shared" si="7"/>
        <v/>
      </c>
      <c r="AN28" s="6" t="str">
        <f t="shared" si="8"/>
        <v>ok</v>
      </c>
      <c r="AO28" s="6" t="s">
        <v>5</v>
      </c>
    </row>
    <row r="29" spans="1:41">
      <c r="A29" s="7" t="s">
        <v>90</v>
      </c>
      <c r="B29" s="7" t="s">
        <v>89</v>
      </c>
      <c r="C29" s="7" t="s">
        <v>29</v>
      </c>
      <c r="D29" s="7">
        <v>8</v>
      </c>
      <c r="E29" s="7">
        <v>100</v>
      </c>
      <c r="F29" s="7" t="s">
        <v>31</v>
      </c>
      <c r="G29" s="7" t="s">
        <v>32</v>
      </c>
      <c r="H29" s="7"/>
      <c r="I29" s="7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6">
        <v>29</v>
      </c>
      <c r="Z29" s="118">
        <v>65535</v>
      </c>
      <c r="AA29" s="6">
        <v>32768</v>
      </c>
      <c r="AB29" s="118">
        <v>65535</v>
      </c>
      <c r="AE29" s="96"/>
      <c r="AF29" s="270">
        <f>IF(V29=1,MAX($AF$6:AF28)+1,IF(AF28="#",0,IF(AND(D28=D29,K28=K29,L28=L29,M28=M29,N28=N29,O28=O29,P28=P29,Q28=Q29,R28=R29,S28=S29,T28=T29,U28=U29,V28=V29,W28=W29,HEX2DEC(SUBSTITUTE(AH28,"0x",""))&lt;HEX2DEC(SUBSTITUTE(AH29,"0x",""))),"",MAX($AF$6:AF28)+1)))</f>
        <v>14</v>
      </c>
      <c r="AG29" s="225" t="str">
        <f>IF(MAX(INDEX($AF:$AF,ROW($AG$6)):INDEX($AF:$AF,ROW(AG29)))+1=AF30,MAX(INDEX($AF:$AF,ROW($AG$6)):INDEX($AF:$AF,ROW(AG29))),"")</f>
        <v/>
      </c>
      <c r="AH29" s="6" t="str">
        <f t="shared" si="4"/>
        <v>0x4000014b</v>
      </c>
      <c r="AI29" s="6">
        <f t="shared" si="5"/>
        <v>1073742155</v>
      </c>
      <c r="AJ29" s="6" t="str">
        <f t="shared" si="6"/>
        <v>0x4000014b</v>
      </c>
      <c r="AK29" s="6" t="str">
        <f t="shared" si="3"/>
        <v>0x4000014f</v>
      </c>
      <c r="AL29" s="6">
        <f t="shared" si="7"/>
        <v>8</v>
      </c>
      <c r="AN29" s="6" t="str">
        <f t="shared" si="8"/>
        <v>not ok</v>
      </c>
    </row>
    <row r="30" spans="1:41">
      <c r="A30" s="7" t="s">
        <v>96</v>
      </c>
      <c r="B30" s="7" t="s">
        <v>95</v>
      </c>
      <c r="C30" s="7" t="s">
        <v>29</v>
      </c>
      <c r="D30" s="7">
        <v>8</v>
      </c>
      <c r="E30" s="7">
        <v>100</v>
      </c>
      <c r="F30" s="7" t="s">
        <v>31</v>
      </c>
      <c r="G30" s="7" t="s">
        <v>32</v>
      </c>
      <c r="H30" s="7"/>
      <c r="I30" s="7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6">
        <v>29</v>
      </c>
      <c r="Z30" s="118">
        <v>65535</v>
      </c>
      <c r="AA30" s="6">
        <v>32768</v>
      </c>
      <c r="AB30" s="118">
        <v>65535</v>
      </c>
      <c r="AE30" s="96"/>
      <c r="AF30" s="270" t="str">
        <f>IF(V30=1,MAX($AF$6:AF29)+1,IF(AF29="#",0,IF(AND(D29=D30,K29=K30,L29=L30,M29=M30,N29=N30,O29=O30,P29=P30,Q29=Q30,R29=R30,S29=S30,T29=T30,U29=U30,V29=V30,W29=W30,HEX2DEC(SUBSTITUTE(AH29,"0x",""))&lt;HEX2DEC(SUBSTITUTE(AH30,"0x",""))),"",MAX($AF$6:AF29)+1)))</f>
        <v/>
      </c>
      <c r="AG30" s="225">
        <f>IF(MAX(INDEX($AF:$AF,ROW($AG$6)):INDEX($AF:$AF,ROW(AG30)))+1=AF31,MAX(INDEX($AF:$AF,ROW($AG$6)):INDEX($AF:$AF,ROW(AG30))),"")</f>
        <v>14</v>
      </c>
      <c r="AH30" s="6" t="str">
        <f t="shared" si="4"/>
        <v>0x4000014f</v>
      </c>
      <c r="AI30" s="6">
        <f t="shared" si="5"/>
        <v>1073742159</v>
      </c>
      <c r="AJ30" s="6" t="str">
        <f t="shared" si="6"/>
        <v/>
      </c>
      <c r="AK30" s="6" t="str">
        <f t="shared" si="3"/>
        <v/>
      </c>
      <c r="AL30" s="6" t="str">
        <f t="shared" si="7"/>
        <v/>
      </c>
      <c r="AN30" s="6" t="str">
        <f t="shared" si="8"/>
        <v>ok</v>
      </c>
      <c r="AO30" s="6" t="s">
        <v>5</v>
      </c>
    </row>
    <row r="31" spans="1:41">
      <c r="A31" s="7" t="s">
        <v>93</v>
      </c>
      <c r="B31" s="7" t="s">
        <v>92</v>
      </c>
      <c r="C31" s="7" t="s">
        <v>29</v>
      </c>
      <c r="D31" s="7">
        <v>8</v>
      </c>
      <c r="E31" s="7">
        <v>100</v>
      </c>
      <c r="F31" s="7" t="s">
        <v>31</v>
      </c>
      <c r="G31" s="7" t="s">
        <v>32</v>
      </c>
      <c r="H31" s="7"/>
      <c r="I31" s="7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6">
        <v>29</v>
      </c>
      <c r="Z31" s="118">
        <v>65535</v>
      </c>
      <c r="AA31" s="6">
        <v>32768</v>
      </c>
      <c r="AB31" s="118">
        <v>65535</v>
      </c>
      <c r="AE31" s="96"/>
      <c r="AF31" s="270">
        <f>IF(V31=1,MAX($AF$6:AF30)+1,IF(AF30="#",0,IF(AND(D30=D31,K30=K31,L30=L31,M30=M31,N30=N31,O30=O31,P30=P31,Q30=Q31,R30=R31,S30=S31,T30=T31,U30=U31,V30=V31,W30=W31,HEX2DEC(SUBSTITUTE(AH30,"0x",""))&lt;HEX2DEC(SUBSTITUTE(AH31,"0x",""))),"",MAX($AF$6:AF30)+1)))</f>
        <v>15</v>
      </c>
      <c r="AG31" s="225" t="str">
        <f>IF(MAX(INDEX($AF:$AF,ROW($AG$6)):INDEX($AF:$AF,ROW(AG31)))+1=AF32,MAX(INDEX($AF:$AF,ROW($AG$6)):INDEX($AF:$AF,ROW(AG31))),"")</f>
        <v/>
      </c>
      <c r="AH31" s="6" t="str">
        <f t="shared" si="4"/>
        <v>0x4000014d</v>
      </c>
      <c r="AI31" s="6">
        <f t="shared" si="5"/>
        <v>1073742157</v>
      </c>
      <c r="AJ31" s="6" t="str">
        <f t="shared" si="6"/>
        <v>0x4000014d</v>
      </c>
      <c r="AK31" s="6" t="str">
        <f t="shared" si="3"/>
        <v>0x4000015a</v>
      </c>
      <c r="AL31" s="6">
        <f t="shared" si="7"/>
        <v>8</v>
      </c>
      <c r="AN31" s="6" t="str">
        <f t="shared" si="8"/>
        <v>not ok</v>
      </c>
    </row>
    <row r="32" spans="1:41">
      <c r="A32" s="7" t="s">
        <v>109</v>
      </c>
      <c r="B32" s="7" t="s">
        <v>108</v>
      </c>
      <c r="C32" s="7" t="s">
        <v>29</v>
      </c>
      <c r="D32" s="7">
        <v>8</v>
      </c>
      <c r="E32" s="7">
        <v>100</v>
      </c>
      <c r="F32" s="7" t="s">
        <v>31</v>
      </c>
      <c r="G32" s="7" t="s">
        <v>32</v>
      </c>
      <c r="H32" s="7"/>
      <c r="I32" s="7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6">
        <v>29</v>
      </c>
      <c r="Z32" s="118">
        <v>65535</v>
      </c>
      <c r="AA32" s="6">
        <v>32768</v>
      </c>
      <c r="AB32" s="118">
        <v>65535</v>
      </c>
      <c r="AE32" s="96"/>
      <c r="AF32" s="270" t="str">
        <f>IF(V32=1,MAX($AF$6:AF31)+1,IF(AF31="#",0,IF(AND(D31=D32,K31=K32,L31=L32,M31=M32,N31=N32,O31=O32,P31=P32,Q31=Q32,R31=R32,S31=S32,T31=T32,U31=U32,V31=V32,W31=W32,HEX2DEC(SUBSTITUTE(AH31,"0x",""))&lt;HEX2DEC(SUBSTITUTE(AH32,"0x",""))),"",MAX($AF$6:AF31)+1)))</f>
        <v/>
      </c>
      <c r="AG32" s="225">
        <f>IF(MAX(INDEX($AF:$AF,ROW($AG$6)):INDEX($AF:$AF,ROW(AG32)))+1=AF33,MAX(INDEX($AF:$AF,ROW($AG$6)):INDEX($AF:$AF,ROW(AG32))),"")</f>
        <v>15</v>
      </c>
      <c r="AH32" s="6" t="str">
        <f t="shared" si="4"/>
        <v>0x4000015a</v>
      </c>
      <c r="AI32" s="6">
        <f t="shared" si="5"/>
        <v>1073742170</v>
      </c>
      <c r="AJ32" s="6" t="str">
        <f t="shared" si="6"/>
        <v/>
      </c>
      <c r="AK32" s="6" t="str">
        <f t="shared" si="3"/>
        <v/>
      </c>
      <c r="AL32" s="6" t="str">
        <f t="shared" si="7"/>
        <v/>
      </c>
      <c r="AN32" s="6" t="str">
        <f t="shared" si="8"/>
        <v>ok</v>
      </c>
      <c r="AO32" s="6" t="s">
        <v>5</v>
      </c>
    </row>
    <row r="33" spans="1:41">
      <c r="A33" s="7" t="s">
        <v>112</v>
      </c>
      <c r="B33" s="7" t="s">
        <v>111</v>
      </c>
      <c r="C33" s="7" t="s">
        <v>29</v>
      </c>
      <c r="D33" s="7">
        <v>32</v>
      </c>
      <c r="E33" s="7">
        <v>100</v>
      </c>
      <c r="F33" s="7" t="s">
        <v>31</v>
      </c>
      <c r="G33" s="7" t="s">
        <v>32</v>
      </c>
      <c r="H33" s="7"/>
      <c r="I33" s="7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6">
        <v>29</v>
      </c>
      <c r="Z33" s="118">
        <v>65535</v>
      </c>
      <c r="AA33" s="6">
        <v>32768</v>
      </c>
      <c r="AB33" s="118">
        <v>65535</v>
      </c>
      <c r="AE33" s="96"/>
      <c r="AF33" s="270">
        <f>IF(V33=1,MAX($AF$6:AF32)+1,IF(AF32="#",0,IF(AND(D32=D33,K32=K33,L32=L33,M32=M33,N32=N33,O32=O33,P32=P33,Q32=Q33,R32=R33,S32=S33,T32=T33,U32=U33,V32=V33,W32=W33,HEX2DEC(SUBSTITUTE(AH32,"0x",""))&lt;HEX2DEC(SUBSTITUTE(AH33,"0x",""))),"",MAX($AF$6:AF32)+1)))</f>
        <v>16</v>
      </c>
      <c r="AG33" s="225" t="str">
        <f>IF(MAX(INDEX($AF:$AF,ROW($AG$6)):INDEX($AF:$AF,ROW(AG33)))+1=AF34,MAX(INDEX($AF:$AF,ROW($AG$6)):INDEX($AF:$AF,ROW(AG33))),"")</f>
        <v/>
      </c>
      <c r="AH33" s="6" t="str">
        <f t="shared" si="4"/>
        <v>0x4000016e</v>
      </c>
      <c r="AI33" s="6">
        <f t="shared" si="5"/>
        <v>1073742190</v>
      </c>
      <c r="AJ33" s="6" t="str">
        <f t="shared" si="6"/>
        <v>0x4000016e</v>
      </c>
      <c r="AK33" s="6" t="str">
        <f t="shared" si="3"/>
        <v>0x4000019a</v>
      </c>
      <c r="AL33" s="6">
        <f t="shared" si="7"/>
        <v>32</v>
      </c>
      <c r="AN33" s="6" t="str">
        <f t="shared" si="8"/>
        <v>ok</v>
      </c>
      <c r="AO33" s="6" t="s">
        <v>5</v>
      </c>
    </row>
    <row r="34" spans="1:41">
      <c r="A34" s="7" t="s">
        <v>115</v>
      </c>
      <c r="B34" s="7" t="s">
        <v>114</v>
      </c>
      <c r="C34" s="7" t="s">
        <v>29</v>
      </c>
      <c r="D34" s="7">
        <v>32</v>
      </c>
      <c r="E34" s="7">
        <v>100</v>
      </c>
      <c r="F34" s="7" t="s">
        <v>31</v>
      </c>
      <c r="G34" s="7" t="s">
        <v>32</v>
      </c>
      <c r="H34" s="7"/>
      <c r="I34" s="7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6">
        <v>29</v>
      </c>
      <c r="Z34" s="118">
        <v>65535</v>
      </c>
      <c r="AA34" s="6">
        <v>32768</v>
      </c>
      <c r="AB34" s="118">
        <v>65535</v>
      </c>
      <c r="AE34" s="96"/>
      <c r="AF34" s="270" t="str">
        <f>IF(V34=1,MAX($AF$6:AF33)+1,IF(AF33="#",0,IF(AND(D33=D34,K33=K34,L33=L34,M33=M34,N33=N34,O33=O34,P33=P34,Q33=Q34,R33=R34,S33=S34,T33=T34,U33=U34,V33=V34,W33=W34,HEX2DEC(SUBSTITUTE(AH33,"0x",""))&lt;HEX2DEC(SUBSTITUTE(AH34,"0x",""))),"",MAX($AF$6:AF33)+1)))</f>
        <v/>
      </c>
      <c r="AG34" s="225" t="str">
        <f>IF(MAX(INDEX($AF:$AF,ROW($AG$6)):INDEX($AF:$AF,ROW(AG34)))+1=AF35,MAX(INDEX($AF:$AF,ROW($AG$6)):INDEX($AF:$AF,ROW(AG34))),"")</f>
        <v/>
      </c>
      <c r="AH34" s="6" t="str">
        <f t="shared" si="4"/>
        <v>0x4000017e</v>
      </c>
      <c r="AI34" s="6">
        <f t="shared" si="5"/>
        <v>1073742206</v>
      </c>
      <c r="AJ34" s="6" t="str">
        <f t="shared" si="6"/>
        <v/>
      </c>
      <c r="AK34" s="6" t="str">
        <f t="shared" si="3"/>
        <v/>
      </c>
      <c r="AL34" s="6" t="str">
        <f t="shared" si="7"/>
        <v/>
      </c>
      <c r="AN34" s="6" t="str">
        <f t="shared" si="8"/>
        <v>ok</v>
      </c>
      <c r="AO34" s="6" t="s">
        <v>5</v>
      </c>
    </row>
    <row r="35" spans="1:41">
      <c r="A35" s="7" t="s">
        <v>118</v>
      </c>
      <c r="B35" s="7" t="s">
        <v>117</v>
      </c>
      <c r="C35" s="7" t="s">
        <v>29</v>
      </c>
      <c r="D35" s="7">
        <v>32</v>
      </c>
      <c r="E35" s="7">
        <v>100</v>
      </c>
      <c r="F35" s="7" t="s">
        <v>31</v>
      </c>
      <c r="G35" s="7" t="s">
        <v>32</v>
      </c>
      <c r="H35" s="7"/>
      <c r="I35" s="7"/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89"/>
      <c r="Y35" s="6">
        <v>29</v>
      </c>
      <c r="Z35" s="118">
        <v>65535</v>
      </c>
      <c r="AA35" s="6">
        <v>32768</v>
      </c>
      <c r="AB35" s="118">
        <v>65535</v>
      </c>
      <c r="AE35" s="96"/>
      <c r="AF35" s="270" t="str">
        <f>IF(V35=1,MAX($AF$6:AF34)+1,IF(AF34="#",0,IF(AND(D34=D35,K34=K35,L34=L35,M34=M35,N34=N35,O34=O35,P34=P35,Q34=Q35,R34=R35,S34=S35,T34=T35,U34=U35,V34=V35,W34=W35,HEX2DEC(SUBSTITUTE(AH34,"0x",""))&lt;HEX2DEC(SUBSTITUTE(AH35,"0x",""))),"",MAX($AF$6:AF34)+1)))</f>
        <v/>
      </c>
      <c r="AG35" s="225" t="str">
        <f>IF(MAX(INDEX($AF:$AF,ROW($AG$6)):INDEX($AF:$AF,ROW(AG35)))+1=AF36,MAX(INDEX($AF:$AF,ROW($AG$6)):INDEX($AF:$AF,ROW(AG35))),"")</f>
        <v/>
      </c>
      <c r="AH35" s="6" t="str">
        <f t="shared" si="4"/>
        <v>0x4000018d</v>
      </c>
      <c r="AI35" s="6">
        <f t="shared" si="5"/>
        <v>1073742221</v>
      </c>
      <c r="AJ35" s="6" t="str">
        <f t="shared" si="6"/>
        <v/>
      </c>
      <c r="AK35" s="6" t="str">
        <f t="shared" si="3"/>
        <v/>
      </c>
      <c r="AL35" s="6" t="str">
        <f t="shared" si="7"/>
        <v/>
      </c>
      <c r="AN35" s="6" t="str">
        <f t="shared" si="8"/>
        <v>ok</v>
      </c>
      <c r="AO35" s="6" t="s">
        <v>5</v>
      </c>
    </row>
    <row r="36" spans="1:41">
      <c r="A36" s="7" t="s">
        <v>121</v>
      </c>
      <c r="B36" s="7" t="s">
        <v>120</v>
      </c>
      <c r="C36" s="7" t="s">
        <v>29</v>
      </c>
      <c r="D36" s="7">
        <v>32</v>
      </c>
      <c r="E36" s="7">
        <v>200</v>
      </c>
      <c r="F36" s="7" t="s">
        <v>31</v>
      </c>
      <c r="G36" s="7" t="s">
        <v>32</v>
      </c>
      <c r="H36" s="7"/>
      <c r="I36" s="7"/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89"/>
      <c r="Y36" s="6">
        <v>29</v>
      </c>
      <c r="Z36" s="118">
        <v>65535</v>
      </c>
      <c r="AA36" s="6">
        <v>32768</v>
      </c>
      <c r="AB36" s="118">
        <v>65535</v>
      </c>
      <c r="AE36" s="96"/>
      <c r="AF36" s="270" t="str">
        <f>IF(V36=1,MAX($AF$6:AF35)+1,IF(AF35="#",0,IF(AND(D35=D36,K35=K36,L35=L36,M35=M36,N35=N36,O35=O36,P35=P36,Q35=Q36,R35=R36,S35=S36,T35=T36,U35=U36,V35=V36,W35=W36,HEX2DEC(SUBSTITUTE(AH35,"0x",""))&lt;HEX2DEC(SUBSTITUTE(AH36,"0x",""))),"",MAX($AF$6:AF35)+1)))</f>
        <v/>
      </c>
      <c r="AG36" s="225">
        <f>IF(MAX(INDEX($AF:$AF,ROW($AG$6)):INDEX($AF:$AF,ROW(AG36)))+1=AF37,MAX(INDEX($AF:$AF,ROW($AG$6)):INDEX($AF:$AF,ROW(AG36))),"")</f>
        <v>16</v>
      </c>
      <c r="AH36" s="6" t="str">
        <f t="shared" si="4"/>
        <v>0x4000019a</v>
      </c>
      <c r="AI36" s="6">
        <f t="shared" si="5"/>
        <v>1073742234</v>
      </c>
      <c r="AJ36" s="6" t="str">
        <f t="shared" si="6"/>
        <v/>
      </c>
      <c r="AK36" s="6" t="str">
        <f t="shared" si="3"/>
        <v/>
      </c>
      <c r="AL36" s="6" t="str">
        <f t="shared" si="7"/>
        <v/>
      </c>
      <c r="AN36" s="6" t="str">
        <f t="shared" si="8"/>
        <v>ok</v>
      </c>
    </row>
    <row r="37" spans="1:41">
      <c r="A37" s="7" t="s">
        <v>124</v>
      </c>
      <c r="B37" s="7" t="s">
        <v>123</v>
      </c>
      <c r="C37" s="7" t="s">
        <v>29</v>
      </c>
      <c r="D37" s="7">
        <v>8</v>
      </c>
      <c r="E37" s="7">
        <v>200</v>
      </c>
      <c r="F37" s="7" t="s">
        <v>31</v>
      </c>
      <c r="G37" s="7" t="s">
        <v>32</v>
      </c>
      <c r="H37" s="7"/>
      <c r="I37" s="7"/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89"/>
      <c r="Y37" s="6">
        <v>29</v>
      </c>
      <c r="Z37" s="118">
        <v>65535</v>
      </c>
      <c r="AA37" s="6">
        <v>32768</v>
      </c>
      <c r="AB37" s="118">
        <v>65535</v>
      </c>
      <c r="AE37" s="96"/>
      <c r="AF37" s="270">
        <f>IF(V37=1,MAX($AF$6:AF36)+1,IF(AF36="#",0,IF(AND(D36=D37,K36=K37,L36=L37,M36=M37,N36=N37,O36=O37,P36=P37,Q36=Q37,R36=R37,S36=S37,T36=T37,U36=U37,V36=V37,W36=W37,HEX2DEC(SUBSTITUTE(AH36,"0x",""))&lt;HEX2DEC(SUBSTITUTE(AH37,"0x",""))),"",MAX($AF$6:AF36)+1)))</f>
        <v>17</v>
      </c>
      <c r="AG37" s="225">
        <f>IF(MAX(INDEX($AF:$AF,ROW($AG$6)):INDEX($AF:$AF,ROW(AG37)))+1=AF38,MAX(INDEX($AF:$AF,ROW($AG$6)):INDEX($AF:$AF,ROW(AG37))),"")</f>
        <v>17</v>
      </c>
      <c r="AH37" s="6" t="str">
        <f t="shared" si="4"/>
        <v>0x400001a0</v>
      </c>
      <c r="AI37" s="6">
        <f t="shared" si="5"/>
        <v>1073742240</v>
      </c>
      <c r="AJ37" s="6" t="str">
        <f t="shared" si="6"/>
        <v>0x400001a0</v>
      </c>
      <c r="AK37" s="6" t="str">
        <f t="shared" si="3"/>
        <v>0x400001a0</v>
      </c>
      <c r="AL37" s="6">
        <f t="shared" si="7"/>
        <v>8</v>
      </c>
      <c r="AN37" s="6" t="str">
        <f t="shared" si="8"/>
        <v>ok</v>
      </c>
      <c r="AO37" s="6" t="s">
        <v>5</v>
      </c>
    </row>
    <row r="38" spans="1:41">
      <c r="A38" s="7" t="s">
        <v>128</v>
      </c>
      <c r="B38" s="7" t="s">
        <v>127</v>
      </c>
      <c r="C38" s="7" t="s">
        <v>29</v>
      </c>
      <c r="D38" s="7">
        <v>32</v>
      </c>
      <c r="E38" s="7">
        <v>200</v>
      </c>
      <c r="F38" s="7" t="s">
        <v>31</v>
      </c>
      <c r="G38" s="7" t="s">
        <v>32</v>
      </c>
      <c r="H38" s="7"/>
      <c r="I38" s="7"/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89"/>
      <c r="Y38" s="6">
        <v>29</v>
      </c>
      <c r="Z38" s="118">
        <v>65535</v>
      </c>
      <c r="AA38" s="6">
        <v>32768</v>
      </c>
      <c r="AB38" s="118">
        <v>65535</v>
      </c>
      <c r="AE38" s="96"/>
      <c r="AF38" s="270">
        <f>IF(V38=1,MAX($AF$6:AF37)+1,IF(AF37="#",0,IF(AND(D37=D38,K37=K38,L37=L38,M37=M38,N37=N38,O37=O38,P37=P38,Q37=Q38,R37=R38,S37=S38,T37=T38,U37=U38,V37=V38,W37=W38,HEX2DEC(SUBSTITUTE(AH37,"0x",""))&lt;HEX2DEC(SUBSTITUTE(AH38,"0x",""))),"",MAX($AF$6:AF37)+1)))</f>
        <v>18</v>
      </c>
      <c r="AG38" s="225">
        <f>IF(MAX(INDEX($AF:$AF,ROW($AG$6)):INDEX($AF:$AF,ROW(AG38)))+1=AF39,MAX(INDEX($AF:$AF,ROW($AG$6)):INDEX($AF:$AF,ROW(AG38))),"")</f>
        <v>18</v>
      </c>
      <c r="AH38" s="6" t="str">
        <f t="shared" si="4"/>
        <v>0x400001b2</v>
      </c>
      <c r="AI38" s="6">
        <f t="shared" si="5"/>
        <v>1073742258</v>
      </c>
      <c r="AJ38" s="6" t="str">
        <f t="shared" si="6"/>
        <v>0x400001b2</v>
      </c>
      <c r="AK38" s="6" t="str">
        <f t="shared" si="3"/>
        <v>0x400001b2</v>
      </c>
      <c r="AL38" s="6">
        <f t="shared" si="7"/>
        <v>32</v>
      </c>
      <c r="AN38" s="6" t="str">
        <f t="shared" si="8"/>
        <v>ok</v>
      </c>
      <c r="AO38" s="6" t="s">
        <v>5</v>
      </c>
    </row>
    <row r="39" spans="1:41">
      <c r="A39" s="7" t="s">
        <v>131</v>
      </c>
      <c r="B39" s="7" t="s">
        <v>130</v>
      </c>
      <c r="C39" s="7" t="s">
        <v>29</v>
      </c>
      <c r="D39" s="7">
        <v>8</v>
      </c>
      <c r="E39" s="7">
        <v>200</v>
      </c>
      <c r="F39" s="7" t="s">
        <v>31</v>
      </c>
      <c r="G39" s="7" t="s">
        <v>32</v>
      </c>
      <c r="H39" s="7"/>
      <c r="I39" s="7"/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89"/>
      <c r="Y39" s="6">
        <v>29</v>
      </c>
      <c r="Z39" s="118">
        <v>65535</v>
      </c>
      <c r="AA39" s="6">
        <v>32768</v>
      </c>
      <c r="AB39" s="118">
        <v>65535</v>
      </c>
      <c r="AE39" s="96"/>
      <c r="AF39" s="270">
        <f>IF(V39=1,MAX($AF$6:AF38)+1,IF(AF38="#",0,IF(AND(D38=D39,K38=K39,L38=L39,M38=M39,N38=N39,O38=O39,P38=P39,Q38=Q39,R38=R39,S38=S39,T38=T39,U38=U39,V38=V39,W38=W39,HEX2DEC(SUBSTITUTE(AH38,"0x",""))&lt;HEX2DEC(SUBSTITUTE(AH39,"0x",""))),"",MAX($AF$6:AF38)+1)))</f>
        <v>19</v>
      </c>
      <c r="AG39" s="225">
        <f>IF(MAX(INDEX($AF:$AF,ROW($AG$6)):INDEX($AF:$AF,ROW(AG39)))+1=AF40,MAX(INDEX($AF:$AF,ROW($AG$6)):INDEX($AF:$AF,ROW(AG39))),"")</f>
        <v>19</v>
      </c>
      <c r="AH39" s="6" t="str">
        <f t="shared" si="4"/>
        <v>0x400001bb</v>
      </c>
      <c r="AI39" s="6">
        <f t="shared" si="5"/>
        <v>1073742267</v>
      </c>
      <c r="AJ39" s="6" t="str">
        <f t="shared" si="6"/>
        <v>0x400001bb</v>
      </c>
      <c r="AK39" s="6" t="str">
        <f t="shared" si="3"/>
        <v>0x400001bb</v>
      </c>
      <c r="AL39" s="6">
        <f t="shared" si="7"/>
        <v>8</v>
      </c>
      <c r="AN39" s="6" t="str">
        <f t="shared" si="8"/>
        <v>ok</v>
      </c>
      <c r="AO39" s="6" t="s">
        <v>5</v>
      </c>
    </row>
    <row r="40" spans="1:41">
      <c r="A40" s="7" t="s">
        <v>134</v>
      </c>
      <c r="B40" s="7" t="s">
        <v>133</v>
      </c>
      <c r="C40" s="7" t="s">
        <v>29</v>
      </c>
      <c r="D40" s="7">
        <v>32</v>
      </c>
      <c r="E40" s="7">
        <v>200</v>
      </c>
      <c r="F40" s="7" t="s">
        <v>31</v>
      </c>
      <c r="G40" s="7" t="s">
        <v>32</v>
      </c>
      <c r="H40" s="7"/>
      <c r="I40" s="7"/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89"/>
      <c r="Y40" s="6">
        <v>29</v>
      </c>
      <c r="Z40" s="118">
        <v>65535</v>
      </c>
      <c r="AA40" s="6">
        <v>32768</v>
      </c>
      <c r="AB40" s="118">
        <v>65535</v>
      </c>
      <c r="AE40" s="96"/>
      <c r="AF40" s="270">
        <f>IF(V40=1,MAX($AF$6:AF39)+1,IF(AF39="#",0,IF(AND(D39=D40,K39=K40,L39=L40,M39=M40,N39=N40,O39=O40,P39=P40,Q39=Q40,R39=R40,S39=S40,T39=T40,U39=U40,V39=V40,W39=W40,HEX2DEC(SUBSTITUTE(AH39,"0x",""))&lt;HEX2DEC(SUBSTITUTE(AH40,"0x",""))),"",MAX($AF$6:AF39)+1)))</f>
        <v>20</v>
      </c>
      <c r="AG40" s="225" t="str">
        <f>IF(MAX(INDEX($AF:$AF,ROW($AG$6)):INDEX($AF:$AF,ROW(AG40)))+1=AF41,MAX(INDEX($AF:$AF,ROW($AG$6)):INDEX($AF:$AF,ROW(AG40))),"")</f>
        <v/>
      </c>
      <c r="AH40" s="6" t="str">
        <f t="shared" si="4"/>
        <v>0x400001bc</v>
      </c>
      <c r="AI40" s="6">
        <f t="shared" si="5"/>
        <v>1073742268</v>
      </c>
      <c r="AJ40" s="6" t="str">
        <f t="shared" si="6"/>
        <v>0x400001bc</v>
      </c>
      <c r="AK40" s="6" t="str">
        <f t="shared" si="3"/>
        <v>0x400001c1</v>
      </c>
      <c r="AL40" s="6">
        <f t="shared" si="7"/>
        <v>32</v>
      </c>
      <c r="AN40" s="6" t="str">
        <f t="shared" si="8"/>
        <v>ok</v>
      </c>
      <c r="AO40" s="6" t="s">
        <v>5</v>
      </c>
    </row>
    <row r="41" spans="1:41">
      <c r="A41" s="7" t="s">
        <v>786</v>
      </c>
      <c r="B41" s="7" t="s">
        <v>135</v>
      </c>
      <c r="C41" s="7" t="s">
        <v>29</v>
      </c>
      <c r="D41" s="7">
        <v>32</v>
      </c>
      <c r="E41" s="7">
        <v>200</v>
      </c>
      <c r="F41" s="7" t="s">
        <v>29</v>
      </c>
      <c r="G41" s="7" t="s">
        <v>32</v>
      </c>
      <c r="H41" s="7"/>
      <c r="I41" s="7"/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89"/>
      <c r="Y41" s="6">
        <v>29</v>
      </c>
      <c r="Z41" s="118">
        <v>65535</v>
      </c>
      <c r="AA41" s="6">
        <v>32768</v>
      </c>
      <c r="AB41" s="118">
        <v>65535</v>
      </c>
      <c r="AE41" s="96"/>
      <c r="AF41" s="270" t="str">
        <f>IF(V41=1,MAX($AF$6:AF40)+1,IF(AF40="#",0,IF(AND(D40=D41,K40=K41,L40=L41,M40=M41,N40=N41,O40=O41,P40=P41,Q40=Q41,R40=R41,S40=S41,T40=T41,U40=U41,V40=V41,W40=W41,HEX2DEC(SUBSTITUTE(AH40,"0x",""))&lt;HEX2DEC(SUBSTITUTE(AH41,"0x",""))),"",MAX($AF$6:AF40)+1)))</f>
        <v/>
      </c>
      <c r="AG41" s="225" t="str">
        <f>IF(MAX(INDEX($AF:$AF,ROW($AG$6)):INDEX($AF:$AF,ROW(AG41)))+1=AF42,MAX(INDEX($AF:$AF,ROW($AG$6)):INDEX($AF:$AF,ROW(AG41))),"")</f>
        <v/>
      </c>
      <c r="AH41" s="6" t="str">
        <f t="shared" si="4"/>
        <v>0x400001be</v>
      </c>
      <c r="AI41" s="6">
        <f t="shared" si="5"/>
        <v>1073742270</v>
      </c>
      <c r="AJ41" s="6" t="str">
        <f t="shared" si="6"/>
        <v/>
      </c>
      <c r="AK41" s="6" t="str">
        <f t="shared" si="3"/>
        <v/>
      </c>
      <c r="AL41" s="6" t="str">
        <f t="shared" si="7"/>
        <v/>
      </c>
      <c r="AN41" s="6" t="str">
        <f t="shared" si="8"/>
        <v>ok</v>
      </c>
      <c r="AO41" s="6" t="s">
        <v>5</v>
      </c>
    </row>
    <row r="42" spans="1:41">
      <c r="A42" s="7" t="s">
        <v>787</v>
      </c>
      <c r="B42" s="7" t="s">
        <v>101</v>
      </c>
      <c r="C42" s="7" t="s">
        <v>29</v>
      </c>
      <c r="D42" s="7">
        <v>32</v>
      </c>
      <c r="E42" s="7">
        <v>200</v>
      </c>
      <c r="F42" s="7" t="s">
        <v>29</v>
      </c>
      <c r="G42" s="7" t="s">
        <v>32</v>
      </c>
      <c r="H42" s="7"/>
      <c r="I42" s="7"/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89"/>
      <c r="Y42" s="6">
        <v>29</v>
      </c>
      <c r="Z42" s="118">
        <v>65535</v>
      </c>
      <c r="AA42" s="6">
        <v>32768</v>
      </c>
      <c r="AB42" s="118">
        <v>65535</v>
      </c>
      <c r="AE42" s="96"/>
      <c r="AF42" s="270" t="str">
        <f>IF(V42=1,MAX($AF$6:AF41)+1,IF(AF41="#",0,IF(AND(D41=D42,K41=K42,L41=L42,M41=M42,N41=N42,O41=O42,P41=P42,Q41=Q42,R41=R42,S41=S42,T41=T42,U41=U42,V41=V42,W41=W42,HEX2DEC(SUBSTITUTE(AH41,"0x",""))&lt;HEX2DEC(SUBSTITUTE(AH42,"0x",""))),"",MAX($AF$6:AF41)+1)))</f>
        <v/>
      </c>
      <c r="AG42" s="225" t="str">
        <f>IF(MAX(INDEX($AF:$AF,ROW($AG$6)):INDEX($AF:$AF,ROW(AG42)))+1=AF43,MAX(INDEX($AF:$AF,ROW($AG$6)):INDEX($AF:$AF,ROW(AG42))),"")</f>
        <v/>
      </c>
      <c r="AH42" s="6" t="str">
        <f t="shared" si="4"/>
        <v>0x400001c0</v>
      </c>
      <c r="AI42" s="6">
        <f t="shared" si="5"/>
        <v>1073742272</v>
      </c>
      <c r="AJ42" s="6" t="str">
        <f t="shared" si="6"/>
        <v/>
      </c>
      <c r="AK42" s="6" t="str">
        <f t="shared" si="3"/>
        <v/>
      </c>
      <c r="AL42" s="6" t="str">
        <f t="shared" si="7"/>
        <v/>
      </c>
      <c r="AN42" s="6" t="str">
        <f t="shared" si="8"/>
        <v>ok</v>
      </c>
    </row>
    <row r="43" spans="1:41">
      <c r="A43" s="7" t="s">
        <v>788</v>
      </c>
      <c r="B43" s="7" t="s">
        <v>789</v>
      </c>
      <c r="C43" s="7" t="s">
        <v>29</v>
      </c>
      <c r="D43" s="7">
        <v>32</v>
      </c>
      <c r="E43" s="7">
        <v>200</v>
      </c>
      <c r="F43" s="7" t="s">
        <v>29</v>
      </c>
      <c r="G43" s="7" t="s">
        <v>32</v>
      </c>
      <c r="H43" s="7"/>
      <c r="I43" s="7"/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89"/>
      <c r="Y43" s="6">
        <v>29</v>
      </c>
      <c r="Z43" s="118">
        <v>65535</v>
      </c>
      <c r="AA43" s="6">
        <v>32768</v>
      </c>
      <c r="AB43" s="118">
        <v>65535</v>
      </c>
      <c r="AE43" s="96"/>
      <c r="AF43" s="270" t="str">
        <f>IF(V43=1,MAX($AF$6:AF42)+1,IF(AF42="#",0,IF(AND(D42=D43,K42=K43,L42=L43,M42=M43,N42=N43,O42=O43,P42=P43,Q42=Q43,R42=R43,S42=S43,T42=T43,U42=U43,V42=V43,W42=W43,HEX2DEC(SUBSTITUTE(AH42,"0x",""))&lt;HEX2DEC(SUBSTITUTE(AH43,"0x",""))),"",MAX($AF$6:AF42)+1)))</f>
        <v/>
      </c>
      <c r="AG43" s="225">
        <f>IF(MAX(INDEX($AF:$AF,ROW($AG$6)):INDEX($AF:$AF,ROW(AG43)))+1=AF44,MAX(INDEX($AF:$AF,ROW($AG$6)):INDEX($AF:$AF,ROW(AG43))),"")</f>
        <v>20</v>
      </c>
      <c r="AH43" s="6" t="str">
        <f t="shared" si="4"/>
        <v>0x400001c1</v>
      </c>
      <c r="AI43" s="6">
        <f t="shared" si="5"/>
        <v>1073742273</v>
      </c>
      <c r="AJ43" s="6" t="str">
        <f t="shared" si="6"/>
        <v/>
      </c>
      <c r="AK43" s="6" t="str">
        <f t="shared" si="3"/>
        <v/>
      </c>
      <c r="AL43" s="6" t="str">
        <f t="shared" si="7"/>
        <v/>
      </c>
      <c r="AN43" s="6" t="str">
        <f t="shared" si="8"/>
        <v>ok</v>
      </c>
      <c r="AO43" s="6" t="s">
        <v>5</v>
      </c>
    </row>
    <row r="44" spans="1:41">
      <c r="A44" s="7" t="s">
        <v>103</v>
      </c>
      <c r="B44" s="7" t="s">
        <v>104</v>
      </c>
      <c r="C44" s="7" t="s">
        <v>29</v>
      </c>
      <c r="D44" s="7">
        <v>8</v>
      </c>
      <c r="E44" s="7">
        <v>300</v>
      </c>
      <c r="F44" s="7" t="s">
        <v>31</v>
      </c>
      <c r="G44" s="7" t="s">
        <v>32</v>
      </c>
      <c r="H44" s="7"/>
      <c r="I44" s="7"/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89"/>
      <c r="Y44" s="6">
        <v>29</v>
      </c>
      <c r="Z44" s="118">
        <v>65535</v>
      </c>
      <c r="AA44" s="6">
        <v>32768</v>
      </c>
      <c r="AB44" s="118">
        <v>65535</v>
      </c>
      <c r="AE44" s="96"/>
      <c r="AF44" s="270">
        <f>IF(V44=1,MAX($AF$6:AF43)+1,IF(AF43="#",0,IF(AND(D43=D44,K43=K44,L43=L44,M43=M44,N43=N44,O43=O44,P43=P44,Q43=Q44,R43=R44,S43=S44,T43=T44,U43=U44,V43=V44,W43=W44,HEX2DEC(SUBSTITUTE(AH43,"0x",""))&lt;HEX2DEC(SUBSTITUTE(AH44,"0x",""))),"",MAX($AF$6:AF43)+1)))</f>
        <v>21</v>
      </c>
      <c r="AG44" s="225" t="str">
        <f>IF(MAX(INDEX($AF:$AF,ROW($AG$6)):INDEX($AF:$AF,ROW(AG44)))+1=AF45,MAX(INDEX($AF:$AF,ROW($AG$6)):INDEX($AF:$AF,ROW(AG44))),"")</f>
        <v/>
      </c>
      <c r="AH44" s="6" t="str">
        <f t="shared" si="4"/>
        <v>0x400001d0</v>
      </c>
      <c r="AI44" s="6">
        <f t="shared" si="5"/>
        <v>1073742288</v>
      </c>
      <c r="AJ44" s="6" t="str">
        <f t="shared" si="6"/>
        <v>0x400001d0</v>
      </c>
      <c r="AK44" s="6" t="str">
        <f t="shared" si="3"/>
        <v>0x400001d1</v>
      </c>
      <c r="AL44" s="6">
        <f t="shared" si="7"/>
        <v>8</v>
      </c>
      <c r="AN44" s="6" t="str">
        <f t="shared" si="8"/>
        <v>ok</v>
      </c>
    </row>
    <row r="45" spans="1:41">
      <c r="A45" s="7" t="s">
        <v>153</v>
      </c>
      <c r="B45" s="7" t="s">
        <v>152</v>
      </c>
      <c r="C45" s="7" t="s">
        <v>29</v>
      </c>
      <c r="D45" s="7">
        <v>8</v>
      </c>
      <c r="E45" s="7">
        <v>300</v>
      </c>
      <c r="F45" s="7" t="s">
        <v>31</v>
      </c>
      <c r="G45" s="7" t="s">
        <v>32</v>
      </c>
      <c r="H45" s="7"/>
      <c r="I45" s="7"/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89"/>
      <c r="Y45" s="6">
        <v>29</v>
      </c>
      <c r="Z45" s="118">
        <v>65535</v>
      </c>
      <c r="AA45" s="6">
        <v>32768</v>
      </c>
      <c r="AB45" s="118">
        <v>65535</v>
      </c>
      <c r="AE45" s="96"/>
      <c r="AF45" s="270" t="str">
        <f>IF(V45=1,MAX($AF$6:AF44)+1,IF(AF44="#",0,IF(AND(D44=D45,K44=K45,L44=L45,M44=M45,N44=N45,O44=O45,P44=P45,Q44=Q45,R44=R45,S44=S45,T44=T45,U44=U45,V44=V45,W44=W45,HEX2DEC(SUBSTITUTE(AH44,"0x",""))&lt;HEX2DEC(SUBSTITUTE(AH45,"0x",""))),"",MAX($AF$6:AF44)+1)))</f>
        <v/>
      </c>
      <c r="AG45" s="225">
        <f>IF(MAX(INDEX($AF:$AF,ROW($AG$6)):INDEX($AF:$AF,ROW(AG45)))+1=AF46,MAX(INDEX($AF:$AF,ROW($AG$6)):INDEX($AF:$AF,ROW(AG45))),"")</f>
        <v>21</v>
      </c>
      <c r="AH45" s="6" t="str">
        <f t="shared" si="4"/>
        <v>0x400001d1</v>
      </c>
      <c r="AI45" s="6">
        <f t="shared" si="5"/>
        <v>1073742289</v>
      </c>
      <c r="AJ45" s="6" t="str">
        <f t="shared" si="6"/>
        <v/>
      </c>
      <c r="AK45" s="6" t="str">
        <f t="shared" si="3"/>
        <v/>
      </c>
      <c r="AL45" s="6" t="str">
        <f t="shared" si="7"/>
        <v/>
      </c>
      <c r="AN45" s="6" t="str">
        <f t="shared" si="8"/>
        <v>ok</v>
      </c>
      <c r="AO45" s="6" t="s">
        <v>5</v>
      </c>
    </row>
    <row r="46" spans="1:41">
      <c r="A46" s="7" t="s">
        <v>143</v>
      </c>
      <c r="B46" s="7" t="s">
        <v>142</v>
      </c>
      <c r="C46" s="7" t="s">
        <v>29</v>
      </c>
      <c r="D46" s="7">
        <v>8</v>
      </c>
      <c r="E46" s="7">
        <v>300</v>
      </c>
      <c r="F46" s="7" t="s">
        <v>31</v>
      </c>
      <c r="G46" s="7" t="s">
        <v>32</v>
      </c>
      <c r="H46" s="7"/>
      <c r="I46" s="7"/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89"/>
      <c r="Y46" s="6">
        <v>29</v>
      </c>
      <c r="Z46" s="118">
        <v>65535</v>
      </c>
      <c r="AA46" s="6">
        <v>32768</v>
      </c>
      <c r="AB46" s="118">
        <v>65535</v>
      </c>
      <c r="AE46" s="96"/>
      <c r="AF46" s="270">
        <f>IF(V46=1,MAX($AF$6:AF45)+1,IF(AF45="#",0,IF(AND(D45=D46,K45=K46,L45=L46,M45=M46,N45=N46,O45=O46,P45=P46,Q45=Q46,R45=R46,S45=S46,T45=T46,U45=U46,V45=V46,W45=W46,HEX2DEC(SUBSTITUTE(AH45,"0x",""))&lt;HEX2DEC(SUBSTITUTE(AH46,"0x",""))),"",MAX($AF$6:AF45)+1)))</f>
        <v>22</v>
      </c>
      <c r="AG46" s="225" t="str">
        <f>IF(MAX(INDEX($AF:$AF,ROW($AG$6)):INDEX($AF:$AF,ROW(AG46)))+1=AF47,MAX(INDEX($AF:$AF,ROW($AG$6)):INDEX($AF:$AF,ROW(AG46))),"")</f>
        <v/>
      </c>
      <c r="AH46" s="6" t="str">
        <f t="shared" si="4"/>
        <v>0x400001ca</v>
      </c>
      <c r="AI46" s="6">
        <f t="shared" si="5"/>
        <v>1073742282</v>
      </c>
      <c r="AJ46" s="6" t="str">
        <f t="shared" si="6"/>
        <v>0x400001ca</v>
      </c>
      <c r="AK46" s="6" t="str">
        <f t="shared" si="3"/>
        <v>0x400001de</v>
      </c>
      <c r="AL46" s="6">
        <f t="shared" si="7"/>
        <v>8</v>
      </c>
      <c r="AN46" s="6" t="str">
        <f t="shared" si="8"/>
        <v>not ok</v>
      </c>
      <c r="AO46" s="6" t="s">
        <v>5</v>
      </c>
    </row>
    <row r="47" spans="1:41">
      <c r="A47" s="7" t="s">
        <v>145</v>
      </c>
      <c r="B47" s="7" t="s">
        <v>144</v>
      </c>
      <c r="C47" s="7" t="s">
        <v>29</v>
      </c>
      <c r="D47" s="7">
        <v>8</v>
      </c>
      <c r="E47" s="7">
        <v>300</v>
      </c>
      <c r="F47" s="7" t="s">
        <v>31</v>
      </c>
      <c r="G47" s="7" t="s">
        <v>32</v>
      </c>
      <c r="H47" s="7"/>
      <c r="I47" s="7"/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89"/>
      <c r="Y47" s="6">
        <v>29</v>
      </c>
      <c r="Z47" s="118">
        <v>65535</v>
      </c>
      <c r="AA47" s="6">
        <v>32768</v>
      </c>
      <c r="AB47" s="118">
        <v>65535</v>
      </c>
      <c r="AE47" s="96"/>
      <c r="AF47" s="270" t="str">
        <f>IF(V47=1,MAX($AF$6:AF46)+1,IF(AF46="#",0,IF(AND(D46=D47,K46=K47,L46=L47,M46=M47,N46=N47,O46=O47,P46=P47,Q46=Q47,R46=R47,S46=S47,T46=T47,U46=U47,V46=V47,W46=W47,HEX2DEC(SUBSTITUTE(AH46,"0x",""))&lt;HEX2DEC(SUBSTITUTE(AH47,"0x",""))),"",MAX($AF$6:AF46)+1)))</f>
        <v/>
      </c>
      <c r="AG47" s="225" t="str">
        <f>IF(MAX(INDEX($AF:$AF,ROW($AG$6)):INDEX($AF:$AF,ROW(AG47)))+1=AF48,MAX(INDEX($AF:$AF,ROW($AG$6)):INDEX($AF:$AF,ROW(AG47))),"")</f>
        <v/>
      </c>
      <c r="AH47" s="6" t="str">
        <f t="shared" si="4"/>
        <v>0x400001cc</v>
      </c>
      <c r="AI47" s="6">
        <f t="shared" si="5"/>
        <v>1073742284</v>
      </c>
      <c r="AJ47" s="6" t="str">
        <f t="shared" si="6"/>
        <v/>
      </c>
      <c r="AK47" s="6" t="str">
        <f t="shared" si="3"/>
        <v/>
      </c>
      <c r="AL47" s="6" t="str">
        <f t="shared" si="7"/>
        <v/>
      </c>
      <c r="AN47" s="6" t="str">
        <f t="shared" si="8"/>
        <v>ok</v>
      </c>
      <c r="AO47" s="6" t="s">
        <v>5</v>
      </c>
    </row>
    <row r="48" spans="1:41">
      <c r="A48" s="7" t="s">
        <v>147</v>
      </c>
      <c r="B48" s="7" t="s">
        <v>146</v>
      </c>
      <c r="C48" s="7" t="s">
        <v>29</v>
      </c>
      <c r="D48" s="7">
        <v>8</v>
      </c>
      <c r="E48" s="7">
        <v>300</v>
      </c>
      <c r="F48" s="7" t="s">
        <v>31</v>
      </c>
      <c r="G48" s="7" t="s">
        <v>32</v>
      </c>
      <c r="H48" s="7"/>
      <c r="I48" s="7"/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89"/>
      <c r="Y48" s="6">
        <v>29</v>
      </c>
      <c r="Z48" s="118">
        <v>65535</v>
      </c>
      <c r="AA48" s="6">
        <v>32768</v>
      </c>
      <c r="AB48" s="118">
        <v>65535</v>
      </c>
      <c r="AE48" s="96"/>
      <c r="AF48" s="270" t="str">
        <f>IF(V48=1,MAX($AF$6:AF47)+1,IF(AF47="#",0,IF(AND(D47=D48,K47=K48,L47=L48,M47=M48,N47=N48,O47=O48,P47=P48,Q47=Q48,R47=R48,S47=S48,T47=T48,U47=U48,V47=V48,W47=W48,HEX2DEC(SUBSTITUTE(AH47,"0x",""))&lt;HEX2DEC(SUBSTITUTE(AH48,"0x",""))),"",MAX($AF$6:AF47)+1)))</f>
        <v/>
      </c>
      <c r="AG48" s="225" t="str">
        <f>IF(MAX(INDEX($AF:$AF,ROW($AG$6)):INDEX($AF:$AF,ROW(AG48)))+1=AF49,MAX(INDEX($AF:$AF,ROW($AG$6)):INDEX($AF:$AF,ROW(AG48))),"")</f>
        <v/>
      </c>
      <c r="AH48" s="6" t="str">
        <f t="shared" si="4"/>
        <v>0x400001ce</v>
      </c>
      <c r="AI48" s="6">
        <f t="shared" si="5"/>
        <v>1073742286</v>
      </c>
      <c r="AJ48" s="6" t="str">
        <f t="shared" si="6"/>
        <v/>
      </c>
      <c r="AK48" s="6" t="str">
        <f t="shared" si="3"/>
        <v/>
      </c>
      <c r="AL48" s="6" t="str">
        <f t="shared" si="7"/>
        <v/>
      </c>
      <c r="AN48" s="6" t="str">
        <f t="shared" si="8"/>
        <v>ok</v>
      </c>
    </row>
    <row r="49" spans="1:45">
      <c r="A49" s="7" t="s">
        <v>150</v>
      </c>
      <c r="B49" s="7" t="s">
        <v>149</v>
      </c>
      <c r="C49" s="7" t="s">
        <v>29</v>
      </c>
      <c r="D49" s="7">
        <v>8</v>
      </c>
      <c r="E49" s="7">
        <v>300</v>
      </c>
      <c r="F49" s="7" t="s">
        <v>31</v>
      </c>
      <c r="G49" s="7" t="s">
        <v>32</v>
      </c>
      <c r="H49" s="7"/>
      <c r="I49" s="7"/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89"/>
      <c r="Y49" s="6">
        <v>29</v>
      </c>
      <c r="Z49" s="118">
        <v>65535</v>
      </c>
      <c r="AA49" s="6">
        <v>32768</v>
      </c>
      <c r="AB49" s="118">
        <v>65535</v>
      </c>
      <c r="AE49" s="96"/>
      <c r="AF49" s="270" t="str">
        <f>IF(V49=1,MAX($AF$6:AF48)+1,IF(AF48="#",0,IF(AND(D48=D49,K48=K49,L48=L49,M48=M49,N48=N49,O48=O49,P48=P49,Q48=Q49,R48=R49,S48=S49,T48=T49,U48=U49,V48=V49,W48=W49,HEX2DEC(SUBSTITUTE(AH48,"0x",""))&lt;HEX2DEC(SUBSTITUTE(AH49,"0x",""))),"",MAX($AF$6:AF48)+1)))</f>
        <v/>
      </c>
      <c r="AG49" s="225" t="str">
        <f>IF(MAX(INDEX($AF:$AF,ROW($AG$6)):INDEX($AF:$AF,ROW(AG49)))+1=AF50,MAX(INDEX($AF:$AF,ROW($AG$6)):INDEX($AF:$AF,ROW(AG49))),"")</f>
        <v/>
      </c>
      <c r="AH49" s="6" t="str">
        <f t="shared" si="4"/>
        <v>0x400001cf</v>
      </c>
      <c r="AI49" s="6">
        <f t="shared" si="5"/>
        <v>1073742287</v>
      </c>
      <c r="AJ49" s="6" t="str">
        <f t="shared" si="6"/>
        <v/>
      </c>
      <c r="AK49" s="6" t="str">
        <f t="shared" si="3"/>
        <v/>
      </c>
      <c r="AL49" s="6" t="str">
        <f t="shared" si="7"/>
        <v/>
      </c>
      <c r="AN49" s="6" t="str">
        <f t="shared" si="8"/>
        <v>ok</v>
      </c>
    </row>
    <row r="50" spans="1:45">
      <c r="A50" s="7" t="s">
        <v>156</v>
      </c>
      <c r="B50" s="7" t="s">
        <v>157</v>
      </c>
      <c r="C50" s="7" t="s">
        <v>29</v>
      </c>
      <c r="D50" s="7">
        <v>8</v>
      </c>
      <c r="E50" s="7">
        <v>300</v>
      </c>
      <c r="F50" s="7" t="s">
        <v>31</v>
      </c>
      <c r="G50" s="7" t="s">
        <v>32</v>
      </c>
      <c r="H50" s="7"/>
      <c r="I50" s="7"/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89"/>
      <c r="Y50" s="6">
        <v>29</v>
      </c>
      <c r="Z50" s="118">
        <v>65535</v>
      </c>
      <c r="AA50" s="6">
        <v>32768</v>
      </c>
      <c r="AB50" s="118">
        <v>65535</v>
      </c>
      <c r="AE50" s="96"/>
      <c r="AF50" s="270" t="str">
        <f>IF(V50=1,MAX($AF$6:AF49)+1,IF(AF49="#",0,IF(AND(D49=D50,K49=K50,L49=L50,M49=M50,N49=N50,O49=O50,P49=P50,Q49=Q50,R49=R50,S49=S50,T49=T50,U49=U50,V49=V50,W49=W50,HEX2DEC(SUBSTITUTE(AH49,"0x",""))&lt;HEX2DEC(SUBSTITUTE(AH50,"0x",""))),"",MAX($AF$6:AF49)+1)))</f>
        <v/>
      </c>
      <c r="AG50" s="225">
        <f>IF(MAX(INDEX($AF:$AF,ROW($AG$6)):INDEX($AF:$AF,ROW(AG50)))+1=AF51,MAX(INDEX($AF:$AF,ROW($AG$6)):INDEX($AF:$AF,ROW(AG50))),"")</f>
        <v>22</v>
      </c>
      <c r="AH50" s="6" t="str">
        <f t="shared" si="4"/>
        <v>0x400001de</v>
      </c>
      <c r="AI50" s="6">
        <f t="shared" si="5"/>
        <v>1073742302</v>
      </c>
      <c r="AJ50" s="6" t="str">
        <f t="shared" si="6"/>
        <v/>
      </c>
      <c r="AK50" s="6" t="str">
        <f t="shared" si="3"/>
        <v/>
      </c>
      <c r="AL50" s="6" t="str">
        <f t="shared" si="7"/>
        <v/>
      </c>
      <c r="AN50" s="6" t="str">
        <f t="shared" si="8"/>
        <v>ok</v>
      </c>
    </row>
    <row r="51" spans="1:45">
      <c r="A51" s="7" t="s">
        <v>160</v>
      </c>
      <c r="B51" s="7" t="s">
        <v>161</v>
      </c>
      <c r="C51" s="7" t="s">
        <v>29</v>
      </c>
      <c r="D51" s="7">
        <v>32</v>
      </c>
      <c r="E51" s="7">
        <v>300</v>
      </c>
      <c r="F51" s="7" t="s">
        <v>31</v>
      </c>
      <c r="G51" s="7" t="s">
        <v>32</v>
      </c>
      <c r="H51" s="7"/>
      <c r="I51" s="7"/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89"/>
      <c r="Y51" s="6">
        <v>29</v>
      </c>
      <c r="Z51" s="118">
        <v>65535</v>
      </c>
      <c r="AA51" s="6">
        <v>32768</v>
      </c>
      <c r="AB51" s="118">
        <v>65535</v>
      </c>
      <c r="AE51" s="96"/>
      <c r="AF51" s="270">
        <f>IF(V51=1,MAX($AF$6:AF50)+1,IF(AF50="#",0,IF(AND(D50=D51,K50=K51,L50=L51,M50=M51,N50=N51,O50=O51,P50=P51,Q50=Q51,R50=R51,S50=S51,T50=T51,U50=U51,V50=V51,W50=W51,HEX2DEC(SUBSTITUTE(AH50,"0x",""))&lt;HEX2DEC(SUBSTITUTE(AH51,"0x",""))),"",MAX($AF$6:AF50)+1)))</f>
        <v>23</v>
      </c>
      <c r="AG51" s="225">
        <f>IF(MAX(INDEX($AF:$AF,ROW($AG$6)):INDEX($AF:$AF,ROW(AG51)))+1=AF52,MAX(INDEX($AF:$AF,ROW($AG$6)):INDEX($AF:$AF,ROW(AG51))),"")</f>
        <v>23</v>
      </c>
      <c r="AH51" s="6" t="str">
        <f t="shared" si="4"/>
        <v>0x400001df</v>
      </c>
      <c r="AI51" s="6">
        <f t="shared" si="5"/>
        <v>1073742303</v>
      </c>
      <c r="AJ51" s="6" t="str">
        <f t="shared" si="6"/>
        <v>0x400001df</v>
      </c>
      <c r="AK51" s="6" t="str">
        <f t="shared" si="3"/>
        <v>0x400001df</v>
      </c>
      <c r="AL51" s="6">
        <f t="shared" si="7"/>
        <v>32</v>
      </c>
      <c r="AN51" s="6" t="str">
        <f t="shared" si="8"/>
        <v>ok</v>
      </c>
      <c r="AO51" s="6" t="s">
        <v>5</v>
      </c>
    </row>
    <row r="52" spans="1:45">
      <c r="A52" s="7" t="s">
        <v>155</v>
      </c>
      <c r="B52" s="7" t="s">
        <v>154</v>
      </c>
      <c r="C52" s="7" t="s">
        <v>29</v>
      </c>
      <c r="D52" s="7">
        <v>8</v>
      </c>
      <c r="E52" s="7">
        <v>300</v>
      </c>
      <c r="F52" s="7" t="s">
        <v>31</v>
      </c>
      <c r="G52" s="7" t="s">
        <v>32</v>
      </c>
      <c r="H52" s="7"/>
      <c r="I52" s="7"/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89"/>
      <c r="Y52" s="6">
        <v>29</v>
      </c>
      <c r="Z52" s="118">
        <v>65535</v>
      </c>
      <c r="AA52" s="6">
        <v>32768</v>
      </c>
      <c r="AB52" s="118">
        <v>65535</v>
      </c>
      <c r="AE52" s="96"/>
      <c r="AF52" s="270">
        <f>IF(V52=1,MAX($AF$6:AF51)+1,IF(AF51="#",0,IF(AND(D51=D52,K51=K52,L51=L52,M51=M52,N51=N52,O51=O52,P51=P52,Q51=Q52,R51=R52,S51=S52,T51=T52,U51=U52,V51=V52,W51=W52,HEX2DEC(SUBSTITUTE(AH51,"0x",""))&lt;HEX2DEC(SUBSTITUTE(AH52,"0x",""))),"",MAX($AF$6:AF51)+1)))</f>
        <v>24</v>
      </c>
      <c r="AG52" s="225" t="str">
        <f>IF(MAX(INDEX($AF:$AF,ROW($AG$6)):INDEX($AF:$AF,ROW(AG52)))+1=AF53,MAX(INDEX($AF:$AF,ROW($AG$6)):INDEX($AF:$AF,ROW(AG52))),"")</f>
        <v/>
      </c>
      <c r="AH52" s="6" t="str">
        <f t="shared" si="4"/>
        <v>0x400001d2</v>
      </c>
      <c r="AI52" s="6">
        <f t="shared" si="5"/>
        <v>1073742290</v>
      </c>
      <c r="AJ52" s="6" t="str">
        <f t="shared" si="6"/>
        <v>0x400001d2</v>
      </c>
      <c r="AK52" s="6" t="str">
        <f t="shared" si="3"/>
        <v>0x400001d3</v>
      </c>
      <c r="AL52" s="6">
        <f t="shared" si="7"/>
        <v>8</v>
      </c>
      <c r="AN52" s="6" t="str">
        <f t="shared" si="8"/>
        <v>not ok</v>
      </c>
      <c r="AO52" s="6" t="s">
        <v>5</v>
      </c>
    </row>
    <row r="53" spans="1:45">
      <c r="A53" s="7" t="s">
        <v>159</v>
      </c>
      <c r="B53" s="7" t="s">
        <v>158</v>
      </c>
      <c r="C53" s="7" t="s">
        <v>29</v>
      </c>
      <c r="D53" s="7">
        <v>8</v>
      </c>
      <c r="E53" s="7">
        <v>300</v>
      </c>
      <c r="F53" s="7" t="s">
        <v>31</v>
      </c>
      <c r="G53" s="7" t="s">
        <v>32</v>
      </c>
      <c r="H53" s="7"/>
      <c r="I53" s="7"/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89"/>
      <c r="Y53" s="6">
        <v>29</v>
      </c>
      <c r="Z53" s="118">
        <v>65535</v>
      </c>
      <c r="AA53" s="6">
        <v>32768</v>
      </c>
      <c r="AB53" s="118">
        <v>65535</v>
      </c>
      <c r="AE53" s="96"/>
      <c r="AF53" s="270" t="str">
        <f>IF(V53=1,MAX($AF$6:AF52)+1,IF(AF52="#",0,IF(AND(D52=D53,K52=K53,L52=L53,M52=M53,N52=N53,O52=O53,P52=P53,Q52=Q53,R52=R53,S52=S53,T52=T53,U52=U53,V52=V53,W52=W53,HEX2DEC(SUBSTITUTE(AH52,"0x",""))&lt;HEX2DEC(SUBSTITUTE(AH53,"0x",""))),"",MAX($AF$6:AF52)+1)))</f>
        <v/>
      </c>
      <c r="AG53" s="225">
        <f>IF(MAX(INDEX($AF:$AF,ROW($AG$6)):INDEX($AF:$AF,ROW(AG53)))+1=AF54,MAX(INDEX($AF:$AF,ROW($AG$6)):INDEX($AF:$AF,ROW(AG53))),"")</f>
        <v>24</v>
      </c>
      <c r="AH53" s="6" t="str">
        <f t="shared" si="4"/>
        <v>0x400001d3</v>
      </c>
      <c r="AI53" s="6">
        <f t="shared" si="5"/>
        <v>1073742291</v>
      </c>
      <c r="AJ53" s="6" t="str">
        <f t="shared" si="6"/>
        <v/>
      </c>
      <c r="AK53" s="6" t="str">
        <f t="shared" si="3"/>
        <v/>
      </c>
      <c r="AL53" s="6" t="str">
        <f t="shared" si="7"/>
        <v/>
      </c>
      <c r="AN53" s="6" t="str">
        <f t="shared" si="8"/>
        <v>ok</v>
      </c>
    </row>
    <row r="54" spans="1:45">
      <c r="A54" s="7" t="s">
        <v>171</v>
      </c>
      <c r="B54" s="7" t="s">
        <v>172</v>
      </c>
      <c r="C54" s="7" t="s">
        <v>29</v>
      </c>
      <c r="D54" s="7">
        <v>32</v>
      </c>
      <c r="E54" s="7">
        <v>1000</v>
      </c>
      <c r="F54" s="7" t="s">
        <v>31</v>
      </c>
      <c r="G54" s="7" t="s">
        <v>32</v>
      </c>
      <c r="H54" s="7"/>
      <c r="I54" s="7"/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89"/>
      <c r="Y54" s="6">
        <v>29</v>
      </c>
      <c r="Z54" s="118">
        <v>65535</v>
      </c>
      <c r="AA54" s="6">
        <v>32768</v>
      </c>
      <c r="AB54" s="118">
        <v>65535</v>
      </c>
      <c r="AE54" s="96"/>
      <c r="AF54" s="270">
        <f>IF(V54=1,MAX($AF$6:AF53)+1,IF(AF53="#",0,IF(AND(D53=D54,K53=K54,L53=L54,M53=M54,N53=N54,O53=O54,P53=P54,Q53=Q54,R53=R54,S53=S54,T53=T54,U53=U54,V53=V54,W53=W54,HEX2DEC(SUBSTITUTE(AH53,"0x",""))&lt;HEX2DEC(SUBSTITUTE(AH54,"0x",""))),"",MAX($AF$6:AF53)+1)))</f>
        <v>25</v>
      </c>
      <c r="AG54" s="225">
        <f>IF(MAX(INDEX($AF:$AF,ROW($AG$6)):INDEX($AF:$AF,ROW(AG54)))+1=AF55,MAX(INDEX($AF:$AF,ROW($AG$6)):INDEX($AF:$AF,ROW(AG54))),"")</f>
        <v>25</v>
      </c>
      <c r="AH54" s="6" t="str">
        <f t="shared" si="4"/>
        <v>0x400003d2</v>
      </c>
      <c r="AI54" s="6">
        <f t="shared" si="5"/>
        <v>1073742802</v>
      </c>
      <c r="AJ54" s="6" t="str">
        <f t="shared" si="6"/>
        <v>0x400003d2</v>
      </c>
      <c r="AK54" s="6" t="str">
        <f t="shared" si="3"/>
        <v>0x400003d2</v>
      </c>
      <c r="AL54" s="6">
        <f t="shared" si="7"/>
        <v>32</v>
      </c>
      <c r="AN54" s="6" t="str">
        <f t="shared" si="8"/>
        <v>ok</v>
      </c>
    </row>
    <row r="55" spans="1:45">
      <c r="A55" s="7" t="s">
        <v>790</v>
      </c>
      <c r="B55" s="7" t="s">
        <v>175</v>
      </c>
      <c r="C55" s="7" t="s">
        <v>29</v>
      </c>
      <c r="D55" s="7">
        <v>64</v>
      </c>
      <c r="E55" s="7">
        <v>1000</v>
      </c>
      <c r="F55" s="7" t="s">
        <v>29</v>
      </c>
      <c r="G55" s="7" t="s">
        <v>32</v>
      </c>
      <c r="H55" s="7"/>
      <c r="I55" s="7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1</v>
      </c>
      <c r="W55" s="6">
        <v>0</v>
      </c>
      <c r="X55" s="89"/>
      <c r="Y55" s="6">
        <v>0</v>
      </c>
      <c r="Z55" s="87">
        <f>VLOOKUP(A55,SecOC_Cfg.h!$C$33:$D$61,2,FALSE)</f>
        <v>19</v>
      </c>
      <c r="AA55" s="118">
        <v>65535</v>
      </c>
      <c r="AB55" s="118">
        <v>65535</v>
      </c>
      <c r="AE55" s="96"/>
      <c r="AF55" s="270">
        <f>IF(V55=1,MAX($AF$6:AF54)+1,IF(AF54="#",0,IF(AND(D54=D55,K54=K55,L54=L55,M54=M55,N54=N55,O54=O55,P54=P55,Q54=Q55,R54=R55,S54=S55,T54=T55,U54=U55,V54=V55,W54=W55,HEX2DEC(SUBSTITUTE(AH54,"0x",""))&lt;HEX2DEC(SUBSTITUTE(AH55,"0x",""))),"",MAX($AF$6:AF54)+1)))</f>
        <v>26</v>
      </c>
      <c r="AG55" s="225">
        <f>IF(MAX(INDEX($AF:$AF,ROW($AG$6)):INDEX($AF:$AF,ROW(AG55)))+1=AF56,MAX(INDEX($AF:$AF,ROW($AG$6)):INDEX($AF:$AF,ROW(AG55))),"")</f>
        <v>26</v>
      </c>
      <c r="AH55" s="6" t="str">
        <f t="shared" si="4"/>
        <v>0x400003d3</v>
      </c>
      <c r="AI55" s="6">
        <f t="shared" si="5"/>
        <v>1073742803</v>
      </c>
      <c r="AJ55" s="6" t="str">
        <f t="shared" si="6"/>
        <v>0x400003d3</v>
      </c>
      <c r="AK55" s="6" t="str">
        <f t="shared" si="3"/>
        <v>0x400003d3</v>
      </c>
      <c r="AL55" s="6">
        <f t="shared" si="7"/>
        <v>64</v>
      </c>
      <c r="AN55" s="6" t="str">
        <f t="shared" si="8"/>
        <v>ok</v>
      </c>
    </row>
    <row r="56" spans="1:45">
      <c r="A56" s="7" t="s">
        <v>164</v>
      </c>
      <c r="B56" s="7" t="s">
        <v>163</v>
      </c>
      <c r="C56" s="7" t="s">
        <v>29</v>
      </c>
      <c r="D56" s="7">
        <v>32</v>
      </c>
      <c r="E56" s="7">
        <v>300</v>
      </c>
      <c r="F56" s="7" t="s">
        <v>31</v>
      </c>
      <c r="G56" s="7" t="s">
        <v>32</v>
      </c>
      <c r="H56" s="7"/>
      <c r="I56" s="7"/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89"/>
      <c r="Y56" s="6">
        <v>29</v>
      </c>
      <c r="Z56" s="118">
        <v>65535</v>
      </c>
      <c r="AA56" s="6">
        <v>32768</v>
      </c>
      <c r="AB56" s="118">
        <v>65535</v>
      </c>
      <c r="AE56" s="96"/>
      <c r="AF56" s="270">
        <f>IF(V56=1,MAX($AF$6:AF55)+1,IF(AF55="#",0,IF(AND(D55=D56,K55=K56,L55=L56,M55=M56,N55=N56,O55=O56,P55=P56,Q55=Q56,R55=R56,S55=S56,T55=T56,U55=U56,V55=V56,W55=W56,HEX2DEC(SUBSTITUTE(AH55,"0x",""))&lt;HEX2DEC(SUBSTITUTE(AH56,"0x",""))),"",MAX($AF$6:AF55)+1)))</f>
        <v>27</v>
      </c>
      <c r="AG56" s="225">
        <f>IF(MAX(INDEX($AF:$AF,ROW($AG$6)):INDEX($AF:$AF,ROW(AG56)))+1=AF57,MAX(INDEX($AF:$AF,ROW($AG$6)):INDEX($AF:$AF,ROW(AG56))),"")</f>
        <v>27</v>
      </c>
      <c r="AH56" s="6" t="str">
        <f t="shared" si="4"/>
        <v>0x400001d7</v>
      </c>
      <c r="AI56" s="6">
        <f t="shared" si="5"/>
        <v>1073742295</v>
      </c>
      <c r="AJ56" s="6" t="str">
        <f t="shared" si="6"/>
        <v>0x400001d7</v>
      </c>
      <c r="AK56" s="6" t="str">
        <f t="shared" si="3"/>
        <v>0x400001d7</v>
      </c>
      <c r="AL56" s="6">
        <f t="shared" si="7"/>
        <v>32</v>
      </c>
      <c r="AN56" s="6" t="str">
        <f t="shared" si="8"/>
        <v>not ok</v>
      </c>
      <c r="AO56" s="6" t="s">
        <v>5</v>
      </c>
    </row>
    <row r="57" spans="1:45">
      <c r="A57" s="7" t="s">
        <v>167</v>
      </c>
      <c r="B57" s="7" t="s">
        <v>166</v>
      </c>
      <c r="C57" s="7" t="s">
        <v>29</v>
      </c>
      <c r="D57" s="7">
        <v>8</v>
      </c>
      <c r="E57" s="7">
        <v>300</v>
      </c>
      <c r="F57" s="7" t="s">
        <v>31</v>
      </c>
      <c r="G57" s="7" t="s">
        <v>32</v>
      </c>
      <c r="H57" s="7"/>
      <c r="I57" s="7"/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89"/>
      <c r="Y57" s="6">
        <v>29</v>
      </c>
      <c r="Z57" s="118">
        <v>65535</v>
      </c>
      <c r="AA57" s="6">
        <v>32768</v>
      </c>
      <c r="AB57" s="118">
        <v>65535</v>
      </c>
      <c r="AE57" s="96"/>
      <c r="AF57" s="270">
        <f>IF(V57=1,MAX($AF$6:AF56)+1,IF(AF56="#",0,IF(AND(D56=D57,K56=K57,L56=L57,M56=M57,N56=N57,O56=O57,P56=P57,Q56=Q57,R56=R57,S56=S57,T56=T57,U56=U57,V56=V57,W56=W57,HEX2DEC(SUBSTITUTE(AH56,"0x",""))&lt;HEX2DEC(SUBSTITUTE(AH57,"0x",""))),"",MAX($AF$6:AF56)+1)))</f>
        <v>28</v>
      </c>
      <c r="AG57" s="225" t="str">
        <f>IF(MAX(INDEX($AF:$AF,ROW($AG$6)):INDEX($AF:$AF,ROW(AG57)))+1=AF58,MAX(INDEX($AF:$AF,ROW($AG$6)):INDEX($AF:$AF,ROW(AG57))),"")</f>
        <v/>
      </c>
      <c r="AH57" s="6" t="str">
        <f t="shared" si="4"/>
        <v>0x400001d9</v>
      </c>
      <c r="AI57" s="6">
        <f t="shared" si="5"/>
        <v>1073742297</v>
      </c>
      <c r="AJ57" s="6" t="str">
        <f t="shared" si="6"/>
        <v>0x400001d9</v>
      </c>
      <c r="AK57" s="6" t="str">
        <f t="shared" si="3"/>
        <v>0x400001dd</v>
      </c>
      <c r="AL57" s="6">
        <f t="shared" si="7"/>
        <v>8</v>
      </c>
      <c r="AN57" s="6" t="str">
        <f t="shared" si="8"/>
        <v>ok</v>
      </c>
      <c r="AO57" s="6" t="s">
        <v>5</v>
      </c>
    </row>
    <row r="58" spans="1:45">
      <c r="A58" s="7" t="s">
        <v>170</v>
      </c>
      <c r="B58" s="7" t="s">
        <v>169</v>
      </c>
      <c r="C58" s="7" t="s">
        <v>29</v>
      </c>
      <c r="D58" s="7">
        <v>8</v>
      </c>
      <c r="E58" s="7">
        <v>300</v>
      </c>
      <c r="F58" s="7" t="s">
        <v>31</v>
      </c>
      <c r="G58" s="7" t="s">
        <v>32</v>
      </c>
      <c r="H58" s="7"/>
      <c r="I58" s="7"/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89"/>
      <c r="Y58" s="6">
        <v>29</v>
      </c>
      <c r="Z58" s="118">
        <v>65535</v>
      </c>
      <c r="AA58" s="6">
        <v>32768</v>
      </c>
      <c r="AB58" s="118">
        <v>65535</v>
      </c>
      <c r="AE58" s="96"/>
      <c r="AF58" s="270" t="str">
        <f>IF(V58=1,MAX($AF$6:AF57)+1,IF(AF57="#",0,IF(AND(D57=D58,K57=K58,L57=L58,M57=M58,N57=N58,O57=O58,P57=P58,Q57=Q58,R57=R58,S57=S58,T57=T58,U57=U58,V57=V58,W57=W58,HEX2DEC(SUBSTITUTE(AH57,"0x",""))&lt;HEX2DEC(SUBSTITUTE(AH58,"0x",""))),"",MAX($AF$6:AF57)+1)))</f>
        <v/>
      </c>
      <c r="AG58" s="225">
        <f>IF(MAX(INDEX($AF:$AF,ROW($AG$6)):INDEX($AF:$AF,ROW(AG58)))+1=AF59,MAX(INDEX($AF:$AF,ROW($AG$6)):INDEX($AF:$AF,ROW(AG58))),"")</f>
        <v>28</v>
      </c>
      <c r="AH58" s="6" t="str">
        <f t="shared" si="4"/>
        <v>0x400001dd</v>
      </c>
      <c r="AI58" s="6">
        <f t="shared" si="5"/>
        <v>1073742301</v>
      </c>
      <c r="AJ58" s="6" t="str">
        <f t="shared" si="6"/>
        <v/>
      </c>
      <c r="AK58" s="6" t="str">
        <f t="shared" si="3"/>
        <v/>
      </c>
      <c r="AL58" s="6" t="str">
        <f t="shared" si="7"/>
        <v/>
      </c>
      <c r="AN58" s="6" t="str">
        <f t="shared" si="8"/>
        <v>ok</v>
      </c>
    </row>
    <row r="59" spans="1:45">
      <c r="A59" s="7" t="s">
        <v>177</v>
      </c>
      <c r="B59" s="7" t="s">
        <v>176</v>
      </c>
      <c r="C59" s="7" t="s">
        <v>29</v>
      </c>
      <c r="D59" s="7">
        <v>32</v>
      </c>
      <c r="E59" s="7">
        <v>300</v>
      </c>
      <c r="F59" s="7" t="s">
        <v>31</v>
      </c>
      <c r="G59" s="7" t="s">
        <v>32</v>
      </c>
      <c r="H59" s="7"/>
      <c r="I59" s="7"/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89"/>
      <c r="Y59" s="6">
        <v>29</v>
      </c>
      <c r="Z59" s="118">
        <v>65535</v>
      </c>
      <c r="AA59" s="6">
        <v>32768</v>
      </c>
      <c r="AB59" s="118">
        <v>65535</v>
      </c>
      <c r="AE59" s="96"/>
      <c r="AF59" s="270">
        <f>IF(V59=1,MAX($AF$6:AF58)+1,IF(AF58="#",0,IF(AND(D58=D59,K58=K59,L58=L59,M58=M59,N58=N59,O58=O59,P58=P59,Q58=Q59,R58=R59,S58=S59,T58=T59,U58=U59,V58=V59,W58=W59,HEX2DEC(SUBSTITUTE(AH58,"0x",""))&lt;HEX2DEC(SUBSTITUTE(AH59,"0x",""))),"",MAX($AF$6:AF58)+1)))</f>
        <v>29</v>
      </c>
      <c r="AG59" s="225">
        <f>IF(MAX(INDEX($AF:$AF,ROW($AG$6)):INDEX($AF:$AF,ROW(AG59)))+1=AF60,MAX(INDEX($AF:$AF,ROW($AG$6)):INDEX($AF:$AF,ROW(AG59))),"")</f>
        <v>29</v>
      </c>
      <c r="AH59" s="6" t="str">
        <f t="shared" si="4"/>
        <v>0x400001e1</v>
      </c>
      <c r="AI59" s="6">
        <f t="shared" si="5"/>
        <v>1073742305</v>
      </c>
      <c r="AJ59" s="6" t="str">
        <f t="shared" si="6"/>
        <v>0x400001e1</v>
      </c>
      <c r="AK59" s="6" t="str">
        <f t="shared" si="3"/>
        <v>0x400001e1</v>
      </c>
      <c r="AL59" s="6">
        <f t="shared" si="7"/>
        <v>32</v>
      </c>
      <c r="AN59" s="6" t="str">
        <f t="shared" si="8"/>
        <v>ok</v>
      </c>
      <c r="AO59" s="6" t="s">
        <v>5</v>
      </c>
    </row>
    <row r="60" spans="1:45" s="193" customFormat="1">
      <c r="A60" s="192" t="s">
        <v>791</v>
      </c>
      <c r="B60" s="192" t="s">
        <v>179</v>
      </c>
      <c r="C60" s="192" t="s">
        <v>29</v>
      </c>
      <c r="D60" s="192">
        <v>32</v>
      </c>
      <c r="E60" s="192">
        <v>300</v>
      </c>
      <c r="F60" s="192" t="s">
        <v>29</v>
      </c>
      <c r="G60" s="192" t="s">
        <v>32</v>
      </c>
      <c r="H60" s="192"/>
      <c r="I60" s="192"/>
      <c r="K60" s="194">
        <v>0</v>
      </c>
      <c r="L60" s="194">
        <v>1</v>
      </c>
      <c r="M60" s="194">
        <v>0</v>
      </c>
      <c r="N60" s="194">
        <v>1</v>
      </c>
      <c r="O60" s="194">
        <v>0</v>
      </c>
      <c r="P60" s="194">
        <v>0</v>
      </c>
      <c r="Q60" s="194">
        <v>0</v>
      </c>
      <c r="R60" s="194">
        <v>0</v>
      </c>
      <c r="S60" s="194">
        <v>0</v>
      </c>
      <c r="T60" s="194">
        <v>0</v>
      </c>
      <c r="U60" s="194">
        <v>0</v>
      </c>
      <c r="V60" s="194">
        <v>0</v>
      </c>
      <c r="W60" s="194">
        <v>0</v>
      </c>
      <c r="X60" s="195"/>
      <c r="Y60" s="194">
        <v>29</v>
      </c>
      <c r="Z60" s="118">
        <v>65535</v>
      </c>
      <c r="AA60" s="6">
        <v>32768</v>
      </c>
      <c r="AB60" s="118">
        <v>65535</v>
      </c>
      <c r="AC60" s="194"/>
      <c r="AD60" s="194"/>
      <c r="AE60" s="196"/>
      <c r="AF60" s="270">
        <f>IF(V60=1,MAX($AF$6:AF59)+1,IF(AF59="#",0,IF(AND(D59=D60,K59=K60,L59=L60,M59=M60,N59=N60,O59=O60,P59=P60,Q59=Q60,R59=R60,S59=S60,T59=T60,U59=U60,V59=V60,W59=W60,HEX2DEC(SUBSTITUTE(AH59,"0x",""))&lt;HEX2DEC(SUBSTITUTE(AH60,"0x",""))),"",MAX($AF$6:AF59)+1)))</f>
        <v>30</v>
      </c>
      <c r="AG60" s="225">
        <f>IF(MAX(INDEX($AF:$AF,ROW($AG$6)):INDEX($AF:$AF,ROW(AG60)))+1=AF61,MAX(INDEX($AF:$AF,ROW($AG$6)):INDEX($AF:$AF,ROW(AG60))),"")</f>
        <v>30</v>
      </c>
      <c r="AH60" s="194" t="str">
        <f t="shared" si="4"/>
        <v>0x400001e3</v>
      </c>
      <c r="AI60" s="194">
        <f t="shared" si="5"/>
        <v>1073742307</v>
      </c>
      <c r="AJ60" s="194" t="str">
        <f t="shared" si="6"/>
        <v>0x400001e3</v>
      </c>
      <c r="AK60" s="194" t="str">
        <f t="shared" si="3"/>
        <v>0x400001e3</v>
      </c>
      <c r="AL60" s="194">
        <f t="shared" si="7"/>
        <v>32</v>
      </c>
      <c r="AM60" s="194"/>
      <c r="AN60" s="194" t="str">
        <f t="shared" si="8"/>
        <v>ok</v>
      </c>
      <c r="AO60" s="194"/>
      <c r="AP60" s="194"/>
      <c r="AQ60" s="194"/>
      <c r="AR60" s="194"/>
      <c r="AS60" s="194"/>
    </row>
    <row r="61" spans="1:45">
      <c r="A61" s="7" t="s">
        <v>182</v>
      </c>
      <c r="B61" s="7" t="s">
        <v>181</v>
      </c>
      <c r="C61" s="7" t="s">
        <v>29</v>
      </c>
      <c r="D61" s="7">
        <v>8</v>
      </c>
      <c r="E61" s="7">
        <v>500</v>
      </c>
      <c r="F61" s="7" t="s">
        <v>31</v>
      </c>
      <c r="G61" s="7" t="s">
        <v>32</v>
      </c>
      <c r="H61" s="7"/>
      <c r="I61" s="7"/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89"/>
      <c r="Y61" s="6">
        <v>29</v>
      </c>
      <c r="Z61" s="118">
        <v>65535</v>
      </c>
      <c r="AA61" s="6">
        <v>32768</v>
      </c>
      <c r="AB61" s="118">
        <v>65535</v>
      </c>
      <c r="AE61" s="96"/>
      <c r="AF61" s="270">
        <f>IF(V61=1,MAX($AF$6:AF60)+1,IF(AF60="#",0,IF(AND(D60=D61,K60=K61,L60=L61,M60=M61,N60=N61,O60=O61,P60=P61,Q60=Q61,R60=R61,S60=S61,T60=T61,U60=U61,V60=V61,W60=W61,HEX2DEC(SUBSTITUTE(AH60,"0x",""))&lt;HEX2DEC(SUBSTITUTE(AH61,"0x",""))),"",MAX($AF$6:AF60)+1)))</f>
        <v>31</v>
      </c>
      <c r="AG61" s="225" t="str">
        <f>IF(MAX(INDEX($AF:$AF,ROW($AG$6)):INDEX($AF:$AF,ROW(AG61)))+1=AF62,MAX(INDEX($AF:$AF,ROW($AG$6)):INDEX($AF:$AF,ROW(AG61))),"")</f>
        <v/>
      </c>
      <c r="AH61" s="6" t="str">
        <f t="shared" si="4"/>
        <v>0x400001ea</v>
      </c>
      <c r="AI61" s="6">
        <f t="shared" si="5"/>
        <v>1073742314</v>
      </c>
      <c r="AJ61" s="6" t="str">
        <f t="shared" si="6"/>
        <v>0x400001ea</v>
      </c>
      <c r="AK61" s="6" t="str">
        <f t="shared" si="3"/>
        <v>0x400001fa</v>
      </c>
      <c r="AL61" s="6">
        <f t="shared" si="7"/>
        <v>8</v>
      </c>
      <c r="AN61" s="6" t="str">
        <f t="shared" si="8"/>
        <v>ok</v>
      </c>
      <c r="AO61" s="6" t="s">
        <v>5</v>
      </c>
    </row>
    <row r="62" spans="1:45">
      <c r="A62" s="7" t="s">
        <v>191</v>
      </c>
      <c r="B62" s="7" t="s">
        <v>190</v>
      </c>
      <c r="C62" s="7" t="s">
        <v>29</v>
      </c>
      <c r="D62" s="7">
        <v>8</v>
      </c>
      <c r="E62" s="7">
        <v>500</v>
      </c>
      <c r="F62" s="7" t="s">
        <v>31</v>
      </c>
      <c r="G62" s="7" t="s">
        <v>32</v>
      </c>
      <c r="H62" s="7"/>
      <c r="I62" s="7"/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89"/>
      <c r="Y62" s="6">
        <v>29</v>
      </c>
      <c r="Z62" s="118">
        <v>65535</v>
      </c>
      <c r="AA62" s="6">
        <v>32768</v>
      </c>
      <c r="AB62" s="118">
        <v>65535</v>
      </c>
      <c r="AE62" s="96"/>
      <c r="AF62" s="270" t="str">
        <f>IF(V62=1,MAX($AF$6:AF61)+1,IF(AF61="#",0,IF(AND(D61=D62,K61=K62,L61=L62,M61=M62,N61=N62,O61=O62,P61=P62,Q61=Q62,R61=R62,S61=S62,T61=T62,U61=U62,V61=V62,W61=W62,HEX2DEC(SUBSTITUTE(AH61,"0x",""))&lt;HEX2DEC(SUBSTITUTE(AH62,"0x",""))),"",MAX($AF$6:AF61)+1)))</f>
        <v/>
      </c>
      <c r="AG62" s="225">
        <f>IF(MAX(INDEX($AF:$AF,ROW($AG$6)):INDEX($AF:$AF,ROW(AG62)))+1=AF63,MAX(INDEX($AF:$AF,ROW($AG$6)):INDEX($AF:$AF,ROW(AG62))),"")</f>
        <v>31</v>
      </c>
      <c r="AH62" s="6" t="str">
        <f t="shared" si="4"/>
        <v>0x400001fa</v>
      </c>
      <c r="AI62" s="6">
        <f t="shared" si="5"/>
        <v>1073742330</v>
      </c>
      <c r="AJ62" s="6" t="str">
        <f t="shared" si="6"/>
        <v/>
      </c>
      <c r="AK62" s="6" t="str">
        <f t="shared" si="3"/>
        <v/>
      </c>
      <c r="AL62" s="6" t="str">
        <f t="shared" si="7"/>
        <v/>
      </c>
      <c r="AN62" s="6" t="str">
        <f t="shared" si="8"/>
        <v>ok</v>
      </c>
    </row>
    <row r="63" spans="1:45">
      <c r="A63" s="7" t="s">
        <v>185</v>
      </c>
      <c r="B63" s="7" t="s">
        <v>184</v>
      </c>
      <c r="C63" s="7" t="s">
        <v>29</v>
      </c>
      <c r="D63" s="7">
        <v>8</v>
      </c>
      <c r="E63" s="7">
        <v>500</v>
      </c>
      <c r="F63" s="7" t="s">
        <v>31</v>
      </c>
      <c r="G63" s="7" t="s">
        <v>32</v>
      </c>
      <c r="H63" s="7"/>
      <c r="I63" s="7"/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89"/>
      <c r="Y63" s="6">
        <v>29</v>
      </c>
      <c r="Z63" s="118">
        <v>65535</v>
      </c>
      <c r="AA63" s="6">
        <v>32768</v>
      </c>
      <c r="AB63" s="118">
        <v>65535</v>
      </c>
      <c r="AE63" s="96"/>
      <c r="AF63" s="270">
        <f>IF(V63=1,MAX($AF$6:AF62)+1,IF(AF62="#",0,IF(AND(D62=D63,K62=K63,L62=L63,M62=M63,N62=N63,O62=O63,P62=P63,Q62=Q63,R62=R63,S62=S63,T62=T63,U62=U63,V62=V63,W62=W63,HEX2DEC(SUBSTITUTE(AH62,"0x",""))&lt;HEX2DEC(SUBSTITUTE(AH63,"0x",""))),"",MAX($AF$6:AF62)+1)))</f>
        <v>32</v>
      </c>
      <c r="AG63" s="225" t="str">
        <f>IF(MAX(INDEX($AF:$AF,ROW($AG$6)):INDEX($AF:$AF,ROW(AG63)))+1=AF64,MAX(INDEX($AF:$AF,ROW($AG$6)):INDEX($AF:$AF,ROW(AG63))),"")</f>
        <v/>
      </c>
      <c r="AH63" s="6" t="str">
        <f t="shared" si="4"/>
        <v>0x400001eb</v>
      </c>
      <c r="AI63" s="6">
        <f t="shared" si="5"/>
        <v>1073742315</v>
      </c>
      <c r="AJ63" s="6" t="str">
        <f t="shared" si="6"/>
        <v>0x400001eb</v>
      </c>
      <c r="AK63" s="6" t="str">
        <f t="shared" si="3"/>
        <v>0x400001f4</v>
      </c>
      <c r="AL63" s="6">
        <f t="shared" si="7"/>
        <v>8</v>
      </c>
      <c r="AN63" s="6" t="str">
        <f t="shared" si="8"/>
        <v>not ok</v>
      </c>
      <c r="AO63" s="6" t="s">
        <v>5</v>
      </c>
    </row>
    <row r="64" spans="1:45">
      <c r="A64" s="7" t="s">
        <v>188</v>
      </c>
      <c r="B64" s="7" t="s">
        <v>187</v>
      </c>
      <c r="C64" s="7" t="s">
        <v>29</v>
      </c>
      <c r="D64" s="7">
        <v>8</v>
      </c>
      <c r="E64" s="7">
        <v>500</v>
      </c>
      <c r="F64" s="7" t="s">
        <v>31</v>
      </c>
      <c r="G64" s="7" t="s">
        <v>32</v>
      </c>
      <c r="H64" s="7"/>
      <c r="I64" s="7"/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89"/>
      <c r="Y64" s="6">
        <v>29</v>
      </c>
      <c r="Z64" s="118">
        <v>65535</v>
      </c>
      <c r="AA64" s="6">
        <v>32768</v>
      </c>
      <c r="AB64" s="118">
        <v>65535</v>
      </c>
      <c r="AE64" s="96"/>
      <c r="AF64" s="270" t="str">
        <f>IF(V64=1,MAX($AF$6:AF63)+1,IF(AF63="#",0,IF(AND(D63=D64,K63=K64,L63=L64,M63=M64,N63=N64,O63=O64,P63=P64,Q63=Q64,R63=R64,S63=S64,T63=T64,U63=U64,V63=V64,W63=W64,HEX2DEC(SUBSTITUTE(AH63,"0x",""))&lt;HEX2DEC(SUBSTITUTE(AH64,"0x",""))),"",MAX($AF$6:AF63)+1)))</f>
        <v/>
      </c>
      <c r="AG64" s="225">
        <f>IF(MAX(INDEX($AF:$AF,ROW($AG$6)):INDEX($AF:$AF,ROW(AG64)))+1=AF65,MAX(INDEX($AF:$AF,ROW($AG$6)):INDEX($AF:$AF,ROW(AG64))),"")</f>
        <v>32</v>
      </c>
      <c r="AH64" s="6" t="str">
        <f t="shared" si="4"/>
        <v>0x400001f4</v>
      </c>
      <c r="AI64" s="6">
        <f t="shared" si="5"/>
        <v>1073742324</v>
      </c>
      <c r="AJ64" s="6" t="str">
        <f t="shared" si="6"/>
        <v/>
      </c>
      <c r="AK64" s="6" t="str">
        <f t="shared" si="3"/>
        <v/>
      </c>
      <c r="AL64" s="6" t="str">
        <f t="shared" si="7"/>
        <v/>
      </c>
      <c r="AN64" s="6" t="str">
        <f t="shared" si="8"/>
        <v>ok</v>
      </c>
      <c r="AO64" s="6" t="s">
        <v>5</v>
      </c>
    </row>
    <row r="65" spans="1:41">
      <c r="A65" s="7" t="s">
        <v>193</v>
      </c>
      <c r="B65" s="7" t="s">
        <v>192</v>
      </c>
      <c r="C65" s="7" t="s">
        <v>29</v>
      </c>
      <c r="D65" s="7">
        <v>32</v>
      </c>
      <c r="E65" s="7">
        <v>1000</v>
      </c>
      <c r="F65" s="7" t="s">
        <v>31</v>
      </c>
      <c r="G65" s="7" t="s">
        <v>32</v>
      </c>
      <c r="H65" s="7"/>
      <c r="I65" s="7"/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89"/>
      <c r="Y65" s="6">
        <v>29</v>
      </c>
      <c r="Z65" s="118">
        <v>65535</v>
      </c>
      <c r="AA65" s="6">
        <v>32768</v>
      </c>
      <c r="AB65" s="118">
        <v>65535</v>
      </c>
      <c r="AE65" s="96"/>
      <c r="AF65" s="270">
        <f>IF(V65=1,MAX($AF$6:AF64)+1,IF(AF64="#",0,IF(AND(D64=D65,K64=K65,L64=L65,M64=M65,N64=N65,O64=O65,P64=P65,Q64=Q65,R64=R65,S64=S65,T64=T65,U64=U65,V64=V65,W64=W65,HEX2DEC(SUBSTITUTE(AH64,"0x",""))&lt;HEX2DEC(SUBSTITUTE(AH65,"0x",""))),"",MAX($AF$6:AF64)+1)))</f>
        <v>33</v>
      </c>
      <c r="AG65" s="225" t="str">
        <f>IF(MAX(INDEX($AF:$AF,ROW($AG$6)):INDEX($AF:$AF,ROW(AG65)))+1=AF66,MAX(INDEX($AF:$AF,ROW($AG$6)):INDEX($AF:$AF,ROW(AG65))),"")</f>
        <v/>
      </c>
      <c r="AH65" s="6" t="str">
        <f t="shared" si="4"/>
        <v>0x40000202</v>
      </c>
      <c r="AI65" s="6">
        <f t="shared" si="5"/>
        <v>1073742338</v>
      </c>
      <c r="AJ65" s="6" t="str">
        <f t="shared" si="6"/>
        <v>0x40000202</v>
      </c>
      <c r="AK65" s="6" t="str">
        <f t="shared" si="3"/>
        <v>0x40000602</v>
      </c>
      <c r="AL65" s="6">
        <f t="shared" si="7"/>
        <v>32</v>
      </c>
      <c r="AN65" s="6" t="str">
        <f t="shared" si="8"/>
        <v>ok</v>
      </c>
      <c r="AO65" s="6" t="s">
        <v>5</v>
      </c>
    </row>
    <row r="66" spans="1:41">
      <c r="A66" s="7" t="s">
        <v>205</v>
      </c>
      <c r="B66" s="7" t="s">
        <v>206</v>
      </c>
      <c r="C66" s="7" t="s">
        <v>29</v>
      </c>
      <c r="D66" s="7">
        <v>32</v>
      </c>
      <c r="E66" s="7">
        <v>1000</v>
      </c>
      <c r="F66" s="7" t="s">
        <v>31</v>
      </c>
      <c r="G66" s="7" t="s">
        <v>32</v>
      </c>
      <c r="H66" s="7"/>
      <c r="I66" s="7"/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89"/>
      <c r="Y66" s="6">
        <v>29</v>
      </c>
      <c r="Z66" s="118">
        <v>65535</v>
      </c>
      <c r="AA66" s="6">
        <v>32768</v>
      </c>
      <c r="AB66" s="118">
        <v>65535</v>
      </c>
      <c r="AE66" s="96"/>
      <c r="AF66" s="270" t="str">
        <f>IF(V66=1,MAX($AF$6:AF65)+1,IF(AF65="#",0,IF(AND(D65=D66,K65=K66,L65=L66,M65=M66,N65=N66,O65=O66,P65=P66,Q65=Q66,R65=R66,S65=S66,T65=T66,U65=U66,V65=V66,W65=W66,HEX2DEC(SUBSTITUTE(AH65,"0x",""))&lt;HEX2DEC(SUBSTITUTE(AH66,"0x",""))),"",MAX($AF$6:AF65)+1)))</f>
        <v/>
      </c>
      <c r="AG66" s="225">
        <f>IF(MAX(INDEX($AF:$AF,ROW($AG$6)):INDEX($AF:$AF,ROW(AG66)))+1=AF67,MAX(INDEX($AF:$AF,ROW($AG$6)):INDEX($AF:$AF,ROW(AG66))),"")</f>
        <v>33</v>
      </c>
      <c r="AH66" s="6" t="str">
        <f t="shared" si="4"/>
        <v>0x40000602</v>
      </c>
      <c r="AI66" s="6">
        <f t="shared" si="5"/>
        <v>1073743362</v>
      </c>
      <c r="AJ66" s="6" t="str">
        <f t="shared" si="6"/>
        <v/>
      </c>
      <c r="AK66" s="6" t="str">
        <f t="shared" si="3"/>
        <v/>
      </c>
      <c r="AL66" s="6" t="str">
        <f t="shared" si="7"/>
        <v/>
      </c>
      <c r="AN66" s="6" t="str">
        <f t="shared" si="8"/>
        <v>ok</v>
      </c>
    </row>
    <row r="67" spans="1:41">
      <c r="A67" s="7" t="s">
        <v>196</v>
      </c>
      <c r="B67" s="7" t="s">
        <v>195</v>
      </c>
      <c r="C67" s="7" t="s">
        <v>29</v>
      </c>
      <c r="D67" s="7">
        <v>32</v>
      </c>
      <c r="E67" s="7">
        <v>1000</v>
      </c>
      <c r="F67" s="7" t="s">
        <v>31</v>
      </c>
      <c r="G67" s="7" t="s">
        <v>32</v>
      </c>
      <c r="H67" s="7"/>
      <c r="I67" s="7"/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89"/>
      <c r="Y67" s="6">
        <v>29</v>
      </c>
      <c r="Z67" s="118">
        <v>65535</v>
      </c>
      <c r="AA67" s="6">
        <v>32768</v>
      </c>
      <c r="AB67" s="118">
        <v>65535</v>
      </c>
      <c r="AE67" s="96"/>
      <c r="AF67" s="270">
        <f>IF(V67=1,MAX($AF$6:AF66)+1,IF(AF66="#",0,IF(AND(D66=D67,K66=K67,L66=L67,M66=M67,N66=N67,O66=O67,P66=P67,Q66=Q67,R66=R67,S66=S67,T66=T67,U66=U67,V66=V67,W66=W67,HEX2DEC(SUBSTITUTE(AH66,"0x",""))&lt;HEX2DEC(SUBSTITUTE(AH67,"0x",""))),"",MAX($AF$6:AF66)+1)))</f>
        <v>34</v>
      </c>
      <c r="AG67" s="225" t="str">
        <f>IF(MAX(INDEX($AF:$AF,ROW($AG$6)):INDEX($AF:$AF,ROW(AG67)))+1=AF68,MAX(INDEX($AF:$AF,ROW($AG$6)):INDEX($AF:$AF,ROW(AG67))),"")</f>
        <v/>
      </c>
      <c r="AH67" s="6" t="str">
        <f t="shared" si="4"/>
        <v>0x40000204</v>
      </c>
      <c r="AI67" s="6">
        <f t="shared" si="5"/>
        <v>1073742340</v>
      </c>
      <c r="AJ67" s="6" t="str">
        <f t="shared" si="6"/>
        <v>0x40000204</v>
      </c>
      <c r="AK67" s="6" t="str">
        <f t="shared" si="3"/>
        <v>0x40000214</v>
      </c>
      <c r="AL67" s="6">
        <f t="shared" si="7"/>
        <v>32</v>
      </c>
      <c r="AN67" s="6" t="str">
        <f t="shared" si="8"/>
        <v>not ok</v>
      </c>
      <c r="AO67" s="6" t="s">
        <v>5</v>
      </c>
    </row>
    <row r="68" spans="1:41">
      <c r="A68" s="7" t="s">
        <v>209</v>
      </c>
      <c r="B68" s="7" t="s">
        <v>208</v>
      </c>
      <c r="C68" s="7" t="s">
        <v>29</v>
      </c>
      <c r="D68" s="7">
        <v>32</v>
      </c>
      <c r="E68" s="7">
        <v>1000</v>
      </c>
      <c r="F68" s="7" t="s">
        <v>31</v>
      </c>
      <c r="G68" s="7" t="s">
        <v>32</v>
      </c>
      <c r="H68" s="7"/>
      <c r="I68" s="7"/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89"/>
      <c r="Y68" s="6">
        <v>29</v>
      </c>
      <c r="Z68" s="118">
        <v>65535</v>
      </c>
      <c r="AA68" s="6">
        <v>32768</v>
      </c>
      <c r="AB68" s="118">
        <v>65535</v>
      </c>
      <c r="AE68" s="96"/>
      <c r="AF68" s="270" t="str">
        <f>IF(V68=1,MAX($AF$6:AF67)+1,IF(AF67="#",0,IF(AND(D67=D68,K67=K68,L67=L68,M67=M68,N67=N68,O67=O68,P67=P68,Q67=Q68,R67=R68,S67=S68,T67=T68,U67=U68,V67=V68,W67=W68,HEX2DEC(SUBSTITUTE(AH67,"0x",""))&lt;HEX2DEC(SUBSTITUTE(AH68,"0x",""))),"",MAX($AF$6:AF67)+1)))</f>
        <v/>
      </c>
      <c r="AG68" s="225">
        <f>IF(MAX(INDEX($AF:$AF,ROW($AG$6)):INDEX($AF:$AF,ROW(AG68)))+1=AF69,MAX(INDEX($AF:$AF,ROW($AG$6)):INDEX($AF:$AF,ROW(AG68))),"")</f>
        <v>34</v>
      </c>
      <c r="AH68" s="6" t="str">
        <f t="shared" si="4"/>
        <v>0x40000214</v>
      </c>
      <c r="AI68" s="6">
        <f t="shared" si="5"/>
        <v>1073742356</v>
      </c>
      <c r="AJ68" s="6" t="str">
        <f t="shared" si="6"/>
        <v/>
      </c>
      <c r="AK68" s="6" t="str">
        <f t="shared" si="3"/>
        <v/>
      </c>
      <c r="AL68" s="6" t="str">
        <f t="shared" si="7"/>
        <v/>
      </c>
      <c r="AN68" s="6" t="str">
        <f t="shared" si="8"/>
        <v>ok</v>
      </c>
    </row>
    <row r="69" spans="1:41">
      <c r="A69" s="7" t="s">
        <v>198</v>
      </c>
      <c r="B69" s="7" t="s">
        <v>197</v>
      </c>
      <c r="C69" s="7" t="s">
        <v>29</v>
      </c>
      <c r="D69" s="7">
        <v>32</v>
      </c>
      <c r="E69" s="7">
        <v>1000</v>
      </c>
      <c r="F69" s="7" t="s">
        <v>31</v>
      </c>
      <c r="G69" s="7" t="s">
        <v>32</v>
      </c>
      <c r="H69" s="7"/>
      <c r="I69" s="7"/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89"/>
      <c r="Y69" s="6">
        <v>29</v>
      </c>
      <c r="Z69" s="118">
        <v>65535</v>
      </c>
      <c r="AA69" s="6">
        <v>32768</v>
      </c>
      <c r="AB69" s="118">
        <v>65535</v>
      </c>
      <c r="AE69" s="96"/>
      <c r="AF69" s="270">
        <f>IF(V69=1,MAX($AF$6:AF68)+1,IF(AF68="#",0,IF(AND(D68=D69,K68=K69,L68=L69,M68=M69,N68=N69,O68=O69,P68=P69,Q68=Q69,R68=R69,S68=S69,T68=T69,U68=U69,V68=V69,W68=W69,HEX2DEC(SUBSTITUTE(AH68,"0x",""))&lt;HEX2DEC(SUBSTITUTE(AH69,"0x",""))),"",MAX($AF$6:AF68)+1)))</f>
        <v>35</v>
      </c>
      <c r="AG69" s="225" t="str">
        <f>IF(MAX(INDEX($AF:$AF,ROW($AG$6)):INDEX($AF:$AF,ROW(AG69)))+1=AF70,MAX(INDEX($AF:$AF,ROW($AG$6)):INDEX($AF:$AF,ROW(AG69))),"")</f>
        <v/>
      </c>
      <c r="AH69" s="6" t="str">
        <f t="shared" si="4"/>
        <v>0x40000207</v>
      </c>
      <c r="AI69" s="6">
        <f t="shared" si="5"/>
        <v>1073742343</v>
      </c>
      <c r="AJ69" s="6" t="str">
        <f t="shared" si="6"/>
        <v>0x40000207</v>
      </c>
      <c r="AK69" s="6" t="str">
        <f t="shared" si="3"/>
        <v>0x4000020e</v>
      </c>
      <c r="AL69" s="6">
        <f t="shared" si="7"/>
        <v>32</v>
      </c>
      <c r="AN69" s="6" t="str">
        <f t="shared" si="8"/>
        <v>not ok</v>
      </c>
      <c r="AO69" s="6" t="s">
        <v>5</v>
      </c>
    </row>
    <row r="70" spans="1:41">
      <c r="A70" s="7" t="s">
        <v>201</v>
      </c>
      <c r="B70" s="7" t="s">
        <v>200</v>
      </c>
      <c r="C70" s="7" t="s">
        <v>29</v>
      </c>
      <c r="D70" s="7">
        <v>32</v>
      </c>
      <c r="E70" s="7">
        <v>1000</v>
      </c>
      <c r="F70" s="7" t="s">
        <v>31</v>
      </c>
      <c r="G70" s="7" t="s">
        <v>32</v>
      </c>
      <c r="H70" s="7"/>
      <c r="I70" s="7"/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89"/>
      <c r="Y70" s="6">
        <v>29</v>
      </c>
      <c r="Z70" s="118">
        <v>65535</v>
      </c>
      <c r="AA70" s="6">
        <v>32768</v>
      </c>
      <c r="AB70" s="118">
        <v>65535</v>
      </c>
      <c r="AE70" s="96"/>
      <c r="AF70" s="270" t="str">
        <f>IF(V70=1,MAX($AF$6:AF69)+1,IF(AF69="#",0,IF(AND(D69=D70,K69=K70,L69=L70,M69=M70,N69=N70,O69=O70,P69=P70,Q69=Q70,R69=R70,S69=S70,T69=T70,U69=U70,V69=V70,W69=W70,HEX2DEC(SUBSTITUTE(AH69,"0x",""))&lt;HEX2DEC(SUBSTITUTE(AH70,"0x",""))),"",MAX($AF$6:AF69)+1)))</f>
        <v/>
      </c>
      <c r="AG70" s="225" t="str">
        <f>IF(MAX(INDEX($AF:$AF,ROW($AG$6)):INDEX($AF:$AF,ROW(AG70)))+1=AF71,MAX(INDEX($AF:$AF,ROW($AG$6)):INDEX($AF:$AF,ROW(AG70))),"")</f>
        <v/>
      </c>
      <c r="AH70" s="6" t="str">
        <f t="shared" si="4"/>
        <v>0x4000020b</v>
      </c>
      <c r="AI70" s="6">
        <f t="shared" si="5"/>
        <v>1073742347</v>
      </c>
      <c r="AJ70" s="6" t="str">
        <f t="shared" si="6"/>
        <v/>
      </c>
      <c r="AK70" s="6" t="str">
        <f t="shared" ref="AK70:AK133" si="9">IF(AF70&lt;&gt;"",VLOOKUP(AF70,$AG$6:$AH$286,2,TRUE),"")</f>
        <v/>
      </c>
      <c r="AL70" s="6" t="str">
        <f t="shared" si="7"/>
        <v/>
      </c>
      <c r="AN70" s="6" t="str">
        <f t="shared" si="8"/>
        <v>ok</v>
      </c>
      <c r="AO70" s="6" t="s">
        <v>5</v>
      </c>
    </row>
    <row r="71" spans="1:41">
      <c r="A71" s="7" t="s">
        <v>204</v>
      </c>
      <c r="B71" s="7" t="s">
        <v>203</v>
      </c>
      <c r="C71" s="7" t="s">
        <v>29</v>
      </c>
      <c r="D71" s="7">
        <v>32</v>
      </c>
      <c r="E71" s="7">
        <v>1000</v>
      </c>
      <c r="F71" s="7" t="s">
        <v>31</v>
      </c>
      <c r="G71" s="7" t="s">
        <v>32</v>
      </c>
      <c r="H71" s="7"/>
      <c r="I71" s="7"/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89"/>
      <c r="Y71" s="6">
        <v>29</v>
      </c>
      <c r="Z71" s="118">
        <v>65535</v>
      </c>
      <c r="AA71" s="6">
        <v>32768</v>
      </c>
      <c r="AB71" s="118">
        <v>65535</v>
      </c>
      <c r="AE71" s="96"/>
      <c r="AF71" s="270" t="str">
        <f>IF(V71=1,MAX($AF$6:AF70)+1,IF(AF70="#",0,IF(AND(D70=D71,K70=K71,L70=L71,M70=M71,N70=N71,O70=O71,P70=P71,Q70=Q71,R70=R71,S70=S71,T70=T71,U70=U71,V70=V71,W70=W71,HEX2DEC(SUBSTITUTE(AH70,"0x",""))&lt;HEX2DEC(SUBSTITUTE(AH71,"0x",""))),"",MAX($AF$6:AF70)+1)))</f>
        <v/>
      </c>
      <c r="AG71" s="225">
        <f>IF(MAX(INDEX($AF:$AF,ROW($AG$6)):INDEX($AF:$AF,ROW(AG71)))+1=AF72,MAX(INDEX($AF:$AF,ROW($AG$6)):INDEX($AF:$AF,ROW(AG71))),"")</f>
        <v>35</v>
      </c>
      <c r="AH71" s="6" t="str">
        <f t="shared" ref="AH71:AH134" si="10">LOWER(IF(C71="1", "0x40000"&amp;B71,"0x00000"&amp;B71))</f>
        <v>0x4000020e</v>
      </c>
      <c r="AI71" s="6">
        <f t="shared" ref="AI71:AI134" si="11">HEX2DEC(RIGHT(AH71,8))</f>
        <v>1073742350</v>
      </c>
      <c r="AJ71" s="6" t="str">
        <f t="shared" ref="AJ71:AJ134" si="12">IF(AF71&lt;&gt;"",AH71,"")</f>
        <v/>
      </c>
      <c r="AK71" s="6" t="str">
        <f t="shared" si="9"/>
        <v/>
      </c>
      <c r="AL71" s="6" t="str">
        <f t="shared" ref="AL71:AL134" si="13">IF($AF71&lt;&gt;"",MIN($D71:$D71),"")</f>
        <v/>
      </c>
      <c r="AN71" s="6" t="str">
        <f t="shared" si="8"/>
        <v>ok</v>
      </c>
      <c r="AO71" s="6" t="s">
        <v>5</v>
      </c>
    </row>
    <row r="72" spans="1:41">
      <c r="A72" s="7" t="s">
        <v>212</v>
      </c>
      <c r="B72" s="7" t="s">
        <v>211</v>
      </c>
      <c r="C72" s="7" t="s">
        <v>29</v>
      </c>
      <c r="D72" s="7">
        <v>8</v>
      </c>
      <c r="E72" s="7">
        <v>1000</v>
      </c>
      <c r="F72" s="7" t="s">
        <v>31</v>
      </c>
      <c r="G72" s="7" t="s">
        <v>32</v>
      </c>
      <c r="H72" s="7"/>
      <c r="I72" s="7"/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89"/>
      <c r="Y72" s="6">
        <v>29</v>
      </c>
      <c r="Z72" s="118">
        <v>65535</v>
      </c>
      <c r="AA72" s="6">
        <v>32768</v>
      </c>
      <c r="AB72" s="118">
        <v>65535</v>
      </c>
      <c r="AE72" s="96"/>
      <c r="AF72" s="270">
        <f>IF(V72=1,MAX($AF$6:AF71)+1,IF(AF71="#",0,IF(AND(D71=D72,K71=K72,L71=L72,M71=M72,N71=N72,O71=O72,P71=P72,Q71=Q72,R71=R72,S71=S72,T71=T72,U71=U72,V71=V72,W71=W72,HEX2DEC(SUBSTITUTE(AH71,"0x",""))&lt;HEX2DEC(SUBSTITUTE(AH72,"0x",""))),"",MAX($AF$6:AF71)+1)))</f>
        <v>36</v>
      </c>
      <c r="AG72" s="225" t="str">
        <f>IF(MAX(INDEX($AF:$AF,ROW($AG$6)):INDEX($AF:$AF,ROW(AG72)))+1=AF73,MAX(INDEX($AF:$AF,ROW($AG$6)):INDEX($AF:$AF,ROW(AG72))),"")</f>
        <v/>
      </c>
      <c r="AH72" s="6" t="str">
        <f t="shared" si="10"/>
        <v>0x40000235</v>
      </c>
      <c r="AI72" s="6">
        <f t="shared" si="11"/>
        <v>1073742389</v>
      </c>
      <c r="AJ72" s="6" t="str">
        <f t="shared" si="12"/>
        <v>0x40000235</v>
      </c>
      <c r="AK72" s="6" t="str">
        <f t="shared" si="9"/>
        <v>0x40000251</v>
      </c>
      <c r="AL72" s="6">
        <f t="shared" si="13"/>
        <v>8</v>
      </c>
      <c r="AN72" s="6" t="str">
        <f t="shared" ref="AN72:AN135" si="14">IF(AI71&lt;AI72,"ok","not ok")</f>
        <v>ok</v>
      </c>
      <c r="AO72" s="6" t="s">
        <v>5</v>
      </c>
    </row>
    <row r="73" spans="1:41">
      <c r="A73" s="7" t="s">
        <v>215</v>
      </c>
      <c r="B73" s="7" t="s">
        <v>214</v>
      </c>
      <c r="C73" s="7" t="s">
        <v>29</v>
      </c>
      <c r="D73" s="7">
        <v>8</v>
      </c>
      <c r="E73" s="7">
        <v>1000</v>
      </c>
      <c r="F73" s="7" t="s">
        <v>31</v>
      </c>
      <c r="G73" s="7" t="s">
        <v>32</v>
      </c>
      <c r="H73" s="7"/>
      <c r="I73" s="7"/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89"/>
      <c r="Y73" s="6">
        <v>29</v>
      </c>
      <c r="Z73" s="118">
        <v>65535</v>
      </c>
      <c r="AA73" s="6">
        <v>32768</v>
      </c>
      <c r="AB73" s="118">
        <v>65535</v>
      </c>
      <c r="AE73" s="96"/>
      <c r="AF73" s="270" t="str">
        <f>IF(V73=1,MAX($AF$6:AF72)+1,IF(AF72="#",0,IF(AND(D72=D73,K72=K73,L72=L73,M72=M73,N72=N73,O72=O73,P72=P73,Q72=Q73,R72=R73,S72=S73,T72=T73,U72=U73,V72=V73,W72=W73,HEX2DEC(SUBSTITUTE(AH72,"0x",""))&lt;HEX2DEC(SUBSTITUTE(AH73,"0x",""))),"",MAX($AF$6:AF72)+1)))</f>
        <v/>
      </c>
      <c r="AG73" s="225">
        <f>IF(MAX(INDEX($AF:$AF,ROW($AG$6)):INDEX($AF:$AF,ROW(AG73)))+1=AF74,MAX(INDEX($AF:$AF,ROW($AG$6)):INDEX($AF:$AF,ROW(AG73))),"")</f>
        <v>36</v>
      </c>
      <c r="AH73" s="6" t="str">
        <f t="shared" si="10"/>
        <v>0x40000251</v>
      </c>
      <c r="AI73" s="6">
        <f t="shared" si="11"/>
        <v>1073742417</v>
      </c>
      <c r="AJ73" s="6" t="str">
        <f t="shared" si="12"/>
        <v/>
      </c>
      <c r="AK73" s="6" t="str">
        <f t="shared" si="9"/>
        <v/>
      </c>
      <c r="AL73" s="6" t="str">
        <f t="shared" si="13"/>
        <v/>
      </c>
      <c r="AN73" s="6" t="str">
        <f t="shared" si="14"/>
        <v>ok</v>
      </c>
      <c r="AO73" s="6" t="s">
        <v>5</v>
      </c>
    </row>
    <row r="74" spans="1:41">
      <c r="A74" s="7" t="s">
        <v>217</v>
      </c>
      <c r="B74" s="7" t="s">
        <v>216</v>
      </c>
      <c r="C74" s="7" t="s">
        <v>29</v>
      </c>
      <c r="D74" s="7">
        <v>32</v>
      </c>
      <c r="E74" s="7">
        <v>1000</v>
      </c>
      <c r="F74" s="7" t="s">
        <v>31</v>
      </c>
      <c r="G74" s="7" t="s">
        <v>32</v>
      </c>
      <c r="H74" s="7"/>
      <c r="I74" s="7"/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89"/>
      <c r="Y74" s="6">
        <v>29</v>
      </c>
      <c r="Z74" s="118">
        <v>65535</v>
      </c>
      <c r="AA74" s="6">
        <v>32768</v>
      </c>
      <c r="AB74" s="118">
        <v>65535</v>
      </c>
      <c r="AE74" s="96"/>
      <c r="AF74" s="270">
        <f>IF(V74=1,MAX($AF$6:AF73)+1,IF(AF73="#",0,IF(AND(D73=D74,K73=K74,L73=L74,M73=M74,N73=N74,O73=O74,P73=P74,Q73=Q74,R73=R74,S73=S74,T73=T74,U73=U74,V73=V74,W73=W74,HEX2DEC(SUBSTITUTE(AH73,"0x",""))&lt;HEX2DEC(SUBSTITUTE(AH74,"0x",""))),"",MAX($AF$6:AF73)+1)))</f>
        <v>37</v>
      </c>
      <c r="AG74" s="225">
        <f>IF(MAX(INDEX($AF:$AF,ROW($AG$6)):INDEX($AF:$AF,ROW(AG74)))+1=AF75,MAX(INDEX($AF:$AF,ROW($AG$6)):INDEX($AF:$AF,ROW(AG74))),"")</f>
        <v>37</v>
      </c>
      <c r="AH74" s="6" t="str">
        <f t="shared" si="10"/>
        <v>0x40000255</v>
      </c>
      <c r="AI74" s="6">
        <f t="shared" si="11"/>
        <v>1073742421</v>
      </c>
      <c r="AJ74" s="6" t="str">
        <f t="shared" si="12"/>
        <v>0x40000255</v>
      </c>
      <c r="AK74" s="6" t="str">
        <f t="shared" si="9"/>
        <v>0x40000255</v>
      </c>
      <c r="AL74" s="6">
        <f t="shared" si="13"/>
        <v>32</v>
      </c>
      <c r="AN74" s="6" t="str">
        <f t="shared" si="14"/>
        <v>ok</v>
      </c>
    </row>
    <row r="75" spans="1:41">
      <c r="A75" s="7" t="s">
        <v>220</v>
      </c>
      <c r="B75" s="7" t="s">
        <v>219</v>
      </c>
      <c r="C75" s="7" t="s">
        <v>29</v>
      </c>
      <c r="D75" s="7">
        <v>8</v>
      </c>
      <c r="E75" s="7">
        <v>1000</v>
      </c>
      <c r="F75" s="7" t="s">
        <v>31</v>
      </c>
      <c r="G75" s="7" t="s">
        <v>32</v>
      </c>
      <c r="H75" s="7"/>
      <c r="I75" s="7"/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89"/>
      <c r="Y75" s="6">
        <v>29</v>
      </c>
      <c r="Z75" s="118">
        <v>65535</v>
      </c>
      <c r="AA75" s="6">
        <v>32768</v>
      </c>
      <c r="AB75" s="118">
        <v>65535</v>
      </c>
      <c r="AE75" s="96"/>
      <c r="AF75" s="270">
        <f>IF(V75=1,MAX($AF$6:AF74)+1,IF(AF74="#",0,IF(AND(D74=D75,K74=K75,L74=L75,M74=M75,N74=N75,O74=O75,P74=P75,Q74=Q75,R74=R75,S74=S75,T74=T75,U74=U75,V74=V75,W74=W75,HEX2DEC(SUBSTITUTE(AH74,"0x",""))&lt;HEX2DEC(SUBSTITUTE(AH75,"0x",""))),"",MAX($AF$6:AF74)+1)))</f>
        <v>38</v>
      </c>
      <c r="AG75" s="225">
        <f>IF(MAX(INDEX($AF:$AF,ROW($AG$6)):INDEX($AF:$AF,ROW(AG75)))+1=AF76,MAX(INDEX($AF:$AF,ROW($AG$6)):INDEX($AF:$AF,ROW(AG75))),"")</f>
        <v>38</v>
      </c>
      <c r="AH75" s="6" t="str">
        <f t="shared" si="10"/>
        <v>0x4000025a</v>
      </c>
      <c r="AI75" s="6">
        <f t="shared" si="11"/>
        <v>1073742426</v>
      </c>
      <c r="AJ75" s="6" t="str">
        <f t="shared" si="12"/>
        <v>0x4000025a</v>
      </c>
      <c r="AK75" s="6" t="str">
        <f t="shared" si="9"/>
        <v>0x4000025a</v>
      </c>
      <c r="AL75" s="6">
        <f t="shared" si="13"/>
        <v>8</v>
      </c>
      <c r="AN75" s="6" t="str">
        <f t="shared" si="14"/>
        <v>ok</v>
      </c>
      <c r="AO75" s="6" t="s">
        <v>5</v>
      </c>
    </row>
    <row r="76" spans="1:41">
      <c r="A76" s="7" t="s">
        <v>792</v>
      </c>
      <c r="B76" s="7" t="s">
        <v>233</v>
      </c>
      <c r="C76" s="7" t="s">
        <v>29</v>
      </c>
      <c r="D76" s="7">
        <v>32</v>
      </c>
      <c r="E76" s="7">
        <v>1000</v>
      </c>
      <c r="F76" s="7" t="s">
        <v>29</v>
      </c>
      <c r="G76" s="7" t="s">
        <v>32</v>
      </c>
      <c r="H76" s="7"/>
      <c r="I76" s="7"/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89"/>
      <c r="Y76" s="6">
        <v>29</v>
      </c>
      <c r="Z76" s="118">
        <v>65535</v>
      </c>
      <c r="AA76" s="6">
        <v>32768</v>
      </c>
      <c r="AB76" s="118">
        <v>65535</v>
      </c>
      <c r="AE76" s="96"/>
      <c r="AF76" s="270">
        <f>IF(V76=1,MAX($AF$6:AF75)+1,IF(AF75="#",0,IF(AND(D75=D76,K75=K76,L75=L76,M75=M76,N75=N76,O75=O76,P75=P76,Q75=Q76,R75=R76,S75=S76,T75=T76,U75=U76,V75=V76,W75=W76,HEX2DEC(SUBSTITUTE(AH75,"0x",""))&lt;HEX2DEC(SUBSTITUTE(AH76,"0x",""))),"",MAX($AF$6:AF75)+1)))</f>
        <v>39</v>
      </c>
      <c r="AG76" s="225">
        <f>IF(MAX(INDEX($AF:$AF,ROW($AG$6)):INDEX($AF:$AF,ROW(AG76)))+1=AF77,MAX(INDEX($AF:$AF,ROW($AG$6)):INDEX($AF:$AF,ROW(AG76))),"")</f>
        <v>39</v>
      </c>
      <c r="AH76" s="6" t="str">
        <f t="shared" si="10"/>
        <v>0x400002da</v>
      </c>
      <c r="AI76" s="6">
        <f t="shared" si="11"/>
        <v>1073742554</v>
      </c>
      <c r="AJ76" s="6" t="str">
        <f t="shared" si="12"/>
        <v>0x400002da</v>
      </c>
      <c r="AK76" s="6" t="str">
        <f t="shared" si="9"/>
        <v>0x400002da</v>
      </c>
      <c r="AL76" s="6">
        <f t="shared" si="13"/>
        <v>32</v>
      </c>
      <c r="AN76" s="6" t="str">
        <f t="shared" si="14"/>
        <v>ok</v>
      </c>
    </row>
    <row r="77" spans="1:41">
      <c r="A77" s="7" t="s">
        <v>222</v>
      </c>
      <c r="B77" s="7" t="s">
        <v>221</v>
      </c>
      <c r="C77" s="7" t="s">
        <v>29</v>
      </c>
      <c r="D77" s="7">
        <v>8</v>
      </c>
      <c r="E77" s="7">
        <v>1000</v>
      </c>
      <c r="F77" s="7" t="s">
        <v>31</v>
      </c>
      <c r="G77" s="7" t="s">
        <v>32</v>
      </c>
      <c r="H77" s="7"/>
      <c r="I77" s="7"/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89"/>
      <c r="Y77" s="6">
        <v>29</v>
      </c>
      <c r="Z77" s="118">
        <v>65535</v>
      </c>
      <c r="AA77" s="6">
        <v>32768</v>
      </c>
      <c r="AB77" s="118">
        <v>65535</v>
      </c>
      <c r="AE77" s="96"/>
      <c r="AF77" s="270">
        <f>IF(V77=1,MAX($AF$6:AF76)+1,IF(AF76="#",0,IF(AND(D76=D77,K76=K77,L76=L77,M76=M77,N76=N77,O76=O77,P76=P77,Q76=Q77,R76=R77,S76=S77,T76=T77,U76=U77,V76=V77,W76=W77,HEX2DEC(SUBSTITUTE(AH76,"0x",""))&lt;HEX2DEC(SUBSTITUTE(AH77,"0x",""))),"",MAX($AF$6:AF76)+1)))</f>
        <v>40</v>
      </c>
      <c r="AG77" s="225">
        <f>IF(MAX(INDEX($AF:$AF,ROW($AG$6)):INDEX($AF:$AF,ROW(AG77)))+1=AF78,MAX(INDEX($AF:$AF,ROW($AG$6)):INDEX($AF:$AF,ROW(AG77))),"")</f>
        <v>40</v>
      </c>
      <c r="AH77" s="6" t="str">
        <f t="shared" si="10"/>
        <v>0x4000027b</v>
      </c>
      <c r="AI77" s="6">
        <f t="shared" si="11"/>
        <v>1073742459</v>
      </c>
      <c r="AJ77" s="6" t="str">
        <f t="shared" si="12"/>
        <v>0x4000027b</v>
      </c>
      <c r="AK77" s="6" t="str">
        <f t="shared" si="9"/>
        <v>0x4000027b</v>
      </c>
      <c r="AL77" s="6">
        <f t="shared" si="13"/>
        <v>8</v>
      </c>
      <c r="AN77" s="6" t="str">
        <f t="shared" si="14"/>
        <v>not ok</v>
      </c>
      <c r="AO77" s="6" t="s">
        <v>5</v>
      </c>
    </row>
    <row r="78" spans="1:41">
      <c r="A78" s="7" t="s">
        <v>226</v>
      </c>
      <c r="B78" s="7" t="s">
        <v>225</v>
      </c>
      <c r="C78" s="7" t="s">
        <v>29</v>
      </c>
      <c r="D78" s="7">
        <v>32</v>
      </c>
      <c r="E78" s="7">
        <v>1000</v>
      </c>
      <c r="F78" s="7" t="s">
        <v>31</v>
      </c>
      <c r="G78" s="7" t="s">
        <v>32</v>
      </c>
      <c r="H78" s="7"/>
      <c r="I78" s="7"/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89"/>
      <c r="Y78" s="6">
        <v>29</v>
      </c>
      <c r="Z78" s="118">
        <v>65535</v>
      </c>
      <c r="AA78" s="6">
        <v>32768</v>
      </c>
      <c r="AB78" s="118">
        <v>65535</v>
      </c>
      <c r="AE78" s="96"/>
      <c r="AF78" s="270">
        <f>IF(V78=1,MAX($AF$6:AF77)+1,IF(AF77="#",0,IF(AND(D77=D78,K77=K78,L77=L78,M77=M78,N77=N78,O77=O78,P77=P78,Q77=Q78,R77=R78,S77=S78,T77=T78,U77=U78,V77=V78,W77=W78,HEX2DEC(SUBSTITUTE(AH77,"0x",""))&lt;HEX2DEC(SUBSTITUTE(AH78,"0x",""))),"",MAX($AF$6:AF77)+1)))</f>
        <v>41</v>
      </c>
      <c r="AG78" s="225">
        <f>IF(MAX(INDEX($AF:$AF,ROW($AG$6)):INDEX($AF:$AF,ROW(AG78)))+1=AF79,MAX(INDEX($AF:$AF,ROW($AG$6)):INDEX($AF:$AF,ROW(AG78))),"")</f>
        <v>41</v>
      </c>
      <c r="AH78" s="6" t="str">
        <f t="shared" si="10"/>
        <v>0x40000282</v>
      </c>
      <c r="AI78" s="6">
        <f t="shared" si="11"/>
        <v>1073742466</v>
      </c>
      <c r="AJ78" s="6" t="str">
        <f t="shared" si="12"/>
        <v>0x40000282</v>
      </c>
      <c r="AK78" s="6" t="str">
        <f t="shared" si="9"/>
        <v>0x40000282</v>
      </c>
      <c r="AL78" s="6">
        <f t="shared" si="13"/>
        <v>32</v>
      </c>
      <c r="AN78" s="6" t="str">
        <f t="shared" si="14"/>
        <v>ok</v>
      </c>
      <c r="AO78" s="6" t="s">
        <v>5</v>
      </c>
    </row>
    <row r="79" spans="1:41">
      <c r="A79" s="7" t="s">
        <v>242</v>
      </c>
      <c r="B79" s="7" t="s">
        <v>243</v>
      </c>
      <c r="C79" s="7" t="s">
        <v>29</v>
      </c>
      <c r="D79" s="7">
        <v>8</v>
      </c>
      <c r="E79" s="7">
        <v>5000</v>
      </c>
      <c r="F79" s="7" t="s">
        <v>31</v>
      </c>
      <c r="G79" s="7" t="s">
        <v>32</v>
      </c>
      <c r="H79" s="7"/>
      <c r="I79" s="7"/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89"/>
      <c r="Y79" s="6">
        <v>29</v>
      </c>
      <c r="Z79" s="118">
        <v>65535</v>
      </c>
      <c r="AA79" s="6">
        <v>32768</v>
      </c>
      <c r="AB79" s="118">
        <v>65535</v>
      </c>
      <c r="AE79" s="96"/>
      <c r="AF79" s="270">
        <f>IF(V79=1,MAX($AF$6:AF78)+1,IF(AF78="#",0,IF(AND(D78=D79,K78=K79,L78=L79,M78=M79,N78=N79,O78=O79,P78=P79,Q78=Q79,R78=R79,S78=S79,T78=T79,U78=U79,V78=V79,W78=W79,HEX2DEC(SUBSTITUTE(AH78,"0x",""))&lt;HEX2DEC(SUBSTITUTE(AH79,"0x",""))),"",MAX($AF$6:AF78)+1)))</f>
        <v>42</v>
      </c>
      <c r="AG79" s="225">
        <f>IF(MAX(INDEX($AF:$AF,ROW($AG$6)):INDEX($AF:$AF,ROW(AG79)))+1=AF80,MAX(INDEX($AF:$AF,ROW($AG$6)):INDEX($AF:$AF,ROW(AG79))),"")</f>
        <v>42</v>
      </c>
      <c r="AH79" s="6" t="str">
        <f t="shared" si="10"/>
        <v>0x40000382</v>
      </c>
      <c r="AI79" s="6">
        <f t="shared" si="11"/>
        <v>1073742722</v>
      </c>
      <c r="AJ79" s="6" t="str">
        <f t="shared" si="12"/>
        <v>0x40000382</v>
      </c>
      <c r="AK79" s="6" t="str">
        <f t="shared" si="9"/>
        <v>0x40000382</v>
      </c>
      <c r="AL79" s="6">
        <f t="shared" si="13"/>
        <v>8</v>
      </c>
      <c r="AN79" s="6" t="str">
        <f t="shared" si="14"/>
        <v>ok</v>
      </c>
    </row>
    <row r="80" spans="1:41">
      <c r="A80" s="7" t="s">
        <v>228</v>
      </c>
      <c r="B80" s="7" t="s">
        <v>227</v>
      </c>
      <c r="C80" s="7" t="s">
        <v>29</v>
      </c>
      <c r="D80" s="7">
        <v>8</v>
      </c>
      <c r="E80" s="7">
        <v>1000</v>
      </c>
      <c r="F80" s="7" t="s">
        <v>31</v>
      </c>
      <c r="G80" s="7" t="s">
        <v>32</v>
      </c>
      <c r="H80" s="7"/>
      <c r="I80" s="7"/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89"/>
      <c r="Y80" s="6">
        <v>29</v>
      </c>
      <c r="Z80" s="118">
        <v>65535</v>
      </c>
      <c r="AA80" s="6">
        <v>32768</v>
      </c>
      <c r="AB80" s="118">
        <v>65535</v>
      </c>
      <c r="AE80" s="96"/>
      <c r="AF80" s="270">
        <f>IF(V80=1,MAX($AF$6:AF79)+1,IF(AF79="#",0,IF(AND(D79=D80,K79=K80,L79=L80,M79=M80,N79=N80,O79=O80,P79=P80,Q79=Q80,R79=R80,S79=S80,T79=T80,U79=U80,V79=V80,W79=W80,HEX2DEC(SUBSTITUTE(AH79,"0x",""))&lt;HEX2DEC(SUBSTITUTE(AH80,"0x",""))),"",MAX($AF$6:AF79)+1)))</f>
        <v>43</v>
      </c>
      <c r="AG80" s="225">
        <f>IF(MAX(INDEX($AF:$AF,ROW($AG$6)):INDEX($AF:$AF,ROW(AG80)))+1=AF81,MAX(INDEX($AF:$AF,ROW($AG$6)):INDEX($AF:$AF,ROW(AG80))),"")</f>
        <v>43</v>
      </c>
      <c r="AH80" s="6" t="str">
        <f t="shared" si="10"/>
        <v>0x40000285</v>
      </c>
      <c r="AI80" s="6">
        <f t="shared" si="11"/>
        <v>1073742469</v>
      </c>
      <c r="AJ80" s="6" t="str">
        <f t="shared" si="12"/>
        <v>0x40000285</v>
      </c>
      <c r="AK80" s="6" t="str">
        <f t="shared" si="9"/>
        <v>0x40000285</v>
      </c>
      <c r="AL80" s="6">
        <f t="shared" si="13"/>
        <v>8</v>
      </c>
      <c r="AN80" s="6" t="str">
        <f t="shared" si="14"/>
        <v>not ok</v>
      </c>
      <c r="AO80" s="6" t="s">
        <v>5</v>
      </c>
    </row>
    <row r="81" spans="1:41">
      <c r="A81" s="7" t="s">
        <v>231</v>
      </c>
      <c r="B81" s="7" t="s">
        <v>230</v>
      </c>
      <c r="C81" s="7" t="s">
        <v>29</v>
      </c>
      <c r="D81" s="7">
        <v>32</v>
      </c>
      <c r="E81" s="7">
        <v>1000</v>
      </c>
      <c r="F81" s="7" t="s">
        <v>31</v>
      </c>
      <c r="G81" s="7" t="s">
        <v>32</v>
      </c>
      <c r="H81" s="7"/>
      <c r="I81" s="7"/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89"/>
      <c r="Y81" s="6">
        <v>29</v>
      </c>
      <c r="Z81" s="118">
        <v>65535</v>
      </c>
      <c r="AA81" s="6">
        <v>32768</v>
      </c>
      <c r="AB81" s="118">
        <v>65535</v>
      </c>
      <c r="AE81" s="96"/>
      <c r="AF81" s="270">
        <f>IF(V81=1,MAX($AF$6:AF80)+1,IF(AF80="#",0,IF(AND(D80=D81,K80=K81,L80=L81,M80=M81,N80=N81,O80=O81,P80=P81,Q80=Q81,R80=R81,S80=S81,T80=T81,U80=U81,V80=V81,W80=W81,HEX2DEC(SUBSTITUTE(AH80,"0x",""))&lt;HEX2DEC(SUBSTITUTE(AH81,"0x",""))),"",MAX($AF$6:AF80)+1)))</f>
        <v>44</v>
      </c>
      <c r="AG81" s="225">
        <f>IF(MAX(INDEX($AF:$AF,ROW($AG$6)):INDEX($AF:$AF,ROW(AG81)))+1=AF82,MAX(INDEX($AF:$AF,ROW($AG$6)):INDEX($AF:$AF,ROW(AG81))),"")</f>
        <v>44</v>
      </c>
      <c r="AH81" s="6" t="str">
        <f t="shared" si="10"/>
        <v>0x40000295</v>
      </c>
      <c r="AI81" s="6">
        <f t="shared" si="11"/>
        <v>1073742485</v>
      </c>
      <c r="AJ81" s="6" t="str">
        <f t="shared" si="12"/>
        <v>0x40000295</v>
      </c>
      <c r="AK81" s="6" t="str">
        <f t="shared" si="9"/>
        <v>0x40000295</v>
      </c>
      <c r="AL81" s="6">
        <f t="shared" si="13"/>
        <v>32</v>
      </c>
      <c r="AN81" s="6" t="str">
        <f t="shared" si="14"/>
        <v>ok</v>
      </c>
      <c r="AO81" s="6" t="s">
        <v>5</v>
      </c>
    </row>
    <row r="82" spans="1:41">
      <c r="A82" s="7" t="s">
        <v>793</v>
      </c>
      <c r="B82" s="7" t="s">
        <v>252</v>
      </c>
      <c r="C82" s="7" t="s">
        <v>29</v>
      </c>
      <c r="D82" s="7">
        <v>64</v>
      </c>
      <c r="E82" s="7">
        <v>1000</v>
      </c>
      <c r="F82" s="7" t="s">
        <v>29</v>
      </c>
      <c r="G82" s="7" t="s">
        <v>32</v>
      </c>
      <c r="H82" s="7"/>
      <c r="I82" s="7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1</v>
      </c>
      <c r="W82" s="6">
        <v>0</v>
      </c>
      <c r="X82" s="89"/>
      <c r="Y82" s="6">
        <v>1</v>
      </c>
      <c r="Z82" s="87">
        <f>VLOOKUP(A82,SecOC_Cfg.h!$C$33:$D$61,2,FALSE)</f>
        <v>2</v>
      </c>
      <c r="AA82" s="118">
        <v>65535</v>
      </c>
      <c r="AB82" s="118">
        <v>65535</v>
      </c>
      <c r="AE82" s="96"/>
      <c r="AF82" s="270">
        <f>IF(V82=1,MAX($AF$6:AF81)+1,IF(AF81="#",0,IF(AND(D81=D82,K81=K82,L81=L82,M81=M82,N81=N82,O81=O82,P81=P82,Q81=Q82,R81=R82,S81=S82,T81=T82,U81=U82,V81=V82,W81=W82,HEX2DEC(SUBSTITUTE(AH81,"0x",""))&lt;HEX2DEC(SUBSTITUTE(AH82,"0x",""))),"",MAX($AF$6:AF81)+1)))</f>
        <v>45</v>
      </c>
      <c r="AG82" s="225">
        <f>IF(MAX(INDEX($AF:$AF,ROW($AG$6)):INDEX($AF:$AF,ROW(AG82)))+1=AF83,MAX(INDEX($AF:$AF,ROW($AG$6)):INDEX($AF:$AF,ROW(AG82))),"")</f>
        <v>45</v>
      </c>
      <c r="AH82" s="6" t="str">
        <f t="shared" si="10"/>
        <v>0x40000395</v>
      </c>
      <c r="AI82" s="6">
        <f t="shared" si="11"/>
        <v>1073742741</v>
      </c>
      <c r="AJ82" s="6" t="str">
        <f t="shared" si="12"/>
        <v>0x40000395</v>
      </c>
      <c r="AK82" s="6" t="str">
        <f t="shared" si="9"/>
        <v>0x40000395</v>
      </c>
      <c r="AL82" s="6">
        <f t="shared" si="13"/>
        <v>64</v>
      </c>
      <c r="AN82" s="6" t="str">
        <f t="shared" si="14"/>
        <v>ok</v>
      </c>
    </row>
    <row r="83" spans="1:41">
      <c r="A83" s="7" t="s">
        <v>236</v>
      </c>
      <c r="B83" s="7" t="s">
        <v>235</v>
      </c>
      <c r="C83" s="7" t="s">
        <v>29</v>
      </c>
      <c r="D83" s="7">
        <v>32</v>
      </c>
      <c r="E83" s="7">
        <v>1000</v>
      </c>
      <c r="F83" s="7" t="s">
        <v>31</v>
      </c>
      <c r="G83" s="7" t="s">
        <v>32</v>
      </c>
      <c r="H83" s="7"/>
      <c r="I83" s="7"/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89"/>
      <c r="Y83" s="6">
        <v>29</v>
      </c>
      <c r="Z83" s="118">
        <v>65535</v>
      </c>
      <c r="AA83" s="6">
        <v>32768</v>
      </c>
      <c r="AB83" s="118">
        <v>65535</v>
      </c>
      <c r="AE83" s="96"/>
      <c r="AF83" s="270">
        <f>IF(V83=1,MAX($AF$6:AF82)+1,IF(AF82="#",0,IF(AND(D82=D83,K82=K83,L82=L83,M82=M83,N82=N83,O82=O83,P82=P83,Q82=Q83,R82=R83,S82=S83,T82=T83,U82=U83,V82=V83,W82=W83,HEX2DEC(SUBSTITUTE(AH82,"0x",""))&lt;HEX2DEC(SUBSTITUTE(AH83,"0x",""))),"",MAX($AF$6:AF82)+1)))</f>
        <v>46</v>
      </c>
      <c r="AG83" s="225" t="str">
        <f>IF(MAX(INDEX($AF:$AF,ROW($AG$6)):INDEX($AF:$AF,ROW(AG83)))+1=AF84,MAX(INDEX($AF:$AF,ROW($AG$6)):INDEX($AF:$AF,ROW(AG83))),"")</f>
        <v/>
      </c>
      <c r="AH83" s="6" t="str">
        <f t="shared" si="10"/>
        <v>0x40000296</v>
      </c>
      <c r="AI83" s="6">
        <f t="shared" si="11"/>
        <v>1073742486</v>
      </c>
      <c r="AJ83" s="6" t="str">
        <f t="shared" si="12"/>
        <v>0x40000296</v>
      </c>
      <c r="AK83" s="6" t="str">
        <f t="shared" si="9"/>
        <v>0x400002a6</v>
      </c>
      <c r="AL83" s="6">
        <f t="shared" si="13"/>
        <v>32</v>
      </c>
      <c r="AN83" s="6" t="str">
        <f t="shared" si="14"/>
        <v>not ok</v>
      </c>
      <c r="AO83" s="6" t="s">
        <v>5</v>
      </c>
    </row>
    <row r="84" spans="1:41">
      <c r="A84" s="7" t="s">
        <v>238</v>
      </c>
      <c r="B84" s="7" t="s">
        <v>237</v>
      </c>
      <c r="C84" s="7" t="s">
        <v>29</v>
      </c>
      <c r="D84" s="7">
        <v>32</v>
      </c>
      <c r="E84" s="7">
        <v>1000</v>
      </c>
      <c r="F84" s="7" t="s">
        <v>31</v>
      </c>
      <c r="G84" s="7" t="s">
        <v>32</v>
      </c>
      <c r="H84" s="7"/>
      <c r="I84" s="7"/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89"/>
      <c r="Y84" s="6">
        <v>29</v>
      </c>
      <c r="Z84" s="118">
        <v>65535</v>
      </c>
      <c r="AA84" s="6">
        <v>32768</v>
      </c>
      <c r="AB84" s="118">
        <v>65535</v>
      </c>
      <c r="AE84" s="96"/>
      <c r="AF84" s="270" t="str">
        <f>IF(V84=1,MAX($AF$6:AF83)+1,IF(AF83="#",0,IF(AND(D83=D84,K83=K84,L83=L84,M83=M84,N83=N84,O83=O84,P83=P84,Q83=Q84,R83=R84,S83=S84,T83=T84,U83=U84,V83=V84,W83=W84,HEX2DEC(SUBSTITUTE(AH83,"0x",""))&lt;HEX2DEC(SUBSTITUTE(AH84,"0x",""))),"",MAX($AF$6:AF83)+1)))</f>
        <v/>
      </c>
      <c r="AG84" s="225">
        <f>IF(MAX(INDEX($AF:$AF,ROW($AG$6)):INDEX($AF:$AF,ROW(AG84)))+1=AF85,MAX(INDEX($AF:$AF,ROW($AG$6)):INDEX($AF:$AF,ROW(AG84))),"")</f>
        <v>46</v>
      </c>
      <c r="AH84" s="6" t="str">
        <f t="shared" si="10"/>
        <v>0x400002a6</v>
      </c>
      <c r="AI84" s="6">
        <f t="shared" si="11"/>
        <v>1073742502</v>
      </c>
      <c r="AJ84" s="6" t="str">
        <f t="shared" si="12"/>
        <v/>
      </c>
      <c r="AK84" s="6" t="str">
        <f t="shared" si="9"/>
        <v/>
      </c>
      <c r="AL84" s="6" t="str">
        <f t="shared" si="13"/>
        <v/>
      </c>
      <c r="AN84" s="6" t="str">
        <f t="shared" si="14"/>
        <v>ok</v>
      </c>
      <c r="AO84" s="6" t="s">
        <v>5</v>
      </c>
    </row>
    <row r="85" spans="1:41">
      <c r="A85" s="7" t="s">
        <v>241</v>
      </c>
      <c r="B85" s="7" t="s">
        <v>240</v>
      </c>
      <c r="C85" s="7" t="s">
        <v>29</v>
      </c>
      <c r="D85" s="7">
        <v>8</v>
      </c>
      <c r="E85" s="7">
        <v>1000</v>
      </c>
      <c r="F85" s="7" t="s">
        <v>31</v>
      </c>
      <c r="G85" s="7" t="s">
        <v>32</v>
      </c>
      <c r="H85" s="7"/>
      <c r="I85" s="7"/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89"/>
      <c r="Y85" s="6">
        <v>29</v>
      </c>
      <c r="Z85" s="118">
        <v>65535</v>
      </c>
      <c r="AA85" s="6">
        <v>32768</v>
      </c>
      <c r="AB85" s="118">
        <v>65535</v>
      </c>
      <c r="AE85" s="96"/>
      <c r="AF85" s="270">
        <f>IF(V85=1,MAX($AF$6:AF84)+1,IF(AF84="#",0,IF(AND(D84=D85,K84=K85,L84=L85,M84=M85,N84=N85,O84=O85,P84=P85,Q84=Q85,R84=R85,S84=S85,T84=T85,U84=U85,V84=V85,W84=W85,HEX2DEC(SUBSTITUTE(AH84,"0x",""))&lt;HEX2DEC(SUBSTITUTE(AH85,"0x",""))),"",MAX($AF$6:AF84)+1)))</f>
        <v>47</v>
      </c>
      <c r="AG85" s="225" t="str">
        <f>IF(MAX(INDEX($AF:$AF,ROW($AG$6)):INDEX($AF:$AF,ROW(AG85)))+1=AF86,MAX(INDEX($AF:$AF,ROW($AG$6)):INDEX($AF:$AF,ROW(AG85))),"")</f>
        <v/>
      </c>
      <c r="AH85" s="6" t="str">
        <f t="shared" si="10"/>
        <v>0x400002af</v>
      </c>
      <c r="AI85" s="6">
        <f t="shared" si="11"/>
        <v>1073742511</v>
      </c>
      <c r="AJ85" s="6" t="str">
        <f t="shared" si="12"/>
        <v>0x400002af</v>
      </c>
      <c r="AK85" s="6" t="str">
        <f t="shared" si="9"/>
        <v>0x400002f3</v>
      </c>
      <c r="AL85" s="6">
        <f t="shared" si="13"/>
        <v>8</v>
      </c>
      <c r="AN85" s="6" t="str">
        <f t="shared" si="14"/>
        <v>ok</v>
      </c>
      <c r="AO85" s="6" t="s">
        <v>5</v>
      </c>
    </row>
    <row r="86" spans="1:41">
      <c r="A86" s="7" t="s">
        <v>246</v>
      </c>
      <c r="B86" s="7" t="s">
        <v>245</v>
      </c>
      <c r="C86" s="7" t="s">
        <v>29</v>
      </c>
      <c r="D86" s="7">
        <v>8</v>
      </c>
      <c r="E86" s="7">
        <v>1000</v>
      </c>
      <c r="F86" s="7" t="s">
        <v>31</v>
      </c>
      <c r="G86" s="7" t="s">
        <v>32</v>
      </c>
      <c r="H86" s="7"/>
      <c r="I86" s="7"/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89"/>
      <c r="Y86" s="6">
        <v>29</v>
      </c>
      <c r="Z86" s="118">
        <v>65535</v>
      </c>
      <c r="AA86" s="6">
        <v>32768</v>
      </c>
      <c r="AB86" s="118">
        <v>65535</v>
      </c>
      <c r="AE86" s="96"/>
      <c r="AF86" s="270" t="str">
        <f>IF(V86=1,MAX($AF$6:AF85)+1,IF(AF85="#",0,IF(AND(D85=D86,K85=K86,L85=L86,M85=M86,N85=N86,O85=O86,P85=P86,Q85=Q86,R85=R86,S85=S86,T85=T86,U85=U86,V85=V86,W85=W86,HEX2DEC(SUBSTITUTE(AH85,"0x",""))&lt;HEX2DEC(SUBSTITUTE(AH86,"0x",""))),"",MAX($AF$6:AF85)+1)))</f>
        <v/>
      </c>
      <c r="AG86" s="225" t="str">
        <f>IF(MAX(INDEX($AF:$AF,ROW($AG$6)):INDEX($AF:$AF,ROW(AG86)))+1=AF87,MAX(INDEX($AF:$AF,ROW($AG$6)):INDEX($AF:$AF,ROW(AG86))),"")</f>
        <v/>
      </c>
      <c r="AH86" s="6" t="str">
        <f t="shared" si="10"/>
        <v>0x400002b3</v>
      </c>
      <c r="AI86" s="6">
        <f t="shared" si="11"/>
        <v>1073742515</v>
      </c>
      <c r="AJ86" s="6" t="str">
        <f t="shared" si="12"/>
        <v/>
      </c>
      <c r="AK86" s="6" t="str">
        <f t="shared" si="9"/>
        <v/>
      </c>
      <c r="AL86" s="6" t="str">
        <f t="shared" si="13"/>
        <v/>
      </c>
      <c r="AN86" s="6" t="str">
        <f t="shared" si="14"/>
        <v>ok</v>
      </c>
      <c r="AO86" s="6" t="s">
        <v>5</v>
      </c>
    </row>
    <row r="87" spans="1:41">
      <c r="A87" s="7" t="s">
        <v>261</v>
      </c>
      <c r="B87" s="7" t="s">
        <v>260</v>
      </c>
      <c r="C87" s="7" t="s">
        <v>29</v>
      </c>
      <c r="D87" s="7">
        <v>8</v>
      </c>
      <c r="E87" s="7">
        <v>1000</v>
      </c>
      <c r="F87" s="7" t="s">
        <v>31</v>
      </c>
      <c r="G87" s="7" t="s">
        <v>32</v>
      </c>
      <c r="H87" s="7"/>
      <c r="I87" s="7"/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89"/>
      <c r="Y87" s="6">
        <v>29</v>
      </c>
      <c r="Z87" s="118">
        <v>65535</v>
      </c>
      <c r="AA87" s="6">
        <v>32768</v>
      </c>
      <c r="AB87" s="118">
        <v>65535</v>
      </c>
      <c r="AE87" s="96"/>
      <c r="AF87" s="270" t="str">
        <f>IF(V87=1,MAX($AF$6:AF86)+1,IF(AF86="#",0,IF(AND(D86=D87,K86=K87,L86=L87,M86=M87,N86=N87,O86=O87,P86=P87,Q86=Q87,R86=R87,S86=S87,T86=T87,U86=U87,V86=V87,W86=W87,HEX2DEC(SUBSTITUTE(AH86,"0x",""))&lt;HEX2DEC(SUBSTITUTE(AH87,"0x",""))),"",MAX($AF$6:AF86)+1)))</f>
        <v/>
      </c>
      <c r="AG87" s="225">
        <f>IF(MAX(INDEX($AF:$AF,ROW($AG$6)):INDEX($AF:$AF,ROW(AG87)))+1=AF88,MAX(INDEX($AF:$AF,ROW($AG$6)):INDEX($AF:$AF,ROW(AG87))),"")</f>
        <v>47</v>
      </c>
      <c r="AH87" s="6" t="str">
        <f t="shared" si="10"/>
        <v>0x400002f3</v>
      </c>
      <c r="AI87" s="6">
        <f t="shared" si="11"/>
        <v>1073742579</v>
      </c>
      <c r="AJ87" s="6" t="str">
        <f t="shared" si="12"/>
        <v/>
      </c>
      <c r="AK87" s="6" t="str">
        <f t="shared" si="9"/>
        <v/>
      </c>
      <c r="AL87" s="6" t="str">
        <f t="shared" si="13"/>
        <v/>
      </c>
      <c r="AN87" s="6" t="str">
        <f t="shared" si="14"/>
        <v>ok</v>
      </c>
    </row>
    <row r="88" spans="1:41">
      <c r="A88" s="7" t="s">
        <v>250</v>
      </c>
      <c r="B88" s="7" t="s">
        <v>249</v>
      </c>
      <c r="C88" s="7" t="s">
        <v>29</v>
      </c>
      <c r="D88" s="7">
        <v>32</v>
      </c>
      <c r="E88" s="7">
        <v>1000</v>
      </c>
      <c r="F88" s="7" t="s">
        <v>31</v>
      </c>
      <c r="G88" s="7" t="s">
        <v>32</v>
      </c>
      <c r="H88" s="7"/>
      <c r="I88" s="7"/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89"/>
      <c r="Y88" s="6">
        <v>29</v>
      </c>
      <c r="Z88" s="118">
        <v>65535</v>
      </c>
      <c r="AA88" s="6">
        <v>32768</v>
      </c>
      <c r="AB88" s="118">
        <v>65535</v>
      </c>
      <c r="AE88" s="96"/>
      <c r="AF88" s="270">
        <f>IF(V88=1,MAX($AF$6:AF87)+1,IF(AF87="#",0,IF(AND(D87=D88,K87=K88,L87=L88,M87=M88,N87=N88,O87=O88,P87=P88,Q87=Q88,R87=R88,S87=S88,T87=T88,U87=U88,V87=V88,W87=W88,HEX2DEC(SUBSTITUTE(AH87,"0x",""))&lt;HEX2DEC(SUBSTITUTE(AH88,"0x",""))),"",MAX($AF$6:AF87)+1)))</f>
        <v>48</v>
      </c>
      <c r="AG88" s="225">
        <f>IF(MAX(INDEX($AF:$AF,ROW($AG$6)):INDEX($AF:$AF,ROW(AG88)))+1=AF89,MAX(INDEX($AF:$AF,ROW($AG$6)):INDEX($AF:$AF,ROW(AG88))),"")</f>
        <v>48</v>
      </c>
      <c r="AH88" s="6" t="str">
        <f t="shared" si="10"/>
        <v>0x400002e5</v>
      </c>
      <c r="AI88" s="6">
        <f t="shared" si="11"/>
        <v>1073742565</v>
      </c>
      <c r="AJ88" s="6" t="str">
        <f t="shared" si="12"/>
        <v>0x400002e5</v>
      </c>
      <c r="AK88" s="6" t="str">
        <f t="shared" si="9"/>
        <v>0x400002e5</v>
      </c>
      <c r="AL88" s="6">
        <f t="shared" si="13"/>
        <v>32</v>
      </c>
      <c r="AN88" s="6" t="str">
        <f t="shared" si="14"/>
        <v>not ok</v>
      </c>
      <c r="AO88" s="6" t="s">
        <v>5</v>
      </c>
    </row>
    <row r="89" spans="1:41">
      <c r="A89" s="7" t="s">
        <v>255</v>
      </c>
      <c r="B89" s="7" t="s">
        <v>254</v>
      </c>
      <c r="C89" s="7" t="s">
        <v>29</v>
      </c>
      <c r="D89" s="7">
        <v>8</v>
      </c>
      <c r="E89" s="7">
        <v>1000</v>
      </c>
      <c r="F89" s="7" t="s">
        <v>31</v>
      </c>
      <c r="G89" s="7" t="s">
        <v>32</v>
      </c>
      <c r="H89" s="7"/>
      <c r="I89" s="7"/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89"/>
      <c r="Y89" s="6">
        <v>29</v>
      </c>
      <c r="Z89" s="118">
        <v>65535</v>
      </c>
      <c r="AA89" s="6">
        <v>32768</v>
      </c>
      <c r="AB89" s="118">
        <v>65535</v>
      </c>
      <c r="AE89" s="96"/>
      <c r="AF89" s="270">
        <f>IF(V89=1,MAX($AF$6:AF88)+1,IF(AF88="#",0,IF(AND(D88=D89,K88=K89,L88=L89,M88=M89,N88=N89,O88=O89,P88=P89,Q88=Q89,R88=R89,S88=S89,T88=T89,U88=U89,V88=V89,W88=W89,HEX2DEC(SUBSTITUTE(AH88,"0x",""))&lt;HEX2DEC(SUBSTITUTE(AH89,"0x",""))),"",MAX($AF$6:AF88)+1)))</f>
        <v>49</v>
      </c>
      <c r="AG89" s="225">
        <f>IF(MAX(INDEX($AF:$AF,ROW($AG$6)):INDEX($AF:$AF,ROW(AG89)))+1=AF90,MAX(INDEX($AF:$AF,ROW($AG$6)):INDEX($AF:$AF,ROW(AG89))),"")</f>
        <v>49</v>
      </c>
      <c r="AH89" s="6" t="str">
        <f t="shared" si="10"/>
        <v>0x400002eb</v>
      </c>
      <c r="AI89" s="6">
        <f t="shared" si="11"/>
        <v>1073742571</v>
      </c>
      <c r="AJ89" s="6" t="str">
        <f t="shared" si="12"/>
        <v>0x400002eb</v>
      </c>
      <c r="AK89" s="6" t="str">
        <f t="shared" si="9"/>
        <v>0x400002eb</v>
      </c>
      <c r="AL89" s="6">
        <f t="shared" si="13"/>
        <v>8</v>
      </c>
      <c r="AN89" s="6" t="str">
        <f t="shared" si="14"/>
        <v>ok</v>
      </c>
      <c r="AO89" s="6" t="s">
        <v>5</v>
      </c>
    </row>
    <row r="90" spans="1:41">
      <c r="A90" s="7" t="s">
        <v>258</v>
      </c>
      <c r="B90" s="7" t="s">
        <v>257</v>
      </c>
      <c r="C90" s="7" t="s">
        <v>29</v>
      </c>
      <c r="D90" s="7">
        <v>32</v>
      </c>
      <c r="E90" s="7">
        <v>1000</v>
      </c>
      <c r="F90" s="7" t="s">
        <v>31</v>
      </c>
      <c r="G90" s="7" t="s">
        <v>32</v>
      </c>
      <c r="H90" s="7"/>
      <c r="I90" s="7"/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89"/>
      <c r="Y90" s="6">
        <v>29</v>
      </c>
      <c r="Z90" s="118">
        <v>65535</v>
      </c>
      <c r="AA90" s="6">
        <v>32768</v>
      </c>
      <c r="AB90" s="118">
        <v>65535</v>
      </c>
      <c r="AE90" s="96"/>
      <c r="AF90" s="270">
        <f>IF(V90=1,MAX($AF$6:AF89)+1,IF(AF89="#",0,IF(AND(D89=D90,K89=K90,L89=L90,M89=M90,N89=N90,O89=O90,P89=P90,Q89=Q90,R89=R90,S89=S90,T89=T90,U89=U90,V89=V90,W89=W90,HEX2DEC(SUBSTITUTE(AH89,"0x",""))&lt;HEX2DEC(SUBSTITUTE(AH90,"0x",""))),"",MAX($AF$6:AF89)+1)))</f>
        <v>50</v>
      </c>
      <c r="AG90" s="225">
        <f>IF(MAX(INDEX($AF:$AF,ROW($AG$6)):INDEX($AF:$AF,ROW(AG90)))+1=AF91,MAX(INDEX($AF:$AF,ROW($AG$6)):INDEX($AF:$AF,ROW(AG90))),"")</f>
        <v>50</v>
      </c>
      <c r="AH90" s="6" t="str">
        <f t="shared" si="10"/>
        <v>0x400002ee</v>
      </c>
      <c r="AI90" s="6">
        <f t="shared" si="11"/>
        <v>1073742574</v>
      </c>
      <c r="AJ90" s="6" t="str">
        <f t="shared" si="12"/>
        <v>0x400002ee</v>
      </c>
      <c r="AK90" s="6" t="str">
        <f t="shared" si="9"/>
        <v>0x400002ee</v>
      </c>
      <c r="AL90" s="6">
        <f t="shared" si="13"/>
        <v>32</v>
      </c>
      <c r="AN90" s="6" t="str">
        <f t="shared" si="14"/>
        <v>ok</v>
      </c>
      <c r="AO90" s="6" t="s">
        <v>5</v>
      </c>
    </row>
    <row r="91" spans="1:41">
      <c r="A91" s="7" t="s">
        <v>264</v>
      </c>
      <c r="B91" s="7" t="s">
        <v>263</v>
      </c>
      <c r="C91" s="7" t="s">
        <v>29</v>
      </c>
      <c r="D91" s="7">
        <v>8</v>
      </c>
      <c r="E91" s="7">
        <v>1000</v>
      </c>
      <c r="F91" s="7" t="s">
        <v>31</v>
      </c>
      <c r="G91" s="7" t="s">
        <v>32</v>
      </c>
      <c r="H91" s="7"/>
      <c r="I91" s="7"/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89"/>
      <c r="Y91" s="6">
        <v>29</v>
      </c>
      <c r="Z91" s="118">
        <v>65535</v>
      </c>
      <c r="AA91" s="6">
        <v>32768</v>
      </c>
      <c r="AB91" s="118">
        <v>65535</v>
      </c>
      <c r="AE91" s="96"/>
      <c r="AF91" s="270">
        <f>IF(V91=1,MAX($AF$6:AF90)+1,IF(AF90="#",0,IF(AND(D90=D91,K90=K91,L90=L91,M90=M91,N90=N91,O90=O91,P90=P91,Q90=Q91,R90=R91,S90=S91,T90=T91,U90=U91,V90=V91,W90=W91,HEX2DEC(SUBSTITUTE(AH90,"0x",""))&lt;HEX2DEC(SUBSTITUTE(AH91,"0x",""))),"",MAX($AF$6:AF90)+1)))</f>
        <v>51</v>
      </c>
      <c r="AG91" s="225">
        <f>IF(MAX(INDEX($AF:$AF,ROW($AG$6)):INDEX($AF:$AF,ROW(AG91)))+1=AF92,MAX(INDEX($AF:$AF,ROW($AG$6)):INDEX($AF:$AF,ROW(AG91))),"")</f>
        <v>51</v>
      </c>
      <c r="AH91" s="6" t="str">
        <f t="shared" si="10"/>
        <v>0x400002f9</v>
      </c>
      <c r="AI91" s="6">
        <f t="shared" si="11"/>
        <v>1073742585</v>
      </c>
      <c r="AJ91" s="6" t="str">
        <f t="shared" si="12"/>
        <v>0x400002f9</v>
      </c>
      <c r="AK91" s="6" t="str">
        <f t="shared" si="9"/>
        <v>0x400002f9</v>
      </c>
      <c r="AL91" s="6">
        <f t="shared" si="13"/>
        <v>8</v>
      </c>
      <c r="AN91" s="6" t="str">
        <f t="shared" si="14"/>
        <v>ok</v>
      </c>
      <c r="AO91" s="6" t="s">
        <v>5</v>
      </c>
    </row>
    <row r="92" spans="1:41">
      <c r="A92" s="7" t="s">
        <v>267</v>
      </c>
      <c r="B92" s="7" t="s">
        <v>266</v>
      </c>
      <c r="C92" s="7" t="s">
        <v>29</v>
      </c>
      <c r="D92" s="7">
        <v>32</v>
      </c>
      <c r="E92" s="7">
        <v>2000</v>
      </c>
      <c r="F92" s="7" t="s">
        <v>31</v>
      </c>
      <c r="G92" s="7" t="s">
        <v>32</v>
      </c>
      <c r="H92" s="7"/>
      <c r="I92" s="7"/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89"/>
      <c r="Y92" s="6">
        <v>29</v>
      </c>
      <c r="Z92" s="118">
        <v>65535</v>
      </c>
      <c r="AA92" s="6">
        <v>32768</v>
      </c>
      <c r="AB92" s="118">
        <v>65535</v>
      </c>
      <c r="AE92" s="96"/>
      <c r="AF92" s="270">
        <f>IF(V92=1,MAX($AF$6:AF91)+1,IF(AF91="#",0,IF(AND(D91=D92,K91=K92,L91=L92,M91=M92,N91=N92,O91=O92,P91=P92,Q91=Q92,R91=R92,S91=S92,T91=T92,U91=U92,V91=V92,W91=W92,HEX2DEC(SUBSTITUTE(AH91,"0x",""))&lt;HEX2DEC(SUBSTITUTE(AH92,"0x",""))),"",MAX($AF$6:AF91)+1)))</f>
        <v>52</v>
      </c>
      <c r="AG92" s="225">
        <f>IF(MAX(INDEX($AF:$AF,ROW($AG$6)):INDEX($AF:$AF,ROW(AG92)))+1=AF93,MAX(INDEX($AF:$AF,ROW($AG$6)):INDEX($AF:$AF,ROW(AG92))),"")</f>
        <v>52</v>
      </c>
      <c r="AH92" s="6" t="str">
        <f t="shared" si="10"/>
        <v>0x400002fd</v>
      </c>
      <c r="AI92" s="6">
        <f t="shared" si="11"/>
        <v>1073742589</v>
      </c>
      <c r="AJ92" s="6" t="str">
        <f t="shared" si="12"/>
        <v>0x400002fd</v>
      </c>
      <c r="AK92" s="6" t="str">
        <f t="shared" si="9"/>
        <v>0x400002fd</v>
      </c>
      <c r="AL92" s="6">
        <f t="shared" si="13"/>
        <v>32</v>
      </c>
      <c r="AN92" s="6" t="str">
        <f t="shared" si="14"/>
        <v>ok</v>
      </c>
    </row>
    <row r="93" spans="1:41">
      <c r="A93" s="7" t="s">
        <v>269</v>
      </c>
      <c r="B93" s="7" t="s">
        <v>268</v>
      </c>
      <c r="C93" s="7" t="s">
        <v>29</v>
      </c>
      <c r="D93" s="7">
        <v>8</v>
      </c>
      <c r="E93" s="7">
        <v>1000</v>
      </c>
      <c r="F93" s="7" t="s">
        <v>31</v>
      </c>
      <c r="G93" s="7" t="s">
        <v>32</v>
      </c>
      <c r="H93" s="7"/>
      <c r="I93" s="7"/>
      <c r="K93" s="6">
        <v>0</v>
      </c>
      <c r="L93" s="6">
        <v>0</v>
      </c>
      <c r="M93" s="6">
        <v>0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89"/>
      <c r="Y93" s="6">
        <v>29</v>
      </c>
      <c r="Z93" s="118">
        <v>65535</v>
      </c>
      <c r="AA93" s="6">
        <v>32768</v>
      </c>
      <c r="AB93" s="118">
        <v>65535</v>
      </c>
      <c r="AE93" s="96"/>
      <c r="AF93" s="270">
        <f>IF(V93=1,MAX($AF$6:AF92)+1,IF(AF92="#",0,IF(AND(D92=D93,K92=K93,L92=L93,M92=M93,N92=N93,O92=O93,P92=P93,Q92=Q93,R92=R93,S92=S93,T92=T93,U92=U93,V92=V93,W92=W93,HEX2DEC(SUBSTITUTE(AH92,"0x",""))&lt;HEX2DEC(SUBSTITUTE(AH93,"0x",""))),"",MAX($AF$6:AF92)+1)))</f>
        <v>53</v>
      </c>
      <c r="AG93" s="225" t="str">
        <f>IF(MAX(INDEX($AF:$AF,ROW($AG$6)):INDEX($AF:$AF,ROW(AG93)))+1=AF94,MAX(INDEX($AF:$AF,ROW($AG$6)):INDEX($AF:$AF,ROW(AG93))),"")</f>
        <v/>
      </c>
      <c r="AH93" s="6" t="str">
        <f t="shared" si="10"/>
        <v>0x40000305</v>
      </c>
      <c r="AI93" s="6">
        <f t="shared" si="11"/>
        <v>1073742597</v>
      </c>
      <c r="AJ93" s="6" t="str">
        <f t="shared" si="12"/>
        <v>0x40000305</v>
      </c>
      <c r="AK93" s="6" t="str">
        <f t="shared" si="9"/>
        <v>0x40000325</v>
      </c>
      <c r="AL93" s="6">
        <f t="shared" si="13"/>
        <v>8</v>
      </c>
      <c r="AN93" s="6" t="str">
        <f t="shared" si="14"/>
        <v>ok</v>
      </c>
      <c r="AO93" s="6" t="s">
        <v>5</v>
      </c>
    </row>
    <row r="94" spans="1:41">
      <c r="A94" s="7" t="s">
        <v>287</v>
      </c>
      <c r="B94" s="7" t="s">
        <v>288</v>
      </c>
      <c r="C94" s="7" t="s">
        <v>29</v>
      </c>
      <c r="D94" s="7">
        <v>8</v>
      </c>
      <c r="E94" s="7">
        <v>1000</v>
      </c>
      <c r="F94" s="7" t="s">
        <v>31</v>
      </c>
      <c r="G94" s="7" t="s">
        <v>32</v>
      </c>
      <c r="H94" s="7"/>
      <c r="I94" s="7"/>
      <c r="K94" s="6">
        <v>0</v>
      </c>
      <c r="L94" s="6">
        <v>0</v>
      </c>
      <c r="M94" s="6">
        <v>0</v>
      </c>
      <c r="N94" s="6">
        <v>1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89"/>
      <c r="Y94" s="6">
        <v>29</v>
      </c>
      <c r="Z94" s="118">
        <v>65535</v>
      </c>
      <c r="AA94" s="6">
        <v>32768</v>
      </c>
      <c r="AB94" s="118">
        <v>65535</v>
      </c>
      <c r="AE94" s="96"/>
      <c r="AF94" s="270" t="str">
        <f>IF(V94=1,MAX($AF$6:AF93)+1,IF(AF93="#",0,IF(AND(D93=D94,K93=K94,L93=L94,M93=M94,N93=N94,O93=O94,P93=P94,Q93=Q94,R93=R94,S93=S94,T93=T94,U93=U94,V93=V94,W93=W94,HEX2DEC(SUBSTITUTE(AH93,"0x",""))&lt;HEX2DEC(SUBSTITUTE(AH94,"0x",""))),"",MAX($AF$6:AF93)+1)))</f>
        <v/>
      </c>
      <c r="AG94" s="225">
        <f>IF(MAX(INDEX($AF:$AF,ROW($AG$6)):INDEX($AF:$AF,ROW(AG94)))+1=AF95,MAX(INDEX($AF:$AF,ROW($AG$6)):INDEX($AF:$AF,ROW(AG94))),"")</f>
        <v>53</v>
      </c>
      <c r="AH94" s="6" t="str">
        <f t="shared" si="10"/>
        <v>0x40000325</v>
      </c>
      <c r="AI94" s="6">
        <f t="shared" si="11"/>
        <v>1073742629</v>
      </c>
      <c r="AJ94" s="6" t="str">
        <f t="shared" si="12"/>
        <v/>
      </c>
      <c r="AK94" s="6" t="str">
        <f t="shared" si="9"/>
        <v/>
      </c>
      <c r="AL94" s="6" t="str">
        <f t="shared" si="13"/>
        <v/>
      </c>
      <c r="AN94" s="6" t="str">
        <f t="shared" si="14"/>
        <v>ok</v>
      </c>
    </row>
    <row r="95" spans="1:41">
      <c r="A95" s="7" t="s">
        <v>272</v>
      </c>
      <c r="B95" s="7" t="s">
        <v>271</v>
      </c>
      <c r="C95" s="7" t="s">
        <v>29</v>
      </c>
      <c r="D95" s="7">
        <v>8</v>
      </c>
      <c r="E95" s="7">
        <v>1000</v>
      </c>
      <c r="F95" s="7" t="s">
        <v>31</v>
      </c>
      <c r="G95" s="7" t="s">
        <v>32</v>
      </c>
      <c r="H95" s="7"/>
      <c r="I95" s="7"/>
      <c r="K95" s="6">
        <v>0</v>
      </c>
      <c r="L95" s="6">
        <v>0</v>
      </c>
      <c r="M95" s="6">
        <v>0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89"/>
      <c r="Y95" s="6">
        <v>29</v>
      </c>
      <c r="Z95" s="118">
        <v>65535</v>
      </c>
      <c r="AA95" s="6">
        <v>32768</v>
      </c>
      <c r="AB95" s="118">
        <v>65535</v>
      </c>
      <c r="AE95" s="96"/>
      <c r="AF95" s="270">
        <f>IF(V95=1,MAX($AF$6:AF94)+1,IF(AF94="#",0,IF(AND(D94=D95,K94=K95,L94=L95,M94=M95,N94=N95,O94=O95,P94=P95,Q94=Q95,R94=R95,S94=S95,T94=T95,U94=U95,V94=V95,W94=W95,HEX2DEC(SUBSTITUTE(AH94,"0x",""))&lt;HEX2DEC(SUBSTITUTE(AH95,"0x",""))),"",MAX($AF$6:AF94)+1)))</f>
        <v>54</v>
      </c>
      <c r="AG95" s="225">
        <f>IF(MAX(INDEX($AF:$AF,ROW($AG$6)):INDEX($AF:$AF,ROW(AG95)))+1=AF96,MAX(INDEX($AF:$AF,ROW($AG$6)):INDEX($AF:$AF,ROW(AG95))),"")</f>
        <v>54</v>
      </c>
      <c r="AH95" s="6" t="str">
        <f t="shared" si="10"/>
        <v>0x40000306</v>
      </c>
      <c r="AI95" s="6">
        <f t="shared" si="11"/>
        <v>1073742598</v>
      </c>
      <c r="AJ95" s="6" t="str">
        <f t="shared" si="12"/>
        <v>0x40000306</v>
      </c>
      <c r="AK95" s="6" t="str">
        <f t="shared" si="9"/>
        <v>0x40000306</v>
      </c>
      <c r="AL95" s="6">
        <f t="shared" si="13"/>
        <v>8</v>
      </c>
      <c r="AN95" s="6" t="str">
        <f t="shared" si="14"/>
        <v>not ok</v>
      </c>
      <c r="AO95" s="6" t="s">
        <v>5</v>
      </c>
    </row>
    <row r="96" spans="1:41">
      <c r="A96" s="7" t="s">
        <v>794</v>
      </c>
      <c r="B96" s="7" t="s">
        <v>274</v>
      </c>
      <c r="C96" s="7" t="s">
        <v>29</v>
      </c>
      <c r="D96" s="7">
        <v>32</v>
      </c>
      <c r="E96" s="7">
        <v>1000</v>
      </c>
      <c r="F96" s="7" t="s">
        <v>29</v>
      </c>
      <c r="G96" s="7" t="s">
        <v>32</v>
      </c>
      <c r="H96" s="7"/>
      <c r="I96" s="7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1</v>
      </c>
      <c r="W96" s="6">
        <v>0</v>
      </c>
      <c r="X96" s="89"/>
      <c r="Y96" s="6">
        <v>2</v>
      </c>
      <c r="Z96" s="87">
        <f>VLOOKUP(A96,SecOC_Cfg.h!$C$33:$D$61,2,FALSE)</f>
        <v>0</v>
      </c>
      <c r="AA96" s="118">
        <v>65535</v>
      </c>
      <c r="AB96" s="118">
        <v>65535</v>
      </c>
      <c r="AE96" s="96"/>
      <c r="AF96" s="270">
        <f>IF(V96=1,MAX($AF$6:AF95)+1,IF(AF95="#",0,IF(AND(D95=D96,K95=K96,L95=L96,M95=M96,N95=N96,O95=O96,P95=P96,Q95=Q96,R95=R96,S95=S96,T95=T96,U95=U96,V95=V96,W95=W96,HEX2DEC(SUBSTITUTE(AH95,"0x",""))&lt;HEX2DEC(SUBSTITUTE(AH96,"0x",""))),"",MAX($AF$6:AF95)+1)))</f>
        <v>55</v>
      </c>
      <c r="AG96" s="225">
        <f>IF(MAX(INDEX($AF:$AF,ROW($AG$6)):INDEX($AF:$AF,ROW(AG96)))+1=AF97,MAX(INDEX($AF:$AF,ROW($AG$6)):INDEX($AF:$AF,ROW(AG96))),"")</f>
        <v>55</v>
      </c>
      <c r="AH96" s="6" t="str">
        <f t="shared" si="10"/>
        <v>0x40000312</v>
      </c>
      <c r="AI96" s="6">
        <f t="shared" si="11"/>
        <v>1073742610</v>
      </c>
      <c r="AJ96" s="6" t="str">
        <f t="shared" si="12"/>
        <v>0x40000312</v>
      </c>
      <c r="AK96" s="6" t="str">
        <f t="shared" si="9"/>
        <v>0x40000312</v>
      </c>
      <c r="AL96" s="6">
        <f t="shared" si="13"/>
        <v>32</v>
      </c>
      <c r="AN96" s="6" t="str">
        <f t="shared" si="14"/>
        <v>ok</v>
      </c>
      <c r="AO96" s="6" t="s">
        <v>5</v>
      </c>
    </row>
    <row r="97" spans="1:41">
      <c r="A97" s="7" t="s">
        <v>278</v>
      </c>
      <c r="B97" s="7" t="s">
        <v>277</v>
      </c>
      <c r="C97" s="7" t="s">
        <v>29</v>
      </c>
      <c r="D97" s="7">
        <v>8</v>
      </c>
      <c r="E97" s="7">
        <v>1000</v>
      </c>
      <c r="F97" s="7" t="s">
        <v>31</v>
      </c>
      <c r="G97" s="7" t="s">
        <v>32</v>
      </c>
      <c r="H97" s="7"/>
      <c r="I97" s="7"/>
      <c r="K97" s="6">
        <v>0</v>
      </c>
      <c r="L97" s="6">
        <v>0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89"/>
      <c r="Y97" s="6">
        <v>29</v>
      </c>
      <c r="Z97" s="118">
        <v>65535</v>
      </c>
      <c r="AA97" s="6">
        <v>32768</v>
      </c>
      <c r="AB97" s="118">
        <v>65535</v>
      </c>
      <c r="AE97" s="96"/>
      <c r="AF97" s="270">
        <f>IF(V97=1,MAX($AF$6:AF96)+1,IF(AF96="#",0,IF(AND(D96=D97,K96=K97,L96=L97,M96=M97,N96=N97,O96=O97,P96=P97,Q96=Q97,R96=R97,S96=S97,T96=T97,U96=U97,V96=V97,W96=W97,HEX2DEC(SUBSTITUTE(AH96,"0x",""))&lt;HEX2DEC(SUBSTITUTE(AH97,"0x",""))),"",MAX($AF$6:AF96)+1)))</f>
        <v>56</v>
      </c>
      <c r="AG97" s="225" t="str">
        <f>IF(MAX(INDEX($AF:$AF,ROW($AG$6)):INDEX($AF:$AF,ROW(AG97)))+1=AF98,MAX(INDEX($AF:$AF,ROW($AG$6)):INDEX($AF:$AF,ROW(AG97))),"")</f>
        <v/>
      </c>
      <c r="AH97" s="6" t="str">
        <f t="shared" si="10"/>
        <v>0x40000314</v>
      </c>
      <c r="AI97" s="6">
        <f t="shared" si="11"/>
        <v>1073742612</v>
      </c>
      <c r="AJ97" s="6" t="str">
        <f t="shared" si="12"/>
        <v>0x40000314</v>
      </c>
      <c r="AK97" s="6" t="str">
        <f t="shared" si="9"/>
        <v>0x40000317</v>
      </c>
      <c r="AL97" s="6">
        <f t="shared" si="13"/>
        <v>8</v>
      </c>
      <c r="AN97" s="6" t="str">
        <f t="shared" si="14"/>
        <v>ok</v>
      </c>
    </row>
    <row r="98" spans="1:41">
      <c r="A98" s="7" t="s">
        <v>281</v>
      </c>
      <c r="B98" s="7" t="s">
        <v>280</v>
      </c>
      <c r="C98" s="7" t="s">
        <v>29</v>
      </c>
      <c r="D98" s="7">
        <v>8</v>
      </c>
      <c r="E98" s="7">
        <v>1000</v>
      </c>
      <c r="F98" s="7" t="s">
        <v>31</v>
      </c>
      <c r="G98" s="7" t="s">
        <v>32</v>
      </c>
      <c r="H98" s="7"/>
      <c r="I98" s="7"/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89"/>
      <c r="Y98" s="6">
        <v>29</v>
      </c>
      <c r="Z98" s="118">
        <v>65535</v>
      </c>
      <c r="AA98" s="6">
        <v>32768</v>
      </c>
      <c r="AB98" s="118">
        <v>65535</v>
      </c>
      <c r="AE98" s="96"/>
      <c r="AF98" s="270" t="str">
        <f>IF(V98=1,MAX($AF$6:AF97)+1,IF(AF97="#",0,IF(AND(D97=D98,K97=K98,L97=L98,M97=M98,N97=N98,O97=O98,P97=P98,Q97=Q98,R97=R98,S97=S98,T97=T98,U97=U98,V97=V98,W97=W98,HEX2DEC(SUBSTITUTE(AH97,"0x",""))&lt;HEX2DEC(SUBSTITUTE(AH98,"0x",""))),"",MAX($AF$6:AF97)+1)))</f>
        <v/>
      </c>
      <c r="AG98" s="225">
        <f>IF(MAX(INDEX($AF:$AF,ROW($AG$6)):INDEX($AF:$AF,ROW(AG98)))+1=AF99,MAX(INDEX($AF:$AF,ROW($AG$6)):INDEX($AF:$AF,ROW(AG98))),"")</f>
        <v>56</v>
      </c>
      <c r="AH98" s="6" t="str">
        <f t="shared" si="10"/>
        <v>0x40000317</v>
      </c>
      <c r="AI98" s="6">
        <f t="shared" si="11"/>
        <v>1073742615</v>
      </c>
      <c r="AJ98" s="6" t="str">
        <f t="shared" si="12"/>
        <v/>
      </c>
      <c r="AK98" s="6" t="str">
        <f t="shared" si="9"/>
        <v/>
      </c>
      <c r="AL98" s="6" t="str">
        <f t="shared" si="13"/>
        <v/>
      </c>
      <c r="AN98" s="6" t="str">
        <f t="shared" si="14"/>
        <v>ok</v>
      </c>
      <c r="AO98" s="6" t="s">
        <v>5</v>
      </c>
    </row>
    <row r="99" spans="1:41">
      <c r="A99" s="7" t="s">
        <v>291</v>
      </c>
      <c r="B99" s="7" t="s">
        <v>290</v>
      </c>
      <c r="C99" s="7" t="s">
        <v>29</v>
      </c>
      <c r="D99" s="7">
        <v>64</v>
      </c>
      <c r="E99" s="7">
        <v>1000</v>
      </c>
      <c r="F99" s="7" t="s">
        <v>31</v>
      </c>
      <c r="G99" s="7" t="s">
        <v>32</v>
      </c>
      <c r="H99" s="7"/>
      <c r="I99" s="7"/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89"/>
      <c r="Y99" s="6">
        <v>29</v>
      </c>
      <c r="Z99" s="118">
        <v>65535</v>
      </c>
      <c r="AA99" s="6">
        <v>32768</v>
      </c>
      <c r="AB99" s="118">
        <v>65535</v>
      </c>
      <c r="AE99" s="96"/>
      <c r="AF99" s="270">
        <f>IF(V99=1,MAX($AF$6:AF98)+1,IF(AF98="#",0,IF(AND(D98=D99,K98=K99,L98=L99,M98=M99,N98=N99,O98=O99,P98=P99,Q98=Q99,R98=R99,S98=S99,T98=T99,U98=U99,V98=V99,W98=W99,HEX2DEC(SUBSTITUTE(AH98,"0x",""))&lt;HEX2DEC(SUBSTITUTE(AH99,"0x",""))),"",MAX($AF$6:AF98)+1)))</f>
        <v>57</v>
      </c>
      <c r="AG99" s="225">
        <f>IF(MAX(INDEX($AF:$AF,ROW($AG$6)):INDEX($AF:$AF,ROW(AG99)))+1=AF100,MAX(INDEX($AF:$AF,ROW($AG$6)):INDEX($AF:$AF,ROW(AG99))),"")</f>
        <v>57</v>
      </c>
      <c r="AH99" s="6" t="str">
        <f t="shared" si="10"/>
        <v>0x4000031f</v>
      </c>
      <c r="AI99" s="6">
        <f t="shared" si="11"/>
        <v>1073742623</v>
      </c>
      <c r="AJ99" s="6" t="str">
        <f t="shared" si="12"/>
        <v>0x4000031f</v>
      </c>
      <c r="AK99" s="6" t="str">
        <f t="shared" si="9"/>
        <v>0x4000031f</v>
      </c>
      <c r="AL99" s="6">
        <f t="shared" si="13"/>
        <v>64</v>
      </c>
      <c r="AN99" s="6" t="str">
        <f t="shared" si="14"/>
        <v>ok</v>
      </c>
      <c r="AO99" s="6" t="s">
        <v>5</v>
      </c>
    </row>
    <row r="100" spans="1:41">
      <c r="A100" s="7" t="s">
        <v>305</v>
      </c>
      <c r="B100" s="7" t="s">
        <v>306</v>
      </c>
      <c r="C100" s="7" t="s">
        <v>29</v>
      </c>
      <c r="D100" s="7">
        <v>32</v>
      </c>
      <c r="E100" s="7">
        <v>1000</v>
      </c>
      <c r="F100" s="7" t="s">
        <v>31</v>
      </c>
      <c r="G100" s="7" t="s">
        <v>32</v>
      </c>
      <c r="H100" s="7"/>
      <c r="I100" s="7"/>
      <c r="K100" s="6">
        <v>0</v>
      </c>
      <c r="L100" s="6">
        <v>0</v>
      </c>
      <c r="M100" s="6">
        <v>0</v>
      </c>
      <c r="N100" s="6">
        <v>1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89"/>
      <c r="Y100" s="6">
        <v>29</v>
      </c>
      <c r="Z100" s="118">
        <v>65535</v>
      </c>
      <c r="AA100" s="6">
        <v>32768</v>
      </c>
      <c r="AB100" s="118">
        <v>65535</v>
      </c>
      <c r="AE100" s="96"/>
      <c r="AF100" s="270">
        <f>IF(V100=1,MAX($AF$6:AF99)+1,IF(AF99="#",0,IF(AND(D99=D100,K99=K100,L99=L100,M99=M100,N99=N100,O99=O100,P99=P100,Q99=Q100,R99=R100,S99=S100,T99=T100,U99=U100,V99=V100,W99=W100,HEX2DEC(SUBSTITUTE(AH99,"0x",""))&lt;HEX2DEC(SUBSTITUTE(AH100,"0x",""))),"",MAX($AF$6:AF99)+1)))</f>
        <v>58</v>
      </c>
      <c r="AG100" s="225" t="str">
        <f>IF(MAX(INDEX($AF:$AF,ROW($AG$6)):INDEX($AF:$AF,ROW(AG100)))+1=AF101,MAX(INDEX($AF:$AF,ROW($AG$6)):INDEX($AF:$AF,ROW(AG100))),"")</f>
        <v/>
      </c>
      <c r="AH100" s="6" t="str">
        <f t="shared" si="10"/>
        <v>0x40000337</v>
      </c>
      <c r="AI100" s="6">
        <f t="shared" si="11"/>
        <v>1073742647</v>
      </c>
      <c r="AJ100" s="6" t="str">
        <f t="shared" si="12"/>
        <v>0x40000337</v>
      </c>
      <c r="AK100" s="6" t="str">
        <f t="shared" si="9"/>
        <v>0x4000033f</v>
      </c>
      <c r="AL100" s="6">
        <f t="shared" si="13"/>
        <v>32</v>
      </c>
      <c r="AN100" s="6" t="str">
        <f t="shared" si="14"/>
        <v>ok</v>
      </c>
    </row>
    <row r="101" spans="1:41">
      <c r="A101" s="7" t="s">
        <v>310</v>
      </c>
      <c r="B101" s="7" t="s">
        <v>311</v>
      </c>
      <c r="C101" s="7" t="s">
        <v>29</v>
      </c>
      <c r="D101" s="7">
        <v>32</v>
      </c>
      <c r="E101" s="7">
        <v>1000</v>
      </c>
      <c r="F101" s="7" t="s">
        <v>31</v>
      </c>
      <c r="G101" s="7" t="s">
        <v>32</v>
      </c>
      <c r="H101" s="7"/>
      <c r="I101" s="7"/>
      <c r="K101" s="6">
        <v>0</v>
      </c>
      <c r="L101" s="6">
        <v>0</v>
      </c>
      <c r="M101" s="6">
        <v>0</v>
      </c>
      <c r="N101" s="6">
        <v>1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89"/>
      <c r="Y101" s="6">
        <v>29</v>
      </c>
      <c r="Z101" s="118">
        <v>65535</v>
      </c>
      <c r="AA101" s="6">
        <v>32768</v>
      </c>
      <c r="AB101" s="118">
        <v>65535</v>
      </c>
      <c r="AE101" s="96"/>
      <c r="AF101" s="270" t="str">
        <f>IF(V101=1,MAX($AF$6:AF100)+1,IF(AF100="#",0,IF(AND(D100=D101,K100=K101,L100=L101,M100=M101,N100=N101,O100=O101,P100=P101,Q100=Q101,R100=R101,S100=S101,T100=T101,U100=U101,V100=V101,W100=W101,HEX2DEC(SUBSTITUTE(AH100,"0x",""))&lt;HEX2DEC(SUBSTITUTE(AH101,"0x",""))),"",MAX($AF$6:AF100)+1)))</f>
        <v/>
      </c>
      <c r="AG101" s="225">
        <f>IF(MAX(INDEX($AF:$AF,ROW($AG$6)):INDEX($AF:$AF,ROW(AG101)))+1=AF102,MAX(INDEX($AF:$AF,ROW($AG$6)):INDEX($AF:$AF,ROW(AG101))),"")</f>
        <v>58</v>
      </c>
      <c r="AH101" s="6" t="str">
        <f t="shared" si="10"/>
        <v>0x4000033f</v>
      </c>
      <c r="AI101" s="6">
        <f t="shared" si="11"/>
        <v>1073742655</v>
      </c>
      <c r="AJ101" s="6" t="str">
        <f t="shared" si="12"/>
        <v/>
      </c>
      <c r="AK101" s="6" t="str">
        <f t="shared" si="9"/>
        <v/>
      </c>
      <c r="AL101" s="6" t="str">
        <f t="shared" si="13"/>
        <v/>
      </c>
      <c r="AN101" s="6" t="str">
        <f t="shared" si="14"/>
        <v>ok</v>
      </c>
    </row>
    <row r="102" spans="1:41">
      <c r="A102" s="7" t="s">
        <v>283</v>
      </c>
      <c r="B102" s="7" t="s">
        <v>282</v>
      </c>
      <c r="C102" s="7" t="s">
        <v>29</v>
      </c>
      <c r="D102" s="7">
        <v>8</v>
      </c>
      <c r="E102" s="7">
        <v>1000</v>
      </c>
      <c r="F102" s="7" t="s">
        <v>31</v>
      </c>
      <c r="G102" s="7" t="s">
        <v>32</v>
      </c>
      <c r="H102" s="7"/>
      <c r="I102" s="7"/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89"/>
      <c r="Y102" s="6">
        <v>29</v>
      </c>
      <c r="Z102" s="118">
        <v>65535</v>
      </c>
      <c r="AA102" s="6">
        <v>32768</v>
      </c>
      <c r="AB102" s="118">
        <v>65535</v>
      </c>
      <c r="AE102" s="96"/>
      <c r="AF102" s="270">
        <f>IF(V102=1,MAX($AF$6:AF101)+1,IF(AF101="#",0,IF(AND(D101=D102,K101=K102,L101=L102,M101=M102,N101=N102,O101=O102,P101=P102,Q101=Q102,R101=R102,S101=S102,T101=T102,U101=U102,V101=V102,W101=W102,HEX2DEC(SUBSTITUTE(AH101,"0x",""))&lt;HEX2DEC(SUBSTITUTE(AH102,"0x",""))),"",MAX($AF$6:AF101)+1)))</f>
        <v>59</v>
      </c>
      <c r="AG102" s="225">
        <f>IF(MAX(INDEX($AF:$AF,ROW($AG$6)):INDEX($AF:$AF,ROW(AG102)))+1=AF103,MAX(INDEX($AF:$AF,ROW($AG$6)):INDEX($AF:$AF,ROW(AG102))),"")</f>
        <v>59</v>
      </c>
      <c r="AH102" s="6" t="str">
        <f t="shared" si="10"/>
        <v>0x40000318</v>
      </c>
      <c r="AI102" s="6">
        <f t="shared" si="11"/>
        <v>1073742616</v>
      </c>
      <c r="AJ102" s="6" t="str">
        <f t="shared" si="12"/>
        <v>0x40000318</v>
      </c>
      <c r="AK102" s="6" t="str">
        <f t="shared" si="9"/>
        <v>0x40000318</v>
      </c>
      <c r="AL102" s="6">
        <f t="shared" si="13"/>
        <v>8</v>
      </c>
      <c r="AN102" s="6" t="str">
        <f t="shared" si="14"/>
        <v>not ok</v>
      </c>
    </row>
    <row r="103" spans="1:41">
      <c r="A103" s="7" t="s">
        <v>315</v>
      </c>
      <c r="B103" s="7" t="s">
        <v>316</v>
      </c>
      <c r="C103" s="7" t="s">
        <v>29</v>
      </c>
      <c r="D103" s="7">
        <v>32</v>
      </c>
      <c r="E103" s="7">
        <v>1000</v>
      </c>
      <c r="F103" s="7" t="s">
        <v>31</v>
      </c>
      <c r="G103" s="7" t="s">
        <v>32</v>
      </c>
      <c r="H103" s="7"/>
      <c r="I103" s="7"/>
      <c r="K103" s="6">
        <v>0</v>
      </c>
      <c r="L103" s="6">
        <v>0</v>
      </c>
      <c r="M103" s="6">
        <v>0</v>
      </c>
      <c r="N103" s="6">
        <v>1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89"/>
      <c r="Y103" s="6">
        <v>29</v>
      </c>
      <c r="Z103" s="118">
        <v>65535</v>
      </c>
      <c r="AA103" s="6">
        <v>32768</v>
      </c>
      <c r="AB103" s="118">
        <v>65535</v>
      </c>
      <c r="AE103" s="96"/>
      <c r="AF103" s="270">
        <f>IF(V103=1,MAX($AF$6:AF102)+1,IF(AF102="#",0,IF(AND(D102=D103,K102=K103,L102=L103,M102=M103,N102=N103,O102=O103,P102=P103,Q102=Q103,R102=R103,S102=S103,T102=T103,U102=U103,V102=V103,W102=W103,HEX2DEC(SUBSTITUTE(AH102,"0x",""))&lt;HEX2DEC(SUBSTITUTE(AH103,"0x",""))),"",MAX($AF$6:AF102)+1)))</f>
        <v>60</v>
      </c>
      <c r="AG103" s="225">
        <f>IF(MAX(INDEX($AF:$AF,ROW($AG$6)):INDEX($AF:$AF,ROW(AG103)))+1=AF104,MAX(INDEX($AF:$AF,ROW($AG$6)):INDEX($AF:$AF,ROW(AG103))),"")</f>
        <v>60</v>
      </c>
      <c r="AH103" s="6" t="str">
        <f t="shared" si="10"/>
        <v>0x40000398</v>
      </c>
      <c r="AI103" s="6">
        <f t="shared" si="11"/>
        <v>1073742744</v>
      </c>
      <c r="AJ103" s="6" t="str">
        <f t="shared" si="12"/>
        <v>0x40000398</v>
      </c>
      <c r="AK103" s="6" t="str">
        <f t="shared" si="9"/>
        <v>0x40000398</v>
      </c>
      <c r="AL103" s="6">
        <f t="shared" si="13"/>
        <v>32</v>
      </c>
      <c r="AN103" s="6" t="str">
        <f t="shared" si="14"/>
        <v>ok</v>
      </c>
      <c r="AO103" s="6" t="s">
        <v>5</v>
      </c>
    </row>
    <row r="104" spans="1:41">
      <c r="A104" s="7" t="s">
        <v>286</v>
      </c>
      <c r="B104" s="7" t="s">
        <v>285</v>
      </c>
      <c r="C104" s="7" t="s">
        <v>29</v>
      </c>
      <c r="D104" s="7">
        <v>64</v>
      </c>
      <c r="E104" s="7">
        <v>1000</v>
      </c>
      <c r="F104" s="7" t="s">
        <v>31</v>
      </c>
      <c r="G104" s="7" t="s">
        <v>32</v>
      </c>
      <c r="H104" s="7"/>
      <c r="I104" s="7"/>
      <c r="K104" s="6">
        <v>0</v>
      </c>
      <c r="L104" s="6">
        <v>0</v>
      </c>
      <c r="M104" s="6">
        <v>0</v>
      </c>
      <c r="N104" s="6">
        <v>1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89"/>
      <c r="Y104" s="6">
        <v>29</v>
      </c>
      <c r="Z104" s="118">
        <v>65535</v>
      </c>
      <c r="AA104" s="6">
        <v>32768</v>
      </c>
      <c r="AB104" s="118">
        <v>65535</v>
      </c>
      <c r="AE104" s="96"/>
      <c r="AF104" s="270">
        <f>IF(V104=1,MAX($AF$6:AF103)+1,IF(AF103="#",0,IF(AND(D103=D104,K103=K104,L103=L104,M103=M104,N103=N104,O103=O104,P103=P104,Q103=Q104,R103=R104,S103=S104,T103=T104,U103=U104,V103=V104,W103=W104,HEX2DEC(SUBSTITUTE(AH103,"0x",""))&lt;HEX2DEC(SUBSTITUTE(AH104,"0x",""))),"",MAX($AF$6:AF103)+1)))</f>
        <v>61</v>
      </c>
      <c r="AG104" s="225">
        <f>IF(MAX(INDEX($AF:$AF,ROW($AG$6)):INDEX($AF:$AF,ROW(AG104)))+1=AF105,MAX(INDEX($AF:$AF,ROW($AG$6)):INDEX($AF:$AF,ROW(AG104))),"")</f>
        <v>61</v>
      </c>
      <c r="AH104" s="6" t="str">
        <f t="shared" si="10"/>
        <v>0x4000031e</v>
      </c>
      <c r="AI104" s="6">
        <f t="shared" si="11"/>
        <v>1073742622</v>
      </c>
      <c r="AJ104" s="6" t="str">
        <f t="shared" si="12"/>
        <v>0x4000031e</v>
      </c>
      <c r="AK104" s="6" t="str">
        <f t="shared" si="9"/>
        <v>0x4000031e</v>
      </c>
      <c r="AL104" s="6">
        <f t="shared" si="13"/>
        <v>64</v>
      </c>
      <c r="AN104" s="6" t="str">
        <f>IF(AI105&lt;AI104,"ok","not ok")</f>
        <v>not ok</v>
      </c>
    </row>
    <row r="105" spans="1:41">
      <c r="A105" s="7" t="s">
        <v>293</v>
      </c>
      <c r="B105" s="7" t="s">
        <v>292</v>
      </c>
      <c r="C105" s="7" t="s">
        <v>29</v>
      </c>
      <c r="D105" s="7">
        <v>32</v>
      </c>
      <c r="E105" s="7">
        <v>1000</v>
      </c>
      <c r="F105" s="7" t="s">
        <v>31</v>
      </c>
      <c r="G105" s="7" t="s">
        <v>32</v>
      </c>
      <c r="H105" s="7"/>
      <c r="I105" s="7"/>
      <c r="K105" s="6">
        <v>0</v>
      </c>
      <c r="L105" s="6">
        <v>0</v>
      </c>
      <c r="M105" s="6">
        <v>0</v>
      </c>
      <c r="N105" s="6">
        <v>1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89"/>
      <c r="Y105" s="6">
        <v>29</v>
      </c>
      <c r="Z105" s="118">
        <v>65535</v>
      </c>
      <c r="AA105" s="6">
        <v>32768</v>
      </c>
      <c r="AB105" s="118">
        <v>65535</v>
      </c>
      <c r="AE105" s="96"/>
      <c r="AF105" s="270">
        <f>IF(V105=1,MAX($AF$6:AF104)+1,IF(AF104="#",0,IF(AND(D104=D105,K104=K105,L104=L105,M104=M105,N104=N105,O104=O105,P104=P105,Q104=Q105,R104=R105,S104=S105,T104=T105,U104=U105,V104=V105,W104=W105,HEX2DEC(SUBSTITUTE(AH104,"0x",""))&lt;HEX2DEC(SUBSTITUTE(AH105,"0x",""))),"",MAX($AF$6:AF104)+1)))</f>
        <v>62</v>
      </c>
      <c r="AG105" s="225">
        <f>IF(MAX(INDEX($AF:$AF,ROW($AG$6)):INDEX($AF:$AF,ROW(AG105)))+1=AF106,MAX(INDEX($AF:$AF,ROW($AG$6)):INDEX($AF:$AF,ROW(AG105))),"")</f>
        <v>62</v>
      </c>
      <c r="AH105" s="6" t="str">
        <f t="shared" si="10"/>
        <v>0x40000320</v>
      </c>
      <c r="AI105" s="6">
        <f t="shared" si="11"/>
        <v>1073742624</v>
      </c>
      <c r="AJ105" s="6" t="str">
        <f t="shared" si="12"/>
        <v>0x40000320</v>
      </c>
      <c r="AK105" s="6" t="str">
        <f t="shared" si="9"/>
        <v>0x40000320</v>
      </c>
      <c r="AL105" s="6">
        <f t="shared" si="13"/>
        <v>32</v>
      </c>
      <c r="AN105" s="6" t="str">
        <f>IF(AI103&lt;AI105,"ok","not ok")</f>
        <v>not ok</v>
      </c>
      <c r="AO105" s="6" t="s">
        <v>5</v>
      </c>
    </row>
    <row r="106" spans="1:41">
      <c r="A106" s="7" t="s">
        <v>295</v>
      </c>
      <c r="B106" s="7" t="s">
        <v>294</v>
      </c>
      <c r="C106" s="7" t="s">
        <v>29</v>
      </c>
      <c r="D106" s="7">
        <v>64</v>
      </c>
      <c r="E106" s="7">
        <v>1000</v>
      </c>
      <c r="F106" s="7" t="s">
        <v>31</v>
      </c>
      <c r="G106" s="7" t="s">
        <v>32</v>
      </c>
      <c r="H106" s="7"/>
      <c r="I106" s="7"/>
      <c r="K106" s="6">
        <v>0</v>
      </c>
      <c r="L106" s="6">
        <v>0</v>
      </c>
      <c r="M106" s="6">
        <v>0</v>
      </c>
      <c r="N106" s="6">
        <v>1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89"/>
      <c r="Y106" s="6">
        <v>29</v>
      </c>
      <c r="Z106" s="118">
        <v>65535</v>
      </c>
      <c r="AA106" s="6">
        <v>32768</v>
      </c>
      <c r="AB106" s="118">
        <v>65535</v>
      </c>
      <c r="AE106" s="96"/>
      <c r="AF106" s="270">
        <f>IF(V106=1,MAX($AF$6:AF105)+1,IF(AF105="#",0,IF(AND(D105=D106,K105=K106,L105=L106,M105=M106,N105=N106,O105=O106,P105=P106,Q105=Q106,R105=R106,S105=S106,T105=T106,U105=U106,V105=V106,W105=W106,HEX2DEC(SUBSTITUTE(AH105,"0x",""))&lt;HEX2DEC(SUBSTITUTE(AH106,"0x",""))),"",MAX($AF$6:AF105)+1)))</f>
        <v>63</v>
      </c>
      <c r="AG106" s="225">
        <f>IF(MAX(INDEX($AF:$AF,ROW($AG$6)):INDEX($AF:$AF,ROW(AG106)))+1=AF107,MAX(INDEX($AF:$AF,ROW($AG$6)):INDEX($AF:$AF,ROW(AG106))),"")</f>
        <v>63</v>
      </c>
      <c r="AH106" s="6" t="str">
        <f t="shared" si="10"/>
        <v>0x40000321</v>
      </c>
      <c r="AI106" s="6">
        <f t="shared" si="11"/>
        <v>1073742625</v>
      </c>
      <c r="AJ106" s="6" t="str">
        <f t="shared" si="12"/>
        <v>0x40000321</v>
      </c>
      <c r="AK106" s="6" t="str">
        <f t="shared" si="9"/>
        <v>0x40000321</v>
      </c>
      <c r="AL106" s="6">
        <f t="shared" si="13"/>
        <v>64</v>
      </c>
      <c r="AN106" s="6" t="str">
        <f>IF(AI104&lt;AI106,"ok","not ok")</f>
        <v>ok</v>
      </c>
      <c r="AO106" s="6" t="s">
        <v>5</v>
      </c>
    </row>
    <row r="107" spans="1:41">
      <c r="A107" s="7" t="s">
        <v>299</v>
      </c>
      <c r="B107" s="7" t="s">
        <v>298</v>
      </c>
      <c r="C107" s="7" t="s">
        <v>29</v>
      </c>
      <c r="D107" s="7">
        <v>8</v>
      </c>
      <c r="E107" s="7">
        <v>1000</v>
      </c>
      <c r="F107" s="7" t="s">
        <v>31</v>
      </c>
      <c r="G107" s="7" t="s">
        <v>32</v>
      </c>
      <c r="H107" s="7"/>
      <c r="I107" s="7"/>
      <c r="K107" s="6">
        <v>0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89"/>
      <c r="Y107" s="6">
        <v>29</v>
      </c>
      <c r="Z107" s="118">
        <v>65535</v>
      </c>
      <c r="AA107" s="6">
        <v>32768</v>
      </c>
      <c r="AB107" s="118">
        <v>65535</v>
      </c>
      <c r="AE107" s="96"/>
      <c r="AF107" s="270">
        <f>IF(V107=1,MAX($AF$6:AF106)+1,IF(AF106="#",0,IF(AND(D106=D107,K106=K107,L106=L107,M106=M107,N106=N107,O106=O107,P106=P107,Q106=Q107,R106=R107,S106=S107,T106=T107,U106=U107,V106=V107,W106=W107,HEX2DEC(SUBSTITUTE(AH106,"0x",""))&lt;HEX2DEC(SUBSTITUTE(AH107,"0x",""))),"",MAX($AF$6:AF106)+1)))</f>
        <v>64</v>
      </c>
      <c r="AG107" s="225">
        <f>IF(MAX(INDEX($AF:$AF,ROW($AG$6)):INDEX($AF:$AF,ROW(AG107)))+1=AF108,MAX(INDEX($AF:$AF,ROW($AG$6)):INDEX($AF:$AF,ROW(AG107))),"")</f>
        <v>64</v>
      </c>
      <c r="AH107" s="6" t="str">
        <f t="shared" si="10"/>
        <v>0x40000328</v>
      </c>
      <c r="AI107" s="6">
        <f t="shared" si="11"/>
        <v>1073742632</v>
      </c>
      <c r="AJ107" s="6" t="str">
        <f t="shared" si="12"/>
        <v>0x40000328</v>
      </c>
      <c r="AK107" s="6" t="str">
        <f t="shared" si="9"/>
        <v>0x40000328</v>
      </c>
      <c r="AL107" s="6">
        <f t="shared" si="13"/>
        <v>8</v>
      </c>
      <c r="AN107" s="6" t="str">
        <f t="shared" si="14"/>
        <v>ok</v>
      </c>
    </row>
    <row r="108" spans="1:41">
      <c r="A108" s="7" t="s">
        <v>301</v>
      </c>
      <c r="B108" s="7" t="s">
        <v>300</v>
      </c>
      <c r="C108" s="7" t="s">
        <v>29</v>
      </c>
      <c r="D108" s="7">
        <v>32</v>
      </c>
      <c r="E108" s="7">
        <v>1000</v>
      </c>
      <c r="F108" s="7" t="s">
        <v>31</v>
      </c>
      <c r="G108" s="7" t="s">
        <v>32</v>
      </c>
      <c r="H108" s="7"/>
      <c r="I108" s="7"/>
      <c r="K108" s="6">
        <v>0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89"/>
      <c r="Y108" s="6">
        <v>29</v>
      </c>
      <c r="Z108" s="118">
        <v>65535</v>
      </c>
      <c r="AA108" s="6">
        <v>32768</v>
      </c>
      <c r="AB108" s="118">
        <v>65535</v>
      </c>
      <c r="AE108" s="96"/>
      <c r="AF108" s="270">
        <f>IF(V108=1,MAX($AF$6:AF107)+1,IF(AF107="#",0,IF(AND(D107=D108,K107=K108,L107=L108,M107=M108,N107=N108,O107=O108,P107=P108,Q107=Q108,R107=R108,S107=S108,T107=T108,U107=U108,V107=V108,W107=W108,HEX2DEC(SUBSTITUTE(AH107,"0x",""))&lt;HEX2DEC(SUBSTITUTE(AH108,"0x",""))),"",MAX($AF$6:AF107)+1)))</f>
        <v>65</v>
      </c>
      <c r="AG108" s="225" t="str">
        <f>IF(MAX(INDEX($AF:$AF,ROW($AG$6)):INDEX($AF:$AF,ROW(AG108)))+1=AF109,MAX(INDEX($AF:$AF,ROW($AG$6)):INDEX($AF:$AF,ROW(AG108))),"")</f>
        <v/>
      </c>
      <c r="AH108" s="6" t="str">
        <f t="shared" si="10"/>
        <v>0x4000032a</v>
      </c>
      <c r="AI108" s="6">
        <f t="shared" si="11"/>
        <v>1073742634</v>
      </c>
      <c r="AJ108" s="6" t="str">
        <f t="shared" si="12"/>
        <v>0x4000032a</v>
      </c>
      <c r="AK108" s="6" t="str">
        <f t="shared" si="9"/>
        <v>0x4000036a</v>
      </c>
      <c r="AL108" s="6">
        <f t="shared" si="13"/>
        <v>32</v>
      </c>
      <c r="AN108" s="6" t="str">
        <f t="shared" si="14"/>
        <v>ok</v>
      </c>
      <c r="AO108" s="6" t="s">
        <v>5</v>
      </c>
    </row>
    <row r="109" spans="1:41">
      <c r="A109" s="7" t="s">
        <v>331</v>
      </c>
      <c r="B109" s="7" t="s">
        <v>332</v>
      </c>
      <c r="C109" s="7" t="s">
        <v>29</v>
      </c>
      <c r="D109" s="7">
        <v>32</v>
      </c>
      <c r="E109" s="7">
        <v>1000</v>
      </c>
      <c r="F109" s="7" t="s">
        <v>31</v>
      </c>
      <c r="G109" s="7" t="s">
        <v>32</v>
      </c>
      <c r="H109" s="7"/>
      <c r="I109" s="7"/>
      <c r="K109" s="6">
        <v>0</v>
      </c>
      <c r="L109" s="6">
        <v>0</v>
      </c>
      <c r="M109" s="6">
        <v>0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89"/>
      <c r="Y109" s="6">
        <v>29</v>
      </c>
      <c r="Z109" s="118">
        <v>65535</v>
      </c>
      <c r="AA109" s="6">
        <v>32768</v>
      </c>
      <c r="AB109" s="118">
        <v>65535</v>
      </c>
      <c r="AE109" s="96"/>
      <c r="AF109" s="270" t="str">
        <f>IF(V109=1,MAX($AF$6:AF108)+1,IF(AF108="#",0,IF(AND(D108=D109,K108=K109,L108=L109,M108=M109,N108=N109,O108=O109,P108=P109,Q108=Q109,R108=R109,S108=S109,T108=T109,U108=U109,V108=V109,W108=W109,HEX2DEC(SUBSTITUTE(AH108,"0x",""))&lt;HEX2DEC(SUBSTITUTE(AH109,"0x",""))),"",MAX($AF$6:AF108)+1)))</f>
        <v/>
      </c>
      <c r="AG109" s="225" t="str">
        <f>IF(MAX(INDEX($AF:$AF,ROW($AG$6)):INDEX($AF:$AF,ROW(AG109)))+1=AF110,MAX(INDEX($AF:$AF,ROW($AG$6)):INDEX($AF:$AF,ROW(AG109))),"")</f>
        <v/>
      </c>
      <c r="AH109" s="6" t="str">
        <f t="shared" si="10"/>
        <v>0x40000368</v>
      </c>
      <c r="AI109" s="6">
        <f t="shared" si="11"/>
        <v>1073742696</v>
      </c>
      <c r="AJ109" s="6" t="str">
        <f t="shared" si="12"/>
        <v/>
      </c>
      <c r="AK109" s="6" t="str">
        <f t="shared" si="9"/>
        <v/>
      </c>
      <c r="AL109" s="6" t="str">
        <f t="shared" si="13"/>
        <v/>
      </c>
      <c r="AN109" s="6" t="str">
        <f t="shared" si="14"/>
        <v>ok</v>
      </c>
    </row>
    <row r="110" spans="1:41">
      <c r="A110" s="7" t="s">
        <v>335</v>
      </c>
      <c r="B110" s="7" t="s">
        <v>336</v>
      </c>
      <c r="C110" s="7" t="s">
        <v>29</v>
      </c>
      <c r="D110" s="7">
        <v>32</v>
      </c>
      <c r="E110" s="7">
        <v>1000</v>
      </c>
      <c r="F110" s="7" t="s">
        <v>31</v>
      </c>
      <c r="G110" s="7" t="s">
        <v>32</v>
      </c>
      <c r="H110" s="7"/>
      <c r="I110" s="7"/>
      <c r="K110" s="6">
        <v>0</v>
      </c>
      <c r="L110" s="6">
        <v>0</v>
      </c>
      <c r="M110" s="6">
        <v>0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89"/>
      <c r="Y110" s="6">
        <v>29</v>
      </c>
      <c r="Z110" s="118">
        <v>65535</v>
      </c>
      <c r="AA110" s="6">
        <v>32768</v>
      </c>
      <c r="AB110" s="118">
        <v>65535</v>
      </c>
      <c r="AE110" s="96"/>
      <c r="AF110" s="270" t="str">
        <f>IF(V110=1,MAX($AF$6:AF109)+1,IF(AF109="#",0,IF(AND(D109=D110,K109=K110,L109=L110,M109=M110,N109=N110,O109=O110,P109=P110,Q109=Q110,R109=R110,S109=S110,T109=T110,U109=U110,V109=V110,W109=W110,HEX2DEC(SUBSTITUTE(AH109,"0x",""))&lt;HEX2DEC(SUBSTITUTE(AH110,"0x",""))),"",MAX($AF$6:AF109)+1)))</f>
        <v/>
      </c>
      <c r="AG110" s="225">
        <f>IF(MAX(INDEX($AF:$AF,ROW($AG$6)):INDEX($AF:$AF,ROW(AG110)))+1=AF111,MAX(INDEX($AF:$AF,ROW($AG$6)):INDEX($AF:$AF,ROW(AG110))),"")</f>
        <v>65</v>
      </c>
      <c r="AH110" s="6" t="str">
        <f t="shared" si="10"/>
        <v>0x4000036a</v>
      </c>
      <c r="AI110" s="6">
        <f t="shared" si="11"/>
        <v>1073742698</v>
      </c>
      <c r="AJ110" s="6" t="str">
        <f t="shared" si="12"/>
        <v/>
      </c>
      <c r="AK110" s="6" t="str">
        <f t="shared" si="9"/>
        <v/>
      </c>
      <c r="AL110" s="6" t="str">
        <f t="shared" si="13"/>
        <v/>
      </c>
      <c r="AN110" s="6" t="str">
        <f t="shared" si="14"/>
        <v>ok</v>
      </c>
    </row>
    <row r="111" spans="1:41">
      <c r="A111" s="7" t="s">
        <v>304</v>
      </c>
      <c r="B111" s="7" t="s">
        <v>303</v>
      </c>
      <c r="C111" s="7" t="s">
        <v>29</v>
      </c>
      <c r="D111" s="7">
        <v>8</v>
      </c>
      <c r="E111" s="7">
        <v>1000</v>
      </c>
      <c r="F111" s="7" t="s">
        <v>31</v>
      </c>
      <c r="G111" s="7" t="s">
        <v>32</v>
      </c>
      <c r="H111" s="7"/>
      <c r="I111" s="7"/>
      <c r="K111" s="6">
        <v>0</v>
      </c>
      <c r="L111" s="6">
        <v>0</v>
      </c>
      <c r="M111" s="6">
        <v>0</v>
      </c>
      <c r="N111" s="6">
        <v>1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89"/>
      <c r="Y111" s="6">
        <v>29</v>
      </c>
      <c r="Z111" s="118">
        <v>65535</v>
      </c>
      <c r="AA111" s="6">
        <v>32768</v>
      </c>
      <c r="AB111" s="118">
        <v>65535</v>
      </c>
      <c r="AE111" s="96"/>
      <c r="AF111" s="270">
        <f>IF(V111=1,MAX($AF$6:AF110)+1,IF(AF110="#",0,IF(AND(D110=D111,K110=K111,L110=L111,M110=M111,N110=N111,O110=O111,P110=P111,Q110=Q111,R110=R111,S110=S111,T110=T111,U110=U111,V110=V111,W110=W111,HEX2DEC(SUBSTITUTE(AH110,"0x",""))&lt;HEX2DEC(SUBSTITUTE(AH111,"0x",""))),"",MAX($AF$6:AF110)+1)))</f>
        <v>66</v>
      </c>
      <c r="AG111" s="225" t="str">
        <f>IF(MAX(INDEX($AF:$AF,ROW($AG$6)):INDEX($AF:$AF,ROW(AG111)))+1=AF112,MAX(INDEX($AF:$AF,ROW($AG$6)):INDEX($AF:$AF,ROW(AG111))),"")</f>
        <v/>
      </c>
      <c r="AH111" s="6" t="str">
        <f t="shared" si="10"/>
        <v>0x4000032f</v>
      </c>
      <c r="AI111" s="6">
        <f t="shared" si="11"/>
        <v>1073742639</v>
      </c>
      <c r="AJ111" s="6" t="str">
        <f t="shared" si="12"/>
        <v>0x4000032f</v>
      </c>
      <c r="AK111" s="6" t="str">
        <f t="shared" si="9"/>
        <v>0x400003b5</v>
      </c>
      <c r="AL111" s="6">
        <f t="shared" si="13"/>
        <v>8</v>
      </c>
      <c r="AN111" s="6" t="str">
        <f t="shared" si="14"/>
        <v>not ok</v>
      </c>
    </row>
    <row r="112" spans="1:41">
      <c r="A112" s="7" t="s">
        <v>309</v>
      </c>
      <c r="B112" s="7" t="s">
        <v>308</v>
      </c>
      <c r="C112" s="7" t="s">
        <v>29</v>
      </c>
      <c r="D112" s="7">
        <v>8</v>
      </c>
      <c r="E112" s="7">
        <v>1000</v>
      </c>
      <c r="F112" s="7" t="s">
        <v>31</v>
      </c>
      <c r="G112" s="7" t="s">
        <v>32</v>
      </c>
      <c r="H112" s="7"/>
      <c r="I112" s="7"/>
      <c r="K112" s="6">
        <v>0</v>
      </c>
      <c r="L112" s="6">
        <v>0</v>
      </c>
      <c r="M112" s="6">
        <v>0</v>
      </c>
      <c r="N112" s="6">
        <v>1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89"/>
      <c r="Y112" s="6">
        <v>29</v>
      </c>
      <c r="Z112" s="118">
        <v>65535</v>
      </c>
      <c r="AA112" s="6">
        <v>32768</v>
      </c>
      <c r="AB112" s="118">
        <v>65535</v>
      </c>
      <c r="AE112" s="96"/>
      <c r="AF112" s="270" t="str">
        <f>IF(V112=1,MAX($AF$6:AF111)+1,IF(AF111="#",0,IF(AND(D111=D112,K111=K112,L111=L112,M111=M112,N111=N112,O111=O112,P111=P112,Q111=Q112,R111=R112,S111=S112,T111=T112,U111=U112,V111=V112,W111=W112,HEX2DEC(SUBSTITUTE(AH111,"0x",""))&lt;HEX2DEC(SUBSTITUTE(AH112,"0x",""))),"",MAX($AF$6:AF111)+1)))</f>
        <v/>
      </c>
      <c r="AG112" s="225" t="str">
        <f>IF(MAX(INDEX($AF:$AF,ROW($AG$6)):INDEX($AF:$AF,ROW(AG112)))+1=AF113,MAX(INDEX($AF:$AF,ROW($AG$6)):INDEX($AF:$AF,ROW(AG112))),"")</f>
        <v/>
      </c>
      <c r="AH112" s="6" t="str">
        <f t="shared" si="10"/>
        <v>0x40000335</v>
      </c>
      <c r="AI112" s="6">
        <f t="shared" si="11"/>
        <v>1073742645</v>
      </c>
      <c r="AJ112" s="6" t="str">
        <f t="shared" si="12"/>
        <v/>
      </c>
      <c r="AK112" s="6" t="str">
        <f t="shared" si="9"/>
        <v/>
      </c>
      <c r="AL112" s="6" t="str">
        <f t="shared" si="13"/>
        <v/>
      </c>
      <c r="AN112" s="6" t="str">
        <f t="shared" si="14"/>
        <v>ok</v>
      </c>
      <c r="AO112" s="6" t="s">
        <v>5</v>
      </c>
    </row>
    <row r="113" spans="1:41">
      <c r="A113" s="7" t="s">
        <v>343</v>
      </c>
      <c r="B113" s="7" t="s">
        <v>344</v>
      </c>
      <c r="C113" s="7" t="s">
        <v>29</v>
      </c>
      <c r="D113" s="7">
        <v>8</v>
      </c>
      <c r="E113" s="7">
        <v>1000</v>
      </c>
      <c r="F113" s="7" t="s">
        <v>31</v>
      </c>
      <c r="G113" s="7" t="s">
        <v>32</v>
      </c>
      <c r="H113" s="7"/>
      <c r="I113" s="7"/>
      <c r="K113" s="6">
        <v>0</v>
      </c>
      <c r="L113" s="6">
        <v>0</v>
      </c>
      <c r="M113" s="6">
        <v>0</v>
      </c>
      <c r="N113" s="6">
        <v>1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89"/>
      <c r="Y113" s="6">
        <v>29</v>
      </c>
      <c r="Z113" s="118">
        <v>65535</v>
      </c>
      <c r="AA113" s="6">
        <v>32768</v>
      </c>
      <c r="AB113" s="118">
        <v>65535</v>
      </c>
      <c r="AE113" s="96"/>
      <c r="AF113" s="270" t="str">
        <f>IF(V113=1,MAX($AF$6:AF112)+1,IF(AF112="#",0,IF(AND(D112=D113,K112=K113,L112=L113,M112=M113,N112=N113,O112=O113,P112=P113,Q112=Q113,R112=R113,S112=S113,T112=T113,U112=U113,V112=V113,W112=W113,HEX2DEC(SUBSTITUTE(AH112,"0x",""))&lt;HEX2DEC(SUBSTITUTE(AH113,"0x",""))),"",MAX($AF$6:AF112)+1)))</f>
        <v/>
      </c>
      <c r="AG113" s="225" t="str">
        <f>IF(MAX(INDEX($AF:$AF,ROW($AG$6)):INDEX($AF:$AF,ROW(AG113)))+1=AF114,MAX(INDEX($AF:$AF,ROW($AG$6)):INDEX($AF:$AF,ROW(AG113))),"")</f>
        <v/>
      </c>
      <c r="AH113" s="6" t="str">
        <f t="shared" si="10"/>
        <v>0x40000375</v>
      </c>
      <c r="AI113" s="6">
        <f t="shared" si="11"/>
        <v>1073742709</v>
      </c>
      <c r="AJ113" s="6" t="str">
        <f t="shared" si="12"/>
        <v/>
      </c>
      <c r="AK113" s="6" t="str">
        <f t="shared" si="9"/>
        <v/>
      </c>
      <c r="AL113" s="6" t="str">
        <f t="shared" si="13"/>
        <v/>
      </c>
      <c r="AN113" s="6" t="str">
        <f t="shared" si="14"/>
        <v>ok</v>
      </c>
      <c r="AO113" s="6" t="s">
        <v>5</v>
      </c>
    </row>
    <row r="114" spans="1:41">
      <c r="A114" s="7" t="s">
        <v>346</v>
      </c>
      <c r="B114" s="7" t="s">
        <v>347</v>
      </c>
      <c r="C114" s="7" t="s">
        <v>29</v>
      </c>
      <c r="D114" s="7">
        <v>8</v>
      </c>
      <c r="E114" s="7">
        <v>1000</v>
      </c>
      <c r="F114" s="7" t="s">
        <v>31</v>
      </c>
      <c r="G114" s="7" t="s">
        <v>32</v>
      </c>
      <c r="H114" s="7"/>
      <c r="I114" s="7"/>
      <c r="K114" s="6">
        <v>0</v>
      </c>
      <c r="L114" s="6">
        <v>0</v>
      </c>
      <c r="M114" s="6">
        <v>0</v>
      </c>
      <c r="N114" s="6">
        <v>1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89"/>
      <c r="Y114" s="6">
        <v>29</v>
      </c>
      <c r="Z114" s="118">
        <v>65535</v>
      </c>
      <c r="AA114" s="6">
        <v>32768</v>
      </c>
      <c r="AB114" s="118">
        <v>65535</v>
      </c>
      <c r="AE114" s="96"/>
      <c r="AF114" s="270" t="str">
        <f>IF(V114=1,MAX($AF$6:AF113)+1,IF(AF113="#",0,IF(AND(D113=D114,K113=K114,L113=L114,M113=M114,N113=N114,O113=O114,P113=P114,Q113=Q114,R113=R114,S113=S114,T113=T114,U113=U114,V113=V114,W113=W114,HEX2DEC(SUBSTITUTE(AH113,"0x",""))&lt;HEX2DEC(SUBSTITUTE(AH114,"0x",""))),"",MAX($AF$6:AF113)+1)))</f>
        <v/>
      </c>
      <c r="AG114" s="225">
        <f>IF(MAX(INDEX($AF:$AF,ROW($AG$6)):INDEX($AF:$AF,ROW(AG114)))+1=AF115,MAX(INDEX($AF:$AF,ROW($AG$6)):INDEX($AF:$AF,ROW(AG114))),"")</f>
        <v>66</v>
      </c>
      <c r="AH114" s="6" t="str">
        <f t="shared" si="10"/>
        <v>0x400003b5</v>
      </c>
      <c r="AI114" s="6">
        <f t="shared" si="11"/>
        <v>1073742773</v>
      </c>
      <c r="AJ114" s="6" t="str">
        <f t="shared" si="12"/>
        <v/>
      </c>
      <c r="AK114" s="6" t="str">
        <f t="shared" si="9"/>
        <v/>
      </c>
      <c r="AL114" s="6" t="str">
        <f t="shared" si="13"/>
        <v/>
      </c>
      <c r="AN114" s="6" t="str">
        <f t="shared" si="14"/>
        <v>ok</v>
      </c>
    </row>
    <row r="115" spans="1:41">
      <c r="A115" s="7" t="s">
        <v>795</v>
      </c>
      <c r="B115" s="7" t="s">
        <v>351</v>
      </c>
      <c r="C115" s="7" t="s">
        <v>29</v>
      </c>
      <c r="D115" s="7">
        <v>64</v>
      </c>
      <c r="E115" s="7">
        <v>1000</v>
      </c>
      <c r="F115" s="7" t="s">
        <v>29</v>
      </c>
      <c r="G115" s="7" t="s">
        <v>32</v>
      </c>
      <c r="H115" s="7"/>
      <c r="I115" s="7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</v>
      </c>
      <c r="W115" s="6">
        <v>0</v>
      </c>
      <c r="X115" s="89"/>
      <c r="Y115" s="6">
        <v>3</v>
      </c>
      <c r="Z115" s="87">
        <f>VLOOKUP(A115,SecOC_Cfg.h!$C$33:$D$61,2,FALSE)</f>
        <v>25</v>
      </c>
      <c r="AA115" s="118">
        <v>65535</v>
      </c>
      <c r="AB115" s="118">
        <v>65535</v>
      </c>
      <c r="AE115" s="96"/>
      <c r="AF115" s="270">
        <f>IF(V115=1,MAX($AF$6:AF114)+1,IF(AF114="#",0,IF(AND(D114=D115,K114=K115,L114=L115,M114=M115,N114=N115,O114=O115,P114=P115,Q114=Q115,R114=R115,S114=S115,T114=T115,U114=U115,V114=V115,W114=W115,HEX2DEC(SUBSTITUTE(AH114,"0x",""))&lt;HEX2DEC(SUBSTITUTE(AH115,"0x",""))),"",MAX($AF$6:AF114)+1)))</f>
        <v>67</v>
      </c>
      <c r="AG115" s="225">
        <f>IF(MAX(INDEX($AF:$AF,ROW($AG$6)):INDEX($AF:$AF,ROW(AG115)))+1=AF116,MAX(INDEX($AF:$AF,ROW($AG$6)):INDEX($AF:$AF,ROW(AG115))),"")</f>
        <v>67</v>
      </c>
      <c r="AH115" s="6" t="str">
        <f t="shared" si="10"/>
        <v>0x400003f5</v>
      </c>
      <c r="AI115" s="6">
        <f t="shared" si="11"/>
        <v>1073742837</v>
      </c>
      <c r="AJ115" s="6" t="str">
        <f t="shared" si="12"/>
        <v>0x400003f5</v>
      </c>
      <c r="AK115" s="6" t="str">
        <f t="shared" si="9"/>
        <v>0x400003f5</v>
      </c>
      <c r="AL115" s="6">
        <f t="shared" si="13"/>
        <v>64</v>
      </c>
      <c r="AN115" s="6" t="str">
        <f t="shared" si="14"/>
        <v>ok</v>
      </c>
    </row>
    <row r="116" spans="1:41">
      <c r="A116" s="7" t="s">
        <v>314</v>
      </c>
      <c r="B116" s="7" t="s">
        <v>313</v>
      </c>
      <c r="C116" s="7" t="s">
        <v>29</v>
      </c>
      <c r="D116" s="7">
        <v>8</v>
      </c>
      <c r="E116" s="7">
        <v>1000</v>
      </c>
      <c r="F116" s="7" t="s">
        <v>31</v>
      </c>
      <c r="G116" s="7" t="s">
        <v>32</v>
      </c>
      <c r="H116" s="7"/>
      <c r="I116" s="7"/>
      <c r="K116" s="6">
        <v>0</v>
      </c>
      <c r="L116" s="6">
        <v>0</v>
      </c>
      <c r="M116" s="6">
        <v>0</v>
      </c>
      <c r="N116" s="6">
        <v>1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89"/>
      <c r="Y116" s="6">
        <v>29</v>
      </c>
      <c r="Z116" s="118">
        <v>65535</v>
      </c>
      <c r="AA116" s="6">
        <v>32768</v>
      </c>
      <c r="AB116" s="118">
        <v>65535</v>
      </c>
      <c r="AE116" s="96"/>
      <c r="AF116" s="270">
        <f>IF(V116=1,MAX($AF$6:AF115)+1,IF(AF115="#",0,IF(AND(D115=D116,K115=K116,L115=L116,M115=M116,N115=N116,O115=O116,P115=P116,Q115=Q116,R115=R116,S115=S116,T115=T116,U115=U116,V115=V116,W115=W116,HEX2DEC(SUBSTITUTE(AH115,"0x",""))&lt;HEX2DEC(SUBSTITUTE(AH116,"0x",""))),"",MAX($AF$6:AF115)+1)))</f>
        <v>68</v>
      </c>
      <c r="AG116" s="225" t="str">
        <f>IF(MAX(INDEX($AF:$AF,ROW($AG$6)):INDEX($AF:$AF,ROW(AG116)))+1=AF117,MAX(INDEX($AF:$AF,ROW($AG$6)):INDEX($AF:$AF,ROW(AG116))),"")</f>
        <v/>
      </c>
      <c r="AH116" s="6" t="str">
        <f t="shared" si="10"/>
        <v>0x40000336</v>
      </c>
      <c r="AI116" s="6">
        <f t="shared" si="11"/>
        <v>1073742646</v>
      </c>
      <c r="AJ116" s="6" t="str">
        <f t="shared" si="12"/>
        <v>0x40000336</v>
      </c>
      <c r="AK116" s="6" t="str">
        <f t="shared" si="9"/>
        <v>0x400003b6</v>
      </c>
      <c r="AL116" s="6">
        <f t="shared" si="13"/>
        <v>8</v>
      </c>
      <c r="AN116" s="6" t="str">
        <f t="shared" si="14"/>
        <v>not ok</v>
      </c>
    </row>
    <row r="117" spans="1:41">
      <c r="A117" s="7" t="s">
        <v>358</v>
      </c>
      <c r="B117" s="7" t="s">
        <v>359</v>
      </c>
      <c r="C117" s="7" t="s">
        <v>29</v>
      </c>
      <c r="D117" s="7">
        <v>8</v>
      </c>
      <c r="E117" s="7">
        <v>1000</v>
      </c>
      <c r="F117" s="7" t="s">
        <v>31</v>
      </c>
      <c r="G117" s="7" t="s">
        <v>32</v>
      </c>
      <c r="H117" s="7"/>
      <c r="I117" s="7"/>
      <c r="K117" s="6">
        <v>0</v>
      </c>
      <c r="L117" s="6">
        <v>0</v>
      </c>
      <c r="M117" s="6">
        <v>0</v>
      </c>
      <c r="N117" s="6">
        <v>1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89"/>
      <c r="Y117" s="6">
        <v>29</v>
      </c>
      <c r="Z117" s="118">
        <v>65535</v>
      </c>
      <c r="AA117" s="6">
        <v>32768</v>
      </c>
      <c r="AB117" s="118">
        <v>65535</v>
      </c>
      <c r="AE117" s="96"/>
      <c r="AF117" s="270" t="str">
        <f>IF(V117=1,MAX($AF$6:AF116)+1,IF(AF116="#",0,IF(AND(D116=D117,K116=K117,L116=L117,M116=M117,N116=N117,O116=O117,P116=P117,Q116=Q117,R116=R117,S116=S117,T116=T117,U116=U117,V116=V117,W116=W117,HEX2DEC(SUBSTITUTE(AH116,"0x",""))&lt;HEX2DEC(SUBSTITUTE(AH117,"0x",""))),"",MAX($AF$6:AF116)+1)))</f>
        <v/>
      </c>
      <c r="AG117" s="225">
        <f>IF(MAX(INDEX($AF:$AF,ROW($AG$6)):INDEX($AF:$AF,ROW(AG117)))+1=AF118,MAX(INDEX($AF:$AF,ROW($AG$6)):INDEX($AF:$AF,ROW(AG117))),"")</f>
        <v>68</v>
      </c>
      <c r="AH117" s="6" t="str">
        <f t="shared" si="10"/>
        <v>0x400003b6</v>
      </c>
      <c r="AI117" s="6">
        <f t="shared" si="11"/>
        <v>1073742774</v>
      </c>
      <c r="AJ117" s="6" t="str">
        <f t="shared" si="12"/>
        <v/>
      </c>
      <c r="AK117" s="6" t="str">
        <f t="shared" si="9"/>
        <v/>
      </c>
      <c r="AL117" s="6" t="str">
        <f t="shared" si="13"/>
        <v/>
      </c>
      <c r="AN117" s="6" t="str">
        <f t="shared" si="14"/>
        <v>ok</v>
      </c>
      <c r="AO117" s="6" t="s">
        <v>5</v>
      </c>
    </row>
    <row r="118" spans="1:41">
      <c r="A118" s="7" t="s">
        <v>319</v>
      </c>
      <c r="B118" s="7" t="s">
        <v>318</v>
      </c>
      <c r="C118" s="7" t="s">
        <v>29</v>
      </c>
      <c r="D118" s="7">
        <v>8</v>
      </c>
      <c r="E118" s="7">
        <v>1000</v>
      </c>
      <c r="F118" s="7" t="s">
        <v>31</v>
      </c>
      <c r="G118" s="7" t="s">
        <v>32</v>
      </c>
      <c r="H118" s="7"/>
      <c r="I118" s="7"/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89"/>
      <c r="Y118" s="6">
        <v>29</v>
      </c>
      <c r="Z118" s="118">
        <v>65535</v>
      </c>
      <c r="AA118" s="6">
        <v>32768</v>
      </c>
      <c r="AB118" s="118">
        <v>65535</v>
      </c>
      <c r="AE118" s="96"/>
      <c r="AF118" s="270">
        <f>IF(V118=1,MAX($AF$6:AF117)+1,IF(AF117="#",0,IF(AND(D117=D118,K117=K118,L117=L118,M117=M118,N117=N118,O117=O118,P117=P118,Q117=Q118,R117=R118,S117=S118,T117=T118,U117=U118,V117=V118,W117=W118,HEX2DEC(SUBSTITUTE(AH117,"0x",""))&lt;HEX2DEC(SUBSTITUTE(AH118,"0x",""))),"",MAX($AF$6:AF117)+1)))</f>
        <v>69</v>
      </c>
      <c r="AG118" s="225">
        <f>IF(MAX(INDEX($AF:$AF,ROW($AG$6)):INDEX($AF:$AF,ROW(AG118)))+1=AF119,MAX(INDEX($AF:$AF,ROW($AG$6)):INDEX($AF:$AF,ROW(AG118))),"")</f>
        <v>69</v>
      </c>
      <c r="AH118" s="6" t="str">
        <f t="shared" si="10"/>
        <v>0x40000341</v>
      </c>
      <c r="AI118" s="6">
        <f t="shared" si="11"/>
        <v>1073742657</v>
      </c>
      <c r="AJ118" s="6" t="str">
        <f t="shared" si="12"/>
        <v>0x40000341</v>
      </c>
      <c r="AK118" s="6" t="str">
        <f t="shared" si="9"/>
        <v>0x40000341</v>
      </c>
      <c r="AL118" s="6">
        <f t="shared" si="13"/>
        <v>8</v>
      </c>
      <c r="AN118" s="6" t="str">
        <f t="shared" si="14"/>
        <v>not ok</v>
      </c>
    </row>
    <row r="119" spans="1:41">
      <c r="A119" s="7" t="s">
        <v>364</v>
      </c>
      <c r="B119" s="7" t="s">
        <v>365</v>
      </c>
      <c r="C119" s="7" t="s">
        <v>29</v>
      </c>
      <c r="D119" s="7">
        <v>64</v>
      </c>
      <c r="E119" s="7">
        <v>2000</v>
      </c>
      <c r="F119" s="7" t="s">
        <v>31</v>
      </c>
      <c r="G119" s="7" t="s">
        <v>32</v>
      </c>
      <c r="H119" s="7"/>
      <c r="I119" s="7"/>
      <c r="K119" s="6">
        <v>0</v>
      </c>
      <c r="L119" s="6">
        <v>0</v>
      </c>
      <c r="M119" s="6">
        <v>0</v>
      </c>
      <c r="N119" s="6">
        <v>1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89"/>
      <c r="Y119" s="6">
        <v>29</v>
      </c>
      <c r="Z119" s="118">
        <v>65535</v>
      </c>
      <c r="AA119" s="6">
        <v>32768</v>
      </c>
      <c r="AB119" s="118">
        <v>65535</v>
      </c>
      <c r="AE119" s="96"/>
      <c r="AF119" s="270">
        <f>IF(V119=1,MAX($AF$6:AF118)+1,IF(AF118="#",0,IF(AND(D118=D119,K118=K119,L118=L119,M118=M119,N118=N119,O118=O119,P118=P119,Q118=Q119,R118=R119,S118=S119,T118=T119,U118=U119,V118=V119,W118=W119,HEX2DEC(SUBSTITUTE(AH118,"0x",""))&lt;HEX2DEC(SUBSTITUTE(AH119,"0x",""))),"",MAX($AF$6:AF118)+1)))</f>
        <v>70</v>
      </c>
      <c r="AG119" s="225">
        <f>IF(MAX(INDEX($AF:$AF,ROW($AG$6)):INDEX($AF:$AF,ROW(AG119)))+1=AF120,MAX(INDEX($AF:$AF,ROW($AG$6)):INDEX($AF:$AF,ROW(AG119))),"")</f>
        <v>70</v>
      </c>
      <c r="AH119" s="6" t="str">
        <f t="shared" si="10"/>
        <v>0x40000361</v>
      </c>
      <c r="AI119" s="6">
        <f t="shared" si="11"/>
        <v>1073742689</v>
      </c>
      <c r="AJ119" s="6" t="str">
        <f t="shared" si="12"/>
        <v>0x40000361</v>
      </c>
      <c r="AK119" s="6" t="str">
        <f t="shared" si="9"/>
        <v>0x40000361</v>
      </c>
      <c r="AL119" s="6">
        <f t="shared" si="13"/>
        <v>64</v>
      </c>
      <c r="AN119" s="6" t="str">
        <f t="shared" si="14"/>
        <v>ok</v>
      </c>
      <c r="AO119" s="6" t="s">
        <v>5</v>
      </c>
    </row>
    <row r="120" spans="1:41">
      <c r="A120" s="7" t="s">
        <v>322</v>
      </c>
      <c r="B120" s="7" t="s">
        <v>321</v>
      </c>
      <c r="C120" s="7" t="s">
        <v>29</v>
      </c>
      <c r="D120" s="7">
        <v>8</v>
      </c>
      <c r="E120" s="7">
        <v>1000</v>
      </c>
      <c r="F120" s="7" t="s">
        <v>31</v>
      </c>
      <c r="G120" s="7" t="s">
        <v>32</v>
      </c>
      <c r="H120" s="7"/>
      <c r="I120" s="7"/>
      <c r="K120" s="6">
        <v>0</v>
      </c>
      <c r="L120" s="6">
        <v>0</v>
      </c>
      <c r="M120" s="6">
        <v>0</v>
      </c>
      <c r="N120" s="6">
        <v>1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89"/>
      <c r="Y120" s="6">
        <v>29</v>
      </c>
      <c r="Z120" s="118">
        <v>65535</v>
      </c>
      <c r="AA120" s="6">
        <v>32768</v>
      </c>
      <c r="AB120" s="118">
        <v>65535</v>
      </c>
      <c r="AE120" s="96"/>
      <c r="AF120" s="270">
        <f>IF(V120=1,MAX($AF$6:AF119)+1,IF(AF119="#",0,IF(AND(D119=D120,K119=K120,L119=L120,M119=M120,N119=N120,O119=O120,P119=P120,Q119=Q120,R119=R120,S119=S120,T119=T120,U119=U120,V119=V120,W119=W120,HEX2DEC(SUBSTITUTE(AH119,"0x",""))&lt;HEX2DEC(SUBSTITUTE(AH120,"0x",""))),"",MAX($AF$6:AF119)+1)))</f>
        <v>71</v>
      </c>
      <c r="AG120" s="225" t="str">
        <f>IF(MAX(INDEX($AF:$AF,ROW($AG$6)):INDEX($AF:$AF,ROW(AG120)))+1=AF121,MAX(INDEX($AF:$AF,ROW($AG$6)):INDEX($AF:$AF,ROW(AG120))),"")</f>
        <v/>
      </c>
      <c r="AH120" s="6" t="str">
        <f t="shared" si="10"/>
        <v>0x40000347</v>
      </c>
      <c r="AI120" s="6">
        <f t="shared" si="11"/>
        <v>1073742663</v>
      </c>
      <c r="AJ120" s="6" t="str">
        <f t="shared" si="12"/>
        <v>0x40000347</v>
      </c>
      <c r="AK120" s="6" t="str">
        <f t="shared" si="9"/>
        <v>0x4000034d</v>
      </c>
      <c r="AL120" s="6">
        <f t="shared" si="13"/>
        <v>8</v>
      </c>
      <c r="AN120" s="6" t="str">
        <f t="shared" si="14"/>
        <v>not ok</v>
      </c>
    </row>
    <row r="121" spans="1:41">
      <c r="A121" s="7" t="s">
        <v>325</v>
      </c>
      <c r="B121" s="7" t="s">
        <v>324</v>
      </c>
      <c r="C121" s="7" t="s">
        <v>29</v>
      </c>
      <c r="D121" s="7">
        <v>8</v>
      </c>
      <c r="E121" s="7">
        <v>1000</v>
      </c>
      <c r="F121" s="7" t="s">
        <v>31</v>
      </c>
      <c r="G121" s="7" t="s">
        <v>32</v>
      </c>
      <c r="H121" s="7"/>
      <c r="I121" s="7"/>
      <c r="K121" s="6">
        <v>0</v>
      </c>
      <c r="L121" s="6">
        <v>0</v>
      </c>
      <c r="M121" s="6">
        <v>0</v>
      </c>
      <c r="N121" s="6">
        <v>1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89"/>
      <c r="Y121" s="6">
        <v>29</v>
      </c>
      <c r="Z121" s="118">
        <v>65535</v>
      </c>
      <c r="AA121" s="6">
        <v>32768</v>
      </c>
      <c r="AB121" s="118">
        <v>65535</v>
      </c>
      <c r="AE121" s="96"/>
      <c r="AF121" s="270" t="str">
        <f>IF(V121=1,MAX($AF$6:AF120)+1,IF(AF120="#",0,IF(AND(D120=D121,K120=K121,L120=L121,M120=M121,N120=N121,O120=O121,P120=P121,Q120=Q121,R120=R121,S120=S121,T120=T121,U120=U121,V120=V121,W120=W121,HEX2DEC(SUBSTITUTE(AH120,"0x",""))&lt;HEX2DEC(SUBSTITUTE(AH121,"0x",""))),"",MAX($AF$6:AF120)+1)))</f>
        <v/>
      </c>
      <c r="AG121" s="225" t="str">
        <f>IF(MAX(INDEX($AF:$AF,ROW($AG$6)):INDEX($AF:$AF,ROW(AG121)))+1=AF122,MAX(INDEX($AF:$AF,ROW($AG$6)):INDEX($AF:$AF,ROW(AG121))),"")</f>
        <v/>
      </c>
      <c r="AH121" s="6" t="str">
        <f t="shared" si="10"/>
        <v>0x40000348</v>
      </c>
      <c r="AI121" s="6">
        <f t="shared" si="11"/>
        <v>1073742664</v>
      </c>
      <c r="AJ121" s="6" t="str">
        <f t="shared" si="12"/>
        <v/>
      </c>
      <c r="AK121" s="6" t="str">
        <f t="shared" si="9"/>
        <v/>
      </c>
      <c r="AL121" s="6" t="str">
        <f t="shared" si="13"/>
        <v/>
      </c>
      <c r="AN121" s="6" t="str">
        <f t="shared" si="14"/>
        <v>ok</v>
      </c>
      <c r="AO121" s="6" t="s">
        <v>5</v>
      </c>
    </row>
    <row r="122" spans="1:41">
      <c r="A122" s="7" t="s">
        <v>328</v>
      </c>
      <c r="B122" s="7" t="s">
        <v>327</v>
      </c>
      <c r="C122" s="7" t="s">
        <v>29</v>
      </c>
      <c r="D122" s="7">
        <v>8</v>
      </c>
      <c r="E122" s="7">
        <v>1000</v>
      </c>
      <c r="F122" s="7" t="s">
        <v>31</v>
      </c>
      <c r="G122" s="7" t="s">
        <v>32</v>
      </c>
      <c r="H122" s="7"/>
      <c r="I122" s="7"/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89"/>
      <c r="Y122" s="6">
        <v>29</v>
      </c>
      <c r="Z122" s="118">
        <v>65535</v>
      </c>
      <c r="AA122" s="6">
        <v>32768</v>
      </c>
      <c r="AB122" s="118">
        <v>65535</v>
      </c>
      <c r="AE122" s="96"/>
      <c r="AF122" s="270" t="str">
        <f>IF(V122=1,MAX($AF$6:AF121)+1,IF(AF121="#",0,IF(AND(D121=D122,K121=K122,L121=L122,M121=M122,N121=N122,O121=O122,P121=P122,Q121=Q122,R121=R122,S121=S122,T121=T122,U121=U122,V121=V122,W121=W122,HEX2DEC(SUBSTITUTE(AH121,"0x",""))&lt;HEX2DEC(SUBSTITUTE(AH122,"0x",""))),"",MAX($AF$6:AF121)+1)))</f>
        <v/>
      </c>
      <c r="AG122" s="225" t="str">
        <f>IF(MAX(INDEX($AF:$AF,ROW($AG$6)):INDEX($AF:$AF,ROW(AG122)))+1=AF123,MAX(INDEX($AF:$AF,ROW($AG$6)):INDEX($AF:$AF,ROW(AG122))),"")</f>
        <v/>
      </c>
      <c r="AH122" s="6" t="str">
        <f t="shared" si="10"/>
        <v>0x40000349</v>
      </c>
      <c r="AI122" s="6">
        <f t="shared" si="11"/>
        <v>1073742665</v>
      </c>
      <c r="AJ122" s="6" t="str">
        <f t="shared" si="12"/>
        <v/>
      </c>
      <c r="AK122" s="6" t="str">
        <f t="shared" si="9"/>
        <v/>
      </c>
      <c r="AL122" s="6" t="str">
        <f t="shared" si="13"/>
        <v/>
      </c>
      <c r="AN122" s="6" t="str">
        <f t="shared" si="14"/>
        <v>ok</v>
      </c>
      <c r="AO122" s="6" t="s">
        <v>5</v>
      </c>
    </row>
    <row r="123" spans="1:41">
      <c r="A123" s="7" t="s">
        <v>330</v>
      </c>
      <c r="B123" s="7" t="s">
        <v>329</v>
      </c>
      <c r="C123" s="7" t="s">
        <v>29</v>
      </c>
      <c r="D123" s="7">
        <v>8</v>
      </c>
      <c r="E123" s="7">
        <v>1000</v>
      </c>
      <c r="F123" s="7" t="s">
        <v>31</v>
      </c>
      <c r="G123" s="7" t="s">
        <v>32</v>
      </c>
      <c r="H123" s="7"/>
      <c r="I123" s="7"/>
      <c r="K123" s="6">
        <v>0</v>
      </c>
      <c r="L123" s="6">
        <v>0</v>
      </c>
      <c r="M123" s="6">
        <v>0</v>
      </c>
      <c r="N123" s="6">
        <v>1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89"/>
      <c r="Y123" s="6">
        <v>29</v>
      </c>
      <c r="Z123" s="118">
        <v>65535</v>
      </c>
      <c r="AA123" s="6">
        <v>32768</v>
      </c>
      <c r="AB123" s="118">
        <v>65535</v>
      </c>
      <c r="AE123" s="96"/>
      <c r="AF123" s="270" t="str">
        <f>IF(V123=1,MAX($AF$6:AF122)+1,IF(AF122="#",0,IF(AND(D122=D123,K122=K123,L122=L123,M122=M123,N122=N123,O122=O123,P122=P123,Q122=Q123,R122=R123,S122=S123,T122=T123,U122=U123,V122=V123,W122=W123,HEX2DEC(SUBSTITUTE(AH122,"0x",""))&lt;HEX2DEC(SUBSTITUTE(AH123,"0x",""))),"",MAX($AF$6:AF122)+1)))</f>
        <v/>
      </c>
      <c r="AG123" s="225" t="str">
        <f>IF(MAX(INDEX($AF:$AF,ROW($AG$6)):INDEX($AF:$AF,ROW(AG123)))+1=AF124,MAX(INDEX($AF:$AF,ROW($AG$6)):INDEX($AF:$AF,ROW(AG123))),"")</f>
        <v/>
      </c>
      <c r="AH123" s="6" t="str">
        <f t="shared" si="10"/>
        <v>0x4000034c</v>
      </c>
      <c r="AI123" s="6">
        <f t="shared" si="11"/>
        <v>1073742668</v>
      </c>
      <c r="AJ123" s="6" t="str">
        <f t="shared" si="12"/>
        <v/>
      </c>
      <c r="AK123" s="6" t="str">
        <f t="shared" si="9"/>
        <v/>
      </c>
      <c r="AL123" s="6" t="str">
        <f t="shared" si="13"/>
        <v/>
      </c>
      <c r="AN123" s="6" t="str">
        <f t="shared" si="14"/>
        <v>ok</v>
      </c>
    </row>
    <row r="124" spans="1:41">
      <c r="A124" s="7" t="s">
        <v>334</v>
      </c>
      <c r="B124" s="7" t="s">
        <v>333</v>
      </c>
      <c r="C124" s="7" t="s">
        <v>29</v>
      </c>
      <c r="D124" s="7">
        <v>8</v>
      </c>
      <c r="E124" s="7">
        <v>1000</v>
      </c>
      <c r="F124" s="7" t="s">
        <v>31</v>
      </c>
      <c r="G124" s="7" t="s">
        <v>32</v>
      </c>
      <c r="H124" s="7"/>
      <c r="I124" s="7"/>
      <c r="K124" s="6">
        <v>0</v>
      </c>
      <c r="L124" s="6">
        <v>0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89"/>
      <c r="Y124" s="6">
        <v>29</v>
      </c>
      <c r="Z124" s="118">
        <v>65535</v>
      </c>
      <c r="AA124" s="6">
        <v>32768</v>
      </c>
      <c r="AB124" s="118">
        <v>65535</v>
      </c>
      <c r="AE124" s="96"/>
      <c r="AF124" s="270" t="str">
        <f>IF(V124=1,MAX($AF$6:AF123)+1,IF(AF123="#",0,IF(AND(D123=D124,K123=K124,L123=L124,M123=M124,N123=N124,O123=O124,P123=P124,Q123=Q124,R123=R124,S123=S124,T123=T124,U123=U124,V123=V124,W123=W124,HEX2DEC(SUBSTITUTE(AH123,"0x",""))&lt;HEX2DEC(SUBSTITUTE(AH124,"0x",""))),"",MAX($AF$6:AF123)+1)))</f>
        <v/>
      </c>
      <c r="AG124" s="225">
        <f>IF(MAX(INDEX($AF:$AF,ROW($AG$6)):INDEX($AF:$AF,ROW(AG124)))+1=AF125,MAX(INDEX($AF:$AF,ROW($AG$6)):INDEX($AF:$AF,ROW(AG124))),"")</f>
        <v>71</v>
      </c>
      <c r="AH124" s="6" t="str">
        <f t="shared" si="10"/>
        <v>0x4000034d</v>
      </c>
      <c r="AI124" s="6">
        <f t="shared" si="11"/>
        <v>1073742669</v>
      </c>
      <c r="AJ124" s="6" t="str">
        <f t="shared" si="12"/>
        <v/>
      </c>
      <c r="AK124" s="6" t="str">
        <f t="shared" si="9"/>
        <v/>
      </c>
      <c r="AL124" s="6" t="str">
        <f t="shared" si="13"/>
        <v/>
      </c>
      <c r="AN124" s="6" t="str">
        <f t="shared" si="14"/>
        <v>ok</v>
      </c>
    </row>
    <row r="125" spans="1:41">
      <c r="A125" s="7" t="s">
        <v>339</v>
      </c>
      <c r="B125" s="7" t="s">
        <v>338</v>
      </c>
      <c r="C125" s="7" t="s">
        <v>29</v>
      </c>
      <c r="D125" s="7">
        <v>64</v>
      </c>
      <c r="E125" s="7">
        <v>2000</v>
      </c>
      <c r="F125" s="7" t="s">
        <v>31</v>
      </c>
      <c r="G125" s="7" t="s">
        <v>32</v>
      </c>
      <c r="H125" s="7"/>
      <c r="I125" s="7"/>
      <c r="K125" s="6">
        <v>0</v>
      </c>
      <c r="L125" s="6">
        <v>0</v>
      </c>
      <c r="M125" s="6">
        <v>0</v>
      </c>
      <c r="N125" s="6">
        <v>1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89"/>
      <c r="Y125" s="6">
        <v>29</v>
      </c>
      <c r="Z125" s="118">
        <v>65535</v>
      </c>
      <c r="AA125" s="6">
        <v>32768</v>
      </c>
      <c r="AB125" s="118">
        <v>65535</v>
      </c>
      <c r="AE125" s="96"/>
      <c r="AF125" s="270">
        <f>IF(V125=1,MAX($AF$6:AF124)+1,IF(AF124="#",0,IF(AND(D124=D125,K124=K125,L124=L125,M124=M125,N124=N125,O124=O125,P124=P125,Q124=Q125,R124=R125,S124=S125,T124=T125,U124=U125,V124=V125,W124=W125,HEX2DEC(SUBSTITUTE(AH124,"0x",""))&lt;HEX2DEC(SUBSTITUTE(AH125,"0x",""))),"",MAX($AF$6:AF124)+1)))</f>
        <v>72</v>
      </c>
      <c r="AG125" s="225">
        <f>IF(MAX(INDEX($AF:$AF,ROW($AG$6)):INDEX($AF:$AF,ROW(AG125)))+1=AF126,MAX(INDEX($AF:$AF,ROW($AG$6)):INDEX($AF:$AF,ROW(AG125))),"")</f>
        <v>72</v>
      </c>
      <c r="AH125" s="6" t="str">
        <f t="shared" si="10"/>
        <v>0x4000034e</v>
      </c>
      <c r="AI125" s="6">
        <f t="shared" si="11"/>
        <v>1073742670</v>
      </c>
      <c r="AJ125" s="6" t="str">
        <f t="shared" si="12"/>
        <v>0x4000034e</v>
      </c>
      <c r="AK125" s="6" t="str">
        <f t="shared" si="9"/>
        <v>0x4000034e</v>
      </c>
      <c r="AL125" s="6">
        <f t="shared" si="13"/>
        <v>64</v>
      </c>
      <c r="AN125" s="6" t="str">
        <f t="shared" si="14"/>
        <v>ok</v>
      </c>
    </row>
    <row r="126" spans="1:41">
      <c r="A126" s="7" t="s">
        <v>342</v>
      </c>
      <c r="B126" s="7" t="s">
        <v>341</v>
      </c>
      <c r="C126" s="7" t="s">
        <v>29</v>
      </c>
      <c r="D126" s="7">
        <v>8</v>
      </c>
      <c r="E126" s="7">
        <v>1000</v>
      </c>
      <c r="F126" s="7" t="s">
        <v>31</v>
      </c>
      <c r="G126" s="7" t="s">
        <v>32</v>
      </c>
      <c r="H126" s="7"/>
      <c r="I126" s="7"/>
      <c r="K126" s="6">
        <v>0</v>
      </c>
      <c r="L126" s="6">
        <v>0</v>
      </c>
      <c r="M126" s="6">
        <v>0</v>
      </c>
      <c r="N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89"/>
      <c r="Y126" s="6">
        <v>29</v>
      </c>
      <c r="Z126" s="118">
        <v>65535</v>
      </c>
      <c r="AA126" s="6">
        <v>32768</v>
      </c>
      <c r="AB126" s="118">
        <v>65535</v>
      </c>
      <c r="AE126" s="96"/>
      <c r="AF126" s="270">
        <f>IF(V126=1,MAX($AF$6:AF125)+1,IF(AF125="#",0,IF(AND(D125=D126,K125=K126,L125=L126,M125=M126,N125=N126,O125=O126,P125=P126,Q125=Q126,R125=R126,S125=S126,T125=T126,U125=U126,V125=V126,W125=W126,HEX2DEC(SUBSTITUTE(AH125,"0x",""))&lt;HEX2DEC(SUBSTITUTE(AH126,"0x",""))),"",MAX($AF$6:AF125)+1)))</f>
        <v>73</v>
      </c>
      <c r="AG126" s="225">
        <f>IF(MAX(INDEX($AF:$AF,ROW($AG$6)):INDEX($AF:$AF,ROW(AG126)))+1=AF127,MAX(INDEX($AF:$AF,ROW($AG$6)):INDEX($AF:$AF,ROW(AG126))),"")</f>
        <v>73</v>
      </c>
      <c r="AH126" s="6" t="str">
        <f t="shared" si="10"/>
        <v>0x4000034f</v>
      </c>
      <c r="AI126" s="6">
        <f t="shared" si="11"/>
        <v>1073742671</v>
      </c>
      <c r="AJ126" s="6" t="str">
        <f t="shared" si="12"/>
        <v>0x4000034f</v>
      </c>
      <c r="AK126" s="6" t="str">
        <f t="shared" si="9"/>
        <v>0x4000034f</v>
      </c>
      <c r="AL126" s="6">
        <f t="shared" si="13"/>
        <v>8</v>
      </c>
      <c r="AN126" s="6" t="str">
        <f t="shared" si="14"/>
        <v>ok</v>
      </c>
      <c r="AO126" s="6" t="s">
        <v>5</v>
      </c>
    </row>
    <row r="127" spans="1:41">
      <c r="A127" s="7" t="s">
        <v>349</v>
      </c>
      <c r="B127" s="7" t="s">
        <v>348</v>
      </c>
      <c r="C127" s="7" t="s">
        <v>29</v>
      </c>
      <c r="D127" s="7">
        <v>32</v>
      </c>
      <c r="E127" s="7">
        <v>1000</v>
      </c>
      <c r="F127" s="7" t="s">
        <v>31</v>
      </c>
      <c r="G127" s="7" t="s">
        <v>32</v>
      </c>
      <c r="H127" s="7"/>
      <c r="I127" s="7"/>
      <c r="K127" s="6">
        <v>0</v>
      </c>
      <c r="L127" s="6">
        <v>0</v>
      </c>
      <c r="M127" s="6">
        <v>0</v>
      </c>
      <c r="N127" s="6">
        <v>1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89"/>
      <c r="Y127" s="6">
        <v>29</v>
      </c>
      <c r="Z127" s="118">
        <v>65535</v>
      </c>
      <c r="AA127" s="6">
        <v>32768</v>
      </c>
      <c r="AB127" s="118">
        <v>65535</v>
      </c>
      <c r="AE127" s="96"/>
      <c r="AF127" s="270">
        <f>IF(V127=1,MAX($AF$6:AF126)+1,IF(AF126="#",0,IF(AND(D126=D127,K126=K127,L126=L127,M126=M127,N126=N127,O126=O127,P126=P127,Q126=Q127,R126=R127,S126=S127,T126=T127,U126=U127,V126=V127,W126=W127,HEX2DEC(SUBSTITUTE(AH126,"0x",""))&lt;HEX2DEC(SUBSTITUTE(AH127,"0x",""))),"",MAX($AF$6:AF126)+1)))</f>
        <v>74</v>
      </c>
      <c r="AG127" s="225" t="str">
        <f>IF(MAX(INDEX($AF:$AF,ROW($AG$6)):INDEX($AF:$AF,ROW(AG127)))+1=AF128,MAX(INDEX($AF:$AF,ROW($AG$6)):INDEX($AF:$AF,ROW(AG127))),"")</f>
        <v/>
      </c>
      <c r="AH127" s="6" t="str">
        <f t="shared" si="10"/>
        <v>0x40000353</v>
      </c>
      <c r="AI127" s="6">
        <f t="shared" si="11"/>
        <v>1073742675</v>
      </c>
      <c r="AJ127" s="6" t="str">
        <f t="shared" si="12"/>
        <v>0x40000353</v>
      </c>
      <c r="AK127" s="6" t="str">
        <f t="shared" si="9"/>
        <v>0x40000373</v>
      </c>
      <c r="AL127" s="6">
        <f t="shared" si="13"/>
        <v>32</v>
      </c>
      <c r="AN127" s="6" t="str">
        <f t="shared" si="14"/>
        <v>ok</v>
      </c>
    </row>
    <row r="128" spans="1:41">
      <c r="A128" s="7" t="s">
        <v>796</v>
      </c>
      <c r="B128" s="7" t="s">
        <v>797</v>
      </c>
      <c r="C128" s="7" t="s">
        <v>29</v>
      </c>
      <c r="D128" s="7">
        <v>32</v>
      </c>
      <c r="E128" s="7">
        <v>1000</v>
      </c>
      <c r="F128" s="7" t="s">
        <v>29</v>
      </c>
      <c r="G128" s="7" t="s">
        <v>32</v>
      </c>
      <c r="H128" s="7"/>
      <c r="I128" s="7"/>
      <c r="K128" s="6">
        <v>0</v>
      </c>
      <c r="L128" s="6">
        <v>0</v>
      </c>
      <c r="M128" s="6">
        <v>0</v>
      </c>
      <c r="N128" s="6">
        <v>1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89"/>
      <c r="Y128" s="6">
        <v>29</v>
      </c>
      <c r="Z128" s="118">
        <v>65535</v>
      </c>
      <c r="AA128" s="6">
        <v>32768</v>
      </c>
      <c r="AB128" s="118">
        <v>65535</v>
      </c>
      <c r="AE128" s="96"/>
      <c r="AF128" s="270" t="str">
        <f>IF(V128=1,MAX($AF$6:AF127)+1,IF(AF127="#",0,IF(AND(D127=D128,K127=K128,L127=L128,M127=M128,N127=N128,O127=O128,P127=P128,Q127=Q128,R127=R128,S127=S128,T127=T128,U127=U128,V127=V128,W127=W128,HEX2DEC(SUBSTITUTE(AH127,"0x",""))&lt;HEX2DEC(SUBSTITUTE(AH128,"0x",""))),"",MAX($AF$6:AF127)+1)))</f>
        <v/>
      </c>
      <c r="AG128" s="225">
        <f>IF(MAX(INDEX($AF:$AF,ROW($AG$6)):INDEX($AF:$AF,ROW(AG128)))+1=AF129,MAX(INDEX($AF:$AF,ROW($AG$6)):INDEX($AF:$AF,ROW(AG128))),"")</f>
        <v>74</v>
      </c>
      <c r="AH128" s="6" t="str">
        <f t="shared" si="10"/>
        <v>0x40000373</v>
      </c>
      <c r="AI128" s="6">
        <f t="shared" si="11"/>
        <v>1073742707</v>
      </c>
      <c r="AJ128" s="6" t="str">
        <f t="shared" si="12"/>
        <v/>
      </c>
      <c r="AK128" s="6" t="str">
        <f t="shared" si="9"/>
        <v/>
      </c>
      <c r="AL128" s="6" t="str">
        <f t="shared" si="13"/>
        <v/>
      </c>
      <c r="AN128" s="6" t="str">
        <f t="shared" si="14"/>
        <v>ok</v>
      </c>
      <c r="AO128" s="6" t="s">
        <v>5</v>
      </c>
    </row>
    <row r="129" spans="1:41">
      <c r="A129" s="7" t="s">
        <v>354</v>
      </c>
      <c r="B129" s="7" t="s">
        <v>353</v>
      </c>
      <c r="C129" s="7" t="s">
        <v>29</v>
      </c>
      <c r="D129" s="7">
        <v>32</v>
      </c>
      <c r="E129" s="7">
        <v>1000</v>
      </c>
      <c r="F129" s="7" t="s">
        <v>31</v>
      </c>
      <c r="G129" s="7" t="s">
        <v>32</v>
      </c>
      <c r="H129" s="7"/>
      <c r="I129" s="7"/>
      <c r="K129" s="6">
        <v>0</v>
      </c>
      <c r="L129" s="6">
        <v>0</v>
      </c>
      <c r="M129" s="6">
        <v>0</v>
      </c>
      <c r="N129" s="6">
        <v>1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89"/>
      <c r="Y129" s="6">
        <v>29</v>
      </c>
      <c r="Z129" s="118">
        <v>65535</v>
      </c>
      <c r="AA129" s="6">
        <v>32768</v>
      </c>
      <c r="AB129" s="118">
        <v>65535</v>
      </c>
      <c r="AE129" s="96"/>
      <c r="AF129" s="270">
        <f>IF(V129=1,MAX($AF$6:AF128)+1,IF(AF128="#",0,IF(AND(D128=D129,K128=K129,L128=L129,M128=M129,N128=N129,O128=O129,P128=P129,Q128=Q129,R128=R129,S128=S129,T128=T129,U128=U129,V128=V129,W128=W129,HEX2DEC(SUBSTITUTE(AH128,"0x",""))&lt;HEX2DEC(SUBSTITUTE(AH129,"0x",""))),"",MAX($AF$6:AF128)+1)))</f>
        <v>75</v>
      </c>
      <c r="AG129" s="225" t="str">
        <f>IF(MAX(INDEX($AF:$AF,ROW($AG$6)):INDEX($AF:$AF,ROW(AG129)))+1=AF130,MAX(INDEX($AF:$AF,ROW($AG$6)):INDEX($AF:$AF,ROW(AG129))),"")</f>
        <v/>
      </c>
      <c r="AH129" s="6" t="str">
        <f t="shared" si="10"/>
        <v>0x40000354</v>
      </c>
      <c r="AI129" s="6">
        <f t="shared" si="11"/>
        <v>1073742676</v>
      </c>
      <c r="AJ129" s="6" t="str">
        <f t="shared" si="12"/>
        <v>0x40000354</v>
      </c>
      <c r="AK129" s="6" t="str">
        <f t="shared" si="9"/>
        <v>0x40000358</v>
      </c>
      <c r="AL129" s="6">
        <f t="shared" si="13"/>
        <v>32</v>
      </c>
      <c r="AN129" s="6" t="str">
        <f t="shared" si="14"/>
        <v>not ok</v>
      </c>
    </row>
    <row r="130" spans="1:41">
      <c r="A130" s="7" t="s">
        <v>798</v>
      </c>
      <c r="B130" s="7" t="s">
        <v>356</v>
      </c>
      <c r="C130" s="7" t="s">
        <v>29</v>
      </c>
      <c r="D130" s="7">
        <v>32</v>
      </c>
      <c r="E130" s="7">
        <v>1000</v>
      </c>
      <c r="F130" s="7" t="s">
        <v>29</v>
      </c>
      <c r="G130" s="7" t="s">
        <v>32</v>
      </c>
      <c r="H130" s="7"/>
      <c r="I130" s="7"/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89"/>
      <c r="Y130" s="6">
        <v>29</v>
      </c>
      <c r="Z130" s="118">
        <v>65535</v>
      </c>
      <c r="AA130" s="6">
        <v>32768</v>
      </c>
      <c r="AB130" s="118">
        <v>65535</v>
      </c>
      <c r="AE130" s="96"/>
      <c r="AF130" s="270" t="str">
        <f>IF(V130=1,MAX($AF$6:AF129)+1,IF(AF129="#",0,IF(AND(D129=D130,K129=K130,L129=L130,M129=M130,N129=N130,O129=O130,P129=P130,Q129=Q130,R129=R130,S129=S130,T129=T130,U129=U130,V129=V130,W129=W130,HEX2DEC(SUBSTITUTE(AH129,"0x",""))&lt;HEX2DEC(SUBSTITUTE(AH130,"0x",""))),"",MAX($AF$6:AF129)+1)))</f>
        <v/>
      </c>
      <c r="AG130" s="225" t="str">
        <f>IF(MAX(INDEX($AF:$AF,ROW($AG$6)):INDEX($AF:$AF,ROW(AG130)))+1=AF131,MAX(INDEX($AF:$AF,ROW($AG$6)):INDEX($AF:$AF,ROW(AG130))),"")</f>
        <v/>
      </c>
      <c r="AH130" s="6" t="str">
        <f t="shared" si="10"/>
        <v>0x40000355</v>
      </c>
      <c r="AI130" s="6">
        <f t="shared" si="11"/>
        <v>1073742677</v>
      </c>
      <c r="AJ130" s="6" t="str">
        <f t="shared" si="12"/>
        <v/>
      </c>
      <c r="AK130" s="6" t="str">
        <f t="shared" si="9"/>
        <v/>
      </c>
      <c r="AL130" s="6" t="str">
        <f t="shared" si="13"/>
        <v/>
      </c>
      <c r="AN130" s="6" t="str">
        <f t="shared" si="14"/>
        <v>ok</v>
      </c>
      <c r="AO130" s="6" t="s">
        <v>5</v>
      </c>
    </row>
    <row r="131" spans="1:41">
      <c r="A131" s="7" t="s">
        <v>799</v>
      </c>
      <c r="B131" s="7" t="s">
        <v>360</v>
      </c>
      <c r="C131" s="7" t="s">
        <v>29</v>
      </c>
      <c r="D131" s="7">
        <v>32</v>
      </c>
      <c r="E131" s="7">
        <v>1000</v>
      </c>
      <c r="F131" s="7" t="s">
        <v>29</v>
      </c>
      <c r="G131" s="7" t="s">
        <v>32</v>
      </c>
      <c r="H131" s="7"/>
      <c r="I131" s="7"/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89"/>
      <c r="Y131" s="6">
        <v>29</v>
      </c>
      <c r="Z131" s="118">
        <v>65535</v>
      </c>
      <c r="AA131" s="6">
        <v>32768</v>
      </c>
      <c r="AB131" s="118">
        <v>65535</v>
      </c>
      <c r="AE131" s="96"/>
      <c r="AF131" s="270" t="str">
        <f>IF(V131=1,MAX($AF$6:AF130)+1,IF(AF130="#",0,IF(AND(D130=D131,K130=K131,L130=L131,M130=M131,N130=N131,O130=O131,P130=P131,Q130=Q131,R130=R131,S130=S131,T130=T131,U130=U131,V130=V131,W130=W131,HEX2DEC(SUBSTITUTE(AH130,"0x",""))&lt;HEX2DEC(SUBSTITUTE(AH131,"0x",""))),"",MAX($AF$6:AF130)+1)))</f>
        <v/>
      </c>
      <c r="AG131" s="225">
        <f>IF(MAX(INDEX($AF:$AF,ROW($AG$6)):INDEX($AF:$AF,ROW(AG131)))+1=AF132,MAX(INDEX($AF:$AF,ROW($AG$6)):INDEX($AF:$AF,ROW(AG131))),"")</f>
        <v>75</v>
      </c>
      <c r="AH131" s="6" t="str">
        <f t="shared" si="10"/>
        <v>0x40000358</v>
      </c>
      <c r="AI131" s="6">
        <f t="shared" si="11"/>
        <v>1073742680</v>
      </c>
      <c r="AJ131" s="6" t="str">
        <f t="shared" si="12"/>
        <v/>
      </c>
      <c r="AK131" s="6" t="str">
        <f t="shared" si="9"/>
        <v/>
      </c>
      <c r="AL131" s="6" t="str">
        <f t="shared" si="13"/>
        <v/>
      </c>
      <c r="AN131" s="6" t="str">
        <f t="shared" si="14"/>
        <v>ok</v>
      </c>
      <c r="AO131" s="6" t="s">
        <v>5</v>
      </c>
    </row>
    <row r="132" spans="1:41">
      <c r="A132" s="7" t="s">
        <v>800</v>
      </c>
      <c r="B132" s="7" t="s">
        <v>388</v>
      </c>
      <c r="C132" s="7" t="s">
        <v>29</v>
      </c>
      <c r="D132" s="7">
        <v>64</v>
      </c>
      <c r="E132" s="7">
        <v>2000</v>
      </c>
      <c r="F132" s="7" t="s">
        <v>29</v>
      </c>
      <c r="G132" s="7" t="s">
        <v>32</v>
      </c>
      <c r="H132" s="7"/>
      <c r="I132" s="7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0</v>
      </c>
      <c r="X132" s="89"/>
      <c r="Y132" s="6">
        <v>4</v>
      </c>
      <c r="Z132" s="87">
        <f>VLOOKUP(A132,SecOC_Cfg.h!$C$33:$D$61,2,FALSE)</f>
        <v>27</v>
      </c>
      <c r="AA132" s="118">
        <v>65535</v>
      </c>
      <c r="AB132" s="118">
        <v>65535</v>
      </c>
      <c r="AE132" s="96"/>
      <c r="AF132" s="270">
        <f>IF(V132=1,MAX($AF$6:AF131)+1,IF(AF131="#",0,IF(AND(D131=D132,K131=K132,L131=L132,M131=M132,N131=N132,O131=O132,P131=P132,Q131=Q132,R131=R132,S131=S132,T131=T132,U131=U132,V131=V132,W131=W132,HEX2DEC(SUBSTITUTE(AH131,"0x",""))&lt;HEX2DEC(SUBSTITUTE(AH132,"0x",""))),"",MAX($AF$6:AF131)+1)))</f>
        <v>76</v>
      </c>
      <c r="AG132" s="225">
        <f>IF(MAX(INDEX($AF:$AF,ROW($AG$6)):INDEX($AF:$AF,ROW(AG132)))+1=AF133,MAX(INDEX($AF:$AF,ROW($AG$6)):INDEX($AF:$AF,ROW(AG132))),"")</f>
        <v>76</v>
      </c>
      <c r="AH132" s="6" t="str">
        <f t="shared" si="10"/>
        <v>0x40000378</v>
      </c>
      <c r="AI132" s="6">
        <f t="shared" si="11"/>
        <v>1073742712</v>
      </c>
      <c r="AJ132" s="6" t="str">
        <f t="shared" si="12"/>
        <v>0x40000378</v>
      </c>
      <c r="AK132" s="6" t="str">
        <f t="shared" si="9"/>
        <v>0x40000378</v>
      </c>
      <c r="AL132" s="6">
        <f t="shared" si="13"/>
        <v>64</v>
      </c>
      <c r="AN132" s="6" t="str">
        <f t="shared" si="14"/>
        <v>ok</v>
      </c>
    </row>
    <row r="133" spans="1:41">
      <c r="A133" s="7" t="s">
        <v>801</v>
      </c>
      <c r="B133" s="7" t="s">
        <v>362</v>
      </c>
      <c r="C133" s="7" t="s">
        <v>29</v>
      </c>
      <c r="D133" s="7">
        <v>32</v>
      </c>
      <c r="E133" s="7">
        <v>1000</v>
      </c>
      <c r="F133" s="7" t="s">
        <v>29</v>
      </c>
      <c r="G133" s="7" t="s">
        <v>32</v>
      </c>
      <c r="H133" s="7"/>
      <c r="I133" s="7"/>
      <c r="K133" s="6">
        <v>0</v>
      </c>
      <c r="L133" s="6">
        <v>0</v>
      </c>
      <c r="M133" s="6">
        <v>0</v>
      </c>
      <c r="N133" s="6">
        <v>1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89"/>
      <c r="Y133" s="6">
        <v>29</v>
      </c>
      <c r="Z133" s="118">
        <v>65535</v>
      </c>
      <c r="AA133" s="6">
        <v>32768</v>
      </c>
      <c r="AB133" s="118">
        <v>65535</v>
      </c>
      <c r="AE133" s="96"/>
      <c r="AF133" s="270">
        <f>IF(V133=1,MAX($AF$6:AF132)+1,IF(AF132="#",0,IF(AND(D132=D133,K132=K133,L132=L133,M132=M133,N132=N133,O132=O133,P132=P133,Q132=Q133,R132=R133,S132=S133,T132=T133,U132=U133,V132=V133,W132=W133,HEX2DEC(SUBSTITUTE(AH132,"0x",""))&lt;HEX2DEC(SUBSTITUTE(AH133,"0x",""))),"",MAX($AF$6:AF132)+1)))</f>
        <v>77</v>
      </c>
      <c r="AG133" s="225" t="str">
        <f>IF(MAX(INDEX($AF:$AF,ROW($AG$6)):INDEX($AF:$AF,ROW(AG133)))+1=AF134,MAX(INDEX($AF:$AF,ROW($AG$6)):INDEX($AF:$AF,ROW(AG133))),"")</f>
        <v/>
      </c>
      <c r="AH133" s="6" t="str">
        <f t="shared" si="10"/>
        <v>0x4000035d</v>
      </c>
      <c r="AI133" s="6">
        <f t="shared" si="11"/>
        <v>1073742685</v>
      </c>
      <c r="AJ133" s="6" t="str">
        <f t="shared" si="12"/>
        <v>0x4000035d</v>
      </c>
      <c r="AK133" s="6" t="str">
        <f t="shared" si="9"/>
        <v>0x40000363</v>
      </c>
      <c r="AL133" s="6">
        <f t="shared" si="13"/>
        <v>32</v>
      </c>
      <c r="AN133" s="6" t="str">
        <f t="shared" si="14"/>
        <v>not ok</v>
      </c>
      <c r="AO133" s="6" t="s">
        <v>5</v>
      </c>
    </row>
    <row r="134" spans="1:41">
      <c r="A134" s="7" t="s">
        <v>368</v>
      </c>
      <c r="B134" s="7" t="s">
        <v>367</v>
      </c>
      <c r="C134" s="7" t="s">
        <v>29</v>
      </c>
      <c r="D134" s="7">
        <v>32</v>
      </c>
      <c r="E134" s="7">
        <v>1000</v>
      </c>
      <c r="F134" s="7" t="s">
        <v>31</v>
      </c>
      <c r="G134" s="7" t="s">
        <v>32</v>
      </c>
      <c r="H134" s="7"/>
      <c r="I134" s="7"/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89"/>
      <c r="Y134" s="6">
        <v>29</v>
      </c>
      <c r="Z134" s="118">
        <v>65535</v>
      </c>
      <c r="AA134" s="6">
        <v>32768</v>
      </c>
      <c r="AB134" s="118">
        <v>65535</v>
      </c>
      <c r="AE134" s="96"/>
      <c r="AF134" s="270" t="str">
        <f>IF(V134=1,MAX($AF$6:AF133)+1,IF(AF133="#",0,IF(AND(D133=D134,K133=K134,L133=L134,M133=M134,N133=N134,O133=O134,P133=P134,Q133=Q134,R133=R134,S133=S134,T133=T134,U133=U134,V133=V134,W133=W134,HEX2DEC(SUBSTITUTE(AH133,"0x",""))&lt;HEX2DEC(SUBSTITUTE(AH134,"0x",""))),"",MAX($AF$6:AF133)+1)))</f>
        <v/>
      </c>
      <c r="AG134" s="225" t="str">
        <f>IF(MAX(INDEX($AF:$AF,ROW($AG$6)):INDEX($AF:$AF,ROW(AG134)))+1=AF135,MAX(INDEX($AF:$AF,ROW($AG$6)):INDEX($AF:$AF,ROW(AG134))),"")</f>
        <v/>
      </c>
      <c r="AH134" s="6" t="str">
        <f t="shared" si="10"/>
        <v>0x4000035f</v>
      </c>
      <c r="AI134" s="6">
        <f t="shared" si="11"/>
        <v>1073742687</v>
      </c>
      <c r="AJ134" s="6" t="str">
        <f t="shared" si="12"/>
        <v/>
      </c>
      <c r="AK134" s="6" t="str">
        <f t="shared" ref="AK134:AK197" si="15">IF(AF134&lt;&gt;"",VLOOKUP(AF134,$AG$6:$AH$286,2,TRUE),"")</f>
        <v/>
      </c>
      <c r="AL134" s="6" t="str">
        <f t="shared" si="13"/>
        <v/>
      </c>
      <c r="AN134" s="6" t="str">
        <f t="shared" si="14"/>
        <v>ok</v>
      </c>
    </row>
    <row r="135" spans="1:41">
      <c r="A135" s="7" t="s">
        <v>371</v>
      </c>
      <c r="B135" s="7" t="s">
        <v>370</v>
      </c>
      <c r="C135" s="7" t="s">
        <v>29</v>
      </c>
      <c r="D135" s="7">
        <v>32</v>
      </c>
      <c r="E135" s="7" t="s">
        <v>30</v>
      </c>
      <c r="F135" s="7" t="s">
        <v>31</v>
      </c>
      <c r="G135" s="7" t="s">
        <v>32</v>
      </c>
      <c r="H135" s="7"/>
      <c r="I135" s="7"/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89"/>
      <c r="Y135" s="6">
        <v>29</v>
      </c>
      <c r="Z135" s="118">
        <v>65535</v>
      </c>
      <c r="AA135" s="6">
        <v>32768</v>
      </c>
      <c r="AB135" s="118">
        <v>65535</v>
      </c>
      <c r="AE135" s="96"/>
      <c r="AF135" s="270" t="str">
        <f>IF(V135=1,MAX($AF$6:AF134)+1,IF(AF134="#",0,IF(AND(D134=D135,K134=K135,L134=L135,M134=M135,N134=N135,O134=O135,P134=P135,Q134=Q135,R134=R135,S134=S135,T134=T135,U134=U135,V134=V135,W134=W135,HEX2DEC(SUBSTITUTE(AH134,"0x",""))&lt;HEX2DEC(SUBSTITUTE(AH135,"0x",""))),"",MAX($AF$6:AF134)+1)))</f>
        <v/>
      </c>
      <c r="AG135" s="225">
        <f>IF(MAX(INDEX($AF:$AF,ROW($AG$6)):INDEX($AF:$AF,ROW(AG135)))+1=AF136,MAX(INDEX($AF:$AF,ROW($AG$6)):INDEX($AF:$AF,ROW(AG135))),"")</f>
        <v>77</v>
      </c>
      <c r="AH135" s="6" t="str">
        <f t="shared" ref="AH135:AH198" si="16">LOWER(IF(C135="1", "0x40000"&amp;B135,"0x00000"&amp;B135))</f>
        <v>0x40000363</v>
      </c>
      <c r="AI135" s="6">
        <f t="shared" ref="AI135:AI198" si="17">HEX2DEC(RIGHT(AH135,8))</f>
        <v>1073742691</v>
      </c>
      <c r="AJ135" s="6" t="str">
        <f t="shared" ref="AJ135:AJ198" si="18">IF(AF135&lt;&gt;"",AH135,"")</f>
        <v/>
      </c>
      <c r="AK135" s="6" t="str">
        <f t="shared" si="15"/>
        <v/>
      </c>
      <c r="AL135" s="6" t="str">
        <f t="shared" ref="AL135:AL198" si="19">IF($AF135&lt;&gt;"",MIN($D135:$D135),"")</f>
        <v/>
      </c>
      <c r="AN135" s="6" t="str">
        <f t="shared" si="14"/>
        <v>ok</v>
      </c>
      <c r="AO135" s="6" t="s">
        <v>5</v>
      </c>
    </row>
    <row r="136" spans="1:41">
      <c r="A136" s="7" t="s">
        <v>375</v>
      </c>
      <c r="B136" s="7" t="s">
        <v>374</v>
      </c>
      <c r="C136" s="7" t="s">
        <v>29</v>
      </c>
      <c r="D136" s="7">
        <v>8</v>
      </c>
      <c r="E136" s="7">
        <v>1000</v>
      </c>
      <c r="F136" s="7" t="s">
        <v>31</v>
      </c>
      <c r="G136" s="7" t="s">
        <v>32</v>
      </c>
      <c r="H136" s="7"/>
      <c r="I136" s="7"/>
      <c r="K136" s="6">
        <v>0</v>
      </c>
      <c r="L136" s="6">
        <v>0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89"/>
      <c r="Y136" s="6">
        <v>29</v>
      </c>
      <c r="Z136" s="118">
        <v>65535</v>
      </c>
      <c r="AA136" s="6">
        <v>32768</v>
      </c>
      <c r="AB136" s="118">
        <v>65535</v>
      </c>
      <c r="AE136" s="96"/>
      <c r="AF136" s="270">
        <f>IF(V136=1,MAX($AF$6:AF135)+1,IF(AF135="#",0,IF(AND(D135=D136,K135=K136,L135=L136,M135=M136,N135=N136,O135=O136,P135=P136,Q135=Q136,R135=R136,S135=S136,T135=T136,U135=U136,V135=V136,W135=W136,HEX2DEC(SUBSTITUTE(AH135,"0x",""))&lt;HEX2DEC(SUBSTITUTE(AH136,"0x",""))),"",MAX($AF$6:AF135)+1)))</f>
        <v>78</v>
      </c>
      <c r="AG136" s="225" t="str">
        <f>IF(MAX(INDEX($AF:$AF,ROW($AG$6)):INDEX($AF:$AF,ROW(AG136)))+1=AF137,MAX(INDEX($AF:$AF,ROW($AG$6)):INDEX($AF:$AF,ROW(AG136))),"")</f>
        <v/>
      </c>
      <c r="AH136" s="6" t="str">
        <f t="shared" si="16"/>
        <v>0x40000367</v>
      </c>
      <c r="AI136" s="6">
        <f t="shared" si="17"/>
        <v>1073742695</v>
      </c>
      <c r="AJ136" s="6" t="str">
        <f t="shared" si="18"/>
        <v>0x40000367</v>
      </c>
      <c r="AK136" s="6" t="str">
        <f t="shared" si="15"/>
        <v>0x4000036f</v>
      </c>
      <c r="AL136" s="6">
        <f t="shared" si="19"/>
        <v>8</v>
      </c>
      <c r="AN136" s="6" t="str">
        <f t="shared" ref="AN136:AN199" si="20">IF(AI135&lt;AI136,"ok","not ok")</f>
        <v>ok</v>
      </c>
    </row>
    <row r="137" spans="1:41">
      <c r="A137" s="7" t="s">
        <v>379</v>
      </c>
      <c r="B137" s="7" t="s">
        <v>378</v>
      </c>
      <c r="C137" s="7" t="s">
        <v>29</v>
      </c>
      <c r="D137" s="7">
        <v>8</v>
      </c>
      <c r="E137" s="7">
        <v>1000</v>
      </c>
      <c r="F137" s="7" t="s">
        <v>31</v>
      </c>
      <c r="G137" s="7" t="s">
        <v>32</v>
      </c>
      <c r="H137" s="7"/>
      <c r="I137" s="7"/>
      <c r="K137" s="6">
        <v>0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89"/>
      <c r="Y137" s="6">
        <v>29</v>
      </c>
      <c r="Z137" s="118">
        <v>65535</v>
      </c>
      <c r="AA137" s="6">
        <v>32768</v>
      </c>
      <c r="AB137" s="118">
        <v>65535</v>
      </c>
      <c r="AE137" s="96"/>
      <c r="AF137" s="270" t="str">
        <f>IF(V137=1,MAX($AF$6:AF136)+1,IF(AF136="#",0,IF(AND(D136=D137,K136=K137,L136=L137,M136=M137,N136=N137,O136=O137,P136=P137,Q136=Q137,R136=R137,S136=S137,T136=T137,U136=U137,V136=V137,W136=W137,HEX2DEC(SUBSTITUTE(AH136,"0x",""))&lt;HEX2DEC(SUBSTITUTE(AH137,"0x",""))),"",MAX($AF$6:AF136)+1)))</f>
        <v/>
      </c>
      <c r="AG137" s="225" t="str">
        <f>IF(MAX(INDEX($AF:$AF,ROW($AG$6)):INDEX($AF:$AF,ROW(AG137)))+1=AF138,MAX(INDEX($AF:$AF,ROW($AG$6)):INDEX($AF:$AF,ROW(AG137))),"")</f>
        <v/>
      </c>
      <c r="AH137" s="6" t="str">
        <f t="shared" si="16"/>
        <v>0x4000036b</v>
      </c>
      <c r="AI137" s="6">
        <f t="shared" si="17"/>
        <v>1073742699</v>
      </c>
      <c r="AJ137" s="6" t="str">
        <f t="shared" si="18"/>
        <v/>
      </c>
      <c r="AK137" s="6" t="str">
        <f t="shared" si="15"/>
        <v/>
      </c>
      <c r="AL137" s="6" t="str">
        <f t="shared" si="19"/>
        <v/>
      </c>
      <c r="AN137" s="6" t="str">
        <f t="shared" si="20"/>
        <v>ok</v>
      </c>
    </row>
    <row r="138" spans="1:41">
      <c r="A138" s="7" t="s">
        <v>387</v>
      </c>
      <c r="B138" s="7" t="s">
        <v>386</v>
      </c>
      <c r="C138" s="7" t="s">
        <v>29</v>
      </c>
      <c r="D138" s="7">
        <v>8</v>
      </c>
      <c r="E138" s="7">
        <v>1000</v>
      </c>
      <c r="F138" s="7" t="s">
        <v>31</v>
      </c>
      <c r="G138" s="7" t="s">
        <v>32</v>
      </c>
      <c r="H138" s="7"/>
      <c r="I138" s="7"/>
      <c r="K138" s="6">
        <v>0</v>
      </c>
      <c r="L138" s="6">
        <v>0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89"/>
      <c r="Y138" s="6">
        <v>29</v>
      </c>
      <c r="Z138" s="118">
        <v>65535</v>
      </c>
      <c r="AA138" s="6">
        <v>32768</v>
      </c>
      <c r="AB138" s="118">
        <v>65535</v>
      </c>
      <c r="AE138" s="96"/>
      <c r="AF138" s="270" t="str">
        <f>IF(V138=1,MAX($AF$6:AF137)+1,IF(AF137="#",0,IF(AND(D137=D138,K137=K138,L137=L138,M137=M138,N137=N138,O137=O138,P137=P138,Q137=Q138,R137=R138,S137=S138,T137=T138,U137=U138,V137=V138,W137=W138,HEX2DEC(SUBSTITUTE(AH137,"0x",""))&lt;HEX2DEC(SUBSTITUTE(AH138,"0x",""))),"",MAX($AF$6:AF137)+1)))</f>
        <v/>
      </c>
      <c r="AG138" s="225">
        <f>IF(MAX(INDEX($AF:$AF,ROW($AG$6)):INDEX($AF:$AF,ROW(AG138)))+1=AF139,MAX(INDEX($AF:$AF,ROW($AG$6)):INDEX($AF:$AF,ROW(AG138))),"")</f>
        <v>78</v>
      </c>
      <c r="AH138" s="6" t="str">
        <f t="shared" si="16"/>
        <v>0x4000036f</v>
      </c>
      <c r="AI138" s="6">
        <f t="shared" si="17"/>
        <v>1073742703</v>
      </c>
      <c r="AJ138" s="6" t="str">
        <f t="shared" si="18"/>
        <v/>
      </c>
      <c r="AK138" s="6" t="str">
        <f t="shared" si="15"/>
        <v/>
      </c>
      <c r="AL138" s="6" t="str">
        <f t="shared" si="19"/>
        <v/>
      </c>
      <c r="AN138" s="6" t="str">
        <f t="shared" si="20"/>
        <v>ok</v>
      </c>
    </row>
    <row r="139" spans="1:41">
      <c r="A139" s="7" t="s">
        <v>373</v>
      </c>
      <c r="B139" s="7" t="s">
        <v>372</v>
      </c>
      <c r="C139" s="7" t="s">
        <v>29</v>
      </c>
      <c r="D139" s="7">
        <v>8</v>
      </c>
      <c r="E139" s="7">
        <v>1000</v>
      </c>
      <c r="F139" s="7" t="s">
        <v>31</v>
      </c>
      <c r="G139" s="7" t="s">
        <v>32</v>
      </c>
      <c r="H139" s="7"/>
      <c r="I139" s="7"/>
      <c r="K139" s="6">
        <v>0</v>
      </c>
      <c r="L139" s="6">
        <v>0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89"/>
      <c r="Y139" s="6">
        <v>29</v>
      </c>
      <c r="Z139" s="118">
        <v>65535</v>
      </c>
      <c r="AA139" s="6">
        <v>32768</v>
      </c>
      <c r="AB139" s="118">
        <v>65535</v>
      </c>
      <c r="AE139" s="96"/>
      <c r="AF139" s="270">
        <f>IF(V139=1,MAX($AF$6:AF138)+1,IF(AF138="#",0,IF(AND(D138=D139,K138=K139,L138=L139,M138=M139,N138=N139,O138=O139,P138=P139,Q138=Q139,R138=R139,S138=S139,T138=T139,U138=U139,V138=V139,W138=W139,HEX2DEC(SUBSTITUTE(AH138,"0x",""))&lt;HEX2DEC(SUBSTITUTE(AH139,"0x",""))),"",MAX($AF$6:AF138)+1)))</f>
        <v>79</v>
      </c>
      <c r="AG139" s="225" t="str">
        <f>IF(MAX(INDEX($AF:$AF,ROW($AG$6)):INDEX($AF:$AF,ROW(AG139)))+1=AF140,MAX(INDEX($AF:$AF,ROW($AG$6)):INDEX($AF:$AF,ROW(AG139))),"")</f>
        <v/>
      </c>
      <c r="AH139" s="6" t="str">
        <f t="shared" si="16"/>
        <v>0x40000364</v>
      </c>
      <c r="AI139" s="6">
        <f t="shared" si="17"/>
        <v>1073742692</v>
      </c>
      <c r="AJ139" s="6" t="str">
        <f t="shared" si="18"/>
        <v>0x40000364</v>
      </c>
      <c r="AK139" s="6" t="str">
        <f t="shared" si="15"/>
        <v>0x4000036c</v>
      </c>
      <c r="AL139" s="6">
        <f t="shared" si="19"/>
        <v>8</v>
      </c>
      <c r="AN139" s="6" t="str">
        <f t="shared" si="20"/>
        <v>not ok</v>
      </c>
      <c r="AO139" s="6" t="s">
        <v>5</v>
      </c>
    </row>
    <row r="140" spans="1:41">
      <c r="A140" s="7" t="s">
        <v>382</v>
      </c>
      <c r="B140" s="7" t="s">
        <v>381</v>
      </c>
      <c r="C140" s="7" t="s">
        <v>29</v>
      </c>
      <c r="D140" s="7">
        <v>8</v>
      </c>
      <c r="E140" s="7">
        <v>1000</v>
      </c>
      <c r="F140" s="7" t="s">
        <v>31</v>
      </c>
      <c r="G140" s="7" t="s">
        <v>32</v>
      </c>
      <c r="H140" s="7"/>
      <c r="I140" s="7"/>
      <c r="K140" s="6">
        <v>0</v>
      </c>
      <c r="L140" s="6">
        <v>0</v>
      </c>
      <c r="M140" s="6">
        <v>0</v>
      </c>
      <c r="N140" s="6">
        <v>1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89"/>
      <c r="Y140" s="6">
        <v>29</v>
      </c>
      <c r="Z140" s="118">
        <v>65535</v>
      </c>
      <c r="AA140" s="6">
        <v>32768</v>
      </c>
      <c r="AB140" s="118">
        <v>65535</v>
      </c>
      <c r="AE140" s="96"/>
      <c r="AF140" s="270" t="str">
        <f>IF(V140=1,MAX($AF$6:AF139)+1,IF(AF139="#",0,IF(AND(D139=D140,K139=K140,L139=L140,M139=M140,N139=N140,O139=O140,P139=P140,Q139=Q140,R139=R140,S139=S140,T139=T140,U139=U140,V139=V140,W139=W140,HEX2DEC(SUBSTITUTE(AH139,"0x",""))&lt;HEX2DEC(SUBSTITUTE(AH140,"0x",""))),"",MAX($AF$6:AF139)+1)))</f>
        <v/>
      </c>
      <c r="AG140" s="225">
        <f>IF(MAX(INDEX($AF:$AF,ROW($AG$6)):INDEX($AF:$AF,ROW(AG140)))+1=AF141,MAX(INDEX($AF:$AF,ROW($AG$6)):INDEX($AF:$AF,ROW(AG140))),"")</f>
        <v>79</v>
      </c>
      <c r="AH140" s="6" t="str">
        <f t="shared" si="16"/>
        <v>0x4000036c</v>
      </c>
      <c r="AI140" s="6">
        <f t="shared" si="17"/>
        <v>1073742700</v>
      </c>
      <c r="AJ140" s="6" t="str">
        <f t="shared" si="18"/>
        <v/>
      </c>
      <c r="AK140" s="6" t="str">
        <f t="shared" si="15"/>
        <v/>
      </c>
      <c r="AL140" s="6" t="str">
        <f t="shared" si="19"/>
        <v/>
      </c>
      <c r="AN140" s="6" t="str">
        <f t="shared" si="20"/>
        <v>ok</v>
      </c>
    </row>
    <row r="141" spans="1:41">
      <c r="A141" s="7" t="s">
        <v>384</v>
      </c>
      <c r="B141" s="7" t="s">
        <v>383</v>
      </c>
      <c r="C141" s="7" t="s">
        <v>29</v>
      </c>
      <c r="D141" s="7">
        <v>32</v>
      </c>
      <c r="E141" s="7">
        <v>1000</v>
      </c>
      <c r="F141" s="7" t="s">
        <v>31</v>
      </c>
      <c r="G141" s="7" t="s">
        <v>32</v>
      </c>
      <c r="H141" s="7"/>
      <c r="I141" s="7"/>
      <c r="K141" s="6">
        <v>0</v>
      </c>
      <c r="L141" s="6">
        <v>0</v>
      </c>
      <c r="M141" s="6">
        <v>0</v>
      </c>
      <c r="N141" s="6">
        <v>1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89"/>
      <c r="Y141" s="6">
        <v>29</v>
      </c>
      <c r="Z141" s="118">
        <v>65535</v>
      </c>
      <c r="AA141" s="6">
        <v>32768</v>
      </c>
      <c r="AB141" s="118">
        <v>65535</v>
      </c>
      <c r="AE141" s="96"/>
      <c r="AF141" s="270">
        <f>IF(V141=1,MAX($AF$6:AF140)+1,IF(AF140="#",0,IF(AND(D140=D141,K140=K141,L140=L141,M140=M141,N140=N141,O140=O141,P140=P141,Q140=Q141,R140=R141,S140=S141,T140=T141,U140=U141,V140=V141,W140=W141,HEX2DEC(SUBSTITUTE(AH140,"0x",""))&lt;HEX2DEC(SUBSTITUTE(AH141,"0x",""))),"",MAX($AF$6:AF140)+1)))</f>
        <v>80</v>
      </c>
      <c r="AG141" s="225">
        <f>IF(MAX(INDEX($AF:$AF,ROW($AG$6)):INDEX($AF:$AF,ROW(AG141)))+1=AF142,MAX(INDEX($AF:$AF,ROW($AG$6)):INDEX($AF:$AF,ROW(AG141))),"")</f>
        <v>80</v>
      </c>
      <c r="AH141" s="6" t="str">
        <f t="shared" si="16"/>
        <v>0x4000036e</v>
      </c>
      <c r="AI141" s="6">
        <f t="shared" si="17"/>
        <v>1073742702</v>
      </c>
      <c r="AJ141" s="6" t="str">
        <f t="shared" si="18"/>
        <v>0x4000036e</v>
      </c>
      <c r="AK141" s="6" t="str">
        <f t="shared" si="15"/>
        <v>0x4000036e</v>
      </c>
      <c r="AL141" s="6">
        <f t="shared" si="19"/>
        <v>32</v>
      </c>
      <c r="AN141" s="6" t="str">
        <f t="shared" si="20"/>
        <v>ok</v>
      </c>
      <c r="AO141" s="6" t="s">
        <v>5</v>
      </c>
    </row>
    <row r="142" spans="1:41">
      <c r="A142" s="7" t="s">
        <v>392</v>
      </c>
      <c r="B142" s="7" t="s">
        <v>391</v>
      </c>
      <c r="C142" s="7" t="s">
        <v>29</v>
      </c>
      <c r="D142" s="7">
        <v>8</v>
      </c>
      <c r="E142" s="7">
        <v>1000</v>
      </c>
      <c r="F142" s="7" t="s">
        <v>31</v>
      </c>
      <c r="G142" s="7" t="s">
        <v>32</v>
      </c>
      <c r="H142" s="7"/>
      <c r="I142" s="7"/>
      <c r="K142" s="6">
        <v>0</v>
      </c>
      <c r="L142" s="6">
        <v>0</v>
      </c>
      <c r="M142" s="6">
        <v>0</v>
      </c>
      <c r="N142" s="6">
        <v>1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89"/>
      <c r="Y142" s="6">
        <v>29</v>
      </c>
      <c r="Z142" s="118">
        <v>65535</v>
      </c>
      <c r="AA142" s="6">
        <v>32768</v>
      </c>
      <c r="AB142" s="118">
        <v>65535</v>
      </c>
      <c r="AE142" s="96"/>
      <c r="AF142" s="270">
        <f>IF(V142=1,MAX($AF$6:AF141)+1,IF(AF141="#",0,IF(AND(D141=D142,K141=K142,L141=L142,M141=M142,N141=N142,O141=O142,P141=P142,Q141=Q142,R141=R142,S141=S142,T141=T142,U141=U142,V141=V142,W141=W142,HEX2DEC(SUBSTITUTE(AH141,"0x",""))&lt;HEX2DEC(SUBSTITUTE(AH142,"0x",""))),"",MAX($AF$6:AF141)+1)))</f>
        <v>81</v>
      </c>
      <c r="AG142" s="225">
        <f>IF(MAX(INDEX($AF:$AF,ROW($AG$6)):INDEX($AF:$AF,ROW(AG142)))+1=AF143,MAX(INDEX($AF:$AF,ROW($AG$6)):INDEX($AF:$AF,ROW(AG142))),"")</f>
        <v>81</v>
      </c>
      <c r="AH142" s="6" t="str">
        <f t="shared" si="16"/>
        <v>0x40000379</v>
      </c>
      <c r="AI142" s="6">
        <f t="shared" si="17"/>
        <v>1073742713</v>
      </c>
      <c r="AJ142" s="6" t="str">
        <f t="shared" si="18"/>
        <v>0x40000379</v>
      </c>
      <c r="AK142" s="6" t="str">
        <f t="shared" si="15"/>
        <v>0x40000379</v>
      </c>
      <c r="AL142" s="6">
        <f t="shared" si="19"/>
        <v>8</v>
      </c>
      <c r="AN142" s="6" t="str">
        <f t="shared" si="20"/>
        <v>ok</v>
      </c>
      <c r="AO142" s="6" t="s">
        <v>5</v>
      </c>
    </row>
    <row r="143" spans="1:41">
      <c r="A143" s="7" t="s">
        <v>802</v>
      </c>
      <c r="B143" s="7" t="s">
        <v>394</v>
      </c>
      <c r="C143" s="7" t="s">
        <v>29</v>
      </c>
      <c r="D143" s="7">
        <v>32</v>
      </c>
      <c r="E143" s="7">
        <v>1000</v>
      </c>
      <c r="F143" s="7" t="s">
        <v>29</v>
      </c>
      <c r="G143" s="7" t="s">
        <v>32</v>
      </c>
      <c r="H143" s="7"/>
      <c r="I143" s="7"/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89"/>
      <c r="Y143" s="6">
        <v>29</v>
      </c>
      <c r="Z143" s="118">
        <v>65535</v>
      </c>
      <c r="AA143" s="6">
        <v>32768</v>
      </c>
      <c r="AB143" s="118">
        <v>65535</v>
      </c>
      <c r="AE143" s="96"/>
      <c r="AF143" s="270">
        <f>IF(V143=1,MAX($AF$6:AF142)+1,IF(AF142="#",0,IF(AND(D142=D143,K142=K143,L142=L143,M142=M143,N142=N143,O142=O143,P142=P143,Q142=Q143,R142=R143,S142=S143,T142=T143,U142=U143,V142=V143,W142=W143,HEX2DEC(SUBSTITUTE(AH142,"0x",""))&lt;HEX2DEC(SUBSTITUTE(AH143,"0x",""))),"",MAX($AF$6:AF142)+1)))</f>
        <v>82</v>
      </c>
      <c r="AG143" s="225" t="str">
        <f>IF(MAX(INDEX($AF:$AF,ROW($AG$6)):INDEX($AF:$AF,ROW(AG143)))+1=AF144,MAX(INDEX($AF:$AF,ROW($AG$6)):INDEX($AF:$AF,ROW(AG143))),"")</f>
        <v/>
      </c>
      <c r="AH143" s="6" t="str">
        <f t="shared" si="16"/>
        <v>0x4000037b</v>
      </c>
      <c r="AI143" s="6">
        <f t="shared" si="17"/>
        <v>1073742715</v>
      </c>
      <c r="AJ143" s="6" t="str">
        <f t="shared" si="18"/>
        <v>0x4000037b</v>
      </c>
      <c r="AK143" s="6" t="str">
        <f t="shared" si="15"/>
        <v>0x400003f9</v>
      </c>
      <c r="AL143" s="6">
        <f t="shared" si="19"/>
        <v>32</v>
      </c>
      <c r="AN143" s="6" t="str">
        <f t="shared" si="20"/>
        <v>ok</v>
      </c>
      <c r="AO143" s="6" t="s">
        <v>5</v>
      </c>
    </row>
    <row r="144" spans="1:41">
      <c r="A144" s="7" t="s">
        <v>418</v>
      </c>
      <c r="B144" s="7" t="s">
        <v>419</v>
      </c>
      <c r="C144" s="7" t="s">
        <v>29</v>
      </c>
      <c r="D144" s="7">
        <v>32</v>
      </c>
      <c r="E144" s="7">
        <v>1000</v>
      </c>
      <c r="F144" s="7" t="s">
        <v>31</v>
      </c>
      <c r="G144" s="7" t="s">
        <v>32</v>
      </c>
      <c r="H144" s="7"/>
      <c r="I144" s="7"/>
      <c r="K144" s="6">
        <v>0</v>
      </c>
      <c r="L144" s="6">
        <v>0</v>
      </c>
      <c r="M144" s="6">
        <v>0</v>
      </c>
      <c r="N144" s="6">
        <v>1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89"/>
      <c r="Y144" s="6">
        <v>29</v>
      </c>
      <c r="Z144" s="118">
        <v>65535</v>
      </c>
      <c r="AA144" s="6">
        <v>32768</v>
      </c>
      <c r="AB144" s="118">
        <v>65535</v>
      </c>
      <c r="AE144" s="96"/>
      <c r="AF144" s="270" t="str">
        <f>IF(V144=1,MAX($AF$6:AF143)+1,IF(AF143="#",0,IF(AND(D143=D144,K143=K144,L143=L144,M143=M144,N143=N144,O143=O144,P143=P144,Q143=Q144,R143=R144,S143=S144,T143=T144,U143=U144,V143=V144,W143=W144,HEX2DEC(SUBSTITUTE(AH143,"0x",""))&lt;HEX2DEC(SUBSTITUTE(AH144,"0x",""))),"",MAX($AF$6:AF143)+1)))</f>
        <v/>
      </c>
      <c r="AG144" s="225">
        <f>IF(MAX(INDEX($AF:$AF,ROW($AG$6)):INDEX($AF:$AF,ROW(AG144)))+1=AF145,MAX(INDEX($AF:$AF,ROW($AG$6)):INDEX($AF:$AF,ROW(AG144))),"")</f>
        <v>82</v>
      </c>
      <c r="AH144" s="6" t="str">
        <f t="shared" si="16"/>
        <v>0x400003f9</v>
      </c>
      <c r="AI144" s="6">
        <f t="shared" si="17"/>
        <v>1073742841</v>
      </c>
      <c r="AJ144" s="6" t="str">
        <f t="shared" si="18"/>
        <v/>
      </c>
      <c r="AK144" s="6" t="str">
        <f t="shared" si="15"/>
        <v/>
      </c>
      <c r="AL144" s="6" t="str">
        <f t="shared" si="19"/>
        <v/>
      </c>
      <c r="AN144" s="6" t="str">
        <f t="shared" si="20"/>
        <v>ok</v>
      </c>
    </row>
    <row r="145" spans="1:41">
      <c r="A145" s="7" t="s">
        <v>423</v>
      </c>
      <c r="B145" s="7" t="s">
        <v>424</v>
      </c>
      <c r="C145" s="7" t="s">
        <v>29</v>
      </c>
      <c r="D145" s="7">
        <v>8</v>
      </c>
      <c r="E145" s="7">
        <v>1000</v>
      </c>
      <c r="F145" s="7" t="s">
        <v>31</v>
      </c>
      <c r="G145" s="7" t="s">
        <v>32</v>
      </c>
      <c r="H145" s="7"/>
      <c r="I145" s="7"/>
      <c r="K145" s="6">
        <v>0</v>
      </c>
      <c r="L145" s="6">
        <v>0</v>
      </c>
      <c r="M145" s="6">
        <v>0</v>
      </c>
      <c r="N145" s="6">
        <v>1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89"/>
      <c r="Y145" s="6">
        <v>29</v>
      </c>
      <c r="Z145" s="118">
        <v>65535</v>
      </c>
      <c r="AA145" s="6">
        <v>32768</v>
      </c>
      <c r="AB145" s="118">
        <v>65535</v>
      </c>
      <c r="AE145" s="96"/>
      <c r="AF145" s="270">
        <f>IF(V145=1,MAX($AF$6:AF144)+1,IF(AF144="#",0,IF(AND(D144=D145,K144=K145,L144=L145,M144=M145,N144=N145,O144=O145,P144=P145,Q144=Q145,R144=R145,S144=S145,T144=T145,U144=U145,V144=V145,W144=W145,HEX2DEC(SUBSTITUTE(AH144,"0x",""))&lt;HEX2DEC(SUBSTITUTE(AH145,"0x",""))),"",MAX($AF$6:AF144)+1)))</f>
        <v>83</v>
      </c>
      <c r="AG145" s="225">
        <f>IF(MAX(INDEX($AF:$AF,ROW($AG$6)):INDEX($AF:$AF,ROW(AG145)))+1=AF146,MAX(INDEX($AF:$AF,ROW($AG$6)):INDEX($AF:$AF,ROW(AG145))),"")</f>
        <v>83</v>
      </c>
      <c r="AH145" s="6" t="str">
        <f t="shared" si="16"/>
        <v>0x400003fb</v>
      </c>
      <c r="AI145" s="6">
        <f t="shared" si="17"/>
        <v>1073742843</v>
      </c>
      <c r="AJ145" s="6" t="str">
        <f t="shared" si="18"/>
        <v>0x400003fb</v>
      </c>
      <c r="AK145" s="6" t="str">
        <f t="shared" si="15"/>
        <v>0x400003fb</v>
      </c>
      <c r="AL145" s="6">
        <f t="shared" si="19"/>
        <v>8</v>
      </c>
      <c r="AN145" s="6" t="str">
        <f t="shared" si="20"/>
        <v>ok</v>
      </c>
    </row>
    <row r="146" spans="1:41">
      <c r="A146" s="7" t="s">
        <v>397</v>
      </c>
      <c r="B146" s="7" t="s">
        <v>396</v>
      </c>
      <c r="C146" s="7" t="s">
        <v>29</v>
      </c>
      <c r="D146" s="7">
        <v>8</v>
      </c>
      <c r="E146" s="7">
        <v>1000</v>
      </c>
      <c r="F146" s="7" t="s">
        <v>31</v>
      </c>
      <c r="G146" s="7" t="s">
        <v>32</v>
      </c>
      <c r="H146" s="7"/>
      <c r="I146" s="7"/>
      <c r="K146" s="6">
        <v>0</v>
      </c>
      <c r="L146" s="6">
        <v>0</v>
      </c>
      <c r="M146" s="6">
        <v>0</v>
      </c>
      <c r="N146" s="6">
        <v>1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89"/>
      <c r="Y146" s="6">
        <v>29</v>
      </c>
      <c r="Z146" s="118">
        <v>65535</v>
      </c>
      <c r="AA146" s="6">
        <v>32768</v>
      </c>
      <c r="AB146" s="118">
        <v>65535</v>
      </c>
      <c r="AE146" s="96"/>
      <c r="AF146" s="270">
        <f>IF(V146=1,MAX($AF$6:AF145)+1,IF(AF145="#",0,IF(AND(D145=D146,K145=K146,L145=L146,M145=M146,N145=N146,O145=O146,P145=P146,Q145=Q146,R145=R146,S145=S146,T145=T146,U145=U146,V145=V146,W145=W146,HEX2DEC(SUBSTITUTE(AH145,"0x",""))&lt;HEX2DEC(SUBSTITUTE(AH146,"0x",""))),"",MAX($AF$6:AF145)+1)))</f>
        <v>84</v>
      </c>
      <c r="AG146" s="225" t="str">
        <f>IF(MAX(INDEX($AF:$AF,ROW($AG$6)):INDEX($AF:$AF,ROW(AG146)))+1=AF147,MAX(INDEX($AF:$AF,ROW($AG$6)):INDEX($AF:$AF,ROW(AG146))),"")</f>
        <v/>
      </c>
      <c r="AH146" s="6" t="str">
        <f t="shared" si="16"/>
        <v>0x4000037f</v>
      </c>
      <c r="AI146" s="6">
        <f t="shared" si="17"/>
        <v>1073742719</v>
      </c>
      <c r="AJ146" s="6" t="str">
        <f t="shared" si="18"/>
        <v>0x4000037f</v>
      </c>
      <c r="AK146" s="6" t="str">
        <f t="shared" si="15"/>
        <v>0x40000380</v>
      </c>
      <c r="AL146" s="6">
        <f t="shared" si="19"/>
        <v>8</v>
      </c>
      <c r="AN146" s="6" t="str">
        <f t="shared" si="20"/>
        <v>not ok</v>
      </c>
    </row>
    <row r="147" spans="1:41">
      <c r="A147" s="7" t="s">
        <v>400</v>
      </c>
      <c r="B147" s="7" t="s">
        <v>399</v>
      </c>
      <c r="C147" s="7" t="s">
        <v>29</v>
      </c>
      <c r="D147" s="7">
        <v>8</v>
      </c>
      <c r="E147" s="7">
        <v>1000</v>
      </c>
      <c r="F147" s="7" t="s">
        <v>31</v>
      </c>
      <c r="G147" s="7" t="s">
        <v>32</v>
      </c>
      <c r="H147" s="7"/>
      <c r="I147" s="7"/>
      <c r="K147" s="6">
        <v>0</v>
      </c>
      <c r="L147" s="6">
        <v>0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89"/>
      <c r="Y147" s="6">
        <v>29</v>
      </c>
      <c r="Z147" s="118">
        <v>65535</v>
      </c>
      <c r="AA147" s="6">
        <v>32768</v>
      </c>
      <c r="AB147" s="118">
        <v>65535</v>
      </c>
      <c r="AE147" s="96"/>
      <c r="AF147" s="270" t="str">
        <f>IF(V147=1,MAX($AF$6:AF146)+1,IF(AF146="#",0,IF(AND(D146=D147,K146=K147,L146=L147,M146=M147,N146=N147,O146=O147,P146=P147,Q146=Q147,R146=R147,S146=S147,T146=T147,U146=U147,V146=V147,W146=W147,HEX2DEC(SUBSTITUTE(AH146,"0x",""))&lt;HEX2DEC(SUBSTITUTE(AH147,"0x",""))),"",MAX($AF$6:AF146)+1)))</f>
        <v/>
      </c>
      <c r="AG147" s="225">
        <f>IF(MAX(INDEX($AF:$AF,ROW($AG$6)):INDEX($AF:$AF,ROW(AG147)))+1=AF148,MAX(INDEX($AF:$AF,ROW($AG$6)):INDEX($AF:$AF,ROW(AG147))),"")</f>
        <v>84</v>
      </c>
      <c r="AH147" s="6" t="str">
        <f t="shared" si="16"/>
        <v>0x40000380</v>
      </c>
      <c r="AI147" s="6">
        <f t="shared" si="17"/>
        <v>1073742720</v>
      </c>
      <c r="AJ147" s="6" t="str">
        <f t="shared" si="18"/>
        <v/>
      </c>
      <c r="AK147" s="6" t="str">
        <f t="shared" si="15"/>
        <v/>
      </c>
      <c r="AL147" s="6" t="str">
        <f t="shared" si="19"/>
        <v/>
      </c>
      <c r="AN147" s="6" t="str">
        <f t="shared" si="20"/>
        <v>ok</v>
      </c>
      <c r="AO147" s="6" t="s">
        <v>5</v>
      </c>
    </row>
    <row r="148" spans="1:41">
      <c r="A148" s="7" t="s">
        <v>403</v>
      </c>
      <c r="B148" s="7" t="s">
        <v>402</v>
      </c>
      <c r="C148" s="7" t="s">
        <v>29</v>
      </c>
      <c r="D148" s="7">
        <v>32</v>
      </c>
      <c r="E148" s="7">
        <v>1000</v>
      </c>
      <c r="F148" s="7" t="s">
        <v>31</v>
      </c>
      <c r="G148" s="7" t="s">
        <v>32</v>
      </c>
      <c r="H148" s="7"/>
      <c r="I148" s="7"/>
      <c r="K148" s="6">
        <v>0</v>
      </c>
      <c r="L148" s="6">
        <v>0</v>
      </c>
      <c r="M148" s="6">
        <v>0</v>
      </c>
      <c r="N148" s="6">
        <v>1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89"/>
      <c r="Y148" s="6">
        <v>29</v>
      </c>
      <c r="Z148" s="118">
        <v>65535</v>
      </c>
      <c r="AA148" s="6">
        <v>32768</v>
      </c>
      <c r="AB148" s="118">
        <v>65535</v>
      </c>
      <c r="AE148" s="96"/>
      <c r="AF148" s="270">
        <f>IF(V148=1,MAX($AF$6:AF147)+1,IF(AF147="#",0,IF(AND(D147=D148,K147=K148,L147=L148,M147=M148,N147=N148,O147=O148,P147=P148,Q147=Q148,R147=R148,S147=S148,T147=T148,U147=U148,V147=V148,W147=W148,HEX2DEC(SUBSTITUTE(AH147,"0x",""))&lt;HEX2DEC(SUBSTITUTE(AH148,"0x",""))),"",MAX($AF$6:AF147)+1)))</f>
        <v>85</v>
      </c>
      <c r="AG148" s="225">
        <f>IF(MAX(INDEX($AF:$AF,ROW($AG$6)):INDEX($AF:$AF,ROW(AG148)))+1=AF149,MAX(INDEX($AF:$AF,ROW($AG$6)):INDEX($AF:$AF,ROW(AG148))),"")</f>
        <v>85</v>
      </c>
      <c r="AH148" s="6" t="str">
        <f t="shared" si="16"/>
        <v>0x40000381</v>
      </c>
      <c r="AI148" s="6">
        <f t="shared" si="17"/>
        <v>1073742721</v>
      </c>
      <c r="AJ148" s="6" t="str">
        <f t="shared" si="18"/>
        <v>0x40000381</v>
      </c>
      <c r="AK148" s="6" t="str">
        <f t="shared" si="15"/>
        <v>0x40000381</v>
      </c>
      <c r="AL148" s="6">
        <f t="shared" si="19"/>
        <v>32</v>
      </c>
      <c r="AN148" s="6" t="str">
        <f t="shared" si="20"/>
        <v>ok</v>
      </c>
      <c r="AO148" s="6" t="s">
        <v>5</v>
      </c>
    </row>
    <row r="149" spans="1:41">
      <c r="A149" s="7" t="s">
        <v>406</v>
      </c>
      <c r="B149" s="7" t="s">
        <v>405</v>
      </c>
      <c r="C149" s="7" t="s">
        <v>29</v>
      </c>
      <c r="D149" s="7">
        <v>8</v>
      </c>
      <c r="E149" s="7">
        <v>1000</v>
      </c>
      <c r="F149" s="7" t="s">
        <v>31</v>
      </c>
      <c r="G149" s="7" t="s">
        <v>32</v>
      </c>
      <c r="H149" s="7"/>
      <c r="I149" s="7"/>
      <c r="K149" s="6">
        <v>0</v>
      </c>
      <c r="L149" s="6">
        <v>0</v>
      </c>
      <c r="M149" s="6">
        <v>0</v>
      </c>
      <c r="N149" s="6">
        <v>1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89"/>
      <c r="Y149" s="6">
        <v>29</v>
      </c>
      <c r="Z149" s="118">
        <v>65535</v>
      </c>
      <c r="AA149" s="6">
        <v>32768</v>
      </c>
      <c r="AB149" s="118">
        <v>65535</v>
      </c>
      <c r="AE149" s="96"/>
      <c r="AF149" s="270">
        <f>IF(V149=1,MAX($AF$6:AF148)+1,IF(AF148="#",0,IF(AND(D148=D149,K148=K149,L148=L149,M148=M149,N148=N149,O148=O149,P148=P149,Q148=Q149,R148=R149,S148=S149,T148=T149,U148=U149,V148=V149,W148=W149,HEX2DEC(SUBSTITUTE(AH148,"0x",""))&lt;HEX2DEC(SUBSTITUTE(AH149,"0x",""))),"",MAX($AF$6:AF148)+1)))</f>
        <v>86</v>
      </c>
      <c r="AG149" s="225" t="str">
        <f>IF(MAX(INDEX($AF:$AF,ROW($AG$6)):INDEX($AF:$AF,ROW(AG149)))+1=AF150,MAX(INDEX($AF:$AF,ROW($AG$6)):INDEX($AF:$AF,ROW(AG149))),"")</f>
        <v/>
      </c>
      <c r="AH149" s="6" t="str">
        <f t="shared" si="16"/>
        <v>0x4000038a</v>
      </c>
      <c r="AI149" s="6">
        <f t="shared" si="17"/>
        <v>1073742730</v>
      </c>
      <c r="AJ149" s="6" t="str">
        <f t="shared" si="18"/>
        <v>0x4000038a</v>
      </c>
      <c r="AK149" s="6" t="str">
        <f t="shared" si="15"/>
        <v>0x4000038b</v>
      </c>
      <c r="AL149" s="6">
        <f t="shared" si="19"/>
        <v>8</v>
      </c>
      <c r="AN149" s="6" t="str">
        <f t="shared" si="20"/>
        <v>ok</v>
      </c>
    </row>
    <row r="150" spans="1:41">
      <c r="A150" s="7" t="s">
        <v>408</v>
      </c>
      <c r="B150" s="7" t="s">
        <v>407</v>
      </c>
      <c r="C150" s="7" t="s">
        <v>29</v>
      </c>
      <c r="D150" s="7">
        <v>8</v>
      </c>
      <c r="E150" s="7">
        <v>1000</v>
      </c>
      <c r="F150" s="7" t="s">
        <v>31</v>
      </c>
      <c r="G150" s="7" t="s">
        <v>32</v>
      </c>
      <c r="H150" s="7"/>
      <c r="I150" s="7"/>
      <c r="K150" s="6">
        <v>0</v>
      </c>
      <c r="L150" s="6">
        <v>0</v>
      </c>
      <c r="M150" s="6">
        <v>0</v>
      </c>
      <c r="N150" s="6">
        <v>1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89"/>
      <c r="Y150" s="6">
        <v>29</v>
      </c>
      <c r="Z150" s="118">
        <v>65535</v>
      </c>
      <c r="AA150" s="6">
        <v>32768</v>
      </c>
      <c r="AB150" s="118">
        <v>65535</v>
      </c>
      <c r="AE150" s="96"/>
      <c r="AF150" s="270" t="str">
        <f>IF(V150=1,MAX($AF$6:AF149)+1,IF(AF149="#",0,IF(AND(D149=D150,K149=K150,L149=L150,M149=M150,N149=N150,O149=O150,P149=P150,Q149=Q150,R149=R150,S149=S150,T149=T150,U149=U150,V149=V150,W149=W150,HEX2DEC(SUBSTITUTE(AH149,"0x",""))&lt;HEX2DEC(SUBSTITUTE(AH150,"0x",""))),"",MAX($AF$6:AF149)+1)))</f>
        <v/>
      </c>
      <c r="AG150" s="225">
        <f>IF(MAX(INDEX($AF:$AF,ROW($AG$6)):INDEX($AF:$AF,ROW(AG150)))+1=AF151,MAX(INDEX($AF:$AF,ROW($AG$6)):INDEX($AF:$AF,ROW(AG150))),"")</f>
        <v>86</v>
      </c>
      <c r="AH150" s="6" t="str">
        <f t="shared" si="16"/>
        <v>0x4000038b</v>
      </c>
      <c r="AI150" s="6">
        <f t="shared" si="17"/>
        <v>1073742731</v>
      </c>
      <c r="AJ150" s="6" t="str">
        <f t="shared" si="18"/>
        <v/>
      </c>
      <c r="AK150" s="6" t="str">
        <f t="shared" si="15"/>
        <v/>
      </c>
      <c r="AL150" s="6" t="str">
        <f t="shared" si="19"/>
        <v/>
      </c>
      <c r="AN150" s="6" t="str">
        <f t="shared" si="20"/>
        <v>ok</v>
      </c>
      <c r="AO150" s="6" t="s">
        <v>5</v>
      </c>
    </row>
    <row r="151" spans="1:41">
      <c r="A151" s="7" t="s">
        <v>803</v>
      </c>
      <c r="B151" s="7" t="s">
        <v>427</v>
      </c>
      <c r="C151" s="7" t="s">
        <v>29</v>
      </c>
      <c r="D151" s="7">
        <v>64</v>
      </c>
      <c r="E151" s="7">
        <v>1000</v>
      </c>
      <c r="F151" s="7" t="s">
        <v>29</v>
      </c>
      <c r="G151" s="7" t="s">
        <v>32</v>
      </c>
      <c r="H151" s="7"/>
      <c r="I151" s="7"/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1</v>
      </c>
      <c r="W151" s="6">
        <v>0</v>
      </c>
      <c r="X151" s="89"/>
      <c r="Y151" s="6">
        <v>5</v>
      </c>
      <c r="Z151" s="87">
        <f>VLOOKUP(A151,SecOC_Cfg.h!$C$33:$D$61,2,FALSE)</f>
        <v>4</v>
      </c>
      <c r="AA151" s="118">
        <v>65535</v>
      </c>
      <c r="AB151" s="118">
        <v>65535</v>
      </c>
      <c r="AE151" s="96"/>
      <c r="AF151" s="270">
        <f>IF(V151=1,MAX($AF$6:AF150)+1,IF(AF150="#",0,IF(AND(D150=D151,K150=K151,L150=L151,M150=M151,N150=N151,O150=O151,P150=P151,Q150=Q151,R150=R151,S150=S151,T150=T151,U150=U151,V150=V151,W150=W151,HEX2DEC(SUBSTITUTE(AH150,"0x",""))&lt;HEX2DEC(SUBSTITUTE(AH151,"0x",""))),"",MAX($AF$6:AF150)+1)))</f>
        <v>87</v>
      </c>
      <c r="AG151" s="225">
        <f>IF(MAX(INDEX($AF:$AF,ROW($AG$6)):INDEX($AF:$AF,ROW(AG151)))+1=AF152,MAX(INDEX($AF:$AF,ROW($AG$6)):INDEX($AF:$AF,ROW(AG151))),"")</f>
        <v>87</v>
      </c>
      <c r="AH151" s="6" t="str">
        <f t="shared" si="16"/>
        <v>0x4000039a</v>
      </c>
      <c r="AI151" s="6">
        <f t="shared" si="17"/>
        <v>1073742746</v>
      </c>
      <c r="AJ151" s="6" t="str">
        <f t="shared" si="18"/>
        <v>0x4000039a</v>
      </c>
      <c r="AK151" s="6" t="str">
        <f t="shared" si="15"/>
        <v>0x4000039a</v>
      </c>
      <c r="AL151" s="6">
        <f t="shared" si="19"/>
        <v>64</v>
      </c>
      <c r="AN151" s="6" t="str">
        <f t="shared" si="20"/>
        <v>ok</v>
      </c>
    </row>
    <row r="152" spans="1:41">
      <c r="A152" s="7" t="s">
        <v>431</v>
      </c>
      <c r="B152" s="7" t="s">
        <v>430</v>
      </c>
      <c r="C152" s="7" t="s">
        <v>29</v>
      </c>
      <c r="D152" s="7">
        <v>64</v>
      </c>
      <c r="E152" s="7">
        <v>1000</v>
      </c>
      <c r="F152" s="7" t="s">
        <v>29</v>
      </c>
      <c r="G152" s="7" t="s">
        <v>32</v>
      </c>
      <c r="H152" s="7"/>
      <c r="I152" s="7"/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1</v>
      </c>
      <c r="W152" s="6">
        <v>0</v>
      </c>
      <c r="X152" s="89"/>
      <c r="Y152" s="6">
        <v>6</v>
      </c>
      <c r="Z152" s="87">
        <f>VLOOKUP(A152,SecOC_Cfg.h!$C$33:$D$61,2,FALSE)</f>
        <v>5</v>
      </c>
      <c r="AA152" s="118">
        <v>65535</v>
      </c>
      <c r="AB152" s="118">
        <v>65535</v>
      </c>
      <c r="AE152" s="96"/>
      <c r="AF152" s="270">
        <f>IF(V152=1,MAX($AF$6:AF151)+1,IF(AF151="#",0,IF(AND(D151=D152,K151=K152,L151=L152,M151=M152,N151=N152,O151=O152,P151=P152,Q151=Q152,R151=R152,S151=S152,T151=T152,U151=U152,V151=V152,W151=W152,HEX2DEC(SUBSTITUTE(AH151,"0x",""))&lt;HEX2DEC(SUBSTITUTE(AH152,"0x",""))),"",MAX($AF$6:AF151)+1)))</f>
        <v>88</v>
      </c>
      <c r="AG152" s="225">
        <f>IF(MAX(INDEX($AF:$AF,ROW($AG$6)):INDEX($AF:$AF,ROW(AG152)))+1=AF153,MAX(INDEX($AF:$AF,ROW($AG$6)):INDEX($AF:$AF,ROW(AG152))),"")</f>
        <v>88</v>
      </c>
      <c r="AH152" s="6" t="str">
        <f t="shared" si="16"/>
        <v>0x4000039b</v>
      </c>
      <c r="AI152" s="6">
        <f t="shared" si="17"/>
        <v>1073742747</v>
      </c>
      <c r="AJ152" s="6" t="str">
        <f t="shared" si="18"/>
        <v>0x4000039b</v>
      </c>
      <c r="AK152" s="6" t="str">
        <f t="shared" si="15"/>
        <v>0x4000039b</v>
      </c>
      <c r="AL152" s="6">
        <f t="shared" si="19"/>
        <v>64</v>
      </c>
      <c r="AN152" s="6" t="str">
        <f t="shared" si="20"/>
        <v>ok</v>
      </c>
    </row>
    <row r="153" spans="1:41">
      <c r="A153" s="7" t="s">
        <v>411</v>
      </c>
      <c r="B153" s="7" t="s">
        <v>410</v>
      </c>
      <c r="C153" s="7" t="s">
        <v>29</v>
      </c>
      <c r="D153" s="7">
        <v>8</v>
      </c>
      <c r="E153" s="7">
        <v>1000</v>
      </c>
      <c r="F153" s="7" t="s">
        <v>31</v>
      </c>
      <c r="G153" s="7" t="s">
        <v>32</v>
      </c>
      <c r="H153" s="7"/>
      <c r="I153" s="7"/>
      <c r="K153" s="6">
        <v>0</v>
      </c>
      <c r="L153" s="6">
        <v>0</v>
      </c>
      <c r="M153" s="6">
        <v>0</v>
      </c>
      <c r="N153" s="6">
        <v>1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89"/>
      <c r="Y153" s="6">
        <v>29</v>
      </c>
      <c r="Z153" s="118">
        <v>65535</v>
      </c>
      <c r="AA153" s="6">
        <v>32768</v>
      </c>
      <c r="AB153" s="118">
        <v>65535</v>
      </c>
      <c r="AE153" s="96"/>
      <c r="AF153" s="270">
        <f>IF(V153=1,MAX($AF$6:AF152)+1,IF(AF152="#",0,IF(AND(D152=D153,K152=K153,L152=L153,M152=M153,N152=N153,O152=O153,P152=P153,Q152=Q153,R152=R153,S152=S153,T152=T153,U152=U153,V152=V153,W152=W153,HEX2DEC(SUBSTITUTE(AH152,"0x",""))&lt;HEX2DEC(SUBSTITUTE(AH153,"0x",""))),"",MAX($AF$6:AF152)+1)))</f>
        <v>89</v>
      </c>
      <c r="AG153" s="225">
        <f>IF(MAX(INDEX($AF:$AF,ROW($AG$6)):INDEX($AF:$AF,ROW(AG153)))+1=AF154,MAX(INDEX($AF:$AF,ROW($AG$6)):INDEX($AF:$AF,ROW(AG153))),"")</f>
        <v>89</v>
      </c>
      <c r="AH153" s="6" t="str">
        <f t="shared" si="16"/>
        <v>0x4000038d</v>
      </c>
      <c r="AI153" s="6">
        <f t="shared" si="17"/>
        <v>1073742733</v>
      </c>
      <c r="AJ153" s="6" t="str">
        <f t="shared" si="18"/>
        <v>0x4000038d</v>
      </c>
      <c r="AK153" s="6" t="str">
        <f t="shared" si="15"/>
        <v>0x4000038d</v>
      </c>
      <c r="AL153" s="6">
        <f t="shared" si="19"/>
        <v>8</v>
      </c>
      <c r="AN153" s="6" t="str">
        <f t="shared" si="20"/>
        <v>not ok</v>
      </c>
    </row>
    <row r="154" spans="1:41">
      <c r="A154" s="7" t="s">
        <v>804</v>
      </c>
      <c r="B154" s="7" t="s">
        <v>432</v>
      </c>
      <c r="C154" s="7" t="s">
        <v>29</v>
      </c>
      <c r="D154" s="7">
        <v>64</v>
      </c>
      <c r="E154" s="7">
        <v>1000</v>
      </c>
      <c r="F154" s="7" t="s">
        <v>29</v>
      </c>
      <c r="G154" s="7" t="s">
        <v>32</v>
      </c>
      <c r="H154" s="7"/>
      <c r="I154" s="7"/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1</v>
      </c>
      <c r="W154" s="6">
        <v>0</v>
      </c>
      <c r="X154" s="89"/>
      <c r="Y154" s="6">
        <v>7</v>
      </c>
      <c r="Z154" s="87">
        <f>VLOOKUP(A154,SecOC_Cfg.h!$C$33:$D$61,2,FALSE)</f>
        <v>6</v>
      </c>
      <c r="AA154" s="118">
        <v>65535</v>
      </c>
      <c r="AB154" s="118">
        <v>65535</v>
      </c>
      <c r="AE154" s="96"/>
      <c r="AF154" s="270">
        <f>IF(V154=1,MAX($AF$6:AF153)+1,IF(AF153="#",0,IF(AND(D153=D154,K153=K154,L153=L154,M153=M154,N153=N154,O153=O154,P153=P154,Q153=Q154,R153=R154,S153=S154,T153=T154,U153=U154,V153=V154,W153=W154,HEX2DEC(SUBSTITUTE(AH153,"0x",""))&lt;HEX2DEC(SUBSTITUTE(AH154,"0x",""))),"",MAX($AF$6:AF153)+1)))</f>
        <v>90</v>
      </c>
      <c r="AG154" s="225">
        <f>IF(MAX(INDEX($AF:$AF,ROW($AG$6)):INDEX($AF:$AF,ROW(AG154)))+1=AF155,MAX(INDEX($AF:$AF,ROW($AG$6)):INDEX($AF:$AF,ROW(AG154))),"")</f>
        <v>90</v>
      </c>
      <c r="AH154" s="6" t="str">
        <f t="shared" si="16"/>
        <v>0x4000039d</v>
      </c>
      <c r="AI154" s="6">
        <f t="shared" si="17"/>
        <v>1073742749</v>
      </c>
      <c r="AJ154" s="6" t="str">
        <f t="shared" si="18"/>
        <v>0x4000039d</v>
      </c>
      <c r="AK154" s="6" t="str">
        <f t="shared" si="15"/>
        <v>0x4000039d</v>
      </c>
      <c r="AL154" s="6">
        <f t="shared" si="19"/>
        <v>64</v>
      </c>
      <c r="AN154" s="6" t="str">
        <f t="shared" si="20"/>
        <v>ok</v>
      </c>
      <c r="AO154" s="6" t="s">
        <v>5</v>
      </c>
    </row>
    <row r="155" spans="1:41">
      <c r="A155" s="7" t="s">
        <v>805</v>
      </c>
      <c r="B155" s="7" t="s">
        <v>447</v>
      </c>
      <c r="C155" s="7" t="s">
        <v>29</v>
      </c>
      <c r="D155" s="7">
        <v>64</v>
      </c>
      <c r="E155" s="7">
        <v>1000</v>
      </c>
      <c r="F155" s="7" t="s">
        <v>29</v>
      </c>
      <c r="G155" s="7" t="s">
        <v>32</v>
      </c>
      <c r="H155" s="7"/>
      <c r="I155" s="7"/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1</v>
      </c>
      <c r="W155" s="6">
        <v>0</v>
      </c>
      <c r="X155" s="89"/>
      <c r="Y155" s="6">
        <v>8</v>
      </c>
      <c r="Z155" s="87">
        <f>VLOOKUP(A155,SecOC_Cfg.h!$C$33:$D$61,2,FALSE)</f>
        <v>18</v>
      </c>
      <c r="AA155" s="118">
        <v>65535</v>
      </c>
      <c r="AB155" s="118">
        <v>65535</v>
      </c>
      <c r="AE155" s="96"/>
      <c r="AF155" s="270">
        <f>IF(V155=1,MAX($AF$6:AF154)+1,IF(AF154="#",0,IF(AND(D154=D155,K154=K155,L154=L155,M154=M155,N154=N155,O154=O155,P154=P155,Q154=Q155,R154=R155,S154=S155,T154=T155,U154=U155,V154=V155,W154=W155,HEX2DEC(SUBSTITUTE(AH154,"0x",""))&lt;HEX2DEC(SUBSTITUTE(AH155,"0x",""))),"",MAX($AF$6:AF154)+1)))</f>
        <v>91</v>
      </c>
      <c r="AG155" s="225">
        <f>IF(MAX(INDEX($AF:$AF,ROW($AG$6)):INDEX($AF:$AF,ROW(AG155)))+1=AF156,MAX(INDEX($AF:$AF,ROW($AG$6)):INDEX($AF:$AF,ROW(AG155))),"")</f>
        <v>91</v>
      </c>
      <c r="AH155" s="6" t="str">
        <f t="shared" si="16"/>
        <v>0x400003cd</v>
      </c>
      <c r="AI155" s="6">
        <f t="shared" si="17"/>
        <v>1073742797</v>
      </c>
      <c r="AJ155" s="6" t="str">
        <f t="shared" si="18"/>
        <v>0x400003cd</v>
      </c>
      <c r="AK155" s="6" t="str">
        <f t="shared" si="15"/>
        <v>0x400003cd</v>
      </c>
      <c r="AL155" s="6">
        <f t="shared" si="19"/>
        <v>64</v>
      </c>
      <c r="AN155" s="6" t="str">
        <f t="shared" si="20"/>
        <v>ok</v>
      </c>
    </row>
    <row r="156" spans="1:41">
      <c r="A156" s="7" t="s">
        <v>806</v>
      </c>
      <c r="B156" s="7" t="s">
        <v>451</v>
      </c>
      <c r="C156" s="7" t="s">
        <v>29</v>
      </c>
      <c r="D156" s="7">
        <v>64</v>
      </c>
      <c r="E156" s="7">
        <v>1000</v>
      </c>
      <c r="F156" s="7" t="s">
        <v>29</v>
      </c>
      <c r="G156" s="7" t="s">
        <v>32</v>
      </c>
      <c r="H156" s="7"/>
      <c r="I156" s="7"/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1</v>
      </c>
      <c r="W156" s="6">
        <v>0</v>
      </c>
      <c r="X156" s="89"/>
      <c r="Y156" s="6">
        <v>9</v>
      </c>
      <c r="Z156" s="87">
        <f>VLOOKUP(A156,SecOC_Cfg.h!$C$33:$D$61,2,FALSE)</f>
        <v>21</v>
      </c>
      <c r="AA156" s="118">
        <v>65535</v>
      </c>
      <c r="AB156" s="118">
        <v>65535</v>
      </c>
      <c r="AE156" s="96"/>
      <c r="AF156" s="270">
        <f>IF(V156=1,MAX($AF$6:AF155)+1,IF(AF155="#",0,IF(AND(D155=D156,K155=K156,L155=L156,M155=M156,N155=N156,O155=O156,P155=P156,Q155=Q156,R155=R156,S155=S156,T155=T156,U155=U156,V155=V156,W155=W156,HEX2DEC(SUBSTITUTE(AH155,"0x",""))&lt;HEX2DEC(SUBSTITUTE(AH156,"0x",""))),"",MAX($AF$6:AF155)+1)))</f>
        <v>92</v>
      </c>
      <c r="AG156" s="225">
        <f>IF(MAX(INDEX($AF:$AF,ROW($AG$6)):INDEX($AF:$AF,ROW(AG156)))+1=AF157,MAX(INDEX($AF:$AF,ROW($AG$6)):INDEX($AF:$AF,ROW(AG156))),"")</f>
        <v>92</v>
      </c>
      <c r="AH156" s="6" t="str">
        <f t="shared" si="16"/>
        <v>0x400003dd</v>
      </c>
      <c r="AI156" s="6">
        <f t="shared" si="17"/>
        <v>1073742813</v>
      </c>
      <c r="AJ156" s="6" t="str">
        <f t="shared" si="18"/>
        <v>0x400003dd</v>
      </c>
      <c r="AK156" s="6" t="str">
        <f t="shared" si="15"/>
        <v>0x400003dd</v>
      </c>
      <c r="AL156" s="6">
        <f t="shared" si="19"/>
        <v>64</v>
      </c>
      <c r="AN156" s="6" t="str">
        <f t="shared" si="20"/>
        <v>ok</v>
      </c>
    </row>
    <row r="157" spans="1:41">
      <c r="A157" s="7" t="s">
        <v>414</v>
      </c>
      <c r="B157" s="7" t="s">
        <v>413</v>
      </c>
      <c r="C157" s="7" t="s">
        <v>29</v>
      </c>
      <c r="D157" s="7">
        <v>8</v>
      </c>
      <c r="E157" s="7">
        <v>1000</v>
      </c>
      <c r="F157" s="7" t="s">
        <v>31</v>
      </c>
      <c r="G157" s="7" t="s">
        <v>32</v>
      </c>
      <c r="H157" s="7"/>
      <c r="I157" s="7"/>
      <c r="K157" s="6">
        <v>0</v>
      </c>
      <c r="L157" s="6">
        <v>0</v>
      </c>
      <c r="M157" s="6">
        <v>0</v>
      </c>
      <c r="N157" s="6">
        <v>1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89"/>
      <c r="Y157" s="6">
        <v>29</v>
      </c>
      <c r="Z157" s="118">
        <v>65535</v>
      </c>
      <c r="AA157" s="6">
        <v>32768</v>
      </c>
      <c r="AB157" s="118">
        <v>65535</v>
      </c>
      <c r="AE157" s="96"/>
      <c r="AF157" s="270">
        <f>IF(V157=1,MAX($AF$6:AF156)+1,IF(AF156="#",0,IF(AND(D156=D157,K156=K157,L156=L157,M156=M157,N156=N157,O156=O157,P156=P157,Q156=Q157,R156=R157,S156=S157,T156=T157,U156=U157,V156=V157,W156=W157,HEX2DEC(SUBSTITUTE(AH156,"0x",""))&lt;HEX2DEC(SUBSTITUTE(AH157,"0x",""))),"",MAX($AF$6:AF156)+1)))</f>
        <v>93</v>
      </c>
      <c r="AG157" s="225">
        <f>IF(MAX(INDEX($AF:$AF,ROW($AG$6)):INDEX($AF:$AF,ROW(AG157)))+1=AF158,MAX(INDEX($AF:$AF,ROW($AG$6)):INDEX($AF:$AF,ROW(AG157))),"")</f>
        <v>93</v>
      </c>
      <c r="AH157" s="6" t="str">
        <f t="shared" si="16"/>
        <v>0x40000390</v>
      </c>
      <c r="AI157" s="6">
        <f t="shared" si="17"/>
        <v>1073742736</v>
      </c>
      <c r="AJ157" s="6" t="str">
        <f t="shared" si="18"/>
        <v>0x40000390</v>
      </c>
      <c r="AK157" s="6" t="str">
        <f t="shared" si="15"/>
        <v>0x40000390</v>
      </c>
      <c r="AL157" s="6">
        <f t="shared" si="19"/>
        <v>8</v>
      </c>
      <c r="AN157" s="6" t="str">
        <f t="shared" si="20"/>
        <v>not ok</v>
      </c>
    </row>
    <row r="158" spans="1:41">
      <c r="A158" s="7" t="s">
        <v>807</v>
      </c>
      <c r="B158" s="7" t="s">
        <v>416</v>
      </c>
      <c r="C158" s="7" t="s">
        <v>29</v>
      </c>
      <c r="D158" s="7">
        <v>64</v>
      </c>
      <c r="E158" s="7">
        <v>1000</v>
      </c>
      <c r="F158" s="7" t="s">
        <v>29</v>
      </c>
      <c r="G158" s="7" t="s">
        <v>32</v>
      </c>
      <c r="H158" s="7"/>
      <c r="I158" s="7"/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1</v>
      </c>
      <c r="W158" s="6">
        <v>0</v>
      </c>
      <c r="X158" s="89"/>
      <c r="Y158" s="6">
        <v>10</v>
      </c>
      <c r="Z158" s="87">
        <f>VLOOKUP(A158,SecOC_Cfg.h!$C$33:$D$61,2,FALSE)</f>
        <v>1</v>
      </c>
      <c r="AA158" s="118">
        <v>65535</v>
      </c>
      <c r="AB158" s="118">
        <v>65535</v>
      </c>
      <c r="AE158" s="96"/>
      <c r="AF158" s="270">
        <f>IF(V158=1,MAX($AF$6:AF157)+1,IF(AF157="#",0,IF(AND(D157=D158,K157=K158,L157=L158,M157=M158,N157=N158,O157=O158,P157=P158,Q157=Q158,R157=R158,S157=S158,T157=T158,U157=U158,V157=V158,W157=W158,HEX2DEC(SUBSTITUTE(AH157,"0x",""))&lt;HEX2DEC(SUBSTITUTE(AH158,"0x",""))),"",MAX($AF$6:AF157)+1)))</f>
        <v>94</v>
      </c>
      <c r="AG158" s="225">
        <f>IF(MAX(INDEX($AF:$AF,ROW($AG$6)):INDEX($AF:$AF,ROW(AG158)))+1=AF159,MAX(INDEX($AF:$AF,ROW($AG$6)):INDEX($AF:$AF,ROW(AG158))),"")</f>
        <v>94</v>
      </c>
      <c r="AH158" s="6" t="str">
        <f t="shared" si="16"/>
        <v>0x40000393</v>
      </c>
      <c r="AI158" s="6">
        <f t="shared" si="17"/>
        <v>1073742739</v>
      </c>
      <c r="AJ158" s="6" t="str">
        <f t="shared" si="18"/>
        <v>0x40000393</v>
      </c>
      <c r="AK158" s="6" t="str">
        <f t="shared" si="15"/>
        <v>0x40000393</v>
      </c>
      <c r="AL158" s="6">
        <f t="shared" si="19"/>
        <v>64</v>
      </c>
      <c r="AN158" s="6" t="str">
        <f t="shared" si="20"/>
        <v>ok</v>
      </c>
      <c r="AO158" s="6" t="s">
        <v>5</v>
      </c>
    </row>
    <row r="159" spans="1:41">
      <c r="A159" s="7" t="s">
        <v>808</v>
      </c>
      <c r="B159" s="7" t="s">
        <v>421</v>
      </c>
      <c r="C159" s="7" t="s">
        <v>29</v>
      </c>
      <c r="D159" s="7">
        <v>64</v>
      </c>
      <c r="E159" s="7">
        <v>1000</v>
      </c>
      <c r="F159" s="7" t="s">
        <v>29</v>
      </c>
      <c r="G159" s="7" t="s">
        <v>32</v>
      </c>
      <c r="H159" s="7"/>
      <c r="I159" s="7"/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1</v>
      </c>
      <c r="W159" s="6">
        <v>0</v>
      </c>
      <c r="X159" s="89"/>
      <c r="Y159" s="6">
        <v>11</v>
      </c>
      <c r="Z159" s="87">
        <f>VLOOKUP(A159,SecOC_Cfg.h!$C$33:$D$61,2,FALSE)</f>
        <v>3</v>
      </c>
      <c r="AA159" s="118">
        <v>65535</v>
      </c>
      <c r="AB159" s="118">
        <v>65535</v>
      </c>
      <c r="AE159" s="96"/>
      <c r="AF159" s="270">
        <f>IF(V159=1,MAX($AF$6:AF158)+1,IF(AF158="#",0,IF(AND(D158=D159,K158=K159,L158=L159,M158=M159,N158=N159,O158=O159,P158=P159,Q158=Q159,R158=R159,S158=S159,T158=T159,U158=U159,V158=V159,W158=W159,HEX2DEC(SUBSTITUTE(AH158,"0x",""))&lt;HEX2DEC(SUBSTITUTE(AH159,"0x",""))),"",MAX($AF$6:AF158)+1)))</f>
        <v>95</v>
      </c>
      <c r="AG159" s="225">
        <f>IF(MAX(INDEX($AF:$AF,ROW($AG$6)):INDEX($AF:$AF,ROW(AG159)))+1=AF160,MAX(INDEX($AF:$AF,ROW($AG$6)):INDEX($AF:$AF,ROW(AG159))),"")</f>
        <v>95</v>
      </c>
      <c r="AH159" s="6" t="str">
        <f t="shared" si="16"/>
        <v>0x40000396</v>
      </c>
      <c r="AI159" s="6">
        <f t="shared" si="17"/>
        <v>1073742742</v>
      </c>
      <c r="AJ159" s="6" t="str">
        <f t="shared" si="18"/>
        <v>0x40000396</v>
      </c>
      <c r="AK159" s="6" t="str">
        <f t="shared" si="15"/>
        <v>0x40000396</v>
      </c>
      <c r="AL159" s="6">
        <f t="shared" si="19"/>
        <v>64</v>
      </c>
      <c r="AN159" s="6" t="str">
        <f t="shared" si="20"/>
        <v>ok</v>
      </c>
      <c r="AO159" s="6" t="s">
        <v>5</v>
      </c>
    </row>
    <row r="160" spans="1:41">
      <c r="A160" s="7" t="s">
        <v>426</v>
      </c>
      <c r="B160" s="7" t="s">
        <v>425</v>
      </c>
      <c r="C160" s="7" t="s">
        <v>29</v>
      </c>
      <c r="D160" s="7">
        <v>32</v>
      </c>
      <c r="E160" s="7">
        <v>1000</v>
      </c>
      <c r="F160" s="7" t="s">
        <v>31</v>
      </c>
      <c r="G160" s="7" t="s">
        <v>32</v>
      </c>
      <c r="H160" s="7"/>
      <c r="I160" s="7"/>
      <c r="K160" s="6">
        <v>0</v>
      </c>
      <c r="L160" s="6">
        <v>0</v>
      </c>
      <c r="M160" s="6">
        <v>0</v>
      </c>
      <c r="N160" s="6">
        <v>1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89"/>
      <c r="Y160" s="6">
        <v>29</v>
      </c>
      <c r="Z160" s="118">
        <v>65535</v>
      </c>
      <c r="AA160" s="6">
        <v>32768</v>
      </c>
      <c r="AB160" s="118">
        <v>65535</v>
      </c>
      <c r="AE160" s="96"/>
      <c r="AF160" s="270">
        <f>IF(V160=1,MAX($AF$6:AF159)+1,IF(AF159="#",0,IF(AND(D159=D160,K159=K160,L159=L160,M159=M160,N159=N160,O159=O160,P159=P160,Q159=Q160,R159=R160,S159=S160,T159=T160,U159=U160,V159=V160,W159=W160,HEX2DEC(SUBSTITUTE(AH159,"0x",""))&lt;HEX2DEC(SUBSTITUTE(AH160,"0x",""))),"",MAX($AF$6:AF159)+1)))</f>
        <v>96</v>
      </c>
      <c r="AG160" s="225">
        <f>IF(MAX(INDEX($AF:$AF,ROW($AG$6)):INDEX($AF:$AF,ROW(AG160)))+1=AF161,MAX(INDEX($AF:$AF,ROW($AG$6)):INDEX($AF:$AF,ROW(AG160))),"")</f>
        <v>96</v>
      </c>
      <c r="AH160" s="6" t="str">
        <f t="shared" si="16"/>
        <v>0x40000397</v>
      </c>
      <c r="AI160" s="6">
        <f t="shared" si="17"/>
        <v>1073742743</v>
      </c>
      <c r="AJ160" s="6" t="str">
        <f t="shared" si="18"/>
        <v>0x40000397</v>
      </c>
      <c r="AK160" s="6" t="str">
        <f t="shared" si="15"/>
        <v>0x40000397</v>
      </c>
      <c r="AL160" s="6">
        <f t="shared" si="19"/>
        <v>32</v>
      </c>
      <c r="AN160" s="6" t="str">
        <f t="shared" si="20"/>
        <v>ok</v>
      </c>
      <c r="AO160" s="6" t="s">
        <v>5</v>
      </c>
    </row>
    <row r="161" spans="1:41">
      <c r="A161" s="7" t="s">
        <v>809</v>
      </c>
      <c r="B161" s="7" t="s">
        <v>435</v>
      </c>
      <c r="C161" s="7" t="s">
        <v>29</v>
      </c>
      <c r="D161" s="7">
        <v>64</v>
      </c>
      <c r="E161" s="7">
        <v>1000</v>
      </c>
      <c r="F161" s="7" t="s">
        <v>29</v>
      </c>
      <c r="G161" s="7" t="s">
        <v>32</v>
      </c>
      <c r="H161" s="7"/>
      <c r="I161" s="7"/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1</v>
      </c>
      <c r="W161" s="6">
        <v>0</v>
      </c>
      <c r="X161" s="89"/>
      <c r="Y161" s="6">
        <v>12</v>
      </c>
      <c r="Z161" s="87">
        <f>VLOOKUP(A161,SecOC_Cfg.h!$C$33:$D$61,2,FALSE)</f>
        <v>7</v>
      </c>
      <c r="AA161" s="118">
        <v>65535</v>
      </c>
      <c r="AB161" s="118">
        <v>65535</v>
      </c>
      <c r="AE161" s="96"/>
      <c r="AF161" s="270">
        <f>IF(V161=1,MAX($AF$6:AF160)+1,IF(AF160="#",0,IF(AND(D160=D161,K160=K161,L160=L161,M160=M161,N160=N161,O160=O161,P160=P161,Q160=Q161,R160=R161,S160=S161,T160=T161,U160=U161,V160=V161,W160=W161,HEX2DEC(SUBSTITUTE(AH160,"0x",""))&lt;HEX2DEC(SUBSTITUTE(AH161,"0x",""))),"",MAX($AF$6:AF160)+1)))</f>
        <v>97</v>
      </c>
      <c r="AG161" s="225">
        <f>IF(MAX(INDEX($AF:$AF,ROW($AG$6)):INDEX($AF:$AF,ROW(AG161)))+1=AF162,MAX(INDEX($AF:$AF,ROW($AG$6)):INDEX($AF:$AF,ROW(AG161))),"")</f>
        <v>97</v>
      </c>
      <c r="AH161" s="6" t="str">
        <f t="shared" si="16"/>
        <v>0x4000039e</v>
      </c>
      <c r="AI161" s="6">
        <f t="shared" si="17"/>
        <v>1073742750</v>
      </c>
      <c r="AJ161" s="6" t="str">
        <f t="shared" si="18"/>
        <v>0x4000039e</v>
      </c>
      <c r="AK161" s="6" t="str">
        <f t="shared" si="15"/>
        <v>0x4000039e</v>
      </c>
      <c r="AL161" s="6">
        <f t="shared" si="19"/>
        <v>64</v>
      </c>
      <c r="AN161" s="6" t="str">
        <f t="shared" si="20"/>
        <v>ok</v>
      </c>
    </row>
    <row r="162" spans="1:41">
      <c r="A162" s="7" t="s">
        <v>810</v>
      </c>
      <c r="B162" s="7" t="s">
        <v>438</v>
      </c>
      <c r="C162" s="7" t="s">
        <v>29</v>
      </c>
      <c r="D162" s="7">
        <v>64</v>
      </c>
      <c r="E162" s="7">
        <v>1000</v>
      </c>
      <c r="F162" s="7" t="s">
        <v>29</v>
      </c>
      <c r="G162" s="7" t="s">
        <v>32</v>
      </c>
      <c r="H162" s="7"/>
      <c r="I162" s="7"/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1</v>
      </c>
      <c r="W162" s="6">
        <v>0</v>
      </c>
      <c r="X162" s="89"/>
      <c r="Y162" s="6">
        <v>13</v>
      </c>
      <c r="Z162" s="87">
        <f>VLOOKUP(A162,SecOC_Cfg.h!$C$33:$D$61,2,FALSE)</f>
        <v>8</v>
      </c>
      <c r="AA162" s="118">
        <v>65535</v>
      </c>
      <c r="AB162" s="118">
        <v>65535</v>
      </c>
      <c r="AE162" s="96"/>
      <c r="AF162" s="270">
        <f>IF(V162=1,MAX($AF$6:AF161)+1,IF(AF161="#",0,IF(AND(D161=D162,K161=K162,L161=L162,M161=M162,N161=N162,O161=O162,P161=P162,Q161=Q162,R161=R162,S161=S162,T161=T162,U161=U162,V161=V162,W161=W162,HEX2DEC(SUBSTITUTE(AH161,"0x",""))&lt;HEX2DEC(SUBSTITUTE(AH162,"0x",""))),"",MAX($AF$6:AF161)+1)))</f>
        <v>98</v>
      </c>
      <c r="AG162" s="225">
        <f>IF(MAX(INDEX($AF:$AF,ROW($AG$6)):INDEX($AF:$AF,ROW(AG162)))+1=AF163,MAX(INDEX($AF:$AF,ROW($AG$6)):INDEX($AF:$AF,ROW(AG162))),"")</f>
        <v>98</v>
      </c>
      <c r="AH162" s="6" t="str">
        <f t="shared" si="16"/>
        <v>0x4000039f</v>
      </c>
      <c r="AI162" s="6">
        <f t="shared" si="17"/>
        <v>1073742751</v>
      </c>
      <c r="AJ162" s="6" t="str">
        <f t="shared" si="18"/>
        <v>0x4000039f</v>
      </c>
      <c r="AK162" s="6" t="str">
        <f t="shared" si="15"/>
        <v>0x4000039f</v>
      </c>
      <c r="AL162" s="6">
        <f t="shared" si="19"/>
        <v>64</v>
      </c>
      <c r="AN162" s="6" t="str">
        <f t="shared" si="20"/>
        <v>ok</v>
      </c>
    </row>
    <row r="163" spans="1:41">
      <c r="A163" s="7" t="s">
        <v>442</v>
      </c>
      <c r="B163" s="7" t="s">
        <v>441</v>
      </c>
      <c r="C163" s="7" t="s">
        <v>29</v>
      </c>
      <c r="D163" s="7">
        <v>8</v>
      </c>
      <c r="E163" s="7">
        <v>1000</v>
      </c>
      <c r="F163" s="7" t="s">
        <v>31</v>
      </c>
      <c r="G163" s="7" t="s">
        <v>32</v>
      </c>
      <c r="H163" s="7"/>
      <c r="I163" s="7"/>
      <c r="K163" s="6">
        <v>0</v>
      </c>
      <c r="L163" s="6">
        <v>0</v>
      </c>
      <c r="M163" s="6">
        <v>0</v>
      </c>
      <c r="N163" s="6">
        <v>1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89"/>
      <c r="Y163" s="6">
        <v>29</v>
      </c>
      <c r="Z163" s="118">
        <v>65535</v>
      </c>
      <c r="AA163" s="6">
        <v>32768</v>
      </c>
      <c r="AB163" s="118">
        <v>65535</v>
      </c>
      <c r="AE163" s="96"/>
      <c r="AF163" s="270">
        <f>IF(V163=1,MAX($AF$6:AF162)+1,IF(AF162="#",0,IF(AND(D162=D163,K162=K163,L162=L163,M162=M163,N162=N163,O162=O163,P162=P163,Q162=Q163,R162=R163,S162=S163,T162=T163,U162=U163,V162=V163,W162=W163,HEX2DEC(SUBSTITUTE(AH162,"0x",""))&lt;HEX2DEC(SUBSTITUTE(AH163,"0x",""))),"",MAX($AF$6:AF162)+1)))</f>
        <v>99</v>
      </c>
      <c r="AG163" s="225">
        <f>IF(MAX(INDEX($AF:$AF,ROW($AG$6)):INDEX($AF:$AF,ROW(AG163)))+1=AF164,MAX(INDEX($AF:$AF,ROW($AG$6)):INDEX($AF:$AF,ROW(AG163))),"")</f>
        <v>99</v>
      </c>
      <c r="AH163" s="6" t="str">
        <f t="shared" si="16"/>
        <v>0x400003a1</v>
      </c>
      <c r="AI163" s="6">
        <f t="shared" si="17"/>
        <v>1073742753</v>
      </c>
      <c r="AJ163" s="6" t="str">
        <f t="shared" si="18"/>
        <v>0x400003a1</v>
      </c>
      <c r="AK163" s="6" t="str">
        <f t="shared" si="15"/>
        <v>0x400003a1</v>
      </c>
      <c r="AL163" s="6">
        <f t="shared" si="19"/>
        <v>8</v>
      </c>
      <c r="AN163" s="6" t="str">
        <f t="shared" si="20"/>
        <v>ok</v>
      </c>
    </row>
    <row r="164" spans="1:41">
      <c r="A164" s="7" t="s">
        <v>811</v>
      </c>
      <c r="B164" s="7" t="s">
        <v>444</v>
      </c>
      <c r="C164" s="7" t="s">
        <v>29</v>
      </c>
      <c r="D164" s="7">
        <v>64</v>
      </c>
      <c r="E164" s="7">
        <v>1000</v>
      </c>
      <c r="F164" s="7" t="s">
        <v>29</v>
      </c>
      <c r="G164" s="7" t="s">
        <v>32</v>
      </c>
      <c r="H164" s="7"/>
      <c r="I164" s="7"/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1</v>
      </c>
      <c r="W164" s="6">
        <v>0</v>
      </c>
      <c r="X164" s="89"/>
      <c r="Y164" s="6">
        <v>14</v>
      </c>
      <c r="Z164" s="87">
        <f>VLOOKUP(A164,SecOC_Cfg.h!$C$33:$D$61,2,FALSE)</f>
        <v>9</v>
      </c>
      <c r="AA164" s="118">
        <v>65535</v>
      </c>
      <c r="AB164" s="118">
        <v>65535</v>
      </c>
      <c r="AE164" s="96"/>
      <c r="AF164" s="270">
        <f>IF(V164=1,MAX($AF$6:AF163)+1,IF(AF163="#",0,IF(AND(D163=D164,K163=K164,L163=L164,M163=M164,N163=N164,O163=O164,P163=P164,Q163=Q164,R163=R164,S163=S164,T163=T164,U163=U164,V163=V164,W163=W164,HEX2DEC(SUBSTITUTE(AH163,"0x",""))&lt;HEX2DEC(SUBSTITUTE(AH164,"0x",""))),"",MAX($AF$6:AF163)+1)))</f>
        <v>100</v>
      </c>
      <c r="AG164" s="225">
        <f>IF(MAX(INDEX($AF:$AF,ROW($AG$6)):INDEX($AF:$AF,ROW(AG164)))+1=AF165,MAX(INDEX($AF:$AF,ROW($AG$6)):INDEX($AF:$AF,ROW(AG164))),"")</f>
        <v>100</v>
      </c>
      <c r="AH164" s="6" t="str">
        <f t="shared" si="16"/>
        <v>0x400003a5</v>
      </c>
      <c r="AI164" s="6">
        <f t="shared" si="17"/>
        <v>1073742757</v>
      </c>
      <c r="AJ164" s="6" t="str">
        <f t="shared" si="18"/>
        <v>0x400003a5</v>
      </c>
      <c r="AK164" s="6" t="str">
        <f t="shared" si="15"/>
        <v>0x400003a5</v>
      </c>
      <c r="AL164" s="6">
        <f t="shared" si="19"/>
        <v>64</v>
      </c>
      <c r="AN164" s="6" t="str">
        <f t="shared" si="20"/>
        <v>ok</v>
      </c>
      <c r="AO164" s="6" t="s">
        <v>5</v>
      </c>
    </row>
    <row r="165" spans="1:41">
      <c r="A165" s="7" t="s">
        <v>812</v>
      </c>
      <c r="B165" s="7" t="s">
        <v>471</v>
      </c>
      <c r="C165" s="7" t="s">
        <v>29</v>
      </c>
      <c r="D165" s="7">
        <v>64</v>
      </c>
      <c r="E165" s="7">
        <v>1000</v>
      </c>
      <c r="F165" s="7" t="s">
        <v>29</v>
      </c>
      <c r="G165" s="7" t="s">
        <v>32</v>
      </c>
      <c r="H165" s="7"/>
      <c r="I165" s="7"/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1</v>
      </c>
      <c r="W165" s="6">
        <v>0</v>
      </c>
      <c r="X165" s="89"/>
      <c r="Y165" s="6">
        <v>15</v>
      </c>
      <c r="Z165" s="87">
        <f>VLOOKUP(A165,SecOC_Cfg.h!$C$33:$D$61,2,FALSE)</f>
        <v>22</v>
      </c>
      <c r="AA165" s="118">
        <v>65535</v>
      </c>
      <c r="AB165" s="118">
        <v>65535</v>
      </c>
      <c r="AE165" s="96"/>
      <c r="AF165" s="270">
        <f>IF(V165=1,MAX($AF$6:AF164)+1,IF(AF164="#",0,IF(AND(D164=D165,K164=K165,L164=L165,M164=M165,N164=N165,O164=O165,P164=P165,Q164=Q165,R164=R165,S164=S165,T164=T165,U164=U165,V164=V165,W164=W165,HEX2DEC(SUBSTITUTE(AH164,"0x",""))&lt;HEX2DEC(SUBSTITUTE(AH165,"0x",""))),"",MAX($AF$6:AF164)+1)))</f>
        <v>101</v>
      </c>
      <c r="AG165" s="225">
        <f>IF(MAX(INDEX($AF:$AF,ROW($AG$6)):INDEX($AF:$AF,ROW(AG165)))+1=AF166,MAX(INDEX($AF:$AF,ROW($AG$6)):INDEX($AF:$AF,ROW(AG165))),"")</f>
        <v>101</v>
      </c>
      <c r="AH165" s="6" t="str">
        <f t="shared" si="16"/>
        <v>0x400003e1</v>
      </c>
      <c r="AI165" s="6">
        <f t="shared" si="17"/>
        <v>1073742817</v>
      </c>
      <c r="AJ165" s="6" t="str">
        <f t="shared" si="18"/>
        <v>0x400003e1</v>
      </c>
      <c r="AK165" s="6" t="str">
        <f t="shared" si="15"/>
        <v>0x400003e1</v>
      </c>
      <c r="AL165" s="6">
        <f t="shared" si="19"/>
        <v>64</v>
      </c>
      <c r="AN165" s="6" t="str">
        <f t="shared" si="20"/>
        <v>ok</v>
      </c>
      <c r="AO165" s="6" t="s">
        <v>5</v>
      </c>
    </row>
    <row r="166" spans="1:41">
      <c r="A166" s="7" t="s">
        <v>474</v>
      </c>
      <c r="B166" s="7" t="s">
        <v>475</v>
      </c>
      <c r="C166" s="7" t="s">
        <v>29</v>
      </c>
      <c r="D166" s="7">
        <v>32</v>
      </c>
      <c r="E166" s="7">
        <v>1000</v>
      </c>
      <c r="F166" s="7" t="s">
        <v>31</v>
      </c>
      <c r="G166" s="7" t="s">
        <v>32</v>
      </c>
      <c r="H166" s="7"/>
      <c r="I166" s="7"/>
      <c r="K166" s="6">
        <v>0</v>
      </c>
      <c r="L166" s="6">
        <v>0</v>
      </c>
      <c r="M166" s="6">
        <v>0</v>
      </c>
      <c r="N166" s="6">
        <v>1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89"/>
      <c r="Y166" s="6">
        <v>29</v>
      </c>
      <c r="Z166" s="118">
        <v>65535</v>
      </c>
      <c r="AA166" s="6">
        <v>32768</v>
      </c>
      <c r="AB166" s="118">
        <v>65535</v>
      </c>
      <c r="AE166" s="96"/>
      <c r="AF166" s="270">
        <f>IF(V166=1,MAX($AF$6:AF165)+1,IF(AF165="#",0,IF(AND(D165=D166,K165=K166,L165=L166,M165=M166,N165=N166,O165=O166,P165=P166,Q165=Q166,R165=R166,S165=S166,T165=T166,U165=U166,V165=V166,W165=W166,HEX2DEC(SUBSTITUTE(AH165,"0x",""))&lt;HEX2DEC(SUBSTITUTE(AH166,"0x",""))),"",MAX($AF$6:AF165)+1)))</f>
        <v>102</v>
      </c>
      <c r="AG166" s="225">
        <f>IF(MAX(INDEX($AF:$AF,ROW($AG$6)):INDEX($AF:$AF,ROW(AG166)))+1=AF167,MAX(INDEX($AF:$AF,ROW($AG$6)):INDEX($AF:$AF,ROW(AG166))),"")</f>
        <v>102</v>
      </c>
      <c r="AH166" s="6" t="str">
        <f t="shared" si="16"/>
        <v>0x400003e5</v>
      </c>
      <c r="AI166" s="6">
        <f t="shared" si="17"/>
        <v>1073742821</v>
      </c>
      <c r="AJ166" s="6" t="str">
        <f t="shared" si="18"/>
        <v>0x400003e5</v>
      </c>
      <c r="AK166" s="6" t="str">
        <f t="shared" si="15"/>
        <v>0x400003e5</v>
      </c>
      <c r="AL166" s="6">
        <f t="shared" si="19"/>
        <v>32</v>
      </c>
      <c r="AN166" s="6" t="str">
        <f t="shared" si="20"/>
        <v>ok</v>
      </c>
    </row>
    <row r="167" spans="1:41">
      <c r="A167" s="7" t="s">
        <v>449</v>
      </c>
      <c r="B167" s="7" t="s">
        <v>448</v>
      </c>
      <c r="C167" s="7" t="s">
        <v>29</v>
      </c>
      <c r="D167" s="7">
        <v>32</v>
      </c>
      <c r="E167" s="7">
        <v>1000</v>
      </c>
      <c r="F167" s="7" t="s">
        <v>31</v>
      </c>
      <c r="G167" s="7" t="s">
        <v>32</v>
      </c>
      <c r="H167" s="7"/>
      <c r="I167" s="7"/>
      <c r="K167" s="6">
        <v>0</v>
      </c>
      <c r="L167" s="6">
        <v>0</v>
      </c>
      <c r="M167" s="6">
        <v>0</v>
      </c>
      <c r="N167" s="6">
        <v>1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89"/>
      <c r="Y167" s="6">
        <v>29</v>
      </c>
      <c r="Z167" s="118">
        <v>65535</v>
      </c>
      <c r="AA167" s="6">
        <v>32768</v>
      </c>
      <c r="AB167" s="118">
        <v>65535</v>
      </c>
      <c r="AE167" s="96"/>
      <c r="AF167" s="270">
        <f>IF(V167=1,MAX($AF$6:AF166)+1,IF(AF166="#",0,IF(AND(D166=D167,K166=K167,L166=L167,M166=M167,N166=N167,O166=O167,P166=P167,Q166=Q167,R166=R167,S166=S167,T166=T167,U166=U167,V166=V167,W166=W167,HEX2DEC(SUBSTITUTE(AH166,"0x",""))&lt;HEX2DEC(SUBSTITUTE(AH167,"0x",""))),"",MAX($AF$6:AF166)+1)))</f>
        <v>103</v>
      </c>
      <c r="AG167" s="225">
        <f>IF(MAX(INDEX($AF:$AF,ROW($AG$6)):INDEX($AF:$AF,ROW(AG167)))+1=AF168,MAX(INDEX($AF:$AF,ROW($AG$6)):INDEX($AF:$AF,ROW(AG167))),"")</f>
        <v>103</v>
      </c>
      <c r="AH167" s="6" t="str">
        <f t="shared" si="16"/>
        <v>0x400003a9</v>
      </c>
      <c r="AI167" s="6">
        <f t="shared" si="17"/>
        <v>1073742761</v>
      </c>
      <c r="AJ167" s="6" t="str">
        <f t="shared" si="18"/>
        <v>0x400003a9</v>
      </c>
      <c r="AK167" s="6" t="str">
        <f t="shared" si="15"/>
        <v>0x400003a9</v>
      </c>
      <c r="AL167" s="6">
        <f t="shared" si="19"/>
        <v>32</v>
      </c>
      <c r="AN167" s="6" t="str">
        <f t="shared" si="20"/>
        <v>not ok</v>
      </c>
    </row>
    <row r="168" spans="1:41">
      <c r="A168" s="7" t="s">
        <v>453</v>
      </c>
      <c r="B168" s="7" t="s">
        <v>452</v>
      </c>
      <c r="C168" s="7" t="s">
        <v>29</v>
      </c>
      <c r="D168" s="7">
        <v>8</v>
      </c>
      <c r="E168" s="7">
        <v>1000</v>
      </c>
      <c r="F168" s="7" t="s">
        <v>31</v>
      </c>
      <c r="G168" s="7" t="s">
        <v>32</v>
      </c>
      <c r="H168" s="7"/>
      <c r="I168" s="7"/>
      <c r="K168" s="6">
        <v>0</v>
      </c>
      <c r="L168" s="6">
        <v>0</v>
      </c>
      <c r="M168" s="6">
        <v>0</v>
      </c>
      <c r="N168" s="6">
        <v>1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89"/>
      <c r="Y168" s="6">
        <v>29</v>
      </c>
      <c r="Z168" s="118">
        <v>65535</v>
      </c>
      <c r="AA168" s="6">
        <v>32768</v>
      </c>
      <c r="AB168" s="118">
        <v>65535</v>
      </c>
      <c r="AE168" s="96"/>
      <c r="AF168" s="270">
        <f>IF(V168=1,MAX($AF$6:AF167)+1,IF(AF167="#",0,IF(AND(D167=D168,K167=K168,L167=L168,M167=M168,N167=N168,O167=O168,P167=P168,Q167=Q168,R167=R168,S167=S168,T167=T168,U167=U168,V167=V168,W167=W168,HEX2DEC(SUBSTITUTE(AH167,"0x",""))&lt;HEX2DEC(SUBSTITUTE(AH168,"0x",""))),"",MAX($AF$6:AF167)+1)))</f>
        <v>104</v>
      </c>
      <c r="AG168" s="225">
        <f>IF(MAX(INDEX($AF:$AF,ROW($AG$6)):INDEX($AF:$AF,ROW(AG168)))+1=AF169,MAX(INDEX($AF:$AF,ROW($AG$6)):INDEX($AF:$AF,ROW(AG168))),"")</f>
        <v>104</v>
      </c>
      <c r="AH168" s="6" t="str">
        <f t="shared" si="16"/>
        <v>0x400003ab</v>
      </c>
      <c r="AI168" s="6">
        <f t="shared" si="17"/>
        <v>1073742763</v>
      </c>
      <c r="AJ168" s="6" t="str">
        <f t="shared" si="18"/>
        <v>0x400003ab</v>
      </c>
      <c r="AK168" s="6" t="str">
        <f t="shared" si="15"/>
        <v>0x400003ab</v>
      </c>
      <c r="AL168" s="6">
        <f t="shared" si="19"/>
        <v>8</v>
      </c>
      <c r="AN168" s="6" t="str">
        <f t="shared" si="20"/>
        <v>ok</v>
      </c>
    </row>
    <row r="169" spans="1:41">
      <c r="A169" s="7" t="s">
        <v>481</v>
      </c>
      <c r="B169" s="7" t="s">
        <v>482</v>
      </c>
      <c r="C169" s="7" t="s">
        <v>29</v>
      </c>
      <c r="D169" s="7">
        <v>64</v>
      </c>
      <c r="E169" s="7">
        <v>1000</v>
      </c>
      <c r="F169" s="7" t="s">
        <v>31</v>
      </c>
      <c r="G169" s="7" t="s">
        <v>32</v>
      </c>
      <c r="H169" s="7"/>
      <c r="I169" s="7"/>
      <c r="K169" s="6">
        <v>0</v>
      </c>
      <c r="L169" s="6">
        <v>0</v>
      </c>
      <c r="M169" s="6">
        <v>0</v>
      </c>
      <c r="N169" s="6">
        <v>1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89"/>
      <c r="Y169" s="6">
        <v>29</v>
      </c>
      <c r="Z169" s="118">
        <v>65535</v>
      </c>
      <c r="AA169" s="6">
        <v>32768</v>
      </c>
      <c r="AB169" s="118">
        <v>65535</v>
      </c>
      <c r="AE169" s="96"/>
      <c r="AF169" s="270">
        <f>IF(V169=1,MAX($AF$6:AF168)+1,IF(AF168="#",0,IF(AND(D168=D169,K168=K169,L168=L169,M168=M169,N168=N169,O168=O169,P168=P169,Q168=Q169,R168=R169,S168=S169,T168=T169,U168=U169,V168=V169,W168=W169,HEX2DEC(SUBSTITUTE(AH168,"0x",""))&lt;HEX2DEC(SUBSTITUTE(AH169,"0x",""))),"",MAX($AF$6:AF168)+1)))</f>
        <v>105</v>
      </c>
      <c r="AG169" s="225">
        <f>IF(MAX(INDEX($AF:$AF,ROW($AG$6)):INDEX($AF:$AF,ROW(AG169)))+1=AF170,MAX(INDEX($AF:$AF,ROW($AG$6)):INDEX($AF:$AF,ROW(AG169))),"")</f>
        <v>105</v>
      </c>
      <c r="AH169" s="6" t="str">
        <f t="shared" si="16"/>
        <v>0x400003e9</v>
      </c>
      <c r="AI169" s="6">
        <f t="shared" si="17"/>
        <v>1073742825</v>
      </c>
      <c r="AJ169" s="6" t="str">
        <f t="shared" si="18"/>
        <v>0x400003e9</v>
      </c>
      <c r="AK169" s="6" t="str">
        <f t="shared" si="15"/>
        <v>0x400003e9</v>
      </c>
      <c r="AL169" s="6">
        <f t="shared" si="19"/>
        <v>64</v>
      </c>
      <c r="AN169" s="6" t="str">
        <f t="shared" si="20"/>
        <v>ok</v>
      </c>
      <c r="AO169" s="6" t="s">
        <v>5</v>
      </c>
    </row>
    <row r="170" spans="1:41">
      <c r="A170" s="7" t="s">
        <v>813</v>
      </c>
      <c r="B170" s="7" t="s">
        <v>486</v>
      </c>
      <c r="C170" s="7" t="s">
        <v>29</v>
      </c>
      <c r="D170" s="7">
        <v>64</v>
      </c>
      <c r="E170" s="7">
        <v>1000</v>
      </c>
      <c r="F170" s="7" t="s">
        <v>29</v>
      </c>
      <c r="G170" s="7" t="s">
        <v>32</v>
      </c>
      <c r="H170" s="7"/>
      <c r="I170" s="7"/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1</v>
      </c>
      <c r="W170" s="6">
        <v>0</v>
      </c>
      <c r="X170" s="89"/>
      <c r="Y170" s="6">
        <v>16</v>
      </c>
      <c r="Z170" s="87">
        <f>VLOOKUP(A170,SecOC_Cfg.h!$C$33:$D$61,2,FALSE)</f>
        <v>23</v>
      </c>
      <c r="AA170" s="118">
        <v>65535</v>
      </c>
      <c r="AB170" s="118">
        <v>65535</v>
      </c>
      <c r="AE170" s="96"/>
      <c r="AF170" s="270">
        <f>IF(V170=1,MAX($AF$6:AF169)+1,IF(AF169="#",0,IF(AND(D169=D170,K169=K170,L169=L170,M169=M170,N169=N170,O169=O170,P169=P170,Q169=Q170,R169=R170,S169=S170,T169=T170,U169=U170,V169=V170,W169=W170,HEX2DEC(SUBSTITUTE(AH169,"0x",""))&lt;HEX2DEC(SUBSTITUTE(AH170,"0x",""))),"",MAX($AF$6:AF169)+1)))</f>
        <v>106</v>
      </c>
      <c r="AG170" s="225">
        <f>IF(MAX(INDEX($AF:$AF,ROW($AG$6)):INDEX($AF:$AF,ROW(AG170)))+1=AF171,MAX(INDEX($AF:$AF,ROW($AG$6)):INDEX($AF:$AF,ROW(AG170))),"")</f>
        <v>106</v>
      </c>
      <c r="AH170" s="6" t="str">
        <f t="shared" si="16"/>
        <v>0x400003eb</v>
      </c>
      <c r="AI170" s="6">
        <f t="shared" si="17"/>
        <v>1073742827</v>
      </c>
      <c r="AJ170" s="6" t="str">
        <f t="shared" si="18"/>
        <v>0x400003eb</v>
      </c>
      <c r="AK170" s="6" t="str">
        <f t="shared" si="15"/>
        <v>0x400003eb</v>
      </c>
      <c r="AL170" s="6">
        <f t="shared" si="19"/>
        <v>64</v>
      </c>
      <c r="AN170" s="6" t="str">
        <f t="shared" si="20"/>
        <v>ok</v>
      </c>
    </row>
    <row r="171" spans="1:41">
      <c r="A171" s="7" t="s">
        <v>814</v>
      </c>
      <c r="B171" s="7" t="s">
        <v>455</v>
      </c>
      <c r="C171" s="7" t="s">
        <v>29</v>
      </c>
      <c r="D171" s="7">
        <v>64</v>
      </c>
      <c r="E171" s="7">
        <v>1000</v>
      </c>
      <c r="F171" s="7" t="s">
        <v>29</v>
      </c>
      <c r="G171" s="7" t="s">
        <v>32</v>
      </c>
      <c r="H171" s="7"/>
      <c r="I171" s="7"/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1</v>
      </c>
      <c r="W171" s="6">
        <v>0</v>
      </c>
      <c r="X171" s="89"/>
      <c r="Y171" s="6">
        <v>17</v>
      </c>
      <c r="Z171" s="87">
        <f>VLOOKUP(A171,SecOC_Cfg.h!$C$33:$D$61,2,FALSE)</f>
        <v>10</v>
      </c>
      <c r="AA171" s="118">
        <v>65535</v>
      </c>
      <c r="AB171" s="118">
        <v>65535</v>
      </c>
      <c r="AE171" s="96"/>
      <c r="AF171" s="270">
        <f>IF(V171=1,MAX($AF$6:AF170)+1,IF(AF170="#",0,IF(AND(D170=D171,K170=K171,L170=L171,M170=M171,N170=N171,O170=O171,P170=P171,Q170=Q171,R170=R171,S170=S171,T170=T171,U170=U171,V170=V171,W170=W171,HEX2DEC(SUBSTITUTE(AH170,"0x",""))&lt;HEX2DEC(SUBSTITUTE(AH171,"0x",""))),"",MAX($AF$6:AF170)+1)))</f>
        <v>107</v>
      </c>
      <c r="AG171" s="225">
        <f>IF(MAX(INDEX($AF:$AF,ROW($AG$6)):INDEX($AF:$AF,ROW(AG171)))+1=AF172,MAX(INDEX($AF:$AF,ROW($AG$6)):INDEX($AF:$AF,ROW(AG171))),"")</f>
        <v>107</v>
      </c>
      <c r="AH171" s="6" t="str">
        <f t="shared" si="16"/>
        <v>0x400003ac</v>
      </c>
      <c r="AI171" s="6">
        <f t="shared" si="17"/>
        <v>1073742764</v>
      </c>
      <c r="AJ171" s="6" t="str">
        <f t="shared" si="18"/>
        <v>0x400003ac</v>
      </c>
      <c r="AK171" s="6" t="str">
        <f t="shared" si="15"/>
        <v>0x400003ac</v>
      </c>
      <c r="AL171" s="6">
        <f t="shared" si="19"/>
        <v>64</v>
      </c>
      <c r="AN171" s="6" t="str">
        <f t="shared" si="20"/>
        <v>not ok</v>
      </c>
    </row>
    <row r="172" spans="1:41">
      <c r="A172" s="7" t="s">
        <v>815</v>
      </c>
      <c r="B172" s="7" t="s">
        <v>457</v>
      </c>
      <c r="C172" s="7" t="s">
        <v>29</v>
      </c>
      <c r="D172" s="7">
        <v>64</v>
      </c>
      <c r="E172" s="7">
        <v>1000</v>
      </c>
      <c r="F172" s="7" t="s">
        <v>29</v>
      </c>
      <c r="G172" s="7" t="s">
        <v>32</v>
      </c>
      <c r="H172" s="7"/>
      <c r="I172" s="7"/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1</v>
      </c>
      <c r="W172" s="6">
        <v>0</v>
      </c>
      <c r="X172" s="89"/>
      <c r="Y172" s="6">
        <v>18</v>
      </c>
      <c r="Z172" s="87">
        <f>VLOOKUP(A172,SecOC_Cfg.h!$C$33:$D$61,2,FALSE)</f>
        <v>11</v>
      </c>
      <c r="AA172" s="118">
        <v>65535</v>
      </c>
      <c r="AB172" s="118">
        <v>65535</v>
      </c>
      <c r="AE172" s="96"/>
      <c r="AF172" s="270">
        <f>IF(V172=1,MAX($AF$6:AF171)+1,IF(AF171="#",0,IF(AND(D171=D172,K171=K172,L171=L172,M171=M172,N171=N172,O171=O172,P171=P172,Q171=Q172,R171=R172,S171=S172,T171=T172,U171=U172,V171=V172,W171=W172,HEX2DEC(SUBSTITUTE(AH171,"0x",""))&lt;HEX2DEC(SUBSTITUTE(AH172,"0x",""))),"",MAX($AF$6:AF171)+1)))</f>
        <v>108</v>
      </c>
      <c r="AG172" s="225">
        <f>IF(MAX(INDEX($AF:$AF,ROW($AG$6)):INDEX($AF:$AF,ROW(AG172)))+1=AF173,MAX(INDEX($AF:$AF,ROW($AG$6)):INDEX($AF:$AF,ROW(AG172))),"")</f>
        <v>108</v>
      </c>
      <c r="AH172" s="6" t="str">
        <f t="shared" si="16"/>
        <v>0x400003ae</v>
      </c>
      <c r="AI172" s="6">
        <f t="shared" si="17"/>
        <v>1073742766</v>
      </c>
      <c r="AJ172" s="6" t="str">
        <f t="shared" si="18"/>
        <v>0x400003ae</v>
      </c>
      <c r="AK172" s="6" t="str">
        <f t="shared" si="15"/>
        <v>0x400003ae</v>
      </c>
      <c r="AL172" s="6">
        <f t="shared" si="19"/>
        <v>64</v>
      </c>
      <c r="AN172" s="6" t="str">
        <f t="shared" si="20"/>
        <v>ok</v>
      </c>
    </row>
    <row r="173" spans="1:41">
      <c r="A173" s="7" t="s">
        <v>461</v>
      </c>
      <c r="B173" s="7" t="s">
        <v>460</v>
      </c>
      <c r="C173" s="7" t="s">
        <v>29</v>
      </c>
      <c r="D173" s="7">
        <v>8</v>
      </c>
      <c r="E173" s="7">
        <v>1000</v>
      </c>
      <c r="F173" s="7" t="s">
        <v>31</v>
      </c>
      <c r="G173" s="7" t="s">
        <v>32</v>
      </c>
      <c r="H173" s="7"/>
      <c r="I173" s="7"/>
      <c r="K173" s="6">
        <v>0</v>
      </c>
      <c r="L173" s="6">
        <v>0</v>
      </c>
      <c r="M173" s="6">
        <v>0</v>
      </c>
      <c r="N173" s="6">
        <v>1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89"/>
      <c r="Y173" s="6">
        <v>29</v>
      </c>
      <c r="Z173" s="118">
        <v>65535</v>
      </c>
      <c r="AA173" s="6">
        <v>32768</v>
      </c>
      <c r="AB173" s="118">
        <v>65535</v>
      </c>
      <c r="AE173" s="96"/>
      <c r="AF173" s="270">
        <f>IF(V173=1,MAX($AF$6:AF172)+1,IF(AF172="#",0,IF(AND(D172=D173,K172=K173,L172=L173,M172=M173,N172=N173,O172=O173,P172=P173,Q172=Q173,R172=R173,S172=S173,T172=T173,U172=U173,V172=V173,W172=W173,HEX2DEC(SUBSTITUTE(AH172,"0x",""))&lt;HEX2DEC(SUBSTITUTE(AH173,"0x",""))),"",MAX($AF$6:AF172)+1)))</f>
        <v>109</v>
      </c>
      <c r="AG173" s="225" t="str">
        <f>IF(MAX(INDEX($AF:$AF,ROW($AG$6)):INDEX($AF:$AF,ROW(AG173)))+1=AF174,MAX(INDEX($AF:$AF,ROW($AG$6)):INDEX($AF:$AF,ROW(AG173))),"")</f>
        <v/>
      </c>
      <c r="AH173" s="6" t="str">
        <f t="shared" si="16"/>
        <v>0x400003b0</v>
      </c>
      <c r="AI173" s="6">
        <f t="shared" si="17"/>
        <v>1073742768</v>
      </c>
      <c r="AJ173" s="6" t="str">
        <f t="shared" si="18"/>
        <v>0x400003b0</v>
      </c>
      <c r="AK173" s="6" t="str">
        <f t="shared" si="15"/>
        <v>0x400003b1</v>
      </c>
      <c r="AL173" s="6">
        <f t="shared" si="19"/>
        <v>8</v>
      </c>
      <c r="AN173" s="6" t="str">
        <f t="shared" si="20"/>
        <v>ok</v>
      </c>
      <c r="AO173" s="6" t="s">
        <v>5</v>
      </c>
    </row>
    <row r="174" spans="1:41">
      <c r="A174" s="7" t="s">
        <v>463</v>
      </c>
      <c r="B174" s="7" t="s">
        <v>462</v>
      </c>
      <c r="C174" s="7" t="s">
        <v>29</v>
      </c>
      <c r="D174" s="7">
        <v>8</v>
      </c>
      <c r="E174" s="7">
        <v>1000</v>
      </c>
      <c r="F174" s="7" t="s">
        <v>31</v>
      </c>
      <c r="G174" s="7" t="s">
        <v>32</v>
      </c>
      <c r="H174" s="7"/>
      <c r="I174" s="7"/>
      <c r="K174" s="6">
        <v>0</v>
      </c>
      <c r="L174" s="6">
        <v>0</v>
      </c>
      <c r="M174" s="6">
        <v>0</v>
      </c>
      <c r="N174" s="6">
        <v>1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89"/>
      <c r="Y174" s="6">
        <v>29</v>
      </c>
      <c r="Z174" s="118">
        <v>65535</v>
      </c>
      <c r="AA174" s="6">
        <v>32768</v>
      </c>
      <c r="AB174" s="118">
        <v>65535</v>
      </c>
      <c r="AE174" s="96"/>
      <c r="AF174" s="270" t="str">
        <f>IF(V174=1,MAX($AF$6:AF173)+1,IF(AF173="#",0,IF(AND(D173=D174,K173=K174,L173=L174,M173=M174,N173=N174,O173=O174,P173=P174,Q173=Q174,R173=R174,S173=S174,T173=T174,U173=U174,V173=V174,W173=W174,HEX2DEC(SUBSTITUTE(AH173,"0x",""))&lt;HEX2DEC(SUBSTITUTE(AH174,"0x",""))),"",MAX($AF$6:AF173)+1)))</f>
        <v/>
      </c>
      <c r="AG174" s="225">
        <f>IF(MAX(INDEX($AF:$AF,ROW($AG$6)):INDEX($AF:$AF,ROW(AG174)))+1=AF175,MAX(INDEX($AF:$AF,ROW($AG$6)):INDEX($AF:$AF,ROW(AG174))),"")</f>
        <v>109</v>
      </c>
      <c r="AH174" s="6" t="str">
        <f t="shared" si="16"/>
        <v>0x400003b1</v>
      </c>
      <c r="AI174" s="6">
        <f t="shared" si="17"/>
        <v>1073742769</v>
      </c>
      <c r="AJ174" s="6" t="str">
        <f t="shared" si="18"/>
        <v/>
      </c>
      <c r="AK174" s="6" t="str">
        <f t="shared" si="15"/>
        <v/>
      </c>
      <c r="AL174" s="6" t="str">
        <f t="shared" si="19"/>
        <v/>
      </c>
      <c r="AN174" s="6" t="str">
        <f t="shared" si="20"/>
        <v>ok</v>
      </c>
      <c r="AO174" s="6" t="s">
        <v>5</v>
      </c>
    </row>
    <row r="175" spans="1:41">
      <c r="A175" s="7" t="s">
        <v>816</v>
      </c>
      <c r="B175" s="7" t="s">
        <v>465</v>
      </c>
      <c r="C175" s="7" t="s">
        <v>29</v>
      </c>
      <c r="D175" s="7">
        <v>64</v>
      </c>
      <c r="E175" s="7">
        <v>1000</v>
      </c>
      <c r="F175" s="7" t="s">
        <v>29</v>
      </c>
      <c r="G175" s="7" t="s">
        <v>32</v>
      </c>
      <c r="H175" s="7"/>
      <c r="I175" s="7"/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1</v>
      </c>
      <c r="W175" s="6">
        <v>0</v>
      </c>
      <c r="X175" s="89"/>
      <c r="Y175" s="6">
        <v>19</v>
      </c>
      <c r="Z175" s="87">
        <f>VLOOKUP(A175,SecOC_Cfg.h!$C$33:$D$61,2,FALSE)</f>
        <v>12</v>
      </c>
      <c r="AA175" s="118">
        <v>65535</v>
      </c>
      <c r="AB175" s="118">
        <v>65535</v>
      </c>
      <c r="AE175" s="96"/>
      <c r="AF175" s="270">
        <f>IF(V175=1,MAX($AF$6:AF174)+1,IF(AF174="#",0,IF(AND(D174=D175,K174=K175,L174=L175,M174=M175,N174=N175,O174=O175,P174=P175,Q174=Q175,R174=R175,S174=S175,T174=T175,U174=U175,V174=V175,W174=W175,HEX2DEC(SUBSTITUTE(AH174,"0x",""))&lt;HEX2DEC(SUBSTITUTE(AH175,"0x",""))),"",MAX($AF$6:AF174)+1)))</f>
        <v>110</v>
      </c>
      <c r="AG175" s="225">
        <f>IF(MAX(INDEX($AF:$AF,ROW($AG$6)):INDEX($AF:$AF,ROW(AG175)))+1=AF176,MAX(INDEX($AF:$AF,ROW($AG$6)):INDEX($AF:$AF,ROW(AG175))),"")</f>
        <v>110</v>
      </c>
      <c r="AH175" s="6" t="str">
        <f t="shared" si="16"/>
        <v>0x400003b2</v>
      </c>
      <c r="AI175" s="6">
        <f t="shared" si="17"/>
        <v>1073742770</v>
      </c>
      <c r="AJ175" s="6" t="str">
        <f t="shared" si="18"/>
        <v>0x400003b2</v>
      </c>
      <c r="AK175" s="6" t="str">
        <f t="shared" si="15"/>
        <v>0x400003b2</v>
      </c>
      <c r="AL175" s="6">
        <f t="shared" si="19"/>
        <v>64</v>
      </c>
      <c r="AN175" s="6" t="str">
        <f t="shared" si="20"/>
        <v>ok</v>
      </c>
    </row>
    <row r="176" spans="1:41">
      <c r="A176" s="7" t="s">
        <v>817</v>
      </c>
      <c r="B176" s="7" t="s">
        <v>468</v>
      </c>
      <c r="C176" s="7" t="s">
        <v>29</v>
      </c>
      <c r="D176" s="7">
        <v>64</v>
      </c>
      <c r="E176" s="7">
        <v>1000</v>
      </c>
      <c r="F176" s="7" t="s">
        <v>29</v>
      </c>
      <c r="G176" s="7" t="s">
        <v>32</v>
      </c>
      <c r="H176" s="7"/>
      <c r="I176" s="7"/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1</v>
      </c>
      <c r="W176" s="6">
        <v>0</v>
      </c>
      <c r="X176" s="89"/>
      <c r="Y176" s="6">
        <v>20</v>
      </c>
      <c r="Z176" s="87">
        <f>VLOOKUP(A176,SecOC_Cfg.h!$C$33:$D$61,2,FALSE)</f>
        <v>13</v>
      </c>
      <c r="AA176" s="118">
        <v>65535</v>
      </c>
      <c r="AB176" s="118">
        <v>65535</v>
      </c>
      <c r="AE176" s="96"/>
      <c r="AF176" s="270">
        <f>IF(V176=1,MAX($AF$6:AF175)+1,IF(AF175="#",0,IF(AND(D175=D176,K175=K176,L175=L176,M175=M176,N175=N176,O175=O176,P175=P176,Q175=Q176,R175=R176,S175=S176,T175=T176,U175=U176,V175=V176,W175=W176,HEX2DEC(SUBSTITUTE(AH175,"0x",""))&lt;HEX2DEC(SUBSTITUTE(AH176,"0x",""))),"",MAX($AF$6:AF175)+1)))</f>
        <v>111</v>
      </c>
      <c r="AG176" s="225">
        <f>IF(MAX(INDEX($AF:$AF,ROW($AG$6)):INDEX($AF:$AF,ROW(AG176)))+1=AF177,MAX(INDEX($AF:$AF,ROW($AG$6)):INDEX($AF:$AF,ROW(AG176))),"")</f>
        <v>111</v>
      </c>
      <c r="AH176" s="6" t="str">
        <f t="shared" si="16"/>
        <v>0x400003b3</v>
      </c>
      <c r="AI176" s="6">
        <f t="shared" si="17"/>
        <v>1073742771</v>
      </c>
      <c r="AJ176" s="6" t="str">
        <f t="shared" si="18"/>
        <v>0x400003b3</v>
      </c>
      <c r="AK176" s="6" t="str">
        <f t="shared" si="15"/>
        <v>0x400003b3</v>
      </c>
      <c r="AL176" s="6">
        <f t="shared" si="19"/>
        <v>64</v>
      </c>
      <c r="AN176" s="6" t="str">
        <f t="shared" si="20"/>
        <v>ok</v>
      </c>
    </row>
    <row r="177" spans="1:41">
      <c r="A177" s="7" t="s">
        <v>473</v>
      </c>
      <c r="B177" s="7" t="s">
        <v>472</v>
      </c>
      <c r="C177" s="7" t="s">
        <v>29</v>
      </c>
      <c r="D177" s="7">
        <v>8</v>
      </c>
      <c r="E177" s="7">
        <v>1000</v>
      </c>
      <c r="F177" s="7" t="s">
        <v>31</v>
      </c>
      <c r="G177" s="7" t="s">
        <v>32</v>
      </c>
      <c r="H177" s="7"/>
      <c r="I177" s="7"/>
      <c r="K177" s="6">
        <v>0</v>
      </c>
      <c r="L177" s="6">
        <v>0</v>
      </c>
      <c r="M177" s="6">
        <v>0</v>
      </c>
      <c r="N177" s="6">
        <v>1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89"/>
      <c r="Y177" s="6">
        <v>29</v>
      </c>
      <c r="Z177" s="118">
        <v>65535</v>
      </c>
      <c r="AA177" s="6">
        <v>32768</v>
      </c>
      <c r="AB177" s="118">
        <v>65535</v>
      </c>
      <c r="AE177" s="96"/>
      <c r="AF177" s="270">
        <f>IF(V177=1,MAX($AF$6:AF176)+1,IF(AF176="#",0,IF(AND(D176=D177,K176=K177,L176=L177,M176=M177,N176=N177,O176=O177,P176=P177,Q176=Q177,R176=R177,S176=S177,T176=T177,U176=U177,V176=V177,W176=W177,HEX2DEC(SUBSTITUTE(AH176,"0x",""))&lt;HEX2DEC(SUBSTITUTE(AH177,"0x",""))),"",MAX($AF$6:AF176)+1)))</f>
        <v>112</v>
      </c>
      <c r="AG177" s="225">
        <f>IF(MAX(INDEX($AF:$AF,ROW($AG$6)):INDEX($AF:$AF,ROW(AG177)))+1=AF178,MAX(INDEX($AF:$AF,ROW($AG$6)):INDEX($AF:$AF,ROW(AG177))),"")</f>
        <v>112</v>
      </c>
      <c r="AH177" s="6" t="str">
        <f t="shared" si="16"/>
        <v>0x400003b8</v>
      </c>
      <c r="AI177" s="6">
        <f t="shared" si="17"/>
        <v>1073742776</v>
      </c>
      <c r="AJ177" s="6" t="str">
        <f t="shared" si="18"/>
        <v>0x400003b8</v>
      </c>
      <c r="AK177" s="6" t="str">
        <f t="shared" si="15"/>
        <v>0x400003b8</v>
      </c>
      <c r="AL177" s="6">
        <f t="shared" si="19"/>
        <v>8</v>
      </c>
      <c r="AN177" s="6" t="str">
        <f t="shared" si="20"/>
        <v>ok</v>
      </c>
    </row>
    <row r="178" spans="1:41">
      <c r="A178" s="7" t="s">
        <v>818</v>
      </c>
      <c r="B178" s="7" t="s">
        <v>477</v>
      </c>
      <c r="C178" s="7" t="s">
        <v>29</v>
      </c>
      <c r="D178" s="7">
        <v>64</v>
      </c>
      <c r="E178" s="7">
        <v>1000</v>
      </c>
      <c r="F178" s="7" t="s">
        <v>29</v>
      </c>
      <c r="G178" s="7" t="s">
        <v>32</v>
      </c>
      <c r="H178" s="7"/>
      <c r="I178" s="7"/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1</v>
      </c>
      <c r="W178" s="6">
        <v>0</v>
      </c>
      <c r="X178" s="89"/>
      <c r="Y178" s="6">
        <v>21</v>
      </c>
      <c r="Z178" s="87">
        <f>VLOOKUP(A178,SecOC_Cfg.h!$C$33:$D$61,2,FALSE)</f>
        <v>14</v>
      </c>
      <c r="AA178" s="118">
        <v>65535</v>
      </c>
      <c r="AB178" s="118">
        <v>65535</v>
      </c>
      <c r="AE178" s="96"/>
      <c r="AF178" s="270">
        <f>IF(V178=1,MAX($AF$6:AF177)+1,IF(AF177="#",0,IF(AND(D177=D178,K177=K178,L177=L178,M177=M178,N177=N178,O177=O178,P177=P178,Q177=Q178,R177=R178,S177=S178,T177=T178,U177=U178,V177=V178,W177=W178,HEX2DEC(SUBSTITUTE(AH177,"0x",""))&lt;HEX2DEC(SUBSTITUTE(AH178,"0x",""))),"",MAX($AF$6:AF177)+1)))</f>
        <v>113</v>
      </c>
      <c r="AG178" s="225">
        <f>IF(MAX(INDEX($AF:$AF,ROW($AG$6)):INDEX($AF:$AF,ROW(AG178)))+1=AF179,MAX(INDEX($AF:$AF,ROW($AG$6)):INDEX($AF:$AF,ROW(AG178))),"")</f>
        <v>113</v>
      </c>
      <c r="AH178" s="6" t="str">
        <f t="shared" si="16"/>
        <v>0x400003b9</v>
      </c>
      <c r="AI178" s="6">
        <f t="shared" si="17"/>
        <v>1073742777</v>
      </c>
      <c r="AJ178" s="6" t="str">
        <f t="shared" si="18"/>
        <v>0x400003b9</v>
      </c>
      <c r="AK178" s="6" t="str">
        <f t="shared" si="15"/>
        <v>0x400003b9</v>
      </c>
      <c r="AL178" s="6">
        <f t="shared" si="19"/>
        <v>64</v>
      </c>
      <c r="AN178" s="6" t="str">
        <f t="shared" si="20"/>
        <v>ok</v>
      </c>
      <c r="AO178" s="6" t="s">
        <v>5</v>
      </c>
    </row>
    <row r="179" spans="1:41">
      <c r="A179" s="7" t="s">
        <v>819</v>
      </c>
      <c r="B179" s="7" t="s">
        <v>479</v>
      </c>
      <c r="C179" s="7" t="s">
        <v>29</v>
      </c>
      <c r="D179" s="7">
        <v>64</v>
      </c>
      <c r="E179" s="7">
        <v>1000</v>
      </c>
      <c r="F179" s="7" t="s">
        <v>29</v>
      </c>
      <c r="G179" s="7" t="s">
        <v>32</v>
      </c>
      <c r="H179" s="7"/>
      <c r="I179" s="7"/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89"/>
      <c r="Y179" s="6">
        <v>22</v>
      </c>
      <c r="Z179" s="87">
        <f>VLOOKUP(A179,SecOC_Cfg.h!$C$33:$D$61,2,FALSE)</f>
        <v>15</v>
      </c>
      <c r="AA179" s="118">
        <v>65535</v>
      </c>
      <c r="AB179" s="118">
        <v>65535</v>
      </c>
      <c r="AE179" s="96"/>
      <c r="AF179" s="270">
        <f>IF(V179=1,MAX($AF$6:AF178)+1,IF(AF178="#",0,IF(AND(D178=D179,K178=K179,L178=L179,M178=M179,N178=N179,O178=O179,P178=P179,Q178=Q179,R178=R179,S178=S179,T178=T179,U178=U179,V178=V179,W178=W179,HEX2DEC(SUBSTITUTE(AH178,"0x",""))&lt;HEX2DEC(SUBSTITUTE(AH179,"0x",""))),"",MAX($AF$6:AF178)+1)))</f>
        <v>114</v>
      </c>
      <c r="AG179" s="225">
        <f>IF(MAX(INDEX($AF:$AF,ROW($AG$6)):INDEX($AF:$AF,ROW(AG179)))+1=AF180,MAX(INDEX($AF:$AF,ROW($AG$6)):INDEX($AF:$AF,ROW(AG179))),"")</f>
        <v>114</v>
      </c>
      <c r="AH179" s="6" t="str">
        <f t="shared" si="16"/>
        <v>0x400003bc</v>
      </c>
      <c r="AI179" s="6">
        <f t="shared" si="17"/>
        <v>1073742780</v>
      </c>
      <c r="AJ179" s="6" t="str">
        <f t="shared" si="18"/>
        <v>0x400003bc</v>
      </c>
      <c r="AK179" s="6" t="str">
        <f t="shared" si="15"/>
        <v>0x400003bc</v>
      </c>
      <c r="AL179" s="6">
        <f t="shared" si="19"/>
        <v>64</v>
      </c>
      <c r="AN179" s="6" t="str">
        <f t="shared" si="20"/>
        <v>ok</v>
      </c>
    </row>
    <row r="180" spans="1:41">
      <c r="A180" s="7" t="s">
        <v>820</v>
      </c>
      <c r="B180" s="7" t="s">
        <v>483</v>
      </c>
      <c r="C180" s="7" t="s">
        <v>29</v>
      </c>
      <c r="D180" s="7">
        <v>32</v>
      </c>
      <c r="E180" s="7">
        <v>1000</v>
      </c>
      <c r="F180" s="7" t="s">
        <v>29</v>
      </c>
      <c r="G180" s="7" t="s">
        <v>32</v>
      </c>
      <c r="H180" s="7"/>
      <c r="I180" s="7"/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1</v>
      </c>
      <c r="W180" s="6">
        <v>0</v>
      </c>
      <c r="X180" s="89"/>
      <c r="Y180" s="6">
        <v>23</v>
      </c>
      <c r="Z180" s="87">
        <f>VLOOKUP(A180,SecOC_Cfg.h!$C$33:$D$61,2,FALSE)</f>
        <v>28</v>
      </c>
      <c r="AA180" s="118">
        <v>65535</v>
      </c>
      <c r="AB180" s="118">
        <v>65535</v>
      </c>
      <c r="AE180" s="96"/>
      <c r="AF180" s="270">
        <f>IF(V180=1,MAX($AF$6:AF179)+1,IF(AF179="#",0,IF(AND(D179=D180,K179=K180,L179=L180,M179=M180,N179=N180,O179=O180,P179=P180,Q179=Q180,R179=R180,S179=S180,T179=T180,U179=U180,V179=V180,W179=W180,HEX2DEC(SUBSTITUTE(AH179,"0x",""))&lt;HEX2DEC(SUBSTITUTE(AH180,"0x",""))),"",MAX($AF$6:AF179)+1)))</f>
        <v>115</v>
      </c>
      <c r="AG180" s="225">
        <f>IF(MAX(INDEX($AF:$AF,ROW($AG$6)):INDEX($AF:$AF,ROW(AG180)))+1=AF181,MAX(INDEX($AF:$AF,ROW($AG$6)):INDEX($AF:$AF,ROW(AG180))),"")</f>
        <v>115</v>
      </c>
      <c r="AH180" s="6" t="str">
        <f t="shared" si="16"/>
        <v>0x400003bd</v>
      </c>
      <c r="AI180" s="6">
        <f t="shared" si="17"/>
        <v>1073742781</v>
      </c>
      <c r="AJ180" s="6" t="str">
        <f t="shared" si="18"/>
        <v>0x400003bd</v>
      </c>
      <c r="AK180" s="6" t="str">
        <f t="shared" si="15"/>
        <v>0x400003bd</v>
      </c>
      <c r="AL180" s="6">
        <f t="shared" si="19"/>
        <v>32</v>
      </c>
      <c r="AN180" s="6" t="str">
        <f t="shared" si="20"/>
        <v>ok</v>
      </c>
    </row>
    <row r="181" spans="1:41">
      <c r="A181" s="7" t="s">
        <v>139</v>
      </c>
      <c r="B181" s="7" t="s">
        <v>140</v>
      </c>
      <c r="C181" s="7" t="s">
        <v>29</v>
      </c>
      <c r="D181" s="7">
        <v>32</v>
      </c>
      <c r="E181" s="7">
        <v>1000</v>
      </c>
      <c r="F181" s="7" t="s">
        <v>31</v>
      </c>
      <c r="G181" s="7" t="s">
        <v>32</v>
      </c>
      <c r="H181" s="7"/>
      <c r="I181" s="7"/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89"/>
      <c r="Y181" s="6">
        <v>29</v>
      </c>
      <c r="Z181" s="118">
        <v>65535</v>
      </c>
      <c r="AA181" s="6">
        <v>32768</v>
      </c>
      <c r="AB181" s="118">
        <v>65535</v>
      </c>
      <c r="AE181" s="96"/>
      <c r="AF181" s="270">
        <f>IF(V181=1,MAX($AF$6:AF180)+1,IF(AF180="#",0,IF(AND(D180=D181,K180=K181,L180=L181,M180=M181,N180=N181,O180=O181,P180=P181,Q180=Q181,R180=R181,S180=S181,T180=T181,U180=U181,V180=V181,W180=W181,HEX2DEC(SUBSTITUTE(AH180,"0x",""))&lt;HEX2DEC(SUBSTITUTE(AH181,"0x",""))),"",MAX($AF$6:AF180)+1)))</f>
        <v>116</v>
      </c>
      <c r="AG181" s="225" t="str">
        <f>IF(MAX(INDEX($AF:$AF,ROW($AG$6)):INDEX($AF:$AF,ROW(AG181)))+1=AF182,MAX(INDEX($AF:$AF,ROW($AG$6)):INDEX($AF:$AF,ROW(AG181))),"")</f>
        <v/>
      </c>
      <c r="AH181" s="6" t="str">
        <f t="shared" si="16"/>
        <v>0x400003bb</v>
      </c>
      <c r="AI181" s="6">
        <f t="shared" si="17"/>
        <v>1073742779</v>
      </c>
      <c r="AJ181" s="6" t="str">
        <f t="shared" si="18"/>
        <v>0x400003bb</v>
      </c>
      <c r="AK181" s="6" t="str">
        <f t="shared" si="15"/>
        <v>0x400003bf</v>
      </c>
      <c r="AL181" s="6">
        <f t="shared" si="19"/>
        <v>32</v>
      </c>
      <c r="AN181" s="6" t="str">
        <f t="shared" si="20"/>
        <v>not ok</v>
      </c>
    </row>
    <row r="182" spans="1:41">
      <c r="A182" s="7" t="s">
        <v>821</v>
      </c>
      <c r="B182" s="7" t="s">
        <v>488</v>
      </c>
      <c r="C182" s="7" t="s">
        <v>29</v>
      </c>
      <c r="D182" s="7">
        <v>32</v>
      </c>
      <c r="E182" s="7">
        <v>1000</v>
      </c>
      <c r="F182" s="7" t="s">
        <v>29</v>
      </c>
      <c r="G182" s="7" t="s">
        <v>32</v>
      </c>
      <c r="H182" s="7"/>
      <c r="I182" s="7"/>
      <c r="K182" s="6">
        <v>0</v>
      </c>
      <c r="L182" s="6">
        <v>0</v>
      </c>
      <c r="M182" s="6">
        <v>0</v>
      </c>
      <c r="N182" s="6">
        <v>1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89"/>
      <c r="Y182" s="6">
        <v>29</v>
      </c>
      <c r="Z182" s="118">
        <v>65535</v>
      </c>
      <c r="AA182" s="6">
        <v>32768</v>
      </c>
      <c r="AB182" s="118">
        <v>65535</v>
      </c>
      <c r="AE182" s="96"/>
      <c r="AF182" s="270" t="str">
        <f>IF(V182=1,MAX($AF$6:AF181)+1,IF(AF181="#",0,IF(AND(D181=D182,K181=K182,L181=L182,M181=M182,N181=N182,O181=O182,P181=P182,Q181=Q182,R181=R182,S181=S182,T181=T182,U181=U182,V181=V182,W181=W182,HEX2DEC(SUBSTITUTE(AH181,"0x",""))&lt;HEX2DEC(SUBSTITUTE(AH182,"0x",""))),"",MAX($AF$6:AF181)+1)))</f>
        <v/>
      </c>
      <c r="AG182" s="225">
        <f>IF(MAX(INDEX($AF:$AF,ROW($AG$6)):INDEX($AF:$AF,ROW(AG182)))+1=AF183,MAX(INDEX($AF:$AF,ROW($AG$6)):INDEX($AF:$AF,ROW(AG182))),"")</f>
        <v>116</v>
      </c>
      <c r="AH182" s="6" t="str">
        <f t="shared" si="16"/>
        <v>0x400003bf</v>
      </c>
      <c r="AI182" s="6">
        <f t="shared" si="17"/>
        <v>1073742783</v>
      </c>
      <c r="AJ182" s="6" t="str">
        <f t="shared" si="18"/>
        <v/>
      </c>
      <c r="AK182" s="6" t="str">
        <f t="shared" si="15"/>
        <v/>
      </c>
      <c r="AL182" s="6" t="str">
        <f t="shared" si="19"/>
        <v/>
      </c>
      <c r="AN182" s="6" t="str">
        <f t="shared" si="20"/>
        <v>ok</v>
      </c>
      <c r="AO182" s="6" t="s">
        <v>5</v>
      </c>
    </row>
    <row r="183" spans="1:41">
      <c r="A183" s="7" t="s">
        <v>491</v>
      </c>
      <c r="B183" s="7" t="s">
        <v>490</v>
      </c>
      <c r="C183" s="7" t="s">
        <v>29</v>
      </c>
      <c r="D183" s="7">
        <v>64</v>
      </c>
      <c r="E183" s="7">
        <v>2000</v>
      </c>
      <c r="F183" s="7" t="s">
        <v>31</v>
      </c>
      <c r="G183" s="7" t="s">
        <v>32</v>
      </c>
      <c r="H183" s="7"/>
      <c r="I183" s="7"/>
      <c r="K183" s="6">
        <v>0</v>
      </c>
      <c r="L183" s="6">
        <v>0</v>
      </c>
      <c r="M183" s="6">
        <v>0</v>
      </c>
      <c r="N183" s="6">
        <v>1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89"/>
      <c r="Y183" s="6">
        <v>29</v>
      </c>
      <c r="Z183" s="118">
        <v>65535</v>
      </c>
      <c r="AA183" s="6">
        <v>32768</v>
      </c>
      <c r="AB183" s="118">
        <v>65535</v>
      </c>
      <c r="AE183" s="96"/>
      <c r="AF183" s="270">
        <f>IF(V183=1,MAX($AF$6:AF182)+1,IF(AF182="#",0,IF(AND(D182=D183,K182=K183,L182=L183,M182=M183,N182=N183,O182=O183,P182=P183,Q182=Q183,R182=R183,S182=S183,T182=T183,U182=U183,V182=V183,W182=W183,HEX2DEC(SUBSTITUTE(AH182,"0x",""))&lt;HEX2DEC(SUBSTITUTE(AH183,"0x",""))),"",MAX($AF$6:AF182)+1)))</f>
        <v>117</v>
      </c>
      <c r="AG183" s="225">
        <f>IF(MAX(INDEX($AF:$AF,ROW($AG$6)):INDEX($AF:$AF,ROW(AG183)))+1=AF184,MAX(INDEX($AF:$AF,ROW($AG$6)):INDEX($AF:$AF,ROW(AG183))),"")</f>
        <v>117</v>
      </c>
      <c r="AH183" s="6" t="str">
        <f t="shared" si="16"/>
        <v>0x400003c3</v>
      </c>
      <c r="AI183" s="6">
        <f t="shared" si="17"/>
        <v>1073742787</v>
      </c>
      <c r="AJ183" s="6" t="str">
        <f t="shared" si="18"/>
        <v>0x400003c3</v>
      </c>
      <c r="AK183" s="6" t="str">
        <f t="shared" si="15"/>
        <v>0x400003c3</v>
      </c>
      <c r="AL183" s="6">
        <f t="shared" si="19"/>
        <v>64</v>
      </c>
      <c r="AN183" s="6" t="str">
        <f t="shared" si="20"/>
        <v>ok</v>
      </c>
    </row>
    <row r="184" spans="1:41">
      <c r="A184" s="7" t="s">
        <v>822</v>
      </c>
      <c r="B184" s="7" t="s">
        <v>495</v>
      </c>
      <c r="C184" s="7" t="s">
        <v>29</v>
      </c>
      <c r="D184" s="7">
        <v>64</v>
      </c>
      <c r="E184" s="7">
        <v>1000</v>
      </c>
      <c r="F184" s="7" t="s">
        <v>29</v>
      </c>
      <c r="G184" s="7" t="s">
        <v>32</v>
      </c>
      <c r="H184" s="7"/>
      <c r="I184" s="7"/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1</v>
      </c>
      <c r="W184" s="6">
        <v>0</v>
      </c>
      <c r="X184" s="89"/>
      <c r="Y184" s="6">
        <v>24</v>
      </c>
      <c r="Z184" s="87">
        <f>VLOOKUP(A184,SecOC_Cfg.h!$C$33:$D$61,2,FALSE)</f>
        <v>17</v>
      </c>
      <c r="AA184" s="118">
        <v>65535</v>
      </c>
      <c r="AB184" s="118">
        <v>65535</v>
      </c>
      <c r="AE184" s="96"/>
      <c r="AF184" s="270">
        <f>IF(V184=1,MAX($AF$6:AF183)+1,IF(AF183="#",0,IF(AND(D183=D184,K183=K184,L183=L184,M183=M184,N183=N184,O183=O184,P183=P184,Q183=Q184,R183=R184,S183=S184,T183=T184,U183=U184,V183=V184,W183=W184,HEX2DEC(SUBSTITUTE(AH183,"0x",""))&lt;HEX2DEC(SUBSTITUTE(AH184,"0x",""))),"",MAX($AF$6:AF183)+1)))</f>
        <v>118</v>
      </c>
      <c r="AG184" s="225">
        <f>IF(MAX(INDEX($AF:$AF,ROW($AG$6)):INDEX($AF:$AF,ROW(AG184)))+1=AF185,MAX(INDEX($AF:$AF,ROW($AG$6)):INDEX($AF:$AF,ROW(AG184))),"")</f>
        <v>118</v>
      </c>
      <c r="AH184" s="6" t="str">
        <f t="shared" si="16"/>
        <v>0x400003c7</v>
      </c>
      <c r="AI184" s="6">
        <f t="shared" si="17"/>
        <v>1073742791</v>
      </c>
      <c r="AJ184" s="6" t="str">
        <f t="shared" si="18"/>
        <v>0x400003c7</v>
      </c>
      <c r="AK184" s="6" t="str">
        <f t="shared" si="15"/>
        <v>0x400003c7</v>
      </c>
      <c r="AL184" s="6">
        <f t="shared" si="19"/>
        <v>64</v>
      </c>
      <c r="AN184" s="6" t="str">
        <f t="shared" si="20"/>
        <v>ok</v>
      </c>
    </row>
    <row r="185" spans="1:41">
      <c r="A185" s="7" t="s">
        <v>823</v>
      </c>
      <c r="B185" s="7" t="s">
        <v>492</v>
      </c>
      <c r="C185" s="7" t="s">
        <v>29</v>
      </c>
      <c r="D185" s="7">
        <v>64</v>
      </c>
      <c r="E185" s="7">
        <v>1000</v>
      </c>
      <c r="F185" s="7" t="s">
        <v>29</v>
      </c>
      <c r="G185" s="7" t="s">
        <v>32</v>
      </c>
      <c r="H185" s="7"/>
      <c r="I185" s="7"/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1</v>
      </c>
      <c r="W185" s="6">
        <v>0</v>
      </c>
      <c r="X185" s="89"/>
      <c r="Y185" s="6">
        <v>25</v>
      </c>
      <c r="Z185" s="87">
        <f>VLOOKUP(A185,SecOC_Cfg.h!$C$33:$D$61,2,FALSE)</f>
        <v>16</v>
      </c>
      <c r="AA185" s="118">
        <v>65535</v>
      </c>
      <c r="AB185" s="118">
        <v>65535</v>
      </c>
      <c r="AE185" s="96"/>
      <c r="AF185" s="270">
        <f>IF(V185=1,MAX($AF$6:AF184)+1,IF(AF184="#",0,IF(AND(D184=D185,K184=K185,L184=L185,M184=M185,N184=N185,O184=O185,P184=P185,Q184=Q185,R184=R185,S184=S185,T184=T185,U184=U185,V184=V185,W184=W185,HEX2DEC(SUBSTITUTE(AH184,"0x",""))&lt;HEX2DEC(SUBSTITUTE(AH185,"0x",""))),"",MAX($AF$6:AF184)+1)))</f>
        <v>119</v>
      </c>
      <c r="AG185" s="225">
        <f>IF(MAX(INDEX($AF:$AF,ROW($AG$6)):INDEX($AF:$AF,ROW(AG185)))+1=AF186,MAX(INDEX($AF:$AF,ROW($AG$6)):INDEX($AF:$AF,ROW(AG185))),"")</f>
        <v>119</v>
      </c>
      <c r="AH185" s="6" t="str">
        <f t="shared" si="16"/>
        <v>0x400003c6</v>
      </c>
      <c r="AI185" s="6">
        <f t="shared" si="17"/>
        <v>1073742790</v>
      </c>
      <c r="AJ185" s="6" t="str">
        <f t="shared" si="18"/>
        <v>0x400003c6</v>
      </c>
      <c r="AK185" s="6" t="str">
        <f t="shared" si="15"/>
        <v>0x400003c6</v>
      </c>
      <c r="AL185" s="6">
        <f t="shared" si="19"/>
        <v>64</v>
      </c>
      <c r="AN185" s="6" t="str">
        <f t="shared" si="20"/>
        <v>not ok</v>
      </c>
    </row>
    <row r="186" spans="1:41">
      <c r="A186" s="7" t="s">
        <v>506</v>
      </c>
      <c r="B186" s="7" t="s">
        <v>505</v>
      </c>
      <c r="C186" s="7" t="s">
        <v>29</v>
      </c>
      <c r="D186" s="7">
        <v>64</v>
      </c>
      <c r="E186" s="7">
        <v>2000</v>
      </c>
      <c r="F186" s="7" t="s">
        <v>31</v>
      </c>
      <c r="G186" s="7" t="s">
        <v>32</v>
      </c>
      <c r="H186" s="7"/>
      <c r="I186" s="7"/>
      <c r="K186" s="6">
        <v>0</v>
      </c>
      <c r="L186" s="6">
        <v>0</v>
      </c>
      <c r="M186" s="6">
        <v>0</v>
      </c>
      <c r="N186" s="6">
        <v>1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89"/>
      <c r="Y186" s="6">
        <v>29</v>
      </c>
      <c r="Z186" s="118">
        <v>65535</v>
      </c>
      <c r="AA186" s="6">
        <v>32768</v>
      </c>
      <c r="AB186" s="118">
        <v>65535</v>
      </c>
      <c r="AE186" s="96"/>
      <c r="AF186" s="270">
        <f>IF(V186=1,MAX($AF$6:AF185)+1,IF(AF185="#",0,IF(AND(D185=D186,K185=K186,L185=L186,M185=M186,N185=N186,O185=O186,P185=P186,Q185=Q186,R185=R186,S185=S186,T185=T186,U185=U186,V185=V186,W185=W186,HEX2DEC(SUBSTITUTE(AH185,"0x",""))&lt;HEX2DEC(SUBSTITUTE(AH186,"0x",""))),"",MAX($AF$6:AF185)+1)))</f>
        <v>120</v>
      </c>
      <c r="AG186" s="225">
        <f>IF(MAX(INDEX($AF:$AF,ROW($AG$6)):INDEX($AF:$AF,ROW(AG186)))+1=AF187,MAX(INDEX($AF:$AF,ROW($AG$6)):INDEX($AF:$AF,ROW(AG186))),"")</f>
        <v>120</v>
      </c>
      <c r="AH186" s="6" t="str">
        <f t="shared" si="16"/>
        <v>0x400003ce</v>
      </c>
      <c r="AI186" s="6">
        <f t="shared" si="17"/>
        <v>1073742798</v>
      </c>
      <c r="AJ186" s="6" t="str">
        <f t="shared" si="18"/>
        <v>0x400003ce</v>
      </c>
      <c r="AK186" s="6" t="str">
        <f t="shared" si="15"/>
        <v>0x400003ce</v>
      </c>
      <c r="AL186" s="6">
        <f t="shared" si="19"/>
        <v>64</v>
      </c>
      <c r="AN186" s="6" t="str">
        <f t="shared" si="20"/>
        <v>ok</v>
      </c>
      <c r="AO186" s="6" t="s">
        <v>5</v>
      </c>
    </row>
    <row r="187" spans="1:41">
      <c r="A187" s="7" t="s">
        <v>824</v>
      </c>
      <c r="B187" s="7" t="s">
        <v>508</v>
      </c>
      <c r="C187" s="7" t="s">
        <v>29</v>
      </c>
      <c r="D187" s="7">
        <v>64</v>
      </c>
      <c r="E187" s="7">
        <v>1000</v>
      </c>
      <c r="F187" s="7" t="s">
        <v>29</v>
      </c>
      <c r="G187" s="7" t="s">
        <v>32</v>
      </c>
      <c r="H187" s="7"/>
      <c r="I187" s="7"/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1</v>
      </c>
      <c r="W187" s="6">
        <v>0</v>
      </c>
      <c r="X187" s="89"/>
      <c r="Y187" s="6">
        <v>26</v>
      </c>
      <c r="Z187" s="87">
        <f>VLOOKUP(A187,SecOC_Cfg.h!$C$33:$D$61,2,FALSE)</f>
        <v>20</v>
      </c>
      <c r="AA187" s="118">
        <v>65535</v>
      </c>
      <c r="AB187" s="118">
        <v>65535</v>
      </c>
      <c r="AE187" s="96"/>
      <c r="AF187" s="270">
        <f>IF(V187=1,MAX($AF$6:AF186)+1,IF(AF186="#",0,IF(AND(D186=D187,K186=K187,L186=L187,M186=M187,N186=N187,O186=O187,P186=P187,Q186=Q187,R186=R187,S186=S187,T186=T187,U186=U187,V186=V187,W186=W187,HEX2DEC(SUBSTITUTE(AH186,"0x",""))&lt;HEX2DEC(SUBSTITUTE(AH187,"0x",""))),"",MAX($AF$6:AF186)+1)))</f>
        <v>121</v>
      </c>
      <c r="AG187" s="225">
        <f>IF(MAX(INDEX($AF:$AF,ROW($AG$6)):INDEX($AF:$AF,ROW(AG187)))+1=AF188,MAX(INDEX($AF:$AF,ROW($AG$6)):INDEX($AF:$AF,ROW(AG187))),"")</f>
        <v>121</v>
      </c>
      <c r="AH187" s="6" t="str">
        <f t="shared" si="16"/>
        <v>0x400003d6</v>
      </c>
      <c r="AI187" s="6">
        <f t="shared" si="17"/>
        <v>1073742806</v>
      </c>
      <c r="AJ187" s="6" t="str">
        <f t="shared" si="18"/>
        <v>0x400003d6</v>
      </c>
      <c r="AK187" s="6" t="str">
        <f t="shared" si="15"/>
        <v>0x400003d6</v>
      </c>
      <c r="AL187" s="6">
        <f t="shared" si="19"/>
        <v>64</v>
      </c>
      <c r="AN187" s="6" t="str">
        <f t="shared" si="20"/>
        <v>ok</v>
      </c>
    </row>
    <row r="188" spans="1:41">
      <c r="A188" s="7" t="s">
        <v>512</v>
      </c>
      <c r="B188" s="7" t="s">
        <v>511</v>
      </c>
      <c r="C188" s="7" t="s">
        <v>29</v>
      </c>
      <c r="D188" s="7">
        <v>8</v>
      </c>
      <c r="E188" s="7">
        <v>1000</v>
      </c>
      <c r="F188" s="7" t="s">
        <v>31</v>
      </c>
      <c r="G188" s="7" t="s">
        <v>32</v>
      </c>
      <c r="H188" s="7"/>
      <c r="I188" s="7"/>
      <c r="K188" s="6">
        <v>0</v>
      </c>
      <c r="L188" s="6">
        <v>0</v>
      </c>
      <c r="M188" s="6">
        <v>0</v>
      </c>
      <c r="N188" s="6">
        <v>1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89"/>
      <c r="Y188" s="6">
        <v>29</v>
      </c>
      <c r="Z188" s="118">
        <v>65535</v>
      </c>
      <c r="AA188" s="6">
        <v>32768</v>
      </c>
      <c r="AB188" s="118">
        <v>65535</v>
      </c>
      <c r="AE188" s="96"/>
      <c r="AF188" s="270">
        <f>IF(V188=1,MAX($AF$6:AF187)+1,IF(AF187="#",0,IF(AND(D187=D188,K187=K188,L187=L188,M187=M188,N187=N188,O187=O188,P187=P188,Q187=Q188,R187=R188,S187=S188,T187=T188,U187=U188,V187=V188,W187=W188,HEX2DEC(SUBSTITUTE(AH187,"0x",""))&lt;HEX2DEC(SUBSTITUTE(AH188,"0x",""))),"",MAX($AF$6:AF187)+1)))</f>
        <v>122</v>
      </c>
      <c r="AG188" s="225">
        <f>IF(MAX(INDEX($AF:$AF,ROW($AG$6)):INDEX($AF:$AF,ROW(AG188)))+1=AF189,MAX(INDEX($AF:$AF,ROW($AG$6)):INDEX($AF:$AF,ROW(AG188))),"")</f>
        <v>122</v>
      </c>
      <c r="AH188" s="6" t="str">
        <f t="shared" si="16"/>
        <v>0x400003de</v>
      </c>
      <c r="AI188" s="6">
        <f t="shared" si="17"/>
        <v>1073742814</v>
      </c>
      <c r="AJ188" s="6" t="str">
        <f t="shared" si="18"/>
        <v>0x400003de</v>
      </c>
      <c r="AK188" s="6" t="str">
        <f t="shared" si="15"/>
        <v>0x400003de</v>
      </c>
      <c r="AL188" s="6">
        <f t="shared" si="19"/>
        <v>8</v>
      </c>
      <c r="AN188" s="6" t="str">
        <f t="shared" si="20"/>
        <v>ok</v>
      </c>
      <c r="AO188" s="6" t="s">
        <v>5</v>
      </c>
    </row>
    <row r="189" spans="1:41">
      <c r="A189" s="7" t="s">
        <v>499</v>
      </c>
      <c r="B189" s="7" t="s">
        <v>498</v>
      </c>
      <c r="C189" s="7" t="s">
        <v>29</v>
      </c>
      <c r="D189" s="7">
        <v>8</v>
      </c>
      <c r="E189" s="7">
        <v>1000</v>
      </c>
      <c r="F189" s="7" t="s">
        <v>31</v>
      </c>
      <c r="G189" s="7" t="s">
        <v>32</v>
      </c>
      <c r="H189" s="7"/>
      <c r="I189" s="7"/>
      <c r="K189" s="6">
        <v>0</v>
      </c>
      <c r="L189" s="6">
        <v>0</v>
      </c>
      <c r="M189" s="6">
        <v>0</v>
      </c>
      <c r="N189" s="6">
        <v>1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89"/>
      <c r="Y189" s="6">
        <v>29</v>
      </c>
      <c r="Z189" s="118">
        <v>65535</v>
      </c>
      <c r="AA189" s="6">
        <v>32768</v>
      </c>
      <c r="AB189" s="118">
        <v>65535</v>
      </c>
      <c r="AE189" s="96"/>
      <c r="AF189" s="270">
        <f>IF(V189=1,MAX($AF$6:AF188)+1,IF(AF188="#",0,IF(AND(D188=D189,K188=K189,L188=L189,M188=M189,N188=N189,O188=O189,P188=P189,Q188=Q189,R188=R189,S188=S189,T188=T189,U188=U189,V188=V189,W188=W189,HEX2DEC(SUBSTITUTE(AH188,"0x",""))&lt;HEX2DEC(SUBSTITUTE(AH189,"0x",""))),"",MAX($AF$6:AF188)+1)))</f>
        <v>123</v>
      </c>
      <c r="AG189" s="225">
        <f>IF(MAX(INDEX($AF:$AF,ROW($AG$6)):INDEX($AF:$AF,ROW(AG189)))+1=AF190,MAX(INDEX($AF:$AF,ROW($AG$6)):INDEX($AF:$AF,ROW(AG189))),"")</f>
        <v>123</v>
      </c>
      <c r="AH189" s="6" t="str">
        <f t="shared" si="16"/>
        <v>0x400003c8</v>
      </c>
      <c r="AI189" s="6">
        <f t="shared" si="17"/>
        <v>1073742792</v>
      </c>
      <c r="AJ189" s="6" t="str">
        <f t="shared" si="18"/>
        <v>0x400003c8</v>
      </c>
      <c r="AK189" s="6" t="str">
        <f t="shared" si="15"/>
        <v>0x400003c8</v>
      </c>
      <c r="AL189" s="6">
        <f t="shared" si="19"/>
        <v>8</v>
      </c>
      <c r="AN189" s="6" t="str">
        <f t="shared" si="20"/>
        <v>not ok</v>
      </c>
    </row>
    <row r="190" spans="1:41">
      <c r="A190" s="7" t="s">
        <v>518</v>
      </c>
      <c r="B190" s="7" t="s">
        <v>517</v>
      </c>
      <c r="C190" s="7" t="s">
        <v>29</v>
      </c>
      <c r="D190" s="7">
        <v>64</v>
      </c>
      <c r="E190" s="7">
        <v>1000</v>
      </c>
      <c r="F190" s="7" t="s">
        <v>31</v>
      </c>
      <c r="G190" s="7" t="s">
        <v>32</v>
      </c>
      <c r="H190" s="7"/>
      <c r="I190" s="7"/>
      <c r="K190" s="6">
        <v>0</v>
      </c>
      <c r="L190" s="6">
        <v>0</v>
      </c>
      <c r="M190" s="6">
        <v>0</v>
      </c>
      <c r="N190" s="6">
        <v>1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89"/>
      <c r="Y190" s="6">
        <v>29</v>
      </c>
      <c r="Z190" s="118">
        <v>65535</v>
      </c>
      <c r="AA190" s="6">
        <v>32768</v>
      </c>
      <c r="AB190" s="118">
        <v>65535</v>
      </c>
      <c r="AE190" s="96"/>
      <c r="AF190" s="270">
        <f>IF(V190=1,MAX($AF$6:AF189)+1,IF(AF189="#",0,IF(AND(D189=D190,K189=K190,L189=L190,M189=M190,N189=N190,O189=O190,P189=P190,Q189=Q190,R189=R190,S189=S190,T189=T190,U189=U190,V189=V190,W189=W190,HEX2DEC(SUBSTITUTE(AH189,"0x",""))&lt;HEX2DEC(SUBSTITUTE(AH190,"0x",""))),"",MAX($AF$6:AF189)+1)))</f>
        <v>124</v>
      </c>
      <c r="AG190" s="225">
        <f>IF(MAX(INDEX($AF:$AF,ROW($AG$6)):INDEX($AF:$AF,ROW(AG190)))+1=AF191,MAX(INDEX($AF:$AF,ROW($AG$6)):INDEX($AF:$AF,ROW(AG190))),"")</f>
        <v>124</v>
      </c>
      <c r="AH190" s="6" t="str">
        <f t="shared" si="16"/>
        <v>0x400003e8</v>
      </c>
      <c r="AI190" s="6">
        <f t="shared" si="17"/>
        <v>1073742824</v>
      </c>
      <c r="AJ190" s="6" t="str">
        <f t="shared" si="18"/>
        <v>0x400003e8</v>
      </c>
      <c r="AK190" s="6" t="str">
        <f t="shared" si="15"/>
        <v>0x400003e8</v>
      </c>
      <c r="AL190" s="6">
        <f t="shared" si="19"/>
        <v>64</v>
      </c>
      <c r="AN190" s="6" t="str">
        <f t="shared" si="20"/>
        <v>ok</v>
      </c>
    </row>
    <row r="191" spans="1:41">
      <c r="A191" s="7" t="s">
        <v>501</v>
      </c>
      <c r="B191" s="7" t="s">
        <v>500</v>
      </c>
      <c r="C191" s="7" t="s">
        <v>29</v>
      </c>
      <c r="D191" s="7">
        <v>8</v>
      </c>
      <c r="E191" s="7">
        <v>1000</v>
      </c>
      <c r="F191" s="7" t="s">
        <v>31</v>
      </c>
      <c r="G191" s="7" t="s">
        <v>32</v>
      </c>
      <c r="H191" s="7"/>
      <c r="I191" s="7"/>
      <c r="K191" s="6">
        <v>0</v>
      </c>
      <c r="L191" s="6">
        <v>0</v>
      </c>
      <c r="M191" s="6">
        <v>0</v>
      </c>
      <c r="N191" s="6">
        <v>1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89"/>
      <c r="Y191" s="6">
        <v>29</v>
      </c>
      <c r="Z191" s="118">
        <v>65535</v>
      </c>
      <c r="AA191" s="6">
        <v>32768</v>
      </c>
      <c r="AB191" s="118">
        <v>65535</v>
      </c>
      <c r="AE191" s="96"/>
      <c r="AF191" s="270">
        <f>IF(V191=1,MAX($AF$6:AF190)+1,IF(AF190="#",0,IF(AND(D190=D191,K190=K191,L190=L191,M190=M191,N190=N191,O190=O191,P190=P191,Q190=Q191,R190=R191,S190=S191,T190=T191,U190=U191,V190=V191,W190=W191,HEX2DEC(SUBSTITUTE(AH190,"0x",""))&lt;HEX2DEC(SUBSTITUTE(AH191,"0x",""))),"",MAX($AF$6:AF190)+1)))</f>
        <v>125</v>
      </c>
      <c r="AG191" s="225" t="str">
        <f>IF(MAX(INDEX($AF:$AF,ROW($AG$6)):INDEX($AF:$AF,ROW(AG191)))+1=AF192,MAX(INDEX($AF:$AF,ROW($AG$6)):INDEX($AF:$AF,ROW(AG191))),"")</f>
        <v/>
      </c>
      <c r="AH191" s="6" t="str">
        <f t="shared" si="16"/>
        <v>0x400003ca</v>
      </c>
      <c r="AI191" s="6">
        <f t="shared" si="17"/>
        <v>1073742794</v>
      </c>
      <c r="AJ191" s="6" t="str">
        <f t="shared" si="18"/>
        <v>0x400003ca</v>
      </c>
      <c r="AK191" s="6" t="str">
        <f t="shared" si="15"/>
        <v>0x400003cb</v>
      </c>
      <c r="AL191" s="6">
        <f t="shared" si="19"/>
        <v>8</v>
      </c>
      <c r="AN191" s="6" t="str">
        <f t="shared" si="20"/>
        <v>not ok</v>
      </c>
    </row>
    <row r="192" spans="1:41">
      <c r="A192" s="7" t="s">
        <v>503</v>
      </c>
      <c r="B192" s="7" t="s">
        <v>502</v>
      </c>
      <c r="C192" s="7" t="s">
        <v>29</v>
      </c>
      <c r="D192" s="7">
        <v>8</v>
      </c>
      <c r="E192" s="7">
        <v>1000</v>
      </c>
      <c r="F192" s="7" t="s">
        <v>31</v>
      </c>
      <c r="G192" s="7" t="s">
        <v>32</v>
      </c>
      <c r="H192" s="7"/>
      <c r="I192" s="7"/>
      <c r="K192" s="6">
        <v>0</v>
      </c>
      <c r="L192" s="6">
        <v>0</v>
      </c>
      <c r="M192" s="6">
        <v>0</v>
      </c>
      <c r="N192" s="6">
        <v>1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89"/>
      <c r="Y192" s="6">
        <v>29</v>
      </c>
      <c r="Z192" s="118">
        <v>65535</v>
      </c>
      <c r="AA192" s="6">
        <v>32768</v>
      </c>
      <c r="AB192" s="118">
        <v>65535</v>
      </c>
      <c r="AE192" s="96"/>
      <c r="AF192" s="270" t="str">
        <f>IF(V192=1,MAX($AF$6:AF191)+1,IF(AF191="#",0,IF(AND(D191=D192,K191=K192,L191=L192,M191=M192,N191=N192,O191=O192,P191=P192,Q191=Q192,R191=R192,S191=S192,T191=T192,U191=U192,V191=V192,W191=W192,HEX2DEC(SUBSTITUTE(AH191,"0x",""))&lt;HEX2DEC(SUBSTITUTE(AH192,"0x",""))),"",MAX($AF$6:AF191)+1)))</f>
        <v/>
      </c>
      <c r="AG192" s="225">
        <f>IF(MAX(INDEX($AF:$AF,ROW($AG$6)):INDEX($AF:$AF,ROW(AG192)))+1=AF193,MAX(INDEX($AF:$AF,ROW($AG$6)):INDEX($AF:$AF,ROW(AG192))),"")</f>
        <v>125</v>
      </c>
      <c r="AH192" s="6" t="str">
        <f t="shared" si="16"/>
        <v>0x400003cb</v>
      </c>
      <c r="AI192" s="6">
        <f t="shared" si="17"/>
        <v>1073742795</v>
      </c>
      <c r="AJ192" s="6" t="str">
        <f t="shared" si="18"/>
        <v/>
      </c>
      <c r="AK192" s="6" t="str">
        <f t="shared" si="15"/>
        <v/>
      </c>
      <c r="AL192" s="6" t="str">
        <f t="shared" si="19"/>
        <v/>
      </c>
      <c r="AN192" s="6" t="str">
        <f t="shared" si="20"/>
        <v>ok</v>
      </c>
      <c r="AO192" s="6" t="s">
        <v>5</v>
      </c>
    </row>
    <row r="193" spans="1:41">
      <c r="A193" s="7" t="s">
        <v>516</v>
      </c>
      <c r="B193" s="7" t="s">
        <v>515</v>
      </c>
      <c r="C193" s="7" t="s">
        <v>29</v>
      </c>
      <c r="D193" s="7">
        <v>32</v>
      </c>
      <c r="E193" s="7">
        <v>1000</v>
      </c>
      <c r="F193" s="7" t="s">
        <v>31</v>
      </c>
      <c r="G193" s="7" t="s">
        <v>32</v>
      </c>
      <c r="H193" s="7"/>
      <c r="I193" s="7"/>
      <c r="K193" s="6">
        <v>0</v>
      </c>
      <c r="L193" s="6">
        <v>0</v>
      </c>
      <c r="M193" s="6">
        <v>0</v>
      </c>
      <c r="N193" s="6">
        <v>1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89"/>
      <c r="Y193" s="6">
        <v>29</v>
      </c>
      <c r="Z193" s="118">
        <v>65535</v>
      </c>
      <c r="AA193" s="6">
        <v>32768</v>
      </c>
      <c r="AB193" s="118">
        <v>65535</v>
      </c>
      <c r="AE193" s="96"/>
      <c r="AF193" s="270">
        <f>IF(V193=1,MAX($AF$6:AF192)+1,IF(AF192="#",0,IF(AND(D192=D193,K192=K193,L192=L193,M192=M193,N192=N193,O192=O193,P192=P193,Q192=Q193,R192=R193,S192=S193,T192=T193,U192=U193,V192=V193,W192=W193,HEX2DEC(SUBSTITUTE(AH192,"0x",""))&lt;HEX2DEC(SUBSTITUTE(AH193,"0x",""))),"",MAX($AF$6:AF192)+1)))</f>
        <v>126</v>
      </c>
      <c r="AG193" s="225">
        <f>IF(MAX(INDEX($AF:$AF,ROW($AG$6)):INDEX($AF:$AF,ROW(AG193)))+1=AF194,MAX(INDEX($AF:$AF,ROW($AG$6)):INDEX($AF:$AF,ROW(AG193))),"")</f>
        <v>126</v>
      </c>
      <c r="AH193" s="6" t="str">
        <f t="shared" si="16"/>
        <v>0x400003e7</v>
      </c>
      <c r="AI193" s="6">
        <f t="shared" si="17"/>
        <v>1073742823</v>
      </c>
      <c r="AJ193" s="6" t="str">
        <f t="shared" si="18"/>
        <v>0x400003e7</v>
      </c>
      <c r="AK193" s="6" t="str">
        <f t="shared" si="15"/>
        <v>0x400003e7</v>
      </c>
      <c r="AL193" s="6">
        <f t="shared" si="19"/>
        <v>32</v>
      </c>
      <c r="AN193" s="6" t="str">
        <f t="shared" si="20"/>
        <v>ok</v>
      </c>
    </row>
    <row r="194" spans="1:41">
      <c r="A194" s="7" t="s">
        <v>825</v>
      </c>
      <c r="B194" s="7" t="s">
        <v>521</v>
      </c>
      <c r="C194" s="7" t="s">
        <v>29</v>
      </c>
      <c r="D194" s="7">
        <v>64</v>
      </c>
      <c r="E194" s="7">
        <v>1000</v>
      </c>
      <c r="F194" s="7" t="s">
        <v>29</v>
      </c>
      <c r="G194" s="7" t="s">
        <v>32</v>
      </c>
      <c r="H194" s="7"/>
      <c r="I194" s="7"/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1</v>
      </c>
      <c r="W194" s="6">
        <v>0</v>
      </c>
      <c r="X194" s="89"/>
      <c r="Y194" s="6">
        <v>27</v>
      </c>
      <c r="Z194" s="87">
        <f>VLOOKUP(A194,SecOC_Cfg.h!$C$33:$D$61,2,FALSE)</f>
        <v>24</v>
      </c>
      <c r="AA194" s="118">
        <v>65535</v>
      </c>
      <c r="AB194" s="118">
        <v>65535</v>
      </c>
      <c r="AE194" s="96"/>
      <c r="AF194" s="270">
        <f>IF(V194=1,MAX($AF$6:AF193)+1,IF(AF193="#",0,IF(AND(D193=D194,K193=K194,L193=L194,M193=M194,N193=N194,O193=O194,P193=P194,Q193=Q194,R193=R194,S193=S194,T193=T194,U193=U194,V193=V194,W193=W194,HEX2DEC(SUBSTITUTE(AH193,"0x",""))&lt;HEX2DEC(SUBSTITUTE(AH194,"0x",""))),"",MAX($AF$6:AF193)+1)))</f>
        <v>127</v>
      </c>
      <c r="AG194" s="225">
        <f>IF(MAX(INDEX($AF:$AF,ROW($AG$6)):INDEX($AF:$AF,ROW(AG194)))+1=AF195,MAX(INDEX($AF:$AF,ROW($AG$6)):INDEX($AF:$AF,ROW(AG194))),"")</f>
        <v>127</v>
      </c>
      <c r="AH194" s="6" t="str">
        <f t="shared" si="16"/>
        <v>0x400003ef</v>
      </c>
      <c r="AI194" s="6">
        <f t="shared" si="17"/>
        <v>1073742831</v>
      </c>
      <c r="AJ194" s="6" t="str">
        <f t="shared" si="18"/>
        <v>0x400003ef</v>
      </c>
      <c r="AK194" s="6" t="str">
        <f t="shared" si="15"/>
        <v>0x400003ef</v>
      </c>
      <c r="AL194" s="6">
        <f t="shared" si="19"/>
        <v>64</v>
      </c>
      <c r="AN194" s="6" t="str">
        <f t="shared" si="20"/>
        <v>ok</v>
      </c>
      <c r="AO194" s="6" t="s">
        <v>5</v>
      </c>
    </row>
    <row r="195" spans="1:41">
      <c r="A195" s="7" t="s">
        <v>524</v>
      </c>
      <c r="B195" s="7" t="s">
        <v>523</v>
      </c>
      <c r="C195" s="7" t="s">
        <v>29</v>
      </c>
      <c r="D195" s="7">
        <v>8</v>
      </c>
      <c r="E195" s="7">
        <v>1000</v>
      </c>
      <c r="F195" s="7" t="s">
        <v>31</v>
      </c>
      <c r="G195" s="7" t="s">
        <v>32</v>
      </c>
      <c r="H195" s="7"/>
      <c r="I195" s="7"/>
      <c r="K195" s="6">
        <v>0</v>
      </c>
      <c r="L195" s="6">
        <v>0</v>
      </c>
      <c r="M195" s="6">
        <v>0</v>
      </c>
      <c r="N195" s="6">
        <v>1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89"/>
      <c r="Y195" s="6">
        <v>29</v>
      </c>
      <c r="Z195" s="118">
        <v>65535</v>
      </c>
      <c r="AA195" s="6">
        <v>32768</v>
      </c>
      <c r="AB195" s="118">
        <v>65535</v>
      </c>
      <c r="AE195" s="96"/>
      <c r="AF195" s="270">
        <f>IF(V195=1,MAX($AF$6:AF194)+1,IF(AF194="#",0,IF(AND(D194=D195,K194=K195,L194=L195,M194=M195,N194=N195,O194=O195,P194=P195,Q194=Q195,R194=R195,S194=S195,T194=T195,U194=U195,V194=V195,W194=W195,HEX2DEC(SUBSTITUTE(AH194,"0x",""))&lt;HEX2DEC(SUBSTITUTE(AH195,"0x",""))),"",MAX($AF$6:AF194)+1)))</f>
        <v>128</v>
      </c>
      <c r="AG195" s="225">
        <f>IF(MAX(INDEX($AF:$AF,ROW($AG$6)):INDEX($AF:$AF,ROW(AG195)))+1=AF196,MAX(INDEX($AF:$AF,ROW($AG$6)):INDEX($AF:$AF,ROW(AG195))),"")</f>
        <v>128</v>
      </c>
      <c r="AH195" s="6" t="str">
        <f t="shared" si="16"/>
        <v>0x400003f0</v>
      </c>
      <c r="AI195" s="6">
        <f t="shared" si="17"/>
        <v>1073742832</v>
      </c>
      <c r="AJ195" s="6" t="str">
        <f t="shared" si="18"/>
        <v>0x400003f0</v>
      </c>
      <c r="AK195" s="6" t="str">
        <f t="shared" si="15"/>
        <v>0x400003f0</v>
      </c>
      <c r="AL195" s="6">
        <f t="shared" si="19"/>
        <v>8</v>
      </c>
      <c r="AN195" s="6" t="str">
        <f t="shared" si="20"/>
        <v>ok</v>
      </c>
    </row>
    <row r="196" spans="1:41">
      <c r="A196" s="7" t="s">
        <v>526</v>
      </c>
      <c r="B196" s="7" t="s">
        <v>525</v>
      </c>
      <c r="C196" s="7" t="s">
        <v>29</v>
      </c>
      <c r="D196" s="7">
        <v>64</v>
      </c>
      <c r="E196" s="7">
        <v>2000</v>
      </c>
      <c r="F196" s="7" t="s">
        <v>31</v>
      </c>
      <c r="G196" s="7" t="s">
        <v>32</v>
      </c>
      <c r="H196" s="7"/>
      <c r="I196" s="7"/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89"/>
      <c r="Y196" s="6">
        <v>29</v>
      </c>
      <c r="Z196" s="118">
        <v>65535</v>
      </c>
      <c r="AA196" s="6">
        <v>32768</v>
      </c>
      <c r="AB196" s="118">
        <v>65535</v>
      </c>
      <c r="AE196" s="96"/>
      <c r="AF196" s="270">
        <f>IF(V196=1,MAX($AF$6:AF195)+1,IF(AF195="#",0,IF(AND(D195=D196,K195=K196,L195=L196,M195=M196,N195=N196,O195=O196,P195=P196,Q195=Q196,R195=R196,S195=S196,T195=T196,U195=U196,V195=V196,W195=W196,HEX2DEC(SUBSTITUTE(AH195,"0x",""))&lt;HEX2DEC(SUBSTITUTE(AH196,"0x",""))),"",MAX($AF$6:AF195)+1)))</f>
        <v>129</v>
      </c>
      <c r="AG196" s="225" t="str">
        <f>IF(MAX(INDEX($AF:$AF,ROW($AG$6)):INDEX($AF:$AF,ROW(AG196)))+1=AF197,MAX(INDEX($AF:$AF,ROW($AG$6)):INDEX($AF:$AF,ROW(AG196))),"")</f>
        <v/>
      </c>
      <c r="AH196" s="6" t="str">
        <f t="shared" si="16"/>
        <v>0x400003f2</v>
      </c>
      <c r="AI196" s="6">
        <f t="shared" si="17"/>
        <v>1073742834</v>
      </c>
      <c r="AJ196" s="6" t="str">
        <f t="shared" si="18"/>
        <v>0x400003f2</v>
      </c>
      <c r="AK196" s="6" t="str">
        <f t="shared" si="15"/>
        <v>0x400003f4</v>
      </c>
      <c r="AL196" s="6">
        <f t="shared" si="19"/>
        <v>64</v>
      </c>
      <c r="AN196" s="6" t="str">
        <f t="shared" si="20"/>
        <v>ok</v>
      </c>
      <c r="AO196" s="6" t="s">
        <v>5</v>
      </c>
    </row>
    <row r="197" spans="1:41">
      <c r="A197" s="7" t="s">
        <v>529</v>
      </c>
      <c r="B197" s="7" t="s">
        <v>528</v>
      </c>
      <c r="C197" s="7" t="s">
        <v>29</v>
      </c>
      <c r="D197" s="7">
        <v>64</v>
      </c>
      <c r="E197" s="7">
        <v>1000</v>
      </c>
      <c r="F197" s="7" t="s">
        <v>31</v>
      </c>
      <c r="G197" s="7" t="s">
        <v>32</v>
      </c>
      <c r="H197" s="7"/>
      <c r="I197" s="7"/>
      <c r="K197" s="6">
        <v>0</v>
      </c>
      <c r="L197" s="6">
        <v>0</v>
      </c>
      <c r="M197" s="6">
        <v>0</v>
      </c>
      <c r="N197" s="6">
        <v>1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89"/>
      <c r="Y197" s="6">
        <v>29</v>
      </c>
      <c r="Z197" s="118">
        <v>65535</v>
      </c>
      <c r="AA197" s="6">
        <v>32768</v>
      </c>
      <c r="AB197" s="118">
        <v>65535</v>
      </c>
      <c r="AE197" s="96"/>
      <c r="AF197" s="270" t="str">
        <f>IF(V197=1,MAX($AF$6:AF196)+1,IF(AF196="#",0,IF(AND(D196=D197,K196=K197,L196=L197,M196=M197,N196=N197,O196=O197,P196=P197,Q196=Q197,R196=R197,S196=S197,T196=T197,U196=U197,V196=V197,W196=W197,HEX2DEC(SUBSTITUTE(AH196,"0x",""))&lt;HEX2DEC(SUBSTITUTE(AH197,"0x",""))),"",MAX($AF$6:AF196)+1)))</f>
        <v/>
      </c>
      <c r="AG197" s="225">
        <f>IF(MAX(INDEX($AF:$AF,ROW($AG$6)):INDEX($AF:$AF,ROW(AG197)))+1=AF198,MAX(INDEX($AF:$AF,ROW($AG$6)):INDEX($AF:$AF,ROW(AG197))),"")</f>
        <v>129</v>
      </c>
      <c r="AH197" s="6" t="str">
        <f t="shared" si="16"/>
        <v>0x400003f4</v>
      </c>
      <c r="AI197" s="6">
        <f t="shared" si="17"/>
        <v>1073742836</v>
      </c>
      <c r="AJ197" s="6" t="str">
        <f t="shared" si="18"/>
        <v/>
      </c>
      <c r="AK197" s="6" t="str">
        <f t="shared" si="15"/>
        <v/>
      </c>
      <c r="AL197" s="6" t="str">
        <f t="shared" si="19"/>
        <v/>
      </c>
      <c r="AN197" s="6" t="str">
        <f t="shared" si="20"/>
        <v>ok</v>
      </c>
    </row>
    <row r="198" spans="1:41">
      <c r="A198" s="7" t="s">
        <v>532</v>
      </c>
      <c r="B198" s="7" t="s">
        <v>531</v>
      </c>
      <c r="C198" s="7" t="s">
        <v>29</v>
      </c>
      <c r="D198" s="7">
        <v>8</v>
      </c>
      <c r="E198" s="7">
        <v>1000</v>
      </c>
      <c r="F198" s="7" t="s">
        <v>31</v>
      </c>
      <c r="G198" s="7" t="s">
        <v>32</v>
      </c>
      <c r="H198" s="7"/>
      <c r="I198" s="7"/>
      <c r="K198" s="6">
        <v>0</v>
      </c>
      <c r="L198" s="6">
        <v>0</v>
      </c>
      <c r="M198" s="6">
        <v>0</v>
      </c>
      <c r="N198" s="6">
        <v>1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89"/>
      <c r="Y198" s="6">
        <v>29</v>
      </c>
      <c r="Z198" s="118">
        <v>65535</v>
      </c>
      <c r="AA198" s="6">
        <v>32768</v>
      </c>
      <c r="AB198" s="118">
        <v>65535</v>
      </c>
      <c r="AE198" s="96"/>
      <c r="AF198" s="270">
        <f>IF(V198=1,MAX($AF$6:AF197)+1,IF(AF197="#",0,IF(AND(D197=D198,K197=K198,L197=L198,M197=M198,N197=N198,O197=O198,P197=P198,Q197=Q198,R197=R198,S197=S198,T197=T198,U197=U198,V197=V198,W197=W198,HEX2DEC(SUBSTITUTE(AH197,"0x",""))&lt;HEX2DEC(SUBSTITUTE(AH198,"0x",""))),"",MAX($AF$6:AF197)+1)))</f>
        <v>130</v>
      </c>
      <c r="AG198" s="225" t="str">
        <f>IF(MAX(INDEX($AF:$AF,ROW($AG$6)):INDEX($AF:$AF,ROW(AG198)))+1=AF199,MAX(INDEX($AF:$AF,ROW($AG$6)):INDEX($AF:$AF,ROW(AG198))),"")</f>
        <v/>
      </c>
      <c r="AH198" s="6" t="str">
        <f t="shared" si="16"/>
        <v>0x400003f6</v>
      </c>
      <c r="AI198" s="6">
        <f t="shared" si="17"/>
        <v>1073742838</v>
      </c>
      <c r="AJ198" s="6" t="str">
        <f t="shared" si="18"/>
        <v>0x400003f6</v>
      </c>
      <c r="AK198" s="6" t="str">
        <f t="shared" ref="AK198:AK261" si="21">IF(AF198&lt;&gt;"",VLOOKUP(AF198,$AG$6:$AH$286,2,TRUE),"")</f>
        <v>0x400003fc</v>
      </c>
      <c r="AL198" s="6">
        <f t="shared" si="19"/>
        <v>8</v>
      </c>
      <c r="AN198" s="6" t="str">
        <f t="shared" si="20"/>
        <v>ok</v>
      </c>
      <c r="AO198" s="6" t="s">
        <v>5</v>
      </c>
    </row>
    <row r="199" spans="1:41">
      <c r="A199" s="7" t="s">
        <v>534</v>
      </c>
      <c r="B199" s="7" t="s">
        <v>533</v>
      </c>
      <c r="C199" s="7" t="s">
        <v>29</v>
      </c>
      <c r="D199" s="7">
        <v>8</v>
      </c>
      <c r="E199" s="7">
        <v>50</v>
      </c>
      <c r="F199" s="7" t="s">
        <v>31</v>
      </c>
      <c r="G199" s="7" t="s">
        <v>32</v>
      </c>
      <c r="H199" s="7"/>
      <c r="I199" s="7"/>
      <c r="K199" s="6">
        <v>0</v>
      </c>
      <c r="L199" s="6">
        <v>0</v>
      </c>
      <c r="M199" s="6">
        <v>0</v>
      </c>
      <c r="N199" s="6">
        <v>1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89"/>
      <c r="Y199" s="6">
        <v>29</v>
      </c>
      <c r="Z199" s="118">
        <v>65535</v>
      </c>
      <c r="AA199" s="6">
        <v>32768</v>
      </c>
      <c r="AB199" s="118">
        <v>65535</v>
      </c>
      <c r="AE199" s="96"/>
      <c r="AF199" s="270" t="str">
        <f>IF(V199=1,MAX($AF$6:AF198)+1,IF(AF198="#",0,IF(AND(D198=D199,K198=K199,L198=L199,M198=M199,N198=N199,O198=O199,P198=P199,Q198=Q199,R198=R199,S198=S199,T198=T199,U198=U199,V198=V199,W198=W199,HEX2DEC(SUBSTITUTE(AH198,"0x",""))&lt;HEX2DEC(SUBSTITUTE(AH199,"0x",""))),"",MAX($AF$6:AF198)+1)))</f>
        <v/>
      </c>
      <c r="AG199" s="225">
        <f>IF(MAX(INDEX($AF:$AF,ROW($AG$6)):INDEX($AF:$AF,ROW(AG199)))+1=AF200,MAX(INDEX($AF:$AF,ROW($AG$6)):INDEX($AF:$AF,ROW(AG199))),"")</f>
        <v>130</v>
      </c>
      <c r="AH199" s="6" t="str">
        <f t="shared" ref="AH199:AH262" si="22">LOWER(IF(C199="1", "0x40000"&amp;B199,"0x00000"&amp;B199))</f>
        <v>0x400003fc</v>
      </c>
      <c r="AI199" s="6">
        <f t="shared" ref="AI199:AI262" si="23">HEX2DEC(RIGHT(AH199,8))</f>
        <v>1073742844</v>
      </c>
      <c r="AJ199" s="6" t="str">
        <f t="shared" ref="AJ199:AJ262" si="24">IF(AF199&lt;&gt;"",AH199,"")</f>
        <v/>
      </c>
      <c r="AK199" s="6" t="str">
        <f t="shared" si="21"/>
        <v/>
      </c>
      <c r="AL199" s="6" t="str">
        <f t="shared" ref="AL199:AL262" si="25">IF($AF199&lt;&gt;"",MIN($D199:$D199),"")</f>
        <v/>
      </c>
      <c r="AN199" s="6" t="str">
        <f t="shared" si="20"/>
        <v>ok</v>
      </c>
    </row>
    <row r="200" spans="1:41">
      <c r="A200" s="7" t="s">
        <v>537</v>
      </c>
      <c r="B200" s="7" t="s">
        <v>536</v>
      </c>
      <c r="C200" s="7" t="s">
        <v>29</v>
      </c>
      <c r="D200" s="7">
        <v>32</v>
      </c>
      <c r="E200" s="7">
        <v>1000</v>
      </c>
      <c r="F200" s="7" t="s">
        <v>31</v>
      </c>
      <c r="G200" s="7" t="s">
        <v>32</v>
      </c>
      <c r="H200" s="7"/>
      <c r="I200" s="7"/>
      <c r="K200" s="6">
        <v>0</v>
      </c>
      <c r="L200" s="6">
        <v>0</v>
      </c>
      <c r="M200" s="6">
        <v>0</v>
      </c>
      <c r="N200" s="6">
        <v>1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89"/>
      <c r="Y200" s="6">
        <v>29</v>
      </c>
      <c r="Z200" s="118">
        <v>65535</v>
      </c>
      <c r="AA200" s="6">
        <v>32768</v>
      </c>
      <c r="AB200" s="118">
        <v>65535</v>
      </c>
      <c r="AE200" s="96"/>
      <c r="AF200" s="270">
        <f>IF(V200=1,MAX($AF$6:AF199)+1,IF(AF199="#",0,IF(AND(D199=D200,K199=K200,L199=L200,M199=M200,N199=N200,O199=O200,P199=P200,Q199=Q200,R199=R200,S199=S200,T199=T200,U199=U200,V199=V200,W199=W200,HEX2DEC(SUBSTITUTE(AH199,"0x",""))&lt;HEX2DEC(SUBSTITUTE(AH200,"0x",""))),"",MAX($AF$6:AF199)+1)))</f>
        <v>131</v>
      </c>
      <c r="AG200" s="225" t="str">
        <f>IF(MAX(INDEX($AF:$AF,ROW($AG$6)):INDEX($AF:$AF,ROW(AG200)))+1=AF201,MAX(INDEX($AF:$AF,ROW($AG$6)):INDEX($AF:$AF,ROW(AG200))),"")</f>
        <v/>
      </c>
      <c r="AH200" s="6" t="str">
        <f t="shared" si="22"/>
        <v>0x40000400</v>
      </c>
      <c r="AI200" s="6">
        <f t="shared" si="23"/>
        <v>1073742848</v>
      </c>
      <c r="AJ200" s="6" t="str">
        <f t="shared" si="24"/>
        <v>0x40000400</v>
      </c>
      <c r="AK200" s="6" t="str">
        <f t="shared" si="21"/>
        <v>0x40000404</v>
      </c>
      <c r="AL200" s="6">
        <f t="shared" si="25"/>
        <v>32</v>
      </c>
      <c r="AN200" s="6" t="str">
        <f t="shared" ref="AN200:AN263" si="26">IF(AI199&lt;AI200,"ok","not ok")</f>
        <v>ok</v>
      </c>
    </row>
    <row r="201" spans="1:41">
      <c r="A201" s="7" t="s">
        <v>540</v>
      </c>
      <c r="B201" s="7" t="s">
        <v>541</v>
      </c>
      <c r="C201" s="7" t="s">
        <v>29</v>
      </c>
      <c r="D201" s="7">
        <v>32</v>
      </c>
      <c r="E201" s="7">
        <v>1000</v>
      </c>
      <c r="F201" s="7" t="s">
        <v>31</v>
      </c>
      <c r="G201" s="7" t="s">
        <v>32</v>
      </c>
      <c r="H201" s="7"/>
      <c r="I201" s="7"/>
      <c r="K201" s="6">
        <v>0</v>
      </c>
      <c r="L201" s="6">
        <v>0</v>
      </c>
      <c r="M201" s="6">
        <v>0</v>
      </c>
      <c r="N201" s="6">
        <v>1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89"/>
      <c r="Y201" s="6">
        <v>29</v>
      </c>
      <c r="Z201" s="118">
        <v>65535</v>
      </c>
      <c r="AA201" s="6">
        <v>32768</v>
      </c>
      <c r="AB201" s="118">
        <v>65535</v>
      </c>
      <c r="AE201" s="96"/>
      <c r="AF201" s="270" t="str">
        <f>IF(V201=1,MAX($AF$6:AF200)+1,IF(AF200="#",0,IF(AND(D200=D201,K200=K201,L200=L201,M200=M201,N200=N201,O200=O201,P200=P201,Q200=Q201,R200=R201,S200=S201,T200=T201,U200=U201,V200=V201,W200=W201,HEX2DEC(SUBSTITUTE(AH200,"0x",""))&lt;HEX2DEC(SUBSTITUTE(AH201,"0x",""))),"",MAX($AF$6:AF200)+1)))</f>
        <v/>
      </c>
      <c r="AG201" s="225">
        <f>IF(MAX(INDEX($AF:$AF,ROW($AG$6)):INDEX($AF:$AF,ROW(AG201)))+1=AF202,MAX(INDEX($AF:$AF,ROW($AG$6)):INDEX($AF:$AF,ROW(AG201))),"")</f>
        <v>131</v>
      </c>
      <c r="AH201" s="6" t="str">
        <f t="shared" si="22"/>
        <v>0x40000404</v>
      </c>
      <c r="AI201" s="6">
        <f t="shared" si="23"/>
        <v>1073742852</v>
      </c>
      <c r="AJ201" s="6" t="str">
        <f t="shared" si="24"/>
        <v/>
      </c>
      <c r="AK201" s="6" t="str">
        <f t="shared" si="21"/>
        <v/>
      </c>
      <c r="AL201" s="6" t="str">
        <f t="shared" si="25"/>
        <v/>
      </c>
      <c r="AN201" s="6" t="str">
        <f t="shared" si="26"/>
        <v>ok</v>
      </c>
    </row>
    <row r="202" spans="1:41">
      <c r="A202" s="7" t="s">
        <v>544</v>
      </c>
      <c r="B202" s="7" t="s">
        <v>545</v>
      </c>
      <c r="C202" s="7" t="s">
        <v>29</v>
      </c>
      <c r="D202" s="7">
        <v>8</v>
      </c>
      <c r="E202" s="7">
        <v>1000</v>
      </c>
      <c r="F202" s="7" t="s">
        <v>31</v>
      </c>
      <c r="G202" s="7" t="s">
        <v>32</v>
      </c>
      <c r="H202" s="7"/>
      <c r="I202" s="7"/>
      <c r="K202" s="6">
        <v>0</v>
      </c>
      <c r="L202" s="6">
        <v>0</v>
      </c>
      <c r="M202" s="6">
        <v>0</v>
      </c>
      <c r="N202" s="6">
        <v>1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89"/>
      <c r="Y202" s="6">
        <v>29</v>
      </c>
      <c r="Z202" s="118">
        <v>65535</v>
      </c>
      <c r="AA202" s="6">
        <v>32768</v>
      </c>
      <c r="AB202" s="118">
        <v>65535</v>
      </c>
      <c r="AE202" s="96"/>
      <c r="AF202" s="270">
        <f>IF(V202=1,MAX($AF$6:AF201)+1,IF(AF201="#",0,IF(AND(D201=D202,K201=K202,L201=L202,M201=M202,N201=N202,O201=O202,P201=P202,Q201=Q202,R201=R202,S201=S202,T201=T202,U201=U202,V201=V202,W201=W202,HEX2DEC(SUBSTITUTE(AH201,"0x",""))&lt;HEX2DEC(SUBSTITUTE(AH202,"0x",""))),"",MAX($AF$6:AF201)+1)))</f>
        <v>132</v>
      </c>
      <c r="AG202" s="225" t="str">
        <f>IF(MAX(INDEX($AF:$AF,ROW($AG$6)):INDEX($AF:$AF,ROW(AG202)))+1=AF203,MAX(INDEX($AF:$AF,ROW($AG$6)):INDEX($AF:$AF,ROW(AG202))),"")</f>
        <v/>
      </c>
      <c r="AH202" s="6" t="str">
        <f t="shared" si="22"/>
        <v>0x40000408</v>
      </c>
      <c r="AI202" s="6">
        <f t="shared" si="23"/>
        <v>1073742856</v>
      </c>
      <c r="AJ202" s="6" t="str">
        <f t="shared" si="24"/>
        <v>0x40000408</v>
      </c>
      <c r="AK202" s="6" t="str">
        <f t="shared" si="21"/>
        <v>0x4000040c</v>
      </c>
      <c r="AL202" s="6">
        <f t="shared" si="25"/>
        <v>8</v>
      </c>
      <c r="AN202" s="6" t="str">
        <f t="shared" si="26"/>
        <v>ok</v>
      </c>
      <c r="AO202" s="6" t="s">
        <v>5</v>
      </c>
    </row>
    <row r="203" spans="1:41">
      <c r="A203" s="7" t="s">
        <v>546</v>
      </c>
      <c r="B203" s="7" t="s">
        <v>547</v>
      </c>
      <c r="C203" s="7" t="s">
        <v>29</v>
      </c>
      <c r="D203" s="7">
        <v>8</v>
      </c>
      <c r="E203" s="7">
        <v>1000</v>
      </c>
      <c r="F203" s="7" t="s">
        <v>31</v>
      </c>
      <c r="G203" s="7" t="s">
        <v>32</v>
      </c>
      <c r="H203" s="7"/>
      <c r="I203" s="7"/>
      <c r="K203" s="6">
        <v>0</v>
      </c>
      <c r="L203" s="6">
        <v>0</v>
      </c>
      <c r="M203" s="6">
        <v>0</v>
      </c>
      <c r="N203" s="6">
        <v>1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89"/>
      <c r="Y203" s="6">
        <v>29</v>
      </c>
      <c r="Z203" s="118">
        <v>65535</v>
      </c>
      <c r="AA203" s="6">
        <v>32768</v>
      </c>
      <c r="AB203" s="118">
        <v>65535</v>
      </c>
      <c r="AE203" s="96"/>
      <c r="AF203" s="270" t="str">
        <f>IF(V203=1,MAX($AF$6:AF202)+1,IF(AF202="#",0,IF(AND(D202=D203,K202=K203,L202=L203,M202=M203,N202=N203,O202=O203,P202=P203,Q202=Q203,R202=R203,S202=S203,T202=T203,U202=U203,V202=V203,W202=W203,HEX2DEC(SUBSTITUTE(AH202,"0x",""))&lt;HEX2DEC(SUBSTITUTE(AH203,"0x",""))),"",MAX($AF$6:AF202)+1)))</f>
        <v/>
      </c>
      <c r="AG203" s="225">
        <f>IF(MAX(INDEX($AF:$AF,ROW($AG$6)):INDEX($AF:$AF,ROW(AG203)))+1=AF204,MAX(INDEX($AF:$AF,ROW($AG$6)):INDEX($AF:$AF,ROW(AG203))),"")</f>
        <v>132</v>
      </c>
      <c r="AH203" s="6" t="str">
        <f t="shared" si="22"/>
        <v>0x4000040c</v>
      </c>
      <c r="AI203" s="6">
        <f t="shared" si="23"/>
        <v>1073742860</v>
      </c>
      <c r="AJ203" s="6" t="str">
        <f t="shared" si="24"/>
        <v/>
      </c>
      <c r="AK203" s="6" t="str">
        <f t="shared" si="21"/>
        <v/>
      </c>
      <c r="AL203" s="6" t="str">
        <f t="shared" si="25"/>
        <v/>
      </c>
      <c r="AN203" s="6" t="str">
        <f t="shared" si="26"/>
        <v>ok</v>
      </c>
      <c r="AO203" s="6" t="s">
        <v>5</v>
      </c>
    </row>
    <row r="204" spans="1:41">
      <c r="A204" s="7" t="s">
        <v>539</v>
      </c>
      <c r="B204" s="7" t="s">
        <v>538</v>
      </c>
      <c r="C204" s="7" t="s">
        <v>29</v>
      </c>
      <c r="D204" s="7">
        <v>8</v>
      </c>
      <c r="E204" s="7">
        <v>1024</v>
      </c>
      <c r="F204" s="7" t="s">
        <v>31</v>
      </c>
      <c r="G204" s="7" t="s">
        <v>32</v>
      </c>
      <c r="H204" s="7"/>
      <c r="I204" s="7"/>
      <c r="K204" s="6">
        <v>0</v>
      </c>
      <c r="L204" s="6">
        <v>0</v>
      </c>
      <c r="M204" s="6">
        <v>0</v>
      </c>
      <c r="N204" s="6">
        <v>1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89"/>
      <c r="Y204" s="6">
        <v>29</v>
      </c>
      <c r="Z204" s="118">
        <v>65535</v>
      </c>
      <c r="AA204" s="6">
        <v>32768</v>
      </c>
      <c r="AB204" s="118">
        <v>65535</v>
      </c>
      <c r="AE204" s="96"/>
      <c r="AF204" s="270">
        <f>IF(V204=1,MAX($AF$6:AF203)+1,IF(AF203="#",0,IF(AND(D203=D204,K203=K204,L203=L204,M203=M204,N203=N204,O203=O204,P203=P204,Q203=Q204,R203=R204,S203=S204,T203=T204,U203=U204,V203=V204,W203=W204,HEX2DEC(SUBSTITUTE(AH203,"0x",""))&lt;HEX2DEC(SUBSTITUTE(AH204,"0x",""))),"",MAX($AF$6:AF203)+1)))</f>
        <v>133</v>
      </c>
      <c r="AG204" s="225" t="str">
        <f>IF(MAX(INDEX($AF:$AF,ROW($AG$6)):INDEX($AF:$AF,ROW(AG204)))+1=AF205,MAX(INDEX($AF:$AF,ROW($AG$6)):INDEX($AF:$AF,ROW(AG204))),"")</f>
        <v/>
      </c>
      <c r="AH204" s="6" t="str">
        <f t="shared" si="22"/>
        <v>0x40000401</v>
      </c>
      <c r="AI204" s="6">
        <f t="shared" si="23"/>
        <v>1073742849</v>
      </c>
      <c r="AJ204" s="6" t="str">
        <f t="shared" si="24"/>
        <v>0x40000401</v>
      </c>
      <c r="AK204" s="6" t="str">
        <f t="shared" si="21"/>
        <v>0x4000040d</v>
      </c>
      <c r="AL204" s="6">
        <f t="shared" si="25"/>
        <v>8</v>
      </c>
      <c r="AN204" s="6" t="str">
        <f t="shared" si="26"/>
        <v>not ok</v>
      </c>
    </row>
    <row r="205" spans="1:41">
      <c r="A205" s="7" t="s">
        <v>543</v>
      </c>
      <c r="B205" s="7" t="s">
        <v>542</v>
      </c>
      <c r="C205" s="7" t="s">
        <v>29</v>
      </c>
      <c r="D205" s="7">
        <v>8</v>
      </c>
      <c r="E205" s="7">
        <v>1000</v>
      </c>
      <c r="F205" s="7" t="s">
        <v>31</v>
      </c>
      <c r="G205" s="7" t="s">
        <v>32</v>
      </c>
      <c r="H205" s="7"/>
      <c r="I205" s="7"/>
      <c r="K205" s="6">
        <v>0</v>
      </c>
      <c r="L205" s="6">
        <v>0</v>
      </c>
      <c r="M205" s="6">
        <v>0</v>
      </c>
      <c r="N205" s="6">
        <v>1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89"/>
      <c r="Y205" s="6">
        <v>29</v>
      </c>
      <c r="Z205" s="118">
        <v>65535</v>
      </c>
      <c r="AA205" s="6">
        <v>32768</v>
      </c>
      <c r="AB205" s="118">
        <v>65535</v>
      </c>
      <c r="AE205" s="96"/>
      <c r="AF205" s="270" t="str">
        <f>IF(V205=1,MAX($AF$6:AF204)+1,IF(AF204="#",0,IF(AND(D204=D205,K204=K205,L204=L205,M204=M205,N204=N205,O204=O205,P204=P205,Q204=Q205,R204=R205,S204=S205,T204=T205,U204=U205,V204=V205,W204=W205,HEX2DEC(SUBSTITUTE(AH204,"0x",""))&lt;HEX2DEC(SUBSTITUTE(AH205,"0x",""))),"",MAX($AF$6:AF204)+1)))</f>
        <v/>
      </c>
      <c r="AG205" s="225" t="str">
        <f>IF(MAX(INDEX($AF:$AF,ROW($AG$6)):INDEX($AF:$AF,ROW(AG205)))+1=AF206,MAX(INDEX($AF:$AF,ROW($AG$6)):INDEX($AF:$AF,ROW(AG205))),"")</f>
        <v/>
      </c>
      <c r="AH205" s="6" t="str">
        <f t="shared" si="22"/>
        <v>0x40000403</v>
      </c>
      <c r="AI205" s="6">
        <f t="shared" si="23"/>
        <v>1073742851</v>
      </c>
      <c r="AJ205" s="6" t="str">
        <f t="shared" si="24"/>
        <v/>
      </c>
      <c r="AK205" s="6" t="str">
        <f t="shared" si="21"/>
        <v/>
      </c>
      <c r="AL205" s="6" t="str">
        <f t="shared" si="25"/>
        <v/>
      </c>
      <c r="AN205" s="6" t="str">
        <f t="shared" si="26"/>
        <v>ok</v>
      </c>
    </row>
    <row r="206" spans="1:41">
      <c r="A206" s="7" t="s">
        <v>550</v>
      </c>
      <c r="B206" s="7" t="s">
        <v>549</v>
      </c>
      <c r="C206" s="7" t="s">
        <v>29</v>
      </c>
      <c r="D206" s="7">
        <v>8</v>
      </c>
      <c r="E206" s="7">
        <v>1000</v>
      </c>
      <c r="F206" s="7" t="s">
        <v>31</v>
      </c>
      <c r="G206" s="7" t="s">
        <v>32</v>
      </c>
      <c r="H206" s="7"/>
      <c r="I206" s="7"/>
      <c r="K206" s="6">
        <v>0</v>
      </c>
      <c r="L206" s="6">
        <v>0</v>
      </c>
      <c r="M206" s="6">
        <v>0</v>
      </c>
      <c r="N206" s="6">
        <v>1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89"/>
      <c r="Y206" s="6">
        <v>29</v>
      </c>
      <c r="Z206" s="118">
        <v>65535</v>
      </c>
      <c r="AA206" s="6">
        <v>32768</v>
      </c>
      <c r="AB206" s="118">
        <v>65535</v>
      </c>
      <c r="AE206" s="96"/>
      <c r="AF206" s="270" t="str">
        <f>IF(V206=1,MAX($AF$6:AF205)+1,IF(AF205="#",0,IF(AND(D205=D206,K205=K206,L205=L206,M205=M206,N205=N206,O205=O206,P205=P206,Q205=Q206,R205=R206,S205=S206,T205=T206,U205=U206,V205=V206,W205=W206,HEX2DEC(SUBSTITUTE(AH205,"0x",""))&lt;HEX2DEC(SUBSTITUTE(AH206,"0x",""))),"",MAX($AF$6:AF205)+1)))</f>
        <v/>
      </c>
      <c r="AG206" s="225" t="str">
        <f>IF(MAX(INDEX($AF:$AF,ROW($AG$6)):INDEX($AF:$AF,ROW(AG206)))+1=AF207,MAX(INDEX($AF:$AF,ROW($AG$6)):INDEX($AF:$AF,ROW(AG206))),"")</f>
        <v/>
      </c>
      <c r="AH206" s="6" t="str">
        <f t="shared" si="22"/>
        <v>0x40000405</v>
      </c>
      <c r="AI206" s="6">
        <f t="shared" si="23"/>
        <v>1073742853</v>
      </c>
      <c r="AJ206" s="6" t="str">
        <f t="shared" si="24"/>
        <v/>
      </c>
      <c r="AK206" s="6" t="str">
        <f t="shared" si="21"/>
        <v/>
      </c>
      <c r="AL206" s="6" t="str">
        <f t="shared" si="25"/>
        <v/>
      </c>
      <c r="AN206" s="6" t="str">
        <f t="shared" si="26"/>
        <v>ok</v>
      </c>
    </row>
    <row r="207" spans="1:41">
      <c r="A207" s="7" t="s">
        <v>553</v>
      </c>
      <c r="B207" s="7" t="s">
        <v>552</v>
      </c>
      <c r="C207" s="7" t="s">
        <v>29</v>
      </c>
      <c r="D207" s="7">
        <v>8</v>
      </c>
      <c r="E207" s="7">
        <v>1000</v>
      </c>
      <c r="F207" s="7" t="s">
        <v>31</v>
      </c>
      <c r="G207" s="7" t="s">
        <v>32</v>
      </c>
      <c r="H207" s="7"/>
      <c r="I207" s="7"/>
      <c r="K207" s="6">
        <v>0</v>
      </c>
      <c r="L207" s="6">
        <v>0</v>
      </c>
      <c r="M207" s="6">
        <v>0</v>
      </c>
      <c r="N207" s="6">
        <v>1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89"/>
      <c r="Y207" s="6">
        <v>29</v>
      </c>
      <c r="Z207" s="118">
        <v>65535</v>
      </c>
      <c r="AA207" s="6">
        <v>32768</v>
      </c>
      <c r="AB207" s="118">
        <v>65535</v>
      </c>
      <c r="AE207" s="96"/>
      <c r="AF207" s="270" t="str">
        <f>IF(V207=1,MAX($AF$6:AF206)+1,IF(AF206="#",0,IF(AND(D206=D207,K206=K207,L206=L207,M206=M207,N206=N207,O206=O207,P206=P207,Q206=Q207,R206=R207,S206=S207,T206=T207,U206=U207,V206=V207,W206=W207,HEX2DEC(SUBSTITUTE(AH206,"0x",""))&lt;HEX2DEC(SUBSTITUTE(AH207,"0x",""))),"",MAX($AF$6:AF206)+1)))</f>
        <v/>
      </c>
      <c r="AG207" s="225" t="str">
        <f>IF(MAX(INDEX($AF:$AF,ROW($AG$6)):INDEX($AF:$AF,ROW(AG207)))+1=AF208,MAX(INDEX($AF:$AF,ROW($AG$6)):INDEX($AF:$AF,ROW(AG207))),"")</f>
        <v/>
      </c>
      <c r="AH207" s="6" t="str">
        <f t="shared" si="22"/>
        <v>0x40000407</v>
      </c>
      <c r="AI207" s="6">
        <f t="shared" si="23"/>
        <v>1073742855</v>
      </c>
      <c r="AJ207" s="6" t="str">
        <f t="shared" si="24"/>
        <v/>
      </c>
      <c r="AK207" s="6" t="str">
        <f t="shared" si="21"/>
        <v/>
      </c>
      <c r="AL207" s="6" t="str">
        <f t="shared" si="25"/>
        <v/>
      </c>
      <c r="AN207" s="6" t="str">
        <f t="shared" si="26"/>
        <v>ok</v>
      </c>
      <c r="AO207" s="6" t="s">
        <v>5</v>
      </c>
    </row>
    <row r="208" spans="1:41">
      <c r="A208" s="7" t="s">
        <v>556</v>
      </c>
      <c r="B208" s="7" t="s">
        <v>555</v>
      </c>
      <c r="C208" s="7" t="s">
        <v>29</v>
      </c>
      <c r="D208" s="7">
        <v>8</v>
      </c>
      <c r="E208" s="7">
        <v>1000</v>
      </c>
      <c r="F208" s="7" t="s">
        <v>31</v>
      </c>
      <c r="G208" s="7" t="s">
        <v>32</v>
      </c>
      <c r="H208" s="7"/>
      <c r="I208" s="7"/>
      <c r="K208" s="6">
        <v>0</v>
      </c>
      <c r="L208" s="6">
        <v>0</v>
      </c>
      <c r="M208" s="6">
        <v>0</v>
      </c>
      <c r="N208" s="6">
        <v>1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89"/>
      <c r="Y208" s="6">
        <v>29</v>
      </c>
      <c r="Z208" s="118">
        <v>65535</v>
      </c>
      <c r="AA208" s="6">
        <v>32768</v>
      </c>
      <c r="AB208" s="118">
        <v>65535</v>
      </c>
      <c r="AE208" s="96"/>
      <c r="AF208" s="270" t="str">
        <f>IF(V208=1,MAX($AF$6:AF207)+1,IF(AF207="#",0,IF(AND(D207=D208,K207=K208,L207=L208,M207=M208,N207=N208,O207=O208,P207=P208,Q207=Q208,R207=R208,S207=S208,T207=T208,U207=U208,V207=V208,W207=W208,HEX2DEC(SUBSTITUTE(AH207,"0x",""))&lt;HEX2DEC(SUBSTITUTE(AH208,"0x",""))),"",MAX($AF$6:AF207)+1)))</f>
        <v/>
      </c>
      <c r="AG208" s="225" t="str">
        <f>IF(MAX(INDEX($AF:$AF,ROW($AG$6)):INDEX($AF:$AF,ROW(AG208)))+1=AF209,MAX(INDEX($AF:$AF,ROW($AG$6)):INDEX($AF:$AF,ROW(AG208))),"")</f>
        <v/>
      </c>
      <c r="AH208" s="6" t="str">
        <f t="shared" si="22"/>
        <v>0x4000040b</v>
      </c>
      <c r="AI208" s="6">
        <f t="shared" si="23"/>
        <v>1073742859</v>
      </c>
      <c r="AJ208" s="6" t="str">
        <f t="shared" si="24"/>
        <v/>
      </c>
      <c r="AK208" s="6" t="str">
        <f t="shared" si="21"/>
        <v/>
      </c>
      <c r="AL208" s="6" t="str">
        <f t="shared" si="25"/>
        <v/>
      </c>
      <c r="AN208" s="6" t="str">
        <f t="shared" si="26"/>
        <v>ok</v>
      </c>
    </row>
    <row r="209" spans="1:41">
      <c r="A209" s="7" t="s">
        <v>560</v>
      </c>
      <c r="B209" s="7" t="s">
        <v>559</v>
      </c>
      <c r="C209" s="7" t="s">
        <v>29</v>
      </c>
      <c r="D209" s="7">
        <v>8</v>
      </c>
      <c r="E209" s="7">
        <v>1000</v>
      </c>
      <c r="F209" s="7" t="s">
        <v>31</v>
      </c>
      <c r="G209" s="7" t="s">
        <v>32</v>
      </c>
      <c r="H209" s="7"/>
      <c r="I209" s="7"/>
      <c r="K209" s="6">
        <v>0</v>
      </c>
      <c r="L209" s="6">
        <v>0</v>
      </c>
      <c r="M209" s="6">
        <v>0</v>
      </c>
      <c r="N209" s="6">
        <v>1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89"/>
      <c r="Y209" s="6">
        <v>29</v>
      </c>
      <c r="Z209" s="118">
        <v>65535</v>
      </c>
      <c r="AA209" s="6">
        <v>32768</v>
      </c>
      <c r="AB209" s="118">
        <v>65535</v>
      </c>
      <c r="AE209" s="96"/>
      <c r="AF209" s="270" t="str">
        <f>IF(V209=1,MAX($AF$6:AF208)+1,IF(AF208="#",0,IF(AND(D208=D209,K208=K209,L208=L209,M208=M209,N208=N209,O208=O209,P208=P209,Q208=Q209,R208=R209,S208=S209,T208=T209,U208=U209,V208=V209,W208=W209,HEX2DEC(SUBSTITUTE(AH208,"0x",""))&lt;HEX2DEC(SUBSTITUTE(AH209,"0x",""))),"",MAX($AF$6:AF208)+1)))</f>
        <v/>
      </c>
      <c r="AG209" s="225">
        <f>IF(MAX(INDEX($AF:$AF,ROW($AG$6)):INDEX($AF:$AF,ROW(AG209)))+1=AF210,MAX(INDEX($AF:$AF,ROW($AG$6)):INDEX($AF:$AF,ROW(AG209))),"")</f>
        <v>133</v>
      </c>
      <c r="AH209" s="6" t="str">
        <f t="shared" si="22"/>
        <v>0x4000040d</v>
      </c>
      <c r="AI209" s="6">
        <f t="shared" si="23"/>
        <v>1073742861</v>
      </c>
      <c r="AJ209" s="6" t="str">
        <f t="shared" si="24"/>
        <v/>
      </c>
      <c r="AK209" s="6" t="str">
        <f t="shared" si="21"/>
        <v/>
      </c>
      <c r="AL209" s="6" t="str">
        <f t="shared" si="25"/>
        <v/>
      </c>
      <c r="AN209" s="6" t="str">
        <f t="shared" si="26"/>
        <v>ok</v>
      </c>
    </row>
    <row r="210" spans="1:41">
      <c r="A210" s="7" t="s">
        <v>564</v>
      </c>
      <c r="B210" s="7" t="s">
        <v>565</v>
      </c>
      <c r="C210" s="7" t="s">
        <v>29</v>
      </c>
      <c r="D210" s="7">
        <v>64</v>
      </c>
      <c r="E210" s="7">
        <v>1000</v>
      </c>
      <c r="F210" s="7" t="s">
        <v>31</v>
      </c>
      <c r="G210" s="7" t="s">
        <v>32</v>
      </c>
      <c r="H210" s="7"/>
      <c r="I210" s="7"/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89"/>
      <c r="Y210" s="6">
        <v>29</v>
      </c>
      <c r="Z210" s="118">
        <v>65535</v>
      </c>
      <c r="AA210" s="6">
        <v>32768</v>
      </c>
      <c r="AB210" s="118">
        <v>65535</v>
      </c>
      <c r="AE210" s="96"/>
      <c r="AF210" s="270">
        <f>IF(V210=1,MAX($AF$6:AF209)+1,IF(AF209="#",0,IF(AND(D209=D210,K209=K210,L209=L210,M209=M210,N209=N210,O209=O210,P209=P210,Q209=Q210,R209=R210,S209=S210,T209=T210,U209=U210,V209=V210,W209=W210,HEX2DEC(SUBSTITUTE(AH209,"0x",""))&lt;HEX2DEC(SUBSTITUTE(AH210,"0x",""))),"",MAX($AF$6:AF209)+1)))</f>
        <v>134</v>
      </c>
      <c r="AG210" s="225">
        <f>IF(MAX(INDEX($AF:$AF,ROW($AG$6)):INDEX($AF:$AF,ROW(AG210)))+1=AF211,MAX(INDEX($AF:$AF,ROW($AG$6)):INDEX($AF:$AF,ROW(AG210))),"")</f>
        <v>134</v>
      </c>
      <c r="AH210" s="6" t="str">
        <f t="shared" si="22"/>
        <v>0x4000050d</v>
      </c>
      <c r="AI210" s="6">
        <f t="shared" si="23"/>
        <v>1073743117</v>
      </c>
      <c r="AJ210" s="6" t="str">
        <f t="shared" si="24"/>
        <v>0x4000050d</v>
      </c>
      <c r="AK210" s="6" t="str">
        <f t="shared" si="21"/>
        <v>0x4000050d</v>
      </c>
      <c r="AL210" s="6">
        <f t="shared" si="25"/>
        <v>64</v>
      </c>
      <c r="AN210" s="6" t="str">
        <f t="shared" si="26"/>
        <v>ok</v>
      </c>
    </row>
    <row r="211" spans="1:41">
      <c r="A211" s="7" t="s">
        <v>563</v>
      </c>
      <c r="B211" s="7" t="s">
        <v>562</v>
      </c>
      <c r="C211" s="7" t="s">
        <v>29</v>
      </c>
      <c r="D211" s="7">
        <v>8</v>
      </c>
      <c r="E211" s="7">
        <v>1000</v>
      </c>
      <c r="F211" s="7" t="s">
        <v>31</v>
      </c>
      <c r="G211" s="7" t="s">
        <v>32</v>
      </c>
      <c r="H211" s="7"/>
      <c r="I211" s="7"/>
      <c r="K211" s="6">
        <v>0</v>
      </c>
      <c r="L211" s="6">
        <v>0</v>
      </c>
      <c r="M211" s="6">
        <v>0</v>
      </c>
      <c r="N211" s="6">
        <v>1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89"/>
      <c r="Y211" s="6">
        <v>29</v>
      </c>
      <c r="Z211" s="118">
        <v>65535</v>
      </c>
      <c r="AA211" s="6">
        <v>32768</v>
      </c>
      <c r="AB211" s="118">
        <v>65535</v>
      </c>
      <c r="AE211" s="96"/>
      <c r="AF211" s="270">
        <f>IF(V211=1,MAX($AF$6:AF210)+1,IF(AF210="#",0,IF(AND(D210=D211,K210=K211,L210=L211,M210=M211,N210=N211,O210=O211,P210=P211,Q210=Q211,R210=R211,S210=S211,T210=T211,U210=U211,V210=V211,W210=W211,HEX2DEC(SUBSTITUTE(AH210,"0x",""))&lt;HEX2DEC(SUBSTITUTE(AH211,"0x",""))),"",MAX($AF$6:AF210)+1)))</f>
        <v>135</v>
      </c>
      <c r="AG211" s="225" t="str">
        <f>IF(MAX(INDEX($AF:$AF,ROW($AG$6)):INDEX($AF:$AF,ROW(AG211)))+1=AF212,MAX(INDEX($AF:$AF,ROW($AG$6)):INDEX($AF:$AF,ROW(AG211))),"")</f>
        <v/>
      </c>
      <c r="AH211" s="6" t="str">
        <f t="shared" si="22"/>
        <v>0x40000411</v>
      </c>
      <c r="AI211" s="6">
        <f t="shared" si="23"/>
        <v>1073742865</v>
      </c>
      <c r="AJ211" s="6" t="str">
        <f t="shared" si="24"/>
        <v>0x40000411</v>
      </c>
      <c r="AK211" s="6" t="str">
        <f t="shared" si="21"/>
        <v>0x40000421</v>
      </c>
      <c r="AL211" s="6">
        <f t="shared" si="25"/>
        <v>8</v>
      </c>
      <c r="AN211" s="6" t="str">
        <f t="shared" si="26"/>
        <v>not ok</v>
      </c>
      <c r="AO211" s="6" t="s">
        <v>5</v>
      </c>
    </row>
    <row r="212" spans="1:41">
      <c r="A212" s="7" t="s">
        <v>568</v>
      </c>
      <c r="B212" s="7" t="s">
        <v>567</v>
      </c>
      <c r="C212" s="7" t="s">
        <v>29</v>
      </c>
      <c r="D212" s="7">
        <v>8</v>
      </c>
      <c r="E212" s="7">
        <v>1000</v>
      </c>
      <c r="F212" s="7" t="s">
        <v>31</v>
      </c>
      <c r="G212" s="7" t="s">
        <v>32</v>
      </c>
      <c r="H212" s="7"/>
      <c r="I212" s="7"/>
      <c r="K212" s="6">
        <v>0</v>
      </c>
      <c r="L212" s="6">
        <v>0</v>
      </c>
      <c r="M212" s="6">
        <v>0</v>
      </c>
      <c r="N212" s="6">
        <v>1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89"/>
      <c r="Y212" s="6">
        <v>29</v>
      </c>
      <c r="Z212" s="118">
        <v>65535</v>
      </c>
      <c r="AA212" s="6">
        <v>32768</v>
      </c>
      <c r="AB212" s="118">
        <v>65535</v>
      </c>
      <c r="AE212" s="96"/>
      <c r="AF212" s="270" t="str">
        <f>IF(V212=1,MAX($AF$6:AF211)+1,IF(AF211="#",0,IF(AND(D211=D212,K211=K212,L211=L212,M211=M212,N211=N212,O211=O212,P211=P212,Q211=Q212,R211=R212,S211=S212,T211=T212,U211=U212,V211=V212,W211=W212,HEX2DEC(SUBSTITUTE(AH211,"0x",""))&lt;HEX2DEC(SUBSTITUTE(AH212,"0x",""))),"",MAX($AF$6:AF211)+1)))</f>
        <v/>
      </c>
      <c r="AG212" s="225" t="str">
        <f>IF(MAX(INDEX($AF:$AF,ROW($AG$6)):INDEX($AF:$AF,ROW(AG212)))+1=AF213,MAX(INDEX($AF:$AF,ROW($AG$6)):INDEX($AF:$AF,ROW(AG212))),"")</f>
        <v/>
      </c>
      <c r="AH212" s="6" t="str">
        <f t="shared" si="22"/>
        <v>0x40000412</v>
      </c>
      <c r="AI212" s="6">
        <f t="shared" si="23"/>
        <v>1073742866</v>
      </c>
      <c r="AJ212" s="6" t="str">
        <f t="shared" si="24"/>
        <v/>
      </c>
      <c r="AK212" s="6" t="str">
        <f t="shared" si="21"/>
        <v/>
      </c>
      <c r="AL212" s="6" t="str">
        <f t="shared" si="25"/>
        <v/>
      </c>
      <c r="AN212" s="6" t="str">
        <f t="shared" si="26"/>
        <v>ok</v>
      </c>
      <c r="AO212" s="6" t="s">
        <v>5</v>
      </c>
    </row>
    <row r="213" spans="1:41">
      <c r="A213" s="7" t="s">
        <v>570</v>
      </c>
      <c r="B213" s="7" t="s">
        <v>569</v>
      </c>
      <c r="C213" s="7" t="s">
        <v>29</v>
      </c>
      <c r="D213" s="7">
        <v>8</v>
      </c>
      <c r="E213" s="7">
        <v>1000</v>
      </c>
      <c r="F213" s="7" t="s">
        <v>31</v>
      </c>
      <c r="G213" s="7" t="s">
        <v>32</v>
      </c>
      <c r="H213" s="7"/>
      <c r="I213" s="7"/>
      <c r="K213" s="6">
        <v>0</v>
      </c>
      <c r="L213" s="6">
        <v>0</v>
      </c>
      <c r="M213" s="6">
        <v>0</v>
      </c>
      <c r="N213" s="6">
        <v>1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89"/>
      <c r="Y213" s="6">
        <v>29</v>
      </c>
      <c r="Z213" s="118">
        <v>65535</v>
      </c>
      <c r="AA213" s="6">
        <v>32768</v>
      </c>
      <c r="AB213" s="118">
        <v>65535</v>
      </c>
      <c r="AE213" s="96"/>
      <c r="AF213" s="270" t="str">
        <f>IF(V213=1,MAX($AF$6:AF212)+1,IF(AF212="#",0,IF(AND(D212=D213,K212=K213,L212=L213,M212=M213,N212=N213,O212=O213,P212=P213,Q212=Q213,R212=R213,S212=S213,T212=T213,U212=U213,V212=V213,W212=W213,HEX2DEC(SUBSTITUTE(AH212,"0x",""))&lt;HEX2DEC(SUBSTITUTE(AH213,"0x",""))),"",MAX($AF$6:AF212)+1)))</f>
        <v/>
      </c>
      <c r="AG213" s="225" t="str">
        <f>IF(MAX(INDEX($AF:$AF,ROW($AG$6)):INDEX($AF:$AF,ROW(AG213)))+1=AF214,MAX(INDEX($AF:$AF,ROW($AG$6)):INDEX($AF:$AF,ROW(AG213))),"")</f>
        <v/>
      </c>
      <c r="AH213" s="6" t="str">
        <f t="shared" si="22"/>
        <v>0x40000417</v>
      </c>
      <c r="AI213" s="6">
        <f t="shared" si="23"/>
        <v>1073742871</v>
      </c>
      <c r="AJ213" s="6" t="str">
        <f t="shared" si="24"/>
        <v/>
      </c>
      <c r="AK213" s="6" t="str">
        <f t="shared" si="21"/>
        <v/>
      </c>
      <c r="AL213" s="6" t="str">
        <f t="shared" si="25"/>
        <v/>
      </c>
      <c r="AN213" s="6" t="str">
        <f t="shared" si="26"/>
        <v>ok</v>
      </c>
    </row>
    <row r="214" spans="1:41">
      <c r="A214" s="7" t="s">
        <v>572</v>
      </c>
      <c r="B214" s="7" t="s">
        <v>571</v>
      </c>
      <c r="C214" s="7" t="s">
        <v>29</v>
      </c>
      <c r="D214" s="7">
        <v>8</v>
      </c>
      <c r="E214" s="7">
        <v>1000</v>
      </c>
      <c r="F214" s="7" t="s">
        <v>31</v>
      </c>
      <c r="G214" s="7" t="s">
        <v>32</v>
      </c>
      <c r="H214" s="7"/>
      <c r="I214" s="7"/>
      <c r="K214" s="6">
        <v>0</v>
      </c>
      <c r="L214" s="6">
        <v>0</v>
      </c>
      <c r="M214" s="6">
        <v>0</v>
      </c>
      <c r="N214" s="6">
        <v>1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89"/>
      <c r="Y214" s="6">
        <v>29</v>
      </c>
      <c r="Z214" s="118">
        <v>65535</v>
      </c>
      <c r="AA214" s="6">
        <v>32768</v>
      </c>
      <c r="AB214" s="118">
        <v>65535</v>
      </c>
      <c r="AE214" s="96"/>
      <c r="AF214" s="270" t="str">
        <f>IF(V214=1,MAX($AF$6:AF213)+1,IF(AF213="#",0,IF(AND(D213=D214,K213=K214,L213=L214,M213=M214,N213=N214,O213=O214,P213=P214,Q213=Q214,R213=R214,S213=S214,T213=T214,U213=U214,V213=V214,W213=W214,HEX2DEC(SUBSTITUTE(AH213,"0x",""))&lt;HEX2DEC(SUBSTITUTE(AH214,"0x",""))),"",MAX($AF$6:AF213)+1)))</f>
        <v/>
      </c>
      <c r="AG214" s="225" t="str">
        <f>IF(MAX(INDEX($AF:$AF,ROW($AG$6)):INDEX($AF:$AF,ROW(AG214)))+1=AF215,MAX(INDEX($AF:$AF,ROW($AG$6)):INDEX($AF:$AF,ROW(AG214))),"")</f>
        <v/>
      </c>
      <c r="AH214" s="6" t="str">
        <f t="shared" si="22"/>
        <v>0x40000418</v>
      </c>
      <c r="AI214" s="6">
        <f t="shared" si="23"/>
        <v>1073742872</v>
      </c>
      <c r="AJ214" s="6" t="str">
        <f t="shared" si="24"/>
        <v/>
      </c>
      <c r="AK214" s="6" t="str">
        <f t="shared" si="21"/>
        <v/>
      </c>
      <c r="AL214" s="6" t="str">
        <f t="shared" si="25"/>
        <v/>
      </c>
      <c r="AN214" s="6" t="str">
        <f t="shared" si="26"/>
        <v>ok</v>
      </c>
      <c r="AO214" s="6" t="s">
        <v>5</v>
      </c>
    </row>
    <row r="215" spans="1:41">
      <c r="A215" s="7" t="s">
        <v>574</v>
      </c>
      <c r="B215" s="7" t="s">
        <v>573</v>
      </c>
      <c r="C215" s="7" t="s">
        <v>29</v>
      </c>
      <c r="D215" s="7">
        <v>8</v>
      </c>
      <c r="E215" s="7">
        <v>1000</v>
      </c>
      <c r="F215" s="7" t="s">
        <v>31</v>
      </c>
      <c r="G215" s="7" t="s">
        <v>32</v>
      </c>
      <c r="H215" s="7"/>
      <c r="I215" s="7"/>
      <c r="K215" s="6">
        <v>0</v>
      </c>
      <c r="L215" s="6">
        <v>0</v>
      </c>
      <c r="M215" s="6">
        <v>0</v>
      </c>
      <c r="N215" s="6">
        <v>1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89"/>
      <c r="Y215" s="6">
        <v>29</v>
      </c>
      <c r="Z215" s="118">
        <v>65535</v>
      </c>
      <c r="AA215" s="6">
        <v>32768</v>
      </c>
      <c r="AB215" s="118">
        <v>65535</v>
      </c>
      <c r="AE215" s="96"/>
      <c r="AF215" s="270" t="str">
        <f>IF(V215=1,MAX($AF$6:AF214)+1,IF(AF214="#",0,IF(AND(D214=D215,K214=K215,L214=L215,M214=M215,N214=N215,O214=O215,P214=P215,Q214=Q215,R214=R215,S214=S215,T214=T215,U214=U215,V214=V215,W214=W215,HEX2DEC(SUBSTITUTE(AH214,"0x",""))&lt;HEX2DEC(SUBSTITUTE(AH215,"0x",""))),"",MAX($AF$6:AF214)+1)))</f>
        <v/>
      </c>
      <c r="AG215" s="225">
        <f>IF(MAX(INDEX($AF:$AF,ROW($AG$6)):INDEX($AF:$AF,ROW(AG215)))+1=AF216,MAX(INDEX($AF:$AF,ROW($AG$6)):INDEX($AF:$AF,ROW(AG215))),"")</f>
        <v>135</v>
      </c>
      <c r="AH215" s="6" t="str">
        <f t="shared" si="22"/>
        <v>0x40000421</v>
      </c>
      <c r="AI215" s="6">
        <f t="shared" si="23"/>
        <v>1073742881</v>
      </c>
      <c r="AJ215" s="6" t="str">
        <f t="shared" si="24"/>
        <v/>
      </c>
      <c r="AK215" s="6" t="str">
        <f t="shared" si="21"/>
        <v/>
      </c>
      <c r="AL215" s="6" t="str">
        <f t="shared" si="25"/>
        <v/>
      </c>
      <c r="AN215" s="6" t="str">
        <f t="shared" si="26"/>
        <v>ok</v>
      </c>
      <c r="AO215" s="6" t="s">
        <v>5</v>
      </c>
    </row>
    <row r="216" spans="1:41">
      <c r="A216" s="7" t="s">
        <v>579</v>
      </c>
      <c r="B216" s="7" t="s">
        <v>578</v>
      </c>
      <c r="C216" s="7" t="s">
        <v>29</v>
      </c>
      <c r="D216" s="7">
        <v>64</v>
      </c>
      <c r="E216" s="7">
        <v>2000</v>
      </c>
      <c r="F216" s="7" t="s">
        <v>31</v>
      </c>
      <c r="G216" s="7" t="s">
        <v>32</v>
      </c>
      <c r="H216" s="7"/>
      <c r="I216" s="7"/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89"/>
      <c r="Y216" s="6">
        <v>29</v>
      </c>
      <c r="Z216" s="118">
        <v>65535</v>
      </c>
      <c r="AA216" s="6">
        <v>32768</v>
      </c>
      <c r="AB216" s="118">
        <v>65535</v>
      </c>
      <c r="AE216" s="96"/>
      <c r="AF216" s="270">
        <f>IF(V216=1,MAX($AF$6:AF215)+1,IF(AF215="#",0,IF(AND(D215=D216,K215=K216,L215=L216,M215=M216,N215=N216,O215=O216,P215=P216,Q215=Q216,R215=R216,S215=S216,T215=T216,U215=U216,V215=V216,W215=W216,HEX2DEC(SUBSTITUTE(AH215,"0x",""))&lt;HEX2DEC(SUBSTITUTE(AH216,"0x",""))),"",MAX($AF$6:AF215)+1)))</f>
        <v>136</v>
      </c>
      <c r="AG216" s="225">
        <f>IF(MAX(INDEX($AF:$AF,ROW($AG$6)):INDEX($AF:$AF,ROW(AG216)))+1=AF217,MAX(INDEX($AF:$AF,ROW($AG$6)):INDEX($AF:$AF,ROW(AG216))),"")</f>
        <v>136</v>
      </c>
      <c r="AH216" s="6" t="str">
        <f t="shared" si="22"/>
        <v>0x40000423</v>
      </c>
      <c r="AI216" s="6">
        <f t="shared" si="23"/>
        <v>1073742883</v>
      </c>
      <c r="AJ216" s="6" t="str">
        <f t="shared" si="24"/>
        <v>0x40000423</v>
      </c>
      <c r="AK216" s="6" t="str">
        <f t="shared" si="21"/>
        <v>0x40000423</v>
      </c>
      <c r="AL216" s="6">
        <f t="shared" si="25"/>
        <v>64</v>
      </c>
      <c r="AN216" s="6" t="str">
        <f t="shared" si="26"/>
        <v>ok</v>
      </c>
      <c r="AO216" s="6" t="s">
        <v>5</v>
      </c>
    </row>
    <row r="217" spans="1:41">
      <c r="A217" s="7" t="s">
        <v>582</v>
      </c>
      <c r="B217" s="7" t="s">
        <v>583</v>
      </c>
      <c r="C217" s="7" t="s">
        <v>29</v>
      </c>
      <c r="D217" s="7">
        <v>8</v>
      </c>
      <c r="E217" s="7">
        <v>1000</v>
      </c>
      <c r="F217" s="7" t="s">
        <v>31</v>
      </c>
      <c r="G217" s="7" t="s">
        <v>32</v>
      </c>
      <c r="H217" s="7"/>
      <c r="I217" s="7"/>
      <c r="K217" s="6">
        <v>0</v>
      </c>
      <c r="L217" s="6">
        <v>0</v>
      </c>
      <c r="M217" s="6">
        <v>0</v>
      </c>
      <c r="N217" s="6">
        <v>1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89"/>
      <c r="Y217" s="6">
        <v>29</v>
      </c>
      <c r="Z217" s="118">
        <v>65535</v>
      </c>
      <c r="AA217" s="6">
        <v>32768</v>
      </c>
      <c r="AB217" s="118">
        <v>65535</v>
      </c>
      <c r="AE217" s="96"/>
      <c r="AF217" s="270">
        <f>IF(V217=1,MAX($AF$6:AF216)+1,IF(AF216="#",0,IF(AND(D216=D217,K216=K217,L216=L217,M216=M217,N216=N217,O216=O217,P216=P217,Q216=Q217,R216=R217,S216=S217,T216=T217,U216=U217,V216=V217,W216=W217,HEX2DEC(SUBSTITUTE(AH216,"0x",""))&lt;HEX2DEC(SUBSTITUTE(AH217,"0x",""))),"",MAX($AF$6:AF216)+1)))</f>
        <v>137</v>
      </c>
      <c r="AG217" s="225" t="str">
        <f>IF(MAX(INDEX($AF:$AF,ROW($AG$6)):INDEX($AF:$AF,ROW(AG217)))+1=AF218,MAX(INDEX($AF:$AF,ROW($AG$6)):INDEX($AF:$AF,ROW(AG217))),"")</f>
        <v/>
      </c>
      <c r="AH217" s="6" t="str">
        <f t="shared" si="22"/>
        <v>0x40000621</v>
      </c>
      <c r="AI217" s="6">
        <f t="shared" si="23"/>
        <v>1073743393</v>
      </c>
      <c r="AJ217" s="6" t="str">
        <f t="shared" si="24"/>
        <v>0x40000621</v>
      </c>
      <c r="AK217" s="6" t="str">
        <f t="shared" si="21"/>
        <v>0x40000623</v>
      </c>
      <c r="AL217" s="6">
        <f t="shared" si="25"/>
        <v>8</v>
      </c>
      <c r="AN217" s="6" t="str">
        <f t="shared" si="26"/>
        <v>ok</v>
      </c>
      <c r="AO217" s="6" t="s">
        <v>5</v>
      </c>
    </row>
    <row r="218" spans="1:41">
      <c r="A218" s="7" t="s">
        <v>586</v>
      </c>
      <c r="B218" s="7" t="s">
        <v>587</v>
      </c>
      <c r="C218" s="7" t="s">
        <v>29</v>
      </c>
      <c r="D218" s="7">
        <v>8</v>
      </c>
      <c r="E218" s="7">
        <v>1000</v>
      </c>
      <c r="F218" s="7" t="s">
        <v>31</v>
      </c>
      <c r="G218" s="7" t="s">
        <v>32</v>
      </c>
      <c r="H218" s="7"/>
      <c r="I218" s="7"/>
      <c r="K218" s="6">
        <v>0</v>
      </c>
      <c r="L218" s="6">
        <v>0</v>
      </c>
      <c r="M218" s="6">
        <v>0</v>
      </c>
      <c r="N218" s="6">
        <v>1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89"/>
      <c r="Y218" s="6">
        <v>29</v>
      </c>
      <c r="Z218" s="118">
        <v>65535</v>
      </c>
      <c r="AA218" s="6">
        <v>32768</v>
      </c>
      <c r="AB218" s="118">
        <v>65535</v>
      </c>
      <c r="AE218" s="96"/>
      <c r="AF218" s="270" t="str">
        <f>IF(V218=1,MAX($AF$6:AF217)+1,IF(AF217="#",0,IF(AND(D217=D218,K217=K218,L217=L218,M217=M218,N217=N218,O217=O218,P217=P218,Q217=Q218,R217=R218,S217=S218,T217=T218,U217=U218,V217=V218,W217=W218,HEX2DEC(SUBSTITUTE(AH217,"0x",""))&lt;HEX2DEC(SUBSTITUTE(AH218,"0x",""))),"",MAX($AF$6:AF217)+1)))</f>
        <v/>
      </c>
      <c r="AG218" s="225">
        <f>IF(MAX(INDEX($AF:$AF,ROW($AG$6)):INDEX($AF:$AF,ROW(AG218)))+1=AF219,MAX(INDEX($AF:$AF,ROW($AG$6)):INDEX($AF:$AF,ROW(AG218))),"")</f>
        <v>137</v>
      </c>
      <c r="AH218" s="6" t="str">
        <f t="shared" si="22"/>
        <v>0x40000623</v>
      </c>
      <c r="AI218" s="6">
        <f t="shared" si="23"/>
        <v>1073743395</v>
      </c>
      <c r="AJ218" s="6" t="str">
        <f t="shared" si="24"/>
        <v/>
      </c>
      <c r="AK218" s="6" t="str">
        <f t="shared" si="21"/>
        <v/>
      </c>
      <c r="AL218" s="6" t="str">
        <f t="shared" si="25"/>
        <v/>
      </c>
      <c r="AN218" s="6" t="str">
        <f t="shared" si="26"/>
        <v>ok</v>
      </c>
      <c r="AO218" s="6" t="s">
        <v>5</v>
      </c>
    </row>
    <row r="219" spans="1:41">
      <c r="A219" s="7" t="s">
        <v>577</v>
      </c>
      <c r="B219" s="7" t="s">
        <v>576</v>
      </c>
      <c r="C219" s="7" t="s">
        <v>29</v>
      </c>
      <c r="D219" s="7">
        <v>8</v>
      </c>
      <c r="E219" s="7">
        <v>1000</v>
      </c>
      <c r="F219" s="7" t="s">
        <v>31</v>
      </c>
      <c r="G219" s="7" t="s">
        <v>32</v>
      </c>
      <c r="H219" s="7"/>
      <c r="I219" s="7"/>
      <c r="K219" s="6">
        <v>0</v>
      </c>
      <c r="L219" s="6">
        <v>0</v>
      </c>
      <c r="M219" s="6">
        <v>0</v>
      </c>
      <c r="N219" s="6">
        <v>1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89"/>
      <c r="Y219" s="6">
        <v>29</v>
      </c>
      <c r="Z219" s="118">
        <v>65535</v>
      </c>
      <c r="AA219" s="6">
        <v>32768</v>
      </c>
      <c r="AB219" s="118">
        <v>65535</v>
      </c>
      <c r="AE219" s="96"/>
      <c r="AF219" s="270">
        <f>IF(V219=1,MAX($AF$6:AF218)+1,IF(AF218="#",0,IF(AND(D218=D219,K218=K219,L218=L219,M218=M219,N218=N219,O218=O219,P218=P219,Q218=Q219,R218=R219,S218=S219,T218=T219,U218=U219,V218=V219,W218=W219,HEX2DEC(SUBSTITUTE(AH218,"0x",""))&lt;HEX2DEC(SUBSTITUTE(AH219,"0x",""))),"",MAX($AF$6:AF218)+1)))</f>
        <v>138</v>
      </c>
      <c r="AG219" s="225" t="str">
        <f>IF(MAX(INDEX($AF:$AF,ROW($AG$6)):INDEX($AF:$AF,ROW(AG219)))+1=AF220,MAX(INDEX($AF:$AF,ROW($AG$6)):INDEX($AF:$AF,ROW(AG219))),"")</f>
        <v/>
      </c>
      <c r="AH219" s="6" t="str">
        <f t="shared" si="22"/>
        <v>0x40000422</v>
      </c>
      <c r="AI219" s="6">
        <f t="shared" si="23"/>
        <v>1073742882</v>
      </c>
      <c r="AJ219" s="6" t="str">
        <f t="shared" si="24"/>
        <v>0x40000422</v>
      </c>
      <c r="AK219" s="6" t="str">
        <f t="shared" si="21"/>
        <v>0x40000626</v>
      </c>
      <c r="AL219" s="6">
        <f t="shared" si="25"/>
        <v>8</v>
      </c>
      <c r="AN219" s="6" t="str">
        <f t="shared" si="26"/>
        <v>not ok</v>
      </c>
    </row>
    <row r="220" spans="1:41">
      <c r="A220" s="7" t="s">
        <v>581</v>
      </c>
      <c r="B220" s="7" t="s">
        <v>580</v>
      </c>
      <c r="C220" s="7" t="s">
        <v>29</v>
      </c>
      <c r="D220" s="7">
        <v>8</v>
      </c>
      <c r="E220" s="7">
        <v>1000</v>
      </c>
      <c r="F220" s="7" t="s">
        <v>31</v>
      </c>
      <c r="G220" s="7" t="s">
        <v>32</v>
      </c>
      <c r="H220" s="7"/>
      <c r="I220" s="7"/>
      <c r="K220" s="6">
        <v>0</v>
      </c>
      <c r="L220" s="6">
        <v>0</v>
      </c>
      <c r="M220" s="6">
        <v>0</v>
      </c>
      <c r="N220" s="6">
        <v>1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89"/>
      <c r="Y220" s="6">
        <v>29</v>
      </c>
      <c r="Z220" s="118">
        <v>65535</v>
      </c>
      <c r="AA220" s="6">
        <v>32768</v>
      </c>
      <c r="AB220" s="118">
        <v>65535</v>
      </c>
      <c r="AE220" s="96"/>
      <c r="AF220" s="270" t="str">
        <f>IF(V220=1,MAX($AF$6:AF219)+1,IF(AF219="#",0,IF(AND(D219=D220,K219=K220,L219=L220,M219=M220,N219=N220,O219=O220,P219=P220,Q219=Q220,R219=R220,S219=S220,T219=T220,U219=U220,V219=V220,W219=W220,HEX2DEC(SUBSTITUTE(AH219,"0x",""))&lt;HEX2DEC(SUBSTITUTE(AH220,"0x",""))),"",MAX($AF$6:AF219)+1)))</f>
        <v/>
      </c>
      <c r="AG220" s="225" t="str">
        <f>IF(MAX(INDEX($AF:$AF,ROW($AG$6)):INDEX($AF:$AF,ROW(AG220)))+1=AF221,MAX(INDEX($AF:$AF,ROW($AG$6)):INDEX($AF:$AF,ROW(AG220))),"")</f>
        <v/>
      </c>
      <c r="AH220" s="6" t="str">
        <f t="shared" si="22"/>
        <v>0x40000426</v>
      </c>
      <c r="AI220" s="6">
        <f t="shared" si="23"/>
        <v>1073742886</v>
      </c>
      <c r="AJ220" s="6" t="str">
        <f t="shared" si="24"/>
        <v/>
      </c>
      <c r="AK220" s="6" t="str">
        <f t="shared" si="21"/>
        <v/>
      </c>
      <c r="AL220" s="6" t="str">
        <f t="shared" si="25"/>
        <v/>
      </c>
      <c r="AN220" s="6" t="str">
        <f t="shared" si="26"/>
        <v>ok</v>
      </c>
    </row>
    <row r="221" spans="1:41">
      <c r="A221" s="7" t="s">
        <v>596</v>
      </c>
      <c r="B221" s="7" t="s">
        <v>597</v>
      </c>
      <c r="C221" s="7" t="s">
        <v>29</v>
      </c>
      <c r="D221" s="7">
        <v>8</v>
      </c>
      <c r="E221" s="7">
        <v>1000</v>
      </c>
      <c r="F221" s="7" t="s">
        <v>31</v>
      </c>
      <c r="G221" s="7" t="s">
        <v>32</v>
      </c>
      <c r="H221" s="7"/>
      <c r="I221" s="7"/>
      <c r="K221" s="6">
        <v>0</v>
      </c>
      <c r="L221" s="6">
        <v>0</v>
      </c>
      <c r="M221" s="6">
        <v>0</v>
      </c>
      <c r="N221" s="6">
        <v>1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89"/>
      <c r="Y221" s="6">
        <v>29</v>
      </c>
      <c r="Z221" s="118">
        <v>65535</v>
      </c>
      <c r="AA221" s="6">
        <v>32768</v>
      </c>
      <c r="AB221" s="118">
        <v>65535</v>
      </c>
      <c r="AE221" s="96"/>
      <c r="AF221" s="270" t="str">
        <f>IF(V221=1,MAX($AF$6:AF220)+1,IF(AF220="#",0,IF(AND(D220=D221,K220=K221,L220=L221,M220=M221,N220=N221,O220=O221,P220=P221,Q220=Q221,R220=R221,S220=S221,T220=T221,U220=U221,V220=V221,W220=W221,HEX2DEC(SUBSTITUTE(AH220,"0x",""))&lt;HEX2DEC(SUBSTITUTE(AH221,"0x",""))),"",MAX($AF$6:AF220)+1)))</f>
        <v/>
      </c>
      <c r="AG221" s="225" t="str">
        <f>IF(MAX(INDEX($AF:$AF,ROW($AG$6)):INDEX($AF:$AF,ROW(AG221)))+1=AF222,MAX(INDEX($AF:$AF,ROW($AG$6)):INDEX($AF:$AF,ROW(AG221))),"")</f>
        <v/>
      </c>
      <c r="AH221" s="6" t="str">
        <f t="shared" si="22"/>
        <v>0x40000622</v>
      </c>
      <c r="AI221" s="6">
        <f t="shared" si="23"/>
        <v>1073743394</v>
      </c>
      <c r="AJ221" s="6" t="str">
        <f t="shared" si="24"/>
        <v/>
      </c>
      <c r="AK221" s="6" t="str">
        <f t="shared" si="21"/>
        <v/>
      </c>
      <c r="AL221" s="6" t="str">
        <f t="shared" si="25"/>
        <v/>
      </c>
      <c r="AN221" s="6" t="str">
        <f t="shared" si="26"/>
        <v>ok</v>
      </c>
    </row>
    <row r="222" spans="1:41">
      <c r="A222" s="7" t="s">
        <v>600</v>
      </c>
      <c r="B222" s="7" t="s">
        <v>601</v>
      </c>
      <c r="C222" s="7" t="s">
        <v>29</v>
      </c>
      <c r="D222" s="7">
        <v>8</v>
      </c>
      <c r="E222" s="7">
        <v>1000</v>
      </c>
      <c r="F222" s="7" t="s">
        <v>31</v>
      </c>
      <c r="G222" s="7" t="s">
        <v>32</v>
      </c>
      <c r="H222" s="7"/>
      <c r="I222" s="7"/>
      <c r="K222" s="6">
        <v>0</v>
      </c>
      <c r="L222" s="6">
        <v>0</v>
      </c>
      <c r="M222" s="6">
        <v>0</v>
      </c>
      <c r="N222" s="6">
        <v>1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89"/>
      <c r="Y222" s="6">
        <v>29</v>
      </c>
      <c r="Z222" s="118">
        <v>65535</v>
      </c>
      <c r="AA222" s="6">
        <v>32768</v>
      </c>
      <c r="AB222" s="118">
        <v>65535</v>
      </c>
      <c r="AE222" s="96"/>
      <c r="AF222" s="270" t="str">
        <f>IF(V222=1,MAX($AF$6:AF221)+1,IF(AF221="#",0,IF(AND(D221=D222,K221=K222,L221=L222,M221=M222,N221=N222,O221=O222,P221=P222,Q221=Q222,R221=R222,S221=S222,T221=T222,U221=U222,V221=V222,W221=W222,HEX2DEC(SUBSTITUTE(AH221,"0x",""))&lt;HEX2DEC(SUBSTITUTE(AH222,"0x",""))),"",MAX($AF$6:AF221)+1)))</f>
        <v/>
      </c>
      <c r="AG222" s="225">
        <f>IF(MAX(INDEX($AF:$AF,ROW($AG$6)):INDEX($AF:$AF,ROW(AG222)))+1=AF223,MAX(INDEX($AF:$AF,ROW($AG$6)):INDEX($AF:$AF,ROW(AG222))),"")</f>
        <v>138</v>
      </c>
      <c r="AH222" s="6" t="str">
        <f t="shared" si="22"/>
        <v>0x40000626</v>
      </c>
      <c r="AI222" s="6">
        <f t="shared" si="23"/>
        <v>1073743398</v>
      </c>
      <c r="AJ222" s="6" t="str">
        <f t="shared" si="24"/>
        <v/>
      </c>
      <c r="AK222" s="6" t="str">
        <f t="shared" si="21"/>
        <v/>
      </c>
      <c r="AL222" s="6" t="str">
        <f t="shared" si="25"/>
        <v/>
      </c>
      <c r="AN222" s="6" t="str">
        <f t="shared" si="26"/>
        <v>ok</v>
      </c>
      <c r="AO222" s="6" t="s">
        <v>5</v>
      </c>
    </row>
    <row r="223" spans="1:41">
      <c r="A223" s="7" t="s">
        <v>585</v>
      </c>
      <c r="B223" s="7" t="s">
        <v>584</v>
      </c>
      <c r="C223" s="7" t="s">
        <v>29</v>
      </c>
      <c r="D223" s="7">
        <v>8</v>
      </c>
      <c r="E223" s="7">
        <v>1000</v>
      </c>
      <c r="F223" s="7" t="s">
        <v>31</v>
      </c>
      <c r="G223" s="7" t="s">
        <v>32</v>
      </c>
      <c r="H223" s="7"/>
      <c r="I223" s="7"/>
      <c r="K223" s="6">
        <v>0</v>
      </c>
      <c r="L223" s="6">
        <v>0</v>
      </c>
      <c r="M223" s="6">
        <v>0</v>
      </c>
      <c r="N223" s="6">
        <v>1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89"/>
      <c r="Y223" s="6">
        <v>29</v>
      </c>
      <c r="Z223" s="118">
        <v>65535</v>
      </c>
      <c r="AA223" s="6">
        <v>32768</v>
      </c>
      <c r="AB223" s="118">
        <v>65535</v>
      </c>
      <c r="AE223" s="96"/>
      <c r="AF223" s="270">
        <f>IF(V223=1,MAX($AF$6:AF222)+1,IF(AF222="#",0,IF(AND(D222=D223,K222=K223,L222=L223,M222=M223,N222=N223,O222=O223,P222=P223,Q222=Q223,R222=R223,S222=S223,T222=T223,U222=U223,V222=V223,W222=W223,HEX2DEC(SUBSTITUTE(AH222,"0x",""))&lt;HEX2DEC(SUBSTITUTE(AH223,"0x",""))),"",MAX($AF$6:AF222)+1)))</f>
        <v>139</v>
      </c>
      <c r="AG223" s="225">
        <f>IF(MAX(INDEX($AF:$AF,ROW($AG$6)):INDEX($AF:$AF,ROW(AG223)))+1=AF224,MAX(INDEX($AF:$AF,ROW($AG$6)):INDEX($AF:$AF,ROW(AG223))),"")</f>
        <v>139</v>
      </c>
      <c r="AH223" s="6" t="str">
        <f t="shared" si="22"/>
        <v>0x40000428</v>
      </c>
      <c r="AI223" s="6">
        <f t="shared" si="23"/>
        <v>1073742888</v>
      </c>
      <c r="AJ223" s="6" t="str">
        <f t="shared" si="24"/>
        <v>0x40000428</v>
      </c>
      <c r="AK223" s="6" t="str">
        <f t="shared" si="21"/>
        <v>0x40000428</v>
      </c>
      <c r="AL223" s="6">
        <f t="shared" si="25"/>
        <v>8</v>
      </c>
      <c r="AN223" s="6" t="str">
        <f t="shared" si="26"/>
        <v>not ok</v>
      </c>
    </row>
    <row r="224" spans="1:41">
      <c r="A224" s="7" t="s">
        <v>590</v>
      </c>
      <c r="B224" s="7" t="s">
        <v>589</v>
      </c>
      <c r="C224" s="7" t="s">
        <v>29</v>
      </c>
      <c r="D224" s="7">
        <v>64</v>
      </c>
      <c r="E224" s="7">
        <v>1000</v>
      </c>
      <c r="F224" s="7" t="s">
        <v>31</v>
      </c>
      <c r="G224" s="7" t="s">
        <v>32</v>
      </c>
      <c r="H224" s="7"/>
      <c r="I224" s="7"/>
      <c r="K224" s="6">
        <v>0</v>
      </c>
      <c r="L224" s="6">
        <v>0</v>
      </c>
      <c r="M224" s="6">
        <v>0</v>
      </c>
      <c r="N224" s="6">
        <v>1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89"/>
      <c r="Y224" s="6">
        <v>29</v>
      </c>
      <c r="Z224" s="118">
        <v>65535</v>
      </c>
      <c r="AA224" s="6">
        <v>32768</v>
      </c>
      <c r="AB224" s="118">
        <v>65535</v>
      </c>
      <c r="AE224" s="96"/>
      <c r="AF224" s="270">
        <f>IF(V224=1,MAX($AF$6:AF223)+1,IF(AF223="#",0,IF(AND(D223=D224,K223=K224,L223=L224,M223=M224,N223=N224,O223=O224,P223=P224,Q223=Q224,R223=R224,S223=S224,T223=T224,U223=U224,V223=V224,W223=W224,HEX2DEC(SUBSTITUTE(AH223,"0x",""))&lt;HEX2DEC(SUBSTITUTE(AH224,"0x",""))),"",MAX($AF$6:AF223)+1)))</f>
        <v>140</v>
      </c>
      <c r="AG224" s="225">
        <f>IF(MAX(INDEX($AF:$AF,ROW($AG$6)):INDEX($AF:$AF,ROW(AG224)))+1=AF225,MAX(INDEX($AF:$AF,ROW($AG$6)):INDEX($AF:$AF,ROW(AG224))),"")</f>
        <v>140</v>
      </c>
      <c r="AH224" s="6" t="str">
        <f t="shared" si="22"/>
        <v>0x40000429</v>
      </c>
      <c r="AI224" s="6">
        <f t="shared" si="23"/>
        <v>1073742889</v>
      </c>
      <c r="AJ224" s="6" t="str">
        <f t="shared" si="24"/>
        <v>0x40000429</v>
      </c>
      <c r="AK224" s="6" t="str">
        <f t="shared" si="21"/>
        <v>0x40000429</v>
      </c>
      <c r="AL224" s="6">
        <f t="shared" si="25"/>
        <v>64</v>
      </c>
      <c r="AN224" s="6" t="str">
        <f t="shared" si="26"/>
        <v>ok</v>
      </c>
    </row>
    <row r="225" spans="1:41">
      <c r="A225" s="7" t="s">
        <v>595</v>
      </c>
      <c r="B225" s="7" t="s">
        <v>594</v>
      </c>
      <c r="C225" s="7" t="s">
        <v>29</v>
      </c>
      <c r="D225" s="7">
        <v>8</v>
      </c>
      <c r="E225" s="7">
        <v>1000</v>
      </c>
      <c r="F225" s="7" t="s">
        <v>31</v>
      </c>
      <c r="G225" s="7" t="s">
        <v>32</v>
      </c>
      <c r="H225" s="7"/>
      <c r="I225" s="7"/>
      <c r="K225" s="6">
        <v>0</v>
      </c>
      <c r="L225" s="6">
        <v>0</v>
      </c>
      <c r="M225" s="6">
        <v>0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89"/>
      <c r="Y225" s="6">
        <v>29</v>
      </c>
      <c r="Z225" s="118">
        <v>65535</v>
      </c>
      <c r="AA225" s="6">
        <v>32768</v>
      </c>
      <c r="AB225" s="118">
        <v>65535</v>
      </c>
      <c r="AE225" s="96"/>
      <c r="AF225" s="270">
        <f>IF(V225=1,MAX($AF$6:AF224)+1,IF(AF224="#",0,IF(AND(D224=D225,K224=K225,L224=L225,M224=M225,N224=N225,O224=O225,P224=P225,Q224=Q225,R224=R225,S224=S225,T224=T225,U224=U225,V224=V225,W224=W225,HEX2DEC(SUBSTITUTE(AH224,"0x",""))&lt;HEX2DEC(SUBSTITUTE(AH225,"0x",""))),"",MAX($AF$6:AF224)+1)))</f>
        <v>141</v>
      </c>
      <c r="AG225" s="225" t="str">
        <f>IF(MAX(INDEX($AF:$AF,ROW($AG$6)):INDEX($AF:$AF,ROW(AG225)))+1=AF226,MAX(INDEX($AF:$AF,ROW($AG$6)):INDEX($AF:$AF,ROW(AG225))),"")</f>
        <v/>
      </c>
      <c r="AH225" s="6" t="str">
        <f t="shared" si="22"/>
        <v>0x4000042a</v>
      </c>
      <c r="AI225" s="6">
        <f t="shared" si="23"/>
        <v>1073742890</v>
      </c>
      <c r="AJ225" s="6" t="str">
        <f t="shared" si="24"/>
        <v>0x4000042a</v>
      </c>
      <c r="AK225" s="6" t="str">
        <f t="shared" si="21"/>
        <v>0x4000042c</v>
      </c>
      <c r="AL225" s="6">
        <f t="shared" si="25"/>
        <v>8</v>
      </c>
      <c r="AN225" s="6" t="str">
        <f t="shared" si="26"/>
        <v>ok</v>
      </c>
    </row>
    <row r="226" spans="1:41">
      <c r="A226" s="7" t="s">
        <v>599</v>
      </c>
      <c r="B226" s="7" t="s">
        <v>598</v>
      </c>
      <c r="C226" s="7" t="s">
        <v>29</v>
      </c>
      <c r="D226" s="7">
        <v>8</v>
      </c>
      <c r="E226" s="7">
        <v>1000</v>
      </c>
      <c r="F226" s="7" t="s">
        <v>31</v>
      </c>
      <c r="G226" s="7" t="s">
        <v>32</v>
      </c>
      <c r="H226" s="7"/>
      <c r="I226" s="7"/>
      <c r="K226" s="6">
        <v>0</v>
      </c>
      <c r="L226" s="6">
        <v>0</v>
      </c>
      <c r="M226" s="6">
        <v>0</v>
      </c>
      <c r="N226" s="6">
        <v>1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89"/>
      <c r="Y226" s="6">
        <v>29</v>
      </c>
      <c r="Z226" s="118">
        <v>65535</v>
      </c>
      <c r="AA226" s="6">
        <v>32768</v>
      </c>
      <c r="AB226" s="118">
        <v>65535</v>
      </c>
      <c r="AE226" s="96"/>
      <c r="AF226" s="270" t="str">
        <f>IF(V226=1,MAX($AF$6:AF225)+1,IF(AF225="#",0,IF(AND(D225=D226,K225=K226,L225=L226,M225=M226,N225=N226,O225=O226,P225=P226,Q225=Q226,R225=R226,S225=S226,T225=T226,U225=U226,V225=V226,W225=W226,HEX2DEC(SUBSTITUTE(AH225,"0x",""))&lt;HEX2DEC(SUBSTITUTE(AH226,"0x",""))),"",MAX($AF$6:AF225)+1)))</f>
        <v/>
      </c>
      <c r="AG226" s="225" t="str">
        <f>IF(MAX(INDEX($AF:$AF,ROW($AG$6)):INDEX($AF:$AF,ROW(AG226)))+1=AF227,MAX(INDEX($AF:$AF,ROW($AG$6)):INDEX($AF:$AF,ROW(AG226))),"")</f>
        <v/>
      </c>
      <c r="AH226" s="6" t="str">
        <f t="shared" si="22"/>
        <v>0x4000042b</v>
      </c>
      <c r="AI226" s="6">
        <f t="shared" si="23"/>
        <v>1073742891</v>
      </c>
      <c r="AJ226" s="6" t="str">
        <f t="shared" si="24"/>
        <v/>
      </c>
      <c r="AK226" s="6" t="str">
        <f t="shared" si="21"/>
        <v/>
      </c>
      <c r="AL226" s="6" t="str">
        <f t="shared" si="25"/>
        <v/>
      </c>
      <c r="AN226" s="6" t="str">
        <f t="shared" si="26"/>
        <v>ok</v>
      </c>
      <c r="AO226" s="6" t="s">
        <v>5</v>
      </c>
    </row>
    <row r="227" spans="1:41">
      <c r="A227" s="7" t="s">
        <v>604</v>
      </c>
      <c r="B227" s="7" t="s">
        <v>603</v>
      </c>
      <c r="C227" s="7" t="s">
        <v>29</v>
      </c>
      <c r="D227" s="7">
        <v>8</v>
      </c>
      <c r="E227" s="7">
        <v>1000</v>
      </c>
      <c r="F227" s="7" t="s">
        <v>31</v>
      </c>
      <c r="G227" s="7" t="s">
        <v>32</v>
      </c>
      <c r="H227" s="7"/>
      <c r="I227" s="7"/>
      <c r="K227" s="6">
        <v>0</v>
      </c>
      <c r="L227" s="6">
        <v>0</v>
      </c>
      <c r="M227" s="6">
        <v>0</v>
      </c>
      <c r="N227" s="6">
        <v>1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89"/>
      <c r="Y227" s="6">
        <v>29</v>
      </c>
      <c r="Z227" s="118">
        <v>65535</v>
      </c>
      <c r="AA227" s="6">
        <v>32768</v>
      </c>
      <c r="AB227" s="118">
        <v>65535</v>
      </c>
      <c r="AE227" s="96"/>
      <c r="AF227" s="270" t="str">
        <f>IF(V227=1,MAX($AF$6:AF226)+1,IF(AF226="#",0,IF(AND(D226=D227,K226=K227,L226=L227,M226=M227,N226=N227,O226=O227,P226=P227,Q226=Q227,R226=R227,S226=S227,T226=T227,U226=U227,V226=V227,W226=W227,HEX2DEC(SUBSTITUTE(AH226,"0x",""))&lt;HEX2DEC(SUBSTITUTE(AH227,"0x",""))),"",MAX($AF$6:AF226)+1)))</f>
        <v/>
      </c>
      <c r="AG227" s="225">
        <f>IF(MAX(INDEX($AF:$AF,ROW($AG$6)):INDEX($AF:$AF,ROW(AG227)))+1=AF228,MAX(INDEX($AF:$AF,ROW($AG$6)):INDEX($AF:$AF,ROW(AG227))),"")</f>
        <v>141</v>
      </c>
      <c r="AH227" s="6" t="str">
        <f t="shared" si="22"/>
        <v>0x4000042c</v>
      </c>
      <c r="AI227" s="6">
        <f t="shared" si="23"/>
        <v>1073742892</v>
      </c>
      <c r="AJ227" s="6" t="str">
        <f t="shared" si="24"/>
        <v/>
      </c>
      <c r="AK227" s="6" t="str">
        <f t="shared" si="21"/>
        <v/>
      </c>
      <c r="AL227" s="6" t="str">
        <f t="shared" si="25"/>
        <v/>
      </c>
      <c r="AN227" s="6" t="str">
        <f t="shared" si="26"/>
        <v>ok</v>
      </c>
    </row>
    <row r="228" spans="1:41">
      <c r="A228" s="7" t="s">
        <v>617</v>
      </c>
      <c r="B228" s="7" t="s">
        <v>618</v>
      </c>
      <c r="C228" s="7" t="s">
        <v>29</v>
      </c>
      <c r="D228" s="7">
        <v>64</v>
      </c>
      <c r="E228" s="7">
        <v>2000</v>
      </c>
      <c r="F228" s="7" t="s">
        <v>31</v>
      </c>
      <c r="G228" s="7" t="s">
        <v>32</v>
      </c>
      <c r="H228" s="7"/>
      <c r="I228" s="7"/>
      <c r="K228" s="6">
        <v>0</v>
      </c>
      <c r="L228" s="6">
        <v>0</v>
      </c>
      <c r="M228" s="6">
        <v>0</v>
      </c>
      <c r="N228" s="6">
        <v>1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89"/>
      <c r="Y228" s="6">
        <v>29</v>
      </c>
      <c r="Z228" s="118">
        <v>65535</v>
      </c>
      <c r="AA228" s="6">
        <v>32768</v>
      </c>
      <c r="AB228" s="118">
        <v>65535</v>
      </c>
      <c r="AE228" s="96"/>
      <c r="AF228" s="270">
        <f>IF(V228=1,MAX($AF$6:AF227)+1,IF(AF227="#",0,IF(AND(D227=D228,K227=K228,L227=L228,M227=M228,N227=N228,O227=O228,P227=P228,Q227=Q228,R227=R228,S227=S228,T227=T228,U227=U228,V227=V228,W227=W228,HEX2DEC(SUBSTITUTE(AH227,"0x",""))&lt;HEX2DEC(SUBSTITUTE(AH228,"0x",""))),"",MAX($AF$6:AF227)+1)))</f>
        <v>142</v>
      </c>
      <c r="AG228" s="225">
        <f>IF(MAX(INDEX($AF:$AF,ROW($AG$6)):INDEX($AF:$AF,ROW(AG228)))+1=AF229,MAX(INDEX($AF:$AF,ROW($AG$6)):INDEX($AF:$AF,ROW(AG228))),"")</f>
        <v>142</v>
      </c>
      <c r="AH228" s="6" t="str">
        <f t="shared" si="22"/>
        <v>0x4000043c</v>
      </c>
      <c r="AI228" s="6">
        <f t="shared" si="23"/>
        <v>1073742908</v>
      </c>
      <c r="AJ228" s="6" t="str">
        <f t="shared" si="24"/>
        <v>0x4000043c</v>
      </c>
      <c r="AK228" s="6" t="str">
        <f t="shared" si="21"/>
        <v>0x4000043c</v>
      </c>
      <c r="AL228" s="6">
        <f t="shared" si="25"/>
        <v>64</v>
      </c>
      <c r="AN228" s="6" t="str">
        <f t="shared" si="26"/>
        <v>ok</v>
      </c>
    </row>
    <row r="229" spans="1:41">
      <c r="A229" s="7" t="s">
        <v>621</v>
      </c>
      <c r="B229" s="7" t="s">
        <v>622</v>
      </c>
      <c r="C229" s="7" t="s">
        <v>29</v>
      </c>
      <c r="D229" s="7">
        <v>8</v>
      </c>
      <c r="E229" s="7">
        <v>500</v>
      </c>
      <c r="F229" s="7" t="s">
        <v>31</v>
      </c>
      <c r="G229" s="7" t="s">
        <v>32</v>
      </c>
      <c r="H229" s="7"/>
      <c r="I229" s="7"/>
      <c r="K229" s="6">
        <v>0</v>
      </c>
      <c r="L229" s="6">
        <v>0</v>
      </c>
      <c r="M229" s="6">
        <v>0</v>
      </c>
      <c r="N229" s="6">
        <v>1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89"/>
      <c r="Y229" s="6">
        <v>29</v>
      </c>
      <c r="Z229" s="118">
        <v>65535</v>
      </c>
      <c r="AA229" s="6">
        <v>32768</v>
      </c>
      <c r="AB229" s="118">
        <v>65535</v>
      </c>
      <c r="AE229" s="96"/>
      <c r="AF229" s="270">
        <f>IF(V229=1,MAX($AF$6:AF228)+1,IF(AF228="#",0,IF(AND(D228=D229,K228=K229,L228=L229,M228=M229,N228=N229,O228=O229,P228=P229,Q228=Q229,R228=R229,S228=S229,T228=T229,U228=U229,V228=V229,W228=W229,HEX2DEC(SUBSTITUTE(AH228,"0x",""))&lt;HEX2DEC(SUBSTITUTE(AH229,"0x",""))),"",MAX($AF$6:AF228)+1)))</f>
        <v>143</v>
      </c>
      <c r="AG229" s="225" t="str">
        <f>IF(MAX(INDEX($AF:$AF,ROW($AG$6)):INDEX($AF:$AF,ROW(AG229)))+1=AF230,MAX(INDEX($AF:$AF,ROW($AG$6)):INDEX($AF:$AF,ROW(AG229))),"")</f>
        <v/>
      </c>
      <c r="AH229" s="6" t="str">
        <f t="shared" si="22"/>
        <v>0x400004ac</v>
      </c>
      <c r="AI229" s="6">
        <f t="shared" si="23"/>
        <v>1073743020</v>
      </c>
      <c r="AJ229" s="6" t="str">
        <f t="shared" si="24"/>
        <v>0x400004ac</v>
      </c>
      <c r="AK229" s="6" t="str">
        <f t="shared" si="21"/>
        <v>0x400004bc</v>
      </c>
      <c r="AL229" s="6">
        <f t="shared" si="25"/>
        <v>8</v>
      </c>
      <c r="AN229" s="6" t="str">
        <f t="shared" si="26"/>
        <v>ok</v>
      </c>
    </row>
    <row r="230" spans="1:41">
      <c r="A230" s="7" t="s">
        <v>592</v>
      </c>
      <c r="B230" s="7" t="s">
        <v>591</v>
      </c>
      <c r="C230" s="7" t="s">
        <v>29</v>
      </c>
      <c r="D230" s="7">
        <v>8</v>
      </c>
      <c r="E230" s="7">
        <v>1000</v>
      </c>
      <c r="F230" s="7" t="s">
        <v>31</v>
      </c>
      <c r="G230" s="7" t="s">
        <v>32</v>
      </c>
      <c r="H230" s="7"/>
      <c r="I230" s="7"/>
      <c r="K230" s="6">
        <v>0</v>
      </c>
      <c r="L230" s="6">
        <v>0</v>
      </c>
      <c r="M230" s="6">
        <v>0</v>
      </c>
      <c r="N230" s="6">
        <v>1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89"/>
      <c r="Y230" s="6">
        <v>29</v>
      </c>
      <c r="Z230" s="118">
        <v>65535</v>
      </c>
      <c r="AA230" s="6">
        <v>32768</v>
      </c>
      <c r="AB230" s="118">
        <v>65535</v>
      </c>
      <c r="AE230" s="96"/>
      <c r="AF230" s="270" t="str">
        <f>IF(V230=1,MAX($AF$6:AF229)+1,IF(AF229="#",0,IF(AND(D229=D230,K229=K230,L229=L230,M229=M230,N229=N230,O229=O230,P229=P230,Q229=Q230,R229=R230,S229=S230,T229=T230,U229=U230,V229=V230,W229=W230,HEX2DEC(SUBSTITUTE(AH229,"0x",""))&lt;HEX2DEC(SUBSTITUTE(AH230,"0x",""))),"",MAX($AF$6:AF229)+1)))</f>
        <v/>
      </c>
      <c r="AG230" s="225">
        <f>IF(MAX(INDEX($AF:$AF,ROW($AG$6)):INDEX($AF:$AF,ROW(AG230)))+1=AF231,MAX(INDEX($AF:$AF,ROW($AG$6)):INDEX($AF:$AF,ROW(AG230))),"")</f>
        <v>143</v>
      </c>
      <c r="AH230" s="6" t="str">
        <f t="shared" si="22"/>
        <v>0x400004bc</v>
      </c>
      <c r="AI230" s="6">
        <f t="shared" si="23"/>
        <v>1073743036</v>
      </c>
      <c r="AJ230" s="6" t="str">
        <f t="shared" si="24"/>
        <v/>
      </c>
      <c r="AK230" s="6" t="str">
        <f t="shared" si="21"/>
        <v/>
      </c>
      <c r="AL230" s="6" t="str">
        <f t="shared" si="25"/>
        <v/>
      </c>
      <c r="AN230" s="6" t="str">
        <f t="shared" si="26"/>
        <v>ok</v>
      </c>
      <c r="AO230" s="6" t="s">
        <v>5</v>
      </c>
    </row>
    <row r="231" spans="1:41">
      <c r="A231" s="7" t="s">
        <v>606</v>
      </c>
      <c r="B231" s="7" t="s">
        <v>605</v>
      </c>
      <c r="C231" s="7" t="s">
        <v>29</v>
      </c>
      <c r="D231" s="7">
        <v>8</v>
      </c>
      <c r="E231" s="7">
        <v>1000</v>
      </c>
      <c r="F231" s="7" t="s">
        <v>31</v>
      </c>
      <c r="G231" s="7" t="s">
        <v>32</v>
      </c>
      <c r="H231" s="7"/>
      <c r="I231" s="7"/>
      <c r="K231" s="6">
        <v>0</v>
      </c>
      <c r="L231" s="6">
        <v>0</v>
      </c>
      <c r="M231" s="6">
        <v>0</v>
      </c>
      <c r="N231" s="6">
        <v>1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89"/>
      <c r="Y231" s="6">
        <v>29</v>
      </c>
      <c r="Z231" s="118">
        <v>65535</v>
      </c>
      <c r="AA231" s="6">
        <v>32768</v>
      </c>
      <c r="AB231" s="118">
        <v>65535</v>
      </c>
      <c r="AE231" s="96"/>
      <c r="AF231" s="270">
        <f>IF(V231=1,MAX($AF$6:AF230)+1,IF(AF230="#",0,IF(AND(D230=D231,K230=K231,L230=L231,M230=M231,N230=N231,O230=O231,P230=P231,Q230=Q231,R230=R231,S230=S231,T230=T231,U230=U231,V230=V231,W230=W231,HEX2DEC(SUBSTITUTE(AH230,"0x",""))&lt;HEX2DEC(SUBSTITUTE(AH231,"0x",""))),"",MAX($AF$6:AF230)+1)))</f>
        <v>144</v>
      </c>
      <c r="AG231" s="225">
        <f>IF(MAX(INDEX($AF:$AF,ROW($AG$6)):INDEX($AF:$AF,ROW(AG231)))+1=AF232,MAX(INDEX($AF:$AF,ROW($AG$6)):INDEX($AF:$AF,ROW(AG231))),"")</f>
        <v>144</v>
      </c>
      <c r="AH231" s="6" t="str">
        <f t="shared" si="22"/>
        <v>0x4000042f</v>
      </c>
      <c r="AI231" s="6">
        <f t="shared" si="23"/>
        <v>1073742895</v>
      </c>
      <c r="AJ231" s="6" t="str">
        <f t="shared" si="24"/>
        <v>0x4000042f</v>
      </c>
      <c r="AK231" s="6" t="str">
        <f t="shared" si="21"/>
        <v>0x4000042f</v>
      </c>
      <c r="AL231" s="6">
        <f t="shared" si="25"/>
        <v>8</v>
      </c>
      <c r="AN231" s="6" t="str">
        <f t="shared" si="26"/>
        <v>not ok</v>
      </c>
    </row>
    <row r="232" spans="1:41">
      <c r="A232" s="7" t="s">
        <v>608</v>
      </c>
      <c r="B232" s="7" t="s">
        <v>607</v>
      </c>
      <c r="C232" s="7" t="s">
        <v>29</v>
      </c>
      <c r="D232" s="7">
        <v>64</v>
      </c>
      <c r="E232" s="7">
        <v>1000</v>
      </c>
      <c r="F232" s="7" t="s">
        <v>31</v>
      </c>
      <c r="G232" s="7" t="s">
        <v>32</v>
      </c>
      <c r="H232" s="7"/>
      <c r="I232" s="7"/>
      <c r="K232" s="6">
        <v>0</v>
      </c>
      <c r="L232" s="6">
        <v>0</v>
      </c>
      <c r="M232" s="6">
        <v>0</v>
      </c>
      <c r="N232" s="6">
        <v>1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89"/>
      <c r="Y232" s="6">
        <v>29</v>
      </c>
      <c r="Z232" s="118">
        <v>65535</v>
      </c>
      <c r="AA232" s="6">
        <v>32768</v>
      </c>
      <c r="AB232" s="118">
        <v>65535</v>
      </c>
      <c r="AE232" s="96"/>
      <c r="AF232" s="270">
        <f>IF(V232=1,MAX($AF$6:AF231)+1,IF(AF231="#",0,IF(AND(D231=D232,K231=K232,L231=L232,M231=M232,N231=N232,O231=O232,P231=P232,Q231=Q232,R231=R232,S231=S232,T231=T232,U231=U232,V231=V232,W231=W232,HEX2DEC(SUBSTITUTE(AH231,"0x",""))&lt;HEX2DEC(SUBSTITUTE(AH232,"0x",""))),"",MAX($AF$6:AF231)+1)))</f>
        <v>145</v>
      </c>
      <c r="AG232" s="225">
        <f>IF(MAX(INDEX($AF:$AF,ROW($AG$6)):INDEX($AF:$AF,ROW(AG232)))+1=AF233,MAX(INDEX($AF:$AF,ROW($AG$6)):INDEX($AF:$AF,ROW(AG232))),"")</f>
        <v>145</v>
      </c>
      <c r="AH232" s="6" t="str">
        <f t="shared" si="22"/>
        <v>0x40000430</v>
      </c>
      <c r="AI232" s="6">
        <f t="shared" si="23"/>
        <v>1073742896</v>
      </c>
      <c r="AJ232" s="6" t="str">
        <f t="shared" si="24"/>
        <v>0x40000430</v>
      </c>
      <c r="AK232" s="6" t="str">
        <f t="shared" si="21"/>
        <v>0x40000430</v>
      </c>
      <c r="AL232" s="6">
        <f t="shared" si="25"/>
        <v>64</v>
      </c>
      <c r="AN232" s="6" t="str">
        <f t="shared" si="26"/>
        <v>ok</v>
      </c>
    </row>
    <row r="233" spans="1:41">
      <c r="A233" s="7" t="s">
        <v>610</v>
      </c>
      <c r="B233" s="7" t="s">
        <v>609</v>
      </c>
      <c r="C233" s="7" t="s">
        <v>29</v>
      </c>
      <c r="D233" s="7">
        <v>8</v>
      </c>
      <c r="E233" s="7">
        <v>1000</v>
      </c>
      <c r="F233" s="7" t="s">
        <v>31</v>
      </c>
      <c r="G233" s="7" t="s">
        <v>32</v>
      </c>
      <c r="H233" s="7"/>
      <c r="I233" s="7"/>
      <c r="K233" s="6">
        <v>0</v>
      </c>
      <c r="L233" s="6">
        <v>0</v>
      </c>
      <c r="M233" s="6">
        <v>0</v>
      </c>
      <c r="N233" s="6">
        <v>1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89"/>
      <c r="Y233" s="6">
        <v>29</v>
      </c>
      <c r="Z233" s="118">
        <v>65535</v>
      </c>
      <c r="AA233" s="6">
        <v>32768</v>
      </c>
      <c r="AB233" s="118">
        <v>65535</v>
      </c>
      <c r="AE233" s="96"/>
      <c r="AF233" s="270">
        <f>IF(V233=1,MAX($AF$6:AF232)+1,IF(AF232="#",0,IF(AND(D232=D233,K232=K233,L232=L233,M232=M233,N232=N233,O232=O233,P232=P233,Q232=Q233,R232=R233,S232=S233,T232=T233,U232=U233,V232=V233,W232=W233,HEX2DEC(SUBSTITUTE(AH232,"0x",""))&lt;HEX2DEC(SUBSTITUTE(AH233,"0x",""))),"",MAX($AF$6:AF232)+1)))</f>
        <v>146</v>
      </c>
      <c r="AG233" s="225">
        <f>IF(MAX(INDEX($AF:$AF,ROW($AG$6)):INDEX($AF:$AF,ROW(AG233)))+1=AF234,MAX(INDEX($AF:$AF,ROW($AG$6)):INDEX($AF:$AF,ROW(AG233))),"")</f>
        <v>146</v>
      </c>
      <c r="AH233" s="6" t="str">
        <f t="shared" si="22"/>
        <v>0x40000432</v>
      </c>
      <c r="AI233" s="6">
        <f t="shared" si="23"/>
        <v>1073742898</v>
      </c>
      <c r="AJ233" s="6" t="str">
        <f t="shared" si="24"/>
        <v>0x40000432</v>
      </c>
      <c r="AK233" s="6" t="str">
        <f t="shared" si="21"/>
        <v>0x40000432</v>
      </c>
      <c r="AL233" s="6">
        <f t="shared" si="25"/>
        <v>8</v>
      </c>
      <c r="AN233" s="6" t="str">
        <f t="shared" si="26"/>
        <v>ok</v>
      </c>
    </row>
    <row r="234" spans="1:41">
      <c r="A234" s="7" t="s">
        <v>633</v>
      </c>
      <c r="B234" s="7" t="s">
        <v>634</v>
      </c>
      <c r="C234" s="7" t="s">
        <v>29</v>
      </c>
      <c r="D234" s="7">
        <v>64</v>
      </c>
      <c r="E234" s="7">
        <v>1000</v>
      </c>
      <c r="F234" s="7" t="s">
        <v>31</v>
      </c>
      <c r="G234" s="7" t="s">
        <v>32</v>
      </c>
      <c r="H234" s="7"/>
      <c r="I234" s="7"/>
      <c r="K234" s="6">
        <v>0</v>
      </c>
      <c r="L234" s="6">
        <v>0</v>
      </c>
      <c r="M234" s="6">
        <v>0</v>
      </c>
      <c r="N234" s="6">
        <v>1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89"/>
      <c r="Y234" s="6">
        <v>29</v>
      </c>
      <c r="Z234" s="118">
        <v>65535</v>
      </c>
      <c r="AA234" s="6">
        <v>32768</v>
      </c>
      <c r="AB234" s="118">
        <v>65535</v>
      </c>
      <c r="AE234" s="96"/>
      <c r="AF234" s="270">
        <f>IF(V234=1,MAX($AF$6:AF233)+1,IF(AF233="#",0,IF(AND(D233=D234,K233=K234,L233=L234,M233=M234,N233=N234,O233=O234,P233=P234,Q233=Q234,R233=R234,S233=S234,T233=T234,U233=U234,V233=V234,W233=W234,HEX2DEC(SUBSTITUTE(AH233,"0x",""))&lt;HEX2DEC(SUBSTITUTE(AH234,"0x",""))),"",MAX($AF$6:AF233)+1)))</f>
        <v>147</v>
      </c>
      <c r="AG234" s="225">
        <f>IF(MAX(INDEX($AF:$AF,ROW($AG$6)):INDEX($AF:$AF,ROW(AG234)))+1=AF235,MAX(INDEX($AF:$AF,ROW($AG$6)):INDEX($AF:$AF,ROW(AG234))),"")</f>
        <v>147</v>
      </c>
      <c r="AH234" s="6" t="str">
        <f t="shared" si="22"/>
        <v>0x40000530</v>
      </c>
      <c r="AI234" s="6">
        <f t="shared" si="23"/>
        <v>1073743152</v>
      </c>
      <c r="AJ234" s="6" t="str">
        <f t="shared" si="24"/>
        <v>0x40000530</v>
      </c>
      <c r="AK234" s="6" t="str">
        <f t="shared" si="21"/>
        <v>0x40000530</v>
      </c>
      <c r="AL234" s="6">
        <f t="shared" si="25"/>
        <v>64</v>
      </c>
      <c r="AN234" s="6" t="str">
        <f t="shared" si="26"/>
        <v>ok</v>
      </c>
      <c r="AO234" s="6" t="s">
        <v>5</v>
      </c>
    </row>
    <row r="235" spans="1:41">
      <c r="A235" s="7" t="s">
        <v>638</v>
      </c>
      <c r="B235" s="7" t="s">
        <v>639</v>
      </c>
      <c r="C235" s="7" t="s">
        <v>29</v>
      </c>
      <c r="D235" s="7">
        <v>8</v>
      </c>
      <c r="E235" s="7" t="s">
        <v>30</v>
      </c>
      <c r="F235" s="7" t="s">
        <v>31</v>
      </c>
      <c r="G235" s="7" t="s">
        <v>32</v>
      </c>
      <c r="H235" s="7"/>
      <c r="I235" s="7"/>
      <c r="K235" s="6">
        <v>0</v>
      </c>
      <c r="L235" s="6">
        <v>0</v>
      </c>
      <c r="M235" s="6">
        <v>0</v>
      </c>
      <c r="N235" s="6">
        <v>1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89"/>
      <c r="Y235" s="6">
        <v>29</v>
      </c>
      <c r="Z235" s="118">
        <v>65535</v>
      </c>
      <c r="AA235" s="6">
        <v>32768</v>
      </c>
      <c r="AB235" s="118">
        <v>65535</v>
      </c>
      <c r="AE235" s="96"/>
      <c r="AF235" s="270">
        <f>IF(V235=1,MAX($AF$6:AF234)+1,IF(AF234="#",0,IF(AND(D234=D235,K234=K235,L234=L235,M234=M235,N234=N235,O234=O235,P234=P235,Q234=Q235,R234=R235,S234=S235,T234=T235,U234=U235,V234=V235,W234=W235,HEX2DEC(SUBSTITUTE(AH234,"0x",""))&lt;HEX2DEC(SUBSTITUTE(AH235,"0x",""))),"",MAX($AF$6:AF234)+1)))</f>
        <v>148</v>
      </c>
      <c r="AG235" s="225">
        <f>IF(MAX(INDEX($AF:$AF,ROW($AG$6)):INDEX($AF:$AF,ROW(AG235)))+1=AF236,MAX(INDEX($AF:$AF,ROW($AG$6)):INDEX($AF:$AF,ROW(AG235))),"")</f>
        <v>148</v>
      </c>
      <c r="AH235" s="6" t="str">
        <f t="shared" si="22"/>
        <v>0x40000532</v>
      </c>
      <c r="AI235" s="6">
        <f t="shared" si="23"/>
        <v>1073743154</v>
      </c>
      <c r="AJ235" s="6" t="str">
        <f t="shared" si="24"/>
        <v>0x40000532</v>
      </c>
      <c r="AK235" s="6" t="str">
        <f t="shared" si="21"/>
        <v>0x40000532</v>
      </c>
      <c r="AL235" s="6">
        <f t="shared" si="25"/>
        <v>8</v>
      </c>
      <c r="AN235" s="6" t="str">
        <f t="shared" si="26"/>
        <v>ok</v>
      </c>
      <c r="AO235" s="6" t="s">
        <v>5</v>
      </c>
    </row>
    <row r="236" spans="1:41">
      <c r="A236" s="7" t="s">
        <v>613</v>
      </c>
      <c r="B236" s="7" t="s">
        <v>612</v>
      </c>
      <c r="C236" s="7" t="s">
        <v>29</v>
      </c>
      <c r="D236" s="7">
        <v>8</v>
      </c>
      <c r="E236" s="7">
        <v>1000</v>
      </c>
      <c r="F236" s="7" t="s">
        <v>31</v>
      </c>
      <c r="G236" s="7" t="s">
        <v>32</v>
      </c>
      <c r="H236" s="7"/>
      <c r="I236" s="7"/>
      <c r="K236" s="6">
        <v>0</v>
      </c>
      <c r="L236" s="6">
        <v>0</v>
      </c>
      <c r="M236" s="6">
        <v>0</v>
      </c>
      <c r="N236" s="6">
        <v>1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89"/>
      <c r="Y236" s="6">
        <v>29</v>
      </c>
      <c r="Z236" s="118">
        <v>65535</v>
      </c>
      <c r="AA236" s="6">
        <v>32768</v>
      </c>
      <c r="AB236" s="118">
        <v>65535</v>
      </c>
      <c r="AE236" s="96"/>
      <c r="AF236" s="270">
        <f>IF(V236=1,MAX($AF$6:AF235)+1,IF(AF235="#",0,IF(AND(D235=D236,K235=K236,L235=L236,M235=M236,N235=N236,O235=O236,P235=P236,Q235=Q236,R235=R236,S235=S236,T235=T236,U235=U236,V235=V236,W235=W236,HEX2DEC(SUBSTITUTE(AH235,"0x",""))&lt;HEX2DEC(SUBSTITUTE(AH236,"0x",""))),"",MAX($AF$6:AF235)+1)))</f>
        <v>149</v>
      </c>
      <c r="AG236" s="225" t="str">
        <f>IF(MAX(INDEX($AF:$AF,ROW($AG$6)):INDEX($AF:$AF,ROW(AG236)))+1=AF237,MAX(INDEX($AF:$AF,ROW($AG$6)):INDEX($AF:$AF,ROW(AG236))),"")</f>
        <v/>
      </c>
      <c r="AH236" s="6" t="str">
        <f t="shared" si="22"/>
        <v>0x40000438</v>
      </c>
      <c r="AI236" s="6">
        <f t="shared" si="23"/>
        <v>1073742904</v>
      </c>
      <c r="AJ236" s="6" t="str">
        <f t="shared" si="24"/>
        <v>0x40000438</v>
      </c>
      <c r="AK236" s="6" t="str">
        <f t="shared" si="21"/>
        <v>0x40000439</v>
      </c>
      <c r="AL236" s="6">
        <f t="shared" si="25"/>
        <v>8</v>
      </c>
      <c r="AN236" s="6" t="str">
        <f t="shared" si="26"/>
        <v>not ok</v>
      </c>
    </row>
    <row r="237" spans="1:41">
      <c r="A237" s="7" t="s">
        <v>616</v>
      </c>
      <c r="B237" s="7" t="s">
        <v>615</v>
      </c>
      <c r="C237" s="7" t="s">
        <v>29</v>
      </c>
      <c r="D237" s="7">
        <v>8</v>
      </c>
      <c r="E237" s="7">
        <v>1000</v>
      </c>
      <c r="F237" s="7" t="s">
        <v>31</v>
      </c>
      <c r="G237" s="7" t="s">
        <v>32</v>
      </c>
      <c r="H237" s="7"/>
      <c r="I237" s="7"/>
      <c r="K237" s="6">
        <v>0</v>
      </c>
      <c r="L237" s="6">
        <v>0</v>
      </c>
      <c r="M237" s="6">
        <v>0</v>
      </c>
      <c r="N237" s="6">
        <v>1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89"/>
      <c r="Y237" s="6">
        <v>29</v>
      </c>
      <c r="Z237" s="118">
        <v>65535</v>
      </c>
      <c r="AA237" s="6">
        <v>32768</v>
      </c>
      <c r="AB237" s="118">
        <v>65535</v>
      </c>
      <c r="AE237" s="96"/>
      <c r="AF237" s="270" t="str">
        <f>IF(V237=1,MAX($AF$6:AF236)+1,IF(AF236="#",0,IF(AND(D236=D237,K236=K237,L236=L237,M236=M237,N236=N237,O236=O237,P236=P237,Q236=Q237,R236=R237,S236=S237,T236=T237,U236=U237,V236=V237,W236=W237,HEX2DEC(SUBSTITUTE(AH236,"0x",""))&lt;HEX2DEC(SUBSTITUTE(AH237,"0x",""))),"",MAX($AF$6:AF236)+1)))</f>
        <v/>
      </c>
      <c r="AG237" s="225">
        <f>IF(MAX(INDEX($AF:$AF,ROW($AG$6)):INDEX($AF:$AF,ROW(AG237)))+1=AF238,MAX(INDEX($AF:$AF,ROW($AG$6)):INDEX($AF:$AF,ROW(AG237))),"")</f>
        <v>149</v>
      </c>
      <c r="AH237" s="6" t="str">
        <f t="shared" si="22"/>
        <v>0x40000439</v>
      </c>
      <c r="AI237" s="6">
        <f t="shared" si="23"/>
        <v>1073742905</v>
      </c>
      <c r="AJ237" s="6" t="str">
        <f t="shared" si="24"/>
        <v/>
      </c>
      <c r="AK237" s="6" t="str">
        <f t="shared" si="21"/>
        <v/>
      </c>
      <c r="AL237" s="6" t="str">
        <f t="shared" si="25"/>
        <v/>
      </c>
      <c r="AN237" s="6" t="str">
        <f t="shared" si="26"/>
        <v>ok</v>
      </c>
    </row>
    <row r="238" spans="1:41">
      <c r="A238" s="7" t="s">
        <v>648</v>
      </c>
      <c r="B238" s="7" t="s">
        <v>649</v>
      </c>
      <c r="C238" s="7" t="s">
        <v>29</v>
      </c>
      <c r="D238" s="7">
        <v>32</v>
      </c>
      <c r="E238" s="7">
        <v>500</v>
      </c>
      <c r="F238" s="7" t="s">
        <v>31</v>
      </c>
      <c r="G238" s="7" t="s">
        <v>32</v>
      </c>
      <c r="H238" s="7"/>
      <c r="I238" s="7"/>
      <c r="K238" s="6">
        <v>0</v>
      </c>
      <c r="L238" s="6">
        <v>0</v>
      </c>
      <c r="M238" s="6">
        <v>0</v>
      </c>
      <c r="N238" s="6">
        <v>1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89"/>
      <c r="Y238" s="6">
        <v>29</v>
      </c>
      <c r="Z238" s="118">
        <v>65535</v>
      </c>
      <c r="AA238" s="6">
        <v>32768</v>
      </c>
      <c r="AB238" s="118">
        <v>65535</v>
      </c>
      <c r="AE238" s="96"/>
      <c r="AF238" s="270">
        <f>IF(V238=1,MAX($AF$6:AF237)+1,IF(AF237="#",0,IF(AND(D237=D238,K237=K238,L237=L238,M237=M238,N237=N238,O237=O238,P237=P238,Q237=Q238,R237=R238,S237=S238,T237=T238,U237=U238,V237=V238,W237=W238,HEX2DEC(SUBSTITUTE(AH237,"0x",""))&lt;HEX2DEC(SUBSTITUTE(AH238,"0x",""))),"",MAX($AF$6:AF237)+1)))</f>
        <v>150</v>
      </c>
      <c r="AG238" s="225" t="str">
        <f>IF(MAX(INDEX($AF:$AF,ROW($AG$6)):INDEX($AF:$AF,ROW(AG238)))+1=AF239,MAX(INDEX($AF:$AF,ROW($AG$6)):INDEX($AF:$AF,ROW(AG238))),"")</f>
        <v/>
      </c>
      <c r="AH238" s="6" t="str">
        <f t="shared" si="22"/>
        <v>0x400004b8</v>
      </c>
      <c r="AI238" s="6">
        <f t="shared" si="23"/>
        <v>1073743032</v>
      </c>
      <c r="AJ238" s="6" t="str">
        <f t="shared" si="24"/>
        <v>0x400004b8</v>
      </c>
      <c r="AK238" s="6" t="str">
        <f t="shared" si="21"/>
        <v>0x400004b9</v>
      </c>
      <c r="AL238" s="6">
        <f t="shared" si="25"/>
        <v>32</v>
      </c>
      <c r="AN238" s="6" t="str">
        <f t="shared" si="26"/>
        <v>ok</v>
      </c>
    </row>
    <row r="239" spans="1:41">
      <c r="A239" s="7" t="s">
        <v>651</v>
      </c>
      <c r="B239" s="7" t="s">
        <v>652</v>
      </c>
      <c r="C239" s="7" t="s">
        <v>29</v>
      </c>
      <c r="D239" s="7">
        <v>32</v>
      </c>
      <c r="E239" s="7">
        <v>500</v>
      </c>
      <c r="F239" s="7" t="s">
        <v>31</v>
      </c>
      <c r="G239" s="7" t="s">
        <v>32</v>
      </c>
      <c r="H239" s="7"/>
      <c r="I239" s="7"/>
      <c r="K239" s="6">
        <v>0</v>
      </c>
      <c r="L239" s="6">
        <v>0</v>
      </c>
      <c r="M239" s="6">
        <v>0</v>
      </c>
      <c r="N239" s="6">
        <v>1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89"/>
      <c r="Y239" s="6">
        <v>29</v>
      </c>
      <c r="Z239" s="118">
        <v>65535</v>
      </c>
      <c r="AA239" s="6">
        <v>32768</v>
      </c>
      <c r="AB239" s="118">
        <v>65535</v>
      </c>
      <c r="AE239" s="96"/>
      <c r="AF239" s="270" t="str">
        <f>IF(V239=1,MAX($AF$6:AF238)+1,IF(AF238="#",0,IF(AND(D238=D239,K238=K239,L238=L239,M238=M239,N238=N239,O238=O239,P238=P239,Q238=Q239,R238=R239,S238=S239,T238=T239,U238=U239,V238=V239,W238=W239,HEX2DEC(SUBSTITUTE(AH238,"0x",""))&lt;HEX2DEC(SUBSTITUTE(AH239,"0x",""))),"",MAX($AF$6:AF238)+1)))</f>
        <v/>
      </c>
      <c r="AG239" s="225">
        <f>IF(MAX(INDEX($AF:$AF,ROW($AG$6)):INDEX($AF:$AF,ROW(AG239)))+1=AF240,MAX(INDEX($AF:$AF,ROW($AG$6)):INDEX($AF:$AF,ROW(AG239))),"")</f>
        <v>150</v>
      </c>
      <c r="AH239" s="6" t="str">
        <f t="shared" si="22"/>
        <v>0x400004b9</v>
      </c>
      <c r="AI239" s="6">
        <f t="shared" si="23"/>
        <v>1073743033</v>
      </c>
      <c r="AJ239" s="6" t="str">
        <f t="shared" si="24"/>
        <v/>
      </c>
      <c r="AK239" s="6" t="str">
        <f t="shared" si="21"/>
        <v/>
      </c>
      <c r="AL239" s="6" t="str">
        <f t="shared" si="25"/>
        <v/>
      </c>
      <c r="AN239" s="6" t="str">
        <f t="shared" si="26"/>
        <v>ok</v>
      </c>
      <c r="AO239" s="6" t="s">
        <v>5</v>
      </c>
    </row>
    <row r="240" spans="1:41">
      <c r="A240" s="7" t="s">
        <v>620</v>
      </c>
      <c r="B240" s="7" t="s">
        <v>619</v>
      </c>
      <c r="C240" s="7" t="s">
        <v>29</v>
      </c>
      <c r="D240" s="7">
        <v>8</v>
      </c>
      <c r="E240" s="7">
        <v>1000</v>
      </c>
      <c r="F240" s="7" t="s">
        <v>31</v>
      </c>
      <c r="G240" s="7" t="s">
        <v>32</v>
      </c>
      <c r="H240" s="7"/>
      <c r="I240" s="7"/>
      <c r="K240" s="6">
        <v>0</v>
      </c>
      <c r="L240" s="6">
        <v>0</v>
      </c>
      <c r="M240" s="6">
        <v>0</v>
      </c>
      <c r="N240" s="6">
        <v>1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89"/>
      <c r="Y240" s="6">
        <v>29</v>
      </c>
      <c r="Z240" s="118">
        <v>65535</v>
      </c>
      <c r="AA240" s="6">
        <v>32768</v>
      </c>
      <c r="AB240" s="118">
        <v>65535</v>
      </c>
      <c r="AE240" s="96"/>
      <c r="AF240" s="270">
        <f>IF(V240=1,MAX($AF$6:AF239)+1,IF(AF239="#",0,IF(AND(D239=D240,K239=K240,L239=L240,M239=M240,N239=N240,O239=O240,P239=P240,Q239=Q240,R239=R240,S239=S240,T239=T240,U239=U240,V239=V240,W239=W240,HEX2DEC(SUBSTITUTE(AH239,"0x",""))&lt;HEX2DEC(SUBSTITUTE(AH240,"0x",""))),"",MAX($AF$6:AF239)+1)))</f>
        <v>151</v>
      </c>
      <c r="AG240" s="225">
        <f>IF(MAX(INDEX($AF:$AF,ROW($AG$6)):INDEX($AF:$AF,ROW(AG240)))+1=AF241,MAX(INDEX($AF:$AF,ROW($AG$6)):INDEX($AF:$AF,ROW(AG240))),"")</f>
        <v>151</v>
      </c>
      <c r="AH240" s="6" t="str">
        <f t="shared" si="22"/>
        <v>0x4000043b</v>
      </c>
      <c r="AI240" s="6">
        <f t="shared" si="23"/>
        <v>1073742907</v>
      </c>
      <c r="AJ240" s="6" t="str">
        <f t="shared" si="24"/>
        <v>0x4000043b</v>
      </c>
      <c r="AK240" s="6" t="str">
        <f t="shared" si="21"/>
        <v>0x4000043b</v>
      </c>
      <c r="AL240" s="6">
        <f t="shared" si="25"/>
        <v>8</v>
      </c>
      <c r="AN240" s="6" t="str">
        <f t="shared" si="26"/>
        <v>not ok</v>
      </c>
    </row>
    <row r="241" spans="1:41">
      <c r="A241" s="7" t="s">
        <v>625</v>
      </c>
      <c r="B241" s="7" t="s">
        <v>624</v>
      </c>
      <c r="C241" s="7" t="s">
        <v>29</v>
      </c>
      <c r="D241" s="7">
        <v>64</v>
      </c>
      <c r="E241" s="7">
        <v>1000</v>
      </c>
      <c r="F241" s="7" t="s">
        <v>31</v>
      </c>
      <c r="G241" s="7" t="s">
        <v>32</v>
      </c>
      <c r="H241" s="7"/>
      <c r="I241" s="7"/>
      <c r="K241" s="6">
        <v>0</v>
      </c>
      <c r="L241" s="6">
        <v>0</v>
      </c>
      <c r="M241" s="6">
        <v>0</v>
      </c>
      <c r="N241" s="6">
        <v>1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89"/>
      <c r="Y241" s="6">
        <v>29</v>
      </c>
      <c r="Z241" s="118">
        <v>65535</v>
      </c>
      <c r="AA241" s="6">
        <v>32768</v>
      </c>
      <c r="AB241" s="118">
        <v>65535</v>
      </c>
      <c r="AE241" s="96"/>
      <c r="AF241" s="270">
        <f>IF(V241=1,MAX($AF$6:AF240)+1,IF(AF240="#",0,IF(AND(D240=D241,K240=K241,L240=L241,M240=M241,N240=N241,O240=O241,P240=P241,Q240=Q241,R240=R241,S240=S241,T240=T241,U240=U241,V240=V241,W240=W241,HEX2DEC(SUBSTITUTE(AH240,"0x",""))&lt;HEX2DEC(SUBSTITUTE(AH241,"0x",""))),"",MAX($AF$6:AF240)+1)))</f>
        <v>152</v>
      </c>
      <c r="AG241" s="225" t="str">
        <f>IF(MAX(INDEX($AF:$AF,ROW($AG$6)):INDEX($AF:$AF,ROW(AG241)))+1=AF242,MAX(INDEX($AF:$AF,ROW($AG$6)):INDEX($AF:$AF,ROW(AG241))),"")</f>
        <v/>
      </c>
      <c r="AH241" s="6" t="str">
        <f t="shared" si="22"/>
        <v>0x40000480</v>
      </c>
      <c r="AI241" s="6">
        <f t="shared" si="23"/>
        <v>1073742976</v>
      </c>
      <c r="AJ241" s="6" t="str">
        <f t="shared" si="24"/>
        <v>0x40000480</v>
      </c>
      <c r="AK241" s="6" t="str">
        <f t="shared" si="21"/>
        <v>0x40000485</v>
      </c>
      <c r="AL241" s="6">
        <f t="shared" si="25"/>
        <v>64</v>
      </c>
      <c r="AN241" s="6" t="str">
        <f t="shared" si="26"/>
        <v>ok</v>
      </c>
    </row>
    <row r="242" spans="1:41">
      <c r="A242" s="7" t="s">
        <v>628</v>
      </c>
      <c r="B242" s="7" t="s">
        <v>627</v>
      </c>
      <c r="C242" s="7" t="s">
        <v>29</v>
      </c>
      <c r="D242" s="7">
        <v>64</v>
      </c>
      <c r="E242" s="7">
        <v>1000</v>
      </c>
      <c r="F242" s="7" t="s">
        <v>31</v>
      </c>
      <c r="G242" s="7" t="s">
        <v>32</v>
      </c>
      <c r="H242" s="7"/>
      <c r="I242" s="7"/>
      <c r="K242" s="6">
        <v>0</v>
      </c>
      <c r="L242" s="6">
        <v>0</v>
      </c>
      <c r="M242" s="6">
        <v>0</v>
      </c>
      <c r="N242" s="6">
        <v>1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89"/>
      <c r="Y242" s="6">
        <v>29</v>
      </c>
      <c r="Z242" s="118">
        <v>65535</v>
      </c>
      <c r="AA242" s="6">
        <v>32768</v>
      </c>
      <c r="AB242" s="118">
        <v>65535</v>
      </c>
      <c r="AE242" s="96"/>
      <c r="AF242" s="270" t="str">
        <f>IF(V242=1,MAX($AF$6:AF241)+1,IF(AF241="#",0,IF(AND(D241=D242,K241=K242,L241=L242,M241=M242,N241=N242,O241=O242,P241=P242,Q241=Q242,R241=R242,S241=S242,T241=T242,U241=U242,V241=V242,W241=W242,HEX2DEC(SUBSTITUTE(AH241,"0x",""))&lt;HEX2DEC(SUBSTITUTE(AH242,"0x",""))),"",MAX($AF$6:AF241)+1)))</f>
        <v/>
      </c>
      <c r="AG242" s="225" t="str">
        <f>IF(MAX(INDEX($AF:$AF,ROW($AG$6)):INDEX($AF:$AF,ROW(AG242)))+1=AF243,MAX(INDEX($AF:$AF,ROW($AG$6)):INDEX($AF:$AF,ROW(AG242))),"")</f>
        <v/>
      </c>
      <c r="AH242" s="6" t="str">
        <f t="shared" si="22"/>
        <v>0x40000484</v>
      </c>
      <c r="AI242" s="6">
        <f t="shared" si="23"/>
        <v>1073742980</v>
      </c>
      <c r="AJ242" s="6" t="str">
        <f t="shared" si="24"/>
        <v/>
      </c>
      <c r="AK242" s="6" t="str">
        <f t="shared" si="21"/>
        <v/>
      </c>
      <c r="AL242" s="6" t="str">
        <f t="shared" si="25"/>
        <v/>
      </c>
      <c r="AN242" s="6" t="str">
        <f t="shared" si="26"/>
        <v>ok</v>
      </c>
    </row>
    <row r="243" spans="1:41">
      <c r="A243" s="7" t="s">
        <v>630</v>
      </c>
      <c r="B243" s="7" t="s">
        <v>629</v>
      </c>
      <c r="C243" s="7" t="s">
        <v>29</v>
      </c>
      <c r="D243" s="7">
        <v>64</v>
      </c>
      <c r="E243" s="7">
        <v>1000</v>
      </c>
      <c r="F243" s="7" t="s">
        <v>31</v>
      </c>
      <c r="G243" s="7" t="s">
        <v>32</v>
      </c>
      <c r="H243" s="7"/>
      <c r="I243" s="7"/>
      <c r="K243" s="6">
        <v>0</v>
      </c>
      <c r="L243" s="6">
        <v>0</v>
      </c>
      <c r="M243" s="6">
        <v>0</v>
      </c>
      <c r="N243" s="6">
        <v>1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89"/>
      <c r="Y243" s="6">
        <v>29</v>
      </c>
      <c r="Z243" s="118">
        <v>65535</v>
      </c>
      <c r="AA243" s="6">
        <v>32768</v>
      </c>
      <c r="AB243" s="118">
        <v>65535</v>
      </c>
      <c r="AE243" s="96"/>
      <c r="AF243" s="270" t="str">
        <f>IF(V243=1,MAX($AF$6:AF242)+1,IF(AF242="#",0,IF(AND(D242=D243,K242=K243,L242=L243,M242=M243,N242=N243,O242=O243,P242=P243,Q242=Q243,R242=R243,S242=S243,T242=T243,U242=U243,V242=V243,W242=W243,HEX2DEC(SUBSTITUTE(AH242,"0x",""))&lt;HEX2DEC(SUBSTITUTE(AH243,"0x",""))),"",MAX($AF$6:AF242)+1)))</f>
        <v/>
      </c>
      <c r="AG243" s="225">
        <f>IF(MAX(INDEX($AF:$AF,ROW($AG$6)):INDEX($AF:$AF,ROW(AG243)))+1=AF244,MAX(INDEX($AF:$AF,ROW($AG$6)):INDEX($AF:$AF,ROW(AG243))),"")</f>
        <v>152</v>
      </c>
      <c r="AH243" s="6" t="str">
        <f t="shared" si="22"/>
        <v>0x40000485</v>
      </c>
      <c r="AI243" s="6">
        <f t="shared" si="23"/>
        <v>1073742981</v>
      </c>
      <c r="AJ243" s="6" t="str">
        <f t="shared" si="24"/>
        <v/>
      </c>
      <c r="AK243" s="6" t="str">
        <f t="shared" si="21"/>
        <v/>
      </c>
      <c r="AL243" s="6" t="str">
        <f t="shared" si="25"/>
        <v/>
      </c>
      <c r="AN243" s="6" t="str">
        <f t="shared" si="26"/>
        <v>ok</v>
      </c>
      <c r="AO243" s="6" t="s">
        <v>5</v>
      </c>
    </row>
    <row r="244" spans="1:41">
      <c r="A244" s="7" t="s">
        <v>826</v>
      </c>
      <c r="B244" s="7" t="s">
        <v>827</v>
      </c>
      <c r="C244" s="7" t="s">
        <v>29</v>
      </c>
      <c r="D244" s="7">
        <v>8</v>
      </c>
      <c r="E244" s="7">
        <v>500</v>
      </c>
      <c r="F244" s="7" t="s">
        <v>31</v>
      </c>
      <c r="G244" s="7" t="s">
        <v>32</v>
      </c>
      <c r="H244" s="7"/>
      <c r="I244" s="7"/>
      <c r="K244" s="6">
        <v>0</v>
      </c>
      <c r="L244" s="6">
        <v>0</v>
      </c>
      <c r="M244" s="6">
        <v>0</v>
      </c>
      <c r="N244" s="6">
        <v>1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89"/>
      <c r="Y244" s="6">
        <v>29</v>
      </c>
      <c r="Z244" s="118">
        <v>65535</v>
      </c>
      <c r="AA244" s="6">
        <v>32768</v>
      </c>
      <c r="AB244" s="118">
        <v>65535</v>
      </c>
      <c r="AE244" s="96"/>
      <c r="AF244" s="270">
        <f>IF(V244=1,MAX($AF$6:AF243)+1,IF(AF243="#",0,IF(AND(D243=D244,K243=K244,L243=L244,M243=M244,N243=N244,O243=O244,P243=P244,Q243=Q244,R243=R244,S243=S244,T243=T244,U243=U244,V243=V244,W243=W244,HEX2DEC(SUBSTITUTE(AH243,"0x",""))&lt;HEX2DEC(SUBSTITUTE(AH244,"0x",""))),"",MAX($AF$6:AF243)+1)))</f>
        <v>153</v>
      </c>
      <c r="AG244" s="225">
        <f>IF(MAX(INDEX($AF:$AF,ROW($AG$6)):INDEX($AF:$AF,ROW(AG244)))+1=AF245,MAX(INDEX($AF:$AF,ROW($AG$6)):INDEX($AF:$AF,ROW(AG244))),"")</f>
        <v>153</v>
      </c>
      <c r="AH244" s="6" t="str">
        <f t="shared" si="22"/>
        <v>0x400004a5</v>
      </c>
      <c r="AI244" s="6">
        <f t="shared" si="23"/>
        <v>1073743013</v>
      </c>
      <c r="AJ244" s="6" t="str">
        <f t="shared" si="24"/>
        <v>0x400004a5</v>
      </c>
      <c r="AK244" s="6" t="str">
        <f t="shared" si="21"/>
        <v>0x400004a5</v>
      </c>
      <c r="AL244" s="6">
        <f t="shared" si="25"/>
        <v>8</v>
      </c>
      <c r="AN244" s="6" t="str">
        <f t="shared" si="26"/>
        <v>ok</v>
      </c>
      <c r="AO244" s="6" t="s">
        <v>5</v>
      </c>
    </row>
    <row r="245" spans="1:41">
      <c r="A245" s="7" t="s">
        <v>632</v>
      </c>
      <c r="B245" s="7" t="s">
        <v>631</v>
      </c>
      <c r="C245" s="7" t="s">
        <v>29</v>
      </c>
      <c r="D245" s="7">
        <v>64</v>
      </c>
      <c r="E245" s="7">
        <v>2000</v>
      </c>
      <c r="F245" s="7" t="s">
        <v>31</v>
      </c>
      <c r="G245" s="7" t="s">
        <v>32</v>
      </c>
      <c r="H245" s="7"/>
      <c r="I245" s="7"/>
      <c r="K245" s="6">
        <v>0</v>
      </c>
      <c r="L245" s="6">
        <v>0</v>
      </c>
      <c r="M245" s="6">
        <v>0</v>
      </c>
      <c r="N245" s="6">
        <v>1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89"/>
      <c r="Y245" s="6">
        <v>29</v>
      </c>
      <c r="Z245" s="118">
        <v>65535</v>
      </c>
      <c r="AA245" s="6">
        <v>32768</v>
      </c>
      <c r="AB245" s="118">
        <v>65535</v>
      </c>
      <c r="AE245" s="96"/>
      <c r="AF245" s="270">
        <f>IF(V245=1,MAX($AF$6:AF244)+1,IF(AF244="#",0,IF(AND(D244=D245,K244=K245,L244=L245,M244=M245,N244=N245,O244=O245,P244=P245,Q244=Q245,R244=R245,S244=S245,T244=T245,U244=U245,V244=V245,W244=W245,HEX2DEC(SUBSTITUTE(AH244,"0x",""))&lt;HEX2DEC(SUBSTITUTE(AH245,"0x",""))),"",MAX($AF$6:AF244)+1)))</f>
        <v>154</v>
      </c>
      <c r="AG245" s="225">
        <f>IF(MAX(INDEX($AF:$AF,ROW($AG$6)):INDEX($AF:$AF,ROW(AG245)))+1=AF246,MAX(INDEX($AF:$AF,ROW($AG$6)):INDEX($AF:$AF,ROW(AG245))),"")</f>
        <v>154</v>
      </c>
      <c r="AH245" s="6" t="str">
        <f t="shared" si="22"/>
        <v>0x40000491</v>
      </c>
      <c r="AI245" s="6">
        <f t="shared" si="23"/>
        <v>1073742993</v>
      </c>
      <c r="AJ245" s="6" t="str">
        <f t="shared" si="24"/>
        <v>0x40000491</v>
      </c>
      <c r="AK245" s="6" t="str">
        <f t="shared" si="21"/>
        <v>0x40000491</v>
      </c>
      <c r="AL245" s="6">
        <f t="shared" si="25"/>
        <v>64</v>
      </c>
      <c r="AN245" s="6" t="str">
        <f t="shared" si="26"/>
        <v>not ok</v>
      </c>
    </row>
    <row r="246" spans="1:41">
      <c r="A246" s="7" t="s">
        <v>637</v>
      </c>
      <c r="B246" s="7" t="s">
        <v>636</v>
      </c>
      <c r="C246" s="7" t="s">
        <v>29</v>
      </c>
      <c r="D246" s="7">
        <v>8</v>
      </c>
      <c r="E246" s="7">
        <v>1000</v>
      </c>
      <c r="F246" s="7" t="s">
        <v>31</v>
      </c>
      <c r="G246" s="7" t="s">
        <v>32</v>
      </c>
      <c r="H246" s="7"/>
      <c r="I246" s="7"/>
      <c r="K246" s="6">
        <v>0</v>
      </c>
      <c r="L246" s="6">
        <v>0</v>
      </c>
      <c r="M246" s="6">
        <v>0</v>
      </c>
      <c r="N246" s="6">
        <v>1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89"/>
      <c r="Y246" s="6">
        <v>29</v>
      </c>
      <c r="Z246" s="118">
        <v>65535</v>
      </c>
      <c r="AA246" s="6">
        <v>32768</v>
      </c>
      <c r="AB246" s="118">
        <v>65535</v>
      </c>
      <c r="AE246" s="96"/>
      <c r="AF246" s="270">
        <f>IF(V246=1,MAX($AF$6:AF245)+1,IF(AF245="#",0,IF(AND(D245=D246,K245=K246,L245=L246,M245=M246,N245=N246,O245=O246,P245=P246,Q245=Q246,R245=R246,S245=S246,T245=T246,U245=U246,V245=V246,W245=W246,HEX2DEC(SUBSTITUTE(AH245,"0x",""))&lt;HEX2DEC(SUBSTITUTE(AH246,"0x",""))),"",MAX($AF$6:AF245)+1)))</f>
        <v>155</v>
      </c>
      <c r="AG246" s="225" t="str">
        <f>IF(MAX(INDEX($AF:$AF,ROW($AG$6)):INDEX($AF:$AF,ROW(AG246)))+1=AF247,MAX(INDEX($AF:$AF,ROW($AG$6)):INDEX($AF:$AF,ROW(AG246))),"")</f>
        <v/>
      </c>
      <c r="AH246" s="6" t="str">
        <f t="shared" si="22"/>
        <v>0x40000495</v>
      </c>
      <c r="AI246" s="6">
        <f t="shared" si="23"/>
        <v>1073742997</v>
      </c>
      <c r="AJ246" s="6" t="str">
        <f t="shared" si="24"/>
        <v>0x40000495</v>
      </c>
      <c r="AK246" s="6" t="str">
        <f t="shared" si="21"/>
        <v>0x40000496</v>
      </c>
      <c r="AL246" s="6">
        <f t="shared" si="25"/>
        <v>8</v>
      </c>
      <c r="AN246" s="6" t="str">
        <f t="shared" si="26"/>
        <v>ok</v>
      </c>
      <c r="AO246" s="6" t="s">
        <v>5</v>
      </c>
    </row>
    <row r="247" spans="1:41">
      <c r="A247" s="7" t="s">
        <v>642</v>
      </c>
      <c r="B247" s="7" t="s">
        <v>641</v>
      </c>
      <c r="C247" s="7" t="s">
        <v>29</v>
      </c>
      <c r="D247" s="7">
        <v>8</v>
      </c>
      <c r="E247" s="7">
        <v>1000</v>
      </c>
      <c r="F247" s="7" t="s">
        <v>31</v>
      </c>
      <c r="G247" s="7" t="s">
        <v>32</v>
      </c>
      <c r="H247" s="7"/>
      <c r="I247" s="7"/>
      <c r="K247" s="6">
        <v>0</v>
      </c>
      <c r="L247" s="6">
        <v>0</v>
      </c>
      <c r="M247" s="6">
        <v>0</v>
      </c>
      <c r="N247" s="6">
        <v>1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89"/>
      <c r="Y247" s="6">
        <v>29</v>
      </c>
      <c r="Z247" s="118">
        <v>65535</v>
      </c>
      <c r="AA247" s="6">
        <v>32768</v>
      </c>
      <c r="AB247" s="118">
        <v>65535</v>
      </c>
      <c r="AE247" s="96"/>
      <c r="AF247" s="270" t="str">
        <f>IF(V247=1,MAX($AF$6:AF246)+1,IF(AF246="#",0,IF(AND(D246=D247,K246=K247,L246=L247,M246=M247,N246=N247,O246=O247,P246=P247,Q246=Q247,R246=R247,S246=S247,T246=T247,U246=U247,V246=V247,W246=W247,HEX2DEC(SUBSTITUTE(AH246,"0x",""))&lt;HEX2DEC(SUBSTITUTE(AH247,"0x",""))),"",MAX($AF$6:AF246)+1)))</f>
        <v/>
      </c>
      <c r="AG247" s="225">
        <f>IF(MAX(INDEX($AF:$AF,ROW($AG$6)):INDEX($AF:$AF,ROW(AG247)))+1=AF248,MAX(INDEX($AF:$AF,ROW($AG$6)):INDEX($AF:$AF,ROW(AG247))),"")</f>
        <v>155</v>
      </c>
      <c r="AH247" s="6" t="str">
        <f t="shared" si="22"/>
        <v>0x40000496</v>
      </c>
      <c r="AI247" s="6">
        <f t="shared" si="23"/>
        <v>1073742998</v>
      </c>
      <c r="AJ247" s="6" t="str">
        <f t="shared" si="24"/>
        <v/>
      </c>
      <c r="AK247" s="6" t="str">
        <f t="shared" si="21"/>
        <v/>
      </c>
      <c r="AL247" s="6" t="str">
        <f t="shared" si="25"/>
        <v/>
      </c>
      <c r="AN247" s="6" t="str">
        <f t="shared" si="26"/>
        <v>ok</v>
      </c>
      <c r="AO247" s="6" t="s">
        <v>5</v>
      </c>
    </row>
    <row r="248" spans="1:41">
      <c r="A248" s="7" t="s">
        <v>645</v>
      </c>
      <c r="B248" s="7" t="s">
        <v>644</v>
      </c>
      <c r="C248" s="7" t="s">
        <v>29</v>
      </c>
      <c r="D248" s="7">
        <v>64</v>
      </c>
      <c r="E248" s="7">
        <v>2000</v>
      </c>
      <c r="F248" s="7" t="s">
        <v>31</v>
      </c>
      <c r="G248" s="7" t="s">
        <v>32</v>
      </c>
      <c r="H248" s="7"/>
      <c r="I248" s="7"/>
      <c r="K248" s="6">
        <v>0</v>
      </c>
      <c r="L248" s="6">
        <v>0</v>
      </c>
      <c r="M248" s="6">
        <v>0</v>
      </c>
      <c r="N248" s="6">
        <v>1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89"/>
      <c r="Y248" s="6">
        <v>29</v>
      </c>
      <c r="Z248" s="118">
        <v>65535</v>
      </c>
      <c r="AA248" s="6">
        <v>32768</v>
      </c>
      <c r="AB248" s="118">
        <v>65535</v>
      </c>
      <c r="AE248" s="96"/>
      <c r="AF248" s="270">
        <f>IF(V248=1,MAX($AF$6:AF247)+1,IF(AF247="#",0,IF(AND(D247=D248,K247=K248,L247=L248,M247=M248,N247=N248,O247=O248,P247=P248,Q247=Q248,R247=R248,S247=S248,T247=T248,U247=U248,V247=V248,W247=W248,HEX2DEC(SUBSTITUTE(AH247,"0x",""))&lt;HEX2DEC(SUBSTITUTE(AH248,"0x",""))),"",MAX($AF$6:AF247)+1)))</f>
        <v>156</v>
      </c>
      <c r="AG248" s="225">
        <f>IF(MAX(INDEX($AF:$AF,ROW($AG$6)):INDEX($AF:$AF,ROW(AG248)))+1=AF249,MAX(INDEX($AF:$AF,ROW($AG$6)):INDEX($AF:$AF,ROW(AG248))),"")</f>
        <v>156</v>
      </c>
      <c r="AH248" s="6" t="str">
        <f t="shared" si="22"/>
        <v>0x40000497</v>
      </c>
      <c r="AI248" s="6">
        <f t="shared" si="23"/>
        <v>1073742999</v>
      </c>
      <c r="AJ248" s="6" t="str">
        <f t="shared" si="24"/>
        <v>0x40000497</v>
      </c>
      <c r="AK248" s="6" t="str">
        <f t="shared" si="21"/>
        <v>0x40000497</v>
      </c>
      <c r="AL248" s="6">
        <f t="shared" si="25"/>
        <v>64</v>
      </c>
      <c r="AN248" s="6" t="str">
        <f t="shared" si="26"/>
        <v>ok</v>
      </c>
    </row>
    <row r="249" spans="1:41">
      <c r="A249" s="7" t="s">
        <v>647</v>
      </c>
      <c r="B249" s="7" t="s">
        <v>646</v>
      </c>
      <c r="C249" s="7" t="s">
        <v>29</v>
      </c>
      <c r="D249" s="7">
        <v>32</v>
      </c>
      <c r="E249" s="7">
        <v>500</v>
      </c>
      <c r="F249" s="7" t="s">
        <v>31</v>
      </c>
      <c r="G249" s="7" t="s">
        <v>32</v>
      </c>
      <c r="H249" s="7"/>
      <c r="I249" s="7"/>
      <c r="K249" s="6">
        <v>0</v>
      </c>
      <c r="L249" s="6">
        <v>0</v>
      </c>
      <c r="M249" s="6">
        <v>0</v>
      </c>
      <c r="N249" s="6">
        <v>1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89"/>
      <c r="Y249" s="6">
        <v>29</v>
      </c>
      <c r="Z249" s="118">
        <v>65535</v>
      </c>
      <c r="AA249" s="6">
        <v>32768</v>
      </c>
      <c r="AB249" s="118">
        <v>65535</v>
      </c>
      <c r="AE249" s="96"/>
      <c r="AF249" s="270">
        <f>IF(V249=1,MAX($AF$6:AF248)+1,IF(AF248="#",0,IF(AND(D248=D249,K248=K249,L248=L249,M248=M249,N248=N249,O248=O249,P248=P249,Q248=Q249,R248=R249,S248=S249,T248=T249,U248=U249,V248=V249,W248=W249,HEX2DEC(SUBSTITUTE(AH248,"0x",""))&lt;HEX2DEC(SUBSTITUTE(AH249,"0x",""))),"",MAX($AF$6:AF248)+1)))</f>
        <v>157</v>
      </c>
      <c r="AG249" s="225" t="str">
        <f>IF(MAX(INDEX($AF:$AF,ROW($AG$6)):INDEX($AF:$AF,ROW(AG249)))+1=AF250,MAX(INDEX($AF:$AF,ROW($AG$6)):INDEX($AF:$AF,ROW(AG249))),"")</f>
        <v/>
      </c>
      <c r="AH249" s="6" t="str">
        <f t="shared" si="22"/>
        <v>0x400004a0</v>
      </c>
      <c r="AI249" s="6">
        <f t="shared" si="23"/>
        <v>1073743008</v>
      </c>
      <c r="AJ249" s="6" t="str">
        <f t="shared" si="24"/>
        <v>0x400004a0</v>
      </c>
      <c r="AK249" s="6" t="str">
        <f t="shared" si="21"/>
        <v>0x40000506</v>
      </c>
      <c r="AL249" s="6">
        <f t="shared" si="25"/>
        <v>32</v>
      </c>
      <c r="AN249" s="6" t="str">
        <f t="shared" si="26"/>
        <v>ok</v>
      </c>
      <c r="AO249" s="6" t="s">
        <v>5</v>
      </c>
    </row>
    <row r="250" spans="1:41">
      <c r="A250" s="7" t="s">
        <v>656</v>
      </c>
      <c r="B250" s="7" t="s">
        <v>655</v>
      </c>
      <c r="C250" s="7" t="s">
        <v>29</v>
      </c>
      <c r="D250" s="7">
        <v>32</v>
      </c>
      <c r="E250" s="7">
        <v>500</v>
      </c>
      <c r="F250" s="7" t="s">
        <v>31</v>
      </c>
      <c r="G250" s="7" t="s">
        <v>32</v>
      </c>
      <c r="H250" s="7"/>
      <c r="I250" s="7"/>
      <c r="K250" s="6">
        <v>0</v>
      </c>
      <c r="L250" s="6">
        <v>0</v>
      </c>
      <c r="M250" s="6">
        <v>0</v>
      </c>
      <c r="N250" s="6">
        <v>1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89"/>
      <c r="Y250" s="6">
        <v>29</v>
      </c>
      <c r="Z250" s="118">
        <v>65535</v>
      </c>
      <c r="AA250" s="6">
        <v>32768</v>
      </c>
      <c r="AB250" s="118">
        <v>65535</v>
      </c>
      <c r="AE250" s="96"/>
      <c r="AF250" s="270" t="str">
        <f>IF(V250=1,MAX($AF$6:AF249)+1,IF(AF249="#",0,IF(AND(D249=D250,K249=K250,L249=L250,M249=M250,N249=N250,O249=O250,P249=P250,Q249=Q250,R249=R250,S249=S250,T249=T250,U249=U250,V249=V250,W249=W250,HEX2DEC(SUBSTITUTE(AH249,"0x",""))&lt;HEX2DEC(SUBSTITUTE(AH250,"0x",""))),"",MAX($AF$6:AF249)+1)))</f>
        <v/>
      </c>
      <c r="AG250" s="225" t="str">
        <f>IF(MAX(INDEX($AF:$AF,ROW($AG$6)):INDEX($AF:$AF,ROW(AG250)))+1=AF251,MAX(INDEX($AF:$AF,ROW($AG$6)):INDEX($AF:$AF,ROW(AG250))),"")</f>
        <v/>
      </c>
      <c r="AH250" s="6" t="str">
        <f t="shared" si="22"/>
        <v>0x400004ba</v>
      </c>
      <c r="AI250" s="6">
        <f t="shared" si="23"/>
        <v>1073743034</v>
      </c>
      <c r="AJ250" s="6" t="str">
        <f t="shared" si="24"/>
        <v/>
      </c>
      <c r="AK250" s="6" t="str">
        <f t="shared" si="21"/>
        <v/>
      </c>
      <c r="AL250" s="6" t="str">
        <f>IF($AF250&lt;&gt;"",MIN($D250:$D250),"")</f>
        <v/>
      </c>
      <c r="AN250" s="6" t="str">
        <f t="shared" si="26"/>
        <v>ok</v>
      </c>
      <c r="AO250" s="6" t="s">
        <v>5</v>
      </c>
    </row>
    <row r="251" spans="1:41">
      <c r="A251" s="7" t="s">
        <v>659</v>
      </c>
      <c r="B251" s="7" t="s">
        <v>658</v>
      </c>
      <c r="C251" s="7" t="s">
        <v>29</v>
      </c>
      <c r="D251" s="7">
        <v>32</v>
      </c>
      <c r="E251" s="7">
        <v>1000</v>
      </c>
      <c r="F251" s="7" t="s">
        <v>31</v>
      </c>
      <c r="G251" s="7" t="s">
        <v>32</v>
      </c>
      <c r="H251" s="7"/>
      <c r="I251" s="7"/>
      <c r="K251" s="6">
        <v>0</v>
      </c>
      <c r="L251" s="6">
        <v>0</v>
      </c>
      <c r="M251" s="6">
        <v>0</v>
      </c>
      <c r="N251" s="6">
        <v>1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89"/>
      <c r="Y251" s="6">
        <v>29</v>
      </c>
      <c r="Z251" s="118">
        <v>65535</v>
      </c>
      <c r="AA251" s="6">
        <v>32768</v>
      </c>
      <c r="AB251" s="118">
        <v>65535</v>
      </c>
      <c r="AE251" s="96"/>
      <c r="AF251" s="270" t="str">
        <f>IF(V251=1,MAX($AF$6:AF250)+1,IF(AF250="#",0,IF(AND(D250=D251,K250=K251,L250=L251,M250=M251,N250=N251,O250=O251,P250=P251,Q250=Q251,R250=R251,S250=S251,T250=T251,U250=U251,V250=V251,W250=W251,HEX2DEC(SUBSTITUTE(AH250,"0x",""))&lt;HEX2DEC(SUBSTITUTE(AH251,"0x",""))),"",MAX($AF$6:AF250)+1)))</f>
        <v/>
      </c>
      <c r="AG251" s="225">
        <f>IF(MAX(INDEX($AF:$AF,ROW($AG$6)):INDEX($AF:$AF,ROW(AG251)))+1=AF252,MAX(INDEX($AF:$AF,ROW($AG$6)):INDEX($AF:$AF,ROW(AG251))),"")</f>
        <v>157</v>
      </c>
      <c r="AH251" s="6" t="str">
        <f t="shared" si="22"/>
        <v>0x40000506</v>
      </c>
      <c r="AI251" s="6">
        <f t="shared" si="23"/>
        <v>1073743110</v>
      </c>
      <c r="AJ251" s="6" t="str">
        <f t="shared" si="24"/>
        <v/>
      </c>
      <c r="AK251" s="6" t="str">
        <f t="shared" si="21"/>
        <v/>
      </c>
      <c r="AL251" s="6" t="str">
        <f t="shared" si="25"/>
        <v/>
      </c>
      <c r="AN251" s="6" t="str">
        <f t="shared" si="26"/>
        <v>ok</v>
      </c>
    </row>
    <row r="252" spans="1:41">
      <c r="A252" s="7" t="s">
        <v>662</v>
      </c>
      <c r="B252" s="7" t="s">
        <v>661</v>
      </c>
      <c r="C252" s="7" t="s">
        <v>29</v>
      </c>
      <c r="D252" s="7">
        <v>8</v>
      </c>
      <c r="E252" s="7">
        <v>1000</v>
      </c>
      <c r="F252" s="7" t="s">
        <v>31</v>
      </c>
      <c r="G252" s="7" t="s">
        <v>32</v>
      </c>
      <c r="H252" s="7"/>
      <c r="I252" s="7"/>
      <c r="K252" s="6">
        <v>0</v>
      </c>
      <c r="L252" s="6">
        <v>0</v>
      </c>
      <c r="M252" s="6">
        <v>0</v>
      </c>
      <c r="N252" s="6">
        <v>1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89"/>
      <c r="Y252" s="6">
        <v>29</v>
      </c>
      <c r="Z252" s="118">
        <v>65535</v>
      </c>
      <c r="AA252" s="6">
        <v>32768</v>
      </c>
      <c r="AB252" s="118">
        <v>65535</v>
      </c>
      <c r="AE252" s="96"/>
      <c r="AF252" s="270">
        <f>IF(V252=1,MAX($AF$6:AF251)+1,IF(AF251="#",0,IF(AND(D251=D252,K251=K252,L251=L252,M251=M252,N251=N252,O251=O252,P251=P252,Q251=Q252,R251=R252,S251=S252,T251=T252,U251=U252,V251=V252,W251=W252,HEX2DEC(SUBSTITUTE(AH251,"0x",""))&lt;HEX2DEC(SUBSTITUTE(AH252,"0x",""))),"",MAX($AF$6:AF251)+1)))</f>
        <v>158</v>
      </c>
      <c r="AG252" s="225">
        <f>IF(MAX(INDEX($AF:$AF,ROW($AG$6)):INDEX($AF:$AF,ROW(AG252)))+1=AF253,MAX(INDEX($AF:$AF,ROW($AG$6)):INDEX($AF:$AF,ROW(AG252))),"")</f>
        <v>158</v>
      </c>
      <c r="AH252" s="6" t="str">
        <f t="shared" si="22"/>
        <v>0x40000507</v>
      </c>
      <c r="AI252" s="6">
        <f t="shared" si="23"/>
        <v>1073743111</v>
      </c>
      <c r="AJ252" s="6" t="str">
        <f t="shared" si="24"/>
        <v>0x40000507</v>
      </c>
      <c r="AK252" s="6" t="str">
        <f t="shared" si="21"/>
        <v>0x40000507</v>
      </c>
      <c r="AL252" s="6">
        <f t="shared" si="25"/>
        <v>8</v>
      </c>
      <c r="AN252" s="6" t="str">
        <f t="shared" si="26"/>
        <v>ok</v>
      </c>
      <c r="AO252" s="6" t="s">
        <v>5</v>
      </c>
    </row>
    <row r="253" spans="1:41">
      <c r="A253" s="7" t="s">
        <v>665</v>
      </c>
      <c r="B253" s="7" t="s">
        <v>664</v>
      </c>
      <c r="C253" s="7" t="s">
        <v>29</v>
      </c>
      <c r="D253" s="7">
        <v>64</v>
      </c>
      <c r="E253" s="7">
        <v>1000</v>
      </c>
      <c r="F253" s="7" t="s">
        <v>31</v>
      </c>
      <c r="G253" s="7" t="s">
        <v>32</v>
      </c>
      <c r="H253" s="7"/>
      <c r="I253" s="7"/>
      <c r="K253" s="6">
        <v>0</v>
      </c>
      <c r="L253" s="6">
        <v>0</v>
      </c>
      <c r="M253" s="6">
        <v>0</v>
      </c>
      <c r="N253" s="6">
        <v>1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89"/>
      <c r="Y253" s="6">
        <v>29</v>
      </c>
      <c r="Z253" s="118">
        <v>65535</v>
      </c>
      <c r="AA253" s="6">
        <v>32768</v>
      </c>
      <c r="AB253" s="118">
        <v>65535</v>
      </c>
      <c r="AE253" s="96"/>
      <c r="AF253" s="270">
        <f>IF(V253=1,MAX($AF$6:AF252)+1,IF(AF252="#",0,IF(AND(D252=D253,K252=K253,L252=L253,M252=M253,N252=N253,O252=O253,P252=P253,Q252=Q253,R252=R253,S252=S253,T252=T253,U252=U253,V252=V253,W252=W253,HEX2DEC(SUBSTITUTE(AH252,"0x",""))&lt;HEX2DEC(SUBSTITUTE(AH253,"0x",""))),"",MAX($AF$6:AF252)+1)))</f>
        <v>159</v>
      </c>
      <c r="AG253" s="225" t="str">
        <f>IF(MAX(INDEX($AF:$AF,ROW($AG$6)):INDEX($AF:$AF,ROW(AG253)))+1=AF254,MAX(INDEX($AF:$AF,ROW($AG$6)):INDEX($AF:$AF,ROW(AG253))),"")</f>
        <v/>
      </c>
      <c r="AH253" s="6" t="str">
        <f t="shared" si="22"/>
        <v>0x40000508</v>
      </c>
      <c r="AI253" s="6">
        <f t="shared" si="23"/>
        <v>1073743112</v>
      </c>
      <c r="AJ253" s="6" t="str">
        <f t="shared" si="24"/>
        <v>0x40000508</v>
      </c>
      <c r="AK253" s="6" t="str">
        <f t="shared" si="21"/>
        <v>0x4000050c</v>
      </c>
      <c r="AL253" s="6">
        <f t="shared" si="25"/>
        <v>64</v>
      </c>
      <c r="AN253" s="6" t="str">
        <f t="shared" si="26"/>
        <v>ok</v>
      </c>
      <c r="AO253" s="6" t="s">
        <v>5</v>
      </c>
    </row>
    <row r="254" spans="1:41">
      <c r="A254" s="7" t="s">
        <v>670</v>
      </c>
      <c r="B254" s="7" t="s">
        <v>669</v>
      </c>
      <c r="C254" s="7" t="s">
        <v>29</v>
      </c>
      <c r="D254" s="7">
        <v>64</v>
      </c>
      <c r="E254" s="7">
        <v>1000</v>
      </c>
      <c r="F254" s="7" t="s">
        <v>31</v>
      </c>
      <c r="G254" s="7" t="s">
        <v>32</v>
      </c>
      <c r="H254" s="7"/>
      <c r="I254" s="7"/>
      <c r="K254" s="6">
        <v>0</v>
      </c>
      <c r="L254" s="6">
        <v>0</v>
      </c>
      <c r="M254" s="6">
        <v>0</v>
      </c>
      <c r="N254" s="6">
        <v>1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89"/>
      <c r="Y254" s="6">
        <v>29</v>
      </c>
      <c r="Z254" s="118">
        <v>65535</v>
      </c>
      <c r="AA254" s="6">
        <v>32768</v>
      </c>
      <c r="AB254" s="118">
        <v>65535</v>
      </c>
      <c r="AE254" s="96"/>
      <c r="AF254" s="270" t="str">
        <f>IF(V254=1,MAX($AF$6:AF253)+1,IF(AF253="#",0,IF(AND(D253=D254,K253=K254,L253=L254,M253=M254,N253=N254,O253=O254,P253=P254,Q253=Q254,R253=R254,S253=S254,T253=T254,U253=U254,V253=V254,W253=W254,HEX2DEC(SUBSTITUTE(AH253,"0x",""))&lt;HEX2DEC(SUBSTITUTE(AH254,"0x",""))),"",MAX($AF$6:AF253)+1)))</f>
        <v/>
      </c>
      <c r="AG254" s="225">
        <f>IF(MAX(INDEX($AF:$AF,ROW($AG$6)):INDEX($AF:$AF,ROW(AG254)))+1=AF255,MAX(INDEX($AF:$AF,ROW($AG$6)):INDEX($AF:$AF,ROW(AG254))),"")</f>
        <v>159</v>
      </c>
      <c r="AH254" s="6" t="str">
        <f t="shared" si="22"/>
        <v>0x4000050c</v>
      </c>
      <c r="AI254" s="6">
        <f t="shared" si="23"/>
        <v>1073743116</v>
      </c>
      <c r="AJ254" s="6" t="str">
        <f t="shared" si="24"/>
        <v/>
      </c>
      <c r="AK254" s="6" t="str">
        <f t="shared" si="21"/>
        <v/>
      </c>
      <c r="AL254" s="6" t="str">
        <f t="shared" si="25"/>
        <v/>
      </c>
      <c r="AN254" s="6" t="str">
        <f t="shared" si="26"/>
        <v>ok</v>
      </c>
    </row>
    <row r="255" spans="1:41">
      <c r="A255" s="7" t="s">
        <v>680</v>
      </c>
      <c r="B255" s="7" t="s">
        <v>679</v>
      </c>
      <c r="C255" s="7" t="s">
        <v>29</v>
      </c>
      <c r="D255" s="7">
        <v>8</v>
      </c>
      <c r="E255" s="7" t="s">
        <v>30</v>
      </c>
      <c r="F255" s="7" t="s">
        <v>31</v>
      </c>
      <c r="G255" s="7" t="s">
        <v>32</v>
      </c>
      <c r="H255" s="7"/>
      <c r="I255" s="7"/>
      <c r="K255" s="6">
        <v>0</v>
      </c>
      <c r="L255" s="6">
        <v>0</v>
      </c>
      <c r="M255" s="6">
        <v>0</v>
      </c>
      <c r="N255" s="6">
        <v>1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89"/>
      <c r="Y255" s="6">
        <v>29</v>
      </c>
      <c r="Z255" s="118">
        <v>65535</v>
      </c>
      <c r="AA255" s="6">
        <v>32768</v>
      </c>
      <c r="AB255" s="118">
        <v>65535</v>
      </c>
      <c r="AE255" s="96"/>
      <c r="AF255" s="270">
        <f>IF(V255=1,MAX($AF$6:AF254)+1,IF(AF254="#",0,IF(AND(D254=D255,K254=K255,L254=L255,M254=M255,N254=N255,O254=O255,P254=P255,Q254=Q255,R254=R255,S254=S255,T254=T255,U254=U255,V254=V255,W254=W255,HEX2DEC(SUBSTITUTE(AH254,"0x",""))&lt;HEX2DEC(SUBSTITUTE(AH255,"0x",""))),"",MAX($AF$6:AF254)+1)))</f>
        <v>160</v>
      </c>
      <c r="AG255" s="225">
        <f>IF(MAX(INDEX($AF:$AF,ROW($AG$6)):INDEX($AF:$AF,ROW(AG255)))+1=AF256,MAX(INDEX($AF:$AF,ROW($AG$6)):INDEX($AF:$AF,ROW(AG255))),"")</f>
        <v>160</v>
      </c>
      <c r="AH255" s="6" t="str">
        <f t="shared" si="22"/>
        <v>0x40000528</v>
      </c>
      <c r="AI255" s="6">
        <f t="shared" si="23"/>
        <v>1073743144</v>
      </c>
      <c r="AJ255" s="6" t="str">
        <f t="shared" si="24"/>
        <v>0x40000528</v>
      </c>
      <c r="AK255" s="6" t="str">
        <f t="shared" si="21"/>
        <v>0x40000528</v>
      </c>
      <c r="AL255" s="6">
        <f t="shared" si="25"/>
        <v>8</v>
      </c>
      <c r="AN255" s="6" t="str">
        <f t="shared" si="26"/>
        <v>ok</v>
      </c>
      <c r="AO255" s="6" t="s">
        <v>5</v>
      </c>
    </row>
    <row r="256" spans="1:41">
      <c r="A256" s="7" t="s">
        <v>685</v>
      </c>
      <c r="B256" s="7" t="s">
        <v>684</v>
      </c>
      <c r="C256" s="7" t="s">
        <v>29</v>
      </c>
      <c r="D256" s="7">
        <v>64</v>
      </c>
      <c r="E256" s="7">
        <v>1000</v>
      </c>
      <c r="F256" s="7" t="s">
        <v>31</v>
      </c>
      <c r="G256" s="7" t="s">
        <v>32</v>
      </c>
      <c r="H256" s="7"/>
      <c r="I256" s="7"/>
      <c r="K256" s="6">
        <v>0</v>
      </c>
      <c r="L256" s="6">
        <v>0</v>
      </c>
      <c r="M256" s="6">
        <v>0</v>
      </c>
      <c r="N256" s="6">
        <v>1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89"/>
      <c r="Y256" s="6">
        <v>29</v>
      </c>
      <c r="Z256" s="118">
        <v>65535</v>
      </c>
      <c r="AA256" s="6">
        <v>32768</v>
      </c>
      <c r="AB256" s="118">
        <v>65535</v>
      </c>
      <c r="AE256" s="96"/>
      <c r="AF256" s="270">
        <f>IF(V256=1,MAX($AF$6:AF255)+1,IF(AF255="#",0,IF(AND(D255=D256,K255=K256,L255=L256,M255=M256,N255=N256,O255=O256,P255=P256,Q255=Q256,R255=R256,S255=S256,T255=T256,U255=U256,V255=V256,W255=W256,HEX2DEC(SUBSTITUTE(AH255,"0x",""))&lt;HEX2DEC(SUBSTITUTE(AH256,"0x",""))),"",MAX($AF$6:AF255)+1)))</f>
        <v>161</v>
      </c>
      <c r="AG256" s="225">
        <f>IF(MAX(INDEX($AF:$AF,ROW($AG$6)):INDEX($AF:$AF,ROW(AG256)))+1=AF257,MAX(INDEX($AF:$AF,ROW($AG$6)):INDEX($AF:$AF,ROW(AG256))),"")</f>
        <v>161</v>
      </c>
      <c r="AH256" s="6" t="str">
        <f t="shared" si="22"/>
        <v>0x4000052c</v>
      </c>
      <c r="AI256" s="6">
        <f t="shared" si="23"/>
        <v>1073743148</v>
      </c>
      <c r="AJ256" s="6" t="str">
        <f t="shared" si="24"/>
        <v>0x4000052c</v>
      </c>
      <c r="AK256" s="6" t="str">
        <f t="shared" si="21"/>
        <v>0x4000052c</v>
      </c>
      <c r="AL256" s="6">
        <f t="shared" si="25"/>
        <v>64</v>
      </c>
      <c r="AN256" s="6" t="str">
        <f t="shared" si="26"/>
        <v>ok</v>
      </c>
    </row>
    <row r="257" spans="1:41">
      <c r="A257" s="7" t="s">
        <v>667</v>
      </c>
      <c r="B257" s="7" t="s">
        <v>666</v>
      </c>
      <c r="C257" s="7" t="s">
        <v>29</v>
      </c>
      <c r="D257" s="7">
        <v>64</v>
      </c>
      <c r="E257" s="7">
        <v>1000</v>
      </c>
      <c r="F257" s="7" t="s">
        <v>31</v>
      </c>
      <c r="G257" s="7" t="s">
        <v>32</v>
      </c>
      <c r="H257" s="7"/>
      <c r="I257" s="7"/>
      <c r="K257" s="6">
        <v>0</v>
      </c>
      <c r="L257" s="6">
        <v>0</v>
      </c>
      <c r="M257" s="6">
        <v>0</v>
      </c>
      <c r="N257" s="6">
        <v>1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89"/>
      <c r="Y257" s="6">
        <v>29</v>
      </c>
      <c r="Z257" s="118">
        <v>65535</v>
      </c>
      <c r="AA257" s="6">
        <v>32768</v>
      </c>
      <c r="AB257" s="118">
        <v>65535</v>
      </c>
      <c r="AE257" s="96"/>
      <c r="AF257" s="270">
        <f>IF(V257=1,MAX($AF$6:AF256)+1,IF(AF256="#",0,IF(AND(D256=D257,K256=K257,L256=L257,M256=M257,N256=N257,O256=O257,P256=P257,Q256=Q257,R256=R257,S256=S257,T256=T257,U256=U257,V256=V257,W256=W257,HEX2DEC(SUBSTITUTE(AH256,"0x",""))&lt;HEX2DEC(SUBSTITUTE(AH257,"0x",""))),"",MAX($AF$6:AF256)+1)))</f>
        <v>162</v>
      </c>
      <c r="AG257" s="225" t="str">
        <f>IF(MAX(INDEX($AF:$AF,ROW($AG$6)):INDEX($AF:$AF,ROW(AG257)))+1=AF258,MAX(INDEX($AF:$AF,ROW($AG$6)):INDEX($AF:$AF,ROW(AG257))),"")</f>
        <v/>
      </c>
      <c r="AH257" s="6" t="str">
        <f t="shared" si="22"/>
        <v>0x4000050b</v>
      </c>
      <c r="AI257" s="6">
        <f t="shared" si="23"/>
        <v>1073743115</v>
      </c>
      <c r="AJ257" s="6" t="str">
        <f t="shared" si="24"/>
        <v>0x4000050b</v>
      </c>
      <c r="AK257" s="6" t="str">
        <f t="shared" si="21"/>
        <v>0x4000052b</v>
      </c>
      <c r="AL257" s="6">
        <f t="shared" si="25"/>
        <v>64</v>
      </c>
      <c r="AN257" s="6" t="str">
        <f t="shared" si="26"/>
        <v>not ok</v>
      </c>
    </row>
    <row r="258" spans="1:41">
      <c r="A258" s="7" t="s">
        <v>683</v>
      </c>
      <c r="B258" s="7" t="s">
        <v>682</v>
      </c>
      <c r="C258" s="7" t="s">
        <v>29</v>
      </c>
      <c r="D258" s="7">
        <v>64</v>
      </c>
      <c r="E258" s="7">
        <v>1000</v>
      </c>
      <c r="F258" s="7" t="s">
        <v>31</v>
      </c>
      <c r="G258" s="7" t="s">
        <v>32</v>
      </c>
      <c r="H258" s="7"/>
      <c r="I258" s="7"/>
      <c r="K258" s="6">
        <v>0</v>
      </c>
      <c r="L258" s="6">
        <v>0</v>
      </c>
      <c r="M258" s="6">
        <v>0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89"/>
      <c r="Y258" s="6">
        <v>29</v>
      </c>
      <c r="Z258" s="118">
        <v>65535</v>
      </c>
      <c r="AA258" s="6">
        <v>32768</v>
      </c>
      <c r="AB258" s="118">
        <v>65535</v>
      </c>
      <c r="AE258" s="96"/>
      <c r="AF258" s="270" t="str">
        <f>IF(V258=1,MAX($AF$6:AF257)+1,IF(AF257="#",0,IF(AND(D257=D258,K257=K258,L257=L258,M257=M258,N257=N258,O257=O258,P257=P258,Q257=Q258,R257=R258,S257=S258,T257=T258,U257=U258,V257=V258,W257=W258,HEX2DEC(SUBSTITUTE(AH257,"0x",""))&lt;HEX2DEC(SUBSTITUTE(AH258,"0x",""))),"",MAX($AF$6:AF257)+1)))</f>
        <v/>
      </c>
      <c r="AG258" s="225">
        <f>IF(MAX(INDEX($AF:$AF,ROW($AG$6)):INDEX($AF:$AF,ROW(AG258)))+1=AF259,MAX(INDEX($AF:$AF,ROW($AG$6)):INDEX($AF:$AF,ROW(AG258))),"")</f>
        <v>162</v>
      </c>
      <c r="AH258" s="6" t="str">
        <f t="shared" si="22"/>
        <v>0x4000052b</v>
      </c>
      <c r="AI258" s="6">
        <f t="shared" si="23"/>
        <v>1073743147</v>
      </c>
      <c r="AJ258" s="6" t="str">
        <f t="shared" si="24"/>
        <v/>
      </c>
      <c r="AK258" s="6" t="str">
        <f t="shared" si="21"/>
        <v/>
      </c>
      <c r="AL258" s="6" t="str">
        <f t="shared" si="25"/>
        <v/>
      </c>
      <c r="AN258" s="6" t="str">
        <f t="shared" si="26"/>
        <v>ok</v>
      </c>
    </row>
    <row r="259" spans="1:41">
      <c r="A259" s="7" t="s">
        <v>672</v>
      </c>
      <c r="B259" s="7" t="s">
        <v>671</v>
      </c>
      <c r="C259" s="7" t="s">
        <v>29</v>
      </c>
      <c r="D259" s="7">
        <v>64</v>
      </c>
      <c r="E259" s="7">
        <v>1000</v>
      </c>
      <c r="F259" s="7" t="s">
        <v>31</v>
      </c>
      <c r="G259" s="7" t="s">
        <v>32</v>
      </c>
      <c r="H259" s="7"/>
      <c r="I259" s="7"/>
      <c r="K259" s="6">
        <v>0</v>
      </c>
      <c r="L259" s="6">
        <v>0</v>
      </c>
      <c r="M259" s="6">
        <v>0</v>
      </c>
      <c r="N259" s="6">
        <v>1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89"/>
      <c r="Y259" s="6">
        <v>29</v>
      </c>
      <c r="Z259" s="118">
        <v>65535</v>
      </c>
      <c r="AA259" s="6">
        <v>32768</v>
      </c>
      <c r="AB259" s="118">
        <v>65535</v>
      </c>
      <c r="AE259" s="96"/>
      <c r="AF259" s="270">
        <f>IF(V259=1,MAX($AF$6:AF258)+1,IF(AF258="#",0,IF(AND(D258=D259,K258=K259,L258=L259,M258=M259,N258=N259,O258=O259,P258=P259,Q258=Q259,R258=R259,S258=S259,T258=T259,U258=U259,V258=V259,W258=W259,HEX2DEC(SUBSTITUTE(AH258,"0x",""))&lt;HEX2DEC(SUBSTITUTE(AH259,"0x",""))),"",MAX($AF$6:AF258)+1)))</f>
        <v>163</v>
      </c>
      <c r="AG259" s="225">
        <f>IF(MAX(INDEX($AF:$AF,ROW($AG$6)):INDEX($AF:$AF,ROW(AG259)))+1=AF260,MAX(INDEX($AF:$AF,ROW($AG$6)):INDEX($AF:$AF,ROW(AG259))),"")</f>
        <v>163</v>
      </c>
      <c r="AH259" s="6" t="str">
        <f t="shared" si="22"/>
        <v>0x4000050e</v>
      </c>
      <c r="AI259" s="6">
        <f t="shared" si="23"/>
        <v>1073743118</v>
      </c>
      <c r="AJ259" s="6" t="str">
        <f t="shared" si="24"/>
        <v>0x4000050e</v>
      </c>
      <c r="AK259" s="6" t="str">
        <f t="shared" si="21"/>
        <v>0x4000050e</v>
      </c>
      <c r="AL259" s="6">
        <f t="shared" si="25"/>
        <v>64</v>
      </c>
      <c r="AN259" s="6" t="str">
        <f t="shared" si="26"/>
        <v>not ok</v>
      </c>
      <c r="AO259" s="6" t="s">
        <v>5</v>
      </c>
    </row>
    <row r="260" spans="1:41">
      <c r="A260" s="7" t="s">
        <v>675</v>
      </c>
      <c r="B260" s="7" t="s">
        <v>674</v>
      </c>
      <c r="C260" s="7" t="s">
        <v>29</v>
      </c>
      <c r="D260" s="7">
        <v>8</v>
      </c>
      <c r="E260" s="7">
        <v>1000</v>
      </c>
      <c r="F260" s="7" t="s">
        <v>31</v>
      </c>
      <c r="G260" s="7" t="s">
        <v>32</v>
      </c>
      <c r="H260" s="7"/>
      <c r="I260" s="7"/>
      <c r="K260" s="6">
        <v>0</v>
      </c>
      <c r="L260" s="6">
        <v>0</v>
      </c>
      <c r="M260" s="6">
        <v>0</v>
      </c>
      <c r="N260" s="6">
        <v>1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89"/>
      <c r="Y260" s="6">
        <v>29</v>
      </c>
      <c r="Z260" s="118">
        <v>65535</v>
      </c>
      <c r="AA260" s="6">
        <v>32768</v>
      </c>
      <c r="AB260" s="118">
        <v>65535</v>
      </c>
      <c r="AE260" s="96"/>
      <c r="AF260" s="270">
        <f>IF(V260=1,MAX($AF$6:AF259)+1,IF(AF259="#",0,IF(AND(D259=D260,K259=K260,L259=L260,M259=M260,N259=N260,O259=O260,P259=P260,Q259=Q260,R259=R260,S259=S260,T259=T260,U259=U260,V259=V260,W259=W260,HEX2DEC(SUBSTITUTE(AH259,"0x",""))&lt;HEX2DEC(SUBSTITUTE(AH260,"0x",""))),"",MAX($AF$6:AF259)+1)))</f>
        <v>164</v>
      </c>
      <c r="AG260" s="225">
        <f>IF(MAX(INDEX($AF:$AF,ROW($AG$6)):INDEX($AF:$AF,ROW(AG260)))+1=AF261,MAX(INDEX($AF:$AF,ROW($AG$6)):INDEX($AF:$AF,ROW(AG260))),"")</f>
        <v>164</v>
      </c>
      <c r="AH260" s="6" t="str">
        <f t="shared" si="22"/>
        <v>0x4000051e</v>
      </c>
      <c r="AI260" s="6">
        <f t="shared" si="23"/>
        <v>1073743134</v>
      </c>
      <c r="AJ260" s="6" t="str">
        <f t="shared" si="24"/>
        <v>0x4000051e</v>
      </c>
      <c r="AK260" s="6" t="str">
        <f t="shared" si="21"/>
        <v>0x4000051e</v>
      </c>
      <c r="AL260" s="6">
        <f t="shared" si="25"/>
        <v>8</v>
      </c>
      <c r="AN260" s="6" t="str">
        <f t="shared" si="26"/>
        <v>ok</v>
      </c>
    </row>
    <row r="261" spans="1:41">
      <c r="A261" s="7" t="s">
        <v>678</v>
      </c>
      <c r="B261" s="7" t="s">
        <v>677</v>
      </c>
      <c r="C261" s="7" t="s">
        <v>29</v>
      </c>
      <c r="D261" s="7">
        <v>64</v>
      </c>
      <c r="E261" s="7">
        <v>2000</v>
      </c>
      <c r="F261" s="7" t="s">
        <v>31</v>
      </c>
      <c r="G261" s="7" t="s">
        <v>32</v>
      </c>
      <c r="H261" s="7"/>
      <c r="I261" s="7"/>
      <c r="K261" s="6">
        <v>0</v>
      </c>
      <c r="L261" s="6">
        <v>0</v>
      </c>
      <c r="M261" s="6">
        <v>0</v>
      </c>
      <c r="N261" s="6">
        <v>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89"/>
      <c r="Y261" s="6">
        <v>29</v>
      </c>
      <c r="Z261" s="118">
        <v>65535</v>
      </c>
      <c r="AA261" s="6">
        <v>32768</v>
      </c>
      <c r="AB261" s="118">
        <v>65535</v>
      </c>
      <c r="AE261" s="96"/>
      <c r="AF261" s="270">
        <f>IF(V261=1,MAX($AF$6:AF260)+1,IF(AF260="#",0,IF(AND(D260=D261,K260=K261,L260=L261,M260=M261,N260=N261,O260=O261,P260=P261,Q260=Q261,R260=R261,S260=S261,T260=T261,U260=U261,V260=V261,W260=W261,HEX2DEC(SUBSTITUTE(AH260,"0x",""))&lt;HEX2DEC(SUBSTITUTE(AH261,"0x",""))),"",MAX($AF$6:AF260)+1)))</f>
        <v>165</v>
      </c>
      <c r="AG261" s="225" t="str">
        <f>IF(MAX(INDEX($AF:$AF,ROW($AG$6)):INDEX($AF:$AF,ROW(AG261)))+1=AF262,MAX(INDEX($AF:$AF,ROW($AG$6)):INDEX($AF:$AF,ROW(AG261))),"")</f>
        <v/>
      </c>
      <c r="AH261" s="6" t="str">
        <f t="shared" si="22"/>
        <v>0x40000526</v>
      </c>
      <c r="AI261" s="6">
        <f t="shared" si="23"/>
        <v>1073743142</v>
      </c>
      <c r="AJ261" s="6" t="str">
        <f t="shared" si="24"/>
        <v>0x40000526</v>
      </c>
      <c r="AK261" s="6" t="str">
        <f t="shared" si="21"/>
        <v>0x40000531</v>
      </c>
      <c r="AL261" s="6">
        <f t="shared" si="25"/>
        <v>64</v>
      </c>
      <c r="AN261" s="6" t="str">
        <f t="shared" si="26"/>
        <v>ok</v>
      </c>
      <c r="AO261" s="6" t="s">
        <v>5</v>
      </c>
    </row>
    <row r="262" spans="1:41">
      <c r="A262" s="7" t="s">
        <v>689</v>
      </c>
      <c r="B262" s="7" t="s">
        <v>688</v>
      </c>
      <c r="C262" s="7" t="s">
        <v>29</v>
      </c>
      <c r="D262" s="7">
        <v>64</v>
      </c>
      <c r="E262" s="7">
        <v>1000</v>
      </c>
      <c r="F262" s="7" t="s">
        <v>31</v>
      </c>
      <c r="G262" s="7" t="s">
        <v>32</v>
      </c>
      <c r="H262" s="7"/>
      <c r="I262" s="7"/>
      <c r="K262" s="6">
        <v>0</v>
      </c>
      <c r="L262" s="6">
        <v>0</v>
      </c>
      <c r="M262" s="6">
        <v>0</v>
      </c>
      <c r="N262" s="6">
        <v>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89"/>
      <c r="Y262" s="6">
        <v>29</v>
      </c>
      <c r="Z262" s="118">
        <v>65535</v>
      </c>
      <c r="AA262" s="6">
        <v>32768</v>
      </c>
      <c r="AB262" s="118">
        <v>65535</v>
      </c>
      <c r="AE262" s="96"/>
      <c r="AF262" s="270" t="str">
        <f>IF(V262=1,MAX($AF$6:AF261)+1,IF(AF261="#",0,IF(AND(D261=D262,K261=K262,L261=L262,M261=M262,N261=N262,O261=O262,P261=P262,Q261=Q262,R261=R262,S261=S262,T261=T262,U261=U262,V261=V262,W261=W262,HEX2DEC(SUBSTITUTE(AH261,"0x",""))&lt;HEX2DEC(SUBSTITUTE(AH262,"0x",""))),"",MAX($AF$6:AF261)+1)))</f>
        <v/>
      </c>
      <c r="AG262" s="225">
        <f>IF(MAX(INDEX($AF:$AF,ROW($AG$6)):INDEX($AF:$AF,ROW(AG262)))+1=AF263,MAX(INDEX($AF:$AF,ROW($AG$6)):INDEX($AF:$AF,ROW(AG262))),"")</f>
        <v>165</v>
      </c>
      <c r="AH262" s="6" t="str">
        <f t="shared" si="22"/>
        <v>0x40000531</v>
      </c>
      <c r="AI262" s="6">
        <f t="shared" si="23"/>
        <v>1073743153</v>
      </c>
      <c r="AJ262" s="6" t="str">
        <f t="shared" si="24"/>
        <v/>
      </c>
      <c r="AK262" s="6" t="str">
        <f t="shared" ref="AK262:AK286" si="27">IF(AF262&lt;&gt;"",VLOOKUP(AF262,$AG$6:$AH$286,2,TRUE),"")</f>
        <v/>
      </c>
      <c r="AL262" s="6" t="str">
        <f t="shared" si="25"/>
        <v/>
      </c>
      <c r="AN262" s="6" t="str">
        <f t="shared" si="26"/>
        <v>ok</v>
      </c>
    </row>
    <row r="263" spans="1:41">
      <c r="A263" s="7" t="s">
        <v>828</v>
      </c>
      <c r="B263" s="7" t="s">
        <v>691</v>
      </c>
      <c r="C263" s="7" t="s">
        <v>29</v>
      </c>
      <c r="D263" s="7">
        <v>64</v>
      </c>
      <c r="E263" s="7">
        <v>1000</v>
      </c>
      <c r="F263" s="7" t="s">
        <v>29</v>
      </c>
      <c r="G263" s="7" t="s">
        <v>32</v>
      </c>
      <c r="H263" s="7"/>
      <c r="I263" s="7"/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1</v>
      </c>
      <c r="W263" s="6">
        <v>0</v>
      </c>
      <c r="X263" s="89"/>
      <c r="Y263" s="6">
        <v>28</v>
      </c>
      <c r="Z263" s="87">
        <f>VLOOKUP(A263,SecOC_Cfg.h!$C$33:$D$61,2,FALSE)</f>
        <v>26</v>
      </c>
      <c r="AA263" s="118">
        <v>65535</v>
      </c>
      <c r="AB263" s="118">
        <v>65535</v>
      </c>
      <c r="AE263" s="96"/>
      <c r="AF263" s="270">
        <f>IF(V263=1,MAX($AF$6:AF262)+1,IF(AF262="#",0,IF(AND(D262=D263,K262=K263,L262=L263,M262=M263,N262=N263,O262=O263,P262=P263,Q262=Q263,R262=R263,S262=S263,T262=T263,U262=U263,V262=V263,W262=W263,HEX2DEC(SUBSTITUTE(AH262,"0x",""))&lt;HEX2DEC(SUBSTITUTE(AH263,"0x",""))),"",MAX($AF$6:AF262)+1)))</f>
        <v>166</v>
      </c>
      <c r="AG263" s="225">
        <f>IF(MAX(INDEX($AF:$AF,ROW($AG$6)):INDEX($AF:$AF,ROW(AG263)))+1=AF264,MAX(INDEX($AF:$AF,ROW($AG$6)):INDEX($AF:$AF,ROW(AG263))),"")</f>
        <v>166</v>
      </c>
      <c r="AH263" s="6" t="str">
        <f t="shared" ref="AH263:AH278" si="28">LOWER(IF(C263="1", "0x40000"&amp;B263,"0x00000"&amp;B263))</f>
        <v>0x40000534</v>
      </c>
      <c r="AI263" s="6">
        <f t="shared" ref="AI263:AI286" si="29">HEX2DEC(RIGHT(AH263,8))</f>
        <v>1073743156</v>
      </c>
      <c r="AJ263" s="6" t="str">
        <f t="shared" ref="AJ263:AJ286" si="30">IF(AF263&lt;&gt;"",AH263,"")</f>
        <v>0x40000534</v>
      </c>
      <c r="AK263" s="6" t="str">
        <f t="shared" si="27"/>
        <v>0x40000534</v>
      </c>
      <c r="AL263" s="6">
        <f t="shared" ref="AL263:AL286" si="31">IF($AF263&lt;&gt;"",MIN($D263:$D263),"")</f>
        <v>64</v>
      </c>
      <c r="AN263" s="6" t="str">
        <f t="shared" si="26"/>
        <v>ok</v>
      </c>
      <c r="AO263" s="6" t="s">
        <v>5</v>
      </c>
    </row>
    <row r="264" spans="1:41">
      <c r="A264" s="7" t="s">
        <v>694</v>
      </c>
      <c r="B264" s="7" t="s">
        <v>693</v>
      </c>
      <c r="C264" s="7" t="s">
        <v>29</v>
      </c>
      <c r="D264" s="7">
        <v>64</v>
      </c>
      <c r="E264" s="7">
        <v>1000</v>
      </c>
      <c r="F264" s="7" t="s">
        <v>31</v>
      </c>
      <c r="G264" s="7" t="s">
        <v>32</v>
      </c>
      <c r="H264" s="7"/>
      <c r="I264" s="7"/>
      <c r="K264" s="6">
        <v>0</v>
      </c>
      <c r="L264" s="6">
        <v>0</v>
      </c>
      <c r="M264" s="6">
        <v>0</v>
      </c>
      <c r="N264" s="6">
        <v>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89"/>
      <c r="Y264" s="6">
        <v>29</v>
      </c>
      <c r="Z264" s="118">
        <v>65535</v>
      </c>
      <c r="AA264" s="6">
        <v>32768</v>
      </c>
      <c r="AB264" s="118">
        <v>65535</v>
      </c>
      <c r="AE264" s="96"/>
      <c r="AF264" s="270">
        <f>IF(V264=1,MAX($AF$6:AF263)+1,IF(AF263="#",0,IF(AND(D263=D264,K263=K264,L263=L264,M263=M264,N263=N264,O263=O264,P263=P264,Q263=Q264,R263=R264,S263=S264,T263=T264,U263=U264,V263=V264,W263=W264,HEX2DEC(SUBSTITUTE(AH263,"0x",""))&lt;HEX2DEC(SUBSTITUTE(AH264,"0x",""))),"",MAX($AF$6:AF263)+1)))</f>
        <v>167</v>
      </c>
      <c r="AG264" s="225" t="str">
        <f>IF(MAX(INDEX($AF:$AF,ROW($AG$6)):INDEX($AF:$AF,ROW(AG264)))+1=AF265,MAX(INDEX($AF:$AF,ROW($AG$6)):INDEX($AF:$AF,ROW(AG264))),"")</f>
        <v/>
      </c>
      <c r="AH264" s="6" t="str">
        <f t="shared" si="28"/>
        <v>0x40000535</v>
      </c>
      <c r="AI264" s="6">
        <f t="shared" si="29"/>
        <v>1073743157</v>
      </c>
      <c r="AJ264" s="6" t="str">
        <f t="shared" si="30"/>
        <v>0x40000535</v>
      </c>
      <c r="AK264" s="6" t="str">
        <f t="shared" si="27"/>
        <v>0x40000538</v>
      </c>
      <c r="AL264" s="6">
        <f t="shared" si="31"/>
        <v>64</v>
      </c>
      <c r="AN264" s="6" t="str">
        <f t="shared" ref="AN264:AN286" si="32">IF(AI263&lt;AI264,"ok","not ok")</f>
        <v>ok</v>
      </c>
      <c r="AO264" s="6" t="s">
        <v>5</v>
      </c>
    </row>
    <row r="265" spans="1:41">
      <c r="A265" s="7" t="s">
        <v>696</v>
      </c>
      <c r="B265" s="7" t="s">
        <v>695</v>
      </c>
      <c r="C265" s="7" t="s">
        <v>29</v>
      </c>
      <c r="D265" s="7">
        <v>64</v>
      </c>
      <c r="E265" s="7">
        <v>1000</v>
      </c>
      <c r="F265" s="7" t="s">
        <v>31</v>
      </c>
      <c r="G265" s="7" t="s">
        <v>32</v>
      </c>
      <c r="H265" s="7"/>
      <c r="I265" s="7"/>
      <c r="K265" s="6">
        <v>0</v>
      </c>
      <c r="L265" s="6">
        <v>0</v>
      </c>
      <c r="M265" s="6">
        <v>0</v>
      </c>
      <c r="N265" s="6">
        <v>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89"/>
      <c r="Y265" s="6">
        <v>29</v>
      </c>
      <c r="Z265" s="118">
        <v>65535</v>
      </c>
      <c r="AA265" s="6">
        <v>32768</v>
      </c>
      <c r="AB265" s="118">
        <v>65535</v>
      </c>
      <c r="AE265" s="96"/>
      <c r="AF265" s="270" t="str">
        <f>IF(V265=1,MAX($AF$6:AF264)+1,IF(AF264="#",0,IF(AND(D264=D265,K264=K265,L264=L265,M264=M265,N264=N265,O264=O265,P264=P265,Q264=Q265,R264=R265,S264=S265,T264=T265,U264=U265,V264=V265,W264=W265,HEX2DEC(SUBSTITUTE(AH264,"0x",""))&lt;HEX2DEC(SUBSTITUTE(AH265,"0x",""))),"",MAX($AF$6:AF264)+1)))</f>
        <v/>
      </c>
      <c r="AG265" s="225" t="str">
        <f>IF(MAX(INDEX($AF:$AF,ROW($AG$6)):INDEX($AF:$AF,ROW(AG265)))+1=AF266,MAX(INDEX($AF:$AF,ROW($AG$6)):INDEX($AF:$AF,ROW(AG265))),"")</f>
        <v/>
      </c>
      <c r="AH265" s="6" t="str">
        <f t="shared" si="28"/>
        <v>0x40000536</v>
      </c>
      <c r="AI265" s="6">
        <f t="shared" si="29"/>
        <v>1073743158</v>
      </c>
      <c r="AJ265" s="6" t="str">
        <f t="shared" si="30"/>
        <v/>
      </c>
      <c r="AK265" s="6" t="str">
        <f t="shared" si="27"/>
        <v/>
      </c>
      <c r="AL265" s="6" t="str">
        <f t="shared" si="31"/>
        <v/>
      </c>
      <c r="AN265" s="6" t="str">
        <f t="shared" si="32"/>
        <v>ok</v>
      </c>
      <c r="AO265" s="6" t="s">
        <v>5</v>
      </c>
    </row>
    <row r="266" spans="1:41">
      <c r="A266" s="7" t="s">
        <v>699</v>
      </c>
      <c r="B266" s="7" t="s">
        <v>698</v>
      </c>
      <c r="C266" s="7" t="s">
        <v>29</v>
      </c>
      <c r="D266" s="7">
        <v>64</v>
      </c>
      <c r="E266" s="7">
        <v>1000</v>
      </c>
      <c r="F266" s="7" t="s">
        <v>31</v>
      </c>
      <c r="G266" s="7" t="s">
        <v>32</v>
      </c>
      <c r="H266" s="7"/>
      <c r="I266" s="7"/>
      <c r="K266" s="6">
        <v>0</v>
      </c>
      <c r="L266" s="6">
        <v>0</v>
      </c>
      <c r="M266" s="6">
        <v>0</v>
      </c>
      <c r="N266" s="6">
        <v>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89"/>
      <c r="Y266" s="6">
        <v>29</v>
      </c>
      <c r="Z266" s="118">
        <v>65535</v>
      </c>
      <c r="AA266" s="6">
        <v>32768</v>
      </c>
      <c r="AB266" s="118">
        <v>65535</v>
      </c>
      <c r="AE266" s="96"/>
      <c r="AF266" s="270" t="str">
        <f>IF(V266=1,MAX($AF$6:AF265)+1,IF(AF265="#",0,IF(AND(D265=D266,K265=K266,L265=L266,M265=M266,N265=N266,O265=O266,P265=P266,Q265=Q266,R265=R266,S265=S266,T265=T266,U265=U266,V265=V266,W265=W266,HEX2DEC(SUBSTITUTE(AH265,"0x",""))&lt;HEX2DEC(SUBSTITUTE(AH266,"0x",""))),"",MAX($AF$6:AF265)+1)))</f>
        <v/>
      </c>
      <c r="AG266" s="225" t="str">
        <f>IF(MAX(INDEX($AF:$AF,ROW($AG$6)):INDEX($AF:$AF,ROW(AG266)))+1=AF267,MAX(INDEX($AF:$AF,ROW($AG$6)):INDEX($AF:$AF,ROW(AG266))),"")</f>
        <v/>
      </c>
      <c r="AH266" s="6" t="str">
        <f t="shared" si="28"/>
        <v>0x40000537</v>
      </c>
      <c r="AI266" s="6">
        <f t="shared" si="29"/>
        <v>1073743159</v>
      </c>
      <c r="AJ266" s="6" t="str">
        <f t="shared" si="30"/>
        <v/>
      </c>
      <c r="AK266" s="6" t="str">
        <f t="shared" si="27"/>
        <v/>
      </c>
      <c r="AL266" s="6" t="str">
        <f t="shared" si="31"/>
        <v/>
      </c>
      <c r="AN266" s="6" t="str">
        <f t="shared" si="32"/>
        <v>ok</v>
      </c>
    </row>
    <row r="267" spans="1:41">
      <c r="A267" s="7" t="s">
        <v>702</v>
      </c>
      <c r="B267" s="7" t="s">
        <v>701</v>
      </c>
      <c r="C267" s="7" t="s">
        <v>29</v>
      </c>
      <c r="D267" s="7">
        <v>64</v>
      </c>
      <c r="E267" s="7">
        <v>1000</v>
      </c>
      <c r="F267" s="7" t="s">
        <v>31</v>
      </c>
      <c r="G267" s="7" t="s">
        <v>32</v>
      </c>
      <c r="H267" s="7"/>
      <c r="I267" s="7"/>
      <c r="K267" s="6">
        <v>0</v>
      </c>
      <c r="L267" s="6">
        <v>0</v>
      </c>
      <c r="M267" s="6">
        <v>0</v>
      </c>
      <c r="N267" s="6">
        <v>1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89"/>
      <c r="Y267" s="6">
        <v>29</v>
      </c>
      <c r="Z267" s="118">
        <v>65535</v>
      </c>
      <c r="AA267" s="6">
        <v>32768</v>
      </c>
      <c r="AB267" s="118">
        <v>65535</v>
      </c>
      <c r="AE267" s="96"/>
      <c r="AF267" s="270" t="str">
        <f>IF(V267=1,MAX($AF$6:AF266)+1,IF(AF266="#",0,IF(AND(D266=D267,K266=K267,L266=L267,M266=M267,N266=N267,O266=O267,P266=P267,Q266=Q267,R266=R267,S266=S267,T266=T267,U266=U267,V266=V267,W266=W267,HEX2DEC(SUBSTITUTE(AH266,"0x",""))&lt;HEX2DEC(SUBSTITUTE(AH267,"0x",""))),"",MAX($AF$6:AF266)+1)))</f>
        <v/>
      </c>
      <c r="AG267" s="225">
        <f>IF(MAX(INDEX($AF:$AF,ROW($AG$6)):INDEX($AF:$AF,ROW(AG267)))+1=AF268,MAX(INDEX($AF:$AF,ROW($AG$6)):INDEX($AF:$AF,ROW(AG267))),"")</f>
        <v>167</v>
      </c>
      <c r="AH267" s="6" t="str">
        <f t="shared" si="28"/>
        <v>0x40000538</v>
      </c>
      <c r="AI267" s="6">
        <f t="shared" si="29"/>
        <v>1073743160</v>
      </c>
      <c r="AJ267" s="6" t="str">
        <f t="shared" si="30"/>
        <v/>
      </c>
      <c r="AK267" s="6" t="str">
        <f t="shared" si="27"/>
        <v/>
      </c>
      <c r="AL267" s="6" t="str">
        <f t="shared" si="31"/>
        <v/>
      </c>
      <c r="AN267" s="6" t="str">
        <f t="shared" si="32"/>
        <v>ok</v>
      </c>
    </row>
    <row r="268" spans="1:41">
      <c r="A268" s="7" t="s">
        <v>705</v>
      </c>
      <c r="B268" s="7" t="s">
        <v>704</v>
      </c>
      <c r="C268" s="7" t="s">
        <v>29</v>
      </c>
      <c r="D268" s="7">
        <v>32</v>
      </c>
      <c r="E268" s="7">
        <v>1500</v>
      </c>
      <c r="F268" s="7" t="s">
        <v>31</v>
      </c>
      <c r="G268" s="7" t="s">
        <v>32</v>
      </c>
      <c r="H268" s="7"/>
      <c r="I268" s="7"/>
      <c r="K268" s="6">
        <v>0</v>
      </c>
      <c r="L268" s="6">
        <v>0</v>
      </c>
      <c r="M268" s="6">
        <v>0</v>
      </c>
      <c r="N268" s="6">
        <v>1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89"/>
      <c r="Y268" s="6">
        <v>29</v>
      </c>
      <c r="Z268" s="118">
        <v>65535</v>
      </c>
      <c r="AA268" s="6">
        <v>32768</v>
      </c>
      <c r="AB268" s="118">
        <v>65535</v>
      </c>
      <c r="AE268" s="96"/>
      <c r="AF268" s="270">
        <f>IF(V268=1,MAX($AF$6:AF267)+1,IF(AF267="#",0,IF(AND(D267=D268,K267=K268,L267=L268,M267=M268,N267=N268,O267=O268,P267=P268,Q267=Q268,R267=R268,S267=S268,T267=T268,U267=U268,V267=V268,W267=W268,HEX2DEC(SUBSTITUTE(AH267,"0x",""))&lt;HEX2DEC(SUBSTITUTE(AH268,"0x",""))),"",MAX($AF$6:AF267)+1)))</f>
        <v>168</v>
      </c>
      <c r="AG268" s="225" t="str">
        <f>IF(MAX(INDEX($AF:$AF,ROW($AG$6)):INDEX($AF:$AF,ROW(AG268)))+1=AF269,MAX(INDEX($AF:$AF,ROW($AG$6)):INDEX($AF:$AF,ROW(AG268))),"")</f>
        <v/>
      </c>
      <c r="AH268" s="6" t="str">
        <f t="shared" si="28"/>
        <v>0x40000592</v>
      </c>
      <c r="AI268" s="6">
        <f t="shared" si="29"/>
        <v>1073743250</v>
      </c>
      <c r="AJ268" s="6" t="str">
        <f t="shared" si="30"/>
        <v>0x40000592</v>
      </c>
      <c r="AK268" s="6" t="str">
        <f t="shared" si="27"/>
        <v>0x40000596</v>
      </c>
      <c r="AL268" s="6">
        <f t="shared" si="31"/>
        <v>32</v>
      </c>
      <c r="AN268" s="6" t="str">
        <f t="shared" si="32"/>
        <v>ok</v>
      </c>
    </row>
    <row r="269" spans="1:41">
      <c r="A269" s="7" t="s">
        <v>708</v>
      </c>
      <c r="B269" s="7" t="s">
        <v>707</v>
      </c>
      <c r="C269" s="7" t="s">
        <v>29</v>
      </c>
      <c r="D269" s="7">
        <v>32</v>
      </c>
      <c r="E269" s="7">
        <v>1000</v>
      </c>
      <c r="F269" s="7" t="s">
        <v>31</v>
      </c>
      <c r="G269" s="7" t="s">
        <v>32</v>
      </c>
      <c r="H269" s="7"/>
      <c r="I269" s="7"/>
      <c r="K269" s="6">
        <v>0</v>
      </c>
      <c r="L269" s="6">
        <v>0</v>
      </c>
      <c r="M269" s="6">
        <v>0</v>
      </c>
      <c r="N269" s="6">
        <v>1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89"/>
      <c r="Y269" s="6">
        <v>29</v>
      </c>
      <c r="Z269" s="118">
        <v>65535</v>
      </c>
      <c r="AA269" s="6">
        <v>32768</v>
      </c>
      <c r="AB269" s="118">
        <v>65535</v>
      </c>
      <c r="AE269" s="96"/>
      <c r="AF269" s="270" t="str">
        <f>IF(V269=1,MAX($AF$6:AF268)+1,IF(AF268="#",0,IF(AND(D268=D269,K268=K269,L268=L269,M268=M269,N268=N269,O268=O269,P268=P269,Q268=Q269,R268=R269,S268=S269,T268=T269,U268=U269,V268=V269,W268=W269,HEX2DEC(SUBSTITUTE(AH268,"0x",""))&lt;HEX2DEC(SUBSTITUTE(AH269,"0x",""))),"",MAX($AF$6:AF268)+1)))</f>
        <v/>
      </c>
      <c r="AG269" s="225">
        <f>IF(MAX(INDEX($AF:$AF,ROW($AG$6)):INDEX($AF:$AF,ROW(AG269)))+1=AF270,MAX(INDEX($AF:$AF,ROW($AG$6)):INDEX($AF:$AF,ROW(AG269))),"")</f>
        <v>168</v>
      </c>
      <c r="AH269" s="6" t="str">
        <f t="shared" si="28"/>
        <v>0x40000596</v>
      </c>
      <c r="AI269" s="6">
        <f t="shared" si="29"/>
        <v>1073743254</v>
      </c>
      <c r="AJ269" s="6" t="str">
        <f t="shared" si="30"/>
        <v/>
      </c>
      <c r="AK269" s="6" t="str">
        <f t="shared" si="27"/>
        <v/>
      </c>
      <c r="AL269" s="6" t="str">
        <f t="shared" si="31"/>
        <v/>
      </c>
      <c r="AN269" s="6" t="str">
        <f t="shared" si="32"/>
        <v>ok</v>
      </c>
      <c r="AO269" s="6" t="s">
        <v>5</v>
      </c>
    </row>
    <row r="270" spans="1:41">
      <c r="A270" s="7" t="s">
        <v>711</v>
      </c>
      <c r="B270" s="7" t="s">
        <v>710</v>
      </c>
      <c r="C270" s="7" t="s">
        <v>29</v>
      </c>
      <c r="D270" s="7">
        <v>8</v>
      </c>
      <c r="E270" s="7">
        <v>1000</v>
      </c>
      <c r="F270" s="7" t="s">
        <v>31</v>
      </c>
      <c r="G270" s="7" t="s">
        <v>32</v>
      </c>
      <c r="H270" s="7"/>
      <c r="I270" s="7"/>
      <c r="K270" s="6">
        <v>0</v>
      </c>
      <c r="L270" s="6">
        <v>0</v>
      </c>
      <c r="M270" s="6">
        <v>0</v>
      </c>
      <c r="N270" s="6">
        <v>1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89"/>
      <c r="Y270" s="6">
        <v>29</v>
      </c>
      <c r="Z270" s="118">
        <v>65535</v>
      </c>
      <c r="AA270" s="6">
        <v>32768</v>
      </c>
      <c r="AB270" s="118">
        <v>65535</v>
      </c>
      <c r="AE270" s="96"/>
      <c r="AF270" s="270">
        <f>IF(V270=1,MAX($AF$6:AF269)+1,IF(AF269="#",0,IF(AND(D269=D270,K269=K270,L269=L270,M269=M270,N269=N270,O269=O270,P269=P270,Q269=Q270,R269=R270,S269=S270,T269=T270,U269=U270,V269=V270,W269=W270,HEX2DEC(SUBSTITUTE(AH269,"0x",""))&lt;HEX2DEC(SUBSTITUTE(AH270,"0x",""))),"",MAX($AF$6:AF269)+1)))</f>
        <v>169</v>
      </c>
      <c r="AG270" s="225" t="str">
        <f>IF(MAX(INDEX($AF:$AF,ROW($AG$6)):INDEX($AF:$AF,ROW(AG270)))+1=AF271,MAX(INDEX($AF:$AF,ROW($AG$6)):INDEX($AF:$AF,ROW(AG270))),"")</f>
        <v/>
      </c>
      <c r="AH270" s="6" t="str">
        <f t="shared" si="28"/>
        <v>0x400005ad</v>
      </c>
      <c r="AI270" s="6">
        <f t="shared" si="29"/>
        <v>1073743277</v>
      </c>
      <c r="AJ270" s="6" t="str">
        <f t="shared" si="30"/>
        <v>0x400005ad</v>
      </c>
      <c r="AK270" s="6" t="str">
        <f t="shared" si="27"/>
        <v>0x40000608</v>
      </c>
      <c r="AL270" s="6">
        <f t="shared" si="31"/>
        <v>8</v>
      </c>
      <c r="AN270" s="6" t="str">
        <f t="shared" si="32"/>
        <v>ok</v>
      </c>
      <c r="AO270" s="6" t="s">
        <v>5</v>
      </c>
    </row>
    <row r="271" spans="1:41">
      <c r="A271" s="7" t="s">
        <v>714</v>
      </c>
      <c r="B271" s="7" t="s">
        <v>713</v>
      </c>
      <c r="C271" s="7" t="s">
        <v>29</v>
      </c>
      <c r="D271" s="7">
        <v>8</v>
      </c>
      <c r="E271" s="7">
        <v>1000</v>
      </c>
      <c r="F271" s="7" t="s">
        <v>31</v>
      </c>
      <c r="G271" s="7" t="s">
        <v>32</v>
      </c>
      <c r="H271" s="7"/>
      <c r="I271" s="7"/>
      <c r="K271" s="6">
        <v>0</v>
      </c>
      <c r="L271" s="6">
        <v>0</v>
      </c>
      <c r="M271" s="6">
        <v>0</v>
      </c>
      <c r="N271" s="6">
        <v>1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89"/>
      <c r="Y271" s="6">
        <v>29</v>
      </c>
      <c r="Z271" s="118">
        <v>65535</v>
      </c>
      <c r="AA271" s="6">
        <v>32768</v>
      </c>
      <c r="AB271" s="118">
        <v>65535</v>
      </c>
      <c r="AE271" s="96"/>
      <c r="AF271" s="270" t="str">
        <f>IF(V271=1,MAX($AF$6:AF270)+1,IF(AF270="#",0,IF(AND(D270=D271,K270=K271,L270=L271,M270=M271,N270=N271,O270=O271,P270=P271,Q270=Q271,R270=R271,S270=S271,T270=T271,U270=U271,V270=V271,W270=W271,HEX2DEC(SUBSTITUTE(AH270,"0x",""))&lt;HEX2DEC(SUBSTITUTE(AH271,"0x",""))),"",MAX($AF$6:AF270)+1)))</f>
        <v/>
      </c>
      <c r="AG271" s="225" t="str">
        <f>IF(MAX(INDEX($AF:$AF,ROW($AG$6)):INDEX($AF:$AF,ROW(AG271)))+1=AF272,MAX(INDEX($AF:$AF,ROW($AG$6)):INDEX($AF:$AF,ROW(AG271))),"")</f>
        <v/>
      </c>
      <c r="AH271" s="6" t="str">
        <f t="shared" si="28"/>
        <v>0x40000601</v>
      </c>
      <c r="AI271" s="6">
        <f t="shared" si="29"/>
        <v>1073743361</v>
      </c>
      <c r="AJ271" s="6" t="str">
        <f t="shared" si="30"/>
        <v/>
      </c>
      <c r="AK271" s="6" t="str">
        <f t="shared" si="27"/>
        <v/>
      </c>
      <c r="AL271" s="6" t="str">
        <f t="shared" si="31"/>
        <v/>
      </c>
      <c r="AN271" s="6" t="str">
        <f t="shared" si="32"/>
        <v>ok</v>
      </c>
      <c r="AO271" s="6" t="s">
        <v>5</v>
      </c>
    </row>
    <row r="272" spans="1:41">
      <c r="A272" s="7" t="s">
        <v>717</v>
      </c>
      <c r="B272" s="7" t="s">
        <v>716</v>
      </c>
      <c r="C272" s="7" t="s">
        <v>29</v>
      </c>
      <c r="D272" s="7">
        <v>8</v>
      </c>
      <c r="E272" s="7">
        <v>1000</v>
      </c>
      <c r="F272" s="7" t="s">
        <v>31</v>
      </c>
      <c r="G272" s="7" t="s">
        <v>32</v>
      </c>
      <c r="H272" s="7"/>
      <c r="I272" s="7"/>
      <c r="K272" s="6">
        <v>0</v>
      </c>
      <c r="L272" s="6">
        <v>0</v>
      </c>
      <c r="M272" s="6">
        <v>0</v>
      </c>
      <c r="N272" s="6">
        <v>1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89"/>
      <c r="Y272" s="6">
        <v>29</v>
      </c>
      <c r="Z272" s="118">
        <v>65535</v>
      </c>
      <c r="AA272" s="6">
        <v>32768</v>
      </c>
      <c r="AB272" s="118">
        <v>65535</v>
      </c>
      <c r="AE272" s="96"/>
      <c r="AF272" s="270" t="str">
        <f>IF(V272=1,MAX($AF$6:AF271)+1,IF(AF271="#",0,IF(AND(D271=D272,K271=K272,L271=L272,M271=M272,N271=N272,O271=O272,P271=P272,Q271=Q272,R271=R272,S271=S272,T271=T272,U271=U272,V271=V272,W271=W272,HEX2DEC(SUBSTITUTE(AH271,"0x",""))&lt;HEX2DEC(SUBSTITUTE(AH272,"0x",""))),"",MAX($AF$6:AF271)+1)))</f>
        <v/>
      </c>
      <c r="AG272" s="225">
        <f>IF(MAX(INDEX($AF:$AF,ROW($AG$6)):INDEX($AF:$AF,ROW(AG272)))+1=AF273,MAX(INDEX($AF:$AF,ROW($AG$6)):INDEX($AF:$AF,ROW(AG272))),"")</f>
        <v>169</v>
      </c>
      <c r="AH272" s="6" t="str">
        <f t="shared" si="28"/>
        <v>0x40000608</v>
      </c>
      <c r="AI272" s="6">
        <f t="shared" si="29"/>
        <v>1073743368</v>
      </c>
      <c r="AJ272" s="6" t="str">
        <f t="shared" si="30"/>
        <v/>
      </c>
      <c r="AK272" s="6" t="str">
        <f t="shared" si="27"/>
        <v/>
      </c>
      <c r="AL272" s="6" t="str">
        <f t="shared" si="31"/>
        <v/>
      </c>
      <c r="AN272" s="6" t="str">
        <f t="shared" si="32"/>
        <v>ok</v>
      </c>
      <c r="AO272" s="6" t="s">
        <v>5</v>
      </c>
    </row>
    <row r="273" spans="1:41">
      <c r="A273" s="7" t="s">
        <v>720</v>
      </c>
      <c r="B273" s="7" t="s">
        <v>719</v>
      </c>
      <c r="C273" s="7" t="s">
        <v>29</v>
      </c>
      <c r="D273" s="7">
        <v>32</v>
      </c>
      <c r="E273" s="7">
        <v>1000</v>
      </c>
      <c r="F273" s="7" t="s">
        <v>31</v>
      </c>
      <c r="G273" s="7" t="s">
        <v>32</v>
      </c>
      <c r="H273" s="7"/>
      <c r="I273" s="7"/>
      <c r="K273" s="6">
        <v>0</v>
      </c>
      <c r="L273" s="6">
        <v>0</v>
      </c>
      <c r="M273" s="6">
        <v>0</v>
      </c>
      <c r="N273" s="6">
        <v>1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89"/>
      <c r="Y273" s="6">
        <v>29</v>
      </c>
      <c r="Z273" s="118">
        <v>65535</v>
      </c>
      <c r="AA273" s="6">
        <v>32768</v>
      </c>
      <c r="AB273" s="118">
        <v>65535</v>
      </c>
      <c r="AE273" s="96"/>
      <c r="AF273" s="270">
        <f>IF(V273=1,MAX($AF$6:AF272)+1,IF(AF272="#",0,IF(AND(D272=D273,K272=K273,L272=L273,M272=M273,N272=N273,O272=O273,P272=P273,Q272=Q273,R272=R273,S272=S273,T272=T273,U272=U273,V272=V273,W272=W273,HEX2DEC(SUBSTITUTE(AH272,"0x",""))&lt;HEX2DEC(SUBSTITUTE(AH273,"0x",""))),"",MAX($AF$6:AF272)+1)))</f>
        <v>170</v>
      </c>
      <c r="AG273" s="225" t="str">
        <f>IF(MAX(INDEX($AF:$AF,ROW($AG$6)):INDEX($AF:$AF,ROW(AG273)))+1=AF274,MAX(INDEX($AF:$AF,ROW($AG$6)):INDEX($AF:$AF,ROW(AG273))),"")</f>
        <v/>
      </c>
      <c r="AH273" s="6" t="str">
        <f t="shared" si="28"/>
        <v>0x40000610</v>
      </c>
      <c r="AI273" s="6">
        <f t="shared" si="29"/>
        <v>1073743376</v>
      </c>
      <c r="AJ273" s="6" t="str">
        <f t="shared" si="30"/>
        <v>0x40000610</v>
      </c>
      <c r="AK273" s="6" t="str">
        <f t="shared" si="27"/>
        <v>0x40000624</v>
      </c>
      <c r="AL273" s="6">
        <f t="shared" si="31"/>
        <v>32</v>
      </c>
      <c r="AN273" s="6" t="str">
        <f t="shared" si="32"/>
        <v>ok</v>
      </c>
      <c r="AO273" s="6" t="s">
        <v>5</v>
      </c>
    </row>
    <row r="274" spans="1:41">
      <c r="A274" s="7" t="s">
        <v>829</v>
      </c>
      <c r="B274" s="7" t="s">
        <v>724</v>
      </c>
      <c r="C274" s="7" t="s">
        <v>29</v>
      </c>
      <c r="D274" s="7">
        <v>32</v>
      </c>
      <c r="E274" s="7">
        <v>1000</v>
      </c>
      <c r="F274" s="7" t="s">
        <v>29</v>
      </c>
      <c r="G274" s="7" t="s">
        <v>32</v>
      </c>
      <c r="H274" s="7"/>
      <c r="I274" s="7"/>
      <c r="K274" s="6">
        <v>0</v>
      </c>
      <c r="L274" s="6">
        <v>0</v>
      </c>
      <c r="M274" s="6">
        <v>0</v>
      </c>
      <c r="N274" s="6">
        <v>1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89"/>
      <c r="Y274" s="6">
        <v>29</v>
      </c>
      <c r="Z274" s="118">
        <v>65535</v>
      </c>
      <c r="AA274" s="6">
        <v>32768</v>
      </c>
      <c r="AB274" s="118">
        <v>65535</v>
      </c>
      <c r="AE274" s="96"/>
      <c r="AF274" s="270" t="str">
        <f>IF(V274=1,MAX($AF$6:AF273)+1,IF(AF273="#",0,IF(AND(D273=D274,K273=K274,L273=L274,M273=M274,N273=N274,O273=O274,P273=P274,Q273=Q274,R273=R274,S273=S274,T273=T274,U273=U274,V273=V274,W273=W274,HEX2DEC(SUBSTITUTE(AH273,"0x",""))&lt;HEX2DEC(SUBSTITUTE(AH274,"0x",""))),"",MAX($AF$6:AF273)+1)))</f>
        <v/>
      </c>
      <c r="AG274" s="225">
        <f>IF(MAX(INDEX($AF:$AF,ROW($AG$6)):INDEX($AF:$AF,ROW(AG274)))+1=AF275,MAX(INDEX($AF:$AF,ROW($AG$6)):INDEX($AF:$AF,ROW(AG274))),"")</f>
        <v>170</v>
      </c>
      <c r="AH274" s="6" t="str">
        <f t="shared" si="28"/>
        <v>0x40000624</v>
      </c>
      <c r="AI274" s="6">
        <f t="shared" si="29"/>
        <v>1073743396</v>
      </c>
      <c r="AJ274" s="6" t="str">
        <f t="shared" si="30"/>
        <v/>
      </c>
      <c r="AK274" s="6" t="str">
        <f t="shared" si="27"/>
        <v/>
      </c>
      <c r="AL274" s="6" t="str">
        <f t="shared" si="31"/>
        <v/>
      </c>
      <c r="AN274" s="6" t="str">
        <f t="shared" si="32"/>
        <v>ok</v>
      </c>
      <c r="AO274" s="6" t="s">
        <v>5</v>
      </c>
    </row>
    <row r="275" spans="1:41">
      <c r="A275" s="7" t="s">
        <v>725</v>
      </c>
      <c r="B275" s="7" t="s">
        <v>726</v>
      </c>
      <c r="C275" s="7" t="s">
        <v>29</v>
      </c>
      <c r="D275" s="7">
        <v>8</v>
      </c>
      <c r="E275" s="7" t="s">
        <v>30</v>
      </c>
      <c r="F275" s="7" t="s">
        <v>31</v>
      </c>
      <c r="G275" s="7" t="s">
        <v>32</v>
      </c>
      <c r="H275" s="7"/>
      <c r="I275" s="7"/>
      <c r="K275" s="6">
        <v>0</v>
      </c>
      <c r="L275" s="6">
        <v>0</v>
      </c>
      <c r="M275" s="6">
        <v>0</v>
      </c>
      <c r="N275" s="6">
        <v>1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89"/>
      <c r="Y275" s="6">
        <v>29</v>
      </c>
      <c r="Z275" s="118">
        <v>65535</v>
      </c>
      <c r="AA275" s="6">
        <v>32768</v>
      </c>
      <c r="AB275" s="118">
        <v>65535</v>
      </c>
      <c r="AE275" s="96"/>
      <c r="AF275" s="270">
        <f>IF(V275=1,MAX($AF$6:AF274)+1,IF(AF274="#",0,IF(AND(D274=D275,K274=K275,L274=L275,M274=M275,N274=N275,O274=O275,P274=P275,Q274=Q275,R274=R275,S274=S275,T274=T275,U274=U275,V274=V275,W274=W275,HEX2DEC(SUBSTITUTE(AH274,"0x",""))&lt;HEX2DEC(SUBSTITUTE(AH275,"0x",""))),"",MAX($AF$6:AF274)+1)))</f>
        <v>171</v>
      </c>
      <c r="AG275" s="225">
        <f>IF(MAX(INDEX($AF:$AF,ROW($AG$6)):INDEX($AF:$AF,ROW(AG275)))+1=AF276,MAX(INDEX($AF:$AF,ROW($AG$6)):INDEX($AF:$AF,ROW(AG275))),"")</f>
        <v>171</v>
      </c>
      <c r="AH275" s="6" t="str">
        <f t="shared" si="28"/>
        <v>0x4000062c</v>
      </c>
      <c r="AI275" s="6">
        <f t="shared" si="29"/>
        <v>1073743404</v>
      </c>
      <c r="AJ275" s="6" t="str">
        <f t="shared" si="30"/>
        <v>0x4000062c</v>
      </c>
      <c r="AK275" s="6" t="str">
        <f t="shared" si="27"/>
        <v>0x4000062c</v>
      </c>
      <c r="AL275" s="6">
        <f t="shared" si="31"/>
        <v>8</v>
      </c>
      <c r="AN275" s="6" t="str">
        <f t="shared" si="32"/>
        <v>ok</v>
      </c>
      <c r="AO275" s="6" t="s">
        <v>5</v>
      </c>
    </row>
    <row r="276" spans="1:41">
      <c r="A276" s="7" t="s">
        <v>729</v>
      </c>
      <c r="B276" s="7" t="s">
        <v>730</v>
      </c>
      <c r="C276" s="7" t="s">
        <v>29</v>
      </c>
      <c r="D276" s="7">
        <v>8</v>
      </c>
      <c r="E276" s="7">
        <v>1000</v>
      </c>
      <c r="F276" s="7" t="s">
        <v>31</v>
      </c>
      <c r="G276" s="7" t="s">
        <v>32</v>
      </c>
      <c r="H276" s="7"/>
      <c r="I276" s="7"/>
      <c r="K276" s="6">
        <v>0</v>
      </c>
      <c r="L276" s="6">
        <v>0</v>
      </c>
      <c r="M276" s="6">
        <v>0</v>
      </c>
      <c r="N276" s="6">
        <v>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89"/>
      <c r="Y276" s="6">
        <v>29</v>
      </c>
      <c r="Z276" s="118">
        <v>65535</v>
      </c>
      <c r="AA276" s="6">
        <v>32768</v>
      </c>
      <c r="AB276" s="118">
        <v>65535</v>
      </c>
      <c r="AE276" s="96"/>
      <c r="AF276" s="270">
        <f>IF(V276=1,MAX($AF$6:AF275)+1,IF(AF275="#",0,IF(AND(D275=D276,K275=K276,L275=L276,M275=M276,N275=N276,O275=O276,P275=P276,Q275=Q276,R275=R276,S275=S276,T275=T276,U275=U276,V275=V276,W275=W276,HEX2DEC(SUBSTITUTE(AH275,"0x",""))&lt;HEX2DEC(SUBSTITUTE(AH276,"0x",""))),"",MAX($AF$6:AF275)+1)))</f>
        <v>172</v>
      </c>
      <c r="AG276" s="225" t="str">
        <f>IF(MAX(INDEX($AF:$AF,ROW($AG$6)):INDEX($AF:$AF,ROW(AG276)))+1=AF277,MAX(INDEX($AF:$AF,ROW($AG$6)):INDEX($AF:$AF,ROW(AG276))),"")</f>
        <v/>
      </c>
      <c r="AH276" s="6" t="str">
        <f t="shared" si="28"/>
        <v>0x40000629</v>
      </c>
      <c r="AI276" s="6">
        <f t="shared" si="29"/>
        <v>1073743401</v>
      </c>
      <c r="AJ276" s="6" t="str">
        <f t="shared" si="30"/>
        <v>0x40000629</v>
      </c>
      <c r="AK276" s="6" t="str">
        <f t="shared" si="27"/>
        <v>0x40000633</v>
      </c>
      <c r="AL276" s="6">
        <f t="shared" si="31"/>
        <v>8</v>
      </c>
      <c r="AN276" s="6" t="str">
        <f t="shared" si="32"/>
        <v>not ok</v>
      </c>
    </row>
    <row r="277" spans="1:41">
      <c r="A277" s="7" t="s">
        <v>733</v>
      </c>
      <c r="B277" s="7" t="s">
        <v>734</v>
      </c>
      <c r="C277" s="7" t="s">
        <v>29</v>
      </c>
      <c r="D277" s="7">
        <v>8</v>
      </c>
      <c r="E277" s="7">
        <v>1000</v>
      </c>
      <c r="F277" s="7" t="s">
        <v>31</v>
      </c>
      <c r="G277" s="7" t="s">
        <v>32</v>
      </c>
      <c r="H277" s="7"/>
      <c r="I277" s="7"/>
      <c r="K277" s="6">
        <v>0</v>
      </c>
      <c r="L277" s="6">
        <v>0</v>
      </c>
      <c r="M277" s="6">
        <v>0</v>
      </c>
      <c r="N277" s="6">
        <v>1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89"/>
      <c r="Y277" s="6">
        <v>29</v>
      </c>
      <c r="Z277" s="118">
        <v>65535</v>
      </c>
      <c r="AA277" s="6">
        <v>32768</v>
      </c>
      <c r="AB277" s="118">
        <v>65535</v>
      </c>
      <c r="AE277" s="96"/>
      <c r="AF277" s="270" t="str">
        <f>IF(V277=1,MAX($AF$6:AF276)+1,IF(AF276="#",0,IF(AND(D276=D277,K276=K277,L276=L277,M276=M277,N276=N277,O276=O277,P276=P277,Q276=Q277,R276=R277,S276=S277,T276=T277,U276=U277,V276=V277,W276=W277,HEX2DEC(SUBSTITUTE(AH276,"0x",""))&lt;HEX2DEC(SUBSTITUTE(AH277,"0x",""))),"",MAX($AF$6:AF276)+1)))</f>
        <v/>
      </c>
      <c r="AG277" s="225" t="str">
        <f>IF(MAX(INDEX($AF:$AF,ROW($AG$6)):INDEX($AF:$AF,ROW(AG277)))+1=AF278,MAX(INDEX($AF:$AF,ROW($AG$6)):INDEX($AF:$AF,ROW(AG277))),"")</f>
        <v/>
      </c>
      <c r="AH277" s="6" t="str">
        <f t="shared" si="28"/>
        <v>0x4000062a</v>
      </c>
      <c r="AI277" s="6">
        <f t="shared" si="29"/>
        <v>1073743402</v>
      </c>
      <c r="AJ277" s="6" t="str">
        <f t="shared" si="30"/>
        <v/>
      </c>
      <c r="AK277" s="6" t="str">
        <f t="shared" si="27"/>
        <v/>
      </c>
      <c r="AL277" s="6" t="str">
        <f t="shared" si="31"/>
        <v/>
      </c>
      <c r="AN277" s="6" t="str">
        <f t="shared" si="32"/>
        <v>ok</v>
      </c>
      <c r="AO277" s="6" t="s">
        <v>5</v>
      </c>
    </row>
    <row r="278" spans="1:41">
      <c r="A278" s="7" t="s">
        <v>735</v>
      </c>
      <c r="B278" s="7" t="s">
        <v>736</v>
      </c>
      <c r="C278" s="7" t="s">
        <v>29</v>
      </c>
      <c r="D278" s="7">
        <v>8</v>
      </c>
      <c r="E278" s="7">
        <v>1000</v>
      </c>
      <c r="F278" s="7" t="s">
        <v>31</v>
      </c>
      <c r="G278" s="7" t="s">
        <v>32</v>
      </c>
      <c r="H278" s="7"/>
      <c r="I278" s="7"/>
      <c r="K278" s="6">
        <v>0</v>
      </c>
      <c r="L278" s="6">
        <v>0</v>
      </c>
      <c r="M278" s="6">
        <v>0</v>
      </c>
      <c r="N278" s="6">
        <v>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89"/>
      <c r="Y278" s="6">
        <v>29</v>
      </c>
      <c r="Z278" s="118">
        <v>65535</v>
      </c>
      <c r="AA278" s="6">
        <v>32768</v>
      </c>
      <c r="AB278" s="118">
        <v>65535</v>
      </c>
      <c r="AE278" s="96"/>
      <c r="AF278" s="270" t="str">
        <f>IF(V278=1,MAX($AF$6:AF277)+1,IF(AF277="#",0,IF(AND(D277=D278,K277=K278,L277=L278,M277=M278,N277=N278,O277=O278,P277=P278,Q277=Q278,R277=R278,S277=S278,T277=T278,U277=U278,V277=V278,W277=W278,HEX2DEC(SUBSTITUTE(AH277,"0x",""))&lt;HEX2DEC(SUBSTITUTE(AH278,"0x",""))),"",MAX($AF$6:AF277)+1)))</f>
        <v/>
      </c>
      <c r="AG278" s="225">
        <f>IF(MAX(INDEX($AF:$AF,ROW($AG$6)):INDEX($AF:$AF,ROW(AG278)))+1=AF279,MAX(INDEX($AF:$AF,ROW($AG$6)):INDEX($AF:$AF,ROW(AG278))),"")</f>
        <v>172</v>
      </c>
      <c r="AH278" s="6" t="str">
        <f t="shared" si="28"/>
        <v>0x40000633</v>
      </c>
      <c r="AI278" s="6">
        <f t="shared" si="29"/>
        <v>1073743411</v>
      </c>
      <c r="AJ278" s="6" t="str">
        <f t="shared" si="30"/>
        <v/>
      </c>
      <c r="AK278" s="6" t="str">
        <f t="shared" si="27"/>
        <v/>
      </c>
      <c r="AL278" s="6" t="str">
        <f t="shared" si="31"/>
        <v/>
      </c>
      <c r="AN278" s="6" t="str">
        <f t="shared" si="32"/>
        <v>ok</v>
      </c>
      <c r="AO278" s="6" t="s">
        <v>5</v>
      </c>
    </row>
    <row r="279" spans="1:41">
      <c r="A279" s="7" t="s">
        <v>741</v>
      </c>
      <c r="B279" s="7" t="s">
        <v>742</v>
      </c>
      <c r="C279" s="7" t="s">
        <v>31</v>
      </c>
      <c r="D279" s="7">
        <v>0</v>
      </c>
      <c r="E279" s="7"/>
      <c r="F279" s="7">
        <v>0</v>
      </c>
      <c r="G279" s="7"/>
      <c r="H279" s="7"/>
      <c r="I279" s="7"/>
      <c r="K279" s="6">
        <v>0</v>
      </c>
      <c r="L279" s="6">
        <v>0</v>
      </c>
      <c r="M279" s="6">
        <v>0</v>
      </c>
      <c r="N279" s="6">
        <v>1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89"/>
      <c r="Y279" s="6">
        <v>29</v>
      </c>
      <c r="Z279" s="118">
        <v>65535</v>
      </c>
      <c r="AA279" s="6">
        <v>32768</v>
      </c>
      <c r="AB279" s="118">
        <v>65535</v>
      </c>
      <c r="AE279" s="96"/>
      <c r="AF279" s="224">
        <v>173</v>
      </c>
      <c r="AG279" s="225" t="str">
        <f>IF(MAX(INDEX($AF:$AF,ROW($AG$6)):INDEX($AF:$AF,ROW(AG279)))+1=AF280,MAX(INDEX($AF:$AF,ROW($AG$6)):INDEX($AF:$AF,ROW(AG279))),"")</f>
        <v/>
      </c>
      <c r="AH279" s="9" t="str">
        <f>LOWER(IF(C279="1", "0xd"&amp;RIGHT(B279,7),"0x9"&amp;RIGHT(B279,7)))</f>
        <v>0x98000000</v>
      </c>
      <c r="AI279" s="6">
        <f t="shared" si="29"/>
        <v>2550136832</v>
      </c>
      <c r="AJ279" s="6" t="str">
        <f t="shared" si="30"/>
        <v>0x98000000</v>
      </c>
      <c r="AK279" s="6" t="str">
        <f t="shared" si="27"/>
        <v>0x980003ff</v>
      </c>
      <c r="AL279" s="6">
        <f t="shared" si="31"/>
        <v>0</v>
      </c>
      <c r="AN279" s="6" t="str">
        <f t="shared" si="32"/>
        <v>ok</v>
      </c>
    </row>
    <row r="280" spans="1:41">
      <c r="A280" s="7" t="s">
        <v>741</v>
      </c>
      <c r="B280" s="7" t="s">
        <v>830</v>
      </c>
      <c r="C280" s="7" t="s">
        <v>31</v>
      </c>
      <c r="D280" s="7">
        <v>0</v>
      </c>
      <c r="E280" s="7"/>
      <c r="F280" s="7"/>
      <c r="G280" s="7" t="s">
        <v>32</v>
      </c>
      <c r="H280" s="7"/>
      <c r="I280" s="7"/>
      <c r="K280" s="6">
        <v>0</v>
      </c>
      <c r="L280" s="6">
        <v>0</v>
      </c>
      <c r="M280" s="6">
        <v>0</v>
      </c>
      <c r="N280" s="6">
        <v>1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89"/>
      <c r="Y280" s="6">
        <v>29</v>
      </c>
      <c r="Z280" s="118">
        <v>65535</v>
      </c>
      <c r="AA280" s="6">
        <v>32768</v>
      </c>
      <c r="AB280" s="118">
        <v>65535</v>
      </c>
      <c r="AE280" s="96"/>
      <c r="AF280" s="224"/>
      <c r="AG280" s="225">
        <v>173</v>
      </c>
      <c r="AH280" s="9" t="str">
        <f t="shared" ref="AH280" si="33">LOWER(IF(C280="1", "0xd"&amp;RIGHT(B280,7),"0x9"&amp;RIGHT(B280,7)))</f>
        <v>0x980003ff</v>
      </c>
      <c r="AI280" s="6">
        <f t="shared" si="29"/>
        <v>2550137855</v>
      </c>
      <c r="AJ280" s="6" t="str">
        <f t="shared" si="30"/>
        <v/>
      </c>
      <c r="AK280" s="6" t="str">
        <f t="shared" si="27"/>
        <v/>
      </c>
      <c r="AL280" s="6" t="str">
        <f t="shared" si="31"/>
        <v/>
      </c>
      <c r="AN280" s="6" t="str">
        <f t="shared" si="32"/>
        <v>ok</v>
      </c>
    </row>
    <row r="281" spans="1:41">
      <c r="A281" s="7" t="s">
        <v>747</v>
      </c>
      <c r="B281" s="7" t="s">
        <v>742</v>
      </c>
      <c r="C281" s="7" t="s">
        <v>29</v>
      </c>
      <c r="D281" s="7">
        <v>0</v>
      </c>
      <c r="E281" s="7"/>
      <c r="F281" s="7">
        <v>0</v>
      </c>
      <c r="G281" s="7"/>
      <c r="H281" s="7"/>
      <c r="I281" s="7"/>
      <c r="K281" s="6">
        <v>0</v>
      </c>
      <c r="L281" s="6">
        <v>0</v>
      </c>
      <c r="M281" s="6">
        <v>0</v>
      </c>
      <c r="N281" s="6">
        <v>1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89"/>
      <c r="Y281" s="6">
        <v>29</v>
      </c>
      <c r="Z281" s="118">
        <v>65535</v>
      </c>
      <c r="AA281" s="6">
        <v>32768</v>
      </c>
      <c r="AB281" s="118">
        <v>65535</v>
      </c>
      <c r="AE281" s="96"/>
      <c r="AF281" s="224">
        <v>174</v>
      </c>
      <c r="AG281" s="225" t="str">
        <f>IF(MAX(INDEX($AF:$AF,ROW($AG$6)):INDEX($AF:$AF,ROW(AG281)))+1=AF282,MAX(INDEX($AF:$AF,ROW($AG$6)):INDEX($AF:$AF,ROW(AG281))),"")</f>
        <v/>
      </c>
      <c r="AH281" s="9" t="str">
        <f>LOWER(IF(C281="1", "0xd"&amp;RIGHT(B281,7),"0x9"&amp;RIGHT(B281,7)))</f>
        <v>0xd8000000</v>
      </c>
      <c r="AI281" s="6">
        <f t="shared" ref="AI281:AI282" si="34">HEX2DEC(RIGHT(AH281,8))</f>
        <v>3623878656</v>
      </c>
      <c r="AJ281" s="6" t="str">
        <f t="shared" ref="AJ281:AJ282" si="35">IF(AF281&lt;&gt;"",AH281,"")</f>
        <v>0xd8000000</v>
      </c>
      <c r="AK281" s="6" t="str">
        <f t="shared" si="27"/>
        <v>0xd80003ff</v>
      </c>
      <c r="AL281" s="6">
        <f t="shared" si="31"/>
        <v>0</v>
      </c>
      <c r="AN281" s="6" t="str">
        <f t="shared" si="32"/>
        <v>ok</v>
      </c>
    </row>
    <row r="282" spans="1:41">
      <c r="A282" s="7" t="s">
        <v>747</v>
      </c>
      <c r="B282" s="7" t="s">
        <v>830</v>
      </c>
      <c r="C282" s="7" t="s">
        <v>29</v>
      </c>
      <c r="D282" s="7">
        <v>0</v>
      </c>
      <c r="E282" s="7"/>
      <c r="F282" s="7"/>
      <c r="G282" s="7" t="s">
        <v>32</v>
      </c>
      <c r="H282" s="7"/>
      <c r="I282" s="7"/>
      <c r="K282" s="6">
        <v>0</v>
      </c>
      <c r="L282" s="6">
        <v>0</v>
      </c>
      <c r="M282" s="6">
        <v>0</v>
      </c>
      <c r="N282" s="6">
        <v>1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89"/>
      <c r="Y282" s="6">
        <v>29</v>
      </c>
      <c r="Z282" s="118">
        <v>65535</v>
      </c>
      <c r="AA282" s="6">
        <v>32768</v>
      </c>
      <c r="AB282" s="118">
        <v>65535</v>
      </c>
      <c r="AE282" s="96"/>
      <c r="AF282" s="224"/>
      <c r="AG282" s="225">
        <v>174</v>
      </c>
      <c r="AH282" s="9" t="str">
        <f>LOWER(IF(C282="1", "0xd"&amp;RIGHT(B282,7),"0x9"&amp;RIGHT(B282,7)))</f>
        <v>0xd80003ff</v>
      </c>
      <c r="AI282" s="6">
        <f t="shared" si="34"/>
        <v>3623879679</v>
      </c>
      <c r="AJ282" s="6" t="str">
        <f t="shared" si="35"/>
        <v/>
      </c>
      <c r="AK282" s="6" t="str">
        <f t="shared" si="27"/>
        <v/>
      </c>
      <c r="AL282" s="6" t="str">
        <f t="shared" si="31"/>
        <v/>
      </c>
      <c r="AN282" s="6" t="str">
        <f t="shared" si="32"/>
        <v>ok</v>
      </c>
    </row>
    <row r="283" spans="1:41">
      <c r="A283" s="7" t="s">
        <v>738</v>
      </c>
      <c r="B283" s="7" t="s">
        <v>745</v>
      </c>
      <c r="C283" s="7" t="s">
        <v>31</v>
      </c>
      <c r="D283" s="7">
        <v>8</v>
      </c>
      <c r="E283" s="7"/>
      <c r="F283" s="7">
        <v>0</v>
      </c>
      <c r="G283" s="7"/>
      <c r="H283" s="7"/>
      <c r="I283" s="7"/>
      <c r="K283" s="6">
        <v>0</v>
      </c>
      <c r="L283" s="6">
        <v>0</v>
      </c>
      <c r="M283" s="6">
        <v>1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89"/>
      <c r="Y283" s="6">
        <v>30</v>
      </c>
      <c r="Z283" s="118">
        <v>65535</v>
      </c>
      <c r="AA283" s="118">
        <v>65535</v>
      </c>
      <c r="AB283" s="6">
        <v>0</v>
      </c>
      <c r="AE283" s="96"/>
      <c r="AF283" s="224">
        <v>175</v>
      </c>
      <c r="AG283" s="225"/>
      <c r="AH283" s="9" t="str">
        <f>LOWER(IF(C283="1", "0xd"&amp;RIGHT(B283,7),"0x9"&amp;RIGHT(B283,7)))</f>
        <v>0x98da0000</v>
      </c>
      <c r="AI283" s="6">
        <f t="shared" si="29"/>
        <v>2564423680</v>
      </c>
      <c r="AJ283" s="6" t="str">
        <f t="shared" si="30"/>
        <v>0x98da0000</v>
      </c>
      <c r="AK283" s="6" t="str">
        <f t="shared" si="27"/>
        <v>0x98dbffff</v>
      </c>
      <c r="AL283" s="6">
        <f t="shared" si="31"/>
        <v>8</v>
      </c>
      <c r="AN283" s="6" t="str">
        <f t="shared" si="32"/>
        <v>not ok</v>
      </c>
    </row>
    <row r="284" spans="1:41">
      <c r="A284" s="7" t="s">
        <v>738</v>
      </c>
      <c r="B284" s="7" t="s">
        <v>746</v>
      </c>
      <c r="C284" s="7" t="s">
        <v>31</v>
      </c>
      <c r="D284" s="7">
        <v>8</v>
      </c>
      <c r="E284" s="7"/>
      <c r="F284" s="7"/>
      <c r="G284" s="7" t="s">
        <v>32</v>
      </c>
      <c r="H284" s="7"/>
      <c r="I284" s="7"/>
      <c r="K284" s="6">
        <v>0</v>
      </c>
      <c r="L284" s="6">
        <v>0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89"/>
      <c r="Y284" s="6">
        <v>30</v>
      </c>
      <c r="Z284" s="118">
        <v>65535</v>
      </c>
      <c r="AA284" s="118">
        <v>65535</v>
      </c>
      <c r="AB284" s="6">
        <v>0</v>
      </c>
      <c r="AE284" s="96"/>
      <c r="AF284" s="224"/>
      <c r="AG284" s="225">
        <v>175</v>
      </c>
      <c r="AH284" s="9" t="str">
        <f t="shared" ref="AH284" si="36">LOWER(IF(C284="1", "0xd"&amp;RIGHT(B284,7),"0x9"&amp;RIGHT(B284,7)))</f>
        <v>0x98dbffff</v>
      </c>
      <c r="AI284" s="6">
        <f t="shared" si="29"/>
        <v>2564554751</v>
      </c>
      <c r="AJ284" s="6" t="str">
        <f t="shared" si="30"/>
        <v/>
      </c>
      <c r="AK284" s="6" t="str">
        <f t="shared" si="27"/>
        <v/>
      </c>
      <c r="AL284" s="6" t="str">
        <f t="shared" si="31"/>
        <v/>
      </c>
      <c r="AN284" s="6" t="str">
        <f t="shared" si="32"/>
        <v>ok</v>
      </c>
    </row>
    <row r="285" spans="1:41">
      <c r="A285" s="7" t="s">
        <v>739</v>
      </c>
      <c r="B285" s="8" t="s">
        <v>745</v>
      </c>
      <c r="C285" s="7" t="s">
        <v>29</v>
      </c>
      <c r="D285" s="197">
        <v>8</v>
      </c>
      <c r="E285" s="10"/>
      <c r="F285" s="61">
        <v>0</v>
      </c>
      <c r="G285" s="10"/>
      <c r="H285" s="10"/>
      <c r="I285" s="10"/>
      <c r="K285" s="6">
        <v>0</v>
      </c>
      <c r="L285" s="6">
        <v>0</v>
      </c>
      <c r="M285" s="6">
        <v>1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89"/>
      <c r="Y285" s="6">
        <v>30</v>
      </c>
      <c r="Z285" s="118">
        <v>65535</v>
      </c>
      <c r="AA285" s="118">
        <v>65535</v>
      </c>
      <c r="AB285" s="6">
        <v>0</v>
      </c>
      <c r="AE285" s="96"/>
      <c r="AF285" s="224">
        <v>176</v>
      </c>
      <c r="AG285" s="225"/>
      <c r="AH285" s="9" t="str">
        <f>LOWER(IF(C285="1", "0xd"&amp;RIGHT(B285,7),"0x9"&amp;RIGHT(B285,7)))</f>
        <v>0xd8da0000</v>
      </c>
      <c r="AI285" s="6">
        <f t="shared" si="29"/>
        <v>3638165504</v>
      </c>
      <c r="AJ285" s="6" t="str">
        <f t="shared" si="30"/>
        <v>0xd8da0000</v>
      </c>
      <c r="AK285" s="6" t="str">
        <f t="shared" si="27"/>
        <v>0xd8dbffff</v>
      </c>
      <c r="AL285" s="6">
        <f t="shared" si="31"/>
        <v>8</v>
      </c>
      <c r="AN285" s="6" t="str">
        <f t="shared" si="32"/>
        <v>ok</v>
      </c>
    </row>
    <row r="286" spans="1:41">
      <c r="A286" s="7" t="s">
        <v>739</v>
      </c>
      <c r="B286" s="8" t="s">
        <v>746</v>
      </c>
      <c r="C286" s="7" t="s">
        <v>29</v>
      </c>
      <c r="D286" s="197">
        <v>8</v>
      </c>
      <c r="E286" s="10"/>
      <c r="F286" s="61"/>
      <c r="G286" s="10" t="s">
        <v>32</v>
      </c>
      <c r="H286" s="10"/>
      <c r="I286" s="10"/>
      <c r="K286" s="6">
        <v>0</v>
      </c>
      <c r="L286" s="6">
        <v>0</v>
      </c>
      <c r="M286" s="6">
        <v>1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89"/>
      <c r="Y286" s="6">
        <v>30</v>
      </c>
      <c r="Z286" s="118">
        <v>65535</v>
      </c>
      <c r="AA286" s="118">
        <v>65535</v>
      </c>
      <c r="AB286" s="6">
        <v>0</v>
      </c>
      <c r="AE286" s="96"/>
      <c r="AF286" s="224"/>
      <c r="AG286" s="225">
        <v>176</v>
      </c>
      <c r="AH286" s="9" t="str">
        <f>LOWER(IF(C286="1", "0xd"&amp;RIGHT(B286,7),"0x9"&amp;RIGHT(B286,7)))</f>
        <v>0xd8dbffff</v>
      </c>
      <c r="AI286" s="6">
        <f t="shared" si="29"/>
        <v>3638296575</v>
      </c>
      <c r="AJ286" s="6" t="str">
        <f t="shared" si="30"/>
        <v/>
      </c>
      <c r="AK286" s="6" t="str">
        <f t="shared" si="27"/>
        <v/>
      </c>
      <c r="AL286" s="6" t="str">
        <f t="shared" si="31"/>
        <v/>
      </c>
      <c r="AN286" s="6" t="str">
        <f t="shared" si="32"/>
        <v>ok</v>
      </c>
    </row>
    <row r="287" spans="1:41">
      <c r="A287" s="15"/>
      <c r="B287" s="22"/>
      <c r="C287" s="11"/>
      <c r="X287" s="89"/>
      <c r="AE287" s="96"/>
      <c r="AF287" s="38"/>
      <c r="AG287" s="96"/>
    </row>
    <row r="288" spans="1:41">
      <c r="A288" s="6" t="s">
        <v>776</v>
      </c>
      <c r="B288" s="6" t="s">
        <v>776</v>
      </c>
      <c r="C288" s="6" t="s">
        <v>776</v>
      </c>
      <c r="D288" s="6" t="s">
        <v>776</v>
      </c>
      <c r="E288" s="6" t="s">
        <v>776</v>
      </c>
      <c r="F288" s="189" t="s">
        <v>776</v>
      </c>
      <c r="G288" s="6" t="s">
        <v>776</v>
      </c>
      <c r="H288" s="6" t="s">
        <v>776</v>
      </c>
      <c r="I288" s="6" t="s">
        <v>776</v>
      </c>
      <c r="J288" s="6" t="s">
        <v>776</v>
      </c>
      <c r="K288" s="6" t="s">
        <v>776</v>
      </c>
      <c r="L288" s="6" t="s">
        <v>776</v>
      </c>
      <c r="M288" s="6" t="s">
        <v>776</v>
      </c>
      <c r="N288" s="6" t="s">
        <v>776</v>
      </c>
      <c r="O288" s="6" t="s">
        <v>776</v>
      </c>
      <c r="P288" s="6" t="s">
        <v>776</v>
      </c>
      <c r="Q288" s="6" t="s">
        <v>776</v>
      </c>
      <c r="R288" s="6" t="s">
        <v>776</v>
      </c>
      <c r="S288" s="6" t="s">
        <v>776</v>
      </c>
      <c r="T288" s="6" t="s">
        <v>776</v>
      </c>
      <c r="U288" s="6" t="s">
        <v>776</v>
      </c>
      <c r="V288" s="6" t="s">
        <v>776</v>
      </c>
      <c r="W288" s="6" t="s">
        <v>776</v>
      </c>
      <c r="X288" s="89" t="s">
        <v>776</v>
      </c>
      <c r="Y288" s="6" t="s">
        <v>776</v>
      </c>
      <c r="Z288" s="6" t="s">
        <v>776</v>
      </c>
      <c r="AA288" s="6" t="s">
        <v>776</v>
      </c>
      <c r="AB288" s="6" t="s">
        <v>776</v>
      </c>
      <c r="AC288" s="6" t="s">
        <v>776</v>
      </c>
      <c r="AD288" s="6" t="s">
        <v>776</v>
      </c>
      <c r="AE288" s="96" t="s">
        <v>776</v>
      </c>
      <c r="AF288" s="38" t="s">
        <v>776</v>
      </c>
      <c r="AG288" s="96" t="s">
        <v>776</v>
      </c>
      <c r="AH288" s="6" t="s">
        <v>776</v>
      </c>
      <c r="AI288" s="6" t="s">
        <v>776</v>
      </c>
      <c r="AJ288" s="6" t="s">
        <v>776</v>
      </c>
      <c r="AK288" s="6" t="s">
        <v>776</v>
      </c>
      <c r="AM288" s="6" t="s">
        <v>776</v>
      </c>
      <c r="AN288" s="6" t="s">
        <v>776</v>
      </c>
      <c r="AO288" s="6" t="s">
        <v>776</v>
      </c>
    </row>
    <row r="289" spans="1:40" ht="15">
      <c r="A289" s="15" t="str">
        <f t="shared" ref="A289:D308" si="37">A6</f>
        <v>BDC1S52</v>
      </c>
      <c r="B289" s="15" t="str">
        <f t="shared" si="37"/>
        <v>013</v>
      </c>
      <c r="C289" s="15" t="str">
        <f t="shared" si="37"/>
        <v>1</v>
      </c>
      <c r="D289" s="15">
        <f t="shared" si="37"/>
        <v>64</v>
      </c>
      <c r="E289" s="15"/>
      <c r="F289" s="15" t="str">
        <f t="shared" ref="F289:F320" si="38">F6</f>
        <v>0</v>
      </c>
      <c r="G289" s="16" t="str">
        <f t="shared" ref="G289:I308" si="39">IF(G6&lt;&gt;"",G6,"")</f>
        <v>R</v>
      </c>
      <c r="H289" s="16" t="str">
        <f t="shared" si="39"/>
        <v/>
      </c>
      <c r="I289" s="16" t="str">
        <f t="shared" si="39"/>
        <v/>
      </c>
      <c r="X289" s="119">
        <v>0</v>
      </c>
      <c r="Y289" s="18"/>
      <c r="Z289" s="18" t="str">
        <f t="shared" ref="Z289:Z319" si="40">"(U2)0x"&amp;LOWER(DEC2HEX(VLOOKUP($X289,$Y$6:$AB$286,2,FALSE),4))&amp;"U,"</f>
        <v>(U2)0x0013U,</v>
      </c>
      <c r="AA289" s="18" t="str">
        <f t="shared" ref="AA289:AA319" si="41">"(U2)0x"&amp;IF(LOWER(DEC2HEX(VLOOKUP($X289,$Y$6:$AB$286,3,FALSE),4))="ffff",LOWER(DEC2HEX(VLOOKUP($X289,$Y$6:$AB$286,3,FALSE),4))&amp;"U,",LOWER(DEC2HEX(VLOOKUP($X289,$Y$6:$AB$286,3,FALSE),4))&amp;" | (U2)BSW_VCAN_CFG_VMBOX_UTXOFFSET_0,")</f>
        <v>(U2)0xffffU,</v>
      </c>
      <c r="AB289" s="18" t="str">
        <f t="shared" ref="AB289:AB319" si="42">"(U2)0x"&amp;LOWER(DEC2HEX(VLOOKUP($X289,$Y$6:$AB$286,4,FALSE),4))&amp;"U,"</f>
        <v>(U2)0xffffU,</v>
      </c>
      <c r="AC289" s="18" t="str">
        <f>"/* "&amp;($X289*$X$3)&amp;" */"</f>
        <v>/* 0 */</v>
      </c>
      <c r="AE289" s="96"/>
      <c r="AF289" s="38">
        <f t="shared" ref="AF289:AF352" si="43">IF(AF6&lt;&gt;"",AF6,"")</f>
        <v>0</v>
      </c>
      <c r="AG289" s="96" t="str">
        <f t="shared" ref="AG289:AG352" si="44">IF($AF6&lt;&gt;"","", "/* ")</f>
        <v/>
      </c>
      <c r="AH289" s="6" t="str">
        <f t="shared" ref="AH289:AH352" si="45">IF($AF6&lt;&gt;"","{(U4)0x"&amp;LOWER(DEC2HEX($L6*$L$3+$M6*$M$3+$N6*$N$3+$V6*$V$3,8))&amp;"U,",AH288)</f>
        <v>{(U4)0x00000200U,</v>
      </c>
      <c r="AI289" s="6" t="str">
        <f t="shared" ref="AI289:AI352" si="46">IF($AF6&lt;&gt;"", "(U4)"&amp;LOWER($AJ6)&amp;"U,",AI288)</f>
        <v>(U4)0x40000013U,</v>
      </c>
      <c r="AJ289" s="6" t="str">
        <f t="shared" ref="AJ289:AJ352" si="47">IF($AF6&lt;&gt;"", "(U4)"&amp;LOWER($AK6)&amp;"U,",AJ288)</f>
        <v>(U4)0x40000062U,</v>
      </c>
      <c r="AK289" s="6" t="str">
        <f t="shared" ref="AK289:AK352" si="48" xml:space="preserve"> IF($AF6&lt;&gt;"", "(U2)"&amp;$AL6&amp;"U,",AK288)</f>
        <v>(U2)64U,</v>
      </c>
      <c r="AL289" s="6" t="str">
        <f t="shared" ref="AL289:AL352" si="49" xml:space="preserve"> IF($AF6&lt;&gt;"", "(U2)"&amp;$Y6*$X$3&amp;"U},",AL288)</f>
        <v>(U2)87U},</v>
      </c>
      <c r="AM289" s="6" t="str">
        <f t="shared" ref="AM289:AM352" si="50">IF($AF6&lt;&gt;"","", " */")</f>
        <v/>
      </c>
      <c r="AN289" s="6" t="str">
        <f t="shared" ref="AN289:AN352" si="51">"/* "&amp;IF($AF6&lt;&gt;"",$AF6," ")&amp;" : "&amp;$A6&amp;" = "&amp;LOWER($AH6)&amp;" */"</f>
        <v>/* 0 : BDC1S52 = 0x40000013 */</v>
      </c>
    </row>
    <row r="290" spans="1:40" ht="15">
      <c r="A290" s="15" t="str">
        <f t="shared" si="37"/>
        <v>BDC1S60</v>
      </c>
      <c r="B290" s="15" t="str">
        <f t="shared" si="37"/>
        <v>01B</v>
      </c>
      <c r="C290" s="15" t="str">
        <f t="shared" si="37"/>
        <v>1</v>
      </c>
      <c r="D290" s="15">
        <f t="shared" si="37"/>
        <v>64</v>
      </c>
      <c r="E290" s="15"/>
      <c r="F290" s="15" t="str">
        <f t="shared" si="38"/>
        <v>0</v>
      </c>
      <c r="G290" s="16" t="str">
        <f t="shared" si="39"/>
        <v>R</v>
      </c>
      <c r="H290" s="16" t="str">
        <f t="shared" si="39"/>
        <v/>
      </c>
      <c r="I290" s="16" t="str">
        <f t="shared" si="39"/>
        <v/>
      </c>
      <c r="X290" s="103">
        <v>1</v>
      </c>
      <c r="Y290" s="18"/>
      <c r="Z290" s="18" t="str">
        <f t="shared" si="40"/>
        <v>(U2)0x0002U,</v>
      </c>
      <c r="AA290" s="18" t="str">
        <f t="shared" si="41"/>
        <v>(U2)0xffffU,</v>
      </c>
      <c r="AB290" s="18" t="str">
        <f t="shared" si="42"/>
        <v>(U2)0xffffU,</v>
      </c>
      <c r="AC290" s="18" t="str">
        <f>"/* "&amp;($X290*$X$3)&amp;" */"</f>
        <v>/* 3 */</v>
      </c>
      <c r="AE290" s="96"/>
      <c r="AF290" s="38" t="str">
        <f t="shared" si="43"/>
        <v/>
      </c>
      <c r="AG290" s="96" t="str">
        <f t="shared" si="44"/>
        <v xml:space="preserve">/* </v>
      </c>
      <c r="AH290" s="6" t="str">
        <f t="shared" si="45"/>
        <v>{(U4)0x00000200U,</v>
      </c>
      <c r="AI290" s="6" t="str">
        <f t="shared" si="46"/>
        <v>(U4)0x40000013U,</v>
      </c>
      <c r="AJ290" s="6" t="str">
        <f t="shared" si="47"/>
        <v>(U4)0x40000062U,</v>
      </c>
      <c r="AK290" s="6" t="str">
        <f t="shared" si="48"/>
        <v>(U2)64U,</v>
      </c>
      <c r="AL290" s="6" t="str">
        <f t="shared" si="49"/>
        <v>(U2)87U},</v>
      </c>
      <c r="AM290" s="6" t="str">
        <f t="shared" si="50"/>
        <v xml:space="preserve"> */</v>
      </c>
      <c r="AN290" s="6" t="str">
        <f t="shared" si="51"/>
        <v>/*   : BDC1S60 = 0x4000001b */</v>
      </c>
    </row>
    <row r="291" spans="1:40" ht="15">
      <c r="A291" s="15" t="str">
        <f t="shared" si="37"/>
        <v>EPS1S11</v>
      </c>
      <c r="B291" s="15" t="str">
        <f t="shared" si="37"/>
        <v>062</v>
      </c>
      <c r="C291" s="15" t="str">
        <f t="shared" si="37"/>
        <v>1</v>
      </c>
      <c r="D291" s="15">
        <f t="shared" si="37"/>
        <v>64</v>
      </c>
      <c r="E291" s="15"/>
      <c r="F291" s="15" t="str">
        <f t="shared" si="38"/>
        <v>1</v>
      </c>
      <c r="G291" s="16" t="str">
        <f t="shared" si="39"/>
        <v>R</v>
      </c>
      <c r="H291" s="16" t="str">
        <f t="shared" si="39"/>
        <v/>
      </c>
      <c r="I291" s="16" t="str">
        <f t="shared" si="39"/>
        <v/>
      </c>
      <c r="X291" s="103">
        <v>2</v>
      </c>
      <c r="Y291" s="18"/>
      <c r="Z291" s="18" t="str">
        <f t="shared" si="40"/>
        <v>(U2)0x0000U,</v>
      </c>
      <c r="AA291" s="18" t="str">
        <f t="shared" si="41"/>
        <v>(U2)0xffffU,</v>
      </c>
      <c r="AB291" s="18" t="str">
        <f t="shared" si="42"/>
        <v>(U2)0xffffU,</v>
      </c>
      <c r="AC291" s="18" t="str">
        <f>"/* "&amp;($X291*$X$3)&amp;" */"</f>
        <v>/* 6 */</v>
      </c>
      <c r="AE291" s="96"/>
      <c r="AF291" s="38" t="str">
        <f t="shared" si="43"/>
        <v/>
      </c>
      <c r="AG291" s="96" t="str">
        <f t="shared" si="44"/>
        <v xml:space="preserve">/* </v>
      </c>
      <c r="AH291" s="6" t="str">
        <f t="shared" si="45"/>
        <v>{(U4)0x00000200U,</v>
      </c>
      <c r="AI291" s="6" t="str">
        <f t="shared" si="46"/>
        <v>(U4)0x40000013U,</v>
      </c>
      <c r="AJ291" s="6" t="str">
        <f t="shared" si="47"/>
        <v>(U4)0x40000062U,</v>
      </c>
      <c r="AK291" s="6" t="str">
        <f t="shared" si="48"/>
        <v>(U2)64U,</v>
      </c>
      <c r="AL291" s="6" t="str">
        <f t="shared" si="49"/>
        <v>(U2)87U},</v>
      </c>
      <c r="AM291" s="6" t="str">
        <f t="shared" si="50"/>
        <v xml:space="preserve"> */</v>
      </c>
      <c r="AN291" s="6" t="str">
        <f t="shared" si="51"/>
        <v>/*   : EPS1S11 = 0x40000062 */</v>
      </c>
    </row>
    <row r="292" spans="1:40" ht="15">
      <c r="A292" s="15" t="str">
        <f t="shared" si="37"/>
        <v>VSC1F01</v>
      </c>
      <c r="B292" s="15" t="str">
        <f t="shared" si="37"/>
        <v>06A</v>
      </c>
      <c r="C292" s="15" t="str">
        <f t="shared" si="37"/>
        <v>1</v>
      </c>
      <c r="D292" s="15">
        <f t="shared" si="37"/>
        <v>32</v>
      </c>
      <c r="E292" s="15"/>
      <c r="F292" s="15" t="str">
        <f t="shared" si="38"/>
        <v>1</v>
      </c>
      <c r="G292" s="16" t="str">
        <f t="shared" si="39"/>
        <v>R</v>
      </c>
      <c r="H292" s="16" t="str">
        <f t="shared" si="39"/>
        <v/>
      </c>
      <c r="I292" s="16" t="str">
        <f t="shared" si="39"/>
        <v/>
      </c>
      <c r="X292" s="103">
        <v>3</v>
      </c>
      <c r="Y292" s="18"/>
      <c r="Z292" s="18" t="str">
        <f t="shared" si="40"/>
        <v>(U2)0x0019U,</v>
      </c>
      <c r="AA292" s="18" t="str">
        <f t="shared" si="41"/>
        <v>(U2)0xffffU,</v>
      </c>
      <c r="AB292" s="18" t="str">
        <f t="shared" si="42"/>
        <v>(U2)0xffffU,</v>
      </c>
      <c r="AC292" s="18" t="str">
        <f>"/* "&amp;($X292*$X$3)&amp;" */"</f>
        <v>/* 9 */</v>
      </c>
      <c r="AE292" s="96"/>
      <c r="AF292" s="38">
        <f t="shared" si="43"/>
        <v>1</v>
      </c>
      <c r="AG292" s="96" t="str">
        <f t="shared" si="44"/>
        <v/>
      </c>
      <c r="AH292" s="6" t="str">
        <f t="shared" si="45"/>
        <v>{(U4)0x00000200U,</v>
      </c>
      <c r="AI292" s="6" t="str">
        <f t="shared" si="46"/>
        <v>(U4)0x4000006aU,</v>
      </c>
      <c r="AJ292" s="6" t="str">
        <f t="shared" si="47"/>
        <v>(U4)0x4000006aU,</v>
      </c>
      <c r="AK292" s="6" t="str">
        <f t="shared" si="48"/>
        <v>(U2)32U,</v>
      </c>
      <c r="AL292" s="6" t="str">
        <f t="shared" si="49"/>
        <v>(U2)87U},</v>
      </c>
      <c r="AM292" s="6" t="str">
        <f t="shared" si="50"/>
        <v/>
      </c>
      <c r="AN292" s="6" t="str">
        <f t="shared" si="51"/>
        <v>/* 1 : VSC1F01 = 0x4000006a */</v>
      </c>
    </row>
    <row r="293" spans="1:40" ht="15">
      <c r="A293" s="15" t="str">
        <f t="shared" si="37"/>
        <v>VSC1G12</v>
      </c>
      <c r="B293" s="15" t="str">
        <f t="shared" si="37"/>
        <v>069</v>
      </c>
      <c r="C293" s="15" t="str">
        <f t="shared" si="37"/>
        <v>1</v>
      </c>
      <c r="D293" s="15">
        <f t="shared" si="37"/>
        <v>32</v>
      </c>
      <c r="E293" s="15"/>
      <c r="F293" s="15" t="str">
        <f t="shared" si="38"/>
        <v>1</v>
      </c>
      <c r="G293" s="16" t="str">
        <f t="shared" si="39"/>
        <v>R</v>
      </c>
      <c r="H293" s="16" t="str">
        <f t="shared" si="39"/>
        <v/>
      </c>
      <c r="I293" s="16" t="str">
        <f t="shared" si="39"/>
        <v/>
      </c>
      <c r="X293" s="103">
        <v>4</v>
      </c>
      <c r="Y293" s="18"/>
      <c r="Z293" s="18" t="str">
        <f t="shared" si="40"/>
        <v>(U2)0x001bU,</v>
      </c>
      <c r="AA293" s="18" t="str">
        <f t="shared" si="41"/>
        <v>(U2)0xffffU,</v>
      </c>
      <c r="AB293" s="18" t="str">
        <f t="shared" si="42"/>
        <v>(U2)0xffffU,</v>
      </c>
      <c r="AC293" s="18" t="str">
        <f t="shared" ref="AC293:AC304" si="52">"/* "&amp;($X293*$X$3)&amp;" */"</f>
        <v>/* 12 */</v>
      </c>
      <c r="AE293" s="96"/>
      <c r="AF293" s="38">
        <f t="shared" si="43"/>
        <v>2</v>
      </c>
      <c r="AG293" s="96" t="str">
        <f t="shared" si="44"/>
        <v/>
      </c>
      <c r="AH293" s="6" t="str">
        <f t="shared" si="45"/>
        <v>{(U4)0x00000200U,</v>
      </c>
      <c r="AI293" s="6" t="str">
        <f t="shared" si="46"/>
        <v>(U4)0x40000069U,</v>
      </c>
      <c r="AJ293" s="6" t="str">
        <f t="shared" si="47"/>
        <v>(U4)0x40000069U,</v>
      </c>
      <c r="AK293" s="6" t="str">
        <f t="shared" si="48"/>
        <v>(U2)32U,</v>
      </c>
      <c r="AL293" s="6" t="str">
        <f t="shared" si="49"/>
        <v>(U2)87U},</v>
      </c>
      <c r="AM293" s="6" t="str">
        <f t="shared" si="50"/>
        <v/>
      </c>
      <c r="AN293" s="6" t="str">
        <f t="shared" si="51"/>
        <v>/* 2 : VSC1G12 = 0x40000069 */</v>
      </c>
    </row>
    <row r="294" spans="1:40" ht="15">
      <c r="A294" s="15" t="str">
        <f t="shared" si="37"/>
        <v>ZN11S08</v>
      </c>
      <c r="B294" s="15" t="str">
        <f t="shared" si="37"/>
        <v>086</v>
      </c>
      <c r="C294" s="15" t="str">
        <f t="shared" si="37"/>
        <v>1</v>
      </c>
      <c r="D294" s="15">
        <f t="shared" si="37"/>
        <v>8</v>
      </c>
      <c r="E294" s="15"/>
      <c r="F294" s="15" t="str">
        <f t="shared" si="38"/>
        <v>0</v>
      </c>
      <c r="G294" s="16" t="str">
        <f t="shared" si="39"/>
        <v>R</v>
      </c>
      <c r="H294" s="16" t="str">
        <f t="shared" si="39"/>
        <v/>
      </c>
      <c r="I294" s="16" t="str">
        <f t="shared" si="39"/>
        <v/>
      </c>
      <c r="X294" s="103">
        <v>5</v>
      </c>
      <c r="Y294" s="18"/>
      <c r="Z294" s="18" t="str">
        <f t="shared" si="40"/>
        <v>(U2)0x0004U,</v>
      </c>
      <c r="AA294" s="18" t="str">
        <f t="shared" si="41"/>
        <v>(U2)0xffffU,</v>
      </c>
      <c r="AB294" s="18" t="str">
        <f t="shared" si="42"/>
        <v>(U2)0xffffU,</v>
      </c>
      <c r="AC294" s="18" t="str">
        <f t="shared" si="52"/>
        <v>/* 15 */</v>
      </c>
      <c r="AE294" s="96"/>
      <c r="AF294" s="38">
        <f t="shared" si="43"/>
        <v>3</v>
      </c>
      <c r="AG294" s="96" t="str">
        <f t="shared" si="44"/>
        <v/>
      </c>
      <c r="AH294" s="6" t="str">
        <f t="shared" si="45"/>
        <v>{(U4)0x00000200U,</v>
      </c>
      <c r="AI294" s="6" t="str">
        <f t="shared" si="46"/>
        <v>(U4)0x40000086U,</v>
      </c>
      <c r="AJ294" s="6" t="str">
        <f t="shared" si="47"/>
        <v>(U4)0x40000086U,</v>
      </c>
      <c r="AK294" s="6" t="str">
        <f t="shared" si="48"/>
        <v>(U2)8U,</v>
      </c>
      <c r="AL294" s="6" t="str">
        <f t="shared" si="49"/>
        <v>(U2)87U},</v>
      </c>
      <c r="AM294" s="6" t="str">
        <f t="shared" si="50"/>
        <v/>
      </c>
      <c r="AN294" s="6" t="str">
        <f t="shared" si="51"/>
        <v>/* 3 : ZN11S08 = 0x40000086 */</v>
      </c>
    </row>
    <row r="295" spans="1:40" ht="15">
      <c r="A295" s="15" t="str">
        <f t="shared" si="37"/>
        <v>BDC1S30</v>
      </c>
      <c r="B295" s="15" t="str">
        <f t="shared" si="37"/>
        <v>186</v>
      </c>
      <c r="C295" s="15" t="str">
        <f t="shared" si="37"/>
        <v>1</v>
      </c>
      <c r="D295" s="15">
        <f t="shared" si="37"/>
        <v>32</v>
      </c>
      <c r="E295" s="15"/>
      <c r="F295" s="15" t="str">
        <f t="shared" si="38"/>
        <v>0</v>
      </c>
      <c r="G295" s="16" t="str">
        <f t="shared" si="39"/>
        <v>R</v>
      </c>
      <c r="H295" s="16" t="str">
        <f t="shared" si="39"/>
        <v/>
      </c>
      <c r="I295" s="16" t="str">
        <f t="shared" si="39"/>
        <v/>
      </c>
      <c r="X295" s="103">
        <v>6</v>
      </c>
      <c r="Y295" s="18"/>
      <c r="Z295" s="18" t="str">
        <f t="shared" si="40"/>
        <v>(U2)0x0005U,</v>
      </c>
      <c r="AA295" s="18" t="str">
        <f t="shared" si="41"/>
        <v>(U2)0xffffU,</v>
      </c>
      <c r="AB295" s="18" t="str">
        <f t="shared" si="42"/>
        <v>(U2)0xffffU,</v>
      </c>
      <c r="AC295" s="18" t="str">
        <f t="shared" si="52"/>
        <v>/* 18 */</v>
      </c>
      <c r="AE295" s="96"/>
      <c r="AF295" s="38">
        <f t="shared" si="43"/>
        <v>4</v>
      </c>
      <c r="AG295" s="96" t="str">
        <f t="shared" si="44"/>
        <v/>
      </c>
      <c r="AH295" s="6" t="str">
        <f t="shared" si="45"/>
        <v>{(U4)0x00000200U,</v>
      </c>
      <c r="AI295" s="6" t="str">
        <f t="shared" si="46"/>
        <v>(U4)0x40000186U,</v>
      </c>
      <c r="AJ295" s="6" t="str">
        <f t="shared" si="47"/>
        <v>(U4)0x40000186U,</v>
      </c>
      <c r="AK295" s="6" t="str">
        <f t="shared" si="48"/>
        <v>(U2)32U,</v>
      </c>
      <c r="AL295" s="6" t="str">
        <f t="shared" si="49"/>
        <v>(U2)87U},</v>
      </c>
      <c r="AM295" s="6" t="str">
        <f t="shared" si="50"/>
        <v/>
      </c>
      <c r="AN295" s="6" t="str">
        <f t="shared" si="51"/>
        <v>/* 4 : BDC1S30 = 0x40000186 */</v>
      </c>
    </row>
    <row r="296" spans="1:40" s="6" customFormat="1" ht="15">
      <c r="A296" s="15" t="str">
        <f t="shared" si="37"/>
        <v>BDC1S40</v>
      </c>
      <c r="B296" s="15" t="str">
        <f t="shared" si="37"/>
        <v>09C</v>
      </c>
      <c r="C296" s="15" t="str">
        <f t="shared" si="37"/>
        <v>1</v>
      </c>
      <c r="D296" s="15">
        <f t="shared" si="37"/>
        <v>32</v>
      </c>
      <c r="E296" s="15"/>
      <c r="F296" s="15" t="str">
        <f t="shared" si="38"/>
        <v>0</v>
      </c>
      <c r="G296" s="16" t="str">
        <f t="shared" si="39"/>
        <v>R</v>
      </c>
      <c r="H296" s="16" t="str">
        <f t="shared" si="39"/>
        <v/>
      </c>
      <c r="I296" s="16" t="str">
        <f t="shared" si="39"/>
        <v/>
      </c>
      <c r="J296" s="5"/>
      <c r="X296" s="103">
        <v>7</v>
      </c>
      <c r="Y296" s="18"/>
      <c r="Z296" s="18" t="str">
        <f t="shared" si="40"/>
        <v>(U2)0x0006U,</v>
      </c>
      <c r="AA296" s="18" t="str">
        <f t="shared" si="41"/>
        <v>(U2)0xffffU,</v>
      </c>
      <c r="AB296" s="18" t="str">
        <f t="shared" si="42"/>
        <v>(U2)0xffffU,</v>
      </c>
      <c r="AC296" s="18" t="str">
        <f t="shared" si="52"/>
        <v>/* 21 */</v>
      </c>
      <c r="AE296" s="96"/>
      <c r="AF296" s="38">
        <f t="shared" si="43"/>
        <v>5</v>
      </c>
      <c r="AG296" s="96" t="str">
        <f t="shared" si="44"/>
        <v/>
      </c>
      <c r="AH296" s="6" t="str">
        <f t="shared" si="45"/>
        <v>{(U4)0x00000200U,</v>
      </c>
      <c r="AI296" s="6" t="str">
        <f t="shared" si="46"/>
        <v>(U4)0x4000009cU,</v>
      </c>
      <c r="AJ296" s="6" t="str">
        <f t="shared" si="47"/>
        <v>(U4)0x400000b7U,</v>
      </c>
      <c r="AK296" s="6" t="str">
        <f t="shared" si="48"/>
        <v>(U2)32U,</v>
      </c>
      <c r="AL296" s="6" t="str">
        <f t="shared" si="49"/>
        <v>(U2)87U},</v>
      </c>
      <c r="AM296" s="6" t="str">
        <f t="shared" si="50"/>
        <v/>
      </c>
      <c r="AN296" s="6" t="str">
        <f t="shared" si="51"/>
        <v>/* 5 : BDC1S40 = 0x4000009c */</v>
      </c>
    </row>
    <row r="297" spans="1:40" s="6" customFormat="1" ht="15">
      <c r="A297" s="15" t="str">
        <f t="shared" si="37"/>
        <v>VSC1G13</v>
      </c>
      <c r="B297" s="15" t="str">
        <f t="shared" si="37"/>
        <v>09E</v>
      </c>
      <c r="C297" s="15" t="str">
        <f t="shared" si="37"/>
        <v>1</v>
      </c>
      <c r="D297" s="15">
        <f t="shared" si="37"/>
        <v>32</v>
      </c>
      <c r="E297" s="15"/>
      <c r="F297" s="15" t="str">
        <f t="shared" si="38"/>
        <v>1</v>
      </c>
      <c r="G297" s="16" t="str">
        <f t="shared" si="39"/>
        <v>R</v>
      </c>
      <c r="H297" s="16" t="str">
        <f t="shared" si="39"/>
        <v/>
      </c>
      <c r="I297" s="16" t="str">
        <f t="shared" si="39"/>
        <v/>
      </c>
      <c r="J297" s="5"/>
      <c r="X297" s="103">
        <v>8</v>
      </c>
      <c r="Y297" s="18"/>
      <c r="Z297" s="18" t="str">
        <f t="shared" si="40"/>
        <v>(U2)0x0012U,</v>
      </c>
      <c r="AA297" s="18" t="str">
        <f t="shared" si="41"/>
        <v>(U2)0xffffU,</v>
      </c>
      <c r="AB297" s="18" t="str">
        <f t="shared" si="42"/>
        <v>(U2)0xffffU,</v>
      </c>
      <c r="AC297" s="18" t="str">
        <f t="shared" si="52"/>
        <v>/* 24 */</v>
      </c>
      <c r="AE297" s="96"/>
      <c r="AF297" s="38" t="str">
        <f t="shared" si="43"/>
        <v/>
      </c>
      <c r="AG297" s="96" t="str">
        <f t="shared" si="44"/>
        <v xml:space="preserve">/* </v>
      </c>
      <c r="AH297" s="6" t="str">
        <f t="shared" si="45"/>
        <v>{(U4)0x00000200U,</v>
      </c>
      <c r="AI297" s="6" t="str">
        <f t="shared" si="46"/>
        <v>(U4)0x4000009cU,</v>
      </c>
      <c r="AJ297" s="6" t="str">
        <f t="shared" si="47"/>
        <v>(U4)0x400000b7U,</v>
      </c>
      <c r="AK297" s="6" t="str">
        <f t="shared" si="48"/>
        <v>(U2)32U,</v>
      </c>
      <c r="AL297" s="6" t="str">
        <f t="shared" si="49"/>
        <v>(U2)87U},</v>
      </c>
      <c r="AM297" s="6" t="str">
        <f t="shared" si="50"/>
        <v xml:space="preserve"> */</v>
      </c>
      <c r="AN297" s="6" t="str">
        <f t="shared" si="51"/>
        <v>/*   : VSC1G13 = 0x4000009e */</v>
      </c>
    </row>
    <row r="298" spans="1:40" s="6" customFormat="1" ht="15">
      <c r="A298" s="15" t="str">
        <f t="shared" si="37"/>
        <v>ENG1G03</v>
      </c>
      <c r="B298" s="15" t="str">
        <f t="shared" si="37"/>
        <v>0A4</v>
      </c>
      <c r="C298" s="15" t="str">
        <f t="shared" si="37"/>
        <v>1</v>
      </c>
      <c r="D298" s="15">
        <f t="shared" si="37"/>
        <v>32</v>
      </c>
      <c r="E298" s="15"/>
      <c r="F298" s="15" t="str">
        <f t="shared" si="38"/>
        <v>1</v>
      </c>
      <c r="G298" s="16" t="str">
        <f t="shared" si="39"/>
        <v>R</v>
      </c>
      <c r="H298" s="16" t="str">
        <f t="shared" si="39"/>
        <v/>
      </c>
      <c r="I298" s="16" t="str">
        <f t="shared" si="39"/>
        <v/>
      </c>
      <c r="J298" s="5"/>
      <c r="X298" s="103">
        <v>9</v>
      </c>
      <c r="Y298" s="18"/>
      <c r="Z298" s="18" t="str">
        <f t="shared" si="40"/>
        <v>(U2)0x0015U,</v>
      </c>
      <c r="AA298" s="18" t="str">
        <f t="shared" si="41"/>
        <v>(U2)0xffffU,</v>
      </c>
      <c r="AB298" s="18" t="str">
        <f t="shared" si="42"/>
        <v>(U2)0xffffU,</v>
      </c>
      <c r="AC298" s="18" t="str">
        <f t="shared" si="52"/>
        <v>/* 27 */</v>
      </c>
      <c r="AE298" s="96"/>
      <c r="AF298" s="38" t="str">
        <f t="shared" si="43"/>
        <v/>
      </c>
      <c r="AG298" s="96" t="str">
        <f t="shared" si="44"/>
        <v xml:space="preserve">/* </v>
      </c>
      <c r="AH298" s="6" t="str">
        <f t="shared" si="45"/>
        <v>{(U4)0x00000200U,</v>
      </c>
      <c r="AI298" s="6" t="str">
        <f t="shared" si="46"/>
        <v>(U4)0x4000009cU,</v>
      </c>
      <c r="AJ298" s="6" t="str">
        <f t="shared" si="47"/>
        <v>(U4)0x400000b7U,</v>
      </c>
      <c r="AK298" s="6" t="str">
        <f t="shared" si="48"/>
        <v>(U2)32U,</v>
      </c>
      <c r="AL298" s="6" t="str">
        <f t="shared" si="49"/>
        <v>(U2)87U},</v>
      </c>
      <c r="AM298" s="6" t="str">
        <f t="shared" si="50"/>
        <v xml:space="preserve"> */</v>
      </c>
      <c r="AN298" s="6" t="str">
        <f t="shared" si="51"/>
        <v>/*   : ENG1G03 = 0x400000a4 */</v>
      </c>
    </row>
    <row r="299" spans="1:40" s="6" customFormat="1" ht="15">
      <c r="A299" s="15" t="str">
        <f t="shared" si="37"/>
        <v>VSC1G14</v>
      </c>
      <c r="B299" s="15" t="str">
        <f t="shared" si="37"/>
        <v>0B7</v>
      </c>
      <c r="C299" s="15" t="str">
        <f t="shared" si="37"/>
        <v>1</v>
      </c>
      <c r="D299" s="15">
        <f t="shared" si="37"/>
        <v>32</v>
      </c>
      <c r="E299" s="15"/>
      <c r="F299" s="15" t="str">
        <f t="shared" si="38"/>
        <v>1</v>
      </c>
      <c r="G299" s="16" t="str">
        <f t="shared" si="39"/>
        <v>R</v>
      </c>
      <c r="H299" s="16" t="str">
        <f t="shared" si="39"/>
        <v/>
      </c>
      <c r="I299" s="16" t="str">
        <f t="shared" si="39"/>
        <v/>
      </c>
      <c r="J299" s="5"/>
      <c r="X299" s="103">
        <v>10</v>
      </c>
      <c r="Y299" s="18"/>
      <c r="Z299" s="18" t="str">
        <f t="shared" si="40"/>
        <v>(U2)0x0001U,</v>
      </c>
      <c r="AA299" s="18" t="str">
        <f t="shared" si="41"/>
        <v>(U2)0xffffU,</v>
      </c>
      <c r="AB299" s="18" t="str">
        <f t="shared" si="42"/>
        <v>(U2)0xffffU,</v>
      </c>
      <c r="AC299" s="18" t="str">
        <f t="shared" si="52"/>
        <v>/* 30 */</v>
      </c>
      <c r="AE299" s="96"/>
      <c r="AF299" s="38" t="str">
        <f t="shared" si="43"/>
        <v/>
      </c>
      <c r="AG299" s="96" t="str">
        <f t="shared" si="44"/>
        <v xml:space="preserve">/* </v>
      </c>
      <c r="AH299" s="6" t="str">
        <f t="shared" si="45"/>
        <v>{(U4)0x00000200U,</v>
      </c>
      <c r="AI299" s="6" t="str">
        <f t="shared" si="46"/>
        <v>(U4)0x4000009cU,</v>
      </c>
      <c r="AJ299" s="6" t="str">
        <f t="shared" si="47"/>
        <v>(U4)0x400000b7U,</v>
      </c>
      <c r="AK299" s="6" t="str">
        <f t="shared" si="48"/>
        <v>(U2)32U,</v>
      </c>
      <c r="AL299" s="6" t="str">
        <f t="shared" si="49"/>
        <v>(U2)87U},</v>
      </c>
      <c r="AM299" s="6" t="str">
        <f t="shared" si="50"/>
        <v xml:space="preserve"> */</v>
      </c>
      <c r="AN299" s="6" t="str">
        <f t="shared" si="51"/>
        <v>/*   : VSC1G14 = 0x400000b7 */</v>
      </c>
    </row>
    <row r="300" spans="1:40" s="6" customFormat="1" ht="15">
      <c r="A300" s="15" t="str">
        <f t="shared" si="37"/>
        <v>DDM1S12</v>
      </c>
      <c r="B300" s="15" t="str">
        <f t="shared" si="37"/>
        <v>0B8</v>
      </c>
      <c r="C300" s="15" t="str">
        <f t="shared" si="37"/>
        <v>1</v>
      </c>
      <c r="D300" s="15">
        <f t="shared" si="37"/>
        <v>64</v>
      </c>
      <c r="E300" s="15"/>
      <c r="F300" s="15" t="str">
        <f t="shared" si="38"/>
        <v>1</v>
      </c>
      <c r="G300" s="16" t="str">
        <f t="shared" si="39"/>
        <v>R</v>
      </c>
      <c r="H300" s="16" t="str">
        <f t="shared" si="39"/>
        <v/>
      </c>
      <c r="I300" s="16" t="str">
        <f t="shared" si="39"/>
        <v/>
      </c>
      <c r="J300" s="5"/>
      <c r="X300" s="103">
        <v>11</v>
      </c>
      <c r="Y300" s="18"/>
      <c r="Z300" s="18" t="str">
        <f t="shared" si="40"/>
        <v>(U2)0x0003U,</v>
      </c>
      <c r="AA300" s="18" t="str">
        <f t="shared" si="41"/>
        <v>(U2)0xffffU,</v>
      </c>
      <c r="AB300" s="18" t="str">
        <f t="shared" si="42"/>
        <v>(U2)0xffffU,</v>
      </c>
      <c r="AC300" s="18" t="str">
        <f t="shared" si="52"/>
        <v>/* 33 */</v>
      </c>
      <c r="AE300" s="96"/>
      <c r="AF300" s="38">
        <f t="shared" si="43"/>
        <v>6</v>
      </c>
      <c r="AG300" s="96" t="str">
        <f t="shared" si="44"/>
        <v/>
      </c>
      <c r="AH300" s="6" t="str">
        <f t="shared" si="45"/>
        <v>{(U4)0x00000200U,</v>
      </c>
      <c r="AI300" s="6" t="str">
        <f t="shared" si="46"/>
        <v>(U4)0x400000b8U,</v>
      </c>
      <c r="AJ300" s="6" t="str">
        <f t="shared" si="47"/>
        <v>(U4)0x400000b8U,</v>
      </c>
      <c r="AK300" s="6" t="str">
        <f t="shared" si="48"/>
        <v>(U2)64U,</v>
      </c>
      <c r="AL300" s="6" t="str">
        <f t="shared" si="49"/>
        <v>(U2)87U},</v>
      </c>
      <c r="AM300" s="6" t="str">
        <f t="shared" si="50"/>
        <v/>
      </c>
      <c r="AN300" s="6" t="str">
        <f t="shared" si="51"/>
        <v>/* 6 : DDM1S12 = 0x400000b8 */</v>
      </c>
    </row>
    <row r="301" spans="1:40" s="6" customFormat="1" ht="15">
      <c r="A301" s="15" t="str">
        <f t="shared" si="37"/>
        <v>ENG1G92</v>
      </c>
      <c r="B301" s="15" t="str">
        <f t="shared" si="37"/>
        <v>0FC</v>
      </c>
      <c r="C301" s="15" t="str">
        <f t="shared" si="37"/>
        <v>1</v>
      </c>
      <c r="D301" s="15">
        <f t="shared" si="37"/>
        <v>8</v>
      </c>
      <c r="E301" s="15"/>
      <c r="F301" s="15" t="str">
        <f t="shared" si="38"/>
        <v>0</v>
      </c>
      <c r="G301" s="16" t="str">
        <f t="shared" si="39"/>
        <v>R</v>
      </c>
      <c r="H301" s="16" t="str">
        <f t="shared" si="39"/>
        <v/>
      </c>
      <c r="I301" s="16" t="str">
        <f t="shared" si="39"/>
        <v/>
      </c>
      <c r="J301" s="5"/>
      <c r="X301" s="103">
        <v>12</v>
      </c>
      <c r="Y301" s="18"/>
      <c r="Z301" s="18" t="str">
        <f t="shared" si="40"/>
        <v>(U2)0x0007U,</v>
      </c>
      <c r="AA301" s="18" t="str">
        <f t="shared" si="41"/>
        <v>(U2)0xffffU,</v>
      </c>
      <c r="AB301" s="18" t="str">
        <f t="shared" si="42"/>
        <v>(U2)0xffffU,</v>
      </c>
      <c r="AC301" s="18" t="str">
        <f t="shared" si="52"/>
        <v>/* 36 */</v>
      </c>
      <c r="AE301" s="96"/>
      <c r="AF301" s="38">
        <f t="shared" si="43"/>
        <v>7</v>
      </c>
      <c r="AG301" s="96" t="str">
        <f t="shared" si="44"/>
        <v/>
      </c>
      <c r="AH301" s="6" t="str">
        <f t="shared" si="45"/>
        <v>{(U4)0x00000200U,</v>
      </c>
      <c r="AI301" s="6" t="str">
        <f t="shared" si="46"/>
        <v>(U4)0x400000fcU,</v>
      </c>
      <c r="AJ301" s="6" t="str">
        <f t="shared" si="47"/>
        <v>(U4)0x40000100U,</v>
      </c>
      <c r="AK301" s="6" t="str">
        <f t="shared" si="48"/>
        <v>(U2)8U,</v>
      </c>
      <c r="AL301" s="6" t="str">
        <f t="shared" si="49"/>
        <v>(U2)87U},</v>
      </c>
      <c r="AM301" s="6" t="str">
        <f t="shared" si="50"/>
        <v/>
      </c>
      <c r="AN301" s="6" t="str">
        <f t="shared" si="51"/>
        <v>/* 7 : ENG1G92 = 0x400000fc */</v>
      </c>
    </row>
    <row r="302" spans="1:40" s="6" customFormat="1" ht="15">
      <c r="A302" s="15" t="str">
        <f t="shared" si="37"/>
        <v>FCM1S79</v>
      </c>
      <c r="B302" s="15" t="str">
        <f t="shared" si="37"/>
        <v>100</v>
      </c>
      <c r="C302" s="15" t="str">
        <f t="shared" si="37"/>
        <v>1</v>
      </c>
      <c r="D302" s="15">
        <f t="shared" si="37"/>
        <v>8</v>
      </c>
      <c r="E302" s="15"/>
      <c r="F302" s="15" t="str">
        <f t="shared" si="38"/>
        <v>0</v>
      </c>
      <c r="G302" s="16" t="str">
        <f t="shared" si="39"/>
        <v>R</v>
      </c>
      <c r="H302" s="16" t="str">
        <f t="shared" si="39"/>
        <v/>
      </c>
      <c r="I302" s="16" t="str">
        <f t="shared" si="39"/>
        <v/>
      </c>
      <c r="J302" s="5"/>
      <c r="X302" s="103">
        <v>13</v>
      </c>
      <c r="Y302" s="18"/>
      <c r="Z302" s="18" t="str">
        <f t="shared" si="40"/>
        <v>(U2)0x0008U,</v>
      </c>
      <c r="AA302" s="18" t="str">
        <f t="shared" si="41"/>
        <v>(U2)0xffffU,</v>
      </c>
      <c r="AB302" s="18" t="str">
        <f t="shared" si="42"/>
        <v>(U2)0xffffU,</v>
      </c>
      <c r="AC302" s="18" t="str">
        <f t="shared" si="52"/>
        <v>/* 39 */</v>
      </c>
      <c r="AE302" s="96"/>
      <c r="AF302" s="38" t="str">
        <f t="shared" si="43"/>
        <v/>
      </c>
      <c r="AG302" s="96" t="str">
        <f t="shared" si="44"/>
        <v xml:space="preserve">/* </v>
      </c>
      <c r="AH302" s="6" t="str">
        <f t="shared" si="45"/>
        <v>{(U4)0x00000200U,</v>
      </c>
      <c r="AI302" s="6" t="str">
        <f t="shared" si="46"/>
        <v>(U4)0x400000fcU,</v>
      </c>
      <c r="AJ302" s="6" t="str">
        <f t="shared" si="47"/>
        <v>(U4)0x40000100U,</v>
      </c>
      <c r="AK302" s="6" t="str">
        <f t="shared" si="48"/>
        <v>(U2)8U,</v>
      </c>
      <c r="AL302" s="6" t="str">
        <f t="shared" si="49"/>
        <v>(U2)87U},</v>
      </c>
      <c r="AM302" s="6" t="str">
        <f t="shared" si="50"/>
        <v xml:space="preserve"> */</v>
      </c>
      <c r="AN302" s="6" t="str">
        <f t="shared" si="51"/>
        <v>/*   : FCM1S79 = 0x40000100 */</v>
      </c>
    </row>
    <row r="303" spans="1:40" s="6" customFormat="1" ht="15">
      <c r="A303" s="15" t="str">
        <f t="shared" si="37"/>
        <v>ZN11S38</v>
      </c>
      <c r="B303" s="15" t="str">
        <f t="shared" si="37"/>
        <v>500</v>
      </c>
      <c r="C303" s="15" t="str">
        <f t="shared" si="37"/>
        <v>1</v>
      </c>
      <c r="D303" s="15">
        <f t="shared" si="37"/>
        <v>32</v>
      </c>
      <c r="E303" s="15"/>
      <c r="F303" s="15" t="str">
        <f t="shared" si="38"/>
        <v>0</v>
      </c>
      <c r="G303" s="16" t="str">
        <f t="shared" si="39"/>
        <v>R</v>
      </c>
      <c r="H303" s="16" t="str">
        <f t="shared" si="39"/>
        <v/>
      </c>
      <c r="I303" s="16" t="str">
        <f t="shared" si="39"/>
        <v/>
      </c>
      <c r="J303" s="5"/>
      <c r="X303" s="103">
        <v>14</v>
      </c>
      <c r="Y303" s="18"/>
      <c r="Z303" s="18" t="str">
        <f t="shared" si="40"/>
        <v>(U2)0x0009U,</v>
      </c>
      <c r="AA303" s="18" t="str">
        <f t="shared" si="41"/>
        <v>(U2)0xffffU,</v>
      </c>
      <c r="AB303" s="18" t="str">
        <f t="shared" si="42"/>
        <v>(U2)0xffffU,</v>
      </c>
      <c r="AC303" s="18" t="str">
        <f t="shared" si="52"/>
        <v>/* 42 */</v>
      </c>
      <c r="AE303" s="96"/>
      <c r="AF303" s="38">
        <f t="shared" si="43"/>
        <v>8</v>
      </c>
      <c r="AG303" s="96" t="str">
        <f t="shared" si="44"/>
        <v/>
      </c>
      <c r="AH303" s="6" t="str">
        <f t="shared" si="45"/>
        <v>{(U4)0x00000200U,</v>
      </c>
      <c r="AI303" s="6" t="str">
        <f t="shared" si="46"/>
        <v>(U4)0x40000500U,</v>
      </c>
      <c r="AJ303" s="6" t="str">
        <f t="shared" si="47"/>
        <v>(U4)0x40000500U,</v>
      </c>
      <c r="AK303" s="6" t="str">
        <f t="shared" si="48"/>
        <v>(U2)32U,</v>
      </c>
      <c r="AL303" s="6" t="str">
        <f t="shared" si="49"/>
        <v>(U2)87U},</v>
      </c>
      <c r="AM303" s="6" t="str">
        <f t="shared" si="50"/>
        <v/>
      </c>
      <c r="AN303" s="6" t="str">
        <f t="shared" si="51"/>
        <v>/* 8 : ZN11S38 = 0x40000500 */</v>
      </c>
    </row>
    <row r="304" spans="1:40" s="6" customFormat="1" ht="15">
      <c r="A304" s="15" t="str">
        <f t="shared" si="37"/>
        <v>DMC1S08</v>
      </c>
      <c r="B304" s="15" t="str">
        <f t="shared" si="37"/>
        <v>122</v>
      </c>
      <c r="C304" s="15" t="str">
        <f t="shared" si="37"/>
        <v>1</v>
      </c>
      <c r="D304" s="15">
        <f t="shared" si="37"/>
        <v>32</v>
      </c>
      <c r="E304" s="15"/>
      <c r="F304" s="15" t="str">
        <f t="shared" si="38"/>
        <v>1</v>
      </c>
      <c r="G304" s="16" t="str">
        <f t="shared" si="39"/>
        <v>R</v>
      </c>
      <c r="H304" s="16" t="str">
        <f t="shared" si="39"/>
        <v/>
      </c>
      <c r="I304" s="16" t="str">
        <f t="shared" si="39"/>
        <v/>
      </c>
      <c r="J304" s="5"/>
      <c r="X304" s="103">
        <v>15</v>
      </c>
      <c r="Y304" s="18"/>
      <c r="Z304" s="18" t="str">
        <f t="shared" si="40"/>
        <v>(U2)0x0016U,</v>
      </c>
      <c r="AA304" s="18" t="str">
        <f t="shared" si="41"/>
        <v>(U2)0xffffU,</v>
      </c>
      <c r="AB304" s="18" t="str">
        <f t="shared" si="42"/>
        <v>(U2)0xffffU,</v>
      </c>
      <c r="AC304" s="18" t="str">
        <f t="shared" si="52"/>
        <v>/* 45 */</v>
      </c>
      <c r="AE304" s="96"/>
      <c r="AF304" s="38">
        <f t="shared" si="43"/>
        <v>9</v>
      </c>
      <c r="AG304" s="96" t="str">
        <f t="shared" si="44"/>
        <v/>
      </c>
      <c r="AH304" s="6" t="str">
        <f t="shared" si="45"/>
        <v>{(U4)0x00000200U,</v>
      </c>
      <c r="AI304" s="6" t="str">
        <f t="shared" si="46"/>
        <v>(U4)0x40000122U,</v>
      </c>
      <c r="AJ304" s="6" t="str">
        <f t="shared" si="47"/>
        <v>(U4)0x40000122U,</v>
      </c>
      <c r="AK304" s="6" t="str">
        <f t="shared" si="48"/>
        <v>(U2)32U,</v>
      </c>
      <c r="AL304" s="6" t="str">
        <f t="shared" si="49"/>
        <v>(U2)87U},</v>
      </c>
      <c r="AM304" s="6" t="str">
        <f t="shared" si="50"/>
        <v/>
      </c>
      <c r="AN304" s="6" t="str">
        <f t="shared" si="51"/>
        <v>/* 9 : DMC1S08 = 0x40000122 */</v>
      </c>
    </row>
    <row r="305" spans="1:40" s="6" customFormat="1" ht="15">
      <c r="A305" s="15" t="str">
        <f t="shared" si="37"/>
        <v>BAT1S08</v>
      </c>
      <c r="B305" s="15" t="str">
        <f t="shared" si="37"/>
        <v>124</v>
      </c>
      <c r="C305" s="15" t="str">
        <f t="shared" si="37"/>
        <v>1</v>
      </c>
      <c r="D305" s="15">
        <f t="shared" si="37"/>
        <v>8</v>
      </c>
      <c r="E305" s="15"/>
      <c r="F305" s="15" t="str">
        <f t="shared" si="38"/>
        <v>0</v>
      </c>
      <c r="G305" s="16" t="str">
        <f t="shared" si="39"/>
        <v>R</v>
      </c>
      <c r="H305" s="16" t="str">
        <f t="shared" si="39"/>
        <v/>
      </c>
      <c r="I305" s="16" t="str">
        <f t="shared" si="39"/>
        <v/>
      </c>
      <c r="J305" s="5"/>
      <c r="X305" s="103">
        <v>16</v>
      </c>
      <c r="Y305" s="18"/>
      <c r="Z305" s="18" t="str">
        <f t="shared" si="40"/>
        <v>(U2)0x0017U,</v>
      </c>
      <c r="AA305" s="18" t="str">
        <f t="shared" si="41"/>
        <v>(U2)0xffffU,</v>
      </c>
      <c r="AB305" s="18" t="str">
        <f t="shared" si="42"/>
        <v>(U2)0xffffU,</v>
      </c>
      <c r="AC305" s="18" t="str">
        <f t="shared" ref="AC305:AC319" si="53">"/* "&amp;($X305*$X$3)&amp;" */"</f>
        <v>/* 48 */</v>
      </c>
      <c r="AE305" s="96"/>
      <c r="AF305" s="38">
        <f t="shared" si="43"/>
        <v>10</v>
      </c>
      <c r="AG305" s="96" t="str">
        <f t="shared" si="44"/>
        <v/>
      </c>
      <c r="AH305" s="6" t="str">
        <f t="shared" si="45"/>
        <v>{(U4)0x00000200U,</v>
      </c>
      <c r="AI305" s="6" t="str">
        <f t="shared" si="46"/>
        <v>(U4)0x40000124U,</v>
      </c>
      <c r="AJ305" s="6" t="str">
        <f t="shared" si="47"/>
        <v>(U4)0x40000124U,</v>
      </c>
      <c r="AK305" s="6" t="str">
        <f t="shared" si="48"/>
        <v>(U2)8U,</v>
      </c>
      <c r="AL305" s="6" t="str">
        <f t="shared" si="49"/>
        <v>(U2)87U},</v>
      </c>
      <c r="AM305" s="6" t="str">
        <f t="shared" si="50"/>
        <v/>
      </c>
      <c r="AN305" s="6" t="str">
        <f t="shared" si="51"/>
        <v>/* 10 : BAT1S08 = 0x40000124 */</v>
      </c>
    </row>
    <row r="306" spans="1:40" s="6" customFormat="1" ht="15">
      <c r="A306" s="15" t="str">
        <f t="shared" si="37"/>
        <v>BDC1SA0</v>
      </c>
      <c r="B306" s="15" t="str">
        <f t="shared" si="37"/>
        <v>1A4</v>
      </c>
      <c r="C306" s="15" t="str">
        <f t="shared" si="37"/>
        <v>1</v>
      </c>
      <c r="D306" s="15">
        <f t="shared" si="37"/>
        <v>32</v>
      </c>
      <c r="E306" s="15"/>
      <c r="F306" s="15" t="str">
        <f t="shared" si="38"/>
        <v>0</v>
      </c>
      <c r="G306" s="16" t="str">
        <f t="shared" si="39"/>
        <v>R</v>
      </c>
      <c r="H306" s="16" t="str">
        <f t="shared" si="39"/>
        <v/>
      </c>
      <c r="I306" s="16" t="str">
        <f t="shared" si="39"/>
        <v/>
      </c>
      <c r="J306" s="5"/>
      <c r="X306" s="103">
        <v>17</v>
      </c>
      <c r="Y306" s="18"/>
      <c r="Z306" s="18" t="str">
        <f t="shared" si="40"/>
        <v>(U2)0x000aU,</v>
      </c>
      <c r="AA306" s="18" t="str">
        <f t="shared" si="41"/>
        <v>(U2)0xffffU,</v>
      </c>
      <c r="AB306" s="18" t="str">
        <f t="shared" si="42"/>
        <v>(U2)0xffffU,</v>
      </c>
      <c r="AC306" s="18" t="str">
        <f t="shared" si="53"/>
        <v>/* 51 */</v>
      </c>
      <c r="AE306" s="96"/>
      <c r="AF306" s="38">
        <f t="shared" si="43"/>
        <v>11</v>
      </c>
      <c r="AG306" s="96" t="str">
        <f t="shared" si="44"/>
        <v/>
      </c>
      <c r="AH306" s="6" t="str">
        <f t="shared" si="45"/>
        <v>{(U4)0x00000200U,</v>
      </c>
      <c r="AI306" s="6" t="str">
        <f t="shared" si="46"/>
        <v>(U4)0x400001a4U,</v>
      </c>
      <c r="AJ306" s="6" t="str">
        <f t="shared" si="47"/>
        <v>(U4)0x400001a4U,</v>
      </c>
      <c r="AK306" s="6" t="str">
        <f t="shared" si="48"/>
        <v>(U2)32U,</v>
      </c>
      <c r="AL306" s="6" t="str">
        <f t="shared" si="49"/>
        <v>(U2)87U},</v>
      </c>
      <c r="AM306" s="6" t="str">
        <f t="shared" si="50"/>
        <v/>
      </c>
      <c r="AN306" s="6" t="str">
        <f t="shared" si="51"/>
        <v>/* 11 : BDC1SA0 = 0x400001a4 */</v>
      </c>
    </row>
    <row r="307" spans="1:40" s="6" customFormat="1" ht="15">
      <c r="A307" s="15" t="str">
        <f t="shared" si="37"/>
        <v>EHV1G30</v>
      </c>
      <c r="B307" s="15" t="str">
        <f t="shared" si="37"/>
        <v>128</v>
      </c>
      <c r="C307" s="15" t="str">
        <f t="shared" si="37"/>
        <v>1</v>
      </c>
      <c r="D307" s="15">
        <f t="shared" si="37"/>
        <v>8</v>
      </c>
      <c r="E307" s="15"/>
      <c r="F307" s="15" t="str">
        <f t="shared" si="38"/>
        <v>0</v>
      </c>
      <c r="G307" s="16" t="str">
        <f t="shared" si="39"/>
        <v>R</v>
      </c>
      <c r="H307" s="16" t="str">
        <f t="shared" si="39"/>
        <v/>
      </c>
      <c r="I307" s="16" t="str">
        <f t="shared" si="39"/>
        <v/>
      </c>
      <c r="J307" s="5"/>
      <c r="X307" s="103">
        <v>18</v>
      </c>
      <c r="Y307" s="18"/>
      <c r="Z307" s="18" t="str">
        <f t="shared" si="40"/>
        <v>(U2)0x000bU,</v>
      </c>
      <c r="AA307" s="18" t="str">
        <f t="shared" si="41"/>
        <v>(U2)0xffffU,</v>
      </c>
      <c r="AB307" s="18" t="str">
        <f t="shared" si="42"/>
        <v>(U2)0xffffU,</v>
      </c>
      <c r="AC307" s="18" t="str">
        <f t="shared" si="53"/>
        <v>/* 54 */</v>
      </c>
      <c r="AE307" s="96"/>
      <c r="AF307" s="38">
        <f t="shared" si="43"/>
        <v>12</v>
      </c>
      <c r="AG307" s="96" t="str">
        <f t="shared" si="44"/>
        <v/>
      </c>
      <c r="AH307" s="6" t="str">
        <f t="shared" si="45"/>
        <v>{(U4)0x00000200U,</v>
      </c>
      <c r="AI307" s="6" t="str">
        <f t="shared" si="46"/>
        <v>(U4)0x40000128U,</v>
      </c>
      <c r="AJ307" s="6" t="str">
        <f t="shared" si="47"/>
        <v>(U4)0x40000140U,</v>
      </c>
      <c r="AK307" s="6" t="str">
        <f t="shared" si="48"/>
        <v>(U2)8U,</v>
      </c>
      <c r="AL307" s="6" t="str">
        <f t="shared" si="49"/>
        <v>(U2)87U},</v>
      </c>
      <c r="AM307" s="6" t="str">
        <f t="shared" si="50"/>
        <v/>
      </c>
      <c r="AN307" s="6" t="str">
        <f t="shared" si="51"/>
        <v>/* 12 : EHV1G30 = 0x40000128 */</v>
      </c>
    </row>
    <row r="308" spans="1:40" s="6" customFormat="1" ht="15">
      <c r="A308" s="15" t="str">
        <f t="shared" si="37"/>
        <v>BDC1S23</v>
      </c>
      <c r="B308" s="15" t="str">
        <f t="shared" si="37"/>
        <v>140</v>
      </c>
      <c r="C308" s="15" t="str">
        <f t="shared" si="37"/>
        <v>1</v>
      </c>
      <c r="D308" s="15">
        <f t="shared" si="37"/>
        <v>8</v>
      </c>
      <c r="E308" s="15"/>
      <c r="F308" s="15" t="str">
        <f t="shared" si="38"/>
        <v>0</v>
      </c>
      <c r="G308" s="16" t="str">
        <f t="shared" si="39"/>
        <v>R</v>
      </c>
      <c r="H308" s="16" t="str">
        <f t="shared" si="39"/>
        <v/>
      </c>
      <c r="I308" s="16" t="str">
        <f t="shared" si="39"/>
        <v/>
      </c>
      <c r="J308" s="5"/>
      <c r="X308" s="103">
        <v>19</v>
      </c>
      <c r="Y308" s="18"/>
      <c r="Z308" s="18" t="str">
        <f t="shared" si="40"/>
        <v>(U2)0x000cU,</v>
      </c>
      <c r="AA308" s="18" t="str">
        <f t="shared" si="41"/>
        <v>(U2)0xffffU,</v>
      </c>
      <c r="AB308" s="18" t="str">
        <f t="shared" si="42"/>
        <v>(U2)0xffffU,</v>
      </c>
      <c r="AC308" s="18" t="str">
        <f t="shared" si="53"/>
        <v>/* 57 */</v>
      </c>
      <c r="AE308" s="96"/>
      <c r="AF308" s="38" t="str">
        <f t="shared" si="43"/>
        <v/>
      </c>
      <c r="AG308" s="96" t="str">
        <f t="shared" si="44"/>
        <v xml:space="preserve">/* </v>
      </c>
      <c r="AH308" s="6" t="str">
        <f t="shared" si="45"/>
        <v>{(U4)0x00000200U,</v>
      </c>
      <c r="AI308" s="6" t="str">
        <f t="shared" si="46"/>
        <v>(U4)0x40000128U,</v>
      </c>
      <c r="AJ308" s="6" t="str">
        <f t="shared" si="47"/>
        <v>(U4)0x40000140U,</v>
      </c>
      <c r="AK308" s="6" t="str">
        <f t="shared" si="48"/>
        <v>(U2)8U,</v>
      </c>
      <c r="AL308" s="6" t="str">
        <f t="shared" si="49"/>
        <v>(U2)87U},</v>
      </c>
      <c r="AM308" s="6" t="str">
        <f t="shared" si="50"/>
        <v xml:space="preserve"> */</v>
      </c>
      <c r="AN308" s="6" t="str">
        <f t="shared" si="51"/>
        <v>/*   : BDC1S23 = 0x40000140 */</v>
      </c>
    </row>
    <row r="309" spans="1:40" s="6" customFormat="1" ht="15">
      <c r="A309" s="15" t="str">
        <f t="shared" ref="A309:D328" si="54">A26</f>
        <v>BDC1S41</v>
      </c>
      <c r="B309" s="15" t="str">
        <f t="shared" si="54"/>
        <v>148</v>
      </c>
      <c r="C309" s="15" t="str">
        <f t="shared" si="54"/>
        <v>1</v>
      </c>
      <c r="D309" s="15">
        <f t="shared" si="54"/>
        <v>32</v>
      </c>
      <c r="E309" s="15"/>
      <c r="F309" s="15" t="str">
        <f t="shared" si="38"/>
        <v>0</v>
      </c>
      <c r="G309" s="16" t="str">
        <f t="shared" ref="G309:I328" si="55">IF(G26&lt;&gt;"",G26,"")</f>
        <v>R</v>
      </c>
      <c r="H309" s="16" t="str">
        <f t="shared" si="55"/>
        <v/>
      </c>
      <c r="I309" s="16" t="str">
        <f t="shared" si="55"/>
        <v/>
      </c>
      <c r="J309" s="5"/>
      <c r="X309" s="103">
        <v>20</v>
      </c>
      <c r="Y309" s="18"/>
      <c r="Z309" s="18" t="str">
        <f t="shared" si="40"/>
        <v>(U2)0x000dU,</v>
      </c>
      <c r="AA309" s="18" t="str">
        <f t="shared" si="41"/>
        <v>(U2)0xffffU,</v>
      </c>
      <c r="AB309" s="18" t="str">
        <f t="shared" si="42"/>
        <v>(U2)0xffffU,</v>
      </c>
      <c r="AC309" s="18" t="str">
        <f t="shared" si="53"/>
        <v>/* 60 */</v>
      </c>
      <c r="AE309" s="96"/>
      <c r="AF309" s="38">
        <f t="shared" si="43"/>
        <v>13</v>
      </c>
      <c r="AG309" s="96" t="str">
        <f t="shared" si="44"/>
        <v/>
      </c>
      <c r="AH309" s="6" t="str">
        <f t="shared" si="45"/>
        <v>{(U4)0x00000200U,</v>
      </c>
      <c r="AI309" s="6" t="str">
        <f t="shared" si="46"/>
        <v>(U4)0x40000148U,</v>
      </c>
      <c r="AJ309" s="6" t="str">
        <f t="shared" si="47"/>
        <v>(U4)0x40000158U,</v>
      </c>
      <c r="AK309" s="6" t="str">
        <f t="shared" si="48"/>
        <v>(U2)32U,</v>
      </c>
      <c r="AL309" s="6" t="str">
        <f t="shared" si="49"/>
        <v>(U2)87U},</v>
      </c>
      <c r="AM309" s="6" t="str">
        <f t="shared" si="50"/>
        <v/>
      </c>
      <c r="AN309" s="6" t="str">
        <f t="shared" si="51"/>
        <v>/* 13 : BDC1S41 = 0x40000148 */</v>
      </c>
    </row>
    <row r="310" spans="1:40" s="6" customFormat="1" ht="15">
      <c r="A310" s="15" t="str">
        <f t="shared" si="54"/>
        <v>BDC1S82</v>
      </c>
      <c r="B310" s="15" t="str">
        <f t="shared" si="54"/>
        <v>150</v>
      </c>
      <c r="C310" s="15" t="str">
        <f t="shared" si="54"/>
        <v>1</v>
      </c>
      <c r="D310" s="15">
        <f t="shared" si="54"/>
        <v>32</v>
      </c>
      <c r="E310" s="15"/>
      <c r="F310" s="15" t="str">
        <f t="shared" si="38"/>
        <v>1</v>
      </c>
      <c r="G310" s="16" t="str">
        <f t="shared" si="55"/>
        <v>R</v>
      </c>
      <c r="H310" s="16" t="str">
        <f t="shared" si="55"/>
        <v/>
      </c>
      <c r="I310" s="16" t="str">
        <f t="shared" si="55"/>
        <v/>
      </c>
      <c r="J310" s="5"/>
      <c r="X310" s="103">
        <v>21</v>
      </c>
      <c r="Y310" s="18"/>
      <c r="Z310" s="18" t="str">
        <f t="shared" si="40"/>
        <v>(U2)0x000eU,</v>
      </c>
      <c r="AA310" s="18" t="str">
        <f t="shared" si="41"/>
        <v>(U2)0xffffU,</v>
      </c>
      <c r="AB310" s="18" t="str">
        <f t="shared" si="42"/>
        <v>(U2)0xffffU,</v>
      </c>
      <c r="AC310" s="18" t="str">
        <f t="shared" si="53"/>
        <v>/* 63 */</v>
      </c>
      <c r="AE310" s="96"/>
      <c r="AF310" s="38" t="str">
        <f t="shared" si="43"/>
        <v/>
      </c>
      <c r="AG310" s="96" t="str">
        <f t="shared" si="44"/>
        <v xml:space="preserve">/* </v>
      </c>
      <c r="AH310" s="6" t="str">
        <f t="shared" si="45"/>
        <v>{(U4)0x00000200U,</v>
      </c>
      <c r="AI310" s="6" t="str">
        <f t="shared" si="46"/>
        <v>(U4)0x40000148U,</v>
      </c>
      <c r="AJ310" s="6" t="str">
        <f t="shared" si="47"/>
        <v>(U4)0x40000158U,</v>
      </c>
      <c r="AK310" s="6" t="str">
        <f t="shared" si="48"/>
        <v>(U2)32U,</v>
      </c>
      <c r="AL310" s="6" t="str">
        <f t="shared" si="49"/>
        <v>(U2)87U},</v>
      </c>
      <c r="AM310" s="6" t="str">
        <f t="shared" si="50"/>
        <v xml:space="preserve"> */</v>
      </c>
      <c r="AN310" s="6" t="str">
        <f t="shared" si="51"/>
        <v>/*   : BDC1S82 = 0x40000150 */</v>
      </c>
    </row>
    <row r="311" spans="1:40" s="6" customFormat="1" ht="15">
      <c r="A311" s="15" t="str">
        <f t="shared" si="54"/>
        <v>DDM1S77</v>
      </c>
      <c r="B311" s="15" t="str">
        <f t="shared" si="54"/>
        <v>158</v>
      </c>
      <c r="C311" s="15" t="str">
        <f t="shared" si="54"/>
        <v>1</v>
      </c>
      <c r="D311" s="15">
        <f t="shared" si="54"/>
        <v>32</v>
      </c>
      <c r="E311" s="15"/>
      <c r="F311" s="15" t="str">
        <f t="shared" si="38"/>
        <v>0</v>
      </c>
      <c r="G311" s="16" t="str">
        <f t="shared" si="55"/>
        <v>R</v>
      </c>
      <c r="H311" s="16" t="str">
        <f t="shared" si="55"/>
        <v/>
      </c>
      <c r="I311" s="16" t="str">
        <f t="shared" si="55"/>
        <v/>
      </c>
      <c r="J311" s="5"/>
      <c r="X311" s="103">
        <v>22</v>
      </c>
      <c r="Y311" s="18"/>
      <c r="Z311" s="18" t="str">
        <f t="shared" si="40"/>
        <v>(U2)0x000fU,</v>
      </c>
      <c r="AA311" s="18" t="str">
        <f t="shared" si="41"/>
        <v>(U2)0xffffU,</v>
      </c>
      <c r="AB311" s="18" t="str">
        <f t="shared" si="42"/>
        <v>(U2)0xffffU,</v>
      </c>
      <c r="AC311" s="18" t="str">
        <f t="shared" si="53"/>
        <v>/* 66 */</v>
      </c>
      <c r="AE311" s="96"/>
      <c r="AF311" s="38" t="str">
        <f t="shared" si="43"/>
        <v/>
      </c>
      <c r="AG311" s="96" t="str">
        <f t="shared" si="44"/>
        <v xml:space="preserve">/* </v>
      </c>
      <c r="AH311" s="6" t="str">
        <f t="shared" si="45"/>
        <v>{(U4)0x00000200U,</v>
      </c>
      <c r="AI311" s="6" t="str">
        <f t="shared" si="46"/>
        <v>(U4)0x40000148U,</v>
      </c>
      <c r="AJ311" s="6" t="str">
        <f t="shared" si="47"/>
        <v>(U4)0x40000158U,</v>
      </c>
      <c r="AK311" s="6" t="str">
        <f t="shared" si="48"/>
        <v>(U2)32U,</v>
      </c>
      <c r="AL311" s="6" t="str">
        <f t="shared" si="49"/>
        <v>(U2)87U},</v>
      </c>
      <c r="AM311" s="6" t="str">
        <f t="shared" si="50"/>
        <v xml:space="preserve"> */</v>
      </c>
      <c r="AN311" s="6" t="str">
        <f t="shared" si="51"/>
        <v>/*   : DDM1S77 = 0x40000158 */</v>
      </c>
    </row>
    <row r="312" spans="1:40" s="6" customFormat="1" ht="15">
      <c r="A312" s="15" t="str">
        <f t="shared" si="54"/>
        <v>IDT1S08</v>
      </c>
      <c r="B312" s="15" t="str">
        <f t="shared" si="54"/>
        <v>14B</v>
      </c>
      <c r="C312" s="15" t="str">
        <f t="shared" si="54"/>
        <v>1</v>
      </c>
      <c r="D312" s="15">
        <f t="shared" si="54"/>
        <v>8</v>
      </c>
      <c r="E312" s="15"/>
      <c r="F312" s="15" t="str">
        <f t="shared" si="38"/>
        <v>0</v>
      </c>
      <c r="G312" s="16" t="str">
        <f t="shared" si="55"/>
        <v>R</v>
      </c>
      <c r="H312" s="16" t="str">
        <f t="shared" si="55"/>
        <v/>
      </c>
      <c r="I312" s="16" t="str">
        <f t="shared" si="55"/>
        <v/>
      </c>
      <c r="J312" s="5"/>
      <c r="X312" s="103">
        <v>23</v>
      </c>
      <c r="Y312" s="18"/>
      <c r="Z312" s="18" t="str">
        <f t="shared" si="40"/>
        <v>(U2)0x001cU,</v>
      </c>
      <c r="AA312" s="18" t="str">
        <f t="shared" si="41"/>
        <v>(U2)0xffffU,</v>
      </c>
      <c r="AB312" s="18" t="str">
        <f t="shared" si="42"/>
        <v>(U2)0xffffU,</v>
      </c>
      <c r="AC312" s="18" t="str">
        <f t="shared" si="53"/>
        <v>/* 69 */</v>
      </c>
      <c r="AE312" s="96"/>
      <c r="AF312" s="38">
        <f t="shared" si="43"/>
        <v>14</v>
      </c>
      <c r="AG312" s="96" t="str">
        <f t="shared" si="44"/>
        <v/>
      </c>
      <c r="AH312" s="6" t="str">
        <f t="shared" si="45"/>
        <v>{(U4)0x00000200U,</v>
      </c>
      <c r="AI312" s="6" t="str">
        <f t="shared" si="46"/>
        <v>(U4)0x4000014bU,</v>
      </c>
      <c r="AJ312" s="6" t="str">
        <f t="shared" si="47"/>
        <v>(U4)0x4000014fU,</v>
      </c>
      <c r="AK312" s="6" t="str">
        <f t="shared" si="48"/>
        <v>(U2)8U,</v>
      </c>
      <c r="AL312" s="6" t="str">
        <f t="shared" si="49"/>
        <v>(U2)87U},</v>
      </c>
      <c r="AM312" s="6" t="str">
        <f t="shared" si="50"/>
        <v/>
      </c>
      <c r="AN312" s="6" t="str">
        <f t="shared" si="51"/>
        <v>/* 14 : IDT1S08 = 0x4000014b */</v>
      </c>
    </row>
    <row r="313" spans="1:40" s="6" customFormat="1" ht="15">
      <c r="A313" s="15" t="str">
        <f t="shared" si="54"/>
        <v>RCP1S03</v>
      </c>
      <c r="B313" s="15" t="str">
        <f t="shared" si="54"/>
        <v>14F</v>
      </c>
      <c r="C313" s="15" t="str">
        <f t="shared" si="54"/>
        <v>1</v>
      </c>
      <c r="D313" s="15">
        <f t="shared" si="54"/>
        <v>8</v>
      </c>
      <c r="E313" s="15"/>
      <c r="F313" s="15" t="str">
        <f t="shared" si="38"/>
        <v>0</v>
      </c>
      <c r="G313" s="16" t="str">
        <f t="shared" si="55"/>
        <v>R</v>
      </c>
      <c r="H313" s="16" t="str">
        <f t="shared" si="55"/>
        <v/>
      </c>
      <c r="I313" s="16" t="str">
        <f t="shared" si="55"/>
        <v/>
      </c>
      <c r="J313" s="5"/>
      <c r="X313" s="103">
        <v>24</v>
      </c>
      <c r="Y313" s="18"/>
      <c r="Z313" s="18" t="str">
        <f t="shared" si="40"/>
        <v>(U2)0x0011U,</v>
      </c>
      <c r="AA313" s="18" t="str">
        <f t="shared" si="41"/>
        <v>(U2)0xffffU,</v>
      </c>
      <c r="AB313" s="18" t="str">
        <f t="shared" si="42"/>
        <v>(U2)0xffffU,</v>
      </c>
      <c r="AC313" s="18" t="str">
        <f t="shared" si="53"/>
        <v>/* 72 */</v>
      </c>
      <c r="AE313" s="96"/>
      <c r="AF313" s="38" t="str">
        <f t="shared" si="43"/>
        <v/>
      </c>
      <c r="AG313" s="96" t="str">
        <f t="shared" si="44"/>
        <v xml:space="preserve">/* </v>
      </c>
      <c r="AH313" s="6" t="str">
        <f t="shared" si="45"/>
        <v>{(U4)0x00000200U,</v>
      </c>
      <c r="AI313" s="6" t="str">
        <f t="shared" si="46"/>
        <v>(U4)0x4000014bU,</v>
      </c>
      <c r="AJ313" s="6" t="str">
        <f t="shared" si="47"/>
        <v>(U4)0x4000014fU,</v>
      </c>
      <c r="AK313" s="6" t="str">
        <f t="shared" si="48"/>
        <v>(U2)8U,</v>
      </c>
      <c r="AL313" s="6" t="str">
        <f t="shared" si="49"/>
        <v>(U2)87U},</v>
      </c>
      <c r="AM313" s="6" t="str">
        <f t="shared" si="50"/>
        <v xml:space="preserve"> */</v>
      </c>
      <c r="AN313" s="6" t="str">
        <f t="shared" si="51"/>
        <v>/*   : RCP1S03 = 0x4000014f */</v>
      </c>
    </row>
    <row r="314" spans="1:40" s="6" customFormat="1" ht="15">
      <c r="A314" s="15" t="str">
        <f t="shared" si="54"/>
        <v>RCP1S01</v>
      </c>
      <c r="B314" s="15" t="str">
        <f t="shared" si="54"/>
        <v>14D</v>
      </c>
      <c r="C314" s="15" t="str">
        <f t="shared" si="54"/>
        <v>1</v>
      </c>
      <c r="D314" s="15">
        <f t="shared" si="54"/>
        <v>8</v>
      </c>
      <c r="E314" s="15"/>
      <c r="F314" s="15" t="str">
        <f t="shared" si="38"/>
        <v>0</v>
      </c>
      <c r="G314" s="16" t="str">
        <f t="shared" si="55"/>
        <v>R</v>
      </c>
      <c r="H314" s="16" t="str">
        <f t="shared" si="55"/>
        <v/>
      </c>
      <c r="I314" s="16" t="str">
        <f t="shared" si="55"/>
        <v/>
      </c>
      <c r="J314" s="5"/>
      <c r="X314" s="103">
        <v>25</v>
      </c>
      <c r="Y314" s="18"/>
      <c r="Z314" s="18" t="str">
        <f t="shared" si="40"/>
        <v>(U2)0x0010U,</v>
      </c>
      <c r="AA314" s="18" t="str">
        <f t="shared" si="41"/>
        <v>(U2)0xffffU,</v>
      </c>
      <c r="AB314" s="18" t="str">
        <f t="shared" si="42"/>
        <v>(U2)0xffffU,</v>
      </c>
      <c r="AC314" s="18" t="str">
        <f t="shared" si="53"/>
        <v>/* 75 */</v>
      </c>
      <c r="AE314" s="96"/>
      <c r="AF314" s="38">
        <f t="shared" si="43"/>
        <v>15</v>
      </c>
      <c r="AG314" s="96" t="str">
        <f t="shared" si="44"/>
        <v/>
      </c>
      <c r="AH314" s="6" t="str">
        <f t="shared" si="45"/>
        <v>{(U4)0x00000200U,</v>
      </c>
      <c r="AI314" s="6" t="str">
        <f t="shared" si="46"/>
        <v>(U4)0x4000014dU,</v>
      </c>
      <c r="AJ314" s="6" t="str">
        <f t="shared" si="47"/>
        <v>(U4)0x4000015aU,</v>
      </c>
      <c r="AK314" s="6" t="str">
        <f t="shared" si="48"/>
        <v>(U2)8U,</v>
      </c>
      <c r="AL314" s="6" t="str">
        <f t="shared" si="49"/>
        <v>(U2)87U},</v>
      </c>
      <c r="AM314" s="6" t="str">
        <f t="shared" si="50"/>
        <v/>
      </c>
      <c r="AN314" s="6" t="str">
        <f t="shared" si="51"/>
        <v>/* 15 : RCP1S01 = 0x4000014d */</v>
      </c>
    </row>
    <row r="315" spans="1:40" s="6" customFormat="1" ht="15">
      <c r="A315" s="15" t="str">
        <f t="shared" si="54"/>
        <v>FCM1S78</v>
      </c>
      <c r="B315" s="15" t="str">
        <f t="shared" si="54"/>
        <v>15A</v>
      </c>
      <c r="C315" s="15" t="str">
        <f t="shared" si="54"/>
        <v>1</v>
      </c>
      <c r="D315" s="15">
        <f t="shared" si="54"/>
        <v>8</v>
      </c>
      <c r="E315" s="15"/>
      <c r="F315" s="15" t="str">
        <f t="shared" si="38"/>
        <v>0</v>
      </c>
      <c r="G315" s="16" t="str">
        <f t="shared" si="55"/>
        <v>R</v>
      </c>
      <c r="H315" s="16" t="str">
        <f t="shared" si="55"/>
        <v/>
      </c>
      <c r="I315" s="16" t="str">
        <f t="shared" si="55"/>
        <v/>
      </c>
      <c r="J315" s="5"/>
      <c r="X315" s="103">
        <v>26</v>
      </c>
      <c r="Y315" s="18"/>
      <c r="Z315" s="18" t="str">
        <f t="shared" si="40"/>
        <v>(U2)0x0014U,</v>
      </c>
      <c r="AA315" s="18" t="str">
        <f t="shared" si="41"/>
        <v>(U2)0xffffU,</v>
      </c>
      <c r="AB315" s="18" t="str">
        <f t="shared" si="42"/>
        <v>(U2)0xffffU,</v>
      </c>
      <c r="AC315" s="18" t="str">
        <f t="shared" si="53"/>
        <v>/* 78 */</v>
      </c>
      <c r="AE315" s="96"/>
      <c r="AF315" s="38" t="str">
        <f t="shared" si="43"/>
        <v/>
      </c>
      <c r="AG315" s="96" t="str">
        <f t="shared" si="44"/>
        <v xml:space="preserve">/* </v>
      </c>
      <c r="AH315" s="6" t="str">
        <f t="shared" si="45"/>
        <v>{(U4)0x00000200U,</v>
      </c>
      <c r="AI315" s="6" t="str">
        <f t="shared" si="46"/>
        <v>(U4)0x4000014dU,</v>
      </c>
      <c r="AJ315" s="6" t="str">
        <f t="shared" si="47"/>
        <v>(U4)0x4000015aU,</v>
      </c>
      <c r="AK315" s="6" t="str">
        <f t="shared" si="48"/>
        <v>(U2)8U,</v>
      </c>
      <c r="AL315" s="6" t="str">
        <f t="shared" si="49"/>
        <v>(U2)87U},</v>
      </c>
      <c r="AM315" s="6" t="str">
        <f t="shared" si="50"/>
        <v xml:space="preserve"> */</v>
      </c>
      <c r="AN315" s="6" t="str">
        <f t="shared" si="51"/>
        <v>/*   : FCM1S78 = 0x4000015a */</v>
      </c>
    </row>
    <row r="316" spans="1:40" s="6" customFormat="1" ht="15">
      <c r="A316" s="15" t="str">
        <f t="shared" si="54"/>
        <v>BAT1E45</v>
      </c>
      <c r="B316" s="15" t="str">
        <f t="shared" si="54"/>
        <v>16E</v>
      </c>
      <c r="C316" s="15" t="str">
        <f t="shared" si="54"/>
        <v>1</v>
      </c>
      <c r="D316" s="15">
        <f t="shared" si="54"/>
        <v>32</v>
      </c>
      <c r="E316" s="15"/>
      <c r="F316" s="15" t="str">
        <f t="shared" si="38"/>
        <v>0</v>
      </c>
      <c r="G316" s="16" t="str">
        <f t="shared" si="55"/>
        <v>R</v>
      </c>
      <c r="H316" s="16" t="str">
        <f t="shared" si="55"/>
        <v/>
      </c>
      <c r="I316" s="16" t="str">
        <f t="shared" si="55"/>
        <v/>
      </c>
      <c r="J316" s="5"/>
      <c r="X316" s="103">
        <v>27</v>
      </c>
      <c r="Y316" s="18"/>
      <c r="Z316" s="18" t="str">
        <f t="shared" si="40"/>
        <v>(U2)0x0018U,</v>
      </c>
      <c r="AA316" s="18" t="str">
        <f t="shared" si="41"/>
        <v>(U2)0xffffU,</v>
      </c>
      <c r="AB316" s="18" t="str">
        <f t="shared" si="42"/>
        <v>(U2)0xffffU,</v>
      </c>
      <c r="AC316" s="18" t="str">
        <f t="shared" si="53"/>
        <v>/* 81 */</v>
      </c>
      <c r="AE316" s="96"/>
      <c r="AF316" s="38">
        <f t="shared" si="43"/>
        <v>16</v>
      </c>
      <c r="AG316" s="96" t="str">
        <f t="shared" si="44"/>
        <v/>
      </c>
      <c r="AH316" s="6" t="str">
        <f t="shared" si="45"/>
        <v>{(U4)0x00000200U,</v>
      </c>
      <c r="AI316" s="6" t="str">
        <f t="shared" si="46"/>
        <v>(U4)0x4000016eU,</v>
      </c>
      <c r="AJ316" s="6" t="str">
        <f t="shared" si="47"/>
        <v>(U4)0x4000019aU,</v>
      </c>
      <c r="AK316" s="6" t="str">
        <f t="shared" si="48"/>
        <v>(U2)32U,</v>
      </c>
      <c r="AL316" s="6" t="str">
        <f t="shared" si="49"/>
        <v>(U2)87U},</v>
      </c>
      <c r="AM316" s="6" t="str">
        <f t="shared" si="50"/>
        <v/>
      </c>
      <c r="AN316" s="6" t="str">
        <f t="shared" si="51"/>
        <v>/* 16 : BAT1E45 = 0x4000016e */</v>
      </c>
    </row>
    <row r="317" spans="1:40" s="6" customFormat="1" ht="15">
      <c r="A317" s="15" t="str">
        <f t="shared" si="54"/>
        <v>ADC1S11</v>
      </c>
      <c r="B317" s="15" t="str">
        <f t="shared" si="54"/>
        <v>17E</v>
      </c>
      <c r="C317" s="15" t="str">
        <f t="shared" si="54"/>
        <v>1</v>
      </c>
      <c r="D317" s="15">
        <f t="shared" si="54"/>
        <v>32</v>
      </c>
      <c r="E317" s="15"/>
      <c r="F317" s="15" t="str">
        <f t="shared" si="38"/>
        <v>0</v>
      </c>
      <c r="G317" s="16" t="str">
        <f t="shared" si="55"/>
        <v>R</v>
      </c>
      <c r="H317" s="16" t="str">
        <f t="shared" si="55"/>
        <v/>
      </c>
      <c r="I317" s="16" t="str">
        <f t="shared" si="55"/>
        <v/>
      </c>
      <c r="J317" s="5"/>
      <c r="X317" s="103">
        <v>28</v>
      </c>
      <c r="Y317" s="18"/>
      <c r="Z317" s="18" t="str">
        <f t="shared" si="40"/>
        <v>(U2)0x001aU,</v>
      </c>
      <c r="AA317" s="18" t="str">
        <f t="shared" si="41"/>
        <v>(U2)0xffffU,</v>
      </c>
      <c r="AB317" s="18" t="str">
        <f t="shared" si="42"/>
        <v>(U2)0xffffU,</v>
      </c>
      <c r="AC317" s="18" t="str">
        <f t="shared" si="53"/>
        <v>/* 84 */</v>
      </c>
      <c r="AE317" s="96"/>
      <c r="AF317" s="38" t="str">
        <f t="shared" si="43"/>
        <v/>
      </c>
      <c r="AG317" s="96" t="str">
        <f t="shared" si="44"/>
        <v xml:space="preserve">/* </v>
      </c>
      <c r="AH317" s="6" t="str">
        <f t="shared" si="45"/>
        <v>{(U4)0x00000200U,</v>
      </c>
      <c r="AI317" s="6" t="str">
        <f t="shared" si="46"/>
        <v>(U4)0x4000016eU,</v>
      </c>
      <c r="AJ317" s="6" t="str">
        <f t="shared" si="47"/>
        <v>(U4)0x4000019aU,</v>
      </c>
      <c r="AK317" s="6" t="str">
        <f t="shared" si="48"/>
        <v>(U2)32U,</v>
      </c>
      <c r="AL317" s="6" t="str">
        <f t="shared" si="49"/>
        <v>(U2)87U},</v>
      </c>
      <c r="AM317" s="6" t="str">
        <f t="shared" si="50"/>
        <v xml:space="preserve"> */</v>
      </c>
      <c r="AN317" s="6" t="str">
        <f t="shared" si="51"/>
        <v>/*   : ADC1S11 = 0x4000017e */</v>
      </c>
    </row>
    <row r="318" spans="1:40" s="6" customFormat="1" ht="15">
      <c r="A318" s="15" t="str">
        <f t="shared" si="54"/>
        <v>BDF3S02</v>
      </c>
      <c r="B318" s="15" t="str">
        <f t="shared" si="54"/>
        <v>18D</v>
      </c>
      <c r="C318" s="15" t="str">
        <f t="shared" si="54"/>
        <v>1</v>
      </c>
      <c r="D318" s="15">
        <f t="shared" si="54"/>
        <v>32</v>
      </c>
      <c r="E318" s="15"/>
      <c r="F318" s="15" t="str">
        <f t="shared" si="38"/>
        <v>0</v>
      </c>
      <c r="G318" s="16" t="str">
        <f t="shared" si="55"/>
        <v>R</v>
      </c>
      <c r="H318" s="16" t="str">
        <f t="shared" si="55"/>
        <v/>
      </c>
      <c r="I318" s="16" t="str">
        <f t="shared" si="55"/>
        <v/>
      </c>
      <c r="J318" s="5"/>
      <c r="X318" s="103">
        <v>29</v>
      </c>
      <c r="Y318" s="18"/>
      <c r="Z318" s="18" t="str">
        <f t="shared" si="40"/>
        <v>(U2)0xffffU,</v>
      </c>
      <c r="AA318" s="18" t="str">
        <f t="shared" si="41"/>
        <v>(U2)0x8000 | (U2)BSW_VCAN_CFG_VMBOX_UTXOFFSET_0,</v>
      </c>
      <c r="AB318" s="18" t="str">
        <f t="shared" si="42"/>
        <v>(U2)0xffffU,</v>
      </c>
      <c r="AC318" s="18" t="str">
        <f t="shared" si="53"/>
        <v>/* 87 */</v>
      </c>
      <c r="AE318" s="96"/>
      <c r="AF318" s="38" t="str">
        <f t="shared" si="43"/>
        <v/>
      </c>
      <c r="AG318" s="96" t="str">
        <f t="shared" si="44"/>
        <v xml:space="preserve">/* </v>
      </c>
      <c r="AH318" s="6" t="str">
        <f t="shared" si="45"/>
        <v>{(U4)0x00000200U,</v>
      </c>
      <c r="AI318" s="6" t="str">
        <f t="shared" si="46"/>
        <v>(U4)0x4000016eU,</v>
      </c>
      <c r="AJ318" s="6" t="str">
        <f t="shared" si="47"/>
        <v>(U4)0x4000019aU,</v>
      </c>
      <c r="AK318" s="6" t="str">
        <f t="shared" si="48"/>
        <v>(U2)32U,</v>
      </c>
      <c r="AL318" s="6" t="str">
        <f t="shared" si="49"/>
        <v>(U2)87U},</v>
      </c>
      <c r="AM318" s="6" t="str">
        <f t="shared" si="50"/>
        <v xml:space="preserve"> */</v>
      </c>
      <c r="AN318" s="6" t="str">
        <f t="shared" si="51"/>
        <v>/*   : BDF3S02 = 0x4000018d */</v>
      </c>
    </row>
    <row r="319" spans="1:40" s="6" customFormat="1" ht="15">
      <c r="A319" s="15" t="str">
        <f t="shared" si="54"/>
        <v>BDR3S02</v>
      </c>
      <c r="B319" s="15" t="str">
        <f t="shared" si="54"/>
        <v>19A</v>
      </c>
      <c r="C319" s="15" t="str">
        <f t="shared" si="54"/>
        <v>1</v>
      </c>
      <c r="D319" s="15">
        <f t="shared" si="54"/>
        <v>32</v>
      </c>
      <c r="E319" s="15"/>
      <c r="F319" s="15" t="str">
        <f t="shared" si="38"/>
        <v>0</v>
      </c>
      <c r="G319" s="16" t="str">
        <f t="shared" si="55"/>
        <v>R</v>
      </c>
      <c r="H319" s="16" t="str">
        <f t="shared" si="55"/>
        <v/>
      </c>
      <c r="I319" s="16" t="str">
        <f t="shared" si="55"/>
        <v/>
      </c>
      <c r="J319" s="5"/>
      <c r="X319" s="103">
        <v>30</v>
      </c>
      <c r="Y319" s="18"/>
      <c r="Z319" s="18" t="str">
        <f t="shared" si="40"/>
        <v>(U2)0xffffU,</v>
      </c>
      <c r="AA319" s="18" t="str">
        <f t="shared" si="41"/>
        <v>(U2)0xffffU,</v>
      </c>
      <c r="AB319" s="18" t="str">
        <f t="shared" si="42"/>
        <v>(U2)0x0000U,</v>
      </c>
      <c r="AC319" s="18" t="str">
        <f t="shared" si="53"/>
        <v>/* 90 */</v>
      </c>
      <c r="AE319" s="96"/>
      <c r="AF319" s="38" t="str">
        <f t="shared" si="43"/>
        <v/>
      </c>
      <c r="AG319" s="96" t="str">
        <f t="shared" si="44"/>
        <v xml:space="preserve">/* </v>
      </c>
      <c r="AH319" s="6" t="str">
        <f t="shared" si="45"/>
        <v>{(U4)0x00000200U,</v>
      </c>
      <c r="AI319" s="6" t="str">
        <f t="shared" si="46"/>
        <v>(U4)0x4000016eU,</v>
      </c>
      <c r="AJ319" s="6" t="str">
        <f t="shared" si="47"/>
        <v>(U4)0x4000019aU,</v>
      </c>
      <c r="AK319" s="6" t="str">
        <f t="shared" si="48"/>
        <v>(U2)32U,</v>
      </c>
      <c r="AL319" s="6" t="str">
        <f t="shared" si="49"/>
        <v>(U2)87U},</v>
      </c>
      <c r="AM319" s="6" t="str">
        <f t="shared" si="50"/>
        <v xml:space="preserve"> */</v>
      </c>
      <c r="AN319" s="6" t="str">
        <f t="shared" si="51"/>
        <v>/*   : BDR3S02 = 0x4000019a */</v>
      </c>
    </row>
    <row r="320" spans="1:40" s="6" customFormat="1" ht="15">
      <c r="A320" s="15" t="str">
        <f t="shared" si="54"/>
        <v>BDC1S87</v>
      </c>
      <c r="B320" s="15" t="str">
        <f t="shared" si="54"/>
        <v>1A0</v>
      </c>
      <c r="C320" s="15" t="str">
        <f t="shared" si="54"/>
        <v>1</v>
      </c>
      <c r="D320" s="15">
        <f t="shared" si="54"/>
        <v>8</v>
      </c>
      <c r="E320" s="15"/>
      <c r="F320" s="15" t="str">
        <f t="shared" si="38"/>
        <v>0</v>
      </c>
      <c r="G320" s="16" t="str">
        <f t="shared" si="55"/>
        <v>R</v>
      </c>
      <c r="H320" s="16" t="str">
        <f t="shared" si="55"/>
        <v/>
      </c>
      <c r="I320" s="16" t="str">
        <f t="shared" si="55"/>
        <v/>
      </c>
      <c r="J320" s="5"/>
      <c r="X320" s="103"/>
      <c r="Y320" s="18"/>
      <c r="Z320" s="18"/>
      <c r="AA320" s="18"/>
      <c r="AB320" s="18"/>
      <c r="AC320" s="18"/>
      <c r="AE320" s="96"/>
      <c r="AF320" s="38">
        <f t="shared" si="43"/>
        <v>17</v>
      </c>
      <c r="AG320" s="96" t="str">
        <f t="shared" si="44"/>
        <v/>
      </c>
      <c r="AH320" s="6" t="str">
        <f t="shared" si="45"/>
        <v>{(U4)0x00000200U,</v>
      </c>
      <c r="AI320" s="6" t="str">
        <f t="shared" si="46"/>
        <v>(U4)0x400001a0U,</v>
      </c>
      <c r="AJ320" s="6" t="str">
        <f t="shared" si="47"/>
        <v>(U4)0x400001a0U,</v>
      </c>
      <c r="AK320" s="6" t="str">
        <f t="shared" si="48"/>
        <v>(U2)8U,</v>
      </c>
      <c r="AL320" s="6" t="str">
        <f t="shared" si="49"/>
        <v>(U2)87U},</v>
      </c>
      <c r="AM320" s="6" t="str">
        <f t="shared" si="50"/>
        <v/>
      </c>
      <c r="AN320" s="6" t="str">
        <f t="shared" si="51"/>
        <v>/* 17 : BDC1S87 = 0x400001a0 */</v>
      </c>
    </row>
    <row r="321" spans="1:40" s="6" customFormat="1" ht="15">
      <c r="A321" s="15" t="str">
        <f t="shared" si="54"/>
        <v>FCM1S90</v>
      </c>
      <c r="B321" s="15" t="str">
        <f t="shared" si="54"/>
        <v>1B2</v>
      </c>
      <c r="C321" s="15" t="str">
        <f t="shared" si="54"/>
        <v>1</v>
      </c>
      <c r="D321" s="15">
        <f t="shared" si="54"/>
        <v>32</v>
      </c>
      <c r="E321" s="15"/>
      <c r="F321" s="15" t="str">
        <f t="shared" ref="F321:F352" si="56">F38</f>
        <v>0</v>
      </c>
      <c r="G321" s="16" t="str">
        <f t="shared" si="55"/>
        <v>R</v>
      </c>
      <c r="H321" s="16" t="str">
        <f t="shared" si="55"/>
        <v/>
      </c>
      <c r="I321" s="16" t="str">
        <f t="shared" si="55"/>
        <v/>
      </c>
      <c r="J321" s="5"/>
      <c r="X321" s="103"/>
      <c r="Y321" s="18"/>
      <c r="Z321" s="18"/>
      <c r="AA321" s="18"/>
      <c r="AB321" s="18"/>
      <c r="AC321" s="18"/>
      <c r="AE321" s="96"/>
      <c r="AF321" s="38">
        <f t="shared" si="43"/>
        <v>18</v>
      </c>
      <c r="AG321" s="96" t="str">
        <f t="shared" si="44"/>
        <v/>
      </c>
      <c r="AH321" s="6" t="str">
        <f t="shared" si="45"/>
        <v>{(U4)0x00000200U,</v>
      </c>
      <c r="AI321" s="6" t="str">
        <f t="shared" si="46"/>
        <v>(U4)0x400001b2U,</v>
      </c>
      <c r="AJ321" s="6" t="str">
        <f t="shared" si="47"/>
        <v>(U4)0x400001b2U,</v>
      </c>
      <c r="AK321" s="6" t="str">
        <f t="shared" si="48"/>
        <v>(U2)32U,</v>
      </c>
      <c r="AL321" s="6" t="str">
        <f t="shared" si="49"/>
        <v>(U2)87U},</v>
      </c>
      <c r="AM321" s="6" t="str">
        <f t="shared" si="50"/>
        <v/>
      </c>
      <c r="AN321" s="6" t="str">
        <f t="shared" si="51"/>
        <v>/* 18 : FCM1S90 = 0x400001b2 */</v>
      </c>
    </row>
    <row r="322" spans="1:40" s="6" customFormat="1" ht="15">
      <c r="A322" s="15" t="str">
        <f t="shared" si="54"/>
        <v>SOL1S06</v>
      </c>
      <c r="B322" s="15" t="str">
        <f t="shared" si="54"/>
        <v>1BB</v>
      </c>
      <c r="C322" s="15" t="str">
        <f t="shared" si="54"/>
        <v>1</v>
      </c>
      <c r="D322" s="15">
        <f t="shared" si="54"/>
        <v>8</v>
      </c>
      <c r="E322" s="15"/>
      <c r="F322" s="15" t="str">
        <f t="shared" si="56"/>
        <v>0</v>
      </c>
      <c r="G322" s="16" t="str">
        <f t="shared" si="55"/>
        <v>R</v>
      </c>
      <c r="H322" s="16" t="str">
        <f t="shared" si="55"/>
        <v/>
      </c>
      <c r="I322" s="16" t="str">
        <f t="shared" si="55"/>
        <v/>
      </c>
      <c r="J322" s="5"/>
      <c r="X322" s="103"/>
      <c r="Y322" s="18"/>
      <c r="Z322" s="18"/>
      <c r="AA322" s="18"/>
      <c r="AB322" s="18"/>
      <c r="AC322" s="18"/>
      <c r="AE322" s="96"/>
      <c r="AF322" s="38">
        <f t="shared" si="43"/>
        <v>19</v>
      </c>
      <c r="AG322" s="96" t="str">
        <f t="shared" si="44"/>
        <v/>
      </c>
      <c r="AH322" s="6" t="str">
        <f t="shared" si="45"/>
        <v>{(U4)0x00000200U,</v>
      </c>
      <c r="AI322" s="6" t="str">
        <f t="shared" si="46"/>
        <v>(U4)0x400001bbU,</v>
      </c>
      <c r="AJ322" s="6" t="str">
        <f t="shared" si="47"/>
        <v>(U4)0x400001bbU,</v>
      </c>
      <c r="AK322" s="6" t="str">
        <f t="shared" si="48"/>
        <v>(U2)8U,</v>
      </c>
      <c r="AL322" s="6" t="str">
        <f t="shared" si="49"/>
        <v>(U2)87U},</v>
      </c>
      <c r="AM322" s="6" t="str">
        <f t="shared" si="50"/>
        <v/>
      </c>
      <c r="AN322" s="6" t="str">
        <f t="shared" si="51"/>
        <v>/* 19 : SOL1S06 = 0x400001bb */</v>
      </c>
    </row>
    <row r="323" spans="1:40" s="6" customFormat="1" ht="15">
      <c r="A323" s="15" t="str">
        <f t="shared" si="54"/>
        <v>EHV1E96</v>
      </c>
      <c r="B323" s="15" t="str">
        <f t="shared" si="54"/>
        <v>1BC</v>
      </c>
      <c r="C323" s="15" t="str">
        <f t="shared" si="54"/>
        <v>1</v>
      </c>
      <c r="D323" s="15">
        <f t="shared" si="54"/>
        <v>32</v>
      </c>
      <c r="E323" s="15"/>
      <c r="F323" s="15" t="str">
        <f t="shared" si="56"/>
        <v>0</v>
      </c>
      <c r="G323" s="16" t="str">
        <f t="shared" si="55"/>
        <v>R</v>
      </c>
      <c r="H323" s="16" t="str">
        <f t="shared" si="55"/>
        <v/>
      </c>
      <c r="I323" s="16" t="str">
        <f t="shared" si="55"/>
        <v/>
      </c>
      <c r="J323" s="5"/>
      <c r="X323" s="103"/>
      <c r="Y323" s="18"/>
      <c r="Z323" s="18"/>
      <c r="AA323" s="18"/>
      <c r="AB323" s="18"/>
      <c r="AC323" s="18"/>
      <c r="AE323" s="96"/>
      <c r="AF323" s="38">
        <f t="shared" si="43"/>
        <v>20</v>
      </c>
      <c r="AG323" s="96" t="str">
        <f t="shared" si="44"/>
        <v/>
      </c>
      <c r="AH323" s="6" t="str">
        <f t="shared" si="45"/>
        <v>{(U4)0x00000200U,</v>
      </c>
      <c r="AI323" s="6" t="str">
        <f t="shared" si="46"/>
        <v>(U4)0x400001bcU,</v>
      </c>
      <c r="AJ323" s="6" t="str">
        <f t="shared" si="47"/>
        <v>(U4)0x400001c1U,</v>
      </c>
      <c r="AK323" s="6" t="str">
        <f t="shared" si="48"/>
        <v>(U2)32U,</v>
      </c>
      <c r="AL323" s="6" t="str">
        <f t="shared" si="49"/>
        <v>(U2)87U},</v>
      </c>
      <c r="AM323" s="6" t="str">
        <f t="shared" si="50"/>
        <v/>
      </c>
      <c r="AN323" s="6" t="str">
        <f t="shared" si="51"/>
        <v>/* 20 : EHV1E96 = 0x400001bc */</v>
      </c>
    </row>
    <row r="324" spans="1:40" s="6" customFormat="1" ht="15">
      <c r="A324" s="15" t="str">
        <f t="shared" si="54"/>
        <v>ZN21S28</v>
      </c>
      <c r="B324" s="15" t="str">
        <f t="shared" si="54"/>
        <v>1BE</v>
      </c>
      <c r="C324" s="15" t="str">
        <f t="shared" si="54"/>
        <v>1</v>
      </c>
      <c r="D324" s="15">
        <f t="shared" si="54"/>
        <v>32</v>
      </c>
      <c r="E324" s="15"/>
      <c r="F324" s="15" t="str">
        <f t="shared" si="56"/>
        <v>1</v>
      </c>
      <c r="G324" s="16" t="str">
        <f t="shared" si="55"/>
        <v>R</v>
      </c>
      <c r="H324" s="16" t="str">
        <f t="shared" si="55"/>
        <v/>
      </c>
      <c r="I324" s="16" t="str">
        <f t="shared" si="55"/>
        <v/>
      </c>
      <c r="J324" s="5"/>
      <c r="X324" s="103"/>
      <c r="Y324" s="18"/>
      <c r="Z324" s="18"/>
      <c r="AA324" s="18"/>
      <c r="AB324" s="18"/>
      <c r="AC324" s="18"/>
      <c r="AE324" s="96"/>
      <c r="AF324" s="38" t="str">
        <f t="shared" si="43"/>
        <v/>
      </c>
      <c r="AG324" s="96" t="str">
        <f t="shared" si="44"/>
        <v xml:space="preserve">/* </v>
      </c>
      <c r="AH324" s="6" t="str">
        <f t="shared" si="45"/>
        <v>{(U4)0x00000200U,</v>
      </c>
      <c r="AI324" s="6" t="str">
        <f t="shared" si="46"/>
        <v>(U4)0x400001bcU,</v>
      </c>
      <c r="AJ324" s="6" t="str">
        <f t="shared" si="47"/>
        <v>(U4)0x400001c1U,</v>
      </c>
      <c r="AK324" s="6" t="str">
        <f t="shared" si="48"/>
        <v>(U2)32U,</v>
      </c>
      <c r="AL324" s="6" t="str">
        <f t="shared" si="49"/>
        <v>(U2)87U},</v>
      </c>
      <c r="AM324" s="6" t="str">
        <f t="shared" si="50"/>
        <v xml:space="preserve"> */</v>
      </c>
      <c r="AN324" s="6" t="str">
        <f t="shared" si="51"/>
        <v>/*   : ZN21S28 = 0x400001be */</v>
      </c>
    </row>
    <row r="325" spans="1:40" s="6" customFormat="1" ht="15">
      <c r="A325" s="15" t="str">
        <f t="shared" si="54"/>
        <v>ADC1S31</v>
      </c>
      <c r="B325" s="15" t="str">
        <f t="shared" si="54"/>
        <v>1C0</v>
      </c>
      <c r="C325" s="15" t="str">
        <f t="shared" si="54"/>
        <v>1</v>
      </c>
      <c r="D325" s="15">
        <f t="shared" si="54"/>
        <v>32</v>
      </c>
      <c r="E325" s="15"/>
      <c r="F325" s="15" t="str">
        <f t="shared" si="56"/>
        <v>1</v>
      </c>
      <c r="G325" s="16" t="str">
        <f t="shared" si="55"/>
        <v>R</v>
      </c>
      <c r="H325" s="16" t="str">
        <f t="shared" si="55"/>
        <v/>
      </c>
      <c r="I325" s="16" t="str">
        <f t="shared" si="55"/>
        <v/>
      </c>
      <c r="J325" s="5"/>
      <c r="X325" s="103"/>
      <c r="Y325" s="18"/>
      <c r="Z325" s="18"/>
      <c r="AA325" s="18"/>
      <c r="AB325" s="18"/>
      <c r="AC325" s="18"/>
      <c r="AE325" s="96"/>
      <c r="AF325" s="38" t="str">
        <f t="shared" si="43"/>
        <v/>
      </c>
      <c r="AG325" s="96" t="str">
        <f t="shared" si="44"/>
        <v xml:space="preserve">/* </v>
      </c>
      <c r="AH325" s="6" t="str">
        <f t="shared" si="45"/>
        <v>{(U4)0x00000200U,</v>
      </c>
      <c r="AI325" s="6" t="str">
        <f t="shared" si="46"/>
        <v>(U4)0x400001bcU,</v>
      </c>
      <c r="AJ325" s="6" t="str">
        <f t="shared" si="47"/>
        <v>(U4)0x400001c1U,</v>
      </c>
      <c r="AK325" s="6" t="str">
        <f t="shared" si="48"/>
        <v>(U2)32U,</v>
      </c>
      <c r="AL325" s="6" t="str">
        <f t="shared" si="49"/>
        <v>(U2)87U},</v>
      </c>
      <c r="AM325" s="6" t="str">
        <f t="shared" si="50"/>
        <v xml:space="preserve"> */</v>
      </c>
      <c r="AN325" s="6" t="str">
        <f t="shared" si="51"/>
        <v>/*   : ADC1S31 = 0x400001c0 */</v>
      </c>
    </row>
    <row r="326" spans="1:40" s="6" customFormat="1" ht="15">
      <c r="A326" s="15" t="str">
        <f t="shared" si="54"/>
        <v>BAT1S12</v>
      </c>
      <c r="B326" s="15" t="str">
        <f t="shared" si="54"/>
        <v>1C1</v>
      </c>
      <c r="C326" s="15" t="str">
        <f t="shared" si="54"/>
        <v>1</v>
      </c>
      <c r="D326" s="15">
        <f t="shared" si="54"/>
        <v>32</v>
      </c>
      <c r="E326" s="15"/>
      <c r="F326" s="15" t="str">
        <f t="shared" si="56"/>
        <v>1</v>
      </c>
      <c r="G326" s="16" t="str">
        <f t="shared" si="55"/>
        <v>R</v>
      </c>
      <c r="H326" s="16" t="str">
        <f t="shared" si="55"/>
        <v/>
      </c>
      <c r="I326" s="16" t="str">
        <f t="shared" si="55"/>
        <v/>
      </c>
      <c r="J326" s="5"/>
      <c r="X326" s="103"/>
      <c r="Y326" s="18"/>
      <c r="Z326" s="18"/>
      <c r="AA326" s="18"/>
      <c r="AB326" s="18"/>
      <c r="AC326" s="18"/>
      <c r="AE326" s="96"/>
      <c r="AF326" s="38" t="str">
        <f t="shared" si="43"/>
        <v/>
      </c>
      <c r="AG326" s="96" t="str">
        <f t="shared" si="44"/>
        <v xml:space="preserve">/* </v>
      </c>
      <c r="AH326" s="6" t="str">
        <f t="shared" si="45"/>
        <v>{(U4)0x00000200U,</v>
      </c>
      <c r="AI326" s="6" t="str">
        <f t="shared" si="46"/>
        <v>(U4)0x400001bcU,</v>
      </c>
      <c r="AJ326" s="6" t="str">
        <f t="shared" si="47"/>
        <v>(U4)0x400001c1U,</v>
      </c>
      <c r="AK326" s="6" t="str">
        <f t="shared" si="48"/>
        <v>(U2)32U,</v>
      </c>
      <c r="AL326" s="6" t="str">
        <f t="shared" si="49"/>
        <v>(U2)87U},</v>
      </c>
      <c r="AM326" s="6" t="str">
        <f t="shared" si="50"/>
        <v xml:space="preserve"> */</v>
      </c>
      <c r="AN326" s="6" t="str">
        <f t="shared" si="51"/>
        <v>/*   : BAT1S12 = 0x400001c1 */</v>
      </c>
    </row>
    <row r="327" spans="1:40" s="6" customFormat="1" ht="15">
      <c r="A327" s="15" t="str">
        <f t="shared" si="54"/>
        <v>EHV1S23</v>
      </c>
      <c r="B327" s="15" t="str">
        <f t="shared" si="54"/>
        <v>1D0</v>
      </c>
      <c r="C327" s="15" t="str">
        <f t="shared" si="54"/>
        <v>1</v>
      </c>
      <c r="D327" s="15">
        <f t="shared" si="54"/>
        <v>8</v>
      </c>
      <c r="E327" s="15"/>
      <c r="F327" s="15" t="str">
        <f t="shared" si="56"/>
        <v>0</v>
      </c>
      <c r="G327" s="16" t="str">
        <f t="shared" si="55"/>
        <v>R</v>
      </c>
      <c r="H327" s="16" t="str">
        <f t="shared" si="55"/>
        <v/>
      </c>
      <c r="I327" s="16" t="str">
        <f t="shared" si="55"/>
        <v/>
      </c>
      <c r="J327" s="5"/>
      <c r="X327" s="103"/>
      <c r="Z327" s="18"/>
      <c r="AA327" s="18"/>
      <c r="AB327" s="18"/>
      <c r="AC327" s="18"/>
      <c r="AE327" s="96"/>
      <c r="AF327" s="38">
        <f t="shared" si="43"/>
        <v>21</v>
      </c>
      <c r="AG327" s="96" t="str">
        <f t="shared" si="44"/>
        <v/>
      </c>
      <c r="AH327" s="6" t="str">
        <f t="shared" si="45"/>
        <v>{(U4)0x00000200U,</v>
      </c>
      <c r="AI327" s="6" t="str">
        <f t="shared" si="46"/>
        <v>(U4)0x400001d0U,</v>
      </c>
      <c r="AJ327" s="6" t="str">
        <f t="shared" si="47"/>
        <v>(U4)0x400001d1U,</v>
      </c>
      <c r="AK327" s="6" t="str">
        <f t="shared" si="48"/>
        <v>(U2)8U,</v>
      </c>
      <c r="AL327" s="6" t="str">
        <f t="shared" si="49"/>
        <v>(U2)87U},</v>
      </c>
      <c r="AM327" s="6" t="str">
        <f t="shared" si="50"/>
        <v/>
      </c>
      <c r="AN327" s="6" t="str">
        <f t="shared" si="51"/>
        <v>/* 21 : EHV1S23 = 0x400001d0 */</v>
      </c>
    </row>
    <row r="328" spans="1:40" s="6" customFormat="1" ht="15">
      <c r="A328" s="15" t="str">
        <f t="shared" si="54"/>
        <v>PMN1G03</v>
      </c>
      <c r="B328" s="15" t="str">
        <f t="shared" si="54"/>
        <v>1D1</v>
      </c>
      <c r="C328" s="15" t="str">
        <f t="shared" si="54"/>
        <v>1</v>
      </c>
      <c r="D328" s="15">
        <f t="shared" si="54"/>
        <v>8</v>
      </c>
      <c r="E328" s="15"/>
      <c r="F328" s="15" t="str">
        <f t="shared" si="56"/>
        <v>0</v>
      </c>
      <c r="G328" s="16" t="str">
        <f t="shared" si="55"/>
        <v>R</v>
      </c>
      <c r="H328" s="16" t="str">
        <f t="shared" si="55"/>
        <v/>
      </c>
      <c r="I328" s="16" t="str">
        <f t="shared" si="55"/>
        <v/>
      </c>
      <c r="J328" s="5"/>
      <c r="X328" s="103"/>
      <c r="Z328" s="18"/>
      <c r="AA328" s="18"/>
      <c r="AB328" s="18"/>
      <c r="AC328" s="18"/>
      <c r="AE328" s="96"/>
      <c r="AF328" s="38" t="str">
        <f t="shared" si="43"/>
        <v/>
      </c>
      <c r="AG328" s="96" t="str">
        <f t="shared" si="44"/>
        <v xml:space="preserve">/* </v>
      </c>
      <c r="AH328" s="6" t="str">
        <f t="shared" si="45"/>
        <v>{(U4)0x00000200U,</v>
      </c>
      <c r="AI328" s="6" t="str">
        <f t="shared" si="46"/>
        <v>(U4)0x400001d0U,</v>
      </c>
      <c r="AJ328" s="6" t="str">
        <f t="shared" si="47"/>
        <v>(U4)0x400001d1U,</v>
      </c>
      <c r="AK328" s="6" t="str">
        <f t="shared" si="48"/>
        <v>(U2)8U,</v>
      </c>
      <c r="AL328" s="6" t="str">
        <f t="shared" si="49"/>
        <v>(U2)87U},</v>
      </c>
      <c r="AM328" s="6" t="str">
        <f t="shared" si="50"/>
        <v xml:space="preserve"> */</v>
      </c>
      <c r="AN328" s="6" t="str">
        <f t="shared" si="51"/>
        <v>/*   : PMN1G03 = 0x400001d1 */</v>
      </c>
    </row>
    <row r="329" spans="1:40" s="6" customFormat="1" ht="15">
      <c r="A329" s="15" t="str">
        <f t="shared" ref="A329:D348" si="57">A46</f>
        <v>EPS1S90</v>
      </c>
      <c r="B329" s="15" t="str">
        <f t="shared" si="57"/>
        <v>1CA</v>
      </c>
      <c r="C329" s="15" t="str">
        <f t="shared" si="57"/>
        <v>1</v>
      </c>
      <c r="D329" s="15">
        <f t="shared" si="57"/>
        <v>8</v>
      </c>
      <c r="E329" s="15"/>
      <c r="F329" s="15" t="str">
        <f t="shared" si="56"/>
        <v>0</v>
      </c>
      <c r="G329" s="16" t="str">
        <f t="shared" ref="G329:I348" si="58">IF(G46&lt;&gt;"",G46,"")</f>
        <v>R</v>
      </c>
      <c r="H329" s="16" t="str">
        <f t="shared" si="58"/>
        <v/>
      </c>
      <c r="I329" s="16" t="str">
        <f t="shared" si="58"/>
        <v/>
      </c>
      <c r="J329" s="5"/>
      <c r="X329" s="103"/>
      <c r="Z329" s="18"/>
      <c r="AA329" s="18"/>
      <c r="AB329" s="18"/>
      <c r="AC329" s="18"/>
      <c r="AE329" s="96"/>
      <c r="AF329" s="38">
        <f t="shared" si="43"/>
        <v>22</v>
      </c>
      <c r="AG329" s="96" t="str">
        <f t="shared" si="44"/>
        <v/>
      </c>
      <c r="AH329" s="6" t="str">
        <f t="shared" si="45"/>
        <v>{(U4)0x00000200U,</v>
      </c>
      <c r="AI329" s="6" t="str">
        <f t="shared" si="46"/>
        <v>(U4)0x400001caU,</v>
      </c>
      <c r="AJ329" s="6" t="str">
        <f t="shared" si="47"/>
        <v>(U4)0x400001deU,</v>
      </c>
      <c r="AK329" s="6" t="str">
        <f t="shared" si="48"/>
        <v>(U2)8U,</v>
      </c>
      <c r="AL329" s="6" t="str">
        <f t="shared" si="49"/>
        <v>(U2)87U},</v>
      </c>
      <c r="AM329" s="6" t="str">
        <f t="shared" si="50"/>
        <v/>
      </c>
      <c r="AN329" s="6" t="str">
        <f t="shared" si="51"/>
        <v>/* 22 : EPS1S90 = 0x400001ca */</v>
      </c>
    </row>
    <row r="330" spans="1:40" s="6" customFormat="1" ht="15">
      <c r="A330" s="15" t="str">
        <f t="shared" si="57"/>
        <v>PDC1G01</v>
      </c>
      <c r="B330" s="15" t="str">
        <f t="shared" si="57"/>
        <v>1CC</v>
      </c>
      <c r="C330" s="15" t="str">
        <f t="shared" si="57"/>
        <v>1</v>
      </c>
      <c r="D330" s="15">
        <f t="shared" si="57"/>
        <v>8</v>
      </c>
      <c r="E330" s="15"/>
      <c r="F330" s="15" t="str">
        <f t="shared" si="56"/>
        <v>0</v>
      </c>
      <c r="G330" s="16" t="str">
        <f t="shared" si="58"/>
        <v>R</v>
      </c>
      <c r="H330" s="16" t="str">
        <f t="shared" si="58"/>
        <v/>
      </c>
      <c r="I330" s="16" t="str">
        <f t="shared" si="58"/>
        <v/>
      </c>
      <c r="J330" s="5"/>
      <c r="X330" s="103"/>
      <c r="Z330" s="18"/>
      <c r="AA330" s="18"/>
      <c r="AB330" s="18"/>
      <c r="AC330" s="18"/>
      <c r="AE330" s="96"/>
      <c r="AF330" s="38" t="str">
        <f t="shared" si="43"/>
        <v/>
      </c>
      <c r="AG330" s="96" t="str">
        <f t="shared" si="44"/>
        <v xml:space="preserve">/* </v>
      </c>
      <c r="AH330" s="6" t="str">
        <f t="shared" si="45"/>
        <v>{(U4)0x00000200U,</v>
      </c>
      <c r="AI330" s="6" t="str">
        <f t="shared" si="46"/>
        <v>(U4)0x400001caU,</v>
      </c>
      <c r="AJ330" s="6" t="str">
        <f t="shared" si="47"/>
        <v>(U4)0x400001deU,</v>
      </c>
      <c r="AK330" s="6" t="str">
        <f t="shared" si="48"/>
        <v>(U2)8U,</v>
      </c>
      <c r="AL330" s="6" t="str">
        <f t="shared" si="49"/>
        <v>(U2)87U},</v>
      </c>
      <c r="AM330" s="6" t="str">
        <f t="shared" si="50"/>
        <v xml:space="preserve"> */</v>
      </c>
      <c r="AN330" s="6" t="str">
        <f t="shared" si="51"/>
        <v>/*   : PDC1G01 = 0x400001cc */</v>
      </c>
    </row>
    <row r="331" spans="1:40" s="6" customFormat="1" ht="15">
      <c r="A331" s="15" t="str">
        <f t="shared" si="57"/>
        <v>ZN21S52</v>
      </c>
      <c r="B331" s="15" t="str">
        <f t="shared" si="57"/>
        <v>1CE</v>
      </c>
      <c r="C331" s="15" t="str">
        <f t="shared" si="57"/>
        <v>1</v>
      </c>
      <c r="D331" s="15">
        <f t="shared" si="57"/>
        <v>8</v>
      </c>
      <c r="E331" s="15"/>
      <c r="F331" s="15" t="str">
        <f t="shared" si="56"/>
        <v>0</v>
      </c>
      <c r="G331" s="16" t="str">
        <f t="shared" si="58"/>
        <v>R</v>
      </c>
      <c r="H331" s="16" t="str">
        <f t="shared" si="58"/>
        <v/>
      </c>
      <c r="I331" s="16" t="str">
        <f t="shared" si="58"/>
        <v/>
      </c>
      <c r="J331" s="5"/>
      <c r="X331" s="103"/>
      <c r="Z331" s="18"/>
      <c r="AA331" s="18"/>
      <c r="AB331" s="18"/>
      <c r="AC331" s="18"/>
      <c r="AE331" s="96"/>
      <c r="AF331" s="38" t="str">
        <f t="shared" si="43"/>
        <v/>
      </c>
      <c r="AG331" s="96" t="str">
        <f t="shared" si="44"/>
        <v xml:space="preserve">/* </v>
      </c>
      <c r="AH331" s="6" t="str">
        <f t="shared" si="45"/>
        <v>{(U4)0x00000200U,</v>
      </c>
      <c r="AI331" s="6" t="str">
        <f t="shared" si="46"/>
        <v>(U4)0x400001caU,</v>
      </c>
      <c r="AJ331" s="6" t="str">
        <f t="shared" si="47"/>
        <v>(U4)0x400001deU,</v>
      </c>
      <c r="AK331" s="6" t="str">
        <f t="shared" si="48"/>
        <v>(U2)8U,</v>
      </c>
      <c r="AL331" s="6" t="str">
        <f t="shared" si="49"/>
        <v>(U2)87U},</v>
      </c>
      <c r="AM331" s="6" t="str">
        <f t="shared" si="50"/>
        <v xml:space="preserve"> */</v>
      </c>
      <c r="AN331" s="6" t="str">
        <f t="shared" si="51"/>
        <v>/*   : ZN21S52 = 0x400001ce */</v>
      </c>
    </row>
    <row r="332" spans="1:40" s="6" customFormat="1" ht="15">
      <c r="A332" s="15" t="str">
        <f t="shared" si="57"/>
        <v>BDB1S01</v>
      </c>
      <c r="B332" s="15" t="str">
        <f t="shared" si="57"/>
        <v>1CF</v>
      </c>
      <c r="C332" s="15" t="str">
        <f t="shared" si="57"/>
        <v>1</v>
      </c>
      <c r="D332" s="15">
        <f t="shared" si="57"/>
        <v>8</v>
      </c>
      <c r="E332" s="15"/>
      <c r="F332" s="15" t="str">
        <f t="shared" si="56"/>
        <v>0</v>
      </c>
      <c r="G332" s="16" t="str">
        <f t="shared" si="58"/>
        <v>R</v>
      </c>
      <c r="H332" s="16" t="str">
        <f t="shared" si="58"/>
        <v/>
      </c>
      <c r="I332" s="16" t="str">
        <f t="shared" si="58"/>
        <v/>
      </c>
      <c r="J332" s="5"/>
      <c r="X332" s="103"/>
      <c r="Z332" s="18"/>
      <c r="AA332" s="18"/>
      <c r="AB332" s="18"/>
      <c r="AC332" s="18"/>
      <c r="AE332" s="96"/>
      <c r="AF332" s="38" t="str">
        <f t="shared" si="43"/>
        <v/>
      </c>
      <c r="AG332" s="96" t="str">
        <f t="shared" si="44"/>
        <v xml:space="preserve">/* </v>
      </c>
      <c r="AH332" s="6" t="str">
        <f t="shared" si="45"/>
        <v>{(U4)0x00000200U,</v>
      </c>
      <c r="AI332" s="6" t="str">
        <f t="shared" si="46"/>
        <v>(U4)0x400001caU,</v>
      </c>
      <c r="AJ332" s="6" t="str">
        <f t="shared" si="47"/>
        <v>(U4)0x400001deU,</v>
      </c>
      <c r="AK332" s="6" t="str">
        <f t="shared" si="48"/>
        <v>(U2)8U,</v>
      </c>
      <c r="AL332" s="6" t="str">
        <f t="shared" si="49"/>
        <v>(U2)87U},</v>
      </c>
      <c r="AM332" s="6" t="str">
        <f t="shared" si="50"/>
        <v xml:space="preserve"> */</v>
      </c>
      <c r="AN332" s="6" t="str">
        <f t="shared" si="51"/>
        <v>/*   : BDB1S01 = 0x400001cf */</v>
      </c>
    </row>
    <row r="333" spans="1:40" s="6" customFormat="1" ht="15">
      <c r="A333" s="15" t="str">
        <f t="shared" si="57"/>
        <v>ZN11S14</v>
      </c>
      <c r="B333" s="15" t="str">
        <f t="shared" si="57"/>
        <v>1DE</v>
      </c>
      <c r="C333" s="15" t="str">
        <f t="shared" si="57"/>
        <v>1</v>
      </c>
      <c r="D333" s="15">
        <f t="shared" si="57"/>
        <v>8</v>
      </c>
      <c r="E333" s="15"/>
      <c r="F333" s="15" t="str">
        <f t="shared" si="56"/>
        <v>0</v>
      </c>
      <c r="G333" s="16" t="str">
        <f t="shared" si="58"/>
        <v>R</v>
      </c>
      <c r="H333" s="16" t="str">
        <f t="shared" si="58"/>
        <v/>
      </c>
      <c r="I333" s="16" t="str">
        <f t="shared" si="58"/>
        <v/>
      </c>
      <c r="J333" s="5"/>
      <c r="X333" s="103"/>
      <c r="Z333" s="18"/>
      <c r="AA333" s="18"/>
      <c r="AB333" s="18"/>
      <c r="AC333" s="18"/>
      <c r="AE333" s="96"/>
      <c r="AF333" s="38" t="str">
        <f t="shared" si="43"/>
        <v/>
      </c>
      <c r="AG333" s="96" t="str">
        <f t="shared" si="44"/>
        <v xml:space="preserve">/* </v>
      </c>
      <c r="AH333" s="6" t="str">
        <f t="shared" si="45"/>
        <v>{(U4)0x00000200U,</v>
      </c>
      <c r="AI333" s="6" t="str">
        <f t="shared" si="46"/>
        <v>(U4)0x400001caU,</v>
      </c>
      <c r="AJ333" s="6" t="str">
        <f t="shared" si="47"/>
        <v>(U4)0x400001deU,</v>
      </c>
      <c r="AK333" s="6" t="str">
        <f t="shared" si="48"/>
        <v>(U2)8U,</v>
      </c>
      <c r="AL333" s="6" t="str">
        <f t="shared" si="49"/>
        <v>(U2)87U},</v>
      </c>
      <c r="AM333" s="6" t="str">
        <f t="shared" si="50"/>
        <v xml:space="preserve"> */</v>
      </c>
      <c r="AN333" s="6" t="str">
        <f t="shared" si="51"/>
        <v>/*   : ZN11S14 = 0x400001de */</v>
      </c>
    </row>
    <row r="334" spans="1:40" s="6" customFormat="1" ht="15">
      <c r="A334" s="15" t="str">
        <f t="shared" si="57"/>
        <v>ZN11S17</v>
      </c>
      <c r="B334" s="15" t="str">
        <f t="shared" si="57"/>
        <v>1DF</v>
      </c>
      <c r="C334" s="15" t="str">
        <f t="shared" si="57"/>
        <v>1</v>
      </c>
      <c r="D334" s="15">
        <f t="shared" si="57"/>
        <v>32</v>
      </c>
      <c r="E334" s="15"/>
      <c r="F334" s="15" t="str">
        <f t="shared" si="56"/>
        <v>0</v>
      </c>
      <c r="G334" s="16" t="str">
        <f t="shared" si="58"/>
        <v>R</v>
      </c>
      <c r="H334" s="16" t="str">
        <f t="shared" si="58"/>
        <v/>
      </c>
      <c r="I334" s="16" t="str">
        <f t="shared" si="58"/>
        <v/>
      </c>
      <c r="J334" s="5"/>
      <c r="X334" s="103"/>
      <c r="Z334" s="18"/>
      <c r="AA334" s="18"/>
      <c r="AB334" s="18"/>
      <c r="AC334" s="18"/>
      <c r="AE334" s="96"/>
      <c r="AF334" s="38">
        <f t="shared" si="43"/>
        <v>23</v>
      </c>
      <c r="AG334" s="96" t="str">
        <f t="shared" si="44"/>
        <v/>
      </c>
      <c r="AH334" s="6" t="str">
        <f t="shared" si="45"/>
        <v>{(U4)0x00000200U,</v>
      </c>
      <c r="AI334" s="6" t="str">
        <f t="shared" si="46"/>
        <v>(U4)0x400001dfU,</v>
      </c>
      <c r="AJ334" s="6" t="str">
        <f t="shared" si="47"/>
        <v>(U4)0x400001dfU,</v>
      </c>
      <c r="AK334" s="6" t="str">
        <f t="shared" si="48"/>
        <v>(U2)32U,</v>
      </c>
      <c r="AL334" s="6" t="str">
        <f t="shared" si="49"/>
        <v>(U2)87U},</v>
      </c>
      <c r="AM334" s="6" t="str">
        <f t="shared" si="50"/>
        <v/>
      </c>
      <c r="AN334" s="6" t="str">
        <f t="shared" si="51"/>
        <v>/* 23 : ZN11S17 = 0x400001df */</v>
      </c>
    </row>
    <row r="335" spans="1:40" s="6" customFormat="1" ht="15">
      <c r="A335" s="15" t="str">
        <f t="shared" si="57"/>
        <v>BDC1S33</v>
      </c>
      <c r="B335" s="15" t="str">
        <f t="shared" si="57"/>
        <v>1D2</v>
      </c>
      <c r="C335" s="15" t="str">
        <f t="shared" si="57"/>
        <v>1</v>
      </c>
      <c r="D335" s="15">
        <f t="shared" si="57"/>
        <v>8</v>
      </c>
      <c r="E335" s="15"/>
      <c r="F335" s="15" t="str">
        <f t="shared" si="56"/>
        <v>0</v>
      </c>
      <c r="G335" s="16" t="str">
        <f t="shared" si="58"/>
        <v>R</v>
      </c>
      <c r="H335" s="16" t="str">
        <f t="shared" si="58"/>
        <v/>
      </c>
      <c r="I335" s="16" t="str">
        <f t="shared" si="58"/>
        <v/>
      </c>
      <c r="J335" s="5"/>
      <c r="X335" s="103"/>
      <c r="Z335" s="18"/>
      <c r="AA335" s="18"/>
      <c r="AB335" s="18"/>
      <c r="AC335" s="18"/>
      <c r="AE335" s="96"/>
      <c r="AF335" s="38">
        <f t="shared" si="43"/>
        <v>24</v>
      </c>
      <c r="AG335" s="96" t="str">
        <f t="shared" si="44"/>
        <v/>
      </c>
      <c r="AH335" s="6" t="str">
        <f t="shared" si="45"/>
        <v>{(U4)0x00000200U,</v>
      </c>
      <c r="AI335" s="6" t="str">
        <f t="shared" si="46"/>
        <v>(U4)0x400001d2U,</v>
      </c>
      <c r="AJ335" s="6" t="str">
        <f t="shared" si="47"/>
        <v>(U4)0x400001d3U,</v>
      </c>
      <c r="AK335" s="6" t="str">
        <f t="shared" si="48"/>
        <v>(U2)8U,</v>
      </c>
      <c r="AL335" s="6" t="str">
        <f t="shared" si="49"/>
        <v>(U2)87U},</v>
      </c>
      <c r="AM335" s="6" t="str">
        <f t="shared" si="50"/>
        <v/>
      </c>
      <c r="AN335" s="6" t="str">
        <f t="shared" si="51"/>
        <v>/* 24 : BDC1S33 = 0x400001d2 */</v>
      </c>
    </row>
    <row r="336" spans="1:40" s="6" customFormat="1" ht="15">
      <c r="A336" s="15" t="str">
        <f t="shared" si="57"/>
        <v>BDC1S46</v>
      </c>
      <c r="B336" s="15" t="str">
        <f t="shared" si="57"/>
        <v>1D3</v>
      </c>
      <c r="C336" s="15" t="str">
        <f t="shared" si="57"/>
        <v>1</v>
      </c>
      <c r="D336" s="15">
        <f t="shared" si="57"/>
        <v>8</v>
      </c>
      <c r="E336" s="15"/>
      <c r="F336" s="15" t="str">
        <f t="shared" si="56"/>
        <v>0</v>
      </c>
      <c r="G336" s="16" t="str">
        <f t="shared" si="58"/>
        <v>R</v>
      </c>
      <c r="H336" s="16" t="str">
        <f t="shared" si="58"/>
        <v/>
      </c>
      <c r="I336" s="16" t="str">
        <f t="shared" si="58"/>
        <v/>
      </c>
      <c r="J336" s="5"/>
      <c r="X336" s="103"/>
      <c r="Z336" s="18"/>
      <c r="AA336" s="18"/>
      <c r="AB336" s="18"/>
      <c r="AC336" s="18"/>
      <c r="AE336" s="96"/>
      <c r="AF336" s="38" t="str">
        <f t="shared" si="43"/>
        <v/>
      </c>
      <c r="AG336" s="96" t="str">
        <f t="shared" si="44"/>
        <v xml:space="preserve">/* </v>
      </c>
      <c r="AH336" s="6" t="str">
        <f t="shared" si="45"/>
        <v>{(U4)0x00000200U,</v>
      </c>
      <c r="AI336" s="6" t="str">
        <f t="shared" si="46"/>
        <v>(U4)0x400001d2U,</v>
      </c>
      <c r="AJ336" s="6" t="str">
        <f t="shared" si="47"/>
        <v>(U4)0x400001d3U,</v>
      </c>
      <c r="AK336" s="6" t="str">
        <f t="shared" si="48"/>
        <v>(U2)8U,</v>
      </c>
      <c r="AL336" s="6" t="str">
        <f t="shared" si="49"/>
        <v>(U2)87U},</v>
      </c>
      <c r="AM336" s="6" t="str">
        <f t="shared" si="50"/>
        <v xml:space="preserve"> */</v>
      </c>
      <c r="AN336" s="6" t="str">
        <f t="shared" si="51"/>
        <v>/*   : BDC1S46 = 0x400001d3 */</v>
      </c>
    </row>
    <row r="337" spans="1:40" s="6" customFormat="1" ht="15">
      <c r="A337" s="15" t="str">
        <f t="shared" si="57"/>
        <v>ZN11S64</v>
      </c>
      <c r="B337" s="15" t="str">
        <f t="shared" si="57"/>
        <v>3D2</v>
      </c>
      <c r="C337" s="15" t="str">
        <f t="shared" si="57"/>
        <v>1</v>
      </c>
      <c r="D337" s="15">
        <f t="shared" si="57"/>
        <v>32</v>
      </c>
      <c r="E337" s="15"/>
      <c r="F337" s="15" t="str">
        <f t="shared" si="56"/>
        <v>0</v>
      </c>
      <c r="G337" s="16" t="str">
        <f t="shared" si="58"/>
        <v>R</v>
      </c>
      <c r="H337" s="16" t="str">
        <f t="shared" si="58"/>
        <v/>
      </c>
      <c r="I337" s="16" t="str">
        <f t="shared" si="58"/>
        <v/>
      </c>
      <c r="J337" s="5"/>
      <c r="X337" s="103"/>
      <c r="Z337" s="18"/>
      <c r="AA337" s="18"/>
      <c r="AB337" s="18"/>
      <c r="AC337" s="18"/>
      <c r="AE337" s="96"/>
      <c r="AF337" s="38">
        <f t="shared" si="43"/>
        <v>25</v>
      </c>
      <c r="AG337" s="96" t="str">
        <f t="shared" si="44"/>
        <v/>
      </c>
      <c r="AH337" s="6" t="str">
        <f t="shared" si="45"/>
        <v>{(U4)0x00000200U,</v>
      </c>
      <c r="AI337" s="6" t="str">
        <f t="shared" si="46"/>
        <v>(U4)0x400003d2U,</v>
      </c>
      <c r="AJ337" s="6" t="str">
        <f t="shared" si="47"/>
        <v>(U4)0x400003d2U,</v>
      </c>
      <c r="AK337" s="6" t="str">
        <f t="shared" si="48"/>
        <v>(U2)32U,</v>
      </c>
      <c r="AL337" s="6" t="str">
        <f t="shared" si="49"/>
        <v>(U2)87U},</v>
      </c>
      <c r="AM337" s="6" t="str">
        <f t="shared" si="50"/>
        <v/>
      </c>
      <c r="AN337" s="6" t="str">
        <f t="shared" si="51"/>
        <v>/* 25 : ZN11S64 = 0x400003d2 */</v>
      </c>
    </row>
    <row r="338" spans="1:40" s="6" customFormat="1" ht="15">
      <c r="A338" s="15" t="str">
        <f t="shared" si="57"/>
        <v>BDC1SE1</v>
      </c>
      <c r="B338" s="15" t="str">
        <f t="shared" si="57"/>
        <v>3D3</v>
      </c>
      <c r="C338" s="15" t="str">
        <f t="shared" si="57"/>
        <v>1</v>
      </c>
      <c r="D338" s="15">
        <f t="shared" si="57"/>
        <v>64</v>
      </c>
      <c r="E338" s="15"/>
      <c r="F338" s="15" t="str">
        <f t="shared" si="56"/>
        <v>1</v>
      </c>
      <c r="G338" s="16" t="str">
        <f t="shared" si="58"/>
        <v>R</v>
      </c>
      <c r="H338" s="16" t="str">
        <f t="shared" si="58"/>
        <v/>
      </c>
      <c r="I338" s="16" t="str">
        <f t="shared" si="58"/>
        <v/>
      </c>
      <c r="J338" s="5"/>
      <c r="X338" s="103"/>
      <c r="Z338" s="18"/>
      <c r="AA338" s="18"/>
      <c r="AB338" s="18"/>
      <c r="AC338" s="18"/>
      <c r="AE338" s="96"/>
      <c r="AF338" s="38">
        <f t="shared" si="43"/>
        <v>26</v>
      </c>
      <c r="AG338" s="96" t="str">
        <f t="shared" si="44"/>
        <v/>
      </c>
      <c r="AH338" s="6" t="str">
        <f t="shared" si="45"/>
        <v>{(U4)0x00000002U,</v>
      </c>
      <c r="AI338" s="6" t="str">
        <f t="shared" si="46"/>
        <v>(U4)0x400003d3U,</v>
      </c>
      <c r="AJ338" s="6" t="str">
        <f t="shared" si="47"/>
        <v>(U4)0x400003d3U,</v>
      </c>
      <c r="AK338" s="6" t="str">
        <f t="shared" si="48"/>
        <v>(U2)64U,</v>
      </c>
      <c r="AL338" s="6" t="str">
        <f t="shared" si="49"/>
        <v>(U2)0U},</v>
      </c>
      <c r="AM338" s="6" t="str">
        <f t="shared" si="50"/>
        <v/>
      </c>
      <c r="AN338" s="6" t="str">
        <f t="shared" si="51"/>
        <v>/* 26 : BDC1SE1 = 0x400003d3 */</v>
      </c>
    </row>
    <row r="339" spans="1:40" s="6" customFormat="1" ht="15">
      <c r="A339" s="15" t="str">
        <f t="shared" si="57"/>
        <v>DDM1S17</v>
      </c>
      <c r="B339" s="15" t="str">
        <f t="shared" si="57"/>
        <v>1D7</v>
      </c>
      <c r="C339" s="15" t="str">
        <f t="shared" si="57"/>
        <v>1</v>
      </c>
      <c r="D339" s="15">
        <f t="shared" si="57"/>
        <v>32</v>
      </c>
      <c r="E339" s="15"/>
      <c r="F339" s="15" t="str">
        <f t="shared" si="56"/>
        <v>0</v>
      </c>
      <c r="G339" s="16" t="str">
        <f t="shared" si="58"/>
        <v>R</v>
      </c>
      <c r="H339" s="16" t="str">
        <f t="shared" si="58"/>
        <v/>
      </c>
      <c r="I339" s="16" t="str">
        <f t="shared" si="58"/>
        <v/>
      </c>
      <c r="J339" s="5"/>
      <c r="X339" s="103"/>
      <c r="Z339" s="18"/>
      <c r="AA339" s="18"/>
      <c r="AB339" s="18"/>
      <c r="AC339" s="18"/>
      <c r="AE339" s="96"/>
      <c r="AF339" s="38">
        <f t="shared" si="43"/>
        <v>27</v>
      </c>
      <c r="AG339" s="96" t="str">
        <f t="shared" si="44"/>
        <v/>
      </c>
      <c r="AH339" s="6" t="str">
        <f t="shared" si="45"/>
        <v>{(U4)0x00000200U,</v>
      </c>
      <c r="AI339" s="6" t="str">
        <f t="shared" si="46"/>
        <v>(U4)0x400001d7U,</v>
      </c>
      <c r="AJ339" s="6" t="str">
        <f t="shared" si="47"/>
        <v>(U4)0x400001d7U,</v>
      </c>
      <c r="AK339" s="6" t="str">
        <f t="shared" si="48"/>
        <v>(U2)32U,</v>
      </c>
      <c r="AL339" s="6" t="str">
        <f t="shared" si="49"/>
        <v>(U2)87U},</v>
      </c>
      <c r="AM339" s="6" t="str">
        <f t="shared" si="50"/>
        <v/>
      </c>
      <c r="AN339" s="6" t="str">
        <f t="shared" si="51"/>
        <v>/* 27 : DDM1S17 = 0x400001d7 */</v>
      </c>
    </row>
    <row r="340" spans="1:40" s="6" customFormat="1" ht="15">
      <c r="A340" s="15" t="str">
        <f t="shared" si="57"/>
        <v>CMB1S03</v>
      </c>
      <c r="B340" s="15" t="str">
        <f t="shared" si="57"/>
        <v>1D9</v>
      </c>
      <c r="C340" s="15" t="str">
        <f t="shared" si="57"/>
        <v>1</v>
      </c>
      <c r="D340" s="15">
        <f t="shared" si="57"/>
        <v>8</v>
      </c>
      <c r="E340" s="15"/>
      <c r="F340" s="15" t="str">
        <f t="shared" si="56"/>
        <v>0</v>
      </c>
      <c r="G340" s="16" t="str">
        <f t="shared" si="58"/>
        <v>R</v>
      </c>
      <c r="H340" s="16" t="str">
        <f t="shared" si="58"/>
        <v/>
      </c>
      <c r="I340" s="16" t="str">
        <f t="shared" si="58"/>
        <v/>
      </c>
      <c r="J340" s="5"/>
      <c r="X340" s="103"/>
      <c r="Z340" s="18"/>
      <c r="AA340" s="18"/>
      <c r="AB340" s="18"/>
      <c r="AC340" s="18"/>
      <c r="AE340" s="96"/>
      <c r="AF340" s="38">
        <f t="shared" si="43"/>
        <v>28</v>
      </c>
      <c r="AG340" s="96" t="str">
        <f t="shared" si="44"/>
        <v/>
      </c>
      <c r="AH340" s="6" t="str">
        <f t="shared" si="45"/>
        <v>{(U4)0x00000200U,</v>
      </c>
      <c r="AI340" s="6" t="str">
        <f t="shared" si="46"/>
        <v>(U4)0x400001d9U,</v>
      </c>
      <c r="AJ340" s="6" t="str">
        <f t="shared" si="47"/>
        <v>(U4)0x400001ddU,</v>
      </c>
      <c r="AK340" s="6" t="str">
        <f t="shared" si="48"/>
        <v>(U2)8U,</v>
      </c>
      <c r="AL340" s="6" t="str">
        <f t="shared" si="49"/>
        <v>(U2)87U},</v>
      </c>
      <c r="AM340" s="6" t="str">
        <f t="shared" si="50"/>
        <v/>
      </c>
      <c r="AN340" s="6" t="str">
        <f t="shared" si="51"/>
        <v>/* 28 : CMB1S03 = 0x400001d9 */</v>
      </c>
    </row>
    <row r="341" spans="1:40" s="6" customFormat="1" ht="15">
      <c r="A341" s="15" t="str">
        <f t="shared" si="57"/>
        <v>ARS1S90</v>
      </c>
      <c r="B341" s="15" t="str">
        <f t="shared" si="57"/>
        <v>1DD</v>
      </c>
      <c r="C341" s="15" t="str">
        <f t="shared" si="57"/>
        <v>1</v>
      </c>
      <c r="D341" s="15">
        <f t="shared" si="57"/>
        <v>8</v>
      </c>
      <c r="E341" s="15"/>
      <c r="F341" s="15" t="str">
        <f t="shared" si="56"/>
        <v>0</v>
      </c>
      <c r="G341" s="16" t="str">
        <f t="shared" si="58"/>
        <v>R</v>
      </c>
      <c r="H341" s="16" t="str">
        <f t="shared" si="58"/>
        <v/>
      </c>
      <c r="I341" s="16" t="str">
        <f t="shared" si="58"/>
        <v/>
      </c>
      <c r="J341" s="5"/>
      <c r="X341" s="103"/>
      <c r="Z341" s="18"/>
      <c r="AA341" s="18"/>
      <c r="AB341" s="18"/>
      <c r="AC341" s="18"/>
      <c r="AE341" s="96"/>
      <c r="AF341" s="38" t="str">
        <f t="shared" si="43"/>
        <v/>
      </c>
      <c r="AG341" s="96" t="str">
        <f t="shared" si="44"/>
        <v xml:space="preserve">/* </v>
      </c>
      <c r="AH341" s="6" t="str">
        <f t="shared" si="45"/>
        <v>{(U4)0x00000200U,</v>
      </c>
      <c r="AI341" s="6" t="str">
        <f t="shared" si="46"/>
        <v>(U4)0x400001d9U,</v>
      </c>
      <c r="AJ341" s="6" t="str">
        <f t="shared" si="47"/>
        <v>(U4)0x400001ddU,</v>
      </c>
      <c r="AK341" s="6" t="str">
        <f t="shared" si="48"/>
        <v>(U2)8U,</v>
      </c>
      <c r="AL341" s="6" t="str">
        <f t="shared" si="49"/>
        <v>(U2)87U},</v>
      </c>
      <c r="AM341" s="6" t="str">
        <f t="shared" si="50"/>
        <v xml:space="preserve"> */</v>
      </c>
      <c r="AN341" s="6" t="str">
        <f t="shared" si="51"/>
        <v>/*   : ARS1S90 = 0x400001dd */</v>
      </c>
    </row>
    <row r="342" spans="1:40" s="6" customFormat="1" ht="15">
      <c r="A342" s="15" t="str">
        <f t="shared" si="57"/>
        <v>ZN21S05</v>
      </c>
      <c r="B342" s="15" t="str">
        <f t="shared" si="57"/>
        <v>1E1</v>
      </c>
      <c r="C342" s="15" t="str">
        <f t="shared" si="57"/>
        <v>1</v>
      </c>
      <c r="D342" s="15">
        <f t="shared" si="57"/>
        <v>32</v>
      </c>
      <c r="E342" s="15"/>
      <c r="F342" s="15" t="str">
        <f t="shared" si="56"/>
        <v>0</v>
      </c>
      <c r="G342" s="16" t="str">
        <f t="shared" si="58"/>
        <v>R</v>
      </c>
      <c r="H342" s="16" t="str">
        <f t="shared" si="58"/>
        <v/>
      </c>
      <c r="I342" s="16" t="str">
        <f t="shared" si="58"/>
        <v/>
      </c>
      <c r="J342" s="5"/>
      <c r="X342" s="103"/>
      <c r="Z342" s="18"/>
      <c r="AA342" s="18"/>
      <c r="AB342" s="18"/>
      <c r="AC342" s="18"/>
      <c r="AE342" s="96"/>
      <c r="AF342" s="38">
        <f t="shared" si="43"/>
        <v>29</v>
      </c>
      <c r="AG342" s="96" t="str">
        <f t="shared" si="44"/>
        <v/>
      </c>
      <c r="AH342" s="6" t="str">
        <f t="shared" si="45"/>
        <v>{(U4)0x00000200U,</v>
      </c>
      <c r="AI342" s="6" t="str">
        <f t="shared" si="46"/>
        <v>(U4)0x400001e1U,</v>
      </c>
      <c r="AJ342" s="6" t="str">
        <f t="shared" si="47"/>
        <v>(U4)0x400001e1U,</v>
      </c>
      <c r="AK342" s="6" t="str">
        <f t="shared" si="48"/>
        <v>(U2)32U,</v>
      </c>
      <c r="AL342" s="6" t="str">
        <f t="shared" si="49"/>
        <v>(U2)87U},</v>
      </c>
      <c r="AM342" s="6" t="str">
        <f t="shared" si="50"/>
        <v/>
      </c>
      <c r="AN342" s="6" t="str">
        <f t="shared" si="51"/>
        <v>/* 29 : ZN21S05 = 0x400001e1 */</v>
      </c>
    </row>
    <row r="343" spans="1:40" s="6" customFormat="1" ht="15">
      <c r="A343" s="15" t="str">
        <f t="shared" si="57"/>
        <v>BDC1S81</v>
      </c>
      <c r="B343" s="15" t="str">
        <f t="shared" si="57"/>
        <v>1E3</v>
      </c>
      <c r="C343" s="15" t="str">
        <f t="shared" si="57"/>
        <v>1</v>
      </c>
      <c r="D343" s="15">
        <f t="shared" si="57"/>
        <v>32</v>
      </c>
      <c r="E343" s="15"/>
      <c r="F343" s="15" t="str">
        <f t="shared" si="56"/>
        <v>1</v>
      </c>
      <c r="G343" s="16" t="str">
        <f t="shared" si="58"/>
        <v>R</v>
      </c>
      <c r="H343" s="16" t="str">
        <f t="shared" si="58"/>
        <v/>
      </c>
      <c r="I343" s="16" t="str">
        <f t="shared" si="58"/>
        <v/>
      </c>
      <c r="J343" s="5"/>
      <c r="X343" s="103"/>
      <c r="Z343" s="18"/>
      <c r="AA343" s="18"/>
      <c r="AB343" s="18"/>
      <c r="AC343" s="18"/>
      <c r="AE343" s="96"/>
      <c r="AF343" s="38">
        <f t="shared" si="43"/>
        <v>30</v>
      </c>
      <c r="AG343" s="96" t="str">
        <f t="shared" si="44"/>
        <v/>
      </c>
      <c r="AH343" s="6" t="str">
        <f t="shared" si="45"/>
        <v>{(U4)0x00000a00U,</v>
      </c>
      <c r="AI343" s="6" t="str">
        <f t="shared" si="46"/>
        <v>(U4)0x400001e3U,</v>
      </c>
      <c r="AJ343" s="6" t="str">
        <f t="shared" si="47"/>
        <v>(U4)0x400001e3U,</v>
      </c>
      <c r="AK343" s="6" t="str">
        <f t="shared" si="48"/>
        <v>(U2)32U,</v>
      </c>
      <c r="AL343" s="6" t="str">
        <f t="shared" si="49"/>
        <v>(U2)87U},</v>
      </c>
      <c r="AM343" s="6" t="str">
        <f t="shared" si="50"/>
        <v/>
      </c>
      <c r="AN343" s="6" t="str">
        <f t="shared" si="51"/>
        <v>/* 30 : BDC1S81 = 0x400001e3 */</v>
      </c>
    </row>
    <row r="344" spans="1:40" s="6" customFormat="1" ht="15">
      <c r="A344" s="15" t="str">
        <f t="shared" si="57"/>
        <v>SOL1S05</v>
      </c>
      <c r="B344" s="15" t="str">
        <f t="shared" si="57"/>
        <v>1EA</v>
      </c>
      <c r="C344" s="15" t="str">
        <f t="shared" si="57"/>
        <v>1</v>
      </c>
      <c r="D344" s="15">
        <f t="shared" si="57"/>
        <v>8</v>
      </c>
      <c r="E344" s="15"/>
      <c r="F344" s="15" t="str">
        <f t="shared" si="56"/>
        <v>0</v>
      </c>
      <c r="G344" s="16" t="str">
        <f t="shared" si="58"/>
        <v>R</v>
      </c>
      <c r="H344" s="16" t="str">
        <f t="shared" si="58"/>
        <v/>
      </c>
      <c r="I344" s="16" t="str">
        <f t="shared" si="58"/>
        <v/>
      </c>
      <c r="J344" s="5"/>
      <c r="X344" s="103"/>
      <c r="Z344" s="18"/>
      <c r="AA344" s="18"/>
      <c r="AB344" s="18"/>
      <c r="AC344" s="18"/>
      <c r="AE344" s="96"/>
      <c r="AF344" s="38">
        <f t="shared" si="43"/>
        <v>31</v>
      </c>
      <c r="AG344" s="96" t="str">
        <f t="shared" si="44"/>
        <v/>
      </c>
      <c r="AH344" s="6" t="str">
        <f t="shared" si="45"/>
        <v>{(U4)0x00000200U,</v>
      </c>
      <c r="AI344" s="6" t="str">
        <f t="shared" si="46"/>
        <v>(U4)0x400001eaU,</v>
      </c>
      <c r="AJ344" s="6" t="str">
        <f t="shared" si="47"/>
        <v>(U4)0x400001faU,</v>
      </c>
      <c r="AK344" s="6" t="str">
        <f t="shared" si="48"/>
        <v>(U2)8U,</v>
      </c>
      <c r="AL344" s="6" t="str">
        <f t="shared" si="49"/>
        <v>(U2)87U},</v>
      </c>
      <c r="AM344" s="6" t="str">
        <f t="shared" si="50"/>
        <v/>
      </c>
      <c r="AN344" s="6" t="str">
        <f t="shared" si="51"/>
        <v>/* 31 : SOL1S05 = 0x400001ea */</v>
      </c>
    </row>
    <row r="345" spans="1:40" s="6" customFormat="1" ht="15">
      <c r="A345" s="15" t="str">
        <f t="shared" si="57"/>
        <v>EHV1S96</v>
      </c>
      <c r="B345" s="15" t="str">
        <f t="shared" si="57"/>
        <v>1FA</v>
      </c>
      <c r="C345" s="15" t="str">
        <f t="shared" si="57"/>
        <v>1</v>
      </c>
      <c r="D345" s="15">
        <f t="shared" si="57"/>
        <v>8</v>
      </c>
      <c r="E345" s="15"/>
      <c r="F345" s="15" t="str">
        <f t="shared" si="56"/>
        <v>0</v>
      </c>
      <c r="G345" s="16" t="str">
        <f t="shared" si="58"/>
        <v>R</v>
      </c>
      <c r="H345" s="16" t="str">
        <f t="shared" si="58"/>
        <v/>
      </c>
      <c r="I345" s="16" t="str">
        <f t="shared" si="58"/>
        <v/>
      </c>
      <c r="J345" s="5"/>
      <c r="X345" s="103"/>
      <c r="Z345" s="18"/>
      <c r="AA345" s="18"/>
      <c r="AB345" s="18"/>
      <c r="AC345" s="18"/>
      <c r="AE345" s="96"/>
      <c r="AF345" s="38" t="str">
        <f t="shared" si="43"/>
        <v/>
      </c>
      <c r="AG345" s="96" t="str">
        <f t="shared" si="44"/>
        <v xml:space="preserve">/* </v>
      </c>
      <c r="AH345" s="6" t="str">
        <f t="shared" si="45"/>
        <v>{(U4)0x00000200U,</v>
      </c>
      <c r="AI345" s="6" t="str">
        <f t="shared" si="46"/>
        <v>(U4)0x400001eaU,</v>
      </c>
      <c r="AJ345" s="6" t="str">
        <f t="shared" si="47"/>
        <v>(U4)0x400001faU,</v>
      </c>
      <c r="AK345" s="6" t="str">
        <f t="shared" si="48"/>
        <v>(U2)8U,</v>
      </c>
      <c r="AL345" s="6" t="str">
        <f t="shared" si="49"/>
        <v>(U2)87U},</v>
      </c>
      <c r="AM345" s="6" t="str">
        <f t="shared" si="50"/>
        <v xml:space="preserve"> */</v>
      </c>
      <c r="AN345" s="6" t="str">
        <f t="shared" si="51"/>
        <v>/*   : EHV1S96 = 0x400001fa */</v>
      </c>
    </row>
    <row r="346" spans="1:40" s="6" customFormat="1" ht="15">
      <c r="A346" s="15" t="str">
        <f t="shared" si="57"/>
        <v>SOL1S04</v>
      </c>
      <c r="B346" s="15" t="str">
        <f t="shared" si="57"/>
        <v>1EB</v>
      </c>
      <c r="C346" s="15" t="str">
        <f t="shared" si="57"/>
        <v>1</v>
      </c>
      <c r="D346" s="15">
        <f t="shared" si="57"/>
        <v>8</v>
      </c>
      <c r="E346" s="15"/>
      <c r="F346" s="15" t="str">
        <f t="shared" si="56"/>
        <v>0</v>
      </c>
      <c r="G346" s="16" t="str">
        <f t="shared" si="58"/>
        <v>R</v>
      </c>
      <c r="H346" s="16" t="str">
        <f t="shared" si="58"/>
        <v/>
      </c>
      <c r="I346" s="16" t="str">
        <f t="shared" si="58"/>
        <v/>
      </c>
      <c r="J346" s="5"/>
      <c r="X346" s="103"/>
      <c r="Z346" s="18"/>
      <c r="AA346" s="18"/>
      <c r="AB346" s="18"/>
      <c r="AC346" s="18"/>
      <c r="AE346" s="96"/>
      <c r="AF346" s="38">
        <f t="shared" si="43"/>
        <v>32</v>
      </c>
      <c r="AG346" s="96" t="str">
        <f t="shared" si="44"/>
        <v/>
      </c>
      <c r="AH346" s="6" t="str">
        <f t="shared" si="45"/>
        <v>{(U4)0x00000200U,</v>
      </c>
      <c r="AI346" s="6" t="str">
        <f t="shared" si="46"/>
        <v>(U4)0x400001ebU,</v>
      </c>
      <c r="AJ346" s="6" t="str">
        <f t="shared" si="47"/>
        <v>(U4)0x400001f4U,</v>
      </c>
      <c r="AK346" s="6" t="str">
        <f t="shared" si="48"/>
        <v>(U2)8U,</v>
      </c>
      <c r="AL346" s="6" t="str">
        <f t="shared" si="49"/>
        <v>(U2)87U},</v>
      </c>
      <c r="AM346" s="6" t="str">
        <f t="shared" si="50"/>
        <v/>
      </c>
      <c r="AN346" s="6" t="str">
        <f t="shared" si="51"/>
        <v>/* 32 : SOL1S04 = 0x400001eb */</v>
      </c>
    </row>
    <row r="347" spans="1:40" s="6" customFormat="1" ht="15">
      <c r="A347" s="15" t="str">
        <f t="shared" si="57"/>
        <v>BDB1F03</v>
      </c>
      <c r="B347" s="15" t="str">
        <f t="shared" si="57"/>
        <v>1F4</v>
      </c>
      <c r="C347" s="15" t="str">
        <f t="shared" si="57"/>
        <v>1</v>
      </c>
      <c r="D347" s="15">
        <f t="shared" si="57"/>
        <v>8</v>
      </c>
      <c r="E347" s="15"/>
      <c r="F347" s="15" t="str">
        <f t="shared" si="56"/>
        <v>0</v>
      </c>
      <c r="G347" s="16" t="str">
        <f t="shared" si="58"/>
        <v>R</v>
      </c>
      <c r="H347" s="16" t="str">
        <f t="shared" si="58"/>
        <v/>
      </c>
      <c r="I347" s="16" t="str">
        <f t="shared" si="58"/>
        <v/>
      </c>
      <c r="J347" s="5"/>
      <c r="X347" s="103"/>
      <c r="Z347" s="18"/>
      <c r="AA347" s="18"/>
      <c r="AB347" s="18"/>
      <c r="AC347" s="18"/>
      <c r="AE347" s="96"/>
      <c r="AF347" s="38" t="str">
        <f t="shared" si="43"/>
        <v/>
      </c>
      <c r="AG347" s="96" t="str">
        <f t="shared" si="44"/>
        <v xml:space="preserve">/* </v>
      </c>
      <c r="AH347" s="6" t="str">
        <f t="shared" si="45"/>
        <v>{(U4)0x00000200U,</v>
      </c>
      <c r="AI347" s="6" t="str">
        <f t="shared" si="46"/>
        <v>(U4)0x400001ebU,</v>
      </c>
      <c r="AJ347" s="6" t="str">
        <f t="shared" si="47"/>
        <v>(U4)0x400001f4U,</v>
      </c>
      <c r="AK347" s="6" t="str">
        <f t="shared" si="48"/>
        <v>(U2)8U,</v>
      </c>
      <c r="AL347" s="6" t="str">
        <f t="shared" si="49"/>
        <v>(U2)87U},</v>
      </c>
      <c r="AM347" s="6" t="str">
        <f t="shared" si="50"/>
        <v xml:space="preserve"> */</v>
      </c>
      <c r="AN347" s="6" t="str">
        <f t="shared" si="51"/>
        <v>/*   : BDB1F03 = 0x400001f4 */</v>
      </c>
    </row>
    <row r="348" spans="1:40" s="6" customFormat="1" ht="15">
      <c r="A348" s="15" t="str">
        <f t="shared" si="57"/>
        <v>EHV2G70</v>
      </c>
      <c r="B348" s="15" t="str">
        <f t="shared" si="57"/>
        <v>202</v>
      </c>
      <c r="C348" s="15" t="str">
        <f t="shared" si="57"/>
        <v>1</v>
      </c>
      <c r="D348" s="15">
        <f t="shared" si="57"/>
        <v>32</v>
      </c>
      <c r="E348" s="15"/>
      <c r="F348" s="15" t="str">
        <f t="shared" si="56"/>
        <v>0</v>
      </c>
      <c r="G348" s="16" t="str">
        <f t="shared" si="58"/>
        <v>R</v>
      </c>
      <c r="H348" s="16" t="str">
        <f t="shared" si="58"/>
        <v/>
      </c>
      <c r="I348" s="16" t="str">
        <f t="shared" si="58"/>
        <v/>
      </c>
      <c r="J348" s="5"/>
      <c r="X348" s="103"/>
      <c r="Z348" s="18"/>
      <c r="AA348" s="18"/>
      <c r="AB348" s="18"/>
      <c r="AC348" s="18"/>
      <c r="AE348" s="96"/>
      <c r="AF348" s="38">
        <f t="shared" si="43"/>
        <v>33</v>
      </c>
      <c r="AG348" s="96" t="str">
        <f t="shared" si="44"/>
        <v/>
      </c>
      <c r="AH348" s="6" t="str">
        <f t="shared" si="45"/>
        <v>{(U4)0x00000200U,</v>
      </c>
      <c r="AI348" s="6" t="str">
        <f t="shared" si="46"/>
        <v>(U4)0x40000202U,</v>
      </c>
      <c r="AJ348" s="6" t="str">
        <f t="shared" si="47"/>
        <v>(U4)0x40000602U,</v>
      </c>
      <c r="AK348" s="6" t="str">
        <f t="shared" si="48"/>
        <v>(U2)32U,</v>
      </c>
      <c r="AL348" s="6" t="str">
        <f t="shared" si="49"/>
        <v>(U2)87U},</v>
      </c>
      <c r="AM348" s="6" t="str">
        <f t="shared" si="50"/>
        <v/>
      </c>
      <c r="AN348" s="6" t="str">
        <f t="shared" si="51"/>
        <v>/* 33 : EHV2G70 = 0x40000202 */</v>
      </c>
    </row>
    <row r="349" spans="1:40" s="6" customFormat="1" ht="15">
      <c r="A349" s="15" t="str">
        <f t="shared" ref="A349:D368" si="59">A66</f>
        <v>BDC1SV2</v>
      </c>
      <c r="B349" s="15" t="str">
        <f t="shared" si="59"/>
        <v>602</v>
      </c>
      <c r="C349" s="15" t="str">
        <f t="shared" si="59"/>
        <v>1</v>
      </c>
      <c r="D349" s="15">
        <f t="shared" si="59"/>
        <v>32</v>
      </c>
      <c r="E349" s="15"/>
      <c r="F349" s="15" t="str">
        <f t="shared" si="56"/>
        <v>0</v>
      </c>
      <c r="G349" s="16" t="str">
        <f t="shared" ref="G349:I368" si="60">IF(G66&lt;&gt;"",G66,"")</f>
        <v>R</v>
      </c>
      <c r="H349" s="16" t="str">
        <f t="shared" si="60"/>
        <v/>
      </c>
      <c r="I349" s="16" t="str">
        <f t="shared" si="60"/>
        <v/>
      </c>
      <c r="J349" s="5"/>
      <c r="X349" s="103"/>
      <c r="Z349" s="18"/>
      <c r="AA349" s="18"/>
      <c r="AB349" s="18"/>
      <c r="AC349" s="18"/>
      <c r="AE349" s="96"/>
      <c r="AF349" s="38" t="str">
        <f t="shared" si="43"/>
        <v/>
      </c>
      <c r="AG349" s="96" t="str">
        <f t="shared" si="44"/>
        <v xml:space="preserve">/* </v>
      </c>
      <c r="AH349" s="6" t="str">
        <f t="shared" si="45"/>
        <v>{(U4)0x00000200U,</v>
      </c>
      <c r="AI349" s="6" t="str">
        <f t="shared" si="46"/>
        <v>(U4)0x40000202U,</v>
      </c>
      <c r="AJ349" s="6" t="str">
        <f t="shared" si="47"/>
        <v>(U4)0x40000602U,</v>
      </c>
      <c r="AK349" s="6" t="str">
        <f t="shared" si="48"/>
        <v>(U2)32U,</v>
      </c>
      <c r="AL349" s="6" t="str">
        <f t="shared" si="49"/>
        <v>(U2)87U},</v>
      </c>
      <c r="AM349" s="6" t="str">
        <f t="shared" si="50"/>
        <v xml:space="preserve"> */</v>
      </c>
      <c r="AN349" s="6" t="str">
        <f t="shared" si="51"/>
        <v>/*   : BDC1SV2 = 0x40000602 */</v>
      </c>
    </row>
    <row r="350" spans="1:40" s="6" customFormat="1" ht="15">
      <c r="A350" s="15" t="str">
        <f t="shared" si="59"/>
        <v>PLG1S21</v>
      </c>
      <c r="B350" s="15" t="str">
        <f t="shared" si="59"/>
        <v>204</v>
      </c>
      <c r="C350" s="15" t="str">
        <f t="shared" si="59"/>
        <v>1</v>
      </c>
      <c r="D350" s="15">
        <f t="shared" si="59"/>
        <v>32</v>
      </c>
      <c r="E350" s="15"/>
      <c r="F350" s="15" t="str">
        <f t="shared" si="56"/>
        <v>0</v>
      </c>
      <c r="G350" s="16" t="str">
        <f t="shared" si="60"/>
        <v>R</v>
      </c>
      <c r="H350" s="16" t="str">
        <f t="shared" si="60"/>
        <v/>
      </c>
      <c r="I350" s="16" t="str">
        <f t="shared" si="60"/>
        <v/>
      </c>
      <c r="J350" s="5"/>
      <c r="X350" s="103"/>
      <c r="Z350" s="18"/>
      <c r="AA350" s="18"/>
      <c r="AB350" s="18"/>
      <c r="AC350" s="18"/>
      <c r="AE350" s="96"/>
      <c r="AF350" s="38">
        <f t="shared" si="43"/>
        <v>34</v>
      </c>
      <c r="AG350" s="96" t="str">
        <f t="shared" si="44"/>
        <v/>
      </c>
      <c r="AH350" s="6" t="str">
        <f t="shared" si="45"/>
        <v>{(U4)0x00000200U,</v>
      </c>
      <c r="AI350" s="6" t="str">
        <f t="shared" si="46"/>
        <v>(U4)0x40000204U,</v>
      </c>
      <c r="AJ350" s="6" t="str">
        <f t="shared" si="47"/>
        <v>(U4)0x40000214U,</v>
      </c>
      <c r="AK350" s="6" t="str">
        <f t="shared" si="48"/>
        <v>(U2)32U,</v>
      </c>
      <c r="AL350" s="6" t="str">
        <f t="shared" si="49"/>
        <v>(U2)87U},</v>
      </c>
      <c r="AM350" s="6" t="str">
        <f t="shared" si="50"/>
        <v/>
      </c>
      <c r="AN350" s="6" t="str">
        <f t="shared" si="51"/>
        <v>/* 34 : PLG1S21 = 0x40000204 */</v>
      </c>
    </row>
    <row r="351" spans="1:40" s="6" customFormat="1" ht="15">
      <c r="A351" s="15" t="str">
        <f t="shared" si="59"/>
        <v>BAT1E41</v>
      </c>
      <c r="B351" s="15" t="str">
        <f t="shared" si="59"/>
        <v>214</v>
      </c>
      <c r="C351" s="15" t="str">
        <f t="shared" si="59"/>
        <v>1</v>
      </c>
      <c r="D351" s="15">
        <f t="shared" si="59"/>
        <v>32</v>
      </c>
      <c r="E351" s="15"/>
      <c r="F351" s="15" t="str">
        <f t="shared" si="56"/>
        <v>0</v>
      </c>
      <c r="G351" s="16" t="str">
        <f t="shared" si="60"/>
        <v>R</v>
      </c>
      <c r="H351" s="16" t="str">
        <f t="shared" si="60"/>
        <v/>
      </c>
      <c r="I351" s="16" t="str">
        <f t="shared" si="60"/>
        <v/>
      </c>
      <c r="J351" s="5"/>
      <c r="X351" s="103"/>
      <c r="Z351" s="18"/>
      <c r="AA351" s="18"/>
      <c r="AB351" s="18"/>
      <c r="AC351" s="18"/>
      <c r="AE351" s="96"/>
      <c r="AF351" s="38" t="str">
        <f t="shared" si="43"/>
        <v/>
      </c>
      <c r="AG351" s="96" t="str">
        <f t="shared" si="44"/>
        <v xml:space="preserve">/* </v>
      </c>
      <c r="AH351" s="6" t="str">
        <f t="shared" si="45"/>
        <v>{(U4)0x00000200U,</v>
      </c>
      <c r="AI351" s="6" t="str">
        <f t="shared" si="46"/>
        <v>(U4)0x40000204U,</v>
      </c>
      <c r="AJ351" s="6" t="str">
        <f t="shared" si="47"/>
        <v>(U4)0x40000214U,</v>
      </c>
      <c r="AK351" s="6" t="str">
        <f t="shared" si="48"/>
        <v>(U2)32U,</v>
      </c>
      <c r="AL351" s="6" t="str">
        <f t="shared" si="49"/>
        <v>(U2)87U},</v>
      </c>
      <c r="AM351" s="6" t="str">
        <f t="shared" si="50"/>
        <v xml:space="preserve"> */</v>
      </c>
      <c r="AN351" s="6" t="str">
        <f t="shared" si="51"/>
        <v>/*   : BAT1E41 = 0x40000214 */</v>
      </c>
    </row>
    <row r="352" spans="1:40" s="6" customFormat="1" ht="15">
      <c r="A352" s="15" t="str">
        <f t="shared" si="59"/>
        <v>ADC1S13</v>
      </c>
      <c r="B352" s="15" t="str">
        <f t="shared" si="59"/>
        <v>207</v>
      </c>
      <c r="C352" s="15" t="str">
        <f t="shared" si="59"/>
        <v>1</v>
      </c>
      <c r="D352" s="15">
        <f t="shared" si="59"/>
        <v>32</v>
      </c>
      <c r="E352" s="15"/>
      <c r="F352" s="15" t="str">
        <f t="shared" si="56"/>
        <v>0</v>
      </c>
      <c r="G352" s="16" t="str">
        <f t="shared" si="60"/>
        <v>R</v>
      </c>
      <c r="H352" s="16" t="str">
        <f t="shared" si="60"/>
        <v/>
      </c>
      <c r="I352" s="16" t="str">
        <f t="shared" si="60"/>
        <v/>
      </c>
      <c r="J352" s="5"/>
      <c r="X352" s="103"/>
      <c r="Z352" s="18"/>
      <c r="AA352" s="18"/>
      <c r="AB352" s="18"/>
      <c r="AC352" s="18"/>
      <c r="AE352" s="96"/>
      <c r="AF352" s="38">
        <f t="shared" si="43"/>
        <v>35</v>
      </c>
      <c r="AG352" s="96" t="str">
        <f t="shared" si="44"/>
        <v/>
      </c>
      <c r="AH352" s="6" t="str">
        <f t="shared" si="45"/>
        <v>{(U4)0x00000200U,</v>
      </c>
      <c r="AI352" s="6" t="str">
        <f t="shared" si="46"/>
        <v>(U4)0x40000207U,</v>
      </c>
      <c r="AJ352" s="6" t="str">
        <f t="shared" si="47"/>
        <v>(U4)0x4000020eU,</v>
      </c>
      <c r="AK352" s="6" t="str">
        <f t="shared" si="48"/>
        <v>(U2)32U,</v>
      </c>
      <c r="AL352" s="6" t="str">
        <f t="shared" si="49"/>
        <v>(U2)87U},</v>
      </c>
      <c r="AM352" s="6" t="str">
        <f t="shared" si="50"/>
        <v/>
      </c>
      <c r="AN352" s="6" t="str">
        <f t="shared" si="51"/>
        <v>/* 35 : ADC1S13 = 0x40000207 */</v>
      </c>
    </row>
    <row r="353" spans="1:40" s="6" customFormat="1" ht="15">
      <c r="A353" s="15" t="str">
        <f t="shared" si="59"/>
        <v>ADC1S23</v>
      </c>
      <c r="B353" s="15" t="str">
        <f t="shared" si="59"/>
        <v>20B</v>
      </c>
      <c r="C353" s="15" t="str">
        <f t="shared" si="59"/>
        <v>1</v>
      </c>
      <c r="D353" s="15">
        <f t="shared" si="59"/>
        <v>32</v>
      </c>
      <c r="E353" s="15"/>
      <c r="F353" s="15" t="str">
        <f t="shared" ref="F353:F384" si="61">F70</f>
        <v>0</v>
      </c>
      <c r="G353" s="16" t="str">
        <f t="shared" si="60"/>
        <v>R</v>
      </c>
      <c r="H353" s="16" t="str">
        <f t="shared" si="60"/>
        <v/>
      </c>
      <c r="I353" s="16" t="str">
        <f t="shared" si="60"/>
        <v/>
      </c>
      <c r="J353" s="5"/>
      <c r="X353" s="103"/>
      <c r="Z353" s="18"/>
      <c r="AA353" s="18"/>
      <c r="AB353" s="18"/>
      <c r="AC353" s="18"/>
      <c r="AE353" s="96"/>
      <c r="AF353" s="38" t="str">
        <f t="shared" ref="AF353:AF416" si="62">IF(AF70&lt;&gt;"",AF70,"")</f>
        <v/>
      </c>
      <c r="AG353" s="96" t="str">
        <f t="shared" ref="AG353:AG416" si="63">IF($AF70&lt;&gt;"","", "/* ")</f>
        <v xml:space="preserve">/* </v>
      </c>
      <c r="AH353" s="6" t="str">
        <f t="shared" ref="AH353:AH416" si="64">IF($AF70&lt;&gt;"","{(U4)0x"&amp;LOWER(DEC2HEX($L70*$L$3+$M70*$M$3+$N70*$N$3+$V70*$V$3,8))&amp;"U,",AH352)</f>
        <v>{(U4)0x00000200U,</v>
      </c>
      <c r="AI353" s="6" t="str">
        <f t="shared" ref="AI353:AI416" si="65">IF($AF70&lt;&gt;"", "(U4)"&amp;LOWER($AJ70)&amp;"U,",AI352)</f>
        <v>(U4)0x40000207U,</v>
      </c>
      <c r="AJ353" s="6" t="str">
        <f t="shared" ref="AJ353:AJ416" si="66">IF($AF70&lt;&gt;"", "(U4)"&amp;LOWER($AK70)&amp;"U,",AJ352)</f>
        <v>(U4)0x4000020eU,</v>
      </c>
      <c r="AK353" s="6" t="str">
        <f t="shared" ref="AK353:AK416" si="67" xml:space="preserve"> IF($AF70&lt;&gt;"", "(U2)"&amp;$AL70&amp;"U,",AK352)</f>
        <v>(U2)32U,</v>
      </c>
      <c r="AL353" s="6" t="str">
        <f t="shared" ref="AL353:AL416" si="68" xml:space="preserve"> IF($AF70&lt;&gt;"", "(U2)"&amp;$Y70*$X$3&amp;"U},",AL352)</f>
        <v>(U2)87U},</v>
      </c>
      <c r="AM353" s="6" t="str">
        <f t="shared" ref="AM353:AM416" si="69">IF($AF70&lt;&gt;"","", " */")</f>
        <v xml:space="preserve"> */</v>
      </c>
      <c r="AN353" s="6" t="str">
        <f t="shared" ref="AN353:AN416" si="70">"/* "&amp;IF($AF70&lt;&gt;"",$AF70," ")&amp;" : "&amp;$A70&amp;" = "&amp;LOWER($AH70)&amp;" */"</f>
        <v>/*   : ADC1S23 = 0x4000020b */</v>
      </c>
    </row>
    <row r="354" spans="1:40" s="6" customFormat="1" ht="15">
      <c r="A354" s="15" t="str">
        <f t="shared" si="59"/>
        <v>ADU1S07</v>
      </c>
      <c r="B354" s="15" t="str">
        <f t="shared" si="59"/>
        <v>20E</v>
      </c>
      <c r="C354" s="15" t="str">
        <f t="shared" si="59"/>
        <v>1</v>
      </c>
      <c r="D354" s="15">
        <f t="shared" si="59"/>
        <v>32</v>
      </c>
      <c r="E354" s="15"/>
      <c r="F354" s="15" t="str">
        <f t="shared" si="61"/>
        <v>0</v>
      </c>
      <c r="G354" s="16" t="str">
        <f t="shared" si="60"/>
        <v>R</v>
      </c>
      <c r="H354" s="16" t="str">
        <f t="shared" si="60"/>
        <v/>
      </c>
      <c r="I354" s="16" t="str">
        <f t="shared" si="60"/>
        <v/>
      </c>
      <c r="J354" s="5"/>
      <c r="X354" s="103"/>
      <c r="Z354" s="18"/>
      <c r="AA354" s="18"/>
      <c r="AB354" s="18"/>
      <c r="AC354" s="18"/>
      <c r="AE354" s="96"/>
      <c r="AF354" s="38" t="str">
        <f t="shared" si="62"/>
        <v/>
      </c>
      <c r="AG354" s="96" t="str">
        <f t="shared" si="63"/>
        <v xml:space="preserve">/* </v>
      </c>
      <c r="AH354" s="6" t="str">
        <f t="shared" si="64"/>
        <v>{(U4)0x00000200U,</v>
      </c>
      <c r="AI354" s="6" t="str">
        <f t="shared" si="65"/>
        <v>(U4)0x40000207U,</v>
      </c>
      <c r="AJ354" s="6" t="str">
        <f t="shared" si="66"/>
        <v>(U4)0x4000020eU,</v>
      </c>
      <c r="AK354" s="6" t="str">
        <f t="shared" si="67"/>
        <v>(U2)32U,</v>
      </c>
      <c r="AL354" s="6" t="str">
        <f t="shared" si="68"/>
        <v>(U2)87U},</v>
      </c>
      <c r="AM354" s="6" t="str">
        <f t="shared" si="69"/>
        <v xml:space="preserve"> */</v>
      </c>
      <c r="AN354" s="6" t="str">
        <f t="shared" si="70"/>
        <v>/*   : ADU1S07 = 0x4000020e */</v>
      </c>
    </row>
    <row r="355" spans="1:40" s="6" customFormat="1" ht="15">
      <c r="A355" s="15" t="str">
        <f t="shared" si="59"/>
        <v>BSR1S02</v>
      </c>
      <c r="B355" s="15" t="str">
        <f t="shared" si="59"/>
        <v>235</v>
      </c>
      <c r="C355" s="15" t="str">
        <f t="shared" si="59"/>
        <v>1</v>
      </c>
      <c r="D355" s="15">
        <f t="shared" si="59"/>
        <v>8</v>
      </c>
      <c r="E355" s="15"/>
      <c r="F355" s="15" t="str">
        <f t="shared" si="61"/>
        <v>0</v>
      </c>
      <c r="G355" s="16" t="str">
        <f t="shared" si="60"/>
        <v>R</v>
      </c>
      <c r="H355" s="16" t="str">
        <f t="shared" si="60"/>
        <v/>
      </c>
      <c r="I355" s="16" t="str">
        <f t="shared" si="60"/>
        <v/>
      </c>
      <c r="J355" s="5"/>
      <c r="X355" s="103"/>
      <c r="Z355" s="18"/>
      <c r="AA355" s="18"/>
      <c r="AB355" s="18"/>
      <c r="AC355" s="18"/>
      <c r="AE355" s="96"/>
      <c r="AF355" s="38">
        <f t="shared" si="62"/>
        <v>36</v>
      </c>
      <c r="AG355" s="96" t="str">
        <f t="shared" si="63"/>
        <v/>
      </c>
      <c r="AH355" s="6" t="str">
        <f t="shared" si="64"/>
        <v>{(U4)0x00000200U,</v>
      </c>
      <c r="AI355" s="6" t="str">
        <f t="shared" si="65"/>
        <v>(U4)0x40000235U,</v>
      </c>
      <c r="AJ355" s="6" t="str">
        <f t="shared" si="66"/>
        <v>(U4)0x40000251U,</v>
      </c>
      <c r="AK355" s="6" t="str">
        <f t="shared" si="67"/>
        <v>(U2)8U,</v>
      </c>
      <c r="AL355" s="6" t="str">
        <f t="shared" si="68"/>
        <v>(U2)87U},</v>
      </c>
      <c r="AM355" s="6" t="str">
        <f t="shared" si="69"/>
        <v/>
      </c>
      <c r="AN355" s="6" t="str">
        <f t="shared" si="70"/>
        <v>/* 36 : BSR1S02 = 0x40000235 */</v>
      </c>
    </row>
    <row r="356" spans="1:40" s="6" customFormat="1" ht="15">
      <c r="A356" s="15" t="str">
        <f t="shared" si="59"/>
        <v>FCM1S39</v>
      </c>
      <c r="B356" s="15" t="str">
        <f t="shared" si="59"/>
        <v>251</v>
      </c>
      <c r="C356" s="15" t="str">
        <f t="shared" si="59"/>
        <v>1</v>
      </c>
      <c r="D356" s="15">
        <f t="shared" si="59"/>
        <v>8</v>
      </c>
      <c r="E356" s="15"/>
      <c r="F356" s="15" t="str">
        <f t="shared" si="61"/>
        <v>0</v>
      </c>
      <c r="G356" s="16" t="str">
        <f t="shared" si="60"/>
        <v>R</v>
      </c>
      <c r="H356" s="16" t="str">
        <f t="shared" si="60"/>
        <v/>
      </c>
      <c r="I356" s="16" t="str">
        <f t="shared" si="60"/>
        <v/>
      </c>
      <c r="J356" s="5"/>
      <c r="X356" s="103"/>
      <c r="Z356" s="18"/>
      <c r="AA356" s="18"/>
      <c r="AB356" s="18"/>
      <c r="AC356" s="18"/>
      <c r="AE356" s="96"/>
      <c r="AF356" s="38" t="str">
        <f t="shared" si="62"/>
        <v/>
      </c>
      <c r="AG356" s="96" t="str">
        <f t="shared" si="63"/>
        <v xml:space="preserve">/* </v>
      </c>
      <c r="AH356" s="6" t="str">
        <f t="shared" si="64"/>
        <v>{(U4)0x00000200U,</v>
      </c>
      <c r="AI356" s="6" t="str">
        <f t="shared" si="65"/>
        <v>(U4)0x40000235U,</v>
      </c>
      <c r="AJ356" s="6" t="str">
        <f t="shared" si="66"/>
        <v>(U4)0x40000251U,</v>
      </c>
      <c r="AK356" s="6" t="str">
        <f t="shared" si="67"/>
        <v>(U2)8U,</v>
      </c>
      <c r="AL356" s="6" t="str">
        <f t="shared" si="68"/>
        <v>(U2)87U},</v>
      </c>
      <c r="AM356" s="6" t="str">
        <f t="shared" si="69"/>
        <v xml:space="preserve"> */</v>
      </c>
      <c r="AN356" s="6" t="str">
        <f t="shared" si="70"/>
        <v>/*   : FCM1S39 = 0x40000251 */</v>
      </c>
    </row>
    <row r="357" spans="1:40" s="6" customFormat="1" ht="15">
      <c r="A357" s="15" t="str">
        <f t="shared" si="59"/>
        <v>ACN1S25</v>
      </c>
      <c r="B357" s="15" t="str">
        <f t="shared" si="59"/>
        <v>255</v>
      </c>
      <c r="C357" s="15" t="str">
        <f t="shared" si="59"/>
        <v>1</v>
      </c>
      <c r="D357" s="15">
        <f t="shared" si="59"/>
        <v>32</v>
      </c>
      <c r="E357" s="15"/>
      <c r="F357" s="15" t="str">
        <f t="shared" si="61"/>
        <v>0</v>
      </c>
      <c r="G357" s="16" t="str">
        <f t="shared" si="60"/>
        <v>R</v>
      </c>
      <c r="H357" s="16" t="str">
        <f t="shared" si="60"/>
        <v/>
      </c>
      <c r="I357" s="16" t="str">
        <f t="shared" si="60"/>
        <v/>
      </c>
      <c r="J357" s="5"/>
      <c r="X357" s="103"/>
      <c r="Z357" s="18"/>
      <c r="AA357" s="18"/>
      <c r="AB357" s="18"/>
      <c r="AC357" s="18"/>
      <c r="AE357" s="96"/>
      <c r="AF357" s="38">
        <f t="shared" si="62"/>
        <v>37</v>
      </c>
      <c r="AG357" s="96" t="str">
        <f t="shared" si="63"/>
        <v/>
      </c>
      <c r="AH357" s="6" t="str">
        <f t="shared" si="64"/>
        <v>{(U4)0x00000200U,</v>
      </c>
      <c r="AI357" s="6" t="str">
        <f t="shared" si="65"/>
        <v>(U4)0x40000255U,</v>
      </c>
      <c r="AJ357" s="6" t="str">
        <f t="shared" si="66"/>
        <v>(U4)0x40000255U,</v>
      </c>
      <c r="AK357" s="6" t="str">
        <f t="shared" si="67"/>
        <v>(U2)32U,</v>
      </c>
      <c r="AL357" s="6" t="str">
        <f t="shared" si="68"/>
        <v>(U2)87U},</v>
      </c>
      <c r="AM357" s="6" t="str">
        <f t="shared" si="69"/>
        <v/>
      </c>
      <c r="AN357" s="6" t="str">
        <f t="shared" si="70"/>
        <v>/* 37 : ACN1S25 = 0x40000255 */</v>
      </c>
    </row>
    <row r="358" spans="1:40" s="6" customFormat="1" ht="15">
      <c r="A358" s="15" t="str">
        <f t="shared" si="59"/>
        <v>FCM1S70</v>
      </c>
      <c r="B358" s="15" t="str">
        <f t="shared" si="59"/>
        <v>25A</v>
      </c>
      <c r="C358" s="15" t="str">
        <f t="shared" si="59"/>
        <v>1</v>
      </c>
      <c r="D358" s="15">
        <f t="shared" si="59"/>
        <v>8</v>
      </c>
      <c r="E358" s="15"/>
      <c r="F358" s="15" t="str">
        <f t="shared" si="61"/>
        <v>0</v>
      </c>
      <c r="G358" s="16" t="str">
        <f t="shared" si="60"/>
        <v>R</v>
      </c>
      <c r="H358" s="16" t="str">
        <f t="shared" si="60"/>
        <v/>
      </c>
      <c r="I358" s="16" t="str">
        <f t="shared" si="60"/>
        <v/>
      </c>
      <c r="J358" s="5"/>
      <c r="X358" s="103"/>
      <c r="Z358" s="18"/>
      <c r="AA358" s="18"/>
      <c r="AB358" s="18"/>
      <c r="AC358" s="18"/>
      <c r="AE358" s="96"/>
      <c r="AF358" s="38">
        <f t="shared" si="62"/>
        <v>38</v>
      </c>
      <c r="AG358" s="96" t="str">
        <f t="shared" si="63"/>
        <v/>
      </c>
      <c r="AH358" s="6" t="str">
        <f t="shared" si="64"/>
        <v>{(U4)0x00000200U,</v>
      </c>
      <c r="AI358" s="6" t="str">
        <f t="shared" si="65"/>
        <v>(U4)0x4000025aU,</v>
      </c>
      <c r="AJ358" s="6" t="str">
        <f t="shared" si="66"/>
        <v>(U4)0x4000025aU,</v>
      </c>
      <c r="AK358" s="6" t="str">
        <f t="shared" si="67"/>
        <v>(U2)8U,</v>
      </c>
      <c r="AL358" s="6" t="str">
        <f t="shared" si="68"/>
        <v>(U2)87U},</v>
      </c>
      <c r="AM358" s="6" t="str">
        <f t="shared" si="69"/>
        <v/>
      </c>
      <c r="AN358" s="6" t="str">
        <f t="shared" si="70"/>
        <v>/* 38 : FCM1S70 = 0x4000025a */</v>
      </c>
    </row>
    <row r="359" spans="1:40" s="6" customFormat="1" ht="15">
      <c r="A359" s="15" t="str">
        <f t="shared" si="59"/>
        <v>DDM1S20</v>
      </c>
      <c r="B359" s="15" t="str">
        <f t="shared" si="59"/>
        <v>2DA</v>
      </c>
      <c r="C359" s="15" t="str">
        <f t="shared" si="59"/>
        <v>1</v>
      </c>
      <c r="D359" s="15">
        <f t="shared" si="59"/>
        <v>32</v>
      </c>
      <c r="E359" s="15"/>
      <c r="F359" s="15" t="str">
        <f t="shared" si="61"/>
        <v>1</v>
      </c>
      <c r="G359" s="16" t="str">
        <f t="shared" si="60"/>
        <v>R</v>
      </c>
      <c r="H359" s="16" t="str">
        <f t="shared" si="60"/>
        <v/>
      </c>
      <c r="I359" s="16" t="str">
        <f t="shared" si="60"/>
        <v/>
      </c>
      <c r="J359" s="5"/>
      <c r="X359" s="103"/>
      <c r="Z359" s="18"/>
      <c r="AA359" s="18"/>
      <c r="AB359" s="18"/>
      <c r="AC359" s="18"/>
      <c r="AE359" s="96"/>
      <c r="AF359" s="38">
        <f t="shared" si="62"/>
        <v>39</v>
      </c>
      <c r="AG359" s="96" t="str">
        <f t="shared" si="63"/>
        <v/>
      </c>
      <c r="AH359" s="6" t="str">
        <f t="shared" si="64"/>
        <v>{(U4)0x00000200U,</v>
      </c>
      <c r="AI359" s="6" t="str">
        <f t="shared" si="65"/>
        <v>(U4)0x400002daU,</v>
      </c>
      <c r="AJ359" s="6" t="str">
        <f t="shared" si="66"/>
        <v>(U4)0x400002daU,</v>
      </c>
      <c r="AK359" s="6" t="str">
        <f t="shared" si="67"/>
        <v>(U2)32U,</v>
      </c>
      <c r="AL359" s="6" t="str">
        <f t="shared" si="68"/>
        <v>(U2)87U},</v>
      </c>
      <c r="AM359" s="6" t="str">
        <f t="shared" si="69"/>
        <v/>
      </c>
      <c r="AN359" s="6" t="str">
        <f t="shared" si="70"/>
        <v>/* 39 : DDM1S20 = 0x400002da */</v>
      </c>
    </row>
    <row r="360" spans="1:40" s="6" customFormat="1" ht="15">
      <c r="A360" s="15" t="str">
        <f t="shared" si="59"/>
        <v>ITS1S08</v>
      </c>
      <c r="B360" s="15" t="str">
        <f t="shared" si="59"/>
        <v>27B</v>
      </c>
      <c r="C360" s="15" t="str">
        <f t="shared" si="59"/>
        <v>1</v>
      </c>
      <c r="D360" s="15">
        <f t="shared" si="59"/>
        <v>8</v>
      </c>
      <c r="E360" s="15"/>
      <c r="F360" s="15" t="str">
        <f t="shared" si="61"/>
        <v>0</v>
      </c>
      <c r="G360" s="16" t="str">
        <f t="shared" si="60"/>
        <v>R</v>
      </c>
      <c r="H360" s="16" t="str">
        <f t="shared" si="60"/>
        <v/>
      </c>
      <c r="I360" s="16" t="str">
        <f t="shared" si="60"/>
        <v/>
      </c>
      <c r="J360" s="5"/>
      <c r="X360" s="103"/>
      <c r="Z360" s="18"/>
      <c r="AA360" s="18"/>
      <c r="AB360" s="18"/>
      <c r="AC360" s="18"/>
      <c r="AE360" s="96"/>
      <c r="AF360" s="38">
        <f t="shared" si="62"/>
        <v>40</v>
      </c>
      <c r="AG360" s="96" t="str">
        <f t="shared" si="63"/>
        <v/>
      </c>
      <c r="AH360" s="6" t="str">
        <f t="shared" si="64"/>
        <v>{(U4)0x00000200U,</v>
      </c>
      <c r="AI360" s="6" t="str">
        <f t="shared" si="65"/>
        <v>(U4)0x4000027bU,</v>
      </c>
      <c r="AJ360" s="6" t="str">
        <f t="shared" si="66"/>
        <v>(U4)0x4000027bU,</v>
      </c>
      <c r="AK360" s="6" t="str">
        <f t="shared" si="67"/>
        <v>(U2)8U,</v>
      </c>
      <c r="AL360" s="6" t="str">
        <f t="shared" si="68"/>
        <v>(U2)87U},</v>
      </c>
      <c r="AM360" s="6" t="str">
        <f t="shared" si="69"/>
        <v/>
      </c>
      <c r="AN360" s="6" t="str">
        <f t="shared" si="70"/>
        <v>/* 40 : ITS1S08 = 0x4000027b */</v>
      </c>
    </row>
    <row r="361" spans="1:40" s="6" customFormat="1" ht="15">
      <c r="A361" s="15" t="str">
        <f t="shared" si="59"/>
        <v>DDM1SFH</v>
      </c>
      <c r="B361" s="15" t="str">
        <f t="shared" si="59"/>
        <v>282</v>
      </c>
      <c r="C361" s="15" t="str">
        <f t="shared" si="59"/>
        <v>1</v>
      </c>
      <c r="D361" s="15">
        <f t="shared" si="59"/>
        <v>32</v>
      </c>
      <c r="E361" s="15"/>
      <c r="F361" s="15" t="str">
        <f t="shared" si="61"/>
        <v>0</v>
      </c>
      <c r="G361" s="16" t="str">
        <f t="shared" si="60"/>
        <v>R</v>
      </c>
      <c r="H361" s="16" t="str">
        <f t="shared" si="60"/>
        <v/>
      </c>
      <c r="I361" s="16" t="str">
        <f t="shared" si="60"/>
        <v/>
      </c>
      <c r="J361" s="5"/>
      <c r="X361" s="103"/>
      <c r="Z361" s="18"/>
      <c r="AA361" s="18"/>
      <c r="AB361" s="18"/>
      <c r="AC361" s="18"/>
      <c r="AE361" s="96"/>
      <c r="AF361" s="38">
        <f t="shared" si="62"/>
        <v>41</v>
      </c>
      <c r="AG361" s="96" t="str">
        <f t="shared" si="63"/>
        <v/>
      </c>
      <c r="AH361" s="6" t="str">
        <f t="shared" si="64"/>
        <v>{(U4)0x00000200U,</v>
      </c>
      <c r="AI361" s="6" t="str">
        <f t="shared" si="65"/>
        <v>(U4)0x40000282U,</v>
      </c>
      <c r="AJ361" s="6" t="str">
        <f t="shared" si="66"/>
        <v>(U4)0x40000282U,</v>
      </c>
      <c r="AK361" s="6" t="str">
        <f t="shared" si="67"/>
        <v>(U2)32U,</v>
      </c>
      <c r="AL361" s="6" t="str">
        <f t="shared" si="68"/>
        <v>(U2)87U},</v>
      </c>
      <c r="AM361" s="6" t="str">
        <f t="shared" si="69"/>
        <v/>
      </c>
      <c r="AN361" s="6" t="str">
        <f t="shared" si="70"/>
        <v>/* 41 : DDM1SFH = 0x40000282 */</v>
      </c>
    </row>
    <row r="362" spans="1:40" s="6" customFormat="1" ht="15">
      <c r="A362" s="15" t="str">
        <f t="shared" si="59"/>
        <v>ACN1S05</v>
      </c>
      <c r="B362" s="15" t="str">
        <f t="shared" si="59"/>
        <v>382</v>
      </c>
      <c r="C362" s="15" t="str">
        <f t="shared" si="59"/>
        <v>1</v>
      </c>
      <c r="D362" s="15">
        <f t="shared" si="59"/>
        <v>8</v>
      </c>
      <c r="E362" s="15"/>
      <c r="F362" s="15" t="str">
        <f t="shared" si="61"/>
        <v>0</v>
      </c>
      <c r="G362" s="16" t="str">
        <f t="shared" si="60"/>
        <v>R</v>
      </c>
      <c r="H362" s="16" t="str">
        <f t="shared" si="60"/>
        <v/>
      </c>
      <c r="I362" s="16" t="str">
        <f t="shared" si="60"/>
        <v/>
      </c>
      <c r="J362" s="5"/>
      <c r="X362" s="103"/>
      <c r="Z362" s="18"/>
      <c r="AA362" s="18"/>
      <c r="AB362" s="18"/>
      <c r="AC362" s="18"/>
      <c r="AE362" s="96"/>
      <c r="AF362" s="38">
        <f t="shared" si="62"/>
        <v>42</v>
      </c>
      <c r="AG362" s="96" t="str">
        <f t="shared" si="63"/>
        <v/>
      </c>
      <c r="AH362" s="6" t="str">
        <f t="shared" si="64"/>
        <v>{(U4)0x00000200U,</v>
      </c>
      <c r="AI362" s="6" t="str">
        <f t="shared" si="65"/>
        <v>(U4)0x40000382U,</v>
      </c>
      <c r="AJ362" s="6" t="str">
        <f t="shared" si="66"/>
        <v>(U4)0x40000382U,</v>
      </c>
      <c r="AK362" s="6" t="str">
        <f t="shared" si="67"/>
        <v>(U2)8U,</v>
      </c>
      <c r="AL362" s="6" t="str">
        <f t="shared" si="68"/>
        <v>(U2)87U},</v>
      </c>
      <c r="AM362" s="6" t="str">
        <f t="shared" si="69"/>
        <v/>
      </c>
      <c r="AN362" s="6" t="str">
        <f t="shared" si="70"/>
        <v>/* 42 : ACN1S05 = 0x40000382 */</v>
      </c>
    </row>
    <row r="363" spans="1:40" s="6" customFormat="1" ht="15">
      <c r="A363" s="15" t="str">
        <f t="shared" si="59"/>
        <v>DS11S27</v>
      </c>
      <c r="B363" s="15" t="str">
        <f t="shared" si="59"/>
        <v>285</v>
      </c>
      <c r="C363" s="15" t="str">
        <f t="shared" si="59"/>
        <v>1</v>
      </c>
      <c r="D363" s="15">
        <f t="shared" si="59"/>
        <v>8</v>
      </c>
      <c r="E363" s="15"/>
      <c r="F363" s="15" t="str">
        <f t="shared" si="61"/>
        <v>0</v>
      </c>
      <c r="G363" s="16" t="str">
        <f t="shared" si="60"/>
        <v>R</v>
      </c>
      <c r="H363" s="16" t="str">
        <f t="shared" si="60"/>
        <v/>
      </c>
      <c r="I363" s="16" t="str">
        <f t="shared" si="60"/>
        <v/>
      </c>
      <c r="J363" s="5"/>
      <c r="X363" s="103"/>
      <c r="Z363" s="18"/>
      <c r="AA363" s="18"/>
      <c r="AB363" s="18"/>
      <c r="AC363" s="18"/>
      <c r="AE363" s="96"/>
      <c r="AF363" s="38">
        <f t="shared" si="62"/>
        <v>43</v>
      </c>
      <c r="AG363" s="96" t="str">
        <f t="shared" si="63"/>
        <v/>
      </c>
      <c r="AH363" s="6" t="str">
        <f t="shared" si="64"/>
        <v>{(U4)0x00000200U,</v>
      </c>
      <c r="AI363" s="6" t="str">
        <f t="shared" si="65"/>
        <v>(U4)0x40000285U,</v>
      </c>
      <c r="AJ363" s="6" t="str">
        <f t="shared" si="66"/>
        <v>(U4)0x40000285U,</v>
      </c>
      <c r="AK363" s="6" t="str">
        <f t="shared" si="67"/>
        <v>(U2)8U,</v>
      </c>
      <c r="AL363" s="6" t="str">
        <f t="shared" si="68"/>
        <v>(U2)87U},</v>
      </c>
      <c r="AM363" s="6" t="str">
        <f t="shared" si="69"/>
        <v/>
      </c>
      <c r="AN363" s="6" t="str">
        <f t="shared" si="70"/>
        <v>/* 43 : DS11S27 = 0x40000285 */</v>
      </c>
    </row>
    <row r="364" spans="1:40" s="6" customFormat="1" ht="15">
      <c r="A364" s="15" t="str">
        <f t="shared" si="59"/>
        <v>PLG1G15</v>
      </c>
      <c r="B364" s="15" t="str">
        <f t="shared" si="59"/>
        <v>295</v>
      </c>
      <c r="C364" s="15" t="str">
        <f t="shared" si="59"/>
        <v>1</v>
      </c>
      <c r="D364" s="15">
        <f t="shared" si="59"/>
        <v>32</v>
      </c>
      <c r="E364" s="15"/>
      <c r="F364" s="15" t="str">
        <f t="shared" si="61"/>
        <v>0</v>
      </c>
      <c r="G364" s="16" t="str">
        <f t="shared" si="60"/>
        <v>R</v>
      </c>
      <c r="H364" s="16" t="str">
        <f t="shared" si="60"/>
        <v/>
      </c>
      <c r="I364" s="16" t="str">
        <f t="shared" si="60"/>
        <v/>
      </c>
      <c r="J364" s="5"/>
      <c r="X364" s="103"/>
      <c r="Z364" s="18"/>
      <c r="AA364" s="18"/>
      <c r="AB364" s="18"/>
      <c r="AC364" s="18"/>
      <c r="AE364" s="96"/>
      <c r="AF364" s="38">
        <f t="shared" si="62"/>
        <v>44</v>
      </c>
      <c r="AG364" s="96" t="str">
        <f t="shared" si="63"/>
        <v/>
      </c>
      <c r="AH364" s="6" t="str">
        <f t="shared" si="64"/>
        <v>{(U4)0x00000200U,</v>
      </c>
      <c r="AI364" s="6" t="str">
        <f t="shared" si="65"/>
        <v>(U4)0x40000295U,</v>
      </c>
      <c r="AJ364" s="6" t="str">
        <f t="shared" si="66"/>
        <v>(U4)0x40000295U,</v>
      </c>
      <c r="AK364" s="6" t="str">
        <f t="shared" si="67"/>
        <v>(U2)32U,</v>
      </c>
      <c r="AL364" s="6" t="str">
        <f t="shared" si="68"/>
        <v>(U2)87U},</v>
      </c>
      <c r="AM364" s="6" t="str">
        <f t="shared" si="69"/>
        <v/>
      </c>
      <c r="AN364" s="6" t="str">
        <f t="shared" si="70"/>
        <v>/* 44 : PLG1G15 = 0x40000295 */</v>
      </c>
    </row>
    <row r="365" spans="1:40" s="6" customFormat="1" ht="15">
      <c r="A365" s="15" t="str">
        <f t="shared" si="59"/>
        <v>BDC1SC2</v>
      </c>
      <c r="B365" s="15" t="str">
        <f t="shared" si="59"/>
        <v>395</v>
      </c>
      <c r="C365" s="15" t="str">
        <f t="shared" si="59"/>
        <v>1</v>
      </c>
      <c r="D365" s="15">
        <f t="shared" si="59"/>
        <v>64</v>
      </c>
      <c r="E365" s="15"/>
      <c r="F365" s="15" t="str">
        <f t="shared" si="61"/>
        <v>1</v>
      </c>
      <c r="G365" s="16" t="str">
        <f t="shared" si="60"/>
        <v>R</v>
      </c>
      <c r="H365" s="16" t="str">
        <f t="shared" si="60"/>
        <v/>
      </c>
      <c r="I365" s="16" t="str">
        <f t="shared" si="60"/>
        <v/>
      </c>
      <c r="J365" s="5"/>
      <c r="X365" s="103"/>
      <c r="Z365" s="18"/>
      <c r="AA365" s="18"/>
      <c r="AB365" s="18"/>
      <c r="AC365" s="18"/>
      <c r="AE365" s="96"/>
      <c r="AF365" s="38">
        <f t="shared" si="62"/>
        <v>45</v>
      </c>
      <c r="AG365" s="96" t="str">
        <f t="shared" si="63"/>
        <v/>
      </c>
      <c r="AH365" s="6" t="str">
        <f t="shared" si="64"/>
        <v>{(U4)0x00000002U,</v>
      </c>
      <c r="AI365" s="6" t="str">
        <f t="shared" si="65"/>
        <v>(U4)0x40000395U,</v>
      </c>
      <c r="AJ365" s="6" t="str">
        <f t="shared" si="66"/>
        <v>(U4)0x40000395U,</v>
      </c>
      <c r="AK365" s="6" t="str">
        <f t="shared" si="67"/>
        <v>(U2)64U,</v>
      </c>
      <c r="AL365" s="6" t="str">
        <f t="shared" si="68"/>
        <v>(U2)3U},</v>
      </c>
      <c r="AM365" s="6" t="str">
        <f t="shared" si="69"/>
        <v/>
      </c>
      <c r="AN365" s="6" t="str">
        <f t="shared" si="70"/>
        <v>/* 45 : BDC1SC2 = 0x40000395 */</v>
      </c>
    </row>
    <row r="366" spans="1:40" s="6" customFormat="1" ht="15">
      <c r="A366" s="15" t="str">
        <f t="shared" si="59"/>
        <v>PLG1G16</v>
      </c>
      <c r="B366" s="15" t="str">
        <f t="shared" si="59"/>
        <v>296</v>
      </c>
      <c r="C366" s="15" t="str">
        <f t="shared" si="59"/>
        <v>1</v>
      </c>
      <c r="D366" s="15">
        <f t="shared" si="59"/>
        <v>32</v>
      </c>
      <c r="E366" s="15"/>
      <c r="F366" s="15" t="str">
        <f t="shared" si="61"/>
        <v>0</v>
      </c>
      <c r="G366" s="16" t="str">
        <f t="shared" si="60"/>
        <v>R</v>
      </c>
      <c r="H366" s="16" t="str">
        <f t="shared" si="60"/>
        <v/>
      </c>
      <c r="I366" s="16" t="str">
        <f t="shared" si="60"/>
        <v/>
      </c>
      <c r="J366" s="5"/>
      <c r="X366" s="103"/>
      <c r="Z366" s="18"/>
      <c r="AA366" s="18"/>
      <c r="AB366" s="18"/>
      <c r="AC366" s="18"/>
      <c r="AE366" s="96"/>
      <c r="AF366" s="38">
        <f t="shared" si="62"/>
        <v>46</v>
      </c>
      <c r="AG366" s="96" t="str">
        <f t="shared" si="63"/>
        <v/>
      </c>
      <c r="AH366" s="6" t="str">
        <f t="shared" si="64"/>
        <v>{(U4)0x00000200U,</v>
      </c>
      <c r="AI366" s="6" t="str">
        <f t="shared" si="65"/>
        <v>(U4)0x40000296U,</v>
      </c>
      <c r="AJ366" s="6" t="str">
        <f t="shared" si="66"/>
        <v>(U4)0x400002a6U,</v>
      </c>
      <c r="AK366" s="6" t="str">
        <f t="shared" si="67"/>
        <v>(U2)32U,</v>
      </c>
      <c r="AL366" s="6" t="str">
        <f t="shared" si="68"/>
        <v>(U2)87U},</v>
      </c>
      <c r="AM366" s="6" t="str">
        <f t="shared" si="69"/>
        <v/>
      </c>
      <c r="AN366" s="6" t="str">
        <f t="shared" si="70"/>
        <v>/* 46 : PLG1G16 = 0x40000296 */</v>
      </c>
    </row>
    <row r="367" spans="1:40" s="6" customFormat="1" ht="15">
      <c r="A367" s="15" t="str">
        <f t="shared" si="59"/>
        <v>PLG1S20</v>
      </c>
      <c r="B367" s="15" t="str">
        <f t="shared" si="59"/>
        <v>2A6</v>
      </c>
      <c r="C367" s="15" t="str">
        <f t="shared" si="59"/>
        <v>1</v>
      </c>
      <c r="D367" s="15">
        <f t="shared" si="59"/>
        <v>32</v>
      </c>
      <c r="E367" s="15"/>
      <c r="F367" s="15" t="str">
        <f t="shared" si="61"/>
        <v>0</v>
      </c>
      <c r="G367" s="16" t="str">
        <f t="shared" si="60"/>
        <v>R</v>
      </c>
      <c r="H367" s="16" t="str">
        <f t="shared" si="60"/>
        <v/>
      </c>
      <c r="I367" s="16" t="str">
        <f t="shared" si="60"/>
        <v/>
      </c>
      <c r="J367" s="5"/>
      <c r="X367" s="103"/>
      <c r="Z367" s="18"/>
      <c r="AA367" s="18"/>
      <c r="AB367" s="18"/>
      <c r="AC367" s="18"/>
      <c r="AE367" s="96"/>
      <c r="AF367" s="38" t="str">
        <f t="shared" si="62"/>
        <v/>
      </c>
      <c r="AG367" s="96" t="str">
        <f t="shared" si="63"/>
        <v xml:space="preserve">/* </v>
      </c>
      <c r="AH367" s="6" t="str">
        <f t="shared" si="64"/>
        <v>{(U4)0x00000200U,</v>
      </c>
      <c r="AI367" s="6" t="str">
        <f t="shared" si="65"/>
        <v>(U4)0x40000296U,</v>
      </c>
      <c r="AJ367" s="6" t="str">
        <f t="shared" si="66"/>
        <v>(U4)0x400002a6U,</v>
      </c>
      <c r="AK367" s="6" t="str">
        <f t="shared" si="67"/>
        <v>(U2)32U,</v>
      </c>
      <c r="AL367" s="6" t="str">
        <f t="shared" si="68"/>
        <v>(U2)87U},</v>
      </c>
      <c r="AM367" s="6" t="str">
        <f t="shared" si="69"/>
        <v xml:space="preserve"> */</v>
      </c>
      <c r="AN367" s="6" t="str">
        <f t="shared" si="70"/>
        <v>/*   : PLG1S20 = 0x400002a6 */</v>
      </c>
    </row>
    <row r="368" spans="1:40" s="6" customFormat="1" ht="15">
      <c r="A368" s="15" t="str">
        <f t="shared" si="59"/>
        <v>BSR1S03</v>
      </c>
      <c r="B368" s="15" t="str">
        <f t="shared" si="59"/>
        <v>2AF</v>
      </c>
      <c r="C368" s="15" t="str">
        <f t="shared" si="59"/>
        <v>1</v>
      </c>
      <c r="D368" s="15">
        <f t="shared" si="59"/>
        <v>8</v>
      </c>
      <c r="E368" s="15"/>
      <c r="F368" s="15" t="str">
        <f t="shared" si="61"/>
        <v>0</v>
      </c>
      <c r="G368" s="16" t="str">
        <f t="shared" si="60"/>
        <v>R</v>
      </c>
      <c r="H368" s="16" t="str">
        <f t="shared" si="60"/>
        <v/>
      </c>
      <c r="I368" s="16" t="str">
        <f t="shared" si="60"/>
        <v/>
      </c>
      <c r="J368" s="5"/>
      <c r="X368" s="103"/>
      <c r="Z368" s="18"/>
      <c r="AA368" s="18"/>
      <c r="AB368" s="18"/>
      <c r="AC368" s="18"/>
      <c r="AE368" s="96"/>
      <c r="AF368" s="38">
        <f t="shared" si="62"/>
        <v>47</v>
      </c>
      <c r="AG368" s="96" t="str">
        <f t="shared" si="63"/>
        <v/>
      </c>
      <c r="AH368" s="6" t="str">
        <f t="shared" si="64"/>
        <v>{(U4)0x00000200U,</v>
      </c>
      <c r="AI368" s="6" t="str">
        <f t="shared" si="65"/>
        <v>(U4)0x400002afU,</v>
      </c>
      <c r="AJ368" s="6" t="str">
        <f t="shared" si="66"/>
        <v>(U4)0x400002f3U,</v>
      </c>
      <c r="AK368" s="6" t="str">
        <f t="shared" si="67"/>
        <v>(U2)8U,</v>
      </c>
      <c r="AL368" s="6" t="str">
        <f t="shared" si="68"/>
        <v>(U2)87U},</v>
      </c>
      <c r="AM368" s="6" t="str">
        <f t="shared" si="69"/>
        <v/>
      </c>
      <c r="AN368" s="6" t="str">
        <f t="shared" si="70"/>
        <v>/* 47 : BSR1S03 = 0x400002af */</v>
      </c>
    </row>
    <row r="369" spans="1:40" s="6" customFormat="1" ht="15">
      <c r="A369" s="15" t="str">
        <f t="shared" ref="A369:D386" si="71">A86</f>
        <v>BDC1SH8</v>
      </c>
      <c r="B369" s="15" t="str">
        <f t="shared" si="71"/>
        <v>2B3</v>
      </c>
      <c r="C369" s="15" t="str">
        <f t="shared" si="71"/>
        <v>1</v>
      </c>
      <c r="D369" s="15">
        <f t="shared" si="71"/>
        <v>8</v>
      </c>
      <c r="E369" s="15"/>
      <c r="F369" s="15" t="str">
        <f t="shared" si="61"/>
        <v>0</v>
      </c>
      <c r="G369" s="16" t="str">
        <f t="shared" ref="G369:I386" si="72">IF(G86&lt;&gt;"",G86,"")</f>
        <v>R</v>
      </c>
      <c r="H369" s="16" t="str">
        <f t="shared" si="72"/>
        <v/>
      </c>
      <c r="I369" s="16" t="str">
        <f t="shared" si="72"/>
        <v/>
      </c>
      <c r="J369" s="5"/>
      <c r="X369" s="103"/>
      <c r="Z369" s="18"/>
      <c r="AA369" s="18"/>
      <c r="AB369" s="18"/>
      <c r="AC369" s="18"/>
      <c r="AE369" s="96"/>
      <c r="AF369" s="38" t="str">
        <f t="shared" si="62"/>
        <v/>
      </c>
      <c r="AG369" s="96" t="str">
        <f t="shared" si="63"/>
        <v xml:space="preserve">/* </v>
      </c>
      <c r="AH369" s="6" t="str">
        <f t="shared" si="64"/>
        <v>{(U4)0x00000200U,</v>
      </c>
      <c r="AI369" s="6" t="str">
        <f t="shared" si="65"/>
        <v>(U4)0x400002afU,</v>
      </c>
      <c r="AJ369" s="6" t="str">
        <f t="shared" si="66"/>
        <v>(U4)0x400002f3U,</v>
      </c>
      <c r="AK369" s="6" t="str">
        <f t="shared" si="67"/>
        <v>(U2)8U,</v>
      </c>
      <c r="AL369" s="6" t="str">
        <f t="shared" si="68"/>
        <v>(U2)87U},</v>
      </c>
      <c r="AM369" s="6" t="str">
        <f t="shared" si="69"/>
        <v xml:space="preserve"> */</v>
      </c>
      <c r="AN369" s="6" t="str">
        <f t="shared" si="70"/>
        <v>/*   : BDC1SH8 = 0x400002b3 */</v>
      </c>
    </row>
    <row r="370" spans="1:40" s="6" customFormat="1" ht="15">
      <c r="A370" s="15" t="str">
        <f t="shared" si="71"/>
        <v>CMB1S04</v>
      </c>
      <c r="B370" s="15" t="str">
        <f t="shared" si="71"/>
        <v>2F3</v>
      </c>
      <c r="C370" s="15" t="str">
        <f t="shared" si="71"/>
        <v>1</v>
      </c>
      <c r="D370" s="15">
        <f t="shared" si="71"/>
        <v>8</v>
      </c>
      <c r="E370" s="15"/>
      <c r="F370" s="15" t="str">
        <f t="shared" si="61"/>
        <v>0</v>
      </c>
      <c r="G370" s="16" t="str">
        <f t="shared" si="72"/>
        <v>R</v>
      </c>
      <c r="H370" s="16" t="str">
        <f t="shared" si="72"/>
        <v/>
      </c>
      <c r="I370" s="16" t="str">
        <f t="shared" si="72"/>
        <v/>
      </c>
      <c r="J370" s="5"/>
      <c r="X370" s="103"/>
      <c r="Z370" s="18"/>
      <c r="AA370" s="18"/>
      <c r="AB370" s="18"/>
      <c r="AC370" s="18"/>
      <c r="AE370" s="96"/>
      <c r="AF370" s="38" t="str">
        <f t="shared" si="62"/>
        <v/>
      </c>
      <c r="AG370" s="96" t="str">
        <f t="shared" si="63"/>
        <v xml:space="preserve">/* </v>
      </c>
      <c r="AH370" s="6" t="str">
        <f t="shared" si="64"/>
        <v>{(U4)0x00000200U,</v>
      </c>
      <c r="AI370" s="6" t="str">
        <f t="shared" si="65"/>
        <v>(U4)0x400002afU,</v>
      </c>
      <c r="AJ370" s="6" t="str">
        <f t="shared" si="66"/>
        <v>(U4)0x400002f3U,</v>
      </c>
      <c r="AK370" s="6" t="str">
        <f t="shared" si="67"/>
        <v>(U2)8U,</v>
      </c>
      <c r="AL370" s="6" t="str">
        <f t="shared" si="68"/>
        <v>(U2)87U},</v>
      </c>
      <c r="AM370" s="6" t="str">
        <f t="shared" si="69"/>
        <v xml:space="preserve"> */</v>
      </c>
      <c r="AN370" s="6" t="str">
        <f t="shared" si="70"/>
        <v>/*   : CMB1S04 = 0x400002f3 */</v>
      </c>
    </row>
    <row r="371" spans="1:40" s="6" customFormat="1" ht="15">
      <c r="A371" s="15" t="str">
        <f t="shared" si="71"/>
        <v>DDM1S35</v>
      </c>
      <c r="B371" s="15" t="str">
        <f t="shared" si="71"/>
        <v>2E5</v>
      </c>
      <c r="C371" s="15" t="str">
        <f t="shared" si="71"/>
        <v>1</v>
      </c>
      <c r="D371" s="15">
        <f t="shared" si="71"/>
        <v>32</v>
      </c>
      <c r="E371" s="15"/>
      <c r="F371" s="15" t="str">
        <f t="shared" si="61"/>
        <v>0</v>
      </c>
      <c r="G371" s="16" t="str">
        <f t="shared" si="72"/>
        <v>R</v>
      </c>
      <c r="H371" s="16" t="str">
        <f t="shared" si="72"/>
        <v/>
      </c>
      <c r="I371" s="16" t="str">
        <f t="shared" si="72"/>
        <v/>
      </c>
      <c r="J371" s="5"/>
      <c r="X371" s="103"/>
      <c r="Z371" s="18"/>
      <c r="AA371" s="18"/>
      <c r="AB371" s="18"/>
      <c r="AC371" s="18"/>
      <c r="AE371" s="96"/>
      <c r="AF371" s="38">
        <f t="shared" si="62"/>
        <v>48</v>
      </c>
      <c r="AG371" s="96" t="str">
        <f t="shared" si="63"/>
        <v/>
      </c>
      <c r="AH371" s="6" t="str">
        <f t="shared" si="64"/>
        <v>{(U4)0x00000200U,</v>
      </c>
      <c r="AI371" s="6" t="str">
        <f t="shared" si="65"/>
        <v>(U4)0x400002e5U,</v>
      </c>
      <c r="AJ371" s="6" t="str">
        <f t="shared" si="66"/>
        <v>(U4)0x400002e5U,</v>
      </c>
      <c r="AK371" s="6" t="str">
        <f t="shared" si="67"/>
        <v>(U2)32U,</v>
      </c>
      <c r="AL371" s="6" t="str">
        <f t="shared" si="68"/>
        <v>(U2)87U},</v>
      </c>
      <c r="AM371" s="6" t="str">
        <f t="shared" si="69"/>
        <v/>
      </c>
      <c r="AN371" s="6" t="str">
        <f t="shared" si="70"/>
        <v>/* 48 : DDM1S35 = 0x400002e5 */</v>
      </c>
    </row>
    <row r="372" spans="1:40" s="6" customFormat="1" ht="15">
      <c r="A372" s="15" t="str">
        <f t="shared" si="71"/>
        <v>EHV1SL2</v>
      </c>
      <c r="B372" s="15" t="str">
        <f t="shared" si="71"/>
        <v>2EB</v>
      </c>
      <c r="C372" s="15" t="str">
        <f t="shared" si="71"/>
        <v>1</v>
      </c>
      <c r="D372" s="15">
        <f t="shared" si="71"/>
        <v>8</v>
      </c>
      <c r="E372" s="15"/>
      <c r="F372" s="15" t="str">
        <f t="shared" si="61"/>
        <v>0</v>
      </c>
      <c r="G372" s="16" t="str">
        <f t="shared" si="72"/>
        <v>R</v>
      </c>
      <c r="H372" s="16" t="str">
        <f t="shared" si="72"/>
        <v/>
      </c>
      <c r="I372" s="16" t="str">
        <f t="shared" si="72"/>
        <v/>
      </c>
      <c r="J372" s="5"/>
      <c r="X372" s="103"/>
      <c r="Z372" s="18"/>
      <c r="AA372" s="18"/>
      <c r="AB372" s="18"/>
      <c r="AC372" s="18"/>
      <c r="AE372" s="96"/>
      <c r="AF372" s="38">
        <f t="shared" si="62"/>
        <v>49</v>
      </c>
      <c r="AG372" s="96" t="str">
        <f t="shared" si="63"/>
        <v/>
      </c>
      <c r="AH372" s="6" t="str">
        <f t="shared" si="64"/>
        <v>{(U4)0x00000200U,</v>
      </c>
      <c r="AI372" s="6" t="str">
        <f t="shared" si="65"/>
        <v>(U4)0x400002ebU,</v>
      </c>
      <c r="AJ372" s="6" t="str">
        <f t="shared" si="66"/>
        <v>(U4)0x400002ebU,</v>
      </c>
      <c r="AK372" s="6" t="str">
        <f t="shared" si="67"/>
        <v>(U2)8U,</v>
      </c>
      <c r="AL372" s="6" t="str">
        <f t="shared" si="68"/>
        <v>(U2)87U},</v>
      </c>
      <c r="AM372" s="6" t="str">
        <f t="shared" si="69"/>
        <v/>
      </c>
      <c r="AN372" s="6" t="str">
        <f t="shared" si="70"/>
        <v>/* 49 : EHV1SL2 = 0x400002eb */</v>
      </c>
    </row>
    <row r="373" spans="1:40" s="6" customFormat="1" ht="15">
      <c r="A373" s="15" t="str">
        <f t="shared" si="71"/>
        <v>DDM1S16</v>
      </c>
      <c r="B373" s="15" t="str">
        <f t="shared" si="71"/>
        <v>2EE</v>
      </c>
      <c r="C373" s="15" t="str">
        <f t="shared" si="71"/>
        <v>1</v>
      </c>
      <c r="D373" s="15">
        <f t="shared" si="71"/>
        <v>32</v>
      </c>
      <c r="E373" s="15"/>
      <c r="F373" s="15" t="str">
        <f t="shared" si="61"/>
        <v>0</v>
      </c>
      <c r="G373" s="16" t="str">
        <f t="shared" si="72"/>
        <v>R</v>
      </c>
      <c r="H373" s="16" t="str">
        <f t="shared" si="72"/>
        <v/>
      </c>
      <c r="I373" s="16" t="str">
        <f t="shared" si="72"/>
        <v/>
      </c>
      <c r="J373" s="5"/>
      <c r="X373" s="103"/>
      <c r="Z373" s="18"/>
      <c r="AA373" s="18"/>
      <c r="AB373" s="18"/>
      <c r="AC373" s="18"/>
      <c r="AE373" s="96"/>
      <c r="AF373" s="38">
        <f t="shared" si="62"/>
        <v>50</v>
      </c>
      <c r="AG373" s="96" t="str">
        <f t="shared" si="63"/>
        <v/>
      </c>
      <c r="AH373" s="6" t="str">
        <f t="shared" si="64"/>
        <v>{(U4)0x00000200U,</v>
      </c>
      <c r="AI373" s="6" t="str">
        <f t="shared" si="65"/>
        <v>(U4)0x400002eeU,</v>
      </c>
      <c r="AJ373" s="6" t="str">
        <f t="shared" si="66"/>
        <v>(U4)0x400002eeU,</v>
      </c>
      <c r="AK373" s="6" t="str">
        <f t="shared" si="67"/>
        <v>(U2)32U,</v>
      </c>
      <c r="AL373" s="6" t="str">
        <f t="shared" si="68"/>
        <v>(U2)87U},</v>
      </c>
      <c r="AM373" s="6" t="str">
        <f t="shared" si="69"/>
        <v/>
      </c>
      <c r="AN373" s="6" t="str">
        <f t="shared" si="70"/>
        <v>/* 50 : DDM1S16 = 0x400002ee */</v>
      </c>
    </row>
    <row r="374" spans="1:40" s="6" customFormat="1" ht="15">
      <c r="A374" s="15" t="str">
        <f t="shared" si="71"/>
        <v>WIP1S01</v>
      </c>
      <c r="B374" s="15" t="str">
        <f t="shared" si="71"/>
        <v>2F9</v>
      </c>
      <c r="C374" s="15" t="str">
        <f t="shared" si="71"/>
        <v>1</v>
      </c>
      <c r="D374" s="15">
        <f t="shared" si="71"/>
        <v>8</v>
      </c>
      <c r="E374" s="15"/>
      <c r="F374" s="15" t="str">
        <f t="shared" si="61"/>
        <v>0</v>
      </c>
      <c r="G374" s="16" t="str">
        <f t="shared" si="72"/>
        <v>R</v>
      </c>
      <c r="H374" s="16" t="str">
        <f t="shared" si="72"/>
        <v/>
      </c>
      <c r="I374" s="16" t="str">
        <f t="shared" si="72"/>
        <v/>
      </c>
      <c r="J374" s="5"/>
      <c r="X374" s="103"/>
      <c r="Z374" s="18"/>
      <c r="AA374" s="18"/>
      <c r="AB374" s="18"/>
      <c r="AC374" s="18"/>
      <c r="AE374" s="96"/>
      <c r="AF374" s="38">
        <f t="shared" si="62"/>
        <v>51</v>
      </c>
      <c r="AG374" s="96" t="str">
        <f t="shared" si="63"/>
        <v/>
      </c>
      <c r="AH374" s="6" t="str">
        <f t="shared" si="64"/>
        <v>{(U4)0x00000200U,</v>
      </c>
      <c r="AI374" s="6" t="str">
        <f t="shared" si="65"/>
        <v>(U4)0x400002f9U,</v>
      </c>
      <c r="AJ374" s="6" t="str">
        <f t="shared" si="66"/>
        <v>(U4)0x400002f9U,</v>
      </c>
      <c r="AK374" s="6" t="str">
        <f t="shared" si="67"/>
        <v>(U2)8U,</v>
      </c>
      <c r="AL374" s="6" t="str">
        <f t="shared" si="68"/>
        <v>(U2)87U},</v>
      </c>
      <c r="AM374" s="6" t="str">
        <f t="shared" si="69"/>
        <v/>
      </c>
      <c r="AN374" s="6" t="str">
        <f t="shared" si="70"/>
        <v>/* 51 : WIP1S01 = 0x400002f9 */</v>
      </c>
    </row>
    <row r="375" spans="1:40" s="6" customFormat="1" ht="15">
      <c r="A375" s="15" t="str">
        <f t="shared" si="71"/>
        <v>SCS1S11</v>
      </c>
      <c r="B375" s="15" t="str">
        <f t="shared" si="71"/>
        <v>2FD</v>
      </c>
      <c r="C375" s="15" t="str">
        <f t="shared" si="71"/>
        <v>1</v>
      </c>
      <c r="D375" s="15">
        <f t="shared" si="71"/>
        <v>32</v>
      </c>
      <c r="E375" s="15"/>
      <c r="F375" s="15" t="str">
        <f t="shared" si="61"/>
        <v>0</v>
      </c>
      <c r="G375" s="16" t="str">
        <f t="shared" si="72"/>
        <v>R</v>
      </c>
      <c r="H375" s="16" t="str">
        <f t="shared" si="72"/>
        <v/>
      </c>
      <c r="I375" s="16" t="str">
        <f t="shared" si="72"/>
        <v/>
      </c>
      <c r="J375" s="5"/>
      <c r="X375" s="103"/>
      <c r="Z375" s="18"/>
      <c r="AA375" s="18"/>
      <c r="AB375" s="18"/>
      <c r="AC375" s="18"/>
      <c r="AE375" s="96"/>
      <c r="AF375" s="38">
        <f t="shared" si="62"/>
        <v>52</v>
      </c>
      <c r="AG375" s="96" t="str">
        <f t="shared" si="63"/>
        <v/>
      </c>
      <c r="AH375" s="6" t="str">
        <f t="shared" si="64"/>
        <v>{(U4)0x00000200U,</v>
      </c>
      <c r="AI375" s="6" t="str">
        <f t="shared" si="65"/>
        <v>(U4)0x400002fdU,</v>
      </c>
      <c r="AJ375" s="6" t="str">
        <f t="shared" si="66"/>
        <v>(U4)0x400002fdU,</v>
      </c>
      <c r="AK375" s="6" t="str">
        <f t="shared" si="67"/>
        <v>(U2)32U,</v>
      </c>
      <c r="AL375" s="6" t="str">
        <f t="shared" si="68"/>
        <v>(U2)87U},</v>
      </c>
      <c r="AM375" s="6" t="str">
        <f t="shared" si="69"/>
        <v/>
      </c>
      <c r="AN375" s="6" t="str">
        <f t="shared" si="70"/>
        <v>/* 52 : SCS1S11 = 0x400002fd */</v>
      </c>
    </row>
    <row r="376" spans="1:40" s="6" customFormat="1" ht="15">
      <c r="A376" s="15" t="str">
        <f t="shared" si="71"/>
        <v>BDB1S26</v>
      </c>
      <c r="B376" s="15" t="str">
        <f t="shared" si="71"/>
        <v>305</v>
      </c>
      <c r="C376" s="15" t="str">
        <f t="shared" si="71"/>
        <v>1</v>
      </c>
      <c r="D376" s="15">
        <f t="shared" si="71"/>
        <v>8</v>
      </c>
      <c r="E376" s="15"/>
      <c r="F376" s="15" t="str">
        <f t="shared" si="61"/>
        <v>0</v>
      </c>
      <c r="G376" s="16" t="str">
        <f t="shared" si="72"/>
        <v>R</v>
      </c>
      <c r="H376" s="16" t="str">
        <f t="shared" si="72"/>
        <v/>
      </c>
      <c r="I376" s="16" t="str">
        <f t="shared" si="72"/>
        <v/>
      </c>
      <c r="J376" s="5"/>
      <c r="X376" s="103"/>
      <c r="Z376" s="18"/>
      <c r="AA376" s="18"/>
      <c r="AB376" s="18"/>
      <c r="AC376" s="18"/>
      <c r="AE376" s="96"/>
      <c r="AF376" s="38">
        <f t="shared" si="62"/>
        <v>53</v>
      </c>
      <c r="AG376" s="96" t="str">
        <f t="shared" si="63"/>
        <v/>
      </c>
      <c r="AH376" s="6" t="str">
        <f t="shared" si="64"/>
        <v>{(U4)0x00000200U,</v>
      </c>
      <c r="AI376" s="6" t="str">
        <f t="shared" si="65"/>
        <v>(U4)0x40000305U,</v>
      </c>
      <c r="AJ376" s="6" t="str">
        <f t="shared" si="66"/>
        <v>(U4)0x40000325U,</v>
      </c>
      <c r="AK376" s="6" t="str">
        <f t="shared" si="67"/>
        <v>(U2)8U,</v>
      </c>
      <c r="AL376" s="6" t="str">
        <f t="shared" si="68"/>
        <v>(U2)87U},</v>
      </c>
      <c r="AM376" s="6" t="str">
        <f t="shared" si="69"/>
        <v/>
      </c>
      <c r="AN376" s="6" t="str">
        <f t="shared" si="70"/>
        <v>/* 53 : BDB1S26 = 0x40000305 */</v>
      </c>
    </row>
    <row r="377" spans="1:40" s="6" customFormat="1" ht="15">
      <c r="A377" s="15" t="str">
        <f t="shared" si="71"/>
        <v>EHV1S31</v>
      </c>
      <c r="B377" s="15" t="str">
        <f t="shared" si="71"/>
        <v>325</v>
      </c>
      <c r="C377" s="15" t="str">
        <f t="shared" si="71"/>
        <v>1</v>
      </c>
      <c r="D377" s="15">
        <f t="shared" si="71"/>
        <v>8</v>
      </c>
      <c r="E377" s="15"/>
      <c r="F377" s="15" t="str">
        <f t="shared" si="61"/>
        <v>0</v>
      </c>
      <c r="G377" s="16" t="str">
        <f t="shared" si="72"/>
        <v>R</v>
      </c>
      <c r="H377" s="16" t="str">
        <f t="shared" si="72"/>
        <v/>
      </c>
      <c r="I377" s="16" t="str">
        <f t="shared" si="72"/>
        <v/>
      </c>
      <c r="J377" s="5"/>
      <c r="X377" s="103"/>
      <c r="Z377" s="18"/>
      <c r="AA377" s="18"/>
      <c r="AB377" s="18"/>
      <c r="AC377" s="18"/>
      <c r="AE377" s="96"/>
      <c r="AF377" s="38" t="str">
        <f t="shared" si="62"/>
        <v/>
      </c>
      <c r="AG377" s="96" t="str">
        <f t="shared" si="63"/>
        <v xml:space="preserve">/* </v>
      </c>
      <c r="AH377" s="6" t="str">
        <f t="shared" si="64"/>
        <v>{(U4)0x00000200U,</v>
      </c>
      <c r="AI377" s="6" t="str">
        <f t="shared" si="65"/>
        <v>(U4)0x40000305U,</v>
      </c>
      <c r="AJ377" s="6" t="str">
        <f t="shared" si="66"/>
        <v>(U4)0x40000325U,</v>
      </c>
      <c r="AK377" s="6" t="str">
        <f t="shared" si="67"/>
        <v>(U2)8U,</v>
      </c>
      <c r="AL377" s="6" t="str">
        <f t="shared" si="68"/>
        <v>(U2)87U},</v>
      </c>
      <c r="AM377" s="6" t="str">
        <f t="shared" si="69"/>
        <v xml:space="preserve"> */</v>
      </c>
      <c r="AN377" s="6" t="str">
        <f t="shared" si="70"/>
        <v>/*   : EHV1S31 = 0x40000325 */</v>
      </c>
    </row>
    <row r="378" spans="1:40" s="6" customFormat="1" ht="15">
      <c r="A378" s="15" t="str">
        <f t="shared" si="71"/>
        <v>BDB1S25</v>
      </c>
      <c r="B378" s="15" t="str">
        <f t="shared" si="71"/>
        <v>306</v>
      </c>
      <c r="C378" s="15" t="str">
        <f t="shared" si="71"/>
        <v>1</v>
      </c>
      <c r="D378" s="15">
        <f t="shared" si="71"/>
        <v>8</v>
      </c>
      <c r="E378" s="15"/>
      <c r="F378" s="15" t="str">
        <f t="shared" si="61"/>
        <v>0</v>
      </c>
      <c r="G378" s="16" t="str">
        <f t="shared" si="72"/>
        <v>R</v>
      </c>
      <c r="H378" s="16" t="str">
        <f t="shared" si="72"/>
        <v/>
      </c>
      <c r="I378" s="16" t="str">
        <f t="shared" si="72"/>
        <v/>
      </c>
      <c r="J378" s="5"/>
      <c r="X378" s="103"/>
      <c r="Z378" s="18"/>
      <c r="AA378" s="18"/>
      <c r="AB378" s="18"/>
      <c r="AC378" s="18"/>
      <c r="AE378" s="96"/>
      <c r="AF378" s="38">
        <f t="shared" si="62"/>
        <v>54</v>
      </c>
      <c r="AG378" s="96" t="str">
        <f t="shared" si="63"/>
        <v/>
      </c>
      <c r="AH378" s="6" t="str">
        <f t="shared" si="64"/>
        <v>{(U4)0x00000200U,</v>
      </c>
      <c r="AI378" s="6" t="str">
        <f t="shared" si="65"/>
        <v>(U4)0x40000306U,</v>
      </c>
      <c r="AJ378" s="6" t="str">
        <f t="shared" si="66"/>
        <v>(U4)0x40000306U,</v>
      </c>
      <c r="AK378" s="6" t="str">
        <f t="shared" si="67"/>
        <v>(U2)8U,</v>
      </c>
      <c r="AL378" s="6" t="str">
        <f t="shared" si="68"/>
        <v>(U2)87U},</v>
      </c>
      <c r="AM378" s="6" t="str">
        <f t="shared" si="69"/>
        <v/>
      </c>
      <c r="AN378" s="6" t="str">
        <f t="shared" si="70"/>
        <v>/* 54 : BDB1S25 = 0x40000306 */</v>
      </c>
    </row>
    <row r="379" spans="1:40" s="6" customFormat="1" ht="15">
      <c r="A379" s="15" t="str">
        <f t="shared" si="71"/>
        <v>BDC1S13</v>
      </c>
      <c r="B379" s="15" t="str">
        <f t="shared" si="71"/>
        <v>312</v>
      </c>
      <c r="C379" s="15" t="str">
        <f t="shared" si="71"/>
        <v>1</v>
      </c>
      <c r="D379" s="15">
        <f t="shared" si="71"/>
        <v>32</v>
      </c>
      <c r="E379" s="15"/>
      <c r="F379" s="15" t="str">
        <f t="shared" si="61"/>
        <v>1</v>
      </c>
      <c r="G379" s="16" t="str">
        <f t="shared" si="72"/>
        <v>R</v>
      </c>
      <c r="H379" s="16" t="str">
        <f t="shared" si="72"/>
        <v/>
      </c>
      <c r="I379" s="16" t="str">
        <f t="shared" si="72"/>
        <v/>
      </c>
      <c r="J379" s="5"/>
      <c r="X379" s="103"/>
      <c r="Z379" s="18"/>
      <c r="AA379" s="18"/>
      <c r="AB379" s="18"/>
      <c r="AC379" s="18"/>
      <c r="AE379" s="96"/>
      <c r="AF379" s="38">
        <f t="shared" si="62"/>
        <v>55</v>
      </c>
      <c r="AG379" s="96" t="str">
        <f t="shared" si="63"/>
        <v/>
      </c>
      <c r="AH379" s="6" t="str">
        <f t="shared" si="64"/>
        <v>{(U4)0x00000002U,</v>
      </c>
      <c r="AI379" s="6" t="str">
        <f t="shared" si="65"/>
        <v>(U4)0x40000312U,</v>
      </c>
      <c r="AJ379" s="6" t="str">
        <f t="shared" si="66"/>
        <v>(U4)0x40000312U,</v>
      </c>
      <c r="AK379" s="6" t="str">
        <f t="shared" si="67"/>
        <v>(U2)32U,</v>
      </c>
      <c r="AL379" s="6" t="str">
        <f t="shared" si="68"/>
        <v>(U2)6U},</v>
      </c>
      <c r="AM379" s="6" t="str">
        <f t="shared" si="69"/>
        <v/>
      </c>
      <c r="AN379" s="6" t="str">
        <f t="shared" si="70"/>
        <v>/* 55 : BDC1S13 = 0x40000312 */</v>
      </c>
    </row>
    <row r="380" spans="1:40" s="6" customFormat="1" ht="15">
      <c r="A380" s="15" t="str">
        <f t="shared" si="71"/>
        <v>ITS1S05</v>
      </c>
      <c r="B380" s="15" t="str">
        <f t="shared" si="71"/>
        <v>314</v>
      </c>
      <c r="C380" s="15" t="str">
        <f t="shared" si="71"/>
        <v>1</v>
      </c>
      <c r="D380" s="15">
        <f t="shared" si="71"/>
        <v>8</v>
      </c>
      <c r="E380" s="15"/>
      <c r="F380" s="15" t="str">
        <f t="shared" si="61"/>
        <v>0</v>
      </c>
      <c r="G380" s="16" t="str">
        <f t="shared" si="72"/>
        <v>R</v>
      </c>
      <c r="H380" s="16" t="str">
        <f t="shared" si="72"/>
        <v/>
      </c>
      <c r="I380" s="16" t="str">
        <f t="shared" si="72"/>
        <v/>
      </c>
      <c r="J380" s="5"/>
      <c r="X380" s="103"/>
      <c r="Z380" s="18"/>
      <c r="AA380" s="18"/>
      <c r="AB380" s="18"/>
      <c r="AC380" s="18"/>
      <c r="AE380" s="96"/>
      <c r="AF380" s="38">
        <f t="shared" si="62"/>
        <v>56</v>
      </c>
      <c r="AG380" s="96" t="str">
        <f t="shared" si="63"/>
        <v/>
      </c>
      <c r="AH380" s="6" t="str">
        <f t="shared" si="64"/>
        <v>{(U4)0x00000200U,</v>
      </c>
      <c r="AI380" s="6" t="str">
        <f t="shared" si="65"/>
        <v>(U4)0x40000314U,</v>
      </c>
      <c r="AJ380" s="6" t="str">
        <f t="shared" si="66"/>
        <v>(U4)0x40000317U,</v>
      </c>
      <c r="AK380" s="6" t="str">
        <f t="shared" si="67"/>
        <v>(U2)8U,</v>
      </c>
      <c r="AL380" s="6" t="str">
        <f t="shared" si="68"/>
        <v>(U2)87U},</v>
      </c>
      <c r="AM380" s="6" t="str">
        <f t="shared" si="69"/>
        <v/>
      </c>
      <c r="AN380" s="6" t="str">
        <f t="shared" si="70"/>
        <v>/* 56 : ITS1S05 = 0x40000314 */</v>
      </c>
    </row>
    <row r="381" spans="1:40" s="6" customFormat="1" ht="15">
      <c r="A381" s="15" t="str">
        <f t="shared" si="71"/>
        <v>DS11S37</v>
      </c>
      <c r="B381" s="15" t="str">
        <f t="shared" si="71"/>
        <v>317</v>
      </c>
      <c r="C381" s="15" t="str">
        <f t="shared" si="71"/>
        <v>1</v>
      </c>
      <c r="D381" s="15">
        <f t="shared" si="71"/>
        <v>8</v>
      </c>
      <c r="E381" s="15"/>
      <c r="F381" s="15" t="str">
        <f t="shared" si="61"/>
        <v>0</v>
      </c>
      <c r="G381" s="16" t="str">
        <f t="shared" si="72"/>
        <v>R</v>
      </c>
      <c r="H381" s="16" t="str">
        <f t="shared" si="72"/>
        <v/>
      </c>
      <c r="I381" s="16" t="str">
        <f t="shared" si="72"/>
        <v/>
      </c>
      <c r="J381" s="5"/>
      <c r="X381" s="103"/>
      <c r="Z381" s="18"/>
      <c r="AA381" s="18"/>
      <c r="AB381" s="18"/>
      <c r="AC381" s="18"/>
      <c r="AE381" s="96"/>
      <c r="AF381" s="38" t="str">
        <f t="shared" si="62"/>
        <v/>
      </c>
      <c r="AG381" s="96" t="str">
        <f t="shared" si="63"/>
        <v xml:space="preserve">/* </v>
      </c>
      <c r="AH381" s="6" t="str">
        <f t="shared" si="64"/>
        <v>{(U4)0x00000200U,</v>
      </c>
      <c r="AI381" s="6" t="str">
        <f t="shared" si="65"/>
        <v>(U4)0x40000314U,</v>
      </c>
      <c r="AJ381" s="6" t="str">
        <f t="shared" si="66"/>
        <v>(U4)0x40000317U,</v>
      </c>
      <c r="AK381" s="6" t="str">
        <f t="shared" si="67"/>
        <v>(U2)8U,</v>
      </c>
      <c r="AL381" s="6" t="str">
        <f t="shared" si="68"/>
        <v>(U2)87U},</v>
      </c>
      <c r="AM381" s="6" t="str">
        <f t="shared" si="69"/>
        <v xml:space="preserve"> */</v>
      </c>
      <c r="AN381" s="6" t="str">
        <f t="shared" si="70"/>
        <v>/*   : DS11S37 = 0x40000317 */</v>
      </c>
    </row>
    <row r="382" spans="1:40" s="6" customFormat="1" ht="15">
      <c r="A382" s="15" t="str">
        <f t="shared" si="71"/>
        <v>BDC1SI5</v>
      </c>
      <c r="B382" s="15" t="str">
        <f t="shared" si="71"/>
        <v>31F</v>
      </c>
      <c r="C382" s="15" t="str">
        <f t="shared" si="71"/>
        <v>1</v>
      </c>
      <c r="D382" s="15">
        <f t="shared" si="71"/>
        <v>64</v>
      </c>
      <c r="E382" s="15"/>
      <c r="F382" s="15" t="str">
        <f t="shared" si="61"/>
        <v>0</v>
      </c>
      <c r="G382" s="16" t="str">
        <f t="shared" si="72"/>
        <v>R</v>
      </c>
      <c r="H382" s="16" t="str">
        <f t="shared" si="72"/>
        <v/>
      </c>
      <c r="I382" s="16" t="str">
        <f t="shared" si="72"/>
        <v/>
      </c>
      <c r="J382" s="5"/>
      <c r="X382" s="103"/>
      <c r="Z382" s="18"/>
      <c r="AA382" s="18"/>
      <c r="AB382" s="18"/>
      <c r="AC382" s="18"/>
      <c r="AE382" s="96"/>
      <c r="AF382" s="38">
        <f t="shared" si="62"/>
        <v>57</v>
      </c>
      <c r="AG382" s="96" t="str">
        <f t="shared" si="63"/>
        <v/>
      </c>
      <c r="AH382" s="6" t="str">
        <f t="shared" si="64"/>
        <v>{(U4)0x00000200U,</v>
      </c>
      <c r="AI382" s="6" t="str">
        <f t="shared" si="65"/>
        <v>(U4)0x4000031fU,</v>
      </c>
      <c r="AJ382" s="6" t="str">
        <f t="shared" si="66"/>
        <v>(U4)0x4000031fU,</v>
      </c>
      <c r="AK382" s="6" t="str">
        <f t="shared" si="67"/>
        <v>(U2)64U,</v>
      </c>
      <c r="AL382" s="6" t="str">
        <f t="shared" si="68"/>
        <v>(U2)87U},</v>
      </c>
      <c r="AM382" s="6" t="str">
        <f t="shared" si="69"/>
        <v/>
      </c>
      <c r="AN382" s="6" t="str">
        <f t="shared" si="70"/>
        <v>/* 57 : BDC1SI5 = 0x4000031f */</v>
      </c>
    </row>
    <row r="383" spans="1:40" s="6" customFormat="1" ht="15">
      <c r="A383" s="15" t="str">
        <f t="shared" si="71"/>
        <v>BDC1S48</v>
      </c>
      <c r="B383" s="15" t="str">
        <f t="shared" si="71"/>
        <v>337</v>
      </c>
      <c r="C383" s="15" t="str">
        <f t="shared" si="71"/>
        <v>1</v>
      </c>
      <c r="D383" s="15">
        <f t="shared" si="71"/>
        <v>32</v>
      </c>
      <c r="E383" s="15"/>
      <c r="F383" s="15" t="str">
        <f t="shared" si="61"/>
        <v>0</v>
      </c>
      <c r="G383" s="16" t="str">
        <f t="shared" si="72"/>
        <v>R</v>
      </c>
      <c r="H383" s="16" t="str">
        <f t="shared" si="72"/>
        <v/>
      </c>
      <c r="I383" s="16" t="str">
        <f t="shared" si="72"/>
        <v/>
      </c>
      <c r="J383" s="5"/>
      <c r="X383" s="103"/>
      <c r="Z383" s="18"/>
      <c r="AA383" s="18"/>
      <c r="AB383" s="18"/>
      <c r="AC383" s="18"/>
      <c r="AE383" s="96"/>
      <c r="AF383" s="38">
        <f t="shared" si="62"/>
        <v>58</v>
      </c>
      <c r="AG383" s="96" t="str">
        <f t="shared" si="63"/>
        <v/>
      </c>
      <c r="AH383" s="6" t="str">
        <f t="shared" si="64"/>
        <v>{(U4)0x00000200U,</v>
      </c>
      <c r="AI383" s="6" t="str">
        <f t="shared" si="65"/>
        <v>(U4)0x40000337U,</v>
      </c>
      <c r="AJ383" s="6" t="str">
        <f t="shared" si="66"/>
        <v>(U4)0x4000033fU,</v>
      </c>
      <c r="AK383" s="6" t="str">
        <f t="shared" si="67"/>
        <v>(U2)32U,</v>
      </c>
      <c r="AL383" s="6" t="str">
        <f t="shared" si="68"/>
        <v>(U2)87U},</v>
      </c>
      <c r="AM383" s="6" t="str">
        <f t="shared" si="69"/>
        <v/>
      </c>
      <c r="AN383" s="6" t="str">
        <f t="shared" si="70"/>
        <v>/* 58 : BDC1S48 = 0x40000337 */</v>
      </c>
    </row>
    <row r="384" spans="1:40" s="6" customFormat="1" ht="15">
      <c r="A384" s="15" t="str">
        <f t="shared" si="71"/>
        <v>ZN11S63</v>
      </c>
      <c r="B384" s="15" t="str">
        <f t="shared" si="71"/>
        <v>33F</v>
      </c>
      <c r="C384" s="15" t="str">
        <f t="shared" si="71"/>
        <v>1</v>
      </c>
      <c r="D384" s="15">
        <f t="shared" si="71"/>
        <v>32</v>
      </c>
      <c r="E384" s="15"/>
      <c r="F384" s="15" t="str">
        <f t="shared" si="61"/>
        <v>0</v>
      </c>
      <c r="G384" s="16" t="str">
        <f t="shared" si="72"/>
        <v>R</v>
      </c>
      <c r="H384" s="16" t="str">
        <f t="shared" si="72"/>
        <v/>
      </c>
      <c r="I384" s="16" t="str">
        <f t="shared" si="72"/>
        <v/>
      </c>
      <c r="J384" s="5"/>
      <c r="X384" s="103"/>
      <c r="Z384" s="18"/>
      <c r="AA384" s="18"/>
      <c r="AB384" s="18"/>
      <c r="AC384" s="18"/>
      <c r="AE384" s="96"/>
      <c r="AF384" s="38" t="str">
        <f t="shared" si="62"/>
        <v/>
      </c>
      <c r="AG384" s="96" t="str">
        <f t="shared" si="63"/>
        <v xml:space="preserve">/* </v>
      </c>
      <c r="AH384" s="6" t="str">
        <f t="shared" si="64"/>
        <v>{(U4)0x00000200U,</v>
      </c>
      <c r="AI384" s="6" t="str">
        <f t="shared" si="65"/>
        <v>(U4)0x40000337U,</v>
      </c>
      <c r="AJ384" s="6" t="str">
        <f t="shared" si="66"/>
        <v>(U4)0x4000033fU,</v>
      </c>
      <c r="AK384" s="6" t="str">
        <f t="shared" si="67"/>
        <v>(U2)32U,</v>
      </c>
      <c r="AL384" s="6" t="str">
        <f t="shared" si="68"/>
        <v>(U2)87U},</v>
      </c>
      <c r="AM384" s="6" t="str">
        <f t="shared" si="69"/>
        <v xml:space="preserve"> */</v>
      </c>
      <c r="AN384" s="6" t="str">
        <f t="shared" si="70"/>
        <v>/*   : ZN11S63 = 0x4000033f */</v>
      </c>
    </row>
    <row r="385" spans="1:40" s="6" customFormat="1" ht="15">
      <c r="A385" s="15" t="str">
        <f t="shared" si="71"/>
        <v>VAS1S01</v>
      </c>
      <c r="B385" s="15" t="str">
        <f t="shared" si="71"/>
        <v>318</v>
      </c>
      <c r="C385" s="15" t="str">
        <f t="shared" si="71"/>
        <v>1</v>
      </c>
      <c r="D385" s="15">
        <f t="shared" si="71"/>
        <v>8</v>
      </c>
      <c r="E385" s="15"/>
      <c r="F385" s="15" t="str">
        <f t="shared" ref="F385:F386" si="73">F102</f>
        <v>0</v>
      </c>
      <c r="G385" s="16" t="str">
        <f t="shared" si="72"/>
        <v>R</v>
      </c>
      <c r="H385" s="16" t="str">
        <f t="shared" si="72"/>
        <v/>
      </c>
      <c r="I385" s="16" t="str">
        <f t="shared" si="72"/>
        <v/>
      </c>
      <c r="J385" s="5"/>
      <c r="X385" s="103"/>
      <c r="Z385" s="18"/>
      <c r="AA385" s="18"/>
      <c r="AB385" s="18"/>
      <c r="AC385" s="18"/>
      <c r="AE385" s="96"/>
      <c r="AF385" s="38">
        <f t="shared" si="62"/>
        <v>59</v>
      </c>
      <c r="AG385" s="96" t="str">
        <f t="shared" si="63"/>
        <v/>
      </c>
      <c r="AH385" s="6" t="str">
        <f t="shared" si="64"/>
        <v>{(U4)0x00000200U,</v>
      </c>
      <c r="AI385" s="6" t="str">
        <f t="shared" si="65"/>
        <v>(U4)0x40000318U,</v>
      </c>
      <c r="AJ385" s="6" t="str">
        <f t="shared" si="66"/>
        <v>(U4)0x40000318U,</v>
      </c>
      <c r="AK385" s="6" t="str">
        <f t="shared" si="67"/>
        <v>(U2)8U,</v>
      </c>
      <c r="AL385" s="6" t="str">
        <f t="shared" si="68"/>
        <v>(U2)87U},</v>
      </c>
      <c r="AM385" s="6" t="str">
        <f t="shared" si="69"/>
        <v/>
      </c>
      <c r="AN385" s="6" t="str">
        <f t="shared" si="70"/>
        <v>/* 59 : VAS1S01 = 0x40000318 */</v>
      </c>
    </row>
    <row r="386" spans="1:40" s="6" customFormat="1" ht="15">
      <c r="A386" s="15" t="str">
        <f t="shared" si="71"/>
        <v>ZN11S25</v>
      </c>
      <c r="B386" s="15" t="str">
        <f t="shared" si="71"/>
        <v>398</v>
      </c>
      <c r="C386" s="15" t="str">
        <f t="shared" si="71"/>
        <v>1</v>
      </c>
      <c r="D386" s="15">
        <f t="shared" si="71"/>
        <v>32</v>
      </c>
      <c r="E386" s="15"/>
      <c r="F386" s="15" t="str">
        <f t="shared" si="73"/>
        <v>0</v>
      </c>
      <c r="G386" s="16" t="str">
        <f t="shared" si="72"/>
        <v>R</v>
      </c>
      <c r="H386" s="16" t="str">
        <f t="shared" si="72"/>
        <v/>
      </c>
      <c r="I386" s="16" t="str">
        <f t="shared" si="72"/>
        <v/>
      </c>
      <c r="J386" s="5"/>
      <c r="X386" s="103"/>
      <c r="Z386" s="18"/>
      <c r="AA386" s="18"/>
      <c r="AB386" s="18"/>
      <c r="AC386" s="18"/>
      <c r="AE386" s="96"/>
      <c r="AF386" s="38">
        <f t="shared" si="62"/>
        <v>60</v>
      </c>
      <c r="AG386" s="96" t="str">
        <f t="shared" si="63"/>
        <v/>
      </c>
      <c r="AH386" s="6" t="str">
        <f t="shared" si="64"/>
        <v>{(U4)0x00000200U,</v>
      </c>
      <c r="AI386" s="6" t="str">
        <f t="shared" si="65"/>
        <v>(U4)0x40000398U,</v>
      </c>
      <c r="AJ386" s="6" t="str">
        <f t="shared" si="66"/>
        <v>(U4)0x40000398U,</v>
      </c>
      <c r="AK386" s="6" t="str">
        <f t="shared" si="67"/>
        <v>(U2)32U,</v>
      </c>
      <c r="AL386" s="6" t="str">
        <f t="shared" si="68"/>
        <v>(U2)87U},</v>
      </c>
      <c r="AM386" s="6" t="str">
        <f t="shared" si="69"/>
        <v/>
      </c>
      <c r="AN386" s="6" t="str">
        <f t="shared" si="70"/>
        <v>/* 60 : ZN11S25 = 0x40000398 */</v>
      </c>
    </row>
    <row r="387" spans="1:40" s="6" customFormat="1" ht="15">
      <c r="A387" s="15" t="str">
        <f>A105</f>
        <v>BDC1S14</v>
      </c>
      <c r="B387" s="15" t="str">
        <f>B105</f>
        <v>320</v>
      </c>
      <c r="C387" s="15" t="str">
        <f>C105</f>
        <v>1</v>
      </c>
      <c r="D387" s="15">
        <f>D105</f>
        <v>32</v>
      </c>
      <c r="E387" s="15"/>
      <c r="F387" s="15" t="str">
        <f>F105</f>
        <v>0</v>
      </c>
      <c r="G387" s="16" t="str">
        <f>IF(G105&lt;&gt;"",G105,"")</f>
        <v>R</v>
      </c>
      <c r="H387" s="16" t="str">
        <f>IF(H105&lt;&gt;"",H105,"")</f>
        <v/>
      </c>
      <c r="I387" s="16" t="str">
        <f>IF(I105&lt;&gt;"",I105,"")</f>
        <v/>
      </c>
      <c r="J387" s="5"/>
      <c r="X387" s="103"/>
      <c r="Z387" s="18"/>
      <c r="AA387" s="18"/>
      <c r="AB387" s="18"/>
      <c r="AC387" s="18"/>
      <c r="AE387" s="96"/>
      <c r="AF387" s="38">
        <f t="shared" si="62"/>
        <v>61</v>
      </c>
      <c r="AG387" s="96" t="str">
        <f t="shared" si="63"/>
        <v/>
      </c>
      <c r="AH387" s="6" t="str">
        <f t="shared" si="64"/>
        <v>{(U4)0x00000200U,</v>
      </c>
      <c r="AI387" s="6" t="str">
        <f t="shared" si="65"/>
        <v>(U4)0x4000031eU,</v>
      </c>
      <c r="AJ387" s="6" t="str">
        <f t="shared" si="66"/>
        <v>(U4)0x4000031eU,</v>
      </c>
      <c r="AK387" s="6" t="str">
        <f t="shared" si="67"/>
        <v>(U2)64U,</v>
      </c>
      <c r="AL387" s="6" t="str">
        <f t="shared" si="68"/>
        <v>(U2)87U},</v>
      </c>
      <c r="AM387" s="6" t="str">
        <f t="shared" si="69"/>
        <v/>
      </c>
      <c r="AN387" s="6" t="str">
        <f t="shared" si="70"/>
        <v>/* 61 : BDC1SI4 = 0x4000031e */</v>
      </c>
    </row>
    <row r="388" spans="1:40" s="6" customFormat="1" ht="15">
      <c r="A388" s="15" t="str">
        <f>A104</f>
        <v>BDC1SI4</v>
      </c>
      <c r="B388" s="15" t="str">
        <f>B104</f>
        <v>31E</v>
      </c>
      <c r="C388" s="15" t="str">
        <f>C104</f>
        <v>1</v>
      </c>
      <c r="D388" s="15">
        <f>D104</f>
        <v>64</v>
      </c>
      <c r="E388" s="15"/>
      <c r="F388" s="15" t="str">
        <f>F104</f>
        <v>0</v>
      </c>
      <c r="G388" s="16" t="str">
        <f>IF(G104&lt;&gt;"",G104,"")</f>
        <v>R</v>
      </c>
      <c r="H388" s="16" t="str">
        <f>IF(H104&lt;&gt;"",H104,"")</f>
        <v/>
      </c>
      <c r="I388" s="16" t="str">
        <f>IF(I104&lt;&gt;"",I104,"")</f>
        <v/>
      </c>
      <c r="J388" s="5"/>
      <c r="X388" s="103"/>
      <c r="Z388" s="18"/>
      <c r="AA388" s="18"/>
      <c r="AB388" s="18"/>
      <c r="AC388" s="18"/>
      <c r="AE388" s="96"/>
      <c r="AF388" s="38">
        <f t="shared" si="62"/>
        <v>62</v>
      </c>
      <c r="AG388" s="96" t="str">
        <f t="shared" si="63"/>
        <v/>
      </c>
      <c r="AH388" s="6" t="str">
        <f t="shared" si="64"/>
        <v>{(U4)0x00000200U,</v>
      </c>
      <c r="AI388" s="6" t="str">
        <f t="shared" si="65"/>
        <v>(U4)0x40000320U,</v>
      </c>
      <c r="AJ388" s="6" t="str">
        <f t="shared" si="66"/>
        <v>(U4)0x40000320U,</v>
      </c>
      <c r="AK388" s="6" t="str">
        <f t="shared" si="67"/>
        <v>(U2)32U,</v>
      </c>
      <c r="AL388" s="6" t="str">
        <f t="shared" si="68"/>
        <v>(U2)87U},</v>
      </c>
      <c r="AM388" s="6" t="str">
        <f t="shared" si="69"/>
        <v/>
      </c>
      <c r="AN388" s="6" t="str">
        <f t="shared" si="70"/>
        <v>/* 62 : BDC1S14 = 0x40000320 */</v>
      </c>
    </row>
    <row r="389" spans="1:40" s="6" customFormat="1" ht="15">
      <c r="A389" s="15" t="str">
        <f t="shared" ref="A389:D408" si="74">A106</f>
        <v>BDC1SI6</v>
      </c>
      <c r="B389" s="15" t="str">
        <f t="shared" si="74"/>
        <v>321</v>
      </c>
      <c r="C389" s="15" t="str">
        <f t="shared" si="74"/>
        <v>1</v>
      </c>
      <c r="D389" s="15">
        <f t="shared" si="74"/>
        <v>64</v>
      </c>
      <c r="E389" s="15"/>
      <c r="F389" s="15" t="str">
        <f t="shared" ref="F389:F420" si="75">F106</f>
        <v>0</v>
      </c>
      <c r="G389" s="16" t="str">
        <f t="shared" ref="G389:I408" si="76">IF(G106&lt;&gt;"",G106,"")</f>
        <v>R</v>
      </c>
      <c r="H389" s="16" t="str">
        <f t="shared" si="76"/>
        <v/>
      </c>
      <c r="I389" s="16" t="str">
        <f t="shared" si="76"/>
        <v/>
      </c>
      <c r="J389" s="5"/>
      <c r="X389" s="103"/>
      <c r="Z389" s="18"/>
      <c r="AA389" s="18"/>
      <c r="AB389" s="18"/>
      <c r="AC389" s="18"/>
      <c r="AE389" s="96"/>
      <c r="AF389" s="38">
        <f t="shared" si="62"/>
        <v>63</v>
      </c>
      <c r="AG389" s="96" t="str">
        <f t="shared" si="63"/>
        <v/>
      </c>
      <c r="AH389" s="6" t="str">
        <f t="shared" si="64"/>
        <v>{(U4)0x00000200U,</v>
      </c>
      <c r="AI389" s="6" t="str">
        <f t="shared" si="65"/>
        <v>(U4)0x40000321U,</v>
      </c>
      <c r="AJ389" s="6" t="str">
        <f t="shared" si="66"/>
        <v>(U4)0x40000321U,</v>
      </c>
      <c r="AK389" s="6" t="str">
        <f t="shared" si="67"/>
        <v>(U2)64U,</v>
      </c>
      <c r="AL389" s="6" t="str">
        <f t="shared" si="68"/>
        <v>(U2)87U},</v>
      </c>
      <c r="AM389" s="6" t="str">
        <f t="shared" si="69"/>
        <v/>
      </c>
      <c r="AN389" s="6" t="str">
        <f t="shared" si="70"/>
        <v>/* 63 : BDC1SI6 = 0x40000321 */</v>
      </c>
    </row>
    <row r="390" spans="1:40" s="6" customFormat="1" ht="15">
      <c r="A390" s="15" t="str">
        <f t="shared" si="74"/>
        <v>RST1S03</v>
      </c>
      <c r="B390" s="15" t="str">
        <f t="shared" si="74"/>
        <v>328</v>
      </c>
      <c r="C390" s="15" t="str">
        <f t="shared" si="74"/>
        <v>1</v>
      </c>
      <c r="D390" s="15">
        <f t="shared" si="74"/>
        <v>8</v>
      </c>
      <c r="E390" s="15"/>
      <c r="F390" s="15" t="str">
        <f t="shared" si="75"/>
        <v>0</v>
      </c>
      <c r="G390" s="16" t="str">
        <f t="shared" si="76"/>
        <v>R</v>
      </c>
      <c r="H390" s="16" t="str">
        <f t="shared" si="76"/>
        <v/>
      </c>
      <c r="I390" s="16" t="str">
        <f t="shared" si="76"/>
        <v/>
      </c>
      <c r="J390" s="5"/>
      <c r="X390" s="103"/>
      <c r="Z390" s="18"/>
      <c r="AA390" s="18"/>
      <c r="AB390" s="18"/>
      <c r="AC390" s="18"/>
      <c r="AE390" s="96"/>
      <c r="AF390" s="38">
        <f t="shared" si="62"/>
        <v>64</v>
      </c>
      <c r="AG390" s="96" t="str">
        <f t="shared" si="63"/>
        <v/>
      </c>
      <c r="AH390" s="6" t="str">
        <f t="shared" si="64"/>
        <v>{(U4)0x00000200U,</v>
      </c>
      <c r="AI390" s="6" t="str">
        <f t="shared" si="65"/>
        <v>(U4)0x40000328U,</v>
      </c>
      <c r="AJ390" s="6" t="str">
        <f t="shared" si="66"/>
        <v>(U4)0x40000328U,</v>
      </c>
      <c r="AK390" s="6" t="str">
        <f t="shared" si="67"/>
        <v>(U2)8U,</v>
      </c>
      <c r="AL390" s="6" t="str">
        <f t="shared" si="68"/>
        <v>(U2)87U},</v>
      </c>
      <c r="AM390" s="6" t="str">
        <f t="shared" si="69"/>
        <v/>
      </c>
      <c r="AN390" s="6" t="str">
        <f t="shared" si="70"/>
        <v>/* 64 : RST1S03 = 0x40000328 */</v>
      </c>
    </row>
    <row r="391" spans="1:40" s="6" customFormat="1" ht="15">
      <c r="A391" s="15" t="str">
        <f t="shared" si="74"/>
        <v>BDC1S16</v>
      </c>
      <c r="B391" s="15" t="str">
        <f t="shared" si="74"/>
        <v>32A</v>
      </c>
      <c r="C391" s="15" t="str">
        <f t="shared" si="74"/>
        <v>1</v>
      </c>
      <c r="D391" s="15">
        <f t="shared" si="74"/>
        <v>32</v>
      </c>
      <c r="E391" s="15"/>
      <c r="F391" s="15" t="str">
        <f t="shared" si="75"/>
        <v>0</v>
      </c>
      <c r="G391" s="16" t="str">
        <f t="shared" si="76"/>
        <v>R</v>
      </c>
      <c r="H391" s="16" t="str">
        <f t="shared" si="76"/>
        <v/>
      </c>
      <c r="I391" s="16" t="str">
        <f t="shared" si="76"/>
        <v/>
      </c>
      <c r="J391" s="5"/>
      <c r="X391" s="103"/>
      <c r="Z391" s="18"/>
      <c r="AA391" s="18"/>
      <c r="AB391" s="18"/>
      <c r="AC391" s="18"/>
      <c r="AE391" s="96"/>
      <c r="AF391" s="38">
        <f t="shared" si="62"/>
        <v>65</v>
      </c>
      <c r="AG391" s="96" t="str">
        <f t="shared" si="63"/>
        <v/>
      </c>
      <c r="AH391" s="6" t="str">
        <f t="shared" si="64"/>
        <v>{(U4)0x00000200U,</v>
      </c>
      <c r="AI391" s="6" t="str">
        <f t="shared" si="65"/>
        <v>(U4)0x4000032aU,</v>
      </c>
      <c r="AJ391" s="6" t="str">
        <f t="shared" si="66"/>
        <v>(U4)0x4000036aU,</v>
      </c>
      <c r="AK391" s="6" t="str">
        <f t="shared" si="67"/>
        <v>(U2)32U,</v>
      </c>
      <c r="AL391" s="6" t="str">
        <f t="shared" si="68"/>
        <v>(U2)87U},</v>
      </c>
      <c r="AM391" s="6" t="str">
        <f t="shared" si="69"/>
        <v/>
      </c>
      <c r="AN391" s="6" t="str">
        <f t="shared" si="70"/>
        <v>/* 65 : BDC1S16 = 0x4000032a */</v>
      </c>
    </row>
    <row r="392" spans="1:40" s="6" customFormat="1" ht="15">
      <c r="A392" s="15" t="str">
        <f t="shared" si="74"/>
        <v>ZN11S19</v>
      </c>
      <c r="B392" s="15" t="str">
        <f t="shared" si="74"/>
        <v>368</v>
      </c>
      <c r="C392" s="15" t="str">
        <f t="shared" si="74"/>
        <v>1</v>
      </c>
      <c r="D392" s="15">
        <f t="shared" si="74"/>
        <v>32</v>
      </c>
      <c r="E392" s="15"/>
      <c r="F392" s="15" t="str">
        <f t="shared" si="75"/>
        <v>0</v>
      </c>
      <c r="G392" s="16" t="str">
        <f t="shared" si="76"/>
        <v>R</v>
      </c>
      <c r="H392" s="16" t="str">
        <f t="shared" si="76"/>
        <v/>
      </c>
      <c r="I392" s="16" t="str">
        <f t="shared" si="76"/>
        <v/>
      </c>
      <c r="J392" s="5"/>
      <c r="X392" s="103"/>
      <c r="Z392" s="18"/>
      <c r="AA392" s="18"/>
      <c r="AB392" s="18"/>
      <c r="AC392" s="18"/>
      <c r="AE392" s="96"/>
      <c r="AF392" s="38" t="str">
        <f t="shared" si="62"/>
        <v/>
      </c>
      <c r="AG392" s="96" t="str">
        <f t="shared" si="63"/>
        <v xml:space="preserve">/* </v>
      </c>
      <c r="AH392" s="6" t="str">
        <f t="shared" si="64"/>
        <v>{(U4)0x00000200U,</v>
      </c>
      <c r="AI392" s="6" t="str">
        <f t="shared" si="65"/>
        <v>(U4)0x4000032aU,</v>
      </c>
      <c r="AJ392" s="6" t="str">
        <f t="shared" si="66"/>
        <v>(U4)0x4000036aU,</v>
      </c>
      <c r="AK392" s="6" t="str">
        <f t="shared" si="67"/>
        <v>(U2)32U,</v>
      </c>
      <c r="AL392" s="6" t="str">
        <f t="shared" si="68"/>
        <v>(U2)87U},</v>
      </c>
      <c r="AM392" s="6" t="str">
        <f t="shared" si="69"/>
        <v xml:space="preserve"> */</v>
      </c>
      <c r="AN392" s="6" t="str">
        <f t="shared" si="70"/>
        <v>/*   : ZN11S19 = 0x40000368 */</v>
      </c>
    </row>
    <row r="393" spans="1:40" s="6" customFormat="1" ht="15">
      <c r="A393" s="15" t="str">
        <f t="shared" si="74"/>
        <v>ZN11S26</v>
      </c>
      <c r="B393" s="15" t="str">
        <f t="shared" si="74"/>
        <v>36A</v>
      </c>
      <c r="C393" s="15" t="str">
        <f t="shared" si="74"/>
        <v>1</v>
      </c>
      <c r="D393" s="15">
        <f t="shared" si="74"/>
        <v>32</v>
      </c>
      <c r="E393" s="15"/>
      <c r="F393" s="15" t="str">
        <f t="shared" si="75"/>
        <v>0</v>
      </c>
      <c r="G393" s="16" t="str">
        <f t="shared" si="76"/>
        <v>R</v>
      </c>
      <c r="H393" s="16" t="str">
        <f t="shared" si="76"/>
        <v/>
      </c>
      <c r="I393" s="16" t="str">
        <f t="shared" si="76"/>
        <v/>
      </c>
      <c r="J393" s="5"/>
      <c r="X393" s="103"/>
      <c r="Z393" s="18"/>
      <c r="AA393" s="18"/>
      <c r="AB393" s="18"/>
      <c r="AC393" s="18"/>
      <c r="AE393" s="96"/>
      <c r="AF393" s="38" t="str">
        <f t="shared" si="62"/>
        <v/>
      </c>
      <c r="AG393" s="96" t="str">
        <f t="shared" si="63"/>
        <v xml:space="preserve">/* </v>
      </c>
      <c r="AH393" s="6" t="str">
        <f t="shared" si="64"/>
        <v>{(U4)0x00000200U,</v>
      </c>
      <c r="AI393" s="6" t="str">
        <f t="shared" si="65"/>
        <v>(U4)0x4000032aU,</v>
      </c>
      <c r="AJ393" s="6" t="str">
        <f t="shared" si="66"/>
        <v>(U4)0x4000036aU,</v>
      </c>
      <c r="AK393" s="6" t="str">
        <f t="shared" si="67"/>
        <v>(U2)32U,</v>
      </c>
      <c r="AL393" s="6" t="str">
        <f t="shared" si="68"/>
        <v>(U2)87U},</v>
      </c>
      <c r="AM393" s="6" t="str">
        <f t="shared" si="69"/>
        <v xml:space="preserve"> */</v>
      </c>
      <c r="AN393" s="6" t="str">
        <f t="shared" si="70"/>
        <v>/*   : ZN11S26 = 0x4000036a */</v>
      </c>
    </row>
    <row r="394" spans="1:40" s="6" customFormat="1" ht="15">
      <c r="A394" s="15" t="str">
        <f t="shared" si="74"/>
        <v>RSE1G24</v>
      </c>
      <c r="B394" s="15" t="str">
        <f t="shared" si="74"/>
        <v>32F</v>
      </c>
      <c r="C394" s="15" t="str">
        <f t="shared" si="74"/>
        <v>1</v>
      </c>
      <c r="D394" s="15">
        <f t="shared" si="74"/>
        <v>8</v>
      </c>
      <c r="E394" s="15"/>
      <c r="F394" s="15" t="str">
        <f t="shared" si="75"/>
        <v>0</v>
      </c>
      <c r="G394" s="16" t="str">
        <f t="shared" si="76"/>
        <v>R</v>
      </c>
      <c r="H394" s="16" t="str">
        <f t="shared" si="76"/>
        <v/>
      </c>
      <c r="I394" s="16" t="str">
        <f t="shared" si="76"/>
        <v/>
      </c>
      <c r="J394" s="5"/>
      <c r="X394" s="103"/>
      <c r="Z394" s="18"/>
      <c r="AA394" s="18"/>
      <c r="AB394" s="18"/>
      <c r="AC394" s="18"/>
      <c r="AE394" s="96"/>
      <c r="AF394" s="38">
        <f t="shared" si="62"/>
        <v>66</v>
      </c>
      <c r="AG394" s="96" t="str">
        <f t="shared" si="63"/>
        <v/>
      </c>
      <c r="AH394" s="6" t="str">
        <f t="shared" si="64"/>
        <v>{(U4)0x00000200U,</v>
      </c>
      <c r="AI394" s="6" t="str">
        <f t="shared" si="65"/>
        <v>(U4)0x4000032fU,</v>
      </c>
      <c r="AJ394" s="6" t="str">
        <f t="shared" si="66"/>
        <v>(U4)0x400003b5U,</v>
      </c>
      <c r="AK394" s="6" t="str">
        <f t="shared" si="67"/>
        <v>(U2)8U,</v>
      </c>
      <c r="AL394" s="6" t="str">
        <f t="shared" si="68"/>
        <v>(U2)87U},</v>
      </c>
      <c r="AM394" s="6" t="str">
        <f t="shared" si="69"/>
        <v/>
      </c>
      <c r="AN394" s="6" t="str">
        <f t="shared" si="70"/>
        <v>/* 66 : RSE1G24 = 0x4000032f */</v>
      </c>
    </row>
    <row r="395" spans="1:40" s="6" customFormat="1" ht="15">
      <c r="A395" s="15" t="str">
        <f t="shared" si="74"/>
        <v>EIM1S01</v>
      </c>
      <c r="B395" s="15" t="str">
        <f t="shared" si="74"/>
        <v>335</v>
      </c>
      <c r="C395" s="15" t="str">
        <f t="shared" si="74"/>
        <v>1</v>
      </c>
      <c r="D395" s="15">
        <f t="shared" si="74"/>
        <v>8</v>
      </c>
      <c r="E395" s="15"/>
      <c r="F395" s="15" t="str">
        <f t="shared" si="75"/>
        <v>0</v>
      </c>
      <c r="G395" s="16" t="str">
        <f t="shared" si="76"/>
        <v>R</v>
      </c>
      <c r="H395" s="16" t="str">
        <f t="shared" si="76"/>
        <v/>
      </c>
      <c r="I395" s="16" t="str">
        <f t="shared" si="76"/>
        <v/>
      </c>
      <c r="J395" s="5"/>
      <c r="X395" s="103"/>
      <c r="Z395" s="18"/>
      <c r="AA395" s="18"/>
      <c r="AB395" s="18"/>
      <c r="AC395" s="18"/>
      <c r="AE395" s="96"/>
      <c r="AF395" s="38" t="str">
        <f t="shared" si="62"/>
        <v/>
      </c>
      <c r="AG395" s="96" t="str">
        <f t="shared" si="63"/>
        <v xml:space="preserve">/* </v>
      </c>
      <c r="AH395" s="6" t="str">
        <f t="shared" si="64"/>
        <v>{(U4)0x00000200U,</v>
      </c>
      <c r="AI395" s="6" t="str">
        <f t="shared" si="65"/>
        <v>(U4)0x4000032fU,</v>
      </c>
      <c r="AJ395" s="6" t="str">
        <f t="shared" si="66"/>
        <v>(U4)0x400003b5U,</v>
      </c>
      <c r="AK395" s="6" t="str">
        <f t="shared" si="67"/>
        <v>(U2)8U,</v>
      </c>
      <c r="AL395" s="6" t="str">
        <f t="shared" si="68"/>
        <v>(U2)87U},</v>
      </c>
      <c r="AM395" s="6" t="str">
        <f t="shared" si="69"/>
        <v xml:space="preserve"> */</v>
      </c>
      <c r="AN395" s="6" t="str">
        <f t="shared" si="70"/>
        <v>/*   : EIM1S01 = 0x40000335 */</v>
      </c>
    </row>
    <row r="396" spans="1:40" s="6" customFormat="1" ht="15">
      <c r="A396" s="15" t="str">
        <f t="shared" si="74"/>
        <v>SCN1S02</v>
      </c>
      <c r="B396" s="15" t="str">
        <f t="shared" si="74"/>
        <v>375</v>
      </c>
      <c r="C396" s="15" t="str">
        <f t="shared" si="74"/>
        <v>1</v>
      </c>
      <c r="D396" s="15">
        <f t="shared" si="74"/>
        <v>8</v>
      </c>
      <c r="E396" s="15"/>
      <c r="F396" s="15" t="str">
        <f t="shared" si="75"/>
        <v>0</v>
      </c>
      <c r="G396" s="16" t="str">
        <f t="shared" si="76"/>
        <v>R</v>
      </c>
      <c r="H396" s="16" t="str">
        <f t="shared" si="76"/>
        <v/>
      </c>
      <c r="I396" s="16" t="str">
        <f t="shared" si="76"/>
        <v/>
      </c>
      <c r="J396" s="5"/>
      <c r="X396" s="103"/>
      <c r="Z396" s="18"/>
      <c r="AA396" s="18"/>
      <c r="AB396" s="18"/>
      <c r="AC396" s="18"/>
      <c r="AE396" s="96"/>
      <c r="AF396" s="38" t="str">
        <f t="shared" si="62"/>
        <v/>
      </c>
      <c r="AG396" s="96" t="str">
        <f t="shared" si="63"/>
        <v xml:space="preserve">/* </v>
      </c>
      <c r="AH396" s="6" t="str">
        <f t="shared" si="64"/>
        <v>{(U4)0x00000200U,</v>
      </c>
      <c r="AI396" s="6" t="str">
        <f t="shared" si="65"/>
        <v>(U4)0x4000032fU,</v>
      </c>
      <c r="AJ396" s="6" t="str">
        <f t="shared" si="66"/>
        <v>(U4)0x400003b5U,</v>
      </c>
      <c r="AK396" s="6" t="str">
        <f t="shared" si="67"/>
        <v>(U2)8U,</v>
      </c>
      <c r="AL396" s="6" t="str">
        <f t="shared" si="68"/>
        <v>(U2)87U},</v>
      </c>
      <c r="AM396" s="6" t="str">
        <f t="shared" si="69"/>
        <v xml:space="preserve"> */</v>
      </c>
      <c r="AN396" s="6" t="str">
        <f t="shared" si="70"/>
        <v>/*   : SCN1S02 = 0x40000375 */</v>
      </c>
    </row>
    <row r="397" spans="1:40" s="6" customFormat="1" ht="15">
      <c r="A397" s="15" t="str">
        <f t="shared" si="74"/>
        <v>BDB1S35</v>
      </c>
      <c r="B397" s="15" t="str">
        <f t="shared" si="74"/>
        <v>3B5</v>
      </c>
      <c r="C397" s="15" t="str">
        <f t="shared" si="74"/>
        <v>1</v>
      </c>
      <c r="D397" s="15">
        <f t="shared" si="74"/>
        <v>8</v>
      </c>
      <c r="E397" s="15"/>
      <c r="F397" s="15" t="str">
        <f t="shared" si="75"/>
        <v>0</v>
      </c>
      <c r="G397" s="16" t="str">
        <f t="shared" si="76"/>
        <v>R</v>
      </c>
      <c r="H397" s="16" t="str">
        <f t="shared" si="76"/>
        <v/>
      </c>
      <c r="I397" s="16" t="str">
        <f t="shared" si="76"/>
        <v/>
      </c>
      <c r="J397" s="5"/>
      <c r="X397" s="103"/>
      <c r="Z397" s="18"/>
      <c r="AA397" s="18"/>
      <c r="AB397" s="18"/>
      <c r="AC397" s="18"/>
      <c r="AE397" s="96"/>
      <c r="AF397" s="38" t="str">
        <f t="shared" si="62"/>
        <v/>
      </c>
      <c r="AG397" s="96" t="str">
        <f t="shared" si="63"/>
        <v xml:space="preserve">/* </v>
      </c>
      <c r="AH397" s="6" t="str">
        <f t="shared" si="64"/>
        <v>{(U4)0x00000200U,</v>
      </c>
      <c r="AI397" s="6" t="str">
        <f t="shared" si="65"/>
        <v>(U4)0x4000032fU,</v>
      </c>
      <c r="AJ397" s="6" t="str">
        <f t="shared" si="66"/>
        <v>(U4)0x400003b5U,</v>
      </c>
      <c r="AK397" s="6" t="str">
        <f t="shared" si="67"/>
        <v>(U2)8U,</v>
      </c>
      <c r="AL397" s="6" t="str">
        <f t="shared" si="68"/>
        <v>(U2)87U},</v>
      </c>
      <c r="AM397" s="6" t="str">
        <f t="shared" si="69"/>
        <v xml:space="preserve"> */</v>
      </c>
      <c r="AN397" s="6" t="str">
        <f t="shared" si="70"/>
        <v>/*   : BDB1S35 = 0x400003b5 */</v>
      </c>
    </row>
    <row r="398" spans="1:40" s="6" customFormat="1" ht="15">
      <c r="A398" s="15" t="str">
        <f t="shared" si="74"/>
        <v>BDC1SE7</v>
      </c>
      <c r="B398" s="15" t="str">
        <f t="shared" si="74"/>
        <v>3F5</v>
      </c>
      <c r="C398" s="15" t="str">
        <f t="shared" si="74"/>
        <v>1</v>
      </c>
      <c r="D398" s="15">
        <f t="shared" si="74"/>
        <v>64</v>
      </c>
      <c r="E398" s="15"/>
      <c r="F398" s="15" t="str">
        <f t="shared" si="75"/>
        <v>1</v>
      </c>
      <c r="G398" s="16" t="str">
        <f t="shared" si="76"/>
        <v>R</v>
      </c>
      <c r="H398" s="16" t="str">
        <f t="shared" si="76"/>
        <v/>
      </c>
      <c r="I398" s="16" t="str">
        <f t="shared" si="76"/>
        <v/>
      </c>
      <c r="J398" s="5"/>
      <c r="X398" s="103"/>
      <c r="Z398" s="18"/>
      <c r="AA398" s="18"/>
      <c r="AB398" s="18"/>
      <c r="AC398" s="18"/>
      <c r="AE398" s="96"/>
      <c r="AF398" s="38">
        <f t="shared" si="62"/>
        <v>67</v>
      </c>
      <c r="AG398" s="96" t="str">
        <f t="shared" si="63"/>
        <v/>
      </c>
      <c r="AH398" s="6" t="str">
        <f t="shared" si="64"/>
        <v>{(U4)0x00000002U,</v>
      </c>
      <c r="AI398" s="6" t="str">
        <f t="shared" si="65"/>
        <v>(U4)0x400003f5U,</v>
      </c>
      <c r="AJ398" s="6" t="str">
        <f t="shared" si="66"/>
        <v>(U4)0x400003f5U,</v>
      </c>
      <c r="AK398" s="6" t="str">
        <f t="shared" si="67"/>
        <v>(U2)64U,</v>
      </c>
      <c r="AL398" s="6" t="str">
        <f t="shared" si="68"/>
        <v>(U2)9U},</v>
      </c>
      <c r="AM398" s="6" t="str">
        <f t="shared" si="69"/>
        <v/>
      </c>
      <c r="AN398" s="6" t="str">
        <f t="shared" si="70"/>
        <v>/* 67 : BDC1SE7 = 0x400003f5 */</v>
      </c>
    </row>
    <row r="399" spans="1:40" s="6" customFormat="1" ht="15">
      <c r="A399" s="15" t="str">
        <f t="shared" si="74"/>
        <v>RSE1G25</v>
      </c>
      <c r="B399" s="15" t="str">
        <f t="shared" si="74"/>
        <v>336</v>
      </c>
      <c r="C399" s="15" t="str">
        <f t="shared" si="74"/>
        <v>1</v>
      </c>
      <c r="D399" s="15">
        <f t="shared" si="74"/>
        <v>8</v>
      </c>
      <c r="E399" s="15"/>
      <c r="F399" s="15" t="str">
        <f t="shared" si="75"/>
        <v>0</v>
      </c>
      <c r="G399" s="16" t="str">
        <f t="shared" si="76"/>
        <v>R</v>
      </c>
      <c r="H399" s="16" t="str">
        <f t="shared" si="76"/>
        <v/>
      </c>
      <c r="I399" s="16" t="str">
        <f t="shared" si="76"/>
        <v/>
      </c>
      <c r="J399" s="5"/>
      <c r="X399" s="103"/>
      <c r="Z399" s="18"/>
      <c r="AA399" s="18"/>
      <c r="AB399" s="18"/>
      <c r="AC399" s="18"/>
      <c r="AE399" s="96"/>
      <c r="AF399" s="38">
        <f t="shared" si="62"/>
        <v>68</v>
      </c>
      <c r="AG399" s="96" t="str">
        <f t="shared" si="63"/>
        <v/>
      </c>
      <c r="AH399" s="6" t="str">
        <f t="shared" si="64"/>
        <v>{(U4)0x00000200U,</v>
      </c>
      <c r="AI399" s="6" t="str">
        <f t="shared" si="65"/>
        <v>(U4)0x40000336U,</v>
      </c>
      <c r="AJ399" s="6" t="str">
        <f t="shared" si="66"/>
        <v>(U4)0x400003b6U,</v>
      </c>
      <c r="AK399" s="6" t="str">
        <f t="shared" si="67"/>
        <v>(U2)8U,</v>
      </c>
      <c r="AL399" s="6" t="str">
        <f t="shared" si="68"/>
        <v>(U2)87U},</v>
      </c>
      <c r="AM399" s="6" t="str">
        <f t="shared" si="69"/>
        <v/>
      </c>
      <c r="AN399" s="6" t="str">
        <f t="shared" si="70"/>
        <v>/* 68 : RSE1G25 = 0x40000336 */</v>
      </c>
    </row>
    <row r="400" spans="1:40" s="6" customFormat="1" ht="15">
      <c r="A400" s="15" t="str">
        <f t="shared" si="74"/>
        <v>EHV1S90</v>
      </c>
      <c r="B400" s="15" t="str">
        <f t="shared" si="74"/>
        <v>3B6</v>
      </c>
      <c r="C400" s="15" t="str">
        <f t="shared" si="74"/>
        <v>1</v>
      </c>
      <c r="D400" s="15">
        <f t="shared" si="74"/>
        <v>8</v>
      </c>
      <c r="E400" s="15"/>
      <c r="F400" s="15" t="str">
        <f t="shared" si="75"/>
        <v>0</v>
      </c>
      <c r="G400" s="16" t="str">
        <f t="shared" si="76"/>
        <v>R</v>
      </c>
      <c r="H400" s="16" t="str">
        <f t="shared" si="76"/>
        <v/>
      </c>
      <c r="I400" s="16" t="str">
        <f t="shared" si="76"/>
        <v/>
      </c>
      <c r="J400" s="5"/>
      <c r="X400" s="103"/>
      <c r="Z400" s="18"/>
      <c r="AA400" s="18"/>
      <c r="AB400" s="18"/>
      <c r="AC400" s="18"/>
      <c r="AE400" s="96"/>
      <c r="AF400" s="38" t="str">
        <f t="shared" si="62"/>
        <v/>
      </c>
      <c r="AG400" s="96" t="str">
        <f t="shared" si="63"/>
        <v xml:space="preserve">/* </v>
      </c>
      <c r="AH400" s="6" t="str">
        <f t="shared" si="64"/>
        <v>{(U4)0x00000200U,</v>
      </c>
      <c r="AI400" s="6" t="str">
        <f t="shared" si="65"/>
        <v>(U4)0x40000336U,</v>
      </c>
      <c r="AJ400" s="6" t="str">
        <f t="shared" si="66"/>
        <v>(U4)0x400003b6U,</v>
      </c>
      <c r="AK400" s="6" t="str">
        <f t="shared" si="67"/>
        <v>(U2)8U,</v>
      </c>
      <c r="AL400" s="6" t="str">
        <f t="shared" si="68"/>
        <v>(U2)87U},</v>
      </c>
      <c r="AM400" s="6" t="str">
        <f t="shared" si="69"/>
        <v xml:space="preserve"> */</v>
      </c>
      <c r="AN400" s="6" t="str">
        <f t="shared" si="70"/>
        <v>/*   : EHV1S90 = 0x400003b6 */</v>
      </c>
    </row>
    <row r="401" spans="1:40" s="6" customFormat="1" ht="15">
      <c r="A401" s="15" t="str">
        <f t="shared" si="74"/>
        <v>BDC1S74</v>
      </c>
      <c r="B401" s="15" t="str">
        <f t="shared" si="74"/>
        <v>341</v>
      </c>
      <c r="C401" s="15" t="str">
        <f t="shared" si="74"/>
        <v>1</v>
      </c>
      <c r="D401" s="15">
        <f t="shared" si="74"/>
        <v>8</v>
      </c>
      <c r="E401" s="15"/>
      <c r="F401" s="15" t="str">
        <f t="shared" si="75"/>
        <v>0</v>
      </c>
      <c r="G401" s="16" t="str">
        <f t="shared" si="76"/>
        <v>R</v>
      </c>
      <c r="H401" s="16" t="str">
        <f t="shared" si="76"/>
        <v/>
      </c>
      <c r="I401" s="16" t="str">
        <f t="shared" si="76"/>
        <v/>
      </c>
      <c r="J401" s="5"/>
      <c r="X401" s="103"/>
      <c r="Z401" s="18"/>
      <c r="AA401" s="18"/>
      <c r="AB401" s="18"/>
      <c r="AC401" s="18"/>
      <c r="AE401" s="96"/>
      <c r="AF401" s="38">
        <f t="shared" si="62"/>
        <v>69</v>
      </c>
      <c r="AG401" s="96" t="str">
        <f t="shared" si="63"/>
        <v/>
      </c>
      <c r="AH401" s="6" t="str">
        <f t="shared" si="64"/>
        <v>{(U4)0x00000200U,</v>
      </c>
      <c r="AI401" s="6" t="str">
        <f t="shared" si="65"/>
        <v>(U4)0x40000341U,</v>
      </c>
      <c r="AJ401" s="6" t="str">
        <f t="shared" si="66"/>
        <v>(U4)0x40000341U,</v>
      </c>
      <c r="AK401" s="6" t="str">
        <f t="shared" si="67"/>
        <v>(U2)8U,</v>
      </c>
      <c r="AL401" s="6" t="str">
        <f t="shared" si="68"/>
        <v>(U2)87U},</v>
      </c>
      <c r="AM401" s="6" t="str">
        <f t="shared" si="69"/>
        <v/>
      </c>
      <c r="AN401" s="6" t="str">
        <f t="shared" si="70"/>
        <v>/* 69 : BDC1S74 = 0x40000341 */</v>
      </c>
    </row>
    <row r="402" spans="1:40" s="6" customFormat="1" ht="15">
      <c r="A402" s="15" t="str">
        <f t="shared" si="74"/>
        <v>BDC1SJ4</v>
      </c>
      <c r="B402" s="15" t="str">
        <f t="shared" si="74"/>
        <v>361</v>
      </c>
      <c r="C402" s="15" t="str">
        <f t="shared" si="74"/>
        <v>1</v>
      </c>
      <c r="D402" s="15">
        <f t="shared" si="74"/>
        <v>64</v>
      </c>
      <c r="E402" s="15"/>
      <c r="F402" s="15" t="str">
        <f t="shared" si="75"/>
        <v>0</v>
      </c>
      <c r="G402" s="16" t="str">
        <f t="shared" si="76"/>
        <v>R</v>
      </c>
      <c r="H402" s="16" t="str">
        <f t="shared" si="76"/>
        <v/>
      </c>
      <c r="I402" s="16" t="str">
        <f t="shared" si="76"/>
        <v/>
      </c>
      <c r="J402" s="5"/>
      <c r="X402" s="103"/>
      <c r="Z402" s="18"/>
      <c r="AA402" s="18"/>
      <c r="AB402" s="18"/>
      <c r="AC402" s="18"/>
      <c r="AE402" s="96"/>
      <c r="AF402" s="38">
        <f t="shared" si="62"/>
        <v>70</v>
      </c>
      <c r="AG402" s="96" t="str">
        <f t="shared" si="63"/>
        <v/>
      </c>
      <c r="AH402" s="6" t="str">
        <f t="shared" si="64"/>
        <v>{(U4)0x00000200U,</v>
      </c>
      <c r="AI402" s="6" t="str">
        <f t="shared" si="65"/>
        <v>(U4)0x40000361U,</v>
      </c>
      <c r="AJ402" s="6" t="str">
        <f t="shared" si="66"/>
        <v>(U4)0x40000361U,</v>
      </c>
      <c r="AK402" s="6" t="str">
        <f t="shared" si="67"/>
        <v>(U2)64U,</v>
      </c>
      <c r="AL402" s="6" t="str">
        <f t="shared" si="68"/>
        <v>(U2)87U},</v>
      </c>
      <c r="AM402" s="6" t="str">
        <f t="shared" si="69"/>
        <v/>
      </c>
      <c r="AN402" s="6" t="str">
        <f t="shared" si="70"/>
        <v>/* 70 : BDC1SJ4 = 0x40000361 */</v>
      </c>
    </row>
    <row r="403" spans="1:40" s="6" customFormat="1" ht="15">
      <c r="A403" s="15" t="str">
        <f t="shared" si="74"/>
        <v>TPM1S04</v>
      </c>
      <c r="B403" s="15" t="str">
        <f t="shared" si="74"/>
        <v>347</v>
      </c>
      <c r="C403" s="15" t="str">
        <f t="shared" si="74"/>
        <v>1</v>
      </c>
      <c r="D403" s="15">
        <f t="shared" si="74"/>
        <v>8</v>
      </c>
      <c r="E403" s="15"/>
      <c r="F403" s="15" t="str">
        <f t="shared" si="75"/>
        <v>0</v>
      </c>
      <c r="G403" s="16" t="str">
        <f t="shared" si="76"/>
        <v>R</v>
      </c>
      <c r="H403" s="16" t="str">
        <f t="shared" si="76"/>
        <v/>
      </c>
      <c r="I403" s="16" t="str">
        <f t="shared" si="76"/>
        <v/>
      </c>
      <c r="J403" s="5"/>
      <c r="X403" s="103"/>
      <c r="Z403" s="18"/>
      <c r="AA403" s="18"/>
      <c r="AB403" s="18"/>
      <c r="AC403" s="18"/>
      <c r="AE403" s="96"/>
      <c r="AF403" s="38">
        <f t="shared" si="62"/>
        <v>71</v>
      </c>
      <c r="AG403" s="96" t="str">
        <f t="shared" si="63"/>
        <v/>
      </c>
      <c r="AH403" s="6" t="str">
        <f t="shared" si="64"/>
        <v>{(U4)0x00000200U,</v>
      </c>
      <c r="AI403" s="6" t="str">
        <f t="shared" si="65"/>
        <v>(U4)0x40000347U,</v>
      </c>
      <c r="AJ403" s="6" t="str">
        <f t="shared" si="66"/>
        <v>(U4)0x4000034dU,</v>
      </c>
      <c r="AK403" s="6" t="str">
        <f t="shared" si="67"/>
        <v>(U2)8U,</v>
      </c>
      <c r="AL403" s="6" t="str">
        <f t="shared" si="68"/>
        <v>(U2)87U},</v>
      </c>
      <c r="AM403" s="6" t="str">
        <f t="shared" si="69"/>
        <v/>
      </c>
      <c r="AN403" s="6" t="str">
        <f t="shared" si="70"/>
        <v>/* 71 : TPM1S04 = 0x40000347 */</v>
      </c>
    </row>
    <row r="404" spans="1:40" s="6" customFormat="1" ht="15">
      <c r="A404" s="15" t="str">
        <f t="shared" si="74"/>
        <v>DCM1S08</v>
      </c>
      <c r="B404" s="15" t="str">
        <f t="shared" si="74"/>
        <v>348</v>
      </c>
      <c r="C404" s="15" t="str">
        <f t="shared" si="74"/>
        <v>1</v>
      </c>
      <c r="D404" s="15">
        <f t="shared" si="74"/>
        <v>8</v>
      </c>
      <c r="E404" s="15"/>
      <c r="F404" s="15" t="str">
        <f t="shared" si="75"/>
        <v>0</v>
      </c>
      <c r="G404" s="16" t="str">
        <f t="shared" si="76"/>
        <v>R</v>
      </c>
      <c r="H404" s="16" t="str">
        <f t="shared" si="76"/>
        <v/>
      </c>
      <c r="I404" s="16" t="str">
        <f t="shared" si="76"/>
        <v/>
      </c>
      <c r="J404" s="5"/>
      <c r="X404" s="103"/>
      <c r="Z404" s="18"/>
      <c r="AA404" s="18"/>
      <c r="AB404" s="18"/>
      <c r="AC404" s="18"/>
      <c r="AE404" s="96"/>
      <c r="AF404" s="38" t="str">
        <f t="shared" si="62"/>
        <v/>
      </c>
      <c r="AG404" s="96" t="str">
        <f t="shared" si="63"/>
        <v xml:space="preserve">/* </v>
      </c>
      <c r="AH404" s="6" t="str">
        <f t="shared" si="64"/>
        <v>{(U4)0x00000200U,</v>
      </c>
      <c r="AI404" s="6" t="str">
        <f t="shared" si="65"/>
        <v>(U4)0x40000347U,</v>
      </c>
      <c r="AJ404" s="6" t="str">
        <f t="shared" si="66"/>
        <v>(U4)0x4000034dU,</v>
      </c>
      <c r="AK404" s="6" t="str">
        <f t="shared" si="67"/>
        <v>(U2)8U,</v>
      </c>
      <c r="AL404" s="6" t="str">
        <f t="shared" si="68"/>
        <v>(U2)87U},</v>
      </c>
      <c r="AM404" s="6" t="str">
        <f t="shared" si="69"/>
        <v xml:space="preserve"> */</v>
      </c>
      <c r="AN404" s="6" t="str">
        <f t="shared" si="70"/>
        <v>/*   : DCM1S08 = 0x40000348 */</v>
      </c>
    </row>
    <row r="405" spans="1:40" s="6" customFormat="1" ht="15">
      <c r="A405" s="15" t="str">
        <f t="shared" si="74"/>
        <v>ADC1S30</v>
      </c>
      <c r="B405" s="15" t="str">
        <f t="shared" si="74"/>
        <v>349</v>
      </c>
      <c r="C405" s="15" t="str">
        <f t="shared" si="74"/>
        <v>1</v>
      </c>
      <c r="D405" s="15">
        <f t="shared" si="74"/>
        <v>8</v>
      </c>
      <c r="E405" s="15"/>
      <c r="F405" s="15" t="str">
        <f t="shared" si="75"/>
        <v>0</v>
      </c>
      <c r="G405" s="16" t="str">
        <f t="shared" si="76"/>
        <v>R</v>
      </c>
      <c r="H405" s="16" t="str">
        <f t="shared" si="76"/>
        <v/>
      </c>
      <c r="I405" s="16" t="str">
        <f t="shared" si="76"/>
        <v/>
      </c>
      <c r="J405" s="5"/>
      <c r="X405" s="103"/>
      <c r="Z405" s="18"/>
      <c r="AA405" s="18"/>
      <c r="AB405" s="18"/>
      <c r="AC405" s="18"/>
      <c r="AE405" s="96"/>
      <c r="AF405" s="38" t="str">
        <f t="shared" si="62"/>
        <v/>
      </c>
      <c r="AG405" s="96" t="str">
        <f t="shared" si="63"/>
        <v xml:space="preserve">/* </v>
      </c>
      <c r="AH405" s="6" t="str">
        <f t="shared" si="64"/>
        <v>{(U4)0x00000200U,</v>
      </c>
      <c r="AI405" s="6" t="str">
        <f t="shared" si="65"/>
        <v>(U4)0x40000347U,</v>
      </c>
      <c r="AJ405" s="6" t="str">
        <f t="shared" si="66"/>
        <v>(U4)0x4000034dU,</v>
      </c>
      <c r="AK405" s="6" t="str">
        <f t="shared" si="67"/>
        <v>(U2)8U,</v>
      </c>
      <c r="AL405" s="6" t="str">
        <f t="shared" si="68"/>
        <v>(U2)87U},</v>
      </c>
      <c r="AM405" s="6" t="str">
        <f t="shared" si="69"/>
        <v xml:space="preserve"> */</v>
      </c>
      <c r="AN405" s="6" t="str">
        <f t="shared" si="70"/>
        <v>/*   : ADC1S30 = 0x40000349 */</v>
      </c>
    </row>
    <row r="406" spans="1:40" s="6" customFormat="1" ht="15">
      <c r="A406" s="15" t="str">
        <f t="shared" si="74"/>
        <v>TPM1S05</v>
      </c>
      <c r="B406" s="15" t="str">
        <f t="shared" si="74"/>
        <v>34C</v>
      </c>
      <c r="C406" s="15" t="str">
        <f t="shared" si="74"/>
        <v>1</v>
      </c>
      <c r="D406" s="15">
        <f t="shared" si="74"/>
        <v>8</v>
      </c>
      <c r="E406" s="15"/>
      <c r="F406" s="15" t="str">
        <f t="shared" si="75"/>
        <v>0</v>
      </c>
      <c r="G406" s="16" t="str">
        <f t="shared" si="76"/>
        <v>R</v>
      </c>
      <c r="H406" s="16" t="str">
        <f t="shared" si="76"/>
        <v/>
      </c>
      <c r="I406" s="16" t="str">
        <f t="shared" si="76"/>
        <v/>
      </c>
      <c r="J406" s="5"/>
      <c r="X406" s="103"/>
      <c r="Z406" s="18"/>
      <c r="AA406" s="18"/>
      <c r="AB406" s="18"/>
      <c r="AC406" s="18"/>
      <c r="AE406" s="96"/>
      <c r="AF406" s="38" t="str">
        <f t="shared" si="62"/>
        <v/>
      </c>
      <c r="AG406" s="96" t="str">
        <f t="shared" si="63"/>
        <v xml:space="preserve">/* </v>
      </c>
      <c r="AH406" s="6" t="str">
        <f t="shared" si="64"/>
        <v>{(U4)0x00000200U,</v>
      </c>
      <c r="AI406" s="6" t="str">
        <f t="shared" si="65"/>
        <v>(U4)0x40000347U,</v>
      </c>
      <c r="AJ406" s="6" t="str">
        <f t="shared" si="66"/>
        <v>(U4)0x4000034dU,</v>
      </c>
      <c r="AK406" s="6" t="str">
        <f t="shared" si="67"/>
        <v>(U2)8U,</v>
      </c>
      <c r="AL406" s="6" t="str">
        <f t="shared" si="68"/>
        <v>(U2)87U},</v>
      </c>
      <c r="AM406" s="6" t="str">
        <f t="shared" si="69"/>
        <v xml:space="preserve"> */</v>
      </c>
      <c r="AN406" s="6" t="str">
        <f t="shared" si="70"/>
        <v>/*   : TPM1S05 = 0x4000034c */</v>
      </c>
    </row>
    <row r="407" spans="1:40" s="6" customFormat="1" ht="15">
      <c r="A407" s="15" t="str">
        <f t="shared" si="74"/>
        <v>RSE1G26</v>
      </c>
      <c r="B407" s="15" t="str">
        <f t="shared" si="74"/>
        <v>34D</v>
      </c>
      <c r="C407" s="15" t="str">
        <f t="shared" si="74"/>
        <v>1</v>
      </c>
      <c r="D407" s="15">
        <f t="shared" si="74"/>
        <v>8</v>
      </c>
      <c r="E407" s="15"/>
      <c r="F407" s="15" t="str">
        <f t="shared" si="75"/>
        <v>0</v>
      </c>
      <c r="G407" s="16" t="str">
        <f t="shared" si="76"/>
        <v>R</v>
      </c>
      <c r="H407" s="16" t="str">
        <f t="shared" si="76"/>
        <v/>
      </c>
      <c r="I407" s="16" t="str">
        <f t="shared" si="76"/>
        <v/>
      </c>
      <c r="J407" s="5"/>
      <c r="X407" s="103"/>
      <c r="Z407" s="18"/>
      <c r="AA407" s="18"/>
      <c r="AB407" s="18"/>
      <c r="AC407" s="18"/>
      <c r="AE407" s="96"/>
      <c r="AF407" s="38" t="str">
        <f t="shared" si="62"/>
        <v/>
      </c>
      <c r="AG407" s="96" t="str">
        <f t="shared" si="63"/>
        <v xml:space="preserve">/* </v>
      </c>
      <c r="AH407" s="6" t="str">
        <f t="shared" si="64"/>
        <v>{(U4)0x00000200U,</v>
      </c>
      <c r="AI407" s="6" t="str">
        <f t="shared" si="65"/>
        <v>(U4)0x40000347U,</v>
      </c>
      <c r="AJ407" s="6" t="str">
        <f t="shared" si="66"/>
        <v>(U4)0x4000034dU,</v>
      </c>
      <c r="AK407" s="6" t="str">
        <f t="shared" si="67"/>
        <v>(U2)8U,</v>
      </c>
      <c r="AL407" s="6" t="str">
        <f t="shared" si="68"/>
        <v>(U2)87U},</v>
      </c>
      <c r="AM407" s="6" t="str">
        <f t="shared" si="69"/>
        <v xml:space="preserve"> */</v>
      </c>
      <c r="AN407" s="6" t="str">
        <f t="shared" si="70"/>
        <v>/*   : RSE1G26 = 0x4000034d */</v>
      </c>
    </row>
    <row r="408" spans="1:40" s="6" customFormat="1" ht="15">
      <c r="A408" s="15" t="str">
        <f t="shared" si="74"/>
        <v>BDC1SF5</v>
      </c>
      <c r="B408" s="15" t="str">
        <f t="shared" si="74"/>
        <v>34E</v>
      </c>
      <c r="C408" s="15" t="str">
        <f t="shared" si="74"/>
        <v>1</v>
      </c>
      <c r="D408" s="15">
        <f t="shared" si="74"/>
        <v>64</v>
      </c>
      <c r="E408" s="15"/>
      <c r="F408" s="15" t="str">
        <f t="shared" si="75"/>
        <v>0</v>
      </c>
      <c r="G408" s="16" t="str">
        <f t="shared" si="76"/>
        <v>R</v>
      </c>
      <c r="H408" s="16" t="str">
        <f t="shared" si="76"/>
        <v/>
      </c>
      <c r="I408" s="16" t="str">
        <f t="shared" si="76"/>
        <v/>
      </c>
      <c r="J408" s="5"/>
      <c r="X408" s="103"/>
      <c r="Z408" s="18"/>
      <c r="AA408" s="18"/>
      <c r="AB408" s="18"/>
      <c r="AC408" s="18"/>
      <c r="AE408" s="96"/>
      <c r="AF408" s="38">
        <f t="shared" si="62"/>
        <v>72</v>
      </c>
      <c r="AG408" s="96" t="str">
        <f t="shared" si="63"/>
        <v/>
      </c>
      <c r="AH408" s="6" t="str">
        <f t="shared" si="64"/>
        <v>{(U4)0x00000200U,</v>
      </c>
      <c r="AI408" s="6" t="str">
        <f t="shared" si="65"/>
        <v>(U4)0x4000034eU,</v>
      </c>
      <c r="AJ408" s="6" t="str">
        <f t="shared" si="66"/>
        <v>(U4)0x4000034eU,</v>
      </c>
      <c r="AK408" s="6" t="str">
        <f t="shared" si="67"/>
        <v>(U2)64U,</v>
      </c>
      <c r="AL408" s="6" t="str">
        <f t="shared" si="68"/>
        <v>(U2)87U},</v>
      </c>
      <c r="AM408" s="6" t="str">
        <f t="shared" si="69"/>
        <v/>
      </c>
      <c r="AN408" s="6" t="str">
        <f t="shared" si="70"/>
        <v>/* 72 : BDC1SF5 = 0x4000034e */</v>
      </c>
    </row>
    <row r="409" spans="1:40" s="6" customFormat="1" ht="15">
      <c r="A409" s="15" t="str">
        <f t="shared" ref="A409:D428" si="77">A126</f>
        <v>DCM1S03</v>
      </c>
      <c r="B409" s="15" t="str">
        <f t="shared" si="77"/>
        <v>34F</v>
      </c>
      <c r="C409" s="15" t="str">
        <f t="shared" si="77"/>
        <v>1</v>
      </c>
      <c r="D409" s="15">
        <f t="shared" si="77"/>
        <v>8</v>
      </c>
      <c r="E409" s="15"/>
      <c r="F409" s="15" t="str">
        <f t="shared" si="75"/>
        <v>0</v>
      </c>
      <c r="G409" s="16" t="str">
        <f t="shared" ref="G409:I428" si="78">IF(G126&lt;&gt;"",G126,"")</f>
        <v>R</v>
      </c>
      <c r="H409" s="16" t="str">
        <f t="shared" si="78"/>
        <v/>
      </c>
      <c r="I409" s="16" t="str">
        <f t="shared" si="78"/>
        <v/>
      </c>
      <c r="J409" s="5"/>
      <c r="X409" s="103"/>
      <c r="Z409" s="18"/>
      <c r="AA409" s="18"/>
      <c r="AB409" s="18"/>
      <c r="AC409" s="18"/>
      <c r="AE409" s="96"/>
      <c r="AF409" s="38">
        <f t="shared" si="62"/>
        <v>73</v>
      </c>
      <c r="AG409" s="96" t="str">
        <f t="shared" si="63"/>
        <v/>
      </c>
      <c r="AH409" s="6" t="str">
        <f t="shared" si="64"/>
        <v>{(U4)0x00000200U,</v>
      </c>
      <c r="AI409" s="6" t="str">
        <f t="shared" si="65"/>
        <v>(U4)0x4000034fU,</v>
      </c>
      <c r="AJ409" s="6" t="str">
        <f t="shared" si="66"/>
        <v>(U4)0x4000034fU,</v>
      </c>
      <c r="AK409" s="6" t="str">
        <f t="shared" si="67"/>
        <v>(U2)8U,</v>
      </c>
      <c r="AL409" s="6" t="str">
        <f t="shared" si="68"/>
        <v>(U2)87U},</v>
      </c>
      <c r="AM409" s="6" t="str">
        <f t="shared" si="69"/>
        <v/>
      </c>
      <c r="AN409" s="6" t="str">
        <f t="shared" si="70"/>
        <v>/* 73 : DCM1S03 = 0x4000034f */</v>
      </c>
    </row>
    <row r="410" spans="1:40" s="6" customFormat="1" ht="15">
      <c r="A410" s="15" t="str">
        <f t="shared" si="77"/>
        <v>ZN11SF8</v>
      </c>
      <c r="B410" s="15" t="str">
        <f t="shared" si="77"/>
        <v>353</v>
      </c>
      <c r="C410" s="15" t="str">
        <f t="shared" si="77"/>
        <v>1</v>
      </c>
      <c r="D410" s="15">
        <f t="shared" si="77"/>
        <v>32</v>
      </c>
      <c r="E410" s="15"/>
      <c r="F410" s="15" t="str">
        <f t="shared" si="75"/>
        <v>0</v>
      </c>
      <c r="G410" s="16" t="str">
        <f t="shared" si="78"/>
        <v>R</v>
      </c>
      <c r="H410" s="16" t="str">
        <f t="shared" si="78"/>
        <v/>
      </c>
      <c r="I410" s="16" t="str">
        <f t="shared" si="78"/>
        <v/>
      </c>
      <c r="J410" s="5"/>
      <c r="X410" s="103"/>
      <c r="Z410" s="18"/>
      <c r="AA410" s="18"/>
      <c r="AB410" s="18"/>
      <c r="AC410" s="18"/>
      <c r="AE410" s="96"/>
      <c r="AF410" s="38">
        <f t="shared" si="62"/>
        <v>74</v>
      </c>
      <c r="AG410" s="96" t="str">
        <f t="shared" si="63"/>
        <v/>
      </c>
      <c r="AH410" s="6" t="str">
        <f t="shared" si="64"/>
        <v>{(U4)0x00000200U,</v>
      </c>
      <c r="AI410" s="6" t="str">
        <f t="shared" si="65"/>
        <v>(U4)0x40000353U,</v>
      </c>
      <c r="AJ410" s="6" t="str">
        <f t="shared" si="66"/>
        <v>(U4)0x40000373U,</v>
      </c>
      <c r="AK410" s="6" t="str">
        <f t="shared" si="67"/>
        <v>(U2)32U,</v>
      </c>
      <c r="AL410" s="6" t="str">
        <f t="shared" si="68"/>
        <v>(U2)87U},</v>
      </c>
      <c r="AM410" s="6" t="str">
        <f t="shared" si="69"/>
        <v/>
      </c>
      <c r="AN410" s="6" t="str">
        <f t="shared" si="70"/>
        <v>/* 74 : ZN11SF8 = 0x40000353 */</v>
      </c>
    </row>
    <row r="411" spans="1:40" s="6" customFormat="1" ht="15">
      <c r="A411" s="15" t="str">
        <f t="shared" si="77"/>
        <v>BDC1S20</v>
      </c>
      <c r="B411" s="15" t="str">
        <f t="shared" si="77"/>
        <v>373</v>
      </c>
      <c r="C411" s="15" t="str">
        <f t="shared" si="77"/>
        <v>1</v>
      </c>
      <c r="D411" s="15">
        <f t="shared" si="77"/>
        <v>32</v>
      </c>
      <c r="E411" s="15"/>
      <c r="F411" s="15" t="str">
        <f t="shared" si="75"/>
        <v>1</v>
      </c>
      <c r="G411" s="16" t="str">
        <f t="shared" si="78"/>
        <v>R</v>
      </c>
      <c r="H411" s="16" t="str">
        <f t="shared" si="78"/>
        <v/>
      </c>
      <c r="I411" s="16" t="str">
        <f t="shared" si="78"/>
        <v/>
      </c>
      <c r="J411" s="5"/>
      <c r="X411" s="103"/>
      <c r="Z411" s="18"/>
      <c r="AA411" s="18"/>
      <c r="AB411" s="18"/>
      <c r="AC411" s="18"/>
      <c r="AE411" s="96"/>
      <c r="AF411" s="38" t="str">
        <f t="shared" si="62"/>
        <v/>
      </c>
      <c r="AG411" s="96" t="str">
        <f t="shared" si="63"/>
        <v xml:space="preserve">/* </v>
      </c>
      <c r="AH411" s="6" t="str">
        <f t="shared" si="64"/>
        <v>{(U4)0x00000200U,</v>
      </c>
      <c r="AI411" s="6" t="str">
        <f t="shared" si="65"/>
        <v>(U4)0x40000353U,</v>
      </c>
      <c r="AJ411" s="6" t="str">
        <f t="shared" si="66"/>
        <v>(U4)0x40000373U,</v>
      </c>
      <c r="AK411" s="6" t="str">
        <f t="shared" si="67"/>
        <v>(U2)32U,</v>
      </c>
      <c r="AL411" s="6" t="str">
        <f t="shared" si="68"/>
        <v>(U2)87U},</v>
      </c>
      <c r="AM411" s="6" t="str">
        <f t="shared" si="69"/>
        <v xml:space="preserve"> */</v>
      </c>
      <c r="AN411" s="6" t="str">
        <f t="shared" si="70"/>
        <v>/*   : BDC1S20 = 0x40000373 */</v>
      </c>
    </row>
    <row r="412" spans="1:40" s="6" customFormat="1" ht="15">
      <c r="A412" s="15" t="str">
        <f t="shared" si="77"/>
        <v>ACN1S22</v>
      </c>
      <c r="B412" s="15" t="str">
        <f t="shared" si="77"/>
        <v>354</v>
      </c>
      <c r="C412" s="15" t="str">
        <f t="shared" si="77"/>
        <v>1</v>
      </c>
      <c r="D412" s="15">
        <f t="shared" si="77"/>
        <v>32</v>
      </c>
      <c r="E412" s="15"/>
      <c r="F412" s="15" t="str">
        <f t="shared" si="75"/>
        <v>0</v>
      </c>
      <c r="G412" s="16" t="str">
        <f t="shared" si="78"/>
        <v>R</v>
      </c>
      <c r="H412" s="16" t="str">
        <f t="shared" si="78"/>
        <v/>
      </c>
      <c r="I412" s="16" t="str">
        <f t="shared" si="78"/>
        <v/>
      </c>
      <c r="J412" s="5"/>
      <c r="X412" s="103"/>
      <c r="Z412" s="18"/>
      <c r="AA412" s="18"/>
      <c r="AB412" s="18"/>
      <c r="AC412" s="18"/>
      <c r="AE412" s="96"/>
      <c r="AF412" s="38">
        <f t="shared" si="62"/>
        <v>75</v>
      </c>
      <c r="AG412" s="96" t="str">
        <f t="shared" si="63"/>
        <v/>
      </c>
      <c r="AH412" s="6" t="str">
        <f t="shared" si="64"/>
        <v>{(U4)0x00000200U,</v>
      </c>
      <c r="AI412" s="6" t="str">
        <f t="shared" si="65"/>
        <v>(U4)0x40000354U,</v>
      </c>
      <c r="AJ412" s="6" t="str">
        <f t="shared" si="66"/>
        <v>(U4)0x40000358U,</v>
      </c>
      <c r="AK412" s="6" t="str">
        <f t="shared" si="67"/>
        <v>(U2)32U,</v>
      </c>
      <c r="AL412" s="6" t="str">
        <f t="shared" si="68"/>
        <v>(U2)87U},</v>
      </c>
      <c r="AM412" s="6" t="str">
        <f t="shared" si="69"/>
        <v/>
      </c>
      <c r="AN412" s="6" t="str">
        <f t="shared" si="70"/>
        <v>/* 75 : ACN1S22 = 0x40000354 */</v>
      </c>
    </row>
    <row r="413" spans="1:40" s="6" customFormat="1" ht="15">
      <c r="A413" s="15" t="str">
        <f t="shared" si="77"/>
        <v>BDC1S97</v>
      </c>
      <c r="B413" s="15" t="str">
        <f t="shared" si="77"/>
        <v>355</v>
      </c>
      <c r="C413" s="15" t="str">
        <f t="shared" si="77"/>
        <v>1</v>
      </c>
      <c r="D413" s="15">
        <f t="shared" si="77"/>
        <v>32</v>
      </c>
      <c r="E413" s="15"/>
      <c r="F413" s="15" t="str">
        <f t="shared" si="75"/>
        <v>1</v>
      </c>
      <c r="G413" s="16" t="str">
        <f t="shared" si="78"/>
        <v>R</v>
      </c>
      <c r="H413" s="16" t="str">
        <f t="shared" si="78"/>
        <v/>
      </c>
      <c r="I413" s="16" t="str">
        <f t="shared" si="78"/>
        <v/>
      </c>
      <c r="J413" s="5"/>
      <c r="X413" s="103"/>
      <c r="Z413" s="18"/>
      <c r="AA413" s="18"/>
      <c r="AB413" s="18"/>
      <c r="AC413" s="18"/>
      <c r="AE413" s="96"/>
      <c r="AF413" s="38" t="str">
        <f t="shared" si="62"/>
        <v/>
      </c>
      <c r="AG413" s="96" t="str">
        <f t="shared" si="63"/>
        <v xml:space="preserve">/* </v>
      </c>
      <c r="AH413" s="6" t="str">
        <f t="shared" si="64"/>
        <v>{(U4)0x00000200U,</v>
      </c>
      <c r="AI413" s="6" t="str">
        <f t="shared" si="65"/>
        <v>(U4)0x40000354U,</v>
      </c>
      <c r="AJ413" s="6" t="str">
        <f t="shared" si="66"/>
        <v>(U4)0x40000358U,</v>
      </c>
      <c r="AK413" s="6" t="str">
        <f t="shared" si="67"/>
        <v>(U2)32U,</v>
      </c>
      <c r="AL413" s="6" t="str">
        <f t="shared" si="68"/>
        <v>(U2)87U},</v>
      </c>
      <c r="AM413" s="6" t="str">
        <f t="shared" si="69"/>
        <v xml:space="preserve"> */</v>
      </c>
      <c r="AN413" s="6" t="str">
        <f t="shared" si="70"/>
        <v>/*   : BDC1S97 = 0x40000355 */</v>
      </c>
    </row>
    <row r="414" spans="1:40" s="6" customFormat="1" ht="15">
      <c r="A414" s="15" t="str">
        <f t="shared" si="77"/>
        <v>BDC1S98</v>
      </c>
      <c r="B414" s="15" t="str">
        <f t="shared" si="77"/>
        <v>358</v>
      </c>
      <c r="C414" s="15" t="str">
        <f t="shared" si="77"/>
        <v>1</v>
      </c>
      <c r="D414" s="15">
        <f t="shared" si="77"/>
        <v>32</v>
      </c>
      <c r="E414" s="15"/>
      <c r="F414" s="15" t="str">
        <f t="shared" si="75"/>
        <v>1</v>
      </c>
      <c r="G414" s="16" t="str">
        <f t="shared" si="78"/>
        <v>R</v>
      </c>
      <c r="H414" s="16" t="str">
        <f t="shared" si="78"/>
        <v/>
      </c>
      <c r="I414" s="16" t="str">
        <f t="shared" si="78"/>
        <v/>
      </c>
      <c r="J414" s="5"/>
      <c r="X414" s="103"/>
      <c r="Z414" s="18"/>
      <c r="AA414" s="18"/>
      <c r="AB414" s="18"/>
      <c r="AC414" s="18"/>
      <c r="AE414" s="96"/>
      <c r="AF414" s="38" t="str">
        <f t="shared" si="62"/>
        <v/>
      </c>
      <c r="AG414" s="96" t="str">
        <f t="shared" si="63"/>
        <v xml:space="preserve">/* </v>
      </c>
      <c r="AH414" s="6" t="str">
        <f t="shared" si="64"/>
        <v>{(U4)0x00000200U,</v>
      </c>
      <c r="AI414" s="6" t="str">
        <f t="shared" si="65"/>
        <v>(U4)0x40000354U,</v>
      </c>
      <c r="AJ414" s="6" t="str">
        <f t="shared" si="66"/>
        <v>(U4)0x40000358U,</v>
      </c>
      <c r="AK414" s="6" t="str">
        <f t="shared" si="67"/>
        <v>(U2)32U,</v>
      </c>
      <c r="AL414" s="6" t="str">
        <f t="shared" si="68"/>
        <v>(U2)87U},</v>
      </c>
      <c r="AM414" s="6" t="str">
        <f t="shared" si="69"/>
        <v xml:space="preserve"> */</v>
      </c>
      <c r="AN414" s="6" t="str">
        <f t="shared" si="70"/>
        <v>/*   : BDC1S98 = 0x40000358 */</v>
      </c>
    </row>
    <row r="415" spans="1:40" s="6" customFormat="1" ht="15">
      <c r="A415" s="15" t="str">
        <f t="shared" si="77"/>
        <v>BDC1SJ5</v>
      </c>
      <c r="B415" s="15" t="str">
        <f t="shared" si="77"/>
        <v>378</v>
      </c>
      <c r="C415" s="15" t="str">
        <f t="shared" si="77"/>
        <v>1</v>
      </c>
      <c r="D415" s="15">
        <f t="shared" si="77"/>
        <v>64</v>
      </c>
      <c r="E415" s="15"/>
      <c r="F415" s="15" t="str">
        <f t="shared" si="75"/>
        <v>1</v>
      </c>
      <c r="G415" s="16" t="str">
        <f t="shared" si="78"/>
        <v>R</v>
      </c>
      <c r="H415" s="16" t="str">
        <f t="shared" si="78"/>
        <v/>
      </c>
      <c r="I415" s="16" t="str">
        <f t="shared" si="78"/>
        <v/>
      </c>
      <c r="J415" s="5"/>
      <c r="X415" s="103"/>
      <c r="Z415" s="18"/>
      <c r="AA415" s="18"/>
      <c r="AB415" s="18"/>
      <c r="AC415" s="18"/>
      <c r="AE415" s="96"/>
      <c r="AF415" s="38">
        <f t="shared" si="62"/>
        <v>76</v>
      </c>
      <c r="AG415" s="96" t="str">
        <f t="shared" si="63"/>
        <v/>
      </c>
      <c r="AH415" s="6" t="str">
        <f t="shared" si="64"/>
        <v>{(U4)0x00000002U,</v>
      </c>
      <c r="AI415" s="6" t="str">
        <f t="shared" si="65"/>
        <v>(U4)0x40000378U,</v>
      </c>
      <c r="AJ415" s="6" t="str">
        <f t="shared" si="66"/>
        <v>(U4)0x40000378U,</v>
      </c>
      <c r="AK415" s="6" t="str">
        <f t="shared" si="67"/>
        <v>(U2)64U,</v>
      </c>
      <c r="AL415" s="6" t="str">
        <f t="shared" si="68"/>
        <v>(U2)12U},</v>
      </c>
      <c r="AM415" s="6" t="str">
        <f t="shared" si="69"/>
        <v/>
      </c>
      <c r="AN415" s="6" t="str">
        <f t="shared" si="70"/>
        <v>/* 76 : BDC1SJ5 = 0x40000378 */</v>
      </c>
    </row>
    <row r="416" spans="1:40" s="6" customFormat="1" ht="15">
      <c r="A416" s="15" t="str">
        <f t="shared" si="77"/>
        <v>BDC1S99</v>
      </c>
      <c r="B416" s="15" t="str">
        <f t="shared" si="77"/>
        <v>35D</v>
      </c>
      <c r="C416" s="15" t="str">
        <f t="shared" si="77"/>
        <v>1</v>
      </c>
      <c r="D416" s="15">
        <f t="shared" si="77"/>
        <v>32</v>
      </c>
      <c r="E416" s="15"/>
      <c r="F416" s="15" t="str">
        <f t="shared" si="75"/>
        <v>1</v>
      </c>
      <c r="G416" s="16" t="str">
        <f t="shared" si="78"/>
        <v>R</v>
      </c>
      <c r="H416" s="16" t="str">
        <f t="shared" si="78"/>
        <v/>
      </c>
      <c r="I416" s="16" t="str">
        <f t="shared" si="78"/>
        <v/>
      </c>
      <c r="J416" s="5"/>
      <c r="X416" s="103"/>
      <c r="Z416" s="18"/>
      <c r="AA416" s="18"/>
      <c r="AB416" s="18"/>
      <c r="AC416" s="18"/>
      <c r="AE416" s="96"/>
      <c r="AF416" s="38">
        <f t="shared" si="62"/>
        <v>77</v>
      </c>
      <c r="AG416" s="96" t="str">
        <f t="shared" si="63"/>
        <v/>
      </c>
      <c r="AH416" s="6" t="str">
        <f t="shared" si="64"/>
        <v>{(U4)0x00000200U,</v>
      </c>
      <c r="AI416" s="6" t="str">
        <f t="shared" si="65"/>
        <v>(U4)0x4000035dU,</v>
      </c>
      <c r="AJ416" s="6" t="str">
        <f t="shared" si="66"/>
        <v>(U4)0x40000363U,</v>
      </c>
      <c r="AK416" s="6" t="str">
        <f t="shared" si="67"/>
        <v>(U2)32U,</v>
      </c>
      <c r="AL416" s="6" t="str">
        <f t="shared" si="68"/>
        <v>(U2)87U},</v>
      </c>
      <c r="AM416" s="6" t="str">
        <f t="shared" si="69"/>
        <v/>
      </c>
      <c r="AN416" s="6" t="str">
        <f t="shared" si="70"/>
        <v>/* 77 : BDC1S99 = 0x4000035d */</v>
      </c>
    </row>
    <row r="417" spans="1:40" s="6" customFormat="1" ht="15">
      <c r="A417" s="15" t="str">
        <f t="shared" si="77"/>
        <v>BDC1SA1</v>
      </c>
      <c r="B417" s="15" t="str">
        <f t="shared" si="77"/>
        <v>35F</v>
      </c>
      <c r="C417" s="15" t="str">
        <f t="shared" si="77"/>
        <v>1</v>
      </c>
      <c r="D417" s="15">
        <f t="shared" si="77"/>
        <v>32</v>
      </c>
      <c r="E417" s="15"/>
      <c r="F417" s="15" t="str">
        <f t="shared" si="75"/>
        <v>0</v>
      </c>
      <c r="G417" s="16" t="str">
        <f t="shared" si="78"/>
        <v>R</v>
      </c>
      <c r="H417" s="16" t="str">
        <f t="shared" si="78"/>
        <v/>
      </c>
      <c r="I417" s="16" t="str">
        <f t="shared" si="78"/>
        <v/>
      </c>
      <c r="J417" s="5"/>
      <c r="X417" s="103"/>
      <c r="Z417" s="18"/>
      <c r="AA417" s="18"/>
      <c r="AB417" s="18"/>
      <c r="AC417" s="18"/>
      <c r="AE417" s="96"/>
      <c r="AF417" s="38" t="str">
        <f t="shared" ref="AF417:AF480" si="79">IF(AF134&lt;&gt;"",AF134,"")</f>
        <v/>
      </c>
      <c r="AG417" s="96" t="str">
        <f t="shared" ref="AG417:AG480" si="80">IF($AF134&lt;&gt;"","", "/* ")</f>
        <v xml:space="preserve">/* </v>
      </c>
      <c r="AH417" s="6" t="str">
        <f t="shared" ref="AH417:AH480" si="81">IF($AF134&lt;&gt;"","{(U4)0x"&amp;LOWER(DEC2HEX($L134*$L$3+$M134*$M$3+$N134*$N$3+$V134*$V$3,8))&amp;"U,",AH416)</f>
        <v>{(U4)0x00000200U,</v>
      </c>
      <c r="AI417" s="6" t="str">
        <f t="shared" ref="AI417:AI480" si="82">IF($AF134&lt;&gt;"", "(U4)"&amp;LOWER($AJ134)&amp;"U,",AI416)</f>
        <v>(U4)0x4000035dU,</v>
      </c>
      <c r="AJ417" s="6" t="str">
        <f t="shared" ref="AJ417:AJ480" si="83">IF($AF134&lt;&gt;"", "(U4)"&amp;LOWER($AK134)&amp;"U,",AJ416)</f>
        <v>(U4)0x40000363U,</v>
      </c>
      <c r="AK417" s="6" t="str">
        <f t="shared" ref="AK417:AK480" si="84" xml:space="preserve"> IF($AF134&lt;&gt;"", "(U2)"&amp;$AL134&amp;"U,",AK416)</f>
        <v>(U2)32U,</v>
      </c>
      <c r="AL417" s="6" t="str">
        <f t="shared" ref="AL417:AL480" si="85" xml:space="preserve"> IF($AF134&lt;&gt;"", "(U2)"&amp;$Y134*$X$3&amp;"U},",AL416)</f>
        <v>(U2)87U},</v>
      </c>
      <c r="AM417" s="6" t="str">
        <f t="shared" ref="AM417:AM480" si="86">IF($AF134&lt;&gt;"","", " */")</f>
        <v xml:space="preserve"> */</v>
      </c>
      <c r="AN417" s="6" t="str">
        <f t="shared" ref="AN417:AN480" si="87">"/* "&amp;IF($AF134&lt;&gt;"",$AF134," ")&amp;" : "&amp;$A134&amp;" = "&amp;LOWER($AH134)&amp;" */"</f>
        <v>/*   : BDC1SA1 = 0x4000035f */</v>
      </c>
    </row>
    <row r="418" spans="1:40" s="6" customFormat="1" ht="15">
      <c r="A418" s="15" t="str">
        <f t="shared" si="77"/>
        <v>DCM1S04</v>
      </c>
      <c r="B418" s="15" t="str">
        <f t="shared" si="77"/>
        <v>363</v>
      </c>
      <c r="C418" s="15" t="str">
        <f t="shared" si="77"/>
        <v>1</v>
      </c>
      <c r="D418" s="15">
        <f t="shared" si="77"/>
        <v>32</v>
      </c>
      <c r="E418" s="15"/>
      <c r="F418" s="15" t="str">
        <f t="shared" si="75"/>
        <v>0</v>
      </c>
      <c r="G418" s="16" t="str">
        <f t="shared" si="78"/>
        <v>R</v>
      </c>
      <c r="H418" s="16" t="str">
        <f t="shared" si="78"/>
        <v/>
      </c>
      <c r="I418" s="16" t="str">
        <f t="shared" si="78"/>
        <v/>
      </c>
      <c r="J418" s="5"/>
      <c r="X418" s="103"/>
      <c r="Z418" s="18"/>
      <c r="AA418" s="18"/>
      <c r="AB418" s="18"/>
      <c r="AC418" s="18"/>
      <c r="AE418" s="96"/>
      <c r="AF418" s="38" t="str">
        <f t="shared" si="79"/>
        <v/>
      </c>
      <c r="AG418" s="96" t="str">
        <f t="shared" si="80"/>
        <v xml:space="preserve">/* </v>
      </c>
      <c r="AH418" s="6" t="str">
        <f t="shared" si="81"/>
        <v>{(U4)0x00000200U,</v>
      </c>
      <c r="AI418" s="6" t="str">
        <f t="shared" si="82"/>
        <v>(U4)0x4000035dU,</v>
      </c>
      <c r="AJ418" s="6" t="str">
        <f t="shared" si="83"/>
        <v>(U4)0x40000363U,</v>
      </c>
      <c r="AK418" s="6" t="str">
        <f t="shared" si="84"/>
        <v>(U2)32U,</v>
      </c>
      <c r="AL418" s="6" t="str">
        <f t="shared" si="85"/>
        <v>(U2)87U},</v>
      </c>
      <c r="AM418" s="6" t="str">
        <f t="shared" si="86"/>
        <v xml:space="preserve"> */</v>
      </c>
      <c r="AN418" s="6" t="str">
        <f t="shared" si="87"/>
        <v>/*   : DCM1S04 = 0x40000363 */</v>
      </c>
    </row>
    <row r="419" spans="1:40" s="6" customFormat="1" ht="15">
      <c r="A419" s="15" t="str">
        <f t="shared" si="77"/>
        <v>BDC1S83</v>
      </c>
      <c r="B419" s="15" t="str">
        <f t="shared" si="77"/>
        <v>367</v>
      </c>
      <c r="C419" s="15" t="str">
        <f t="shared" si="77"/>
        <v>1</v>
      </c>
      <c r="D419" s="15">
        <f t="shared" si="77"/>
        <v>8</v>
      </c>
      <c r="E419" s="15"/>
      <c r="F419" s="15" t="str">
        <f t="shared" si="75"/>
        <v>0</v>
      </c>
      <c r="G419" s="16" t="str">
        <f t="shared" si="78"/>
        <v>R</v>
      </c>
      <c r="H419" s="16" t="str">
        <f t="shared" si="78"/>
        <v/>
      </c>
      <c r="I419" s="16" t="str">
        <f t="shared" si="78"/>
        <v/>
      </c>
      <c r="J419" s="5"/>
      <c r="X419" s="103"/>
      <c r="Z419" s="18"/>
      <c r="AA419" s="18"/>
      <c r="AB419" s="18"/>
      <c r="AC419" s="18"/>
      <c r="AE419" s="96"/>
      <c r="AF419" s="38">
        <f t="shared" si="79"/>
        <v>78</v>
      </c>
      <c r="AG419" s="96" t="str">
        <f t="shared" si="80"/>
        <v/>
      </c>
      <c r="AH419" s="6" t="str">
        <f t="shared" si="81"/>
        <v>{(U4)0x00000200U,</v>
      </c>
      <c r="AI419" s="6" t="str">
        <f t="shared" si="82"/>
        <v>(U4)0x40000367U,</v>
      </c>
      <c r="AJ419" s="6" t="str">
        <f t="shared" si="83"/>
        <v>(U4)0x4000036fU,</v>
      </c>
      <c r="AK419" s="6" t="str">
        <f t="shared" si="84"/>
        <v>(U2)8U,</v>
      </c>
      <c r="AL419" s="6" t="str">
        <f t="shared" si="85"/>
        <v>(U2)87U},</v>
      </c>
      <c r="AM419" s="6" t="str">
        <f t="shared" si="86"/>
        <v/>
      </c>
      <c r="AN419" s="6" t="str">
        <f t="shared" si="87"/>
        <v>/* 78 : BDC1S83 = 0x40000367 */</v>
      </c>
    </row>
    <row r="420" spans="1:40" s="6" customFormat="1" ht="15">
      <c r="A420" s="15" t="str">
        <f t="shared" si="77"/>
        <v>ITS1S01</v>
      </c>
      <c r="B420" s="15" t="str">
        <f t="shared" si="77"/>
        <v>36B</v>
      </c>
      <c r="C420" s="15" t="str">
        <f t="shared" si="77"/>
        <v>1</v>
      </c>
      <c r="D420" s="15">
        <f t="shared" si="77"/>
        <v>8</v>
      </c>
      <c r="E420" s="15"/>
      <c r="F420" s="15" t="str">
        <f t="shared" si="75"/>
        <v>0</v>
      </c>
      <c r="G420" s="16" t="str">
        <f t="shared" si="78"/>
        <v>R</v>
      </c>
      <c r="H420" s="16" t="str">
        <f t="shared" si="78"/>
        <v/>
      </c>
      <c r="I420" s="16" t="str">
        <f t="shared" si="78"/>
        <v/>
      </c>
      <c r="J420" s="5"/>
      <c r="X420" s="103"/>
      <c r="Z420" s="18"/>
      <c r="AA420" s="18"/>
      <c r="AB420" s="18"/>
      <c r="AC420" s="18"/>
      <c r="AE420" s="96"/>
      <c r="AF420" s="38" t="str">
        <f t="shared" si="79"/>
        <v/>
      </c>
      <c r="AG420" s="96" t="str">
        <f t="shared" si="80"/>
        <v xml:space="preserve">/* </v>
      </c>
      <c r="AH420" s="6" t="str">
        <f t="shared" si="81"/>
        <v>{(U4)0x00000200U,</v>
      </c>
      <c r="AI420" s="6" t="str">
        <f t="shared" si="82"/>
        <v>(U4)0x40000367U,</v>
      </c>
      <c r="AJ420" s="6" t="str">
        <f t="shared" si="83"/>
        <v>(U4)0x4000036fU,</v>
      </c>
      <c r="AK420" s="6" t="str">
        <f t="shared" si="84"/>
        <v>(U2)8U,</v>
      </c>
      <c r="AL420" s="6" t="str">
        <f t="shared" si="85"/>
        <v>(U2)87U},</v>
      </c>
      <c r="AM420" s="6" t="str">
        <f t="shared" si="86"/>
        <v xml:space="preserve"> */</v>
      </c>
      <c r="AN420" s="6" t="str">
        <f t="shared" si="87"/>
        <v>/*   : ITS1S01 = 0x4000036b */</v>
      </c>
    </row>
    <row r="421" spans="1:40" s="6" customFormat="1" ht="15">
      <c r="A421" s="15" t="str">
        <f t="shared" si="77"/>
        <v>TPM1S07</v>
      </c>
      <c r="B421" s="15" t="str">
        <f t="shared" si="77"/>
        <v>36F</v>
      </c>
      <c r="C421" s="15" t="str">
        <f t="shared" si="77"/>
        <v>1</v>
      </c>
      <c r="D421" s="15">
        <f t="shared" si="77"/>
        <v>8</v>
      </c>
      <c r="E421" s="15"/>
      <c r="F421" s="15" t="str">
        <f t="shared" ref="F421:F452" si="88">F138</f>
        <v>0</v>
      </c>
      <c r="G421" s="16" t="str">
        <f t="shared" si="78"/>
        <v>R</v>
      </c>
      <c r="H421" s="16" t="str">
        <f t="shared" si="78"/>
        <v/>
      </c>
      <c r="I421" s="16" t="str">
        <f t="shared" si="78"/>
        <v/>
      </c>
      <c r="J421" s="5"/>
      <c r="X421" s="103"/>
      <c r="Z421" s="18"/>
      <c r="AA421" s="18"/>
      <c r="AB421" s="18"/>
      <c r="AC421" s="18"/>
      <c r="AE421" s="96"/>
      <c r="AF421" s="38" t="str">
        <f t="shared" si="79"/>
        <v/>
      </c>
      <c r="AG421" s="96" t="str">
        <f t="shared" si="80"/>
        <v xml:space="preserve">/* </v>
      </c>
      <c r="AH421" s="6" t="str">
        <f t="shared" si="81"/>
        <v>{(U4)0x00000200U,</v>
      </c>
      <c r="AI421" s="6" t="str">
        <f t="shared" si="82"/>
        <v>(U4)0x40000367U,</v>
      </c>
      <c r="AJ421" s="6" t="str">
        <f t="shared" si="83"/>
        <v>(U4)0x4000036fU,</v>
      </c>
      <c r="AK421" s="6" t="str">
        <f t="shared" si="84"/>
        <v>(U2)8U,</v>
      </c>
      <c r="AL421" s="6" t="str">
        <f t="shared" si="85"/>
        <v>(U2)87U},</v>
      </c>
      <c r="AM421" s="6" t="str">
        <f t="shared" si="86"/>
        <v xml:space="preserve"> */</v>
      </c>
      <c r="AN421" s="6" t="str">
        <f t="shared" si="87"/>
        <v>/*   : TPM1S07 = 0x4000036f */</v>
      </c>
    </row>
    <row r="422" spans="1:40" s="6" customFormat="1" ht="15">
      <c r="A422" s="15" t="str">
        <f t="shared" si="77"/>
        <v>BDC1S45</v>
      </c>
      <c r="B422" s="15" t="str">
        <f t="shared" si="77"/>
        <v>364</v>
      </c>
      <c r="C422" s="15" t="str">
        <f t="shared" si="77"/>
        <v>1</v>
      </c>
      <c r="D422" s="15">
        <f t="shared" si="77"/>
        <v>8</v>
      </c>
      <c r="E422" s="15"/>
      <c r="F422" s="15" t="str">
        <f t="shared" si="88"/>
        <v>0</v>
      </c>
      <c r="G422" s="16" t="str">
        <f t="shared" si="78"/>
        <v>R</v>
      </c>
      <c r="H422" s="16" t="str">
        <f t="shared" si="78"/>
        <v/>
      </c>
      <c r="I422" s="16" t="str">
        <f t="shared" si="78"/>
        <v/>
      </c>
      <c r="J422" s="5"/>
      <c r="X422" s="103"/>
      <c r="Z422" s="18"/>
      <c r="AA422" s="18"/>
      <c r="AB422" s="18"/>
      <c r="AC422" s="18"/>
      <c r="AE422" s="96"/>
      <c r="AF422" s="38">
        <f t="shared" si="79"/>
        <v>79</v>
      </c>
      <c r="AG422" s="96" t="str">
        <f t="shared" si="80"/>
        <v/>
      </c>
      <c r="AH422" s="6" t="str">
        <f t="shared" si="81"/>
        <v>{(U4)0x00000200U,</v>
      </c>
      <c r="AI422" s="6" t="str">
        <f t="shared" si="82"/>
        <v>(U4)0x40000364U,</v>
      </c>
      <c r="AJ422" s="6" t="str">
        <f t="shared" si="83"/>
        <v>(U4)0x4000036cU,</v>
      </c>
      <c r="AK422" s="6" t="str">
        <f t="shared" si="84"/>
        <v>(U2)8U,</v>
      </c>
      <c r="AL422" s="6" t="str">
        <f t="shared" si="85"/>
        <v>(U2)87U},</v>
      </c>
      <c r="AM422" s="6" t="str">
        <f t="shared" si="86"/>
        <v/>
      </c>
      <c r="AN422" s="6" t="str">
        <f t="shared" si="87"/>
        <v>/* 79 : BDC1S45 = 0x40000364 */</v>
      </c>
    </row>
    <row r="423" spans="1:40" s="6" customFormat="1" ht="15">
      <c r="A423" s="15" t="str">
        <f t="shared" si="77"/>
        <v>BDC1S89</v>
      </c>
      <c r="B423" s="15" t="str">
        <f t="shared" si="77"/>
        <v>36C</v>
      </c>
      <c r="C423" s="15" t="str">
        <f t="shared" si="77"/>
        <v>1</v>
      </c>
      <c r="D423" s="15">
        <f t="shared" si="77"/>
        <v>8</v>
      </c>
      <c r="E423" s="15"/>
      <c r="F423" s="15" t="str">
        <f t="shared" si="88"/>
        <v>0</v>
      </c>
      <c r="G423" s="16" t="str">
        <f t="shared" si="78"/>
        <v>R</v>
      </c>
      <c r="H423" s="16" t="str">
        <f t="shared" si="78"/>
        <v/>
      </c>
      <c r="I423" s="16" t="str">
        <f t="shared" si="78"/>
        <v/>
      </c>
      <c r="J423" s="5"/>
      <c r="X423" s="103"/>
      <c r="Z423" s="18"/>
      <c r="AA423" s="18"/>
      <c r="AB423" s="18"/>
      <c r="AC423" s="18"/>
      <c r="AE423" s="96"/>
      <c r="AF423" s="38" t="str">
        <f t="shared" si="79"/>
        <v/>
      </c>
      <c r="AG423" s="96" t="str">
        <f t="shared" si="80"/>
        <v xml:space="preserve">/* </v>
      </c>
      <c r="AH423" s="6" t="str">
        <f t="shared" si="81"/>
        <v>{(U4)0x00000200U,</v>
      </c>
      <c r="AI423" s="6" t="str">
        <f t="shared" si="82"/>
        <v>(U4)0x40000364U,</v>
      </c>
      <c r="AJ423" s="6" t="str">
        <f t="shared" si="83"/>
        <v>(U4)0x4000036cU,</v>
      </c>
      <c r="AK423" s="6" t="str">
        <f t="shared" si="84"/>
        <v>(U2)8U,</v>
      </c>
      <c r="AL423" s="6" t="str">
        <f t="shared" si="85"/>
        <v>(U2)87U},</v>
      </c>
      <c r="AM423" s="6" t="str">
        <f t="shared" si="86"/>
        <v xml:space="preserve"> */</v>
      </c>
      <c r="AN423" s="6" t="str">
        <f t="shared" si="87"/>
        <v>/*   : BDC1S89 = 0x4000036c */</v>
      </c>
    </row>
    <row r="424" spans="1:40" s="6" customFormat="1" ht="15">
      <c r="A424" s="15" t="str">
        <f t="shared" si="77"/>
        <v>ZN11S60</v>
      </c>
      <c r="B424" s="15" t="str">
        <f t="shared" si="77"/>
        <v>36E</v>
      </c>
      <c r="C424" s="15" t="str">
        <f t="shared" si="77"/>
        <v>1</v>
      </c>
      <c r="D424" s="15">
        <f t="shared" si="77"/>
        <v>32</v>
      </c>
      <c r="E424" s="15"/>
      <c r="F424" s="15" t="str">
        <f t="shared" si="88"/>
        <v>0</v>
      </c>
      <c r="G424" s="16" t="str">
        <f t="shared" si="78"/>
        <v>R</v>
      </c>
      <c r="H424" s="16" t="str">
        <f t="shared" si="78"/>
        <v/>
      </c>
      <c r="I424" s="16" t="str">
        <f t="shared" si="78"/>
        <v/>
      </c>
      <c r="J424" s="5"/>
      <c r="X424" s="103"/>
      <c r="Z424" s="18"/>
      <c r="AA424" s="18"/>
      <c r="AB424" s="18"/>
      <c r="AC424" s="18"/>
      <c r="AE424" s="96"/>
      <c r="AF424" s="38">
        <f t="shared" si="79"/>
        <v>80</v>
      </c>
      <c r="AG424" s="96" t="str">
        <f t="shared" si="80"/>
        <v/>
      </c>
      <c r="AH424" s="6" t="str">
        <f t="shared" si="81"/>
        <v>{(U4)0x00000200U,</v>
      </c>
      <c r="AI424" s="6" t="str">
        <f t="shared" si="82"/>
        <v>(U4)0x4000036eU,</v>
      </c>
      <c r="AJ424" s="6" t="str">
        <f t="shared" si="83"/>
        <v>(U4)0x4000036eU,</v>
      </c>
      <c r="AK424" s="6" t="str">
        <f t="shared" si="84"/>
        <v>(U2)32U,</v>
      </c>
      <c r="AL424" s="6" t="str">
        <f t="shared" si="85"/>
        <v>(U2)87U},</v>
      </c>
      <c r="AM424" s="6" t="str">
        <f t="shared" si="86"/>
        <v/>
      </c>
      <c r="AN424" s="6" t="str">
        <f t="shared" si="87"/>
        <v>/* 80 : ZN11S60 = 0x4000036e */</v>
      </c>
    </row>
    <row r="425" spans="1:40" s="6" customFormat="1" ht="15">
      <c r="A425" s="15" t="str">
        <f t="shared" si="77"/>
        <v>BCC1S05</v>
      </c>
      <c r="B425" s="15" t="str">
        <f t="shared" si="77"/>
        <v>379</v>
      </c>
      <c r="C425" s="15" t="str">
        <f t="shared" si="77"/>
        <v>1</v>
      </c>
      <c r="D425" s="15">
        <f t="shared" si="77"/>
        <v>8</v>
      </c>
      <c r="E425" s="15"/>
      <c r="F425" s="15" t="str">
        <f t="shared" si="88"/>
        <v>0</v>
      </c>
      <c r="G425" s="16" t="str">
        <f t="shared" si="78"/>
        <v>R</v>
      </c>
      <c r="H425" s="16" t="str">
        <f t="shared" si="78"/>
        <v/>
      </c>
      <c r="I425" s="16" t="str">
        <f t="shared" si="78"/>
        <v/>
      </c>
      <c r="J425" s="5"/>
      <c r="X425" s="103"/>
      <c r="AE425" s="96"/>
      <c r="AF425" s="38">
        <f t="shared" si="79"/>
        <v>81</v>
      </c>
      <c r="AG425" s="96" t="str">
        <f t="shared" si="80"/>
        <v/>
      </c>
      <c r="AH425" s="6" t="str">
        <f t="shared" si="81"/>
        <v>{(U4)0x00000200U,</v>
      </c>
      <c r="AI425" s="6" t="str">
        <f t="shared" si="82"/>
        <v>(U4)0x40000379U,</v>
      </c>
      <c r="AJ425" s="6" t="str">
        <f t="shared" si="83"/>
        <v>(U4)0x40000379U,</v>
      </c>
      <c r="AK425" s="6" t="str">
        <f t="shared" si="84"/>
        <v>(U2)8U,</v>
      </c>
      <c r="AL425" s="6" t="str">
        <f t="shared" si="85"/>
        <v>(U2)87U},</v>
      </c>
      <c r="AM425" s="6" t="str">
        <f t="shared" si="86"/>
        <v/>
      </c>
      <c r="AN425" s="6" t="str">
        <f t="shared" si="87"/>
        <v>/* 81 : BCC1S05 = 0x40000379 */</v>
      </c>
    </row>
    <row r="426" spans="1:40" s="6" customFormat="1" ht="15">
      <c r="A426" s="15" t="str">
        <f t="shared" si="77"/>
        <v>BDF3S01</v>
      </c>
      <c r="B426" s="15" t="str">
        <f t="shared" si="77"/>
        <v>37B</v>
      </c>
      <c r="C426" s="15" t="str">
        <f t="shared" si="77"/>
        <v>1</v>
      </c>
      <c r="D426" s="15">
        <f t="shared" si="77"/>
        <v>32</v>
      </c>
      <c r="E426" s="15"/>
      <c r="F426" s="15" t="str">
        <f t="shared" si="88"/>
        <v>1</v>
      </c>
      <c r="G426" s="16" t="str">
        <f t="shared" si="78"/>
        <v>R</v>
      </c>
      <c r="H426" s="16" t="str">
        <f t="shared" si="78"/>
        <v/>
      </c>
      <c r="I426" s="16" t="str">
        <f t="shared" si="78"/>
        <v/>
      </c>
      <c r="J426" s="5"/>
      <c r="X426" s="103"/>
      <c r="AE426" s="96"/>
      <c r="AF426" s="38">
        <f t="shared" si="79"/>
        <v>82</v>
      </c>
      <c r="AG426" s="96" t="str">
        <f t="shared" si="80"/>
        <v/>
      </c>
      <c r="AH426" s="6" t="str">
        <f t="shared" si="81"/>
        <v>{(U4)0x00000200U,</v>
      </c>
      <c r="AI426" s="6" t="str">
        <f t="shared" si="82"/>
        <v>(U4)0x4000037bU,</v>
      </c>
      <c r="AJ426" s="6" t="str">
        <f t="shared" si="83"/>
        <v>(U4)0x400003f9U,</v>
      </c>
      <c r="AK426" s="6" t="str">
        <f t="shared" si="84"/>
        <v>(U2)32U,</v>
      </c>
      <c r="AL426" s="6" t="str">
        <f t="shared" si="85"/>
        <v>(U2)87U},</v>
      </c>
      <c r="AM426" s="6" t="str">
        <f t="shared" si="86"/>
        <v/>
      </c>
      <c r="AN426" s="6" t="str">
        <f t="shared" si="87"/>
        <v>/* 82 : BDF3S01 = 0x4000037b */</v>
      </c>
    </row>
    <row r="427" spans="1:40" s="6" customFormat="1">
      <c r="A427" s="15" t="str">
        <f t="shared" si="77"/>
        <v>ZN11S65</v>
      </c>
      <c r="B427" s="15" t="str">
        <f t="shared" si="77"/>
        <v>3F9</v>
      </c>
      <c r="C427" s="15" t="str">
        <f t="shared" si="77"/>
        <v>1</v>
      </c>
      <c r="D427" s="15">
        <f t="shared" si="77"/>
        <v>32</v>
      </c>
      <c r="E427" s="15"/>
      <c r="F427" s="15" t="str">
        <f t="shared" si="88"/>
        <v>0</v>
      </c>
      <c r="G427" s="16" t="str">
        <f t="shared" si="78"/>
        <v>R</v>
      </c>
      <c r="H427" s="16" t="str">
        <f t="shared" si="78"/>
        <v/>
      </c>
      <c r="I427" s="16" t="str">
        <f t="shared" si="78"/>
        <v/>
      </c>
      <c r="J427" s="5"/>
      <c r="X427" s="89"/>
      <c r="AE427" s="96"/>
      <c r="AF427" s="38" t="str">
        <f t="shared" si="79"/>
        <v/>
      </c>
      <c r="AG427" s="96" t="str">
        <f t="shared" si="80"/>
        <v xml:space="preserve">/* </v>
      </c>
      <c r="AH427" s="6" t="str">
        <f t="shared" si="81"/>
        <v>{(U4)0x00000200U,</v>
      </c>
      <c r="AI427" s="6" t="str">
        <f t="shared" si="82"/>
        <v>(U4)0x4000037bU,</v>
      </c>
      <c r="AJ427" s="6" t="str">
        <f t="shared" si="83"/>
        <v>(U4)0x400003f9U,</v>
      </c>
      <c r="AK427" s="6" t="str">
        <f t="shared" si="84"/>
        <v>(U2)32U,</v>
      </c>
      <c r="AL427" s="6" t="str">
        <f t="shared" si="85"/>
        <v>(U2)87U},</v>
      </c>
      <c r="AM427" s="6" t="str">
        <f t="shared" si="86"/>
        <v xml:space="preserve"> */</v>
      </c>
      <c r="AN427" s="6" t="str">
        <f t="shared" si="87"/>
        <v>/*   : ZN11S65 = 0x400003f9 */</v>
      </c>
    </row>
    <row r="428" spans="1:40" s="6" customFormat="1">
      <c r="A428" s="15" t="str">
        <f t="shared" si="77"/>
        <v>IDT1S07</v>
      </c>
      <c r="B428" s="15" t="str">
        <f t="shared" si="77"/>
        <v>3FB</v>
      </c>
      <c r="C428" s="15" t="str">
        <f t="shared" si="77"/>
        <v>1</v>
      </c>
      <c r="D428" s="15">
        <f t="shared" si="77"/>
        <v>8</v>
      </c>
      <c r="E428" s="15"/>
      <c r="F428" s="15" t="str">
        <f t="shared" si="88"/>
        <v>0</v>
      </c>
      <c r="G428" s="16" t="str">
        <f t="shared" si="78"/>
        <v>R</v>
      </c>
      <c r="H428" s="16" t="str">
        <f t="shared" si="78"/>
        <v/>
      </c>
      <c r="I428" s="16" t="str">
        <f t="shared" si="78"/>
        <v/>
      </c>
      <c r="J428" s="5"/>
      <c r="X428" s="89"/>
      <c r="AE428" s="96"/>
      <c r="AF428" s="38">
        <f t="shared" si="79"/>
        <v>83</v>
      </c>
      <c r="AG428" s="96" t="str">
        <f t="shared" si="80"/>
        <v/>
      </c>
      <c r="AH428" s="6" t="str">
        <f t="shared" si="81"/>
        <v>{(U4)0x00000200U,</v>
      </c>
      <c r="AI428" s="6" t="str">
        <f t="shared" si="82"/>
        <v>(U4)0x400003fbU,</v>
      </c>
      <c r="AJ428" s="6" t="str">
        <f t="shared" si="83"/>
        <v>(U4)0x400003fbU,</v>
      </c>
      <c r="AK428" s="6" t="str">
        <f t="shared" si="84"/>
        <v>(U2)8U,</v>
      </c>
      <c r="AL428" s="6" t="str">
        <f t="shared" si="85"/>
        <v>(U2)87U},</v>
      </c>
      <c r="AM428" s="6" t="str">
        <f t="shared" si="86"/>
        <v/>
      </c>
      <c r="AN428" s="6" t="str">
        <f t="shared" si="87"/>
        <v>/* 83 : IDT1S07 = 0x400003fb */</v>
      </c>
    </row>
    <row r="429" spans="1:40" s="6" customFormat="1">
      <c r="A429" s="15" t="str">
        <f t="shared" ref="A429:D448" si="89">A146</f>
        <v>ZN11S02</v>
      </c>
      <c r="B429" s="15" t="str">
        <f t="shared" si="89"/>
        <v>37F</v>
      </c>
      <c r="C429" s="15" t="str">
        <f t="shared" si="89"/>
        <v>1</v>
      </c>
      <c r="D429" s="15">
        <f t="shared" si="89"/>
        <v>8</v>
      </c>
      <c r="E429" s="15"/>
      <c r="F429" s="15" t="str">
        <f t="shared" si="88"/>
        <v>0</v>
      </c>
      <c r="G429" s="16" t="str">
        <f t="shared" ref="G429:I448" si="90">IF(G146&lt;&gt;"",G146,"")</f>
        <v>R</v>
      </c>
      <c r="H429" s="16" t="str">
        <f t="shared" si="90"/>
        <v/>
      </c>
      <c r="I429" s="16" t="str">
        <f t="shared" si="90"/>
        <v/>
      </c>
      <c r="J429" s="5"/>
      <c r="X429" s="89"/>
      <c r="AE429" s="96"/>
      <c r="AF429" s="38">
        <f t="shared" si="79"/>
        <v>84</v>
      </c>
      <c r="AG429" s="96" t="str">
        <f t="shared" si="80"/>
        <v/>
      </c>
      <c r="AH429" s="6" t="str">
        <f t="shared" si="81"/>
        <v>{(U4)0x00000200U,</v>
      </c>
      <c r="AI429" s="6" t="str">
        <f t="shared" si="82"/>
        <v>(U4)0x4000037fU,</v>
      </c>
      <c r="AJ429" s="6" t="str">
        <f t="shared" si="83"/>
        <v>(U4)0x40000380U,</v>
      </c>
      <c r="AK429" s="6" t="str">
        <f t="shared" si="84"/>
        <v>(U2)8U,</v>
      </c>
      <c r="AL429" s="6" t="str">
        <f t="shared" si="85"/>
        <v>(U2)87U},</v>
      </c>
      <c r="AM429" s="6" t="str">
        <f t="shared" si="86"/>
        <v/>
      </c>
      <c r="AN429" s="6" t="str">
        <f t="shared" si="87"/>
        <v>/* 84 : ZN11S02 = 0x4000037f */</v>
      </c>
    </row>
    <row r="430" spans="1:40" s="6" customFormat="1">
      <c r="A430" s="15" t="str">
        <f t="shared" si="89"/>
        <v>BDB1S05</v>
      </c>
      <c r="B430" s="15" t="str">
        <f t="shared" si="89"/>
        <v>380</v>
      </c>
      <c r="C430" s="15" t="str">
        <f t="shared" si="89"/>
        <v>1</v>
      </c>
      <c r="D430" s="15">
        <f t="shared" si="89"/>
        <v>8</v>
      </c>
      <c r="E430" s="15"/>
      <c r="F430" s="15" t="str">
        <f t="shared" si="88"/>
        <v>0</v>
      </c>
      <c r="G430" s="16" t="str">
        <f t="shared" si="90"/>
        <v>R</v>
      </c>
      <c r="H430" s="16" t="str">
        <f t="shared" si="90"/>
        <v/>
      </c>
      <c r="I430" s="16" t="str">
        <f t="shared" si="90"/>
        <v/>
      </c>
      <c r="J430" s="5"/>
      <c r="X430" s="89"/>
      <c r="AE430" s="96"/>
      <c r="AF430" s="38" t="str">
        <f t="shared" si="79"/>
        <v/>
      </c>
      <c r="AG430" s="96" t="str">
        <f t="shared" si="80"/>
        <v xml:space="preserve">/* </v>
      </c>
      <c r="AH430" s="6" t="str">
        <f t="shared" si="81"/>
        <v>{(U4)0x00000200U,</v>
      </c>
      <c r="AI430" s="6" t="str">
        <f t="shared" si="82"/>
        <v>(U4)0x4000037fU,</v>
      </c>
      <c r="AJ430" s="6" t="str">
        <f t="shared" si="83"/>
        <v>(U4)0x40000380U,</v>
      </c>
      <c r="AK430" s="6" t="str">
        <f t="shared" si="84"/>
        <v>(U2)8U,</v>
      </c>
      <c r="AL430" s="6" t="str">
        <f t="shared" si="85"/>
        <v>(U2)87U},</v>
      </c>
      <c r="AM430" s="6" t="str">
        <f t="shared" si="86"/>
        <v xml:space="preserve"> */</v>
      </c>
      <c r="AN430" s="6" t="str">
        <f t="shared" si="87"/>
        <v>/*   : BDB1S05 = 0x40000380 */</v>
      </c>
    </row>
    <row r="431" spans="1:40" s="6" customFormat="1">
      <c r="A431" s="15" t="str">
        <f t="shared" si="89"/>
        <v>ACN1S04</v>
      </c>
      <c r="B431" s="15" t="str">
        <f t="shared" si="89"/>
        <v>381</v>
      </c>
      <c r="C431" s="15" t="str">
        <f t="shared" si="89"/>
        <v>1</v>
      </c>
      <c r="D431" s="15">
        <f t="shared" si="89"/>
        <v>32</v>
      </c>
      <c r="E431" s="15"/>
      <c r="F431" s="15" t="str">
        <f t="shared" si="88"/>
        <v>0</v>
      </c>
      <c r="G431" s="16" t="str">
        <f t="shared" si="90"/>
        <v>R</v>
      </c>
      <c r="H431" s="16" t="str">
        <f t="shared" si="90"/>
        <v/>
      </c>
      <c r="I431" s="16" t="str">
        <f t="shared" si="90"/>
        <v/>
      </c>
      <c r="J431" s="5"/>
      <c r="X431" s="89"/>
      <c r="AE431" s="96"/>
      <c r="AF431" s="38">
        <f t="shared" si="79"/>
        <v>85</v>
      </c>
      <c r="AG431" s="96" t="str">
        <f t="shared" si="80"/>
        <v/>
      </c>
      <c r="AH431" s="6" t="str">
        <f t="shared" si="81"/>
        <v>{(U4)0x00000200U,</v>
      </c>
      <c r="AI431" s="6" t="str">
        <f t="shared" si="82"/>
        <v>(U4)0x40000381U,</v>
      </c>
      <c r="AJ431" s="6" t="str">
        <f t="shared" si="83"/>
        <v>(U4)0x40000381U,</v>
      </c>
      <c r="AK431" s="6" t="str">
        <f t="shared" si="84"/>
        <v>(U2)32U,</v>
      </c>
      <c r="AL431" s="6" t="str">
        <f t="shared" si="85"/>
        <v>(U2)87U},</v>
      </c>
      <c r="AM431" s="6" t="str">
        <f t="shared" si="86"/>
        <v/>
      </c>
      <c r="AN431" s="6" t="str">
        <f t="shared" si="87"/>
        <v>/* 85 : ACN1S04 = 0x40000381 */</v>
      </c>
    </row>
    <row r="432" spans="1:40" s="6" customFormat="1">
      <c r="A432" s="15" t="str">
        <f t="shared" si="89"/>
        <v>ZN11S03</v>
      </c>
      <c r="B432" s="15" t="str">
        <f t="shared" si="89"/>
        <v>38A</v>
      </c>
      <c r="C432" s="15" t="str">
        <f t="shared" si="89"/>
        <v>1</v>
      </c>
      <c r="D432" s="15">
        <f t="shared" si="89"/>
        <v>8</v>
      </c>
      <c r="E432" s="15"/>
      <c r="F432" s="15" t="str">
        <f t="shared" si="88"/>
        <v>0</v>
      </c>
      <c r="G432" s="16" t="str">
        <f t="shared" si="90"/>
        <v>R</v>
      </c>
      <c r="H432" s="16" t="str">
        <f t="shared" si="90"/>
        <v/>
      </c>
      <c r="I432" s="16" t="str">
        <f t="shared" si="90"/>
        <v/>
      </c>
      <c r="J432" s="5"/>
      <c r="X432" s="89"/>
      <c r="AE432" s="96"/>
      <c r="AF432" s="38">
        <f t="shared" si="79"/>
        <v>86</v>
      </c>
      <c r="AG432" s="96" t="str">
        <f t="shared" si="80"/>
        <v/>
      </c>
      <c r="AH432" s="6" t="str">
        <f t="shared" si="81"/>
        <v>{(U4)0x00000200U,</v>
      </c>
      <c r="AI432" s="6" t="str">
        <f t="shared" si="82"/>
        <v>(U4)0x4000038aU,</v>
      </c>
      <c r="AJ432" s="6" t="str">
        <f t="shared" si="83"/>
        <v>(U4)0x4000038bU,</v>
      </c>
      <c r="AK432" s="6" t="str">
        <f t="shared" si="84"/>
        <v>(U2)8U,</v>
      </c>
      <c r="AL432" s="6" t="str">
        <f t="shared" si="85"/>
        <v>(U2)87U},</v>
      </c>
      <c r="AM432" s="6" t="str">
        <f t="shared" si="86"/>
        <v/>
      </c>
      <c r="AN432" s="6" t="str">
        <f t="shared" si="87"/>
        <v>/* 86 : ZN11S03 = 0x4000038a */</v>
      </c>
    </row>
    <row r="433" spans="1:40" s="6" customFormat="1">
      <c r="A433" s="15" t="str">
        <f t="shared" si="89"/>
        <v>BDB1F01</v>
      </c>
      <c r="B433" s="15" t="str">
        <f t="shared" si="89"/>
        <v>38B</v>
      </c>
      <c r="C433" s="15" t="str">
        <f t="shared" si="89"/>
        <v>1</v>
      </c>
      <c r="D433" s="15">
        <f t="shared" si="89"/>
        <v>8</v>
      </c>
      <c r="E433" s="15"/>
      <c r="F433" s="15" t="str">
        <f t="shared" si="88"/>
        <v>0</v>
      </c>
      <c r="G433" s="16" t="str">
        <f t="shared" si="90"/>
        <v>R</v>
      </c>
      <c r="H433" s="16" t="str">
        <f t="shared" si="90"/>
        <v/>
      </c>
      <c r="I433" s="16" t="str">
        <f t="shared" si="90"/>
        <v/>
      </c>
      <c r="J433" s="5"/>
      <c r="X433" s="89"/>
      <c r="AE433" s="96"/>
      <c r="AF433" s="38" t="str">
        <f t="shared" si="79"/>
        <v/>
      </c>
      <c r="AG433" s="96" t="str">
        <f t="shared" si="80"/>
        <v xml:space="preserve">/* </v>
      </c>
      <c r="AH433" s="6" t="str">
        <f t="shared" si="81"/>
        <v>{(U4)0x00000200U,</v>
      </c>
      <c r="AI433" s="6" t="str">
        <f t="shared" si="82"/>
        <v>(U4)0x4000038aU,</v>
      </c>
      <c r="AJ433" s="6" t="str">
        <f t="shared" si="83"/>
        <v>(U4)0x4000038bU,</v>
      </c>
      <c r="AK433" s="6" t="str">
        <f t="shared" si="84"/>
        <v>(U2)8U,</v>
      </c>
      <c r="AL433" s="6" t="str">
        <f t="shared" si="85"/>
        <v>(U2)87U},</v>
      </c>
      <c r="AM433" s="6" t="str">
        <f t="shared" si="86"/>
        <v xml:space="preserve"> */</v>
      </c>
      <c r="AN433" s="6" t="str">
        <f t="shared" si="87"/>
        <v>/*   : BDB1F01 = 0x4000038b */</v>
      </c>
    </row>
    <row r="434" spans="1:40" s="6" customFormat="1">
      <c r="A434" s="15" t="str">
        <f t="shared" si="89"/>
        <v>BDC1SC4</v>
      </c>
      <c r="B434" s="15" t="str">
        <f t="shared" si="89"/>
        <v>39A</v>
      </c>
      <c r="C434" s="15" t="str">
        <f t="shared" si="89"/>
        <v>1</v>
      </c>
      <c r="D434" s="15">
        <f t="shared" si="89"/>
        <v>64</v>
      </c>
      <c r="E434" s="15"/>
      <c r="F434" s="15" t="str">
        <f t="shared" si="88"/>
        <v>1</v>
      </c>
      <c r="G434" s="16" t="str">
        <f t="shared" si="90"/>
        <v>R</v>
      </c>
      <c r="H434" s="16" t="str">
        <f t="shared" si="90"/>
        <v/>
      </c>
      <c r="I434" s="16" t="str">
        <f t="shared" si="90"/>
        <v/>
      </c>
      <c r="J434" s="5"/>
      <c r="X434" s="89"/>
      <c r="AE434" s="96"/>
      <c r="AF434" s="38">
        <f t="shared" si="79"/>
        <v>87</v>
      </c>
      <c r="AG434" s="96" t="str">
        <f t="shared" si="80"/>
        <v/>
      </c>
      <c r="AH434" s="6" t="str">
        <f t="shared" si="81"/>
        <v>{(U4)0x00000002U,</v>
      </c>
      <c r="AI434" s="6" t="str">
        <f t="shared" si="82"/>
        <v>(U4)0x4000039aU,</v>
      </c>
      <c r="AJ434" s="6" t="str">
        <f t="shared" si="83"/>
        <v>(U4)0x4000039aU,</v>
      </c>
      <c r="AK434" s="6" t="str">
        <f t="shared" si="84"/>
        <v>(U2)64U,</v>
      </c>
      <c r="AL434" s="6" t="str">
        <f t="shared" si="85"/>
        <v>(U2)15U},</v>
      </c>
      <c r="AM434" s="6" t="str">
        <f t="shared" si="86"/>
        <v/>
      </c>
      <c r="AN434" s="6" t="str">
        <f t="shared" si="87"/>
        <v>/* 87 : BDC1SC4 = 0x4000039a */</v>
      </c>
    </row>
    <row r="435" spans="1:40" s="6" customFormat="1">
      <c r="A435" s="15" t="str">
        <f t="shared" si="89"/>
        <v>BDC1SC5</v>
      </c>
      <c r="B435" s="15" t="str">
        <f t="shared" si="89"/>
        <v>39B</v>
      </c>
      <c r="C435" s="15" t="str">
        <f t="shared" si="89"/>
        <v>1</v>
      </c>
      <c r="D435" s="15">
        <f t="shared" si="89"/>
        <v>64</v>
      </c>
      <c r="E435" s="15"/>
      <c r="F435" s="15" t="str">
        <f t="shared" si="88"/>
        <v>1</v>
      </c>
      <c r="G435" s="16" t="str">
        <f t="shared" si="90"/>
        <v>R</v>
      </c>
      <c r="H435" s="16" t="str">
        <f t="shared" si="90"/>
        <v/>
      </c>
      <c r="I435" s="16" t="str">
        <f t="shared" si="90"/>
        <v/>
      </c>
      <c r="J435" s="5"/>
      <c r="X435" s="89"/>
      <c r="AE435" s="96"/>
      <c r="AF435" s="38">
        <f t="shared" si="79"/>
        <v>88</v>
      </c>
      <c r="AG435" s="96" t="str">
        <f t="shared" si="80"/>
        <v/>
      </c>
      <c r="AH435" s="6" t="str">
        <f t="shared" si="81"/>
        <v>{(U4)0x00000002U,</v>
      </c>
      <c r="AI435" s="6" t="str">
        <f t="shared" si="82"/>
        <v>(U4)0x4000039bU,</v>
      </c>
      <c r="AJ435" s="6" t="str">
        <f t="shared" si="83"/>
        <v>(U4)0x4000039bU,</v>
      </c>
      <c r="AK435" s="6" t="str">
        <f t="shared" si="84"/>
        <v>(U2)64U,</v>
      </c>
      <c r="AL435" s="6" t="str">
        <f t="shared" si="85"/>
        <v>(U2)18U},</v>
      </c>
      <c r="AM435" s="6" t="str">
        <f t="shared" si="86"/>
        <v/>
      </c>
      <c r="AN435" s="6" t="str">
        <f t="shared" si="87"/>
        <v>/* 88 : BDC1SC5 = 0x4000039b */</v>
      </c>
    </row>
    <row r="436" spans="1:40" s="6" customFormat="1">
      <c r="A436" s="15" t="str">
        <f t="shared" si="89"/>
        <v>BDB1F02</v>
      </c>
      <c r="B436" s="15" t="str">
        <f t="shared" si="89"/>
        <v>38D</v>
      </c>
      <c r="C436" s="15" t="str">
        <f t="shared" si="89"/>
        <v>1</v>
      </c>
      <c r="D436" s="15">
        <f t="shared" si="89"/>
        <v>8</v>
      </c>
      <c r="E436" s="15"/>
      <c r="F436" s="15" t="str">
        <f t="shared" si="88"/>
        <v>0</v>
      </c>
      <c r="G436" s="16" t="str">
        <f t="shared" si="90"/>
        <v>R</v>
      </c>
      <c r="H436" s="16" t="str">
        <f t="shared" si="90"/>
        <v/>
      </c>
      <c r="I436" s="16" t="str">
        <f t="shared" si="90"/>
        <v/>
      </c>
      <c r="J436" s="5"/>
      <c r="X436" s="89"/>
      <c r="AE436" s="96"/>
      <c r="AF436" s="38">
        <f t="shared" si="79"/>
        <v>89</v>
      </c>
      <c r="AG436" s="96" t="str">
        <f t="shared" si="80"/>
        <v/>
      </c>
      <c r="AH436" s="6" t="str">
        <f t="shared" si="81"/>
        <v>{(U4)0x00000200U,</v>
      </c>
      <c r="AI436" s="6" t="str">
        <f t="shared" si="82"/>
        <v>(U4)0x4000038dU,</v>
      </c>
      <c r="AJ436" s="6" t="str">
        <f t="shared" si="83"/>
        <v>(U4)0x4000038dU,</v>
      </c>
      <c r="AK436" s="6" t="str">
        <f t="shared" si="84"/>
        <v>(U2)8U,</v>
      </c>
      <c r="AL436" s="6" t="str">
        <f t="shared" si="85"/>
        <v>(U2)87U},</v>
      </c>
      <c r="AM436" s="6" t="str">
        <f t="shared" si="86"/>
        <v/>
      </c>
      <c r="AN436" s="6" t="str">
        <f t="shared" si="87"/>
        <v>/* 89 : BDB1F02 = 0x4000038d */</v>
      </c>
    </row>
    <row r="437" spans="1:40" s="6" customFormat="1">
      <c r="A437" s="15" t="str">
        <f t="shared" si="89"/>
        <v>BDC1SC6</v>
      </c>
      <c r="B437" s="15" t="str">
        <f t="shared" si="89"/>
        <v>39D</v>
      </c>
      <c r="C437" s="15" t="str">
        <f t="shared" si="89"/>
        <v>1</v>
      </c>
      <c r="D437" s="15">
        <f t="shared" si="89"/>
        <v>64</v>
      </c>
      <c r="E437" s="15"/>
      <c r="F437" s="15" t="str">
        <f t="shared" si="88"/>
        <v>1</v>
      </c>
      <c r="G437" s="16" t="str">
        <f t="shared" si="90"/>
        <v>R</v>
      </c>
      <c r="H437" s="16" t="str">
        <f t="shared" si="90"/>
        <v/>
      </c>
      <c r="I437" s="16" t="str">
        <f t="shared" si="90"/>
        <v/>
      </c>
      <c r="J437" s="5"/>
      <c r="X437" s="89"/>
      <c r="AE437" s="96"/>
      <c r="AF437" s="38">
        <f t="shared" si="79"/>
        <v>90</v>
      </c>
      <c r="AG437" s="96" t="str">
        <f t="shared" si="80"/>
        <v/>
      </c>
      <c r="AH437" s="6" t="str">
        <f t="shared" si="81"/>
        <v>{(U4)0x00000002U,</v>
      </c>
      <c r="AI437" s="6" t="str">
        <f t="shared" si="82"/>
        <v>(U4)0x4000039dU,</v>
      </c>
      <c r="AJ437" s="6" t="str">
        <f t="shared" si="83"/>
        <v>(U4)0x4000039dU,</v>
      </c>
      <c r="AK437" s="6" t="str">
        <f t="shared" si="84"/>
        <v>(U2)64U,</v>
      </c>
      <c r="AL437" s="6" t="str">
        <f t="shared" si="85"/>
        <v>(U2)21U},</v>
      </c>
      <c r="AM437" s="6" t="str">
        <f t="shared" si="86"/>
        <v/>
      </c>
      <c r="AN437" s="6" t="str">
        <f t="shared" si="87"/>
        <v>/* 90 : BDC1SC6 = 0x4000039d */</v>
      </c>
    </row>
    <row r="438" spans="1:40" s="6" customFormat="1">
      <c r="A438" s="15" t="str">
        <f t="shared" si="89"/>
        <v>BDC1SD9</v>
      </c>
      <c r="B438" s="15" t="str">
        <f t="shared" si="89"/>
        <v>3CD</v>
      </c>
      <c r="C438" s="15" t="str">
        <f t="shared" si="89"/>
        <v>1</v>
      </c>
      <c r="D438" s="15">
        <f t="shared" si="89"/>
        <v>64</v>
      </c>
      <c r="E438" s="15"/>
      <c r="F438" s="15" t="str">
        <f t="shared" si="88"/>
        <v>1</v>
      </c>
      <c r="G438" s="16" t="str">
        <f t="shared" si="90"/>
        <v>R</v>
      </c>
      <c r="H438" s="16" t="str">
        <f t="shared" si="90"/>
        <v/>
      </c>
      <c r="I438" s="16" t="str">
        <f t="shared" si="90"/>
        <v/>
      </c>
      <c r="J438" s="5"/>
      <c r="X438" s="89"/>
      <c r="AE438" s="96"/>
      <c r="AF438" s="38">
        <f t="shared" si="79"/>
        <v>91</v>
      </c>
      <c r="AG438" s="96" t="str">
        <f t="shared" si="80"/>
        <v/>
      </c>
      <c r="AH438" s="6" t="str">
        <f t="shared" si="81"/>
        <v>{(U4)0x00000002U,</v>
      </c>
      <c r="AI438" s="6" t="str">
        <f t="shared" si="82"/>
        <v>(U4)0x400003cdU,</v>
      </c>
      <c r="AJ438" s="6" t="str">
        <f t="shared" si="83"/>
        <v>(U4)0x400003cdU,</v>
      </c>
      <c r="AK438" s="6" t="str">
        <f t="shared" si="84"/>
        <v>(U2)64U,</v>
      </c>
      <c r="AL438" s="6" t="str">
        <f t="shared" si="85"/>
        <v>(U2)24U},</v>
      </c>
      <c r="AM438" s="6" t="str">
        <f t="shared" si="86"/>
        <v/>
      </c>
      <c r="AN438" s="6" t="str">
        <f t="shared" si="87"/>
        <v>/* 91 : BDC1SD9 = 0x400003cd */</v>
      </c>
    </row>
    <row r="439" spans="1:40" s="6" customFormat="1">
      <c r="A439" s="15" t="str">
        <f t="shared" si="89"/>
        <v>BDC1SE3</v>
      </c>
      <c r="B439" s="15" t="str">
        <f t="shared" si="89"/>
        <v>3DD</v>
      </c>
      <c r="C439" s="15" t="str">
        <f t="shared" si="89"/>
        <v>1</v>
      </c>
      <c r="D439" s="15">
        <f t="shared" si="89"/>
        <v>64</v>
      </c>
      <c r="E439" s="15"/>
      <c r="F439" s="15" t="str">
        <f t="shared" si="88"/>
        <v>1</v>
      </c>
      <c r="G439" s="16" t="str">
        <f t="shared" si="90"/>
        <v>R</v>
      </c>
      <c r="H439" s="16" t="str">
        <f t="shared" si="90"/>
        <v/>
      </c>
      <c r="I439" s="16" t="str">
        <f t="shared" si="90"/>
        <v/>
      </c>
      <c r="J439" s="5"/>
      <c r="X439" s="89"/>
      <c r="AE439" s="96"/>
      <c r="AF439" s="38">
        <f t="shared" si="79"/>
        <v>92</v>
      </c>
      <c r="AG439" s="96" t="str">
        <f t="shared" si="80"/>
        <v/>
      </c>
      <c r="AH439" s="6" t="str">
        <f t="shared" si="81"/>
        <v>{(U4)0x00000002U,</v>
      </c>
      <c r="AI439" s="6" t="str">
        <f t="shared" si="82"/>
        <v>(U4)0x400003ddU,</v>
      </c>
      <c r="AJ439" s="6" t="str">
        <f t="shared" si="83"/>
        <v>(U4)0x400003ddU,</v>
      </c>
      <c r="AK439" s="6" t="str">
        <f t="shared" si="84"/>
        <v>(U2)64U,</v>
      </c>
      <c r="AL439" s="6" t="str">
        <f t="shared" si="85"/>
        <v>(U2)27U},</v>
      </c>
      <c r="AM439" s="6" t="str">
        <f t="shared" si="86"/>
        <v/>
      </c>
      <c r="AN439" s="6" t="str">
        <f t="shared" si="87"/>
        <v>/* 92 : BDC1SE3 = 0x400003dd */</v>
      </c>
    </row>
    <row r="440" spans="1:40" s="6" customFormat="1">
      <c r="A440" s="15" t="str">
        <f t="shared" si="89"/>
        <v>ZN21S13</v>
      </c>
      <c r="B440" s="15" t="str">
        <f t="shared" si="89"/>
        <v>390</v>
      </c>
      <c r="C440" s="15" t="str">
        <f t="shared" si="89"/>
        <v>1</v>
      </c>
      <c r="D440" s="15">
        <f t="shared" si="89"/>
        <v>8</v>
      </c>
      <c r="E440" s="15"/>
      <c r="F440" s="15" t="str">
        <f t="shared" si="88"/>
        <v>0</v>
      </c>
      <c r="G440" s="16" t="str">
        <f t="shared" si="90"/>
        <v>R</v>
      </c>
      <c r="H440" s="16" t="str">
        <f t="shared" si="90"/>
        <v/>
      </c>
      <c r="I440" s="16" t="str">
        <f t="shared" si="90"/>
        <v/>
      </c>
      <c r="J440" s="5"/>
      <c r="X440" s="89"/>
      <c r="AE440" s="96"/>
      <c r="AF440" s="38">
        <f t="shared" si="79"/>
        <v>93</v>
      </c>
      <c r="AG440" s="96" t="str">
        <f t="shared" si="80"/>
        <v/>
      </c>
      <c r="AH440" s="6" t="str">
        <f t="shared" si="81"/>
        <v>{(U4)0x00000200U,</v>
      </c>
      <c r="AI440" s="6" t="str">
        <f t="shared" si="82"/>
        <v>(U4)0x40000390U,</v>
      </c>
      <c r="AJ440" s="6" t="str">
        <f t="shared" si="83"/>
        <v>(U4)0x40000390U,</v>
      </c>
      <c r="AK440" s="6" t="str">
        <f t="shared" si="84"/>
        <v>(U2)8U,</v>
      </c>
      <c r="AL440" s="6" t="str">
        <f t="shared" si="85"/>
        <v>(U2)87U},</v>
      </c>
      <c r="AM440" s="6" t="str">
        <f t="shared" si="86"/>
        <v/>
      </c>
      <c r="AN440" s="6" t="str">
        <f t="shared" si="87"/>
        <v>/* 93 : ZN21S13 = 0x40000390 */</v>
      </c>
    </row>
    <row r="441" spans="1:40" s="6" customFormat="1">
      <c r="A441" s="15" t="str">
        <f t="shared" si="89"/>
        <v>BDC1SC1</v>
      </c>
      <c r="B441" s="15" t="str">
        <f t="shared" si="89"/>
        <v>393</v>
      </c>
      <c r="C441" s="15" t="str">
        <f t="shared" si="89"/>
        <v>1</v>
      </c>
      <c r="D441" s="15">
        <f t="shared" si="89"/>
        <v>64</v>
      </c>
      <c r="E441" s="15"/>
      <c r="F441" s="15" t="str">
        <f t="shared" si="88"/>
        <v>1</v>
      </c>
      <c r="G441" s="16" t="str">
        <f t="shared" si="90"/>
        <v>R</v>
      </c>
      <c r="H441" s="16" t="str">
        <f t="shared" si="90"/>
        <v/>
      </c>
      <c r="I441" s="16" t="str">
        <f t="shared" si="90"/>
        <v/>
      </c>
      <c r="J441" s="5"/>
      <c r="X441" s="89"/>
      <c r="AE441" s="96"/>
      <c r="AF441" s="38">
        <f t="shared" si="79"/>
        <v>94</v>
      </c>
      <c r="AG441" s="96" t="str">
        <f t="shared" si="80"/>
        <v/>
      </c>
      <c r="AH441" s="6" t="str">
        <f t="shared" si="81"/>
        <v>{(U4)0x00000002U,</v>
      </c>
      <c r="AI441" s="6" t="str">
        <f t="shared" si="82"/>
        <v>(U4)0x40000393U,</v>
      </c>
      <c r="AJ441" s="6" t="str">
        <f t="shared" si="83"/>
        <v>(U4)0x40000393U,</v>
      </c>
      <c r="AK441" s="6" t="str">
        <f t="shared" si="84"/>
        <v>(U2)64U,</v>
      </c>
      <c r="AL441" s="6" t="str">
        <f t="shared" si="85"/>
        <v>(U2)30U},</v>
      </c>
      <c r="AM441" s="6" t="str">
        <f t="shared" si="86"/>
        <v/>
      </c>
      <c r="AN441" s="6" t="str">
        <f t="shared" si="87"/>
        <v>/* 94 : BDC1SC1 = 0x40000393 */</v>
      </c>
    </row>
    <row r="442" spans="1:40" s="6" customFormat="1">
      <c r="A442" s="15" t="str">
        <f t="shared" si="89"/>
        <v>BDC1SC3</v>
      </c>
      <c r="B442" s="15" t="str">
        <f t="shared" si="89"/>
        <v>396</v>
      </c>
      <c r="C442" s="15" t="str">
        <f t="shared" si="89"/>
        <v>1</v>
      </c>
      <c r="D442" s="15">
        <f t="shared" si="89"/>
        <v>64</v>
      </c>
      <c r="E442" s="15"/>
      <c r="F442" s="15" t="str">
        <f t="shared" si="88"/>
        <v>1</v>
      </c>
      <c r="G442" s="16" t="str">
        <f t="shared" si="90"/>
        <v>R</v>
      </c>
      <c r="H442" s="16" t="str">
        <f t="shared" si="90"/>
        <v/>
      </c>
      <c r="I442" s="16" t="str">
        <f t="shared" si="90"/>
        <v/>
      </c>
      <c r="J442" s="5"/>
      <c r="X442" s="89"/>
      <c r="AE442" s="96"/>
      <c r="AF442" s="38">
        <f t="shared" si="79"/>
        <v>95</v>
      </c>
      <c r="AG442" s="96" t="str">
        <f t="shared" si="80"/>
        <v/>
      </c>
      <c r="AH442" s="6" t="str">
        <f t="shared" si="81"/>
        <v>{(U4)0x00000002U,</v>
      </c>
      <c r="AI442" s="6" t="str">
        <f t="shared" si="82"/>
        <v>(U4)0x40000396U,</v>
      </c>
      <c r="AJ442" s="6" t="str">
        <f t="shared" si="83"/>
        <v>(U4)0x40000396U,</v>
      </c>
      <c r="AK442" s="6" t="str">
        <f t="shared" si="84"/>
        <v>(U2)64U,</v>
      </c>
      <c r="AL442" s="6" t="str">
        <f t="shared" si="85"/>
        <v>(U2)33U},</v>
      </c>
      <c r="AM442" s="6" t="str">
        <f t="shared" si="86"/>
        <v/>
      </c>
      <c r="AN442" s="6" t="str">
        <f t="shared" si="87"/>
        <v>/* 95 : BDC1SC3 = 0x40000396 */</v>
      </c>
    </row>
    <row r="443" spans="1:40" s="6" customFormat="1">
      <c r="A443" s="15" t="str">
        <f t="shared" si="89"/>
        <v>BDB1S29</v>
      </c>
      <c r="B443" s="15" t="str">
        <f t="shared" si="89"/>
        <v>397</v>
      </c>
      <c r="C443" s="15" t="str">
        <f t="shared" si="89"/>
        <v>1</v>
      </c>
      <c r="D443" s="15">
        <f t="shared" si="89"/>
        <v>32</v>
      </c>
      <c r="E443" s="15"/>
      <c r="F443" s="15" t="str">
        <f t="shared" si="88"/>
        <v>0</v>
      </c>
      <c r="G443" s="16" t="str">
        <f t="shared" si="90"/>
        <v>R</v>
      </c>
      <c r="H443" s="16" t="str">
        <f t="shared" si="90"/>
        <v/>
      </c>
      <c r="I443" s="16" t="str">
        <f t="shared" si="90"/>
        <v/>
      </c>
      <c r="J443" s="5"/>
      <c r="X443" s="89"/>
      <c r="AE443" s="96"/>
      <c r="AF443" s="38">
        <f t="shared" si="79"/>
        <v>96</v>
      </c>
      <c r="AG443" s="96" t="str">
        <f t="shared" si="80"/>
        <v/>
      </c>
      <c r="AH443" s="6" t="str">
        <f t="shared" si="81"/>
        <v>{(U4)0x00000200U,</v>
      </c>
      <c r="AI443" s="6" t="str">
        <f t="shared" si="82"/>
        <v>(U4)0x40000397U,</v>
      </c>
      <c r="AJ443" s="6" t="str">
        <f t="shared" si="83"/>
        <v>(U4)0x40000397U,</v>
      </c>
      <c r="AK443" s="6" t="str">
        <f t="shared" si="84"/>
        <v>(U2)32U,</v>
      </c>
      <c r="AL443" s="6" t="str">
        <f t="shared" si="85"/>
        <v>(U2)87U},</v>
      </c>
      <c r="AM443" s="6" t="str">
        <f t="shared" si="86"/>
        <v/>
      </c>
      <c r="AN443" s="6" t="str">
        <f t="shared" si="87"/>
        <v>/* 96 : BDB1S29 = 0x40000397 */</v>
      </c>
    </row>
    <row r="444" spans="1:40" s="6" customFormat="1">
      <c r="A444" s="15" t="str">
        <f t="shared" si="89"/>
        <v>BDC1SC7</v>
      </c>
      <c r="B444" s="15" t="str">
        <f t="shared" si="89"/>
        <v>39E</v>
      </c>
      <c r="C444" s="15" t="str">
        <f t="shared" si="89"/>
        <v>1</v>
      </c>
      <c r="D444" s="15">
        <f t="shared" si="89"/>
        <v>64</v>
      </c>
      <c r="E444" s="15"/>
      <c r="F444" s="15" t="str">
        <f t="shared" si="88"/>
        <v>1</v>
      </c>
      <c r="G444" s="16" t="str">
        <f t="shared" si="90"/>
        <v>R</v>
      </c>
      <c r="H444" s="16" t="str">
        <f t="shared" si="90"/>
        <v/>
      </c>
      <c r="I444" s="16" t="str">
        <f t="shared" si="90"/>
        <v/>
      </c>
      <c r="J444" s="5"/>
      <c r="X444" s="89"/>
      <c r="AE444" s="96"/>
      <c r="AF444" s="38">
        <f t="shared" si="79"/>
        <v>97</v>
      </c>
      <c r="AG444" s="96" t="str">
        <f t="shared" si="80"/>
        <v/>
      </c>
      <c r="AH444" s="6" t="str">
        <f t="shared" si="81"/>
        <v>{(U4)0x00000002U,</v>
      </c>
      <c r="AI444" s="6" t="str">
        <f t="shared" si="82"/>
        <v>(U4)0x4000039eU,</v>
      </c>
      <c r="AJ444" s="6" t="str">
        <f t="shared" si="83"/>
        <v>(U4)0x4000039eU,</v>
      </c>
      <c r="AK444" s="6" t="str">
        <f t="shared" si="84"/>
        <v>(U2)64U,</v>
      </c>
      <c r="AL444" s="6" t="str">
        <f t="shared" si="85"/>
        <v>(U2)36U},</v>
      </c>
      <c r="AM444" s="6" t="str">
        <f t="shared" si="86"/>
        <v/>
      </c>
      <c r="AN444" s="6" t="str">
        <f t="shared" si="87"/>
        <v>/* 97 : BDC1SC7 = 0x4000039e */</v>
      </c>
    </row>
    <row r="445" spans="1:40" s="6" customFormat="1">
      <c r="A445" s="15" t="str">
        <f t="shared" si="89"/>
        <v>BDC1SC8</v>
      </c>
      <c r="B445" s="15" t="str">
        <f t="shared" si="89"/>
        <v>39F</v>
      </c>
      <c r="C445" s="15" t="str">
        <f t="shared" si="89"/>
        <v>1</v>
      </c>
      <c r="D445" s="15">
        <f t="shared" si="89"/>
        <v>64</v>
      </c>
      <c r="E445" s="15"/>
      <c r="F445" s="15" t="str">
        <f t="shared" si="88"/>
        <v>1</v>
      </c>
      <c r="G445" s="16" t="str">
        <f t="shared" si="90"/>
        <v>R</v>
      </c>
      <c r="H445" s="16" t="str">
        <f t="shared" si="90"/>
        <v/>
      </c>
      <c r="I445" s="16" t="str">
        <f t="shared" si="90"/>
        <v/>
      </c>
      <c r="J445" s="5"/>
      <c r="X445" s="89"/>
      <c r="AE445" s="96"/>
      <c r="AF445" s="38">
        <f t="shared" si="79"/>
        <v>98</v>
      </c>
      <c r="AG445" s="96" t="str">
        <f t="shared" si="80"/>
        <v/>
      </c>
      <c r="AH445" s="6" t="str">
        <f t="shared" si="81"/>
        <v>{(U4)0x00000002U,</v>
      </c>
      <c r="AI445" s="6" t="str">
        <f t="shared" si="82"/>
        <v>(U4)0x4000039fU,</v>
      </c>
      <c r="AJ445" s="6" t="str">
        <f t="shared" si="83"/>
        <v>(U4)0x4000039fU,</v>
      </c>
      <c r="AK445" s="6" t="str">
        <f t="shared" si="84"/>
        <v>(U2)64U,</v>
      </c>
      <c r="AL445" s="6" t="str">
        <f t="shared" si="85"/>
        <v>(U2)39U},</v>
      </c>
      <c r="AM445" s="6" t="str">
        <f t="shared" si="86"/>
        <v/>
      </c>
      <c r="AN445" s="6" t="str">
        <f t="shared" si="87"/>
        <v>/* 98 : BDC1SC8 = 0x4000039f */</v>
      </c>
    </row>
    <row r="446" spans="1:40" s="6" customFormat="1">
      <c r="A446" s="15" t="str">
        <f t="shared" si="89"/>
        <v>ACN1S03</v>
      </c>
      <c r="B446" s="15" t="str">
        <f t="shared" si="89"/>
        <v>3A1</v>
      </c>
      <c r="C446" s="15" t="str">
        <f t="shared" si="89"/>
        <v>1</v>
      </c>
      <c r="D446" s="15">
        <f t="shared" si="89"/>
        <v>8</v>
      </c>
      <c r="E446" s="15"/>
      <c r="F446" s="15" t="str">
        <f t="shared" si="88"/>
        <v>0</v>
      </c>
      <c r="G446" s="16" t="str">
        <f t="shared" si="90"/>
        <v>R</v>
      </c>
      <c r="H446" s="16" t="str">
        <f t="shared" si="90"/>
        <v/>
      </c>
      <c r="I446" s="16" t="str">
        <f t="shared" si="90"/>
        <v/>
      </c>
      <c r="J446" s="5"/>
      <c r="X446" s="89"/>
      <c r="AE446" s="96"/>
      <c r="AF446" s="38">
        <f t="shared" si="79"/>
        <v>99</v>
      </c>
      <c r="AG446" s="96" t="str">
        <f t="shared" si="80"/>
        <v/>
      </c>
      <c r="AH446" s="6" t="str">
        <f t="shared" si="81"/>
        <v>{(U4)0x00000200U,</v>
      </c>
      <c r="AI446" s="6" t="str">
        <f t="shared" si="82"/>
        <v>(U4)0x400003a1U,</v>
      </c>
      <c r="AJ446" s="6" t="str">
        <f t="shared" si="83"/>
        <v>(U4)0x400003a1U,</v>
      </c>
      <c r="AK446" s="6" t="str">
        <f t="shared" si="84"/>
        <v>(U2)8U,</v>
      </c>
      <c r="AL446" s="6" t="str">
        <f t="shared" si="85"/>
        <v>(U2)87U},</v>
      </c>
      <c r="AM446" s="6" t="str">
        <f t="shared" si="86"/>
        <v/>
      </c>
      <c r="AN446" s="6" t="str">
        <f t="shared" si="87"/>
        <v>/* 99 : ACN1S03 = 0x400003a1 */</v>
      </c>
    </row>
    <row r="447" spans="1:40" s="6" customFormat="1">
      <c r="A447" s="15" t="str">
        <f t="shared" si="89"/>
        <v>BDC1SC9</v>
      </c>
      <c r="B447" s="15" t="str">
        <f t="shared" si="89"/>
        <v>3A5</v>
      </c>
      <c r="C447" s="15" t="str">
        <f t="shared" si="89"/>
        <v>1</v>
      </c>
      <c r="D447" s="15">
        <f t="shared" si="89"/>
        <v>64</v>
      </c>
      <c r="E447" s="15"/>
      <c r="F447" s="15" t="str">
        <f t="shared" si="88"/>
        <v>1</v>
      </c>
      <c r="G447" s="16" t="str">
        <f t="shared" si="90"/>
        <v>R</v>
      </c>
      <c r="H447" s="16" t="str">
        <f t="shared" si="90"/>
        <v/>
      </c>
      <c r="I447" s="16" t="str">
        <f t="shared" si="90"/>
        <v/>
      </c>
      <c r="J447" s="5"/>
      <c r="X447" s="89"/>
      <c r="AE447" s="96"/>
      <c r="AF447" s="38">
        <f t="shared" si="79"/>
        <v>100</v>
      </c>
      <c r="AG447" s="96" t="str">
        <f t="shared" si="80"/>
        <v/>
      </c>
      <c r="AH447" s="6" t="str">
        <f t="shared" si="81"/>
        <v>{(U4)0x00000002U,</v>
      </c>
      <c r="AI447" s="6" t="str">
        <f t="shared" si="82"/>
        <v>(U4)0x400003a5U,</v>
      </c>
      <c r="AJ447" s="6" t="str">
        <f t="shared" si="83"/>
        <v>(U4)0x400003a5U,</v>
      </c>
      <c r="AK447" s="6" t="str">
        <f t="shared" si="84"/>
        <v>(U2)64U,</v>
      </c>
      <c r="AL447" s="6" t="str">
        <f t="shared" si="85"/>
        <v>(U2)42U},</v>
      </c>
      <c r="AM447" s="6" t="str">
        <f t="shared" si="86"/>
        <v/>
      </c>
      <c r="AN447" s="6" t="str">
        <f t="shared" si="87"/>
        <v>/* 100 : BDC1SC9 = 0x400003a5 */</v>
      </c>
    </row>
    <row r="448" spans="1:40" s="6" customFormat="1">
      <c r="A448" s="15" t="str">
        <f t="shared" si="89"/>
        <v>BDC1SE4</v>
      </c>
      <c r="B448" s="15" t="str">
        <f t="shared" si="89"/>
        <v>3E1</v>
      </c>
      <c r="C448" s="15" t="str">
        <f t="shared" si="89"/>
        <v>1</v>
      </c>
      <c r="D448" s="15">
        <f t="shared" si="89"/>
        <v>64</v>
      </c>
      <c r="E448" s="15"/>
      <c r="F448" s="15" t="str">
        <f t="shared" si="88"/>
        <v>1</v>
      </c>
      <c r="G448" s="16" t="str">
        <f t="shared" si="90"/>
        <v>R</v>
      </c>
      <c r="H448" s="16" t="str">
        <f t="shared" si="90"/>
        <v/>
      </c>
      <c r="I448" s="16" t="str">
        <f t="shared" si="90"/>
        <v/>
      </c>
      <c r="J448" s="5"/>
      <c r="X448" s="89"/>
      <c r="AE448" s="96"/>
      <c r="AF448" s="38">
        <f t="shared" si="79"/>
        <v>101</v>
      </c>
      <c r="AG448" s="96" t="str">
        <f t="shared" si="80"/>
        <v/>
      </c>
      <c r="AH448" s="6" t="str">
        <f t="shared" si="81"/>
        <v>{(U4)0x00000002U,</v>
      </c>
      <c r="AI448" s="6" t="str">
        <f t="shared" si="82"/>
        <v>(U4)0x400003e1U,</v>
      </c>
      <c r="AJ448" s="6" t="str">
        <f t="shared" si="83"/>
        <v>(U4)0x400003e1U,</v>
      </c>
      <c r="AK448" s="6" t="str">
        <f t="shared" si="84"/>
        <v>(U2)64U,</v>
      </c>
      <c r="AL448" s="6" t="str">
        <f t="shared" si="85"/>
        <v>(U2)45U},</v>
      </c>
      <c r="AM448" s="6" t="str">
        <f t="shared" si="86"/>
        <v/>
      </c>
      <c r="AN448" s="6" t="str">
        <f t="shared" si="87"/>
        <v>/* 101 : BDC1SE4 = 0x400003e1 */</v>
      </c>
    </row>
    <row r="449" spans="1:40" s="6" customFormat="1">
      <c r="A449" s="15" t="str">
        <f t="shared" ref="A449:D468" si="91">A166</f>
        <v>BAT1S01</v>
      </c>
      <c r="B449" s="15" t="str">
        <f t="shared" si="91"/>
        <v>3E5</v>
      </c>
      <c r="C449" s="15" t="str">
        <f t="shared" si="91"/>
        <v>1</v>
      </c>
      <c r="D449" s="15">
        <f t="shared" si="91"/>
        <v>32</v>
      </c>
      <c r="E449" s="15"/>
      <c r="F449" s="15" t="str">
        <f t="shared" si="88"/>
        <v>0</v>
      </c>
      <c r="G449" s="16" t="str">
        <f t="shared" ref="G449:I468" si="92">IF(G166&lt;&gt;"",G166,"")</f>
        <v>R</v>
      </c>
      <c r="H449" s="16" t="str">
        <f t="shared" si="92"/>
        <v/>
      </c>
      <c r="I449" s="16" t="str">
        <f t="shared" si="92"/>
        <v/>
      </c>
      <c r="J449" s="5"/>
      <c r="X449" s="89"/>
      <c r="AE449" s="96"/>
      <c r="AF449" s="38">
        <f t="shared" si="79"/>
        <v>102</v>
      </c>
      <c r="AG449" s="96" t="str">
        <f t="shared" si="80"/>
        <v/>
      </c>
      <c r="AH449" s="6" t="str">
        <f t="shared" si="81"/>
        <v>{(U4)0x00000200U,</v>
      </c>
      <c r="AI449" s="6" t="str">
        <f t="shared" si="82"/>
        <v>(U4)0x400003e5U,</v>
      </c>
      <c r="AJ449" s="6" t="str">
        <f t="shared" si="83"/>
        <v>(U4)0x400003e5U,</v>
      </c>
      <c r="AK449" s="6" t="str">
        <f t="shared" si="84"/>
        <v>(U2)32U,</v>
      </c>
      <c r="AL449" s="6" t="str">
        <f t="shared" si="85"/>
        <v>(U2)87U},</v>
      </c>
      <c r="AM449" s="6" t="str">
        <f t="shared" si="86"/>
        <v/>
      </c>
      <c r="AN449" s="6" t="str">
        <f t="shared" si="87"/>
        <v>/* 102 : BAT1S01 = 0x400003e5 */</v>
      </c>
    </row>
    <row r="450" spans="1:40" s="6" customFormat="1">
      <c r="A450" s="15" t="str">
        <f t="shared" si="91"/>
        <v>ZN21S72</v>
      </c>
      <c r="B450" s="15" t="str">
        <f t="shared" si="91"/>
        <v>3A9</v>
      </c>
      <c r="C450" s="15" t="str">
        <f t="shared" si="91"/>
        <v>1</v>
      </c>
      <c r="D450" s="15">
        <f t="shared" si="91"/>
        <v>32</v>
      </c>
      <c r="E450" s="15"/>
      <c r="F450" s="15" t="str">
        <f t="shared" si="88"/>
        <v>0</v>
      </c>
      <c r="G450" s="16" t="str">
        <f t="shared" si="92"/>
        <v>R</v>
      </c>
      <c r="H450" s="16" t="str">
        <f t="shared" si="92"/>
        <v/>
      </c>
      <c r="I450" s="16" t="str">
        <f t="shared" si="92"/>
        <v/>
      </c>
      <c r="J450" s="5"/>
      <c r="X450" s="89"/>
      <c r="AE450" s="96"/>
      <c r="AF450" s="38">
        <f t="shared" si="79"/>
        <v>103</v>
      </c>
      <c r="AG450" s="96" t="str">
        <f t="shared" si="80"/>
        <v/>
      </c>
      <c r="AH450" s="6" t="str">
        <f t="shared" si="81"/>
        <v>{(U4)0x00000200U,</v>
      </c>
      <c r="AI450" s="6" t="str">
        <f t="shared" si="82"/>
        <v>(U4)0x400003a9U,</v>
      </c>
      <c r="AJ450" s="6" t="str">
        <f t="shared" si="83"/>
        <v>(U4)0x400003a9U,</v>
      </c>
      <c r="AK450" s="6" t="str">
        <f t="shared" si="84"/>
        <v>(U2)32U,</v>
      </c>
      <c r="AL450" s="6" t="str">
        <f t="shared" si="85"/>
        <v>(U2)87U},</v>
      </c>
      <c r="AM450" s="6" t="str">
        <f t="shared" si="86"/>
        <v/>
      </c>
      <c r="AN450" s="6" t="str">
        <f t="shared" si="87"/>
        <v>/* 103 : ZN21S72 = 0x400003a9 */</v>
      </c>
    </row>
    <row r="451" spans="1:40" s="6" customFormat="1">
      <c r="A451" s="15" t="str">
        <f t="shared" si="91"/>
        <v>BKD1S02</v>
      </c>
      <c r="B451" s="15" t="str">
        <f t="shared" si="91"/>
        <v>3AB</v>
      </c>
      <c r="C451" s="15" t="str">
        <f t="shared" si="91"/>
        <v>1</v>
      </c>
      <c r="D451" s="15">
        <f t="shared" si="91"/>
        <v>8</v>
      </c>
      <c r="E451" s="15"/>
      <c r="F451" s="15" t="str">
        <f t="shared" si="88"/>
        <v>0</v>
      </c>
      <c r="G451" s="16" t="str">
        <f t="shared" si="92"/>
        <v>R</v>
      </c>
      <c r="H451" s="16" t="str">
        <f t="shared" si="92"/>
        <v/>
      </c>
      <c r="I451" s="16" t="str">
        <f t="shared" si="92"/>
        <v/>
      </c>
      <c r="J451" s="5"/>
      <c r="X451" s="89"/>
      <c r="AE451" s="96"/>
      <c r="AF451" s="38">
        <f t="shared" si="79"/>
        <v>104</v>
      </c>
      <c r="AG451" s="96" t="str">
        <f t="shared" si="80"/>
        <v/>
      </c>
      <c r="AH451" s="6" t="str">
        <f t="shared" si="81"/>
        <v>{(U4)0x00000200U,</v>
      </c>
      <c r="AI451" s="6" t="str">
        <f t="shared" si="82"/>
        <v>(U4)0x400003abU,</v>
      </c>
      <c r="AJ451" s="6" t="str">
        <f t="shared" si="83"/>
        <v>(U4)0x400003abU,</v>
      </c>
      <c r="AK451" s="6" t="str">
        <f t="shared" si="84"/>
        <v>(U2)8U,</v>
      </c>
      <c r="AL451" s="6" t="str">
        <f t="shared" si="85"/>
        <v>(U2)87U},</v>
      </c>
      <c r="AM451" s="6" t="str">
        <f t="shared" si="86"/>
        <v/>
      </c>
      <c r="AN451" s="6" t="str">
        <f t="shared" si="87"/>
        <v>/* 104 : BKD1S02 = 0x400003ab */</v>
      </c>
    </row>
    <row r="452" spans="1:40" s="6" customFormat="1">
      <c r="A452" s="15" t="str">
        <f t="shared" si="91"/>
        <v>BDC1SI2</v>
      </c>
      <c r="B452" s="15" t="str">
        <f t="shared" si="91"/>
        <v>3E9</v>
      </c>
      <c r="C452" s="15" t="str">
        <f t="shared" si="91"/>
        <v>1</v>
      </c>
      <c r="D452" s="15">
        <f t="shared" si="91"/>
        <v>64</v>
      </c>
      <c r="E452" s="15"/>
      <c r="F452" s="15" t="str">
        <f t="shared" si="88"/>
        <v>0</v>
      </c>
      <c r="G452" s="16" t="str">
        <f t="shared" si="92"/>
        <v>R</v>
      </c>
      <c r="H452" s="16" t="str">
        <f t="shared" si="92"/>
        <v/>
      </c>
      <c r="I452" s="16" t="str">
        <f t="shared" si="92"/>
        <v/>
      </c>
      <c r="J452" s="5"/>
      <c r="X452" s="89"/>
      <c r="AE452" s="96"/>
      <c r="AF452" s="38">
        <f t="shared" si="79"/>
        <v>105</v>
      </c>
      <c r="AG452" s="96" t="str">
        <f t="shared" si="80"/>
        <v/>
      </c>
      <c r="AH452" s="6" t="str">
        <f t="shared" si="81"/>
        <v>{(U4)0x00000200U,</v>
      </c>
      <c r="AI452" s="6" t="str">
        <f t="shared" si="82"/>
        <v>(U4)0x400003e9U,</v>
      </c>
      <c r="AJ452" s="6" t="str">
        <f t="shared" si="83"/>
        <v>(U4)0x400003e9U,</v>
      </c>
      <c r="AK452" s="6" t="str">
        <f t="shared" si="84"/>
        <v>(U2)64U,</v>
      </c>
      <c r="AL452" s="6" t="str">
        <f t="shared" si="85"/>
        <v>(U2)87U},</v>
      </c>
      <c r="AM452" s="6" t="str">
        <f t="shared" si="86"/>
        <v/>
      </c>
      <c r="AN452" s="6" t="str">
        <f t="shared" si="87"/>
        <v>/* 105 : BDC1SI2 = 0x400003e9 */</v>
      </c>
    </row>
    <row r="453" spans="1:40" s="6" customFormat="1">
      <c r="A453" s="15" t="str">
        <f t="shared" si="91"/>
        <v>BDC1SE5</v>
      </c>
      <c r="B453" s="15" t="str">
        <f t="shared" si="91"/>
        <v>3EB</v>
      </c>
      <c r="C453" s="15" t="str">
        <f t="shared" si="91"/>
        <v>1</v>
      </c>
      <c r="D453" s="15">
        <f t="shared" si="91"/>
        <v>64</v>
      </c>
      <c r="E453" s="15"/>
      <c r="F453" s="15" t="str">
        <f t="shared" ref="F453:F484" si="93">F170</f>
        <v>1</v>
      </c>
      <c r="G453" s="16" t="str">
        <f t="shared" si="92"/>
        <v>R</v>
      </c>
      <c r="H453" s="16" t="str">
        <f t="shared" si="92"/>
        <v/>
      </c>
      <c r="I453" s="16" t="str">
        <f t="shared" si="92"/>
        <v/>
      </c>
      <c r="J453" s="5"/>
      <c r="X453" s="89"/>
      <c r="AE453" s="96"/>
      <c r="AF453" s="38">
        <f t="shared" si="79"/>
        <v>106</v>
      </c>
      <c r="AG453" s="96" t="str">
        <f t="shared" si="80"/>
        <v/>
      </c>
      <c r="AH453" s="6" t="str">
        <f t="shared" si="81"/>
        <v>{(U4)0x00000002U,</v>
      </c>
      <c r="AI453" s="6" t="str">
        <f t="shared" si="82"/>
        <v>(U4)0x400003ebU,</v>
      </c>
      <c r="AJ453" s="6" t="str">
        <f t="shared" si="83"/>
        <v>(U4)0x400003ebU,</v>
      </c>
      <c r="AK453" s="6" t="str">
        <f t="shared" si="84"/>
        <v>(U2)64U,</v>
      </c>
      <c r="AL453" s="6" t="str">
        <f t="shared" si="85"/>
        <v>(U2)48U},</v>
      </c>
      <c r="AM453" s="6" t="str">
        <f t="shared" si="86"/>
        <v/>
      </c>
      <c r="AN453" s="6" t="str">
        <f t="shared" si="87"/>
        <v>/* 106 : BDC1SE5 = 0x400003eb */</v>
      </c>
    </row>
    <row r="454" spans="1:40" s="6" customFormat="1">
      <c r="A454" s="15" t="str">
        <f t="shared" si="91"/>
        <v>BDC1SD1</v>
      </c>
      <c r="B454" s="15" t="str">
        <f t="shared" si="91"/>
        <v>3AC</v>
      </c>
      <c r="C454" s="15" t="str">
        <f t="shared" si="91"/>
        <v>1</v>
      </c>
      <c r="D454" s="15">
        <f t="shared" si="91"/>
        <v>64</v>
      </c>
      <c r="E454" s="15"/>
      <c r="F454" s="15" t="str">
        <f t="shared" si="93"/>
        <v>1</v>
      </c>
      <c r="G454" s="16" t="str">
        <f t="shared" si="92"/>
        <v>R</v>
      </c>
      <c r="H454" s="16" t="str">
        <f t="shared" si="92"/>
        <v/>
      </c>
      <c r="I454" s="16" t="str">
        <f t="shared" si="92"/>
        <v/>
      </c>
      <c r="J454" s="5"/>
      <c r="X454" s="89"/>
      <c r="AE454" s="96"/>
      <c r="AF454" s="38">
        <f t="shared" si="79"/>
        <v>107</v>
      </c>
      <c r="AG454" s="96" t="str">
        <f t="shared" si="80"/>
        <v/>
      </c>
      <c r="AH454" s="6" t="str">
        <f t="shared" si="81"/>
        <v>{(U4)0x00000002U,</v>
      </c>
      <c r="AI454" s="6" t="str">
        <f t="shared" si="82"/>
        <v>(U4)0x400003acU,</v>
      </c>
      <c r="AJ454" s="6" t="str">
        <f t="shared" si="83"/>
        <v>(U4)0x400003acU,</v>
      </c>
      <c r="AK454" s="6" t="str">
        <f t="shared" si="84"/>
        <v>(U2)64U,</v>
      </c>
      <c r="AL454" s="6" t="str">
        <f t="shared" si="85"/>
        <v>(U2)51U},</v>
      </c>
      <c r="AM454" s="6" t="str">
        <f t="shared" si="86"/>
        <v/>
      </c>
      <c r="AN454" s="6" t="str">
        <f t="shared" si="87"/>
        <v>/* 107 : BDC1SD1 = 0x400003ac */</v>
      </c>
    </row>
    <row r="455" spans="1:40" s="6" customFormat="1">
      <c r="A455" s="15" t="str">
        <f t="shared" si="91"/>
        <v>BDC1SD2</v>
      </c>
      <c r="B455" s="15" t="str">
        <f t="shared" si="91"/>
        <v>3AE</v>
      </c>
      <c r="C455" s="15" t="str">
        <f t="shared" si="91"/>
        <v>1</v>
      </c>
      <c r="D455" s="15">
        <f t="shared" si="91"/>
        <v>64</v>
      </c>
      <c r="E455" s="15"/>
      <c r="F455" s="15" t="str">
        <f t="shared" si="93"/>
        <v>1</v>
      </c>
      <c r="G455" s="16" t="str">
        <f t="shared" si="92"/>
        <v>R</v>
      </c>
      <c r="H455" s="16" t="str">
        <f t="shared" si="92"/>
        <v/>
      </c>
      <c r="I455" s="16" t="str">
        <f t="shared" si="92"/>
        <v/>
      </c>
      <c r="J455" s="5"/>
      <c r="X455" s="89"/>
      <c r="AE455" s="96"/>
      <c r="AF455" s="38">
        <f t="shared" si="79"/>
        <v>108</v>
      </c>
      <c r="AG455" s="96" t="str">
        <f t="shared" si="80"/>
        <v/>
      </c>
      <c r="AH455" s="6" t="str">
        <f t="shared" si="81"/>
        <v>{(U4)0x00000002U,</v>
      </c>
      <c r="AI455" s="6" t="str">
        <f t="shared" si="82"/>
        <v>(U4)0x400003aeU,</v>
      </c>
      <c r="AJ455" s="6" t="str">
        <f t="shared" si="83"/>
        <v>(U4)0x400003aeU,</v>
      </c>
      <c r="AK455" s="6" t="str">
        <f t="shared" si="84"/>
        <v>(U2)64U,</v>
      </c>
      <c r="AL455" s="6" t="str">
        <f t="shared" si="85"/>
        <v>(U2)54U},</v>
      </c>
      <c r="AM455" s="6" t="str">
        <f t="shared" si="86"/>
        <v/>
      </c>
      <c r="AN455" s="6" t="str">
        <f t="shared" si="87"/>
        <v>/* 108 : BDC1SD2 = 0x400003ae */</v>
      </c>
    </row>
    <row r="456" spans="1:40" s="6" customFormat="1">
      <c r="A456" s="15" t="str">
        <f t="shared" si="91"/>
        <v>ACN1S07</v>
      </c>
      <c r="B456" s="15" t="str">
        <f t="shared" si="91"/>
        <v>3B0</v>
      </c>
      <c r="C456" s="15" t="str">
        <f t="shared" si="91"/>
        <v>1</v>
      </c>
      <c r="D456" s="15">
        <f t="shared" si="91"/>
        <v>8</v>
      </c>
      <c r="E456" s="15"/>
      <c r="F456" s="15" t="str">
        <f t="shared" si="93"/>
        <v>0</v>
      </c>
      <c r="G456" s="16" t="str">
        <f t="shared" si="92"/>
        <v>R</v>
      </c>
      <c r="H456" s="16" t="str">
        <f t="shared" si="92"/>
        <v/>
      </c>
      <c r="I456" s="16" t="str">
        <f t="shared" si="92"/>
        <v/>
      </c>
      <c r="J456" s="5"/>
      <c r="X456" s="89"/>
      <c r="AE456" s="96"/>
      <c r="AF456" s="38">
        <f t="shared" si="79"/>
        <v>109</v>
      </c>
      <c r="AG456" s="96" t="str">
        <f t="shared" si="80"/>
        <v/>
      </c>
      <c r="AH456" s="6" t="str">
        <f t="shared" si="81"/>
        <v>{(U4)0x00000200U,</v>
      </c>
      <c r="AI456" s="6" t="str">
        <f t="shared" si="82"/>
        <v>(U4)0x400003b0U,</v>
      </c>
      <c r="AJ456" s="6" t="str">
        <f t="shared" si="83"/>
        <v>(U4)0x400003b1U,</v>
      </c>
      <c r="AK456" s="6" t="str">
        <f t="shared" si="84"/>
        <v>(U2)8U,</v>
      </c>
      <c r="AL456" s="6" t="str">
        <f t="shared" si="85"/>
        <v>(U2)87U},</v>
      </c>
      <c r="AM456" s="6" t="str">
        <f t="shared" si="86"/>
        <v/>
      </c>
      <c r="AN456" s="6" t="str">
        <f t="shared" si="87"/>
        <v>/* 109 : ACN1S07 = 0x400003b0 */</v>
      </c>
    </row>
    <row r="457" spans="1:40" s="6" customFormat="1">
      <c r="A457" s="15" t="str">
        <f t="shared" si="91"/>
        <v>ABG1S01</v>
      </c>
      <c r="B457" s="15" t="str">
        <f t="shared" si="91"/>
        <v>3B1</v>
      </c>
      <c r="C457" s="15" t="str">
        <f t="shared" si="91"/>
        <v>1</v>
      </c>
      <c r="D457" s="15">
        <f t="shared" si="91"/>
        <v>8</v>
      </c>
      <c r="E457" s="15"/>
      <c r="F457" s="15" t="str">
        <f t="shared" si="93"/>
        <v>0</v>
      </c>
      <c r="G457" s="16" t="str">
        <f t="shared" si="92"/>
        <v>R</v>
      </c>
      <c r="H457" s="16" t="str">
        <f t="shared" si="92"/>
        <v/>
      </c>
      <c r="I457" s="16" t="str">
        <f t="shared" si="92"/>
        <v/>
      </c>
      <c r="J457" s="5"/>
      <c r="X457" s="89"/>
      <c r="AE457" s="96"/>
      <c r="AF457" s="38" t="str">
        <f t="shared" si="79"/>
        <v/>
      </c>
      <c r="AG457" s="96" t="str">
        <f t="shared" si="80"/>
        <v xml:space="preserve">/* </v>
      </c>
      <c r="AH457" s="6" t="str">
        <f t="shared" si="81"/>
        <v>{(U4)0x00000200U,</v>
      </c>
      <c r="AI457" s="6" t="str">
        <f t="shared" si="82"/>
        <v>(U4)0x400003b0U,</v>
      </c>
      <c r="AJ457" s="6" t="str">
        <f t="shared" si="83"/>
        <v>(U4)0x400003b1U,</v>
      </c>
      <c r="AK457" s="6" t="str">
        <f t="shared" si="84"/>
        <v>(U2)8U,</v>
      </c>
      <c r="AL457" s="6" t="str">
        <f t="shared" si="85"/>
        <v>(U2)87U},</v>
      </c>
      <c r="AM457" s="6" t="str">
        <f t="shared" si="86"/>
        <v xml:space="preserve"> */</v>
      </c>
      <c r="AN457" s="6" t="str">
        <f t="shared" si="87"/>
        <v>/*   : ABG1S01 = 0x400003b1 */</v>
      </c>
    </row>
    <row r="458" spans="1:40" s="6" customFormat="1">
      <c r="A458" s="15" t="str">
        <f t="shared" si="91"/>
        <v>BDC1SD3</v>
      </c>
      <c r="B458" s="15" t="str">
        <f t="shared" si="91"/>
        <v>3B2</v>
      </c>
      <c r="C458" s="15" t="str">
        <f t="shared" si="91"/>
        <v>1</v>
      </c>
      <c r="D458" s="15">
        <f t="shared" si="91"/>
        <v>64</v>
      </c>
      <c r="E458" s="15"/>
      <c r="F458" s="15" t="str">
        <f t="shared" si="93"/>
        <v>1</v>
      </c>
      <c r="G458" s="16" t="str">
        <f t="shared" si="92"/>
        <v>R</v>
      </c>
      <c r="H458" s="16" t="str">
        <f t="shared" si="92"/>
        <v/>
      </c>
      <c r="I458" s="16" t="str">
        <f t="shared" si="92"/>
        <v/>
      </c>
      <c r="J458" s="5"/>
      <c r="X458" s="89"/>
      <c r="AE458" s="96"/>
      <c r="AF458" s="38">
        <f t="shared" si="79"/>
        <v>110</v>
      </c>
      <c r="AG458" s="96" t="str">
        <f t="shared" si="80"/>
        <v/>
      </c>
      <c r="AH458" s="6" t="str">
        <f t="shared" si="81"/>
        <v>{(U4)0x00000002U,</v>
      </c>
      <c r="AI458" s="6" t="str">
        <f t="shared" si="82"/>
        <v>(U4)0x400003b2U,</v>
      </c>
      <c r="AJ458" s="6" t="str">
        <f t="shared" si="83"/>
        <v>(U4)0x400003b2U,</v>
      </c>
      <c r="AK458" s="6" t="str">
        <f t="shared" si="84"/>
        <v>(U2)64U,</v>
      </c>
      <c r="AL458" s="6" t="str">
        <f t="shared" si="85"/>
        <v>(U2)57U},</v>
      </c>
      <c r="AM458" s="6" t="str">
        <f t="shared" si="86"/>
        <v/>
      </c>
      <c r="AN458" s="6" t="str">
        <f t="shared" si="87"/>
        <v>/* 110 : BDC1SD3 = 0x400003b2 */</v>
      </c>
    </row>
    <row r="459" spans="1:40" s="6" customFormat="1">
      <c r="A459" s="15" t="str">
        <f t="shared" si="91"/>
        <v>BDC1SD4</v>
      </c>
      <c r="B459" s="15" t="str">
        <f t="shared" si="91"/>
        <v>3B3</v>
      </c>
      <c r="C459" s="15" t="str">
        <f t="shared" si="91"/>
        <v>1</v>
      </c>
      <c r="D459" s="15">
        <f t="shared" si="91"/>
        <v>64</v>
      </c>
      <c r="E459" s="15"/>
      <c r="F459" s="15" t="str">
        <f t="shared" si="93"/>
        <v>1</v>
      </c>
      <c r="G459" s="16" t="str">
        <f t="shared" si="92"/>
        <v>R</v>
      </c>
      <c r="H459" s="16" t="str">
        <f t="shared" si="92"/>
        <v/>
      </c>
      <c r="I459" s="16" t="str">
        <f t="shared" si="92"/>
        <v/>
      </c>
      <c r="J459" s="5"/>
      <c r="X459" s="89"/>
      <c r="AE459" s="96"/>
      <c r="AF459" s="38">
        <f t="shared" si="79"/>
        <v>111</v>
      </c>
      <c r="AG459" s="96" t="str">
        <f t="shared" si="80"/>
        <v/>
      </c>
      <c r="AH459" s="6" t="str">
        <f t="shared" si="81"/>
        <v>{(U4)0x00000002U,</v>
      </c>
      <c r="AI459" s="6" t="str">
        <f t="shared" si="82"/>
        <v>(U4)0x400003b3U,</v>
      </c>
      <c r="AJ459" s="6" t="str">
        <f t="shared" si="83"/>
        <v>(U4)0x400003b3U,</v>
      </c>
      <c r="AK459" s="6" t="str">
        <f t="shared" si="84"/>
        <v>(U2)64U,</v>
      </c>
      <c r="AL459" s="6" t="str">
        <f t="shared" si="85"/>
        <v>(U2)60U},</v>
      </c>
      <c r="AM459" s="6" t="str">
        <f t="shared" si="86"/>
        <v/>
      </c>
      <c r="AN459" s="6" t="str">
        <f t="shared" si="87"/>
        <v>/* 111 : BDC1SD4 = 0x400003b3 */</v>
      </c>
    </row>
    <row r="460" spans="1:40" s="6" customFormat="1">
      <c r="A460" s="15" t="str">
        <f t="shared" si="91"/>
        <v>BDB1S36</v>
      </c>
      <c r="B460" s="15" t="str">
        <f t="shared" si="91"/>
        <v>3B8</v>
      </c>
      <c r="C460" s="15" t="str">
        <f t="shared" si="91"/>
        <v>1</v>
      </c>
      <c r="D460" s="15">
        <f t="shared" si="91"/>
        <v>8</v>
      </c>
      <c r="E460" s="15"/>
      <c r="F460" s="15" t="str">
        <f t="shared" si="93"/>
        <v>0</v>
      </c>
      <c r="G460" s="16" t="str">
        <f t="shared" si="92"/>
        <v>R</v>
      </c>
      <c r="H460" s="16" t="str">
        <f t="shared" si="92"/>
        <v/>
      </c>
      <c r="I460" s="16" t="str">
        <f t="shared" si="92"/>
        <v/>
      </c>
      <c r="J460" s="5"/>
      <c r="X460" s="89"/>
      <c r="AE460" s="96"/>
      <c r="AF460" s="38">
        <f t="shared" si="79"/>
        <v>112</v>
      </c>
      <c r="AG460" s="96" t="str">
        <f t="shared" si="80"/>
        <v/>
      </c>
      <c r="AH460" s="6" t="str">
        <f t="shared" si="81"/>
        <v>{(U4)0x00000200U,</v>
      </c>
      <c r="AI460" s="6" t="str">
        <f t="shared" si="82"/>
        <v>(U4)0x400003b8U,</v>
      </c>
      <c r="AJ460" s="6" t="str">
        <f t="shared" si="83"/>
        <v>(U4)0x400003b8U,</v>
      </c>
      <c r="AK460" s="6" t="str">
        <f t="shared" si="84"/>
        <v>(U2)8U,</v>
      </c>
      <c r="AL460" s="6" t="str">
        <f t="shared" si="85"/>
        <v>(U2)87U},</v>
      </c>
      <c r="AM460" s="6" t="str">
        <f t="shared" si="86"/>
        <v/>
      </c>
      <c r="AN460" s="6" t="str">
        <f t="shared" si="87"/>
        <v>/* 112 : BDB1S36 = 0x400003b8 */</v>
      </c>
    </row>
    <row r="461" spans="1:40" s="6" customFormat="1">
      <c r="A461" s="15" t="str">
        <f t="shared" si="91"/>
        <v>BDC1SD5</v>
      </c>
      <c r="B461" s="15" t="str">
        <f t="shared" si="91"/>
        <v>3B9</v>
      </c>
      <c r="C461" s="15" t="str">
        <f t="shared" si="91"/>
        <v>1</v>
      </c>
      <c r="D461" s="15">
        <f t="shared" si="91"/>
        <v>64</v>
      </c>
      <c r="E461" s="15"/>
      <c r="F461" s="15" t="str">
        <f t="shared" si="93"/>
        <v>1</v>
      </c>
      <c r="G461" s="16" t="str">
        <f t="shared" si="92"/>
        <v>R</v>
      </c>
      <c r="H461" s="16" t="str">
        <f t="shared" si="92"/>
        <v/>
      </c>
      <c r="I461" s="16" t="str">
        <f t="shared" si="92"/>
        <v/>
      </c>
      <c r="J461" s="5"/>
      <c r="X461" s="89"/>
      <c r="AE461" s="96"/>
      <c r="AF461" s="38">
        <f t="shared" si="79"/>
        <v>113</v>
      </c>
      <c r="AG461" s="96" t="str">
        <f t="shared" si="80"/>
        <v/>
      </c>
      <c r="AH461" s="6" t="str">
        <f t="shared" si="81"/>
        <v>{(U4)0x00000002U,</v>
      </c>
      <c r="AI461" s="6" t="str">
        <f t="shared" si="82"/>
        <v>(U4)0x400003b9U,</v>
      </c>
      <c r="AJ461" s="6" t="str">
        <f t="shared" si="83"/>
        <v>(U4)0x400003b9U,</v>
      </c>
      <c r="AK461" s="6" t="str">
        <f t="shared" si="84"/>
        <v>(U2)64U,</v>
      </c>
      <c r="AL461" s="6" t="str">
        <f t="shared" si="85"/>
        <v>(U2)63U},</v>
      </c>
      <c r="AM461" s="6" t="str">
        <f t="shared" si="86"/>
        <v/>
      </c>
      <c r="AN461" s="6" t="str">
        <f t="shared" si="87"/>
        <v>/* 113 : BDC1SD5 = 0x400003b9 */</v>
      </c>
    </row>
    <row r="462" spans="1:40" s="6" customFormat="1">
      <c r="A462" s="15" t="str">
        <f t="shared" si="91"/>
        <v>BDC1SD6</v>
      </c>
      <c r="B462" s="15" t="str">
        <f t="shared" si="91"/>
        <v>3BC</v>
      </c>
      <c r="C462" s="15" t="str">
        <f t="shared" si="91"/>
        <v>1</v>
      </c>
      <c r="D462" s="15">
        <f t="shared" si="91"/>
        <v>64</v>
      </c>
      <c r="E462" s="15"/>
      <c r="F462" s="15" t="str">
        <f t="shared" si="93"/>
        <v>1</v>
      </c>
      <c r="G462" s="16" t="str">
        <f t="shared" si="92"/>
        <v>R</v>
      </c>
      <c r="H462" s="16" t="str">
        <f t="shared" si="92"/>
        <v/>
      </c>
      <c r="I462" s="16" t="str">
        <f t="shared" si="92"/>
        <v/>
      </c>
      <c r="J462" s="5"/>
      <c r="X462" s="89"/>
      <c r="AE462" s="96"/>
      <c r="AF462" s="38">
        <f t="shared" si="79"/>
        <v>114</v>
      </c>
      <c r="AG462" s="96" t="str">
        <f t="shared" si="80"/>
        <v/>
      </c>
      <c r="AH462" s="6" t="str">
        <f t="shared" si="81"/>
        <v>{(U4)0x00000002U,</v>
      </c>
      <c r="AI462" s="6" t="str">
        <f t="shared" si="82"/>
        <v>(U4)0x400003bcU,</v>
      </c>
      <c r="AJ462" s="6" t="str">
        <f t="shared" si="83"/>
        <v>(U4)0x400003bcU,</v>
      </c>
      <c r="AK462" s="6" t="str">
        <f t="shared" si="84"/>
        <v>(U2)64U,</v>
      </c>
      <c r="AL462" s="6" t="str">
        <f t="shared" si="85"/>
        <v>(U2)66U},</v>
      </c>
      <c r="AM462" s="6" t="str">
        <f t="shared" si="86"/>
        <v/>
      </c>
      <c r="AN462" s="6" t="str">
        <f t="shared" si="87"/>
        <v>/* 114 : BDC1SD6 = 0x400003bc */</v>
      </c>
    </row>
    <row r="463" spans="1:40" s="6" customFormat="1">
      <c r="A463" s="15" t="str">
        <f t="shared" si="91"/>
        <v>PCN1S01</v>
      </c>
      <c r="B463" s="15" t="str">
        <f t="shared" si="91"/>
        <v>3BD</v>
      </c>
      <c r="C463" s="15" t="str">
        <f t="shared" si="91"/>
        <v>1</v>
      </c>
      <c r="D463" s="15">
        <f t="shared" si="91"/>
        <v>32</v>
      </c>
      <c r="E463" s="15"/>
      <c r="F463" s="15" t="str">
        <f t="shared" si="93"/>
        <v>1</v>
      </c>
      <c r="G463" s="16" t="str">
        <f t="shared" si="92"/>
        <v>R</v>
      </c>
      <c r="H463" s="16" t="str">
        <f t="shared" si="92"/>
        <v/>
      </c>
      <c r="I463" s="16" t="str">
        <f t="shared" si="92"/>
        <v/>
      </c>
      <c r="J463" s="5"/>
      <c r="X463" s="89"/>
      <c r="AE463" s="96"/>
      <c r="AF463" s="38">
        <f t="shared" si="79"/>
        <v>115</v>
      </c>
      <c r="AG463" s="96" t="str">
        <f t="shared" si="80"/>
        <v/>
      </c>
      <c r="AH463" s="6" t="str">
        <f t="shared" si="81"/>
        <v>{(U4)0x00000002U,</v>
      </c>
      <c r="AI463" s="6" t="str">
        <f t="shared" si="82"/>
        <v>(U4)0x400003bdU,</v>
      </c>
      <c r="AJ463" s="6" t="str">
        <f t="shared" si="83"/>
        <v>(U4)0x400003bdU,</v>
      </c>
      <c r="AK463" s="6" t="str">
        <f t="shared" si="84"/>
        <v>(U2)32U,</v>
      </c>
      <c r="AL463" s="6" t="str">
        <f t="shared" si="85"/>
        <v>(U2)69U},</v>
      </c>
      <c r="AM463" s="6" t="str">
        <f t="shared" si="86"/>
        <v/>
      </c>
      <c r="AN463" s="6" t="str">
        <f t="shared" si="87"/>
        <v>/* 115 : PCN1S01 = 0x400003bd */</v>
      </c>
    </row>
    <row r="464" spans="1:40" s="6" customFormat="1">
      <c r="A464" s="15" t="str">
        <f t="shared" si="91"/>
        <v>ZN11SF9</v>
      </c>
      <c r="B464" s="15" t="str">
        <f t="shared" si="91"/>
        <v>3BB</v>
      </c>
      <c r="C464" s="15" t="str">
        <f t="shared" si="91"/>
        <v>1</v>
      </c>
      <c r="D464" s="15">
        <f t="shared" si="91"/>
        <v>32</v>
      </c>
      <c r="E464" s="15"/>
      <c r="F464" s="15" t="str">
        <f t="shared" si="93"/>
        <v>0</v>
      </c>
      <c r="G464" s="16" t="str">
        <f t="shared" si="92"/>
        <v>R</v>
      </c>
      <c r="H464" s="16" t="str">
        <f t="shared" si="92"/>
        <v/>
      </c>
      <c r="I464" s="16" t="str">
        <f t="shared" si="92"/>
        <v/>
      </c>
      <c r="J464" s="5"/>
      <c r="X464" s="89"/>
      <c r="AE464" s="96"/>
      <c r="AF464" s="38">
        <f t="shared" si="79"/>
        <v>116</v>
      </c>
      <c r="AG464" s="96" t="str">
        <f t="shared" si="80"/>
        <v/>
      </c>
      <c r="AH464" s="6" t="str">
        <f t="shared" si="81"/>
        <v>{(U4)0x00000200U,</v>
      </c>
      <c r="AI464" s="6" t="str">
        <f t="shared" si="82"/>
        <v>(U4)0x400003bbU,</v>
      </c>
      <c r="AJ464" s="6" t="str">
        <f t="shared" si="83"/>
        <v>(U4)0x400003bfU,</v>
      </c>
      <c r="AK464" s="6" t="str">
        <f t="shared" si="84"/>
        <v>(U2)32U,</v>
      </c>
      <c r="AL464" s="6" t="str">
        <f t="shared" si="85"/>
        <v>(U2)87U},</v>
      </c>
      <c r="AM464" s="6" t="str">
        <f t="shared" si="86"/>
        <v/>
      </c>
      <c r="AN464" s="6" t="str">
        <f t="shared" si="87"/>
        <v>/* 116 : ZN11SF9 = 0x400003bb */</v>
      </c>
    </row>
    <row r="465" spans="1:40" s="6" customFormat="1">
      <c r="A465" s="15" t="str">
        <f t="shared" si="91"/>
        <v>ECT1G01</v>
      </c>
      <c r="B465" s="15" t="str">
        <f t="shared" si="91"/>
        <v>3BF</v>
      </c>
      <c r="C465" s="15" t="str">
        <f t="shared" si="91"/>
        <v>1</v>
      </c>
      <c r="D465" s="15">
        <f t="shared" si="91"/>
        <v>32</v>
      </c>
      <c r="E465" s="15"/>
      <c r="F465" s="15" t="str">
        <f t="shared" si="93"/>
        <v>1</v>
      </c>
      <c r="G465" s="16" t="str">
        <f t="shared" si="92"/>
        <v>R</v>
      </c>
      <c r="H465" s="16" t="str">
        <f t="shared" si="92"/>
        <v/>
      </c>
      <c r="I465" s="16" t="str">
        <f t="shared" si="92"/>
        <v/>
      </c>
      <c r="J465" s="5"/>
      <c r="X465" s="89"/>
      <c r="AE465" s="96"/>
      <c r="AF465" s="38" t="str">
        <f t="shared" si="79"/>
        <v/>
      </c>
      <c r="AG465" s="96" t="str">
        <f t="shared" si="80"/>
        <v xml:space="preserve">/* </v>
      </c>
      <c r="AH465" s="6" t="str">
        <f t="shared" si="81"/>
        <v>{(U4)0x00000200U,</v>
      </c>
      <c r="AI465" s="6" t="str">
        <f t="shared" si="82"/>
        <v>(U4)0x400003bbU,</v>
      </c>
      <c r="AJ465" s="6" t="str">
        <f t="shared" si="83"/>
        <v>(U4)0x400003bfU,</v>
      </c>
      <c r="AK465" s="6" t="str">
        <f t="shared" si="84"/>
        <v>(U2)32U,</v>
      </c>
      <c r="AL465" s="6" t="str">
        <f t="shared" si="85"/>
        <v>(U2)87U},</v>
      </c>
      <c r="AM465" s="6" t="str">
        <f t="shared" si="86"/>
        <v xml:space="preserve"> */</v>
      </c>
      <c r="AN465" s="6" t="str">
        <f t="shared" si="87"/>
        <v>/*   : ECT1G01 = 0x400003bf */</v>
      </c>
    </row>
    <row r="466" spans="1:40" s="6" customFormat="1">
      <c r="A466" s="15" t="str">
        <f t="shared" si="91"/>
        <v>BDC1SJ6</v>
      </c>
      <c r="B466" s="15" t="str">
        <f t="shared" si="91"/>
        <v>3C3</v>
      </c>
      <c r="C466" s="15" t="str">
        <f t="shared" si="91"/>
        <v>1</v>
      </c>
      <c r="D466" s="15">
        <f t="shared" si="91"/>
        <v>64</v>
      </c>
      <c r="E466" s="15"/>
      <c r="F466" s="15" t="str">
        <f t="shared" si="93"/>
        <v>0</v>
      </c>
      <c r="G466" s="16" t="str">
        <f t="shared" si="92"/>
        <v>R</v>
      </c>
      <c r="H466" s="16" t="str">
        <f t="shared" si="92"/>
        <v/>
      </c>
      <c r="I466" s="16" t="str">
        <f t="shared" si="92"/>
        <v/>
      </c>
      <c r="J466" s="5"/>
      <c r="X466" s="89"/>
      <c r="AE466" s="96"/>
      <c r="AF466" s="38">
        <f t="shared" si="79"/>
        <v>117</v>
      </c>
      <c r="AG466" s="96" t="str">
        <f t="shared" si="80"/>
        <v/>
      </c>
      <c r="AH466" s="6" t="str">
        <f t="shared" si="81"/>
        <v>{(U4)0x00000200U,</v>
      </c>
      <c r="AI466" s="6" t="str">
        <f t="shared" si="82"/>
        <v>(U4)0x400003c3U,</v>
      </c>
      <c r="AJ466" s="6" t="str">
        <f t="shared" si="83"/>
        <v>(U4)0x400003c3U,</v>
      </c>
      <c r="AK466" s="6" t="str">
        <f t="shared" si="84"/>
        <v>(U2)64U,</v>
      </c>
      <c r="AL466" s="6" t="str">
        <f t="shared" si="85"/>
        <v>(U2)87U},</v>
      </c>
      <c r="AM466" s="6" t="str">
        <f t="shared" si="86"/>
        <v/>
      </c>
      <c r="AN466" s="6" t="str">
        <f t="shared" si="87"/>
        <v>/* 117 : BDC1SJ6 = 0x400003c3 */</v>
      </c>
    </row>
    <row r="467" spans="1:40" s="6" customFormat="1">
      <c r="A467" s="15" t="str">
        <f t="shared" si="91"/>
        <v>BDC1SD8</v>
      </c>
      <c r="B467" s="15" t="str">
        <f t="shared" si="91"/>
        <v>3C7</v>
      </c>
      <c r="C467" s="15" t="str">
        <f t="shared" si="91"/>
        <v>1</v>
      </c>
      <c r="D467" s="15">
        <f t="shared" si="91"/>
        <v>64</v>
      </c>
      <c r="E467" s="15"/>
      <c r="F467" s="15" t="str">
        <f t="shared" si="93"/>
        <v>1</v>
      </c>
      <c r="G467" s="16" t="str">
        <f t="shared" si="92"/>
        <v>R</v>
      </c>
      <c r="H467" s="16" t="str">
        <f t="shared" si="92"/>
        <v/>
      </c>
      <c r="I467" s="16" t="str">
        <f t="shared" si="92"/>
        <v/>
      </c>
      <c r="J467" s="5"/>
      <c r="X467" s="89"/>
      <c r="AE467" s="96"/>
      <c r="AF467" s="38">
        <f t="shared" si="79"/>
        <v>118</v>
      </c>
      <c r="AG467" s="96" t="str">
        <f t="shared" si="80"/>
        <v/>
      </c>
      <c r="AH467" s="6" t="str">
        <f t="shared" si="81"/>
        <v>{(U4)0x00000002U,</v>
      </c>
      <c r="AI467" s="6" t="str">
        <f t="shared" si="82"/>
        <v>(U4)0x400003c7U,</v>
      </c>
      <c r="AJ467" s="6" t="str">
        <f t="shared" si="83"/>
        <v>(U4)0x400003c7U,</v>
      </c>
      <c r="AK467" s="6" t="str">
        <f t="shared" si="84"/>
        <v>(U2)64U,</v>
      </c>
      <c r="AL467" s="6" t="str">
        <f t="shared" si="85"/>
        <v>(U2)72U},</v>
      </c>
      <c r="AM467" s="6" t="str">
        <f t="shared" si="86"/>
        <v/>
      </c>
      <c r="AN467" s="6" t="str">
        <f t="shared" si="87"/>
        <v>/* 118 : BDC1SD8 = 0x400003c7 */</v>
      </c>
    </row>
    <row r="468" spans="1:40" s="6" customFormat="1">
      <c r="A468" s="15" t="str">
        <f t="shared" si="91"/>
        <v>BDC1SD7</v>
      </c>
      <c r="B468" s="15" t="str">
        <f t="shared" si="91"/>
        <v>3C6</v>
      </c>
      <c r="C468" s="15" t="str">
        <f t="shared" si="91"/>
        <v>1</v>
      </c>
      <c r="D468" s="15">
        <f t="shared" si="91"/>
        <v>64</v>
      </c>
      <c r="E468" s="15"/>
      <c r="F468" s="15" t="str">
        <f t="shared" si="93"/>
        <v>1</v>
      </c>
      <c r="G468" s="16" t="str">
        <f t="shared" si="92"/>
        <v>R</v>
      </c>
      <c r="H468" s="16" t="str">
        <f t="shared" si="92"/>
        <v/>
      </c>
      <c r="I468" s="16" t="str">
        <f t="shared" si="92"/>
        <v/>
      </c>
      <c r="J468" s="5"/>
      <c r="X468" s="89"/>
      <c r="AE468" s="96"/>
      <c r="AF468" s="38">
        <f t="shared" si="79"/>
        <v>119</v>
      </c>
      <c r="AG468" s="96" t="str">
        <f t="shared" si="80"/>
        <v/>
      </c>
      <c r="AH468" s="6" t="str">
        <f t="shared" si="81"/>
        <v>{(U4)0x00000002U,</v>
      </c>
      <c r="AI468" s="6" t="str">
        <f t="shared" si="82"/>
        <v>(U4)0x400003c6U,</v>
      </c>
      <c r="AJ468" s="6" t="str">
        <f t="shared" si="83"/>
        <v>(U4)0x400003c6U,</v>
      </c>
      <c r="AK468" s="6" t="str">
        <f t="shared" si="84"/>
        <v>(U2)64U,</v>
      </c>
      <c r="AL468" s="6" t="str">
        <f t="shared" si="85"/>
        <v>(U2)75U},</v>
      </c>
      <c r="AM468" s="6" t="str">
        <f t="shared" si="86"/>
        <v/>
      </c>
      <c r="AN468" s="6" t="str">
        <f t="shared" si="87"/>
        <v>/* 119 : BDC1SD7 = 0x400003c6 */</v>
      </c>
    </row>
    <row r="469" spans="1:40" s="6" customFormat="1">
      <c r="A469" s="15" t="str">
        <f t="shared" ref="A469:D488" si="94">A186</f>
        <v>BDC1SI0</v>
      </c>
      <c r="B469" s="15" t="str">
        <f t="shared" si="94"/>
        <v>3CE</v>
      </c>
      <c r="C469" s="15" t="str">
        <f t="shared" si="94"/>
        <v>1</v>
      </c>
      <c r="D469" s="15">
        <f t="shared" si="94"/>
        <v>64</v>
      </c>
      <c r="E469" s="15"/>
      <c r="F469" s="15" t="str">
        <f t="shared" si="93"/>
        <v>0</v>
      </c>
      <c r="G469" s="16" t="str">
        <f t="shared" ref="G469:I488" si="95">IF(G186&lt;&gt;"",G186,"")</f>
        <v>R</v>
      </c>
      <c r="H469" s="16" t="str">
        <f t="shared" si="95"/>
        <v/>
      </c>
      <c r="I469" s="16" t="str">
        <f t="shared" si="95"/>
        <v/>
      </c>
      <c r="J469" s="5"/>
      <c r="X469" s="89"/>
      <c r="AE469" s="96"/>
      <c r="AF469" s="38">
        <f t="shared" si="79"/>
        <v>120</v>
      </c>
      <c r="AG469" s="96" t="str">
        <f t="shared" si="80"/>
        <v/>
      </c>
      <c r="AH469" s="6" t="str">
        <f t="shared" si="81"/>
        <v>{(U4)0x00000200U,</v>
      </c>
      <c r="AI469" s="6" t="str">
        <f t="shared" si="82"/>
        <v>(U4)0x400003ceU,</v>
      </c>
      <c r="AJ469" s="6" t="str">
        <f t="shared" si="83"/>
        <v>(U4)0x400003ceU,</v>
      </c>
      <c r="AK469" s="6" t="str">
        <f t="shared" si="84"/>
        <v>(U2)64U,</v>
      </c>
      <c r="AL469" s="6" t="str">
        <f t="shared" si="85"/>
        <v>(U2)87U},</v>
      </c>
      <c r="AM469" s="6" t="str">
        <f t="shared" si="86"/>
        <v/>
      </c>
      <c r="AN469" s="6" t="str">
        <f t="shared" si="87"/>
        <v>/* 120 : BDC1SI0 = 0x400003ce */</v>
      </c>
    </row>
    <row r="470" spans="1:40" s="6" customFormat="1">
      <c r="A470" s="15" t="str">
        <f t="shared" si="94"/>
        <v>BDC1SE2</v>
      </c>
      <c r="B470" s="15" t="str">
        <f t="shared" si="94"/>
        <v>3D6</v>
      </c>
      <c r="C470" s="15" t="str">
        <f t="shared" si="94"/>
        <v>1</v>
      </c>
      <c r="D470" s="15">
        <f t="shared" si="94"/>
        <v>64</v>
      </c>
      <c r="E470" s="15"/>
      <c r="F470" s="15" t="str">
        <f t="shared" si="93"/>
        <v>1</v>
      </c>
      <c r="G470" s="16" t="str">
        <f t="shared" si="95"/>
        <v>R</v>
      </c>
      <c r="H470" s="16" t="str">
        <f t="shared" si="95"/>
        <v/>
      </c>
      <c r="I470" s="16" t="str">
        <f t="shared" si="95"/>
        <v/>
      </c>
      <c r="J470" s="5"/>
      <c r="X470" s="89"/>
      <c r="AE470" s="96"/>
      <c r="AF470" s="38">
        <f t="shared" si="79"/>
        <v>121</v>
      </c>
      <c r="AG470" s="96" t="str">
        <f t="shared" si="80"/>
        <v/>
      </c>
      <c r="AH470" s="6" t="str">
        <f t="shared" si="81"/>
        <v>{(U4)0x00000002U,</v>
      </c>
      <c r="AI470" s="6" t="str">
        <f t="shared" si="82"/>
        <v>(U4)0x400003d6U,</v>
      </c>
      <c r="AJ470" s="6" t="str">
        <f t="shared" si="83"/>
        <v>(U4)0x400003d6U,</v>
      </c>
      <c r="AK470" s="6" t="str">
        <f t="shared" si="84"/>
        <v>(U2)64U,</v>
      </c>
      <c r="AL470" s="6" t="str">
        <f t="shared" si="85"/>
        <v>(U2)78U},</v>
      </c>
      <c r="AM470" s="6" t="str">
        <f t="shared" si="86"/>
        <v/>
      </c>
      <c r="AN470" s="6" t="str">
        <f t="shared" si="87"/>
        <v>/* 121 : BDC1SE2 = 0x400003d6 */</v>
      </c>
    </row>
    <row r="471" spans="1:40" s="6" customFormat="1">
      <c r="A471" s="15" t="str">
        <f t="shared" si="94"/>
        <v>ITS1S04</v>
      </c>
      <c r="B471" s="15" t="str">
        <f t="shared" si="94"/>
        <v>3DE</v>
      </c>
      <c r="C471" s="15" t="str">
        <f t="shared" si="94"/>
        <v>1</v>
      </c>
      <c r="D471" s="15">
        <f t="shared" si="94"/>
        <v>8</v>
      </c>
      <c r="E471" s="15"/>
      <c r="F471" s="15" t="str">
        <f t="shared" si="93"/>
        <v>0</v>
      </c>
      <c r="G471" s="16" t="str">
        <f t="shared" si="95"/>
        <v>R</v>
      </c>
      <c r="H471" s="16" t="str">
        <f t="shared" si="95"/>
        <v/>
      </c>
      <c r="I471" s="16" t="str">
        <f t="shared" si="95"/>
        <v/>
      </c>
      <c r="J471" s="5"/>
      <c r="X471" s="89"/>
      <c r="AE471" s="96"/>
      <c r="AF471" s="38">
        <f t="shared" si="79"/>
        <v>122</v>
      </c>
      <c r="AG471" s="96" t="str">
        <f t="shared" si="80"/>
        <v/>
      </c>
      <c r="AH471" s="6" t="str">
        <f t="shared" si="81"/>
        <v>{(U4)0x00000200U,</v>
      </c>
      <c r="AI471" s="6" t="str">
        <f t="shared" si="82"/>
        <v>(U4)0x400003deU,</v>
      </c>
      <c r="AJ471" s="6" t="str">
        <f t="shared" si="83"/>
        <v>(U4)0x400003deU,</v>
      </c>
      <c r="AK471" s="6" t="str">
        <f t="shared" si="84"/>
        <v>(U2)8U,</v>
      </c>
      <c r="AL471" s="6" t="str">
        <f t="shared" si="85"/>
        <v>(U2)87U},</v>
      </c>
      <c r="AM471" s="6" t="str">
        <f t="shared" si="86"/>
        <v/>
      </c>
      <c r="AN471" s="6" t="str">
        <f t="shared" si="87"/>
        <v>/* 122 : ITS1S04 = 0x400003de */</v>
      </c>
    </row>
    <row r="472" spans="1:40" s="6" customFormat="1">
      <c r="A472" s="15" t="str">
        <f t="shared" si="94"/>
        <v>RSE1S02</v>
      </c>
      <c r="B472" s="15" t="str">
        <f t="shared" si="94"/>
        <v>3C8</v>
      </c>
      <c r="C472" s="15" t="str">
        <f t="shared" si="94"/>
        <v>1</v>
      </c>
      <c r="D472" s="15">
        <f t="shared" si="94"/>
        <v>8</v>
      </c>
      <c r="E472" s="15"/>
      <c r="F472" s="15" t="str">
        <f t="shared" si="93"/>
        <v>0</v>
      </c>
      <c r="G472" s="16" t="str">
        <f t="shared" si="95"/>
        <v>R</v>
      </c>
      <c r="H472" s="16" t="str">
        <f t="shared" si="95"/>
        <v/>
      </c>
      <c r="I472" s="16" t="str">
        <f t="shared" si="95"/>
        <v/>
      </c>
      <c r="J472" s="5"/>
      <c r="X472" s="89"/>
      <c r="AE472" s="96"/>
      <c r="AF472" s="38">
        <f t="shared" si="79"/>
        <v>123</v>
      </c>
      <c r="AG472" s="96" t="str">
        <f t="shared" si="80"/>
        <v/>
      </c>
      <c r="AH472" s="6" t="str">
        <f t="shared" si="81"/>
        <v>{(U4)0x00000200U,</v>
      </c>
      <c r="AI472" s="6" t="str">
        <f t="shared" si="82"/>
        <v>(U4)0x400003c8U,</v>
      </c>
      <c r="AJ472" s="6" t="str">
        <f t="shared" si="83"/>
        <v>(U4)0x400003c8U,</v>
      </c>
      <c r="AK472" s="6" t="str">
        <f t="shared" si="84"/>
        <v>(U2)8U,</v>
      </c>
      <c r="AL472" s="6" t="str">
        <f t="shared" si="85"/>
        <v>(U2)87U},</v>
      </c>
      <c r="AM472" s="6" t="str">
        <f t="shared" si="86"/>
        <v/>
      </c>
      <c r="AN472" s="6" t="str">
        <f t="shared" si="87"/>
        <v>/* 123 : RSE1S02 = 0x400003c8 */</v>
      </c>
    </row>
    <row r="473" spans="1:40" s="6" customFormat="1">
      <c r="A473" s="15" t="str">
        <f t="shared" si="94"/>
        <v>BDC1SI1</v>
      </c>
      <c r="B473" s="15" t="str">
        <f t="shared" si="94"/>
        <v>3E8</v>
      </c>
      <c r="C473" s="15" t="str">
        <f t="shared" si="94"/>
        <v>1</v>
      </c>
      <c r="D473" s="15">
        <f t="shared" si="94"/>
        <v>64</v>
      </c>
      <c r="E473" s="15"/>
      <c r="F473" s="15" t="str">
        <f t="shared" si="93"/>
        <v>0</v>
      </c>
      <c r="G473" s="16" t="str">
        <f t="shared" si="95"/>
        <v>R</v>
      </c>
      <c r="H473" s="16" t="str">
        <f t="shared" si="95"/>
        <v/>
      </c>
      <c r="I473" s="16" t="str">
        <f t="shared" si="95"/>
        <v/>
      </c>
      <c r="J473" s="5"/>
      <c r="X473" s="89"/>
      <c r="AE473" s="96"/>
      <c r="AF473" s="38">
        <f t="shared" si="79"/>
        <v>124</v>
      </c>
      <c r="AG473" s="96" t="str">
        <f t="shared" si="80"/>
        <v/>
      </c>
      <c r="AH473" s="6" t="str">
        <f t="shared" si="81"/>
        <v>{(U4)0x00000200U,</v>
      </c>
      <c r="AI473" s="6" t="str">
        <f t="shared" si="82"/>
        <v>(U4)0x400003e8U,</v>
      </c>
      <c r="AJ473" s="6" t="str">
        <f t="shared" si="83"/>
        <v>(U4)0x400003e8U,</v>
      </c>
      <c r="AK473" s="6" t="str">
        <f t="shared" si="84"/>
        <v>(U2)64U,</v>
      </c>
      <c r="AL473" s="6" t="str">
        <f t="shared" si="85"/>
        <v>(U2)87U},</v>
      </c>
      <c r="AM473" s="6" t="str">
        <f t="shared" si="86"/>
        <v/>
      </c>
      <c r="AN473" s="6" t="str">
        <f t="shared" si="87"/>
        <v>/* 124 : BDC1SI1 = 0x400003e8 */</v>
      </c>
    </row>
    <row r="474" spans="1:40" s="6" customFormat="1">
      <c r="A474" s="15" t="str">
        <f t="shared" si="94"/>
        <v>RSE1G20</v>
      </c>
      <c r="B474" s="15" t="str">
        <f t="shared" si="94"/>
        <v>3CA</v>
      </c>
      <c r="C474" s="15" t="str">
        <f t="shared" si="94"/>
        <v>1</v>
      </c>
      <c r="D474" s="15">
        <f t="shared" si="94"/>
        <v>8</v>
      </c>
      <c r="E474" s="15"/>
      <c r="F474" s="15" t="str">
        <f t="shared" si="93"/>
        <v>0</v>
      </c>
      <c r="G474" s="16" t="str">
        <f t="shared" si="95"/>
        <v>R</v>
      </c>
      <c r="H474" s="16" t="str">
        <f t="shared" si="95"/>
        <v/>
      </c>
      <c r="I474" s="16" t="str">
        <f t="shared" si="95"/>
        <v/>
      </c>
      <c r="J474" s="5"/>
      <c r="X474" s="89"/>
      <c r="AE474" s="96"/>
      <c r="AF474" s="38">
        <f t="shared" si="79"/>
        <v>125</v>
      </c>
      <c r="AG474" s="96" t="str">
        <f t="shared" si="80"/>
        <v/>
      </c>
      <c r="AH474" s="6" t="str">
        <f t="shared" si="81"/>
        <v>{(U4)0x00000200U,</v>
      </c>
      <c r="AI474" s="6" t="str">
        <f t="shared" si="82"/>
        <v>(U4)0x400003caU,</v>
      </c>
      <c r="AJ474" s="6" t="str">
        <f t="shared" si="83"/>
        <v>(U4)0x400003cbU,</v>
      </c>
      <c r="AK474" s="6" t="str">
        <f t="shared" si="84"/>
        <v>(U2)8U,</v>
      </c>
      <c r="AL474" s="6" t="str">
        <f t="shared" si="85"/>
        <v>(U2)87U},</v>
      </c>
      <c r="AM474" s="6" t="str">
        <f t="shared" si="86"/>
        <v/>
      </c>
      <c r="AN474" s="6" t="str">
        <f t="shared" si="87"/>
        <v>/* 125 : RSE1G20 = 0x400003ca */</v>
      </c>
    </row>
    <row r="475" spans="1:40" s="6" customFormat="1">
      <c r="A475" s="15" t="str">
        <f t="shared" si="94"/>
        <v>BKD1S01</v>
      </c>
      <c r="B475" s="15" t="str">
        <f t="shared" si="94"/>
        <v>3CB</v>
      </c>
      <c r="C475" s="15" t="str">
        <f t="shared" si="94"/>
        <v>1</v>
      </c>
      <c r="D475" s="15">
        <f t="shared" si="94"/>
        <v>8</v>
      </c>
      <c r="E475" s="15"/>
      <c r="F475" s="15" t="str">
        <f t="shared" si="93"/>
        <v>0</v>
      </c>
      <c r="G475" s="16" t="str">
        <f t="shared" si="95"/>
        <v>R</v>
      </c>
      <c r="H475" s="16" t="str">
        <f t="shared" si="95"/>
        <v/>
      </c>
      <c r="I475" s="16" t="str">
        <f t="shared" si="95"/>
        <v/>
      </c>
      <c r="J475" s="5"/>
      <c r="X475" s="89"/>
      <c r="AE475" s="96"/>
      <c r="AF475" s="38" t="str">
        <f t="shared" si="79"/>
        <v/>
      </c>
      <c r="AG475" s="96" t="str">
        <f t="shared" si="80"/>
        <v xml:space="preserve">/* </v>
      </c>
      <c r="AH475" s="6" t="str">
        <f t="shared" si="81"/>
        <v>{(U4)0x00000200U,</v>
      </c>
      <c r="AI475" s="6" t="str">
        <f t="shared" si="82"/>
        <v>(U4)0x400003caU,</v>
      </c>
      <c r="AJ475" s="6" t="str">
        <f t="shared" si="83"/>
        <v>(U4)0x400003cbU,</v>
      </c>
      <c r="AK475" s="6" t="str">
        <f t="shared" si="84"/>
        <v>(U2)8U,</v>
      </c>
      <c r="AL475" s="6" t="str">
        <f t="shared" si="85"/>
        <v>(U2)87U},</v>
      </c>
      <c r="AM475" s="6" t="str">
        <f t="shared" si="86"/>
        <v xml:space="preserve"> */</v>
      </c>
      <c r="AN475" s="6" t="str">
        <f t="shared" si="87"/>
        <v>/*   : BKD1S01 = 0x400003cb */</v>
      </c>
    </row>
    <row r="476" spans="1:40" s="6" customFormat="1">
      <c r="A476" s="15" t="str">
        <f t="shared" si="94"/>
        <v>UCB1S01</v>
      </c>
      <c r="B476" s="15" t="str">
        <f t="shared" si="94"/>
        <v>3E7</v>
      </c>
      <c r="C476" s="15" t="str">
        <f t="shared" si="94"/>
        <v>1</v>
      </c>
      <c r="D476" s="15">
        <f t="shared" si="94"/>
        <v>32</v>
      </c>
      <c r="E476" s="15"/>
      <c r="F476" s="15" t="str">
        <f t="shared" si="93"/>
        <v>0</v>
      </c>
      <c r="G476" s="16" t="str">
        <f t="shared" si="95"/>
        <v>R</v>
      </c>
      <c r="H476" s="16" t="str">
        <f t="shared" si="95"/>
        <v/>
      </c>
      <c r="I476" s="16" t="str">
        <f t="shared" si="95"/>
        <v/>
      </c>
      <c r="J476" s="5"/>
      <c r="X476" s="89"/>
      <c r="AE476" s="96"/>
      <c r="AF476" s="38">
        <f t="shared" si="79"/>
        <v>126</v>
      </c>
      <c r="AG476" s="96" t="str">
        <f t="shared" si="80"/>
        <v/>
      </c>
      <c r="AH476" s="6" t="str">
        <f t="shared" si="81"/>
        <v>{(U4)0x00000200U,</v>
      </c>
      <c r="AI476" s="6" t="str">
        <f t="shared" si="82"/>
        <v>(U4)0x400003e7U,</v>
      </c>
      <c r="AJ476" s="6" t="str">
        <f t="shared" si="83"/>
        <v>(U4)0x400003e7U,</v>
      </c>
      <c r="AK476" s="6" t="str">
        <f t="shared" si="84"/>
        <v>(U2)32U,</v>
      </c>
      <c r="AL476" s="6" t="str">
        <f t="shared" si="85"/>
        <v>(U2)87U},</v>
      </c>
      <c r="AM476" s="6" t="str">
        <f t="shared" si="86"/>
        <v/>
      </c>
      <c r="AN476" s="6" t="str">
        <f t="shared" si="87"/>
        <v>/* 126 : UCB1S01 = 0x400003e7 */</v>
      </c>
    </row>
    <row r="477" spans="1:40" s="6" customFormat="1">
      <c r="A477" s="15" t="str">
        <f t="shared" si="94"/>
        <v>BDC1SE6</v>
      </c>
      <c r="B477" s="15" t="str">
        <f t="shared" si="94"/>
        <v>3EF</v>
      </c>
      <c r="C477" s="15" t="str">
        <f t="shared" si="94"/>
        <v>1</v>
      </c>
      <c r="D477" s="15">
        <f t="shared" si="94"/>
        <v>64</v>
      </c>
      <c r="E477" s="15"/>
      <c r="F477" s="15" t="str">
        <f t="shared" si="93"/>
        <v>1</v>
      </c>
      <c r="G477" s="16" t="str">
        <f t="shared" si="95"/>
        <v>R</v>
      </c>
      <c r="H477" s="16" t="str">
        <f t="shared" si="95"/>
        <v/>
      </c>
      <c r="I477" s="16" t="str">
        <f t="shared" si="95"/>
        <v/>
      </c>
      <c r="J477" s="5"/>
      <c r="X477" s="89"/>
      <c r="AE477" s="96"/>
      <c r="AF477" s="38">
        <f t="shared" si="79"/>
        <v>127</v>
      </c>
      <c r="AG477" s="96" t="str">
        <f t="shared" si="80"/>
        <v/>
      </c>
      <c r="AH477" s="6" t="str">
        <f t="shared" si="81"/>
        <v>{(U4)0x00000002U,</v>
      </c>
      <c r="AI477" s="6" t="str">
        <f t="shared" si="82"/>
        <v>(U4)0x400003efU,</v>
      </c>
      <c r="AJ477" s="6" t="str">
        <f t="shared" si="83"/>
        <v>(U4)0x400003efU,</v>
      </c>
      <c r="AK477" s="6" t="str">
        <f t="shared" si="84"/>
        <v>(U2)64U,</v>
      </c>
      <c r="AL477" s="6" t="str">
        <f t="shared" si="85"/>
        <v>(U2)81U},</v>
      </c>
      <c r="AM477" s="6" t="str">
        <f t="shared" si="86"/>
        <v/>
      </c>
      <c r="AN477" s="6" t="str">
        <f t="shared" si="87"/>
        <v>/* 127 : BDC1SE6 = 0x400003ef */</v>
      </c>
    </row>
    <row r="478" spans="1:40" s="6" customFormat="1">
      <c r="A478" s="15" t="str">
        <f t="shared" si="94"/>
        <v>DST1S02</v>
      </c>
      <c r="B478" s="15" t="str">
        <f t="shared" si="94"/>
        <v>3F0</v>
      </c>
      <c r="C478" s="15" t="str">
        <f t="shared" si="94"/>
        <v>1</v>
      </c>
      <c r="D478" s="15">
        <f t="shared" si="94"/>
        <v>8</v>
      </c>
      <c r="E478" s="15"/>
      <c r="F478" s="15" t="str">
        <f t="shared" si="93"/>
        <v>0</v>
      </c>
      <c r="G478" s="16" t="str">
        <f t="shared" si="95"/>
        <v>R</v>
      </c>
      <c r="H478" s="16" t="str">
        <f t="shared" si="95"/>
        <v/>
      </c>
      <c r="I478" s="16" t="str">
        <f t="shared" si="95"/>
        <v/>
      </c>
      <c r="J478" s="5"/>
      <c r="X478" s="89"/>
      <c r="AE478" s="96"/>
      <c r="AF478" s="38">
        <f t="shared" si="79"/>
        <v>128</v>
      </c>
      <c r="AG478" s="96" t="str">
        <f t="shared" si="80"/>
        <v/>
      </c>
      <c r="AH478" s="6" t="str">
        <f t="shared" si="81"/>
        <v>{(U4)0x00000200U,</v>
      </c>
      <c r="AI478" s="6" t="str">
        <f t="shared" si="82"/>
        <v>(U4)0x400003f0U,</v>
      </c>
      <c r="AJ478" s="6" t="str">
        <f t="shared" si="83"/>
        <v>(U4)0x400003f0U,</v>
      </c>
      <c r="AK478" s="6" t="str">
        <f t="shared" si="84"/>
        <v>(U2)8U,</v>
      </c>
      <c r="AL478" s="6" t="str">
        <f t="shared" si="85"/>
        <v>(U2)87U},</v>
      </c>
      <c r="AM478" s="6" t="str">
        <f t="shared" si="86"/>
        <v/>
      </c>
      <c r="AN478" s="6" t="str">
        <f t="shared" si="87"/>
        <v>/* 128 : DST1S02 = 0x400003f0 */</v>
      </c>
    </row>
    <row r="479" spans="1:40" s="6" customFormat="1">
      <c r="A479" s="15" t="str">
        <f t="shared" si="94"/>
        <v>BDC1SJ7</v>
      </c>
      <c r="B479" s="15" t="str">
        <f t="shared" si="94"/>
        <v>3F2</v>
      </c>
      <c r="C479" s="15" t="str">
        <f t="shared" si="94"/>
        <v>1</v>
      </c>
      <c r="D479" s="15">
        <f t="shared" si="94"/>
        <v>64</v>
      </c>
      <c r="E479" s="15"/>
      <c r="F479" s="15" t="str">
        <f t="shared" si="93"/>
        <v>0</v>
      </c>
      <c r="G479" s="16" t="str">
        <f t="shared" si="95"/>
        <v>R</v>
      </c>
      <c r="H479" s="16" t="str">
        <f t="shared" si="95"/>
        <v/>
      </c>
      <c r="I479" s="16" t="str">
        <f t="shared" si="95"/>
        <v/>
      </c>
      <c r="J479" s="5"/>
      <c r="X479" s="89"/>
      <c r="AE479" s="96"/>
      <c r="AF479" s="38">
        <f t="shared" si="79"/>
        <v>129</v>
      </c>
      <c r="AG479" s="96" t="str">
        <f t="shared" si="80"/>
        <v/>
      </c>
      <c r="AH479" s="6" t="str">
        <f t="shared" si="81"/>
        <v>{(U4)0x00000200U,</v>
      </c>
      <c r="AI479" s="6" t="str">
        <f t="shared" si="82"/>
        <v>(U4)0x400003f2U,</v>
      </c>
      <c r="AJ479" s="6" t="str">
        <f t="shared" si="83"/>
        <v>(U4)0x400003f4U,</v>
      </c>
      <c r="AK479" s="6" t="str">
        <f t="shared" si="84"/>
        <v>(U2)64U,</v>
      </c>
      <c r="AL479" s="6" t="str">
        <f t="shared" si="85"/>
        <v>(U2)87U},</v>
      </c>
      <c r="AM479" s="6" t="str">
        <f t="shared" si="86"/>
        <v/>
      </c>
      <c r="AN479" s="6" t="str">
        <f t="shared" si="87"/>
        <v>/* 129 : BDC1SJ7 = 0x400003f2 */</v>
      </c>
    </row>
    <row r="480" spans="1:40" s="6" customFormat="1">
      <c r="A480" s="15" t="str">
        <f t="shared" si="94"/>
        <v>BDC1SI3</v>
      </c>
      <c r="B480" s="15" t="str">
        <f t="shared" si="94"/>
        <v>3F4</v>
      </c>
      <c r="C480" s="15" t="str">
        <f t="shared" si="94"/>
        <v>1</v>
      </c>
      <c r="D480" s="15">
        <f t="shared" si="94"/>
        <v>64</v>
      </c>
      <c r="E480" s="15"/>
      <c r="F480" s="15" t="str">
        <f t="shared" si="93"/>
        <v>0</v>
      </c>
      <c r="G480" s="16" t="str">
        <f t="shared" si="95"/>
        <v>R</v>
      </c>
      <c r="H480" s="16" t="str">
        <f t="shared" si="95"/>
        <v/>
      </c>
      <c r="I480" s="16" t="str">
        <f t="shared" si="95"/>
        <v/>
      </c>
      <c r="J480" s="5"/>
      <c r="X480" s="89"/>
      <c r="AE480" s="96"/>
      <c r="AF480" s="38" t="str">
        <f t="shared" si="79"/>
        <v/>
      </c>
      <c r="AG480" s="96" t="str">
        <f t="shared" si="80"/>
        <v xml:space="preserve">/* </v>
      </c>
      <c r="AH480" s="6" t="str">
        <f t="shared" si="81"/>
        <v>{(U4)0x00000200U,</v>
      </c>
      <c r="AI480" s="6" t="str">
        <f t="shared" si="82"/>
        <v>(U4)0x400003f2U,</v>
      </c>
      <c r="AJ480" s="6" t="str">
        <f t="shared" si="83"/>
        <v>(U4)0x400003f4U,</v>
      </c>
      <c r="AK480" s="6" t="str">
        <f t="shared" si="84"/>
        <v>(U2)64U,</v>
      </c>
      <c r="AL480" s="6" t="str">
        <f t="shared" si="85"/>
        <v>(U2)87U},</v>
      </c>
      <c r="AM480" s="6" t="str">
        <f t="shared" si="86"/>
        <v xml:space="preserve"> */</v>
      </c>
      <c r="AN480" s="6" t="str">
        <f t="shared" si="87"/>
        <v>/*   : BDC1SI3 = 0x400003f4 */</v>
      </c>
    </row>
    <row r="481" spans="1:40" s="6" customFormat="1">
      <c r="A481" s="15" t="str">
        <f t="shared" si="94"/>
        <v>BSR1S01</v>
      </c>
      <c r="B481" s="15" t="str">
        <f t="shared" si="94"/>
        <v>3F6</v>
      </c>
      <c r="C481" s="15" t="str">
        <f t="shared" si="94"/>
        <v>1</v>
      </c>
      <c r="D481" s="15">
        <f t="shared" si="94"/>
        <v>8</v>
      </c>
      <c r="E481" s="15"/>
      <c r="F481" s="15" t="str">
        <f t="shared" si="93"/>
        <v>0</v>
      </c>
      <c r="G481" s="16" t="str">
        <f t="shared" si="95"/>
        <v>R</v>
      </c>
      <c r="H481" s="16" t="str">
        <f t="shared" si="95"/>
        <v/>
      </c>
      <c r="I481" s="16" t="str">
        <f t="shared" si="95"/>
        <v/>
      </c>
      <c r="J481" s="5"/>
      <c r="X481" s="89"/>
      <c r="AE481" s="96"/>
      <c r="AF481" s="38">
        <f t="shared" ref="AF481:AF544" si="96">IF(AF198&lt;&gt;"",AF198,"")</f>
        <v>130</v>
      </c>
      <c r="AG481" s="96" t="str">
        <f t="shared" ref="AG481:AG544" si="97">IF($AF198&lt;&gt;"","", "/* ")</f>
        <v/>
      </c>
      <c r="AH481" s="6" t="str">
        <f t="shared" ref="AH481:AH544" si="98">IF($AF198&lt;&gt;"","{(U4)0x"&amp;LOWER(DEC2HEX($L198*$L$3+$M198*$M$3+$N198*$N$3+$V198*$V$3,8))&amp;"U,",AH480)</f>
        <v>{(U4)0x00000200U,</v>
      </c>
      <c r="AI481" s="6" t="str">
        <f t="shared" ref="AI481:AI544" si="99">IF($AF198&lt;&gt;"", "(U4)"&amp;LOWER($AJ198)&amp;"U,",AI480)</f>
        <v>(U4)0x400003f6U,</v>
      </c>
      <c r="AJ481" s="6" t="str">
        <f t="shared" ref="AJ481:AJ544" si="100">IF($AF198&lt;&gt;"", "(U4)"&amp;LOWER($AK198)&amp;"U,",AJ480)</f>
        <v>(U4)0x400003fcU,</v>
      </c>
      <c r="AK481" s="6" t="str">
        <f t="shared" ref="AK481:AK544" si="101" xml:space="preserve"> IF($AF198&lt;&gt;"", "(U2)"&amp;$AL198&amp;"U,",AK480)</f>
        <v>(U2)8U,</v>
      </c>
      <c r="AL481" s="6" t="str">
        <f t="shared" ref="AL481:AL544" si="102" xml:space="preserve"> IF($AF198&lt;&gt;"", "(U2)"&amp;$Y198*$X$3&amp;"U},",AL480)</f>
        <v>(U2)87U},</v>
      </c>
      <c r="AM481" s="6" t="str">
        <f t="shared" ref="AM481:AM544" si="103">IF($AF198&lt;&gt;"","", " */")</f>
        <v/>
      </c>
      <c r="AN481" s="6" t="str">
        <f t="shared" ref="AN481:AN544" si="104">"/* "&amp;IF($AF198&lt;&gt;"",$AF198," ")&amp;" : "&amp;$A198&amp;" = "&amp;LOWER($AH198)&amp;" */"</f>
        <v>/* 130 : BSR1S01 = 0x400003f6 */</v>
      </c>
    </row>
    <row r="482" spans="1:40" s="6" customFormat="1">
      <c r="A482" s="15" t="str">
        <f t="shared" si="94"/>
        <v>BDB1S19</v>
      </c>
      <c r="B482" s="15" t="str">
        <f t="shared" si="94"/>
        <v>3FC</v>
      </c>
      <c r="C482" s="15" t="str">
        <f t="shared" si="94"/>
        <v>1</v>
      </c>
      <c r="D482" s="15">
        <f t="shared" si="94"/>
        <v>8</v>
      </c>
      <c r="E482" s="15"/>
      <c r="F482" s="15" t="str">
        <f t="shared" si="93"/>
        <v>0</v>
      </c>
      <c r="G482" s="16" t="str">
        <f t="shared" si="95"/>
        <v>R</v>
      </c>
      <c r="H482" s="16" t="str">
        <f t="shared" si="95"/>
        <v/>
      </c>
      <c r="I482" s="16" t="str">
        <f t="shared" si="95"/>
        <v/>
      </c>
      <c r="J482" s="5"/>
      <c r="X482" s="89"/>
      <c r="AE482" s="96"/>
      <c r="AF482" s="38" t="str">
        <f t="shared" si="96"/>
        <v/>
      </c>
      <c r="AG482" s="96" t="str">
        <f t="shared" si="97"/>
        <v xml:space="preserve">/* </v>
      </c>
      <c r="AH482" s="6" t="str">
        <f t="shared" si="98"/>
        <v>{(U4)0x00000200U,</v>
      </c>
      <c r="AI482" s="6" t="str">
        <f t="shared" si="99"/>
        <v>(U4)0x400003f6U,</v>
      </c>
      <c r="AJ482" s="6" t="str">
        <f t="shared" si="100"/>
        <v>(U4)0x400003fcU,</v>
      </c>
      <c r="AK482" s="6" t="str">
        <f t="shared" si="101"/>
        <v>(U2)8U,</v>
      </c>
      <c r="AL482" s="6" t="str">
        <f t="shared" si="102"/>
        <v>(U2)87U},</v>
      </c>
      <c r="AM482" s="6" t="str">
        <f t="shared" si="103"/>
        <v xml:space="preserve"> */</v>
      </c>
      <c r="AN482" s="6" t="str">
        <f t="shared" si="104"/>
        <v>/*   : BDB1S19 = 0x400003fc */</v>
      </c>
    </row>
    <row r="483" spans="1:40" s="6" customFormat="1">
      <c r="A483" s="15" t="str">
        <f t="shared" si="94"/>
        <v>ZN11S66</v>
      </c>
      <c r="B483" s="15" t="str">
        <f t="shared" si="94"/>
        <v>400</v>
      </c>
      <c r="C483" s="15" t="str">
        <f t="shared" si="94"/>
        <v>1</v>
      </c>
      <c r="D483" s="15">
        <f t="shared" si="94"/>
        <v>32</v>
      </c>
      <c r="E483" s="15"/>
      <c r="F483" s="15" t="str">
        <f t="shared" si="93"/>
        <v>0</v>
      </c>
      <c r="G483" s="16" t="str">
        <f t="shared" si="95"/>
        <v>R</v>
      </c>
      <c r="H483" s="16" t="str">
        <f t="shared" si="95"/>
        <v/>
      </c>
      <c r="I483" s="16" t="str">
        <f t="shared" si="95"/>
        <v/>
      </c>
      <c r="J483" s="5"/>
      <c r="X483" s="89"/>
      <c r="AE483" s="96"/>
      <c r="AF483" s="38">
        <f t="shared" si="96"/>
        <v>131</v>
      </c>
      <c r="AG483" s="96" t="str">
        <f t="shared" si="97"/>
        <v/>
      </c>
      <c r="AH483" s="6" t="str">
        <f t="shared" si="98"/>
        <v>{(U4)0x00000200U,</v>
      </c>
      <c r="AI483" s="6" t="str">
        <f t="shared" si="99"/>
        <v>(U4)0x40000400U,</v>
      </c>
      <c r="AJ483" s="6" t="str">
        <f t="shared" si="100"/>
        <v>(U4)0x40000404U,</v>
      </c>
      <c r="AK483" s="6" t="str">
        <f t="shared" si="101"/>
        <v>(U2)32U,</v>
      </c>
      <c r="AL483" s="6" t="str">
        <f t="shared" si="102"/>
        <v>(U2)87U},</v>
      </c>
      <c r="AM483" s="6" t="str">
        <f t="shared" si="103"/>
        <v/>
      </c>
      <c r="AN483" s="6" t="str">
        <f t="shared" si="104"/>
        <v>/* 131 : ZN11S66 = 0x40000400 */</v>
      </c>
    </row>
    <row r="484" spans="1:40" s="6" customFormat="1">
      <c r="A484" s="15" t="str">
        <f t="shared" si="94"/>
        <v>ZN11S67</v>
      </c>
      <c r="B484" s="15" t="str">
        <f t="shared" si="94"/>
        <v>404</v>
      </c>
      <c r="C484" s="15" t="str">
        <f t="shared" si="94"/>
        <v>1</v>
      </c>
      <c r="D484" s="15">
        <f t="shared" si="94"/>
        <v>32</v>
      </c>
      <c r="E484" s="15"/>
      <c r="F484" s="15" t="str">
        <f t="shared" si="93"/>
        <v>0</v>
      </c>
      <c r="G484" s="16" t="str">
        <f t="shared" si="95"/>
        <v>R</v>
      </c>
      <c r="H484" s="16" t="str">
        <f t="shared" si="95"/>
        <v/>
      </c>
      <c r="I484" s="16" t="str">
        <f t="shared" si="95"/>
        <v/>
      </c>
      <c r="J484" s="5"/>
      <c r="X484" s="89"/>
      <c r="AE484" s="96"/>
      <c r="AF484" s="38" t="str">
        <f t="shared" si="96"/>
        <v/>
      </c>
      <c r="AG484" s="96" t="str">
        <f t="shared" si="97"/>
        <v xml:space="preserve">/* </v>
      </c>
      <c r="AH484" s="6" t="str">
        <f t="shared" si="98"/>
        <v>{(U4)0x00000200U,</v>
      </c>
      <c r="AI484" s="6" t="str">
        <f t="shared" si="99"/>
        <v>(U4)0x40000400U,</v>
      </c>
      <c r="AJ484" s="6" t="str">
        <f t="shared" si="100"/>
        <v>(U4)0x40000404U,</v>
      </c>
      <c r="AK484" s="6" t="str">
        <f t="shared" si="101"/>
        <v>(U2)32U,</v>
      </c>
      <c r="AL484" s="6" t="str">
        <f t="shared" si="102"/>
        <v>(U2)87U},</v>
      </c>
      <c r="AM484" s="6" t="str">
        <f t="shared" si="103"/>
        <v xml:space="preserve"> */</v>
      </c>
      <c r="AN484" s="6" t="str">
        <f t="shared" si="104"/>
        <v>/*   : ZN11S67 = 0x40000404 */</v>
      </c>
    </row>
    <row r="485" spans="1:40" s="6" customFormat="1">
      <c r="A485" s="15" t="str">
        <f t="shared" si="94"/>
        <v>ACN1S16</v>
      </c>
      <c r="B485" s="15" t="str">
        <f t="shared" si="94"/>
        <v>408</v>
      </c>
      <c r="C485" s="15" t="str">
        <f t="shared" si="94"/>
        <v>1</v>
      </c>
      <c r="D485" s="15">
        <f t="shared" si="94"/>
        <v>8</v>
      </c>
      <c r="E485" s="15"/>
      <c r="F485" s="15" t="str">
        <f t="shared" ref="F485:F516" si="105">F202</f>
        <v>0</v>
      </c>
      <c r="G485" s="16" t="str">
        <f t="shared" si="95"/>
        <v>R</v>
      </c>
      <c r="H485" s="16" t="str">
        <f t="shared" si="95"/>
        <v/>
      </c>
      <c r="I485" s="16" t="str">
        <f t="shared" si="95"/>
        <v/>
      </c>
      <c r="J485" s="5"/>
      <c r="X485" s="89"/>
      <c r="AE485" s="96"/>
      <c r="AF485" s="38">
        <f t="shared" si="96"/>
        <v>132</v>
      </c>
      <c r="AG485" s="96" t="str">
        <f t="shared" si="97"/>
        <v/>
      </c>
      <c r="AH485" s="6" t="str">
        <f t="shared" si="98"/>
        <v>{(U4)0x00000200U,</v>
      </c>
      <c r="AI485" s="6" t="str">
        <f t="shared" si="99"/>
        <v>(U4)0x40000408U,</v>
      </c>
      <c r="AJ485" s="6" t="str">
        <f t="shared" si="100"/>
        <v>(U4)0x4000040cU,</v>
      </c>
      <c r="AK485" s="6" t="str">
        <f t="shared" si="101"/>
        <v>(U2)8U,</v>
      </c>
      <c r="AL485" s="6" t="str">
        <f t="shared" si="102"/>
        <v>(U2)87U},</v>
      </c>
      <c r="AM485" s="6" t="str">
        <f t="shared" si="103"/>
        <v/>
      </c>
      <c r="AN485" s="6" t="str">
        <f t="shared" si="104"/>
        <v>/* 132 : ACN1S16 = 0x40000408 */</v>
      </c>
    </row>
    <row r="486" spans="1:40" s="6" customFormat="1">
      <c r="A486" s="15" t="str">
        <f t="shared" si="94"/>
        <v>SOL1S02</v>
      </c>
      <c r="B486" s="15" t="str">
        <f t="shared" si="94"/>
        <v>40C</v>
      </c>
      <c r="C486" s="15" t="str">
        <f t="shared" si="94"/>
        <v>1</v>
      </c>
      <c r="D486" s="15">
        <f t="shared" si="94"/>
        <v>8</v>
      </c>
      <c r="E486" s="15"/>
      <c r="F486" s="15" t="str">
        <f t="shared" si="105"/>
        <v>0</v>
      </c>
      <c r="G486" s="16" t="str">
        <f t="shared" si="95"/>
        <v>R</v>
      </c>
      <c r="H486" s="16" t="str">
        <f t="shared" si="95"/>
        <v/>
      </c>
      <c r="I486" s="16" t="str">
        <f t="shared" si="95"/>
        <v/>
      </c>
      <c r="J486" s="5"/>
      <c r="X486" s="89"/>
      <c r="AE486" s="96"/>
      <c r="AF486" s="38" t="str">
        <f t="shared" si="96"/>
        <v/>
      </c>
      <c r="AG486" s="96" t="str">
        <f t="shared" si="97"/>
        <v xml:space="preserve">/* </v>
      </c>
      <c r="AH486" s="6" t="str">
        <f t="shared" si="98"/>
        <v>{(U4)0x00000200U,</v>
      </c>
      <c r="AI486" s="6" t="str">
        <f t="shared" si="99"/>
        <v>(U4)0x40000408U,</v>
      </c>
      <c r="AJ486" s="6" t="str">
        <f t="shared" si="100"/>
        <v>(U4)0x4000040cU,</v>
      </c>
      <c r="AK486" s="6" t="str">
        <f t="shared" si="101"/>
        <v>(U2)8U,</v>
      </c>
      <c r="AL486" s="6" t="str">
        <f t="shared" si="102"/>
        <v>(U2)87U},</v>
      </c>
      <c r="AM486" s="6" t="str">
        <f t="shared" si="103"/>
        <v xml:space="preserve"> */</v>
      </c>
      <c r="AN486" s="6" t="str">
        <f t="shared" si="104"/>
        <v>/*   : SOL1S02 = 0x4000040c */</v>
      </c>
    </row>
    <row r="487" spans="1:40" s="6" customFormat="1">
      <c r="A487" s="15" t="str">
        <f t="shared" si="94"/>
        <v>ECT1S93</v>
      </c>
      <c r="B487" s="15" t="str">
        <f t="shared" si="94"/>
        <v>401</v>
      </c>
      <c r="C487" s="15" t="str">
        <f t="shared" si="94"/>
        <v>1</v>
      </c>
      <c r="D487" s="15">
        <f t="shared" si="94"/>
        <v>8</v>
      </c>
      <c r="E487" s="15"/>
      <c r="F487" s="15" t="str">
        <f t="shared" si="105"/>
        <v>0</v>
      </c>
      <c r="G487" s="16" t="str">
        <f t="shared" si="95"/>
        <v>R</v>
      </c>
      <c r="H487" s="16" t="str">
        <f t="shared" si="95"/>
        <v/>
      </c>
      <c r="I487" s="16" t="str">
        <f t="shared" si="95"/>
        <v/>
      </c>
      <c r="J487" s="5"/>
      <c r="X487" s="89"/>
      <c r="AE487" s="96"/>
      <c r="AF487" s="38">
        <f t="shared" si="96"/>
        <v>133</v>
      </c>
      <c r="AG487" s="96" t="str">
        <f t="shared" si="97"/>
        <v/>
      </c>
      <c r="AH487" s="6" t="str">
        <f t="shared" si="98"/>
        <v>{(U4)0x00000200U,</v>
      </c>
      <c r="AI487" s="6" t="str">
        <f t="shared" si="99"/>
        <v>(U4)0x40000401U,</v>
      </c>
      <c r="AJ487" s="6" t="str">
        <f t="shared" si="100"/>
        <v>(U4)0x4000040dU,</v>
      </c>
      <c r="AK487" s="6" t="str">
        <f t="shared" si="101"/>
        <v>(U2)8U,</v>
      </c>
      <c r="AL487" s="6" t="str">
        <f t="shared" si="102"/>
        <v>(U2)87U},</v>
      </c>
      <c r="AM487" s="6" t="str">
        <f t="shared" si="103"/>
        <v/>
      </c>
      <c r="AN487" s="6" t="str">
        <f t="shared" si="104"/>
        <v>/* 133 : ECT1S93 = 0x40000401 */</v>
      </c>
    </row>
    <row r="488" spans="1:40" s="6" customFormat="1">
      <c r="A488" s="15" t="str">
        <f t="shared" si="94"/>
        <v>PST1S01</v>
      </c>
      <c r="B488" s="15" t="str">
        <f t="shared" si="94"/>
        <v>403</v>
      </c>
      <c r="C488" s="15" t="str">
        <f t="shared" si="94"/>
        <v>1</v>
      </c>
      <c r="D488" s="15">
        <f t="shared" si="94"/>
        <v>8</v>
      </c>
      <c r="E488" s="15"/>
      <c r="F488" s="15" t="str">
        <f t="shared" si="105"/>
        <v>0</v>
      </c>
      <c r="G488" s="16" t="str">
        <f t="shared" si="95"/>
        <v>R</v>
      </c>
      <c r="H488" s="16" t="str">
        <f t="shared" si="95"/>
        <v/>
      </c>
      <c r="I488" s="16" t="str">
        <f t="shared" si="95"/>
        <v/>
      </c>
      <c r="J488" s="5"/>
      <c r="X488" s="89"/>
      <c r="AE488" s="96"/>
      <c r="AF488" s="38" t="str">
        <f t="shared" si="96"/>
        <v/>
      </c>
      <c r="AG488" s="96" t="str">
        <f t="shared" si="97"/>
        <v xml:space="preserve">/* </v>
      </c>
      <c r="AH488" s="6" t="str">
        <f t="shared" si="98"/>
        <v>{(U4)0x00000200U,</v>
      </c>
      <c r="AI488" s="6" t="str">
        <f t="shared" si="99"/>
        <v>(U4)0x40000401U,</v>
      </c>
      <c r="AJ488" s="6" t="str">
        <f t="shared" si="100"/>
        <v>(U4)0x4000040dU,</v>
      </c>
      <c r="AK488" s="6" t="str">
        <f t="shared" si="101"/>
        <v>(U2)8U,</v>
      </c>
      <c r="AL488" s="6" t="str">
        <f t="shared" si="102"/>
        <v>(U2)87U},</v>
      </c>
      <c r="AM488" s="6" t="str">
        <f t="shared" si="103"/>
        <v xml:space="preserve"> */</v>
      </c>
      <c r="AN488" s="6" t="str">
        <f t="shared" si="104"/>
        <v>/*   : PST1S01 = 0x40000403 */</v>
      </c>
    </row>
    <row r="489" spans="1:40" s="6" customFormat="1">
      <c r="A489" s="15" t="str">
        <f t="shared" ref="A489:D508" si="106">A206</f>
        <v>PST1S02</v>
      </c>
      <c r="B489" s="15" t="str">
        <f t="shared" si="106"/>
        <v>405</v>
      </c>
      <c r="C489" s="15" t="str">
        <f t="shared" si="106"/>
        <v>1</v>
      </c>
      <c r="D489" s="15">
        <f t="shared" si="106"/>
        <v>8</v>
      </c>
      <c r="E489" s="15"/>
      <c r="F489" s="15" t="str">
        <f t="shared" si="105"/>
        <v>0</v>
      </c>
      <c r="G489" s="16" t="str">
        <f t="shared" ref="G489:I508" si="107">IF(G206&lt;&gt;"",G206,"")</f>
        <v>R</v>
      </c>
      <c r="H489" s="16" t="str">
        <f t="shared" si="107"/>
        <v/>
      </c>
      <c r="I489" s="16" t="str">
        <f t="shared" si="107"/>
        <v/>
      </c>
      <c r="J489" s="5"/>
      <c r="X489" s="89"/>
      <c r="AE489" s="96"/>
      <c r="AF489" s="38" t="str">
        <f t="shared" si="96"/>
        <v/>
      </c>
      <c r="AG489" s="96" t="str">
        <f t="shared" si="97"/>
        <v xml:space="preserve">/* </v>
      </c>
      <c r="AH489" s="6" t="str">
        <f t="shared" si="98"/>
        <v>{(U4)0x00000200U,</v>
      </c>
      <c r="AI489" s="6" t="str">
        <f t="shared" si="99"/>
        <v>(U4)0x40000401U,</v>
      </c>
      <c r="AJ489" s="6" t="str">
        <f t="shared" si="100"/>
        <v>(U4)0x4000040dU,</v>
      </c>
      <c r="AK489" s="6" t="str">
        <f t="shared" si="101"/>
        <v>(U2)8U,</v>
      </c>
      <c r="AL489" s="6" t="str">
        <f t="shared" si="102"/>
        <v>(U2)87U},</v>
      </c>
      <c r="AM489" s="6" t="str">
        <f t="shared" si="103"/>
        <v xml:space="preserve"> */</v>
      </c>
      <c r="AN489" s="6" t="str">
        <f t="shared" si="104"/>
        <v>/*   : PST1S02 = 0x40000405 */</v>
      </c>
    </row>
    <row r="490" spans="1:40" s="6" customFormat="1">
      <c r="A490" s="15" t="str">
        <f t="shared" si="106"/>
        <v>ACN1S15</v>
      </c>
      <c r="B490" s="15" t="str">
        <f t="shared" si="106"/>
        <v>407</v>
      </c>
      <c r="C490" s="15" t="str">
        <f t="shared" si="106"/>
        <v>1</v>
      </c>
      <c r="D490" s="15">
        <f t="shared" si="106"/>
        <v>8</v>
      </c>
      <c r="E490" s="15"/>
      <c r="F490" s="15" t="str">
        <f t="shared" si="105"/>
        <v>0</v>
      </c>
      <c r="G490" s="16" t="str">
        <f t="shared" si="107"/>
        <v>R</v>
      </c>
      <c r="H490" s="16" t="str">
        <f t="shared" si="107"/>
        <v/>
      </c>
      <c r="I490" s="16" t="str">
        <f t="shared" si="107"/>
        <v/>
      </c>
      <c r="J490" s="5"/>
      <c r="X490" s="89"/>
      <c r="AE490" s="96"/>
      <c r="AF490" s="38" t="str">
        <f t="shared" si="96"/>
        <v/>
      </c>
      <c r="AG490" s="96" t="str">
        <f t="shared" si="97"/>
        <v xml:space="preserve">/* </v>
      </c>
      <c r="AH490" s="6" t="str">
        <f t="shared" si="98"/>
        <v>{(U4)0x00000200U,</v>
      </c>
      <c r="AI490" s="6" t="str">
        <f t="shared" si="99"/>
        <v>(U4)0x40000401U,</v>
      </c>
      <c r="AJ490" s="6" t="str">
        <f t="shared" si="100"/>
        <v>(U4)0x4000040dU,</v>
      </c>
      <c r="AK490" s="6" t="str">
        <f t="shared" si="101"/>
        <v>(U2)8U,</v>
      </c>
      <c r="AL490" s="6" t="str">
        <f t="shared" si="102"/>
        <v>(U2)87U},</v>
      </c>
      <c r="AM490" s="6" t="str">
        <f t="shared" si="103"/>
        <v xml:space="preserve"> */</v>
      </c>
      <c r="AN490" s="6" t="str">
        <f t="shared" si="104"/>
        <v>/*   : ACN1S15 = 0x40000407 */</v>
      </c>
    </row>
    <row r="491" spans="1:40" s="6" customFormat="1">
      <c r="A491" s="15" t="str">
        <f t="shared" si="106"/>
        <v>EHV1S95</v>
      </c>
      <c r="B491" s="15" t="str">
        <f t="shared" si="106"/>
        <v>40B</v>
      </c>
      <c r="C491" s="15" t="str">
        <f t="shared" si="106"/>
        <v>1</v>
      </c>
      <c r="D491" s="15">
        <f t="shared" si="106"/>
        <v>8</v>
      </c>
      <c r="E491" s="15"/>
      <c r="F491" s="15" t="str">
        <f t="shared" si="105"/>
        <v>0</v>
      </c>
      <c r="G491" s="16" t="str">
        <f t="shared" si="107"/>
        <v>R</v>
      </c>
      <c r="H491" s="16" t="str">
        <f t="shared" si="107"/>
        <v/>
      </c>
      <c r="I491" s="16" t="str">
        <f t="shared" si="107"/>
        <v/>
      </c>
      <c r="J491" s="5"/>
      <c r="X491" s="89"/>
      <c r="AE491" s="96"/>
      <c r="AF491" s="38" t="str">
        <f t="shared" si="96"/>
        <v/>
      </c>
      <c r="AG491" s="96" t="str">
        <f t="shared" si="97"/>
        <v xml:space="preserve">/* </v>
      </c>
      <c r="AH491" s="6" t="str">
        <f t="shared" si="98"/>
        <v>{(U4)0x00000200U,</v>
      </c>
      <c r="AI491" s="6" t="str">
        <f t="shared" si="99"/>
        <v>(U4)0x40000401U,</v>
      </c>
      <c r="AJ491" s="6" t="str">
        <f t="shared" si="100"/>
        <v>(U4)0x4000040dU,</v>
      </c>
      <c r="AK491" s="6" t="str">
        <f t="shared" si="101"/>
        <v>(U2)8U,</v>
      </c>
      <c r="AL491" s="6" t="str">
        <f t="shared" si="102"/>
        <v>(U2)87U},</v>
      </c>
      <c r="AM491" s="6" t="str">
        <f t="shared" si="103"/>
        <v xml:space="preserve"> */</v>
      </c>
      <c r="AN491" s="6" t="str">
        <f t="shared" si="104"/>
        <v>/*   : EHV1S95 = 0x4000040b */</v>
      </c>
    </row>
    <row r="492" spans="1:40" s="6" customFormat="1">
      <c r="A492" s="15" t="str">
        <f t="shared" si="106"/>
        <v>SOL1S03</v>
      </c>
      <c r="B492" s="15" t="str">
        <f t="shared" si="106"/>
        <v>40D</v>
      </c>
      <c r="C492" s="15" t="str">
        <f t="shared" si="106"/>
        <v>1</v>
      </c>
      <c r="D492" s="15">
        <f t="shared" si="106"/>
        <v>8</v>
      </c>
      <c r="E492" s="15"/>
      <c r="F492" s="15" t="str">
        <f t="shared" si="105"/>
        <v>0</v>
      </c>
      <c r="G492" s="16" t="str">
        <f t="shared" si="107"/>
        <v>R</v>
      </c>
      <c r="H492" s="16" t="str">
        <f t="shared" si="107"/>
        <v/>
      </c>
      <c r="I492" s="16" t="str">
        <f t="shared" si="107"/>
        <v/>
      </c>
      <c r="J492" s="5"/>
      <c r="X492" s="89"/>
      <c r="AE492" s="96"/>
      <c r="AF492" s="38" t="str">
        <f t="shared" si="96"/>
        <v/>
      </c>
      <c r="AG492" s="96" t="str">
        <f t="shared" si="97"/>
        <v xml:space="preserve">/* </v>
      </c>
      <c r="AH492" s="6" t="str">
        <f t="shared" si="98"/>
        <v>{(U4)0x00000200U,</v>
      </c>
      <c r="AI492" s="6" t="str">
        <f t="shared" si="99"/>
        <v>(U4)0x40000401U,</v>
      </c>
      <c r="AJ492" s="6" t="str">
        <f t="shared" si="100"/>
        <v>(U4)0x4000040dU,</v>
      </c>
      <c r="AK492" s="6" t="str">
        <f t="shared" si="101"/>
        <v>(U2)8U,</v>
      </c>
      <c r="AL492" s="6" t="str">
        <f t="shared" si="102"/>
        <v>(U2)87U},</v>
      </c>
      <c r="AM492" s="6" t="str">
        <f t="shared" si="103"/>
        <v xml:space="preserve"> */</v>
      </c>
      <c r="AN492" s="6" t="str">
        <f t="shared" si="104"/>
        <v>/*   : SOL1S03 = 0x4000040d */</v>
      </c>
    </row>
    <row r="493" spans="1:40" s="6" customFormat="1">
      <c r="A493" s="15" t="str">
        <f t="shared" si="106"/>
        <v>BDC1SJ2</v>
      </c>
      <c r="B493" s="15" t="str">
        <f t="shared" si="106"/>
        <v>50D</v>
      </c>
      <c r="C493" s="15" t="str">
        <f t="shared" si="106"/>
        <v>1</v>
      </c>
      <c r="D493" s="15">
        <f t="shared" si="106"/>
        <v>64</v>
      </c>
      <c r="E493" s="15"/>
      <c r="F493" s="15" t="str">
        <f t="shared" si="105"/>
        <v>0</v>
      </c>
      <c r="G493" s="16" t="str">
        <f t="shared" si="107"/>
        <v>R</v>
      </c>
      <c r="H493" s="16" t="str">
        <f t="shared" si="107"/>
        <v/>
      </c>
      <c r="I493" s="16" t="str">
        <f t="shared" si="107"/>
        <v/>
      </c>
      <c r="J493" s="5"/>
      <c r="X493" s="89"/>
      <c r="AE493" s="96"/>
      <c r="AF493" s="38">
        <f t="shared" si="96"/>
        <v>134</v>
      </c>
      <c r="AG493" s="96" t="str">
        <f t="shared" si="97"/>
        <v/>
      </c>
      <c r="AH493" s="6" t="str">
        <f t="shared" si="98"/>
        <v>{(U4)0x00000200U,</v>
      </c>
      <c r="AI493" s="6" t="str">
        <f t="shared" si="99"/>
        <v>(U4)0x4000050dU,</v>
      </c>
      <c r="AJ493" s="6" t="str">
        <f t="shared" si="100"/>
        <v>(U4)0x4000050dU,</v>
      </c>
      <c r="AK493" s="6" t="str">
        <f t="shared" si="101"/>
        <v>(U2)64U,</v>
      </c>
      <c r="AL493" s="6" t="str">
        <f t="shared" si="102"/>
        <v>(U2)87U},</v>
      </c>
      <c r="AM493" s="6" t="str">
        <f t="shared" si="103"/>
        <v/>
      </c>
      <c r="AN493" s="6" t="str">
        <f t="shared" si="104"/>
        <v>/* 134 : BDC1SJ2 = 0x4000050d */</v>
      </c>
    </row>
    <row r="494" spans="1:40" s="6" customFormat="1">
      <c r="A494" s="15" t="str">
        <f t="shared" si="106"/>
        <v>DS12F02</v>
      </c>
      <c r="B494" s="15" t="str">
        <f t="shared" si="106"/>
        <v>411</v>
      </c>
      <c r="C494" s="15" t="str">
        <f t="shared" si="106"/>
        <v>1</v>
      </c>
      <c r="D494" s="15">
        <f t="shared" si="106"/>
        <v>8</v>
      </c>
      <c r="E494" s="15"/>
      <c r="F494" s="15" t="str">
        <f t="shared" si="105"/>
        <v>0</v>
      </c>
      <c r="G494" s="16" t="str">
        <f t="shared" si="107"/>
        <v>R</v>
      </c>
      <c r="H494" s="16" t="str">
        <f t="shared" si="107"/>
        <v/>
      </c>
      <c r="I494" s="16" t="str">
        <f t="shared" si="107"/>
        <v/>
      </c>
      <c r="J494" s="5"/>
      <c r="X494" s="89"/>
      <c r="AE494" s="96"/>
      <c r="AF494" s="38">
        <f t="shared" si="96"/>
        <v>135</v>
      </c>
      <c r="AG494" s="96" t="str">
        <f t="shared" si="97"/>
        <v/>
      </c>
      <c r="AH494" s="6" t="str">
        <f t="shared" si="98"/>
        <v>{(U4)0x00000200U,</v>
      </c>
      <c r="AI494" s="6" t="str">
        <f t="shared" si="99"/>
        <v>(U4)0x40000411U,</v>
      </c>
      <c r="AJ494" s="6" t="str">
        <f t="shared" si="100"/>
        <v>(U4)0x40000421U,</v>
      </c>
      <c r="AK494" s="6" t="str">
        <f t="shared" si="101"/>
        <v>(U2)8U,</v>
      </c>
      <c r="AL494" s="6" t="str">
        <f t="shared" si="102"/>
        <v>(U2)87U},</v>
      </c>
      <c r="AM494" s="6" t="str">
        <f t="shared" si="103"/>
        <v/>
      </c>
      <c r="AN494" s="6" t="str">
        <f t="shared" si="104"/>
        <v>/* 135 : DS12F02 = 0x40000411 */</v>
      </c>
    </row>
    <row r="495" spans="1:40" s="6" customFormat="1">
      <c r="A495" s="15" t="str">
        <f t="shared" si="106"/>
        <v>DS12F03</v>
      </c>
      <c r="B495" s="15" t="str">
        <f t="shared" si="106"/>
        <v>412</v>
      </c>
      <c r="C495" s="15" t="str">
        <f t="shared" si="106"/>
        <v>1</v>
      </c>
      <c r="D495" s="15">
        <f t="shared" si="106"/>
        <v>8</v>
      </c>
      <c r="E495" s="15"/>
      <c r="F495" s="15" t="str">
        <f t="shared" si="105"/>
        <v>0</v>
      </c>
      <c r="G495" s="16" t="str">
        <f t="shared" si="107"/>
        <v>R</v>
      </c>
      <c r="H495" s="16" t="str">
        <f t="shared" si="107"/>
        <v/>
      </c>
      <c r="I495" s="16" t="str">
        <f t="shared" si="107"/>
        <v/>
      </c>
      <c r="J495" s="5"/>
      <c r="X495" s="89"/>
      <c r="AE495" s="96"/>
      <c r="AF495" s="38" t="str">
        <f t="shared" si="96"/>
        <v/>
      </c>
      <c r="AG495" s="96" t="str">
        <f t="shared" si="97"/>
        <v xml:space="preserve">/* </v>
      </c>
      <c r="AH495" s="6" t="str">
        <f t="shared" si="98"/>
        <v>{(U4)0x00000200U,</v>
      </c>
      <c r="AI495" s="6" t="str">
        <f t="shared" si="99"/>
        <v>(U4)0x40000411U,</v>
      </c>
      <c r="AJ495" s="6" t="str">
        <f t="shared" si="100"/>
        <v>(U4)0x40000421U,</v>
      </c>
      <c r="AK495" s="6" t="str">
        <f t="shared" si="101"/>
        <v>(U2)8U,</v>
      </c>
      <c r="AL495" s="6" t="str">
        <f t="shared" si="102"/>
        <v>(U2)87U},</v>
      </c>
      <c r="AM495" s="6" t="str">
        <f t="shared" si="103"/>
        <v xml:space="preserve"> */</v>
      </c>
      <c r="AN495" s="6" t="str">
        <f t="shared" si="104"/>
        <v>/*   : DS12F03 = 0x40000412 */</v>
      </c>
    </row>
    <row r="496" spans="1:40" s="6" customFormat="1">
      <c r="A496" s="15" t="str">
        <f t="shared" si="106"/>
        <v>TPM1S06</v>
      </c>
      <c r="B496" s="15" t="str">
        <f t="shared" si="106"/>
        <v>417</v>
      </c>
      <c r="C496" s="15" t="str">
        <f t="shared" si="106"/>
        <v>1</v>
      </c>
      <c r="D496" s="15">
        <f t="shared" si="106"/>
        <v>8</v>
      </c>
      <c r="E496" s="15"/>
      <c r="F496" s="15" t="str">
        <f t="shared" si="105"/>
        <v>0</v>
      </c>
      <c r="G496" s="16" t="str">
        <f t="shared" si="107"/>
        <v>R</v>
      </c>
      <c r="H496" s="16" t="str">
        <f t="shared" si="107"/>
        <v/>
      </c>
      <c r="I496" s="16" t="str">
        <f t="shared" si="107"/>
        <v/>
      </c>
      <c r="J496" s="5"/>
      <c r="X496" s="89"/>
      <c r="AE496" s="96"/>
      <c r="AF496" s="38" t="str">
        <f t="shared" si="96"/>
        <v/>
      </c>
      <c r="AG496" s="96" t="str">
        <f t="shared" si="97"/>
        <v xml:space="preserve">/* </v>
      </c>
      <c r="AH496" s="6" t="str">
        <f t="shared" si="98"/>
        <v>{(U4)0x00000200U,</v>
      </c>
      <c r="AI496" s="6" t="str">
        <f t="shared" si="99"/>
        <v>(U4)0x40000411U,</v>
      </c>
      <c r="AJ496" s="6" t="str">
        <f t="shared" si="100"/>
        <v>(U4)0x40000421U,</v>
      </c>
      <c r="AK496" s="6" t="str">
        <f t="shared" si="101"/>
        <v>(U2)8U,</v>
      </c>
      <c r="AL496" s="6" t="str">
        <f t="shared" si="102"/>
        <v>(U2)87U},</v>
      </c>
      <c r="AM496" s="6" t="str">
        <f t="shared" si="103"/>
        <v xml:space="preserve"> */</v>
      </c>
      <c r="AN496" s="6" t="str">
        <f t="shared" si="104"/>
        <v>/*   : TPM1S06 = 0x40000417 */</v>
      </c>
    </row>
    <row r="497" spans="1:40" s="6" customFormat="1">
      <c r="A497" s="15" t="str">
        <f t="shared" si="106"/>
        <v>TPM1S08</v>
      </c>
      <c r="B497" s="15" t="str">
        <f t="shared" si="106"/>
        <v>418</v>
      </c>
      <c r="C497" s="15" t="str">
        <f t="shared" si="106"/>
        <v>1</v>
      </c>
      <c r="D497" s="15">
        <f t="shared" si="106"/>
        <v>8</v>
      </c>
      <c r="E497" s="15"/>
      <c r="F497" s="15" t="str">
        <f t="shared" si="105"/>
        <v>0</v>
      </c>
      <c r="G497" s="16" t="str">
        <f t="shared" si="107"/>
        <v>R</v>
      </c>
      <c r="H497" s="16" t="str">
        <f t="shared" si="107"/>
        <v/>
      </c>
      <c r="I497" s="16" t="str">
        <f t="shared" si="107"/>
        <v/>
      </c>
      <c r="J497" s="5"/>
      <c r="X497" s="89"/>
      <c r="AE497" s="96"/>
      <c r="AF497" s="38" t="str">
        <f t="shared" si="96"/>
        <v/>
      </c>
      <c r="AG497" s="96" t="str">
        <f t="shared" si="97"/>
        <v xml:space="preserve">/* </v>
      </c>
      <c r="AH497" s="6" t="str">
        <f t="shared" si="98"/>
        <v>{(U4)0x00000200U,</v>
      </c>
      <c r="AI497" s="6" t="str">
        <f t="shared" si="99"/>
        <v>(U4)0x40000411U,</v>
      </c>
      <c r="AJ497" s="6" t="str">
        <f t="shared" si="100"/>
        <v>(U4)0x40000421U,</v>
      </c>
      <c r="AK497" s="6" t="str">
        <f t="shared" si="101"/>
        <v>(U2)8U,</v>
      </c>
      <c r="AL497" s="6" t="str">
        <f t="shared" si="102"/>
        <v>(U2)87U},</v>
      </c>
      <c r="AM497" s="6" t="str">
        <f t="shared" si="103"/>
        <v xml:space="preserve"> */</v>
      </c>
      <c r="AN497" s="6" t="str">
        <f t="shared" si="104"/>
        <v>/*   : TPM1S08 = 0x40000418 */</v>
      </c>
    </row>
    <row r="498" spans="1:40" s="6" customFormat="1">
      <c r="A498" s="15" t="str">
        <f t="shared" si="106"/>
        <v>EHV1S94</v>
      </c>
      <c r="B498" s="15" t="str">
        <f t="shared" si="106"/>
        <v>421</v>
      </c>
      <c r="C498" s="15" t="str">
        <f t="shared" si="106"/>
        <v>1</v>
      </c>
      <c r="D498" s="15">
        <f t="shared" si="106"/>
        <v>8</v>
      </c>
      <c r="E498" s="15"/>
      <c r="F498" s="15" t="str">
        <f t="shared" si="105"/>
        <v>0</v>
      </c>
      <c r="G498" s="16" t="str">
        <f t="shared" si="107"/>
        <v>R</v>
      </c>
      <c r="H498" s="16" t="str">
        <f t="shared" si="107"/>
        <v/>
      </c>
      <c r="I498" s="16" t="str">
        <f t="shared" si="107"/>
        <v/>
      </c>
      <c r="J498" s="5"/>
      <c r="X498" s="89"/>
      <c r="AE498" s="96"/>
      <c r="AF498" s="38" t="str">
        <f t="shared" si="96"/>
        <v/>
      </c>
      <c r="AG498" s="96" t="str">
        <f t="shared" si="97"/>
        <v xml:space="preserve">/* </v>
      </c>
      <c r="AH498" s="6" t="str">
        <f t="shared" si="98"/>
        <v>{(U4)0x00000200U,</v>
      </c>
      <c r="AI498" s="6" t="str">
        <f t="shared" si="99"/>
        <v>(U4)0x40000411U,</v>
      </c>
      <c r="AJ498" s="6" t="str">
        <f t="shared" si="100"/>
        <v>(U4)0x40000421U,</v>
      </c>
      <c r="AK498" s="6" t="str">
        <f t="shared" si="101"/>
        <v>(U2)8U,</v>
      </c>
      <c r="AL498" s="6" t="str">
        <f t="shared" si="102"/>
        <v>(U2)87U},</v>
      </c>
      <c r="AM498" s="6" t="str">
        <f t="shared" si="103"/>
        <v xml:space="preserve"> */</v>
      </c>
      <c r="AN498" s="6" t="str">
        <f t="shared" si="104"/>
        <v>/*   : EHV1S94 = 0x40000421 */</v>
      </c>
    </row>
    <row r="499" spans="1:40" s="6" customFormat="1">
      <c r="A499" s="15" t="str">
        <f t="shared" si="106"/>
        <v>BDC1SE8</v>
      </c>
      <c r="B499" s="15" t="str">
        <f t="shared" si="106"/>
        <v>423</v>
      </c>
      <c r="C499" s="15" t="str">
        <f t="shared" si="106"/>
        <v>1</v>
      </c>
      <c r="D499" s="15">
        <f t="shared" si="106"/>
        <v>64</v>
      </c>
      <c r="E499" s="15"/>
      <c r="F499" s="15" t="str">
        <f t="shared" si="105"/>
        <v>0</v>
      </c>
      <c r="G499" s="16" t="str">
        <f t="shared" si="107"/>
        <v>R</v>
      </c>
      <c r="H499" s="16" t="str">
        <f t="shared" si="107"/>
        <v/>
      </c>
      <c r="I499" s="16" t="str">
        <f t="shared" si="107"/>
        <v/>
      </c>
      <c r="J499" s="5"/>
      <c r="X499" s="89"/>
      <c r="AE499" s="96"/>
      <c r="AF499" s="38">
        <f t="shared" si="96"/>
        <v>136</v>
      </c>
      <c r="AG499" s="96" t="str">
        <f t="shared" si="97"/>
        <v/>
      </c>
      <c r="AH499" s="6" t="str">
        <f t="shared" si="98"/>
        <v>{(U4)0x00000200U,</v>
      </c>
      <c r="AI499" s="6" t="str">
        <f t="shared" si="99"/>
        <v>(U4)0x40000423U,</v>
      </c>
      <c r="AJ499" s="6" t="str">
        <f t="shared" si="100"/>
        <v>(U4)0x40000423U,</v>
      </c>
      <c r="AK499" s="6" t="str">
        <f t="shared" si="101"/>
        <v>(U2)64U,</v>
      </c>
      <c r="AL499" s="6" t="str">
        <f t="shared" si="102"/>
        <v>(U2)87U},</v>
      </c>
      <c r="AM499" s="6" t="str">
        <f t="shared" si="103"/>
        <v/>
      </c>
      <c r="AN499" s="6" t="str">
        <f t="shared" si="104"/>
        <v>/* 136 : BDC1SE8 = 0x40000423 */</v>
      </c>
    </row>
    <row r="500" spans="1:40" s="6" customFormat="1">
      <c r="A500" s="15" t="str">
        <f t="shared" si="106"/>
        <v>BDB1S02</v>
      </c>
      <c r="B500" s="15" t="str">
        <f t="shared" si="106"/>
        <v>621</v>
      </c>
      <c r="C500" s="15" t="str">
        <f t="shared" si="106"/>
        <v>1</v>
      </c>
      <c r="D500" s="15">
        <f t="shared" si="106"/>
        <v>8</v>
      </c>
      <c r="E500" s="15"/>
      <c r="F500" s="15" t="str">
        <f t="shared" si="105"/>
        <v>0</v>
      </c>
      <c r="G500" s="16" t="str">
        <f t="shared" si="107"/>
        <v>R</v>
      </c>
      <c r="H500" s="16" t="str">
        <f t="shared" si="107"/>
        <v/>
      </c>
      <c r="I500" s="16" t="str">
        <f t="shared" si="107"/>
        <v/>
      </c>
      <c r="J500" s="5"/>
      <c r="X500" s="89"/>
      <c r="AE500" s="96"/>
      <c r="AF500" s="38">
        <f t="shared" si="96"/>
        <v>137</v>
      </c>
      <c r="AG500" s="96" t="str">
        <f t="shared" si="97"/>
        <v/>
      </c>
      <c r="AH500" s="6" t="str">
        <f t="shared" si="98"/>
        <v>{(U4)0x00000200U,</v>
      </c>
      <c r="AI500" s="6" t="str">
        <f t="shared" si="99"/>
        <v>(U4)0x40000621U,</v>
      </c>
      <c r="AJ500" s="6" t="str">
        <f t="shared" si="100"/>
        <v>(U4)0x40000623U,</v>
      </c>
      <c r="AK500" s="6" t="str">
        <f t="shared" si="101"/>
        <v>(U2)8U,</v>
      </c>
      <c r="AL500" s="6" t="str">
        <f t="shared" si="102"/>
        <v>(U2)87U},</v>
      </c>
      <c r="AM500" s="6" t="str">
        <f t="shared" si="103"/>
        <v/>
      </c>
      <c r="AN500" s="6" t="str">
        <f t="shared" si="104"/>
        <v>/* 137 : BDB1S02 = 0x40000621 */</v>
      </c>
    </row>
    <row r="501" spans="1:40" s="6" customFormat="1">
      <c r="A501" s="15" t="str">
        <f t="shared" si="106"/>
        <v>BDB1S04</v>
      </c>
      <c r="B501" s="15" t="str">
        <f t="shared" si="106"/>
        <v>623</v>
      </c>
      <c r="C501" s="15" t="str">
        <f t="shared" si="106"/>
        <v>1</v>
      </c>
      <c r="D501" s="15">
        <f t="shared" si="106"/>
        <v>8</v>
      </c>
      <c r="E501" s="15"/>
      <c r="F501" s="15" t="str">
        <f t="shared" si="105"/>
        <v>0</v>
      </c>
      <c r="G501" s="16" t="str">
        <f t="shared" si="107"/>
        <v>R</v>
      </c>
      <c r="H501" s="16" t="str">
        <f t="shared" si="107"/>
        <v/>
      </c>
      <c r="I501" s="16" t="str">
        <f t="shared" si="107"/>
        <v/>
      </c>
      <c r="J501" s="5"/>
      <c r="X501" s="89"/>
      <c r="AE501" s="96"/>
      <c r="AF501" s="38" t="str">
        <f t="shared" si="96"/>
        <v/>
      </c>
      <c r="AG501" s="96" t="str">
        <f t="shared" si="97"/>
        <v xml:space="preserve">/* </v>
      </c>
      <c r="AH501" s="6" t="str">
        <f t="shared" si="98"/>
        <v>{(U4)0x00000200U,</v>
      </c>
      <c r="AI501" s="6" t="str">
        <f t="shared" si="99"/>
        <v>(U4)0x40000621U,</v>
      </c>
      <c r="AJ501" s="6" t="str">
        <f t="shared" si="100"/>
        <v>(U4)0x40000623U,</v>
      </c>
      <c r="AK501" s="6" t="str">
        <f t="shared" si="101"/>
        <v>(U2)8U,</v>
      </c>
      <c r="AL501" s="6" t="str">
        <f t="shared" si="102"/>
        <v>(U2)87U},</v>
      </c>
      <c r="AM501" s="6" t="str">
        <f t="shared" si="103"/>
        <v xml:space="preserve"> */</v>
      </c>
      <c r="AN501" s="6" t="str">
        <f t="shared" si="104"/>
        <v>/*   : BDB1S04 = 0x40000623 */</v>
      </c>
    </row>
    <row r="502" spans="1:40" s="6" customFormat="1">
      <c r="A502" s="15" t="str">
        <f t="shared" si="106"/>
        <v>PLG1S01</v>
      </c>
      <c r="B502" s="15" t="str">
        <f t="shared" si="106"/>
        <v>422</v>
      </c>
      <c r="C502" s="15" t="str">
        <f t="shared" si="106"/>
        <v>1</v>
      </c>
      <c r="D502" s="15">
        <f t="shared" si="106"/>
        <v>8</v>
      </c>
      <c r="E502" s="15"/>
      <c r="F502" s="15" t="str">
        <f t="shared" si="105"/>
        <v>0</v>
      </c>
      <c r="G502" s="16" t="str">
        <f t="shared" si="107"/>
        <v>R</v>
      </c>
      <c r="H502" s="16" t="str">
        <f t="shared" si="107"/>
        <v/>
      </c>
      <c r="I502" s="16" t="str">
        <f t="shared" si="107"/>
        <v/>
      </c>
      <c r="J502" s="5"/>
      <c r="X502" s="89"/>
      <c r="AE502" s="96"/>
      <c r="AF502" s="38">
        <f t="shared" si="96"/>
        <v>138</v>
      </c>
      <c r="AG502" s="96" t="str">
        <f t="shared" si="97"/>
        <v/>
      </c>
      <c r="AH502" s="6" t="str">
        <f t="shared" si="98"/>
        <v>{(U4)0x00000200U,</v>
      </c>
      <c r="AI502" s="6" t="str">
        <f t="shared" si="99"/>
        <v>(U4)0x40000422U,</v>
      </c>
      <c r="AJ502" s="6" t="str">
        <f t="shared" si="100"/>
        <v>(U4)0x40000626U,</v>
      </c>
      <c r="AK502" s="6" t="str">
        <f t="shared" si="101"/>
        <v>(U2)8U,</v>
      </c>
      <c r="AL502" s="6" t="str">
        <f t="shared" si="102"/>
        <v>(U2)87U},</v>
      </c>
      <c r="AM502" s="6" t="str">
        <f t="shared" si="103"/>
        <v/>
      </c>
      <c r="AN502" s="6" t="str">
        <f t="shared" si="104"/>
        <v>/* 138 : PLG1S01 = 0x40000422 */</v>
      </c>
    </row>
    <row r="503" spans="1:40" s="6" customFormat="1">
      <c r="A503" s="15" t="str">
        <f t="shared" si="106"/>
        <v>TPM1S09</v>
      </c>
      <c r="B503" s="15" t="str">
        <f t="shared" si="106"/>
        <v>426</v>
      </c>
      <c r="C503" s="15" t="str">
        <f t="shared" si="106"/>
        <v>1</v>
      </c>
      <c r="D503" s="15">
        <f t="shared" si="106"/>
        <v>8</v>
      </c>
      <c r="E503" s="15"/>
      <c r="F503" s="15" t="str">
        <f t="shared" si="105"/>
        <v>0</v>
      </c>
      <c r="G503" s="16" t="str">
        <f t="shared" si="107"/>
        <v>R</v>
      </c>
      <c r="H503" s="16" t="str">
        <f t="shared" si="107"/>
        <v/>
      </c>
      <c r="I503" s="16" t="str">
        <f t="shared" si="107"/>
        <v/>
      </c>
      <c r="J503" s="5"/>
      <c r="X503" s="89"/>
      <c r="AE503" s="96"/>
      <c r="AF503" s="38" t="str">
        <f t="shared" si="96"/>
        <v/>
      </c>
      <c r="AG503" s="96" t="str">
        <f t="shared" si="97"/>
        <v xml:space="preserve">/* </v>
      </c>
      <c r="AH503" s="6" t="str">
        <f t="shared" si="98"/>
        <v>{(U4)0x00000200U,</v>
      </c>
      <c r="AI503" s="6" t="str">
        <f t="shared" si="99"/>
        <v>(U4)0x40000422U,</v>
      </c>
      <c r="AJ503" s="6" t="str">
        <f t="shared" si="100"/>
        <v>(U4)0x40000626U,</v>
      </c>
      <c r="AK503" s="6" t="str">
        <f t="shared" si="101"/>
        <v>(U2)8U,</v>
      </c>
      <c r="AL503" s="6" t="str">
        <f t="shared" si="102"/>
        <v>(U2)87U},</v>
      </c>
      <c r="AM503" s="6" t="str">
        <f t="shared" si="103"/>
        <v xml:space="preserve"> */</v>
      </c>
      <c r="AN503" s="6" t="str">
        <f t="shared" si="104"/>
        <v>/*   : TPM1S09 = 0x40000426 */</v>
      </c>
    </row>
    <row r="504" spans="1:40" s="6" customFormat="1">
      <c r="A504" s="15" t="str">
        <f t="shared" si="106"/>
        <v>BDB1S03</v>
      </c>
      <c r="B504" s="15" t="str">
        <f t="shared" si="106"/>
        <v>622</v>
      </c>
      <c r="C504" s="15" t="str">
        <f t="shared" si="106"/>
        <v>1</v>
      </c>
      <c r="D504" s="15">
        <f t="shared" si="106"/>
        <v>8</v>
      </c>
      <c r="E504" s="15"/>
      <c r="F504" s="15" t="str">
        <f t="shared" si="105"/>
        <v>0</v>
      </c>
      <c r="G504" s="16" t="str">
        <f t="shared" si="107"/>
        <v>R</v>
      </c>
      <c r="H504" s="16" t="str">
        <f t="shared" si="107"/>
        <v/>
      </c>
      <c r="I504" s="16" t="str">
        <f t="shared" si="107"/>
        <v/>
      </c>
      <c r="J504" s="5"/>
      <c r="X504" s="89"/>
      <c r="AE504" s="96"/>
      <c r="AF504" s="38" t="str">
        <f t="shared" si="96"/>
        <v/>
      </c>
      <c r="AG504" s="96" t="str">
        <f t="shared" si="97"/>
        <v xml:space="preserve">/* </v>
      </c>
      <c r="AH504" s="6" t="str">
        <f t="shared" si="98"/>
        <v>{(U4)0x00000200U,</v>
      </c>
      <c r="AI504" s="6" t="str">
        <f t="shared" si="99"/>
        <v>(U4)0x40000422U,</v>
      </c>
      <c r="AJ504" s="6" t="str">
        <f t="shared" si="100"/>
        <v>(U4)0x40000626U,</v>
      </c>
      <c r="AK504" s="6" t="str">
        <f t="shared" si="101"/>
        <v>(U2)8U,</v>
      </c>
      <c r="AL504" s="6" t="str">
        <f t="shared" si="102"/>
        <v>(U2)87U},</v>
      </c>
      <c r="AM504" s="6" t="str">
        <f t="shared" si="103"/>
        <v xml:space="preserve"> */</v>
      </c>
      <c r="AN504" s="6" t="str">
        <f t="shared" si="104"/>
        <v>/*   : BDB1S03 = 0x40000622 */</v>
      </c>
    </row>
    <row r="505" spans="1:40" s="6" customFormat="1">
      <c r="A505" s="15" t="str">
        <f t="shared" si="106"/>
        <v>BDB1S10</v>
      </c>
      <c r="B505" s="15" t="str">
        <f t="shared" si="106"/>
        <v>626</v>
      </c>
      <c r="C505" s="15" t="str">
        <f t="shared" si="106"/>
        <v>1</v>
      </c>
      <c r="D505" s="15">
        <f t="shared" si="106"/>
        <v>8</v>
      </c>
      <c r="E505" s="15"/>
      <c r="F505" s="15" t="str">
        <f t="shared" si="105"/>
        <v>0</v>
      </c>
      <c r="G505" s="16" t="str">
        <f t="shared" si="107"/>
        <v>R</v>
      </c>
      <c r="H505" s="16" t="str">
        <f t="shared" si="107"/>
        <v/>
      </c>
      <c r="I505" s="16" t="str">
        <f t="shared" si="107"/>
        <v/>
      </c>
      <c r="J505" s="5"/>
      <c r="X505" s="89"/>
      <c r="AE505" s="96"/>
      <c r="AF505" s="38" t="str">
        <f t="shared" si="96"/>
        <v/>
      </c>
      <c r="AG505" s="96" t="str">
        <f t="shared" si="97"/>
        <v xml:space="preserve">/* </v>
      </c>
      <c r="AH505" s="6" t="str">
        <f t="shared" si="98"/>
        <v>{(U4)0x00000200U,</v>
      </c>
      <c r="AI505" s="6" t="str">
        <f t="shared" si="99"/>
        <v>(U4)0x40000422U,</v>
      </c>
      <c r="AJ505" s="6" t="str">
        <f t="shared" si="100"/>
        <v>(U4)0x40000626U,</v>
      </c>
      <c r="AK505" s="6" t="str">
        <f t="shared" si="101"/>
        <v>(U2)8U,</v>
      </c>
      <c r="AL505" s="6" t="str">
        <f t="shared" si="102"/>
        <v>(U2)87U},</v>
      </c>
      <c r="AM505" s="6" t="str">
        <f t="shared" si="103"/>
        <v xml:space="preserve"> */</v>
      </c>
      <c r="AN505" s="6" t="str">
        <f t="shared" si="104"/>
        <v>/*   : BDB1S10 = 0x40000626 */</v>
      </c>
    </row>
    <row r="506" spans="1:40" s="6" customFormat="1">
      <c r="A506" s="15" t="str">
        <f t="shared" si="106"/>
        <v>TPM1S10</v>
      </c>
      <c r="B506" s="15" t="str">
        <f t="shared" si="106"/>
        <v>428</v>
      </c>
      <c r="C506" s="15" t="str">
        <f t="shared" si="106"/>
        <v>1</v>
      </c>
      <c r="D506" s="15">
        <f t="shared" si="106"/>
        <v>8</v>
      </c>
      <c r="E506" s="15"/>
      <c r="F506" s="15" t="str">
        <f t="shared" si="105"/>
        <v>0</v>
      </c>
      <c r="G506" s="16" t="str">
        <f t="shared" si="107"/>
        <v>R</v>
      </c>
      <c r="H506" s="16" t="str">
        <f t="shared" si="107"/>
        <v/>
      </c>
      <c r="I506" s="16" t="str">
        <f t="shared" si="107"/>
        <v/>
      </c>
      <c r="J506" s="5"/>
      <c r="X506" s="89"/>
      <c r="AE506" s="96"/>
      <c r="AF506" s="38">
        <f t="shared" si="96"/>
        <v>139</v>
      </c>
      <c r="AG506" s="96" t="str">
        <f t="shared" si="97"/>
        <v/>
      </c>
      <c r="AH506" s="6" t="str">
        <f t="shared" si="98"/>
        <v>{(U4)0x00000200U,</v>
      </c>
      <c r="AI506" s="6" t="str">
        <f t="shared" si="99"/>
        <v>(U4)0x40000428U,</v>
      </c>
      <c r="AJ506" s="6" t="str">
        <f t="shared" si="100"/>
        <v>(U4)0x40000428U,</v>
      </c>
      <c r="AK506" s="6" t="str">
        <f t="shared" si="101"/>
        <v>(U2)8U,</v>
      </c>
      <c r="AL506" s="6" t="str">
        <f t="shared" si="102"/>
        <v>(U2)87U},</v>
      </c>
      <c r="AM506" s="6" t="str">
        <f t="shared" si="103"/>
        <v/>
      </c>
      <c r="AN506" s="6" t="str">
        <f t="shared" si="104"/>
        <v>/* 139 : TPM1S10 = 0x40000428 */</v>
      </c>
    </row>
    <row r="507" spans="1:40" s="6" customFormat="1">
      <c r="A507" s="15" t="str">
        <f t="shared" si="106"/>
        <v>BDC1SE9</v>
      </c>
      <c r="B507" s="15" t="str">
        <f t="shared" si="106"/>
        <v>429</v>
      </c>
      <c r="C507" s="15" t="str">
        <f t="shared" si="106"/>
        <v>1</v>
      </c>
      <c r="D507" s="15">
        <f t="shared" si="106"/>
        <v>64</v>
      </c>
      <c r="E507" s="15"/>
      <c r="F507" s="15" t="str">
        <f t="shared" si="105"/>
        <v>0</v>
      </c>
      <c r="G507" s="16" t="str">
        <f t="shared" si="107"/>
        <v>R</v>
      </c>
      <c r="H507" s="16" t="str">
        <f t="shared" si="107"/>
        <v/>
      </c>
      <c r="I507" s="16" t="str">
        <f t="shared" si="107"/>
        <v/>
      </c>
      <c r="J507" s="5"/>
      <c r="X507" s="89"/>
      <c r="AE507" s="96"/>
      <c r="AF507" s="38">
        <f t="shared" si="96"/>
        <v>140</v>
      </c>
      <c r="AG507" s="96" t="str">
        <f t="shared" si="97"/>
        <v/>
      </c>
      <c r="AH507" s="6" t="str">
        <f t="shared" si="98"/>
        <v>{(U4)0x00000200U,</v>
      </c>
      <c r="AI507" s="6" t="str">
        <f t="shared" si="99"/>
        <v>(U4)0x40000429U,</v>
      </c>
      <c r="AJ507" s="6" t="str">
        <f t="shared" si="100"/>
        <v>(U4)0x40000429U,</v>
      </c>
      <c r="AK507" s="6" t="str">
        <f t="shared" si="101"/>
        <v>(U2)64U,</v>
      </c>
      <c r="AL507" s="6" t="str">
        <f t="shared" si="102"/>
        <v>(U2)87U},</v>
      </c>
      <c r="AM507" s="6" t="str">
        <f t="shared" si="103"/>
        <v/>
      </c>
      <c r="AN507" s="6" t="str">
        <f t="shared" si="104"/>
        <v>/* 140 : BDC1SE9 = 0x40000429 */</v>
      </c>
    </row>
    <row r="508" spans="1:40" s="6" customFormat="1">
      <c r="A508" s="15" t="str">
        <f t="shared" si="106"/>
        <v>TPM1S11</v>
      </c>
      <c r="B508" s="15" t="str">
        <f t="shared" si="106"/>
        <v>42A</v>
      </c>
      <c r="C508" s="15" t="str">
        <f t="shared" si="106"/>
        <v>1</v>
      </c>
      <c r="D508" s="15">
        <f t="shared" si="106"/>
        <v>8</v>
      </c>
      <c r="E508" s="15"/>
      <c r="F508" s="15" t="str">
        <f t="shared" si="105"/>
        <v>0</v>
      </c>
      <c r="G508" s="16" t="str">
        <f t="shared" si="107"/>
        <v>R</v>
      </c>
      <c r="H508" s="16" t="str">
        <f t="shared" si="107"/>
        <v/>
      </c>
      <c r="I508" s="16" t="str">
        <f t="shared" si="107"/>
        <v/>
      </c>
      <c r="J508" s="5"/>
      <c r="X508" s="89"/>
      <c r="AE508" s="96"/>
      <c r="AF508" s="38">
        <f t="shared" si="96"/>
        <v>141</v>
      </c>
      <c r="AG508" s="96" t="str">
        <f t="shared" si="97"/>
        <v/>
      </c>
      <c r="AH508" s="6" t="str">
        <f t="shared" si="98"/>
        <v>{(U4)0x00000200U,</v>
      </c>
      <c r="AI508" s="6" t="str">
        <f t="shared" si="99"/>
        <v>(U4)0x4000042aU,</v>
      </c>
      <c r="AJ508" s="6" t="str">
        <f t="shared" si="100"/>
        <v>(U4)0x4000042cU,</v>
      </c>
      <c r="AK508" s="6" t="str">
        <f t="shared" si="101"/>
        <v>(U2)8U,</v>
      </c>
      <c r="AL508" s="6" t="str">
        <f t="shared" si="102"/>
        <v>(U2)87U},</v>
      </c>
      <c r="AM508" s="6" t="str">
        <f t="shared" si="103"/>
        <v/>
      </c>
      <c r="AN508" s="6" t="str">
        <f t="shared" si="104"/>
        <v>/* 141 : TPM1S11 = 0x4000042a */</v>
      </c>
    </row>
    <row r="509" spans="1:40" s="6" customFormat="1">
      <c r="A509" s="15" t="str">
        <f t="shared" ref="A509:D528" si="108">A226</f>
        <v>EHV1S97</v>
      </c>
      <c r="B509" s="15" t="str">
        <f t="shared" si="108"/>
        <v>42B</v>
      </c>
      <c r="C509" s="15" t="str">
        <f t="shared" si="108"/>
        <v>1</v>
      </c>
      <c r="D509" s="15">
        <f t="shared" si="108"/>
        <v>8</v>
      </c>
      <c r="E509" s="15"/>
      <c r="F509" s="15" t="str">
        <f t="shared" si="105"/>
        <v>0</v>
      </c>
      <c r="G509" s="16" t="str">
        <f t="shared" ref="G509:I528" si="109">IF(G226&lt;&gt;"",G226,"")</f>
        <v>R</v>
      </c>
      <c r="H509" s="16" t="str">
        <f t="shared" si="109"/>
        <v/>
      </c>
      <c r="I509" s="16" t="str">
        <f t="shared" si="109"/>
        <v/>
      </c>
      <c r="J509" s="5"/>
      <c r="X509" s="89"/>
      <c r="AE509" s="96"/>
      <c r="AF509" s="38" t="str">
        <f t="shared" si="96"/>
        <v/>
      </c>
      <c r="AG509" s="96" t="str">
        <f t="shared" si="97"/>
        <v xml:space="preserve">/* </v>
      </c>
      <c r="AH509" s="6" t="str">
        <f t="shared" si="98"/>
        <v>{(U4)0x00000200U,</v>
      </c>
      <c r="AI509" s="6" t="str">
        <f t="shared" si="99"/>
        <v>(U4)0x4000042aU,</v>
      </c>
      <c r="AJ509" s="6" t="str">
        <f t="shared" si="100"/>
        <v>(U4)0x4000042cU,</v>
      </c>
      <c r="AK509" s="6" t="str">
        <f t="shared" si="101"/>
        <v>(U2)8U,</v>
      </c>
      <c r="AL509" s="6" t="str">
        <f t="shared" si="102"/>
        <v>(U2)87U},</v>
      </c>
      <c r="AM509" s="6" t="str">
        <f t="shared" si="103"/>
        <v xml:space="preserve"> */</v>
      </c>
      <c r="AN509" s="6" t="str">
        <f t="shared" si="104"/>
        <v>/*   : EHV1S97 = 0x4000042b */</v>
      </c>
    </row>
    <row r="510" spans="1:40" s="6" customFormat="1">
      <c r="A510" s="15" t="str">
        <f t="shared" si="108"/>
        <v>TPM1S12</v>
      </c>
      <c r="B510" s="15" t="str">
        <f t="shared" si="108"/>
        <v>42C</v>
      </c>
      <c r="C510" s="15" t="str">
        <f t="shared" si="108"/>
        <v>1</v>
      </c>
      <c r="D510" s="15">
        <f t="shared" si="108"/>
        <v>8</v>
      </c>
      <c r="E510" s="15"/>
      <c r="F510" s="15" t="str">
        <f t="shared" si="105"/>
        <v>0</v>
      </c>
      <c r="G510" s="16" t="str">
        <f t="shared" si="109"/>
        <v>R</v>
      </c>
      <c r="H510" s="16" t="str">
        <f t="shared" si="109"/>
        <v/>
      </c>
      <c r="I510" s="16" t="str">
        <f t="shared" si="109"/>
        <v/>
      </c>
      <c r="J510" s="5"/>
      <c r="X510" s="89"/>
      <c r="AE510" s="96"/>
      <c r="AF510" s="38" t="str">
        <f t="shared" si="96"/>
        <v/>
      </c>
      <c r="AG510" s="96" t="str">
        <f t="shared" si="97"/>
        <v xml:space="preserve">/* </v>
      </c>
      <c r="AH510" s="6" t="str">
        <f t="shared" si="98"/>
        <v>{(U4)0x00000200U,</v>
      </c>
      <c r="AI510" s="6" t="str">
        <f t="shared" si="99"/>
        <v>(U4)0x4000042aU,</v>
      </c>
      <c r="AJ510" s="6" t="str">
        <f t="shared" si="100"/>
        <v>(U4)0x4000042cU,</v>
      </c>
      <c r="AK510" s="6" t="str">
        <f t="shared" si="101"/>
        <v>(U2)8U,</v>
      </c>
      <c r="AL510" s="6" t="str">
        <f t="shared" si="102"/>
        <v>(U2)87U},</v>
      </c>
      <c r="AM510" s="6" t="str">
        <f t="shared" si="103"/>
        <v xml:space="preserve"> */</v>
      </c>
      <c r="AN510" s="6" t="str">
        <f t="shared" si="104"/>
        <v>/*   : TPM1S12 = 0x4000042c */</v>
      </c>
    </row>
    <row r="511" spans="1:40" s="6" customFormat="1">
      <c r="A511" s="15" t="str">
        <f t="shared" si="108"/>
        <v>BDC1SJ8</v>
      </c>
      <c r="B511" s="15" t="str">
        <f t="shared" si="108"/>
        <v>43C</v>
      </c>
      <c r="C511" s="15" t="str">
        <f t="shared" si="108"/>
        <v>1</v>
      </c>
      <c r="D511" s="15">
        <f t="shared" si="108"/>
        <v>64</v>
      </c>
      <c r="E511" s="15"/>
      <c r="F511" s="15" t="str">
        <f t="shared" si="105"/>
        <v>0</v>
      </c>
      <c r="G511" s="16" t="str">
        <f t="shared" si="109"/>
        <v>R</v>
      </c>
      <c r="H511" s="16" t="str">
        <f t="shared" si="109"/>
        <v/>
      </c>
      <c r="I511" s="16" t="str">
        <f t="shared" si="109"/>
        <v/>
      </c>
      <c r="J511" s="5"/>
      <c r="X511" s="89"/>
      <c r="AE511" s="96"/>
      <c r="AF511" s="38">
        <f t="shared" si="96"/>
        <v>142</v>
      </c>
      <c r="AG511" s="96" t="str">
        <f t="shared" si="97"/>
        <v/>
      </c>
      <c r="AH511" s="6" t="str">
        <f t="shared" si="98"/>
        <v>{(U4)0x00000200U,</v>
      </c>
      <c r="AI511" s="6" t="str">
        <f t="shared" si="99"/>
        <v>(U4)0x4000043cU,</v>
      </c>
      <c r="AJ511" s="6" t="str">
        <f t="shared" si="100"/>
        <v>(U4)0x4000043cU,</v>
      </c>
      <c r="AK511" s="6" t="str">
        <f t="shared" si="101"/>
        <v>(U2)64U,</v>
      </c>
      <c r="AL511" s="6" t="str">
        <f t="shared" si="102"/>
        <v>(U2)87U},</v>
      </c>
      <c r="AM511" s="6" t="str">
        <f t="shared" si="103"/>
        <v/>
      </c>
      <c r="AN511" s="6" t="str">
        <f t="shared" si="104"/>
        <v>/* 142 : BDC1SJ8 = 0x4000043c */</v>
      </c>
    </row>
    <row r="512" spans="1:40" s="6" customFormat="1">
      <c r="A512" s="15" t="str">
        <f t="shared" si="108"/>
        <v>ABG1D50</v>
      </c>
      <c r="B512" s="15" t="str">
        <f t="shared" si="108"/>
        <v>4AC</v>
      </c>
      <c r="C512" s="15" t="str">
        <f t="shared" si="108"/>
        <v>1</v>
      </c>
      <c r="D512" s="15">
        <f t="shared" si="108"/>
        <v>8</v>
      </c>
      <c r="E512" s="15"/>
      <c r="F512" s="15" t="str">
        <f t="shared" si="105"/>
        <v>0</v>
      </c>
      <c r="G512" s="16" t="str">
        <f t="shared" si="109"/>
        <v>R</v>
      </c>
      <c r="H512" s="16" t="str">
        <f t="shared" si="109"/>
        <v/>
      </c>
      <c r="I512" s="16" t="str">
        <f t="shared" si="109"/>
        <v/>
      </c>
      <c r="J512" s="5"/>
      <c r="X512" s="89"/>
      <c r="AE512" s="96"/>
      <c r="AF512" s="38">
        <f t="shared" si="96"/>
        <v>143</v>
      </c>
      <c r="AG512" s="96" t="str">
        <f t="shared" si="97"/>
        <v/>
      </c>
      <c r="AH512" s="6" t="str">
        <f t="shared" si="98"/>
        <v>{(U4)0x00000200U,</v>
      </c>
      <c r="AI512" s="6" t="str">
        <f t="shared" si="99"/>
        <v>(U4)0x400004acU,</v>
      </c>
      <c r="AJ512" s="6" t="str">
        <f t="shared" si="100"/>
        <v>(U4)0x400004bcU,</v>
      </c>
      <c r="AK512" s="6" t="str">
        <f t="shared" si="101"/>
        <v>(U2)8U,</v>
      </c>
      <c r="AL512" s="6" t="str">
        <f t="shared" si="102"/>
        <v>(U2)87U},</v>
      </c>
      <c r="AM512" s="6" t="str">
        <f t="shared" si="103"/>
        <v/>
      </c>
      <c r="AN512" s="6" t="str">
        <f t="shared" si="104"/>
        <v>/* 143 : ABG1D50 = 0x400004ac */</v>
      </c>
    </row>
    <row r="513" spans="1:40" s="6" customFormat="1">
      <c r="A513" s="15" t="str">
        <f t="shared" si="108"/>
        <v>ABG1D51</v>
      </c>
      <c r="B513" s="15" t="str">
        <f t="shared" si="108"/>
        <v>4BC</v>
      </c>
      <c r="C513" s="15" t="str">
        <f t="shared" si="108"/>
        <v>1</v>
      </c>
      <c r="D513" s="15">
        <f t="shared" si="108"/>
        <v>8</v>
      </c>
      <c r="E513" s="15"/>
      <c r="F513" s="15" t="str">
        <f t="shared" si="105"/>
        <v>0</v>
      </c>
      <c r="G513" s="16" t="str">
        <f t="shared" si="109"/>
        <v>R</v>
      </c>
      <c r="H513" s="16" t="str">
        <f t="shared" si="109"/>
        <v/>
      </c>
      <c r="I513" s="16" t="str">
        <f t="shared" si="109"/>
        <v/>
      </c>
      <c r="J513" s="5"/>
      <c r="X513" s="89"/>
      <c r="AE513" s="96"/>
      <c r="AF513" s="38" t="str">
        <f t="shared" si="96"/>
        <v/>
      </c>
      <c r="AG513" s="96" t="str">
        <f t="shared" si="97"/>
        <v xml:space="preserve">/* </v>
      </c>
      <c r="AH513" s="6" t="str">
        <f t="shared" si="98"/>
        <v>{(U4)0x00000200U,</v>
      </c>
      <c r="AI513" s="6" t="str">
        <f t="shared" si="99"/>
        <v>(U4)0x400004acU,</v>
      </c>
      <c r="AJ513" s="6" t="str">
        <f t="shared" si="100"/>
        <v>(U4)0x400004bcU,</v>
      </c>
      <c r="AK513" s="6" t="str">
        <f t="shared" si="101"/>
        <v>(U2)8U,</v>
      </c>
      <c r="AL513" s="6" t="str">
        <f t="shared" si="102"/>
        <v>(U2)87U},</v>
      </c>
      <c r="AM513" s="6" t="str">
        <f t="shared" si="103"/>
        <v xml:space="preserve"> */</v>
      </c>
      <c r="AN513" s="6" t="str">
        <f t="shared" si="104"/>
        <v>/*   : ABG1D51 = 0x400004bc */</v>
      </c>
    </row>
    <row r="514" spans="1:40" s="6" customFormat="1">
      <c r="A514" s="15" t="str">
        <f t="shared" si="108"/>
        <v>EHV1S26</v>
      </c>
      <c r="B514" s="15" t="str">
        <f t="shared" si="108"/>
        <v>42F</v>
      </c>
      <c r="C514" s="15" t="str">
        <f t="shared" si="108"/>
        <v>1</v>
      </c>
      <c r="D514" s="15">
        <f t="shared" si="108"/>
        <v>8</v>
      </c>
      <c r="E514" s="15"/>
      <c r="F514" s="15" t="str">
        <f t="shared" si="105"/>
        <v>0</v>
      </c>
      <c r="G514" s="16" t="str">
        <f t="shared" si="109"/>
        <v>R</v>
      </c>
      <c r="H514" s="16" t="str">
        <f t="shared" si="109"/>
        <v/>
      </c>
      <c r="I514" s="16" t="str">
        <f t="shared" si="109"/>
        <v/>
      </c>
      <c r="J514" s="5"/>
      <c r="X514" s="89"/>
      <c r="AE514" s="96"/>
      <c r="AF514" s="38">
        <f t="shared" si="96"/>
        <v>144</v>
      </c>
      <c r="AG514" s="96" t="str">
        <f t="shared" si="97"/>
        <v/>
      </c>
      <c r="AH514" s="6" t="str">
        <f t="shared" si="98"/>
        <v>{(U4)0x00000200U,</v>
      </c>
      <c r="AI514" s="6" t="str">
        <f t="shared" si="99"/>
        <v>(U4)0x4000042fU,</v>
      </c>
      <c r="AJ514" s="6" t="str">
        <f t="shared" si="100"/>
        <v>(U4)0x4000042fU,</v>
      </c>
      <c r="AK514" s="6" t="str">
        <f t="shared" si="101"/>
        <v>(U2)8U,</v>
      </c>
      <c r="AL514" s="6" t="str">
        <f t="shared" si="102"/>
        <v>(U2)87U},</v>
      </c>
      <c r="AM514" s="6" t="str">
        <f t="shared" si="103"/>
        <v/>
      </c>
      <c r="AN514" s="6" t="str">
        <f t="shared" si="104"/>
        <v>/* 144 : EHV1S26 = 0x4000042f */</v>
      </c>
    </row>
    <row r="515" spans="1:40" s="6" customFormat="1">
      <c r="A515" s="15" t="str">
        <f t="shared" si="108"/>
        <v>BDC1SF1</v>
      </c>
      <c r="B515" s="15" t="str">
        <f t="shared" si="108"/>
        <v>430</v>
      </c>
      <c r="C515" s="15" t="str">
        <f t="shared" si="108"/>
        <v>1</v>
      </c>
      <c r="D515" s="15">
        <f t="shared" si="108"/>
        <v>64</v>
      </c>
      <c r="E515" s="15"/>
      <c r="F515" s="15" t="str">
        <f t="shared" si="105"/>
        <v>0</v>
      </c>
      <c r="G515" s="16" t="str">
        <f t="shared" si="109"/>
        <v>R</v>
      </c>
      <c r="H515" s="16" t="str">
        <f t="shared" si="109"/>
        <v/>
      </c>
      <c r="I515" s="16" t="str">
        <f t="shared" si="109"/>
        <v/>
      </c>
      <c r="J515" s="5"/>
      <c r="X515" s="89"/>
      <c r="AE515" s="96"/>
      <c r="AF515" s="38">
        <f t="shared" si="96"/>
        <v>145</v>
      </c>
      <c r="AG515" s="96" t="str">
        <f t="shared" si="97"/>
        <v/>
      </c>
      <c r="AH515" s="6" t="str">
        <f t="shared" si="98"/>
        <v>{(U4)0x00000200U,</v>
      </c>
      <c r="AI515" s="6" t="str">
        <f t="shared" si="99"/>
        <v>(U4)0x40000430U,</v>
      </c>
      <c r="AJ515" s="6" t="str">
        <f t="shared" si="100"/>
        <v>(U4)0x40000430U,</v>
      </c>
      <c r="AK515" s="6" t="str">
        <f t="shared" si="101"/>
        <v>(U2)64U,</v>
      </c>
      <c r="AL515" s="6" t="str">
        <f t="shared" si="102"/>
        <v>(U2)87U},</v>
      </c>
      <c r="AM515" s="6" t="str">
        <f t="shared" si="103"/>
        <v/>
      </c>
      <c r="AN515" s="6" t="str">
        <f t="shared" si="104"/>
        <v>/* 145 : BDC1SF1 = 0x40000430 */</v>
      </c>
    </row>
    <row r="516" spans="1:40" s="6" customFormat="1">
      <c r="A516" s="15" t="str">
        <f t="shared" si="108"/>
        <v>PLG1S06</v>
      </c>
      <c r="B516" s="15" t="str">
        <f t="shared" si="108"/>
        <v>432</v>
      </c>
      <c r="C516" s="15" t="str">
        <f t="shared" si="108"/>
        <v>1</v>
      </c>
      <c r="D516" s="15">
        <f t="shared" si="108"/>
        <v>8</v>
      </c>
      <c r="E516" s="15"/>
      <c r="F516" s="15" t="str">
        <f t="shared" si="105"/>
        <v>0</v>
      </c>
      <c r="G516" s="16" t="str">
        <f t="shared" si="109"/>
        <v>R</v>
      </c>
      <c r="H516" s="16" t="str">
        <f t="shared" si="109"/>
        <v/>
      </c>
      <c r="I516" s="16" t="str">
        <f t="shared" si="109"/>
        <v/>
      </c>
      <c r="J516" s="5"/>
      <c r="X516" s="89"/>
      <c r="AE516" s="96"/>
      <c r="AF516" s="38">
        <f t="shared" si="96"/>
        <v>146</v>
      </c>
      <c r="AG516" s="96" t="str">
        <f t="shared" si="97"/>
        <v/>
      </c>
      <c r="AH516" s="6" t="str">
        <f t="shared" si="98"/>
        <v>{(U4)0x00000200U,</v>
      </c>
      <c r="AI516" s="6" t="str">
        <f t="shared" si="99"/>
        <v>(U4)0x40000432U,</v>
      </c>
      <c r="AJ516" s="6" t="str">
        <f t="shared" si="100"/>
        <v>(U4)0x40000432U,</v>
      </c>
      <c r="AK516" s="6" t="str">
        <f t="shared" si="101"/>
        <v>(U2)8U,</v>
      </c>
      <c r="AL516" s="6" t="str">
        <f t="shared" si="102"/>
        <v>(U2)87U},</v>
      </c>
      <c r="AM516" s="6" t="str">
        <f t="shared" si="103"/>
        <v/>
      </c>
      <c r="AN516" s="6" t="str">
        <f t="shared" si="104"/>
        <v>/* 146 : PLG1S06 = 0x40000432 */</v>
      </c>
    </row>
    <row r="517" spans="1:40" s="6" customFormat="1">
      <c r="A517" s="15" t="str">
        <f t="shared" si="108"/>
        <v>BDC1SG8</v>
      </c>
      <c r="B517" s="15" t="str">
        <f t="shared" si="108"/>
        <v>530</v>
      </c>
      <c r="C517" s="15" t="str">
        <f t="shared" si="108"/>
        <v>1</v>
      </c>
      <c r="D517" s="15">
        <f t="shared" si="108"/>
        <v>64</v>
      </c>
      <c r="E517" s="15"/>
      <c r="F517" s="15" t="str">
        <f t="shared" ref="F517:F548" si="110">F234</f>
        <v>0</v>
      </c>
      <c r="G517" s="16" t="str">
        <f t="shared" si="109"/>
        <v>R</v>
      </c>
      <c r="H517" s="16" t="str">
        <f t="shared" si="109"/>
        <v/>
      </c>
      <c r="I517" s="16" t="str">
        <f t="shared" si="109"/>
        <v/>
      </c>
      <c r="J517" s="5"/>
      <c r="X517" s="89"/>
      <c r="AE517" s="96"/>
      <c r="AF517" s="38">
        <f t="shared" si="96"/>
        <v>147</v>
      </c>
      <c r="AG517" s="96" t="str">
        <f t="shared" si="97"/>
        <v/>
      </c>
      <c r="AH517" s="6" t="str">
        <f t="shared" si="98"/>
        <v>{(U4)0x00000200U,</v>
      </c>
      <c r="AI517" s="6" t="str">
        <f t="shared" si="99"/>
        <v>(U4)0x40000530U,</v>
      </c>
      <c r="AJ517" s="6" t="str">
        <f t="shared" si="100"/>
        <v>(U4)0x40000530U,</v>
      </c>
      <c r="AK517" s="6" t="str">
        <f t="shared" si="101"/>
        <v>(U2)64U,</v>
      </c>
      <c r="AL517" s="6" t="str">
        <f t="shared" si="102"/>
        <v>(U2)87U},</v>
      </c>
      <c r="AM517" s="6" t="str">
        <f t="shared" si="103"/>
        <v/>
      </c>
      <c r="AN517" s="6" t="str">
        <f t="shared" si="104"/>
        <v>/* 147 : BDC1SG8 = 0x40000530 */</v>
      </c>
    </row>
    <row r="518" spans="1:40" s="6" customFormat="1">
      <c r="A518" s="15" t="str">
        <f t="shared" si="108"/>
        <v>IDT1S15</v>
      </c>
      <c r="B518" s="15" t="str">
        <f t="shared" si="108"/>
        <v>532</v>
      </c>
      <c r="C518" s="15" t="str">
        <f t="shared" si="108"/>
        <v>1</v>
      </c>
      <c r="D518" s="15">
        <f t="shared" si="108"/>
        <v>8</v>
      </c>
      <c r="E518" s="15"/>
      <c r="F518" s="15" t="str">
        <f t="shared" si="110"/>
        <v>0</v>
      </c>
      <c r="G518" s="16" t="str">
        <f t="shared" si="109"/>
        <v>R</v>
      </c>
      <c r="H518" s="16" t="str">
        <f t="shared" si="109"/>
        <v/>
      </c>
      <c r="I518" s="16" t="str">
        <f t="shared" si="109"/>
        <v/>
      </c>
      <c r="J518" s="5"/>
      <c r="X518" s="89"/>
      <c r="AE518" s="96"/>
      <c r="AF518" s="38">
        <f t="shared" si="96"/>
        <v>148</v>
      </c>
      <c r="AG518" s="96" t="str">
        <f t="shared" si="97"/>
        <v/>
      </c>
      <c r="AH518" s="6" t="str">
        <f t="shared" si="98"/>
        <v>{(U4)0x00000200U,</v>
      </c>
      <c r="AI518" s="6" t="str">
        <f t="shared" si="99"/>
        <v>(U4)0x40000532U,</v>
      </c>
      <c r="AJ518" s="6" t="str">
        <f t="shared" si="100"/>
        <v>(U4)0x40000532U,</v>
      </c>
      <c r="AK518" s="6" t="str">
        <f t="shared" si="101"/>
        <v>(U2)8U,</v>
      </c>
      <c r="AL518" s="6" t="str">
        <f t="shared" si="102"/>
        <v>(U2)87U},</v>
      </c>
      <c r="AM518" s="6" t="str">
        <f t="shared" si="103"/>
        <v/>
      </c>
      <c r="AN518" s="6" t="str">
        <f t="shared" si="104"/>
        <v>/* 148 : IDT1S15 = 0x40000532 */</v>
      </c>
    </row>
    <row r="519" spans="1:40" s="6" customFormat="1">
      <c r="A519" s="15" t="str">
        <f t="shared" si="108"/>
        <v>DCM1S01</v>
      </c>
      <c r="B519" s="15" t="str">
        <f t="shared" si="108"/>
        <v>438</v>
      </c>
      <c r="C519" s="15" t="str">
        <f t="shared" si="108"/>
        <v>1</v>
      </c>
      <c r="D519" s="15">
        <f t="shared" si="108"/>
        <v>8</v>
      </c>
      <c r="E519" s="15"/>
      <c r="F519" s="15" t="str">
        <f t="shared" si="110"/>
        <v>0</v>
      </c>
      <c r="G519" s="16" t="str">
        <f t="shared" si="109"/>
        <v>R</v>
      </c>
      <c r="H519" s="16" t="str">
        <f t="shared" si="109"/>
        <v/>
      </c>
      <c r="I519" s="16" t="str">
        <f t="shared" si="109"/>
        <v/>
      </c>
      <c r="J519" s="5"/>
      <c r="X519" s="89"/>
      <c r="AE519" s="96"/>
      <c r="AF519" s="38">
        <f t="shared" si="96"/>
        <v>149</v>
      </c>
      <c r="AG519" s="96" t="str">
        <f t="shared" si="97"/>
        <v/>
      </c>
      <c r="AH519" s="6" t="str">
        <f t="shared" si="98"/>
        <v>{(U4)0x00000200U,</v>
      </c>
      <c r="AI519" s="6" t="str">
        <f t="shared" si="99"/>
        <v>(U4)0x40000438U,</v>
      </c>
      <c r="AJ519" s="6" t="str">
        <f t="shared" si="100"/>
        <v>(U4)0x40000439U,</v>
      </c>
      <c r="AK519" s="6" t="str">
        <f t="shared" si="101"/>
        <v>(U2)8U,</v>
      </c>
      <c r="AL519" s="6" t="str">
        <f t="shared" si="102"/>
        <v>(U2)87U},</v>
      </c>
      <c r="AM519" s="6" t="str">
        <f t="shared" si="103"/>
        <v/>
      </c>
      <c r="AN519" s="6" t="str">
        <f t="shared" si="104"/>
        <v>/* 149 : DCM1S01 = 0x40000438 */</v>
      </c>
    </row>
    <row r="520" spans="1:40" s="6" customFormat="1">
      <c r="A520" s="15" t="str">
        <f t="shared" si="108"/>
        <v>SCN1S01</v>
      </c>
      <c r="B520" s="15" t="str">
        <f t="shared" si="108"/>
        <v>439</v>
      </c>
      <c r="C520" s="15" t="str">
        <f t="shared" si="108"/>
        <v>1</v>
      </c>
      <c r="D520" s="15">
        <f t="shared" si="108"/>
        <v>8</v>
      </c>
      <c r="E520" s="15"/>
      <c r="F520" s="15" t="str">
        <f t="shared" si="110"/>
        <v>0</v>
      </c>
      <c r="G520" s="16" t="str">
        <f t="shared" si="109"/>
        <v>R</v>
      </c>
      <c r="H520" s="16" t="str">
        <f t="shared" si="109"/>
        <v/>
      </c>
      <c r="I520" s="16" t="str">
        <f t="shared" si="109"/>
        <v/>
      </c>
      <c r="J520" s="5"/>
      <c r="X520" s="89"/>
      <c r="AE520" s="96"/>
      <c r="AF520" s="38" t="str">
        <f t="shared" si="96"/>
        <v/>
      </c>
      <c r="AG520" s="96" t="str">
        <f t="shared" si="97"/>
        <v xml:space="preserve">/* </v>
      </c>
      <c r="AH520" s="6" t="str">
        <f t="shared" si="98"/>
        <v>{(U4)0x00000200U,</v>
      </c>
      <c r="AI520" s="6" t="str">
        <f t="shared" si="99"/>
        <v>(U4)0x40000438U,</v>
      </c>
      <c r="AJ520" s="6" t="str">
        <f t="shared" si="100"/>
        <v>(U4)0x40000439U,</v>
      </c>
      <c r="AK520" s="6" t="str">
        <f t="shared" si="101"/>
        <v>(U2)8U,</v>
      </c>
      <c r="AL520" s="6" t="str">
        <f t="shared" si="102"/>
        <v>(U2)87U},</v>
      </c>
      <c r="AM520" s="6" t="str">
        <f t="shared" si="103"/>
        <v xml:space="preserve"> */</v>
      </c>
      <c r="AN520" s="6" t="str">
        <f t="shared" si="104"/>
        <v>/*   : SCN1S01 = 0x40000439 */</v>
      </c>
    </row>
    <row r="521" spans="1:40" s="6" customFormat="1">
      <c r="A521" s="15" t="str">
        <f t="shared" si="108"/>
        <v>ACN1D50</v>
      </c>
      <c r="B521" s="15" t="str">
        <f t="shared" si="108"/>
        <v>4B8</v>
      </c>
      <c r="C521" s="15" t="str">
        <f t="shared" si="108"/>
        <v>1</v>
      </c>
      <c r="D521" s="15">
        <f t="shared" si="108"/>
        <v>32</v>
      </c>
      <c r="E521" s="15"/>
      <c r="F521" s="15" t="str">
        <f t="shared" si="110"/>
        <v>0</v>
      </c>
      <c r="G521" s="16" t="str">
        <f t="shared" si="109"/>
        <v>R</v>
      </c>
      <c r="H521" s="16" t="str">
        <f t="shared" si="109"/>
        <v/>
      </c>
      <c r="I521" s="16" t="str">
        <f t="shared" si="109"/>
        <v/>
      </c>
      <c r="J521" s="5"/>
      <c r="X521" s="89"/>
      <c r="AE521" s="96"/>
      <c r="AF521" s="38">
        <f t="shared" si="96"/>
        <v>150</v>
      </c>
      <c r="AG521" s="96" t="str">
        <f t="shared" si="97"/>
        <v/>
      </c>
      <c r="AH521" s="6" t="str">
        <f t="shared" si="98"/>
        <v>{(U4)0x00000200U,</v>
      </c>
      <c r="AI521" s="6" t="str">
        <f t="shared" si="99"/>
        <v>(U4)0x400004b8U,</v>
      </c>
      <c r="AJ521" s="6" t="str">
        <f t="shared" si="100"/>
        <v>(U4)0x400004b9U,</v>
      </c>
      <c r="AK521" s="6" t="str">
        <f t="shared" si="101"/>
        <v>(U2)32U,</v>
      </c>
      <c r="AL521" s="6" t="str">
        <f t="shared" si="102"/>
        <v>(U2)87U},</v>
      </c>
      <c r="AM521" s="6" t="str">
        <f t="shared" si="103"/>
        <v/>
      </c>
      <c r="AN521" s="6" t="str">
        <f t="shared" si="104"/>
        <v>/* 150 : ACN1D50 = 0x400004b8 */</v>
      </c>
    </row>
    <row r="522" spans="1:40" s="6" customFormat="1">
      <c r="A522" s="15" t="str">
        <f t="shared" si="108"/>
        <v>BDC1D00</v>
      </c>
      <c r="B522" s="15" t="str">
        <f t="shared" si="108"/>
        <v>4B9</v>
      </c>
      <c r="C522" s="15" t="str">
        <f t="shared" si="108"/>
        <v>1</v>
      </c>
      <c r="D522" s="15">
        <f t="shared" si="108"/>
        <v>32</v>
      </c>
      <c r="E522" s="15"/>
      <c r="F522" s="15" t="str">
        <f t="shared" si="110"/>
        <v>0</v>
      </c>
      <c r="G522" s="16" t="str">
        <f t="shared" si="109"/>
        <v>R</v>
      </c>
      <c r="H522" s="16" t="str">
        <f t="shared" si="109"/>
        <v/>
      </c>
      <c r="I522" s="16" t="str">
        <f t="shared" si="109"/>
        <v/>
      </c>
      <c r="J522" s="5"/>
      <c r="X522" s="89"/>
      <c r="AE522" s="96"/>
      <c r="AF522" s="38" t="str">
        <f t="shared" si="96"/>
        <v/>
      </c>
      <c r="AG522" s="96" t="str">
        <f t="shared" si="97"/>
        <v xml:space="preserve">/* </v>
      </c>
      <c r="AH522" s="6" t="str">
        <f t="shared" si="98"/>
        <v>{(U4)0x00000200U,</v>
      </c>
      <c r="AI522" s="6" t="str">
        <f t="shared" si="99"/>
        <v>(U4)0x400004b8U,</v>
      </c>
      <c r="AJ522" s="6" t="str">
        <f t="shared" si="100"/>
        <v>(U4)0x400004b9U,</v>
      </c>
      <c r="AK522" s="6" t="str">
        <f t="shared" si="101"/>
        <v>(U2)32U,</v>
      </c>
      <c r="AL522" s="6" t="str">
        <f t="shared" si="102"/>
        <v>(U2)87U},</v>
      </c>
      <c r="AM522" s="6" t="str">
        <f t="shared" si="103"/>
        <v xml:space="preserve"> */</v>
      </c>
      <c r="AN522" s="6" t="str">
        <f t="shared" si="104"/>
        <v>/*   : BDC1D00 = 0x400004b9 */</v>
      </c>
    </row>
    <row r="523" spans="1:40" s="6" customFormat="1">
      <c r="A523" s="15" t="str">
        <f t="shared" si="108"/>
        <v>IPA1S05</v>
      </c>
      <c r="B523" s="15" t="str">
        <f t="shared" si="108"/>
        <v>43B</v>
      </c>
      <c r="C523" s="15" t="str">
        <f t="shared" si="108"/>
        <v>1</v>
      </c>
      <c r="D523" s="15">
        <f t="shared" si="108"/>
        <v>8</v>
      </c>
      <c r="E523" s="15"/>
      <c r="F523" s="15" t="str">
        <f t="shared" si="110"/>
        <v>0</v>
      </c>
      <c r="G523" s="16" t="str">
        <f t="shared" si="109"/>
        <v>R</v>
      </c>
      <c r="H523" s="16" t="str">
        <f t="shared" si="109"/>
        <v/>
      </c>
      <c r="I523" s="16" t="str">
        <f t="shared" si="109"/>
        <v/>
      </c>
      <c r="J523" s="5"/>
      <c r="X523" s="89"/>
      <c r="AE523" s="96"/>
      <c r="AF523" s="38">
        <f t="shared" si="96"/>
        <v>151</v>
      </c>
      <c r="AG523" s="96" t="str">
        <f t="shared" si="97"/>
        <v/>
      </c>
      <c r="AH523" s="6" t="str">
        <f t="shared" si="98"/>
        <v>{(U4)0x00000200U,</v>
      </c>
      <c r="AI523" s="6" t="str">
        <f t="shared" si="99"/>
        <v>(U4)0x4000043bU,</v>
      </c>
      <c r="AJ523" s="6" t="str">
        <f t="shared" si="100"/>
        <v>(U4)0x4000043bU,</v>
      </c>
      <c r="AK523" s="6" t="str">
        <f t="shared" si="101"/>
        <v>(U2)8U,</v>
      </c>
      <c r="AL523" s="6" t="str">
        <f t="shared" si="102"/>
        <v>(U2)87U},</v>
      </c>
      <c r="AM523" s="6" t="str">
        <f t="shared" si="103"/>
        <v/>
      </c>
      <c r="AN523" s="6" t="str">
        <f t="shared" si="104"/>
        <v>/* 151 : IPA1S05 = 0x4000043b */</v>
      </c>
    </row>
    <row r="524" spans="1:40" s="6" customFormat="1">
      <c r="A524" s="15" t="str">
        <f t="shared" si="108"/>
        <v>BDC1SF2</v>
      </c>
      <c r="B524" s="15" t="str">
        <f t="shared" si="108"/>
        <v>480</v>
      </c>
      <c r="C524" s="15" t="str">
        <f t="shared" si="108"/>
        <v>1</v>
      </c>
      <c r="D524" s="15">
        <f t="shared" si="108"/>
        <v>64</v>
      </c>
      <c r="E524" s="15"/>
      <c r="F524" s="15" t="str">
        <f t="shared" si="110"/>
        <v>0</v>
      </c>
      <c r="G524" s="16" t="str">
        <f t="shared" si="109"/>
        <v>R</v>
      </c>
      <c r="H524" s="16" t="str">
        <f t="shared" si="109"/>
        <v/>
      </c>
      <c r="I524" s="16" t="str">
        <f t="shared" si="109"/>
        <v/>
      </c>
      <c r="J524" s="5"/>
      <c r="X524" s="89"/>
      <c r="AE524" s="96"/>
      <c r="AF524" s="38">
        <f t="shared" si="96"/>
        <v>152</v>
      </c>
      <c r="AG524" s="96" t="str">
        <f t="shared" si="97"/>
        <v/>
      </c>
      <c r="AH524" s="6" t="str">
        <f t="shared" si="98"/>
        <v>{(U4)0x00000200U,</v>
      </c>
      <c r="AI524" s="6" t="str">
        <f t="shared" si="99"/>
        <v>(U4)0x40000480U,</v>
      </c>
      <c r="AJ524" s="6" t="str">
        <f t="shared" si="100"/>
        <v>(U4)0x40000485U,</v>
      </c>
      <c r="AK524" s="6" t="str">
        <f t="shared" si="101"/>
        <v>(U2)64U,</v>
      </c>
      <c r="AL524" s="6" t="str">
        <f t="shared" si="102"/>
        <v>(U2)87U},</v>
      </c>
      <c r="AM524" s="6" t="str">
        <f t="shared" si="103"/>
        <v/>
      </c>
      <c r="AN524" s="6" t="str">
        <f t="shared" si="104"/>
        <v>/* 152 : BDC1SF2 = 0x40000480 */</v>
      </c>
    </row>
    <row r="525" spans="1:40" s="6" customFormat="1">
      <c r="A525" s="15" t="str">
        <f t="shared" si="108"/>
        <v>BDC1SF3</v>
      </c>
      <c r="B525" s="15" t="str">
        <f t="shared" si="108"/>
        <v>484</v>
      </c>
      <c r="C525" s="15" t="str">
        <f t="shared" si="108"/>
        <v>1</v>
      </c>
      <c r="D525" s="15">
        <f t="shared" si="108"/>
        <v>64</v>
      </c>
      <c r="E525" s="15"/>
      <c r="F525" s="15" t="str">
        <f t="shared" si="110"/>
        <v>0</v>
      </c>
      <c r="G525" s="16" t="str">
        <f t="shared" si="109"/>
        <v>R</v>
      </c>
      <c r="H525" s="16" t="str">
        <f t="shared" si="109"/>
        <v/>
      </c>
      <c r="I525" s="16" t="str">
        <f t="shared" si="109"/>
        <v/>
      </c>
      <c r="J525" s="5"/>
      <c r="X525" s="89"/>
      <c r="AE525" s="96"/>
      <c r="AF525" s="38" t="str">
        <f t="shared" si="96"/>
        <v/>
      </c>
      <c r="AG525" s="96" t="str">
        <f t="shared" si="97"/>
        <v xml:space="preserve">/* </v>
      </c>
      <c r="AH525" s="6" t="str">
        <f t="shared" si="98"/>
        <v>{(U4)0x00000200U,</v>
      </c>
      <c r="AI525" s="6" t="str">
        <f t="shared" si="99"/>
        <v>(U4)0x40000480U,</v>
      </c>
      <c r="AJ525" s="6" t="str">
        <f t="shared" si="100"/>
        <v>(U4)0x40000485U,</v>
      </c>
      <c r="AK525" s="6" t="str">
        <f t="shared" si="101"/>
        <v>(U2)64U,</v>
      </c>
      <c r="AL525" s="6" t="str">
        <f t="shared" si="102"/>
        <v>(U2)87U},</v>
      </c>
      <c r="AM525" s="6" t="str">
        <f t="shared" si="103"/>
        <v xml:space="preserve"> */</v>
      </c>
      <c r="AN525" s="6" t="str">
        <f t="shared" si="104"/>
        <v>/*   : BDC1SF3 = 0x40000484 */</v>
      </c>
    </row>
    <row r="526" spans="1:40" s="6" customFormat="1">
      <c r="A526" s="15" t="str">
        <f t="shared" si="108"/>
        <v>BDC1SJ1</v>
      </c>
      <c r="B526" s="15" t="str">
        <f t="shared" si="108"/>
        <v>485</v>
      </c>
      <c r="C526" s="15" t="str">
        <f t="shared" si="108"/>
        <v>1</v>
      </c>
      <c r="D526" s="15">
        <f t="shared" si="108"/>
        <v>64</v>
      </c>
      <c r="E526" s="15"/>
      <c r="F526" s="15" t="str">
        <f t="shared" si="110"/>
        <v>0</v>
      </c>
      <c r="G526" s="16" t="str">
        <f t="shared" si="109"/>
        <v>R</v>
      </c>
      <c r="H526" s="16" t="str">
        <f t="shared" si="109"/>
        <v/>
      </c>
      <c r="I526" s="16" t="str">
        <f t="shared" si="109"/>
        <v/>
      </c>
      <c r="J526" s="5"/>
      <c r="X526" s="89"/>
      <c r="AE526" s="96"/>
      <c r="AF526" s="38" t="str">
        <f t="shared" si="96"/>
        <v/>
      </c>
      <c r="AG526" s="96" t="str">
        <f t="shared" si="97"/>
        <v xml:space="preserve">/* </v>
      </c>
      <c r="AH526" s="6" t="str">
        <f t="shared" si="98"/>
        <v>{(U4)0x00000200U,</v>
      </c>
      <c r="AI526" s="6" t="str">
        <f t="shared" si="99"/>
        <v>(U4)0x40000480U,</v>
      </c>
      <c r="AJ526" s="6" t="str">
        <f t="shared" si="100"/>
        <v>(U4)0x40000485U,</v>
      </c>
      <c r="AK526" s="6" t="str">
        <f t="shared" si="101"/>
        <v>(U2)64U,</v>
      </c>
      <c r="AL526" s="6" t="str">
        <f t="shared" si="102"/>
        <v>(U2)87U},</v>
      </c>
      <c r="AM526" s="6" t="str">
        <f t="shared" si="103"/>
        <v xml:space="preserve"> */</v>
      </c>
      <c r="AN526" s="6" t="str">
        <f t="shared" si="104"/>
        <v>/*   : BDC1SJ1 = 0x40000485 */</v>
      </c>
    </row>
    <row r="527" spans="1:40" s="6" customFormat="1">
      <c r="A527" s="15" t="str">
        <f t="shared" si="108"/>
        <v>BDB1D50</v>
      </c>
      <c r="B527" s="15" t="str">
        <f t="shared" si="108"/>
        <v>4A5</v>
      </c>
      <c r="C527" s="15" t="str">
        <f t="shared" si="108"/>
        <v>1</v>
      </c>
      <c r="D527" s="15">
        <f t="shared" si="108"/>
        <v>8</v>
      </c>
      <c r="E527" s="15"/>
      <c r="F527" s="15" t="str">
        <f t="shared" si="110"/>
        <v>0</v>
      </c>
      <c r="G527" s="16" t="str">
        <f t="shared" si="109"/>
        <v>R</v>
      </c>
      <c r="H527" s="16" t="str">
        <f t="shared" si="109"/>
        <v/>
      </c>
      <c r="I527" s="16" t="str">
        <f t="shared" si="109"/>
        <v/>
      </c>
      <c r="J527" s="5"/>
      <c r="X527" s="89"/>
      <c r="AE527" s="96"/>
      <c r="AF527" s="38">
        <f t="shared" si="96"/>
        <v>153</v>
      </c>
      <c r="AG527" s="96" t="str">
        <f t="shared" si="97"/>
        <v/>
      </c>
      <c r="AH527" s="6" t="str">
        <f t="shared" si="98"/>
        <v>{(U4)0x00000200U,</v>
      </c>
      <c r="AI527" s="6" t="str">
        <f t="shared" si="99"/>
        <v>(U4)0x400004a5U,</v>
      </c>
      <c r="AJ527" s="6" t="str">
        <f t="shared" si="100"/>
        <v>(U4)0x400004a5U,</v>
      </c>
      <c r="AK527" s="6" t="str">
        <f t="shared" si="101"/>
        <v>(U2)8U,</v>
      </c>
      <c r="AL527" s="6" t="str">
        <f t="shared" si="102"/>
        <v>(U2)87U},</v>
      </c>
      <c r="AM527" s="6" t="str">
        <f t="shared" si="103"/>
        <v/>
      </c>
      <c r="AN527" s="6" t="str">
        <f t="shared" si="104"/>
        <v>/* 153 : BDB1D50 = 0x400004a5 */</v>
      </c>
    </row>
    <row r="528" spans="1:40" s="6" customFormat="1">
      <c r="A528" s="15" t="str">
        <f t="shared" si="108"/>
        <v>BDC1SF4</v>
      </c>
      <c r="B528" s="15" t="str">
        <f t="shared" si="108"/>
        <v>491</v>
      </c>
      <c r="C528" s="15" t="str">
        <f t="shared" si="108"/>
        <v>1</v>
      </c>
      <c r="D528" s="15">
        <f t="shared" si="108"/>
        <v>64</v>
      </c>
      <c r="E528" s="15"/>
      <c r="F528" s="15" t="str">
        <f t="shared" si="110"/>
        <v>0</v>
      </c>
      <c r="G528" s="16" t="str">
        <f t="shared" si="109"/>
        <v>R</v>
      </c>
      <c r="H528" s="16" t="str">
        <f t="shared" si="109"/>
        <v/>
      </c>
      <c r="I528" s="16" t="str">
        <f t="shared" si="109"/>
        <v/>
      </c>
      <c r="J528" s="5"/>
      <c r="X528" s="89"/>
      <c r="AE528" s="96"/>
      <c r="AF528" s="38">
        <f t="shared" si="96"/>
        <v>154</v>
      </c>
      <c r="AG528" s="96" t="str">
        <f t="shared" si="97"/>
        <v/>
      </c>
      <c r="AH528" s="6" t="str">
        <f t="shared" si="98"/>
        <v>{(U4)0x00000200U,</v>
      </c>
      <c r="AI528" s="6" t="str">
        <f t="shared" si="99"/>
        <v>(U4)0x40000491U,</v>
      </c>
      <c r="AJ528" s="6" t="str">
        <f t="shared" si="100"/>
        <v>(U4)0x40000491U,</v>
      </c>
      <c r="AK528" s="6" t="str">
        <f t="shared" si="101"/>
        <v>(U2)64U,</v>
      </c>
      <c r="AL528" s="6" t="str">
        <f t="shared" si="102"/>
        <v>(U2)87U},</v>
      </c>
      <c r="AM528" s="6" t="str">
        <f t="shared" si="103"/>
        <v/>
      </c>
      <c r="AN528" s="6" t="str">
        <f t="shared" si="104"/>
        <v>/* 154 : BDC1SF4 = 0x40000491 */</v>
      </c>
    </row>
    <row r="529" spans="1:40" s="6" customFormat="1">
      <c r="A529" s="15" t="str">
        <f t="shared" ref="A529:D548" si="111">A246</f>
        <v>TPM1S02</v>
      </c>
      <c r="B529" s="15" t="str">
        <f t="shared" si="111"/>
        <v>495</v>
      </c>
      <c r="C529" s="15" t="str">
        <f t="shared" si="111"/>
        <v>1</v>
      </c>
      <c r="D529" s="15">
        <f t="shared" si="111"/>
        <v>8</v>
      </c>
      <c r="E529" s="15"/>
      <c r="F529" s="15" t="str">
        <f t="shared" si="110"/>
        <v>0</v>
      </c>
      <c r="G529" s="16" t="str">
        <f t="shared" ref="G529:I548" si="112">IF(G246&lt;&gt;"",G246,"")</f>
        <v>R</v>
      </c>
      <c r="H529" s="16" t="str">
        <f t="shared" si="112"/>
        <v/>
      </c>
      <c r="I529" s="16" t="str">
        <f t="shared" si="112"/>
        <v/>
      </c>
      <c r="J529" s="5"/>
      <c r="X529" s="89"/>
      <c r="AE529" s="96"/>
      <c r="AF529" s="38">
        <f t="shared" si="96"/>
        <v>155</v>
      </c>
      <c r="AG529" s="96" t="str">
        <f t="shared" si="97"/>
        <v/>
      </c>
      <c r="AH529" s="6" t="str">
        <f t="shared" si="98"/>
        <v>{(U4)0x00000200U,</v>
      </c>
      <c r="AI529" s="6" t="str">
        <f t="shared" si="99"/>
        <v>(U4)0x40000495U,</v>
      </c>
      <c r="AJ529" s="6" t="str">
        <f t="shared" si="100"/>
        <v>(U4)0x40000496U,</v>
      </c>
      <c r="AK529" s="6" t="str">
        <f t="shared" si="101"/>
        <v>(U2)8U,</v>
      </c>
      <c r="AL529" s="6" t="str">
        <f t="shared" si="102"/>
        <v>(U2)87U},</v>
      </c>
      <c r="AM529" s="6" t="str">
        <f t="shared" si="103"/>
        <v/>
      </c>
      <c r="AN529" s="6" t="str">
        <f t="shared" si="104"/>
        <v>/* 155 : TPM1S02 = 0x40000495 */</v>
      </c>
    </row>
    <row r="530" spans="1:40" s="6" customFormat="1">
      <c r="A530" s="15" t="str">
        <f t="shared" si="111"/>
        <v>TPM1S03</v>
      </c>
      <c r="B530" s="15" t="str">
        <f t="shared" si="111"/>
        <v>496</v>
      </c>
      <c r="C530" s="15" t="str">
        <f t="shared" si="111"/>
        <v>1</v>
      </c>
      <c r="D530" s="15">
        <f t="shared" si="111"/>
        <v>8</v>
      </c>
      <c r="E530" s="15"/>
      <c r="F530" s="15" t="str">
        <f t="shared" si="110"/>
        <v>0</v>
      </c>
      <c r="G530" s="16" t="str">
        <f t="shared" si="112"/>
        <v>R</v>
      </c>
      <c r="H530" s="16" t="str">
        <f t="shared" si="112"/>
        <v/>
      </c>
      <c r="I530" s="16" t="str">
        <f t="shared" si="112"/>
        <v/>
      </c>
      <c r="J530" s="5"/>
      <c r="X530" s="89"/>
      <c r="AE530" s="96"/>
      <c r="AF530" s="38" t="str">
        <f t="shared" si="96"/>
        <v/>
      </c>
      <c r="AG530" s="96" t="str">
        <f t="shared" si="97"/>
        <v xml:space="preserve">/* </v>
      </c>
      <c r="AH530" s="6" t="str">
        <f t="shared" si="98"/>
        <v>{(U4)0x00000200U,</v>
      </c>
      <c r="AI530" s="6" t="str">
        <f t="shared" si="99"/>
        <v>(U4)0x40000495U,</v>
      </c>
      <c r="AJ530" s="6" t="str">
        <f t="shared" si="100"/>
        <v>(U4)0x40000496U,</v>
      </c>
      <c r="AK530" s="6" t="str">
        <f t="shared" si="101"/>
        <v>(U2)8U,</v>
      </c>
      <c r="AL530" s="6" t="str">
        <f t="shared" si="102"/>
        <v>(U2)87U},</v>
      </c>
      <c r="AM530" s="6" t="str">
        <f t="shared" si="103"/>
        <v xml:space="preserve"> */</v>
      </c>
      <c r="AN530" s="6" t="str">
        <f t="shared" si="104"/>
        <v>/*   : TPM1S03 = 0x40000496 */</v>
      </c>
    </row>
    <row r="531" spans="1:40" s="6" customFormat="1">
      <c r="A531" s="15" t="str">
        <f t="shared" si="111"/>
        <v>BDC1SF6</v>
      </c>
      <c r="B531" s="15" t="str">
        <f t="shared" si="111"/>
        <v>497</v>
      </c>
      <c r="C531" s="15" t="str">
        <f t="shared" si="111"/>
        <v>1</v>
      </c>
      <c r="D531" s="15">
        <f t="shared" si="111"/>
        <v>64</v>
      </c>
      <c r="E531" s="15"/>
      <c r="F531" s="15" t="str">
        <f t="shared" si="110"/>
        <v>0</v>
      </c>
      <c r="G531" s="16" t="str">
        <f t="shared" si="112"/>
        <v>R</v>
      </c>
      <c r="H531" s="16" t="str">
        <f t="shared" si="112"/>
        <v/>
      </c>
      <c r="I531" s="16" t="str">
        <f t="shared" si="112"/>
        <v/>
      </c>
      <c r="J531" s="5"/>
      <c r="X531" s="89"/>
      <c r="AE531" s="96"/>
      <c r="AF531" s="38">
        <f t="shared" si="96"/>
        <v>156</v>
      </c>
      <c r="AG531" s="96" t="str">
        <f t="shared" si="97"/>
        <v/>
      </c>
      <c r="AH531" s="6" t="str">
        <f t="shared" si="98"/>
        <v>{(U4)0x00000200U,</v>
      </c>
      <c r="AI531" s="6" t="str">
        <f t="shared" si="99"/>
        <v>(U4)0x40000497U,</v>
      </c>
      <c r="AJ531" s="6" t="str">
        <f t="shared" si="100"/>
        <v>(U4)0x40000497U,</v>
      </c>
      <c r="AK531" s="6" t="str">
        <f t="shared" si="101"/>
        <v>(U2)64U,</v>
      </c>
      <c r="AL531" s="6" t="str">
        <f t="shared" si="102"/>
        <v>(U2)87U},</v>
      </c>
      <c r="AM531" s="6" t="str">
        <f t="shared" si="103"/>
        <v/>
      </c>
      <c r="AN531" s="6" t="str">
        <f t="shared" si="104"/>
        <v>/* 156 : BDC1SF6 = 0x40000497 */</v>
      </c>
    </row>
    <row r="532" spans="1:40" s="6" customFormat="1">
      <c r="A532" s="15" t="str">
        <f t="shared" si="111"/>
        <v>EBU1D01</v>
      </c>
      <c r="B532" s="15" t="str">
        <f t="shared" si="111"/>
        <v>4A0</v>
      </c>
      <c r="C532" s="15" t="str">
        <f t="shared" si="111"/>
        <v>1</v>
      </c>
      <c r="D532" s="15">
        <f t="shared" si="111"/>
        <v>32</v>
      </c>
      <c r="E532" s="15"/>
      <c r="F532" s="15" t="str">
        <f t="shared" si="110"/>
        <v>0</v>
      </c>
      <c r="G532" s="16" t="str">
        <f t="shared" si="112"/>
        <v>R</v>
      </c>
      <c r="H532" s="16" t="str">
        <f t="shared" si="112"/>
        <v/>
      </c>
      <c r="I532" s="16" t="str">
        <f t="shared" si="112"/>
        <v/>
      </c>
      <c r="J532" s="5"/>
      <c r="X532" s="89"/>
      <c r="AE532" s="96"/>
      <c r="AF532" s="38">
        <f t="shared" si="96"/>
        <v>157</v>
      </c>
      <c r="AG532" s="96" t="str">
        <f t="shared" si="97"/>
        <v/>
      </c>
      <c r="AH532" s="6" t="str">
        <f t="shared" si="98"/>
        <v>{(U4)0x00000200U,</v>
      </c>
      <c r="AI532" s="6" t="str">
        <f t="shared" si="99"/>
        <v>(U4)0x400004a0U,</v>
      </c>
      <c r="AJ532" s="6" t="str">
        <f t="shared" si="100"/>
        <v>(U4)0x40000506U,</v>
      </c>
      <c r="AK532" s="6" t="str">
        <f t="shared" si="101"/>
        <v>(U2)32U,</v>
      </c>
      <c r="AL532" s="6" t="str">
        <f t="shared" si="102"/>
        <v>(U2)87U},</v>
      </c>
      <c r="AM532" s="6" t="str">
        <f t="shared" si="103"/>
        <v/>
      </c>
      <c r="AN532" s="6" t="str">
        <f t="shared" si="104"/>
        <v>/* 157 : EBU1D01 = 0x400004a0 */</v>
      </c>
    </row>
    <row r="533" spans="1:40" s="6" customFormat="1">
      <c r="A533" s="15" t="str">
        <f t="shared" si="111"/>
        <v>BDC1D01</v>
      </c>
      <c r="B533" s="15" t="str">
        <f t="shared" si="111"/>
        <v>4BA</v>
      </c>
      <c r="C533" s="15" t="str">
        <f t="shared" si="111"/>
        <v>1</v>
      </c>
      <c r="D533" s="15">
        <f t="shared" si="111"/>
        <v>32</v>
      </c>
      <c r="E533" s="15"/>
      <c r="F533" s="15" t="str">
        <f t="shared" si="110"/>
        <v>0</v>
      </c>
      <c r="G533" s="16" t="str">
        <f t="shared" si="112"/>
        <v>R</v>
      </c>
      <c r="H533" s="16" t="str">
        <f t="shared" si="112"/>
        <v/>
      </c>
      <c r="I533" s="16" t="str">
        <f t="shared" si="112"/>
        <v/>
      </c>
      <c r="J533" s="5"/>
      <c r="X533" s="89"/>
      <c r="AE533" s="96"/>
      <c r="AF533" s="38" t="str">
        <f t="shared" si="96"/>
        <v/>
      </c>
      <c r="AG533" s="96" t="str">
        <f t="shared" si="97"/>
        <v xml:space="preserve">/* </v>
      </c>
      <c r="AH533" s="6" t="str">
        <f t="shared" si="98"/>
        <v>{(U4)0x00000200U,</v>
      </c>
      <c r="AI533" s="6" t="str">
        <f t="shared" si="99"/>
        <v>(U4)0x400004a0U,</v>
      </c>
      <c r="AJ533" s="6" t="str">
        <f t="shared" si="100"/>
        <v>(U4)0x40000506U,</v>
      </c>
      <c r="AK533" s="6" t="str">
        <f t="shared" si="101"/>
        <v>(U2)32U,</v>
      </c>
      <c r="AL533" s="6" t="str">
        <f t="shared" si="102"/>
        <v>(U2)87U},</v>
      </c>
      <c r="AM533" s="6" t="str">
        <f t="shared" si="103"/>
        <v xml:space="preserve"> */</v>
      </c>
      <c r="AN533" s="6" t="str">
        <f t="shared" si="104"/>
        <v>/*   : BDC1D01 = 0x400004ba */</v>
      </c>
    </row>
    <row r="534" spans="1:40" s="6" customFormat="1">
      <c r="A534" s="15" t="str">
        <f t="shared" si="111"/>
        <v>ACN1S29</v>
      </c>
      <c r="B534" s="15" t="str">
        <f t="shared" si="111"/>
        <v>506</v>
      </c>
      <c r="C534" s="15" t="str">
        <f t="shared" si="111"/>
        <v>1</v>
      </c>
      <c r="D534" s="15">
        <f t="shared" si="111"/>
        <v>32</v>
      </c>
      <c r="E534" s="15"/>
      <c r="F534" s="15" t="str">
        <f t="shared" si="110"/>
        <v>0</v>
      </c>
      <c r="G534" s="16" t="str">
        <f t="shared" si="112"/>
        <v>R</v>
      </c>
      <c r="H534" s="16" t="str">
        <f t="shared" si="112"/>
        <v/>
      </c>
      <c r="I534" s="16" t="str">
        <f t="shared" si="112"/>
        <v/>
      </c>
      <c r="J534" s="5"/>
      <c r="X534" s="89"/>
      <c r="AE534" s="96"/>
      <c r="AF534" s="38" t="str">
        <f t="shared" si="96"/>
        <v/>
      </c>
      <c r="AG534" s="96" t="str">
        <f t="shared" si="97"/>
        <v xml:space="preserve">/* </v>
      </c>
      <c r="AH534" s="6" t="str">
        <f t="shared" si="98"/>
        <v>{(U4)0x00000200U,</v>
      </c>
      <c r="AI534" s="6" t="str">
        <f t="shared" si="99"/>
        <v>(U4)0x400004a0U,</v>
      </c>
      <c r="AJ534" s="6" t="str">
        <f t="shared" si="100"/>
        <v>(U4)0x40000506U,</v>
      </c>
      <c r="AK534" s="6" t="str">
        <f t="shared" si="101"/>
        <v>(U2)32U,</v>
      </c>
      <c r="AL534" s="6" t="str">
        <f t="shared" si="102"/>
        <v>(U2)87U},</v>
      </c>
      <c r="AM534" s="6" t="str">
        <f t="shared" si="103"/>
        <v xml:space="preserve"> */</v>
      </c>
      <c r="AN534" s="6" t="str">
        <f t="shared" si="104"/>
        <v>/*   : ACN1S29 = 0x40000506 */</v>
      </c>
    </row>
    <row r="535" spans="1:40" s="6" customFormat="1">
      <c r="A535" s="15" t="str">
        <f t="shared" si="111"/>
        <v>PDC1G02</v>
      </c>
      <c r="B535" s="15" t="str">
        <f t="shared" si="111"/>
        <v>507</v>
      </c>
      <c r="C535" s="15" t="str">
        <f t="shared" si="111"/>
        <v>1</v>
      </c>
      <c r="D535" s="15">
        <f t="shared" si="111"/>
        <v>8</v>
      </c>
      <c r="E535" s="15"/>
      <c r="F535" s="15" t="str">
        <f t="shared" si="110"/>
        <v>0</v>
      </c>
      <c r="G535" s="16" t="str">
        <f t="shared" si="112"/>
        <v>R</v>
      </c>
      <c r="H535" s="16" t="str">
        <f t="shared" si="112"/>
        <v/>
      </c>
      <c r="I535" s="16" t="str">
        <f t="shared" si="112"/>
        <v/>
      </c>
      <c r="J535" s="5"/>
      <c r="X535" s="89"/>
      <c r="AE535" s="96"/>
      <c r="AF535" s="38">
        <f t="shared" si="96"/>
        <v>158</v>
      </c>
      <c r="AG535" s="96" t="str">
        <f t="shared" si="97"/>
        <v/>
      </c>
      <c r="AH535" s="6" t="str">
        <f t="shared" si="98"/>
        <v>{(U4)0x00000200U,</v>
      </c>
      <c r="AI535" s="6" t="str">
        <f t="shared" si="99"/>
        <v>(U4)0x40000507U,</v>
      </c>
      <c r="AJ535" s="6" t="str">
        <f t="shared" si="100"/>
        <v>(U4)0x40000507U,</v>
      </c>
      <c r="AK535" s="6" t="str">
        <f t="shared" si="101"/>
        <v>(U2)8U,</v>
      </c>
      <c r="AL535" s="6" t="str">
        <f t="shared" si="102"/>
        <v>(U2)87U},</v>
      </c>
      <c r="AM535" s="6" t="str">
        <f t="shared" si="103"/>
        <v/>
      </c>
      <c r="AN535" s="6" t="str">
        <f t="shared" si="104"/>
        <v>/* 158 : PDC1G02 = 0x40000507 */</v>
      </c>
    </row>
    <row r="536" spans="1:40" s="6" customFormat="1">
      <c r="A536" s="15" t="str">
        <f t="shared" si="111"/>
        <v>BDC1SI7</v>
      </c>
      <c r="B536" s="15" t="str">
        <f t="shared" si="111"/>
        <v>508</v>
      </c>
      <c r="C536" s="15" t="str">
        <f t="shared" si="111"/>
        <v>1</v>
      </c>
      <c r="D536" s="15">
        <f t="shared" si="111"/>
        <v>64</v>
      </c>
      <c r="E536" s="15"/>
      <c r="F536" s="15" t="str">
        <f t="shared" si="110"/>
        <v>0</v>
      </c>
      <c r="G536" s="16" t="str">
        <f t="shared" si="112"/>
        <v>R</v>
      </c>
      <c r="H536" s="16" t="str">
        <f t="shared" si="112"/>
        <v/>
      </c>
      <c r="I536" s="16" t="str">
        <f t="shared" si="112"/>
        <v/>
      </c>
      <c r="J536" s="5"/>
      <c r="X536" s="89"/>
      <c r="AE536" s="96"/>
      <c r="AF536" s="38">
        <f t="shared" si="96"/>
        <v>159</v>
      </c>
      <c r="AG536" s="96" t="str">
        <f t="shared" si="97"/>
        <v/>
      </c>
      <c r="AH536" s="6" t="str">
        <f t="shared" si="98"/>
        <v>{(U4)0x00000200U,</v>
      </c>
      <c r="AI536" s="6" t="str">
        <f t="shared" si="99"/>
        <v>(U4)0x40000508U,</v>
      </c>
      <c r="AJ536" s="6" t="str">
        <f t="shared" si="100"/>
        <v>(U4)0x4000050cU,</v>
      </c>
      <c r="AK536" s="6" t="str">
        <f t="shared" si="101"/>
        <v>(U2)64U,</v>
      </c>
      <c r="AL536" s="6" t="str">
        <f t="shared" si="102"/>
        <v>(U2)87U},</v>
      </c>
      <c r="AM536" s="6" t="str">
        <f t="shared" si="103"/>
        <v/>
      </c>
      <c r="AN536" s="6" t="str">
        <f t="shared" si="104"/>
        <v>/* 159 : BDC1SI7 = 0x40000508 */</v>
      </c>
    </row>
    <row r="537" spans="1:40" s="6" customFormat="1">
      <c r="A537" s="15" t="str">
        <f t="shared" si="111"/>
        <v>BDC1SI9</v>
      </c>
      <c r="B537" s="15" t="str">
        <f t="shared" si="111"/>
        <v>50C</v>
      </c>
      <c r="C537" s="15" t="str">
        <f t="shared" si="111"/>
        <v>1</v>
      </c>
      <c r="D537" s="15">
        <f t="shared" si="111"/>
        <v>64</v>
      </c>
      <c r="E537" s="15"/>
      <c r="F537" s="15" t="str">
        <f t="shared" si="110"/>
        <v>0</v>
      </c>
      <c r="G537" s="16" t="str">
        <f t="shared" si="112"/>
        <v>R</v>
      </c>
      <c r="H537" s="16" t="str">
        <f t="shared" si="112"/>
        <v/>
      </c>
      <c r="I537" s="16" t="str">
        <f t="shared" si="112"/>
        <v/>
      </c>
      <c r="J537" s="5"/>
      <c r="X537" s="89"/>
      <c r="AE537" s="96"/>
      <c r="AF537" s="38" t="str">
        <f t="shared" si="96"/>
        <v/>
      </c>
      <c r="AG537" s="96" t="str">
        <f t="shared" si="97"/>
        <v xml:space="preserve">/* </v>
      </c>
      <c r="AH537" s="6" t="str">
        <f t="shared" si="98"/>
        <v>{(U4)0x00000200U,</v>
      </c>
      <c r="AI537" s="6" t="str">
        <f t="shared" si="99"/>
        <v>(U4)0x40000508U,</v>
      </c>
      <c r="AJ537" s="6" t="str">
        <f t="shared" si="100"/>
        <v>(U4)0x4000050cU,</v>
      </c>
      <c r="AK537" s="6" t="str">
        <f t="shared" si="101"/>
        <v>(U2)64U,</v>
      </c>
      <c r="AL537" s="6" t="str">
        <f t="shared" si="102"/>
        <v>(U2)87U},</v>
      </c>
      <c r="AM537" s="6" t="str">
        <f t="shared" si="103"/>
        <v xml:space="preserve"> */</v>
      </c>
      <c r="AN537" s="6" t="str">
        <f t="shared" si="104"/>
        <v>/*   : BDC1SI9 = 0x4000050c */</v>
      </c>
    </row>
    <row r="538" spans="1:40" s="6" customFormat="1">
      <c r="A538" s="15" t="str">
        <f t="shared" si="111"/>
        <v>DKY1S26</v>
      </c>
      <c r="B538" s="15" t="str">
        <f t="shared" si="111"/>
        <v>528</v>
      </c>
      <c r="C538" s="15" t="str">
        <f t="shared" si="111"/>
        <v>1</v>
      </c>
      <c r="D538" s="15">
        <f t="shared" si="111"/>
        <v>8</v>
      </c>
      <c r="E538" s="15"/>
      <c r="F538" s="15" t="str">
        <f t="shared" si="110"/>
        <v>0</v>
      </c>
      <c r="G538" s="16" t="str">
        <f t="shared" si="112"/>
        <v>R</v>
      </c>
      <c r="H538" s="16" t="str">
        <f t="shared" si="112"/>
        <v/>
      </c>
      <c r="I538" s="16" t="str">
        <f t="shared" si="112"/>
        <v/>
      </c>
      <c r="J538" s="5"/>
      <c r="X538" s="89"/>
      <c r="AE538" s="96"/>
      <c r="AF538" s="38">
        <f t="shared" si="96"/>
        <v>160</v>
      </c>
      <c r="AG538" s="96" t="str">
        <f t="shared" si="97"/>
        <v/>
      </c>
      <c r="AH538" s="6" t="str">
        <f t="shared" si="98"/>
        <v>{(U4)0x00000200U,</v>
      </c>
      <c r="AI538" s="6" t="str">
        <f t="shared" si="99"/>
        <v>(U4)0x40000528U,</v>
      </c>
      <c r="AJ538" s="6" t="str">
        <f t="shared" si="100"/>
        <v>(U4)0x40000528U,</v>
      </c>
      <c r="AK538" s="6" t="str">
        <f t="shared" si="101"/>
        <v>(U2)8U,</v>
      </c>
      <c r="AL538" s="6" t="str">
        <f t="shared" si="102"/>
        <v>(U2)87U},</v>
      </c>
      <c r="AM538" s="6" t="str">
        <f t="shared" si="103"/>
        <v/>
      </c>
      <c r="AN538" s="6" t="str">
        <f t="shared" si="104"/>
        <v>/* 160 : DKY1S26 = 0x40000528 */</v>
      </c>
    </row>
    <row r="539" spans="1:40" s="6" customFormat="1">
      <c r="A539" s="15" t="str">
        <f t="shared" si="111"/>
        <v>BDC1SG7</v>
      </c>
      <c r="B539" s="15" t="str">
        <f t="shared" si="111"/>
        <v>52C</v>
      </c>
      <c r="C539" s="15" t="str">
        <f t="shared" si="111"/>
        <v>1</v>
      </c>
      <c r="D539" s="15">
        <f t="shared" si="111"/>
        <v>64</v>
      </c>
      <c r="E539" s="15"/>
      <c r="F539" s="15" t="str">
        <f t="shared" si="110"/>
        <v>0</v>
      </c>
      <c r="G539" s="16" t="str">
        <f t="shared" si="112"/>
        <v>R</v>
      </c>
      <c r="H539" s="16" t="str">
        <f t="shared" si="112"/>
        <v/>
      </c>
      <c r="I539" s="16" t="str">
        <f t="shared" si="112"/>
        <v/>
      </c>
      <c r="J539" s="5"/>
      <c r="X539" s="89"/>
      <c r="AE539" s="96"/>
      <c r="AF539" s="38">
        <f t="shared" si="96"/>
        <v>161</v>
      </c>
      <c r="AG539" s="96" t="str">
        <f t="shared" si="97"/>
        <v/>
      </c>
      <c r="AH539" s="6" t="str">
        <f t="shared" si="98"/>
        <v>{(U4)0x00000200U,</v>
      </c>
      <c r="AI539" s="6" t="str">
        <f t="shared" si="99"/>
        <v>(U4)0x4000052cU,</v>
      </c>
      <c r="AJ539" s="6" t="str">
        <f t="shared" si="100"/>
        <v>(U4)0x4000052cU,</v>
      </c>
      <c r="AK539" s="6" t="str">
        <f t="shared" si="101"/>
        <v>(U2)64U,</v>
      </c>
      <c r="AL539" s="6" t="str">
        <f t="shared" si="102"/>
        <v>(U2)87U},</v>
      </c>
      <c r="AM539" s="6" t="str">
        <f t="shared" si="103"/>
        <v/>
      </c>
      <c r="AN539" s="6" t="str">
        <f t="shared" si="104"/>
        <v>/* 161 : BDC1SG7 = 0x4000052c */</v>
      </c>
    </row>
    <row r="540" spans="1:40" s="6" customFormat="1">
      <c r="A540" s="15" t="str">
        <f t="shared" si="111"/>
        <v>BDC1SI8</v>
      </c>
      <c r="B540" s="15" t="str">
        <f t="shared" si="111"/>
        <v>50B</v>
      </c>
      <c r="C540" s="15" t="str">
        <f t="shared" si="111"/>
        <v>1</v>
      </c>
      <c r="D540" s="15">
        <f t="shared" si="111"/>
        <v>64</v>
      </c>
      <c r="E540" s="15"/>
      <c r="F540" s="15" t="str">
        <f t="shared" si="110"/>
        <v>0</v>
      </c>
      <c r="G540" s="16" t="str">
        <f t="shared" si="112"/>
        <v>R</v>
      </c>
      <c r="H540" s="16" t="str">
        <f t="shared" si="112"/>
        <v/>
      </c>
      <c r="I540" s="16" t="str">
        <f t="shared" si="112"/>
        <v/>
      </c>
      <c r="J540" s="5"/>
      <c r="X540" s="89"/>
      <c r="AE540" s="96"/>
      <c r="AF540" s="38">
        <f t="shared" si="96"/>
        <v>162</v>
      </c>
      <c r="AG540" s="96" t="str">
        <f t="shared" si="97"/>
        <v/>
      </c>
      <c r="AH540" s="6" t="str">
        <f t="shared" si="98"/>
        <v>{(U4)0x00000200U,</v>
      </c>
      <c r="AI540" s="6" t="str">
        <f t="shared" si="99"/>
        <v>(U4)0x4000050bU,</v>
      </c>
      <c r="AJ540" s="6" t="str">
        <f t="shared" si="100"/>
        <v>(U4)0x4000052bU,</v>
      </c>
      <c r="AK540" s="6" t="str">
        <f t="shared" si="101"/>
        <v>(U2)64U,</v>
      </c>
      <c r="AL540" s="6" t="str">
        <f t="shared" si="102"/>
        <v>(U2)87U},</v>
      </c>
      <c r="AM540" s="6" t="str">
        <f t="shared" si="103"/>
        <v/>
      </c>
      <c r="AN540" s="6" t="str">
        <f t="shared" si="104"/>
        <v>/* 162 : BDC1SI8 = 0x4000050b */</v>
      </c>
    </row>
    <row r="541" spans="1:40" s="6" customFormat="1">
      <c r="A541" s="15" t="str">
        <f t="shared" si="111"/>
        <v>BDC1SG6</v>
      </c>
      <c r="B541" s="15" t="str">
        <f t="shared" si="111"/>
        <v>52B</v>
      </c>
      <c r="C541" s="15" t="str">
        <f t="shared" si="111"/>
        <v>1</v>
      </c>
      <c r="D541" s="15">
        <f t="shared" si="111"/>
        <v>64</v>
      </c>
      <c r="E541" s="15"/>
      <c r="F541" s="15" t="str">
        <f t="shared" si="110"/>
        <v>0</v>
      </c>
      <c r="G541" s="16" t="str">
        <f t="shared" si="112"/>
        <v>R</v>
      </c>
      <c r="H541" s="16" t="str">
        <f t="shared" si="112"/>
        <v/>
      </c>
      <c r="I541" s="16" t="str">
        <f t="shared" si="112"/>
        <v/>
      </c>
      <c r="J541" s="5"/>
      <c r="X541" s="89"/>
      <c r="AE541" s="96"/>
      <c r="AF541" s="38" t="str">
        <f t="shared" si="96"/>
        <v/>
      </c>
      <c r="AG541" s="96" t="str">
        <f t="shared" si="97"/>
        <v xml:space="preserve">/* </v>
      </c>
      <c r="AH541" s="6" t="str">
        <f t="shared" si="98"/>
        <v>{(U4)0x00000200U,</v>
      </c>
      <c r="AI541" s="6" t="str">
        <f t="shared" si="99"/>
        <v>(U4)0x4000050bU,</v>
      </c>
      <c r="AJ541" s="6" t="str">
        <f t="shared" si="100"/>
        <v>(U4)0x4000052bU,</v>
      </c>
      <c r="AK541" s="6" t="str">
        <f t="shared" si="101"/>
        <v>(U2)64U,</v>
      </c>
      <c r="AL541" s="6" t="str">
        <f t="shared" si="102"/>
        <v>(U2)87U},</v>
      </c>
      <c r="AM541" s="6" t="str">
        <f t="shared" si="103"/>
        <v xml:space="preserve"> */</v>
      </c>
      <c r="AN541" s="6" t="str">
        <f t="shared" si="104"/>
        <v>/*   : BDC1SG6 = 0x4000052b */</v>
      </c>
    </row>
    <row r="542" spans="1:40" s="6" customFormat="1">
      <c r="A542" s="15" t="str">
        <f t="shared" si="111"/>
        <v>BDC1SJ0</v>
      </c>
      <c r="B542" s="15" t="str">
        <f t="shared" si="111"/>
        <v>50E</v>
      </c>
      <c r="C542" s="15" t="str">
        <f t="shared" si="111"/>
        <v>1</v>
      </c>
      <c r="D542" s="15">
        <f t="shared" si="111"/>
        <v>64</v>
      </c>
      <c r="E542" s="15"/>
      <c r="F542" s="15" t="str">
        <f t="shared" si="110"/>
        <v>0</v>
      </c>
      <c r="G542" s="16" t="str">
        <f t="shared" si="112"/>
        <v>R</v>
      </c>
      <c r="H542" s="16" t="str">
        <f t="shared" si="112"/>
        <v/>
      </c>
      <c r="I542" s="16" t="str">
        <f t="shared" si="112"/>
        <v/>
      </c>
      <c r="J542" s="5"/>
      <c r="X542" s="89"/>
      <c r="AE542" s="96"/>
      <c r="AF542" s="38">
        <f t="shared" si="96"/>
        <v>163</v>
      </c>
      <c r="AG542" s="96" t="str">
        <f t="shared" si="97"/>
        <v/>
      </c>
      <c r="AH542" s="6" t="str">
        <f t="shared" si="98"/>
        <v>{(U4)0x00000200U,</v>
      </c>
      <c r="AI542" s="6" t="str">
        <f t="shared" si="99"/>
        <v>(U4)0x4000050eU,</v>
      </c>
      <c r="AJ542" s="6" t="str">
        <f t="shared" si="100"/>
        <v>(U4)0x4000050eU,</v>
      </c>
      <c r="AK542" s="6" t="str">
        <f t="shared" si="101"/>
        <v>(U2)64U,</v>
      </c>
      <c r="AL542" s="6" t="str">
        <f t="shared" si="102"/>
        <v>(U2)87U},</v>
      </c>
      <c r="AM542" s="6" t="str">
        <f t="shared" si="103"/>
        <v/>
      </c>
      <c r="AN542" s="6" t="str">
        <f t="shared" si="104"/>
        <v>/* 163 : BDC1SJ0 = 0x4000050e */</v>
      </c>
    </row>
    <row r="543" spans="1:40" s="6" customFormat="1">
      <c r="A543" s="15" t="str">
        <f t="shared" si="111"/>
        <v>ENG1G90</v>
      </c>
      <c r="B543" s="15" t="str">
        <f t="shared" si="111"/>
        <v>51E</v>
      </c>
      <c r="C543" s="15" t="str">
        <f t="shared" si="111"/>
        <v>1</v>
      </c>
      <c r="D543" s="15">
        <f t="shared" si="111"/>
        <v>8</v>
      </c>
      <c r="E543" s="15"/>
      <c r="F543" s="15" t="str">
        <f t="shared" si="110"/>
        <v>0</v>
      </c>
      <c r="G543" s="16" t="str">
        <f t="shared" si="112"/>
        <v>R</v>
      </c>
      <c r="H543" s="16" t="str">
        <f t="shared" si="112"/>
        <v/>
      </c>
      <c r="I543" s="16" t="str">
        <f t="shared" si="112"/>
        <v/>
      </c>
      <c r="J543" s="5"/>
      <c r="X543" s="89"/>
      <c r="AE543" s="96"/>
      <c r="AF543" s="38">
        <f t="shared" si="96"/>
        <v>164</v>
      </c>
      <c r="AG543" s="96" t="str">
        <f t="shared" si="97"/>
        <v/>
      </c>
      <c r="AH543" s="6" t="str">
        <f t="shared" si="98"/>
        <v>{(U4)0x00000200U,</v>
      </c>
      <c r="AI543" s="6" t="str">
        <f t="shared" si="99"/>
        <v>(U4)0x4000051eU,</v>
      </c>
      <c r="AJ543" s="6" t="str">
        <f t="shared" si="100"/>
        <v>(U4)0x4000051eU,</v>
      </c>
      <c r="AK543" s="6" t="str">
        <f t="shared" si="101"/>
        <v>(U2)8U,</v>
      </c>
      <c r="AL543" s="6" t="str">
        <f t="shared" si="102"/>
        <v>(U2)87U},</v>
      </c>
      <c r="AM543" s="6" t="str">
        <f t="shared" si="103"/>
        <v/>
      </c>
      <c r="AN543" s="6" t="str">
        <f t="shared" si="104"/>
        <v>/* 164 : ENG1G90 = 0x4000051e */</v>
      </c>
    </row>
    <row r="544" spans="1:40" s="6" customFormat="1">
      <c r="A544" s="15" t="str">
        <f t="shared" si="111"/>
        <v>BDC1SG4</v>
      </c>
      <c r="B544" s="15" t="str">
        <f t="shared" si="111"/>
        <v>526</v>
      </c>
      <c r="C544" s="15" t="str">
        <f t="shared" si="111"/>
        <v>1</v>
      </c>
      <c r="D544" s="15">
        <f t="shared" si="111"/>
        <v>64</v>
      </c>
      <c r="E544" s="15"/>
      <c r="F544" s="15" t="str">
        <f t="shared" si="110"/>
        <v>0</v>
      </c>
      <c r="G544" s="16" t="str">
        <f t="shared" si="112"/>
        <v>R</v>
      </c>
      <c r="H544" s="16" t="str">
        <f t="shared" si="112"/>
        <v/>
      </c>
      <c r="I544" s="16" t="str">
        <f t="shared" si="112"/>
        <v/>
      </c>
      <c r="J544" s="5"/>
      <c r="X544" s="89"/>
      <c r="AE544" s="96"/>
      <c r="AF544" s="38">
        <f t="shared" si="96"/>
        <v>165</v>
      </c>
      <c r="AG544" s="96" t="str">
        <f t="shared" si="97"/>
        <v/>
      </c>
      <c r="AH544" s="6" t="str">
        <f t="shared" si="98"/>
        <v>{(U4)0x00000200U,</v>
      </c>
      <c r="AI544" s="6" t="str">
        <f t="shared" si="99"/>
        <v>(U4)0x40000526U,</v>
      </c>
      <c r="AJ544" s="6" t="str">
        <f t="shared" si="100"/>
        <v>(U4)0x40000531U,</v>
      </c>
      <c r="AK544" s="6" t="str">
        <f t="shared" si="101"/>
        <v>(U2)64U,</v>
      </c>
      <c r="AL544" s="6" t="str">
        <f t="shared" si="102"/>
        <v>(U2)87U},</v>
      </c>
      <c r="AM544" s="6" t="str">
        <f t="shared" si="103"/>
        <v/>
      </c>
      <c r="AN544" s="6" t="str">
        <f t="shared" si="104"/>
        <v>/* 165 : BDC1SG4 = 0x40000526 */</v>
      </c>
    </row>
    <row r="545" spans="1:40" s="6" customFormat="1">
      <c r="A545" s="15" t="str">
        <f t="shared" si="111"/>
        <v>BDC1SG9</v>
      </c>
      <c r="B545" s="15" t="str">
        <f t="shared" si="111"/>
        <v>531</v>
      </c>
      <c r="C545" s="15" t="str">
        <f t="shared" si="111"/>
        <v>1</v>
      </c>
      <c r="D545" s="15">
        <f t="shared" si="111"/>
        <v>64</v>
      </c>
      <c r="E545" s="15"/>
      <c r="F545" s="15" t="str">
        <f t="shared" si="110"/>
        <v>0</v>
      </c>
      <c r="G545" s="16" t="str">
        <f t="shared" si="112"/>
        <v>R</v>
      </c>
      <c r="H545" s="16" t="str">
        <f t="shared" si="112"/>
        <v/>
      </c>
      <c r="I545" s="16" t="str">
        <f t="shared" si="112"/>
        <v/>
      </c>
      <c r="J545" s="5"/>
      <c r="X545" s="89"/>
      <c r="AE545" s="96"/>
      <c r="AF545" s="38" t="str">
        <f t="shared" ref="AF545:AF561" si="113">IF(AF262&lt;&gt;"",AF262,"")</f>
        <v/>
      </c>
      <c r="AG545" s="96" t="str">
        <f t="shared" ref="AG545:AG561" si="114">IF($AF262&lt;&gt;"","", "/* ")</f>
        <v xml:space="preserve">/* </v>
      </c>
      <c r="AH545" s="6" t="str">
        <f t="shared" ref="AH545:AH561" si="115">IF($AF262&lt;&gt;"","{(U4)0x"&amp;LOWER(DEC2HEX($L262*$L$3+$M262*$M$3+$N262*$N$3+$V262*$V$3,8))&amp;"U,",AH544)</f>
        <v>{(U4)0x00000200U,</v>
      </c>
      <c r="AI545" s="6" t="str">
        <f t="shared" ref="AI545:AI561" si="116">IF($AF262&lt;&gt;"", "(U4)"&amp;LOWER($AJ262)&amp;"U,",AI544)</f>
        <v>(U4)0x40000526U,</v>
      </c>
      <c r="AJ545" s="6" t="str">
        <f t="shared" ref="AJ545:AJ561" si="117">IF($AF262&lt;&gt;"", "(U4)"&amp;LOWER($AK262)&amp;"U,",AJ544)</f>
        <v>(U4)0x40000531U,</v>
      </c>
      <c r="AK545" s="6" t="str">
        <f t="shared" ref="AK545:AK561" si="118" xml:space="preserve"> IF($AF262&lt;&gt;"", "(U2)"&amp;$AL262&amp;"U,",AK544)</f>
        <v>(U2)64U,</v>
      </c>
      <c r="AL545" s="6" t="str">
        <f t="shared" ref="AL545:AL561" si="119" xml:space="preserve"> IF($AF262&lt;&gt;"", "(U2)"&amp;$Y262*$X$3&amp;"U},",AL544)</f>
        <v>(U2)87U},</v>
      </c>
      <c r="AM545" s="6" t="str">
        <f t="shared" ref="AM545:AM561" si="120">IF($AF262&lt;&gt;"","", " */")</f>
        <v xml:space="preserve"> */</v>
      </c>
      <c r="AN545" s="6" t="str">
        <f t="shared" ref="AN545:AN561" si="121">"/* "&amp;IF($AF262&lt;&gt;"",$AF262," ")&amp;" : "&amp;$A262&amp;" = "&amp;LOWER($AH262)&amp;" */"</f>
        <v>/*   : BDC1SG9 = 0x40000531 */</v>
      </c>
    </row>
    <row r="546" spans="1:40" s="6" customFormat="1">
      <c r="A546" s="15" t="str">
        <f t="shared" si="111"/>
        <v>BDC1SH3</v>
      </c>
      <c r="B546" s="15" t="str">
        <f t="shared" si="111"/>
        <v>534</v>
      </c>
      <c r="C546" s="15" t="str">
        <f t="shared" si="111"/>
        <v>1</v>
      </c>
      <c r="D546" s="15">
        <f t="shared" si="111"/>
        <v>64</v>
      </c>
      <c r="E546" s="15"/>
      <c r="F546" s="15" t="str">
        <f t="shared" si="110"/>
        <v>1</v>
      </c>
      <c r="G546" s="16" t="str">
        <f t="shared" si="112"/>
        <v>R</v>
      </c>
      <c r="H546" s="16" t="str">
        <f t="shared" si="112"/>
        <v/>
      </c>
      <c r="I546" s="16" t="str">
        <f t="shared" si="112"/>
        <v/>
      </c>
      <c r="J546" s="5"/>
      <c r="X546" s="89"/>
      <c r="AE546" s="96"/>
      <c r="AF546" s="38">
        <f t="shared" si="113"/>
        <v>166</v>
      </c>
      <c r="AG546" s="96" t="str">
        <f t="shared" si="114"/>
        <v/>
      </c>
      <c r="AH546" s="6" t="str">
        <f t="shared" si="115"/>
        <v>{(U4)0x00000002U,</v>
      </c>
      <c r="AI546" s="6" t="str">
        <f t="shared" si="116"/>
        <v>(U4)0x40000534U,</v>
      </c>
      <c r="AJ546" s="6" t="str">
        <f t="shared" si="117"/>
        <v>(U4)0x40000534U,</v>
      </c>
      <c r="AK546" s="6" t="str">
        <f t="shared" si="118"/>
        <v>(U2)64U,</v>
      </c>
      <c r="AL546" s="6" t="str">
        <f t="shared" si="119"/>
        <v>(U2)84U},</v>
      </c>
      <c r="AM546" s="6" t="str">
        <f t="shared" si="120"/>
        <v/>
      </c>
      <c r="AN546" s="6" t="str">
        <f t="shared" si="121"/>
        <v>/* 166 : BDC1SH3 = 0x40000534 */</v>
      </c>
    </row>
    <row r="547" spans="1:40" s="6" customFormat="1">
      <c r="A547" s="15" t="str">
        <f t="shared" si="111"/>
        <v>BDC1SH4</v>
      </c>
      <c r="B547" s="15" t="str">
        <f t="shared" si="111"/>
        <v>535</v>
      </c>
      <c r="C547" s="15" t="str">
        <f t="shared" si="111"/>
        <v>1</v>
      </c>
      <c r="D547" s="15">
        <f t="shared" si="111"/>
        <v>64</v>
      </c>
      <c r="E547" s="15"/>
      <c r="F547" s="15" t="str">
        <f t="shared" si="110"/>
        <v>0</v>
      </c>
      <c r="G547" s="16" t="str">
        <f t="shared" si="112"/>
        <v>R</v>
      </c>
      <c r="H547" s="16" t="str">
        <f t="shared" si="112"/>
        <v/>
      </c>
      <c r="I547" s="16" t="str">
        <f t="shared" si="112"/>
        <v/>
      </c>
      <c r="J547" s="5"/>
      <c r="X547" s="89"/>
      <c r="AE547" s="96"/>
      <c r="AF547" s="38">
        <f t="shared" si="113"/>
        <v>167</v>
      </c>
      <c r="AG547" s="96" t="str">
        <f t="shared" si="114"/>
        <v/>
      </c>
      <c r="AH547" s="6" t="str">
        <f t="shared" si="115"/>
        <v>{(U4)0x00000200U,</v>
      </c>
      <c r="AI547" s="6" t="str">
        <f t="shared" si="116"/>
        <v>(U4)0x40000535U,</v>
      </c>
      <c r="AJ547" s="6" t="str">
        <f t="shared" si="117"/>
        <v>(U4)0x40000538U,</v>
      </c>
      <c r="AK547" s="6" t="str">
        <f t="shared" si="118"/>
        <v>(U2)64U,</v>
      </c>
      <c r="AL547" s="6" t="str">
        <f t="shared" si="119"/>
        <v>(U2)87U},</v>
      </c>
      <c r="AM547" s="6" t="str">
        <f t="shared" si="120"/>
        <v/>
      </c>
      <c r="AN547" s="6" t="str">
        <f t="shared" si="121"/>
        <v>/* 167 : BDC1SH4 = 0x40000535 */</v>
      </c>
    </row>
    <row r="548" spans="1:40" s="6" customFormat="1">
      <c r="A548" s="15" t="str">
        <f t="shared" si="111"/>
        <v>BDC1SJ3</v>
      </c>
      <c r="B548" s="15" t="str">
        <f t="shared" si="111"/>
        <v>536</v>
      </c>
      <c r="C548" s="15" t="str">
        <f t="shared" si="111"/>
        <v>1</v>
      </c>
      <c r="D548" s="15">
        <f t="shared" si="111"/>
        <v>64</v>
      </c>
      <c r="E548" s="15"/>
      <c r="F548" s="15" t="str">
        <f t="shared" si="110"/>
        <v>0</v>
      </c>
      <c r="G548" s="16" t="str">
        <f t="shared" si="112"/>
        <v>R</v>
      </c>
      <c r="H548" s="16" t="str">
        <f t="shared" si="112"/>
        <v/>
      </c>
      <c r="I548" s="16" t="str">
        <f t="shared" si="112"/>
        <v/>
      </c>
      <c r="J548" s="5"/>
      <c r="X548" s="89"/>
      <c r="AE548" s="96"/>
      <c r="AF548" s="38" t="str">
        <f t="shared" si="113"/>
        <v/>
      </c>
      <c r="AG548" s="96" t="str">
        <f t="shared" si="114"/>
        <v xml:space="preserve">/* </v>
      </c>
      <c r="AH548" s="6" t="str">
        <f t="shared" si="115"/>
        <v>{(U4)0x00000200U,</v>
      </c>
      <c r="AI548" s="6" t="str">
        <f t="shared" si="116"/>
        <v>(U4)0x40000535U,</v>
      </c>
      <c r="AJ548" s="6" t="str">
        <f t="shared" si="117"/>
        <v>(U4)0x40000538U,</v>
      </c>
      <c r="AK548" s="6" t="str">
        <f t="shared" si="118"/>
        <v>(U2)64U,</v>
      </c>
      <c r="AL548" s="6" t="str">
        <f t="shared" si="119"/>
        <v>(U2)87U},</v>
      </c>
      <c r="AM548" s="6" t="str">
        <f t="shared" si="120"/>
        <v xml:space="preserve"> */</v>
      </c>
      <c r="AN548" s="6" t="str">
        <f t="shared" si="121"/>
        <v>/*   : BDC1SJ3 = 0x40000536 */</v>
      </c>
    </row>
    <row r="549" spans="1:40" s="6" customFormat="1">
      <c r="A549" s="15" t="str">
        <f t="shared" ref="A549:D561" si="122">A266</f>
        <v>BDC1SH5</v>
      </c>
      <c r="B549" s="15" t="str">
        <f t="shared" si="122"/>
        <v>537</v>
      </c>
      <c r="C549" s="15" t="str">
        <f t="shared" si="122"/>
        <v>1</v>
      </c>
      <c r="D549" s="15">
        <f t="shared" si="122"/>
        <v>64</v>
      </c>
      <c r="E549" s="15"/>
      <c r="F549" s="15" t="str">
        <f t="shared" ref="F549:F561" si="123">F266</f>
        <v>0</v>
      </c>
      <c r="G549" s="16" t="str">
        <f t="shared" ref="G549:I561" si="124">IF(G266&lt;&gt;"",G266,"")</f>
        <v>R</v>
      </c>
      <c r="H549" s="16" t="str">
        <f t="shared" si="124"/>
        <v/>
      </c>
      <c r="I549" s="16" t="str">
        <f t="shared" si="124"/>
        <v/>
      </c>
      <c r="J549" s="5"/>
      <c r="X549" s="89"/>
      <c r="AE549" s="96"/>
      <c r="AF549" s="38" t="str">
        <f t="shared" si="113"/>
        <v/>
      </c>
      <c r="AG549" s="96" t="str">
        <f t="shared" si="114"/>
        <v xml:space="preserve">/* </v>
      </c>
      <c r="AH549" s="6" t="str">
        <f t="shared" si="115"/>
        <v>{(U4)0x00000200U,</v>
      </c>
      <c r="AI549" s="6" t="str">
        <f t="shared" si="116"/>
        <v>(U4)0x40000535U,</v>
      </c>
      <c r="AJ549" s="6" t="str">
        <f t="shared" si="117"/>
        <v>(U4)0x40000538U,</v>
      </c>
      <c r="AK549" s="6" t="str">
        <f t="shared" si="118"/>
        <v>(U2)64U,</v>
      </c>
      <c r="AL549" s="6" t="str">
        <f t="shared" si="119"/>
        <v>(U2)87U},</v>
      </c>
      <c r="AM549" s="6" t="str">
        <f t="shared" si="120"/>
        <v xml:space="preserve"> */</v>
      </c>
      <c r="AN549" s="6" t="str">
        <f t="shared" si="121"/>
        <v>/*   : BDC1SH5 = 0x40000537 */</v>
      </c>
    </row>
    <row r="550" spans="1:40" s="6" customFormat="1">
      <c r="A550" s="15" t="str">
        <f t="shared" si="122"/>
        <v>BDC1SH6</v>
      </c>
      <c r="B550" s="15" t="str">
        <f t="shared" si="122"/>
        <v>538</v>
      </c>
      <c r="C550" s="15" t="str">
        <f t="shared" si="122"/>
        <v>1</v>
      </c>
      <c r="D550" s="15">
        <f t="shared" si="122"/>
        <v>64</v>
      </c>
      <c r="E550" s="15"/>
      <c r="F550" s="15" t="str">
        <f t="shared" si="123"/>
        <v>0</v>
      </c>
      <c r="G550" s="16" t="str">
        <f t="shared" si="124"/>
        <v>R</v>
      </c>
      <c r="H550" s="16" t="str">
        <f t="shared" si="124"/>
        <v/>
      </c>
      <c r="I550" s="16" t="str">
        <f t="shared" si="124"/>
        <v/>
      </c>
      <c r="J550" s="5"/>
      <c r="X550" s="89"/>
      <c r="AE550" s="96"/>
      <c r="AF550" s="38" t="str">
        <f t="shared" si="113"/>
        <v/>
      </c>
      <c r="AG550" s="96" t="str">
        <f t="shared" si="114"/>
        <v xml:space="preserve">/* </v>
      </c>
      <c r="AH550" s="6" t="str">
        <f t="shared" si="115"/>
        <v>{(U4)0x00000200U,</v>
      </c>
      <c r="AI550" s="6" t="str">
        <f t="shared" si="116"/>
        <v>(U4)0x40000535U,</v>
      </c>
      <c r="AJ550" s="6" t="str">
        <f t="shared" si="117"/>
        <v>(U4)0x40000538U,</v>
      </c>
      <c r="AK550" s="6" t="str">
        <f t="shared" si="118"/>
        <v>(U2)64U,</v>
      </c>
      <c r="AL550" s="6" t="str">
        <f t="shared" si="119"/>
        <v>(U2)87U},</v>
      </c>
      <c r="AM550" s="6" t="str">
        <f t="shared" si="120"/>
        <v xml:space="preserve"> */</v>
      </c>
      <c r="AN550" s="6" t="str">
        <f t="shared" si="121"/>
        <v>/*   : BDC1SH6 = 0x40000538 */</v>
      </c>
    </row>
    <row r="551" spans="1:40" s="6" customFormat="1">
      <c r="A551" s="15" t="str">
        <f t="shared" si="122"/>
        <v>ENG1S51</v>
      </c>
      <c r="B551" s="15" t="str">
        <f t="shared" si="122"/>
        <v>592</v>
      </c>
      <c r="C551" s="15" t="str">
        <f t="shared" si="122"/>
        <v>1</v>
      </c>
      <c r="D551" s="15">
        <f t="shared" si="122"/>
        <v>32</v>
      </c>
      <c r="E551" s="15"/>
      <c r="F551" s="15" t="str">
        <f t="shared" si="123"/>
        <v>0</v>
      </c>
      <c r="G551" s="16" t="str">
        <f t="shared" si="124"/>
        <v>R</v>
      </c>
      <c r="H551" s="16" t="str">
        <f t="shared" si="124"/>
        <v/>
      </c>
      <c r="I551" s="16" t="str">
        <f t="shared" si="124"/>
        <v/>
      </c>
      <c r="J551" s="5"/>
      <c r="X551" s="89"/>
      <c r="AE551" s="96"/>
      <c r="AF551" s="38">
        <f t="shared" si="113"/>
        <v>168</v>
      </c>
      <c r="AG551" s="96" t="str">
        <f t="shared" si="114"/>
        <v/>
      </c>
      <c r="AH551" s="6" t="str">
        <f t="shared" si="115"/>
        <v>{(U4)0x00000200U,</v>
      </c>
      <c r="AI551" s="6" t="str">
        <f t="shared" si="116"/>
        <v>(U4)0x40000592U,</v>
      </c>
      <c r="AJ551" s="6" t="str">
        <f t="shared" si="117"/>
        <v>(U4)0x40000596U,</v>
      </c>
      <c r="AK551" s="6" t="str">
        <f t="shared" si="118"/>
        <v>(U2)32U,</v>
      </c>
      <c r="AL551" s="6" t="str">
        <f t="shared" si="119"/>
        <v>(U2)87U},</v>
      </c>
      <c r="AM551" s="6" t="str">
        <f t="shared" si="120"/>
        <v/>
      </c>
      <c r="AN551" s="6" t="str">
        <f t="shared" si="121"/>
        <v>/* 168 : ENG1S51 = 0x40000592 */</v>
      </c>
    </row>
    <row r="552" spans="1:40" s="6" customFormat="1">
      <c r="A552" s="15" t="str">
        <f t="shared" si="122"/>
        <v>BDC1SV3</v>
      </c>
      <c r="B552" s="15" t="str">
        <f t="shared" si="122"/>
        <v>596</v>
      </c>
      <c r="C552" s="15" t="str">
        <f t="shared" si="122"/>
        <v>1</v>
      </c>
      <c r="D552" s="15">
        <f t="shared" si="122"/>
        <v>32</v>
      </c>
      <c r="E552" s="15"/>
      <c r="F552" s="15" t="str">
        <f t="shared" si="123"/>
        <v>0</v>
      </c>
      <c r="G552" s="16" t="str">
        <f t="shared" si="124"/>
        <v>R</v>
      </c>
      <c r="H552" s="16" t="str">
        <f t="shared" si="124"/>
        <v/>
      </c>
      <c r="I552" s="16" t="str">
        <f t="shared" si="124"/>
        <v/>
      </c>
      <c r="J552" s="5"/>
      <c r="X552" s="89"/>
      <c r="AE552" s="96"/>
      <c r="AF552" s="38" t="str">
        <f t="shared" si="113"/>
        <v/>
      </c>
      <c r="AG552" s="96" t="str">
        <f t="shared" si="114"/>
        <v xml:space="preserve">/* </v>
      </c>
      <c r="AH552" s="6" t="str">
        <f t="shared" si="115"/>
        <v>{(U4)0x00000200U,</v>
      </c>
      <c r="AI552" s="6" t="str">
        <f t="shared" si="116"/>
        <v>(U4)0x40000592U,</v>
      </c>
      <c r="AJ552" s="6" t="str">
        <f t="shared" si="117"/>
        <v>(U4)0x40000596U,</v>
      </c>
      <c r="AK552" s="6" t="str">
        <f t="shared" si="118"/>
        <v>(U2)32U,</v>
      </c>
      <c r="AL552" s="6" t="str">
        <f t="shared" si="119"/>
        <v>(U2)87U},</v>
      </c>
      <c r="AM552" s="6" t="str">
        <f t="shared" si="120"/>
        <v xml:space="preserve"> */</v>
      </c>
      <c r="AN552" s="6" t="str">
        <f t="shared" si="121"/>
        <v>/*   : BDC1SV3 = 0x40000596 */</v>
      </c>
    </row>
    <row r="553" spans="1:40" s="6" customFormat="1">
      <c r="A553" s="15" t="str">
        <f t="shared" si="122"/>
        <v>IMS1S01</v>
      </c>
      <c r="B553" s="15" t="str">
        <f t="shared" si="122"/>
        <v>5AD</v>
      </c>
      <c r="C553" s="15" t="str">
        <f t="shared" si="122"/>
        <v>1</v>
      </c>
      <c r="D553" s="15">
        <f t="shared" si="122"/>
        <v>8</v>
      </c>
      <c r="E553" s="15"/>
      <c r="F553" s="15" t="str">
        <f t="shared" si="123"/>
        <v>0</v>
      </c>
      <c r="G553" s="16" t="str">
        <f t="shared" si="124"/>
        <v>R</v>
      </c>
      <c r="H553" s="16" t="str">
        <f t="shared" si="124"/>
        <v/>
      </c>
      <c r="I553" s="16" t="str">
        <f t="shared" si="124"/>
        <v/>
      </c>
      <c r="J553" s="5"/>
      <c r="X553" s="89"/>
      <c r="AE553" s="96"/>
      <c r="AF553" s="38">
        <f t="shared" si="113"/>
        <v>169</v>
      </c>
      <c r="AG553" s="96" t="str">
        <f t="shared" si="114"/>
        <v/>
      </c>
      <c r="AH553" s="6" t="str">
        <f t="shared" si="115"/>
        <v>{(U4)0x00000200U,</v>
      </c>
      <c r="AI553" s="6" t="str">
        <f t="shared" si="116"/>
        <v>(U4)0x400005adU,</v>
      </c>
      <c r="AJ553" s="6" t="str">
        <f t="shared" si="117"/>
        <v>(U4)0x40000608U,</v>
      </c>
      <c r="AK553" s="6" t="str">
        <f t="shared" si="118"/>
        <v>(U2)8U,</v>
      </c>
      <c r="AL553" s="6" t="str">
        <f t="shared" si="119"/>
        <v>(U2)87U},</v>
      </c>
      <c r="AM553" s="6" t="str">
        <f t="shared" si="120"/>
        <v/>
      </c>
      <c r="AN553" s="6" t="str">
        <f t="shared" si="121"/>
        <v>/* 169 : IMS1S01 = 0x400005ad */</v>
      </c>
    </row>
    <row r="554" spans="1:40" s="6" customFormat="1">
      <c r="A554" s="15" t="str">
        <f t="shared" si="122"/>
        <v>VUM1S01</v>
      </c>
      <c r="B554" s="15" t="str">
        <f t="shared" si="122"/>
        <v>601</v>
      </c>
      <c r="C554" s="15" t="str">
        <f t="shared" si="122"/>
        <v>1</v>
      </c>
      <c r="D554" s="15">
        <f t="shared" si="122"/>
        <v>8</v>
      </c>
      <c r="E554" s="15"/>
      <c r="F554" s="15" t="str">
        <f t="shared" si="123"/>
        <v>0</v>
      </c>
      <c r="G554" s="16" t="str">
        <f t="shared" si="124"/>
        <v>R</v>
      </c>
      <c r="H554" s="16" t="str">
        <f t="shared" si="124"/>
        <v/>
      </c>
      <c r="I554" s="16" t="str">
        <f t="shared" si="124"/>
        <v/>
      </c>
      <c r="J554" s="5"/>
      <c r="X554" s="89"/>
      <c r="AE554" s="96"/>
      <c r="AF554" s="38" t="str">
        <f t="shared" si="113"/>
        <v/>
      </c>
      <c r="AG554" s="96" t="str">
        <f t="shared" si="114"/>
        <v xml:space="preserve">/* </v>
      </c>
      <c r="AH554" s="6" t="str">
        <f t="shared" si="115"/>
        <v>{(U4)0x00000200U,</v>
      </c>
      <c r="AI554" s="6" t="str">
        <f t="shared" si="116"/>
        <v>(U4)0x400005adU,</v>
      </c>
      <c r="AJ554" s="6" t="str">
        <f t="shared" si="117"/>
        <v>(U4)0x40000608U,</v>
      </c>
      <c r="AK554" s="6" t="str">
        <f t="shared" si="118"/>
        <v>(U2)8U,</v>
      </c>
      <c r="AL554" s="6" t="str">
        <f t="shared" si="119"/>
        <v>(U2)87U},</v>
      </c>
      <c r="AM554" s="6" t="str">
        <f t="shared" si="120"/>
        <v xml:space="preserve"> */</v>
      </c>
      <c r="AN554" s="6" t="str">
        <f t="shared" si="121"/>
        <v>/*   : VUM1S01 = 0x40000601 */</v>
      </c>
    </row>
    <row r="555" spans="1:40" s="6" customFormat="1">
      <c r="A555" s="15" t="str">
        <f t="shared" si="122"/>
        <v>DS11S40</v>
      </c>
      <c r="B555" s="15" t="str">
        <f t="shared" si="122"/>
        <v>608</v>
      </c>
      <c r="C555" s="15" t="str">
        <f t="shared" si="122"/>
        <v>1</v>
      </c>
      <c r="D555" s="15">
        <f t="shared" si="122"/>
        <v>8</v>
      </c>
      <c r="E555" s="15"/>
      <c r="F555" s="15" t="str">
        <f t="shared" si="123"/>
        <v>0</v>
      </c>
      <c r="G555" s="16" t="str">
        <f t="shared" si="124"/>
        <v>R</v>
      </c>
      <c r="H555" s="16" t="str">
        <f t="shared" si="124"/>
        <v/>
      </c>
      <c r="I555" s="16" t="str">
        <f t="shared" si="124"/>
        <v/>
      </c>
      <c r="J555" s="5"/>
      <c r="X555" s="89"/>
      <c r="AE555" s="96"/>
      <c r="AF555" s="38" t="str">
        <f t="shared" si="113"/>
        <v/>
      </c>
      <c r="AG555" s="96" t="str">
        <f t="shared" si="114"/>
        <v xml:space="preserve">/* </v>
      </c>
      <c r="AH555" s="6" t="str">
        <f t="shared" si="115"/>
        <v>{(U4)0x00000200U,</v>
      </c>
      <c r="AI555" s="6" t="str">
        <f t="shared" si="116"/>
        <v>(U4)0x400005adU,</v>
      </c>
      <c r="AJ555" s="6" t="str">
        <f t="shared" si="117"/>
        <v>(U4)0x40000608U,</v>
      </c>
      <c r="AK555" s="6" t="str">
        <f t="shared" si="118"/>
        <v>(U2)8U,</v>
      </c>
      <c r="AL555" s="6" t="str">
        <f t="shared" si="119"/>
        <v>(U2)87U},</v>
      </c>
      <c r="AM555" s="6" t="str">
        <f t="shared" si="120"/>
        <v xml:space="preserve"> */</v>
      </c>
      <c r="AN555" s="6" t="str">
        <f t="shared" si="121"/>
        <v>/*   : DS11S40 = 0x40000608 */</v>
      </c>
    </row>
    <row r="556" spans="1:40" s="6" customFormat="1">
      <c r="A556" s="15" t="str">
        <f t="shared" si="122"/>
        <v>BDC1SV1</v>
      </c>
      <c r="B556" s="15" t="str">
        <f t="shared" si="122"/>
        <v>610</v>
      </c>
      <c r="C556" s="15" t="str">
        <f t="shared" si="122"/>
        <v>1</v>
      </c>
      <c r="D556" s="15">
        <f t="shared" si="122"/>
        <v>32</v>
      </c>
      <c r="E556" s="15"/>
      <c r="F556" s="15" t="str">
        <f t="shared" si="123"/>
        <v>0</v>
      </c>
      <c r="G556" s="16" t="str">
        <f t="shared" si="124"/>
        <v>R</v>
      </c>
      <c r="H556" s="16" t="str">
        <f t="shared" si="124"/>
        <v/>
      </c>
      <c r="I556" s="16" t="str">
        <f t="shared" si="124"/>
        <v/>
      </c>
      <c r="J556" s="5"/>
      <c r="X556" s="89"/>
      <c r="AE556" s="96"/>
      <c r="AF556" s="38">
        <f t="shared" si="113"/>
        <v>170</v>
      </c>
      <c r="AG556" s="96" t="str">
        <f t="shared" si="114"/>
        <v/>
      </c>
      <c r="AH556" s="6" t="str">
        <f t="shared" si="115"/>
        <v>{(U4)0x00000200U,</v>
      </c>
      <c r="AI556" s="6" t="str">
        <f t="shared" si="116"/>
        <v>(U4)0x40000610U,</v>
      </c>
      <c r="AJ556" s="6" t="str">
        <f t="shared" si="117"/>
        <v>(U4)0x40000624U,</v>
      </c>
      <c r="AK556" s="6" t="str">
        <f t="shared" si="118"/>
        <v>(U2)32U,</v>
      </c>
      <c r="AL556" s="6" t="str">
        <f t="shared" si="119"/>
        <v>(U2)87U},</v>
      </c>
      <c r="AM556" s="6" t="str">
        <f t="shared" si="120"/>
        <v/>
      </c>
      <c r="AN556" s="6" t="str">
        <f t="shared" si="121"/>
        <v>/* 170 : BDC1SV1 = 0x40000610 */</v>
      </c>
    </row>
    <row r="557" spans="1:40" s="6" customFormat="1">
      <c r="A557" s="15" t="str">
        <f t="shared" si="122"/>
        <v>BDB1S08</v>
      </c>
      <c r="B557" s="15" t="str">
        <f t="shared" si="122"/>
        <v>624</v>
      </c>
      <c r="C557" s="15" t="str">
        <f t="shared" si="122"/>
        <v>1</v>
      </c>
      <c r="D557" s="15">
        <f t="shared" si="122"/>
        <v>32</v>
      </c>
      <c r="E557" s="15"/>
      <c r="F557" s="15" t="str">
        <f t="shared" si="123"/>
        <v>1</v>
      </c>
      <c r="G557" s="16" t="str">
        <f t="shared" si="124"/>
        <v>R</v>
      </c>
      <c r="H557" s="16" t="str">
        <f t="shared" si="124"/>
        <v/>
      </c>
      <c r="I557" s="16" t="str">
        <f t="shared" si="124"/>
        <v/>
      </c>
      <c r="J557" s="5"/>
      <c r="X557" s="89"/>
      <c r="AE557" s="96"/>
      <c r="AF557" s="38" t="str">
        <f t="shared" si="113"/>
        <v/>
      </c>
      <c r="AG557" s="96" t="str">
        <f t="shared" si="114"/>
        <v xml:space="preserve">/* </v>
      </c>
      <c r="AH557" s="6" t="str">
        <f t="shared" si="115"/>
        <v>{(U4)0x00000200U,</v>
      </c>
      <c r="AI557" s="6" t="str">
        <f t="shared" si="116"/>
        <v>(U4)0x40000610U,</v>
      </c>
      <c r="AJ557" s="6" t="str">
        <f t="shared" si="117"/>
        <v>(U4)0x40000624U,</v>
      </c>
      <c r="AK557" s="6" t="str">
        <f t="shared" si="118"/>
        <v>(U2)32U,</v>
      </c>
      <c r="AL557" s="6" t="str">
        <f t="shared" si="119"/>
        <v>(U2)87U},</v>
      </c>
      <c r="AM557" s="6" t="str">
        <f t="shared" si="120"/>
        <v xml:space="preserve"> */</v>
      </c>
      <c r="AN557" s="6" t="str">
        <f t="shared" si="121"/>
        <v>/*   : BDB1S08 = 0x40000624 */</v>
      </c>
    </row>
    <row r="558" spans="1:40" s="6" customFormat="1">
      <c r="A558" s="15" t="str">
        <f t="shared" si="122"/>
        <v>BDB1S13</v>
      </c>
      <c r="B558" s="15" t="str">
        <f t="shared" si="122"/>
        <v>62C</v>
      </c>
      <c r="C558" s="15" t="str">
        <f t="shared" si="122"/>
        <v>1</v>
      </c>
      <c r="D558" s="15">
        <f t="shared" si="122"/>
        <v>8</v>
      </c>
      <c r="E558" s="15"/>
      <c r="F558" s="15" t="str">
        <f t="shared" si="123"/>
        <v>0</v>
      </c>
      <c r="G558" s="16" t="str">
        <f t="shared" si="124"/>
        <v>R</v>
      </c>
      <c r="H558" s="16" t="str">
        <f t="shared" si="124"/>
        <v/>
      </c>
      <c r="I558" s="16" t="str">
        <f t="shared" si="124"/>
        <v/>
      </c>
      <c r="J558" s="5"/>
      <c r="X558" s="89"/>
      <c r="AE558" s="96"/>
      <c r="AF558" s="38">
        <f t="shared" si="113"/>
        <v>171</v>
      </c>
      <c r="AG558" s="96" t="str">
        <f t="shared" si="114"/>
        <v/>
      </c>
      <c r="AH558" s="6" t="str">
        <f t="shared" si="115"/>
        <v>{(U4)0x00000200U,</v>
      </c>
      <c r="AI558" s="6" t="str">
        <f t="shared" si="116"/>
        <v>(U4)0x4000062cU,</v>
      </c>
      <c r="AJ558" s="6" t="str">
        <f t="shared" si="117"/>
        <v>(U4)0x4000062cU,</v>
      </c>
      <c r="AK558" s="6" t="str">
        <f t="shared" si="118"/>
        <v>(U2)8U,</v>
      </c>
      <c r="AL558" s="6" t="str">
        <f t="shared" si="119"/>
        <v>(U2)87U},</v>
      </c>
      <c r="AM558" s="6" t="str">
        <f t="shared" si="120"/>
        <v/>
      </c>
      <c r="AN558" s="6" t="str">
        <f t="shared" si="121"/>
        <v>/* 171 : BDB1S13 = 0x4000062c */</v>
      </c>
    </row>
    <row r="559" spans="1:40" s="6" customFormat="1">
      <c r="A559" s="15" t="str">
        <f t="shared" si="122"/>
        <v>BDB1S27</v>
      </c>
      <c r="B559" s="15" t="str">
        <f t="shared" si="122"/>
        <v>629</v>
      </c>
      <c r="C559" s="15" t="str">
        <f t="shared" si="122"/>
        <v>1</v>
      </c>
      <c r="D559" s="15">
        <f t="shared" si="122"/>
        <v>8</v>
      </c>
      <c r="E559" s="15"/>
      <c r="F559" s="15" t="str">
        <f t="shared" si="123"/>
        <v>0</v>
      </c>
      <c r="G559" s="16" t="str">
        <f t="shared" si="124"/>
        <v>R</v>
      </c>
      <c r="H559" s="16" t="str">
        <f t="shared" si="124"/>
        <v/>
      </c>
      <c r="I559" s="16" t="str">
        <f t="shared" si="124"/>
        <v/>
      </c>
      <c r="J559" s="5"/>
      <c r="X559" s="89"/>
      <c r="AE559" s="96"/>
      <c r="AF559" s="38">
        <f t="shared" si="113"/>
        <v>172</v>
      </c>
      <c r="AG559" s="96" t="str">
        <f t="shared" si="114"/>
        <v/>
      </c>
      <c r="AH559" s="6" t="str">
        <f t="shared" si="115"/>
        <v>{(U4)0x00000200U,</v>
      </c>
      <c r="AI559" s="6" t="str">
        <f t="shared" si="116"/>
        <v>(U4)0x40000629U,</v>
      </c>
      <c r="AJ559" s="6" t="str">
        <f t="shared" si="117"/>
        <v>(U4)0x40000633U,</v>
      </c>
      <c r="AK559" s="6" t="str">
        <f t="shared" si="118"/>
        <v>(U2)8U,</v>
      </c>
      <c r="AL559" s="6" t="str">
        <f t="shared" si="119"/>
        <v>(U2)87U},</v>
      </c>
      <c r="AM559" s="6" t="str">
        <f t="shared" si="120"/>
        <v/>
      </c>
      <c r="AN559" s="6" t="str">
        <f t="shared" si="121"/>
        <v>/* 172 : BDB1S27 = 0x40000629 */</v>
      </c>
    </row>
    <row r="560" spans="1:40" s="6" customFormat="1">
      <c r="A560" s="15" t="str">
        <f t="shared" si="122"/>
        <v>BDB1S28</v>
      </c>
      <c r="B560" s="15" t="str">
        <f t="shared" si="122"/>
        <v>62A</v>
      </c>
      <c r="C560" s="15" t="str">
        <f t="shared" si="122"/>
        <v>1</v>
      </c>
      <c r="D560" s="15">
        <f t="shared" si="122"/>
        <v>8</v>
      </c>
      <c r="E560" s="15"/>
      <c r="F560" s="15" t="str">
        <f t="shared" si="123"/>
        <v>0</v>
      </c>
      <c r="G560" s="16" t="str">
        <f t="shared" si="124"/>
        <v>R</v>
      </c>
      <c r="H560" s="16" t="str">
        <f t="shared" si="124"/>
        <v/>
      </c>
      <c r="I560" s="16" t="str">
        <f t="shared" si="124"/>
        <v/>
      </c>
      <c r="J560" s="5"/>
      <c r="X560" s="89"/>
      <c r="AE560" s="96"/>
      <c r="AF560" s="38" t="str">
        <f t="shared" si="113"/>
        <v/>
      </c>
      <c r="AG560" s="96" t="str">
        <f t="shared" si="114"/>
        <v xml:space="preserve">/* </v>
      </c>
      <c r="AH560" s="6" t="str">
        <f t="shared" si="115"/>
        <v>{(U4)0x00000200U,</v>
      </c>
      <c r="AI560" s="6" t="str">
        <f t="shared" si="116"/>
        <v>(U4)0x40000629U,</v>
      </c>
      <c r="AJ560" s="6" t="str">
        <f t="shared" si="117"/>
        <v>(U4)0x40000633U,</v>
      </c>
      <c r="AK560" s="6" t="str">
        <f t="shared" si="118"/>
        <v>(U2)8U,</v>
      </c>
      <c r="AL560" s="6" t="str">
        <f t="shared" si="119"/>
        <v>(U2)87U},</v>
      </c>
      <c r="AM560" s="6" t="str">
        <f t="shared" si="120"/>
        <v xml:space="preserve"> */</v>
      </c>
      <c r="AN560" s="6" t="str">
        <f t="shared" si="121"/>
        <v>/*   : BDB1S28 = 0x4000062a */</v>
      </c>
    </row>
    <row r="561" spans="1:42" s="6" customFormat="1">
      <c r="A561" s="15" t="str">
        <f t="shared" si="122"/>
        <v>IDT1S02</v>
      </c>
      <c r="B561" s="15" t="str">
        <f t="shared" si="122"/>
        <v>633</v>
      </c>
      <c r="C561" s="15" t="str">
        <f t="shared" si="122"/>
        <v>1</v>
      </c>
      <c r="D561" s="15">
        <f t="shared" si="122"/>
        <v>8</v>
      </c>
      <c r="E561" s="15"/>
      <c r="F561" s="15" t="str">
        <f t="shared" si="123"/>
        <v>0</v>
      </c>
      <c r="G561" s="16" t="str">
        <f t="shared" si="124"/>
        <v>R</v>
      </c>
      <c r="H561" s="16" t="str">
        <f t="shared" si="124"/>
        <v/>
      </c>
      <c r="I561" s="16" t="str">
        <f t="shared" si="124"/>
        <v/>
      </c>
      <c r="J561" s="5"/>
      <c r="X561" s="89"/>
      <c r="AE561" s="96"/>
      <c r="AF561" s="38" t="str">
        <f t="shared" si="113"/>
        <v/>
      </c>
      <c r="AG561" s="96" t="str">
        <f t="shared" si="114"/>
        <v xml:space="preserve">/* </v>
      </c>
      <c r="AH561" s="6" t="str">
        <f t="shared" si="115"/>
        <v>{(U4)0x00000200U,</v>
      </c>
      <c r="AI561" s="6" t="str">
        <f t="shared" si="116"/>
        <v>(U4)0x40000629U,</v>
      </c>
      <c r="AJ561" s="6" t="str">
        <f t="shared" si="117"/>
        <v>(U4)0x40000633U,</v>
      </c>
      <c r="AK561" s="6" t="str">
        <f t="shared" si="118"/>
        <v>(U2)8U,</v>
      </c>
      <c r="AL561" s="6" t="str">
        <f t="shared" si="119"/>
        <v>(U2)87U},</v>
      </c>
      <c r="AM561" s="6" t="str">
        <f t="shared" si="120"/>
        <v xml:space="preserve"> */</v>
      </c>
      <c r="AN561" s="6" t="str">
        <f t="shared" si="121"/>
        <v>/*   : IDT1S02 = 0x40000633 */</v>
      </c>
    </row>
    <row r="562" spans="1:42" s="6" customFormat="1">
      <c r="A562" s="15" t="str">
        <f t="shared" ref="A562:D564" si="125">A279</f>
        <v>QSEv/CAN</v>
      </c>
      <c r="B562" s="15" t="str">
        <f t="shared" si="125"/>
        <v>18000000</v>
      </c>
      <c r="C562" s="15" t="str">
        <f t="shared" si="125"/>
        <v>0</v>
      </c>
      <c r="D562" s="15">
        <f t="shared" si="125"/>
        <v>0</v>
      </c>
      <c r="E562" s="15"/>
      <c r="F562" s="15">
        <f t="shared" ref="F562:F569" si="126">F279</f>
        <v>0</v>
      </c>
      <c r="G562" s="16" t="str">
        <f t="shared" ref="G562:I564" si="127">IF(G279&lt;&gt;"",G279,"")</f>
        <v/>
      </c>
      <c r="H562" s="16" t="str">
        <f t="shared" si="127"/>
        <v/>
      </c>
      <c r="I562" s="16" t="str">
        <f t="shared" si="127"/>
        <v/>
      </c>
      <c r="J562" s="5"/>
      <c r="X562" s="89"/>
      <c r="AE562" s="96"/>
      <c r="AF562" s="38">
        <f t="shared" ref="AF562:AF569" si="128">IF(AF279&lt;&gt;"",AF279,"")</f>
        <v>173</v>
      </c>
      <c r="AG562" s="96" t="str">
        <f t="shared" ref="AG562:AG569" si="129">IF($AF279&lt;&gt;"","", "/* ")</f>
        <v/>
      </c>
      <c r="AH562" s="6" t="str">
        <f>IF($AF279&lt;&gt;"","{(U4)0x"&amp;LOWER(DEC2HEX($L279*$L$3+$M279*$M$3+$N279*$N$3+$V279*$V$3,8))&amp;"U,",#REF!)</f>
        <v>{(U4)0x00000200U,</v>
      </c>
      <c r="AI562" s="6" t="str">
        <f>IF($AF279&lt;&gt;"", "(U4)"&amp;LOWER($AJ279)&amp;"U,",#REF!)</f>
        <v>(U4)0x98000000U,</v>
      </c>
      <c r="AJ562" s="6" t="str">
        <f>IF($AF279&lt;&gt;"", "(U4)"&amp;LOWER($AK279)&amp;"U,",#REF!)</f>
        <v>(U4)0x980003ffU,</v>
      </c>
      <c r="AK562" s="6" t="str">
        <f xml:space="preserve"> IF($AF279&lt;&gt;"", "(U2)"&amp;$AL279&amp;"U,",#REF!)</f>
        <v>(U2)0U,</v>
      </c>
      <c r="AL562" s="6" t="str">
        <f xml:space="preserve"> IF($AF279&lt;&gt;"", "(U2)"&amp;$Y279*$X$3&amp;"U},",#REF!)</f>
        <v>(U2)87U},</v>
      </c>
      <c r="AM562" s="6" t="str">
        <f t="shared" ref="AM562:AM569" si="130">IF($AF279&lt;&gt;"","", " */")</f>
        <v/>
      </c>
      <c r="AN562" s="6" t="str">
        <f t="shared" ref="AN562:AN569" si="131">"/* "&amp;IF($AF279&lt;&gt;"",$AF279," ")&amp;" : "&amp;$A279&amp;" = "&amp;LOWER($AH279)&amp;" */"</f>
        <v>/* 173 : QSEv/CAN = 0x98000000 */</v>
      </c>
    </row>
    <row r="563" spans="1:42" s="6" customFormat="1">
      <c r="A563" s="15" t="str">
        <f t="shared" si="125"/>
        <v>QSEv/CAN</v>
      </c>
      <c r="B563" s="15" t="str">
        <f t="shared" si="125"/>
        <v>180003FF</v>
      </c>
      <c r="C563" s="15" t="str">
        <f t="shared" si="125"/>
        <v>0</v>
      </c>
      <c r="D563" s="15">
        <f t="shared" si="125"/>
        <v>0</v>
      </c>
      <c r="E563" s="15"/>
      <c r="F563" s="15">
        <f t="shared" si="126"/>
        <v>0</v>
      </c>
      <c r="G563" s="16" t="str">
        <f t="shared" si="127"/>
        <v>R</v>
      </c>
      <c r="H563" s="16" t="str">
        <f t="shared" si="127"/>
        <v/>
      </c>
      <c r="I563" s="16" t="str">
        <f t="shared" si="127"/>
        <v/>
      </c>
      <c r="J563" s="5"/>
      <c r="X563" s="89"/>
      <c r="AE563" s="96"/>
      <c r="AF563" s="38" t="str">
        <f t="shared" si="128"/>
        <v/>
      </c>
      <c r="AG563" s="96" t="str">
        <f t="shared" si="129"/>
        <v xml:space="preserve">/* </v>
      </c>
      <c r="AH563" s="6" t="str">
        <f>IF($AF280&lt;&gt;"","{(U4)0x"&amp;LOWER(DEC2HEX($L280*$L$3+$M280*$M$3+$N280*$N$3+$V280*$V$3,8))&amp;"U,",AH562)</f>
        <v>{(U4)0x00000200U,</v>
      </c>
      <c r="AI563" s="6" t="str">
        <f>IF($AF280&lt;&gt;"", "(U4)"&amp;LOWER($AJ280)&amp;"U,",AI562)</f>
        <v>(U4)0x98000000U,</v>
      </c>
      <c r="AJ563" s="6" t="str">
        <f>IF($AF280&lt;&gt;"", "(U4)"&amp;LOWER($AK280)&amp;"U,",AJ562)</f>
        <v>(U4)0x980003ffU,</v>
      </c>
      <c r="AK563" s="6" t="str">
        <f xml:space="preserve"> IF($AF280&lt;&gt;"", "(U2)"&amp;$AL280&amp;"U,",AK562)</f>
        <v>(U2)0U,</v>
      </c>
      <c r="AL563" s="6" t="str">
        <f xml:space="preserve"> IF($AF280&lt;&gt;"", "(U2)"&amp;$Y280*$X$3&amp;"U},",AL562)</f>
        <v>(U2)87U},</v>
      </c>
      <c r="AM563" s="6" t="str">
        <f t="shared" si="130"/>
        <v xml:space="preserve"> */</v>
      </c>
      <c r="AN563" s="6" t="str">
        <f t="shared" si="131"/>
        <v>/*   : QSEv/CAN = 0x980003ff */</v>
      </c>
    </row>
    <row r="564" spans="1:42" s="6" customFormat="1">
      <c r="A564" s="15" t="str">
        <f t="shared" si="125"/>
        <v>QSEv/CAN-FD</v>
      </c>
      <c r="B564" s="15" t="str">
        <f t="shared" si="125"/>
        <v>18000000</v>
      </c>
      <c r="C564" s="15" t="str">
        <f t="shared" si="125"/>
        <v>1</v>
      </c>
      <c r="D564" s="15">
        <f t="shared" si="125"/>
        <v>0</v>
      </c>
      <c r="E564" s="15"/>
      <c r="F564" s="15">
        <f t="shared" si="126"/>
        <v>0</v>
      </c>
      <c r="G564" s="16" t="str">
        <f t="shared" si="127"/>
        <v/>
      </c>
      <c r="H564" s="16" t="str">
        <f t="shared" si="127"/>
        <v/>
      </c>
      <c r="I564" s="16" t="str">
        <f t="shared" si="127"/>
        <v/>
      </c>
      <c r="J564" s="5"/>
      <c r="X564" s="89"/>
      <c r="AE564" s="96"/>
      <c r="AF564" s="38">
        <f t="shared" si="128"/>
        <v>174</v>
      </c>
      <c r="AG564" s="96" t="str">
        <f t="shared" si="129"/>
        <v/>
      </c>
      <c r="AH564" s="6" t="str">
        <f>IF($AF281&lt;&gt;"","{(U4)0x"&amp;LOWER(DEC2HEX($L281*$L$3+$M281*$M$3+$N281*$N$3+$V281*$V$3,8))&amp;"U,",AH563)</f>
        <v>{(U4)0x00000200U,</v>
      </c>
      <c r="AI564" s="6" t="str">
        <f>IF($AF281&lt;&gt;"", "(U4)"&amp;LOWER($AJ281)&amp;"U,",AI563)</f>
        <v>(U4)0xd8000000U,</v>
      </c>
      <c r="AJ564" s="6" t="str">
        <f>IF($AF281&lt;&gt;"", "(U4)"&amp;LOWER($AK281)&amp;"U,",AJ563)</f>
        <v>(U4)0xd80003ffU,</v>
      </c>
      <c r="AK564" s="6" t="str">
        <f xml:space="preserve"> IF($AF281&lt;&gt;"", "(U2)"&amp;$AL281&amp;"U,",AK563)</f>
        <v>(U2)0U,</v>
      </c>
      <c r="AL564" s="6" t="str">
        <f xml:space="preserve"> IF($AF281&lt;&gt;"", "(U2)"&amp;$Y281*$X$3&amp;"U},",AL563)</f>
        <v>(U2)87U},</v>
      </c>
      <c r="AM564" s="6" t="str">
        <f t="shared" si="130"/>
        <v/>
      </c>
      <c r="AN564" s="6" t="str">
        <f t="shared" si="131"/>
        <v>/* 174 : QSEv/CAN-FD = 0xd8000000 */</v>
      </c>
    </row>
    <row r="565" spans="1:42" s="6" customFormat="1">
      <c r="A565" s="15" t="str">
        <f t="shared" ref="A565:D569" si="132">A282</f>
        <v>QSEv/CAN-FD</v>
      </c>
      <c r="B565" s="15" t="str">
        <f t="shared" si="132"/>
        <v>180003FF</v>
      </c>
      <c r="C565" s="15" t="str">
        <f t="shared" si="132"/>
        <v>1</v>
      </c>
      <c r="D565" s="15">
        <f t="shared" si="132"/>
        <v>0</v>
      </c>
      <c r="E565" s="15"/>
      <c r="F565" s="15">
        <f t="shared" si="126"/>
        <v>0</v>
      </c>
      <c r="G565" s="16" t="str">
        <f t="shared" ref="G565:I567" si="133">IF(G282&lt;&gt;"",G282,"")</f>
        <v>R</v>
      </c>
      <c r="H565" s="16" t="str">
        <f t="shared" si="133"/>
        <v/>
      </c>
      <c r="I565" s="16" t="str">
        <f t="shared" si="133"/>
        <v/>
      </c>
      <c r="J565" s="5"/>
      <c r="X565" s="89"/>
      <c r="AE565" s="96"/>
      <c r="AF565" s="38" t="str">
        <f t="shared" si="128"/>
        <v/>
      </c>
      <c r="AG565" s="96" t="str">
        <f t="shared" si="129"/>
        <v xml:space="preserve">/* </v>
      </c>
      <c r="AH565" s="6" t="str">
        <f>IF($AF282&lt;&gt;"","{(U4)0x"&amp;LOWER(DEC2HEX($L282*$L$3+$M282*$M$3+$N282*$N$3+$V282*$V$3,8))&amp;"U,",AH564)</f>
        <v>{(U4)0x00000200U,</v>
      </c>
      <c r="AI565" s="6" t="str">
        <f>IF($AF282&lt;&gt;"", "(U4)"&amp;LOWER($AJ282)&amp;"U,",AI564)</f>
        <v>(U4)0xd8000000U,</v>
      </c>
      <c r="AJ565" s="6" t="str">
        <f>IF($AF282&lt;&gt;"", "(U4)"&amp;LOWER($AK282)&amp;"U,",AJ564)</f>
        <v>(U4)0xd80003ffU,</v>
      </c>
      <c r="AK565" s="6" t="str">
        <f xml:space="preserve"> IF($AF282&lt;&gt;"", "(U2)"&amp;$AL282&amp;"U,",AK564)</f>
        <v>(U2)0U,</v>
      </c>
      <c r="AL565" s="6" t="str">
        <f xml:space="preserve"> IF($AF282&lt;&gt;"", "(U2)"&amp;$Y282*$X$3&amp;"U},",AL564)</f>
        <v>(U2)87U},</v>
      </c>
      <c r="AM565" s="6" t="str">
        <f t="shared" si="130"/>
        <v xml:space="preserve"> */</v>
      </c>
      <c r="AN565" s="6" t="str">
        <f t="shared" si="131"/>
        <v>/*   : QSEv/CAN-FD = 0xd80003ff */</v>
      </c>
    </row>
    <row r="566" spans="1:42" s="6" customFormat="1">
      <c r="A566" s="15" t="str">
        <f t="shared" si="132"/>
        <v>UDS/CAN</v>
      </c>
      <c r="B566" s="15" t="str">
        <f t="shared" si="132"/>
        <v>18DA0000</v>
      </c>
      <c r="C566" s="15" t="str">
        <f t="shared" si="132"/>
        <v>0</v>
      </c>
      <c r="D566" s="15">
        <f t="shared" si="132"/>
        <v>8</v>
      </c>
      <c r="E566" s="15"/>
      <c r="F566" s="15">
        <f t="shared" si="126"/>
        <v>0</v>
      </c>
      <c r="G566" s="16" t="str">
        <f t="shared" si="133"/>
        <v/>
      </c>
      <c r="H566" s="16" t="str">
        <f t="shared" si="133"/>
        <v/>
      </c>
      <c r="I566" s="16" t="str">
        <f t="shared" si="133"/>
        <v/>
      </c>
      <c r="J566" s="5"/>
      <c r="X566" s="89"/>
      <c r="AE566" s="96"/>
      <c r="AF566" s="38">
        <f t="shared" si="128"/>
        <v>175</v>
      </c>
      <c r="AG566" s="96" t="str">
        <f t="shared" si="129"/>
        <v/>
      </c>
      <c r="AH566" s="6" t="str">
        <f>IF($AF283&lt;&gt;"","{(U4)0x"&amp;LOWER(DEC2HEX($L283*$L$3+$M283*$M$3+$N283*$N$3+$V283*$V$3,8))&amp;"U,",AH563)</f>
        <v>{(U4)0x00000400U,</v>
      </c>
      <c r="AI566" s="6" t="str">
        <f>IF($AF283&lt;&gt;"", "(U4)"&amp;LOWER($AJ283)&amp;"U,",AI563)</f>
        <v>(U4)0x98da0000U,</v>
      </c>
      <c r="AJ566" s="6" t="str">
        <f>IF($AF283&lt;&gt;"", "(U4)"&amp;LOWER($AK283)&amp;"U,",AJ563)</f>
        <v>(U4)0x98dbffffU,</v>
      </c>
      <c r="AK566" s="6" t="str">
        <f xml:space="preserve"> IF($AF283&lt;&gt;"", "(U2)"&amp;$AL283&amp;"U,",AK563)</f>
        <v>(U2)8U,</v>
      </c>
      <c r="AL566" s="6" t="str">
        <f xml:space="preserve"> IF($AF283&lt;&gt;"", "(U2)"&amp;$Y283*$X$3&amp;"U},",AL563)</f>
        <v>(U2)90U},</v>
      </c>
      <c r="AM566" s="6" t="str">
        <f t="shared" si="130"/>
        <v/>
      </c>
      <c r="AN566" s="6" t="str">
        <f t="shared" si="131"/>
        <v>/* 175 : UDS/CAN = 0x98da0000 */</v>
      </c>
    </row>
    <row r="567" spans="1:42" s="6" customFormat="1">
      <c r="A567" s="15" t="str">
        <f t="shared" si="132"/>
        <v>UDS/CAN</v>
      </c>
      <c r="B567" s="15" t="str">
        <f t="shared" si="132"/>
        <v>18DBFFFF</v>
      </c>
      <c r="C567" s="15" t="str">
        <f t="shared" si="132"/>
        <v>0</v>
      </c>
      <c r="D567" s="15">
        <f t="shared" si="132"/>
        <v>8</v>
      </c>
      <c r="E567" s="15"/>
      <c r="F567" s="15">
        <f t="shared" si="126"/>
        <v>0</v>
      </c>
      <c r="G567" s="16" t="str">
        <f t="shared" si="133"/>
        <v>R</v>
      </c>
      <c r="H567" s="16" t="str">
        <f t="shared" si="133"/>
        <v/>
      </c>
      <c r="I567" s="16" t="str">
        <f t="shared" si="133"/>
        <v/>
      </c>
      <c r="J567" s="5"/>
      <c r="X567" s="89"/>
      <c r="AE567" s="96"/>
      <c r="AF567" s="38" t="str">
        <f t="shared" si="128"/>
        <v/>
      </c>
      <c r="AG567" s="96" t="str">
        <f t="shared" si="129"/>
        <v xml:space="preserve">/* </v>
      </c>
      <c r="AH567" s="6" t="str">
        <f>IF($AF284&lt;&gt;"","{(U4)0x"&amp;LOWER(DEC2HEX($L284*$L$3+$M284*$M$3+$N284*$N$3+$V284*$V$3,8))&amp;"U,",AH566)</f>
        <v>{(U4)0x00000400U,</v>
      </c>
      <c r="AI567" s="6" t="str">
        <f>IF($AF284&lt;&gt;"", "(U4)"&amp;LOWER($AJ284)&amp;"U,",AI566)</f>
        <v>(U4)0x98da0000U,</v>
      </c>
      <c r="AJ567" s="6" t="str">
        <f>IF($AF284&lt;&gt;"", "(U4)"&amp;LOWER($AK284)&amp;"U,",AJ566)</f>
        <v>(U4)0x98dbffffU,</v>
      </c>
      <c r="AK567" s="6" t="str">
        <f xml:space="preserve"> IF($AF284&lt;&gt;"", "(U2)"&amp;$AL284&amp;"U,",AK566)</f>
        <v>(U2)8U,</v>
      </c>
      <c r="AL567" s="6" t="str">
        <f xml:space="preserve"> IF($AF284&lt;&gt;"", "(U2)"&amp;$Y284*$X$3&amp;"U},",AL566)</f>
        <v>(U2)90U},</v>
      </c>
      <c r="AM567" s="6" t="str">
        <f t="shared" si="130"/>
        <v xml:space="preserve"> */</v>
      </c>
      <c r="AN567" s="6" t="str">
        <f t="shared" si="131"/>
        <v>/*   : UDS/CAN = 0x98dbffff */</v>
      </c>
    </row>
    <row r="568" spans="1:42" s="6" customFormat="1">
      <c r="A568" s="15" t="str">
        <f t="shared" si="132"/>
        <v>UDS/CAN-FD</v>
      </c>
      <c r="B568" s="15" t="str">
        <f t="shared" si="132"/>
        <v>18DA0000</v>
      </c>
      <c r="C568" s="15" t="str">
        <f t="shared" si="132"/>
        <v>1</v>
      </c>
      <c r="D568" s="15">
        <f t="shared" si="132"/>
        <v>8</v>
      </c>
      <c r="E568" s="15"/>
      <c r="F568" s="15">
        <f t="shared" si="126"/>
        <v>0</v>
      </c>
      <c r="G568" s="16" t="str">
        <f t="shared" ref="G568:I568" si="134">IF(G285&lt;&gt;"",G285,"")</f>
        <v/>
      </c>
      <c r="H568" s="16" t="str">
        <f t="shared" si="134"/>
        <v/>
      </c>
      <c r="I568" s="16" t="str">
        <f t="shared" si="134"/>
        <v/>
      </c>
      <c r="J568" s="5"/>
      <c r="X568" s="89"/>
      <c r="AE568" s="96"/>
      <c r="AF568" s="38">
        <f t="shared" si="128"/>
        <v>176</v>
      </c>
      <c r="AG568" s="96" t="str">
        <f t="shared" si="129"/>
        <v/>
      </c>
      <c r="AH568" s="6" t="str">
        <f>IF($AF285&lt;&gt;"","{(U4)0x"&amp;LOWER(DEC2HEX($L285*$L$3+$M285*$M$3+$N285*$N$3+$V285*$V$3,8))&amp;"U,",AH567)</f>
        <v>{(U4)0x00000400U,</v>
      </c>
      <c r="AI568" s="6" t="str">
        <f>IF($AF285&lt;&gt;"", "(U4)"&amp;LOWER($AJ285)&amp;"U,",AI567)</f>
        <v>(U4)0xd8da0000U,</v>
      </c>
      <c r="AJ568" s="6" t="str">
        <f>IF($AF285&lt;&gt;"", "(U4)"&amp;LOWER($AK285)&amp;"U,",AJ567)</f>
        <v>(U4)0xd8dbffffU,</v>
      </c>
      <c r="AK568" s="6" t="str">
        <f xml:space="preserve"> IF($AF285&lt;&gt;"", "(U2)"&amp;$AL285&amp;"U,",AK567)</f>
        <v>(U2)8U,</v>
      </c>
      <c r="AL568" s="6" t="str">
        <f xml:space="preserve"> IF($AF285&lt;&gt;"", "(U2)"&amp;$Y285*$X$3&amp;"U},",AL567)</f>
        <v>(U2)90U},</v>
      </c>
      <c r="AM568" s="6" t="str">
        <f t="shared" si="130"/>
        <v/>
      </c>
      <c r="AN568" s="6" t="str">
        <f t="shared" si="131"/>
        <v>/* 176 : UDS/CAN-FD = 0xd8da0000 */</v>
      </c>
    </row>
    <row r="569" spans="1:42" s="6" customFormat="1">
      <c r="A569" s="15" t="str">
        <f t="shared" si="132"/>
        <v>UDS/CAN-FD</v>
      </c>
      <c r="B569" s="15" t="str">
        <f t="shared" si="132"/>
        <v>18DBFFFF</v>
      </c>
      <c r="C569" s="15" t="str">
        <f t="shared" si="132"/>
        <v>1</v>
      </c>
      <c r="D569" s="15">
        <f t="shared" si="132"/>
        <v>8</v>
      </c>
      <c r="E569" s="15"/>
      <c r="F569" s="15">
        <f t="shared" si="126"/>
        <v>0</v>
      </c>
      <c r="G569" s="16" t="str">
        <f t="shared" ref="G569:I569" si="135">IF(G286&lt;&gt;"",G286,"")</f>
        <v>R</v>
      </c>
      <c r="H569" s="16" t="str">
        <f t="shared" si="135"/>
        <v/>
      </c>
      <c r="I569" s="16" t="str">
        <f t="shared" si="135"/>
        <v/>
      </c>
      <c r="J569" s="5"/>
      <c r="X569" s="89"/>
      <c r="AE569" s="96"/>
      <c r="AF569" s="38" t="str">
        <f t="shared" si="128"/>
        <v/>
      </c>
      <c r="AG569" s="96" t="str">
        <f t="shared" si="129"/>
        <v xml:space="preserve">/* </v>
      </c>
      <c r="AH569" s="6" t="str">
        <f>IF($AF286&lt;&gt;"","{(U4)0x"&amp;LOWER(DEC2HEX($L286*$L$3+$M286*$M$3+$N286*$N$3+$V286*$V$3,8))&amp;"U,",AH568)</f>
        <v>{(U4)0x00000400U,</v>
      </c>
      <c r="AI569" s="6" t="str">
        <f>IF($AF286&lt;&gt;"", "(U4)"&amp;LOWER($AJ286)&amp;"U,",AI568)</f>
        <v>(U4)0xd8da0000U,</v>
      </c>
      <c r="AJ569" s="6" t="str">
        <f>IF($AF286&lt;&gt;"", "(U4)"&amp;LOWER($AK286)&amp;"U,",AJ568)</f>
        <v>(U4)0xd8dbffffU,</v>
      </c>
      <c r="AK569" s="6" t="str">
        <f xml:space="preserve"> IF($AF286&lt;&gt;"", "(U2)"&amp;$AL286&amp;"U,",AK568)</f>
        <v>(U2)8U,</v>
      </c>
      <c r="AL569" s="6" t="str">
        <f xml:space="preserve"> IF($AF286&lt;&gt;"", "(U2)"&amp;$Y286*$X$3&amp;"U},",AL568)</f>
        <v>(U2)90U},</v>
      </c>
      <c r="AM569" s="6" t="str">
        <f t="shared" si="130"/>
        <v xml:space="preserve"> */</v>
      </c>
      <c r="AN569" s="6" t="str">
        <f t="shared" si="131"/>
        <v>/*   : UDS/CAN-FD = 0xd8dbffff */</v>
      </c>
    </row>
    <row r="570" spans="1:42" s="6" customFormat="1">
      <c r="A570" s="15" t="s">
        <v>776</v>
      </c>
      <c r="B570" s="15" t="s">
        <v>776</v>
      </c>
      <c r="C570" s="15" t="s">
        <v>776</v>
      </c>
      <c r="D570" s="15" t="s">
        <v>776</v>
      </c>
      <c r="E570" s="15" t="s">
        <v>776</v>
      </c>
      <c r="F570" s="15" t="s">
        <v>776</v>
      </c>
      <c r="G570" s="15" t="s">
        <v>776</v>
      </c>
      <c r="H570" s="15" t="s">
        <v>776</v>
      </c>
      <c r="I570" s="15" t="s">
        <v>776</v>
      </c>
      <c r="J570" s="15" t="s">
        <v>776</v>
      </c>
      <c r="K570" s="177" t="s">
        <v>776</v>
      </c>
      <c r="L570" s="177" t="s">
        <v>776</v>
      </c>
      <c r="M570" s="177" t="s">
        <v>776</v>
      </c>
      <c r="N570" s="177" t="s">
        <v>776</v>
      </c>
      <c r="O570" s="177" t="s">
        <v>776</v>
      </c>
      <c r="P570" s="177" t="s">
        <v>776</v>
      </c>
      <c r="Q570" s="177" t="s">
        <v>776</v>
      </c>
      <c r="R570" s="177" t="s">
        <v>776</v>
      </c>
      <c r="S570" s="177" t="s">
        <v>776</v>
      </c>
      <c r="T570" s="177" t="s">
        <v>776</v>
      </c>
      <c r="U570" s="177" t="s">
        <v>776</v>
      </c>
      <c r="V570" s="177" t="s">
        <v>776</v>
      </c>
      <c r="W570" s="177" t="s">
        <v>776</v>
      </c>
      <c r="X570" s="178" t="s">
        <v>776</v>
      </c>
      <c r="Y570" s="177" t="s">
        <v>776</v>
      </c>
      <c r="Z570" s="177" t="s">
        <v>776</v>
      </c>
      <c r="AA570" s="177" t="s">
        <v>776</v>
      </c>
      <c r="AB570" s="177" t="s">
        <v>776</v>
      </c>
      <c r="AC570" s="177" t="s">
        <v>776</v>
      </c>
      <c r="AD570" s="177" t="s">
        <v>776</v>
      </c>
      <c r="AE570" s="179" t="s">
        <v>776</v>
      </c>
      <c r="AF570" s="177" t="s">
        <v>776</v>
      </c>
      <c r="AG570" s="179" t="s">
        <v>776</v>
      </c>
      <c r="AH570" s="177" t="s">
        <v>776</v>
      </c>
      <c r="AI570" s="177" t="s">
        <v>776</v>
      </c>
      <c r="AJ570" s="177" t="s">
        <v>776</v>
      </c>
      <c r="AK570" s="177" t="s">
        <v>776</v>
      </c>
      <c r="AL570" s="177"/>
      <c r="AM570" s="177" t="s">
        <v>776</v>
      </c>
      <c r="AN570" s="177" t="s">
        <v>776</v>
      </c>
      <c r="AO570" s="15" t="s">
        <v>776</v>
      </c>
      <c r="AP570" s="15"/>
    </row>
    <row r="571" spans="1:42" s="6" customFormat="1">
      <c r="A571" s="15"/>
      <c r="B571" s="15"/>
      <c r="C571" s="15"/>
      <c r="D571" s="15"/>
      <c r="E571" s="15"/>
      <c r="F571" s="15"/>
      <c r="G571" s="15"/>
      <c r="H571" s="16"/>
      <c r="I571" s="16"/>
      <c r="J571" s="5"/>
    </row>
    <row r="572" spans="1:42" s="6" customFormat="1">
      <c r="A572" s="15"/>
      <c r="B572" s="15"/>
      <c r="C572" s="15"/>
      <c r="D572" s="15"/>
      <c r="E572" s="15"/>
      <c r="F572" s="15"/>
      <c r="G572" s="15"/>
      <c r="H572" s="16"/>
      <c r="I572" s="16"/>
      <c r="J572" s="5"/>
    </row>
    <row r="573" spans="1:42" s="6" customFormat="1">
      <c r="A573" s="15"/>
      <c r="B573" s="15"/>
      <c r="C573" s="15"/>
      <c r="D573" s="15"/>
      <c r="E573" s="15"/>
      <c r="F573" s="15"/>
      <c r="G573" s="15"/>
      <c r="H573" s="16"/>
      <c r="I573" s="16"/>
      <c r="J573" s="5"/>
    </row>
    <row r="574" spans="1:42" s="6" customFormat="1">
      <c r="A574" s="15"/>
      <c r="B574" s="15"/>
      <c r="C574" s="15"/>
      <c r="D574" s="15"/>
      <c r="E574" s="15"/>
      <c r="F574" s="15"/>
      <c r="G574" s="15"/>
      <c r="H574" s="16"/>
      <c r="I574" s="16"/>
      <c r="J574" s="5"/>
    </row>
    <row r="575" spans="1:42">
      <c r="A575" s="15"/>
      <c r="B575" s="15"/>
      <c r="C575" s="15"/>
      <c r="D575" s="15"/>
      <c r="E575" s="15"/>
      <c r="F575" s="15"/>
      <c r="G575" s="15"/>
      <c r="H575" s="16"/>
      <c r="I575" s="16"/>
    </row>
    <row r="576" spans="1:42">
      <c r="A576" s="15"/>
      <c r="B576" s="15"/>
      <c r="C576" s="15"/>
      <c r="D576" s="15"/>
      <c r="E576" s="15"/>
      <c r="F576" s="15"/>
      <c r="G576" s="15"/>
      <c r="H576" s="16"/>
      <c r="I576" s="16"/>
    </row>
    <row r="577" spans="1:9">
      <c r="A577" s="15"/>
      <c r="B577" s="15"/>
      <c r="C577" s="15"/>
      <c r="D577" s="15"/>
      <c r="E577" s="15"/>
      <c r="F577" s="15"/>
      <c r="G577" s="15"/>
      <c r="H577" s="16"/>
      <c r="I577" s="16"/>
    </row>
    <row r="578" spans="1:9">
      <c r="A578" s="15"/>
      <c r="B578" s="15"/>
      <c r="C578" s="15"/>
      <c r="D578" s="15"/>
      <c r="E578" s="15"/>
      <c r="F578" s="15"/>
      <c r="G578" s="15"/>
      <c r="H578" s="16"/>
      <c r="I578" s="16"/>
    </row>
    <row r="579" spans="1:9">
      <c r="A579" s="15"/>
      <c r="B579" s="15"/>
      <c r="C579" s="15"/>
      <c r="D579" s="15"/>
      <c r="E579" s="15"/>
      <c r="F579" s="15"/>
      <c r="G579" s="15"/>
      <c r="H579" s="16"/>
      <c r="I579" s="16"/>
    </row>
    <row r="580" spans="1:9">
      <c r="A580" s="15"/>
      <c r="B580" s="15"/>
      <c r="C580" s="15"/>
      <c r="D580" s="15"/>
      <c r="E580" s="15"/>
      <c r="F580" s="15"/>
      <c r="G580" s="15"/>
      <c r="H580" s="16"/>
      <c r="I580" s="16"/>
    </row>
    <row r="581" spans="1:9">
      <c r="A581" s="15"/>
      <c r="B581" s="15"/>
      <c r="C581" s="15"/>
      <c r="D581" s="15"/>
      <c r="E581" s="15"/>
      <c r="F581" s="15"/>
      <c r="G581" s="15"/>
      <c r="H581" s="16"/>
      <c r="I581" s="16"/>
    </row>
    <row r="582" spans="1:9">
      <c r="A582" s="15"/>
      <c r="B582" s="15"/>
      <c r="C582" s="15"/>
      <c r="D582" s="15"/>
      <c r="E582" s="15"/>
      <c r="F582" s="15"/>
      <c r="G582" s="15"/>
      <c r="H582" s="16"/>
      <c r="I582" s="16"/>
    </row>
    <row r="583" spans="1:9">
      <c r="A583" s="15"/>
      <c r="B583" s="15"/>
      <c r="C583" s="15"/>
      <c r="D583" s="15"/>
      <c r="E583" s="15"/>
      <c r="F583" s="15"/>
      <c r="G583" s="15"/>
      <c r="H583" s="16"/>
      <c r="I583" s="16"/>
    </row>
    <row r="584" spans="1:9">
      <c r="A584" s="15"/>
      <c r="B584" s="15"/>
      <c r="C584" s="15"/>
      <c r="D584" s="15"/>
      <c r="E584" s="15"/>
      <c r="F584" s="15"/>
      <c r="G584" s="15"/>
      <c r="H584" s="16"/>
      <c r="I584" s="16"/>
    </row>
    <row r="585" spans="1:9">
      <c r="A585" s="15"/>
      <c r="B585" s="15"/>
      <c r="C585" s="15"/>
      <c r="D585" s="15"/>
      <c r="E585" s="15"/>
      <c r="F585" s="15"/>
      <c r="G585" s="15"/>
      <c r="H585" s="16"/>
      <c r="I585" s="16"/>
    </row>
    <row r="586" spans="1:9">
      <c r="A586" s="15"/>
      <c r="B586" s="15"/>
      <c r="C586" s="15"/>
      <c r="D586" s="15"/>
      <c r="E586" s="15"/>
      <c r="F586" s="15"/>
      <c r="G586" s="15"/>
      <c r="H586" s="16"/>
      <c r="I586" s="16"/>
    </row>
    <row r="587" spans="1:9">
      <c r="A587" s="15"/>
      <c r="B587" s="15"/>
      <c r="C587" s="15"/>
      <c r="D587" s="15"/>
      <c r="E587" s="15"/>
      <c r="F587" s="15"/>
      <c r="G587" s="15"/>
      <c r="H587" s="16" t="str">
        <f t="shared" ref="H587:I602" si="136">IF(H305&lt;&gt;"",H305,"")</f>
        <v/>
      </c>
      <c r="I587" s="16" t="str">
        <f t="shared" si="136"/>
        <v/>
      </c>
    </row>
    <row r="588" spans="1:9">
      <c r="A588" s="15"/>
      <c r="B588" s="15"/>
      <c r="C588" s="15"/>
      <c r="D588" s="15"/>
      <c r="E588" s="15"/>
      <c r="F588" s="15"/>
      <c r="G588" s="15"/>
      <c r="H588" s="16" t="str">
        <f t="shared" si="136"/>
        <v/>
      </c>
      <c r="I588" s="16" t="str">
        <f t="shared" si="136"/>
        <v/>
      </c>
    </row>
    <row r="589" spans="1:9">
      <c r="A589" s="15"/>
      <c r="B589" s="15"/>
      <c r="C589" s="15"/>
      <c r="D589" s="15"/>
      <c r="E589" s="15"/>
      <c r="F589" s="15"/>
      <c r="G589" s="15"/>
      <c r="H589" s="16" t="str">
        <f t="shared" si="136"/>
        <v/>
      </c>
      <c r="I589" s="16" t="str">
        <f t="shared" si="136"/>
        <v/>
      </c>
    </row>
    <row r="590" spans="1:9">
      <c r="A590" s="15"/>
      <c r="B590" s="15"/>
      <c r="C590" s="15"/>
      <c r="D590" s="15"/>
      <c r="E590" s="15"/>
      <c r="F590" s="15"/>
      <c r="G590" s="15"/>
      <c r="H590" s="16" t="str">
        <f t="shared" si="136"/>
        <v/>
      </c>
      <c r="I590" s="16" t="str">
        <f t="shared" si="136"/>
        <v/>
      </c>
    </row>
    <row r="591" spans="1:9">
      <c r="A591" s="15"/>
      <c r="B591" s="15"/>
      <c r="C591" s="15"/>
      <c r="D591" s="15"/>
      <c r="E591" s="15"/>
      <c r="F591" s="15"/>
      <c r="G591" s="15"/>
      <c r="H591" s="16" t="str">
        <f t="shared" si="136"/>
        <v/>
      </c>
      <c r="I591" s="16" t="str">
        <f t="shared" si="136"/>
        <v/>
      </c>
    </row>
    <row r="592" spans="1:9">
      <c r="A592" s="15"/>
      <c r="B592" s="15"/>
      <c r="C592" s="15"/>
      <c r="D592" s="15"/>
      <c r="E592" s="15"/>
      <c r="F592" s="15"/>
      <c r="G592" s="15"/>
      <c r="H592" s="16" t="str">
        <f t="shared" si="136"/>
        <v/>
      </c>
      <c r="I592" s="16" t="str">
        <f t="shared" si="136"/>
        <v/>
      </c>
    </row>
    <row r="593" spans="1:9">
      <c r="A593" s="15"/>
      <c r="B593" s="15"/>
      <c r="C593" s="15"/>
      <c r="D593" s="15"/>
      <c r="E593" s="15"/>
      <c r="F593" s="15"/>
      <c r="G593" s="15"/>
      <c r="H593" s="16" t="str">
        <f t="shared" si="136"/>
        <v/>
      </c>
      <c r="I593" s="16" t="str">
        <f t="shared" si="136"/>
        <v/>
      </c>
    </row>
    <row r="594" spans="1:9">
      <c r="A594" s="15"/>
      <c r="B594" s="15"/>
      <c r="C594" s="15"/>
      <c r="D594" s="15"/>
      <c r="E594" s="15"/>
      <c r="F594" s="15"/>
      <c r="G594" s="15"/>
      <c r="H594" s="16" t="str">
        <f t="shared" si="136"/>
        <v/>
      </c>
      <c r="I594" s="16" t="str">
        <f t="shared" si="136"/>
        <v/>
      </c>
    </row>
    <row r="595" spans="1:9">
      <c r="A595" s="15"/>
      <c r="B595" s="15"/>
      <c r="C595" s="15"/>
      <c r="D595" s="15"/>
      <c r="E595" s="15"/>
      <c r="F595" s="15"/>
      <c r="G595" s="15"/>
      <c r="H595" s="16" t="str">
        <f t="shared" si="136"/>
        <v/>
      </c>
      <c r="I595" s="16" t="str">
        <f t="shared" si="136"/>
        <v/>
      </c>
    </row>
    <row r="596" spans="1:9">
      <c r="A596" s="15"/>
      <c r="B596" s="15"/>
      <c r="C596" s="15"/>
      <c r="D596" s="15"/>
      <c r="E596" s="15"/>
      <c r="F596" s="15"/>
      <c r="G596" s="15"/>
      <c r="H596" s="16" t="str">
        <f t="shared" si="136"/>
        <v/>
      </c>
      <c r="I596" s="16" t="str">
        <f t="shared" si="136"/>
        <v/>
      </c>
    </row>
    <row r="597" spans="1:9">
      <c r="A597" s="15"/>
      <c r="B597" s="15"/>
      <c r="C597" s="15"/>
      <c r="D597" s="15"/>
      <c r="E597" s="15"/>
      <c r="F597" s="15"/>
      <c r="G597" s="15"/>
      <c r="H597" s="16" t="str">
        <f t="shared" si="136"/>
        <v/>
      </c>
      <c r="I597" s="16" t="str">
        <f t="shared" si="136"/>
        <v/>
      </c>
    </row>
    <row r="598" spans="1:9">
      <c r="A598" s="15"/>
      <c r="B598" s="15"/>
      <c r="C598" s="15"/>
      <c r="D598" s="15"/>
      <c r="E598" s="15"/>
      <c r="F598" s="15"/>
      <c r="G598" s="15"/>
      <c r="H598" s="16" t="str">
        <f t="shared" si="136"/>
        <v/>
      </c>
      <c r="I598" s="16" t="str">
        <f t="shared" si="136"/>
        <v/>
      </c>
    </row>
    <row r="599" spans="1:9">
      <c r="A599" s="15"/>
      <c r="B599" s="15"/>
      <c r="C599" s="15"/>
      <c r="D599" s="15"/>
      <c r="E599" s="15"/>
      <c r="F599" s="15"/>
      <c r="G599" s="15"/>
      <c r="H599" s="16" t="str">
        <f t="shared" si="136"/>
        <v/>
      </c>
      <c r="I599" s="16" t="str">
        <f t="shared" si="136"/>
        <v/>
      </c>
    </row>
    <row r="600" spans="1:9">
      <c r="A600" s="15"/>
      <c r="B600" s="15"/>
      <c r="C600" s="15"/>
      <c r="D600" s="15"/>
      <c r="E600" s="15"/>
      <c r="F600" s="15"/>
      <c r="G600" s="15"/>
      <c r="H600" s="16" t="str">
        <f t="shared" si="136"/>
        <v/>
      </c>
      <c r="I600" s="16" t="str">
        <f t="shared" si="136"/>
        <v/>
      </c>
    </row>
    <row r="601" spans="1:9">
      <c r="A601" s="15"/>
      <c r="B601" s="15"/>
      <c r="C601" s="15"/>
      <c r="D601" s="15"/>
      <c r="E601" s="15"/>
      <c r="F601" s="15"/>
      <c r="G601" s="15"/>
      <c r="H601" s="16" t="str">
        <f t="shared" si="136"/>
        <v/>
      </c>
      <c r="I601" s="16" t="str">
        <f t="shared" si="136"/>
        <v/>
      </c>
    </row>
    <row r="602" spans="1:9">
      <c r="A602" s="15"/>
      <c r="B602" s="15"/>
      <c r="C602" s="15"/>
      <c r="D602" s="15"/>
      <c r="E602" s="15"/>
      <c r="F602" s="15"/>
      <c r="G602" s="15"/>
      <c r="H602" s="16" t="str">
        <f t="shared" si="136"/>
        <v/>
      </c>
      <c r="I602" s="16" t="str">
        <f t="shared" si="136"/>
        <v/>
      </c>
    </row>
    <row r="603" spans="1:9">
      <c r="A603" s="15"/>
      <c r="B603" s="15"/>
      <c r="C603" s="15"/>
      <c r="D603" s="15"/>
      <c r="E603" s="15"/>
      <c r="F603" s="15"/>
      <c r="G603" s="15"/>
      <c r="H603" s="16" t="str">
        <f t="shared" ref="H603:I617" si="137">IF(H321&lt;&gt;"",H321,"")</f>
        <v/>
      </c>
      <c r="I603" s="16" t="str">
        <f t="shared" si="137"/>
        <v/>
      </c>
    </row>
    <row r="604" spans="1:9">
      <c r="A604" s="15"/>
      <c r="B604" s="15"/>
      <c r="C604" s="15"/>
      <c r="D604" s="15"/>
      <c r="E604" s="15"/>
      <c r="F604" s="15"/>
      <c r="G604" s="15"/>
      <c r="H604" s="16" t="str">
        <f t="shared" si="137"/>
        <v/>
      </c>
      <c r="I604" s="16" t="str">
        <f t="shared" si="137"/>
        <v/>
      </c>
    </row>
    <row r="605" spans="1:9">
      <c r="A605" s="15"/>
      <c r="B605" s="15"/>
      <c r="C605" s="15"/>
      <c r="D605" s="15"/>
      <c r="E605" s="15"/>
      <c r="F605" s="15"/>
      <c r="G605" s="15"/>
      <c r="H605" s="16" t="str">
        <f t="shared" si="137"/>
        <v/>
      </c>
      <c r="I605" s="16" t="str">
        <f t="shared" si="137"/>
        <v/>
      </c>
    </row>
    <row r="606" spans="1:9">
      <c r="A606" s="15"/>
      <c r="B606" s="15"/>
      <c r="C606" s="15"/>
      <c r="D606" s="15"/>
      <c r="E606" s="15"/>
      <c r="F606" s="15"/>
      <c r="G606" s="15"/>
      <c r="H606" s="16" t="str">
        <f t="shared" si="137"/>
        <v/>
      </c>
      <c r="I606" s="16" t="str">
        <f t="shared" si="137"/>
        <v/>
      </c>
    </row>
    <row r="607" spans="1:9">
      <c r="A607" s="15"/>
      <c r="B607" s="15"/>
      <c r="C607" s="15"/>
      <c r="D607" s="15"/>
      <c r="E607" s="15"/>
      <c r="F607" s="15"/>
      <c r="G607" s="15"/>
      <c r="H607" s="16" t="str">
        <f t="shared" si="137"/>
        <v/>
      </c>
      <c r="I607" s="16" t="str">
        <f t="shared" si="137"/>
        <v/>
      </c>
    </row>
    <row r="608" spans="1:9">
      <c r="A608" s="15"/>
      <c r="B608" s="15"/>
      <c r="C608" s="15"/>
      <c r="D608" s="15"/>
      <c r="E608" s="15"/>
      <c r="F608" s="15"/>
      <c r="G608" s="15"/>
      <c r="H608" s="16" t="str">
        <f t="shared" si="137"/>
        <v/>
      </c>
      <c r="I608" s="16" t="str">
        <f t="shared" si="137"/>
        <v/>
      </c>
    </row>
    <row r="609" spans="1:9">
      <c r="A609" s="15"/>
      <c r="B609" s="15"/>
      <c r="C609" s="15"/>
      <c r="D609" s="15"/>
      <c r="E609" s="15"/>
      <c r="F609" s="15"/>
      <c r="G609" s="15"/>
      <c r="H609" s="16" t="str">
        <f t="shared" si="137"/>
        <v/>
      </c>
      <c r="I609" s="16" t="str">
        <f t="shared" si="137"/>
        <v/>
      </c>
    </row>
    <row r="610" spans="1:9">
      <c r="A610" s="15"/>
      <c r="B610" s="15"/>
      <c r="C610" s="15"/>
      <c r="D610" s="15"/>
      <c r="E610" s="15"/>
      <c r="F610" s="15"/>
      <c r="G610" s="15"/>
      <c r="H610" s="16" t="str">
        <f t="shared" si="137"/>
        <v/>
      </c>
      <c r="I610" s="16" t="str">
        <f t="shared" si="137"/>
        <v/>
      </c>
    </row>
    <row r="611" spans="1:9">
      <c r="A611" s="15"/>
      <c r="B611" s="15"/>
      <c r="C611" s="15"/>
      <c r="D611" s="15"/>
      <c r="E611" s="15"/>
      <c r="F611" s="15"/>
      <c r="G611" s="15"/>
      <c r="H611" s="16" t="str">
        <f t="shared" si="137"/>
        <v/>
      </c>
      <c r="I611" s="16" t="str">
        <f t="shared" si="137"/>
        <v/>
      </c>
    </row>
    <row r="612" spans="1:9">
      <c r="A612" s="15"/>
      <c r="B612" s="15"/>
      <c r="C612" s="15"/>
      <c r="D612" s="15"/>
      <c r="E612" s="15"/>
      <c r="F612" s="15"/>
      <c r="G612" s="15"/>
      <c r="H612" s="16" t="str">
        <f t="shared" si="137"/>
        <v/>
      </c>
      <c r="I612" s="16" t="str">
        <f t="shared" si="137"/>
        <v/>
      </c>
    </row>
    <row r="613" spans="1:9">
      <c r="A613" s="15"/>
      <c r="B613" s="15"/>
      <c r="C613" s="15"/>
      <c r="D613" s="15"/>
      <c r="E613" s="15"/>
      <c r="F613" s="15"/>
      <c r="G613" s="15"/>
      <c r="H613" s="16" t="str">
        <f t="shared" si="137"/>
        <v/>
      </c>
      <c r="I613" s="16" t="str">
        <f t="shared" si="137"/>
        <v/>
      </c>
    </row>
    <row r="614" spans="1:9">
      <c r="A614" s="15"/>
      <c r="B614" s="15"/>
      <c r="C614" s="15"/>
      <c r="D614" s="15"/>
      <c r="E614" s="15"/>
      <c r="F614" s="15"/>
      <c r="G614" s="15"/>
      <c r="H614" s="16" t="str">
        <f t="shared" si="137"/>
        <v/>
      </c>
      <c r="I614" s="16" t="str">
        <f t="shared" si="137"/>
        <v/>
      </c>
    </row>
    <row r="615" spans="1:9">
      <c r="A615" s="15"/>
      <c r="B615" s="15"/>
      <c r="C615" s="15"/>
      <c r="D615" s="15"/>
      <c r="E615" s="15"/>
      <c r="F615" s="15"/>
      <c r="G615" s="15"/>
      <c r="H615" s="16" t="str">
        <f t="shared" si="137"/>
        <v/>
      </c>
      <c r="I615" s="16" t="str">
        <f t="shared" si="137"/>
        <v/>
      </c>
    </row>
    <row r="616" spans="1:9">
      <c r="A616" s="15"/>
      <c r="B616" s="15"/>
      <c r="C616" s="15"/>
      <c r="D616" s="15"/>
      <c r="E616" s="15"/>
      <c r="F616" s="15"/>
      <c r="G616" s="15"/>
      <c r="H616" s="16" t="str">
        <f t="shared" si="137"/>
        <v/>
      </c>
      <c r="I616" s="16" t="str">
        <f t="shared" si="137"/>
        <v/>
      </c>
    </row>
    <row r="617" spans="1:9">
      <c r="A617" s="15"/>
      <c r="B617" s="15"/>
      <c r="C617" s="15"/>
      <c r="D617" s="15"/>
      <c r="E617" s="15"/>
      <c r="F617" s="15"/>
      <c r="G617" s="15"/>
      <c r="H617" s="16" t="str">
        <f t="shared" si="137"/>
        <v/>
      </c>
      <c r="I617" s="16" t="str">
        <f t="shared" si="137"/>
        <v/>
      </c>
    </row>
  </sheetData>
  <autoFilter ref="A5:AO570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B9B7-DEFE-4AB1-9691-270005FCFA6B}">
  <sheetPr codeName="Sheet3"/>
  <dimension ref="A1:N282"/>
  <sheetViews>
    <sheetView zoomScaleNormal="100" workbookViewId="0">
      <pane ySplit="1" topLeftCell="A2" activePane="bottomLeft" state="frozen"/>
      <selection pane="bottomLeft" activeCell="J141" sqref="J2:M141"/>
    </sheetView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5.125" style="13" bestFit="1" customWidth="1"/>
    <col min="6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4" width="53.625" style="13" bestFit="1" customWidth="1"/>
    <col min="15" max="16384" width="9" style="13"/>
  </cols>
  <sheetData>
    <row r="1" spans="1:14" ht="197.25" customHeight="1">
      <c r="A1" s="46" t="s">
        <v>831</v>
      </c>
      <c r="B1" s="107" t="s">
        <v>769</v>
      </c>
      <c r="D1" s="109" t="s">
        <v>0</v>
      </c>
      <c r="E1" s="109" t="s">
        <v>0</v>
      </c>
      <c r="F1" s="109" t="s">
        <v>0</v>
      </c>
      <c r="G1" s="109" t="s">
        <v>1</v>
      </c>
      <c r="K1" s="111" t="s">
        <v>832</v>
      </c>
      <c r="L1" s="111" t="s">
        <v>832</v>
      </c>
      <c r="M1" s="111" t="s">
        <v>832</v>
      </c>
    </row>
    <row r="2" spans="1:14">
      <c r="A2" s="13" t="str">
        <f>"0x00000"&amp;'CANRx_G2M-1_v2'!B6</f>
        <v>0x00000013</v>
      </c>
      <c r="B2" s="13">
        <f>IF('CANRx_G2M-1_v2'!AF6&lt;&gt;"",'CANRx_G2M-1_v2'!AF6,B1)</f>
        <v>0</v>
      </c>
      <c r="D2" s="13" t="s">
        <v>8029</v>
      </c>
      <c r="E2" s="13">
        <v>10</v>
      </c>
      <c r="F2" s="13" t="s">
        <v>602</v>
      </c>
      <c r="G2" s="13" t="s">
        <v>88</v>
      </c>
      <c r="H2" s="13">
        <f>IF(G2&lt;&gt;"NOUSE",HEX2DEC(RIGHT(F2,3))+HEX2DEC(RIGHT(G2,3)),"")</f>
        <v>1212</v>
      </c>
      <c r="I2" s="13" t="str">
        <f>IF(H2&lt;&gt;"","0x"&amp;DEC2HEX(H2,8),F2)</f>
        <v>0x000004BC</v>
      </c>
      <c r="K2" s="13" t="str">
        <f t="shared" ref="K2:K33" si="0">"{(U2)"&amp;VLOOKUP(F2,$A$2:$B$282,2,FALSE)&amp;"U,"</f>
        <v>{(U2)141U,</v>
      </c>
      <c r="L2" s="13" t="str">
        <f t="shared" ref="L2:L33" si="1">"(U2)"&amp;(VLOOKUP(I2,$A$2:$B$282,2,FALSE)-VLOOKUP(F2,$A$2:$B$282,2,FALSE)+1)&amp;"U},"</f>
        <v>(U2)3U},</v>
      </c>
      <c r="M2" s="13" t="str">
        <f>"/* MBOX = "&amp;E2&amp;" / "&amp;LOWER(F2)&amp;" : Rx Mask = "&amp;G2&amp;" */"</f>
        <v>/* MBOX = 10 / 0x0000042c : Rx Mask = 0x00000090 */</v>
      </c>
      <c r="N2" s="184"/>
    </row>
    <row r="3" spans="1:14">
      <c r="A3" s="13" t="str">
        <f>"0x00000"&amp;'CANRx_G2M-1_v2'!B7</f>
        <v>0x0000001B</v>
      </c>
      <c r="B3" s="13">
        <f>IF('CANRx_G2M-1_v2'!AF7&lt;&gt;"",'CANRx_G2M-1_v2'!AF7,B2)</f>
        <v>0</v>
      </c>
      <c r="D3" s="13" t="s">
        <v>8030</v>
      </c>
      <c r="E3" s="13">
        <v>11</v>
      </c>
      <c r="F3" s="13" t="s">
        <v>487</v>
      </c>
      <c r="G3" s="13" t="s">
        <v>494</v>
      </c>
      <c r="H3" s="13">
        <f t="shared" ref="H3:H66" si="2">IF(G3&lt;&gt;"NOUSE",HEX2DEC(RIGHT(F3,3))+HEX2DEC(RIGHT(G3,3)),"")</f>
        <v>947</v>
      </c>
      <c r="I3" s="13" t="str">
        <f t="shared" ref="I3:I66" si="3">IF(H3&lt;&gt;"","0x"&amp;DEC2HEX(H3,8),F3)</f>
        <v>0x000003B3</v>
      </c>
      <c r="K3" s="13" t="str">
        <f t="shared" si="0"/>
        <v>{(U2)109U,</v>
      </c>
      <c r="L3" s="13" t="str">
        <f t="shared" si="1"/>
        <v>(U2)3U},</v>
      </c>
      <c r="M3" s="13" t="str">
        <f t="shared" ref="M3:M66" si="4">"/* MBOX = "&amp;E3&amp;" / "&amp;LOWER(F3)&amp;" : Rx Mask = "&amp;G3&amp;" */"</f>
        <v>/* MBOX = 11 / 0x000003b0 : Rx Mask = 0x00000003 */</v>
      </c>
      <c r="N3" s="184"/>
    </row>
    <row r="4" spans="1:14">
      <c r="A4" s="13" t="str">
        <f>"0x00000"&amp;'CANRx_G2M-1_v2'!B8</f>
        <v>0x00000062</v>
      </c>
      <c r="B4" s="13">
        <f>IF('CANRx_G2M-1_v2'!AF8&lt;&gt;"",'CANRx_G2M-1_v2'!AF8,B3)</f>
        <v>0</v>
      </c>
      <c r="D4" s="13" t="s">
        <v>8031</v>
      </c>
      <c r="E4" s="13">
        <v>12</v>
      </c>
      <c r="F4" s="13" t="s">
        <v>626</v>
      </c>
      <c r="G4" s="13" t="s">
        <v>635</v>
      </c>
      <c r="H4" s="13">
        <f t="shared" si="2"/>
        <v>1209</v>
      </c>
      <c r="I4" s="13" t="str">
        <f t="shared" si="3"/>
        <v>0x000004B9</v>
      </c>
      <c r="K4" s="13" t="str">
        <f t="shared" si="0"/>
        <v>{(U2)149U,</v>
      </c>
      <c r="L4" s="13" t="str">
        <f t="shared" si="1"/>
        <v>(U2)2U},</v>
      </c>
      <c r="M4" s="13" t="str">
        <f t="shared" si="4"/>
        <v>/* MBOX = 12 / 0x00000438 : Rx Mask = 0x00000081 */</v>
      </c>
      <c r="N4" s="184"/>
    </row>
    <row r="5" spans="1:14">
      <c r="A5" s="13" t="str">
        <f>"0x00000"&amp;'CANRx_G2M-1_v2'!B9</f>
        <v>0x0000006A</v>
      </c>
      <c r="B5" s="13">
        <f>IF('CANRx_G2M-1_v2'!AF9&lt;&gt;"",'CANRx_G2M-1_v2'!AF9,B4)</f>
        <v>1</v>
      </c>
      <c r="D5" s="13" t="s">
        <v>8032</v>
      </c>
      <c r="E5" s="13">
        <v>13</v>
      </c>
      <c r="F5" s="13" t="s">
        <v>459</v>
      </c>
      <c r="G5" s="13" t="s">
        <v>464</v>
      </c>
      <c r="H5" s="13">
        <f t="shared" si="2"/>
        <v>997</v>
      </c>
      <c r="I5" s="13" t="str">
        <f t="shared" si="3"/>
        <v>0x000003E5</v>
      </c>
      <c r="K5" s="13" t="str">
        <f t="shared" si="0"/>
        <v>{(U2)99U,</v>
      </c>
      <c r="L5" s="13" t="str">
        <f t="shared" si="1"/>
        <v>(U2)4U},</v>
      </c>
      <c r="M5" s="13" t="str">
        <f t="shared" si="4"/>
        <v>/* MBOX = 13 / 0x000003a1 : Rx Mask = 0x00000044 */</v>
      </c>
      <c r="N5" s="184"/>
    </row>
    <row r="6" spans="1:14">
      <c r="A6" s="13" t="str">
        <f>"0x00000"&amp;'CANRx_G2M-1_v2'!B10</f>
        <v>0x00000069</v>
      </c>
      <c r="B6" s="13">
        <f>IF('CANRx_G2M-1_v2'!AF10&lt;&gt;"",'CANRx_G2M-1_v2'!AF10,B5)</f>
        <v>2</v>
      </c>
      <c r="D6" s="13" t="s">
        <v>8033</v>
      </c>
      <c r="E6" s="13">
        <v>14</v>
      </c>
      <c r="F6" s="13" t="s">
        <v>415</v>
      </c>
      <c r="G6" s="13" t="s">
        <v>312</v>
      </c>
      <c r="H6" s="13">
        <f t="shared" si="2"/>
        <v>897</v>
      </c>
      <c r="I6" s="13" t="str">
        <f t="shared" si="3"/>
        <v>0x00000381</v>
      </c>
      <c r="K6" s="13" t="str">
        <f t="shared" si="0"/>
        <v>{(U2)84U,</v>
      </c>
      <c r="L6" s="13" t="str">
        <f t="shared" si="1"/>
        <v>(U2)2U},</v>
      </c>
      <c r="M6" s="13" t="str">
        <f t="shared" si="4"/>
        <v>/* MBOX = 14 / 0x00000380 : Rx Mask = 0x00000001 */</v>
      </c>
      <c r="N6" s="184"/>
    </row>
    <row r="7" spans="1:14">
      <c r="A7" s="13" t="str">
        <f>"0x00000"&amp;'CANRx_G2M-1_v2'!B11</f>
        <v>0x00000086</v>
      </c>
      <c r="B7" s="13">
        <f>IF('CANRx_G2M-1_v2'!AF11&lt;&gt;"",'CANRx_G2M-1_v2'!AF11,B6)</f>
        <v>3</v>
      </c>
      <c r="D7" s="13" t="s">
        <v>8034</v>
      </c>
      <c r="E7" s="13">
        <v>15</v>
      </c>
      <c r="F7" s="13" t="s">
        <v>224</v>
      </c>
      <c r="G7" s="13" t="s">
        <v>36</v>
      </c>
      <c r="H7" s="13">
        <f t="shared" si="2"/>
        <v>898</v>
      </c>
      <c r="I7" s="13" t="str">
        <f t="shared" si="3"/>
        <v>0x00000382</v>
      </c>
      <c r="K7" s="13" t="str">
        <f t="shared" si="0"/>
        <v>{(U2)41U,</v>
      </c>
      <c r="L7" s="13" t="str">
        <f t="shared" si="1"/>
        <v>(U2)2U},</v>
      </c>
      <c r="M7" s="13" t="str">
        <f t="shared" si="4"/>
        <v>/* MBOX = 15 / 0x00000282 : Rx Mask = 0x00000100 */</v>
      </c>
      <c r="N7" s="184"/>
    </row>
    <row r="8" spans="1:14">
      <c r="A8" s="13" t="str">
        <f>"0x00000"&amp;'CANRx_G2M-1_v2'!B12</f>
        <v>0x00000186</v>
      </c>
      <c r="B8" s="13">
        <f>IF('CANRx_G2M-1_v2'!AF12&lt;&gt;"",'CANRx_G2M-1_v2'!AF12,B7)</f>
        <v>4</v>
      </c>
      <c r="D8" s="13" t="s">
        <v>8035</v>
      </c>
      <c r="E8" s="13">
        <v>16</v>
      </c>
      <c r="F8" s="13" t="s">
        <v>535</v>
      </c>
      <c r="G8" s="13" t="s">
        <v>527</v>
      </c>
      <c r="H8" s="13">
        <f t="shared" si="2"/>
        <v>1031</v>
      </c>
      <c r="I8" s="13" t="str">
        <f t="shared" si="3"/>
        <v>0x00000407</v>
      </c>
      <c r="K8" s="13" t="str">
        <f t="shared" si="0"/>
        <v>{(U2)133U,</v>
      </c>
      <c r="L8" s="13" t="str">
        <f t="shared" si="1"/>
        <v>(U2)1U},</v>
      </c>
      <c r="M8" s="13" t="str">
        <f t="shared" si="4"/>
        <v>/* MBOX = 16 / 0x00000401 : Rx Mask = 0x00000006 */</v>
      </c>
      <c r="N8" s="184"/>
    </row>
    <row r="9" spans="1:14">
      <c r="A9" s="13" t="str">
        <f>"0x00000"&amp;'CANRx_G2M-1_v2'!B13</f>
        <v>0x0000009C</v>
      </c>
      <c r="B9" s="13">
        <f>IF('CANRx_G2M-1_v2'!AF13&lt;&gt;"",'CANRx_G2M-1_v2'!AF13,B8)</f>
        <v>5</v>
      </c>
      <c r="D9" s="13" t="s">
        <v>8036</v>
      </c>
      <c r="E9" s="13">
        <v>17</v>
      </c>
      <c r="F9" s="13" t="s">
        <v>62</v>
      </c>
      <c r="G9" s="13" t="s">
        <v>390</v>
      </c>
      <c r="H9" s="13">
        <f t="shared" si="2"/>
        <v>1036</v>
      </c>
      <c r="I9" s="13" t="str">
        <f t="shared" si="3"/>
        <v>0x0000040C</v>
      </c>
      <c r="K9" s="13" t="str">
        <f t="shared" si="0"/>
        <v>{(U2)131U,</v>
      </c>
      <c r="L9" s="13" t="str">
        <f t="shared" si="1"/>
        <v>(U2)2U},</v>
      </c>
      <c r="M9" s="13" t="str">
        <f t="shared" si="4"/>
        <v>/* MBOX = 17 / 0x00000400 : Rx Mask = 0x0000000C */</v>
      </c>
      <c r="N9" s="184"/>
    </row>
    <row r="10" spans="1:14">
      <c r="A10" s="13" t="str">
        <f>"0x00000"&amp;'CANRx_G2M-1_v2'!B14</f>
        <v>0x0000009E</v>
      </c>
      <c r="B10" s="13">
        <f>IF('CANRx_G2M-1_v2'!AF14&lt;&gt;"",'CANRx_G2M-1_v2'!AF14,B9)</f>
        <v>5</v>
      </c>
      <c r="D10" s="13" t="s">
        <v>8037</v>
      </c>
      <c r="E10" s="13">
        <v>18</v>
      </c>
      <c r="F10" s="13" t="s">
        <v>377</v>
      </c>
      <c r="G10" s="13" t="s">
        <v>312</v>
      </c>
      <c r="H10" s="13">
        <f t="shared" si="2"/>
        <v>853</v>
      </c>
      <c r="I10" s="13" t="str">
        <f t="shared" si="3"/>
        <v>0x00000355</v>
      </c>
      <c r="K10" s="13" t="str">
        <f t="shared" si="0"/>
        <v>{(U2)75U,</v>
      </c>
      <c r="L10" s="13" t="str">
        <f t="shared" si="1"/>
        <v>(U2)1U},</v>
      </c>
      <c r="M10" s="13" t="str">
        <f t="shared" si="4"/>
        <v>/* MBOX = 18 / 0x00000354 : Rx Mask = 0x00000001 */</v>
      </c>
      <c r="N10" s="184"/>
    </row>
    <row r="11" spans="1:14">
      <c r="A11" s="13" t="str">
        <f>"0x00000"&amp;'CANRx_G2M-1_v2'!B15</f>
        <v>0x000000A4</v>
      </c>
      <c r="B11" s="13">
        <f>IF('CANRx_G2M-1_v2'!AF15&lt;&gt;"",'CANRx_G2M-1_v2'!AF15,B10)</f>
        <v>5</v>
      </c>
      <c r="D11" s="13" t="s">
        <v>8038</v>
      </c>
      <c r="E11" s="13">
        <v>19</v>
      </c>
      <c r="F11" s="13" t="s">
        <v>213</v>
      </c>
      <c r="G11" s="13" t="s">
        <v>102</v>
      </c>
      <c r="H11" s="13">
        <f t="shared" si="2"/>
        <v>597</v>
      </c>
      <c r="I11" s="13" t="str">
        <f t="shared" si="3"/>
        <v>0x00000255</v>
      </c>
      <c r="K11" s="13" t="str">
        <f t="shared" si="0"/>
        <v>{(U2)36U,</v>
      </c>
      <c r="L11" s="13" t="str">
        <f t="shared" si="1"/>
        <v>(U2)2U},</v>
      </c>
      <c r="M11" s="13" t="str">
        <f t="shared" si="4"/>
        <v>/* MBOX = 19 / 0x00000251 : Rx Mask = 0x00000004 */</v>
      </c>
      <c r="N11" s="184"/>
    </row>
    <row r="12" spans="1:14">
      <c r="A12" s="13" t="str">
        <f>"0x00000"&amp;'CANRx_G2M-1_v2'!B16</f>
        <v>0x000000B7</v>
      </c>
      <c r="B12" s="13">
        <f>IF('CANRx_G2M-1_v2'!AF16&lt;&gt;"",'CANRx_G2M-1_v2'!AF16,B11)</f>
        <v>5</v>
      </c>
      <c r="D12" s="13" t="s">
        <v>8039</v>
      </c>
      <c r="E12" s="13">
        <v>20</v>
      </c>
      <c r="F12" s="13" t="s">
        <v>663</v>
      </c>
      <c r="G12" s="13" t="s">
        <v>312</v>
      </c>
      <c r="H12" s="13">
        <f t="shared" si="2"/>
        <v>1287</v>
      </c>
      <c r="I12" s="13" t="str">
        <f t="shared" si="3"/>
        <v>0x00000507</v>
      </c>
      <c r="K12" s="13" t="str">
        <f t="shared" si="0"/>
        <v>{(U2)157U,</v>
      </c>
      <c r="L12" s="13" t="str">
        <f t="shared" si="1"/>
        <v>(U2)2U},</v>
      </c>
      <c r="M12" s="13" t="str">
        <f t="shared" si="4"/>
        <v>/* MBOX = 20 / 0x00000506 : Rx Mask = 0x00000001 */</v>
      </c>
      <c r="N12" s="184"/>
    </row>
    <row r="13" spans="1:14">
      <c r="A13" s="13" t="str">
        <f>"0x00000"&amp;'CANRx_G2M-1_v2'!B17</f>
        <v>0x000000B8</v>
      </c>
      <c r="B13" s="13">
        <f>IF('CANRx_G2M-1_v2'!AF17&lt;&gt;"",'CANRx_G2M-1_v2'!AF17,B12)</f>
        <v>6</v>
      </c>
      <c r="D13" s="13" t="s">
        <v>8040</v>
      </c>
      <c r="E13" s="13">
        <v>21</v>
      </c>
      <c r="F13" s="13" t="s">
        <v>113</v>
      </c>
      <c r="G13" s="13" t="s">
        <v>94</v>
      </c>
      <c r="H13" s="13">
        <f t="shared" si="2"/>
        <v>382</v>
      </c>
      <c r="I13" s="13" t="str">
        <f t="shared" si="3"/>
        <v>0x0000017E</v>
      </c>
      <c r="K13" s="13" t="str">
        <f t="shared" si="0"/>
        <v>{(U2)16U,</v>
      </c>
      <c r="L13" s="13" t="str">
        <f t="shared" si="1"/>
        <v>(U2)1U},</v>
      </c>
      <c r="M13" s="13" t="str">
        <f t="shared" si="4"/>
        <v>/* MBOX = 21 / 0x0000016e : Rx Mask = 0x00000010 */</v>
      </c>
      <c r="N13" s="184"/>
    </row>
    <row r="14" spans="1:14">
      <c r="A14" s="13" t="str">
        <f>"0x00000"&amp;'CANRx_G2M-1_v2'!B18</f>
        <v>0x000000FC</v>
      </c>
      <c r="B14" s="13">
        <f>IF('CANRx_G2M-1_v2'!AF18&lt;&gt;"",'CANRx_G2M-1_v2'!AF18,B13)</f>
        <v>7</v>
      </c>
      <c r="D14" s="13" t="s">
        <v>8041</v>
      </c>
      <c r="E14" s="13">
        <v>22</v>
      </c>
      <c r="F14" s="13" t="s">
        <v>199</v>
      </c>
      <c r="G14" s="13" t="s">
        <v>46</v>
      </c>
      <c r="H14" s="13" t="str">
        <f t="shared" si="2"/>
        <v/>
      </c>
      <c r="I14" s="13" t="str">
        <f t="shared" si="3"/>
        <v>0x00000207</v>
      </c>
      <c r="K14" s="13" t="str">
        <f t="shared" si="0"/>
        <v>{(U2)35U,</v>
      </c>
      <c r="L14" s="13" t="str">
        <f t="shared" si="1"/>
        <v>(U2)1U},</v>
      </c>
      <c r="M14" s="13" t="str">
        <f t="shared" si="4"/>
        <v>/* MBOX = 22 / 0x00000207 : Rx Mask = NOUSE */</v>
      </c>
      <c r="N14" s="184"/>
    </row>
    <row r="15" spans="1:14">
      <c r="A15" s="13" t="str">
        <f>"0x00000"&amp;'CANRx_G2M-1_v2'!B19</f>
        <v>0x00000100</v>
      </c>
      <c r="B15" s="13">
        <f>IF('CANRx_G2M-1_v2'!AF19&lt;&gt;"",'CANRx_G2M-1_v2'!AF19,B14)</f>
        <v>7</v>
      </c>
      <c r="D15" s="13" t="s">
        <v>8042</v>
      </c>
      <c r="E15" s="13">
        <v>23</v>
      </c>
      <c r="F15" s="13" t="s">
        <v>202</v>
      </c>
      <c r="G15" s="13" t="s">
        <v>46</v>
      </c>
      <c r="H15" s="13" t="str">
        <f t="shared" si="2"/>
        <v/>
      </c>
      <c r="I15" s="13" t="str">
        <f t="shared" si="3"/>
        <v>0x0000020B</v>
      </c>
      <c r="K15" s="13" t="str">
        <f t="shared" si="0"/>
        <v>{(U2)35U,</v>
      </c>
      <c r="L15" s="13" t="str">
        <f t="shared" si="1"/>
        <v>(U2)1U},</v>
      </c>
      <c r="M15" s="13" t="str">
        <f t="shared" si="4"/>
        <v>/* MBOX = 23 / 0x0000020b : Rx Mask = NOUSE */</v>
      </c>
      <c r="N15" s="184"/>
    </row>
    <row r="16" spans="1:14">
      <c r="A16" s="13" t="str">
        <f>"0x00000"&amp;'CANRx_G2M-1_v2'!B20</f>
        <v>0x00000500</v>
      </c>
      <c r="B16" s="13">
        <f>IF('CANRx_G2M-1_v2'!AF20&lt;&gt;"",'CANRx_G2M-1_v2'!AF20,B15)</f>
        <v>8</v>
      </c>
      <c r="D16" s="13" t="s">
        <v>8043</v>
      </c>
      <c r="E16" s="13">
        <v>24</v>
      </c>
      <c r="F16" s="13" t="s">
        <v>355</v>
      </c>
      <c r="G16" s="13" t="s">
        <v>366</v>
      </c>
      <c r="H16" s="13">
        <f t="shared" si="2"/>
        <v>845</v>
      </c>
      <c r="I16" s="13" t="str">
        <f t="shared" si="3"/>
        <v>0x0000034D</v>
      </c>
      <c r="K16" s="13" t="str">
        <f t="shared" si="0"/>
        <v>{(U2)71U,</v>
      </c>
      <c r="L16" s="13" t="str">
        <f t="shared" si="1"/>
        <v>(U2)1U},</v>
      </c>
      <c r="M16" s="13" t="str">
        <f t="shared" si="4"/>
        <v>/* MBOX = 24 / 0x00000348 : Rx Mask = 0x00000005 */</v>
      </c>
      <c r="N16" s="184"/>
    </row>
    <row r="17" spans="1:14">
      <c r="A17" s="13" t="str">
        <f>"0x00000"&amp;'CANRx_G2M-1_v2'!B21</f>
        <v>0x00000122</v>
      </c>
      <c r="B17" s="13">
        <f>IF('CANRx_G2M-1_v2'!AF21&lt;&gt;"",'CANRx_G2M-1_v2'!AF21,B16)</f>
        <v>9</v>
      </c>
      <c r="D17" s="13" t="s">
        <v>8044</v>
      </c>
      <c r="E17" s="13">
        <v>25</v>
      </c>
      <c r="F17" s="13" t="s">
        <v>849</v>
      </c>
      <c r="G17" s="13" t="s">
        <v>148</v>
      </c>
      <c r="H17" s="13">
        <f t="shared" si="2"/>
        <v>465</v>
      </c>
      <c r="I17" s="13" t="str">
        <f t="shared" si="3"/>
        <v>0x000001D1</v>
      </c>
      <c r="K17" s="13" t="str">
        <f t="shared" si="0"/>
        <v>{(U2)20U,</v>
      </c>
      <c r="L17" s="13" t="str">
        <f t="shared" si="1"/>
        <v>(U2)2U},</v>
      </c>
      <c r="M17" s="13" t="str">
        <f t="shared" si="4"/>
        <v>/* MBOX = 25 / 0x000001c0 : Rx Mask = 0x00000011 */</v>
      </c>
      <c r="N17" s="184"/>
    </row>
    <row r="18" spans="1:14">
      <c r="A18" s="13" t="str">
        <f>"0x00000"&amp;'CANRx_G2M-1_v2'!B22</f>
        <v>0x00000124</v>
      </c>
      <c r="B18" s="13">
        <f>IF('CANRx_G2M-1_v2'!AF22&lt;&gt;"",'CANRx_G2M-1_v2'!AF22,B17)</f>
        <v>10</v>
      </c>
      <c r="D18" s="13" t="s">
        <v>8045</v>
      </c>
      <c r="E18" s="13">
        <v>26</v>
      </c>
      <c r="F18" s="13" t="s">
        <v>207</v>
      </c>
      <c r="G18" s="13" t="s">
        <v>46</v>
      </c>
      <c r="H18" s="13" t="str">
        <f t="shared" si="2"/>
        <v/>
      </c>
      <c r="I18" s="13" t="str">
        <f t="shared" si="3"/>
        <v>0x0000020E</v>
      </c>
      <c r="K18" s="13" t="str">
        <f t="shared" si="0"/>
        <v>{(U2)35U,</v>
      </c>
      <c r="L18" s="13" t="str">
        <f t="shared" si="1"/>
        <v>(U2)1U},</v>
      </c>
      <c r="M18" s="13" t="str">
        <f t="shared" si="4"/>
        <v>/* MBOX = 26 / 0x0000020e : Rx Mask = NOUSE */</v>
      </c>
      <c r="N18" s="184"/>
    </row>
    <row r="19" spans="1:14">
      <c r="A19" s="13" t="str">
        <f>"0x00000"&amp;'CANRx_G2M-1_v2'!B23</f>
        <v>0x000001A4</v>
      </c>
      <c r="B19" s="13">
        <f>IF('CANRx_G2M-1_v2'!AF23&lt;&gt;"",'CANRx_G2M-1_v2'!AF23,B18)</f>
        <v>11</v>
      </c>
      <c r="D19" s="13" t="s">
        <v>8046</v>
      </c>
      <c r="E19" s="13">
        <v>27</v>
      </c>
      <c r="F19" s="13" t="s">
        <v>168</v>
      </c>
      <c r="G19" s="13" t="s">
        <v>102</v>
      </c>
      <c r="H19" s="13">
        <f t="shared" si="2"/>
        <v>477</v>
      </c>
      <c r="I19" s="13" t="str">
        <f t="shared" si="3"/>
        <v>0x000001DD</v>
      </c>
      <c r="K19" s="13" t="str">
        <f t="shared" si="0"/>
        <v>{(U2)28U,</v>
      </c>
      <c r="L19" s="13" t="str">
        <f t="shared" si="1"/>
        <v>(U2)1U},</v>
      </c>
      <c r="M19" s="13" t="str">
        <f t="shared" si="4"/>
        <v>/* MBOX = 27 / 0x000001d9 : Rx Mask = 0x00000004 */</v>
      </c>
      <c r="N19" s="184"/>
    </row>
    <row r="20" spans="1:14">
      <c r="A20" s="13" t="str">
        <f>"0x00000"&amp;'CANRx_G2M-1_v2'!B24</f>
        <v>0x00000128</v>
      </c>
      <c r="B20" s="13">
        <f>IF('CANRx_G2M-1_v2'!AF24&lt;&gt;"",'CANRx_G2M-1_v2'!AF24,B19)</f>
        <v>12</v>
      </c>
      <c r="D20" s="13" t="s">
        <v>8047</v>
      </c>
      <c r="E20" s="13">
        <v>28</v>
      </c>
      <c r="F20" s="13" t="s">
        <v>194</v>
      </c>
      <c r="G20" s="13" t="s">
        <v>94</v>
      </c>
      <c r="H20" s="13">
        <f t="shared" si="2"/>
        <v>532</v>
      </c>
      <c r="I20" s="13" t="str">
        <f t="shared" si="3"/>
        <v>0x00000214</v>
      </c>
      <c r="K20" s="13" t="str">
        <f t="shared" si="0"/>
        <v>{(U2)34U,</v>
      </c>
      <c r="L20" s="13" t="str">
        <f t="shared" si="1"/>
        <v>(U2)1U},</v>
      </c>
      <c r="M20" s="13" t="str">
        <f t="shared" si="4"/>
        <v>/* MBOX = 28 / 0x00000204 : Rx Mask = 0x00000010 */</v>
      </c>
      <c r="N20" s="184"/>
    </row>
    <row r="21" spans="1:14">
      <c r="A21" s="13" t="str">
        <f>"0x00000"&amp;'CANRx_G2M-1_v2'!B25</f>
        <v>0x00000140</v>
      </c>
      <c r="B21" s="13">
        <f>IF('CANRx_G2M-1_v2'!AF25&lt;&gt;"",'CANRx_G2M-1_v2'!AF25,B20)</f>
        <v>12</v>
      </c>
      <c r="D21" s="13" t="s">
        <v>8048</v>
      </c>
      <c r="E21" s="13">
        <v>29</v>
      </c>
      <c r="F21" s="13" t="s">
        <v>68</v>
      </c>
      <c r="G21" s="13" t="s">
        <v>71</v>
      </c>
      <c r="H21" s="13">
        <f t="shared" si="2"/>
        <v>420</v>
      </c>
      <c r="I21" s="13" t="str">
        <f t="shared" si="3"/>
        <v>0x000001A4</v>
      </c>
      <c r="K21" s="13" t="str">
        <f t="shared" si="0"/>
        <v>{(U2)10U,</v>
      </c>
      <c r="L21" s="13" t="str">
        <f t="shared" si="1"/>
        <v>(U2)2U},</v>
      </c>
      <c r="M21" s="13" t="str">
        <f t="shared" si="4"/>
        <v>/* MBOX = 29 / 0x00000124 : Rx Mask = 0x00000080 */</v>
      </c>
      <c r="N21" s="184"/>
    </row>
    <row r="22" spans="1:14">
      <c r="A22" s="13" t="str">
        <f>"0x00000"&amp;'CANRx_G2M-1_v2'!B26</f>
        <v>0x00000148</v>
      </c>
      <c r="B22" s="13">
        <f>IF('CANRx_G2M-1_v2'!AF26&lt;&gt;"",'CANRx_G2M-1_v2'!AF26,B21)</f>
        <v>13</v>
      </c>
      <c r="D22" s="13" t="s">
        <v>8049</v>
      </c>
      <c r="E22" s="13">
        <v>30</v>
      </c>
      <c r="F22" s="13" t="s">
        <v>404</v>
      </c>
      <c r="G22" s="13" t="s">
        <v>409</v>
      </c>
      <c r="H22" s="13">
        <f t="shared" si="2"/>
        <v>1019</v>
      </c>
      <c r="I22" s="13" t="str">
        <f t="shared" si="3"/>
        <v>0x000003FB</v>
      </c>
      <c r="K22" s="13" t="str">
        <f t="shared" si="0"/>
        <v>{(U2)81U,</v>
      </c>
      <c r="L22" s="13" t="str">
        <f t="shared" si="1"/>
        <v>(U2)3U},</v>
      </c>
      <c r="M22" s="13" t="str">
        <f t="shared" si="4"/>
        <v>/* MBOX = 30 / 0x00000379 : Rx Mask = 0x00000082 */</v>
      </c>
      <c r="N22" s="184"/>
    </row>
    <row r="23" spans="1:14">
      <c r="A23" s="13" t="str">
        <f>"0x00000"&amp;'CANRx_G2M-1_v2'!B27</f>
        <v>0x00000150</v>
      </c>
      <c r="B23" s="13">
        <f>IF('CANRx_G2M-1_v2'!AF27&lt;&gt;"",'CANRx_G2M-1_v2'!AF27,B22)</f>
        <v>13</v>
      </c>
      <c r="D23" s="13" t="s">
        <v>8050</v>
      </c>
      <c r="E23" s="13">
        <v>31</v>
      </c>
      <c r="F23" s="13" t="s">
        <v>650</v>
      </c>
      <c r="G23" s="13" t="s">
        <v>273</v>
      </c>
      <c r="H23" s="13">
        <f t="shared" si="2"/>
        <v>1189</v>
      </c>
      <c r="I23" s="13" t="str">
        <f t="shared" si="3"/>
        <v>0x000004A5</v>
      </c>
      <c r="K23" s="13" t="str">
        <f t="shared" si="0"/>
        <v>{(U2)152U,</v>
      </c>
      <c r="L23" s="13" t="str">
        <f t="shared" si="1"/>
        <v>(U2)2U},</v>
      </c>
      <c r="M23" s="13" t="str">
        <f t="shared" si="4"/>
        <v>/* MBOX = 31 / 0x00000485 : Rx Mask = 0x00000020 */</v>
      </c>
      <c r="N23" s="184"/>
    </row>
    <row r="24" spans="1:14">
      <c r="A24" s="13" t="str">
        <f>"0x00000"&amp;'CANRx_G2M-1_v2'!B28</f>
        <v>0x00000158</v>
      </c>
      <c r="B24" s="13">
        <f>IF('CANRx_G2M-1_v2'!AF28&lt;&gt;"",'CANRx_G2M-1_v2'!AF28,B23)</f>
        <v>13</v>
      </c>
      <c r="D24" s="13" t="s">
        <v>8051</v>
      </c>
      <c r="E24" s="13">
        <v>32</v>
      </c>
      <c r="F24" s="13" t="s">
        <v>420</v>
      </c>
      <c r="G24" s="13" t="s">
        <v>148</v>
      </c>
      <c r="H24" s="13">
        <f t="shared" si="2"/>
        <v>923</v>
      </c>
      <c r="I24" s="13" t="str">
        <f t="shared" si="3"/>
        <v>0x0000039B</v>
      </c>
      <c r="K24" s="13" t="str">
        <f t="shared" si="0"/>
        <v>{(U2)86U,</v>
      </c>
      <c r="L24" s="13" t="str">
        <f t="shared" si="1"/>
        <v>(U2)3U},</v>
      </c>
      <c r="M24" s="13" t="str">
        <f t="shared" si="4"/>
        <v>/* MBOX = 32 / 0x0000038a : Rx Mask = 0x00000011 */</v>
      </c>
      <c r="N24" s="184"/>
    </row>
    <row r="25" spans="1:14">
      <c r="A25" s="13" t="str">
        <f>"0x00000"&amp;'CANRx_G2M-1_v2'!B29</f>
        <v>0x0000014B</v>
      </c>
      <c r="B25" s="13">
        <f>IF('CANRx_G2M-1_v2'!AF29&lt;&gt;"",'CANRx_G2M-1_v2'!AF29,B24)</f>
        <v>14</v>
      </c>
      <c r="D25" s="13" t="s">
        <v>8052</v>
      </c>
      <c r="E25" s="13">
        <v>33</v>
      </c>
      <c r="F25" s="13" t="s">
        <v>429</v>
      </c>
      <c r="G25" s="13" t="s">
        <v>434</v>
      </c>
      <c r="H25" s="13">
        <f t="shared" si="2"/>
        <v>989</v>
      </c>
      <c r="I25" s="13" t="str">
        <f t="shared" si="3"/>
        <v>0x000003DD</v>
      </c>
      <c r="K25" s="13" t="str">
        <f t="shared" si="0"/>
        <v>{(U2)89U,</v>
      </c>
      <c r="L25" s="13" t="str">
        <f t="shared" si="1"/>
        <v>(U2)4U},</v>
      </c>
      <c r="M25" s="13" t="str">
        <f t="shared" si="4"/>
        <v>/* MBOX = 33 / 0x0000038d : Rx Mask = 0x00000050 */</v>
      </c>
      <c r="N25" s="184"/>
    </row>
    <row r="26" spans="1:14">
      <c r="A26" s="13" t="str">
        <f>"0x00000"&amp;'CANRx_G2M-1_v2'!B30</f>
        <v>0x0000014F</v>
      </c>
      <c r="B26" s="13">
        <f>IF('CANRx_G2M-1_v2'!AF30&lt;&gt;"",'CANRx_G2M-1_v2'!AF30,B25)</f>
        <v>14</v>
      </c>
      <c r="D26" s="13" t="s">
        <v>8053</v>
      </c>
      <c r="E26" s="13">
        <v>34</v>
      </c>
      <c r="F26" s="13" t="s">
        <v>186</v>
      </c>
      <c r="G26" s="13" t="s">
        <v>46</v>
      </c>
      <c r="H26" s="13" t="str">
        <f t="shared" si="2"/>
        <v/>
      </c>
      <c r="I26" s="13" t="str">
        <f t="shared" si="3"/>
        <v>0x000001F4</v>
      </c>
      <c r="K26" s="13" t="str">
        <f t="shared" si="0"/>
        <v>{(U2)32U,</v>
      </c>
      <c r="L26" s="13" t="str">
        <f t="shared" si="1"/>
        <v>(U2)1U},</v>
      </c>
      <c r="M26" s="13" t="str">
        <f t="shared" si="4"/>
        <v>/* MBOX = 34 / 0x000001f4 : Rx Mask = NOUSE */</v>
      </c>
      <c r="N26" s="184"/>
    </row>
    <row r="27" spans="1:14">
      <c r="A27" s="13" t="str">
        <f>"0x00000"&amp;'CANRx_G2M-1_v2'!B31</f>
        <v>0x0000014D</v>
      </c>
      <c r="B27" s="13">
        <f>IF('CANRx_G2M-1_v2'!AF31&lt;&gt;"",'CANRx_G2M-1_v2'!AF31,B26)</f>
        <v>15</v>
      </c>
      <c r="D27" s="13" t="s">
        <v>8054</v>
      </c>
      <c r="E27" s="13">
        <v>35</v>
      </c>
      <c r="F27" s="13" t="s">
        <v>141</v>
      </c>
      <c r="G27" s="13" t="s">
        <v>148</v>
      </c>
      <c r="H27" s="13">
        <f t="shared" si="2"/>
        <v>479</v>
      </c>
      <c r="I27" s="13" t="str">
        <f t="shared" si="3"/>
        <v>0x000001DF</v>
      </c>
      <c r="K27" s="13" t="str">
        <f t="shared" si="0"/>
        <v>{(U2)22U,</v>
      </c>
      <c r="L27" s="13" t="str">
        <f t="shared" si="1"/>
        <v>(U2)2U},</v>
      </c>
      <c r="M27" s="13" t="str">
        <f t="shared" si="4"/>
        <v>/* MBOX = 35 / 0x000001ce : Rx Mask = 0x00000011 */</v>
      </c>
      <c r="N27" s="184"/>
    </row>
    <row r="28" spans="1:14">
      <c r="A28" s="13" t="str">
        <f>"0x00000"&amp;'CANRx_G2M-1_v2'!B32</f>
        <v>0x0000015A</v>
      </c>
      <c r="B28" s="13">
        <f>IF('CANRx_G2M-1_v2'!AF32&lt;&gt;"",'CANRx_G2M-1_v2'!AF32,B27)</f>
        <v>15</v>
      </c>
      <c r="D28" s="13" t="s">
        <v>8055</v>
      </c>
      <c r="E28" s="13">
        <v>36</v>
      </c>
      <c r="F28" s="13" t="s">
        <v>566</v>
      </c>
      <c r="G28" s="13" t="s">
        <v>189</v>
      </c>
      <c r="H28" s="13">
        <f t="shared" si="2"/>
        <v>1571</v>
      </c>
      <c r="I28" s="13" t="str">
        <f t="shared" si="3"/>
        <v>0x00000623</v>
      </c>
      <c r="K28" s="13" t="str">
        <f t="shared" si="0"/>
        <v>{(U2)135U,</v>
      </c>
      <c r="L28" s="13" t="str">
        <f t="shared" si="1"/>
        <v>(U2)3U},</v>
      </c>
      <c r="M28" s="13" t="str">
        <f t="shared" si="4"/>
        <v>/* MBOX = 36 / 0x00000421 : Rx Mask = 0x00000202 */</v>
      </c>
      <c r="N28" s="184"/>
    </row>
    <row r="29" spans="1:14">
      <c r="A29" s="13" t="str">
        <f>"0x00000"&amp;'CANRx_G2M-1_v2'!B33</f>
        <v>0x0000016E</v>
      </c>
      <c r="B29" s="13">
        <f>IF('CANRx_G2M-1_v2'!AF33&lt;&gt;"",'CANRx_G2M-1_v2'!AF33,B28)</f>
        <v>16</v>
      </c>
      <c r="D29" s="13" t="s">
        <v>8056</v>
      </c>
      <c r="E29" s="13">
        <v>37</v>
      </c>
      <c r="F29" s="13" t="s">
        <v>575</v>
      </c>
      <c r="G29" s="13" t="s">
        <v>194</v>
      </c>
      <c r="H29" s="13">
        <f t="shared" si="2"/>
        <v>1574</v>
      </c>
      <c r="I29" s="13" t="str">
        <f t="shared" si="3"/>
        <v>0x00000626</v>
      </c>
      <c r="K29" s="13" t="str">
        <f t="shared" si="0"/>
        <v>{(U2)138U,</v>
      </c>
      <c r="L29" s="13" t="str">
        <f t="shared" si="1"/>
        <v>(U2)1U},</v>
      </c>
      <c r="M29" s="13" t="str">
        <f t="shared" si="4"/>
        <v>/* MBOX = 37 / 0x00000422 : Rx Mask = 0x00000204 */</v>
      </c>
      <c r="N29" s="184"/>
    </row>
    <row r="30" spans="1:14">
      <c r="A30" s="13" t="str">
        <f>"0x00000"&amp;'CANRx_G2M-1_v2'!B34</f>
        <v>0x0000017E</v>
      </c>
      <c r="B30" s="13">
        <f>IF('CANRx_G2M-1_v2'!AF34&lt;&gt;"",'CANRx_G2M-1_v2'!AF34,B29)</f>
        <v>16</v>
      </c>
      <c r="D30" s="13" t="s">
        <v>8057</v>
      </c>
      <c r="E30" s="13">
        <v>38</v>
      </c>
      <c r="F30" s="13" t="s">
        <v>715</v>
      </c>
      <c r="G30" s="13" t="s">
        <v>6</v>
      </c>
      <c r="H30" s="13">
        <f t="shared" si="2"/>
        <v>1580</v>
      </c>
      <c r="I30" s="13" t="str">
        <f t="shared" si="3"/>
        <v>0x0000062C</v>
      </c>
      <c r="K30" s="13" t="str">
        <f t="shared" si="0"/>
        <v>{(U2)170U,</v>
      </c>
      <c r="L30" s="13" t="str">
        <f t="shared" si="1"/>
        <v>(U2)2U},</v>
      </c>
      <c r="M30" s="13" t="str">
        <f t="shared" si="4"/>
        <v>/* MBOX = 38 / 0x00000624 : Rx Mask = 0x00000008 */</v>
      </c>
      <c r="N30" s="184"/>
    </row>
    <row r="31" spans="1:14">
      <c r="A31" s="13" t="str">
        <f>"0x00000"&amp;'CANRx_G2M-1_v2'!B35</f>
        <v>0x0000018D</v>
      </c>
      <c r="B31" s="13">
        <f>IF('CANRx_G2M-1_v2'!AF35&lt;&gt;"",'CANRx_G2M-1_v2'!AF35,B30)</f>
        <v>16</v>
      </c>
      <c r="D31" s="13" t="s">
        <v>8058</v>
      </c>
      <c r="E31" s="13">
        <v>39</v>
      </c>
      <c r="F31" s="13" t="s">
        <v>530</v>
      </c>
      <c r="G31" s="13" t="s">
        <v>46</v>
      </c>
      <c r="H31" s="13" t="str">
        <f t="shared" si="2"/>
        <v/>
      </c>
      <c r="I31" s="13" t="str">
        <f t="shared" si="3"/>
        <v>0x000003FC</v>
      </c>
      <c r="K31" s="13" t="str">
        <f t="shared" si="0"/>
        <v>{(U2)130U,</v>
      </c>
      <c r="L31" s="13" t="str">
        <f t="shared" si="1"/>
        <v>(U2)1U},</v>
      </c>
      <c r="M31" s="13" t="str">
        <f t="shared" si="4"/>
        <v>/* MBOX = 39 / 0x000003fc : Rx Mask = NOUSE */</v>
      </c>
      <c r="N31" s="184"/>
    </row>
    <row r="32" spans="1:14">
      <c r="A32" s="13" t="str">
        <f>"0x00000"&amp;'CANRx_G2M-1_v2'!B36</f>
        <v>0x0000019A</v>
      </c>
      <c r="B32" s="13">
        <f>IF('CANRx_G2M-1_v2'!AF36&lt;&gt;"",'CANRx_G2M-1_v2'!AF36,B31)</f>
        <v>16</v>
      </c>
      <c r="D32" s="13" t="s">
        <v>8059</v>
      </c>
      <c r="E32" s="13">
        <v>40</v>
      </c>
      <c r="F32" s="13" t="s">
        <v>276</v>
      </c>
      <c r="G32" s="13" t="s">
        <v>46</v>
      </c>
      <c r="H32" s="13" t="str">
        <f t="shared" si="2"/>
        <v/>
      </c>
      <c r="I32" s="13" t="str">
        <f t="shared" si="3"/>
        <v>0x00000306</v>
      </c>
      <c r="K32" s="13" t="str">
        <f t="shared" si="0"/>
        <v>{(U2)54U,</v>
      </c>
      <c r="L32" s="13" t="str">
        <f t="shared" si="1"/>
        <v>(U2)1U},</v>
      </c>
      <c r="M32" s="13" t="str">
        <f t="shared" si="4"/>
        <v>/* MBOX = 40 / 0x00000306 : Rx Mask = NOUSE */</v>
      </c>
      <c r="N32" s="184"/>
    </row>
    <row r="33" spans="1:14">
      <c r="A33" s="13" t="str">
        <f>"0x00000"&amp;'CANRx_G2M-1_v2'!B37</f>
        <v>0x000001A0</v>
      </c>
      <c r="B33" s="13">
        <f>IF('CANRx_G2M-1_v2'!AF37&lt;&gt;"",'CANRx_G2M-1_v2'!AF37,B32)</f>
        <v>17</v>
      </c>
      <c r="D33" s="13" t="s">
        <v>8060</v>
      </c>
      <c r="E33" s="13">
        <v>41</v>
      </c>
      <c r="F33" s="13" t="s">
        <v>270</v>
      </c>
      <c r="G33" s="13" t="s">
        <v>273</v>
      </c>
      <c r="H33" s="13">
        <f t="shared" si="2"/>
        <v>805</v>
      </c>
      <c r="I33" s="13" t="str">
        <f t="shared" si="3"/>
        <v>0x00000325</v>
      </c>
      <c r="K33" s="13" t="str">
        <f t="shared" si="0"/>
        <v>{(U2)53U,</v>
      </c>
      <c r="L33" s="13" t="str">
        <f t="shared" si="1"/>
        <v>(U2)1U},</v>
      </c>
      <c r="M33" s="13" t="str">
        <f t="shared" si="4"/>
        <v>/* MBOX = 41 / 0x00000305 : Rx Mask = 0x00000020 */</v>
      </c>
      <c r="N33" s="184"/>
    </row>
    <row r="34" spans="1:14">
      <c r="A34" s="13" t="str">
        <f>"0x00000"&amp;'CANRx_G2M-1_v2'!B38</f>
        <v>0x000001B2</v>
      </c>
      <c r="B34" s="13">
        <f>IF('CANRx_G2M-1_v2'!AF38&lt;&gt;"",'CANRx_G2M-1_v2'!AF38,B33)</f>
        <v>18</v>
      </c>
      <c r="D34" s="13" t="s">
        <v>8061</v>
      </c>
      <c r="E34" s="13">
        <v>42</v>
      </c>
      <c r="F34" s="13" t="s">
        <v>718</v>
      </c>
      <c r="G34" s="13" t="s">
        <v>46</v>
      </c>
      <c r="H34" s="13" t="str">
        <f t="shared" si="2"/>
        <v/>
      </c>
      <c r="I34" s="13" t="str">
        <f t="shared" si="3"/>
        <v>0x00000629</v>
      </c>
      <c r="K34" s="13" t="str">
        <f t="shared" ref="K34:K65" si="5">"{(U2)"&amp;VLOOKUP(F34,$A$2:$B$282,2,FALSE)&amp;"U,"</f>
        <v>{(U2)172U,</v>
      </c>
      <c r="L34" s="13" t="str">
        <f t="shared" ref="L34:L65" si="6">"(U2)"&amp;(VLOOKUP(I34,$A$2:$B$282,2,FALSE)-VLOOKUP(F34,$A$2:$B$282,2,FALSE)+1)&amp;"U},"</f>
        <v>(U2)1U},</v>
      </c>
      <c r="M34" s="13" t="str">
        <f t="shared" si="4"/>
        <v>/* MBOX = 42 / 0x00000629 : Rx Mask = NOUSE */</v>
      </c>
      <c r="N34" s="184"/>
    </row>
    <row r="35" spans="1:14">
      <c r="A35" s="13" t="str">
        <f>"0x00000"&amp;'CANRx_G2M-1_v2'!B39</f>
        <v>0x000001BB</v>
      </c>
      <c r="B35" s="13">
        <f>IF('CANRx_G2M-1_v2'!AF39&lt;&gt;"",'CANRx_G2M-1_v2'!AF39,B34)</f>
        <v>19</v>
      </c>
      <c r="D35" s="13" t="s">
        <v>8062</v>
      </c>
      <c r="E35" s="13">
        <v>43</v>
      </c>
      <c r="F35" s="13" t="s">
        <v>721</v>
      </c>
      <c r="G35" s="13" t="s">
        <v>46</v>
      </c>
      <c r="H35" s="13" t="str">
        <f t="shared" si="2"/>
        <v/>
      </c>
      <c r="I35" s="13" t="str">
        <f t="shared" si="3"/>
        <v>0x0000062A</v>
      </c>
      <c r="K35" s="13" t="str">
        <f t="shared" si="5"/>
        <v>{(U2)172U,</v>
      </c>
      <c r="L35" s="13" t="str">
        <f t="shared" si="6"/>
        <v>(U2)1U},</v>
      </c>
      <c r="M35" s="13" t="str">
        <f t="shared" si="4"/>
        <v>/* MBOX = 43 / 0x0000062a : Rx Mask = NOUSE */</v>
      </c>
      <c r="N35" s="184"/>
    </row>
    <row r="36" spans="1:14">
      <c r="A36" s="13" t="str">
        <f>"0x00000"&amp;'CANRx_G2M-1_v2'!B40</f>
        <v>0x000001BC</v>
      </c>
      <c r="B36" s="13">
        <f>IF('CANRx_G2M-1_v2'!AF40&lt;&gt;"",'CANRx_G2M-1_v2'!AF40,B35)</f>
        <v>20</v>
      </c>
      <c r="D36" s="13" t="s">
        <v>8063</v>
      </c>
      <c r="E36" s="13">
        <v>44</v>
      </c>
      <c r="F36" s="13" t="s">
        <v>443</v>
      </c>
      <c r="G36" s="13" t="s">
        <v>454</v>
      </c>
      <c r="H36" s="13">
        <f t="shared" si="2"/>
        <v>927</v>
      </c>
      <c r="I36" s="13" t="str">
        <f t="shared" si="3"/>
        <v>0x0000039F</v>
      </c>
      <c r="K36" s="13" t="str">
        <f t="shared" si="5"/>
        <v>{(U2)95U,</v>
      </c>
      <c r="L36" s="13" t="str">
        <f t="shared" si="6"/>
        <v>(U2)4U},</v>
      </c>
      <c r="M36" s="13" t="str">
        <f t="shared" si="4"/>
        <v>/* MBOX = 44 / 0x00000396 : Rx Mask = 0x00000009 */</v>
      </c>
      <c r="N36" s="184"/>
    </row>
    <row r="37" spans="1:14">
      <c r="A37" s="13" t="str">
        <f>"0x00000"&amp;'CANRx_G2M-1_v2'!B41</f>
        <v>0x000001BE</v>
      </c>
      <c r="B37" s="13">
        <f>IF('CANRx_G2M-1_v2'!AF41&lt;&gt;"",'CANRx_G2M-1_v2'!AF41,B36)</f>
        <v>20</v>
      </c>
      <c r="D37" s="13" t="s">
        <v>8064</v>
      </c>
      <c r="E37" s="13">
        <v>45</v>
      </c>
      <c r="F37" s="13" t="s">
        <v>326</v>
      </c>
      <c r="G37" s="13" t="s">
        <v>337</v>
      </c>
      <c r="H37" s="13">
        <f t="shared" si="2"/>
        <v>1013</v>
      </c>
      <c r="I37" s="13" t="str">
        <f t="shared" si="3"/>
        <v>0x000003F5</v>
      </c>
      <c r="K37" s="13" t="str">
        <f t="shared" si="5"/>
        <v>{(U2)66U,</v>
      </c>
      <c r="L37" s="13" t="str">
        <f t="shared" si="6"/>
        <v>(U2)2U},</v>
      </c>
      <c r="M37" s="13" t="str">
        <f t="shared" si="4"/>
        <v>/* MBOX = 45 / 0x00000335 : Rx Mask = 0x000000C0 */</v>
      </c>
      <c r="N37" s="184"/>
    </row>
    <row r="38" spans="1:14">
      <c r="A38" s="13" t="str">
        <f>"0x00000"&amp;'CANRx_G2M-1_v2'!B42</f>
        <v>0x000001C0</v>
      </c>
      <c r="B38" s="13">
        <f>IF('CANRx_G2M-1_v2'!AF42&lt;&gt;"",'CANRx_G2M-1_v2'!AF42,B37)</f>
        <v>20</v>
      </c>
      <c r="D38" s="13" t="s">
        <v>8065</v>
      </c>
      <c r="E38" s="13">
        <v>46</v>
      </c>
      <c r="F38" s="13" t="s">
        <v>497</v>
      </c>
      <c r="G38" s="13" t="s">
        <v>366</v>
      </c>
      <c r="H38" s="13">
        <f t="shared" si="2"/>
        <v>957</v>
      </c>
      <c r="I38" s="13" t="str">
        <f t="shared" si="3"/>
        <v>0x000003BD</v>
      </c>
      <c r="K38" s="13" t="str">
        <f t="shared" si="5"/>
        <v>{(U2)112U,</v>
      </c>
      <c r="L38" s="13" t="str">
        <f t="shared" si="6"/>
        <v>(U2)4U},</v>
      </c>
      <c r="M38" s="13" t="str">
        <f t="shared" si="4"/>
        <v>/* MBOX = 46 / 0x000003b8 : Rx Mask = 0x00000005 */</v>
      </c>
      <c r="N38" s="184"/>
    </row>
    <row r="39" spans="1:14">
      <c r="A39" s="13" t="str">
        <f>"0x00000"&amp;'CANRx_G2M-1_v2'!B43</f>
        <v>0x000001C1</v>
      </c>
      <c r="B39" s="13">
        <f>IF('CANRx_G2M-1_v2'!AF43&lt;&gt;"",'CANRx_G2M-1_v2'!AF43,B38)</f>
        <v>20</v>
      </c>
      <c r="D39" s="13" t="s">
        <v>8066</v>
      </c>
      <c r="E39" s="13">
        <v>47</v>
      </c>
      <c r="F39" s="13" t="s">
        <v>660</v>
      </c>
      <c r="G39" s="13" t="s">
        <v>46</v>
      </c>
      <c r="H39" s="13" t="str">
        <f t="shared" si="2"/>
        <v/>
      </c>
      <c r="I39" s="13" t="str">
        <f t="shared" si="3"/>
        <v>0x000004BA</v>
      </c>
      <c r="K39" s="13" t="str">
        <f t="shared" si="5"/>
        <v>{(U2)157U,</v>
      </c>
      <c r="L39" s="13" t="str">
        <f t="shared" si="6"/>
        <v>(U2)1U},</v>
      </c>
      <c r="M39" s="13" t="str">
        <f t="shared" si="4"/>
        <v>/* MBOX = 47 / 0x000004ba : Rx Mask = NOUSE */</v>
      </c>
      <c r="N39" s="184"/>
    </row>
    <row r="40" spans="1:14">
      <c r="A40" s="13" t="str">
        <f>"0x00000"&amp;'CANRx_G2M-1_v2'!B44</f>
        <v>0x000001D0</v>
      </c>
      <c r="B40" s="13">
        <f>IF('CANRx_G2M-1_v2'!AF44&lt;&gt;"",'CANRx_G2M-1_v2'!AF44,B39)</f>
        <v>21</v>
      </c>
      <c r="D40" s="13" t="s">
        <v>8067</v>
      </c>
      <c r="E40" s="13">
        <v>48</v>
      </c>
      <c r="F40" s="13" t="s">
        <v>279</v>
      </c>
      <c r="G40" s="13" t="s">
        <v>46</v>
      </c>
      <c r="H40" s="13" t="str">
        <f t="shared" si="2"/>
        <v/>
      </c>
      <c r="I40" s="13" t="str">
        <f t="shared" si="3"/>
        <v>0x00000312</v>
      </c>
      <c r="K40" s="13" t="str">
        <f t="shared" si="5"/>
        <v>{(U2)55U,</v>
      </c>
      <c r="L40" s="13" t="str">
        <f t="shared" si="6"/>
        <v>(U2)1U},</v>
      </c>
      <c r="M40" s="13" t="str">
        <f t="shared" si="4"/>
        <v>/* MBOX = 48 / 0x00000312 : Rx Mask = NOUSE */</v>
      </c>
      <c r="N40" s="184"/>
    </row>
    <row r="41" spans="1:14">
      <c r="A41" s="13" t="str">
        <f>"0x00000"&amp;'CANRx_G2M-1_v2'!B45</f>
        <v>0x000001D1</v>
      </c>
      <c r="B41" s="13">
        <f>IF('CANRx_G2M-1_v2'!AF45&lt;&gt;"",'CANRx_G2M-1_v2'!AF45,B40)</f>
        <v>21</v>
      </c>
      <c r="D41" s="13" t="s">
        <v>8068</v>
      </c>
      <c r="E41" s="13">
        <v>49</v>
      </c>
      <c r="F41" s="13" t="s">
        <v>307</v>
      </c>
      <c r="G41" s="13" t="s">
        <v>312</v>
      </c>
      <c r="H41" s="13">
        <f t="shared" si="2"/>
        <v>801</v>
      </c>
      <c r="I41" s="13" t="str">
        <f t="shared" si="3"/>
        <v>0x00000321</v>
      </c>
      <c r="K41" s="13" t="str">
        <f t="shared" si="5"/>
        <v>{(U2)62U,</v>
      </c>
      <c r="L41" s="13" t="str">
        <f t="shared" si="6"/>
        <v>(U2)2U},</v>
      </c>
      <c r="M41" s="13" t="str">
        <f t="shared" si="4"/>
        <v>/* MBOX = 49 / 0x00000320 : Rx Mask = 0x00000001 */</v>
      </c>
      <c r="N41" s="184"/>
    </row>
    <row r="42" spans="1:14">
      <c r="A42" s="13" t="str">
        <f>"0x00000"&amp;'CANRx_G2M-1_v2'!B46</f>
        <v>0x000001CA</v>
      </c>
      <c r="B42" s="13">
        <f>IF('CANRx_G2M-1_v2'!AF46&lt;&gt;"",'CANRx_G2M-1_v2'!AF46,B41)</f>
        <v>22</v>
      </c>
      <c r="D42" s="13" t="s">
        <v>8069</v>
      </c>
      <c r="E42" s="13">
        <v>50</v>
      </c>
      <c r="F42" s="13" t="s">
        <v>317</v>
      </c>
      <c r="G42" s="13" t="s">
        <v>320</v>
      </c>
      <c r="H42" s="13">
        <f t="shared" si="2"/>
        <v>874</v>
      </c>
      <c r="I42" s="13" t="str">
        <f t="shared" si="3"/>
        <v>0x0000036A</v>
      </c>
      <c r="K42" s="13" t="str">
        <f t="shared" si="5"/>
        <v>{(U2)64U,</v>
      </c>
      <c r="L42" s="13" t="str">
        <f t="shared" si="6"/>
        <v>(U2)2U},</v>
      </c>
      <c r="M42" s="13" t="str">
        <f t="shared" si="4"/>
        <v>/* MBOX = 50 / 0x00000328 : Rx Mask = 0x00000042 */</v>
      </c>
      <c r="N42" s="184"/>
    </row>
    <row r="43" spans="1:14">
      <c r="A43" s="13" t="str">
        <f>"0x00000"&amp;'CANRx_G2M-1_v2'!B47</f>
        <v>0x000001CC</v>
      </c>
      <c r="B43" s="13">
        <f>IF('CANRx_G2M-1_v2'!AF47&lt;&gt;"",'CANRx_G2M-1_v2'!AF47,B42)</f>
        <v>22</v>
      </c>
      <c r="D43" s="13" t="s">
        <v>8070</v>
      </c>
      <c r="E43" s="13">
        <v>51</v>
      </c>
      <c r="F43" s="13" t="s">
        <v>376</v>
      </c>
      <c r="G43" s="13" t="s">
        <v>273</v>
      </c>
      <c r="H43" s="13">
        <f t="shared" si="2"/>
        <v>883</v>
      </c>
      <c r="I43" s="13" t="str">
        <f t="shared" si="3"/>
        <v>0x00000373</v>
      </c>
      <c r="K43" s="13" t="str">
        <f t="shared" si="5"/>
        <v>{(U2)74U,</v>
      </c>
      <c r="L43" s="13" t="str">
        <f t="shared" si="6"/>
        <v>(U2)1U},</v>
      </c>
      <c r="M43" s="13" t="str">
        <f t="shared" si="4"/>
        <v>/* MBOX = 51 / 0x00000353 : Rx Mask = 0x00000020 */</v>
      </c>
      <c r="N43" s="184"/>
    </row>
    <row r="44" spans="1:14">
      <c r="A44" s="13" t="str">
        <f>"0x00000"&amp;'CANRx_G2M-1_v2'!B48</f>
        <v>0x000001CE</v>
      </c>
      <c r="B44" s="13">
        <f>IF('CANRx_G2M-1_v2'!AF48&lt;&gt;"",'CANRx_G2M-1_v2'!AF48,B43)</f>
        <v>22</v>
      </c>
      <c r="D44" s="13" t="s">
        <v>8071</v>
      </c>
      <c r="E44" s="13">
        <v>52</v>
      </c>
      <c r="F44" s="13" t="s">
        <v>79</v>
      </c>
      <c r="G44" s="13" t="s">
        <v>510</v>
      </c>
      <c r="H44" s="13">
        <f t="shared" si="2"/>
        <v>344</v>
      </c>
      <c r="I44" s="13" t="str">
        <f t="shared" si="3"/>
        <v>0x00000158</v>
      </c>
      <c r="K44" s="13" t="str">
        <f t="shared" si="5"/>
        <v>{(U2)12U,</v>
      </c>
      <c r="L44" s="13" t="str">
        <f t="shared" si="6"/>
        <v>(U2)2U},</v>
      </c>
      <c r="M44" s="13" t="str">
        <f t="shared" si="4"/>
        <v>/* MBOX = 52 / 0x00000140 : Rx Mask = 0x00000018 */</v>
      </c>
      <c r="N44" s="184"/>
    </row>
    <row r="45" spans="1:14">
      <c r="A45" s="13" t="str">
        <f>"0x00000"&amp;'CANRx_G2M-1_v2'!B49</f>
        <v>0x000001CF</v>
      </c>
      <c r="B45" s="13">
        <f>IF('CANRx_G2M-1_v2'!AF49&lt;&gt;"",'CANRx_G2M-1_v2'!AF49,B44)</f>
        <v>22</v>
      </c>
      <c r="D45" s="13" t="s">
        <v>8072</v>
      </c>
      <c r="E45" s="13">
        <v>53</v>
      </c>
      <c r="F45" s="13" t="s">
        <v>33</v>
      </c>
      <c r="G45" s="13" t="s">
        <v>36</v>
      </c>
      <c r="H45" s="13">
        <f t="shared" si="2"/>
        <v>390</v>
      </c>
      <c r="I45" s="13" t="str">
        <f t="shared" si="3"/>
        <v>0x00000186</v>
      </c>
      <c r="K45" s="13" t="str">
        <f t="shared" si="5"/>
        <v>{(U2)3U,</v>
      </c>
      <c r="L45" s="13" t="str">
        <f t="shared" si="6"/>
        <v>(U2)2U},</v>
      </c>
      <c r="M45" s="13" t="str">
        <f t="shared" si="4"/>
        <v>/* MBOX = 53 / 0x00000086 : Rx Mask = 0x00000100 */</v>
      </c>
      <c r="N45" s="184"/>
    </row>
    <row r="46" spans="1:14">
      <c r="A46" s="13" t="str">
        <f>"0x00000"&amp;'CANRx_G2M-1_v2'!B50</f>
        <v>0x000001DE</v>
      </c>
      <c r="B46" s="13">
        <f>IF('CANRx_G2M-1_v2'!AF50&lt;&gt;"",'CANRx_G2M-1_v2'!AF50,B45)</f>
        <v>22</v>
      </c>
      <c r="D46" s="13" t="s">
        <v>8073</v>
      </c>
      <c r="E46" s="13">
        <v>54</v>
      </c>
      <c r="F46" s="13" t="s">
        <v>151</v>
      </c>
      <c r="G46" s="13" t="s">
        <v>162</v>
      </c>
      <c r="H46" s="13">
        <f t="shared" si="2"/>
        <v>979</v>
      </c>
      <c r="I46" s="13" t="str">
        <f t="shared" si="3"/>
        <v>0x000003D3</v>
      </c>
      <c r="K46" s="13" t="str">
        <f t="shared" si="5"/>
        <v>{(U2)24U,</v>
      </c>
      <c r="L46" s="13" t="str">
        <f t="shared" si="6"/>
        <v>(U2)3U},</v>
      </c>
      <c r="M46" s="13" t="str">
        <f t="shared" si="4"/>
        <v>/* MBOX = 54 / 0x000001d2 : Rx Mask = 0x00000201 */</v>
      </c>
      <c r="N46" s="184"/>
    </row>
    <row r="47" spans="1:14">
      <c r="A47" s="13" t="str">
        <f>"0x00000"&amp;'CANRx_G2M-1_v2'!B51</f>
        <v>0x000001DF</v>
      </c>
      <c r="B47" s="13">
        <f>IF('CANRx_G2M-1_v2'!AF51&lt;&gt;"",'CANRx_G2M-1_v2'!AF51,B46)</f>
        <v>23</v>
      </c>
      <c r="D47" s="13" t="s">
        <v>8074</v>
      </c>
      <c r="E47" s="13">
        <v>55</v>
      </c>
      <c r="F47" s="13" t="s">
        <v>39</v>
      </c>
      <c r="G47" s="13" t="s">
        <v>44</v>
      </c>
      <c r="H47" s="13">
        <f t="shared" si="2"/>
        <v>158</v>
      </c>
      <c r="I47" s="13" t="str">
        <f t="shared" si="3"/>
        <v>0x0000009E</v>
      </c>
      <c r="K47" s="13" t="str">
        <f t="shared" si="5"/>
        <v>{(U2)5U,</v>
      </c>
      <c r="L47" s="13" t="str">
        <f t="shared" si="6"/>
        <v>(U2)1U},</v>
      </c>
      <c r="M47" s="13" t="str">
        <f t="shared" si="4"/>
        <v>/* MBOX = 55 / 0x0000009c : Rx Mask = 0x00000002 */</v>
      </c>
      <c r="N47" s="184"/>
    </row>
    <row r="48" spans="1:14">
      <c r="A48" s="13" t="str">
        <f>"0x00000"&amp;'CANRx_G2M-1_v2'!B52</f>
        <v>0x000001D2</v>
      </c>
      <c r="B48" s="13">
        <f>IF('CANRx_G2M-1_v2'!AF52&lt;&gt;"",'CANRx_G2M-1_v2'!AF52,B47)</f>
        <v>24</v>
      </c>
      <c r="D48" s="13" t="s">
        <v>8075</v>
      </c>
      <c r="E48" s="13">
        <v>56</v>
      </c>
      <c r="F48" s="13" t="s">
        <v>393</v>
      </c>
      <c r="G48" s="13" t="s">
        <v>6</v>
      </c>
      <c r="H48" s="13">
        <f t="shared" si="2"/>
        <v>876</v>
      </c>
      <c r="I48" s="13" t="str">
        <f t="shared" si="3"/>
        <v>0x0000036C</v>
      </c>
      <c r="K48" s="13" t="str">
        <f t="shared" si="5"/>
        <v>{(U2)79U,</v>
      </c>
      <c r="L48" s="13" t="str">
        <f t="shared" si="6"/>
        <v>(U2)1U},</v>
      </c>
      <c r="M48" s="13" t="str">
        <f t="shared" si="4"/>
        <v>/* MBOX = 56 / 0x00000364 : Rx Mask = 0x00000008 */</v>
      </c>
      <c r="N48" s="184"/>
    </row>
    <row r="49" spans="1:14">
      <c r="A49" s="13" t="str">
        <f>"0x00000"&amp;'CANRx_G2M-1_v2'!B53</f>
        <v>0x000001D3</v>
      </c>
      <c r="B49" s="13">
        <f>IF('CANRx_G2M-1_v2'!AF53&lt;&gt;"",'CANRx_G2M-1_v2'!AF53,B48)</f>
        <v>24</v>
      </c>
      <c r="D49" s="13" t="s">
        <v>8076</v>
      </c>
      <c r="E49" s="13">
        <v>57</v>
      </c>
      <c r="F49" s="13" t="s">
        <v>289</v>
      </c>
      <c r="G49" s="13" t="s">
        <v>296</v>
      </c>
      <c r="H49" s="13">
        <f t="shared" si="2"/>
        <v>831</v>
      </c>
      <c r="I49" s="13" t="str">
        <f t="shared" si="3"/>
        <v>0x0000033F</v>
      </c>
      <c r="K49" s="13" t="str">
        <f t="shared" si="5"/>
        <v>{(U2)56U,</v>
      </c>
      <c r="L49" s="13" t="str">
        <f t="shared" si="6"/>
        <v>(U2)3U},</v>
      </c>
      <c r="M49" s="13" t="str">
        <f t="shared" si="4"/>
        <v>/* MBOX = 57 / 0x00000317 : Rx Mask = 0x00000028 */</v>
      </c>
      <c r="N49" s="184"/>
    </row>
    <row r="50" spans="1:14">
      <c r="A50" s="13" t="str">
        <f>"0x00000"&amp;'CANRx_G2M-1_v2'!B54</f>
        <v>0x000003D2</v>
      </c>
      <c r="B50" s="13">
        <f>IF('CANRx_G2M-1_v2'!AF54&lt;&gt;"",'CANRx_G2M-1_v2'!AF54,B49)</f>
        <v>25</v>
      </c>
      <c r="D50" s="13" t="s">
        <v>8077</v>
      </c>
      <c r="E50" s="13">
        <v>58</v>
      </c>
      <c r="F50" s="13" t="s">
        <v>3</v>
      </c>
      <c r="G50" s="13" t="s">
        <v>6</v>
      </c>
      <c r="H50" s="13">
        <f t="shared" si="2"/>
        <v>27</v>
      </c>
      <c r="I50" s="13" t="str">
        <f t="shared" si="3"/>
        <v>0x0000001B</v>
      </c>
      <c r="K50" s="13" t="str">
        <f t="shared" si="5"/>
        <v>{(U2)0U,</v>
      </c>
      <c r="L50" s="13" t="str">
        <f t="shared" si="6"/>
        <v>(U2)1U},</v>
      </c>
      <c r="M50" s="13" t="str">
        <f t="shared" si="4"/>
        <v>/* MBOX = 58 / 0x00000013 : Rx Mask = 0x00000008 */</v>
      </c>
      <c r="N50" s="184"/>
    </row>
    <row r="51" spans="1:14">
      <c r="A51" s="13" t="str">
        <f>"0x00000"&amp;'CANRx_G2M-1_v2'!B55</f>
        <v>0x000003D3</v>
      </c>
      <c r="B51" s="13">
        <f>IF('CANRx_G2M-1_v2'!AF55&lt;&gt;"",'CANRx_G2M-1_v2'!AF55,B50)</f>
        <v>26</v>
      </c>
      <c r="D51" s="13" t="s">
        <v>8078</v>
      </c>
      <c r="E51" s="13">
        <v>59</v>
      </c>
      <c r="F51" s="13" t="s">
        <v>345</v>
      </c>
      <c r="G51" s="13" t="s">
        <v>273</v>
      </c>
      <c r="H51" s="13">
        <f t="shared" si="2"/>
        <v>865</v>
      </c>
      <c r="I51" s="13" t="str">
        <f t="shared" si="3"/>
        <v>0x00000361</v>
      </c>
      <c r="K51" s="13" t="str">
        <f t="shared" si="5"/>
        <v>{(U2)69U,</v>
      </c>
      <c r="L51" s="13" t="str">
        <f t="shared" si="6"/>
        <v>(U2)2U},</v>
      </c>
      <c r="M51" s="13" t="str">
        <f t="shared" si="4"/>
        <v>/* MBOX = 59 / 0x00000341 : Rx Mask = 0x00000020 */</v>
      </c>
      <c r="N51" s="184"/>
    </row>
    <row r="52" spans="1:14">
      <c r="A52" s="13" t="str">
        <f>"0x00000"&amp;'CANRx_G2M-1_v2'!B56</f>
        <v>0x000001D7</v>
      </c>
      <c r="B52" s="13">
        <f>IF('CANRx_G2M-1_v2'!AF56&lt;&gt;"",'CANRx_G2M-1_v2'!AF56,B51)</f>
        <v>27</v>
      </c>
      <c r="D52" s="13" t="s">
        <v>8079</v>
      </c>
      <c r="E52" s="13">
        <v>60</v>
      </c>
      <c r="F52" s="13" t="s">
        <v>173</v>
      </c>
      <c r="G52" s="13" t="s">
        <v>44</v>
      </c>
      <c r="H52" s="13">
        <f t="shared" si="2"/>
        <v>483</v>
      </c>
      <c r="I52" s="13" t="str">
        <f t="shared" si="3"/>
        <v>0x000001E3</v>
      </c>
      <c r="K52" s="13" t="str">
        <f t="shared" si="5"/>
        <v>{(U2)29U,</v>
      </c>
      <c r="L52" s="13" t="str">
        <f t="shared" si="6"/>
        <v>(U2)2U},</v>
      </c>
      <c r="M52" s="13" t="str">
        <f t="shared" si="4"/>
        <v>/* MBOX = 60 / 0x000001e1 : Rx Mask = 0x00000002 */</v>
      </c>
      <c r="N52" s="184"/>
    </row>
    <row r="53" spans="1:14">
      <c r="A53" s="13" t="str">
        <f>"0x00000"&amp;'CANRx_G2M-1_v2'!B57</f>
        <v>0x000001D9</v>
      </c>
      <c r="B53" s="13">
        <f>IF('CANRx_G2M-1_v2'!AF57&lt;&gt;"",'CANRx_G2M-1_v2'!AF57,B52)</f>
        <v>28</v>
      </c>
      <c r="D53" s="13" t="s">
        <v>8080</v>
      </c>
      <c r="E53" s="13">
        <v>61</v>
      </c>
      <c r="F53" s="13" t="s">
        <v>385</v>
      </c>
      <c r="G53" s="13" t="s">
        <v>390</v>
      </c>
      <c r="H53" s="13">
        <f t="shared" si="2"/>
        <v>879</v>
      </c>
      <c r="I53" s="13" t="str">
        <f t="shared" si="3"/>
        <v>0x0000036F</v>
      </c>
      <c r="K53" s="13" t="str">
        <f t="shared" si="5"/>
        <v>{(U2)77U,</v>
      </c>
      <c r="L53" s="13" t="str">
        <f t="shared" si="6"/>
        <v>(U2)2U},</v>
      </c>
      <c r="M53" s="13" t="str">
        <f t="shared" si="4"/>
        <v>/* MBOX = 61 / 0x00000363 : Rx Mask = 0x0000000C */</v>
      </c>
      <c r="N53" s="184"/>
    </row>
    <row r="54" spans="1:14">
      <c r="A54" s="13" t="str">
        <f>"0x00000"&amp;'CANRx_G2M-1_v2'!B58</f>
        <v>0x000001DD</v>
      </c>
      <c r="B54" s="13">
        <f>IF('CANRx_G2M-1_v2'!AF58&lt;&gt;"",'CANRx_G2M-1_v2'!AF58,B53)</f>
        <v>28</v>
      </c>
      <c r="D54" s="13" t="s">
        <v>8081</v>
      </c>
      <c r="E54" s="13">
        <v>62</v>
      </c>
      <c r="F54" s="13" t="s">
        <v>122</v>
      </c>
      <c r="G54" s="13" t="s">
        <v>46</v>
      </c>
      <c r="H54" s="13" t="str">
        <f t="shared" si="2"/>
        <v/>
      </c>
      <c r="I54" s="13" t="str">
        <f t="shared" si="3"/>
        <v>0x000001A0</v>
      </c>
      <c r="K54" s="13" t="str">
        <f t="shared" si="5"/>
        <v>{(U2)17U,</v>
      </c>
      <c r="L54" s="13" t="str">
        <f t="shared" si="6"/>
        <v>(U2)1U},</v>
      </c>
      <c r="M54" s="13" t="str">
        <f t="shared" si="4"/>
        <v>/* MBOX = 62 / 0x000001a0 : Rx Mask = NOUSE */</v>
      </c>
      <c r="N54" s="184"/>
    </row>
    <row r="55" spans="1:14">
      <c r="A55" s="13" t="str">
        <f>"0x00000"&amp;'CANRx_G2M-1_v2'!B59</f>
        <v>0x000001E1</v>
      </c>
      <c r="B55" s="13">
        <f>IF('CANRx_G2M-1_v2'!AF59&lt;&gt;"",'CANRx_G2M-1_v2'!AF59,B54)</f>
        <v>29</v>
      </c>
      <c r="D55" s="13" t="s">
        <v>8082</v>
      </c>
      <c r="E55" s="13">
        <v>63</v>
      </c>
      <c r="F55" s="13" t="s">
        <v>888</v>
      </c>
      <c r="G55" s="13" t="s">
        <v>273</v>
      </c>
      <c r="H55" s="13">
        <f t="shared" si="2"/>
        <v>888</v>
      </c>
      <c r="I55" s="13" t="str">
        <f t="shared" si="3"/>
        <v>0x00000378</v>
      </c>
      <c r="K55" s="13" t="str">
        <f t="shared" si="5"/>
        <v>{(U2)75U,</v>
      </c>
      <c r="L55" s="13" t="str">
        <f t="shared" si="6"/>
        <v>(U2)2U},</v>
      </c>
      <c r="M55" s="13" t="str">
        <f t="shared" si="4"/>
        <v>/* MBOX = 63 / 0x00000358 : Rx Mask = 0x00000020 */</v>
      </c>
      <c r="N55" s="184"/>
    </row>
    <row r="56" spans="1:14">
      <c r="A56" s="13" t="str">
        <f>"0x00000"&amp;'CANRx_G2M-1_v2'!B60</f>
        <v>0x000001E3</v>
      </c>
      <c r="B56" s="13">
        <f>IF('CANRx_G2M-1_v2'!AF60&lt;&gt;"",'CANRx_G2M-1_v2'!AF60,B55)</f>
        <v>30</v>
      </c>
      <c r="D56" s="13" t="s">
        <v>8083</v>
      </c>
      <c r="E56" s="13">
        <v>64</v>
      </c>
      <c r="F56" s="13" t="s">
        <v>380</v>
      </c>
      <c r="G56" s="13" t="s">
        <v>44</v>
      </c>
      <c r="H56" s="13">
        <f t="shared" si="2"/>
        <v>863</v>
      </c>
      <c r="I56" s="13" t="str">
        <f t="shared" si="3"/>
        <v>0x0000035F</v>
      </c>
      <c r="K56" s="13" t="str">
        <f t="shared" si="5"/>
        <v>{(U2)77U,</v>
      </c>
      <c r="L56" s="13" t="str">
        <f t="shared" si="6"/>
        <v>(U2)1U},</v>
      </c>
      <c r="M56" s="13" t="str">
        <f t="shared" si="4"/>
        <v>/* MBOX = 64 / 0x0000035d : Rx Mask = 0x00000002 */</v>
      </c>
      <c r="N56" s="184"/>
    </row>
    <row r="57" spans="1:14">
      <c r="A57" s="13" t="str">
        <f>"0x00000"&amp;'CANRx_G2M-1_v2'!B61</f>
        <v>0x000001EA</v>
      </c>
      <c r="B57" s="13">
        <f>IF('CANRx_G2M-1_v2'!AF61&lt;&gt;"",'CANRx_G2M-1_v2'!AF61,B56)</f>
        <v>31</v>
      </c>
      <c r="D57" s="13" t="s">
        <v>8084</v>
      </c>
      <c r="E57" s="13">
        <v>65</v>
      </c>
      <c r="F57" s="13" t="s">
        <v>440</v>
      </c>
      <c r="G57" s="13" t="s">
        <v>46</v>
      </c>
      <c r="H57" s="13" t="str">
        <f t="shared" si="2"/>
        <v/>
      </c>
      <c r="I57" s="13" t="str">
        <f t="shared" si="3"/>
        <v>0x00000393</v>
      </c>
      <c r="K57" s="13" t="str">
        <f t="shared" si="5"/>
        <v>{(U2)94U,</v>
      </c>
      <c r="L57" s="13" t="str">
        <f t="shared" si="6"/>
        <v>(U2)1U},</v>
      </c>
      <c r="M57" s="13" t="str">
        <f t="shared" si="4"/>
        <v>/* MBOX = 65 / 0x00000393 : Rx Mask = NOUSE */</v>
      </c>
      <c r="N57" s="184"/>
    </row>
    <row r="58" spans="1:14">
      <c r="A58" s="13" t="str">
        <f>"0x00000"&amp;'CANRx_G2M-1_v2'!B62</f>
        <v>0x000001FA</v>
      </c>
      <c r="B58" s="13">
        <f>IF('CANRx_G2M-1_v2'!AF62&lt;&gt;"",'CANRx_G2M-1_v2'!AF62,B57)</f>
        <v>31</v>
      </c>
      <c r="D58" s="13" t="s">
        <v>8085</v>
      </c>
      <c r="E58" s="13">
        <v>66</v>
      </c>
      <c r="F58" s="13" t="s">
        <v>234</v>
      </c>
      <c r="G58" s="13" t="s">
        <v>36</v>
      </c>
      <c r="H58" s="13">
        <f t="shared" si="2"/>
        <v>917</v>
      </c>
      <c r="I58" s="13" t="str">
        <f t="shared" si="3"/>
        <v>0x00000395</v>
      </c>
      <c r="K58" s="13" t="str">
        <f t="shared" si="5"/>
        <v>{(U2)44U,</v>
      </c>
      <c r="L58" s="13" t="str">
        <f t="shared" si="6"/>
        <v>(U2)2U},</v>
      </c>
      <c r="M58" s="13" t="str">
        <f t="shared" si="4"/>
        <v>/* MBOX = 66 / 0x00000295 : Rx Mask = 0x00000100 */</v>
      </c>
      <c r="N58" s="184"/>
    </row>
    <row r="59" spans="1:14">
      <c r="A59" s="13" t="str">
        <f>"0x00000"&amp;'CANRx_G2M-1_v2'!B63</f>
        <v>0x000001EB</v>
      </c>
      <c r="B59" s="13">
        <f>IF('CANRx_G2M-1_v2'!AF63&lt;&gt;"",'CANRx_G2M-1_v2'!AF63,B58)</f>
        <v>32</v>
      </c>
      <c r="D59" s="13" t="s">
        <v>8086</v>
      </c>
      <c r="E59" s="13">
        <v>67</v>
      </c>
      <c r="F59" s="13" t="s">
        <v>476</v>
      </c>
      <c r="G59" s="13" t="s">
        <v>44</v>
      </c>
      <c r="H59" s="13">
        <f t="shared" si="2"/>
        <v>942</v>
      </c>
      <c r="I59" s="13" t="str">
        <f t="shared" si="3"/>
        <v>0x000003AE</v>
      </c>
      <c r="K59" s="13" t="str">
        <f t="shared" si="5"/>
        <v>{(U2)107U,</v>
      </c>
      <c r="L59" s="13" t="str">
        <f t="shared" si="6"/>
        <v>(U2)2U},</v>
      </c>
      <c r="M59" s="13" t="str">
        <f t="shared" si="4"/>
        <v>/* MBOX = 67 / 0x000003ac : Rx Mask = 0x00000002 */</v>
      </c>
      <c r="N59" s="184"/>
    </row>
    <row r="60" spans="1:14">
      <c r="A60" s="13" t="str">
        <f>"0x00000"&amp;'CANRx_G2M-1_v2'!B64</f>
        <v>0x000001F4</v>
      </c>
      <c r="B60" s="13">
        <f>IF('CANRx_G2M-1_v2'!AF64&lt;&gt;"",'CANRx_G2M-1_v2'!AF64,B59)</f>
        <v>32</v>
      </c>
      <c r="D60" s="13" t="s">
        <v>8087</v>
      </c>
      <c r="E60" s="13">
        <v>68</v>
      </c>
      <c r="F60" s="13" t="s">
        <v>507</v>
      </c>
      <c r="G60" s="13" t="s">
        <v>510</v>
      </c>
      <c r="H60" s="13">
        <f t="shared" si="2"/>
        <v>990</v>
      </c>
      <c r="I60" s="13" t="str">
        <f t="shared" si="3"/>
        <v>0x000003DE</v>
      </c>
      <c r="K60" s="13" t="str">
        <f t="shared" si="5"/>
        <v>{(U2)119U,</v>
      </c>
      <c r="L60" s="13" t="str">
        <f t="shared" si="6"/>
        <v>(U2)4U},</v>
      </c>
      <c r="M60" s="13" t="str">
        <f t="shared" si="4"/>
        <v>/* MBOX = 68 / 0x000003c6 : Rx Mask = 0x00000018 */</v>
      </c>
      <c r="N60" s="184"/>
    </row>
    <row r="61" spans="1:14">
      <c r="A61" s="13" t="str">
        <f>"0x00000"&amp;'CANRx_G2M-1_v2'!B65</f>
        <v>0x00000202</v>
      </c>
      <c r="B61" s="13">
        <f>IF('CANRx_G2M-1_v2'!AF65&lt;&gt;"",'CANRx_G2M-1_v2'!AF65,B60)</f>
        <v>33</v>
      </c>
      <c r="D61" s="13" t="s">
        <v>8088</v>
      </c>
      <c r="E61" s="13">
        <v>69</v>
      </c>
      <c r="F61" s="13" t="s">
        <v>504</v>
      </c>
      <c r="G61" s="13" t="s">
        <v>102</v>
      </c>
      <c r="H61" s="13">
        <f t="shared" si="2"/>
        <v>967</v>
      </c>
      <c r="I61" s="13" t="str">
        <f t="shared" si="3"/>
        <v>0x000003C7</v>
      </c>
      <c r="K61" s="13" t="str">
        <f t="shared" si="5"/>
        <v>{(U2)117U,</v>
      </c>
      <c r="L61" s="13" t="str">
        <f t="shared" si="6"/>
        <v>(U2)2U},</v>
      </c>
      <c r="M61" s="13" t="str">
        <f t="shared" si="4"/>
        <v>/* MBOX = 69 / 0x000003c3 : Rx Mask = 0x00000004 */</v>
      </c>
      <c r="N61" s="184"/>
    </row>
    <row r="62" spans="1:14">
      <c r="A62" s="13" t="str">
        <f>"0x00000"&amp;'CANRx_G2M-1_v2'!B66</f>
        <v>0x00000602</v>
      </c>
      <c r="B62" s="13">
        <f>IF('CANRx_G2M-1_v2'!AF66&lt;&gt;"",'CANRx_G2M-1_v2'!AF66,B61)</f>
        <v>33</v>
      </c>
      <c r="D62" s="13" t="s">
        <v>8089</v>
      </c>
      <c r="E62" s="13">
        <v>70</v>
      </c>
      <c r="F62" s="13" t="s">
        <v>467</v>
      </c>
      <c r="G62" s="13" t="s">
        <v>320</v>
      </c>
      <c r="H62" s="13">
        <f t="shared" si="2"/>
        <v>1003</v>
      </c>
      <c r="I62" s="13" t="str">
        <f t="shared" si="3"/>
        <v>0x000003EB</v>
      </c>
      <c r="K62" s="13" t="str">
        <f t="shared" si="5"/>
        <v>{(U2)103U,</v>
      </c>
      <c r="L62" s="13" t="str">
        <f t="shared" si="6"/>
        <v>(U2)4U},</v>
      </c>
      <c r="M62" s="13" t="str">
        <f t="shared" si="4"/>
        <v>/* MBOX = 70 / 0x000003a9 : Rx Mask = 0x00000042 */</v>
      </c>
      <c r="N62" s="184"/>
    </row>
    <row r="63" spans="1:14">
      <c r="A63" s="13" t="str">
        <f>"0x00000"&amp;'CANRx_G2M-1_v2'!B67</f>
        <v>0x00000204</v>
      </c>
      <c r="B63" s="13">
        <f>IF('CANRx_G2M-1_v2'!AF67&lt;&gt;"",'CANRx_G2M-1_v2'!AF67,B62)</f>
        <v>34</v>
      </c>
      <c r="D63" s="13" t="s">
        <v>8090</v>
      </c>
      <c r="E63" s="13">
        <v>71</v>
      </c>
      <c r="F63" s="13" t="s">
        <v>519</v>
      </c>
      <c r="G63" s="13" t="s">
        <v>6</v>
      </c>
      <c r="H63" s="13">
        <f t="shared" si="2"/>
        <v>1007</v>
      </c>
      <c r="I63" s="13" t="str">
        <f t="shared" si="3"/>
        <v>0x000003EF</v>
      </c>
      <c r="K63" s="13" t="str">
        <f t="shared" si="5"/>
        <v>{(U2)126U,</v>
      </c>
      <c r="L63" s="13" t="str">
        <f t="shared" si="6"/>
        <v>(U2)2U},</v>
      </c>
      <c r="M63" s="13" t="str">
        <f t="shared" si="4"/>
        <v>/* MBOX = 71 / 0x000003e7 : Rx Mask = 0x00000008 */</v>
      </c>
      <c r="N63" s="184"/>
    </row>
    <row r="64" spans="1:14">
      <c r="A64" s="13" t="str">
        <f>"0x00000"&amp;'CANRx_G2M-1_v2'!B68</f>
        <v>0x00000214</v>
      </c>
      <c r="B64" s="13">
        <f>IF('CANRx_G2M-1_v2'!AF68&lt;&gt;"",'CANRx_G2M-1_v2'!AF68,B63)</f>
        <v>34</v>
      </c>
      <c r="D64" s="13" t="s">
        <v>8091</v>
      </c>
      <c r="E64" s="13">
        <v>72</v>
      </c>
      <c r="F64" s="13" t="s">
        <v>588</v>
      </c>
      <c r="G64" s="13" t="s">
        <v>494</v>
      </c>
      <c r="H64" s="13">
        <f t="shared" si="2"/>
        <v>1067</v>
      </c>
      <c r="I64" s="13" t="str">
        <f t="shared" si="3"/>
        <v>0x0000042B</v>
      </c>
      <c r="K64" s="13" t="str">
        <f t="shared" si="5"/>
        <v>{(U2)139U,</v>
      </c>
      <c r="L64" s="13" t="str">
        <f t="shared" si="6"/>
        <v>(U2)3U},</v>
      </c>
      <c r="M64" s="13" t="str">
        <f t="shared" si="4"/>
        <v>/* MBOX = 72 / 0x00000428 : Rx Mask = 0x00000003 */</v>
      </c>
      <c r="N64" s="184"/>
    </row>
    <row r="65" spans="1:14">
      <c r="A65" s="13" t="str">
        <f>"0x00000"&amp;'CANRx_G2M-1_v2'!B69</f>
        <v>0x00000207</v>
      </c>
      <c r="B65" s="13">
        <f>IF('CANRx_G2M-1_v2'!AF69&lt;&gt;"",'CANRx_G2M-1_v2'!AF69,B64)</f>
        <v>35</v>
      </c>
      <c r="D65" s="13" t="s">
        <v>8092</v>
      </c>
      <c r="E65" s="13">
        <v>73</v>
      </c>
      <c r="F65" s="13" t="s">
        <v>614</v>
      </c>
      <c r="G65" s="13" t="s">
        <v>623</v>
      </c>
      <c r="H65" s="13">
        <f t="shared" si="2"/>
        <v>1330</v>
      </c>
      <c r="I65" s="13" t="str">
        <f t="shared" si="3"/>
        <v>0x00000532</v>
      </c>
      <c r="K65" s="13" t="str">
        <f t="shared" si="5"/>
        <v>{(U2)145U,</v>
      </c>
      <c r="L65" s="13" t="str">
        <f t="shared" si="6"/>
        <v>(U2)4U},</v>
      </c>
      <c r="M65" s="13" t="str">
        <f t="shared" si="4"/>
        <v>/* MBOX = 73 / 0x00000430 : Rx Mask = 0x00000102 */</v>
      </c>
      <c r="N65" s="184"/>
    </row>
    <row r="66" spans="1:14">
      <c r="A66" s="13" t="str">
        <f>"0x00000"&amp;'CANRx_G2M-1_v2'!B70</f>
        <v>0x0000020B</v>
      </c>
      <c r="B66" s="13">
        <f>IF('CANRx_G2M-1_v2'!AF70&lt;&gt;"",'CANRx_G2M-1_v2'!AF70,B65)</f>
        <v>35</v>
      </c>
      <c r="D66" s="13" t="s">
        <v>8093</v>
      </c>
      <c r="E66" s="13">
        <v>74</v>
      </c>
      <c r="F66" s="13" t="s">
        <v>643</v>
      </c>
      <c r="G66" s="13" t="s">
        <v>102</v>
      </c>
      <c r="H66" s="13">
        <f t="shared" si="2"/>
        <v>1156</v>
      </c>
      <c r="I66" s="13" t="str">
        <f t="shared" si="3"/>
        <v>0x00000484</v>
      </c>
      <c r="K66" s="13" t="str">
        <f t="shared" ref="K66:K97" si="7">"{(U2)"&amp;VLOOKUP(F66,$A$2:$B$282,2,FALSE)&amp;"U,"</f>
        <v>{(U2)152U,</v>
      </c>
      <c r="L66" s="13" t="str">
        <f t="shared" ref="L66:L97" si="8">"(U2)"&amp;(VLOOKUP(I66,$A$2:$B$282,2,FALSE)-VLOOKUP(F66,$A$2:$B$282,2,FALSE)+1)&amp;"U},"</f>
        <v>(U2)1U},</v>
      </c>
      <c r="M66" s="13" t="str">
        <f t="shared" si="4"/>
        <v>/* MBOX = 74 / 0x00000480 : Rx Mask = 0x00000004 */</v>
      </c>
      <c r="N66" s="184"/>
    </row>
    <row r="67" spans="1:14">
      <c r="A67" s="13" t="str">
        <f>"0x00000"&amp;'CANRx_G2M-1_v2'!B71</f>
        <v>0x0000020E</v>
      </c>
      <c r="B67" s="13">
        <f>IF('CANRx_G2M-1_v2'!AF71&lt;&gt;"",'CANRx_G2M-1_v2'!AF71,B66)</f>
        <v>35</v>
      </c>
      <c r="D67" s="13" t="s">
        <v>8094</v>
      </c>
      <c r="E67" s="13">
        <v>75</v>
      </c>
      <c r="F67" s="13" t="s">
        <v>653</v>
      </c>
      <c r="G67" s="13" t="s">
        <v>102</v>
      </c>
      <c r="H67" s="13">
        <f t="shared" ref="H67:H130" si="9">IF(G67&lt;&gt;"NOUSE",HEX2DEC(RIGHT(F67,3))+HEX2DEC(RIGHT(G67,3)),"")</f>
        <v>1173</v>
      </c>
      <c r="I67" s="13" t="str">
        <f t="shared" ref="I67:I130" si="10">IF(H67&lt;&gt;"","0x"&amp;DEC2HEX(H67,8),F67)</f>
        <v>0x00000495</v>
      </c>
      <c r="K67" s="13" t="str">
        <f t="shared" si="7"/>
        <v>{(U2)154U,</v>
      </c>
      <c r="L67" s="13" t="str">
        <f t="shared" si="8"/>
        <v>(U2)2U},</v>
      </c>
      <c r="M67" s="13" t="str">
        <f t="shared" ref="M67:M130" si="11">"/* MBOX = "&amp;E67&amp;" / "&amp;LOWER(F67)&amp;" : Rx Mask = "&amp;G67&amp;" */"</f>
        <v>/* MBOX = 75 / 0x00000491 : Rx Mask = 0x00000004 */</v>
      </c>
      <c r="N67" s="184"/>
    </row>
    <row r="68" spans="1:14">
      <c r="A68" s="13" t="str">
        <f>"0x00000"&amp;'CANRx_G2M-1_v2'!B72</f>
        <v>0x00000235</v>
      </c>
      <c r="B68" s="13">
        <f>IF('CANRx_G2M-1_v2'!AF72&lt;&gt;"",'CANRx_G2M-1_v2'!AF72,B67)</f>
        <v>36</v>
      </c>
      <c r="D68" s="13" t="s">
        <v>8095</v>
      </c>
      <c r="E68" s="13">
        <v>76</v>
      </c>
      <c r="F68" s="13" t="s">
        <v>369</v>
      </c>
      <c r="G68" s="13" t="s">
        <v>312</v>
      </c>
      <c r="H68" s="13">
        <f t="shared" si="9"/>
        <v>847</v>
      </c>
      <c r="I68" s="13" t="str">
        <f t="shared" si="10"/>
        <v>0x0000034F</v>
      </c>
      <c r="K68" s="13" t="str">
        <f t="shared" si="7"/>
        <v>{(U2)72U,</v>
      </c>
      <c r="L68" s="13" t="str">
        <f t="shared" si="8"/>
        <v>(U2)2U},</v>
      </c>
      <c r="M68" s="13" t="str">
        <f t="shared" si="11"/>
        <v>/* MBOX = 76 / 0x0000034e : Rx Mask = 0x00000001 */</v>
      </c>
      <c r="N68" s="184"/>
    </row>
    <row r="69" spans="1:14">
      <c r="A69" s="13" t="str">
        <f>"0x00000"&amp;'CANRx_G2M-1_v2'!B73</f>
        <v>0x00000251</v>
      </c>
      <c r="B69" s="13">
        <f>IF('CANRx_G2M-1_v2'!AF73&lt;&gt;"",'CANRx_G2M-1_v2'!AF73,B68)</f>
        <v>36</v>
      </c>
      <c r="D69" s="13" t="s">
        <v>8096</v>
      </c>
      <c r="E69" s="13">
        <v>77</v>
      </c>
      <c r="F69" s="13" t="s">
        <v>654</v>
      </c>
      <c r="G69" s="13" t="s">
        <v>312</v>
      </c>
      <c r="H69" s="13">
        <f t="shared" si="9"/>
        <v>1175</v>
      </c>
      <c r="I69" s="13" t="str">
        <f t="shared" si="10"/>
        <v>0x00000497</v>
      </c>
      <c r="K69" s="13" t="str">
        <f t="shared" si="7"/>
        <v>{(U2)155U,</v>
      </c>
      <c r="L69" s="13" t="str">
        <f t="shared" si="8"/>
        <v>(U2)2U},</v>
      </c>
      <c r="M69" s="13" t="str">
        <f t="shared" si="11"/>
        <v>/* MBOX = 77 / 0x00000496 : Rx Mask = 0x00000001 */</v>
      </c>
      <c r="N69" s="184"/>
    </row>
    <row r="70" spans="1:14">
      <c r="A70" s="13" t="str">
        <f>"0x00000"&amp;'CANRx_G2M-1_v2'!B74</f>
        <v>0x00000255</v>
      </c>
      <c r="B70" s="13">
        <f>IF('CANRx_G2M-1_v2'!AF74&lt;&gt;"",'CANRx_G2M-1_v2'!AF74,B69)</f>
        <v>37</v>
      </c>
      <c r="D70" s="13" t="s">
        <v>8097</v>
      </c>
      <c r="E70" s="13">
        <v>78</v>
      </c>
      <c r="F70" s="13" t="s">
        <v>686</v>
      </c>
      <c r="G70" s="13" t="s">
        <v>46</v>
      </c>
      <c r="H70" s="13" t="str">
        <f t="shared" si="9"/>
        <v/>
      </c>
      <c r="I70" s="13" t="str">
        <f t="shared" si="10"/>
        <v>0x00000526</v>
      </c>
      <c r="K70" s="13" t="str">
        <f t="shared" si="7"/>
        <v>{(U2)165U,</v>
      </c>
      <c r="L70" s="13" t="str">
        <f t="shared" si="8"/>
        <v>(U2)1U},</v>
      </c>
      <c r="M70" s="13" t="str">
        <f t="shared" si="11"/>
        <v>/* MBOX = 78 / 0x00000526 : Rx Mask = NOUSE */</v>
      </c>
      <c r="N70" s="184"/>
    </row>
    <row r="71" spans="1:14">
      <c r="A71" s="13" t="str">
        <f>"0x00000"&amp;'CANRx_G2M-1_v2'!B75</f>
        <v>0x0000025A</v>
      </c>
      <c r="B71" s="13">
        <f>IF('CANRx_G2M-1_v2'!AF75&lt;&gt;"",'CANRx_G2M-1_v2'!AF75,B70)</f>
        <v>38</v>
      </c>
      <c r="D71" s="13" t="s">
        <v>8098</v>
      </c>
      <c r="E71" s="13">
        <v>79</v>
      </c>
      <c r="F71" s="13" t="s">
        <v>676</v>
      </c>
      <c r="G71" s="13" t="s">
        <v>273</v>
      </c>
      <c r="H71" s="13">
        <f t="shared" si="9"/>
        <v>1323</v>
      </c>
      <c r="I71" s="13" t="str">
        <f t="shared" si="10"/>
        <v>0x0000052B</v>
      </c>
      <c r="K71" s="13" t="str">
        <f t="shared" si="7"/>
        <v>{(U2)162U,</v>
      </c>
      <c r="L71" s="13" t="str">
        <f t="shared" si="8"/>
        <v>(U2)1U},</v>
      </c>
      <c r="M71" s="13" t="str">
        <f t="shared" si="11"/>
        <v>/* MBOX = 79 / 0x0000050b : Rx Mask = 0x00000020 */</v>
      </c>
      <c r="N71" s="184"/>
    </row>
    <row r="72" spans="1:14">
      <c r="A72" s="13" t="str">
        <f>"0x00000"&amp;'CANRx_G2M-1_v2'!B76</f>
        <v>0x000002DA</v>
      </c>
      <c r="B72" s="13">
        <f>IF('CANRx_G2M-1_v2'!AF76&lt;&gt;"",'CANRx_G2M-1_v2'!AF76,B71)</f>
        <v>39</v>
      </c>
      <c r="D72" s="13" t="s">
        <v>8099</v>
      </c>
      <c r="E72" s="13">
        <v>80</v>
      </c>
      <c r="F72" s="13" t="s">
        <v>668</v>
      </c>
      <c r="G72" s="13" t="s">
        <v>673</v>
      </c>
      <c r="H72" s="13">
        <f t="shared" si="9"/>
        <v>1324</v>
      </c>
      <c r="I72" s="13" t="str">
        <f t="shared" si="10"/>
        <v>0x0000052C</v>
      </c>
      <c r="K72" s="13" t="str">
        <f t="shared" si="7"/>
        <v>{(U2)159U,</v>
      </c>
      <c r="L72" s="13" t="str">
        <f t="shared" si="8"/>
        <v>(U2)3U},</v>
      </c>
      <c r="M72" s="13" t="str">
        <f t="shared" si="11"/>
        <v>/* MBOX = 80 / 0x00000508 : Rx Mask = 0x00000024 */</v>
      </c>
      <c r="N72" s="184"/>
    </row>
    <row r="73" spans="1:14">
      <c r="A73" s="13" t="str">
        <f>"0x00000"&amp;'CANRx_G2M-1_v2'!B77</f>
        <v>0x0000027B</v>
      </c>
      <c r="B73" s="13">
        <f>IF('CANRx_G2M-1_v2'!AF77&lt;&gt;"",'CANRx_G2M-1_v2'!AF77,B72)</f>
        <v>40</v>
      </c>
      <c r="D73" s="13" t="s">
        <v>8100</v>
      </c>
      <c r="E73" s="13">
        <v>81</v>
      </c>
      <c r="F73" s="13" t="s">
        <v>687</v>
      </c>
      <c r="G73" s="13" t="s">
        <v>46</v>
      </c>
      <c r="H73" s="13" t="str">
        <f t="shared" si="9"/>
        <v/>
      </c>
      <c r="I73" s="13" t="str">
        <f t="shared" si="10"/>
        <v>0x00000531</v>
      </c>
      <c r="K73" s="13" t="str">
        <f t="shared" si="7"/>
        <v>{(U2)165U,</v>
      </c>
      <c r="L73" s="13" t="str">
        <f t="shared" si="8"/>
        <v>(U2)1U},</v>
      </c>
      <c r="M73" s="13" t="str">
        <f t="shared" si="11"/>
        <v>/* MBOX = 81 / 0x00000531 : Rx Mask = NOUSE */</v>
      </c>
      <c r="N73" s="184"/>
    </row>
    <row r="74" spans="1:14">
      <c r="A74" s="13" t="str">
        <f>"0x00000"&amp;'CANRx_G2M-1_v2'!B78</f>
        <v>0x00000282</v>
      </c>
      <c r="B74" s="13">
        <f>IF('CANRx_G2M-1_v2'!AF78&lt;&gt;"",'CANRx_G2M-1_v2'!AF78,B73)</f>
        <v>41</v>
      </c>
      <c r="D74" s="13" t="s">
        <v>8101</v>
      </c>
      <c r="E74" s="13">
        <v>82</v>
      </c>
      <c r="F74" s="13" t="s">
        <v>690</v>
      </c>
      <c r="G74" s="13" t="s">
        <v>494</v>
      </c>
      <c r="H74" s="13">
        <f t="shared" si="9"/>
        <v>1335</v>
      </c>
      <c r="I74" s="13" t="str">
        <f t="shared" si="10"/>
        <v>0x00000537</v>
      </c>
      <c r="K74" s="13" t="str">
        <f t="shared" si="7"/>
        <v>{(U2)166U,</v>
      </c>
      <c r="L74" s="13" t="str">
        <f t="shared" si="8"/>
        <v>(U2)2U},</v>
      </c>
      <c r="M74" s="13" t="str">
        <f t="shared" si="11"/>
        <v>/* MBOX = 82 / 0x00000534 : Rx Mask = 0x00000003 */</v>
      </c>
      <c r="N74" s="184"/>
    </row>
    <row r="75" spans="1:14">
      <c r="A75" s="13" t="str">
        <f>"0x00000"&amp;'CANRx_G2M-1_v2'!B79</f>
        <v>0x00000382</v>
      </c>
      <c r="B75" s="13">
        <f>IF('CANRx_G2M-1_v2'!AF79&lt;&gt;"",'CANRx_G2M-1_v2'!AF79,B74)</f>
        <v>42</v>
      </c>
      <c r="D75" s="13" t="s">
        <v>8102</v>
      </c>
      <c r="E75" s="13">
        <v>83</v>
      </c>
      <c r="F75" s="13" t="s">
        <v>697</v>
      </c>
      <c r="G75" s="13" t="s">
        <v>46</v>
      </c>
      <c r="H75" s="13" t="str">
        <f t="shared" si="9"/>
        <v/>
      </c>
      <c r="I75" s="13" t="str">
        <f t="shared" si="10"/>
        <v>0x00000538</v>
      </c>
      <c r="K75" s="13" t="str">
        <f t="shared" si="7"/>
        <v>{(U2)167U,</v>
      </c>
      <c r="L75" s="13" t="str">
        <f t="shared" si="8"/>
        <v>(U2)1U},</v>
      </c>
      <c r="M75" s="13" t="str">
        <f t="shared" si="11"/>
        <v>/* MBOX = 83 / 0x00000538 : Rx Mask = NOUSE */</v>
      </c>
      <c r="N75" s="184"/>
    </row>
    <row r="76" spans="1:14">
      <c r="A76" s="13" t="str">
        <f>"0x00000"&amp;'CANRx_G2M-1_v2'!B80</f>
        <v>0x00000285</v>
      </c>
      <c r="B76" s="13">
        <f>IF('CANRx_G2M-1_v2'!AF80&lt;&gt;"",'CANRx_G2M-1_v2'!AF80,B75)</f>
        <v>43</v>
      </c>
      <c r="D76" s="13" t="s">
        <v>8103</v>
      </c>
      <c r="E76" s="13">
        <v>84</v>
      </c>
      <c r="F76" s="13" t="s">
        <v>248</v>
      </c>
      <c r="G76" s="13" t="s">
        <v>253</v>
      </c>
      <c r="H76" s="13">
        <f t="shared" si="9"/>
        <v>755</v>
      </c>
      <c r="I76" s="13" t="str">
        <f t="shared" si="10"/>
        <v>0x000002F3</v>
      </c>
      <c r="K76" s="13" t="str">
        <f t="shared" si="7"/>
        <v>{(U2)47U,</v>
      </c>
      <c r="L76" s="13" t="str">
        <f t="shared" si="8"/>
        <v>(U2)1U},</v>
      </c>
      <c r="M76" s="13" t="str">
        <f t="shared" si="11"/>
        <v>/* MBOX = 84 / 0x000002b3 : Rx Mask = 0x00000040 */</v>
      </c>
      <c r="N76" s="184"/>
    </row>
    <row r="77" spans="1:14">
      <c r="A77" s="13" t="str">
        <f>"0x00000"&amp;'CANRx_G2M-1_v2'!B81</f>
        <v>0x00000295</v>
      </c>
      <c r="B77" s="13">
        <f>IF('CANRx_G2M-1_v2'!AF81&lt;&gt;"",'CANRx_G2M-1_v2'!AF81,B76)</f>
        <v>44</v>
      </c>
      <c r="D77" s="13" t="s">
        <v>8104</v>
      </c>
      <c r="E77" s="13">
        <v>85</v>
      </c>
      <c r="F77" s="13" t="s">
        <v>513</v>
      </c>
      <c r="G77" s="13" t="s">
        <v>273</v>
      </c>
      <c r="H77" s="13">
        <f t="shared" si="9"/>
        <v>1000</v>
      </c>
      <c r="I77" s="13" t="str">
        <f t="shared" si="10"/>
        <v>0x000003E8</v>
      </c>
      <c r="K77" s="13" t="str">
        <f t="shared" si="7"/>
        <v>{(U2)123U,</v>
      </c>
      <c r="L77" s="13" t="str">
        <f t="shared" si="8"/>
        <v>(U2)2U},</v>
      </c>
      <c r="M77" s="13" t="str">
        <f t="shared" si="11"/>
        <v>/* MBOX = 85 / 0x000003c8 : Rx Mask = 0x00000020 */</v>
      </c>
      <c r="N77" s="184"/>
    </row>
    <row r="78" spans="1:14">
      <c r="A78" s="13" t="str">
        <f>"0x00000"&amp;'CANRx_G2M-1_v2'!B82</f>
        <v>0x00000395</v>
      </c>
      <c r="B78" s="13">
        <f>IF('CANRx_G2M-1_v2'!AF82&lt;&gt;"",'CANRx_G2M-1_v2'!AF82,B77)</f>
        <v>45</v>
      </c>
      <c r="D78" s="13" t="s">
        <v>8105</v>
      </c>
      <c r="E78" s="13">
        <v>86</v>
      </c>
      <c r="F78" s="13" t="s">
        <v>520</v>
      </c>
      <c r="G78" s="13" t="s">
        <v>527</v>
      </c>
      <c r="H78" s="13">
        <f t="shared" si="9"/>
        <v>1014</v>
      </c>
      <c r="I78" s="13" t="str">
        <f t="shared" si="10"/>
        <v>0x000003F6</v>
      </c>
      <c r="K78" s="13" t="str">
        <f t="shared" si="7"/>
        <v>{(U2)128U,</v>
      </c>
      <c r="L78" s="13" t="str">
        <f t="shared" si="8"/>
        <v>(U2)3U},</v>
      </c>
      <c r="M78" s="13" t="str">
        <f t="shared" si="11"/>
        <v>/* MBOX = 86 / 0x000003f0 : Rx Mask = 0x00000006 */</v>
      </c>
      <c r="N78" s="184"/>
    </row>
    <row r="79" spans="1:14">
      <c r="A79" s="13" t="str">
        <f>"0x00000"&amp;'CANRx_G2M-1_v2'!B83</f>
        <v>0x00000296</v>
      </c>
      <c r="B79" s="13">
        <f>IF('CANRx_G2M-1_v2'!AF83&lt;&gt;"",'CANRx_G2M-1_v2'!AF83,B78)</f>
        <v>46</v>
      </c>
      <c r="D79" s="13" t="s">
        <v>8106</v>
      </c>
      <c r="E79" s="13">
        <v>87</v>
      </c>
      <c r="F79" s="13" t="s">
        <v>302</v>
      </c>
      <c r="G79" s="13" t="s">
        <v>46</v>
      </c>
      <c r="H79" s="13" t="str">
        <f t="shared" si="9"/>
        <v/>
      </c>
      <c r="I79" s="13" t="str">
        <f t="shared" si="10"/>
        <v>0x0000031E</v>
      </c>
      <c r="K79" s="13" t="str">
        <f t="shared" si="7"/>
        <v>{(U2)61U,</v>
      </c>
      <c r="L79" s="13" t="str">
        <f t="shared" si="8"/>
        <v>(U2)1U},</v>
      </c>
      <c r="M79" s="13" t="str">
        <f t="shared" si="11"/>
        <v>/* MBOX = 87 / 0x0000031e : Rx Mask = NOUSE */</v>
      </c>
      <c r="N79" s="184"/>
    </row>
    <row r="80" spans="1:14">
      <c r="A80" s="13" t="str">
        <f>"0x00000"&amp;'CANRx_G2M-1_v2'!B84</f>
        <v>0x000002A6</v>
      </c>
      <c r="B80" s="13">
        <f>IF('CANRx_G2M-1_v2'!AF84&lt;&gt;"",'CANRx_G2M-1_v2'!AF84,B79)</f>
        <v>46</v>
      </c>
      <c r="D80" s="13" t="s">
        <v>8107</v>
      </c>
      <c r="E80" s="13">
        <v>88</v>
      </c>
      <c r="F80" s="13" t="s">
        <v>681</v>
      </c>
      <c r="G80" s="13" t="s">
        <v>94</v>
      </c>
      <c r="H80" s="13">
        <f t="shared" si="9"/>
        <v>1310</v>
      </c>
      <c r="I80" s="13" t="str">
        <f t="shared" si="10"/>
        <v>0x0000051E</v>
      </c>
      <c r="K80" s="13" t="str">
        <f t="shared" si="7"/>
        <v>{(U2)163U,</v>
      </c>
      <c r="L80" s="13" t="str">
        <f t="shared" si="8"/>
        <v>(U2)2U},</v>
      </c>
      <c r="M80" s="13" t="str">
        <f t="shared" si="11"/>
        <v>/* MBOX = 88 / 0x0000050e : Rx Mask = 0x00000010 */</v>
      </c>
      <c r="N80" s="184"/>
    </row>
    <row r="81" spans="1:14">
      <c r="A81" s="13" t="str">
        <f>"0x00000"&amp;'CANRx_G2M-1_v2'!B85</f>
        <v>0x000002AF</v>
      </c>
      <c r="B81" s="13">
        <f>IF('CANRx_G2M-1_v2'!AF85&lt;&gt;"",'CANRx_G2M-1_v2'!AF85,B80)</f>
        <v>47</v>
      </c>
      <c r="D81" s="13" t="s">
        <v>8108</v>
      </c>
      <c r="E81" s="13">
        <v>89</v>
      </c>
      <c r="F81" s="13" t="s">
        <v>551</v>
      </c>
      <c r="G81" s="13" t="s">
        <v>36</v>
      </c>
      <c r="H81" s="13">
        <f t="shared" si="9"/>
        <v>1293</v>
      </c>
      <c r="I81" s="13" t="str">
        <f t="shared" si="10"/>
        <v>0x0000050D</v>
      </c>
      <c r="K81" s="13" t="str">
        <f t="shared" si="7"/>
        <v>{(U2)133U,</v>
      </c>
      <c r="L81" s="13" t="str">
        <f t="shared" si="8"/>
        <v>(U2)2U},</v>
      </c>
      <c r="M81" s="13" t="str">
        <f t="shared" si="11"/>
        <v>/* MBOX = 89 / 0x0000040d : Rx Mask = 0x00000100 */</v>
      </c>
      <c r="N81" s="184"/>
    </row>
    <row r="82" spans="1:14">
      <c r="A82" s="13" t="str">
        <f>"0x00000"&amp;'CANRx_G2M-1_v2'!B86</f>
        <v>0x000002B3</v>
      </c>
      <c r="B82" s="13">
        <f>IF('CANRx_G2M-1_v2'!AF86&lt;&gt;"",'CANRx_G2M-1_v2'!AF86,B81)</f>
        <v>47</v>
      </c>
      <c r="D82" s="13" t="s">
        <v>8109</v>
      </c>
      <c r="E82" s="13">
        <v>90</v>
      </c>
      <c r="F82" s="13" t="s">
        <v>712</v>
      </c>
      <c r="G82" s="13" t="s">
        <v>46</v>
      </c>
      <c r="H82" s="13" t="str">
        <f t="shared" si="9"/>
        <v/>
      </c>
      <c r="I82" s="13" t="str">
        <f t="shared" si="10"/>
        <v>0x00000610</v>
      </c>
      <c r="K82" s="13" t="str">
        <f t="shared" si="7"/>
        <v>{(U2)170U,</v>
      </c>
      <c r="L82" s="13" t="str">
        <f t="shared" si="8"/>
        <v>(U2)1U},</v>
      </c>
      <c r="M82" s="13" t="str">
        <f t="shared" si="11"/>
        <v>/* MBOX = 90 / 0x00000610 : Rx Mask = NOUSE */</v>
      </c>
      <c r="N82" s="184"/>
    </row>
    <row r="83" spans="1:14">
      <c r="A83" s="13" t="str">
        <f>"0x00000"&amp;'CANRx_G2M-1_v2'!B87</f>
        <v>0x000002F3</v>
      </c>
      <c r="B83" s="13">
        <f>IF('CANRx_G2M-1_v2'!AF87&lt;&gt;"",'CANRx_G2M-1_v2'!AF87,B82)</f>
        <v>47</v>
      </c>
      <c r="D83" s="13" t="s">
        <v>8110</v>
      </c>
      <c r="E83" s="13">
        <v>91</v>
      </c>
      <c r="F83" s="13" t="s">
        <v>189</v>
      </c>
      <c r="G83" s="13" t="s">
        <v>62</v>
      </c>
      <c r="H83" s="13">
        <f t="shared" si="9"/>
        <v>1538</v>
      </c>
      <c r="I83" s="13" t="str">
        <f t="shared" si="10"/>
        <v>0x00000602</v>
      </c>
      <c r="K83" s="13" t="str">
        <f t="shared" si="7"/>
        <v>{(U2)33U,</v>
      </c>
      <c r="L83" s="13" t="str">
        <f t="shared" si="8"/>
        <v>(U2)1U},</v>
      </c>
      <c r="M83" s="13" t="str">
        <f t="shared" si="11"/>
        <v>/* MBOX = 91 / 0x00000202 : Rx Mask = 0x00000400 */</v>
      </c>
      <c r="N83" s="184"/>
    </row>
    <row r="84" spans="1:14">
      <c r="A84" s="13" t="str">
        <f>"0x00000"&amp;'CANRx_G2M-1_v2'!B88</f>
        <v>0x000002E5</v>
      </c>
      <c r="B84" s="13">
        <f>IF('CANRx_G2M-1_v2'!AF88&lt;&gt;"",'CANRx_G2M-1_v2'!AF88,B83)</f>
        <v>48</v>
      </c>
      <c r="D84" s="13" t="s">
        <v>8111</v>
      </c>
      <c r="E84" s="13">
        <v>92</v>
      </c>
      <c r="F84" s="13" t="s">
        <v>700</v>
      </c>
      <c r="G84" s="13" t="s">
        <v>102</v>
      </c>
      <c r="H84" s="13">
        <f t="shared" si="9"/>
        <v>1430</v>
      </c>
      <c r="I84" s="13" t="str">
        <f t="shared" si="10"/>
        <v>0x00000596</v>
      </c>
      <c r="K84" s="13" t="str">
        <f t="shared" si="7"/>
        <v>{(U2)168U,</v>
      </c>
      <c r="L84" s="13" t="str">
        <f t="shared" si="8"/>
        <v>(U2)1U},</v>
      </c>
      <c r="M84" s="13" t="str">
        <f t="shared" si="11"/>
        <v>/* MBOX = 92 / 0x00000592 : Rx Mask = 0x00000004 */</v>
      </c>
      <c r="N84" s="184"/>
    </row>
    <row r="85" spans="1:14">
      <c r="A85" s="13" t="str">
        <f>"0x00000"&amp;'CANRx_G2M-1_v2'!B89</f>
        <v>0x000002EB</v>
      </c>
      <c r="B85" s="13">
        <f>IF('CANRx_G2M-1_v2'!AF89&lt;&gt;"",'CANRx_G2M-1_v2'!AF89,B84)</f>
        <v>49</v>
      </c>
      <c r="D85" s="13" t="s">
        <v>8112</v>
      </c>
      <c r="E85" s="13">
        <v>93</v>
      </c>
      <c r="F85" s="13" t="s">
        <v>116</v>
      </c>
      <c r="G85" s="13" t="s">
        <v>46</v>
      </c>
      <c r="H85" s="13" t="str">
        <f t="shared" si="9"/>
        <v/>
      </c>
      <c r="I85" s="13" t="str">
        <f t="shared" si="10"/>
        <v>0x0000018D</v>
      </c>
      <c r="K85" s="13" t="str">
        <f t="shared" si="7"/>
        <v>{(U2)16U,</v>
      </c>
      <c r="L85" s="13" t="str">
        <f t="shared" si="8"/>
        <v>(U2)1U},</v>
      </c>
      <c r="M85" s="13" t="str">
        <f t="shared" si="11"/>
        <v>/* MBOX = 93 / 0x0000018d : Rx Mask = NOUSE */</v>
      </c>
      <c r="N85" s="184"/>
    </row>
    <row r="86" spans="1:14">
      <c r="A86" s="13" t="str">
        <f>"0x00000"&amp;'CANRx_G2M-1_v2'!B90</f>
        <v>0x000002EE</v>
      </c>
      <c r="B86" s="13">
        <f>IF('CANRx_G2M-1_v2'!AF90&lt;&gt;"",'CANRx_G2M-1_v2'!AF90,B85)</f>
        <v>50</v>
      </c>
      <c r="D86" s="13" t="s">
        <v>8113</v>
      </c>
      <c r="E86" s="13">
        <v>94</v>
      </c>
      <c r="F86" s="13" t="s">
        <v>119</v>
      </c>
      <c r="G86" s="13" t="s">
        <v>46</v>
      </c>
      <c r="H86" s="13" t="str">
        <f t="shared" si="9"/>
        <v/>
      </c>
      <c r="I86" s="13" t="str">
        <f t="shared" si="10"/>
        <v>0x0000019A</v>
      </c>
      <c r="K86" s="13" t="str">
        <f t="shared" si="7"/>
        <v>{(U2)16U,</v>
      </c>
      <c r="L86" s="13" t="str">
        <f t="shared" si="8"/>
        <v>(U2)1U},</v>
      </c>
      <c r="M86" s="13" t="str">
        <f t="shared" si="11"/>
        <v>/* MBOX = 94 / 0x0000019a : Rx Mask = NOUSE */</v>
      </c>
      <c r="N86" s="184"/>
    </row>
    <row r="87" spans="1:14">
      <c r="A87" s="13" t="str">
        <f>"0x00000"&amp;'CANRx_G2M-1_v2'!B91</f>
        <v>0x000002F9</v>
      </c>
      <c r="B87" s="13">
        <f>IF('CANRx_G2M-1_v2'!AF91&lt;&gt;"",'CANRx_G2M-1_v2'!AF91,B86)</f>
        <v>51</v>
      </c>
      <c r="D87" s="13" t="s">
        <v>8114</v>
      </c>
      <c r="E87" s="13">
        <v>95</v>
      </c>
      <c r="F87" s="13" t="s">
        <v>514</v>
      </c>
      <c r="G87" s="13" t="s">
        <v>312</v>
      </c>
      <c r="H87" s="13">
        <f t="shared" si="9"/>
        <v>971</v>
      </c>
      <c r="I87" s="13" t="str">
        <f t="shared" si="10"/>
        <v>0x000003CB</v>
      </c>
      <c r="K87" s="13" t="str">
        <f t="shared" si="7"/>
        <v>{(U2)125U,</v>
      </c>
      <c r="L87" s="13" t="str">
        <f t="shared" si="8"/>
        <v>(U2)1U},</v>
      </c>
      <c r="M87" s="13" t="str">
        <f t="shared" si="11"/>
        <v>/* MBOX = 95 / 0x000003ca : Rx Mask = 0x00000001 */</v>
      </c>
      <c r="N87" s="184"/>
    </row>
    <row r="88" spans="1:14">
      <c r="A88" s="13" t="str">
        <f>"0x00000"&amp;'CANRx_G2M-1_v2'!B92</f>
        <v>0x000002FD</v>
      </c>
      <c r="B88" s="13">
        <f>IF('CANRx_G2M-1_v2'!AF92&lt;&gt;"",'CANRx_G2M-1_v2'!AF92,B87)</f>
        <v>52</v>
      </c>
      <c r="D88" s="13" t="s">
        <v>8115</v>
      </c>
      <c r="E88" s="13">
        <v>96</v>
      </c>
      <c r="F88" s="13" t="s">
        <v>210</v>
      </c>
      <c r="G88" s="13" t="s">
        <v>46</v>
      </c>
      <c r="H88" s="13" t="str">
        <f t="shared" si="9"/>
        <v/>
      </c>
      <c r="I88" s="13" t="str">
        <f t="shared" si="10"/>
        <v>0x00000235</v>
      </c>
      <c r="K88" s="13" t="str">
        <f t="shared" si="7"/>
        <v>{(U2)36U,</v>
      </c>
      <c r="L88" s="13" t="str">
        <f t="shared" si="8"/>
        <v>(U2)1U},</v>
      </c>
      <c r="M88" s="13" t="str">
        <f t="shared" si="11"/>
        <v>/* MBOX = 96 / 0x00000235 : Rx Mask = NOUSE */</v>
      </c>
      <c r="N88" s="184"/>
    </row>
    <row r="89" spans="1:14">
      <c r="A89" s="13" t="str">
        <f>"0x00000"&amp;'CANRx_G2M-1_v2'!B93</f>
        <v>0x00000305</v>
      </c>
      <c r="B89" s="13">
        <f>IF('CANRx_G2M-1_v2'!AF93&lt;&gt;"",'CANRx_G2M-1_v2'!AF93,B88)</f>
        <v>53</v>
      </c>
      <c r="D89" s="13" t="s">
        <v>8116</v>
      </c>
      <c r="E89" s="13">
        <v>97</v>
      </c>
      <c r="F89" s="13" t="s">
        <v>247</v>
      </c>
      <c r="G89" s="13" t="s">
        <v>46</v>
      </c>
      <c r="H89" s="13" t="str">
        <f t="shared" si="9"/>
        <v/>
      </c>
      <c r="I89" s="13" t="str">
        <f t="shared" si="10"/>
        <v>0x000002AF</v>
      </c>
      <c r="K89" s="13" t="str">
        <f t="shared" si="7"/>
        <v>{(U2)47U,</v>
      </c>
      <c r="L89" s="13" t="str">
        <f t="shared" si="8"/>
        <v>(U2)1U},</v>
      </c>
      <c r="M89" s="13" t="str">
        <f t="shared" si="11"/>
        <v>/* MBOX = 97 / 0x000002af : Rx Mask = NOUSE */</v>
      </c>
      <c r="N89" s="184"/>
    </row>
    <row r="90" spans="1:14">
      <c r="A90" s="13" t="str">
        <f>"0x00000"&amp;'CANRx_G2M-1_v2'!B94</f>
        <v>0x00000325</v>
      </c>
      <c r="B90" s="13">
        <f>IF('CANRx_G2M-1_v2'!AF94&lt;&gt;"",'CANRx_G2M-1_v2'!AF94,B89)</f>
        <v>53</v>
      </c>
      <c r="D90" s="13" t="s">
        <v>8117</v>
      </c>
      <c r="E90" s="13">
        <v>98</v>
      </c>
      <c r="F90" s="13" t="s">
        <v>54</v>
      </c>
      <c r="G90" s="13" t="s">
        <v>46</v>
      </c>
      <c r="H90" s="13" t="str">
        <f t="shared" si="9"/>
        <v/>
      </c>
      <c r="I90" s="13" t="str">
        <f t="shared" si="10"/>
        <v>0x000000B8</v>
      </c>
      <c r="K90" s="13" t="str">
        <f t="shared" si="7"/>
        <v>{(U2)6U,</v>
      </c>
      <c r="L90" s="13" t="str">
        <f t="shared" si="8"/>
        <v>(U2)1U},</v>
      </c>
      <c r="M90" s="13" t="str">
        <f t="shared" si="11"/>
        <v>/* MBOX = 98 / 0x000000b8 : Rx Mask = NOUSE */</v>
      </c>
      <c r="N90" s="184"/>
    </row>
    <row r="91" spans="1:14">
      <c r="A91" s="13" t="str">
        <f>"0x00000"&amp;'CANRx_G2M-1_v2'!B95</f>
        <v>0x00000306</v>
      </c>
      <c r="B91" s="13">
        <f>IF('CANRx_G2M-1_v2'!AF95&lt;&gt;"",'CANRx_G2M-1_v2'!AF95,B90)</f>
        <v>54</v>
      </c>
      <c r="D91" s="13" t="s">
        <v>8118</v>
      </c>
      <c r="E91" s="13">
        <v>99</v>
      </c>
      <c r="F91" s="13" t="s">
        <v>262</v>
      </c>
      <c r="G91" s="13" t="s">
        <v>46</v>
      </c>
      <c r="H91" s="13" t="str">
        <f t="shared" si="9"/>
        <v/>
      </c>
      <c r="I91" s="13" t="str">
        <f t="shared" si="10"/>
        <v>0x000002EE</v>
      </c>
      <c r="K91" s="13" t="str">
        <f t="shared" si="7"/>
        <v>{(U2)50U,</v>
      </c>
      <c r="L91" s="13" t="str">
        <f t="shared" si="8"/>
        <v>(U2)1U},</v>
      </c>
      <c r="M91" s="13" t="str">
        <f t="shared" si="11"/>
        <v>/* MBOX = 99 / 0x000002ee : Rx Mask = NOUSE */</v>
      </c>
      <c r="N91" s="184"/>
    </row>
    <row r="92" spans="1:14">
      <c r="A92" s="13" t="str">
        <f>"0x00000"&amp;'CANRx_G2M-1_v2'!B96</f>
        <v>0x00000312</v>
      </c>
      <c r="B92" s="13">
        <f>IF('CANRx_G2M-1_v2'!AF96&lt;&gt;"",'CANRx_G2M-1_v2'!AF96,B91)</f>
        <v>55</v>
      </c>
      <c r="D92" s="13" t="s">
        <v>8119</v>
      </c>
      <c r="E92" s="13">
        <v>100</v>
      </c>
      <c r="F92" s="13" t="s">
        <v>165</v>
      </c>
      <c r="G92" s="13" t="s">
        <v>46</v>
      </c>
      <c r="H92" s="13" t="str">
        <f t="shared" si="9"/>
        <v/>
      </c>
      <c r="I92" s="13" t="str">
        <f t="shared" si="10"/>
        <v>0x000001D7</v>
      </c>
      <c r="K92" s="13" t="str">
        <f t="shared" si="7"/>
        <v>{(U2)27U,</v>
      </c>
      <c r="L92" s="13" t="str">
        <f t="shared" si="8"/>
        <v>(U2)1U},</v>
      </c>
      <c r="M92" s="13" t="str">
        <f t="shared" si="11"/>
        <v>/* MBOX = 100 / 0x000001d7 : Rx Mask = NOUSE */</v>
      </c>
      <c r="N92" s="184"/>
    </row>
    <row r="93" spans="1:14">
      <c r="A93" s="13" t="str">
        <f>"0x00000"&amp;'CANRx_G2M-1_v2'!B97</f>
        <v>0x00000314</v>
      </c>
      <c r="B93" s="13">
        <f>IF('CANRx_G2M-1_v2'!AF97&lt;&gt;"",'CANRx_G2M-1_v2'!AF97,B92)</f>
        <v>56</v>
      </c>
      <c r="D93" s="13" t="s">
        <v>8120</v>
      </c>
      <c r="E93" s="13">
        <v>101</v>
      </c>
      <c r="F93" s="13" t="s">
        <v>218</v>
      </c>
      <c r="G93" s="13" t="s">
        <v>71</v>
      </c>
      <c r="H93" s="13">
        <f t="shared" si="9"/>
        <v>730</v>
      </c>
      <c r="I93" s="13" t="str">
        <f t="shared" si="10"/>
        <v>0x000002DA</v>
      </c>
      <c r="K93" s="13" t="str">
        <f t="shared" si="7"/>
        <v>{(U2)38U,</v>
      </c>
      <c r="L93" s="13" t="str">
        <f t="shared" si="8"/>
        <v>(U2)2U},</v>
      </c>
      <c r="M93" s="13" t="str">
        <f t="shared" si="11"/>
        <v>/* MBOX = 101 / 0x0000025a : Rx Mask = 0x00000080 */</v>
      </c>
      <c r="N93" s="184"/>
    </row>
    <row r="94" spans="1:14">
      <c r="A94" s="13" t="str">
        <f>"0x00000"&amp;'CANRx_G2M-1_v2'!B98</f>
        <v>0x00000317</v>
      </c>
      <c r="B94" s="13">
        <f>IF('CANRx_G2M-1_v2'!AF98&lt;&gt;"",'CANRx_G2M-1_v2'!AF98,B93)</f>
        <v>56</v>
      </c>
      <c r="D94" s="13" t="s">
        <v>8121</v>
      </c>
      <c r="E94" s="13">
        <v>102</v>
      </c>
      <c r="F94" s="13" t="s">
        <v>256</v>
      </c>
      <c r="G94" s="13" t="s">
        <v>46</v>
      </c>
      <c r="H94" s="13" t="str">
        <f t="shared" si="9"/>
        <v/>
      </c>
      <c r="I94" s="13" t="str">
        <f t="shared" si="10"/>
        <v>0x000002E5</v>
      </c>
      <c r="K94" s="13" t="str">
        <f t="shared" si="7"/>
        <v>{(U2)48U,</v>
      </c>
      <c r="L94" s="13" t="str">
        <f t="shared" si="8"/>
        <v>(U2)1U},</v>
      </c>
      <c r="M94" s="13" t="str">
        <f t="shared" si="11"/>
        <v>/* MBOX = 102 / 0x000002e5 : Rx Mask = NOUSE */</v>
      </c>
      <c r="N94" s="184"/>
    </row>
    <row r="95" spans="1:14">
      <c r="A95" s="13" t="str">
        <f>"0x00000"&amp;'CANRx_G2M-1_v2'!B99</f>
        <v>0x0000031F</v>
      </c>
      <c r="B95" s="13">
        <f>IF('CANRx_G2M-1_v2'!AF99&lt;&gt;"",'CANRx_G2M-1_v2'!AF99,B94)</f>
        <v>57</v>
      </c>
      <c r="D95" s="13" t="s">
        <v>8122</v>
      </c>
      <c r="E95" s="13">
        <v>103</v>
      </c>
      <c r="F95" s="13" t="s">
        <v>65</v>
      </c>
      <c r="G95" s="13" t="s">
        <v>46</v>
      </c>
      <c r="H95" s="13" t="str">
        <f t="shared" si="9"/>
        <v/>
      </c>
      <c r="I95" s="13" t="str">
        <f t="shared" si="10"/>
        <v>0x00000122</v>
      </c>
      <c r="K95" s="13" t="str">
        <f t="shared" si="7"/>
        <v>{(U2)9U,</v>
      </c>
      <c r="L95" s="13" t="str">
        <f t="shared" si="8"/>
        <v>(U2)1U},</v>
      </c>
      <c r="M95" s="13" t="str">
        <f t="shared" si="11"/>
        <v>/* MBOX = 103 / 0x00000122 : Rx Mask = NOUSE */</v>
      </c>
      <c r="N95" s="184"/>
    </row>
    <row r="96" spans="1:14">
      <c r="A96" s="13" t="str">
        <f>"0x00000"&amp;'CANRx_G2M-1_v2'!B100</f>
        <v>0x00000337</v>
      </c>
      <c r="B96" s="13">
        <f>IF('CANRx_G2M-1_v2'!AF100&lt;&gt;"",'CANRx_G2M-1_v2'!AF100,B95)</f>
        <v>58</v>
      </c>
      <c r="D96" s="13" t="s">
        <v>8123</v>
      </c>
      <c r="E96" s="13">
        <v>104</v>
      </c>
      <c r="F96" s="13" t="s">
        <v>229</v>
      </c>
      <c r="G96" s="13" t="s">
        <v>46</v>
      </c>
      <c r="H96" s="13" t="str">
        <f t="shared" si="9"/>
        <v/>
      </c>
      <c r="I96" s="13" t="str">
        <f t="shared" si="10"/>
        <v>0x00000285</v>
      </c>
      <c r="K96" s="13" t="str">
        <f t="shared" si="7"/>
        <v>{(U2)43U,</v>
      </c>
      <c r="L96" s="13" t="str">
        <f t="shared" si="8"/>
        <v>(U2)1U},</v>
      </c>
      <c r="M96" s="13" t="str">
        <f t="shared" si="11"/>
        <v>/* MBOX = 104 / 0x00000285 : Rx Mask = NOUSE */</v>
      </c>
      <c r="N96" s="184"/>
    </row>
    <row r="97" spans="1:14">
      <c r="A97" s="13" t="str">
        <f>"0x00000"&amp;'CANRx_G2M-1_v2'!B101</f>
        <v>0x0000033F</v>
      </c>
      <c r="B97" s="13">
        <f>IF('CANRx_G2M-1_v2'!AF101&lt;&gt;"",'CANRx_G2M-1_v2'!AF101,B96)</f>
        <v>58</v>
      </c>
      <c r="D97" s="13" t="s">
        <v>8124</v>
      </c>
      <c r="E97" s="13">
        <v>105</v>
      </c>
      <c r="F97" s="13" t="s">
        <v>709</v>
      </c>
      <c r="G97" s="13" t="s">
        <v>46</v>
      </c>
      <c r="H97" s="13" t="str">
        <f t="shared" si="9"/>
        <v/>
      </c>
      <c r="I97" s="13" t="str">
        <f t="shared" si="10"/>
        <v>0x00000608</v>
      </c>
      <c r="K97" s="13" t="str">
        <f t="shared" si="7"/>
        <v>{(U2)169U,</v>
      </c>
      <c r="L97" s="13" t="str">
        <f t="shared" si="8"/>
        <v>(U2)1U},</v>
      </c>
      <c r="M97" s="13" t="str">
        <f t="shared" si="11"/>
        <v>/* MBOX = 105 / 0x00000608 : Rx Mask = NOUSE */</v>
      </c>
      <c r="N97" s="184"/>
    </row>
    <row r="98" spans="1:14">
      <c r="A98" s="13" t="str">
        <f>"0x00000"&amp;'CANRx_G2M-1_v2'!B102</f>
        <v>0x00000318</v>
      </c>
      <c r="B98" s="13">
        <f>IF('CANRx_G2M-1_v2'!AF102&lt;&gt;"",'CANRx_G2M-1_v2'!AF102,B97)</f>
        <v>59</v>
      </c>
      <c r="D98" s="13" t="s">
        <v>8125</v>
      </c>
      <c r="E98" s="13">
        <v>106</v>
      </c>
      <c r="F98" s="13" t="s">
        <v>554</v>
      </c>
      <c r="G98" s="13" t="s">
        <v>46</v>
      </c>
      <c r="H98" s="13" t="str">
        <f t="shared" si="9"/>
        <v/>
      </c>
      <c r="I98" s="13" t="str">
        <f t="shared" si="10"/>
        <v>0x00000411</v>
      </c>
      <c r="K98" s="13" t="str">
        <f t="shared" ref="K98:K129" si="12">"{(U2)"&amp;VLOOKUP(F98,$A$2:$B$282,2,FALSE)&amp;"U,"</f>
        <v>{(U2)135U,</v>
      </c>
      <c r="L98" s="13" t="str">
        <f t="shared" ref="L98:L129" si="13">"(U2)"&amp;(VLOOKUP(I98,$A$2:$B$282,2,FALSE)-VLOOKUP(F98,$A$2:$B$282,2,FALSE)+1)&amp;"U},"</f>
        <v>(U2)1U},</v>
      </c>
      <c r="M98" s="13" t="str">
        <f t="shared" si="11"/>
        <v>/* MBOX = 106 / 0x00000411 : Rx Mask = NOUSE */</v>
      </c>
      <c r="N98" s="184"/>
    </row>
    <row r="99" spans="1:14">
      <c r="A99" s="13" t="str">
        <f>"0x00000"&amp;'CANRx_G2M-1_v2'!B103</f>
        <v>0x00000398</v>
      </c>
      <c r="B99" s="13">
        <f>IF('CANRx_G2M-1_v2'!AF103&lt;&gt;"",'CANRx_G2M-1_v2'!AF103,B98)</f>
        <v>60</v>
      </c>
      <c r="D99" s="13" t="s">
        <v>8126</v>
      </c>
      <c r="E99" s="13">
        <v>107</v>
      </c>
      <c r="F99" s="13" t="s">
        <v>557</v>
      </c>
      <c r="G99" s="13" t="s">
        <v>46</v>
      </c>
      <c r="H99" s="13" t="str">
        <f t="shared" si="9"/>
        <v/>
      </c>
      <c r="I99" s="13" t="str">
        <f t="shared" si="10"/>
        <v>0x00000412</v>
      </c>
      <c r="K99" s="13" t="str">
        <f t="shared" si="12"/>
        <v>{(U2)135U,</v>
      </c>
      <c r="L99" s="13" t="str">
        <f t="shared" si="13"/>
        <v>(U2)1U},</v>
      </c>
      <c r="M99" s="13" t="str">
        <f t="shared" si="11"/>
        <v>/* MBOX = 107 / 0x00000412 : Rx Mask = NOUSE */</v>
      </c>
      <c r="N99" s="184"/>
    </row>
    <row r="100" spans="1:14">
      <c r="A100" s="13" t="str">
        <f>"0x00000"&amp;'CANRx_G2M-1_v2'!B104</f>
        <v>0x0000031E</v>
      </c>
      <c r="B100" s="13">
        <f>IF('CANRx_G2M-1_v2'!AF104&lt;&gt;"",'CANRx_G2M-1_v2'!AF104,B99)</f>
        <v>61</v>
      </c>
      <c r="D100" s="13" t="s">
        <v>8127</v>
      </c>
      <c r="E100" s="13">
        <v>108</v>
      </c>
      <c r="F100" s="13" t="s">
        <v>657</v>
      </c>
      <c r="G100" s="13" t="s">
        <v>46</v>
      </c>
      <c r="H100" s="13" t="str">
        <f t="shared" si="9"/>
        <v/>
      </c>
      <c r="I100" s="13" t="str">
        <f t="shared" si="10"/>
        <v>0x000004A0</v>
      </c>
      <c r="K100" s="13" t="str">
        <f t="shared" si="12"/>
        <v>{(U2)157U,</v>
      </c>
      <c r="L100" s="13" t="str">
        <f t="shared" si="13"/>
        <v>(U2)1U},</v>
      </c>
      <c r="M100" s="13" t="str">
        <f t="shared" si="11"/>
        <v>/* MBOX = 108 / 0x000004a0 : Rx Mask = NOUSE */</v>
      </c>
      <c r="N100" s="184"/>
    </row>
    <row r="101" spans="1:14">
      <c r="A101" s="13" t="str">
        <f>"0x00000"&amp;'CANRx_G2M-1_v2'!B105</f>
        <v>0x00000320</v>
      </c>
      <c r="B101" s="13">
        <f>IF('CANRx_G2M-1_v2'!AF105&lt;&gt;"",'CANRx_G2M-1_v2'!AF105,B100)</f>
        <v>62</v>
      </c>
      <c r="D101" s="13" t="s">
        <v>8128</v>
      </c>
      <c r="E101" s="13">
        <v>109</v>
      </c>
      <c r="F101" s="13" t="s">
        <v>935</v>
      </c>
      <c r="G101" s="13" t="s">
        <v>102</v>
      </c>
      <c r="H101" s="13">
        <f t="shared" si="9"/>
        <v>959</v>
      </c>
      <c r="I101" s="13" t="str">
        <f t="shared" si="10"/>
        <v>0x000003BF</v>
      </c>
      <c r="K101" s="13" t="str">
        <f t="shared" si="12"/>
        <v>{(U2)116U,</v>
      </c>
      <c r="L101" s="13" t="str">
        <f t="shared" si="13"/>
        <v>(U2)1U},</v>
      </c>
      <c r="M101" s="13" t="str">
        <f t="shared" si="11"/>
        <v>/* MBOX = 109 / 0x000003bb : Rx Mask = 0x00000004 */</v>
      </c>
      <c r="N101" s="184"/>
    </row>
    <row r="102" spans="1:14">
      <c r="A102" s="13" t="str">
        <f>"0x00000"&amp;'CANRx_G2M-1_v2'!B106</f>
        <v>0x00000321</v>
      </c>
      <c r="B102" s="13">
        <f>IF('CANRx_G2M-1_v2'!AF106&lt;&gt;"",'CANRx_G2M-1_v2'!AF106,B101)</f>
        <v>63</v>
      </c>
      <c r="D102" s="13" t="s">
        <v>8129</v>
      </c>
      <c r="E102" s="13">
        <v>110</v>
      </c>
      <c r="F102" s="13" t="s">
        <v>132</v>
      </c>
      <c r="G102" s="13" t="s">
        <v>44</v>
      </c>
      <c r="H102" s="13">
        <f t="shared" si="9"/>
        <v>446</v>
      </c>
      <c r="I102" s="13" t="str">
        <f t="shared" si="10"/>
        <v>0x000001BE</v>
      </c>
      <c r="K102" s="13" t="str">
        <f t="shared" si="12"/>
        <v>{(U2)20U,</v>
      </c>
      <c r="L102" s="13" t="str">
        <f t="shared" si="13"/>
        <v>(U2)1U},</v>
      </c>
      <c r="M102" s="13" t="str">
        <f t="shared" si="11"/>
        <v>/* MBOX = 110 / 0x000001bc : Rx Mask = 0x00000002 */</v>
      </c>
      <c r="N102" s="184"/>
    </row>
    <row r="103" spans="1:14">
      <c r="A103" s="13" t="str">
        <f>"0x00000"&amp;'CANRx_G2M-1_v2'!B107</f>
        <v>0x00000328</v>
      </c>
      <c r="B103" s="13">
        <f>IF('CANRx_G2M-1_v2'!AF107&lt;&gt;"",'CANRx_G2M-1_v2'!AF107,B102)</f>
        <v>64</v>
      </c>
      <c r="D103" s="13" t="s">
        <v>8130</v>
      </c>
      <c r="E103" s="13">
        <v>111</v>
      </c>
      <c r="F103" s="13" t="s">
        <v>74</v>
      </c>
      <c r="G103" s="13" t="s">
        <v>46</v>
      </c>
      <c r="H103" s="13" t="str">
        <f t="shared" si="9"/>
        <v/>
      </c>
      <c r="I103" s="13" t="str">
        <f t="shared" si="10"/>
        <v>0x00000128</v>
      </c>
      <c r="K103" s="13" t="str">
        <f t="shared" si="12"/>
        <v>{(U2)12U,</v>
      </c>
      <c r="L103" s="13" t="str">
        <f t="shared" si="13"/>
        <v>(U2)1U},</v>
      </c>
      <c r="M103" s="13" t="str">
        <f t="shared" si="11"/>
        <v>/* MBOX = 111 / 0x00000128 : Rx Mask = NOUSE */</v>
      </c>
      <c r="N103" s="184"/>
    </row>
    <row r="104" spans="1:14">
      <c r="A104" s="13" t="str">
        <f>"0x00000"&amp;'CANRx_G2M-1_v2'!B108</f>
        <v>0x0000032A</v>
      </c>
      <c r="B104" s="13">
        <f>IF('CANRx_G2M-1_v2'!AF108&lt;&gt;"",'CANRx_G2M-1_v2'!AF108,B103)</f>
        <v>65</v>
      </c>
      <c r="D104" s="13" t="s">
        <v>8131</v>
      </c>
      <c r="E104" s="13">
        <v>112</v>
      </c>
      <c r="F104" s="13" t="s">
        <v>611</v>
      </c>
      <c r="G104" s="13" t="s">
        <v>46</v>
      </c>
      <c r="H104" s="13" t="str">
        <f t="shared" si="9"/>
        <v/>
      </c>
      <c r="I104" s="13" t="str">
        <f t="shared" si="10"/>
        <v>0x0000042F</v>
      </c>
      <c r="K104" s="13" t="str">
        <f t="shared" si="12"/>
        <v>{(U2)144U,</v>
      </c>
      <c r="L104" s="13" t="str">
        <f t="shared" si="13"/>
        <v>(U2)1U},</v>
      </c>
      <c r="M104" s="13" t="str">
        <f t="shared" si="11"/>
        <v>/* MBOX = 112 / 0x0000042f : Rx Mask = NOUSE */</v>
      </c>
      <c r="N104" s="184"/>
    </row>
    <row r="105" spans="1:14">
      <c r="A105" s="13" t="str">
        <f>"0x00000"&amp;'CANRx_G2M-1_v2'!B109</f>
        <v>0x00000368</v>
      </c>
      <c r="B105" s="13">
        <f>IF('CANRx_G2M-1_v2'!AF109&lt;&gt;"",'CANRx_G2M-1_v2'!AF109,B104)</f>
        <v>65</v>
      </c>
      <c r="D105" s="13" t="s">
        <v>8132</v>
      </c>
      <c r="E105" s="13">
        <v>113</v>
      </c>
      <c r="F105" s="13" t="s">
        <v>340</v>
      </c>
      <c r="G105" s="13" t="s">
        <v>71</v>
      </c>
      <c r="H105" s="13">
        <f t="shared" si="9"/>
        <v>950</v>
      </c>
      <c r="I105" s="13" t="str">
        <f t="shared" si="10"/>
        <v>0x000003B6</v>
      </c>
      <c r="K105" s="13" t="str">
        <f t="shared" si="12"/>
        <v>{(U2)68U,</v>
      </c>
      <c r="L105" s="13" t="str">
        <f t="shared" si="13"/>
        <v>(U2)1U},</v>
      </c>
      <c r="M105" s="13" t="str">
        <f t="shared" si="11"/>
        <v>/* MBOX = 113 / 0x00000336 : Rx Mask = 0x00000080 */</v>
      </c>
      <c r="N105" s="184"/>
    </row>
    <row r="106" spans="1:14">
      <c r="A106" s="13" t="str">
        <f>"0x00000"&amp;'CANRx_G2M-1_v2'!B110</f>
        <v>0x0000036A</v>
      </c>
      <c r="B106" s="13">
        <f>IF('CANRx_G2M-1_v2'!AF110&lt;&gt;"",'CANRx_G2M-1_v2'!AF110,B105)</f>
        <v>65</v>
      </c>
      <c r="D106" s="13" t="s">
        <v>8133</v>
      </c>
      <c r="E106" s="13">
        <v>114</v>
      </c>
      <c r="F106" s="13" t="s">
        <v>548</v>
      </c>
      <c r="G106" s="13" t="s">
        <v>46</v>
      </c>
      <c r="H106" s="13" t="str">
        <f t="shared" si="9"/>
        <v/>
      </c>
      <c r="I106" s="13" t="str">
        <f t="shared" si="10"/>
        <v>0x0000040B</v>
      </c>
      <c r="K106" s="13" t="str">
        <f t="shared" si="12"/>
        <v>{(U2)133U,</v>
      </c>
      <c r="L106" s="13" t="str">
        <f t="shared" si="13"/>
        <v>(U2)1U},</v>
      </c>
      <c r="M106" s="13" t="str">
        <f t="shared" si="11"/>
        <v>/* MBOX = 114 / 0x0000040b : Rx Mask = NOUSE */</v>
      </c>
      <c r="N106" s="184"/>
    </row>
    <row r="107" spans="1:14">
      <c r="A107" s="13" t="str">
        <f>"0x00000"&amp;'CANRx_G2M-1_v2'!B111</f>
        <v>0x0000032F</v>
      </c>
      <c r="B107" s="13">
        <f>IF('CANRx_G2M-1_v2'!AF111&lt;&gt;"",'CANRx_G2M-1_v2'!AF111,B106)</f>
        <v>66</v>
      </c>
      <c r="D107" s="13" t="s">
        <v>8134</v>
      </c>
      <c r="E107" s="13">
        <v>115</v>
      </c>
      <c r="F107" s="13" t="s">
        <v>178</v>
      </c>
      <c r="G107" s="13" t="s">
        <v>94</v>
      </c>
      <c r="H107" s="13">
        <f t="shared" si="9"/>
        <v>506</v>
      </c>
      <c r="I107" s="13" t="str">
        <f t="shared" si="10"/>
        <v>0x000001FA</v>
      </c>
      <c r="K107" s="13" t="str">
        <f t="shared" si="12"/>
        <v>{(U2)31U,</v>
      </c>
      <c r="L107" s="13" t="str">
        <f t="shared" si="13"/>
        <v>(U2)1U},</v>
      </c>
      <c r="M107" s="13" t="str">
        <f t="shared" si="11"/>
        <v>/* MBOX = 115 / 0x000001ea : Rx Mask = 0x00000010 */</v>
      </c>
      <c r="N107" s="184"/>
    </row>
    <row r="108" spans="1:14">
      <c r="A108" s="13" t="str">
        <f>"0x00000"&amp;'CANRx_G2M-1_v2'!B112</f>
        <v>0x00000335</v>
      </c>
      <c r="B108" s="13">
        <f>IF('CANRx_G2M-1_v2'!AF112&lt;&gt;"",'CANRx_G2M-1_v2'!AF112,B107)</f>
        <v>66</v>
      </c>
      <c r="D108" s="13" t="s">
        <v>8135</v>
      </c>
      <c r="E108" s="13">
        <v>116</v>
      </c>
      <c r="F108" s="13" t="s">
        <v>259</v>
      </c>
      <c r="G108" s="13" t="s">
        <v>46</v>
      </c>
      <c r="H108" s="13" t="str">
        <f t="shared" si="9"/>
        <v/>
      </c>
      <c r="I108" s="13" t="str">
        <f t="shared" si="10"/>
        <v>0x000002EB</v>
      </c>
      <c r="K108" s="13" t="str">
        <f t="shared" si="12"/>
        <v>{(U2)49U,</v>
      </c>
      <c r="L108" s="13" t="str">
        <f t="shared" si="13"/>
        <v>(U2)1U},</v>
      </c>
      <c r="M108" s="13" t="str">
        <f t="shared" si="11"/>
        <v>/* MBOX = 116 / 0x000002eb : Rx Mask = NOUSE */</v>
      </c>
      <c r="N108" s="184"/>
    </row>
    <row r="109" spans="1:14">
      <c r="A109" s="13" t="str">
        <f>"0x00000"&amp;'CANRx_G2M-1_v2'!B113</f>
        <v>0x00000375</v>
      </c>
      <c r="B109" s="13">
        <f>IF('CANRx_G2M-1_v2'!AF113&lt;&gt;"",'CANRx_G2M-1_v2'!AF113,B108)</f>
        <v>66</v>
      </c>
      <c r="D109" s="13" t="s">
        <v>8136</v>
      </c>
      <c r="E109" s="13">
        <v>117</v>
      </c>
      <c r="F109" s="13" t="s">
        <v>45</v>
      </c>
      <c r="G109" s="13" t="s">
        <v>46</v>
      </c>
      <c r="H109" s="13" t="str">
        <f t="shared" si="9"/>
        <v/>
      </c>
      <c r="I109" s="13" t="str">
        <f t="shared" si="10"/>
        <v>0x000000A4</v>
      </c>
      <c r="K109" s="13" t="str">
        <f t="shared" si="12"/>
        <v>{(U2)5U,</v>
      </c>
      <c r="L109" s="13" t="str">
        <f t="shared" si="13"/>
        <v>(U2)1U},</v>
      </c>
      <c r="M109" s="13" t="str">
        <f t="shared" si="11"/>
        <v>/* MBOX = 117 / 0x000000a4 : Rx Mask = NOUSE */</v>
      </c>
      <c r="N109" s="184"/>
    </row>
    <row r="110" spans="1:14">
      <c r="A110" s="13" t="str">
        <f>"0x00000"&amp;'CANRx_G2M-1_v2'!B114</f>
        <v>0x000003B5</v>
      </c>
      <c r="B110" s="13">
        <f>IF('CANRx_G2M-1_v2'!AF114&lt;&gt;"",'CANRx_G2M-1_v2'!AF114,B109)</f>
        <v>66</v>
      </c>
      <c r="D110" s="13" t="s">
        <v>8137</v>
      </c>
      <c r="E110" s="13">
        <v>118</v>
      </c>
      <c r="F110" s="13" t="s">
        <v>57</v>
      </c>
      <c r="G110" s="13" t="s">
        <v>46</v>
      </c>
      <c r="H110" s="13" t="str">
        <f t="shared" si="9"/>
        <v/>
      </c>
      <c r="I110" s="13" t="str">
        <f t="shared" si="10"/>
        <v>0x000000FC</v>
      </c>
      <c r="K110" s="13" t="str">
        <f t="shared" si="12"/>
        <v>{(U2)7U,</v>
      </c>
      <c r="L110" s="13" t="str">
        <f t="shared" si="13"/>
        <v>(U2)1U},</v>
      </c>
      <c r="M110" s="13" t="str">
        <f t="shared" si="11"/>
        <v>/* MBOX = 118 / 0x000000fc : Rx Mask = NOUSE */</v>
      </c>
      <c r="N110" s="184"/>
    </row>
    <row r="111" spans="1:14">
      <c r="A111" s="13" t="str">
        <f>"0x00000"&amp;'CANRx_G2M-1_v2'!B115</f>
        <v>0x000003F5</v>
      </c>
      <c r="B111" s="13">
        <f>IF('CANRx_G2M-1_v2'!AF115&lt;&gt;"",'CANRx_G2M-1_v2'!AF115,B110)</f>
        <v>67</v>
      </c>
      <c r="D111" s="13" t="s">
        <v>8138</v>
      </c>
      <c r="E111" s="13">
        <v>119</v>
      </c>
      <c r="F111" s="13" t="s">
        <v>11</v>
      </c>
      <c r="G111" s="13" t="s">
        <v>6</v>
      </c>
      <c r="H111" s="13">
        <f t="shared" si="9"/>
        <v>106</v>
      </c>
      <c r="I111" s="13" t="str">
        <f t="shared" si="10"/>
        <v>0x0000006A</v>
      </c>
      <c r="K111" s="13" t="str">
        <f t="shared" si="12"/>
        <v>{(U2)0U,</v>
      </c>
      <c r="L111" s="13" t="str">
        <f t="shared" si="13"/>
        <v>(U2)2U},</v>
      </c>
      <c r="M111" s="13" t="str">
        <f t="shared" si="11"/>
        <v>/* MBOX = 119 / 0x00000062 : Rx Mask = 0x00000008 */</v>
      </c>
      <c r="N111" s="184"/>
    </row>
    <row r="112" spans="1:14">
      <c r="A112" s="13" t="str">
        <f>"0x00000"&amp;'CANRx_G2M-1_v2'!B116</f>
        <v>0x00000336</v>
      </c>
      <c r="B112" s="13">
        <f>IF('CANRx_G2M-1_v2'!AF116&lt;&gt;"",'CANRx_G2M-1_v2'!AF116,B111)</f>
        <v>68</v>
      </c>
      <c r="D112" s="13" t="s">
        <v>8139</v>
      </c>
      <c r="E112" s="13">
        <v>120</v>
      </c>
      <c r="F112" s="13" t="s">
        <v>137</v>
      </c>
      <c r="G112" s="13" t="s">
        <v>46</v>
      </c>
      <c r="H112" s="13" t="str">
        <f t="shared" si="9"/>
        <v/>
      </c>
      <c r="I112" s="13" t="str">
        <f t="shared" si="10"/>
        <v>0x000001CA</v>
      </c>
      <c r="K112" s="13" t="str">
        <f t="shared" si="12"/>
        <v>{(U2)22U,</v>
      </c>
      <c r="L112" s="13" t="str">
        <f t="shared" si="13"/>
        <v>(U2)1U},</v>
      </c>
      <c r="M112" s="13" t="str">
        <f t="shared" si="11"/>
        <v>/* MBOX = 120 / 0x000001ca : Rx Mask = NOUSE */</v>
      </c>
      <c r="N112" s="184"/>
    </row>
    <row r="113" spans="1:14">
      <c r="A113" s="13" t="str">
        <f>"0x00000"&amp;'CANRx_G2M-1_v2'!B117</f>
        <v>0x000003B6</v>
      </c>
      <c r="B113" s="13">
        <f>IF('CANRx_G2M-1_v2'!AF117&lt;&gt;"",'CANRx_G2M-1_v2'!AF117,B112)</f>
        <v>68</v>
      </c>
      <c r="D113" s="13" t="s">
        <v>8140</v>
      </c>
      <c r="E113" s="13">
        <v>121</v>
      </c>
      <c r="F113" s="13" t="s">
        <v>110</v>
      </c>
      <c r="G113" s="13" t="s">
        <v>46</v>
      </c>
      <c r="H113" s="13" t="str">
        <f t="shared" si="9"/>
        <v/>
      </c>
      <c r="I113" s="13" t="str">
        <f t="shared" si="10"/>
        <v>0x0000015A</v>
      </c>
      <c r="K113" s="13" t="str">
        <f t="shared" si="12"/>
        <v>{(U2)15U,</v>
      </c>
      <c r="L113" s="13" t="str">
        <f t="shared" si="13"/>
        <v>(U2)1U},</v>
      </c>
      <c r="M113" s="13" t="str">
        <f t="shared" si="11"/>
        <v>/* MBOX = 121 / 0x0000015a : Rx Mask = NOUSE */</v>
      </c>
      <c r="N113" s="184"/>
    </row>
    <row r="114" spans="1:14">
      <c r="A114" s="13" t="str">
        <f>"0x00000"&amp;'CANRx_G2M-1_v2'!B118</f>
        <v>0x00000341</v>
      </c>
      <c r="B114" s="13">
        <f>IF('CANRx_G2M-1_v2'!AF118&lt;&gt;"",'CANRx_G2M-1_v2'!AF118,B113)</f>
        <v>69</v>
      </c>
      <c r="D114" s="13" t="s">
        <v>8141</v>
      </c>
      <c r="E114" s="13">
        <v>122</v>
      </c>
      <c r="F114" s="13" t="s">
        <v>36</v>
      </c>
      <c r="G114" s="13" t="s">
        <v>62</v>
      </c>
      <c r="H114" s="13">
        <f t="shared" si="9"/>
        <v>1280</v>
      </c>
      <c r="I114" s="13" t="str">
        <f t="shared" si="10"/>
        <v>0x00000500</v>
      </c>
      <c r="K114" s="13" t="str">
        <f t="shared" si="12"/>
        <v>{(U2)7U,</v>
      </c>
      <c r="L114" s="13" t="str">
        <f t="shared" si="13"/>
        <v>(U2)2U},</v>
      </c>
      <c r="M114" s="13" t="str">
        <f t="shared" si="11"/>
        <v>/* MBOX = 122 / 0x00000100 : Rx Mask = 0x00000400 */</v>
      </c>
      <c r="N114" s="184"/>
    </row>
    <row r="115" spans="1:14">
      <c r="A115" s="13" t="str">
        <f>"0x00000"&amp;'CANRx_G2M-1_v2'!B119</f>
        <v>0x00000361</v>
      </c>
      <c r="B115" s="13">
        <f>IF('CANRx_G2M-1_v2'!AF119&lt;&gt;"",'CANRx_G2M-1_v2'!AF119,B114)</f>
        <v>70</v>
      </c>
      <c r="D115" s="13" t="s">
        <v>8142</v>
      </c>
      <c r="E115" s="13">
        <v>123</v>
      </c>
      <c r="F115" s="13" t="s">
        <v>125</v>
      </c>
      <c r="G115" s="13" t="s">
        <v>46</v>
      </c>
      <c r="H115" s="13" t="str">
        <f t="shared" si="9"/>
        <v/>
      </c>
      <c r="I115" s="13" t="str">
        <f t="shared" si="10"/>
        <v>0x000001B2</v>
      </c>
      <c r="K115" s="13" t="str">
        <f t="shared" si="12"/>
        <v>{(U2)18U,</v>
      </c>
      <c r="L115" s="13" t="str">
        <f t="shared" si="13"/>
        <v>(U2)1U},</v>
      </c>
      <c r="M115" s="13" t="str">
        <f t="shared" si="11"/>
        <v>/* MBOX = 123 / 0x000001b2 : Rx Mask = NOUSE */</v>
      </c>
      <c r="N115" s="184"/>
    </row>
    <row r="116" spans="1:14">
      <c r="A116" s="13" t="str">
        <f>"0x00000"&amp;'CANRx_G2M-1_v2'!B120</f>
        <v>0x00000347</v>
      </c>
      <c r="B116" s="13">
        <f>IF('CANRx_G2M-1_v2'!AF120&lt;&gt;"",'CANRx_G2M-1_v2'!AF120,B115)</f>
        <v>71</v>
      </c>
      <c r="D116" s="13" t="s">
        <v>8143</v>
      </c>
      <c r="E116" s="13">
        <v>124</v>
      </c>
      <c r="F116" s="13" t="s">
        <v>722</v>
      </c>
      <c r="G116" s="13" t="s">
        <v>46</v>
      </c>
      <c r="H116" s="13" t="str">
        <f t="shared" si="9"/>
        <v/>
      </c>
      <c r="I116" s="13" t="str">
        <f t="shared" si="10"/>
        <v>0x00000633</v>
      </c>
      <c r="K116" s="13" t="str">
        <f t="shared" si="12"/>
        <v>{(U2)172U,</v>
      </c>
      <c r="L116" s="13" t="str">
        <f t="shared" si="13"/>
        <v>(U2)1U},</v>
      </c>
      <c r="M116" s="13" t="str">
        <f t="shared" si="11"/>
        <v>/* MBOX = 124 / 0x00000633 : Rx Mask = NOUSE */</v>
      </c>
      <c r="N116" s="184"/>
    </row>
    <row r="117" spans="1:14">
      <c r="A117" s="13" t="str">
        <f>"0x00000"&amp;'CANRx_G2M-1_v2'!B121</f>
        <v>0x00000348</v>
      </c>
      <c r="B117" s="13">
        <f>IF('CANRx_G2M-1_v2'!AF121&lt;&gt;"",'CANRx_G2M-1_v2'!AF121,B116)</f>
        <v>71</v>
      </c>
      <c r="D117" s="13" t="s">
        <v>8144</v>
      </c>
      <c r="E117" s="13">
        <v>125</v>
      </c>
      <c r="F117" s="13" t="s">
        <v>99</v>
      </c>
      <c r="G117" s="13" t="s">
        <v>102</v>
      </c>
      <c r="H117" s="13">
        <f t="shared" si="9"/>
        <v>335</v>
      </c>
      <c r="I117" s="13" t="str">
        <f t="shared" si="10"/>
        <v>0x0000014F</v>
      </c>
      <c r="K117" s="13" t="str">
        <f t="shared" si="12"/>
        <v>{(U2)14U,</v>
      </c>
      <c r="L117" s="13" t="str">
        <f t="shared" si="13"/>
        <v>(U2)1U},</v>
      </c>
      <c r="M117" s="13" t="str">
        <f t="shared" si="11"/>
        <v>/* MBOX = 125 / 0x0000014b : Rx Mask = 0x00000004 */</v>
      </c>
      <c r="N117" s="184"/>
    </row>
    <row r="118" spans="1:14">
      <c r="A118" s="13" t="str">
        <f>"0x00000"&amp;'CANRx_G2M-1_v2'!B122</f>
        <v>0x00000349</v>
      </c>
      <c r="B118" s="13">
        <f>IF('CANRx_G2M-1_v2'!AF122&lt;&gt;"",'CANRx_G2M-1_v2'!AF122,B117)</f>
        <v>71</v>
      </c>
      <c r="D118" s="13" t="s">
        <v>8145</v>
      </c>
      <c r="E118" s="13">
        <v>126</v>
      </c>
      <c r="F118" s="13" t="s">
        <v>703</v>
      </c>
      <c r="G118" s="13" t="s">
        <v>46</v>
      </c>
      <c r="H118" s="13" t="str">
        <f t="shared" si="9"/>
        <v/>
      </c>
      <c r="I118" s="13" t="str">
        <f t="shared" si="10"/>
        <v>0x000005AD</v>
      </c>
      <c r="K118" s="13" t="str">
        <f t="shared" si="12"/>
        <v>{(U2)169U,</v>
      </c>
      <c r="L118" s="13" t="str">
        <f t="shared" si="13"/>
        <v>(U2)1U},</v>
      </c>
      <c r="M118" s="13" t="str">
        <f t="shared" si="11"/>
        <v>/* MBOX = 126 / 0x000005ad : Rx Mask = NOUSE */</v>
      </c>
      <c r="N118" s="184"/>
    </row>
    <row r="119" spans="1:14">
      <c r="A119" s="13" t="str">
        <f>"0x00000"&amp;'CANRx_G2M-1_v2'!B123</f>
        <v>0x0000034C</v>
      </c>
      <c r="B119" s="13">
        <f>IF('CANRx_G2M-1_v2'!AF123&lt;&gt;"",'CANRx_G2M-1_v2'!AF123,B118)</f>
        <v>71</v>
      </c>
      <c r="D119" s="13" t="s">
        <v>8146</v>
      </c>
      <c r="E119" s="13">
        <v>127</v>
      </c>
      <c r="F119" s="13" t="s">
        <v>640</v>
      </c>
      <c r="G119" s="13" t="s">
        <v>46</v>
      </c>
      <c r="H119" s="13" t="str">
        <f t="shared" si="9"/>
        <v/>
      </c>
      <c r="I119" s="13" t="str">
        <f t="shared" si="10"/>
        <v>0x0000043B</v>
      </c>
      <c r="K119" s="13" t="str">
        <f t="shared" si="12"/>
        <v>{(U2)151U,</v>
      </c>
      <c r="L119" s="13" t="str">
        <f t="shared" si="13"/>
        <v>(U2)1U},</v>
      </c>
      <c r="M119" s="13" t="str">
        <f t="shared" si="11"/>
        <v>/* MBOX = 127 / 0x0000043b : Rx Mask = NOUSE */</v>
      </c>
      <c r="N119" s="184"/>
    </row>
    <row r="120" spans="1:14">
      <c r="A120" s="13" t="str">
        <f>"0x00000"&amp;'CANRx_G2M-1_v2'!B124</f>
        <v>0x0000034D</v>
      </c>
      <c r="B120" s="13">
        <f>IF('CANRx_G2M-1_v2'!AF124&lt;&gt;"",'CANRx_G2M-1_v2'!AF124,B119)</f>
        <v>71</v>
      </c>
      <c r="D120" s="13" t="s">
        <v>8147</v>
      </c>
      <c r="E120" s="13">
        <v>128</v>
      </c>
      <c r="F120" s="13" t="s">
        <v>284</v>
      </c>
      <c r="G120" s="13" t="s">
        <v>46</v>
      </c>
      <c r="H120" s="13" t="str">
        <f t="shared" si="9"/>
        <v/>
      </c>
      <c r="I120" s="13" t="str">
        <f t="shared" si="10"/>
        <v>0x00000314</v>
      </c>
      <c r="K120" s="13" t="str">
        <f t="shared" si="12"/>
        <v>{(U2)56U,</v>
      </c>
      <c r="L120" s="13" t="str">
        <f t="shared" si="13"/>
        <v>(U2)1U},</v>
      </c>
      <c r="M120" s="13" t="str">
        <f t="shared" si="11"/>
        <v>/* MBOX = 128 / 0x00000314 : Rx Mask = NOUSE */</v>
      </c>
      <c r="N120" s="184"/>
    </row>
    <row r="121" spans="1:14">
      <c r="A121" s="13" t="str">
        <f>"0x00000"&amp;'CANRx_G2M-1_v2'!B125</f>
        <v>0x0000034E</v>
      </c>
      <c r="B121" s="13">
        <f>IF('CANRx_G2M-1_v2'!AF125&lt;&gt;"",'CANRx_G2M-1_v2'!AF125,B120)</f>
        <v>72</v>
      </c>
      <c r="D121" s="13" t="s">
        <v>8148</v>
      </c>
      <c r="E121" s="13">
        <v>129</v>
      </c>
      <c r="F121" s="13" t="s">
        <v>223</v>
      </c>
      <c r="G121" s="13" t="s">
        <v>46</v>
      </c>
      <c r="H121" s="13" t="str">
        <f t="shared" si="9"/>
        <v/>
      </c>
      <c r="I121" s="13" t="str">
        <f t="shared" si="10"/>
        <v>0x0000027B</v>
      </c>
      <c r="K121" s="13" t="str">
        <f t="shared" si="12"/>
        <v>{(U2)40U,</v>
      </c>
      <c r="L121" s="13" t="str">
        <f t="shared" si="13"/>
        <v>(U2)1U},</v>
      </c>
      <c r="M121" s="13" t="str">
        <f t="shared" si="11"/>
        <v>/* MBOX = 129 / 0x0000027b : Rx Mask = NOUSE */</v>
      </c>
      <c r="N121" s="184"/>
    </row>
    <row r="122" spans="1:14">
      <c r="A122" s="13" t="str">
        <f>"0x00000"&amp;'CANRx_G2M-1_v2'!B126</f>
        <v>0x0000034F</v>
      </c>
      <c r="B122" s="13">
        <f>IF('CANRx_G2M-1_v2'!AF126&lt;&gt;"",'CANRx_G2M-1_v2'!AF126,B121)</f>
        <v>73</v>
      </c>
      <c r="D122" s="13" t="s">
        <v>8149</v>
      </c>
      <c r="E122" s="13">
        <v>130</v>
      </c>
      <c r="F122" s="13" t="s">
        <v>138</v>
      </c>
      <c r="G122" s="13" t="s">
        <v>46</v>
      </c>
      <c r="H122" s="13" t="str">
        <f t="shared" si="9"/>
        <v/>
      </c>
      <c r="I122" s="13" t="str">
        <f t="shared" si="10"/>
        <v>0x000001CC</v>
      </c>
      <c r="K122" s="13" t="str">
        <f t="shared" si="12"/>
        <v>{(U2)22U,</v>
      </c>
      <c r="L122" s="13" t="str">
        <f t="shared" si="13"/>
        <v>(U2)1U},</v>
      </c>
      <c r="M122" s="13" t="str">
        <f t="shared" si="11"/>
        <v>/* MBOX = 130 / 0x000001cc : Rx Mask = NOUSE */</v>
      </c>
      <c r="N122" s="184"/>
    </row>
    <row r="123" spans="1:14">
      <c r="A123" s="13" t="str">
        <f>"0x00000"&amp;'CANRx_G2M-1_v2'!B127</f>
        <v>0x00000353</v>
      </c>
      <c r="B123" s="13">
        <f>IF('CANRx_G2M-1_v2'!AF127&lt;&gt;"",'CANRx_G2M-1_v2'!AF127,B122)</f>
        <v>74</v>
      </c>
      <c r="D123" s="13" t="s">
        <v>8150</v>
      </c>
      <c r="E123" s="13">
        <v>131</v>
      </c>
      <c r="F123" s="13" t="s">
        <v>239</v>
      </c>
      <c r="G123" s="13" t="s">
        <v>46</v>
      </c>
      <c r="H123" s="13" t="str">
        <f t="shared" si="9"/>
        <v/>
      </c>
      <c r="I123" s="13" t="str">
        <f t="shared" si="10"/>
        <v>0x00000296</v>
      </c>
      <c r="K123" s="13" t="str">
        <f t="shared" si="12"/>
        <v>{(U2)46U,</v>
      </c>
      <c r="L123" s="13" t="str">
        <f t="shared" si="13"/>
        <v>(U2)1U},</v>
      </c>
      <c r="M123" s="13" t="str">
        <f t="shared" si="11"/>
        <v>/* MBOX = 131 / 0x00000296 : Rx Mask = NOUSE */</v>
      </c>
      <c r="N123" s="184"/>
    </row>
    <row r="124" spans="1:14">
      <c r="A124" s="13" t="str">
        <f>"0x00000"&amp;'CANRx_G2M-1_v2'!B128</f>
        <v>0x00000373</v>
      </c>
      <c r="B124" s="13">
        <f>IF('CANRx_G2M-1_v2'!AF128&lt;&gt;"",'CANRx_G2M-1_v2'!AF128,B123)</f>
        <v>74</v>
      </c>
      <c r="D124" s="13" t="s">
        <v>8151</v>
      </c>
      <c r="E124" s="13">
        <v>132</v>
      </c>
      <c r="F124" s="13" t="s">
        <v>244</v>
      </c>
      <c r="G124" s="13" t="s">
        <v>46</v>
      </c>
      <c r="H124" s="13" t="str">
        <f t="shared" si="9"/>
        <v/>
      </c>
      <c r="I124" s="13" t="str">
        <f t="shared" si="10"/>
        <v>0x000002A6</v>
      </c>
      <c r="K124" s="13" t="str">
        <f t="shared" si="12"/>
        <v>{(U2)46U,</v>
      </c>
      <c r="L124" s="13" t="str">
        <f t="shared" si="13"/>
        <v>(U2)1U},</v>
      </c>
      <c r="M124" s="13" t="str">
        <f t="shared" si="11"/>
        <v>/* MBOX = 132 / 0x000002a6 : Rx Mask = NOUSE */</v>
      </c>
      <c r="N124" s="184"/>
    </row>
    <row r="125" spans="1:14">
      <c r="A125" s="13" t="str">
        <f>"0x00000"&amp;'CANRx_G2M-1_v2'!B129</f>
        <v>0x00000354</v>
      </c>
      <c r="B125" s="13">
        <f>IF('CANRx_G2M-1_v2'!AF129&lt;&gt;"",'CANRx_G2M-1_v2'!AF129,B124)</f>
        <v>75</v>
      </c>
      <c r="D125" s="13" t="s">
        <v>8152</v>
      </c>
      <c r="E125" s="13">
        <v>133</v>
      </c>
      <c r="F125" s="13" t="s">
        <v>105</v>
      </c>
      <c r="G125" s="13" t="s">
        <v>46</v>
      </c>
      <c r="H125" s="13" t="str">
        <f t="shared" si="9"/>
        <v/>
      </c>
      <c r="I125" s="13" t="str">
        <f t="shared" si="10"/>
        <v>0x0000014D</v>
      </c>
      <c r="K125" s="13" t="str">
        <f t="shared" si="12"/>
        <v>{(U2)15U,</v>
      </c>
      <c r="L125" s="13" t="str">
        <f t="shared" si="13"/>
        <v>(U2)1U},</v>
      </c>
      <c r="M125" s="13" t="str">
        <f t="shared" si="11"/>
        <v>/* MBOX = 133 / 0x0000014d : Rx Mask = NOUSE */</v>
      </c>
      <c r="N125" s="184"/>
    </row>
    <row r="126" spans="1:14">
      <c r="A126" s="13" t="str">
        <f>"0x00000"&amp;'CANRx_G2M-1_v2'!B130</f>
        <v>0x00000355</v>
      </c>
      <c r="B126" s="13">
        <f>IF('CANRx_G2M-1_v2'!AF130&lt;&gt;"",'CANRx_G2M-1_v2'!AF130,B125)</f>
        <v>75</v>
      </c>
      <c r="D126" s="13" t="s">
        <v>8153</v>
      </c>
      <c r="E126" s="13">
        <v>134</v>
      </c>
      <c r="F126" s="13" t="s">
        <v>323</v>
      </c>
      <c r="G126" s="13" t="s">
        <v>46</v>
      </c>
      <c r="H126" s="13" t="str">
        <f t="shared" si="9"/>
        <v/>
      </c>
      <c r="I126" s="13" t="str">
        <f t="shared" si="10"/>
        <v>0x0000032F</v>
      </c>
      <c r="K126" s="13" t="str">
        <f t="shared" si="12"/>
        <v>{(U2)66U,</v>
      </c>
      <c r="L126" s="13" t="str">
        <f t="shared" si="13"/>
        <v>(U2)1U},</v>
      </c>
      <c r="M126" s="13" t="str">
        <f t="shared" si="11"/>
        <v>/* MBOX = 134 / 0x0000032f : Rx Mask = NOUSE */</v>
      </c>
      <c r="N126" s="184"/>
    </row>
    <row r="127" spans="1:14">
      <c r="A127" s="13" t="str">
        <f>"0x00000"&amp;'CANRx_G2M-1_v2'!B131</f>
        <v>0x00000358</v>
      </c>
      <c r="B127" s="13">
        <f>IF('CANRx_G2M-1_v2'!AF131&lt;&gt;"",'CANRx_G2M-1_v2'!AF131,B126)</f>
        <v>75</v>
      </c>
      <c r="D127" s="13" t="s">
        <v>8154</v>
      </c>
      <c r="E127" s="13">
        <v>135</v>
      </c>
      <c r="F127" s="13" t="s">
        <v>265</v>
      </c>
      <c r="G127" s="13" t="s">
        <v>102</v>
      </c>
      <c r="H127" s="13">
        <f t="shared" si="9"/>
        <v>765</v>
      </c>
      <c r="I127" s="13" t="str">
        <f t="shared" si="10"/>
        <v>0x000002FD</v>
      </c>
      <c r="K127" s="13" t="str">
        <f t="shared" si="12"/>
        <v>{(U2)51U,</v>
      </c>
      <c r="L127" s="13" t="str">
        <f t="shared" si="13"/>
        <v>(U2)2U},</v>
      </c>
      <c r="M127" s="13" t="str">
        <f t="shared" si="11"/>
        <v>/* MBOX = 135 / 0x000002f9 : Rx Mask = 0x00000004 */</v>
      </c>
      <c r="N127" s="184"/>
    </row>
    <row r="128" spans="1:14">
      <c r="A128" s="13" t="str">
        <f>"0x00000"&amp;'CANRx_G2M-1_v2'!B132</f>
        <v>0x00000378</v>
      </c>
      <c r="B128" s="13">
        <f>IF('CANRx_G2M-1_v2'!AF132&lt;&gt;"",'CANRx_G2M-1_v2'!AF132,B127)</f>
        <v>76</v>
      </c>
      <c r="D128" s="13" t="s">
        <v>8155</v>
      </c>
      <c r="E128" s="13">
        <v>136</v>
      </c>
      <c r="F128" s="13" t="s">
        <v>183</v>
      </c>
      <c r="G128" s="13" t="s">
        <v>46</v>
      </c>
      <c r="H128" s="13" t="str">
        <f t="shared" si="9"/>
        <v/>
      </c>
      <c r="I128" s="13" t="str">
        <f t="shared" si="10"/>
        <v>0x000001EB</v>
      </c>
      <c r="K128" s="13" t="str">
        <f t="shared" si="12"/>
        <v>{(U2)32U,</v>
      </c>
      <c r="L128" s="13" t="str">
        <f t="shared" si="13"/>
        <v>(U2)1U},</v>
      </c>
      <c r="M128" s="13" t="str">
        <f t="shared" si="11"/>
        <v>/* MBOX = 136 / 0x000001eb : Rx Mask = NOUSE */</v>
      </c>
      <c r="N128" s="184"/>
    </row>
    <row r="129" spans="1:14">
      <c r="A129" s="13" t="str">
        <f>"0x00000"&amp;'CANRx_G2M-1_v2'!B133</f>
        <v>0x0000035D</v>
      </c>
      <c r="B129" s="13">
        <f>IF('CANRx_G2M-1_v2'!AF133&lt;&gt;"",'CANRx_G2M-1_v2'!AF133,B128)</f>
        <v>77</v>
      </c>
      <c r="D129" s="13" t="s">
        <v>8156</v>
      </c>
      <c r="E129" s="13">
        <v>137</v>
      </c>
      <c r="F129" s="13" t="s">
        <v>126</v>
      </c>
      <c r="G129" s="13" t="s">
        <v>46</v>
      </c>
      <c r="H129" s="13" t="str">
        <f>IF(G129&lt;&gt;"NOUSE",HEX2DEC(RIGHT(F129,3))+HEX2DEC(RIGHT(G129,3)),"")</f>
        <v/>
      </c>
      <c r="I129" s="13" t="str">
        <f t="shared" si="10"/>
        <v>0x000001BB</v>
      </c>
      <c r="K129" s="13" t="str">
        <f t="shared" si="12"/>
        <v>{(U2)19U,</v>
      </c>
      <c r="L129" s="13" t="str">
        <f t="shared" si="13"/>
        <v>(U2)1U},</v>
      </c>
      <c r="M129" s="13" t="str">
        <f t="shared" si="11"/>
        <v>/* MBOX = 137 / 0x000001bb : Rx Mask = NOUSE */</v>
      </c>
      <c r="N129" s="184"/>
    </row>
    <row r="130" spans="1:14">
      <c r="A130" s="13" t="str">
        <f>"0x00000"&amp;'CANRx_G2M-1_v2'!B134</f>
        <v>0x0000035F</v>
      </c>
      <c r="B130" s="13">
        <f>IF('CANRx_G2M-1_v2'!AF134&lt;&gt;"",'CANRx_G2M-1_v2'!AF134,B129)</f>
        <v>77</v>
      </c>
      <c r="D130" s="13" t="s">
        <v>8157</v>
      </c>
      <c r="E130" s="13">
        <v>138</v>
      </c>
      <c r="F130" s="13" t="s">
        <v>352</v>
      </c>
      <c r="G130" s="13" t="s">
        <v>46</v>
      </c>
      <c r="H130" s="13" t="str">
        <f t="shared" si="9"/>
        <v/>
      </c>
      <c r="I130" s="13" t="str">
        <f t="shared" si="10"/>
        <v>0x00000347</v>
      </c>
      <c r="K130" s="13" t="str">
        <f t="shared" ref="K130:K141" si="14">"{(U2)"&amp;VLOOKUP(F130,$A$2:$B$282,2,FALSE)&amp;"U,"</f>
        <v>{(U2)71U,</v>
      </c>
      <c r="L130" s="13" t="str">
        <f t="shared" ref="L130:L139" si="15">"(U2)"&amp;(VLOOKUP(I130,$A$2:$B$282,2,FALSE)-VLOOKUP(F130,$A$2:$B$282,2,FALSE)+1)&amp;"U},"</f>
        <v>(U2)1U},</v>
      </c>
      <c r="M130" s="13" t="str">
        <f t="shared" si="11"/>
        <v>/* MBOX = 138 / 0x00000347 : Rx Mask = NOUSE */</v>
      </c>
      <c r="N130" s="184"/>
    </row>
    <row r="131" spans="1:14">
      <c r="A131" s="13" t="str">
        <f>"0x00000"&amp;'CANRx_G2M-1_v2'!B135</f>
        <v>0x00000363</v>
      </c>
      <c r="B131" s="13">
        <f>IF('CANRx_G2M-1_v2'!AF135&lt;&gt;"",'CANRx_G2M-1_v2'!AF135,B130)</f>
        <v>77</v>
      </c>
      <c r="D131" s="13" t="s">
        <v>8158</v>
      </c>
      <c r="E131" s="13">
        <v>139</v>
      </c>
      <c r="F131" s="13" t="s">
        <v>558</v>
      </c>
      <c r="G131" s="13" t="s">
        <v>46</v>
      </c>
      <c r="H131" s="13" t="str">
        <f t="shared" ref="H131:H139" si="16">IF(G131&lt;&gt;"NOUSE",HEX2DEC(RIGHT(F131,3))+HEX2DEC(RIGHT(G131,3)),"")</f>
        <v/>
      </c>
      <c r="I131" s="13" t="str">
        <f t="shared" ref="I131:I141" si="17">IF(H131&lt;&gt;"","0x"&amp;DEC2HEX(H131,8),F131)</f>
        <v>0x00000417</v>
      </c>
      <c r="K131" s="13" t="str">
        <f t="shared" si="14"/>
        <v>{(U2)135U,</v>
      </c>
      <c r="L131" s="13" t="str">
        <f t="shared" si="15"/>
        <v>(U2)1U},</v>
      </c>
      <c r="M131" s="13" t="str">
        <f t="shared" ref="M131:M141" si="18">"/* MBOX = "&amp;E131&amp;" / "&amp;LOWER(F131)&amp;" : Rx Mask = "&amp;G131&amp;" */"</f>
        <v>/* MBOX = 139 / 0x00000417 : Rx Mask = NOUSE */</v>
      </c>
      <c r="N131" s="184"/>
    </row>
    <row r="132" spans="1:14">
      <c r="A132" s="13" t="str">
        <f>"0x00000"&amp;'CANRx_G2M-1_v2'!B136</f>
        <v>0x00000367</v>
      </c>
      <c r="B132" s="13">
        <f>IF('CANRx_G2M-1_v2'!AF136&lt;&gt;"",'CANRx_G2M-1_v2'!AF136,B131)</f>
        <v>78</v>
      </c>
      <c r="D132" s="13" t="s">
        <v>8159</v>
      </c>
      <c r="E132" s="13">
        <v>140</v>
      </c>
      <c r="F132" s="13" t="s">
        <v>561</v>
      </c>
      <c r="G132" s="13" t="s">
        <v>46</v>
      </c>
      <c r="H132" s="13" t="str">
        <f t="shared" si="16"/>
        <v/>
      </c>
      <c r="I132" s="13" t="str">
        <f t="shared" si="17"/>
        <v>0x00000418</v>
      </c>
      <c r="K132" s="13" t="str">
        <f t="shared" si="14"/>
        <v>{(U2)135U,</v>
      </c>
      <c r="L132" s="13" t="str">
        <f t="shared" si="15"/>
        <v>(U2)1U},</v>
      </c>
      <c r="M132" s="13" t="str">
        <f t="shared" si="18"/>
        <v>/* MBOX = 140 / 0x00000418 : Rx Mask = NOUSE */</v>
      </c>
      <c r="N132" s="184"/>
    </row>
    <row r="133" spans="1:14">
      <c r="A133" s="13" t="str">
        <f>"0x00000"&amp;'CANRx_G2M-1_v2'!B137</f>
        <v>0x0000036B</v>
      </c>
      <c r="B133" s="13">
        <f>IF('CANRx_G2M-1_v2'!AF137&lt;&gt;"",'CANRx_G2M-1_v2'!AF137,B132)</f>
        <v>78</v>
      </c>
      <c r="D133" s="13" t="s">
        <v>8160</v>
      </c>
      <c r="E133" s="13">
        <v>141</v>
      </c>
      <c r="F133" s="13" t="s">
        <v>297</v>
      </c>
      <c r="G133" s="13" t="s">
        <v>71</v>
      </c>
      <c r="H133" s="13">
        <f t="shared" si="16"/>
        <v>920</v>
      </c>
      <c r="I133" s="13" t="str">
        <f t="shared" si="17"/>
        <v>0x00000398</v>
      </c>
      <c r="K133" s="13" t="str">
        <f t="shared" si="14"/>
        <v>{(U2)59U,</v>
      </c>
      <c r="L133" s="13" t="str">
        <f t="shared" si="15"/>
        <v>(U2)2U},</v>
      </c>
      <c r="M133" s="13" t="str">
        <f t="shared" si="18"/>
        <v>/* MBOX = 141 / 0x00000318 : Rx Mask = 0x00000080 */</v>
      </c>
      <c r="N133" s="184"/>
    </row>
    <row r="134" spans="1:14">
      <c r="A134" s="13" t="str">
        <f>"0x00000"&amp;'CANRx_G2M-1_v2'!B138</f>
        <v>0x0000036F</v>
      </c>
      <c r="B134" s="13">
        <f>IF('CANRx_G2M-1_v2'!AF138&lt;&gt;"",'CANRx_G2M-1_v2'!AF138,B133)</f>
        <v>78</v>
      </c>
      <c r="D134" s="13" t="s">
        <v>8161</v>
      </c>
      <c r="E134" s="13">
        <v>142</v>
      </c>
      <c r="F134" s="13" t="s">
        <v>26</v>
      </c>
      <c r="G134" s="13" t="s">
        <v>46</v>
      </c>
      <c r="H134" s="13" t="str">
        <f t="shared" si="16"/>
        <v/>
      </c>
      <c r="I134" s="13" t="str">
        <f t="shared" si="17"/>
        <v>0x00000069</v>
      </c>
      <c r="K134" s="13" t="str">
        <f t="shared" si="14"/>
        <v>{(U2)2U,</v>
      </c>
      <c r="L134" s="13" t="str">
        <f t="shared" si="15"/>
        <v>(U2)1U},</v>
      </c>
      <c r="M134" s="13" t="str">
        <f t="shared" si="18"/>
        <v>/* MBOX = 142 / 0x00000069 : Rx Mask = NOUSE */</v>
      </c>
      <c r="N134" s="184"/>
    </row>
    <row r="135" spans="1:14">
      <c r="A135" s="13" t="str">
        <f>"0x00000"&amp;'CANRx_G2M-1_v2'!B139</f>
        <v>0x00000364</v>
      </c>
      <c r="B135" s="13">
        <f>IF('CANRx_G2M-1_v2'!AF139&lt;&gt;"",'CANRx_G2M-1_v2'!AF139,B134)</f>
        <v>79</v>
      </c>
      <c r="D135" s="13" t="s">
        <v>8162</v>
      </c>
      <c r="E135" s="13">
        <v>143</v>
      </c>
      <c r="F135" s="13" t="s">
        <v>49</v>
      </c>
      <c r="G135" s="13" t="s">
        <v>46</v>
      </c>
      <c r="H135" s="13" t="str">
        <f t="shared" si="16"/>
        <v/>
      </c>
      <c r="I135" s="13" t="str">
        <f t="shared" si="17"/>
        <v>0x000000B7</v>
      </c>
      <c r="K135" s="13" t="str">
        <f t="shared" si="14"/>
        <v>{(U2)5U,</v>
      </c>
      <c r="L135" s="13" t="str">
        <f t="shared" si="15"/>
        <v>(U2)1U},</v>
      </c>
      <c r="M135" s="13" t="str">
        <f t="shared" si="18"/>
        <v>/* MBOX = 143 / 0x000000b7 : Rx Mask = NOUSE */</v>
      </c>
      <c r="N135" s="184"/>
    </row>
    <row r="136" spans="1:14">
      <c r="A136" s="13" t="str">
        <f>"0x00000"&amp;'CANRx_G2M-1_v2'!B140</f>
        <v>0x0000036C</v>
      </c>
      <c r="B136" s="13">
        <f>IF('CANRx_G2M-1_v2'!AF140&lt;&gt;"",'CANRx_G2M-1_v2'!AF140,B135)</f>
        <v>79</v>
      </c>
      <c r="D136" s="13" t="s">
        <v>8163</v>
      </c>
      <c r="E136" s="13">
        <v>144</v>
      </c>
      <c r="F136" s="13" t="s">
        <v>706</v>
      </c>
      <c r="G136" s="13" t="s">
        <v>46</v>
      </c>
      <c r="H136" s="13" t="str">
        <f t="shared" si="16"/>
        <v/>
      </c>
      <c r="I136" s="13" t="str">
        <f t="shared" si="17"/>
        <v>0x00000601</v>
      </c>
      <c r="K136" s="13" t="str">
        <f t="shared" si="14"/>
        <v>{(U2)169U,</v>
      </c>
      <c r="L136" s="13" t="str">
        <f t="shared" si="15"/>
        <v>(U2)1U},</v>
      </c>
      <c r="M136" s="13" t="str">
        <f t="shared" si="18"/>
        <v>/* MBOX = 144 / 0x00000601 : Rx Mask = NOUSE */</v>
      </c>
      <c r="N136" s="184"/>
    </row>
    <row r="137" spans="1:14">
      <c r="A137" s="13" t="str">
        <f>"0x00000"&amp;'CANRx_G2M-1_v2'!B141</f>
        <v>0x0000036E</v>
      </c>
      <c r="B137" s="13">
        <f>IF('CANRx_G2M-1_v2'!AF141&lt;&gt;"",'CANRx_G2M-1_v2'!AF141,B136)</f>
        <v>80</v>
      </c>
      <c r="D137" s="13" t="s">
        <v>8164</v>
      </c>
      <c r="E137" s="13">
        <v>145</v>
      </c>
      <c r="F137" s="13" t="s">
        <v>412</v>
      </c>
      <c r="G137" s="13" t="s">
        <v>46</v>
      </c>
      <c r="H137" s="13" t="str">
        <f t="shared" si="16"/>
        <v/>
      </c>
      <c r="I137" s="13" t="str">
        <f t="shared" si="17"/>
        <v>0x0000037F</v>
      </c>
      <c r="K137" s="13" t="str">
        <f t="shared" si="14"/>
        <v>{(U2)84U,</v>
      </c>
      <c r="L137" s="13" t="str">
        <f t="shared" si="15"/>
        <v>(U2)1U},</v>
      </c>
      <c r="M137" s="13" t="str">
        <f t="shared" si="18"/>
        <v>/* MBOX = 145 / 0x0000037f : Rx Mask = NOUSE */</v>
      </c>
      <c r="N137" s="184"/>
    </row>
    <row r="138" spans="1:14">
      <c r="A138" s="13" t="str">
        <f>"0x00000"&amp;'CANRx_G2M-1_v2'!B142</f>
        <v>0x00000379</v>
      </c>
      <c r="B138" s="13">
        <f>IF('CANRx_G2M-1_v2'!AF142&lt;&gt;"",'CANRx_G2M-1_v2'!AF142,B137)</f>
        <v>81</v>
      </c>
      <c r="D138" s="13" t="s">
        <v>8165</v>
      </c>
      <c r="E138" s="13">
        <v>146</v>
      </c>
      <c r="F138" s="13" t="s">
        <v>398</v>
      </c>
      <c r="G138" s="13" t="s">
        <v>46</v>
      </c>
      <c r="H138" s="13" t="str">
        <f t="shared" si="16"/>
        <v/>
      </c>
      <c r="I138" s="13" t="str">
        <f t="shared" si="17"/>
        <v>0x0000036E</v>
      </c>
      <c r="K138" s="13" t="str">
        <f t="shared" si="14"/>
        <v>{(U2)80U,</v>
      </c>
      <c r="L138" s="13" t="str">
        <f t="shared" si="15"/>
        <v>(U2)1U},</v>
      </c>
      <c r="M138" s="13" t="str">
        <f t="shared" si="18"/>
        <v>/* MBOX = 146 / 0x0000036e : Rx Mask = NOUSE */</v>
      </c>
      <c r="N138" s="184"/>
    </row>
    <row r="139" spans="1:14">
      <c r="A139" s="13" t="str">
        <f>"0x00000"&amp;'CANRx_G2M-1_v2'!B143</f>
        <v>0x0000037B</v>
      </c>
      <c r="B139" s="13">
        <f>IF('CANRx_G2M-1_v2'!AF143&lt;&gt;"",'CANRx_G2M-1_v2'!AF143,B138)</f>
        <v>82</v>
      </c>
      <c r="D139" s="13" t="s">
        <v>8166</v>
      </c>
      <c r="E139" s="13">
        <v>147</v>
      </c>
      <c r="F139" s="13" t="s">
        <v>437</v>
      </c>
      <c r="G139" s="13" t="s">
        <v>46</v>
      </c>
      <c r="H139" s="13" t="str">
        <f t="shared" si="16"/>
        <v/>
      </c>
      <c r="I139" s="13" t="str">
        <f t="shared" si="17"/>
        <v>0x00000390</v>
      </c>
      <c r="K139" s="13" t="str">
        <f t="shared" si="14"/>
        <v>{(U2)93U,</v>
      </c>
      <c r="L139" s="13" t="str">
        <f t="shared" si="15"/>
        <v>(U2)1U},</v>
      </c>
      <c r="M139" s="13" t="str">
        <f t="shared" si="18"/>
        <v>/* MBOX = 147 / 0x00000390 : Rx Mask = NOUSE */</v>
      </c>
      <c r="N139" s="184"/>
    </row>
    <row r="140" spans="1:14">
      <c r="A140" s="13" t="str">
        <f>"0x00000"&amp;'CANRx_G2M-1_v2'!B144</f>
        <v>0x000003F9</v>
      </c>
      <c r="B140" s="13">
        <f>IF('CANRx_G2M-1_v2'!AF144&lt;&gt;"",'CANRx_G2M-1_v2'!AF144,B139)</f>
        <v>82</v>
      </c>
      <c r="D140" s="13" t="s">
        <v>8167</v>
      </c>
      <c r="E140" s="13">
        <v>148</v>
      </c>
      <c r="F140" s="13" t="s">
        <v>8482</v>
      </c>
      <c r="G140" s="13" t="s">
        <v>732</v>
      </c>
      <c r="H140" s="13">
        <f>IF(G140&lt;&gt;"NOUSE",HEX2DEC(RIGHT(F140,8))+HEX2DEC(RIGHT(G140,8)),"")</f>
        <v>2564554751</v>
      </c>
      <c r="I140" s="13" t="str">
        <f t="shared" si="17"/>
        <v>0x98DBFFFF</v>
      </c>
      <c r="K140" s="13" t="str">
        <f t="shared" si="14"/>
        <v>{(U2)175U,</v>
      </c>
      <c r="L140" s="13" t="s">
        <v>974</v>
      </c>
      <c r="M140" s="13" t="str">
        <f t="shared" si="18"/>
        <v>/* MBOX = 148 / 0x18da0000 : Rx Mask = 0x8001FFFF */</v>
      </c>
      <c r="N140" s="184"/>
    </row>
    <row r="141" spans="1:14">
      <c r="A141" s="13" t="str">
        <f>"0x00000"&amp;'CANRx_G2M-1_v2'!B145</f>
        <v>0x000003FB</v>
      </c>
      <c r="B141" s="13">
        <f>IF('CANRx_G2M-1_v2'!AF145&lt;&gt;"",'CANRx_G2M-1_v2'!AF145,B140)</f>
        <v>83</v>
      </c>
      <c r="D141" s="13" t="s">
        <v>8168</v>
      </c>
      <c r="E141" s="13">
        <v>149</v>
      </c>
      <c r="F141" s="13" t="s">
        <v>8483</v>
      </c>
      <c r="G141" s="13" t="s">
        <v>728</v>
      </c>
      <c r="H141" s="13">
        <f>IF(G141&lt;&gt;"NOUSE",HEX2DEC(RIGHT(F141,8))+HEX2DEC(RIGHT(G141,8)),"")</f>
        <v>2550137855</v>
      </c>
      <c r="I141" s="13" t="str">
        <f t="shared" si="17"/>
        <v>0x980003FF</v>
      </c>
      <c r="K141" s="13" t="str">
        <f t="shared" si="14"/>
        <v>{(U2)173U,</v>
      </c>
      <c r="L141" s="13" t="s">
        <v>974</v>
      </c>
      <c r="M141" s="13" t="str">
        <f t="shared" si="18"/>
        <v>/* MBOX = 149 / 0x18000000 : Rx Mask = 0x800003FF */</v>
      </c>
      <c r="N141" s="184"/>
    </row>
    <row r="142" spans="1:14">
      <c r="A142" s="13" t="str">
        <f>"0x00000"&amp;'CANRx_G2M-1_v2'!B146</f>
        <v>0x0000037F</v>
      </c>
      <c r="B142" s="13">
        <f>IF('CANRx_G2M-1_v2'!AF146&lt;&gt;"",'CANRx_G2M-1_v2'!AF146,B141)</f>
        <v>84</v>
      </c>
      <c r="N142" s="184"/>
    </row>
    <row r="143" spans="1:14">
      <c r="A143" s="13" t="str">
        <f>"0x00000"&amp;'CANRx_G2M-1_v2'!B147</f>
        <v>0x00000380</v>
      </c>
      <c r="B143" s="13">
        <f>IF('CANRx_G2M-1_v2'!AF147&lt;&gt;"",'CANRx_G2M-1_v2'!AF147,B142)</f>
        <v>84</v>
      </c>
      <c r="N143" s="184"/>
    </row>
    <row r="144" spans="1:14">
      <c r="A144" s="13" t="str">
        <f>"0x00000"&amp;'CANRx_G2M-1_v2'!B148</f>
        <v>0x00000381</v>
      </c>
      <c r="B144" s="13">
        <f>IF('CANRx_G2M-1_v2'!AF148&lt;&gt;"",'CANRx_G2M-1_v2'!AF148,B143)</f>
        <v>85</v>
      </c>
      <c r="N144" s="184"/>
    </row>
    <row r="145" spans="1:14">
      <c r="A145" s="13" t="str">
        <f>"0x00000"&amp;'CANRx_G2M-1_v2'!B149</f>
        <v>0x0000038A</v>
      </c>
      <c r="B145" s="13">
        <f>IF('CANRx_G2M-1_v2'!AF149&lt;&gt;"",'CANRx_G2M-1_v2'!AF149,B144)</f>
        <v>86</v>
      </c>
      <c r="N145" s="184"/>
    </row>
    <row r="146" spans="1:14">
      <c r="A146" s="13" t="str">
        <f>"0x00000"&amp;'CANRx_G2M-1_v2'!B150</f>
        <v>0x0000038B</v>
      </c>
      <c r="B146" s="13">
        <f>IF('CANRx_G2M-1_v2'!AF150&lt;&gt;"",'CANRx_G2M-1_v2'!AF150,B145)</f>
        <v>86</v>
      </c>
      <c r="N146" s="184"/>
    </row>
    <row r="147" spans="1:14">
      <c r="A147" s="13" t="str">
        <f>"0x00000"&amp;'CANRx_G2M-1_v2'!B151</f>
        <v>0x0000039A</v>
      </c>
      <c r="B147" s="13">
        <f>IF('CANRx_G2M-1_v2'!AF151&lt;&gt;"",'CANRx_G2M-1_v2'!AF151,B146)</f>
        <v>87</v>
      </c>
    </row>
    <row r="148" spans="1:14">
      <c r="A148" s="13" t="str">
        <f>"0x00000"&amp;'CANRx_G2M-1_v2'!B152</f>
        <v>0x0000039B</v>
      </c>
      <c r="B148" s="13">
        <f>IF('CANRx_G2M-1_v2'!AF152&lt;&gt;"",'CANRx_G2M-1_v2'!AF152,B147)</f>
        <v>88</v>
      </c>
    </row>
    <row r="149" spans="1:14">
      <c r="A149" s="13" t="str">
        <f>"0x00000"&amp;'CANRx_G2M-1_v2'!B153</f>
        <v>0x0000038D</v>
      </c>
      <c r="B149" s="13">
        <f>IF('CANRx_G2M-1_v2'!AF153&lt;&gt;"",'CANRx_G2M-1_v2'!AF153,B148)</f>
        <v>89</v>
      </c>
    </row>
    <row r="150" spans="1:14">
      <c r="A150" s="13" t="str">
        <f>"0x00000"&amp;'CANRx_G2M-1_v2'!B154</f>
        <v>0x0000039D</v>
      </c>
      <c r="B150" s="13">
        <f>IF('CANRx_G2M-1_v2'!AF154&lt;&gt;"",'CANRx_G2M-1_v2'!AF154,B149)</f>
        <v>90</v>
      </c>
    </row>
    <row r="151" spans="1:14">
      <c r="A151" s="13" t="str">
        <f>"0x00000"&amp;'CANRx_G2M-1_v2'!B155</f>
        <v>0x000003CD</v>
      </c>
      <c r="B151" s="13">
        <f>IF('CANRx_G2M-1_v2'!AF155&lt;&gt;"",'CANRx_G2M-1_v2'!AF155,B150)</f>
        <v>91</v>
      </c>
    </row>
    <row r="152" spans="1:14">
      <c r="A152" s="13" t="str">
        <f>"0x00000"&amp;'CANRx_G2M-1_v2'!B156</f>
        <v>0x000003DD</v>
      </c>
      <c r="B152" s="13">
        <f>IF('CANRx_G2M-1_v2'!AF156&lt;&gt;"",'CANRx_G2M-1_v2'!AF156,B151)</f>
        <v>92</v>
      </c>
    </row>
    <row r="153" spans="1:14">
      <c r="A153" s="13" t="str">
        <f>"0x00000"&amp;'CANRx_G2M-1_v2'!B157</f>
        <v>0x00000390</v>
      </c>
      <c r="B153" s="13">
        <f>IF('CANRx_G2M-1_v2'!AF157&lt;&gt;"",'CANRx_G2M-1_v2'!AF157,B152)</f>
        <v>93</v>
      </c>
    </row>
    <row r="154" spans="1:14">
      <c r="A154" s="13" t="str">
        <f>"0x00000"&amp;'CANRx_G2M-1_v2'!B158</f>
        <v>0x00000393</v>
      </c>
      <c r="B154" s="13">
        <f>IF('CANRx_G2M-1_v2'!AF158&lt;&gt;"",'CANRx_G2M-1_v2'!AF158,B153)</f>
        <v>94</v>
      </c>
    </row>
    <row r="155" spans="1:14">
      <c r="A155" s="13" t="str">
        <f>"0x00000"&amp;'CANRx_G2M-1_v2'!B159</f>
        <v>0x00000396</v>
      </c>
      <c r="B155" s="13">
        <f>IF('CANRx_G2M-1_v2'!AF159&lt;&gt;"",'CANRx_G2M-1_v2'!AF159,B154)</f>
        <v>95</v>
      </c>
    </row>
    <row r="156" spans="1:14">
      <c r="A156" s="13" t="str">
        <f>"0x00000"&amp;'CANRx_G2M-1_v2'!B160</f>
        <v>0x00000397</v>
      </c>
      <c r="B156" s="13">
        <f>IF('CANRx_G2M-1_v2'!AF160&lt;&gt;"",'CANRx_G2M-1_v2'!AF160,B155)</f>
        <v>96</v>
      </c>
    </row>
    <row r="157" spans="1:14">
      <c r="A157" s="13" t="str">
        <f>"0x00000"&amp;'CANRx_G2M-1_v2'!B161</f>
        <v>0x0000039E</v>
      </c>
      <c r="B157" s="13">
        <f>IF('CANRx_G2M-1_v2'!AF161&lt;&gt;"",'CANRx_G2M-1_v2'!AF161,B156)</f>
        <v>97</v>
      </c>
    </row>
    <row r="158" spans="1:14">
      <c r="A158" s="13" t="str">
        <f>"0x00000"&amp;'CANRx_G2M-1_v2'!B162</f>
        <v>0x0000039F</v>
      </c>
      <c r="B158" s="13">
        <f>IF('CANRx_G2M-1_v2'!AF162&lt;&gt;"",'CANRx_G2M-1_v2'!AF162,B157)</f>
        <v>98</v>
      </c>
    </row>
    <row r="159" spans="1:14">
      <c r="A159" s="13" t="str">
        <f>"0x00000"&amp;'CANRx_G2M-1_v2'!B163</f>
        <v>0x000003A1</v>
      </c>
      <c r="B159" s="13">
        <f>IF('CANRx_G2M-1_v2'!AF163&lt;&gt;"",'CANRx_G2M-1_v2'!AF163,B158)</f>
        <v>99</v>
      </c>
    </row>
    <row r="160" spans="1:14">
      <c r="A160" s="13" t="str">
        <f>"0x00000"&amp;'CANRx_G2M-1_v2'!B164</f>
        <v>0x000003A5</v>
      </c>
      <c r="B160" s="13">
        <f>IF('CANRx_G2M-1_v2'!AF164&lt;&gt;"",'CANRx_G2M-1_v2'!AF164,B159)</f>
        <v>100</v>
      </c>
    </row>
    <row r="161" spans="1:2">
      <c r="A161" s="13" t="str">
        <f>"0x00000"&amp;'CANRx_G2M-1_v2'!B165</f>
        <v>0x000003E1</v>
      </c>
      <c r="B161" s="13">
        <f>IF('CANRx_G2M-1_v2'!AF165&lt;&gt;"",'CANRx_G2M-1_v2'!AF165,B160)</f>
        <v>101</v>
      </c>
    </row>
    <row r="162" spans="1:2">
      <c r="A162" s="13" t="str">
        <f>"0x00000"&amp;'CANRx_G2M-1_v2'!B166</f>
        <v>0x000003E5</v>
      </c>
      <c r="B162" s="13">
        <f>IF('CANRx_G2M-1_v2'!AF166&lt;&gt;"",'CANRx_G2M-1_v2'!AF166,B161)</f>
        <v>102</v>
      </c>
    </row>
    <row r="163" spans="1:2">
      <c r="A163" s="13" t="str">
        <f>"0x00000"&amp;'CANRx_G2M-1_v2'!B167</f>
        <v>0x000003A9</v>
      </c>
      <c r="B163" s="13">
        <f>IF('CANRx_G2M-1_v2'!AF167&lt;&gt;"",'CANRx_G2M-1_v2'!AF167,B162)</f>
        <v>103</v>
      </c>
    </row>
    <row r="164" spans="1:2">
      <c r="A164" s="13" t="str">
        <f>"0x00000"&amp;'CANRx_G2M-1_v2'!B168</f>
        <v>0x000003AB</v>
      </c>
      <c r="B164" s="13">
        <f>IF('CANRx_G2M-1_v2'!AF168&lt;&gt;"",'CANRx_G2M-1_v2'!AF168,B163)</f>
        <v>104</v>
      </c>
    </row>
    <row r="165" spans="1:2">
      <c r="A165" s="13" t="str">
        <f>"0x00000"&amp;'CANRx_G2M-1_v2'!B169</f>
        <v>0x000003E9</v>
      </c>
      <c r="B165" s="13">
        <f>IF('CANRx_G2M-1_v2'!AF169&lt;&gt;"",'CANRx_G2M-1_v2'!AF169,B164)</f>
        <v>105</v>
      </c>
    </row>
    <row r="166" spans="1:2">
      <c r="A166" s="13" t="str">
        <f>"0x00000"&amp;'CANRx_G2M-1_v2'!B170</f>
        <v>0x000003EB</v>
      </c>
      <c r="B166" s="13">
        <f>IF('CANRx_G2M-1_v2'!AF170&lt;&gt;"",'CANRx_G2M-1_v2'!AF170,B165)</f>
        <v>106</v>
      </c>
    </row>
    <row r="167" spans="1:2">
      <c r="A167" s="13" t="str">
        <f>"0x00000"&amp;'CANRx_G2M-1_v2'!B171</f>
        <v>0x000003AC</v>
      </c>
      <c r="B167" s="13">
        <f>IF('CANRx_G2M-1_v2'!AF171&lt;&gt;"",'CANRx_G2M-1_v2'!AF171,B166)</f>
        <v>107</v>
      </c>
    </row>
    <row r="168" spans="1:2">
      <c r="A168" s="13" t="str">
        <f>"0x00000"&amp;'CANRx_G2M-1_v2'!B172</f>
        <v>0x000003AE</v>
      </c>
      <c r="B168" s="13">
        <f>IF('CANRx_G2M-1_v2'!AF172&lt;&gt;"",'CANRx_G2M-1_v2'!AF172,B167)</f>
        <v>108</v>
      </c>
    </row>
    <row r="169" spans="1:2">
      <c r="A169" s="13" t="str">
        <f>"0x00000"&amp;'CANRx_G2M-1_v2'!B173</f>
        <v>0x000003B0</v>
      </c>
      <c r="B169" s="13">
        <f>IF('CANRx_G2M-1_v2'!AF173&lt;&gt;"",'CANRx_G2M-1_v2'!AF173,B168)</f>
        <v>109</v>
      </c>
    </row>
    <row r="170" spans="1:2">
      <c r="A170" s="13" t="str">
        <f>"0x00000"&amp;'CANRx_G2M-1_v2'!B174</f>
        <v>0x000003B1</v>
      </c>
      <c r="B170" s="13">
        <f>IF('CANRx_G2M-1_v2'!AF174&lt;&gt;"",'CANRx_G2M-1_v2'!AF174,B169)</f>
        <v>109</v>
      </c>
    </row>
    <row r="171" spans="1:2">
      <c r="A171" s="13" t="str">
        <f>"0x00000"&amp;'CANRx_G2M-1_v2'!B175</f>
        <v>0x000003B2</v>
      </c>
      <c r="B171" s="13">
        <f>IF('CANRx_G2M-1_v2'!AF175&lt;&gt;"",'CANRx_G2M-1_v2'!AF175,B170)</f>
        <v>110</v>
      </c>
    </row>
    <row r="172" spans="1:2">
      <c r="A172" s="13" t="str">
        <f>"0x00000"&amp;'CANRx_G2M-1_v2'!B176</f>
        <v>0x000003B3</v>
      </c>
      <c r="B172" s="13">
        <f>IF('CANRx_G2M-1_v2'!AF176&lt;&gt;"",'CANRx_G2M-1_v2'!AF176,B171)</f>
        <v>111</v>
      </c>
    </row>
    <row r="173" spans="1:2">
      <c r="A173" s="13" t="str">
        <f>"0x00000"&amp;'CANRx_G2M-1_v2'!B177</f>
        <v>0x000003B8</v>
      </c>
      <c r="B173" s="13">
        <f>IF('CANRx_G2M-1_v2'!AF177&lt;&gt;"",'CANRx_G2M-1_v2'!AF177,B172)</f>
        <v>112</v>
      </c>
    </row>
    <row r="174" spans="1:2">
      <c r="A174" s="13" t="str">
        <f>"0x00000"&amp;'CANRx_G2M-1_v2'!B178</f>
        <v>0x000003B9</v>
      </c>
      <c r="B174" s="13">
        <f>IF('CANRx_G2M-1_v2'!AF178&lt;&gt;"",'CANRx_G2M-1_v2'!AF178,B173)</f>
        <v>113</v>
      </c>
    </row>
    <row r="175" spans="1:2">
      <c r="A175" s="13" t="str">
        <f>"0x00000"&amp;'CANRx_G2M-1_v2'!B179</f>
        <v>0x000003BC</v>
      </c>
      <c r="B175" s="13">
        <f>IF('CANRx_G2M-1_v2'!AF179&lt;&gt;"",'CANRx_G2M-1_v2'!AF179,B174)</f>
        <v>114</v>
      </c>
    </row>
    <row r="176" spans="1:2">
      <c r="A176" s="13" t="str">
        <f>"0x00000"&amp;'CANRx_G2M-1_v2'!B180</f>
        <v>0x000003BD</v>
      </c>
      <c r="B176" s="13">
        <f>IF('CANRx_G2M-1_v2'!AF180&lt;&gt;"",'CANRx_G2M-1_v2'!AF180,B175)</f>
        <v>115</v>
      </c>
    </row>
    <row r="177" spans="1:2">
      <c r="A177" s="13" t="str">
        <f>"0x00000"&amp;'CANRx_G2M-1_v2'!B181</f>
        <v>0x000003BB</v>
      </c>
      <c r="B177" s="13">
        <f>IF('CANRx_G2M-1_v2'!AF181&lt;&gt;"",'CANRx_G2M-1_v2'!AF181,B176)</f>
        <v>116</v>
      </c>
    </row>
    <row r="178" spans="1:2">
      <c r="A178" s="13" t="str">
        <f>"0x00000"&amp;'CANRx_G2M-1_v2'!B182</f>
        <v>0x000003BF</v>
      </c>
      <c r="B178" s="13">
        <f>IF('CANRx_G2M-1_v2'!AF182&lt;&gt;"",'CANRx_G2M-1_v2'!AF182,B177)</f>
        <v>116</v>
      </c>
    </row>
    <row r="179" spans="1:2">
      <c r="A179" s="13" t="str">
        <f>"0x00000"&amp;'CANRx_G2M-1_v2'!B183</f>
        <v>0x000003C3</v>
      </c>
      <c r="B179" s="13">
        <f>IF('CANRx_G2M-1_v2'!AF183&lt;&gt;"",'CANRx_G2M-1_v2'!AF183,B178)</f>
        <v>117</v>
      </c>
    </row>
    <row r="180" spans="1:2">
      <c r="A180" s="13" t="str">
        <f>"0x00000"&amp;'CANRx_G2M-1_v2'!B184</f>
        <v>0x000003C7</v>
      </c>
      <c r="B180" s="13">
        <f>IF('CANRx_G2M-1_v2'!AF184&lt;&gt;"",'CANRx_G2M-1_v2'!AF184,B179)</f>
        <v>118</v>
      </c>
    </row>
    <row r="181" spans="1:2">
      <c r="A181" s="13" t="str">
        <f>"0x00000"&amp;'CANRx_G2M-1_v2'!B185</f>
        <v>0x000003C6</v>
      </c>
      <c r="B181" s="13">
        <f>IF('CANRx_G2M-1_v2'!AF185&lt;&gt;"",'CANRx_G2M-1_v2'!AF185,B180)</f>
        <v>119</v>
      </c>
    </row>
    <row r="182" spans="1:2">
      <c r="A182" s="13" t="str">
        <f>"0x00000"&amp;'CANRx_G2M-1_v2'!B186</f>
        <v>0x000003CE</v>
      </c>
      <c r="B182" s="13">
        <f>IF('CANRx_G2M-1_v2'!AF186&lt;&gt;"",'CANRx_G2M-1_v2'!AF186,B181)</f>
        <v>120</v>
      </c>
    </row>
    <row r="183" spans="1:2">
      <c r="A183" s="13" t="str">
        <f>"0x00000"&amp;'CANRx_G2M-1_v2'!B187</f>
        <v>0x000003D6</v>
      </c>
      <c r="B183" s="13">
        <f>IF('CANRx_G2M-1_v2'!AF187&lt;&gt;"",'CANRx_G2M-1_v2'!AF187,B182)</f>
        <v>121</v>
      </c>
    </row>
    <row r="184" spans="1:2">
      <c r="A184" s="13" t="str">
        <f>"0x00000"&amp;'CANRx_G2M-1_v2'!B188</f>
        <v>0x000003DE</v>
      </c>
      <c r="B184" s="13">
        <f>IF('CANRx_G2M-1_v2'!AF188&lt;&gt;"",'CANRx_G2M-1_v2'!AF188,B183)</f>
        <v>122</v>
      </c>
    </row>
    <row r="185" spans="1:2">
      <c r="A185" s="13" t="str">
        <f>"0x00000"&amp;'CANRx_G2M-1_v2'!B189</f>
        <v>0x000003C8</v>
      </c>
      <c r="B185" s="13">
        <f>IF('CANRx_G2M-1_v2'!AF189&lt;&gt;"",'CANRx_G2M-1_v2'!AF189,B184)</f>
        <v>123</v>
      </c>
    </row>
    <row r="186" spans="1:2">
      <c r="A186" s="13" t="str">
        <f>"0x00000"&amp;'CANRx_G2M-1_v2'!B190</f>
        <v>0x000003E8</v>
      </c>
      <c r="B186" s="13">
        <f>IF('CANRx_G2M-1_v2'!AF190&lt;&gt;"",'CANRx_G2M-1_v2'!AF190,B185)</f>
        <v>124</v>
      </c>
    </row>
    <row r="187" spans="1:2">
      <c r="A187" s="13" t="str">
        <f>"0x00000"&amp;'CANRx_G2M-1_v2'!B191</f>
        <v>0x000003CA</v>
      </c>
      <c r="B187" s="13">
        <f>IF('CANRx_G2M-1_v2'!AF191&lt;&gt;"",'CANRx_G2M-1_v2'!AF191,B186)</f>
        <v>125</v>
      </c>
    </row>
    <row r="188" spans="1:2">
      <c r="A188" s="13" t="str">
        <f>"0x00000"&amp;'CANRx_G2M-1_v2'!B192</f>
        <v>0x000003CB</v>
      </c>
      <c r="B188" s="13">
        <f>IF('CANRx_G2M-1_v2'!AF192&lt;&gt;"",'CANRx_G2M-1_v2'!AF192,B187)</f>
        <v>125</v>
      </c>
    </row>
    <row r="189" spans="1:2">
      <c r="A189" s="13" t="str">
        <f>"0x00000"&amp;'CANRx_G2M-1_v2'!B193</f>
        <v>0x000003E7</v>
      </c>
      <c r="B189" s="13">
        <f>IF('CANRx_G2M-1_v2'!AF193&lt;&gt;"",'CANRx_G2M-1_v2'!AF193,B188)</f>
        <v>126</v>
      </c>
    </row>
    <row r="190" spans="1:2">
      <c r="A190" s="13" t="str">
        <f>"0x00000"&amp;'CANRx_G2M-1_v2'!B194</f>
        <v>0x000003EF</v>
      </c>
      <c r="B190" s="13">
        <f>IF('CANRx_G2M-1_v2'!AF194&lt;&gt;"",'CANRx_G2M-1_v2'!AF194,B189)</f>
        <v>127</v>
      </c>
    </row>
    <row r="191" spans="1:2">
      <c r="A191" s="13" t="str">
        <f>"0x00000"&amp;'CANRx_G2M-1_v2'!B195</f>
        <v>0x000003F0</v>
      </c>
      <c r="B191" s="13">
        <f>IF('CANRx_G2M-1_v2'!AF195&lt;&gt;"",'CANRx_G2M-1_v2'!AF195,B190)</f>
        <v>128</v>
      </c>
    </row>
    <row r="192" spans="1:2">
      <c r="A192" s="13" t="str">
        <f>"0x00000"&amp;'CANRx_G2M-1_v2'!B196</f>
        <v>0x000003F2</v>
      </c>
      <c r="B192" s="13">
        <f>IF('CANRx_G2M-1_v2'!AF196&lt;&gt;"",'CANRx_G2M-1_v2'!AF196,B191)</f>
        <v>129</v>
      </c>
    </row>
    <row r="193" spans="1:2">
      <c r="A193" s="13" t="str">
        <f>"0x00000"&amp;'CANRx_G2M-1_v2'!B197</f>
        <v>0x000003F4</v>
      </c>
      <c r="B193" s="13">
        <f>IF('CANRx_G2M-1_v2'!AF197&lt;&gt;"",'CANRx_G2M-1_v2'!AF197,B192)</f>
        <v>129</v>
      </c>
    </row>
    <row r="194" spans="1:2">
      <c r="A194" s="13" t="str">
        <f>"0x00000"&amp;'CANRx_G2M-1_v2'!B198</f>
        <v>0x000003F6</v>
      </c>
      <c r="B194" s="13">
        <f>IF('CANRx_G2M-1_v2'!AF198&lt;&gt;"",'CANRx_G2M-1_v2'!AF198,B193)</f>
        <v>130</v>
      </c>
    </row>
    <row r="195" spans="1:2">
      <c r="A195" s="13" t="str">
        <f>"0x00000"&amp;'CANRx_G2M-1_v2'!B199</f>
        <v>0x000003FC</v>
      </c>
      <c r="B195" s="13">
        <f>IF('CANRx_G2M-1_v2'!AF199&lt;&gt;"",'CANRx_G2M-1_v2'!AF199,B194)</f>
        <v>130</v>
      </c>
    </row>
    <row r="196" spans="1:2">
      <c r="A196" s="13" t="str">
        <f>"0x00000"&amp;'CANRx_G2M-1_v2'!B200</f>
        <v>0x00000400</v>
      </c>
      <c r="B196" s="13">
        <f>IF('CANRx_G2M-1_v2'!AF200&lt;&gt;"",'CANRx_G2M-1_v2'!AF200,B195)</f>
        <v>131</v>
      </c>
    </row>
    <row r="197" spans="1:2">
      <c r="A197" s="13" t="str">
        <f>"0x00000"&amp;'CANRx_G2M-1_v2'!B201</f>
        <v>0x00000404</v>
      </c>
      <c r="B197" s="13">
        <f>IF('CANRx_G2M-1_v2'!AF201&lt;&gt;"",'CANRx_G2M-1_v2'!AF201,B196)</f>
        <v>131</v>
      </c>
    </row>
    <row r="198" spans="1:2">
      <c r="A198" s="13" t="str">
        <f>"0x00000"&amp;'CANRx_G2M-1_v2'!B202</f>
        <v>0x00000408</v>
      </c>
      <c r="B198" s="13">
        <f>IF('CANRx_G2M-1_v2'!AF202&lt;&gt;"",'CANRx_G2M-1_v2'!AF202,B197)</f>
        <v>132</v>
      </c>
    </row>
    <row r="199" spans="1:2">
      <c r="A199" s="13" t="str">
        <f>"0x00000"&amp;'CANRx_G2M-1_v2'!B203</f>
        <v>0x0000040C</v>
      </c>
      <c r="B199" s="13">
        <f>IF('CANRx_G2M-1_v2'!AF203&lt;&gt;"",'CANRx_G2M-1_v2'!AF203,B198)</f>
        <v>132</v>
      </c>
    </row>
    <row r="200" spans="1:2">
      <c r="A200" s="13" t="str">
        <f>"0x00000"&amp;'CANRx_G2M-1_v2'!B204</f>
        <v>0x00000401</v>
      </c>
      <c r="B200" s="13">
        <f>IF('CANRx_G2M-1_v2'!AF204&lt;&gt;"",'CANRx_G2M-1_v2'!AF204,B199)</f>
        <v>133</v>
      </c>
    </row>
    <row r="201" spans="1:2">
      <c r="A201" s="13" t="str">
        <f>"0x00000"&amp;'CANRx_G2M-1_v2'!B205</f>
        <v>0x00000403</v>
      </c>
      <c r="B201" s="13">
        <f>IF('CANRx_G2M-1_v2'!AF205&lt;&gt;"",'CANRx_G2M-1_v2'!AF205,B200)</f>
        <v>133</v>
      </c>
    </row>
    <row r="202" spans="1:2">
      <c r="A202" s="13" t="str">
        <f>"0x00000"&amp;'CANRx_G2M-1_v2'!B206</f>
        <v>0x00000405</v>
      </c>
      <c r="B202" s="13">
        <f>IF('CANRx_G2M-1_v2'!AF206&lt;&gt;"",'CANRx_G2M-1_v2'!AF206,B201)</f>
        <v>133</v>
      </c>
    </row>
    <row r="203" spans="1:2">
      <c r="A203" s="13" t="str">
        <f>"0x00000"&amp;'CANRx_G2M-1_v2'!B207</f>
        <v>0x00000407</v>
      </c>
      <c r="B203" s="13">
        <f>IF('CANRx_G2M-1_v2'!AF207&lt;&gt;"",'CANRx_G2M-1_v2'!AF207,B202)</f>
        <v>133</v>
      </c>
    </row>
    <row r="204" spans="1:2">
      <c r="A204" s="13" t="str">
        <f>"0x00000"&amp;'CANRx_G2M-1_v2'!B208</f>
        <v>0x0000040B</v>
      </c>
      <c r="B204" s="13">
        <f>IF('CANRx_G2M-1_v2'!AF208&lt;&gt;"",'CANRx_G2M-1_v2'!AF208,B203)</f>
        <v>133</v>
      </c>
    </row>
    <row r="205" spans="1:2">
      <c r="A205" s="13" t="str">
        <f>"0x00000"&amp;'CANRx_G2M-1_v2'!B209</f>
        <v>0x0000040D</v>
      </c>
      <c r="B205" s="13">
        <f>IF('CANRx_G2M-1_v2'!AF209&lt;&gt;"",'CANRx_G2M-1_v2'!AF209,B204)</f>
        <v>133</v>
      </c>
    </row>
    <row r="206" spans="1:2">
      <c r="A206" s="13" t="str">
        <f>"0x00000"&amp;'CANRx_G2M-1_v2'!B210</f>
        <v>0x0000050D</v>
      </c>
      <c r="B206" s="13">
        <f>IF('CANRx_G2M-1_v2'!AF210&lt;&gt;"",'CANRx_G2M-1_v2'!AF210,B205)</f>
        <v>134</v>
      </c>
    </row>
    <row r="207" spans="1:2">
      <c r="A207" s="13" t="str">
        <f>"0x00000"&amp;'CANRx_G2M-1_v2'!B211</f>
        <v>0x00000411</v>
      </c>
      <c r="B207" s="13">
        <f>IF('CANRx_G2M-1_v2'!AF211&lt;&gt;"",'CANRx_G2M-1_v2'!AF211,B206)</f>
        <v>135</v>
      </c>
    </row>
    <row r="208" spans="1:2">
      <c r="A208" s="13" t="str">
        <f>"0x00000"&amp;'CANRx_G2M-1_v2'!B212</f>
        <v>0x00000412</v>
      </c>
      <c r="B208" s="13">
        <f>IF('CANRx_G2M-1_v2'!AF212&lt;&gt;"",'CANRx_G2M-1_v2'!AF212,B207)</f>
        <v>135</v>
      </c>
    </row>
    <row r="209" spans="1:2">
      <c r="A209" s="13" t="str">
        <f>"0x00000"&amp;'CANRx_G2M-1_v2'!B213</f>
        <v>0x00000417</v>
      </c>
      <c r="B209" s="13">
        <f>IF('CANRx_G2M-1_v2'!AF213&lt;&gt;"",'CANRx_G2M-1_v2'!AF213,B208)</f>
        <v>135</v>
      </c>
    </row>
    <row r="210" spans="1:2">
      <c r="A210" s="13" t="str">
        <f>"0x00000"&amp;'CANRx_G2M-1_v2'!B214</f>
        <v>0x00000418</v>
      </c>
      <c r="B210" s="13">
        <f>IF('CANRx_G2M-1_v2'!AF214&lt;&gt;"",'CANRx_G2M-1_v2'!AF214,B209)</f>
        <v>135</v>
      </c>
    </row>
    <row r="211" spans="1:2">
      <c r="A211" s="13" t="str">
        <f>"0x00000"&amp;'CANRx_G2M-1_v2'!B215</f>
        <v>0x00000421</v>
      </c>
      <c r="B211" s="13">
        <f>IF('CANRx_G2M-1_v2'!AF215&lt;&gt;"",'CANRx_G2M-1_v2'!AF215,B210)</f>
        <v>135</v>
      </c>
    </row>
    <row r="212" spans="1:2">
      <c r="A212" s="13" t="str">
        <f>"0x00000"&amp;'CANRx_G2M-1_v2'!B216</f>
        <v>0x00000423</v>
      </c>
      <c r="B212" s="13">
        <f>IF('CANRx_G2M-1_v2'!AF216&lt;&gt;"",'CANRx_G2M-1_v2'!AF216,B211)</f>
        <v>136</v>
      </c>
    </row>
    <row r="213" spans="1:2">
      <c r="A213" s="13" t="str">
        <f>"0x00000"&amp;'CANRx_G2M-1_v2'!B217</f>
        <v>0x00000621</v>
      </c>
      <c r="B213" s="13">
        <f>IF('CANRx_G2M-1_v2'!AF217&lt;&gt;"",'CANRx_G2M-1_v2'!AF217,B212)</f>
        <v>137</v>
      </c>
    </row>
    <row r="214" spans="1:2">
      <c r="A214" s="13" t="str">
        <f>"0x00000"&amp;'CANRx_G2M-1_v2'!B218</f>
        <v>0x00000623</v>
      </c>
      <c r="B214" s="13">
        <f>IF('CANRx_G2M-1_v2'!AF218&lt;&gt;"",'CANRx_G2M-1_v2'!AF218,B213)</f>
        <v>137</v>
      </c>
    </row>
    <row r="215" spans="1:2">
      <c r="A215" s="13" t="str">
        <f>"0x00000"&amp;'CANRx_G2M-1_v2'!B219</f>
        <v>0x00000422</v>
      </c>
      <c r="B215" s="13">
        <f>IF('CANRx_G2M-1_v2'!AF219&lt;&gt;"",'CANRx_G2M-1_v2'!AF219,B214)</f>
        <v>138</v>
      </c>
    </row>
    <row r="216" spans="1:2">
      <c r="A216" s="13" t="str">
        <f>"0x00000"&amp;'CANRx_G2M-1_v2'!B220</f>
        <v>0x00000426</v>
      </c>
      <c r="B216" s="13">
        <f>IF('CANRx_G2M-1_v2'!AF220&lt;&gt;"",'CANRx_G2M-1_v2'!AF220,B215)</f>
        <v>138</v>
      </c>
    </row>
    <row r="217" spans="1:2">
      <c r="A217" s="13" t="str">
        <f>"0x00000"&amp;'CANRx_G2M-1_v2'!B221</f>
        <v>0x00000622</v>
      </c>
      <c r="B217" s="13">
        <f>IF('CANRx_G2M-1_v2'!AF221&lt;&gt;"",'CANRx_G2M-1_v2'!AF221,B216)</f>
        <v>138</v>
      </c>
    </row>
    <row r="218" spans="1:2">
      <c r="A218" s="13" t="str">
        <f>"0x00000"&amp;'CANRx_G2M-1_v2'!B222</f>
        <v>0x00000626</v>
      </c>
      <c r="B218" s="13">
        <f>IF('CANRx_G2M-1_v2'!AF222&lt;&gt;"",'CANRx_G2M-1_v2'!AF222,B217)</f>
        <v>138</v>
      </c>
    </row>
    <row r="219" spans="1:2">
      <c r="A219" s="13" t="str">
        <f>"0x00000"&amp;'CANRx_G2M-1_v2'!B223</f>
        <v>0x00000428</v>
      </c>
      <c r="B219" s="13">
        <f>IF('CANRx_G2M-1_v2'!AF223&lt;&gt;"",'CANRx_G2M-1_v2'!AF223,B218)</f>
        <v>139</v>
      </c>
    </row>
    <row r="220" spans="1:2">
      <c r="A220" s="13" t="str">
        <f>"0x00000"&amp;'CANRx_G2M-1_v2'!B224</f>
        <v>0x00000429</v>
      </c>
      <c r="B220" s="13">
        <f>IF('CANRx_G2M-1_v2'!AF224&lt;&gt;"",'CANRx_G2M-1_v2'!AF224,B219)</f>
        <v>140</v>
      </c>
    </row>
    <row r="221" spans="1:2">
      <c r="A221" s="13" t="str">
        <f>"0x00000"&amp;'CANRx_G2M-1_v2'!B225</f>
        <v>0x0000042A</v>
      </c>
      <c r="B221" s="13">
        <f>IF('CANRx_G2M-1_v2'!AF225&lt;&gt;"",'CANRx_G2M-1_v2'!AF225,B220)</f>
        <v>141</v>
      </c>
    </row>
    <row r="222" spans="1:2">
      <c r="A222" s="13" t="str">
        <f>"0x00000"&amp;'CANRx_G2M-1_v2'!B226</f>
        <v>0x0000042B</v>
      </c>
      <c r="B222" s="13">
        <f>IF('CANRx_G2M-1_v2'!AF226&lt;&gt;"",'CANRx_G2M-1_v2'!AF226,B221)</f>
        <v>141</v>
      </c>
    </row>
    <row r="223" spans="1:2">
      <c r="A223" s="13" t="str">
        <f>"0x00000"&amp;'CANRx_G2M-1_v2'!B227</f>
        <v>0x0000042C</v>
      </c>
      <c r="B223" s="13">
        <f>IF('CANRx_G2M-1_v2'!AF227&lt;&gt;"",'CANRx_G2M-1_v2'!AF227,B222)</f>
        <v>141</v>
      </c>
    </row>
    <row r="224" spans="1:2">
      <c r="A224" s="13" t="str">
        <f>"0x00000"&amp;'CANRx_G2M-1_v2'!B228</f>
        <v>0x0000043C</v>
      </c>
      <c r="B224" s="13">
        <f>IF('CANRx_G2M-1_v2'!AF228&lt;&gt;"",'CANRx_G2M-1_v2'!AF228,B223)</f>
        <v>142</v>
      </c>
    </row>
    <row r="225" spans="1:2">
      <c r="A225" s="13" t="str">
        <f>"0x00000"&amp;'CANRx_G2M-1_v2'!B229</f>
        <v>0x000004AC</v>
      </c>
      <c r="B225" s="13">
        <f>IF('CANRx_G2M-1_v2'!AF229&lt;&gt;"",'CANRx_G2M-1_v2'!AF229,B224)</f>
        <v>143</v>
      </c>
    </row>
    <row r="226" spans="1:2">
      <c r="A226" s="13" t="str">
        <f>"0x00000"&amp;'CANRx_G2M-1_v2'!B230</f>
        <v>0x000004BC</v>
      </c>
      <c r="B226" s="13">
        <f>IF('CANRx_G2M-1_v2'!AF230&lt;&gt;"",'CANRx_G2M-1_v2'!AF230,B225)</f>
        <v>143</v>
      </c>
    </row>
    <row r="227" spans="1:2">
      <c r="A227" s="13" t="str">
        <f>"0x00000"&amp;'CANRx_G2M-1_v2'!B231</f>
        <v>0x0000042F</v>
      </c>
      <c r="B227" s="13">
        <f>IF('CANRx_G2M-1_v2'!AF231&lt;&gt;"",'CANRx_G2M-1_v2'!AF231,B226)</f>
        <v>144</v>
      </c>
    </row>
    <row r="228" spans="1:2">
      <c r="A228" s="13" t="str">
        <f>"0x00000"&amp;'CANRx_G2M-1_v2'!B232</f>
        <v>0x00000430</v>
      </c>
      <c r="B228" s="13">
        <f>IF('CANRx_G2M-1_v2'!AF232&lt;&gt;"",'CANRx_G2M-1_v2'!AF232,B227)</f>
        <v>145</v>
      </c>
    </row>
    <row r="229" spans="1:2">
      <c r="A229" s="13" t="str">
        <f>"0x00000"&amp;'CANRx_G2M-1_v2'!B233</f>
        <v>0x00000432</v>
      </c>
      <c r="B229" s="13">
        <f>IF('CANRx_G2M-1_v2'!AF233&lt;&gt;"",'CANRx_G2M-1_v2'!AF233,B228)</f>
        <v>146</v>
      </c>
    </row>
    <row r="230" spans="1:2">
      <c r="A230" s="13" t="str">
        <f>"0x00000"&amp;'CANRx_G2M-1_v2'!B234</f>
        <v>0x00000530</v>
      </c>
      <c r="B230" s="13">
        <f>IF('CANRx_G2M-1_v2'!AF234&lt;&gt;"",'CANRx_G2M-1_v2'!AF234,B229)</f>
        <v>147</v>
      </c>
    </row>
    <row r="231" spans="1:2">
      <c r="A231" s="13" t="str">
        <f>"0x00000"&amp;'CANRx_G2M-1_v2'!B235</f>
        <v>0x00000532</v>
      </c>
      <c r="B231" s="13">
        <f>IF('CANRx_G2M-1_v2'!AF235&lt;&gt;"",'CANRx_G2M-1_v2'!AF235,B230)</f>
        <v>148</v>
      </c>
    </row>
    <row r="232" spans="1:2">
      <c r="A232" s="13" t="str">
        <f>"0x00000"&amp;'CANRx_G2M-1_v2'!B236</f>
        <v>0x00000438</v>
      </c>
      <c r="B232" s="13">
        <f>IF('CANRx_G2M-1_v2'!AF236&lt;&gt;"",'CANRx_G2M-1_v2'!AF236,B231)</f>
        <v>149</v>
      </c>
    </row>
    <row r="233" spans="1:2">
      <c r="A233" s="13" t="str">
        <f>"0x00000"&amp;'CANRx_G2M-1_v2'!B237</f>
        <v>0x00000439</v>
      </c>
      <c r="B233" s="13">
        <f>IF('CANRx_G2M-1_v2'!AF237&lt;&gt;"",'CANRx_G2M-1_v2'!AF237,B232)</f>
        <v>149</v>
      </c>
    </row>
    <row r="234" spans="1:2">
      <c r="A234" s="13" t="str">
        <f>"0x00000"&amp;'CANRx_G2M-1_v2'!B238</f>
        <v>0x000004B8</v>
      </c>
      <c r="B234" s="13">
        <f>IF('CANRx_G2M-1_v2'!AF238&lt;&gt;"",'CANRx_G2M-1_v2'!AF238,B233)</f>
        <v>150</v>
      </c>
    </row>
    <row r="235" spans="1:2">
      <c r="A235" s="13" t="str">
        <f>"0x00000"&amp;'CANRx_G2M-1_v2'!B239</f>
        <v>0x000004B9</v>
      </c>
      <c r="B235" s="13">
        <f>IF('CANRx_G2M-1_v2'!AF239&lt;&gt;"",'CANRx_G2M-1_v2'!AF239,B234)</f>
        <v>150</v>
      </c>
    </row>
    <row r="236" spans="1:2">
      <c r="A236" s="13" t="str">
        <f>"0x00000"&amp;'CANRx_G2M-1_v2'!B240</f>
        <v>0x0000043B</v>
      </c>
      <c r="B236" s="13">
        <f>IF('CANRx_G2M-1_v2'!AF240&lt;&gt;"",'CANRx_G2M-1_v2'!AF240,B235)</f>
        <v>151</v>
      </c>
    </row>
    <row r="237" spans="1:2">
      <c r="A237" s="13" t="str">
        <f>"0x00000"&amp;'CANRx_G2M-1_v2'!B241</f>
        <v>0x00000480</v>
      </c>
      <c r="B237" s="13">
        <f>IF('CANRx_G2M-1_v2'!AF241&lt;&gt;"",'CANRx_G2M-1_v2'!AF241,B236)</f>
        <v>152</v>
      </c>
    </row>
    <row r="238" spans="1:2">
      <c r="A238" s="13" t="str">
        <f>"0x00000"&amp;'CANRx_G2M-1_v2'!B242</f>
        <v>0x00000484</v>
      </c>
      <c r="B238" s="13">
        <f>IF('CANRx_G2M-1_v2'!AF242&lt;&gt;"",'CANRx_G2M-1_v2'!AF242,B237)</f>
        <v>152</v>
      </c>
    </row>
    <row r="239" spans="1:2">
      <c r="A239" s="13" t="str">
        <f>"0x00000"&amp;'CANRx_G2M-1_v2'!B243</f>
        <v>0x00000485</v>
      </c>
      <c r="B239" s="13">
        <f>IF('CANRx_G2M-1_v2'!AF243&lt;&gt;"",'CANRx_G2M-1_v2'!AF243,B238)</f>
        <v>152</v>
      </c>
    </row>
    <row r="240" spans="1:2">
      <c r="A240" s="13" t="str">
        <f>"0x00000"&amp;'CANRx_G2M-1_v2'!B244</f>
        <v>0x000004A5</v>
      </c>
      <c r="B240" s="13">
        <f>IF('CANRx_G2M-1_v2'!AF244&lt;&gt;"",'CANRx_G2M-1_v2'!AF244,B239)</f>
        <v>153</v>
      </c>
    </row>
    <row r="241" spans="1:2">
      <c r="A241" s="13" t="str">
        <f>"0x00000"&amp;'CANRx_G2M-1_v2'!B245</f>
        <v>0x00000491</v>
      </c>
      <c r="B241" s="13">
        <f>IF('CANRx_G2M-1_v2'!AF245&lt;&gt;"",'CANRx_G2M-1_v2'!AF245,B240)</f>
        <v>154</v>
      </c>
    </row>
    <row r="242" spans="1:2">
      <c r="A242" s="13" t="str">
        <f>"0x00000"&amp;'CANRx_G2M-1_v2'!B246</f>
        <v>0x00000495</v>
      </c>
      <c r="B242" s="13">
        <f>IF('CANRx_G2M-1_v2'!AF246&lt;&gt;"",'CANRx_G2M-1_v2'!AF246,B241)</f>
        <v>155</v>
      </c>
    </row>
    <row r="243" spans="1:2">
      <c r="A243" s="13" t="str">
        <f>"0x00000"&amp;'CANRx_G2M-1_v2'!B247</f>
        <v>0x00000496</v>
      </c>
      <c r="B243" s="13">
        <f>IF('CANRx_G2M-1_v2'!AF247&lt;&gt;"",'CANRx_G2M-1_v2'!AF247,B242)</f>
        <v>155</v>
      </c>
    </row>
    <row r="244" spans="1:2">
      <c r="A244" s="13" t="str">
        <f>"0x00000"&amp;'CANRx_G2M-1_v2'!B248</f>
        <v>0x00000497</v>
      </c>
      <c r="B244" s="13">
        <f>IF('CANRx_G2M-1_v2'!AF248&lt;&gt;"",'CANRx_G2M-1_v2'!AF248,B243)</f>
        <v>156</v>
      </c>
    </row>
    <row r="245" spans="1:2">
      <c r="A245" s="13" t="str">
        <f>"0x00000"&amp;'CANRx_G2M-1_v2'!B249</f>
        <v>0x000004A0</v>
      </c>
      <c r="B245" s="13">
        <f>IF('CANRx_G2M-1_v2'!AF249&lt;&gt;"",'CANRx_G2M-1_v2'!AF249,B244)</f>
        <v>157</v>
      </c>
    </row>
    <row r="246" spans="1:2">
      <c r="A246" s="13" t="str">
        <f>"0x00000"&amp;'CANRx_G2M-1_v2'!B250</f>
        <v>0x000004BA</v>
      </c>
      <c r="B246" s="13">
        <f>IF('CANRx_G2M-1_v2'!AF250&lt;&gt;"",'CANRx_G2M-1_v2'!AF250,B245)</f>
        <v>157</v>
      </c>
    </row>
    <row r="247" spans="1:2">
      <c r="A247" s="13" t="str">
        <f>"0x00000"&amp;'CANRx_G2M-1_v2'!B251</f>
        <v>0x00000506</v>
      </c>
      <c r="B247" s="13">
        <f>IF('CANRx_G2M-1_v2'!AF251&lt;&gt;"",'CANRx_G2M-1_v2'!AF251,B246)</f>
        <v>157</v>
      </c>
    </row>
    <row r="248" spans="1:2">
      <c r="A248" s="13" t="str">
        <f>"0x00000"&amp;'CANRx_G2M-1_v2'!B252</f>
        <v>0x00000507</v>
      </c>
      <c r="B248" s="13">
        <f>IF('CANRx_G2M-1_v2'!AF252&lt;&gt;"",'CANRx_G2M-1_v2'!AF252,B247)</f>
        <v>158</v>
      </c>
    </row>
    <row r="249" spans="1:2">
      <c r="A249" s="13" t="str">
        <f>"0x00000"&amp;'CANRx_G2M-1_v2'!B253</f>
        <v>0x00000508</v>
      </c>
      <c r="B249" s="13">
        <f>IF('CANRx_G2M-1_v2'!AF253&lt;&gt;"",'CANRx_G2M-1_v2'!AF253,B248)</f>
        <v>159</v>
      </c>
    </row>
    <row r="250" spans="1:2">
      <c r="A250" s="13" t="str">
        <f>"0x00000"&amp;'CANRx_G2M-1_v2'!B254</f>
        <v>0x0000050C</v>
      </c>
      <c r="B250" s="13">
        <f>IF('CANRx_G2M-1_v2'!AF254&lt;&gt;"",'CANRx_G2M-1_v2'!AF254,B249)</f>
        <v>159</v>
      </c>
    </row>
    <row r="251" spans="1:2">
      <c r="A251" s="13" t="str">
        <f>"0x00000"&amp;'CANRx_G2M-1_v2'!B255</f>
        <v>0x00000528</v>
      </c>
      <c r="B251" s="13">
        <f>IF('CANRx_G2M-1_v2'!AF255&lt;&gt;"",'CANRx_G2M-1_v2'!AF255,B250)</f>
        <v>160</v>
      </c>
    </row>
    <row r="252" spans="1:2">
      <c r="A252" s="13" t="str">
        <f>"0x00000"&amp;'CANRx_G2M-1_v2'!B256</f>
        <v>0x0000052C</v>
      </c>
      <c r="B252" s="13">
        <f>IF('CANRx_G2M-1_v2'!AF256&lt;&gt;"",'CANRx_G2M-1_v2'!AF256,B251)</f>
        <v>161</v>
      </c>
    </row>
    <row r="253" spans="1:2">
      <c r="A253" s="13" t="str">
        <f>"0x00000"&amp;'CANRx_G2M-1_v2'!B257</f>
        <v>0x0000050B</v>
      </c>
      <c r="B253" s="13">
        <f>IF('CANRx_G2M-1_v2'!AF257&lt;&gt;"",'CANRx_G2M-1_v2'!AF257,B252)</f>
        <v>162</v>
      </c>
    </row>
    <row r="254" spans="1:2">
      <c r="A254" s="13" t="str">
        <f>"0x00000"&amp;'CANRx_G2M-1_v2'!B258</f>
        <v>0x0000052B</v>
      </c>
      <c r="B254" s="13">
        <f>IF('CANRx_G2M-1_v2'!AF258&lt;&gt;"",'CANRx_G2M-1_v2'!AF258,B253)</f>
        <v>162</v>
      </c>
    </row>
    <row r="255" spans="1:2">
      <c r="A255" s="13" t="str">
        <f>"0x00000"&amp;'CANRx_G2M-1_v2'!B259</f>
        <v>0x0000050E</v>
      </c>
      <c r="B255" s="13">
        <f>IF('CANRx_G2M-1_v2'!AF259&lt;&gt;"",'CANRx_G2M-1_v2'!AF259,B254)</f>
        <v>163</v>
      </c>
    </row>
    <row r="256" spans="1:2">
      <c r="A256" s="13" t="str">
        <f>"0x00000"&amp;'CANRx_G2M-1_v2'!B260</f>
        <v>0x0000051E</v>
      </c>
      <c r="B256" s="13">
        <f>IF('CANRx_G2M-1_v2'!AF260&lt;&gt;"",'CANRx_G2M-1_v2'!AF260,B255)</f>
        <v>164</v>
      </c>
    </row>
    <row r="257" spans="1:2">
      <c r="A257" s="13" t="str">
        <f>"0x00000"&amp;'CANRx_G2M-1_v2'!B261</f>
        <v>0x00000526</v>
      </c>
      <c r="B257" s="13">
        <f>IF('CANRx_G2M-1_v2'!AF261&lt;&gt;"",'CANRx_G2M-1_v2'!AF261,B256)</f>
        <v>165</v>
      </c>
    </row>
    <row r="258" spans="1:2">
      <c r="A258" s="13" t="str">
        <f>"0x00000"&amp;'CANRx_G2M-1_v2'!B262</f>
        <v>0x00000531</v>
      </c>
      <c r="B258" s="13">
        <f>IF('CANRx_G2M-1_v2'!AF262&lt;&gt;"",'CANRx_G2M-1_v2'!AF262,B257)</f>
        <v>165</v>
      </c>
    </row>
    <row r="259" spans="1:2">
      <c r="A259" s="13" t="str">
        <f>"0x00000"&amp;'CANRx_G2M-1_v2'!B263</f>
        <v>0x00000534</v>
      </c>
      <c r="B259" s="13">
        <f>IF('CANRx_G2M-1_v2'!AF263&lt;&gt;"",'CANRx_G2M-1_v2'!AF263,B258)</f>
        <v>166</v>
      </c>
    </row>
    <row r="260" spans="1:2">
      <c r="A260" s="13" t="str">
        <f>"0x00000"&amp;'CANRx_G2M-1_v2'!B264</f>
        <v>0x00000535</v>
      </c>
      <c r="B260" s="13">
        <f>IF('CANRx_G2M-1_v2'!AF264&lt;&gt;"",'CANRx_G2M-1_v2'!AF264,B259)</f>
        <v>167</v>
      </c>
    </row>
    <row r="261" spans="1:2">
      <c r="A261" s="13" t="str">
        <f>"0x00000"&amp;'CANRx_G2M-1_v2'!B265</f>
        <v>0x00000536</v>
      </c>
      <c r="B261" s="13">
        <f>IF('CANRx_G2M-1_v2'!AF265&lt;&gt;"",'CANRx_G2M-1_v2'!AF265,B260)</f>
        <v>167</v>
      </c>
    </row>
    <row r="262" spans="1:2">
      <c r="A262" s="13" t="str">
        <f>"0x00000"&amp;'CANRx_G2M-1_v2'!B266</f>
        <v>0x00000537</v>
      </c>
      <c r="B262" s="13">
        <f>IF('CANRx_G2M-1_v2'!AF266&lt;&gt;"",'CANRx_G2M-1_v2'!AF266,B261)</f>
        <v>167</v>
      </c>
    </row>
    <row r="263" spans="1:2">
      <c r="A263" s="13" t="str">
        <f>"0x00000"&amp;'CANRx_G2M-1_v2'!B267</f>
        <v>0x00000538</v>
      </c>
      <c r="B263" s="13">
        <f>IF('CANRx_G2M-1_v2'!AF267&lt;&gt;"",'CANRx_G2M-1_v2'!AF267,B262)</f>
        <v>167</v>
      </c>
    </row>
    <row r="264" spans="1:2">
      <c r="A264" s="13" t="str">
        <f>"0x00000"&amp;'CANRx_G2M-1_v2'!B268</f>
        <v>0x00000592</v>
      </c>
      <c r="B264" s="13">
        <f>IF('CANRx_G2M-1_v2'!AF268&lt;&gt;"",'CANRx_G2M-1_v2'!AF268,B263)</f>
        <v>168</v>
      </c>
    </row>
    <row r="265" spans="1:2">
      <c r="A265" s="13" t="str">
        <f>"0x00000"&amp;'CANRx_G2M-1_v2'!B269</f>
        <v>0x00000596</v>
      </c>
      <c r="B265" s="13">
        <f>IF('CANRx_G2M-1_v2'!AF269&lt;&gt;"",'CANRx_G2M-1_v2'!AF269,B264)</f>
        <v>168</v>
      </c>
    </row>
    <row r="266" spans="1:2">
      <c r="A266" s="13" t="str">
        <f>"0x00000"&amp;'CANRx_G2M-1_v2'!B270</f>
        <v>0x000005AD</v>
      </c>
      <c r="B266" s="13">
        <f>IF('CANRx_G2M-1_v2'!AF270&lt;&gt;"",'CANRx_G2M-1_v2'!AF270,B265)</f>
        <v>169</v>
      </c>
    </row>
    <row r="267" spans="1:2">
      <c r="A267" s="13" t="str">
        <f>"0x00000"&amp;'CANRx_G2M-1_v2'!B271</f>
        <v>0x00000601</v>
      </c>
      <c r="B267" s="13">
        <f>IF('CANRx_G2M-1_v2'!AF271&lt;&gt;"",'CANRx_G2M-1_v2'!AF271,B266)</f>
        <v>169</v>
      </c>
    </row>
    <row r="268" spans="1:2">
      <c r="A268" s="13" t="str">
        <f>"0x00000"&amp;'CANRx_G2M-1_v2'!B272</f>
        <v>0x00000608</v>
      </c>
      <c r="B268" s="13">
        <f>IF('CANRx_G2M-1_v2'!AF272&lt;&gt;"",'CANRx_G2M-1_v2'!AF272,B267)</f>
        <v>169</v>
      </c>
    </row>
    <row r="269" spans="1:2">
      <c r="A269" s="13" t="str">
        <f>"0x00000"&amp;'CANRx_G2M-1_v2'!B273</f>
        <v>0x00000610</v>
      </c>
      <c r="B269" s="13">
        <f>IF('CANRx_G2M-1_v2'!AF273&lt;&gt;"",'CANRx_G2M-1_v2'!AF273,B268)</f>
        <v>170</v>
      </c>
    </row>
    <row r="270" spans="1:2">
      <c r="A270" s="13" t="str">
        <f>"0x00000"&amp;'CANRx_G2M-1_v2'!B274</f>
        <v>0x00000624</v>
      </c>
      <c r="B270" s="13">
        <f>IF('CANRx_G2M-1_v2'!AF274&lt;&gt;"",'CANRx_G2M-1_v2'!AF274,B269)</f>
        <v>170</v>
      </c>
    </row>
    <row r="271" spans="1:2">
      <c r="A271" s="13" t="str">
        <f>"0x00000"&amp;'CANRx_G2M-1_v2'!B275</f>
        <v>0x0000062C</v>
      </c>
      <c r="B271" s="13">
        <f>IF('CANRx_G2M-1_v2'!AF275&lt;&gt;"",'CANRx_G2M-1_v2'!AF275,B270)</f>
        <v>171</v>
      </c>
    </row>
    <row r="272" spans="1:2">
      <c r="A272" s="13" t="str">
        <f>"0x00000"&amp;'CANRx_G2M-1_v2'!B276</f>
        <v>0x00000629</v>
      </c>
      <c r="B272" s="13">
        <f>IF('CANRx_G2M-1_v2'!AF276&lt;&gt;"",'CANRx_G2M-1_v2'!AF276,B271)</f>
        <v>172</v>
      </c>
    </row>
    <row r="273" spans="1:2">
      <c r="A273" s="13" t="str">
        <f>"0x00000"&amp;'CANRx_G2M-1_v2'!B277</f>
        <v>0x0000062A</v>
      </c>
      <c r="B273" s="13">
        <f>IF('CANRx_G2M-1_v2'!AF277&lt;&gt;"",'CANRx_G2M-1_v2'!AF277,B272)</f>
        <v>172</v>
      </c>
    </row>
    <row r="274" spans="1:2">
      <c r="A274" s="13" t="str">
        <f>"0x00000"&amp;'CANRx_G2M-1_v2'!B278</f>
        <v>0x00000633</v>
      </c>
      <c r="B274" s="13">
        <f>IF('CANRx_G2M-1_v2'!AF278&lt;&gt;"",'CANRx_G2M-1_v2'!AF278,B273)</f>
        <v>172</v>
      </c>
    </row>
    <row r="275" spans="1:2">
      <c r="A275" s="14" t="str">
        <f>"0x"&amp;'CANRx_G2M-1_v2'!B279</f>
        <v>0x18000000</v>
      </c>
      <c r="B275" s="14">
        <f>IF('CANRx_G2M-1_v2'!AF279&lt;&gt;"",'CANRx_G2M-1_v2'!AF279,B274)</f>
        <v>173</v>
      </c>
    </row>
    <row r="276" spans="1:2">
      <c r="A276" s="14" t="str">
        <f>"0x"&amp;'CANRx_G2M-1_v2'!B280</f>
        <v>0x180003FF</v>
      </c>
      <c r="B276" s="14">
        <f>IF('CANRx_G2M-1_v2'!AF280&lt;&gt;"",'CANRx_G2M-1_v2'!AF280,B275)</f>
        <v>173</v>
      </c>
    </row>
    <row r="277" spans="1:2">
      <c r="A277" s="14" t="str">
        <f>"0x"&amp;'CANRx_G2M-1_v2'!B281</f>
        <v>0x18000000</v>
      </c>
      <c r="B277" s="14">
        <f>IF('CANRx_G2M-1_v2'!AF281&lt;&gt;"",'CANRx_G2M-1_v2'!AF281,B276)</f>
        <v>174</v>
      </c>
    </row>
    <row r="278" spans="1:2">
      <c r="A278" s="14" t="str">
        <f>"0x"&amp;'CANRx_G2M-1_v2'!B282</f>
        <v>0x180003FF</v>
      </c>
      <c r="B278" s="14">
        <f>IF('CANRx_G2M-1_v2'!AF282&lt;&gt;"",'CANRx_G2M-1_v2'!AF282,B277)</f>
        <v>174</v>
      </c>
    </row>
    <row r="279" spans="1:2">
      <c r="A279" s="14" t="str">
        <f>"0x"&amp;'CANRx_G2M-1_v2'!B283</f>
        <v>0x18DA0000</v>
      </c>
      <c r="B279" s="14">
        <f>IF('CANRx_G2M-1_v2'!AF283&lt;&gt;"",'CANRx_G2M-1_v2'!AF283,B278)</f>
        <v>175</v>
      </c>
    </row>
    <row r="280" spans="1:2">
      <c r="A280" s="14" t="str">
        <f>"0x"&amp;'CANRx_G2M-1_v2'!B284</f>
        <v>0x18DBFFFF</v>
      </c>
      <c r="B280" s="14">
        <f>IF('CANRx_G2M-1_v2'!AF284&lt;&gt;"",'CANRx_G2M-1_v2'!AF284,B279)</f>
        <v>175</v>
      </c>
    </row>
    <row r="281" spans="1:2">
      <c r="A281" s="14" t="str">
        <f>"0x"&amp;'CANRx_G2M-1_v2'!B285</f>
        <v>0x18DA0000</v>
      </c>
      <c r="B281" s="14">
        <f>IF('CANRx_G2M-1_v2'!AF285&lt;&gt;"",'CANRx_G2M-1_v2'!AF285,B280)</f>
        <v>176</v>
      </c>
    </row>
    <row r="282" spans="1:2">
      <c r="A282" s="14" t="str">
        <f>"0x"&amp;'CANRx_G2M-1_v2'!B286</f>
        <v>0x18DBFFFF</v>
      </c>
      <c r="B282" s="14">
        <f>IF('CANRx_G2M-1_v2'!AF286&lt;&gt;"",'CANRx_G2M-1_v2'!AF286,B281)</f>
        <v>176</v>
      </c>
    </row>
  </sheetData>
  <autoFilter ref="A1:M285" xr:uid="{CDBEB9B7-DEFE-4AB1-9691-270005FCFA6B}"/>
  <phoneticPr fontId="4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67E9-F5FC-41DF-AFED-EBA6937A68B7}">
  <sheetPr codeName="Sheet4"/>
  <dimension ref="A1:AS59"/>
  <sheetViews>
    <sheetView workbookViewId="0">
      <selection activeCell="AF6" sqref="AF6:AG7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0" width="4.375" style="5" customWidth="1"/>
    <col min="11" max="23" width="3.625" style="6" customWidth="1"/>
    <col min="24" max="24" width="5" style="6" customWidth="1"/>
    <col min="25" max="25" width="5.375" style="6" customWidth="1"/>
    <col min="26" max="26" width="64.375" style="6" bestFit="1" customWidth="1" outlineLevel="1"/>
    <col min="27" max="31" width="5.625" style="6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5.125" style="6" bestFit="1" customWidth="1" outlineLevel="1"/>
    <col min="40" max="40" width="41.875" style="6" bestFit="1" customWidth="1" outlineLevel="1"/>
    <col min="41" max="41" width="5.625" style="6" customWidth="1"/>
    <col min="42" max="44" width="14.875" style="6" bestFit="1" customWidth="1"/>
    <col min="45" max="45" width="41.875" style="6" bestFit="1" customWidth="1"/>
    <col min="46" max="16384" width="9" style="5"/>
  </cols>
  <sheetData>
    <row r="1" spans="1:45">
      <c r="A1" s="48" t="s">
        <v>2</v>
      </c>
      <c r="B1" s="49"/>
      <c r="C1" s="49"/>
      <c r="D1" s="49"/>
      <c r="E1" s="49"/>
      <c r="F1" s="49"/>
      <c r="G1" s="50"/>
      <c r="H1" s="50"/>
      <c r="I1" s="51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F1" s="38"/>
      <c r="AG1" s="96"/>
    </row>
    <row r="2" spans="1:45">
      <c r="A2" s="52"/>
      <c r="B2" s="53"/>
      <c r="C2" s="53"/>
      <c r="D2" s="53"/>
      <c r="E2" s="53"/>
      <c r="F2" s="53"/>
      <c r="G2" s="54"/>
      <c r="H2" s="54"/>
      <c r="I2" s="55"/>
      <c r="K2" s="6">
        <f t="shared" ref="K2:W2" si="1">MAX(K7:K7)</f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90">
        <f>SUM(K2:W2)</f>
        <v>1</v>
      </c>
      <c r="Z2" s="6" t="s">
        <v>749</v>
      </c>
      <c r="AE2" s="96"/>
      <c r="AF2" s="38"/>
      <c r="AG2" s="96"/>
    </row>
    <row r="3" spans="1:45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1</v>
      </c>
      <c r="Y3" s="12"/>
      <c r="Z3" s="6" t="s">
        <v>751</v>
      </c>
      <c r="AE3" s="97"/>
      <c r="AF3" s="38"/>
      <c r="AG3" s="96"/>
    </row>
    <row r="4" spans="1:45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K4" s="17" t="s">
        <v>753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92" t="s">
        <v>766</v>
      </c>
      <c r="Y4" s="17" t="s">
        <v>767</v>
      </c>
      <c r="Z4" s="70" t="s">
        <v>768</v>
      </c>
      <c r="AA4" s="19"/>
      <c r="AB4" s="19"/>
      <c r="AE4" s="98"/>
      <c r="AF4" s="107" t="s">
        <v>769</v>
      </c>
      <c r="AG4" s="108" t="s">
        <v>770</v>
      </c>
      <c r="AH4" s="19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  <c r="AM4" s="19"/>
      <c r="AN4" s="19"/>
      <c r="AO4" s="12"/>
    </row>
    <row r="5" spans="1:45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95" t="s">
        <v>776</v>
      </c>
      <c r="Y5" s="21" t="s">
        <v>776</v>
      </c>
      <c r="Z5" s="21" t="s">
        <v>776</v>
      </c>
      <c r="AA5" s="21" t="s">
        <v>776</v>
      </c>
      <c r="AB5" s="21" t="s">
        <v>776</v>
      </c>
      <c r="AC5" s="21" t="s">
        <v>776</v>
      </c>
      <c r="AD5" s="21" t="s">
        <v>776</v>
      </c>
      <c r="AE5" s="99" t="s">
        <v>776</v>
      </c>
      <c r="AF5" s="86" t="s">
        <v>776</v>
      </c>
      <c r="AG5" s="99" t="s">
        <v>776</v>
      </c>
      <c r="AH5" s="21" t="s">
        <v>776</v>
      </c>
      <c r="AI5" s="21" t="s">
        <v>776</v>
      </c>
      <c r="AJ5" s="21" t="s">
        <v>776</v>
      </c>
      <c r="AK5" s="21" t="s">
        <v>776</v>
      </c>
      <c r="AL5" s="21"/>
      <c r="AM5" s="21" t="s">
        <v>776</v>
      </c>
      <c r="AN5" s="21" t="s">
        <v>776</v>
      </c>
      <c r="AO5" s="21"/>
      <c r="AP5" s="21"/>
      <c r="AQ5" s="21"/>
      <c r="AR5" s="21"/>
      <c r="AS5" s="21"/>
    </row>
    <row r="6" spans="1:45">
      <c r="A6" s="7" t="s">
        <v>975</v>
      </c>
      <c r="B6" s="7" t="s">
        <v>976</v>
      </c>
      <c r="C6" s="7" t="s">
        <v>29</v>
      </c>
      <c r="D6" s="7">
        <v>32</v>
      </c>
      <c r="E6" s="7">
        <v>300</v>
      </c>
      <c r="F6" s="7" t="s">
        <v>29</v>
      </c>
      <c r="G6" s="7"/>
      <c r="H6" s="7" t="s">
        <v>32</v>
      </c>
      <c r="I6" s="7" t="s">
        <v>7</v>
      </c>
      <c r="K6" s="6">
        <v>1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6">
        <v>0</v>
      </c>
      <c r="Z6" s="6">
        <v>32768</v>
      </c>
      <c r="AE6" s="96"/>
      <c r="AF6" s="38">
        <v>0</v>
      </c>
      <c r="AG6" s="96">
        <v>0</v>
      </c>
      <c r="AH6" s="6" t="str">
        <f>"0x40000"&amp;B6</f>
        <v>0x400001E4</v>
      </c>
      <c r="AI6" s="6">
        <f>HEX2DEC(RIGHT(AH6,8))</f>
        <v>1073742308</v>
      </c>
      <c r="AJ6" s="6" t="str">
        <f>IF(AF6&lt;&gt;"",AH6,"")</f>
        <v>0x400001E4</v>
      </c>
      <c r="AK6" s="6" t="str">
        <f>IF(AF6&lt;&gt;"",VLOOKUP(AF6,$AG$6:$AH$7,2,TRUE),"")</f>
        <v>0x400001E4</v>
      </c>
      <c r="AL6" s="6">
        <f>IF($AF6&lt;&gt;"",MIN($D6:$D6),"")</f>
        <v>32</v>
      </c>
    </row>
    <row r="7" spans="1:45">
      <c r="A7" s="7" t="s">
        <v>977</v>
      </c>
      <c r="B7" s="7" t="s">
        <v>978</v>
      </c>
      <c r="C7" s="7" t="s">
        <v>29</v>
      </c>
      <c r="D7" s="61">
        <v>32</v>
      </c>
      <c r="E7" s="7" t="s">
        <v>979</v>
      </c>
      <c r="F7" s="7" t="s">
        <v>31</v>
      </c>
      <c r="G7" s="7"/>
      <c r="H7" s="7" t="s">
        <v>32</v>
      </c>
      <c r="I7" s="7" t="s">
        <v>7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6">
        <v>0</v>
      </c>
      <c r="Z7" s="6">
        <v>32768</v>
      </c>
      <c r="AE7" s="96"/>
      <c r="AF7" s="38">
        <v>1</v>
      </c>
      <c r="AG7" s="96">
        <v>1</v>
      </c>
      <c r="AH7" s="6" t="str">
        <f>"0x40000"&amp;B7</f>
        <v>0x400005D0</v>
      </c>
      <c r="AI7" s="6">
        <f>HEX2DEC(RIGHT(AH7,8))</f>
        <v>1073743312</v>
      </c>
      <c r="AJ7" s="6" t="str">
        <f>IF(AF7&lt;&gt;"",AH7,"")</f>
        <v>0x400005D0</v>
      </c>
      <c r="AK7" s="6" t="str">
        <f>IF(AF7&lt;&gt;"",VLOOKUP(AF7,$AG$6:$AH$7,2,TRUE),"")</f>
        <v>0x400005D0</v>
      </c>
      <c r="AL7" s="6">
        <f>IF($AF7&lt;&gt;"",MIN($D7:$D7),"")</f>
        <v>32</v>
      </c>
    </row>
    <row r="8" spans="1:45">
      <c r="A8" s="15"/>
      <c r="B8" s="22"/>
      <c r="C8" s="11"/>
      <c r="X8" s="89"/>
      <c r="AE8" s="96"/>
      <c r="AF8" s="38"/>
      <c r="AG8" s="96"/>
    </row>
    <row r="9" spans="1:45">
      <c r="A9" s="6" t="s">
        <v>776</v>
      </c>
      <c r="B9" s="6" t="s">
        <v>776</v>
      </c>
      <c r="C9" s="6" t="s">
        <v>776</v>
      </c>
      <c r="D9" s="6" t="s">
        <v>776</v>
      </c>
      <c r="E9" s="6" t="s">
        <v>776</v>
      </c>
      <c r="F9" s="6" t="s">
        <v>776</v>
      </c>
      <c r="G9" s="6" t="s">
        <v>776</v>
      </c>
      <c r="H9" s="6" t="s">
        <v>776</v>
      </c>
      <c r="I9" s="6" t="s">
        <v>776</v>
      </c>
      <c r="J9" s="6" t="s">
        <v>776</v>
      </c>
      <c r="K9" s="6" t="s">
        <v>776</v>
      </c>
      <c r="L9" s="6" t="s">
        <v>776</v>
      </c>
      <c r="M9" s="6" t="s">
        <v>776</v>
      </c>
      <c r="N9" s="6" t="s">
        <v>776</v>
      </c>
      <c r="O9" s="6" t="s">
        <v>776</v>
      </c>
      <c r="P9" s="6" t="s">
        <v>776</v>
      </c>
      <c r="Q9" s="6" t="s">
        <v>776</v>
      </c>
      <c r="R9" s="6" t="s">
        <v>776</v>
      </c>
      <c r="S9" s="6" t="s">
        <v>776</v>
      </c>
      <c r="T9" s="6" t="s">
        <v>776</v>
      </c>
      <c r="U9" s="6" t="s">
        <v>776</v>
      </c>
      <c r="V9" s="6" t="s">
        <v>776</v>
      </c>
      <c r="W9" s="6" t="s">
        <v>776</v>
      </c>
      <c r="X9" s="89" t="s">
        <v>776</v>
      </c>
      <c r="Y9" s="6" t="s">
        <v>776</v>
      </c>
      <c r="Z9" s="6" t="s">
        <v>776</v>
      </c>
      <c r="AC9" s="6" t="s">
        <v>776</v>
      </c>
      <c r="AD9" s="6" t="s">
        <v>776</v>
      </c>
      <c r="AE9" s="96" t="s">
        <v>776</v>
      </c>
      <c r="AF9" s="38" t="s">
        <v>776</v>
      </c>
      <c r="AG9" s="96" t="s">
        <v>776</v>
      </c>
      <c r="AH9" s="6" t="s">
        <v>776</v>
      </c>
      <c r="AI9" s="6" t="s">
        <v>776</v>
      </c>
      <c r="AJ9" s="6" t="s">
        <v>776</v>
      </c>
      <c r="AK9" s="6" t="s">
        <v>776</v>
      </c>
      <c r="AM9" s="6" t="s">
        <v>776</v>
      </c>
      <c r="AN9" s="6" t="s">
        <v>776</v>
      </c>
      <c r="AO9" s="6" t="s">
        <v>776</v>
      </c>
    </row>
    <row r="10" spans="1:45" ht="15">
      <c r="A10" s="15" t="str">
        <f t="shared" ref="A10:D11" si="3">A6</f>
        <v>BDC1S91</v>
      </c>
      <c r="B10" s="15" t="str">
        <f t="shared" si="3"/>
        <v>1E4</v>
      </c>
      <c r="C10" s="15" t="str">
        <f t="shared" si="3"/>
        <v>1</v>
      </c>
      <c r="D10" s="15">
        <f t="shared" si="3"/>
        <v>32</v>
      </c>
      <c r="E10" s="15"/>
      <c r="F10" s="15" t="str">
        <f>F6</f>
        <v>1</v>
      </c>
      <c r="G10" s="16" t="str">
        <f t="shared" ref="G10:I11" si="4">IF(G6&lt;&gt;"",G6,"")</f>
        <v/>
      </c>
      <c r="H10" s="16" t="str">
        <f t="shared" si="4"/>
        <v>R</v>
      </c>
      <c r="I10" s="16" t="str">
        <f t="shared" si="4"/>
        <v/>
      </c>
      <c r="X10" s="119">
        <v>0</v>
      </c>
      <c r="Y10" s="18"/>
      <c r="Z10" s="18" t="str">
        <f>"(U2)0x"&amp;IF(LOWER(DEC2HEX(VLOOKUP($X10,$Y$7:$AA$7,2,FALSE),4))= "ffff",LOWER(DEC2HEX(VLOOKUP($X10,$Y$7:$AA$7,2,FALSE),4))&amp;"U,",LOWER(DEC2HEX(VLOOKUP($X10,$Y$7:$AA$7,2,FALSE),4))&amp;"U"&amp;" | (U2)BSW_VCAN_CFG_VMBOX_UTXOFFSET_0,")</f>
        <v>(U2)0x8000U | (U2)BSW_VCAN_CFG_VMBOX_UTXOFFSET_0,</v>
      </c>
      <c r="AA10" s="18"/>
      <c r="AB10" s="18"/>
      <c r="AC10" s="18" t="str">
        <f t="shared" ref="AC10" si="5">"/* "&amp;($X10*$X$3)&amp;" */"</f>
        <v>/* 0 */</v>
      </c>
      <c r="AE10" s="96"/>
      <c r="AF10" s="38">
        <f>IF(AF6&lt;&gt;"",AF6,"")</f>
        <v>0</v>
      </c>
      <c r="AG10" s="96" t="str">
        <f>IF($AF6&lt;&gt;"","", "/* ")</f>
        <v/>
      </c>
      <c r="AH10" s="6" t="str">
        <f>IF($AF6&lt;&gt;"","{(U4)0x"&amp;LOWER(DEC2HEX($K6*$K$3+$L6*$L$3+$M6*$M$3+$N6*$N$3+$V6*$V$3,8))&amp;"U,",AH9)</f>
        <v>{(U4)0x00001200U,</v>
      </c>
      <c r="AI10" s="6" t="str">
        <f>IF($AF6&lt;&gt;"", "(U4)"&amp;LOWER($AJ6)&amp;"U,",AI9)</f>
        <v>(U4)0x400001e4U,</v>
      </c>
      <c r="AJ10" s="6" t="str">
        <f>IF($AF6&lt;&gt;"", "(U4)"&amp;LOWER($AK6)&amp;"U,",AJ9)</f>
        <v>(U4)0x400001e4U,</v>
      </c>
      <c r="AK10" s="6" t="str">
        <f xml:space="preserve"> IF($AF6&lt;&gt;"", "(U2)"&amp;$AL6&amp;"U,",AK9)</f>
        <v>(U2)32U,</v>
      </c>
      <c r="AL10" s="6" t="str">
        <f xml:space="preserve"> IF($AF6&lt;&gt;"", "(U2)"&amp;$Y6*$X$3&amp;"U},",AL9)</f>
        <v>(U2)0U},</v>
      </c>
      <c r="AM10" s="6" t="str">
        <f>IF($AF6&lt;&gt;"","", " */")</f>
        <v/>
      </c>
      <c r="AN10" s="6" t="str">
        <f>"/* "&amp;IF($AF6&lt;&gt;"",$AF6," ")&amp;" : "&amp;$A6&amp;" = "&amp;LOWER($AH6)&amp;" */"</f>
        <v>/* 0 : BDC1S91 = 0x400001e4 */</v>
      </c>
    </row>
    <row r="11" spans="1:45" ht="15">
      <c r="A11" s="15" t="str">
        <f t="shared" si="3"/>
        <v>ADC1S33</v>
      </c>
      <c r="B11" s="15" t="str">
        <f t="shared" si="3"/>
        <v>5D0</v>
      </c>
      <c r="C11" s="15" t="str">
        <f t="shared" si="3"/>
        <v>1</v>
      </c>
      <c r="D11" s="15">
        <f t="shared" si="3"/>
        <v>32</v>
      </c>
      <c r="E11" s="15"/>
      <c r="F11" s="15" t="str">
        <f>F7</f>
        <v>0</v>
      </c>
      <c r="G11" s="16" t="str">
        <f t="shared" si="4"/>
        <v/>
      </c>
      <c r="H11" s="16" t="str">
        <f t="shared" si="4"/>
        <v>R</v>
      </c>
      <c r="I11" s="16" t="str">
        <f t="shared" si="4"/>
        <v/>
      </c>
      <c r="X11" s="119"/>
      <c r="Y11" s="18"/>
      <c r="Z11" s="18"/>
      <c r="AA11" s="18"/>
      <c r="AB11" s="18"/>
      <c r="AC11" s="18"/>
      <c r="AE11" s="96"/>
      <c r="AF11" s="38">
        <f>IF(AF7&lt;&gt;"",AF7,"")</f>
        <v>1</v>
      </c>
      <c r="AG11" s="96" t="str">
        <f>IF($AF7&lt;&gt;"","", "/* ")</f>
        <v/>
      </c>
      <c r="AH11" s="6" t="str">
        <f>IF($AF7&lt;&gt;"","{(U4)0x"&amp;LOWER(DEC2HEX($K7*$K$3+$L7*$L$3+$M7*$M$3+$N7*$N$3+$V7*$V$3,8))&amp;"U,",AH10)</f>
        <v>{(U4)0x00000200U,</v>
      </c>
      <c r="AI11" s="6" t="str">
        <f>IF($AF7&lt;&gt;"", "(U4)"&amp;LOWER($AJ7)&amp;"U,",AI10)</f>
        <v>(U4)0x400005d0U,</v>
      </c>
      <c r="AJ11" s="6" t="str">
        <f>IF($AF7&lt;&gt;"", "(U4)"&amp;LOWER($AK7)&amp;"U,",AJ10)</f>
        <v>(U4)0x400005d0U,</v>
      </c>
      <c r="AK11" s="6" t="str">
        <f xml:space="preserve"> IF($AF7&lt;&gt;"", "(U2)"&amp;$AL7&amp;"U,",AK10)</f>
        <v>(U2)32U,</v>
      </c>
      <c r="AL11" s="6" t="str">
        <f xml:space="preserve"> IF($AF7&lt;&gt;"", "(U2)"&amp;$Y7*$X$3&amp;"U},",AL10)</f>
        <v>(U2)0U},</v>
      </c>
      <c r="AM11" s="6" t="str">
        <f>IF($AF7&lt;&gt;"","", " */")</f>
        <v/>
      </c>
      <c r="AN11" s="6" t="str">
        <f>"/* "&amp;IF($AF7&lt;&gt;"",$AF7," ")&amp;" : "&amp;$A7&amp;" = "&amp;LOWER($AH7)&amp;" */"</f>
        <v>/* 1 : ADC1S33 = 0x400005d0 */</v>
      </c>
    </row>
    <row r="12" spans="1:45">
      <c r="A12" s="15" t="s">
        <v>776</v>
      </c>
      <c r="B12" s="15" t="s">
        <v>776</v>
      </c>
      <c r="C12" s="15" t="s">
        <v>776</v>
      </c>
      <c r="D12" s="15" t="s">
        <v>776</v>
      </c>
      <c r="E12" s="15" t="s">
        <v>776</v>
      </c>
      <c r="F12" s="15" t="s">
        <v>776</v>
      </c>
      <c r="G12" s="15" t="s">
        <v>776</v>
      </c>
      <c r="H12" s="15" t="s">
        <v>776</v>
      </c>
      <c r="I12" s="15" t="s">
        <v>776</v>
      </c>
      <c r="J12" s="15" t="s">
        <v>776</v>
      </c>
      <c r="K12" s="177" t="s">
        <v>776</v>
      </c>
      <c r="L12" s="177" t="s">
        <v>776</v>
      </c>
      <c r="M12" s="177" t="s">
        <v>776</v>
      </c>
      <c r="N12" s="177" t="s">
        <v>776</v>
      </c>
      <c r="O12" s="177" t="s">
        <v>776</v>
      </c>
      <c r="P12" s="177" t="s">
        <v>776</v>
      </c>
      <c r="Q12" s="177" t="s">
        <v>776</v>
      </c>
      <c r="R12" s="177" t="s">
        <v>776</v>
      </c>
      <c r="S12" s="177" t="s">
        <v>776</v>
      </c>
      <c r="T12" s="177" t="s">
        <v>776</v>
      </c>
      <c r="U12" s="177" t="s">
        <v>776</v>
      </c>
      <c r="V12" s="177" t="s">
        <v>776</v>
      </c>
      <c r="W12" s="177" t="s">
        <v>776</v>
      </c>
      <c r="X12" s="178" t="s">
        <v>776</v>
      </c>
      <c r="Y12" s="177" t="s">
        <v>776</v>
      </c>
      <c r="Z12" s="177" t="s">
        <v>776</v>
      </c>
      <c r="AA12" s="177"/>
      <c r="AB12" s="177"/>
      <c r="AC12" s="177" t="s">
        <v>776</v>
      </c>
      <c r="AD12" s="177" t="s">
        <v>776</v>
      </c>
      <c r="AE12" s="179" t="s">
        <v>776</v>
      </c>
      <c r="AF12" s="177" t="s">
        <v>776</v>
      </c>
      <c r="AG12" s="179"/>
      <c r="AH12" s="177"/>
      <c r="AI12" s="177"/>
      <c r="AJ12" s="177"/>
      <c r="AK12" s="177"/>
      <c r="AL12" s="177"/>
      <c r="AM12" s="177"/>
      <c r="AN12" s="177"/>
      <c r="AO12" s="15" t="s">
        <v>776</v>
      </c>
      <c r="AP12" s="15"/>
    </row>
    <row r="13" spans="1:45">
      <c r="A13" s="15"/>
      <c r="B13" s="15"/>
      <c r="C13" s="15"/>
      <c r="D13" s="15"/>
      <c r="E13" s="15"/>
      <c r="F13" s="15"/>
      <c r="G13" s="15"/>
      <c r="H13" s="16"/>
      <c r="I13" s="16"/>
    </row>
    <row r="14" spans="1:45">
      <c r="A14" s="15"/>
      <c r="B14" s="15"/>
      <c r="C14" s="15"/>
      <c r="D14" s="15"/>
      <c r="E14" s="15"/>
      <c r="F14" s="15"/>
      <c r="G14" s="15"/>
      <c r="H14" s="16"/>
      <c r="I14" s="16"/>
    </row>
    <row r="15" spans="1:45">
      <c r="A15" s="15"/>
      <c r="B15" s="15"/>
      <c r="C15" s="15"/>
      <c r="D15" s="15"/>
      <c r="E15" s="15"/>
      <c r="F15" s="15"/>
      <c r="G15" s="15"/>
      <c r="H15" s="16"/>
      <c r="I15" s="16"/>
    </row>
    <row r="16" spans="1:45">
      <c r="A16" s="15"/>
      <c r="B16" s="15"/>
      <c r="C16" s="15"/>
      <c r="D16" s="15"/>
      <c r="E16" s="15"/>
      <c r="F16" s="15"/>
      <c r="G16" s="15"/>
      <c r="H16" s="16"/>
      <c r="I16" s="16"/>
    </row>
    <row r="17" spans="1:9">
      <c r="A17" s="15"/>
      <c r="B17" s="15"/>
      <c r="C17" s="15"/>
      <c r="D17" s="15"/>
      <c r="E17" s="15"/>
      <c r="F17" s="15"/>
      <c r="G17" s="15"/>
      <c r="H17" s="16"/>
      <c r="I17" s="16"/>
    </row>
    <row r="18" spans="1:9">
      <c r="A18" s="15"/>
      <c r="B18" s="15"/>
      <c r="C18" s="15"/>
      <c r="D18" s="15"/>
      <c r="E18" s="15"/>
      <c r="F18" s="15"/>
      <c r="G18" s="15"/>
      <c r="H18" s="16"/>
      <c r="I18" s="16"/>
    </row>
    <row r="19" spans="1:9">
      <c r="A19" s="15"/>
      <c r="B19" s="15"/>
      <c r="C19" s="15"/>
      <c r="D19" s="15"/>
      <c r="E19" s="15"/>
      <c r="F19" s="15"/>
      <c r="G19" s="15"/>
      <c r="H19" s="16"/>
      <c r="I19" s="16"/>
    </row>
    <row r="20" spans="1:9">
      <c r="A20" s="15"/>
      <c r="B20" s="15"/>
      <c r="C20" s="15"/>
      <c r="D20" s="15"/>
      <c r="E20" s="15"/>
      <c r="F20" s="15"/>
      <c r="G20" s="15"/>
      <c r="H20" s="16"/>
      <c r="I20" s="16"/>
    </row>
    <row r="21" spans="1:9">
      <c r="A21" s="15"/>
      <c r="B21" s="15"/>
      <c r="C21" s="15"/>
      <c r="D21" s="15"/>
      <c r="E21" s="15"/>
      <c r="F21" s="15"/>
      <c r="G21" s="15"/>
      <c r="H21" s="16"/>
      <c r="I21" s="16"/>
    </row>
    <row r="22" spans="1:9">
      <c r="A22" s="15"/>
      <c r="B22" s="15"/>
      <c r="C22" s="15"/>
      <c r="D22" s="15"/>
      <c r="E22" s="15"/>
      <c r="F22" s="15"/>
      <c r="G22" s="15"/>
      <c r="H22" s="16"/>
      <c r="I22" s="16"/>
    </row>
    <row r="23" spans="1:9">
      <c r="A23" s="15"/>
      <c r="B23" s="15"/>
      <c r="C23" s="15"/>
      <c r="D23" s="15"/>
      <c r="E23" s="15"/>
      <c r="F23" s="15"/>
      <c r="G23" s="15"/>
      <c r="H23" s="16"/>
      <c r="I23" s="16"/>
    </row>
    <row r="24" spans="1:9">
      <c r="A24" s="15"/>
      <c r="B24" s="15"/>
      <c r="C24" s="15"/>
      <c r="D24" s="15"/>
      <c r="E24" s="15"/>
      <c r="F24" s="15"/>
      <c r="G24" s="15"/>
      <c r="H24" s="16"/>
      <c r="I24" s="16"/>
    </row>
    <row r="25" spans="1:9">
      <c r="A25" s="15"/>
      <c r="B25" s="15"/>
      <c r="C25" s="15"/>
      <c r="D25" s="15"/>
      <c r="E25" s="15"/>
      <c r="F25" s="15"/>
      <c r="G25" s="15"/>
      <c r="H25" s="16"/>
      <c r="I25" s="16"/>
    </row>
    <row r="26" spans="1:9">
      <c r="A26" s="15"/>
      <c r="B26" s="15"/>
      <c r="C26" s="15"/>
      <c r="D26" s="15"/>
      <c r="E26" s="15"/>
      <c r="F26" s="15"/>
      <c r="G26" s="15"/>
      <c r="H26" s="16"/>
      <c r="I26" s="16"/>
    </row>
    <row r="27" spans="1:9">
      <c r="A27" s="15"/>
      <c r="B27" s="15"/>
      <c r="C27" s="15"/>
      <c r="D27" s="15"/>
      <c r="E27" s="15"/>
      <c r="F27" s="15"/>
      <c r="G27" s="15"/>
      <c r="H27" s="16"/>
      <c r="I27" s="16"/>
    </row>
    <row r="28" spans="1:9">
      <c r="A28" s="15"/>
      <c r="B28" s="15"/>
      <c r="C28" s="15"/>
      <c r="D28" s="15"/>
      <c r="E28" s="15"/>
      <c r="F28" s="15"/>
      <c r="G28" s="15"/>
      <c r="H28" s="16"/>
      <c r="I28" s="16"/>
    </row>
    <row r="29" spans="1:9">
      <c r="A29" s="15"/>
      <c r="B29" s="15"/>
      <c r="C29" s="15"/>
      <c r="D29" s="15"/>
      <c r="E29" s="15"/>
      <c r="F29" s="15"/>
      <c r="G29" s="15"/>
      <c r="H29" s="16"/>
      <c r="I29" s="16"/>
    </row>
    <row r="30" spans="1:9">
      <c r="A30" s="15"/>
      <c r="B30" s="15"/>
      <c r="C30" s="15"/>
      <c r="D30" s="15"/>
      <c r="E30" s="15"/>
      <c r="F30" s="15"/>
      <c r="G30" s="15"/>
      <c r="H30" s="16"/>
      <c r="I30" s="16"/>
    </row>
    <row r="31" spans="1:9">
      <c r="A31" s="15"/>
      <c r="B31" s="15"/>
      <c r="C31" s="15"/>
      <c r="D31" s="15"/>
      <c r="E31" s="15"/>
      <c r="F31" s="15"/>
      <c r="G31" s="15"/>
      <c r="H31" s="16"/>
      <c r="I31" s="16"/>
    </row>
    <row r="32" spans="1:9">
      <c r="A32" s="15"/>
      <c r="B32" s="15"/>
      <c r="C32" s="15"/>
      <c r="D32" s="15"/>
      <c r="E32" s="15"/>
      <c r="F32" s="15"/>
      <c r="G32" s="15"/>
      <c r="H32" s="16"/>
      <c r="I32" s="16"/>
    </row>
    <row r="33" spans="1:9">
      <c r="A33" s="15"/>
      <c r="B33" s="15"/>
      <c r="C33" s="15"/>
      <c r="D33" s="15"/>
      <c r="E33" s="15"/>
      <c r="F33" s="15"/>
      <c r="G33" s="15"/>
      <c r="H33" s="16"/>
      <c r="I33" s="16"/>
    </row>
    <row r="34" spans="1:9">
      <c r="A34" s="15"/>
      <c r="B34" s="15"/>
      <c r="C34" s="15"/>
      <c r="D34" s="15"/>
      <c r="E34" s="15"/>
      <c r="F34" s="15"/>
      <c r="G34" s="15"/>
      <c r="H34" s="16"/>
      <c r="I34" s="16"/>
    </row>
    <row r="35" spans="1:9">
      <c r="A35" s="15"/>
      <c r="B35" s="15"/>
      <c r="C35" s="15"/>
      <c r="D35" s="15"/>
      <c r="E35" s="15"/>
      <c r="F35" s="15"/>
      <c r="G35" s="15"/>
      <c r="H35" s="16"/>
      <c r="I35" s="16"/>
    </row>
    <row r="36" spans="1:9">
      <c r="A36" s="15"/>
      <c r="B36" s="15"/>
      <c r="C36" s="15"/>
      <c r="D36" s="15"/>
      <c r="E36" s="15"/>
      <c r="F36" s="15"/>
      <c r="G36" s="15"/>
      <c r="H36" s="16"/>
      <c r="I36" s="16"/>
    </row>
    <row r="37" spans="1:9">
      <c r="A37" s="15"/>
      <c r="B37" s="15"/>
      <c r="C37" s="15"/>
      <c r="D37" s="15"/>
      <c r="E37" s="15"/>
      <c r="F37" s="15"/>
      <c r="G37" s="15"/>
      <c r="H37" s="16"/>
      <c r="I37" s="16"/>
    </row>
    <row r="38" spans="1:9">
      <c r="A38" s="15"/>
      <c r="B38" s="15"/>
      <c r="C38" s="15"/>
      <c r="D38" s="15"/>
      <c r="E38" s="15"/>
      <c r="F38" s="15"/>
      <c r="G38" s="15"/>
      <c r="H38" s="16"/>
      <c r="I38" s="16"/>
    </row>
    <row r="39" spans="1:9">
      <c r="A39" s="15"/>
      <c r="B39" s="15"/>
      <c r="C39" s="15"/>
      <c r="D39" s="15"/>
      <c r="E39" s="15"/>
      <c r="F39" s="15"/>
      <c r="G39" s="15"/>
      <c r="H39" s="16"/>
      <c r="I39" s="16"/>
    </row>
    <row r="40" spans="1:9">
      <c r="A40" s="15"/>
      <c r="B40" s="15"/>
      <c r="C40" s="15"/>
      <c r="D40" s="15"/>
      <c r="E40" s="15"/>
      <c r="F40" s="15"/>
      <c r="G40" s="15"/>
      <c r="H40" s="16"/>
      <c r="I40" s="16"/>
    </row>
    <row r="41" spans="1:9">
      <c r="A41" s="15"/>
      <c r="B41" s="15"/>
      <c r="C41" s="15"/>
      <c r="D41" s="15"/>
      <c r="E41" s="15"/>
      <c r="F41" s="15"/>
      <c r="G41" s="15"/>
      <c r="H41" s="16"/>
      <c r="I41" s="16"/>
    </row>
    <row r="42" spans="1:9">
      <c r="A42" s="15"/>
      <c r="B42" s="15"/>
      <c r="C42" s="15"/>
      <c r="D42" s="15"/>
      <c r="E42" s="15"/>
      <c r="F42" s="15"/>
      <c r="G42" s="15"/>
      <c r="H42" s="16"/>
      <c r="I42" s="16"/>
    </row>
    <row r="43" spans="1:9">
      <c r="A43" s="15"/>
      <c r="B43" s="15"/>
      <c r="C43" s="15"/>
      <c r="D43" s="15"/>
      <c r="E43" s="15"/>
      <c r="F43" s="15"/>
      <c r="G43" s="15"/>
      <c r="H43" s="16"/>
      <c r="I43" s="16"/>
    </row>
    <row r="44" spans="1:9">
      <c r="A44" s="15"/>
      <c r="B44" s="15"/>
      <c r="C44" s="15"/>
      <c r="D44" s="15"/>
      <c r="E44" s="15"/>
      <c r="F44" s="15"/>
      <c r="G44" s="15"/>
      <c r="H44" s="16"/>
      <c r="I44" s="16"/>
    </row>
    <row r="45" spans="1:9">
      <c r="A45" s="15"/>
      <c r="B45" s="15"/>
      <c r="C45" s="15"/>
      <c r="D45" s="15"/>
      <c r="E45" s="15"/>
      <c r="F45" s="15"/>
      <c r="G45" s="15"/>
      <c r="H45" s="16"/>
      <c r="I45" s="16"/>
    </row>
    <row r="46" spans="1:9">
      <c r="A46" s="15"/>
      <c r="B46" s="15"/>
      <c r="C46" s="15"/>
      <c r="D46" s="15"/>
      <c r="E46" s="15"/>
      <c r="F46" s="15"/>
      <c r="G46" s="15"/>
      <c r="H46" s="16"/>
      <c r="I46" s="16"/>
    </row>
    <row r="47" spans="1:9">
      <c r="A47" s="15"/>
      <c r="B47" s="15"/>
      <c r="C47" s="15"/>
      <c r="D47" s="15"/>
      <c r="E47" s="15"/>
      <c r="F47" s="15"/>
      <c r="G47" s="15"/>
      <c r="H47" s="16"/>
      <c r="I47" s="16"/>
    </row>
    <row r="48" spans="1:9">
      <c r="A48" s="15"/>
      <c r="B48" s="15"/>
      <c r="C48" s="15"/>
      <c r="D48" s="15"/>
      <c r="E48" s="15"/>
      <c r="F48" s="15"/>
      <c r="G48" s="15"/>
      <c r="H48" s="16"/>
      <c r="I48" s="16"/>
    </row>
    <row r="49" spans="1:9">
      <c r="A49" s="15"/>
      <c r="B49" s="15"/>
      <c r="C49" s="15"/>
      <c r="D49" s="15"/>
      <c r="E49" s="15"/>
      <c r="F49" s="15"/>
      <c r="G49" s="15"/>
      <c r="H49" s="16"/>
      <c r="I49" s="16"/>
    </row>
    <row r="50" spans="1:9">
      <c r="A50" s="15"/>
      <c r="B50" s="15"/>
      <c r="C50" s="15"/>
      <c r="D50" s="15"/>
      <c r="E50" s="15"/>
      <c r="F50" s="15"/>
      <c r="G50" s="15"/>
      <c r="H50" s="16"/>
      <c r="I50" s="16"/>
    </row>
    <row r="51" spans="1:9">
      <c r="A51" s="15"/>
      <c r="B51" s="15"/>
      <c r="C51" s="15"/>
      <c r="D51" s="15"/>
      <c r="E51" s="15"/>
      <c r="F51" s="15"/>
      <c r="G51" s="15"/>
      <c r="H51" s="16"/>
      <c r="I51" s="16"/>
    </row>
    <row r="52" spans="1:9">
      <c r="A52" s="15"/>
      <c r="B52" s="15"/>
      <c r="C52" s="15"/>
      <c r="D52" s="15"/>
      <c r="E52" s="15"/>
      <c r="F52" s="15"/>
      <c r="G52" s="15"/>
      <c r="H52" s="16"/>
      <c r="I52" s="16"/>
    </row>
    <row r="53" spans="1:9">
      <c r="A53" s="15"/>
      <c r="B53" s="15"/>
      <c r="C53" s="15"/>
      <c r="D53" s="15"/>
      <c r="E53" s="15"/>
      <c r="F53" s="15"/>
      <c r="G53" s="15"/>
      <c r="H53" s="16"/>
      <c r="I53" s="16"/>
    </row>
    <row r="54" spans="1:9">
      <c r="A54" s="15"/>
      <c r="B54" s="15"/>
      <c r="C54" s="15"/>
      <c r="D54" s="15"/>
      <c r="E54" s="15"/>
      <c r="F54" s="15"/>
      <c r="G54" s="15"/>
      <c r="H54" s="16"/>
      <c r="I54" s="16"/>
    </row>
    <row r="55" spans="1:9">
      <c r="A55" s="15"/>
      <c r="B55" s="15"/>
      <c r="C55" s="15"/>
      <c r="D55" s="15"/>
      <c r="E55" s="15"/>
      <c r="F55" s="15"/>
      <c r="G55" s="15"/>
      <c r="H55" s="16"/>
      <c r="I55" s="16"/>
    </row>
    <row r="56" spans="1:9">
      <c r="A56" s="15"/>
      <c r="B56" s="15"/>
      <c r="C56" s="15"/>
      <c r="D56" s="15"/>
      <c r="E56" s="15"/>
      <c r="F56" s="15"/>
      <c r="G56" s="15"/>
      <c r="H56" s="16"/>
      <c r="I56" s="16"/>
    </row>
    <row r="57" spans="1:9">
      <c r="A57" s="15"/>
      <c r="B57" s="15"/>
      <c r="C57" s="15"/>
      <c r="D57" s="15"/>
      <c r="E57" s="15"/>
      <c r="F57" s="15"/>
      <c r="G57" s="15"/>
      <c r="H57" s="16"/>
      <c r="I57" s="16"/>
    </row>
    <row r="58" spans="1:9">
      <c r="A58" s="15"/>
      <c r="B58" s="15"/>
      <c r="C58" s="15"/>
      <c r="D58" s="15"/>
      <c r="E58" s="15"/>
      <c r="F58" s="15"/>
      <c r="G58" s="15"/>
      <c r="H58" s="16"/>
      <c r="I58" s="16"/>
    </row>
    <row r="59" spans="1:9">
      <c r="A59" s="15"/>
      <c r="B59" s="15"/>
      <c r="C59" s="15"/>
      <c r="D59" s="15"/>
      <c r="E59" s="15"/>
      <c r="F59" s="15"/>
      <c r="G59" s="15"/>
      <c r="H59" s="16"/>
      <c r="I59" s="16"/>
    </row>
  </sheetData>
  <autoFilter ref="A5:AO12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115AB-042F-42D0-B09A-D8FF8F2AA648}">
  <sheetPr codeName="Sheet5"/>
  <dimension ref="A1:M3"/>
  <sheetViews>
    <sheetView workbookViewId="0"/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30.75" style="13" bestFit="1" customWidth="1"/>
    <col min="5" max="5" width="5.125" style="13" bestFit="1" customWidth="1"/>
    <col min="6" max="7" width="13.25" style="13" bestFit="1" customWidth="1"/>
    <col min="8" max="8" width="9" style="13"/>
    <col min="9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831</v>
      </c>
      <c r="B1" s="107" t="s">
        <v>769</v>
      </c>
      <c r="D1" s="109" t="s">
        <v>0</v>
      </c>
      <c r="E1" s="109" t="s">
        <v>0</v>
      </c>
      <c r="F1" s="109" t="s">
        <v>0</v>
      </c>
      <c r="G1" s="109" t="s">
        <v>1</v>
      </c>
      <c r="K1" s="111" t="s">
        <v>832</v>
      </c>
      <c r="L1" s="111" t="s">
        <v>832</v>
      </c>
      <c r="M1" s="111" t="s">
        <v>832</v>
      </c>
    </row>
    <row r="2" spans="1:13">
      <c r="A2" s="13" t="str">
        <f>"0x00000"&amp;'CANRx_G2M-2'!$B6</f>
        <v>0x000001E4</v>
      </c>
      <c r="B2" s="13">
        <f>IF('CANRx_G2M-2'!AF6&lt;&gt;"",'CANRx_G2M-2'!AF6,B1)</f>
        <v>0</v>
      </c>
      <c r="D2" s="13" t="s">
        <v>982</v>
      </c>
      <c r="E2" s="13">
        <v>3</v>
      </c>
      <c r="F2" s="13" t="s">
        <v>981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0x000005D0</v>
      </c>
      <c r="K2" s="13" t="str">
        <f>"{(U2)"&amp;VLOOKUP(F2,$A$2:$B$3,2,FALSE)&amp;"U,"</f>
        <v>{(U2)1U,</v>
      </c>
      <c r="L2" s="13" t="str">
        <f>"(U2)"&amp;(VLOOKUP(I2,$A$2:$B$3,2,FALSE)-VLOOKUP(F2,$A$2:$B$3,2,FALSE)+1)&amp;"U},"</f>
        <v>(U2)1U},</v>
      </c>
      <c r="M2" s="13" t="str">
        <f>"/* MBOX = "&amp;E2&amp;" / "&amp;LOWER(F2)&amp;" : Rx Mask = "&amp;G2&amp;" */"</f>
        <v>/* MBOX = 3 / 0x000005d0 : Rx Mask = NOUSE */</v>
      </c>
    </row>
    <row r="3" spans="1:13">
      <c r="A3" s="13" t="str">
        <f>"0x00000"&amp;'CANRx_G2M-2'!$B7</f>
        <v>0x000005D0</v>
      </c>
      <c r="B3" s="13">
        <f>IF('CANRx_G2M-2'!AF7&lt;&gt;"",'CANRx_G2M-2'!AF7,B2)</f>
        <v>1</v>
      </c>
      <c r="D3" s="13" t="s">
        <v>1335</v>
      </c>
      <c r="E3" s="13">
        <v>4</v>
      </c>
      <c r="F3" s="13" t="s">
        <v>983</v>
      </c>
      <c r="G3" s="13" t="s">
        <v>46</v>
      </c>
      <c r="H3" s="13" t="str">
        <f>IF(G3&lt;&gt;"NOUSE",HEX2DEC(RIGHT(F3,3))+HEX2DEC(RIGHT(G3,3)),"")</f>
        <v/>
      </c>
      <c r="I3" s="13" t="str">
        <f>IF(H3&lt;&gt;"","0x"&amp;DEC2HEX(H3,8),F3)</f>
        <v>0x000001E4</v>
      </c>
      <c r="K3" s="13" t="str">
        <f>"{(U2)"&amp;VLOOKUP(F3,$A$2:$B$3,2,FALSE)&amp;"U,"</f>
        <v>{(U2)0U,</v>
      </c>
      <c r="L3" s="13" t="str">
        <f>"(U2)"&amp;(VLOOKUP(I3,$A$2:$B$3,2,FALSE)-VLOOKUP(F3,$A$2:$B$3,2,FALSE)+1)&amp;"U},"</f>
        <v>(U2)1U},</v>
      </c>
      <c r="M3" s="13" t="str">
        <f>"/* MBOX = "&amp;E3&amp;" / "&amp;LOWER(F3)&amp;" : Rx Mask = "&amp;G3&amp;" */"</f>
        <v>/* MBOX = 4 / 0x000001e4 : Rx Mask = NOUSE */</v>
      </c>
    </row>
  </sheetData>
  <autoFilter ref="A1:M2" xr:uid="{CDBEB9B7-DEFE-4AB1-9691-270005FCFA6B}"/>
  <phoneticPr fontId="4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7FFC3-A38B-42F0-9666-DC8A6DF091D6}">
  <sheetPr codeName="Sheet6"/>
  <dimension ref="A1:AV551"/>
  <sheetViews>
    <sheetView zoomScale="85" zoomScaleNormal="85" workbookViewId="0">
      <pane ySplit="5" topLeftCell="A75" activePane="bottomLeft" state="frozen"/>
      <selection pane="bottomLeft" activeCell="Z8" sqref="Z6:Z8"/>
    </sheetView>
  </sheetViews>
  <sheetFormatPr defaultColWidth="9" defaultRowHeight="15" outlineLevelCol="1"/>
  <cols>
    <col min="1" max="1" width="12" style="16" bestFit="1" customWidth="1"/>
    <col min="2" max="2" width="10.125" style="16" bestFit="1" customWidth="1"/>
    <col min="3" max="3" width="5.125" style="16" bestFit="1" customWidth="1"/>
    <col min="4" max="4" width="5" style="16" bestFit="1" customWidth="1"/>
    <col min="5" max="5" width="7.625" style="16" bestFit="1" customWidth="1"/>
    <col min="6" max="6" width="8.375" style="16" bestFit="1" customWidth="1"/>
    <col min="7" max="9" width="3.25" style="16" bestFit="1" customWidth="1"/>
    <col min="10" max="10" width="3" style="23" customWidth="1"/>
    <col min="11" max="23" width="3.625" style="38" customWidth="1" outlineLevel="1"/>
    <col min="24" max="25" width="3.625" style="38" customWidth="1"/>
    <col min="26" max="26" width="62" style="38" bestFit="1" customWidth="1" outlineLevel="1"/>
    <col min="27" max="27" width="9" style="38" customWidth="1" outlineLevel="1"/>
    <col min="28" max="29" width="3.625" style="38" customWidth="1" outlineLevel="1"/>
    <col min="30" max="30" width="3.625" style="18" customWidth="1" outlineLevel="1"/>
    <col min="31" max="31" width="3.625" style="38" customWidth="1" outlineLevel="1"/>
    <col min="32" max="33" width="6.625" style="38" customWidth="1"/>
    <col min="34" max="34" width="20.625" style="38" customWidth="1"/>
    <col min="35" max="38" width="20.625" style="38" customWidth="1" outlineLevel="1"/>
    <col min="39" max="39" width="4.875" style="38" customWidth="1" outlineLevel="1"/>
    <col min="40" max="40" width="40.75" style="38" customWidth="1" outlineLevel="1"/>
    <col min="41" max="41" width="9" style="18"/>
    <col min="42" max="48" width="5.625" style="18" customWidth="1"/>
    <col min="49" max="16384" width="9" style="23"/>
  </cols>
  <sheetData>
    <row r="1" spans="1:48" customFormat="1">
      <c r="A1" s="30" t="s">
        <v>2</v>
      </c>
      <c r="B1" s="31"/>
      <c r="C1" s="31"/>
      <c r="D1" s="31"/>
      <c r="E1" s="31"/>
      <c r="F1" s="31"/>
      <c r="G1" s="32"/>
      <c r="H1" s="32"/>
      <c r="I1" s="3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Y1" s="6"/>
      <c r="Z1" s="6"/>
      <c r="AA1" s="6"/>
      <c r="AB1" s="6"/>
      <c r="AC1" s="6"/>
      <c r="AD1" s="13"/>
      <c r="AE1" s="6"/>
      <c r="AF1" s="89"/>
      <c r="AG1" s="96"/>
      <c r="AH1" s="6"/>
      <c r="AI1" s="6"/>
      <c r="AJ1" s="6"/>
      <c r="AK1" s="6"/>
      <c r="AL1" s="6"/>
      <c r="AM1" s="6"/>
      <c r="AN1" s="6"/>
      <c r="AO1" s="13"/>
      <c r="AP1" s="13"/>
      <c r="AQ1" s="13"/>
      <c r="AR1" s="13"/>
      <c r="AS1" s="13"/>
      <c r="AT1" s="13"/>
      <c r="AU1" s="13"/>
      <c r="AV1" s="13"/>
    </row>
    <row r="2" spans="1:48" customFormat="1">
      <c r="A2" s="34"/>
      <c r="B2" s="35"/>
      <c r="C2" s="35"/>
      <c r="D2" s="35"/>
      <c r="E2" s="35"/>
      <c r="F2" s="35"/>
      <c r="G2" s="36"/>
      <c r="H2" s="36"/>
      <c r="I2" s="37"/>
      <c r="K2" s="6">
        <f t="shared" ref="K2:W2" si="1">MAX(K6:K241)</f>
        <v>0</v>
      </c>
      <c r="L2" s="6">
        <f t="shared" si="1"/>
        <v>0</v>
      </c>
      <c r="M2" s="6">
        <f t="shared" si="1"/>
        <v>0</v>
      </c>
      <c r="N2" s="6">
        <f t="shared" si="1"/>
        <v>1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90">
        <f>SUM(K2:W2)</f>
        <v>1</v>
      </c>
      <c r="Y2" s="6"/>
      <c r="Z2" s="6" t="s">
        <v>749</v>
      </c>
      <c r="AA2" s="6"/>
      <c r="AB2" s="6"/>
      <c r="AC2" s="6"/>
      <c r="AD2" s="6"/>
      <c r="AE2" s="6"/>
      <c r="AF2" s="89"/>
      <c r="AG2" s="96"/>
      <c r="AH2" s="6"/>
      <c r="AI2" s="6"/>
      <c r="AJ2" s="6"/>
      <c r="AK2" s="6"/>
      <c r="AL2" s="6"/>
      <c r="AM2" s="6"/>
      <c r="AN2" s="6"/>
      <c r="AO2" s="6"/>
      <c r="AP2" s="13"/>
      <c r="AQ2" s="13"/>
      <c r="AR2" s="13"/>
      <c r="AS2" s="13"/>
      <c r="AT2" s="13"/>
      <c r="AU2" s="13"/>
      <c r="AV2" s="13"/>
    </row>
    <row r="3" spans="1:48" customFormat="1" ht="31.5">
      <c r="A3" s="24" t="s">
        <v>7</v>
      </c>
      <c r="B3" s="25" t="s">
        <v>7</v>
      </c>
      <c r="C3" s="25"/>
      <c r="D3" s="25" t="s">
        <v>7</v>
      </c>
      <c r="E3" s="25" t="s">
        <v>7</v>
      </c>
      <c r="F3" s="29"/>
      <c r="G3" s="68" t="s">
        <v>8</v>
      </c>
      <c r="H3" s="69" t="s">
        <v>9</v>
      </c>
      <c r="I3" s="68" t="s">
        <v>10</v>
      </c>
      <c r="K3" s="12">
        <f t="shared" ref="K3:U3" si="2">L3*2</f>
        <v>4096</v>
      </c>
      <c r="L3" s="12">
        <f t="shared" si="2"/>
        <v>2048</v>
      </c>
      <c r="M3" s="12">
        <f t="shared" si="2"/>
        <v>1024</v>
      </c>
      <c r="N3" s="12">
        <f t="shared" si="2"/>
        <v>512</v>
      </c>
      <c r="O3" s="12">
        <f t="shared" si="2"/>
        <v>256</v>
      </c>
      <c r="P3" s="12">
        <f t="shared" si="2"/>
        <v>128</v>
      </c>
      <c r="Q3" s="12">
        <f t="shared" si="2"/>
        <v>64</v>
      </c>
      <c r="R3" s="12">
        <f t="shared" si="2"/>
        <v>32</v>
      </c>
      <c r="S3" s="12">
        <f t="shared" si="2"/>
        <v>16</v>
      </c>
      <c r="T3" s="12">
        <f t="shared" si="2"/>
        <v>8</v>
      </c>
      <c r="U3" s="12">
        <f t="shared" si="2"/>
        <v>4</v>
      </c>
      <c r="V3" s="12">
        <f>W3*2</f>
        <v>2</v>
      </c>
      <c r="W3" s="12">
        <v>1</v>
      </c>
      <c r="X3" s="91">
        <v>1</v>
      </c>
      <c r="Y3" s="12"/>
      <c r="Z3" s="6" t="s">
        <v>750</v>
      </c>
      <c r="AA3" s="6"/>
      <c r="AB3" s="6"/>
      <c r="AC3" s="6"/>
      <c r="AD3" s="6"/>
      <c r="AE3" s="12"/>
      <c r="AF3" s="89"/>
      <c r="AG3" s="96"/>
      <c r="AH3" s="6"/>
      <c r="AI3" s="6"/>
      <c r="AJ3" s="6"/>
      <c r="AK3" s="6"/>
      <c r="AL3" s="6"/>
      <c r="AM3" s="6"/>
      <c r="AN3" s="6"/>
      <c r="AO3" s="6"/>
      <c r="AP3" s="13"/>
      <c r="AQ3" s="13"/>
      <c r="AR3" s="13"/>
      <c r="AS3" s="13"/>
      <c r="AT3" s="13"/>
      <c r="AU3" s="13"/>
      <c r="AV3" s="13"/>
    </row>
    <row r="4" spans="1:48" customFormat="1" ht="177.75">
      <c r="A4" s="24" t="s">
        <v>13</v>
      </c>
      <c r="B4" s="25" t="s">
        <v>12</v>
      </c>
      <c r="C4" s="25" t="s">
        <v>14</v>
      </c>
      <c r="D4" s="25" t="s">
        <v>15</v>
      </c>
      <c r="E4" s="25" t="s">
        <v>16</v>
      </c>
      <c r="F4" s="25" t="s">
        <v>17</v>
      </c>
      <c r="G4" s="27" t="s">
        <v>18</v>
      </c>
      <c r="H4" s="28" t="s">
        <v>18</v>
      </c>
      <c r="I4" s="27" t="s">
        <v>18</v>
      </c>
      <c r="K4" s="17" t="s">
        <v>753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92" t="s">
        <v>766</v>
      </c>
      <c r="Y4" s="17" t="s">
        <v>767</v>
      </c>
      <c r="Z4" s="70" t="s">
        <v>768</v>
      </c>
      <c r="AA4" s="70"/>
      <c r="AB4" s="70"/>
      <c r="AC4" s="70"/>
      <c r="AD4" s="13"/>
      <c r="AE4" s="17"/>
      <c r="AF4" s="107" t="s">
        <v>769</v>
      </c>
      <c r="AG4" s="108" t="s">
        <v>770</v>
      </c>
      <c r="AH4" s="19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  <c r="AM4" s="115"/>
      <c r="AN4" s="19"/>
      <c r="AO4" s="13"/>
      <c r="AP4" s="13"/>
      <c r="AQ4" s="13"/>
      <c r="AR4" s="13"/>
      <c r="AS4" s="13"/>
      <c r="AT4" s="13"/>
      <c r="AU4" s="13"/>
      <c r="AV4" s="13"/>
    </row>
    <row r="5" spans="1:48" s="78" customFormat="1" ht="39" customHeight="1">
      <c r="A5" s="71"/>
      <c r="B5" s="72" t="s">
        <v>21</v>
      </c>
      <c r="C5" s="72" t="s">
        <v>22</v>
      </c>
      <c r="D5" s="72" t="s">
        <v>23</v>
      </c>
      <c r="E5" s="72" t="s">
        <v>24</v>
      </c>
      <c r="F5" s="72" t="s">
        <v>22</v>
      </c>
      <c r="G5" s="73"/>
      <c r="H5" s="74"/>
      <c r="I5" s="73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95" t="s">
        <v>776</v>
      </c>
      <c r="Y5" s="79" t="s">
        <v>776</v>
      </c>
      <c r="Z5" s="79" t="s">
        <v>776</v>
      </c>
      <c r="AA5" s="79" t="s">
        <v>776</v>
      </c>
      <c r="AB5" s="79" t="s">
        <v>776</v>
      </c>
      <c r="AC5" s="79" t="s">
        <v>776</v>
      </c>
      <c r="AD5" s="79" t="s">
        <v>776</v>
      </c>
      <c r="AE5" s="79" t="s">
        <v>776</v>
      </c>
      <c r="AF5" s="93" t="s">
        <v>776</v>
      </c>
      <c r="AG5" s="106" t="s">
        <v>776</v>
      </c>
      <c r="AH5" s="79" t="s">
        <v>776</v>
      </c>
      <c r="AI5" s="79" t="s">
        <v>776</v>
      </c>
      <c r="AJ5" s="79" t="s">
        <v>776</v>
      </c>
      <c r="AK5" s="79" t="s">
        <v>776</v>
      </c>
      <c r="AL5" s="79"/>
      <c r="AM5" s="79"/>
      <c r="AN5" s="79"/>
      <c r="AO5" s="80"/>
      <c r="AP5" s="80"/>
      <c r="AQ5" s="80"/>
      <c r="AR5" s="80"/>
      <c r="AS5" s="80"/>
      <c r="AT5" s="80"/>
      <c r="AU5" s="80"/>
      <c r="AV5" s="80"/>
    </row>
    <row r="6" spans="1:48" customFormat="1">
      <c r="A6" s="7" t="s">
        <v>984</v>
      </c>
      <c r="B6" s="7" t="s">
        <v>985</v>
      </c>
      <c r="C6" s="7" t="s">
        <v>29</v>
      </c>
      <c r="D6" s="7">
        <v>32</v>
      </c>
      <c r="E6" s="7">
        <v>8</v>
      </c>
      <c r="F6" s="7" t="s">
        <v>31</v>
      </c>
      <c r="G6" s="7"/>
      <c r="H6" s="7"/>
      <c r="I6" s="7" t="s">
        <v>32</v>
      </c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6">
        <v>0</v>
      </c>
      <c r="Z6" s="6">
        <v>32768</v>
      </c>
      <c r="AA6" s="6"/>
      <c r="AB6" s="6"/>
      <c r="AC6" s="6"/>
      <c r="AD6" s="13"/>
      <c r="AE6" s="6"/>
      <c r="AF6" s="89">
        <f>IF(AF5="#",0,IF(AND(D5=D6,K5=K6,L5=L6,M5=M6,N5=N6,O5=O6,P5=P6,Q5=Q6,R5=R6,S5=S6,T5=T6,U5=U6,V5=V6,W5=W6,HEX2DEC(SUBSTITUTE(AH5,"0x",""))&lt;HEX2DEC(SUBSTITUTE(AH6,"0x",""))),"",MAX($AF$6:AF6)+1))</f>
        <v>0</v>
      </c>
      <c r="AG6" s="96" t="str">
        <f>IF(MAX(INDEX($AF:$AF,ROW($AG$6)):INDEX($AF:$AF,ROW(AG6)))+1=AF7,MAX(INDEX($AF:$AF,ROW($AG$6)):INDEX($AF:$AF,ROW(AG6))),"")</f>
        <v/>
      </c>
      <c r="AH6" s="6" t="str">
        <f t="shared" ref="AH6:AH37" si="3">"0x40000"&amp;B6</f>
        <v>0x40000049</v>
      </c>
      <c r="AI6" s="6">
        <f t="shared" ref="AI6:AI37" si="4">HEX2DEC(RIGHT(AH6,8))</f>
        <v>1073741897</v>
      </c>
      <c r="AJ6" s="6" t="str">
        <f t="shared" ref="AJ6:AJ37" si="5">IF(AF6&lt;&gt;"",AH6,"")</f>
        <v>0x40000049</v>
      </c>
      <c r="AK6" s="6" t="str">
        <f t="shared" ref="AK6:AK37" si="6">IF(AF6&lt;&gt;"",VLOOKUP(AF6,$AG$6:$AH$92,2,TRUE),"")</f>
        <v>0x40000075</v>
      </c>
      <c r="AL6" s="6">
        <f t="shared" ref="AL6:AL37" si="7">IF($AF6&lt;&gt;"",MIN($D6:$D6),"")</f>
        <v>32</v>
      </c>
      <c r="AM6" s="6"/>
      <c r="AN6" s="6"/>
      <c r="AO6" s="13"/>
      <c r="AP6" s="6"/>
      <c r="AQ6" s="6"/>
      <c r="AR6" s="6"/>
      <c r="AS6" s="6"/>
      <c r="AT6" s="6"/>
      <c r="AU6" s="6"/>
      <c r="AV6" s="6"/>
    </row>
    <row r="7" spans="1:48" customFormat="1">
      <c r="A7" s="7" t="s">
        <v>986</v>
      </c>
      <c r="B7" s="7" t="s">
        <v>987</v>
      </c>
      <c r="C7" s="7" t="s">
        <v>29</v>
      </c>
      <c r="D7" s="7">
        <v>32</v>
      </c>
      <c r="E7" s="7">
        <v>12</v>
      </c>
      <c r="F7" s="7" t="s">
        <v>29</v>
      </c>
      <c r="G7" s="7"/>
      <c r="H7" s="7"/>
      <c r="I7" s="7" t="s">
        <v>32</v>
      </c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6">
        <v>0</v>
      </c>
      <c r="Z7" s="6">
        <v>32768</v>
      </c>
      <c r="AA7" s="6"/>
      <c r="AB7" s="6"/>
      <c r="AC7" s="6"/>
      <c r="AD7" s="13"/>
      <c r="AE7" s="6"/>
      <c r="AF7" s="89" t="str">
        <f>IF(AF6="#",0,IF(AND(D6=D7,K6=K7,L6=L7,M6=M7,N6=N7,O6=O7,P6=P7,Q6=Q7,R6=R7,S6=S7,T6=T7,U6=U7,V6=V7,W6=W7,HEX2DEC(SUBSTITUTE(AH6,"0x",""))&lt;HEX2DEC(SUBSTITUTE(AH7,"0x",""))),"",MAX($AF$6:AF6)+1))</f>
        <v/>
      </c>
      <c r="AG7" s="96" t="str">
        <f>IF(MAX(INDEX($AF:$AF,ROW($AG$6)):INDEX($AF:$AF,ROW(AG7)))+1=AF8,MAX(INDEX($AF:$AF,ROW($AG$6)):INDEX($AF:$AF,ROW(AG7))),"")</f>
        <v/>
      </c>
      <c r="AH7" s="6" t="str">
        <f t="shared" si="3"/>
        <v>0x40000072</v>
      </c>
      <c r="AI7" s="6">
        <f t="shared" si="4"/>
        <v>1073741938</v>
      </c>
      <c r="AJ7" s="6" t="str">
        <f t="shared" si="5"/>
        <v/>
      </c>
      <c r="AK7" s="6" t="str">
        <f t="shared" si="6"/>
        <v/>
      </c>
      <c r="AL7" s="6" t="str">
        <f t="shared" si="7"/>
        <v/>
      </c>
      <c r="AM7" s="6"/>
      <c r="AN7" s="6"/>
      <c r="AO7" s="13"/>
      <c r="AP7" s="6"/>
      <c r="AQ7" s="6"/>
      <c r="AR7" s="6"/>
      <c r="AS7" s="6"/>
      <c r="AT7" s="6"/>
      <c r="AU7" s="6"/>
      <c r="AV7" s="6"/>
    </row>
    <row r="8" spans="1:48" customFormat="1">
      <c r="A8" s="7" t="s">
        <v>988</v>
      </c>
      <c r="B8" s="7" t="s">
        <v>989</v>
      </c>
      <c r="C8" s="7" t="s">
        <v>29</v>
      </c>
      <c r="D8" s="7">
        <v>32</v>
      </c>
      <c r="E8" s="7">
        <v>16</v>
      </c>
      <c r="F8" s="7" t="s">
        <v>31</v>
      </c>
      <c r="G8" s="7"/>
      <c r="H8" s="7"/>
      <c r="I8" s="7" t="s">
        <v>32</v>
      </c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6">
        <v>0</v>
      </c>
      <c r="Z8" s="6">
        <v>32768</v>
      </c>
      <c r="AA8" s="6"/>
      <c r="AB8" s="6"/>
      <c r="AC8" s="6"/>
      <c r="AD8" s="13"/>
      <c r="AE8" s="6"/>
      <c r="AF8" s="89" t="str">
        <f>IF(AF7="#",0,IF(AND(D7=D8,K7=K8,L7=L8,M7=M8,N7=N8,O7=O8,P7=P8,Q7=Q8,R7=R8,S7=S8,T7=T8,U7=U8,V7=V8,W7=W8,HEX2DEC(SUBSTITUTE(AH7,"0x",""))&lt;HEX2DEC(SUBSTITUTE(AH8,"0x",""))),"",MAX($AF$6:AF7)+1))</f>
        <v/>
      </c>
      <c r="AG8" s="96">
        <f>IF(MAX(INDEX($AF:$AF,ROW($AG$6)):INDEX($AF:$AF,ROW(AG8)))+1=AF9,MAX(INDEX($AF:$AF,ROW($AG$6)):INDEX($AF:$AF,ROW(AG8))),"")</f>
        <v>0</v>
      </c>
      <c r="AH8" s="6" t="str">
        <f t="shared" si="3"/>
        <v>0x40000075</v>
      </c>
      <c r="AI8" s="6">
        <f t="shared" si="4"/>
        <v>1073741941</v>
      </c>
      <c r="AJ8" s="6" t="str">
        <f t="shared" si="5"/>
        <v/>
      </c>
      <c r="AK8" s="6" t="str">
        <f t="shared" si="6"/>
        <v/>
      </c>
      <c r="AL8" s="6" t="str">
        <f t="shared" si="7"/>
        <v/>
      </c>
      <c r="AM8" s="6"/>
      <c r="AN8" s="6"/>
      <c r="AO8" s="13"/>
      <c r="AP8" s="6"/>
      <c r="AQ8" s="6"/>
      <c r="AR8" s="6"/>
      <c r="AS8" s="6"/>
      <c r="AT8" s="6"/>
      <c r="AU8" s="6"/>
      <c r="AV8" s="6"/>
    </row>
    <row r="9" spans="1:48" customFormat="1">
      <c r="A9" s="7" t="s">
        <v>990</v>
      </c>
      <c r="B9" s="7" t="s">
        <v>991</v>
      </c>
      <c r="C9" s="7" t="s">
        <v>29</v>
      </c>
      <c r="D9" s="7">
        <v>8</v>
      </c>
      <c r="E9" s="7">
        <v>16</v>
      </c>
      <c r="F9" s="7" t="s">
        <v>31</v>
      </c>
      <c r="G9" s="7"/>
      <c r="H9" s="7"/>
      <c r="I9" s="7" t="s">
        <v>32</v>
      </c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6">
        <v>0</v>
      </c>
      <c r="Z9" s="6">
        <v>32768</v>
      </c>
      <c r="AA9" s="6"/>
      <c r="AB9" s="6"/>
      <c r="AC9" s="6"/>
      <c r="AD9" s="13"/>
      <c r="AE9" s="6"/>
      <c r="AF9" s="89">
        <f>IF(AF8="#",0,IF(AND(D8=D9,K8=K9,L8=L9,M8=M9,N8=N9,O8=O9,P8=P9,Q8=Q9,R8=R9,S8=S9,T8=T9,U8=U9,V8=V9,W8=W9,HEX2DEC(SUBSTITUTE(AH8,"0x",""))&lt;HEX2DEC(SUBSTITUTE(AH9,"0x",""))),"",MAX($AF$6:AF8)+1))</f>
        <v>1</v>
      </c>
      <c r="AG9" s="96">
        <f>IF(MAX(INDEX($AF:$AF,ROW($AG$6)):INDEX($AF:$AF,ROW(AG9)))+1=AF10,MAX(INDEX($AF:$AF,ROW($AG$6)):INDEX($AF:$AF,ROW(AG9))),"")</f>
        <v>1</v>
      </c>
      <c r="AH9" s="6" t="str">
        <f t="shared" si="3"/>
        <v>0x4000007E</v>
      </c>
      <c r="AI9" s="6">
        <f t="shared" si="4"/>
        <v>1073741950</v>
      </c>
      <c r="AJ9" s="6" t="str">
        <f t="shared" si="5"/>
        <v>0x4000007E</v>
      </c>
      <c r="AK9" s="6" t="str">
        <f t="shared" si="6"/>
        <v>0x4000007E</v>
      </c>
      <c r="AL9" s="6">
        <f t="shared" si="7"/>
        <v>8</v>
      </c>
      <c r="AM9" s="6"/>
      <c r="AN9" s="6"/>
      <c r="AO9" s="13"/>
      <c r="AP9" s="6"/>
      <c r="AQ9" s="6"/>
      <c r="AR9" s="6"/>
      <c r="AS9" s="6"/>
      <c r="AT9" s="6"/>
      <c r="AU9" s="6"/>
      <c r="AV9" s="6"/>
    </row>
    <row r="10" spans="1:48" customFormat="1">
      <c r="A10" s="7" t="s">
        <v>992</v>
      </c>
      <c r="B10" s="7" t="s">
        <v>993</v>
      </c>
      <c r="C10" s="7" t="s">
        <v>29</v>
      </c>
      <c r="D10" s="7">
        <v>32</v>
      </c>
      <c r="E10" s="7">
        <v>24</v>
      </c>
      <c r="F10" s="7" t="s">
        <v>31</v>
      </c>
      <c r="G10" s="7"/>
      <c r="H10" s="7"/>
      <c r="I10" s="7" t="s">
        <v>32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6">
        <v>0</v>
      </c>
      <c r="Z10" s="6">
        <v>32768</v>
      </c>
      <c r="AA10" s="6"/>
      <c r="AB10" s="6"/>
      <c r="AC10" s="6"/>
      <c r="AD10" s="13"/>
      <c r="AE10" s="6"/>
      <c r="AF10" s="89">
        <f>IF(AF9="#",0,IF(AND(D9=D10,K9=K10,L9=L10,M9=M10,N9=N10,O9=O10,P9=P10,Q9=Q10,R9=R10,S9=S10,T9=T10,U9=U10,V9=V10,W9=W10,HEX2DEC(SUBSTITUTE(AH9,"0x",""))&lt;HEX2DEC(SUBSTITUTE(AH10,"0x",""))),"",MAX($AF$6:AF9)+1))</f>
        <v>2</v>
      </c>
      <c r="AG10" s="96" t="str">
        <f>IF(MAX(INDEX($AF:$AF,ROW($AG$6)):INDEX($AF:$AF,ROW(AG10)))+1=AF11,MAX(INDEX($AF:$AF,ROW($AG$6)):INDEX($AF:$AF,ROW(AG10))),"")</f>
        <v/>
      </c>
      <c r="AH10" s="6" t="str">
        <f t="shared" si="3"/>
        <v>0x400000A0</v>
      </c>
      <c r="AI10" s="6">
        <f t="shared" si="4"/>
        <v>1073741984</v>
      </c>
      <c r="AJ10" s="6" t="str">
        <f t="shared" si="5"/>
        <v>0x400000A0</v>
      </c>
      <c r="AK10" s="6" t="str">
        <f t="shared" si="6"/>
        <v>0x400000A1</v>
      </c>
      <c r="AL10" s="6">
        <f t="shared" si="7"/>
        <v>32</v>
      </c>
      <c r="AM10" s="6"/>
      <c r="AN10" s="6"/>
      <c r="AO10" s="13"/>
      <c r="AP10" s="6"/>
      <c r="AQ10" s="6"/>
      <c r="AR10" s="6"/>
      <c r="AS10" s="6"/>
      <c r="AT10" s="6"/>
      <c r="AU10" s="6"/>
      <c r="AV10" s="6"/>
    </row>
    <row r="11" spans="1:48" customFormat="1">
      <c r="A11" s="7" t="s">
        <v>994</v>
      </c>
      <c r="B11" s="7" t="s">
        <v>995</v>
      </c>
      <c r="C11" s="7" t="s">
        <v>29</v>
      </c>
      <c r="D11" s="7">
        <v>32</v>
      </c>
      <c r="E11" s="7">
        <v>24</v>
      </c>
      <c r="F11" s="7" t="s">
        <v>31</v>
      </c>
      <c r="G11" s="7"/>
      <c r="H11" s="7"/>
      <c r="I11" s="7" t="s">
        <v>32</v>
      </c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6">
        <v>0</v>
      </c>
      <c r="Z11" s="6">
        <v>32768</v>
      </c>
      <c r="AA11" s="6"/>
      <c r="AB11" s="6"/>
      <c r="AC11" s="6"/>
      <c r="AD11" s="13"/>
      <c r="AE11" s="6"/>
      <c r="AF11" s="89" t="str">
        <f>IF(AF10="#",0,IF(AND(D10=D11,K10=K11,L10=L11,M10=M11,N10=N11,O10=O11,P10=P11,Q10=Q11,R10=R11,S10=S11,T10=T11,U10=U11,V10=V11,W10=W11,HEX2DEC(SUBSTITUTE(AH10,"0x",""))&lt;HEX2DEC(SUBSTITUTE(AH11,"0x",""))),"",MAX($AF$6:AF10)+1))</f>
        <v/>
      </c>
      <c r="AG11" s="96">
        <f>IF(MAX(INDEX($AF:$AF,ROW($AG$6)):INDEX($AF:$AF,ROW(AG11)))+1=AF12,MAX(INDEX($AF:$AF,ROW($AG$6)):INDEX($AF:$AF,ROW(AG11))),"")</f>
        <v>2</v>
      </c>
      <c r="AH11" s="6" t="str">
        <f t="shared" si="3"/>
        <v>0x400000A1</v>
      </c>
      <c r="AI11" s="6">
        <f t="shared" si="4"/>
        <v>1073741985</v>
      </c>
      <c r="AJ11" s="6" t="str">
        <f t="shared" si="5"/>
        <v/>
      </c>
      <c r="AK11" s="6" t="str">
        <f t="shared" si="6"/>
        <v/>
      </c>
      <c r="AL11" s="6" t="str">
        <f t="shared" si="7"/>
        <v/>
      </c>
      <c r="AM11" s="6"/>
      <c r="AN11" s="6"/>
      <c r="AO11" s="13"/>
      <c r="AP11" s="6"/>
      <c r="AQ11" s="6"/>
      <c r="AR11" s="6"/>
      <c r="AS11" s="6"/>
      <c r="AT11" s="6"/>
      <c r="AU11" s="6"/>
      <c r="AV11" s="6"/>
    </row>
    <row r="12" spans="1:48" customFormat="1">
      <c r="A12" s="7" t="s">
        <v>996</v>
      </c>
      <c r="B12" s="7" t="s">
        <v>997</v>
      </c>
      <c r="C12" s="7" t="s">
        <v>29</v>
      </c>
      <c r="D12" s="7">
        <v>8</v>
      </c>
      <c r="E12" s="7">
        <v>24</v>
      </c>
      <c r="F12" s="7" t="s">
        <v>31</v>
      </c>
      <c r="G12" s="7"/>
      <c r="H12" s="7"/>
      <c r="I12" s="7" t="s">
        <v>32</v>
      </c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6">
        <v>0</v>
      </c>
      <c r="Z12" s="6">
        <v>32768</v>
      </c>
      <c r="AA12" s="6"/>
      <c r="AB12" s="6"/>
      <c r="AC12" s="6"/>
      <c r="AD12" s="13"/>
      <c r="AE12" s="6"/>
      <c r="AF12" s="89">
        <f>IF(AF11="#",0,IF(AND(D11=D12,K11=K12,L11=L12,M11=M12,N11=N12,O11=O12,P11=P12,Q11=Q12,R11=R12,S11=S12,T11=T12,U11=U12,V11=V12,W11=W12,HEX2DEC(SUBSTITUTE(AH11,"0x",""))&lt;HEX2DEC(SUBSTITUTE(AH12,"0x",""))),"",MAX($AF$6:AF11)+1))</f>
        <v>3</v>
      </c>
      <c r="AG12" s="96" t="str">
        <f>IF(MAX(INDEX($AF:$AF,ROW($AG$6)):INDEX($AF:$AF,ROW(AG12)))+1=AF13,MAX(INDEX($AF:$AF,ROW($AG$6)):INDEX($AF:$AF,ROW(AG12))),"")</f>
        <v/>
      </c>
      <c r="AH12" s="6" t="str">
        <f t="shared" si="3"/>
        <v>0x400000A3</v>
      </c>
      <c r="AI12" s="6">
        <f t="shared" si="4"/>
        <v>1073741987</v>
      </c>
      <c r="AJ12" s="6" t="str">
        <f t="shared" si="5"/>
        <v>0x400000A3</v>
      </c>
      <c r="AK12" s="6" t="str">
        <f t="shared" si="6"/>
        <v>0x400000A6</v>
      </c>
      <c r="AL12" s="6">
        <f t="shared" si="7"/>
        <v>8</v>
      </c>
      <c r="AM12" s="6"/>
      <c r="AN12" s="6"/>
      <c r="AO12" s="13"/>
      <c r="AP12" s="6"/>
      <c r="AQ12" s="6"/>
      <c r="AR12" s="6"/>
      <c r="AS12" s="6"/>
      <c r="AT12" s="6"/>
      <c r="AU12" s="6"/>
      <c r="AV12" s="6"/>
    </row>
    <row r="13" spans="1:48" customFormat="1">
      <c r="A13" s="7" t="s">
        <v>998</v>
      </c>
      <c r="B13" s="7" t="s">
        <v>999</v>
      </c>
      <c r="C13" s="7" t="s">
        <v>29</v>
      </c>
      <c r="D13" s="7">
        <v>8</v>
      </c>
      <c r="E13" s="7">
        <v>24</v>
      </c>
      <c r="F13" s="7" t="s">
        <v>31</v>
      </c>
      <c r="G13" s="7"/>
      <c r="H13" s="7"/>
      <c r="I13" s="7" t="s">
        <v>32</v>
      </c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6">
        <v>0</v>
      </c>
      <c r="Z13" s="6">
        <v>32768</v>
      </c>
      <c r="AA13" s="6"/>
      <c r="AB13" s="6"/>
      <c r="AC13" s="6"/>
      <c r="AD13" s="13"/>
      <c r="AE13" s="6"/>
      <c r="AF13" s="89" t="str">
        <f>IF(AF12="#",0,IF(AND(D12=D13,K12=K13,L12=L13,M12=M13,N12=N13,O12=O13,P12=P13,Q12=Q13,R12=R13,S12=S13,T12=T13,U12=U13,V12=V13,W12=W13,HEX2DEC(SUBSTITUTE(AH12,"0x",""))&lt;HEX2DEC(SUBSTITUTE(AH13,"0x",""))),"",MAX($AF$6:AF12)+1))</f>
        <v/>
      </c>
      <c r="AG13" s="96" t="str">
        <f>IF(MAX(INDEX($AF:$AF,ROW($AG$6)):INDEX($AF:$AF,ROW(AG13)))+1=AF14,MAX(INDEX($AF:$AF,ROW($AG$6)):INDEX($AF:$AF,ROW(AG13))),"")</f>
        <v/>
      </c>
      <c r="AH13" s="6" t="str">
        <f t="shared" si="3"/>
        <v>0x400000A5</v>
      </c>
      <c r="AI13" s="6">
        <f t="shared" si="4"/>
        <v>1073741989</v>
      </c>
      <c r="AJ13" s="6" t="str">
        <f t="shared" si="5"/>
        <v/>
      </c>
      <c r="AK13" s="6" t="str">
        <f t="shared" si="6"/>
        <v/>
      </c>
      <c r="AL13" s="6" t="str">
        <f t="shared" si="7"/>
        <v/>
      </c>
      <c r="AM13" s="6"/>
      <c r="AN13" s="6"/>
      <c r="AO13" s="13"/>
      <c r="AP13" s="6"/>
      <c r="AQ13" s="6"/>
      <c r="AR13" s="6"/>
      <c r="AS13" s="6"/>
      <c r="AT13" s="6"/>
      <c r="AU13" s="6"/>
      <c r="AV13" s="6"/>
    </row>
    <row r="14" spans="1:48" customFormat="1">
      <c r="A14" s="7" t="s">
        <v>1000</v>
      </c>
      <c r="B14" s="7" t="s">
        <v>1001</v>
      </c>
      <c r="C14" s="7" t="s">
        <v>29</v>
      </c>
      <c r="D14" s="7">
        <v>8</v>
      </c>
      <c r="E14" s="7">
        <v>24</v>
      </c>
      <c r="F14" s="7" t="s">
        <v>31</v>
      </c>
      <c r="G14" s="7"/>
      <c r="H14" s="7"/>
      <c r="I14" s="7" t="s">
        <v>32</v>
      </c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6">
        <v>0</v>
      </c>
      <c r="Z14" s="6">
        <v>32768</v>
      </c>
      <c r="AA14" s="6"/>
      <c r="AB14" s="6"/>
      <c r="AC14" s="6"/>
      <c r="AD14" s="13"/>
      <c r="AE14" s="6"/>
      <c r="AF14" s="89" t="str">
        <f>IF(AF13="#",0,IF(AND(D13=D14,K13=K14,L13=L14,M13=M14,N13=N14,O13=O14,P13=P14,Q13=Q14,R13=R14,S13=S14,T13=T14,U13=U14,V13=V14,W13=W14,HEX2DEC(SUBSTITUTE(AH13,"0x",""))&lt;HEX2DEC(SUBSTITUTE(AH14,"0x",""))),"",MAX($AF$6:AF13)+1))</f>
        <v/>
      </c>
      <c r="AG14" s="96">
        <f>IF(MAX(INDEX($AF:$AF,ROW($AG$6)):INDEX($AF:$AF,ROW(AG14)))+1=AF15,MAX(INDEX($AF:$AF,ROW($AG$6)):INDEX($AF:$AF,ROW(AG14))),"")</f>
        <v>3</v>
      </c>
      <c r="AH14" s="6" t="str">
        <f t="shared" si="3"/>
        <v>0x400000A6</v>
      </c>
      <c r="AI14" s="6">
        <f t="shared" si="4"/>
        <v>1073741990</v>
      </c>
      <c r="AJ14" s="6" t="str">
        <f t="shared" si="5"/>
        <v/>
      </c>
      <c r="AK14" s="6" t="str">
        <f t="shared" si="6"/>
        <v/>
      </c>
      <c r="AL14" s="6" t="str">
        <f t="shared" si="7"/>
        <v/>
      </c>
      <c r="AM14" s="6"/>
      <c r="AN14" s="6"/>
      <c r="AO14" s="13"/>
      <c r="AP14" s="6"/>
      <c r="AQ14" s="6"/>
      <c r="AR14" s="6"/>
      <c r="AS14" s="6"/>
      <c r="AT14" s="6"/>
      <c r="AU14" s="6"/>
      <c r="AV14" s="6"/>
    </row>
    <row r="15" spans="1:48" customFormat="1">
      <c r="A15" s="7" t="s">
        <v>1002</v>
      </c>
      <c r="B15" s="7" t="s">
        <v>1003</v>
      </c>
      <c r="C15" s="7" t="s">
        <v>29</v>
      </c>
      <c r="D15" s="7">
        <v>64</v>
      </c>
      <c r="E15" s="7">
        <v>25</v>
      </c>
      <c r="F15" s="7" t="s">
        <v>29</v>
      </c>
      <c r="G15" s="7"/>
      <c r="H15" s="7"/>
      <c r="I15" s="7" t="s">
        <v>32</v>
      </c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6">
        <v>0</v>
      </c>
      <c r="Z15" s="6">
        <v>32768</v>
      </c>
      <c r="AA15" s="6"/>
      <c r="AB15" s="6"/>
      <c r="AC15" s="6"/>
      <c r="AD15" s="13"/>
      <c r="AE15" s="6"/>
      <c r="AF15" s="89">
        <f>IF(AF14="#",0,IF(AND(D14=D15,K14=K15,L14=L15,M14=M15,N14=N15,O14=O15,P14=P15,Q14=Q15,R14=R15,S14=S15,T14=T15,U14=U15,V14=V15,W14=W15,HEX2DEC(SUBSTITUTE(AH14,"0x",""))&lt;HEX2DEC(SUBSTITUTE(AH15,"0x",""))),"",MAX($AF$6:AF14)+1))</f>
        <v>4</v>
      </c>
      <c r="AG15" s="96" t="str">
        <f>IF(MAX(INDEX($AF:$AF,ROW($AG$6)):INDEX($AF:$AF,ROW(AG15)))+1=AF16,MAX(INDEX($AF:$AF,ROW($AG$6)):INDEX($AF:$AF,ROW(AG15))),"")</f>
        <v/>
      </c>
      <c r="AH15" s="6" t="str">
        <f t="shared" si="3"/>
        <v>0x400000A8</v>
      </c>
      <c r="AI15" s="6">
        <f t="shared" si="4"/>
        <v>1073741992</v>
      </c>
      <c r="AJ15" s="6" t="str">
        <f t="shared" si="5"/>
        <v>0x400000A8</v>
      </c>
      <c r="AK15" s="6" t="str">
        <f t="shared" si="6"/>
        <v>0x400000A9</v>
      </c>
      <c r="AL15" s="6">
        <f t="shared" si="7"/>
        <v>64</v>
      </c>
      <c r="AM15" s="6"/>
      <c r="AN15" s="6"/>
      <c r="AO15" s="13"/>
      <c r="AP15" s="6"/>
      <c r="AQ15" s="6"/>
      <c r="AR15" s="6"/>
      <c r="AS15" s="6"/>
      <c r="AT15" s="6"/>
      <c r="AU15" s="6"/>
      <c r="AV15" s="6"/>
    </row>
    <row r="16" spans="1:48" customFormat="1">
      <c r="A16" s="7" t="s">
        <v>1004</v>
      </c>
      <c r="B16" s="7" t="s">
        <v>1005</v>
      </c>
      <c r="C16" s="7" t="s">
        <v>29</v>
      </c>
      <c r="D16" s="7">
        <v>64</v>
      </c>
      <c r="E16" s="7">
        <v>25</v>
      </c>
      <c r="F16" s="7" t="s">
        <v>29</v>
      </c>
      <c r="G16" s="7"/>
      <c r="H16" s="7"/>
      <c r="I16" s="7" t="s">
        <v>32</v>
      </c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6">
        <v>0</v>
      </c>
      <c r="Z16" s="6">
        <v>32768</v>
      </c>
      <c r="AA16" s="6"/>
      <c r="AB16" s="6"/>
      <c r="AC16" s="6"/>
      <c r="AD16" s="13"/>
      <c r="AE16" s="6"/>
      <c r="AF16" s="89" t="str">
        <f>IF(AF15="#",0,IF(AND(D15=D16,K15=K16,L15=L16,M15=M16,N15=N16,O15=O16,P15=P16,Q15=Q16,R15=R16,S15=S16,T15=T16,U15=U16,V15=V16,W15=W16,HEX2DEC(SUBSTITUTE(AH15,"0x",""))&lt;HEX2DEC(SUBSTITUTE(AH16,"0x",""))),"",MAX($AF$6:AF15)+1))</f>
        <v/>
      </c>
      <c r="AG16" s="96">
        <f>IF(MAX(INDEX($AF:$AF,ROW($AG$6)):INDEX($AF:$AF,ROW(AG16)))+1=AF17,MAX(INDEX($AF:$AF,ROW($AG$6)):INDEX($AF:$AF,ROW(AG16))),"")</f>
        <v>4</v>
      </c>
      <c r="AH16" s="6" t="str">
        <f t="shared" si="3"/>
        <v>0x400000A9</v>
      </c>
      <c r="AI16" s="6">
        <f t="shared" si="4"/>
        <v>1073741993</v>
      </c>
      <c r="AJ16" s="6" t="str">
        <f t="shared" si="5"/>
        <v/>
      </c>
      <c r="AK16" s="6" t="str">
        <f t="shared" si="6"/>
        <v/>
      </c>
      <c r="AL16" s="6" t="str">
        <f t="shared" si="7"/>
        <v/>
      </c>
      <c r="AM16" s="6"/>
      <c r="AN16" s="6"/>
      <c r="AO16" s="13"/>
      <c r="AP16" s="6"/>
      <c r="AQ16" s="6"/>
      <c r="AR16" s="6"/>
      <c r="AS16" s="6"/>
      <c r="AT16" s="6"/>
      <c r="AU16" s="6"/>
      <c r="AV16" s="6"/>
    </row>
    <row r="17" spans="1:48" customFormat="1">
      <c r="A17" s="7" t="s">
        <v>1006</v>
      </c>
      <c r="B17" s="7" t="s">
        <v>1007</v>
      </c>
      <c r="C17" s="7" t="s">
        <v>29</v>
      </c>
      <c r="D17" s="7">
        <v>32</v>
      </c>
      <c r="E17" s="7">
        <v>52</v>
      </c>
      <c r="F17" s="7" t="s">
        <v>31</v>
      </c>
      <c r="G17" s="7"/>
      <c r="H17" s="7"/>
      <c r="I17" s="7" t="s">
        <v>32</v>
      </c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6">
        <v>0</v>
      </c>
      <c r="Z17" s="6">
        <v>32768</v>
      </c>
      <c r="AA17" s="6"/>
      <c r="AB17" s="6"/>
      <c r="AC17" s="6"/>
      <c r="AD17" s="13"/>
      <c r="AE17" s="6"/>
      <c r="AF17" s="89">
        <f>IF(AF16="#",0,IF(AND(D16=D17,K16=K17,L16=L17,M16=M17,N16=N17,O16=O17,P16=P17,Q16=Q17,R16=R17,S16=S17,T16=T17,U16=U17,V16=V17,W16=W17,HEX2DEC(SUBSTITUTE(AH16,"0x",""))&lt;HEX2DEC(SUBSTITUTE(AH17,"0x",""))),"",MAX($AF$6:AF16)+1))</f>
        <v>5</v>
      </c>
      <c r="AG17" s="96">
        <f>IF(MAX(INDEX($AF:$AF,ROW($AG$6)):INDEX($AF:$AF,ROW(AG17)))+1=AF18,MAX(INDEX($AF:$AF,ROW($AG$6)):INDEX($AF:$AF,ROW(AG17))),"")</f>
        <v>5</v>
      </c>
      <c r="AH17" s="6" t="str">
        <f t="shared" si="3"/>
        <v>0x4000010B</v>
      </c>
      <c r="AI17" s="6">
        <f t="shared" si="4"/>
        <v>1073742091</v>
      </c>
      <c r="AJ17" s="6" t="str">
        <f t="shared" si="5"/>
        <v>0x4000010B</v>
      </c>
      <c r="AK17" s="6" t="str">
        <f t="shared" si="6"/>
        <v>0x4000010B</v>
      </c>
      <c r="AL17" s="6">
        <f t="shared" si="7"/>
        <v>32</v>
      </c>
      <c r="AM17" s="6"/>
      <c r="AN17" s="6"/>
      <c r="AO17" s="13"/>
      <c r="AP17" s="6"/>
      <c r="AQ17" s="6"/>
      <c r="AR17" s="6"/>
      <c r="AS17" s="6"/>
      <c r="AT17" s="6"/>
      <c r="AU17" s="6"/>
      <c r="AV17" s="6"/>
    </row>
    <row r="18" spans="1:48" customFormat="1">
      <c r="A18" s="7" t="s">
        <v>1008</v>
      </c>
      <c r="B18" s="7" t="s">
        <v>1009</v>
      </c>
      <c r="C18" s="7" t="s">
        <v>29</v>
      </c>
      <c r="D18" s="7">
        <v>8</v>
      </c>
      <c r="E18" s="7">
        <v>96</v>
      </c>
      <c r="F18" s="7" t="s">
        <v>31</v>
      </c>
      <c r="G18" s="7"/>
      <c r="H18" s="7"/>
      <c r="I18" s="7" t="s">
        <v>32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6">
        <v>0</v>
      </c>
      <c r="Z18" s="6">
        <v>32768</v>
      </c>
      <c r="AA18" s="6"/>
      <c r="AB18" s="6"/>
      <c r="AC18" s="6"/>
      <c r="AD18" s="13"/>
      <c r="AE18" s="6"/>
      <c r="AF18" s="89">
        <f>IF(AF17="#",0,IF(AND(D17=D18,K17=K18,L17=L18,M17=M18,N17=N18,O17=O18,P17=P18,Q17=Q18,R17=R18,S17=S18,T17=T18,U17=U18,V17=V18,W17=W18,HEX2DEC(SUBSTITUTE(AH17,"0x",""))&lt;HEX2DEC(SUBSTITUTE(AH18,"0x",""))),"",MAX($AF$6:AF17)+1))</f>
        <v>6</v>
      </c>
      <c r="AG18" s="96" t="str">
        <f>IF(MAX(INDEX($AF:$AF,ROW($AG$6)):INDEX($AF:$AF,ROW(AG18)))+1=AF19,MAX(INDEX($AF:$AF,ROW($AG$6)):INDEX($AF:$AF,ROW(AG18))),"")</f>
        <v/>
      </c>
      <c r="AH18" s="6" t="str">
        <f t="shared" si="3"/>
        <v>0x40000115</v>
      </c>
      <c r="AI18" s="6">
        <f t="shared" si="4"/>
        <v>1073742101</v>
      </c>
      <c r="AJ18" s="6" t="str">
        <f t="shared" si="5"/>
        <v>0x40000115</v>
      </c>
      <c r="AK18" s="6" t="str">
        <f t="shared" si="6"/>
        <v>0x4000012B</v>
      </c>
      <c r="AL18" s="6">
        <f t="shared" si="7"/>
        <v>8</v>
      </c>
      <c r="AM18" s="6"/>
      <c r="AN18" s="6"/>
      <c r="AO18" s="13"/>
      <c r="AP18" s="6"/>
      <c r="AQ18" s="6"/>
      <c r="AR18" s="6"/>
      <c r="AS18" s="6"/>
      <c r="AT18" s="6"/>
      <c r="AU18" s="6"/>
      <c r="AV18" s="6"/>
    </row>
    <row r="19" spans="1:48" customFormat="1">
      <c r="A19" s="7" t="s">
        <v>1010</v>
      </c>
      <c r="B19" s="7" t="s">
        <v>1011</v>
      </c>
      <c r="C19" s="7" t="s">
        <v>29</v>
      </c>
      <c r="D19" s="7">
        <v>8</v>
      </c>
      <c r="E19" s="7">
        <v>100</v>
      </c>
      <c r="F19" s="7" t="s">
        <v>31</v>
      </c>
      <c r="G19" s="7"/>
      <c r="H19" s="7"/>
      <c r="I19" s="7" t="s">
        <v>32</v>
      </c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6">
        <v>0</v>
      </c>
      <c r="Z19" s="6">
        <v>32768</v>
      </c>
      <c r="AA19" s="6"/>
      <c r="AB19" s="6"/>
      <c r="AC19" s="6"/>
      <c r="AD19" s="13"/>
      <c r="AE19" s="6"/>
      <c r="AF19" s="89" t="str">
        <f>IF(AF18="#",0,IF(AND(D18=D19,K18=K19,L18=L19,M18=M19,N18=N19,O18=O19,P18=P19,Q18=Q19,R18=R19,S18=S19,T18=T19,U18=U19,V18=V19,W18=W19,HEX2DEC(SUBSTITUTE(AH18,"0x",""))&lt;HEX2DEC(SUBSTITUTE(AH19,"0x",""))),"",MAX($AF$6:AF18)+1))</f>
        <v/>
      </c>
      <c r="AG19" s="96">
        <f>IF(MAX(INDEX($AF:$AF,ROW($AG$6)):INDEX($AF:$AF,ROW(AG19)))+1=AF20,MAX(INDEX($AF:$AF,ROW($AG$6)):INDEX($AF:$AF,ROW(AG19))),"")</f>
        <v>6</v>
      </c>
      <c r="AH19" s="6" t="str">
        <f t="shared" si="3"/>
        <v>0x4000012B</v>
      </c>
      <c r="AI19" s="6">
        <f t="shared" si="4"/>
        <v>1073742123</v>
      </c>
      <c r="AJ19" s="6" t="str">
        <f t="shared" si="5"/>
        <v/>
      </c>
      <c r="AK19" s="6" t="str">
        <f t="shared" si="6"/>
        <v/>
      </c>
      <c r="AL19" s="6" t="str">
        <f t="shared" si="7"/>
        <v/>
      </c>
      <c r="AM19" s="6"/>
      <c r="AN19" s="6"/>
      <c r="AO19" s="13"/>
      <c r="AP19" s="6"/>
      <c r="AQ19" s="6"/>
      <c r="AR19" s="6"/>
      <c r="AS19" s="6"/>
      <c r="AT19" s="6"/>
      <c r="AU19" s="6"/>
      <c r="AV19" s="6"/>
    </row>
    <row r="20" spans="1:48" customFormat="1">
      <c r="A20" s="7" t="s">
        <v>1012</v>
      </c>
      <c r="B20" s="7" t="s">
        <v>1013</v>
      </c>
      <c r="C20" s="7" t="s">
        <v>29</v>
      </c>
      <c r="D20" s="7">
        <v>32</v>
      </c>
      <c r="E20" s="7">
        <v>100</v>
      </c>
      <c r="F20" s="7" t="s">
        <v>31</v>
      </c>
      <c r="G20" s="7"/>
      <c r="H20" s="7"/>
      <c r="I20" s="7" t="s">
        <v>32</v>
      </c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6">
        <v>0</v>
      </c>
      <c r="Z20" s="6">
        <v>32768</v>
      </c>
      <c r="AA20" s="6"/>
      <c r="AB20" s="6"/>
      <c r="AC20" s="6"/>
      <c r="AD20" s="13"/>
      <c r="AE20" s="6"/>
      <c r="AF20" s="89">
        <f>IF(AF19="#",0,IF(AND(D19=D20,K19=K20,L19=L20,M19=M20,N19=N20,O19=O20,P19=P20,Q19=Q20,R19=R20,S19=S20,T19=T20,U19=U20,V19=V20,W19=W20,HEX2DEC(SUBSTITUTE(AH19,"0x",""))&lt;HEX2DEC(SUBSTITUTE(AH20,"0x",""))),"",MAX($AF$6:AF19)+1))</f>
        <v>7</v>
      </c>
      <c r="AG20" s="96" t="str">
        <f>IF(MAX(INDEX($AF:$AF,ROW($AG$6)):INDEX($AF:$AF,ROW(AG20)))+1=AF21,MAX(INDEX($AF:$AF,ROW($AG$6)):INDEX($AF:$AF,ROW(AG20))),"")</f>
        <v/>
      </c>
      <c r="AH20" s="6" t="str">
        <f t="shared" si="3"/>
        <v>0x40000143</v>
      </c>
      <c r="AI20" s="6">
        <f t="shared" si="4"/>
        <v>1073742147</v>
      </c>
      <c r="AJ20" s="6" t="str">
        <f t="shared" si="5"/>
        <v>0x40000143</v>
      </c>
      <c r="AK20" s="6" t="str">
        <f t="shared" si="6"/>
        <v>0x40000144</v>
      </c>
      <c r="AL20" s="6">
        <f t="shared" si="7"/>
        <v>32</v>
      </c>
      <c r="AM20" s="6"/>
      <c r="AN20" s="6"/>
      <c r="AO20" s="13"/>
      <c r="AP20" s="6"/>
      <c r="AQ20" s="6"/>
      <c r="AR20" s="6"/>
      <c r="AS20" s="6"/>
      <c r="AT20" s="6"/>
      <c r="AU20" s="6"/>
      <c r="AV20" s="6"/>
    </row>
    <row r="21" spans="1:48" customFormat="1">
      <c r="A21" s="7" t="s">
        <v>1014</v>
      </c>
      <c r="B21" s="7" t="s">
        <v>1015</v>
      </c>
      <c r="C21" s="7" t="s">
        <v>29</v>
      </c>
      <c r="D21" s="7">
        <v>32</v>
      </c>
      <c r="E21" s="7">
        <v>100</v>
      </c>
      <c r="F21" s="7" t="s">
        <v>31</v>
      </c>
      <c r="G21" s="7"/>
      <c r="H21" s="7"/>
      <c r="I21" s="7" t="s">
        <v>32</v>
      </c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6">
        <v>0</v>
      </c>
      <c r="Z21" s="6">
        <v>32768</v>
      </c>
      <c r="AA21" s="6"/>
      <c r="AB21" s="6"/>
      <c r="AC21" s="6"/>
      <c r="AD21" s="13"/>
      <c r="AE21" s="6"/>
      <c r="AF21" s="89" t="str">
        <f>IF(AF20="#",0,IF(AND(D20=D21,K20=K21,L20=L21,M20=M21,N20=N21,O20=O21,P20=P21,Q20=Q21,R20=R21,S20=S21,T20=T21,U20=U21,V20=V21,W20=W21,HEX2DEC(SUBSTITUTE(AH20,"0x",""))&lt;HEX2DEC(SUBSTITUTE(AH21,"0x",""))),"",MAX($AF$6:AF20)+1))</f>
        <v/>
      </c>
      <c r="AG21" s="96">
        <f>IF(MAX(INDEX($AF:$AF,ROW($AG$6)):INDEX($AF:$AF,ROW(AG21)))+1=AF22,MAX(INDEX($AF:$AF,ROW($AG$6)):INDEX($AF:$AF,ROW(AG21))),"")</f>
        <v>7</v>
      </c>
      <c r="AH21" s="6" t="str">
        <f t="shared" si="3"/>
        <v>0x40000144</v>
      </c>
      <c r="AI21" s="6">
        <f t="shared" si="4"/>
        <v>1073742148</v>
      </c>
      <c r="AJ21" s="6" t="str">
        <f t="shared" si="5"/>
        <v/>
      </c>
      <c r="AK21" s="6" t="str">
        <f t="shared" si="6"/>
        <v/>
      </c>
      <c r="AL21" s="6" t="str">
        <f t="shared" si="7"/>
        <v/>
      </c>
      <c r="AM21" s="6"/>
      <c r="AN21" s="6"/>
      <c r="AO21" s="13"/>
      <c r="AP21" s="6"/>
      <c r="AQ21" s="6"/>
      <c r="AR21" s="6"/>
      <c r="AS21" s="6"/>
      <c r="AT21" s="6"/>
      <c r="AU21" s="6"/>
      <c r="AV21" s="6"/>
    </row>
    <row r="22" spans="1:48" customFormat="1">
      <c r="A22" s="7" t="s">
        <v>1016</v>
      </c>
      <c r="B22" s="7" t="s">
        <v>1017</v>
      </c>
      <c r="C22" s="7" t="s">
        <v>29</v>
      </c>
      <c r="D22" s="7">
        <v>8</v>
      </c>
      <c r="E22" s="7">
        <v>100</v>
      </c>
      <c r="F22" s="7" t="s">
        <v>31</v>
      </c>
      <c r="G22" s="7"/>
      <c r="H22" s="7"/>
      <c r="I22" s="7" t="s">
        <v>32</v>
      </c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6">
        <v>0</v>
      </c>
      <c r="Z22" s="6">
        <v>32768</v>
      </c>
      <c r="AA22" s="6"/>
      <c r="AB22" s="6"/>
      <c r="AC22" s="6"/>
      <c r="AD22" s="13"/>
      <c r="AE22" s="6"/>
      <c r="AF22" s="89">
        <f>IF(AF21="#",0,IF(AND(D21=D22,K21=K22,L21=L22,M21=M22,N21=N22,O21=O22,P21=P22,Q21=Q22,R21=R22,S21=S22,T21=T22,U21=U22,V21=V22,W21=W22,HEX2DEC(SUBSTITUTE(AH21,"0x",""))&lt;HEX2DEC(SUBSTITUTE(AH22,"0x",""))),"",MAX($AF$6:AF21)+1))</f>
        <v>8</v>
      </c>
      <c r="AG22" s="96">
        <f>IF(MAX(INDEX($AF:$AF,ROW($AG$6)):INDEX($AF:$AF,ROW(AG22)))+1=AF23,MAX(INDEX($AF:$AF,ROW($AG$6)):INDEX($AF:$AF,ROW(AG22))),"")</f>
        <v>8</v>
      </c>
      <c r="AH22" s="6" t="str">
        <f t="shared" si="3"/>
        <v>0x40000159</v>
      </c>
      <c r="AI22" s="6">
        <f t="shared" si="4"/>
        <v>1073742169</v>
      </c>
      <c r="AJ22" s="6" t="str">
        <f t="shared" si="5"/>
        <v>0x40000159</v>
      </c>
      <c r="AK22" s="6" t="str">
        <f t="shared" si="6"/>
        <v>0x40000159</v>
      </c>
      <c r="AL22" s="6">
        <f t="shared" si="7"/>
        <v>8</v>
      </c>
      <c r="AM22" s="6"/>
      <c r="AN22" s="6"/>
      <c r="AO22" s="13"/>
      <c r="AP22" s="6"/>
      <c r="AQ22" s="6"/>
      <c r="AR22" s="6"/>
      <c r="AS22" s="6"/>
      <c r="AT22" s="6"/>
      <c r="AU22" s="6"/>
      <c r="AV22" s="6"/>
    </row>
    <row r="23" spans="1:48" customFormat="1">
      <c r="A23" s="7" t="s">
        <v>1018</v>
      </c>
      <c r="B23" s="7" t="s">
        <v>1019</v>
      </c>
      <c r="C23" s="7" t="s">
        <v>29</v>
      </c>
      <c r="D23" s="7">
        <v>32</v>
      </c>
      <c r="E23" s="7">
        <v>100</v>
      </c>
      <c r="F23" s="7" t="s">
        <v>31</v>
      </c>
      <c r="G23" s="7"/>
      <c r="H23" s="7"/>
      <c r="I23" s="7" t="s">
        <v>32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6">
        <v>0</v>
      </c>
      <c r="Z23" s="6">
        <v>32768</v>
      </c>
      <c r="AA23" s="6"/>
      <c r="AB23" s="6"/>
      <c r="AC23" s="6"/>
      <c r="AD23" s="13"/>
      <c r="AE23" s="6"/>
      <c r="AF23" s="89">
        <f>IF(AF22="#",0,IF(AND(D22=D23,K22=K23,L22=L23,M22=M23,N22=N23,O22=O23,P22=P23,Q22=Q23,R22=R23,S22=S23,T22=T23,U22=U23,V22=V23,W22=W23,HEX2DEC(SUBSTITUTE(AH22,"0x",""))&lt;HEX2DEC(SUBSTITUTE(AH23,"0x",""))),"",MAX($AF$6:AF22)+1))</f>
        <v>9</v>
      </c>
      <c r="AG23" s="96">
        <f>IF(MAX(INDEX($AF:$AF,ROW($AG$6)):INDEX($AF:$AF,ROW(AG23)))+1=AF24,MAX(INDEX($AF:$AF,ROW($AG$6)):INDEX($AF:$AF,ROW(AG23))),"")</f>
        <v>9</v>
      </c>
      <c r="AH23" s="6" t="str">
        <f t="shared" si="3"/>
        <v>0x40000180</v>
      </c>
      <c r="AI23" s="6">
        <f t="shared" si="4"/>
        <v>1073742208</v>
      </c>
      <c r="AJ23" s="6" t="str">
        <f t="shared" si="5"/>
        <v>0x40000180</v>
      </c>
      <c r="AK23" s="6" t="str">
        <f t="shared" si="6"/>
        <v>0x40000180</v>
      </c>
      <c r="AL23" s="6">
        <f t="shared" si="7"/>
        <v>32</v>
      </c>
      <c r="AM23" s="6"/>
      <c r="AN23" s="6"/>
      <c r="AO23" s="13"/>
      <c r="AP23" s="6"/>
      <c r="AQ23" s="6"/>
      <c r="AR23" s="6"/>
      <c r="AS23" s="6"/>
      <c r="AT23" s="6"/>
      <c r="AU23" s="6"/>
      <c r="AV23" s="6"/>
    </row>
    <row r="24" spans="1:48" customFormat="1">
      <c r="A24" s="7" t="s">
        <v>1020</v>
      </c>
      <c r="B24" s="7" t="s">
        <v>1021</v>
      </c>
      <c r="C24" s="7" t="s">
        <v>29</v>
      </c>
      <c r="D24" s="7">
        <v>64</v>
      </c>
      <c r="E24" s="7" t="s">
        <v>30</v>
      </c>
      <c r="F24" s="7" t="s">
        <v>31</v>
      </c>
      <c r="G24" s="7"/>
      <c r="H24" s="7"/>
      <c r="I24" s="7" t="s">
        <v>32</v>
      </c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6">
        <v>0</v>
      </c>
      <c r="Z24" s="6">
        <v>32768</v>
      </c>
      <c r="AA24" s="6"/>
      <c r="AB24" s="6"/>
      <c r="AC24" s="6"/>
      <c r="AD24" s="13"/>
      <c r="AE24" s="6"/>
      <c r="AF24" s="89">
        <f>IF(AF23="#",0,IF(AND(D23=D24,K23=K24,L23=L24,M23=M24,N23=N24,O23=O24,P23=P24,Q23=Q24,R23=R24,S23=S24,T23=T24,U23=U24,V23=V24,W23=W24,HEX2DEC(SUBSTITUTE(AH23,"0x",""))&lt;HEX2DEC(SUBSTITUTE(AH24,"0x",""))),"",MAX($AF$6:AF23)+1))</f>
        <v>10</v>
      </c>
      <c r="AG24" s="96">
        <f>IF(MAX(INDEX($AF:$AF,ROW($AG$6)):INDEX($AF:$AF,ROW(AG24)))+1=AF25,MAX(INDEX($AF:$AF,ROW($AG$6)):INDEX($AF:$AF,ROW(AG24))),"")</f>
        <v>10</v>
      </c>
      <c r="AH24" s="6" t="str">
        <f t="shared" si="3"/>
        <v>0x400001C7</v>
      </c>
      <c r="AI24" s="6">
        <f t="shared" si="4"/>
        <v>1073742279</v>
      </c>
      <c r="AJ24" s="6" t="str">
        <f t="shared" si="5"/>
        <v>0x400001C7</v>
      </c>
      <c r="AK24" s="6" t="str">
        <f t="shared" si="6"/>
        <v>0x400001C7</v>
      </c>
      <c r="AL24" s="6">
        <f t="shared" si="7"/>
        <v>64</v>
      </c>
      <c r="AM24" s="6"/>
      <c r="AN24" s="6"/>
      <c r="AO24" s="13"/>
      <c r="AP24" s="6"/>
      <c r="AQ24" s="6"/>
      <c r="AR24" s="6"/>
      <c r="AS24" s="6"/>
      <c r="AT24" s="6"/>
      <c r="AU24" s="6"/>
      <c r="AV24" s="6"/>
    </row>
    <row r="25" spans="1:48" customFormat="1">
      <c r="A25" s="7" t="s">
        <v>1022</v>
      </c>
      <c r="B25" s="7" t="s">
        <v>1023</v>
      </c>
      <c r="C25" s="7" t="s">
        <v>29</v>
      </c>
      <c r="D25" s="7">
        <v>32</v>
      </c>
      <c r="E25" s="7">
        <v>300</v>
      </c>
      <c r="F25" s="7" t="s">
        <v>31</v>
      </c>
      <c r="G25" s="7"/>
      <c r="H25" s="7"/>
      <c r="I25" s="7" t="s">
        <v>32</v>
      </c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6">
        <v>0</v>
      </c>
      <c r="Z25" s="6">
        <v>32768</v>
      </c>
      <c r="AA25" s="6"/>
      <c r="AB25" s="6"/>
      <c r="AC25" s="6"/>
      <c r="AD25" s="13"/>
      <c r="AE25" s="6"/>
      <c r="AF25" s="89">
        <f>IF(AF24="#",0,IF(AND(D24=D25,K24=K25,L24=L25,M24=M25,N24=N25,O24=O25,P24=P25,Q24=Q25,R24=R25,S24=S25,T24=T25,U24=U25,V24=V25,W24=W25,HEX2DEC(SUBSTITUTE(AH24,"0x",""))&lt;HEX2DEC(SUBSTITUTE(AH25,"0x",""))),"",MAX($AF$6:AF24)+1))</f>
        <v>11</v>
      </c>
      <c r="AG25" s="96" t="str">
        <f>IF(MAX(INDEX($AF:$AF,ROW($AG$6)):INDEX($AF:$AF,ROW(AG25)))+1=AF26,MAX(INDEX($AF:$AF,ROW($AG$6)):INDEX($AF:$AF,ROW(AG25))),"")</f>
        <v/>
      </c>
      <c r="AH25" s="6" t="str">
        <f t="shared" si="3"/>
        <v>0x400001D6</v>
      </c>
      <c r="AI25" s="6">
        <f t="shared" si="4"/>
        <v>1073742294</v>
      </c>
      <c r="AJ25" s="6" t="str">
        <f t="shared" si="5"/>
        <v>0x400001D6</v>
      </c>
      <c r="AK25" s="6" t="str">
        <f t="shared" si="6"/>
        <v>0x400001DB</v>
      </c>
      <c r="AL25" s="6">
        <f t="shared" si="7"/>
        <v>32</v>
      </c>
      <c r="AM25" s="6"/>
      <c r="AN25" s="6"/>
      <c r="AO25" s="13"/>
      <c r="AP25" s="6"/>
      <c r="AQ25" s="6"/>
      <c r="AR25" s="6"/>
      <c r="AS25" s="6"/>
      <c r="AT25" s="6"/>
      <c r="AU25" s="6"/>
      <c r="AV25" s="6"/>
    </row>
    <row r="26" spans="1:48" customFormat="1">
      <c r="A26" s="7" t="s">
        <v>1024</v>
      </c>
      <c r="B26" s="7" t="s">
        <v>1025</v>
      </c>
      <c r="C26" s="7" t="s">
        <v>29</v>
      </c>
      <c r="D26" s="7">
        <v>32</v>
      </c>
      <c r="E26" s="7">
        <v>300</v>
      </c>
      <c r="F26" s="7" t="s">
        <v>29</v>
      </c>
      <c r="G26" s="7"/>
      <c r="H26" s="7"/>
      <c r="I26" s="7" t="s">
        <v>32</v>
      </c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6">
        <v>0</v>
      </c>
      <c r="Z26" s="6">
        <v>32768</v>
      </c>
      <c r="AA26" s="6"/>
      <c r="AB26" s="6"/>
      <c r="AC26" s="6"/>
      <c r="AD26" s="13"/>
      <c r="AE26" s="6"/>
      <c r="AF26" s="89" t="str">
        <f>IF(AF25="#",0,IF(AND(D25=D26,K25=K26,L25=L26,M25=M26,N25=N26,O25=O26,P25=P26,Q25=Q26,R25=R26,S25=S26,T25=T26,U25=U26,V25=V26,W25=W26,HEX2DEC(SUBSTITUTE(AH25,"0x",""))&lt;HEX2DEC(SUBSTITUTE(AH26,"0x",""))),"",MAX($AF$6:AF25)+1))</f>
        <v/>
      </c>
      <c r="AG26" s="96" t="str">
        <f>IF(MAX(INDEX($AF:$AF,ROW($AG$6)):INDEX($AF:$AF,ROW(AG26)))+1=AF27,MAX(INDEX($AF:$AF,ROW($AG$6)):INDEX($AF:$AF,ROW(AG26))),"")</f>
        <v/>
      </c>
      <c r="AH26" s="6" t="str">
        <f t="shared" si="3"/>
        <v>0x400001D8</v>
      </c>
      <c r="AI26" s="6">
        <f t="shared" si="4"/>
        <v>1073742296</v>
      </c>
      <c r="AJ26" s="6" t="str">
        <f t="shared" si="5"/>
        <v/>
      </c>
      <c r="AK26" s="6" t="str">
        <f t="shared" si="6"/>
        <v/>
      </c>
      <c r="AL26" s="6" t="str">
        <f t="shared" si="7"/>
        <v/>
      </c>
      <c r="AM26" s="6"/>
      <c r="AN26" s="6"/>
      <c r="AO26" s="13"/>
      <c r="AP26" s="6"/>
      <c r="AQ26" s="6"/>
      <c r="AR26" s="6"/>
      <c r="AS26" s="6"/>
      <c r="AT26" s="6"/>
      <c r="AU26" s="6"/>
      <c r="AV26" s="6"/>
    </row>
    <row r="27" spans="1:48" customFormat="1">
      <c r="A27" s="7" t="s">
        <v>1026</v>
      </c>
      <c r="B27" s="7" t="s">
        <v>1027</v>
      </c>
      <c r="C27" s="7" t="s">
        <v>29</v>
      </c>
      <c r="D27" s="7">
        <v>32</v>
      </c>
      <c r="E27" s="7">
        <v>300</v>
      </c>
      <c r="F27" s="7" t="s">
        <v>31</v>
      </c>
      <c r="G27" s="7"/>
      <c r="H27" s="7"/>
      <c r="I27" s="7" t="s">
        <v>32</v>
      </c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6">
        <v>0</v>
      </c>
      <c r="Z27" s="6">
        <v>32768</v>
      </c>
      <c r="AA27" s="6"/>
      <c r="AB27" s="6"/>
      <c r="AC27" s="6"/>
      <c r="AD27" s="13"/>
      <c r="AE27" s="6"/>
      <c r="AF27" s="89" t="str">
        <f>IF(AF26="#",0,IF(AND(D26=D27,K26=K27,L26=L27,M26=M27,N26=N27,O26=O27,P26=P27,Q26=Q27,R26=R27,S26=S27,T26=T27,U26=U27,V26=V27,W26=W27,HEX2DEC(SUBSTITUTE(AH26,"0x",""))&lt;HEX2DEC(SUBSTITUTE(AH27,"0x",""))),"",MAX($AF$6:AF26)+1))</f>
        <v/>
      </c>
      <c r="AG27" s="96">
        <f>IF(MAX(INDEX($AF:$AF,ROW($AG$6)):INDEX($AF:$AF,ROW(AG27)))+1=AF28,MAX(INDEX($AF:$AF,ROW($AG$6)):INDEX($AF:$AF,ROW(AG27))),"")</f>
        <v>11</v>
      </c>
      <c r="AH27" s="6" t="str">
        <f t="shared" si="3"/>
        <v>0x400001DB</v>
      </c>
      <c r="AI27" s="6">
        <f t="shared" si="4"/>
        <v>1073742299</v>
      </c>
      <c r="AJ27" s="6" t="str">
        <f t="shared" si="5"/>
        <v/>
      </c>
      <c r="AK27" s="6" t="str">
        <f t="shared" si="6"/>
        <v/>
      </c>
      <c r="AL27" s="6" t="str">
        <f t="shared" si="7"/>
        <v/>
      </c>
      <c r="AM27" s="6"/>
      <c r="AN27" s="6"/>
      <c r="AO27" s="13"/>
      <c r="AP27" s="6"/>
      <c r="AQ27" s="6"/>
      <c r="AR27" s="6"/>
      <c r="AS27" s="6"/>
      <c r="AT27" s="6"/>
      <c r="AU27" s="6"/>
      <c r="AV27" s="6"/>
    </row>
    <row r="28" spans="1:48" customFormat="1">
      <c r="A28" s="7" t="s">
        <v>1028</v>
      </c>
      <c r="B28" s="7" t="s">
        <v>1029</v>
      </c>
      <c r="C28" s="7" t="s">
        <v>29</v>
      </c>
      <c r="D28" s="7">
        <v>8</v>
      </c>
      <c r="E28" s="7">
        <v>500</v>
      </c>
      <c r="F28" s="7" t="s">
        <v>31</v>
      </c>
      <c r="G28" s="7"/>
      <c r="H28" s="7"/>
      <c r="I28" s="7" t="s">
        <v>32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6">
        <v>0</v>
      </c>
      <c r="Z28" s="6">
        <v>32768</v>
      </c>
      <c r="AA28" s="6"/>
      <c r="AB28" s="6"/>
      <c r="AC28" s="6"/>
      <c r="AD28" s="13"/>
      <c r="AE28" s="6"/>
      <c r="AF28" s="89">
        <f>IF(AF27="#",0,IF(AND(D27=D28,K27=K28,L27=L28,M27=M28,N27=N28,O27=O28,P27=P28,Q27=Q28,R27=R28,S27=S28,T27=T28,U27=U28,V27=V28,W27=W28,HEX2DEC(SUBSTITUTE(AH27,"0x",""))&lt;HEX2DEC(SUBSTITUTE(AH28,"0x",""))),"",MAX($AF$6:AF27)+1))</f>
        <v>12</v>
      </c>
      <c r="AG28" s="96">
        <f>IF(MAX(INDEX($AF:$AF,ROW($AG$6)):INDEX($AF:$AF,ROW(AG28)))+1=AF29,MAX(INDEX($AF:$AF,ROW($AG$6)):INDEX($AF:$AF,ROW(AG28))),"")</f>
        <v>12</v>
      </c>
      <c r="AH28" s="6" t="str">
        <f t="shared" si="3"/>
        <v>0x400001EF</v>
      </c>
      <c r="AI28" s="6">
        <f t="shared" si="4"/>
        <v>1073742319</v>
      </c>
      <c r="AJ28" s="6" t="str">
        <f t="shared" si="5"/>
        <v>0x400001EF</v>
      </c>
      <c r="AK28" s="6" t="str">
        <f t="shared" si="6"/>
        <v>0x400001EF</v>
      </c>
      <c r="AL28" s="6">
        <f t="shared" si="7"/>
        <v>8</v>
      </c>
      <c r="AM28" s="6"/>
      <c r="AN28" s="6"/>
      <c r="AO28" s="13"/>
      <c r="AP28" s="6"/>
      <c r="AQ28" s="6"/>
      <c r="AR28" s="6"/>
      <c r="AS28" s="6"/>
      <c r="AT28" s="6"/>
      <c r="AU28" s="6"/>
      <c r="AV28" s="6"/>
    </row>
    <row r="29" spans="1:48" customFormat="1">
      <c r="A29" s="7" t="s">
        <v>1030</v>
      </c>
      <c r="B29" s="7" t="s">
        <v>1031</v>
      </c>
      <c r="C29" s="7" t="s">
        <v>29</v>
      </c>
      <c r="D29" s="7">
        <v>32</v>
      </c>
      <c r="E29" s="7">
        <v>500</v>
      </c>
      <c r="F29" s="7" t="s">
        <v>31</v>
      </c>
      <c r="G29" s="7"/>
      <c r="H29" s="7"/>
      <c r="I29" s="7" t="s">
        <v>32</v>
      </c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6">
        <v>0</v>
      </c>
      <c r="Z29" s="6">
        <v>32768</v>
      </c>
      <c r="AA29" s="6"/>
      <c r="AB29" s="6"/>
      <c r="AC29" s="6"/>
      <c r="AD29" s="13"/>
      <c r="AE29" s="6"/>
      <c r="AF29" s="89">
        <f>IF(AF28="#",0,IF(AND(D28=D29,K28=K29,L28=L29,M28=M29,N28=N29,O28=O29,P28=P29,Q28=Q29,R28=R29,S28=S29,T28=T29,U28=U29,V28=V29,W28=W29,HEX2DEC(SUBSTITUTE(AH28,"0x",""))&lt;HEX2DEC(SUBSTITUTE(AH29,"0x",""))),"",MAX($AF$6:AF28)+1))</f>
        <v>13</v>
      </c>
      <c r="AG29" s="96" t="str">
        <f>IF(MAX(INDEX($AF:$AF,ROW($AG$6)):INDEX($AF:$AF,ROW(AG29)))+1=AF30,MAX(INDEX($AF:$AF,ROW($AG$6)):INDEX($AF:$AF,ROW(AG29))),"")</f>
        <v/>
      </c>
      <c r="AH29" s="6" t="str">
        <f t="shared" si="3"/>
        <v>0x400001F0</v>
      </c>
      <c r="AI29" s="6">
        <f t="shared" si="4"/>
        <v>1073742320</v>
      </c>
      <c r="AJ29" s="6" t="str">
        <f t="shared" si="5"/>
        <v>0x400001F0</v>
      </c>
      <c r="AK29" s="6" t="str">
        <f t="shared" si="6"/>
        <v>0x4000020A</v>
      </c>
      <c r="AL29" s="6">
        <f t="shared" si="7"/>
        <v>32</v>
      </c>
      <c r="AM29" s="6"/>
      <c r="AN29" s="6"/>
      <c r="AO29" s="13"/>
      <c r="AP29" s="6"/>
      <c r="AQ29" s="6"/>
      <c r="AR29" s="6"/>
      <c r="AS29" s="6"/>
      <c r="AT29" s="6"/>
      <c r="AU29" s="6"/>
      <c r="AV29" s="6"/>
    </row>
    <row r="30" spans="1:48" customFormat="1">
      <c r="A30" s="7" t="s">
        <v>1032</v>
      </c>
      <c r="B30" s="7" t="s">
        <v>1033</v>
      </c>
      <c r="C30" s="7" t="s">
        <v>29</v>
      </c>
      <c r="D30" s="7">
        <v>32</v>
      </c>
      <c r="E30" s="7">
        <v>500</v>
      </c>
      <c r="F30" s="7" t="s">
        <v>31</v>
      </c>
      <c r="G30" s="7"/>
      <c r="H30" s="7"/>
      <c r="I30" s="7" t="s">
        <v>32</v>
      </c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6">
        <v>0</v>
      </c>
      <c r="Z30" s="6">
        <v>32768</v>
      </c>
      <c r="AA30" s="6"/>
      <c r="AB30" s="6"/>
      <c r="AC30" s="6"/>
      <c r="AD30" s="13"/>
      <c r="AE30" s="6"/>
      <c r="AF30" s="89" t="str">
        <f>IF(AF29="#",0,IF(AND(D29=D30,K29=K30,L29=L30,M29=M30,N29=N30,O29=O30,P29=P30,Q29=Q30,R29=R30,S29=S30,T29=T30,U29=U30,V29=V30,W29=W30,HEX2DEC(SUBSTITUTE(AH29,"0x",""))&lt;HEX2DEC(SUBSTITUTE(AH30,"0x",""))),"",MAX($AF$6:AF29)+1))</f>
        <v/>
      </c>
      <c r="AG30" s="96" t="str">
        <f>IF(MAX(INDEX($AF:$AF,ROW($AG$6)):INDEX($AF:$AF,ROW(AG30)))+1=AF31,MAX(INDEX($AF:$AF,ROW($AG$6)):INDEX($AF:$AF,ROW(AG30))),"")</f>
        <v/>
      </c>
      <c r="AH30" s="6" t="str">
        <f t="shared" si="3"/>
        <v>0x400001F1</v>
      </c>
      <c r="AI30" s="6">
        <f t="shared" si="4"/>
        <v>1073742321</v>
      </c>
      <c r="AJ30" s="6" t="str">
        <f t="shared" si="5"/>
        <v/>
      </c>
      <c r="AK30" s="6" t="str">
        <f t="shared" si="6"/>
        <v/>
      </c>
      <c r="AL30" s="6" t="str">
        <f t="shared" si="7"/>
        <v/>
      </c>
      <c r="AM30" s="6"/>
      <c r="AN30" s="6"/>
      <c r="AO30" s="13"/>
      <c r="AP30" s="6"/>
      <c r="AQ30" s="6"/>
      <c r="AR30" s="6"/>
      <c r="AS30" s="6"/>
      <c r="AT30" s="6"/>
      <c r="AU30" s="6"/>
      <c r="AV30" s="6"/>
    </row>
    <row r="31" spans="1:48" customFormat="1">
      <c r="A31" s="7" t="s">
        <v>1034</v>
      </c>
      <c r="B31" s="7" t="s">
        <v>1035</v>
      </c>
      <c r="C31" s="7" t="s">
        <v>29</v>
      </c>
      <c r="D31" s="7">
        <v>32</v>
      </c>
      <c r="E31" s="7">
        <v>500</v>
      </c>
      <c r="F31" s="7" t="s">
        <v>31</v>
      </c>
      <c r="G31" s="7"/>
      <c r="H31" s="7"/>
      <c r="I31" s="7" t="s">
        <v>32</v>
      </c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6">
        <v>0</v>
      </c>
      <c r="Z31" s="6">
        <v>32768</v>
      </c>
      <c r="AA31" s="6"/>
      <c r="AB31" s="6"/>
      <c r="AC31" s="6"/>
      <c r="AD31" s="13"/>
      <c r="AE31" s="6"/>
      <c r="AF31" s="89" t="str">
        <f>IF(AF30="#",0,IF(AND(D30=D31,K30=K31,L30=L31,M30=M31,N30=N31,O30=O31,P30=P31,Q30=Q31,R30=R31,S30=S31,T30=T31,U30=U31,V30=V31,W30=W31,HEX2DEC(SUBSTITUTE(AH30,"0x",""))&lt;HEX2DEC(SUBSTITUTE(AH31,"0x",""))),"",MAX($AF$6:AF30)+1))</f>
        <v/>
      </c>
      <c r="AG31" s="96" t="str">
        <f>IF(MAX(INDEX($AF:$AF,ROW($AG$6)):INDEX($AF:$AF,ROW(AG31)))+1=AF32,MAX(INDEX($AF:$AF,ROW($AG$6)):INDEX($AF:$AF,ROW(AG31))),"")</f>
        <v/>
      </c>
      <c r="AH31" s="6" t="str">
        <f t="shared" si="3"/>
        <v>0x400001F5</v>
      </c>
      <c r="AI31" s="6">
        <f t="shared" si="4"/>
        <v>1073742325</v>
      </c>
      <c r="AJ31" s="6" t="str">
        <f t="shared" si="5"/>
        <v/>
      </c>
      <c r="AK31" s="6" t="str">
        <f t="shared" si="6"/>
        <v/>
      </c>
      <c r="AL31" s="6" t="str">
        <f t="shared" si="7"/>
        <v/>
      </c>
      <c r="AM31" s="6"/>
      <c r="AN31" s="6"/>
      <c r="AO31" s="13"/>
      <c r="AP31" s="6"/>
      <c r="AQ31" s="6"/>
      <c r="AR31" s="6"/>
      <c r="AS31" s="6"/>
      <c r="AT31" s="6"/>
      <c r="AU31" s="6"/>
      <c r="AV31" s="6"/>
    </row>
    <row r="32" spans="1:48" customFormat="1">
      <c r="A32" s="7" t="s">
        <v>1036</v>
      </c>
      <c r="B32" s="7" t="s">
        <v>1037</v>
      </c>
      <c r="C32" s="7" t="s">
        <v>29</v>
      </c>
      <c r="D32" s="7">
        <v>32</v>
      </c>
      <c r="E32" s="7">
        <v>1000</v>
      </c>
      <c r="F32" s="7" t="s">
        <v>31</v>
      </c>
      <c r="G32" s="7"/>
      <c r="H32" s="7"/>
      <c r="I32" s="7" t="s">
        <v>32</v>
      </c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6">
        <v>0</v>
      </c>
      <c r="Z32" s="6">
        <v>32768</v>
      </c>
      <c r="AA32" s="6"/>
      <c r="AB32" s="6"/>
      <c r="AC32" s="6"/>
      <c r="AD32" s="13"/>
      <c r="AE32" s="6"/>
      <c r="AF32" s="89" t="str">
        <f>IF(AF31="#",0,IF(AND(D31=D32,K31=K32,L31=L32,M31=M32,N31=N32,O31=O32,P31=P32,Q31=Q32,R31=R32,S31=S32,T31=T32,U31=U32,V31=V32,W31=W32,HEX2DEC(SUBSTITUTE(AH31,"0x",""))&lt;HEX2DEC(SUBSTITUTE(AH32,"0x",""))),"",MAX($AF$6:AF31)+1))</f>
        <v/>
      </c>
      <c r="AG32" s="96" t="str">
        <f>IF(MAX(INDEX($AF:$AF,ROW($AG$6)):INDEX($AF:$AF,ROW(AG32)))+1=AF33,MAX(INDEX($AF:$AF,ROW($AG$6)):INDEX($AF:$AF,ROW(AG32))),"")</f>
        <v/>
      </c>
      <c r="AH32" s="6" t="str">
        <f t="shared" si="3"/>
        <v>0x40000203</v>
      </c>
      <c r="AI32" s="6">
        <f t="shared" si="4"/>
        <v>1073742339</v>
      </c>
      <c r="AJ32" s="6" t="str">
        <f t="shared" si="5"/>
        <v/>
      </c>
      <c r="AK32" s="6" t="str">
        <f t="shared" si="6"/>
        <v/>
      </c>
      <c r="AL32" s="6" t="str">
        <f t="shared" si="7"/>
        <v/>
      </c>
      <c r="AM32" s="6"/>
      <c r="AN32" s="6"/>
      <c r="AO32" s="13"/>
      <c r="AP32" s="6"/>
      <c r="AQ32" s="6"/>
      <c r="AR32" s="6"/>
      <c r="AS32" s="6"/>
      <c r="AT32" s="6"/>
      <c r="AU32" s="6"/>
      <c r="AV32" s="6"/>
    </row>
    <row r="33" spans="1:48" customFormat="1">
      <c r="A33" s="7" t="s">
        <v>1038</v>
      </c>
      <c r="B33" s="7" t="s">
        <v>1039</v>
      </c>
      <c r="C33" s="7" t="s">
        <v>29</v>
      </c>
      <c r="D33" s="7">
        <v>32</v>
      </c>
      <c r="E33" s="7">
        <v>1000</v>
      </c>
      <c r="F33" s="7" t="s">
        <v>31</v>
      </c>
      <c r="G33" s="7"/>
      <c r="H33" s="7"/>
      <c r="I33" s="7" t="s">
        <v>32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6">
        <v>0</v>
      </c>
      <c r="Z33" s="6">
        <v>32768</v>
      </c>
      <c r="AA33" s="6"/>
      <c r="AB33" s="6"/>
      <c r="AC33" s="6"/>
      <c r="AD33" s="13"/>
      <c r="AE33" s="6"/>
      <c r="AF33" s="89" t="str">
        <f>IF(AF32="#",0,IF(AND(D32=D33,K32=K33,L32=L33,M32=M33,N32=N33,O32=O33,P32=P33,Q32=Q33,R32=R33,S32=S33,T32=T33,U32=U33,V32=V33,W32=W33,HEX2DEC(SUBSTITUTE(AH32,"0x",""))&lt;HEX2DEC(SUBSTITUTE(AH33,"0x",""))),"",MAX($AF$6:AF32)+1))</f>
        <v/>
      </c>
      <c r="AG33" s="96" t="str">
        <f>IF(MAX(INDEX($AF:$AF,ROW($AG$6)):INDEX($AF:$AF,ROW(AG33)))+1=AF34,MAX(INDEX($AF:$AF,ROW($AG$6)):INDEX($AF:$AF,ROW(AG33))),"")</f>
        <v/>
      </c>
      <c r="AH33" s="6" t="str">
        <f t="shared" si="3"/>
        <v>0x40000208</v>
      </c>
      <c r="AI33" s="6">
        <f t="shared" si="4"/>
        <v>1073742344</v>
      </c>
      <c r="AJ33" s="6" t="str">
        <f t="shared" si="5"/>
        <v/>
      </c>
      <c r="AK33" s="6" t="str">
        <f t="shared" si="6"/>
        <v/>
      </c>
      <c r="AL33" s="6" t="str">
        <f t="shared" si="7"/>
        <v/>
      </c>
      <c r="AM33" s="6"/>
      <c r="AN33" s="6"/>
      <c r="AO33" s="13"/>
      <c r="AP33" s="6"/>
      <c r="AQ33" s="6"/>
      <c r="AR33" s="6"/>
      <c r="AS33" s="6"/>
      <c r="AT33" s="6"/>
      <c r="AU33" s="6"/>
      <c r="AV33" s="6"/>
    </row>
    <row r="34" spans="1:48" customFormat="1">
      <c r="A34" s="7" t="s">
        <v>1040</v>
      </c>
      <c r="B34" s="7" t="s">
        <v>1041</v>
      </c>
      <c r="C34" s="7" t="s">
        <v>29</v>
      </c>
      <c r="D34" s="7">
        <v>32</v>
      </c>
      <c r="E34" s="7">
        <v>1000</v>
      </c>
      <c r="F34" s="7" t="s">
        <v>31</v>
      </c>
      <c r="G34" s="7"/>
      <c r="H34" s="7"/>
      <c r="I34" s="7" t="s">
        <v>32</v>
      </c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6">
        <v>0</v>
      </c>
      <c r="Z34" s="6">
        <v>32768</v>
      </c>
      <c r="AA34" s="6"/>
      <c r="AB34" s="6"/>
      <c r="AC34" s="6"/>
      <c r="AD34" s="13"/>
      <c r="AE34" s="6"/>
      <c r="AF34" s="89" t="str">
        <f>IF(AF33="#",0,IF(AND(D33=D34,K33=K34,L33=L34,M33=M34,N33=N34,O33=O34,P33=P34,Q33=Q34,R33=R34,S33=S34,T33=T34,U33=U34,V33=V34,W33=W34,HEX2DEC(SUBSTITUTE(AH33,"0x",""))&lt;HEX2DEC(SUBSTITUTE(AH34,"0x",""))),"",MAX($AF$6:AF33)+1))</f>
        <v/>
      </c>
      <c r="AG34" s="96" t="str">
        <f>IF(MAX(INDEX($AF:$AF,ROW($AG$6)):INDEX($AF:$AF,ROW(AG34)))+1=AF35,MAX(INDEX($AF:$AF,ROW($AG$6)):INDEX($AF:$AF,ROW(AG34))),"")</f>
        <v/>
      </c>
      <c r="AH34" s="6" t="str">
        <f t="shared" si="3"/>
        <v>0x40000209</v>
      </c>
      <c r="AI34" s="6">
        <f t="shared" si="4"/>
        <v>1073742345</v>
      </c>
      <c r="AJ34" s="6" t="str">
        <f t="shared" si="5"/>
        <v/>
      </c>
      <c r="AK34" s="6" t="str">
        <f t="shared" si="6"/>
        <v/>
      </c>
      <c r="AL34" s="6" t="str">
        <f t="shared" si="7"/>
        <v/>
      </c>
      <c r="AM34" s="6"/>
      <c r="AN34" s="6"/>
      <c r="AO34" s="13"/>
      <c r="AP34" s="6"/>
      <c r="AQ34" s="6"/>
      <c r="AR34" s="6"/>
      <c r="AS34" s="6"/>
      <c r="AT34" s="6"/>
      <c r="AU34" s="6"/>
      <c r="AV34" s="6"/>
    </row>
    <row r="35" spans="1:48" customFormat="1">
      <c r="A35" s="7" t="s">
        <v>1042</v>
      </c>
      <c r="B35" s="7" t="s">
        <v>1043</v>
      </c>
      <c r="C35" s="7" t="s">
        <v>29</v>
      </c>
      <c r="D35" s="7">
        <v>32</v>
      </c>
      <c r="E35" s="7">
        <v>1000</v>
      </c>
      <c r="F35" s="7" t="s">
        <v>31</v>
      </c>
      <c r="G35" s="7"/>
      <c r="H35" s="7"/>
      <c r="I35" s="7" t="s">
        <v>32</v>
      </c>
      <c r="K35" s="6">
        <v>0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89"/>
      <c r="Y35" s="6">
        <v>0</v>
      </c>
      <c r="Z35" s="6">
        <v>32768</v>
      </c>
      <c r="AA35" s="6"/>
      <c r="AB35" s="6"/>
      <c r="AC35" s="6"/>
      <c r="AD35" s="13"/>
      <c r="AE35" s="6"/>
      <c r="AF35" s="89" t="str">
        <f>IF(AF34="#",0,IF(AND(D34=D35,K34=K35,L34=L35,M34=M35,N34=N35,O34=O35,P34=P35,Q34=Q35,R34=R35,S34=S35,T34=T35,U34=U35,V34=V35,W34=W35,HEX2DEC(SUBSTITUTE(AH34,"0x",""))&lt;HEX2DEC(SUBSTITUTE(AH35,"0x",""))),"",MAX($AF$6:AF34)+1))</f>
        <v/>
      </c>
      <c r="AG35" s="96">
        <f>IF(MAX(INDEX($AF:$AF,ROW($AG$6)):INDEX($AF:$AF,ROW(AG35)))+1=AF36,MAX(INDEX($AF:$AF,ROW($AG$6)):INDEX($AF:$AF,ROW(AG35))),"")</f>
        <v>13</v>
      </c>
      <c r="AH35" s="6" t="str">
        <f t="shared" si="3"/>
        <v>0x4000020A</v>
      </c>
      <c r="AI35" s="6">
        <f t="shared" si="4"/>
        <v>1073742346</v>
      </c>
      <c r="AJ35" s="6" t="str">
        <f t="shared" si="5"/>
        <v/>
      </c>
      <c r="AK35" s="6" t="str">
        <f t="shared" si="6"/>
        <v/>
      </c>
      <c r="AL35" s="6" t="str">
        <f t="shared" si="7"/>
        <v/>
      </c>
      <c r="AM35" s="6"/>
      <c r="AN35" s="6"/>
      <c r="AO35" s="13"/>
      <c r="AP35" s="6"/>
      <c r="AQ35" s="6"/>
      <c r="AR35" s="6"/>
      <c r="AS35" s="6"/>
      <c r="AT35" s="6"/>
      <c r="AU35" s="6"/>
      <c r="AV35" s="6"/>
    </row>
    <row r="36" spans="1:48" customFormat="1">
      <c r="A36" s="7" t="s">
        <v>1044</v>
      </c>
      <c r="B36" s="7" t="s">
        <v>1045</v>
      </c>
      <c r="C36" s="7" t="s">
        <v>29</v>
      </c>
      <c r="D36" s="7">
        <v>8</v>
      </c>
      <c r="E36" s="7">
        <v>1000</v>
      </c>
      <c r="F36" s="7" t="s">
        <v>31</v>
      </c>
      <c r="G36" s="7"/>
      <c r="H36" s="7"/>
      <c r="I36" s="7" t="s">
        <v>32</v>
      </c>
      <c r="K36" s="6">
        <v>0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89"/>
      <c r="Y36" s="6">
        <v>0</v>
      </c>
      <c r="Z36" s="6">
        <v>32768</v>
      </c>
      <c r="AA36" s="6"/>
      <c r="AB36" s="6"/>
      <c r="AC36" s="6"/>
      <c r="AD36" s="13"/>
      <c r="AE36" s="6"/>
      <c r="AF36" s="89">
        <f>IF(AF35="#",0,IF(AND(D35=D36,K35=K36,L35=L36,M35=M36,N35=N36,O35=O36,P35=P36,Q35=Q36,R35=R36,S35=S36,T35=T36,U35=U36,V35=V36,W35=W36,HEX2DEC(SUBSTITUTE(AH35,"0x",""))&lt;HEX2DEC(SUBSTITUTE(AH36,"0x",""))),"",MAX($AF$6:AF35)+1))</f>
        <v>14</v>
      </c>
      <c r="AG36" s="96">
        <f>IF(MAX(INDEX($AF:$AF,ROW($AG$6)):INDEX($AF:$AF,ROW(AG36)))+1=AF37,MAX(INDEX($AF:$AF,ROW($AG$6)):INDEX($AF:$AF,ROW(AG36))),"")</f>
        <v>14</v>
      </c>
      <c r="AH36" s="6" t="str">
        <f t="shared" si="3"/>
        <v>0x4000020F</v>
      </c>
      <c r="AI36" s="6">
        <f t="shared" si="4"/>
        <v>1073742351</v>
      </c>
      <c r="AJ36" s="6" t="str">
        <f t="shared" si="5"/>
        <v>0x4000020F</v>
      </c>
      <c r="AK36" s="6" t="str">
        <f t="shared" si="6"/>
        <v>0x4000020F</v>
      </c>
      <c r="AL36" s="6">
        <f t="shared" si="7"/>
        <v>8</v>
      </c>
      <c r="AM36" s="6"/>
      <c r="AN36" s="6"/>
      <c r="AO36" s="13"/>
      <c r="AP36" s="6"/>
      <c r="AQ36" s="6"/>
      <c r="AR36" s="6"/>
      <c r="AS36" s="6"/>
      <c r="AT36" s="6"/>
      <c r="AU36" s="6"/>
      <c r="AV36" s="6"/>
    </row>
    <row r="37" spans="1:48" customFormat="1">
      <c r="A37" s="7" t="s">
        <v>1046</v>
      </c>
      <c r="B37" s="7" t="s">
        <v>1047</v>
      </c>
      <c r="C37" s="7" t="s">
        <v>29</v>
      </c>
      <c r="D37" s="7">
        <v>32</v>
      </c>
      <c r="E37" s="7">
        <v>1000</v>
      </c>
      <c r="F37" s="7" t="s">
        <v>31</v>
      </c>
      <c r="G37" s="7"/>
      <c r="H37" s="7"/>
      <c r="I37" s="7" t="s">
        <v>32</v>
      </c>
      <c r="K37" s="6">
        <v>0</v>
      </c>
      <c r="L37" s="6">
        <v>0</v>
      </c>
      <c r="M37" s="6">
        <v>0</v>
      </c>
      <c r="N37" s="6">
        <v>1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89"/>
      <c r="Y37" s="6">
        <v>0</v>
      </c>
      <c r="Z37" s="6">
        <v>32768</v>
      </c>
      <c r="AA37" s="6"/>
      <c r="AB37" s="6"/>
      <c r="AC37" s="6"/>
      <c r="AD37" s="13"/>
      <c r="AE37" s="6"/>
      <c r="AF37" s="89">
        <f>IF(AF36="#",0,IF(AND(D36=D37,K36=K37,L36=L37,M36=M37,N36=N37,O36=O37,P36=P37,Q36=Q37,R36=R37,S36=S37,T36=T37,U36=U37,V36=V37,W36=W37,HEX2DEC(SUBSTITUTE(AH36,"0x",""))&lt;HEX2DEC(SUBSTITUTE(AH37,"0x",""))),"",MAX($AF$6:AF36)+1))</f>
        <v>15</v>
      </c>
      <c r="AG37" s="96" t="str">
        <f>IF(MAX(INDEX($AF:$AF,ROW($AG$6)):INDEX($AF:$AF,ROW(AG37)))+1=AF38,MAX(INDEX($AF:$AF,ROW($AG$6)):INDEX($AF:$AF,ROW(AG37))),"")</f>
        <v/>
      </c>
      <c r="AH37" s="6" t="str">
        <f t="shared" si="3"/>
        <v>0x40000219</v>
      </c>
      <c r="AI37" s="6">
        <f t="shared" si="4"/>
        <v>1073742361</v>
      </c>
      <c r="AJ37" s="6" t="str">
        <f t="shared" si="5"/>
        <v>0x40000219</v>
      </c>
      <c r="AK37" s="6" t="str">
        <f t="shared" si="6"/>
        <v>0x4000022E</v>
      </c>
      <c r="AL37" s="6">
        <f t="shared" si="7"/>
        <v>32</v>
      </c>
      <c r="AM37" s="6"/>
      <c r="AN37" s="6"/>
      <c r="AO37" s="13"/>
      <c r="AP37" s="6"/>
      <c r="AQ37" s="6"/>
      <c r="AR37" s="6"/>
      <c r="AS37" s="6"/>
      <c r="AT37" s="6"/>
      <c r="AU37" s="6"/>
      <c r="AV37" s="6"/>
    </row>
    <row r="38" spans="1:48" customFormat="1">
      <c r="A38" s="7" t="s">
        <v>1048</v>
      </c>
      <c r="B38" s="7" t="s">
        <v>1049</v>
      </c>
      <c r="C38" s="7" t="s">
        <v>29</v>
      </c>
      <c r="D38" s="7">
        <v>32</v>
      </c>
      <c r="E38" s="7">
        <v>1000</v>
      </c>
      <c r="F38" s="7" t="s">
        <v>31</v>
      </c>
      <c r="G38" s="7"/>
      <c r="H38" s="7"/>
      <c r="I38" s="7" t="s">
        <v>32</v>
      </c>
      <c r="K38" s="6">
        <v>0</v>
      </c>
      <c r="L38" s="6">
        <v>0</v>
      </c>
      <c r="M38" s="6">
        <v>0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89"/>
      <c r="Y38" s="6">
        <v>0</v>
      </c>
      <c r="Z38" s="6">
        <v>32768</v>
      </c>
      <c r="AA38" s="6"/>
      <c r="AB38" s="6"/>
      <c r="AC38" s="6"/>
      <c r="AD38" s="13"/>
      <c r="AE38" s="6"/>
      <c r="AF38" s="89" t="str">
        <f>IF(AF37="#",0,IF(AND(D37=D38,K37=K38,L37=L38,M37=M38,N37=N38,O37=O38,P37=P38,Q37=Q38,R37=R38,S37=S38,T37=T38,U37=U38,V37=V38,W37=W38,HEX2DEC(SUBSTITUTE(AH37,"0x",""))&lt;HEX2DEC(SUBSTITUTE(AH38,"0x",""))),"",MAX($AF$6:AF37)+1))</f>
        <v/>
      </c>
      <c r="AG38" s="96">
        <f>IF(MAX(INDEX($AF:$AF,ROW($AG$6)):INDEX($AF:$AF,ROW(AG38)))+1=AF39,MAX(INDEX($AF:$AF,ROW($AG$6)):INDEX($AF:$AF,ROW(AG38))),"")</f>
        <v>15</v>
      </c>
      <c r="AH38" s="6" t="str">
        <f t="shared" ref="AH38:AH69" si="8">"0x40000"&amp;B38</f>
        <v>0x4000022E</v>
      </c>
      <c r="AI38" s="6">
        <f t="shared" ref="AI38:AI69" si="9">HEX2DEC(RIGHT(AH38,8))</f>
        <v>1073742382</v>
      </c>
      <c r="AJ38" s="6" t="str">
        <f t="shared" ref="AJ38:AJ69" si="10">IF(AF38&lt;&gt;"",AH38,"")</f>
        <v/>
      </c>
      <c r="AK38" s="6" t="str">
        <f t="shared" ref="AK38:AK69" si="11">IF(AF38&lt;&gt;"",VLOOKUP(AF38,$AG$6:$AH$92,2,TRUE),"")</f>
        <v/>
      </c>
      <c r="AL38" s="6" t="str">
        <f t="shared" ref="AL38:AL69" si="12">IF($AF38&lt;&gt;"",MIN($D38:$D38),"")</f>
        <v/>
      </c>
      <c r="AM38" s="6"/>
      <c r="AN38" s="6"/>
      <c r="AO38" s="13"/>
      <c r="AP38" s="6"/>
      <c r="AQ38" s="6"/>
      <c r="AR38" s="6"/>
      <c r="AS38" s="6"/>
      <c r="AT38" s="6"/>
      <c r="AU38" s="6"/>
      <c r="AV38" s="6"/>
    </row>
    <row r="39" spans="1:48" customFormat="1">
      <c r="A39" s="7" t="s">
        <v>1050</v>
      </c>
      <c r="B39" s="7" t="s">
        <v>1051</v>
      </c>
      <c r="C39" s="7" t="s">
        <v>29</v>
      </c>
      <c r="D39" s="7">
        <v>8</v>
      </c>
      <c r="E39" s="7">
        <v>1000</v>
      </c>
      <c r="F39" s="7" t="s">
        <v>31</v>
      </c>
      <c r="G39" s="7"/>
      <c r="H39" s="7"/>
      <c r="I39" s="7" t="s">
        <v>32</v>
      </c>
      <c r="K39" s="6">
        <v>0</v>
      </c>
      <c r="L39" s="6">
        <v>0</v>
      </c>
      <c r="M39" s="6">
        <v>0</v>
      </c>
      <c r="N39" s="6">
        <v>1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89"/>
      <c r="Y39" s="6">
        <v>0</v>
      </c>
      <c r="Z39" s="6">
        <v>32768</v>
      </c>
      <c r="AA39" s="6"/>
      <c r="AB39" s="6"/>
      <c r="AC39" s="6"/>
      <c r="AD39" s="13"/>
      <c r="AE39" s="6"/>
      <c r="AF39" s="89">
        <f>IF(AF38="#",0,IF(AND(D38=D39,K38=K39,L38=L39,M38=M39,N38=N39,O38=O39,P38=P39,Q38=Q39,R38=R39,S38=S39,T38=T39,U38=U39,V38=V39,W38=W39,HEX2DEC(SUBSTITUTE(AH38,"0x",""))&lt;HEX2DEC(SUBSTITUTE(AH39,"0x",""))),"",MAX($AF$6:AF38)+1))</f>
        <v>16</v>
      </c>
      <c r="AG39" s="96" t="str">
        <f>IF(MAX(INDEX($AF:$AF,ROW($AG$6)):INDEX($AF:$AF,ROW(AG39)))+1=AF40,MAX(INDEX($AF:$AF,ROW($AG$6)):INDEX($AF:$AF,ROW(AG39))),"")</f>
        <v/>
      </c>
      <c r="AH39" s="6" t="str">
        <f t="shared" si="8"/>
        <v>0x40000230</v>
      </c>
      <c r="AI39" s="6">
        <f t="shared" si="9"/>
        <v>1073742384</v>
      </c>
      <c r="AJ39" s="6" t="str">
        <f t="shared" si="10"/>
        <v>0x40000230</v>
      </c>
      <c r="AK39" s="6" t="str">
        <f t="shared" si="11"/>
        <v>0x40000261</v>
      </c>
      <c r="AL39" s="6">
        <f t="shared" si="12"/>
        <v>8</v>
      </c>
      <c r="AM39" s="6"/>
      <c r="AN39" s="6"/>
      <c r="AO39" s="13"/>
      <c r="AP39" s="6"/>
      <c r="AQ39" s="6"/>
      <c r="AR39" s="6"/>
      <c r="AS39" s="6"/>
      <c r="AT39" s="6"/>
      <c r="AU39" s="6"/>
      <c r="AV39" s="6"/>
    </row>
    <row r="40" spans="1:48" customFormat="1">
      <c r="A40" s="7" t="s">
        <v>1052</v>
      </c>
      <c r="B40" s="7" t="s">
        <v>1053</v>
      </c>
      <c r="C40" s="7" t="s">
        <v>29</v>
      </c>
      <c r="D40" s="7">
        <v>8</v>
      </c>
      <c r="E40" s="7">
        <v>1000</v>
      </c>
      <c r="F40" s="7" t="s">
        <v>31</v>
      </c>
      <c r="G40" s="7"/>
      <c r="H40" s="7"/>
      <c r="I40" s="7" t="s">
        <v>32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89"/>
      <c r="Y40" s="6">
        <v>0</v>
      </c>
      <c r="Z40" s="6">
        <v>32768</v>
      </c>
      <c r="AA40" s="6"/>
      <c r="AB40" s="6"/>
      <c r="AC40" s="6"/>
      <c r="AD40" s="13"/>
      <c r="AE40" s="6"/>
      <c r="AF40" s="89" t="str">
        <f>IF(AF39="#",0,IF(AND(D39=D40,K39=K40,L39=L40,M39=M40,N39=N40,O39=O40,P39=P40,Q39=Q40,R39=R40,S39=S40,T39=T40,U39=U40,V39=V40,W39=W40,HEX2DEC(SUBSTITUTE(AH39,"0x",""))&lt;HEX2DEC(SUBSTITUTE(AH40,"0x",""))),"",MAX($AF$6:AF39)+1))</f>
        <v/>
      </c>
      <c r="AG40" s="96" t="str">
        <f>IF(MAX(INDEX($AF:$AF,ROW($AG$6)):INDEX($AF:$AF,ROW(AG40)))+1=AF41,MAX(INDEX($AF:$AF,ROW($AG$6)):INDEX($AF:$AF,ROW(AG40))),"")</f>
        <v/>
      </c>
      <c r="AH40" s="6" t="str">
        <f t="shared" si="8"/>
        <v>0x40000247</v>
      </c>
      <c r="AI40" s="6">
        <f t="shared" si="9"/>
        <v>1073742407</v>
      </c>
      <c r="AJ40" s="6" t="str">
        <f t="shared" si="10"/>
        <v/>
      </c>
      <c r="AK40" s="6" t="str">
        <f t="shared" si="11"/>
        <v/>
      </c>
      <c r="AL40" s="6" t="str">
        <f t="shared" si="12"/>
        <v/>
      </c>
      <c r="AM40" s="6"/>
      <c r="AN40" s="6"/>
      <c r="AO40" s="13"/>
      <c r="AP40" s="6"/>
      <c r="AQ40" s="6"/>
      <c r="AR40" s="6"/>
      <c r="AS40" s="6"/>
      <c r="AT40" s="6"/>
      <c r="AU40" s="6"/>
      <c r="AV40" s="6"/>
    </row>
    <row r="41" spans="1:48" customFormat="1">
      <c r="A41" s="7" t="s">
        <v>1054</v>
      </c>
      <c r="B41" s="7" t="s">
        <v>1055</v>
      </c>
      <c r="C41" s="7" t="s">
        <v>29</v>
      </c>
      <c r="D41" s="7">
        <v>8</v>
      </c>
      <c r="E41" s="7">
        <v>1000</v>
      </c>
      <c r="F41" s="7" t="s">
        <v>31</v>
      </c>
      <c r="G41" s="7"/>
      <c r="H41" s="7"/>
      <c r="I41" s="7" t="s">
        <v>32</v>
      </c>
      <c r="K41" s="6">
        <v>0</v>
      </c>
      <c r="L41" s="6">
        <v>0</v>
      </c>
      <c r="M41" s="6">
        <v>0</v>
      </c>
      <c r="N41" s="6">
        <v>1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89"/>
      <c r="Y41" s="6">
        <v>0</v>
      </c>
      <c r="Z41" s="6">
        <v>32768</v>
      </c>
      <c r="AA41" s="6"/>
      <c r="AB41" s="6"/>
      <c r="AC41" s="6"/>
      <c r="AD41" s="13"/>
      <c r="AE41" s="6"/>
      <c r="AF41" s="89" t="str">
        <f>IF(AF40="#",0,IF(AND(D40=D41,K40=K41,L40=L41,M40=M41,N40=N41,O40=O41,P40=P41,Q40=Q41,R40=R41,S40=S41,T40=T41,U40=U41,V40=V41,W40=W41,HEX2DEC(SUBSTITUTE(AH40,"0x",""))&lt;HEX2DEC(SUBSTITUTE(AH41,"0x",""))),"",MAX($AF$6:AF40)+1))</f>
        <v/>
      </c>
      <c r="AG41" s="96" t="str">
        <f>IF(MAX(INDEX($AF:$AF,ROW($AG$6)):INDEX($AF:$AF,ROW(AG41)))+1=AF42,MAX(INDEX($AF:$AF,ROW($AG$6)):INDEX($AF:$AF,ROW(AG41))),"")</f>
        <v/>
      </c>
      <c r="AH41" s="6" t="str">
        <f t="shared" si="8"/>
        <v>0x40000252</v>
      </c>
      <c r="AI41" s="6">
        <f t="shared" si="9"/>
        <v>1073742418</v>
      </c>
      <c r="AJ41" s="6" t="str">
        <f t="shared" si="10"/>
        <v/>
      </c>
      <c r="AK41" s="6" t="str">
        <f t="shared" si="11"/>
        <v/>
      </c>
      <c r="AL41" s="6" t="str">
        <f t="shared" si="12"/>
        <v/>
      </c>
      <c r="AM41" s="6"/>
      <c r="AN41" s="6"/>
      <c r="AO41" s="13"/>
      <c r="AP41" s="6"/>
      <c r="AQ41" s="6"/>
      <c r="AR41" s="6"/>
      <c r="AS41" s="6"/>
      <c r="AT41" s="6"/>
      <c r="AU41" s="6"/>
      <c r="AV41" s="6"/>
    </row>
    <row r="42" spans="1:48" customFormat="1">
      <c r="A42" s="7" t="s">
        <v>1056</v>
      </c>
      <c r="B42" s="7" t="s">
        <v>1057</v>
      </c>
      <c r="C42" s="7" t="s">
        <v>29</v>
      </c>
      <c r="D42" s="7">
        <v>8</v>
      </c>
      <c r="E42" s="7">
        <v>1000</v>
      </c>
      <c r="F42" s="7" t="s">
        <v>31</v>
      </c>
      <c r="G42" s="7"/>
      <c r="H42" s="7"/>
      <c r="I42" s="7" t="s">
        <v>32</v>
      </c>
      <c r="K42" s="6">
        <v>0</v>
      </c>
      <c r="L42" s="6">
        <v>0</v>
      </c>
      <c r="M42" s="6">
        <v>0</v>
      </c>
      <c r="N42" s="6">
        <v>1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89"/>
      <c r="Y42" s="6">
        <v>0</v>
      </c>
      <c r="Z42" s="6">
        <v>32768</v>
      </c>
      <c r="AA42" s="6"/>
      <c r="AB42" s="6"/>
      <c r="AC42" s="6"/>
      <c r="AD42" s="13"/>
      <c r="AE42" s="6"/>
      <c r="AF42" s="89" t="str">
        <f>IF(AF41="#",0,IF(AND(D41=D42,K41=K42,L41=L42,M41=M42,N41=N42,O41=O42,P41=P42,Q41=Q42,R41=R42,S41=S42,T41=T42,U41=U42,V41=V42,W41=W42,HEX2DEC(SUBSTITUTE(AH41,"0x",""))&lt;HEX2DEC(SUBSTITUTE(AH42,"0x",""))),"",MAX($AF$6:AF41)+1))</f>
        <v/>
      </c>
      <c r="AG42" s="96" t="str">
        <f>IF(MAX(INDEX($AF:$AF,ROW($AG$6)):INDEX($AF:$AF,ROW(AG42)))+1=AF43,MAX(INDEX($AF:$AF,ROW($AG$6)):INDEX($AF:$AF,ROW(AG42))),"")</f>
        <v/>
      </c>
      <c r="AH42" s="6" t="str">
        <f t="shared" si="8"/>
        <v>0x40000259</v>
      </c>
      <c r="AI42" s="6">
        <f t="shared" si="9"/>
        <v>1073742425</v>
      </c>
      <c r="AJ42" s="6" t="str">
        <f t="shared" si="10"/>
        <v/>
      </c>
      <c r="AK42" s="6" t="str">
        <f t="shared" si="11"/>
        <v/>
      </c>
      <c r="AL42" s="6" t="str">
        <f t="shared" si="12"/>
        <v/>
      </c>
      <c r="AM42" s="6"/>
      <c r="AN42" s="6"/>
      <c r="AO42" s="13"/>
      <c r="AP42" s="6"/>
      <c r="AQ42" s="6"/>
      <c r="AR42" s="6"/>
      <c r="AS42" s="6"/>
      <c r="AT42" s="6"/>
      <c r="AU42" s="6"/>
      <c r="AV42" s="6"/>
    </row>
    <row r="43" spans="1:48" customFormat="1">
      <c r="A43" s="7" t="s">
        <v>1058</v>
      </c>
      <c r="B43" s="7" t="s">
        <v>1059</v>
      </c>
      <c r="C43" s="7" t="s">
        <v>29</v>
      </c>
      <c r="D43" s="7">
        <v>8</v>
      </c>
      <c r="E43" s="7">
        <v>1000</v>
      </c>
      <c r="F43" s="7" t="s">
        <v>31</v>
      </c>
      <c r="G43" s="7"/>
      <c r="H43" s="7"/>
      <c r="I43" s="7" t="s">
        <v>32</v>
      </c>
      <c r="K43" s="6">
        <v>0</v>
      </c>
      <c r="L43" s="6">
        <v>0</v>
      </c>
      <c r="M43" s="6">
        <v>0</v>
      </c>
      <c r="N43" s="6">
        <v>1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89"/>
      <c r="Y43" s="6">
        <v>0</v>
      </c>
      <c r="Z43" s="6">
        <v>32768</v>
      </c>
      <c r="AA43" s="6"/>
      <c r="AB43" s="6"/>
      <c r="AC43" s="6"/>
      <c r="AD43" s="13"/>
      <c r="AE43" s="6"/>
      <c r="AF43" s="89" t="str">
        <f>IF(AF42="#",0,IF(AND(D42=D43,K42=K43,L42=L43,M42=M43,N42=N43,O42=O43,P42=P43,Q42=Q43,R42=R43,S42=S43,T42=T43,U42=U43,V42=V43,W42=W43,HEX2DEC(SUBSTITUTE(AH42,"0x",""))&lt;HEX2DEC(SUBSTITUTE(AH43,"0x",""))),"",MAX($AF$6:AF42)+1))</f>
        <v/>
      </c>
      <c r="AG43" s="96">
        <f>IF(MAX(INDEX($AF:$AF,ROW($AG$6)):INDEX($AF:$AF,ROW(AG43)))+1=AF44,MAX(INDEX($AF:$AF,ROW($AG$6)):INDEX($AF:$AF,ROW(AG43))),"")</f>
        <v>16</v>
      </c>
      <c r="AH43" s="6" t="str">
        <f t="shared" si="8"/>
        <v>0x40000261</v>
      </c>
      <c r="AI43" s="6">
        <f t="shared" si="9"/>
        <v>1073742433</v>
      </c>
      <c r="AJ43" s="6" t="str">
        <f t="shared" si="10"/>
        <v/>
      </c>
      <c r="AK43" s="6" t="str">
        <f t="shared" si="11"/>
        <v/>
      </c>
      <c r="AL43" s="6" t="str">
        <f t="shared" si="12"/>
        <v/>
      </c>
      <c r="AM43" s="6"/>
      <c r="AN43" s="6"/>
      <c r="AO43" s="13"/>
      <c r="AP43" s="6"/>
      <c r="AQ43" s="6"/>
      <c r="AR43" s="6"/>
      <c r="AS43" s="6"/>
      <c r="AT43" s="6"/>
      <c r="AU43" s="6"/>
      <c r="AV43" s="6"/>
    </row>
    <row r="44" spans="1:48" customFormat="1">
      <c r="A44" s="7" t="s">
        <v>1060</v>
      </c>
      <c r="B44" s="7" t="s">
        <v>1061</v>
      </c>
      <c r="C44" s="7" t="s">
        <v>29</v>
      </c>
      <c r="D44" s="7">
        <v>32</v>
      </c>
      <c r="E44" s="7">
        <v>1000</v>
      </c>
      <c r="F44" s="7" t="s">
        <v>29</v>
      </c>
      <c r="G44" s="7"/>
      <c r="H44" s="7"/>
      <c r="I44" s="7" t="s">
        <v>32</v>
      </c>
      <c r="K44" s="6">
        <v>0</v>
      </c>
      <c r="L44" s="6">
        <v>0</v>
      </c>
      <c r="M44" s="6">
        <v>0</v>
      </c>
      <c r="N44" s="6">
        <v>1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89"/>
      <c r="Y44" s="6">
        <v>0</v>
      </c>
      <c r="Z44" s="6">
        <v>32768</v>
      </c>
      <c r="AA44" s="6"/>
      <c r="AB44" s="6"/>
      <c r="AC44" s="6"/>
      <c r="AD44" s="13"/>
      <c r="AE44" s="6"/>
      <c r="AF44" s="89">
        <f>IF(AF43="#",0,IF(AND(D43=D44,K43=K44,L43=L44,M43=M44,N43=N44,O43=O44,P43=P44,Q43=Q44,R43=R44,S43=S44,T43=T44,U43=U44,V43=V44,W43=W44,HEX2DEC(SUBSTITUTE(AH43,"0x",""))&lt;HEX2DEC(SUBSTITUTE(AH44,"0x",""))),"",MAX($AF$6:AF43)+1))</f>
        <v>17</v>
      </c>
      <c r="AG44" s="96" t="str">
        <f>IF(MAX(INDEX($AF:$AF,ROW($AG$6)):INDEX($AF:$AF,ROW(AG44)))+1=AF45,MAX(INDEX($AF:$AF,ROW($AG$6)):INDEX($AF:$AF,ROW(AG44))),"")</f>
        <v/>
      </c>
      <c r="AH44" s="6" t="str">
        <f t="shared" si="8"/>
        <v>0x40000262</v>
      </c>
      <c r="AI44" s="6">
        <f t="shared" si="9"/>
        <v>1073742434</v>
      </c>
      <c r="AJ44" s="6" t="str">
        <f t="shared" si="10"/>
        <v>0x40000262</v>
      </c>
      <c r="AK44" s="6" t="str">
        <f t="shared" si="11"/>
        <v>0x40000275</v>
      </c>
      <c r="AL44" s="6">
        <f t="shared" si="12"/>
        <v>32</v>
      </c>
      <c r="AM44" s="6"/>
      <c r="AN44" s="6"/>
      <c r="AO44" s="13"/>
      <c r="AP44" s="6"/>
      <c r="AQ44" s="6"/>
      <c r="AR44" s="6"/>
      <c r="AS44" s="6"/>
      <c r="AT44" s="6"/>
      <c r="AU44" s="6"/>
      <c r="AV44" s="6"/>
    </row>
    <row r="45" spans="1:48" customFormat="1">
      <c r="A45" s="7" t="s">
        <v>1062</v>
      </c>
      <c r="B45" s="7" t="s">
        <v>1063</v>
      </c>
      <c r="C45" s="7" t="s">
        <v>29</v>
      </c>
      <c r="D45" s="7">
        <v>32</v>
      </c>
      <c r="E45" s="7">
        <v>1000</v>
      </c>
      <c r="F45" s="7" t="s">
        <v>31</v>
      </c>
      <c r="G45" s="7"/>
      <c r="H45" s="7"/>
      <c r="I45" s="7" t="s">
        <v>32</v>
      </c>
      <c r="K45" s="6">
        <v>0</v>
      </c>
      <c r="L45" s="6">
        <v>0</v>
      </c>
      <c r="M45" s="6">
        <v>0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89"/>
      <c r="Y45" s="6">
        <v>0</v>
      </c>
      <c r="Z45" s="6">
        <v>32768</v>
      </c>
      <c r="AA45" s="6"/>
      <c r="AB45" s="6"/>
      <c r="AC45" s="6"/>
      <c r="AD45" s="13"/>
      <c r="AE45" s="6"/>
      <c r="AF45" s="89" t="str">
        <f>IF(AF44="#",0,IF(AND(D44=D45,K44=K45,L44=L45,M44=M45,N44=N45,O44=O45,P44=P45,Q44=Q45,R44=R45,S44=S45,T44=T45,U44=U45,V44=V45,W44=W45,HEX2DEC(SUBSTITUTE(AH44,"0x",""))&lt;HEX2DEC(SUBSTITUTE(AH45,"0x",""))),"",MAX($AF$6:AF44)+1))</f>
        <v/>
      </c>
      <c r="AG45" s="96" t="str">
        <f>IF(MAX(INDEX($AF:$AF,ROW($AG$6)):INDEX($AF:$AF,ROW(AG45)))+1=AF46,MAX(INDEX($AF:$AF,ROW($AG$6)):INDEX($AF:$AF,ROW(AG45))),"")</f>
        <v/>
      </c>
      <c r="AH45" s="6" t="str">
        <f t="shared" si="8"/>
        <v>0x40000274</v>
      </c>
      <c r="AI45" s="6">
        <f t="shared" si="9"/>
        <v>1073742452</v>
      </c>
      <c r="AJ45" s="6" t="str">
        <f t="shared" si="10"/>
        <v/>
      </c>
      <c r="AK45" s="6" t="str">
        <f t="shared" si="11"/>
        <v/>
      </c>
      <c r="AL45" s="6" t="str">
        <f t="shared" si="12"/>
        <v/>
      </c>
      <c r="AM45" s="6"/>
      <c r="AN45" s="6"/>
      <c r="AO45" s="13"/>
      <c r="AP45" s="6"/>
      <c r="AQ45" s="6"/>
      <c r="AR45" s="6"/>
      <c r="AS45" s="6"/>
      <c r="AT45" s="6"/>
      <c r="AU45" s="6"/>
      <c r="AV45" s="6"/>
    </row>
    <row r="46" spans="1:48" customFormat="1">
      <c r="A46" s="7" t="s">
        <v>1064</v>
      </c>
      <c r="B46" s="7" t="s">
        <v>1065</v>
      </c>
      <c r="C46" s="7" t="s">
        <v>29</v>
      </c>
      <c r="D46" s="7">
        <v>32</v>
      </c>
      <c r="E46" s="7">
        <v>1000</v>
      </c>
      <c r="F46" s="7" t="s">
        <v>31</v>
      </c>
      <c r="G46" s="7"/>
      <c r="H46" s="7"/>
      <c r="I46" s="7" t="s">
        <v>32</v>
      </c>
      <c r="K46" s="6">
        <v>0</v>
      </c>
      <c r="L46" s="6">
        <v>0</v>
      </c>
      <c r="M46" s="6">
        <v>0</v>
      </c>
      <c r="N46" s="6">
        <v>1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89"/>
      <c r="Y46" s="6">
        <v>0</v>
      </c>
      <c r="Z46" s="6">
        <v>32768</v>
      </c>
      <c r="AA46" s="6"/>
      <c r="AB46" s="6"/>
      <c r="AC46" s="6"/>
      <c r="AD46" s="13"/>
      <c r="AE46" s="6"/>
      <c r="AF46" s="89" t="str">
        <f>IF(AF45="#",0,IF(AND(D45=D46,K45=K46,L45=L46,M45=M46,N45=N46,O45=O46,P45=P46,Q45=Q46,R45=R46,S45=S46,T45=T46,U45=U46,V45=V46,W45=W46,HEX2DEC(SUBSTITUTE(AH45,"0x",""))&lt;HEX2DEC(SUBSTITUTE(AH46,"0x",""))),"",MAX($AF$6:AF45)+1))</f>
        <v/>
      </c>
      <c r="AG46" s="96">
        <f>IF(MAX(INDEX($AF:$AF,ROW($AG$6)):INDEX($AF:$AF,ROW(AG46)))+1=AF47,MAX(INDEX($AF:$AF,ROW($AG$6)):INDEX($AF:$AF,ROW(AG46))),"")</f>
        <v>17</v>
      </c>
      <c r="AH46" s="6" t="str">
        <f t="shared" si="8"/>
        <v>0x40000275</v>
      </c>
      <c r="AI46" s="6">
        <f t="shared" si="9"/>
        <v>1073742453</v>
      </c>
      <c r="AJ46" s="6" t="str">
        <f t="shared" si="10"/>
        <v/>
      </c>
      <c r="AK46" s="6" t="str">
        <f t="shared" si="11"/>
        <v/>
      </c>
      <c r="AL46" s="6" t="str">
        <f t="shared" si="12"/>
        <v/>
      </c>
      <c r="AM46" s="6"/>
      <c r="AN46" s="6"/>
      <c r="AO46" s="13"/>
      <c r="AP46" s="6"/>
      <c r="AQ46" s="6"/>
      <c r="AR46" s="6"/>
      <c r="AS46" s="6"/>
      <c r="AT46" s="6"/>
      <c r="AU46" s="6"/>
      <c r="AV46" s="6"/>
    </row>
    <row r="47" spans="1:48" customFormat="1">
      <c r="A47" s="7" t="s">
        <v>1066</v>
      </c>
      <c r="B47" s="7" t="s">
        <v>1067</v>
      </c>
      <c r="C47" s="7" t="s">
        <v>29</v>
      </c>
      <c r="D47" s="7">
        <v>8</v>
      </c>
      <c r="E47" s="7">
        <v>1000</v>
      </c>
      <c r="F47" s="7" t="s">
        <v>31</v>
      </c>
      <c r="G47" s="7"/>
      <c r="H47" s="7"/>
      <c r="I47" s="7" t="s">
        <v>32</v>
      </c>
      <c r="K47" s="6">
        <v>0</v>
      </c>
      <c r="L47" s="6">
        <v>0</v>
      </c>
      <c r="M47" s="6">
        <v>0</v>
      </c>
      <c r="N47" s="6">
        <v>1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89"/>
      <c r="Y47" s="6">
        <v>0</v>
      </c>
      <c r="Z47" s="6">
        <v>32768</v>
      </c>
      <c r="AA47" s="6"/>
      <c r="AB47" s="6"/>
      <c r="AC47" s="6"/>
      <c r="AD47" s="13"/>
      <c r="AE47" s="6"/>
      <c r="AF47" s="89">
        <f>IF(AF46="#",0,IF(AND(D46=D47,K46=K47,L46=L47,M46=M47,N46=N47,O46=O47,P46=P47,Q46=Q47,R46=R47,S46=S47,T46=T47,U46=U47,V46=V47,W46=W47,HEX2DEC(SUBSTITUTE(AH46,"0x",""))&lt;HEX2DEC(SUBSTITUTE(AH47,"0x",""))),"",MAX($AF$6:AF46)+1))</f>
        <v>18</v>
      </c>
      <c r="AG47" s="96" t="str">
        <f>IF(MAX(INDEX($AF:$AF,ROW($AG$6)):INDEX($AF:$AF,ROW(AG47)))+1=AF48,MAX(INDEX($AF:$AF,ROW($AG$6)):INDEX($AF:$AF,ROW(AG47))),"")</f>
        <v/>
      </c>
      <c r="AH47" s="6" t="str">
        <f t="shared" si="8"/>
        <v>0x40000276</v>
      </c>
      <c r="AI47" s="6">
        <f t="shared" si="9"/>
        <v>1073742454</v>
      </c>
      <c r="AJ47" s="6" t="str">
        <f t="shared" si="10"/>
        <v>0x40000276</v>
      </c>
      <c r="AK47" s="6" t="str">
        <f t="shared" si="11"/>
        <v>0x4000027D</v>
      </c>
      <c r="AL47" s="6">
        <f t="shared" si="12"/>
        <v>8</v>
      </c>
      <c r="AM47" s="6"/>
      <c r="AN47" s="6"/>
      <c r="AO47" s="13"/>
      <c r="AP47" s="6"/>
      <c r="AQ47" s="6"/>
      <c r="AR47" s="6"/>
      <c r="AS47" s="6"/>
      <c r="AT47" s="6"/>
      <c r="AU47" s="6"/>
      <c r="AV47" s="6"/>
    </row>
    <row r="48" spans="1:48" customFormat="1">
      <c r="A48" s="7" t="s">
        <v>1068</v>
      </c>
      <c r="B48" s="7" t="s">
        <v>1069</v>
      </c>
      <c r="C48" s="7" t="s">
        <v>29</v>
      </c>
      <c r="D48" s="7">
        <v>8</v>
      </c>
      <c r="E48" s="7">
        <v>1000</v>
      </c>
      <c r="F48" s="7" t="s">
        <v>31</v>
      </c>
      <c r="G48" s="7"/>
      <c r="H48" s="7"/>
      <c r="I48" s="7" t="s">
        <v>32</v>
      </c>
      <c r="K48" s="6">
        <v>0</v>
      </c>
      <c r="L48" s="6">
        <v>0</v>
      </c>
      <c r="M48" s="6">
        <v>0</v>
      </c>
      <c r="N48" s="6">
        <v>1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89"/>
      <c r="Y48" s="6">
        <v>0</v>
      </c>
      <c r="Z48" s="6">
        <v>32768</v>
      </c>
      <c r="AA48" s="6"/>
      <c r="AB48" s="6"/>
      <c r="AC48" s="6"/>
      <c r="AD48" s="13"/>
      <c r="AE48" s="6"/>
      <c r="AF48" s="89" t="str">
        <f>IF(AF47="#",0,IF(AND(D47=D48,K47=K48,L47=L48,M47=M48,N47=N48,O47=O48,P47=P48,Q47=Q48,R47=R48,S47=S48,T47=T48,U47=U48,V47=V48,W47=W48,HEX2DEC(SUBSTITUTE(AH47,"0x",""))&lt;HEX2DEC(SUBSTITUTE(AH48,"0x",""))),"",MAX($AF$6:AF47)+1))</f>
        <v/>
      </c>
      <c r="AG48" s="96" t="str">
        <f>IF(MAX(INDEX($AF:$AF,ROW($AG$6)):INDEX($AF:$AF,ROW(AG48)))+1=AF49,MAX(INDEX($AF:$AF,ROW($AG$6)):INDEX($AF:$AF,ROW(AG48))),"")</f>
        <v/>
      </c>
      <c r="AH48" s="6" t="str">
        <f t="shared" si="8"/>
        <v>0x40000279</v>
      </c>
      <c r="AI48" s="6">
        <f t="shared" si="9"/>
        <v>1073742457</v>
      </c>
      <c r="AJ48" s="6" t="str">
        <f t="shared" si="10"/>
        <v/>
      </c>
      <c r="AK48" s="6" t="str">
        <f t="shared" si="11"/>
        <v/>
      </c>
      <c r="AL48" s="6" t="str">
        <f t="shared" si="12"/>
        <v/>
      </c>
      <c r="AM48" s="6"/>
      <c r="AN48" s="6"/>
      <c r="AO48" s="13"/>
      <c r="AP48" s="6"/>
      <c r="AQ48" s="6"/>
      <c r="AR48" s="6"/>
      <c r="AS48" s="6"/>
      <c r="AT48" s="6"/>
      <c r="AU48" s="6"/>
      <c r="AV48" s="6"/>
    </row>
    <row r="49" spans="1:48" customFormat="1">
      <c r="A49" s="7" t="s">
        <v>1070</v>
      </c>
      <c r="B49" s="7" t="s">
        <v>1071</v>
      </c>
      <c r="C49" s="7" t="s">
        <v>29</v>
      </c>
      <c r="D49" s="7">
        <v>8</v>
      </c>
      <c r="E49" s="7">
        <v>1000</v>
      </c>
      <c r="F49" s="7" t="s">
        <v>31</v>
      </c>
      <c r="G49" s="7"/>
      <c r="H49" s="7"/>
      <c r="I49" s="7" t="s">
        <v>32</v>
      </c>
      <c r="K49" s="6">
        <v>0</v>
      </c>
      <c r="L49" s="6">
        <v>0</v>
      </c>
      <c r="M49" s="6">
        <v>0</v>
      </c>
      <c r="N49" s="6">
        <v>1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89"/>
      <c r="Y49" s="6">
        <v>0</v>
      </c>
      <c r="Z49" s="6">
        <v>32768</v>
      </c>
      <c r="AA49" s="6"/>
      <c r="AB49" s="6"/>
      <c r="AC49" s="6"/>
      <c r="AD49" s="13"/>
      <c r="AE49" s="6"/>
      <c r="AF49" s="89" t="str">
        <f>IF(AF48="#",0,IF(AND(D48=D49,K48=K49,L48=L49,M48=M49,N48=N49,O48=O49,P48=P49,Q48=Q49,R48=R49,S48=S49,T48=T49,U48=U49,V48=V49,W48=W49,HEX2DEC(SUBSTITUTE(AH48,"0x",""))&lt;HEX2DEC(SUBSTITUTE(AH49,"0x",""))),"",MAX($AF$6:AF48)+1))</f>
        <v/>
      </c>
      <c r="AG49" s="96" t="str">
        <f>IF(MAX(INDEX($AF:$AF,ROW($AG$6)):INDEX($AF:$AF,ROW(AG49)))+1=AF50,MAX(INDEX($AF:$AF,ROW($AG$6)):INDEX($AF:$AF,ROW(AG49))),"")</f>
        <v/>
      </c>
      <c r="AH49" s="6" t="str">
        <f t="shared" si="8"/>
        <v>0x4000027C</v>
      </c>
      <c r="AI49" s="6">
        <f t="shared" si="9"/>
        <v>1073742460</v>
      </c>
      <c r="AJ49" s="6" t="str">
        <f t="shared" si="10"/>
        <v/>
      </c>
      <c r="AK49" s="6" t="str">
        <f t="shared" si="11"/>
        <v/>
      </c>
      <c r="AL49" s="6" t="str">
        <f t="shared" si="12"/>
        <v/>
      </c>
      <c r="AM49" s="6"/>
      <c r="AN49" s="6"/>
      <c r="AO49" s="13"/>
      <c r="AP49" s="6"/>
      <c r="AQ49" s="6"/>
      <c r="AR49" s="6"/>
      <c r="AS49" s="6"/>
      <c r="AT49" s="6"/>
      <c r="AU49" s="6"/>
      <c r="AV49" s="6"/>
    </row>
    <row r="50" spans="1:48" customFormat="1">
      <c r="A50" s="7" t="s">
        <v>1072</v>
      </c>
      <c r="B50" s="7" t="s">
        <v>1073</v>
      </c>
      <c r="C50" s="7" t="s">
        <v>29</v>
      </c>
      <c r="D50" s="7">
        <v>8</v>
      </c>
      <c r="E50" s="7">
        <v>1000</v>
      </c>
      <c r="F50" s="7" t="s">
        <v>31</v>
      </c>
      <c r="G50" s="7"/>
      <c r="H50" s="7"/>
      <c r="I50" s="7" t="s">
        <v>32</v>
      </c>
      <c r="K50" s="6">
        <v>0</v>
      </c>
      <c r="L50" s="6">
        <v>0</v>
      </c>
      <c r="M50" s="6">
        <v>0</v>
      </c>
      <c r="N50" s="6">
        <v>1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89"/>
      <c r="Y50" s="6">
        <v>0</v>
      </c>
      <c r="Z50" s="6">
        <v>32768</v>
      </c>
      <c r="AA50" s="6"/>
      <c r="AB50" s="6"/>
      <c r="AC50" s="6"/>
      <c r="AD50" s="13"/>
      <c r="AE50" s="6"/>
      <c r="AF50" s="89" t="str">
        <f>IF(AF49="#",0,IF(AND(D49=D50,K49=K50,L49=L50,M49=M50,N49=N50,O49=O50,P49=P50,Q49=Q50,R49=R50,S49=S50,T49=T50,U49=U50,V49=V50,W49=W50,HEX2DEC(SUBSTITUTE(AH49,"0x",""))&lt;HEX2DEC(SUBSTITUTE(AH50,"0x",""))),"",MAX($AF$6:AF49)+1))</f>
        <v/>
      </c>
      <c r="AG50" s="96">
        <f>IF(MAX(INDEX($AF:$AF,ROW($AG$6)):INDEX($AF:$AF,ROW(AG50)))+1=AF51,MAX(INDEX($AF:$AF,ROW($AG$6)):INDEX($AF:$AF,ROW(AG50))),"")</f>
        <v>18</v>
      </c>
      <c r="AH50" s="6" t="str">
        <f t="shared" si="8"/>
        <v>0x4000027D</v>
      </c>
      <c r="AI50" s="6">
        <f t="shared" si="9"/>
        <v>1073742461</v>
      </c>
      <c r="AJ50" s="6" t="str">
        <f t="shared" si="10"/>
        <v/>
      </c>
      <c r="AK50" s="6" t="str">
        <f t="shared" si="11"/>
        <v/>
      </c>
      <c r="AL50" s="6" t="str">
        <f t="shared" si="12"/>
        <v/>
      </c>
      <c r="AM50" s="6"/>
      <c r="AN50" s="6"/>
      <c r="AO50" s="13"/>
      <c r="AP50" s="6"/>
      <c r="AQ50" s="6"/>
      <c r="AR50" s="6"/>
      <c r="AS50" s="6"/>
      <c r="AT50" s="6"/>
      <c r="AU50" s="6"/>
      <c r="AV50" s="6"/>
    </row>
    <row r="51" spans="1:48" customFormat="1">
      <c r="A51" s="7" t="s">
        <v>1074</v>
      </c>
      <c r="B51" s="7" t="s">
        <v>1075</v>
      </c>
      <c r="C51" s="7" t="s">
        <v>29</v>
      </c>
      <c r="D51" s="7">
        <v>32</v>
      </c>
      <c r="E51" s="7">
        <v>1000</v>
      </c>
      <c r="F51" s="7" t="s">
        <v>31</v>
      </c>
      <c r="G51" s="7"/>
      <c r="H51" s="7"/>
      <c r="I51" s="7" t="s">
        <v>32</v>
      </c>
      <c r="K51" s="6">
        <v>0</v>
      </c>
      <c r="L51" s="6">
        <v>0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89"/>
      <c r="Y51" s="6">
        <v>0</v>
      </c>
      <c r="Z51" s="6">
        <v>32768</v>
      </c>
      <c r="AA51" s="6"/>
      <c r="AB51" s="6"/>
      <c r="AC51" s="6"/>
      <c r="AD51" s="13"/>
      <c r="AE51" s="6"/>
      <c r="AF51" s="89">
        <f>IF(AF50="#",0,IF(AND(D50=D51,K50=K51,L50=L51,M50=M51,N50=N51,O50=O51,P50=P51,Q50=Q51,R50=R51,S50=S51,T50=T51,U50=U51,V50=V51,W50=W51,HEX2DEC(SUBSTITUTE(AH50,"0x",""))&lt;HEX2DEC(SUBSTITUTE(AH51,"0x",""))),"",MAX($AF$6:AF50)+1))</f>
        <v>19</v>
      </c>
      <c r="AG51" s="96">
        <f>IF(MAX(INDEX($AF:$AF,ROW($AG$6)):INDEX($AF:$AF,ROW(AG51)))+1=AF52,MAX(INDEX($AF:$AF,ROW($AG$6)):INDEX($AF:$AF,ROW(AG51))),"")</f>
        <v>19</v>
      </c>
      <c r="AH51" s="6" t="str">
        <f t="shared" si="8"/>
        <v>0x4000028A</v>
      </c>
      <c r="AI51" s="6">
        <f t="shared" si="9"/>
        <v>1073742474</v>
      </c>
      <c r="AJ51" s="6" t="str">
        <f t="shared" si="10"/>
        <v>0x4000028A</v>
      </c>
      <c r="AK51" s="6" t="str">
        <f t="shared" si="11"/>
        <v>0x4000028A</v>
      </c>
      <c r="AL51" s="6">
        <f t="shared" si="12"/>
        <v>32</v>
      </c>
      <c r="AM51" s="6"/>
      <c r="AN51" s="6"/>
      <c r="AO51" s="13"/>
      <c r="AP51" s="6"/>
      <c r="AQ51" s="6"/>
      <c r="AR51" s="6"/>
      <c r="AS51" s="6"/>
      <c r="AT51" s="6"/>
      <c r="AU51" s="6"/>
      <c r="AV51" s="6"/>
    </row>
    <row r="52" spans="1:48" customFormat="1">
      <c r="A52" s="7" t="s">
        <v>1076</v>
      </c>
      <c r="B52" s="7" t="s">
        <v>1077</v>
      </c>
      <c r="C52" s="7" t="s">
        <v>29</v>
      </c>
      <c r="D52" s="7">
        <v>8</v>
      </c>
      <c r="E52" s="7">
        <v>1000</v>
      </c>
      <c r="F52" s="7" t="s">
        <v>31</v>
      </c>
      <c r="G52" s="7"/>
      <c r="H52" s="7"/>
      <c r="I52" s="7" t="s">
        <v>32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89"/>
      <c r="Y52" s="6">
        <v>0</v>
      </c>
      <c r="Z52" s="6">
        <v>32768</v>
      </c>
      <c r="AA52" s="6"/>
      <c r="AB52" s="6"/>
      <c r="AC52" s="6"/>
      <c r="AD52" s="13"/>
      <c r="AE52" s="6"/>
      <c r="AF52" s="89">
        <f>IF(AF51="#",0,IF(AND(D51=D52,K51=K52,L51=L52,M51=M52,N51=N52,O51=O52,P51=P52,Q51=Q52,R51=R52,S51=S52,T51=T52,U51=U52,V51=V52,W51=W52,HEX2DEC(SUBSTITUTE(AH51,"0x",""))&lt;HEX2DEC(SUBSTITUTE(AH52,"0x",""))),"",MAX($AF$6:AF51)+1))</f>
        <v>20</v>
      </c>
      <c r="AG52" s="96" t="str">
        <f>IF(MAX(INDEX($AF:$AF,ROW($AG$6)):INDEX($AF:$AF,ROW(AG52)))+1=AF53,MAX(INDEX($AF:$AF,ROW($AG$6)):INDEX($AF:$AF,ROW(AG52))),"")</f>
        <v/>
      </c>
      <c r="AH52" s="6" t="str">
        <f t="shared" si="8"/>
        <v>0x400002A0</v>
      </c>
      <c r="AI52" s="6">
        <f t="shared" si="9"/>
        <v>1073742496</v>
      </c>
      <c r="AJ52" s="6" t="str">
        <f t="shared" si="10"/>
        <v>0x400002A0</v>
      </c>
      <c r="AK52" s="6" t="str">
        <f t="shared" si="11"/>
        <v>0x400002A8</v>
      </c>
      <c r="AL52" s="6">
        <f t="shared" si="12"/>
        <v>8</v>
      </c>
      <c r="AM52" s="6"/>
      <c r="AN52" s="6"/>
      <c r="AO52" s="13"/>
      <c r="AP52" s="6"/>
      <c r="AQ52" s="6"/>
      <c r="AR52" s="6"/>
      <c r="AS52" s="6"/>
      <c r="AT52" s="6"/>
      <c r="AU52" s="6"/>
      <c r="AV52" s="6"/>
    </row>
    <row r="53" spans="1:48" customFormat="1">
      <c r="A53" s="7" t="s">
        <v>1078</v>
      </c>
      <c r="B53" s="7" t="s">
        <v>1079</v>
      </c>
      <c r="C53" s="7" t="s">
        <v>29</v>
      </c>
      <c r="D53" s="7">
        <v>8</v>
      </c>
      <c r="E53" s="7">
        <v>1000</v>
      </c>
      <c r="F53" s="7" t="s">
        <v>31</v>
      </c>
      <c r="G53" s="7"/>
      <c r="H53" s="7"/>
      <c r="I53" s="7" t="s">
        <v>32</v>
      </c>
      <c r="K53" s="6">
        <v>0</v>
      </c>
      <c r="L53" s="6">
        <v>0</v>
      </c>
      <c r="M53" s="6">
        <v>0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89"/>
      <c r="Y53" s="6">
        <v>0</v>
      </c>
      <c r="Z53" s="6">
        <v>32768</v>
      </c>
      <c r="AA53" s="6"/>
      <c r="AB53" s="6"/>
      <c r="AC53" s="6"/>
      <c r="AD53" s="13"/>
      <c r="AE53" s="6"/>
      <c r="AF53" s="89" t="str">
        <f>IF(AF52="#",0,IF(AND(D52=D53,K52=K53,L52=L53,M52=M53,N52=N53,O52=O53,P52=P53,Q52=Q53,R52=R53,S52=S53,T52=T53,U52=U53,V52=V53,W52=W53,HEX2DEC(SUBSTITUTE(AH52,"0x",""))&lt;HEX2DEC(SUBSTITUTE(AH53,"0x",""))),"",MAX($AF$6:AF52)+1))</f>
        <v/>
      </c>
      <c r="AG53" s="96" t="str">
        <f>IF(MAX(INDEX($AF:$AF,ROW($AG$6)):INDEX($AF:$AF,ROW(AG53)))+1=AF54,MAX(INDEX($AF:$AF,ROW($AG$6)):INDEX($AF:$AF,ROW(AG53))),"")</f>
        <v/>
      </c>
      <c r="AH53" s="6" t="str">
        <f t="shared" si="8"/>
        <v>0x400002A1</v>
      </c>
      <c r="AI53" s="6">
        <f t="shared" si="9"/>
        <v>1073742497</v>
      </c>
      <c r="AJ53" s="6" t="str">
        <f t="shared" si="10"/>
        <v/>
      </c>
      <c r="AK53" s="6" t="str">
        <f t="shared" si="11"/>
        <v/>
      </c>
      <c r="AL53" s="6" t="str">
        <f t="shared" si="12"/>
        <v/>
      </c>
      <c r="AM53" s="6"/>
      <c r="AN53" s="6"/>
      <c r="AO53" s="13"/>
      <c r="AP53" s="6"/>
      <c r="AQ53" s="6"/>
      <c r="AR53" s="6"/>
      <c r="AS53" s="6"/>
      <c r="AT53" s="6"/>
      <c r="AU53" s="6"/>
      <c r="AV53" s="6"/>
    </row>
    <row r="54" spans="1:48" customFormat="1">
      <c r="A54" s="7" t="s">
        <v>1080</v>
      </c>
      <c r="B54" s="7" t="s">
        <v>1081</v>
      </c>
      <c r="C54" s="7" t="s">
        <v>29</v>
      </c>
      <c r="D54" s="7">
        <v>8</v>
      </c>
      <c r="E54" s="7">
        <v>1000</v>
      </c>
      <c r="F54" s="7" t="s">
        <v>31</v>
      </c>
      <c r="G54" s="7"/>
      <c r="H54" s="7"/>
      <c r="I54" s="7" t="s">
        <v>32</v>
      </c>
      <c r="K54" s="6">
        <v>0</v>
      </c>
      <c r="L54" s="6">
        <v>0</v>
      </c>
      <c r="M54" s="6">
        <v>0</v>
      </c>
      <c r="N54" s="6">
        <v>1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89"/>
      <c r="Y54" s="6">
        <v>0</v>
      </c>
      <c r="Z54" s="6">
        <v>32768</v>
      </c>
      <c r="AA54" s="6"/>
      <c r="AB54" s="6"/>
      <c r="AC54" s="6"/>
      <c r="AD54" s="13"/>
      <c r="AE54" s="6"/>
      <c r="AF54" s="89" t="str">
        <f>IF(AF53="#",0,IF(AND(D53=D54,K53=K54,L53=L54,M53=M54,N53=N54,O53=O54,P53=P54,Q53=Q54,R53=R54,S53=S54,T53=T54,U53=U54,V53=V54,W53=W54,HEX2DEC(SUBSTITUTE(AH53,"0x",""))&lt;HEX2DEC(SUBSTITUTE(AH54,"0x",""))),"",MAX($AF$6:AF53)+1))</f>
        <v/>
      </c>
      <c r="AG54" s="96" t="str">
        <f>IF(MAX(INDEX($AF:$AF,ROW($AG$6)):INDEX($AF:$AF,ROW(AG54)))+1=AF55,MAX(INDEX($AF:$AF,ROW($AG$6)):INDEX($AF:$AF,ROW(AG54))),"")</f>
        <v/>
      </c>
      <c r="AH54" s="6" t="str">
        <f t="shared" si="8"/>
        <v>0x400002A7</v>
      </c>
      <c r="AI54" s="6">
        <f t="shared" si="9"/>
        <v>1073742503</v>
      </c>
      <c r="AJ54" s="6" t="str">
        <f t="shared" si="10"/>
        <v/>
      </c>
      <c r="AK54" s="6" t="str">
        <f t="shared" si="11"/>
        <v/>
      </c>
      <c r="AL54" s="6" t="str">
        <f t="shared" si="12"/>
        <v/>
      </c>
      <c r="AM54" s="6"/>
      <c r="AN54" s="6"/>
      <c r="AO54" s="13"/>
      <c r="AP54" s="6"/>
      <c r="AQ54" s="6"/>
      <c r="AR54" s="6"/>
      <c r="AS54" s="6"/>
      <c r="AT54" s="6"/>
      <c r="AU54" s="6"/>
      <c r="AV54" s="6"/>
    </row>
    <row r="55" spans="1:48" customFormat="1">
      <c r="A55" s="7" t="s">
        <v>1082</v>
      </c>
      <c r="B55" s="7" t="s">
        <v>1083</v>
      </c>
      <c r="C55" s="7" t="s">
        <v>29</v>
      </c>
      <c r="D55" s="7">
        <v>8</v>
      </c>
      <c r="E55" s="7">
        <v>1000</v>
      </c>
      <c r="F55" s="7" t="s">
        <v>31</v>
      </c>
      <c r="G55" s="7"/>
      <c r="H55" s="7"/>
      <c r="I55" s="7" t="s">
        <v>32</v>
      </c>
      <c r="K55" s="6">
        <v>0</v>
      </c>
      <c r="L55" s="6">
        <v>0</v>
      </c>
      <c r="M55" s="6">
        <v>0</v>
      </c>
      <c r="N55" s="6">
        <v>1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89"/>
      <c r="Y55" s="6">
        <v>0</v>
      </c>
      <c r="Z55" s="6">
        <v>32768</v>
      </c>
      <c r="AA55" s="6"/>
      <c r="AB55" s="6"/>
      <c r="AC55" s="6"/>
      <c r="AD55" s="13"/>
      <c r="AE55" s="6"/>
      <c r="AF55" s="89" t="str">
        <f>IF(AF54="#",0,IF(AND(D54=D55,K54=K55,L54=L55,M54=M55,N54=N55,O54=O55,P54=P55,Q54=Q55,R54=R55,S54=S55,T54=T55,U54=U55,V54=V55,W54=W55,HEX2DEC(SUBSTITUTE(AH54,"0x",""))&lt;HEX2DEC(SUBSTITUTE(AH55,"0x",""))),"",MAX($AF$6:AF54)+1))</f>
        <v/>
      </c>
      <c r="AG55" s="96">
        <f>IF(MAX(INDEX($AF:$AF,ROW($AG$6)):INDEX($AF:$AF,ROW(AG55)))+1=AF56,MAX(INDEX($AF:$AF,ROW($AG$6)):INDEX($AF:$AF,ROW(AG55))),"")</f>
        <v>20</v>
      </c>
      <c r="AH55" s="6" t="str">
        <f t="shared" si="8"/>
        <v>0x400002A8</v>
      </c>
      <c r="AI55" s="6">
        <f t="shared" si="9"/>
        <v>1073742504</v>
      </c>
      <c r="AJ55" s="6" t="str">
        <f t="shared" si="10"/>
        <v/>
      </c>
      <c r="AK55" s="6" t="str">
        <f t="shared" si="11"/>
        <v/>
      </c>
      <c r="AL55" s="6" t="str">
        <f t="shared" si="12"/>
        <v/>
      </c>
      <c r="AM55" s="6"/>
      <c r="AN55" s="6"/>
      <c r="AO55" s="13"/>
      <c r="AP55" s="6"/>
      <c r="AQ55" s="6"/>
      <c r="AR55" s="6"/>
      <c r="AS55" s="6"/>
      <c r="AT55" s="6"/>
      <c r="AU55" s="6"/>
      <c r="AV55" s="6"/>
    </row>
    <row r="56" spans="1:48" customFormat="1">
      <c r="A56" s="7" t="s">
        <v>1084</v>
      </c>
      <c r="B56" s="7" t="s">
        <v>1085</v>
      </c>
      <c r="C56" s="7" t="s">
        <v>29</v>
      </c>
      <c r="D56" s="7">
        <v>32</v>
      </c>
      <c r="E56" s="7">
        <v>1000</v>
      </c>
      <c r="F56" s="7" t="s">
        <v>31</v>
      </c>
      <c r="G56" s="7"/>
      <c r="H56" s="7"/>
      <c r="I56" s="7" t="s">
        <v>32</v>
      </c>
      <c r="K56" s="6">
        <v>0</v>
      </c>
      <c r="L56" s="6">
        <v>0</v>
      </c>
      <c r="M56" s="6">
        <v>0</v>
      </c>
      <c r="N56" s="6">
        <v>1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89"/>
      <c r="Y56" s="6">
        <v>0</v>
      </c>
      <c r="Z56" s="6">
        <v>32768</v>
      </c>
      <c r="AA56" s="6"/>
      <c r="AB56" s="6"/>
      <c r="AC56" s="6"/>
      <c r="AD56" s="13"/>
      <c r="AE56" s="6"/>
      <c r="AF56" s="89">
        <f>IF(AF55="#",0,IF(AND(D55=D56,K55=K56,L55=L56,M55=M56,N55=N56,O55=O56,P55=P56,Q55=Q56,R55=R56,S55=S56,T55=T56,U55=U56,V55=V56,W55=W56,HEX2DEC(SUBSTITUTE(AH55,"0x",""))&lt;HEX2DEC(SUBSTITUTE(AH56,"0x",""))),"",MAX($AF$6:AF55)+1))</f>
        <v>21</v>
      </c>
      <c r="AG56" s="96">
        <f>IF(MAX(INDEX($AF:$AF,ROW($AG$6)):INDEX($AF:$AF,ROW(AG56)))+1=AF57,MAX(INDEX($AF:$AF,ROW($AG$6)):INDEX($AF:$AF,ROW(AG56))),"")</f>
        <v>21</v>
      </c>
      <c r="AH56" s="6" t="str">
        <f t="shared" si="8"/>
        <v>0x400002C6</v>
      </c>
      <c r="AI56" s="6">
        <f t="shared" si="9"/>
        <v>1073742534</v>
      </c>
      <c r="AJ56" s="6" t="str">
        <f t="shared" si="10"/>
        <v>0x400002C6</v>
      </c>
      <c r="AK56" s="6" t="str">
        <f t="shared" si="11"/>
        <v>0x400002C6</v>
      </c>
      <c r="AL56" s="6">
        <f t="shared" si="12"/>
        <v>32</v>
      </c>
      <c r="AM56" s="6"/>
      <c r="AN56" s="6"/>
      <c r="AO56" s="13"/>
      <c r="AP56" s="6"/>
      <c r="AQ56" s="6"/>
      <c r="AR56" s="6"/>
      <c r="AS56" s="6"/>
      <c r="AT56" s="6"/>
      <c r="AU56" s="6"/>
      <c r="AV56" s="6"/>
    </row>
    <row r="57" spans="1:48" customFormat="1">
      <c r="A57" s="7" t="s">
        <v>1086</v>
      </c>
      <c r="B57" s="7" t="s">
        <v>1087</v>
      </c>
      <c r="C57" s="7" t="s">
        <v>29</v>
      </c>
      <c r="D57" s="7">
        <v>64</v>
      </c>
      <c r="E57" s="7">
        <v>1000</v>
      </c>
      <c r="F57" s="7" t="s">
        <v>31</v>
      </c>
      <c r="G57" s="7"/>
      <c r="H57" s="7"/>
      <c r="I57" s="7" t="s">
        <v>32</v>
      </c>
      <c r="K57" s="6">
        <v>0</v>
      </c>
      <c r="L57" s="6">
        <v>0</v>
      </c>
      <c r="M57" s="6">
        <v>0</v>
      </c>
      <c r="N57" s="6">
        <v>1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89"/>
      <c r="Y57" s="6">
        <v>0</v>
      </c>
      <c r="Z57" s="6">
        <v>32768</v>
      </c>
      <c r="AA57" s="6"/>
      <c r="AB57" s="6"/>
      <c r="AC57" s="6"/>
      <c r="AD57" s="13"/>
      <c r="AE57" s="6"/>
      <c r="AF57" s="89">
        <f>IF(AF56="#",0,IF(AND(D56=D57,K56=K57,L56=L57,M56=M57,N56=N57,O56=O57,P56=P57,Q56=Q57,R56=R57,S56=S57,T56=T57,U56=U57,V56=V57,W56=W57,HEX2DEC(SUBSTITUTE(AH56,"0x",""))&lt;HEX2DEC(SUBSTITUTE(AH57,"0x",""))),"",MAX($AF$6:AF56)+1))</f>
        <v>22</v>
      </c>
      <c r="AG57" s="96" t="str">
        <f>IF(MAX(INDEX($AF:$AF,ROW($AG$6)):INDEX($AF:$AF,ROW(AG57)))+1=AF58,MAX(INDEX($AF:$AF,ROW($AG$6)):INDEX($AF:$AF,ROW(AG57))),"")</f>
        <v/>
      </c>
      <c r="AH57" s="6" t="str">
        <f t="shared" si="8"/>
        <v>0x400002C7</v>
      </c>
      <c r="AI57" s="6">
        <f t="shared" si="9"/>
        <v>1073742535</v>
      </c>
      <c r="AJ57" s="6" t="str">
        <f t="shared" si="10"/>
        <v>0x400002C7</v>
      </c>
      <c r="AK57" s="6" t="str">
        <f t="shared" si="11"/>
        <v>0x400002C8</v>
      </c>
      <c r="AL57" s="6">
        <f t="shared" si="12"/>
        <v>64</v>
      </c>
      <c r="AM57" s="6"/>
      <c r="AN57" s="6"/>
      <c r="AO57" s="13"/>
      <c r="AP57" s="6"/>
      <c r="AQ57" s="6"/>
      <c r="AR57" s="6"/>
      <c r="AS57" s="6"/>
      <c r="AT57" s="6"/>
      <c r="AU57" s="6"/>
      <c r="AV57" s="6"/>
    </row>
    <row r="58" spans="1:48" customFormat="1">
      <c r="A58" s="7" t="s">
        <v>1088</v>
      </c>
      <c r="B58" s="7" t="s">
        <v>1089</v>
      </c>
      <c r="C58" s="7" t="s">
        <v>29</v>
      </c>
      <c r="D58" s="7">
        <v>64</v>
      </c>
      <c r="E58" s="7">
        <v>1000</v>
      </c>
      <c r="F58" s="7" t="s">
        <v>31</v>
      </c>
      <c r="G58" s="7"/>
      <c r="H58" s="7"/>
      <c r="I58" s="7" t="s">
        <v>32</v>
      </c>
      <c r="K58" s="6">
        <v>0</v>
      </c>
      <c r="L58" s="6">
        <v>0</v>
      </c>
      <c r="M58" s="6">
        <v>0</v>
      </c>
      <c r="N58" s="6">
        <v>1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89"/>
      <c r="Y58" s="6">
        <v>0</v>
      </c>
      <c r="Z58" s="6">
        <v>32768</v>
      </c>
      <c r="AA58" s="6"/>
      <c r="AB58" s="6"/>
      <c r="AC58" s="6"/>
      <c r="AD58" s="13"/>
      <c r="AE58" s="6"/>
      <c r="AF58" s="89" t="str">
        <f>IF(AF57="#",0,IF(AND(D57=D58,K57=K58,L57=L58,M57=M58,N57=N58,O57=O58,P57=P58,Q57=Q58,R57=R58,S57=S58,T57=T58,U57=U58,V57=V58,W57=W58,HEX2DEC(SUBSTITUTE(AH57,"0x",""))&lt;HEX2DEC(SUBSTITUTE(AH58,"0x",""))),"",MAX($AF$6:AF57)+1))</f>
        <v/>
      </c>
      <c r="AG58" s="96">
        <f>IF(MAX(INDEX($AF:$AF,ROW($AG$6)):INDEX($AF:$AF,ROW(AG58)))+1=AF59,MAX(INDEX($AF:$AF,ROW($AG$6)):INDEX($AF:$AF,ROW(AG58))),"")</f>
        <v>22</v>
      </c>
      <c r="AH58" s="6" t="str">
        <f t="shared" si="8"/>
        <v>0x400002C8</v>
      </c>
      <c r="AI58" s="6">
        <f t="shared" si="9"/>
        <v>1073742536</v>
      </c>
      <c r="AJ58" s="6" t="str">
        <f t="shared" si="10"/>
        <v/>
      </c>
      <c r="AK58" s="6" t="str">
        <f t="shared" si="11"/>
        <v/>
      </c>
      <c r="AL58" s="6" t="str">
        <f t="shared" si="12"/>
        <v/>
      </c>
      <c r="AM58" s="6"/>
      <c r="AN58" s="6"/>
      <c r="AO58" s="13"/>
      <c r="AP58" s="6"/>
      <c r="AQ58" s="6"/>
      <c r="AR58" s="6"/>
      <c r="AS58" s="6"/>
      <c r="AT58" s="6"/>
      <c r="AU58" s="6"/>
      <c r="AV58" s="6"/>
    </row>
    <row r="59" spans="1:48" customFormat="1">
      <c r="A59" s="7" t="s">
        <v>1090</v>
      </c>
      <c r="B59" s="7" t="s">
        <v>1091</v>
      </c>
      <c r="C59" s="7" t="s">
        <v>29</v>
      </c>
      <c r="D59" s="7">
        <v>8</v>
      </c>
      <c r="E59" s="7">
        <v>1000</v>
      </c>
      <c r="F59" s="7" t="s">
        <v>31</v>
      </c>
      <c r="G59" s="7"/>
      <c r="H59" s="7"/>
      <c r="I59" s="7" t="s">
        <v>32</v>
      </c>
      <c r="K59" s="6">
        <v>0</v>
      </c>
      <c r="L59" s="6">
        <v>0</v>
      </c>
      <c r="M59" s="6">
        <v>0</v>
      </c>
      <c r="N59" s="6">
        <v>1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89"/>
      <c r="Y59" s="6">
        <v>0</v>
      </c>
      <c r="Z59" s="6">
        <v>32768</v>
      </c>
      <c r="AA59" s="6"/>
      <c r="AB59" s="6"/>
      <c r="AC59" s="6"/>
      <c r="AD59" s="13"/>
      <c r="AE59" s="6"/>
      <c r="AF59" s="89">
        <f>IF(AF58="#",0,IF(AND(D58=D59,K58=K59,L58=L59,M58=M59,N58=N59,O58=O59,P58=P59,Q58=Q59,R58=R59,S58=S59,T58=T59,U58=U59,V58=V59,W58=W59,HEX2DEC(SUBSTITUTE(AH58,"0x",""))&lt;HEX2DEC(SUBSTITUTE(AH59,"0x",""))),"",MAX($AF$6:AF58)+1))</f>
        <v>23</v>
      </c>
      <c r="AG59" s="96" t="str">
        <f>IF(MAX(INDEX($AF:$AF,ROW($AG$6)):INDEX($AF:$AF,ROW(AG59)))+1=AF60,MAX(INDEX($AF:$AF,ROW($AG$6)):INDEX($AF:$AF,ROW(AG59))),"")</f>
        <v/>
      </c>
      <c r="AH59" s="6" t="str">
        <f t="shared" si="8"/>
        <v>0x400002DE</v>
      </c>
      <c r="AI59" s="6">
        <f t="shared" si="9"/>
        <v>1073742558</v>
      </c>
      <c r="AJ59" s="6" t="str">
        <f t="shared" si="10"/>
        <v>0x400002DE</v>
      </c>
      <c r="AK59" s="6" t="str">
        <f t="shared" si="11"/>
        <v>0x400002F4</v>
      </c>
      <c r="AL59" s="6">
        <f t="shared" si="12"/>
        <v>8</v>
      </c>
      <c r="AM59" s="6"/>
      <c r="AN59" s="6"/>
      <c r="AO59" s="13"/>
      <c r="AP59" s="6"/>
      <c r="AQ59" s="6"/>
      <c r="AR59" s="6"/>
      <c r="AS59" s="6"/>
      <c r="AT59" s="6"/>
      <c r="AU59" s="6"/>
      <c r="AV59" s="6"/>
    </row>
    <row r="60" spans="1:48" customFormat="1">
      <c r="A60" s="7" t="s">
        <v>1092</v>
      </c>
      <c r="B60" s="7" t="s">
        <v>1093</v>
      </c>
      <c r="C60" s="7" t="s">
        <v>29</v>
      </c>
      <c r="D60" s="7">
        <v>8</v>
      </c>
      <c r="E60" s="7">
        <v>1000</v>
      </c>
      <c r="F60" s="7" t="s">
        <v>31</v>
      </c>
      <c r="G60" s="7"/>
      <c r="H60" s="7"/>
      <c r="I60" s="7" t="s">
        <v>32</v>
      </c>
      <c r="K60" s="6">
        <v>0</v>
      </c>
      <c r="L60" s="6">
        <v>0</v>
      </c>
      <c r="M60" s="6">
        <v>0</v>
      </c>
      <c r="N60" s="6">
        <v>1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89"/>
      <c r="Y60" s="6">
        <v>0</v>
      </c>
      <c r="Z60" s="6">
        <v>32768</v>
      </c>
      <c r="AA60" s="6"/>
      <c r="AB60" s="6"/>
      <c r="AC60" s="6"/>
      <c r="AD60" s="13"/>
      <c r="AE60" s="6"/>
      <c r="AF60" s="89" t="str">
        <f>IF(AF59="#",0,IF(AND(D59=D60,K59=K60,L59=L60,M59=M60,N59=N60,O59=O60,P59=P60,Q59=Q60,R59=R60,S59=S60,T59=T60,U59=U60,V59=V60,W59=W60,HEX2DEC(SUBSTITUTE(AH59,"0x",""))&lt;HEX2DEC(SUBSTITUTE(AH60,"0x",""))),"",MAX($AF$6:AF59)+1))</f>
        <v/>
      </c>
      <c r="AG60" s="96">
        <f>IF(MAX(INDEX($AF:$AF,ROW($AG$6)):INDEX($AF:$AF,ROW(AG60)))+1=AF61,MAX(INDEX($AF:$AF,ROW($AG$6)):INDEX($AF:$AF,ROW(AG60))),"")</f>
        <v>23</v>
      </c>
      <c r="AH60" s="6" t="str">
        <f t="shared" si="8"/>
        <v>0x400002F4</v>
      </c>
      <c r="AI60" s="6">
        <f t="shared" si="9"/>
        <v>1073742580</v>
      </c>
      <c r="AJ60" s="6" t="str">
        <f t="shared" si="10"/>
        <v/>
      </c>
      <c r="AK60" s="6" t="str">
        <f t="shared" si="11"/>
        <v/>
      </c>
      <c r="AL60" s="6" t="str">
        <f t="shared" si="12"/>
        <v/>
      </c>
      <c r="AM60" s="6"/>
      <c r="AN60" s="6"/>
      <c r="AO60" s="13"/>
      <c r="AP60" s="6"/>
      <c r="AQ60" s="6"/>
      <c r="AR60" s="6"/>
      <c r="AS60" s="6"/>
      <c r="AT60" s="6"/>
      <c r="AU60" s="6"/>
      <c r="AV60" s="6"/>
    </row>
    <row r="61" spans="1:48" customFormat="1">
      <c r="A61" s="7" t="s">
        <v>1094</v>
      </c>
      <c r="B61" s="7" t="s">
        <v>1095</v>
      </c>
      <c r="C61" s="7" t="s">
        <v>29</v>
      </c>
      <c r="D61" s="7">
        <v>32</v>
      </c>
      <c r="E61" s="7">
        <v>2000</v>
      </c>
      <c r="F61" s="7" t="s">
        <v>31</v>
      </c>
      <c r="G61" s="7"/>
      <c r="H61" s="7"/>
      <c r="I61" s="7" t="s">
        <v>32</v>
      </c>
      <c r="K61" s="6">
        <v>0</v>
      </c>
      <c r="L61" s="6">
        <v>0</v>
      </c>
      <c r="M61" s="6">
        <v>0</v>
      </c>
      <c r="N61" s="6">
        <v>1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89"/>
      <c r="Y61" s="6">
        <v>0</v>
      </c>
      <c r="Z61" s="6">
        <v>32768</v>
      </c>
      <c r="AA61" s="6"/>
      <c r="AB61" s="6"/>
      <c r="AC61" s="6"/>
      <c r="AD61" s="13"/>
      <c r="AE61" s="6"/>
      <c r="AF61" s="89">
        <f>IF(AF60="#",0,IF(AND(D60=D61,K60=K61,L60=L61,M60=M61,N60=N61,O60=O61,P60=P61,Q60=Q61,R60=R61,S60=S61,T60=T61,U60=U61,V60=V61,W60=W61,HEX2DEC(SUBSTITUTE(AH60,"0x",""))&lt;HEX2DEC(SUBSTITUTE(AH61,"0x",""))),"",MAX($AF$6:AF60)+1))</f>
        <v>24</v>
      </c>
      <c r="AG61" s="96" t="str">
        <f>IF(MAX(INDEX($AF:$AF,ROW($AG$6)):INDEX($AF:$AF,ROW(AG61)))+1=AF62,MAX(INDEX($AF:$AF,ROW($AG$6)):INDEX($AF:$AF,ROW(AG61))),"")</f>
        <v/>
      </c>
      <c r="AH61" s="6" t="str">
        <f t="shared" si="8"/>
        <v>0x400002FE</v>
      </c>
      <c r="AI61" s="6">
        <f t="shared" si="9"/>
        <v>1073742590</v>
      </c>
      <c r="AJ61" s="6" t="str">
        <f t="shared" si="10"/>
        <v>0x400002FE</v>
      </c>
      <c r="AK61" s="6" t="str">
        <f t="shared" si="11"/>
        <v>0x400003D4</v>
      </c>
      <c r="AL61" s="6">
        <f t="shared" si="12"/>
        <v>32</v>
      </c>
      <c r="AM61" s="6"/>
      <c r="AN61" s="6"/>
      <c r="AO61" s="13"/>
      <c r="AP61" s="6"/>
      <c r="AQ61" s="6"/>
      <c r="AR61" s="6"/>
      <c r="AS61" s="6"/>
      <c r="AT61" s="6"/>
      <c r="AU61" s="6"/>
      <c r="AV61" s="6"/>
    </row>
    <row r="62" spans="1:48" customFormat="1">
      <c r="A62" s="7" t="s">
        <v>1096</v>
      </c>
      <c r="B62" s="7" t="s">
        <v>1097</v>
      </c>
      <c r="C62" s="7" t="s">
        <v>29</v>
      </c>
      <c r="D62" s="7">
        <v>32</v>
      </c>
      <c r="E62" s="7">
        <v>3000</v>
      </c>
      <c r="F62" s="7" t="s">
        <v>31</v>
      </c>
      <c r="G62" s="7"/>
      <c r="H62" s="7"/>
      <c r="I62" s="7" t="s">
        <v>32</v>
      </c>
      <c r="K62" s="6">
        <v>0</v>
      </c>
      <c r="L62" s="6">
        <v>0</v>
      </c>
      <c r="M62" s="6">
        <v>0</v>
      </c>
      <c r="N62" s="6">
        <v>1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89"/>
      <c r="Y62" s="6">
        <v>0</v>
      </c>
      <c r="Z62" s="6">
        <v>32768</v>
      </c>
      <c r="AA62" s="6"/>
      <c r="AB62" s="6"/>
      <c r="AC62" s="6"/>
      <c r="AD62" s="13"/>
      <c r="AE62" s="6"/>
      <c r="AF62" s="89" t="str">
        <f>IF(AF61="#",0,IF(AND(D61=D62,K61=K62,L61=L62,M61=M62,N61=N62,O61=O62,P61=P62,Q61=Q62,R61=R62,S61=S62,T61=T62,U61=U62,V61=V62,W61=W62,HEX2DEC(SUBSTITUTE(AH61,"0x",""))&lt;HEX2DEC(SUBSTITUTE(AH62,"0x",""))),"",MAX($AF$6:AF61)+1))</f>
        <v/>
      </c>
      <c r="AG62" s="96">
        <f>IF(MAX(INDEX($AF:$AF,ROW($AG$6)):INDEX($AF:$AF,ROW(AG62)))+1=AF63,MAX(INDEX($AF:$AF,ROW($AG$6)):INDEX($AF:$AF,ROW(AG62))),"")</f>
        <v>24</v>
      </c>
      <c r="AH62" s="6" t="str">
        <f t="shared" si="8"/>
        <v>0x400003D4</v>
      </c>
      <c r="AI62" s="6">
        <f t="shared" si="9"/>
        <v>1073742804</v>
      </c>
      <c r="AJ62" s="6" t="str">
        <f t="shared" si="10"/>
        <v/>
      </c>
      <c r="AK62" s="6" t="str">
        <f t="shared" si="11"/>
        <v/>
      </c>
      <c r="AL62" s="6" t="str">
        <f t="shared" si="12"/>
        <v/>
      </c>
      <c r="AM62" s="6"/>
      <c r="AN62" s="6"/>
      <c r="AO62" s="13"/>
      <c r="AP62" s="6"/>
      <c r="AQ62" s="6"/>
      <c r="AR62" s="6"/>
      <c r="AS62" s="6"/>
      <c r="AT62" s="6"/>
      <c r="AU62" s="6"/>
      <c r="AV62" s="6"/>
    </row>
    <row r="63" spans="1:48" customFormat="1">
      <c r="A63" s="7" t="s">
        <v>1098</v>
      </c>
      <c r="B63" s="7" t="s">
        <v>1099</v>
      </c>
      <c r="C63" s="7" t="s">
        <v>29</v>
      </c>
      <c r="D63" s="7">
        <v>8</v>
      </c>
      <c r="E63" s="7">
        <v>1000</v>
      </c>
      <c r="F63" s="7" t="s">
        <v>31</v>
      </c>
      <c r="G63" s="7"/>
      <c r="H63" s="7"/>
      <c r="I63" s="7" t="s">
        <v>32</v>
      </c>
      <c r="K63" s="6">
        <v>0</v>
      </c>
      <c r="L63" s="6">
        <v>0</v>
      </c>
      <c r="M63" s="6">
        <v>0</v>
      </c>
      <c r="N63" s="6">
        <v>1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89"/>
      <c r="Y63" s="6">
        <v>0</v>
      </c>
      <c r="Z63" s="6">
        <v>32768</v>
      </c>
      <c r="AA63" s="6"/>
      <c r="AB63" s="6"/>
      <c r="AC63" s="6"/>
      <c r="AD63" s="13"/>
      <c r="AE63" s="6"/>
      <c r="AF63" s="89">
        <f>IF(AF62="#",0,IF(AND(D62=D63,K62=K63,L62=L63,M62=M63,N62=N63,O62=O63,P62=P63,Q62=Q63,R62=R63,S62=S63,T62=T63,U62=U63,V62=V63,W62=W63,HEX2DEC(SUBSTITUTE(AH62,"0x",""))&lt;HEX2DEC(SUBSTITUTE(AH63,"0x",""))),"",MAX($AF$6:AF62)+1))</f>
        <v>25</v>
      </c>
      <c r="AG63" s="96" t="str">
        <f>IF(MAX(INDEX($AF:$AF,ROW($AG$6)):INDEX($AF:$AF,ROW(AG63)))+1=AF64,MAX(INDEX($AF:$AF,ROW($AG$6)):INDEX($AF:$AF,ROW(AG63))),"")</f>
        <v/>
      </c>
      <c r="AH63" s="6" t="str">
        <f t="shared" si="8"/>
        <v>0x400003DB</v>
      </c>
      <c r="AI63" s="6">
        <f t="shared" si="9"/>
        <v>1073742811</v>
      </c>
      <c r="AJ63" s="6" t="str">
        <f t="shared" si="10"/>
        <v>0x400003DB</v>
      </c>
      <c r="AK63" s="6" t="str">
        <f t="shared" si="11"/>
        <v>0x4000043A</v>
      </c>
      <c r="AL63" s="6">
        <f t="shared" si="12"/>
        <v>8</v>
      </c>
      <c r="AM63" s="6"/>
      <c r="AN63" s="6"/>
      <c r="AO63" s="13"/>
      <c r="AP63" s="6"/>
      <c r="AQ63" s="6"/>
      <c r="AR63" s="6"/>
      <c r="AS63" s="6"/>
      <c r="AT63" s="6"/>
      <c r="AU63" s="6"/>
      <c r="AV63" s="6"/>
    </row>
    <row r="64" spans="1:48" customFormat="1">
      <c r="A64" s="7" t="s">
        <v>1100</v>
      </c>
      <c r="B64" s="7" t="s">
        <v>1101</v>
      </c>
      <c r="C64" s="7" t="s">
        <v>29</v>
      </c>
      <c r="D64" s="7">
        <v>8</v>
      </c>
      <c r="E64" s="7">
        <v>1000</v>
      </c>
      <c r="F64" s="7" t="s">
        <v>31</v>
      </c>
      <c r="G64" s="7"/>
      <c r="H64" s="7"/>
      <c r="I64" s="7" t="s">
        <v>32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89"/>
      <c r="Y64" s="6">
        <v>0</v>
      </c>
      <c r="Z64" s="6">
        <v>32768</v>
      </c>
      <c r="AA64" s="6"/>
      <c r="AB64" s="6"/>
      <c r="AC64" s="6"/>
      <c r="AD64" s="13"/>
      <c r="AE64" s="6"/>
      <c r="AF64" s="89" t="str">
        <f>IF(AF63="#",0,IF(AND(D63=D64,K63=K64,L63=L64,M63=M64,N63=N64,O63=O64,P63=P64,Q63=Q64,R63=R64,S63=S64,T63=T64,U63=U64,V63=V64,W63=W64,HEX2DEC(SUBSTITUTE(AH63,"0x",""))&lt;HEX2DEC(SUBSTITUTE(AH64,"0x",""))),"",MAX($AF$6:AF63)+1))</f>
        <v/>
      </c>
      <c r="AG64" s="96" t="str">
        <f>IF(MAX(INDEX($AF:$AF,ROW($AG$6)):INDEX($AF:$AF,ROW(AG64)))+1=AF65,MAX(INDEX($AF:$AF,ROW($AG$6)):INDEX($AF:$AF,ROW(AG64))),"")</f>
        <v/>
      </c>
      <c r="AH64" s="6" t="str">
        <f t="shared" si="8"/>
        <v>0x400003DC</v>
      </c>
      <c r="AI64" s="6">
        <f t="shared" si="9"/>
        <v>1073742812</v>
      </c>
      <c r="AJ64" s="6" t="str">
        <f t="shared" si="10"/>
        <v/>
      </c>
      <c r="AK64" s="6" t="str">
        <f t="shared" si="11"/>
        <v/>
      </c>
      <c r="AL64" s="6" t="str">
        <f t="shared" si="12"/>
        <v/>
      </c>
      <c r="AM64" s="6"/>
      <c r="AN64" s="6"/>
      <c r="AO64" s="13"/>
      <c r="AP64" s="6"/>
      <c r="AQ64" s="6"/>
      <c r="AR64" s="6"/>
      <c r="AS64" s="6"/>
      <c r="AT64" s="6"/>
      <c r="AU64" s="6"/>
      <c r="AV64" s="6"/>
    </row>
    <row r="65" spans="1:48" customFormat="1">
      <c r="A65" s="7" t="s">
        <v>1102</v>
      </c>
      <c r="B65" s="7" t="s">
        <v>1103</v>
      </c>
      <c r="C65" s="7" t="s">
        <v>29</v>
      </c>
      <c r="D65" s="7">
        <v>8</v>
      </c>
      <c r="E65" s="7">
        <v>1008</v>
      </c>
      <c r="F65" s="7" t="s">
        <v>31</v>
      </c>
      <c r="G65" s="7"/>
      <c r="H65" s="7"/>
      <c r="I65" s="7" t="s">
        <v>32</v>
      </c>
      <c r="K65" s="6">
        <v>0</v>
      </c>
      <c r="L65" s="6">
        <v>0</v>
      </c>
      <c r="M65" s="6">
        <v>0</v>
      </c>
      <c r="N65" s="6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89"/>
      <c r="Y65" s="6">
        <v>0</v>
      </c>
      <c r="Z65" s="6">
        <v>32768</v>
      </c>
      <c r="AA65" s="6"/>
      <c r="AB65" s="6"/>
      <c r="AC65" s="6"/>
      <c r="AD65" s="13"/>
      <c r="AE65" s="6"/>
      <c r="AF65" s="89" t="str">
        <f>IF(AF64="#",0,IF(AND(D64=D65,K64=K65,L64=L65,M64=M65,N64=N65,O64=O65,P64=P65,Q64=Q65,R64=R65,S64=S65,T64=T65,U64=U65,V64=V65,W64=W65,HEX2DEC(SUBSTITUTE(AH64,"0x",""))&lt;HEX2DEC(SUBSTITUTE(AH65,"0x",""))),"",MAX($AF$6:AF64)+1))</f>
        <v/>
      </c>
      <c r="AG65" s="96" t="str">
        <f>IF(MAX(INDEX($AF:$AF,ROW($AG$6)):INDEX($AF:$AF,ROW(AG65)))+1=AF66,MAX(INDEX($AF:$AF,ROW($AG$6)):INDEX($AF:$AF,ROW(AG65))),"")</f>
        <v/>
      </c>
      <c r="AH65" s="6" t="str">
        <f t="shared" si="8"/>
        <v>0x400003F3</v>
      </c>
      <c r="AI65" s="6">
        <f t="shared" si="9"/>
        <v>1073742835</v>
      </c>
      <c r="AJ65" s="6" t="str">
        <f t="shared" si="10"/>
        <v/>
      </c>
      <c r="AK65" s="6" t="str">
        <f t="shared" si="11"/>
        <v/>
      </c>
      <c r="AL65" s="6" t="str">
        <f t="shared" si="12"/>
        <v/>
      </c>
      <c r="AM65" s="6"/>
      <c r="AN65" s="6"/>
      <c r="AO65" s="13"/>
      <c r="AP65" s="6"/>
      <c r="AQ65" s="6"/>
      <c r="AR65" s="6"/>
      <c r="AS65" s="6"/>
      <c r="AT65" s="6"/>
      <c r="AU65" s="6"/>
      <c r="AV65" s="6"/>
    </row>
    <row r="66" spans="1:48" customFormat="1">
      <c r="A66" s="7" t="s">
        <v>1104</v>
      </c>
      <c r="B66" s="7" t="s">
        <v>1105</v>
      </c>
      <c r="C66" s="7" t="s">
        <v>29</v>
      </c>
      <c r="D66" s="7">
        <v>8</v>
      </c>
      <c r="E66" s="7">
        <v>1000</v>
      </c>
      <c r="F66" s="7" t="s">
        <v>31</v>
      </c>
      <c r="G66" s="7"/>
      <c r="H66" s="7"/>
      <c r="I66" s="7" t="s">
        <v>32</v>
      </c>
      <c r="K66" s="6">
        <v>0</v>
      </c>
      <c r="L66" s="6">
        <v>0</v>
      </c>
      <c r="M66" s="6">
        <v>0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89"/>
      <c r="Y66" s="6">
        <v>0</v>
      </c>
      <c r="Z66" s="6">
        <v>32768</v>
      </c>
      <c r="AA66" s="6"/>
      <c r="AB66" s="6"/>
      <c r="AC66" s="6"/>
      <c r="AD66" s="13"/>
      <c r="AE66" s="6"/>
      <c r="AF66" s="89" t="str">
        <f>IF(AF65="#",0,IF(AND(D65=D66,K65=K66,L65=L66,M65=M66,N65=N66,O65=O66,P65=P66,Q65=Q66,R65=R66,S65=S66,T65=T66,U65=U66,V65=V66,W65=W66,HEX2DEC(SUBSTITUTE(AH65,"0x",""))&lt;HEX2DEC(SUBSTITUTE(AH66,"0x",""))),"",MAX($AF$6:AF65)+1))</f>
        <v/>
      </c>
      <c r="AG66" s="96">
        <f>IF(MAX(INDEX($AF:$AF,ROW($AG$6)):INDEX($AF:$AF,ROW(AG66)))+1=AF67,MAX(INDEX($AF:$AF,ROW($AG$6)):INDEX($AF:$AF,ROW(AG66))),"")</f>
        <v>25</v>
      </c>
      <c r="AH66" s="6" t="str">
        <f t="shared" si="8"/>
        <v>0x4000043A</v>
      </c>
      <c r="AI66" s="6">
        <f t="shared" si="9"/>
        <v>1073742906</v>
      </c>
      <c r="AJ66" s="6" t="str">
        <f t="shared" si="10"/>
        <v/>
      </c>
      <c r="AK66" s="6" t="str">
        <f t="shared" si="11"/>
        <v/>
      </c>
      <c r="AL66" s="6" t="str">
        <f t="shared" si="12"/>
        <v/>
      </c>
      <c r="AM66" s="6"/>
      <c r="AN66" s="6"/>
      <c r="AO66" s="13"/>
      <c r="AP66" s="6"/>
      <c r="AQ66" s="6"/>
      <c r="AR66" s="6"/>
      <c r="AS66" s="6"/>
      <c r="AT66" s="6"/>
      <c r="AU66" s="6"/>
      <c r="AV66" s="6"/>
    </row>
    <row r="67" spans="1:48" customFormat="1">
      <c r="A67" s="7" t="s">
        <v>1106</v>
      </c>
      <c r="B67" s="7" t="s">
        <v>1107</v>
      </c>
      <c r="C67" s="7" t="s">
        <v>29</v>
      </c>
      <c r="D67" s="7">
        <v>32</v>
      </c>
      <c r="E67" s="7">
        <v>1000</v>
      </c>
      <c r="F67" s="7" t="s">
        <v>31</v>
      </c>
      <c r="G67" s="7"/>
      <c r="H67" s="7"/>
      <c r="I67" s="7" t="s">
        <v>32</v>
      </c>
      <c r="K67" s="6">
        <v>0</v>
      </c>
      <c r="L67" s="6">
        <v>0</v>
      </c>
      <c r="M67" s="6">
        <v>0</v>
      </c>
      <c r="N67" s="6">
        <v>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89"/>
      <c r="Y67" s="6">
        <v>0</v>
      </c>
      <c r="Z67" s="6">
        <v>32768</v>
      </c>
      <c r="AA67" s="6"/>
      <c r="AB67" s="6"/>
      <c r="AC67" s="6"/>
      <c r="AD67" s="13"/>
      <c r="AE67" s="6"/>
      <c r="AF67" s="89">
        <f>IF(AF66="#",0,IF(AND(D66=D67,K66=K67,L66=L67,M66=M67,N66=N67,O66=O67,P66=P67,Q66=Q67,R66=R67,S66=S67,T66=T67,U66=U67,V66=V67,W66=W67,HEX2DEC(SUBSTITUTE(AH66,"0x",""))&lt;HEX2DEC(SUBSTITUTE(AH67,"0x",""))),"",MAX($AF$6:AF66)+1))</f>
        <v>26</v>
      </c>
      <c r="AG67" s="96">
        <f>IF(MAX(INDEX($AF:$AF,ROW($AG$6)):INDEX($AF:$AF,ROW(AG67)))+1=AF68,MAX(INDEX($AF:$AF,ROW($AG$6)):INDEX($AF:$AF,ROW(AG67))),"")</f>
        <v>26</v>
      </c>
      <c r="AH67" s="6" t="str">
        <f t="shared" si="8"/>
        <v>0x40000489</v>
      </c>
      <c r="AI67" s="6">
        <f t="shared" si="9"/>
        <v>1073742985</v>
      </c>
      <c r="AJ67" s="6" t="str">
        <f t="shared" si="10"/>
        <v>0x40000489</v>
      </c>
      <c r="AK67" s="6" t="str">
        <f t="shared" si="11"/>
        <v>0x40000489</v>
      </c>
      <c r="AL67" s="6">
        <f t="shared" si="12"/>
        <v>32</v>
      </c>
      <c r="AM67" s="6"/>
      <c r="AN67" s="6"/>
      <c r="AO67" s="13"/>
      <c r="AP67" s="6"/>
      <c r="AQ67" s="6"/>
      <c r="AR67" s="6"/>
      <c r="AS67" s="6"/>
      <c r="AT67" s="6"/>
      <c r="AU67" s="6"/>
      <c r="AV67" s="6"/>
    </row>
    <row r="68" spans="1:48" customFormat="1">
      <c r="A68" s="7" t="s">
        <v>1108</v>
      </c>
      <c r="B68" s="7" t="s">
        <v>1109</v>
      </c>
      <c r="C68" s="7" t="s">
        <v>29</v>
      </c>
      <c r="D68" s="7">
        <v>8</v>
      </c>
      <c r="E68" s="7">
        <v>1000</v>
      </c>
      <c r="F68" s="7" t="s">
        <v>31</v>
      </c>
      <c r="G68" s="7"/>
      <c r="H68" s="7"/>
      <c r="I68" s="7" t="s">
        <v>32</v>
      </c>
      <c r="K68" s="6">
        <v>0</v>
      </c>
      <c r="L68" s="6">
        <v>0</v>
      </c>
      <c r="M68" s="6">
        <v>0</v>
      </c>
      <c r="N68" s="6">
        <v>1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89"/>
      <c r="Y68" s="6">
        <v>0</v>
      </c>
      <c r="Z68" s="6">
        <v>32768</v>
      </c>
      <c r="AA68" s="6"/>
      <c r="AB68" s="6"/>
      <c r="AC68" s="6"/>
      <c r="AD68" s="13"/>
      <c r="AE68" s="6"/>
      <c r="AF68" s="89">
        <f>IF(AF67="#",0,IF(AND(D67=D68,K67=K68,L67=L68,M67=M68,N67=N68,O67=O68,P67=P68,Q67=Q68,R67=R68,S67=S68,T67=T68,U67=U68,V67=V68,W67=W68,HEX2DEC(SUBSTITUTE(AH67,"0x",""))&lt;HEX2DEC(SUBSTITUTE(AH68,"0x",""))),"",MAX($AF$6:AF67)+1))</f>
        <v>27</v>
      </c>
      <c r="AG68" s="96" t="str">
        <f>IF(MAX(INDEX($AF:$AF,ROW($AG$6)):INDEX($AF:$AF,ROW(AG68)))+1=AF69,MAX(INDEX($AF:$AF,ROW($AG$6)):INDEX($AF:$AF,ROW(AG68))),"")</f>
        <v/>
      </c>
      <c r="AH68" s="6" t="str">
        <f t="shared" si="8"/>
        <v>0x4000048B</v>
      </c>
      <c r="AI68" s="6">
        <f t="shared" si="9"/>
        <v>1073742987</v>
      </c>
      <c r="AJ68" s="6" t="str">
        <f t="shared" si="10"/>
        <v>0x4000048B</v>
      </c>
      <c r="AK68" s="6" t="str">
        <f t="shared" si="11"/>
        <v>0x4000049D</v>
      </c>
      <c r="AL68" s="6">
        <f t="shared" si="12"/>
        <v>8</v>
      </c>
      <c r="AM68" s="6"/>
      <c r="AN68" s="6"/>
      <c r="AO68" s="13"/>
      <c r="AP68" s="6"/>
      <c r="AQ68" s="6"/>
      <c r="AR68" s="6"/>
      <c r="AS68" s="6"/>
      <c r="AT68" s="6"/>
      <c r="AU68" s="6"/>
      <c r="AV68" s="6"/>
    </row>
    <row r="69" spans="1:48" customFormat="1">
      <c r="A69" s="7" t="s">
        <v>1110</v>
      </c>
      <c r="B69" s="7" t="s">
        <v>1111</v>
      </c>
      <c r="C69" s="7" t="s">
        <v>29</v>
      </c>
      <c r="D69" s="7">
        <v>8</v>
      </c>
      <c r="E69" s="7">
        <v>1000</v>
      </c>
      <c r="F69" s="7" t="s">
        <v>31</v>
      </c>
      <c r="G69" s="7"/>
      <c r="H69" s="7"/>
      <c r="I69" s="7" t="s">
        <v>32</v>
      </c>
      <c r="K69" s="6">
        <v>0</v>
      </c>
      <c r="L69" s="6">
        <v>0</v>
      </c>
      <c r="M69" s="6">
        <v>0</v>
      </c>
      <c r="N69" s="6">
        <v>1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89"/>
      <c r="Y69" s="6">
        <v>0</v>
      </c>
      <c r="Z69" s="6">
        <v>32768</v>
      </c>
      <c r="AA69" s="6"/>
      <c r="AB69" s="6"/>
      <c r="AC69" s="6"/>
      <c r="AD69" s="13"/>
      <c r="AE69" s="6"/>
      <c r="AF69" s="89" t="str">
        <f>IF(AF68="#",0,IF(AND(D68=D69,K68=K69,L68=L69,M68=M69,N68=N69,O68=O69,P68=P69,Q68=Q69,R68=R69,S68=S69,T68=T69,U68=U69,V68=V69,W68=W69,HEX2DEC(SUBSTITUTE(AH68,"0x",""))&lt;HEX2DEC(SUBSTITUTE(AH69,"0x",""))),"",MAX($AF$6:AF68)+1))</f>
        <v/>
      </c>
      <c r="AG69" s="96" t="str">
        <f>IF(MAX(INDEX($AF:$AF,ROW($AG$6)):INDEX($AF:$AF,ROW(AG69)))+1=AF70,MAX(INDEX($AF:$AF,ROW($AG$6)):INDEX($AF:$AF,ROW(AG69))),"")</f>
        <v/>
      </c>
      <c r="AH69" s="6" t="str">
        <f t="shared" si="8"/>
        <v>0x40000494</v>
      </c>
      <c r="AI69" s="6">
        <f t="shared" si="9"/>
        <v>1073742996</v>
      </c>
      <c r="AJ69" s="6" t="str">
        <f t="shared" si="10"/>
        <v/>
      </c>
      <c r="AK69" s="6" t="str">
        <f t="shared" si="11"/>
        <v/>
      </c>
      <c r="AL69" s="6" t="str">
        <f t="shared" si="12"/>
        <v/>
      </c>
      <c r="AM69" s="6"/>
      <c r="AN69" s="6"/>
      <c r="AO69" s="13"/>
      <c r="AP69" s="6"/>
      <c r="AQ69" s="6"/>
      <c r="AR69" s="6"/>
      <c r="AS69" s="6"/>
      <c r="AT69" s="6"/>
      <c r="AU69" s="6"/>
      <c r="AV69" s="6"/>
    </row>
    <row r="70" spans="1:48" customFormat="1">
      <c r="A70" s="7" t="s">
        <v>1112</v>
      </c>
      <c r="B70" s="7" t="s">
        <v>1113</v>
      </c>
      <c r="C70" s="7" t="s">
        <v>29</v>
      </c>
      <c r="D70" s="7">
        <v>8</v>
      </c>
      <c r="E70" s="7">
        <v>500</v>
      </c>
      <c r="F70" s="7" t="s">
        <v>31</v>
      </c>
      <c r="G70" s="7"/>
      <c r="H70" s="7"/>
      <c r="I70" s="7" t="s">
        <v>32</v>
      </c>
      <c r="K70" s="6">
        <v>0</v>
      </c>
      <c r="L70" s="6">
        <v>0</v>
      </c>
      <c r="M70" s="6">
        <v>0</v>
      </c>
      <c r="N70" s="6">
        <v>1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89"/>
      <c r="Y70" s="6">
        <v>0</v>
      </c>
      <c r="Z70" s="6">
        <v>32768</v>
      </c>
      <c r="AA70" s="6"/>
      <c r="AB70" s="6"/>
      <c r="AC70" s="6"/>
      <c r="AD70" s="13"/>
      <c r="AE70" s="6"/>
      <c r="AF70" s="89" t="str">
        <f>IF(AF69="#",0,IF(AND(D69=D70,K69=K70,L69=L70,M69=M70,N69=N70,O69=O70,P69=P70,Q69=Q70,R69=R70,S69=S70,T69=T70,U69=U70,V69=V70,W69=W70,HEX2DEC(SUBSTITUTE(AH69,"0x",""))&lt;HEX2DEC(SUBSTITUTE(AH70,"0x",""))),"",MAX($AF$6:AF69)+1))</f>
        <v/>
      </c>
      <c r="AG70" s="96" t="str">
        <f>IF(MAX(INDEX($AF:$AF,ROW($AG$6)):INDEX($AF:$AF,ROW(AG70)))+1=AF71,MAX(INDEX($AF:$AF,ROW($AG$6)):INDEX($AF:$AF,ROW(AG70))),"")</f>
        <v/>
      </c>
      <c r="AH70" s="6" t="str">
        <f t="shared" ref="AH70:AH88" si="13">"0x40000"&amp;B70</f>
        <v>0x40000499</v>
      </c>
      <c r="AI70" s="6">
        <f t="shared" ref="AI70:AI89" si="14">HEX2DEC(RIGHT(AH70,8))</f>
        <v>1073743001</v>
      </c>
      <c r="AJ70" s="6" t="str">
        <f t="shared" ref="AJ70:AJ92" si="15">IF(AF70&lt;&gt;"",AH70,"")</f>
        <v/>
      </c>
      <c r="AK70" s="6" t="str">
        <f t="shared" ref="AK70:AK92" si="16">IF(AF70&lt;&gt;"",VLOOKUP(AF70,$AG$6:$AH$92,2,TRUE),"")</f>
        <v/>
      </c>
      <c r="AL70" s="6" t="str">
        <f t="shared" ref="AL70:AL92" si="17">IF($AF70&lt;&gt;"",MIN($D70:$D70),"")</f>
        <v/>
      </c>
      <c r="AM70" s="6"/>
      <c r="AN70" s="6"/>
      <c r="AO70" s="13"/>
      <c r="AP70" s="6"/>
      <c r="AQ70" s="6"/>
      <c r="AR70" s="6"/>
      <c r="AS70" s="6"/>
      <c r="AT70" s="6"/>
      <c r="AU70" s="6"/>
      <c r="AV70" s="6"/>
    </row>
    <row r="71" spans="1:48" customFormat="1">
      <c r="A71" s="7" t="s">
        <v>1114</v>
      </c>
      <c r="B71" s="7" t="s">
        <v>1115</v>
      </c>
      <c r="C71" s="7" t="s">
        <v>29</v>
      </c>
      <c r="D71" s="7">
        <v>8</v>
      </c>
      <c r="E71" s="7">
        <v>500</v>
      </c>
      <c r="F71" s="7" t="s">
        <v>31</v>
      </c>
      <c r="G71" s="7"/>
      <c r="H71" s="7"/>
      <c r="I71" s="7" t="s">
        <v>32</v>
      </c>
      <c r="K71" s="6">
        <v>0</v>
      </c>
      <c r="L71" s="6">
        <v>0</v>
      </c>
      <c r="M71" s="6">
        <v>0</v>
      </c>
      <c r="N71" s="6">
        <v>1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89"/>
      <c r="Y71" s="6">
        <v>0</v>
      </c>
      <c r="Z71" s="6">
        <v>32768</v>
      </c>
      <c r="AA71" s="6"/>
      <c r="AB71" s="6"/>
      <c r="AC71" s="6"/>
      <c r="AD71" s="13"/>
      <c r="AE71" s="6"/>
      <c r="AF71" s="89" t="str">
        <f>IF(AF70="#",0,IF(AND(D70=D71,K70=K71,L70=L71,M70=M71,N70=N71,O70=O71,P70=P71,Q70=Q71,R70=R71,S70=S71,T70=T71,U70=U71,V70=V71,W70=W71,HEX2DEC(SUBSTITUTE(AH70,"0x",""))&lt;HEX2DEC(SUBSTITUTE(AH71,"0x",""))),"",MAX($AF$6:AF70)+1))</f>
        <v/>
      </c>
      <c r="AG71" s="96" t="str">
        <f>IF(MAX(INDEX($AF:$AF,ROW($AG$6)):INDEX($AF:$AF,ROW(AG71)))+1=AF72,MAX(INDEX($AF:$AF,ROW($AG$6)):INDEX($AF:$AF,ROW(AG71))),"")</f>
        <v/>
      </c>
      <c r="AH71" s="6" t="str">
        <f t="shared" si="13"/>
        <v>0x4000049A</v>
      </c>
      <c r="AI71" s="6">
        <f t="shared" si="14"/>
        <v>1073743002</v>
      </c>
      <c r="AJ71" s="6" t="str">
        <f t="shared" si="15"/>
        <v/>
      </c>
      <c r="AK71" s="6" t="str">
        <f t="shared" si="16"/>
        <v/>
      </c>
      <c r="AL71" s="6" t="str">
        <f t="shared" si="17"/>
        <v/>
      </c>
      <c r="AM71" s="6"/>
      <c r="AN71" s="6"/>
      <c r="AO71" s="13"/>
      <c r="AP71" s="6"/>
      <c r="AQ71" s="6"/>
      <c r="AR71" s="6"/>
      <c r="AS71" s="6"/>
      <c r="AT71" s="6"/>
      <c r="AU71" s="6"/>
      <c r="AV71" s="6"/>
    </row>
    <row r="72" spans="1:48" customFormat="1">
      <c r="A72" s="7" t="s">
        <v>1116</v>
      </c>
      <c r="B72" s="7" t="s">
        <v>1117</v>
      </c>
      <c r="C72" s="7" t="s">
        <v>29</v>
      </c>
      <c r="D72" s="7">
        <v>8</v>
      </c>
      <c r="E72" s="7">
        <v>500</v>
      </c>
      <c r="F72" s="7" t="s">
        <v>31</v>
      </c>
      <c r="G72" s="7"/>
      <c r="H72" s="7"/>
      <c r="I72" s="7" t="s">
        <v>32</v>
      </c>
      <c r="K72" s="6">
        <v>0</v>
      </c>
      <c r="L72" s="6">
        <v>0</v>
      </c>
      <c r="M72" s="6">
        <v>0</v>
      </c>
      <c r="N72" s="6">
        <v>1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89"/>
      <c r="Y72" s="6">
        <v>0</v>
      </c>
      <c r="Z72" s="6">
        <v>32768</v>
      </c>
      <c r="AA72" s="6"/>
      <c r="AB72" s="6"/>
      <c r="AC72" s="6"/>
      <c r="AD72" s="13"/>
      <c r="AE72" s="6"/>
      <c r="AF72" s="89" t="str">
        <f>IF(AF71="#",0,IF(AND(D71=D72,K71=K72,L71=L72,M71=M72,N71=N72,O71=O72,P71=P72,Q71=Q72,R71=R72,S71=S72,T71=T72,U71=U72,V71=V72,W71=W72,HEX2DEC(SUBSTITUTE(AH71,"0x",""))&lt;HEX2DEC(SUBSTITUTE(AH72,"0x",""))),"",MAX($AF$6:AF71)+1))</f>
        <v/>
      </c>
      <c r="AG72" s="96" t="str">
        <f>IF(MAX(INDEX($AF:$AF,ROW($AG$6)):INDEX($AF:$AF,ROW(AG72)))+1=AF73,MAX(INDEX($AF:$AF,ROW($AG$6)):INDEX($AF:$AF,ROW(AG72))),"")</f>
        <v/>
      </c>
      <c r="AH72" s="6" t="str">
        <f t="shared" si="13"/>
        <v>0x4000049B</v>
      </c>
      <c r="AI72" s="6">
        <f t="shared" si="14"/>
        <v>1073743003</v>
      </c>
      <c r="AJ72" s="6" t="str">
        <f t="shared" si="15"/>
        <v/>
      </c>
      <c r="AK72" s="6" t="str">
        <f t="shared" si="16"/>
        <v/>
      </c>
      <c r="AL72" s="6" t="str">
        <f t="shared" si="17"/>
        <v/>
      </c>
      <c r="AM72" s="6"/>
      <c r="AN72" s="6"/>
      <c r="AO72" s="13"/>
      <c r="AP72" s="6"/>
      <c r="AQ72" s="6"/>
      <c r="AR72" s="6"/>
      <c r="AS72" s="6"/>
      <c r="AT72" s="6"/>
      <c r="AU72" s="6"/>
      <c r="AV72" s="6"/>
    </row>
    <row r="73" spans="1:48" customFormat="1">
      <c r="A73" s="7" t="s">
        <v>1118</v>
      </c>
      <c r="B73" s="7" t="s">
        <v>1119</v>
      </c>
      <c r="C73" s="7" t="s">
        <v>29</v>
      </c>
      <c r="D73" s="7">
        <v>8</v>
      </c>
      <c r="E73" s="7">
        <v>500</v>
      </c>
      <c r="F73" s="7" t="s">
        <v>31</v>
      </c>
      <c r="G73" s="7"/>
      <c r="H73" s="7"/>
      <c r="I73" s="7" t="s">
        <v>32</v>
      </c>
      <c r="K73" s="6">
        <v>0</v>
      </c>
      <c r="L73" s="6">
        <v>0</v>
      </c>
      <c r="M73" s="6">
        <v>0</v>
      </c>
      <c r="N73" s="6">
        <v>1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89"/>
      <c r="Y73" s="6">
        <v>0</v>
      </c>
      <c r="Z73" s="6">
        <v>32768</v>
      </c>
      <c r="AA73" s="6"/>
      <c r="AB73" s="6"/>
      <c r="AC73" s="6"/>
      <c r="AD73" s="13"/>
      <c r="AE73" s="6"/>
      <c r="AF73" s="89" t="str">
        <f>IF(AF72="#",0,IF(AND(D72=D73,K72=K73,L72=L73,M72=M73,N72=N73,O72=O73,P72=P73,Q72=Q73,R72=R73,S72=S73,T72=T73,U72=U73,V72=V73,W72=W73,HEX2DEC(SUBSTITUTE(AH72,"0x",""))&lt;HEX2DEC(SUBSTITUTE(AH73,"0x",""))),"",MAX($AF$6:AF72)+1))</f>
        <v/>
      </c>
      <c r="AG73" s="96">
        <f>IF(MAX(INDEX($AF:$AF,ROW($AG$6)):INDEX($AF:$AF,ROW(AG73)))+1=AF74,MAX(INDEX($AF:$AF,ROW($AG$6)):INDEX($AF:$AF,ROW(AG73))),"")</f>
        <v>27</v>
      </c>
      <c r="AH73" s="6" t="str">
        <f t="shared" si="13"/>
        <v>0x4000049D</v>
      </c>
      <c r="AI73" s="6">
        <f t="shared" si="14"/>
        <v>1073743005</v>
      </c>
      <c r="AJ73" s="6" t="str">
        <f t="shared" si="15"/>
        <v/>
      </c>
      <c r="AK73" s="6" t="str">
        <f t="shared" si="16"/>
        <v/>
      </c>
      <c r="AL73" s="6" t="str">
        <f t="shared" si="17"/>
        <v/>
      </c>
      <c r="AM73" s="6"/>
      <c r="AN73" s="6"/>
      <c r="AO73" s="13"/>
      <c r="AP73" s="6"/>
      <c r="AQ73" s="6"/>
      <c r="AR73" s="6"/>
      <c r="AS73" s="6"/>
      <c r="AT73" s="6"/>
      <c r="AU73" s="6"/>
      <c r="AV73" s="6"/>
    </row>
    <row r="74" spans="1:48" customFormat="1">
      <c r="A74" s="7" t="s">
        <v>1120</v>
      </c>
      <c r="B74" s="7" t="s">
        <v>1121</v>
      </c>
      <c r="C74" s="7" t="s">
        <v>29</v>
      </c>
      <c r="D74" s="7">
        <v>32</v>
      </c>
      <c r="E74" s="7">
        <v>500</v>
      </c>
      <c r="F74" s="7" t="s">
        <v>31</v>
      </c>
      <c r="G74" s="7"/>
      <c r="H74" s="7"/>
      <c r="I74" s="7" t="s">
        <v>32</v>
      </c>
      <c r="K74" s="6">
        <v>0</v>
      </c>
      <c r="L74" s="6">
        <v>0</v>
      </c>
      <c r="M74" s="6">
        <v>0</v>
      </c>
      <c r="N74" s="6">
        <v>1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89"/>
      <c r="Y74" s="6">
        <v>0</v>
      </c>
      <c r="Z74" s="6">
        <v>32768</v>
      </c>
      <c r="AA74" s="6"/>
      <c r="AB74" s="6"/>
      <c r="AC74" s="6"/>
      <c r="AD74" s="13"/>
      <c r="AE74" s="6"/>
      <c r="AF74" s="89">
        <f>IF(AF73="#",0,IF(AND(D73=D74,K73=K74,L73=L74,M73=M74,N73=N74,O73=O74,P73=P74,Q73=Q74,R73=R74,S73=S74,T73=T74,U73=U74,V73=V74,W73=W74,HEX2DEC(SUBSTITUTE(AH73,"0x",""))&lt;HEX2DEC(SUBSTITUTE(AH74,"0x",""))),"",MAX($AF$6:AF73)+1))</f>
        <v>28</v>
      </c>
      <c r="AG74" s="96">
        <f>IF(MAX(INDEX($AF:$AF,ROW($AG$6)):INDEX($AF:$AF,ROW(AG74)))+1=AF75,MAX(INDEX($AF:$AF,ROW($AG$6)):INDEX($AF:$AF,ROW(AG74))),"")</f>
        <v>28</v>
      </c>
      <c r="AH74" s="6" t="str">
        <f t="shared" si="13"/>
        <v>0x400004A1</v>
      </c>
      <c r="AI74" s="6">
        <f t="shared" si="14"/>
        <v>1073743009</v>
      </c>
      <c r="AJ74" s="6" t="str">
        <f t="shared" si="15"/>
        <v>0x400004A1</v>
      </c>
      <c r="AK74" s="6" t="str">
        <f t="shared" si="16"/>
        <v>0x400004A1</v>
      </c>
      <c r="AL74" s="6">
        <f t="shared" si="17"/>
        <v>32</v>
      </c>
      <c r="AM74" s="6"/>
      <c r="AN74" s="6"/>
      <c r="AO74" s="13"/>
      <c r="AP74" s="6"/>
      <c r="AQ74" s="6"/>
      <c r="AR74" s="6"/>
      <c r="AS74" s="6"/>
      <c r="AT74" s="6"/>
      <c r="AU74" s="6"/>
      <c r="AV74" s="6"/>
    </row>
    <row r="75" spans="1:48" customFormat="1">
      <c r="A75" s="7" t="s">
        <v>1122</v>
      </c>
      <c r="B75" s="7" t="s">
        <v>1123</v>
      </c>
      <c r="C75" s="7" t="s">
        <v>29</v>
      </c>
      <c r="D75" s="7">
        <v>8</v>
      </c>
      <c r="E75" s="7">
        <v>500</v>
      </c>
      <c r="F75" s="7" t="s">
        <v>31</v>
      </c>
      <c r="G75" s="7"/>
      <c r="H75" s="7"/>
      <c r="I75" s="7" t="s">
        <v>32</v>
      </c>
      <c r="K75" s="6">
        <v>0</v>
      </c>
      <c r="L75" s="6">
        <v>0</v>
      </c>
      <c r="M75" s="6">
        <v>0</v>
      </c>
      <c r="N75" s="6">
        <v>1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89"/>
      <c r="Y75" s="6">
        <v>0</v>
      </c>
      <c r="Z75" s="6">
        <v>32768</v>
      </c>
      <c r="AA75" s="6"/>
      <c r="AB75" s="6"/>
      <c r="AC75" s="6"/>
      <c r="AD75" s="13"/>
      <c r="AE75" s="6"/>
      <c r="AF75" s="89">
        <f>IF(AF74="#",0,IF(AND(D74=D75,K74=K75,L74=L75,M74=M75,N74=N75,O74=O75,P74=P75,Q74=Q75,R74=R75,S74=S75,T74=T75,U74=U75,V74=V75,W74=W75,HEX2DEC(SUBSTITUTE(AH74,"0x",""))&lt;HEX2DEC(SUBSTITUTE(AH75,"0x",""))),"",MAX($AF$6:AF74)+1))</f>
        <v>29</v>
      </c>
      <c r="AG75" s="96">
        <f>IF(MAX(INDEX($AF:$AF,ROW($AG$6)):INDEX($AF:$AF,ROW(AG75)))+1=AF76,MAX(INDEX($AF:$AF,ROW($AG$6)):INDEX($AF:$AF,ROW(AG75))),"")</f>
        <v>29</v>
      </c>
      <c r="AH75" s="6" t="str">
        <f t="shared" si="13"/>
        <v>0x400004A3</v>
      </c>
      <c r="AI75" s="6">
        <f t="shared" si="14"/>
        <v>1073743011</v>
      </c>
      <c r="AJ75" s="6" t="str">
        <f t="shared" si="15"/>
        <v>0x400004A3</v>
      </c>
      <c r="AK75" s="6" t="str">
        <f t="shared" si="16"/>
        <v>0x400004A3</v>
      </c>
      <c r="AL75" s="6">
        <f t="shared" si="17"/>
        <v>8</v>
      </c>
      <c r="AM75" s="6"/>
      <c r="AN75" s="6"/>
      <c r="AO75" s="13"/>
      <c r="AP75" s="6"/>
      <c r="AQ75" s="6"/>
      <c r="AR75" s="6"/>
      <c r="AS75" s="6"/>
      <c r="AT75" s="6"/>
      <c r="AU75" s="6"/>
      <c r="AV75" s="6"/>
    </row>
    <row r="76" spans="1:48" customFormat="1">
      <c r="A76" s="7" t="s">
        <v>1124</v>
      </c>
      <c r="B76" s="7" t="s">
        <v>1125</v>
      </c>
      <c r="C76" s="7" t="s">
        <v>29</v>
      </c>
      <c r="D76" s="7">
        <v>32</v>
      </c>
      <c r="E76" s="7">
        <v>500</v>
      </c>
      <c r="F76" s="7" t="s">
        <v>31</v>
      </c>
      <c r="G76" s="7"/>
      <c r="H76" s="7"/>
      <c r="I76" s="7" t="s">
        <v>32</v>
      </c>
      <c r="K76" s="6">
        <v>0</v>
      </c>
      <c r="L76" s="6">
        <v>0</v>
      </c>
      <c r="M76" s="6">
        <v>0</v>
      </c>
      <c r="N76" s="6">
        <v>1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89"/>
      <c r="Y76" s="6">
        <v>0</v>
      </c>
      <c r="Z76" s="6">
        <v>32768</v>
      </c>
      <c r="AA76" s="6"/>
      <c r="AB76" s="6"/>
      <c r="AC76" s="6"/>
      <c r="AD76" s="13"/>
      <c r="AE76" s="6"/>
      <c r="AF76" s="89">
        <f>IF(AF75="#",0,IF(AND(D75=D76,K75=K76,L75=L76,M75=M76,N75=N76,O75=O76,P75=P76,Q75=Q76,R75=R76,S75=S76,T75=T76,U75=U76,V75=V76,W75=W76,HEX2DEC(SUBSTITUTE(AH75,"0x",""))&lt;HEX2DEC(SUBSTITUTE(AH76,"0x",""))),"",MAX($AF$6:AF75)+1))</f>
        <v>30</v>
      </c>
      <c r="AG76" s="96">
        <f>IF(MAX(INDEX($AF:$AF,ROW($AG$6)):INDEX($AF:$AF,ROW(AG76)))+1=AF77,MAX(INDEX($AF:$AF,ROW($AG$6)):INDEX($AF:$AF,ROW(AG76))),"")</f>
        <v>30</v>
      </c>
      <c r="AH76" s="6" t="str">
        <f t="shared" si="13"/>
        <v>0x400004A4</v>
      </c>
      <c r="AI76" s="6">
        <f t="shared" si="14"/>
        <v>1073743012</v>
      </c>
      <c r="AJ76" s="6" t="str">
        <f t="shared" si="15"/>
        <v>0x400004A4</v>
      </c>
      <c r="AK76" s="6" t="str">
        <f t="shared" si="16"/>
        <v>0x400004A4</v>
      </c>
      <c r="AL76" s="6">
        <f t="shared" si="17"/>
        <v>32</v>
      </c>
      <c r="AM76" s="6"/>
      <c r="AN76" s="6"/>
      <c r="AO76" s="13"/>
      <c r="AP76" s="6"/>
      <c r="AQ76" s="6"/>
      <c r="AR76" s="6"/>
      <c r="AS76" s="6"/>
      <c r="AT76" s="6"/>
      <c r="AU76" s="6"/>
      <c r="AV76" s="6"/>
    </row>
    <row r="77" spans="1:48" customFormat="1">
      <c r="A77" s="7" t="s">
        <v>1126</v>
      </c>
      <c r="B77" s="7" t="s">
        <v>1127</v>
      </c>
      <c r="C77" s="7" t="s">
        <v>29</v>
      </c>
      <c r="D77" s="7">
        <v>8</v>
      </c>
      <c r="E77" s="7">
        <v>500</v>
      </c>
      <c r="F77" s="7" t="s">
        <v>31</v>
      </c>
      <c r="G77" s="7"/>
      <c r="H77" s="7"/>
      <c r="I77" s="7" t="s">
        <v>32</v>
      </c>
      <c r="K77" s="6">
        <v>0</v>
      </c>
      <c r="L77" s="6">
        <v>0</v>
      </c>
      <c r="M77" s="6">
        <v>0</v>
      </c>
      <c r="N77" s="6">
        <v>1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89"/>
      <c r="Y77" s="6">
        <v>0</v>
      </c>
      <c r="Z77" s="6">
        <v>32768</v>
      </c>
      <c r="AA77" s="6"/>
      <c r="AB77" s="6"/>
      <c r="AC77" s="6"/>
      <c r="AD77" s="13"/>
      <c r="AE77" s="6"/>
      <c r="AF77" s="89">
        <f>IF(AF76="#",0,IF(AND(D76=D77,K76=K77,L76=L77,M76=M77,N76=N77,O76=O77,P76=P77,Q76=Q77,R76=R77,S76=S77,T76=T77,U76=U77,V76=V77,W76=W77,HEX2DEC(SUBSTITUTE(AH76,"0x",""))&lt;HEX2DEC(SUBSTITUTE(AH77,"0x",""))),"",MAX($AF$6:AF76)+1))</f>
        <v>31</v>
      </c>
      <c r="AG77" s="96">
        <f>IF(MAX(INDEX($AF:$AF,ROW($AG$6)):INDEX($AF:$AF,ROW(AG77)))+1=AF78,MAX(INDEX($AF:$AF,ROW($AG$6)):INDEX($AF:$AF,ROW(AG77))),"")</f>
        <v>31</v>
      </c>
      <c r="AH77" s="6" t="str">
        <f t="shared" si="13"/>
        <v>0x400004A8</v>
      </c>
      <c r="AI77" s="6">
        <f t="shared" si="14"/>
        <v>1073743016</v>
      </c>
      <c r="AJ77" s="6" t="str">
        <f t="shared" si="15"/>
        <v>0x400004A8</v>
      </c>
      <c r="AK77" s="6" t="str">
        <f t="shared" si="16"/>
        <v>0x400004A8</v>
      </c>
      <c r="AL77" s="6">
        <f t="shared" si="17"/>
        <v>8</v>
      </c>
      <c r="AM77" s="6"/>
      <c r="AN77" s="6"/>
      <c r="AO77" s="13"/>
      <c r="AP77" s="6"/>
      <c r="AQ77" s="6"/>
      <c r="AR77" s="6"/>
      <c r="AS77" s="6"/>
      <c r="AT77" s="6"/>
      <c r="AU77" s="6"/>
      <c r="AV77" s="6"/>
    </row>
    <row r="78" spans="1:48" customFormat="1">
      <c r="A78" s="7" t="s">
        <v>1128</v>
      </c>
      <c r="B78" s="7" t="s">
        <v>1129</v>
      </c>
      <c r="C78" s="7" t="s">
        <v>29</v>
      </c>
      <c r="D78" s="7">
        <v>32</v>
      </c>
      <c r="E78" s="7">
        <v>500</v>
      </c>
      <c r="F78" s="7" t="s">
        <v>31</v>
      </c>
      <c r="G78" s="7"/>
      <c r="H78" s="7"/>
      <c r="I78" s="7" t="s">
        <v>32</v>
      </c>
      <c r="K78" s="6">
        <v>0</v>
      </c>
      <c r="L78" s="6">
        <v>0</v>
      </c>
      <c r="M78" s="6">
        <v>0</v>
      </c>
      <c r="N78" s="6">
        <v>1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89"/>
      <c r="Y78" s="6">
        <v>0</v>
      </c>
      <c r="Z78" s="6">
        <v>32768</v>
      </c>
      <c r="AA78" s="6"/>
      <c r="AB78" s="6"/>
      <c r="AC78" s="6"/>
      <c r="AD78" s="13"/>
      <c r="AE78" s="6"/>
      <c r="AF78" s="89">
        <f>IF(AF77="#",0,IF(AND(D77=D78,K77=K78,L77=L78,M77=M78,N77=N78,O77=O78,P77=P78,Q77=Q78,R77=R78,S77=S78,T77=T78,U77=U78,V77=V78,W77=W78,HEX2DEC(SUBSTITUTE(AH77,"0x",""))&lt;HEX2DEC(SUBSTITUTE(AH78,"0x",""))),"",MAX($AF$6:AF77)+1))</f>
        <v>32</v>
      </c>
      <c r="AG78" s="96">
        <f>IF(MAX(INDEX($AF:$AF,ROW($AG$6)):INDEX($AF:$AF,ROW(AG78)))+1=AF79,MAX(INDEX($AF:$AF,ROW($AG$6)):INDEX($AF:$AF,ROW(AG78))),"")</f>
        <v>32</v>
      </c>
      <c r="AH78" s="6" t="str">
        <f t="shared" si="13"/>
        <v>0x400004A9</v>
      </c>
      <c r="AI78" s="6">
        <f t="shared" si="14"/>
        <v>1073743017</v>
      </c>
      <c r="AJ78" s="6" t="str">
        <f t="shared" si="15"/>
        <v>0x400004A9</v>
      </c>
      <c r="AK78" s="6" t="str">
        <f t="shared" si="16"/>
        <v>0x400004A9</v>
      </c>
      <c r="AL78" s="6">
        <f t="shared" si="17"/>
        <v>32</v>
      </c>
      <c r="AM78" s="6"/>
      <c r="AN78" s="6"/>
      <c r="AO78" s="13"/>
      <c r="AP78" s="6"/>
      <c r="AQ78" s="6"/>
      <c r="AR78" s="6"/>
      <c r="AS78" s="6"/>
      <c r="AT78" s="6"/>
      <c r="AU78" s="6"/>
      <c r="AV78" s="6"/>
    </row>
    <row r="79" spans="1:48" customFormat="1">
      <c r="A79" s="7" t="s">
        <v>1130</v>
      </c>
      <c r="B79" s="7" t="s">
        <v>1131</v>
      </c>
      <c r="C79" s="7" t="s">
        <v>29</v>
      </c>
      <c r="D79" s="7">
        <v>8</v>
      </c>
      <c r="E79" s="7">
        <v>500</v>
      </c>
      <c r="F79" s="7" t="s">
        <v>31</v>
      </c>
      <c r="G79" s="7"/>
      <c r="H79" s="7"/>
      <c r="I79" s="7" t="s">
        <v>32</v>
      </c>
      <c r="K79" s="6">
        <v>0</v>
      </c>
      <c r="L79" s="6">
        <v>0</v>
      </c>
      <c r="M79" s="6">
        <v>0</v>
      </c>
      <c r="N79" s="6">
        <v>1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89"/>
      <c r="Y79" s="6">
        <v>0</v>
      </c>
      <c r="Z79" s="6">
        <v>32768</v>
      </c>
      <c r="AA79" s="6"/>
      <c r="AB79" s="6"/>
      <c r="AC79" s="6"/>
      <c r="AD79" s="13"/>
      <c r="AE79" s="6"/>
      <c r="AF79" s="89">
        <f>IF(AF78="#",0,IF(AND(D78=D79,K78=K79,L78=L79,M78=M79,N78=N79,O78=O79,P78=P79,Q78=Q79,R78=R79,S78=S79,T78=T79,U78=U79,V78=V79,W78=W79,HEX2DEC(SUBSTITUTE(AH78,"0x",""))&lt;HEX2DEC(SUBSTITUTE(AH79,"0x",""))),"",MAX($AF$6:AF78)+1))</f>
        <v>33</v>
      </c>
      <c r="AG79" s="96" t="str">
        <f>IF(MAX(INDEX($AF:$AF,ROW($AG$6)):INDEX($AF:$AF,ROW(AG79)))+1=AF80,MAX(INDEX($AF:$AF,ROW($AG$6)):INDEX($AF:$AF,ROW(AG79))),"")</f>
        <v/>
      </c>
      <c r="AH79" s="6" t="str">
        <f t="shared" si="13"/>
        <v>0x400004AE</v>
      </c>
      <c r="AI79" s="6">
        <f t="shared" si="14"/>
        <v>1073743022</v>
      </c>
      <c r="AJ79" s="6" t="str">
        <f t="shared" si="15"/>
        <v>0x400004AE</v>
      </c>
      <c r="AK79" s="6" t="str">
        <f t="shared" si="16"/>
        <v>0x40000583</v>
      </c>
      <c r="AL79" s="6">
        <f t="shared" si="17"/>
        <v>8</v>
      </c>
      <c r="AM79" s="6"/>
      <c r="AN79" s="6"/>
      <c r="AO79" s="13"/>
      <c r="AP79" s="6"/>
      <c r="AQ79" s="6"/>
      <c r="AR79" s="6"/>
      <c r="AS79" s="6"/>
      <c r="AT79" s="6"/>
      <c r="AU79" s="6"/>
      <c r="AV79" s="6"/>
    </row>
    <row r="80" spans="1:48" customFormat="1">
      <c r="A80" s="7" t="s">
        <v>1132</v>
      </c>
      <c r="B80" s="7" t="s">
        <v>1133</v>
      </c>
      <c r="C80" s="7" t="s">
        <v>29</v>
      </c>
      <c r="D80" s="7">
        <v>8</v>
      </c>
      <c r="E80" s="7">
        <v>500</v>
      </c>
      <c r="F80" s="7" t="s">
        <v>31</v>
      </c>
      <c r="G80" s="7"/>
      <c r="H80" s="7"/>
      <c r="I80" s="7" t="s">
        <v>32</v>
      </c>
      <c r="K80" s="6">
        <v>0</v>
      </c>
      <c r="L80" s="6">
        <v>0</v>
      </c>
      <c r="M80" s="6">
        <v>0</v>
      </c>
      <c r="N80" s="6">
        <v>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89"/>
      <c r="Y80" s="6">
        <v>0</v>
      </c>
      <c r="Z80" s="6">
        <v>32768</v>
      </c>
      <c r="AA80" s="6"/>
      <c r="AB80" s="6"/>
      <c r="AC80" s="6"/>
      <c r="AD80" s="13"/>
      <c r="AE80" s="6"/>
      <c r="AF80" s="89" t="str">
        <f>IF(AF79="#",0,IF(AND(D79=D80,K79=K80,L79=L80,M79=M80,N79=N80,O79=O80,P79=P80,Q79=Q80,R79=R80,S79=S80,T79=T80,U79=U80,V79=V80,W79=W80,HEX2DEC(SUBSTITUTE(AH79,"0x",""))&lt;HEX2DEC(SUBSTITUTE(AH80,"0x",""))),"",MAX($AF$6:AF79)+1))</f>
        <v/>
      </c>
      <c r="AG80" s="96" t="str">
        <f>IF(MAX(INDEX($AF:$AF,ROW($AG$6)):INDEX($AF:$AF,ROW(AG80)))+1=AF81,MAX(INDEX($AF:$AF,ROW($AG$6)):INDEX($AF:$AF,ROW(AG80))),"")</f>
        <v/>
      </c>
      <c r="AH80" s="6" t="str">
        <f t="shared" si="13"/>
        <v>0x400004AF</v>
      </c>
      <c r="AI80" s="6">
        <f t="shared" si="14"/>
        <v>1073743023</v>
      </c>
      <c r="AJ80" s="6" t="str">
        <f t="shared" si="15"/>
        <v/>
      </c>
      <c r="AK80" s="6" t="str">
        <f t="shared" si="16"/>
        <v/>
      </c>
      <c r="AL80" s="6" t="str">
        <f t="shared" si="17"/>
        <v/>
      </c>
      <c r="AM80" s="6"/>
      <c r="AN80" s="6"/>
      <c r="AO80" s="13"/>
      <c r="AP80" s="6"/>
      <c r="AQ80" s="6"/>
      <c r="AR80" s="6"/>
      <c r="AS80" s="6"/>
      <c r="AT80" s="6"/>
      <c r="AU80" s="6"/>
      <c r="AV80" s="6"/>
    </row>
    <row r="81" spans="1:48" customFormat="1">
      <c r="A81" s="7" t="s">
        <v>1134</v>
      </c>
      <c r="B81" s="7" t="s">
        <v>1135</v>
      </c>
      <c r="C81" s="7" t="s">
        <v>29</v>
      </c>
      <c r="D81" s="7">
        <v>8</v>
      </c>
      <c r="E81" s="7">
        <v>1500</v>
      </c>
      <c r="F81" s="7" t="s">
        <v>31</v>
      </c>
      <c r="G81" s="7"/>
      <c r="H81" s="7"/>
      <c r="I81" s="7" t="s">
        <v>32</v>
      </c>
      <c r="K81" s="6">
        <v>0</v>
      </c>
      <c r="L81" s="6">
        <v>0</v>
      </c>
      <c r="M81" s="6">
        <v>0</v>
      </c>
      <c r="N81" s="6">
        <v>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89"/>
      <c r="Y81" s="6">
        <v>0</v>
      </c>
      <c r="Z81" s="6">
        <v>32768</v>
      </c>
      <c r="AA81" s="6"/>
      <c r="AB81" s="6"/>
      <c r="AC81" s="6"/>
      <c r="AD81" s="13"/>
      <c r="AE81" s="6"/>
      <c r="AF81" s="89" t="str">
        <f>IF(AF80="#",0,IF(AND(D80=D81,K80=K81,L80=L81,M80=M81,N80=N81,O80=O81,P80=P81,Q80=Q81,R80=R81,S80=S81,T80=T81,U80=U81,V80=V81,W80=W81,HEX2DEC(SUBSTITUTE(AH80,"0x",""))&lt;HEX2DEC(SUBSTITUTE(AH81,"0x",""))),"",MAX($AF$6:AF80)+1))</f>
        <v/>
      </c>
      <c r="AG81" s="96">
        <f>IF(MAX(INDEX($AF:$AF,ROW($AG$6)):INDEX($AF:$AF,ROW(AG81)))+1=AF82,MAX(INDEX($AF:$AF,ROW($AG$6)):INDEX($AF:$AF,ROW(AG81))),"")</f>
        <v>33</v>
      </c>
      <c r="AH81" s="6" t="str">
        <f t="shared" si="13"/>
        <v>0x40000583</v>
      </c>
      <c r="AI81" s="6">
        <f t="shared" si="14"/>
        <v>1073743235</v>
      </c>
      <c r="AJ81" s="6" t="str">
        <f t="shared" si="15"/>
        <v/>
      </c>
      <c r="AK81" s="6" t="str">
        <f t="shared" si="16"/>
        <v/>
      </c>
      <c r="AL81" s="6" t="str">
        <f t="shared" si="17"/>
        <v/>
      </c>
      <c r="AM81" s="6"/>
      <c r="AN81" s="6"/>
      <c r="AO81" s="13"/>
      <c r="AP81" s="6"/>
      <c r="AQ81" s="6"/>
      <c r="AR81" s="6"/>
      <c r="AS81" s="6"/>
      <c r="AT81" s="6"/>
      <c r="AU81" s="6"/>
      <c r="AV81" s="6"/>
    </row>
    <row r="82" spans="1:48" customFormat="1">
      <c r="A82" s="7" t="s">
        <v>1136</v>
      </c>
      <c r="B82" s="7" t="s">
        <v>1137</v>
      </c>
      <c r="C82" s="7" t="s">
        <v>29</v>
      </c>
      <c r="D82" s="7">
        <v>32</v>
      </c>
      <c r="E82" s="7">
        <v>1000</v>
      </c>
      <c r="F82" s="7" t="s">
        <v>31</v>
      </c>
      <c r="G82" s="7"/>
      <c r="H82" s="7"/>
      <c r="I82" s="7" t="s">
        <v>32</v>
      </c>
      <c r="K82" s="6">
        <v>0</v>
      </c>
      <c r="L82" s="6">
        <v>0</v>
      </c>
      <c r="M82" s="6">
        <v>0</v>
      </c>
      <c r="N82" s="6">
        <v>1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89"/>
      <c r="Y82" s="6">
        <v>0</v>
      </c>
      <c r="Z82" s="6">
        <v>32768</v>
      </c>
      <c r="AA82" s="6"/>
      <c r="AB82" s="6"/>
      <c r="AC82" s="6"/>
      <c r="AD82" s="13"/>
      <c r="AE82" s="6"/>
      <c r="AF82" s="89">
        <f>IF(AF81="#",0,IF(AND(D81=D82,K81=K82,L81=L82,M81=M82,N81=N82,O81=O82,P81=P82,Q81=Q82,R81=R82,S81=S82,T81=T82,U81=U82,V81=V82,W81=W82,HEX2DEC(SUBSTITUTE(AH81,"0x",""))&lt;HEX2DEC(SUBSTITUTE(AH82,"0x",""))),"",MAX($AF$6:AF81)+1))</f>
        <v>34</v>
      </c>
      <c r="AG82" s="96" t="str">
        <f>IF(MAX(INDEX($AF:$AF,ROW($AG$6)):INDEX($AF:$AF,ROW(AG82)))+1=AF83,MAX(INDEX($AF:$AF,ROW($AG$6)):INDEX($AF:$AF,ROW(AG82))),"")</f>
        <v/>
      </c>
      <c r="AH82" s="6" t="str">
        <f t="shared" si="13"/>
        <v>0x40000589</v>
      </c>
      <c r="AI82" s="6">
        <f t="shared" si="14"/>
        <v>1073743241</v>
      </c>
      <c r="AJ82" s="6" t="str">
        <f t="shared" si="15"/>
        <v>0x40000589</v>
      </c>
      <c r="AK82" s="6" t="str">
        <f t="shared" si="16"/>
        <v>0x400005F1</v>
      </c>
      <c r="AL82" s="6">
        <f t="shared" si="17"/>
        <v>32</v>
      </c>
      <c r="AM82" s="6"/>
      <c r="AN82" s="6"/>
      <c r="AO82" s="13"/>
      <c r="AP82" s="6"/>
      <c r="AQ82" s="6"/>
      <c r="AR82" s="6"/>
      <c r="AS82" s="6"/>
      <c r="AT82" s="6"/>
      <c r="AU82" s="6"/>
      <c r="AV82" s="6"/>
    </row>
    <row r="83" spans="1:48" customFormat="1">
      <c r="A83" s="7" t="s">
        <v>1138</v>
      </c>
      <c r="B83" s="7" t="s">
        <v>1139</v>
      </c>
      <c r="C83" s="7" t="s">
        <v>29</v>
      </c>
      <c r="D83" s="7">
        <v>32</v>
      </c>
      <c r="E83" s="7">
        <v>5000</v>
      </c>
      <c r="F83" s="7" t="s">
        <v>31</v>
      </c>
      <c r="G83" s="7"/>
      <c r="H83" s="7"/>
      <c r="I83" s="7" t="s">
        <v>32</v>
      </c>
      <c r="K83" s="6">
        <v>0</v>
      </c>
      <c r="L83" s="6">
        <v>0</v>
      </c>
      <c r="M83" s="6">
        <v>0</v>
      </c>
      <c r="N83" s="6">
        <v>1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89"/>
      <c r="Y83" s="6">
        <v>0</v>
      </c>
      <c r="Z83" s="6">
        <v>32768</v>
      </c>
      <c r="AA83" s="6"/>
      <c r="AB83" s="6"/>
      <c r="AC83" s="6"/>
      <c r="AD83" s="13"/>
      <c r="AE83" s="6"/>
      <c r="AF83" s="89" t="str">
        <f>IF(AF82="#",0,IF(AND(D82=D83,K82=K83,L82=L83,M82=M83,N82=N83,O82=O83,P82=P83,Q82=Q83,R82=R83,S82=S83,T82=T83,U82=U83,V82=V83,W82=W83,HEX2DEC(SUBSTITUTE(AH82,"0x",""))&lt;HEX2DEC(SUBSTITUTE(AH83,"0x",""))),"",MAX($AF$6:AF82)+1))</f>
        <v/>
      </c>
      <c r="AG83" s="96" t="str">
        <f>IF(MAX(INDEX($AF:$AF,ROW($AG$6)):INDEX($AF:$AF,ROW(AG83)))+1=AF84,MAX(INDEX($AF:$AF,ROW($AG$6)):INDEX($AF:$AF,ROW(AG83))),"")</f>
        <v/>
      </c>
      <c r="AH83" s="6" t="str">
        <f t="shared" si="13"/>
        <v>0x40000594</v>
      </c>
      <c r="AI83" s="6">
        <f t="shared" si="14"/>
        <v>1073743252</v>
      </c>
      <c r="AJ83" s="6" t="str">
        <f t="shared" si="15"/>
        <v/>
      </c>
      <c r="AK83" s="6" t="str">
        <f t="shared" si="16"/>
        <v/>
      </c>
      <c r="AL83" s="6" t="str">
        <f t="shared" si="17"/>
        <v/>
      </c>
      <c r="AM83" s="6"/>
      <c r="AN83" s="6"/>
      <c r="AO83" s="13"/>
      <c r="AP83" s="6"/>
      <c r="AQ83" s="6"/>
      <c r="AR83" s="6"/>
      <c r="AS83" s="6"/>
      <c r="AT83" s="6"/>
      <c r="AU83" s="6"/>
      <c r="AV83" s="6"/>
    </row>
    <row r="84" spans="1:48" customFormat="1">
      <c r="A84" s="7" t="s">
        <v>1140</v>
      </c>
      <c r="B84" s="7" t="s">
        <v>1141</v>
      </c>
      <c r="C84" s="7" t="s">
        <v>29</v>
      </c>
      <c r="D84" s="7">
        <v>32</v>
      </c>
      <c r="E84" s="7">
        <v>1000</v>
      </c>
      <c r="F84" s="7" t="s">
        <v>31</v>
      </c>
      <c r="G84" s="7"/>
      <c r="H84" s="7"/>
      <c r="I84" s="7" t="s">
        <v>32</v>
      </c>
      <c r="K84" s="6">
        <v>0</v>
      </c>
      <c r="L84" s="6">
        <v>0</v>
      </c>
      <c r="M84" s="6">
        <v>0</v>
      </c>
      <c r="N84" s="6">
        <v>1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89"/>
      <c r="Y84" s="6">
        <v>0</v>
      </c>
      <c r="Z84" s="6">
        <v>32768</v>
      </c>
      <c r="AA84" s="6"/>
      <c r="AB84" s="6"/>
      <c r="AC84" s="6"/>
      <c r="AD84" s="13"/>
      <c r="AE84" s="6"/>
      <c r="AF84" s="89" t="str">
        <f>IF(AF83="#",0,IF(AND(D83=D84,K83=K84,L83=L84,M83=M84,N83=N84,O83=O84,P83=P84,Q83=Q84,R83=R84,S83=S84,T83=T84,U83=U84,V83=V84,W83=W84,HEX2DEC(SUBSTITUTE(AH83,"0x",""))&lt;HEX2DEC(SUBSTITUTE(AH84,"0x",""))),"",MAX($AF$6:AF83)+1))</f>
        <v/>
      </c>
      <c r="AG84" s="96">
        <f>IF(MAX(INDEX($AF:$AF,ROW($AG$6)):INDEX($AF:$AF,ROW(AG84)))+1=AF85,MAX(INDEX($AF:$AF,ROW($AG$6)):INDEX($AF:$AF,ROW(AG84))),"")</f>
        <v>34</v>
      </c>
      <c r="AH84" s="6" t="str">
        <f t="shared" si="13"/>
        <v>0x400005F1</v>
      </c>
      <c r="AI84" s="6">
        <f t="shared" si="14"/>
        <v>1073743345</v>
      </c>
      <c r="AJ84" s="6" t="str">
        <f t="shared" si="15"/>
        <v/>
      </c>
      <c r="AK84" s="6" t="str">
        <f t="shared" si="16"/>
        <v/>
      </c>
      <c r="AL84" s="6" t="str">
        <f t="shared" si="17"/>
        <v/>
      </c>
      <c r="AM84" s="6"/>
      <c r="AN84" s="6"/>
      <c r="AO84" s="13"/>
      <c r="AP84" s="6"/>
      <c r="AQ84" s="6"/>
      <c r="AR84" s="6"/>
      <c r="AS84" s="6"/>
      <c r="AT84" s="6"/>
      <c r="AU84" s="6"/>
      <c r="AV84" s="6"/>
    </row>
    <row r="85" spans="1:48" customFormat="1">
      <c r="A85" s="7" t="s">
        <v>1142</v>
      </c>
      <c r="B85" s="7" t="s">
        <v>1143</v>
      </c>
      <c r="C85" s="7" t="s">
        <v>29</v>
      </c>
      <c r="D85" s="7">
        <v>8</v>
      </c>
      <c r="E85" s="7">
        <v>100</v>
      </c>
      <c r="F85" s="7" t="s">
        <v>31</v>
      </c>
      <c r="G85" s="7"/>
      <c r="H85" s="7"/>
      <c r="I85" s="7" t="s">
        <v>32</v>
      </c>
      <c r="K85" s="6">
        <v>0</v>
      </c>
      <c r="L85" s="6">
        <v>0</v>
      </c>
      <c r="M85" s="6">
        <v>0</v>
      </c>
      <c r="N85" s="6">
        <v>1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89"/>
      <c r="Y85" s="6">
        <v>0</v>
      </c>
      <c r="Z85" s="6">
        <v>32768</v>
      </c>
      <c r="AA85" s="6"/>
      <c r="AB85" s="6"/>
      <c r="AC85" s="6"/>
      <c r="AD85" s="13"/>
      <c r="AE85" s="6"/>
      <c r="AF85" s="89">
        <f>IF(AF84="#",0,IF(AND(D84=D85,K84=K85,L84=L85,M84=M85,N84=N85,O84=O85,P84=P85,Q84=Q85,R84=R85,S84=S85,T84=T85,U84=U85,V84=V85,W84=W85,HEX2DEC(SUBSTITUTE(AH84,"0x",""))&lt;HEX2DEC(SUBSTITUTE(AH85,"0x",""))),"",MAX($AF$6:AF84)+1))</f>
        <v>35</v>
      </c>
      <c r="AG85" s="96" t="str">
        <f>IF(MAX(INDEX($AF:$AF,ROW($AG$6)):INDEX($AF:$AF,ROW(AG85)))+1=AF86,MAX(INDEX($AF:$AF,ROW($AG$6)):INDEX($AF:$AF,ROW(AG85))),"")</f>
        <v/>
      </c>
      <c r="AH85" s="6" t="str">
        <f t="shared" si="13"/>
        <v>0x400005F3</v>
      </c>
      <c r="AI85" s="6">
        <f t="shared" si="14"/>
        <v>1073743347</v>
      </c>
      <c r="AJ85" s="6" t="str">
        <f t="shared" si="15"/>
        <v>0x400005F3</v>
      </c>
      <c r="AK85" s="6" t="str">
        <f t="shared" si="16"/>
        <v>0x400005F6</v>
      </c>
      <c r="AL85" s="6">
        <f t="shared" si="17"/>
        <v>8</v>
      </c>
      <c r="AM85" s="6"/>
      <c r="AN85" s="6"/>
      <c r="AO85" s="13"/>
      <c r="AP85" s="6"/>
      <c r="AQ85" s="6"/>
      <c r="AR85" s="6"/>
      <c r="AS85" s="6"/>
      <c r="AT85" s="6"/>
      <c r="AU85" s="6"/>
      <c r="AV85" s="6"/>
    </row>
    <row r="86" spans="1:48" customFormat="1">
      <c r="A86" s="7" t="s">
        <v>1144</v>
      </c>
      <c r="B86" s="7" t="s">
        <v>1145</v>
      </c>
      <c r="C86" s="7" t="s">
        <v>29</v>
      </c>
      <c r="D86" s="7">
        <v>8</v>
      </c>
      <c r="E86" s="7">
        <v>1000</v>
      </c>
      <c r="F86" s="7" t="s">
        <v>31</v>
      </c>
      <c r="G86" s="7"/>
      <c r="H86" s="7"/>
      <c r="I86" s="7" t="s">
        <v>32</v>
      </c>
      <c r="K86" s="6">
        <v>0</v>
      </c>
      <c r="L86" s="6">
        <v>0</v>
      </c>
      <c r="M86" s="6">
        <v>0</v>
      </c>
      <c r="N86" s="6">
        <v>1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89"/>
      <c r="Y86" s="6">
        <v>0</v>
      </c>
      <c r="Z86" s="6">
        <v>32768</v>
      </c>
      <c r="AA86" s="6"/>
      <c r="AB86" s="6"/>
      <c r="AC86" s="6"/>
      <c r="AD86" s="13"/>
      <c r="AE86" s="6"/>
      <c r="AF86" s="89" t="str">
        <f>IF(AF85="#",0,IF(AND(D85=D86,K85=K86,L85=L86,M85=M86,N85=N86,O85=O86,P85=P86,Q85=Q86,R85=R86,S85=S86,T85=T86,U85=U86,V85=V86,W85=W86,HEX2DEC(SUBSTITUTE(AH85,"0x",""))&lt;HEX2DEC(SUBSTITUTE(AH86,"0x",""))),"",MAX($AF$6:AF85)+1))</f>
        <v/>
      </c>
      <c r="AG86" s="96" t="str">
        <f>IF(MAX(INDEX($AF:$AF,ROW($AG$6)):INDEX($AF:$AF,ROW(AG86)))+1=AF87,MAX(INDEX($AF:$AF,ROW($AG$6)):INDEX($AF:$AF,ROW(AG86))),"")</f>
        <v/>
      </c>
      <c r="AH86" s="6" t="str">
        <f t="shared" si="13"/>
        <v>0x400005F4</v>
      </c>
      <c r="AI86" s="6">
        <f t="shared" si="14"/>
        <v>1073743348</v>
      </c>
      <c r="AJ86" s="6" t="str">
        <f t="shared" si="15"/>
        <v/>
      </c>
      <c r="AK86" s="6" t="str">
        <f t="shared" si="16"/>
        <v/>
      </c>
      <c r="AL86" s="6" t="str">
        <f t="shared" si="17"/>
        <v/>
      </c>
      <c r="AM86" s="6"/>
      <c r="AN86" s="6"/>
      <c r="AO86" s="13"/>
      <c r="AP86" s="6"/>
      <c r="AQ86" s="6"/>
      <c r="AR86" s="6"/>
      <c r="AS86" s="6"/>
      <c r="AT86" s="6"/>
      <c r="AU86" s="6"/>
      <c r="AV86" s="6"/>
    </row>
    <row r="87" spans="1:48" customFormat="1">
      <c r="A87" s="7" t="s">
        <v>1146</v>
      </c>
      <c r="B87" s="7" t="s">
        <v>1147</v>
      </c>
      <c r="C87" s="7" t="s">
        <v>29</v>
      </c>
      <c r="D87" s="7">
        <v>8</v>
      </c>
      <c r="E87" s="7">
        <v>500</v>
      </c>
      <c r="F87" s="7" t="s">
        <v>31</v>
      </c>
      <c r="G87" s="7"/>
      <c r="H87" s="7"/>
      <c r="I87" s="7" t="s">
        <v>32</v>
      </c>
      <c r="K87" s="6">
        <v>0</v>
      </c>
      <c r="L87" s="6">
        <v>0</v>
      </c>
      <c r="M87" s="6">
        <v>0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89"/>
      <c r="Y87" s="6">
        <v>0</v>
      </c>
      <c r="Z87" s="6">
        <v>32768</v>
      </c>
      <c r="AA87" s="6"/>
      <c r="AB87" s="6"/>
      <c r="AC87" s="6"/>
      <c r="AD87" s="13"/>
      <c r="AE87" s="6"/>
      <c r="AF87" s="89" t="str">
        <f>IF(AF86="#",0,IF(AND(D86=D87,K86=K87,L86=L87,M86=M87,N86=N87,O86=O87,P86=P87,Q86=Q87,R86=R87,S86=S87,T86=T87,U86=U87,V86=V87,W86=W87,HEX2DEC(SUBSTITUTE(AH86,"0x",""))&lt;HEX2DEC(SUBSTITUTE(AH87,"0x",""))),"",MAX($AF$6:AF86)+1))</f>
        <v/>
      </c>
      <c r="AG87" s="96">
        <f>IF(MAX(INDEX($AF:$AF,ROW($AG$6)):INDEX($AF:$AF,ROW(AG87)))+1=AF88,MAX(INDEX($AF:$AF,ROW($AG$6)):INDEX($AF:$AF,ROW(AG87))),"")</f>
        <v>35</v>
      </c>
      <c r="AH87" s="6" t="str">
        <f t="shared" si="13"/>
        <v>0x400005F6</v>
      </c>
      <c r="AI87" s="6">
        <f t="shared" si="14"/>
        <v>1073743350</v>
      </c>
      <c r="AJ87" s="6" t="str">
        <f t="shared" si="15"/>
        <v/>
      </c>
      <c r="AK87" s="6" t="str">
        <f t="shared" si="16"/>
        <v/>
      </c>
      <c r="AL87" s="6" t="str">
        <f t="shared" si="17"/>
        <v/>
      </c>
      <c r="AM87" s="6"/>
      <c r="AN87" s="6"/>
      <c r="AO87" s="13"/>
      <c r="AP87" s="6"/>
      <c r="AQ87" s="6"/>
      <c r="AR87" s="6"/>
      <c r="AS87" s="6"/>
      <c r="AT87" s="6"/>
      <c r="AU87" s="6"/>
      <c r="AV87" s="6"/>
    </row>
    <row r="88" spans="1:48" customFormat="1">
      <c r="A88" s="7" t="s">
        <v>1148</v>
      </c>
      <c r="B88" s="7" t="s">
        <v>1149</v>
      </c>
      <c r="C88" s="7" t="s">
        <v>29</v>
      </c>
      <c r="D88" s="7">
        <v>32</v>
      </c>
      <c r="E88" s="7" t="s">
        <v>30</v>
      </c>
      <c r="F88" s="7" t="s">
        <v>31</v>
      </c>
      <c r="G88" s="7"/>
      <c r="H88" s="7"/>
      <c r="I88" s="7" t="s">
        <v>32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89"/>
      <c r="Y88" s="6">
        <v>0</v>
      </c>
      <c r="Z88" s="6">
        <v>32768</v>
      </c>
      <c r="AA88" s="6"/>
      <c r="AB88" s="6"/>
      <c r="AC88" s="6"/>
      <c r="AD88" s="13"/>
      <c r="AE88" s="6"/>
      <c r="AF88" s="89">
        <f>IF(AF87="#",0,IF(AND(D87=D88,K87=K88,L87=L88,M87=M88,N87=N88,O87=O88,P87=P88,Q87=Q88,R87=R88,S87=S88,T87=T88,U87=U88,V87=V88,W87=W88,HEX2DEC(SUBSTITUTE(AH87,"0x",""))&lt;HEX2DEC(SUBSTITUTE(AH88,"0x",""))),"",MAX($AF$6:AF87)+1))</f>
        <v>36</v>
      </c>
      <c r="AG88" s="96">
        <f>IF(MAX(INDEX($AF:$AF,ROW($AG$6)):INDEX($AF:$AF,ROW(AG88)))+1=AF89,MAX(INDEX($AF:$AF,ROW($AG$6)):INDEX($AF:$AF,ROW(AG88))),"")</f>
        <v>36</v>
      </c>
      <c r="AH88" s="6" t="str">
        <f t="shared" si="13"/>
        <v>0x40000613</v>
      </c>
      <c r="AI88" s="6">
        <f t="shared" si="14"/>
        <v>1073743379</v>
      </c>
      <c r="AJ88" s="6" t="str">
        <f t="shared" si="15"/>
        <v>0x40000613</v>
      </c>
      <c r="AK88" s="6" t="str">
        <f t="shared" si="16"/>
        <v>0x40000613</v>
      </c>
      <c r="AL88" s="6">
        <f t="shared" si="17"/>
        <v>32</v>
      </c>
      <c r="AM88" s="6"/>
      <c r="AN88" s="6"/>
      <c r="AO88" s="13"/>
      <c r="AP88" s="6"/>
      <c r="AQ88" s="6"/>
      <c r="AR88" s="6"/>
      <c r="AS88" s="6"/>
      <c r="AT88" s="6"/>
      <c r="AU88" s="6"/>
      <c r="AV88" s="6"/>
    </row>
    <row r="89" spans="1:48" customFormat="1">
      <c r="A89" s="7" t="s">
        <v>1150</v>
      </c>
      <c r="B89" s="8" t="s">
        <v>1151</v>
      </c>
      <c r="C89" s="67">
        <v>0</v>
      </c>
      <c r="D89" s="67">
        <v>0</v>
      </c>
      <c r="E89" s="7"/>
      <c r="F89" s="61">
        <v>0</v>
      </c>
      <c r="G89" s="61"/>
      <c r="H89" s="61"/>
      <c r="I89" s="61" t="s">
        <v>740</v>
      </c>
      <c r="K89" s="6">
        <v>0</v>
      </c>
      <c r="L89" s="6">
        <v>0</v>
      </c>
      <c r="M89" s="6">
        <v>0</v>
      </c>
      <c r="N89" s="6">
        <v>1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89"/>
      <c r="Y89" s="6">
        <v>0</v>
      </c>
      <c r="Z89" s="6">
        <v>32768</v>
      </c>
      <c r="AA89" s="6"/>
      <c r="AB89" s="6"/>
      <c r="AC89" s="6"/>
      <c r="AD89" s="13"/>
      <c r="AE89" s="6"/>
      <c r="AF89" s="89">
        <f>IF(AF88="#",0,IF(AND(D88=D89,K88=K89,L88=L89,M88=M89,N88=N89,O88=O89,P88=P89,Q88=Q89,R88=R89,S88=S89,T88=T89,U88=U89,V88=V89,W88=W89,HEX2DEC(SUBSTITUTE(AH88,"0x",""))&lt;HEX2DEC(SUBSTITUTE(AH89,"0x",""))),"",MAX($AF$6:AF88)+1))</f>
        <v>37</v>
      </c>
      <c r="AG89" s="96" t="str">
        <f>IF(MAX(INDEX($AF:$AF,ROW($AG$6)):INDEX($AF:$AF,ROW(AG89)))+1=AF90,MAX(INDEX($AF:$AF,ROW($AG$6)):INDEX($AF:$AF,ROW(AG89))),"")</f>
        <v/>
      </c>
      <c r="AH89" s="6" t="str">
        <f>"0x9"&amp;RIGHT(B89,7)</f>
        <v>0x98002000</v>
      </c>
      <c r="AI89" s="6">
        <f t="shared" si="14"/>
        <v>2550145024</v>
      </c>
      <c r="AJ89" s="6" t="str">
        <f t="shared" si="15"/>
        <v>0x98002000</v>
      </c>
      <c r="AK89" s="6" t="str">
        <f t="shared" si="16"/>
        <v>0x980021ff</v>
      </c>
      <c r="AL89" s="6">
        <f t="shared" si="17"/>
        <v>0</v>
      </c>
      <c r="AM89" s="6"/>
      <c r="AN89" s="6"/>
      <c r="AO89" s="13"/>
      <c r="AP89" s="6"/>
      <c r="AQ89" s="6"/>
      <c r="AR89" s="6"/>
      <c r="AS89" s="6"/>
      <c r="AT89" s="6"/>
      <c r="AU89" s="6"/>
      <c r="AV89" s="6"/>
    </row>
    <row r="90" spans="1:48" customFormat="1">
      <c r="A90" s="7" t="s">
        <v>1150</v>
      </c>
      <c r="B90" s="8" t="s">
        <v>1152</v>
      </c>
      <c r="C90" s="67">
        <v>0</v>
      </c>
      <c r="D90" s="67">
        <v>0</v>
      </c>
      <c r="E90" s="7"/>
      <c r="F90" s="61">
        <v>0</v>
      </c>
      <c r="G90" s="61"/>
      <c r="H90" s="61"/>
      <c r="I90" s="61" t="s">
        <v>740</v>
      </c>
      <c r="K90" s="6">
        <v>0</v>
      </c>
      <c r="L90" s="6">
        <v>0</v>
      </c>
      <c r="M90" s="6">
        <v>0</v>
      </c>
      <c r="N90" s="6">
        <v>1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89"/>
      <c r="Y90" s="6">
        <v>0</v>
      </c>
      <c r="Z90" s="6">
        <v>32768</v>
      </c>
      <c r="AA90" s="6"/>
      <c r="AB90" s="6"/>
      <c r="AC90" s="6"/>
      <c r="AD90" s="13"/>
      <c r="AE90" s="6"/>
      <c r="AF90" s="89" t="str">
        <f>IF(AF89="#",0,IF(AND(D89=D90,K89=K90,L89=L90,M89=M90,N89=N90,O89=O90,P89=P90,Q89=Q90,R89=R90,S89=S90,T89=T90,U89=U90,V89=V90,W89=W90,HEX2DEC(SUBSTITUTE(AH89,"0x",""))&lt;HEX2DEC(SUBSTITUTE(AH90,"0x",""))),"",MAX($AF$6:AF89)+1))</f>
        <v/>
      </c>
      <c r="AG90" s="96">
        <v>37</v>
      </c>
      <c r="AH90" s="6" t="str">
        <f>"0x9"&amp;RIGHT(B90,7)</f>
        <v>0x980021ff</v>
      </c>
      <c r="AI90" s="6">
        <f t="shared" ref="AI90:AI92" si="18">HEX2DEC(RIGHT(AH90,8))</f>
        <v>2550145535</v>
      </c>
      <c r="AJ90" s="6" t="str">
        <f t="shared" si="15"/>
        <v/>
      </c>
      <c r="AK90" s="6" t="str">
        <f t="shared" si="16"/>
        <v/>
      </c>
      <c r="AL90" s="6" t="str">
        <f t="shared" si="17"/>
        <v/>
      </c>
      <c r="AM90" s="6"/>
      <c r="AN90" s="6"/>
      <c r="AO90" s="13"/>
      <c r="AP90" s="6"/>
      <c r="AQ90" s="6"/>
      <c r="AR90" s="6"/>
      <c r="AS90" s="6"/>
      <c r="AT90" s="6"/>
      <c r="AU90" s="6"/>
      <c r="AV90" s="6"/>
    </row>
    <row r="91" spans="1:48" customFormat="1">
      <c r="A91" s="7" t="s">
        <v>1153</v>
      </c>
      <c r="B91" s="8" t="s">
        <v>1151</v>
      </c>
      <c r="C91" s="67">
        <v>1</v>
      </c>
      <c r="D91" s="67">
        <v>0</v>
      </c>
      <c r="E91" s="7"/>
      <c r="F91" s="61">
        <v>0</v>
      </c>
      <c r="G91" s="61"/>
      <c r="H91" s="61"/>
      <c r="I91" s="61" t="s">
        <v>740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89"/>
      <c r="Y91" s="6">
        <v>0</v>
      </c>
      <c r="Z91" s="6">
        <v>32768</v>
      </c>
      <c r="AA91" s="6"/>
      <c r="AB91" s="6"/>
      <c r="AC91" s="6"/>
      <c r="AD91" s="13"/>
      <c r="AE91" s="6"/>
      <c r="AF91" s="89">
        <v>38</v>
      </c>
      <c r="AG91" s="96" t="str">
        <f>IF(MAX(INDEX($AF:$AF,ROW($AG$6)):INDEX($AF:$AF,ROW(AG91)))+1=AF92,MAX(INDEX($AF:$AF,ROW($AG$6)):INDEX($AF:$AF,ROW(AG91))),"")</f>
        <v/>
      </c>
      <c r="AH91" s="6" t="str">
        <f>"0xd"&amp;RIGHT(B91,7)</f>
        <v>0xd8002000</v>
      </c>
      <c r="AI91" s="6">
        <f t="shared" si="18"/>
        <v>3623886848</v>
      </c>
      <c r="AJ91" s="6" t="str">
        <f t="shared" si="15"/>
        <v>0xd8002000</v>
      </c>
      <c r="AK91" s="6" t="str">
        <f t="shared" si="16"/>
        <v>0xd80021ff</v>
      </c>
      <c r="AL91" s="6">
        <f t="shared" si="17"/>
        <v>0</v>
      </c>
      <c r="AM91" s="6"/>
      <c r="AN91" s="6"/>
      <c r="AO91" s="13"/>
      <c r="AP91" s="6"/>
      <c r="AQ91" s="6"/>
      <c r="AR91" s="6"/>
      <c r="AS91" s="6"/>
      <c r="AT91" s="6"/>
      <c r="AU91" s="6"/>
      <c r="AV91" s="6"/>
    </row>
    <row r="92" spans="1:48" customFormat="1">
      <c r="A92" s="7" t="s">
        <v>1153</v>
      </c>
      <c r="B92" s="8" t="s">
        <v>1152</v>
      </c>
      <c r="C92" s="67">
        <v>1</v>
      </c>
      <c r="D92" s="67">
        <v>0</v>
      </c>
      <c r="E92" s="7"/>
      <c r="F92" s="61">
        <v>0</v>
      </c>
      <c r="G92" s="61"/>
      <c r="H92" s="61"/>
      <c r="I92" s="61" t="s">
        <v>740</v>
      </c>
      <c r="K92" s="6">
        <v>0</v>
      </c>
      <c r="L92" s="6">
        <v>0</v>
      </c>
      <c r="M92" s="6">
        <v>0</v>
      </c>
      <c r="N92" s="6">
        <v>1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89"/>
      <c r="Y92" s="6">
        <v>0</v>
      </c>
      <c r="Z92" s="6">
        <v>32768</v>
      </c>
      <c r="AA92" s="6"/>
      <c r="AB92" s="6"/>
      <c r="AC92" s="6"/>
      <c r="AD92" s="13"/>
      <c r="AE92" s="6"/>
      <c r="AF92" s="89" t="str">
        <f>IF(AF91="#",0,IF(AND(D91=D92,K91=K92,L91=L92,M91=M92,N91=N92,O91=O92,P91=P92,Q91=Q92,R91=R92,S91=S92,T91=T92,U91=U92,V91=V92,W91=W92,HEX2DEC(SUBSTITUTE(AH91,"0x",""))&lt;HEX2DEC(SUBSTITUTE(AH92,"0x",""))),"",MAX($AF$6:AF91)+1))</f>
        <v/>
      </c>
      <c r="AG92" s="96">
        <v>38</v>
      </c>
      <c r="AH92" s="6" t="str">
        <f>"0xd"&amp;RIGHT(B92,7)</f>
        <v>0xd80021ff</v>
      </c>
      <c r="AI92" s="6">
        <f t="shared" si="18"/>
        <v>3623887359</v>
      </c>
      <c r="AJ92" s="6" t="str">
        <f t="shared" si="15"/>
        <v/>
      </c>
      <c r="AK92" s="6" t="str">
        <f t="shared" si="16"/>
        <v/>
      </c>
      <c r="AL92" s="6" t="str">
        <f t="shared" si="17"/>
        <v/>
      </c>
      <c r="AM92" s="6"/>
      <c r="AN92" s="6"/>
      <c r="AO92" s="13"/>
      <c r="AP92" s="6"/>
      <c r="AQ92" s="6"/>
      <c r="AR92" s="6"/>
      <c r="AS92" s="6"/>
      <c r="AT92" s="6"/>
      <c r="AU92" s="6"/>
      <c r="AV92" s="6"/>
    </row>
    <row r="93" spans="1:48" customFormat="1">
      <c r="A93" s="15"/>
      <c r="B93" s="22"/>
      <c r="C93" s="26"/>
      <c r="D93" s="26"/>
      <c r="E93" s="15"/>
      <c r="F93" s="16"/>
      <c r="G93" s="16"/>
      <c r="H93" s="16"/>
      <c r="I93" s="1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89"/>
      <c r="Y93" s="6"/>
      <c r="Z93" s="6"/>
      <c r="AA93" s="6"/>
      <c r="AB93" s="6"/>
      <c r="AC93" s="6"/>
      <c r="AD93" s="13"/>
      <c r="AE93" s="6"/>
      <c r="AF93" s="89"/>
      <c r="AG93" s="96"/>
      <c r="AH93" s="6"/>
      <c r="AI93" s="6"/>
      <c r="AJ93" s="6"/>
      <c r="AK93" s="6"/>
      <c r="AL93" s="6"/>
      <c r="AM93" s="6"/>
      <c r="AN93" s="6"/>
      <c r="AO93" s="13"/>
      <c r="AP93" s="6"/>
      <c r="AQ93" s="6"/>
      <c r="AR93" s="6"/>
      <c r="AS93" s="6"/>
      <c r="AT93" s="6"/>
      <c r="AU93" s="6"/>
      <c r="AV93" s="6"/>
    </row>
    <row r="94" spans="1:48" customFormat="1">
      <c r="A94" s="15" t="s">
        <v>776</v>
      </c>
      <c r="B94" s="16" t="s">
        <v>1154</v>
      </c>
      <c r="C94" s="16" t="s">
        <v>1154</v>
      </c>
      <c r="D94" s="16" t="s">
        <v>1154</v>
      </c>
      <c r="E94" s="16" t="s">
        <v>1154</v>
      </c>
      <c r="F94" s="16" t="s">
        <v>1154</v>
      </c>
      <c r="G94" s="16" t="s">
        <v>1154</v>
      </c>
      <c r="H94" s="16" t="s">
        <v>1154</v>
      </c>
      <c r="I94" s="16" t="s">
        <v>1154</v>
      </c>
      <c r="J94" t="s">
        <v>1154</v>
      </c>
      <c r="K94" s="6" t="s">
        <v>1154</v>
      </c>
      <c r="L94" s="6" t="s">
        <v>1154</v>
      </c>
      <c r="M94" s="6" t="s">
        <v>1154</v>
      </c>
      <c r="N94" s="6" t="s">
        <v>1154</v>
      </c>
      <c r="O94" s="6" t="s">
        <v>1154</v>
      </c>
      <c r="P94" s="6" t="s">
        <v>1154</v>
      </c>
      <c r="Q94" s="6" t="s">
        <v>1154</v>
      </c>
      <c r="R94" s="6" t="s">
        <v>1154</v>
      </c>
      <c r="S94" s="6" t="s">
        <v>1154</v>
      </c>
      <c r="T94" s="6" t="s">
        <v>1154</v>
      </c>
      <c r="U94" s="6" t="s">
        <v>1154</v>
      </c>
      <c r="V94" s="6" t="s">
        <v>1154</v>
      </c>
      <c r="W94" s="6" t="s">
        <v>1154</v>
      </c>
      <c r="X94" s="89" t="s">
        <v>1154</v>
      </c>
      <c r="Y94" s="6" t="s">
        <v>1154</v>
      </c>
      <c r="Z94" s="6" t="s">
        <v>1154</v>
      </c>
      <c r="AA94" s="6" t="s">
        <v>1154</v>
      </c>
      <c r="AB94" s="6" t="s">
        <v>1154</v>
      </c>
      <c r="AC94" s="6" t="s">
        <v>1154</v>
      </c>
      <c r="AD94" s="6" t="s">
        <v>776</v>
      </c>
      <c r="AE94" s="6" t="s">
        <v>1154</v>
      </c>
      <c r="AF94" s="89" t="s">
        <v>1154</v>
      </c>
      <c r="AG94" s="96" t="s">
        <v>1154</v>
      </c>
      <c r="AH94" s="6" t="s">
        <v>1154</v>
      </c>
      <c r="AI94" s="6" t="s">
        <v>1154</v>
      </c>
      <c r="AJ94" s="6" t="s">
        <v>1154</v>
      </c>
      <c r="AK94" s="6" t="s">
        <v>1154</v>
      </c>
      <c r="AL94" s="6"/>
      <c r="AM94" s="6" t="s">
        <v>1154</v>
      </c>
      <c r="AN94" s="6" t="s">
        <v>1154</v>
      </c>
      <c r="AO94" s="13"/>
      <c r="AP94" s="13"/>
      <c r="AQ94" s="6"/>
      <c r="AR94" s="6"/>
      <c r="AS94" s="6"/>
      <c r="AT94" s="6"/>
      <c r="AU94" s="6"/>
      <c r="AV94" s="6"/>
    </row>
    <row r="95" spans="1:48" customFormat="1">
      <c r="A95" s="15" t="str">
        <f t="shared" ref="A95:D114" si="19">A6</f>
        <v>MGC1F13</v>
      </c>
      <c r="B95" s="15" t="str">
        <f t="shared" si="19"/>
        <v>049</v>
      </c>
      <c r="C95" s="15" t="str">
        <f t="shared" si="19"/>
        <v>1</v>
      </c>
      <c r="D95" s="15">
        <f t="shared" si="19"/>
        <v>32</v>
      </c>
      <c r="E95" s="15"/>
      <c r="F95" s="15" t="str">
        <f t="shared" ref="F95:F126" si="20">F6</f>
        <v>0</v>
      </c>
      <c r="G95" s="16" t="str">
        <f t="shared" ref="G95:I114" si="21">IF(G6&lt;&gt;"",G6,"")</f>
        <v/>
      </c>
      <c r="H95" s="16" t="str">
        <f t="shared" si="21"/>
        <v/>
      </c>
      <c r="I95" s="16" t="str">
        <f t="shared" si="21"/>
        <v>R</v>
      </c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91">
        <v>0</v>
      </c>
      <c r="Y95" s="18"/>
      <c r="Z95" s="18" t="str">
        <f>"(U2)0x"&amp;IF(LOWER(DEC2HEX(VLOOKUP($X95,$Y$6:$Z$92,2,FALSE),4))="ffff",LOWER(DEC2HEX(VLOOKUP($X95,$Y$6:$Z$92,2,FALSE),4))&amp;"U,",LOWER(DEC2HEX(VLOOKUP($X95,$Y$6:$Z$92,2,FALSE),4))&amp;"U"&amp;" | (U2)BSW_VCAN_CFG_VMBOX_UTXOFFSET_0,")</f>
        <v>(U2)0x8000U | (U2)BSW_VCAN_CFG_VMBOX_UTXOFFSET_0,</v>
      </c>
      <c r="AA95" s="18" t="str">
        <f>"/* "&amp;($X95*$X$3)&amp;" */"</f>
        <v>/* 0 */</v>
      </c>
      <c r="AB95" s="18"/>
      <c r="AC95" s="6"/>
      <c r="AD95" s="6"/>
      <c r="AE95" s="6"/>
      <c r="AF95" s="89">
        <f t="shared" ref="AF95:AF126" si="22">IF($AF6&lt;&gt;"",$AF6,"")</f>
        <v>0</v>
      </c>
      <c r="AG95" s="96" t="str">
        <f t="shared" ref="AG95:AG126" si="23">IF($AF6&lt;&gt;"","", "/* ")</f>
        <v/>
      </c>
      <c r="AH95" s="6" t="str">
        <f t="shared" ref="AH95:AH126" si="24">IF($AF6&lt;&gt;"","{(U4)0x"&amp;LOWER(DEC2HEX($N6*$N$3,8))&amp;"U,",AH94)</f>
        <v>{(U4)0x00000200U,</v>
      </c>
      <c r="AI95" s="6" t="str">
        <f t="shared" ref="AI95:AI126" si="25">IF($AF6&lt;&gt;"", "(U4)"&amp;LOWER($AJ6)&amp;"U,",AI94)</f>
        <v>(U4)0x40000049U,</v>
      </c>
      <c r="AJ95" s="6" t="str">
        <f t="shared" ref="AJ95:AJ126" si="26">IF($AF6&lt;&gt;"", "(U4)"&amp;LOWER($AK6)&amp;"U,",AJ94)</f>
        <v>(U4)0x40000075U,</v>
      </c>
      <c r="AK95" s="6" t="str">
        <f t="shared" ref="AK95:AK126" si="27" xml:space="preserve"> IF($AF6&lt;&gt;"", "(U2)"&amp;$AL6&amp;"U,",AK94)</f>
        <v>(U2)32U,</v>
      </c>
      <c r="AL95" s="6" t="str">
        <f t="shared" ref="AL95:AL126" si="28" xml:space="preserve"> IF($AF6&lt;&gt;"", "(U2)"&amp;$Y6*$X$3&amp;"U},",AL94)</f>
        <v>(U2)0U},</v>
      </c>
      <c r="AM95" s="6" t="str">
        <f t="shared" ref="AM95:AM126" si="29">IF($AF6&lt;&gt;"","", " */")</f>
        <v/>
      </c>
      <c r="AN95" s="6" t="str">
        <f t="shared" ref="AN95:AN126" si="30">"/* "&amp;IF($AF6&lt;&gt;"",$AF6," ")&amp;" : "&amp;A6&amp;" = "&amp;LOWER($AH6)&amp;" */"</f>
        <v>/* 0 : MGC1F13 = 0x40000049 */</v>
      </c>
      <c r="AO95" s="13"/>
      <c r="AP95" s="13"/>
      <c r="AQ95" s="13"/>
      <c r="AR95" s="13"/>
      <c r="AS95" s="13"/>
      <c r="AT95" s="13"/>
      <c r="AU95" s="13"/>
      <c r="AV95" s="13"/>
    </row>
    <row r="96" spans="1:48" customFormat="1">
      <c r="A96" s="15" t="str">
        <f t="shared" si="19"/>
        <v>ARS1S01</v>
      </c>
      <c r="B96" s="15" t="str">
        <f t="shared" si="19"/>
        <v>072</v>
      </c>
      <c r="C96" s="15" t="str">
        <f t="shared" si="19"/>
        <v>1</v>
      </c>
      <c r="D96" s="15">
        <f t="shared" si="19"/>
        <v>32</v>
      </c>
      <c r="E96" s="15"/>
      <c r="F96" s="15" t="str">
        <f t="shared" si="20"/>
        <v>1</v>
      </c>
      <c r="G96" s="16" t="str">
        <f t="shared" si="21"/>
        <v/>
      </c>
      <c r="H96" s="16" t="str">
        <f t="shared" si="21"/>
        <v/>
      </c>
      <c r="I96" s="16" t="str">
        <f t="shared" si="21"/>
        <v>R</v>
      </c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103"/>
      <c r="Y96" s="18"/>
      <c r="Z96" s="18"/>
      <c r="AA96" s="18"/>
      <c r="AB96" s="6"/>
      <c r="AC96" s="6"/>
      <c r="AD96" s="6"/>
      <c r="AE96" s="6"/>
      <c r="AF96" s="89" t="str">
        <f t="shared" si="22"/>
        <v/>
      </c>
      <c r="AG96" s="96" t="str">
        <f t="shared" si="23"/>
        <v xml:space="preserve">/* </v>
      </c>
      <c r="AH96" s="6" t="str">
        <f t="shared" si="24"/>
        <v>{(U4)0x00000200U,</v>
      </c>
      <c r="AI96" s="6" t="str">
        <f t="shared" si="25"/>
        <v>(U4)0x40000049U,</v>
      </c>
      <c r="AJ96" s="6" t="str">
        <f t="shared" si="26"/>
        <v>(U4)0x40000075U,</v>
      </c>
      <c r="AK96" s="6" t="str">
        <f t="shared" si="27"/>
        <v>(U2)32U,</v>
      </c>
      <c r="AL96" s="6" t="str">
        <f t="shared" si="28"/>
        <v>(U2)0U},</v>
      </c>
      <c r="AM96" s="6" t="str">
        <f t="shared" si="29"/>
        <v xml:space="preserve"> */</v>
      </c>
      <c r="AN96" s="6" t="str">
        <f t="shared" si="30"/>
        <v>/*   : ARS1S01 = 0x40000072 */</v>
      </c>
      <c r="AO96" s="13"/>
      <c r="AP96" s="13"/>
      <c r="AQ96" s="13"/>
      <c r="AR96" s="13"/>
      <c r="AS96" s="13"/>
      <c r="AT96" s="13"/>
      <c r="AU96" s="13"/>
      <c r="AV96" s="13"/>
    </row>
    <row r="97" spans="1:48" customFormat="1">
      <c r="A97" s="15" t="str">
        <f t="shared" si="19"/>
        <v>EHV2G10</v>
      </c>
      <c r="B97" s="15" t="str">
        <f t="shared" si="19"/>
        <v>075</v>
      </c>
      <c r="C97" s="15" t="str">
        <f t="shared" si="19"/>
        <v>1</v>
      </c>
      <c r="D97" s="15">
        <f t="shared" si="19"/>
        <v>32</v>
      </c>
      <c r="E97" s="15"/>
      <c r="F97" s="15" t="str">
        <f t="shared" si="20"/>
        <v>0</v>
      </c>
      <c r="G97" s="16" t="str">
        <f t="shared" si="21"/>
        <v/>
      </c>
      <c r="H97" s="16" t="str">
        <f t="shared" si="21"/>
        <v/>
      </c>
      <c r="I97" s="16" t="str">
        <f t="shared" si="21"/>
        <v>R</v>
      </c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103"/>
      <c r="Y97" s="6"/>
      <c r="Z97" s="18"/>
      <c r="AA97" s="18"/>
      <c r="AB97" s="6"/>
      <c r="AC97" s="6"/>
      <c r="AD97" s="6"/>
      <c r="AE97" s="6"/>
      <c r="AF97" s="89" t="str">
        <f t="shared" si="22"/>
        <v/>
      </c>
      <c r="AG97" s="96" t="str">
        <f t="shared" si="23"/>
        <v xml:space="preserve">/* </v>
      </c>
      <c r="AH97" s="6" t="str">
        <f t="shared" si="24"/>
        <v>{(U4)0x00000200U,</v>
      </c>
      <c r="AI97" s="6" t="str">
        <f t="shared" si="25"/>
        <v>(U4)0x40000049U,</v>
      </c>
      <c r="AJ97" s="6" t="str">
        <f t="shared" si="26"/>
        <v>(U4)0x40000075U,</v>
      </c>
      <c r="AK97" s="6" t="str">
        <f t="shared" si="27"/>
        <v>(U2)32U,</v>
      </c>
      <c r="AL97" s="6" t="str">
        <f t="shared" si="28"/>
        <v>(U2)0U},</v>
      </c>
      <c r="AM97" s="6" t="str">
        <f t="shared" si="29"/>
        <v xml:space="preserve"> */</v>
      </c>
      <c r="AN97" s="6" t="str">
        <f t="shared" si="30"/>
        <v>/*   : EHV2G10 = 0x40000075 */</v>
      </c>
      <c r="AO97" s="13"/>
      <c r="AP97" s="13"/>
      <c r="AQ97" s="13"/>
      <c r="AR97" s="13"/>
      <c r="AS97" s="13"/>
      <c r="AT97" s="13"/>
      <c r="AU97" s="13"/>
      <c r="AV97" s="13"/>
    </row>
    <row r="98" spans="1:48" customFormat="1">
      <c r="A98" s="15" t="str">
        <f t="shared" si="19"/>
        <v>EHV1F02</v>
      </c>
      <c r="B98" s="15" t="str">
        <f t="shared" si="19"/>
        <v>07E</v>
      </c>
      <c r="C98" s="15" t="str">
        <f t="shared" si="19"/>
        <v>1</v>
      </c>
      <c r="D98" s="15">
        <f t="shared" si="19"/>
        <v>8</v>
      </c>
      <c r="E98" s="15"/>
      <c r="F98" s="15" t="str">
        <f t="shared" si="20"/>
        <v>0</v>
      </c>
      <c r="G98" s="16" t="str">
        <f t="shared" si="21"/>
        <v/>
      </c>
      <c r="H98" s="16" t="str">
        <f t="shared" si="21"/>
        <v/>
      </c>
      <c r="I98" s="16" t="str">
        <f t="shared" si="21"/>
        <v>R</v>
      </c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103"/>
      <c r="Y98" s="6"/>
      <c r="Z98" s="18"/>
      <c r="AA98" s="18"/>
      <c r="AB98" s="6"/>
      <c r="AC98" s="6"/>
      <c r="AD98" s="6"/>
      <c r="AE98" s="6"/>
      <c r="AF98" s="89">
        <f t="shared" si="22"/>
        <v>1</v>
      </c>
      <c r="AG98" s="96" t="str">
        <f t="shared" si="23"/>
        <v/>
      </c>
      <c r="AH98" s="6" t="str">
        <f t="shared" si="24"/>
        <v>{(U4)0x00000200U,</v>
      </c>
      <c r="AI98" s="6" t="str">
        <f t="shared" si="25"/>
        <v>(U4)0x4000007eU,</v>
      </c>
      <c r="AJ98" s="6" t="str">
        <f t="shared" si="26"/>
        <v>(U4)0x4000007eU,</v>
      </c>
      <c r="AK98" s="6" t="str">
        <f t="shared" si="27"/>
        <v>(U2)8U,</v>
      </c>
      <c r="AL98" s="6" t="str">
        <f t="shared" si="28"/>
        <v>(U2)0U},</v>
      </c>
      <c r="AM98" s="6" t="str">
        <f t="shared" si="29"/>
        <v/>
      </c>
      <c r="AN98" s="6" t="str">
        <f t="shared" si="30"/>
        <v>/* 1 : EHV1F02 = 0x4000007e */</v>
      </c>
      <c r="AO98" s="13"/>
      <c r="AP98" s="13"/>
      <c r="AQ98" s="13"/>
      <c r="AR98" s="13"/>
      <c r="AS98" s="13"/>
      <c r="AT98" s="13"/>
      <c r="AU98" s="13"/>
      <c r="AV98" s="13"/>
    </row>
    <row r="99" spans="1:48" customFormat="1">
      <c r="A99" s="15" t="str">
        <f t="shared" si="19"/>
        <v>TRA1S02</v>
      </c>
      <c r="B99" s="15" t="str">
        <f t="shared" si="19"/>
        <v>0A0</v>
      </c>
      <c r="C99" s="15" t="str">
        <f t="shared" si="19"/>
        <v>1</v>
      </c>
      <c r="D99" s="15">
        <f t="shared" si="19"/>
        <v>32</v>
      </c>
      <c r="E99" s="15"/>
      <c r="F99" s="15" t="str">
        <f t="shared" si="20"/>
        <v>0</v>
      </c>
      <c r="G99" s="16" t="str">
        <f t="shared" si="21"/>
        <v/>
      </c>
      <c r="H99" s="16" t="str">
        <f t="shared" si="21"/>
        <v/>
      </c>
      <c r="I99" s="16" t="str">
        <f t="shared" si="21"/>
        <v>R</v>
      </c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103"/>
      <c r="Y99" s="6"/>
      <c r="Z99" s="18"/>
      <c r="AA99" s="18"/>
      <c r="AB99" s="6"/>
      <c r="AC99" s="6"/>
      <c r="AD99" s="6"/>
      <c r="AE99" s="6"/>
      <c r="AF99" s="89">
        <f t="shared" si="22"/>
        <v>2</v>
      </c>
      <c r="AG99" s="96" t="str">
        <f t="shared" si="23"/>
        <v/>
      </c>
      <c r="AH99" s="6" t="str">
        <f t="shared" si="24"/>
        <v>{(U4)0x00000200U,</v>
      </c>
      <c r="AI99" s="6" t="str">
        <f t="shared" si="25"/>
        <v>(U4)0x400000a0U,</v>
      </c>
      <c r="AJ99" s="6" t="str">
        <f t="shared" si="26"/>
        <v>(U4)0x400000a1U,</v>
      </c>
      <c r="AK99" s="6" t="str">
        <f t="shared" si="27"/>
        <v>(U2)32U,</v>
      </c>
      <c r="AL99" s="6" t="str">
        <f t="shared" si="28"/>
        <v>(U2)0U},</v>
      </c>
      <c r="AM99" s="6" t="str">
        <f t="shared" si="29"/>
        <v/>
      </c>
      <c r="AN99" s="6" t="str">
        <f t="shared" si="30"/>
        <v>/* 2 : TRA1S02 = 0x400000a0 */</v>
      </c>
      <c r="AO99" s="13"/>
      <c r="AP99" s="13"/>
      <c r="AQ99" s="13"/>
      <c r="AR99" s="13"/>
      <c r="AS99" s="13"/>
      <c r="AT99" s="13"/>
      <c r="AU99" s="13"/>
      <c r="AV99" s="13"/>
    </row>
    <row r="100" spans="1:48" customFormat="1">
      <c r="A100" s="15" t="str">
        <f t="shared" si="19"/>
        <v>EHV2G20</v>
      </c>
      <c r="B100" s="15" t="str">
        <f t="shared" si="19"/>
        <v>0A1</v>
      </c>
      <c r="C100" s="15" t="str">
        <f t="shared" si="19"/>
        <v>1</v>
      </c>
      <c r="D100" s="15">
        <f t="shared" si="19"/>
        <v>32</v>
      </c>
      <c r="E100" s="15"/>
      <c r="F100" s="15" t="str">
        <f t="shared" si="20"/>
        <v>0</v>
      </c>
      <c r="G100" s="16" t="str">
        <f t="shared" si="21"/>
        <v/>
      </c>
      <c r="H100" s="16" t="str">
        <f t="shared" si="21"/>
        <v/>
      </c>
      <c r="I100" s="16" t="str">
        <f t="shared" si="21"/>
        <v>R</v>
      </c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103"/>
      <c r="Y100" s="6"/>
      <c r="Z100" s="18"/>
      <c r="AA100" s="18"/>
      <c r="AB100" s="6"/>
      <c r="AC100" s="6"/>
      <c r="AD100" s="6"/>
      <c r="AE100" s="6"/>
      <c r="AF100" s="89" t="str">
        <f t="shared" si="22"/>
        <v/>
      </c>
      <c r="AG100" s="96" t="str">
        <f t="shared" si="23"/>
        <v xml:space="preserve">/* </v>
      </c>
      <c r="AH100" s="6" t="str">
        <f t="shared" si="24"/>
        <v>{(U4)0x00000200U,</v>
      </c>
      <c r="AI100" s="6" t="str">
        <f t="shared" si="25"/>
        <v>(U4)0x400000a0U,</v>
      </c>
      <c r="AJ100" s="6" t="str">
        <f t="shared" si="26"/>
        <v>(U4)0x400000a1U,</v>
      </c>
      <c r="AK100" s="6" t="str">
        <f t="shared" si="27"/>
        <v>(U2)32U,</v>
      </c>
      <c r="AL100" s="6" t="str">
        <f t="shared" si="28"/>
        <v>(U2)0U},</v>
      </c>
      <c r="AM100" s="6" t="str">
        <f t="shared" si="29"/>
        <v xml:space="preserve"> */</v>
      </c>
      <c r="AN100" s="6" t="str">
        <f t="shared" si="30"/>
        <v>/*   : EHV2G20 = 0x400000a1 */</v>
      </c>
      <c r="AO100" s="13"/>
      <c r="AP100" s="13"/>
      <c r="AQ100" s="13"/>
      <c r="AR100" s="13"/>
      <c r="AS100" s="13"/>
      <c r="AT100" s="13"/>
      <c r="AU100" s="13"/>
      <c r="AV100" s="13"/>
    </row>
    <row r="101" spans="1:48" customFormat="1">
      <c r="A101" s="15" t="str">
        <f t="shared" si="19"/>
        <v>ENG1G17</v>
      </c>
      <c r="B101" s="15" t="str">
        <f t="shared" si="19"/>
        <v>0A3</v>
      </c>
      <c r="C101" s="15" t="str">
        <f t="shared" si="19"/>
        <v>1</v>
      </c>
      <c r="D101" s="15">
        <f t="shared" si="19"/>
        <v>8</v>
      </c>
      <c r="E101" s="15"/>
      <c r="F101" s="15" t="str">
        <f t="shared" si="20"/>
        <v>0</v>
      </c>
      <c r="G101" s="16" t="str">
        <f t="shared" si="21"/>
        <v/>
      </c>
      <c r="H101" s="16" t="str">
        <f t="shared" si="21"/>
        <v/>
      </c>
      <c r="I101" s="16" t="str">
        <f t="shared" si="21"/>
        <v>R</v>
      </c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103"/>
      <c r="Y101" s="6"/>
      <c r="Z101" s="18"/>
      <c r="AA101" s="18"/>
      <c r="AB101" s="6"/>
      <c r="AC101" s="6"/>
      <c r="AD101" s="6"/>
      <c r="AE101" s="6"/>
      <c r="AF101" s="89">
        <f t="shared" si="22"/>
        <v>3</v>
      </c>
      <c r="AG101" s="96" t="str">
        <f t="shared" si="23"/>
        <v/>
      </c>
      <c r="AH101" s="6" t="str">
        <f t="shared" si="24"/>
        <v>{(U4)0x00000200U,</v>
      </c>
      <c r="AI101" s="6" t="str">
        <f t="shared" si="25"/>
        <v>(U4)0x400000a3U,</v>
      </c>
      <c r="AJ101" s="6" t="str">
        <f t="shared" si="26"/>
        <v>(U4)0x400000a6U,</v>
      </c>
      <c r="AK101" s="6" t="str">
        <f t="shared" si="27"/>
        <v>(U2)8U,</v>
      </c>
      <c r="AL101" s="6" t="str">
        <f t="shared" si="28"/>
        <v>(U2)0U},</v>
      </c>
      <c r="AM101" s="6" t="str">
        <f t="shared" si="29"/>
        <v/>
      </c>
      <c r="AN101" s="6" t="str">
        <f t="shared" si="30"/>
        <v>/* 3 : ENG1G17 = 0x400000a3 */</v>
      </c>
      <c r="AO101" s="13"/>
      <c r="AP101" s="13"/>
      <c r="AQ101" s="13"/>
      <c r="AR101" s="13"/>
      <c r="AS101" s="13"/>
      <c r="AT101" s="13"/>
      <c r="AU101" s="13"/>
      <c r="AV101" s="13"/>
    </row>
    <row r="102" spans="1:48" customFormat="1">
      <c r="A102" s="15" t="str">
        <f t="shared" si="19"/>
        <v>EHV1F04</v>
      </c>
      <c r="B102" s="15" t="str">
        <f t="shared" si="19"/>
        <v>0A5</v>
      </c>
      <c r="C102" s="15" t="str">
        <f t="shared" si="19"/>
        <v>1</v>
      </c>
      <c r="D102" s="15">
        <f t="shared" si="19"/>
        <v>8</v>
      </c>
      <c r="E102" s="15"/>
      <c r="F102" s="15" t="str">
        <f t="shared" si="20"/>
        <v>0</v>
      </c>
      <c r="G102" s="16" t="str">
        <f t="shared" si="21"/>
        <v/>
      </c>
      <c r="H102" s="16" t="str">
        <f t="shared" si="21"/>
        <v/>
      </c>
      <c r="I102" s="16" t="str">
        <f t="shared" si="21"/>
        <v>R</v>
      </c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103"/>
      <c r="Y102" s="6"/>
      <c r="Z102" s="18"/>
      <c r="AA102" s="18"/>
      <c r="AB102" s="6"/>
      <c r="AC102" s="6"/>
      <c r="AD102" s="6"/>
      <c r="AE102" s="6"/>
      <c r="AF102" s="89" t="str">
        <f t="shared" si="22"/>
        <v/>
      </c>
      <c r="AG102" s="96" t="str">
        <f t="shared" si="23"/>
        <v xml:space="preserve">/* </v>
      </c>
      <c r="AH102" s="6" t="str">
        <f t="shared" si="24"/>
        <v>{(U4)0x00000200U,</v>
      </c>
      <c r="AI102" s="6" t="str">
        <f t="shared" si="25"/>
        <v>(U4)0x400000a3U,</v>
      </c>
      <c r="AJ102" s="6" t="str">
        <f t="shared" si="26"/>
        <v>(U4)0x400000a6U,</v>
      </c>
      <c r="AK102" s="6" t="str">
        <f t="shared" si="27"/>
        <v>(U2)8U,</v>
      </c>
      <c r="AL102" s="6" t="str">
        <f t="shared" si="28"/>
        <v>(U2)0U},</v>
      </c>
      <c r="AM102" s="6" t="str">
        <f t="shared" si="29"/>
        <v xml:space="preserve"> */</v>
      </c>
      <c r="AN102" s="6" t="str">
        <f t="shared" si="30"/>
        <v>/*   : EHV1F04 = 0x400000a5 */</v>
      </c>
      <c r="AO102" s="13"/>
      <c r="AP102" s="13"/>
      <c r="AQ102" s="13"/>
      <c r="AR102" s="13"/>
      <c r="AS102" s="13"/>
      <c r="AT102" s="13"/>
      <c r="AU102" s="13"/>
      <c r="AV102" s="13"/>
    </row>
    <row r="103" spans="1:48" customFormat="1">
      <c r="A103" s="15" t="str">
        <f t="shared" si="19"/>
        <v>EHV2G02</v>
      </c>
      <c r="B103" s="15" t="str">
        <f t="shared" si="19"/>
        <v>0A6</v>
      </c>
      <c r="C103" s="15" t="str">
        <f t="shared" si="19"/>
        <v>1</v>
      </c>
      <c r="D103" s="15">
        <f t="shared" si="19"/>
        <v>8</v>
      </c>
      <c r="E103" s="15"/>
      <c r="F103" s="15" t="str">
        <f t="shared" si="20"/>
        <v>0</v>
      </c>
      <c r="G103" s="16" t="str">
        <f t="shared" si="21"/>
        <v/>
      </c>
      <c r="H103" s="16" t="str">
        <f t="shared" si="21"/>
        <v/>
      </c>
      <c r="I103" s="16" t="str">
        <f t="shared" si="21"/>
        <v>R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103"/>
      <c r="Y103" s="6"/>
      <c r="Z103" s="18"/>
      <c r="AA103" s="18"/>
      <c r="AB103" s="6"/>
      <c r="AC103" s="6"/>
      <c r="AD103" s="6"/>
      <c r="AE103" s="6"/>
      <c r="AF103" s="89" t="str">
        <f t="shared" si="22"/>
        <v/>
      </c>
      <c r="AG103" s="96" t="str">
        <f t="shared" si="23"/>
        <v xml:space="preserve">/* </v>
      </c>
      <c r="AH103" s="6" t="str">
        <f t="shared" si="24"/>
        <v>{(U4)0x00000200U,</v>
      </c>
      <c r="AI103" s="6" t="str">
        <f t="shared" si="25"/>
        <v>(U4)0x400000a3U,</v>
      </c>
      <c r="AJ103" s="6" t="str">
        <f t="shared" si="26"/>
        <v>(U4)0x400000a6U,</v>
      </c>
      <c r="AK103" s="6" t="str">
        <f t="shared" si="27"/>
        <v>(U2)8U,</v>
      </c>
      <c r="AL103" s="6" t="str">
        <f t="shared" si="28"/>
        <v>(U2)0U},</v>
      </c>
      <c r="AM103" s="6" t="str">
        <f t="shared" si="29"/>
        <v xml:space="preserve"> */</v>
      </c>
      <c r="AN103" s="6" t="str">
        <f t="shared" si="30"/>
        <v>/*   : EHV2G02 = 0x400000a6 */</v>
      </c>
      <c r="AO103" s="13"/>
      <c r="AP103" s="13"/>
      <c r="AQ103" s="13"/>
      <c r="AR103" s="13"/>
      <c r="AS103" s="13"/>
      <c r="AT103" s="13"/>
      <c r="AU103" s="13"/>
      <c r="AV103" s="13"/>
    </row>
    <row r="104" spans="1:48" customFormat="1">
      <c r="A104" s="15" t="str">
        <f t="shared" si="19"/>
        <v>FCM1S95</v>
      </c>
      <c r="B104" s="15" t="str">
        <f t="shared" si="19"/>
        <v>0A8</v>
      </c>
      <c r="C104" s="15" t="str">
        <f t="shared" si="19"/>
        <v>1</v>
      </c>
      <c r="D104" s="15">
        <f t="shared" si="19"/>
        <v>64</v>
      </c>
      <c r="E104" s="15"/>
      <c r="F104" s="15" t="str">
        <f t="shared" si="20"/>
        <v>1</v>
      </c>
      <c r="G104" s="16" t="str">
        <f t="shared" si="21"/>
        <v/>
      </c>
      <c r="H104" s="16" t="str">
        <f t="shared" si="21"/>
        <v/>
      </c>
      <c r="I104" s="16" t="str">
        <f t="shared" si="21"/>
        <v>R</v>
      </c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103"/>
      <c r="Y104" s="6"/>
      <c r="Z104" s="18"/>
      <c r="AA104" s="18"/>
      <c r="AB104" s="6"/>
      <c r="AC104" s="6"/>
      <c r="AD104" s="6"/>
      <c r="AE104" s="6"/>
      <c r="AF104" s="89">
        <f t="shared" si="22"/>
        <v>4</v>
      </c>
      <c r="AG104" s="96" t="str">
        <f t="shared" si="23"/>
        <v/>
      </c>
      <c r="AH104" s="6" t="str">
        <f t="shared" si="24"/>
        <v>{(U4)0x00000200U,</v>
      </c>
      <c r="AI104" s="6" t="str">
        <f t="shared" si="25"/>
        <v>(U4)0x400000a8U,</v>
      </c>
      <c r="AJ104" s="6" t="str">
        <f t="shared" si="26"/>
        <v>(U4)0x400000a9U,</v>
      </c>
      <c r="AK104" s="6" t="str">
        <f t="shared" si="27"/>
        <v>(U2)64U,</v>
      </c>
      <c r="AL104" s="6" t="str">
        <f t="shared" si="28"/>
        <v>(U2)0U},</v>
      </c>
      <c r="AM104" s="6" t="str">
        <f t="shared" si="29"/>
        <v/>
      </c>
      <c r="AN104" s="6" t="str">
        <f t="shared" si="30"/>
        <v>/* 4 : FCM1S95 = 0x400000a8 */</v>
      </c>
      <c r="AO104" s="13"/>
      <c r="AP104" s="13"/>
      <c r="AQ104" s="13"/>
      <c r="AR104" s="13"/>
      <c r="AS104" s="13"/>
      <c r="AT104" s="13"/>
      <c r="AU104" s="13"/>
      <c r="AV104" s="13"/>
    </row>
    <row r="105" spans="1:48" customFormat="1">
      <c r="A105" s="15" t="str">
        <f t="shared" si="19"/>
        <v>CSR1G10</v>
      </c>
      <c r="B105" s="15" t="str">
        <f t="shared" si="19"/>
        <v>0A9</v>
      </c>
      <c r="C105" s="15" t="str">
        <f t="shared" si="19"/>
        <v>1</v>
      </c>
      <c r="D105" s="15">
        <f t="shared" si="19"/>
        <v>64</v>
      </c>
      <c r="E105" s="15"/>
      <c r="F105" s="15" t="str">
        <f t="shared" si="20"/>
        <v>1</v>
      </c>
      <c r="G105" s="16" t="str">
        <f t="shared" si="21"/>
        <v/>
      </c>
      <c r="H105" s="16" t="str">
        <f t="shared" si="21"/>
        <v/>
      </c>
      <c r="I105" s="16" t="str">
        <f t="shared" si="21"/>
        <v>R</v>
      </c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103"/>
      <c r="Y105" s="6"/>
      <c r="Z105" s="18"/>
      <c r="AA105" s="18"/>
      <c r="AB105" s="6"/>
      <c r="AC105" s="6"/>
      <c r="AD105" s="6"/>
      <c r="AE105" s="6"/>
      <c r="AF105" s="89" t="str">
        <f t="shared" si="22"/>
        <v/>
      </c>
      <c r="AG105" s="96" t="str">
        <f t="shared" si="23"/>
        <v xml:space="preserve">/* </v>
      </c>
      <c r="AH105" s="6" t="str">
        <f t="shared" si="24"/>
        <v>{(U4)0x00000200U,</v>
      </c>
      <c r="AI105" s="6" t="str">
        <f t="shared" si="25"/>
        <v>(U4)0x400000a8U,</v>
      </c>
      <c r="AJ105" s="6" t="str">
        <f t="shared" si="26"/>
        <v>(U4)0x400000a9U,</v>
      </c>
      <c r="AK105" s="6" t="str">
        <f t="shared" si="27"/>
        <v>(U2)64U,</v>
      </c>
      <c r="AL105" s="6" t="str">
        <f t="shared" si="28"/>
        <v>(U2)0U},</v>
      </c>
      <c r="AM105" s="6" t="str">
        <f t="shared" si="29"/>
        <v xml:space="preserve"> */</v>
      </c>
      <c r="AN105" s="6" t="str">
        <f t="shared" si="30"/>
        <v>/*   : CSR1G10 = 0x400000a9 */</v>
      </c>
      <c r="AO105" s="13"/>
      <c r="AP105" s="13"/>
      <c r="AQ105" s="13"/>
      <c r="AR105" s="13"/>
      <c r="AS105" s="13"/>
      <c r="AT105" s="13"/>
      <c r="AU105" s="13"/>
      <c r="AV105" s="13"/>
    </row>
    <row r="106" spans="1:48" customFormat="1">
      <c r="A106" s="15" t="str">
        <f t="shared" si="19"/>
        <v>SCS1S10</v>
      </c>
      <c r="B106" s="15" t="str">
        <f t="shared" si="19"/>
        <v>10B</v>
      </c>
      <c r="C106" s="15" t="str">
        <f t="shared" si="19"/>
        <v>1</v>
      </c>
      <c r="D106" s="15">
        <f t="shared" si="19"/>
        <v>32</v>
      </c>
      <c r="E106" s="15"/>
      <c r="F106" s="15" t="str">
        <f t="shared" si="20"/>
        <v>0</v>
      </c>
      <c r="G106" s="16" t="str">
        <f t="shared" si="21"/>
        <v/>
      </c>
      <c r="H106" s="16" t="str">
        <f t="shared" si="21"/>
        <v/>
      </c>
      <c r="I106" s="16" t="str">
        <f t="shared" si="21"/>
        <v>R</v>
      </c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103"/>
      <c r="Y106" s="6"/>
      <c r="Z106" s="18"/>
      <c r="AA106" s="18"/>
      <c r="AB106" s="6"/>
      <c r="AC106" s="6"/>
      <c r="AD106" s="6"/>
      <c r="AE106" s="6"/>
      <c r="AF106" s="89">
        <f t="shared" si="22"/>
        <v>5</v>
      </c>
      <c r="AG106" s="96" t="str">
        <f t="shared" si="23"/>
        <v/>
      </c>
      <c r="AH106" s="6" t="str">
        <f t="shared" si="24"/>
        <v>{(U4)0x00000200U,</v>
      </c>
      <c r="AI106" s="6" t="str">
        <f t="shared" si="25"/>
        <v>(U4)0x4000010bU,</v>
      </c>
      <c r="AJ106" s="6" t="str">
        <f t="shared" si="26"/>
        <v>(U4)0x4000010bU,</v>
      </c>
      <c r="AK106" s="6" t="str">
        <f t="shared" si="27"/>
        <v>(U2)32U,</v>
      </c>
      <c r="AL106" s="6" t="str">
        <f t="shared" si="28"/>
        <v>(U2)0U},</v>
      </c>
      <c r="AM106" s="6" t="str">
        <f t="shared" si="29"/>
        <v/>
      </c>
      <c r="AN106" s="6" t="str">
        <f t="shared" si="30"/>
        <v>/* 5 : SCS1S10 = 0x4000010b */</v>
      </c>
      <c r="AO106" s="13"/>
      <c r="AP106" s="13"/>
      <c r="AQ106" s="13"/>
      <c r="AR106" s="13"/>
      <c r="AS106" s="13"/>
      <c r="AT106" s="13"/>
      <c r="AU106" s="13"/>
      <c r="AV106" s="13"/>
    </row>
    <row r="107" spans="1:48" customFormat="1">
      <c r="A107" s="15" t="str">
        <f t="shared" si="19"/>
        <v>FWD1S10</v>
      </c>
      <c r="B107" s="15" t="str">
        <f t="shared" si="19"/>
        <v>115</v>
      </c>
      <c r="C107" s="15" t="str">
        <f t="shared" si="19"/>
        <v>1</v>
      </c>
      <c r="D107" s="15">
        <f t="shared" si="19"/>
        <v>8</v>
      </c>
      <c r="E107" s="15"/>
      <c r="F107" s="15" t="str">
        <f t="shared" si="20"/>
        <v>0</v>
      </c>
      <c r="G107" s="16" t="str">
        <f t="shared" si="21"/>
        <v/>
      </c>
      <c r="H107" s="16" t="str">
        <f t="shared" si="21"/>
        <v/>
      </c>
      <c r="I107" s="16" t="str">
        <f t="shared" si="21"/>
        <v>R</v>
      </c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103"/>
      <c r="Y107" s="6"/>
      <c r="Z107" s="18"/>
      <c r="AA107" s="18"/>
      <c r="AB107" s="6"/>
      <c r="AC107" s="6"/>
      <c r="AD107" s="6"/>
      <c r="AE107" s="6"/>
      <c r="AF107" s="89">
        <f t="shared" si="22"/>
        <v>6</v>
      </c>
      <c r="AG107" s="96" t="str">
        <f t="shared" si="23"/>
        <v/>
      </c>
      <c r="AH107" s="6" t="str">
        <f t="shared" si="24"/>
        <v>{(U4)0x00000200U,</v>
      </c>
      <c r="AI107" s="6" t="str">
        <f t="shared" si="25"/>
        <v>(U4)0x40000115U,</v>
      </c>
      <c r="AJ107" s="6" t="str">
        <f t="shared" si="26"/>
        <v>(U4)0x4000012bU,</v>
      </c>
      <c r="AK107" s="6" t="str">
        <f t="shared" si="27"/>
        <v>(U2)8U,</v>
      </c>
      <c r="AL107" s="6" t="str">
        <f t="shared" si="28"/>
        <v>(U2)0U},</v>
      </c>
      <c r="AM107" s="6" t="str">
        <f t="shared" si="29"/>
        <v/>
      </c>
      <c r="AN107" s="6" t="str">
        <f t="shared" si="30"/>
        <v>/* 6 : FWD1S10 = 0x40000115 */</v>
      </c>
      <c r="AO107" s="13"/>
      <c r="AP107" s="13"/>
      <c r="AQ107" s="13"/>
      <c r="AR107" s="13"/>
      <c r="AS107" s="13"/>
      <c r="AT107" s="13"/>
      <c r="AU107" s="13"/>
      <c r="AV107" s="13"/>
    </row>
    <row r="108" spans="1:48" customFormat="1">
      <c r="A108" s="15" t="str">
        <f t="shared" si="19"/>
        <v>DDM1S09</v>
      </c>
      <c r="B108" s="15" t="str">
        <f t="shared" si="19"/>
        <v>12B</v>
      </c>
      <c r="C108" s="15" t="str">
        <f t="shared" si="19"/>
        <v>1</v>
      </c>
      <c r="D108" s="15">
        <f t="shared" si="19"/>
        <v>8</v>
      </c>
      <c r="E108" s="15"/>
      <c r="F108" s="15" t="str">
        <f t="shared" si="20"/>
        <v>0</v>
      </c>
      <c r="G108" s="16" t="str">
        <f t="shared" si="21"/>
        <v/>
      </c>
      <c r="H108" s="16" t="str">
        <f t="shared" si="21"/>
        <v/>
      </c>
      <c r="I108" s="16" t="str">
        <f t="shared" si="21"/>
        <v>R</v>
      </c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103"/>
      <c r="Y108" s="6"/>
      <c r="Z108" s="18"/>
      <c r="AA108" s="18"/>
      <c r="AB108" s="6"/>
      <c r="AC108" s="6"/>
      <c r="AD108" s="6"/>
      <c r="AE108" s="6"/>
      <c r="AF108" s="89" t="str">
        <f t="shared" si="22"/>
        <v/>
      </c>
      <c r="AG108" s="96" t="str">
        <f t="shared" si="23"/>
        <v xml:space="preserve">/* </v>
      </c>
      <c r="AH108" s="6" t="str">
        <f t="shared" si="24"/>
        <v>{(U4)0x00000200U,</v>
      </c>
      <c r="AI108" s="6" t="str">
        <f t="shared" si="25"/>
        <v>(U4)0x40000115U,</v>
      </c>
      <c r="AJ108" s="6" t="str">
        <f t="shared" si="26"/>
        <v>(U4)0x4000012bU,</v>
      </c>
      <c r="AK108" s="6" t="str">
        <f t="shared" si="27"/>
        <v>(U2)8U,</v>
      </c>
      <c r="AL108" s="6" t="str">
        <f t="shared" si="28"/>
        <v>(U2)0U},</v>
      </c>
      <c r="AM108" s="6" t="str">
        <f t="shared" si="29"/>
        <v xml:space="preserve"> */</v>
      </c>
      <c r="AN108" s="6" t="str">
        <f t="shared" si="30"/>
        <v>/*   : DDM1S09 = 0x4000012b */</v>
      </c>
      <c r="AO108" s="13"/>
      <c r="AP108" s="13"/>
      <c r="AQ108" s="13"/>
      <c r="AR108" s="13"/>
      <c r="AS108" s="13"/>
      <c r="AT108" s="13"/>
      <c r="AU108" s="13"/>
      <c r="AV108" s="13"/>
    </row>
    <row r="109" spans="1:48" customFormat="1">
      <c r="A109" s="15" t="str">
        <f t="shared" si="19"/>
        <v>ADC1S10</v>
      </c>
      <c r="B109" s="15" t="str">
        <f t="shared" si="19"/>
        <v>143</v>
      </c>
      <c r="C109" s="15" t="str">
        <f t="shared" si="19"/>
        <v>1</v>
      </c>
      <c r="D109" s="15">
        <f t="shared" si="19"/>
        <v>32</v>
      </c>
      <c r="E109" s="15"/>
      <c r="F109" s="15" t="str">
        <f t="shared" si="20"/>
        <v>0</v>
      </c>
      <c r="G109" s="16" t="str">
        <f t="shared" si="21"/>
        <v/>
      </c>
      <c r="H109" s="16" t="str">
        <f t="shared" si="21"/>
        <v/>
      </c>
      <c r="I109" s="16" t="str">
        <f t="shared" si="21"/>
        <v>R</v>
      </c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103"/>
      <c r="Y109" s="6"/>
      <c r="Z109" s="18"/>
      <c r="AA109" s="18"/>
      <c r="AB109" s="6"/>
      <c r="AC109" s="6"/>
      <c r="AD109" s="6"/>
      <c r="AE109" s="6"/>
      <c r="AF109" s="89">
        <f t="shared" si="22"/>
        <v>7</v>
      </c>
      <c r="AG109" s="96" t="str">
        <f t="shared" si="23"/>
        <v/>
      </c>
      <c r="AH109" s="6" t="str">
        <f t="shared" si="24"/>
        <v>{(U4)0x00000200U,</v>
      </c>
      <c r="AI109" s="6" t="str">
        <f t="shared" si="25"/>
        <v>(U4)0x40000143U,</v>
      </c>
      <c r="AJ109" s="6" t="str">
        <f t="shared" si="26"/>
        <v>(U4)0x40000144U,</v>
      </c>
      <c r="AK109" s="6" t="str">
        <f t="shared" si="27"/>
        <v>(U2)32U,</v>
      </c>
      <c r="AL109" s="6" t="str">
        <f t="shared" si="28"/>
        <v>(U2)0U},</v>
      </c>
      <c r="AM109" s="6" t="str">
        <f t="shared" si="29"/>
        <v/>
      </c>
      <c r="AN109" s="6" t="str">
        <f t="shared" si="30"/>
        <v>/* 7 : ADC1S10 = 0x40000143 */</v>
      </c>
      <c r="AO109" s="13"/>
      <c r="AP109" s="13"/>
      <c r="AQ109" s="13"/>
      <c r="AR109" s="13"/>
      <c r="AS109" s="13"/>
      <c r="AT109" s="13"/>
      <c r="AU109" s="13"/>
      <c r="AV109" s="13"/>
    </row>
    <row r="110" spans="1:48" customFormat="1">
      <c r="A110" s="15" t="str">
        <f t="shared" si="19"/>
        <v>ADC1S27</v>
      </c>
      <c r="B110" s="15" t="str">
        <f t="shared" si="19"/>
        <v>144</v>
      </c>
      <c r="C110" s="15" t="str">
        <f t="shared" si="19"/>
        <v>1</v>
      </c>
      <c r="D110" s="15">
        <f t="shared" si="19"/>
        <v>32</v>
      </c>
      <c r="E110" s="15"/>
      <c r="F110" s="15" t="str">
        <f t="shared" si="20"/>
        <v>0</v>
      </c>
      <c r="G110" s="16" t="str">
        <f t="shared" si="21"/>
        <v/>
      </c>
      <c r="H110" s="16" t="str">
        <f t="shared" si="21"/>
        <v/>
      </c>
      <c r="I110" s="16" t="str">
        <f t="shared" si="21"/>
        <v>R</v>
      </c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103"/>
      <c r="Y110" s="6"/>
      <c r="Z110" s="18"/>
      <c r="AA110" s="18"/>
      <c r="AB110" s="6"/>
      <c r="AC110" s="6"/>
      <c r="AD110" s="6"/>
      <c r="AE110" s="6"/>
      <c r="AF110" s="89" t="str">
        <f t="shared" si="22"/>
        <v/>
      </c>
      <c r="AG110" s="96" t="str">
        <f t="shared" si="23"/>
        <v xml:space="preserve">/* </v>
      </c>
      <c r="AH110" s="6" t="str">
        <f t="shared" si="24"/>
        <v>{(U4)0x00000200U,</v>
      </c>
      <c r="AI110" s="6" t="str">
        <f t="shared" si="25"/>
        <v>(U4)0x40000143U,</v>
      </c>
      <c r="AJ110" s="6" t="str">
        <f t="shared" si="26"/>
        <v>(U4)0x40000144U,</v>
      </c>
      <c r="AK110" s="6" t="str">
        <f t="shared" si="27"/>
        <v>(U2)32U,</v>
      </c>
      <c r="AL110" s="6" t="str">
        <f t="shared" si="28"/>
        <v>(U2)0U},</v>
      </c>
      <c r="AM110" s="6" t="str">
        <f t="shared" si="29"/>
        <v xml:space="preserve"> */</v>
      </c>
      <c r="AN110" s="6" t="str">
        <f t="shared" si="30"/>
        <v>/*   : ADC1S27 = 0x40000144 */</v>
      </c>
      <c r="AO110" s="13"/>
      <c r="AP110" s="13"/>
      <c r="AQ110" s="13"/>
      <c r="AR110" s="13"/>
      <c r="AS110" s="13"/>
      <c r="AT110" s="13"/>
      <c r="AU110" s="13"/>
      <c r="AV110" s="13"/>
    </row>
    <row r="111" spans="1:48" customFormat="1">
      <c r="A111" s="15" t="str">
        <f t="shared" si="19"/>
        <v>FCM1S76</v>
      </c>
      <c r="B111" s="15" t="str">
        <f t="shared" si="19"/>
        <v>159</v>
      </c>
      <c r="C111" s="15" t="str">
        <f t="shared" si="19"/>
        <v>1</v>
      </c>
      <c r="D111" s="15">
        <f t="shared" si="19"/>
        <v>8</v>
      </c>
      <c r="E111" s="15"/>
      <c r="F111" s="15" t="str">
        <f t="shared" si="20"/>
        <v>0</v>
      </c>
      <c r="G111" s="16" t="str">
        <f t="shared" si="21"/>
        <v/>
      </c>
      <c r="H111" s="16" t="str">
        <f t="shared" si="21"/>
        <v/>
      </c>
      <c r="I111" s="16" t="str">
        <f t="shared" si="21"/>
        <v>R</v>
      </c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103"/>
      <c r="Y111" s="6"/>
      <c r="Z111" s="18"/>
      <c r="AA111" s="18"/>
      <c r="AB111" s="6"/>
      <c r="AC111" s="6"/>
      <c r="AD111" s="6"/>
      <c r="AE111" s="6"/>
      <c r="AF111" s="89">
        <f t="shared" si="22"/>
        <v>8</v>
      </c>
      <c r="AG111" s="96" t="str">
        <f t="shared" si="23"/>
        <v/>
      </c>
      <c r="AH111" s="6" t="str">
        <f t="shared" si="24"/>
        <v>{(U4)0x00000200U,</v>
      </c>
      <c r="AI111" s="6" t="str">
        <f t="shared" si="25"/>
        <v>(U4)0x40000159U,</v>
      </c>
      <c r="AJ111" s="6" t="str">
        <f t="shared" si="26"/>
        <v>(U4)0x40000159U,</v>
      </c>
      <c r="AK111" s="6" t="str">
        <f t="shared" si="27"/>
        <v>(U2)8U,</v>
      </c>
      <c r="AL111" s="6" t="str">
        <f t="shared" si="28"/>
        <v>(U2)0U},</v>
      </c>
      <c r="AM111" s="6" t="str">
        <f t="shared" si="29"/>
        <v/>
      </c>
      <c r="AN111" s="6" t="str">
        <f t="shared" si="30"/>
        <v>/* 8 : FCM1S76 = 0x40000159 */</v>
      </c>
      <c r="AO111" s="13"/>
      <c r="AP111" s="13"/>
      <c r="AQ111" s="13"/>
      <c r="AR111" s="13"/>
      <c r="AS111" s="13"/>
      <c r="AT111" s="13"/>
      <c r="AU111" s="13"/>
      <c r="AV111" s="13"/>
    </row>
    <row r="112" spans="1:48" customFormat="1">
      <c r="A112" s="15" t="str">
        <f t="shared" si="19"/>
        <v>ADC1S16</v>
      </c>
      <c r="B112" s="15" t="str">
        <f t="shared" si="19"/>
        <v>180</v>
      </c>
      <c r="C112" s="15" t="str">
        <f t="shared" si="19"/>
        <v>1</v>
      </c>
      <c r="D112" s="15">
        <f t="shared" si="19"/>
        <v>32</v>
      </c>
      <c r="E112" s="15"/>
      <c r="F112" s="15" t="str">
        <f t="shared" si="20"/>
        <v>0</v>
      </c>
      <c r="G112" s="16" t="str">
        <f t="shared" si="21"/>
        <v/>
      </c>
      <c r="H112" s="16" t="str">
        <f t="shared" si="21"/>
        <v/>
      </c>
      <c r="I112" s="16" t="str">
        <f t="shared" si="21"/>
        <v>R</v>
      </c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103"/>
      <c r="Y112" s="6"/>
      <c r="Z112" s="18"/>
      <c r="AA112" s="18"/>
      <c r="AB112" s="6"/>
      <c r="AC112" s="6"/>
      <c r="AD112" s="6"/>
      <c r="AE112" s="6"/>
      <c r="AF112" s="89">
        <f t="shared" si="22"/>
        <v>9</v>
      </c>
      <c r="AG112" s="96" t="str">
        <f t="shared" si="23"/>
        <v/>
      </c>
      <c r="AH112" s="6" t="str">
        <f t="shared" si="24"/>
        <v>{(U4)0x00000200U,</v>
      </c>
      <c r="AI112" s="6" t="str">
        <f t="shared" si="25"/>
        <v>(U4)0x40000180U,</v>
      </c>
      <c r="AJ112" s="6" t="str">
        <f t="shared" si="26"/>
        <v>(U4)0x40000180U,</v>
      </c>
      <c r="AK112" s="6" t="str">
        <f t="shared" si="27"/>
        <v>(U2)32U,</v>
      </c>
      <c r="AL112" s="6" t="str">
        <f t="shared" si="28"/>
        <v>(U2)0U},</v>
      </c>
      <c r="AM112" s="6" t="str">
        <f t="shared" si="29"/>
        <v/>
      </c>
      <c r="AN112" s="6" t="str">
        <f t="shared" si="30"/>
        <v>/* 9 : ADC1S16 = 0x40000180 */</v>
      </c>
      <c r="AO112" s="13"/>
      <c r="AP112" s="13"/>
      <c r="AQ112" s="13"/>
      <c r="AR112" s="13"/>
      <c r="AS112" s="13"/>
      <c r="AT112" s="13"/>
      <c r="AU112" s="13"/>
      <c r="AV112" s="13"/>
    </row>
    <row r="113" spans="1:48" customFormat="1">
      <c r="A113" s="15" t="str">
        <f t="shared" si="19"/>
        <v>ADC1S20</v>
      </c>
      <c r="B113" s="15" t="str">
        <f t="shared" si="19"/>
        <v>1C7</v>
      </c>
      <c r="C113" s="15" t="str">
        <f t="shared" si="19"/>
        <v>1</v>
      </c>
      <c r="D113" s="15">
        <f t="shared" si="19"/>
        <v>64</v>
      </c>
      <c r="E113" s="15"/>
      <c r="F113" s="15" t="str">
        <f t="shared" si="20"/>
        <v>0</v>
      </c>
      <c r="G113" s="16" t="str">
        <f t="shared" si="21"/>
        <v/>
      </c>
      <c r="H113" s="16" t="str">
        <f t="shared" si="21"/>
        <v/>
      </c>
      <c r="I113" s="16" t="str">
        <f t="shared" si="21"/>
        <v>R</v>
      </c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103"/>
      <c r="Y113" s="6"/>
      <c r="Z113" s="18"/>
      <c r="AA113" s="18"/>
      <c r="AB113" s="6"/>
      <c r="AC113" s="6"/>
      <c r="AD113" s="6"/>
      <c r="AE113" s="6"/>
      <c r="AF113" s="89">
        <f t="shared" si="22"/>
        <v>10</v>
      </c>
      <c r="AG113" s="96" t="str">
        <f t="shared" si="23"/>
        <v/>
      </c>
      <c r="AH113" s="6" t="str">
        <f t="shared" si="24"/>
        <v>{(U4)0x00000200U,</v>
      </c>
      <c r="AI113" s="6" t="str">
        <f t="shared" si="25"/>
        <v>(U4)0x400001c7U,</v>
      </c>
      <c r="AJ113" s="6" t="str">
        <f t="shared" si="26"/>
        <v>(U4)0x400001c7U,</v>
      </c>
      <c r="AK113" s="6" t="str">
        <f t="shared" si="27"/>
        <v>(U2)64U,</v>
      </c>
      <c r="AL113" s="6" t="str">
        <f t="shared" si="28"/>
        <v>(U2)0U},</v>
      </c>
      <c r="AM113" s="6" t="str">
        <f t="shared" si="29"/>
        <v/>
      </c>
      <c r="AN113" s="6" t="str">
        <f t="shared" si="30"/>
        <v>/* 10 : ADC1S20 = 0x400001c7 */</v>
      </c>
      <c r="AO113" s="13"/>
      <c r="AP113" s="13"/>
      <c r="AQ113" s="13"/>
      <c r="AR113" s="13"/>
      <c r="AS113" s="13"/>
      <c r="AT113" s="13"/>
      <c r="AU113" s="13"/>
      <c r="AV113" s="13"/>
    </row>
    <row r="114" spans="1:48" customFormat="1">
      <c r="A114" s="15" t="str">
        <f t="shared" si="19"/>
        <v>ABG1S09</v>
      </c>
      <c r="B114" s="15" t="str">
        <f t="shared" si="19"/>
        <v>1D6</v>
      </c>
      <c r="C114" s="15" t="str">
        <f t="shared" si="19"/>
        <v>1</v>
      </c>
      <c r="D114" s="15">
        <f t="shared" si="19"/>
        <v>32</v>
      </c>
      <c r="E114" s="15"/>
      <c r="F114" s="15" t="str">
        <f t="shared" si="20"/>
        <v>0</v>
      </c>
      <c r="G114" s="16" t="str">
        <f t="shared" si="21"/>
        <v/>
      </c>
      <c r="H114" s="16" t="str">
        <f t="shared" si="21"/>
        <v/>
      </c>
      <c r="I114" s="16" t="str">
        <f t="shared" si="21"/>
        <v>R</v>
      </c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103"/>
      <c r="Y114" s="6"/>
      <c r="Z114" s="18"/>
      <c r="AA114" s="18"/>
      <c r="AB114" s="6"/>
      <c r="AC114" s="6"/>
      <c r="AD114" s="6"/>
      <c r="AE114" s="6"/>
      <c r="AF114" s="89">
        <f t="shared" si="22"/>
        <v>11</v>
      </c>
      <c r="AG114" s="96" t="str">
        <f t="shared" si="23"/>
        <v/>
      </c>
      <c r="AH114" s="6" t="str">
        <f t="shared" si="24"/>
        <v>{(U4)0x00000200U,</v>
      </c>
      <c r="AI114" s="6" t="str">
        <f t="shared" si="25"/>
        <v>(U4)0x400001d6U,</v>
      </c>
      <c r="AJ114" s="6" t="str">
        <f t="shared" si="26"/>
        <v>(U4)0x400001dbU,</v>
      </c>
      <c r="AK114" s="6" t="str">
        <f t="shared" si="27"/>
        <v>(U2)32U,</v>
      </c>
      <c r="AL114" s="6" t="str">
        <f t="shared" si="28"/>
        <v>(U2)0U},</v>
      </c>
      <c r="AM114" s="6" t="str">
        <f t="shared" si="29"/>
        <v/>
      </c>
      <c r="AN114" s="6" t="str">
        <f t="shared" si="30"/>
        <v>/* 11 : ABG1S09 = 0x400001d6 */</v>
      </c>
      <c r="AO114" s="13"/>
      <c r="AP114" s="13"/>
      <c r="AQ114" s="13"/>
      <c r="AR114" s="13"/>
      <c r="AS114" s="13"/>
      <c r="AT114" s="13"/>
      <c r="AU114" s="13"/>
      <c r="AV114" s="13"/>
    </row>
    <row r="115" spans="1:48" customFormat="1">
      <c r="A115" s="15" t="str">
        <f t="shared" ref="A115:D134" si="31">A26</f>
        <v>ABG1S04</v>
      </c>
      <c r="B115" s="15" t="str">
        <f t="shared" si="31"/>
        <v>1D8</v>
      </c>
      <c r="C115" s="15" t="str">
        <f t="shared" si="31"/>
        <v>1</v>
      </c>
      <c r="D115" s="15">
        <f t="shared" si="31"/>
        <v>32</v>
      </c>
      <c r="E115" s="15"/>
      <c r="F115" s="15" t="str">
        <f t="shared" si="20"/>
        <v>1</v>
      </c>
      <c r="G115" s="16" t="str">
        <f t="shared" ref="G115:I134" si="32">IF(G26&lt;&gt;"",G26,"")</f>
        <v/>
      </c>
      <c r="H115" s="16" t="str">
        <f t="shared" si="32"/>
        <v/>
      </c>
      <c r="I115" s="16" t="str">
        <f t="shared" si="32"/>
        <v>R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103"/>
      <c r="Y115" s="6"/>
      <c r="Z115" s="18"/>
      <c r="AA115" s="18"/>
      <c r="AB115" s="6"/>
      <c r="AC115" s="6"/>
      <c r="AD115" s="6"/>
      <c r="AE115" s="6"/>
      <c r="AF115" s="89" t="str">
        <f t="shared" si="22"/>
        <v/>
      </c>
      <c r="AG115" s="96" t="str">
        <f t="shared" si="23"/>
        <v xml:space="preserve">/* </v>
      </c>
      <c r="AH115" s="6" t="str">
        <f t="shared" si="24"/>
        <v>{(U4)0x00000200U,</v>
      </c>
      <c r="AI115" s="6" t="str">
        <f t="shared" si="25"/>
        <v>(U4)0x400001d6U,</v>
      </c>
      <c r="AJ115" s="6" t="str">
        <f t="shared" si="26"/>
        <v>(U4)0x400001dbU,</v>
      </c>
      <c r="AK115" s="6" t="str">
        <f t="shared" si="27"/>
        <v>(U2)32U,</v>
      </c>
      <c r="AL115" s="6" t="str">
        <f t="shared" si="28"/>
        <v>(U2)0U},</v>
      </c>
      <c r="AM115" s="6" t="str">
        <f t="shared" si="29"/>
        <v xml:space="preserve"> */</v>
      </c>
      <c r="AN115" s="6" t="str">
        <f t="shared" si="30"/>
        <v>/*   : ABG1S04 = 0x400001d8 */</v>
      </c>
      <c r="AO115" s="13"/>
      <c r="AP115" s="13"/>
      <c r="AQ115" s="13"/>
      <c r="AR115" s="13"/>
      <c r="AS115" s="13"/>
      <c r="AT115" s="13"/>
      <c r="AU115" s="13"/>
      <c r="AV115" s="13"/>
    </row>
    <row r="116" spans="1:48" customFormat="1">
      <c r="A116" s="15" t="str">
        <f t="shared" si="31"/>
        <v>SBW1G02</v>
      </c>
      <c r="B116" s="15" t="str">
        <f t="shared" si="31"/>
        <v>1DB</v>
      </c>
      <c r="C116" s="15" t="str">
        <f t="shared" si="31"/>
        <v>1</v>
      </c>
      <c r="D116" s="15">
        <f t="shared" si="31"/>
        <v>32</v>
      </c>
      <c r="E116" s="15"/>
      <c r="F116" s="15" t="str">
        <f t="shared" si="20"/>
        <v>0</v>
      </c>
      <c r="G116" s="16" t="str">
        <f t="shared" si="32"/>
        <v/>
      </c>
      <c r="H116" s="16" t="str">
        <f t="shared" si="32"/>
        <v/>
      </c>
      <c r="I116" s="16" t="str">
        <f t="shared" si="32"/>
        <v>R</v>
      </c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103"/>
      <c r="Y116" s="6"/>
      <c r="Z116" s="18"/>
      <c r="AA116" s="18"/>
      <c r="AB116" s="6"/>
      <c r="AC116" s="6"/>
      <c r="AD116" s="6"/>
      <c r="AE116" s="6"/>
      <c r="AF116" s="89" t="str">
        <f t="shared" si="22"/>
        <v/>
      </c>
      <c r="AG116" s="96" t="str">
        <f t="shared" si="23"/>
        <v xml:space="preserve">/* </v>
      </c>
      <c r="AH116" s="6" t="str">
        <f t="shared" si="24"/>
        <v>{(U4)0x00000200U,</v>
      </c>
      <c r="AI116" s="6" t="str">
        <f t="shared" si="25"/>
        <v>(U4)0x400001d6U,</v>
      </c>
      <c r="AJ116" s="6" t="str">
        <f t="shared" si="26"/>
        <v>(U4)0x400001dbU,</v>
      </c>
      <c r="AK116" s="6" t="str">
        <f t="shared" si="27"/>
        <v>(U2)32U,</v>
      </c>
      <c r="AL116" s="6" t="str">
        <f t="shared" si="28"/>
        <v>(U2)0U},</v>
      </c>
      <c r="AM116" s="6" t="str">
        <f t="shared" si="29"/>
        <v xml:space="preserve"> */</v>
      </c>
      <c r="AN116" s="6" t="str">
        <f t="shared" si="30"/>
        <v>/*   : SBW1G02 = 0x400001db */</v>
      </c>
      <c r="AO116" s="13"/>
      <c r="AP116" s="13"/>
      <c r="AQ116" s="13"/>
      <c r="AR116" s="13"/>
      <c r="AS116" s="13"/>
      <c r="AT116" s="13"/>
      <c r="AU116" s="13"/>
      <c r="AV116" s="13"/>
    </row>
    <row r="117" spans="1:48" customFormat="1">
      <c r="A117" s="15" t="str">
        <f t="shared" si="31"/>
        <v>BAT1EDA</v>
      </c>
      <c r="B117" s="15" t="str">
        <f t="shared" si="31"/>
        <v>1EF</v>
      </c>
      <c r="C117" s="15" t="str">
        <f t="shared" si="31"/>
        <v>1</v>
      </c>
      <c r="D117" s="15">
        <f t="shared" si="31"/>
        <v>8</v>
      </c>
      <c r="E117" s="15"/>
      <c r="F117" s="15" t="str">
        <f t="shared" si="20"/>
        <v>0</v>
      </c>
      <c r="G117" s="16" t="str">
        <f t="shared" si="32"/>
        <v/>
      </c>
      <c r="H117" s="16" t="str">
        <f t="shared" si="32"/>
        <v/>
      </c>
      <c r="I117" s="16" t="str">
        <f t="shared" si="32"/>
        <v>R</v>
      </c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103"/>
      <c r="Y117" s="6"/>
      <c r="Z117" s="18"/>
      <c r="AA117" s="18"/>
      <c r="AB117" s="6"/>
      <c r="AC117" s="6"/>
      <c r="AD117" s="6"/>
      <c r="AE117" s="6"/>
      <c r="AF117" s="89">
        <f t="shared" si="22"/>
        <v>12</v>
      </c>
      <c r="AG117" s="96" t="str">
        <f t="shared" si="23"/>
        <v/>
      </c>
      <c r="AH117" s="6" t="str">
        <f t="shared" si="24"/>
        <v>{(U4)0x00000200U,</v>
      </c>
      <c r="AI117" s="6" t="str">
        <f t="shared" si="25"/>
        <v>(U4)0x400001efU,</v>
      </c>
      <c r="AJ117" s="6" t="str">
        <f t="shared" si="26"/>
        <v>(U4)0x400001efU,</v>
      </c>
      <c r="AK117" s="6" t="str">
        <f t="shared" si="27"/>
        <v>(U2)8U,</v>
      </c>
      <c r="AL117" s="6" t="str">
        <f t="shared" si="28"/>
        <v>(U2)0U},</v>
      </c>
      <c r="AM117" s="6" t="str">
        <f t="shared" si="29"/>
        <v/>
      </c>
      <c r="AN117" s="6" t="str">
        <f t="shared" si="30"/>
        <v>/* 12 : BAT1EDA = 0x400001ef */</v>
      </c>
      <c r="AO117" s="13"/>
      <c r="AP117" s="13"/>
      <c r="AQ117" s="13"/>
      <c r="AR117" s="13"/>
      <c r="AS117" s="13"/>
      <c r="AT117" s="13"/>
      <c r="AU117" s="13"/>
      <c r="AV117" s="13"/>
    </row>
    <row r="118" spans="1:48" customFormat="1">
      <c r="A118" s="15" t="str">
        <f t="shared" si="31"/>
        <v>ADU1S05</v>
      </c>
      <c r="B118" s="15" t="str">
        <f t="shared" si="31"/>
        <v>1F0</v>
      </c>
      <c r="C118" s="15" t="str">
        <f t="shared" si="31"/>
        <v>1</v>
      </c>
      <c r="D118" s="15">
        <f t="shared" si="31"/>
        <v>32</v>
      </c>
      <c r="E118" s="15"/>
      <c r="F118" s="15" t="str">
        <f t="shared" si="20"/>
        <v>0</v>
      </c>
      <c r="G118" s="16" t="str">
        <f t="shared" si="32"/>
        <v/>
      </c>
      <c r="H118" s="16" t="str">
        <f t="shared" si="32"/>
        <v/>
      </c>
      <c r="I118" s="16" t="str">
        <f t="shared" si="32"/>
        <v>R</v>
      </c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103"/>
      <c r="Y118" s="6"/>
      <c r="Z118" s="18"/>
      <c r="AA118" s="18"/>
      <c r="AB118" s="6"/>
      <c r="AC118" s="6"/>
      <c r="AD118" s="6"/>
      <c r="AE118" s="6"/>
      <c r="AF118" s="89">
        <f t="shared" si="22"/>
        <v>13</v>
      </c>
      <c r="AG118" s="96" t="str">
        <f t="shared" si="23"/>
        <v/>
      </c>
      <c r="AH118" s="6" t="str">
        <f t="shared" si="24"/>
        <v>{(U4)0x00000200U,</v>
      </c>
      <c r="AI118" s="6" t="str">
        <f t="shared" si="25"/>
        <v>(U4)0x400001f0U,</v>
      </c>
      <c r="AJ118" s="6" t="str">
        <f t="shared" si="26"/>
        <v>(U4)0x4000020aU,</v>
      </c>
      <c r="AK118" s="6" t="str">
        <f t="shared" si="27"/>
        <v>(U2)32U,</v>
      </c>
      <c r="AL118" s="6" t="str">
        <f t="shared" si="28"/>
        <v>(U2)0U},</v>
      </c>
      <c r="AM118" s="6" t="str">
        <f t="shared" si="29"/>
        <v/>
      </c>
      <c r="AN118" s="6" t="str">
        <f t="shared" si="30"/>
        <v>/* 13 : ADU1S05 = 0x400001f0 */</v>
      </c>
      <c r="AO118" s="13"/>
      <c r="AP118" s="13"/>
      <c r="AQ118" s="13"/>
      <c r="AR118" s="13"/>
      <c r="AS118" s="13"/>
      <c r="AT118" s="13"/>
      <c r="AU118" s="13"/>
      <c r="AV118" s="13"/>
    </row>
    <row r="119" spans="1:48" customFormat="1">
      <c r="A119" s="15" t="str">
        <f t="shared" si="31"/>
        <v>ADC1S08</v>
      </c>
      <c r="B119" s="15" t="str">
        <f t="shared" si="31"/>
        <v>1F1</v>
      </c>
      <c r="C119" s="15" t="str">
        <f t="shared" si="31"/>
        <v>1</v>
      </c>
      <c r="D119" s="15">
        <f t="shared" si="31"/>
        <v>32</v>
      </c>
      <c r="E119" s="15"/>
      <c r="F119" s="15" t="str">
        <f t="shared" si="20"/>
        <v>0</v>
      </c>
      <c r="G119" s="16" t="str">
        <f t="shared" si="32"/>
        <v/>
      </c>
      <c r="H119" s="16" t="str">
        <f t="shared" si="32"/>
        <v/>
      </c>
      <c r="I119" s="16" t="str">
        <f t="shared" si="32"/>
        <v>R</v>
      </c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103"/>
      <c r="Y119" s="6"/>
      <c r="Z119" s="18"/>
      <c r="AA119" s="18"/>
      <c r="AB119" s="6"/>
      <c r="AC119" s="6"/>
      <c r="AD119" s="6"/>
      <c r="AE119" s="6"/>
      <c r="AF119" s="89" t="str">
        <f t="shared" si="22"/>
        <v/>
      </c>
      <c r="AG119" s="96" t="str">
        <f t="shared" si="23"/>
        <v xml:space="preserve">/* </v>
      </c>
      <c r="AH119" s="6" t="str">
        <f t="shared" si="24"/>
        <v>{(U4)0x00000200U,</v>
      </c>
      <c r="AI119" s="6" t="str">
        <f t="shared" si="25"/>
        <v>(U4)0x400001f0U,</v>
      </c>
      <c r="AJ119" s="6" t="str">
        <f t="shared" si="26"/>
        <v>(U4)0x4000020aU,</v>
      </c>
      <c r="AK119" s="6" t="str">
        <f t="shared" si="27"/>
        <v>(U2)32U,</v>
      </c>
      <c r="AL119" s="6" t="str">
        <f t="shared" si="28"/>
        <v>(U2)0U},</v>
      </c>
      <c r="AM119" s="6" t="str">
        <f t="shared" si="29"/>
        <v xml:space="preserve"> */</v>
      </c>
      <c r="AN119" s="6" t="str">
        <f t="shared" si="30"/>
        <v>/*   : ADC1S08 = 0x400001f1 */</v>
      </c>
      <c r="AO119" s="13"/>
      <c r="AP119" s="13"/>
      <c r="AQ119" s="13"/>
      <c r="AR119" s="13"/>
      <c r="AS119" s="13"/>
      <c r="AT119" s="13"/>
      <c r="AU119" s="13"/>
      <c r="AV119" s="13"/>
    </row>
    <row r="120" spans="1:48" customFormat="1">
      <c r="A120" s="15" t="str">
        <f t="shared" si="31"/>
        <v>ADU1S03</v>
      </c>
      <c r="B120" s="15" t="str">
        <f t="shared" si="31"/>
        <v>1F5</v>
      </c>
      <c r="C120" s="15" t="str">
        <f t="shared" si="31"/>
        <v>1</v>
      </c>
      <c r="D120" s="15">
        <f t="shared" si="31"/>
        <v>32</v>
      </c>
      <c r="E120" s="15"/>
      <c r="F120" s="15" t="str">
        <f t="shared" si="20"/>
        <v>0</v>
      </c>
      <c r="G120" s="16" t="str">
        <f t="shared" si="32"/>
        <v/>
      </c>
      <c r="H120" s="16" t="str">
        <f t="shared" si="32"/>
        <v/>
      </c>
      <c r="I120" s="16" t="str">
        <f t="shared" si="32"/>
        <v>R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103"/>
      <c r="Y120" s="6"/>
      <c r="Z120" s="18"/>
      <c r="AA120" s="18"/>
      <c r="AB120" s="6"/>
      <c r="AC120" s="6"/>
      <c r="AD120" s="6"/>
      <c r="AE120" s="6"/>
      <c r="AF120" s="89" t="str">
        <f t="shared" si="22"/>
        <v/>
      </c>
      <c r="AG120" s="96" t="str">
        <f t="shared" si="23"/>
        <v xml:space="preserve">/* </v>
      </c>
      <c r="AH120" s="6" t="str">
        <f t="shared" si="24"/>
        <v>{(U4)0x00000200U,</v>
      </c>
      <c r="AI120" s="6" t="str">
        <f t="shared" si="25"/>
        <v>(U4)0x400001f0U,</v>
      </c>
      <c r="AJ120" s="6" t="str">
        <f t="shared" si="26"/>
        <v>(U4)0x4000020aU,</v>
      </c>
      <c r="AK120" s="6" t="str">
        <f t="shared" si="27"/>
        <v>(U2)32U,</v>
      </c>
      <c r="AL120" s="6" t="str">
        <f t="shared" si="28"/>
        <v>(U2)0U},</v>
      </c>
      <c r="AM120" s="6" t="str">
        <f t="shared" si="29"/>
        <v xml:space="preserve"> */</v>
      </c>
      <c r="AN120" s="6" t="str">
        <f t="shared" si="30"/>
        <v>/*   : ADU1S03 = 0x400001f5 */</v>
      </c>
      <c r="AO120" s="13"/>
      <c r="AP120" s="13"/>
      <c r="AQ120" s="13"/>
      <c r="AR120" s="13"/>
      <c r="AS120" s="13"/>
      <c r="AT120" s="13"/>
      <c r="AU120" s="13"/>
      <c r="AV120" s="13"/>
    </row>
    <row r="121" spans="1:48" customFormat="1">
      <c r="A121" s="15" t="str">
        <f t="shared" si="31"/>
        <v>ADC1S12</v>
      </c>
      <c r="B121" s="15" t="str">
        <f t="shared" si="31"/>
        <v>203</v>
      </c>
      <c r="C121" s="15" t="str">
        <f t="shared" si="31"/>
        <v>1</v>
      </c>
      <c r="D121" s="15">
        <f t="shared" si="31"/>
        <v>32</v>
      </c>
      <c r="E121" s="15"/>
      <c r="F121" s="15" t="str">
        <f t="shared" si="20"/>
        <v>0</v>
      </c>
      <c r="G121" s="16" t="str">
        <f t="shared" si="32"/>
        <v/>
      </c>
      <c r="H121" s="16" t="str">
        <f t="shared" si="32"/>
        <v/>
      </c>
      <c r="I121" s="16" t="str">
        <f t="shared" si="32"/>
        <v>R</v>
      </c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103"/>
      <c r="Y121" s="6"/>
      <c r="Z121" s="18"/>
      <c r="AA121" s="18"/>
      <c r="AB121" s="6"/>
      <c r="AC121" s="6"/>
      <c r="AD121" s="6"/>
      <c r="AE121" s="6"/>
      <c r="AF121" s="89" t="str">
        <f t="shared" si="22"/>
        <v/>
      </c>
      <c r="AG121" s="96" t="str">
        <f t="shared" si="23"/>
        <v xml:space="preserve">/* </v>
      </c>
      <c r="AH121" s="6" t="str">
        <f t="shared" si="24"/>
        <v>{(U4)0x00000200U,</v>
      </c>
      <c r="AI121" s="6" t="str">
        <f t="shared" si="25"/>
        <v>(U4)0x400001f0U,</v>
      </c>
      <c r="AJ121" s="6" t="str">
        <f t="shared" si="26"/>
        <v>(U4)0x4000020aU,</v>
      </c>
      <c r="AK121" s="6" t="str">
        <f t="shared" si="27"/>
        <v>(U2)32U,</v>
      </c>
      <c r="AL121" s="6" t="str">
        <f t="shared" si="28"/>
        <v>(U2)0U},</v>
      </c>
      <c r="AM121" s="6" t="str">
        <f t="shared" si="29"/>
        <v xml:space="preserve"> */</v>
      </c>
      <c r="AN121" s="6" t="str">
        <f t="shared" si="30"/>
        <v>/*   : ADC1S12 = 0x40000203 */</v>
      </c>
      <c r="AO121" s="13"/>
      <c r="AP121" s="13"/>
      <c r="AQ121" s="13"/>
      <c r="AR121" s="13"/>
      <c r="AS121" s="13"/>
      <c r="AT121" s="13"/>
      <c r="AU121" s="13"/>
      <c r="AV121" s="13"/>
    </row>
    <row r="122" spans="1:48" customFormat="1">
      <c r="A122" s="15" t="str">
        <f t="shared" si="31"/>
        <v>ADC1S14</v>
      </c>
      <c r="B122" s="15" t="str">
        <f t="shared" si="31"/>
        <v>208</v>
      </c>
      <c r="C122" s="15" t="str">
        <f t="shared" si="31"/>
        <v>1</v>
      </c>
      <c r="D122" s="15">
        <f t="shared" si="31"/>
        <v>32</v>
      </c>
      <c r="E122" s="15"/>
      <c r="F122" s="15" t="str">
        <f t="shared" si="20"/>
        <v>0</v>
      </c>
      <c r="G122" s="16" t="str">
        <f t="shared" si="32"/>
        <v/>
      </c>
      <c r="H122" s="16" t="str">
        <f t="shared" si="32"/>
        <v/>
      </c>
      <c r="I122" s="16" t="str">
        <f t="shared" si="32"/>
        <v>R</v>
      </c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103"/>
      <c r="Y122" s="6"/>
      <c r="Z122" s="18"/>
      <c r="AA122" s="18"/>
      <c r="AB122" s="6"/>
      <c r="AC122" s="6"/>
      <c r="AD122" s="6"/>
      <c r="AE122" s="6"/>
      <c r="AF122" s="89" t="str">
        <f t="shared" si="22"/>
        <v/>
      </c>
      <c r="AG122" s="96" t="str">
        <f t="shared" si="23"/>
        <v xml:space="preserve">/* </v>
      </c>
      <c r="AH122" s="6" t="str">
        <f t="shared" si="24"/>
        <v>{(U4)0x00000200U,</v>
      </c>
      <c r="AI122" s="6" t="str">
        <f t="shared" si="25"/>
        <v>(U4)0x400001f0U,</v>
      </c>
      <c r="AJ122" s="6" t="str">
        <f t="shared" si="26"/>
        <v>(U4)0x4000020aU,</v>
      </c>
      <c r="AK122" s="6" t="str">
        <f t="shared" si="27"/>
        <v>(U2)32U,</v>
      </c>
      <c r="AL122" s="6" t="str">
        <f t="shared" si="28"/>
        <v>(U2)0U},</v>
      </c>
      <c r="AM122" s="6" t="str">
        <f t="shared" si="29"/>
        <v xml:space="preserve"> */</v>
      </c>
      <c r="AN122" s="6" t="str">
        <f t="shared" si="30"/>
        <v>/*   : ADC1S14 = 0x40000208 */</v>
      </c>
      <c r="AO122" s="13"/>
      <c r="AP122" s="13"/>
      <c r="AQ122" s="13"/>
      <c r="AR122" s="13"/>
      <c r="AS122" s="13"/>
      <c r="AT122" s="13"/>
      <c r="AU122" s="13"/>
      <c r="AV122" s="13"/>
    </row>
    <row r="123" spans="1:48" customFormat="1">
      <c r="A123" s="15" t="str">
        <f t="shared" si="31"/>
        <v>ADC1S15</v>
      </c>
      <c r="B123" s="15" t="str">
        <f t="shared" si="31"/>
        <v>209</v>
      </c>
      <c r="C123" s="15" t="str">
        <f t="shared" si="31"/>
        <v>1</v>
      </c>
      <c r="D123" s="15">
        <f t="shared" si="31"/>
        <v>32</v>
      </c>
      <c r="E123" s="15"/>
      <c r="F123" s="15" t="str">
        <f t="shared" si="20"/>
        <v>0</v>
      </c>
      <c r="G123" s="16" t="str">
        <f t="shared" si="32"/>
        <v/>
      </c>
      <c r="H123" s="16" t="str">
        <f t="shared" si="32"/>
        <v/>
      </c>
      <c r="I123" s="16" t="str">
        <f t="shared" si="32"/>
        <v>R</v>
      </c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103"/>
      <c r="Y123" s="6"/>
      <c r="Z123" s="18"/>
      <c r="AA123" s="18"/>
      <c r="AB123" s="6"/>
      <c r="AC123" s="6"/>
      <c r="AD123" s="6"/>
      <c r="AE123" s="6"/>
      <c r="AF123" s="89" t="str">
        <f t="shared" si="22"/>
        <v/>
      </c>
      <c r="AG123" s="96" t="str">
        <f t="shared" si="23"/>
        <v xml:space="preserve">/* </v>
      </c>
      <c r="AH123" s="6" t="str">
        <f t="shared" si="24"/>
        <v>{(U4)0x00000200U,</v>
      </c>
      <c r="AI123" s="6" t="str">
        <f t="shared" si="25"/>
        <v>(U4)0x400001f0U,</v>
      </c>
      <c r="AJ123" s="6" t="str">
        <f t="shared" si="26"/>
        <v>(U4)0x4000020aU,</v>
      </c>
      <c r="AK123" s="6" t="str">
        <f t="shared" si="27"/>
        <v>(U2)32U,</v>
      </c>
      <c r="AL123" s="6" t="str">
        <f t="shared" si="28"/>
        <v>(U2)0U},</v>
      </c>
      <c r="AM123" s="6" t="str">
        <f t="shared" si="29"/>
        <v xml:space="preserve"> */</v>
      </c>
      <c r="AN123" s="6" t="str">
        <f t="shared" si="30"/>
        <v>/*   : ADC1S15 = 0x40000209 */</v>
      </c>
      <c r="AO123" s="13"/>
      <c r="AP123" s="13"/>
      <c r="AQ123" s="13"/>
      <c r="AR123" s="13"/>
      <c r="AS123" s="13"/>
      <c r="AT123" s="13"/>
      <c r="AU123" s="13"/>
      <c r="AV123" s="13"/>
    </row>
    <row r="124" spans="1:48" customFormat="1">
      <c r="A124" s="15" t="str">
        <f t="shared" si="31"/>
        <v>ADC1S17</v>
      </c>
      <c r="B124" s="15" t="str">
        <f t="shared" si="31"/>
        <v>20A</v>
      </c>
      <c r="C124" s="15" t="str">
        <f t="shared" si="31"/>
        <v>1</v>
      </c>
      <c r="D124" s="15">
        <f t="shared" si="31"/>
        <v>32</v>
      </c>
      <c r="E124" s="15"/>
      <c r="F124" s="15" t="str">
        <f t="shared" si="20"/>
        <v>0</v>
      </c>
      <c r="G124" s="16" t="str">
        <f t="shared" si="32"/>
        <v/>
      </c>
      <c r="H124" s="16" t="str">
        <f t="shared" si="32"/>
        <v/>
      </c>
      <c r="I124" s="16" t="str">
        <f t="shared" si="32"/>
        <v>R</v>
      </c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103"/>
      <c r="Y124" s="6"/>
      <c r="Z124" s="18"/>
      <c r="AA124" s="18"/>
      <c r="AB124" s="6"/>
      <c r="AC124" s="6"/>
      <c r="AD124" s="6"/>
      <c r="AE124" s="6"/>
      <c r="AF124" s="89" t="str">
        <f t="shared" si="22"/>
        <v/>
      </c>
      <c r="AG124" s="96" t="str">
        <f t="shared" si="23"/>
        <v xml:space="preserve">/* </v>
      </c>
      <c r="AH124" s="6" t="str">
        <f t="shared" si="24"/>
        <v>{(U4)0x00000200U,</v>
      </c>
      <c r="AI124" s="6" t="str">
        <f t="shared" si="25"/>
        <v>(U4)0x400001f0U,</v>
      </c>
      <c r="AJ124" s="6" t="str">
        <f t="shared" si="26"/>
        <v>(U4)0x4000020aU,</v>
      </c>
      <c r="AK124" s="6" t="str">
        <f t="shared" si="27"/>
        <v>(U2)32U,</v>
      </c>
      <c r="AL124" s="6" t="str">
        <f t="shared" si="28"/>
        <v>(U2)0U},</v>
      </c>
      <c r="AM124" s="6" t="str">
        <f t="shared" si="29"/>
        <v xml:space="preserve"> */</v>
      </c>
      <c r="AN124" s="6" t="str">
        <f t="shared" si="30"/>
        <v>/*   : ADC1S17 = 0x4000020a */</v>
      </c>
      <c r="AO124" s="13"/>
      <c r="AP124" s="13"/>
      <c r="AQ124" s="13"/>
      <c r="AR124" s="13"/>
      <c r="AS124" s="13"/>
      <c r="AT124" s="13"/>
      <c r="AU124" s="13"/>
      <c r="AV124" s="13"/>
    </row>
    <row r="125" spans="1:48" customFormat="1">
      <c r="A125" s="15" t="str">
        <f t="shared" si="31"/>
        <v>FCM1S88</v>
      </c>
      <c r="B125" s="15" t="str">
        <f t="shared" si="31"/>
        <v>20F</v>
      </c>
      <c r="C125" s="15" t="str">
        <f t="shared" si="31"/>
        <v>1</v>
      </c>
      <c r="D125" s="15">
        <f t="shared" si="31"/>
        <v>8</v>
      </c>
      <c r="E125" s="15"/>
      <c r="F125" s="15" t="str">
        <f t="shared" si="20"/>
        <v>0</v>
      </c>
      <c r="G125" s="16" t="str">
        <f t="shared" si="32"/>
        <v/>
      </c>
      <c r="H125" s="16" t="str">
        <f t="shared" si="32"/>
        <v/>
      </c>
      <c r="I125" s="16" t="str">
        <f t="shared" si="32"/>
        <v>R</v>
      </c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103"/>
      <c r="Y125" s="6"/>
      <c r="Z125" s="18"/>
      <c r="AA125" s="18"/>
      <c r="AB125" s="6"/>
      <c r="AC125" s="6"/>
      <c r="AD125" s="6"/>
      <c r="AE125" s="6"/>
      <c r="AF125" s="89">
        <f t="shared" si="22"/>
        <v>14</v>
      </c>
      <c r="AG125" s="96" t="str">
        <f t="shared" si="23"/>
        <v/>
      </c>
      <c r="AH125" s="6" t="str">
        <f t="shared" si="24"/>
        <v>{(U4)0x00000200U,</v>
      </c>
      <c r="AI125" s="6" t="str">
        <f t="shared" si="25"/>
        <v>(U4)0x4000020fU,</v>
      </c>
      <c r="AJ125" s="6" t="str">
        <f t="shared" si="26"/>
        <v>(U4)0x4000020fU,</v>
      </c>
      <c r="AK125" s="6" t="str">
        <f t="shared" si="27"/>
        <v>(U2)8U,</v>
      </c>
      <c r="AL125" s="6" t="str">
        <f t="shared" si="28"/>
        <v>(U2)0U},</v>
      </c>
      <c r="AM125" s="6" t="str">
        <f t="shared" si="29"/>
        <v/>
      </c>
      <c r="AN125" s="6" t="str">
        <f t="shared" si="30"/>
        <v>/* 14 : FCM1S88 = 0x4000020f */</v>
      </c>
      <c r="AO125" s="13"/>
      <c r="AP125" s="13"/>
      <c r="AQ125" s="13"/>
      <c r="AR125" s="13"/>
      <c r="AS125" s="13"/>
      <c r="AT125" s="13"/>
      <c r="AU125" s="13"/>
      <c r="AV125" s="13"/>
    </row>
    <row r="126" spans="1:48" customFormat="1">
      <c r="A126" s="15" t="str">
        <f t="shared" si="31"/>
        <v>DDM1S32</v>
      </c>
      <c r="B126" s="15" t="str">
        <f t="shared" si="31"/>
        <v>219</v>
      </c>
      <c r="C126" s="15" t="str">
        <f t="shared" si="31"/>
        <v>1</v>
      </c>
      <c r="D126" s="15">
        <f t="shared" si="31"/>
        <v>32</v>
      </c>
      <c r="E126" s="15"/>
      <c r="F126" s="15" t="str">
        <f t="shared" si="20"/>
        <v>0</v>
      </c>
      <c r="G126" s="16" t="str">
        <f t="shared" si="32"/>
        <v/>
      </c>
      <c r="H126" s="16" t="str">
        <f t="shared" si="32"/>
        <v/>
      </c>
      <c r="I126" s="16" t="str">
        <f t="shared" si="32"/>
        <v>R</v>
      </c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103"/>
      <c r="Y126" s="6"/>
      <c r="Z126" s="18"/>
      <c r="AA126" s="18"/>
      <c r="AB126" s="6"/>
      <c r="AC126" s="6"/>
      <c r="AD126" s="6"/>
      <c r="AE126" s="6"/>
      <c r="AF126" s="89">
        <f t="shared" si="22"/>
        <v>15</v>
      </c>
      <c r="AG126" s="96" t="str">
        <f t="shared" si="23"/>
        <v/>
      </c>
      <c r="AH126" s="6" t="str">
        <f t="shared" si="24"/>
        <v>{(U4)0x00000200U,</v>
      </c>
      <c r="AI126" s="6" t="str">
        <f t="shared" si="25"/>
        <v>(U4)0x40000219U,</v>
      </c>
      <c r="AJ126" s="6" t="str">
        <f t="shared" si="26"/>
        <v>(U4)0x4000022eU,</v>
      </c>
      <c r="AK126" s="6" t="str">
        <f t="shared" si="27"/>
        <v>(U2)32U,</v>
      </c>
      <c r="AL126" s="6" t="str">
        <f t="shared" si="28"/>
        <v>(U2)0U},</v>
      </c>
      <c r="AM126" s="6" t="str">
        <f t="shared" si="29"/>
        <v/>
      </c>
      <c r="AN126" s="6" t="str">
        <f t="shared" si="30"/>
        <v>/* 15 : DDM1S32 = 0x40000219 */</v>
      </c>
      <c r="AO126" s="13"/>
      <c r="AP126" s="13"/>
      <c r="AQ126" s="13"/>
      <c r="AR126" s="13"/>
      <c r="AS126" s="13"/>
      <c r="AT126" s="13"/>
      <c r="AU126" s="13"/>
      <c r="AV126" s="13"/>
    </row>
    <row r="127" spans="1:48" customFormat="1">
      <c r="A127" s="15" t="str">
        <f t="shared" si="31"/>
        <v>ADU1S06</v>
      </c>
      <c r="B127" s="15" t="str">
        <f t="shared" si="31"/>
        <v>22E</v>
      </c>
      <c r="C127" s="15" t="str">
        <f t="shared" si="31"/>
        <v>1</v>
      </c>
      <c r="D127" s="15">
        <f t="shared" si="31"/>
        <v>32</v>
      </c>
      <c r="E127" s="15"/>
      <c r="F127" s="15" t="str">
        <f t="shared" ref="F127:F158" si="33">F38</f>
        <v>0</v>
      </c>
      <c r="G127" s="16" t="str">
        <f t="shared" si="32"/>
        <v/>
      </c>
      <c r="H127" s="16" t="str">
        <f t="shared" si="32"/>
        <v/>
      </c>
      <c r="I127" s="16" t="str">
        <f t="shared" si="32"/>
        <v>R</v>
      </c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103"/>
      <c r="Y127" s="6"/>
      <c r="Z127" s="18"/>
      <c r="AA127" s="18"/>
      <c r="AB127" s="6"/>
      <c r="AC127" s="6"/>
      <c r="AD127" s="6"/>
      <c r="AE127" s="6"/>
      <c r="AF127" s="89" t="str">
        <f t="shared" ref="AF127:AF158" si="34">IF($AF38&lt;&gt;"",$AF38,"")</f>
        <v/>
      </c>
      <c r="AG127" s="96" t="str">
        <f t="shared" ref="AG127:AG158" si="35">IF($AF38&lt;&gt;"","", "/* ")</f>
        <v xml:space="preserve">/* </v>
      </c>
      <c r="AH127" s="6" t="str">
        <f t="shared" ref="AH127:AH158" si="36">IF($AF38&lt;&gt;"","{(U4)0x"&amp;LOWER(DEC2HEX($N38*$N$3,8))&amp;"U,",AH126)</f>
        <v>{(U4)0x00000200U,</v>
      </c>
      <c r="AI127" s="6" t="str">
        <f t="shared" ref="AI127:AI158" si="37">IF($AF38&lt;&gt;"", "(U4)"&amp;LOWER($AJ38)&amp;"U,",AI126)</f>
        <v>(U4)0x40000219U,</v>
      </c>
      <c r="AJ127" s="6" t="str">
        <f t="shared" ref="AJ127:AJ158" si="38">IF($AF38&lt;&gt;"", "(U4)"&amp;LOWER($AK38)&amp;"U,",AJ126)</f>
        <v>(U4)0x4000022eU,</v>
      </c>
      <c r="AK127" s="6" t="str">
        <f t="shared" ref="AK127:AK158" si="39" xml:space="preserve"> IF($AF38&lt;&gt;"", "(U2)"&amp;$AL38&amp;"U,",AK126)</f>
        <v>(U2)32U,</v>
      </c>
      <c r="AL127" s="6" t="str">
        <f t="shared" ref="AL127:AL158" si="40" xml:space="preserve"> IF($AF38&lt;&gt;"", "(U2)"&amp;$Y38*$X$3&amp;"U},",AL126)</f>
        <v>(U2)0U},</v>
      </c>
      <c r="AM127" s="6" t="str">
        <f t="shared" ref="AM127:AM158" si="41">IF($AF38&lt;&gt;"","", " */")</f>
        <v xml:space="preserve"> */</v>
      </c>
      <c r="AN127" s="6" t="str">
        <f t="shared" ref="AN127:AN158" si="42">"/* "&amp;IF($AF38&lt;&gt;"",$AF38," ")&amp;" : "&amp;A38&amp;" = "&amp;LOWER($AH38)&amp;" */"</f>
        <v>/*   : ADU1S06 = 0x4000022e */</v>
      </c>
      <c r="AO127" s="13"/>
      <c r="AP127" s="13"/>
      <c r="AQ127" s="13"/>
      <c r="AR127" s="13"/>
      <c r="AS127" s="13"/>
      <c r="AT127" s="13"/>
      <c r="AU127" s="13"/>
      <c r="AV127" s="13"/>
    </row>
    <row r="128" spans="1:48" customFormat="1">
      <c r="A128" s="15" t="str">
        <f t="shared" si="31"/>
        <v>RCP1S02</v>
      </c>
      <c r="B128" s="15" t="str">
        <f t="shared" si="31"/>
        <v>230</v>
      </c>
      <c r="C128" s="15" t="str">
        <f t="shared" si="31"/>
        <v>1</v>
      </c>
      <c r="D128" s="15">
        <f t="shared" si="31"/>
        <v>8</v>
      </c>
      <c r="E128" s="15"/>
      <c r="F128" s="15" t="str">
        <f t="shared" si="33"/>
        <v>0</v>
      </c>
      <c r="G128" s="16" t="str">
        <f t="shared" si="32"/>
        <v/>
      </c>
      <c r="H128" s="16" t="str">
        <f t="shared" si="32"/>
        <v/>
      </c>
      <c r="I128" s="16" t="str">
        <f t="shared" si="32"/>
        <v>R</v>
      </c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103"/>
      <c r="Y128" s="6"/>
      <c r="Z128" s="18"/>
      <c r="AA128" s="18"/>
      <c r="AB128" s="6"/>
      <c r="AC128" s="6"/>
      <c r="AD128" s="6"/>
      <c r="AE128" s="6"/>
      <c r="AF128" s="89">
        <f t="shared" si="34"/>
        <v>16</v>
      </c>
      <c r="AG128" s="96" t="str">
        <f t="shared" si="35"/>
        <v/>
      </c>
      <c r="AH128" s="6" t="str">
        <f t="shared" si="36"/>
        <v>{(U4)0x00000200U,</v>
      </c>
      <c r="AI128" s="6" t="str">
        <f t="shared" si="37"/>
        <v>(U4)0x40000230U,</v>
      </c>
      <c r="AJ128" s="6" t="str">
        <f t="shared" si="38"/>
        <v>(U4)0x40000261U,</v>
      </c>
      <c r="AK128" s="6" t="str">
        <f t="shared" si="39"/>
        <v>(U2)8U,</v>
      </c>
      <c r="AL128" s="6" t="str">
        <f t="shared" si="40"/>
        <v>(U2)0U},</v>
      </c>
      <c r="AM128" s="6" t="str">
        <f t="shared" si="41"/>
        <v/>
      </c>
      <c r="AN128" s="6" t="str">
        <f t="shared" si="42"/>
        <v>/* 16 : RCP1S02 = 0x40000230 */</v>
      </c>
      <c r="AO128" s="13"/>
      <c r="AP128" s="13"/>
      <c r="AQ128" s="13"/>
      <c r="AR128" s="13"/>
      <c r="AS128" s="13"/>
      <c r="AT128" s="13"/>
      <c r="AU128" s="13"/>
      <c r="AV128" s="13"/>
    </row>
    <row r="129" spans="1:48" customFormat="1">
      <c r="A129" s="15" t="str">
        <f t="shared" si="31"/>
        <v>ADU1S02</v>
      </c>
      <c r="B129" s="15" t="str">
        <f t="shared" si="31"/>
        <v>247</v>
      </c>
      <c r="C129" s="15" t="str">
        <f t="shared" si="31"/>
        <v>1</v>
      </c>
      <c r="D129" s="15">
        <f t="shared" si="31"/>
        <v>8</v>
      </c>
      <c r="E129" s="15"/>
      <c r="F129" s="15" t="str">
        <f t="shared" si="33"/>
        <v>0</v>
      </c>
      <c r="G129" s="16" t="str">
        <f t="shared" si="32"/>
        <v/>
      </c>
      <c r="H129" s="16" t="str">
        <f t="shared" si="32"/>
        <v/>
      </c>
      <c r="I129" s="16" t="str">
        <f t="shared" si="32"/>
        <v>R</v>
      </c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103"/>
      <c r="Y129" s="6"/>
      <c r="Z129" s="18"/>
      <c r="AA129" s="18"/>
      <c r="AB129" s="6"/>
      <c r="AC129" s="6"/>
      <c r="AD129" s="6"/>
      <c r="AE129" s="6"/>
      <c r="AF129" s="89" t="str">
        <f t="shared" si="34"/>
        <v/>
      </c>
      <c r="AG129" s="96" t="str">
        <f t="shared" si="35"/>
        <v xml:space="preserve">/* </v>
      </c>
      <c r="AH129" s="6" t="str">
        <f t="shared" si="36"/>
        <v>{(U4)0x00000200U,</v>
      </c>
      <c r="AI129" s="6" t="str">
        <f t="shared" si="37"/>
        <v>(U4)0x40000230U,</v>
      </c>
      <c r="AJ129" s="6" t="str">
        <f t="shared" si="38"/>
        <v>(U4)0x40000261U,</v>
      </c>
      <c r="AK129" s="6" t="str">
        <f t="shared" si="39"/>
        <v>(U2)8U,</v>
      </c>
      <c r="AL129" s="6" t="str">
        <f t="shared" si="40"/>
        <v>(U2)0U},</v>
      </c>
      <c r="AM129" s="6" t="str">
        <f t="shared" si="41"/>
        <v xml:space="preserve"> */</v>
      </c>
      <c r="AN129" s="6" t="str">
        <f t="shared" si="42"/>
        <v>/*   : ADU1S02 = 0x40000247 */</v>
      </c>
      <c r="AO129" s="13"/>
      <c r="AP129" s="13"/>
      <c r="AQ129" s="13"/>
      <c r="AR129" s="13"/>
      <c r="AS129" s="13"/>
      <c r="AT129" s="13"/>
      <c r="AU129" s="13"/>
      <c r="AV129" s="13"/>
    </row>
    <row r="130" spans="1:48" customFormat="1">
      <c r="A130" s="15" t="str">
        <f t="shared" si="31"/>
        <v>FCM1S40</v>
      </c>
      <c r="B130" s="15" t="str">
        <f t="shared" si="31"/>
        <v>252</v>
      </c>
      <c r="C130" s="15" t="str">
        <f t="shared" si="31"/>
        <v>1</v>
      </c>
      <c r="D130" s="15">
        <f t="shared" si="31"/>
        <v>8</v>
      </c>
      <c r="E130" s="15"/>
      <c r="F130" s="15" t="str">
        <f t="shared" si="33"/>
        <v>0</v>
      </c>
      <c r="G130" s="16" t="str">
        <f t="shared" si="32"/>
        <v/>
      </c>
      <c r="H130" s="16" t="str">
        <f t="shared" si="32"/>
        <v/>
      </c>
      <c r="I130" s="16" t="str">
        <f t="shared" si="32"/>
        <v>R</v>
      </c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103"/>
      <c r="Y130" s="6"/>
      <c r="Z130" s="18"/>
      <c r="AA130" s="18"/>
      <c r="AB130" s="6"/>
      <c r="AC130" s="6"/>
      <c r="AD130" s="6"/>
      <c r="AE130" s="6"/>
      <c r="AF130" s="89" t="str">
        <f t="shared" si="34"/>
        <v/>
      </c>
      <c r="AG130" s="96" t="str">
        <f t="shared" si="35"/>
        <v xml:space="preserve">/* </v>
      </c>
      <c r="AH130" s="6" t="str">
        <f t="shared" si="36"/>
        <v>{(U4)0x00000200U,</v>
      </c>
      <c r="AI130" s="6" t="str">
        <f t="shared" si="37"/>
        <v>(U4)0x40000230U,</v>
      </c>
      <c r="AJ130" s="6" t="str">
        <f t="shared" si="38"/>
        <v>(U4)0x40000261U,</v>
      </c>
      <c r="AK130" s="6" t="str">
        <f t="shared" si="39"/>
        <v>(U2)8U,</v>
      </c>
      <c r="AL130" s="6" t="str">
        <f t="shared" si="40"/>
        <v>(U2)0U},</v>
      </c>
      <c r="AM130" s="6" t="str">
        <f t="shared" si="41"/>
        <v xml:space="preserve"> */</v>
      </c>
      <c r="AN130" s="6" t="str">
        <f t="shared" si="42"/>
        <v>/*   : FCM1S40 = 0x40000252 */</v>
      </c>
      <c r="AO130" s="13"/>
      <c r="AP130" s="13"/>
      <c r="AQ130" s="13"/>
      <c r="AR130" s="13"/>
      <c r="AS130" s="13"/>
      <c r="AT130" s="13"/>
      <c r="AU130" s="13"/>
      <c r="AV130" s="13"/>
    </row>
    <row r="131" spans="1:48" customFormat="1">
      <c r="A131" s="15" t="str">
        <f t="shared" si="31"/>
        <v>FCM1S92</v>
      </c>
      <c r="B131" s="15" t="str">
        <f t="shared" si="31"/>
        <v>259</v>
      </c>
      <c r="C131" s="15" t="str">
        <f t="shared" si="31"/>
        <v>1</v>
      </c>
      <c r="D131" s="15">
        <f t="shared" si="31"/>
        <v>8</v>
      </c>
      <c r="E131" s="15"/>
      <c r="F131" s="15" t="str">
        <f t="shared" si="33"/>
        <v>0</v>
      </c>
      <c r="G131" s="16" t="str">
        <f t="shared" si="32"/>
        <v/>
      </c>
      <c r="H131" s="16" t="str">
        <f t="shared" si="32"/>
        <v/>
      </c>
      <c r="I131" s="16" t="str">
        <f t="shared" si="32"/>
        <v>R</v>
      </c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103"/>
      <c r="Y131" s="6"/>
      <c r="Z131" s="18"/>
      <c r="AA131" s="18"/>
      <c r="AB131" s="6"/>
      <c r="AC131" s="6"/>
      <c r="AD131" s="6"/>
      <c r="AE131" s="6"/>
      <c r="AF131" s="89" t="str">
        <f t="shared" si="34"/>
        <v/>
      </c>
      <c r="AG131" s="96" t="str">
        <f t="shared" si="35"/>
        <v xml:space="preserve">/* </v>
      </c>
      <c r="AH131" s="6" t="str">
        <f t="shared" si="36"/>
        <v>{(U4)0x00000200U,</v>
      </c>
      <c r="AI131" s="6" t="str">
        <f t="shared" si="37"/>
        <v>(U4)0x40000230U,</v>
      </c>
      <c r="AJ131" s="6" t="str">
        <f t="shared" si="38"/>
        <v>(U4)0x40000261U,</v>
      </c>
      <c r="AK131" s="6" t="str">
        <f t="shared" si="39"/>
        <v>(U2)8U,</v>
      </c>
      <c r="AL131" s="6" t="str">
        <f t="shared" si="40"/>
        <v>(U2)0U},</v>
      </c>
      <c r="AM131" s="6" t="str">
        <f t="shared" si="41"/>
        <v xml:space="preserve"> */</v>
      </c>
      <c r="AN131" s="6" t="str">
        <f t="shared" si="42"/>
        <v>/*   : FCM1S92 = 0x40000259 */</v>
      </c>
      <c r="AO131" s="13"/>
      <c r="AP131" s="13"/>
      <c r="AQ131" s="13"/>
      <c r="AR131" s="13"/>
      <c r="AS131" s="13"/>
      <c r="AT131" s="13"/>
      <c r="AU131" s="13"/>
      <c r="AV131" s="13"/>
    </row>
    <row r="132" spans="1:48" customFormat="1">
      <c r="A132" s="15" t="str">
        <f t="shared" si="31"/>
        <v>FCM1S41</v>
      </c>
      <c r="B132" s="15" t="str">
        <f t="shared" si="31"/>
        <v>261</v>
      </c>
      <c r="C132" s="15" t="str">
        <f t="shared" si="31"/>
        <v>1</v>
      </c>
      <c r="D132" s="15">
        <f t="shared" si="31"/>
        <v>8</v>
      </c>
      <c r="E132" s="15"/>
      <c r="F132" s="15" t="str">
        <f t="shared" si="33"/>
        <v>0</v>
      </c>
      <c r="G132" s="16" t="str">
        <f t="shared" si="32"/>
        <v/>
      </c>
      <c r="H132" s="16" t="str">
        <f t="shared" si="32"/>
        <v/>
      </c>
      <c r="I132" s="16" t="str">
        <f t="shared" si="32"/>
        <v>R</v>
      </c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103"/>
      <c r="Y132" s="6"/>
      <c r="Z132" s="18"/>
      <c r="AA132" s="18"/>
      <c r="AB132" s="6"/>
      <c r="AC132" s="6"/>
      <c r="AD132" s="6"/>
      <c r="AE132" s="6"/>
      <c r="AF132" s="89" t="str">
        <f t="shared" si="34"/>
        <v/>
      </c>
      <c r="AG132" s="96" t="str">
        <f t="shared" si="35"/>
        <v xml:space="preserve">/* </v>
      </c>
      <c r="AH132" s="6" t="str">
        <f t="shared" si="36"/>
        <v>{(U4)0x00000200U,</v>
      </c>
      <c r="AI132" s="6" t="str">
        <f t="shared" si="37"/>
        <v>(U4)0x40000230U,</v>
      </c>
      <c r="AJ132" s="6" t="str">
        <f t="shared" si="38"/>
        <v>(U4)0x40000261U,</v>
      </c>
      <c r="AK132" s="6" t="str">
        <f t="shared" si="39"/>
        <v>(U2)8U,</v>
      </c>
      <c r="AL132" s="6" t="str">
        <f t="shared" si="40"/>
        <v>(U2)0U},</v>
      </c>
      <c r="AM132" s="6" t="str">
        <f t="shared" si="41"/>
        <v xml:space="preserve"> */</v>
      </c>
      <c r="AN132" s="6" t="str">
        <f t="shared" si="42"/>
        <v>/*   : FCM1S41 = 0x40000261 */</v>
      </c>
      <c r="AO132" s="13"/>
      <c r="AP132" s="13"/>
      <c r="AQ132" s="13"/>
      <c r="AR132" s="13"/>
      <c r="AS132" s="13"/>
      <c r="AT132" s="13"/>
      <c r="AU132" s="13"/>
      <c r="AV132" s="13"/>
    </row>
    <row r="133" spans="1:48" customFormat="1">
      <c r="A133" s="15" t="str">
        <f t="shared" si="31"/>
        <v>VSC1G96</v>
      </c>
      <c r="B133" s="15" t="str">
        <f t="shared" si="31"/>
        <v>262</v>
      </c>
      <c r="C133" s="15" t="str">
        <f t="shared" si="31"/>
        <v>1</v>
      </c>
      <c r="D133" s="15">
        <f t="shared" si="31"/>
        <v>32</v>
      </c>
      <c r="E133" s="15"/>
      <c r="F133" s="15" t="str">
        <f t="shared" si="33"/>
        <v>1</v>
      </c>
      <c r="G133" s="16" t="str">
        <f t="shared" si="32"/>
        <v/>
      </c>
      <c r="H133" s="16" t="str">
        <f t="shared" si="32"/>
        <v/>
      </c>
      <c r="I133" s="16" t="str">
        <f t="shared" si="32"/>
        <v>R</v>
      </c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103"/>
      <c r="Y133" s="6"/>
      <c r="Z133" s="18"/>
      <c r="AA133" s="18"/>
      <c r="AB133" s="6"/>
      <c r="AC133" s="6"/>
      <c r="AD133" s="6"/>
      <c r="AE133" s="6"/>
      <c r="AF133" s="89">
        <f t="shared" si="34"/>
        <v>17</v>
      </c>
      <c r="AG133" s="96" t="str">
        <f t="shared" si="35"/>
        <v/>
      </c>
      <c r="AH133" s="6" t="str">
        <f t="shared" si="36"/>
        <v>{(U4)0x00000200U,</v>
      </c>
      <c r="AI133" s="6" t="str">
        <f t="shared" si="37"/>
        <v>(U4)0x40000262U,</v>
      </c>
      <c r="AJ133" s="6" t="str">
        <f t="shared" si="38"/>
        <v>(U4)0x40000275U,</v>
      </c>
      <c r="AK133" s="6" t="str">
        <f t="shared" si="39"/>
        <v>(U2)32U,</v>
      </c>
      <c r="AL133" s="6" t="str">
        <f t="shared" si="40"/>
        <v>(U2)0U},</v>
      </c>
      <c r="AM133" s="6" t="str">
        <f t="shared" si="41"/>
        <v/>
      </c>
      <c r="AN133" s="6" t="str">
        <f t="shared" si="42"/>
        <v>/* 17 : VSC1G96 = 0x40000262 */</v>
      </c>
      <c r="AO133" s="13"/>
      <c r="AP133" s="13"/>
      <c r="AQ133" s="13"/>
      <c r="AR133" s="13"/>
      <c r="AS133" s="13"/>
      <c r="AT133" s="13"/>
      <c r="AU133" s="13"/>
      <c r="AV133" s="13"/>
    </row>
    <row r="134" spans="1:48" customFormat="1">
      <c r="A134" s="15" t="str">
        <f t="shared" si="31"/>
        <v>FCM1S49</v>
      </c>
      <c r="B134" s="15" t="str">
        <f t="shared" si="31"/>
        <v>274</v>
      </c>
      <c r="C134" s="15" t="str">
        <f t="shared" si="31"/>
        <v>1</v>
      </c>
      <c r="D134" s="15">
        <f t="shared" si="31"/>
        <v>32</v>
      </c>
      <c r="E134" s="15"/>
      <c r="F134" s="15" t="str">
        <f t="shared" si="33"/>
        <v>0</v>
      </c>
      <c r="G134" s="16" t="str">
        <f t="shared" si="32"/>
        <v/>
      </c>
      <c r="H134" s="16" t="str">
        <f t="shared" si="32"/>
        <v/>
      </c>
      <c r="I134" s="16" t="str">
        <f t="shared" si="32"/>
        <v>R</v>
      </c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103"/>
      <c r="Y134" s="6"/>
      <c r="Z134" s="6"/>
      <c r="AA134" s="6"/>
      <c r="AB134" s="6"/>
      <c r="AC134" s="6"/>
      <c r="AD134" s="6"/>
      <c r="AE134" s="6"/>
      <c r="AF134" s="89" t="str">
        <f t="shared" si="34"/>
        <v/>
      </c>
      <c r="AG134" s="96" t="str">
        <f t="shared" si="35"/>
        <v xml:space="preserve">/* </v>
      </c>
      <c r="AH134" s="6" t="str">
        <f t="shared" si="36"/>
        <v>{(U4)0x00000200U,</v>
      </c>
      <c r="AI134" s="6" t="str">
        <f t="shared" si="37"/>
        <v>(U4)0x40000262U,</v>
      </c>
      <c r="AJ134" s="6" t="str">
        <f t="shared" si="38"/>
        <v>(U4)0x40000275U,</v>
      </c>
      <c r="AK134" s="6" t="str">
        <f t="shared" si="39"/>
        <v>(U2)32U,</v>
      </c>
      <c r="AL134" s="6" t="str">
        <f t="shared" si="40"/>
        <v>(U2)0U},</v>
      </c>
      <c r="AM134" s="6" t="str">
        <f t="shared" si="41"/>
        <v xml:space="preserve"> */</v>
      </c>
      <c r="AN134" s="6" t="str">
        <f t="shared" si="42"/>
        <v>/*   : FCM1S49 = 0x40000274 */</v>
      </c>
      <c r="AO134" s="13"/>
      <c r="AP134" s="13"/>
      <c r="AQ134" s="13"/>
      <c r="AR134" s="13"/>
      <c r="AS134" s="13"/>
      <c r="AT134" s="13"/>
      <c r="AU134" s="13"/>
      <c r="AV134" s="13"/>
    </row>
    <row r="135" spans="1:48" customFormat="1">
      <c r="A135" s="15" t="str">
        <f t="shared" ref="A135:D154" si="43">A46</f>
        <v>FCM1S51</v>
      </c>
      <c r="B135" s="15" t="str">
        <f t="shared" si="43"/>
        <v>275</v>
      </c>
      <c r="C135" s="15" t="str">
        <f t="shared" si="43"/>
        <v>1</v>
      </c>
      <c r="D135" s="15">
        <f t="shared" si="43"/>
        <v>32</v>
      </c>
      <c r="E135" s="15"/>
      <c r="F135" s="15" t="str">
        <f t="shared" si="33"/>
        <v>0</v>
      </c>
      <c r="G135" s="16" t="str">
        <f t="shared" ref="G135:I154" si="44">IF(G46&lt;&gt;"",G46,"")</f>
        <v/>
      </c>
      <c r="H135" s="16" t="str">
        <f t="shared" si="44"/>
        <v/>
      </c>
      <c r="I135" s="16" t="str">
        <f t="shared" si="44"/>
        <v>R</v>
      </c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103"/>
      <c r="Y135" s="6"/>
      <c r="Z135" s="6"/>
      <c r="AA135" s="6"/>
      <c r="AB135" s="6"/>
      <c r="AC135" s="6"/>
      <c r="AD135" s="6"/>
      <c r="AE135" s="6"/>
      <c r="AF135" s="89" t="str">
        <f t="shared" si="34"/>
        <v/>
      </c>
      <c r="AG135" s="96" t="str">
        <f t="shared" si="35"/>
        <v xml:space="preserve">/* </v>
      </c>
      <c r="AH135" s="6" t="str">
        <f t="shared" si="36"/>
        <v>{(U4)0x00000200U,</v>
      </c>
      <c r="AI135" s="6" t="str">
        <f t="shared" si="37"/>
        <v>(U4)0x40000262U,</v>
      </c>
      <c r="AJ135" s="6" t="str">
        <f t="shared" si="38"/>
        <v>(U4)0x40000275U,</v>
      </c>
      <c r="AK135" s="6" t="str">
        <f t="shared" si="39"/>
        <v>(U2)32U,</v>
      </c>
      <c r="AL135" s="6" t="str">
        <f t="shared" si="40"/>
        <v>(U2)0U},</v>
      </c>
      <c r="AM135" s="6" t="str">
        <f t="shared" si="41"/>
        <v xml:space="preserve"> */</v>
      </c>
      <c r="AN135" s="6" t="str">
        <f t="shared" si="42"/>
        <v>/*   : FCM1S51 = 0x40000275 */</v>
      </c>
      <c r="AO135" s="13"/>
      <c r="AP135" s="13"/>
      <c r="AQ135" s="13"/>
      <c r="AR135" s="13"/>
      <c r="AS135" s="13"/>
      <c r="AT135" s="13"/>
      <c r="AU135" s="13"/>
      <c r="AV135" s="13"/>
    </row>
    <row r="136" spans="1:48" customFormat="1">
      <c r="A136" s="15" t="str">
        <f t="shared" si="43"/>
        <v>FCM1S52</v>
      </c>
      <c r="B136" s="15" t="str">
        <f t="shared" si="43"/>
        <v>276</v>
      </c>
      <c r="C136" s="15" t="str">
        <f t="shared" si="43"/>
        <v>1</v>
      </c>
      <c r="D136" s="15">
        <f t="shared" si="43"/>
        <v>8</v>
      </c>
      <c r="E136" s="15"/>
      <c r="F136" s="15" t="str">
        <f t="shared" si="33"/>
        <v>0</v>
      </c>
      <c r="G136" s="16" t="str">
        <f t="shared" si="44"/>
        <v/>
      </c>
      <c r="H136" s="16" t="str">
        <f t="shared" si="44"/>
        <v/>
      </c>
      <c r="I136" s="16" t="str">
        <f t="shared" si="44"/>
        <v>R</v>
      </c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103"/>
      <c r="Y136" s="6"/>
      <c r="Z136" s="6"/>
      <c r="AA136" s="6"/>
      <c r="AB136" s="6"/>
      <c r="AC136" s="6"/>
      <c r="AD136" s="6"/>
      <c r="AE136" s="6"/>
      <c r="AF136" s="89">
        <f t="shared" si="34"/>
        <v>18</v>
      </c>
      <c r="AG136" s="96" t="str">
        <f t="shared" si="35"/>
        <v/>
      </c>
      <c r="AH136" s="6" t="str">
        <f t="shared" si="36"/>
        <v>{(U4)0x00000200U,</v>
      </c>
      <c r="AI136" s="6" t="str">
        <f t="shared" si="37"/>
        <v>(U4)0x40000276U,</v>
      </c>
      <c r="AJ136" s="6" t="str">
        <f t="shared" si="38"/>
        <v>(U4)0x4000027dU,</v>
      </c>
      <c r="AK136" s="6" t="str">
        <f t="shared" si="39"/>
        <v>(U2)8U,</v>
      </c>
      <c r="AL136" s="6" t="str">
        <f t="shared" si="40"/>
        <v>(U2)0U},</v>
      </c>
      <c r="AM136" s="6" t="str">
        <f t="shared" si="41"/>
        <v/>
      </c>
      <c r="AN136" s="6" t="str">
        <f t="shared" si="42"/>
        <v>/* 18 : FCM1S52 = 0x40000276 */</v>
      </c>
      <c r="AO136" s="13"/>
      <c r="AP136" s="13"/>
      <c r="AQ136" s="13"/>
      <c r="AR136" s="13"/>
      <c r="AS136" s="13"/>
      <c r="AT136" s="13"/>
      <c r="AU136" s="13"/>
      <c r="AV136" s="13"/>
    </row>
    <row r="137" spans="1:48" customFormat="1">
      <c r="A137" s="15" t="str">
        <f t="shared" si="43"/>
        <v>BAT2ED2</v>
      </c>
      <c r="B137" s="15" t="str">
        <f t="shared" si="43"/>
        <v>279</v>
      </c>
      <c r="C137" s="15" t="str">
        <f t="shared" si="43"/>
        <v>1</v>
      </c>
      <c r="D137" s="15">
        <f t="shared" si="43"/>
        <v>8</v>
      </c>
      <c r="E137" s="15"/>
      <c r="F137" s="15" t="str">
        <f t="shared" si="33"/>
        <v>0</v>
      </c>
      <c r="G137" s="16" t="str">
        <f t="shared" si="44"/>
        <v/>
      </c>
      <c r="H137" s="16" t="str">
        <f t="shared" si="44"/>
        <v/>
      </c>
      <c r="I137" s="16" t="str">
        <f t="shared" si="44"/>
        <v>R</v>
      </c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89"/>
      <c r="Y137" s="6"/>
      <c r="Z137" s="6"/>
      <c r="AA137" s="6"/>
      <c r="AB137" s="6"/>
      <c r="AC137" s="6"/>
      <c r="AD137" s="6"/>
      <c r="AE137" s="6"/>
      <c r="AF137" s="89" t="str">
        <f t="shared" si="34"/>
        <v/>
      </c>
      <c r="AG137" s="96" t="str">
        <f t="shared" si="35"/>
        <v xml:space="preserve">/* </v>
      </c>
      <c r="AH137" s="6" t="str">
        <f t="shared" si="36"/>
        <v>{(U4)0x00000200U,</v>
      </c>
      <c r="AI137" s="6" t="str">
        <f t="shared" si="37"/>
        <v>(U4)0x40000276U,</v>
      </c>
      <c r="AJ137" s="6" t="str">
        <f t="shared" si="38"/>
        <v>(U4)0x4000027dU,</v>
      </c>
      <c r="AK137" s="6" t="str">
        <f t="shared" si="39"/>
        <v>(U2)8U,</v>
      </c>
      <c r="AL137" s="6" t="str">
        <f t="shared" si="40"/>
        <v>(U2)0U},</v>
      </c>
      <c r="AM137" s="6" t="str">
        <f t="shared" si="41"/>
        <v xml:space="preserve"> */</v>
      </c>
      <c r="AN137" s="6" t="str">
        <f t="shared" si="42"/>
        <v>/*   : BAT2ED2 = 0x40000279 */</v>
      </c>
      <c r="AO137" s="13"/>
      <c r="AP137" s="13"/>
      <c r="AQ137" s="13"/>
      <c r="AR137" s="13"/>
      <c r="AS137" s="13"/>
      <c r="AT137" s="13"/>
      <c r="AU137" s="13"/>
      <c r="AV137" s="13"/>
    </row>
    <row r="138" spans="1:48" customFormat="1">
      <c r="A138" s="15" t="str">
        <f t="shared" si="43"/>
        <v>FCM1S58</v>
      </c>
      <c r="B138" s="15" t="str">
        <f t="shared" si="43"/>
        <v>27C</v>
      </c>
      <c r="C138" s="15" t="str">
        <f t="shared" si="43"/>
        <v>1</v>
      </c>
      <c r="D138" s="15">
        <f t="shared" si="43"/>
        <v>8</v>
      </c>
      <c r="E138" s="15"/>
      <c r="F138" s="15" t="str">
        <f t="shared" si="33"/>
        <v>0</v>
      </c>
      <c r="G138" s="16" t="str">
        <f t="shared" si="44"/>
        <v/>
      </c>
      <c r="H138" s="16" t="str">
        <f t="shared" si="44"/>
        <v/>
      </c>
      <c r="I138" s="16" t="str">
        <f t="shared" si="44"/>
        <v>R</v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89"/>
      <c r="Y138" s="6"/>
      <c r="Z138" s="6"/>
      <c r="AA138" s="6"/>
      <c r="AB138" s="6"/>
      <c r="AC138" s="6"/>
      <c r="AD138" s="6"/>
      <c r="AE138" s="6"/>
      <c r="AF138" s="89" t="str">
        <f t="shared" si="34"/>
        <v/>
      </c>
      <c r="AG138" s="96" t="str">
        <f t="shared" si="35"/>
        <v xml:space="preserve">/* </v>
      </c>
      <c r="AH138" s="6" t="str">
        <f t="shared" si="36"/>
        <v>{(U4)0x00000200U,</v>
      </c>
      <c r="AI138" s="6" t="str">
        <f t="shared" si="37"/>
        <v>(U4)0x40000276U,</v>
      </c>
      <c r="AJ138" s="6" t="str">
        <f t="shared" si="38"/>
        <v>(U4)0x4000027dU,</v>
      </c>
      <c r="AK138" s="6" t="str">
        <f t="shared" si="39"/>
        <v>(U2)8U,</v>
      </c>
      <c r="AL138" s="6" t="str">
        <f t="shared" si="40"/>
        <v>(U2)0U},</v>
      </c>
      <c r="AM138" s="6" t="str">
        <f t="shared" si="41"/>
        <v xml:space="preserve"> */</v>
      </c>
      <c r="AN138" s="6" t="str">
        <f t="shared" si="42"/>
        <v>/*   : FCM1S58 = 0x4000027c */</v>
      </c>
      <c r="AO138" s="13"/>
      <c r="AP138" s="13"/>
      <c r="AQ138" s="13"/>
      <c r="AR138" s="13"/>
      <c r="AS138" s="13"/>
      <c r="AT138" s="13"/>
      <c r="AU138" s="13"/>
      <c r="AV138" s="13"/>
    </row>
    <row r="139" spans="1:48" customFormat="1">
      <c r="A139" s="15" t="str">
        <f t="shared" si="43"/>
        <v>DDM1S00</v>
      </c>
      <c r="B139" s="15" t="str">
        <f t="shared" si="43"/>
        <v>27D</v>
      </c>
      <c r="C139" s="15" t="str">
        <f t="shared" si="43"/>
        <v>1</v>
      </c>
      <c r="D139" s="15">
        <f t="shared" si="43"/>
        <v>8</v>
      </c>
      <c r="E139" s="15"/>
      <c r="F139" s="15" t="str">
        <f t="shared" si="33"/>
        <v>0</v>
      </c>
      <c r="G139" s="16" t="str">
        <f t="shared" si="44"/>
        <v/>
      </c>
      <c r="H139" s="16" t="str">
        <f t="shared" si="44"/>
        <v/>
      </c>
      <c r="I139" s="16" t="str">
        <f t="shared" si="44"/>
        <v>R</v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89"/>
      <c r="Y139" s="6"/>
      <c r="Z139" s="6"/>
      <c r="AA139" s="6"/>
      <c r="AB139" s="6"/>
      <c r="AC139" s="6"/>
      <c r="AD139" s="6"/>
      <c r="AE139" s="6"/>
      <c r="AF139" s="89" t="str">
        <f t="shared" si="34"/>
        <v/>
      </c>
      <c r="AG139" s="96" t="str">
        <f t="shared" si="35"/>
        <v xml:space="preserve">/* </v>
      </c>
      <c r="AH139" s="6" t="str">
        <f t="shared" si="36"/>
        <v>{(U4)0x00000200U,</v>
      </c>
      <c r="AI139" s="6" t="str">
        <f t="shared" si="37"/>
        <v>(U4)0x40000276U,</v>
      </c>
      <c r="AJ139" s="6" t="str">
        <f t="shared" si="38"/>
        <v>(U4)0x4000027dU,</v>
      </c>
      <c r="AK139" s="6" t="str">
        <f t="shared" si="39"/>
        <v>(U2)8U,</v>
      </c>
      <c r="AL139" s="6" t="str">
        <f t="shared" si="40"/>
        <v>(U2)0U},</v>
      </c>
      <c r="AM139" s="6" t="str">
        <f t="shared" si="41"/>
        <v xml:space="preserve"> */</v>
      </c>
      <c r="AN139" s="6" t="str">
        <f t="shared" si="42"/>
        <v>/*   : DDM1S00 = 0x4000027d */</v>
      </c>
      <c r="AO139" s="13"/>
      <c r="AP139" s="13"/>
      <c r="AQ139" s="13"/>
      <c r="AR139" s="13"/>
      <c r="AS139" s="13"/>
      <c r="AT139" s="13"/>
      <c r="AU139" s="13"/>
      <c r="AV139" s="13"/>
    </row>
    <row r="140" spans="1:48" customFormat="1">
      <c r="A140" s="15" t="str">
        <f t="shared" si="43"/>
        <v>FCM1S66</v>
      </c>
      <c r="B140" s="15" t="str">
        <f t="shared" si="43"/>
        <v>28A</v>
      </c>
      <c r="C140" s="15" t="str">
        <f t="shared" si="43"/>
        <v>1</v>
      </c>
      <c r="D140" s="15">
        <f t="shared" si="43"/>
        <v>32</v>
      </c>
      <c r="E140" s="15"/>
      <c r="F140" s="15" t="str">
        <f t="shared" si="33"/>
        <v>0</v>
      </c>
      <c r="G140" s="16" t="str">
        <f t="shared" si="44"/>
        <v/>
      </c>
      <c r="H140" s="16" t="str">
        <f t="shared" si="44"/>
        <v/>
      </c>
      <c r="I140" s="16" t="str">
        <f t="shared" si="44"/>
        <v>R</v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89"/>
      <c r="Y140" s="6"/>
      <c r="Z140" s="6"/>
      <c r="AA140" s="6"/>
      <c r="AB140" s="6"/>
      <c r="AC140" s="6"/>
      <c r="AD140" s="6"/>
      <c r="AE140" s="6"/>
      <c r="AF140" s="89">
        <f t="shared" si="34"/>
        <v>19</v>
      </c>
      <c r="AG140" s="96" t="str">
        <f t="shared" si="35"/>
        <v/>
      </c>
      <c r="AH140" s="6" t="str">
        <f t="shared" si="36"/>
        <v>{(U4)0x00000200U,</v>
      </c>
      <c r="AI140" s="6" t="str">
        <f t="shared" si="37"/>
        <v>(U4)0x4000028aU,</v>
      </c>
      <c r="AJ140" s="6" t="str">
        <f t="shared" si="38"/>
        <v>(U4)0x4000028aU,</v>
      </c>
      <c r="AK140" s="6" t="str">
        <f t="shared" si="39"/>
        <v>(U2)32U,</v>
      </c>
      <c r="AL140" s="6" t="str">
        <f t="shared" si="40"/>
        <v>(U2)0U},</v>
      </c>
      <c r="AM140" s="6" t="str">
        <f t="shared" si="41"/>
        <v/>
      </c>
      <c r="AN140" s="6" t="str">
        <f t="shared" si="42"/>
        <v>/* 19 : FCM1S66 = 0x4000028a */</v>
      </c>
      <c r="AO140" s="13"/>
      <c r="AP140" s="13"/>
      <c r="AQ140" s="13"/>
      <c r="AR140" s="13"/>
      <c r="AS140" s="13"/>
      <c r="AT140" s="13"/>
      <c r="AU140" s="13"/>
      <c r="AV140" s="13"/>
    </row>
    <row r="141" spans="1:48" customFormat="1">
      <c r="A141" s="15" t="str">
        <f t="shared" si="43"/>
        <v>TRA1S01</v>
      </c>
      <c r="B141" s="15" t="str">
        <f t="shared" si="43"/>
        <v>2A0</v>
      </c>
      <c r="C141" s="15" t="str">
        <f t="shared" si="43"/>
        <v>1</v>
      </c>
      <c r="D141" s="15">
        <f t="shared" si="43"/>
        <v>8</v>
      </c>
      <c r="E141" s="15"/>
      <c r="F141" s="15" t="str">
        <f t="shared" si="33"/>
        <v>0</v>
      </c>
      <c r="G141" s="16" t="str">
        <f t="shared" si="44"/>
        <v/>
      </c>
      <c r="H141" s="16" t="str">
        <f t="shared" si="44"/>
        <v/>
      </c>
      <c r="I141" s="16" t="str">
        <f t="shared" si="44"/>
        <v>R</v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89"/>
      <c r="Y141" s="6"/>
      <c r="Z141" s="6"/>
      <c r="AA141" s="6"/>
      <c r="AB141" s="6"/>
      <c r="AC141" s="6"/>
      <c r="AD141" s="6"/>
      <c r="AE141" s="6"/>
      <c r="AF141" s="89">
        <f t="shared" si="34"/>
        <v>20</v>
      </c>
      <c r="AG141" s="96" t="str">
        <f t="shared" si="35"/>
        <v/>
      </c>
      <c r="AH141" s="6" t="str">
        <f t="shared" si="36"/>
        <v>{(U4)0x00000200U,</v>
      </c>
      <c r="AI141" s="6" t="str">
        <f t="shared" si="37"/>
        <v>(U4)0x400002a0U,</v>
      </c>
      <c r="AJ141" s="6" t="str">
        <f t="shared" si="38"/>
        <v>(U4)0x400002a8U,</v>
      </c>
      <c r="AK141" s="6" t="str">
        <f t="shared" si="39"/>
        <v>(U2)8U,</v>
      </c>
      <c r="AL141" s="6" t="str">
        <f t="shared" si="40"/>
        <v>(U2)0U},</v>
      </c>
      <c r="AM141" s="6" t="str">
        <f t="shared" si="41"/>
        <v/>
      </c>
      <c r="AN141" s="6" t="str">
        <f t="shared" si="42"/>
        <v>/* 20 : TRA1S01 = 0x400002a0 */</v>
      </c>
      <c r="AO141" s="13"/>
      <c r="AP141" s="13"/>
      <c r="AQ141" s="13"/>
      <c r="AR141" s="13"/>
      <c r="AS141" s="13"/>
      <c r="AT141" s="13"/>
      <c r="AU141" s="13"/>
      <c r="AV141" s="13"/>
    </row>
    <row r="142" spans="1:48" customFormat="1">
      <c r="A142" s="15" t="str">
        <f t="shared" si="43"/>
        <v>ECT1G92</v>
      </c>
      <c r="B142" s="15" t="str">
        <f t="shared" si="43"/>
        <v>2A1</v>
      </c>
      <c r="C142" s="15" t="str">
        <f t="shared" si="43"/>
        <v>1</v>
      </c>
      <c r="D142" s="15">
        <f t="shared" si="43"/>
        <v>8</v>
      </c>
      <c r="E142" s="15"/>
      <c r="F142" s="15" t="str">
        <f t="shared" si="33"/>
        <v>0</v>
      </c>
      <c r="G142" s="16" t="str">
        <f t="shared" si="44"/>
        <v/>
      </c>
      <c r="H142" s="16" t="str">
        <f t="shared" si="44"/>
        <v/>
      </c>
      <c r="I142" s="16" t="str">
        <f t="shared" si="44"/>
        <v>R</v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89"/>
      <c r="Y142" s="6"/>
      <c r="Z142" s="6"/>
      <c r="AA142" s="6"/>
      <c r="AB142" s="6"/>
      <c r="AC142" s="6"/>
      <c r="AD142" s="6"/>
      <c r="AE142" s="6"/>
      <c r="AF142" s="89" t="str">
        <f t="shared" si="34"/>
        <v/>
      </c>
      <c r="AG142" s="96" t="str">
        <f t="shared" si="35"/>
        <v xml:space="preserve">/* </v>
      </c>
      <c r="AH142" s="6" t="str">
        <f t="shared" si="36"/>
        <v>{(U4)0x00000200U,</v>
      </c>
      <c r="AI142" s="6" t="str">
        <f t="shared" si="37"/>
        <v>(U4)0x400002a0U,</v>
      </c>
      <c r="AJ142" s="6" t="str">
        <f t="shared" si="38"/>
        <v>(U4)0x400002a8U,</v>
      </c>
      <c r="AK142" s="6" t="str">
        <f t="shared" si="39"/>
        <v>(U2)8U,</v>
      </c>
      <c r="AL142" s="6" t="str">
        <f t="shared" si="40"/>
        <v>(U2)0U},</v>
      </c>
      <c r="AM142" s="6" t="str">
        <f t="shared" si="41"/>
        <v xml:space="preserve"> */</v>
      </c>
      <c r="AN142" s="6" t="str">
        <f t="shared" si="42"/>
        <v>/*   : ECT1G92 = 0x400002a1 */</v>
      </c>
      <c r="AO142" s="13"/>
      <c r="AP142" s="13"/>
      <c r="AQ142" s="13"/>
      <c r="AR142" s="13"/>
      <c r="AS142" s="13"/>
      <c r="AT142" s="13"/>
      <c r="AU142" s="13"/>
      <c r="AV142" s="13"/>
    </row>
    <row r="143" spans="1:48" customFormat="1">
      <c r="A143" s="15" t="str">
        <f t="shared" si="43"/>
        <v>EHV1G70</v>
      </c>
      <c r="B143" s="15" t="str">
        <f t="shared" si="43"/>
        <v>2A7</v>
      </c>
      <c r="C143" s="15" t="str">
        <f t="shared" si="43"/>
        <v>1</v>
      </c>
      <c r="D143" s="15">
        <f t="shared" si="43"/>
        <v>8</v>
      </c>
      <c r="E143" s="15"/>
      <c r="F143" s="15" t="str">
        <f t="shared" si="33"/>
        <v>0</v>
      </c>
      <c r="G143" s="16" t="str">
        <f t="shared" si="44"/>
        <v/>
      </c>
      <c r="H143" s="16" t="str">
        <f t="shared" si="44"/>
        <v/>
      </c>
      <c r="I143" s="16" t="str">
        <f t="shared" si="44"/>
        <v>R</v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89"/>
      <c r="Y143" s="6"/>
      <c r="Z143" s="6"/>
      <c r="AA143" s="6"/>
      <c r="AB143" s="6"/>
      <c r="AC143" s="6"/>
      <c r="AD143" s="6"/>
      <c r="AE143" s="6"/>
      <c r="AF143" s="89" t="str">
        <f t="shared" si="34"/>
        <v/>
      </c>
      <c r="AG143" s="96" t="str">
        <f t="shared" si="35"/>
        <v xml:space="preserve">/* </v>
      </c>
      <c r="AH143" s="6" t="str">
        <f t="shared" si="36"/>
        <v>{(U4)0x00000200U,</v>
      </c>
      <c r="AI143" s="6" t="str">
        <f t="shared" si="37"/>
        <v>(U4)0x400002a0U,</v>
      </c>
      <c r="AJ143" s="6" t="str">
        <f t="shared" si="38"/>
        <v>(U4)0x400002a8U,</v>
      </c>
      <c r="AK143" s="6" t="str">
        <f t="shared" si="39"/>
        <v>(U2)8U,</v>
      </c>
      <c r="AL143" s="6" t="str">
        <f t="shared" si="40"/>
        <v>(U2)0U},</v>
      </c>
      <c r="AM143" s="6" t="str">
        <f t="shared" si="41"/>
        <v xml:space="preserve"> */</v>
      </c>
      <c r="AN143" s="6" t="str">
        <f t="shared" si="42"/>
        <v>/*   : EHV1G70 = 0x400002a7 */</v>
      </c>
      <c r="AO143" s="13"/>
      <c r="AP143" s="13"/>
      <c r="AQ143" s="13"/>
      <c r="AR143" s="13"/>
      <c r="AS143" s="13"/>
      <c r="AT143" s="13"/>
      <c r="AU143" s="13"/>
      <c r="AV143" s="13"/>
    </row>
    <row r="144" spans="1:48" customFormat="1">
      <c r="A144" s="15" t="str">
        <f t="shared" si="43"/>
        <v>EHV1G71</v>
      </c>
      <c r="B144" s="15" t="str">
        <f t="shared" si="43"/>
        <v>2A8</v>
      </c>
      <c r="C144" s="15" t="str">
        <f t="shared" si="43"/>
        <v>1</v>
      </c>
      <c r="D144" s="15">
        <f t="shared" si="43"/>
        <v>8</v>
      </c>
      <c r="E144" s="15"/>
      <c r="F144" s="15" t="str">
        <f t="shared" si="33"/>
        <v>0</v>
      </c>
      <c r="G144" s="16" t="str">
        <f t="shared" si="44"/>
        <v/>
      </c>
      <c r="H144" s="16" t="str">
        <f t="shared" si="44"/>
        <v/>
      </c>
      <c r="I144" s="16" t="str">
        <f t="shared" si="44"/>
        <v>R</v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89"/>
      <c r="Y144" s="6"/>
      <c r="Z144" s="6"/>
      <c r="AA144" s="6"/>
      <c r="AB144" s="6"/>
      <c r="AC144" s="6"/>
      <c r="AD144" s="6"/>
      <c r="AE144" s="6"/>
      <c r="AF144" s="89" t="str">
        <f t="shared" si="34"/>
        <v/>
      </c>
      <c r="AG144" s="96" t="str">
        <f t="shared" si="35"/>
        <v xml:space="preserve">/* </v>
      </c>
      <c r="AH144" s="6" t="str">
        <f t="shared" si="36"/>
        <v>{(U4)0x00000200U,</v>
      </c>
      <c r="AI144" s="6" t="str">
        <f t="shared" si="37"/>
        <v>(U4)0x400002a0U,</v>
      </c>
      <c r="AJ144" s="6" t="str">
        <f t="shared" si="38"/>
        <v>(U4)0x400002a8U,</v>
      </c>
      <c r="AK144" s="6" t="str">
        <f t="shared" si="39"/>
        <v>(U2)8U,</v>
      </c>
      <c r="AL144" s="6" t="str">
        <f t="shared" si="40"/>
        <v>(U2)0U},</v>
      </c>
      <c r="AM144" s="6" t="str">
        <f t="shared" si="41"/>
        <v xml:space="preserve"> */</v>
      </c>
      <c r="AN144" s="6" t="str">
        <f t="shared" si="42"/>
        <v>/*   : EHV1G71 = 0x400002a8 */</v>
      </c>
      <c r="AO144" s="13"/>
      <c r="AP144" s="13"/>
      <c r="AQ144" s="13"/>
      <c r="AR144" s="13"/>
      <c r="AS144" s="13"/>
      <c r="AT144" s="13"/>
      <c r="AU144" s="13"/>
      <c r="AV144" s="13"/>
    </row>
    <row r="145" spans="1:48" customFormat="1">
      <c r="A145" s="15" t="str">
        <f t="shared" si="43"/>
        <v>RCP1S04</v>
      </c>
      <c r="B145" s="15" t="str">
        <f t="shared" si="43"/>
        <v>2C6</v>
      </c>
      <c r="C145" s="15" t="str">
        <f t="shared" si="43"/>
        <v>1</v>
      </c>
      <c r="D145" s="15">
        <f t="shared" si="43"/>
        <v>32</v>
      </c>
      <c r="E145" s="15"/>
      <c r="F145" s="15" t="str">
        <f t="shared" si="33"/>
        <v>0</v>
      </c>
      <c r="G145" s="16" t="str">
        <f t="shared" si="44"/>
        <v/>
      </c>
      <c r="H145" s="16" t="str">
        <f t="shared" si="44"/>
        <v/>
      </c>
      <c r="I145" s="16" t="str">
        <f t="shared" si="44"/>
        <v>R</v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89"/>
      <c r="Y145" s="6"/>
      <c r="Z145" s="6"/>
      <c r="AA145" s="6"/>
      <c r="AB145" s="6"/>
      <c r="AC145" s="6"/>
      <c r="AD145" s="6"/>
      <c r="AE145" s="6"/>
      <c r="AF145" s="89">
        <f t="shared" si="34"/>
        <v>21</v>
      </c>
      <c r="AG145" s="96" t="str">
        <f t="shared" si="35"/>
        <v/>
      </c>
      <c r="AH145" s="6" t="str">
        <f t="shared" si="36"/>
        <v>{(U4)0x00000200U,</v>
      </c>
      <c r="AI145" s="6" t="str">
        <f t="shared" si="37"/>
        <v>(U4)0x400002c6U,</v>
      </c>
      <c r="AJ145" s="6" t="str">
        <f t="shared" si="38"/>
        <v>(U4)0x400002c6U,</v>
      </c>
      <c r="AK145" s="6" t="str">
        <f t="shared" si="39"/>
        <v>(U2)32U,</v>
      </c>
      <c r="AL145" s="6" t="str">
        <f t="shared" si="40"/>
        <v>(U2)0U},</v>
      </c>
      <c r="AM145" s="6" t="str">
        <f t="shared" si="41"/>
        <v/>
      </c>
      <c r="AN145" s="6" t="str">
        <f t="shared" si="42"/>
        <v>/* 21 : RCP1S04 = 0x400002c6 */</v>
      </c>
      <c r="AO145" s="13"/>
      <c r="AP145" s="13"/>
      <c r="AQ145" s="13"/>
      <c r="AR145" s="13"/>
      <c r="AS145" s="13"/>
      <c r="AT145" s="13"/>
      <c r="AU145" s="13"/>
      <c r="AV145" s="13"/>
    </row>
    <row r="146" spans="1:48" customFormat="1">
      <c r="A146" s="15" t="str">
        <f t="shared" si="43"/>
        <v>RCP1S05</v>
      </c>
      <c r="B146" s="15" t="str">
        <f t="shared" si="43"/>
        <v>2C7</v>
      </c>
      <c r="C146" s="15" t="str">
        <f t="shared" si="43"/>
        <v>1</v>
      </c>
      <c r="D146" s="15">
        <f t="shared" si="43"/>
        <v>64</v>
      </c>
      <c r="E146" s="15"/>
      <c r="F146" s="15" t="str">
        <f t="shared" si="33"/>
        <v>0</v>
      </c>
      <c r="G146" s="16" t="str">
        <f t="shared" si="44"/>
        <v/>
      </c>
      <c r="H146" s="16" t="str">
        <f t="shared" si="44"/>
        <v/>
      </c>
      <c r="I146" s="16" t="str">
        <f t="shared" si="44"/>
        <v>R</v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89"/>
      <c r="Y146" s="6"/>
      <c r="Z146" s="6"/>
      <c r="AA146" s="6"/>
      <c r="AB146" s="6"/>
      <c r="AC146" s="6"/>
      <c r="AD146" s="6"/>
      <c r="AE146" s="6"/>
      <c r="AF146" s="89">
        <f t="shared" si="34"/>
        <v>22</v>
      </c>
      <c r="AG146" s="96" t="str">
        <f t="shared" si="35"/>
        <v/>
      </c>
      <c r="AH146" s="6" t="str">
        <f t="shared" si="36"/>
        <v>{(U4)0x00000200U,</v>
      </c>
      <c r="AI146" s="6" t="str">
        <f t="shared" si="37"/>
        <v>(U4)0x400002c7U,</v>
      </c>
      <c r="AJ146" s="6" t="str">
        <f t="shared" si="38"/>
        <v>(U4)0x400002c8U,</v>
      </c>
      <c r="AK146" s="6" t="str">
        <f t="shared" si="39"/>
        <v>(U2)64U,</v>
      </c>
      <c r="AL146" s="6" t="str">
        <f t="shared" si="40"/>
        <v>(U2)0U},</v>
      </c>
      <c r="AM146" s="6" t="str">
        <f t="shared" si="41"/>
        <v/>
      </c>
      <c r="AN146" s="6" t="str">
        <f t="shared" si="42"/>
        <v>/* 22 : RCP1S05 = 0x400002c7 */</v>
      </c>
      <c r="AO146" s="13"/>
      <c r="AP146" s="13"/>
      <c r="AQ146" s="13"/>
      <c r="AR146" s="13"/>
      <c r="AS146" s="13"/>
      <c r="AT146" s="13"/>
      <c r="AU146" s="13"/>
      <c r="AV146" s="13"/>
    </row>
    <row r="147" spans="1:48" customFormat="1">
      <c r="A147" s="15" t="str">
        <f t="shared" si="43"/>
        <v>RCP1S06</v>
      </c>
      <c r="B147" s="15" t="str">
        <f t="shared" si="43"/>
        <v>2C8</v>
      </c>
      <c r="C147" s="15" t="str">
        <f t="shared" si="43"/>
        <v>1</v>
      </c>
      <c r="D147" s="15">
        <f t="shared" si="43"/>
        <v>64</v>
      </c>
      <c r="E147" s="15"/>
      <c r="F147" s="15" t="str">
        <f t="shared" si="33"/>
        <v>0</v>
      </c>
      <c r="G147" s="16" t="str">
        <f t="shared" si="44"/>
        <v/>
      </c>
      <c r="H147" s="16" t="str">
        <f t="shared" si="44"/>
        <v/>
      </c>
      <c r="I147" s="16" t="str">
        <f t="shared" si="44"/>
        <v>R</v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89"/>
      <c r="Y147" s="6"/>
      <c r="Z147" s="6"/>
      <c r="AA147" s="6"/>
      <c r="AB147" s="6"/>
      <c r="AC147" s="6"/>
      <c r="AD147" s="6"/>
      <c r="AE147" s="6"/>
      <c r="AF147" s="89" t="str">
        <f t="shared" si="34"/>
        <v/>
      </c>
      <c r="AG147" s="96" t="str">
        <f t="shared" si="35"/>
        <v xml:space="preserve">/* </v>
      </c>
      <c r="AH147" s="6" t="str">
        <f t="shared" si="36"/>
        <v>{(U4)0x00000200U,</v>
      </c>
      <c r="AI147" s="6" t="str">
        <f t="shared" si="37"/>
        <v>(U4)0x400002c7U,</v>
      </c>
      <c r="AJ147" s="6" t="str">
        <f t="shared" si="38"/>
        <v>(U4)0x400002c8U,</v>
      </c>
      <c r="AK147" s="6" t="str">
        <f t="shared" si="39"/>
        <v>(U2)64U,</v>
      </c>
      <c r="AL147" s="6" t="str">
        <f t="shared" si="40"/>
        <v>(U2)0U},</v>
      </c>
      <c r="AM147" s="6" t="str">
        <f t="shared" si="41"/>
        <v xml:space="preserve"> */</v>
      </c>
      <c r="AN147" s="6" t="str">
        <f t="shared" si="42"/>
        <v>/*   : RCP1S06 = 0x400002c8 */</v>
      </c>
      <c r="AO147" s="13"/>
      <c r="AP147" s="13"/>
      <c r="AQ147" s="13"/>
      <c r="AR147" s="13"/>
      <c r="AS147" s="13"/>
      <c r="AT147" s="13"/>
      <c r="AU147" s="13"/>
      <c r="AV147" s="13"/>
    </row>
    <row r="148" spans="1:48" customFormat="1">
      <c r="A148" s="15" t="str">
        <f t="shared" si="43"/>
        <v>EHV1S99</v>
      </c>
      <c r="B148" s="15" t="str">
        <f t="shared" si="43"/>
        <v>2DE</v>
      </c>
      <c r="C148" s="15" t="str">
        <f t="shared" si="43"/>
        <v>1</v>
      </c>
      <c r="D148" s="15">
        <f t="shared" si="43"/>
        <v>8</v>
      </c>
      <c r="E148" s="15"/>
      <c r="F148" s="15" t="str">
        <f t="shared" si="33"/>
        <v>0</v>
      </c>
      <c r="G148" s="16" t="str">
        <f t="shared" si="44"/>
        <v/>
      </c>
      <c r="H148" s="16" t="str">
        <f t="shared" si="44"/>
        <v/>
      </c>
      <c r="I148" s="16" t="str">
        <f t="shared" si="44"/>
        <v>R</v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89"/>
      <c r="Y148" s="6"/>
      <c r="Z148" s="6"/>
      <c r="AA148" s="6"/>
      <c r="AB148" s="6"/>
      <c r="AC148" s="6"/>
      <c r="AD148" s="6"/>
      <c r="AE148" s="6"/>
      <c r="AF148" s="89">
        <f t="shared" si="34"/>
        <v>23</v>
      </c>
      <c r="AG148" s="96" t="str">
        <f t="shared" si="35"/>
        <v/>
      </c>
      <c r="AH148" s="6" t="str">
        <f t="shared" si="36"/>
        <v>{(U4)0x00000200U,</v>
      </c>
      <c r="AI148" s="6" t="str">
        <f t="shared" si="37"/>
        <v>(U4)0x400002deU,</v>
      </c>
      <c r="AJ148" s="6" t="str">
        <f t="shared" si="38"/>
        <v>(U4)0x400002f4U,</v>
      </c>
      <c r="AK148" s="6" t="str">
        <f t="shared" si="39"/>
        <v>(U2)8U,</v>
      </c>
      <c r="AL148" s="6" t="str">
        <f t="shared" si="40"/>
        <v>(U2)0U},</v>
      </c>
      <c r="AM148" s="6" t="str">
        <f t="shared" si="41"/>
        <v/>
      </c>
      <c r="AN148" s="6" t="str">
        <f t="shared" si="42"/>
        <v>/* 23 : EHV1S99 = 0x400002de */</v>
      </c>
      <c r="AO148" s="13"/>
      <c r="AP148" s="13"/>
      <c r="AQ148" s="13"/>
      <c r="AR148" s="13"/>
      <c r="AS148" s="13"/>
      <c r="AT148" s="13"/>
      <c r="AU148" s="13"/>
      <c r="AV148" s="13"/>
    </row>
    <row r="149" spans="1:48" customFormat="1">
      <c r="A149" s="15" t="str">
        <f t="shared" si="43"/>
        <v>PDS1S01</v>
      </c>
      <c r="B149" s="15" t="str">
        <f t="shared" si="43"/>
        <v>2F4</v>
      </c>
      <c r="C149" s="15" t="str">
        <f t="shared" si="43"/>
        <v>1</v>
      </c>
      <c r="D149" s="15">
        <f t="shared" si="43"/>
        <v>8</v>
      </c>
      <c r="E149" s="15"/>
      <c r="F149" s="15" t="str">
        <f t="shared" si="33"/>
        <v>0</v>
      </c>
      <c r="G149" s="16" t="str">
        <f t="shared" si="44"/>
        <v/>
      </c>
      <c r="H149" s="16" t="str">
        <f t="shared" si="44"/>
        <v/>
      </c>
      <c r="I149" s="16" t="str">
        <f t="shared" si="44"/>
        <v>R</v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89"/>
      <c r="Y149" s="6"/>
      <c r="Z149" s="6"/>
      <c r="AA149" s="6"/>
      <c r="AB149" s="6"/>
      <c r="AC149" s="6"/>
      <c r="AD149" s="6"/>
      <c r="AE149" s="6"/>
      <c r="AF149" s="89" t="str">
        <f t="shared" si="34"/>
        <v/>
      </c>
      <c r="AG149" s="96" t="str">
        <f t="shared" si="35"/>
        <v xml:space="preserve">/* </v>
      </c>
      <c r="AH149" s="6" t="str">
        <f t="shared" si="36"/>
        <v>{(U4)0x00000200U,</v>
      </c>
      <c r="AI149" s="6" t="str">
        <f t="shared" si="37"/>
        <v>(U4)0x400002deU,</v>
      </c>
      <c r="AJ149" s="6" t="str">
        <f t="shared" si="38"/>
        <v>(U4)0x400002f4U,</v>
      </c>
      <c r="AK149" s="6" t="str">
        <f t="shared" si="39"/>
        <v>(U2)8U,</v>
      </c>
      <c r="AL149" s="6" t="str">
        <f t="shared" si="40"/>
        <v>(U2)0U},</v>
      </c>
      <c r="AM149" s="6" t="str">
        <f t="shared" si="41"/>
        <v xml:space="preserve"> */</v>
      </c>
      <c r="AN149" s="6" t="str">
        <f t="shared" si="42"/>
        <v>/*   : PDS1S01 = 0x400002f4 */</v>
      </c>
      <c r="AO149" s="13"/>
      <c r="AP149" s="13"/>
      <c r="AQ149" s="13"/>
      <c r="AR149" s="13"/>
      <c r="AS149" s="13"/>
      <c r="AT149" s="13"/>
      <c r="AU149" s="13"/>
      <c r="AV149" s="13"/>
    </row>
    <row r="150" spans="1:48" customFormat="1">
      <c r="A150" s="15" t="str">
        <f t="shared" si="43"/>
        <v>SCS1S14</v>
      </c>
      <c r="B150" s="15" t="str">
        <f t="shared" si="43"/>
        <v>2FE</v>
      </c>
      <c r="C150" s="15" t="str">
        <f t="shared" si="43"/>
        <v>1</v>
      </c>
      <c r="D150" s="15">
        <f t="shared" si="43"/>
        <v>32</v>
      </c>
      <c r="E150" s="15"/>
      <c r="F150" s="15" t="str">
        <f t="shared" si="33"/>
        <v>0</v>
      </c>
      <c r="G150" s="16" t="str">
        <f t="shared" si="44"/>
        <v/>
      </c>
      <c r="H150" s="16" t="str">
        <f t="shared" si="44"/>
        <v/>
      </c>
      <c r="I150" s="16" t="str">
        <f t="shared" si="44"/>
        <v>R</v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89"/>
      <c r="Y150" s="6"/>
      <c r="Z150" s="6"/>
      <c r="AA150" s="6"/>
      <c r="AB150" s="6"/>
      <c r="AC150" s="6"/>
      <c r="AD150" s="6"/>
      <c r="AE150" s="6"/>
      <c r="AF150" s="89">
        <f t="shared" si="34"/>
        <v>24</v>
      </c>
      <c r="AG150" s="96" t="str">
        <f t="shared" si="35"/>
        <v/>
      </c>
      <c r="AH150" s="6" t="str">
        <f t="shared" si="36"/>
        <v>{(U4)0x00000200U,</v>
      </c>
      <c r="AI150" s="6" t="str">
        <f t="shared" si="37"/>
        <v>(U4)0x400002feU,</v>
      </c>
      <c r="AJ150" s="6" t="str">
        <f t="shared" si="38"/>
        <v>(U4)0x400003d4U,</v>
      </c>
      <c r="AK150" s="6" t="str">
        <f t="shared" si="39"/>
        <v>(U2)32U,</v>
      </c>
      <c r="AL150" s="6" t="str">
        <f t="shared" si="40"/>
        <v>(U2)0U},</v>
      </c>
      <c r="AM150" s="6" t="str">
        <f t="shared" si="41"/>
        <v/>
      </c>
      <c r="AN150" s="6" t="str">
        <f t="shared" si="42"/>
        <v>/* 24 : SCS1S14 = 0x400002fe */</v>
      </c>
      <c r="AO150" s="13"/>
      <c r="AP150" s="13"/>
      <c r="AQ150" s="13"/>
      <c r="AR150" s="13"/>
      <c r="AS150" s="13"/>
      <c r="AT150" s="13"/>
      <c r="AU150" s="13"/>
      <c r="AV150" s="13"/>
    </row>
    <row r="151" spans="1:48" customFormat="1">
      <c r="A151" s="15" t="str">
        <f t="shared" si="43"/>
        <v>ECT1S80</v>
      </c>
      <c r="B151" s="15" t="str">
        <f t="shared" si="43"/>
        <v>3D4</v>
      </c>
      <c r="C151" s="15" t="str">
        <f t="shared" si="43"/>
        <v>1</v>
      </c>
      <c r="D151" s="15">
        <f t="shared" si="43"/>
        <v>32</v>
      </c>
      <c r="E151" s="15"/>
      <c r="F151" s="15" t="str">
        <f t="shared" si="33"/>
        <v>0</v>
      </c>
      <c r="G151" s="16" t="str">
        <f t="shared" si="44"/>
        <v/>
      </c>
      <c r="H151" s="16" t="str">
        <f t="shared" si="44"/>
        <v/>
      </c>
      <c r="I151" s="16" t="str">
        <f t="shared" si="44"/>
        <v>R</v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89"/>
      <c r="Y151" s="6"/>
      <c r="Z151" s="6"/>
      <c r="AA151" s="6"/>
      <c r="AB151" s="6"/>
      <c r="AC151" s="6"/>
      <c r="AD151" s="6"/>
      <c r="AE151" s="6"/>
      <c r="AF151" s="89" t="str">
        <f t="shared" si="34"/>
        <v/>
      </c>
      <c r="AG151" s="96" t="str">
        <f t="shared" si="35"/>
        <v xml:space="preserve">/* </v>
      </c>
      <c r="AH151" s="6" t="str">
        <f t="shared" si="36"/>
        <v>{(U4)0x00000200U,</v>
      </c>
      <c r="AI151" s="6" t="str">
        <f t="shared" si="37"/>
        <v>(U4)0x400002feU,</v>
      </c>
      <c r="AJ151" s="6" t="str">
        <f t="shared" si="38"/>
        <v>(U4)0x400003d4U,</v>
      </c>
      <c r="AK151" s="6" t="str">
        <f t="shared" si="39"/>
        <v>(U2)32U,</v>
      </c>
      <c r="AL151" s="6" t="str">
        <f t="shared" si="40"/>
        <v>(U2)0U},</v>
      </c>
      <c r="AM151" s="6" t="str">
        <f t="shared" si="41"/>
        <v xml:space="preserve"> */</v>
      </c>
      <c r="AN151" s="6" t="str">
        <f t="shared" si="42"/>
        <v>/*   : ECT1S80 = 0x400003d4 */</v>
      </c>
      <c r="AO151" s="13"/>
      <c r="AP151" s="13"/>
      <c r="AQ151" s="13"/>
      <c r="AR151" s="13"/>
      <c r="AS151" s="13"/>
      <c r="AT151" s="13"/>
      <c r="AU151" s="13"/>
      <c r="AV151" s="13"/>
    </row>
    <row r="152" spans="1:48" customFormat="1">
      <c r="A152" s="15" t="str">
        <f t="shared" si="43"/>
        <v>CSR1S07</v>
      </c>
      <c r="B152" s="15" t="str">
        <f t="shared" si="43"/>
        <v>3DB</v>
      </c>
      <c r="C152" s="15" t="str">
        <f t="shared" si="43"/>
        <v>1</v>
      </c>
      <c r="D152" s="15">
        <f t="shared" si="43"/>
        <v>8</v>
      </c>
      <c r="E152" s="15"/>
      <c r="F152" s="15" t="str">
        <f t="shared" si="33"/>
        <v>0</v>
      </c>
      <c r="G152" s="16" t="str">
        <f t="shared" si="44"/>
        <v/>
      </c>
      <c r="H152" s="16" t="str">
        <f t="shared" si="44"/>
        <v/>
      </c>
      <c r="I152" s="16" t="str">
        <f t="shared" si="44"/>
        <v>R</v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89"/>
      <c r="Y152" s="6"/>
      <c r="Z152" s="6"/>
      <c r="AA152" s="6"/>
      <c r="AB152" s="6"/>
      <c r="AC152" s="6"/>
      <c r="AD152" s="6"/>
      <c r="AE152" s="6"/>
      <c r="AF152" s="89">
        <f t="shared" si="34"/>
        <v>25</v>
      </c>
      <c r="AG152" s="96" t="str">
        <f t="shared" si="35"/>
        <v/>
      </c>
      <c r="AH152" s="6" t="str">
        <f t="shared" si="36"/>
        <v>{(U4)0x00000200U,</v>
      </c>
      <c r="AI152" s="6" t="str">
        <f t="shared" si="37"/>
        <v>(U4)0x400003dbU,</v>
      </c>
      <c r="AJ152" s="6" t="str">
        <f t="shared" si="38"/>
        <v>(U4)0x4000043aU,</v>
      </c>
      <c r="AK152" s="6" t="str">
        <f t="shared" si="39"/>
        <v>(U2)8U,</v>
      </c>
      <c r="AL152" s="6" t="str">
        <f t="shared" si="40"/>
        <v>(U2)0U},</v>
      </c>
      <c r="AM152" s="6" t="str">
        <f t="shared" si="41"/>
        <v/>
      </c>
      <c r="AN152" s="6" t="str">
        <f t="shared" si="42"/>
        <v>/* 25 : CSR1S07 = 0x400003db */</v>
      </c>
      <c r="AO152" s="13"/>
      <c r="AP152" s="13"/>
      <c r="AQ152" s="13"/>
      <c r="AR152" s="13"/>
      <c r="AS152" s="13"/>
      <c r="AT152" s="13"/>
      <c r="AU152" s="13"/>
      <c r="AV152" s="13"/>
    </row>
    <row r="153" spans="1:48" customFormat="1">
      <c r="A153" s="15" t="str">
        <f t="shared" si="43"/>
        <v>CSR1S08</v>
      </c>
      <c r="B153" s="15" t="str">
        <f t="shared" si="43"/>
        <v>3DC</v>
      </c>
      <c r="C153" s="15" t="str">
        <f t="shared" si="43"/>
        <v>1</v>
      </c>
      <c r="D153" s="15">
        <f t="shared" si="43"/>
        <v>8</v>
      </c>
      <c r="E153" s="15"/>
      <c r="F153" s="15" t="str">
        <f t="shared" si="33"/>
        <v>0</v>
      </c>
      <c r="G153" s="16" t="str">
        <f t="shared" si="44"/>
        <v/>
      </c>
      <c r="H153" s="16" t="str">
        <f t="shared" si="44"/>
        <v/>
      </c>
      <c r="I153" s="16" t="str">
        <f t="shared" si="44"/>
        <v>R</v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89"/>
      <c r="Y153" s="6"/>
      <c r="Z153" s="6"/>
      <c r="AA153" s="6"/>
      <c r="AB153" s="6"/>
      <c r="AC153" s="6"/>
      <c r="AD153" s="6"/>
      <c r="AE153" s="6"/>
      <c r="AF153" s="89" t="str">
        <f t="shared" si="34"/>
        <v/>
      </c>
      <c r="AG153" s="96" t="str">
        <f t="shared" si="35"/>
        <v xml:space="preserve">/* </v>
      </c>
      <c r="AH153" s="6" t="str">
        <f t="shared" si="36"/>
        <v>{(U4)0x00000200U,</v>
      </c>
      <c r="AI153" s="6" t="str">
        <f t="shared" si="37"/>
        <v>(U4)0x400003dbU,</v>
      </c>
      <c r="AJ153" s="6" t="str">
        <f t="shared" si="38"/>
        <v>(U4)0x4000043aU,</v>
      </c>
      <c r="AK153" s="6" t="str">
        <f t="shared" si="39"/>
        <v>(U2)8U,</v>
      </c>
      <c r="AL153" s="6" t="str">
        <f t="shared" si="40"/>
        <v>(U2)0U},</v>
      </c>
      <c r="AM153" s="6" t="str">
        <f t="shared" si="41"/>
        <v xml:space="preserve"> */</v>
      </c>
      <c r="AN153" s="6" t="str">
        <f t="shared" si="42"/>
        <v>/*   : CSR1S08 = 0x400003dc */</v>
      </c>
      <c r="AO153" s="13"/>
      <c r="AP153" s="13"/>
      <c r="AQ153" s="13"/>
      <c r="AR153" s="13"/>
      <c r="AS153" s="13"/>
      <c r="AT153" s="13"/>
      <c r="AU153" s="13"/>
      <c r="AV153" s="13"/>
    </row>
    <row r="154" spans="1:48" customFormat="1">
      <c r="A154" s="15" t="str">
        <f t="shared" si="43"/>
        <v>BCC1S06</v>
      </c>
      <c r="B154" s="15" t="str">
        <f t="shared" si="43"/>
        <v>3F3</v>
      </c>
      <c r="C154" s="15" t="str">
        <f t="shared" si="43"/>
        <v>1</v>
      </c>
      <c r="D154" s="15">
        <f t="shared" si="43"/>
        <v>8</v>
      </c>
      <c r="E154" s="15"/>
      <c r="F154" s="15" t="str">
        <f t="shared" si="33"/>
        <v>0</v>
      </c>
      <c r="G154" s="16" t="str">
        <f t="shared" si="44"/>
        <v/>
      </c>
      <c r="H154" s="16" t="str">
        <f t="shared" si="44"/>
        <v/>
      </c>
      <c r="I154" s="16" t="str">
        <f t="shared" si="44"/>
        <v>R</v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89"/>
      <c r="Y154" s="6"/>
      <c r="Z154" s="6"/>
      <c r="AA154" s="6"/>
      <c r="AB154" s="6"/>
      <c r="AC154" s="6"/>
      <c r="AD154" s="6"/>
      <c r="AE154" s="6"/>
      <c r="AF154" s="89" t="str">
        <f t="shared" si="34"/>
        <v/>
      </c>
      <c r="AG154" s="96" t="str">
        <f t="shared" si="35"/>
        <v xml:space="preserve">/* </v>
      </c>
      <c r="AH154" s="6" t="str">
        <f t="shared" si="36"/>
        <v>{(U4)0x00000200U,</v>
      </c>
      <c r="AI154" s="6" t="str">
        <f t="shared" si="37"/>
        <v>(U4)0x400003dbU,</v>
      </c>
      <c r="AJ154" s="6" t="str">
        <f t="shared" si="38"/>
        <v>(U4)0x4000043aU,</v>
      </c>
      <c r="AK154" s="6" t="str">
        <f t="shared" si="39"/>
        <v>(U2)8U,</v>
      </c>
      <c r="AL154" s="6" t="str">
        <f t="shared" si="40"/>
        <v>(U2)0U},</v>
      </c>
      <c r="AM154" s="6" t="str">
        <f t="shared" si="41"/>
        <v xml:space="preserve"> */</v>
      </c>
      <c r="AN154" s="6" t="str">
        <f t="shared" si="42"/>
        <v>/*   : BCC1S06 = 0x400003f3 */</v>
      </c>
      <c r="AO154" s="13"/>
      <c r="AP154" s="13"/>
      <c r="AQ154" s="13"/>
      <c r="AR154" s="13"/>
      <c r="AS154" s="13"/>
      <c r="AT154" s="13"/>
      <c r="AU154" s="13"/>
      <c r="AV154" s="13"/>
    </row>
    <row r="155" spans="1:48" customFormat="1">
      <c r="A155" s="15" t="str">
        <f t="shared" ref="A155:D174" si="45">A66</f>
        <v>CSR1S04</v>
      </c>
      <c r="B155" s="15" t="str">
        <f t="shared" si="45"/>
        <v>43A</v>
      </c>
      <c r="C155" s="15" t="str">
        <f t="shared" si="45"/>
        <v>1</v>
      </c>
      <c r="D155" s="15">
        <f t="shared" si="45"/>
        <v>8</v>
      </c>
      <c r="E155" s="15"/>
      <c r="F155" s="15" t="str">
        <f t="shared" si="33"/>
        <v>0</v>
      </c>
      <c r="G155" s="16" t="str">
        <f t="shared" ref="G155:I174" si="46">IF(G66&lt;&gt;"",G66,"")</f>
        <v/>
      </c>
      <c r="H155" s="16" t="str">
        <f t="shared" si="46"/>
        <v/>
      </c>
      <c r="I155" s="16" t="str">
        <f t="shared" si="46"/>
        <v>R</v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89"/>
      <c r="Y155" s="6"/>
      <c r="Z155" s="6"/>
      <c r="AA155" s="6"/>
      <c r="AB155" s="6"/>
      <c r="AC155" s="6"/>
      <c r="AD155" s="6"/>
      <c r="AE155" s="6"/>
      <c r="AF155" s="89" t="str">
        <f t="shared" si="34"/>
        <v/>
      </c>
      <c r="AG155" s="96" t="str">
        <f t="shared" si="35"/>
        <v xml:space="preserve">/* </v>
      </c>
      <c r="AH155" s="6" t="str">
        <f t="shared" si="36"/>
        <v>{(U4)0x00000200U,</v>
      </c>
      <c r="AI155" s="6" t="str">
        <f t="shared" si="37"/>
        <v>(U4)0x400003dbU,</v>
      </c>
      <c r="AJ155" s="6" t="str">
        <f t="shared" si="38"/>
        <v>(U4)0x4000043aU,</v>
      </c>
      <c r="AK155" s="6" t="str">
        <f t="shared" si="39"/>
        <v>(U2)8U,</v>
      </c>
      <c r="AL155" s="6" t="str">
        <f t="shared" si="40"/>
        <v>(U2)0U},</v>
      </c>
      <c r="AM155" s="6" t="str">
        <f t="shared" si="41"/>
        <v xml:space="preserve"> */</v>
      </c>
      <c r="AN155" s="6" t="str">
        <f t="shared" si="42"/>
        <v>/*   : CSR1S04 = 0x4000043a */</v>
      </c>
      <c r="AO155" s="13"/>
      <c r="AP155" s="13"/>
      <c r="AQ155" s="13"/>
      <c r="AR155" s="13"/>
      <c r="AS155" s="13"/>
      <c r="AT155" s="13"/>
      <c r="AU155" s="13"/>
      <c r="AV155" s="13"/>
    </row>
    <row r="156" spans="1:48" customFormat="1">
      <c r="A156" s="15" t="str">
        <f t="shared" si="45"/>
        <v>FCM1S10</v>
      </c>
      <c r="B156" s="15" t="str">
        <f t="shared" si="45"/>
        <v>489</v>
      </c>
      <c r="C156" s="15" t="str">
        <f t="shared" si="45"/>
        <v>1</v>
      </c>
      <c r="D156" s="15">
        <f t="shared" si="45"/>
        <v>32</v>
      </c>
      <c r="E156" s="15"/>
      <c r="F156" s="15" t="str">
        <f t="shared" si="33"/>
        <v>0</v>
      </c>
      <c r="G156" s="16" t="str">
        <f t="shared" si="46"/>
        <v/>
      </c>
      <c r="H156" s="16" t="str">
        <f t="shared" si="46"/>
        <v/>
      </c>
      <c r="I156" s="16" t="str">
        <f t="shared" si="46"/>
        <v>R</v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89"/>
      <c r="Y156" s="6"/>
      <c r="Z156" s="6"/>
      <c r="AA156" s="6"/>
      <c r="AB156" s="6"/>
      <c r="AC156" s="6"/>
      <c r="AD156" s="6"/>
      <c r="AE156" s="6"/>
      <c r="AF156" s="89">
        <f t="shared" si="34"/>
        <v>26</v>
      </c>
      <c r="AG156" s="96" t="str">
        <f t="shared" si="35"/>
        <v/>
      </c>
      <c r="AH156" s="6" t="str">
        <f t="shared" si="36"/>
        <v>{(U4)0x00000200U,</v>
      </c>
      <c r="AI156" s="6" t="str">
        <f t="shared" si="37"/>
        <v>(U4)0x40000489U,</v>
      </c>
      <c r="AJ156" s="6" t="str">
        <f t="shared" si="38"/>
        <v>(U4)0x40000489U,</v>
      </c>
      <c r="AK156" s="6" t="str">
        <f t="shared" si="39"/>
        <v>(U2)32U,</v>
      </c>
      <c r="AL156" s="6" t="str">
        <f t="shared" si="40"/>
        <v>(U2)0U},</v>
      </c>
      <c r="AM156" s="6" t="str">
        <f t="shared" si="41"/>
        <v/>
      </c>
      <c r="AN156" s="6" t="str">
        <f t="shared" si="42"/>
        <v>/* 26 : FCM1S10 = 0x40000489 */</v>
      </c>
      <c r="AO156" s="13"/>
      <c r="AP156" s="13"/>
      <c r="AQ156" s="13"/>
      <c r="AR156" s="13"/>
      <c r="AS156" s="13"/>
      <c r="AT156" s="13"/>
      <c r="AU156" s="13"/>
      <c r="AV156" s="13"/>
    </row>
    <row r="157" spans="1:48" customFormat="1">
      <c r="A157" s="15" t="str">
        <f t="shared" si="45"/>
        <v>FCM1S12</v>
      </c>
      <c r="B157" s="15" t="str">
        <f t="shared" si="45"/>
        <v>48B</v>
      </c>
      <c r="C157" s="15" t="str">
        <f t="shared" si="45"/>
        <v>1</v>
      </c>
      <c r="D157" s="15">
        <f t="shared" si="45"/>
        <v>8</v>
      </c>
      <c r="E157" s="15"/>
      <c r="F157" s="15" t="str">
        <f t="shared" si="33"/>
        <v>0</v>
      </c>
      <c r="G157" s="16" t="str">
        <f t="shared" si="46"/>
        <v/>
      </c>
      <c r="H157" s="16" t="str">
        <f t="shared" si="46"/>
        <v/>
      </c>
      <c r="I157" s="16" t="str">
        <f t="shared" si="46"/>
        <v>R</v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89"/>
      <c r="Y157" s="6"/>
      <c r="Z157" s="6"/>
      <c r="AA157" s="6"/>
      <c r="AB157" s="6"/>
      <c r="AC157" s="6"/>
      <c r="AD157" s="6"/>
      <c r="AE157" s="6"/>
      <c r="AF157" s="89">
        <f t="shared" si="34"/>
        <v>27</v>
      </c>
      <c r="AG157" s="96" t="str">
        <f t="shared" si="35"/>
        <v/>
      </c>
      <c r="AH157" s="6" t="str">
        <f t="shared" si="36"/>
        <v>{(U4)0x00000200U,</v>
      </c>
      <c r="AI157" s="6" t="str">
        <f t="shared" si="37"/>
        <v>(U4)0x4000048bU,</v>
      </c>
      <c r="AJ157" s="6" t="str">
        <f t="shared" si="38"/>
        <v>(U4)0x4000049dU,</v>
      </c>
      <c r="AK157" s="6" t="str">
        <f t="shared" si="39"/>
        <v>(U2)8U,</v>
      </c>
      <c r="AL157" s="6" t="str">
        <f t="shared" si="40"/>
        <v>(U2)0U},</v>
      </c>
      <c r="AM157" s="6" t="str">
        <f t="shared" si="41"/>
        <v/>
      </c>
      <c r="AN157" s="6" t="str">
        <f t="shared" si="42"/>
        <v>/* 27 : FCM1S12 = 0x4000048b */</v>
      </c>
      <c r="AO157" s="13"/>
      <c r="AP157" s="13"/>
      <c r="AQ157" s="13"/>
      <c r="AR157" s="13"/>
      <c r="AS157" s="13"/>
      <c r="AT157" s="13"/>
      <c r="AU157" s="13"/>
      <c r="AV157" s="13"/>
    </row>
    <row r="158" spans="1:48" customFormat="1">
      <c r="A158" s="15" t="str">
        <f t="shared" si="45"/>
        <v>LVN1S01</v>
      </c>
      <c r="B158" s="15" t="str">
        <f t="shared" si="45"/>
        <v>494</v>
      </c>
      <c r="C158" s="15" t="str">
        <f t="shared" si="45"/>
        <v>1</v>
      </c>
      <c r="D158" s="15">
        <f t="shared" si="45"/>
        <v>8</v>
      </c>
      <c r="E158" s="15"/>
      <c r="F158" s="15" t="str">
        <f t="shared" si="33"/>
        <v>0</v>
      </c>
      <c r="G158" s="16" t="str">
        <f t="shared" si="46"/>
        <v/>
      </c>
      <c r="H158" s="16" t="str">
        <f t="shared" si="46"/>
        <v/>
      </c>
      <c r="I158" s="16" t="str">
        <f t="shared" si="46"/>
        <v>R</v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89"/>
      <c r="Y158" s="6"/>
      <c r="Z158" s="6"/>
      <c r="AA158" s="6"/>
      <c r="AB158" s="6"/>
      <c r="AC158" s="6"/>
      <c r="AD158" s="6"/>
      <c r="AE158" s="6"/>
      <c r="AF158" s="89" t="str">
        <f t="shared" si="34"/>
        <v/>
      </c>
      <c r="AG158" s="96" t="str">
        <f t="shared" si="35"/>
        <v xml:space="preserve">/* </v>
      </c>
      <c r="AH158" s="6" t="str">
        <f t="shared" si="36"/>
        <v>{(U4)0x00000200U,</v>
      </c>
      <c r="AI158" s="6" t="str">
        <f t="shared" si="37"/>
        <v>(U4)0x4000048bU,</v>
      </c>
      <c r="AJ158" s="6" t="str">
        <f t="shared" si="38"/>
        <v>(U4)0x4000049dU,</v>
      </c>
      <c r="AK158" s="6" t="str">
        <f t="shared" si="39"/>
        <v>(U2)8U,</v>
      </c>
      <c r="AL158" s="6" t="str">
        <f t="shared" si="40"/>
        <v>(U2)0U},</v>
      </c>
      <c r="AM158" s="6" t="str">
        <f t="shared" si="41"/>
        <v xml:space="preserve"> */</v>
      </c>
      <c r="AN158" s="6" t="str">
        <f t="shared" si="42"/>
        <v>/*   : LVN1S01 = 0x40000494 */</v>
      </c>
      <c r="AO158" s="13"/>
      <c r="AP158" s="13"/>
      <c r="AQ158" s="13"/>
      <c r="AR158" s="13"/>
      <c r="AS158" s="13"/>
      <c r="AT158" s="13"/>
      <c r="AU158" s="13"/>
      <c r="AV158" s="13"/>
    </row>
    <row r="159" spans="1:48" customFormat="1">
      <c r="A159" s="15" t="str">
        <f t="shared" si="45"/>
        <v>ENG1D51</v>
      </c>
      <c r="B159" s="15" t="str">
        <f t="shared" si="45"/>
        <v>499</v>
      </c>
      <c r="C159" s="15" t="str">
        <f t="shared" si="45"/>
        <v>1</v>
      </c>
      <c r="D159" s="15">
        <f t="shared" si="45"/>
        <v>8</v>
      </c>
      <c r="E159" s="15"/>
      <c r="F159" s="15" t="str">
        <f t="shared" ref="F159:F177" si="47">F70</f>
        <v>0</v>
      </c>
      <c r="G159" s="16" t="str">
        <f t="shared" si="46"/>
        <v/>
      </c>
      <c r="H159" s="16" t="str">
        <f t="shared" si="46"/>
        <v/>
      </c>
      <c r="I159" s="16" t="str">
        <f t="shared" si="46"/>
        <v>R</v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89"/>
      <c r="Y159" s="6"/>
      <c r="Z159" s="6"/>
      <c r="AA159" s="6"/>
      <c r="AB159" s="6"/>
      <c r="AC159" s="6"/>
      <c r="AD159" s="6"/>
      <c r="AE159" s="6"/>
      <c r="AF159" s="89" t="str">
        <f t="shared" ref="AF159:AF181" si="48">IF($AF70&lt;&gt;"",$AF70,"")</f>
        <v/>
      </c>
      <c r="AG159" s="96" t="str">
        <f t="shared" ref="AG159:AG181" si="49">IF($AF70&lt;&gt;"","", "/* ")</f>
        <v xml:space="preserve">/* </v>
      </c>
      <c r="AH159" s="6" t="str">
        <f t="shared" ref="AH159:AH177" si="50">IF($AF70&lt;&gt;"","{(U4)0x"&amp;LOWER(DEC2HEX($N70*$N$3,8))&amp;"U,",AH158)</f>
        <v>{(U4)0x00000200U,</v>
      </c>
      <c r="AI159" s="6" t="str">
        <f t="shared" ref="AI159:AI177" si="51">IF($AF70&lt;&gt;"", "(U4)"&amp;LOWER($AJ70)&amp;"U,",AI158)</f>
        <v>(U4)0x4000048bU,</v>
      </c>
      <c r="AJ159" s="6" t="str">
        <f t="shared" ref="AJ159:AJ177" si="52">IF($AF70&lt;&gt;"", "(U4)"&amp;LOWER($AK70)&amp;"U,",AJ158)</f>
        <v>(U4)0x4000049dU,</v>
      </c>
      <c r="AK159" s="6" t="str">
        <f t="shared" ref="AK159:AK177" si="53" xml:space="preserve"> IF($AF70&lt;&gt;"", "(U2)"&amp;$AL70&amp;"U,",AK158)</f>
        <v>(U2)8U,</v>
      </c>
      <c r="AL159" s="6" t="str">
        <f t="shared" ref="AL159:AL177" si="54" xml:space="preserve"> IF($AF70&lt;&gt;"", "(U2)"&amp;$Y70*$X$3&amp;"U},",AL158)</f>
        <v>(U2)0U},</v>
      </c>
      <c r="AM159" s="6" t="str">
        <f t="shared" ref="AM159:AM177" si="55">IF($AF70&lt;&gt;"","", " */")</f>
        <v xml:space="preserve"> */</v>
      </c>
      <c r="AN159" s="6" t="str">
        <f t="shared" ref="AN159:AN177" si="56">"/* "&amp;IF($AF70&lt;&gt;"",$AF70," ")&amp;" : "&amp;A70&amp;" = "&amp;LOWER($AH70)&amp;" */"</f>
        <v>/*   : ENG1D51 = 0x40000499 */</v>
      </c>
      <c r="AO159" s="13"/>
      <c r="AP159" s="13"/>
      <c r="AQ159" s="13"/>
      <c r="AR159" s="13"/>
      <c r="AS159" s="13"/>
      <c r="AT159" s="13"/>
      <c r="AU159" s="13"/>
      <c r="AV159" s="13"/>
    </row>
    <row r="160" spans="1:48" customFormat="1">
      <c r="A160" s="15" t="str">
        <f t="shared" si="45"/>
        <v>ENG1D52</v>
      </c>
      <c r="B160" s="15" t="str">
        <f t="shared" si="45"/>
        <v>49A</v>
      </c>
      <c r="C160" s="15" t="str">
        <f t="shared" si="45"/>
        <v>1</v>
      </c>
      <c r="D160" s="15">
        <f t="shared" si="45"/>
        <v>8</v>
      </c>
      <c r="E160" s="15"/>
      <c r="F160" s="15" t="str">
        <f t="shared" si="47"/>
        <v>0</v>
      </c>
      <c r="G160" s="16" t="str">
        <f t="shared" si="46"/>
        <v/>
      </c>
      <c r="H160" s="16" t="str">
        <f t="shared" si="46"/>
        <v/>
      </c>
      <c r="I160" s="16" t="str">
        <f t="shared" si="46"/>
        <v>R</v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89"/>
      <c r="Y160" s="6"/>
      <c r="Z160" s="6"/>
      <c r="AA160" s="6"/>
      <c r="AB160" s="6"/>
      <c r="AC160" s="6"/>
      <c r="AD160" s="6"/>
      <c r="AE160" s="6"/>
      <c r="AF160" s="89" t="str">
        <f t="shared" si="48"/>
        <v/>
      </c>
      <c r="AG160" s="96" t="str">
        <f t="shared" si="49"/>
        <v xml:space="preserve">/* </v>
      </c>
      <c r="AH160" s="6" t="str">
        <f t="shared" si="50"/>
        <v>{(U4)0x00000200U,</v>
      </c>
      <c r="AI160" s="6" t="str">
        <f t="shared" si="51"/>
        <v>(U4)0x4000048bU,</v>
      </c>
      <c r="AJ160" s="6" t="str">
        <f t="shared" si="52"/>
        <v>(U4)0x4000049dU,</v>
      </c>
      <c r="AK160" s="6" t="str">
        <f t="shared" si="53"/>
        <v>(U2)8U,</v>
      </c>
      <c r="AL160" s="6" t="str">
        <f t="shared" si="54"/>
        <v>(U2)0U},</v>
      </c>
      <c r="AM160" s="6" t="str">
        <f t="shared" si="55"/>
        <v xml:space="preserve"> */</v>
      </c>
      <c r="AN160" s="6" t="str">
        <f t="shared" si="56"/>
        <v>/*   : ENG1D52 = 0x4000049a */</v>
      </c>
      <c r="AO160" s="13"/>
      <c r="AP160" s="13"/>
      <c r="AQ160" s="13"/>
      <c r="AR160" s="13"/>
      <c r="AS160" s="13"/>
      <c r="AT160" s="13"/>
      <c r="AU160" s="13"/>
      <c r="AV160" s="13"/>
    </row>
    <row r="161" spans="1:48" customFormat="1">
      <c r="A161" s="15" t="str">
        <f t="shared" si="45"/>
        <v>ENG1D53</v>
      </c>
      <c r="B161" s="15" t="str">
        <f t="shared" si="45"/>
        <v>49B</v>
      </c>
      <c r="C161" s="15" t="str">
        <f t="shared" si="45"/>
        <v>1</v>
      </c>
      <c r="D161" s="15">
        <f t="shared" si="45"/>
        <v>8</v>
      </c>
      <c r="E161" s="15"/>
      <c r="F161" s="15" t="str">
        <f t="shared" si="47"/>
        <v>0</v>
      </c>
      <c r="G161" s="16" t="str">
        <f t="shared" si="46"/>
        <v/>
      </c>
      <c r="H161" s="16" t="str">
        <f t="shared" si="46"/>
        <v/>
      </c>
      <c r="I161" s="16" t="str">
        <f t="shared" si="46"/>
        <v>R</v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89"/>
      <c r="Y161" s="6"/>
      <c r="Z161" s="6"/>
      <c r="AA161" s="6"/>
      <c r="AB161" s="6"/>
      <c r="AC161" s="6"/>
      <c r="AD161" s="6"/>
      <c r="AE161" s="6"/>
      <c r="AF161" s="89" t="str">
        <f t="shared" si="48"/>
        <v/>
      </c>
      <c r="AG161" s="96" t="str">
        <f t="shared" si="49"/>
        <v xml:space="preserve">/* </v>
      </c>
      <c r="AH161" s="6" t="str">
        <f t="shared" si="50"/>
        <v>{(U4)0x00000200U,</v>
      </c>
      <c r="AI161" s="6" t="str">
        <f t="shared" si="51"/>
        <v>(U4)0x4000048bU,</v>
      </c>
      <c r="AJ161" s="6" t="str">
        <f t="shared" si="52"/>
        <v>(U4)0x4000049dU,</v>
      </c>
      <c r="AK161" s="6" t="str">
        <f t="shared" si="53"/>
        <v>(U2)8U,</v>
      </c>
      <c r="AL161" s="6" t="str">
        <f t="shared" si="54"/>
        <v>(U2)0U},</v>
      </c>
      <c r="AM161" s="6" t="str">
        <f t="shared" si="55"/>
        <v xml:space="preserve"> */</v>
      </c>
      <c r="AN161" s="6" t="str">
        <f t="shared" si="56"/>
        <v>/*   : ENG1D53 = 0x4000049b */</v>
      </c>
      <c r="AO161" s="13"/>
      <c r="AP161" s="13"/>
      <c r="AQ161" s="13"/>
      <c r="AR161" s="13"/>
      <c r="AS161" s="13"/>
      <c r="AT161" s="13"/>
      <c r="AU161" s="13"/>
      <c r="AV161" s="13"/>
    </row>
    <row r="162" spans="1:48" customFormat="1">
      <c r="A162" s="15" t="str">
        <f t="shared" si="45"/>
        <v>ENG1D55</v>
      </c>
      <c r="B162" s="15" t="str">
        <f t="shared" si="45"/>
        <v>49D</v>
      </c>
      <c r="C162" s="15" t="str">
        <f t="shared" si="45"/>
        <v>1</v>
      </c>
      <c r="D162" s="15">
        <f t="shared" si="45"/>
        <v>8</v>
      </c>
      <c r="E162" s="15"/>
      <c r="F162" s="15" t="str">
        <f t="shared" si="47"/>
        <v>0</v>
      </c>
      <c r="G162" s="16" t="str">
        <f t="shared" si="46"/>
        <v/>
      </c>
      <c r="H162" s="16" t="str">
        <f t="shared" si="46"/>
        <v/>
      </c>
      <c r="I162" s="16" t="str">
        <f t="shared" si="46"/>
        <v>R</v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89"/>
      <c r="Y162" s="6"/>
      <c r="Z162" s="6"/>
      <c r="AA162" s="6"/>
      <c r="AB162" s="6"/>
      <c r="AC162" s="6"/>
      <c r="AD162" s="6"/>
      <c r="AE162" s="6"/>
      <c r="AF162" s="89" t="str">
        <f t="shared" si="48"/>
        <v/>
      </c>
      <c r="AG162" s="96" t="str">
        <f t="shared" si="49"/>
        <v xml:space="preserve">/* </v>
      </c>
      <c r="AH162" s="6" t="str">
        <f t="shared" si="50"/>
        <v>{(U4)0x00000200U,</v>
      </c>
      <c r="AI162" s="6" t="str">
        <f t="shared" si="51"/>
        <v>(U4)0x4000048bU,</v>
      </c>
      <c r="AJ162" s="6" t="str">
        <f t="shared" si="52"/>
        <v>(U4)0x4000049dU,</v>
      </c>
      <c r="AK162" s="6" t="str">
        <f t="shared" si="53"/>
        <v>(U2)8U,</v>
      </c>
      <c r="AL162" s="6" t="str">
        <f t="shared" si="54"/>
        <v>(U2)0U},</v>
      </c>
      <c r="AM162" s="6" t="str">
        <f t="shared" si="55"/>
        <v xml:space="preserve"> */</v>
      </c>
      <c r="AN162" s="6" t="str">
        <f t="shared" si="56"/>
        <v>/*   : ENG1D55 = 0x4000049d */</v>
      </c>
      <c r="AO162" s="13"/>
      <c r="AP162" s="13"/>
      <c r="AQ162" s="13"/>
      <c r="AR162" s="13"/>
      <c r="AS162" s="13"/>
      <c r="AT162" s="13"/>
      <c r="AU162" s="13"/>
      <c r="AV162" s="13"/>
    </row>
    <row r="163" spans="1:48" customFormat="1">
      <c r="A163" s="15" t="str">
        <f t="shared" si="45"/>
        <v>VSC1D51</v>
      </c>
      <c r="B163" s="15" t="str">
        <f t="shared" si="45"/>
        <v>4A1</v>
      </c>
      <c r="C163" s="15" t="str">
        <f t="shared" si="45"/>
        <v>1</v>
      </c>
      <c r="D163" s="15">
        <f t="shared" si="45"/>
        <v>32</v>
      </c>
      <c r="E163" s="15"/>
      <c r="F163" s="15" t="str">
        <f t="shared" si="47"/>
        <v>0</v>
      </c>
      <c r="G163" s="16" t="str">
        <f t="shared" si="46"/>
        <v/>
      </c>
      <c r="H163" s="16" t="str">
        <f t="shared" si="46"/>
        <v/>
      </c>
      <c r="I163" s="16" t="str">
        <f t="shared" si="46"/>
        <v>R</v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89"/>
      <c r="Y163" s="6"/>
      <c r="Z163" s="6"/>
      <c r="AA163" s="6"/>
      <c r="AB163" s="6"/>
      <c r="AC163" s="6"/>
      <c r="AD163" s="6"/>
      <c r="AE163" s="6"/>
      <c r="AF163" s="89">
        <f t="shared" si="48"/>
        <v>28</v>
      </c>
      <c r="AG163" s="96" t="str">
        <f t="shared" si="49"/>
        <v/>
      </c>
      <c r="AH163" s="6" t="str">
        <f t="shared" si="50"/>
        <v>{(U4)0x00000200U,</v>
      </c>
      <c r="AI163" s="6" t="str">
        <f t="shared" si="51"/>
        <v>(U4)0x400004a1U,</v>
      </c>
      <c r="AJ163" s="6" t="str">
        <f t="shared" si="52"/>
        <v>(U4)0x400004a1U,</v>
      </c>
      <c r="AK163" s="6" t="str">
        <f t="shared" si="53"/>
        <v>(U2)32U,</v>
      </c>
      <c r="AL163" s="6" t="str">
        <f t="shared" si="54"/>
        <v>(U2)0U},</v>
      </c>
      <c r="AM163" s="6" t="str">
        <f t="shared" si="55"/>
        <v/>
      </c>
      <c r="AN163" s="6" t="str">
        <f t="shared" si="56"/>
        <v>/* 28 : VSC1D51 = 0x400004a1 */</v>
      </c>
      <c r="AO163" s="13"/>
      <c r="AP163" s="13"/>
      <c r="AQ163" s="13"/>
      <c r="AR163" s="13"/>
      <c r="AS163" s="13"/>
      <c r="AT163" s="13"/>
      <c r="AU163" s="13"/>
      <c r="AV163" s="13"/>
    </row>
    <row r="164" spans="1:48" customFormat="1">
      <c r="A164" s="15" t="str">
        <f t="shared" si="45"/>
        <v>EPS1D50</v>
      </c>
      <c r="B164" s="15" t="str">
        <f t="shared" si="45"/>
        <v>4A3</v>
      </c>
      <c r="C164" s="15" t="str">
        <f t="shared" si="45"/>
        <v>1</v>
      </c>
      <c r="D164" s="15">
        <f t="shared" si="45"/>
        <v>8</v>
      </c>
      <c r="E164" s="15"/>
      <c r="F164" s="15" t="str">
        <f t="shared" si="47"/>
        <v>0</v>
      </c>
      <c r="G164" s="16" t="str">
        <f t="shared" si="46"/>
        <v/>
      </c>
      <c r="H164" s="16" t="str">
        <f t="shared" si="46"/>
        <v/>
      </c>
      <c r="I164" s="16" t="str">
        <f t="shared" si="46"/>
        <v>R</v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89"/>
      <c r="Y164" s="6"/>
      <c r="Z164" s="6"/>
      <c r="AA164" s="6"/>
      <c r="AB164" s="6"/>
      <c r="AC164" s="6"/>
      <c r="AD164" s="6"/>
      <c r="AE164" s="6"/>
      <c r="AF164" s="89">
        <f t="shared" si="48"/>
        <v>29</v>
      </c>
      <c r="AG164" s="96" t="str">
        <f t="shared" si="49"/>
        <v/>
      </c>
      <c r="AH164" s="6" t="str">
        <f t="shared" si="50"/>
        <v>{(U4)0x00000200U,</v>
      </c>
      <c r="AI164" s="6" t="str">
        <f t="shared" si="51"/>
        <v>(U4)0x400004a3U,</v>
      </c>
      <c r="AJ164" s="6" t="str">
        <f t="shared" si="52"/>
        <v>(U4)0x400004a3U,</v>
      </c>
      <c r="AK164" s="6" t="str">
        <f t="shared" si="53"/>
        <v>(U2)8U,</v>
      </c>
      <c r="AL164" s="6" t="str">
        <f t="shared" si="54"/>
        <v>(U2)0U},</v>
      </c>
      <c r="AM164" s="6" t="str">
        <f t="shared" si="55"/>
        <v/>
      </c>
      <c r="AN164" s="6" t="str">
        <f t="shared" si="56"/>
        <v>/* 29 : EPS1D50 = 0x400004a3 */</v>
      </c>
      <c r="AO164" s="13"/>
      <c r="AP164" s="13"/>
      <c r="AQ164" s="13"/>
      <c r="AR164" s="13"/>
      <c r="AS164" s="13"/>
      <c r="AT164" s="13"/>
      <c r="AU164" s="13"/>
      <c r="AV164" s="13"/>
    </row>
    <row r="165" spans="1:48" customFormat="1">
      <c r="A165" s="15" t="str">
        <f t="shared" si="45"/>
        <v>VGR1D50</v>
      </c>
      <c r="B165" s="15" t="str">
        <f t="shared" si="45"/>
        <v>4A4</v>
      </c>
      <c r="C165" s="15" t="str">
        <f t="shared" si="45"/>
        <v>1</v>
      </c>
      <c r="D165" s="15">
        <f t="shared" si="45"/>
        <v>32</v>
      </c>
      <c r="E165" s="15"/>
      <c r="F165" s="15" t="str">
        <f t="shared" si="47"/>
        <v>0</v>
      </c>
      <c r="G165" s="16" t="str">
        <f t="shared" si="46"/>
        <v/>
      </c>
      <c r="H165" s="16" t="str">
        <f t="shared" si="46"/>
        <v/>
      </c>
      <c r="I165" s="16" t="str">
        <f t="shared" si="46"/>
        <v>R</v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89"/>
      <c r="Y165" s="6"/>
      <c r="Z165" s="6"/>
      <c r="AA165" s="6"/>
      <c r="AB165" s="6"/>
      <c r="AC165" s="6"/>
      <c r="AD165" s="6"/>
      <c r="AE165" s="6"/>
      <c r="AF165" s="89">
        <f t="shared" si="48"/>
        <v>30</v>
      </c>
      <c r="AG165" s="96" t="str">
        <f t="shared" si="49"/>
        <v/>
      </c>
      <c r="AH165" s="6" t="str">
        <f t="shared" si="50"/>
        <v>{(U4)0x00000200U,</v>
      </c>
      <c r="AI165" s="6" t="str">
        <f t="shared" si="51"/>
        <v>(U4)0x400004a4U,</v>
      </c>
      <c r="AJ165" s="6" t="str">
        <f t="shared" si="52"/>
        <v>(U4)0x400004a4U,</v>
      </c>
      <c r="AK165" s="6" t="str">
        <f t="shared" si="53"/>
        <v>(U2)32U,</v>
      </c>
      <c r="AL165" s="6" t="str">
        <f t="shared" si="54"/>
        <v>(U2)0U},</v>
      </c>
      <c r="AM165" s="6" t="str">
        <f t="shared" si="55"/>
        <v/>
      </c>
      <c r="AN165" s="6" t="str">
        <f t="shared" si="56"/>
        <v>/* 30 : VGR1D50 = 0x400004a4 */</v>
      </c>
      <c r="AO165" s="13"/>
      <c r="AP165" s="13"/>
      <c r="AQ165" s="13"/>
      <c r="AR165" s="13"/>
      <c r="AS165" s="13"/>
      <c r="AT165" s="13"/>
      <c r="AU165" s="13"/>
      <c r="AV165" s="13"/>
    </row>
    <row r="166" spans="1:48" customFormat="1">
      <c r="A166" s="15" t="str">
        <f t="shared" si="45"/>
        <v>ENG1D56</v>
      </c>
      <c r="B166" s="15" t="str">
        <f t="shared" si="45"/>
        <v>4A8</v>
      </c>
      <c r="C166" s="15" t="str">
        <f t="shared" si="45"/>
        <v>1</v>
      </c>
      <c r="D166" s="15">
        <f t="shared" si="45"/>
        <v>8</v>
      </c>
      <c r="E166" s="15"/>
      <c r="F166" s="15" t="str">
        <f t="shared" si="47"/>
        <v>0</v>
      </c>
      <c r="G166" s="16" t="str">
        <f t="shared" si="46"/>
        <v/>
      </c>
      <c r="H166" s="16" t="str">
        <f t="shared" si="46"/>
        <v/>
      </c>
      <c r="I166" s="16" t="str">
        <f t="shared" si="46"/>
        <v>R</v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89"/>
      <c r="Y166" s="6"/>
      <c r="Z166" s="6"/>
      <c r="AA166" s="6"/>
      <c r="AB166" s="6"/>
      <c r="AC166" s="6"/>
      <c r="AD166" s="6"/>
      <c r="AE166" s="6"/>
      <c r="AF166" s="89">
        <f t="shared" si="48"/>
        <v>31</v>
      </c>
      <c r="AG166" s="96" t="str">
        <f t="shared" si="49"/>
        <v/>
      </c>
      <c r="AH166" s="6" t="str">
        <f t="shared" si="50"/>
        <v>{(U4)0x00000200U,</v>
      </c>
      <c r="AI166" s="6" t="str">
        <f t="shared" si="51"/>
        <v>(U4)0x400004a8U,</v>
      </c>
      <c r="AJ166" s="6" t="str">
        <f t="shared" si="52"/>
        <v>(U4)0x400004a8U,</v>
      </c>
      <c r="AK166" s="6" t="str">
        <f t="shared" si="53"/>
        <v>(U2)8U,</v>
      </c>
      <c r="AL166" s="6" t="str">
        <f t="shared" si="54"/>
        <v>(U2)0U},</v>
      </c>
      <c r="AM166" s="6" t="str">
        <f t="shared" si="55"/>
        <v/>
      </c>
      <c r="AN166" s="6" t="str">
        <f t="shared" si="56"/>
        <v>/* 31 : ENG1D56 = 0x400004a8 */</v>
      </c>
      <c r="AO166" s="13"/>
      <c r="AP166" s="13"/>
      <c r="AQ166" s="13"/>
      <c r="AR166" s="13"/>
      <c r="AS166" s="13"/>
      <c r="AT166" s="13"/>
      <c r="AU166" s="13"/>
      <c r="AV166" s="13"/>
    </row>
    <row r="167" spans="1:48" customFormat="1">
      <c r="A167" s="15" t="str">
        <f t="shared" si="45"/>
        <v>SCS1D50</v>
      </c>
      <c r="B167" s="15" t="str">
        <f t="shared" si="45"/>
        <v>4A9</v>
      </c>
      <c r="C167" s="15" t="str">
        <f t="shared" si="45"/>
        <v>1</v>
      </c>
      <c r="D167" s="15">
        <f t="shared" si="45"/>
        <v>32</v>
      </c>
      <c r="E167" s="15"/>
      <c r="F167" s="15" t="str">
        <f t="shared" si="47"/>
        <v>0</v>
      </c>
      <c r="G167" s="16" t="str">
        <f t="shared" si="46"/>
        <v/>
      </c>
      <c r="H167" s="16" t="str">
        <f t="shared" si="46"/>
        <v/>
      </c>
      <c r="I167" s="16" t="str">
        <f t="shared" si="46"/>
        <v>R</v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89"/>
      <c r="Y167" s="6"/>
      <c r="Z167" s="6"/>
      <c r="AA167" s="6"/>
      <c r="AB167" s="6"/>
      <c r="AC167" s="6"/>
      <c r="AD167" s="6"/>
      <c r="AE167" s="6"/>
      <c r="AF167" s="89">
        <f t="shared" si="48"/>
        <v>32</v>
      </c>
      <c r="AG167" s="96" t="str">
        <f t="shared" si="49"/>
        <v/>
      </c>
      <c r="AH167" s="6" t="str">
        <f t="shared" si="50"/>
        <v>{(U4)0x00000200U,</v>
      </c>
      <c r="AI167" s="6" t="str">
        <f t="shared" si="51"/>
        <v>(U4)0x400004a9U,</v>
      </c>
      <c r="AJ167" s="6" t="str">
        <f t="shared" si="52"/>
        <v>(U4)0x400004a9U,</v>
      </c>
      <c r="AK167" s="6" t="str">
        <f t="shared" si="53"/>
        <v>(U2)32U,</v>
      </c>
      <c r="AL167" s="6" t="str">
        <f t="shared" si="54"/>
        <v>(U2)0U},</v>
      </c>
      <c r="AM167" s="6" t="str">
        <f t="shared" si="55"/>
        <v/>
      </c>
      <c r="AN167" s="6" t="str">
        <f t="shared" si="56"/>
        <v>/* 32 : SCS1D50 = 0x400004a9 */</v>
      </c>
      <c r="AO167" s="13"/>
      <c r="AP167" s="13"/>
      <c r="AQ167" s="13"/>
      <c r="AR167" s="13"/>
      <c r="AS167" s="13"/>
      <c r="AT167" s="13"/>
      <c r="AU167" s="13"/>
      <c r="AV167" s="13"/>
    </row>
    <row r="168" spans="1:48" customFormat="1">
      <c r="A168" s="15" t="str">
        <f t="shared" si="45"/>
        <v>ENG1D59</v>
      </c>
      <c r="B168" s="15" t="str">
        <f t="shared" si="45"/>
        <v>4AE</v>
      </c>
      <c r="C168" s="15" t="str">
        <f t="shared" si="45"/>
        <v>1</v>
      </c>
      <c r="D168" s="15">
        <f t="shared" si="45"/>
        <v>8</v>
      </c>
      <c r="E168" s="15"/>
      <c r="F168" s="15" t="str">
        <f t="shared" si="47"/>
        <v>0</v>
      </c>
      <c r="G168" s="16" t="str">
        <f t="shared" si="46"/>
        <v/>
      </c>
      <c r="H168" s="16" t="str">
        <f t="shared" si="46"/>
        <v/>
      </c>
      <c r="I168" s="16" t="str">
        <f t="shared" si="46"/>
        <v>R</v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89"/>
      <c r="Y168" s="6"/>
      <c r="Z168" s="6"/>
      <c r="AA168" s="6"/>
      <c r="AB168" s="6"/>
      <c r="AC168" s="6"/>
      <c r="AD168" s="6"/>
      <c r="AE168" s="6"/>
      <c r="AF168" s="89">
        <f t="shared" si="48"/>
        <v>33</v>
      </c>
      <c r="AG168" s="96" t="str">
        <f t="shared" si="49"/>
        <v/>
      </c>
      <c r="AH168" s="6" t="str">
        <f t="shared" si="50"/>
        <v>{(U4)0x00000200U,</v>
      </c>
      <c r="AI168" s="6" t="str">
        <f t="shared" si="51"/>
        <v>(U4)0x400004aeU,</v>
      </c>
      <c r="AJ168" s="6" t="str">
        <f t="shared" si="52"/>
        <v>(U4)0x40000583U,</v>
      </c>
      <c r="AK168" s="6" t="str">
        <f t="shared" si="53"/>
        <v>(U2)8U,</v>
      </c>
      <c r="AL168" s="6" t="str">
        <f t="shared" si="54"/>
        <v>(U2)0U},</v>
      </c>
      <c r="AM168" s="6" t="str">
        <f t="shared" si="55"/>
        <v/>
      </c>
      <c r="AN168" s="6" t="str">
        <f t="shared" si="56"/>
        <v>/* 33 : ENG1D59 = 0x400004ae */</v>
      </c>
      <c r="AO168" s="13"/>
      <c r="AP168" s="13"/>
      <c r="AQ168" s="13"/>
      <c r="AR168" s="13"/>
      <c r="AS168" s="13"/>
      <c r="AT168" s="13"/>
      <c r="AU168" s="13"/>
      <c r="AV168" s="13"/>
    </row>
    <row r="169" spans="1:48" customFormat="1">
      <c r="A169" s="15" t="str">
        <f t="shared" si="45"/>
        <v>ENG1D60</v>
      </c>
      <c r="B169" s="15" t="str">
        <f t="shared" si="45"/>
        <v>4AF</v>
      </c>
      <c r="C169" s="15" t="str">
        <f t="shared" si="45"/>
        <v>1</v>
      </c>
      <c r="D169" s="15">
        <f t="shared" si="45"/>
        <v>8</v>
      </c>
      <c r="E169" s="15"/>
      <c r="F169" s="15" t="str">
        <f t="shared" si="47"/>
        <v>0</v>
      </c>
      <c r="G169" s="16" t="str">
        <f t="shared" si="46"/>
        <v/>
      </c>
      <c r="H169" s="16" t="str">
        <f t="shared" si="46"/>
        <v/>
      </c>
      <c r="I169" s="16" t="str">
        <f t="shared" si="46"/>
        <v>R</v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89"/>
      <c r="Y169" s="6"/>
      <c r="Z169" s="6"/>
      <c r="AA169" s="6"/>
      <c r="AB169" s="6"/>
      <c r="AC169" s="6"/>
      <c r="AD169" s="6"/>
      <c r="AE169" s="6"/>
      <c r="AF169" s="89" t="str">
        <f t="shared" si="48"/>
        <v/>
      </c>
      <c r="AG169" s="96" t="str">
        <f t="shared" si="49"/>
        <v xml:space="preserve">/* </v>
      </c>
      <c r="AH169" s="6" t="str">
        <f t="shared" si="50"/>
        <v>{(U4)0x00000200U,</v>
      </c>
      <c r="AI169" s="6" t="str">
        <f t="shared" si="51"/>
        <v>(U4)0x400004aeU,</v>
      </c>
      <c r="AJ169" s="6" t="str">
        <f t="shared" si="52"/>
        <v>(U4)0x40000583U,</v>
      </c>
      <c r="AK169" s="6" t="str">
        <f t="shared" si="53"/>
        <v>(U2)8U,</v>
      </c>
      <c r="AL169" s="6" t="str">
        <f t="shared" si="54"/>
        <v>(U2)0U},</v>
      </c>
      <c r="AM169" s="6" t="str">
        <f t="shared" si="55"/>
        <v xml:space="preserve"> */</v>
      </c>
      <c r="AN169" s="6" t="str">
        <f t="shared" si="56"/>
        <v>/*   : ENG1D60 = 0x400004af */</v>
      </c>
      <c r="AO169" s="13"/>
      <c r="AP169" s="13"/>
      <c r="AQ169" s="13"/>
      <c r="AR169" s="13"/>
      <c r="AS169" s="13"/>
      <c r="AT169" s="13"/>
      <c r="AU169" s="13"/>
      <c r="AV169" s="13"/>
    </row>
    <row r="170" spans="1:48" customFormat="1">
      <c r="A170" s="15" t="str">
        <f t="shared" si="45"/>
        <v>ENG1S99</v>
      </c>
      <c r="B170" s="15" t="str">
        <f t="shared" si="45"/>
        <v>583</v>
      </c>
      <c r="C170" s="15" t="str">
        <f t="shared" si="45"/>
        <v>1</v>
      </c>
      <c r="D170" s="15">
        <f t="shared" si="45"/>
        <v>8</v>
      </c>
      <c r="E170" s="15"/>
      <c r="F170" s="15" t="str">
        <f t="shared" si="47"/>
        <v>0</v>
      </c>
      <c r="G170" s="16" t="str">
        <f t="shared" si="46"/>
        <v/>
      </c>
      <c r="H170" s="16" t="str">
        <f t="shared" si="46"/>
        <v/>
      </c>
      <c r="I170" s="16" t="str">
        <f t="shared" si="46"/>
        <v>R</v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89"/>
      <c r="Y170" s="6"/>
      <c r="Z170" s="6"/>
      <c r="AA170" s="6"/>
      <c r="AB170" s="6"/>
      <c r="AC170" s="6"/>
      <c r="AD170" s="6"/>
      <c r="AE170" s="6"/>
      <c r="AF170" s="89" t="str">
        <f t="shared" si="48"/>
        <v/>
      </c>
      <c r="AG170" s="96" t="str">
        <f t="shared" si="49"/>
        <v xml:space="preserve">/* </v>
      </c>
      <c r="AH170" s="6" t="str">
        <f t="shared" si="50"/>
        <v>{(U4)0x00000200U,</v>
      </c>
      <c r="AI170" s="6" t="str">
        <f t="shared" si="51"/>
        <v>(U4)0x400004aeU,</v>
      </c>
      <c r="AJ170" s="6" t="str">
        <f t="shared" si="52"/>
        <v>(U4)0x40000583U,</v>
      </c>
      <c r="AK170" s="6" t="str">
        <f t="shared" si="53"/>
        <v>(U2)8U,</v>
      </c>
      <c r="AL170" s="6" t="str">
        <f t="shared" si="54"/>
        <v>(U2)0U},</v>
      </c>
      <c r="AM170" s="6" t="str">
        <f t="shared" si="55"/>
        <v xml:space="preserve"> */</v>
      </c>
      <c r="AN170" s="6" t="str">
        <f t="shared" si="56"/>
        <v>/*   : ENG1S99 = 0x40000583 */</v>
      </c>
      <c r="AO170" s="13"/>
      <c r="AP170" s="13"/>
      <c r="AQ170" s="13"/>
      <c r="AR170" s="13"/>
      <c r="AS170" s="13"/>
      <c r="AT170" s="13"/>
      <c r="AU170" s="13"/>
      <c r="AV170" s="13"/>
    </row>
    <row r="171" spans="1:48" customFormat="1">
      <c r="A171" s="15" t="str">
        <f t="shared" si="45"/>
        <v>ENG1S60</v>
      </c>
      <c r="B171" s="15" t="str">
        <f t="shared" si="45"/>
        <v>589</v>
      </c>
      <c r="C171" s="15" t="str">
        <f t="shared" si="45"/>
        <v>1</v>
      </c>
      <c r="D171" s="15">
        <f t="shared" si="45"/>
        <v>32</v>
      </c>
      <c r="E171" s="15"/>
      <c r="F171" s="15" t="str">
        <f t="shared" si="47"/>
        <v>0</v>
      </c>
      <c r="G171" s="16" t="str">
        <f t="shared" si="46"/>
        <v/>
      </c>
      <c r="H171" s="16" t="str">
        <f t="shared" si="46"/>
        <v/>
      </c>
      <c r="I171" s="16" t="str">
        <f t="shared" si="46"/>
        <v>R</v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89"/>
      <c r="Y171" s="6"/>
      <c r="Z171" s="6"/>
      <c r="AA171" s="6"/>
      <c r="AB171" s="6"/>
      <c r="AC171" s="6"/>
      <c r="AD171" s="6"/>
      <c r="AE171" s="6"/>
      <c r="AF171" s="89">
        <f t="shared" si="48"/>
        <v>34</v>
      </c>
      <c r="AG171" s="96" t="str">
        <f t="shared" si="49"/>
        <v/>
      </c>
      <c r="AH171" s="6" t="str">
        <f t="shared" si="50"/>
        <v>{(U4)0x00000200U,</v>
      </c>
      <c r="AI171" s="6" t="str">
        <f t="shared" si="51"/>
        <v>(U4)0x40000589U,</v>
      </c>
      <c r="AJ171" s="6" t="str">
        <f t="shared" si="52"/>
        <v>(U4)0x400005f1U,</v>
      </c>
      <c r="AK171" s="6" t="str">
        <f t="shared" si="53"/>
        <v>(U2)32U,</v>
      </c>
      <c r="AL171" s="6" t="str">
        <f t="shared" si="54"/>
        <v>(U2)0U},</v>
      </c>
      <c r="AM171" s="6" t="str">
        <f t="shared" si="55"/>
        <v/>
      </c>
      <c r="AN171" s="6" t="str">
        <f t="shared" si="56"/>
        <v>/* 34 : ENG1S60 = 0x40000589 */</v>
      </c>
      <c r="AO171" s="13"/>
      <c r="AP171" s="13"/>
      <c r="AQ171" s="13"/>
      <c r="AR171" s="13"/>
      <c r="AS171" s="13"/>
      <c r="AT171" s="13"/>
      <c r="AU171" s="13"/>
      <c r="AV171" s="13"/>
    </row>
    <row r="172" spans="1:48" customFormat="1">
      <c r="A172" s="15" t="str">
        <f t="shared" si="45"/>
        <v>ADC1S06</v>
      </c>
      <c r="B172" s="15" t="str">
        <f t="shared" si="45"/>
        <v>594</v>
      </c>
      <c r="C172" s="15" t="str">
        <f t="shared" si="45"/>
        <v>1</v>
      </c>
      <c r="D172" s="15">
        <f t="shared" si="45"/>
        <v>32</v>
      </c>
      <c r="E172" s="15"/>
      <c r="F172" s="15" t="str">
        <f t="shared" si="47"/>
        <v>0</v>
      </c>
      <c r="G172" s="16" t="str">
        <f t="shared" si="46"/>
        <v/>
      </c>
      <c r="H172" s="16" t="str">
        <f t="shared" si="46"/>
        <v/>
      </c>
      <c r="I172" s="16" t="str">
        <f t="shared" si="46"/>
        <v>R</v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89"/>
      <c r="Y172" s="6"/>
      <c r="Z172" s="6"/>
      <c r="AA172" s="6"/>
      <c r="AB172" s="6"/>
      <c r="AC172" s="6"/>
      <c r="AD172" s="6"/>
      <c r="AE172" s="6"/>
      <c r="AF172" s="89" t="str">
        <f t="shared" si="48"/>
        <v/>
      </c>
      <c r="AG172" s="96" t="str">
        <f t="shared" si="49"/>
        <v xml:space="preserve">/* </v>
      </c>
      <c r="AH172" s="6" t="str">
        <f t="shared" si="50"/>
        <v>{(U4)0x00000200U,</v>
      </c>
      <c r="AI172" s="6" t="str">
        <f t="shared" si="51"/>
        <v>(U4)0x40000589U,</v>
      </c>
      <c r="AJ172" s="6" t="str">
        <f t="shared" si="52"/>
        <v>(U4)0x400005f1U,</v>
      </c>
      <c r="AK172" s="6" t="str">
        <f t="shared" si="53"/>
        <v>(U2)32U,</v>
      </c>
      <c r="AL172" s="6" t="str">
        <f t="shared" si="54"/>
        <v>(U2)0U},</v>
      </c>
      <c r="AM172" s="6" t="str">
        <f t="shared" si="55"/>
        <v xml:space="preserve"> */</v>
      </c>
      <c r="AN172" s="6" t="str">
        <f t="shared" si="56"/>
        <v>/*   : ADC1S06 = 0x40000594 */</v>
      </c>
      <c r="AO172" s="13"/>
      <c r="AP172" s="13"/>
      <c r="AQ172" s="13"/>
      <c r="AR172" s="13"/>
      <c r="AS172" s="13"/>
      <c r="AT172" s="13"/>
      <c r="AU172" s="13"/>
      <c r="AV172" s="13"/>
    </row>
    <row r="173" spans="1:48" customFormat="1">
      <c r="A173" s="15" t="str">
        <f t="shared" si="45"/>
        <v>FCM1C03</v>
      </c>
      <c r="B173" s="15" t="str">
        <f t="shared" si="45"/>
        <v>5F1</v>
      </c>
      <c r="C173" s="15" t="str">
        <f t="shared" si="45"/>
        <v>1</v>
      </c>
      <c r="D173" s="15">
        <f t="shared" si="45"/>
        <v>32</v>
      </c>
      <c r="E173" s="15"/>
      <c r="F173" s="15" t="str">
        <f t="shared" si="47"/>
        <v>0</v>
      </c>
      <c r="G173" s="16" t="str">
        <f t="shared" si="46"/>
        <v/>
      </c>
      <c r="H173" s="16" t="str">
        <f t="shared" si="46"/>
        <v/>
      </c>
      <c r="I173" s="16" t="str">
        <f t="shared" si="46"/>
        <v>R</v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89"/>
      <c r="Y173" s="6"/>
      <c r="Z173" s="6"/>
      <c r="AA173" s="6"/>
      <c r="AB173" s="6"/>
      <c r="AC173" s="6"/>
      <c r="AD173" s="6"/>
      <c r="AE173" s="6"/>
      <c r="AF173" s="89" t="str">
        <f t="shared" si="48"/>
        <v/>
      </c>
      <c r="AG173" s="96" t="str">
        <f t="shared" si="49"/>
        <v xml:space="preserve">/* </v>
      </c>
      <c r="AH173" s="6" t="str">
        <f t="shared" si="50"/>
        <v>{(U4)0x00000200U,</v>
      </c>
      <c r="AI173" s="6" t="str">
        <f t="shared" si="51"/>
        <v>(U4)0x40000589U,</v>
      </c>
      <c r="AJ173" s="6" t="str">
        <f t="shared" si="52"/>
        <v>(U4)0x400005f1U,</v>
      </c>
      <c r="AK173" s="6" t="str">
        <f t="shared" si="53"/>
        <v>(U2)32U,</v>
      </c>
      <c r="AL173" s="6" t="str">
        <f t="shared" si="54"/>
        <v>(U2)0U},</v>
      </c>
      <c r="AM173" s="6" t="str">
        <f t="shared" si="55"/>
        <v xml:space="preserve"> */</v>
      </c>
      <c r="AN173" s="6" t="str">
        <f t="shared" si="56"/>
        <v>/*   : FCM1C03 = 0x400005f1 */</v>
      </c>
      <c r="AO173" s="13"/>
      <c r="AP173" s="13"/>
      <c r="AQ173" s="13"/>
      <c r="AR173" s="13"/>
      <c r="AS173" s="13"/>
      <c r="AT173" s="13"/>
      <c r="AU173" s="13"/>
      <c r="AV173" s="13"/>
    </row>
    <row r="174" spans="1:48" customFormat="1">
      <c r="A174" s="15" t="str">
        <f t="shared" si="45"/>
        <v>ENG1C01</v>
      </c>
      <c r="B174" s="15" t="str">
        <f t="shared" si="45"/>
        <v>5F3</v>
      </c>
      <c r="C174" s="15" t="str">
        <f t="shared" si="45"/>
        <v>1</v>
      </c>
      <c r="D174" s="15">
        <f t="shared" si="45"/>
        <v>8</v>
      </c>
      <c r="E174" s="15"/>
      <c r="F174" s="15" t="str">
        <f t="shared" si="47"/>
        <v>0</v>
      </c>
      <c r="G174" s="16" t="str">
        <f t="shared" si="46"/>
        <v/>
      </c>
      <c r="H174" s="16" t="str">
        <f t="shared" si="46"/>
        <v/>
      </c>
      <c r="I174" s="16" t="str">
        <f t="shared" si="46"/>
        <v>R</v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89"/>
      <c r="Y174" s="6"/>
      <c r="Z174" s="6"/>
      <c r="AA174" s="6"/>
      <c r="AB174" s="6"/>
      <c r="AC174" s="6"/>
      <c r="AD174" s="6"/>
      <c r="AE174" s="6"/>
      <c r="AF174" s="89">
        <f t="shared" si="48"/>
        <v>35</v>
      </c>
      <c r="AG174" s="96" t="str">
        <f t="shared" si="49"/>
        <v/>
      </c>
      <c r="AH174" s="6" t="str">
        <f t="shared" si="50"/>
        <v>{(U4)0x00000200U,</v>
      </c>
      <c r="AI174" s="6" t="str">
        <f t="shared" si="51"/>
        <v>(U4)0x400005f3U,</v>
      </c>
      <c r="AJ174" s="6" t="str">
        <f t="shared" si="52"/>
        <v>(U4)0x400005f6U,</v>
      </c>
      <c r="AK174" s="6" t="str">
        <f t="shared" si="53"/>
        <v>(U2)8U,</v>
      </c>
      <c r="AL174" s="6" t="str">
        <f t="shared" si="54"/>
        <v>(U2)0U},</v>
      </c>
      <c r="AM174" s="6" t="str">
        <f t="shared" si="55"/>
        <v/>
      </c>
      <c r="AN174" s="6" t="str">
        <f t="shared" si="56"/>
        <v>/* 35 : ENG1C01 = 0x400005f3 */</v>
      </c>
      <c r="AO174" s="13"/>
      <c r="AP174" s="13"/>
      <c r="AQ174" s="13"/>
      <c r="AR174" s="13"/>
      <c r="AS174" s="13"/>
      <c r="AT174" s="13"/>
      <c r="AU174" s="13"/>
      <c r="AV174" s="13"/>
    </row>
    <row r="175" spans="1:48" customFormat="1">
      <c r="A175" s="15" t="str">
        <f t="shared" ref="A175:D177" si="57">A86</f>
        <v>ENG1C02</v>
      </c>
      <c r="B175" s="15" t="str">
        <f t="shared" si="57"/>
        <v>5F4</v>
      </c>
      <c r="C175" s="15" t="str">
        <f t="shared" si="57"/>
        <v>1</v>
      </c>
      <c r="D175" s="15">
        <f t="shared" si="57"/>
        <v>8</v>
      </c>
      <c r="E175" s="15"/>
      <c r="F175" s="15" t="str">
        <f t="shared" si="47"/>
        <v>0</v>
      </c>
      <c r="G175" s="16" t="str">
        <f t="shared" ref="G175:I177" si="58">IF(G86&lt;&gt;"",G86,"")</f>
        <v/>
      </c>
      <c r="H175" s="16" t="str">
        <f t="shared" si="58"/>
        <v/>
      </c>
      <c r="I175" s="16" t="str">
        <f t="shared" si="58"/>
        <v>R</v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89"/>
      <c r="Y175" s="6"/>
      <c r="Z175" s="6"/>
      <c r="AA175" s="6"/>
      <c r="AB175" s="6"/>
      <c r="AC175" s="6"/>
      <c r="AD175" s="6"/>
      <c r="AE175" s="6"/>
      <c r="AF175" s="89" t="str">
        <f t="shared" si="48"/>
        <v/>
      </c>
      <c r="AG175" s="96" t="str">
        <f t="shared" si="49"/>
        <v xml:space="preserve">/* </v>
      </c>
      <c r="AH175" s="6" t="str">
        <f t="shared" si="50"/>
        <v>{(U4)0x00000200U,</v>
      </c>
      <c r="AI175" s="6" t="str">
        <f t="shared" si="51"/>
        <v>(U4)0x400005f3U,</v>
      </c>
      <c r="AJ175" s="6" t="str">
        <f t="shared" si="52"/>
        <v>(U4)0x400005f6U,</v>
      </c>
      <c r="AK175" s="6" t="str">
        <f t="shared" si="53"/>
        <v>(U2)8U,</v>
      </c>
      <c r="AL175" s="6" t="str">
        <f t="shared" si="54"/>
        <v>(U2)0U},</v>
      </c>
      <c r="AM175" s="6" t="str">
        <f t="shared" si="55"/>
        <v xml:space="preserve"> */</v>
      </c>
      <c r="AN175" s="6" t="str">
        <f t="shared" si="56"/>
        <v>/*   : ENG1C02 = 0x400005f4 */</v>
      </c>
      <c r="AO175" s="13"/>
      <c r="AP175" s="13"/>
      <c r="AQ175" s="13"/>
      <c r="AR175" s="13"/>
      <c r="AS175" s="13"/>
      <c r="AT175" s="13"/>
      <c r="AU175" s="13"/>
      <c r="AV175" s="13"/>
    </row>
    <row r="176" spans="1:48" customFormat="1">
      <c r="A176" s="15" t="str">
        <f t="shared" si="57"/>
        <v>FCM1C01</v>
      </c>
      <c r="B176" s="15" t="str">
        <f t="shared" si="57"/>
        <v>5F6</v>
      </c>
      <c r="C176" s="15" t="str">
        <f t="shared" si="57"/>
        <v>1</v>
      </c>
      <c r="D176" s="15">
        <f t="shared" si="57"/>
        <v>8</v>
      </c>
      <c r="E176" s="15"/>
      <c r="F176" s="15" t="str">
        <f t="shared" si="47"/>
        <v>0</v>
      </c>
      <c r="G176" s="16" t="str">
        <f t="shared" si="58"/>
        <v/>
      </c>
      <c r="H176" s="16" t="str">
        <f t="shared" si="58"/>
        <v/>
      </c>
      <c r="I176" s="16" t="str">
        <f t="shared" si="58"/>
        <v>R</v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89"/>
      <c r="Y176" s="6"/>
      <c r="Z176" s="6"/>
      <c r="AA176" s="6"/>
      <c r="AB176" s="6"/>
      <c r="AC176" s="6"/>
      <c r="AD176" s="6"/>
      <c r="AE176" s="6"/>
      <c r="AF176" s="89" t="str">
        <f t="shared" si="48"/>
        <v/>
      </c>
      <c r="AG176" s="96" t="str">
        <f t="shared" si="49"/>
        <v xml:space="preserve">/* </v>
      </c>
      <c r="AH176" s="6" t="str">
        <f t="shared" si="50"/>
        <v>{(U4)0x00000200U,</v>
      </c>
      <c r="AI176" s="6" t="str">
        <f t="shared" si="51"/>
        <v>(U4)0x400005f3U,</v>
      </c>
      <c r="AJ176" s="6" t="str">
        <f t="shared" si="52"/>
        <v>(U4)0x400005f6U,</v>
      </c>
      <c r="AK176" s="6" t="str">
        <f t="shared" si="53"/>
        <v>(U2)8U,</v>
      </c>
      <c r="AL176" s="6" t="str">
        <f t="shared" si="54"/>
        <v>(U2)0U},</v>
      </c>
      <c r="AM176" s="6" t="str">
        <f t="shared" si="55"/>
        <v xml:space="preserve"> */</v>
      </c>
      <c r="AN176" s="6" t="str">
        <f t="shared" si="56"/>
        <v>/*   : FCM1C01 = 0x400005f6 */</v>
      </c>
      <c r="AO176" s="13"/>
      <c r="AP176" s="13"/>
      <c r="AQ176" s="13"/>
      <c r="AR176" s="13"/>
      <c r="AS176" s="13"/>
      <c r="AT176" s="13"/>
      <c r="AU176" s="13"/>
      <c r="AV176" s="13"/>
    </row>
    <row r="177" spans="1:48" customFormat="1">
      <c r="A177" s="15" t="str">
        <f t="shared" si="57"/>
        <v>ADC1S19</v>
      </c>
      <c r="B177" s="15" t="str">
        <f t="shared" si="57"/>
        <v>613</v>
      </c>
      <c r="C177" s="15" t="str">
        <f t="shared" si="57"/>
        <v>1</v>
      </c>
      <c r="D177" s="15">
        <f t="shared" si="57"/>
        <v>32</v>
      </c>
      <c r="E177" s="15"/>
      <c r="F177" s="15" t="str">
        <f t="shared" si="47"/>
        <v>0</v>
      </c>
      <c r="G177" s="16" t="str">
        <f t="shared" si="58"/>
        <v/>
      </c>
      <c r="H177" s="16" t="str">
        <f t="shared" si="58"/>
        <v/>
      </c>
      <c r="I177" s="16" t="str">
        <f t="shared" si="58"/>
        <v>R</v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89"/>
      <c r="Y177" s="6"/>
      <c r="Z177" s="6"/>
      <c r="AA177" s="6"/>
      <c r="AB177" s="6"/>
      <c r="AC177" s="6"/>
      <c r="AD177" s="6"/>
      <c r="AE177" s="6"/>
      <c r="AF177" s="89">
        <f t="shared" si="48"/>
        <v>36</v>
      </c>
      <c r="AG177" s="96" t="str">
        <f t="shared" si="49"/>
        <v/>
      </c>
      <c r="AH177" s="6" t="str">
        <f t="shared" si="50"/>
        <v>{(U4)0x00000200U,</v>
      </c>
      <c r="AI177" s="6" t="str">
        <f t="shared" si="51"/>
        <v>(U4)0x40000613U,</v>
      </c>
      <c r="AJ177" s="6" t="str">
        <f t="shared" si="52"/>
        <v>(U4)0x40000613U,</v>
      </c>
      <c r="AK177" s="6" t="str">
        <f t="shared" si="53"/>
        <v>(U2)32U,</v>
      </c>
      <c r="AL177" s="6" t="str">
        <f t="shared" si="54"/>
        <v>(U2)0U},</v>
      </c>
      <c r="AM177" s="6" t="str">
        <f t="shared" si="55"/>
        <v/>
      </c>
      <c r="AN177" s="6" t="str">
        <f t="shared" si="56"/>
        <v>/* 36 : ADC1S19 = 0x40000613 */</v>
      </c>
      <c r="AO177" s="13"/>
      <c r="AP177" s="13"/>
      <c r="AQ177" s="13"/>
      <c r="AR177" s="13"/>
      <c r="AS177" s="13"/>
      <c r="AT177" s="13"/>
      <c r="AU177" s="13"/>
      <c r="AV177" s="13"/>
    </row>
    <row r="178" spans="1:48" customFormat="1">
      <c r="A178" s="15" t="str">
        <f t="shared" ref="A178:F178" si="59">A89</f>
        <v>CAN/QSEv</v>
      </c>
      <c r="B178" s="15" t="str">
        <f t="shared" si="59"/>
        <v>18002000</v>
      </c>
      <c r="C178" s="15">
        <f t="shared" si="59"/>
        <v>0</v>
      </c>
      <c r="D178" s="15"/>
      <c r="E178" s="15"/>
      <c r="F178" s="15">
        <f t="shared" si="59"/>
        <v>0</v>
      </c>
      <c r="G178" s="16" t="str">
        <f t="shared" ref="G178:I178" si="60">IF(G89&lt;&gt;"",G89,"")</f>
        <v/>
      </c>
      <c r="H178" s="16" t="str">
        <f t="shared" si="60"/>
        <v/>
      </c>
      <c r="I178" s="16" t="str">
        <f t="shared" si="60"/>
        <v>R</v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89"/>
      <c r="Y178" s="6"/>
      <c r="Z178" s="6"/>
      <c r="AA178" s="6"/>
      <c r="AB178" s="6"/>
      <c r="AC178" s="6"/>
      <c r="AD178" s="6"/>
      <c r="AE178" s="6"/>
      <c r="AF178" s="89">
        <f t="shared" si="48"/>
        <v>37</v>
      </c>
      <c r="AG178" s="96" t="str">
        <f t="shared" si="49"/>
        <v/>
      </c>
      <c r="AH178" s="6" t="str">
        <f>IF($AF89&lt;&gt;"","{(U4)0x"&amp;LOWER(DEC2HEX($N89*$N$3,8))&amp;"U,",#REF!)</f>
        <v>{(U4)0x00000200U,</v>
      </c>
      <c r="AI178" s="6" t="str">
        <f>IF($AF89&lt;&gt;"", "(U4)"&amp;LOWER($AJ89)&amp;"U,",#REF!)</f>
        <v>(U4)0x98002000U,</v>
      </c>
      <c r="AJ178" s="6" t="str">
        <f>IF($AF89&lt;&gt;"", "(U4)"&amp;LOWER($AK89)&amp;"U,",#REF!)</f>
        <v>(U4)0x980021ffU,</v>
      </c>
      <c r="AK178" s="6" t="str">
        <f xml:space="preserve"> IF($AF89&lt;&gt;"", "(U2)"&amp;$AL89&amp;"U,",#REF!)</f>
        <v>(U2)0U,</v>
      </c>
      <c r="AL178" s="6" t="str">
        <f xml:space="preserve"> IF($AF89&lt;&gt;"", "(U2)"&amp;$Y89*$X$3&amp;"U},",#REF!)</f>
        <v>(U2)0U},</v>
      </c>
      <c r="AM178" s="6" t="str">
        <f t="shared" ref="AM178:AM181" si="61">IF($AF89&lt;&gt;"","", " */")</f>
        <v/>
      </c>
      <c r="AN178" s="6" t="str">
        <f t="shared" ref="AN178:AN181" si="62">"/* "&amp;IF($AF89&lt;&gt;"",$AF89," ")&amp;" : "&amp;A89&amp;" = "&amp;LOWER($AH89)&amp;" */"</f>
        <v>/* 37 : CAN/QSEv = 0x98002000 */</v>
      </c>
      <c r="AO178" s="13"/>
      <c r="AP178" s="13"/>
      <c r="AQ178" s="13"/>
      <c r="AR178" s="13"/>
      <c r="AS178" s="13"/>
      <c r="AT178" s="13"/>
      <c r="AU178" s="13"/>
      <c r="AV178" s="13"/>
    </row>
    <row r="179" spans="1:48" customFormat="1">
      <c r="A179" s="15" t="str">
        <f t="shared" ref="A179:F179" si="63">A90</f>
        <v>CAN/QSEv</v>
      </c>
      <c r="B179" s="15" t="str">
        <f t="shared" si="63"/>
        <v>180021ff</v>
      </c>
      <c r="C179" s="15">
        <f t="shared" si="63"/>
        <v>0</v>
      </c>
      <c r="D179" s="15"/>
      <c r="E179" s="15"/>
      <c r="F179" s="15">
        <f t="shared" si="63"/>
        <v>0</v>
      </c>
      <c r="G179" s="16" t="str">
        <f t="shared" ref="G179:I179" si="64">IF(G90&lt;&gt;"",G90,"")</f>
        <v/>
      </c>
      <c r="H179" s="16" t="str">
        <f t="shared" si="64"/>
        <v/>
      </c>
      <c r="I179" s="16" t="str">
        <f t="shared" si="64"/>
        <v>R</v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89"/>
      <c r="Y179" s="6"/>
      <c r="Z179" s="6"/>
      <c r="AA179" s="6"/>
      <c r="AB179" s="6"/>
      <c r="AC179" s="6"/>
      <c r="AD179" s="6"/>
      <c r="AE179" s="6"/>
      <c r="AF179" s="89" t="str">
        <f t="shared" si="48"/>
        <v/>
      </c>
      <c r="AG179" s="96" t="str">
        <f t="shared" si="49"/>
        <v xml:space="preserve">/* </v>
      </c>
      <c r="AH179" s="6" t="str">
        <f>IF($AF90&lt;&gt;"","{(U4)0x"&amp;LOWER(DEC2HEX($N90*$N$3,8))&amp;"U,",AH178)</f>
        <v>{(U4)0x00000200U,</v>
      </c>
      <c r="AI179" s="6" t="str">
        <f>IF($AF90&lt;&gt;"", "(U4)"&amp;LOWER($AJ90)&amp;"U,",AI178)</f>
        <v>(U4)0x98002000U,</v>
      </c>
      <c r="AJ179" s="6" t="str">
        <f>IF($AF90&lt;&gt;"", "(U4)"&amp;LOWER($AK90)&amp;"U,",AJ178)</f>
        <v>(U4)0x980021ffU,</v>
      </c>
      <c r="AK179" s="6" t="str">
        <f xml:space="preserve"> IF($AF90&lt;&gt;"", "(U2)"&amp;$AL90&amp;"U,",AK178)</f>
        <v>(U2)0U,</v>
      </c>
      <c r="AL179" s="6" t="str">
        <f xml:space="preserve"> IF($AF90&lt;&gt;"", "(U2)"&amp;$Y90*$X$3&amp;"U},",AL178)</f>
        <v>(U2)0U},</v>
      </c>
      <c r="AM179" s="6" t="str">
        <f t="shared" si="61"/>
        <v xml:space="preserve"> */</v>
      </c>
      <c r="AN179" s="6" t="str">
        <f t="shared" si="62"/>
        <v>/*   : CAN/QSEv = 0x980021ff */</v>
      </c>
      <c r="AO179" s="13"/>
      <c r="AP179" s="13"/>
      <c r="AQ179" s="13"/>
      <c r="AR179" s="13"/>
      <c r="AS179" s="13"/>
      <c r="AT179" s="13"/>
      <c r="AU179" s="13"/>
      <c r="AV179" s="13"/>
    </row>
    <row r="180" spans="1:48" customFormat="1">
      <c r="A180" s="15" t="str">
        <f t="shared" ref="A180:F180" si="65">A91</f>
        <v>CAN-FD/QSEv</v>
      </c>
      <c r="B180" s="15" t="str">
        <f t="shared" si="65"/>
        <v>18002000</v>
      </c>
      <c r="C180" s="15">
        <f t="shared" si="65"/>
        <v>1</v>
      </c>
      <c r="D180" s="15"/>
      <c r="E180" s="15"/>
      <c r="F180" s="15">
        <f t="shared" si="65"/>
        <v>0</v>
      </c>
      <c r="G180" s="16" t="str">
        <f t="shared" ref="G180:I180" si="66">IF(G91&lt;&gt;"",G91,"")</f>
        <v/>
      </c>
      <c r="H180" s="16" t="str">
        <f t="shared" si="66"/>
        <v/>
      </c>
      <c r="I180" s="16" t="str">
        <f t="shared" si="66"/>
        <v>R</v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89"/>
      <c r="Y180" s="6"/>
      <c r="Z180" s="6"/>
      <c r="AA180" s="6"/>
      <c r="AB180" s="6"/>
      <c r="AC180" s="6"/>
      <c r="AD180" s="6"/>
      <c r="AE180" s="6"/>
      <c r="AF180" s="89">
        <f t="shared" si="48"/>
        <v>38</v>
      </c>
      <c r="AG180" s="96" t="str">
        <f t="shared" si="49"/>
        <v/>
      </c>
      <c r="AH180" s="6" t="str">
        <f>IF($AF91&lt;&gt;"","{(U4)0x"&amp;LOWER(DEC2HEX($N91*$N$3,8))&amp;"U,",AH179)</f>
        <v>{(U4)0x00000200U,</v>
      </c>
      <c r="AI180" s="6" t="str">
        <f>IF($AF91&lt;&gt;"", "(U4)"&amp;LOWER($AJ91)&amp;"U,",AI179)</f>
        <v>(U4)0xd8002000U,</v>
      </c>
      <c r="AJ180" s="6" t="str">
        <f>IF($AF91&lt;&gt;"", "(U4)"&amp;LOWER($AK91)&amp;"U,",AJ179)</f>
        <v>(U4)0xd80021ffU,</v>
      </c>
      <c r="AK180" s="6" t="str">
        <f xml:space="preserve"> IF($AF91&lt;&gt;"", "(U2)"&amp;$AL91&amp;"U,",AK179)</f>
        <v>(U2)0U,</v>
      </c>
      <c r="AL180" s="6" t="str">
        <f xml:space="preserve"> IF($AF91&lt;&gt;"", "(U2)"&amp;$Y91*$X$3&amp;"U},",AL179)</f>
        <v>(U2)0U},</v>
      </c>
      <c r="AM180" s="6" t="str">
        <f t="shared" si="61"/>
        <v/>
      </c>
      <c r="AN180" s="6" t="str">
        <f t="shared" si="62"/>
        <v>/* 38 : CAN-FD/QSEv = 0xd8002000 */</v>
      </c>
      <c r="AO180" s="13"/>
      <c r="AP180" s="13"/>
      <c r="AQ180" s="13"/>
      <c r="AR180" s="13"/>
      <c r="AS180" s="13"/>
      <c r="AT180" s="13"/>
      <c r="AU180" s="13"/>
      <c r="AV180" s="13"/>
    </row>
    <row r="181" spans="1:48" customFormat="1">
      <c r="A181" s="15" t="str">
        <f t="shared" ref="A181:F181" si="67">A92</f>
        <v>CAN-FD/QSEv</v>
      </c>
      <c r="B181" s="15" t="str">
        <f t="shared" si="67"/>
        <v>180021ff</v>
      </c>
      <c r="C181" s="15">
        <f t="shared" si="67"/>
        <v>1</v>
      </c>
      <c r="D181" s="15"/>
      <c r="E181" s="15"/>
      <c r="F181" s="15">
        <f t="shared" si="67"/>
        <v>0</v>
      </c>
      <c r="G181" s="16" t="str">
        <f t="shared" ref="G181:I181" si="68">IF(G92&lt;&gt;"",G92,"")</f>
        <v/>
      </c>
      <c r="H181" s="16" t="str">
        <f t="shared" si="68"/>
        <v/>
      </c>
      <c r="I181" s="16" t="str">
        <f t="shared" si="68"/>
        <v>R</v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89"/>
      <c r="Y181" s="6"/>
      <c r="Z181" s="6"/>
      <c r="AA181" s="6"/>
      <c r="AB181" s="6"/>
      <c r="AC181" s="6"/>
      <c r="AD181" s="6"/>
      <c r="AE181" s="6"/>
      <c r="AF181" s="89" t="str">
        <f t="shared" si="48"/>
        <v/>
      </c>
      <c r="AG181" s="96" t="str">
        <f t="shared" si="49"/>
        <v xml:space="preserve">/* </v>
      </c>
      <c r="AH181" s="6" t="str">
        <f>IF($AF92&lt;&gt;"","{(U4)0x"&amp;LOWER(DEC2HEX($N92*$N$3,8))&amp;"U,",AH180)</f>
        <v>{(U4)0x00000200U,</v>
      </c>
      <c r="AI181" s="6" t="str">
        <f>IF($AF92&lt;&gt;"", "(U4)"&amp;LOWER($AJ92)&amp;"U,",AI180)</f>
        <v>(U4)0xd8002000U,</v>
      </c>
      <c r="AJ181" s="6" t="str">
        <f>IF($AF92&lt;&gt;"", "(U4)"&amp;LOWER($AK92)&amp;"U,",AJ180)</f>
        <v>(U4)0xd80021ffU,</v>
      </c>
      <c r="AK181" s="6" t="str">
        <f xml:space="preserve"> IF($AF92&lt;&gt;"", "(U2)"&amp;$AL92&amp;"U,",AK180)</f>
        <v>(U2)0U,</v>
      </c>
      <c r="AL181" s="6" t="str">
        <f xml:space="preserve"> IF($AF92&lt;&gt;"", "(U2)"&amp;$Y92*$X$3&amp;"U},",AL180)</f>
        <v>(U2)0U},</v>
      </c>
      <c r="AM181" s="6" t="str">
        <f t="shared" si="61"/>
        <v xml:space="preserve"> */</v>
      </c>
      <c r="AN181" s="6" t="str">
        <f t="shared" si="62"/>
        <v>/*   : CAN-FD/QSEv = 0xd80021ff */</v>
      </c>
      <c r="AO181" s="13"/>
      <c r="AP181" s="13"/>
      <c r="AQ181" s="13"/>
      <c r="AR181" s="13"/>
      <c r="AS181" s="13"/>
      <c r="AT181" s="13"/>
      <c r="AU181" s="13"/>
      <c r="AV181" s="13"/>
    </row>
    <row r="182" spans="1:48" s="176" customFormat="1" ht="14.25">
      <c r="A182" s="15" t="s">
        <v>776</v>
      </c>
      <c r="B182" s="15" t="s">
        <v>776</v>
      </c>
      <c r="C182" s="15" t="s">
        <v>776</v>
      </c>
      <c r="D182" s="15" t="s">
        <v>776</v>
      </c>
      <c r="E182" s="15" t="s">
        <v>776</v>
      </c>
      <c r="F182" s="15" t="s">
        <v>776</v>
      </c>
      <c r="G182" s="15" t="s">
        <v>776</v>
      </c>
      <c r="H182" s="15" t="s">
        <v>776</v>
      </c>
      <c r="I182" s="15" t="s">
        <v>776</v>
      </c>
      <c r="J182" s="15" t="s">
        <v>776</v>
      </c>
      <c r="K182" s="5" t="s">
        <v>1154</v>
      </c>
      <c r="L182" s="5" t="s">
        <v>1154</v>
      </c>
      <c r="M182" s="5" t="s">
        <v>1154</v>
      </c>
      <c r="N182" s="5" t="s">
        <v>1154</v>
      </c>
      <c r="O182" s="5" t="s">
        <v>1154</v>
      </c>
      <c r="P182" s="5" t="s">
        <v>1154</v>
      </c>
      <c r="Q182" s="5" t="s">
        <v>1154</v>
      </c>
      <c r="R182" s="5" t="s">
        <v>1154</v>
      </c>
      <c r="S182" s="5" t="s">
        <v>1154</v>
      </c>
      <c r="T182" s="5" t="s">
        <v>1154</v>
      </c>
      <c r="U182" s="5" t="s">
        <v>1154</v>
      </c>
      <c r="V182" s="5" t="s">
        <v>1154</v>
      </c>
      <c r="W182" s="5" t="s">
        <v>1154</v>
      </c>
      <c r="X182" s="175" t="s">
        <v>1154</v>
      </c>
      <c r="Y182" s="15" t="s">
        <v>1154</v>
      </c>
      <c r="Z182" s="15" t="s">
        <v>776</v>
      </c>
      <c r="AA182" s="15" t="s">
        <v>776</v>
      </c>
      <c r="AB182" s="15" t="s">
        <v>776</v>
      </c>
      <c r="AC182" s="15" t="s">
        <v>776</v>
      </c>
      <c r="AD182" s="15" t="s">
        <v>776</v>
      </c>
      <c r="AE182" s="15" t="s">
        <v>776</v>
      </c>
      <c r="AF182" s="94" t="s">
        <v>776</v>
      </c>
      <c r="AG182" s="100" t="s">
        <v>776</v>
      </c>
      <c r="AH182" s="15" t="s">
        <v>776</v>
      </c>
      <c r="AI182" s="15" t="s">
        <v>776</v>
      </c>
      <c r="AJ182" s="15" t="s">
        <v>776</v>
      </c>
      <c r="AK182" s="15" t="s">
        <v>776</v>
      </c>
      <c r="AL182" s="15"/>
      <c r="AM182" s="15" t="s">
        <v>776</v>
      </c>
      <c r="AN182" s="15" t="s">
        <v>776</v>
      </c>
    </row>
    <row r="183" spans="1:48">
      <c r="A183" s="15"/>
      <c r="B183" s="15"/>
      <c r="C183" s="15"/>
      <c r="D183" s="15"/>
      <c r="E183" s="15"/>
      <c r="F183" s="15"/>
    </row>
    <row r="184" spans="1:48">
      <c r="A184" s="15"/>
      <c r="B184" s="15"/>
      <c r="C184" s="15"/>
      <c r="D184" s="15"/>
      <c r="E184" s="15"/>
      <c r="F184" s="15"/>
    </row>
    <row r="185" spans="1:48">
      <c r="A185" s="15"/>
      <c r="B185" s="15"/>
      <c r="C185" s="15"/>
      <c r="D185" s="15"/>
      <c r="E185" s="15"/>
      <c r="F185" s="15"/>
    </row>
    <row r="186" spans="1:48">
      <c r="A186" s="15"/>
      <c r="B186" s="15"/>
      <c r="C186" s="15"/>
      <c r="D186" s="15"/>
      <c r="E186" s="15"/>
      <c r="F186" s="15"/>
    </row>
    <row r="187" spans="1:48">
      <c r="A187" s="15"/>
      <c r="B187" s="15"/>
      <c r="C187" s="15"/>
      <c r="D187" s="15"/>
      <c r="E187" s="15"/>
      <c r="F187" s="15"/>
    </row>
    <row r="188" spans="1:48">
      <c r="A188" s="15"/>
      <c r="B188" s="15"/>
      <c r="C188" s="15"/>
      <c r="D188" s="15"/>
      <c r="E188" s="15"/>
      <c r="F188" s="15"/>
    </row>
    <row r="189" spans="1:48">
      <c r="A189" s="15"/>
      <c r="B189" s="15"/>
      <c r="C189" s="15"/>
      <c r="D189" s="15"/>
      <c r="E189" s="15"/>
      <c r="F189" s="15"/>
    </row>
    <row r="190" spans="1:48">
      <c r="A190" s="15"/>
      <c r="B190" s="15"/>
      <c r="C190" s="15"/>
      <c r="D190" s="15"/>
      <c r="E190" s="15"/>
      <c r="F190" s="15"/>
    </row>
    <row r="191" spans="1:48">
      <c r="A191" s="15"/>
      <c r="B191" s="15"/>
      <c r="C191" s="15"/>
      <c r="D191" s="15"/>
      <c r="E191" s="15"/>
      <c r="F191" s="15"/>
    </row>
    <row r="192" spans="1:48">
      <c r="A192" s="15"/>
      <c r="B192" s="15"/>
      <c r="C192" s="15"/>
      <c r="D192" s="15"/>
      <c r="E192" s="15"/>
      <c r="F192" s="15"/>
    </row>
    <row r="193" spans="1:6">
      <c r="A193" s="15"/>
      <c r="B193" s="15"/>
      <c r="C193" s="15"/>
      <c r="D193" s="15"/>
      <c r="E193" s="15"/>
      <c r="F193" s="15"/>
    </row>
    <row r="194" spans="1:6">
      <c r="A194" s="15"/>
      <c r="B194" s="15"/>
      <c r="C194" s="15"/>
      <c r="D194" s="15"/>
      <c r="E194" s="15"/>
      <c r="F194" s="15"/>
    </row>
    <row r="195" spans="1:6">
      <c r="A195" s="15"/>
      <c r="B195" s="15"/>
      <c r="C195" s="15"/>
      <c r="D195" s="15"/>
      <c r="E195" s="15"/>
      <c r="F195" s="15"/>
    </row>
    <row r="196" spans="1:6">
      <c r="A196" s="15"/>
      <c r="B196" s="15"/>
      <c r="C196" s="15"/>
      <c r="D196" s="15"/>
      <c r="E196" s="15"/>
      <c r="F196" s="15"/>
    </row>
    <row r="197" spans="1:6">
      <c r="A197" s="15"/>
      <c r="B197" s="15"/>
      <c r="C197" s="15"/>
      <c r="D197" s="15"/>
      <c r="E197" s="15"/>
      <c r="F197" s="15"/>
    </row>
    <row r="198" spans="1:6">
      <c r="A198" s="15"/>
      <c r="B198" s="15"/>
      <c r="C198" s="15"/>
      <c r="D198" s="15"/>
      <c r="E198" s="15"/>
      <c r="F198" s="15"/>
    </row>
    <row r="199" spans="1:6">
      <c r="E199" s="15"/>
    </row>
    <row r="200" spans="1:6">
      <c r="E200" s="15"/>
    </row>
    <row r="201" spans="1:6">
      <c r="E201" s="15"/>
    </row>
    <row r="202" spans="1:6">
      <c r="E202" s="15"/>
    </row>
    <row r="203" spans="1:6">
      <c r="E203" s="15"/>
    </row>
    <row r="204" spans="1:6">
      <c r="E204" s="15"/>
    </row>
    <row r="205" spans="1:6">
      <c r="E205" s="15"/>
    </row>
    <row r="206" spans="1:6">
      <c r="E206" s="15"/>
    </row>
    <row r="207" spans="1:6">
      <c r="E207" s="15"/>
    </row>
    <row r="208" spans="1:6">
      <c r="E208" s="15"/>
    </row>
    <row r="209" spans="5:5">
      <c r="E209" s="15"/>
    </row>
    <row r="210" spans="5:5">
      <c r="E210" s="15"/>
    </row>
    <row r="211" spans="5:5">
      <c r="E211" s="15"/>
    </row>
    <row r="212" spans="5:5">
      <c r="E212" s="15"/>
    </row>
    <row r="213" spans="5:5">
      <c r="E213" s="15"/>
    </row>
    <row r="214" spans="5:5">
      <c r="E214" s="15"/>
    </row>
    <row r="215" spans="5:5">
      <c r="E215" s="15"/>
    </row>
    <row r="216" spans="5:5">
      <c r="E216" s="15"/>
    </row>
    <row r="217" spans="5:5">
      <c r="E217" s="15"/>
    </row>
    <row r="218" spans="5:5">
      <c r="E218" s="15"/>
    </row>
    <row r="219" spans="5:5">
      <c r="E219" s="15"/>
    </row>
    <row r="220" spans="5:5">
      <c r="E220" s="39"/>
    </row>
    <row r="221" spans="5:5">
      <c r="E221" s="15"/>
    </row>
    <row r="222" spans="5:5">
      <c r="E222" s="39"/>
    </row>
    <row r="223" spans="5:5">
      <c r="E223" s="15"/>
    </row>
    <row r="224" spans="5:5">
      <c r="E224" s="39"/>
    </row>
    <row r="225" spans="5:5">
      <c r="E225" s="15"/>
    </row>
    <row r="226" spans="5:5">
      <c r="E226" s="15"/>
    </row>
    <row r="227" spans="5:5">
      <c r="E227" s="15"/>
    </row>
    <row r="228" spans="5:5">
      <c r="E228" s="15"/>
    </row>
    <row r="229" spans="5:5">
      <c r="E229" s="15"/>
    </row>
    <row r="230" spans="5:5">
      <c r="E230" s="15"/>
    </row>
    <row r="231" spans="5:5">
      <c r="E231" s="15"/>
    </row>
    <row r="232" spans="5:5">
      <c r="E232" s="15"/>
    </row>
    <row r="233" spans="5:5">
      <c r="E233" s="15"/>
    </row>
    <row r="244" spans="5:24">
      <c r="E244" s="15"/>
      <c r="X244" s="174"/>
    </row>
    <row r="245" spans="5:24">
      <c r="E245" s="15"/>
      <c r="X245" s="18"/>
    </row>
    <row r="246" spans="5:24">
      <c r="E246" s="15"/>
      <c r="X246" s="18"/>
    </row>
    <row r="247" spans="5:24">
      <c r="E247" s="15"/>
      <c r="X247" s="18"/>
    </row>
    <row r="248" spans="5:24">
      <c r="E248" s="15"/>
      <c r="X248" s="18"/>
    </row>
    <row r="249" spans="5:24">
      <c r="E249" s="15"/>
      <c r="X249" s="18"/>
    </row>
    <row r="250" spans="5:24">
      <c r="E250" s="15"/>
      <c r="X250" s="18"/>
    </row>
    <row r="251" spans="5:24">
      <c r="E251" s="15"/>
      <c r="X251" s="18"/>
    </row>
    <row r="252" spans="5:24">
      <c r="E252" s="15"/>
      <c r="X252" s="18"/>
    </row>
    <row r="253" spans="5:24">
      <c r="E253" s="15"/>
      <c r="X253" s="18"/>
    </row>
    <row r="254" spans="5:24">
      <c r="E254" s="15"/>
      <c r="X254" s="18"/>
    </row>
    <row r="255" spans="5:24">
      <c r="E255" s="15"/>
      <c r="X255" s="18"/>
    </row>
    <row r="256" spans="5:24">
      <c r="E256" s="15"/>
      <c r="X256" s="18"/>
    </row>
    <row r="257" spans="5:24">
      <c r="E257" s="15"/>
      <c r="X257" s="18"/>
    </row>
    <row r="258" spans="5:24">
      <c r="E258" s="15"/>
      <c r="X258" s="18"/>
    </row>
    <row r="259" spans="5:24">
      <c r="E259" s="15"/>
      <c r="X259" s="18"/>
    </row>
    <row r="260" spans="5:24">
      <c r="E260" s="15"/>
      <c r="X260" s="18"/>
    </row>
    <row r="261" spans="5:24">
      <c r="E261" s="15"/>
      <c r="X261" s="18"/>
    </row>
    <row r="262" spans="5:24">
      <c r="E262" s="15"/>
      <c r="X262" s="18"/>
    </row>
    <row r="263" spans="5:24">
      <c r="E263" s="15"/>
      <c r="X263" s="18"/>
    </row>
    <row r="264" spans="5:24">
      <c r="E264" s="15"/>
      <c r="X264" s="18"/>
    </row>
    <row r="265" spans="5:24">
      <c r="E265" s="15"/>
      <c r="X265" s="18"/>
    </row>
    <row r="266" spans="5:24">
      <c r="E266" s="15"/>
      <c r="X266" s="18"/>
    </row>
    <row r="267" spans="5:24">
      <c r="E267" s="15"/>
      <c r="X267" s="18"/>
    </row>
    <row r="268" spans="5:24">
      <c r="E268" s="15"/>
      <c r="X268" s="18"/>
    </row>
    <row r="269" spans="5:24">
      <c r="E269" s="15"/>
      <c r="X269" s="18"/>
    </row>
    <row r="270" spans="5:24">
      <c r="E270" s="15"/>
      <c r="X270" s="18"/>
    </row>
    <row r="271" spans="5:24">
      <c r="E271" s="15"/>
      <c r="X271" s="18"/>
    </row>
    <row r="272" spans="5:24">
      <c r="E272" s="15"/>
      <c r="X272" s="18"/>
    </row>
    <row r="273" spans="5:5">
      <c r="E273" s="15"/>
    </row>
    <row r="274" spans="5:5">
      <c r="E274" s="15"/>
    </row>
    <row r="275" spans="5:5">
      <c r="E275" s="15"/>
    </row>
    <row r="276" spans="5:5">
      <c r="E276" s="15"/>
    </row>
    <row r="277" spans="5:5">
      <c r="E277" s="15"/>
    </row>
    <row r="278" spans="5:5">
      <c r="E278" s="15"/>
    </row>
    <row r="279" spans="5:5">
      <c r="E279" s="15"/>
    </row>
    <row r="280" spans="5:5">
      <c r="E280" s="15"/>
    </row>
    <row r="281" spans="5:5">
      <c r="E281" s="15"/>
    </row>
    <row r="282" spans="5:5">
      <c r="E282" s="15"/>
    </row>
    <row r="283" spans="5:5">
      <c r="E283" s="15"/>
    </row>
    <row r="284" spans="5:5">
      <c r="E284" s="15"/>
    </row>
    <row r="285" spans="5:5">
      <c r="E285" s="15"/>
    </row>
    <row r="286" spans="5:5">
      <c r="E286" s="15"/>
    </row>
    <row r="287" spans="5:5">
      <c r="E287" s="15"/>
    </row>
    <row r="288" spans="5:5">
      <c r="E288" s="15"/>
    </row>
    <row r="289" spans="5:5">
      <c r="E289" s="15"/>
    </row>
    <row r="290" spans="5:5">
      <c r="E290" s="15"/>
    </row>
    <row r="291" spans="5:5">
      <c r="E291" s="15"/>
    </row>
    <row r="292" spans="5:5">
      <c r="E292" s="15"/>
    </row>
    <row r="293" spans="5:5">
      <c r="E293" s="15"/>
    </row>
    <row r="294" spans="5:5">
      <c r="E294" s="15"/>
    </row>
    <row r="295" spans="5:5">
      <c r="E295" s="15"/>
    </row>
    <row r="296" spans="5:5">
      <c r="E296" s="15"/>
    </row>
    <row r="297" spans="5:5">
      <c r="E297" s="15"/>
    </row>
    <row r="298" spans="5:5">
      <c r="E298" s="15"/>
    </row>
    <row r="299" spans="5:5">
      <c r="E299" s="15"/>
    </row>
    <row r="300" spans="5:5">
      <c r="E300" s="15"/>
    </row>
    <row r="301" spans="5:5">
      <c r="E301" s="15"/>
    </row>
    <row r="302" spans="5:5">
      <c r="E302" s="15"/>
    </row>
    <row r="303" spans="5:5">
      <c r="E303" s="15"/>
    </row>
    <row r="304" spans="5:5">
      <c r="E304" s="15"/>
    </row>
    <row r="305" spans="5:5">
      <c r="E305" s="15"/>
    </row>
    <row r="306" spans="5:5">
      <c r="E306" s="15"/>
    </row>
    <row r="307" spans="5:5">
      <c r="E307" s="15"/>
    </row>
    <row r="308" spans="5:5">
      <c r="E308" s="15"/>
    </row>
    <row r="309" spans="5:5">
      <c r="E309" s="15"/>
    </row>
    <row r="310" spans="5:5">
      <c r="E310" s="15"/>
    </row>
    <row r="311" spans="5:5">
      <c r="E311" s="15"/>
    </row>
    <row r="312" spans="5:5">
      <c r="E312" s="15"/>
    </row>
    <row r="313" spans="5:5">
      <c r="E313" s="15"/>
    </row>
    <row r="314" spans="5:5">
      <c r="E314" s="15"/>
    </row>
    <row r="315" spans="5:5">
      <c r="E315" s="15"/>
    </row>
    <row r="316" spans="5:5">
      <c r="E316" s="15"/>
    </row>
    <row r="317" spans="5:5">
      <c r="E317" s="15"/>
    </row>
    <row r="318" spans="5:5">
      <c r="E318" s="15"/>
    </row>
    <row r="319" spans="5:5">
      <c r="E319" s="15"/>
    </row>
    <row r="320" spans="5:5">
      <c r="E320" s="15"/>
    </row>
    <row r="321" spans="5:5">
      <c r="E321" s="15"/>
    </row>
    <row r="322" spans="5:5">
      <c r="E322" s="15"/>
    </row>
    <row r="323" spans="5:5">
      <c r="E323" s="15"/>
    </row>
    <row r="324" spans="5:5">
      <c r="E324" s="15"/>
    </row>
    <row r="325" spans="5:5">
      <c r="E325" s="15"/>
    </row>
    <row r="326" spans="5:5">
      <c r="E326" s="15"/>
    </row>
    <row r="327" spans="5:5">
      <c r="E327" s="15"/>
    </row>
    <row r="328" spans="5:5">
      <c r="E328" s="15"/>
    </row>
    <row r="329" spans="5:5">
      <c r="E329" s="15"/>
    </row>
    <row r="330" spans="5:5">
      <c r="E330" s="15"/>
    </row>
    <row r="331" spans="5:5">
      <c r="E331" s="15"/>
    </row>
    <row r="332" spans="5:5">
      <c r="E332" s="15"/>
    </row>
    <row r="333" spans="5:5">
      <c r="E333" s="15"/>
    </row>
    <row r="334" spans="5:5">
      <c r="E334" s="15"/>
    </row>
    <row r="335" spans="5:5">
      <c r="E335" s="15"/>
    </row>
    <row r="336" spans="5:5">
      <c r="E336" s="15"/>
    </row>
    <row r="337" spans="5:5">
      <c r="E337" s="15"/>
    </row>
    <row r="338" spans="5:5">
      <c r="E338" s="15"/>
    </row>
    <row r="339" spans="5:5">
      <c r="E339" s="15"/>
    </row>
    <row r="340" spans="5:5">
      <c r="E340" s="15"/>
    </row>
    <row r="341" spans="5:5">
      <c r="E341" s="15"/>
    </row>
    <row r="342" spans="5:5">
      <c r="E342" s="15"/>
    </row>
    <row r="343" spans="5:5">
      <c r="E343" s="15"/>
    </row>
    <row r="344" spans="5:5">
      <c r="E344" s="15"/>
    </row>
    <row r="345" spans="5:5">
      <c r="E345" s="15"/>
    </row>
    <row r="346" spans="5:5">
      <c r="E346" s="15"/>
    </row>
    <row r="347" spans="5:5">
      <c r="E347" s="15"/>
    </row>
    <row r="348" spans="5:5">
      <c r="E348" s="15"/>
    </row>
    <row r="349" spans="5:5">
      <c r="E349" s="15"/>
    </row>
    <row r="350" spans="5:5">
      <c r="E350" s="15"/>
    </row>
    <row r="351" spans="5:5">
      <c r="E351" s="15"/>
    </row>
    <row r="352" spans="5:5">
      <c r="E352" s="15"/>
    </row>
    <row r="353" spans="5:5">
      <c r="E353" s="15"/>
    </row>
    <row r="354" spans="5:5">
      <c r="E354" s="15"/>
    </row>
    <row r="355" spans="5:5">
      <c r="E355" s="15"/>
    </row>
    <row r="356" spans="5:5">
      <c r="E356" s="15"/>
    </row>
    <row r="357" spans="5:5">
      <c r="E357" s="15"/>
    </row>
    <row r="358" spans="5:5">
      <c r="E358" s="15"/>
    </row>
    <row r="359" spans="5:5">
      <c r="E359" s="15"/>
    </row>
    <row r="360" spans="5:5">
      <c r="E360" s="15"/>
    </row>
    <row r="361" spans="5:5">
      <c r="E361" s="15"/>
    </row>
    <row r="362" spans="5:5">
      <c r="E362" s="15"/>
    </row>
    <row r="363" spans="5:5">
      <c r="E363" s="15"/>
    </row>
    <row r="364" spans="5:5">
      <c r="E364" s="15"/>
    </row>
    <row r="365" spans="5:5">
      <c r="E365" s="15"/>
    </row>
    <row r="366" spans="5:5">
      <c r="E366" s="15"/>
    </row>
    <row r="367" spans="5:5">
      <c r="E367" s="15"/>
    </row>
    <row r="368" spans="5:5">
      <c r="E368" s="15"/>
    </row>
    <row r="369" spans="5:5">
      <c r="E369" s="15"/>
    </row>
    <row r="370" spans="5:5">
      <c r="E370" s="15"/>
    </row>
    <row r="371" spans="5:5">
      <c r="E371" s="15"/>
    </row>
    <row r="372" spans="5:5">
      <c r="E372" s="15"/>
    </row>
    <row r="373" spans="5:5">
      <c r="E373" s="15"/>
    </row>
    <row r="374" spans="5:5">
      <c r="E374" s="15"/>
    </row>
    <row r="375" spans="5:5">
      <c r="E375" s="15"/>
    </row>
    <row r="376" spans="5:5">
      <c r="E376" s="15"/>
    </row>
    <row r="377" spans="5:5">
      <c r="E377" s="15"/>
    </row>
    <row r="378" spans="5:5">
      <c r="E378" s="15"/>
    </row>
    <row r="379" spans="5:5">
      <c r="E379" s="15"/>
    </row>
    <row r="380" spans="5:5">
      <c r="E380" s="15"/>
    </row>
    <row r="381" spans="5:5">
      <c r="E381" s="15"/>
    </row>
    <row r="382" spans="5:5">
      <c r="E382" s="15"/>
    </row>
    <row r="383" spans="5:5">
      <c r="E383" s="15"/>
    </row>
    <row r="384" spans="5:5">
      <c r="E384" s="15"/>
    </row>
    <row r="385" spans="5:5">
      <c r="E385" s="15"/>
    </row>
    <row r="386" spans="5:5">
      <c r="E386" s="15"/>
    </row>
    <row r="387" spans="5:5">
      <c r="E387" s="15"/>
    </row>
    <row r="388" spans="5:5">
      <c r="E388" s="15"/>
    </row>
    <row r="389" spans="5:5">
      <c r="E389" s="15"/>
    </row>
    <row r="390" spans="5:5">
      <c r="E390" s="15"/>
    </row>
    <row r="391" spans="5:5">
      <c r="E391" s="15"/>
    </row>
    <row r="392" spans="5:5">
      <c r="E392" s="15"/>
    </row>
    <row r="393" spans="5:5">
      <c r="E393" s="15"/>
    </row>
    <row r="394" spans="5:5">
      <c r="E394" s="15"/>
    </row>
    <row r="395" spans="5:5">
      <c r="E395" s="15"/>
    </row>
    <row r="396" spans="5:5">
      <c r="E396" s="15"/>
    </row>
    <row r="397" spans="5:5">
      <c r="E397" s="15"/>
    </row>
    <row r="398" spans="5:5">
      <c r="E398" s="15"/>
    </row>
    <row r="399" spans="5:5">
      <c r="E399" s="15"/>
    </row>
    <row r="400" spans="5:5">
      <c r="E400" s="15"/>
    </row>
    <row r="401" spans="5:5">
      <c r="E401" s="15"/>
    </row>
    <row r="402" spans="5:5">
      <c r="E402" s="15"/>
    </row>
    <row r="403" spans="5:5">
      <c r="E403" s="15"/>
    </row>
    <row r="404" spans="5:5">
      <c r="E404" s="15"/>
    </row>
    <row r="405" spans="5:5">
      <c r="E405" s="15"/>
    </row>
    <row r="406" spans="5:5">
      <c r="E406" s="15"/>
    </row>
    <row r="407" spans="5:5">
      <c r="E407" s="15"/>
    </row>
    <row r="408" spans="5:5">
      <c r="E408" s="15"/>
    </row>
    <row r="409" spans="5:5">
      <c r="E409" s="15"/>
    </row>
    <row r="410" spans="5:5">
      <c r="E410" s="15"/>
    </row>
    <row r="411" spans="5:5">
      <c r="E411" s="15"/>
    </row>
    <row r="412" spans="5:5">
      <c r="E412" s="15"/>
    </row>
    <row r="413" spans="5:5">
      <c r="E413" s="15"/>
    </row>
    <row r="414" spans="5:5">
      <c r="E414" s="15"/>
    </row>
    <row r="415" spans="5:5">
      <c r="E415" s="15"/>
    </row>
    <row r="416" spans="5:5">
      <c r="E416" s="15"/>
    </row>
    <row r="417" spans="5:5">
      <c r="E417" s="15"/>
    </row>
    <row r="418" spans="5:5">
      <c r="E418" s="15"/>
    </row>
    <row r="419" spans="5:5">
      <c r="E419" s="15"/>
    </row>
    <row r="420" spans="5:5">
      <c r="E420" s="15"/>
    </row>
    <row r="421" spans="5:5">
      <c r="E421" s="15"/>
    </row>
    <row r="422" spans="5:5">
      <c r="E422" s="15"/>
    </row>
    <row r="423" spans="5:5">
      <c r="E423" s="15"/>
    </row>
    <row r="424" spans="5:5">
      <c r="E424" s="15"/>
    </row>
    <row r="425" spans="5:5">
      <c r="E425" s="15"/>
    </row>
    <row r="426" spans="5:5">
      <c r="E426" s="15"/>
    </row>
    <row r="427" spans="5:5">
      <c r="E427" s="15"/>
    </row>
    <row r="428" spans="5:5">
      <c r="E428" s="15"/>
    </row>
    <row r="429" spans="5:5">
      <c r="E429" s="15"/>
    </row>
    <row r="430" spans="5:5">
      <c r="E430" s="15"/>
    </row>
    <row r="431" spans="5:5">
      <c r="E431" s="15"/>
    </row>
    <row r="432" spans="5:5">
      <c r="E432" s="15"/>
    </row>
    <row r="433" spans="5:5">
      <c r="E433" s="15"/>
    </row>
    <row r="434" spans="5:5">
      <c r="E434" s="15"/>
    </row>
    <row r="435" spans="5:5">
      <c r="E435" s="15"/>
    </row>
    <row r="436" spans="5:5">
      <c r="E436" s="15"/>
    </row>
    <row r="437" spans="5:5">
      <c r="E437" s="15"/>
    </row>
    <row r="438" spans="5:5">
      <c r="E438" s="15"/>
    </row>
    <row r="439" spans="5:5">
      <c r="E439" s="15"/>
    </row>
    <row r="440" spans="5:5">
      <c r="E440" s="15"/>
    </row>
    <row r="441" spans="5:5">
      <c r="E441" s="15"/>
    </row>
    <row r="442" spans="5:5">
      <c r="E442" s="15"/>
    </row>
    <row r="443" spans="5:5">
      <c r="E443" s="15"/>
    </row>
    <row r="444" spans="5:5">
      <c r="E444" s="15"/>
    </row>
    <row r="445" spans="5:5">
      <c r="E445" s="15"/>
    </row>
    <row r="446" spans="5:5">
      <c r="E446" s="15"/>
    </row>
    <row r="447" spans="5:5">
      <c r="E447" s="15"/>
    </row>
    <row r="448" spans="5:5">
      <c r="E448" s="15"/>
    </row>
    <row r="449" spans="5:5">
      <c r="E449" s="15"/>
    </row>
    <row r="450" spans="5:5">
      <c r="E450" s="15"/>
    </row>
    <row r="451" spans="5:5">
      <c r="E451" s="15"/>
    </row>
    <row r="452" spans="5:5">
      <c r="E452" s="15"/>
    </row>
    <row r="453" spans="5:5">
      <c r="E453" s="15"/>
    </row>
    <row r="454" spans="5:5">
      <c r="E454" s="15"/>
    </row>
    <row r="455" spans="5:5">
      <c r="E455" s="15"/>
    </row>
    <row r="456" spans="5:5">
      <c r="E456" s="15"/>
    </row>
    <row r="457" spans="5:5">
      <c r="E457" s="15"/>
    </row>
    <row r="458" spans="5:5">
      <c r="E458" s="15"/>
    </row>
    <row r="459" spans="5:5">
      <c r="E459" s="15"/>
    </row>
    <row r="460" spans="5:5">
      <c r="E460" s="15"/>
    </row>
    <row r="461" spans="5:5">
      <c r="E461" s="15"/>
    </row>
    <row r="462" spans="5:5">
      <c r="E462" s="15"/>
    </row>
    <row r="463" spans="5:5">
      <c r="E463" s="15"/>
    </row>
    <row r="464" spans="5:5">
      <c r="E464" s="15"/>
    </row>
    <row r="465" spans="5:5">
      <c r="E465" s="15"/>
    </row>
    <row r="466" spans="5:5">
      <c r="E466" s="15"/>
    </row>
    <row r="467" spans="5:5">
      <c r="E467" s="15"/>
    </row>
    <row r="468" spans="5:5">
      <c r="E468" s="15"/>
    </row>
    <row r="469" spans="5:5">
      <c r="E469" s="15"/>
    </row>
    <row r="470" spans="5:5">
      <c r="E470" s="15"/>
    </row>
    <row r="471" spans="5:5">
      <c r="E471" s="15"/>
    </row>
    <row r="472" spans="5:5">
      <c r="E472" s="15"/>
    </row>
    <row r="473" spans="5:5">
      <c r="E473" s="15"/>
    </row>
    <row r="474" spans="5:5">
      <c r="E474" s="15"/>
    </row>
    <row r="475" spans="5:5">
      <c r="E475" s="15"/>
    </row>
    <row r="476" spans="5:5">
      <c r="E476" s="15"/>
    </row>
    <row r="477" spans="5:5">
      <c r="E477" s="15"/>
    </row>
    <row r="478" spans="5:5">
      <c r="E478" s="15"/>
    </row>
    <row r="479" spans="5:5">
      <c r="E479" s="15"/>
    </row>
    <row r="480" spans="5:5">
      <c r="E480" s="15"/>
    </row>
    <row r="481" spans="5:5">
      <c r="E481" s="15"/>
    </row>
    <row r="482" spans="5:5">
      <c r="E482" s="15"/>
    </row>
    <row r="483" spans="5:5">
      <c r="E483" s="15"/>
    </row>
    <row r="484" spans="5:5">
      <c r="E484" s="15"/>
    </row>
    <row r="485" spans="5:5">
      <c r="E485" s="15"/>
    </row>
    <row r="486" spans="5:5">
      <c r="E486" s="15"/>
    </row>
    <row r="487" spans="5:5">
      <c r="E487" s="15"/>
    </row>
    <row r="488" spans="5:5">
      <c r="E488" s="15"/>
    </row>
    <row r="489" spans="5:5">
      <c r="E489" s="15"/>
    </row>
    <row r="490" spans="5:5">
      <c r="E490" s="15"/>
    </row>
    <row r="491" spans="5:5">
      <c r="E491" s="15"/>
    </row>
    <row r="492" spans="5:5">
      <c r="E492" s="15"/>
    </row>
    <row r="493" spans="5:5">
      <c r="E493" s="15"/>
    </row>
    <row r="494" spans="5:5">
      <c r="E494" s="15"/>
    </row>
    <row r="495" spans="5:5">
      <c r="E495" s="15"/>
    </row>
    <row r="496" spans="5:5">
      <c r="E496" s="15"/>
    </row>
    <row r="497" spans="5:24">
      <c r="E497" s="15"/>
    </row>
    <row r="498" spans="5:24">
      <c r="E498" s="15"/>
    </row>
    <row r="499" spans="5:24">
      <c r="E499" s="15"/>
    </row>
    <row r="500" spans="5:24">
      <c r="E500" s="15"/>
    </row>
    <row r="501" spans="5:24">
      <c r="E501" s="15"/>
    </row>
    <row r="502" spans="5:24">
      <c r="E502" s="15"/>
    </row>
    <row r="503" spans="5:24">
      <c r="E503" s="15"/>
    </row>
    <row r="504" spans="5:24">
      <c r="E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 spans="5:24">
      <c r="E505" s="15"/>
    </row>
    <row r="506" spans="5:24">
      <c r="E506" s="15"/>
    </row>
    <row r="507" spans="5:24">
      <c r="E507" s="15"/>
    </row>
    <row r="508" spans="5:24">
      <c r="E508" s="15"/>
    </row>
    <row r="509" spans="5:24">
      <c r="E509" s="15"/>
    </row>
    <row r="510" spans="5:24">
      <c r="E510" s="15"/>
    </row>
    <row r="511" spans="5:24">
      <c r="E511" s="15"/>
    </row>
    <row r="512" spans="5:24">
      <c r="E512" s="15"/>
    </row>
    <row r="513" spans="5:5">
      <c r="E513" s="15"/>
    </row>
    <row r="514" spans="5:5">
      <c r="E514" s="15"/>
    </row>
    <row r="515" spans="5:5">
      <c r="E515" s="15"/>
    </row>
    <row r="516" spans="5:5">
      <c r="E516" s="15"/>
    </row>
    <row r="517" spans="5:5">
      <c r="E517" s="15"/>
    </row>
    <row r="518" spans="5:5">
      <c r="E518" s="15"/>
    </row>
    <row r="519" spans="5:5">
      <c r="E519" s="15"/>
    </row>
    <row r="520" spans="5:5">
      <c r="E520" s="15"/>
    </row>
    <row r="521" spans="5:5">
      <c r="E521" s="15"/>
    </row>
    <row r="522" spans="5:5">
      <c r="E522" s="15"/>
    </row>
    <row r="523" spans="5:5">
      <c r="E523" s="15"/>
    </row>
    <row r="524" spans="5:5">
      <c r="E524" s="15"/>
    </row>
    <row r="525" spans="5:5">
      <c r="E525" s="15"/>
    </row>
    <row r="526" spans="5:5">
      <c r="E526" s="15"/>
    </row>
    <row r="527" spans="5:5">
      <c r="E527" s="15"/>
    </row>
    <row r="528" spans="5:5">
      <c r="E528" s="15"/>
    </row>
    <row r="529" spans="5:5">
      <c r="E529" s="15"/>
    </row>
    <row r="530" spans="5:5">
      <c r="E530" s="15"/>
    </row>
    <row r="531" spans="5:5">
      <c r="E531" s="15"/>
    </row>
    <row r="532" spans="5:5">
      <c r="E532" s="15"/>
    </row>
    <row r="533" spans="5:5">
      <c r="E533" s="15"/>
    </row>
    <row r="534" spans="5:5">
      <c r="E534" s="15"/>
    </row>
    <row r="535" spans="5:5">
      <c r="E535" s="15"/>
    </row>
    <row r="536" spans="5:5">
      <c r="E536" s="15"/>
    </row>
    <row r="537" spans="5:5">
      <c r="E537" s="15"/>
    </row>
    <row r="538" spans="5:5">
      <c r="E538" s="15"/>
    </row>
    <row r="539" spans="5:5">
      <c r="E539" s="15"/>
    </row>
    <row r="540" spans="5:5">
      <c r="E540" s="15"/>
    </row>
    <row r="541" spans="5:5">
      <c r="E541" s="15"/>
    </row>
    <row r="542" spans="5:5">
      <c r="E542" s="15"/>
    </row>
    <row r="543" spans="5:5">
      <c r="E543" s="15"/>
    </row>
    <row r="544" spans="5:5">
      <c r="E544" s="15"/>
    </row>
    <row r="545" spans="5:5">
      <c r="E545" s="15"/>
    </row>
    <row r="546" spans="5:5">
      <c r="E546" s="15"/>
    </row>
    <row r="547" spans="5:5">
      <c r="E547" s="15"/>
    </row>
    <row r="548" spans="5:5">
      <c r="E548" s="15"/>
    </row>
    <row r="549" spans="5:5">
      <c r="E549" s="15"/>
    </row>
    <row r="550" spans="5:5">
      <c r="E550" s="15"/>
    </row>
    <row r="551" spans="5:5">
      <c r="E551" s="15"/>
    </row>
  </sheetData>
  <autoFilter ref="A5:AN181" xr:uid="{11C7FFC3-A38B-42F0-9666-DC8A6DF091D6}"/>
  <sortState xmlns:xlrd2="http://schemas.microsoft.com/office/spreadsheetml/2017/richdata2" ref="A6:AV92">
    <sortCondition ref="AI6:AI92"/>
  </sortState>
  <phoneticPr fontId="4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2D6C-9E76-4ADE-81CB-7E61A41E60F0}">
  <sheetPr codeName="Sheet7"/>
  <dimension ref="A1:M135"/>
  <sheetViews>
    <sheetView workbookViewId="0">
      <pane ySplit="1" topLeftCell="A71" activePane="bottomLeft" state="frozen"/>
      <selection pane="bottomLeft" activeCell="D88" sqref="D88"/>
    </sheetView>
  </sheetViews>
  <sheetFormatPr defaultColWidth="9" defaultRowHeight="15"/>
  <cols>
    <col min="1" max="1" width="19.37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5.125" style="13" bestFit="1" customWidth="1"/>
    <col min="6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831</v>
      </c>
      <c r="B1" s="107" t="s">
        <v>769</v>
      </c>
      <c r="D1" s="109" t="s">
        <v>1155</v>
      </c>
      <c r="E1" s="109" t="s">
        <v>1155</v>
      </c>
      <c r="F1" s="109" t="s">
        <v>1155</v>
      </c>
      <c r="G1" s="109" t="s">
        <v>1</v>
      </c>
      <c r="K1" s="111" t="s">
        <v>1156</v>
      </c>
      <c r="L1" s="111" t="s">
        <v>1156</v>
      </c>
      <c r="M1" s="111" t="s">
        <v>1156</v>
      </c>
    </row>
    <row r="2" spans="1:13">
      <c r="A2" s="13" t="str">
        <f>"0x00000"&amp;CANRx_G5M!$B6</f>
        <v>0x00000049</v>
      </c>
      <c r="B2" s="13">
        <f>IF(CANRx_G5M!AF6&lt;&gt;"",CANRx_G5M!AF6,B1)</f>
        <v>0</v>
      </c>
      <c r="D2" s="13" t="s">
        <v>1157</v>
      </c>
      <c r="E2" s="13">
        <v>4</v>
      </c>
      <c r="F2" s="13" t="s">
        <v>1158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0x000001D8</v>
      </c>
      <c r="K2" s="13" t="str">
        <f t="shared" ref="K2:K33" si="0">"{(U2)"&amp;VLOOKUP(F2,$A$2:$B$88,2,FALSE)&amp;"U,"</f>
        <v>{(U2)11U,</v>
      </c>
      <c r="L2" s="13" t="str">
        <f t="shared" ref="L2:L33" si="1">"(U2)"&amp;(VLOOKUP(I2,$A$2:$B$88,2,FALSE)-VLOOKUP(F2,$A$2:$B$88,2,FALSE)+1)&amp;"U},"</f>
        <v>(U2)1U},</v>
      </c>
      <c r="M2" s="13" t="str">
        <f>"/* MBOX = "&amp;E2&amp;" / "&amp;LOWER(F2)&amp;" : Rx Mask = "&amp;G2&amp;" */"</f>
        <v>/* MBOX = 4 / 0x000001d8 : Rx Mask = NOUSE */</v>
      </c>
    </row>
    <row r="3" spans="1:13">
      <c r="A3" s="13" t="str">
        <f>"0x00000"&amp;CANRx_G5M!$B7</f>
        <v>0x00000072</v>
      </c>
      <c r="B3" s="13">
        <f>IF(CANRx_G5M!AF7&lt;&gt;"",CANRx_G5M!AF7,B2)</f>
        <v>0</v>
      </c>
      <c r="D3" s="13" t="s">
        <v>1159</v>
      </c>
      <c r="E3" s="13">
        <v>5</v>
      </c>
      <c r="F3" s="13" t="s">
        <v>1160</v>
      </c>
      <c r="G3" s="13" t="s">
        <v>46</v>
      </c>
      <c r="H3" s="13" t="str">
        <f t="shared" ref="H3:H66" si="2">IF(G3&lt;&gt;"NOUSE",HEX2DEC(RIGHT(F3,3))+HEX2DEC(RIGHT(G3,3)),"")</f>
        <v/>
      </c>
      <c r="I3" s="13" t="str">
        <f t="shared" ref="I3:I66" si="3">IF(H3&lt;&gt;"","0x"&amp;DEC2HEX(H3,8),F3)</f>
        <v>0x000001D6</v>
      </c>
      <c r="K3" s="13" t="str">
        <f t="shared" si="0"/>
        <v>{(U2)11U,</v>
      </c>
      <c r="L3" s="13" t="str">
        <f t="shared" si="1"/>
        <v>(U2)1U},</v>
      </c>
      <c r="M3" s="13" t="str">
        <f t="shared" ref="M3:M66" si="4">"/* MBOX = "&amp;E3&amp;" / "&amp;LOWER(F3)&amp;" : Rx Mask = "&amp;G3&amp;" */"</f>
        <v>/* MBOX = 5 / 0x000001d6 : Rx Mask = NOUSE */</v>
      </c>
    </row>
    <row r="4" spans="1:13">
      <c r="A4" s="13" t="str">
        <f>"0x00000"&amp;CANRx_G5M!$B8</f>
        <v>0x00000075</v>
      </c>
      <c r="B4" s="13">
        <f>IF(CANRx_G5M!AF8&lt;&gt;"",CANRx_G5M!AF8,B3)</f>
        <v>0</v>
      </c>
      <c r="D4" s="13" t="s">
        <v>1161</v>
      </c>
      <c r="E4" s="13">
        <v>6</v>
      </c>
      <c r="F4" s="13" t="s">
        <v>1162</v>
      </c>
      <c r="G4" s="13" t="s">
        <v>46</v>
      </c>
      <c r="H4" s="13" t="str">
        <f t="shared" si="2"/>
        <v/>
      </c>
      <c r="I4" s="13" t="str">
        <f t="shared" si="3"/>
        <v>0x00000594</v>
      </c>
      <c r="K4" s="13" t="str">
        <f t="shared" si="0"/>
        <v>{(U2)34U,</v>
      </c>
      <c r="L4" s="13" t="str">
        <f t="shared" si="1"/>
        <v>(U2)1U},</v>
      </c>
      <c r="M4" s="13" t="str">
        <f t="shared" si="4"/>
        <v>/* MBOX = 6 / 0x00000594 : Rx Mask = NOUSE */</v>
      </c>
    </row>
    <row r="5" spans="1:13">
      <c r="A5" s="13" t="str">
        <f>"0x00000"&amp;CANRx_G5M!$B9</f>
        <v>0x0000007E</v>
      </c>
      <c r="B5" s="13">
        <f>IF(CANRx_G5M!AF9&lt;&gt;"",CANRx_G5M!AF9,B4)</f>
        <v>1</v>
      </c>
      <c r="D5" s="13" t="s">
        <v>1163</v>
      </c>
      <c r="E5" s="13">
        <v>7</v>
      </c>
      <c r="F5" s="13" t="s">
        <v>1164</v>
      </c>
      <c r="G5" s="13" t="s">
        <v>46</v>
      </c>
      <c r="H5" s="13" t="str">
        <f t="shared" si="2"/>
        <v/>
      </c>
      <c r="I5" s="13" t="str">
        <f t="shared" si="3"/>
        <v>0x000001F1</v>
      </c>
      <c r="K5" s="13" t="str">
        <f t="shared" si="0"/>
        <v>{(U2)13U,</v>
      </c>
      <c r="L5" s="13" t="str">
        <f t="shared" si="1"/>
        <v>(U2)1U},</v>
      </c>
      <c r="M5" s="13" t="str">
        <f t="shared" si="4"/>
        <v>/* MBOX = 7 / 0x000001f1 : Rx Mask = NOUSE */</v>
      </c>
    </row>
    <row r="6" spans="1:13">
      <c r="A6" s="13" t="str">
        <f>"0x00000"&amp;CANRx_G5M!$B10</f>
        <v>0x000000A0</v>
      </c>
      <c r="B6" s="13">
        <f>IF(CANRx_G5M!AF10&lt;&gt;"",CANRx_G5M!AF10,B5)</f>
        <v>2</v>
      </c>
      <c r="D6" s="13" t="s">
        <v>1165</v>
      </c>
      <c r="E6" s="13">
        <v>8</v>
      </c>
      <c r="F6" s="13" t="s">
        <v>1166</v>
      </c>
      <c r="G6" s="13" t="s">
        <v>46</v>
      </c>
      <c r="H6" s="13" t="str">
        <f t="shared" si="2"/>
        <v/>
      </c>
      <c r="I6" s="13" t="str">
        <f t="shared" si="3"/>
        <v>0x00000143</v>
      </c>
      <c r="K6" s="13" t="str">
        <f t="shared" si="0"/>
        <v>{(U2)7U,</v>
      </c>
      <c r="L6" s="13" t="str">
        <f t="shared" si="1"/>
        <v>(U2)1U},</v>
      </c>
      <c r="M6" s="13" t="str">
        <f t="shared" si="4"/>
        <v>/* MBOX = 8 / 0x00000143 : Rx Mask = NOUSE */</v>
      </c>
    </row>
    <row r="7" spans="1:13">
      <c r="A7" s="13" t="str">
        <f>"0x00000"&amp;CANRx_G5M!$B11</f>
        <v>0x000000A1</v>
      </c>
      <c r="B7" s="13">
        <f>IF(CANRx_G5M!AF11&lt;&gt;"",CANRx_G5M!AF11,B6)</f>
        <v>2</v>
      </c>
      <c r="D7" s="13" t="s">
        <v>1167</v>
      </c>
      <c r="E7" s="13">
        <v>9</v>
      </c>
      <c r="F7" s="13" t="s">
        <v>1168</v>
      </c>
      <c r="G7" s="13" t="s">
        <v>46</v>
      </c>
      <c r="H7" s="13" t="str">
        <f t="shared" si="2"/>
        <v/>
      </c>
      <c r="I7" s="13" t="str">
        <f t="shared" si="3"/>
        <v>0x00000203</v>
      </c>
      <c r="K7" s="13" t="str">
        <f t="shared" si="0"/>
        <v>{(U2)13U,</v>
      </c>
      <c r="L7" s="13" t="str">
        <f t="shared" si="1"/>
        <v>(U2)1U},</v>
      </c>
      <c r="M7" s="13" t="str">
        <f t="shared" si="4"/>
        <v>/* MBOX = 9 / 0x00000203 : Rx Mask = NOUSE */</v>
      </c>
    </row>
    <row r="8" spans="1:13">
      <c r="A8" s="13" t="str">
        <f>"0x00000"&amp;CANRx_G5M!$B12</f>
        <v>0x000000A3</v>
      </c>
      <c r="B8" s="13">
        <f>IF(CANRx_G5M!AF12&lt;&gt;"",CANRx_G5M!AF12,B7)</f>
        <v>3</v>
      </c>
      <c r="D8" s="13" t="s">
        <v>1169</v>
      </c>
      <c r="E8" s="13">
        <v>10</v>
      </c>
      <c r="F8" s="13" t="s">
        <v>1170</v>
      </c>
      <c r="G8" s="13" t="s">
        <v>46</v>
      </c>
      <c r="H8" s="13" t="str">
        <f t="shared" si="2"/>
        <v/>
      </c>
      <c r="I8" s="13" t="str">
        <f t="shared" si="3"/>
        <v>0x00000208</v>
      </c>
      <c r="K8" s="13" t="str">
        <f t="shared" si="0"/>
        <v>{(U2)13U,</v>
      </c>
      <c r="L8" s="13" t="str">
        <f t="shared" si="1"/>
        <v>(U2)1U},</v>
      </c>
      <c r="M8" s="13" t="str">
        <f t="shared" si="4"/>
        <v>/* MBOX = 10 / 0x00000208 : Rx Mask = NOUSE */</v>
      </c>
    </row>
    <row r="9" spans="1:13">
      <c r="A9" s="13" t="str">
        <f>"0x00000"&amp;CANRx_G5M!$B13</f>
        <v>0x000000A5</v>
      </c>
      <c r="B9" s="13">
        <f>IF(CANRx_G5M!AF13&lt;&gt;"",CANRx_G5M!AF13,B8)</f>
        <v>3</v>
      </c>
      <c r="D9" s="13" t="s">
        <v>1171</v>
      </c>
      <c r="E9" s="13">
        <v>11</v>
      </c>
      <c r="F9" s="13" t="s">
        <v>1172</v>
      </c>
      <c r="G9" s="13" t="s">
        <v>46</v>
      </c>
      <c r="H9" s="13" t="str">
        <f t="shared" si="2"/>
        <v/>
      </c>
      <c r="I9" s="13" t="str">
        <f t="shared" si="3"/>
        <v>0x00000209</v>
      </c>
      <c r="K9" s="13" t="str">
        <f t="shared" si="0"/>
        <v>{(U2)13U,</v>
      </c>
      <c r="L9" s="13" t="str">
        <f t="shared" si="1"/>
        <v>(U2)1U},</v>
      </c>
      <c r="M9" s="13" t="str">
        <f t="shared" si="4"/>
        <v>/* MBOX = 11 / 0x00000209 : Rx Mask = NOUSE */</v>
      </c>
    </row>
    <row r="10" spans="1:13">
      <c r="A10" s="13" t="str">
        <f>"0x00000"&amp;CANRx_G5M!$B14</f>
        <v>0x000000A6</v>
      </c>
      <c r="B10" s="13">
        <f>IF(CANRx_G5M!AF14&lt;&gt;"",CANRx_G5M!AF14,B9)</f>
        <v>3</v>
      </c>
      <c r="D10" s="13" t="s">
        <v>1173</v>
      </c>
      <c r="E10" s="13">
        <v>12</v>
      </c>
      <c r="F10" s="13" t="s">
        <v>1174</v>
      </c>
      <c r="G10" s="13" t="s">
        <v>46</v>
      </c>
      <c r="H10" s="13" t="str">
        <f t="shared" si="2"/>
        <v/>
      </c>
      <c r="I10" s="13" t="str">
        <f t="shared" si="3"/>
        <v>0x00000180</v>
      </c>
      <c r="K10" s="13" t="str">
        <f t="shared" si="0"/>
        <v>{(U2)9U,</v>
      </c>
      <c r="L10" s="13" t="str">
        <f t="shared" si="1"/>
        <v>(U2)1U},</v>
      </c>
      <c r="M10" s="13" t="str">
        <f t="shared" si="4"/>
        <v>/* MBOX = 12 / 0x00000180 : Rx Mask = NOUSE */</v>
      </c>
    </row>
    <row r="11" spans="1:13">
      <c r="A11" s="13" t="str">
        <f>"0x00000"&amp;CANRx_G5M!$B15</f>
        <v>0x000000A8</v>
      </c>
      <c r="B11" s="13">
        <f>IF(CANRx_G5M!AF15&lt;&gt;"",CANRx_G5M!AF15,B10)</f>
        <v>4</v>
      </c>
      <c r="D11" s="13" t="s">
        <v>1175</v>
      </c>
      <c r="E11" s="13">
        <v>13</v>
      </c>
      <c r="F11" s="13" t="s">
        <v>1176</v>
      </c>
      <c r="G11" s="13" t="s">
        <v>46</v>
      </c>
      <c r="H11" s="13" t="str">
        <f t="shared" si="2"/>
        <v/>
      </c>
      <c r="I11" s="13" t="str">
        <f t="shared" si="3"/>
        <v>0x0000020A</v>
      </c>
      <c r="K11" s="13" t="str">
        <f t="shared" si="0"/>
        <v>{(U2)13U,</v>
      </c>
      <c r="L11" s="13" t="str">
        <f t="shared" si="1"/>
        <v>(U2)1U},</v>
      </c>
      <c r="M11" s="13" t="str">
        <f t="shared" si="4"/>
        <v>/* MBOX = 13 / 0x0000020a : Rx Mask = NOUSE */</v>
      </c>
    </row>
    <row r="12" spans="1:13">
      <c r="A12" s="13" t="str">
        <f>"0x00000"&amp;CANRx_G5M!$B16</f>
        <v>0x000000A9</v>
      </c>
      <c r="B12" s="13">
        <f>IF(CANRx_G5M!AF16&lt;&gt;"",CANRx_G5M!AF16,B11)</f>
        <v>4</v>
      </c>
      <c r="D12" s="13" t="s">
        <v>1177</v>
      </c>
      <c r="E12" s="13">
        <v>14</v>
      </c>
      <c r="F12" s="13" t="s">
        <v>1178</v>
      </c>
      <c r="G12" s="13" t="s">
        <v>46</v>
      </c>
      <c r="H12" s="13" t="str">
        <f t="shared" si="2"/>
        <v/>
      </c>
      <c r="I12" s="13" t="str">
        <f t="shared" si="3"/>
        <v>0x00000613</v>
      </c>
      <c r="K12" s="13" t="str">
        <f t="shared" si="0"/>
        <v>{(U2)36U,</v>
      </c>
      <c r="L12" s="13" t="str">
        <f t="shared" si="1"/>
        <v>(U2)1U},</v>
      </c>
      <c r="M12" s="13" t="str">
        <f t="shared" si="4"/>
        <v>/* MBOX = 14 / 0x00000613 : Rx Mask = NOUSE */</v>
      </c>
    </row>
    <row r="13" spans="1:13">
      <c r="A13" s="13" t="str">
        <f>"0x00000"&amp;CANRx_G5M!$B17</f>
        <v>0x0000010B</v>
      </c>
      <c r="B13" s="13">
        <f>IF(CANRx_G5M!AF17&lt;&gt;"",CANRx_G5M!AF17,B12)</f>
        <v>5</v>
      </c>
      <c r="D13" s="13" t="s">
        <v>1179</v>
      </c>
      <c r="E13" s="13">
        <v>15</v>
      </c>
      <c r="F13" s="13" t="s">
        <v>1180</v>
      </c>
      <c r="G13" s="13" t="s">
        <v>46</v>
      </c>
      <c r="H13" s="13" t="str">
        <f t="shared" si="2"/>
        <v/>
      </c>
      <c r="I13" s="13" t="str">
        <f t="shared" si="3"/>
        <v>0x000001C7</v>
      </c>
      <c r="K13" s="13" t="str">
        <f t="shared" si="0"/>
        <v>{(U2)10U,</v>
      </c>
      <c r="L13" s="13" t="str">
        <f t="shared" si="1"/>
        <v>(U2)1U},</v>
      </c>
      <c r="M13" s="13" t="str">
        <f t="shared" si="4"/>
        <v>/* MBOX = 15 / 0x000001c7 : Rx Mask = NOUSE */</v>
      </c>
    </row>
    <row r="14" spans="1:13">
      <c r="A14" s="13" t="str">
        <f>"0x00000"&amp;CANRx_G5M!$B18</f>
        <v>0x00000115</v>
      </c>
      <c r="B14" s="13">
        <f>IF(CANRx_G5M!AF18&lt;&gt;"",CANRx_G5M!AF18,B13)</f>
        <v>6</v>
      </c>
      <c r="D14" s="13" t="s">
        <v>1181</v>
      </c>
      <c r="E14" s="13">
        <v>16</v>
      </c>
      <c r="F14" s="13" t="s">
        <v>1182</v>
      </c>
      <c r="G14" s="13" t="s">
        <v>46</v>
      </c>
      <c r="H14" s="13" t="str">
        <f t="shared" si="2"/>
        <v/>
      </c>
      <c r="I14" s="13" t="str">
        <f t="shared" si="3"/>
        <v>0x00000144</v>
      </c>
      <c r="K14" s="13" t="str">
        <f t="shared" si="0"/>
        <v>{(U2)7U,</v>
      </c>
      <c r="L14" s="13" t="str">
        <f t="shared" si="1"/>
        <v>(U2)1U},</v>
      </c>
      <c r="M14" s="13" t="str">
        <f t="shared" si="4"/>
        <v>/* MBOX = 16 / 0x00000144 : Rx Mask = NOUSE */</v>
      </c>
    </row>
    <row r="15" spans="1:13">
      <c r="A15" s="13" t="str">
        <f>"0x00000"&amp;CANRx_G5M!$B19</f>
        <v>0x0000012B</v>
      </c>
      <c r="B15" s="13">
        <f>IF(CANRx_G5M!AF19&lt;&gt;"",CANRx_G5M!AF19,B14)</f>
        <v>6</v>
      </c>
      <c r="D15" s="13" t="s">
        <v>1183</v>
      </c>
      <c r="E15" s="13">
        <v>17</v>
      </c>
      <c r="F15" s="13" t="s">
        <v>1184</v>
      </c>
      <c r="G15" s="13" t="s">
        <v>46</v>
      </c>
      <c r="H15" s="13" t="str">
        <f t="shared" si="2"/>
        <v/>
      </c>
      <c r="I15" s="13" t="str">
        <f t="shared" si="3"/>
        <v>0x00000247</v>
      </c>
      <c r="K15" s="13" t="str">
        <f t="shared" si="0"/>
        <v>{(U2)16U,</v>
      </c>
      <c r="L15" s="13" t="str">
        <f t="shared" si="1"/>
        <v>(U2)1U},</v>
      </c>
      <c r="M15" s="13" t="str">
        <f t="shared" si="4"/>
        <v>/* MBOX = 17 / 0x00000247 : Rx Mask = NOUSE */</v>
      </c>
    </row>
    <row r="16" spans="1:13">
      <c r="A16" s="13" t="str">
        <f>"0x00000"&amp;CANRx_G5M!$B20</f>
        <v>0x00000143</v>
      </c>
      <c r="B16" s="13">
        <f>IF(CANRx_G5M!AF20&lt;&gt;"",CANRx_G5M!AF20,B15)</f>
        <v>7</v>
      </c>
      <c r="D16" s="13" t="s">
        <v>1185</v>
      </c>
      <c r="E16" s="13">
        <v>18</v>
      </c>
      <c r="F16" s="13" t="s">
        <v>1186</v>
      </c>
      <c r="G16" s="13" t="s">
        <v>46</v>
      </c>
      <c r="H16" s="13" t="str">
        <f t="shared" si="2"/>
        <v/>
      </c>
      <c r="I16" s="13" t="str">
        <f t="shared" si="3"/>
        <v>0x000001F5</v>
      </c>
      <c r="K16" s="13" t="str">
        <f t="shared" si="0"/>
        <v>{(U2)13U,</v>
      </c>
      <c r="L16" s="13" t="str">
        <f t="shared" si="1"/>
        <v>(U2)1U},</v>
      </c>
      <c r="M16" s="13" t="str">
        <f t="shared" si="4"/>
        <v>/* MBOX = 18 / 0x000001f5 : Rx Mask = NOUSE */</v>
      </c>
    </row>
    <row r="17" spans="1:13">
      <c r="A17" s="13" t="str">
        <f>"0x00000"&amp;CANRx_G5M!$B21</f>
        <v>0x00000144</v>
      </c>
      <c r="B17" s="13">
        <f>IF(CANRx_G5M!AF21&lt;&gt;"",CANRx_G5M!AF21,B16)</f>
        <v>7</v>
      </c>
      <c r="D17" s="13" t="s">
        <v>1187</v>
      </c>
      <c r="E17" s="13">
        <v>19</v>
      </c>
      <c r="F17" s="13" t="s">
        <v>1188</v>
      </c>
      <c r="G17" s="13" t="s">
        <v>46</v>
      </c>
      <c r="H17" s="13" t="str">
        <f t="shared" si="2"/>
        <v/>
      </c>
      <c r="I17" s="13" t="str">
        <f t="shared" si="3"/>
        <v>0x000001F0</v>
      </c>
      <c r="K17" s="13" t="str">
        <f t="shared" si="0"/>
        <v>{(U2)13U,</v>
      </c>
      <c r="L17" s="13" t="str">
        <f t="shared" si="1"/>
        <v>(U2)1U},</v>
      </c>
      <c r="M17" s="13" t="str">
        <f t="shared" si="4"/>
        <v>/* MBOX = 19 / 0x000001f0 : Rx Mask = NOUSE */</v>
      </c>
    </row>
    <row r="18" spans="1:13">
      <c r="A18" s="13" t="str">
        <f>"0x00000"&amp;CANRx_G5M!$B22</f>
        <v>0x00000159</v>
      </c>
      <c r="B18" s="13">
        <f>IF(CANRx_G5M!AF22&lt;&gt;"",CANRx_G5M!AF22,B17)</f>
        <v>8</v>
      </c>
      <c r="D18" s="13" t="s">
        <v>1189</v>
      </c>
      <c r="E18" s="13">
        <v>20</v>
      </c>
      <c r="F18" s="13" t="s">
        <v>1190</v>
      </c>
      <c r="G18" s="13" t="s">
        <v>46</v>
      </c>
      <c r="H18" s="13" t="str">
        <f t="shared" si="2"/>
        <v/>
      </c>
      <c r="I18" s="13" t="str">
        <f t="shared" si="3"/>
        <v>0x0000022E</v>
      </c>
      <c r="K18" s="13" t="str">
        <f t="shared" si="0"/>
        <v>{(U2)15U,</v>
      </c>
      <c r="L18" s="13" t="str">
        <f t="shared" si="1"/>
        <v>(U2)1U},</v>
      </c>
      <c r="M18" s="13" t="str">
        <f t="shared" si="4"/>
        <v>/* MBOX = 20 / 0x0000022e : Rx Mask = NOUSE */</v>
      </c>
    </row>
    <row r="19" spans="1:13">
      <c r="A19" s="13" t="str">
        <f>"0x00000"&amp;CANRx_G5M!$B23</f>
        <v>0x00000180</v>
      </c>
      <c r="B19" s="13">
        <f>IF(CANRx_G5M!AF23&lt;&gt;"",CANRx_G5M!AF23,B18)</f>
        <v>9</v>
      </c>
      <c r="D19" s="13" t="s">
        <v>1191</v>
      </c>
      <c r="E19" s="13">
        <v>21</v>
      </c>
      <c r="F19" s="13" t="s">
        <v>1192</v>
      </c>
      <c r="G19" s="13" t="s">
        <v>46</v>
      </c>
      <c r="H19" s="13" t="str">
        <f t="shared" si="2"/>
        <v/>
      </c>
      <c r="I19" s="13" t="str">
        <f t="shared" si="3"/>
        <v>0x00000072</v>
      </c>
      <c r="K19" s="13" t="str">
        <f t="shared" si="0"/>
        <v>{(U2)0U,</v>
      </c>
      <c r="L19" s="13" t="str">
        <f t="shared" si="1"/>
        <v>(U2)1U},</v>
      </c>
      <c r="M19" s="13" t="str">
        <f t="shared" si="4"/>
        <v>/* MBOX = 21 / 0x00000072 : Rx Mask = NOUSE */</v>
      </c>
    </row>
    <row r="20" spans="1:13">
      <c r="A20" s="13" t="str">
        <f>"0x00000"&amp;CANRx_G5M!$B24</f>
        <v>0x000001C7</v>
      </c>
      <c r="B20" s="13">
        <f>IF(CANRx_G5M!AF24&lt;&gt;"",CANRx_G5M!AF24,B19)</f>
        <v>10</v>
      </c>
      <c r="D20" s="13" t="s">
        <v>1193</v>
      </c>
      <c r="E20" s="13">
        <v>22</v>
      </c>
      <c r="F20" s="13" t="s">
        <v>1194</v>
      </c>
      <c r="G20" s="13" t="s">
        <v>46</v>
      </c>
      <c r="H20" s="13" t="str">
        <f t="shared" si="2"/>
        <v/>
      </c>
      <c r="I20" s="13" t="str">
        <f t="shared" si="3"/>
        <v>0x000001EF</v>
      </c>
      <c r="K20" s="13" t="str">
        <f t="shared" si="0"/>
        <v>{(U2)12U,</v>
      </c>
      <c r="L20" s="13" t="str">
        <f t="shared" si="1"/>
        <v>(U2)1U},</v>
      </c>
      <c r="M20" s="13" t="str">
        <f t="shared" si="4"/>
        <v>/* MBOX = 22 / 0x000001ef : Rx Mask = NOUSE */</v>
      </c>
    </row>
    <row r="21" spans="1:13">
      <c r="A21" s="13" t="str">
        <f>"0x00000"&amp;CANRx_G5M!$B25</f>
        <v>0x000001D6</v>
      </c>
      <c r="B21" s="13">
        <f>IF(CANRx_G5M!AF25&lt;&gt;"",CANRx_G5M!AF25,B20)</f>
        <v>11</v>
      </c>
      <c r="D21" s="13" t="s">
        <v>1195</v>
      </c>
      <c r="E21" s="13">
        <v>23</v>
      </c>
      <c r="F21" s="13" t="s">
        <v>1196</v>
      </c>
      <c r="G21" s="13" t="s">
        <v>46</v>
      </c>
      <c r="H21" s="13" t="str">
        <f t="shared" si="2"/>
        <v/>
      </c>
      <c r="I21" s="13" t="str">
        <f t="shared" si="3"/>
        <v>0x00000279</v>
      </c>
      <c r="K21" s="13" t="str">
        <f t="shared" si="0"/>
        <v>{(U2)18U,</v>
      </c>
      <c r="L21" s="13" t="str">
        <f t="shared" si="1"/>
        <v>(U2)1U},</v>
      </c>
      <c r="M21" s="13" t="str">
        <f t="shared" si="4"/>
        <v>/* MBOX = 23 / 0x00000279 : Rx Mask = NOUSE */</v>
      </c>
    </row>
    <row r="22" spans="1:13">
      <c r="A22" s="13" t="str">
        <f>"0x00000"&amp;CANRx_G5M!$B26</f>
        <v>0x000001D8</v>
      </c>
      <c r="B22" s="13">
        <f>IF(CANRx_G5M!AF26&lt;&gt;"",CANRx_G5M!AF26,B21)</f>
        <v>11</v>
      </c>
      <c r="D22" s="13" t="s">
        <v>1197</v>
      </c>
      <c r="E22" s="13">
        <v>24</v>
      </c>
      <c r="F22" s="13" t="s">
        <v>1198</v>
      </c>
      <c r="G22" s="13" t="s">
        <v>46</v>
      </c>
      <c r="H22" s="13" t="str">
        <f t="shared" si="2"/>
        <v/>
      </c>
      <c r="I22" s="13" t="str">
        <f t="shared" si="3"/>
        <v>0x000003F3</v>
      </c>
      <c r="K22" s="13" t="str">
        <f t="shared" si="0"/>
        <v>{(U2)25U,</v>
      </c>
      <c r="L22" s="13" t="str">
        <f t="shared" si="1"/>
        <v>(U2)1U},</v>
      </c>
      <c r="M22" s="13" t="str">
        <f t="shared" si="4"/>
        <v>/* MBOX = 24 / 0x000003f3 : Rx Mask = NOUSE */</v>
      </c>
    </row>
    <row r="23" spans="1:13">
      <c r="A23" s="13" t="str">
        <f>"0x00000"&amp;CANRx_G5M!$B27</f>
        <v>0x000001DB</v>
      </c>
      <c r="B23" s="13">
        <f>IF(CANRx_G5M!AF27&lt;&gt;"",CANRx_G5M!AF27,B22)</f>
        <v>11</v>
      </c>
      <c r="D23" s="13" t="s">
        <v>1199</v>
      </c>
      <c r="E23" s="13">
        <v>25</v>
      </c>
      <c r="F23" s="13" t="s">
        <v>1200</v>
      </c>
      <c r="G23" s="13" t="s">
        <v>46</v>
      </c>
      <c r="H23" s="13" t="str">
        <f t="shared" si="2"/>
        <v/>
      </c>
      <c r="I23" s="13" t="str">
        <f t="shared" si="3"/>
        <v>0x000000A9</v>
      </c>
      <c r="K23" s="13" t="str">
        <f t="shared" si="0"/>
        <v>{(U2)4U,</v>
      </c>
      <c r="L23" s="13" t="str">
        <f t="shared" si="1"/>
        <v>(U2)1U},</v>
      </c>
      <c r="M23" s="13" t="str">
        <f t="shared" si="4"/>
        <v>/* MBOX = 25 / 0x000000a9 : Rx Mask = NOUSE */</v>
      </c>
    </row>
    <row r="24" spans="1:13">
      <c r="A24" s="13" t="str">
        <f>"0x00000"&amp;CANRx_G5M!$B28</f>
        <v>0x000001EF</v>
      </c>
      <c r="B24" s="13">
        <f>IF(CANRx_G5M!AF28&lt;&gt;"",CANRx_G5M!AF28,B23)</f>
        <v>12</v>
      </c>
      <c r="D24" s="13" t="s">
        <v>1201</v>
      </c>
      <c r="E24" s="13">
        <v>26</v>
      </c>
      <c r="F24" s="13" t="s">
        <v>1202</v>
      </c>
      <c r="G24" s="13" t="s">
        <v>46</v>
      </c>
      <c r="H24" s="13" t="str">
        <f t="shared" si="2"/>
        <v/>
      </c>
      <c r="I24" s="13" t="str">
        <f t="shared" si="3"/>
        <v>0x0000043A</v>
      </c>
      <c r="K24" s="13" t="str">
        <f t="shared" si="0"/>
        <v>{(U2)25U,</v>
      </c>
      <c r="L24" s="13" t="str">
        <f t="shared" si="1"/>
        <v>(U2)1U},</v>
      </c>
      <c r="M24" s="13" t="str">
        <f t="shared" si="4"/>
        <v>/* MBOX = 26 / 0x0000043a : Rx Mask = NOUSE */</v>
      </c>
    </row>
    <row r="25" spans="1:13">
      <c r="A25" s="13" t="str">
        <f>"0x00000"&amp;CANRx_G5M!$B29</f>
        <v>0x000001F0</v>
      </c>
      <c r="B25" s="13">
        <f>IF(CANRx_G5M!AF29&lt;&gt;"",CANRx_G5M!AF29,B24)</f>
        <v>13</v>
      </c>
      <c r="D25" s="13" t="s">
        <v>1203</v>
      </c>
      <c r="E25" s="13">
        <v>27</v>
      </c>
      <c r="F25" s="13" t="s">
        <v>1204</v>
      </c>
      <c r="G25" s="13" t="s">
        <v>46</v>
      </c>
      <c r="H25" s="13" t="str">
        <f t="shared" si="2"/>
        <v/>
      </c>
      <c r="I25" s="13" t="str">
        <f t="shared" si="3"/>
        <v>0x000003DB</v>
      </c>
      <c r="K25" s="13" t="str">
        <f t="shared" si="0"/>
        <v>{(U2)25U,</v>
      </c>
      <c r="L25" s="13" t="str">
        <f t="shared" si="1"/>
        <v>(U2)1U},</v>
      </c>
      <c r="M25" s="13" t="str">
        <f t="shared" si="4"/>
        <v>/* MBOX = 27 / 0x000003db : Rx Mask = NOUSE */</v>
      </c>
    </row>
    <row r="26" spans="1:13">
      <c r="A26" s="13" t="str">
        <f>"0x00000"&amp;CANRx_G5M!$B30</f>
        <v>0x000001F1</v>
      </c>
      <c r="B26" s="13">
        <f>IF(CANRx_G5M!AF30&lt;&gt;"",CANRx_G5M!AF30,B25)</f>
        <v>13</v>
      </c>
      <c r="D26" s="13" t="s">
        <v>1205</v>
      </c>
      <c r="E26" s="13">
        <v>28</v>
      </c>
      <c r="F26" s="13" t="s">
        <v>1206</v>
      </c>
      <c r="G26" s="13" t="s">
        <v>46</v>
      </c>
      <c r="H26" s="13" t="str">
        <f t="shared" si="2"/>
        <v/>
      </c>
      <c r="I26" s="13" t="str">
        <f t="shared" si="3"/>
        <v>0x000003DC</v>
      </c>
      <c r="K26" s="13" t="str">
        <f t="shared" si="0"/>
        <v>{(U2)25U,</v>
      </c>
      <c r="L26" s="13" t="str">
        <f t="shared" si="1"/>
        <v>(U2)1U},</v>
      </c>
      <c r="M26" s="13" t="str">
        <f t="shared" si="4"/>
        <v>/* MBOX = 28 / 0x000003dc : Rx Mask = NOUSE */</v>
      </c>
    </row>
    <row r="27" spans="1:13">
      <c r="A27" s="13" t="str">
        <f>"0x00000"&amp;CANRx_G5M!$B31</f>
        <v>0x000001F5</v>
      </c>
      <c r="B27" s="13">
        <f>IF(CANRx_G5M!AF31&lt;&gt;"",CANRx_G5M!AF31,B26)</f>
        <v>13</v>
      </c>
      <c r="D27" s="13" t="s">
        <v>1207</v>
      </c>
      <c r="E27" s="13">
        <v>29</v>
      </c>
      <c r="F27" s="13" t="s">
        <v>1208</v>
      </c>
      <c r="G27" s="13" t="s">
        <v>46</v>
      </c>
      <c r="H27" s="13" t="str">
        <f t="shared" si="2"/>
        <v/>
      </c>
      <c r="I27" s="13" t="str">
        <f t="shared" si="3"/>
        <v>0x0000027D</v>
      </c>
      <c r="K27" s="13" t="str">
        <f t="shared" si="0"/>
        <v>{(U2)18U,</v>
      </c>
      <c r="L27" s="13" t="str">
        <f t="shared" si="1"/>
        <v>(U2)1U},</v>
      </c>
      <c r="M27" s="13" t="str">
        <f t="shared" si="4"/>
        <v>/* MBOX = 29 / 0x0000027d : Rx Mask = NOUSE */</v>
      </c>
    </row>
    <row r="28" spans="1:13">
      <c r="A28" s="13" t="str">
        <f>"0x00000"&amp;CANRx_G5M!$B32</f>
        <v>0x00000203</v>
      </c>
      <c r="B28" s="13">
        <f>IF(CANRx_G5M!AF32&lt;&gt;"",CANRx_G5M!AF32,B27)</f>
        <v>13</v>
      </c>
      <c r="D28" s="13" t="s">
        <v>1209</v>
      </c>
      <c r="E28" s="13">
        <v>30</v>
      </c>
      <c r="F28" s="13" t="s">
        <v>1210</v>
      </c>
      <c r="G28" s="13" t="s">
        <v>46</v>
      </c>
      <c r="H28" s="13" t="str">
        <f t="shared" si="2"/>
        <v/>
      </c>
      <c r="I28" s="13" t="str">
        <f t="shared" si="3"/>
        <v>0x0000012B</v>
      </c>
      <c r="K28" s="13" t="str">
        <f t="shared" si="0"/>
        <v>{(U2)6U,</v>
      </c>
      <c r="L28" s="13" t="str">
        <f t="shared" si="1"/>
        <v>(U2)1U},</v>
      </c>
      <c r="M28" s="13" t="str">
        <f t="shared" si="4"/>
        <v>/* MBOX = 30 / 0x0000012b : Rx Mask = NOUSE */</v>
      </c>
    </row>
    <row r="29" spans="1:13">
      <c r="A29" s="13" t="str">
        <f>"0x00000"&amp;CANRx_G5M!$B33</f>
        <v>0x00000208</v>
      </c>
      <c r="B29" s="13">
        <f>IF(CANRx_G5M!AF33&lt;&gt;"",CANRx_G5M!AF33,B28)</f>
        <v>13</v>
      </c>
      <c r="D29" s="13" t="s">
        <v>1211</v>
      </c>
      <c r="E29" s="13">
        <v>31</v>
      </c>
      <c r="F29" s="13" t="s">
        <v>1212</v>
      </c>
      <c r="G29" s="13" t="s">
        <v>46</v>
      </c>
      <c r="H29" s="13" t="str">
        <f t="shared" si="2"/>
        <v/>
      </c>
      <c r="I29" s="13" t="str">
        <f t="shared" si="3"/>
        <v>0x00000219</v>
      </c>
      <c r="K29" s="13" t="str">
        <f t="shared" si="0"/>
        <v>{(U2)15U,</v>
      </c>
      <c r="L29" s="13" t="str">
        <f t="shared" si="1"/>
        <v>(U2)1U},</v>
      </c>
      <c r="M29" s="13" t="str">
        <f t="shared" si="4"/>
        <v>/* MBOX = 31 / 0x00000219 : Rx Mask = NOUSE */</v>
      </c>
    </row>
    <row r="30" spans="1:13">
      <c r="A30" s="13" t="str">
        <f>"0x00000"&amp;CANRx_G5M!$B34</f>
        <v>0x00000209</v>
      </c>
      <c r="B30" s="13">
        <f>IF(CANRx_G5M!AF34&lt;&gt;"",CANRx_G5M!AF34,B29)</f>
        <v>13</v>
      </c>
      <c r="D30" s="13" t="s">
        <v>1213</v>
      </c>
      <c r="E30" s="13">
        <v>32</v>
      </c>
      <c r="F30" s="13" t="s">
        <v>1214</v>
      </c>
      <c r="G30" s="13" t="s">
        <v>46</v>
      </c>
      <c r="H30" s="13" t="str">
        <f t="shared" si="2"/>
        <v/>
      </c>
      <c r="I30" s="13" t="str">
        <f t="shared" si="3"/>
        <v>0x000002A1</v>
      </c>
      <c r="K30" s="13" t="str">
        <f t="shared" si="0"/>
        <v>{(U2)20U,</v>
      </c>
      <c r="L30" s="13" t="str">
        <f t="shared" si="1"/>
        <v>(U2)1U},</v>
      </c>
      <c r="M30" s="13" t="str">
        <f t="shared" si="4"/>
        <v>/* MBOX = 32 / 0x000002a1 : Rx Mask = NOUSE */</v>
      </c>
    </row>
    <row r="31" spans="1:13">
      <c r="A31" s="13" t="str">
        <f>"0x00000"&amp;CANRx_G5M!$B35</f>
        <v>0x0000020A</v>
      </c>
      <c r="B31" s="13">
        <f>IF(CANRx_G5M!AF35&lt;&gt;"",CANRx_G5M!AF35,B30)</f>
        <v>13</v>
      </c>
      <c r="D31" s="13" t="s">
        <v>1215</v>
      </c>
      <c r="E31" s="13">
        <v>33</v>
      </c>
      <c r="F31" s="13" t="s">
        <v>1216</v>
      </c>
      <c r="G31" s="13" t="s">
        <v>46</v>
      </c>
      <c r="H31" s="13" t="str">
        <f t="shared" si="2"/>
        <v/>
      </c>
      <c r="I31" s="13" t="str">
        <f t="shared" si="3"/>
        <v>0x000003D4</v>
      </c>
      <c r="K31" s="13" t="str">
        <f t="shared" si="0"/>
        <v>{(U2)24U,</v>
      </c>
      <c r="L31" s="13" t="str">
        <f t="shared" si="1"/>
        <v>(U2)1U},</v>
      </c>
      <c r="M31" s="13" t="str">
        <f t="shared" si="4"/>
        <v>/* MBOX = 33 / 0x000003d4 : Rx Mask = NOUSE */</v>
      </c>
    </row>
    <row r="32" spans="1:13">
      <c r="A32" s="13" t="str">
        <f>"0x00000"&amp;CANRx_G5M!$B36</f>
        <v>0x0000020F</v>
      </c>
      <c r="B32" s="13">
        <f>IF(CANRx_G5M!AF36&lt;&gt;"",CANRx_G5M!AF36,B31)</f>
        <v>14</v>
      </c>
      <c r="D32" s="13" t="s">
        <v>1217</v>
      </c>
      <c r="E32" s="13">
        <v>34</v>
      </c>
      <c r="F32" s="13" t="s">
        <v>1218</v>
      </c>
      <c r="G32" s="13" t="s">
        <v>46</v>
      </c>
      <c r="H32" s="13" t="str">
        <f t="shared" si="2"/>
        <v/>
      </c>
      <c r="I32" s="13" t="str">
        <f t="shared" si="3"/>
        <v>0x0000007E</v>
      </c>
      <c r="K32" s="13" t="str">
        <f t="shared" si="0"/>
        <v>{(U2)1U,</v>
      </c>
      <c r="L32" s="13" t="str">
        <f t="shared" si="1"/>
        <v>(U2)1U},</v>
      </c>
      <c r="M32" s="13" t="str">
        <f t="shared" si="4"/>
        <v>/* MBOX = 34 / 0x0000007e : Rx Mask = NOUSE */</v>
      </c>
    </row>
    <row r="33" spans="1:13">
      <c r="A33" s="13" t="str">
        <f>"0x00000"&amp;CANRx_G5M!$B37</f>
        <v>0x00000219</v>
      </c>
      <c r="B33" s="13">
        <f>IF(CANRx_G5M!AF37&lt;&gt;"",CANRx_G5M!AF37,B32)</f>
        <v>15</v>
      </c>
      <c r="D33" s="13" t="s">
        <v>1219</v>
      </c>
      <c r="E33" s="13">
        <v>35</v>
      </c>
      <c r="F33" s="13" t="s">
        <v>1220</v>
      </c>
      <c r="G33" s="13" t="s">
        <v>46</v>
      </c>
      <c r="H33" s="13" t="str">
        <f t="shared" si="2"/>
        <v/>
      </c>
      <c r="I33" s="13" t="str">
        <f t="shared" si="3"/>
        <v>0x000000A5</v>
      </c>
      <c r="K33" s="13" t="str">
        <f t="shared" si="0"/>
        <v>{(U2)3U,</v>
      </c>
      <c r="L33" s="13" t="str">
        <f t="shared" si="1"/>
        <v>(U2)1U},</v>
      </c>
      <c r="M33" s="13" t="str">
        <f t="shared" si="4"/>
        <v>/* MBOX = 35 / 0x000000a5 : Rx Mask = NOUSE */</v>
      </c>
    </row>
    <row r="34" spans="1:13">
      <c r="A34" s="13" t="str">
        <f>"0x00000"&amp;CANRx_G5M!$B38</f>
        <v>0x0000022E</v>
      </c>
      <c r="B34" s="13">
        <f>IF(CANRx_G5M!AF38&lt;&gt;"",CANRx_G5M!AF38,B33)</f>
        <v>15</v>
      </c>
      <c r="D34" s="13" t="s">
        <v>1221</v>
      </c>
      <c r="E34" s="13">
        <v>36</v>
      </c>
      <c r="F34" s="13" t="s">
        <v>1222</v>
      </c>
      <c r="G34" s="13" t="s">
        <v>46</v>
      </c>
      <c r="H34" s="13" t="str">
        <f t="shared" si="2"/>
        <v/>
      </c>
      <c r="I34" s="13" t="str">
        <f t="shared" si="3"/>
        <v>0x000002A7</v>
      </c>
      <c r="K34" s="13" t="str">
        <f t="shared" ref="K34:K65" si="5">"{(U2)"&amp;VLOOKUP(F34,$A$2:$B$88,2,FALSE)&amp;"U,"</f>
        <v>{(U2)20U,</v>
      </c>
      <c r="L34" s="13" t="str">
        <f t="shared" ref="L34:L65" si="6">"(U2)"&amp;(VLOOKUP(I34,$A$2:$B$88,2,FALSE)-VLOOKUP(F34,$A$2:$B$88,2,FALSE)+1)&amp;"U},"</f>
        <v>(U2)1U},</v>
      </c>
      <c r="M34" s="13" t="str">
        <f t="shared" si="4"/>
        <v>/* MBOX = 36 / 0x000002a7 : Rx Mask = NOUSE */</v>
      </c>
    </row>
    <row r="35" spans="1:13">
      <c r="A35" s="13" t="str">
        <f>"0x00000"&amp;CANRx_G5M!$B39</f>
        <v>0x00000230</v>
      </c>
      <c r="B35" s="13">
        <f>IF(CANRx_G5M!AF39&lt;&gt;"",CANRx_G5M!AF39,B34)</f>
        <v>16</v>
      </c>
      <c r="D35" s="13" t="s">
        <v>1223</v>
      </c>
      <c r="E35" s="13">
        <v>37</v>
      </c>
      <c r="F35" s="13" t="s">
        <v>1224</v>
      </c>
      <c r="G35" s="13" t="s">
        <v>46</v>
      </c>
      <c r="H35" s="13" t="str">
        <f t="shared" si="2"/>
        <v/>
      </c>
      <c r="I35" s="13" t="str">
        <f t="shared" si="3"/>
        <v>0x000002A8</v>
      </c>
      <c r="K35" s="13" t="str">
        <f t="shared" si="5"/>
        <v>{(U2)20U,</v>
      </c>
      <c r="L35" s="13" t="str">
        <f t="shared" si="6"/>
        <v>(U2)1U},</v>
      </c>
      <c r="M35" s="13" t="str">
        <f t="shared" si="4"/>
        <v>/* MBOX = 37 / 0x000002a8 : Rx Mask = NOUSE */</v>
      </c>
    </row>
    <row r="36" spans="1:13">
      <c r="A36" s="13" t="str">
        <f>"0x00000"&amp;CANRx_G5M!$B40</f>
        <v>0x00000247</v>
      </c>
      <c r="B36" s="13">
        <f>IF(CANRx_G5M!AF40&lt;&gt;"",CANRx_G5M!AF40,B35)</f>
        <v>16</v>
      </c>
      <c r="D36" s="13" t="s">
        <v>1225</v>
      </c>
      <c r="E36" s="13">
        <v>38</v>
      </c>
      <c r="F36" s="13" t="s">
        <v>1226</v>
      </c>
      <c r="G36" s="13" t="s">
        <v>46</v>
      </c>
      <c r="H36" s="13" t="str">
        <f t="shared" si="2"/>
        <v/>
      </c>
      <c r="I36" s="13" t="str">
        <f t="shared" si="3"/>
        <v>0x000002DE</v>
      </c>
      <c r="K36" s="13" t="str">
        <f t="shared" si="5"/>
        <v>{(U2)23U,</v>
      </c>
      <c r="L36" s="13" t="str">
        <f t="shared" si="6"/>
        <v>(U2)1U},</v>
      </c>
      <c r="M36" s="13" t="str">
        <f t="shared" si="4"/>
        <v>/* MBOX = 38 / 0x000002de : Rx Mask = NOUSE */</v>
      </c>
    </row>
    <row r="37" spans="1:13">
      <c r="A37" s="13" t="str">
        <f>"0x00000"&amp;CANRx_G5M!$B41</f>
        <v>0x00000252</v>
      </c>
      <c r="B37" s="13">
        <f>IF(CANRx_G5M!AF41&lt;&gt;"",CANRx_G5M!AF41,B36)</f>
        <v>16</v>
      </c>
      <c r="D37" s="13" t="s">
        <v>1227</v>
      </c>
      <c r="E37" s="13">
        <v>39</v>
      </c>
      <c r="F37" s="13" t="s">
        <v>1228</v>
      </c>
      <c r="G37" s="13" t="s">
        <v>46</v>
      </c>
      <c r="H37" s="13" t="str">
        <f t="shared" si="2"/>
        <v/>
      </c>
      <c r="I37" s="13" t="str">
        <f t="shared" si="3"/>
        <v>0x000000A6</v>
      </c>
      <c r="K37" s="13" t="str">
        <f t="shared" si="5"/>
        <v>{(U2)3U,</v>
      </c>
      <c r="L37" s="13" t="str">
        <f t="shared" si="6"/>
        <v>(U2)1U},</v>
      </c>
      <c r="M37" s="13" t="str">
        <f t="shared" si="4"/>
        <v>/* MBOX = 39 / 0x000000a6 : Rx Mask = NOUSE */</v>
      </c>
    </row>
    <row r="38" spans="1:13">
      <c r="A38" s="13" t="str">
        <f>"0x00000"&amp;CANRx_G5M!$B42</f>
        <v>0x00000259</v>
      </c>
      <c r="B38" s="13">
        <f>IF(CANRx_G5M!AF42&lt;&gt;"",CANRx_G5M!AF42,B37)</f>
        <v>16</v>
      </c>
      <c r="D38" s="13" t="s">
        <v>1229</v>
      </c>
      <c r="E38" s="13">
        <v>40</v>
      </c>
      <c r="F38" s="13" t="s">
        <v>1230</v>
      </c>
      <c r="G38" s="13" t="s">
        <v>46</v>
      </c>
      <c r="H38" s="13" t="str">
        <f t="shared" si="2"/>
        <v/>
      </c>
      <c r="I38" s="13" t="str">
        <f t="shared" si="3"/>
        <v>0x00000075</v>
      </c>
      <c r="K38" s="13" t="str">
        <f t="shared" si="5"/>
        <v>{(U2)0U,</v>
      </c>
      <c r="L38" s="13" t="str">
        <f t="shared" si="6"/>
        <v>(U2)1U},</v>
      </c>
      <c r="M38" s="13" t="str">
        <f t="shared" si="4"/>
        <v>/* MBOX = 40 / 0x00000075 : Rx Mask = NOUSE */</v>
      </c>
    </row>
    <row r="39" spans="1:13">
      <c r="A39" s="13" t="str">
        <f>"0x00000"&amp;CANRx_G5M!$B43</f>
        <v>0x00000261</v>
      </c>
      <c r="B39" s="13">
        <f>IF(CANRx_G5M!AF43&lt;&gt;"",CANRx_G5M!AF43,B38)</f>
        <v>16</v>
      </c>
      <c r="D39" s="13" t="s">
        <v>1231</v>
      </c>
      <c r="E39" s="13">
        <v>41</v>
      </c>
      <c r="F39" s="13" t="s">
        <v>1232</v>
      </c>
      <c r="G39" s="13" t="s">
        <v>46</v>
      </c>
      <c r="H39" s="13" t="str">
        <f t="shared" si="2"/>
        <v/>
      </c>
      <c r="I39" s="13" t="str">
        <f t="shared" si="3"/>
        <v>0x000000A1</v>
      </c>
      <c r="K39" s="13" t="str">
        <f t="shared" si="5"/>
        <v>{(U2)2U,</v>
      </c>
      <c r="L39" s="13" t="str">
        <f t="shared" si="6"/>
        <v>(U2)1U},</v>
      </c>
      <c r="M39" s="13" t="str">
        <f t="shared" si="4"/>
        <v>/* MBOX = 41 / 0x000000a1 : Rx Mask = NOUSE */</v>
      </c>
    </row>
    <row r="40" spans="1:13">
      <c r="A40" s="13" t="str">
        <f>"0x00000"&amp;CANRx_G5M!$B44</f>
        <v>0x00000262</v>
      </c>
      <c r="B40" s="13">
        <f>IF(CANRx_G5M!AF44&lt;&gt;"",CANRx_G5M!AF44,B39)</f>
        <v>17</v>
      </c>
      <c r="D40" s="13" t="s">
        <v>1233</v>
      </c>
      <c r="E40" s="13">
        <v>42</v>
      </c>
      <c r="F40" s="13" t="s">
        <v>1234</v>
      </c>
      <c r="G40" s="13" t="s">
        <v>46</v>
      </c>
      <c r="H40" s="13" t="str">
        <f t="shared" si="2"/>
        <v/>
      </c>
      <c r="I40" s="13" t="str">
        <f t="shared" si="3"/>
        <v>0x000005F3</v>
      </c>
      <c r="K40" s="13" t="str">
        <f t="shared" si="5"/>
        <v>{(U2)35U,</v>
      </c>
      <c r="L40" s="13" t="str">
        <f t="shared" si="6"/>
        <v>(U2)1U},</v>
      </c>
      <c r="M40" s="13" t="str">
        <f t="shared" si="4"/>
        <v>/* MBOX = 42 / 0x000005f3 : Rx Mask = NOUSE */</v>
      </c>
    </row>
    <row r="41" spans="1:13">
      <c r="A41" s="13" t="str">
        <f>"0x00000"&amp;CANRx_G5M!$B45</f>
        <v>0x00000274</v>
      </c>
      <c r="B41" s="13">
        <f>IF(CANRx_G5M!AF45&lt;&gt;"",CANRx_G5M!AF45,B40)</f>
        <v>17</v>
      </c>
      <c r="D41" s="13" t="s">
        <v>1235</v>
      </c>
      <c r="E41" s="13">
        <v>43</v>
      </c>
      <c r="F41" s="13" t="s">
        <v>1236</v>
      </c>
      <c r="G41" s="13" t="s">
        <v>46</v>
      </c>
      <c r="H41" s="13" t="str">
        <f t="shared" si="2"/>
        <v/>
      </c>
      <c r="I41" s="13" t="str">
        <f t="shared" si="3"/>
        <v>0x000005F4</v>
      </c>
      <c r="K41" s="13" t="str">
        <f t="shared" si="5"/>
        <v>{(U2)35U,</v>
      </c>
      <c r="L41" s="13" t="str">
        <f t="shared" si="6"/>
        <v>(U2)1U},</v>
      </c>
      <c r="M41" s="13" t="str">
        <f t="shared" si="4"/>
        <v>/* MBOX = 43 / 0x000005f4 : Rx Mask = NOUSE */</v>
      </c>
    </row>
    <row r="42" spans="1:13">
      <c r="A42" s="13" t="str">
        <f>"0x00000"&amp;CANRx_G5M!$B46</f>
        <v>0x00000275</v>
      </c>
      <c r="B42" s="13">
        <f>IF(CANRx_G5M!AF46&lt;&gt;"",CANRx_G5M!AF46,B41)</f>
        <v>17</v>
      </c>
      <c r="D42" s="13" t="s">
        <v>1237</v>
      </c>
      <c r="E42" s="13">
        <v>44</v>
      </c>
      <c r="F42" s="13" t="s">
        <v>1238</v>
      </c>
      <c r="G42" s="13" t="s">
        <v>46</v>
      </c>
      <c r="H42" s="13" t="str">
        <f t="shared" si="2"/>
        <v/>
      </c>
      <c r="I42" s="13" t="str">
        <f t="shared" si="3"/>
        <v>0x00000499</v>
      </c>
      <c r="K42" s="13" t="str">
        <f t="shared" si="5"/>
        <v>{(U2)27U,</v>
      </c>
      <c r="L42" s="13" t="str">
        <f t="shared" si="6"/>
        <v>(U2)1U},</v>
      </c>
      <c r="M42" s="13" t="str">
        <f t="shared" si="4"/>
        <v>/* MBOX = 44 / 0x00000499 : Rx Mask = NOUSE */</v>
      </c>
    </row>
    <row r="43" spans="1:13">
      <c r="A43" s="13" t="str">
        <f>"0x00000"&amp;CANRx_G5M!$B47</f>
        <v>0x00000276</v>
      </c>
      <c r="B43" s="13">
        <f>IF(CANRx_G5M!AF47&lt;&gt;"",CANRx_G5M!AF47,B42)</f>
        <v>18</v>
      </c>
      <c r="D43" s="13" t="s">
        <v>1239</v>
      </c>
      <c r="E43" s="13">
        <v>45</v>
      </c>
      <c r="F43" s="13" t="s">
        <v>1240</v>
      </c>
      <c r="G43" s="13" t="s">
        <v>46</v>
      </c>
      <c r="H43" s="13" t="str">
        <f t="shared" si="2"/>
        <v/>
      </c>
      <c r="I43" s="13" t="str">
        <f t="shared" si="3"/>
        <v>0x0000049A</v>
      </c>
      <c r="K43" s="13" t="str">
        <f t="shared" si="5"/>
        <v>{(U2)27U,</v>
      </c>
      <c r="L43" s="13" t="str">
        <f t="shared" si="6"/>
        <v>(U2)1U},</v>
      </c>
      <c r="M43" s="13" t="str">
        <f t="shared" si="4"/>
        <v>/* MBOX = 45 / 0x0000049a : Rx Mask = NOUSE */</v>
      </c>
    </row>
    <row r="44" spans="1:13">
      <c r="A44" s="13" t="str">
        <f>"0x00000"&amp;CANRx_G5M!$B48</f>
        <v>0x00000279</v>
      </c>
      <c r="B44" s="13">
        <f>IF(CANRx_G5M!AF48&lt;&gt;"",CANRx_G5M!AF48,B43)</f>
        <v>18</v>
      </c>
      <c r="D44" s="13" t="s">
        <v>1241</v>
      </c>
      <c r="E44" s="13">
        <v>46</v>
      </c>
      <c r="F44" s="13" t="s">
        <v>1242</v>
      </c>
      <c r="G44" s="13" t="s">
        <v>46</v>
      </c>
      <c r="H44" s="13" t="str">
        <f t="shared" si="2"/>
        <v/>
      </c>
      <c r="I44" s="13" t="str">
        <f t="shared" si="3"/>
        <v>0x0000049B</v>
      </c>
      <c r="K44" s="13" t="str">
        <f t="shared" si="5"/>
        <v>{(U2)27U,</v>
      </c>
      <c r="L44" s="13" t="str">
        <f t="shared" si="6"/>
        <v>(U2)1U},</v>
      </c>
      <c r="M44" s="13" t="str">
        <f t="shared" si="4"/>
        <v>/* MBOX = 46 / 0x0000049b : Rx Mask = NOUSE */</v>
      </c>
    </row>
    <row r="45" spans="1:13">
      <c r="A45" s="13" t="str">
        <f>"0x00000"&amp;CANRx_G5M!$B49</f>
        <v>0x0000027C</v>
      </c>
      <c r="B45" s="13">
        <f>IF(CANRx_G5M!AF49&lt;&gt;"",CANRx_G5M!AF49,B44)</f>
        <v>18</v>
      </c>
      <c r="D45" s="13" t="s">
        <v>1243</v>
      </c>
      <c r="E45" s="13">
        <v>47</v>
      </c>
      <c r="F45" s="13" t="s">
        <v>1244</v>
      </c>
      <c r="G45" s="13" t="s">
        <v>46</v>
      </c>
      <c r="H45" s="13" t="str">
        <f t="shared" si="2"/>
        <v/>
      </c>
      <c r="I45" s="13" t="str">
        <f t="shared" si="3"/>
        <v>0x0000049D</v>
      </c>
      <c r="K45" s="13" t="str">
        <f t="shared" si="5"/>
        <v>{(U2)27U,</v>
      </c>
      <c r="L45" s="13" t="str">
        <f t="shared" si="6"/>
        <v>(U2)1U},</v>
      </c>
      <c r="M45" s="13" t="str">
        <f t="shared" si="4"/>
        <v>/* MBOX = 47 / 0x0000049d : Rx Mask = NOUSE */</v>
      </c>
    </row>
    <row r="46" spans="1:13">
      <c r="A46" s="13" t="str">
        <f>"0x00000"&amp;CANRx_G5M!$B50</f>
        <v>0x0000027D</v>
      </c>
      <c r="B46" s="13">
        <f>IF(CANRx_G5M!AF50&lt;&gt;"",CANRx_G5M!AF50,B45)</f>
        <v>18</v>
      </c>
      <c r="D46" s="13" t="s">
        <v>1245</v>
      </c>
      <c r="E46" s="13">
        <v>48</v>
      </c>
      <c r="F46" s="13" t="s">
        <v>1246</v>
      </c>
      <c r="G46" s="13" t="s">
        <v>46</v>
      </c>
      <c r="H46" s="13" t="str">
        <f t="shared" si="2"/>
        <v/>
      </c>
      <c r="I46" s="13" t="str">
        <f t="shared" si="3"/>
        <v>0x000004A8</v>
      </c>
      <c r="K46" s="13" t="str">
        <f t="shared" si="5"/>
        <v>{(U2)31U,</v>
      </c>
      <c r="L46" s="13" t="str">
        <f t="shared" si="6"/>
        <v>(U2)1U},</v>
      </c>
      <c r="M46" s="13" t="str">
        <f t="shared" si="4"/>
        <v>/* MBOX = 48 / 0x000004a8 : Rx Mask = NOUSE */</v>
      </c>
    </row>
    <row r="47" spans="1:13">
      <c r="A47" s="13" t="str">
        <f>"0x00000"&amp;CANRx_G5M!$B51</f>
        <v>0x0000028A</v>
      </c>
      <c r="B47" s="13">
        <f>IF(CANRx_G5M!AF51&lt;&gt;"",CANRx_G5M!AF51,B46)</f>
        <v>19</v>
      </c>
      <c r="D47" s="13" t="s">
        <v>1247</v>
      </c>
      <c r="E47" s="13">
        <v>49</v>
      </c>
      <c r="F47" s="13" t="s">
        <v>1248</v>
      </c>
      <c r="G47" s="13" t="s">
        <v>46</v>
      </c>
      <c r="H47" s="13" t="str">
        <f t="shared" si="2"/>
        <v/>
      </c>
      <c r="I47" s="13" t="str">
        <f t="shared" si="3"/>
        <v>0x000004AE</v>
      </c>
      <c r="K47" s="13" t="str">
        <f t="shared" si="5"/>
        <v>{(U2)33U,</v>
      </c>
      <c r="L47" s="13" t="str">
        <f t="shared" si="6"/>
        <v>(U2)1U},</v>
      </c>
      <c r="M47" s="13" t="str">
        <f t="shared" si="4"/>
        <v>/* MBOX = 49 / 0x000004ae : Rx Mask = NOUSE */</v>
      </c>
    </row>
    <row r="48" spans="1:13">
      <c r="A48" s="13" t="str">
        <f>"0x00000"&amp;CANRx_G5M!$B52</f>
        <v>0x000002A0</v>
      </c>
      <c r="B48" s="13">
        <f>IF(CANRx_G5M!AF52&lt;&gt;"",CANRx_G5M!AF52,B47)</f>
        <v>20</v>
      </c>
      <c r="D48" s="13" t="s">
        <v>1249</v>
      </c>
      <c r="E48" s="13">
        <v>50</v>
      </c>
      <c r="F48" s="13" t="s">
        <v>1250</v>
      </c>
      <c r="G48" s="13" t="s">
        <v>46</v>
      </c>
      <c r="H48" s="13" t="str">
        <f t="shared" si="2"/>
        <v/>
      </c>
      <c r="I48" s="13" t="str">
        <f t="shared" si="3"/>
        <v>0x000004AF</v>
      </c>
      <c r="K48" s="13" t="str">
        <f t="shared" si="5"/>
        <v>{(U2)33U,</v>
      </c>
      <c r="L48" s="13" t="str">
        <f t="shared" si="6"/>
        <v>(U2)1U},</v>
      </c>
      <c r="M48" s="13" t="str">
        <f t="shared" si="4"/>
        <v>/* MBOX = 50 / 0x000004af : Rx Mask = NOUSE */</v>
      </c>
    </row>
    <row r="49" spans="1:13">
      <c r="A49" s="13" t="str">
        <f>"0x00000"&amp;CANRx_G5M!$B53</f>
        <v>0x000002A1</v>
      </c>
      <c r="B49" s="13">
        <f>IF(CANRx_G5M!AF53&lt;&gt;"",CANRx_G5M!AF53,B48)</f>
        <v>20</v>
      </c>
      <c r="D49" s="13" t="s">
        <v>1251</v>
      </c>
      <c r="E49" s="13">
        <v>51</v>
      </c>
      <c r="F49" s="13" t="s">
        <v>1252</v>
      </c>
      <c r="G49" s="13" t="s">
        <v>46</v>
      </c>
      <c r="H49" s="13" t="str">
        <f t="shared" si="2"/>
        <v/>
      </c>
      <c r="I49" s="13" t="str">
        <f t="shared" si="3"/>
        <v>0x000000A3</v>
      </c>
      <c r="K49" s="13" t="str">
        <f t="shared" si="5"/>
        <v>{(U2)3U,</v>
      </c>
      <c r="L49" s="13" t="str">
        <f t="shared" si="6"/>
        <v>(U2)1U},</v>
      </c>
      <c r="M49" s="13" t="str">
        <f t="shared" si="4"/>
        <v>/* MBOX = 51 / 0x000000a3 : Rx Mask = NOUSE */</v>
      </c>
    </row>
    <row r="50" spans="1:13">
      <c r="A50" s="13" t="str">
        <f>"0x00000"&amp;CANRx_G5M!$B54</f>
        <v>0x000002A7</v>
      </c>
      <c r="B50" s="13">
        <f>IF(CANRx_G5M!AF54&lt;&gt;"",CANRx_G5M!AF54,B49)</f>
        <v>20</v>
      </c>
      <c r="D50" s="13" t="s">
        <v>1253</v>
      </c>
      <c r="E50" s="13">
        <v>52</v>
      </c>
      <c r="F50" s="13" t="s">
        <v>1254</v>
      </c>
      <c r="G50" s="13" t="s">
        <v>46</v>
      </c>
      <c r="H50" s="13" t="str">
        <f t="shared" si="2"/>
        <v/>
      </c>
      <c r="I50" s="13" t="str">
        <f t="shared" si="3"/>
        <v>0x00000589</v>
      </c>
      <c r="K50" s="13" t="str">
        <f t="shared" si="5"/>
        <v>{(U2)34U,</v>
      </c>
      <c r="L50" s="13" t="str">
        <f t="shared" si="6"/>
        <v>(U2)1U},</v>
      </c>
      <c r="M50" s="13" t="str">
        <f t="shared" si="4"/>
        <v>/* MBOX = 52 / 0x00000589 : Rx Mask = NOUSE */</v>
      </c>
    </row>
    <row r="51" spans="1:13">
      <c r="A51" s="13" t="str">
        <f>"0x00000"&amp;CANRx_G5M!$B55</f>
        <v>0x000002A8</v>
      </c>
      <c r="B51" s="13">
        <f>IF(CANRx_G5M!AF55&lt;&gt;"",CANRx_G5M!AF55,B50)</f>
        <v>20</v>
      </c>
      <c r="D51" s="13" t="s">
        <v>1255</v>
      </c>
      <c r="E51" s="13">
        <v>53</v>
      </c>
      <c r="F51" s="13" t="s">
        <v>1256</v>
      </c>
      <c r="G51" s="13" t="s">
        <v>46</v>
      </c>
      <c r="H51" s="13" t="str">
        <f t="shared" si="2"/>
        <v/>
      </c>
      <c r="I51" s="13" t="str">
        <f t="shared" si="3"/>
        <v>0x00000583</v>
      </c>
      <c r="K51" s="13" t="str">
        <f t="shared" si="5"/>
        <v>{(U2)33U,</v>
      </c>
      <c r="L51" s="13" t="str">
        <f t="shared" si="6"/>
        <v>(U2)1U},</v>
      </c>
      <c r="M51" s="13" t="str">
        <f t="shared" si="4"/>
        <v>/* MBOX = 53 / 0x00000583 : Rx Mask = NOUSE */</v>
      </c>
    </row>
    <row r="52" spans="1:13">
      <c r="A52" s="13" t="str">
        <f>"0x00000"&amp;CANRx_G5M!$B56</f>
        <v>0x000002C6</v>
      </c>
      <c r="B52" s="13">
        <f>IF(CANRx_G5M!AF56&lt;&gt;"",CANRx_G5M!AF56,B51)</f>
        <v>21</v>
      </c>
      <c r="D52" s="13" t="s">
        <v>1257</v>
      </c>
      <c r="E52" s="13">
        <v>54</v>
      </c>
      <c r="F52" s="13" t="s">
        <v>1258</v>
      </c>
      <c r="G52" s="13" t="s">
        <v>46</v>
      </c>
      <c r="H52" s="13" t="str">
        <f t="shared" si="2"/>
        <v/>
      </c>
      <c r="I52" s="13" t="str">
        <f t="shared" si="3"/>
        <v>0x000004A3</v>
      </c>
      <c r="K52" s="13" t="str">
        <f t="shared" si="5"/>
        <v>{(U2)29U,</v>
      </c>
      <c r="L52" s="13" t="str">
        <f t="shared" si="6"/>
        <v>(U2)1U},</v>
      </c>
      <c r="M52" s="13" t="str">
        <f t="shared" si="4"/>
        <v>/* MBOX = 54 / 0x000004a3 : Rx Mask = NOUSE */</v>
      </c>
    </row>
    <row r="53" spans="1:13">
      <c r="A53" s="13" t="str">
        <f>"0x00000"&amp;CANRx_G5M!$B57</f>
        <v>0x000002C7</v>
      </c>
      <c r="B53" s="13">
        <f>IF(CANRx_G5M!AF57&lt;&gt;"",CANRx_G5M!AF57,B52)</f>
        <v>22</v>
      </c>
      <c r="D53" s="13" t="s">
        <v>1259</v>
      </c>
      <c r="E53" s="13">
        <v>55</v>
      </c>
      <c r="F53" s="13" t="s">
        <v>1260</v>
      </c>
      <c r="G53" s="13" t="s">
        <v>46</v>
      </c>
      <c r="H53" s="13" t="str">
        <f t="shared" si="2"/>
        <v/>
      </c>
      <c r="I53" s="13" t="str">
        <f t="shared" si="3"/>
        <v>0x000005F6</v>
      </c>
      <c r="K53" s="13" t="str">
        <f t="shared" si="5"/>
        <v>{(U2)35U,</v>
      </c>
      <c r="L53" s="13" t="str">
        <f t="shared" si="6"/>
        <v>(U2)1U},</v>
      </c>
      <c r="M53" s="13" t="str">
        <f t="shared" si="4"/>
        <v>/* MBOX = 55 / 0x000005f6 : Rx Mask = NOUSE */</v>
      </c>
    </row>
    <row r="54" spans="1:13">
      <c r="A54" s="13" t="str">
        <f>"0x00000"&amp;CANRx_G5M!$B58</f>
        <v>0x000002C8</v>
      </c>
      <c r="B54" s="13">
        <f>IF(CANRx_G5M!AF58&lt;&gt;"",CANRx_G5M!AF58,B53)</f>
        <v>22</v>
      </c>
      <c r="D54" s="13" t="s">
        <v>1261</v>
      </c>
      <c r="E54" s="13">
        <v>56</v>
      </c>
      <c r="F54" s="13" t="s">
        <v>1262</v>
      </c>
      <c r="G54" s="13" t="s">
        <v>46</v>
      </c>
      <c r="H54" s="13" t="str">
        <f t="shared" si="2"/>
        <v/>
      </c>
      <c r="I54" s="13" t="str">
        <f t="shared" si="3"/>
        <v>0x000005F1</v>
      </c>
      <c r="K54" s="13" t="str">
        <f t="shared" si="5"/>
        <v>{(U2)34U,</v>
      </c>
      <c r="L54" s="13" t="str">
        <f t="shared" si="6"/>
        <v>(U2)1U},</v>
      </c>
      <c r="M54" s="13" t="str">
        <f t="shared" si="4"/>
        <v>/* MBOX = 56 / 0x000005f1 : Rx Mask = NOUSE */</v>
      </c>
    </row>
    <row r="55" spans="1:13">
      <c r="A55" s="13" t="str">
        <f>"0x00000"&amp;CANRx_G5M!$B59</f>
        <v>0x000002DE</v>
      </c>
      <c r="B55" s="13">
        <f>IF(CANRx_G5M!AF59&lt;&gt;"",CANRx_G5M!AF59,B54)</f>
        <v>23</v>
      </c>
      <c r="D55" s="13" t="s">
        <v>1263</v>
      </c>
      <c r="E55" s="13">
        <v>57</v>
      </c>
      <c r="F55" s="13" t="s">
        <v>1264</v>
      </c>
      <c r="G55" s="13" t="s">
        <v>46</v>
      </c>
      <c r="H55" s="13" t="str">
        <f t="shared" si="2"/>
        <v/>
      </c>
      <c r="I55" s="13" t="str">
        <f t="shared" si="3"/>
        <v>0x00000489</v>
      </c>
      <c r="K55" s="13" t="str">
        <f t="shared" si="5"/>
        <v>{(U2)26U,</v>
      </c>
      <c r="L55" s="13" t="str">
        <f t="shared" si="6"/>
        <v>(U2)1U},</v>
      </c>
      <c r="M55" s="13" t="str">
        <f t="shared" si="4"/>
        <v>/* MBOX = 57 / 0x00000489 : Rx Mask = NOUSE */</v>
      </c>
    </row>
    <row r="56" spans="1:13">
      <c r="A56" s="13" t="str">
        <f>"0x00000"&amp;CANRx_G5M!$B60</f>
        <v>0x000002F4</v>
      </c>
      <c r="B56" s="13">
        <f>IF(CANRx_G5M!AF60&lt;&gt;"",CANRx_G5M!AF60,B55)</f>
        <v>23</v>
      </c>
      <c r="D56" s="13" t="s">
        <v>1265</v>
      </c>
      <c r="E56" s="13">
        <v>58</v>
      </c>
      <c r="F56" s="13" t="s">
        <v>1266</v>
      </c>
      <c r="G56" s="13" t="s">
        <v>46</v>
      </c>
      <c r="H56" s="13" t="str">
        <f t="shared" si="2"/>
        <v/>
      </c>
      <c r="I56" s="13" t="str">
        <f t="shared" si="3"/>
        <v>0x0000048B</v>
      </c>
      <c r="K56" s="13" t="str">
        <f t="shared" si="5"/>
        <v>{(U2)27U,</v>
      </c>
      <c r="L56" s="13" t="str">
        <f t="shared" si="6"/>
        <v>(U2)1U},</v>
      </c>
      <c r="M56" s="13" t="str">
        <f t="shared" si="4"/>
        <v>/* MBOX = 58 / 0x0000048b : Rx Mask = NOUSE */</v>
      </c>
    </row>
    <row r="57" spans="1:13">
      <c r="A57" s="13" t="str">
        <f>"0x00000"&amp;CANRx_G5M!$B61</f>
        <v>0x000002FE</v>
      </c>
      <c r="B57" s="13">
        <f>IF(CANRx_G5M!AF61&lt;&gt;"",CANRx_G5M!AF61,B56)</f>
        <v>24</v>
      </c>
      <c r="D57" s="13" t="s">
        <v>1267</v>
      </c>
      <c r="E57" s="13">
        <v>59</v>
      </c>
      <c r="F57" s="13" t="s">
        <v>1268</v>
      </c>
      <c r="G57" s="13" t="s">
        <v>46</v>
      </c>
      <c r="H57" s="13" t="str">
        <f t="shared" si="2"/>
        <v/>
      </c>
      <c r="I57" s="13" t="str">
        <f t="shared" si="3"/>
        <v>0x00000252</v>
      </c>
      <c r="K57" s="13" t="str">
        <f t="shared" si="5"/>
        <v>{(U2)16U,</v>
      </c>
      <c r="L57" s="13" t="str">
        <f t="shared" si="6"/>
        <v>(U2)1U},</v>
      </c>
      <c r="M57" s="13" t="str">
        <f t="shared" si="4"/>
        <v>/* MBOX = 59 / 0x00000252 : Rx Mask = NOUSE */</v>
      </c>
    </row>
    <row r="58" spans="1:13">
      <c r="A58" s="13" t="str">
        <f>"0x00000"&amp;CANRx_G5M!$B62</f>
        <v>0x000003D4</v>
      </c>
      <c r="B58" s="13">
        <f>IF(CANRx_G5M!AF62&lt;&gt;"",CANRx_G5M!AF62,B57)</f>
        <v>24</v>
      </c>
      <c r="D58" s="13" t="s">
        <v>1269</v>
      </c>
      <c r="E58" s="13">
        <v>60</v>
      </c>
      <c r="F58" s="13" t="s">
        <v>1270</v>
      </c>
      <c r="G58" s="13" t="s">
        <v>46</v>
      </c>
      <c r="H58" s="13" t="str">
        <f t="shared" si="2"/>
        <v/>
      </c>
      <c r="I58" s="13" t="str">
        <f t="shared" si="3"/>
        <v>0x00000261</v>
      </c>
      <c r="K58" s="13" t="str">
        <f t="shared" si="5"/>
        <v>{(U2)16U,</v>
      </c>
      <c r="L58" s="13" t="str">
        <f t="shared" si="6"/>
        <v>(U2)1U},</v>
      </c>
      <c r="M58" s="13" t="str">
        <f t="shared" si="4"/>
        <v>/* MBOX = 60 / 0x00000261 : Rx Mask = NOUSE */</v>
      </c>
    </row>
    <row r="59" spans="1:13">
      <c r="A59" s="13" t="str">
        <f>"0x00000"&amp;CANRx_G5M!$B63</f>
        <v>0x000003DB</v>
      </c>
      <c r="B59" s="13">
        <f>IF(CANRx_G5M!AF63&lt;&gt;"",CANRx_G5M!AF63,B58)</f>
        <v>25</v>
      </c>
      <c r="D59" s="13" t="s">
        <v>1271</v>
      </c>
      <c r="E59" s="13">
        <v>61</v>
      </c>
      <c r="F59" s="13" t="s">
        <v>1272</v>
      </c>
      <c r="G59" s="13" t="s">
        <v>46</v>
      </c>
      <c r="H59" s="13" t="str">
        <f t="shared" si="2"/>
        <v/>
      </c>
      <c r="I59" s="13" t="str">
        <f t="shared" si="3"/>
        <v>0x00000274</v>
      </c>
      <c r="K59" s="13" t="str">
        <f t="shared" si="5"/>
        <v>{(U2)17U,</v>
      </c>
      <c r="L59" s="13" t="str">
        <f t="shared" si="6"/>
        <v>(U2)1U},</v>
      </c>
      <c r="M59" s="13" t="str">
        <f t="shared" si="4"/>
        <v>/* MBOX = 61 / 0x00000274 : Rx Mask = NOUSE */</v>
      </c>
    </row>
    <row r="60" spans="1:13">
      <c r="A60" s="13" t="str">
        <f>"0x00000"&amp;CANRx_G5M!$B64</f>
        <v>0x000003DC</v>
      </c>
      <c r="B60" s="13">
        <f>IF(CANRx_G5M!AF64&lt;&gt;"",CANRx_G5M!AF64,B59)</f>
        <v>25</v>
      </c>
      <c r="D60" s="13" t="s">
        <v>1273</v>
      </c>
      <c r="E60" s="13">
        <v>62</v>
      </c>
      <c r="F60" s="13" t="s">
        <v>1274</v>
      </c>
      <c r="G60" s="13" t="s">
        <v>46</v>
      </c>
      <c r="H60" s="13" t="str">
        <f t="shared" si="2"/>
        <v/>
      </c>
      <c r="I60" s="13" t="str">
        <f t="shared" si="3"/>
        <v>0x00000275</v>
      </c>
      <c r="K60" s="13" t="str">
        <f t="shared" si="5"/>
        <v>{(U2)17U,</v>
      </c>
      <c r="L60" s="13" t="str">
        <f t="shared" si="6"/>
        <v>(U2)1U},</v>
      </c>
      <c r="M60" s="13" t="str">
        <f t="shared" si="4"/>
        <v>/* MBOX = 62 / 0x00000275 : Rx Mask = NOUSE */</v>
      </c>
    </row>
    <row r="61" spans="1:13">
      <c r="A61" s="13" t="str">
        <f>"0x00000"&amp;CANRx_G5M!$B65</f>
        <v>0x000003F3</v>
      </c>
      <c r="B61" s="13">
        <f>IF(CANRx_G5M!AF65&lt;&gt;"",CANRx_G5M!AF65,B60)</f>
        <v>25</v>
      </c>
      <c r="D61" s="13" t="s">
        <v>1275</v>
      </c>
      <c r="E61" s="13">
        <v>63</v>
      </c>
      <c r="F61" s="13" t="s">
        <v>1276</v>
      </c>
      <c r="G61" s="13" t="s">
        <v>46</v>
      </c>
      <c r="H61" s="13" t="str">
        <f t="shared" si="2"/>
        <v/>
      </c>
      <c r="I61" s="13" t="str">
        <f t="shared" si="3"/>
        <v>0x00000276</v>
      </c>
      <c r="K61" s="13" t="str">
        <f t="shared" si="5"/>
        <v>{(U2)18U,</v>
      </c>
      <c r="L61" s="13" t="str">
        <f t="shared" si="6"/>
        <v>(U2)1U},</v>
      </c>
      <c r="M61" s="13" t="str">
        <f t="shared" si="4"/>
        <v>/* MBOX = 63 / 0x00000276 : Rx Mask = NOUSE */</v>
      </c>
    </row>
    <row r="62" spans="1:13">
      <c r="A62" s="13" t="str">
        <f>"0x00000"&amp;CANRx_G5M!$B66</f>
        <v>0x0000043A</v>
      </c>
      <c r="B62" s="13">
        <f>IF(CANRx_G5M!AF66&lt;&gt;"",CANRx_G5M!AF66,B61)</f>
        <v>25</v>
      </c>
      <c r="D62" s="13" t="s">
        <v>1277</v>
      </c>
      <c r="E62" s="13">
        <v>64</v>
      </c>
      <c r="F62" s="13" t="s">
        <v>1278</v>
      </c>
      <c r="G62" s="13" t="s">
        <v>46</v>
      </c>
      <c r="H62" s="13" t="str">
        <f t="shared" si="2"/>
        <v/>
      </c>
      <c r="I62" s="13" t="str">
        <f t="shared" si="3"/>
        <v>0x0000027C</v>
      </c>
      <c r="K62" s="13" t="str">
        <f t="shared" si="5"/>
        <v>{(U2)18U,</v>
      </c>
      <c r="L62" s="13" t="str">
        <f t="shared" si="6"/>
        <v>(U2)1U},</v>
      </c>
      <c r="M62" s="13" t="str">
        <f t="shared" si="4"/>
        <v>/* MBOX = 64 / 0x0000027c : Rx Mask = NOUSE */</v>
      </c>
    </row>
    <row r="63" spans="1:13">
      <c r="A63" s="13" t="str">
        <f>"0x00000"&amp;CANRx_G5M!$B67</f>
        <v>0x00000489</v>
      </c>
      <c r="B63" s="13">
        <f>IF(CANRx_G5M!AF67&lt;&gt;"",CANRx_G5M!AF67,B62)</f>
        <v>26</v>
      </c>
      <c r="D63" s="13" t="s">
        <v>1279</v>
      </c>
      <c r="E63" s="13">
        <v>65</v>
      </c>
      <c r="F63" s="13" t="s">
        <v>1280</v>
      </c>
      <c r="G63" s="13" t="s">
        <v>46</v>
      </c>
      <c r="H63" s="13" t="str">
        <f t="shared" si="2"/>
        <v/>
      </c>
      <c r="I63" s="13" t="str">
        <f t="shared" si="3"/>
        <v>0x0000028A</v>
      </c>
      <c r="K63" s="13" t="str">
        <f t="shared" si="5"/>
        <v>{(U2)19U,</v>
      </c>
      <c r="L63" s="13" t="str">
        <f t="shared" si="6"/>
        <v>(U2)1U},</v>
      </c>
      <c r="M63" s="13" t="str">
        <f t="shared" si="4"/>
        <v>/* MBOX = 65 / 0x0000028a : Rx Mask = NOUSE */</v>
      </c>
    </row>
    <row r="64" spans="1:13">
      <c r="A64" s="13" t="str">
        <f>"0x00000"&amp;CANRx_G5M!$B68</f>
        <v>0x0000048B</v>
      </c>
      <c r="B64" s="13">
        <f>IF(CANRx_G5M!AF68&lt;&gt;"",CANRx_G5M!AF68,B63)</f>
        <v>27</v>
      </c>
      <c r="D64" s="13" t="s">
        <v>1281</v>
      </c>
      <c r="E64" s="13">
        <v>66</v>
      </c>
      <c r="F64" s="13" t="s">
        <v>1282</v>
      </c>
      <c r="G64" s="13" t="s">
        <v>46</v>
      </c>
      <c r="H64" s="13" t="str">
        <f t="shared" si="2"/>
        <v/>
      </c>
      <c r="I64" s="13" t="str">
        <f t="shared" si="3"/>
        <v>0x00000159</v>
      </c>
      <c r="K64" s="13" t="str">
        <f t="shared" si="5"/>
        <v>{(U2)8U,</v>
      </c>
      <c r="L64" s="13" t="str">
        <f t="shared" si="6"/>
        <v>(U2)1U},</v>
      </c>
      <c r="M64" s="13" t="str">
        <f t="shared" si="4"/>
        <v>/* MBOX = 66 / 0x00000159 : Rx Mask = NOUSE */</v>
      </c>
    </row>
    <row r="65" spans="1:13">
      <c r="A65" s="13" t="str">
        <f>"0x00000"&amp;CANRx_G5M!$B69</f>
        <v>0x00000494</v>
      </c>
      <c r="B65" s="13">
        <f>IF(CANRx_G5M!AF69&lt;&gt;"",CANRx_G5M!AF69,B64)</f>
        <v>27</v>
      </c>
      <c r="D65" s="13" t="s">
        <v>1283</v>
      </c>
      <c r="E65" s="13">
        <v>67</v>
      </c>
      <c r="F65" s="13" t="s">
        <v>1284</v>
      </c>
      <c r="G65" s="13" t="s">
        <v>46</v>
      </c>
      <c r="H65" s="13" t="str">
        <f t="shared" si="2"/>
        <v/>
      </c>
      <c r="I65" s="13" t="str">
        <f t="shared" si="3"/>
        <v>0x0000020F</v>
      </c>
      <c r="K65" s="13" t="str">
        <f t="shared" si="5"/>
        <v>{(U2)14U,</v>
      </c>
      <c r="L65" s="13" t="str">
        <f t="shared" si="6"/>
        <v>(U2)1U},</v>
      </c>
      <c r="M65" s="13" t="str">
        <f t="shared" si="4"/>
        <v>/* MBOX = 67 / 0x0000020f : Rx Mask = NOUSE */</v>
      </c>
    </row>
    <row r="66" spans="1:13">
      <c r="A66" s="13" t="str">
        <f>"0x00000"&amp;CANRx_G5M!$B70</f>
        <v>0x00000499</v>
      </c>
      <c r="B66" s="13">
        <f>IF(CANRx_G5M!AF70&lt;&gt;"",CANRx_G5M!AF70,B65)</f>
        <v>27</v>
      </c>
      <c r="D66" s="13" t="s">
        <v>1285</v>
      </c>
      <c r="E66" s="13">
        <v>68</v>
      </c>
      <c r="F66" s="13" t="s">
        <v>1286</v>
      </c>
      <c r="G66" s="13" t="s">
        <v>46</v>
      </c>
      <c r="H66" s="13" t="str">
        <f t="shared" si="2"/>
        <v/>
      </c>
      <c r="I66" s="13" t="str">
        <f t="shared" si="3"/>
        <v>0x00000259</v>
      </c>
      <c r="K66" s="13" t="str">
        <f t="shared" ref="K66:K85" si="7">"{(U2)"&amp;VLOOKUP(F66,$A$2:$B$88,2,FALSE)&amp;"U,"</f>
        <v>{(U2)16U,</v>
      </c>
      <c r="L66" s="13" t="str">
        <f t="shared" ref="L66:L84" si="8">"(U2)"&amp;(VLOOKUP(I66,$A$2:$B$88,2,FALSE)-VLOOKUP(F66,$A$2:$B$88,2,FALSE)+1)&amp;"U},"</f>
        <v>(U2)1U},</v>
      </c>
      <c r="M66" s="13" t="str">
        <f t="shared" si="4"/>
        <v>/* MBOX = 68 / 0x00000259 : Rx Mask = NOUSE */</v>
      </c>
    </row>
    <row r="67" spans="1:13">
      <c r="A67" s="13" t="str">
        <f>"0x00000"&amp;CANRx_G5M!$B71</f>
        <v>0x0000049A</v>
      </c>
      <c r="B67" s="13">
        <f>IF(CANRx_G5M!AF71&lt;&gt;"",CANRx_G5M!AF71,B66)</f>
        <v>27</v>
      </c>
      <c r="D67" s="13" t="s">
        <v>1287</v>
      </c>
      <c r="E67" s="13">
        <v>69</v>
      </c>
      <c r="F67" s="13" t="s">
        <v>1288</v>
      </c>
      <c r="G67" s="13" t="s">
        <v>46</v>
      </c>
      <c r="H67" s="13" t="str">
        <f t="shared" ref="H67:H84" si="9">IF(G67&lt;&gt;"NOUSE",HEX2DEC(RIGHT(F67,3))+HEX2DEC(RIGHT(G67,3)),"")</f>
        <v/>
      </c>
      <c r="I67" s="13" t="str">
        <f t="shared" ref="I67:I84" si="10">IF(H67&lt;&gt;"","0x"&amp;DEC2HEX(H67,8),F67)</f>
        <v>0x000000A8</v>
      </c>
      <c r="K67" s="13" t="str">
        <f t="shared" si="7"/>
        <v>{(U2)4U,</v>
      </c>
      <c r="L67" s="13" t="str">
        <f t="shared" si="8"/>
        <v>(U2)1U},</v>
      </c>
      <c r="M67" s="13" t="str">
        <f t="shared" ref="M67:M84" si="11">"/* MBOX = "&amp;E67&amp;" / "&amp;LOWER(F67)&amp;" : Rx Mask = "&amp;G67&amp;" */"</f>
        <v>/* MBOX = 69 / 0x000000a8 : Rx Mask = NOUSE */</v>
      </c>
    </row>
    <row r="68" spans="1:13">
      <c r="A68" s="13" t="str">
        <f>"0x00000"&amp;CANRx_G5M!$B72</f>
        <v>0x0000049B</v>
      </c>
      <c r="B68" s="13">
        <f>IF(CANRx_G5M!AF72&lt;&gt;"",CANRx_G5M!AF72,B67)</f>
        <v>27</v>
      </c>
      <c r="D68" s="13" t="s">
        <v>1289</v>
      </c>
      <c r="E68" s="13">
        <v>70</v>
      </c>
      <c r="F68" s="13" t="s">
        <v>1290</v>
      </c>
      <c r="G68" s="13" t="s">
        <v>46</v>
      </c>
      <c r="H68" s="13" t="str">
        <f t="shared" si="9"/>
        <v/>
      </c>
      <c r="I68" s="13" t="str">
        <f t="shared" si="10"/>
        <v>0x00000115</v>
      </c>
      <c r="K68" s="13" t="str">
        <f t="shared" si="7"/>
        <v>{(U2)6U,</v>
      </c>
      <c r="L68" s="13" t="str">
        <f t="shared" si="8"/>
        <v>(U2)1U},</v>
      </c>
      <c r="M68" s="13" t="str">
        <f t="shared" si="11"/>
        <v>/* MBOX = 70 / 0x00000115 : Rx Mask = NOUSE */</v>
      </c>
    </row>
    <row r="69" spans="1:13">
      <c r="A69" s="13" t="str">
        <f>"0x00000"&amp;CANRx_G5M!$B73</f>
        <v>0x0000049D</v>
      </c>
      <c r="B69" s="13">
        <f>IF(CANRx_G5M!AF73&lt;&gt;"",CANRx_G5M!AF73,B68)</f>
        <v>27</v>
      </c>
      <c r="D69" s="13" t="s">
        <v>1291</v>
      </c>
      <c r="E69" s="13">
        <v>71</v>
      </c>
      <c r="F69" s="13" t="s">
        <v>1292</v>
      </c>
      <c r="G69" s="13" t="s">
        <v>46</v>
      </c>
      <c r="H69" s="13" t="str">
        <f t="shared" si="9"/>
        <v/>
      </c>
      <c r="I69" s="13" t="str">
        <f t="shared" si="10"/>
        <v>0x00000494</v>
      </c>
      <c r="K69" s="13" t="str">
        <f t="shared" si="7"/>
        <v>{(U2)27U,</v>
      </c>
      <c r="L69" s="13" t="str">
        <f t="shared" si="8"/>
        <v>(U2)1U},</v>
      </c>
      <c r="M69" s="13" t="str">
        <f t="shared" si="11"/>
        <v>/* MBOX = 71 / 0x00000494 : Rx Mask = NOUSE */</v>
      </c>
    </row>
    <row r="70" spans="1:13">
      <c r="A70" s="13" t="str">
        <f>"0x00000"&amp;CANRx_G5M!$B74</f>
        <v>0x000004A1</v>
      </c>
      <c r="B70" s="13">
        <f>IF(CANRx_G5M!AF74&lt;&gt;"",CANRx_G5M!AF74,B69)</f>
        <v>28</v>
      </c>
      <c r="D70" s="13" t="s">
        <v>1293</v>
      </c>
      <c r="E70" s="13">
        <v>72</v>
      </c>
      <c r="F70" s="13" t="s">
        <v>1294</v>
      </c>
      <c r="G70" s="13" t="s">
        <v>46</v>
      </c>
      <c r="H70" s="13" t="str">
        <f t="shared" si="9"/>
        <v/>
      </c>
      <c r="I70" s="13" t="str">
        <f t="shared" si="10"/>
        <v>0x00000049</v>
      </c>
      <c r="K70" s="13" t="str">
        <f t="shared" si="7"/>
        <v>{(U2)0U,</v>
      </c>
      <c r="L70" s="13" t="str">
        <f t="shared" si="8"/>
        <v>(U2)1U},</v>
      </c>
      <c r="M70" s="13" t="str">
        <f t="shared" si="11"/>
        <v>/* MBOX = 72 / 0x00000049 : Rx Mask = NOUSE */</v>
      </c>
    </row>
    <row r="71" spans="1:13">
      <c r="A71" s="13" t="str">
        <f>"0x00000"&amp;CANRx_G5M!$B75</f>
        <v>0x000004A3</v>
      </c>
      <c r="B71" s="13">
        <f>IF(CANRx_G5M!AF75&lt;&gt;"",CANRx_G5M!AF75,B70)</f>
        <v>29</v>
      </c>
      <c r="D71" s="13" t="s">
        <v>1295</v>
      </c>
      <c r="E71" s="13">
        <v>73</v>
      </c>
      <c r="F71" s="13" t="s">
        <v>1296</v>
      </c>
      <c r="G71" s="13" t="s">
        <v>46</v>
      </c>
      <c r="H71" s="13" t="str">
        <f t="shared" si="9"/>
        <v/>
      </c>
      <c r="I71" s="13" t="str">
        <f t="shared" si="10"/>
        <v>0x000002F4</v>
      </c>
      <c r="K71" s="13" t="str">
        <f t="shared" si="7"/>
        <v>{(U2)23U,</v>
      </c>
      <c r="L71" s="13" t="str">
        <f t="shared" si="8"/>
        <v>(U2)1U},</v>
      </c>
      <c r="M71" s="13" t="str">
        <f t="shared" si="11"/>
        <v>/* MBOX = 73 / 0x000002f4 : Rx Mask = NOUSE */</v>
      </c>
    </row>
    <row r="72" spans="1:13">
      <c r="A72" s="13" t="str">
        <f>"0x00000"&amp;CANRx_G5M!$B76</f>
        <v>0x000004A4</v>
      </c>
      <c r="B72" s="13">
        <f>IF(CANRx_G5M!AF76&lt;&gt;"",CANRx_G5M!AF76,B71)</f>
        <v>30</v>
      </c>
      <c r="D72" s="13" t="s">
        <v>1297</v>
      </c>
      <c r="E72" s="13">
        <v>74</v>
      </c>
      <c r="F72" s="13" t="s">
        <v>1298</v>
      </c>
      <c r="G72" s="13" t="s">
        <v>46</v>
      </c>
      <c r="H72" s="13" t="str">
        <f t="shared" si="9"/>
        <v/>
      </c>
      <c r="I72" s="13" t="str">
        <f t="shared" si="10"/>
        <v>0x00000230</v>
      </c>
      <c r="K72" s="13" t="str">
        <f t="shared" si="7"/>
        <v>{(U2)16U,</v>
      </c>
      <c r="L72" s="13" t="str">
        <f t="shared" si="8"/>
        <v>(U2)1U},</v>
      </c>
      <c r="M72" s="13" t="str">
        <f t="shared" si="11"/>
        <v>/* MBOX = 74 / 0x00000230 : Rx Mask = NOUSE */</v>
      </c>
    </row>
    <row r="73" spans="1:13">
      <c r="A73" s="13" t="str">
        <f>"0x00000"&amp;CANRx_G5M!$B77</f>
        <v>0x000004A8</v>
      </c>
      <c r="B73" s="13">
        <f>IF(CANRx_G5M!AF77&lt;&gt;"",CANRx_G5M!AF77,B72)</f>
        <v>31</v>
      </c>
      <c r="D73" s="13" t="s">
        <v>1299</v>
      </c>
      <c r="E73" s="13">
        <v>75</v>
      </c>
      <c r="F73" s="13" t="s">
        <v>1300</v>
      </c>
      <c r="G73" s="13" t="s">
        <v>46</v>
      </c>
      <c r="H73" s="13" t="str">
        <f t="shared" si="9"/>
        <v/>
      </c>
      <c r="I73" s="13" t="str">
        <f t="shared" si="10"/>
        <v>0x000002C6</v>
      </c>
      <c r="K73" s="13" t="str">
        <f t="shared" si="7"/>
        <v>{(U2)21U,</v>
      </c>
      <c r="L73" s="13" t="str">
        <f t="shared" si="8"/>
        <v>(U2)1U},</v>
      </c>
      <c r="M73" s="13" t="str">
        <f t="shared" si="11"/>
        <v>/* MBOX = 75 / 0x000002c6 : Rx Mask = NOUSE */</v>
      </c>
    </row>
    <row r="74" spans="1:13">
      <c r="A74" s="13" t="str">
        <f>"0x00000"&amp;CANRx_G5M!$B78</f>
        <v>0x000004A9</v>
      </c>
      <c r="B74" s="13">
        <f>IF(CANRx_G5M!AF78&lt;&gt;"",CANRx_G5M!AF78,B73)</f>
        <v>32</v>
      </c>
      <c r="D74" s="13" t="s">
        <v>1301</v>
      </c>
      <c r="E74" s="13">
        <v>76</v>
      </c>
      <c r="F74" s="13" t="s">
        <v>1302</v>
      </c>
      <c r="G74" s="13" t="s">
        <v>46</v>
      </c>
      <c r="H74" s="13" t="str">
        <f t="shared" si="9"/>
        <v/>
      </c>
      <c r="I74" s="13" t="str">
        <f t="shared" si="10"/>
        <v>0x000002C7</v>
      </c>
      <c r="K74" s="13" t="str">
        <f t="shared" si="7"/>
        <v>{(U2)22U,</v>
      </c>
      <c r="L74" s="13" t="str">
        <f t="shared" si="8"/>
        <v>(U2)1U},</v>
      </c>
      <c r="M74" s="13" t="str">
        <f t="shared" si="11"/>
        <v>/* MBOX = 76 / 0x000002c7 : Rx Mask = NOUSE */</v>
      </c>
    </row>
    <row r="75" spans="1:13">
      <c r="A75" s="13" t="str">
        <f>"0x00000"&amp;CANRx_G5M!$B79</f>
        <v>0x000004AE</v>
      </c>
      <c r="B75" s="13">
        <f>IF(CANRx_G5M!AF79&lt;&gt;"",CANRx_G5M!AF79,B74)</f>
        <v>33</v>
      </c>
      <c r="D75" s="13" t="s">
        <v>1303</v>
      </c>
      <c r="E75" s="13">
        <v>77</v>
      </c>
      <c r="F75" s="13" t="s">
        <v>1304</v>
      </c>
      <c r="G75" s="13" t="s">
        <v>46</v>
      </c>
      <c r="H75" s="13" t="str">
        <f t="shared" si="9"/>
        <v/>
      </c>
      <c r="I75" s="13" t="str">
        <f t="shared" si="10"/>
        <v>0x000002C8</v>
      </c>
      <c r="K75" s="13" t="str">
        <f t="shared" si="7"/>
        <v>{(U2)22U,</v>
      </c>
      <c r="L75" s="13" t="str">
        <f t="shared" si="8"/>
        <v>(U2)1U},</v>
      </c>
      <c r="M75" s="13" t="str">
        <f t="shared" si="11"/>
        <v>/* MBOX = 77 / 0x000002c8 : Rx Mask = NOUSE */</v>
      </c>
    </row>
    <row r="76" spans="1:13">
      <c r="A76" s="13" t="str">
        <f>"0x00000"&amp;CANRx_G5M!$B80</f>
        <v>0x000004AF</v>
      </c>
      <c r="B76" s="13">
        <f>IF(CANRx_G5M!AF80&lt;&gt;"",CANRx_G5M!AF80,B75)</f>
        <v>33</v>
      </c>
      <c r="D76" s="13" t="s">
        <v>1305</v>
      </c>
      <c r="E76" s="13">
        <v>78</v>
      </c>
      <c r="F76" s="13" t="s">
        <v>1306</v>
      </c>
      <c r="G76" s="13" t="s">
        <v>46</v>
      </c>
      <c r="H76" s="13" t="str">
        <f t="shared" si="9"/>
        <v/>
      </c>
      <c r="I76" s="13" t="str">
        <f t="shared" si="10"/>
        <v>0x000001DB</v>
      </c>
      <c r="K76" s="13" t="str">
        <f t="shared" si="7"/>
        <v>{(U2)11U,</v>
      </c>
      <c r="L76" s="13" t="str">
        <f t="shared" si="8"/>
        <v>(U2)1U},</v>
      </c>
      <c r="M76" s="13" t="str">
        <f t="shared" si="11"/>
        <v>/* MBOX = 78 / 0x000001db : Rx Mask = NOUSE */</v>
      </c>
    </row>
    <row r="77" spans="1:13">
      <c r="A77" s="13" t="str">
        <f>"0x00000"&amp;CANRx_G5M!$B81</f>
        <v>0x00000583</v>
      </c>
      <c r="B77" s="13">
        <f>IF(CANRx_G5M!AF81&lt;&gt;"",CANRx_G5M!AF81,B76)</f>
        <v>33</v>
      </c>
      <c r="D77" s="13" t="s">
        <v>1307</v>
      </c>
      <c r="E77" s="13">
        <v>79</v>
      </c>
      <c r="F77" s="13" t="s">
        <v>1308</v>
      </c>
      <c r="G77" s="13" t="s">
        <v>46</v>
      </c>
      <c r="H77" s="13" t="str">
        <f t="shared" si="9"/>
        <v/>
      </c>
      <c r="I77" s="13" t="str">
        <f t="shared" si="10"/>
        <v>0x000004A9</v>
      </c>
      <c r="K77" s="13" t="str">
        <f t="shared" si="7"/>
        <v>{(U2)32U,</v>
      </c>
      <c r="L77" s="13" t="str">
        <f t="shared" si="8"/>
        <v>(U2)1U},</v>
      </c>
      <c r="M77" s="13" t="str">
        <f t="shared" si="11"/>
        <v>/* MBOX = 79 / 0x000004a9 : Rx Mask = NOUSE */</v>
      </c>
    </row>
    <row r="78" spans="1:13">
      <c r="A78" s="13" t="str">
        <f>"0x00000"&amp;CANRx_G5M!$B82</f>
        <v>0x00000589</v>
      </c>
      <c r="B78" s="13">
        <f>IF(CANRx_G5M!AF82&lt;&gt;"",CANRx_G5M!AF82,B77)</f>
        <v>34</v>
      </c>
      <c r="D78" s="13" t="s">
        <v>1309</v>
      </c>
      <c r="E78" s="13">
        <v>80</v>
      </c>
      <c r="F78" s="13" t="s">
        <v>1310</v>
      </c>
      <c r="G78" s="13" t="s">
        <v>46</v>
      </c>
      <c r="H78" s="13" t="str">
        <f t="shared" si="9"/>
        <v/>
      </c>
      <c r="I78" s="13" t="str">
        <f t="shared" si="10"/>
        <v>0x0000010B</v>
      </c>
      <c r="K78" s="13" t="str">
        <f t="shared" si="7"/>
        <v>{(U2)5U,</v>
      </c>
      <c r="L78" s="13" t="str">
        <f t="shared" si="8"/>
        <v>(U2)1U},</v>
      </c>
      <c r="M78" s="13" t="str">
        <f t="shared" si="11"/>
        <v>/* MBOX = 80 / 0x0000010b : Rx Mask = NOUSE */</v>
      </c>
    </row>
    <row r="79" spans="1:13">
      <c r="A79" s="13" t="str">
        <f>"0x00000"&amp;CANRx_G5M!$B83</f>
        <v>0x00000594</v>
      </c>
      <c r="B79" s="13">
        <f>IF(CANRx_G5M!AF83&lt;&gt;"",CANRx_G5M!AF83,B78)</f>
        <v>34</v>
      </c>
      <c r="D79" s="13" t="s">
        <v>1311</v>
      </c>
      <c r="E79" s="13">
        <v>81</v>
      </c>
      <c r="F79" s="13" t="s">
        <v>1312</v>
      </c>
      <c r="G79" s="13" t="s">
        <v>46</v>
      </c>
      <c r="H79" s="13" t="str">
        <f t="shared" si="9"/>
        <v/>
      </c>
      <c r="I79" s="13" t="str">
        <f t="shared" si="10"/>
        <v>0x000002FE</v>
      </c>
      <c r="K79" s="13" t="str">
        <f t="shared" si="7"/>
        <v>{(U2)24U,</v>
      </c>
      <c r="L79" s="13" t="str">
        <f t="shared" si="8"/>
        <v>(U2)1U},</v>
      </c>
      <c r="M79" s="13" t="str">
        <f t="shared" si="11"/>
        <v>/* MBOX = 81 / 0x000002fe : Rx Mask = NOUSE */</v>
      </c>
    </row>
    <row r="80" spans="1:13">
      <c r="A80" s="13" t="str">
        <f>"0x00000"&amp;CANRx_G5M!$B84</f>
        <v>0x000005F1</v>
      </c>
      <c r="B80" s="13">
        <f>IF(CANRx_G5M!AF84&lt;&gt;"",CANRx_G5M!AF84,B79)</f>
        <v>34</v>
      </c>
      <c r="D80" s="13" t="s">
        <v>1313</v>
      </c>
      <c r="E80" s="13">
        <v>82</v>
      </c>
      <c r="F80" s="13" t="s">
        <v>1314</v>
      </c>
      <c r="G80" s="13" t="s">
        <v>46</v>
      </c>
      <c r="H80" s="13" t="str">
        <f t="shared" si="9"/>
        <v/>
      </c>
      <c r="I80" s="13" t="str">
        <f t="shared" si="10"/>
        <v>0x000002A0</v>
      </c>
      <c r="K80" s="13" t="str">
        <f t="shared" si="7"/>
        <v>{(U2)20U,</v>
      </c>
      <c r="L80" s="13" t="str">
        <f t="shared" si="8"/>
        <v>(U2)1U},</v>
      </c>
      <c r="M80" s="13" t="str">
        <f t="shared" si="11"/>
        <v>/* MBOX = 82 / 0x000002a0 : Rx Mask = NOUSE */</v>
      </c>
    </row>
    <row r="81" spans="1:13">
      <c r="A81" s="13" t="str">
        <f>"0x00000"&amp;CANRx_G5M!$B85</f>
        <v>0x000005F3</v>
      </c>
      <c r="B81" s="13">
        <f>IF(CANRx_G5M!AF85&lt;&gt;"",CANRx_G5M!AF85,B80)</f>
        <v>35</v>
      </c>
      <c r="D81" s="13" t="s">
        <v>1315</v>
      </c>
      <c r="E81" s="13">
        <v>83</v>
      </c>
      <c r="F81" s="13" t="s">
        <v>1316</v>
      </c>
      <c r="G81" s="13" t="s">
        <v>46</v>
      </c>
      <c r="H81" s="13" t="str">
        <f t="shared" si="9"/>
        <v/>
      </c>
      <c r="I81" s="13" t="str">
        <f t="shared" si="10"/>
        <v>0x000000A0</v>
      </c>
      <c r="K81" s="13" t="str">
        <f t="shared" si="7"/>
        <v>{(U2)2U,</v>
      </c>
      <c r="L81" s="13" t="str">
        <f t="shared" si="8"/>
        <v>(U2)1U},</v>
      </c>
      <c r="M81" s="13" t="str">
        <f t="shared" si="11"/>
        <v>/* MBOX = 83 / 0x000000a0 : Rx Mask = NOUSE */</v>
      </c>
    </row>
    <row r="82" spans="1:13">
      <c r="A82" s="13" t="str">
        <f>"0x00000"&amp;CANRx_G5M!$B86</f>
        <v>0x000005F4</v>
      </c>
      <c r="B82" s="13">
        <f>IF(CANRx_G5M!AF86&lt;&gt;"",CANRx_G5M!AF86,B81)</f>
        <v>35</v>
      </c>
      <c r="D82" s="13" t="s">
        <v>1317</v>
      </c>
      <c r="E82" s="13">
        <v>84</v>
      </c>
      <c r="F82" s="13" t="s">
        <v>1318</v>
      </c>
      <c r="G82" s="13" t="s">
        <v>46</v>
      </c>
      <c r="H82" s="13" t="str">
        <f t="shared" si="9"/>
        <v/>
      </c>
      <c r="I82" s="13" t="str">
        <f t="shared" si="10"/>
        <v>0x000004A4</v>
      </c>
      <c r="K82" s="13" t="str">
        <f t="shared" si="7"/>
        <v>{(U2)30U,</v>
      </c>
      <c r="L82" s="13" t="str">
        <f t="shared" si="8"/>
        <v>(U2)1U},</v>
      </c>
      <c r="M82" s="13" t="str">
        <f t="shared" si="11"/>
        <v>/* MBOX = 84 / 0x000004a4 : Rx Mask = NOUSE */</v>
      </c>
    </row>
    <row r="83" spans="1:13">
      <c r="A83" s="13" t="str">
        <f>"0x00000"&amp;CANRx_G5M!$B87</f>
        <v>0x000005F6</v>
      </c>
      <c r="B83" s="13">
        <f>IF(CANRx_G5M!AF87&lt;&gt;"",CANRx_G5M!AF87,B82)</f>
        <v>35</v>
      </c>
      <c r="D83" s="13" t="s">
        <v>1319</v>
      </c>
      <c r="E83" s="13">
        <v>85</v>
      </c>
      <c r="F83" s="13" t="s">
        <v>1320</v>
      </c>
      <c r="G83" s="13" t="s">
        <v>46</v>
      </c>
      <c r="H83" s="13" t="str">
        <f t="shared" si="9"/>
        <v/>
      </c>
      <c r="I83" s="13" t="str">
        <f t="shared" si="10"/>
        <v>0x000004A1</v>
      </c>
      <c r="K83" s="13" t="str">
        <f t="shared" si="7"/>
        <v>{(U2)28U,</v>
      </c>
      <c r="L83" s="13" t="str">
        <f t="shared" si="8"/>
        <v>(U2)1U},</v>
      </c>
      <c r="M83" s="13" t="str">
        <f t="shared" si="11"/>
        <v>/* MBOX = 85 / 0x000004a1 : Rx Mask = NOUSE */</v>
      </c>
    </row>
    <row r="84" spans="1:13">
      <c r="A84" s="13" t="str">
        <f>"0x00000"&amp;CANRx_G5M!$B88</f>
        <v>0x00000613</v>
      </c>
      <c r="B84" s="13">
        <f>IF(CANRx_G5M!AF88&lt;&gt;"",CANRx_G5M!AF88,B83)</f>
        <v>36</v>
      </c>
      <c r="D84" s="13" t="s">
        <v>1321</v>
      </c>
      <c r="E84" s="13">
        <v>86</v>
      </c>
      <c r="F84" s="13" t="s">
        <v>1322</v>
      </c>
      <c r="G84" s="13" t="s">
        <v>46</v>
      </c>
      <c r="H84" s="13" t="str">
        <f t="shared" si="9"/>
        <v/>
      </c>
      <c r="I84" s="13" t="str">
        <f t="shared" si="10"/>
        <v>0x00000262</v>
      </c>
      <c r="K84" s="13" t="str">
        <f t="shared" si="7"/>
        <v>{(U2)17U,</v>
      </c>
      <c r="L84" s="13" t="str">
        <f t="shared" si="8"/>
        <v>(U2)1U},</v>
      </c>
      <c r="M84" s="13" t="str">
        <f t="shared" si="11"/>
        <v>/* MBOX = 86 / 0x00000262 : Rx Mask = NOUSE */</v>
      </c>
    </row>
    <row r="85" spans="1:13">
      <c r="A85" s="14" t="str">
        <f>"0x"&amp;CANRx_G5M!$B89</f>
        <v>0x18002000</v>
      </c>
      <c r="B85" s="14">
        <f>IF(CANRx_G5M!AF89&lt;&gt;"",CANRx_G5M!AF89,#REF!)</f>
        <v>37</v>
      </c>
      <c r="D85" s="13" t="s">
        <v>1323</v>
      </c>
      <c r="E85" s="13">
        <v>87</v>
      </c>
      <c r="F85" s="13" t="s">
        <v>1324</v>
      </c>
      <c r="G85" s="13" t="s">
        <v>1325</v>
      </c>
      <c r="I85" s="13" t="str">
        <f t="shared" ref="I85" si="12">IF(H85&lt;&gt;"","0x"&amp;DEC2HEX(H85,8),F85)</f>
        <v>0x18002000</v>
      </c>
      <c r="K85" s="14" t="str">
        <f t="shared" si="7"/>
        <v>{(U2)37U,</v>
      </c>
      <c r="L85" s="14" t="s">
        <v>1326</v>
      </c>
      <c r="M85" s="13" t="str">
        <f t="shared" ref="M85" si="13">"/* MBOX = "&amp;E85&amp;" / "&amp;LOWER(F85)&amp;" : Rx Mask = "&amp;G85&amp;" */"</f>
        <v>/* MBOX = 87 / 0x18002000 : Rx Mask = 0x800001FF */</v>
      </c>
    </row>
    <row r="86" spans="1:13">
      <c r="A86" s="14" t="str">
        <f>"0x"&amp;CANRx_G5M!$B90</f>
        <v>0x180021ff</v>
      </c>
      <c r="B86" s="14">
        <f>IF(CANRx_G5M!AF90&lt;&gt;"",CANRx_G5M!AF90,B85)</f>
        <v>37</v>
      </c>
    </row>
    <row r="87" spans="1:13">
      <c r="A87" s="14" t="str">
        <f>"0x"&amp;CANRx_G5M!$B91</f>
        <v>0x18002000</v>
      </c>
      <c r="B87" s="14">
        <f>IF(CANRx_G5M!AF91&lt;&gt;"",CANRx_G5M!AF91,B86)</f>
        <v>38</v>
      </c>
    </row>
    <row r="88" spans="1:13">
      <c r="A88" s="14" t="str">
        <f>"0x"&amp;CANRx_G5M!$B92</f>
        <v>0x180021ff</v>
      </c>
      <c r="B88" s="14">
        <f>IF(CANRx_G5M!AF92&lt;&gt;"",CANRx_G5M!AF92,B87)</f>
        <v>38</v>
      </c>
    </row>
    <row r="133" spans="4:12">
      <c r="D133" s="14"/>
      <c r="E133" s="14"/>
      <c r="F133" s="14"/>
      <c r="G133" s="14"/>
      <c r="K133" s="14"/>
      <c r="L133" s="14"/>
    </row>
    <row r="134" spans="4:12">
      <c r="D134" s="14"/>
      <c r="E134" s="14"/>
      <c r="F134" s="14"/>
      <c r="G134" s="14"/>
      <c r="K134" s="14"/>
      <c r="L134" s="14"/>
    </row>
    <row r="135" spans="4:12">
      <c r="D135" s="14"/>
      <c r="E135" s="14"/>
      <c r="F135" s="14"/>
      <c r="G135" s="14"/>
      <c r="K135" s="14"/>
      <c r="L135" s="14"/>
    </row>
  </sheetData>
  <phoneticPr fontId="4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DE765-85D9-461A-ACE6-380138B9A2B7}">
  <sheetPr codeName="Sheet8"/>
  <dimension ref="A1:AT61"/>
  <sheetViews>
    <sheetView topLeftCell="O1" workbookViewId="0">
      <selection activeCell="AG6" sqref="AG6:AH8"/>
    </sheetView>
  </sheetViews>
  <sheetFormatPr defaultColWidth="9" defaultRowHeight="13.5" outlineLevelCol="1"/>
  <cols>
    <col min="1" max="1" width="12" style="5" bestFit="1" customWidth="1"/>
    <col min="2" max="2" width="10.75" style="5" bestFit="1" customWidth="1"/>
    <col min="3" max="3" width="5.125" style="5" bestFit="1" customWidth="1"/>
    <col min="4" max="4" width="5" style="5" bestFit="1" customWidth="1"/>
    <col min="5" max="5" width="7.625" style="5" bestFit="1" customWidth="1"/>
    <col min="6" max="6" width="8.375" style="5" bestFit="1" customWidth="1"/>
    <col min="7" max="9" width="2.75" style="5" bestFit="1" customWidth="1"/>
    <col min="10" max="11" width="4.375" style="5" customWidth="1"/>
    <col min="12" max="24" width="3.625" style="6" customWidth="1"/>
    <col min="25" max="25" width="5" style="6" customWidth="1"/>
    <col min="26" max="26" width="5.375" style="6" customWidth="1"/>
    <col min="27" max="27" width="64.375" style="6" bestFit="1" customWidth="1" outlineLevel="1"/>
    <col min="28" max="32" width="5.625" style="6" customWidth="1" outlineLevel="1"/>
    <col min="33" max="34" width="6.625" style="6" customWidth="1"/>
    <col min="35" max="35" width="20.625" style="6" customWidth="1"/>
    <col min="36" max="39" width="20.625" style="6" customWidth="1" outlineLevel="1"/>
    <col min="40" max="40" width="5.125" style="6" bestFit="1" customWidth="1" outlineLevel="1"/>
    <col min="41" max="41" width="41.875" style="6" bestFit="1" customWidth="1" outlineLevel="1"/>
    <col min="42" max="42" width="5.625" style="6" customWidth="1"/>
    <col min="43" max="45" width="14.875" style="6" bestFit="1" customWidth="1"/>
    <col min="46" max="46" width="41.875" style="6" bestFit="1" customWidth="1"/>
    <col min="47" max="16384" width="9" style="5"/>
  </cols>
  <sheetData>
    <row r="1" spans="1:46">
      <c r="A1" s="48" t="s">
        <v>2</v>
      </c>
      <c r="B1" s="49"/>
      <c r="C1" s="49"/>
      <c r="D1" s="49"/>
      <c r="E1" s="49"/>
      <c r="F1" s="49"/>
      <c r="G1" s="50"/>
      <c r="H1" s="50"/>
      <c r="I1" s="51"/>
      <c r="J1" s="51"/>
      <c r="K1" s="6">
        <f t="shared" ref="K1:V1" si="0">L1+1</f>
        <v>13</v>
      </c>
      <c r="L1" s="6">
        <f t="shared" si="0"/>
        <v>12</v>
      </c>
      <c r="M1" s="6">
        <f t="shared" si="0"/>
        <v>11</v>
      </c>
      <c r="N1" s="6">
        <f t="shared" si="0"/>
        <v>10</v>
      </c>
      <c r="O1" s="6">
        <f t="shared" si="0"/>
        <v>9</v>
      </c>
      <c r="P1" s="6">
        <f t="shared" si="0"/>
        <v>8</v>
      </c>
      <c r="Q1" s="6">
        <f t="shared" si="0"/>
        <v>7</v>
      </c>
      <c r="R1" s="6">
        <f t="shared" si="0"/>
        <v>6</v>
      </c>
      <c r="S1" s="6">
        <f t="shared" si="0"/>
        <v>5</v>
      </c>
      <c r="T1" s="6">
        <f t="shared" si="0"/>
        <v>4</v>
      </c>
      <c r="U1" s="6">
        <f t="shared" si="0"/>
        <v>3</v>
      </c>
      <c r="V1" s="6">
        <f t="shared" si="0"/>
        <v>2</v>
      </c>
      <c r="W1" s="6">
        <f>X1+1</f>
        <v>1</v>
      </c>
      <c r="X1" s="6">
        <v>0</v>
      </c>
      <c r="Y1" s="89"/>
      <c r="AF1" s="96"/>
      <c r="AG1" s="38"/>
      <c r="AH1" s="96"/>
    </row>
    <row r="2" spans="1:46">
      <c r="A2" s="52"/>
      <c r="B2" s="53"/>
      <c r="C2" s="53"/>
      <c r="D2" s="53"/>
      <c r="E2" s="53"/>
      <c r="F2" s="53"/>
      <c r="G2" s="54"/>
      <c r="H2" s="54"/>
      <c r="I2" s="55"/>
      <c r="J2" s="55"/>
      <c r="K2" s="6">
        <f t="shared" ref="K2" si="1">MAX(K6:K6)</f>
        <v>0</v>
      </c>
      <c r="L2" s="6">
        <f t="shared" ref="L2:X2" si="2">MAX(L6:L6)</f>
        <v>0</v>
      </c>
      <c r="M2" s="6">
        <f t="shared" si="2"/>
        <v>0</v>
      </c>
      <c r="N2" s="6">
        <f t="shared" si="2"/>
        <v>0</v>
      </c>
      <c r="O2" s="6">
        <f t="shared" si="2"/>
        <v>1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6">
        <f t="shared" si="2"/>
        <v>0</v>
      </c>
      <c r="Y2" s="90">
        <f>SUM(K2:X2)</f>
        <v>1</v>
      </c>
      <c r="AA2" s="6" t="s">
        <v>749</v>
      </c>
      <c r="AF2" s="96"/>
      <c r="AG2" s="38"/>
      <c r="AH2" s="96"/>
    </row>
    <row r="3" spans="1:46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J3" s="68" t="s">
        <v>1327</v>
      </c>
      <c r="K3" s="12">
        <f t="shared" ref="K3:V3" si="3">L3*2</f>
        <v>8192</v>
      </c>
      <c r="L3" s="12">
        <f t="shared" si="3"/>
        <v>4096</v>
      </c>
      <c r="M3" s="12">
        <f t="shared" si="3"/>
        <v>2048</v>
      </c>
      <c r="N3" s="12">
        <f t="shared" si="3"/>
        <v>1024</v>
      </c>
      <c r="O3" s="12">
        <f t="shared" si="3"/>
        <v>512</v>
      </c>
      <c r="P3" s="12">
        <f t="shared" si="3"/>
        <v>256</v>
      </c>
      <c r="Q3" s="12">
        <f t="shared" si="3"/>
        <v>128</v>
      </c>
      <c r="R3" s="12">
        <f t="shared" si="3"/>
        <v>64</v>
      </c>
      <c r="S3" s="12">
        <f t="shared" si="3"/>
        <v>32</v>
      </c>
      <c r="T3" s="12">
        <f t="shared" si="3"/>
        <v>16</v>
      </c>
      <c r="U3" s="12">
        <f t="shared" si="3"/>
        <v>8</v>
      </c>
      <c r="V3" s="12">
        <f t="shared" si="3"/>
        <v>4</v>
      </c>
      <c r="W3" s="12">
        <f>X3*2</f>
        <v>2</v>
      </c>
      <c r="X3" s="12">
        <v>1</v>
      </c>
      <c r="Y3" s="91">
        <v>1</v>
      </c>
      <c r="Z3" s="12"/>
      <c r="AA3" s="6" t="s">
        <v>751</v>
      </c>
      <c r="AF3" s="97"/>
      <c r="AG3" s="38"/>
      <c r="AH3" s="96"/>
    </row>
    <row r="4" spans="1:46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J4" s="40" t="s">
        <v>18</v>
      </c>
      <c r="K4" s="17" t="s">
        <v>1328</v>
      </c>
      <c r="L4" s="17" t="s">
        <v>753</v>
      </c>
      <c r="M4" s="17" t="s">
        <v>754</v>
      </c>
      <c r="N4" s="17" t="s">
        <v>755</v>
      </c>
      <c r="O4" s="17" t="s">
        <v>756</v>
      </c>
      <c r="P4" s="17" t="s">
        <v>757</v>
      </c>
      <c r="Q4" s="17" t="s">
        <v>758</v>
      </c>
      <c r="R4" s="17" t="s">
        <v>759</v>
      </c>
      <c r="S4" s="17" t="s">
        <v>760</v>
      </c>
      <c r="T4" s="17" t="s">
        <v>761</v>
      </c>
      <c r="U4" s="17" t="s">
        <v>762</v>
      </c>
      <c r="V4" s="17" t="s">
        <v>763</v>
      </c>
      <c r="W4" s="17" t="s">
        <v>764</v>
      </c>
      <c r="X4" s="17" t="s">
        <v>765</v>
      </c>
      <c r="Y4" s="92" t="s">
        <v>766</v>
      </c>
      <c r="Z4" s="17" t="s">
        <v>767</v>
      </c>
      <c r="AA4" s="70" t="s">
        <v>768</v>
      </c>
      <c r="AB4" s="19"/>
      <c r="AC4" s="19"/>
      <c r="AF4" s="98"/>
      <c r="AG4" s="107" t="s">
        <v>769</v>
      </c>
      <c r="AH4" s="108" t="s">
        <v>770</v>
      </c>
      <c r="AI4" s="19" t="s">
        <v>771</v>
      </c>
      <c r="AJ4" s="19" t="s">
        <v>772</v>
      </c>
      <c r="AK4" s="19" t="s">
        <v>773</v>
      </c>
      <c r="AL4" s="19" t="s">
        <v>774</v>
      </c>
      <c r="AM4" s="19" t="s">
        <v>775</v>
      </c>
      <c r="AN4" s="19"/>
      <c r="AO4" s="19"/>
      <c r="AP4" s="12"/>
    </row>
    <row r="5" spans="1:46" s="20" customForma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21" t="s">
        <v>776</v>
      </c>
      <c r="Y5" s="95" t="s">
        <v>776</v>
      </c>
      <c r="Z5" s="21" t="s">
        <v>776</v>
      </c>
      <c r="AA5" s="21" t="s">
        <v>776</v>
      </c>
      <c r="AB5" s="21" t="s">
        <v>776</v>
      </c>
      <c r="AC5" s="21" t="s">
        <v>776</v>
      </c>
      <c r="AD5" s="21" t="s">
        <v>776</v>
      </c>
      <c r="AE5" s="21" t="s">
        <v>776</v>
      </c>
      <c r="AF5" s="99" t="s">
        <v>776</v>
      </c>
      <c r="AG5" s="86" t="s">
        <v>776</v>
      </c>
      <c r="AH5" s="99" t="s">
        <v>776</v>
      </c>
      <c r="AI5" s="21" t="s">
        <v>776</v>
      </c>
      <c r="AJ5" s="21" t="s">
        <v>776</v>
      </c>
      <c r="AK5" s="21" t="s">
        <v>776</v>
      </c>
      <c r="AL5" s="21" t="s">
        <v>776</v>
      </c>
      <c r="AM5" s="21"/>
      <c r="AN5" s="21" t="s">
        <v>776</v>
      </c>
      <c r="AO5" s="21" t="s">
        <v>776</v>
      </c>
      <c r="AP5" s="21"/>
      <c r="AQ5" s="21"/>
      <c r="AR5" s="21"/>
      <c r="AS5" s="21"/>
      <c r="AT5" s="21"/>
    </row>
    <row r="6" spans="1:46">
      <c r="A6" s="7" t="s">
        <v>1329</v>
      </c>
      <c r="B6" s="7">
        <v>201</v>
      </c>
      <c r="C6" s="7">
        <v>0</v>
      </c>
      <c r="D6" s="202">
        <v>8</v>
      </c>
      <c r="E6" s="7">
        <v>1000</v>
      </c>
      <c r="F6" s="7">
        <v>0</v>
      </c>
      <c r="G6" s="7"/>
      <c r="H6" s="7"/>
      <c r="I6" s="7"/>
      <c r="J6" s="7" t="s">
        <v>740</v>
      </c>
      <c r="K6" s="15" t="s">
        <v>593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89"/>
      <c r="Z6" s="6">
        <v>0</v>
      </c>
      <c r="AA6" s="6">
        <v>32768</v>
      </c>
      <c r="AF6" s="96"/>
      <c r="AG6" s="38">
        <v>0</v>
      </c>
      <c r="AH6" s="96">
        <v>0</v>
      </c>
      <c r="AI6" s="6" t="str">
        <f>"0x00000"&amp;B6</f>
        <v>0x00000201</v>
      </c>
      <c r="AJ6" s="6">
        <f>HEX2DEC(RIGHT(AI6,8))</f>
        <v>513</v>
      </c>
      <c r="AK6" s="6" t="str">
        <f>IF(AG6&lt;&gt;"",AI6,"")</f>
        <v>0x00000201</v>
      </c>
      <c r="AL6" s="6" t="str">
        <f>IF(AG6&lt;&gt;"",VLOOKUP(AG6,$AH$6:$AI$7,2,TRUE),"")</f>
        <v>0x00000201</v>
      </c>
      <c r="AM6" s="6">
        <f>IF($AG6&lt;&gt;"",MIN($D6:$D6),"")</f>
        <v>8</v>
      </c>
    </row>
    <row r="7" spans="1:46">
      <c r="A7" s="7" t="s">
        <v>1330</v>
      </c>
      <c r="B7" s="7">
        <v>310</v>
      </c>
      <c r="C7" s="7">
        <v>0</v>
      </c>
      <c r="D7" s="202">
        <v>3</v>
      </c>
      <c r="E7" s="7">
        <v>1000</v>
      </c>
      <c r="F7" s="7">
        <v>0</v>
      </c>
      <c r="G7" s="7"/>
      <c r="H7" s="7"/>
      <c r="I7" s="7"/>
      <c r="J7" s="7" t="s">
        <v>740</v>
      </c>
      <c r="K7" s="15" t="s">
        <v>1331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89"/>
      <c r="Z7" s="6">
        <v>0</v>
      </c>
      <c r="AA7" s="6">
        <v>32768</v>
      </c>
      <c r="AF7" s="96"/>
      <c r="AG7" s="38">
        <v>1</v>
      </c>
      <c r="AH7" s="96"/>
      <c r="AI7" s="6" t="str">
        <f>"0x00000"&amp;B7</f>
        <v>0x00000310</v>
      </c>
      <c r="AJ7" s="6">
        <f>HEX2DEC(RIGHT(AI7,8))</f>
        <v>784</v>
      </c>
      <c r="AK7" s="6" t="str">
        <f>IF(AG7&lt;&gt;"",AI7,"")</f>
        <v>0x00000310</v>
      </c>
      <c r="AL7" s="6" t="str">
        <f>IF(AG7&lt;&gt;"",VLOOKUP(AG7,$AH$6:$AI$8,2,TRUE),"")</f>
        <v>0x00000311</v>
      </c>
      <c r="AM7" s="6">
        <f>IF($AG7&lt;&gt;"",MIN($D7:$D7),"")</f>
        <v>3</v>
      </c>
    </row>
    <row r="8" spans="1:46">
      <c r="A8" s="7" t="s">
        <v>1332</v>
      </c>
      <c r="B8" s="7">
        <v>311</v>
      </c>
      <c r="C8" s="7">
        <v>0</v>
      </c>
      <c r="D8" s="202">
        <v>3</v>
      </c>
      <c r="E8" s="7">
        <v>200</v>
      </c>
      <c r="F8" s="7">
        <v>0</v>
      </c>
      <c r="G8" s="7"/>
      <c r="H8" s="7"/>
      <c r="I8" s="7"/>
      <c r="J8" s="197" t="s">
        <v>740</v>
      </c>
      <c r="K8" s="221">
        <v>0</v>
      </c>
      <c r="L8" s="6">
        <v>0</v>
      </c>
      <c r="M8" s="6">
        <v>0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89"/>
      <c r="Z8" s="6">
        <v>0</v>
      </c>
      <c r="AA8" s="6">
        <v>32768</v>
      </c>
      <c r="AF8" s="96"/>
      <c r="AG8" s="38"/>
      <c r="AH8" s="96">
        <v>1</v>
      </c>
      <c r="AI8" s="6" t="str">
        <f>"0x00000"&amp;B8</f>
        <v>0x00000311</v>
      </c>
      <c r="AJ8" s="6">
        <f>HEX2DEC(RIGHT(AI8,8))</f>
        <v>785</v>
      </c>
      <c r="AK8" s="6" t="str">
        <f>IF(AG8&lt;&gt;"",AI8,"")</f>
        <v/>
      </c>
      <c r="AL8" s="6" t="str">
        <f>IF(AG8&lt;&gt;"",VLOOKUP(AG8,$AH$6:$AI$8,2,TRUE),"")</f>
        <v/>
      </c>
      <c r="AM8" s="6" t="str">
        <f>IF($AG8&lt;&gt;"",MIN($D8:$D8),"")</f>
        <v/>
      </c>
    </row>
    <row r="9" spans="1:46">
      <c r="A9" s="15"/>
      <c r="B9" s="22"/>
      <c r="C9" s="11"/>
      <c r="Y9" s="89"/>
      <c r="AF9" s="96"/>
      <c r="AG9" s="38"/>
      <c r="AH9" s="96"/>
    </row>
    <row r="10" spans="1:46">
      <c r="A10" s="6" t="s">
        <v>776</v>
      </c>
      <c r="B10" s="6" t="s">
        <v>776</v>
      </c>
      <c r="C10" s="6" t="s">
        <v>776</v>
      </c>
      <c r="D10" s="6" t="s">
        <v>776</v>
      </c>
      <c r="E10" s="6" t="s">
        <v>776</v>
      </c>
      <c r="F10" s="6" t="s">
        <v>776</v>
      </c>
      <c r="G10" s="6" t="s">
        <v>776</v>
      </c>
      <c r="H10" s="6" t="s">
        <v>776</v>
      </c>
      <c r="I10" s="6" t="s">
        <v>776</v>
      </c>
      <c r="J10" s="6" t="s">
        <v>776</v>
      </c>
      <c r="K10" s="6"/>
      <c r="L10" s="6" t="s">
        <v>776</v>
      </c>
      <c r="M10" s="6" t="s">
        <v>776</v>
      </c>
      <c r="N10" s="6" t="s">
        <v>776</v>
      </c>
      <c r="O10" s="6" t="s">
        <v>776</v>
      </c>
      <c r="P10" s="6" t="s">
        <v>776</v>
      </c>
      <c r="Q10" s="6" t="s">
        <v>776</v>
      </c>
      <c r="R10" s="6" t="s">
        <v>776</v>
      </c>
      <c r="S10" s="6" t="s">
        <v>776</v>
      </c>
      <c r="T10" s="6" t="s">
        <v>776</v>
      </c>
      <c r="U10" s="6" t="s">
        <v>776</v>
      </c>
      <c r="V10" s="6" t="s">
        <v>776</v>
      </c>
      <c r="W10" s="6" t="s">
        <v>776</v>
      </c>
      <c r="X10" s="6" t="s">
        <v>776</v>
      </c>
      <c r="Y10" s="89" t="s">
        <v>776</v>
      </c>
      <c r="Z10" s="6" t="s">
        <v>776</v>
      </c>
      <c r="AA10" s="6" t="s">
        <v>776</v>
      </c>
      <c r="AD10" s="6" t="s">
        <v>776</v>
      </c>
      <c r="AE10" s="6" t="s">
        <v>776</v>
      </c>
      <c r="AF10" s="96" t="s">
        <v>776</v>
      </c>
      <c r="AG10" s="38" t="s">
        <v>776</v>
      </c>
      <c r="AH10" s="96" t="s">
        <v>776</v>
      </c>
      <c r="AI10" s="6" t="s">
        <v>776</v>
      </c>
      <c r="AJ10" s="6" t="s">
        <v>776</v>
      </c>
      <c r="AK10" s="6" t="s">
        <v>776</v>
      </c>
      <c r="AL10" s="6" t="s">
        <v>776</v>
      </c>
      <c r="AN10" s="6" t="s">
        <v>776</v>
      </c>
      <c r="AO10" s="6" t="s">
        <v>776</v>
      </c>
      <c r="AP10" s="6" t="s">
        <v>776</v>
      </c>
    </row>
    <row r="11" spans="1:46" ht="15">
      <c r="A11" s="15" t="str">
        <f t="shared" ref="A11:D13" si="4">A6</f>
        <v>MCDMN01</v>
      </c>
      <c r="B11" s="15">
        <f t="shared" si="4"/>
        <v>201</v>
      </c>
      <c r="C11" s="15">
        <f t="shared" si="4"/>
        <v>0</v>
      </c>
      <c r="D11" s="15">
        <f t="shared" si="4"/>
        <v>8</v>
      </c>
      <c r="E11" s="15"/>
      <c r="F11" s="15">
        <f>F6</f>
        <v>0</v>
      </c>
      <c r="G11" s="16" t="str">
        <f t="shared" ref="G11:I13" si="5">IF(G6&lt;&gt;"",G6,"")</f>
        <v/>
      </c>
      <c r="H11" s="16" t="str">
        <f t="shared" si="5"/>
        <v/>
      </c>
      <c r="I11" s="16" t="str">
        <f t="shared" si="5"/>
        <v/>
      </c>
      <c r="Y11" s="119">
        <v>0</v>
      </c>
      <c r="Z11" s="18"/>
      <c r="AA11" s="18" t="str">
        <f>"(U2)0x"&amp;IF(LOWER(DEC2HEX(VLOOKUP($Y11,$Z$6:$AB$8,2,FALSE),4))= "ffff",LOWER(DEC2HEX(VLOOKUP($Y11,$Z$6:$AB$8,2,FALSE),4))&amp;"U,",LOWER(DEC2HEX(VLOOKUP($Y11,$Z$6:$AB$8,2,FALSE),4))&amp;"U"&amp;" | (U2)BSW_VCAN_CFG_VMBOX_UTXOFFSET_0,")</f>
        <v>(U2)0x8000U | (U2)BSW_VCAN_CFG_VMBOX_UTXOFFSET_0,</v>
      </c>
      <c r="AB11" s="18"/>
      <c r="AC11" s="18"/>
      <c r="AD11" s="18" t="str">
        <f t="shared" ref="AD11" si="6">"/* "&amp;($Y11*$Y$3)&amp;" */"</f>
        <v>/* 0 */</v>
      </c>
      <c r="AF11" s="96"/>
      <c r="AG11" s="38">
        <f>IF(AG6&lt;&gt;"",AG6,"")</f>
        <v>0</v>
      </c>
      <c r="AH11" s="96" t="str">
        <f>IF($AG6&lt;&gt;"","", "/* ")</f>
        <v/>
      </c>
      <c r="AI11" s="6" t="str">
        <f>IF($AG6&lt;&gt;"","{(U4)0x"&amp;LOWER(DEC2HEX($K6*$K$3+$L6*$L$3+$M6*$M$3+$N6*$N$3+$O6*$O$3+$W6*$W$3,8))&amp;"U,",AI10)</f>
        <v>{(U4)0x00002200U,</v>
      </c>
      <c r="AJ11" s="6" t="str">
        <f>IF($AG6&lt;&gt;"", "(U4)"&amp;LOWER($AK6)&amp;"U,",AJ10)</f>
        <v>(U4)0x00000201U,</v>
      </c>
      <c r="AK11" s="6" t="str">
        <f>IF($AG6&lt;&gt;"", "(U4)"&amp;LOWER($AL6)&amp;"U,",AK10)</f>
        <v>(U4)0x00000201U,</v>
      </c>
      <c r="AL11" s="6" t="str">
        <f xml:space="preserve"> IF($AG6&lt;&gt;"", "(U2)"&amp;$AM6&amp;"U,",AL10)</f>
        <v>(U2)8U,</v>
      </c>
      <c r="AM11" s="6" t="str">
        <f xml:space="preserve"> IF($AG6&lt;&gt;"", "(U2)"&amp;$Z6*$Y$3&amp;"U},",AM10)</f>
        <v>(U2)0U},</v>
      </c>
      <c r="AN11" s="6" t="str">
        <f>IF($AG6&lt;&gt;"","", " */")</f>
        <v/>
      </c>
      <c r="AO11" s="6" t="str">
        <f>"/* "&amp;IF($AG6&lt;&gt;"",$AG6," ")&amp;" : "&amp;$A6&amp;" = "&amp;LOWER($AI6)&amp;" */"</f>
        <v>/* 0 : MCDMN01 = 0x00000201 */</v>
      </c>
    </row>
    <row r="12" spans="1:46" ht="15">
      <c r="A12" s="15" t="str">
        <f t="shared" si="4"/>
        <v>MCDMS01</v>
      </c>
      <c r="B12" s="15">
        <f t="shared" si="4"/>
        <v>310</v>
      </c>
      <c r="C12" s="15">
        <f t="shared" si="4"/>
        <v>0</v>
      </c>
      <c r="D12" s="15">
        <f t="shared" si="4"/>
        <v>3</v>
      </c>
      <c r="E12" s="15"/>
      <c r="F12" s="15">
        <f>F7</f>
        <v>0</v>
      </c>
      <c r="G12" s="16" t="str">
        <f t="shared" si="5"/>
        <v/>
      </c>
      <c r="H12" s="16" t="str">
        <f t="shared" si="5"/>
        <v/>
      </c>
      <c r="I12" s="16" t="str">
        <f t="shared" si="5"/>
        <v/>
      </c>
      <c r="Y12" s="119"/>
      <c r="Z12" s="18"/>
      <c r="AA12" s="18"/>
      <c r="AB12" s="18"/>
      <c r="AC12" s="18"/>
      <c r="AD12" s="18"/>
      <c r="AF12" s="96"/>
      <c r="AG12" s="38">
        <f>IF(AG7&lt;&gt;"",AG7,"")</f>
        <v>1</v>
      </c>
      <c r="AH12" s="96" t="str">
        <f>IF($AG7&lt;&gt;"","", "/* ")</f>
        <v/>
      </c>
      <c r="AI12" s="6" t="str">
        <f>IF($AG7&lt;&gt;"","{(U4)0x"&amp;LOWER(DEC2HEX($K7*$K$3+$L7*$L$3+$M7*$M$3+$N7*$N$3+$O7*$O$3+$W7*$W$3,8))&amp;"U,",AI11)</f>
        <v>{(U4)0x00000200U,</v>
      </c>
      <c r="AJ12" s="6" t="str">
        <f>IF($AG7&lt;&gt;"", "(U4)"&amp;LOWER($AK7)&amp;"U,",AJ11)</f>
        <v>(U4)0x00000310U,</v>
      </c>
      <c r="AK12" s="6" t="str">
        <f>IF($AG7&lt;&gt;"", "(U4)"&amp;LOWER($AL7)&amp;"U,",AK11)</f>
        <v>(U4)0x00000311U,</v>
      </c>
      <c r="AL12" s="6" t="str">
        <f xml:space="preserve"> IF($AG7&lt;&gt;"", "(U2)"&amp;$AM7&amp;"U,",AL11)</f>
        <v>(U2)3U,</v>
      </c>
      <c r="AM12" s="6" t="str">
        <f xml:space="preserve"> IF($AG7&lt;&gt;"", "(U2)"&amp;$Z7*$Y$3&amp;"U},",AM11)</f>
        <v>(U2)0U},</v>
      </c>
      <c r="AO12" s="6" t="str">
        <f t="shared" ref="AO12:AO13" si="7">"/* "&amp;IF($AG7&lt;&gt;"",$AG7," ")&amp;" : "&amp;$A7&amp;" = "&amp;LOWER($AI7)&amp;" */"</f>
        <v>/* 1 : MCDMS01 = 0x00000310 */</v>
      </c>
    </row>
    <row r="13" spans="1:46" ht="15">
      <c r="A13" s="15" t="str">
        <f t="shared" si="4"/>
        <v>MCDMS02</v>
      </c>
      <c r="B13" s="15">
        <f t="shared" si="4"/>
        <v>311</v>
      </c>
      <c r="C13" s="15">
        <f t="shared" si="4"/>
        <v>0</v>
      </c>
      <c r="D13" s="15">
        <f t="shared" si="4"/>
        <v>3</v>
      </c>
      <c r="E13" s="15"/>
      <c r="F13" s="15">
        <f>F8</f>
        <v>0</v>
      </c>
      <c r="G13" s="16" t="str">
        <f t="shared" si="5"/>
        <v/>
      </c>
      <c r="H13" s="16" t="str">
        <f t="shared" si="5"/>
        <v/>
      </c>
      <c r="I13" s="16" t="str">
        <f t="shared" si="5"/>
        <v/>
      </c>
      <c r="Y13" s="119"/>
      <c r="Z13" s="18"/>
      <c r="AA13" s="18"/>
      <c r="AB13" s="18"/>
      <c r="AC13" s="18"/>
      <c r="AD13" s="18"/>
      <c r="AF13" s="96"/>
      <c r="AG13" s="38" t="str">
        <f>IF(AG8&lt;&gt;"",AG8,"")</f>
        <v/>
      </c>
      <c r="AH13" s="96" t="str">
        <f>IF($AG8&lt;&gt;"","", "/* ")</f>
        <v xml:space="preserve">/* </v>
      </c>
      <c r="AI13" s="6" t="str">
        <f>IF($AG8&lt;&gt;"","{(U4)0x"&amp;LOWER(DEC2HEX($K8*$K$3+$L8*$L$3+$M8*$M$3+$N8*$N$3+$O8*$O$3+$W8*$W$3,8))&amp;"U,",AI12)</f>
        <v>{(U4)0x00000200U,</v>
      </c>
      <c r="AJ13" s="6" t="str">
        <f>IF($AG8&lt;&gt;"", "(U4)"&amp;LOWER($AK8)&amp;"U,",AJ12)</f>
        <v>(U4)0x00000310U,</v>
      </c>
      <c r="AK13" s="6" t="str">
        <f>IF($AG8&lt;&gt;"", "(U4)"&amp;LOWER($AL8)&amp;"U,",AK12)</f>
        <v>(U4)0x00000311U,</v>
      </c>
      <c r="AL13" s="6" t="str">
        <f xml:space="preserve"> IF($AG8&lt;&gt;"", "(U2)"&amp;$AM8&amp;"U,",AL12)</f>
        <v>(U2)3U,</v>
      </c>
      <c r="AM13" s="6" t="str">
        <f xml:space="preserve"> IF($AG8&lt;&gt;"", "(U2)"&amp;$Z8*$Y$3&amp;"U},",AM12)</f>
        <v>(U2)0U},</v>
      </c>
      <c r="AO13" s="6" t="str">
        <f t="shared" si="7"/>
        <v>/*   : MCDMS02 = 0x00000311 */</v>
      </c>
    </row>
    <row r="14" spans="1:46">
      <c r="A14" s="15" t="s">
        <v>776</v>
      </c>
      <c r="B14" s="15" t="s">
        <v>776</v>
      </c>
      <c r="C14" s="15" t="s">
        <v>776</v>
      </c>
      <c r="D14" s="15" t="s">
        <v>776</v>
      </c>
      <c r="E14" s="15" t="s">
        <v>776</v>
      </c>
      <c r="F14" s="15" t="s">
        <v>776</v>
      </c>
      <c r="G14" s="15" t="s">
        <v>776</v>
      </c>
      <c r="H14" s="15" t="s">
        <v>776</v>
      </c>
      <c r="I14" s="15" t="s">
        <v>776</v>
      </c>
      <c r="J14" s="15" t="s">
        <v>776</v>
      </c>
      <c r="K14" s="15"/>
      <c r="L14" s="177" t="s">
        <v>776</v>
      </c>
      <c r="M14" s="177" t="s">
        <v>776</v>
      </c>
      <c r="N14" s="177" t="s">
        <v>776</v>
      </c>
      <c r="O14" s="177" t="s">
        <v>776</v>
      </c>
      <c r="P14" s="177" t="s">
        <v>776</v>
      </c>
      <c r="Q14" s="177" t="s">
        <v>776</v>
      </c>
      <c r="R14" s="177" t="s">
        <v>776</v>
      </c>
      <c r="S14" s="177" t="s">
        <v>776</v>
      </c>
      <c r="T14" s="177" t="s">
        <v>776</v>
      </c>
      <c r="U14" s="177" t="s">
        <v>776</v>
      </c>
      <c r="V14" s="177" t="s">
        <v>776</v>
      </c>
      <c r="W14" s="177" t="s">
        <v>776</v>
      </c>
      <c r="X14" s="177" t="s">
        <v>776</v>
      </c>
      <c r="Y14" s="178" t="s">
        <v>776</v>
      </c>
      <c r="Z14" s="177" t="s">
        <v>776</v>
      </c>
      <c r="AA14" s="177" t="s">
        <v>776</v>
      </c>
      <c r="AB14" s="177"/>
      <c r="AC14" s="177"/>
      <c r="AD14" s="177" t="s">
        <v>776</v>
      </c>
      <c r="AE14" s="177" t="s">
        <v>776</v>
      </c>
      <c r="AF14" s="179" t="s">
        <v>776</v>
      </c>
      <c r="AG14" s="177" t="s">
        <v>776</v>
      </c>
      <c r="AH14" s="179"/>
      <c r="AI14" s="177"/>
      <c r="AJ14" s="177"/>
      <c r="AK14" s="177"/>
      <c r="AL14" s="177"/>
      <c r="AM14" s="177"/>
      <c r="AN14" s="177"/>
      <c r="AO14" s="177"/>
      <c r="AP14" s="15" t="s">
        <v>776</v>
      </c>
      <c r="AQ14" s="15"/>
    </row>
    <row r="15" spans="1:46">
      <c r="A15" s="15"/>
      <c r="B15" s="15"/>
      <c r="C15" s="15"/>
      <c r="D15" s="15"/>
      <c r="E15" s="15"/>
      <c r="F15" s="15"/>
      <c r="G15" s="15"/>
      <c r="H15" s="16"/>
      <c r="I15" s="16"/>
    </row>
    <row r="16" spans="1:46">
      <c r="A16" s="15"/>
      <c r="B16" s="15"/>
      <c r="C16" s="15"/>
      <c r="D16" s="15"/>
      <c r="E16" s="15"/>
      <c r="F16" s="15"/>
      <c r="G16" s="15"/>
      <c r="H16" s="16"/>
      <c r="I16" s="16"/>
    </row>
    <row r="17" spans="1:9">
      <c r="A17" s="15"/>
      <c r="B17" s="15"/>
      <c r="C17" s="15"/>
      <c r="D17" s="15"/>
      <c r="E17" s="15"/>
      <c r="F17" s="15"/>
      <c r="G17" s="15"/>
      <c r="H17" s="16"/>
      <c r="I17" s="16"/>
    </row>
    <row r="18" spans="1:9">
      <c r="A18" s="15"/>
      <c r="B18" s="15"/>
      <c r="C18" s="15"/>
      <c r="D18" s="15"/>
      <c r="E18" s="15"/>
      <c r="F18" s="15"/>
      <c r="G18" s="15"/>
      <c r="H18" s="16"/>
      <c r="I18" s="16"/>
    </row>
    <row r="19" spans="1:9">
      <c r="A19" s="15"/>
      <c r="B19" s="15"/>
      <c r="C19" s="15"/>
      <c r="D19" s="15"/>
      <c r="E19" s="15"/>
      <c r="F19" s="15"/>
      <c r="G19" s="15"/>
      <c r="H19" s="16"/>
      <c r="I19" s="16"/>
    </row>
    <row r="20" spans="1:9">
      <c r="A20" s="15"/>
      <c r="B20" s="15"/>
      <c r="C20" s="15"/>
      <c r="D20" s="15"/>
      <c r="E20" s="15"/>
      <c r="F20" s="15"/>
      <c r="G20" s="15"/>
      <c r="H20" s="16"/>
      <c r="I20" s="16"/>
    </row>
    <row r="21" spans="1:9">
      <c r="A21" s="15"/>
      <c r="B21" s="15"/>
      <c r="C21" s="15"/>
      <c r="D21" s="15"/>
      <c r="E21" s="15"/>
      <c r="F21" s="15"/>
      <c r="G21" s="15"/>
      <c r="H21" s="16"/>
      <c r="I21" s="16"/>
    </row>
    <row r="22" spans="1:9">
      <c r="A22" s="15"/>
      <c r="B22" s="15"/>
      <c r="C22" s="15"/>
      <c r="D22" s="15"/>
      <c r="E22" s="15"/>
      <c r="F22" s="15"/>
      <c r="G22" s="15"/>
      <c r="H22" s="16"/>
      <c r="I22" s="16"/>
    </row>
    <row r="23" spans="1:9">
      <c r="A23" s="15"/>
      <c r="B23" s="15"/>
      <c r="C23" s="15"/>
      <c r="D23" s="15"/>
      <c r="E23" s="15"/>
      <c r="F23" s="15"/>
      <c r="G23" s="15"/>
      <c r="H23" s="16"/>
      <c r="I23" s="16"/>
    </row>
    <row r="24" spans="1:9">
      <c r="A24" s="15"/>
      <c r="B24" s="15"/>
      <c r="C24" s="15"/>
      <c r="D24" s="15"/>
      <c r="E24" s="15"/>
      <c r="F24" s="15"/>
      <c r="G24" s="15"/>
      <c r="H24" s="16"/>
      <c r="I24" s="16"/>
    </row>
    <row r="25" spans="1:9">
      <c r="A25" s="15"/>
      <c r="B25" s="15"/>
      <c r="C25" s="15"/>
      <c r="D25" s="15"/>
      <c r="E25" s="15"/>
      <c r="F25" s="15"/>
      <c r="G25" s="15"/>
      <c r="H25" s="16"/>
      <c r="I25" s="16"/>
    </row>
    <row r="26" spans="1:9">
      <c r="A26" s="15"/>
      <c r="B26" s="15"/>
      <c r="C26" s="15"/>
      <c r="D26" s="15"/>
      <c r="E26" s="15"/>
      <c r="F26" s="15"/>
      <c r="G26" s="15"/>
      <c r="H26" s="16"/>
      <c r="I26" s="16"/>
    </row>
    <row r="27" spans="1:9">
      <c r="A27" s="15"/>
      <c r="B27" s="15"/>
      <c r="C27" s="15"/>
      <c r="D27" s="15"/>
      <c r="E27" s="15"/>
      <c r="F27" s="15"/>
      <c r="G27" s="15"/>
      <c r="H27" s="16"/>
      <c r="I27" s="16"/>
    </row>
    <row r="28" spans="1:9">
      <c r="A28" s="15"/>
      <c r="B28" s="15"/>
      <c r="C28" s="15"/>
      <c r="D28" s="15"/>
      <c r="E28" s="15"/>
      <c r="F28" s="15"/>
      <c r="G28" s="15"/>
      <c r="H28" s="16"/>
      <c r="I28" s="16"/>
    </row>
    <row r="29" spans="1:9">
      <c r="A29" s="15"/>
      <c r="B29" s="15"/>
      <c r="C29" s="15"/>
      <c r="D29" s="15"/>
      <c r="E29" s="15"/>
      <c r="F29" s="15"/>
      <c r="G29" s="15"/>
      <c r="H29" s="16"/>
      <c r="I29" s="16"/>
    </row>
    <row r="30" spans="1:9">
      <c r="A30" s="15"/>
      <c r="B30" s="15"/>
      <c r="C30" s="15"/>
      <c r="D30" s="15"/>
      <c r="E30" s="15"/>
      <c r="F30" s="15"/>
      <c r="G30" s="15"/>
      <c r="H30" s="16"/>
      <c r="I30" s="16"/>
    </row>
    <row r="31" spans="1:9">
      <c r="A31" s="15"/>
      <c r="B31" s="15"/>
      <c r="C31" s="15"/>
      <c r="D31" s="15"/>
      <c r="E31" s="15"/>
      <c r="F31" s="15"/>
      <c r="G31" s="15"/>
      <c r="H31" s="16"/>
      <c r="I31" s="16"/>
    </row>
    <row r="32" spans="1:9">
      <c r="A32" s="15"/>
      <c r="B32" s="15"/>
      <c r="C32" s="15"/>
      <c r="D32" s="15"/>
      <c r="E32" s="15"/>
      <c r="F32" s="15"/>
      <c r="G32" s="15"/>
      <c r="H32" s="16"/>
      <c r="I32" s="16"/>
    </row>
    <row r="33" spans="1:9">
      <c r="A33" s="15"/>
      <c r="B33" s="15"/>
      <c r="C33" s="15"/>
      <c r="D33" s="15"/>
      <c r="E33" s="15"/>
      <c r="F33" s="15"/>
      <c r="G33" s="15"/>
      <c r="H33" s="16"/>
      <c r="I33" s="16"/>
    </row>
    <row r="34" spans="1:9">
      <c r="A34" s="15"/>
      <c r="B34" s="15"/>
      <c r="C34" s="15"/>
      <c r="D34" s="15"/>
      <c r="E34" s="15"/>
      <c r="F34" s="15"/>
      <c r="G34" s="15"/>
      <c r="H34" s="16"/>
      <c r="I34" s="16"/>
    </row>
    <row r="35" spans="1:9">
      <c r="A35" s="15"/>
      <c r="B35" s="15"/>
      <c r="C35" s="15"/>
      <c r="D35" s="15"/>
      <c r="E35" s="15"/>
      <c r="F35" s="15"/>
      <c r="G35" s="15"/>
      <c r="H35" s="16"/>
      <c r="I35" s="16"/>
    </row>
    <row r="36" spans="1:9">
      <c r="A36" s="15"/>
      <c r="B36" s="15"/>
      <c r="C36" s="15"/>
      <c r="D36" s="15"/>
      <c r="E36" s="15"/>
      <c r="F36" s="15"/>
      <c r="G36" s="15"/>
      <c r="H36" s="16"/>
      <c r="I36" s="16"/>
    </row>
    <row r="37" spans="1:9">
      <c r="A37" s="15"/>
      <c r="B37" s="15"/>
      <c r="C37" s="15"/>
      <c r="D37" s="15"/>
      <c r="E37" s="15"/>
      <c r="F37" s="15"/>
      <c r="G37" s="15"/>
      <c r="H37" s="16"/>
      <c r="I37" s="16"/>
    </row>
    <row r="38" spans="1:9">
      <c r="A38" s="15"/>
      <c r="B38" s="15"/>
      <c r="C38" s="15"/>
      <c r="D38" s="15"/>
      <c r="E38" s="15"/>
      <c r="F38" s="15"/>
      <c r="G38" s="15"/>
      <c r="H38" s="16"/>
      <c r="I38" s="16"/>
    </row>
    <row r="39" spans="1:9">
      <c r="A39" s="15"/>
      <c r="B39" s="15"/>
      <c r="C39" s="15"/>
      <c r="D39" s="15"/>
      <c r="E39" s="15"/>
      <c r="F39" s="15"/>
      <c r="G39" s="15"/>
      <c r="H39" s="16"/>
      <c r="I39" s="16"/>
    </row>
    <row r="40" spans="1:9">
      <c r="A40" s="15"/>
      <c r="B40" s="15"/>
      <c r="C40" s="15"/>
      <c r="D40" s="15"/>
      <c r="E40" s="15"/>
      <c r="F40" s="15"/>
      <c r="G40" s="15"/>
      <c r="H40" s="16"/>
      <c r="I40" s="16"/>
    </row>
    <row r="41" spans="1:9">
      <c r="A41" s="15"/>
      <c r="B41" s="15"/>
      <c r="C41" s="15"/>
      <c r="D41" s="15"/>
      <c r="E41" s="15"/>
      <c r="F41" s="15"/>
      <c r="G41" s="15"/>
      <c r="H41" s="16"/>
      <c r="I41" s="16"/>
    </row>
    <row r="42" spans="1:9">
      <c r="A42" s="15"/>
      <c r="B42" s="15"/>
      <c r="C42" s="15"/>
      <c r="D42" s="15"/>
      <c r="E42" s="15"/>
      <c r="F42" s="15"/>
      <c r="G42" s="15"/>
      <c r="H42" s="16"/>
      <c r="I42" s="16"/>
    </row>
    <row r="43" spans="1:9">
      <c r="A43" s="15"/>
      <c r="B43" s="15"/>
      <c r="C43" s="15"/>
      <c r="D43" s="15"/>
      <c r="E43" s="15"/>
      <c r="F43" s="15"/>
      <c r="G43" s="15"/>
      <c r="H43" s="16"/>
      <c r="I43" s="16"/>
    </row>
    <row r="44" spans="1:9">
      <c r="A44" s="15"/>
      <c r="B44" s="15"/>
      <c r="C44" s="15"/>
      <c r="D44" s="15"/>
      <c r="E44" s="15"/>
      <c r="F44" s="15"/>
      <c r="G44" s="15"/>
      <c r="H44" s="16"/>
      <c r="I44" s="16"/>
    </row>
    <row r="45" spans="1:9">
      <c r="A45" s="15"/>
      <c r="B45" s="15"/>
      <c r="C45" s="15"/>
      <c r="D45" s="15"/>
      <c r="E45" s="15"/>
      <c r="F45" s="15"/>
      <c r="G45" s="15"/>
      <c r="H45" s="16"/>
      <c r="I45" s="16"/>
    </row>
    <row r="46" spans="1:9">
      <c r="A46" s="15"/>
      <c r="B46" s="15"/>
      <c r="C46" s="15"/>
      <c r="D46" s="15"/>
      <c r="E46" s="15"/>
      <c r="F46" s="15"/>
      <c r="G46" s="15"/>
      <c r="H46" s="16"/>
      <c r="I46" s="16"/>
    </row>
    <row r="47" spans="1:9">
      <c r="A47" s="15"/>
      <c r="B47" s="15"/>
      <c r="C47" s="15"/>
      <c r="D47" s="15"/>
      <c r="E47" s="15"/>
      <c r="F47" s="15"/>
      <c r="G47" s="15"/>
      <c r="H47" s="16"/>
      <c r="I47" s="16"/>
    </row>
    <row r="48" spans="1:9">
      <c r="A48" s="15"/>
      <c r="B48" s="15"/>
      <c r="C48" s="15"/>
      <c r="D48" s="15"/>
      <c r="E48" s="15"/>
      <c r="F48" s="15"/>
      <c r="G48" s="15"/>
      <c r="H48" s="16"/>
      <c r="I48" s="16"/>
    </row>
    <row r="49" spans="1:9">
      <c r="A49" s="15"/>
      <c r="B49" s="15"/>
      <c r="C49" s="15"/>
      <c r="D49" s="15"/>
      <c r="E49" s="15"/>
      <c r="F49" s="15"/>
      <c r="G49" s="15"/>
      <c r="H49" s="16"/>
      <c r="I49" s="16"/>
    </row>
    <row r="50" spans="1:9">
      <c r="A50" s="15"/>
      <c r="B50" s="15"/>
      <c r="C50" s="15"/>
      <c r="D50" s="15"/>
      <c r="E50" s="15"/>
      <c r="F50" s="15"/>
      <c r="G50" s="15"/>
      <c r="H50" s="16"/>
      <c r="I50" s="16"/>
    </row>
    <row r="51" spans="1:9">
      <c r="A51" s="15"/>
      <c r="B51" s="15"/>
      <c r="C51" s="15"/>
      <c r="D51" s="15"/>
      <c r="E51" s="15"/>
      <c r="F51" s="15"/>
      <c r="G51" s="15"/>
      <c r="H51" s="16"/>
      <c r="I51" s="16"/>
    </row>
    <row r="52" spans="1:9">
      <c r="A52" s="15"/>
      <c r="B52" s="15"/>
      <c r="C52" s="15"/>
      <c r="D52" s="15"/>
      <c r="E52" s="15"/>
      <c r="F52" s="15"/>
      <c r="G52" s="15"/>
      <c r="H52" s="16"/>
      <c r="I52" s="16"/>
    </row>
    <row r="53" spans="1:9">
      <c r="A53" s="15"/>
      <c r="B53" s="15"/>
      <c r="C53" s="15"/>
      <c r="D53" s="15"/>
      <c r="E53" s="15"/>
      <c r="F53" s="15"/>
      <c r="G53" s="15"/>
      <c r="H53" s="16"/>
      <c r="I53" s="16"/>
    </row>
    <row r="54" spans="1:9">
      <c r="A54" s="15"/>
      <c r="B54" s="15"/>
      <c r="C54" s="15"/>
      <c r="D54" s="15"/>
      <c r="E54" s="15"/>
      <c r="F54" s="15"/>
      <c r="G54" s="15"/>
      <c r="H54" s="16"/>
      <c r="I54" s="16"/>
    </row>
    <row r="55" spans="1:9">
      <c r="A55" s="15"/>
      <c r="B55" s="15"/>
      <c r="C55" s="15"/>
      <c r="D55" s="15"/>
      <c r="E55" s="15"/>
      <c r="F55" s="15"/>
      <c r="G55" s="15"/>
      <c r="H55" s="16"/>
      <c r="I55" s="16"/>
    </row>
    <row r="56" spans="1:9">
      <c r="A56" s="15"/>
      <c r="B56" s="15"/>
      <c r="C56" s="15"/>
      <c r="D56" s="15"/>
      <c r="E56" s="15"/>
      <c r="F56" s="15"/>
      <c r="G56" s="15"/>
      <c r="H56" s="16"/>
      <c r="I56" s="16"/>
    </row>
    <row r="57" spans="1:9">
      <c r="A57" s="15"/>
      <c r="B57" s="15"/>
      <c r="C57" s="15"/>
      <c r="D57" s="15"/>
      <c r="E57" s="15"/>
      <c r="F57" s="15"/>
      <c r="G57" s="15"/>
      <c r="H57" s="16"/>
      <c r="I57" s="16"/>
    </row>
    <row r="58" spans="1:9">
      <c r="A58" s="15"/>
      <c r="B58" s="15"/>
      <c r="C58" s="15"/>
      <c r="D58" s="15"/>
      <c r="E58" s="15"/>
      <c r="F58" s="15"/>
      <c r="G58" s="15"/>
      <c r="H58" s="16"/>
      <c r="I58" s="16"/>
    </row>
    <row r="59" spans="1:9">
      <c r="A59" s="15"/>
      <c r="B59" s="15"/>
      <c r="C59" s="15"/>
      <c r="D59" s="15"/>
      <c r="E59" s="15"/>
      <c r="F59" s="15"/>
      <c r="G59" s="15"/>
      <c r="H59" s="16"/>
      <c r="I59" s="16"/>
    </row>
    <row r="60" spans="1:9">
      <c r="A60" s="15"/>
      <c r="B60" s="15"/>
      <c r="C60" s="15"/>
      <c r="D60" s="15"/>
      <c r="E60" s="15"/>
      <c r="F60" s="15"/>
      <c r="G60" s="15"/>
      <c r="H60" s="16"/>
      <c r="I60" s="16"/>
    </row>
    <row r="61" spans="1:9">
      <c r="A61" s="15"/>
      <c r="B61" s="15"/>
      <c r="C61" s="15"/>
      <c r="D61" s="15"/>
      <c r="E61" s="15"/>
      <c r="F61" s="15"/>
      <c r="G61" s="15"/>
      <c r="H61" s="16"/>
      <c r="I61" s="16"/>
    </row>
  </sheetData>
  <autoFilter ref="A5:AP14" xr:uid="{2F638F3D-2A6B-4C40-BF60-635E0CFA10AD}"/>
  <phoneticPr fontId="4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C28C4-DEF3-4241-8A15-36A21C579F79}">
  <sheetPr codeName="Sheet9"/>
  <dimension ref="A1:M4"/>
  <sheetViews>
    <sheetView workbookViewId="0">
      <selection activeCell="D8" sqref="D8"/>
    </sheetView>
  </sheetViews>
  <sheetFormatPr defaultColWidth="9" defaultRowHeight="15"/>
  <cols>
    <col min="1" max="1" width="13.25" style="13" bestFit="1" customWidth="1"/>
    <col min="2" max="2" width="5.25" style="13" bestFit="1" customWidth="1"/>
    <col min="3" max="3" width="9" style="13"/>
    <col min="4" max="4" width="27" style="13" bestFit="1" customWidth="1"/>
    <col min="5" max="5" width="8.25" style="13" bestFit="1" customWidth="1"/>
    <col min="6" max="7" width="13.25" style="13" bestFit="1" customWidth="1"/>
    <col min="8" max="8" width="9" style="13"/>
    <col min="9" max="9" width="13.25" style="13" bestFit="1" customWidth="1"/>
    <col min="10" max="10" width="9" style="13"/>
    <col min="11" max="12" width="12" style="13" bestFit="1" customWidth="1"/>
    <col min="13" max="13" width="65.75" style="13" bestFit="1" customWidth="1"/>
    <col min="14" max="16384" width="9" style="13"/>
  </cols>
  <sheetData>
    <row r="1" spans="1:13" ht="197.25" customHeight="1">
      <c r="A1" s="46" t="s">
        <v>831</v>
      </c>
      <c r="B1" s="107" t="s">
        <v>769</v>
      </c>
      <c r="D1" s="109" t="s">
        <v>0</v>
      </c>
      <c r="E1" s="109" t="s">
        <v>1333</v>
      </c>
      <c r="F1" s="109" t="s">
        <v>0</v>
      </c>
      <c r="G1" s="109" t="s">
        <v>1</v>
      </c>
      <c r="K1" s="111" t="s">
        <v>832</v>
      </c>
      <c r="L1" s="111" t="s">
        <v>832</v>
      </c>
      <c r="M1" s="111" t="s">
        <v>832</v>
      </c>
    </row>
    <row r="2" spans="1:13">
      <c r="A2" s="13" t="str">
        <f>"0x00000"&amp;CANRx_Local!$B6</f>
        <v>0x00000201</v>
      </c>
      <c r="B2" s="13">
        <f>IF(CANRx_Local!AG6&lt;&gt;"",CANRx_Local!AG6,B1)</f>
        <v>0</v>
      </c>
      <c r="D2" s="13" t="s">
        <v>980</v>
      </c>
      <c r="E2" s="13">
        <v>2</v>
      </c>
      <c r="F2" s="13" t="s">
        <v>162</v>
      </c>
      <c r="G2" s="13" t="s">
        <v>46</v>
      </c>
      <c r="H2" s="13" t="str">
        <f>IF(G2&lt;&gt;"NOUSE",HEX2DEC(RIGHT(F2,3))+HEX2DEC(RIGHT(G2,3)),"")</f>
        <v/>
      </c>
      <c r="I2" s="13" t="str">
        <f>IF(H2&lt;&gt;"","0x"&amp;DEC2HEX(H2,8),F2)</f>
        <v>0x00000201</v>
      </c>
      <c r="K2" s="13" t="str">
        <f>"{(U2)"&amp;VLOOKUP(F2,$A$2:$B$4,2,FALSE)&amp;"U,"</f>
        <v>{(U2)0U,</v>
      </c>
      <c r="L2" s="13" t="str">
        <f>"(U2)"&amp;(VLOOKUP(I2,$A$2:$B$4,2,FALSE)-VLOOKUP(F2,$A$2:$B$4,2,FALSE)+1)&amp;"U},"</f>
        <v>(U2)1U},</v>
      </c>
      <c r="M2" s="13" t="str">
        <f>"/* MBOX = "&amp;E2&amp;" / "&amp;LOWER(F2)&amp;" : Rx Mask = "&amp;G2&amp;" */"</f>
        <v>/* MBOX = 2 / 0x00000201 : Rx Mask = NOUSE */</v>
      </c>
    </row>
    <row r="3" spans="1:13">
      <c r="A3" s="13" t="str">
        <f>"0x00000"&amp;CANRx_Local!$B7</f>
        <v>0x00000310</v>
      </c>
      <c r="B3" s="13">
        <f>IF(CANRx_Local!AG7&lt;&gt;"",CANRx_Local!AG7,B2)</f>
        <v>1</v>
      </c>
      <c r="D3" s="13" t="s">
        <v>982</v>
      </c>
      <c r="E3" s="13">
        <v>3</v>
      </c>
      <c r="F3" s="13" t="s">
        <v>1334</v>
      </c>
      <c r="G3" s="13" t="s">
        <v>46</v>
      </c>
      <c r="H3" s="13" t="str">
        <f>IF(G3&lt;&gt;"NOUSE",HEX2DEC(RIGHT(F3,3))+HEX2DEC(RIGHT(G3,3)),"")</f>
        <v/>
      </c>
      <c r="I3" s="13" t="str">
        <f>IF(H3&lt;&gt;"","0x"&amp;DEC2HEX(H3,8),F3)</f>
        <v>0x00000310</v>
      </c>
      <c r="K3" s="13" t="str">
        <f t="shared" ref="K3:K4" si="0">"{(U2)"&amp;VLOOKUP(F3,$A$2:$B$4,2,FALSE)&amp;"U,"</f>
        <v>{(U2)1U,</v>
      </c>
      <c r="L3" s="13" t="str">
        <f t="shared" ref="L3:L4" si="1">"(U2)"&amp;(VLOOKUP(I3,$A$2:$B$4,2,FALSE)-VLOOKUP(F3,$A$2:$B$4,2,FALSE)+1)&amp;"U},"</f>
        <v>(U2)1U},</v>
      </c>
      <c r="M3" s="13" t="str">
        <f t="shared" ref="M3:M4" si="2">"/* MBOX = "&amp;E3&amp;" / "&amp;LOWER(F3)&amp;" : Rx Mask = "&amp;G3&amp;" */"</f>
        <v>/* MBOX = 3 / 0x00000310 : Rx Mask = NOUSE */</v>
      </c>
    </row>
    <row r="4" spans="1:13">
      <c r="A4" s="13" t="str">
        <f>"0x00000"&amp;CANRx_Local!$B8</f>
        <v>0x00000311</v>
      </c>
      <c r="B4" s="13">
        <f>IF(CANRx_Local!AG8&lt;&gt;"",CANRx_Local!AG8,B3)</f>
        <v>1</v>
      </c>
      <c r="D4" s="13" t="s">
        <v>1335</v>
      </c>
      <c r="E4" s="13">
        <v>4</v>
      </c>
      <c r="F4" s="13" t="s">
        <v>1336</v>
      </c>
      <c r="G4" s="13" t="s">
        <v>46</v>
      </c>
      <c r="H4" s="13" t="str">
        <f>IF(G4&lt;&gt;"NOUSE",HEX2DEC(RIGHT(F4,3))+HEX2DEC(RIGHT(G4,3)),"")</f>
        <v/>
      </c>
      <c r="I4" s="13" t="str">
        <f>IF(H4&lt;&gt;"","0x"&amp;DEC2HEX(H4,8),F4)</f>
        <v>0x00000311</v>
      </c>
      <c r="K4" s="13" t="str">
        <f t="shared" si="0"/>
        <v>{(U2)1U,</v>
      </c>
      <c r="L4" s="13" t="str">
        <f t="shared" si="1"/>
        <v>(U2)1U},</v>
      </c>
      <c r="M4" s="13" t="str">
        <f t="shared" si="2"/>
        <v>/* MBOX = 4 / 0x00000311 : Rx Mask = NOUSE */</v>
      </c>
    </row>
  </sheetData>
  <autoFilter ref="A1:M2" xr:uid="{CDBEB9B7-DEFE-4AB1-9691-270005FCFA6B}"/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9758F-C5C2-4433-99E6-304BE82361F2}">
  <dimension ref="A1:AQ470"/>
  <sheetViews>
    <sheetView zoomScaleNormal="100" workbookViewId="0">
      <pane ySplit="5" topLeftCell="A6" activePane="bottomLeft" state="frozen"/>
      <selection pane="bottomLeft" activeCell="AC161" sqref="AC161"/>
    </sheetView>
  </sheetViews>
  <sheetFormatPr defaultRowHeight="15" outlineLevelCol="1"/>
  <cols>
    <col min="1" max="1" width="15" style="5" bestFit="1" customWidth="1"/>
    <col min="2" max="2" width="9.25" style="5" bestFit="1" customWidth="1"/>
    <col min="3" max="3" width="5.125" style="5" bestFit="1" customWidth="1"/>
    <col min="4" max="4" width="5" style="5" bestFit="1" customWidth="1"/>
    <col min="5" max="5" width="6.875" style="5" bestFit="1" customWidth="1"/>
    <col min="6" max="6" width="8.375" style="5" bestFit="1" customWidth="1"/>
    <col min="7" max="9" width="2.75" style="5" bestFit="1" customWidth="1"/>
    <col min="10" max="10" width="3.375" style="23" bestFit="1" customWidth="1"/>
    <col min="11" max="27" width="3.625" style="38" customWidth="1"/>
    <col min="28" max="31" width="15.625" style="18" customWidth="1" outlineLevel="1"/>
    <col min="32" max="32" width="4.625" style="13" customWidth="1" outlineLevel="1"/>
    <col min="33" max="33" width="4.625" style="6" customWidth="1" outlineLevel="1"/>
    <col min="34" max="35" width="6.625" style="13" customWidth="1"/>
    <col min="36" max="36" width="20.625" style="13" customWidth="1"/>
    <col min="37" max="40" width="20.625" style="13" customWidth="1" outlineLevel="1"/>
    <col min="41" max="41" width="4.875" style="13" customWidth="1" outlineLevel="1"/>
    <col min="42" max="42" width="45.375" style="13" customWidth="1" outlineLevel="1"/>
    <col min="43" max="43" width="9" style="13"/>
  </cols>
  <sheetData>
    <row r="1" spans="1:43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50"/>
      <c r="K1" s="6">
        <f t="shared" ref="K1:W1" si="0">L1+1</f>
        <v>14</v>
      </c>
      <c r="L1" s="6">
        <f t="shared" si="0"/>
        <v>13</v>
      </c>
      <c r="M1" s="6">
        <f t="shared" si="0"/>
        <v>12</v>
      </c>
      <c r="N1" s="6">
        <f t="shared" si="0"/>
        <v>11</v>
      </c>
      <c r="O1" s="6">
        <f t="shared" si="0"/>
        <v>10</v>
      </c>
      <c r="P1" s="6">
        <f t="shared" si="0"/>
        <v>9</v>
      </c>
      <c r="Q1" s="6">
        <f t="shared" si="0"/>
        <v>8</v>
      </c>
      <c r="R1" s="6">
        <f t="shared" si="0"/>
        <v>7</v>
      </c>
      <c r="S1" s="6">
        <f t="shared" si="0"/>
        <v>6</v>
      </c>
      <c r="T1" s="6">
        <f t="shared" si="0"/>
        <v>5</v>
      </c>
      <c r="U1" s="6">
        <f t="shared" si="0"/>
        <v>4</v>
      </c>
      <c r="V1" s="6">
        <f t="shared" si="0"/>
        <v>3</v>
      </c>
      <c r="W1" s="6">
        <f t="shared" si="0"/>
        <v>2</v>
      </c>
      <c r="X1" s="6">
        <f>Y1+1</f>
        <v>1</v>
      </c>
      <c r="Y1" s="6">
        <v>0</v>
      </c>
      <c r="Z1" s="89"/>
      <c r="AF1" s="18"/>
      <c r="AG1" s="96"/>
      <c r="AI1" s="101"/>
    </row>
    <row r="2" spans="1:43">
      <c r="A2" s="52"/>
      <c r="B2" s="53"/>
      <c r="C2" s="53"/>
      <c r="D2" s="53"/>
      <c r="E2" s="53"/>
      <c r="F2" s="53"/>
      <c r="G2" s="54"/>
      <c r="H2" s="54"/>
      <c r="I2" s="54"/>
      <c r="J2" s="54"/>
      <c r="K2" s="6">
        <f t="shared" ref="K2:Y2" si="1">MAX(K6:K237)</f>
        <v>1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0</v>
      </c>
      <c r="Q2" s="6">
        <f t="shared" si="1"/>
        <v>0</v>
      </c>
      <c r="R2" s="6">
        <f t="shared" si="1"/>
        <v>0</v>
      </c>
      <c r="S2" s="6">
        <f t="shared" si="1"/>
        <v>0</v>
      </c>
      <c r="T2" s="6">
        <f t="shared" si="1"/>
        <v>1</v>
      </c>
      <c r="U2" s="6">
        <f t="shared" si="1"/>
        <v>1</v>
      </c>
      <c r="V2" s="6">
        <f t="shared" si="1"/>
        <v>1</v>
      </c>
      <c r="W2" s="6">
        <f t="shared" si="1"/>
        <v>1</v>
      </c>
      <c r="X2" s="6">
        <f t="shared" si="1"/>
        <v>0</v>
      </c>
      <c r="Y2" s="6">
        <f t="shared" si="1"/>
        <v>1</v>
      </c>
      <c r="Z2" s="90">
        <f>SUM(N2:Y2)</f>
        <v>5</v>
      </c>
      <c r="AB2" s="38" t="s">
        <v>749</v>
      </c>
      <c r="AF2" s="18"/>
      <c r="AG2" s="96"/>
      <c r="AI2" s="101"/>
    </row>
    <row r="3" spans="1:43" ht="43.5" customHeight="1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68" t="s">
        <v>1327</v>
      </c>
      <c r="K3" s="12">
        <f t="shared" ref="K3:W3" si="2">L3*2</f>
        <v>16384</v>
      </c>
      <c r="L3" s="12">
        <f t="shared" si="2"/>
        <v>8192</v>
      </c>
      <c r="M3" s="12">
        <f t="shared" si="2"/>
        <v>4096</v>
      </c>
      <c r="N3" s="12">
        <f t="shared" si="2"/>
        <v>2048</v>
      </c>
      <c r="O3" s="12">
        <f t="shared" si="2"/>
        <v>1024</v>
      </c>
      <c r="P3" s="12">
        <f t="shared" si="2"/>
        <v>512</v>
      </c>
      <c r="Q3" s="12">
        <f t="shared" si="2"/>
        <v>256</v>
      </c>
      <c r="R3" s="12">
        <f t="shared" si="2"/>
        <v>128</v>
      </c>
      <c r="S3" s="12">
        <f t="shared" si="2"/>
        <v>64</v>
      </c>
      <c r="T3" s="12">
        <f t="shared" si="2"/>
        <v>32</v>
      </c>
      <c r="U3" s="12">
        <f t="shared" si="2"/>
        <v>16</v>
      </c>
      <c r="V3" s="12">
        <f t="shared" si="2"/>
        <v>8</v>
      </c>
      <c r="W3" s="12">
        <f t="shared" si="2"/>
        <v>4</v>
      </c>
      <c r="X3" s="12">
        <f>Y3*2</f>
        <v>2</v>
      </c>
      <c r="Y3" s="12">
        <v>1</v>
      </c>
      <c r="Z3" s="91">
        <v>3</v>
      </c>
      <c r="AA3" s="59"/>
      <c r="AB3" s="38" t="s">
        <v>1337</v>
      </c>
      <c r="AC3" s="38" t="s">
        <v>1338</v>
      </c>
      <c r="AD3" s="38" t="s">
        <v>1339</v>
      </c>
      <c r="AE3" s="38" t="s">
        <v>1340</v>
      </c>
      <c r="AF3" s="18"/>
      <c r="AG3" s="97"/>
      <c r="AI3" s="101"/>
    </row>
    <row r="4" spans="1:43" ht="194.25" customHeight="1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3" t="s">
        <v>18</v>
      </c>
      <c r="K4" s="17" t="s">
        <v>1341</v>
      </c>
      <c r="L4" s="17" t="s">
        <v>1328</v>
      </c>
      <c r="M4" s="17" t="s">
        <v>753</v>
      </c>
      <c r="N4" s="17" t="s">
        <v>754</v>
      </c>
      <c r="O4" s="17" t="s">
        <v>755</v>
      </c>
      <c r="P4" s="17" t="s">
        <v>756</v>
      </c>
      <c r="Q4" s="17" t="s">
        <v>757</v>
      </c>
      <c r="R4" s="17" t="s">
        <v>758</v>
      </c>
      <c r="S4" s="17" t="s">
        <v>759</v>
      </c>
      <c r="T4" s="17" t="s">
        <v>760</v>
      </c>
      <c r="U4" s="17" t="s">
        <v>761</v>
      </c>
      <c r="V4" s="17" t="s">
        <v>762</v>
      </c>
      <c r="W4" s="17" t="s">
        <v>763</v>
      </c>
      <c r="X4" s="17" t="s">
        <v>764</v>
      </c>
      <c r="Y4" s="17" t="s">
        <v>765</v>
      </c>
      <c r="Z4" s="92" t="s">
        <v>766</v>
      </c>
      <c r="AA4" s="60" t="s">
        <v>767</v>
      </c>
      <c r="AB4" s="65" t="s">
        <v>1342</v>
      </c>
      <c r="AC4" s="65" t="s">
        <v>1342</v>
      </c>
      <c r="AD4" s="65" t="s">
        <v>1343</v>
      </c>
      <c r="AE4" s="17" t="s">
        <v>760</v>
      </c>
      <c r="AF4" s="65"/>
      <c r="AG4" s="98"/>
      <c r="AH4" s="107" t="s">
        <v>769</v>
      </c>
      <c r="AI4" s="108" t="s">
        <v>770</v>
      </c>
      <c r="AJ4" s="19" t="s">
        <v>771</v>
      </c>
      <c r="AK4" s="19" t="s">
        <v>772</v>
      </c>
      <c r="AL4" s="19" t="s">
        <v>773</v>
      </c>
      <c r="AM4" s="19" t="s">
        <v>774</v>
      </c>
      <c r="AN4" s="19" t="s">
        <v>775</v>
      </c>
    </row>
    <row r="5" spans="1:43" s="75" customFormat="1" ht="25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82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21" t="s">
        <v>776</v>
      </c>
      <c r="Y5" s="21" t="s">
        <v>776</v>
      </c>
      <c r="Z5" s="95" t="s">
        <v>776</v>
      </c>
      <c r="AA5" s="86" t="s">
        <v>776</v>
      </c>
      <c r="AB5" s="86" t="s">
        <v>776</v>
      </c>
      <c r="AC5" s="86" t="s">
        <v>776</v>
      </c>
      <c r="AD5" s="86" t="s">
        <v>776</v>
      </c>
      <c r="AE5" s="86"/>
      <c r="AF5" s="86" t="s">
        <v>776</v>
      </c>
      <c r="AG5" s="99" t="s">
        <v>776</v>
      </c>
      <c r="AH5" s="21" t="s">
        <v>776</v>
      </c>
      <c r="AI5" s="99" t="s">
        <v>776</v>
      </c>
      <c r="AJ5" s="21" t="s">
        <v>776</v>
      </c>
      <c r="AK5" s="21" t="s">
        <v>776</v>
      </c>
      <c r="AL5" s="21" t="s">
        <v>776</v>
      </c>
      <c r="AM5" s="21" t="s">
        <v>776</v>
      </c>
      <c r="AN5" s="21"/>
      <c r="AO5" s="21" t="s">
        <v>776</v>
      </c>
      <c r="AP5" s="21" t="s">
        <v>776</v>
      </c>
      <c r="AQ5" s="76"/>
    </row>
    <row r="6" spans="1:43">
      <c r="A6" s="7" t="s">
        <v>1344</v>
      </c>
      <c r="B6" s="7" t="s">
        <v>1345</v>
      </c>
      <c r="C6" s="7" t="s">
        <v>29</v>
      </c>
      <c r="D6" s="7">
        <v>8</v>
      </c>
      <c r="E6" s="61">
        <v>100</v>
      </c>
      <c r="F6" s="7" t="s">
        <v>31</v>
      </c>
      <c r="G6" s="7" t="s">
        <v>1346</v>
      </c>
      <c r="H6" s="7"/>
      <c r="I6" s="203" t="s">
        <v>7</v>
      </c>
      <c r="J6" s="206"/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89"/>
      <c r="AA6" s="38">
        <v>16</v>
      </c>
      <c r="AB6" s="117">
        <v>65535</v>
      </c>
      <c r="AC6" s="117">
        <v>511</v>
      </c>
      <c r="AD6" s="18">
        <v>0</v>
      </c>
      <c r="AE6" s="117">
        <v>65535</v>
      </c>
      <c r="AF6" s="18"/>
      <c r="AG6" s="96"/>
      <c r="AH6" s="224">
        <f>IF(AH5="#",0,IF(AND(D5=D6,M5=M6,N5=N6,O5=O6,P5=P6,Q5=Q6,R5=R6,S5=S6,T5=T6,U5=U6,V5=V6,W5=W6,X5=X6,Y5=Y6,HEX2DEC(SUBSTITUTE(AJ5,"0x",""))&lt;HEX2DEC(SUBSTITUTE(AJ6,"0x",""))),"",MAX($AH$6:AH6)+1))</f>
        <v>0</v>
      </c>
      <c r="AI6" s="225">
        <f>IF(MAX(INDEX($AH:$AH,ROW($AI$6)):INDEX($AH:$AH,ROW(AI6)))+1=AH7,MAX(INDEX($AH:$AH,ROW($AI$6)):INDEX($AH:$AH,ROW(AI6))),"")</f>
        <v>0</v>
      </c>
      <c r="AJ6" s="6" t="str">
        <f t="shared" ref="AJ6:AJ69" si="3">"0x40000"&amp;B6</f>
        <v>0x40000121</v>
      </c>
      <c r="AK6" s="6">
        <f t="shared" ref="AK6:AK69" si="4">HEX2DEC(RIGHT(AJ6,8))</f>
        <v>1073742113</v>
      </c>
      <c r="AL6" s="6" t="str">
        <f t="shared" ref="AL6:AL69" si="5">IF(AH6&lt;&gt;"",AJ6,"")</f>
        <v>0x40000121</v>
      </c>
      <c r="AM6" s="6" t="str">
        <f t="shared" ref="AM6:AM37" si="6">IF(AH6&lt;&gt;"",VLOOKUP(AH6,$AI$6:$AJ$135,2,TRUE),"")</f>
        <v>0x40000121</v>
      </c>
      <c r="AN6" s="6">
        <f t="shared" ref="AN6:AN69" si="7">IF($AH6&lt;&gt;"",MIN($D6:$D6),"")</f>
        <v>8</v>
      </c>
    </row>
    <row r="7" spans="1:43">
      <c r="A7" s="7" t="s">
        <v>1347</v>
      </c>
      <c r="B7" s="7" t="s">
        <v>1348</v>
      </c>
      <c r="C7" s="7" t="s">
        <v>29</v>
      </c>
      <c r="D7" s="7">
        <v>8</v>
      </c>
      <c r="E7" s="61">
        <v>100</v>
      </c>
      <c r="F7" s="7" t="s">
        <v>31</v>
      </c>
      <c r="G7" s="7"/>
      <c r="H7" s="7"/>
      <c r="I7" s="203" t="s">
        <v>1346</v>
      </c>
      <c r="J7" s="206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0</v>
      </c>
      <c r="X7" s="6">
        <v>0</v>
      </c>
      <c r="Y7" s="6">
        <v>0</v>
      </c>
      <c r="Z7" s="89"/>
      <c r="AA7" s="38">
        <v>24</v>
      </c>
      <c r="AB7" s="117">
        <v>65535</v>
      </c>
      <c r="AC7" s="117">
        <v>511</v>
      </c>
      <c r="AD7" s="18">
        <v>8</v>
      </c>
      <c r="AE7" s="117">
        <v>65535</v>
      </c>
      <c r="AF7" s="18"/>
      <c r="AG7" s="96"/>
      <c r="AH7" s="224">
        <f>IF(Y6=1,MAX($AH$6:AH6)+1,IF(AH6="#",0,IF(AND(D6=D7,M6=M7,N6=N7,O6=O7,P6=P7,Q6=Q7,R6=R7,S6=S7,T6=T7,U6=U7,V6=V7,W6=W7,X6=X7,Y6=Y7,HEX2DEC(SUBSTITUTE(AJ6,"0x",""))&lt;HEX2DEC(SUBSTITUTE(AJ7,"0x",""))),"",MAX($AH$6:AH6)+1)))</f>
        <v>1</v>
      </c>
      <c r="AI7" s="225">
        <f>IF(MAX(INDEX($AH:$AH,ROW($AI$6)):INDEX($AH:$AH,ROW(AI7)))+1=AH8,MAX(INDEX($AH:$AH,ROW($AI$6)):INDEX($AH:$AH,ROW(AI7))),"")</f>
        <v>1</v>
      </c>
      <c r="AJ7" s="6" t="str">
        <f t="shared" si="3"/>
        <v>0x40000126</v>
      </c>
      <c r="AK7" s="6">
        <f t="shared" si="4"/>
        <v>1073742118</v>
      </c>
      <c r="AL7" s="6" t="str">
        <f t="shared" si="5"/>
        <v>0x40000126</v>
      </c>
      <c r="AM7" s="6" t="str">
        <f t="shared" si="6"/>
        <v>0x40000126</v>
      </c>
      <c r="AN7" s="6">
        <f t="shared" si="7"/>
        <v>8</v>
      </c>
    </row>
    <row r="8" spans="1:43">
      <c r="A8" s="7" t="s">
        <v>1349</v>
      </c>
      <c r="B8" s="7" t="s">
        <v>1350</v>
      </c>
      <c r="C8" s="7" t="s">
        <v>29</v>
      </c>
      <c r="D8" s="7">
        <v>32</v>
      </c>
      <c r="E8" s="61">
        <v>100</v>
      </c>
      <c r="F8" s="7" t="s">
        <v>31</v>
      </c>
      <c r="G8" s="7"/>
      <c r="H8" s="7"/>
      <c r="I8" s="203" t="s">
        <v>1346</v>
      </c>
      <c r="J8" s="206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1</v>
      </c>
      <c r="W8" s="6">
        <v>0</v>
      </c>
      <c r="X8" s="6">
        <v>0</v>
      </c>
      <c r="Y8" s="6">
        <v>0</v>
      </c>
      <c r="Z8" s="89"/>
      <c r="AA8" s="38">
        <v>24</v>
      </c>
      <c r="AB8" s="117">
        <v>65535</v>
      </c>
      <c r="AC8" s="117">
        <v>511</v>
      </c>
      <c r="AD8" s="18">
        <v>8</v>
      </c>
      <c r="AE8" s="117">
        <v>65535</v>
      </c>
      <c r="AF8" s="18"/>
      <c r="AG8" s="96"/>
      <c r="AH8" s="224">
        <f>IF(Y7=1,MAX($AH$6:AH7)+1,IF(AH7="#",0,IF(AND(D7=D8,M7=M8,N7=N8,O7=O8,P7=P8,Q7=Q8,R7=R8,S7=S8,T7=T8,U7=U8,V7=V8,W7=W8,X7=X8,Y7=Y8,HEX2DEC(SUBSTITUTE(AJ7,"0x",""))&lt;HEX2DEC(SUBSTITUTE(AJ8,"0x",""))),"",MAX($AH$6:AH7)+1)))</f>
        <v>2</v>
      </c>
      <c r="AI8" s="225">
        <f>IF(MAX(INDEX($AH:$AH,ROW($AI$6)):INDEX($AH:$AH,ROW(AI8)))+1=AH9,MAX(INDEX($AH:$AH,ROW($AI$6)):INDEX($AH:$AH,ROW(AI8))),"")</f>
        <v>2</v>
      </c>
      <c r="AJ8" s="6" t="str">
        <f t="shared" si="3"/>
        <v>0x40000141</v>
      </c>
      <c r="AK8" s="6">
        <f t="shared" si="4"/>
        <v>1073742145</v>
      </c>
      <c r="AL8" s="6" t="str">
        <f t="shared" si="5"/>
        <v>0x40000141</v>
      </c>
      <c r="AM8" s="6" t="str">
        <f t="shared" si="6"/>
        <v>0x40000141</v>
      </c>
      <c r="AN8" s="6">
        <f t="shared" si="7"/>
        <v>32</v>
      </c>
    </row>
    <row r="9" spans="1:43">
      <c r="A9" s="7" t="s">
        <v>1351</v>
      </c>
      <c r="B9" s="7" t="s">
        <v>1352</v>
      </c>
      <c r="C9" s="7" t="s">
        <v>29</v>
      </c>
      <c r="D9" s="7">
        <v>8</v>
      </c>
      <c r="E9" s="61">
        <v>100</v>
      </c>
      <c r="F9" s="7" t="s">
        <v>31</v>
      </c>
      <c r="G9" s="7" t="s">
        <v>1346</v>
      </c>
      <c r="H9" s="7"/>
      <c r="I9" s="203" t="s">
        <v>7</v>
      </c>
      <c r="J9" s="206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1</v>
      </c>
      <c r="X9" s="6">
        <v>0</v>
      </c>
      <c r="Y9" s="6">
        <v>0</v>
      </c>
      <c r="Z9" s="89"/>
      <c r="AA9" s="38">
        <v>16</v>
      </c>
      <c r="AB9" s="117">
        <v>65535</v>
      </c>
      <c r="AC9" s="117">
        <v>511</v>
      </c>
      <c r="AD9" s="18">
        <v>0</v>
      </c>
      <c r="AE9" s="117">
        <v>65535</v>
      </c>
      <c r="AF9" s="18"/>
      <c r="AG9" s="96"/>
      <c r="AH9" s="224">
        <f>IF(Y8=1,MAX($AH$6:AH8)+1,IF(AH8="#",0,IF(AND(D8=D9,M8=M9,N8=N9,O8=O9,P8=P9,Q8=Q9,R8=R9,S8=S9,T8=T9,U8=U9,V8=V9,W8=W9,X8=X9,Y8=Y9,HEX2DEC(SUBSTITUTE(AJ8,"0x",""))&lt;HEX2DEC(SUBSTITUTE(AJ9,"0x",""))),"",MAX($AH$6:AH8)+1)))</f>
        <v>3</v>
      </c>
      <c r="AI9" s="225">
        <f>IF(MAX(INDEX($AH:$AH,ROW($AI$6)):INDEX($AH:$AH,ROW(AI9)))+1=AH10,MAX(INDEX($AH:$AH,ROW($AI$6)):INDEX($AH:$AH,ROW(AI9))),"")</f>
        <v>3</v>
      </c>
      <c r="AJ9" s="6" t="str">
        <f t="shared" si="3"/>
        <v>0x4000014C</v>
      </c>
      <c r="AK9" s="6">
        <f t="shared" si="4"/>
        <v>1073742156</v>
      </c>
      <c r="AL9" s="6" t="str">
        <f t="shared" si="5"/>
        <v>0x4000014C</v>
      </c>
      <c r="AM9" s="6" t="str">
        <f t="shared" si="6"/>
        <v>0x4000014C</v>
      </c>
      <c r="AN9" s="6">
        <f t="shared" si="7"/>
        <v>8</v>
      </c>
    </row>
    <row r="10" spans="1:43">
      <c r="A10" s="7" t="s">
        <v>1353</v>
      </c>
      <c r="B10" s="7" t="s">
        <v>1354</v>
      </c>
      <c r="C10" s="7" t="s">
        <v>29</v>
      </c>
      <c r="D10" s="7">
        <v>8</v>
      </c>
      <c r="E10" s="61">
        <v>100</v>
      </c>
      <c r="F10" s="7" t="s">
        <v>31</v>
      </c>
      <c r="G10" s="7"/>
      <c r="H10" s="7"/>
      <c r="I10" s="203" t="s">
        <v>1346</v>
      </c>
      <c r="J10" s="206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</v>
      </c>
      <c r="W10" s="6">
        <v>0</v>
      </c>
      <c r="X10" s="6">
        <v>0</v>
      </c>
      <c r="Y10" s="6">
        <v>0</v>
      </c>
      <c r="Z10" s="89"/>
      <c r="AA10" s="38">
        <v>24</v>
      </c>
      <c r="AB10" s="117">
        <v>65535</v>
      </c>
      <c r="AC10" s="117">
        <v>511</v>
      </c>
      <c r="AD10" s="18">
        <v>8</v>
      </c>
      <c r="AE10" s="117">
        <v>65535</v>
      </c>
      <c r="AF10" s="18"/>
      <c r="AG10" s="96"/>
      <c r="AH10" s="224">
        <f>IF(Y9=1,MAX($AH$6:AH9)+1,IF(AH9="#",0,IF(AND(D9=D10,M9=M10,N9=N10,O9=O10,P9=P10,Q9=Q10,R9=R10,S9=S10,T9=T10,U9=U10,V9=V10,W9=W10,X9=X10,Y9=Y10,HEX2DEC(SUBSTITUTE(AJ9,"0x",""))&lt;HEX2DEC(SUBSTITUTE(AJ10,"0x",""))),"",MAX($AH$6:AH9)+1)))</f>
        <v>4</v>
      </c>
      <c r="AI10" s="225">
        <f>IF(MAX(INDEX($AH:$AH,ROW($AI$6)):INDEX($AH:$AH,ROW(AI10)))+1=AH11,MAX(INDEX($AH:$AH,ROW($AI$6)):INDEX($AH:$AH,ROW(AI10))),"")</f>
        <v>4</v>
      </c>
      <c r="AJ10" s="6" t="str">
        <f t="shared" si="3"/>
        <v>0x4000017F</v>
      </c>
      <c r="AK10" s="6">
        <f t="shared" si="4"/>
        <v>1073742207</v>
      </c>
      <c r="AL10" s="6" t="str">
        <f t="shared" si="5"/>
        <v>0x4000017F</v>
      </c>
      <c r="AM10" s="6" t="str">
        <f t="shared" si="6"/>
        <v>0x4000017F</v>
      </c>
      <c r="AN10" s="6">
        <f t="shared" si="7"/>
        <v>8</v>
      </c>
    </row>
    <row r="11" spans="1:43">
      <c r="A11" s="7" t="s">
        <v>1355</v>
      </c>
      <c r="B11" s="7" t="s">
        <v>1356</v>
      </c>
      <c r="C11" s="7" t="s">
        <v>29</v>
      </c>
      <c r="D11" s="7">
        <v>32</v>
      </c>
      <c r="E11" s="61">
        <v>100</v>
      </c>
      <c r="F11" s="7" t="s">
        <v>31</v>
      </c>
      <c r="G11" s="7" t="s">
        <v>1346</v>
      </c>
      <c r="H11" s="7"/>
      <c r="I11" s="203" t="s">
        <v>7</v>
      </c>
      <c r="J11" s="206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89"/>
      <c r="AA11" s="38">
        <v>16</v>
      </c>
      <c r="AB11" s="117">
        <v>65535</v>
      </c>
      <c r="AC11" s="117">
        <v>511</v>
      </c>
      <c r="AD11" s="18">
        <v>0</v>
      </c>
      <c r="AE11" s="117">
        <v>65535</v>
      </c>
      <c r="AF11" s="18"/>
      <c r="AG11" s="96"/>
      <c r="AH11" s="224">
        <f>IF(Y10=1,MAX($AH$6:AH10)+1,IF(AH10="#",0,IF(AND(D10=D11,M10=M11,N10=N11,O10=O11,P10=P11,Q10=Q11,R10=R11,S10=S11,T10=T11,U10=U11,V10=V11,W10=W11,X10=X11,Y10=Y11,HEX2DEC(SUBSTITUTE(AJ10,"0x",""))&lt;HEX2DEC(SUBSTITUTE(AJ11,"0x",""))),"",MAX($AH$6:AH10)+1)))</f>
        <v>5</v>
      </c>
      <c r="AI11" s="225">
        <f>IF(MAX(INDEX($AH:$AH,ROW($AI$6)):INDEX($AH:$AH,ROW(AI11)))+1=AH12,MAX(INDEX($AH:$AH,ROW($AI$6)):INDEX($AH:$AH,ROW(AI11))),"")</f>
        <v>5</v>
      </c>
      <c r="AJ11" s="6" t="str">
        <f t="shared" si="3"/>
        <v>0x40000185</v>
      </c>
      <c r="AK11" s="6">
        <f t="shared" si="4"/>
        <v>1073742213</v>
      </c>
      <c r="AL11" s="6" t="str">
        <f t="shared" si="5"/>
        <v>0x40000185</v>
      </c>
      <c r="AM11" s="6" t="str">
        <f t="shared" si="6"/>
        <v>0x40000185</v>
      </c>
      <c r="AN11" s="6">
        <f t="shared" si="7"/>
        <v>32</v>
      </c>
    </row>
    <row r="12" spans="1:43">
      <c r="A12" s="7" t="s">
        <v>1357</v>
      </c>
      <c r="B12" s="7" t="s">
        <v>1358</v>
      </c>
      <c r="C12" s="7" t="s">
        <v>29</v>
      </c>
      <c r="D12" s="7">
        <v>32</v>
      </c>
      <c r="E12" s="61">
        <v>200</v>
      </c>
      <c r="F12" s="7" t="s">
        <v>31</v>
      </c>
      <c r="G12" s="7"/>
      <c r="H12" s="7"/>
      <c r="I12" s="203" t="s">
        <v>1346</v>
      </c>
      <c r="J12" s="206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1</v>
      </c>
      <c r="W12" s="6">
        <v>0</v>
      </c>
      <c r="X12" s="6">
        <v>0</v>
      </c>
      <c r="Y12" s="6">
        <v>0</v>
      </c>
      <c r="Z12" s="89"/>
      <c r="AA12" s="38">
        <v>24</v>
      </c>
      <c r="AB12" s="117">
        <v>65535</v>
      </c>
      <c r="AC12" s="117">
        <v>511</v>
      </c>
      <c r="AD12" s="18">
        <v>8</v>
      </c>
      <c r="AE12" s="117">
        <v>65535</v>
      </c>
      <c r="AF12" s="18"/>
      <c r="AG12" s="96"/>
      <c r="AH12" s="224">
        <f>IF(Y11=1,MAX($AH$6:AH11)+1,IF(AH11="#",0,IF(AND(D11=D12,M11=M12,N11=N12,O11=O12,P11=P12,Q11=Q12,R11=R12,S11=S12,T11=T12,U11=U12,V11=V12,W11=W12,X11=X12,Y11=Y12,HEX2DEC(SUBSTITUTE(AJ11,"0x",""))&lt;HEX2DEC(SUBSTITUTE(AJ12,"0x",""))),"",MAX($AH$6:AH11)+1)))</f>
        <v>6</v>
      </c>
      <c r="AI12" s="225" t="str">
        <f>IF(MAX(INDEX($AH:$AH,ROW($AI$6)):INDEX($AH:$AH,ROW(AI12)))+1=AH13,MAX(INDEX($AH:$AH,ROW($AI$6)):INDEX($AH:$AH,ROW(AI12))),"")</f>
        <v/>
      </c>
      <c r="AJ12" s="6" t="str">
        <f t="shared" si="3"/>
        <v>0x400001A1</v>
      </c>
      <c r="AK12" s="6">
        <f t="shared" si="4"/>
        <v>1073742241</v>
      </c>
      <c r="AL12" s="6" t="str">
        <f t="shared" si="5"/>
        <v>0x400001A1</v>
      </c>
      <c r="AM12" s="6" t="str">
        <f t="shared" si="6"/>
        <v>0x400001A2</v>
      </c>
      <c r="AN12" s="6">
        <f t="shared" si="7"/>
        <v>32</v>
      </c>
    </row>
    <row r="13" spans="1:43">
      <c r="A13" s="7" t="s">
        <v>1359</v>
      </c>
      <c r="B13" s="7" t="s">
        <v>1360</v>
      </c>
      <c r="C13" s="7" t="s">
        <v>29</v>
      </c>
      <c r="D13" s="7">
        <v>32</v>
      </c>
      <c r="E13" s="61">
        <v>200</v>
      </c>
      <c r="F13" s="7" t="s">
        <v>31</v>
      </c>
      <c r="G13" s="7"/>
      <c r="H13" s="7"/>
      <c r="I13" s="203" t="s">
        <v>1346</v>
      </c>
      <c r="J13" s="206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1</v>
      </c>
      <c r="W13" s="6">
        <v>0</v>
      </c>
      <c r="X13" s="6">
        <v>0</v>
      </c>
      <c r="Y13" s="6">
        <v>0</v>
      </c>
      <c r="Z13" s="89"/>
      <c r="AA13" s="38">
        <v>24</v>
      </c>
      <c r="AB13" s="117">
        <v>65535</v>
      </c>
      <c r="AC13" s="117">
        <v>511</v>
      </c>
      <c r="AD13" s="18">
        <v>8</v>
      </c>
      <c r="AE13" s="117">
        <v>65535</v>
      </c>
      <c r="AF13" s="18"/>
      <c r="AG13" s="96"/>
      <c r="AH13" s="224" t="str">
        <f>IF(Y12=1,MAX($AH$6:AH12)+1,IF(AH12="#",0,IF(AND(D12=D13,M12=M13,N12=N13,O12=O13,P12=P13,Q12=Q13,R12=R13,S12=S13,T12=T13,U12=U13,V12=V13,W12=W13,X12=X13,Y12=Y13,HEX2DEC(SUBSTITUTE(AJ12,"0x",""))&lt;HEX2DEC(SUBSTITUTE(AJ13,"0x",""))),"",MAX($AH$6:AH12)+1)))</f>
        <v/>
      </c>
      <c r="AI13" s="225">
        <f>IF(MAX(INDEX($AH:$AH,ROW($AI$6)):INDEX($AH:$AH,ROW(AI13)))+1=AH14,MAX(INDEX($AH:$AH,ROW($AI$6)):INDEX($AH:$AH,ROW(AI13))),"")</f>
        <v>6</v>
      </c>
      <c r="AJ13" s="6" t="str">
        <f t="shared" si="3"/>
        <v>0x400001A2</v>
      </c>
      <c r="AK13" s="6">
        <f t="shared" si="4"/>
        <v>1073742242</v>
      </c>
      <c r="AL13" s="6" t="str">
        <f t="shared" si="5"/>
        <v/>
      </c>
      <c r="AM13" s="6" t="str">
        <f t="shared" si="6"/>
        <v/>
      </c>
      <c r="AN13" s="6" t="str">
        <f t="shared" si="7"/>
        <v/>
      </c>
    </row>
    <row r="14" spans="1:43">
      <c r="A14" s="7" t="s">
        <v>1361</v>
      </c>
      <c r="B14" s="7" t="s">
        <v>1362</v>
      </c>
      <c r="C14" s="7" t="s">
        <v>29</v>
      </c>
      <c r="D14" s="7">
        <v>8</v>
      </c>
      <c r="E14" s="61">
        <v>200</v>
      </c>
      <c r="F14" s="7" t="s">
        <v>31</v>
      </c>
      <c r="G14" s="7"/>
      <c r="H14" s="7"/>
      <c r="I14" s="203" t="s">
        <v>1346</v>
      </c>
      <c r="J14" s="206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1</v>
      </c>
      <c r="W14" s="6">
        <v>0</v>
      </c>
      <c r="X14" s="6">
        <v>0</v>
      </c>
      <c r="Y14" s="6">
        <v>0</v>
      </c>
      <c r="Z14" s="89"/>
      <c r="AA14" s="38">
        <v>24</v>
      </c>
      <c r="AB14" s="117">
        <v>65535</v>
      </c>
      <c r="AC14" s="117">
        <v>511</v>
      </c>
      <c r="AD14" s="18">
        <v>8</v>
      </c>
      <c r="AE14" s="117">
        <v>65535</v>
      </c>
      <c r="AF14" s="18"/>
      <c r="AG14" s="96"/>
      <c r="AH14" s="224">
        <f>IF(Y13=1,MAX($AH$6:AH13)+1,IF(AH13="#",0,IF(AND(D13=D14,M13=M14,N13=N14,O13=O14,P13=P14,Q13=Q14,R13=R14,S13=S14,T13=T14,U13=U14,V13=V14,W13=W14,X13=X14,Y13=Y14,HEX2DEC(SUBSTITUTE(AJ13,"0x",""))&lt;HEX2DEC(SUBSTITUTE(AJ14,"0x",""))),"",MAX($AH$6:AH13)+1)))</f>
        <v>7</v>
      </c>
      <c r="AI14" s="225">
        <f>IF(MAX(INDEX($AH:$AH,ROW($AI$6)):INDEX($AH:$AH,ROW(AI14)))+1=AH15,MAX(INDEX($AH:$AH,ROW($AI$6)):INDEX($AH:$AH,ROW(AI14))),"")</f>
        <v>7</v>
      </c>
      <c r="AJ14" s="6" t="str">
        <f t="shared" si="3"/>
        <v>0x400001A3</v>
      </c>
      <c r="AK14" s="6">
        <f t="shared" si="4"/>
        <v>1073742243</v>
      </c>
      <c r="AL14" s="6" t="str">
        <f t="shared" si="5"/>
        <v>0x400001A3</v>
      </c>
      <c r="AM14" s="6" t="str">
        <f t="shared" si="6"/>
        <v>0x400001A3</v>
      </c>
      <c r="AN14" s="6">
        <f t="shared" si="7"/>
        <v>8</v>
      </c>
    </row>
    <row r="15" spans="1:43">
      <c r="A15" s="7" t="s">
        <v>1363</v>
      </c>
      <c r="B15" s="7" t="s">
        <v>1364</v>
      </c>
      <c r="C15" s="7" t="s">
        <v>29</v>
      </c>
      <c r="D15" s="7">
        <v>32</v>
      </c>
      <c r="E15" s="61">
        <v>200</v>
      </c>
      <c r="F15" s="7" t="s">
        <v>31</v>
      </c>
      <c r="G15" s="7"/>
      <c r="H15" s="7"/>
      <c r="I15" s="203" t="s">
        <v>1346</v>
      </c>
      <c r="J15" s="206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1</v>
      </c>
      <c r="W15" s="6">
        <v>0</v>
      </c>
      <c r="X15" s="6">
        <v>0</v>
      </c>
      <c r="Y15" s="6">
        <v>0</v>
      </c>
      <c r="Z15" s="89"/>
      <c r="AA15" s="38">
        <v>24</v>
      </c>
      <c r="AB15" s="117">
        <v>65535</v>
      </c>
      <c r="AC15" s="117">
        <v>511</v>
      </c>
      <c r="AD15" s="18">
        <v>8</v>
      </c>
      <c r="AE15" s="117">
        <v>65535</v>
      </c>
      <c r="AF15" s="18"/>
      <c r="AG15" s="96"/>
      <c r="AH15" s="224">
        <f>IF(Y14=1,MAX($AH$6:AH14)+1,IF(AH14="#",0,IF(AND(D14=D15,M14=M15,N14=N15,O14=O15,P14=P15,Q14=Q15,R14=R15,S14=S15,T14=T15,U14=U15,V14=V15,W14=W15,X14=X15,Y14=Y15,HEX2DEC(SUBSTITUTE(AJ14,"0x",""))&lt;HEX2DEC(SUBSTITUTE(AJ15,"0x",""))),"",MAX($AH$6:AH14)+1)))</f>
        <v>8</v>
      </c>
      <c r="AI15" s="225" t="str">
        <f>IF(MAX(INDEX($AH:$AH,ROW($AI$6)):INDEX($AH:$AH,ROW(AI15)))+1=AH16,MAX(INDEX($AH:$AH,ROW($AI$6)):INDEX($AH:$AH,ROW(AI15))),"")</f>
        <v/>
      </c>
      <c r="AJ15" s="6" t="str">
        <f t="shared" si="3"/>
        <v>0x400001A5</v>
      </c>
      <c r="AK15" s="6">
        <f t="shared" si="4"/>
        <v>1073742245</v>
      </c>
      <c r="AL15" s="6" t="str">
        <f t="shared" si="5"/>
        <v>0x400001A5</v>
      </c>
      <c r="AM15" s="6" t="str">
        <f t="shared" si="6"/>
        <v>0x400001B9</v>
      </c>
      <c r="AN15" s="6">
        <f t="shared" si="7"/>
        <v>32</v>
      </c>
    </row>
    <row r="16" spans="1:43">
      <c r="A16" s="7" t="s">
        <v>1365</v>
      </c>
      <c r="B16" s="7" t="s">
        <v>1366</v>
      </c>
      <c r="C16" s="7" t="s">
        <v>29</v>
      </c>
      <c r="D16" s="7">
        <v>32</v>
      </c>
      <c r="E16" s="61">
        <v>200</v>
      </c>
      <c r="F16" s="7" t="s">
        <v>31</v>
      </c>
      <c r="G16" s="7"/>
      <c r="H16" s="7"/>
      <c r="I16" s="203" t="s">
        <v>1346</v>
      </c>
      <c r="J16" s="206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89"/>
      <c r="AA16" s="38">
        <v>24</v>
      </c>
      <c r="AB16" s="117">
        <v>65535</v>
      </c>
      <c r="AC16" s="117">
        <v>511</v>
      </c>
      <c r="AD16" s="18">
        <v>8</v>
      </c>
      <c r="AE16" s="117">
        <v>65535</v>
      </c>
      <c r="AF16" s="18"/>
      <c r="AG16" s="96"/>
      <c r="AH16" s="224" t="str">
        <f>IF(Y15=1,MAX($AH$6:AH15)+1,IF(AH15="#",0,IF(AND(D15=D16,M15=M16,N15=N16,O15=O16,P15=P16,Q15=Q16,R15=R16,S15=S16,T15=T16,U15=U16,V15=V16,W15=W16,X15=X16,Y15=Y16,HEX2DEC(SUBSTITUTE(AJ15,"0x",""))&lt;HEX2DEC(SUBSTITUTE(AJ16,"0x",""))),"",MAX($AH$6:AH15)+1)))</f>
        <v/>
      </c>
      <c r="AI16" s="225" t="str">
        <f>IF(MAX(INDEX($AH:$AH,ROW($AI$6)):INDEX($AH:$AH,ROW(AI16)))+1=AH17,MAX(INDEX($AH:$AH,ROW($AI$6)):INDEX($AH:$AH,ROW(AI16))),"")</f>
        <v/>
      </c>
      <c r="AJ16" s="6" t="str">
        <f t="shared" si="3"/>
        <v>0x400001A7</v>
      </c>
      <c r="AK16" s="6">
        <f t="shared" si="4"/>
        <v>1073742247</v>
      </c>
      <c r="AL16" s="6" t="str">
        <f t="shared" si="5"/>
        <v/>
      </c>
      <c r="AM16" s="6" t="str">
        <f t="shared" si="6"/>
        <v/>
      </c>
      <c r="AN16" s="6" t="str">
        <f t="shared" si="7"/>
        <v/>
      </c>
    </row>
    <row r="17" spans="1:40">
      <c r="A17" s="7" t="s">
        <v>1367</v>
      </c>
      <c r="B17" s="7" t="s">
        <v>1368</v>
      </c>
      <c r="C17" s="7" t="s">
        <v>29</v>
      </c>
      <c r="D17" s="7">
        <v>32</v>
      </c>
      <c r="E17" s="61">
        <v>200</v>
      </c>
      <c r="F17" s="7" t="s">
        <v>31</v>
      </c>
      <c r="G17" s="7"/>
      <c r="H17" s="7"/>
      <c r="I17" s="203" t="s">
        <v>1346</v>
      </c>
      <c r="J17" s="206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1</v>
      </c>
      <c r="W17" s="6">
        <v>0</v>
      </c>
      <c r="X17" s="6">
        <v>0</v>
      </c>
      <c r="Y17" s="6">
        <v>0</v>
      </c>
      <c r="Z17" s="89"/>
      <c r="AA17" s="38">
        <v>24</v>
      </c>
      <c r="AB17" s="117">
        <v>65535</v>
      </c>
      <c r="AC17" s="117">
        <v>511</v>
      </c>
      <c r="AD17" s="18">
        <v>8</v>
      </c>
      <c r="AE17" s="117">
        <v>65535</v>
      </c>
      <c r="AF17" s="18"/>
      <c r="AG17" s="96"/>
      <c r="AH17" s="224" t="str">
        <f>IF(Y16=1,MAX($AH$6:AH16)+1,IF(AH16="#",0,IF(AND(D16=D17,M16=M17,N16=N17,O16=O17,P16=P17,Q16=Q17,R16=R17,S16=S17,T16=T17,U16=U17,V16=V17,W16=W17,X16=X17,Y16=Y17,HEX2DEC(SUBSTITUTE(AJ16,"0x",""))&lt;HEX2DEC(SUBSTITUTE(AJ17,"0x",""))),"",MAX($AH$6:AH16)+1)))</f>
        <v/>
      </c>
      <c r="AI17" s="225" t="str">
        <f>IF(MAX(INDEX($AH:$AH,ROW($AI$6)):INDEX($AH:$AH,ROW(AI17)))+1=AH18,MAX(INDEX($AH:$AH,ROW($AI$6)):INDEX($AH:$AH,ROW(AI17))),"")</f>
        <v/>
      </c>
      <c r="AJ17" s="6" t="str">
        <f t="shared" si="3"/>
        <v>0x400001A8</v>
      </c>
      <c r="AK17" s="6">
        <f t="shared" si="4"/>
        <v>1073742248</v>
      </c>
      <c r="AL17" s="6" t="str">
        <f t="shared" si="5"/>
        <v/>
      </c>
      <c r="AM17" s="6" t="str">
        <f t="shared" si="6"/>
        <v/>
      </c>
      <c r="AN17" s="6" t="str">
        <f t="shared" si="7"/>
        <v/>
      </c>
    </row>
    <row r="18" spans="1:40">
      <c r="A18" s="7" t="s">
        <v>1369</v>
      </c>
      <c r="B18" s="7" t="s">
        <v>1370</v>
      </c>
      <c r="C18" s="7" t="s">
        <v>29</v>
      </c>
      <c r="D18" s="7">
        <v>32</v>
      </c>
      <c r="E18" s="61">
        <v>200</v>
      </c>
      <c r="F18" s="7" t="s">
        <v>31</v>
      </c>
      <c r="G18" s="7"/>
      <c r="H18" s="7"/>
      <c r="I18" s="203" t="s">
        <v>1346</v>
      </c>
      <c r="J18" s="206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1</v>
      </c>
      <c r="W18" s="6">
        <v>0</v>
      </c>
      <c r="X18" s="6">
        <v>0</v>
      </c>
      <c r="Y18" s="6">
        <v>0</v>
      </c>
      <c r="Z18" s="89"/>
      <c r="AA18" s="38">
        <v>24</v>
      </c>
      <c r="AB18" s="117">
        <v>65535</v>
      </c>
      <c r="AC18" s="117">
        <v>511</v>
      </c>
      <c r="AD18" s="18">
        <v>8</v>
      </c>
      <c r="AE18" s="117">
        <v>65535</v>
      </c>
      <c r="AF18" s="18"/>
      <c r="AG18" s="96"/>
      <c r="AH18" s="224" t="str">
        <f>IF(Y17=1,MAX($AH$6:AH17)+1,IF(AH17="#",0,IF(AND(D17=D18,M17=M18,N17=N18,O17=O18,P17=P18,Q17=Q18,R17=R18,S17=S18,T17=T18,U17=U18,V17=V18,W17=W18,X17=X18,Y17=Y18,HEX2DEC(SUBSTITUTE(AJ17,"0x",""))&lt;HEX2DEC(SUBSTITUTE(AJ18,"0x",""))),"",MAX($AH$6:AH17)+1)))</f>
        <v/>
      </c>
      <c r="AI18" s="225" t="str">
        <f>IF(MAX(INDEX($AH:$AH,ROW($AI$6)):INDEX($AH:$AH,ROW(AI18)))+1=AH19,MAX(INDEX($AH:$AH,ROW($AI$6)):INDEX($AH:$AH,ROW(AI18))),"")</f>
        <v/>
      </c>
      <c r="AJ18" s="6" t="str">
        <f t="shared" si="3"/>
        <v>0x400001A9</v>
      </c>
      <c r="AK18" s="6">
        <f t="shared" si="4"/>
        <v>1073742249</v>
      </c>
      <c r="AL18" s="6" t="str">
        <f t="shared" si="5"/>
        <v/>
      </c>
      <c r="AM18" s="6" t="str">
        <f t="shared" si="6"/>
        <v/>
      </c>
      <c r="AN18" s="6" t="str">
        <f t="shared" si="7"/>
        <v/>
      </c>
    </row>
    <row r="19" spans="1:40">
      <c r="A19" s="7" t="s">
        <v>1371</v>
      </c>
      <c r="B19" s="7" t="s">
        <v>1372</v>
      </c>
      <c r="C19" s="7" t="s">
        <v>29</v>
      </c>
      <c r="D19" s="7">
        <v>32</v>
      </c>
      <c r="E19" s="61">
        <v>200</v>
      </c>
      <c r="F19" s="7" t="s">
        <v>31</v>
      </c>
      <c r="G19" s="7"/>
      <c r="H19" s="7"/>
      <c r="I19" s="203" t="s">
        <v>1346</v>
      </c>
      <c r="J19" s="206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1</v>
      </c>
      <c r="W19" s="6">
        <v>0</v>
      </c>
      <c r="X19" s="6">
        <v>0</v>
      </c>
      <c r="Y19" s="6">
        <v>0</v>
      </c>
      <c r="Z19" s="89"/>
      <c r="AA19" s="38">
        <v>24</v>
      </c>
      <c r="AB19" s="117">
        <v>65535</v>
      </c>
      <c r="AC19" s="117">
        <v>511</v>
      </c>
      <c r="AD19" s="18">
        <v>8</v>
      </c>
      <c r="AE19" s="117">
        <v>65535</v>
      </c>
      <c r="AF19" s="18"/>
      <c r="AG19" s="96"/>
      <c r="AH19" s="224" t="str">
        <f>IF(Y18=1,MAX($AH$6:AH18)+1,IF(AH18="#",0,IF(AND(D18=D19,M18=M19,N18=N19,O18=O19,P18=P19,Q18=Q19,R18=R19,S18=S19,T18=T19,U18=U19,V18=V19,W18=W19,X18=X19,Y18=Y19,HEX2DEC(SUBSTITUTE(AJ18,"0x",""))&lt;HEX2DEC(SUBSTITUTE(AJ19,"0x",""))),"",MAX($AH$6:AH18)+1)))</f>
        <v/>
      </c>
      <c r="AI19" s="225" t="str">
        <f>IF(MAX(INDEX($AH:$AH,ROW($AI$6)):INDEX($AH:$AH,ROW(AI19)))+1=AH20,MAX(INDEX($AH:$AH,ROW($AI$6)):INDEX($AH:$AH,ROW(AI19))),"")</f>
        <v/>
      </c>
      <c r="AJ19" s="6" t="str">
        <f t="shared" si="3"/>
        <v>0x400001AB</v>
      </c>
      <c r="AK19" s="6">
        <f t="shared" si="4"/>
        <v>1073742251</v>
      </c>
      <c r="AL19" s="6" t="str">
        <f t="shared" si="5"/>
        <v/>
      </c>
      <c r="AM19" s="6" t="str">
        <f t="shared" si="6"/>
        <v/>
      </c>
      <c r="AN19" s="6" t="str">
        <f t="shared" si="7"/>
        <v/>
      </c>
    </row>
    <row r="20" spans="1:40">
      <c r="A20" s="7" t="s">
        <v>1373</v>
      </c>
      <c r="B20" s="7" t="s">
        <v>1374</v>
      </c>
      <c r="C20" s="7" t="s">
        <v>29</v>
      </c>
      <c r="D20" s="7">
        <v>32</v>
      </c>
      <c r="E20" s="61">
        <v>200</v>
      </c>
      <c r="F20" s="7" t="s">
        <v>31</v>
      </c>
      <c r="G20" s="7"/>
      <c r="H20" s="7"/>
      <c r="I20" s="203" t="s">
        <v>1346</v>
      </c>
      <c r="J20" s="206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1</v>
      </c>
      <c r="W20" s="6">
        <v>0</v>
      </c>
      <c r="X20" s="6">
        <v>0</v>
      </c>
      <c r="Y20" s="6">
        <v>0</v>
      </c>
      <c r="Z20" s="89"/>
      <c r="AA20" s="38">
        <v>24</v>
      </c>
      <c r="AB20" s="117">
        <v>65535</v>
      </c>
      <c r="AC20" s="117">
        <v>511</v>
      </c>
      <c r="AD20" s="18">
        <v>8</v>
      </c>
      <c r="AE20" s="117">
        <v>65535</v>
      </c>
      <c r="AF20" s="18"/>
      <c r="AG20" s="96"/>
      <c r="AH20" s="224" t="str">
        <f>IF(Y19=1,MAX($AH$6:AH19)+1,IF(AH19="#",0,IF(AND(D19=D20,M19=M20,N19=N20,O19=O20,P19=P20,Q19=Q20,R19=R20,S19=S20,T19=T20,U19=U20,V19=V20,W19=W20,X19=X20,Y19=Y20,HEX2DEC(SUBSTITUTE(AJ19,"0x",""))&lt;HEX2DEC(SUBSTITUTE(AJ20,"0x",""))),"",MAX($AH$6:AH19)+1)))</f>
        <v/>
      </c>
      <c r="AI20" s="225" t="str">
        <f>IF(MAX(INDEX($AH:$AH,ROW($AI$6)):INDEX($AH:$AH,ROW(AI20)))+1=AH21,MAX(INDEX($AH:$AH,ROW($AI$6)):INDEX($AH:$AH,ROW(AI20))),"")</f>
        <v/>
      </c>
      <c r="AJ20" s="6" t="str">
        <f t="shared" si="3"/>
        <v>0x400001AC</v>
      </c>
      <c r="AK20" s="6">
        <f t="shared" si="4"/>
        <v>1073742252</v>
      </c>
      <c r="AL20" s="6" t="str">
        <f t="shared" si="5"/>
        <v/>
      </c>
      <c r="AM20" s="6" t="str">
        <f t="shared" si="6"/>
        <v/>
      </c>
      <c r="AN20" s="6" t="str">
        <f t="shared" si="7"/>
        <v/>
      </c>
    </row>
    <row r="21" spans="1:40">
      <c r="A21" s="7" t="s">
        <v>1375</v>
      </c>
      <c r="B21" s="7" t="s">
        <v>1376</v>
      </c>
      <c r="C21" s="7" t="s">
        <v>29</v>
      </c>
      <c r="D21" s="7">
        <v>32</v>
      </c>
      <c r="E21" s="61">
        <v>200</v>
      </c>
      <c r="F21" s="7" t="s">
        <v>31</v>
      </c>
      <c r="G21" s="7"/>
      <c r="H21" s="7"/>
      <c r="I21" s="203" t="s">
        <v>1346</v>
      </c>
      <c r="J21" s="206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1</v>
      </c>
      <c r="W21" s="6">
        <v>0</v>
      </c>
      <c r="X21" s="6">
        <v>0</v>
      </c>
      <c r="Y21" s="6">
        <v>0</v>
      </c>
      <c r="Z21" s="89"/>
      <c r="AA21" s="38">
        <v>24</v>
      </c>
      <c r="AB21" s="117">
        <v>65535</v>
      </c>
      <c r="AC21" s="117">
        <v>511</v>
      </c>
      <c r="AD21" s="18">
        <v>8</v>
      </c>
      <c r="AE21" s="117">
        <v>65535</v>
      </c>
      <c r="AF21" s="18"/>
      <c r="AG21" s="96"/>
      <c r="AH21" s="224" t="str">
        <f>IF(Y20=1,MAX($AH$6:AH20)+1,IF(AH20="#",0,IF(AND(D20=D21,M20=M21,N20=N21,O20=O21,P20=P21,Q20=Q21,R20=R21,S20=S21,T20=T21,U20=U21,V20=V21,W20=W21,X20=X21,Y20=Y21,HEX2DEC(SUBSTITUTE(AJ20,"0x",""))&lt;HEX2DEC(SUBSTITUTE(AJ21,"0x",""))),"",MAX($AH$6:AH20)+1)))</f>
        <v/>
      </c>
      <c r="AI21" s="225" t="str">
        <f>IF(MAX(INDEX($AH:$AH,ROW($AI$6)):INDEX($AH:$AH,ROW(AI21)))+1=AH22,MAX(INDEX($AH:$AH,ROW($AI$6)):INDEX($AH:$AH,ROW(AI21))),"")</f>
        <v/>
      </c>
      <c r="AJ21" s="6" t="str">
        <f t="shared" si="3"/>
        <v>0x400001AD</v>
      </c>
      <c r="AK21" s="6">
        <f t="shared" si="4"/>
        <v>1073742253</v>
      </c>
      <c r="AL21" s="6" t="str">
        <f t="shared" si="5"/>
        <v/>
      </c>
      <c r="AM21" s="6" t="str">
        <f t="shared" si="6"/>
        <v/>
      </c>
      <c r="AN21" s="6" t="str">
        <f t="shared" si="7"/>
        <v/>
      </c>
    </row>
    <row r="22" spans="1:40">
      <c r="A22" s="7" t="s">
        <v>1377</v>
      </c>
      <c r="B22" s="7" t="s">
        <v>1378</v>
      </c>
      <c r="C22" s="7" t="s">
        <v>29</v>
      </c>
      <c r="D22" s="7">
        <v>32</v>
      </c>
      <c r="E22" s="61">
        <v>200</v>
      </c>
      <c r="F22" s="7" t="s">
        <v>31</v>
      </c>
      <c r="G22" s="7"/>
      <c r="H22" s="7"/>
      <c r="I22" s="203" t="s">
        <v>1346</v>
      </c>
      <c r="J22" s="206"/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89"/>
      <c r="AA22" s="38">
        <v>24</v>
      </c>
      <c r="AB22" s="117">
        <v>65535</v>
      </c>
      <c r="AC22" s="117">
        <v>511</v>
      </c>
      <c r="AD22" s="18">
        <v>8</v>
      </c>
      <c r="AE22" s="117">
        <v>65535</v>
      </c>
      <c r="AF22" s="18"/>
      <c r="AG22" s="96"/>
      <c r="AH22" s="224" t="str">
        <f>IF(Y21=1,MAX($AH$6:AH21)+1,IF(AH21="#",0,IF(AND(D21=D22,M21=M22,N21=N22,O21=O22,P21=P22,Q21=Q22,R21=R22,S21=S22,T21=T22,U21=U22,V21=V22,W21=W22,X21=X22,Y21=Y22,HEX2DEC(SUBSTITUTE(AJ21,"0x",""))&lt;HEX2DEC(SUBSTITUTE(AJ22,"0x",""))),"",MAX($AH$6:AH21)+1)))</f>
        <v/>
      </c>
      <c r="AI22" s="225" t="str">
        <f>IF(MAX(INDEX($AH:$AH,ROW($AI$6)):INDEX($AH:$AH,ROW(AI22)))+1=AH23,MAX(INDEX($AH:$AH,ROW($AI$6)):INDEX($AH:$AH,ROW(AI22))),"")</f>
        <v/>
      </c>
      <c r="AJ22" s="6" t="str">
        <f t="shared" si="3"/>
        <v>0x400001AE</v>
      </c>
      <c r="AK22" s="6">
        <f t="shared" si="4"/>
        <v>1073742254</v>
      </c>
      <c r="AL22" s="6" t="str">
        <f t="shared" si="5"/>
        <v/>
      </c>
      <c r="AM22" s="6" t="str">
        <f t="shared" si="6"/>
        <v/>
      </c>
      <c r="AN22" s="6" t="str">
        <f t="shared" si="7"/>
        <v/>
      </c>
    </row>
    <row r="23" spans="1:40">
      <c r="A23" s="7" t="s">
        <v>1379</v>
      </c>
      <c r="B23" s="7" t="s">
        <v>1380</v>
      </c>
      <c r="C23" s="7" t="s">
        <v>29</v>
      </c>
      <c r="D23" s="7">
        <v>32</v>
      </c>
      <c r="E23" s="61">
        <v>200</v>
      </c>
      <c r="F23" s="7" t="s">
        <v>31</v>
      </c>
      <c r="G23" s="7"/>
      <c r="H23" s="7"/>
      <c r="I23" s="203" t="s">
        <v>1346</v>
      </c>
      <c r="J23" s="206"/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89"/>
      <c r="AA23" s="38">
        <v>25</v>
      </c>
      <c r="AB23" s="117">
        <v>65535</v>
      </c>
      <c r="AC23" s="117">
        <v>511</v>
      </c>
      <c r="AD23" s="18">
        <v>9</v>
      </c>
      <c r="AE23" s="117">
        <v>65535</v>
      </c>
      <c r="AF23" s="18"/>
      <c r="AG23" s="96"/>
      <c r="AH23" s="224" t="str">
        <f>IF(Y22=1,MAX($AH$6:AH22)+1,IF(AH22="#",0,IF(AND(D22=D23,M22=M23,N22=N23,O22=O23,P22=P23,Q22=Q23,R22=R23,S22=S23,T22=T23,U22=U23,V22=V23,W22=W23,X22=X23,Y22=Y23,HEX2DEC(SUBSTITUTE(AJ22,"0x",""))&lt;HEX2DEC(SUBSTITUTE(AJ23,"0x",""))),"",MAX($AH$6:AH22)+1)))</f>
        <v/>
      </c>
      <c r="AI23" s="225" t="str">
        <f>IF(MAX(INDEX($AH:$AH,ROW($AI$6)):INDEX($AH:$AH,ROW(AI23)))+1=AH24,MAX(INDEX($AH:$AH,ROW($AI$6)):INDEX($AH:$AH,ROW(AI23))),"")</f>
        <v/>
      </c>
      <c r="AJ23" s="6" t="str">
        <f t="shared" si="3"/>
        <v>0x400001AF</v>
      </c>
      <c r="AK23" s="6">
        <f t="shared" si="4"/>
        <v>1073742255</v>
      </c>
      <c r="AL23" s="6" t="str">
        <f t="shared" si="5"/>
        <v/>
      </c>
      <c r="AM23" s="6" t="str">
        <f t="shared" si="6"/>
        <v/>
      </c>
      <c r="AN23" s="6" t="str">
        <f t="shared" si="7"/>
        <v/>
      </c>
    </row>
    <row r="24" spans="1:40">
      <c r="A24" s="7" t="s">
        <v>1381</v>
      </c>
      <c r="B24" s="7" t="s">
        <v>1382</v>
      </c>
      <c r="C24" s="7" t="s">
        <v>29</v>
      </c>
      <c r="D24" s="7">
        <v>32</v>
      </c>
      <c r="E24" s="61">
        <v>200</v>
      </c>
      <c r="F24" s="7" t="s">
        <v>31</v>
      </c>
      <c r="G24" s="7"/>
      <c r="H24" s="7"/>
      <c r="I24" s="203" t="s">
        <v>1346</v>
      </c>
      <c r="J24" s="206"/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1</v>
      </c>
      <c r="W24" s="6">
        <v>0</v>
      </c>
      <c r="X24" s="6">
        <v>0</v>
      </c>
      <c r="Y24" s="6">
        <v>0</v>
      </c>
      <c r="Z24" s="89"/>
      <c r="AA24" s="38">
        <v>25</v>
      </c>
      <c r="AB24" s="117">
        <v>65535</v>
      </c>
      <c r="AC24" s="117">
        <v>511</v>
      </c>
      <c r="AD24" s="18">
        <v>9</v>
      </c>
      <c r="AE24" s="117">
        <v>65535</v>
      </c>
      <c r="AF24" s="18"/>
      <c r="AG24" s="96"/>
      <c r="AH24" s="224" t="str">
        <f>IF(Y23=1,MAX($AH$6:AH23)+1,IF(AH23="#",0,IF(AND(D23=D24,M23=M24,N23=N24,O23=O24,P23=P24,Q23=Q24,R23=R24,S23=S24,T23=T24,U23=U24,V23=V24,W23=W24,X23=X24,Y23=Y24,HEX2DEC(SUBSTITUTE(AJ23,"0x",""))&lt;HEX2DEC(SUBSTITUTE(AJ24,"0x",""))),"",MAX($AH$6:AH23)+1)))</f>
        <v/>
      </c>
      <c r="AI24" s="225" t="str">
        <f>IF(MAX(INDEX($AH:$AH,ROW($AI$6)):INDEX($AH:$AH,ROW(AI24)))+1=AH25,MAX(INDEX($AH:$AH,ROW($AI$6)):INDEX($AH:$AH,ROW(AI24))),"")</f>
        <v/>
      </c>
      <c r="AJ24" s="6" t="str">
        <f t="shared" si="3"/>
        <v>0x400001B0</v>
      </c>
      <c r="AK24" s="6">
        <f t="shared" si="4"/>
        <v>1073742256</v>
      </c>
      <c r="AL24" s="6" t="str">
        <f t="shared" si="5"/>
        <v/>
      </c>
      <c r="AM24" s="6" t="str">
        <f t="shared" si="6"/>
        <v/>
      </c>
      <c r="AN24" s="6" t="str">
        <f t="shared" si="7"/>
        <v/>
      </c>
    </row>
    <row r="25" spans="1:40">
      <c r="A25" s="7" t="s">
        <v>1383</v>
      </c>
      <c r="B25" s="7" t="s">
        <v>1384</v>
      </c>
      <c r="C25" s="7" t="s">
        <v>29</v>
      </c>
      <c r="D25" s="7">
        <v>32</v>
      </c>
      <c r="E25" s="61">
        <v>200</v>
      </c>
      <c r="F25" s="7" t="s">
        <v>31</v>
      </c>
      <c r="G25" s="7"/>
      <c r="H25" s="7"/>
      <c r="I25" s="203" t="s">
        <v>1346</v>
      </c>
      <c r="J25" s="206"/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89"/>
      <c r="AA25" s="38">
        <v>25</v>
      </c>
      <c r="AB25" s="117">
        <v>65535</v>
      </c>
      <c r="AC25" s="117">
        <v>511</v>
      </c>
      <c r="AD25" s="18">
        <v>9</v>
      </c>
      <c r="AE25" s="117">
        <v>65535</v>
      </c>
      <c r="AF25" s="18"/>
      <c r="AG25" s="96"/>
      <c r="AH25" s="224" t="str">
        <f>IF(Y24=1,MAX($AH$6:AH24)+1,IF(AH24="#",0,IF(AND(D24=D25,M24=M25,N24=N25,O24=O25,P24=P25,Q24=Q25,R24=R25,S24=S25,T24=T25,U24=U25,V24=V25,W24=W25,X24=X25,Y24=Y25,HEX2DEC(SUBSTITUTE(AJ24,"0x",""))&lt;HEX2DEC(SUBSTITUTE(AJ25,"0x",""))),"",MAX($AH$6:AH24)+1)))</f>
        <v/>
      </c>
      <c r="AI25" s="225" t="str">
        <f>IF(MAX(INDEX($AH:$AH,ROW($AI$6)):INDEX($AH:$AH,ROW(AI25)))+1=AH26,MAX(INDEX($AH:$AH,ROW($AI$6)):INDEX($AH:$AH,ROW(AI25))),"")</f>
        <v/>
      </c>
      <c r="AJ25" s="6" t="str">
        <f t="shared" si="3"/>
        <v>0x400001B3</v>
      </c>
      <c r="AK25" s="6">
        <f t="shared" si="4"/>
        <v>1073742259</v>
      </c>
      <c r="AL25" s="6" t="str">
        <f t="shared" si="5"/>
        <v/>
      </c>
      <c r="AM25" s="6" t="str">
        <f t="shared" si="6"/>
        <v/>
      </c>
      <c r="AN25" s="6" t="str">
        <f t="shared" si="7"/>
        <v/>
      </c>
    </row>
    <row r="26" spans="1:40">
      <c r="A26" s="7" t="s">
        <v>1385</v>
      </c>
      <c r="B26" s="7" t="s">
        <v>1386</v>
      </c>
      <c r="C26" s="7" t="s">
        <v>29</v>
      </c>
      <c r="D26" s="7">
        <v>32</v>
      </c>
      <c r="E26" s="61">
        <v>200</v>
      </c>
      <c r="F26" s="7" t="s">
        <v>31</v>
      </c>
      <c r="G26" s="7"/>
      <c r="H26" s="7"/>
      <c r="I26" s="203" t="s">
        <v>1346</v>
      </c>
      <c r="J26" s="206"/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1</v>
      </c>
      <c r="W26" s="6">
        <v>0</v>
      </c>
      <c r="X26" s="6">
        <v>0</v>
      </c>
      <c r="Y26" s="6">
        <v>0</v>
      </c>
      <c r="Z26" s="89"/>
      <c r="AA26" s="38">
        <v>25</v>
      </c>
      <c r="AB26" s="117">
        <v>65535</v>
      </c>
      <c r="AC26" s="117">
        <v>511</v>
      </c>
      <c r="AD26" s="18">
        <v>9</v>
      </c>
      <c r="AE26" s="117">
        <v>65535</v>
      </c>
      <c r="AF26" s="18"/>
      <c r="AG26" s="96"/>
      <c r="AH26" s="224" t="str">
        <f>IF(Y25=1,MAX($AH$6:AH25)+1,IF(AH25="#",0,IF(AND(D25=D26,M25=M26,N25=N26,O25=O26,P25=P26,Q25=Q26,R25=R26,S25=S26,T25=T26,U25=U26,V25=V26,W25=W26,X25=X26,Y25=Y26,HEX2DEC(SUBSTITUTE(AJ25,"0x",""))&lt;HEX2DEC(SUBSTITUTE(AJ26,"0x",""))),"",MAX($AH$6:AH25)+1)))</f>
        <v/>
      </c>
      <c r="AI26" s="225" t="str">
        <f>IF(MAX(INDEX($AH:$AH,ROW($AI$6)):INDEX($AH:$AH,ROW(AI26)))+1=AH27,MAX(INDEX($AH:$AH,ROW($AI$6)):INDEX($AH:$AH,ROW(AI26))),"")</f>
        <v/>
      </c>
      <c r="AJ26" s="6" t="str">
        <f t="shared" si="3"/>
        <v>0x400001B4</v>
      </c>
      <c r="AK26" s="6">
        <f t="shared" si="4"/>
        <v>1073742260</v>
      </c>
      <c r="AL26" s="6" t="str">
        <f t="shared" si="5"/>
        <v/>
      </c>
      <c r="AM26" s="6" t="str">
        <f t="shared" si="6"/>
        <v/>
      </c>
      <c r="AN26" s="6" t="str">
        <f t="shared" si="7"/>
        <v/>
      </c>
    </row>
    <row r="27" spans="1:40">
      <c r="A27" s="7" t="s">
        <v>1387</v>
      </c>
      <c r="B27" s="7" t="s">
        <v>1388</v>
      </c>
      <c r="C27" s="7" t="s">
        <v>29</v>
      </c>
      <c r="D27" s="7">
        <v>32</v>
      </c>
      <c r="E27" s="61">
        <v>200</v>
      </c>
      <c r="F27" s="7" t="s">
        <v>31</v>
      </c>
      <c r="G27" s="7"/>
      <c r="H27" s="7"/>
      <c r="I27" s="203" t="s">
        <v>1346</v>
      </c>
      <c r="J27" s="206"/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1</v>
      </c>
      <c r="W27" s="6">
        <v>0</v>
      </c>
      <c r="X27" s="6">
        <v>0</v>
      </c>
      <c r="Y27" s="6">
        <v>0</v>
      </c>
      <c r="Z27" s="89"/>
      <c r="AA27" s="38">
        <v>25</v>
      </c>
      <c r="AB27" s="117">
        <v>65535</v>
      </c>
      <c r="AC27" s="117">
        <v>511</v>
      </c>
      <c r="AD27" s="18">
        <v>9</v>
      </c>
      <c r="AE27" s="117">
        <v>65535</v>
      </c>
      <c r="AF27" s="18"/>
      <c r="AG27" s="96"/>
      <c r="AH27" s="224" t="str">
        <f>IF(Y26=1,MAX($AH$6:AH26)+1,IF(AH26="#",0,IF(AND(D26=D27,M26=M27,N26=N27,O26=O27,P26=P27,Q26=Q27,R26=R27,S26=S27,T26=T27,U26=U27,V26=V27,W26=W27,X26=X27,Y26=Y27,HEX2DEC(SUBSTITUTE(AJ26,"0x",""))&lt;HEX2DEC(SUBSTITUTE(AJ27,"0x",""))),"",MAX($AH$6:AH26)+1)))</f>
        <v/>
      </c>
      <c r="AI27" s="225" t="str">
        <f>IF(MAX(INDEX($AH:$AH,ROW($AI$6)):INDEX($AH:$AH,ROW(AI27)))+1=AH28,MAX(INDEX($AH:$AH,ROW($AI$6)):INDEX($AH:$AH,ROW(AI27))),"")</f>
        <v/>
      </c>
      <c r="AJ27" s="6" t="str">
        <f t="shared" si="3"/>
        <v>0x400001B5</v>
      </c>
      <c r="AK27" s="6">
        <f t="shared" si="4"/>
        <v>1073742261</v>
      </c>
      <c r="AL27" s="6" t="str">
        <f t="shared" si="5"/>
        <v/>
      </c>
      <c r="AM27" s="6" t="str">
        <f t="shared" si="6"/>
        <v/>
      </c>
      <c r="AN27" s="6" t="str">
        <f t="shared" si="7"/>
        <v/>
      </c>
    </row>
    <row r="28" spans="1:40">
      <c r="A28" s="7" t="s">
        <v>1389</v>
      </c>
      <c r="B28" s="7" t="s">
        <v>1390</v>
      </c>
      <c r="C28" s="7" t="s">
        <v>29</v>
      </c>
      <c r="D28" s="7">
        <v>32</v>
      </c>
      <c r="E28" s="61">
        <v>200</v>
      </c>
      <c r="F28" s="7" t="s">
        <v>31</v>
      </c>
      <c r="G28" s="7"/>
      <c r="H28" s="7"/>
      <c r="I28" s="203" t="s">
        <v>1346</v>
      </c>
      <c r="J28" s="206"/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1</v>
      </c>
      <c r="W28" s="6">
        <v>0</v>
      </c>
      <c r="X28" s="6">
        <v>0</v>
      </c>
      <c r="Y28" s="6">
        <v>0</v>
      </c>
      <c r="Z28" s="89"/>
      <c r="AA28" s="38">
        <v>25</v>
      </c>
      <c r="AB28" s="117">
        <v>65535</v>
      </c>
      <c r="AC28" s="117">
        <v>511</v>
      </c>
      <c r="AD28" s="18">
        <v>9</v>
      </c>
      <c r="AE28" s="117">
        <v>65535</v>
      </c>
      <c r="AF28" s="18"/>
      <c r="AG28" s="96"/>
      <c r="AH28" s="224" t="str">
        <f>IF(Y27=1,MAX($AH$6:AH27)+1,IF(AH27="#",0,IF(AND(D27=D28,M27=M28,N27=N28,O27=O28,P27=P28,Q27=Q28,R27=R28,S27=S28,T27=T28,U27=U28,V27=V28,W27=W28,X27=X28,Y27=Y28,HEX2DEC(SUBSTITUTE(AJ27,"0x",""))&lt;HEX2DEC(SUBSTITUTE(AJ28,"0x",""))),"",MAX($AH$6:AH27)+1)))</f>
        <v/>
      </c>
      <c r="AI28" s="225" t="str">
        <f>IF(MAX(INDEX($AH:$AH,ROW($AI$6)):INDEX($AH:$AH,ROW(AI28)))+1=AH29,MAX(INDEX($AH:$AH,ROW($AI$6)):INDEX($AH:$AH,ROW(AI28))),"")</f>
        <v/>
      </c>
      <c r="AJ28" s="6" t="str">
        <f t="shared" si="3"/>
        <v>0x400001B7</v>
      </c>
      <c r="AK28" s="6">
        <f t="shared" si="4"/>
        <v>1073742263</v>
      </c>
      <c r="AL28" s="6" t="str">
        <f t="shared" si="5"/>
        <v/>
      </c>
      <c r="AM28" s="6" t="str">
        <f t="shared" si="6"/>
        <v/>
      </c>
      <c r="AN28" s="6" t="str">
        <f t="shared" si="7"/>
        <v/>
      </c>
    </row>
    <row r="29" spans="1:40">
      <c r="A29" s="7" t="s">
        <v>1391</v>
      </c>
      <c r="B29" s="7" t="s">
        <v>1392</v>
      </c>
      <c r="C29" s="7" t="s">
        <v>29</v>
      </c>
      <c r="D29" s="7">
        <v>32</v>
      </c>
      <c r="E29" s="61">
        <v>200</v>
      </c>
      <c r="F29" s="7" t="s">
        <v>31</v>
      </c>
      <c r="G29" s="7"/>
      <c r="H29" s="7"/>
      <c r="I29" s="203" t="s">
        <v>1346</v>
      </c>
      <c r="J29" s="206"/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1</v>
      </c>
      <c r="W29" s="6">
        <v>0</v>
      </c>
      <c r="X29" s="6">
        <v>0</v>
      </c>
      <c r="Y29" s="6">
        <v>0</v>
      </c>
      <c r="Z29" s="89"/>
      <c r="AA29" s="38">
        <v>25</v>
      </c>
      <c r="AB29" s="117">
        <v>65535</v>
      </c>
      <c r="AC29" s="117">
        <v>511</v>
      </c>
      <c r="AD29" s="18">
        <v>9</v>
      </c>
      <c r="AE29" s="117">
        <v>65535</v>
      </c>
      <c r="AF29" s="18"/>
      <c r="AG29" s="96"/>
      <c r="AH29" s="224" t="str">
        <f>IF(Y28=1,MAX($AH$6:AH28)+1,IF(AH28="#",0,IF(AND(D28=D29,M28=M29,N28=N29,O28=O29,P28=P29,Q28=Q29,R28=R29,S28=S29,T28=T29,U28=U29,V28=V29,W28=W29,X28=X29,Y28=Y29,HEX2DEC(SUBSTITUTE(AJ28,"0x",""))&lt;HEX2DEC(SUBSTITUTE(AJ29,"0x",""))),"",MAX($AH$6:AH28)+1)))</f>
        <v/>
      </c>
      <c r="AI29" s="225" t="str">
        <f>IF(MAX(INDEX($AH:$AH,ROW($AI$6)):INDEX($AH:$AH,ROW(AI29)))+1=AH30,MAX(INDEX($AH:$AH,ROW($AI$6)):INDEX($AH:$AH,ROW(AI29))),"")</f>
        <v/>
      </c>
      <c r="AJ29" s="6" t="str">
        <f t="shared" si="3"/>
        <v>0x400001B8</v>
      </c>
      <c r="AK29" s="6">
        <f t="shared" si="4"/>
        <v>1073742264</v>
      </c>
      <c r="AL29" s="6" t="str">
        <f t="shared" si="5"/>
        <v/>
      </c>
      <c r="AM29" s="6" t="str">
        <f t="shared" si="6"/>
        <v/>
      </c>
      <c r="AN29" s="6" t="str">
        <f t="shared" si="7"/>
        <v/>
      </c>
    </row>
    <row r="30" spans="1:40">
      <c r="A30" s="7" t="s">
        <v>1393</v>
      </c>
      <c r="B30" s="7" t="s">
        <v>1394</v>
      </c>
      <c r="C30" s="7" t="s">
        <v>29</v>
      </c>
      <c r="D30" s="7">
        <v>32</v>
      </c>
      <c r="E30" s="61">
        <v>200</v>
      </c>
      <c r="F30" s="7" t="s">
        <v>31</v>
      </c>
      <c r="G30" s="7"/>
      <c r="H30" s="7"/>
      <c r="I30" s="203" t="s">
        <v>1346</v>
      </c>
      <c r="J30" s="206"/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1</v>
      </c>
      <c r="W30" s="6">
        <v>0</v>
      </c>
      <c r="X30" s="6">
        <v>0</v>
      </c>
      <c r="Y30" s="6">
        <v>0</v>
      </c>
      <c r="Z30" s="89"/>
      <c r="AA30" s="38">
        <v>25</v>
      </c>
      <c r="AB30" s="117">
        <v>65535</v>
      </c>
      <c r="AC30" s="117">
        <v>511</v>
      </c>
      <c r="AD30" s="18">
        <v>9</v>
      </c>
      <c r="AE30" s="117">
        <v>65535</v>
      </c>
      <c r="AF30" s="18"/>
      <c r="AG30" s="96"/>
      <c r="AH30" s="224" t="str">
        <f>IF(Y29=1,MAX($AH$6:AH29)+1,IF(AH29="#",0,IF(AND(D29=D30,M29=M30,N29=N30,O29=O30,P29=P30,Q29=Q30,R29=R30,S29=S30,T29=T30,U29=U30,V29=V30,W29=W30,X29=X30,Y29=Y30,HEX2DEC(SUBSTITUTE(AJ29,"0x",""))&lt;HEX2DEC(SUBSTITUTE(AJ30,"0x",""))),"",MAX($AH$6:AH29)+1)))</f>
        <v/>
      </c>
      <c r="AI30" s="225">
        <f>IF(MAX(INDEX($AH:$AH,ROW($AI$6)):INDEX($AH:$AH,ROW(AI30)))+1=AH31,MAX(INDEX($AH:$AH,ROW($AI$6)):INDEX($AH:$AH,ROW(AI30))),"")</f>
        <v>8</v>
      </c>
      <c r="AJ30" s="6" t="str">
        <f t="shared" si="3"/>
        <v>0x400001B9</v>
      </c>
      <c r="AK30" s="6">
        <f t="shared" si="4"/>
        <v>1073742265</v>
      </c>
      <c r="AL30" s="6" t="str">
        <f t="shared" si="5"/>
        <v/>
      </c>
      <c r="AM30" s="6" t="str">
        <f t="shared" si="6"/>
        <v/>
      </c>
      <c r="AN30" s="6" t="str">
        <f t="shared" si="7"/>
        <v/>
      </c>
    </row>
    <row r="31" spans="1:40">
      <c r="A31" s="7" t="s">
        <v>1395</v>
      </c>
      <c r="B31" s="7" t="s">
        <v>1396</v>
      </c>
      <c r="C31" s="7" t="s">
        <v>29</v>
      </c>
      <c r="D31" s="7">
        <v>8</v>
      </c>
      <c r="E31" s="61">
        <v>200</v>
      </c>
      <c r="F31" s="7" t="s">
        <v>31</v>
      </c>
      <c r="G31" s="7" t="s">
        <v>1346</v>
      </c>
      <c r="H31" s="7"/>
      <c r="I31" s="203" t="s">
        <v>7</v>
      </c>
      <c r="J31" s="206"/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1</v>
      </c>
      <c r="X31" s="6">
        <v>0</v>
      </c>
      <c r="Y31" s="6">
        <v>0</v>
      </c>
      <c r="Z31" s="89"/>
      <c r="AA31" s="38">
        <v>16</v>
      </c>
      <c r="AB31" s="117">
        <v>65535</v>
      </c>
      <c r="AC31" s="117">
        <v>511</v>
      </c>
      <c r="AD31" s="18">
        <v>0</v>
      </c>
      <c r="AE31" s="117">
        <v>65535</v>
      </c>
      <c r="AF31" s="18"/>
      <c r="AG31" s="96"/>
      <c r="AH31" s="224">
        <f>IF(Y30=1,MAX($AH$6:AH30)+1,IF(AH30="#",0,IF(AND(D30=D31,M30=M31,N30=N31,O30=O31,P30=P31,Q30=Q31,R30=R31,S30=S31,T30=T31,U30=U31,V30=V31,W30=W31,X30=X31,Y30=Y31,HEX2DEC(SUBSTITUTE(AJ30,"0x",""))&lt;HEX2DEC(SUBSTITUTE(AJ31,"0x",""))),"",MAX($AH$6:AH30)+1)))</f>
        <v>9</v>
      </c>
      <c r="AI31" s="225" t="str">
        <f>IF(MAX(INDEX($AH:$AH,ROW($AI$6)):INDEX($AH:$AH,ROW(AI31)))+1=AH32,MAX(INDEX($AH:$AH,ROW($AI$6)):INDEX($AH:$AH,ROW(AI31))),"")</f>
        <v/>
      </c>
      <c r="AJ31" s="6" t="str">
        <f t="shared" si="3"/>
        <v>0x400001BD</v>
      </c>
      <c r="AK31" s="6">
        <f t="shared" si="4"/>
        <v>1073742269</v>
      </c>
      <c r="AL31" s="6" t="str">
        <f t="shared" si="5"/>
        <v>0x400001BD</v>
      </c>
      <c r="AM31" s="6" t="str">
        <f t="shared" si="6"/>
        <v>0x400001F6</v>
      </c>
      <c r="AN31" s="6">
        <f t="shared" si="7"/>
        <v>8</v>
      </c>
    </row>
    <row r="32" spans="1:40">
      <c r="A32" s="7" t="s">
        <v>1397</v>
      </c>
      <c r="B32" s="7" t="s">
        <v>1398</v>
      </c>
      <c r="C32" s="7" t="s">
        <v>29</v>
      </c>
      <c r="D32" s="7">
        <v>8</v>
      </c>
      <c r="E32" s="61">
        <v>300</v>
      </c>
      <c r="F32" s="7" t="s">
        <v>31</v>
      </c>
      <c r="G32" s="7" t="s">
        <v>1346</v>
      </c>
      <c r="H32" s="7"/>
      <c r="I32" s="203" t="s">
        <v>7</v>
      </c>
      <c r="J32" s="206"/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89"/>
      <c r="AA32" s="38">
        <v>16</v>
      </c>
      <c r="AB32" s="117">
        <v>65535</v>
      </c>
      <c r="AC32" s="117">
        <v>511</v>
      </c>
      <c r="AD32" s="18">
        <v>0</v>
      </c>
      <c r="AE32" s="117">
        <v>65535</v>
      </c>
      <c r="AF32" s="18"/>
      <c r="AG32" s="96"/>
      <c r="AH32" s="224" t="str">
        <f>IF(Y31=1,MAX($AH$6:AH31)+1,IF(AH31="#",0,IF(AND(D31=D32,M31=M32,N31=N32,O31=O32,P31=P32,Q31=Q32,R31=R32,S31=S32,T31=T32,U31=U32,V31=V32,W31=W32,X31=X32,Y31=Y32,HEX2DEC(SUBSTITUTE(AJ31,"0x",""))&lt;HEX2DEC(SUBSTITUTE(AJ32,"0x",""))),"",MAX($AH$6:AH31)+1)))</f>
        <v/>
      </c>
      <c r="AI32" s="225" t="str">
        <f>IF(MAX(INDEX($AH:$AH,ROW($AI$6)):INDEX($AH:$AH,ROW(AI32)))+1=AH33,MAX(INDEX($AH:$AH,ROW($AI$6)):INDEX($AH:$AH,ROW(AI32))),"")</f>
        <v/>
      </c>
      <c r="AJ32" s="6" t="str">
        <f t="shared" si="3"/>
        <v>0x400001DC</v>
      </c>
      <c r="AK32" s="6">
        <f t="shared" si="4"/>
        <v>1073742300</v>
      </c>
      <c r="AL32" s="6" t="str">
        <f t="shared" si="5"/>
        <v/>
      </c>
      <c r="AM32" s="6" t="str">
        <f t="shared" si="6"/>
        <v/>
      </c>
      <c r="AN32" s="6" t="str">
        <f t="shared" si="7"/>
        <v/>
      </c>
    </row>
    <row r="33" spans="1:40">
      <c r="A33" s="7" t="s">
        <v>1399</v>
      </c>
      <c r="B33" s="7" t="s">
        <v>1400</v>
      </c>
      <c r="C33" s="7" t="s">
        <v>29</v>
      </c>
      <c r="D33" s="7">
        <v>8</v>
      </c>
      <c r="E33" s="61">
        <v>500</v>
      </c>
      <c r="F33" s="7" t="s">
        <v>31</v>
      </c>
      <c r="G33" s="7" t="s">
        <v>1346</v>
      </c>
      <c r="H33" s="7"/>
      <c r="I33" s="203" t="s">
        <v>7</v>
      </c>
      <c r="J33" s="206"/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1</v>
      </c>
      <c r="X33" s="6">
        <v>0</v>
      </c>
      <c r="Y33" s="6">
        <v>0</v>
      </c>
      <c r="Z33" s="89"/>
      <c r="AA33" s="38">
        <v>16</v>
      </c>
      <c r="AB33" s="117">
        <v>65535</v>
      </c>
      <c r="AC33" s="117">
        <v>511</v>
      </c>
      <c r="AD33" s="18">
        <v>0</v>
      </c>
      <c r="AE33" s="117">
        <v>65535</v>
      </c>
      <c r="AF33" s="18"/>
      <c r="AG33" s="96"/>
      <c r="AH33" s="224" t="str">
        <f>IF(Y32=1,MAX($AH$6:AH32)+1,IF(AH32="#",0,IF(AND(D32=D33,M32=M33,N32=N33,O32=O33,P32=P33,Q32=Q33,R32=R33,S32=S33,T32=T33,U32=U33,V32=V33,W32=W33,X32=X33,Y32=Y33,HEX2DEC(SUBSTITUTE(AJ32,"0x",""))&lt;HEX2DEC(SUBSTITUTE(AJ33,"0x",""))),"",MAX($AH$6:AH32)+1)))</f>
        <v/>
      </c>
      <c r="AI33" s="225" t="str">
        <f>IF(MAX(INDEX($AH:$AH,ROW($AI$6)):INDEX($AH:$AH,ROW(AI33)))+1=AH34,MAX(INDEX($AH:$AH,ROW($AI$6)):INDEX($AH:$AH,ROW(AI33))),"")</f>
        <v/>
      </c>
      <c r="AJ33" s="6" t="str">
        <f t="shared" si="3"/>
        <v>0x400001EC</v>
      </c>
      <c r="AK33" s="6">
        <f t="shared" si="4"/>
        <v>1073742316</v>
      </c>
      <c r="AL33" s="6" t="str">
        <f t="shared" si="5"/>
        <v/>
      </c>
      <c r="AM33" s="6" t="str">
        <f t="shared" si="6"/>
        <v/>
      </c>
      <c r="AN33" s="6" t="str">
        <f t="shared" si="7"/>
        <v/>
      </c>
    </row>
    <row r="34" spans="1:40">
      <c r="A34" s="7" t="s">
        <v>1401</v>
      </c>
      <c r="B34" s="7" t="s">
        <v>1402</v>
      </c>
      <c r="C34" s="7" t="s">
        <v>29</v>
      </c>
      <c r="D34" s="7">
        <v>8</v>
      </c>
      <c r="E34" s="61">
        <v>500</v>
      </c>
      <c r="F34" s="7" t="s">
        <v>31</v>
      </c>
      <c r="G34" s="7" t="s">
        <v>1346</v>
      </c>
      <c r="H34" s="7"/>
      <c r="I34" s="203" t="s">
        <v>7</v>
      </c>
      <c r="J34" s="206"/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1</v>
      </c>
      <c r="X34" s="6">
        <v>0</v>
      </c>
      <c r="Y34" s="6">
        <v>0</v>
      </c>
      <c r="Z34" s="89"/>
      <c r="AA34" s="38">
        <v>16</v>
      </c>
      <c r="AB34" s="117">
        <v>65535</v>
      </c>
      <c r="AC34" s="117">
        <v>511</v>
      </c>
      <c r="AD34" s="18">
        <v>0</v>
      </c>
      <c r="AE34" s="117">
        <v>65535</v>
      </c>
      <c r="AF34" s="18"/>
      <c r="AG34" s="96"/>
      <c r="AH34" s="224" t="str">
        <f>IF(Y33=1,MAX($AH$6:AH33)+1,IF(AH33="#",0,IF(AND(D33=D34,M33=M34,N33=N34,O33=O34,P33=P34,Q33=Q34,R33=R34,S33=S34,T33=T34,U33=U34,V33=V34,W33=W34,X33=X34,Y33=Y34,HEX2DEC(SUBSTITUTE(AJ33,"0x",""))&lt;HEX2DEC(SUBSTITUTE(AJ34,"0x",""))),"",MAX($AH$6:AH33)+1)))</f>
        <v/>
      </c>
      <c r="AI34" s="225" t="str">
        <f>IF(MAX(INDEX($AH:$AH,ROW($AI$6)):INDEX($AH:$AH,ROW(AI34)))+1=AH35,MAX(INDEX($AH:$AH,ROW($AI$6)):INDEX($AH:$AH,ROW(AI34))),"")</f>
        <v/>
      </c>
      <c r="AJ34" s="6" t="str">
        <f t="shared" si="3"/>
        <v>0x400001F2</v>
      </c>
      <c r="AK34" s="6">
        <f t="shared" si="4"/>
        <v>1073742322</v>
      </c>
      <c r="AL34" s="6" t="str">
        <f t="shared" si="5"/>
        <v/>
      </c>
      <c r="AM34" s="6" t="str">
        <f t="shared" si="6"/>
        <v/>
      </c>
      <c r="AN34" s="6" t="str">
        <f t="shared" si="7"/>
        <v/>
      </c>
    </row>
    <row r="35" spans="1:40">
      <c r="A35" s="7" t="s">
        <v>1403</v>
      </c>
      <c r="B35" s="7" t="s">
        <v>1404</v>
      </c>
      <c r="C35" s="7" t="s">
        <v>29</v>
      </c>
      <c r="D35" s="7">
        <v>8</v>
      </c>
      <c r="E35" s="61">
        <v>500</v>
      </c>
      <c r="F35" s="7" t="s">
        <v>31</v>
      </c>
      <c r="G35" s="7" t="s">
        <v>1346</v>
      </c>
      <c r="H35" s="7"/>
      <c r="I35" s="203" t="s">
        <v>7</v>
      </c>
      <c r="J35" s="206"/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  <c r="X35" s="6">
        <v>0</v>
      </c>
      <c r="Y35" s="6">
        <v>0</v>
      </c>
      <c r="Z35" s="89"/>
      <c r="AA35" s="38">
        <v>16</v>
      </c>
      <c r="AB35" s="117">
        <v>65535</v>
      </c>
      <c r="AC35" s="117">
        <v>511</v>
      </c>
      <c r="AD35" s="18">
        <v>0</v>
      </c>
      <c r="AE35" s="117">
        <v>65535</v>
      </c>
      <c r="AF35" s="18"/>
      <c r="AG35" s="96"/>
      <c r="AH35" s="224" t="str">
        <f>IF(Y34=1,MAX($AH$6:AH34)+1,IF(AH34="#",0,IF(AND(D34=D35,M34=M35,N34=N35,O34=O35,P34=P35,Q34=Q35,R34=R35,S34=S35,T34=T35,U34=U35,V34=V35,W34=W35,X34=X35,Y34=Y35,HEX2DEC(SUBSTITUTE(AJ34,"0x",""))&lt;HEX2DEC(SUBSTITUTE(AJ35,"0x",""))),"",MAX($AH$6:AH34)+1)))</f>
        <v/>
      </c>
      <c r="AI35" s="225">
        <f>IF(MAX(INDEX($AH:$AH,ROW($AI$6)):INDEX($AH:$AH,ROW(AI35)))+1=AH36,MAX(INDEX($AH:$AH,ROW($AI$6)):INDEX($AH:$AH,ROW(AI35))),"")</f>
        <v>9</v>
      </c>
      <c r="AJ35" s="6" t="str">
        <f t="shared" si="3"/>
        <v>0x400001F6</v>
      </c>
      <c r="AK35" s="6">
        <f t="shared" si="4"/>
        <v>1073742326</v>
      </c>
      <c r="AL35" s="6" t="str">
        <f t="shared" si="5"/>
        <v/>
      </c>
      <c r="AM35" s="6" t="str">
        <f t="shared" si="6"/>
        <v/>
      </c>
      <c r="AN35" s="6" t="str">
        <f t="shared" si="7"/>
        <v/>
      </c>
    </row>
    <row r="36" spans="1:40">
      <c r="A36" s="7" t="s">
        <v>1405</v>
      </c>
      <c r="B36" s="7" t="s">
        <v>1406</v>
      </c>
      <c r="C36" s="7" t="s">
        <v>29</v>
      </c>
      <c r="D36" s="7">
        <v>32</v>
      </c>
      <c r="E36" s="61">
        <v>500</v>
      </c>
      <c r="F36" s="7" t="s">
        <v>31</v>
      </c>
      <c r="G36" s="7" t="s">
        <v>1346</v>
      </c>
      <c r="H36" s="7"/>
      <c r="I36" s="203" t="s">
        <v>7</v>
      </c>
      <c r="J36" s="206"/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1</v>
      </c>
      <c r="X36" s="6">
        <v>0</v>
      </c>
      <c r="Y36" s="6">
        <v>0</v>
      </c>
      <c r="Z36" s="89"/>
      <c r="AA36" s="38">
        <v>16</v>
      </c>
      <c r="AB36" s="117">
        <v>65535</v>
      </c>
      <c r="AC36" s="117">
        <v>511</v>
      </c>
      <c r="AD36" s="18">
        <v>0</v>
      </c>
      <c r="AE36" s="117">
        <v>65535</v>
      </c>
      <c r="AF36" s="18"/>
      <c r="AG36" s="96"/>
      <c r="AH36" s="224">
        <f>IF(Y35=1,MAX($AH$6:AH35)+1,IF(AH35="#",0,IF(AND(D35=D36,M35=M36,N35=N36,O35=O36,P35=P36,Q35=Q36,R35=R36,S35=S36,T35=T36,U35=U36,V35=V36,W35=W36,X35=X36,Y35=Y36,HEX2DEC(SUBSTITUTE(AJ35,"0x",""))&lt;HEX2DEC(SUBSTITUTE(AJ36,"0x",""))),"",MAX($AH$6:AH35)+1)))</f>
        <v>10</v>
      </c>
      <c r="AI36" s="225">
        <f>IF(MAX(INDEX($AH:$AH,ROW($AI$6)):INDEX($AH:$AH,ROW(AI36)))+1=AH37,MAX(INDEX($AH:$AH,ROW($AI$6)):INDEX($AH:$AH,ROW(AI36))),"")</f>
        <v>10</v>
      </c>
      <c r="AJ36" s="6" t="str">
        <f t="shared" si="3"/>
        <v>0x400001F7</v>
      </c>
      <c r="AK36" s="6">
        <f t="shared" si="4"/>
        <v>1073742327</v>
      </c>
      <c r="AL36" s="6" t="str">
        <f t="shared" si="5"/>
        <v>0x400001F7</v>
      </c>
      <c r="AM36" s="6" t="str">
        <f t="shared" si="6"/>
        <v>0x400001F7</v>
      </c>
      <c r="AN36" s="6">
        <f t="shared" si="7"/>
        <v>32</v>
      </c>
    </row>
    <row r="37" spans="1:40">
      <c r="A37" s="7" t="s">
        <v>1407</v>
      </c>
      <c r="B37" s="7" t="s">
        <v>1408</v>
      </c>
      <c r="C37" s="7" t="s">
        <v>29</v>
      </c>
      <c r="D37" s="7">
        <v>8</v>
      </c>
      <c r="E37" s="61">
        <v>500</v>
      </c>
      <c r="F37" s="7" t="s">
        <v>31</v>
      </c>
      <c r="G37" s="7"/>
      <c r="H37" s="7"/>
      <c r="I37" s="203" t="s">
        <v>1346</v>
      </c>
      <c r="J37" s="206"/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1</v>
      </c>
      <c r="W37" s="6">
        <v>0</v>
      </c>
      <c r="X37" s="6">
        <v>0</v>
      </c>
      <c r="Y37" s="6">
        <v>0</v>
      </c>
      <c r="Z37" s="89"/>
      <c r="AA37" s="38">
        <v>25</v>
      </c>
      <c r="AB37" s="117">
        <v>65535</v>
      </c>
      <c r="AC37" s="117">
        <v>511</v>
      </c>
      <c r="AD37" s="18">
        <v>9</v>
      </c>
      <c r="AE37" s="117">
        <v>65535</v>
      </c>
      <c r="AF37" s="18"/>
      <c r="AG37" s="96"/>
      <c r="AH37" s="224">
        <f>IF(Y36=1,MAX($AH$6:AH36)+1,IF(AH36="#",0,IF(AND(D36=D37,M36=M37,N36=N37,O36=O37,P36=P37,Q36=Q37,R36=R37,S36=S37,T36=T37,U36=U37,V36=V37,W36=W37,X36=X37,Y36=Y37,HEX2DEC(SUBSTITUTE(AJ36,"0x",""))&lt;HEX2DEC(SUBSTITUTE(AJ37,"0x",""))),"",MAX($AH$6:AH36)+1)))</f>
        <v>11</v>
      </c>
      <c r="AI37" s="225" t="str">
        <f>IF(MAX(INDEX($AH:$AH,ROW($AI$6)):INDEX($AH:$AH,ROW(AI37)))+1=AH38,MAX(INDEX($AH:$AH,ROW($AI$6)):INDEX($AH:$AH,ROW(AI37))),"")</f>
        <v/>
      </c>
      <c r="AJ37" s="6" t="str">
        <f t="shared" si="3"/>
        <v>0x400001FC</v>
      </c>
      <c r="AK37" s="6">
        <f t="shared" si="4"/>
        <v>1073742332</v>
      </c>
      <c r="AL37" s="6" t="str">
        <f t="shared" si="5"/>
        <v>0x400001FC</v>
      </c>
      <c r="AM37" s="6" t="str">
        <f t="shared" si="6"/>
        <v>0x400001FF</v>
      </c>
      <c r="AN37" s="6">
        <f t="shared" si="7"/>
        <v>8</v>
      </c>
    </row>
    <row r="38" spans="1:40">
      <c r="A38" s="7" t="s">
        <v>1409</v>
      </c>
      <c r="B38" s="7" t="s">
        <v>1410</v>
      </c>
      <c r="C38" s="7" t="s">
        <v>29</v>
      </c>
      <c r="D38" s="7">
        <v>8</v>
      </c>
      <c r="E38" s="61">
        <v>500</v>
      </c>
      <c r="F38" s="7" t="s">
        <v>31</v>
      </c>
      <c r="G38" s="7"/>
      <c r="H38" s="7"/>
      <c r="I38" s="203" t="s">
        <v>1346</v>
      </c>
      <c r="J38" s="206"/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1</v>
      </c>
      <c r="W38" s="6">
        <v>0</v>
      </c>
      <c r="X38" s="6">
        <v>0</v>
      </c>
      <c r="Y38" s="6">
        <v>0</v>
      </c>
      <c r="Z38" s="89"/>
      <c r="AA38" s="38">
        <v>25</v>
      </c>
      <c r="AB38" s="117">
        <v>65535</v>
      </c>
      <c r="AC38" s="117">
        <v>511</v>
      </c>
      <c r="AD38" s="18">
        <v>9</v>
      </c>
      <c r="AE38" s="117">
        <v>65535</v>
      </c>
      <c r="AF38" s="18"/>
      <c r="AG38" s="96"/>
      <c r="AH38" s="224" t="str">
        <f>IF(Y37=1,MAX($AH$6:AH37)+1,IF(AH37="#",0,IF(AND(D37=D38,M37=M38,N37=N38,O37=O38,P37=P38,Q37=Q38,R37=R38,S37=S38,T37=T38,U37=U38,V37=V38,W37=W38,X37=X38,Y37=Y38,HEX2DEC(SUBSTITUTE(AJ37,"0x",""))&lt;HEX2DEC(SUBSTITUTE(AJ38,"0x",""))),"",MAX($AH$6:AH37)+1)))</f>
        <v/>
      </c>
      <c r="AI38" s="225" t="str">
        <f>IF(MAX(INDEX($AH:$AH,ROW($AI$6)):INDEX($AH:$AH,ROW(AI38)))+1=AH39,MAX(INDEX($AH:$AH,ROW($AI$6)):INDEX($AH:$AH,ROW(AI38))),"")</f>
        <v/>
      </c>
      <c r="AJ38" s="6" t="str">
        <f t="shared" si="3"/>
        <v>0x400001FD</v>
      </c>
      <c r="AK38" s="6">
        <f t="shared" si="4"/>
        <v>1073742333</v>
      </c>
      <c r="AL38" s="6" t="str">
        <f t="shared" si="5"/>
        <v/>
      </c>
      <c r="AM38" s="6" t="str">
        <f t="shared" ref="AM38:AM69" si="8">IF(AH38&lt;&gt;"",VLOOKUP(AH38,$AI$6:$AJ$135,2,TRUE),"")</f>
        <v/>
      </c>
      <c r="AN38" s="6" t="str">
        <f t="shared" si="7"/>
        <v/>
      </c>
    </row>
    <row r="39" spans="1:40">
      <c r="A39" s="7" t="s">
        <v>1411</v>
      </c>
      <c r="B39" s="7" t="s">
        <v>1412</v>
      </c>
      <c r="C39" s="7" t="s">
        <v>29</v>
      </c>
      <c r="D39" s="7">
        <v>8</v>
      </c>
      <c r="E39" s="61">
        <v>500</v>
      </c>
      <c r="F39" s="7" t="s">
        <v>31</v>
      </c>
      <c r="G39" s="7"/>
      <c r="H39" s="7"/>
      <c r="I39" s="203" t="s">
        <v>1346</v>
      </c>
      <c r="J39" s="206"/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1</v>
      </c>
      <c r="W39" s="6">
        <v>0</v>
      </c>
      <c r="X39" s="6">
        <v>0</v>
      </c>
      <c r="Y39" s="6">
        <v>0</v>
      </c>
      <c r="Z39" s="89"/>
      <c r="AA39" s="38">
        <v>25</v>
      </c>
      <c r="AB39" s="117">
        <v>65535</v>
      </c>
      <c r="AC39" s="117">
        <v>511</v>
      </c>
      <c r="AD39" s="18">
        <v>9</v>
      </c>
      <c r="AE39" s="117">
        <v>65535</v>
      </c>
      <c r="AF39" s="18"/>
      <c r="AG39" s="96"/>
      <c r="AH39" s="224" t="str">
        <f>IF(Y38=1,MAX($AH$6:AH38)+1,IF(AH38="#",0,IF(AND(D38=D39,M38=M39,N38=N39,O38=O39,P38=P39,Q38=Q39,R38=R39,S38=S39,T38=T39,U38=U39,V38=V39,W38=W39,X38=X39,Y38=Y39,HEX2DEC(SUBSTITUTE(AJ38,"0x",""))&lt;HEX2DEC(SUBSTITUTE(AJ39,"0x",""))),"",MAX($AH$6:AH38)+1)))</f>
        <v/>
      </c>
      <c r="AI39" s="225" t="str">
        <f>IF(MAX(INDEX($AH:$AH,ROW($AI$6)):INDEX($AH:$AH,ROW(AI39)))+1=AH40,MAX(INDEX($AH:$AH,ROW($AI$6)):INDEX($AH:$AH,ROW(AI39))),"")</f>
        <v/>
      </c>
      <c r="AJ39" s="6" t="str">
        <f t="shared" si="3"/>
        <v>0x400001FE</v>
      </c>
      <c r="AK39" s="6">
        <f t="shared" si="4"/>
        <v>1073742334</v>
      </c>
      <c r="AL39" s="6" t="str">
        <f t="shared" si="5"/>
        <v/>
      </c>
      <c r="AM39" s="6" t="str">
        <f t="shared" si="8"/>
        <v/>
      </c>
      <c r="AN39" s="6" t="str">
        <f t="shared" si="7"/>
        <v/>
      </c>
    </row>
    <row r="40" spans="1:40">
      <c r="A40" s="7" t="s">
        <v>1413</v>
      </c>
      <c r="B40" s="7" t="s">
        <v>1414</v>
      </c>
      <c r="C40" s="7" t="s">
        <v>29</v>
      </c>
      <c r="D40" s="7">
        <v>8</v>
      </c>
      <c r="E40" s="61">
        <v>500</v>
      </c>
      <c r="F40" s="7" t="s">
        <v>31</v>
      </c>
      <c r="G40" s="7"/>
      <c r="H40" s="7"/>
      <c r="I40" s="203" t="s">
        <v>1346</v>
      </c>
      <c r="J40" s="206"/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1</v>
      </c>
      <c r="W40" s="6">
        <v>0</v>
      </c>
      <c r="X40" s="6">
        <v>0</v>
      </c>
      <c r="Y40" s="6">
        <v>0</v>
      </c>
      <c r="Z40" s="89"/>
      <c r="AA40" s="38">
        <v>25</v>
      </c>
      <c r="AB40" s="117">
        <v>65535</v>
      </c>
      <c r="AC40" s="117">
        <v>511</v>
      </c>
      <c r="AD40" s="18">
        <v>9</v>
      </c>
      <c r="AE40" s="117">
        <v>65535</v>
      </c>
      <c r="AF40" s="18"/>
      <c r="AG40" s="96"/>
      <c r="AH40" s="224" t="str">
        <f>IF(Y39=1,MAX($AH$6:AH39)+1,IF(AH39="#",0,IF(AND(D39=D40,M39=M40,N39=N40,O39=O40,P39=P40,Q39=Q40,R39=R40,S39=S40,T39=T40,U39=U40,V39=V40,W39=W40,X39=X40,Y39=Y40,HEX2DEC(SUBSTITUTE(AJ39,"0x",""))&lt;HEX2DEC(SUBSTITUTE(AJ40,"0x",""))),"",MAX($AH$6:AH39)+1)))</f>
        <v/>
      </c>
      <c r="AI40" s="225">
        <f>IF(MAX(INDEX($AH:$AH,ROW($AI$6)):INDEX($AH:$AH,ROW(AI40)))+1=AH41,MAX(INDEX($AH:$AH,ROW($AI$6)):INDEX($AH:$AH,ROW(AI40))),"")</f>
        <v>11</v>
      </c>
      <c r="AJ40" s="6" t="str">
        <f t="shared" si="3"/>
        <v>0x400001FF</v>
      </c>
      <c r="AK40" s="6">
        <f t="shared" si="4"/>
        <v>1073742335</v>
      </c>
      <c r="AL40" s="6" t="str">
        <f t="shared" si="5"/>
        <v/>
      </c>
      <c r="AM40" s="6" t="str">
        <f t="shared" si="8"/>
        <v/>
      </c>
      <c r="AN40" s="6" t="str">
        <f t="shared" si="7"/>
        <v/>
      </c>
    </row>
    <row r="41" spans="1:40">
      <c r="A41" s="57" t="s">
        <v>1415</v>
      </c>
      <c r="B41" s="57" t="s">
        <v>1416</v>
      </c>
      <c r="C41" s="57" t="s">
        <v>29</v>
      </c>
      <c r="D41" s="57">
        <v>32</v>
      </c>
      <c r="E41" s="64">
        <v>1000</v>
      </c>
      <c r="F41" s="57" t="s">
        <v>29</v>
      </c>
      <c r="G41" s="57"/>
      <c r="H41" s="57"/>
      <c r="I41" s="204" t="s">
        <v>1346</v>
      </c>
      <c r="J41" s="206"/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9">
        <v>0</v>
      </c>
      <c r="W41" s="6">
        <v>0</v>
      </c>
      <c r="X41" s="6">
        <v>0</v>
      </c>
      <c r="Y41" s="9">
        <v>1</v>
      </c>
      <c r="Z41" s="89"/>
      <c r="AA41" s="190">
        <v>0</v>
      </c>
      <c r="AB41" s="18">
        <f>VLOOKUP(A41,[1]SecOC_Cfg.h!$C$78:$D$93,2,FALSE)</f>
        <v>15</v>
      </c>
      <c r="AC41" s="117">
        <v>511</v>
      </c>
      <c r="AD41" s="117">
        <v>127</v>
      </c>
      <c r="AE41" s="117">
        <v>65535</v>
      </c>
      <c r="AF41" s="18"/>
      <c r="AG41" s="96"/>
      <c r="AH41" s="224">
        <f>IF(Y40=1,MAX($AH$6:AH40)+1,IF(AH40="#",0,IF(AND(D40=D41,M40=M41,N40=N41,O40=O41,P40=P41,Q40=Q41,R40=R41,S40=S41,T40=T41,U40=U41,V40=V41,W40=W41,X40=X41,Y40=Y41,HEX2DEC(SUBSTITUTE(AJ40,"0x",""))&lt;HEX2DEC(SUBSTITUTE(AJ41,"0x",""))),"",MAX($AH$6:AH40)+1)))</f>
        <v>12</v>
      </c>
      <c r="AI41" s="225">
        <f>IF(MAX(INDEX($AH:$AH,ROW($AI$6)):INDEX($AH:$AH,ROW(AI41)))+1=AH42,MAX(INDEX($AH:$AH,ROW($AI$6)):INDEX($AH:$AH,ROW(AI41))),"")</f>
        <v>12</v>
      </c>
      <c r="AJ41" s="6" t="str">
        <f t="shared" si="3"/>
        <v>0x4000024D</v>
      </c>
      <c r="AK41" s="6">
        <f t="shared" si="4"/>
        <v>1073742413</v>
      </c>
      <c r="AL41" s="6" t="str">
        <f t="shared" si="5"/>
        <v>0x4000024D</v>
      </c>
      <c r="AM41" s="6" t="str">
        <f t="shared" si="8"/>
        <v>0x4000024D</v>
      </c>
      <c r="AN41" s="6">
        <f t="shared" si="7"/>
        <v>32</v>
      </c>
    </row>
    <row r="42" spans="1:40">
      <c r="A42" s="7" t="s">
        <v>1417</v>
      </c>
      <c r="B42" s="7" t="s">
        <v>1418</v>
      </c>
      <c r="C42" s="7" t="s">
        <v>29</v>
      </c>
      <c r="D42" s="7">
        <v>8</v>
      </c>
      <c r="E42" s="61">
        <v>1000</v>
      </c>
      <c r="F42" s="7" t="s">
        <v>31</v>
      </c>
      <c r="G42" s="7" t="s">
        <v>1346</v>
      </c>
      <c r="H42" s="7"/>
      <c r="I42" s="203" t="s">
        <v>7</v>
      </c>
      <c r="J42" s="206"/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</v>
      </c>
      <c r="X42" s="6">
        <v>0</v>
      </c>
      <c r="Y42" s="6">
        <v>0</v>
      </c>
      <c r="Z42" s="89"/>
      <c r="AA42" s="38">
        <v>17</v>
      </c>
      <c r="AB42" s="117">
        <v>65535</v>
      </c>
      <c r="AC42" s="117">
        <v>511</v>
      </c>
      <c r="AD42" s="18">
        <v>1</v>
      </c>
      <c r="AE42" s="117">
        <v>65535</v>
      </c>
      <c r="AF42" s="18"/>
      <c r="AG42" s="96"/>
      <c r="AH42" s="224">
        <f>IF(Y41=1,MAX($AH$6:AH41)+1,IF(AH41="#",0,IF(AND(D41=D42,M41=M42,N41=N42,O41=O42,P41=P42,Q41=Q42,R41=R42,S41=S42,T41=T42,U41=U42,V41=V42,W41=W42,X41=X42,Y41=Y42,HEX2DEC(SUBSTITUTE(AJ41,"0x",""))&lt;HEX2DEC(SUBSTITUTE(AJ42,"0x",""))),"",MAX($AH$6:AH41)+1)))</f>
        <v>13</v>
      </c>
      <c r="AI42" s="225">
        <f>IF(MAX(INDEX($AH:$AH,ROW($AI$6)):INDEX($AH:$AH,ROW(AI42)))+1=AH43,MAX(INDEX($AH:$AH,ROW($AI$6)):INDEX($AH:$AH,ROW(AI42))),"")</f>
        <v>13</v>
      </c>
      <c r="AJ42" s="6" t="str">
        <f t="shared" si="3"/>
        <v>0x400002AA</v>
      </c>
      <c r="AK42" s="6">
        <f t="shared" si="4"/>
        <v>1073742506</v>
      </c>
      <c r="AL42" s="6" t="str">
        <f t="shared" si="5"/>
        <v>0x400002AA</v>
      </c>
      <c r="AM42" s="6" t="str">
        <f t="shared" si="8"/>
        <v>0x400002AA</v>
      </c>
      <c r="AN42" s="6">
        <f t="shared" si="7"/>
        <v>8</v>
      </c>
    </row>
    <row r="43" spans="1:40">
      <c r="A43" s="57" t="s">
        <v>1419</v>
      </c>
      <c r="B43" s="57" t="s">
        <v>1420</v>
      </c>
      <c r="C43" s="57" t="s">
        <v>29</v>
      </c>
      <c r="D43" s="57">
        <v>32</v>
      </c>
      <c r="E43" s="64">
        <v>1000</v>
      </c>
      <c r="F43" s="57" t="s">
        <v>29</v>
      </c>
      <c r="G43" s="57" t="s">
        <v>1346</v>
      </c>
      <c r="H43" s="57"/>
      <c r="I43" s="204" t="s">
        <v>7</v>
      </c>
      <c r="J43" s="206"/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9">
        <v>0</v>
      </c>
      <c r="X43" s="6">
        <v>0</v>
      </c>
      <c r="Y43" s="9">
        <v>1</v>
      </c>
      <c r="Z43" s="89"/>
      <c r="AA43" s="190">
        <v>1</v>
      </c>
      <c r="AB43" s="18">
        <f>VLOOKUP(A43,[1]SecOC_Cfg.h!$C$78:$D$93,2,FALSE)</f>
        <v>0</v>
      </c>
      <c r="AC43" s="117">
        <v>511</v>
      </c>
      <c r="AD43" s="117">
        <v>127</v>
      </c>
      <c r="AE43" s="117">
        <v>65535</v>
      </c>
      <c r="AF43" s="18"/>
      <c r="AG43" s="96"/>
      <c r="AH43" s="224">
        <f>IF(Y42=1,MAX($AH$6:AH42)+1,IF(AH42="#",0,IF(AND(D42=D43,M42=M43,N42=N43,O42=O43,P42=P43,Q42=Q43,R42=R43,S42=S43,T42=T43,U42=U43,V42=V43,W42=W43,X42=X43,Y42=Y43,HEX2DEC(SUBSTITUTE(AJ42,"0x",""))&lt;HEX2DEC(SUBSTITUTE(AJ43,"0x",""))),"",MAX($AH$6:AH42)+1)))</f>
        <v>14</v>
      </c>
      <c r="AI43" s="225">
        <f>IF(MAX(INDEX($AH:$AH,ROW($AI$6)):INDEX($AH:$AH,ROW(AI43)))+1=AH44,MAX(INDEX($AH:$AH,ROW($AI$6)):INDEX($AH:$AH,ROW(AI43))),"")</f>
        <v>14</v>
      </c>
      <c r="AJ43" s="6" t="str">
        <f t="shared" si="3"/>
        <v>0x400002D2</v>
      </c>
      <c r="AK43" s="6">
        <f t="shared" si="4"/>
        <v>1073742546</v>
      </c>
      <c r="AL43" s="6" t="str">
        <f t="shared" si="5"/>
        <v>0x400002D2</v>
      </c>
      <c r="AM43" s="6" t="str">
        <f t="shared" si="8"/>
        <v>0x400002D2</v>
      </c>
      <c r="AN43" s="6">
        <f t="shared" si="7"/>
        <v>32</v>
      </c>
    </row>
    <row r="44" spans="1:40">
      <c r="A44" s="7" t="s">
        <v>1421</v>
      </c>
      <c r="B44" s="7" t="s">
        <v>1422</v>
      </c>
      <c r="C44" s="7" t="s">
        <v>29</v>
      </c>
      <c r="D44" s="7">
        <v>32</v>
      </c>
      <c r="E44" s="61">
        <v>1000</v>
      </c>
      <c r="F44" s="7" t="s">
        <v>31</v>
      </c>
      <c r="G44" s="7"/>
      <c r="H44" s="7"/>
      <c r="I44" s="203" t="s">
        <v>1346</v>
      </c>
      <c r="J44" s="206"/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1</v>
      </c>
      <c r="W44" s="6">
        <v>0</v>
      </c>
      <c r="X44" s="6">
        <v>0</v>
      </c>
      <c r="Y44" s="6">
        <v>0</v>
      </c>
      <c r="Z44" s="89"/>
      <c r="AA44" s="38">
        <v>25</v>
      </c>
      <c r="AB44" s="117">
        <v>65535</v>
      </c>
      <c r="AC44" s="117">
        <v>511</v>
      </c>
      <c r="AD44" s="18">
        <v>9</v>
      </c>
      <c r="AE44" s="117">
        <v>65535</v>
      </c>
      <c r="AF44" s="18"/>
      <c r="AG44" s="96"/>
      <c r="AH44" s="224">
        <f>IF(Y43=1,MAX($AH$6:AH43)+1,IF(AH43="#",0,IF(AND(D43=D44,M43=M44,N43=N44,O43=O44,P43=P44,Q43=Q44,R43=R44,S43=S44,T43=T44,U43=U44,V43=V44,W43=W44,X43=X44,Y43=Y44,HEX2DEC(SUBSTITUTE(AJ43,"0x",""))&lt;HEX2DEC(SUBSTITUTE(AJ44,"0x",""))),"",MAX($AH$6:AH43)+1)))</f>
        <v>15</v>
      </c>
      <c r="AI44" s="225">
        <f>IF(MAX(INDEX($AH:$AH,ROW($AI$6)):INDEX($AH:$AH,ROW(AI44)))+1=AH45,MAX(INDEX($AH:$AH,ROW($AI$6)):INDEX($AH:$AH,ROW(AI44))),"")</f>
        <v>15</v>
      </c>
      <c r="AJ44" s="6" t="str">
        <f t="shared" si="3"/>
        <v>0x400002D3</v>
      </c>
      <c r="AK44" s="6">
        <f t="shared" si="4"/>
        <v>1073742547</v>
      </c>
      <c r="AL44" s="6" t="str">
        <f t="shared" si="5"/>
        <v>0x400002D3</v>
      </c>
      <c r="AM44" s="6" t="str">
        <f t="shared" si="8"/>
        <v>0x400002D3</v>
      </c>
      <c r="AN44" s="6">
        <f t="shared" si="7"/>
        <v>32</v>
      </c>
    </row>
    <row r="45" spans="1:40">
      <c r="A45" s="57" t="s">
        <v>1423</v>
      </c>
      <c r="B45" s="57" t="s">
        <v>1424</v>
      </c>
      <c r="C45" s="57" t="s">
        <v>29</v>
      </c>
      <c r="D45" s="57">
        <v>64</v>
      </c>
      <c r="E45" s="64">
        <v>1000</v>
      </c>
      <c r="F45" s="57" t="s">
        <v>29</v>
      </c>
      <c r="G45" s="57" t="s">
        <v>1346</v>
      </c>
      <c r="H45" s="57"/>
      <c r="I45" s="204" t="s">
        <v>7</v>
      </c>
      <c r="J45" s="206"/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9">
        <v>0</v>
      </c>
      <c r="X45" s="6">
        <v>0</v>
      </c>
      <c r="Y45" s="9">
        <v>1</v>
      </c>
      <c r="Z45" s="89"/>
      <c r="AA45" s="190">
        <v>2</v>
      </c>
      <c r="AB45" s="18">
        <f>VLOOKUP(A45,[1]SecOC_Cfg.h!$C$78:$D$93,2,FALSE)</f>
        <v>1</v>
      </c>
      <c r="AC45" s="117">
        <v>511</v>
      </c>
      <c r="AD45" s="117">
        <v>127</v>
      </c>
      <c r="AE45" s="117">
        <v>65535</v>
      </c>
      <c r="AF45" s="18"/>
      <c r="AG45" s="96"/>
      <c r="AH45" s="224">
        <f>IF(Y44=1,MAX($AH$6:AH44)+1,IF(AH44="#",0,IF(AND(D44=D45,M44=M45,N44=N45,O44=O45,P44=P45,Q44=Q45,R44=R45,S44=S45,T44=T45,U44=U45,V44=V45,W44=W45,X44=X45,Y44=Y45,HEX2DEC(SUBSTITUTE(AJ44,"0x",""))&lt;HEX2DEC(SUBSTITUTE(AJ45,"0x",""))),"",MAX($AH$6:AH44)+1)))</f>
        <v>16</v>
      </c>
      <c r="AI45" s="225">
        <f>IF(MAX(INDEX($AH:$AH,ROW($AI$6)):INDEX($AH:$AH,ROW(AI45)))+1=AH46,MAX(INDEX($AH:$AH,ROW($AI$6)):INDEX($AH:$AH,ROW(AI45))),"")</f>
        <v>16</v>
      </c>
      <c r="AJ45" s="6" t="str">
        <f t="shared" si="3"/>
        <v>0x400002D4</v>
      </c>
      <c r="AK45" s="6">
        <f t="shared" si="4"/>
        <v>1073742548</v>
      </c>
      <c r="AL45" s="6" t="str">
        <f t="shared" si="5"/>
        <v>0x400002D4</v>
      </c>
      <c r="AM45" s="6" t="str">
        <f t="shared" si="8"/>
        <v>0x400002D4</v>
      </c>
      <c r="AN45" s="6">
        <f t="shared" si="7"/>
        <v>64</v>
      </c>
    </row>
    <row r="46" spans="1:40">
      <c r="A46" s="57" t="s">
        <v>1425</v>
      </c>
      <c r="B46" s="57" t="s">
        <v>1426</v>
      </c>
      <c r="C46" s="57" t="s">
        <v>29</v>
      </c>
      <c r="D46" s="57">
        <v>64</v>
      </c>
      <c r="E46" s="64">
        <v>1000</v>
      </c>
      <c r="F46" s="57" t="s">
        <v>29</v>
      </c>
      <c r="G46" s="57" t="s">
        <v>1346</v>
      </c>
      <c r="H46" s="57"/>
      <c r="I46" s="204" t="s">
        <v>7</v>
      </c>
      <c r="J46" s="206"/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9">
        <v>0</v>
      </c>
      <c r="X46" s="6">
        <v>0</v>
      </c>
      <c r="Y46" s="9">
        <v>1</v>
      </c>
      <c r="Z46" s="89"/>
      <c r="AA46" s="190">
        <v>3</v>
      </c>
      <c r="AB46" s="18">
        <f>VLOOKUP(A46,[1]SecOC_Cfg.h!$C$78:$D$93,2,FALSE)</f>
        <v>2</v>
      </c>
      <c r="AC46" s="117">
        <v>511</v>
      </c>
      <c r="AD46" s="117">
        <v>127</v>
      </c>
      <c r="AE46" s="117">
        <v>65535</v>
      </c>
      <c r="AF46" s="18"/>
      <c r="AG46" s="96"/>
      <c r="AH46" s="224">
        <f>IF(Y45=1,MAX($AH$6:AH45)+1,IF(AH45="#",0,IF(AND(D45=D46,M45=M46,N45=N46,O45=O46,P45=P46,Q45=Q46,R45=R46,S45=S46,T45=T46,U45=U46,V45=V46,W45=W46,X45=X46,Y45=Y46,HEX2DEC(SUBSTITUTE(AJ45,"0x",""))&lt;HEX2DEC(SUBSTITUTE(AJ46,"0x",""))),"",MAX($AH$6:AH45)+1)))</f>
        <v>17</v>
      </c>
      <c r="AI46" s="225">
        <f>IF(MAX(INDEX($AH:$AH,ROW($AI$6)):INDEX($AH:$AH,ROW(AI46)))+1=AH47,MAX(INDEX($AH:$AH,ROW($AI$6)):INDEX($AH:$AH,ROW(AI46))),"")</f>
        <v>17</v>
      </c>
      <c r="AJ46" s="6" t="str">
        <f t="shared" si="3"/>
        <v>0x400002D5</v>
      </c>
      <c r="AK46" s="6">
        <f t="shared" si="4"/>
        <v>1073742549</v>
      </c>
      <c r="AL46" s="6" t="str">
        <f t="shared" si="5"/>
        <v>0x400002D5</v>
      </c>
      <c r="AM46" s="6" t="str">
        <f t="shared" si="8"/>
        <v>0x400002D5</v>
      </c>
      <c r="AN46" s="6">
        <f t="shared" si="7"/>
        <v>64</v>
      </c>
    </row>
    <row r="47" spans="1:40">
      <c r="A47" s="57" t="s">
        <v>1427</v>
      </c>
      <c r="B47" s="57" t="s">
        <v>1428</v>
      </c>
      <c r="C47" s="57" t="s">
        <v>29</v>
      </c>
      <c r="D47" s="57">
        <v>64</v>
      </c>
      <c r="E47" s="64">
        <v>1000</v>
      </c>
      <c r="F47" s="57" t="s">
        <v>29</v>
      </c>
      <c r="G47" s="57" t="s">
        <v>1346</v>
      </c>
      <c r="H47" s="57"/>
      <c r="I47" s="204" t="s">
        <v>7</v>
      </c>
      <c r="J47" s="206"/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9">
        <v>0</v>
      </c>
      <c r="X47" s="6">
        <v>0</v>
      </c>
      <c r="Y47" s="9">
        <v>1</v>
      </c>
      <c r="Z47" s="89"/>
      <c r="AA47" s="190">
        <v>4</v>
      </c>
      <c r="AB47" s="18">
        <f>VLOOKUP(A47,[1]SecOC_Cfg.h!$C$78:$D$93,2,FALSE)</f>
        <v>3</v>
      </c>
      <c r="AC47" s="117">
        <v>511</v>
      </c>
      <c r="AD47" s="117">
        <v>127</v>
      </c>
      <c r="AE47" s="117">
        <v>65535</v>
      </c>
      <c r="AF47" s="18"/>
      <c r="AG47" s="96"/>
      <c r="AH47" s="224">
        <f>IF(Y46=1,MAX($AH$6:AH46)+1,IF(AH46="#",0,IF(AND(D46=D47,M46=M47,N46=N47,O46=O47,P46=P47,Q46=Q47,R46=R47,S46=S47,T46=T47,U46=U47,V46=V47,W46=W47,X46=X47,Y46=Y47,HEX2DEC(SUBSTITUTE(AJ46,"0x",""))&lt;HEX2DEC(SUBSTITUTE(AJ47,"0x",""))),"",MAX($AH$6:AH46)+1)))</f>
        <v>18</v>
      </c>
      <c r="AI47" s="225">
        <f>IF(MAX(INDEX($AH:$AH,ROW($AI$6)):INDEX($AH:$AH,ROW(AI47)))+1=AH48,MAX(INDEX($AH:$AH,ROW($AI$6)):INDEX($AH:$AH,ROW(AI47))),"")</f>
        <v>18</v>
      </c>
      <c r="AJ47" s="6" t="str">
        <f t="shared" si="3"/>
        <v>0x400002D6</v>
      </c>
      <c r="AK47" s="6">
        <f t="shared" si="4"/>
        <v>1073742550</v>
      </c>
      <c r="AL47" s="6" t="str">
        <f t="shared" si="5"/>
        <v>0x400002D6</v>
      </c>
      <c r="AM47" s="6" t="str">
        <f t="shared" si="8"/>
        <v>0x400002D6</v>
      </c>
      <c r="AN47" s="6">
        <f t="shared" si="7"/>
        <v>64</v>
      </c>
    </row>
    <row r="48" spans="1:40">
      <c r="A48" s="57" t="s">
        <v>1429</v>
      </c>
      <c r="B48" s="57" t="s">
        <v>1430</v>
      </c>
      <c r="C48" s="57" t="s">
        <v>29</v>
      </c>
      <c r="D48" s="57">
        <v>64</v>
      </c>
      <c r="E48" s="64">
        <v>1000</v>
      </c>
      <c r="F48" s="57" t="s">
        <v>29</v>
      </c>
      <c r="G48" s="57" t="s">
        <v>1346</v>
      </c>
      <c r="H48" s="57"/>
      <c r="I48" s="204" t="s">
        <v>7</v>
      </c>
      <c r="J48" s="206"/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9">
        <v>0</v>
      </c>
      <c r="X48" s="6">
        <v>0</v>
      </c>
      <c r="Y48" s="9">
        <v>1</v>
      </c>
      <c r="Z48" s="89"/>
      <c r="AA48" s="190">
        <v>5</v>
      </c>
      <c r="AB48" s="18">
        <f>VLOOKUP(A48,[1]SecOC_Cfg.h!$C$78:$D$93,2,FALSE)</f>
        <v>4</v>
      </c>
      <c r="AC48" s="117">
        <v>511</v>
      </c>
      <c r="AD48" s="117">
        <v>127</v>
      </c>
      <c r="AE48" s="117">
        <v>65535</v>
      </c>
      <c r="AF48" s="18"/>
      <c r="AG48" s="96"/>
      <c r="AH48" s="224">
        <f>IF(Y47=1,MAX($AH$6:AH47)+1,IF(AH47="#",0,IF(AND(D47=D48,M47=M48,N47=N48,O47=O48,P47=P48,Q47=Q48,R47=R48,S47=S48,T47=T48,U47=U48,V47=V48,W47=W48,X47=X48,Y47=Y48,HEX2DEC(SUBSTITUTE(AJ47,"0x",""))&lt;HEX2DEC(SUBSTITUTE(AJ48,"0x",""))),"",MAX($AH$6:AH47)+1)))</f>
        <v>19</v>
      </c>
      <c r="AI48" s="225">
        <f>IF(MAX(INDEX($AH:$AH,ROW($AI$6)):INDEX($AH:$AH,ROW(AI48)))+1=AH49,MAX(INDEX($AH:$AH,ROW($AI$6)):INDEX($AH:$AH,ROW(AI48))),"")</f>
        <v>19</v>
      </c>
      <c r="AJ48" s="6" t="str">
        <f t="shared" si="3"/>
        <v>0x400002D7</v>
      </c>
      <c r="AK48" s="6">
        <f t="shared" si="4"/>
        <v>1073742551</v>
      </c>
      <c r="AL48" s="6" t="str">
        <f t="shared" si="5"/>
        <v>0x400002D7</v>
      </c>
      <c r="AM48" s="6" t="str">
        <f t="shared" si="8"/>
        <v>0x400002D7</v>
      </c>
      <c r="AN48" s="6">
        <f t="shared" si="7"/>
        <v>64</v>
      </c>
    </row>
    <row r="49" spans="1:40">
      <c r="A49" s="57" t="s">
        <v>1431</v>
      </c>
      <c r="B49" s="57" t="s">
        <v>1432</v>
      </c>
      <c r="C49" s="57" t="s">
        <v>29</v>
      </c>
      <c r="D49" s="57">
        <v>64</v>
      </c>
      <c r="E49" s="64">
        <v>1000</v>
      </c>
      <c r="F49" s="57" t="s">
        <v>29</v>
      </c>
      <c r="G49" s="57" t="s">
        <v>1346</v>
      </c>
      <c r="H49" s="57"/>
      <c r="I49" s="204" t="s">
        <v>7</v>
      </c>
      <c r="J49" s="206"/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9">
        <v>0</v>
      </c>
      <c r="X49" s="6">
        <v>0</v>
      </c>
      <c r="Y49" s="9">
        <v>1</v>
      </c>
      <c r="Z49" s="89"/>
      <c r="AA49" s="190">
        <v>6</v>
      </c>
      <c r="AB49" s="18">
        <f>VLOOKUP(A49,[1]SecOC_Cfg.h!$C$78:$D$93,2,FALSE)</f>
        <v>5</v>
      </c>
      <c r="AC49" s="117">
        <v>511</v>
      </c>
      <c r="AD49" s="117">
        <v>127</v>
      </c>
      <c r="AE49" s="117">
        <v>65535</v>
      </c>
      <c r="AF49" s="18"/>
      <c r="AG49" s="96"/>
      <c r="AH49" s="224">
        <f>IF(Y48=1,MAX($AH$6:AH48)+1,IF(AH48="#",0,IF(AND(D48=D49,M48=M49,N48=N49,O48=O49,P48=P49,Q48=Q49,R48=R49,S48=S49,T48=T49,U48=U49,V48=V49,W48=W49,X48=X49,Y48=Y49,HEX2DEC(SUBSTITUTE(AJ48,"0x",""))&lt;HEX2DEC(SUBSTITUTE(AJ49,"0x",""))),"",MAX($AH$6:AH48)+1)))</f>
        <v>20</v>
      </c>
      <c r="AI49" s="225">
        <f>IF(MAX(INDEX($AH:$AH,ROW($AI$6)):INDEX($AH:$AH,ROW(AI49)))+1=AH50,MAX(INDEX($AH:$AH,ROW($AI$6)):INDEX($AH:$AH,ROW(AI49))),"")</f>
        <v>20</v>
      </c>
      <c r="AJ49" s="6" t="str">
        <f t="shared" si="3"/>
        <v>0x400002DF</v>
      </c>
      <c r="AK49" s="6">
        <f t="shared" si="4"/>
        <v>1073742559</v>
      </c>
      <c r="AL49" s="6" t="str">
        <f t="shared" si="5"/>
        <v>0x400002DF</v>
      </c>
      <c r="AM49" s="6" t="str">
        <f t="shared" si="8"/>
        <v>0x400002DF</v>
      </c>
      <c r="AN49" s="6">
        <f t="shared" si="7"/>
        <v>64</v>
      </c>
    </row>
    <row r="50" spans="1:40">
      <c r="A50" s="57" t="s">
        <v>1433</v>
      </c>
      <c r="B50" s="57" t="s">
        <v>1434</v>
      </c>
      <c r="C50" s="57" t="s">
        <v>29</v>
      </c>
      <c r="D50" s="57">
        <v>64</v>
      </c>
      <c r="E50" s="64">
        <v>1000</v>
      </c>
      <c r="F50" s="57" t="s">
        <v>29</v>
      </c>
      <c r="G50" s="57" t="s">
        <v>1346</v>
      </c>
      <c r="H50" s="57"/>
      <c r="I50" s="204" t="s">
        <v>7</v>
      </c>
      <c r="J50" s="206"/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9">
        <v>0</v>
      </c>
      <c r="X50" s="6">
        <v>0</v>
      </c>
      <c r="Y50" s="9">
        <v>1</v>
      </c>
      <c r="Z50" s="89"/>
      <c r="AA50" s="190">
        <v>7</v>
      </c>
      <c r="AB50" s="18">
        <f>VLOOKUP(A50,[1]SecOC_Cfg.h!$C$78:$D$93,2,FALSE)</f>
        <v>6</v>
      </c>
      <c r="AC50" s="117">
        <v>511</v>
      </c>
      <c r="AD50" s="117">
        <v>127</v>
      </c>
      <c r="AE50" s="117">
        <v>65535</v>
      </c>
      <c r="AF50" s="18"/>
      <c r="AG50" s="96"/>
      <c r="AH50" s="224">
        <f>IF(Y49=1,MAX($AH$6:AH49)+1,IF(AH49="#",0,IF(AND(D49=D50,M49=M50,N49=N50,O49=O50,P49=P50,Q49=Q50,R49=R50,S49=S50,T49=T50,U49=U50,V49=V50,W49=W50,X49=X50,Y49=Y50,HEX2DEC(SUBSTITUTE(AJ49,"0x",""))&lt;HEX2DEC(SUBSTITUTE(AJ50,"0x",""))),"",MAX($AH$6:AH49)+1)))</f>
        <v>21</v>
      </c>
      <c r="AI50" s="225">
        <f>IF(MAX(INDEX($AH:$AH,ROW($AI$6)):INDEX($AH:$AH,ROW(AI50)))+1=AH51,MAX(INDEX($AH:$AH,ROW($AI$6)):INDEX($AH:$AH,ROW(AI50))),"")</f>
        <v>21</v>
      </c>
      <c r="AJ50" s="6" t="str">
        <f t="shared" si="3"/>
        <v>0x400002E0</v>
      </c>
      <c r="AK50" s="6">
        <f t="shared" si="4"/>
        <v>1073742560</v>
      </c>
      <c r="AL50" s="6" t="str">
        <f t="shared" si="5"/>
        <v>0x400002E0</v>
      </c>
      <c r="AM50" s="6" t="str">
        <f t="shared" si="8"/>
        <v>0x400002E0</v>
      </c>
      <c r="AN50" s="6">
        <f t="shared" si="7"/>
        <v>64</v>
      </c>
    </row>
    <row r="51" spans="1:40">
      <c r="A51" s="57" t="s">
        <v>1435</v>
      </c>
      <c r="B51" s="57" t="s">
        <v>1436</v>
      </c>
      <c r="C51" s="57" t="s">
        <v>29</v>
      </c>
      <c r="D51" s="57">
        <v>64</v>
      </c>
      <c r="E51" s="64">
        <v>1000</v>
      </c>
      <c r="F51" s="57" t="s">
        <v>29</v>
      </c>
      <c r="G51" s="57" t="s">
        <v>1346</v>
      </c>
      <c r="H51" s="57"/>
      <c r="I51" s="204" t="s">
        <v>7</v>
      </c>
      <c r="J51" s="206"/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9">
        <v>0</v>
      </c>
      <c r="X51" s="6">
        <v>0</v>
      </c>
      <c r="Y51" s="9">
        <v>1</v>
      </c>
      <c r="Z51" s="89"/>
      <c r="AA51" s="190">
        <v>8</v>
      </c>
      <c r="AB51" s="18">
        <f>VLOOKUP(A51,[1]SecOC_Cfg.h!$C$78:$D$93,2,FALSE)</f>
        <v>7</v>
      </c>
      <c r="AC51" s="117">
        <v>511</v>
      </c>
      <c r="AD51" s="117">
        <v>127</v>
      </c>
      <c r="AE51" s="117">
        <v>65535</v>
      </c>
      <c r="AF51" s="18"/>
      <c r="AG51" s="96"/>
      <c r="AH51" s="224">
        <f>IF(Y50=1,MAX($AH$6:AH50)+1,IF(AH50="#",0,IF(AND(D50=D51,M50=M51,N50=N51,O50=O51,P50=P51,Q50=Q51,R50=R51,S50=S51,T50=T51,U50=U51,V50=V51,W50=W51,X50=X51,Y50=Y51,HEX2DEC(SUBSTITUTE(AJ50,"0x",""))&lt;HEX2DEC(SUBSTITUTE(AJ51,"0x",""))),"",MAX($AH$6:AH50)+1)))</f>
        <v>22</v>
      </c>
      <c r="AI51" s="225">
        <f>IF(MAX(INDEX($AH:$AH,ROW($AI$6)):INDEX($AH:$AH,ROW(AI51)))+1=AH52,MAX(INDEX($AH:$AH,ROW($AI$6)):INDEX($AH:$AH,ROW(AI51))),"")</f>
        <v>22</v>
      </c>
      <c r="AJ51" s="6" t="str">
        <f t="shared" si="3"/>
        <v>0x400002E1</v>
      </c>
      <c r="AK51" s="6">
        <f t="shared" si="4"/>
        <v>1073742561</v>
      </c>
      <c r="AL51" s="6" t="str">
        <f t="shared" si="5"/>
        <v>0x400002E1</v>
      </c>
      <c r="AM51" s="6" t="str">
        <f t="shared" si="8"/>
        <v>0x400002E1</v>
      </c>
      <c r="AN51" s="6">
        <f t="shared" si="7"/>
        <v>64</v>
      </c>
    </row>
    <row r="52" spans="1:40">
      <c r="A52" s="57" t="s">
        <v>1437</v>
      </c>
      <c r="B52" s="57" t="s">
        <v>1438</v>
      </c>
      <c r="C52" s="57" t="s">
        <v>29</v>
      </c>
      <c r="D52" s="57">
        <v>64</v>
      </c>
      <c r="E52" s="64">
        <v>1000</v>
      </c>
      <c r="F52" s="57" t="s">
        <v>29</v>
      </c>
      <c r="G52" s="57" t="s">
        <v>1346</v>
      </c>
      <c r="H52" s="57"/>
      <c r="I52" s="204" t="s">
        <v>7</v>
      </c>
      <c r="J52" s="206"/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9">
        <v>0</v>
      </c>
      <c r="X52" s="6">
        <v>0</v>
      </c>
      <c r="Y52" s="9">
        <v>1</v>
      </c>
      <c r="Z52" s="89"/>
      <c r="AA52" s="190">
        <v>9</v>
      </c>
      <c r="AB52" s="18">
        <f>VLOOKUP(A52,[1]SecOC_Cfg.h!$C$78:$D$93,2,FALSE)</f>
        <v>8</v>
      </c>
      <c r="AC52" s="117">
        <v>511</v>
      </c>
      <c r="AD52" s="117">
        <v>127</v>
      </c>
      <c r="AE52" s="117">
        <v>65535</v>
      </c>
      <c r="AF52" s="18"/>
      <c r="AG52" s="96"/>
      <c r="AH52" s="224">
        <f>IF(Y51=1,MAX($AH$6:AH51)+1,IF(AH51="#",0,IF(AND(D51=D52,M51=M52,N51=N52,O51=O52,P51=P52,Q51=Q52,R51=R52,S51=S52,T51=T52,U51=U52,V51=V52,W51=W52,X51=X52,Y51=Y52,HEX2DEC(SUBSTITUTE(AJ51,"0x",""))&lt;HEX2DEC(SUBSTITUTE(AJ52,"0x",""))),"",MAX($AH$6:AH51)+1)))</f>
        <v>23</v>
      </c>
      <c r="AI52" s="225">
        <f>IF(MAX(INDEX($AH:$AH,ROW($AI$6)):INDEX($AH:$AH,ROW(AI52)))+1=AH53,MAX(INDEX($AH:$AH,ROW($AI$6)):INDEX($AH:$AH,ROW(AI52))),"")</f>
        <v>23</v>
      </c>
      <c r="AJ52" s="6" t="str">
        <f t="shared" si="3"/>
        <v>0x400002E2</v>
      </c>
      <c r="AK52" s="6">
        <f t="shared" si="4"/>
        <v>1073742562</v>
      </c>
      <c r="AL52" s="6" t="str">
        <f t="shared" si="5"/>
        <v>0x400002E2</v>
      </c>
      <c r="AM52" s="6" t="str">
        <f t="shared" si="8"/>
        <v>0x400002E2</v>
      </c>
      <c r="AN52" s="6">
        <f t="shared" si="7"/>
        <v>64</v>
      </c>
    </row>
    <row r="53" spans="1:40">
      <c r="A53" s="7" t="s">
        <v>1439</v>
      </c>
      <c r="B53" s="7" t="s">
        <v>1440</v>
      </c>
      <c r="C53" s="7" t="s">
        <v>29</v>
      </c>
      <c r="D53" s="7">
        <v>32</v>
      </c>
      <c r="E53" s="61">
        <v>1000</v>
      </c>
      <c r="F53" s="7" t="s">
        <v>31</v>
      </c>
      <c r="G53" s="7" t="s">
        <v>1346</v>
      </c>
      <c r="H53" s="7"/>
      <c r="I53" s="203" t="s">
        <v>7</v>
      </c>
      <c r="J53" s="206"/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1</v>
      </c>
      <c r="X53" s="6">
        <v>0</v>
      </c>
      <c r="Y53" s="6">
        <v>0</v>
      </c>
      <c r="Z53" s="89"/>
      <c r="AA53" s="38">
        <v>17</v>
      </c>
      <c r="AB53" s="117">
        <v>65535</v>
      </c>
      <c r="AC53" s="117">
        <v>511</v>
      </c>
      <c r="AD53" s="18">
        <v>1</v>
      </c>
      <c r="AE53" s="117">
        <v>65535</v>
      </c>
      <c r="AF53" s="18"/>
      <c r="AG53" s="96"/>
      <c r="AH53" s="224">
        <f>IF(Y52=1,MAX($AH$6:AH52)+1,IF(AH52="#",0,IF(AND(D52=D53,M52=M53,N52=N53,O52=O53,P52=P53,Q52=Q53,R52=R53,S52=S53,T52=T53,U52=U53,V52=V53,W52=W53,X52=X53,Y52=Y53,HEX2DEC(SUBSTITUTE(AJ52,"0x",""))&lt;HEX2DEC(SUBSTITUTE(AJ53,"0x",""))),"",MAX($AH$6:AH52)+1)))</f>
        <v>24</v>
      </c>
      <c r="AI53" s="225">
        <f>IF(MAX(INDEX($AH:$AH,ROW($AI$6)):INDEX($AH:$AH,ROW(AI53)))+1=AH54,MAX(INDEX($AH:$AH,ROW($AI$6)):INDEX($AH:$AH,ROW(AI53))),"")</f>
        <v>24</v>
      </c>
      <c r="AJ53" s="6" t="str">
        <f t="shared" si="3"/>
        <v>0x400002E3</v>
      </c>
      <c r="AK53" s="6">
        <f t="shared" si="4"/>
        <v>1073742563</v>
      </c>
      <c r="AL53" s="6" t="str">
        <f t="shared" si="5"/>
        <v>0x400002E3</v>
      </c>
      <c r="AM53" s="6" t="str">
        <f t="shared" si="8"/>
        <v>0x400002E3</v>
      </c>
      <c r="AN53" s="6">
        <f t="shared" si="7"/>
        <v>32</v>
      </c>
    </row>
    <row r="54" spans="1:40">
      <c r="A54" s="57" t="s">
        <v>1441</v>
      </c>
      <c r="B54" s="57" t="s">
        <v>1442</v>
      </c>
      <c r="C54" s="57" t="s">
        <v>29</v>
      </c>
      <c r="D54" s="57">
        <v>64</v>
      </c>
      <c r="E54" s="64">
        <v>1000</v>
      </c>
      <c r="F54" s="57" t="s">
        <v>29</v>
      </c>
      <c r="G54" s="57" t="s">
        <v>1346</v>
      </c>
      <c r="H54" s="57"/>
      <c r="I54" s="204" t="s">
        <v>7</v>
      </c>
      <c r="J54" s="206"/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9">
        <v>0</v>
      </c>
      <c r="X54" s="6">
        <v>0</v>
      </c>
      <c r="Y54" s="9">
        <v>1</v>
      </c>
      <c r="Z54" s="89"/>
      <c r="AA54" s="190">
        <v>10</v>
      </c>
      <c r="AB54" s="18">
        <f>VLOOKUP(A54,[1]SecOC_Cfg.h!$C$78:$D$93,2,FALSE)</f>
        <v>9</v>
      </c>
      <c r="AC54" s="117">
        <v>511</v>
      </c>
      <c r="AD54" s="117">
        <v>127</v>
      </c>
      <c r="AE54" s="117">
        <v>65535</v>
      </c>
      <c r="AF54" s="18"/>
      <c r="AG54" s="96"/>
      <c r="AH54" s="224">
        <f>IF(Y53=1,MAX($AH$6:AH53)+1,IF(AH53="#",0,IF(AND(D53=D54,M53=M54,N53=N54,O53=O54,P53=P54,Q53=Q54,R53=R54,S53=S54,T53=T54,U53=U54,V53=V54,W53=W54,X53=X54,Y53=Y54,HEX2DEC(SUBSTITUTE(AJ53,"0x",""))&lt;HEX2DEC(SUBSTITUTE(AJ54,"0x",""))),"",MAX($AH$6:AH53)+1)))</f>
        <v>25</v>
      </c>
      <c r="AI54" s="225">
        <f>IF(MAX(INDEX($AH:$AH,ROW($AI$6)):INDEX($AH:$AH,ROW(AI54)))+1=AH55,MAX(INDEX($AH:$AH,ROW($AI$6)):INDEX($AH:$AH,ROW(AI54))),"")</f>
        <v>25</v>
      </c>
      <c r="AJ54" s="6" t="str">
        <f t="shared" si="3"/>
        <v>0x400002EF</v>
      </c>
      <c r="AK54" s="6">
        <f t="shared" si="4"/>
        <v>1073742575</v>
      </c>
      <c r="AL54" s="6" t="str">
        <f t="shared" si="5"/>
        <v>0x400002EF</v>
      </c>
      <c r="AM54" s="6" t="str">
        <f t="shared" si="8"/>
        <v>0x400002EF</v>
      </c>
      <c r="AN54" s="6">
        <f t="shared" si="7"/>
        <v>64</v>
      </c>
    </row>
    <row r="55" spans="1:40">
      <c r="A55" s="57" t="s">
        <v>1443</v>
      </c>
      <c r="B55" s="57" t="s">
        <v>1444</v>
      </c>
      <c r="C55" s="57" t="s">
        <v>29</v>
      </c>
      <c r="D55" s="57">
        <v>64</v>
      </c>
      <c r="E55" s="64">
        <v>1000</v>
      </c>
      <c r="F55" s="57" t="s">
        <v>29</v>
      </c>
      <c r="G55" s="57" t="s">
        <v>1346</v>
      </c>
      <c r="H55" s="57"/>
      <c r="I55" s="204" t="s">
        <v>7</v>
      </c>
      <c r="J55" s="206"/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9">
        <v>0</v>
      </c>
      <c r="X55" s="6">
        <v>0</v>
      </c>
      <c r="Y55" s="9">
        <v>1</v>
      </c>
      <c r="Z55" s="89"/>
      <c r="AA55" s="190">
        <v>11</v>
      </c>
      <c r="AB55" s="18">
        <f>VLOOKUP(A55,[1]SecOC_Cfg.h!$C$78:$D$93,2,FALSE)</f>
        <v>10</v>
      </c>
      <c r="AC55" s="117">
        <v>511</v>
      </c>
      <c r="AD55" s="117">
        <v>127</v>
      </c>
      <c r="AE55" s="117">
        <v>65535</v>
      </c>
      <c r="AF55" s="18"/>
      <c r="AG55" s="96"/>
      <c r="AH55" s="224">
        <f>IF(Y54=1,MAX($AH$6:AH54)+1,IF(AH54="#",0,IF(AND(D54=D55,M54=M55,N54=N55,O54=O55,P54=P55,Q54=Q55,R54=R55,S54=S55,T54=T55,U54=U55,V54=V55,W54=W55,X54=X55,Y54=Y55,HEX2DEC(SUBSTITUTE(AJ54,"0x",""))&lt;HEX2DEC(SUBSTITUTE(AJ55,"0x",""))),"",MAX($AH$6:AH54)+1)))</f>
        <v>26</v>
      </c>
      <c r="AI55" s="225">
        <f>IF(MAX(INDEX($AH:$AH,ROW($AI$6)):INDEX($AH:$AH,ROW(AI55)))+1=AH56,MAX(INDEX($AH:$AH,ROW($AI$6)):INDEX($AH:$AH,ROW(AI55))),"")</f>
        <v>26</v>
      </c>
      <c r="AJ55" s="6" t="str">
        <f t="shared" si="3"/>
        <v>0x400002F0</v>
      </c>
      <c r="AK55" s="6">
        <f t="shared" si="4"/>
        <v>1073742576</v>
      </c>
      <c r="AL55" s="6" t="str">
        <f t="shared" si="5"/>
        <v>0x400002F0</v>
      </c>
      <c r="AM55" s="6" t="str">
        <f t="shared" si="8"/>
        <v>0x400002F0</v>
      </c>
      <c r="AN55" s="6">
        <f t="shared" si="7"/>
        <v>64</v>
      </c>
    </row>
    <row r="56" spans="1:40">
      <c r="A56" s="57" t="s">
        <v>1445</v>
      </c>
      <c r="B56" s="57" t="s">
        <v>1446</v>
      </c>
      <c r="C56" s="57" t="s">
        <v>29</v>
      </c>
      <c r="D56" s="57">
        <v>64</v>
      </c>
      <c r="E56" s="64">
        <v>1000</v>
      </c>
      <c r="F56" s="57" t="s">
        <v>29</v>
      </c>
      <c r="G56" s="57" t="s">
        <v>1346</v>
      </c>
      <c r="H56" s="57"/>
      <c r="I56" s="204" t="s">
        <v>7</v>
      </c>
      <c r="J56" s="206"/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9">
        <v>0</v>
      </c>
      <c r="X56" s="6">
        <v>0</v>
      </c>
      <c r="Y56" s="9">
        <v>1</v>
      </c>
      <c r="Z56" s="89"/>
      <c r="AA56" s="190">
        <v>12</v>
      </c>
      <c r="AB56" s="18">
        <f>VLOOKUP(A56,[1]SecOC_Cfg.h!$C$78:$D$93,2,FALSE)</f>
        <v>11</v>
      </c>
      <c r="AC56" s="117">
        <v>511</v>
      </c>
      <c r="AD56" s="117">
        <v>127</v>
      </c>
      <c r="AE56" s="117">
        <v>65535</v>
      </c>
      <c r="AF56" s="18"/>
      <c r="AG56" s="96"/>
      <c r="AH56" s="224">
        <f>IF(Y55=1,MAX($AH$6:AH55)+1,IF(AH55="#",0,IF(AND(D55=D56,M55=M56,N55=N56,O55=O56,P55=P56,Q55=Q56,R55=R56,S55=S56,T55=T56,U55=U56,V55=V56,W55=W56,X55=X56,Y55=Y56,HEX2DEC(SUBSTITUTE(AJ55,"0x",""))&lt;HEX2DEC(SUBSTITUTE(AJ56,"0x",""))),"",MAX($AH$6:AH55)+1)))</f>
        <v>27</v>
      </c>
      <c r="AI56" s="225">
        <f>IF(MAX(INDEX($AH:$AH,ROW($AI$6)):INDEX($AH:$AH,ROW(AI56)))+1=AH57,MAX(INDEX($AH:$AH,ROW($AI$6)):INDEX($AH:$AH,ROW(AI56))),"")</f>
        <v>27</v>
      </c>
      <c r="AJ56" s="6" t="str">
        <f t="shared" si="3"/>
        <v>0x400002F2</v>
      </c>
      <c r="AK56" s="6">
        <f t="shared" si="4"/>
        <v>1073742578</v>
      </c>
      <c r="AL56" s="6" t="str">
        <f t="shared" si="5"/>
        <v>0x400002F2</v>
      </c>
      <c r="AM56" s="6" t="str">
        <f t="shared" si="8"/>
        <v>0x400002F2</v>
      </c>
      <c r="AN56" s="6">
        <f t="shared" si="7"/>
        <v>64</v>
      </c>
    </row>
    <row r="57" spans="1:40">
      <c r="A57" s="57" t="s">
        <v>1447</v>
      </c>
      <c r="B57" s="57" t="s">
        <v>1448</v>
      </c>
      <c r="C57" s="57" t="s">
        <v>29</v>
      </c>
      <c r="D57" s="57">
        <v>64</v>
      </c>
      <c r="E57" s="64">
        <v>1000</v>
      </c>
      <c r="F57" s="57" t="s">
        <v>29</v>
      </c>
      <c r="G57" s="57" t="s">
        <v>1346</v>
      </c>
      <c r="H57" s="57"/>
      <c r="I57" s="204" t="s">
        <v>7</v>
      </c>
      <c r="J57" s="206"/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9">
        <v>0</v>
      </c>
      <c r="X57" s="6">
        <v>0</v>
      </c>
      <c r="Y57" s="9">
        <v>1</v>
      </c>
      <c r="Z57" s="89"/>
      <c r="AA57" s="190">
        <v>13</v>
      </c>
      <c r="AB57" s="18">
        <f>VLOOKUP(A57,[1]SecOC_Cfg.h!$C$78:$D$93,2,FALSE)</f>
        <v>12</v>
      </c>
      <c r="AC57" s="117">
        <v>511</v>
      </c>
      <c r="AD57" s="117">
        <v>127</v>
      </c>
      <c r="AE57" s="117">
        <v>65535</v>
      </c>
      <c r="AF57" s="18"/>
      <c r="AG57" s="96"/>
      <c r="AH57" s="224">
        <f>IF(Y56=1,MAX($AH$6:AH56)+1,IF(AH56="#",0,IF(AND(D56=D57,M56=M57,N56=N57,O56=O57,P56=P57,Q56=Q57,R56=R57,S56=S57,T56=T57,U56=U57,V56=V57,W56=W57,X56=X57,Y56=Y57,HEX2DEC(SUBSTITUTE(AJ56,"0x",""))&lt;HEX2DEC(SUBSTITUTE(AJ57,"0x",""))),"",MAX($AH$6:AH56)+1)))</f>
        <v>28</v>
      </c>
      <c r="AI57" s="225">
        <f>IF(MAX(INDEX($AH:$AH,ROW($AI$6)):INDEX($AH:$AH,ROW(AI57)))+1=AH58,MAX(INDEX($AH:$AH,ROW($AI$6)):INDEX($AH:$AH,ROW(AI57))),"")</f>
        <v>28</v>
      </c>
      <c r="AJ57" s="6" t="str">
        <f t="shared" si="3"/>
        <v>0x400002F5</v>
      </c>
      <c r="AK57" s="6">
        <f t="shared" si="4"/>
        <v>1073742581</v>
      </c>
      <c r="AL57" s="6" t="str">
        <f t="shared" si="5"/>
        <v>0x400002F5</v>
      </c>
      <c r="AM57" s="6" t="str">
        <f t="shared" si="8"/>
        <v>0x400002F5</v>
      </c>
      <c r="AN57" s="6">
        <f t="shared" si="7"/>
        <v>64</v>
      </c>
    </row>
    <row r="58" spans="1:40">
      <c r="A58" s="7" t="s">
        <v>1449</v>
      </c>
      <c r="B58" s="7" t="s">
        <v>1450</v>
      </c>
      <c r="C58" s="7" t="s">
        <v>29</v>
      </c>
      <c r="D58" s="7">
        <v>8</v>
      </c>
      <c r="E58" s="61">
        <v>1000</v>
      </c>
      <c r="F58" s="7" t="s">
        <v>31</v>
      </c>
      <c r="G58" s="7" t="s">
        <v>1346</v>
      </c>
      <c r="H58" s="7"/>
      <c r="I58" s="203" t="s">
        <v>7</v>
      </c>
      <c r="J58" s="206"/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1</v>
      </c>
      <c r="X58" s="6">
        <v>0</v>
      </c>
      <c r="Y58" s="6">
        <v>0</v>
      </c>
      <c r="Z58" s="89"/>
      <c r="AA58" s="38">
        <v>17</v>
      </c>
      <c r="AB58" s="117">
        <v>65535</v>
      </c>
      <c r="AC58" s="117">
        <v>511</v>
      </c>
      <c r="AD58" s="18">
        <v>1</v>
      </c>
      <c r="AE58" s="117">
        <v>65535</v>
      </c>
      <c r="AF58" s="18"/>
      <c r="AG58" s="96"/>
      <c r="AH58" s="224">
        <f>IF(Y57=1,MAX($AH$6:AH57)+1,IF(AH57="#",0,IF(AND(D57=D58,M57=M58,N57=N58,O57=O58,P57=P58,Q57=Q58,R57=R58,S57=S58,T57=T58,U57=U58,V57=V58,W57=W58,X57=X58,Y57=Y58,HEX2DEC(SUBSTITUTE(AJ57,"0x",""))&lt;HEX2DEC(SUBSTITUTE(AJ58,"0x",""))),"",MAX($AH$6:AH57)+1)))</f>
        <v>29</v>
      </c>
      <c r="AI58" s="225">
        <f>IF(MAX(INDEX($AH:$AH,ROW($AI$6)):INDEX($AH:$AH,ROW(AI58)))+1=AH59,MAX(INDEX($AH:$AH,ROW($AI$6)):INDEX($AH:$AH,ROW(AI58))),"")</f>
        <v>29</v>
      </c>
      <c r="AJ58" s="6" t="str">
        <f t="shared" si="3"/>
        <v>0x400002F6</v>
      </c>
      <c r="AK58" s="6">
        <f t="shared" si="4"/>
        <v>1073742582</v>
      </c>
      <c r="AL58" s="6" t="str">
        <f t="shared" si="5"/>
        <v>0x400002F6</v>
      </c>
      <c r="AM58" s="6" t="str">
        <f t="shared" si="8"/>
        <v>0x400002F6</v>
      </c>
      <c r="AN58" s="6">
        <f t="shared" si="7"/>
        <v>8</v>
      </c>
    </row>
    <row r="59" spans="1:40">
      <c r="A59" s="7" t="s">
        <v>1451</v>
      </c>
      <c r="B59" s="7" t="s">
        <v>1452</v>
      </c>
      <c r="C59" s="7" t="s">
        <v>29</v>
      </c>
      <c r="D59" s="7">
        <v>32</v>
      </c>
      <c r="E59" s="61">
        <v>1000</v>
      </c>
      <c r="F59" s="7" t="s">
        <v>31</v>
      </c>
      <c r="G59" s="7"/>
      <c r="H59" s="7"/>
      <c r="I59" s="203" t="s">
        <v>1346</v>
      </c>
      <c r="J59" s="206"/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1</v>
      </c>
      <c r="W59" s="6">
        <v>0</v>
      </c>
      <c r="X59" s="6">
        <v>0</v>
      </c>
      <c r="Y59" s="6">
        <v>0</v>
      </c>
      <c r="Z59" s="89"/>
      <c r="AA59" s="38">
        <v>25</v>
      </c>
      <c r="AB59" s="117">
        <v>65535</v>
      </c>
      <c r="AC59" s="117">
        <v>511</v>
      </c>
      <c r="AD59" s="18">
        <v>9</v>
      </c>
      <c r="AE59" s="117">
        <v>65535</v>
      </c>
      <c r="AF59" s="18"/>
      <c r="AG59" s="96"/>
      <c r="AH59" s="224">
        <f>IF(Y58=1,MAX($AH$6:AH58)+1,IF(AH58="#",0,IF(AND(D58=D59,M58=M59,N58=N59,O58=O59,P58=P59,Q58=Q59,R58=R59,S58=S59,T58=T59,U58=U59,V58=V59,W58=W59,X58=X59,Y58=Y59,HEX2DEC(SUBSTITUTE(AJ58,"0x",""))&lt;HEX2DEC(SUBSTITUTE(AJ59,"0x",""))),"",MAX($AH$6:AH58)+1)))</f>
        <v>30</v>
      </c>
      <c r="AI59" s="225">
        <f>IF(MAX(INDEX($AH:$AH,ROW($AI$6)):INDEX($AH:$AH,ROW(AI59)))+1=AH60,MAX(INDEX($AH:$AH,ROW($AI$6)):INDEX($AH:$AH,ROW(AI59))),"")</f>
        <v>30</v>
      </c>
      <c r="AJ59" s="6" t="str">
        <f t="shared" si="3"/>
        <v>0x400002F7</v>
      </c>
      <c r="AK59" s="6">
        <f t="shared" si="4"/>
        <v>1073742583</v>
      </c>
      <c r="AL59" s="6" t="str">
        <f t="shared" si="5"/>
        <v>0x400002F7</v>
      </c>
      <c r="AM59" s="6" t="str">
        <f t="shared" si="8"/>
        <v>0x400002F7</v>
      </c>
      <c r="AN59" s="6">
        <f t="shared" si="7"/>
        <v>32</v>
      </c>
    </row>
    <row r="60" spans="1:40">
      <c r="A60" s="7" t="s">
        <v>1453</v>
      </c>
      <c r="B60" s="7" t="s">
        <v>1454</v>
      </c>
      <c r="C60" s="7" t="s">
        <v>29</v>
      </c>
      <c r="D60" s="7">
        <v>32</v>
      </c>
      <c r="E60" s="61">
        <v>1000</v>
      </c>
      <c r="F60" s="7" t="s">
        <v>31</v>
      </c>
      <c r="G60" s="7" t="s">
        <v>1346</v>
      </c>
      <c r="H60" s="7"/>
      <c r="I60" s="203" t="s">
        <v>7</v>
      </c>
      <c r="J60" s="206"/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1</v>
      </c>
      <c r="X60" s="6">
        <v>0</v>
      </c>
      <c r="Y60" s="6">
        <v>0</v>
      </c>
      <c r="Z60" s="89"/>
      <c r="AA60" s="38">
        <v>17</v>
      </c>
      <c r="AB60" s="117">
        <v>65535</v>
      </c>
      <c r="AC60" s="117">
        <v>511</v>
      </c>
      <c r="AD60" s="18">
        <v>1</v>
      </c>
      <c r="AE60" s="117">
        <v>65535</v>
      </c>
      <c r="AF60" s="18"/>
      <c r="AG60" s="96"/>
      <c r="AH60" s="224">
        <f>IF(Y59=1,MAX($AH$6:AH59)+1,IF(AH59="#",0,IF(AND(D59=D60,M59=M60,N59=N60,O59=O60,P59=P60,Q59=Q60,R59=R60,S59=S60,T59=T60,U59=U60,V59=V60,W59=W60,X59=X60,Y59=Y60,HEX2DEC(SUBSTITUTE(AJ59,"0x",""))&lt;HEX2DEC(SUBSTITUTE(AJ60,"0x",""))),"",MAX($AH$6:AH59)+1)))</f>
        <v>31</v>
      </c>
      <c r="AI60" s="225" t="str">
        <f>IF(MAX(INDEX($AH:$AH,ROW($AI$6)):INDEX($AH:$AH,ROW(AI60)))+1=AH61,MAX(INDEX($AH:$AH,ROW($AI$6)):INDEX($AH:$AH,ROW(AI60))),"")</f>
        <v/>
      </c>
      <c r="AJ60" s="6" t="str">
        <f t="shared" si="3"/>
        <v>0x400002F8</v>
      </c>
      <c r="AK60" s="6">
        <f t="shared" si="4"/>
        <v>1073742584</v>
      </c>
      <c r="AL60" s="6" t="str">
        <f t="shared" si="5"/>
        <v>0x400002F8</v>
      </c>
      <c r="AM60" s="6" t="str">
        <f t="shared" si="8"/>
        <v>0x400002FA</v>
      </c>
      <c r="AN60" s="6">
        <f t="shared" si="7"/>
        <v>32</v>
      </c>
    </row>
    <row r="61" spans="1:40">
      <c r="A61" s="7" t="s">
        <v>1455</v>
      </c>
      <c r="B61" s="7" t="s">
        <v>1456</v>
      </c>
      <c r="C61" s="7" t="s">
        <v>29</v>
      </c>
      <c r="D61" s="7">
        <v>32</v>
      </c>
      <c r="E61" s="61">
        <v>1000</v>
      </c>
      <c r="F61" s="7" t="s">
        <v>31</v>
      </c>
      <c r="G61" s="7" t="s">
        <v>1346</v>
      </c>
      <c r="H61" s="7"/>
      <c r="I61" s="203" t="s">
        <v>7</v>
      </c>
      <c r="J61" s="206"/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1</v>
      </c>
      <c r="X61" s="6">
        <v>0</v>
      </c>
      <c r="Y61" s="6">
        <v>0</v>
      </c>
      <c r="Z61" s="89"/>
      <c r="AA61" s="38">
        <v>17</v>
      </c>
      <c r="AB61" s="117">
        <v>65535</v>
      </c>
      <c r="AC61" s="117">
        <v>511</v>
      </c>
      <c r="AD61" s="18">
        <v>1</v>
      </c>
      <c r="AE61" s="117">
        <v>65535</v>
      </c>
      <c r="AF61" s="18"/>
      <c r="AG61" s="96"/>
      <c r="AH61" s="224" t="str">
        <f>IF(Y60=1,MAX($AH$6:AH60)+1,IF(AH60="#",0,IF(AND(D60=D61,M60=M61,N60=N61,O60=O61,P60=P61,Q60=Q61,R60=R61,S60=S61,T60=T61,U60=U61,V60=V61,W60=W61,X60=X61,Y60=Y61,HEX2DEC(SUBSTITUTE(AJ60,"0x",""))&lt;HEX2DEC(SUBSTITUTE(AJ61,"0x",""))),"",MAX($AH$6:AH60)+1)))</f>
        <v/>
      </c>
      <c r="AI61" s="225">
        <f>IF(MAX(INDEX($AH:$AH,ROW($AI$6)):INDEX($AH:$AH,ROW(AI61)))+1=AH62,MAX(INDEX($AH:$AH,ROW($AI$6)):INDEX($AH:$AH,ROW(AI61))),"")</f>
        <v>31</v>
      </c>
      <c r="AJ61" s="6" t="str">
        <f t="shared" si="3"/>
        <v>0x400002FA</v>
      </c>
      <c r="AK61" s="6">
        <f t="shared" si="4"/>
        <v>1073742586</v>
      </c>
      <c r="AL61" s="6" t="str">
        <f t="shared" si="5"/>
        <v/>
      </c>
      <c r="AM61" s="6" t="str">
        <f t="shared" si="8"/>
        <v/>
      </c>
      <c r="AN61" s="6" t="str">
        <f t="shared" si="7"/>
        <v/>
      </c>
    </row>
    <row r="62" spans="1:40">
      <c r="A62" s="7" t="s">
        <v>1458</v>
      </c>
      <c r="B62" s="7" t="s">
        <v>1459</v>
      </c>
      <c r="C62" s="7" t="s">
        <v>29</v>
      </c>
      <c r="D62" s="7">
        <v>8</v>
      </c>
      <c r="E62" s="61">
        <v>1000</v>
      </c>
      <c r="F62" s="7" t="s">
        <v>31</v>
      </c>
      <c r="G62" s="7" t="s">
        <v>1346</v>
      </c>
      <c r="H62" s="7"/>
      <c r="I62" s="203" t="s">
        <v>7</v>
      </c>
      <c r="J62" s="206"/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</v>
      </c>
      <c r="X62" s="6">
        <v>0</v>
      </c>
      <c r="Y62" s="6">
        <v>0</v>
      </c>
      <c r="Z62" s="89"/>
      <c r="AA62" s="38">
        <v>18</v>
      </c>
      <c r="AB62" s="117">
        <v>65535</v>
      </c>
      <c r="AC62" s="117">
        <v>511</v>
      </c>
      <c r="AD62" s="18">
        <v>2</v>
      </c>
      <c r="AE62" s="117">
        <v>65535</v>
      </c>
      <c r="AF62" s="18"/>
      <c r="AG62" s="96"/>
      <c r="AH62" s="224">
        <f>IF(Y61=1,MAX($AH$6:AH61)+1,IF(AH61="#",0,IF(AND(D61=D62,M61=M62,N61=N62,O61=O62,P61=P62,Q61=Q62,R61=R62,S61=S62,T61=T62,U61=U62,V61=V62,W61=W62,X61=X62,Y61=Y62,HEX2DEC(SUBSTITUTE(AJ61,"0x",""))&lt;HEX2DEC(SUBSTITUTE(AJ62,"0x",""))),"",MAX($AH$6:AH61)+1)))</f>
        <v>32</v>
      </c>
      <c r="AI62" s="225" t="str">
        <f>IF(MAX(INDEX($AH:$AH,ROW($AI$6)):INDEX($AH:$AH,ROW(AI62)))+1=AH63,MAX(INDEX($AH:$AH,ROW($AI$6)):INDEX($AH:$AH,ROW(AI62))),"")</f>
        <v/>
      </c>
      <c r="AJ62" s="6" t="str">
        <f t="shared" si="3"/>
        <v>0x4000030D</v>
      </c>
      <c r="AK62" s="6">
        <f t="shared" si="4"/>
        <v>1073742605</v>
      </c>
      <c r="AL62" s="6" t="str">
        <f t="shared" si="5"/>
        <v>0x4000030D</v>
      </c>
      <c r="AM62" s="6" t="str">
        <f t="shared" si="8"/>
        <v>0x4000030E</v>
      </c>
      <c r="AN62" s="6">
        <f t="shared" si="7"/>
        <v>8</v>
      </c>
    </row>
    <row r="63" spans="1:40">
      <c r="A63" s="7" t="s">
        <v>1460</v>
      </c>
      <c r="B63" s="7" t="s">
        <v>1461</v>
      </c>
      <c r="C63" s="7" t="s">
        <v>29</v>
      </c>
      <c r="D63" s="7">
        <v>8</v>
      </c>
      <c r="E63" s="61">
        <v>1000</v>
      </c>
      <c r="F63" s="7" t="s">
        <v>31</v>
      </c>
      <c r="G63" s="7" t="s">
        <v>1346</v>
      </c>
      <c r="H63" s="7"/>
      <c r="I63" s="203" t="s">
        <v>7</v>
      </c>
      <c r="J63" s="206"/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</v>
      </c>
      <c r="X63" s="6">
        <v>0</v>
      </c>
      <c r="Y63" s="6">
        <v>0</v>
      </c>
      <c r="Z63" s="89"/>
      <c r="AA63" s="38">
        <v>18</v>
      </c>
      <c r="AB63" s="117">
        <v>65535</v>
      </c>
      <c r="AC63" s="117">
        <v>511</v>
      </c>
      <c r="AD63" s="18">
        <v>2</v>
      </c>
      <c r="AE63" s="117">
        <v>65535</v>
      </c>
      <c r="AF63" s="18"/>
      <c r="AG63" s="96"/>
      <c r="AH63" s="224" t="str">
        <f>IF(Y62=1,MAX($AH$6:AH62)+1,IF(AH62="#",0,IF(AND(D62=D63,M62=M63,N62=N63,O62=O63,P62=P63,Q62=Q63,R62=R63,S62=S63,T62=T63,U62=U63,V62=V63,W62=W63,X62=X63,Y62=Y63,HEX2DEC(SUBSTITUTE(AJ62,"0x",""))&lt;HEX2DEC(SUBSTITUTE(AJ63,"0x",""))),"",MAX($AH$6:AH62)+1)))</f>
        <v/>
      </c>
      <c r="AI63" s="225">
        <f>IF(MAX(INDEX($AH:$AH,ROW($AI$6)):INDEX($AH:$AH,ROW(AI63)))+1=AH64,MAX(INDEX($AH:$AH,ROW($AI$6)):INDEX($AH:$AH,ROW(AI63))),"")</f>
        <v>32</v>
      </c>
      <c r="AJ63" s="6" t="str">
        <f t="shared" si="3"/>
        <v>0x4000030E</v>
      </c>
      <c r="AK63" s="6">
        <f t="shared" si="4"/>
        <v>1073742606</v>
      </c>
      <c r="AL63" s="6" t="str">
        <f t="shared" si="5"/>
        <v/>
      </c>
      <c r="AM63" s="6" t="str">
        <f t="shared" si="8"/>
        <v/>
      </c>
      <c r="AN63" s="6" t="str">
        <f t="shared" si="7"/>
        <v/>
      </c>
    </row>
    <row r="64" spans="1:40">
      <c r="A64" s="7" t="s">
        <v>1462</v>
      </c>
      <c r="B64" s="7" t="s">
        <v>1463</v>
      </c>
      <c r="C64" s="7" t="s">
        <v>29</v>
      </c>
      <c r="D64" s="7">
        <v>8</v>
      </c>
      <c r="E64" s="61">
        <v>1000</v>
      </c>
      <c r="F64" s="7" t="s">
        <v>31</v>
      </c>
      <c r="G64" s="7"/>
      <c r="H64" s="7"/>
      <c r="I64" s="203" t="s">
        <v>1346</v>
      </c>
      <c r="J64" s="206"/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1</v>
      </c>
      <c r="W64" s="6">
        <v>0</v>
      </c>
      <c r="X64" s="6">
        <v>0</v>
      </c>
      <c r="Y64" s="6">
        <v>0</v>
      </c>
      <c r="Z64" s="89"/>
      <c r="AA64" s="38">
        <v>26</v>
      </c>
      <c r="AB64" s="117">
        <v>65535</v>
      </c>
      <c r="AC64" s="117">
        <v>511</v>
      </c>
      <c r="AD64" s="18">
        <v>10</v>
      </c>
      <c r="AE64" s="117">
        <v>65535</v>
      </c>
      <c r="AF64" s="18"/>
      <c r="AG64" s="96"/>
      <c r="AH64" s="224">
        <f>IF(Y63=1,MAX($AH$6:AH63)+1,IF(AH63="#",0,IF(AND(D63=D64,M63=M64,N63=N64,O63=O64,P63=P64,Q63=Q64,R63=R64,S63=S64,T63=T64,U63=U64,V63=V64,W63=W64,X63=X64,Y63=Y64,HEX2DEC(SUBSTITUTE(AJ63,"0x",""))&lt;HEX2DEC(SUBSTITUTE(AJ64,"0x",""))),"",MAX($AH$6:AH63)+1)))</f>
        <v>33</v>
      </c>
      <c r="AI64" s="225">
        <f>IF(MAX(INDEX($AH:$AH,ROW($AI$6)):INDEX($AH:$AH,ROW(AI64)))+1=AH65,MAX(INDEX($AH:$AH,ROW($AI$6)):INDEX($AH:$AH,ROW(AI64))),"")</f>
        <v>33</v>
      </c>
      <c r="AJ64" s="6" t="str">
        <f t="shared" si="3"/>
        <v>0x4000030F</v>
      </c>
      <c r="AK64" s="6">
        <f t="shared" si="4"/>
        <v>1073742607</v>
      </c>
      <c r="AL64" s="6" t="str">
        <f t="shared" si="5"/>
        <v>0x4000030F</v>
      </c>
      <c r="AM64" s="6" t="str">
        <f t="shared" si="8"/>
        <v>0x4000030F</v>
      </c>
      <c r="AN64" s="6">
        <f t="shared" si="7"/>
        <v>8</v>
      </c>
    </row>
    <row r="65" spans="1:40">
      <c r="A65" s="7" t="s">
        <v>1464</v>
      </c>
      <c r="B65" s="7" t="s">
        <v>1465</v>
      </c>
      <c r="C65" s="7" t="s">
        <v>29</v>
      </c>
      <c r="D65" s="7">
        <v>8</v>
      </c>
      <c r="E65" s="61" t="s">
        <v>30</v>
      </c>
      <c r="F65" s="7" t="s">
        <v>31</v>
      </c>
      <c r="G65" s="7" t="s">
        <v>1346</v>
      </c>
      <c r="H65" s="7"/>
      <c r="I65" s="203" t="s">
        <v>7</v>
      </c>
      <c r="J65" s="206"/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</v>
      </c>
      <c r="X65" s="6">
        <v>0</v>
      </c>
      <c r="Y65" s="6">
        <v>0</v>
      </c>
      <c r="Z65" s="89"/>
      <c r="AA65" s="38">
        <v>18</v>
      </c>
      <c r="AB65" s="117">
        <v>65535</v>
      </c>
      <c r="AC65" s="117">
        <v>511</v>
      </c>
      <c r="AD65" s="18">
        <v>2</v>
      </c>
      <c r="AE65" s="117">
        <v>65535</v>
      </c>
      <c r="AF65" s="18"/>
      <c r="AG65" s="96"/>
      <c r="AH65" s="224">
        <f>IF(Y64=1,MAX($AH$6:AH64)+1,IF(AH64="#",0,IF(AND(D64=D65,M64=M65,N64=N65,O64=O65,P64=P65,Q64=Q65,R64=R65,S64=S65,T64=T65,U64=U65,V64=V65,W64=W65,X64=X65,Y64=Y65,HEX2DEC(SUBSTITUTE(AJ64,"0x",""))&lt;HEX2DEC(SUBSTITUTE(AJ65,"0x",""))),"",MAX($AH$6:AH64)+1)))</f>
        <v>34</v>
      </c>
      <c r="AI65" s="225" t="str">
        <f>IF(MAX(INDEX($AH:$AH,ROW($AI$6)):INDEX($AH:$AH,ROW(AI65)))+1=AH66,MAX(INDEX($AH:$AH,ROW($AI$6)):INDEX($AH:$AH,ROW(AI65))),"")</f>
        <v/>
      </c>
      <c r="AJ65" s="6" t="str">
        <f t="shared" si="3"/>
        <v>0x40000313</v>
      </c>
      <c r="AK65" s="6">
        <f t="shared" si="4"/>
        <v>1073742611</v>
      </c>
      <c r="AL65" s="6" t="str">
        <f t="shared" si="5"/>
        <v>0x40000313</v>
      </c>
      <c r="AM65" s="6" t="str">
        <f t="shared" si="8"/>
        <v>0x4000031A</v>
      </c>
      <c r="AN65" s="6">
        <f t="shared" si="7"/>
        <v>8</v>
      </c>
    </row>
    <row r="66" spans="1:40">
      <c r="A66" s="7" t="s">
        <v>1466</v>
      </c>
      <c r="B66" s="7" t="s">
        <v>1467</v>
      </c>
      <c r="C66" s="7" t="s">
        <v>29</v>
      </c>
      <c r="D66" s="7">
        <v>8</v>
      </c>
      <c r="E66" s="61" t="s">
        <v>30</v>
      </c>
      <c r="F66" s="7" t="s">
        <v>31</v>
      </c>
      <c r="G66" s="7" t="s">
        <v>1346</v>
      </c>
      <c r="H66" s="7"/>
      <c r="I66" s="203" t="s">
        <v>7</v>
      </c>
      <c r="J66" s="206"/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1</v>
      </c>
      <c r="X66" s="6">
        <v>0</v>
      </c>
      <c r="Y66" s="6">
        <v>0</v>
      </c>
      <c r="Z66" s="89"/>
      <c r="AA66" s="38">
        <v>18</v>
      </c>
      <c r="AB66" s="117">
        <v>65535</v>
      </c>
      <c r="AC66" s="117">
        <v>511</v>
      </c>
      <c r="AD66" s="18">
        <v>2</v>
      </c>
      <c r="AE66" s="117">
        <v>65535</v>
      </c>
      <c r="AF66" s="18"/>
      <c r="AG66" s="96"/>
      <c r="AH66" s="224" t="str">
        <f>IF(Y65=1,MAX($AH$6:AH65)+1,IF(AH65="#",0,IF(AND(D65=D66,M65=M66,N65=N66,O65=O66,P65=P66,Q65=Q66,R65=R66,S65=S66,T65=T66,U65=U66,V65=V66,W65=W66,X65=X66,Y65=Y66,HEX2DEC(SUBSTITUTE(AJ65,"0x",""))&lt;HEX2DEC(SUBSTITUTE(AJ66,"0x",""))),"",MAX($AH$6:AH65)+1)))</f>
        <v/>
      </c>
      <c r="AI66" s="225" t="str">
        <f>IF(MAX(INDEX($AH:$AH,ROW($AI$6)):INDEX($AH:$AH,ROW(AI66)))+1=AH67,MAX(INDEX($AH:$AH,ROW($AI$6)):INDEX($AH:$AH,ROW(AI66))),"")</f>
        <v/>
      </c>
      <c r="AJ66" s="6" t="str">
        <f t="shared" si="3"/>
        <v>0x40000315</v>
      </c>
      <c r="AK66" s="6">
        <f t="shared" si="4"/>
        <v>1073742613</v>
      </c>
      <c r="AL66" s="6" t="str">
        <f t="shared" si="5"/>
        <v/>
      </c>
      <c r="AM66" s="6" t="str">
        <f t="shared" si="8"/>
        <v/>
      </c>
      <c r="AN66" s="6" t="str">
        <f t="shared" si="7"/>
        <v/>
      </c>
    </row>
    <row r="67" spans="1:40">
      <c r="A67" s="7" t="s">
        <v>1468</v>
      </c>
      <c r="B67" s="7" t="s">
        <v>1469</v>
      </c>
      <c r="C67" s="7" t="s">
        <v>29</v>
      </c>
      <c r="D67" s="7">
        <v>8</v>
      </c>
      <c r="E67" s="61">
        <v>3000</v>
      </c>
      <c r="F67" s="7" t="s">
        <v>31</v>
      </c>
      <c r="G67" s="7" t="s">
        <v>1346</v>
      </c>
      <c r="H67" s="7"/>
      <c r="I67" s="203" t="s">
        <v>7</v>
      </c>
      <c r="J67" s="206"/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1</v>
      </c>
      <c r="X67" s="6">
        <v>0</v>
      </c>
      <c r="Y67" s="6">
        <v>0</v>
      </c>
      <c r="Z67" s="89"/>
      <c r="AA67" s="38">
        <v>18</v>
      </c>
      <c r="AB67" s="117">
        <v>65535</v>
      </c>
      <c r="AC67" s="117">
        <v>511</v>
      </c>
      <c r="AD67" s="18">
        <v>2</v>
      </c>
      <c r="AE67" s="117">
        <v>65535</v>
      </c>
      <c r="AF67" s="18"/>
      <c r="AG67" s="96"/>
      <c r="AH67" s="224" t="str">
        <f>IF(Y66=1,MAX($AH$6:AH66)+1,IF(AH66="#",0,IF(AND(D66=D67,M66=M67,N66=N67,O66=O67,P66=P67,Q66=Q67,R66=R67,S66=S67,T66=T67,U66=U67,V66=V67,W66=W67,X66=X67,Y66=Y67,HEX2DEC(SUBSTITUTE(AJ66,"0x",""))&lt;HEX2DEC(SUBSTITUTE(AJ67,"0x",""))),"",MAX($AH$6:AH66)+1)))</f>
        <v/>
      </c>
      <c r="AI67" s="225">
        <f>IF(MAX(INDEX($AH:$AH,ROW($AI$6)):INDEX($AH:$AH,ROW(AI67)))+1=AH68,MAX(INDEX($AH:$AH,ROW($AI$6)):INDEX($AH:$AH,ROW(AI67))),"")</f>
        <v>34</v>
      </c>
      <c r="AJ67" s="6" t="str">
        <f t="shared" si="3"/>
        <v>0x4000031A</v>
      </c>
      <c r="AK67" s="6">
        <f t="shared" si="4"/>
        <v>1073742618</v>
      </c>
      <c r="AL67" s="6" t="str">
        <f t="shared" si="5"/>
        <v/>
      </c>
      <c r="AM67" s="6" t="str">
        <f t="shared" si="8"/>
        <v/>
      </c>
      <c r="AN67" s="6" t="str">
        <f t="shared" si="7"/>
        <v/>
      </c>
    </row>
    <row r="68" spans="1:40">
      <c r="A68" s="7" t="s">
        <v>1470</v>
      </c>
      <c r="B68" s="7" t="s">
        <v>1471</v>
      </c>
      <c r="C68" s="7" t="s">
        <v>29</v>
      </c>
      <c r="D68" s="7">
        <v>8</v>
      </c>
      <c r="E68" s="61">
        <v>1000</v>
      </c>
      <c r="F68" s="7" t="s">
        <v>31</v>
      </c>
      <c r="G68" s="7"/>
      <c r="H68" s="7"/>
      <c r="I68" s="203" t="s">
        <v>1346</v>
      </c>
      <c r="J68" s="206"/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1</v>
      </c>
      <c r="W68" s="6">
        <v>0</v>
      </c>
      <c r="X68" s="6">
        <v>0</v>
      </c>
      <c r="Y68" s="6">
        <v>0</v>
      </c>
      <c r="Z68" s="89"/>
      <c r="AA68" s="38">
        <v>26</v>
      </c>
      <c r="AB68" s="117">
        <v>65535</v>
      </c>
      <c r="AC68" s="117">
        <v>511</v>
      </c>
      <c r="AD68" s="18">
        <v>10</v>
      </c>
      <c r="AE68" s="117">
        <v>65535</v>
      </c>
      <c r="AF68" s="18"/>
      <c r="AG68" s="96"/>
      <c r="AH68" s="224">
        <f>IF(Y67=1,MAX($AH$6:AH67)+1,IF(AH67="#",0,IF(AND(D67=D68,M67=M68,N67=N68,O67=O68,P67=P68,Q67=Q68,R67=R68,S67=S68,T67=T68,U67=U68,V67=V68,W67=W68,X67=X68,Y67=Y68,HEX2DEC(SUBSTITUTE(AJ67,"0x",""))&lt;HEX2DEC(SUBSTITUTE(AJ68,"0x",""))),"",MAX($AH$6:AH67)+1)))</f>
        <v>35</v>
      </c>
      <c r="AI68" s="225">
        <f>IF(MAX(INDEX($AH:$AH,ROW($AI$6)):INDEX($AH:$AH,ROW(AI68)))+1=AH69,MAX(INDEX($AH:$AH,ROW($AI$6)):INDEX($AH:$AH,ROW(AI68))),"")</f>
        <v>35</v>
      </c>
      <c r="AJ68" s="6" t="str">
        <f t="shared" si="3"/>
        <v>0x4000031D</v>
      </c>
      <c r="AK68" s="6">
        <f t="shared" si="4"/>
        <v>1073742621</v>
      </c>
      <c r="AL68" s="6" t="str">
        <f t="shared" si="5"/>
        <v>0x4000031D</v>
      </c>
      <c r="AM68" s="6" t="str">
        <f t="shared" si="8"/>
        <v>0x4000031D</v>
      </c>
      <c r="AN68" s="6">
        <f t="shared" si="7"/>
        <v>8</v>
      </c>
    </row>
    <row r="69" spans="1:40">
      <c r="A69" s="7" t="s">
        <v>1472</v>
      </c>
      <c r="B69" s="7" t="s">
        <v>1473</v>
      </c>
      <c r="C69" s="7" t="s">
        <v>29</v>
      </c>
      <c r="D69" s="7">
        <v>32</v>
      </c>
      <c r="E69" s="61">
        <v>1000</v>
      </c>
      <c r="F69" s="7" t="s">
        <v>31</v>
      </c>
      <c r="G69" s="7"/>
      <c r="H69" s="7"/>
      <c r="I69" s="203" t="s">
        <v>1346</v>
      </c>
      <c r="J69" s="206"/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1</v>
      </c>
      <c r="W69" s="6">
        <v>0</v>
      </c>
      <c r="X69" s="6">
        <v>0</v>
      </c>
      <c r="Y69" s="6">
        <v>0</v>
      </c>
      <c r="Z69" s="89"/>
      <c r="AA69" s="38">
        <v>26</v>
      </c>
      <c r="AB69" s="117">
        <v>65535</v>
      </c>
      <c r="AC69" s="117">
        <v>511</v>
      </c>
      <c r="AD69" s="18">
        <v>10</v>
      </c>
      <c r="AE69" s="117">
        <v>65535</v>
      </c>
      <c r="AF69" s="18"/>
      <c r="AG69" s="96"/>
      <c r="AH69" s="224">
        <f>IF(Y68=1,MAX($AH$6:AH68)+1,IF(AH68="#",0,IF(AND(D68=D69,M68=M69,N68=N69,O68=O69,P68=P69,Q68=Q69,R68=R69,S68=S69,T68=T69,U68=U69,V68=V69,W68=W69,X68=X69,Y68=Y69,HEX2DEC(SUBSTITUTE(AJ68,"0x",""))&lt;HEX2DEC(SUBSTITUTE(AJ69,"0x",""))),"",MAX($AH$6:AH68)+1)))</f>
        <v>36</v>
      </c>
      <c r="AI69" s="225">
        <f>IF(MAX(INDEX($AH:$AH,ROW($AI$6)):INDEX($AH:$AH,ROW(AI69)))+1=AH70,MAX(INDEX($AH:$AH,ROW($AI$6)):INDEX($AH:$AH,ROW(AI69))),"")</f>
        <v>36</v>
      </c>
      <c r="AJ69" s="6" t="str">
        <f t="shared" si="3"/>
        <v>0x40000322</v>
      </c>
      <c r="AK69" s="6">
        <f t="shared" si="4"/>
        <v>1073742626</v>
      </c>
      <c r="AL69" s="6" t="str">
        <f t="shared" si="5"/>
        <v>0x40000322</v>
      </c>
      <c r="AM69" s="6" t="str">
        <f t="shared" si="8"/>
        <v>0x40000322</v>
      </c>
      <c r="AN69" s="6">
        <f t="shared" si="7"/>
        <v>32</v>
      </c>
    </row>
    <row r="70" spans="1:40">
      <c r="A70" s="7" t="s">
        <v>1474</v>
      </c>
      <c r="B70" s="7" t="s">
        <v>1475</v>
      </c>
      <c r="C70" s="7" t="s">
        <v>29</v>
      </c>
      <c r="D70" s="7">
        <v>32</v>
      </c>
      <c r="E70" s="61">
        <v>1000</v>
      </c>
      <c r="F70" s="7" t="s">
        <v>29</v>
      </c>
      <c r="G70" s="7" t="s">
        <v>1346</v>
      </c>
      <c r="H70" s="7"/>
      <c r="I70" s="203" t="s">
        <v>7</v>
      </c>
      <c r="J70" s="206"/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9">
        <v>0</v>
      </c>
      <c r="X70" s="6">
        <v>0</v>
      </c>
      <c r="Y70" s="9">
        <v>1</v>
      </c>
      <c r="Z70" s="89"/>
      <c r="AA70" s="190">
        <v>14</v>
      </c>
      <c r="AB70" s="18">
        <f>VLOOKUP(A70,[1]SecOC_Cfg.h!$C$78:$D$93,2,FALSE)</f>
        <v>13</v>
      </c>
      <c r="AC70" s="117">
        <v>511</v>
      </c>
      <c r="AD70" s="117">
        <v>127</v>
      </c>
      <c r="AE70" s="117">
        <v>65535</v>
      </c>
      <c r="AF70" s="18"/>
      <c r="AG70" s="96"/>
      <c r="AH70" s="224">
        <f>IF(Y69=1,MAX($AH$6:AH69)+1,IF(AH69="#",0,IF(AND(D69=D70,M69=M70,N69=N70,O69=O70,P69=P70,Q69=Q70,R69=R70,S69=S70,T69=T70,U69=U70,V69=V70,W69=W70,X69=X70,Y69=Y70,HEX2DEC(SUBSTITUTE(AJ69,"0x",""))&lt;HEX2DEC(SUBSTITUTE(AJ70,"0x",""))),"",MAX($AH$6:AH69)+1)))</f>
        <v>37</v>
      </c>
      <c r="AI70" s="225">
        <f>IF(MAX(INDEX($AH:$AH,ROW($AI$6)):INDEX($AH:$AH,ROW(AI70)))+1=AH71,MAX(INDEX($AH:$AH,ROW($AI$6)):INDEX($AH:$AH,ROW(AI70))),"")</f>
        <v>37</v>
      </c>
      <c r="AJ70" s="6" t="str">
        <f t="shared" ref="AJ70:AJ131" si="9">"0x40000"&amp;B70</f>
        <v>0x40000333</v>
      </c>
      <c r="AK70" s="6">
        <f t="shared" ref="AK70:AK131" si="10">HEX2DEC(RIGHT(AJ70,8))</f>
        <v>1073742643</v>
      </c>
      <c r="AL70" s="6" t="str">
        <f t="shared" ref="AL70:AL131" si="11">IF(AH70&lt;&gt;"",AJ70,"")</f>
        <v>0x40000333</v>
      </c>
      <c r="AM70" s="6" t="str">
        <f t="shared" ref="AM70:AM101" si="12">IF(AH70&lt;&gt;"",VLOOKUP(AH70,$AI$6:$AJ$135,2,TRUE),"")</f>
        <v>0x40000333</v>
      </c>
      <c r="AN70" s="6">
        <f t="shared" ref="AN70:AN131" si="13">IF($AH70&lt;&gt;"",MIN($D70:$D70),"")</f>
        <v>32</v>
      </c>
    </row>
    <row r="71" spans="1:40">
      <c r="A71" s="7" t="s">
        <v>1476</v>
      </c>
      <c r="B71" s="7" t="s">
        <v>1477</v>
      </c>
      <c r="C71" s="7" t="s">
        <v>29</v>
      </c>
      <c r="D71" s="7">
        <v>32</v>
      </c>
      <c r="E71" s="61">
        <v>1000</v>
      </c>
      <c r="F71" s="7" t="s">
        <v>31</v>
      </c>
      <c r="G71" s="7" t="s">
        <v>1346</v>
      </c>
      <c r="H71" s="7"/>
      <c r="I71" s="203" t="s">
        <v>7</v>
      </c>
      <c r="J71" s="206"/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1</v>
      </c>
      <c r="X71" s="6">
        <v>0</v>
      </c>
      <c r="Y71" s="6">
        <v>0</v>
      </c>
      <c r="Z71" s="89"/>
      <c r="AA71" s="38">
        <v>18</v>
      </c>
      <c r="AB71" s="117">
        <v>65535</v>
      </c>
      <c r="AC71" s="117">
        <v>511</v>
      </c>
      <c r="AD71" s="18">
        <v>2</v>
      </c>
      <c r="AE71" s="117">
        <v>65535</v>
      </c>
      <c r="AF71" s="18"/>
      <c r="AG71" s="96"/>
      <c r="AH71" s="224">
        <f>IF(Y70=1,MAX($AH$6:AH70)+1,IF(AH70="#",0,IF(AND(D70=D71,M70=M71,N70=N71,O70=O71,P70=P71,Q70=Q71,R70=R71,S70=S71,T70=T71,U70=U71,V70=V71,W70=W71,X70=X71,Y70=Y71,HEX2DEC(SUBSTITUTE(AJ70,"0x",""))&lt;HEX2DEC(SUBSTITUTE(AJ71,"0x",""))),"",MAX($AH$6:AH70)+1)))</f>
        <v>38</v>
      </c>
      <c r="AI71" s="225" t="str">
        <f>IF(MAX(INDEX($AH:$AH,ROW($AI$6)):INDEX($AH:$AH,ROW(AI71)))+1=AH72,MAX(INDEX($AH:$AH,ROW($AI$6)):INDEX($AH:$AH,ROW(AI71))),"")</f>
        <v/>
      </c>
      <c r="AJ71" s="6" t="str">
        <f t="shared" si="9"/>
        <v>0x40000334</v>
      </c>
      <c r="AK71" s="6">
        <f t="shared" si="10"/>
        <v>1073742644</v>
      </c>
      <c r="AL71" s="6" t="str">
        <f t="shared" si="11"/>
        <v>0x40000334</v>
      </c>
      <c r="AM71" s="6" t="str">
        <f t="shared" si="12"/>
        <v>0x4000033A</v>
      </c>
      <c r="AN71" s="6">
        <f t="shared" si="13"/>
        <v>32</v>
      </c>
    </row>
    <row r="72" spans="1:40">
      <c r="A72" s="7" t="s">
        <v>1478</v>
      </c>
      <c r="B72" s="7" t="s">
        <v>1479</v>
      </c>
      <c r="C72" s="7" t="s">
        <v>29</v>
      </c>
      <c r="D72" s="7">
        <v>32</v>
      </c>
      <c r="E72" s="61">
        <v>1000</v>
      </c>
      <c r="F72" s="7" t="s">
        <v>31</v>
      </c>
      <c r="G72" s="7" t="s">
        <v>1346</v>
      </c>
      <c r="H72" s="7"/>
      <c r="I72" s="203" t="s">
        <v>7</v>
      </c>
      <c r="J72" s="206"/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1</v>
      </c>
      <c r="X72" s="6">
        <v>0</v>
      </c>
      <c r="Y72" s="6">
        <v>0</v>
      </c>
      <c r="Z72" s="89"/>
      <c r="AA72" s="38">
        <v>18</v>
      </c>
      <c r="AB72" s="117">
        <v>65535</v>
      </c>
      <c r="AC72" s="117">
        <v>511</v>
      </c>
      <c r="AD72" s="18">
        <v>2</v>
      </c>
      <c r="AE72" s="117">
        <v>65535</v>
      </c>
      <c r="AF72" s="18"/>
      <c r="AG72" s="96"/>
      <c r="AH72" s="224" t="str">
        <f>IF(Y71=1,MAX($AH$6:AH71)+1,IF(AH71="#",0,IF(AND(D71=D72,M71=M72,N71=N72,O71=O72,P71=P72,Q71=Q72,R71=R72,S71=S72,T71=T72,U71=U72,V71=V72,W71=W72,X71=X72,Y71=Y72,HEX2DEC(SUBSTITUTE(AJ71,"0x",""))&lt;HEX2DEC(SUBSTITUTE(AJ72,"0x",""))),"",MAX($AH$6:AH71)+1)))</f>
        <v/>
      </c>
      <c r="AI72" s="225">
        <f>IF(MAX(INDEX($AH:$AH,ROW($AI$6)):INDEX($AH:$AH,ROW(AI72)))+1=AH73,MAX(INDEX($AH:$AH,ROW($AI$6)):INDEX($AH:$AH,ROW(AI72))),"")</f>
        <v>38</v>
      </c>
      <c r="AJ72" s="6" t="str">
        <f t="shared" si="9"/>
        <v>0x4000033A</v>
      </c>
      <c r="AK72" s="6">
        <f t="shared" si="10"/>
        <v>1073742650</v>
      </c>
      <c r="AL72" s="6" t="str">
        <f t="shared" si="11"/>
        <v/>
      </c>
      <c r="AM72" s="6" t="str">
        <f t="shared" si="12"/>
        <v/>
      </c>
      <c r="AN72" s="6" t="str">
        <f t="shared" si="13"/>
        <v/>
      </c>
    </row>
    <row r="73" spans="1:40">
      <c r="A73" s="7" t="s">
        <v>1480</v>
      </c>
      <c r="B73" s="7" t="s">
        <v>1481</v>
      </c>
      <c r="C73" s="7" t="s">
        <v>29</v>
      </c>
      <c r="D73" s="7">
        <v>8</v>
      </c>
      <c r="E73" s="61">
        <v>1000</v>
      </c>
      <c r="F73" s="7" t="s">
        <v>31</v>
      </c>
      <c r="G73" s="7" t="s">
        <v>1346</v>
      </c>
      <c r="H73" s="7"/>
      <c r="I73" s="203" t="s">
        <v>7</v>
      </c>
      <c r="J73" s="206"/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1</v>
      </c>
      <c r="X73" s="6">
        <v>0</v>
      </c>
      <c r="Y73" s="6">
        <v>0</v>
      </c>
      <c r="Z73" s="89"/>
      <c r="AA73" s="38">
        <v>18</v>
      </c>
      <c r="AB73" s="117">
        <v>65535</v>
      </c>
      <c r="AC73" s="117">
        <v>511</v>
      </c>
      <c r="AD73" s="18">
        <v>2</v>
      </c>
      <c r="AE73" s="117">
        <v>65535</v>
      </c>
      <c r="AF73" s="18"/>
      <c r="AG73" s="96"/>
      <c r="AH73" s="224">
        <f>IF(Y72=1,MAX($AH$6:AH72)+1,IF(AH72="#",0,IF(AND(D72=D73,M72=M73,N72=N73,O72=O73,P72=P73,Q72=Q73,R72=R73,S72=S73,T72=T73,U72=U73,V72=V73,W72=W73,X72=X73,Y72=Y73,HEX2DEC(SUBSTITUTE(AJ72,"0x",""))&lt;HEX2DEC(SUBSTITUTE(AJ73,"0x",""))),"",MAX($AH$6:AH72)+1)))</f>
        <v>39</v>
      </c>
      <c r="AI73" s="225" t="str">
        <f>IF(MAX(INDEX($AH:$AH,ROW($AI$6)):INDEX($AH:$AH,ROW(AI73)))+1=AH74,MAX(INDEX($AH:$AH,ROW($AI$6)):INDEX($AH:$AH,ROW(AI73))),"")</f>
        <v/>
      </c>
      <c r="AJ73" s="6" t="str">
        <f t="shared" si="9"/>
        <v>0x40000345</v>
      </c>
      <c r="AK73" s="6">
        <f t="shared" si="10"/>
        <v>1073742661</v>
      </c>
      <c r="AL73" s="6" t="str">
        <f t="shared" si="11"/>
        <v>0x40000345</v>
      </c>
      <c r="AM73" s="6" t="str">
        <f t="shared" si="12"/>
        <v>0x40000351</v>
      </c>
      <c r="AN73" s="6">
        <f t="shared" si="13"/>
        <v>8</v>
      </c>
    </row>
    <row r="74" spans="1:40">
      <c r="A74" s="7" t="s">
        <v>1482</v>
      </c>
      <c r="B74" s="7" t="s">
        <v>1483</v>
      </c>
      <c r="C74" s="7" t="s">
        <v>29</v>
      </c>
      <c r="D74" s="7">
        <v>8</v>
      </c>
      <c r="E74" s="61">
        <v>1000</v>
      </c>
      <c r="F74" s="7" t="s">
        <v>31</v>
      </c>
      <c r="G74" s="7" t="s">
        <v>1346</v>
      </c>
      <c r="H74" s="7"/>
      <c r="I74" s="203" t="s">
        <v>7</v>
      </c>
      <c r="J74" s="206"/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1</v>
      </c>
      <c r="X74" s="6">
        <v>0</v>
      </c>
      <c r="Y74" s="6">
        <v>0</v>
      </c>
      <c r="Z74" s="89"/>
      <c r="AA74" s="38">
        <v>18</v>
      </c>
      <c r="AB74" s="117">
        <v>65535</v>
      </c>
      <c r="AC74" s="117">
        <v>511</v>
      </c>
      <c r="AD74" s="18">
        <v>2</v>
      </c>
      <c r="AE74" s="117">
        <v>65535</v>
      </c>
      <c r="AF74" s="18"/>
      <c r="AG74" s="96"/>
      <c r="AH74" s="224" t="str">
        <f>IF(Y73=1,MAX($AH$6:AH73)+1,IF(AH73="#",0,IF(AND(D73=D74,M73=M74,N73=N74,O73=O74,P73=P74,Q73=Q74,R73=R74,S73=S74,T73=T74,U73=U74,V73=V74,W73=W74,X73=X74,Y73=Y74,HEX2DEC(SUBSTITUTE(AJ73,"0x",""))&lt;HEX2DEC(SUBSTITUTE(AJ74,"0x",""))),"",MAX($AH$6:AH73)+1)))</f>
        <v/>
      </c>
      <c r="AI74" s="225" t="str">
        <f>IF(MAX(INDEX($AH:$AH,ROW($AI$6)):INDEX($AH:$AH,ROW(AI74)))+1=AH75,MAX(INDEX($AH:$AH,ROW($AI$6)):INDEX($AH:$AH,ROW(AI74))),"")</f>
        <v/>
      </c>
      <c r="AJ74" s="6" t="str">
        <f t="shared" si="9"/>
        <v>0x40000346</v>
      </c>
      <c r="AK74" s="6">
        <f t="shared" si="10"/>
        <v>1073742662</v>
      </c>
      <c r="AL74" s="6" t="str">
        <f t="shared" si="11"/>
        <v/>
      </c>
      <c r="AM74" s="6" t="str">
        <f t="shared" si="12"/>
        <v/>
      </c>
      <c r="AN74" s="6" t="str">
        <f t="shared" si="13"/>
        <v/>
      </c>
    </row>
    <row r="75" spans="1:40">
      <c r="A75" s="7" t="s">
        <v>1484</v>
      </c>
      <c r="B75" s="7" t="s">
        <v>1485</v>
      </c>
      <c r="C75" s="7" t="s">
        <v>29</v>
      </c>
      <c r="D75" s="7">
        <v>8</v>
      </c>
      <c r="E75" s="61">
        <v>1000</v>
      </c>
      <c r="F75" s="7" t="s">
        <v>31</v>
      </c>
      <c r="G75" s="7" t="s">
        <v>1346</v>
      </c>
      <c r="H75" s="7"/>
      <c r="I75" s="203" t="s">
        <v>7</v>
      </c>
      <c r="J75" s="206"/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89"/>
      <c r="AA75" s="38">
        <v>18</v>
      </c>
      <c r="AB75" s="117">
        <v>65535</v>
      </c>
      <c r="AC75" s="117">
        <v>511</v>
      </c>
      <c r="AD75" s="18">
        <v>2</v>
      </c>
      <c r="AE75" s="117">
        <v>65535</v>
      </c>
      <c r="AF75" s="18"/>
      <c r="AG75" s="96"/>
      <c r="AH75" s="224" t="str">
        <f>IF(Y74=1,MAX($AH$6:AH74)+1,IF(AH74="#",0,IF(AND(D74=D75,M74=M75,N74=N75,O74=O75,P74=P75,Q74=Q75,R74=R75,S74=S75,T74=T75,U74=U75,V74=V75,W74=W75,X74=X75,Y74=Y75,HEX2DEC(SUBSTITUTE(AJ74,"0x",""))&lt;HEX2DEC(SUBSTITUTE(AJ75,"0x",""))),"",MAX($AH$6:AH74)+1)))</f>
        <v/>
      </c>
      <c r="AI75" s="225">
        <f>IF(MAX(INDEX($AH:$AH,ROW($AI$6)):INDEX($AH:$AH,ROW(AI75)))+1=AH76,MAX(INDEX($AH:$AH,ROW($AI$6)):INDEX($AH:$AH,ROW(AI75))),"")</f>
        <v>39</v>
      </c>
      <c r="AJ75" s="6" t="str">
        <f t="shared" si="9"/>
        <v>0x40000351</v>
      </c>
      <c r="AK75" s="6">
        <f t="shared" si="10"/>
        <v>1073742673</v>
      </c>
      <c r="AL75" s="6" t="str">
        <f t="shared" si="11"/>
        <v/>
      </c>
      <c r="AM75" s="6" t="str">
        <f t="shared" si="12"/>
        <v/>
      </c>
      <c r="AN75" s="6" t="str">
        <f t="shared" si="13"/>
        <v/>
      </c>
    </row>
    <row r="76" spans="1:40">
      <c r="A76" s="7" t="s">
        <v>1486</v>
      </c>
      <c r="B76" s="7" t="s">
        <v>1487</v>
      </c>
      <c r="C76" s="7" t="s">
        <v>29</v>
      </c>
      <c r="D76" s="7">
        <v>32</v>
      </c>
      <c r="E76" s="61">
        <v>1000</v>
      </c>
      <c r="F76" s="7" t="s">
        <v>31</v>
      </c>
      <c r="G76" s="7"/>
      <c r="H76" s="7"/>
      <c r="I76" s="203" t="s">
        <v>1346</v>
      </c>
      <c r="J76" s="206"/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1</v>
      </c>
      <c r="W76" s="6">
        <v>0</v>
      </c>
      <c r="X76" s="6">
        <v>0</v>
      </c>
      <c r="Y76" s="6">
        <v>0</v>
      </c>
      <c r="Z76" s="89"/>
      <c r="AA76" s="38">
        <v>26</v>
      </c>
      <c r="AB76" s="117">
        <v>65535</v>
      </c>
      <c r="AC76" s="117">
        <v>511</v>
      </c>
      <c r="AD76" s="18">
        <v>10</v>
      </c>
      <c r="AE76" s="117">
        <v>65535</v>
      </c>
      <c r="AF76" s="18"/>
      <c r="AG76" s="96"/>
      <c r="AH76" s="224">
        <f>IF(Y75=1,MAX($AH$6:AH75)+1,IF(AH75="#",0,IF(AND(D75=D76,M75=M76,N75=N76,O75=O76,P75=P76,Q75=Q76,R75=R76,S75=S76,T75=T76,U75=U76,V75=V76,W75=W76,X75=X76,Y75=Y76,HEX2DEC(SUBSTITUTE(AJ75,"0x",""))&lt;HEX2DEC(SUBSTITUTE(AJ76,"0x",""))),"",MAX($AH$6:AH75)+1)))</f>
        <v>40</v>
      </c>
      <c r="AI76" s="225">
        <f>IF(MAX(INDEX($AH:$AH,ROW($AI$6)):INDEX($AH:$AH,ROW(AI76)))+1=AH77,MAX(INDEX($AH:$AH,ROW($AI$6)):INDEX($AH:$AH,ROW(AI76))),"")</f>
        <v>40</v>
      </c>
      <c r="AJ76" s="6" t="str">
        <f t="shared" si="9"/>
        <v>0x40000357</v>
      </c>
      <c r="AK76" s="6">
        <f t="shared" si="10"/>
        <v>1073742679</v>
      </c>
      <c r="AL76" s="6" t="str">
        <f t="shared" si="11"/>
        <v>0x40000357</v>
      </c>
      <c r="AM76" s="6" t="str">
        <f t="shared" si="12"/>
        <v>0x40000357</v>
      </c>
      <c r="AN76" s="6">
        <f t="shared" si="13"/>
        <v>32</v>
      </c>
    </row>
    <row r="77" spans="1:40">
      <c r="A77" s="7" t="s">
        <v>1488</v>
      </c>
      <c r="B77" s="7" t="s">
        <v>1489</v>
      </c>
      <c r="C77" s="7" t="s">
        <v>29</v>
      </c>
      <c r="D77" s="7">
        <v>32</v>
      </c>
      <c r="E77" s="61">
        <v>1000</v>
      </c>
      <c r="F77" s="7" t="s">
        <v>31</v>
      </c>
      <c r="G77" s="7" t="s">
        <v>1346</v>
      </c>
      <c r="H77" s="7"/>
      <c r="I77" s="203" t="s">
        <v>7</v>
      </c>
      <c r="J77" s="206"/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0</v>
      </c>
      <c r="Y77" s="6">
        <v>0</v>
      </c>
      <c r="Z77" s="89"/>
      <c r="AA77" s="38">
        <v>18</v>
      </c>
      <c r="AB77" s="117">
        <v>65535</v>
      </c>
      <c r="AC77" s="117">
        <v>511</v>
      </c>
      <c r="AD77" s="18">
        <v>2</v>
      </c>
      <c r="AE77" s="117">
        <v>65535</v>
      </c>
      <c r="AF77" s="18"/>
      <c r="AG77" s="96"/>
      <c r="AH77" s="224">
        <f>IF(Y76=1,MAX($AH$6:AH76)+1,IF(AH76="#",0,IF(AND(D76=D77,M76=M77,N76=N77,O76=O77,P76=P77,Q76=Q77,R76=R77,S76=S77,T76=T77,U76=U77,V76=V77,W76=W77,X76=X77,Y76=Y77,HEX2DEC(SUBSTITUTE(AJ76,"0x",""))&lt;HEX2DEC(SUBSTITUTE(AJ77,"0x",""))),"",MAX($AH$6:AH76)+1)))</f>
        <v>41</v>
      </c>
      <c r="AI77" s="225">
        <f>IF(MAX(INDEX($AH:$AH,ROW($AI$6)):INDEX($AH:$AH,ROW(AI77)))+1=AH78,MAX(INDEX($AH:$AH,ROW($AI$6)):INDEX($AH:$AH,ROW(AI77))),"")</f>
        <v>41</v>
      </c>
      <c r="AJ77" s="6" t="str">
        <f t="shared" si="9"/>
        <v>0x4000035A</v>
      </c>
      <c r="AK77" s="6">
        <f t="shared" si="10"/>
        <v>1073742682</v>
      </c>
      <c r="AL77" s="6" t="str">
        <f t="shared" si="11"/>
        <v>0x4000035A</v>
      </c>
      <c r="AM77" s="6" t="str">
        <f t="shared" si="12"/>
        <v>0x4000035A</v>
      </c>
      <c r="AN77" s="6">
        <f t="shared" si="13"/>
        <v>32</v>
      </c>
    </row>
    <row r="78" spans="1:40">
      <c r="A78" s="7" t="s">
        <v>1490</v>
      </c>
      <c r="B78" s="7" t="s">
        <v>1491</v>
      </c>
      <c r="C78" s="7" t="s">
        <v>29</v>
      </c>
      <c r="D78" s="7">
        <v>8</v>
      </c>
      <c r="E78" s="61">
        <v>20000</v>
      </c>
      <c r="F78" s="7" t="s">
        <v>31</v>
      </c>
      <c r="G78" s="7" t="s">
        <v>1346</v>
      </c>
      <c r="H78" s="7"/>
      <c r="I78" s="203" t="s">
        <v>7</v>
      </c>
      <c r="J78" s="206"/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1</v>
      </c>
      <c r="X78" s="6">
        <v>0</v>
      </c>
      <c r="Y78" s="6">
        <v>0</v>
      </c>
      <c r="Z78" s="89"/>
      <c r="AA78" s="38">
        <v>18</v>
      </c>
      <c r="AB78" s="117">
        <v>65535</v>
      </c>
      <c r="AC78" s="117">
        <v>511</v>
      </c>
      <c r="AD78" s="18">
        <v>2</v>
      </c>
      <c r="AE78" s="117">
        <v>65535</v>
      </c>
      <c r="AF78" s="18"/>
      <c r="AG78" s="96"/>
      <c r="AH78" s="224">
        <f>IF(Y77=1,MAX($AH$6:AH77)+1,IF(AH77="#",0,IF(AND(D77=D78,M77=M78,N77=N78,O77=O78,P77=P78,Q77=Q78,R77=R78,S77=S78,T77=T78,U77=U78,V77=V78,W77=W78,X77=X78,Y77=Y78,HEX2DEC(SUBSTITUTE(AJ77,"0x",""))&lt;HEX2DEC(SUBSTITUTE(AJ78,"0x",""))),"",MAX($AH$6:AH77)+1)))</f>
        <v>42</v>
      </c>
      <c r="AI78" s="225" t="str">
        <f>IF(MAX(INDEX($AH:$AH,ROW($AI$6)):INDEX($AH:$AH,ROW(AI78)))+1=AH79,MAX(INDEX($AH:$AH,ROW($AI$6)):INDEX($AH:$AH,ROW(AI78))),"")</f>
        <v/>
      </c>
      <c r="AJ78" s="6" t="str">
        <f t="shared" si="9"/>
        <v>0x4000035B</v>
      </c>
      <c r="AK78" s="6">
        <f t="shared" si="10"/>
        <v>1073742683</v>
      </c>
      <c r="AL78" s="6" t="str">
        <f t="shared" si="11"/>
        <v>0x4000035B</v>
      </c>
      <c r="AM78" s="6" t="str">
        <f t="shared" si="12"/>
        <v>0x4000037E</v>
      </c>
      <c r="AN78" s="6">
        <f t="shared" si="13"/>
        <v>8</v>
      </c>
    </row>
    <row r="79" spans="1:40">
      <c r="A79" s="7" t="s">
        <v>1492</v>
      </c>
      <c r="B79" s="7" t="s">
        <v>1493</v>
      </c>
      <c r="C79" s="7" t="s">
        <v>29</v>
      </c>
      <c r="D79" s="7">
        <v>8</v>
      </c>
      <c r="E79" s="61">
        <v>1000</v>
      </c>
      <c r="F79" s="7" t="s">
        <v>31</v>
      </c>
      <c r="G79" s="7" t="s">
        <v>1346</v>
      </c>
      <c r="H79" s="7"/>
      <c r="I79" s="203" t="s">
        <v>7</v>
      </c>
      <c r="J79" s="206"/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1</v>
      </c>
      <c r="X79" s="6">
        <v>0</v>
      </c>
      <c r="Y79" s="6">
        <v>0</v>
      </c>
      <c r="Z79" s="89"/>
      <c r="AA79" s="38">
        <v>18</v>
      </c>
      <c r="AB79" s="117">
        <v>65535</v>
      </c>
      <c r="AC79" s="117">
        <v>511</v>
      </c>
      <c r="AD79" s="18">
        <v>2</v>
      </c>
      <c r="AE79" s="117">
        <v>65535</v>
      </c>
      <c r="AF79" s="18"/>
      <c r="AG79" s="96"/>
      <c r="AH79" s="224" t="str">
        <f>IF(Y78=1,MAX($AH$6:AH78)+1,IF(AH78="#",0,IF(AND(D78=D79,M78=M79,N78=N79,O78=O79,P78=P79,Q78=Q79,R78=R79,S78=S79,T78=T79,U78=U79,V78=V79,W78=W79,X78=X79,Y78=Y79,HEX2DEC(SUBSTITUTE(AJ78,"0x",""))&lt;HEX2DEC(SUBSTITUTE(AJ79,"0x",""))),"",MAX($AH$6:AH78)+1)))</f>
        <v/>
      </c>
      <c r="AI79" s="225">
        <f>IF(MAX(INDEX($AH:$AH,ROW($AI$6)):INDEX($AH:$AH,ROW(AI79)))+1=AH80,MAX(INDEX($AH:$AH,ROW($AI$6)):INDEX($AH:$AH,ROW(AI79))),"")</f>
        <v>42</v>
      </c>
      <c r="AJ79" s="6" t="str">
        <f t="shared" si="9"/>
        <v>0x4000037E</v>
      </c>
      <c r="AK79" s="6">
        <f t="shared" si="10"/>
        <v>1073742718</v>
      </c>
      <c r="AL79" s="6" t="str">
        <f t="shared" si="11"/>
        <v/>
      </c>
      <c r="AM79" s="6" t="str">
        <f t="shared" si="12"/>
        <v/>
      </c>
      <c r="AN79" s="6" t="str">
        <f t="shared" si="13"/>
        <v/>
      </c>
    </row>
    <row r="80" spans="1:40">
      <c r="A80" s="7" t="s">
        <v>1494</v>
      </c>
      <c r="B80" s="7" t="s">
        <v>1495</v>
      </c>
      <c r="C80" s="62" t="s">
        <v>29</v>
      </c>
      <c r="D80" s="7">
        <v>32</v>
      </c>
      <c r="E80" s="61">
        <v>3000</v>
      </c>
      <c r="F80" s="7" t="s">
        <v>31</v>
      </c>
      <c r="G80" s="7" t="s">
        <v>1346</v>
      </c>
      <c r="H80" s="7"/>
      <c r="I80" s="203" t="s">
        <v>7</v>
      </c>
      <c r="J80" s="206"/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1</v>
      </c>
      <c r="X80" s="6">
        <v>0</v>
      </c>
      <c r="Y80" s="6">
        <v>0</v>
      </c>
      <c r="Z80" s="89"/>
      <c r="AA80" s="38">
        <v>19</v>
      </c>
      <c r="AB80" s="117">
        <v>65535</v>
      </c>
      <c r="AC80" s="117">
        <v>511</v>
      </c>
      <c r="AD80" s="18">
        <v>3</v>
      </c>
      <c r="AE80" s="117">
        <v>65535</v>
      </c>
      <c r="AF80" s="18"/>
      <c r="AG80" s="96"/>
      <c r="AH80" s="224">
        <f>IF(Y79=1,MAX($AH$6:AH79)+1,IF(AH79="#",0,IF(AND(D79=D80,M79=M80,N79=N80,O79=O80,P79=P80,Q79=Q80,R79=R80,S79=S80,T79=T80,U79=U80,V79=V80,W79=W80,X79=X80,Y79=Y80,HEX2DEC(SUBSTITUTE(AJ79,"0x",""))&lt;HEX2DEC(SUBSTITUTE(AJ80,"0x",""))),"",MAX($AH$6:AH79)+1)))</f>
        <v>43</v>
      </c>
      <c r="AI80" s="225">
        <f>IF(MAX(INDEX($AH:$AH,ROW($AI$6)):INDEX($AH:$AH,ROW(AI80)))+1=AH81,MAX(INDEX($AH:$AH,ROW($AI$6)):INDEX($AH:$AH,ROW(AI80))),"")</f>
        <v>43</v>
      </c>
      <c r="AJ80" s="6" t="str">
        <f t="shared" si="9"/>
        <v>0x40000384</v>
      </c>
      <c r="AK80" s="6">
        <f t="shared" si="10"/>
        <v>1073742724</v>
      </c>
      <c r="AL80" s="6" t="str">
        <f t="shared" si="11"/>
        <v>0x40000384</v>
      </c>
      <c r="AM80" s="6" t="str">
        <f t="shared" si="12"/>
        <v>0x40000384</v>
      </c>
      <c r="AN80" s="6">
        <f t="shared" si="13"/>
        <v>32</v>
      </c>
    </row>
    <row r="81" spans="1:40">
      <c r="A81" s="7" t="s">
        <v>1496</v>
      </c>
      <c r="B81" s="7" t="s">
        <v>1497</v>
      </c>
      <c r="C81" s="7" t="s">
        <v>29</v>
      </c>
      <c r="D81" s="7">
        <v>32</v>
      </c>
      <c r="E81" s="61">
        <v>3000</v>
      </c>
      <c r="F81" s="7" t="s">
        <v>31</v>
      </c>
      <c r="G81" s="7"/>
      <c r="H81" s="7"/>
      <c r="I81" s="203" t="s">
        <v>1346</v>
      </c>
      <c r="J81" s="207"/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1</v>
      </c>
      <c r="W81" s="6">
        <v>0</v>
      </c>
      <c r="X81" s="6">
        <v>0</v>
      </c>
      <c r="Y81" s="6">
        <v>0</v>
      </c>
      <c r="Z81" s="89"/>
      <c r="AA81" s="38">
        <v>26</v>
      </c>
      <c r="AB81" s="117">
        <v>65535</v>
      </c>
      <c r="AC81" s="117">
        <v>511</v>
      </c>
      <c r="AD81" s="18">
        <v>10</v>
      </c>
      <c r="AE81" s="117">
        <v>65535</v>
      </c>
      <c r="AF81" s="18"/>
      <c r="AG81" s="96"/>
      <c r="AH81" s="224">
        <f>IF(Y80=1,MAX($AH$6:AH80)+1,IF(AH80="#",0,IF(AND(D80=D81,M80=M81,N80=N81,O80=O81,P80=P81,Q80=Q81,R80=R81,S80=S81,T80=T81,U80=U81,V80=V81,W80=W81,X80=X81,Y80=Y81,HEX2DEC(SUBSTITUTE(AJ80,"0x",""))&lt;HEX2DEC(SUBSTITUTE(AJ81,"0x",""))),"",MAX($AH$6:AH80)+1)))</f>
        <v>44</v>
      </c>
      <c r="AI81" s="225">
        <f>IF(MAX(INDEX($AH:$AH,ROW($AI$6)):INDEX($AH:$AH,ROW(AI81)))+1=AH82,MAX(INDEX($AH:$AH,ROW($AI$6)):INDEX($AH:$AH,ROW(AI81))),"")</f>
        <v>44</v>
      </c>
      <c r="AJ81" s="6" t="str">
        <f t="shared" si="9"/>
        <v>0x40000386</v>
      </c>
      <c r="AK81" s="6">
        <f t="shared" si="10"/>
        <v>1073742726</v>
      </c>
      <c r="AL81" s="6" t="str">
        <f t="shared" si="11"/>
        <v>0x40000386</v>
      </c>
      <c r="AM81" s="6" t="str">
        <f t="shared" si="12"/>
        <v>0x40000386</v>
      </c>
      <c r="AN81" s="6">
        <f t="shared" si="13"/>
        <v>32</v>
      </c>
    </row>
    <row r="82" spans="1:40">
      <c r="A82" s="7" t="s">
        <v>1498</v>
      </c>
      <c r="B82" s="7" t="s">
        <v>1499</v>
      </c>
      <c r="C82" s="7" t="s">
        <v>29</v>
      </c>
      <c r="D82" s="7">
        <v>8</v>
      </c>
      <c r="E82" s="61">
        <v>1000</v>
      </c>
      <c r="F82" s="7" t="s">
        <v>31</v>
      </c>
      <c r="G82" s="7" t="s">
        <v>1346</v>
      </c>
      <c r="H82" s="7"/>
      <c r="I82" s="203" t="s">
        <v>7</v>
      </c>
      <c r="J82" s="206"/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1</v>
      </c>
      <c r="X82" s="6">
        <v>0</v>
      </c>
      <c r="Y82" s="6">
        <v>0</v>
      </c>
      <c r="Z82" s="89"/>
      <c r="AA82" s="38">
        <v>19</v>
      </c>
      <c r="AB82" s="117">
        <v>65535</v>
      </c>
      <c r="AC82" s="117">
        <v>511</v>
      </c>
      <c r="AD82" s="18">
        <v>3</v>
      </c>
      <c r="AE82" s="117">
        <v>65535</v>
      </c>
      <c r="AF82" s="18"/>
      <c r="AG82" s="96"/>
      <c r="AH82" s="224">
        <f>IF(Y81=1,MAX($AH$6:AH81)+1,IF(AH81="#",0,IF(AND(D81=D82,M81=M82,N81=N82,O81=O82,P81=P82,Q81=Q82,R81=R82,S81=S82,T81=T82,U81=U82,V81=V82,W81=W82,X81=X82,Y81=Y82,HEX2DEC(SUBSTITUTE(AJ81,"0x",""))&lt;HEX2DEC(SUBSTITUTE(AJ82,"0x",""))),"",MAX($AH$6:AH81)+1)))</f>
        <v>45</v>
      </c>
      <c r="AI82" s="225" t="str">
        <f>IF(MAX(INDEX($AH:$AH,ROW($AI$6)):INDEX($AH:$AH,ROW(AI82)))+1=AH83,MAX(INDEX($AH:$AH,ROW($AI$6)):INDEX($AH:$AH,ROW(AI82))),"")</f>
        <v/>
      </c>
      <c r="AJ82" s="6" t="str">
        <f t="shared" si="9"/>
        <v>0x40000387</v>
      </c>
      <c r="AK82" s="6">
        <f t="shared" si="10"/>
        <v>1073742727</v>
      </c>
      <c r="AL82" s="6" t="str">
        <f t="shared" si="11"/>
        <v>0x40000387</v>
      </c>
      <c r="AM82" s="6" t="str">
        <f t="shared" si="12"/>
        <v>0x40000388</v>
      </c>
      <c r="AN82" s="6">
        <f t="shared" si="13"/>
        <v>8</v>
      </c>
    </row>
    <row r="83" spans="1:40">
      <c r="A83" s="7" t="s">
        <v>1500</v>
      </c>
      <c r="B83" s="7" t="s">
        <v>1501</v>
      </c>
      <c r="C83" s="62" t="s">
        <v>29</v>
      </c>
      <c r="D83" s="7">
        <v>8</v>
      </c>
      <c r="E83" s="61">
        <v>1000</v>
      </c>
      <c r="F83" s="7" t="s">
        <v>31</v>
      </c>
      <c r="G83" s="7" t="s">
        <v>1346</v>
      </c>
      <c r="H83" s="7"/>
      <c r="I83" s="203" t="s">
        <v>7</v>
      </c>
      <c r="J83" s="206"/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1</v>
      </c>
      <c r="X83" s="6">
        <v>0</v>
      </c>
      <c r="Y83" s="6">
        <v>0</v>
      </c>
      <c r="Z83" s="89"/>
      <c r="AA83" s="38">
        <v>19</v>
      </c>
      <c r="AB83" s="117">
        <v>65535</v>
      </c>
      <c r="AC83" s="117">
        <v>511</v>
      </c>
      <c r="AD83" s="18">
        <v>3</v>
      </c>
      <c r="AE83" s="117">
        <v>65535</v>
      </c>
      <c r="AF83" s="18"/>
      <c r="AG83" s="96"/>
      <c r="AH83" s="224" t="str">
        <f>IF(Y82=1,MAX($AH$6:AH82)+1,IF(AH82="#",0,IF(AND(D82=D83,M82=M83,N82=N83,O82=O83,P82=P83,Q82=Q83,R82=R83,S82=S83,T82=T83,U82=U83,V82=V83,W82=W83,X82=X83,Y82=Y83,HEX2DEC(SUBSTITUTE(AJ82,"0x",""))&lt;HEX2DEC(SUBSTITUTE(AJ83,"0x",""))),"",MAX($AH$6:AH82)+1)))</f>
        <v/>
      </c>
      <c r="AI83" s="225">
        <f>IF(MAX(INDEX($AH:$AH,ROW($AI$6)):INDEX($AH:$AH,ROW(AI83)))+1=AH84,MAX(INDEX($AH:$AH,ROW($AI$6)):INDEX($AH:$AH,ROW(AI83))),"")</f>
        <v>45</v>
      </c>
      <c r="AJ83" s="6" t="str">
        <f t="shared" si="9"/>
        <v>0x40000388</v>
      </c>
      <c r="AK83" s="6">
        <f t="shared" si="10"/>
        <v>1073742728</v>
      </c>
      <c r="AL83" s="6" t="str">
        <f t="shared" si="11"/>
        <v/>
      </c>
      <c r="AM83" s="6" t="str">
        <f t="shared" si="12"/>
        <v/>
      </c>
      <c r="AN83" s="6" t="str">
        <f t="shared" si="13"/>
        <v/>
      </c>
    </row>
    <row r="84" spans="1:40">
      <c r="A84" s="7" t="s">
        <v>1502</v>
      </c>
      <c r="B84" s="7" t="s">
        <v>1503</v>
      </c>
      <c r="C84" s="62" t="s">
        <v>29</v>
      </c>
      <c r="D84" s="7">
        <v>8</v>
      </c>
      <c r="E84" s="61">
        <v>1000</v>
      </c>
      <c r="F84" s="7" t="s">
        <v>31</v>
      </c>
      <c r="G84" s="7"/>
      <c r="H84" s="7"/>
      <c r="I84" s="203" t="s">
        <v>1346</v>
      </c>
      <c r="J84" s="206"/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0</v>
      </c>
      <c r="Y84" s="6">
        <v>0</v>
      </c>
      <c r="Z84" s="89"/>
      <c r="AA84" s="38">
        <v>26</v>
      </c>
      <c r="AB84" s="117">
        <v>65535</v>
      </c>
      <c r="AC84" s="117">
        <v>511</v>
      </c>
      <c r="AD84" s="18">
        <v>10</v>
      </c>
      <c r="AE84" s="117">
        <v>65535</v>
      </c>
      <c r="AF84" s="18"/>
      <c r="AG84" s="96"/>
      <c r="AH84" s="224">
        <f>IF(Y83=1,MAX($AH$6:AH83)+1,IF(AH83="#",0,IF(AND(D83=D84,M83=M84,N83=N84,O83=O84,P83=P84,Q83=Q84,R83=R84,S83=S84,T83=T84,U83=U84,V83=V84,W83=W84,X83=X84,Y83=Y84,HEX2DEC(SUBSTITUTE(AJ83,"0x",""))&lt;HEX2DEC(SUBSTITUTE(AJ84,"0x",""))),"",MAX($AH$6:AH83)+1)))</f>
        <v>46</v>
      </c>
      <c r="AI84" s="225">
        <f>IF(MAX(INDEX($AH:$AH,ROW($AI$6)):INDEX($AH:$AH,ROW(AI84)))+1=AH85,MAX(INDEX($AH:$AH,ROW($AI$6)):INDEX($AH:$AH,ROW(AI84))),"")</f>
        <v>46</v>
      </c>
      <c r="AJ84" s="6" t="str">
        <f t="shared" si="9"/>
        <v>0x40000389</v>
      </c>
      <c r="AK84" s="6">
        <f t="shared" si="10"/>
        <v>1073742729</v>
      </c>
      <c r="AL84" s="6" t="str">
        <f t="shared" si="11"/>
        <v>0x40000389</v>
      </c>
      <c r="AM84" s="6" t="str">
        <f t="shared" si="12"/>
        <v>0x40000389</v>
      </c>
      <c r="AN84" s="6">
        <f t="shared" si="13"/>
        <v>8</v>
      </c>
    </row>
    <row r="85" spans="1:40">
      <c r="A85" s="7" t="s">
        <v>1504</v>
      </c>
      <c r="B85" s="7" t="s">
        <v>1505</v>
      </c>
      <c r="C85" s="7" t="s">
        <v>29</v>
      </c>
      <c r="D85" s="7">
        <v>8</v>
      </c>
      <c r="E85" s="61">
        <v>1000</v>
      </c>
      <c r="F85" s="7" t="s">
        <v>31</v>
      </c>
      <c r="G85" s="7" t="s">
        <v>1346</v>
      </c>
      <c r="H85" s="7"/>
      <c r="I85" s="203" t="s">
        <v>7</v>
      </c>
      <c r="J85" s="206"/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1</v>
      </c>
      <c r="X85" s="6">
        <v>0</v>
      </c>
      <c r="Y85" s="6">
        <v>0</v>
      </c>
      <c r="Z85" s="89"/>
      <c r="AA85" s="38">
        <v>19</v>
      </c>
      <c r="AB85" s="117">
        <v>65535</v>
      </c>
      <c r="AC85" s="117">
        <v>511</v>
      </c>
      <c r="AD85" s="18">
        <v>3</v>
      </c>
      <c r="AE85" s="117">
        <v>65535</v>
      </c>
      <c r="AF85" s="18"/>
      <c r="AG85" s="96"/>
      <c r="AH85" s="224">
        <f>IF(Y84=1,MAX($AH$6:AH84)+1,IF(AH84="#",0,IF(AND(D84=D85,M84=M85,N84=N85,O84=O85,P84=P85,Q84=Q85,R84=R85,S84=S85,T84=T85,U84=U85,V84=V85,W84=W85,X84=X85,Y84=Y85,HEX2DEC(SUBSTITUTE(AJ84,"0x",""))&lt;HEX2DEC(SUBSTITUTE(AJ85,"0x",""))),"",MAX($AH$6:AH84)+1)))</f>
        <v>47</v>
      </c>
      <c r="AI85" s="225" t="str">
        <f>IF(MAX(INDEX($AH:$AH,ROW($AI$6)):INDEX($AH:$AH,ROW(AI85)))+1=AH86,MAX(INDEX($AH:$AH,ROW($AI$6)):INDEX($AH:$AH,ROW(AI85))),"")</f>
        <v/>
      </c>
      <c r="AJ85" s="6" t="str">
        <f t="shared" si="9"/>
        <v>0x4000038E</v>
      </c>
      <c r="AK85" s="6">
        <f t="shared" si="10"/>
        <v>1073742734</v>
      </c>
      <c r="AL85" s="6" t="str">
        <f t="shared" si="11"/>
        <v>0x4000038E</v>
      </c>
      <c r="AM85" s="6" t="str">
        <f t="shared" si="12"/>
        <v>0x4000038F</v>
      </c>
      <c r="AN85" s="6">
        <f t="shared" si="13"/>
        <v>8</v>
      </c>
    </row>
    <row r="86" spans="1:40">
      <c r="A86" s="7" t="s">
        <v>1506</v>
      </c>
      <c r="B86" s="7" t="s">
        <v>1507</v>
      </c>
      <c r="C86" s="62" t="s">
        <v>29</v>
      </c>
      <c r="D86" s="7">
        <v>8</v>
      </c>
      <c r="E86" s="61">
        <v>1000</v>
      </c>
      <c r="F86" s="7" t="s">
        <v>31</v>
      </c>
      <c r="G86" s="7" t="s">
        <v>1346</v>
      </c>
      <c r="H86" s="7"/>
      <c r="I86" s="203" t="s">
        <v>7</v>
      </c>
      <c r="J86" s="206"/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89"/>
      <c r="AA86" s="38">
        <v>19</v>
      </c>
      <c r="AB86" s="117">
        <v>65535</v>
      </c>
      <c r="AC86" s="117">
        <v>511</v>
      </c>
      <c r="AD86" s="18">
        <v>3</v>
      </c>
      <c r="AE86" s="117">
        <v>65535</v>
      </c>
      <c r="AF86" s="18"/>
      <c r="AG86" s="96"/>
      <c r="AH86" s="224" t="str">
        <f>IF(Y85=1,MAX($AH$6:AH85)+1,IF(AH85="#",0,IF(AND(D85=D86,M85=M86,N85=N86,O85=O86,P85=P86,Q85=Q86,R85=R86,S85=S86,T85=T86,U85=U86,V85=V86,W85=W86,X85=X86,Y85=Y86,HEX2DEC(SUBSTITUTE(AJ85,"0x",""))&lt;HEX2DEC(SUBSTITUTE(AJ86,"0x",""))),"",MAX($AH$6:AH85)+1)))</f>
        <v/>
      </c>
      <c r="AI86" s="225">
        <f>IF(MAX(INDEX($AH:$AH,ROW($AI$6)):INDEX($AH:$AH,ROW(AI86)))+1=AH87,MAX(INDEX($AH:$AH,ROW($AI$6)):INDEX($AH:$AH,ROW(AI86))),"")</f>
        <v>47</v>
      </c>
      <c r="AJ86" s="6" t="str">
        <f t="shared" si="9"/>
        <v>0x4000038F</v>
      </c>
      <c r="AK86" s="6">
        <f t="shared" si="10"/>
        <v>1073742735</v>
      </c>
      <c r="AL86" s="6" t="str">
        <f t="shared" si="11"/>
        <v/>
      </c>
      <c r="AM86" s="6" t="str">
        <f t="shared" si="12"/>
        <v/>
      </c>
      <c r="AN86" s="6" t="str">
        <f t="shared" si="13"/>
        <v/>
      </c>
    </row>
    <row r="87" spans="1:40">
      <c r="A87" s="7" t="s">
        <v>1508</v>
      </c>
      <c r="B87" s="7" t="s">
        <v>1509</v>
      </c>
      <c r="C87" s="7" t="s">
        <v>29</v>
      </c>
      <c r="D87" s="7">
        <v>8</v>
      </c>
      <c r="E87" s="61">
        <v>3000</v>
      </c>
      <c r="F87" s="7" t="s">
        <v>31</v>
      </c>
      <c r="G87" s="7"/>
      <c r="H87" s="7"/>
      <c r="I87" s="203" t="s">
        <v>1346</v>
      </c>
      <c r="J87" s="206"/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89"/>
      <c r="AA87" s="38">
        <v>26</v>
      </c>
      <c r="AB87" s="117">
        <v>65535</v>
      </c>
      <c r="AC87" s="117">
        <v>511</v>
      </c>
      <c r="AD87" s="18">
        <v>10</v>
      </c>
      <c r="AE87" s="117">
        <v>65535</v>
      </c>
      <c r="AF87" s="18"/>
      <c r="AG87" s="96"/>
      <c r="AH87" s="224">
        <f>IF(Y86=1,MAX($AH$6:AH86)+1,IF(AH86="#",0,IF(AND(D86=D87,M86=M87,N86=N87,O86=O87,P86=P87,Q86=Q87,R86=R87,S86=S87,T86=T87,U86=U87,V86=V87,W86=W87,X86=X87,Y86=Y87,HEX2DEC(SUBSTITUTE(AJ86,"0x",""))&lt;HEX2DEC(SUBSTITUTE(AJ87,"0x",""))),"",MAX($AH$6:AH86)+1)))</f>
        <v>48</v>
      </c>
      <c r="AI87" s="225" t="str">
        <f>IF(MAX(INDEX($AH:$AH,ROW($AI$6)):INDEX($AH:$AH,ROW(AI87)))+1=AH88,MAX(INDEX($AH:$AH,ROW($AI$6)):INDEX($AH:$AH,ROW(AI87))),"")</f>
        <v/>
      </c>
      <c r="AJ87" s="6" t="str">
        <f t="shared" si="9"/>
        <v>0x400003A6</v>
      </c>
      <c r="AK87" s="6">
        <f t="shared" si="10"/>
        <v>1073742758</v>
      </c>
      <c r="AL87" s="6" t="str">
        <f t="shared" si="11"/>
        <v>0x400003A6</v>
      </c>
      <c r="AM87" s="6" t="str">
        <f t="shared" si="12"/>
        <v>0x400003A8</v>
      </c>
      <c r="AN87" s="6">
        <f t="shared" si="13"/>
        <v>8</v>
      </c>
    </row>
    <row r="88" spans="1:40">
      <c r="A88" s="7" t="s">
        <v>1510</v>
      </c>
      <c r="B88" s="7" t="s">
        <v>1511</v>
      </c>
      <c r="C88" s="7" t="s">
        <v>29</v>
      </c>
      <c r="D88" s="7">
        <v>8</v>
      </c>
      <c r="E88" s="61">
        <v>3000</v>
      </c>
      <c r="F88" s="7" t="s">
        <v>31</v>
      </c>
      <c r="G88" s="7"/>
      <c r="H88" s="7"/>
      <c r="I88" s="203" t="s">
        <v>1346</v>
      </c>
      <c r="J88" s="206"/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89"/>
      <c r="AA88" s="38">
        <v>26</v>
      </c>
      <c r="AB88" s="117">
        <v>65535</v>
      </c>
      <c r="AC88" s="117">
        <v>511</v>
      </c>
      <c r="AD88" s="18">
        <v>10</v>
      </c>
      <c r="AE88" s="117">
        <v>65535</v>
      </c>
      <c r="AF88" s="18"/>
      <c r="AG88" s="96"/>
      <c r="AH88" s="224" t="str">
        <f>IF(Y87=1,MAX($AH$6:AH87)+1,IF(AH87="#",0,IF(AND(D87=D88,M87=M88,N87=N88,O87=O88,P87=P88,Q87=Q88,R87=R88,S87=S88,T87=T88,U87=U88,V87=V88,W87=W88,X87=X88,Y87=Y88,HEX2DEC(SUBSTITUTE(AJ87,"0x",""))&lt;HEX2DEC(SUBSTITUTE(AJ88,"0x",""))),"",MAX($AH$6:AH87)+1)))</f>
        <v/>
      </c>
      <c r="AI88" s="225" t="str">
        <f>IF(MAX(INDEX($AH:$AH,ROW($AI$6)):INDEX($AH:$AH,ROW(AI88)))+1=AH89,MAX(INDEX($AH:$AH,ROW($AI$6)):INDEX($AH:$AH,ROW(AI88))),"")</f>
        <v/>
      </c>
      <c r="AJ88" s="6" t="str">
        <f t="shared" si="9"/>
        <v>0x400003A7</v>
      </c>
      <c r="AK88" s="6">
        <f t="shared" si="10"/>
        <v>1073742759</v>
      </c>
      <c r="AL88" s="6" t="str">
        <f t="shared" si="11"/>
        <v/>
      </c>
      <c r="AM88" s="6" t="str">
        <f t="shared" si="12"/>
        <v/>
      </c>
      <c r="AN88" s="6" t="str">
        <f t="shared" si="13"/>
        <v/>
      </c>
    </row>
    <row r="89" spans="1:40">
      <c r="A89" s="7" t="s">
        <v>1512</v>
      </c>
      <c r="B89" s="7" t="s">
        <v>1513</v>
      </c>
      <c r="C89" s="7" t="s">
        <v>29</v>
      </c>
      <c r="D89" s="7">
        <v>8</v>
      </c>
      <c r="E89" s="61">
        <v>3000</v>
      </c>
      <c r="F89" s="7" t="s">
        <v>31</v>
      </c>
      <c r="G89" s="7"/>
      <c r="H89" s="7"/>
      <c r="I89" s="203" t="s">
        <v>1346</v>
      </c>
      <c r="J89" s="206"/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0</v>
      </c>
      <c r="Y89" s="6">
        <v>0</v>
      </c>
      <c r="Z89" s="89"/>
      <c r="AA89" s="38">
        <v>26</v>
      </c>
      <c r="AB89" s="117">
        <v>65535</v>
      </c>
      <c r="AC89" s="117">
        <v>511</v>
      </c>
      <c r="AD89" s="18">
        <v>10</v>
      </c>
      <c r="AE89" s="117">
        <v>65535</v>
      </c>
      <c r="AF89" s="18"/>
      <c r="AG89" s="96"/>
      <c r="AH89" s="224" t="str">
        <f>IF(Y88=1,MAX($AH$6:AH88)+1,IF(AH88="#",0,IF(AND(D88=D89,M88=M89,N88=N89,O88=O89,P88=P89,Q88=Q89,R88=R89,S88=S89,T88=T89,U88=U89,V88=V89,W88=W89,X88=X89,Y88=Y89,HEX2DEC(SUBSTITUTE(AJ88,"0x",""))&lt;HEX2DEC(SUBSTITUTE(AJ89,"0x",""))),"",MAX($AH$6:AH88)+1)))</f>
        <v/>
      </c>
      <c r="AI89" s="225">
        <f>IF(MAX(INDEX($AH:$AH,ROW($AI$6)):INDEX($AH:$AH,ROW(AI89)))+1=AH90,MAX(INDEX($AH:$AH,ROW($AI$6)):INDEX($AH:$AH,ROW(AI89))),"")</f>
        <v>48</v>
      </c>
      <c r="AJ89" s="6" t="str">
        <f t="shared" si="9"/>
        <v>0x400003A8</v>
      </c>
      <c r="AK89" s="6">
        <f t="shared" si="10"/>
        <v>1073742760</v>
      </c>
      <c r="AL89" s="6" t="str">
        <f t="shared" si="11"/>
        <v/>
      </c>
      <c r="AM89" s="6" t="str">
        <f t="shared" si="12"/>
        <v/>
      </c>
      <c r="AN89" s="6" t="str">
        <f t="shared" si="13"/>
        <v/>
      </c>
    </row>
    <row r="90" spans="1:40">
      <c r="A90" s="7" t="s">
        <v>1514</v>
      </c>
      <c r="B90" s="7" t="s">
        <v>1515</v>
      </c>
      <c r="C90" s="7" t="s">
        <v>29</v>
      </c>
      <c r="D90" s="7">
        <v>8</v>
      </c>
      <c r="E90" s="61">
        <v>1000</v>
      </c>
      <c r="F90" s="7" t="s">
        <v>31</v>
      </c>
      <c r="G90" s="7" t="s">
        <v>1346</v>
      </c>
      <c r="H90" s="7"/>
      <c r="I90" s="203" t="s">
        <v>7</v>
      </c>
      <c r="J90" s="206"/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89"/>
      <c r="AA90" s="38">
        <v>19</v>
      </c>
      <c r="AB90" s="117">
        <v>65535</v>
      </c>
      <c r="AC90" s="117">
        <v>511</v>
      </c>
      <c r="AD90" s="18">
        <v>3</v>
      </c>
      <c r="AE90" s="117">
        <v>65535</v>
      </c>
      <c r="AF90" s="18"/>
      <c r="AG90" s="96"/>
      <c r="AH90" s="224">
        <f>IF(Y89=1,MAX($AH$6:AH89)+1,IF(AH89="#",0,IF(AND(D89=D90,M89=M90,N89=N90,O89=O90,P89=P90,Q89=Q90,R89=R90,S89=S90,T89=T90,U89=U90,V89=V90,W89=W90,X89=X90,Y89=Y90,HEX2DEC(SUBSTITUTE(AJ89,"0x",""))&lt;HEX2DEC(SUBSTITUTE(AJ90,"0x",""))),"",MAX($AH$6:AH89)+1)))</f>
        <v>49</v>
      </c>
      <c r="AI90" s="225">
        <f>IF(MAX(INDEX($AH:$AH,ROW($AI$6)):INDEX($AH:$AH,ROW(AI90)))+1=AH91,MAX(INDEX($AH:$AH,ROW($AI$6)):INDEX($AH:$AH,ROW(AI90))),"")</f>
        <v>49</v>
      </c>
      <c r="AJ90" s="6" t="str">
        <f t="shared" si="9"/>
        <v>0x400003C0</v>
      </c>
      <c r="AK90" s="6">
        <f t="shared" si="10"/>
        <v>1073742784</v>
      </c>
      <c r="AL90" s="6" t="str">
        <f t="shared" si="11"/>
        <v>0x400003C0</v>
      </c>
      <c r="AM90" s="6" t="str">
        <f t="shared" si="12"/>
        <v>0x400003C0</v>
      </c>
      <c r="AN90" s="6">
        <f t="shared" si="13"/>
        <v>8</v>
      </c>
    </row>
    <row r="91" spans="1:40">
      <c r="A91" s="7" t="s">
        <v>1516</v>
      </c>
      <c r="B91" s="7" t="s">
        <v>1517</v>
      </c>
      <c r="C91" s="7" t="s">
        <v>29</v>
      </c>
      <c r="D91" s="7">
        <v>32</v>
      </c>
      <c r="E91" s="61">
        <v>1000</v>
      </c>
      <c r="F91" s="7" t="s">
        <v>31</v>
      </c>
      <c r="G91" s="7"/>
      <c r="H91" s="7"/>
      <c r="I91" s="203" t="s">
        <v>1346</v>
      </c>
      <c r="J91" s="206"/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1</v>
      </c>
      <c r="W91" s="6">
        <v>0</v>
      </c>
      <c r="X91" s="6">
        <v>0</v>
      </c>
      <c r="Y91" s="6">
        <v>0</v>
      </c>
      <c r="Z91" s="89"/>
      <c r="AA91" s="38">
        <v>26</v>
      </c>
      <c r="AB91" s="117">
        <v>65535</v>
      </c>
      <c r="AC91" s="117">
        <v>511</v>
      </c>
      <c r="AD91" s="18">
        <v>10</v>
      </c>
      <c r="AE91" s="117">
        <v>65535</v>
      </c>
      <c r="AF91" s="18"/>
      <c r="AG91" s="96"/>
      <c r="AH91" s="224">
        <f>IF(Y90=1,MAX($AH$6:AH90)+1,IF(AH90="#",0,IF(AND(D90=D91,M90=M91,N90=N91,O90=O91,P90=P91,Q90=Q91,R90=R91,S90=S91,T90=T91,U90=U91,V90=V91,W90=W91,X90=X91,Y90=Y91,HEX2DEC(SUBSTITUTE(AJ90,"0x",""))&lt;HEX2DEC(SUBSTITUTE(AJ91,"0x",""))),"",MAX($AH$6:AH90)+1)))</f>
        <v>50</v>
      </c>
      <c r="AI91" s="225">
        <f>IF(MAX(INDEX($AH:$AH,ROW($AI$6)):INDEX($AH:$AH,ROW(AI91)))+1=AH92,MAX(INDEX($AH:$AH,ROW($AI$6)):INDEX($AH:$AH,ROW(AI91))),"")</f>
        <v>50</v>
      </c>
      <c r="AJ91" s="6" t="str">
        <f t="shared" si="9"/>
        <v>0x400003C2</v>
      </c>
      <c r="AK91" s="6">
        <f t="shared" si="10"/>
        <v>1073742786</v>
      </c>
      <c r="AL91" s="6" t="str">
        <f t="shared" si="11"/>
        <v>0x400003C2</v>
      </c>
      <c r="AM91" s="6" t="str">
        <f t="shared" si="12"/>
        <v>0x400003C2</v>
      </c>
      <c r="AN91" s="6">
        <f t="shared" si="13"/>
        <v>32</v>
      </c>
    </row>
    <row r="92" spans="1:40">
      <c r="A92" s="7" t="s">
        <v>1518</v>
      </c>
      <c r="B92" s="7" t="s">
        <v>1519</v>
      </c>
      <c r="C92" s="7" t="s">
        <v>29</v>
      </c>
      <c r="D92" s="7">
        <v>8</v>
      </c>
      <c r="E92" s="61">
        <v>1000</v>
      </c>
      <c r="F92" s="7" t="s">
        <v>31</v>
      </c>
      <c r="G92" s="7"/>
      <c r="H92" s="7"/>
      <c r="I92" s="203" t="s">
        <v>1346</v>
      </c>
      <c r="J92" s="206"/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1</v>
      </c>
      <c r="W92" s="6">
        <v>0</v>
      </c>
      <c r="X92" s="6">
        <v>0</v>
      </c>
      <c r="Y92" s="6">
        <v>0</v>
      </c>
      <c r="Z92" s="89"/>
      <c r="AA92" s="38">
        <v>26</v>
      </c>
      <c r="AB92" s="117">
        <v>65535</v>
      </c>
      <c r="AC92" s="117">
        <v>511</v>
      </c>
      <c r="AD92" s="18">
        <v>10</v>
      </c>
      <c r="AE92" s="117">
        <v>65535</v>
      </c>
      <c r="AF92" s="18"/>
      <c r="AG92" s="96"/>
      <c r="AH92" s="224">
        <f>IF(Y91=1,MAX($AH$6:AH91)+1,IF(AH91="#",0,IF(AND(D91=D92,M91=M92,N91=N92,O91=O92,P91=P92,Q91=Q92,R91=R92,S91=S92,T91=T92,U91=U92,V91=V92,W91=W92,X91=X92,Y91=Y92,HEX2DEC(SUBSTITUTE(AJ91,"0x",""))&lt;HEX2DEC(SUBSTITUTE(AJ92,"0x",""))),"",MAX($AH$6:AH91)+1)))</f>
        <v>51</v>
      </c>
      <c r="AI92" s="225">
        <f>IF(MAX(INDEX($AH:$AH,ROW($AI$6)):INDEX($AH:$AH,ROW(AI92)))+1=AH93,MAX(INDEX($AH:$AH,ROW($AI$6)):INDEX($AH:$AH,ROW(AI92))),"")</f>
        <v>51</v>
      </c>
      <c r="AJ92" s="6" t="str">
        <f t="shared" si="9"/>
        <v>0x400003C4</v>
      </c>
      <c r="AK92" s="6">
        <f t="shared" si="10"/>
        <v>1073742788</v>
      </c>
      <c r="AL92" s="6" t="str">
        <f t="shared" si="11"/>
        <v>0x400003C4</v>
      </c>
      <c r="AM92" s="6" t="str">
        <f t="shared" si="12"/>
        <v>0x400003C4</v>
      </c>
      <c r="AN92" s="6">
        <f t="shared" si="13"/>
        <v>8</v>
      </c>
    </row>
    <row r="93" spans="1:40">
      <c r="A93" s="7" t="s">
        <v>1520</v>
      </c>
      <c r="B93" s="7" t="s">
        <v>1521</v>
      </c>
      <c r="C93" s="7" t="s">
        <v>29</v>
      </c>
      <c r="D93" s="7">
        <v>8</v>
      </c>
      <c r="E93" s="61">
        <v>1000</v>
      </c>
      <c r="F93" s="7" t="s">
        <v>31</v>
      </c>
      <c r="G93" s="7" t="s">
        <v>1346</v>
      </c>
      <c r="H93" s="7"/>
      <c r="I93" s="203" t="s">
        <v>7</v>
      </c>
      <c r="J93" s="206"/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1</v>
      </c>
      <c r="X93" s="6">
        <v>0</v>
      </c>
      <c r="Y93" s="6">
        <v>0</v>
      </c>
      <c r="Z93" s="89"/>
      <c r="AA93" s="38">
        <v>19</v>
      </c>
      <c r="AB93" s="117">
        <v>65535</v>
      </c>
      <c r="AC93" s="117">
        <v>511</v>
      </c>
      <c r="AD93" s="18">
        <v>3</v>
      </c>
      <c r="AE93" s="117">
        <v>65535</v>
      </c>
      <c r="AF93" s="18"/>
      <c r="AG93" s="96"/>
      <c r="AH93" s="224">
        <f>IF(Y92=1,MAX($AH$6:AH92)+1,IF(AH92="#",0,IF(AND(D92=D93,M92=M93,N92=N93,O92=O93,P92=P93,Q92=Q93,R92=R93,S92=S93,T92=T93,U92=U93,V92=V93,W92=W93,X92=X93,Y92=Y93,HEX2DEC(SUBSTITUTE(AJ92,"0x",""))&lt;HEX2DEC(SUBSTITUTE(AJ93,"0x",""))),"",MAX($AH$6:AH92)+1)))</f>
        <v>52</v>
      </c>
      <c r="AI93" s="225">
        <f>IF(MAX(INDEX($AH:$AH,ROW($AI$6)):INDEX($AH:$AH,ROW(AI93)))+1=AH94,MAX(INDEX($AH:$AH,ROW($AI$6)):INDEX($AH:$AH,ROW(AI93))),"")</f>
        <v>52</v>
      </c>
      <c r="AJ93" s="6" t="str">
        <f t="shared" si="9"/>
        <v>0x400003C9</v>
      </c>
      <c r="AK93" s="6">
        <f t="shared" si="10"/>
        <v>1073742793</v>
      </c>
      <c r="AL93" s="6" t="str">
        <f t="shared" si="11"/>
        <v>0x400003C9</v>
      </c>
      <c r="AM93" s="6" t="str">
        <f t="shared" si="12"/>
        <v>0x400003C9</v>
      </c>
      <c r="AN93" s="6">
        <f t="shared" si="13"/>
        <v>8</v>
      </c>
    </row>
    <row r="94" spans="1:40">
      <c r="A94" s="7" t="s">
        <v>1522</v>
      </c>
      <c r="B94" s="7" t="s">
        <v>1523</v>
      </c>
      <c r="C94" s="7" t="s">
        <v>29</v>
      </c>
      <c r="D94" s="7">
        <v>8</v>
      </c>
      <c r="E94" s="61">
        <v>1000</v>
      </c>
      <c r="F94" s="7" t="s">
        <v>31</v>
      </c>
      <c r="G94" s="7"/>
      <c r="H94" s="7"/>
      <c r="I94" s="203" t="s">
        <v>1346</v>
      </c>
      <c r="J94" s="206"/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1</v>
      </c>
      <c r="W94" s="6">
        <v>0</v>
      </c>
      <c r="X94" s="6">
        <v>0</v>
      </c>
      <c r="Y94" s="6">
        <v>0</v>
      </c>
      <c r="Z94" s="89"/>
      <c r="AA94" s="38">
        <v>26</v>
      </c>
      <c r="AB94" s="117">
        <v>65535</v>
      </c>
      <c r="AC94" s="117">
        <v>511</v>
      </c>
      <c r="AD94" s="18">
        <v>10</v>
      </c>
      <c r="AE94" s="117">
        <v>65535</v>
      </c>
      <c r="AF94" s="18"/>
      <c r="AG94" s="96"/>
      <c r="AH94" s="224">
        <f>IF(Y93=1,MAX($AH$6:AH93)+1,IF(AH93="#",0,IF(AND(D93=D94,M93=M94,N93=N94,O93=O94,P93=P94,Q93=Q94,R93=R94,S93=S94,T93=T94,U93=U94,V93=V94,W93=W94,X93=X94,Y93=Y94,HEX2DEC(SUBSTITUTE(AJ93,"0x",""))&lt;HEX2DEC(SUBSTITUTE(AJ94,"0x",""))),"",MAX($AH$6:AH93)+1)))</f>
        <v>53</v>
      </c>
      <c r="AI94" s="225">
        <f>IF(MAX(INDEX($AH:$AH,ROW($AI$6)):INDEX($AH:$AH,ROW(AI94)))+1=AH95,MAX(INDEX($AH:$AH,ROW($AI$6)):INDEX($AH:$AH,ROW(AI94))),"")</f>
        <v>53</v>
      </c>
      <c r="AJ94" s="6" t="str">
        <f t="shared" si="9"/>
        <v>0x400003D0</v>
      </c>
      <c r="AK94" s="6">
        <f t="shared" si="10"/>
        <v>1073742800</v>
      </c>
      <c r="AL94" s="6" t="str">
        <f t="shared" si="11"/>
        <v>0x400003D0</v>
      </c>
      <c r="AM94" s="6" t="str">
        <f t="shared" si="12"/>
        <v>0x400003D0</v>
      </c>
      <c r="AN94" s="6">
        <f t="shared" si="13"/>
        <v>8</v>
      </c>
    </row>
    <row r="95" spans="1:40">
      <c r="A95" s="7" t="s">
        <v>1524</v>
      </c>
      <c r="B95" s="7" t="s">
        <v>1525</v>
      </c>
      <c r="C95" s="7" t="s">
        <v>29</v>
      </c>
      <c r="D95" s="7">
        <v>32</v>
      </c>
      <c r="E95" s="61">
        <v>1000</v>
      </c>
      <c r="F95" s="7" t="s">
        <v>31</v>
      </c>
      <c r="G95" s="7" t="s">
        <v>1346</v>
      </c>
      <c r="H95" s="7"/>
      <c r="I95" s="203" t="s">
        <v>7</v>
      </c>
      <c r="J95" s="206"/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1</v>
      </c>
      <c r="X95" s="6">
        <v>0</v>
      </c>
      <c r="Y95" s="6">
        <v>0</v>
      </c>
      <c r="Z95" s="89"/>
      <c r="AA95" s="38">
        <v>19</v>
      </c>
      <c r="AB95" s="117">
        <v>65535</v>
      </c>
      <c r="AC95" s="117">
        <v>511</v>
      </c>
      <c r="AD95" s="18">
        <v>3</v>
      </c>
      <c r="AE95" s="117">
        <v>65535</v>
      </c>
      <c r="AF95" s="18"/>
      <c r="AG95" s="96"/>
      <c r="AH95" s="224">
        <f>IF(Y94=1,MAX($AH$6:AH94)+1,IF(AH94="#",0,IF(AND(D94=D95,M94=M95,N94=N95,O94=O95,P94=P95,Q94=Q95,R94=R95,S94=S95,T94=T95,U94=U95,V94=V95,W94=W95,X94=X95,Y94=Y95,HEX2DEC(SUBSTITUTE(AJ94,"0x",""))&lt;HEX2DEC(SUBSTITUTE(AJ95,"0x",""))),"",MAX($AH$6:AH94)+1)))</f>
        <v>54</v>
      </c>
      <c r="AI95" s="225">
        <f>IF(MAX(INDEX($AH:$AH,ROW($AI$6)):INDEX($AH:$AH,ROW(AI95)))+1=AH96,MAX(INDEX($AH:$AH,ROW($AI$6)):INDEX($AH:$AH,ROW(AI95))),"")</f>
        <v>54</v>
      </c>
      <c r="AJ95" s="6" t="str">
        <f t="shared" si="9"/>
        <v>0x400003D9</v>
      </c>
      <c r="AK95" s="6">
        <f t="shared" si="10"/>
        <v>1073742809</v>
      </c>
      <c r="AL95" s="6" t="str">
        <f t="shared" si="11"/>
        <v>0x400003D9</v>
      </c>
      <c r="AM95" s="6" t="str">
        <f t="shared" si="12"/>
        <v>0x400003D9</v>
      </c>
      <c r="AN95" s="6">
        <f t="shared" si="13"/>
        <v>32</v>
      </c>
    </row>
    <row r="96" spans="1:40">
      <c r="A96" s="7" t="s">
        <v>1526</v>
      </c>
      <c r="B96" s="7" t="s">
        <v>1527</v>
      </c>
      <c r="C96" s="7" t="s">
        <v>29</v>
      </c>
      <c r="D96" s="7">
        <v>8</v>
      </c>
      <c r="E96" s="61">
        <v>1000</v>
      </c>
      <c r="F96" s="7" t="s">
        <v>31</v>
      </c>
      <c r="G96" s="7" t="s">
        <v>1346</v>
      </c>
      <c r="H96" s="7"/>
      <c r="I96" s="203" t="s">
        <v>7</v>
      </c>
      <c r="J96" s="206"/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1</v>
      </c>
      <c r="X96" s="6">
        <v>0</v>
      </c>
      <c r="Y96" s="6">
        <v>0</v>
      </c>
      <c r="Z96" s="89"/>
      <c r="AA96" s="38">
        <v>19</v>
      </c>
      <c r="AB96" s="117">
        <v>65535</v>
      </c>
      <c r="AC96" s="117">
        <v>511</v>
      </c>
      <c r="AD96" s="18">
        <v>3</v>
      </c>
      <c r="AE96" s="117">
        <v>65535</v>
      </c>
      <c r="AF96" s="18"/>
      <c r="AG96" s="96"/>
      <c r="AH96" s="224">
        <f>IF(Y95=1,MAX($AH$6:AH95)+1,IF(AH95="#",0,IF(AND(D95=D96,M95=M96,N95=N96,O95=O96,P95=P96,Q95=Q96,R95=R96,S95=S96,T95=T96,U95=U96,V95=V96,W95=W96,X95=X96,Y95=Y96,HEX2DEC(SUBSTITUTE(AJ95,"0x",""))&lt;HEX2DEC(SUBSTITUTE(AJ96,"0x",""))),"",MAX($AH$6:AH95)+1)))</f>
        <v>55</v>
      </c>
      <c r="AI96" s="225">
        <f>IF(MAX(INDEX($AH:$AH,ROW($AI$6)):INDEX($AH:$AH,ROW(AI96)))+1=AH97,MAX(INDEX($AH:$AH,ROW($AI$6)):INDEX($AH:$AH,ROW(AI96))),"")</f>
        <v>55</v>
      </c>
      <c r="AJ96" s="6" t="str">
        <f t="shared" si="9"/>
        <v>0x400003E4</v>
      </c>
      <c r="AK96" s="6">
        <f t="shared" si="10"/>
        <v>1073742820</v>
      </c>
      <c r="AL96" s="6" t="str">
        <f t="shared" si="11"/>
        <v>0x400003E4</v>
      </c>
      <c r="AM96" s="6" t="str">
        <f t="shared" si="12"/>
        <v>0x400003E4</v>
      </c>
      <c r="AN96" s="6">
        <f t="shared" si="13"/>
        <v>8</v>
      </c>
    </row>
    <row r="97" spans="1:43">
      <c r="A97" s="7" t="s">
        <v>1528</v>
      </c>
      <c r="B97" s="7" t="s">
        <v>1529</v>
      </c>
      <c r="C97" s="7" t="s">
        <v>29</v>
      </c>
      <c r="D97" s="7">
        <v>32</v>
      </c>
      <c r="E97" s="61">
        <v>3000</v>
      </c>
      <c r="F97" s="7" t="s">
        <v>31</v>
      </c>
      <c r="G97" s="7" t="s">
        <v>1346</v>
      </c>
      <c r="H97" s="7"/>
      <c r="I97" s="203" t="s">
        <v>7</v>
      </c>
      <c r="J97" s="206"/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89"/>
      <c r="AA97" s="38">
        <v>19</v>
      </c>
      <c r="AB97" s="117">
        <v>65535</v>
      </c>
      <c r="AC97" s="117">
        <v>511</v>
      </c>
      <c r="AD97" s="18">
        <v>3</v>
      </c>
      <c r="AE97" s="117">
        <v>65535</v>
      </c>
      <c r="AF97" s="18"/>
      <c r="AG97" s="96"/>
      <c r="AH97" s="224">
        <f>IF(Y96=1,MAX($AH$6:AH96)+1,IF(AH96="#",0,IF(AND(D96=D97,M96=M97,N96=N97,O96=O97,P96=P97,Q96=Q97,R96=R97,S96=S97,T96=T97,U96=U97,V96=V97,W96=W97,X96=X97,Y96=Y97,HEX2DEC(SUBSTITUTE(AJ96,"0x",""))&lt;HEX2DEC(SUBSTITUTE(AJ97,"0x",""))),"",MAX($AH$6:AH96)+1)))</f>
        <v>56</v>
      </c>
      <c r="AI97" s="225">
        <f>IF(MAX(INDEX($AH:$AH,ROW($AI$6)):INDEX($AH:$AH,ROW(AI97)))+1=AH98,MAX(INDEX($AH:$AH,ROW($AI$6)):INDEX($AH:$AH,ROW(AI97))),"")</f>
        <v>56</v>
      </c>
      <c r="AJ97" s="6" t="str">
        <f t="shared" si="9"/>
        <v>0x400003E6</v>
      </c>
      <c r="AK97" s="6">
        <f t="shared" si="10"/>
        <v>1073742822</v>
      </c>
      <c r="AL97" s="6" t="str">
        <f t="shared" si="11"/>
        <v>0x400003E6</v>
      </c>
      <c r="AM97" s="6" t="str">
        <f t="shared" si="12"/>
        <v>0x400003E6</v>
      </c>
      <c r="AN97" s="6">
        <f t="shared" si="13"/>
        <v>32</v>
      </c>
    </row>
    <row r="98" spans="1:43">
      <c r="A98" s="7" t="s">
        <v>1530</v>
      </c>
      <c r="B98" s="7" t="s">
        <v>1531</v>
      </c>
      <c r="C98" s="7" t="s">
        <v>29</v>
      </c>
      <c r="D98" s="7">
        <v>8</v>
      </c>
      <c r="E98" s="61">
        <v>1000</v>
      </c>
      <c r="F98" s="7" t="s">
        <v>31</v>
      </c>
      <c r="G98" s="7" t="s">
        <v>1346</v>
      </c>
      <c r="H98" s="7"/>
      <c r="I98" s="203" t="s">
        <v>7</v>
      </c>
      <c r="J98" s="206"/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89"/>
      <c r="AA98" s="38">
        <v>19</v>
      </c>
      <c r="AB98" s="117">
        <v>65535</v>
      </c>
      <c r="AC98" s="117">
        <v>511</v>
      </c>
      <c r="AD98" s="18">
        <v>3</v>
      </c>
      <c r="AE98" s="117">
        <v>65535</v>
      </c>
      <c r="AF98" s="18"/>
      <c r="AG98" s="96"/>
      <c r="AH98" s="224">
        <f>IF(Y97=1,MAX($AH$6:AH97)+1,IF(AH97="#",0,IF(AND(D97=D98,M97=M98,N97=N98,O97=O98,P97=P98,Q97=Q98,R97=R98,S97=S98,T97=T98,U97=U98,V97=V98,W97=W98,X97=X98,Y97=Y98,HEX2DEC(SUBSTITUTE(AJ97,"0x",""))&lt;HEX2DEC(SUBSTITUTE(AJ98,"0x",""))),"",MAX($AH$6:AH97)+1)))</f>
        <v>57</v>
      </c>
      <c r="AI98" s="225" t="str">
        <f>IF(MAX(INDEX($AH:$AH,ROW($AI$6)):INDEX($AH:$AH,ROW(AI98)))+1=AH99,MAX(INDEX($AH:$AH,ROW($AI$6)):INDEX($AH:$AH,ROW(AI98))),"")</f>
        <v/>
      </c>
      <c r="AJ98" s="6" t="str">
        <f t="shared" si="9"/>
        <v>0x400003EA</v>
      </c>
      <c r="AK98" s="6">
        <f t="shared" si="10"/>
        <v>1073742826</v>
      </c>
      <c r="AL98" s="6" t="str">
        <f t="shared" si="11"/>
        <v>0x400003EA</v>
      </c>
      <c r="AM98" s="6" t="str">
        <f t="shared" si="12"/>
        <v>0x400003EC</v>
      </c>
      <c r="AN98" s="6">
        <f t="shared" si="13"/>
        <v>8</v>
      </c>
    </row>
    <row r="99" spans="1:43">
      <c r="A99" s="7" t="s">
        <v>1532</v>
      </c>
      <c r="B99" s="7" t="s">
        <v>1533</v>
      </c>
      <c r="C99" s="7" t="s">
        <v>29</v>
      </c>
      <c r="D99" s="7">
        <v>8</v>
      </c>
      <c r="E99" s="61">
        <v>1000</v>
      </c>
      <c r="F99" s="7" t="s">
        <v>31</v>
      </c>
      <c r="G99" s="7" t="s">
        <v>1346</v>
      </c>
      <c r="H99" s="7"/>
      <c r="I99" s="203" t="s">
        <v>7</v>
      </c>
      <c r="J99" s="206"/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1</v>
      </c>
      <c r="X99" s="6">
        <v>0</v>
      </c>
      <c r="Y99" s="6">
        <v>0</v>
      </c>
      <c r="Z99" s="89"/>
      <c r="AA99" s="38">
        <v>19</v>
      </c>
      <c r="AB99" s="117">
        <v>65535</v>
      </c>
      <c r="AC99" s="117">
        <v>511</v>
      </c>
      <c r="AD99" s="18">
        <v>3</v>
      </c>
      <c r="AE99" s="117">
        <v>65535</v>
      </c>
      <c r="AF99" s="18"/>
      <c r="AG99" s="96"/>
      <c r="AH99" s="224" t="str">
        <f>IF(Y98=1,MAX($AH$6:AH98)+1,IF(AH98="#",0,IF(AND(D98=D99,M98=M99,N98=N99,O98=O99,P98=P99,Q98=Q99,R98=R99,S98=S99,T98=T99,U98=U99,V98=V99,W98=W99,X98=X99,Y98=Y99,HEX2DEC(SUBSTITUTE(AJ98,"0x",""))&lt;HEX2DEC(SUBSTITUTE(AJ99,"0x",""))),"",MAX($AH$6:AH98)+1)))</f>
        <v/>
      </c>
      <c r="AI99" s="225">
        <f>IF(MAX(INDEX($AH:$AH,ROW($AI$6)):INDEX($AH:$AH,ROW(AI99)))+1=AH100,MAX(INDEX($AH:$AH,ROW($AI$6)):INDEX($AH:$AH,ROW(AI99))),"")</f>
        <v>57</v>
      </c>
      <c r="AJ99" s="6" t="str">
        <f t="shared" si="9"/>
        <v>0x400003EC</v>
      </c>
      <c r="AK99" s="6">
        <f t="shared" si="10"/>
        <v>1073742828</v>
      </c>
      <c r="AL99" s="6" t="str">
        <f t="shared" si="11"/>
        <v/>
      </c>
      <c r="AM99" s="6" t="str">
        <f t="shared" si="12"/>
        <v/>
      </c>
      <c r="AN99" s="6" t="str">
        <f t="shared" si="13"/>
        <v/>
      </c>
    </row>
    <row r="100" spans="1:43">
      <c r="A100" s="7" t="s">
        <v>1534</v>
      </c>
      <c r="B100" s="7" t="s">
        <v>1535</v>
      </c>
      <c r="C100" s="7" t="s">
        <v>29</v>
      </c>
      <c r="D100" s="7">
        <v>32</v>
      </c>
      <c r="E100" s="61">
        <v>1000</v>
      </c>
      <c r="F100" s="7" t="s">
        <v>29</v>
      </c>
      <c r="G100" s="7" t="s">
        <v>1346</v>
      </c>
      <c r="H100" s="7"/>
      <c r="I100" s="203" t="s">
        <v>7</v>
      </c>
      <c r="J100" s="206"/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9">
        <v>0</v>
      </c>
      <c r="X100" s="6">
        <v>0</v>
      </c>
      <c r="Y100" s="9">
        <v>1</v>
      </c>
      <c r="Z100" s="89"/>
      <c r="AA100" s="190">
        <v>15</v>
      </c>
      <c r="AB100" s="18">
        <f>VLOOKUP(A100,[1]SecOC_Cfg.h!$C$78:$D$93,2,FALSE)</f>
        <v>14</v>
      </c>
      <c r="AC100" s="117">
        <v>511</v>
      </c>
      <c r="AD100" s="117">
        <v>127</v>
      </c>
      <c r="AE100" s="117">
        <v>65535</v>
      </c>
      <c r="AF100" s="18"/>
      <c r="AG100" s="96"/>
      <c r="AH100" s="224">
        <f>IF(Y99=1,MAX($AH$6:AH99)+1,IF(AH99="#",0,IF(AND(D99=D100,M99=M100,N99=N100,O99=O100,P99=P100,Q99=Q100,R99=R100,S99=S100,T99=T100,U99=U100,V99=V100,W99=W100,X99=X100,Y99=Y100,HEX2DEC(SUBSTITUTE(AJ99,"0x",""))&lt;HEX2DEC(SUBSTITUTE(AJ100,"0x",""))),"",MAX($AH$6:AH99)+1)))</f>
        <v>58</v>
      </c>
      <c r="AI100" s="225">
        <f>IF(MAX(INDEX($AH:$AH,ROW($AI$6)):INDEX($AH:$AH,ROW(AI100)))+1=AH101,MAX(INDEX($AH:$AH,ROW($AI$6)):INDEX($AH:$AH,ROW(AI100))),"")</f>
        <v>58</v>
      </c>
      <c r="AJ100" s="6" t="str">
        <f t="shared" si="9"/>
        <v>0x400003EE</v>
      </c>
      <c r="AK100" s="6">
        <f t="shared" si="10"/>
        <v>1073742830</v>
      </c>
      <c r="AL100" s="6" t="str">
        <f t="shared" si="11"/>
        <v>0x400003EE</v>
      </c>
      <c r="AM100" s="6" t="str">
        <f t="shared" si="12"/>
        <v>0x400003EE</v>
      </c>
      <c r="AN100" s="6">
        <f t="shared" si="13"/>
        <v>32</v>
      </c>
    </row>
    <row r="101" spans="1:43">
      <c r="A101" s="7" t="s">
        <v>1536</v>
      </c>
      <c r="B101" s="7" t="s">
        <v>1537</v>
      </c>
      <c r="C101" s="7" t="s">
        <v>29</v>
      </c>
      <c r="D101" s="7">
        <v>64</v>
      </c>
      <c r="E101" s="61" t="s">
        <v>30</v>
      </c>
      <c r="F101" s="7" t="s">
        <v>31</v>
      </c>
      <c r="G101" s="7"/>
      <c r="H101" s="7"/>
      <c r="I101" s="203" t="s">
        <v>1346</v>
      </c>
      <c r="J101" s="206"/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1</v>
      </c>
      <c r="W101" s="6">
        <v>0</v>
      </c>
      <c r="X101" s="6">
        <v>0</v>
      </c>
      <c r="Y101" s="6">
        <v>0</v>
      </c>
      <c r="Z101" s="89"/>
      <c r="AA101" s="38">
        <v>26</v>
      </c>
      <c r="AB101" s="117">
        <v>65535</v>
      </c>
      <c r="AC101" s="117">
        <v>511</v>
      </c>
      <c r="AD101" s="18">
        <v>10</v>
      </c>
      <c r="AE101" s="117">
        <v>65535</v>
      </c>
      <c r="AF101" s="18"/>
      <c r="AG101" s="96"/>
      <c r="AH101" s="224">
        <f>IF(Y100=1,MAX($AH$6:AH100)+1,IF(AH100="#",0,IF(AND(D100=D101,M100=M101,N100=N101,O100=O101,P100=P101,Q100=Q101,R100=R101,S100=S101,T100=T101,U100=U101,V100=V101,W100=W101,X100=X101,Y100=Y101,HEX2DEC(SUBSTITUTE(AJ100,"0x",""))&lt;HEX2DEC(SUBSTITUTE(AJ101,"0x",""))),"",MAX($AH$6:AH100)+1)))</f>
        <v>59</v>
      </c>
      <c r="AI101" s="225">
        <f>IF(MAX(INDEX($AH:$AH,ROW($AI$6)):INDEX($AH:$AH,ROW(AI101)))+1=AH102,MAX(INDEX($AH:$AH,ROW($AI$6)):INDEX($AH:$AH,ROW(AI101))),"")</f>
        <v>59</v>
      </c>
      <c r="AJ101" s="6" t="str">
        <f t="shared" si="9"/>
        <v>0x400003F1</v>
      </c>
      <c r="AK101" s="6">
        <f t="shared" si="10"/>
        <v>1073742833</v>
      </c>
      <c r="AL101" s="6" t="str">
        <f t="shared" si="11"/>
        <v>0x400003F1</v>
      </c>
      <c r="AM101" s="6" t="str">
        <f t="shared" si="12"/>
        <v>0x400003F1</v>
      </c>
      <c r="AN101" s="6">
        <f t="shared" si="13"/>
        <v>64</v>
      </c>
    </row>
    <row r="102" spans="1:43">
      <c r="A102" s="7" t="s">
        <v>1538</v>
      </c>
      <c r="B102" s="7" t="s">
        <v>1539</v>
      </c>
      <c r="C102" s="7" t="s">
        <v>29</v>
      </c>
      <c r="D102" s="7">
        <v>8</v>
      </c>
      <c r="E102" s="61">
        <v>1000</v>
      </c>
      <c r="F102" s="7" t="s">
        <v>31</v>
      </c>
      <c r="G102" s="7" t="s">
        <v>1346</v>
      </c>
      <c r="H102" s="7"/>
      <c r="I102" s="203" t="s">
        <v>7</v>
      </c>
      <c r="J102" s="206"/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1</v>
      </c>
      <c r="X102" s="6">
        <v>0</v>
      </c>
      <c r="Y102" s="6">
        <v>0</v>
      </c>
      <c r="Z102" s="89"/>
      <c r="AA102" s="38">
        <v>19</v>
      </c>
      <c r="AB102" s="117">
        <v>65535</v>
      </c>
      <c r="AC102" s="117">
        <v>511</v>
      </c>
      <c r="AD102" s="18">
        <v>3</v>
      </c>
      <c r="AE102" s="117">
        <v>65535</v>
      </c>
      <c r="AF102" s="18"/>
      <c r="AG102" s="96"/>
      <c r="AH102" s="224">
        <f>IF(Y101=1,MAX($AH$6:AH101)+1,IF(AH101="#",0,IF(AND(D101=D102,M101=M102,N101=N102,O101=O102,P101=P102,Q101=Q102,R101=R102,S101=S102,T101=T102,U101=U102,V101=V102,W101=W102,X101=X102,Y101=Y102,HEX2DEC(SUBSTITUTE(AJ101,"0x",""))&lt;HEX2DEC(SUBSTITUTE(AJ102,"0x",""))),"",MAX($AH$6:AH101)+1)))</f>
        <v>60</v>
      </c>
      <c r="AI102" s="225">
        <f>IF(MAX(INDEX($AH:$AH,ROW($AI$6)):INDEX($AH:$AH,ROW(AI102)))+1=AH103,MAX(INDEX($AH:$AH,ROW($AI$6)):INDEX($AH:$AH,ROW(AI102))),"")</f>
        <v>60</v>
      </c>
      <c r="AJ102" s="6" t="str">
        <f t="shared" si="9"/>
        <v>0x400003F7</v>
      </c>
      <c r="AK102" s="6">
        <f t="shared" si="10"/>
        <v>1073742839</v>
      </c>
      <c r="AL102" s="6" t="str">
        <f t="shared" si="11"/>
        <v>0x400003F7</v>
      </c>
      <c r="AM102" s="6" t="str">
        <f t="shared" ref="AM102:AM135" si="14">IF(AH102&lt;&gt;"",VLOOKUP(AH102,$AI$6:$AJ$135,2,TRUE),"")</f>
        <v>0x400003F7</v>
      </c>
      <c r="AN102" s="6">
        <f t="shared" si="13"/>
        <v>8</v>
      </c>
    </row>
    <row r="103" spans="1:43">
      <c r="A103" s="7" t="s">
        <v>1540</v>
      </c>
      <c r="B103" s="7" t="s">
        <v>1541</v>
      </c>
      <c r="C103" s="7" t="s">
        <v>29</v>
      </c>
      <c r="D103" s="7">
        <v>8</v>
      </c>
      <c r="E103" s="61">
        <v>1000</v>
      </c>
      <c r="F103" s="7" t="s">
        <v>31</v>
      </c>
      <c r="G103" s="7"/>
      <c r="H103" s="7"/>
      <c r="I103" s="203" t="s">
        <v>1346</v>
      </c>
      <c r="J103" s="206"/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1</v>
      </c>
      <c r="W103" s="6">
        <v>0</v>
      </c>
      <c r="X103" s="6">
        <v>0</v>
      </c>
      <c r="Y103" s="6">
        <v>0</v>
      </c>
      <c r="Z103" s="89"/>
      <c r="AA103" s="38">
        <v>26</v>
      </c>
      <c r="AB103" s="117">
        <v>65535</v>
      </c>
      <c r="AC103" s="117">
        <v>511</v>
      </c>
      <c r="AD103" s="18">
        <v>10</v>
      </c>
      <c r="AE103" s="117">
        <v>65535</v>
      </c>
      <c r="AF103" s="18"/>
      <c r="AG103" s="101"/>
      <c r="AH103" s="224">
        <f>IF(Y102=1,MAX($AH$6:AH102)+1,IF(AH102="#",0,IF(AND(D102=D103,M102=M103,N102=N103,O102=O103,P102=P103,Q102=Q103,R102=R103,S102=S103,T102=T103,U102=U103,V102=V103,W102=W103,X102=X103,Y102=Y103,HEX2DEC(SUBSTITUTE(AJ102,"0x",""))&lt;HEX2DEC(SUBSTITUTE(AJ103,"0x",""))),"",MAX($AH$6:AH102)+1)))</f>
        <v>61</v>
      </c>
      <c r="AI103" s="225">
        <f>IF(MAX(INDEX($AH:$AH,ROW($AI$6)):INDEX($AH:$AH,ROW(AI103)))+1=AH104,MAX(INDEX($AH:$AH,ROW($AI$6)):INDEX($AH:$AH,ROW(AI103))),"")</f>
        <v>61</v>
      </c>
      <c r="AJ103" s="6" t="str">
        <f>"0x40000"&amp;B103</f>
        <v>0x400003FD</v>
      </c>
      <c r="AK103" s="6">
        <f t="shared" si="10"/>
        <v>1073742845</v>
      </c>
      <c r="AL103" s="6" t="str">
        <f t="shared" si="11"/>
        <v>0x400003FD</v>
      </c>
      <c r="AM103" s="6" t="str">
        <f t="shared" si="14"/>
        <v>0x400003FD</v>
      </c>
      <c r="AN103" s="6">
        <f t="shared" si="13"/>
        <v>8</v>
      </c>
    </row>
    <row r="104" spans="1:43" s="227" customFormat="1">
      <c r="A104" s="208" t="s">
        <v>1457</v>
      </c>
      <c r="B104" s="208">
        <v>300</v>
      </c>
      <c r="C104" s="208">
        <v>0</v>
      </c>
      <c r="D104" s="208">
        <v>2</v>
      </c>
      <c r="E104" s="209">
        <v>1000</v>
      </c>
      <c r="F104" s="208">
        <v>0</v>
      </c>
      <c r="G104" s="208"/>
      <c r="H104" s="208"/>
      <c r="I104" s="210"/>
      <c r="J104" s="211" t="s">
        <v>1346</v>
      </c>
      <c r="K104" s="212">
        <v>0</v>
      </c>
      <c r="L104" s="212">
        <v>0</v>
      </c>
      <c r="M104" s="212">
        <v>0</v>
      </c>
      <c r="N104" s="212">
        <v>0</v>
      </c>
      <c r="O104" s="212">
        <v>0</v>
      </c>
      <c r="P104" s="212">
        <v>0</v>
      </c>
      <c r="Q104" s="212">
        <v>0</v>
      </c>
      <c r="R104" s="212">
        <v>0</v>
      </c>
      <c r="S104" s="212">
        <v>0</v>
      </c>
      <c r="T104" s="212">
        <v>0</v>
      </c>
      <c r="U104" s="212">
        <v>1</v>
      </c>
      <c r="V104" s="212">
        <v>0</v>
      </c>
      <c r="W104" s="212">
        <v>0</v>
      </c>
      <c r="X104" s="212">
        <v>0</v>
      </c>
      <c r="Y104" s="212">
        <v>0</v>
      </c>
      <c r="Z104" s="213"/>
      <c r="AA104" s="214">
        <v>28</v>
      </c>
      <c r="AB104" s="117">
        <v>65535</v>
      </c>
      <c r="AC104" s="117">
        <v>511</v>
      </c>
      <c r="AD104" s="215">
        <v>12</v>
      </c>
      <c r="AE104" s="117">
        <v>65535</v>
      </c>
      <c r="AF104" s="215"/>
      <c r="AG104" s="226"/>
      <c r="AH104" s="224">
        <f>IF(Y103=1,MAX($AH$6:AH103)+1,IF(AH103="#",0,IF(AND(D103=D104,M103=M104,N103=N104,O103=O104,P103=P104,Q103=Q104,R103=R104,S103=S104,T103=T104,U103=U104,V103=V104,W103=W104,X103=X104,Y103=Y104,HEX2DEC(SUBSTITUTE(AJ103,"0x",""))&lt;HEX2DEC(SUBSTITUTE(AJ104,"0x",""))),"",MAX($AH$6:AH103)+1)))</f>
        <v>62</v>
      </c>
      <c r="AI104" s="225">
        <f>IF(MAX(INDEX($AH:$AH,ROW($AI$6)):INDEX($AH:$AH,ROW(AI104)))+1=AH105,MAX(INDEX($AH:$AH,ROW($AI$6)):INDEX($AH:$AH,ROW(AI104))),"")</f>
        <v>62</v>
      </c>
      <c r="AJ104" s="212" t="str">
        <f>"0x00000"&amp;B104</f>
        <v>0x00000300</v>
      </c>
      <c r="AK104" s="212">
        <f t="shared" si="10"/>
        <v>768</v>
      </c>
      <c r="AL104" s="212" t="str">
        <f t="shared" si="11"/>
        <v>0x00000300</v>
      </c>
      <c r="AM104" s="212" t="str">
        <f t="shared" si="14"/>
        <v>0x00000300</v>
      </c>
      <c r="AN104" s="212">
        <f t="shared" si="13"/>
        <v>2</v>
      </c>
      <c r="AO104" s="216"/>
      <c r="AP104" s="216"/>
      <c r="AQ104" s="216"/>
    </row>
    <row r="105" spans="1:43">
      <c r="A105" s="7" t="s">
        <v>1542</v>
      </c>
      <c r="B105" s="7" t="s">
        <v>1543</v>
      </c>
      <c r="C105" s="7" t="s">
        <v>29</v>
      </c>
      <c r="D105" s="7">
        <v>8</v>
      </c>
      <c r="E105" s="61">
        <v>1000</v>
      </c>
      <c r="F105" s="7" t="s">
        <v>31</v>
      </c>
      <c r="G105" s="7" t="s">
        <v>1346</v>
      </c>
      <c r="H105" s="7"/>
      <c r="I105" s="203" t="s">
        <v>7</v>
      </c>
      <c r="J105" s="206"/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0</v>
      </c>
      <c r="Y105" s="6">
        <v>0</v>
      </c>
      <c r="Z105" s="89"/>
      <c r="AA105" s="38">
        <v>20</v>
      </c>
      <c r="AB105" s="117">
        <v>65535</v>
      </c>
      <c r="AC105" s="117">
        <v>511</v>
      </c>
      <c r="AD105" s="18">
        <v>4</v>
      </c>
      <c r="AE105" s="117">
        <v>65535</v>
      </c>
      <c r="AF105" s="18"/>
      <c r="AG105" s="101"/>
      <c r="AH105" s="224">
        <f>IF(Y104=1,MAX($AH$6:AH104)+1,IF(AH104="#",0,IF(AND(D104=D105,M104=M105,N104=N105,O104=O105,P104=P105,Q104=Q105,R104=R105,S104=S105,T104=T105,U104=U105,V104=V105,W104=W105,X104=X105,Y104=Y105,HEX2DEC(SUBSTITUTE(AJ104,"0x",""))&lt;HEX2DEC(SUBSTITUTE(AJ105,"0x",""))),"",MAX($AH$6:AH104)+1)))</f>
        <v>63</v>
      </c>
      <c r="AI105" s="225" t="str">
        <f>IF(MAX(INDEX($AH:$AH,ROW($AI$6)):INDEX($AH:$AH,ROW(AI105)))+1=AH106,MAX(INDEX($AH:$AH,ROW($AI$6)):INDEX($AH:$AH,ROW(AI105))),"")</f>
        <v/>
      </c>
      <c r="AJ105" s="6" t="str">
        <f t="shared" ref="AJ105" si="15">"0x40000"&amp;B105</f>
        <v>0x4000041A</v>
      </c>
      <c r="AK105" s="6">
        <f t="shared" si="10"/>
        <v>1073742874</v>
      </c>
      <c r="AL105" s="6" t="str">
        <f t="shared" si="11"/>
        <v>0x4000041A</v>
      </c>
      <c r="AM105" s="6" t="str">
        <f t="shared" si="14"/>
        <v>0x40000427</v>
      </c>
      <c r="AN105" s="6">
        <f t="shared" si="13"/>
        <v>8</v>
      </c>
    </row>
    <row r="106" spans="1:43">
      <c r="A106" s="7" t="s">
        <v>1544</v>
      </c>
      <c r="B106" s="7" t="s">
        <v>1545</v>
      </c>
      <c r="C106" s="7" t="s">
        <v>29</v>
      </c>
      <c r="D106" s="7">
        <v>8</v>
      </c>
      <c r="E106" s="61">
        <v>1000</v>
      </c>
      <c r="F106" s="7" t="s">
        <v>31</v>
      </c>
      <c r="G106" s="7" t="s">
        <v>1346</v>
      </c>
      <c r="H106" s="7"/>
      <c r="I106" s="203" t="s">
        <v>7</v>
      </c>
      <c r="J106" s="206"/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1</v>
      </c>
      <c r="X106" s="6">
        <v>0</v>
      </c>
      <c r="Y106" s="6">
        <v>0</v>
      </c>
      <c r="Z106" s="89"/>
      <c r="AA106" s="38">
        <v>20</v>
      </c>
      <c r="AB106" s="117">
        <v>65535</v>
      </c>
      <c r="AC106" s="117">
        <v>511</v>
      </c>
      <c r="AD106" s="18">
        <v>4</v>
      </c>
      <c r="AE106" s="117">
        <v>65535</v>
      </c>
      <c r="AF106" s="18"/>
      <c r="AG106" s="96"/>
      <c r="AH106" s="224" t="str">
        <f>IF(Y105=1,MAX($AH$6:AH105)+1,IF(AH105="#",0,IF(AND(D105=D106,M105=M106,N105=N106,O105=O106,P105=P106,Q105=Q106,R105=R106,S105=S106,T105=T106,U105=U106,V105=V106,W105=W106,X105=X106,Y105=Y106,HEX2DEC(SUBSTITUTE(AJ105,"0x",""))&lt;HEX2DEC(SUBSTITUTE(AJ106,"0x",""))),"",MAX($AH$6:AH105)+1)))</f>
        <v/>
      </c>
      <c r="AI106" s="225">
        <f>IF(MAX(INDEX($AH:$AH,ROW($AI$6)):INDEX($AH:$AH,ROW(AI106)))+1=AH107,MAX(INDEX($AH:$AH,ROW($AI$6)):INDEX($AH:$AH,ROW(AI106))),"")</f>
        <v>63</v>
      </c>
      <c r="AJ106" s="6" t="str">
        <f t="shared" si="9"/>
        <v>0x40000427</v>
      </c>
      <c r="AK106" s="6">
        <f t="shared" si="10"/>
        <v>1073742887</v>
      </c>
      <c r="AL106" s="6" t="str">
        <f t="shared" si="11"/>
        <v/>
      </c>
      <c r="AM106" s="6" t="str">
        <f t="shared" si="14"/>
        <v/>
      </c>
      <c r="AN106" s="6" t="str">
        <f t="shared" si="13"/>
        <v/>
      </c>
    </row>
    <row r="107" spans="1:43">
      <c r="A107" s="7" t="s">
        <v>1546</v>
      </c>
      <c r="B107" s="7" t="s">
        <v>1547</v>
      </c>
      <c r="C107" s="7" t="s">
        <v>29</v>
      </c>
      <c r="D107" s="7">
        <v>8</v>
      </c>
      <c r="E107" s="61">
        <v>1000</v>
      </c>
      <c r="F107" s="7" t="s">
        <v>31</v>
      </c>
      <c r="G107" s="7"/>
      <c r="H107" s="7"/>
      <c r="I107" s="203" t="s">
        <v>1346</v>
      </c>
      <c r="J107" s="206"/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1</v>
      </c>
      <c r="W107" s="6">
        <v>0</v>
      </c>
      <c r="X107" s="6">
        <v>0</v>
      </c>
      <c r="Y107" s="6">
        <v>0</v>
      </c>
      <c r="Z107" s="89"/>
      <c r="AA107" s="38">
        <v>27</v>
      </c>
      <c r="AB107" s="117">
        <v>65535</v>
      </c>
      <c r="AC107" s="117">
        <v>511</v>
      </c>
      <c r="AD107" s="18">
        <v>11</v>
      </c>
      <c r="AE107" s="117">
        <v>65535</v>
      </c>
      <c r="AF107" s="18"/>
      <c r="AG107" s="96"/>
      <c r="AH107" s="224">
        <f>IF(Y106=1,MAX($AH$6:AH106)+1,IF(AH106="#",0,IF(AND(D106=D107,M106=M107,N106=N107,O106=O107,P106=P107,Q106=Q107,R106=R107,S106=S107,T106=T107,U106=U107,V106=V107,W106=W107,X106=X107,Y106=Y107,HEX2DEC(SUBSTITUTE(AJ106,"0x",""))&lt;HEX2DEC(SUBSTITUTE(AJ107,"0x",""))),"",MAX($AH$6:AH106)+1)))</f>
        <v>64</v>
      </c>
      <c r="AI107" s="225">
        <f>IF(MAX(INDEX($AH:$AH,ROW($AI$6)):INDEX($AH:$AH,ROW(AI107)))+1=AH108,MAX(INDEX($AH:$AH,ROW($AI$6)):INDEX($AH:$AH,ROW(AI107))),"")</f>
        <v>64</v>
      </c>
      <c r="AJ107" s="6" t="str">
        <f t="shared" si="9"/>
        <v>0x4000042E</v>
      </c>
      <c r="AK107" s="6">
        <f t="shared" si="10"/>
        <v>1073742894</v>
      </c>
      <c r="AL107" s="6" t="str">
        <f t="shared" si="11"/>
        <v>0x4000042E</v>
      </c>
      <c r="AM107" s="6" t="str">
        <f t="shared" si="14"/>
        <v>0x4000042E</v>
      </c>
      <c r="AN107" s="6">
        <f t="shared" si="13"/>
        <v>8</v>
      </c>
    </row>
    <row r="108" spans="1:43">
      <c r="A108" s="7" t="s">
        <v>1548</v>
      </c>
      <c r="B108" s="7" t="s">
        <v>1549</v>
      </c>
      <c r="C108" s="7" t="s">
        <v>29</v>
      </c>
      <c r="D108" s="7">
        <v>8</v>
      </c>
      <c r="E108" s="61">
        <v>1000</v>
      </c>
      <c r="F108" s="7" t="s">
        <v>31</v>
      </c>
      <c r="G108" s="7" t="s">
        <v>1346</v>
      </c>
      <c r="H108" s="7"/>
      <c r="I108" s="203" t="s">
        <v>7</v>
      </c>
      <c r="J108" s="206"/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1</v>
      </c>
      <c r="X108" s="6">
        <v>0</v>
      </c>
      <c r="Y108" s="6">
        <v>0</v>
      </c>
      <c r="Z108" s="89"/>
      <c r="AA108" s="38">
        <v>20</v>
      </c>
      <c r="AB108" s="117">
        <v>65535</v>
      </c>
      <c r="AC108" s="117">
        <v>511</v>
      </c>
      <c r="AD108" s="18">
        <v>4</v>
      </c>
      <c r="AE108" s="117">
        <v>65535</v>
      </c>
      <c r="AF108" s="18"/>
      <c r="AG108" s="96"/>
      <c r="AH108" s="224">
        <f>IF(Y107=1,MAX($AH$6:AH107)+1,IF(AH107="#",0,IF(AND(D107=D108,M107=M108,N107=N108,O107=O108,P107=P108,Q107=Q108,R107=R108,S107=S108,T107=T108,U107=U108,V107=V108,W107=W108,X107=X108,Y107=Y108,HEX2DEC(SUBSTITUTE(AJ107,"0x",""))&lt;HEX2DEC(SUBSTITUTE(AJ108,"0x",""))),"",MAX($AH$6:AH107)+1)))</f>
        <v>65</v>
      </c>
      <c r="AI108" s="225" t="str">
        <f>IF(MAX(INDEX($AH:$AH,ROW($AI$6)):INDEX($AH:$AH,ROW(AI108)))+1=AH109,MAX(INDEX($AH:$AH,ROW($AI$6)):INDEX($AH:$AH,ROW(AI108))),"")</f>
        <v/>
      </c>
      <c r="AJ108" s="6" t="str">
        <f t="shared" si="9"/>
        <v>0x40000434</v>
      </c>
      <c r="AK108" s="6">
        <f t="shared" si="10"/>
        <v>1073742900</v>
      </c>
      <c r="AL108" s="6" t="str">
        <f t="shared" si="11"/>
        <v>0x40000434</v>
      </c>
      <c r="AM108" s="6" t="str">
        <f t="shared" si="14"/>
        <v>0x40000437</v>
      </c>
      <c r="AN108" s="6">
        <f t="shared" si="13"/>
        <v>8</v>
      </c>
    </row>
    <row r="109" spans="1:43">
      <c r="A109" s="7" t="s">
        <v>1550</v>
      </c>
      <c r="B109" s="7" t="s">
        <v>1551</v>
      </c>
      <c r="C109" s="7" t="s">
        <v>29</v>
      </c>
      <c r="D109" s="7">
        <v>8</v>
      </c>
      <c r="E109" s="61">
        <v>1000</v>
      </c>
      <c r="F109" s="7" t="s">
        <v>31</v>
      </c>
      <c r="G109" s="7" t="s">
        <v>1346</v>
      </c>
      <c r="H109" s="7"/>
      <c r="I109" s="203" t="s">
        <v>7</v>
      </c>
      <c r="J109" s="206"/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1</v>
      </c>
      <c r="X109" s="6">
        <v>0</v>
      </c>
      <c r="Y109" s="6">
        <v>0</v>
      </c>
      <c r="Z109" s="89"/>
      <c r="AA109" s="38">
        <v>20</v>
      </c>
      <c r="AB109" s="117">
        <v>65535</v>
      </c>
      <c r="AC109" s="117">
        <v>511</v>
      </c>
      <c r="AD109" s="18">
        <v>4</v>
      </c>
      <c r="AE109" s="117">
        <v>65535</v>
      </c>
      <c r="AF109" s="18"/>
      <c r="AG109" s="96"/>
      <c r="AH109" s="224" t="str">
        <f>IF(Y108=1,MAX($AH$6:AH108)+1,IF(AH108="#",0,IF(AND(D108=D109,M108=M109,N108=N109,O108=O109,P108=P109,Q108=Q109,R108=R109,S108=S109,T108=T109,U108=U109,V108=V109,W108=W109,X108=X109,Y108=Y109,HEX2DEC(SUBSTITUTE(AJ108,"0x",""))&lt;HEX2DEC(SUBSTITUTE(AJ109,"0x",""))),"",MAX($AH$6:AH108)+1)))</f>
        <v/>
      </c>
      <c r="AI109" s="225" t="str">
        <f>IF(MAX(INDEX($AH:$AH,ROW($AI$6)):INDEX($AH:$AH,ROW(AI109)))+1=AH110,MAX(INDEX($AH:$AH,ROW($AI$6)):INDEX($AH:$AH,ROW(AI109))),"")</f>
        <v/>
      </c>
      <c r="AJ109" s="6" t="str">
        <f t="shared" si="9"/>
        <v>0x40000435</v>
      </c>
      <c r="AK109" s="6">
        <f t="shared" si="10"/>
        <v>1073742901</v>
      </c>
      <c r="AL109" s="6" t="str">
        <f t="shared" si="11"/>
        <v/>
      </c>
      <c r="AM109" s="6" t="str">
        <f t="shared" si="14"/>
        <v/>
      </c>
      <c r="AN109" s="6" t="str">
        <f t="shared" si="13"/>
        <v/>
      </c>
    </row>
    <row r="110" spans="1:43">
      <c r="A110" s="7" t="s">
        <v>1552</v>
      </c>
      <c r="B110" s="7" t="s">
        <v>1553</v>
      </c>
      <c r="C110" s="7" t="s">
        <v>29</v>
      </c>
      <c r="D110" s="7">
        <v>8</v>
      </c>
      <c r="E110" s="61">
        <v>1000</v>
      </c>
      <c r="F110" s="7" t="s">
        <v>31</v>
      </c>
      <c r="G110" s="7" t="s">
        <v>1346</v>
      </c>
      <c r="H110" s="7"/>
      <c r="I110" s="203" t="s">
        <v>7</v>
      </c>
      <c r="J110" s="206"/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1</v>
      </c>
      <c r="X110" s="6">
        <v>0</v>
      </c>
      <c r="Y110" s="6">
        <v>0</v>
      </c>
      <c r="Z110" s="89"/>
      <c r="AA110" s="38">
        <v>20</v>
      </c>
      <c r="AB110" s="117">
        <v>65535</v>
      </c>
      <c r="AC110" s="117">
        <v>511</v>
      </c>
      <c r="AD110" s="18">
        <v>4</v>
      </c>
      <c r="AE110" s="117">
        <v>65535</v>
      </c>
      <c r="AF110" s="18"/>
      <c r="AG110" s="96"/>
      <c r="AH110" s="224" t="str">
        <f>IF(Y109=1,MAX($AH$6:AH109)+1,IF(AH109="#",0,IF(AND(D109=D110,M109=M110,N109=N110,O109=O110,P109=P110,Q109=Q110,R109=R110,S109=S110,T109=T110,U109=U110,V109=V110,W109=W110,X109=X110,Y109=Y110,HEX2DEC(SUBSTITUTE(AJ109,"0x",""))&lt;HEX2DEC(SUBSTITUTE(AJ110,"0x",""))),"",MAX($AH$6:AH109)+1)))</f>
        <v/>
      </c>
      <c r="AI110" s="225" t="str">
        <f>IF(MAX(INDEX($AH:$AH,ROW($AI$6)):INDEX($AH:$AH,ROW(AI110)))+1=AH111,MAX(INDEX($AH:$AH,ROW($AI$6)):INDEX($AH:$AH,ROW(AI110))),"")</f>
        <v/>
      </c>
      <c r="AJ110" s="6" t="str">
        <f t="shared" si="9"/>
        <v>0x40000436</v>
      </c>
      <c r="AK110" s="6">
        <f t="shared" si="10"/>
        <v>1073742902</v>
      </c>
      <c r="AL110" s="6" t="str">
        <f t="shared" si="11"/>
        <v/>
      </c>
      <c r="AM110" s="6" t="str">
        <f t="shared" si="14"/>
        <v/>
      </c>
      <c r="AN110" s="6" t="str">
        <f t="shared" si="13"/>
        <v/>
      </c>
    </row>
    <row r="111" spans="1:43">
      <c r="A111" s="7" t="s">
        <v>1554</v>
      </c>
      <c r="B111" s="7" t="s">
        <v>1555</v>
      </c>
      <c r="C111" s="7" t="s">
        <v>29</v>
      </c>
      <c r="D111" s="7">
        <v>8</v>
      </c>
      <c r="E111" s="61">
        <v>1000</v>
      </c>
      <c r="F111" s="7" t="s">
        <v>31</v>
      </c>
      <c r="G111" s="7" t="s">
        <v>1346</v>
      </c>
      <c r="H111" s="7"/>
      <c r="I111" s="203" t="s">
        <v>7</v>
      </c>
      <c r="J111" s="206"/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1</v>
      </c>
      <c r="X111" s="6">
        <v>0</v>
      </c>
      <c r="Y111" s="6">
        <v>0</v>
      </c>
      <c r="Z111" s="89"/>
      <c r="AA111" s="38">
        <v>20</v>
      </c>
      <c r="AB111" s="117">
        <v>65535</v>
      </c>
      <c r="AC111" s="117">
        <v>511</v>
      </c>
      <c r="AD111" s="18">
        <v>4</v>
      </c>
      <c r="AE111" s="117">
        <v>65535</v>
      </c>
      <c r="AF111" s="18"/>
      <c r="AG111" s="96"/>
      <c r="AH111" s="224" t="str">
        <f>IF(Y110=1,MAX($AH$6:AH110)+1,IF(AH110="#",0,IF(AND(D110=D111,M110=M111,N110=N111,O110=O111,P110=P111,Q110=Q111,R110=R111,S110=S111,T110=T111,U110=U111,V110=V111,W110=W111,X110=X111,Y110=Y111,HEX2DEC(SUBSTITUTE(AJ110,"0x",""))&lt;HEX2DEC(SUBSTITUTE(AJ111,"0x",""))),"",MAX($AH$6:AH110)+1)))</f>
        <v/>
      </c>
      <c r="AI111" s="225">
        <f>IF(MAX(INDEX($AH:$AH,ROW($AI$6)):INDEX($AH:$AH,ROW(AI111)))+1=AH112,MAX(INDEX($AH:$AH,ROW($AI$6)):INDEX($AH:$AH,ROW(AI111))),"")</f>
        <v>65</v>
      </c>
      <c r="AJ111" s="6" t="str">
        <f t="shared" si="9"/>
        <v>0x40000437</v>
      </c>
      <c r="AK111" s="6">
        <f t="shared" si="10"/>
        <v>1073742903</v>
      </c>
      <c r="AL111" s="6" t="str">
        <f t="shared" si="11"/>
        <v/>
      </c>
      <c r="AM111" s="6" t="str">
        <f t="shared" si="14"/>
        <v/>
      </c>
      <c r="AN111" s="6" t="str">
        <f t="shared" si="13"/>
        <v/>
      </c>
    </row>
    <row r="112" spans="1:43">
      <c r="A112" s="7" t="s">
        <v>1556</v>
      </c>
      <c r="B112" s="7" t="s">
        <v>1557</v>
      </c>
      <c r="C112" s="7" t="s">
        <v>29</v>
      </c>
      <c r="D112" s="7">
        <v>32</v>
      </c>
      <c r="E112" s="61">
        <v>1000</v>
      </c>
      <c r="F112" s="7" t="s">
        <v>31</v>
      </c>
      <c r="G112" s="7" t="s">
        <v>1346</v>
      </c>
      <c r="H112" s="7"/>
      <c r="I112" s="203" t="s">
        <v>7</v>
      </c>
      <c r="J112" s="206"/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1</v>
      </c>
      <c r="X112" s="6">
        <v>0</v>
      </c>
      <c r="Y112" s="6">
        <v>0</v>
      </c>
      <c r="Z112" s="89"/>
      <c r="AA112" s="38">
        <v>20</v>
      </c>
      <c r="AB112" s="117">
        <v>65535</v>
      </c>
      <c r="AC112" s="117">
        <v>511</v>
      </c>
      <c r="AD112" s="18">
        <v>4</v>
      </c>
      <c r="AE112" s="117">
        <v>65535</v>
      </c>
      <c r="AF112" s="18"/>
      <c r="AG112" s="96"/>
      <c r="AH112" s="224">
        <f>IF(Y111=1,MAX($AH$6:AH111)+1,IF(AH111="#",0,IF(AND(D111=D112,M111=M112,N111=N112,O111=O112,P111=P112,Q111=Q112,R111=R112,S111=S112,T111=T112,U111=U112,V111=V112,W111=W112,X111=X112,Y111=Y112,HEX2DEC(SUBSTITUTE(AJ111,"0x",""))&lt;HEX2DEC(SUBSTITUTE(AJ112,"0x",""))),"",MAX($AH$6:AH111)+1)))</f>
        <v>66</v>
      </c>
      <c r="AI112" s="225">
        <f>IF(MAX(INDEX($AH:$AH,ROW($AI$6)):INDEX($AH:$AH,ROW(AI112)))+1=AH113,MAX(INDEX($AH:$AH,ROW($AI$6)):INDEX($AH:$AH,ROW(AI112))),"")</f>
        <v>66</v>
      </c>
      <c r="AJ112" s="6" t="str">
        <f t="shared" si="9"/>
        <v>0x4000043E</v>
      </c>
      <c r="AK112" s="6">
        <f t="shared" si="10"/>
        <v>1073742910</v>
      </c>
      <c r="AL112" s="6" t="str">
        <f t="shared" si="11"/>
        <v>0x4000043E</v>
      </c>
      <c r="AM112" s="6" t="str">
        <f t="shared" si="14"/>
        <v>0x4000043E</v>
      </c>
      <c r="AN112" s="6">
        <f t="shared" si="13"/>
        <v>32</v>
      </c>
    </row>
    <row r="113" spans="1:43">
      <c r="A113" s="7" t="s">
        <v>1558</v>
      </c>
      <c r="B113" s="7" t="s">
        <v>1559</v>
      </c>
      <c r="C113" s="7" t="s">
        <v>29</v>
      </c>
      <c r="D113" s="7">
        <v>8</v>
      </c>
      <c r="E113" s="61">
        <v>1000</v>
      </c>
      <c r="F113" s="7" t="s">
        <v>31</v>
      </c>
      <c r="G113" s="7" t="s">
        <v>1346</v>
      </c>
      <c r="H113" s="7"/>
      <c r="I113" s="203" t="s">
        <v>7</v>
      </c>
      <c r="J113" s="206"/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1</v>
      </c>
      <c r="X113" s="6">
        <v>0</v>
      </c>
      <c r="Y113" s="6">
        <v>0</v>
      </c>
      <c r="Z113" s="89"/>
      <c r="AA113" s="38">
        <v>20</v>
      </c>
      <c r="AB113" s="117">
        <v>65535</v>
      </c>
      <c r="AC113" s="117">
        <v>511</v>
      </c>
      <c r="AD113" s="18">
        <v>4</v>
      </c>
      <c r="AE113" s="117">
        <v>65535</v>
      </c>
      <c r="AF113" s="18"/>
      <c r="AG113" s="96"/>
      <c r="AH113" s="224">
        <f>IF(Y112=1,MAX($AH$6:AH112)+1,IF(AH112="#",0,IF(AND(D112=D113,M112=M113,N112=N113,O112=O113,P112=P113,Q112=Q113,R112=R113,S112=S113,T112=T113,U112=U113,V112=V113,W112=W113,X112=X113,Y112=Y113,HEX2DEC(SUBSTITUTE(AJ112,"0x",""))&lt;HEX2DEC(SUBSTITUTE(AJ113,"0x",""))),"",MAX($AH$6:AH112)+1)))</f>
        <v>67</v>
      </c>
      <c r="AI113" s="225">
        <f>IF(MAX(INDEX($AH:$AH,ROW($AI$6)):INDEX($AH:$AH,ROW(AI113)))+1=AH114,MAX(INDEX($AH:$AH,ROW($AI$6)):INDEX($AH:$AH,ROW(AI113))),"")</f>
        <v>67</v>
      </c>
      <c r="AJ113" s="6" t="str">
        <f t="shared" si="9"/>
        <v>0x40000490</v>
      </c>
      <c r="AK113" s="6">
        <f t="shared" si="10"/>
        <v>1073742992</v>
      </c>
      <c r="AL113" s="6" t="str">
        <f t="shared" si="11"/>
        <v>0x40000490</v>
      </c>
      <c r="AM113" s="6" t="str">
        <f t="shared" si="14"/>
        <v>0x40000490</v>
      </c>
      <c r="AN113" s="6">
        <f t="shared" si="13"/>
        <v>8</v>
      </c>
    </row>
    <row r="114" spans="1:43">
      <c r="A114" s="7" t="s">
        <v>1560</v>
      </c>
      <c r="B114" s="7" t="s">
        <v>1561</v>
      </c>
      <c r="C114" s="7" t="s">
        <v>29</v>
      </c>
      <c r="D114" s="7">
        <v>32</v>
      </c>
      <c r="E114" s="61">
        <v>1000</v>
      </c>
      <c r="F114" s="7" t="s">
        <v>31</v>
      </c>
      <c r="G114" s="7" t="s">
        <v>1346</v>
      </c>
      <c r="H114" s="7"/>
      <c r="I114" s="203" t="s">
        <v>7</v>
      </c>
      <c r="J114" s="206"/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</v>
      </c>
      <c r="X114" s="6">
        <v>0</v>
      </c>
      <c r="Y114" s="6">
        <v>0</v>
      </c>
      <c r="Z114" s="89"/>
      <c r="AA114" s="38">
        <v>21</v>
      </c>
      <c r="AB114" s="117">
        <v>65535</v>
      </c>
      <c r="AC114" s="117">
        <v>511</v>
      </c>
      <c r="AD114" s="18">
        <v>5</v>
      </c>
      <c r="AE114" s="117">
        <v>65535</v>
      </c>
      <c r="AF114" s="18"/>
      <c r="AG114" s="96"/>
      <c r="AH114" s="224">
        <f>IF(Y113=1,MAX($AH$6:AH113)+1,IF(AH113="#",0,IF(AND(D113=D114,M113=M114,N113=N114,O113=O114,P113=P114,Q113=Q114,R113=R114,S113=S114,T113=T114,U113=U114,V113=V114,W113=W114,X113=X114,Y113=Y114,HEX2DEC(SUBSTITUTE(AJ113,"0x",""))&lt;HEX2DEC(SUBSTITUTE(AJ114,"0x",""))),"",MAX($AH$6:AH113)+1)))</f>
        <v>68</v>
      </c>
      <c r="AI114" s="225">
        <f>IF(MAX(INDEX($AH:$AH,ROW($AI$6)):INDEX($AH:$AH,ROW(AI114)))+1=AH115,MAX(INDEX($AH:$AH,ROW($AI$6)):INDEX($AH:$AH,ROW(AI114))),"")</f>
        <v>68</v>
      </c>
      <c r="AJ114" s="6" t="str">
        <f t="shared" si="9"/>
        <v>0x40000515</v>
      </c>
      <c r="AK114" s="6">
        <f t="shared" si="10"/>
        <v>1073743125</v>
      </c>
      <c r="AL114" s="6" t="str">
        <f t="shared" si="11"/>
        <v>0x40000515</v>
      </c>
      <c r="AM114" s="6" t="str">
        <f t="shared" si="14"/>
        <v>0x40000515</v>
      </c>
      <c r="AN114" s="6">
        <f t="shared" si="13"/>
        <v>32</v>
      </c>
    </row>
    <row r="115" spans="1:43">
      <c r="A115" s="7" t="s">
        <v>1562</v>
      </c>
      <c r="B115" s="7" t="s">
        <v>1563</v>
      </c>
      <c r="C115" s="7" t="s">
        <v>29</v>
      </c>
      <c r="D115" s="7">
        <v>32</v>
      </c>
      <c r="E115" s="61">
        <v>1000</v>
      </c>
      <c r="F115" s="7" t="s">
        <v>31</v>
      </c>
      <c r="G115" s="7"/>
      <c r="H115" s="7"/>
      <c r="I115" s="203" t="s">
        <v>1346</v>
      </c>
      <c r="J115" s="206"/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1</v>
      </c>
      <c r="W115" s="6">
        <v>0</v>
      </c>
      <c r="X115" s="6">
        <v>0</v>
      </c>
      <c r="Y115" s="6">
        <v>0</v>
      </c>
      <c r="Z115" s="89"/>
      <c r="AA115" s="38">
        <v>27</v>
      </c>
      <c r="AB115" s="117">
        <v>65535</v>
      </c>
      <c r="AC115" s="117">
        <v>511</v>
      </c>
      <c r="AD115" s="18">
        <v>11</v>
      </c>
      <c r="AE115" s="117">
        <v>65535</v>
      </c>
      <c r="AF115" s="18"/>
      <c r="AG115" s="96"/>
      <c r="AH115" s="224">
        <f>IF(Y114=1,MAX($AH$6:AH114)+1,IF(AH114="#",0,IF(AND(D114=D115,M114=M115,N114=N115,O114=O115,P114=P115,Q114=Q115,R114=R115,S114=S115,T114=T115,U114=U115,V114=V115,W114=W115,X114=X115,Y114=Y115,HEX2DEC(SUBSTITUTE(AJ114,"0x",""))&lt;HEX2DEC(SUBSTITUTE(AJ115,"0x",""))),"",MAX($AH$6:AH114)+1)))</f>
        <v>69</v>
      </c>
      <c r="AI115" s="225" t="str">
        <f>IF(MAX(INDEX($AH:$AH,ROW($AI$6)):INDEX($AH:$AH,ROW(AI115)))+1=AH116,MAX(INDEX($AH:$AH,ROW($AI$6)):INDEX($AH:$AH,ROW(AI115))),"")</f>
        <v/>
      </c>
      <c r="AJ115" s="6" t="str">
        <f t="shared" si="9"/>
        <v>0x4000051A</v>
      </c>
      <c r="AK115" s="6">
        <f t="shared" si="10"/>
        <v>1073743130</v>
      </c>
      <c r="AL115" s="6" t="str">
        <f t="shared" si="11"/>
        <v>0x4000051A</v>
      </c>
      <c r="AM115" s="6" t="str">
        <f t="shared" si="14"/>
        <v>0x4000051B</v>
      </c>
      <c r="AN115" s="6">
        <f t="shared" si="13"/>
        <v>32</v>
      </c>
    </row>
    <row r="116" spans="1:43">
      <c r="A116" s="7" t="s">
        <v>1564</v>
      </c>
      <c r="B116" s="7" t="s">
        <v>1565</v>
      </c>
      <c r="C116" s="7" t="s">
        <v>29</v>
      </c>
      <c r="D116" s="7">
        <v>32</v>
      </c>
      <c r="E116" s="61">
        <v>1000</v>
      </c>
      <c r="F116" s="7" t="s">
        <v>31</v>
      </c>
      <c r="G116" s="7"/>
      <c r="H116" s="7"/>
      <c r="I116" s="203" t="s">
        <v>1346</v>
      </c>
      <c r="J116" s="206"/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1</v>
      </c>
      <c r="W116" s="6">
        <v>0</v>
      </c>
      <c r="X116" s="6">
        <v>0</v>
      </c>
      <c r="Y116" s="6">
        <v>0</v>
      </c>
      <c r="Z116" s="89"/>
      <c r="AA116" s="38">
        <v>27</v>
      </c>
      <c r="AB116" s="117">
        <v>65535</v>
      </c>
      <c r="AC116" s="117">
        <v>511</v>
      </c>
      <c r="AD116" s="18">
        <v>11</v>
      </c>
      <c r="AE116" s="117">
        <v>65535</v>
      </c>
      <c r="AF116" s="18"/>
      <c r="AG116" s="96"/>
      <c r="AH116" s="224" t="str">
        <f>IF(Y115=1,MAX($AH$6:AH115)+1,IF(AH115="#",0,IF(AND(D115=D116,M115=M116,N115=N116,O115=O116,P115=P116,Q115=Q116,R115=R116,S115=S116,T115=T116,U115=U116,V115=V116,W115=W116,X115=X116,Y115=Y116,HEX2DEC(SUBSTITUTE(AJ115,"0x",""))&lt;HEX2DEC(SUBSTITUTE(AJ116,"0x",""))),"",MAX($AH$6:AH115)+1)))</f>
        <v/>
      </c>
      <c r="AI116" s="225">
        <f>IF(MAX(INDEX($AH:$AH,ROW($AI$6)):INDEX($AH:$AH,ROW(AI116)))+1=AH117,MAX(INDEX($AH:$AH,ROW($AI$6)):INDEX($AH:$AH,ROW(AI116))),"")</f>
        <v>69</v>
      </c>
      <c r="AJ116" s="6" t="str">
        <f t="shared" si="9"/>
        <v>0x4000051B</v>
      </c>
      <c r="AK116" s="6">
        <f t="shared" si="10"/>
        <v>1073743131</v>
      </c>
      <c r="AL116" s="6" t="str">
        <f t="shared" si="11"/>
        <v/>
      </c>
      <c r="AM116" s="6" t="str">
        <f t="shared" si="14"/>
        <v/>
      </c>
      <c r="AN116" s="6" t="str">
        <f t="shared" si="13"/>
        <v/>
      </c>
    </row>
    <row r="117" spans="1:43">
      <c r="A117" s="7" t="s">
        <v>1566</v>
      </c>
      <c r="B117" s="7" t="s">
        <v>1567</v>
      </c>
      <c r="C117" s="7" t="s">
        <v>29</v>
      </c>
      <c r="D117" s="7">
        <v>8</v>
      </c>
      <c r="E117" s="61">
        <v>1000</v>
      </c>
      <c r="F117" s="7" t="s">
        <v>31</v>
      </c>
      <c r="G117" s="7" t="s">
        <v>1346</v>
      </c>
      <c r="H117" s="7"/>
      <c r="I117" s="203" t="s">
        <v>7</v>
      </c>
      <c r="J117" s="206"/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1</v>
      </c>
      <c r="X117" s="6">
        <v>0</v>
      </c>
      <c r="Y117" s="6">
        <v>0</v>
      </c>
      <c r="Z117" s="89"/>
      <c r="AA117" s="38">
        <v>21</v>
      </c>
      <c r="AB117" s="117">
        <v>65535</v>
      </c>
      <c r="AC117" s="117">
        <v>511</v>
      </c>
      <c r="AD117" s="18">
        <v>5</v>
      </c>
      <c r="AE117" s="117">
        <v>65535</v>
      </c>
      <c r="AF117" s="18"/>
      <c r="AG117" s="96"/>
      <c r="AH117" s="224">
        <f>IF(Y116=1,MAX($AH$6:AH116)+1,IF(AH116="#",0,IF(AND(D116=D117,M116=M117,N116=N117,O116=O117,P116=P117,Q116=Q117,R116=R117,S116=S117,T116=T117,U116=U117,V116=V117,W116=W117,X116=X117,Y116=Y117,HEX2DEC(SUBSTITUTE(AJ116,"0x",""))&lt;HEX2DEC(SUBSTITUTE(AJ117,"0x",""))),"",MAX($AH$6:AH116)+1)))</f>
        <v>70</v>
      </c>
      <c r="AI117" s="225" t="str">
        <f>IF(MAX(INDEX($AH:$AH,ROW($AI$6)):INDEX($AH:$AH,ROW(AI117)))+1=AH118,MAX(INDEX($AH:$AH,ROW($AI$6)):INDEX($AH:$AH,ROW(AI117))),"")</f>
        <v/>
      </c>
      <c r="AJ117" s="6" t="str">
        <f t="shared" si="9"/>
        <v>0x4000051D</v>
      </c>
      <c r="AK117" s="6">
        <f t="shared" si="10"/>
        <v>1073743133</v>
      </c>
      <c r="AL117" s="6" t="str">
        <f t="shared" si="11"/>
        <v>0x4000051D</v>
      </c>
      <c r="AM117" s="6" t="str">
        <f t="shared" si="14"/>
        <v>0x40000521</v>
      </c>
      <c r="AN117" s="6">
        <f t="shared" si="13"/>
        <v>8</v>
      </c>
    </row>
    <row r="118" spans="1:43">
      <c r="A118" s="7" t="s">
        <v>1568</v>
      </c>
      <c r="B118" s="7" t="s">
        <v>1569</v>
      </c>
      <c r="C118" s="7" t="s">
        <v>29</v>
      </c>
      <c r="D118" s="7">
        <v>8</v>
      </c>
      <c r="E118" s="61">
        <v>1000</v>
      </c>
      <c r="F118" s="7" t="s">
        <v>31</v>
      </c>
      <c r="G118" s="7" t="s">
        <v>1346</v>
      </c>
      <c r="H118" s="7"/>
      <c r="I118" s="203" t="s">
        <v>7</v>
      </c>
      <c r="J118" s="206"/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89"/>
      <c r="AA118" s="38">
        <v>21</v>
      </c>
      <c r="AB118" s="117">
        <v>65535</v>
      </c>
      <c r="AC118" s="117">
        <v>511</v>
      </c>
      <c r="AD118" s="18">
        <v>5</v>
      </c>
      <c r="AE118" s="117">
        <v>65535</v>
      </c>
      <c r="AF118" s="18"/>
      <c r="AG118" s="96"/>
      <c r="AH118" s="224" t="str">
        <f>IF(Y117=1,MAX($AH$6:AH117)+1,IF(AH117="#",0,IF(AND(D117=D118,M117=M118,N117=N118,O117=O118,P117=P118,Q117=Q118,R117=R118,S117=S118,T117=T118,U117=U118,V117=V118,W117=W118,X117=X118,Y117=Y118,HEX2DEC(SUBSTITUTE(AJ117,"0x",""))&lt;HEX2DEC(SUBSTITUTE(AJ118,"0x",""))),"",MAX($AH$6:AH117)+1)))</f>
        <v/>
      </c>
      <c r="AI118" s="225" t="str">
        <f>IF(MAX(INDEX($AH:$AH,ROW($AI$6)):INDEX($AH:$AH,ROW(AI118)))+1=AH119,MAX(INDEX($AH:$AH,ROW($AI$6)):INDEX($AH:$AH,ROW(AI118))),"")</f>
        <v/>
      </c>
      <c r="AJ118" s="6" t="str">
        <f t="shared" si="9"/>
        <v>0x4000051F</v>
      </c>
      <c r="AK118" s="6">
        <f t="shared" si="10"/>
        <v>1073743135</v>
      </c>
      <c r="AL118" s="6" t="str">
        <f t="shared" si="11"/>
        <v/>
      </c>
      <c r="AM118" s="6" t="str">
        <f t="shared" si="14"/>
        <v/>
      </c>
      <c r="AN118" s="6" t="str">
        <f t="shared" si="13"/>
        <v/>
      </c>
    </row>
    <row r="119" spans="1:43">
      <c r="A119" s="7" t="s">
        <v>1570</v>
      </c>
      <c r="B119" s="7" t="s">
        <v>1571</v>
      </c>
      <c r="C119" s="7" t="s">
        <v>29</v>
      </c>
      <c r="D119" s="7">
        <v>8</v>
      </c>
      <c r="E119" s="61">
        <v>3000</v>
      </c>
      <c r="F119" s="7" t="s">
        <v>31</v>
      </c>
      <c r="G119" s="7" t="s">
        <v>1346</v>
      </c>
      <c r="H119" s="7"/>
      <c r="I119" s="203" t="s">
        <v>7</v>
      </c>
      <c r="J119" s="206"/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1</v>
      </c>
      <c r="X119" s="6">
        <v>0</v>
      </c>
      <c r="Y119" s="6">
        <v>0</v>
      </c>
      <c r="Z119" s="89"/>
      <c r="AA119" s="38">
        <v>21</v>
      </c>
      <c r="AB119" s="117">
        <v>65535</v>
      </c>
      <c r="AC119" s="117">
        <v>511</v>
      </c>
      <c r="AD119" s="18">
        <v>5</v>
      </c>
      <c r="AE119" s="117">
        <v>65535</v>
      </c>
      <c r="AF119" s="18"/>
      <c r="AG119" s="96"/>
      <c r="AH119" s="224" t="str">
        <f>IF(Y118=1,MAX($AH$6:AH118)+1,IF(AH118="#",0,IF(AND(D118=D119,M118=M119,N118=N119,O118=O119,P118=P119,Q118=Q119,R118=R119,S118=S119,T118=T119,U118=U119,V118=V119,W118=W119,X118=X119,Y118=Y119,HEX2DEC(SUBSTITUTE(AJ118,"0x",""))&lt;HEX2DEC(SUBSTITUTE(AJ119,"0x",""))),"",MAX($AH$6:AH118)+1)))</f>
        <v/>
      </c>
      <c r="AI119" s="225">
        <f>IF(MAX(INDEX($AH:$AH,ROW($AI$6)):INDEX($AH:$AH,ROW(AI119)))+1=AH120,MAX(INDEX($AH:$AH,ROW($AI$6)):INDEX($AH:$AH,ROW(AI119))),"")</f>
        <v>70</v>
      </c>
      <c r="AJ119" s="6" t="str">
        <f t="shared" si="9"/>
        <v>0x40000521</v>
      </c>
      <c r="AK119" s="6">
        <f t="shared" si="10"/>
        <v>1073743137</v>
      </c>
      <c r="AL119" s="6" t="str">
        <f t="shared" si="11"/>
        <v/>
      </c>
      <c r="AM119" s="6" t="str">
        <f t="shared" si="14"/>
        <v/>
      </c>
      <c r="AN119" s="6" t="str">
        <f t="shared" si="13"/>
        <v/>
      </c>
    </row>
    <row r="120" spans="1:43">
      <c r="A120" s="7" t="s">
        <v>1572</v>
      </c>
      <c r="B120" s="7" t="s">
        <v>1573</v>
      </c>
      <c r="C120" s="7" t="s">
        <v>29</v>
      </c>
      <c r="D120" s="7">
        <v>32</v>
      </c>
      <c r="E120" s="61">
        <v>1000</v>
      </c>
      <c r="F120" s="7" t="s">
        <v>31</v>
      </c>
      <c r="G120" s="7" t="s">
        <v>1346</v>
      </c>
      <c r="H120" s="7"/>
      <c r="I120" s="203" t="s">
        <v>7</v>
      </c>
      <c r="J120" s="206"/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1</v>
      </c>
      <c r="X120" s="6">
        <v>0</v>
      </c>
      <c r="Y120" s="6">
        <v>0</v>
      </c>
      <c r="Z120" s="89"/>
      <c r="AA120" s="38">
        <v>21</v>
      </c>
      <c r="AB120" s="117">
        <v>65535</v>
      </c>
      <c r="AC120" s="117">
        <v>511</v>
      </c>
      <c r="AD120" s="18">
        <v>5</v>
      </c>
      <c r="AE120" s="117">
        <v>65535</v>
      </c>
      <c r="AF120" s="18"/>
      <c r="AG120" s="96"/>
      <c r="AH120" s="224">
        <f>IF(Y119=1,MAX($AH$6:AH119)+1,IF(AH119="#",0,IF(AND(D119=D120,M119=M120,N119=N120,O119=O120,P119=P120,Q119=Q120,R119=R120,S119=S120,T119=T120,U119=U120,V119=V120,W119=W120,X119=X120,Y119=Y120,HEX2DEC(SUBSTITUTE(AJ119,"0x",""))&lt;HEX2DEC(SUBSTITUTE(AJ120,"0x",""))),"",MAX($AH$6:AH119)+1)))</f>
        <v>71</v>
      </c>
      <c r="AI120" s="225">
        <f>IF(MAX(INDEX($AH:$AH,ROW($AI$6)):INDEX($AH:$AH,ROW(AI120)))+1=AH121,MAX(INDEX($AH:$AH,ROW($AI$6)):INDEX($AH:$AH,ROW(AI120))),"")</f>
        <v>71</v>
      </c>
      <c r="AJ120" s="6" t="str">
        <f t="shared" si="9"/>
        <v>0x40000524</v>
      </c>
      <c r="AK120" s="6">
        <f t="shared" si="10"/>
        <v>1073743140</v>
      </c>
      <c r="AL120" s="6" t="str">
        <f t="shared" si="11"/>
        <v>0x40000524</v>
      </c>
      <c r="AM120" s="6" t="str">
        <f t="shared" si="14"/>
        <v>0x40000524</v>
      </c>
      <c r="AN120" s="6">
        <f t="shared" si="13"/>
        <v>32</v>
      </c>
    </row>
    <row r="121" spans="1:43">
      <c r="A121" s="7" t="s">
        <v>1574</v>
      </c>
      <c r="B121" s="7" t="s">
        <v>1575</v>
      </c>
      <c r="C121" s="7" t="s">
        <v>29</v>
      </c>
      <c r="D121" s="7">
        <v>8</v>
      </c>
      <c r="E121" s="61">
        <v>1000</v>
      </c>
      <c r="F121" s="7" t="s">
        <v>31</v>
      </c>
      <c r="G121" s="7" t="s">
        <v>1346</v>
      </c>
      <c r="H121" s="7"/>
      <c r="I121" s="203" t="s">
        <v>7</v>
      </c>
      <c r="J121" s="206"/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1</v>
      </c>
      <c r="X121" s="6">
        <v>0</v>
      </c>
      <c r="Y121" s="6">
        <v>0</v>
      </c>
      <c r="Z121" s="89"/>
      <c r="AA121" s="38">
        <v>21</v>
      </c>
      <c r="AB121" s="117">
        <v>65535</v>
      </c>
      <c r="AC121" s="117">
        <v>511</v>
      </c>
      <c r="AD121" s="18">
        <v>5</v>
      </c>
      <c r="AE121" s="117">
        <v>65535</v>
      </c>
      <c r="AF121" s="18"/>
      <c r="AG121" s="96"/>
      <c r="AH121" s="224">
        <f>IF(Y120=1,MAX($AH$6:AH120)+1,IF(AH120="#",0,IF(AND(D120=D121,M120=M121,N120=N121,O120=O121,P120=P121,Q120=Q121,R120=R121,S120=S121,T120=T121,U120=U121,V120=V121,W120=W121,X120=X121,Y120=Y121,HEX2DEC(SUBSTITUTE(AJ120,"0x",""))&lt;HEX2DEC(SUBSTITUTE(AJ121,"0x",""))),"",MAX($AH$6:AH120)+1)))</f>
        <v>72</v>
      </c>
      <c r="AI121" s="225">
        <f>IF(MAX(INDEX($AH:$AH,ROW($AI$6)):INDEX($AH:$AH,ROW(AI121)))+1=AH122,MAX(INDEX($AH:$AH,ROW($AI$6)):INDEX($AH:$AH,ROW(AI121))),"")</f>
        <v>72</v>
      </c>
      <c r="AJ121" s="6" t="str">
        <f t="shared" si="9"/>
        <v>0x40000527</v>
      </c>
      <c r="AK121" s="6">
        <f t="shared" si="10"/>
        <v>1073743143</v>
      </c>
      <c r="AL121" s="6" t="str">
        <f t="shared" si="11"/>
        <v>0x40000527</v>
      </c>
      <c r="AM121" s="6" t="str">
        <f t="shared" si="14"/>
        <v>0x40000527</v>
      </c>
      <c r="AN121" s="6">
        <f t="shared" si="13"/>
        <v>8</v>
      </c>
    </row>
    <row r="122" spans="1:43">
      <c r="A122" s="7" t="s">
        <v>1576</v>
      </c>
      <c r="B122" s="7" t="s">
        <v>1577</v>
      </c>
      <c r="C122" s="7" t="s">
        <v>29</v>
      </c>
      <c r="D122" s="7">
        <v>8</v>
      </c>
      <c r="E122" s="61">
        <v>1000</v>
      </c>
      <c r="F122" s="7" t="s">
        <v>31</v>
      </c>
      <c r="G122" s="7"/>
      <c r="H122" s="7"/>
      <c r="I122" s="203" t="s">
        <v>1346</v>
      </c>
      <c r="J122" s="206"/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1</v>
      </c>
      <c r="W122" s="6">
        <v>0</v>
      </c>
      <c r="X122" s="6">
        <v>0</v>
      </c>
      <c r="Y122" s="6">
        <v>0</v>
      </c>
      <c r="Z122" s="89"/>
      <c r="AA122" s="38">
        <v>27</v>
      </c>
      <c r="AB122" s="117">
        <v>65535</v>
      </c>
      <c r="AC122" s="117">
        <v>511</v>
      </c>
      <c r="AD122" s="18">
        <v>11</v>
      </c>
      <c r="AE122" s="117">
        <v>65535</v>
      </c>
      <c r="AF122" s="18"/>
      <c r="AG122" s="96"/>
      <c r="AH122" s="224">
        <f>IF(Y121=1,MAX($AH$6:AH121)+1,IF(AH121="#",0,IF(AND(D121=D122,M121=M122,N121=N122,O121=O122,P121=P122,Q121=Q122,R121=R122,S121=S122,T121=T122,U121=U122,V121=V122,W121=W122,X121=X122,Y121=Y122,HEX2DEC(SUBSTITUTE(AJ121,"0x",""))&lt;HEX2DEC(SUBSTITUTE(AJ122,"0x",""))),"",MAX($AH$6:AH121)+1)))</f>
        <v>73</v>
      </c>
      <c r="AI122" s="225">
        <f>IF(MAX(INDEX($AH:$AH,ROW($AI$6)):INDEX($AH:$AH,ROW(AI122)))+1=AH123,MAX(INDEX($AH:$AH,ROW($AI$6)):INDEX($AH:$AH,ROW(AI122))),"")</f>
        <v>73</v>
      </c>
      <c r="AJ122" s="6" t="str">
        <f t="shared" si="9"/>
        <v>0x40000529</v>
      </c>
      <c r="AK122" s="6">
        <f t="shared" si="10"/>
        <v>1073743145</v>
      </c>
      <c r="AL122" s="6" t="str">
        <f t="shared" si="11"/>
        <v>0x40000529</v>
      </c>
      <c r="AM122" s="6" t="str">
        <f t="shared" si="14"/>
        <v>0x40000529</v>
      </c>
      <c r="AN122" s="6">
        <f t="shared" si="13"/>
        <v>8</v>
      </c>
    </row>
    <row r="123" spans="1:43">
      <c r="A123" s="7" t="s">
        <v>1578</v>
      </c>
      <c r="B123" s="7" t="s">
        <v>1579</v>
      </c>
      <c r="C123" s="7" t="s">
        <v>29</v>
      </c>
      <c r="D123" s="7">
        <v>8</v>
      </c>
      <c r="E123" s="61">
        <v>10000</v>
      </c>
      <c r="F123" s="7" t="s">
        <v>31</v>
      </c>
      <c r="G123" s="7" t="s">
        <v>1346</v>
      </c>
      <c r="H123" s="7"/>
      <c r="I123" s="203" t="s">
        <v>7</v>
      </c>
      <c r="J123" s="206"/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1</v>
      </c>
      <c r="X123" s="6">
        <v>0</v>
      </c>
      <c r="Y123" s="6">
        <v>0</v>
      </c>
      <c r="Z123" s="89"/>
      <c r="AA123" s="38">
        <v>21</v>
      </c>
      <c r="AB123" s="117">
        <v>65535</v>
      </c>
      <c r="AC123" s="117">
        <v>511</v>
      </c>
      <c r="AD123" s="18">
        <v>5</v>
      </c>
      <c r="AE123" s="117">
        <v>65535</v>
      </c>
      <c r="AF123" s="18"/>
      <c r="AG123" s="96"/>
      <c r="AH123" s="224">
        <f>IF(Y122=1,MAX($AH$6:AH122)+1,IF(AH122="#",0,IF(AND(D122=D123,M122=M123,N122=N123,O122=O123,P122=P123,Q122=Q123,R122=R123,S122=S123,T122=T123,U122=U123,V122=V123,W122=W123,X122=X123,Y122=Y123,HEX2DEC(SUBSTITUTE(AJ122,"0x",""))&lt;HEX2DEC(SUBSTITUTE(AJ123,"0x",""))),"",MAX($AH$6:AH122)+1)))</f>
        <v>74</v>
      </c>
      <c r="AI123" s="225">
        <f>IF(MAX(INDEX($AH:$AH,ROW($AI$6)):INDEX($AH:$AH,ROW(AI123)))+1=AH124,MAX(INDEX($AH:$AH,ROW($AI$6)):INDEX($AH:$AH,ROW(AI123))),"")</f>
        <v>74</v>
      </c>
      <c r="AJ123" s="6" t="str">
        <f t="shared" si="9"/>
        <v>0x4000052A</v>
      </c>
      <c r="AK123" s="6">
        <f t="shared" si="10"/>
        <v>1073743146</v>
      </c>
      <c r="AL123" s="6" t="str">
        <f t="shared" si="11"/>
        <v>0x4000052A</v>
      </c>
      <c r="AM123" s="6" t="str">
        <f t="shared" si="14"/>
        <v>0x4000052A</v>
      </c>
      <c r="AN123" s="6">
        <f t="shared" si="13"/>
        <v>8</v>
      </c>
    </row>
    <row r="124" spans="1:43">
      <c r="A124" s="7" t="s">
        <v>1580</v>
      </c>
      <c r="B124" s="7" t="s">
        <v>1581</v>
      </c>
      <c r="C124" s="7" t="s">
        <v>29</v>
      </c>
      <c r="D124" s="7">
        <v>8</v>
      </c>
      <c r="E124" s="61">
        <v>1000</v>
      </c>
      <c r="F124" s="7" t="s">
        <v>31</v>
      </c>
      <c r="G124" s="7"/>
      <c r="H124" s="7"/>
      <c r="I124" s="203" t="s">
        <v>1346</v>
      </c>
      <c r="J124" s="206"/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1</v>
      </c>
      <c r="W124" s="6">
        <v>0</v>
      </c>
      <c r="X124" s="6">
        <v>0</v>
      </c>
      <c r="Y124" s="6">
        <v>0</v>
      </c>
      <c r="Z124" s="89"/>
      <c r="AA124" s="38">
        <v>27</v>
      </c>
      <c r="AB124" s="117">
        <v>65535</v>
      </c>
      <c r="AC124" s="117">
        <v>511</v>
      </c>
      <c r="AD124" s="18">
        <v>11</v>
      </c>
      <c r="AE124" s="117">
        <v>65535</v>
      </c>
      <c r="AF124" s="18"/>
      <c r="AG124" s="96"/>
      <c r="AH124" s="224">
        <f>IF(Y123=1,MAX($AH$6:AH123)+1,IF(AH123="#",0,IF(AND(D123=D124,M123=M124,N123=N124,O123=O124,P123=P124,Q123=Q124,R123=R124,S123=S124,T123=T124,U123=U124,V123=V124,W123=W124,X123=X124,Y123=Y124,HEX2DEC(SUBSTITUTE(AJ123,"0x",""))&lt;HEX2DEC(SUBSTITUTE(AJ124,"0x",""))),"",MAX($AH$6:AH123)+1)))</f>
        <v>75</v>
      </c>
      <c r="AI124" s="225">
        <f>IF(MAX(INDEX($AH:$AH,ROW($AI$6)):INDEX($AH:$AH,ROW(AI124)))+1=AH125,MAX(INDEX($AH:$AH,ROW($AI$6)):INDEX($AH:$AH,ROW(AI124))),"")</f>
        <v>75</v>
      </c>
      <c r="AJ124" s="6" t="str">
        <f t="shared" si="9"/>
        <v>0x4000056D</v>
      </c>
      <c r="AK124" s="6">
        <f t="shared" si="10"/>
        <v>1073743213</v>
      </c>
      <c r="AL124" s="6" t="str">
        <f t="shared" si="11"/>
        <v>0x4000056D</v>
      </c>
      <c r="AM124" s="6" t="str">
        <f t="shared" si="14"/>
        <v>0x4000056D</v>
      </c>
      <c r="AN124" s="6">
        <f t="shared" si="13"/>
        <v>8</v>
      </c>
    </row>
    <row r="125" spans="1:43">
      <c r="A125" s="7" t="s">
        <v>1582</v>
      </c>
      <c r="B125" s="7" t="s">
        <v>1583</v>
      </c>
      <c r="C125" s="7" t="s">
        <v>29</v>
      </c>
      <c r="D125" s="7">
        <v>8</v>
      </c>
      <c r="E125" s="61">
        <v>1000</v>
      </c>
      <c r="F125" s="7" t="s">
        <v>31</v>
      </c>
      <c r="G125" s="7" t="s">
        <v>1346</v>
      </c>
      <c r="H125" s="7"/>
      <c r="I125" s="203" t="s">
        <v>7</v>
      </c>
      <c r="J125" s="206"/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1</v>
      </c>
      <c r="X125" s="6">
        <v>0</v>
      </c>
      <c r="Y125" s="6">
        <v>0</v>
      </c>
      <c r="Z125" s="89"/>
      <c r="AA125" s="38">
        <v>21</v>
      </c>
      <c r="AB125" s="117">
        <v>65535</v>
      </c>
      <c r="AC125" s="117">
        <v>511</v>
      </c>
      <c r="AD125" s="18">
        <v>5</v>
      </c>
      <c r="AE125" s="117">
        <v>65535</v>
      </c>
      <c r="AF125" s="18"/>
      <c r="AG125" s="96"/>
      <c r="AH125" s="224">
        <f>IF(Y124=1,MAX($AH$6:AH124)+1,IF(AH124="#",0,IF(AND(D124=D125,M124=M125,N124=N125,O124=O125,P124=P125,Q124=Q125,R124=R125,S124=S125,T124=T125,U124=U125,V124=V125,W124=W125,X124=X125,Y124=Y125,HEX2DEC(SUBSTITUTE(AJ124,"0x",""))&lt;HEX2DEC(SUBSTITUTE(AJ125,"0x",""))),"",MAX($AH$6:AH124)+1)))</f>
        <v>76</v>
      </c>
      <c r="AI125" s="225" t="str">
        <f>IF(MAX(INDEX($AH:$AH,ROW($AI$6)):INDEX($AH:$AH,ROW(AI125)))+1=AH126,MAX(INDEX($AH:$AH,ROW($AI$6)):INDEX($AH:$AH,ROW(AI125))),"")</f>
        <v/>
      </c>
      <c r="AJ125" s="6" t="str">
        <f t="shared" si="9"/>
        <v>0x4000058A</v>
      </c>
      <c r="AK125" s="6">
        <f t="shared" si="10"/>
        <v>1073743242</v>
      </c>
      <c r="AL125" s="6" t="str">
        <f t="shared" si="11"/>
        <v>0x4000058A</v>
      </c>
      <c r="AM125" s="6" t="str">
        <f t="shared" si="14"/>
        <v>0x4000058D</v>
      </c>
      <c r="AN125" s="6">
        <f t="shared" si="13"/>
        <v>8</v>
      </c>
    </row>
    <row r="126" spans="1:43">
      <c r="A126" s="7" t="s">
        <v>1584</v>
      </c>
      <c r="B126" s="7" t="s">
        <v>1585</v>
      </c>
      <c r="C126" s="7" t="s">
        <v>29</v>
      </c>
      <c r="D126" s="7">
        <v>8</v>
      </c>
      <c r="E126" s="61" t="s">
        <v>30</v>
      </c>
      <c r="F126" s="7" t="s">
        <v>31</v>
      </c>
      <c r="G126" s="7" t="s">
        <v>1346</v>
      </c>
      <c r="H126" s="7"/>
      <c r="I126" s="203" t="s">
        <v>7</v>
      </c>
      <c r="J126" s="206"/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1</v>
      </c>
      <c r="X126" s="6">
        <v>0</v>
      </c>
      <c r="Y126" s="6">
        <v>0</v>
      </c>
      <c r="Z126" s="89"/>
      <c r="AA126" s="38">
        <v>21</v>
      </c>
      <c r="AB126" s="117">
        <v>65535</v>
      </c>
      <c r="AC126" s="117">
        <v>511</v>
      </c>
      <c r="AD126" s="18">
        <v>5</v>
      </c>
      <c r="AE126" s="117">
        <v>65535</v>
      </c>
      <c r="AF126" s="18"/>
      <c r="AG126" s="96"/>
      <c r="AH126" s="224" t="str">
        <f>IF(Y125=1,MAX($AH$6:AH125)+1,IF(AH125="#",0,IF(AND(D125=D126,M125=M126,N125=N126,O125=O126,P125=P126,Q125=Q126,R125=R126,S125=S126,T125=T126,U125=U126,V125=V126,W125=W126,X125=X126,Y125=Y126,HEX2DEC(SUBSTITUTE(AJ125,"0x",""))&lt;HEX2DEC(SUBSTITUTE(AJ126,"0x",""))),"",MAX($AH$6:AH125)+1)))</f>
        <v/>
      </c>
      <c r="AI126" s="225">
        <f>IF(MAX(INDEX($AH:$AH,ROW($AI$6)):INDEX($AH:$AH,ROW(AI126)))+1=AH127,MAX(INDEX($AH:$AH,ROW($AI$6)):INDEX($AH:$AH,ROW(AI126))),"")</f>
        <v>76</v>
      </c>
      <c r="AJ126" s="6" t="str">
        <f t="shared" si="9"/>
        <v>0x4000058D</v>
      </c>
      <c r="AK126" s="6">
        <f t="shared" si="10"/>
        <v>1073743245</v>
      </c>
      <c r="AL126" s="6" t="str">
        <f t="shared" si="11"/>
        <v/>
      </c>
      <c r="AM126" s="6" t="str">
        <f t="shared" si="14"/>
        <v/>
      </c>
      <c r="AN126" s="6" t="str">
        <f t="shared" si="13"/>
        <v/>
      </c>
    </row>
    <row r="127" spans="1:43" s="238" customFormat="1">
      <c r="A127" s="228" t="s">
        <v>1586</v>
      </c>
      <c r="B127" s="228" t="s">
        <v>1587</v>
      </c>
      <c r="C127" s="228" t="s">
        <v>29</v>
      </c>
      <c r="D127" s="228">
        <v>32</v>
      </c>
      <c r="E127" s="229">
        <v>1000</v>
      </c>
      <c r="F127" s="228" t="s">
        <v>31</v>
      </c>
      <c r="G127" s="228"/>
      <c r="H127" s="228" t="s">
        <v>1346</v>
      </c>
      <c r="I127" s="230" t="s">
        <v>7</v>
      </c>
      <c r="J127" s="231"/>
      <c r="K127" s="232">
        <v>1</v>
      </c>
      <c r="L127" s="232">
        <v>0</v>
      </c>
      <c r="M127" s="232">
        <v>0</v>
      </c>
      <c r="N127" s="232">
        <v>0</v>
      </c>
      <c r="O127" s="232">
        <v>0</v>
      </c>
      <c r="P127" s="232">
        <v>0</v>
      </c>
      <c r="Q127" s="232">
        <v>0</v>
      </c>
      <c r="R127" s="232">
        <v>0</v>
      </c>
      <c r="S127" s="232">
        <v>0</v>
      </c>
      <c r="T127" s="232">
        <v>0</v>
      </c>
      <c r="U127" s="232">
        <v>0</v>
      </c>
      <c r="V127" s="232">
        <v>0</v>
      </c>
      <c r="W127" s="232">
        <v>0</v>
      </c>
      <c r="X127" s="232">
        <v>0</v>
      </c>
      <c r="Y127" s="232">
        <v>0</v>
      </c>
      <c r="Z127" s="233"/>
      <c r="AA127" s="234">
        <v>29</v>
      </c>
      <c r="AB127" s="117">
        <v>65535</v>
      </c>
      <c r="AC127" s="117">
        <v>511</v>
      </c>
      <c r="AD127" s="235">
        <v>13</v>
      </c>
      <c r="AE127" s="117">
        <v>65535</v>
      </c>
      <c r="AF127" s="235"/>
      <c r="AG127" s="236"/>
      <c r="AH127" s="224">
        <f>IF(Y126=1,MAX($AH$6:AH126)+1,IF(AH126="#",0,IF(AND(D126=D127,M126=M127,N126=N127,O126=O127,P126=P127,Q126=Q127,R126=R127,S126=S127,T126=T127,U126=U127,V126=V127,W126=W127,X126=X127,Y126=Y127,HEX2DEC(SUBSTITUTE(AJ126,"0x",""))&lt;HEX2DEC(SUBSTITUTE(AJ127,"0x",""))),"",MAX($AH$6:AH126)+1)))</f>
        <v>77</v>
      </c>
      <c r="AI127" s="225">
        <f>IF(MAX(INDEX($AH:$AH,ROW($AI$6)):INDEX($AH:$AH,ROW(AI127)))+1=AH128,MAX(INDEX($AH:$AH,ROW($AI$6)):INDEX($AH:$AH,ROW(AI127))),"")</f>
        <v>77</v>
      </c>
      <c r="AJ127" s="232" t="str">
        <f t="shared" si="9"/>
        <v>0x400005D1</v>
      </c>
      <c r="AK127" s="232">
        <f t="shared" si="10"/>
        <v>1073743313</v>
      </c>
      <c r="AL127" s="232" t="str">
        <f t="shared" si="11"/>
        <v>0x400005D1</v>
      </c>
      <c r="AM127" s="232" t="str">
        <f t="shared" si="14"/>
        <v>0x400005D1</v>
      </c>
      <c r="AN127" s="232">
        <f t="shared" si="13"/>
        <v>32</v>
      </c>
      <c r="AO127" s="237"/>
      <c r="AP127" s="237"/>
      <c r="AQ127" s="237"/>
    </row>
    <row r="128" spans="1:43">
      <c r="A128" s="7" t="s">
        <v>1588</v>
      </c>
      <c r="B128" s="7" t="s">
        <v>1589</v>
      </c>
      <c r="C128" s="7" t="s">
        <v>29</v>
      </c>
      <c r="D128" s="7">
        <v>32</v>
      </c>
      <c r="E128" s="61">
        <v>1000</v>
      </c>
      <c r="F128" s="7" t="s">
        <v>31</v>
      </c>
      <c r="G128" s="7" t="s">
        <v>1346</v>
      </c>
      <c r="H128" s="7"/>
      <c r="I128" s="203" t="s">
        <v>7</v>
      </c>
      <c r="J128" s="206"/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1</v>
      </c>
      <c r="X128" s="6">
        <v>0</v>
      </c>
      <c r="Y128" s="6">
        <v>0</v>
      </c>
      <c r="Z128" s="89"/>
      <c r="AA128" s="38">
        <v>22</v>
      </c>
      <c r="AB128" s="117">
        <v>65535</v>
      </c>
      <c r="AC128" s="117">
        <v>511</v>
      </c>
      <c r="AD128" s="18">
        <v>6</v>
      </c>
      <c r="AE128" s="117">
        <v>65535</v>
      </c>
      <c r="AF128" s="18"/>
      <c r="AG128" s="96"/>
      <c r="AH128" s="224">
        <f>IF(Y127=1,MAX($AH$6:AH127)+1,IF(AH127="#",0,IF(AND(D127=D128,M127=M128,N127=N128,O127=O128,P127=P128,Q127=Q128,R127=R128,S127=S128,T127=T128,U127=U128,V127=V128,W127=W128,X127=X128,Y127=Y128,HEX2DEC(SUBSTITUTE(AJ127,"0x",""))&lt;HEX2DEC(SUBSTITUTE(AJ128,"0x",""))),"",MAX($AH$6:AH127)+1)))</f>
        <v>78</v>
      </c>
      <c r="AI128" s="225">
        <f>IF(MAX(INDEX($AH:$AH,ROW($AI$6)):INDEX($AH:$AH,ROW(AI128)))+1=AH129,MAX(INDEX($AH:$AH,ROW($AI$6)):INDEX($AH:$AH,ROW(AI128))),"")</f>
        <v>78</v>
      </c>
      <c r="AJ128" s="6" t="str">
        <f t="shared" si="9"/>
        <v>0x4000060C</v>
      </c>
      <c r="AK128" s="6">
        <f t="shared" si="10"/>
        <v>1073743372</v>
      </c>
      <c r="AL128" s="6" t="str">
        <f t="shared" si="11"/>
        <v>0x4000060C</v>
      </c>
      <c r="AM128" s="6" t="str">
        <f t="shared" si="14"/>
        <v>0x4000060C</v>
      </c>
      <c r="AN128" s="6">
        <f t="shared" si="13"/>
        <v>32</v>
      </c>
    </row>
    <row r="129" spans="1:42">
      <c r="A129" s="7" t="s">
        <v>1590</v>
      </c>
      <c r="B129" s="7" t="s">
        <v>1591</v>
      </c>
      <c r="C129" s="7" t="s">
        <v>29</v>
      </c>
      <c r="D129" s="7">
        <v>8</v>
      </c>
      <c r="E129" s="61">
        <v>1000</v>
      </c>
      <c r="F129" s="7" t="s">
        <v>31</v>
      </c>
      <c r="G129" s="7" t="s">
        <v>1346</v>
      </c>
      <c r="H129" s="7"/>
      <c r="I129" s="203" t="s">
        <v>7</v>
      </c>
      <c r="J129" s="206"/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1</v>
      </c>
      <c r="X129" s="6">
        <v>0</v>
      </c>
      <c r="Y129" s="6">
        <v>0</v>
      </c>
      <c r="Z129" s="89"/>
      <c r="AA129" s="38">
        <v>22</v>
      </c>
      <c r="AB129" s="117">
        <v>65535</v>
      </c>
      <c r="AC129" s="117">
        <v>511</v>
      </c>
      <c r="AD129" s="18">
        <v>6</v>
      </c>
      <c r="AE129" s="117">
        <v>65535</v>
      </c>
      <c r="AF129" s="18"/>
      <c r="AG129" s="96"/>
      <c r="AH129" s="224">
        <f>IF(Y128=1,MAX($AH$6:AH128)+1,IF(AH128="#",0,IF(AND(D128=D129,M128=M129,N128=N129,O128=O129,P128=P129,Q128=Q129,R128=R129,S128=S129,T128=T129,U128=U129,V128=V129,W128=W129,X128=X129,Y128=Y129,HEX2DEC(SUBSTITUTE(AJ128,"0x",""))&lt;HEX2DEC(SUBSTITUTE(AJ129,"0x",""))),"",MAX($AH$6:AH128)+1)))</f>
        <v>79</v>
      </c>
      <c r="AI129" s="225" t="str">
        <f>IF(MAX(INDEX($AH:$AH,ROW($AI$6)):INDEX($AH:$AH,ROW(AI129)))+1=AH130,MAX(INDEX($AH:$AH,ROW($AI$6)):INDEX($AH:$AH,ROW(AI129))),"")</f>
        <v/>
      </c>
      <c r="AJ129" s="6" t="str">
        <f t="shared" si="9"/>
        <v>0x40000611</v>
      </c>
      <c r="AK129" s="6">
        <f t="shared" si="10"/>
        <v>1073743377</v>
      </c>
      <c r="AL129" s="6" t="str">
        <f t="shared" si="11"/>
        <v>0x40000611</v>
      </c>
      <c r="AM129" s="6" t="str">
        <f t="shared" si="14"/>
        <v>0x40000615</v>
      </c>
      <c r="AN129" s="6">
        <f t="shared" si="13"/>
        <v>8</v>
      </c>
    </row>
    <row r="130" spans="1:42">
      <c r="A130" s="7" t="s">
        <v>1592</v>
      </c>
      <c r="B130" s="7" t="s">
        <v>1593</v>
      </c>
      <c r="C130" s="7" t="s">
        <v>29</v>
      </c>
      <c r="D130" s="7">
        <v>8</v>
      </c>
      <c r="E130" s="61">
        <v>1000</v>
      </c>
      <c r="F130" s="7" t="s">
        <v>31</v>
      </c>
      <c r="G130" s="7" t="s">
        <v>1346</v>
      </c>
      <c r="H130" s="7"/>
      <c r="I130" s="203" t="s">
        <v>7</v>
      </c>
      <c r="J130" s="206"/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1</v>
      </c>
      <c r="X130" s="6">
        <v>0</v>
      </c>
      <c r="Y130" s="6">
        <v>0</v>
      </c>
      <c r="Z130" s="89"/>
      <c r="AA130" s="38">
        <v>22</v>
      </c>
      <c r="AB130" s="117">
        <v>65535</v>
      </c>
      <c r="AC130" s="117">
        <v>511</v>
      </c>
      <c r="AD130" s="18">
        <v>6</v>
      </c>
      <c r="AE130" s="117">
        <v>65535</v>
      </c>
      <c r="AF130" s="18"/>
      <c r="AG130" s="96"/>
      <c r="AH130" s="224" t="str">
        <f>IF(Y129=1,MAX($AH$6:AH129)+1,IF(AH129="#",0,IF(AND(D129=D130,M129=M130,N129=N130,O129=O130,P129=P130,Q129=Q130,R129=R130,S129=S130,T129=T130,U129=U130,V129=V130,W129=W130,X129=X130,Y129=Y130,HEX2DEC(SUBSTITUTE(AJ129,"0x",""))&lt;HEX2DEC(SUBSTITUTE(AJ130,"0x",""))),"",MAX($AH$6:AH129)+1)))</f>
        <v/>
      </c>
      <c r="AI130" s="225" t="str">
        <f>IF(MAX(INDEX($AH:$AH,ROW($AI$6)):INDEX($AH:$AH,ROW(AI130)))+1=AH131,MAX(INDEX($AH:$AH,ROW($AI$6)):INDEX($AH:$AH,ROW(AI130))),"")</f>
        <v/>
      </c>
      <c r="AJ130" s="6" t="str">
        <f t="shared" si="9"/>
        <v>0x40000614</v>
      </c>
      <c r="AK130" s="6">
        <f t="shared" si="10"/>
        <v>1073743380</v>
      </c>
      <c r="AL130" s="6" t="str">
        <f t="shared" si="11"/>
        <v/>
      </c>
      <c r="AM130" s="6" t="str">
        <f t="shared" si="14"/>
        <v/>
      </c>
      <c r="AN130" s="6" t="str">
        <f t="shared" si="13"/>
        <v/>
      </c>
    </row>
    <row r="131" spans="1:42">
      <c r="A131" s="7" t="s">
        <v>1594</v>
      </c>
      <c r="B131" s="7" t="s">
        <v>1595</v>
      </c>
      <c r="C131" s="7" t="s">
        <v>29</v>
      </c>
      <c r="D131" s="7">
        <v>8</v>
      </c>
      <c r="E131" s="61">
        <v>10000</v>
      </c>
      <c r="F131" s="7" t="s">
        <v>31</v>
      </c>
      <c r="G131" s="7" t="s">
        <v>1346</v>
      </c>
      <c r="H131" s="7"/>
      <c r="I131" s="203" t="s">
        <v>7</v>
      </c>
      <c r="J131" s="206"/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89"/>
      <c r="AA131" s="38">
        <v>22</v>
      </c>
      <c r="AB131" s="117">
        <v>65535</v>
      </c>
      <c r="AC131" s="117">
        <v>511</v>
      </c>
      <c r="AD131" s="18">
        <v>6</v>
      </c>
      <c r="AE131" s="117">
        <v>65535</v>
      </c>
      <c r="AF131" s="18"/>
      <c r="AG131" s="96"/>
      <c r="AH131" s="224" t="str">
        <f>IF(Y130=1,MAX($AH$6:AH130)+1,IF(AH130="#",0,IF(AND(D130=D131,M130=M131,N130=N131,O130=O131,P130=P131,Q130=Q131,R130=R131,S130=S131,T130=T131,U130=U131,V130=V131,W130=W131,X130=X131,Y130=Y131,HEX2DEC(SUBSTITUTE(AJ130,"0x",""))&lt;HEX2DEC(SUBSTITUTE(AJ131,"0x",""))),"",MAX($AH$6:AH130)+1)))</f>
        <v/>
      </c>
      <c r="AI131" s="225">
        <f>IF(MAX(INDEX($AH:$AH,ROW($AI$6)):INDEX($AH:$AH,ROW(AI131)))+1=AH132,MAX(INDEX($AH:$AH,ROW($AI$6)):INDEX($AH:$AH,ROW(AI131))),"")</f>
        <v>79</v>
      </c>
      <c r="AJ131" s="6" t="str">
        <f t="shared" si="9"/>
        <v>0x40000615</v>
      </c>
      <c r="AK131" s="6">
        <f t="shared" si="10"/>
        <v>1073743381</v>
      </c>
      <c r="AL131" s="6" t="str">
        <f t="shared" si="11"/>
        <v/>
      </c>
      <c r="AM131" s="6" t="str">
        <f t="shared" si="14"/>
        <v/>
      </c>
      <c r="AN131" s="6" t="str">
        <f t="shared" si="13"/>
        <v/>
      </c>
    </row>
    <row r="132" spans="1:42">
      <c r="A132" s="7" t="s">
        <v>744</v>
      </c>
      <c r="B132" s="8" t="s">
        <v>743</v>
      </c>
      <c r="C132" s="198">
        <v>0</v>
      </c>
      <c r="D132" s="197">
        <v>8</v>
      </c>
      <c r="E132" s="10"/>
      <c r="F132" s="10"/>
      <c r="G132" s="7" t="s">
        <v>1346</v>
      </c>
      <c r="H132" s="10"/>
      <c r="I132" s="205"/>
      <c r="J132" s="206"/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89"/>
      <c r="AA132" s="38">
        <v>23</v>
      </c>
      <c r="AB132" s="117">
        <v>65535</v>
      </c>
      <c r="AC132" s="117">
        <v>511</v>
      </c>
      <c r="AD132" s="18">
        <v>7</v>
      </c>
      <c r="AE132" s="18">
        <v>1</v>
      </c>
      <c r="AF132" s="18"/>
      <c r="AG132" s="96"/>
      <c r="AH132" s="13">
        <v>80</v>
      </c>
      <c r="AI132" s="101"/>
      <c r="AJ132" s="6" t="str">
        <f>"0x9"&amp;RIGHT(B132,7)</f>
        <v>0x98DA0000</v>
      </c>
      <c r="AK132" s="6">
        <f t="shared" ref="AK132:AK135" si="16">HEX2DEC(RIGHT(AJ132,8))</f>
        <v>2564423680</v>
      </c>
      <c r="AL132" s="6" t="str">
        <f t="shared" ref="AL132:AL135" si="17">IF(AH132&lt;&gt;"",AJ132,"")</f>
        <v>0x98DA0000</v>
      </c>
      <c r="AM132" s="6" t="str">
        <f t="shared" si="14"/>
        <v>0x98DBffff</v>
      </c>
      <c r="AN132" s="6">
        <f t="shared" ref="AN132:AN135" si="18">IF($AH132&lt;&gt;"",MIN($D132:$D132),"")</f>
        <v>8</v>
      </c>
    </row>
    <row r="133" spans="1:42">
      <c r="A133" s="7" t="s">
        <v>744</v>
      </c>
      <c r="B133" s="10" t="s">
        <v>1596</v>
      </c>
      <c r="C133" s="197">
        <v>0</v>
      </c>
      <c r="D133" s="197">
        <v>8</v>
      </c>
      <c r="E133" s="10"/>
      <c r="F133" s="10"/>
      <c r="G133" s="7" t="s">
        <v>1346</v>
      </c>
      <c r="H133" s="10"/>
      <c r="I133" s="205"/>
      <c r="J133" s="206"/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89"/>
      <c r="AA133" s="38">
        <v>23</v>
      </c>
      <c r="AB133" s="117">
        <v>65535</v>
      </c>
      <c r="AC133" s="117">
        <v>511</v>
      </c>
      <c r="AD133" s="18">
        <v>7</v>
      </c>
      <c r="AE133" s="18">
        <v>1</v>
      </c>
      <c r="AF133" s="18"/>
      <c r="AG133" s="96"/>
      <c r="AI133" s="101">
        <v>80</v>
      </c>
      <c r="AJ133" s="6" t="str">
        <f>"0x9"&amp;RIGHT(B133,7)</f>
        <v>0x98DBffff</v>
      </c>
      <c r="AK133" s="6">
        <f t="shared" si="16"/>
        <v>2564554751</v>
      </c>
      <c r="AL133" s="6" t="str">
        <f t="shared" si="17"/>
        <v/>
      </c>
      <c r="AM133" s="6" t="str">
        <f t="shared" si="14"/>
        <v/>
      </c>
      <c r="AN133" s="6" t="str">
        <f t="shared" si="18"/>
        <v/>
      </c>
    </row>
    <row r="134" spans="1:42">
      <c r="A134" s="7" t="s">
        <v>748</v>
      </c>
      <c r="B134" s="8" t="s">
        <v>743</v>
      </c>
      <c r="C134" s="198">
        <v>1</v>
      </c>
      <c r="D134" s="201">
        <v>8</v>
      </c>
      <c r="E134" s="10"/>
      <c r="F134" s="10"/>
      <c r="G134" s="7" t="s">
        <v>1346</v>
      </c>
      <c r="H134" s="10"/>
      <c r="I134" s="205"/>
      <c r="J134" s="206"/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1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89"/>
      <c r="AA134" s="38">
        <v>23</v>
      </c>
      <c r="AB134" s="117">
        <v>65535</v>
      </c>
      <c r="AC134" s="117">
        <v>511</v>
      </c>
      <c r="AD134" s="18">
        <v>7</v>
      </c>
      <c r="AE134" s="18">
        <v>1</v>
      </c>
      <c r="AF134" s="18"/>
      <c r="AG134" s="96"/>
      <c r="AH134" s="13">
        <v>81</v>
      </c>
      <c r="AI134" s="101"/>
      <c r="AJ134" s="6" t="str">
        <f>"0xd"&amp;RIGHT(B134,7)</f>
        <v>0xd8DA0000</v>
      </c>
      <c r="AK134" s="6">
        <f t="shared" si="16"/>
        <v>3638165504</v>
      </c>
      <c r="AL134" s="6" t="str">
        <f t="shared" si="17"/>
        <v>0xd8DA0000</v>
      </c>
      <c r="AM134" s="6" t="str">
        <f t="shared" si="14"/>
        <v>0xd8DBffff</v>
      </c>
      <c r="AN134" s="6">
        <f t="shared" si="18"/>
        <v>8</v>
      </c>
    </row>
    <row r="135" spans="1:42">
      <c r="A135" s="7" t="s">
        <v>748</v>
      </c>
      <c r="B135" s="10" t="s">
        <v>1596</v>
      </c>
      <c r="C135" s="197">
        <v>1</v>
      </c>
      <c r="D135" s="201">
        <v>8</v>
      </c>
      <c r="E135" s="10"/>
      <c r="F135" s="10"/>
      <c r="G135" s="7" t="s">
        <v>1346</v>
      </c>
      <c r="H135" s="10"/>
      <c r="I135" s="205"/>
      <c r="J135" s="206"/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1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89"/>
      <c r="AA135" s="38">
        <v>23</v>
      </c>
      <c r="AB135" s="117">
        <v>65535</v>
      </c>
      <c r="AC135" s="117">
        <v>511</v>
      </c>
      <c r="AD135" s="18">
        <v>7</v>
      </c>
      <c r="AE135" s="18">
        <v>1</v>
      </c>
      <c r="AF135" s="18"/>
      <c r="AG135" s="96"/>
      <c r="AI135" s="101">
        <v>81</v>
      </c>
      <c r="AJ135" s="6" t="str">
        <f>"0xd"&amp;RIGHT(B135,7)</f>
        <v>0xd8DBffff</v>
      </c>
      <c r="AK135" s="6">
        <f t="shared" si="16"/>
        <v>3638296575</v>
      </c>
      <c r="AL135" s="6" t="str">
        <f t="shared" si="17"/>
        <v/>
      </c>
      <c r="AM135" s="6" t="str">
        <f t="shared" si="14"/>
        <v/>
      </c>
      <c r="AN135" s="6" t="str">
        <f t="shared" si="18"/>
        <v/>
      </c>
    </row>
    <row r="136" spans="1:42"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89"/>
      <c r="AF136" s="18"/>
      <c r="AG136" s="96"/>
      <c r="AI136" s="101"/>
    </row>
    <row r="137" spans="1:42">
      <c r="A137" s="5" t="s">
        <v>776</v>
      </c>
      <c r="B137" s="5" t="s">
        <v>776</v>
      </c>
      <c r="C137" s="5" t="s">
        <v>776</v>
      </c>
      <c r="D137" s="5" t="s">
        <v>776</v>
      </c>
      <c r="E137" s="5" t="s">
        <v>776</v>
      </c>
      <c r="F137" s="5" t="s">
        <v>776</v>
      </c>
      <c r="G137" s="5" t="s">
        <v>776</v>
      </c>
      <c r="H137" s="5" t="s">
        <v>776</v>
      </c>
      <c r="I137" s="5" t="s">
        <v>776</v>
      </c>
      <c r="J137" s="5" t="s">
        <v>776</v>
      </c>
      <c r="K137" s="6" t="s">
        <v>1154</v>
      </c>
      <c r="L137" s="6" t="s">
        <v>1154</v>
      </c>
      <c r="M137" s="6" t="s">
        <v>1154</v>
      </c>
      <c r="N137" s="6" t="s">
        <v>1154</v>
      </c>
      <c r="O137" s="6" t="s">
        <v>1154</v>
      </c>
      <c r="P137" s="6" t="s">
        <v>1154</v>
      </c>
      <c r="Q137" s="6" t="s">
        <v>1154</v>
      </c>
      <c r="R137" s="6" t="s">
        <v>1154</v>
      </c>
      <c r="S137" s="6" t="s">
        <v>1154</v>
      </c>
      <c r="T137" s="6" t="s">
        <v>1154</v>
      </c>
      <c r="U137" s="6" t="s">
        <v>1154</v>
      </c>
      <c r="V137" s="6" t="s">
        <v>1154</v>
      </c>
      <c r="W137" s="6" t="s">
        <v>1154</v>
      </c>
      <c r="X137" s="6" t="s">
        <v>1154</v>
      </c>
      <c r="Y137" s="6" t="s">
        <v>1154</v>
      </c>
      <c r="Z137" s="89" t="s">
        <v>1154</v>
      </c>
      <c r="AA137" s="11" t="s">
        <v>776</v>
      </c>
      <c r="AB137" s="38" t="s">
        <v>776</v>
      </c>
      <c r="AC137" s="38" t="s">
        <v>776</v>
      </c>
      <c r="AD137" s="86" t="s">
        <v>776</v>
      </c>
      <c r="AE137" s="86"/>
      <c r="AF137" s="86" t="s">
        <v>776</v>
      </c>
      <c r="AG137" s="102" t="s">
        <v>776</v>
      </c>
      <c r="AH137" s="5" t="s">
        <v>776</v>
      </c>
      <c r="AI137" s="102" t="s">
        <v>776</v>
      </c>
      <c r="AJ137" s="5" t="s">
        <v>776</v>
      </c>
      <c r="AK137" s="5" t="s">
        <v>776</v>
      </c>
      <c r="AL137" s="5" t="s">
        <v>776</v>
      </c>
      <c r="AM137" s="5" t="s">
        <v>776</v>
      </c>
      <c r="AN137" s="5"/>
      <c r="AO137" s="5" t="s">
        <v>776</v>
      </c>
      <c r="AP137" s="5" t="s">
        <v>776</v>
      </c>
    </row>
    <row r="138" spans="1:42">
      <c r="A138" s="15" t="str">
        <f t="shared" ref="A138:F147" si="19">A6</f>
        <v>AVN1S38</v>
      </c>
      <c r="B138" s="15" t="str">
        <f t="shared" si="19"/>
        <v>121</v>
      </c>
      <c r="C138" s="15" t="str">
        <f t="shared" si="19"/>
        <v>1</v>
      </c>
      <c r="D138" s="15">
        <f t="shared" si="19"/>
        <v>8</v>
      </c>
      <c r="E138" s="15">
        <f t="shared" si="19"/>
        <v>100</v>
      </c>
      <c r="F138" s="15" t="str">
        <f t="shared" si="19"/>
        <v>0</v>
      </c>
      <c r="G138" s="16" t="str">
        <f t="shared" ref="G138:J157" si="20">IF(G6&lt;&gt;"",G6,"")</f>
        <v>T</v>
      </c>
      <c r="H138" s="16" t="str">
        <f t="shared" si="20"/>
        <v/>
      </c>
      <c r="I138" s="16" t="str">
        <f t="shared" si="20"/>
        <v/>
      </c>
      <c r="J138" s="16" t="str">
        <f t="shared" si="20"/>
        <v/>
      </c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91">
        <v>0</v>
      </c>
      <c r="AA138" s="18"/>
      <c r="AB138" s="18" t="str">
        <f t="shared" ref="AB138:AB167" si="21">"(U2)0x"&amp;LOWER(DEC2HEX(VLOOKUP($Z138,$AA$6:$AD$135,2,FALSE),4))&amp;"U,"</f>
        <v>(U2)0x000fU,</v>
      </c>
      <c r="AC138" s="18" t="str">
        <f t="shared" ref="AC138:AC167" si="22">"(U2)0x"&amp;LOWER(DEC2HEX(VLOOKUP($Z138,$AA$6:$AD$135,3,FALSE)*128+VLOOKUP($Z138,$AA$6:$AD$135,4,FALSE),4))&amp;"U,"</f>
        <v>(U2)0xffffU,</v>
      </c>
      <c r="AD138" s="18" t="str">
        <f t="shared" ref="AD138:AD167" si="23">"(U2)0x"&amp;LOWER(DEC2HEX(VLOOKUP($Z138,$AA$6:$AE$135,5,FALSE),4))&amp;"U,"</f>
        <v>(U2)0xffffU,</v>
      </c>
      <c r="AE138" s="18" t="str">
        <f>"/* "&amp;($Z138*$Z$3)&amp;" */"</f>
        <v>/* 0 */</v>
      </c>
      <c r="AF138" s="18"/>
      <c r="AG138" s="96"/>
      <c r="AH138" s="6">
        <f t="shared" ref="AH138:AH169" si="24">IF($AH6&lt;&gt;"",$AH6,"")</f>
        <v>0</v>
      </c>
      <c r="AI138" s="96" t="str">
        <f t="shared" ref="AI138:AI169" si="25">IF($AH6&lt;&gt;"","", "/* ")</f>
        <v/>
      </c>
      <c r="AJ138" s="6" t="str">
        <f t="shared" ref="AJ138:AJ169" si="26">IF($AH6&lt;&gt;"","{(U4)0x"&amp;LOWER(DEC2HEX($U6*$U$3+$T6*$T$3+$V6*$V$3+$W6*$W$3+$Y6*$Y$3+K6*$K$3,8))&amp;"U,",AJ137)</f>
        <v>{(U4)0x00000004U,</v>
      </c>
      <c r="AK138" s="6" t="str">
        <f t="shared" ref="AK138:AK169" si="27">IF($AH6&lt;&gt;"", "(U4)"&amp;LOWER($AL6)&amp;"U,",AK137)</f>
        <v>(U4)0x40000121U,</v>
      </c>
      <c r="AL138" s="6" t="str">
        <f t="shared" ref="AL138:AL169" si="28">IF($AH6&lt;&gt;"", "(U4)"&amp;LOWER($AM6)&amp;"U,",AL137)</f>
        <v>(U4)0x40000121U,</v>
      </c>
      <c r="AM138" s="6" t="str">
        <f t="shared" ref="AM138:AM169" si="29" xml:space="preserve"> IF($AH6&lt;&gt;"", "(U2)"&amp;$AN6&amp;"U,",AM137)</f>
        <v>(U2)8U,</v>
      </c>
      <c r="AN138" s="6" t="str">
        <f t="shared" ref="AN138:AN169" si="30" xml:space="preserve"> IF($AH6&lt;&gt;"", "(U2)"&amp;$AA6*$Z$3&amp;"U},",AN137)</f>
        <v>(U2)48U},</v>
      </c>
      <c r="AO138" s="6" t="str">
        <f t="shared" ref="AO138:AO169" si="31">IF($AH6&lt;&gt;"","", " */")</f>
        <v/>
      </c>
      <c r="AP138" s="6" t="str">
        <f t="shared" ref="AP138:AP169" si="32">"/* "&amp;IF($AH6&lt;&gt;"",$AH6," ")&amp;" : "&amp;A6&amp;" = "&amp;LOWER($AJ6)&amp;" */"</f>
        <v>/* 0 : AVN1S38 = 0x40000121 */</v>
      </c>
    </row>
    <row r="139" spans="1:42">
      <c r="A139" s="15" t="str">
        <f t="shared" si="19"/>
        <v>AVN1S34</v>
      </c>
      <c r="B139" s="15" t="str">
        <f t="shared" si="19"/>
        <v>126</v>
      </c>
      <c r="C139" s="15" t="str">
        <f t="shared" si="19"/>
        <v>1</v>
      </c>
      <c r="D139" s="15">
        <f t="shared" si="19"/>
        <v>8</v>
      </c>
      <c r="E139" s="15">
        <f t="shared" si="19"/>
        <v>100</v>
      </c>
      <c r="F139" s="15" t="str">
        <f t="shared" si="19"/>
        <v>0</v>
      </c>
      <c r="G139" s="16" t="str">
        <f t="shared" si="20"/>
        <v/>
      </c>
      <c r="H139" s="16" t="str">
        <f t="shared" si="20"/>
        <v/>
      </c>
      <c r="I139" s="16" t="str">
        <f t="shared" si="20"/>
        <v>T</v>
      </c>
      <c r="J139" s="16" t="str">
        <f t="shared" si="20"/>
        <v/>
      </c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89">
        <v>1</v>
      </c>
      <c r="AA139" s="18"/>
      <c r="AB139" s="18" t="str">
        <f t="shared" si="21"/>
        <v>(U2)0x0000U,</v>
      </c>
      <c r="AC139" s="18" t="str">
        <f t="shared" si="22"/>
        <v>(U2)0xffffU,</v>
      </c>
      <c r="AD139" s="18" t="str">
        <f t="shared" si="23"/>
        <v>(U2)0xffffU,</v>
      </c>
      <c r="AE139" s="18" t="str">
        <f t="shared" ref="AE139:AE167" si="33">"/* "&amp;($Z139*$Z$3)&amp;" */"</f>
        <v>/* 3 */</v>
      </c>
      <c r="AF139" s="18"/>
      <c r="AG139" s="96"/>
      <c r="AH139" s="6">
        <f t="shared" si="24"/>
        <v>1</v>
      </c>
      <c r="AI139" s="96" t="str">
        <f t="shared" si="25"/>
        <v/>
      </c>
      <c r="AJ139" s="6" t="str">
        <f t="shared" si="26"/>
        <v>{(U4)0x00000008U,</v>
      </c>
      <c r="AK139" s="6" t="str">
        <f t="shared" si="27"/>
        <v>(U4)0x40000126U,</v>
      </c>
      <c r="AL139" s="6" t="str">
        <f t="shared" si="28"/>
        <v>(U4)0x40000126U,</v>
      </c>
      <c r="AM139" s="6" t="str">
        <f t="shared" si="29"/>
        <v>(U2)8U,</v>
      </c>
      <c r="AN139" s="6" t="str">
        <f t="shared" si="30"/>
        <v>(U2)72U},</v>
      </c>
      <c r="AO139" s="6" t="str">
        <f t="shared" si="31"/>
        <v/>
      </c>
      <c r="AP139" s="6" t="str">
        <f t="shared" si="32"/>
        <v>/* 1 : AVN1S34 = 0x40000126 */</v>
      </c>
    </row>
    <row r="140" spans="1:42">
      <c r="A140" s="15" t="str">
        <f t="shared" si="19"/>
        <v>AVN1SG7</v>
      </c>
      <c r="B140" s="15" t="str">
        <f t="shared" si="19"/>
        <v>141</v>
      </c>
      <c r="C140" s="15" t="str">
        <f t="shared" si="19"/>
        <v>1</v>
      </c>
      <c r="D140" s="15">
        <f t="shared" si="19"/>
        <v>32</v>
      </c>
      <c r="E140" s="15">
        <f t="shared" si="19"/>
        <v>100</v>
      </c>
      <c r="F140" s="15" t="str">
        <f t="shared" si="19"/>
        <v>0</v>
      </c>
      <c r="G140" s="16" t="str">
        <f t="shared" si="20"/>
        <v/>
      </c>
      <c r="H140" s="16" t="str">
        <f t="shared" si="20"/>
        <v/>
      </c>
      <c r="I140" s="16" t="str">
        <f t="shared" si="20"/>
        <v>T</v>
      </c>
      <c r="J140" s="16" t="str">
        <f t="shared" si="20"/>
        <v/>
      </c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89">
        <v>2</v>
      </c>
      <c r="AA140" s="18"/>
      <c r="AB140" s="18" t="str">
        <f t="shared" si="21"/>
        <v>(U2)0x0001U,</v>
      </c>
      <c r="AC140" s="18" t="str">
        <f t="shared" si="22"/>
        <v>(U2)0xffffU,</v>
      </c>
      <c r="AD140" s="18" t="str">
        <f t="shared" si="23"/>
        <v>(U2)0xffffU,</v>
      </c>
      <c r="AE140" s="18" t="str">
        <f t="shared" si="33"/>
        <v>/* 6 */</v>
      </c>
      <c r="AF140" s="18"/>
      <c r="AG140" s="96"/>
      <c r="AH140" s="6">
        <f t="shared" si="24"/>
        <v>2</v>
      </c>
      <c r="AI140" s="96" t="str">
        <f t="shared" si="25"/>
        <v/>
      </c>
      <c r="AJ140" s="6" t="str">
        <f t="shared" si="26"/>
        <v>{(U4)0x00000008U,</v>
      </c>
      <c r="AK140" s="6" t="str">
        <f t="shared" si="27"/>
        <v>(U4)0x40000141U,</v>
      </c>
      <c r="AL140" s="6" t="str">
        <f t="shared" si="28"/>
        <v>(U4)0x40000141U,</v>
      </c>
      <c r="AM140" s="6" t="str">
        <f t="shared" si="29"/>
        <v>(U2)32U,</v>
      </c>
      <c r="AN140" s="6" t="str">
        <f t="shared" si="30"/>
        <v>(U2)72U},</v>
      </c>
      <c r="AO140" s="6" t="str">
        <f t="shared" si="31"/>
        <v/>
      </c>
      <c r="AP140" s="6" t="str">
        <f t="shared" si="32"/>
        <v>/* 2 : AVN1SG7 = 0x40000141 */</v>
      </c>
    </row>
    <row r="141" spans="1:42">
      <c r="A141" s="15" t="str">
        <f t="shared" si="19"/>
        <v>AVN1S71</v>
      </c>
      <c r="B141" s="15" t="str">
        <f t="shared" si="19"/>
        <v>14C</v>
      </c>
      <c r="C141" s="15" t="str">
        <f t="shared" si="19"/>
        <v>1</v>
      </c>
      <c r="D141" s="15">
        <f t="shared" si="19"/>
        <v>8</v>
      </c>
      <c r="E141" s="15">
        <f t="shared" si="19"/>
        <v>100</v>
      </c>
      <c r="F141" s="15" t="str">
        <f t="shared" si="19"/>
        <v>0</v>
      </c>
      <c r="G141" s="16" t="str">
        <f t="shared" si="20"/>
        <v>T</v>
      </c>
      <c r="H141" s="16" t="str">
        <f t="shared" si="20"/>
        <v/>
      </c>
      <c r="I141" s="16" t="str">
        <f t="shared" si="20"/>
        <v/>
      </c>
      <c r="J141" s="16" t="str">
        <f t="shared" si="20"/>
        <v/>
      </c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89">
        <v>3</v>
      </c>
      <c r="AA141" s="18"/>
      <c r="AB141" s="18" t="str">
        <f t="shared" si="21"/>
        <v>(U2)0x0002U,</v>
      </c>
      <c r="AC141" s="18" t="str">
        <f t="shared" si="22"/>
        <v>(U2)0xffffU,</v>
      </c>
      <c r="AD141" s="18" t="str">
        <f t="shared" si="23"/>
        <v>(U2)0xffffU,</v>
      </c>
      <c r="AE141" s="18" t="str">
        <f t="shared" si="33"/>
        <v>/* 9 */</v>
      </c>
      <c r="AF141" s="18"/>
      <c r="AG141" s="96"/>
      <c r="AH141" s="6">
        <f t="shared" si="24"/>
        <v>3</v>
      </c>
      <c r="AI141" s="96" t="str">
        <f t="shared" si="25"/>
        <v/>
      </c>
      <c r="AJ141" s="6" t="str">
        <f t="shared" si="26"/>
        <v>{(U4)0x00000004U,</v>
      </c>
      <c r="AK141" s="6" t="str">
        <f t="shared" si="27"/>
        <v>(U4)0x4000014cU,</v>
      </c>
      <c r="AL141" s="6" t="str">
        <f t="shared" si="28"/>
        <v>(U4)0x4000014cU,</v>
      </c>
      <c r="AM141" s="6" t="str">
        <f t="shared" si="29"/>
        <v>(U2)8U,</v>
      </c>
      <c r="AN141" s="6" t="str">
        <f t="shared" si="30"/>
        <v>(U2)48U},</v>
      </c>
      <c r="AO141" s="6" t="str">
        <f t="shared" si="31"/>
        <v/>
      </c>
      <c r="AP141" s="6" t="str">
        <f t="shared" si="32"/>
        <v>/* 3 : AVN1S71 = 0x4000014c */</v>
      </c>
    </row>
    <row r="142" spans="1:42">
      <c r="A142" s="15" t="str">
        <f t="shared" si="19"/>
        <v>AVN1S32</v>
      </c>
      <c r="B142" s="15" t="str">
        <f t="shared" si="19"/>
        <v>17F</v>
      </c>
      <c r="C142" s="15" t="str">
        <f t="shared" si="19"/>
        <v>1</v>
      </c>
      <c r="D142" s="15">
        <f t="shared" si="19"/>
        <v>8</v>
      </c>
      <c r="E142" s="15">
        <f t="shared" si="19"/>
        <v>100</v>
      </c>
      <c r="F142" s="15" t="str">
        <f t="shared" si="19"/>
        <v>0</v>
      </c>
      <c r="G142" s="16" t="str">
        <f t="shared" si="20"/>
        <v/>
      </c>
      <c r="H142" s="16" t="str">
        <f t="shared" si="20"/>
        <v/>
      </c>
      <c r="I142" s="16" t="str">
        <f t="shared" si="20"/>
        <v>T</v>
      </c>
      <c r="J142" s="16" t="str">
        <f t="shared" si="20"/>
        <v/>
      </c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89">
        <f t="shared" ref="Z142:Z167" si="34">IF(($Z141+1)&lt;=MAX($AA$6:$AA$135),($Z141+1),MAX($AA$6:$AA$135))</f>
        <v>4</v>
      </c>
      <c r="AA142" s="18"/>
      <c r="AB142" s="18" t="str">
        <f t="shared" si="21"/>
        <v>(U2)0x0003U,</v>
      </c>
      <c r="AC142" s="18" t="str">
        <f t="shared" si="22"/>
        <v>(U2)0xffffU,</v>
      </c>
      <c r="AD142" s="18" t="str">
        <f t="shared" si="23"/>
        <v>(U2)0xffffU,</v>
      </c>
      <c r="AE142" s="18" t="str">
        <f t="shared" si="33"/>
        <v>/* 12 */</v>
      </c>
      <c r="AF142" s="18"/>
      <c r="AG142" s="96"/>
      <c r="AH142" s="6">
        <f t="shared" si="24"/>
        <v>4</v>
      </c>
      <c r="AI142" s="96" t="str">
        <f t="shared" si="25"/>
        <v/>
      </c>
      <c r="AJ142" s="6" t="str">
        <f t="shared" si="26"/>
        <v>{(U4)0x00000008U,</v>
      </c>
      <c r="AK142" s="6" t="str">
        <f t="shared" si="27"/>
        <v>(U4)0x4000017fU,</v>
      </c>
      <c r="AL142" s="6" t="str">
        <f t="shared" si="28"/>
        <v>(U4)0x4000017fU,</v>
      </c>
      <c r="AM142" s="6" t="str">
        <f t="shared" si="29"/>
        <v>(U2)8U,</v>
      </c>
      <c r="AN142" s="6" t="str">
        <f t="shared" si="30"/>
        <v>(U2)72U},</v>
      </c>
      <c r="AO142" s="6" t="str">
        <f t="shared" si="31"/>
        <v/>
      </c>
      <c r="AP142" s="6" t="str">
        <f t="shared" si="32"/>
        <v>/* 4 : AVN1S32 = 0x4000017f */</v>
      </c>
    </row>
    <row r="143" spans="1:42">
      <c r="A143" s="15" t="str">
        <f t="shared" si="19"/>
        <v>AVN1SD4</v>
      </c>
      <c r="B143" s="15" t="str">
        <f t="shared" si="19"/>
        <v>185</v>
      </c>
      <c r="C143" s="15" t="str">
        <f t="shared" si="19"/>
        <v>1</v>
      </c>
      <c r="D143" s="15">
        <f t="shared" si="19"/>
        <v>32</v>
      </c>
      <c r="E143" s="15">
        <f t="shared" si="19"/>
        <v>100</v>
      </c>
      <c r="F143" s="15" t="str">
        <f t="shared" si="19"/>
        <v>0</v>
      </c>
      <c r="G143" s="16" t="str">
        <f t="shared" si="20"/>
        <v>T</v>
      </c>
      <c r="H143" s="16" t="str">
        <f t="shared" si="20"/>
        <v/>
      </c>
      <c r="I143" s="16" t="str">
        <f t="shared" si="20"/>
        <v/>
      </c>
      <c r="J143" s="16" t="str">
        <f t="shared" si="20"/>
        <v/>
      </c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89">
        <f t="shared" si="34"/>
        <v>5</v>
      </c>
      <c r="AA143" s="18"/>
      <c r="AB143" s="18" t="str">
        <f t="shared" si="21"/>
        <v>(U2)0x0004U,</v>
      </c>
      <c r="AC143" s="18" t="str">
        <f t="shared" si="22"/>
        <v>(U2)0xffffU,</v>
      </c>
      <c r="AD143" s="18" t="str">
        <f t="shared" si="23"/>
        <v>(U2)0xffffU,</v>
      </c>
      <c r="AE143" s="18" t="str">
        <f t="shared" si="33"/>
        <v>/* 15 */</v>
      </c>
      <c r="AF143" s="18"/>
      <c r="AG143" s="96"/>
      <c r="AH143" s="6">
        <f t="shared" si="24"/>
        <v>5</v>
      </c>
      <c r="AI143" s="96" t="str">
        <f t="shared" si="25"/>
        <v/>
      </c>
      <c r="AJ143" s="6" t="str">
        <f t="shared" si="26"/>
        <v>{(U4)0x00000004U,</v>
      </c>
      <c r="AK143" s="6" t="str">
        <f t="shared" si="27"/>
        <v>(U4)0x40000185U,</v>
      </c>
      <c r="AL143" s="6" t="str">
        <f t="shared" si="28"/>
        <v>(U4)0x40000185U,</v>
      </c>
      <c r="AM143" s="6" t="str">
        <f t="shared" si="29"/>
        <v>(U2)32U,</v>
      </c>
      <c r="AN143" s="6" t="str">
        <f t="shared" si="30"/>
        <v>(U2)48U},</v>
      </c>
      <c r="AO143" s="6" t="str">
        <f t="shared" si="31"/>
        <v/>
      </c>
      <c r="AP143" s="6" t="str">
        <f t="shared" si="32"/>
        <v>/* 5 : AVN1SD4 = 0x40000185 */</v>
      </c>
    </row>
    <row r="144" spans="1:42">
      <c r="A144" s="15" t="str">
        <f t="shared" si="19"/>
        <v>AVN1SD6</v>
      </c>
      <c r="B144" s="15" t="str">
        <f t="shared" si="19"/>
        <v>1A1</v>
      </c>
      <c r="C144" s="15" t="str">
        <f t="shared" si="19"/>
        <v>1</v>
      </c>
      <c r="D144" s="15">
        <f t="shared" si="19"/>
        <v>32</v>
      </c>
      <c r="E144" s="15">
        <f t="shared" si="19"/>
        <v>200</v>
      </c>
      <c r="F144" s="15" t="str">
        <f t="shared" si="19"/>
        <v>0</v>
      </c>
      <c r="G144" s="16" t="str">
        <f t="shared" si="20"/>
        <v/>
      </c>
      <c r="H144" s="16" t="str">
        <f t="shared" si="20"/>
        <v/>
      </c>
      <c r="I144" s="16" t="str">
        <f t="shared" si="20"/>
        <v>T</v>
      </c>
      <c r="J144" s="16" t="str">
        <f t="shared" si="20"/>
        <v/>
      </c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89">
        <f t="shared" si="34"/>
        <v>6</v>
      </c>
      <c r="AA144" s="18"/>
      <c r="AB144" s="18" t="str">
        <f t="shared" si="21"/>
        <v>(U2)0x0005U,</v>
      </c>
      <c r="AC144" s="18" t="str">
        <f t="shared" si="22"/>
        <v>(U2)0xffffU,</v>
      </c>
      <c r="AD144" s="18" t="str">
        <f t="shared" si="23"/>
        <v>(U2)0xffffU,</v>
      </c>
      <c r="AE144" s="18" t="str">
        <f t="shared" si="33"/>
        <v>/* 18 */</v>
      </c>
      <c r="AF144" s="18"/>
      <c r="AG144" s="96"/>
      <c r="AH144" s="6">
        <f t="shared" si="24"/>
        <v>6</v>
      </c>
      <c r="AI144" s="96" t="str">
        <f t="shared" si="25"/>
        <v/>
      </c>
      <c r="AJ144" s="6" t="str">
        <f t="shared" si="26"/>
        <v>{(U4)0x00000008U,</v>
      </c>
      <c r="AK144" s="6" t="str">
        <f t="shared" si="27"/>
        <v>(U4)0x400001a1U,</v>
      </c>
      <c r="AL144" s="6" t="str">
        <f t="shared" si="28"/>
        <v>(U4)0x400001a2U,</v>
      </c>
      <c r="AM144" s="6" t="str">
        <f t="shared" si="29"/>
        <v>(U2)32U,</v>
      </c>
      <c r="AN144" s="6" t="str">
        <f t="shared" si="30"/>
        <v>(U2)72U},</v>
      </c>
      <c r="AO144" s="6" t="str">
        <f t="shared" si="31"/>
        <v/>
      </c>
      <c r="AP144" s="6" t="str">
        <f t="shared" si="32"/>
        <v>/* 6 : AVN1SD6 = 0x400001a1 */</v>
      </c>
    </row>
    <row r="145" spans="1:42">
      <c r="A145" s="15" t="str">
        <f t="shared" si="19"/>
        <v>AVN1SD7</v>
      </c>
      <c r="B145" s="15" t="str">
        <f t="shared" si="19"/>
        <v>1A2</v>
      </c>
      <c r="C145" s="15" t="str">
        <f t="shared" si="19"/>
        <v>1</v>
      </c>
      <c r="D145" s="15">
        <f t="shared" si="19"/>
        <v>32</v>
      </c>
      <c r="E145" s="15">
        <f t="shared" si="19"/>
        <v>200</v>
      </c>
      <c r="F145" s="15" t="str">
        <f t="shared" si="19"/>
        <v>0</v>
      </c>
      <c r="G145" s="16" t="str">
        <f t="shared" si="20"/>
        <v/>
      </c>
      <c r="H145" s="16" t="str">
        <f t="shared" si="20"/>
        <v/>
      </c>
      <c r="I145" s="16" t="str">
        <f t="shared" si="20"/>
        <v>T</v>
      </c>
      <c r="J145" s="16" t="str">
        <f t="shared" si="20"/>
        <v/>
      </c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89">
        <f t="shared" si="34"/>
        <v>7</v>
      </c>
      <c r="AA145" s="18"/>
      <c r="AB145" s="18" t="str">
        <f t="shared" si="21"/>
        <v>(U2)0x0006U,</v>
      </c>
      <c r="AC145" s="18" t="str">
        <f t="shared" si="22"/>
        <v>(U2)0xffffU,</v>
      </c>
      <c r="AD145" s="18" t="str">
        <f t="shared" si="23"/>
        <v>(U2)0xffffU,</v>
      </c>
      <c r="AE145" s="18" t="str">
        <f t="shared" si="33"/>
        <v>/* 21 */</v>
      </c>
      <c r="AF145" s="18"/>
      <c r="AG145" s="96"/>
      <c r="AH145" s="6" t="str">
        <f t="shared" si="24"/>
        <v/>
      </c>
      <c r="AI145" s="96" t="str">
        <f t="shared" si="25"/>
        <v xml:space="preserve">/* </v>
      </c>
      <c r="AJ145" s="6" t="str">
        <f t="shared" si="26"/>
        <v>{(U4)0x00000008U,</v>
      </c>
      <c r="AK145" s="6" t="str">
        <f t="shared" si="27"/>
        <v>(U4)0x400001a1U,</v>
      </c>
      <c r="AL145" s="6" t="str">
        <f t="shared" si="28"/>
        <v>(U4)0x400001a2U,</v>
      </c>
      <c r="AM145" s="6" t="str">
        <f t="shared" si="29"/>
        <v>(U2)32U,</v>
      </c>
      <c r="AN145" s="6" t="str">
        <f t="shared" si="30"/>
        <v>(U2)72U},</v>
      </c>
      <c r="AO145" s="6" t="str">
        <f t="shared" si="31"/>
        <v xml:space="preserve"> */</v>
      </c>
      <c r="AP145" s="6" t="str">
        <f t="shared" si="32"/>
        <v>/*   : AVN1SD7 = 0x400001a2 */</v>
      </c>
    </row>
    <row r="146" spans="1:42">
      <c r="A146" s="15" t="str">
        <f t="shared" si="19"/>
        <v>AVN1SF6</v>
      </c>
      <c r="B146" s="15" t="str">
        <f t="shared" si="19"/>
        <v>1A3</v>
      </c>
      <c r="C146" s="15" t="str">
        <f t="shared" si="19"/>
        <v>1</v>
      </c>
      <c r="D146" s="15">
        <f t="shared" si="19"/>
        <v>8</v>
      </c>
      <c r="E146" s="15">
        <f t="shared" si="19"/>
        <v>200</v>
      </c>
      <c r="F146" s="15" t="str">
        <f t="shared" si="19"/>
        <v>0</v>
      </c>
      <c r="G146" s="16" t="str">
        <f t="shared" si="20"/>
        <v/>
      </c>
      <c r="H146" s="16" t="str">
        <f t="shared" si="20"/>
        <v/>
      </c>
      <c r="I146" s="16" t="str">
        <f t="shared" si="20"/>
        <v>T</v>
      </c>
      <c r="J146" s="16" t="str">
        <f t="shared" si="20"/>
        <v/>
      </c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89">
        <f t="shared" si="34"/>
        <v>8</v>
      </c>
      <c r="AA146" s="18"/>
      <c r="AB146" s="18" t="str">
        <f t="shared" si="21"/>
        <v>(U2)0x0007U,</v>
      </c>
      <c r="AC146" s="18" t="str">
        <f t="shared" si="22"/>
        <v>(U2)0xffffU,</v>
      </c>
      <c r="AD146" s="18" t="str">
        <f t="shared" si="23"/>
        <v>(U2)0xffffU,</v>
      </c>
      <c r="AE146" s="18" t="str">
        <f t="shared" si="33"/>
        <v>/* 24 */</v>
      </c>
      <c r="AF146" s="18"/>
      <c r="AG146" s="96"/>
      <c r="AH146" s="6">
        <f t="shared" si="24"/>
        <v>7</v>
      </c>
      <c r="AI146" s="96" t="str">
        <f t="shared" si="25"/>
        <v/>
      </c>
      <c r="AJ146" s="6" t="str">
        <f t="shared" si="26"/>
        <v>{(U4)0x00000008U,</v>
      </c>
      <c r="AK146" s="6" t="str">
        <f t="shared" si="27"/>
        <v>(U4)0x400001a3U,</v>
      </c>
      <c r="AL146" s="6" t="str">
        <f t="shared" si="28"/>
        <v>(U4)0x400001a3U,</v>
      </c>
      <c r="AM146" s="6" t="str">
        <f t="shared" si="29"/>
        <v>(U2)8U,</v>
      </c>
      <c r="AN146" s="6" t="str">
        <f t="shared" si="30"/>
        <v>(U2)72U},</v>
      </c>
      <c r="AO146" s="6" t="str">
        <f t="shared" si="31"/>
        <v/>
      </c>
      <c r="AP146" s="6" t="str">
        <f t="shared" si="32"/>
        <v>/* 7 : AVN1SF6 = 0x400001a3 */</v>
      </c>
    </row>
    <row r="147" spans="1:42">
      <c r="A147" s="15" t="str">
        <f t="shared" si="19"/>
        <v>AVN1SD8</v>
      </c>
      <c r="B147" s="15" t="str">
        <f t="shared" si="19"/>
        <v>1A5</v>
      </c>
      <c r="C147" s="15" t="str">
        <f t="shared" si="19"/>
        <v>1</v>
      </c>
      <c r="D147" s="15">
        <f t="shared" si="19"/>
        <v>32</v>
      </c>
      <c r="E147" s="15">
        <f t="shared" si="19"/>
        <v>200</v>
      </c>
      <c r="F147" s="15" t="str">
        <f t="shared" si="19"/>
        <v>0</v>
      </c>
      <c r="G147" s="16" t="str">
        <f t="shared" si="20"/>
        <v/>
      </c>
      <c r="H147" s="16" t="str">
        <f t="shared" si="20"/>
        <v/>
      </c>
      <c r="I147" s="16" t="str">
        <f t="shared" si="20"/>
        <v>T</v>
      </c>
      <c r="J147" s="16" t="str">
        <f t="shared" si="20"/>
        <v/>
      </c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89">
        <f t="shared" si="34"/>
        <v>9</v>
      </c>
      <c r="AA147" s="18"/>
      <c r="AB147" s="18" t="str">
        <f t="shared" si="21"/>
        <v>(U2)0x0008U,</v>
      </c>
      <c r="AC147" s="18" t="str">
        <f t="shared" si="22"/>
        <v>(U2)0xffffU,</v>
      </c>
      <c r="AD147" s="18" t="str">
        <f t="shared" si="23"/>
        <v>(U2)0xffffU,</v>
      </c>
      <c r="AE147" s="18" t="str">
        <f t="shared" si="33"/>
        <v>/* 27 */</v>
      </c>
      <c r="AF147" s="18"/>
      <c r="AG147" s="96"/>
      <c r="AH147" s="6">
        <f t="shared" si="24"/>
        <v>8</v>
      </c>
      <c r="AI147" s="96" t="str">
        <f t="shared" si="25"/>
        <v/>
      </c>
      <c r="AJ147" s="6" t="str">
        <f t="shared" si="26"/>
        <v>{(U4)0x00000008U,</v>
      </c>
      <c r="AK147" s="6" t="str">
        <f t="shared" si="27"/>
        <v>(U4)0x400001a5U,</v>
      </c>
      <c r="AL147" s="6" t="str">
        <f t="shared" si="28"/>
        <v>(U4)0x400001b9U,</v>
      </c>
      <c r="AM147" s="6" t="str">
        <f t="shared" si="29"/>
        <v>(U2)32U,</v>
      </c>
      <c r="AN147" s="6" t="str">
        <f t="shared" si="30"/>
        <v>(U2)72U},</v>
      </c>
      <c r="AO147" s="6" t="str">
        <f t="shared" si="31"/>
        <v/>
      </c>
      <c r="AP147" s="6" t="str">
        <f t="shared" si="32"/>
        <v>/* 8 : AVN1SD8 = 0x400001a5 */</v>
      </c>
    </row>
    <row r="148" spans="1:42">
      <c r="A148" s="15" t="str">
        <f t="shared" ref="A148:F157" si="35">A16</f>
        <v>AVN1SD9</v>
      </c>
      <c r="B148" s="15" t="str">
        <f t="shared" si="35"/>
        <v>1A7</v>
      </c>
      <c r="C148" s="15" t="str">
        <f t="shared" si="35"/>
        <v>1</v>
      </c>
      <c r="D148" s="15">
        <f t="shared" si="35"/>
        <v>32</v>
      </c>
      <c r="E148" s="15">
        <f t="shared" si="35"/>
        <v>200</v>
      </c>
      <c r="F148" s="15" t="str">
        <f t="shared" si="35"/>
        <v>0</v>
      </c>
      <c r="G148" s="16" t="str">
        <f t="shared" si="20"/>
        <v/>
      </c>
      <c r="H148" s="16" t="str">
        <f t="shared" si="20"/>
        <v/>
      </c>
      <c r="I148" s="16" t="str">
        <f t="shared" si="20"/>
        <v>T</v>
      </c>
      <c r="J148" s="16" t="str">
        <f t="shared" si="20"/>
        <v/>
      </c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89">
        <f t="shared" si="34"/>
        <v>10</v>
      </c>
      <c r="AA148" s="18"/>
      <c r="AB148" s="18" t="str">
        <f t="shared" si="21"/>
        <v>(U2)0x0009U,</v>
      </c>
      <c r="AC148" s="18" t="str">
        <f t="shared" si="22"/>
        <v>(U2)0xffffU,</v>
      </c>
      <c r="AD148" s="18" t="str">
        <f t="shared" si="23"/>
        <v>(U2)0xffffU,</v>
      </c>
      <c r="AE148" s="18" t="str">
        <f t="shared" si="33"/>
        <v>/* 30 */</v>
      </c>
      <c r="AF148" s="18"/>
      <c r="AG148" s="96"/>
      <c r="AH148" s="6" t="str">
        <f t="shared" si="24"/>
        <v/>
      </c>
      <c r="AI148" s="96" t="str">
        <f t="shared" si="25"/>
        <v xml:space="preserve">/* </v>
      </c>
      <c r="AJ148" s="6" t="str">
        <f t="shared" si="26"/>
        <v>{(U4)0x00000008U,</v>
      </c>
      <c r="AK148" s="6" t="str">
        <f t="shared" si="27"/>
        <v>(U4)0x400001a5U,</v>
      </c>
      <c r="AL148" s="6" t="str">
        <f t="shared" si="28"/>
        <v>(U4)0x400001b9U,</v>
      </c>
      <c r="AM148" s="6" t="str">
        <f t="shared" si="29"/>
        <v>(U2)32U,</v>
      </c>
      <c r="AN148" s="6" t="str">
        <f t="shared" si="30"/>
        <v>(U2)72U},</v>
      </c>
      <c r="AO148" s="6" t="str">
        <f t="shared" si="31"/>
        <v xml:space="preserve"> */</v>
      </c>
      <c r="AP148" s="6" t="str">
        <f t="shared" si="32"/>
        <v>/*   : AVN1SD9 = 0x400001a7 */</v>
      </c>
    </row>
    <row r="149" spans="1:42">
      <c r="A149" s="15" t="str">
        <f t="shared" si="35"/>
        <v>AVN1SE9</v>
      </c>
      <c r="B149" s="15" t="str">
        <f t="shared" si="35"/>
        <v>1A8</v>
      </c>
      <c r="C149" s="15" t="str">
        <f t="shared" si="35"/>
        <v>1</v>
      </c>
      <c r="D149" s="15">
        <f t="shared" si="35"/>
        <v>32</v>
      </c>
      <c r="E149" s="15">
        <f t="shared" si="35"/>
        <v>200</v>
      </c>
      <c r="F149" s="15" t="str">
        <f t="shared" si="35"/>
        <v>0</v>
      </c>
      <c r="G149" s="16" t="str">
        <f t="shared" si="20"/>
        <v/>
      </c>
      <c r="H149" s="16" t="str">
        <f t="shared" si="20"/>
        <v/>
      </c>
      <c r="I149" s="16" t="str">
        <f t="shared" si="20"/>
        <v>T</v>
      </c>
      <c r="J149" s="16" t="str">
        <f t="shared" si="20"/>
        <v/>
      </c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89">
        <f t="shared" si="34"/>
        <v>11</v>
      </c>
      <c r="AA149" s="18"/>
      <c r="AB149" s="18" t="str">
        <f t="shared" si="21"/>
        <v>(U2)0x000aU,</v>
      </c>
      <c r="AC149" s="18" t="str">
        <f t="shared" si="22"/>
        <v>(U2)0xffffU,</v>
      </c>
      <c r="AD149" s="18" t="str">
        <f t="shared" si="23"/>
        <v>(U2)0xffffU,</v>
      </c>
      <c r="AE149" s="18" t="str">
        <f t="shared" si="33"/>
        <v>/* 33 */</v>
      </c>
      <c r="AF149" s="18"/>
      <c r="AG149" s="96"/>
      <c r="AH149" s="6" t="str">
        <f t="shared" si="24"/>
        <v/>
      </c>
      <c r="AI149" s="96" t="str">
        <f t="shared" si="25"/>
        <v xml:space="preserve">/* </v>
      </c>
      <c r="AJ149" s="6" t="str">
        <f t="shared" si="26"/>
        <v>{(U4)0x00000008U,</v>
      </c>
      <c r="AK149" s="6" t="str">
        <f t="shared" si="27"/>
        <v>(U4)0x400001a5U,</v>
      </c>
      <c r="AL149" s="6" t="str">
        <f t="shared" si="28"/>
        <v>(U4)0x400001b9U,</v>
      </c>
      <c r="AM149" s="6" t="str">
        <f t="shared" si="29"/>
        <v>(U2)32U,</v>
      </c>
      <c r="AN149" s="6" t="str">
        <f t="shared" si="30"/>
        <v>(U2)72U},</v>
      </c>
      <c r="AO149" s="6" t="str">
        <f t="shared" si="31"/>
        <v xml:space="preserve"> */</v>
      </c>
      <c r="AP149" s="6" t="str">
        <f t="shared" si="32"/>
        <v>/*   : AVN1SE9 = 0x400001a8 */</v>
      </c>
    </row>
    <row r="150" spans="1:42">
      <c r="A150" s="15" t="str">
        <f t="shared" si="35"/>
        <v>AVN1SF1</v>
      </c>
      <c r="B150" s="15" t="str">
        <f t="shared" si="35"/>
        <v>1A9</v>
      </c>
      <c r="C150" s="15" t="str">
        <f t="shared" si="35"/>
        <v>1</v>
      </c>
      <c r="D150" s="15">
        <f t="shared" si="35"/>
        <v>32</v>
      </c>
      <c r="E150" s="15">
        <f t="shared" si="35"/>
        <v>200</v>
      </c>
      <c r="F150" s="15" t="str">
        <f t="shared" si="35"/>
        <v>0</v>
      </c>
      <c r="G150" s="16" t="str">
        <f t="shared" si="20"/>
        <v/>
      </c>
      <c r="H150" s="16" t="str">
        <f t="shared" si="20"/>
        <v/>
      </c>
      <c r="I150" s="16" t="str">
        <f t="shared" si="20"/>
        <v>T</v>
      </c>
      <c r="J150" s="16" t="str">
        <f t="shared" si="20"/>
        <v/>
      </c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89">
        <f t="shared" si="34"/>
        <v>12</v>
      </c>
      <c r="AA150" s="18"/>
      <c r="AB150" s="18" t="str">
        <f t="shared" si="21"/>
        <v>(U2)0x000bU,</v>
      </c>
      <c r="AC150" s="18" t="str">
        <f t="shared" si="22"/>
        <v>(U2)0xffffU,</v>
      </c>
      <c r="AD150" s="18" t="str">
        <f t="shared" si="23"/>
        <v>(U2)0xffffU,</v>
      </c>
      <c r="AE150" s="18" t="str">
        <f t="shared" si="33"/>
        <v>/* 36 */</v>
      </c>
      <c r="AF150" s="18"/>
      <c r="AG150" s="96"/>
      <c r="AH150" s="6" t="str">
        <f t="shared" si="24"/>
        <v/>
      </c>
      <c r="AI150" s="96" t="str">
        <f t="shared" si="25"/>
        <v xml:space="preserve">/* </v>
      </c>
      <c r="AJ150" s="6" t="str">
        <f t="shared" si="26"/>
        <v>{(U4)0x00000008U,</v>
      </c>
      <c r="AK150" s="6" t="str">
        <f t="shared" si="27"/>
        <v>(U4)0x400001a5U,</v>
      </c>
      <c r="AL150" s="6" t="str">
        <f t="shared" si="28"/>
        <v>(U4)0x400001b9U,</v>
      </c>
      <c r="AM150" s="6" t="str">
        <f t="shared" si="29"/>
        <v>(U2)32U,</v>
      </c>
      <c r="AN150" s="6" t="str">
        <f t="shared" si="30"/>
        <v>(U2)72U},</v>
      </c>
      <c r="AO150" s="6" t="str">
        <f t="shared" si="31"/>
        <v xml:space="preserve"> */</v>
      </c>
      <c r="AP150" s="6" t="str">
        <f t="shared" si="32"/>
        <v>/*   : AVN1SF1 = 0x400001a9 */</v>
      </c>
    </row>
    <row r="151" spans="1:42">
      <c r="A151" s="15" t="str">
        <f t="shared" si="35"/>
        <v>AVN1SF2</v>
      </c>
      <c r="B151" s="15" t="str">
        <f t="shared" si="35"/>
        <v>1AB</v>
      </c>
      <c r="C151" s="15" t="str">
        <f t="shared" si="35"/>
        <v>1</v>
      </c>
      <c r="D151" s="15">
        <f t="shared" si="35"/>
        <v>32</v>
      </c>
      <c r="E151" s="15">
        <f t="shared" si="35"/>
        <v>200</v>
      </c>
      <c r="F151" s="15" t="str">
        <f t="shared" si="35"/>
        <v>0</v>
      </c>
      <c r="G151" s="16" t="str">
        <f t="shared" si="20"/>
        <v/>
      </c>
      <c r="H151" s="16" t="str">
        <f t="shared" si="20"/>
        <v/>
      </c>
      <c r="I151" s="16" t="str">
        <f t="shared" si="20"/>
        <v>T</v>
      </c>
      <c r="J151" s="16" t="str">
        <f t="shared" si="20"/>
        <v/>
      </c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89">
        <f t="shared" si="34"/>
        <v>13</v>
      </c>
      <c r="AA151" s="18"/>
      <c r="AB151" s="18" t="str">
        <f t="shared" si="21"/>
        <v>(U2)0x000cU,</v>
      </c>
      <c r="AC151" s="18" t="str">
        <f t="shared" si="22"/>
        <v>(U2)0xffffU,</v>
      </c>
      <c r="AD151" s="18" t="str">
        <f t="shared" si="23"/>
        <v>(U2)0xffffU,</v>
      </c>
      <c r="AE151" s="18" t="str">
        <f t="shared" si="33"/>
        <v>/* 39 */</v>
      </c>
      <c r="AF151" s="18"/>
      <c r="AG151" s="96"/>
      <c r="AH151" s="6" t="str">
        <f t="shared" si="24"/>
        <v/>
      </c>
      <c r="AI151" s="96" t="str">
        <f t="shared" si="25"/>
        <v xml:space="preserve">/* </v>
      </c>
      <c r="AJ151" s="6" t="str">
        <f t="shared" si="26"/>
        <v>{(U4)0x00000008U,</v>
      </c>
      <c r="AK151" s="6" t="str">
        <f t="shared" si="27"/>
        <v>(U4)0x400001a5U,</v>
      </c>
      <c r="AL151" s="6" t="str">
        <f t="shared" si="28"/>
        <v>(U4)0x400001b9U,</v>
      </c>
      <c r="AM151" s="6" t="str">
        <f t="shared" si="29"/>
        <v>(U2)32U,</v>
      </c>
      <c r="AN151" s="6" t="str">
        <f t="shared" si="30"/>
        <v>(U2)72U},</v>
      </c>
      <c r="AO151" s="6" t="str">
        <f t="shared" si="31"/>
        <v xml:space="preserve"> */</v>
      </c>
      <c r="AP151" s="6" t="str">
        <f t="shared" si="32"/>
        <v>/*   : AVN1SF2 = 0x400001ab */</v>
      </c>
    </row>
    <row r="152" spans="1:42">
      <c r="A152" s="15" t="str">
        <f t="shared" si="35"/>
        <v>AVN1SF3</v>
      </c>
      <c r="B152" s="15" t="str">
        <f t="shared" si="35"/>
        <v>1AC</v>
      </c>
      <c r="C152" s="15" t="str">
        <f t="shared" si="35"/>
        <v>1</v>
      </c>
      <c r="D152" s="15">
        <f t="shared" si="35"/>
        <v>32</v>
      </c>
      <c r="E152" s="15">
        <f t="shared" si="35"/>
        <v>200</v>
      </c>
      <c r="F152" s="15" t="str">
        <f t="shared" si="35"/>
        <v>0</v>
      </c>
      <c r="G152" s="16" t="str">
        <f t="shared" si="20"/>
        <v/>
      </c>
      <c r="H152" s="16" t="str">
        <f t="shared" si="20"/>
        <v/>
      </c>
      <c r="I152" s="16" t="str">
        <f t="shared" si="20"/>
        <v>T</v>
      </c>
      <c r="J152" s="16" t="str">
        <f t="shared" si="20"/>
        <v/>
      </c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89">
        <f t="shared" si="34"/>
        <v>14</v>
      </c>
      <c r="AA152" s="18"/>
      <c r="AB152" s="18" t="str">
        <f t="shared" si="21"/>
        <v>(U2)0x000dU,</v>
      </c>
      <c r="AC152" s="18" t="str">
        <f t="shared" si="22"/>
        <v>(U2)0xffffU,</v>
      </c>
      <c r="AD152" s="18" t="str">
        <f t="shared" si="23"/>
        <v>(U2)0xffffU,</v>
      </c>
      <c r="AE152" s="18" t="str">
        <f t="shared" si="33"/>
        <v>/* 42 */</v>
      </c>
      <c r="AF152" s="18"/>
      <c r="AG152" s="96"/>
      <c r="AH152" s="6" t="str">
        <f t="shared" si="24"/>
        <v/>
      </c>
      <c r="AI152" s="96" t="str">
        <f t="shared" si="25"/>
        <v xml:space="preserve">/* </v>
      </c>
      <c r="AJ152" s="6" t="str">
        <f t="shared" si="26"/>
        <v>{(U4)0x00000008U,</v>
      </c>
      <c r="AK152" s="6" t="str">
        <f t="shared" si="27"/>
        <v>(U4)0x400001a5U,</v>
      </c>
      <c r="AL152" s="6" t="str">
        <f t="shared" si="28"/>
        <v>(U4)0x400001b9U,</v>
      </c>
      <c r="AM152" s="6" t="str">
        <f t="shared" si="29"/>
        <v>(U2)32U,</v>
      </c>
      <c r="AN152" s="6" t="str">
        <f t="shared" si="30"/>
        <v>(U2)72U},</v>
      </c>
      <c r="AO152" s="6" t="str">
        <f t="shared" si="31"/>
        <v xml:space="preserve"> */</v>
      </c>
      <c r="AP152" s="6" t="str">
        <f t="shared" si="32"/>
        <v>/*   : AVN1SF3 = 0x400001ac */</v>
      </c>
    </row>
    <row r="153" spans="1:42">
      <c r="A153" s="15" t="str">
        <f t="shared" si="35"/>
        <v>AVN1SE3</v>
      </c>
      <c r="B153" s="15" t="str">
        <f t="shared" si="35"/>
        <v>1AD</v>
      </c>
      <c r="C153" s="15" t="str">
        <f t="shared" si="35"/>
        <v>1</v>
      </c>
      <c r="D153" s="15">
        <f t="shared" si="35"/>
        <v>32</v>
      </c>
      <c r="E153" s="15">
        <f t="shared" si="35"/>
        <v>200</v>
      </c>
      <c r="F153" s="15" t="str">
        <f t="shared" si="35"/>
        <v>0</v>
      </c>
      <c r="G153" s="16" t="str">
        <f t="shared" si="20"/>
        <v/>
      </c>
      <c r="H153" s="16" t="str">
        <f t="shared" si="20"/>
        <v/>
      </c>
      <c r="I153" s="16" t="str">
        <f t="shared" si="20"/>
        <v>T</v>
      </c>
      <c r="J153" s="16" t="str">
        <f t="shared" si="20"/>
        <v/>
      </c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89">
        <f t="shared" si="34"/>
        <v>15</v>
      </c>
      <c r="AA153" s="18"/>
      <c r="AB153" s="18" t="str">
        <f t="shared" si="21"/>
        <v>(U2)0x000eU,</v>
      </c>
      <c r="AC153" s="18" t="str">
        <f t="shared" si="22"/>
        <v>(U2)0xffffU,</v>
      </c>
      <c r="AD153" s="18" t="str">
        <f t="shared" si="23"/>
        <v>(U2)0xffffU,</v>
      </c>
      <c r="AE153" s="18" t="str">
        <f t="shared" si="33"/>
        <v>/* 45 */</v>
      </c>
      <c r="AF153" s="18"/>
      <c r="AG153" s="96"/>
      <c r="AH153" s="6" t="str">
        <f t="shared" si="24"/>
        <v/>
      </c>
      <c r="AI153" s="96" t="str">
        <f t="shared" si="25"/>
        <v xml:space="preserve">/* </v>
      </c>
      <c r="AJ153" s="6" t="str">
        <f t="shared" si="26"/>
        <v>{(U4)0x00000008U,</v>
      </c>
      <c r="AK153" s="6" t="str">
        <f t="shared" si="27"/>
        <v>(U4)0x400001a5U,</v>
      </c>
      <c r="AL153" s="6" t="str">
        <f t="shared" si="28"/>
        <v>(U4)0x400001b9U,</v>
      </c>
      <c r="AM153" s="6" t="str">
        <f t="shared" si="29"/>
        <v>(U2)32U,</v>
      </c>
      <c r="AN153" s="6" t="str">
        <f t="shared" si="30"/>
        <v>(U2)72U},</v>
      </c>
      <c r="AO153" s="6" t="str">
        <f t="shared" si="31"/>
        <v xml:space="preserve"> */</v>
      </c>
      <c r="AP153" s="6" t="str">
        <f t="shared" si="32"/>
        <v>/*   : AVN1SE3 = 0x400001ad */</v>
      </c>
    </row>
    <row r="154" spans="1:42">
      <c r="A154" s="15" t="str">
        <f t="shared" si="35"/>
        <v>AVN1SE8</v>
      </c>
      <c r="B154" s="15" t="str">
        <f t="shared" si="35"/>
        <v>1AE</v>
      </c>
      <c r="C154" s="15" t="str">
        <f t="shared" si="35"/>
        <v>1</v>
      </c>
      <c r="D154" s="15">
        <f t="shared" si="35"/>
        <v>32</v>
      </c>
      <c r="E154" s="15">
        <f t="shared" si="35"/>
        <v>200</v>
      </c>
      <c r="F154" s="15" t="str">
        <f t="shared" si="35"/>
        <v>0</v>
      </c>
      <c r="G154" s="16" t="str">
        <f t="shared" si="20"/>
        <v/>
      </c>
      <c r="H154" s="16" t="str">
        <f t="shared" si="20"/>
        <v/>
      </c>
      <c r="I154" s="16" t="str">
        <f t="shared" si="20"/>
        <v>T</v>
      </c>
      <c r="J154" s="16" t="str">
        <f t="shared" si="20"/>
        <v/>
      </c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89">
        <f t="shared" si="34"/>
        <v>16</v>
      </c>
      <c r="AA154" s="18"/>
      <c r="AB154" s="18" t="str">
        <f t="shared" si="21"/>
        <v>(U2)0xffffU,</v>
      </c>
      <c r="AC154" s="18" t="str">
        <f t="shared" si="22"/>
        <v>(U2)0xff80U,</v>
      </c>
      <c r="AD154" s="18" t="str">
        <f t="shared" si="23"/>
        <v>(U2)0xffffU,</v>
      </c>
      <c r="AE154" s="18" t="str">
        <f t="shared" si="33"/>
        <v>/* 48 */</v>
      </c>
      <c r="AF154" s="18"/>
      <c r="AG154" s="96"/>
      <c r="AH154" s="6" t="str">
        <f t="shared" si="24"/>
        <v/>
      </c>
      <c r="AI154" s="96" t="str">
        <f t="shared" si="25"/>
        <v xml:space="preserve">/* </v>
      </c>
      <c r="AJ154" s="6" t="str">
        <f t="shared" si="26"/>
        <v>{(U4)0x00000008U,</v>
      </c>
      <c r="AK154" s="6" t="str">
        <f t="shared" si="27"/>
        <v>(U4)0x400001a5U,</v>
      </c>
      <c r="AL154" s="6" t="str">
        <f t="shared" si="28"/>
        <v>(U4)0x400001b9U,</v>
      </c>
      <c r="AM154" s="6" t="str">
        <f t="shared" si="29"/>
        <v>(U2)32U,</v>
      </c>
      <c r="AN154" s="6" t="str">
        <f t="shared" si="30"/>
        <v>(U2)72U},</v>
      </c>
      <c r="AO154" s="6" t="str">
        <f t="shared" si="31"/>
        <v xml:space="preserve"> */</v>
      </c>
      <c r="AP154" s="6" t="str">
        <f t="shared" si="32"/>
        <v>/*   : AVN1SE8 = 0x400001ae */</v>
      </c>
    </row>
    <row r="155" spans="1:42">
      <c r="A155" s="15" t="str">
        <f t="shared" si="35"/>
        <v>AVN1SE4</v>
      </c>
      <c r="B155" s="15" t="str">
        <f t="shared" si="35"/>
        <v>1AF</v>
      </c>
      <c r="C155" s="15" t="str">
        <f t="shared" si="35"/>
        <v>1</v>
      </c>
      <c r="D155" s="15">
        <f t="shared" si="35"/>
        <v>32</v>
      </c>
      <c r="E155" s="15">
        <f t="shared" si="35"/>
        <v>200</v>
      </c>
      <c r="F155" s="15" t="str">
        <f t="shared" si="35"/>
        <v>0</v>
      </c>
      <c r="G155" s="16" t="str">
        <f t="shared" si="20"/>
        <v/>
      </c>
      <c r="H155" s="16" t="str">
        <f t="shared" si="20"/>
        <v/>
      </c>
      <c r="I155" s="16" t="str">
        <f t="shared" si="20"/>
        <v>T</v>
      </c>
      <c r="J155" s="16" t="str">
        <f t="shared" si="20"/>
        <v/>
      </c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89">
        <f t="shared" si="34"/>
        <v>17</v>
      </c>
      <c r="AA155" s="18"/>
      <c r="AB155" s="18" t="str">
        <f t="shared" si="21"/>
        <v>(U2)0xffffU,</v>
      </c>
      <c r="AC155" s="18" t="str">
        <f t="shared" si="22"/>
        <v>(U2)0xff81U,</v>
      </c>
      <c r="AD155" s="18" t="str">
        <f t="shared" si="23"/>
        <v>(U2)0xffffU,</v>
      </c>
      <c r="AE155" s="18" t="str">
        <f t="shared" si="33"/>
        <v>/* 51 */</v>
      </c>
      <c r="AF155" s="18"/>
      <c r="AG155" s="96"/>
      <c r="AH155" s="6" t="str">
        <f t="shared" si="24"/>
        <v/>
      </c>
      <c r="AI155" s="96" t="str">
        <f t="shared" si="25"/>
        <v xml:space="preserve">/* </v>
      </c>
      <c r="AJ155" s="6" t="str">
        <f t="shared" si="26"/>
        <v>{(U4)0x00000008U,</v>
      </c>
      <c r="AK155" s="6" t="str">
        <f t="shared" si="27"/>
        <v>(U4)0x400001a5U,</v>
      </c>
      <c r="AL155" s="6" t="str">
        <f t="shared" si="28"/>
        <v>(U4)0x400001b9U,</v>
      </c>
      <c r="AM155" s="6" t="str">
        <f t="shared" si="29"/>
        <v>(U2)32U,</v>
      </c>
      <c r="AN155" s="6" t="str">
        <f t="shared" si="30"/>
        <v>(U2)72U},</v>
      </c>
      <c r="AO155" s="6" t="str">
        <f t="shared" si="31"/>
        <v xml:space="preserve"> */</v>
      </c>
      <c r="AP155" s="6" t="str">
        <f t="shared" si="32"/>
        <v>/*   : AVN1SE4 = 0x400001af */</v>
      </c>
    </row>
    <row r="156" spans="1:42">
      <c r="A156" s="15" t="str">
        <f t="shared" si="35"/>
        <v>AVN1SE5</v>
      </c>
      <c r="B156" s="15" t="str">
        <f t="shared" si="35"/>
        <v>1B0</v>
      </c>
      <c r="C156" s="15" t="str">
        <f t="shared" si="35"/>
        <v>1</v>
      </c>
      <c r="D156" s="15">
        <f t="shared" si="35"/>
        <v>32</v>
      </c>
      <c r="E156" s="15">
        <f t="shared" si="35"/>
        <v>200</v>
      </c>
      <c r="F156" s="15" t="str">
        <f t="shared" si="35"/>
        <v>0</v>
      </c>
      <c r="G156" s="16" t="str">
        <f t="shared" si="20"/>
        <v/>
      </c>
      <c r="H156" s="16" t="str">
        <f t="shared" si="20"/>
        <v/>
      </c>
      <c r="I156" s="16" t="str">
        <f t="shared" si="20"/>
        <v>T</v>
      </c>
      <c r="J156" s="16" t="str">
        <f t="shared" si="20"/>
        <v/>
      </c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89">
        <f t="shared" si="34"/>
        <v>18</v>
      </c>
      <c r="AA156" s="18"/>
      <c r="AB156" s="18" t="str">
        <f t="shared" si="21"/>
        <v>(U2)0xffffU,</v>
      </c>
      <c r="AC156" s="18" t="str">
        <f t="shared" si="22"/>
        <v>(U2)0xff82U,</v>
      </c>
      <c r="AD156" s="18" t="str">
        <f t="shared" si="23"/>
        <v>(U2)0xffffU,</v>
      </c>
      <c r="AE156" s="18" t="str">
        <f t="shared" si="33"/>
        <v>/* 54 */</v>
      </c>
      <c r="AF156" s="18"/>
      <c r="AG156" s="96"/>
      <c r="AH156" s="6" t="str">
        <f t="shared" si="24"/>
        <v/>
      </c>
      <c r="AI156" s="96" t="str">
        <f t="shared" si="25"/>
        <v xml:space="preserve">/* </v>
      </c>
      <c r="AJ156" s="6" t="str">
        <f t="shared" si="26"/>
        <v>{(U4)0x00000008U,</v>
      </c>
      <c r="AK156" s="6" t="str">
        <f t="shared" si="27"/>
        <v>(U4)0x400001a5U,</v>
      </c>
      <c r="AL156" s="6" t="str">
        <f t="shared" si="28"/>
        <v>(U4)0x400001b9U,</v>
      </c>
      <c r="AM156" s="6" t="str">
        <f t="shared" si="29"/>
        <v>(U2)32U,</v>
      </c>
      <c r="AN156" s="6" t="str">
        <f t="shared" si="30"/>
        <v>(U2)72U},</v>
      </c>
      <c r="AO156" s="6" t="str">
        <f t="shared" si="31"/>
        <v xml:space="preserve"> */</v>
      </c>
      <c r="AP156" s="6" t="str">
        <f t="shared" si="32"/>
        <v>/*   : AVN1SE5 = 0x400001b0 */</v>
      </c>
    </row>
    <row r="157" spans="1:42">
      <c r="A157" s="15" t="str">
        <f t="shared" si="35"/>
        <v>AVN1SE6</v>
      </c>
      <c r="B157" s="15" t="str">
        <f t="shared" si="35"/>
        <v>1B3</v>
      </c>
      <c r="C157" s="15" t="str">
        <f t="shared" si="35"/>
        <v>1</v>
      </c>
      <c r="D157" s="15">
        <f t="shared" si="35"/>
        <v>32</v>
      </c>
      <c r="E157" s="15">
        <f t="shared" si="35"/>
        <v>200</v>
      </c>
      <c r="F157" s="15" t="str">
        <f t="shared" si="35"/>
        <v>0</v>
      </c>
      <c r="G157" s="16" t="str">
        <f t="shared" si="20"/>
        <v/>
      </c>
      <c r="H157" s="16" t="str">
        <f t="shared" si="20"/>
        <v/>
      </c>
      <c r="I157" s="16" t="str">
        <f t="shared" si="20"/>
        <v>T</v>
      </c>
      <c r="J157" s="16" t="str">
        <f t="shared" si="20"/>
        <v/>
      </c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89">
        <f t="shared" si="34"/>
        <v>19</v>
      </c>
      <c r="AA157" s="18"/>
      <c r="AB157" s="18" t="str">
        <f t="shared" si="21"/>
        <v>(U2)0xffffU,</v>
      </c>
      <c r="AC157" s="18" t="str">
        <f t="shared" si="22"/>
        <v>(U2)0xff83U,</v>
      </c>
      <c r="AD157" s="18" t="str">
        <f t="shared" si="23"/>
        <v>(U2)0xffffU,</v>
      </c>
      <c r="AE157" s="18" t="str">
        <f t="shared" si="33"/>
        <v>/* 57 */</v>
      </c>
      <c r="AF157" s="18"/>
      <c r="AG157" s="96"/>
      <c r="AH157" s="6" t="str">
        <f t="shared" si="24"/>
        <v/>
      </c>
      <c r="AI157" s="96" t="str">
        <f t="shared" si="25"/>
        <v xml:space="preserve">/* </v>
      </c>
      <c r="AJ157" s="6" t="str">
        <f t="shared" si="26"/>
        <v>{(U4)0x00000008U,</v>
      </c>
      <c r="AK157" s="6" t="str">
        <f t="shared" si="27"/>
        <v>(U4)0x400001a5U,</v>
      </c>
      <c r="AL157" s="6" t="str">
        <f t="shared" si="28"/>
        <v>(U4)0x400001b9U,</v>
      </c>
      <c r="AM157" s="6" t="str">
        <f t="shared" si="29"/>
        <v>(U2)32U,</v>
      </c>
      <c r="AN157" s="6" t="str">
        <f t="shared" si="30"/>
        <v>(U2)72U},</v>
      </c>
      <c r="AO157" s="6" t="str">
        <f t="shared" si="31"/>
        <v xml:space="preserve"> */</v>
      </c>
      <c r="AP157" s="6" t="str">
        <f t="shared" si="32"/>
        <v>/*   : AVN1SE6 = 0x400001b3 */</v>
      </c>
    </row>
    <row r="158" spans="1:42">
      <c r="A158" s="15" t="str">
        <f t="shared" ref="A158:F167" si="36">A26</f>
        <v>AVN1SE7</v>
      </c>
      <c r="B158" s="15" t="str">
        <f t="shared" si="36"/>
        <v>1B4</v>
      </c>
      <c r="C158" s="15" t="str">
        <f t="shared" si="36"/>
        <v>1</v>
      </c>
      <c r="D158" s="15">
        <f t="shared" si="36"/>
        <v>32</v>
      </c>
      <c r="E158" s="15">
        <f t="shared" si="36"/>
        <v>200</v>
      </c>
      <c r="F158" s="15" t="str">
        <f t="shared" si="36"/>
        <v>0</v>
      </c>
      <c r="G158" s="16" t="str">
        <f t="shared" ref="G158:J177" si="37">IF(G26&lt;&gt;"",G26,"")</f>
        <v/>
      </c>
      <c r="H158" s="16" t="str">
        <f t="shared" si="37"/>
        <v/>
      </c>
      <c r="I158" s="16" t="str">
        <f t="shared" si="37"/>
        <v>T</v>
      </c>
      <c r="J158" s="16" t="str">
        <f t="shared" si="37"/>
        <v/>
      </c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89">
        <f t="shared" si="34"/>
        <v>20</v>
      </c>
      <c r="AA158" s="18"/>
      <c r="AB158" s="18" t="str">
        <f t="shared" si="21"/>
        <v>(U2)0xffffU,</v>
      </c>
      <c r="AC158" s="18" t="str">
        <f t="shared" si="22"/>
        <v>(U2)0xff84U,</v>
      </c>
      <c r="AD158" s="18" t="str">
        <f t="shared" si="23"/>
        <v>(U2)0xffffU,</v>
      </c>
      <c r="AE158" s="18" t="str">
        <f t="shared" si="33"/>
        <v>/* 60 */</v>
      </c>
      <c r="AF158" s="18"/>
      <c r="AG158" s="96"/>
      <c r="AH158" s="6" t="str">
        <f t="shared" si="24"/>
        <v/>
      </c>
      <c r="AI158" s="96" t="str">
        <f t="shared" si="25"/>
        <v xml:space="preserve">/* </v>
      </c>
      <c r="AJ158" s="6" t="str">
        <f t="shared" si="26"/>
        <v>{(U4)0x00000008U,</v>
      </c>
      <c r="AK158" s="6" t="str">
        <f t="shared" si="27"/>
        <v>(U4)0x400001a5U,</v>
      </c>
      <c r="AL158" s="6" t="str">
        <f t="shared" si="28"/>
        <v>(U4)0x400001b9U,</v>
      </c>
      <c r="AM158" s="6" t="str">
        <f t="shared" si="29"/>
        <v>(U2)32U,</v>
      </c>
      <c r="AN158" s="6" t="str">
        <f t="shared" si="30"/>
        <v>(U2)72U},</v>
      </c>
      <c r="AO158" s="6" t="str">
        <f t="shared" si="31"/>
        <v xml:space="preserve"> */</v>
      </c>
      <c r="AP158" s="6" t="str">
        <f t="shared" si="32"/>
        <v>/*   : AVN1SE7 = 0x400001b4 */</v>
      </c>
    </row>
    <row r="159" spans="1:42">
      <c r="A159" s="15" t="str">
        <f t="shared" si="36"/>
        <v>AVN1SE2</v>
      </c>
      <c r="B159" s="15" t="str">
        <f t="shared" si="36"/>
        <v>1B5</v>
      </c>
      <c r="C159" s="15" t="str">
        <f t="shared" si="36"/>
        <v>1</v>
      </c>
      <c r="D159" s="15">
        <f t="shared" si="36"/>
        <v>32</v>
      </c>
      <c r="E159" s="15">
        <f t="shared" si="36"/>
        <v>200</v>
      </c>
      <c r="F159" s="15" t="str">
        <f t="shared" si="36"/>
        <v>0</v>
      </c>
      <c r="G159" s="16" t="str">
        <f t="shared" si="37"/>
        <v/>
      </c>
      <c r="H159" s="16" t="str">
        <f t="shared" si="37"/>
        <v/>
      </c>
      <c r="I159" s="16" t="str">
        <f t="shared" si="37"/>
        <v>T</v>
      </c>
      <c r="J159" s="16" t="str">
        <f t="shared" si="37"/>
        <v/>
      </c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89">
        <f t="shared" si="34"/>
        <v>21</v>
      </c>
      <c r="AA159" s="18"/>
      <c r="AB159" s="18" t="str">
        <f t="shared" si="21"/>
        <v>(U2)0xffffU,</v>
      </c>
      <c r="AC159" s="18" t="str">
        <f t="shared" si="22"/>
        <v>(U2)0xff85U,</v>
      </c>
      <c r="AD159" s="18" t="str">
        <f t="shared" si="23"/>
        <v>(U2)0xffffU,</v>
      </c>
      <c r="AE159" s="18" t="str">
        <f t="shared" si="33"/>
        <v>/* 63 */</v>
      </c>
      <c r="AF159" s="18"/>
      <c r="AG159" s="96"/>
      <c r="AH159" s="6" t="str">
        <f t="shared" si="24"/>
        <v/>
      </c>
      <c r="AI159" s="96" t="str">
        <f t="shared" si="25"/>
        <v xml:space="preserve">/* </v>
      </c>
      <c r="AJ159" s="6" t="str">
        <f t="shared" si="26"/>
        <v>{(U4)0x00000008U,</v>
      </c>
      <c r="AK159" s="6" t="str">
        <f t="shared" si="27"/>
        <v>(U4)0x400001a5U,</v>
      </c>
      <c r="AL159" s="6" t="str">
        <f t="shared" si="28"/>
        <v>(U4)0x400001b9U,</v>
      </c>
      <c r="AM159" s="6" t="str">
        <f t="shared" si="29"/>
        <v>(U2)32U,</v>
      </c>
      <c r="AN159" s="6" t="str">
        <f t="shared" si="30"/>
        <v>(U2)72U},</v>
      </c>
      <c r="AO159" s="6" t="str">
        <f t="shared" si="31"/>
        <v xml:space="preserve"> */</v>
      </c>
      <c r="AP159" s="6" t="str">
        <f t="shared" si="32"/>
        <v>/*   : AVN1SE2 = 0x400001b5 */</v>
      </c>
    </row>
    <row r="160" spans="1:42">
      <c r="A160" s="15" t="str">
        <f t="shared" si="36"/>
        <v>AVN1SE1</v>
      </c>
      <c r="B160" s="15" t="str">
        <f t="shared" si="36"/>
        <v>1B7</v>
      </c>
      <c r="C160" s="15" t="str">
        <f t="shared" si="36"/>
        <v>1</v>
      </c>
      <c r="D160" s="15">
        <f t="shared" si="36"/>
        <v>32</v>
      </c>
      <c r="E160" s="15">
        <f t="shared" si="36"/>
        <v>200</v>
      </c>
      <c r="F160" s="15" t="str">
        <f t="shared" si="36"/>
        <v>0</v>
      </c>
      <c r="G160" s="16" t="str">
        <f t="shared" si="37"/>
        <v/>
      </c>
      <c r="H160" s="16" t="str">
        <f t="shared" si="37"/>
        <v/>
      </c>
      <c r="I160" s="16" t="str">
        <f t="shared" si="37"/>
        <v>T</v>
      </c>
      <c r="J160" s="16" t="str">
        <f t="shared" si="37"/>
        <v/>
      </c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89">
        <f t="shared" si="34"/>
        <v>22</v>
      </c>
      <c r="AA160" s="18"/>
      <c r="AB160" s="18" t="str">
        <f t="shared" si="21"/>
        <v>(U2)0xffffU,</v>
      </c>
      <c r="AC160" s="18" t="str">
        <f t="shared" si="22"/>
        <v>(U2)0xff86U,</v>
      </c>
      <c r="AD160" s="18" t="str">
        <f t="shared" si="23"/>
        <v>(U2)0xffffU,</v>
      </c>
      <c r="AE160" s="18" t="str">
        <f t="shared" si="33"/>
        <v>/* 66 */</v>
      </c>
      <c r="AF160" s="18"/>
      <c r="AG160" s="96"/>
      <c r="AH160" s="6" t="str">
        <f t="shared" si="24"/>
        <v/>
      </c>
      <c r="AI160" s="96" t="str">
        <f t="shared" si="25"/>
        <v xml:space="preserve">/* </v>
      </c>
      <c r="AJ160" s="6" t="str">
        <f t="shared" si="26"/>
        <v>{(U4)0x00000008U,</v>
      </c>
      <c r="AK160" s="6" t="str">
        <f t="shared" si="27"/>
        <v>(U4)0x400001a5U,</v>
      </c>
      <c r="AL160" s="6" t="str">
        <f t="shared" si="28"/>
        <v>(U4)0x400001b9U,</v>
      </c>
      <c r="AM160" s="6" t="str">
        <f t="shared" si="29"/>
        <v>(U2)32U,</v>
      </c>
      <c r="AN160" s="6" t="str">
        <f t="shared" si="30"/>
        <v>(U2)72U},</v>
      </c>
      <c r="AO160" s="6" t="str">
        <f t="shared" si="31"/>
        <v xml:space="preserve"> */</v>
      </c>
      <c r="AP160" s="6" t="str">
        <f t="shared" si="32"/>
        <v>/*   : AVN1SE1 = 0x400001b7 */</v>
      </c>
    </row>
    <row r="161" spans="1:42">
      <c r="A161" s="15" t="str">
        <f t="shared" si="36"/>
        <v>AVN1SF4</v>
      </c>
      <c r="B161" s="15" t="str">
        <f t="shared" si="36"/>
        <v>1B8</v>
      </c>
      <c r="C161" s="15" t="str">
        <f t="shared" si="36"/>
        <v>1</v>
      </c>
      <c r="D161" s="15">
        <f t="shared" si="36"/>
        <v>32</v>
      </c>
      <c r="E161" s="15">
        <f t="shared" si="36"/>
        <v>200</v>
      </c>
      <c r="F161" s="15" t="str">
        <f t="shared" si="36"/>
        <v>0</v>
      </c>
      <c r="G161" s="16" t="str">
        <f t="shared" si="37"/>
        <v/>
      </c>
      <c r="H161" s="16" t="str">
        <f t="shared" si="37"/>
        <v/>
      </c>
      <c r="I161" s="16" t="str">
        <f t="shared" si="37"/>
        <v>T</v>
      </c>
      <c r="J161" s="16" t="str">
        <f t="shared" si="37"/>
        <v/>
      </c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89">
        <f t="shared" si="34"/>
        <v>23</v>
      </c>
      <c r="AA161" s="18"/>
      <c r="AB161" s="18" t="str">
        <f t="shared" si="21"/>
        <v>(U2)0xffffU,</v>
      </c>
      <c r="AC161" s="18" t="str">
        <f t="shared" si="22"/>
        <v>(U2)0xff87U,</v>
      </c>
      <c r="AD161" s="18" t="str">
        <f t="shared" si="23"/>
        <v>(U2)0x0001U,</v>
      </c>
      <c r="AE161" s="18" t="str">
        <f t="shared" si="33"/>
        <v>/* 69 */</v>
      </c>
      <c r="AF161" s="18"/>
      <c r="AG161" s="96"/>
      <c r="AH161" s="6" t="str">
        <f t="shared" si="24"/>
        <v/>
      </c>
      <c r="AI161" s="96" t="str">
        <f t="shared" si="25"/>
        <v xml:space="preserve">/* </v>
      </c>
      <c r="AJ161" s="6" t="str">
        <f t="shared" si="26"/>
        <v>{(U4)0x00000008U,</v>
      </c>
      <c r="AK161" s="6" t="str">
        <f t="shared" si="27"/>
        <v>(U4)0x400001a5U,</v>
      </c>
      <c r="AL161" s="6" t="str">
        <f t="shared" si="28"/>
        <v>(U4)0x400001b9U,</v>
      </c>
      <c r="AM161" s="6" t="str">
        <f t="shared" si="29"/>
        <v>(U2)32U,</v>
      </c>
      <c r="AN161" s="6" t="str">
        <f t="shared" si="30"/>
        <v>(U2)72U},</v>
      </c>
      <c r="AO161" s="6" t="str">
        <f t="shared" si="31"/>
        <v xml:space="preserve"> */</v>
      </c>
      <c r="AP161" s="6" t="str">
        <f t="shared" si="32"/>
        <v>/*   : AVN1SF4 = 0x400001b8 */</v>
      </c>
    </row>
    <row r="162" spans="1:42">
      <c r="A162" s="15" t="str">
        <f t="shared" si="36"/>
        <v>AVN1SF5</v>
      </c>
      <c r="B162" s="15" t="str">
        <f t="shared" si="36"/>
        <v>1B9</v>
      </c>
      <c r="C162" s="15" t="str">
        <f t="shared" si="36"/>
        <v>1</v>
      </c>
      <c r="D162" s="15">
        <f t="shared" si="36"/>
        <v>32</v>
      </c>
      <c r="E162" s="15">
        <f t="shared" si="36"/>
        <v>200</v>
      </c>
      <c r="F162" s="15" t="str">
        <f t="shared" si="36"/>
        <v>0</v>
      </c>
      <c r="G162" s="16" t="str">
        <f t="shared" si="37"/>
        <v/>
      </c>
      <c r="H162" s="16" t="str">
        <f t="shared" si="37"/>
        <v/>
      </c>
      <c r="I162" s="16" t="str">
        <f t="shared" si="37"/>
        <v>T</v>
      </c>
      <c r="J162" s="16" t="str">
        <f t="shared" si="37"/>
        <v/>
      </c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89">
        <f t="shared" si="34"/>
        <v>24</v>
      </c>
      <c r="AA162" s="18"/>
      <c r="AB162" s="18" t="str">
        <f t="shared" si="21"/>
        <v>(U2)0xffffU,</v>
      </c>
      <c r="AC162" s="18" t="str">
        <f t="shared" si="22"/>
        <v>(U2)0xff88U,</v>
      </c>
      <c r="AD162" s="18" t="str">
        <f t="shared" si="23"/>
        <v>(U2)0xffffU,</v>
      </c>
      <c r="AE162" s="18" t="str">
        <f t="shared" si="33"/>
        <v>/* 72 */</v>
      </c>
      <c r="AF162" s="18"/>
      <c r="AG162" s="96"/>
      <c r="AH162" s="6" t="str">
        <f t="shared" si="24"/>
        <v/>
      </c>
      <c r="AI162" s="96" t="str">
        <f t="shared" si="25"/>
        <v xml:space="preserve">/* </v>
      </c>
      <c r="AJ162" s="6" t="str">
        <f t="shared" si="26"/>
        <v>{(U4)0x00000008U,</v>
      </c>
      <c r="AK162" s="6" t="str">
        <f t="shared" si="27"/>
        <v>(U4)0x400001a5U,</v>
      </c>
      <c r="AL162" s="6" t="str">
        <f t="shared" si="28"/>
        <v>(U4)0x400001b9U,</v>
      </c>
      <c r="AM162" s="6" t="str">
        <f t="shared" si="29"/>
        <v>(U2)32U,</v>
      </c>
      <c r="AN162" s="6" t="str">
        <f t="shared" si="30"/>
        <v>(U2)72U},</v>
      </c>
      <c r="AO162" s="6" t="str">
        <f t="shared" si="31"/>
        <v xml:space="preserve"> */</v>
      </c>
      <c r="AP162" s="6" t="str">
        <f t="shared" si="32"/>
        <v>/*   : AVN1SF5 = 0x400001b9 */</v>
      </c>
    </row>
    <row r="163" spans="1:42">
      <c r="A163" s="15" t="str">
        <f t="shared" si="36"/>
        <v>AVN1S52</v>
      </c>
      <c r="B163" s="15" t="str">
        <f t="shared" si="36"/>
        <v>1BD</v>
      </c>
      <c r="C163" s="15" t="str">
        <f t="shared" si="36"/>
        <v>1</v>
      </c>
      <c r="D163" s="15">
        <f t="shared" si="36"/>
        <v>8</v>
      </c>
      <c r="E163" s="15">
        <f t="shared" si="36"/>
        <v>200</v>
      </c>
      <c r="F163" s="15" t="str">
        <f t="shared" si="36"/>
        <v>0</v>
      </c>
      <c r="G163" s="16" t="str">
        <f t="shared" si="37"/>
        <v>T</v>
      </c>
      <c r="H163" s="16" t="str">
        <f t="shared" si="37"/>
        <v/>
      </c>
      <c r="I163" s="16" t="str">
        <f t="shared" si="37"/>
        <v/>
      </c>
      <c r="J163" s="16" t="str">
        <f t="shared" si="37"/>
        <v/>
      </c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89">
        <f t="shared" si="34"/>
        <v>25</v>
      </c>
      <c r="AA163" s="18"/>
      <c r="AB163" s="18" t="str">
        <f t="shared" si="21"/>
        <v>(U2)0xffffU,</v>
      </c>
      <c r="AC163" s="18" t="str">
        <f t="shared" si="22"/>
        <v>(U2)0xff89U,</v>
      </c>
      <c r="AD163" s="18" t="str">
        <f t="shared" si="23"/>
        <v>(U2)0xffffU,</v>
      </c>
      <c r="AE163" s="18" t="str">
        <f t="shared" si="33"/>
        <v>/* 75 */</v>
      </c>
      <c r="AF163" s="18"/>
      <c r="AG163" s="96"/>
      <c r="AH163" s="6">
        <f t="shared" si="24"/>
        <v>9</v>
      </c>
      <c r="AI163" s="96" t="str">
        <f t="shared" si="25"/>
        <v/>
      </c>
      <c r="AJ163" s="6" t="str">
        <f t="shared" si="26"/>
        <v>{(U4)0x00000004U,</v>
      </c>
      <c r="AK163" s="6" t="str">
        <f t="shared" si="27"/>
        <v>(U4)0x400001bdU,</v>
      </c>
      <c r="AL163" s="6" t="str">
        <f t="shared" si="28"/>
        <v>(U4)0x400001f6U,</v>
      </c>
      <c r="AM163" s="6" t="str">
        <f t="shared" si="29"/>
        <v>(U2)8U,</v>
      </c>
      <c r="AN163" s="6" t="str">
        <f t="shared" si="30"/>
        <v>(U2)48U},</v>
      </c>
      <c r="AO163" s="6" t="str">
        <f t="shared" si="31"/>
        <v/>
      </c>
      <c r="AP163" s="6" t="str">
        <f t="shared" si="32"/>
        <v>/* 9 : AVN1S52 = 0x400001bd */</v>
      </c>
    </row>
    <row r="164" spans="1:42">
      <c r="A164" s="15" t="str">
        <f t="shared" si="36"/>
        <v>MET1S47</v>
      </c>
      <c r="B164" s="15" t="str">
        <f t="shared" si="36"/>
        <v>1DC</v>
      </c>
      <c r="C164" s="15" t="str">
        <f t="shared" si="36"/>
        <v>1</v>
      </c>
      <c r="D164" s="15">
        <f t="shared" si="36"/>
        <v>8</v>
      </c>
      <c r="E164" s="15">
        <f t="shared" si="36"/>
        <v>300</v>
      </c>
      <c r="F164" s="15" t="str">
        <f t="shared" si="36"/>
        <v>0</v>
      </c>
      <c r="G164" s="16" t="str">
        <f t="shared" si="37"/>
        <v>T</v>
      </c>
      <c r="H164" s="16" t="str">
        <f t="shared" si="37"/>
        <v/>
      </c>
      <c r="I164" s="16" t="str">
        <f t="shared" si="37"/>
        <v/>
      </c>
      <c r="J164" s="16" t="str">
        <f t="shared" si="37"/>
        <v/>
      </c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89">
        <f t="shared" si="34"/>
        <v>26</v>
      </c>
      <c r="AA164" s="18"/>
      <c r="AB164" s="18" t="str">
        <f t="shared" si="21"/>
        <v>(U2)0xffffU,</v>
      </c>
      <c r="AC164" s="18" t="str">
        <f t="shared" si="22"/>
        <v>(U2)0xff8aU,</v>
      </c>
      <c r="AD164" s="18" t="str">
        <f t="shared" si="23"/>
        <v>(U2)0xffffU,</v>
      </c>
      <c r="AE164" s="18" t="str">
        <f t="shared" si="33"/>
        <v>/* 78 */</v>
      </c>
      <c r="AF164" s="18"/>
      <c r="AG164" s="96"/>
      <c r="AH164" s="6" t="str">
        <f t="shared" si="24"/>
        <v/>
      </c>
      <c r="AI164" s="96" t="str">
        <f t="shared" si="25"/>
        <v xml:space="preserve">/* </v>
      </c>
      <c r="AJ164" s="6" t="str">
        <f t="shared" si="26"/>
        <v>{(U4)0x00000004U,</v>
      </c>
      <c r="AK164" s="6" t="str">
        <f t="shared" si="27"/>
        <v>(U4)0x400001bdU,</v>
      </c>
      <c r="AL164" s="6" t="str">
        <f t="shared" si="28"/>
        <v>(U4)0x400001f6U,</v>
      </c>
      <c r="AM164" s="6" t="str">
        <f t="shared" si="29"/>
        <v>(U2)8U,</v>
      </c>
      <c r="AN164" s="6" t="str">
        <f t="shared" si="30"/>
        <v>(U2)48U},</v>
      </c>
      <c r="AO164" s="6" t="str">
        <f t="shared" si="31"/>
        <v xml:space="preserve"> */</v>
      </c>
      <c r="AP164" s="6" t="str">
        <f t="shared" si="32"/>
        <v>/*   : MET1S47 = 0x400001dc */</v>
      </c>
    </row>
    <row r="165" spans="1:42">
      <c r="A165" s="15" t="str">
        <f t="shared" si="36"/>
        <v>AVN1SA6</v>
      </c>
      <c r="B165" s="15" t="str">
        <f t="shared" si="36"/>
        <v>1EC</v>
      </c>
      <c r="C165" s="15" t="str">
        <f t="shared" si="36"/>
        <v>1</v>
      </c>
      <c r="D165" s="15">
        <f t="shared" si="36"/>
        <v>8</v>
      </c>
      <c r="E165" s="15">
        <f t="shared" si="36"/>
        <v>500</v>
      </c>
      <c r="F165" s="15" t="str">
        <f t="shared" si="36"/>
        <v>0</v>
      </c>
      <c r="G165" s="16" t="str">
        <f t="shared" si="37"/>
        <v>T</v>
      </c>
      <c r="H165" s="16" t="str">
        <f t="shared" si="37"/>
        <v/>
      </c>
      <c r="I165" s="16" t="str">
        <f t="shared" si="37"/>
        <v/>
      </c>
      <c r="J165" s="16" t="str">
        <f t="shared" si="37"/>
        <v/>
      </c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89">
        <f t="shared" si="34"/>
        <v>27</v>
      </c>
      <c r="AA165" s="18"/>
      <c r="AB165" s="18" t="str">
        <f t="shared" si="21"/>
        <v>(U2)0xffffU,</v>
      </c>
      <c r="AC165" s="18" t="str">
        <f t="shared" si="22"/>
        <v>(U2)0xff8bU,</v>
      </c>
      <c r="AD165" s="18" t="str">
        <f t="shared" si="23"/>
        <v>(U2)0xffffU,</v>
      </c>
      <c r="AE165" s="18" t="str">
        <f t="shared" si="33"/>
        <v>/* 81 */</v>
      </c>
      <c r="AF165" s="18"/>
      <c r="AG165" s="96"/>
      <c r="AH165" s="6" t="str">
        <f t="shared" si="24"/>
        <v/>
      </c>
      <c r="AI165" s="96" t="str">
        <f t="shared" si="25"/>
        <v xml:space="preserve">/* </v>
      </c>
      <c r="AJ165" s="6" t="str">
        <f t="shared" si="26"/>
        <v>{(U4)0x00000004U,</v>
      </c>
      <c r="AK165" s="6" t="str">
        <f t="shared" si="27"/>
        <v>(U4)0x400001bdU,</v>
      </c>
      <c r="AL165" s="6" t="str">
        <f t="shared" si="28"/>
        <v>(U4)0x400001f6U,</v>
      </c>
      <c r="AM165" s="6" t="str">
        <f t="shared" si="29"/>
        <v>(U2)8U,</v>
      </c>
      <c r="AN165" s="6" t="str">
        <f t="shared" si="30"/>
        <v>(U2)48U},</v>
      </c>
      <c r="AO165" s="6" t="str">
        <f t="shared" si="31"/>
        <v xml:space="preserve"> */</v>
      </c>
      <c r="AP165" s="6" t="str">
        <f t="shared" si="32"/>
        <v>/*   : AVN1SA6 = 0x400001ec */</v>
      </c>
    </row>
    <row r="166" spans="1:42">
      <c r="A166" s="15" t="str">
        <f t="shared" si="36"/>
        <v>AVN1SB9</v>
      </c>
      <c r="B166" s="15" t="str">
        <f t="shared" si="36"/>
        <v>1F2</v>
      </c>
      <c r="C166" s="15" t="str">
        <f t="shared" si="36"/>
        <v>1</v>
      </c>
      <c r="D166" s="15">
        <f t="shared" si="36"/>
        <v>8</v>
      </c>
      <c r="E166" s="15">
        <f t="shared" si="36"/>
        <v>500</v>
      </c>
      <c r="F166" s="15" t="str">
        <f t="shared" si="36"/>
        <v>0</v>
      </c>
      <c r="G166" s="16" t="str">
        <f t="shared" si="37"/>
        <v>T</v>
      </c>
      <c r="H166" s="16" t="str">
        <f t="shared" si="37"/>
        <v/>
      </c>
      <c r="I166" s="16" t="str">
        <f t="shared" si="37"/>
        <v/>
      </c>
      <c r="J166" s="16" t="str">
        <f t="shared" si="37"/>
        <v/>
      </c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89">
        <f t="shared" si="34"/>
        <v>28</v>
      </c>
      <c r="AA166" s="18"/>
      <c r="AB166" s="18" t="str">
        <f t="shared" si="21"/>
        <v>(U2)0xffffU,</v>
      </c>
      <c r="AC166" s="18" t="str">
        <f t="shared" si="22"/>
        <v>(U2)0xff8cU,</v>
      </c>
      <c r="AD166" s="18" t="str">
        <f t="shared" si="23"/>
        <v>(U2)0xffffU,</v>
      </c>
      <c r="AE166" s="18" t="str">
        <f t="shared" si="33"/>
        <v>/* 84 */</v>
      </c>
      <c r="AF166" s="18"/>
      <c r="AG166" s="96"/>
      <c r="AH166" s="6" t="str">
        <f t="shared" si="24"/>
        <v/>
      </c>
      <c r="AI166" s="96" t="str">
        <f t="shared" si="25"/>
        <v xml:space="preserve">/* </v>
      </c>
      <c r="AJ166" s="6" t="str">
        <f t="shared" si="26"/>
        <v>{(U4)0x00000004U,</v>
      </c>
      <c r="AK166" s="6" t="str">
        <f t="shared" si="27"/>
        <v>(U4)0x400001bdU,</v>
      </c>
      <c r="AL166" s="6" t="str">
        <f t="shared" si="28"/>
        <v>(U4)0x400001f6U,</v>
      </c>
      <c r="AM166" s="6" t="str">
        <f t="shared" si="29"/>
        <v>(U2)8U,</v>
      </c>
      <c r="AN166" s="6" t="str">
        <f t="shared" si="30"/>
        <v>(U2)48U},</v>
      </c>
      <c r="AO166" s="6" t="str">
        <f t="shared" si="31"/>
        <v xml:space="preserve"> */</v>
      </c>
      <c r="AP166" s="6" t="str">
        <f t="shared" si="32"/>
        <v>/*   : AVN1SB9 = 0x400001f2 */</v>
      </c>
    </row>
    <row r="167" spans="1:42">
      <c r="A167" s="15" t="str">
        <f t="shared" si="36"/>
        <v>MET1S01</v>
      </c>
      <c r="B167" s="15" t="str">
        <f t="shared" si="36"/>
        <v>1F6</v>
      </c>
      <c r="C167" s="15" t="str">
        <f t="shared" si="36"/>
        <v>1</v>
      </c>
      <c r="D167" s="15">
        <f t="shared" si="36"/>
        <v>8</v>
      </c>
      <c r="E167" s="15">
        <f t="shared" si="36"/>
        <v>500</v>
      </c>
      <c r="F167" s="15" t="str">
        <f t="shared" si="36"/>
        <v>0</v>
      </c>
      <c r="G167" s="16" t="str">
        <f t="shared" si="37"/>
        <v>T</v>
      </c>
      <c r="H167" s="16" t="str">
        <f t="shared" si="37"/>
        <v/>
      </c>
      <c r="I167" s="16" t="str">
        <f t="shared" si="37"/>
        <v/>
      </c>
      <c r="J167" s="16" t="str">
        <f t="shared" si="37"/>
        <v/>
      </c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89">
        <f t="shared" si="34"/>
        <v>29</v>
      </c>
      <c r="AA167" s="18"/>
      <c r="AB167" s="18" t="str">
        <f t="shared" si="21"/>
        <v>(U2)0xffffU,</v>
      </c>
      <c r="AC167" s="18" t="str">
        <f t="shared" si="22"/>
        <v>(U2)0xff8dU,</v>
      </c>
      <c r="AD167" s="18" t="str">
        <f t="shared" si="23"/>
        <v>(U2)0xffffU,</v>
      </c>
      <c r="AE167" s="18" t="str">
        <f t="shared" si="33"/>
        <v>/* 87 */</v>
      </c>
      <c r="AF167" s="18"/>
      <c r="AG167" s="96"/>
      <c r="AH167" s="6" t="str">
        <f t="shared" si="24"/>
        <v/>
      </c>
      <c r="AI167" s="96" t="str">
        <f t="shared" si="25"/>
        <v xml:space="preserve">/* </v>
      </c>
      <c r="AJ167" s="6" t="str">
        <f t="shared" si="26"/>
        <v>{(U4)0x00000004U,</v>
      </c>
      <c r="AK167" s="6" t="str">
        <f t="shared" si="27"/>
        <v>(U4)0x400001bdU,</v>
      </c>
      <c r="AL167" s="6" t="str">
        <f t="shared" si="28"/>
        <v>(U4)0x400001f6U,</v>
      </c>
      <c r="AM167" s="6" t="str">
        <f t="shared" si="29"/>
        <v>(U2)8U,</v>
      </c>
      <c r="AN167" s="6" t="str">
        <f t="shared" si="30"/>
        <v>(U2)48U},</v>
      </c>
      <c r="AO167" s="6" t="str">
        <f t="shared" si="31"/>
        <v xml:space="preserve"> */</v>
      </c>
      <c r="AP167" s="6" t="str">
        <f t="shared" si="32"/>
        <v>/*   : MET1S01 = 0x400001f6 */</v>
      </c>
    </row>
    <row r="168" spans="1:42">
      <c r="A168" s="15" t="str">
        <f t="shared" ref="A168:F177" si="38">A36</f>
        <v>MET1S55</v>
      </c>
      <c r="B168" s="15" t="str">
        <f t="shared" si="38"/>
        <v>1F7</v>
      </c>
      <c r="C168" s="15" t="str">
        <f t="shared" si="38"/>
        <v>1</v>
      </c>
      <c r="D168" s="15">
        <f t="shared" si="38"/>
        <v>32</v>
      </c>
      <c r="E168" s="15">
        <f t="shared" si="38"/>
        <v>500</v>
      </c>
      <c r="F168" s="15" t="str">
        <f t="shared" si="38"/>
        <v>0</v>
      </c>
      <c r="G168" s="16" t="str">
        <f t="shared" si="37"/>
        <v>T</v>
      </c>
      <c r="H168" s="16" t="str">
        <f t="shared" si="37"/>
        <v/>
      </c>
      <c r="I168" s="16" t="str">
        <f t="shared" si="37"/>
        <v/>
      </c>
      <c r="J168" s="16" t="str">
        <f t="shared" si="37"/>
        <v/>
      </c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89"/>
      <c r="AA168" s="18"/>
      <c r="AF168" s="18"/>
      <c r="AG168" s="96"/>
      <c r="AH168" s="6">
        <f t="shared" si="24"/>
        <v>10</v>
      </c>
      <c r="AI168" s="96" t="str">
        <f t="shared" si="25"/>
        <v/>
      </c>
      <c r="AJ168" s="6" t="str">
        <f t="shared" si="26"/>
        <v>{(U4)0x00000004U,</v>
      </c>
      <c r="AK168" s="6" t="str">
        <f t="shared" si="27"/>
        <v>(U4)0x400001f7U,</v>
      </c>
      <c r="AL168" s="6" t="str">
        <f t="shared" si="28"/>
        <v>(U4)0x400001f7U,</v>
      </c>
      <c r="AM168" s="6" t="str">
        <f t="shared" si="29"/>
        <v>(U2)32U,</v>
      </c>
      <c r="AN168" s="6" t="str">
        <f t="shared" si="30"/>
        <v>(U2)48U},</v>
      </c>
      <c r="AO168" s="6" t="str">
        <f t="shared" si="31"/>
        <v/>
      </c>
      <c r="AP168" s="6" t="str">
        <f t="shared" si="32"/>
        <v>/* 10 : MET1S55 = 0x400001f7 */</v>
      </c>
    </row>
    <row r="169" spans="1:42">
      <c r="A169" s="15" t="str">
        <f t="shared" si="38"/>
        <v>AVN1S40</v>
      </c>
      <c r="B169" s="15" t="str">
        <f t="shared" si="38"/>
        <v>1FC</v>
      </c>
      <c r="C169" s="15" t="str">
        <f t="shared" si="38"/>
        <v>1</v>
      </c>
      <c r="D169" s="15">
        <f t="shared" si="38"/>
        <v>8</v>
      </c>
      <c r="E169" s="15">
        <f t="shared" si="38"/>
        <v>500</v>
      </c>
      <c r="F169" s="15" t="str">
        <f t="shared" si="38"/>
        <v>0</v>
      </c>
      <c r="G169" s="16" t="str">
        <f t="shared" si="37"/>
        <v/>
      </c>
      <c r="H169" s="16" t="str">
        <f t="shared" si="37"/>
        <v/>
      </c>
      <c r="I169" s="16" t="str">
        <f t="shared" si="37"/>
        <v>T</v>
      </c>
      <c r="J169" s="16" t="str">
        <f t="shared" si="37"/>
        <v/>
      </c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89"/>
      <c r="AA169" s="18"/>
      <c r="AF169" s="18"/>
      <c r="AG169" s="96"/>
      <c r="AH169" s="6">
        <f t="shared" si="24"/>
        <v>11</v>
      </c>
      <c r="AI169" s="96" t="str">
        <f t="shared" si="25"/>
        <v/>
      </c>
      <c r="AJ169" s="6" t="str">
        <f t="shared" si="26"/>
        <v>{(U4)0x00000008U,</v>
      </c>
      <c r="AK169" s="6" t="str">
        <f t="shared" si="27"/>
        <v>(U4)0x400001fcU,</v>
      </c>
      <c r="AL169" s="6" t="str">
        <f t="shared" si="28"/>
        <v>(U4)0x400001ffU,</v>
      </c>
      <c r="AM169" s="6" t="str">
        <f t="shared" si="29"/>
        <v>(U2)8U,</v>
      </c>
      <c r="AN169" s="6" t="str">
        <f t="shared" si="30"/>
        <v>(U2)75U},</v>
      </c>
      <c r="AO169" s="6" t="str">
        <f t="shared" si="31"/>
        <v/>
      </c>
      <c r="AP169" s="6" t="str">
        <f t="shared" si="32"/>
        <v>/* 11 : AVN1S40 = 0x400001fc */</v>
      </c>
    </row>
    <row r="170" spans="1:42">
      <c r="A170" s="15" t="str">
        <f t="shared" si="38"/>
        <v>AVN1S41</v>
      </c>
      <c r="B170" s="15" t="str">
        <f t="shared" si="38"/>
        <v>1FD</v>
      </c>
      <c r="C170" s="15" t="str">
        <f t="shared" si="38"/>
        <v>1</v>
      </c>
      <c r="D170" s="15">
        <f t="shared" si="38"/>
        <v>8</v>
      </c>
      <c r="E170" s="15">
        <f t="shared" si="38"/>
        <v>500</v>
      </c>
      <c r="F170" s="15" t="str">
        <f t="shared" si="38"/>
        <v>0</v>
      </c>
      <c r="G170" s="16" t="str">
        <f t="shared" si="37"/>
        <v/>
      </c>
      <c r="H170" s="16" t="str">
        <f t="shared" si="37"/>
        <v/>
      </c>
      <c r="I170" s="16" t="str">
        <f t="shared" si="37"/>
        <v>T</v>
      </c>
      <c r="J170" s="16" t="str">
        <f t="shared" si="37"/>
        <v/>
      </c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89"/>
      <c r="AA170" s="18"/>
      <c r="AF170" s="18"/>
      <c r="AG170" s="96"/>
      <c r="AH170" s="6" t="str">
        <f t="shared" ref="AH170:AH201" si="39">IF($AH38&lt;&gt;"",$AH38,"")</f>
        <v/>
      </c>
      <c r="AI170" s="96" t="str">
        <f t="shared" ref="AI170:AI201" si="40">IF($AH38&lt;&gt;"","", "/* ")</f>
        <v xml:space="preserve">/* </v>
      </c>
      <c r="AJ170" s="6" t="str">
        <f t="shared" ref="AJ170:AJ193" si="41">IF($AH38&lt;&gt;"","{(U4)0x"&amp;LOWER(DEC2HEX($U38*$U$3+$T38*$T$3+$V38*$V$3+$W38*$W$3+$Y38*$Y$3+K38*$K$3,8))&amp;"U,",AJ169)</f>
        <v>{(U4)0x00000008U,</v>
      </c>
      <c r="AK170" s="6" t="str">
        <f t="shared" ref="AK170:AK193" si="42">IF($AH38&lt;&gt;"", "(U4)"&amp;LOWER($AL38)&amp;"U,",AK169)</f>
        <v>(U4)0x400001fcU,</v>
      </c>
      <c r="AL170" s="6" t="str">
        <f t="shared" ref="AL170:AL193" si="43">IF($AH38&lt;&gt;"", "(U4)"&amp;LOWER($AM38)&amp;"U,",AL169)</f>
        <v>(U4)0x400001ffU,</v>
      </c>
      <c r="AM170" s="6" t="str">
        <f t="shared" ref="AM170:AM193" si="44" xml:space="preserve"> IF($AH38&lt;&gt;"", "(U2)"&amp;$AN38&amp;"U,",AM169)</f>
        <v>(U2)8U,</v>
      </c>
      <c r="AN170" s="6" t="str">
        <f t="shared" ref="AN170:AN193" si="45" xml:space="preserve"> IF($AH38&lt;&gt;"", "(U2)"&amp;$AA38*$Z$3&amp;"U},",AN169)</f>
        <v>(U2)75U},</v>
      </c>
      <c r="AO170" s="6" t="str">
        <f t="shared" ref="AO170:AO201" si="46">IF($AH38&lt;&gt;"","", " */")</f>
        <v xml:space="preserve"> */</v>
      </c>
      <c r="AP170" s="6" t="str">
        <f t="shared" ref="AP170:AP201" si="47">"/* "&amp;IF($AH38&lt;&gt;"",$AH38," ")&amp;" : "&amp;A38&amp;" = "&amp;LOWER($AJ38)&amp;" */"</f>
        <v>/*   : AVN1S41 = 0x400001fd */</v>
      </c>
    </row>
    <row r="171" spans="1:42">
      <c r="A171" s="15" t="str">
        <f t="shared" si="38"/>
        <v>AVN1S42</v>
      </c>
      <c r="B171" s="15" t="str">
        <f t="shared" si="38"/>
        <v>1FE</v>
      </c>
      <c r="C171" s="15" t="str">
        <f t="shared" si="38"/>
        <v>1</v>
      </c>
      <c r="D171" s="15">
        <f t="shared" si="38"/>
        <v>8</v>
      </c>
      <c r="E171" s="15">
        <f t="shared" si="38"/>
        <v>500</v>
      </c>
      <c r="F171" s="15" t="str">
        <f t="shared" si="38"/>
        <v>0</v>
      </c>
      <c r="G171" s="16" t="str">
        <f t="shared" si="37"/>
        <v/>
      </c>
      <c r="H171" s="16" t="str">
        <f t="shared" si="37"/>
        <v/>
      </c>
      <c r="I171" s="16" t="str">
        <f t="shared" si="37"/>
        <v>T</v>
      </c>
      <c r="J171" s="16" t="str">
        <f t="shared" si="37"/>
        <v/>
      </c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89"/>
      <c r="AA171" s="18"/>
      <c r="AF171" s="18"/>
      <c r="AG171" s="96"/>
      <c r="AH171" s="6" t="str">
        <f t="shared" si="39"/>
        <v/>
      </c>
      <c r="AI171" s="96" t="str">
        <f t="shared" si="40"/>
        <v xml:space="preserve">/* </v>
      </c>
      <c r="AJ171" s="6" t="str">
        <f t="shared" si="41"/>
        <v>{(U4)0x00000008U,</v>
      </c>
      <c r="AK171" s="6" t="str">
        <f t="shared" si="42"/>
        <v>(U4)0x400001fcU,</v>
      </c>
      <c r="AL171" s="6" t="str">
        <f t="shared" si="43"/>
        <v>(U4)0x400001ffU,</v>
      </c>
      <c r="AM171" s="6" t="str">
        <f t="shared" si="44"/>
        <v>(U2)8U,</v>
      </c>
      <c r="AN171" s="6" t="str">
        <f t="shared" si="45"/>
        <v>(U2)75U},</v>
      </c>
      <c r="AO171" s="6" t="str">
        <f t="shared" si="46"/>
        <v xml:space="preserve"> */</v>
      </c>
      <c r="AP171" s="6" t="str">
        <f t="shared" si="47"/>
        <v>/*   : AVN1S42 = 0x400001fe */</v>
      </c>
    </row>
    <row r="172" spans="1:42">
      <c r="A172" s="15" t="str">
        <f t="shared" si="38"/>
        <v>AVN1S43</v>
      </c>
      <c r="B172" s="15" t="str">
        <f t="shared" si="38"/>
        <v>1FF</v>
      </c>
      <c r="C172" s="15" t="str">
        <f t="shared" si="38"/>
        <v>1</v>
      </c>
      <c r="D172" s="15">
        <f t="shared" si="38"/>
        <v>8</v>
      </c>
      <c r="E172" s="15">
        <f t="shared" si="38"/>
        <v>500</v>
      </c>
      <c r="F172" s="15" t="str">
        <f t="shared" si="38"/>
        <v>0</v>
      </c>
      <c r="G172" s="16" t="str">
        <f t="shared" si="37"/>
        <v/>
      </c>
      <c r="H172" s="16" t="str">
        <f t="shared" si="37"/>
        <v/>
      </c>
      <c r="I172" s="16" t="str">
        <f t="shared" si="37"/>
        <v>T</v>
      </c>
      <c r="J172" s="16" t="str">
        <f t="shared" si="37"/>
        <v/>
      </c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89"/>
      <c r="AA172" s="18"/>
      <c r="AF172" s="18"/>
      <c r="AG172" s="96"/>
      <c r="AH172" s="6" t="str">
        <f t="shared" si="39"/>
        <v/>
      </c>
      <c r="AI172" s="96" t="str">
        <f t="shared" si="40"/>
        <v xml:space="preserve">/* </v>
      </c>
      <c r="AJ172" s="6" t="str">
        <f t="shared" si="41"/>
        <v>{(U4)0x00000008U,</v>
      </c>
      <c r="AK172" s="6" t="str">
        <f t="shared" si="42"/>
        <v>(U4)0x400001fcU,</v>
      </c>
      <c r="AL172" s="6" t="str">
        <f t="shared" si="43"/>
        <v>(U4)0x400001ffU,</v>
      </c>
      <c r="AM172" s="6" t="str">
        <f t="shared" si="44"/>
        <v>(U2)8U,</v>
      </c>
      <c r="AN172" s="6" t="str">
        <f t="shared" si="45"/>
        <v>(U2)75U},</v>
      </c>
      <c r="AO172" s="6" t="str">
        <f t="shared" si="46"/>
        <v xml:space="preserve"> */</v>
      </c>
      <c r="AP172" s="6" t="str">
        <f t="shared" si="47"/>
        <v>/*   : AVN1S43 = 0x400001ff */</v>
      </c>
    </row>
    <row r="173" spans="1:42">
      <c r="A173" s="15" t="str">
        <f t="shared" si="38"/>
        <v>MET1S44</v>
      </c>
      <c r="B173" s="15" t="str">
        <f t="shared" si="38"/>
        <v>24D</v>
      </c>
      <c r="C173" s="15" t="str">
        <f t="shared" si="38"/>
        <v>1</v>
      </c>
      <c r="D173" s="15">
        <f t="shared" si="38"/>
        <v>32</v>
      </c>
      <c r="E173" s="15">
        <f t="shared" si="38"/>
        <v>1000</v>
      </c>
      <c r="F173" s="15" t="str">
        <f t="shared" si="38"/>
        <v>1</v>
      </c>
      <c r="G173" s="16" t="str">
        <f t="shared" si="37"/>
        <v/>
      </c>
      <c r="H173" s="16" t="str">
        <f t="shared" si="37"/>
        <v/>
      </c>
      <c r="I173" s="16" t="str">
        <f t="shared" si="37"/>
        <v>T</v>
      </c>
      <c r="J173" s="16" t="str">
        <f t="shared" si="37"/>
        <v/>
      </c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89"/>
      <c r="AA173" s="18"/>
      <c r="AF173" s="18"/>
      <c r="AG173" s="96"/>
      <c r="AH173" s="6">
        <f t="shared" si="39"/>
        <v>12</v>
      </c>
      <c r="AI173" s="96" t="str">
        <f t="shared" si="40"/>
        <v/>
      </c>
      <c r="AJ173" s="6" t="str">
        <f t="shared" si="41"/>
        <v>{(U4)0x00000001U,</v>
      </c>
      <c r="AK173" s="6" t="str">
        <f t="shared" si="42"/>
        <v>(U4)0x4000024dU,</v>
      </c>
      <c r="AL173" s="6" t="str">
        <f t="shared" si="43"/>
        <v>(U4)0x4000024dU,</v>
      </c>
      <c r="AM173" s="6" t="str">
        <f t="shared" si="44"/>
        <v>(U2)32U,</v>
      </c>
      <c r="AN173" s="6" t="str">
        <f t="shared" si="45"/>
        <v>(U2)0U},</v>
      </c>
      <c r="AO173" s="6" t="str">
        <f t="shared" si="46"/>
        <v/>
      </c>
      <c r="AP173" s="6" t="str">
        <f t="shared" si="47"/>
        <v>/* 12 : MET1S44 = 0x4000024d */</v>
      </c>
    </row>
    <row r="174" spans="1:42">
      <c r="A174" s="15" t="str">
        <f t="shared" si="38"/>
        <v>AVN1S73</v>
      </c>
      <c r="B174" s="15" t="str">
        <f t="shared" si="38"/>
        <v>2AA</v>
      </c>
      <c r="C174" s="15" t="str">
        <f t="shared" si="38"/>
        <v>1</v>
      </c>
      <c r="D174" s="15">
        <f t="shared" si="38"/>
        <v>8</v>
      </c>
      <c r="E174" s="15">
        <f t="shared" si="38"/>
        <v>1000</v>
      </c>
      <c r="F174" s="15" t="str">
        <f t="shared" si="38"/>
        <v>0</v>
      </c>
      <c r="G174" s="16" t="str">
        <f t="shared" si="37"/>
        <v>T</v>
      </c>
      <c r="H174" s="16" t="str">
        <f t="shared" si="37"/>
        <v/>
      </c>
      <c r="I174" s="16" t="str">
        <f t="shared" si="37"/>
        <v/>
      </c>
      <c r="J174" s="16" t="str">
        <f t="shared" si="37"/>
        <v/>
      </c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89"/>
      <c r="AA174" s="18"/>
      <c r="AF174" s="18"/>
      <c r="AG174" s="96"/>
      <c r="AH174" s="6">
        <f t="shared" si="39"/>
        <v>13</v>
      </c>
      <c r="AI174" s="96" t="str">
        <f t="shared" si="40"/>
        <v/>
      </c>
      <c r="AJ174" s="6" t="str">
        <f t="shared" si="41"/>
        <v>{(U4)0x00000004U,</v>
      </c>
      <c r="AK174" s="6" t="str">
        <f t="shared" si="42"/>
        <v>(U4)0x400002aaU,</v>
      </c>
      <c r="AL174" s="6" t="str">
        <f t="shared" si="43"/>
        <v>(U4)0x400002aaU,</v>
      </c>
      <c r="AM174" s="6" t="str">
        <f t="shared" si="44"/>
        <v>(U2)8U,</v>
      </c>
      <c r="AN174" s="6" t="str">
        <f t="shared" si="45"/>
        <v>(U2)51U},</v>
      </c>
      <c r="AO174" s="6" t="str">
        <f t="shared" si="46"/>
        <v/>
      </c>
      <c r="AP174" s="6" t="str">
        <f t="shared" si="47"/>
        <v>/* 13 : AVN1S73 = 0x400002aa */</v>
      </c>
    </row>
    <row r="175" spans="1:42">
      <c r="A175" s="15" t="str">
        <f t="shared" si="38"/>
        <v>AVN1SB7</v>
      </c>
      <c r="B175" s="15" t="str">
        <f t="shared" si="38"/>
        <v>2D2</v>
      </c>
      <c r="C175" s="15" t="str">
        <f t="shared" si="38"/>
        <v>1</v>
      </c>
      <c r="D175" s="15">
        <f t="shared" si="38"/>
        <v>32</v>
      </c>
      <c r="E175" s="15">
        <f t="shared" si="38"/>
        <v>1000</v>
      </c>
      <c r="F175" s="15" t="str">
        <f t="shared" si="38"/>
        <v>1</v>
      </c>
      <c r="G175" s="16" t="str">
        <f t="shared" si="37"/>
        <v>T</v>
      </c>
      <c r="H175" s="16" t="str">
        <f t="shared" si="37"/>
        <v/>
      </c>
      <c r="I175" s="16" t="str">
        <f t="shared" si="37"/>
        <v/>
      </c>
      <c r="J175" s="16" t="str">
        <f t="shared" si="37"/>
        <v/>
      </c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89"/>
      <c r="AA175" s="18"/>
      <c r="AF175" s="18"/>
      <c r="AG175" s="96"/>
      <c r="AH175" s="6">
        <f t="shared" si="39"/>
        <v>14</v>
      </c>
      <c r="AI175" s="96" t="str">
        <f t="shared" si="40"/>
        <v/>
      </c>
      <c r="AJ175" s="6" t="str">
        <f t="shared" si="41"/>
        <v>{(U4)0x00000001U,</v>
      </c>
      <c r="AK175" s="6" t="str">
        <f t="shared" si="42"/>
        <v>(U4)0x400002d2U,</v>
      </c>
      <c r="AL175" s="6" t="str">
        <f t="shared" si="43"/>
        <v>(U4)0x400002d2U,</v>
      </c>
      <c r="AM175" s="6" t="str">
        <f t="shared" si="44"/>
        <v>(U2)32U,</v>
      </c>
      <c r="AN175" s="6" t="str">
        <f t="shared" si="45"/>
        <v>(U2)3U},</v>
      </c>
      <c r="AO175" s="6" t="str">
        <f t="shared" si="46"/>
        <v/>
      </c>
      <c r="AP175" s="6" t="str">
        <f t="shared" si="47"/>
        <v>/* 14 : AVN1SB7 = 0x400002d2 */</v>
      </c>
    </row>
    <row r="176" spans="1:42">
      <c r="A176" s="15" t="str">
        <f t="shared" si="38"/>
        <v>AVN1SB8</v>
      </c>
      <c r="B176" s="15" t="str">
        <f t="shared" si="38"/>
        <v>2D3</v>
      </c>
      <c r="C176" s="15" t="str">
        <f t="shared" si="38"/>
        <v>1</v>
      </c>
      <c r="D176" s="15">
        <f t="shared" si="38"/>
        <v>32</v>
      </c>
      <c r="E176" s="15">
        <f t="shared" si="38"/>
        <v>1000</v>
      </c>
      <c r="F176" s="15" t="str">
        <f t="shared" si="38"/>
        <v>0</v>
      </c>
      <c r="G176" s="16" t="str">
        <f t="shared" si="37"/>
        <v/>
      </c>
      <c r="H176" s="16" t="str">
        <f t="shared" si="37"/>
        <v/>
      </c>
      <c r="I176" s="16" t="str">
        <f t="shared" si="37"/>
        <v>T</v>
      </c>
      <c r="J176" s="16" t="str">
        <f t="shared" si="37"/>
        <v/>
      </c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89"/>
      <c r="AA176" s="18"/>
      <c r="AF176" s="18"/>
      <c r="AG176" s="96"/>
      <c r="AH176" s="6">
        <f t="shared" si="39"/>
        <v>15</v>
      </c>
      <c r="AI176" s="96" t="str">
        <f t="shared" si="40"/>
        <v/>
      </c>
      <c r="AJ176" s="6" t="str">
        <f t="shared" si="41"/>
        <v>{(U4)0x00000008U,</v>
      </c>
      <c r="AK176" s="6" t="str">
        <f t="shared" si="42"/>
        <v>(U4)0x400002d3U,</v>
      </c>
      <c r="AL176" s="6" t="str">
        <f t="shared" si="43"/>
        <v>(U4)0x400002d3U,</v>
      </c>
      <c r="AM176" s="6" t="str">
        <f t="shared" si="44"/>
        <v>(U2)32U,</v>
      </c>
      <c r="AN176" s="6" t="str">
        <f t="shared" si="45"/>
        <v>(U2)75U},</v>
      </c>
      <c r="AO176" s="6" t="str">
        <f t="shared" si="46"/>
        <v/>
      </c>
      <c r="AP176" s="6" t="str">
        <f t="shared" si="47"/>
        <v>/* 15 : AVN1SB8 = 0x400002d3 */</v>
      </c>
    </row>
    <row r="177" spans="1:42">
      <c r="A177" s="15" t="str">
        <f t="shared" si="38"/>
        <v>AVN1SC1</v>
      </c>
      <c r="B177" s="15" t="str">
        <f t="shared" si="38"/>
        <v>2D4</v>
      </c>
      <c r="C177" s="15" t="str">
        <f t="shared" si="38"/>
        <v>1</v>
      </c>
      <c r="D177" s="15">
        <f t="shared" si="38"/>
        <v>64</v>
      </c>
      <c r="E177" s="15">
        <f t="shared" si="38"/>
        <v>1000</v>
      </c>
      <c r="F177" s="15" t="str">
        <f t="shared" si="38"/>
        <v>1</v>
      </c>
      <c r="G177" s="16" t="str">
        <f t="shared" si="37"/>
        <v>T</v>
      </c>
      <c r="H177" s="16" t="str">
        <f t="shared" si="37"/>
        <v/>
      </c>
      <c r="I177" s="16" t="str">
        <f t="shared" si="37"/>
        <v/>
      </c>
      <c r="J177" s="16" t="str">
        <f t="shared" si="37"/>
        <v/>
      </c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89"/>
      <c r="AA177" s="18"/>
      <c r="AF177" s="18"/>
      <c r="AG177" s="96"/>
      <c r="AH177" s="6">
        <f t="shared" si="39"/>
        <v>16</v>
      </c>
      <c r="AI177" s="96" t="str">
        <f t="shared" si="40"/>
        <v/>
      </c>
      <c r="AJ177" s="6" t="str">
        <f t="shared" si="41"/>
        <v>{(U4)0x00000001U,</v>
      </c>
      <c r="AK177" s="6" t="str">
        <f t="shared" si="42"/>
        <v>(U4)0x400002d4U,</v>
      </c>
      <c r="AL177" s="6" t="str">
        <f t="shared" si="43"/>
        <v>(U4)0x400002d4U,</v>
      </c>
      <c r="AM177" s="6" t="str">
        <f t="shared" si="44"/>
        <v>(U2)64U,</v>
      </c>
      <c r="AN177" s="6" t="str">
        <f t="shared" si="45"/>
        <v>(U2)6U},</v>
      </c>
      <c r="AO177" s="6" t="str">
        <f t="shared" si="46"/>
        <v/>
      </c>
      <c r="AP177" s="6" t="str">
        <f t="shared" si="47"/>
        <v>/* 16 : AVN1SC1 = 0x400002d4 */</v>
      </c>
    </row>
    <row r="178" spans="1:42">
      <c r="A178" s="15" t="str">
        <f t="shared" ref="A178:F187" si="48">A46</f>
        <v>AVN1SC2</v>
      </c>
      <c r="B178" s="15" t="str">
        <f t="shared" si="48"/>
        <v>2D5</v>
      </c>
      <c r="C178" s="15" t="str">
        <f t="shared" si="48"/>
        <v>1</v>
      </c>
      <c r="D178" s="15">
        <f t="shared" si="48"/>
        <v>64</v>
      </c>
      <c r="E178" s="15">
        <f t="shared" si="48"/>
        <v>1000</v>
      </c>
      <c r="F178" s="15" t="str">
        <f t="shared" si="48"/>
        <v>1</v>
      </c>
      <c r="G178" s="16" t="str">
        <f t="shared" ref="G178:J197" si="49">IF(G46&lt;&gt;"",G46,"")</f>
        <v>T</v>
      </c>
      <c r="H178" s="16" t="str">
        <f t="shared" si="49"/>
        <v/>
      </c>
      <c r="I178" s="16" t="str">
        <f t="shared" si="49"/>
        <v/>
      </c>
      <c r="J178" s="16" t="str">
        <f t="shared" si="49"/>
        <v/>
      </c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89"/>
      <c r="AA178" s="18"/>
      <c r="AF178" s="18"/>
      <c r="AG178" s="96"/>
      <c r="AH178" s="6">
        <f t="shared" si="39"/>
        <v>17</v>
      </c>
      <c r="AI178" s="96" t="str">
        <f t="shared" si="40"/>
        <v/>
      </c>
      <c r="AJ178" s="6" t="str">
        <f t="shared" si="41"/>
        <v>{(U4)0x00000001U,</v>
      </c>
      <c r="AK178" s="6" t="str">
        <f t="shared" si="42"/>
        <v>(U4)0x400002d5U,</v>
      </c>
      <c r="AL178" s="6" t="str">
        <f t="shared" si="43"/>
        <v>(U4)0x400002d5U,</v>
      </c>
      <c r="AM178" s="6" t="str">
        <f t="shared" si="44"/>
        <v>(U2)64U,</v>
      </c>
      <c r="AN178" s="6" t="str">
        <f t="shared" si="45"/>
        <v>(U2)9U},</v>
      </c>
      <c r="AO178" s="6" t="str">
        <f t="shared" si="46"/>
        <v/>
      </c>
      <c r="AP178" s="6" t="str">
        <f t="shared" si="47"/>
        <v>/* 17 : AVN1SC2 = 0x400002d5 */</v>
      </c>
    </row>
    <row r="179" spans="1:42">
      <c r="A179" s="15" t="str">
        <f t="shared" si="48"/>
        <v>AVN1SC3</v>
      </c>
      <c r="B179" s="15" t="str">
        <f t="shared" si="48"/>
        <v>2D6</v>
      </c>
      <c r="C179" s="15" t="str">
        <f t="shared" si="48"/>
        <v>1</v>
      </c>
      <c r="D179" s="15">
        <f t="shared" si="48"/>
        <v>64</v>
      </c>
      <c r="E179" s="15">
        <f t="shared" si="48"/>
        <v>1000</v>
      </c>
      <c r="F179" s="15" t="str">
        <f t="shared" si="48"/>
        <v>1</v>
      </c>
      <c r="G179" s="16" t="str">
        <f t="shared" si="49"/>
        <v>T</v>
      </c>
      <c r="H179" s="16" t="str">
        <f t="shared" si="49"/>
        <v/>
      </c>
      <c r="I179" s="16" t="str">
        <f t="shared" si="49"/>
        <v/>
      </c>
      <c r="J179" s="16" t="str">
        <f t="shared" si="49"/>
        <v/>
      </c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89"/>
      <c r="AA179" s="18"/>
      <c r="AF179" s="18"/>
      <c r="AG179" s="96"/>
      <c r="AH179" s="6">
        <f t="shared" si="39"/>
        <v>18</v>
      </c>
      <c r="AI179" s="96" t="str">
        <f t="shared" si="40"/>
        <v/>
      </c>
      <c r="AJ179" s="6" t="str">
        <f t="shared" si="41"/>
        <v>{(U4)0x00000001U,</v>
      </c>
      <c r="AK179" s="6" t="str">
        <f t="shared" si="42"/>
        <v>(U4)0x400002d6U,</v>
      </c>
      <c r="AL179" s="6" t="str">
        <f t="shared" si="43"/>
        <v>(U4)0x400002d6U,</v>
      </c>
      <c r="AM179" s="6" t="str">
        <f t="shared" si="44"/>
        <v>(U2)64U,</v>
      </c>
      <c r="AN179" s="6" t="str">
        <f t="shared" si="45"/>
        <v>(U2)12U},</v>
      </c>
      <c r="AO179" s="6" t="str">
        <f t="shared" si="46"/>
        <v/>
      </c>
      <c r="AP179" s="6" t="str">
        <f t="shared" si="47"/>
        <v>/* 18 : AVN1SC3 = 0x400002d6 */</v>
      </c>
    </row>
    <row r="180" spans="1:42">
      <c r="A180" s="15" t="str">
        <f t="shared" si="48"/>
        <v>AVN1SC4</v>
      </c>
      <c r="B180" s="15" t="str">
        <f t="shared" si="48"/>
        <v>2D7</v>
      </c>
      <c r="C180" s="15" t="str">
        <f t="shared" si="48"/>
        <v>1</v>
      </c>
      <c r="D180" s="15">
        <f t="shared" si="48"/>
        <v>64</v>
      </c>
      <c r="E180" s="15">
        <f t="shared" si="48"/>
        <v>1000</v>
      </c>
      <c r="F180" s="15" t="str">
        <f t="shared" si="48"/>
        <v>1</v>
      </c>
      <c r="G180" s="16" t="str">
        <f t="shared" si="49"/>
        <v>T</v>
      </c>
      <c r="H180" s="16" t="str">
        <f t="shared" si="49"/>
        <v/>
      </c>
      <c r="I180" s="16" t="str">
        <f t="shared" si="49"/>
        <v/>
      </c>
      <c r="J180" s="16" t="str">
        <f t="shared" si="49"/>
        <v/>
      </c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89"/>
      <c r="AA180" s="18"/>
      <c r="AF180" s="18"/>
      <c r="AG180" s="96"/>
      <c r="AH180" s="6">
        <f t="shared" si="39"/>
        <v>19</v>
      </c>
      <c r="AI180" s="96" t="str">
        <f t="shared" si="40"/>
        <v/>
      </c>
      <c r="AJ180" s="6" t="str">
        <f t="shared" si="41"/>
        <v>{(U4)0x00000001U,</v>
      </c>
      <c r="AK180" s="6" t="str">
        <f t="shared" si="42"/>
        <v>(U4)0x400002d7U,</v>
      </c>
      <c r="AL180" s="6" t="str">
        <f t="shared" si="43"/>
        <v>(U4)0x400002d7U,</v>
      </c>
      <c r="AM180" s="6" t="str">
        <f t="shared" si="44"/>
        <v>(U2)64U,</v>
      </c>
      <c r="AN180" s="6" t="str">
        <f t="shared" si="45"/>
        <v>(U2)15U},</v>
      </c>
      <c r="AO180" s="6" t="str">
        <f t="shared" si="46"/>
        <v/>
      </c>
      <c r="AP180" s="6" t="str">
        <f t="shared" si="47"/>
        <v>/* 19 : AVN1SC4 = 0x400002d7 */</v>
      </c>
    </row>
    <row r="181" spans="1:42">
      <c r="A181" s="15" t="str">
        <f t="shared" si="48"/>
        <v>AVN1SC5</v>
      </c>
      <c r="B181" s="15" t="str">
        <f t="shared" si="48"/>
        <v>2DF</v>
      </c>
      <c r="C181" s="15" t="str">
        <f t="shared" si="48"/>
        <v>1</v>
      </c>
      <c r="D181" s="15">
        <f t="shared" si="48"/>
        <v>64</v>
      </c>
      <c r="E181" s="15">
        <f t="shared" si="48"/>
        <v>1000</v>
      </c>
      <c r="F181" s="15" t="str">
        <f t="shared" si="48"/>
        <v>1</v>
      </c>
      <c r="G181" s="16" t="str">
        <f t="shared" si="49"/>
        <v>T</v>
      </c>
      <c r="H181" s="16" t="str">
        <f t="shared" si="49"/>
        <v/>
      </c>
      <c r="I181" s="16" t="str">
        <f t="shared" si="49"/>
        <v/>
      </c>
      <c r="J181" s="16" t="str">
        <f t="shared" si="49"/>
        <v/>
      </c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89"/>
      <c r="AA181" s="18"/>
      <c r="AF181" s="18"/>
      <c r="AG181" s="96"/>
      <c r="AH181" s="6">
        <f t="shared" si="39"/>
        <v>20</v>
      </c>
      <c r="AI181" s="96" t="str">
        <f t="shared" si="40"/>
        <v/>
      </c>
      <c r="AJ181" s="6" t="str">
        <f t="shared" si="41"/>
        <v>{(U4)0x00000001U,</v>
      </c>
      <c r="AK181" s="6" t="str">
        <f t="shared" si="42"/>
        <v>(U4)0x400002dfU,</v>
      </c>
      <c r="AL181" s="6" t="str">
        <f t="shared" si="43"/>
        <v>(U4)0x400002dfU,</v>
      </c>
      <c r="AM181" s="6" t="str">
        <f t="shared" si="44"/>
        <v>(U2)64U,</v>
      </c>
      <c r="AN181" s="6" t="str">
        <f t="shared" si="45"/>
        <v>(U2)18U},</v>
      </c>
      <c r="AO181" s="6" t="str">
        <f t="shared" si="46"/>
        <v/>
      </c>
      <c r="AP181" s="6" t="str">
        <f t="shared" si="47"/>
        <v>/* 20 : AVN1SC5 = 0x400002df */</v>
      </c>
    </row>
    <row r="182" spans="1:42">
      <c r="A182" s="15" t="str">
        <f t="shared" si="48"/>
        <v>AVN1SC6</v>
      </c>
      <c r="B182" s="15" t="str">
        <f t="shared" si="48"/>
        <v>2E0</v>
      </c>
      <c r="C182" s="15" t="str">
        <f t="shared" si="48"/>
        <v>1</v>
      </c>
      <c r="D182" s="15">
        <f t="shared" si="48"/>
        <v>64</v>
      </c>
      <c r="E182" s="15">
        <f t="shared" si="48"/>
        <v>1000</v>
      </c>
      <c r="F182" s="15" t="str">
        <f t="shared" si="48"/>
        <v>1</v>
      </c>
      <c r="G182" s="16" t="str">
        <f t="shared" si="49"/>
        <v>T</v>
      </c>
      <c r="H182" s="16" t="str">
        <f t="shared" si="49"/>
        <v/>
      </c>
      <c r="I182" s="16" t="str">
        <f t="shared" si="49"/>
        <v/>
      </c>
      <c r="J182" s="16" t="str">
        <f t="shared" si="49"/>
        <v/>
      </c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89"/>
      <c r="AA182" s="18"/>
      <c r="AF182" s="18"/>
      <c r="AG182" s="96"/>
      <c r="AH182" s="6">
        <f t="shared" si="39"/>
        <v>21</v>
      </c>
      <c r="AI182" s="96" t="str">
        <f t="shared" si="40"/>
        <v/>
      </c>
      <c r="AJ182" s="6" t="str">
        <f t="shared" si="41"/>
        <v>{(U4)0x00000001U,</v>
      </c>
      <c r="AK182" s="6" t="str">
        <f t="shared" si="42"/>
        <v>(U4)0x400002e0U,</v>
      </c>
      <c r="AL182" s="6" t="str">
        <f t="shared" si="43"/>
        <v>(U4)0x400002e0U,</v>
      </c>
      <c r="AM182" s="6" t="str">
        <f t="shared" si="44"/>
        <v>(U2)64U,</v>
      </c>
      <c r="AN182" s="6" t="str">
        <f t="shared" si="45"/>
        <v>(U2)21U},</v>
      </c>
      <c r="AO182" s="6" t="str">
        <f t="shared" si="46"/>
        <v/>
      </c>
      <c r="AP182" s="6" t="str">
        <f t="shared" si="47"/>
        <v>/* 21 : AVN1SC6 = 0x400002e0 */</v>
      </c>
    </row>
    <row r="183" spans="1:42">
      <c r="A183" s="15" t="str">
        <f t="shared" si="48"/>
        <v>AVN1SC7</v>
      </c>
      <c r="B183" s="15" t="str">
        <f t="shared" si="48"/>
        <v>2E1</v>
      </c>
      <c r="C183" s="15" t="str">
        <f t="shared" si="48"/>
        <v>1</v>
      </c>
      <c r="D183" s="15">
        <f t="shared" si="48"/>
        <v>64</v>
      </c>
      <c r="E183" s="15">
        <f t="shared" si="48"/>
        <v>1000</v>
      </c>
      <c r="F183" s="15" t="str">
        <f t="shared" si="48"/>
        <v>1</v>
      </c>
      <c r="G183" s="16" t="str">
        <f t="shared" si="49"/>
        <v>T</v>
      </c>
      <c r="H183" s="16" t="str">
        <f t="shared" si="49"/>
        <v/>
      </c>
      <c r="I183" s="16" t="str">
        <f t="shared" si="49"/>
        <v/>
      </c>
      <c r="J183" s="16" t="str">
        <f t="shared" si="49"/>
        <v/>
      </c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89"/>
      <c r="AA183" s="18"/>
      <c r="AF183" s="18"/>
      <c r="AG183" s="96"/>
      <c r="AH183" s="6">
        <f t="shared" si="39"/>
        <v>22</v>
      </c>
      <c r="AI183" s="96" t="str">
        <f t="shared" si="40"/>
        <v/>
      </c>
      <c r="AJ183" s="6" t="str">
        <f t="shared" si="41"/>
        <v>{(U4)0x00000001U,</v>
      </c>
      <c r="AK183" s="6" t="str">
        <f t="shared" si="42"/>
        <v>(U4)0x400002e1U,</v>
      </c>
      <c r="AL183" s="6" t="str">
        <f t="shared" si="43"/>
        <v>(U4)0x400002e1U,</v>
      </c>
      <c r="AM183" s="6" t="str">
        <f t="shared" si="44"/>
        <v>(U2)64U,</v>
      </c>
      <c r="AN183" s="6" t="str">
        <f t="shared" si="45"/>
        <v>(U2)24U},</v>
      </c>
      <c r="AO183" s="6" t="str">
        <f t="shared" si="46"/>
        <v/>
      </c>
      <c r="AP183" s="6" t="str">
        <f t="shared" si="47"/>
        <v>/* 22 : AVN1SC7 = 0x400002e1 */</v>
      </c>
    </row>
    <row r="184" spans="1:42">
      <c r="A184" s="15" t="str">
        <f t="shared" si="48"/>
        <v>AVN1SC8</v>
      </c>
      <c r="B184" s="15" t="str">
        <f t="shared" si="48"/>
        <v>2E2</v>
      </c>
      <c r="C184" s="15" t="str">
        <f t="shared" si="48"/>
        <v>1</v>
      </c>
      <c r="D184" s="15">
        <f t="shared" si="48"/>
        <v>64</v>
      </c>
      <c r="E184" s="15">
        <f t="shared" si="48"/>
        <v>1000</v>
      </c>
      <c r="F184" s="15" t="str">
        <f t="shared" si="48"/>
        <v>1</v>
      </c>
      <c r="G184" s="16" t="str">
        <f t="shared" si="49"/>
        <v>T</v>
      </c>
      <c r="H184" s="16" t="str">
        <f t="shared" si="49"/>
        <v/>
      </c>
      <c r="I184" s="16" t="str">
        <f t="shared" si="49"/>
        <v/>
      </c>
      <c r="J184" s="16" t="str">
        <f t="shared" si="49"/>
        <v/>
      </c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89"/>
      <c r="AA184" s="18"/>
      <c r="AF184" s="18"/>
      <c r="AG184" s="96"/>
      <c r="AH184" s="6">
        <f t="shared" si="39"/>
        <v>23</v>
      </c>
      <c r="AI184" s="96" t="str">
        <f t="shared" si="40"/>
        <v/>
      </c>
      <c r="AJ184" s="6" t="str">
        <f t="shared" si="41"/>
        <v>{(U4)0x00000001U,</v>
      </c>
      <c r="AK184" s="6" t="str">
        <f t="shared" si="42"/>
        <v>(U4)0x400002e2U,</v>
      </c>
      <c r="AL184" s="6" t="str">
        <f t="shared" si="43"/>
        <v>(U4)0x400002e2U,</v>
      </c>
      <c r="AM184" s="6" t="str">
        <f t="shared" si="44"/>
        <v>(U2)64U,</v>
      </c>
      <c r="AN184" s="6" t="str">
        <f t="shared" si="45"/>
        <v>(U2)27U},</v>
      </c>
      <c r="AO184" s="6" t="str">
        <f t="shared" si="46"/>
        <v/>
      </c>
      <c r="AP184" s="6" t="str">
        <f t="shared" si="47"/>
        <v>/* 23 : AVN1SC8 = 0x400002e2 */</v>
      </c>
    </row>
    <row r="185" spans="1:42">
      <c r="A185" s="15" t="str">
        <f t="shared" si="48"/>
        <v>AVN1SH1</v>
      </c>
      <c r="B185" s="15" t="str">
        <f t="shared" si="48"/>
        <v>2E3</v>
      </c>
      <c r="C185" s="15" t="str">
        <f t="shared" si="48"/>
        <v>1</v>
      </c>
      <c r="D185" s="15">
        <f t="shared" si="48"/>
        <v>32</v>
      </c>
      <c r="E185" s="15">
        <f t="shared" si="48"/>
        <v>1000</v>
      </c>
      <c r="F185" s="15" t="str">
        <f t="shared" si="48"/>
        <v>0</v>
      </c>
      <c r="G185" s="16" t="str">
        <f t="shared" si="49"/>
        <v>T</v>
      </c>
      <c r="H185" s="16" t="str">
        <f t="shared" si="49"/>
        <v/>
      </c>
      <c r="I185" s="16" t="str">
        <f t="shared" si="49"/>
        <v/>
      </c>
      <c r="J185" s="16" t="str">
        <f t="shared" si="49"/>
        <v/>
      </c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89"/>
      <c r="AA185" s="18"/>
      <c r="AF185" s="18"/>
      <c r="AG185" s="96"/>
      <c r="AH185" s="6">
        <f t="shared" si="39"/>
        <v>24</v>
      </c>
      <c r="AI185" s="96" t="str">
        <f t="shared" si="40"/>
        <v/>
      </c>
      <c r="AJ185" s="6" t="str">
        <f t="shared" si="41"/>
        <v>{(U4)0x00000004U,</v>
      </c>
      <c r="AK185" s="6" t="str">
        <f t="shared" si="42"/>
        <v>(U4)0x400002e3U,</v>
      </c>
      <c r="AL185" s="6" t="str">
        <f t="shared" si="43"/>
        <v>(U4)0x400002e3U,</v>
      </c>
      <c r="AM185" s="6" t="str">
        <f t="shared" si="44"/>
        <v>(U2)32U,</v>
      </c>
      <c r="AN185" s="6" t="str">
        <f t="shared" si="45"/>
        <v>(U2)51U},</v>
      </c>
      <c r="AO185" s="6" t="str">
        <f t="shared" si="46"/>
        <v/>
      </c>
      <c r="AP185" s="6" t="str">
        <f t="shared" si="47"/>
        <v>/* 24 : AVN1SH1 = 0x400002e3 */</v>
      </c>
    </row>
    <row r="186" spans="1:42">
      <c r="A186" s="15" t="str">
        <f t="shared" si="48"/>
        <v>AVN1SC9</v>
      </c>
      <c r="B186" s="15" t="str">
        <f t="shared" si="48"/>
        <v>2EF</v>
      </c>
      <c r="C186" s="15" t="str">
        <f t="shared" si="48"/>
        <v>1</v>
      </c>
      <c r="D186" s="15">
        <f t="shared" si="48"/>
        <v>64</v>
      </c>
      <c r="E186" s="15">
        <f t="shared" si="48"/>
        <v>1000</v>
      </c>
      <c r="F186" s="15" t="str">
        <f t="shared" si="48"/>
        <v>1</v>
      </c>
      <c r="G186" s="16" t="str">
        <f t="shared" si="49"/>
        <v>T</v>
      </c>
      <c r="H186" s="16" t="str">
        <f t="shared" si="49"/>
        <v/>
      </c>
      <c r="I186" s="16" t="str">
        <f t="shared" si="49"/>
        <v/>
      </c>
      <c r="J186" s="16" t="str">
        <f t="shared" si="49"/>
        <v/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89"/>
      <c r="AA186" s="18"/>
      <c r="AF186" s="18"/>
      <c r="AG186" s="96"/>
      <c r="AH186" s="6">
        <f t="shared" si="39"/>
        <v>25</v>
      </c>
      <c r="AI186" s="96" t="str">
        <f t="shared" si="40"/>
        <v/>
      </c>
      <c r="AJ186" s="6" t="str">
        <f t="shared" si="41"/>
        <v>{(U4)0x00000001U,</v>
      </c>
      <c r="AK186" s="6" t="str">
        <f t="shared" si="42"/>
        <v>(U4)0x400002efU,</v>
      </c>
      <c r="AL186" s="6" t="str">
        <f t="shared" si="43"/>
        <v>(U4)0x400002efU,</v>
      </c>
      <c r="AM186" s="6" t="str">
        <f t="shared" si="44"/>
        <v>(U2)64U,</v>
      </c>
      <c r="AN186" s="6" t="str">
        <f t="shared" si="45"/>
        <v>(U2)30U},</v>
      </c>
      <c r="AO186" s="6" t="str">
        <f t="shared" si="46"/>
        <v/>
      </c>
      <c r="AP186" s="6" t="str">
        <f t="shared" si="47"/>
        <v>/* 25 : AVN1SC9 = 0x400002ef */</v>
      </c>
    </row>
    <row r="187" spans="1:42">
      <c r="A187" s="15" t="str">
        <f t="shared" si="48"/>
        <v>AVN1SD1</v>
      </c>
      <c r="B187" s="15" t="str">
        <f t="shared" si="48"/>
        <v>2F0</v>
      </c>
      <c r="C187" s="15" t="str">
        <f t="shared" si="48"/>
        <v>1</v>
      </c>
      <c r="D187" s="15">
        <f t="shared" si="48"/>
        <v>64</v>
      </c>
      <c r="E187" s="15">
        <f t="shared" si="48"/>
        <v>1000</v>
      </c>
      <c r="F187" s="15" t="str">
        <f t="shared" si="48"/>
        <v>1</v>
      </c>
      <c r="G187" s="16" t="str">
        <f t="shared" si="49"/>
        <v>T</v>
      </c>
      <c r="H187" s="16" t="str">
        <f t="shared" si="49"/>
        <v/>
      </c>
      <c r="I187" s="16" t="str">
        <f t="shared" si="49"/>
        <v/>
      </c>
      <c r="J187" s="16" t="str">
        <f t="shared" si="49"/>
        <v/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89"/>
      <c r="AA187" s="18"/>
      <c r="AF187" s="18"/>
      <c r="AG187" s="96"/>
      <c r="AH187" s="6">
        <f t="shared" si="39"/>
        <v>26</v>
      </c>
      <c r="AI187" s="96" t="str">
        <f t="shared" si="40"/>
        <v/>
      </c>
      <c r="AJ187" s="6" t="str">
        <f t="shared" si="41"/>
        <v>{(U4)0x00000001U,</v>
      </c>
      <c r="AK187" s="6" t="str">
        <f t="shared" si="42"/>
        <v>(U4)0x400002f0U,</v>
      </c>
      <c r="AL187" s="6" t="str">
        <f t="shared" si="43"/>
        <v>(U4)0x400002f0U,</v>
      </c>
      <c r="AM187" s="6" t="str">
        <f t="shared" si="44"/>
        <v>(U2)64U,</v>
      </c>
      <c r="AN187" s="6" t="str">
        <f t="shared" si="45"/>
        <v>(U2)33U},</v>
      </c>
      <c r="AO187" s="6" t="str">
        <f t="shared" si="46"/>
        <v/>
      </c>
      <c r="AP187" s="6" t="str">
        <f t="shared" si="47"/>
        <v>/* 26 : AVN1SD1 = 0x400002f0 */</v>
      </c>
    </row>
    <row r="188" spans="1:42">
      <c r="A188" s="15" t="str">
        <f t="shared" ref="A188:F197" si="50">A56</f>
        <v>AVN1SD2</v>
      </c>
      <c r="B188" s="15" t="str">
        <f t="shared" si="50"/>
        <v>2F2</v>
      </c>
      <c r="C188" s="15" t="str">
        <f t="shared" si="50"/>
        <v>1</v>
      </c>
      <c r="D188" s="15">
        <f t="shared" si="50"/>
        <v>64</v>
      </c>
      <c r="E188" s="15">
        <f t="shared" si="50"/>
        <v>1000</v>
      </c>
      <c r="F188" s="15" t="str">
        <f t="shared" si="50"/>
        <v>1</v>
      </c>
      <c r="G188" s="16" t="str">
        <f t="shared" si="49"/>
        <v>T</v>
      </c>
      <c r="H188" s="16" t="str">
        <f t="shared" si="49"/>
        <v/>
      </c>
      <c r="I188" s="16" t="str">
        <f t="shared" si="49"/>
        <v/>
      </c>
      <c r="J188" s="16" t="str">
        <f t="shared" si="49"/>
        <v/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89"/>
      <c r="AA188" s="18"/>
      <c r="AF188" s="18"/>
      <c r="AG188" s="96"/>
      <c r="AH188" s="6">
        <f t="shared" si="39"/>
        <v>27</v>
      </c>
      <c r="AI188" s="96" t="str">
        <f t="shared" si="40"/>
        <v/>
      </c>
      <c r="AJ188" s="6" t="str">
        <f t="shared" si="41"/>
        <v>{(U4)0x00000001U,</v>
      </c>
      <c r="AK188" s="6" t="str">
        <f t="shared" si="42"/>
        <v>(U4)0x400002f2U,</v>
      </c>
      <c r="AL188" s="6" t="str">
        <f t="shared" si="43"/>
        <v>(U4)0x400002f2U,</v>
      </c>
      <c r="AM188" s="6" t="str">
        <f t="shared" si="44"/>
        <v>(U2)64U,</v>
      </c>
      <c r="AN188" s="6" t="str">
        <f t="shared" si="45"/>
        <v>(U2)36U},</v>
      </c>
      <c r="AO188" s="6" t="str">
        <f t="shared" si="46"/>
        <v/>
      </c>
      <c r="AP188" s="6" t="str">
        <f t="shared" si="47"/>
        <v>/* 27 : AVN1SD2 = 0x400002f2 */</v>
      </c>
    </row>
    <row r="189" spans="1:42">
      <c r="A189" s="15" t="str">
        <f t="shared" si="50"/>
        <v>AVN1SD3</v>
      </c>
      <c r="B189" s="15" t="str">
        <f t="shared" si="50"/>
        <v>2F5</v>
      </c>
      <c r="C189" s="15" t="str">
        <f t="shared" si="50"/>
        <v>1</v>
      </c>
      <c r="D189" s="15">
        <f t="shared" si="50"/>
        <v>64</v>
      </c>
      <c r="E189" s="15">
        <f t="shared" si="50"/>
        <v>1000</v>
      </c>
      <c r="F189" s="15" t="str">
        <f t="shared" si="50"/>
        <v>1</v>
      </c>
      <c r="G189" s="16" t="str">
        <f t="shared" si="49"/>
        <v>T</v>
      </c>
      <c r="H189" s="16" t="str">
        <f t="shared" si="49"/>
        <v/>
      </c>
      <c r="I189" s="16" t="str">
        <f t="shared" si="49"/>
        <v/>
      </c>
      <c r="J189" s="16" t="str">
        <f t="shared" si="49"/>
        <v/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89"/>
      <c r="AA189" s="18"/>
      <c r="AF189" s="18"/>
      <c r="AG189" s="96"/>
      <c r="AH189" s="6">
        <f t="shared" si="39"/>
        <v>28</v>
      </c>
      <c r="AI189" s="96" t="str">
        <f t="shared" si="40"/>
        <v/>
      </c>
      <c r="AJ189" s="6" t="str">
        <f t="shared" si="41"/>
        <v>{(U4)0x00000001U,</v>
      </c>
      <c r="AK189" s="6" t="str">
        <f t="shared" si="42"/>
        <v>(U4)0x400002f5U,</v>
      </c>
      <c r="AL189" s="6" t="str">
        <f t="shared" si="43"/>
        <v>(U4)0x400002f5U,</v>
      </c>
      <c r="AM189" s="6" t="str">
        <f t="shared" si="44"/>
        <v>(U2)64U,</v>
      </c>
      <c r="AN189" s="6" t="str">
        <f t="shared" si="45"/>
        <v>(U2)39U},</v>
      </c>
      <c r="AO189" s="6" t="str">
        <f t="shared" si="46"/>
        <v/>
      </c>
      <c r="AP189" s="6" t="str">
        <f t="shared" si="47"/>
        <v>/* 28 : AVN1SD3 = 0x400002f5 */</v>
      </c>
    </row>
    <row r="190" spans="1:42">
      <c r="A190" s="15" t="str">
        <f t="shared" si="50"/>
        <v>AVN1SD5</v>
      </c>
      <c r="B190" s="15" t="str">
        <f t="shared" si="50"/>
        <v>2F6</v>
      </c>
      <c r="C190" s="15" t="str">
        <f t="shared" si="50"/>
        <v>1</v>
      </c>
      <c r="D190" s="15">
        <f t="shared" si="50"/>
        <v>8</v>
      </c>
      <c r="E190" s="15">
        <f t="shared" si="50"/>
        <v>1000</v>
      </c>
      <c r="F190" s="15" t="str">
        <f t="shared" si="50"/>
        <v>0</v>
      </c>
      <c r="G190" s="16" t="str">
        <f t="shared" si="49"/>
        <v>T</v>
      </c>
      <c r="H190" s="16" t="str">
        <f t="shared" si="49"/>
        <v/>
      </c>
      <c r="I190" s="16" t="str">
        <f t="shared" si="49"/>
        <v/>
      </c>
      <c r="J190" s="16" t="str">
        <f t="shared" si="49"/>
        <v/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89"/>
      <c r="AA190" s="18"/>
      <c r="AF190" s="18"/>
      <c r="AG190" s="96"/>
      <c r="AH190" s="6">
        <f t="shared" si="39"/>
        <v>29</v>
      </c>
      <c r="AI190" s="96" t="str">
        <f t="shared" si="40"/>
        <v/>
      </c>
      <c r="AJ190" s="6" t="str">
        <f t="shared" si="41"/>
        <v>{(U4)0x00000004U,</v>
      </c>
      <c r="AK190" s="6" t="str">
        <f t="shared" si="42"/>
        <v>(U4)0x400002f6U,</v>
      </c>
      <c r="AL190" s="6" t="str">
        <f t="shared" si="43"/>
        <v>(U4)0x400002f6U,</v>
      </c>
      <c r="AM190" s="6" t="str">
        <f t="shared" si="44"/>
        <v>(U2)8U,</v>
      </c>
      <c r="AN190" s="6" t="str">
        <f t="shared" si="45"/>
        <v>(U2)51U},</v>
      </c>
      <c r="AO190" s="6" t="str">
        <f t="shared" si="46"/>
        <v/>
      </c>
      <c r="AP190" s="6" t="str">
        <f t="shared" si="47"/>
        <v>/* 29 : AVN1SD5 = 0x400002f6 */</v>
      </c>
    </row>
    <row r="191" spans="1:42">
      <c r="A191" s="15" t="str">
        <f t="shared" si="50"/>
        <v>AVN1SF7</v>
      </c>
      <c r="B191" s="15" t="str">
        <f t="shared" si="50"/>
        <v>2F7</v>
      </c>
      <c r="C191" s="15" t="str">
        <f t="shared" si="50"/>
        <v>1</v>
      </c>
      <c r="D191" s="15">
        <f t="shared" si="50"/>
        <v>32</v>
      </c>
      <c r="E191" s="15">
        <f t="shared" si="50"/>
        <v>1000</v>
      </c>
      <c r="F191" s="15" t="str">
        <f t="shared" si="50"/>
        <v>0</v>
      </c>
      <c r="G191" s="16" t="str">
        <f t="shared" si="49"/>
        <v/>
      </c>
      <c r="H191" s="16" t="str">
        <f t="shared" si="49"/>
        <v/>
      </c>
      <c r="I191" s="16" t="str">
        <f t="shared" si="49"/>
        <v>T</v>
      </c>
      <c r="J191" s="16" t="str">
        <f t="shared" si="49"/>
        <v/>
      </c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89"/>
      <c r="AA191" s="18"/>
      <c r="AF191" s="18"/>
      <c r="AG191" s="96"/>
      <c r="AH191" s="6">
        <f t="shared" si="39"/>
        <v>30</v>
      </c>
      <c r="AI191" s="96" t="str">
        <f t="shared" si="40"/>
        <v/>
      </c>
      <c r="AJ191" s="6" t="str">
        <f t="shared" si="41"/>
        <v>{(U4)0x00000008U,</v>
      </c>
      <c r="AK191" s="6" t="str">
        <f t="shared" si="42"/>
        <v>(U4)0x400002f7U,</v>
      </c>
      <c r="AL191" s="6" t="str">
        <f t="shared" si="43"/>
        <v>(U4)0x400002f7U,</v>
      </c>
      <c r="AM191" s="6" t="str">
        <f t="shared" si="44"/>
        <v>(U2)32U,</v>
      </c>
      <c r="AN191" s="6" t="str">
        <f t="shared" si="45"/>
        <v>(U2)75U},</v>
      </c>
      <c r="AO191" s="6" t="str">
        <f t="shared" si="46"/>
        <v/>
      </c>
      <c r="AP191" s="6" t="str">
        <f t="shared" si="47"/>
        <v>/* 30 : AVN1SF7 = 0x400002f7 */</v>
      </c>
    </row>
    <row r="192" spans="1:42">
      <c r="A192" s="15" t="str">
        <f t="shared" si="50"/>
        <v>AVN1SF8</v>
      </c>
      <c r="B192" s="15" t="str">
        <f t="shared" si="50"/>
        <v>2F8</v>
      </c>
      <c r="C192" s="15" t="str">
        <f t="shared" si="50"/>
        <v>1</v>
      </c>
      <c r="D192" s="15">
        <f t="shared" si="50"/>
        <v>32</v>
      </c>
      <c r="E192" s="15">
        <f t="shared" si="50"/>
        <v>1000</v>
      </c>
      <c r="F192" s="15" t="str">
        <f t="shared" si="50"/>
        <v>0</v>
      </c>
      <c r="G192" s="16" t="str">
        <f t="shared" si="49"/>
        <v>T</v>
      </c>
      <c r="H192" s="16" t="str">
        <f t="shared" si="49"/>
        <v/>
      </c>
      <c r="I192" s="16" t="str">
        <f t="shared" si="49"/>
        <v/>
      </c>
      <c r="J192" s="16" t="str">
        <f t="shared" si="49"/>
        <v/>
      </c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89"/>
      <c r="AA192" s="18"/>
      <c r="AF192" s="18"/>
      <c r="AG192" s="96"/>
      <c r="AH192" s="6">
        <f t="shared" si="39"/>
        <v>31</v>
      </c>
      <c r="AI192" s="96" t="str">
        <f t="shared" si="40"/>
        <v/>
      </c>
      <c r="AJ192" s="6" t="str">
        <f t="shared" si="41"/>
        <v>{(U4)0x00000004U,</v>
      </c>
      <c r="AK192" s="6" t="str">
        <f t="shared" si="42"/>
        <v>(U4)0x400002f8U,</v>
      </c>
      <c r="AL192" s="6" t="str">
        <f t="shared" si="43"/>
        <v>(U4)0x400002faU,</v>
      </c>
      <c r="AM192" s="6" t="str">
        <f t="shared" si="44"/>
        <v>(U2)32U,</v>
      </c>
      <c r="AN192" s="6" t="str">
        <f t="shared" si="45"/>
        <v>(U2)51U},</v>
      </c>
      <c r="AO192" s="6" t="str">
        <f t="shared" si="46"/>
        <v/>
      </c>
      <c r="AP192" s="6" t="str">
        <f t="shared" si="47"/>
        <v>/* 31 : AVN1SF8 = 0x400002f8 */</v>
      </c>
    </row>
    <row r="193" spans="1:42">
      <c r="A193" s="15" t="str">
        <f t="shared" si="50"/>
        <v>AVN1SF9</v>
      </c>
      <c r="B193" s="15" t="str">
        <f t="shared" si="50"/>
        <v>2FA</v>
      </c>
      <c r="C193" s="15" t="str">
        <f t="shared" si="50"/>
        <v>1</v>
      </c>
      <c r="D193" s="15">
        <f t="shared" si="50"/>
        <v>32</v>
      </c>
      <c r="E193" s="15">
        <f t="shared" si="50"/>
        <v>1000</v>
      </c>
      <c r="F193" s="15" t="str">
        <f t="shared" si="50"/>
        <v>0</v>
      </c>
      <c r="G193" s="16" t="str">
        <f t="shared" si="49"/>
        <v>T</v>
      </c>
      <c r="H193" s="16" t="str">
        <f t="shared" si="49"/>
        <v/>
      </c>
      <c r="I193" s="16" t="str">
        <f t="shared" si="49"/>
        <v/>
      </c>
      <c r="J193" s="16" t="str">
        <f t="shared" si="49"/>
        <v/>
      </c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89"/>
      <c r="AA193" s="18"/>
      <c r="AF193" s="18"/>
      <c r="AG193" s="96"/>
      <c r="AH193" s="6" t="str">
        <f t="shared" si="39"/>
        <v/>
      </c>
      <c r="AI193" s="96" t="str">
        <f t="shared" si="40"/>
        <v xml:space="preserve">/* </v>
      </c>
      <c r="AJ193" s="6" t="str">
        <f t="shared" si="41"/>
        <v>{(U4)0x00000004U,</v>
      </c>
      <c r="AK193" s="6" t="str">
        <f t="shared" si="42"/>
        <v>(U4)0x400002f8U,</v>
      </c>
      <c r="AL193" s="6" t="str">
        <f t="shared" si="43"/>
        <v>(U4)0x400002faU,</v>
      </c>
      <c r="AM193" s="6" t="str">
        <f t="shared" si="44"/>
        <v>(U2)32U,</v>
      </c>
      <c r="AN193" s="6" t="str">
        <f t="shared" si="45"/>
        <v>(U2)51U},</v>
      </c>
      <c r="AO193" s="6" t="str">
        <f t="shared" si="46"/>
        <v xml:space="preserve"> */</v>
      </c>
      <c r="AP193" s="6" t="str">
        <f t="shared" si="47"/>
        <v>/*   : AVN1SF9 = 0x400002fa */</v>
      </c>
    </row>
    <row r="194" spans="1:42">
      <c r="A194" s="15" t="str">
        <f t="shared" si="50"/>
        <v>MET1S52</v>
      </c>
      <c r="B194" s="15" t="str">
        <f t="shared" si="50"/>
        <v>30D</v>
      </c>
      <c r="C194" s="15" t="str">
        <f t="shared" si="50"/>
        <v>1</v>
      </c>
      <c r="D194" s="15">
        <f t="shared" si="50"/>
        <v>8</v>
      </c>
      <c r="E194" s="15">
        <f t="shared" si="50"/>
        <v>1000</v>
      </c>
      <c r="F194" s="15" t="str">
        <f t="shared" si="50"/>
        <v>0</v>
      </c>
      <c r="G194" s="16" t="str">
        <f t="shared" si="49"/>
        <v>T</v>
      </c>
      <c r="H194" s="16" t="str">
        <f t="shared" si="49"/>
        <v/>
      </c>
      <c r="I194" s="16" t="str">
        <f t="shared" si="49"/>
        <v/>
      </c>
      <c r="J194" s="16" t="str">
        <f t="shared" si="49"/>
        <v/>
      </c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89"/>
      <c r="AA194" s="18"/>
      <c r="AF194" s="18"/>
      <c r="AG194" s="96"/>
      <c r="AH194" s="6">
        <f t="shared" si="39"/>
        <v>32</v>
      </c>
      <c r="AI194" s="96" t="str">
        <f t="shared" si="40"/>
        <v/>
      </c>
      <c r="AJ194" s="6" t="str">
        <f>IF($AH62&lt;&gt;"","{(U4)0x"&amp;LOWER(DEC2HEX($U62*$U$3+$T62*$T$3+$V62*$V$3+$W62*$W$3+$Y62*$Y$3+K62*$K$3,8))&amp;"U,",#REF!)</f>
        <v>{(U4)0x00000004U,</v>
      </c>
      <c r="AK194" s="6" t="str">
        <f>IF($AH62&lt;&gt;"", "(U4)"&amp;LOWER($AL62)&amp;"U,",#REF!)</f>
        <v>(U4)0x4000030dU,</v>
      </c>
      <c r="AL194" s="6" t="str">
        <f>IF($AH62&lt;&gt;"", "(U4)"&amp;LOWER($AM62)&amp;"U,",#REF!)</f>
        <v>(U4)0x4000030eU,</v>
      </c>
      <c r="AM194" s="6" t="str">
        <f xml:space="preserve"> IF($AH62&lt;&gt;"", "(U2)"&amp;$AN62&amp;"U,",#REF!)</f>
        <v>(U2)8U,</v>
      </c>
      <c r="AN194" s="6" t="str">
        <f xml:space="preserve"> IF($AH62&lt;&gt;"", "(U2)"&amp;$AA62*$Z$3&amp;"U},",#REF!)</f>
        <v>(U2)54U},</v>
      </c>
      <c r="AO194" s="6" t="str">
        <f t="shared" si="46"/>
        <v/>
      </c>
      <c r="AP194" s="6" t="str">
        <f t="shared" si="47"/>
        <v>/* 32 : MET1S52 = 0x4000030d */</v>
      </c>
    </row>
    <row r="195" spans="1:42">
      <c r="A195" s="15" t="str">
        <f t="shared" si="50"/>
        <v>AVN1S67</v>
      </c>
      <c r="B195" s="15" t="str">
        <f t="shared" si="50"/>
        <v>30E</v>
      </c>
      <c r="C195" s="15" t="str">
        <f t="shared" si="50"/>
        <v>1</v>
      </c>
      <c r="D195" s="15">
        <f t="shared" si="50"/>
        <v>8</v>
      </c>
      <c r="E195" s="15">
        <f t="shared" si="50"/>
        <v>1000</v>
      </c>
      <c r="F195" s="15" t="str">
        <f t="shared" si="50"/>
        <v>0</v>
      </c>
      <c r="G195" s="16" t="str">
        <f t="shared" si="49"/>
        <v>T</v>
      </c>
      <c r="H195" s="16" t="str">
        <f t="shared" si="49"/>
        <v/>
      </c>
      <c r="I195" s="16" t="str">
        <f t="shared" si="49"/>
        <v/>
      </c>
      <c r="J195" s="16" t="str">
        <f t="shared" si="49"/>
        <v/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89"/>
      <c r="AA195" s="18"/>
      <c r="AF195" s="18"/>
      <c r="AG195" s="96"/>
      <c r="AH195" s="6" t="str">
        <f t="shared" si="39"/>
        <v/>
      </c>
      <c r="AI195" s="96" t="str">
        <f t="shared" si="40"/>
        <v xml:space="preserve">/* </v>
      </c>
      <c r="AJ195" s="6" t="str">
        <f t="shared" ref="AJ195:AJ236" si="51">IF($AH63&lt;&gt;"","{(U4)0x"&amp;LOWER(DEC2HEX($U63*$U$3+$T63*$T$3+$V63*$V$3+$W63*$W$3+$Y63*$Y$3+K63*$K$3,8))&amp;"U,",AJ194)</f>
        <v>{(U4)0x00000004U,</v>
      </c>
      <c r="AK195" s="6" t="str">
        <f t="shared" ref="AK195:AK236" si="52">IF($AH63&lt;&gt;"", "(U4)"&amp;LOWER($AL63)&amp;"U,",AK194)</f>
        <v>(U4)0x4000030dU,</v>
      </c>
      <c r="AL195" s="6" t="str">
        <f t="shared" ref="AL195:AL236" si="53">IF($AH63&lt;&gt;"", "(U4)"&amp;LOWER($AM63)&amp;"U,",AL194)</f>
        <v>(U4)0x4000030eU,</v>
      </c>
      <c r="AM195" s="6" t="str">
        <f t="shared" ref="AM195:AM236" si="54" xml:space="preserve"> IF($AH63&lt;&gt;"", "(U2)"&amp;$AN63&amp;"U,",AM194)</f>
        <v>(U2)8U,</v>
      </c>
      <c r="AN195" s="6" t="str">
        <f t="shared" ref="AN195:AN236" si="55" xml:space="preserve"> IF($AH63&lt;&gt;"", "(U2)"&amp;$AA63*$Z$3&amp;"U},",AN194)</f>
        <v>(U2)54U},</v>
      </c>
      <c r="AO195" s="6" t="str">
        <f t="shared" si="46"/>
        <v xml:space="preserve"> */</v>
      </c>
      <c r="AP195" s="6" t="str">
        <f t="shared" si="47"/>
        <v>/*   : AVN1S67 = 0x4000030e */</v>
      </c>
    </row>
    <row r="196" spans="1:42">
      <c r="A196" s="15" t="str">
        <f t="shared" si="50"/>
        <v>AVN1S68</v>
      </c>
      <c r="B196" s="15" t="str">
        <f t="shared" si="50"/>
        <v>30F</v>
      </c>
      <c r="C196" s="15" t="str">
        <f t="shared" si="50"/>
        <v>1</v>
      </c>
      <c r="D196" s="15">
        <f t="shared" si="50"/>
        <v>8</v>
      </c>
      <c r="E196" s="15">
        <f t="shared" si="50"/>
        <v>1000</v>
      </c>
      <c r="F196" s="15" t="str">
        <f t="shared" si="50"/>
        <v>0</v>
      </c>
      <c r="G196" s="16" t="str">
        <f t="shared" si="49"/>
        <v/>
      </c>
      <c r="H196" s="16" t="str">
        <f t="shared" si="49"/>
        <v/>
      </c>
      <c r="I196" s="16" t="str">
        <f t="shared" si="49"/>
        <v>T</v>
      </c>
      <c r="J196" s="16" t="str">
        <f t="shared" si="49"/>
        <v/>
      </c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89"/>
      <c r="AA196" s="18"/>
      <c r="AF196" s="18"/>
      <c r="AG196" s="96"/>
      <c r="AH196" s="6">
        <f t="shared" si="39"/>
        <v>33</v>
      </c>
      <c r="AI196" s="96" t="str">
        <f t="shared" si="40"/>
        <v/>
      </c>
      <c r="AJ196" s="6" t="str">
        <f t="shared" si="51"/>
        <v>{(U4)0x00000008U,</v>
      </c>
      <c r="AK196" s="6" t="str">
        <f t="shared" si="52"/>
        <v>(U4)0x4000030fU,</v>
      </c>
      <c r="AL196" s="6" t="str">
        <f t="shared" si="53"/>
        <v>(U4)0x4000030fU,</v>
      </c>
      <c r="AM196" s="6" t="str">
        <f t="shared" si="54"/>
        <v>(U2)8U,</v>
      </c>
      <c r="AN196" s="6" t="str">
        <f t="shared" si="55"/>
        <v>(U2)78U},</v>
      </c>
      <c r="AO196" s="6" t="str">
        <f t="shared" si="46"/>
        <v/>
      </c>
      <c r="AP196" s="6" t="str">
        <f t="shared" si="47"/>
        <v>/* 33 : AVN1S68 = 0x4000030f */</v>
      </c>
    </row>
    <row r="197" spans="1:42">
      <c r="A197" s="15" t="str">
        <f t="shared" si="50"/>
        <v>AVN1SB2</v>
      </c>
      <c r="B197" s="15" t="str">
        <f t="shared" si="50"/>
        <v>313</v>
      </c>
      <c r="C197" s="15" t="str">
        <f t="shared" si="50"/>
        <v>1</v>
      </c>
      <c r="D197" s="15">
        <f t="shared" si="50"/>
        <v>8</v>
      </c>
      <c r="E197" s="15" t="str">
        <f t="shared" si="50"/>
        <v>-</v>
      </c>
      <c r="F197" s="15" t="str">
        <f t="shared" si="50"/>
        <v>0</v>
      </c>
      <c r="G197" s="16" t="str">
        <f t="shared" si="49"/>
        <v>T</v>
      </c>
      <c r="H197" s="16" t="str">
        <f t="shared" si="49"/>
        <v/>
      </c>
      <c r="I197" s="16" t="str">
        <f t="shared" si="49"/>
        <v/>
      </c>
      <c r="J197" s="16" t="str">
        <f t="shared" si="49"/>
        <v/>
      </c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89"/>
      <c r="AA197" s="18"/>
      <c r="AF197" s="18"/>
      <c r="AG197" s="96"/>
      <c r="AH197" s="6">
        <f t="shared" si="39"/>
        <v>34</v>
      </c>
      <c r="AI197" s="96" t="str">
        <f t="shared" si="40"/>
        <v/>
      </c>
      <c r="AJ197" s="6" t="str">
        <f t="shared" si="51"/>
        <v>{(U4)0x00000004U,</v>
      </c>
      <c r="AK197" s="6" t="str">
        <f t="shared" si="52"/>
        <v>(U4)0x40000313U,</v>
      </c>
      <c r="AL197" s="6" t="str">
        <f t="shared" si="53"/>
        <v>(U4)0x4000031aU,</v>
      </c>
      <c r="AM197" s="6" t="str">
        <f t="shared" si="54"/>
        <v>(U2)8U,</v>
      </c>
      <c r="AN197" s="6" t="str">
        <f t="shared" si="55"/>
        <v>(U2)54U},</v>
      </c>
      <c r="AO197" s="6" t="str">
        <f t="shared" si="46"/>
        <v/>
      </c>
      <c r="AP197" s="6" t="str">
        <f t="shared" si="47"/>
        <v>/* 34 : AVN1SB2 = 0x40000313 */</v>
      </c>
    </row>
    <row r="198" spans="1:42">
      <c r="A198" s="15" t="str">
        <f t="shared" ref="A198:F207" si="56">A66</f>
        <v>MET1S33</v>
      </c>
      <c r="B198" s="15" t="str">
        <f t="shared" si="56"/>
        <v>315</v>
      </c>
      <c r="C198" s="15" t="str">
        <f t="shared" si="56"/>
        <v>1</v>
      </c>
      <c r="D198" s="15">
        <f t="shared" si="56"/>
        <v>8</v>
      </c>
      <c r="E198" s="15" t="str">
        <f t="shared" si="56"/>
        <v>-</v>
      </c>
      <c r="F198" s="15" t="str">
        <f t="shared" si="56"/>
        <v>0</v>
      </c>
      <c r="G198" s="16" t="str">
        <f t="shared" ref="G198:J217" si="57">IF(G66&lt;&gt;"",G66,"")</f>
        <v>T</v>
      </c>
      <c r="H198" s="16" t="str">
        <f t="shared" si="57"/>
        <v/>
      </c>
      <c r="I198" s="16" t="str">
        <f t="shared" si="57"/>
        <v/>
      </c>
      <c r="J198" s="16" t="str">
        <f t="shared" si="57"/>
        <v/>
      </c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89"/>
      <c r="AA198" s="18"/>
      <c r="AF198" s="18"/>
      <c r="AG198" s="96"/>
      <c r="AH198" s="6" t="str">
        <f t="shared" si="39"/>
        <v/>
      </c>
      <c r="AI198" s="96" t="str">
        <f t="shared" si="40"/>
        <v xml:space="preserve">/* </v>
      </c>
      <c r="AJ198" s="6" t="str">
        <f t="shared" si="51"/>
        <v>{(U4)0x00000004U,</v>
      </c>
      <c r="AK198" s="6" t="str">
        <f t="shared" si="52"/>
        <v>(U4)0x40000313U,</v>
      </c>
      <c r="AL198" s="6" t="str">
        <f t="shared" si="53"/>
        <v>(U4)0x4000031aU,</v>
      </c>
      <c r="AM198" s="6" t="str">
        <f t="shared" si="54"/>
        <v>(U2)8U,</v>
      </c>
      <c r="AN198" s="6" t="str">
        <f t="shared" si="55"/>
        <v>(U2)54U},</v>
      </c>
      <c r="AO198" s="6" t="str">
        <f t="shared" si="46"/>
        <v xml:space="preserve"> */</v>
      </c>
      <c r="AP198" s="6" t="str">
        <f t="shared" si="47"/>
        <v>/*   : MET1S33 = 0x40000315 */</v>
      </c>
    </row>
    <row r="199" spans="1:42">
      <c r="A199" s="15" t="str">
        <f t="shared" si="56"/>
        <v>AVN1S30</v>
      </c>
      <c r="B199" s="15" t="str">
        <f t="shared" si="56"/>
        <v>31A</v>
      </c>
      <c r="C199" s="15" t="str">
        <f t="shared" si="56"/>
        <v>1</v>
      </c>
      <c r="D199" s="15">
        <f t="shared" si="56"/>
        <v>8</v>
      </c>
      <c r="E199" s="15">
        <f t="shared" si="56"/>
        <v>3000</v>
      </c>
      <c r="F199" s="15" t="str">
        <f t="shared" si="56"/>
        <v>0</v>
      </c>
      <c r="G199" s="16" t="str">
        <f t="shared" si="57"/>
        <v>T</v>
      </c>
      <c r="H199" s="16" t="str">
        <f t="shared" si="57"/>
        <v/>
      </c>
      <c r="I199" s="16" t="str">
        <f t="shared" si="57"/>
        <v/>
      </c>
      <c r="J199" s="16" t="str">
        <f t="shared" si="57"/>
        <v/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89"/>
      <c r="AA199" s="18"/>
      <c r="AF199" s="18"/>
      <c r="AG199" s="96"/>
      <c r="AH199" s="6" t="str">
        <f t="shared" si="39"/>
        <v/>
      </c>
      <c r="AI199" s="96" t="str">
        <f t="shared" si="40"/>
        <v xml:space="preserve">/* </v>
      </c>
      <c r="AJ199" s="6" t="str">
        <f t="shared" si="51"/>
        <v>{(U4)0x00000004U,</v>
      </c>
      <c r="AK199" s="6" t="str">
        <f t="shared" si="52"/>
        <v>(U4)0x40000313U,</v>
      </c>
      <c r="AL199" s="6" t="str">
        <f t="shared" si="53"/>
        <v>(U4)0x4000031aU,</v>
      </c>
      <c r="AM199" s="6" t="str">
        <f t="shared" si="54"/>
        <v>(U2)8U,</v>
      </c>
      <c r="AN199" s="6" t="str">
        <f t="shared" si="55"/>
        <v>(U2)54U},</v>
      </c>
      <c r="AO199" s="6" t="str">
        <f t="shared" si="46"/>
        <v xml:space="preserve"> */</v>
      </c>
      <c r="AP199" s="6" t="str">
        <f t="shared" si="47"/>
        <v>/*   : AVN1S30 = 0x4000031a */</v>
      </c>
    </row>
    <row r="200" spans="1:42">
      <c r="A200" s="15" t="str">
        <f t="shared" si="56"/>
        <v>AVN1SA1</v>
      </c>
      <c r="B200" s="15" t="str">
        <f t="shared" si="56"/>
        <v>31D</v>
      </c>
      <c r="C200" s="15" t="str">
        <f t="shared" si="56"/>
        <v>1</v>
      </c>
      <c r="D200" s="15">
        <f t="shared" si="56"/>
        <v>8</v>
      </c>
      <c r="E200" s="15">
        <f t="shared" si="56"/>
        <v>1000</v>
      </c>
      <c r="F200" s="15" t="str">
        <f t="shared" si="56"/>
        <v>0</v>
      </c>
      <c r="G200" s="16" t="str">
        <f t="shared" si="57"/>
        <v/>
      </c>
      <c r="H200" s="16" t="str">
        <f t="shared" si="57"/>
        <v/>
      </c>
      <c r="I200" s="16" t="str">
        <f t="shared" si="57"/>
        <v>T</v>
      </c>
      <c r="J200" s="16" t="str">
        <f t="shared" si="57"/>
        <v/>
      </c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89"/>
      <c r="AA200" s="18"/>
      <c r="AF200" s="18"/>
      <c r="AG200" s="96"/>
      <c r="AH200" s="6">
        <f t="shared" si="39"/>
        <v>35</v>
      </c>
      <c r="AI200" s="96" t="str">
        <f t="shared" si="40"/>
        <v/>
      </c>
      <c r="AJ200" s="6" t="str">
        <f t="shared" si="51"/>
        <v>{(U4)0x00000008U,</v>
      </c>
      <c r="AK200" s="6" t="str">
        <f t="shared" si="52"/>
        <v>(U4)0x4000031dU,</v>
      </c>
      <c r="AL200" s="6" t="str">
        <f t="shared" si="53"/>
        <v>(U4)0x4000031dU,</v>
      </c>
      <c r="AM200" s="6" t="str">
        <f t="shared" si="54"/>
        <v>(U2)8U,</v>
      </c>
      <c r="AN200" s="6" t="str">
        <f t="shared" si="55"/>
        <v>(U2)78U},</v>
      </c>
      <c r="AO200" s="6" t="str">
        <f t="shared" si="46"/>
        <v/>
      </c>
      <c r="AP200" s="6" t="str">
        <f t="shared" si="47"/>
        <v>/* 35 : AVN1SA1 = 0x4000031d */</v>
      </c>
    </row>
    <row r="201" spans="1:42">
      <c r="A201" s="15" t="str">
        <f t="shared" si="56"/>
        <v>AVN1SG4</v>
      </c>
      <c r="B201" s="15" t="str">
        <f t="shared" si="56"/>
        <v>322</v>
      </c>
      <c r="C201" s="15" t="str">
        <f t="shared" si="56"/>
        <v>1</v>
      </c>
      <c r="D201" s="15">
        <f t="shared" si="56"/>
        <v>32</v>
      </c>
      <c r="E201" s="15">
        <f t="shared" si="56"/>
        <v>1000</v>
      </c>
      <c r="F201" s="15" t="str">
        <f t="shared" si="56"/>
        <v>0</v>
      </c>
      <c r="G201" s="16" t="str">
        <f t="shared" si="57"/>
        <v/>
      </c>
      <c r="H201" s="16" t="str">
        <f t="shared" si="57"/>
        <v/>
      </c>
      <c r="I201" s="16" t="str">
        <f t="shared" si="57"/>
        <v>T</v>
      </c>
      <c r="J201" s="16" t="str">
        <f t="shared" si="57"/>
        <v/>
      </c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89"/>
      <c r="AA201" s="18"/>
      <c r="AF201" s="18"/>
      <c r="AG201" s="96"/>
      <c r="AH201" s="6">
        <f t="shared" si="39"/>
        <v>36</v>
      </c>
      <c r="AI201" s="96" t="str">
        <f t="shared" si="40"/>
        <v/>
      </c>
      <c r="AJ201" s="6" t="str">
        <f t="shared" si="51"/>
        <v>{(U4)0x00000008U,</v>
      </c>
      <c r="AK201" s="6" t="str">
        <f t="shared" si="52"/>
        <v>(U4)0x40000322U,</v>
      </c>
      <c r="AL201" s="6" t="str">
        <f t="shared" si="53"/>
        <v>(U4)0x40000322U,</v>
      </c>
      <c r="AM201" s="6" t="str">
        <f t="shared" si="54"/>
        <v>(U2)32U,</v>
      </c>
      <c r="AN201" s="6" t="str">
        <f t="shared" si="55"/>
        <v>(U2)78U},</v>
      </c>
      <c r="AO201" s="6" t="str">
        <f t="shared" si="46"/>
        <v/>
      </c>
      <c r="AP201" s="6" t="str">
        <f t="shared" si="47"/>
        <v>/* 36 : AVN1SG4 = 0x40000322 */</v>
      </c>
    </row>
    <row r="202" spans="1:42">
      <c r="A202" s="15" t="str">
        <f t="shared" si="56"/>
        <v>CDC1S01</v>
      </c>
      <c r="B202" s="15" t="str">
        <f t="shared" si="56"/>
        <v>333</v>
      </c>
      <c r="C202" s="15" t="str">
        <f t="shared" si="56"/>
        <v>1</v>
      </c>
      <c r="D202" s="15">
        <f t="shared" si="56"/>
        <v>32</v>
      </c>
      <c r="E202" s="15">
        <f t="shared" si="56"/>
        <v>1000</v>
      </c>
      <c r="F202" s="15" t="str">
        <f t="shared" si="56"/>
        <v>1</v>
      </c>
      <c r="G202" s="16" t="str">
        <f t="shared" si="57"/>
        <v>T</v>
      </c>
      <c r="H202" s="16" t="str">
        <f t="shared" si="57"/>
        <v/>
      </c>
      <c r="I202" s="16" t="str">
        <f t="shared" si="57"/>
        <v/>
      </c>
      <c r="J202" s="16" t="str">
        <f t="shared" si="57"/>
        <v/>
      </c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89"/>
      <c r="AA202" s="18"/>
      <c r="AF202" s="18"/>
      <c r="AG202" s="96"/>
      <c r="AH202" s="6">
        <f t="shared" ref="AH202:AH233" si="58">IF($AH70&lt;&gt;"",$AH70,"")</f>
        <v>37</v>
      </c>
      <c r="AI202" s="96" t="str">
        <f t="shared" ref="AI202:AI233" si="59">IF($AH70&lt;&gt;"","", "/* ")</f>
        <v/>
      </c>
      <c r="AJ202" s="6" t="str">
        <f t="shared" si="51"/>
        <v>{(U4)0x00000001U,</v>
      </c>
      <c r="AK202" s="6" t="str">
        <f t="shared" si="52"/>
        <v>(U4)0x40000333U,</v>
      </c>
      <c r="AL202" s="6" t="str">
        <f t="shared" si="53"/>
        <v>(U4)0x40000333U,</v>
      </c>
      <c r="AM202" s="6" t="str">
        <f t="shared" si="54"/>
        <v>(U2)32U,</v>
      </c>
      <c r="AN202" s="6" t="str">
        <f t="shared" si="55"/>
        <v>(U2)42U},</v>
      </c>
      <c r="AO202" s="6" t="str">
        <f t="shared" ref="AO202:AO233" si="60">IF($AH70&lt;&gt;"","", " */")</f>
        <v/>
      </c>
      <c r="AP202" s="6" t="str">
        <f t="shared" ref="AP202:AP233" si="61">"/* "&amp;IF($AH70&lt;&gt;"",$AH70," ")&amp;" : "&amp;A70&amp;" = "&amp;LOWER($AJ70)&amp;" */"</f>
        <v>/* 37 : CDC1S01 = 0x40000333 */</v>
      </c>
    </row>
    <row r="203" spans="1:42">
      <c r="A203" s="15" t="str">
        <f t="shared" si="56"/>
        <v>CDC1S03</v>
      </c>
      <c r="B203" s="15" t="str">
        <f t="shared" si="56"/>
        <v>334</v>
      </c>
      <c r="C203" s="15" t="str">
        <f t="shared" si="56"/>
        <v>1</v>
      </c>
      <c r="D203" s="15">
        <f t="shared" si="56"/>
        <v>32</v>
      </c>
      <c r="E203" s="15">
        <f t="shared" si="56"/>
        <v>1000</v>
      </c>
      <c r="F203" s="15" t="str">
        <f t="shared" si="56"/>
        <v>0</v>
      </c>
      <c r="G203" s="16" t="str">
        <f t="shared" si="57"/>
        <v>T</v>
      </c>
      <c r="H203" s="16" t="str">
        <f t="shared" si="57"/>
        <v/>
      </c>
      <c r="I203" s="16" t="str">
        <f t="shared" si="57"/>
        <v/>
      </c>
      <c r="J203" s="16" t="str">
        <f t="shared" si="57"/>
        <v/>
      </c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89"/>
      <c r="AA203" s="18"/>
      <c r="AF203" s="18"/>
      <c r="AG203" s="96"/>
      <c r="AH203" s="6">
        <f t="shared" si="58"/>
        <v>38</v>
      </c>
      <c r="AI203" s="96" t="str">
        <f t="shared" si="59"/>
        <v/>
      </c>
      <c r="AJ203" s="6" t="str">
        <f t="shared" si="51"/>
        <v>{(U4)0x00000004U,</v>
      </c>
      <c r="AK203" s="6" t="str">
        <f t="shared" si="52"/>
        <v>(U4)0x40000334U,</v>
      </c>
      <c r="AL203" s="6" t="str">
        <f t="shared" si="53"/>
        <v>(U4)0x4000033aU,</v>
      </c>
      <c r="AM203" s="6" t="str">
        <f t="shared" si="54"/>
        <v>(U2)32U,</v>
      </c>
      <c r="AN203" s="6" t="str">
        <f t="shared" si="55"/>
        <v>(U2)54U},</v>
      </c>
      <c r="AO203" s="6" t="str">
        <f t="shared" si="60"/>
        <v/>
      </c>
      <c r="AP203" s="6" t="str">
        <f t="shared" si="61"/>
        <v>/* 38 : CDC1S03 = 0x40000334 */</v>
      </c>
    </row>
    <row r="204" spans="1:42">
      <c r="A204" s="15" t="str">
        <f t="shared" si="56"/>
        <v>AVN1SG3</v>
      </c>
      <c r="B204" s="15" t="str">
        <f t="shared" si="56"/>
        <v>33A</v>
      </c>
      <c r="C204" s="15" t="str">
        <f t="shared" si="56"/>
        <v>1</v>
      </c>
      <c r="D204" s="15">
        <f t="shared" si="56"/>
        <v>32</v>
      </c>
      <c r="E204" s="15">
        <f t="shared" si="56"/>
        <v>1000</v>
      </c>
      <c r="F204" s="15" t="str">
        <f t="shared" si="56"/>
        <v>0</v>
      </c>
      <c r="G204" s="16" t="str">
        <f t="shared" si="57"/>
        <v>T</v>
      </c>
      <c r="H204" s="16" t="str">
        <f t="shared" si="57"/>
        <v/>
      </c>
      <c r="I204" s="16" t="str">
        <f t="shared" si="57"/>
        <v/>
      </c>
      <c r="J204" s="16" t="str">
        <f t="shared" si="57"/>
        <v/>
      </c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89"/>
      <c r="AA204" s="18"/>
      <c r="AF204" s="18"/>
      <c r="AG204" s="96"/>
      <c r="AH204" s="6" t="str">
        <f t="shared" si="58"/>
        <v/>
      </c>
      <c r="AI204" s="96" t="str">
        <f t="shared" si="59"/>
        <v xml:space="preserve">/* </v>
      </c>
      <c r="AJ204" s="6" t="str">
        <f t="shared" si="51"/>
        <v>{(U4)0x00000004U,</v>
      </c>
      <c r="AK204" s="6" t="str">
        <f t="shared" si="52"/>
        <v>(U4)0x40000334U,</v>
      </c>
      <c r="AL204" s="6" t="str">
        <f t="shared" si="53"/>
        <v>(U4)0x4000033aU,</v>
      </c>
      <c r="AM204" s="6" t="str">
        <f t="shared" si="54"/>
        <v>(U2)32U,</v>
      </c>
      <c r="AN204" s="6" t="str">
        <f t="shared" si="55"/>
        <v>(U2)54U},</v>
      </c>
      <c r="AO204" s="6" t="str">
        <f t="shared" si="60"/>
        <v xml:space="preserve"> */</v>
      </c>
      <c r="AP204" s="6" t="str">
        <f t="shared" si="61"/>
        <v>/*   : AVN1SG3 = 0x4000033a */</v>
      </c>
    </row>
    <row r="205" spans="1:42">
      <c r="A205" s="15" t="str">
        <f t="shared" si="56"/>
        <v>AVN1S94</v>
      </c>
      <c r="B205" s="15" t="str">
        <f t="shared" si="56"/>
        <v>345</v>
      </c>
      <c r="C205" s="15" t="str">
        <f t="shared" si="56"/>
        <v>1</v>
      </c>
      <c r="D205" s="15">
        <f t="shared" si="56"/>
        <v>8</v>
      </c>
      <c r="E205" s="15">
        <f t="shared" si="56"/>
        <v>1000</v>
      </c>
      <c r="F205" s="15" t="str">
        <f t="shared" si="56"/>
        <v>0</v>
      </c>
      <c r="G205" s="16" t="str">
        <f t="shared" si="57"/>
        <v>T</v>
      </c>
      <c r="H205" s="16" t="str">
        <f t="shared" si="57"/>
        <v/>
      </c>
      <c r="I205" s="16" t="str">
        <f t="shared" si="57"/>
        <v/>
      </c>
      <c r="J205" s="16" t="str">
        <f t="shared" si="57"/>
        <v/>
      </c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89"/>
      <c r="AA205" s="18"/>
      <c r="AF205" s="18"/>
      <c r="AG205" s="96"/>
      <c r="AH205" s="6">
        <f t="shared" si="58"/>
        <v>39</v>
      </c>
      <c r="AI205" s="96" t="str">
        <f t="shared" si="59"/>
        <v/>
      </c>
      <c r="AJ205" s="6" t="str">
        <f t="shared" si="51"/>
        <v>{(U4)0x00000004U,</v>
      </c>
      <c r="AK205" s="6" t="str">
        <f t="shared" si="52"/>
        <v>(U4)0x40000345U,</v>
      </c>
      <c r="AL205" s="6" t="str">
        <f t="shared" si="53"/>
        <v>(U4)0x40000351U,</v>
      </c>
      <c r="AM205" s="6" t="str">
        <f t="shared" si="54"/>
        <v>(U2)8U,</v>
      </c>
      <c r="AN205" s="6" t="str">
        <f t="shared" si="55"/>
        <v>(U2)54U},</v>
      </c>
      <c r="AO205" s="6" t="str">
        <f t="shared" si="60"/>
        <v/>
      </c>
      <c r="AP205" s="6" t="str">
        <f t="shared" si="61"/>
        <v>/* 39 : AVN1S94 = 0x40000345 */</v>
      </c>
    </row>
    <row r="206" spans="1:42">
      <c r="A206" s="15" t="str">
        <f t="shared" si="56"/>
        <v>AVN1S95</v>
      </c>
      <c r="B206" s="15" t="str">
        <f t="shared" si="56"/>
        <v>346</v>
      </c>
      <c r="C206" s="15" t="str">
        <f t="shared" si="56"/>
        <v>1</v>
      </c>
      <c r="D206" s="15">
        <f t="shared" si="56"/>
        <v>8</v>
      </c>
      <c r="E206" s="15">
        <f t="shared" si="56"/>
        <v>1000</v>
      </c>
      <c r="F206" s="15" t="str">
        <f t="shared" si="56"/>
        <v>0</v>
      </c>
      <c r="G206" s="16" t="str">
        <f t="shared" si="57"/>
        <v>T</v>
      </c>
      <c r="H206" s="16" t="str">
        <f t="shared" si="57"/>
        <v/>
      </c>
      <c r="I206" s="16" t="str">
        <f t="shared" si="57"/>
        <v/>
      </c>
      <c r="J206" s="16" t="str">
        <f t="shared" si="57"/>
        <v/>
      </c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89"/>
      <c r="AA206" s="18"/>
      <c r="AF206" s="18"/>
      <c r="AG206" s="96"/>
      <c r="AH206" s="6" t="str">
        <f t="shared" si="58"/>
        <v/>
      </c>
      <c r="AI206" s="96" t="str">
        <f t="shared" si="59"/>
        <v xml:space="preserve">/* </v>
      </c>
      <c r="AJ206" s="6" t="str">
        <f t="shared" si="51"/>
        <v>{(U4)0x00000004U,</v>
      </c>
      <c r="AK206" s="6" t="str">
        <f t="shared" si="52"/>
        <v>(U4)0x40000345U,</v>
      </c>
      <c r="AL206" s="6" t="str">
        <f t="shared" si="53"/>
        <v>(U4)0x40000351U,</v>
      </c>
      <c r="AM206" s="6" t="str">
        <f t="shared" si="54"/>
        <v>(U2)8U,</v>
      </c>
      <c r="AN206" s="6" t="str">
        <f t="shared" si="55"/>
        <v>(U2)54U},</v>
      </c>
      <c r="AO206" s="6" t="str">
        <f t="shared" si="60"/>
        <v xml:space="preserve"> */</v>
      </c>
      <c r="AP206" s="6" t="str">
        <f t="shared" si="61"/>
        <v>/*   : AVN1S95 = 0x40000346 */</v>
      </c>
    </row>
    <row r="207" spans="1:42">
      <c r="A207" s="15" t="str">
        <f t="shared" si="56"/>
        <v>CDC1S04</v>
      </c>
      <c r="B207" s="15" t="str">
        <f t="shared" si="56"/>
        <v>351</v>
      </c>
      <c r="C207" s="15" t="str">
        <f t="shared" si="56"/>
        <v>1</v>
      </c>
      <c r="D207" s="15">
        <f t="shared" si="56"/>
        <v>8</v>
      </c>
      <c r="E207" s="15">
        <f t="shared" si="56"/>
        <v>1000</v>
      </c>
      <c r="F207" s="15" t="str">
        <f t="shared" si="56"/>
        <v>0</v>
      </c>
      <c r="G207" s="16" t="str">
        <f t="shared" si="57"/>
        <v>T</v>
      </c>
      <c r="H207" s="16" t="str">
        <f t="shared" si="57"/>
        <v/>
      </c>
      <c r="I207" s="16" t="str">
        <f t="shared" si="57"/>
        <v/>
      </c>
      <c r="J207" s="16" t="str">
        <f t="shared" si="57"/>
        <v/>
      </c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89"/>
      <c r="AA207" s="18"/>
      <c r="AF207" s="18"/>
      <c r="AG207" s="96"/>
      <c r="AH207" s="6" t="str">
        <f t="shared" si="58"/>
        <v/>
      </c>
      <c r="AI207" s="96" t="str">
        <f t="shared" si="59"/>
        <v xml:space="preserve">/* </v>
      </c>
      <c r="AJ207" s="6" t="str">
        <f t="shared" si="51"/>
        <v>{(U4)0x00000004U,</v>
      </c>
      <c r="AK207" s="6" t="str">
        <f t="shared" si="52"/>
        <v>(U4)0x40000345U,</v>
      </c>
      <c r="AL207" s="6" t="str">
        <f t="shared" si="53"/>
        <v>(U4)0x40000351U,</v>
      </c>
      <c r="AM207" s="6" t="str">
        <f t="shared" si="54"/>
        <v>(U2)8U,</v>
      </c>
      <c r="AN207" s="6" t="str">
        <f t="shared" si="55"/>
        <v>(U2)54U},</v>
      </c>
      <c r="AO207" s="6" t="str">
        <f t="shared" si="60"/>
        <v xml:space="preserve"> */</v>
      </c>
      <c r="AP207" s="6" t="str">
        <f t="shared" si="61"/>
        <v>/*   : CDC1S04 = 0x40000351 */</v>
      </c>
    </row>
    <row r="208" spans="1:42">
      <c r="A208" s="15" t="str">
        <f t="shared" ref="A208:F217" si="62">A76</f>
        <v>MET1S70</v>
      </c>
      <c r="B208" s="15" t="str">
        <f t="shared" si="62"/>
        <v>357</v>
      </c>
      <c r="C208" s="15" t="str">
        <f t="shared" si="62"/>
        <v>1</v>
      </c>
      <c r="D208" s="15">
        <f t="shared" si="62"/>
        <v>32</v>
      </c>
      <c r="E208" s="15">
        <f t="shared" si="62"/>
        <v>1000</v>
      </c>
      <c r="F208" s="15" t="str">
        <f t="shared" si="62"/>
        <v>0</v>
      </c>
      <c r="G208" s="16" t="str">
        <f t="shared" si="57"/>
        <v/>
      </c>
      <c r="H208" s="16" t="str">
        <f t="shared" si="57"/>
        <v/>
      </c>
      <c r="I208" s="16" t="str">
        <f t="shared" si="57"/>
        <v>T</v>
      </c>
      <c r="J208" s="16" t="str">
        <f t="shared" si="57"/>
        <v/>
      </c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89"/>
      <c r="AA208" s="18"/>
      <c r="AF208" s="18"/>
      <c r="AG208" s="96"/>
      <c r="AH208" s="6">
        <f t="shared" si="58"/>
        <v>40</v>
      </c>
      <c r="AI208" s="96" t="str">
        <f t="shared" si="59"/>
        <v/>
      </c>
      <c r="AJ208" s="6" t="str">
        <f t="shared" si="51"/>
        <v>{(U4)0x00000008U,</v>
      </c>
      <c r="AK208" s="6" t="str">
        <f t="shared" si="52"/>
        <v>(U4)0x40000357U,</v>
      </c>
      <c r="AL208" s="6" t="str">
        <f t="shared" si="53"/>
        <v>(U4)0x40000357U,</v>
      </c>
      <c r="AM208" s="6" t="str">
        <f t="shared" si="54"/>
        <v>(U2)32U,</v>
      </c>
      <c r="AN208" s="6" t="str">
        <f t="shared" si="55"/>
        <v>(U2)78U},</v>
      </c>
      <c r="AO208" s="6" t="str">
        <f t="shared" si="60"/>
        <v/>
      </c>
      <c r="AP208" s="6" t="str">
        <f t="shared" si="61"/>
        <v>/* 40 : MET1S70 = 0x40000357 */</v>
      </c>
    </row>
    <row r="209" spans="1:42">
      <c r="A209" s="15" t="str">
        <f t="shared" si="62"/>
        <v>AVN1SA7</v>
      </c>
      <c r="B209" s="15" t="str">
        <f t="shared" si="62"/>
        <v>35A</v>
      </c>
      <c r="C209" s="15" t="str">
        <f t="shared" si="62"/>
        <v>1</v>
      </c>
      <c r="D209" s="15">
        <f t="shared" si="62"/>
        <v>32</v>
      </c>
      <c r="E209" s="15">
        <f t="shared" si="62"/>
        <v>1000</v>
      </c>
      <c r="F209" s="15" t="str">
        <f t="shared" si="62"/>
        <v>0</v>
      </c>
      <c r="G209" s="16" t="str">
        <f t="shared" si="57"/>
        <v>T</v>
      </c>
      <c r="H209" s="16" t="str">
        <f t="shared" si="57"/>
        <v/>
      </c>
      <c r="I209" s="16" t="str">
        <f t="shared" si="57"/>
        <v/>
      </c>
      <c r="J209" s="16" t="str">
        <f t="shared" si="57"/>
        <v/>
      </c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89"/>
      <c r="AA209" s="18"/>
      <c r="AF209" s="18"/>
      <c r="AG209" s="96"/>
      <c r="AH209" s="6">
        <f t="shared" si="58"/>
        <v>41</v>
      </c>
      <c r="AI209" s="96" t="str">
        <f t="shared" si="59"/>
        <v/>
      </c>
      <c r="AJ209" s="6" t="str">
        <f t="shared" si="51"/>
        <v>{(U4)0x00000004U,</v>
      </c>
      <c r="AK209" s="6" t="str">
        <f t="shared" si="52"/>
        <v>(U4)0x4000035aU,</v>
      </c>
      <c r="AL209" s="6" t="str">
        <f t="shared" si="53"/>
        <v>(U4)0x4000035aU,</v>
      </c>
      <c r="AM209" s="6" t="str">
        <f t="shared" si="54"/>
        <v>(U2)32U,</v>
      </c>
      <c r="AN209" s="6" t="str">
        <f t="shared" si="55"/>
        <v>(U2)54U},</v>
      </c>
      <c r="AO209" s="6" t="str">
        <f t="shared" si="60"/>
        <v/>
      </c>
      <c r="AP209" s="6" t="str">
        <f t="shared" si="61"/>
        <v>/* 41 : AVN1SA7 = 0x4000035a */</v>
      </c>
    </row>
    <row r="210" spans="1:42">
      <c r="A210" s="15" t="str">
        <f t="shared" si="62"/>
        <v>AVN1S62</v>
      </c>
      <c r="B210" s="15" t="str">
        <f t="shared" si="62"/>
        <v>35B</v>
      </c>
      <c r="C210" s="15" t="str">
        <f t="shared" si="62"/>
        <v>1</v>
      </c>
      <c r="D210" s="15">
        <f t="shared" si="62"/>
        <v>8</v>
      </c>
      <c r="E210" s="15">
        <f t="shared" si="62"/>
        <v>20000</v>
      </c>
      <c r="F210" s="15" t="str">
        <f t="shared" si="62"/>
        <v>0</v>
      </c>
      <c r="G210" s="16" t="str">
        <f t="shared" si="57"/>
        <v>T</v>
      </c>
      <c r="H210" s="16" t="str">
        <f t="shared" si="57"/>
        <v/>
      </c>
      <c r="I210" s="16" t="str">
        <f t="shared" si="57"/>
        <v/>
      </c>
      <c r="J210" s="16" t="str">
        <f t="shared" si="57"/>
        <v/>
      </c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89"/>
      <c r="AA210" s="18"/>
      <c r="AF210" s="18"/>
      <c r="AG210" s="96"/>
      <c r="AH210" s="6">
        <f t="shared" si="58"/>
        <v>42</v>
      </c>
      <c r="AI210" s="96" t="str">
        <f t="shared" si="59"/>
        <v/>
      </c>
      <c r="AJ210" s="6" t="str">
        <f t="shared" si="51"/>
        <v>{(U4)0x00000004U,</v>
      </c>
      <c r="AK210" s="6" t="str">
        <f t="shared" si="52"/>
        <v>(U4)0x4000035bU,</v>
      </c>
      <c r="AL210" s="6" t="str">
        <f t="shared" si="53"/>
        <v>(U4)0x4000037eU,</v>
      </c>
      <c r="AM210" s="6" t="str">
        <f t="shared" si="54"/>
        <v>(U2)8U,</v>
      </c>
      <c r="AN210" s="6" t="str">
        <f t="shared" si="55"/>
        <v>(U2)54U},</v>
      </c>
      <c r="AO210" s="6" t="str">
        <f t="shared" si="60"/>
        <v/>
      </c>
      <c r="AP210" s="6" t="str">
        <f t="shared" si="61"/>
        <v>/* 42 : AVN1S62 = 0x4000035b */</v>
      </c>
    </row>
    <row r="211" spans="1:42">
      <c r="A211" s="15" t="str">
        <f t="shared" si="62"/>
        <v>MET1S28</v>
      </c>
      <c r="B211" s="15" t="str">
        <f t="shared" si="62"/>
        <v>37E</v>
      </c>
      <c r="C211" s="15" t="str">
        <f t="shared" si="62"/>
        <v>1</v>
      </c>
      <c r="D211" s="15">
        <f t="shared" si="62"/>
        <v>8</v>
      </c>
      <c r="E211" s="15">
        <f t="shared" si="62"/>
        <v>1000</v>
      </c>
      <c r="F211" s="15" t="str">
        <f t="shared" si="62"/>
        <v>0</v>
      </c>
      <c r="G211" s="16" t="str">
        <f t="shared" si="57"/>
        <v>T</v>
      </c>
      <c r="H211" s="16" t="str">
        <f t="shared" si="57"/>
        <v/>
      </c>
      <c r="I211" s="16" t="str">
        <f t="shared" si="57"/>
        <v/>
      </c>
      <c r="J211" s="16" t="str">
        <f t="shared" si="57"/>
        <v/>
      </c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89"/>
      <c r="AA211" s="18"/>
      <c r="AF211" s="18"/>
      <c r="AG211" s="96"/>
      <c r="AH211" s="6" t="str">
        <f t="shared" si="58"/>
        <v/>
      </c>
      <c r="AI211" s="96" t="str">
        <f t="shared" si="59"/>
        <v xml:space="preserve">/* </v>
      </c>
      <c r="AJ211" s="6" t="str">
        <f t="shared" si="51"/>
        <v>{(U4)0x00000004U,</v>
      </c>
      <c r="AK211" s="6" t="str">
        <f t="shared" si="52"/>
        <v>(U4)0x4000035bU,</v>
      </c>
      <c r="AL211" s="6" t="str">
        <f t="shared" si="53"/>
        <v>(U4)0x4000037eU,</v>
      </c>
      <c r="AM211" s="6" t="str">
        <f t="shared" si="54"/>
        <v>(U2)8U,</v>
      </c>
      <c r="AN211" s="6" t="str">
        <f t="shared" si="55"/>
        <v>(U2)54U},</v>
      </c>
      <c r="AO211" s="6" t="str">
        <f t="shared" si="60"/>
        <v xml:space="preserve"> */</v>
      </c>
      <c r="AP211" s="6" t="str">
        <f t="shared" si="61"/>
        <v>/*   : MET1S28 = 0x4000037e */</v>
      </c>
    </row>
    <row r="212" spans="1:42">
      <c r="A212" s="15" t="str">
        <f t="shared" si="62"/>
        <v>AVN1S01</v>
      </c>
      <c r="B212" s="15" t="str">
        <f t="shared" si="62"/>
        <v>384</v>
      </c>
      <c r="C212" s="15" t="str">
        <f t="shared" si="62"/>
        <v>1</v>
      </c>
      <c r="D212" s="15">
        <f t="shared" si="62"/>
        <v>32</v>
      </c>
      <c r="E212" s="15">
        <f t="shared" si="62"/>
        <v>3000</v>
      </c>
      <c r="F212" s="15" t="str">
        <f t="shared" si="62"/>
        <v>0</v>
      </c>
      <c r="G212" s="16" t="str">
        <f t="shared" si="57"/>
        <v>T</v>
      </c>
      <c r="H212" s="16" t="str">
        <f t="shared" si="57"/>
        <v/>
      </c>
      <c r="I212" s="16" t="str">
        <f t="shared" si="57"/>
        <v/>
      </c>
      <c r="J212" s="16" t="str">
        <f t="shared" si="57"/>
        <v/>
      </c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89"/>
      <c r="AA212" s="18"/>
      <c r="AF212" s="18"/>
      <c r="AG212" s="96"/>
      <c r="AH212" s="6">
        <f t="shared" si="58"/>
        <v>43</v>
      </c>
      <c r="AI212" s="96" t="str">
        <f t="shared" si="59"/>
        <v/>
      </c>
      <c r="AJ212" s="6" t="str">
        <f t="shared" si="51"/>
        <v>{(U4)0x00000004U,</v>
      </c>
      <c r="AK212" s="6" t="str">
        <f t="shared" si="52"/>
        <v>(U4)0x40000384U,</v>
      </c>
      <c r="AL212" s="6" t="str">
        <f t="shared" si="53"/>
        <v>(U4)0x40000384U,</v>
      </c>
      <c r="AM212" s="6" t="str">
        <f t="shared" si="54"/>
        <v>(U2)32U,</v>
      </c>
      <c r="AN212" s="6" t="str">
        <f t="shared" si="55"/>
        <v>(U2)57U},</v>
      </c>
      <c r="AO212" s="6" t="str">
        <f t="shared" si="60"/>
        <v/>
      </c>
      <c r="AP212" s="6" t="str">
        <f t="shared" si="61"/>
        <v>/* 43 : AVN1S01 = 0x40000384 */</v>
      </c>
    </row>
    <row r="213" spans="1:42">
      <c r="A213" s="15" t="str">
        <f t="shared" si="62"/>
        <v>AVN1S03</v>
      </c>
      <c r="B213" s="15" t="str">
        <f t="shared" si="62"/>
        <v>386</v>
      </c>
      <c r="C213" s="15" t="str">
        <f t="shared" si="62"/>
        <v>1</v>
      </c>
      <c r="D213" s="15">
        <f t="shared" si="62"/>
        <v>32</v>
      </c>
      <c r="E213" s="15">
        <f t="shared" si="62"/>
        <v>3000</v>
      </c>
      <c r="F213" s="15" t="str">
        <f t="shared" si="62"/>
        <v>0</v>
      </c>
      <c r="G213" s="16" t="str">
        <f t="shared" si="57"/>
        <v/>
      </c>
      <c r="H213" s="16" t="str">
        <f t="shared" si="57"/>
        <v/>
      </c>
      <c r="I213" s="16" t="str">
        <f t="shared" si="57"/>
        <v>T</v>
      </c>
      <c r="J213" s="16" t="str">
        <f t="shared" si="57"/>
        <v/>
      </c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89"/>
      <c r="AA213" s="18"/>
      <c r="AF213" s="18"/>
      <c r="AG213" s="96"/>
      <c r="AH213" s="6">
        <f t="shared" si="58"/>
        <v>44</v>
      </c>
      <c r="AI213" s="96" t="str">
        <f t="shared" si="59"/>
        <v/>
      </c>
      <c r="AJ213" s="6" t="str">
        <f t="shared" si="51"/>
        <v>{(U4)0x00000008U,</v>
      </c>
      <c r="AK213" s="6" t="str">
        <f t="shared" si="52"/>
        <v>(U4)0x40000386U,</v>
      </c>
      <c r="AL213" s="6" t="str">
        <f t="shared" si="53"/>
        <v>(U4)0x40000386U,</v>
      </c>
      <c r="AM213" s="6" t="str">
        <f t="shared" si="54"/>
        <v>(U2)32U,</v>
      </c>
      <c r="AN213" s="6" t="str">
        <f t="shared" si="55"/>
        <v>(U2)78U},</v>
      </c>
      <c r="AO213" s="6" t="str">
        <f t="shared" si="60"/>
        <v/>
      </c>
      <c r="AP213" s="6" t="str">
        <f t="shared" si="61"/>
        <v>/* 44 : AVN1S03 = 0x40000386 */</v>
      </c>
    </row>
    <row r="214" spans="1:42">
      <c r="A214" s="15" t="str">
        <f t="shared" si="62"/>
        <v>AVN1S05</v>
      </c>
      <c r="B214" s="15" t="str">
        <f t="shared" si="62"/>
        <v>387</v>
      </c>
      <c r="C214" s="15" t="str">
        <f t="shared" si="62"/>
        <v>1</v>
      </c>
      <c r="D214" s="15">
        <f t="shared" si="62"/>
        <v>8</v>
      </c>
      <c r="E214" s="15">
        <f t="shared" si="62"/>
        <v>1000</v>
      </c>
      <c r="F214" s="15" t="str">
        <f t="shared" si="62"/>
        <v>0</v>
      </c>
      <c r="G214" s="16" t="str">
        <f t="shared" si="57"/>
        <v>T</v>
      </c>
      <c r="H214" s="16" t="str">
        <f t="shared" si="57"/>
        <v/>
      </c>
      <c r="I214" s="16" t="str">
        <f t="shared" si="57"/>
        <v/>
      </c>
      <c r="J214" s="16" t="str">
        <f t="shared" si="57"/>
        <v/>
      </c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89"/>
      <c r="AA214" s="18"/>
      <c r="AF214" s="18"/>
      <c r="AG214" s="96"/>
      <c r="AH214" s="6">
        <f t="shared" si="58"/>
        <v>45</v>
      </c>
      <c r="AI214" s="96" t="str">
        <f t="shared" si="59"/>
        <v/>
      </c>
      <c r="AJ214" s="6" t="str">
        <f t="shared" si="51"/>
        <v>{(U4)0x00000004U,</v>
      </c>
      <c r="AK214" s="6" t="str">
        <f t="shared" si="52"/>
        <v>(U4)0x40000387U,</v>
      </c>
      <c r="AL214" s="6" t="str">
        <f t="shared" si="53"/>
        <v>(U4)0x40000388U,</v>
      </c>
      <c r="AM214" s="6" t="str">
        <f t="shared" si="54"/>
        <v>(U2)8U,</v>
      </c>
      <c r="AN214" s="6" t="str">
        <f t="shared" si="55"/>
        <v>(U2)57U},</v>
      </c>
      <c r="AO214" s="6" t="str">
        <f t="shared" si="60"/>
        <v/>
      </c>
      <c r="AP214" s="6" t="str">
        <f t="shared" si="61"/>
        <v>/* 45 : AVN1S05 = 0x40000387 */</v>
      </c>
    </row>
    <row r="215" spans="1:42">
      <c r="A215" s="15" t="str">
        <f t="shared" si="62"/>
        <v>AVN1S06</v>
      </c>
      <c r="B215" s="15" t="str">
        <f t="shared" si="62"/>
        <v>388</v>
      </c>
      <c r="C215" s="15" t="str">
        <f t="shared" si="62"/>
        <v>1</v>
      </c>
      <c r="D215" s="15">
        <f t="shared" si="62"/>
        <v>8</v>
      </c>
      <c r="E215" s="15">
        <f t="shared" si="62"/>
        <v>1000</v>
      </c>
      <c r="F215" s="15" t="str">
        <f t="shared" si="62"/>
        <v>0</v>
      </c>
      <c r="G215" s="16" t="str">
        <f t="shared" si="57"/>
        <v>T</v>
      </c>
      <c r="H215" s="16" t="str">
        <f t="shared" si="57"/>
        <v/>
      </c>
      <c r="I215" s="16" t="str">
        <f t="shared" si="57"/>
        <v/>
      </c>
      <c r="J215" s="16" t="str">
        <f t="shared" si="57"/>
        <v/>
      </c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89"/>
      <c r="AA215" s="18"/>
      <c r="AF215" s="18"/>
      <c r="AG215" s="96"/>
      <c r="AH215" s="6" t="str">
        <f t="shared" si="58"/>
        <v/>
      </c>
      <c r="AI215" s="96" t="str">
        <f t="shared" si="59"/>
        <v xml:space="preserve">/* </v>
      </c>
      <c r="AJ215" s="6" t="str">
        <f t="shared" si="51"/>
        <v>{(U4)0x00000004U,</v>
      </c>
      <c r="AK215" s="6" t="str">
        <f t="shared" si="52"/>
        <v>(U4)0x40000387U,</v>
      </c>
      <c r="AL215" s="6" t="str">
        <f t="shared" si="53"/>
        <v>(U4)0x40000388U,</v>
      </c>
      <c r="AM215" s="6" t="str">
        <f t="shared" si="54"/>
        <v>(U2)8U,</v>
      </c>
      <c r="AN215" s="6" t="str">
        <f t="shared" si="55"/>
        <v>(U2)57U},</v>
      </c>
      <c r="AO215" s="6" t="str">
        <f t="shared" si="60"/>
        <v xml:space="preserve"> */</v>
      </c>
      <c r="AP215" s="6" t="str">
        <f t="shared" si="61"/>
        <v>/*   : AVN1S06 = 0x40000388 */</v>
      </c>
    </row>
    <row r="216" spans="1:42">
      <c r="A216" s="15" t="str">
        <f t="shared" si="62"/>
        <v>AVN1S08</v>
      </c>
      <c r="B216" s="15" t="str">
        <f t="shared" si="62"/>
        <v>389</v>
      </c>
      <c r="C216" s="15" t="str">
        <f t="shared" si="62"/>
        <v>1</v>
      </c>
      <c r="D216" s="15">
        <f t="shared" si="62"/>
        <v>8</v>
      </c>
      <c r="E216" s="15">
        <f t="shared" si="62"/>
        <v>1000</v>
      </c>
      <c r="F216" s="15" t="str">
        <f t="shared" si="62"/>
        <v>0</v>
      </c>
      <c r="G216" s="16" t="str">
        <f t="shared" si="57"/>
        <v/>
      </c>
      <c r="H216" s="16" t="str">
        <f t="shared" si="57"/>
        <v/>
      </c>
      <c r="I216" s="16" t="str">
        <f t="shared" si="57"/>
        <v>T</v>
      </c>
      <c r="J216" s="16" t="str">
        <f t="shared" si="57"/>
        <v/>
      </c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89"/>
      <c r="AA216" s="18"/>
      <c r="AF216" s="18"/>
      <c r="AG216" s="96"/>
      <c r="AH216" s="6">
        <f t="shared" si="58"/>
        <v>46</v>
      </c>
      <c r="AI216" s="96" t="str">
        <f t="shared" si="59"/>
        <v/>
      </c>
      <c r="AJ216" s="6" t="str">
        <f t="shared" si="51"/>
        <v>{(U4)0x00000008U,</v>
      </c>
      <c r="AK216" s="6" t="str">
        <f t="shared" si="52"/>
        <v>(U4)0x40000389U,</v>
      </c>
      <c r="AL216" s="6" t="str">
        <f t="shared" si="53"/>
        <v>(U4)0x40000389U,</v>
      </c>
      <c r="AM216" s="6" t="str">
        <f t="shared" si="54"/>
        <v>(U2)8U,</v>
      </c>
      <c r="AN216" s="6" t="str">
        <f t="shared" si="55"/>
        <v>(U2)78U},</v>
      </c>
      <c r="AO216" s="6" t="str">
        <f t="shared" si="60"/>
        <v/>
      </c>
      <c r="AP216" s="6" t="str">
        <f t="shared" si="61"/>
        <v>/* 46 : AVN1S08 = 0x40000389 */</v>
      </c>
    </row>
    <row r="217" spans="1:42">
      <c r="A217" s="15" t="str">
        <f t="shared" si="62"/>
        <v>AVN1S04</v>
      </c>
      <c r="B217" s="15" t="str">
        <f t="shared" si="62"/>
        <v>38E</v>
      </c>
      <c r="C217" s="15" t="str">
        <f t="shared" si="62"/>
        <v>1</v>
      </c>
      <c r="D217" s="15">
        <f t="shared" si="62"/>
        <v>8</v>
      </c>
      <c r="E217" s="15">
        <f t="shared" si="62"/>
        <v>1000</v>
      </c>
      <c r="F217" s="15" t="str">
        <f t="shared" si="62"/>
        <v>0</v>
      </c>
      <c r="G217" s="16" t="str">
        <f t="shared" si="57"/>
        <v>T</v>
      </c>
      <c r="H217" s="16" t="str">
        <f t="shared" si="57"/>
        <v/>
      </c>
      <c r="I217" s="16" t="str">
        <f t="shared" si="57"/>
        <v/>
      </c>
      <c r="J217" s="16" t="str">
        <f t="shared" si="57"/>
        <v/>
      </c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89"/>
      <c r="AA217" s="18"/>
      <c r="AF217" s="18"/>
      <c r="AG217" s="96"/>
      <c r="AH217" s="6">
        <f t="shared" si="58"/>
        <v>47</v>
      </c>
      <c r="AI217" s="96" t="str">
        <f t="shared" si="59"/>
        <v/>
      </c>
      <c r="AJ217" s="6" t="str">
        <f t="shared" si="51"/>
        <v>{(U4)0x00000004U,</v>
      </c>
      <c r="AK217" s="6" t="str">
        <f t="shared" si="52"/>
        <v>(U4)0x4000038eU,</v>
      </c>
      <c r="AL217" s="6" t="str">
        <f t="shared" si="53"/>
        <v>(U4)0x4000038fU,</v>
      </c>
      <c r="AM217" s="6" t="str">
        <f t="shared" si="54"/>
        <v>(U2)8U,</v>
      </c>
      <c r="AN217" s="6" t="str">
        <f t="shared" si="55"/>
        <v>(U2)57U},</v>
      </c>
      <c r="AO217" s="6" t="str">
        <f t="shared" si="60"/>
        <v/>
      </c>
      <c r="AP217" s="6" t="str">
        <f t="shared" si="61"/>
        <v>/* 47 : AVN1S04 = 0x4000038e */</v>
      </c>
    </row>
    <row r="218" spans="1:42">
      <c r="A218" s="15" t="str">
        <f t="shared" ref="A218:F227" si="63">A86</f>
        <v>AVN1S07</v>
      </c>
      <c r="B218" s="15" t="str">
        <f t="shared" si="63"/>
        <v>38F</v>
      </c>
      <c r="C218" s="15" t="str">
        <f t="shared" si="63"/>
        <v>1</v>
      </c>
      <c r="D218" s="15">
        <f t="shared" si="63"/>
        <v>8</v>
      </c>
      <c r="E218" s="15">
        <f t="shared" si="63"/>
        <v>1000</v>
      </c>
      <c r="F218" s="15" t="str">
        <f t="shared" si="63"/>
        <v>0</v>
      </c>
      <c r="G218" s="16" t="str">
        <f t="shared" ref="G218:J237" si="64">IF(G86&lt;&gt;"",G86,"")</f>
        <v>T</v>
      </c>
      <c r="H218" s="16" t="str">
        <f t="shared" si="64"/>
        <v/>
      </c>
      <c r="I218" s="16" t="str">
        <f t="shared" si="64"/>
        <v/>
      </c>
      <c r="J218" s="16" t="str">
        <f t="shared" si="64"/>
        <v/>
      </c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89"/>
      <c r="AA218" s="18"/>
      <c r="AF218" s="18"/>
      <c r="AG218" s="96"/>
      <c r="AH218" s="6" t="str">
        <f t="shared" si="58"/>
        <v/>
      </c>
      <c r="AI218" s="96" t="str">
        <f t="shared" si="59"/>
        <v xml:space="preserve">/* </v>
      </c>
      <c r="AJ218" s="6" t="str">
        <f t="shared" si="51"/>
        <v>{(U4)0x00000004U,</v>
      </c>
      <c r="AK218" s="6" t="str">
        <f t="shared" si="52"/>
        <v>(U4)0x4000038eU,</v>
      </c>
      <c r="AL218" s="6" t="str">
        <f t="shared" si="53"/>
        <v>(U4)0x4000038fU,</v>
      </c>
      <c r="AM218" s="6" t="str">
        <f t="shared" si="54"/>
        <v>(U2)8U,</v>
      </c>
      <c r="AN218" s="6" t="str">
        <f t="shared" si="55"/>
        <v>(U2)57U},</v>
      </c>
      <c r="AO218" s="6" t="str">
        <f t="shared" si="60"/>
        <v xml:space="preserve"> */</v>
      </c>
      <c r="AP218" s="6" t="str">
        <f t="shared" si="61"/>
        <v>/*   : AVN1S07 = 0x4000038f */</v>
      </c>
    </row>
    <row r="219" spans="1:42">
      <c r="A219" s="15" t="str">
        <f t="shared" si="63"/>
        <v>AVN1S46</v>
      </c>
      <c r="B219" s="15" t="str">
        <f t="shared" si="63"/>
        <v>3A6</v>
      </c>
      <c r="C219" s="15" t="str">
        <f t="shared" si="63"/>
        <v>1</v>
      </c>
      <c r="D219" s="15">
        <f t="shared" si="63"/>
        <v>8</v>
      </c>
      <c r="E219" s="15">
        <f t="shared" si="63"/>
        <v>3000</v>
      </c>
      <c r="F219" s="15" t="str">
        <f t="shared" si="63"/>
        <v>0</v>
      </c>
      <c r="G219" s="16" t="str">
        <f t="shared" si="64"/>
        <v/>
      </c>
      <c r="H219" s="16" t="str">
        <f t="shared" si="64"/>
        <v/>
      </c>
      <c r="I219" s="16" t="str">
        <f t="shared" si="64"/>
        <v>T</v>
      </c>
      <c r="J219" s="16" t="str">
        <f t="shared" si="64"/>
        <v/>
      </c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89"/>
      <c r="AA219" s="18"/>
      <c r="AF219" s="18"/>
      <c r="AG219" s="96"/>
      <c r="AH219" s="6">
        <f t="shared" si="58"/>
        <v>48</v>
      </c>
      <c r="AI219" s="96" t="str">
        <f t="shared" si="59"/>
        <v/>
      </c>
      <c r="AJ219" s="6" t="str">
        <f t="shared" si="51"/>
        <v>{(U4)0x00000008U,</v>
      </c>
      <c r="AK219" s="6" t="str">
        <f t="shared" si="52"/>
        <v>(U4)0x400003a6U,</v>
      </c>
      <c r="AL219" s="6" t="str">
        <f t="shared" si="53"/>
        <v>(U4)0x400003a8U,</v>
      </c>
      <c r="AM219" s="6" t="str">
        <f t="shared" si="54"/>
        <v>(U2)8U,</v>
      </c>
      <c r="AN219" s="6" t="str">
        <f t="shared" si="55"/>
        <v>(U2)78U},</v>
      </c>
      <c r="AO219" s="6" t="str">
        <f t="shared" si="60"/>
        <v/>
      </c>
      <c r="AP219" s="6" t="str">
        <f t="shared" si="61"/>
        <v>/* 48 : AVN1S46 = 0x400003a6 */</v>
      </c>
    </row>
    <row r="220" spans="1:42">
      <c r="A220" s="15" t="str">
        <f t="shared" si="63"/>
        <v>AVN1S47</v>
      </c>
      <c r="B220" s="15" t="str">
        <f t="shared" si="63"/>
        <v>3A7</v>
      </c>
      <c r="C220" s="15" t="str">
        <f t="shared" si="63"/>
        <v>1</v>
      </c>
      <c r="D220" s="15">
        <f t="shared" si="63"/>
        <v>8</v>
      </c>
      <c r="E220" s="15">
        <f t="shared" si="63"/>
        <v>3000</v>
      </c>
      <c r="F220" s="15" t="str">
        <f t="shared" si="63"/>
        <v>0</v>
      </c>
      <c r="G220" s="16" t="str">
        <f t="shared" si="64"/>
        <v/>
      </c>
      <c r="H220" s="16" t="str">
        <f t="shared" si="64"/>
        <v/>
      </c>
      <c r="I220" s="16" t="str">
        <f t="shared" si="64"/>
        <v>T</v>
      </c>
      <c r="J220" s="16" t="str">
        <f t="shared" si="64"/>
        <v/>
      </c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89"/>
      <c r="AA220" s="18"/>
      <c r="AF220" s="18"/>
      <c r="AG220" s="96"/>
      <c r="AH220" s="6" t="str">
        <f t="shared" si="58"/>
        <v/>
      </c>
      <c r="AI220" s="96" t="str">
        <f t="shared" si="59"/>
        <v xml:space="preserve">/* </v>
      </c>
      <c r="AJ220" s="6" t="str">
        <f t="shared" si="51"/>
        <v>{(U4)0x00000008U,</v>
      </c>
      <c r="AK220" s="6" t="str">
        <f t="shared" si="52"/>
        <v>(U4)0x400003a6U,</v>
      </c>
      <c r="AL220" s="6" t="str">
        <f t="shared" si="53"/>
        <v>(U4)0x400003a8U,</v>
      </c>
      <c r="AM220" s="6" t="str">
        <f t="shared" si="54"/>
        <v>(U2)8U,</v>
      </c>
      <c r="AN220" s="6" t="str">
        <f t="shared" si="55"/>
        <v>(U2)78U},</v>
      </c>
      <c r="AO220" s="6" t="str">
        <f t="shared" si="60"/>
        <v xml:space="preserve"> */</v>
      </c>
      <c r="AP220" s="6" t="str">
        <f t="shared" si="61"/>
        <v>/*   : AVN1S47 = 0x400003a7 */</v>
      </c>
    </row>
    <row r="221" spans="1:42">
      <c r="A221" s="15" t="str">
        <f t="shared" si="63"/>
        <v>AVN1S70</v>
      </c>
      <c r="B221" s="15" t="str">
        <f t="shared" si="63"/>
        <v>3A8</v>
      </c>
      <c r="C221" s="15" t="str">
        <f t="shared" si="63"/>
        <v>1</v>
      </c>
      <c r="D221" s="15">
        <f t="shared" si="63"/>
        <v>8</v>
      </c>
      <c r="E221" s="15">
        <f t="shared" si="63"/>
        <v>3000</v>
      </c>
      <c r="F221" s="15" t="str">
        <f t="shared" si="63"/>
        <v>0</v>
      </c>
      <c r="G221" s="16" t="str">
        <f t="shared" si="64"/>
        <v/>
      </c>
      <c r="H221" s="16" t="str">
        <f t="shared" si="64"/>
        <v/>
      </c>
      <c r="I221" s="16" t="str">
        <f t="shared" si="64"/>
        <v>T</v>
      </c>
      <c r="J221" s="16" t="str">
        <f t="shared" si="64"/>
        <v/>
      </c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89"/>
      <c r="AA221" s="18"/>
      <c r="AF221" s="18"/>
      <c r="AG221" s="96"/>
      <c r="AH221" s="6" t="str">
        <f t="shared" si="58"/>
        <v/>
      </c>
      <c r="AI221" s="96" t="str">
        <f t="shared" si="59"/>
        <v xml:space="preserve">/* </v>
      </c>
      <c r="AJ221" s="6" t="str">
        <f t="shared" si="51"/>
        <v>{(U4)0x00000008U,</v>
      </c>
      <c r="AK221" s="6" t="str">
        <f t="shared" si="52"/>
        <v>(U4)0x400003a6U,</v>
      </c>
      <c r="AL221" s="6" t="str">
        <f t="shared" si="53"/>
        <v>(U4)0x400003a8U,</v>
      </c>
      <c r="AM221" s="6" t="str">
        <f t="shared" si="54"/>
        <v>(U2)8U,</v>
      </c>
      <c r="AN221" s="6" t="str">
        <f t="shared" si="55"/>
        <v>(U2)78U},</v>
      </c>
      <c r="AO221" s="6" t="str">
        <f t="shared" si="60"/>
        <v xml:space="preserve"> */</v>
      </c>
      <c r="AP221" s="6" t="str">
        <f t="shared" si="61"/>
        <v>/*   : AVN1S70 = 0x400003a8 */</v>
      </c>
    </row>
    <row r="222" spans="1:42">
      <c r="A222" s="15" t="str">
        <f t="shared" si="63"/>
        <v>AVN1S99</v>
      </c>
      <c r="B222" s="15" t="str">
        <f t="shared" si="63"/>
        <v>3C0</v>
      </c>
      <c r="C222" s="15" t="str">
        <f t="shared" si="63"/>
        <v>1</v>
      </c>
      <c r="D222" s="15">
        <f t="shared" si="63"/>
        <v>8</v>
      </c>
      <c r="E222" s="15">
        <f t="shared" si="63"/>
        <v>1000</v>
      </c>
      <c r="F222" s="15" t="str">
        <f t="shared" si="63"/>
        <v>0</v>
      </c>
      <c r="G222" s="16" t="str">
        <f t="shared" si="64"/>
        <v>T</v>
      </c>
      <c r="H222" s="16" t="str">
        <f t="shared" si="64"/>
        <v/>
      </c>
      <c r="I222" s="16" t="str">
        <f t="shared" si="64"/>
        <v/>
      </c>
      <c r="J222" s="16" t="str">
        <f t="shared" si="64"/>
        <v/>
      </c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89"/>
      <c r="AA222" s="18"/>
      <c r="AF222" s="18"/>
      <c r="AG222" s="96"/>
      <c r="AH222" s="6">
        <f t="shared" si="58"/>
        <v>49</v>
      </c>
      <c r="AI222" s="96" t="str">
        <f t="shared" si="59"/>
        <v/>
      </c>
      <c r="AJ222" s="6" t="str">
        <f t="shared" si="51"/>
        <v>{(U4)0x00000004U,</v>
      </c>
      <c r="AK222" s="6" t="str">
        <f t="shared" si="52"/>
        <v>(U4)0x400003c0U,</v>
      </c>
      <c r="AL222" s="6" t="str">
        <f t="shared" si="53"/>
        <v>(U4)0x400003c0U,</v>
      </c>
      <c r="AM222" s="6" t="str">
        <f t="shared" si="54"/>
        <v>(U2)8U,</v>
      </c>
      <c r="AN222" s="6" t="str">
        <f t="shared" si="55"/>
        <v>(U2)57U},</v>
      </c>
      <c r="AO222" s="6" t="str">
        <f t="shared" si="60"/>
        <v/>
      </c>
      <c r="AP222" s="6" t="str">
        <f t="shared" si="61"/>
        <v>/* 49 : AVN1S99 = 0x400003c0 */</v>
      </c>
    </row>
    <row r="223" spans="1:42">
      <c r="A223" s="15" t="str">
        <f t="shared" si="63"/>
        <v>AVN1SA9</v>
      </c>
      <c r="B223" s="15" t="str">
        <f t="shared" si="63"/>
        <v>3C2</v>
      </c>
      <c r="C223" s="15" t="str">
        <f t="shared" si="63"/>
        <v>1</v>
      </c>
      <c r="D223" s="15">
        <f t="shared" si="63"/>
        <v>32</v>
      </c>
      <c r="E223" s="15">
        <f t="shared" si="63"/>
        <v>1000</v>
      </c>
      <c r="F223" s="15" t="str">
        <f t="shared" si="63"/>
        <v>0</v>
      </c>
      <c r="G223" s="16" t="str">
        <f t="shared" si="64"/>
        <v/>
      </c>
      <c r="H223" s="16" t="str">
        <f t="shared" si="64"/>
        <v/>
      </c>
      <c r="I223" s="16" t="str">
        <f t="shared" si="64"/>
        <v>T</v>
      </c>
      <c r="J223" s="16" t="str">
        <f t="shared" si="64"/>
        <v/>
      </c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89"/>
      <c r="AA223" s="18"/>
      <c r="AF223" s="18"/>
      <c r="AG223" s="96"/>
      <c r="AH223" s="6">
        <f t="shared" si="58"/>
        <v>50</v>
      </c>
      <c r="AI223" s="96" t="str">
        <f t="shared" si="59"/>
        <v/>
      </c>
      <c r="AJ223" s="6" t="str">
        <f t="shared" si="51"/>
        <v>{(U4)0x00000008U,</v>
      </c>
      <c r="AK223" s="6" t="str">
        <f t="shared" si="52"/>
        <v>(U4)0x400003c2U,</v>
      </c>
      <c r="AL223" s="6" t="str">
        <f t="shared" si="53"/>
        <v>(U4)0x400003c2U,</v>
      </c>
      <c r="AM223" s="6" t="str">
        <f t="shared" si="54"/>
        <v>(U2)32U,</v>
      </c>
      <c r="AN223" s="6" t="str">
        <f t="shared" si="55"/>
        <v>(U2)78U},</v>
      </c>
      <c r="AO223" s="6" t="str">
        <f t="shared" si="60"/>
        <v/>
      </c>
      <c r="AP223" s="6" t="str">
        <f t="shared" si="61"/>
        <v>/* 50 : AVN1SA9 = 0x400003c2 */</v>
      </c>
    </row>
    <row r="224" spans="1:42">
      <c r="A224" s="15" t="str">
        <f t="shared" si="63"/>
        <v>AVN1S78</v>
      </c>
      <c r="B224" s="15" t="str">
        <f t="shared" si="63"/>
        <v>3C4</v>
      </c>
      <c r="C224" s="15" t="str">
        <f t="shared" si="63"/>
        <v>1</v>
      </c>
      <c r="D224" s="15">
        <f t="shared" si="63"/>
        <v>8</v>
      </c>
      <c r="E224" s="15">
        <f t="shared" si="63"/>
        <v>1000</v>
      </c>
      <c r="F224" s="15" t="str">
        <f t="shared" si="63"/>
        <v>0</v>
      </c>
      <c r="G224" s="16" t="str">
        <f t="shared" si="64"/>
        <v/>
      </c>
      <c r="H224" s="16" t="str">
        <f t="shared" si="64"/>
        <v/>
      </c>
      <c r="I224" s="16" t="str">
        <f t="shared" si="64"/>
        <v>T</v>
      </c>
      <c r="J224" s="16" t="str">
        <f t="shared" si="64"/>
        <v/>
      </c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89"/>
      <c r="AA224" s="18"/>
      <c r="AF224" s="18"/>
      <c r="AG224" s="96"/>
      <c r="AH224" s="6">
        <f t="shared" si="58"/>
        <v>51</v>
      </c>
      <c r="AI224" s="96" t="str">
        <f t="shared" si="59"/>
        <v/>
      </c>
      <c r="AJ224" s="6" t="str">
        <f t="shared" si="51"/>
        <v>{(U4)0x00000008U,</v>
      </c>
      <c r="AK224" s="6" t="str">
        <f t="shared" si="52"/>
        <v>(U4)0x400003c4U,</v>
      </c>
      <c r="AL224" s="6" t="str">
        <f t="shared" si="53"/>
        <v>(U4)0x400003c4U,</v>
      </c>
      <c r="AM224" s="6" t="str">
        <f t="shared" si="54"/>
        <v>(U2)8U,</v>
      </c>
      <c r="AN224" s="6" t="str">
        <f t="shared" si="55"/>
        <v>(U2)78U},</v>
      </c>
      <c r="AO224" s="6" t="str">
        <f t="shared" si="60"/>
        <v/>
      </c>
      <c r="AP224" s="6" t="str">
        <f t="shared" si="61"/>
        <v>/* 51 : AVN1S78 = 0x400003c4 */</v>
      </c>
    </row>
    <row r="225" spans="1:42">
      <c r="A225" s="15" t="str">
        <f t="shared" si="63"/>
        <v>AVN1S63</v>
      </c>
      <c r="B225" s="15" t="str">
        <f t="shared" si="63"/>
        <v>3C9</v>
      </c>
      <c r="C225" s="15" t="str">
        <f t="shared" si="63"/>
        <v>1</v>
      </c>
      <c r="D225" s="15">
        <f t="shared" si="63"/>
        <v>8</v>
      </c>
      <c r="E225" s="15">
        <f t="shared" si="63"/>
        <v>1000</v>
      </c>
      <c r="F225" s="15" t="str">
        <f t="shared" si="63"/>
        <v>0</v>
      </c>
      <c r="G225" s="16" t="str">
        <f t="shared" si="64"/>
        <v>T</v>
      </c>
      <c r="H225" s="16" t="str">
        <f t="shared" si="64"/>
        <v/>
      </c>
      <c r="I225" s="16" t="str">
        <f t="shared" si="64"/>
        <v/>
      </c>
      <c r="J225" s="16" t="str">
        <f t="shared" si="64"/>
        <v/>
      </c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89"/>
      <c r="AA225" s="18"/>
      <c r="AF225" s="18"/>
      <c r="AG225" s="96"/>
      <c r="AH225" s="6">
        <f t="shared" si="58"/>
        <v>52</v>
      </c>
      <c r="AI225" s="96" t="str">
        <f t="shared" si="59"/>
        <v/>
      </c>
      <c r="AJ225" s="6" t="str">
        <f t="shared" si="51"/>
        <v>{(U4)0x00000004U,</v>
      </c>
      <c r="AK225" s="6" t="str">
        <f t="shared" si="52"/>
        <v>(U4)0x400003c9U,</v>
      </c>
      <c r="AL225" s="6" t="str">
        <f t="shared" si="53"/>
        <v>(U4)0x400003c9U,</v>
      </c>
      <c r="AM225" s="6" t="str">
        <f t="shared" si="54"/>
        <v>(U2)8U,</v>
      </c>
      <c r="AN225" s="6" t="str">
        <f t="shared" si="55"/>
        <v>(U2)57U},</v>
      </c>
      <c r="AO225" s="6" t="str">
        <f t="shared" si="60"/>
        <v/>
      </c>
      <c r="AP225" s="6" t="str">
        <f t="shared" si="61"/>
        <v>/* 52 : AVN1S63 = 0x400003c9 */</v>
      </c>
    </row>
    <row r="226" spans="1:42">
      <c r="A226" s="15" t="str">
        <f t="shared" si="63"/>
        <v>AVN1S76</v>
      </c>
      <c r="B226" s="15" t="str">
        <f t="shared" si="63"/>
        <v>3D0</v>
      </c>
      <c r="C226" s="15" t="str">
        <f t="shared" si="63"/>
        <v>1</v>
      </c>
      <c r="D226" s="15">
        <f t="shared" si="63"/>
        <v>8</v>
      </c>
      <c r="E226" s="15">
        <f t="shared" si="63"/>
        <v>1000</v>
      </c>
      <c r="F226" s="15" t="str">
        <f t="shared" si="63"/>
        <v>0</v>
      </c>
      <c r="G226" s="16" t="str">
        <f t="shared" si="64"/>
        <v/>
      </c>
      <c r="H226" s="16" t="str">
        <f t="shared" si="64"/>
        <v/>
      </c>
      <c r="I226" s="16" t="str">
        <f t="shared" si="64"/>
        <v>T</v>
      </c>
      <c r="J226" s="16" t="str">
        <f t="shared" si="64"/>
        <v/>
      </c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89"/>
      <c r="AA226" s="18"/>
      <c r="AF226" s="18"/>
      <c r="AG226" s="96"/>
      <c r="AH226" s="6">
        <f t="shared" si="58"/>
        <v>53</v>
      </c>
      <c r="AI226" s="96" t="str">
        <f t="shared" si="59"/>
        <v/>
      </c>
      <c r="AJ226" s="6" t="str">
        <f t="shared" si="51"/>
        <v>{(U4)0x00000008U,</v>
      </c>
      <c r="AK226" s="6" t="str">
        <f t="shared" si="52"/>
        <v>(U4)0x400003d0U,</v>
      </c>
      <c r="AL226" s="6" t="str">
        <f t="shared" si="53"/>
        <v>(U4)0x400003d0U,</v>
      </c>
      <c r="AM226" s="6" t="str">
        <f t="shared" si="54"/>
        <v>(U2)8U,</v>
      </c>
      <c r="AN226" s="6" t="str">
        <f t="shared" si="55"/>
        <v>(U2)78U},</v>
      </c>
      <c r="AO226" s="6" t="str">
        <f t="shared" si="60"/>
        <v/>
      </c>
      <c r="AP226" s="6" t="str">
        <f t="shared" si="61"/>
        <v>/* 53 : AVN1S76 = 0x400003d0 */</v>
      </c>
    </row>
    <row r="227" spans="1:42">
      <c r="A227" s="15" t="str">
        <f t="shared" si="63"/>
        <v>AVN1S97</v>
      </c>
      <c r="B227" s="15" t="str">
        <f t="shared" si="63"/>
        <v>3D9</v>
      </c>
      <c r="C227" s="15" t="str">
        <f t="shared" si="63"/>
        <v>1</v>
      </c>
      <c r="D227" s="15">
        <f t="shared" si="63"/>
        <v>32</v>
      </c>
      <c r="E227" s="15">
        <f t="shared" si="63"/>
        <v>1000</v>
      </c>
      <c r="F227" s="15" t="str">
        <f t="shared" si="63"/>
        <v>0</v>
      </c>
      <c r="G227" s="16" t="str">
        <f t="shared" si="64"/>
        <v>T</v>
      </c>
      <c r="H227" s="16" t="str">
        <f t="shared" si="64"/>
        <v/>
      </c>
      <c r="I227" s="16" t="str">
        <f t="shared" si="64"/>
        <v/>
      </c>
      <c r="J227" s="16" t="str">
        <f t="shared" si="64"/>
        <v/>
      </c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89"/>
      <c r="AA227" s="18"/>
      <c r="AF227" s="18"/>
      <c r="AG227" s="96"/>
      <c r="AH227" s="6">
        <f t="shared" si="58"/>
        <v>54</v>
      </c>
      <c r="AI227" s="96" t="str">
        <f t="shared" si="59"/>
        <v/>
      </c>
      <c r="AJ227" s="6" t="str">
        <f t="shared" si="51"/>
        <v>{(U4)0x00000004U,</v>
      </c>
      <c r="AK227" s="6" t="str">
        <f t="shared" si="52"/>
        <v>(U4)0x400003d9U,</v>
      </c>
      <c r="AL227" s="6" t="str">
        <f t="shared" si="53"/>
        <v>(U4)0x400003d9U,</v>
      </c>
      <c r="AM227" s="6" t="str">
        <f t="shared" si="54"/>
        <v>(U2)32U,</v>
      </c>
      <c r="AN227" s="6" t="str">
        <f t="shared" si="55"/>
        <v>(U2)57U},</v>
      </c>
      <c r="AO227" s="6" t="str">
        <f t="shared" si="60"/>
        <v/>
      </c>
      <c r="AP227" s="6" t="str">
        <f t="shared" si="61"/>
        <v>/* 54 : AVN1S97 = 0x400003d9 */</v>
      </c>
    </row>
    <row r="228" spans="1:42">
      <c r="A228" s="15" t="str">
        <f t="shared" ref="A228:F237" si="65">A96</f>
        <v>AVN1S98</v>
      </c>
      <c r="B228" s="15" t="str">
        <f t="shared" si="65"/>
        <v>3E4</v>
      </c>
      <c r="C228" s="15" t="str">
        <f t="shared" si="65"/>
        <v>1</v>
      </c>
      <c r="D228" s="15">
        <f t="shared" si="65"/>
        <v>8</v>
      </c>
      <c r="E228" s="15">
        <f t="shared" si="65"/>
        <v>1000</v>
      </c>
      <c r="F228" s="15" t="str">
        <f t="shared" si="65"/>
        <v>0</v>
      </c>
      <c r="G228" s="16" t="str">
        <f t="shared" si="64"/>
        <v>T</v>
      </c>
      <c r="H228" s="16" t="str">
        <f t="shared" si="64"/>
        <v/>
      </c>
      <c r="I228" s="16" t="str">
        <f t="shared" si="64"/>
        <v/>
      </c>
      <c r="J228" s="16" t="str">
        <f t="shared" si="64"/>
        <v/>
      </c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89"/>
      <c r="AA228" s="18"/>
      <c r="AF228" s="18"/>
      <c r="AG228" s="96"/>
      <c r="AH228" s="6">
        <f t="shared" si="58"/>
        <v>55</v>
      </c>
      <c r="AI228" s="96" t="str">
        <f t="shared" si="59"/>
        <v/>
      </c>
      <c r="AJ228" s="6" t="str">
        <f t="shared" si="51"/>
        <v>{(U4)0x00000004U,</v>
      </c>
      <c r="AK228" s="6" t="str">
        <f t="shared" si="52"/>
        <v>(U4)0x400003e4U,</v>
      </c>
      <c r="AL228" s="6" t="str">
        <f t="shared" si="53"/>
        <v>(U4)0x400003e4U,</v>
      </c>
      <c r="AM228" s="6" t="str">
        <f t="shared" si="54"/>
        <v>(U2)8U,</v>
      </c>
      <c r="AN228" s="6" t="str">
        <f t="shared" si="55"/>
        <v>(U2)57U},</v>
      </c>
      <c r="AO228" s="6" t="str">
        <f t="shared" si="60"/>
        <v/>
      </c>
      <c r="AP228" s="6" t="str">
        <f t="shared" si="61"/>
        <v>/* 55 : AVN1S98 = 0x400003e4 */</v>
      </c>
    </row>
    <row r="229" spans="1:42">
      <c r="A229" s="15" t="str">
        <f t="shared" si="65"/>
        <v>AVN1S11</v>
      </c>
      <c r="B229" s="15" t="str">
        <f t="shared" si="65"/>
        <v>3E6</v>
      </c>
      <c r="C229" s="15" t="str">
        <f t="shared" si="65"/>
        <v>1</v>
      </c>
      <c r="D229" s="15">
        <f t="shared" si="65"/>
        <v>32</v>
      </c>
      <c r="E229" s="15">
        <f t="shared" si="65"/>
        <v>3000</v>
      </c>
      <c r="F229" s="15" t="str">
        <f t="shared" si="65"/>
        <v>0</v>
      </c>
      <c r="G229" s="16" t="str">
        <f t="shared" si="64"/>
        <v>T</v>
      </c>
      <c r="H229" s="16" t="str">
        <f t="shared" si="64"/>
        <v/>
      </c>
      <c r="I229" s="16" t="str">
        <f t="shared" si="64"/>
        <v/>
      </c>
      <c r="J229" s="16" t="str">
        <f t="shared" si="64"/>
        <v/>
      </c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89"/>
      <c r="AA229" s="18"/>
      <c r="AF229" s="18"/>
      <c r="AG229" s="96"/>
      <c r="AH229" s="6">
        <f t="shared" si="58"/>
        <v>56</v>
      </c>
      <c r="AI229" s="96" t="str">
        <f t="shared" si="59"/>
        <v/>
      </c>
      <c r="AJ229" s="6" t="str">
        <f t="shared" si="51"/>
        <v>{(U4)0x00000004U,</v>
      </c>
      <c r="AK229" s="6" t="str">
        <f t="shared" si="52"/>
        <v>(U4)0x400003e6U,</v>
      </c>
      <c r="AL229" s="6" t="str">
        <f t="shared" si="53"/>
        <v>(U4)0x400003e6U,</v>
      </c>
      <c r="AM229" s="6" t="str">
        <f t="shared" si="54"/>
        <v>(U2)32U,</v>
      </c>
      <c r="AN229" s="6" t="str">
        <f t="shared" si="55"/>
        <v>(U2)57U},</v>
      </c>
      <c r="AO229" s="6" t="str">
        <f t="shared" si="60"/>
        <v/>
      </c>
      <c r="AP229" s="6" t="str">
        <f t="shared" si="61"/>
        <v>/* 56 : AVN1S11 = 0x400003e6 */</v>
      </c>
    </row>
    <row r="230" spans="1:42">
      <c r="A230" s="15" t="str">
        <f t="shared" si="65"/>
        <v>MET1S27</v>
      </c>
      <c r="B230" s="15" t="str">
        <f t="shared" si="65"/>
        <v>3EA</v>
      </c>
      <c r="C230" s="15" t="str">
        <f t="shared" si="65"/>
        <v>1</v>
      </c>
      <c r="D230" s="15">
        <f t="shared" si="65"/>
        <v>8</v>
      </c>
      <c r="E230" s="15">
        <f t="shared" si="65"/>
        <v>1000</v>
      </c>
      <c r="F230" s="15" t="str">
        <f t="shared" si="65"/>
        <v>0</v>
      </c>
      <c r="G230" s="16" t="str">
        <f t="shared" si="64"/>
        <v>T</v>
      </c>
      <c r="H230" s="16" t="str">
        <f t="shared" si="64"/>
        <v/>
      </c>
      <c r="I230" s="16" t="str">
        <f t="shared" si="64"/>
        <v/>
      </c>
      <c r="J230" s="16" t="str">
        <f t="shared" si="64"/>
        <v/>
      </c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89"/>
      <c r="AA230" s="18"/>
      <c r="AF230" s="18"/>
      <c r="AG230" s="96"/>
      <c r="AH230" s="6">
        <f t="shared" si="58"/>
        <v>57</v>
      </c>
      <c r="AI230" s="96" t="str">
        <f t="shared" si="59"/>
        <v/>
      </c>
      <c r="AJ230" s="6" t="str">
        <f t="shared" si="51"/>
        <v>{(U4)0x00000004U,</v>
      </c>
      <c r="AK230" s="6" t="str">
        <f t="shared" si="52"/>
        <v>(U4)0x400003eaU,</v>
      </c>
      <c r="AL230" s="6" t="str">
        <f t="shared" si="53"/>
        <v>(U4)0x400003ecU,</v>
      </c>
      <c r="AM230" s="6" t="str">
        <f t="shared" si="54"/>
        <v>(U2)8U,</v>
      </c>
      <c r="AN230" s="6" t="str">
        <f t="shared" si="55"/>
        <v>(U2)57U},</v>
      </c>
      <c r="AO230" s="6" t="str">
        <f t="shared" si="60"/>
        <v/>
      </c>
      <c r="AP230" s="6" t="str">
        <f t="shared" si="61"/>
        <v>/* 57 : MET1S27 = 0x400003ea */</v>
      </c>
    </row>
    <row r="231" spans="1:42">
      <c r="A231" s="15" t="str">
        <f t="shared" si="65"/>
        <v>MET1S29</v>
      </c>
      <c r="B231" s="15" t="str">
        <f t="shared" si="65"/>
        <v>3EC</v>
      </c>
      <c r="C231" s="15" t="str">
        <f t="shared" si="65"/>
        <v>1</v>
      </c>
      <c r="D231" s="15">
        <f t="shared" si="65"/>
        <v>8</v>
      </c>
      <c r="E231" s="15">
        <f t="shared" si="65"/>
        <v>1000</v>
      </c>
      <c r="F231" s="15" t="str">
        <f t="shared" si="65"/>
        <v>0</v>
      </c>
      <c r="G231" s="16" t="str">
        <f t="shared" si="64"/>
        <v>T</v>
      </c>
      <c r="H231" s="16" t="str">
        <f t="shared" si="64"/>
        <v/>
      </c>
      <c r="I231" s="16" t="str">
        <f t="shared" si="64"/>
        <v/>
      </c>
      <c r="J231" s="16" t="str">
        <f t="shared" si="64"/>
        <v/>
      </c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89"/>
      <c r="AA231" s="18"/>
      <c r="AF231" s="18"/>
      <c r="AG231" s="96"/>
      <c r="AH231" s="6" t="str">
        <f t="shared" si="58"/>
        <v/>
      </c>
      <c r="AI231" s="96" t="str">
        <f t="shared" si="59"/>
        <v xml:space="preserve">/* </v>
      </c>
      <c r="AJ231" s="6" t="str">
        <f t="shared" si="51"/>
        <v>{(U4)0x00000004U,</v>
      </c>
      <c r="AK231" s="6" t="str">
        <f t="shared" si="52"/>
        <v>(U4)0x400003eaU,</v>
      </c>
      <c r="AL231" s="6" t="str">
        <f t="shared" si="53"/>
        <v>(U4)0x400003ecU,</v>
      </c>
      <c r="AM231" s="6" t="str">
        <f t="shared" si="54"/>
        <v>(U2)8U,</v>
      </c>
      <c r="AN231" s="6" t="str">
        <f t="shared" si="55"/>
        <v>(U2)57U},</v>
      </c>
      <c r="AO231" s="6" t="str">
        <f t="shared" si="60"/>
        <v xml:space="preserve"> */</v>
      </c>
      <c r="AP231" s="6" t="str">
        <f t="shared" si="61"/>
        <v>/*   : MET1S29 = 0x400003ec */</v>
      </c>
    </row>
    <row r="232" spans="1:42">
      <c r="A232" s="15" t="str">
        <f t="shared" si="65"/>
        <v>MET1S30</v>
      </c>
      <c r="B232" s="15" t="str">
        <f t="shared" si="65"/>
        <v>3EE</v>
      </c>
      <c r="C232" s="15" t="str">
        <f t="shared" si="65"/>
        <v>1</v>
      </c>
      <c r="D232" s="15">
        <f t="shared" si="65"/>
        <v>32</v>
      </c>
      <c r="E232" s="15">
        <f t="shared" si="65"/>
        <v>1000</v>
      </c>
      <c r="F232" s="15" t="str">
        <f t="shared" si="65"/>
        <v>1</v>
      </c>
      <c r="G232" s="16" t="str">
        <f t="shared" si="64"/>
        <v>T</v>
      </c>
      <c r="H232" s="16" t="str">
        <f t="shared" si="64"/>
        <v/>
      </c>
      <c r="I232" s="16" t="str">
        <f t="shared" si="64"/>
        <v/>
      </c>
      <c r="J232" s="16" t="str">
        <f t="shared" si="64"/>
        <v/>
      </c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89"/>
      <c r="AA232" s="18"/>
      <c r="AF232" s="18"/>
      <c r="AG232" s="96"/>
      <c r="AH232" s="6">
        <f t="shared" si="58"/>
        <v>58</v>
      </c>
      <c r="AI232" s="96" t="str">
        <f t="shared" si="59"/>
        <v/>
      </c>
      <c r="AJ232" s="6" t="str">
        <f t="shared" si="51"/>
        <v>{(U4)0x00000001U,</v>
      </c>
      <c r="AK232" s="6" t="str">
        <f t="shared" si="52"/>
        <v>(U4)0x400003eeU,</v>
      </c>
      <c r="AL232" s="6" t="str">
        <f t="shared" si="53"/>
        <v>(U4)0x400003eeU,</v>
      </c>
      <c r="AM232" s="6" t="str">
        <f t="shared" si="54"/>
        <v>(U2)32U,</v>
      </c>
      <c r="AN232" s="6" t="str">
        <f t="shared" si="55"/>
        <v>(U2)45U},</v>
      </c>
      <c r="AO232" s="6" t="str">
        <f t="shared" si="60"/>
        <v/>
      </c>
      <c r="AP232" s="6" t="str">
        <f t="shared" si="61"/>
        <v>/* 58 : MET1S30 = 0x400003ee */</v>
      </c>
    </row>
    <row r="233" spans="1:42">
      <c r="A233" s="15" t="str">
        <f t="shared" si="65"/>
        <v>AVN1SA8</v>
      </c>
      <c r="B233" s="15" t="str">
        <f t="shared" si="65"/>
        <v>3F1</v>
      </c>
      <c r="C233" s="15" t="str">
        <f t="shared" si="65"/>
        <v>1</v>
      </c>
      <c r="D233" s="15">
        <f t="shared" si="65"/>
        <v>64</v>
      </c>
      <c r="E233" s="15" t="str">
        <f t="shared" si="65"/>
        <v>-</v>
      </c>
      <c r="F233" s="15" t="str">
        <f t="shared" si="65"/>
        <v>0</v>
      </c>
      <c r="G233" s="16" t="str">
        <f t="shared" si="64"/>
        <v/>
      </c>
      <c r="H233" s="16" t="str">
        <f t="shared" si="64"/>
        <v/>
      </c>
      <c r="I233" s="16" t="str">
        <f t="shared" si="64"/>
        <v>T</v>
      </c>
      <c r="J233" s="16" t="str">
        <f t="shared" si="64"/>
        <v/>
      </c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89"/>
      <c r="AA233" s="18"/>
      <c r="AF233" s="18"/>
      <c r="AG233" s="96"/>
      <c r="AH233" s="6">
        <f t="shared" si="58"/>
        <v>59</v>
      </c>
      <c r="AI233" s="96" t="str">
        <f t="shared" si="59"/>
        <v/>
      </c>
      <c r="AJ233" s="6" t="str">
        <f t="shared" si="51"/>
        <v>{(U4)0x00000008U,</v>
      </c>
      <c r="AK233" s="6" t="str">
        <f t="shared" si="52"/>
        <v>(U4)0x400003f1U,</v>
      </c>
      <c r="AL233" s="6" t="str">
        <f t="shared" si="53"/>
        <v>(U4)0x400003f1U,</v>
      </c>
      <c r="AM233" s="6" t="str">
        <f t="shared" si="54"/>
        <v>(U2)64U,</v>
      </c>
      <c r="AN233" s="6" t="str">
        <f t="shared" si="55"/>
        <v>(U2)78U},</v>
      </c>
      <c r="AO233" s="6" t="str">
        <f t="shared" si="60"/>
        <v/>
      </c>
      <c r="AP233" s="6" t="str">
        <f t="shared" si="61"/>
        <v>/* 59 : AVN1SA8 = 0x400003f1 */</v>
      </c>
    </row>
    <row r="234" spans="1:42">
      <c r="A234" s="15" t="str">
        <f t="shared" si="65"/>
        <v>HUD1S01</v>
      </c>
      <c r="B234" s="15" t="str">
        <f t="shared" si="65"/>
        <v>3F7</v>
      </c>
      <c r="C234" s="15" t="str">
        <f t="shared" si="65"/>
        <v>1</v>
      </c>
      <c r="D234" s="15">
        <f t="shared" si="65"/>
        <v>8</v>
      </c>
      <c r="E234" s="15">
        <f t="shared" si="65"/>
        <v>1000</v>
      </c>
      <c r="F234" s="15" t="str">
        <f t="shared" si="65"/>
        <v>0</v>
      </c>
      <c r="G234" s="16" t="str">
        <f t="shared" si="64"/>
        <v>T</v>
      </c>
      <c r="H234" s="16" t="str">
        <f t="shared" si="64"/>
        <v/>
      </c>
      <c r="I234" s="16" t="str">
        <f t="shared" si="64"/>
        <v/>
      </c>
      <c r="J234" s="16" t="str">
        <f t="shared" si="64"/>
        <v/>
      </c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89"/>
      <c r="AA234" s="18"/>
      <c r="AF234" s="18"/>
      <c r="AG234" s="96"/>
      <c r="AH234" s="6">
        <f t="shared" ref="AH234:AH263" si="66">IF($AH102&lt;&gt;"",$AH102,"")</f>
        <v>60</v>
      </c>
      <c r="AI234" s="96" t="str">
        <f t="shared" ref="AI234:AI263" si="67">IF($AH102&lt;&gt;"","", "/* ")</f>
        <v/>
      </c>
      <c r="AJ234" s="6" t="str">
        <f t="shared" si="51"/>
        <v>{(U4)0x00000004U,</v>
      </c>
      <c r="AK234" s="6" t="str">
        <f t="shared" si="52"/>
        <v>(U4)0x400003f7U,</v>
      </c>
      <c r="AL234" s="6" t="str">
        <f t="shared" si="53"/>
        <v>(U4)0x400003f7U,</v>
      </c>
      <c r="AM234" s="6" t="str">
        <f t="shared" si="54"/>
        <v>(U2)8U,</v>
      </c>
      <c r="AN234" s="6" t="str">
        <f t="shared" si="55"/>
        <v>(U2)57U},</v>
      </c>
      <c r="AO234" s="6" t="str">
        <f t="shared" ref="AO234:AO263" si="68">IF($AH102&lt;&gt;"","", " */")</f>
        <v/>
      </c>
      <c r="AP234" s="6" t="str">
        <f t="shared" ref="AP234:AP263" si="69">"/* "&amp;IF($AH102&lt;&gt;"",$AH102," ")&amp;" : "&amp;A102&amp;" = "&amp;LOWER($AJ102)&amp;" */"</f>
        <v>/* 60 : HUD1S01 = 0x400003f7 */</v>
      </c>
    </row>
    <row r="235" spans="1:42">
      <c r="A235" s="15" t="str">
        <f t="shared" si="65"/>
        <v>AVN1S77</v>
      </c>
      <c r="B235" s="15" t="str">
        <f t="shared" si="65"/>
        <v>3FD</v>
      </c>
      <c r="C235" s="15" t="str">
        <f t="shared" si="65"/>
        <v>1</v>
      </c>
      <c r="D235" s="15">
        <f t="shared" si="65"/>
        <v>8</v>
      </c>
      <c r="E235" s="15">
        <f t="shared" si="65"/>
        <v>1000</v>
      </c>
      <c r="F235" s="15" t="str">
        <f t="shared" si="65"/>
        <v>0</v>
      </c>
      <c r="G235" s="16" t="str">
        <f t="shared" si="64"/>
        <v/>
      </c>
      <c r="H235" s="16" t="str">
        <f t="shared" si="64"/>
        <v/>
      </c>
      <c r="I235" s="16" t="str">
        <f t="shared" si="64"/>
        <v>T</v>
      </c>
      <c r="J235" s="16" t="str">
        <f t="shared" si="64"/>
        <v/>
      </c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89"/>
      <c r="AA235" s="18"/>
      <c r="AF235" s="18"/>
      <c r="AG235" s="96"/>
      <c r="AH235" s="6">
        <f t="shared" si="66"/>
        <v>61</v>
      </c>
      <c r="AI235" s="96" t="str">
        <f t="shared" si="67"/>
        <v/>
      </c>
      <c r="AJ235" s="6" t="str">
        <f t="shared" si="51"/>
        <v>{(U4)0x00000008U,</v>
      </c>
      <c r="AK235" s="6" t="str">
        <f t="shared" si="52"/>
        <v>(U4)0x400003fdU,</v>
      </c>
      <c r="AL235" s="6" t="str">
        <f t="shared" si="53"/>
        <v>(U4)0x400003fdU,</v>
      </c>
      <c r="AM235" s="6" t="str">
        <f t="shared" si="54"/>
        <v>(U2)8U,</v>
      </c>
      <c r="AN235" s="6" t="str">
        <f t="shared" si="55"/>
        <v>(U2)78U},</v>
      </c>
      <c r="AO235" s="6" t="str">
        <f t="shared" si="68"/>
        <v/>
      </c>
      <c r="AP235" s="6" t="str">
        <f t="shared" si="69"/>
        <v>/* 61 : AVN1S77 = 0x400003fd */</v>
      </c>
    </row>
    <row r="236" spans="1:42">
      <c r="A236" s="15" t="str">
        <f t="shared" si="65"/>
        <v>CDCMS01</v>
      </c>
      <c r="B236" s="15">
        <f t="shared" si="65"/>
        <v>300</v>
      </c>
      <c r="C236" s="15">
        <f t="shared" si="65"/>
        <v>0</v>
      </c>
      <c r="D236" s="15">
        <f t="shared" si="65"/>
        <v>2</v>
      </c>
      <c r="E236" s="15">
        <f t="shared" si="65"/>
        <v>1000</v>
      </c>
      <c r="F236" s="15">
        <f t="shared" si="65"/>
        <v>0</v>
      </c>
      <c r="G236" s="16" t="str">
        <f t="shared" si="64"/>
        <v/>
      </c>
      <c r="H236" s="16" t="str">
        <f t="shared" si="64"/>
        <v/>
      </c>
      <c r="I236" s="16" t="str">
        <f t="shared" si="64"/>
        <v/>
      </c>
      <c r="J236" s="16" t="str">
        <f t="shared" si="64"/>
        <v>T</v>
      </c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89"/>
      <c r="AA236" s="18"/>
      <c r="AF236" s="18"/>
      <c r="AG236" s="96"/>
      <c r="AH236" s="6">
        <f t="shared" si="66"/>
        <v>62</v>
      </c>
      <c r="AI236" s="96" t="str">
        <f t="shared" si="67"/>
        <v/>
      </c>
      <c r="AJ236" s="6" t="str">
        <f t="shared" si="51"/>
        <v>{(U4)0x00000010U,</v>
      </c>
      <c r="AK236" s="6" t="str">
        <f t="shared" si="52"/>
        <v>(U4)0x00000300U,</v>
      </c>
      <c r="AL236" s="6" t="str">
        <f t="shared" si="53"/>
        <v>(U4)0x00000300U,</v>
      </c>
      <c r="AM236" s="6" t="str">
        <f t="shared" si="54"/>
        <v>(U2)2U,</v>
      </c>
      <c r="AN236" s="6" t="str">
        <f t="shared" si="55"/>
        <v>(U2)84U},</v>
      </c>
      <c r="AO236" s="6" t="str">
        <f t="shared" si="68"/>
        <v/>
      </c>
      <c r="AP236" s="6" t="str">
        <f t="shared" si="69"/>
        <v>/* 62 : CDCMS01 = 0x00000300 */</v>
      </c>
    </row>
    <row r="237" spans="1:42">
      <c r="A237" s="15" t="str">
        <f t="shared" si="65"/>
        <v>MET1S62</v>
      </c>
      <c r="B237" s="15" t="str">
        <f t="shared" si="65"/>
        <v>41A</v>
      </c>
      <c r="C237" s="15" t="str">
        <f t="shared" si="65"/>
        <v>1</v>
      </c>
      <c r="D237" s="15">
        <f t="shared" si="65"/>
        <v>8</v>
      </c>
      <c r="E237" s="15">
        <f t="shared" si="65"/>
        <v>1000</v>
      </c>
      <c r="F237" s="15" t="str">
        <f t="shared" si="65"/>
        <v>0</v>
      </c>
      <c r="G237" s="16" t="str">
        <f t="shared" si="64"/>
        <v>T</v>
      </c>
      <c r="H237" s="16" t="str">
        <f t="shared" si="64"/>
        <v/>
      </c>
      <c r="I237" s="16" t="str">
        <f t="shared" si="64"/>
        <v/>
      </c>
      <c r="J237" s="16" t="str">
        <f t="shared" si="64"/>
        <v/>
      </c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89"/>
      <c r="AA237" s="18"/>
      <c r="AF237" s="18"/>
      <c r="AG237" s="96"/>
      <c r="AH237" s="6">
        <f t="shared" si="66"/>
        <v>63</v>
      </c>
      <c r="AI237" s="96" t="str">
        <f t="shared" si="67"/>
        <v/>
      </c>
      <c r="AJ237" s="6" t="str">
        <f>IF($AH105&lt;&gt;"","{(U4)0x"&amp;LOWER(DEC2HEX($U105*$U$3+$T105*$T$3+$V105*$V$3+$W105*$W$3+$Y105*$Y$3+K105*$K$3,8))&amp;"U,",AJ235)</f>
        <v>{(U4)0x00000004U,</v>
      </c>
      <c r="AK237" s="6" t="str">
        <f>IF($AH105&lt;&gt;"", "(U4)"&amp;LOWER($AL105)&amp;"U,",AK235)</f>
        <v>(U4)0x4000041aU,</v>
      </c>
      <c r="AL237" s="6" t="str">
        <f>IF($AH105&lt;&gt;"", "(U4)"&amp;LOWER($AM105)&amp;"U,",AL235)</f>
        <v>(U4)0x40000427U,</v>
      </c>
      <c r="AM237" s="6" t="str">
        <f xml:space="preserve"> IF($AH105&lt;&gt;"", "(U2)"&amp;$AN105&amp;"U,",AM235)</f>
        <v>(U2)8U,</v>
      </c>
      <c r="AN237" s="6" t="str">
        <f xml:space="preserve"> IF($AH105&lt;&gt;"", "(U2)"&amp;$AA105*$Z$3&amp;"U},",AN235)</f>
        <v>(U2)60U},</v>
      </c>
      <c r="AO237" s="6" t="str">
        <f t="shared" si="68"/>
        <v/>
      </c>
      <c r="AP237" s="6" t="str">
        <f t="shared" si="69"/>
        <v>/* 63 : MET1S62 = 0x4000041a */</v>
      </c>
    </row>
    <row r="238" spans="1:42">
      <c r="A238" s="15" t="str">
        <f t="shared" ref="A238:F247" si="70">A106</f>
        <v>DMS1S02</v>
      </c>
      <c r="B238" s="15" t="str">
        <f t="shared" si="70"/>
        <v>427</v>
      </c>
      <c r="C238" s="15" t="str">
        <f t="shared" si="70"/>
        <v>1</v>
      </c>
      <c r="D238" s="15">
        <f t="shared" si="70"/>
        <v>8</v>
      </c>
      <c r="E238" s="15">
        <f t="shared" si="70"/>
        <v>1000</v>
      </c>
      <c r="F238" s="15" t="str">
        <f t="shared" si="70"/>
        <v>0</v>
      </c>
      <c r="G238" s="16" t="str">
        <f t="shared" ref="G238:J257" si="71">IF(G106&lt;&gt;"",G106,"")</f>
        <v>T</v>
      </c>
      <c r="H238" s="16" t="str">
        <f t="shared" si="71"/>
        <v/>
      </c>
      <c r="I238" s="16" t="str">
        <f t="shared" si="71"/>
        <v/>
      </c>
      <c r="J238" s="16" t="str">
        <f t="shared" si="71"/>
        <v/>
      </c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89"/>
      <c r="AA238" s="18"/>
      <c r="AF238" s="18"/>
      <c r="AG238" s="96"/>
      <c r="AH238" s="6" t="str">
        <f t="shared" si="66"/>
        <v/>
      </c>
      <c r="AI238" s="96" t="str">
        <f t="shared" si="67"/>
        <v xml:space="preserve">/* </v>
      </c>
      <c r="AJ238" s="6" t="str">
        <f t="shared" ref="AJ238:AJ263" si="72">IF($AH106&lt;&gt;"","{(U4)0x"&amp;LOWER(DEC2HEX($U106*$U$3+$T106*$T$3+$V106*$V$3+$W106*$W$3+$Y106*$Y$3+K106*$K$3,8))&amp;"U,",AJ237)</f>
        <v>{(U4)0x00000004U,</v>
      </c>
      <c r="AK238" s="6" t="str">
        <f t="shared" ref="AK238:AK263" si="73">IF($AH106&lt;&gt;"", "(U4)"&amp;LOWER($AL106)&amp;"U,",AK237)</f>
        <v>(U4)0x4000041aU,</v>
      </c>
      <c r="AL238" s="6" t="str">
        <f t="shared" ref="AL238:AL263" si="74">IF($AH106&lt;&gt;"", "(U4)"&amp;LOWER($AM106)&amp;"U,",AL237)</f>
        <v>(U4)0x40000427U,</v>
      </c>
      <c r="AM238" s="6" t="str">
        <f t="shared" ref="AM238:AM263" si="75" xml:space="preserve"> IF($AH106&lt;&gt;"", "(U2)"&amp;$AN106&amp;"U,",AM237)</f>
        <v>(U2)8U,</v>
      </c>
      <c r="AN238" s="6" t="str">
        <f t="shared" ref="AN238:AN263" si="76" xml:space="preserve"> IF($AH106&lt;&gt;"", "(U2)"&amp;$AA106*$Z$3&amp;"U},",AN237)</f>
        <v>(U2)60U},</v>
      </c>
      <c r="AO238" s="6" t="str">
        <f t="shared" si="68"/>
        <v xml:space="preserve"> */</v>
      </c>
      <c r="AP238" s="6" t="str">
        <f t="shared" si="69"/>
        <v>/*   : DMS1S02 = 0x40000427 */</v>
      </c>
    </row>
    <row r="239" spans="1:42">
      <c r="A239" s="15" t="str">
        <f t="shared" si="70"/>
        <v>AVN1S33</v>
      </c>
      <c r="B239" s="15" t="str">
        <f t="shared" si="70"/>
        <v>42E</v>
      </c>
      <c r="C239" s="15" t="str">
        <f t="shared" si="70"/>
        <v>1</v>
      </c>
      <c r="D239" s="15">
        <f t="shared" si="70"/>
        <v>8</v>
      </c>
      <c r="E239" s="15">
        <f t="shared" si="70"/>
        <v>1000</v>
      </c>
      <c r="F239" s="15" t="str">
        <f t="shared" si="70"/>
        <v>0</v>
      </c>
      <c r="G239" s="16" t="str">
        <f t="shared" si="71"/>
        <v/>
      </c>
      <c r="H239" s="16" t="str">
        <f t="shared" si="71"/>
        <v/>
      </c>
      <c r="I239" s="16" t="str">
        <f t="shared" si="71"/>
        <v>T</v>
      </c>
      <c r="J239" s="16" t="str">
        <f t="shared" si="71"/>
        <v/>
      </c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89"/>
      <c r="AA239" s="18"/>
      <c r="AF239" s="18"/>
      <c r="AG239" s="96"/>
      <c r="AH239" s="6">
        <f t="shared" si="66"/>
        <v>64</v>
      </c>
      <c r="AI239" s="96" t="str">
        <f t="shared" si="67"/>
        <v/>
      </c>
      <c r="AJ239" s="6" t="str">
        <f t="shared" si="72"/>
        <v>{(U4)0x00000008U,</v>
      </c>
      <c r="AK239" s="6" t="str">
        <f t="shared" si="73"/>
        <v>(U4)0x4000042eU,</v>
      </c>
      <c r="AL239" s="6" t="str">
        <f t="shared" si="74"/>
        <v>(U4)0x4000042eU,</v>
      </c>
      <c r="AM239" s="6" t="str">
        <f t="shared" si="75"/>
        <v>(U2)8U,</v>
      </c>
      <c r="AN239" s="6" t="str">
        <f t="shared" si="76"/>
        <v>(U2)81U},</v>
      </c>
      <c r="AO239" s="6" t="str">
        <f t="shared" si="68"/>
        <v/>
      </c>
      <c r="AP239" s="6" t="str">
        <f t="shared" si="69"/>
        <v>/* 64 : AVN1S33 = 0x4000042e */</v>
      </c>
    </row>
    <row r="240" spans="1:42">
      <c r="A240" s="15" t="str">
        <f t="shared" si="70"/>
        <v>AVN1S20</v>
      </c>
      <c r="B240" s="15" t="str">
        <f t="shared" si="70"/>
        <v>434</v>
      </c>
      <c r="C240" s="15" t="str">
        <f t="shared" si="70"/>
        <v>1</v>
      </c>
      <c r="D240" s="15">
        <f t="shared" si="70"/>
        <v>8</v>
      </c>
      <c r="E240" s="15">
        <f t="shared" si="70"/>
        <v>1000</v>
      </c>
      <c r="F240" s="15" t="str">
        <f t="shared" si="70"/>
        <v>0</v>
      </c>
      <c r="G240" s="16" t="str">
        <f t="shared" si="71"/>
        <v>T</v>
      </c>
      <c r="H240" s="16" t="str">
        <f t="shared" si="71"/>
        <v/>
      </c>
      <c r="I240" s="16" t="str">
        <f t="shared" si="71"/>
        <v/>
      </c>
      <c r="J240" s="16" t="str">
        <f t="shared" si="71"/>
        <v/>
      </c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89"/>
      <c r="AA240" s="18"/>
      <c r="AF240" s="18"/>
      <c r="AG240" s="96"/>
      <c r="AH240" s="6">
        <f t="shared" si="66"/>
        <v>65</v>
      </c>
      <c r="AI240" s="96" t="str">
        <f t="shared" si="67"/>
        <v/>
      </c>
      <c r="AJ240" s="6" t="str">
        <f t="shared" si="72"/>
        <v>{(U4)0x00000004U,</v>
      </c>
      <c r="AK240" s="6" t="str">
        <f t="shared" si="73"/>
        <v>(U4)0x40000434U,</v>
      </c>
      <c r="AL240" s="6" t="str">
        <f t="shared" si="74"/>
        <v>(U4)0x40000437U,</v>
      </c>
      <c r="AM240" s="6" t="str">
        <f t="shared" si="75"/>
        <v>(U2)8U,</v>
      </c>
      <c r="AN240" s="6" t="str">
        <f t="shared" si="76"/>
        <v>(U2)60U},</v>
      </c>
      <c r="AO240" s="6" t="str">
        <f t="shared" si="68"/>
        <v/>
      </c>
      <c r="AP240" s="6" t="str">
        <f t="shared" si="69"/>
        <v>/* 65 : AVN1S20 = 0x40000434 */</v>
      </c>
    </row>
    <row r="241" spans="1:42">
      <c r="A241" s="15" t="str">
        <f t="shared" si="70"/>
        <v>AVN1S21</v>
      </c>
      <c r="B241" s="15" t="str">
        <f t="shared" si="70"/>
        <v>435</v>
      </c>
      <c r="C241" s="15" t="str">
        <f t="shared" si="70"/>
        <v>1</v>
      </c>
      <c r="D241" s="15">
        <f t="shared" si="70"/>
        <v>8</v>
      </c>
      <c r="E241" s="15">
        <f t="shared" si="70"/>
        <v>1000</v>
      </c>
      <c r="F241" s="15" t="str">
        <f t="shared" si="70"/>
        <v>0</v>
      </c>
      <c r="G241" s="16" t="str">
        <f t="shared" si="71"/>
        <v>T</v>
      </c>
      <c r="H241" s="16" t="str">
        <f t="shared" si="71"/>
        <v/>
      </c>
      <c r="I241" s="16" t="str">
        <f t="shared" si="71"/>
        <v/>
      </c>
      <c r="J241" s="16" t="str">
        <f t="shared" si="71"/>
        <v/>
      </c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89"/>
      <c r="AA241" s="18"/>
      <c r="AF241" s="18"/>
      <c r="AG241" s="96"/>
      <c r="AH241" s="6" t="str">
        <f t="shared" si="66"/>
        <v/>
      </c>
      <c r="AI241" s="96" t="str">
        <f t="shared" si="67"/>
        <v xml:space="preserve">/* </v>
      </c>
      <c r="AJ241" s="6" t="str">
        <f t="shared" si="72"/>
        <v>{(U4)0x00000004U,</v>
      </c>
      <c r="AK241" s="6" t="str">
        <f t="shared" si="73"/>
        <v>(U4)0x40000434U,</v>
      </c>
      <c r="AL241" s="6" t="str">
        <f t="shared" si="74"/>
        <v>(U4)0x40000437U,</v>
      </c>
      <c r="AM241" s="6" t="str">
        <f t="shared" si="75"/>
        <v>(U2)8U,</v>
      </c>
      <c r="AN241" s="6" t="str">
        <f t="shared" si="76"/>
        <v>(U2)60U},</v>
      </c>
      <c r="AO241" s="6" t="str">
        <f t="shared" si="68"/>
        <v xml:space="preserve"> */</v>
      </c>
      <c r="AP241" s="6" t="str">
        <f t="shared" si="69"/>
        <v>/*   : AVN1S21 = 0x40000435 */</v>
      </c>
    </row>
    <row r="242" spans="1:42">
      <c r="A242" s="15" t="str">
        <f t="shared" si="70"/>
        <v>AVN1S22</v>
      </c>
      <c r="B242" s="15" t="str">
        <f t="shared" si="70"/>
        <v>436</v>
      </c>
      <c r="C242" s="15" t="str">
        <f t="shared" si="70"/>
        <v>1</v>
      </c>
      <c r="D242" s="15">
        <f t="shared" si="70"/>
        <v>8</v>
      </c>
      <c r="E242" s="15">
        <f t="shared" si="70"/>
        <v>1000</v>
      </c>
      <c r="F242" s="15" t="str">
        <f t="shared" si="70"/>
        <v>0</v>
      </c>
      <c r="G242" s="16" t="str">
        <f t="shared" si="71"/>
        <v>T</v>
      </c>
      <c r="H242" s="16" t="str">
        <f t="shared" si="71"/>
        <v/>
      </c>
      <c r="I242" s="16" t="str">
        <f t="shared" si="71"/>
        <v/>
      </c>
      <c r="J242" s="16" t="str">
        <f t="shared" si="71"/>
        <v/>
      </c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89"/>
      <c r="AA242" s="18"/>
      <c r="AF242" s="18"/>
      <c r="AG242" s="96"/>
      <c r="AH242" s="6" t="str">
        <f t="shared" si="66"/>
        <v/>
      </c>
      <c r="AI242" s="96" t="str">
        <f t="shared" si="67"/>
        <v xml:space="preserve">/* </v>
      </c>
      <c r="AJ242" s="6" t="str">
        <f t="shared" si="72"/>
        <v>{(U4)0x00000004U,</v>
      </c>
      <c r="AK242" s="6" t="str">
        <f t="shared" si="73"/>
        <v>(U4)0x40000434U,</v>
      </c>
      <c r="AL242" s="6" t="str">
        <f t="shared" si="74"/>
        <v>(U4)0x40000437U,</v>
      </c>
      <c r="AM242" s="6" t="str">
        <f t="shared" si="75"/>
        <v>(U2)8U,</v>
      </c>
      <c r="AN242" s="6" t="str">
        <f t="shared" si="76"/>
        <v>(U2)60U},</v>
      </c>
      <c r="AO242" s="6" t="str">
        <f t="shared" si="68"/>
        <v xml:space="preserve"> */</v>
      </c>
      <c r="AP242" s="6" t="str">
        <f t="shared" si="69"/>
        <v>/*   : AVN1S22 = 0x40000436 */</v>
      </c>
    </row>
    <row r="243" spans="1:42">
      <c r="A243" s="15" t="str">
        <f t="shared" si="70"/>
        <v>AVN1S23</v>
      </c>
      <c r="B243" s="15" t="str">
        <f t="shared" si="70"/>
        <v>437</v>
      </c>
      <c r="C243" s="15" t="str">
        <f t="shared" si="70"/>
        <v>1</v>
      </c>
      <c r="D243" s="15">
        <f t="shared" si="70"/>
        <v>8</v>
      </c>
      <c r="E243" s="15">
        <f t="shared" si="70"/>
        <v>1000</v>
      </c>
      <c r="F243" s="15" t="str">
        <f t="shared" si="70"/>
        <v>0</v>
      </c>
      <c r="G243" s="16" t="str">
        <f t="shared" si="71"/>
        <v>T</v>
      </c>
      <c r="H243" s="16" t="str">
        <f t="shared" si="71"/>
        <v/>
      </c>
      <c r="I243" s="16" t="str">
        <f t="shared" si="71"/>
        <v/>
      </c>
      <c r="J243" s="16" t="str">
        <f t="shared" si="71"/>
        <v/>
      </c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89"/>
      <c r="AA243" s="18"/>
      <c r="AF243" s="18"/>
      <c r="AG243" s="96"/>
      <c r="AH243" s="6" t="str">
        <f t="shared" si="66"/>
        <v/>
      </c>
      <c r="AI243" s="96" t="str">
        <f t="shared" si="67"/>
        <v xml:space="preserve">/* </v>
      </c>
      <c r="AJ243" s="6" t="str">
        <f t="shared" si="72"/>
        <v>{(U4)0x00000004U,</v>
      </c>
      <c r="AK243" s="6" t="str">
        <f t="shared" si="73"/>
        <v>(U4)0x40000434U,</v>
      </c>
      <c r="AL243" s="6" t="str">
        <f t="shared" si="74"/>
        <v>(U4)0x40000437U,</v>
      </c>
      <c r="AM243" s="6" t="str">
        <f t="shared" si="75"/>
        <v>(U2)8U,</v>
      </c>
      <c r="AN243" s="6" t="str">
        <f t="shared" si="76"/>
        <v>(U2)60U},</v>
      </c>
      <c r="AO243" s="6" t="str">
        <f t="shared" si="68"/>
        <v xml:space="preserve"> */</v>
      </c>
      <c r="AP243" s="6" t="str">
        <f t="shared" si="69"/>
        <v>/*   : AVN1S23 = 0x40000437 */</v>
      </c>
    </row>
    <row r="244" spans="1:42">
      <c r="A244" s="15" t="str">
        <f t="shared" si="70"/>
        <v>AVN1SG5</v>
      </c>
      <c r="B244" s="15" t="str">
        <f t="shared" si="70"/>
        <v>43E</v>
      </c>
      <c r="C244" s="15" t="str">
        <f t="shared" si="70"/>
        <v>1</v>
      </c>
      <c r="D244" s="15">
        <f t="shared" si="70"/>
        <v>32</v>
      </c>
      <c r="E244" s="15">
        <f t="shared" si="70"/>
        <v>1000</v>
      </c>
      <c r="F244" s="15" t="str">
        <f t="shared" si="70"/>
        <v>0</v>
      </c>
      <c r="G244" s="16" t="str">
        <f t="shared" si="71"/>
        <v>T</v>
      </c>
      <c r="H244" s="16" t="str">
        <f t="shared" si="71"/>
        <v/>
      </c>
      <c r="I244" s="16" t="str">
        <f t="shared" si="71"/>
        <v/>
      </c>
      <c r="J244" s="16" t="str">
        <f t="shared" si="71"/>
        <v/>
      </c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89"/>
      <c r="AA244" s="18"/>
      <c r="AF244" s="18"/>
      <c r="AG244" s="96"/>
      <c r="AH244" s="6">
        <f t="shared" si="66"/>
        <v>66</v>
      </c>
      <c r="AI244" s="96" t="str">
        <f t="shared" si="67"/>
        <v/>
      </c>
      <c r="AJ244" s="6" t="str">
        <f t="shared" si="72"/>
        <v>{(U4)0x00000004U,</v>
      </c>
      <c r="AK244" s="6" t="str">
        <f t="shared" si="73"/>
        <v>(U4)0x4000043eU,</v>
      </c>
      <c r="AL244" s="6" t="str">
        <f t="shared" si="74"/>
        <v>(U4)0x4000043eU,</v>
      </c>
      <c r="AM244" s="6" t="str">
        <f t="shared" si="75"/>
        <v>(U2)32U,</v>
      </c>
      <c r="AN244" s="6" t="str">
        <f t="shared" si="76"/>
        <v>(U2)60U},</v>
      </c>
      <c r="AO244" s="6" t="str">
        <f t="shared" si="68"/>
        <v/>
      </c>
      <c r="AP244" s="6" t="str">
        <f t="shared" si="69"/>
        <v>/* 66 : AVN1SG5 = 0x4000043e */</v>
      </c>
    </row>
    <row r="245" spans="1:42">
      <c r="A245" s="15" t="str">
        <f t="shared" si="70"/>
        <v>AVN1S64</v>
      </c>
      <c r="B245" s="15" t="str">
        <f t="shared" si="70"/>
        <v>490</v>
      </c>
      <c r="C245" s="15" t="str">
        <f t="shared" si="70"/>
        <v>1</v>
      </c>
      <c r="D245" s="15">
        <f t="shared" si="70"/>
        <v>8</v>
      </c>
      <c r="E245" s="15">
        <f t="shared" si="70"/>
        <v>1000</v>
      </c>
      <c r="F245" s="15" t="str">
        <f t="shared" si="70"/>
        <v>0</v>
      </c>
      <c r="G245" s="16" t="str">
        <f t="shared" si="71"/>
        <v>T</v>
      </c>
      <c r="H245" s="16" t="str">
        <f t="shared" si="71"/>
        <v/>
      </c>
      <c r="I245" s="16" t="str">
        <f t="shared" si="71"/>
        <v/>
      </c>
      <c r="J245" s="16" t="str">
        <f t="shared" si="71"/>
        <v/>
      </c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89"/>
      <c r="AA245" s="18"/>
      <c r="AF245" s="18"/>
      <c r="AG245" s="96"/>
      <c r="AH245" s="6">
        <f t="shared" si="66"/>
        <v>67</v>
      </c>
      <c r="AI245" s="96" t="str">
        <f t="shared" si="67"/>
        <v/>
      </c>
      <c r="AJ245" s="6" t="str">
        <f t="shared" si="72"/>
        <v>{(U4)0x00000004U,</v>
      </c>
      <c r="AK245" s="6" t="str">
        <f t="shared" si="73"/>
        <v>(U4)0x40000490U,</v>
      </c>
      <c r="AL245" s="6" t="str">
        <f t="shared" si="74"/>
        <v>(U4)0x40000490U,</v>
      </c>
      <c r="AM245" s="6" t="str">
        <f t="shared" si="75"/>
        <v>(U2)8U,</v>
      </c>
      <c r="AN245" s="6" t="str">
        <f t="shared" si="76"/>
        <v>(U2)60U},</v>
      </c>
      <c r="AO245" s="6" t="str">
        <f t="shared" si="68"/>
        <v/>
      </c>
      <c r="AP245" s="6" t="str">
        <f t="shared" si="69"/>
        <v>/* 67 : AVN1S64 = 0x40000490 */</v>
      </c>
    </row>
    <row r="246" spans="1:42">
      <c r="A246" s="15" t="str">
        <f t="shared" si="70"/>
        <v>AVN1SB3</v>
      </c>
      <c r="B246" s="15" t="str">
        <f t="shared" si="70"/>
        <v>515</v>
      </c>
      <c r="C246" s="15" t="str">
        <f t="shared" si="70"/>
        <v>1</v>
      </c>
      <c r="D246" s="15">
        <f t="shared" si="70"/>
        <v>32</v>
      </c>
      <c r="E246" s="15">
        <f t="shared" si="70"/>
        <v>1000</v>
      </c>
      <c r="F246" s="15" t="str">
        <f t="shared" si="70"/>
        <v>0</v>
      </c>
      <c r="G246" s="16" t="str">
        <f t="shared" si="71"/>
        <v>T</v>
      </c>
      <c r="H246" s="16" t="str">
        <f t="shared" si="71"/>
        <v/>
      </c>
      <c r="I246" s="16" t="str">
        <f t="shared" si="71"/>
        <v/>
      </c>
      <c r="J246" s="16" t="str">
        <f t="shared" si="71"/>
        <v/>
      </c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89"/>
      <c r="AA246" s="18"/>
      <c r="AF246" s="18"/>
      <c r="AG246" s="96"/>
      <c r="AH246" s="6">
        <f t="shared" si="66"/>
        <v>68</v>
      </c>
      <c r="AI246" s="96" t="str">
        <f t="shared" si="67"/>
        <v/>
      </c>
      <c r="AJ246" s="6" t="str">
        <f t="shared" si="72"/>
        <v>{(U4)0x00000004U,</v>
      </c>
      <c r="AK246" s="6" t="str">
        <f t="shared" si="73"/>
        <v>(U4)0x40000515U,</v>
      </c>
      <c r="AL246" s="6" t="str">
        <f t="shared" si="74"/>
        <v>(U4)0x40000515U,</v>
      </c>
      <c r="AM246" s="6" t="str">
        <f t="shared" si="75"/>
        <v>(U2)32U,</v>
      </c>
      <c r="AN246" s="6" t="str">
        <f t="shared" si="76"/>
        <v>(U2)63U},</v>
      </c>
      <c r="AO246" s="6" t="str">
        <f t="shared" si="68"/>
        <v/>
      </c>
      <c r="AP246" s="6" t="str">
        <f t="shared" si="69"/>
        <v>/* 68 : AVN1SB3 = 0x40000515 */</v>
      </c>
    </row>
    <row r="247" spans="1:42">
      <c r="A247" s="15" t="str">
        <f t="shared" si="70"/>
        <v>AVN1SB4</v>
      </c>
      <c r="B247" s="15" t="str">
        <f t="shared" si="70"/>
        <v>51A</v>
      </c>
      <c r="C247" s="15" t="str">
        <f t="shared" si="70"/>
        <v>1</v>
      </c>
      <c r="D247" s="15">
        <f t="shared" si="70"/>
        <v>32</v>
      </c>
      <c r="E247" s="15">
        <f t="shared" si="70"/>
        <v>1000</v>
      </c>
      <c r="F247" s="15" t="str">
        <f t="shared" si="70"/>
        <v>0</v>
      </c>
      <c r="G247" s="16" t="str">
        <f t="shared" si="71"/>
        <v/>
      </c>
      <c r="H247" s="16" t="str">
        <f t="shared" si="71"/>
        <v/>
      </c>
      <c r="I247" s="16" t="str">
        <f t="shared" si="71"/>
        <v>T</v>
      </c>
      <c r="J247" s="16" t="str">
        <f t="shared" si="71"/>
        <v/>
      </c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89"/>
      <c r="AA247" s="18"/>
      <c r="AF247" s="18"/>
      <c r="AG247" s="96"/>
      <c r="AH247" s="6">
        <f t="shared" si="66"/>
        <v>69</v>
      </c>
      <c r="AI247" s="96" t="str">
        <f t="shared" si="67"/>
        <v/>
      </c>
      <c r="AJ247" s="6" t="str">
        <f t="shared" si="72"/>
        <v>{(U4)0x00000008U,</v>
      </c>
      <c r="AK247" s="6" t="str">
        <f t="shared" si="73"/>
        <v>(U4)0x4000051aU,</v>
      </c>
      <c r="AL247" s="6" t="str">
        <f t="shared" si="74"/>
        <v>(U4)0x4000051bU,</v>
      </c>
      <c r="AM247" s="6" t="str">
        <f t="shared" si="75"/>
        <v>(U2)32U,</v>
      </c>
      <c r="AN247" s="6" t="str">
        <f t="shared" si="76"/>
        <v>(U2)81U},</v>
      </c>
      <c r="AO247" s="6" t="str">
        <f t="shared" si="68"/>
        <v/>
      </c>
      <c r="AP247" s="6" t="str">
        <f t="shared" si="69"/>
        <v>/* 69 : AVN1SB4 = 0x4000051a */</v>
      </c>
    </row>
    <row r="248" spans="1:42">
      <c r="A248" s="15" t="str">
        <f t="shared" ref="A248:F257" si="77">A116</f>
        <v>AVN1SB5</v>
      </c>
      <c r="B248" s="15" t="str">
        <f t="shared" si="77"/>
        <v>51B</v>
      </c>
      <c r="C248" s="15" t="str">
        <f t="shared" si="77"/>
        <v>1</v>
      </c>
      <c r="D248" s="15">
        <f t="shared" si="77"/>
        <v>32</v>
      </c>
      <c r="E248" s="15">
        <f t="shared" si="77"/>
        <v>1000</v>
      </c>
      <c r="F248" s="15" t="str">
        <f t="shared" si="77"/>
        <v>0</v>
      </c>
      <c r="G248" s="16" t="str">
        <f t="shared" si="71"/>
        <v/>
      </c>
      <c r="H248" s="16" t="str">
        <f t="shared" si="71"/>
        <v/>
      </c>
      <c r="I248" s="16" t="str">
        <f t="shared" si="71"/>
        <v>T</v>
      </c>
      <c r="J248" s="16" t="str">
        <f t="shared" si="71"/>
        <v/>
      </c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89"/>
      <c r="AA248" s="18"/>
      <c r="AF248" s="18"/>
      <c r="AG248" s="96"/>
      <c r="AH248" s="6" t="str">
        <f t="shared" si="66"/>
        <v/>
      </c>
      <c r="AI248" s="96" t="str">
        <f t="shared" si="67"/>
        <v xml:space="preserve">/* </v>
      </c>
      <c r="AJ248" s="6" t="str">
        <f t="shared" si="72"/>
        <v>{(U4)0x00000008U,</v>
      </c>
      <c r="AK248" s="6" t="str">
        <f t="shared" si="73"/>
        <v>(U4)0x4000051aU,</v>
      </c>
      <c r="AL248" s="6" t="str">
        <f t="shared" si="74"/>
        <v>(U4)0x4000051bU,</v>
      </c>
      <c r="AM248" s="6" t="str">
        <f t="shared" si="75"/>
        <v>(U2)32U,</v>
      </c>
      <c r="AN248" s="6" t="str">
        <f t="shared" si="76"/>
        <v>(U2)81U},</v>
      </c>
      <c r="AO248" s="6" t="str">
        <f t="shared" si="68"/>
        <v xml:space="preserve"> */</v>
      </c>
      <c r="AP248" s="6" t="str">
        <f t="shared" si="69"/>
        <v>/*   : AVN1SB5 = 0x4000051b */</v>
      </c>
    </row>
    <row r="249" spans="1:42">
      <c r="A249" s="15" t="str">
        <f t="shared" si="77"/>
        <v>AVN1S44</v>
      </c>
      <c r="B249" s="15" t="str">
        <f t="shared" si="77"/>
        <v>51D</v>
      </c>
      <c r="C249" s="15" t="str">
        <f t="shared" si="77"/>
        <v>1</v>
      </c>
      <c r="D249" s="15">
        <f t="shared" si="77"/>
        <v>8</v>
      </c>
      <c r="E249" s="15">
        <f t="shared" si="77"/>
        <v>1000</v>
      </c>
      <c r="F249" s="15" t="str">
        <f t="shared" si="77"/>
        <v>0</v>
      </c>
      <c r="G249" s="16" t="str">
        <f t="shared" si="71"/>
        <v>T</v>
      </c>
      <c r="H249" s="16" t="str">
        <f t="shared" si="71"/>
        <v/>
      </c>
      <c r="I249" s="16" t="str">
        <f t="shared" si="71"/>
        <v/>
      </c>
      <c r="J249" s="16" t="str">
        <f t="shared" si="71"/>
        <v/>
      </c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89"/>
      <c r="AA249" s="18"/>
      <c r="AF249" s="18"/>
      <c r="AG249" s="96"/>
      <c r="AH249" s="6">
        <f t="shared" si="66"/>
        <v>70</v>
      </c>
      <c r="AI249" s="96" t="str">
        <f t="shared" si="67"/>
        <v/>
      </c>
      <c r="AJ249" s="6" t="str">
        <f t="shared" si="72"/>
        <v>{(U4)0x00000004U,</v>
      </c>
      <c r="AK249" s="6" t="str">
        <f t="shared" si="73"/>
        <v>(U4)0x4000051dU,</v>
      </c>
      <c r="AL249" s="6" t="str">
        <f t="shared" si="74"/>
        <v>(U4)0x40000521U,</v>
      </c>
      <c r="AM249" s="6" t="str">
        <f t="shared" si="75"/>
        <v>(U2)8U,</v>
      </c>
      <c r="AN249" s="6" t="str">
        <f t="shared" si="76"/>
        <v>(U2)63U},</v>
      </c>
      <c r="AO249" s="6" t="str">
        <f t="shared" si="68"/>
        <v/>
      </c>
      <c r="AP249" s="6" t="str">
        <f t="shared" si="69"/>
        <v>/* 70 : AVN1S44 = 0x4000051d */</v>
      </c>
    </row>
    <row r="250" spans="1:42">
      <c r="A250" s="15" t="str">
        <f t="shared" si="77"/>
        <v>AVN1S65</v>
      </c>
      <c r="B250" s="15" t="str">
        <f t="shared" si="77"/>
        <v>51F</v>
      </c>
      <c r="C250" s="15" t="str">
        <f t="shared" si="77"/>
        <v>1</v>
      </c>
      <c r="D250" s="15">
        <f t="shared" si="77"/>
        <v>8</v>
      </c>
      <c r="E250" s="15">
        <f t="shared" si="77"/>
        <v>1000</v>
      </c>
      <c r="F250" s="15" t="str">
        <f t="shared" si="77"/>
        <v>0</v>
      </c>
      <c r="G250" s="16" t="str">
        <f t="shared" si="71"/>
        <v>T</v>
      </c>
      <c r="H250" s="16" t="str">
        <f t="shared" si="71"/>
        <v/>
      </c>
      <c r="I250" s="16" t="str">
        <f t="shared" si="71"/>
        <v/>
      </c>
      <c r="J250" s="16" t="str">
        <f t="shared" si="71"/>
        <v/>
      </c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89"/>
      <c r="AA250" s="18"/>
      <c r="AF250" s="18"/>
      <c r="AG250" s="96"/>
      <c r="AH250" s="6" t="str">
        <f t="shared" si="66"/>
        <v/>
      </c>
      <c r="AI250" s="96" t="str">
        <f t="shared" si="67"/>
        <v xml:space="preserve">/* </v>
      </c>
      <c r="AJ250" s="6" t="str">
        <f t="shared" si="72"/>
        <v>{(U4)0x00000004U,</v>
      </c>
      <c r="AK250" s="6" t="str">
        <f t="shared" si="73"/>
        <v>(U4)0x4000051dU,</v>
      </c>
      <c r="AL250" s="6" t="str">
        <f t="shared" si="74"/>
        <v>(U4)0x40000521U,</v>
      </c>
      <c r="AM250" s="6" t="str">
        <f t="shared" si="75"/>
        <v>(U2)8U,</v>
      </c>
      <c r="AN250" s="6" t="str">
        <f t="shared" si="76"/>
        <v>(U2)63U},</v>
      </c>
      <c r="AO250" s="6" t="str">
        <f t="shared" si="68"/>
        <v xml:space="preserve"> */</v>
      </c>
      <c r="AP250" s="6" t="str">
        <f t="shared" si="69"/>
        <v>/*   : AVN1S65 = 0x4000051f */</v>
      </c>
    </row>
    <row r="251" spans="1:42">
      <c r="A251" s="15" t="str">
        <f t="shared" si="77"/>
        <v>AVN1S69</v>
      </c>
      <c r="B251" s="15" t="str">
        <f t="shared" si="77"/>
        <v>521</v>
      </c>
      <c r="C251" s="15" t="str">
        <f t="shared" si="77"/>
        <v>1</v>
      </c>
      <c r="D251" s="15">
        <f t="shared" si="77"/>
        <v>8</v>
      </c>
      <c r="E251" s="15">
        <f t="shared" si="77"/>
        <v>3000</v>
      </c>
      <c r="F251" s="15" t="str">
        <f t="shared" si="77"/>
        <v>0</v>
      </c>
      <c r="G251" s="16" t="str">
        <f t="shared" si="71"/>
        <v>T</v>
      </c>
      <c r="H251" s="16" t="str">
        <f t="shared" si="71"/>
        <v/>
      </c>
      <c r="I251" s="16" t="str">
        <f t="shared" si="71"/>
        <v/>
      </c>
      <c r="J251" s="16" t="str">
        <f t="shared" si="71"/>
        <v/>
      </c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89"/>
      <c r="AA251" s="18"/>
      <c r="AF251" s="18"/>
      <c r="AG251" s="96"/>
      <c r="AH251" s="6" t="str">
        <f t="shared" si="66"/>
        <v/>
      </c>
      <c r="AI251" s="96" t="str">
        <f t="shared" si="67"/>
        <v xml:space="preserve">/* </v>
      </c>
      <c r="AJ251" s="6" t="str">
        <f t="shared" si="72"/>
        <v>{(U4)0x00000004U,</v>
      </c>
      <c r="AK251" s="6" t="str">
        <f t="shared" si="73"/>
        <v>(U4)0x4000051dU,</v>
      </c>
      <c r="AL251" s="6" t="str">
        <f t="shared" si="74"/>
        <v>(U4)0x40000521U,</v>
      </c>
      <c r="AM251" s="6" t="str">
        <f t="shared" si="75"/>
        <v>(U2)8U,</v>
      </c>
      <c r="AN251" s="6" t="str">
        <f t="shared" si="76"/>
        <v>(U2)63U},</v>
      </c>
      <c r="AO251" s="6" t="str">
        <f t="shared" si="68"/>
        <v xml:space="preserve"> */</v>
      </c>
      <c r="AP251" s="6" t="str">
        <f t="shared" si="69"/>
        <v>/*   : AVN1S69 = 0x40000521 */</v>
      </c>
    </row>
    <row r="252" spans="1:42">
      <c r="A252" s="15" t="str">
        <f t="shared" si="77"/>
        <v>MET1S38</v>
      </c>
      <c r="B252" s="15" t="str">
        <f t="shared" si="77"/>
        <v>524</v>
      </c>
      <c r="C252" s="15" t="str">
        <f t="shared" si="77"/>
        <v>1</v>
      </c>
      <c r="D252" s="15">
        <f t="shared" si="77"/>
        <v>32</v>
      </c>
      <c r="E252" s="15">
        <f t="shared" si="77"/>
        <v>1000</v>
      </c>
      <c r="F252" s="15" t="str">
        <f t="shared" si="77"/>
        <v>0</v>
      </c>
      <c r="G252" s="16" t="str">
        <f t="shared" si="71"/>
        <v>T</v>
      </c>
      <c r="H252" s="16" t="str">
        <f t="shared" si="71"/>
        <v/>
      </c>
      <c r="I252" s="16" t="str">
        <f t="shared" si="71"/>
        <v/>
      </c>
      <c r="J252" s="16" t="str">
        <f t="shared" si="71"/>
        <v/>
      </c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89"/>
      <c r="AA252" s="18"/>
      <c r="AF252" s="18"/>
      <c r="AG252" s="96"/>
      <c r="AH252" s="6">
        <f t="shared" si="66"/>
        <v>71</v>
      </c>
      <c r="AI252" s="96" t="str">
        <f t="shared" si="67"/>
        <v/>
      </c>
      <c r="AJ252" s="6" t="str">
        <f t="shared" si="72"/>
        <v>{(U4)0x00000004U,</v>
      </c>
      <c r="AK252" s="6" t="str">
        <f t="shared" si="73"/>
        <v>(U4)0x40000524U,</v>
      </c>
      <c r="AL252" s="6" t="str">
        <f t="shared" si="74"/>
        <v>(U4)0x40000524U,</v>
      </c>
      <c r="AM252" s="6" t="str">
        <f t="shared" si="75"/>
        <v>(U2)32U,</v>
      </c>
      <c r="AN252" s="6" t="str">
        <f t="shared" si="76"/>
        <v>(U2)63U},</v>
      </c>
      <c r="AO252" s="6" t="str">
        <f t="shared" si="68"/>
        <v/>
      </c>
      <c r="AP252" s="6" t="str">
        <f t="shared" si="69"/>
        <v>/* 71 : MET1S38 = 0x40000524 */</v>
      </c>
    </row>
    <row r="253" spans="1:42">
      <c r="A253" s="15" t="str">
        <f t="shared" si="77"/>
        <v>MET1S41</v>
      </c>
      <c r="B253" s="15" t="str">
        <f t="shared" si="77"/>
        <v>527</v>
      </c>
      <c r="C253" s="15" t="str">
        <f t="shared" si="77"/>
        <v>1</v>
      </c>
      <c r="D253" s="15">
        <f t="shared" si="77"/>
        <v>8</v>
      </c>
      <c r="E253" s="15">
        <f t="shared" si="77"/>
        <v>1000</v>
      </c>
      <c r="F253" s="15" t="str">
        <f t="shared" si="77"/>
        <v>0</v>
      </c>
      <c r="G253" s="16" t="str">
        <f t="shared" si="71"/>
        <v>T</v>
      </c>
      <c r="H253" s="16" t="str">
        <f t="shared" si="71"/>
        <v/>
      </c>
      <c r="I253" s="16" t="str">
        <f t="shared" si="71"/>
        <v/>
      </c>
      <c r="J253" s="16" t="str">
        <f t="shared" si="71"/>
        <v/>
      </c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89"/>
      <c r="AA253" s="18"/>
      <c r="AF253" s="18"/>
      <c r="AG253" s="96"/>
      <c r="AH253" s="6">
        <f t="shared" si="66"/>
        <v>72</v>
      </c>
      <c r="AI253" s="96" t="str">
        <f t="shared" si="67"/>
        <v/>
      </c>
      <c r="AJ253" s="6" t="str">
        <f t="shared" si="72"/>
        <v>{(U4)0x00000004U,</v>
      </c>
      <c r="AK253" s="6" t="str">
        <f t="shared" si="73"/>
        <v>(U4)0x40000527U,</v>
      </c>
      <c r="AL253" s="6" t="str">
        <f t="shared" si="74"/>
        <v>(U4)0x40000527U,</v>
      </c>
      <c r="AM253" s="6" t="str">
        <f t="shared" si="75"/>
        <v>(U2)8U,</v>
      </c>
      <c r="AN253" s="6" t="str">
        <f t="shared" si="76"/>
        <v>(U2)63U},</v>
      </c>
      <c r="AO253" s="6" t="str">
        <f t="shared" si="68"/>
        <v/>
      </c>
      <c r="AP253" s="6" t="str">
        <f t="shared" si="69"/>
        <v>/* 72 : MET1S41 = 0x40000527 */</v>
      </c>
    </row>
    <row r="254" spans="1:42">
      <c r="A254" s="15" t="str">
        <f t="shared" si="77"/>
        <v>MET1S43</v>
      </c>
      <c r="B254" s="15" t="str">
        <f t="shared" si="77"/>
        <v>529</v>
      </c>
      <c r="C254" s="15" t="str">
        <f t="shared" si="77"/>
        <v>1</v>
      </c>
      <c r="D254" s="15">
        <f t="shared" si="77"/>
        <v>8</v>
      </c>
      <c r="E254" s="15">
        <f t="shared" si="77"/>
        <v>1000</v>
      </c>
      <c r="F254" s="15" t="str">
        <f t="shared" si="77"/>
        <v>0</v>
      </c>
      <c r="G254" s="16" t="str">
        <f t="shared" si="71"/>
        <v/>
      </c>
      <c r="H254" s="16" t="str">
        <f t="shared" si="71"/>
        <v/>
      </c>
      <c r="I254" s="16" t="str">
        <f t="shared" si="71"/>
        <v>T</v>
      </c>
      <c r="J254" s="16" t="str">
        <f t="shared" si="71"/>
        <v/>
      </c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89"/>
      <c r="AA254" s="18"/>
      <c r="AF254" s="18"/>
      <c r="AG254" s="96"/>
      <c r="AH254" s="6">
        <f t="shared" si="66"/>
        <v>73</v>
      </c>
      <c r="AI254" s="96" t="str">
        <f t="shared" si="67"/>
        <v/>
      </c>
      <c r="AJ254" s="6" t="str">
        <f t="shared" si="72"/>
        <v>{(U4)0x00000008U,</v>
      </c>
      <c r="AK254" s="6" t="str">
        <f t="shared" si="73"/>
        <v>(U4)0x40000529U,</v>
      </c>
      <c r="AL254" s="6" t="str">
        <f t="shared" si="74"/>
        <v>(U4)0x40000529U,</v>
      </c>
      <c r="AM254" s="6" t="str">
        <f t="shared" si="75"/>
        <v>(U2)8U,</v>
      </c>
      <c r="AN254" s="6" t="str">
        <f t="shared" si="76"/>
        <v>(U2)81U},</v>
      </c>
      <c r="AO254" s="6" t="str">
        <f t="shared" si="68"/>
        <v/>
      </c>
      <c r="AP254" s="6" t="str">
        <f t="shared" si="69"/>
        <v>/* 73 : MET1S43 = 0x40000529 */</v>
      </c>
    </row>
    <row r="255" spans="1:42">
      <c r="A255" s="15" t="str">
        <f t="shared" si="77"/>
        <v>AVN1S66</v>
      </c>
      <c r="B255" s="15" t="str">
        <f t="shared" si="77"/>
        <v>52A</v>
      </c>
      <c r="C255" s="15" t="str">
        <f t="shared" si="77"/>
        <v>1</v>
      </c>
      <c r="D255" s="15">
        <f t="shared" si="77"/>
        <v>8</v>
      </c>
      <c r="E255" s="15">
        <f t="shared" si="77"/>
        <v>10000</v>
      </c>
      <c r="F255" s="15" t="str">
        <f t="shared" si="77"/>
        <v>0</v>
      </c>
      <c r="G255" s="16" t="str">
        <f t="shared" si="71"/>
        <v>T</v>
      </c>
      <c r="H255" s="16" t="str">
        <f t="shared" si="71"/>
        <v/>
      </c>
      <c r="I255" s="16" t="str">
        <f t="shared" si="71"/>
        <v/>
      </c>
      <c r="J255" s="16" t="str">
        <f t="shared" si="71"/>
        <v/>
      </c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89"/>
      <c r="AA255" s="18"/>
      <c r="AF255" s="18"/>
      <c r="AG255" s="96"/>
      <c r="AH255" s="6">
        <f t="shared" si="66"/>
        <v>74</v>
      </c>
      <c r="AI255" s="96" t="str">
        <f t="shared" si="67"/>
        <v/>
      </c>
      <c r="AJ255" s="6" t="str">
        <f t="shared" si="72"/>
        <v>{(U4)0x00000004U,</v>
      </c>
      <c r="AK255" s="6" t="str">
        <f t="shared" si="73"/>
        <v>(U4)0x4000052aU,</v>
      </c>
      <c r="AL255" s="6" t="str">
        <f t="shared" si="74"/>
        <v>(U4)0x4000052aU,</v>
      </c>
      <c r="AM255" s="6" t="str">
        <f t="shared" si="75"/>
        <v>(U2)8U,</v>
      </c>
      <c r="AN255" s="6" t="str">
        <f t="shared" si="76"/>
        <v>(U2)63U},</v>
      </c>
      <c r="AO255" s="6" t="str">
        <f t="shared" si="68"/>
        <v/>
      </c>
      <c r="AP255" s="6" t="str">
        <f t="shared" si="69"/>
        <v>/* 74 : AVN1S66 = 0x4000052a */</v>
      </c>
    </row>
    <row r="256" spans="1:42">
      <c r="A256" s="15" t="str">
        <f t="shared" si="77"/>
        <v>CDC1N02</v>
      </c>
      <c r="B256" s="15" t="str">
        <f t="shared" si="77"/>
        <v>56D</v>
      </c>
      <c r="C256" s="15" t="str">
        <f t="shared" si="77"/>
        <v>1</v>
      </c>
      <c r="D256" s="15">
        <f t="shared" si="77"/>
        <v>8</v>
      </c>
      <c r="E256" s="15">
        <f t="shared" si="77"/>
        <v>1000</v>
      </c>
      <c r="F256" s="15" t="str">
        <f t="shared" si="77"/>
        <v>0</v>
      </c>
      <c r="G256" s="16" t="str">
        <f t="shared" si="71"/>
        <v/>
      </c>
      <c r="H256" s="16" t="str">
        <f t="shared" si="71"/>
        <v/>
      </c>
      <c r="I256" s="16" t="str">
        <f t="shared" si="71"/>
        <v>T</v>
      </c>
      <c r="J256" s="16" t="str">
        <f t="shared" si="71"/>
        <v/>
      </c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89"/>
      <c r="AA256" s="18"/>
      <c r="AF256" s="18"/>
      <c r="AG256" s="96"/>
      <c r="AH256" s="6">
        <f t="shared" si="66"/>
        <v>75</v>
      </c>
      <c r="AI256" s="96" t="str">
        <f t="shared" si="67"/>
        <v/>
      </c>
      <c r="AJ256" s="6" t="str">
        <f t="shared" si="72"/>
        <v>{(U4)0x00000008U,</v>
      </c>
      <c r="AK256" s="6" t="str">
        <f t="shared" si="73"/>
        <v>(U4)0x4000056dU,</v>
      </c>
      <c r="AL256" s="6" t="str">
        <f t="shared" si="74"/>
        <v>(U4)0x4000056dU,</v>
      </c>
      <c r="AM256" s="6" t="str">
        <f t="shared" si="75"/>
        <v>(U2)8U,</v>
      </c>
      <c r="AN256" s="6" t="str">
        <f t="shared" si="76"/>
        <v>(U2)81U},</v>
      </c>
      <c r="AO256" s="6" t="str">
        <f t="shared" si="68"/>
        <v/>
      </c>
      <c r="AP256" s="6" t="str">
        <f t="shared" si="69"/>
        <v>/* 75 : CDC1N02 = 0x4000056d */</v>
      </c>
    </row>
    <row r="257" spans="1:43">
      <c r="A257" s="15" t="str">
        <f t="shared" si="77"/>
        <v>AVN1S39</v>
      </c>
      <c r="B257" s="15" t="str">
        <f t="shared" si="77"/>
        <v>58A</v>
      </c>
      <c r="C257" s="15" t="str">
        <f t="shared" si="77"/>
        <v>1</v>
      </c>
      <c r="D257" s="15">
        <f t="shared" si="77"/>
        <v>8</v>
      </c>
      <c r="E257" s="15">
        <f t="shared" si="77"/>
        <v>1000</v>
      </c>
      <c r="F257" s="15" t="str">
        <f t="shared" si="77"/>
        <v>0</v>
      </c>
      <c r="G257" s="16" t="str">
        <f t="shared" si="71"/>
        <v>T</v>
      </c>
      <c r="H257" s="16" t="str">
        <f t="shared" si="71"/>
        <v/>
      </c>
      <c r="I257" s="16" t="str">
        <f t="shared" si="71"/>
        <v/>
      </c>
      <c r="J257" s="16" t="str">
        <f t="shared" si="71"/>
        <v/>
      </c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89"/>
      <c r="AA257" s="18"/>
      <c r="AF257" s="18"/>
      <c r="AG257" s="96"/>
      <c r="AH257" s="6">
        <f t="shared" si="66"/>
        <v>76</v>
      </c>
      <c r="AI257" s="96" t="str">
        <f t="shared" si="67"/>
        <v/>
      </c>
      <c r="AJ257" s="6" t="str">
        <f t="shared" si="72"/>
        <v>{(U4)0x00000004U,</v>
      </c>
      <c r="AK257" s="6" t="str">
        <f t="shared" si="73"/>
        <v>(U4)0x4000058aU,</v>
      </c>
      <c r="AL257" s="6" t="str">
        <f t="shared" si="74"/>
        <v>(U4)0x4000058dU,</v>
      </c>
      <c r="AM257" s="6" t="str">
        <f t="shared" si="75"/>
        <v>(U2)8U,</v>
      </c>
      <c r="AN257" s="6" t="str">
        <f t="shared" si="76"/>
        <v>(U2)63U},</v>
      </c>
      <c r="AO257" s="6" t="str">
        <f t="shared" si="68"/>
        <v/>
      </c>
      <c r="AP257" s="6" t="str">
        <f t="shared" si="69"/>
        <v>/* 76 : AVN1S39 = 0x4000058a */</v>
      </c>
    </row>
    <row r="258" spans="1:43">
      <c r="A258" s="15" t="str">
        <f t="shared" ref="A258:F263" si="78">A126</f>
        <v>MET1S25</v>
      </c>
      <c r="B258" s="15" t="str">
        <f t="shared" si="78"/>
        <v>58D</v>
      </c>
      <c r="C258" s="15" t="str">
        <f t="shared" si="78"/>
        <v>1</v>
      </c>
      <c r="D258" s="15">
        <f t="shared" si="78"/>
        <v>8</v>
      </c>
      <c r="E258" s="15" t="str">
        <f t="shared" si="78"/>
        <v>-</v>
      </c>
      <c r="F258" s="15" t="str">
        <f t="shared" si="78"/>
        <v>0</v>
      </c>
      <c r="G258" s="16" t="str">
        <f t="shared" ref="G258:J263" si="79">IF(G126&lt;&gt;"",G126,"")</f>
        <v>T</v>
      </c>
      <c r="H258" s="16" t="str">
        <f t="shared" si="79"/>
        <v/>
      </c>
      <c r="I258" s="16" t="str">
        <f t="shared" si="79"/>
        <v/>
      </c>
      <c r="J258" s="16" t="str">
        <f t="shared" si="79"/>
        <v/>
      </c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89"/>
      <c r="AA258" s="18"/>
      <c r="AF258" s="18"/>
      <c r="AG258" s="96"/>
      <c r="AH258" s="6" t="str">
        <f t="shared" si="66"/>
        <v/>
      </c>
      <c r="AI258" s="96" t="str">
        <f t="shared" si="67"/>
        <v xml:space="preserve">/* </v>
      </c>
      <c r="AJ258" s="6" t="str">
        <f t="shared" si="72"/>
        <v>{(U4)0x00000004U,</v>
      </c>
      <c r="AK258" s="6" t="str">
        <f t="shared" si="73"/>
        <v>(U4)0x4000058aU,</v>
      </c>
      <c r="AL258" s="6" t="str">
        <f t="shared" si="74"/>
        <v>(U4)0x4000058dU,</v>
      </c>
      <c r="AM258" s="6" t="str">
        <f t="shared" si="75"/>
        <v>(U2)8U,</v>
      </c>
      <c r="AN258" s="6" t="str">
        <f t="shared" si="76"/>
        <v>(U2)63U},</v>
      </c>
      <c r="AO258" s="6" t="str">
        <f t="shared" si="68"/>
        <v xml:space="preserve"> */</v>
      </c>
      <c r="AP258" s="6" t="str">
        <f t="shared" si="69"/>
        <v>/*   : MET1S25 = 0x4000058d */</v>
      </c>
    </row>
    <row r="259" spans="1:43" s="238" customFormat="1">
      <c r="A259" s="241" t="str">
        <f t="shared" si="78"/>
        <v>AVN1SH2</v>
      </c>
      <c r="B259" s="241" t="str">
        <f t="shared" si="78"/>
        <v>5D1</v>
      </c>
      <c r="C259" s="241" t="str">
        <f t="shared" si="78"/>
        <v>1</v>
      </c>
      <c r="D259" s="241">
        <f t="shared" si="78"/>
        <v>32</v>
      </c>
      <c r="E259" s="241">
        <f t="shared" si="78"/>
        <v>1000</v>
      </c>
      <c r="F259" s="241" t="str">
        <f t="shared" si="78"/>
        <v>0</v>
      </c>
      <c r="G259" s="242" t="str">
        <f t="shared" si="79"/>
        <v/>
      </c>
      <c r="H259" s="242" t="str">
        <f t="shared" si="79"/>
        <v>T</v>
      </c>
      <c r="I259" s="242" t="str">
        <f t="shared" si="79"/>
        <v/>
      </c>
      <c r="J259" s="16" t="str">
        <f t="shared" si="79"/>
        <v/>
      </c>
      <c r="K259" s="232"/>
      <c r="L259" s="232"/>
      <c r="M259" s="232"/>
      <c r="N259" s="232"/>
      <c r="O259" s="232"/>
      <c r="P259" s="232"/>
      <c r="Q259" s="232"/>
      <c r="R259" s="232"/>
      <c r="S259" s="232"/>
      <c r="T259" s="232"/>
      <c r="U259" s="232"/>
      <c r="V259" s="232"/>
      <c r="W259" s="232"/>
      <c r="X259" s="232"/>
      <c r="Y259" s="232"/>
      <c r="Z259" s="233"/>
      <c r="AA259" s="235"/>
      <c r="AB259" s="235"/>
      <c r="AC259" s="235"/>
      <c r="AD259" s="235"/>
      <c r="AE259" s="235"/>
      <c r="AF259" s="235"/>
      <c r="AG259" s="236"/>
      <c r="AH259" s="232">
        <f t="shared" si="66"/>
        <v>77</v>
      </c>
      <c r="AI259" s="236" t="str">
        <f t="shared" si="67"/>
        <v/>
      </c>
      <c r="AJ259" s="232" t="str">
        <f t="shared" si="72"/>
        <v>{(U4)0x00004000U,</v>
      </c>
      <c r="AK259" s="232" t="str">
        <f t="shared" si="73"/>
        <v>(U4)0x400005d1U,</v>
      </c>
      <c r="AL259" s="232" t="str">
        <f t="shared" si="74"/>
        <v>(U4)0x400005d1U,</v>
      </c>
      <c r="AM259" s="232" t="str">
        <f t="shared" si="75"/>
        <v>(U2)32U,</v>
      </c>
      <c r="AN259" s="232" t="str">
        <f t="shared" si="76"/>
        <v>(U2)87U},</v>
      </c>
      <c r="AO259" s="232" t="str">
        <f t="shared" si="68"/>
        <v/>
      </c>
      <c r="AP259" s="232" t="str">
        <f t="shared" si="69"/>
        <v>/* 77 : AVN1SH2 = 0x400005d1 */</v>
      </c>
      <c r="AQ259" s="237"/>
    </row>
    <row r="260" spans="1:43">
      <c r="A260" s="15" t="str">
        <f t="shared" si="78"/>
        <v>AVN1SG6</v>
      </c>
      <c r="B260" s="15" t="str">
        <f t="shared" si="78"/>
        <v>60C</v>
      </c>
      <c r="C260" s="15" t="str">
        <f t="shared" si="78"/>
        <v>1</v>
      </c>
      <c r="D260" s="15">
        <f t="shared" si="78"/>
        <v>32</v>
      </c>
      <c r="E260" s="15">
        <f t="shared" si="78"/>
        <v>1000</v>
      </c>
      <c r="F260" s="15" t="str">
        <f t="shared" si="78"/>
        <v>0</v>
      </c>
      <c r="G260" s="16" t="str">
        <f t="shared" si="79"/>
        <v>T</v>
      </c>
      <c r="H260" s="16" t="str">
        <f t="shared" si="79"/>
        <v/>
      </c>
      <c r="I260" s="16" t="str">
        <f t="shared" si="79"/>
        <v/>
      </c>
      <c r="J260" s="16" t="str">
        <f t="shared" si="79"/>
        <v/>
      </c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89"/>
      <c r="AA260" s="18"/>
      <c r="AF260" s="18"/>
      <c r="AG260" s="96"/>
      <c r="AH260" s="6">
        <f t="shared" si="66"/>
        <v>78</v>
      </c>
      <c r="AI260" s="96" t="str">
        <f t="shared" si="67"/>
        <v/>
      </c>
      <c r="AJ260" s="6" t="str">
        <f t="shared" si="72"/>
        <v>{(U4)0x00000004U,</v>
      </c>
      <c r="AK260" s="6" t="str">
        <f t="shared" si="73"/>
        <v>(U4)0x4000060cU,</v>
      </c>
      <c r="AL260" s="6" t="str">
        <f t="shared" si="74"/>
        <v>(U4)0x4000060cU,</v>
      </c>
      <c r="AM260" s="6" t="str">
        <f t="shared" si="75"/>
        <v>(U2)32U,</v>
      </c>
      <c r="AN260" s="6" t="str">
        <f t="shared" si="76"/>
        <v>(U2)66U},</v>
      </c>
      <c r="AO260" s="6" t="str">
        <f t="shared" si="68"/>
        <v/>
      </c>
      <c r="AP260" s="6" t="str">
        <f t="shared" si="69"/>
        <v>/* 78 : AVN1SG6 = 0x4000060c */</v>
      </c>
    </row>
    <row r="261" spans="1:43">
      <c r="A261" s="15" t="str">
        <f t="shared" si="78"/>
        <v>MET1S02</v>
      </c>
      <c r="B261" s="15" t="str">
        <f t="shared" si="78"/>
        <v>611</v>
      </c>
      <c r="C261" s="15" t="str">
        <f t="shared" si="78"/>
        <v>1</v>
      </c>
      <c r="D261" s="15">
        <f t="shared" si="78"/>
        <v>8</v>
      </c>
      <c r="E261" s="15">
        <f t="shared" si="78"/>
        <v>1000</v>
      </c>
      <c r="F261" s="15" t="str">
        <f t="shared" si="78"/>
        <v>0</v>
      </c>
      <c r="G261" s="16" t="str">
        <f t="shared" si="79"/>
        <v>T</v>
      </c>
      <c r="H261" s="16" t="str">
        <f t="shared" si="79"/>
        <v/>
      </c>
      <c r="I261" s="16" t="str">
        <f t="shared" si="79"/>
        <v/>
      </c>
      <c r="J261" s="16" t="str">
        <f t="shared" si="79"/>
        <v/>
      </c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89"/>
      <c r="AA261" s="18"/>
      <c r="AF261" s="18"/>
      <c r="AG261" s="96"/>
      <c r="AH261" s="6">
        <f t="shared" si="66"/>
        <v>79</v>
      </c>
      <c r="AI261" s="96" t="str">
        <f t="shared" si="67"/>
        <v/>
      </c>
      <c r="AJ261" s="6" t="str">
        <f t="shared" si="72"/>
        <v>{(U4)0x00000004U,</v>
      </c>
      <c r="AK261" s="6" t="str">
        <f t="shared" si="73"/>
        <v>(U4)0x40000611U,</v>
      </c>
      <c r="AL261" s="6" t="str">
        <f t="shared" si="74"/>
        <v>(U4)0x40000615U,</v>
      </c>
      <c r="AM261" s="6" t="str">
        <f t="shared" si="75"/>
        <v>(U2)8U,</v>
      </c>
      <c r="AN261" s="6" t="str">
        <f t="shared" si="76"/>
        <v>(U2)66U},</v>
      </c>
      <c r="AO261" s="6" t="str">
        <f t="shared" si="68"/>
        <v/>
      </c>
      <c r="AP261" s="6" t="str">
        <f t="shared" si="69"/>
        <v>/* 79 : MET1S02 = 0x40000611 */</v>
      </c>
    </row>
    <row r="262" spans="1:43">
      <c r="A262" s="15" t="str">
        <f t="shared" si="78"/>
        <v>MET1S10</v>
      </c>
      <c r="B262" s="15" t="str">
        <f t="shared" si="78"/>
        <v>614</v>
      </c>
      <c r="C262" s="15" t="str">
        <f t="shared" si="78"/>
        <v>1</v>
      </c>
      <c r="D262" s="15">
        <f t="shared" si="78"/>
        <v>8</v>
      </c>
      <c r="E262" s="15">
        <f t="shared" si="78"/>
        <v>1000</v>
      </c>
      <c r="F262" s="15" t="str">
        <f t="shared" si="78"/>
        <v>0</v>
      </c>
      <c r="G262" s="16" t="str">
        <f t="shared" si="79"/>
        <v>T</v>
      </c>
      <c r="H262" s="16" t="str">
        <f t="shared" si="79"/>
        <v/>
      </c>
      <c r="I262" s="16" t="str">
        <f t="shared" si="79"/>
        <v/>
      </c>
      <c r="J262" s="16" t="str">
        <f t="shared" si="79"/>
        <v/>
      </c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89"/>
      <c r="AA262" s="18"/>
      <c r="AF262" s="18"/>
      <c r="AG262" s="96"/>
      <c r="AH262" s="6" t="str">
        <f t="shared" si="66"/>
        <v/>
      </c>
      <c r="AI262" s="96" t="str">
        <f t="shared" si="67"/>
        <v xml:space="preserve">/* </v>
      </c>
      <c r="AJ262" s="6" t="str">
        <f t="shared" si="72"/>
        <v>{(U4)0x00000004U,</v>
      </c>
      <c r="AK262" s="6" t="str">
        <f t="shared" si="73"/>
        <v>(U4)0x40000611U,</v>
      </c>
      <c r="AL262" s="6" t="str">
        <f t="shared" si="74"/>
        <v>(U4)0x40000615U,</v>
      </c>
      <c r="AM262" s="6" t="str">
        <f t="shared" si="75"/>
        <v>(U2)8U,</v>
      </c>
      <c r="AN262" s="6" t="str">
        <f t="shared" si="76"/>
        <v>(U2)66U},</v>
      </c>
      <c r="AO262" s="6" t="str">
        <f t="shared" si="68"/>
        <v xml:space="preserve"> */</v>
      </c>
      <c r="AP262" s="6" t="str">
        <f t="shared" si="69"/>
        <v>/*   : MET1S10 = 0x40000614 */</v>
      </c>
    </row>
    <row r="263" spans="1:43">
      <c r="A263" s="15" t="str">
        <f t="shared" si="78"/>
        <v>MET1S11</v>
      </c>
      <c r="B263" s="15" t="str">
        <f t="shared" si="78"/>
        <v>615</v>
      </c>
      <c r="C263" s="15" t="str">
        <f t="shared" si="78"/>
        <v>1</v>
      </c>
      <c r="D263" s="15">
        <f t="shared" si="78"/>
        <v>8</v>
      </c>
      <c r="E263" s="15">
        <f t="shared" si="78"/>
        <v>10000</v>
      </c>
      <c r="F263" s="15" t="str">
        <f t="shared" si="78"/>
        <v>0</v>
      </c>
      <c r="G263" s="16" t="str">
        <f t="shared" si="79"/>
        <v>T</v>
      </c>
      <c r="H263" s="16" t="str">
        <f t="shared" si="79"/>
        <v/>
      </c>
      <c r="I263" s="16" t="str">
        <f t="shared" si="79"/>
        <v/>
      </c>
      <c r="J263" s="16" t="str">
        <f t="shared" si="79"/>
        <v/>
      </c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89"/>
      <c r="AA263" s="18"/>
      <c r="AF263" s="18"/>
      <c r="AG263" s="96"/>
      <c r="AH263" s="6" t="str">
        <f t="shared" si="66"/>
        <v/>
      </c>
      <c r="AI263" s="96" t="str">
        <f t="shared" si="67"/>
        <v xml:space="preserve">/* </v>
      </c>
      <c r="AJ263" s="6" t="str">
        <f t="shared" si="72"/>
        <v>{(U4)0x00000004U,</v>
      </c>
      <c r="AK263" s="6" t="str">
        <f t="shared" si="73"/>
        <v>(U4)0x40000611U,</v>
      </c>
      <c r="AL263" s="6" t="str">
        <f t="shared" si="74"/>
        <v>(U4)0x40000615U,</v>
      </c>
      <c r="AM263" s="6" t="str">
        <f t="shared" si="75"/>
        <v>(U2)8U,</v>
      </c>
      <c r="AN263" s="6" t="str">
        <f t="shared" si="76"/>
        <v>(U2)66U},</v>
      </c>
      <c r="AO263" s="6" t="str">
        <f t="shared" si="68"/>
        <v xml:space="preserve"> */</v>
      </c>
      <c r="AP263" s="6" t="str">
        <f t="shared" si="69"/>
        <v>/*   : MET1S11 = 0x40000615 */</v>
      </c>
    </row>
    <row r="264" spans="1:43">
      <c r="A264" s="15" t="str">
        <f t="shared" ref="A264:F267" si="80">A132</f>
        <v>UDS/CAN</v>
      </c>
      <c r="B264" s="15" t="str">
        <f t="shared" si="80"/>
        <v>18DA0000</v>
      </c>
      <c r="C264" s="15">
        <f t="shared" si="80"/>
        <v>0</v>
      </c>
      <c r="D264" s="15">
        <f t="shared" si="80"/>
        <v>8</v>
      </c>
      <c r="E264" s="15">
        <f t="shared" si="80"/>
        <v>0</v>
      </c>
      <c r="F264" s="15">
        <f t="shared" si="80"/>
        <v>0</v>
      </c>
      <c r="G264" s="16" t="str">
        <f t="shared" ref="G264:J267" si="81">IF(G132&lt;&gt;"",G132,"")</f>
        <v>T</v>
      </c>
      <c r="H264" s="16" t="str">
        <f t="shared" si="81"/>
        <v/>
      </c>
      <c r="I264" s="16" t="str">
        <f t="shared" si="81"/>
        <v/>
      </c>
      <c r="J264" s="16" t="str">
        <f t="shared" si="81"/>
        <v/>
      </c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89"/>
      <c r="AA264" s="18"/>
      <c r="AF264" s="18"/>
      <c r="AG264" s="96"/>
      <c r="AH264" s="6">
        <f t="shared" ref="AH264:AH267" si="82">IF($AH132&lt;&gt;"",$AH132,"")</f>
        <v>80</v>
      </c>
      <c r="AI264" s="96" t="str">
        <f t="shared" ref="AI264:AI267" si="83">IF($AH132&lt;&gt;"","", "/* ")</f>
        <v/>
      </c>
      <c r="AJ264" s="6" t="str">
        <f>IF($AH132&lt;&gt;"","{(U4)0x"&amp;LOWER(DEC2HEX($U132*$U$3+$T132*$T$3+$V132*$V$3+$W132*$W$3+$Y132*$Y$3+K132*$K$3,8))&amp;"U,",#REF!)</f>
        <v>{(U4)0x00000020U,</v>
      </c>
      <c r="AK264" s="6" t="str">
        <f>IF($AH132&lt;&gt;"", "(U4)"&amp;LOWER($AL132)&amp;"U,",#REF!)</f>
        <v>(U4)0x98da0000U,</v>
      </c>
      <c r="AL264" s="6" t="str">
        <f>IF($AH132&lt;&gt;"", "(U4)"&amp;LOWER($AM132)&amp;"U,",#REF!)</f>
        <v>(U4)0x98dbffffU,</v>
      </c>
      <c r="AM264" s="6" t="str">
        <f xml:space="preserve"> IF($AH132&lt;&gt;"", "(U2)"&amp;$AN132&amp;"U,",#REF!)</f>
        <v>(U2)8U,</v>
      </c>
      <c r="AN264" s="6" t="str">
        <f xml:space="preserve"> IF($AH132&lt;&gt;"", "(U2)"&amp;$AA132*$Z$3&amp;"U},",#REF!)</f>
        <v>(U2)69U},</v>
      </c>
      <c r="AO264" s="6" t="str">
        <f t="shared" ref="AO264:AO267" si="84">IF($AH132&lt;&gt;"","", " */")</f>
        <v/>
      </c>
      <c r="AP264" s="6" t="str">
        <f t="shared" ref="AP264:AP267" si="85">"/* "&amp;IF($AH132&lt;&gt;"",$AH132," ")&amp;" : "&amp;A132&amp;" = "&amp;LOWER($AJ132)&amp;" */"</f>
        <v>/* 80 : UDS/CAN = 0x98da0000 */</v>
      </c>
    </row>
    <row r="265" spans="1:43">
      <c r="A265" s="15" t="str">
        <f t="shared" si="80"/>
        <v>UDS/CAN</v>
      </c>
      <c r="B265" s="15" t="str">
        <f t="shared" si="80"/>
        <v>18DBffff</v>
      </c>
      <c r="C265" s="15">
        <f t="shared" si="80"/>
        <v>0</v>
      </c>
      <c r="D265" s="15">
        <f t="shared" si="80"/>
        <v>8</v>
      </c>
      <c r="E265" s="15">
        <f t="shared" si="80"/>
        <v>0</v>
      </c>
      <c r="F265" s="15">
        <f t="shared" si="80"/>
        <v>0</v>
      </c>
      <c r="G265" s="16" t="str">
        <f t="shared" si="81"/>
        <v>T</v>
      </c>
      <c r="H265" s="16" t="str">
        <f t="shared" si="81"/>
        <v/>
      </c>
      <c r="I265" s="16" t="str">
        <f t="shared" si="81"/>
        <v/>
      </c>
      <c r="J265" s="16" t="str">
        <f t="shared" si="81"/>
        <v/>
      </c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89"/>
      <c r="AA265" s="18"/>
      <c r="AF265" s="18"/>
      <c r="AG265" s="96"/>
      <c r="AH265" s="6" t="str">
        <f t="shared" si="82"/>
        <v/>
      </c>
      <c r="AI265" s="96" t="str">
        <f t="shared" si="83"/>
        <v xml:space="preserve">/* </v>
      </c>
      <c r="AJ265" s="6" t="str">
        <f>IF($AH133&lt;&gt;"","{(U4)0x"&amp;LOWER(DEC2HEX($U133*$U$3+$T133*$T$3+$V133*$V$3+$W133*$W$3+$Y133*$Y$3+K133*$K$3,8))&amp;"U,",AJ264)</f>
        <v>{(U4)0x00000020U,</v>
      </c>
      <c r="AK265" s="6" t="str">
        <f>IF($AH133&lt;&gt;"", "(U4)"&amp;LOWER($AL133)&amp;"U,",AK264)</f>
        <v>(U4)0x98da0000U,</v>
      </c>
      <c r="AL265" s="6" t="str">
        <f>IF($AH133&lt;&gt;"", "(U4)"&amp;LOWER($AM133)&amp;"U,",AL264)</f>
        <v>(U4)0x98dbffffU,</v>
      </c>
      <c r="AM265" s="6" t="str">
        <f xml:space="preserve"> IF($AH133&lt;&gt;"", "(U2)"&amp;$AN133&amp;"U,",AM264)</f>
        <v>(U2)8U,</v>
      </c>
      <c r="AN265" s="6" t="str">
        <f xml:space="preserve"> IF($AH133&lt;&gt;"", "(U2)"&amp;$AA133*$Z$3&amp;"U},",AN264)</f>
        <v>(U2)69U},</v>
      </c>
      <c r="AO265" s="6" t="str">
        <f t="shared" si="84"/>
        <v xml:space="preserve"> */</v>
      </c>
      <c r="AP265" s="6" t="str">
        <f t="shared" si="85"/>
        <v>/*   : UDS/CAN = 0x98dbffff */</v>
      </c>
    </row>
    <row r="266" spans="1:43">
      <c r="A266" s="15" t="str">
        <f t="shared" si="80"/>
        <v>UDS/CAN-FD</v>
      </c>
      <c r="B266" s="15" t="str">
        <f t="shared" si="80"/>
        <v>18DA0000</v>
      </c>
      <c r="C266" s="15">
        <f t="shared" si="80"/>
        <v>1</v>
      </c>
      <c r="D266" s="15">
        <f t="shared" si="80"/>
        <v>8</v>
      </c>
      <c r="E266" s="15">
        <f t="shared" si="80"/>
        <v>0</v>
      </c>
      <c r="F266" s="15">
        <f t="shared" si="80"/>
        <v>0</v>
      </c>
      <c r="G266" s="16" t="str">
        <f t="shared" si="81"/>
        <v>T</v>
      </c>
      <c r="H266" s="16" t="str">
        <f t="shared" si="81"/>
        <v/>
      </c>
      <c r="I266" s="16" t="str">
        <f t="shared" si="81"/>
        <v/>
      </c>
      <c r="J266" s="16" t="str">
        <f t="shared" si="81"/>
        <v/>
      </c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89"/>
      <c r="AA266" s="18"/>
      <c r="AF266" s="18"/>
      <c r="AG266" s="96"/>
      <c r="AH266" s="6">
        <f t="shared" si="82"/>
        <v>81</v>
      </c>
      <c r="AI266" s="96" t="str">
        <f t="shared" si="83"/>
        <v/>
      </c>
      <c r="AJ266" s="6" t="str">
        <f>IF($AH134&lt;&gt;"","{(U4)0x"&amp;LOWER(DEC2HEX($U134*$U$3+$T134*$T$3+$V134*$V$3+$W134*$W$3+$Y134*$Y$3+K134*$K$3,8))&amp;"U,",AJ265)</f>
        <v>{(U4)0x00000020U,</v>
      </c>
      <c r="AK266" s="6" t="str">
        <f>IF($AH134&lt;&gt;"", "(U4)"&amp;LOWER($AL134)&amp;"U,",AK265)</f>
        <v>(U4)0xd8da0000U,</v>
      </c>
      <c r="AL266" s="6" t="str">
        <f>IF($AH134&lt;&gt;"", "(U4)"&amp;LOWER($AM134)&amp;"U,",AL265)</f>
        <v>(U4)0xd8dbffffU,</v>
      </c>
      <c r="AM266" s="6" t="str">
        <f xml:space="preserve"> IF($AH134&lt;&gt;"", "(U2)"&amp;$AN134&amp;"U,",AM265)</f>
        <v>(U2)8U,</v>
      </c>
      <c r="AN266" s="6" t="str">
        <f xml:space="preserve"> IF($AH134&lt;&gt;"", "(U2)"&amp;$AA134*$Z$3&amp;"U},",AN265)</f>
        <v>(U2)69U},</v>
      </c>
      <c r="AO266" s="6" t="str">
        <f t="shared" si="84"/>
        <v/>
      </c>
      <c r="AP266" s="6" t="str">
        <f t="shared" si="85"/>
        <v>/* 81 : UDS/CAN-FD = 0xd8da0000 */</v>
      </c>
    </row>
    <row r="267" spans="1:43">
      <c r="A267" s="15" t="str">
        <f t="shared" si="80"/>
        <v>UDS/CAN-FD</v>
      </c>
      <c r="B267" s="15" t="str">
        <f t="shared" si="80"/>
        <v>18DBffff</v>
      </c>
      <c r="C267" s="15">
        <f t="shared" si="80"/>
        <v>1</v>
      </c>
      <c r="D267" s="15">
        <f t="shared" si="80"/>
        <v>8</v>
      </c>
      <c r="E267" s="15">
        <f t="shared" si="80"/>
        <v>0</v>
      </c>
      <c r="F267" s="15">
        <f t="shared" si="80"/>
        <v>0</v>
      </c>
      <c r="G267" s="16" t="str">
        <f t="shared" si="81"/>
        <v>T</v>
      </c>
      <c r="H267" s="16" t="str">
        <f t="shared" si="81"/>
        <v/>
      </c>
      <c r="I267" s="16" t="str">
        <f t="shared" si="81"/>
        <v/>
      </c>
      <c r="J267" s="16" t="str">
        <f t="shared" si="81"/>
        <v/>
      </c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89"/>
      <c r="AA267" s="18"/>
      <c r="AF267" s="18"/>
      <c r="AG267" s="96"/>
      <c r="AH267" s="6" t="str">
        <f t="shared" si="82"/>
        <v/>
      </c>
      <c r="AI267" s="96" t="str">
        <f t="shared" si="83"/>
        <v xml:space="preserve">/* </v>
      </c>
      <c r="AJ267" s="6" t="str">
        <f>IF($AH135&lt;&gt;"","{(U4)0x"&amp;LOWER(DEC2HEX($U135*$U$3+$T135*$T$3+$V135*$V$3+$W135*$W$3+$Y135*$Y$3+K135*$K$3,8))&amp;"U,",AJ266)</f>
        <v>{(U4)0x00000020U,</v>
      </c>
      <c r="AK267" s="6" t="str">
        <f>IF($AH135&lt;&gt;"", "(U4)"&amp;LOWER($AL135)&amp;"U,",AK266)</f>
        <v>(U4)0xd8da0000U,</v>
      </c>
      <c r="AL267" s="6" t="str">
        <f>IF($AH135&lt;&gt;"", "(U4)"&amp;LOWER($AM135)&amp;"U,",AL266)</f>
        <v>(U4)0xd8dbffffU,</v>
      </c>
      <c r="AM267" s="6" t="str">
        <f xml:space="preserve"> IF($AH135&lt;&gt;"", "(U2)"&amp;$AN135&amp;"U,",AM266)</f>
        <v>(U2)8U,</v>
      </c>
      <c r="AN267" s="6" t="str">
        <f xml:space="preserve"> IF($AH135&lt;&gt;"", "(U2)"&amp;$AA135*$Z$3&amp;"U},",AN266)</f>
        <v>(U2)69U},</v>
      </c>
      <c r="AO267" s="6" t="str">
        <f t="shared" si="84"/>
        <v xml:space="preserve"> */</v>
      </c>
      <c r="AP267" s="6" t="str">
        <f t="shared" si="85"/>
        <v>/*   : UDS/CAN-FD = 0xd8dbffff */</v>
      </c>
    </row>
    <row r="268" spans="1:43">
      <c r="A268" s="15" t="s">
        <v>776</v>
      </c>
      <c r="B268" s="15" t="s">
        <v>776</v>
      </c>
      <c r="C268" s="15" t="s">
        <v>776</v>
      </c>
      <c r="D268" s="15" t="s">
        <v>776</v>
      </c>
      <c r="E268" s="15" t="s">
        <v>776</v>
      </c>
      <c r="F268" s="15" t="s">
        <v>776</v>
      </c>
      <c r="G268" s="15" t="s">
        <v>776</v>
      </c>
      <c r="H268" s="15" t="s">
        <v>776</v>
      </c>
      <c r="I268" s="15" t="s">
        <v>776</v>
      </c>
      <c r="J268" s="15" t="s">
        <v>776</v>
      </c>
      <c r="K268" s="6" t="s">
        <v>1154</v>
      </c>
      <c r="L268" s="6" t="s">
        <v>1154</v>
      </c>
      <c r="M268" s="6" t="s">
        <v>1154</v>
      </c>
      <c r="N268" s="6" t="s">
        <v>1154</v>
      </c>
      <c r="O268" s="6" t="s">
        <v>1154</v>
      </c>
      <c r="P268" s="6" t="s">
        <v>1154</v>
      </c>
      <c r="Q268" s="6" t="s">
        <v>1154</v>
      </c>
      <c r="R268" s="6" t="s">
        <v>1154</v>
      </c>
      <c r="S268" s="6" t="s">
        <v>1154</v>
      </c>
      <c r="T268" s="6" t="s">
        <v>1154</v>
      </c>
      <c r="U268" s="6" t="s">
        <v>1154</v>
      </c>
      <c r="V268" s="6" t="s">
        <v>1154</v>
      </c>
      <c r="W268" s="6" t="s">
        <v>1154</v>
      </c>
      <c r="X268" s="6" t="s">
        <v>1154</v>
      </c>
      <c r="Y268" s="6" t="s">
        <v>1154</v>
      </c>
      <c r="Z268" s="89" t="s">
        <v>1154</v>
      </c>
      <c r="AA268" s="15" t="s">
        <v>1154</v>
      </c>
      <c r="AB268" s="15" t="s">
        <v>776</v>
      </c>
      <c r="AC268" s="15" t="s">
        <v>776</v>
      </c>
      <c r="AD268" s="86" t="s">
        <v>776</v>
      </c>
      <c r="AE268" s="86"/>
      <c r="AF268" s="86" t="s">
        <v>776</v>
      </c>
      <c r="AG268" s="100" t="s">
        <v>776</v>
      </c>
      <c r="AH268" s="15" t="s">
        <v>776</v>
      </c>
      <c r="AI268" s="100" t="s">
        <v>776</v>
      </c>
      <c r="AJ268" s="15" t="s">
        <v>776</v>
      </c>
      <c r="AK268" s="15" t="s">
        <v>776</v>
      </c>
      <c r="AL268" s="15" t="s">
        <v>776</v>
      </c>
      <c r="AM268" s="15" t="s">
        <v>776</v>
      </c>
      <c r="AN268" s="15"/>
      <c r="AO268" s="15" t="s">
        <v>776</v>
      </c>
      <c r="AP268" s="15" t="s">
        <v>776</v>
      </c>
    </row>
    <row r="269" spans="1:43">
      <c r="A269" s="15"/>
      <c r="B269" s="15"/>
      <c r="C269" s="15"/>
      <c r="D269" s="15"/>
      <c r="E269" s="15"/>
      <c r="F269" s="15"/>
      <c r="G269" s="16"/>
      <c r="H269" s="16"/>
      <c r="I269" s="16"/>
    </row>
    <row r="270" spans="1:43">
      <c r="A270" s="15"/>
      <c r="B270" s="15"/>
      <c r="C270" s="15"/>
      <c r="D270" s="15"/>
      <c r="E270" s="15"/>
      <c r="F270" s="15"/>
      <c r="G270" s="16"/>
      <c r="H270" s="16"/>
      <c r="I270" s="16"/>
    </row>
    <row r="271" spans="1:43">
      <c r="A271" s="15"/>
      <c r="B271" s="15"/>
      <c r="C271" s="15"/>
      <c r="D271" s="15"/>
      <c r="E271" s="15"/>
      <c r="F271" s="15"/>
      <c r="G271" s="16"/>
      <c r="H271" s="16"/>
      <c r="I271" s="16"/>
    </row>
    <row r="272" spans="1:43">
      <c r="A272" s="15"/>
      <c r="B272" s="15"/>
      <c r="C272" s="15"/>
      <c r="D272" s="15"/>
      <c r="E272" s="15"/>
      <c r="F272" s="15"/>
      <c r="G272" s="16"/>
      <c r="H272" s="16"/>
      <c r="I272" s="16"/>
    </row>
    <row r="273" spans="1:9">
      <c r="A273" s="15"/>
      <c r="B273" s="15"/>
      <c r="C273" s="15"/>
      <c r="D273" s="15"/>
      <c r="E273" s="15"/>
      <c r="F273" s="15"/>
      <c r="G273" s="16"/>
      <c r="H273" s="16"/>
      <c r="I273" s="16"/>
    </row>
    <row r="274" spans="1:9">
      <c r="A274" s="15"/>
      <c r="B274" s="15"/>
      <c r="C274" s="15"/>
      <c r="D274" s="15"/>
      <c r="E274" s="15"/>
      <c r="F274" s="15"/>
      <c r="G274" s="16"/>
      <c r="H274" s="16"/>
      <c r="I274" s="16"/>
    </row>
    <row r="275" spans="1:9">
      <c r="A275" s="15"/>
      <c r="B275" s="15"/>
      <c r="C275" s="15"/>
      <c r="D275" s="15"/>
      <c r="E275" s="15"/>
      <c r="F275" s="15"/>
      <c r="G275" s="16"/>
      <c r="H275" s="16"/>
      <c r="I275" s="16"/>
    </row>
    <row r="276" spans="1:9">
      <c r="A276" s="15"/>
      <c r="B276" s="15"/>
      <c r="C276" s="15"/>
      <c r="D276" s="15"/>
      <c r="E276" s="15"/>
      <c r="F276" s="15"/>
      <c r="G276" s="16"/>
      <c r="H276" s="16"/>
      <c r="I276" s="16"/>
    </row>
    <row r="277" spans="1:9">
      <c r="A277" s="15"/>
      <c r="B277" s="15"/>
      <c r="C277" s="15"/>
      <c r="D277" s="15"/>
      <c r="E277" s="15"/>
      <c r="F277" s="15"/>
      <c r="G277" s="16"/>
      <c r="H277" s="16"/>
      <c r="I277" s="16"/>
    </row>
    <row r="278" spans="1:9">
      <c r="A278" s="15"/>
      <c r="B278" s="15"/>
      <c r="C278" s="15"/>
      <c r="D278" s="15"/>
      <c r="E278" s="15"/>
      <c r="F278" s="15"/>
      <c r="G278" s="16"/>
      <c r="H278" s="16"/>
      <c r="I278" s="16"/>
    </row>
    <row r="279" spans="1:9">
      <c r="A279" s="15"/>
      <c r="B279" s="15"/>
      <c r="C279" s="15"/>
      <c r="D279" s="15"/>
      <c r="E279" s="15"/>
      <c r="F279" s="15"/>
      <c r="G279" s="16"/>
      <c r="H279" s="16"/>
      <c r="I279" s="16"/>
    </row>
    <row r="280" spans="1:9">
      <c r="A280" s="15"/>
      <c r="B280" s="15"/>
      <c r="C280" s="15"/>
      <c r="D280" s="15"/>
      <c r="E280" s="15"/>
      <c r="F280" s="15"/>
      <c r="G280" s="16"/>
      <c r="H280" s="16"/>
      <c r="I280" s="16"/>
    </row>
    <row r="281" spans="1:9">
      <c r="A281" s="15"/>
      <c r="B281" s="15"/>
      <c r="C281" s="15"/>
      <c r="D281" s="15"/>
      <c r="E281" s="15"/>
      <c r="F281" s="15"/>
      <c r="G281" s="16"/>
      <c r="H281" s="16"/>
      <c r="I281" s="16"/>
    </row>
    <row r="282" spans="1:9">
      <c r="A282" s="15"/>
      <c r="B282" s="15"/>
      <c r="C282" s="15"/>
      <c r="D282" s="15"/>
      <c r="E282" s="15"/>
      <c r="F282" s="15"/>
      <c r="G282" s="16"/>
      <c r="H282" s="16"/>
      <c r="I282" s="16"/>
    </row>
    <row r="283" spans="1:9">
      <c r="A283" s="15"/>
      <c r="B283" s="15"/>
      <c r="C283" s="15"/>
      <c r="D283" s="15"/>
      <c r="E283" s="15"/>
      <c r="F283" s="15"/>
      <c r="G283" s="16"/>
      <c r="H283" s="16"/>
      <c r="I283" s="16"/>
    </row>
    <row r="284" spans="1:9">
      <c r="A284" s="15"/>
      <c r="B284" s="15"/>
      <c r="C284" s="15"/>
      <c r="D284" s="15"/>
      <c r="E284" s="15"/>
      <c r="F284" s="15"/>
      <c r="G284" s="16"/>
      <c r="H284" s="16"/>
      <c r="I284" s="16"/>
    </row>
    <row r="285" spans="1:9">
      <c r="A285" s="15"/>
      <c r="B285" s="15"/>
      <c r="C285" s="15"/>
      <c r="D285" s="15"/>
      <c r="E285" s="15"/>
      <c r="F285" s="15"/>
      <c r="G285" s="16"/>
      <c r="H285" s="16"/>
      <c r="I285" s="16"/>
    </row>
    <row r="286" spans="1:9">
      <c r="A286" s="15"/>
      <c r="B286" s="15"/>
      <c r="C286" s="15"/>
      <c r="D286" s="15"/>
      <c r="E286" s="15"/>
      <c r="F286" s="15"/>
      <c r="G286" s="16"/>
      <c r="H286" s="16"/>
      <c r="I286" s="16"/>
    </row>
    <row r="287" spans="1:9">
      <c r="A287" s="15"/>
      <c r="B287" s="15"/>
      <c r="C287" s="15"/>
      <c r="D287" s="15"/>
      <c r="E287" s="15"/>
      <c r="F287" s="15"/>
      <c r="G287" s="16"/>
      <c r="H287" s="16"/>
      <c r="I287" s="16"/>
    </row>
    <row r="288" spans="1:9">
      <c r="A288" s="15"/>
      <c r="B288" s="15"/>
      <c r="C288" s="15"/>
      <c r="D288" s="15"/>
      <c r="E288" s="15"/>
      <c r="F288" s="15"/>
      <c r="G288" s="16"/>
      <c r="H288" s="16"/>
      <c r="I288" s="16"/>
    </row>
    <row r="289" spans="1:9">
      <c r="A289" s="15"/>
      <c r="B289" s="15"/>
      <c r="C289" s="15"/>
      <c r="D289" s="15"/>
      <c r="E289" s="15"/>
      <c r="F289" s="15"/>
      <c r="G289" s="16"/>
      <c r="H289" s="16"/>
      <c r="I289" s="16"/>
    </row>
    <row r="290" spans="1:9">
      <c r="A290" s="15"/>
      <c r="B290" s="15"/>
      <c r="C290" s="15"/>
      <c r="D290" s="15"/>
      <c r="E290" s="15"/>
      <c r="F290" s="15"/>
      <c r="G290" s="16"/>
      <c r="H290" s="16"/>
      <c r="I290" s="16"/>
    </row>
    <row r="291" spans="1:9">
      <c r="A291" s="15"/>
      <c r="B291" s="15"/>
      <c r="C291" s="15"/>
      <c r="D291" s="15"/>
      <c r="E291" s="15"/>
      <c r="F291" s="15"/>
      <c r="G291" s="16"/>
      <c r="H291" s="16"/>
      <c r="I291" s="16"/>
    </row>
    <row r="292" spans="1:9">
      <c r="A292" s="15"/>
      <c r="B292" s="15"/>
      <c r="C292" s="15"/>
      <c r="D292" s="15"/>
      <c r="E292" s="15"/>
      <c r="F292" s="15"/>
      <c r="G292" s="16"/>
      <c r="H292" s="16"/>
      <c r="I292" s="16"/>
    </row>
    <row r="293" spans="1:9">
      <c r="A293" s="15"/>
      <c r="B293" s="15"/>
      <c r="C293" s="15"/>
      <c r="D293" s="15"/>
      <c r="E293" s="15"/>
      <c r="F293" s="15"/>
      <c r="G293" s="16"/>
      <c r="H293" s="16"/>
      <c r="I293" s="16"/>
    </row>
    <row r="294" spans="1:9">
      <c r="A294" s="15"/>
      <c r="B294" s="15"/>
      <c r="C294" s="15"/>
      <c r="D294" s="15"/>
      <c r="E294" s="15"/>
      <c r="F294" s="15"/>
      <c r="G294" s="16"/>
      <c r="H294" s="16"/>
      <c r="I294" s="16"/>
    </row>
    <row r="295" spans="1:9">
      <c r="A295" s="15"/>
      <c r="B295" s="15"/>
      <c r="C295" s="15"/>
      <c r="D295" s="15"/>
      <c r="E295" s="15"/>
      <c r="F295" s="15"/>
      <c r="G295" s="16"/>
      <c r="H295" s="16"/>
      <c r="I295" s="16"/>
    </row>
    <row r="296" spans="1:9">
      <c r="A296" s="15"/>
      <c r="B296" s="15"/>
      <c r="C296" s="15"/>
      <c r="D296" s="15"/>
      <c r="E296" s="15"/>
      <c r="F296" s="15"/>
      <c r="G296" s="16"/>
      <c r="H296" s="16"/>
      <c r="I296" s="16"/>
    </row>
    <row r="297" spans="1:9">
      <c r="A297" s="15"/>
      <c r="B297" s="15"/>
      <c r="C297" s="15"/>
      <c r="D297" s="15"/>
      <c r="E297" s="15"/>
      <c r="F297" s="15"/>
      <c r="G297" s="16"/>
      <c r="H297" s="16"/>
      <c r="I297" s="16"/>
    </row>
    <row r="298" spans="1:9">
      <c r="A298" s="15"/>
      <c r="B298" s="15"/>
      <c r="C298" s="15"/>
      <c r="D298" s="15"/>
      <c r="E298" s="15"/>
      <c r="F298" s="15"/>
      <c r="G298" s="16"/>
      <c r="H298" s="16"/>
      <c r="I298" s="16"/>
    </row>
    <row r="299" spans="1:9">
      <c r="A299" s="15"/>
      <c r="B299" s="15"/>
      <c r="C299" s="15"/>
      <c r="D299" s="15"/>
      <c r="E299" s="15"/>
      <c r="F299" s="15"/>
      <c r="G299" s="16"/>
      <c r="H299" s="16"/>
      <c r="I299" s="16"/>
    </row>
    <row r="300" spans="1:9">
      <c r="A300" s="15"/>
      <c r="B300" s="15"/>
      <c r="C300" s="15"/>
      <c r="D300" s="15"/>
      <c r="E300" s="15"/>
      <c r="F300" s="15"/>
      <c r="G300" s="16"/>
      <c r="H300" s="16"/>
      <c r="I300" s="16"/>
    </row>
    <row r="301" spans="1:9">
      <c r="A301" s="15"/>
      <c r="B301" s="15"/>
      <c r="C301" s="15"/>
      <c r="D301" s="15"/>
      <c r="E301" s="15"/>
      <c r="F301" s="15"/>
      <c r="G301" s="16"/>
      <c r="H301" s="16"/>
      <c r="I301" s="16"/>
    </row>
    <row r="302" spans="1:9">
      <c r="A302" s="15"/>
      <c r="B302" s="15"/>
      <c r="C302" s="15"/>
      <c r="D302" s="15"/>
      <c r="E302" s="15"/>
      <c r="F302" s="15"/>
      <c r="G302" s="16"/>
      <c r="H302" s="16"/>
      <c r="I302" s="16"/>
    </row>
    <row r="303" spans="1:9">
      <c r="A303" s="15"/>
      <c r="B303" s="15"/>
      <c r="C303" s="15"/>
      <c r="D303" s="15"/>
      <c r="E303" s="15"/>
      <c r="F303" s="15"/>
      <c r="G303" s="16"/>
      <c r="H303" s="16"/>
      <c r="I303" s="16"/>
    </row>
    <row r="304" spans="1:9">
      <c r="A304" s="15"/>
      <c r="B304" s="15"/>
      <c r="C304" s="15"/>
      <c r="D304" s="15"/>
      <c r="E304" s="15"/>
      <c r="F304" s="15"/>
      <c r="G304" s="16"/>
      <c r="H304" s="16"/>
      <c r="I304" s="16"/>
    </row>
    <row r="305" spans="1:9">
      <c r="A305" s="15"/>
      <c r="B305" s="15"/>
      <c r="C305" s="15"/>
      <c r="D305" s="15"/>
      <c r="E305" s="15"/>
      <c r="F305" s="15"/>
      <c r="G305" s="16"/>
      <c r="H305" s="16"/>
      <c r="I305" s="16"/>
    </row>
    <row r="306" spans="1:9">
      <c r="A306" s="15"/>
      <c r="B306" s="15"/>
      <c r="C306" s="15"/>
      <c r="D306" s="15"/>
      <c r="E306" s="15"/>
      <c r="F306" s="15"/>
      <c r="G306" s="16"/>
      <c r="H306" s="16"/>
      <c r="I306" s="16"/>
    </row>
    <row r="307" spans="1:9">
      <c r="A307" s="15"/>
      <c r="B307" s="15"/>
      <c r="C307" s="15"/>
      <c r="D307" s="15"/>
      <c r="E307" s="15"/>
      <c r="F307" s="15"/>
      <c r="G307" s="16"/>
      <c r="H307" s="16"/>
      <c r="I307" s="16"/>
    </row>
    <row r="308" spans="1:9">
      <c r="A308" s="15"/>
      <c r="B308" s="15"/>
      <c r="C308" s="15"/>
      <c r="D308" s="15"/>
      <c r="E308" s="15"/>
      <c r="F308" s="15"/>
      <c r="G308" s="16"/>
      <c r="H308" s="16"/>
      <c r="I308" s="16"/>
    </row>
    <row r="309" spans="1:9">
      <c r="A309" s="15"/>
      <c r="B309" s="15"/>
      <c r="C309" s="15"/>
      <c r="D309" s="15"/>
      <c r="E309" s="15"/>
      <c r="F309" s="15"/>
      <c r="G309" s="16"/>
      <c r="H309" s="16"/>
      <c r="I309" s="16"/>
    </row>
    <row r="470" spans="11:26"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</sheetData>
  <autoFilter ref="A5:AP268" xr:uid="{8F9B5431-7A96-4EC9-A63C-006BD2FA71BF}"/>
  <phoneticPr fontId="4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AD7D6-098F-4336-B19D-2FA49A34DAA2}">
  <sheetPr codeName="Sheet11"/>
  <dimension ref="A1:AN482"/>
  <sheetViews>
    <sheetView workbookViewId="0">
      <pane ySplit="5" topLeftCell="A6" activePane="bottomLeft" state="frozen"/>
      <selection pane="bottomLeft"/>
    </sheetView>
  </sheetViews>
  <sheetFormatPr defaultRowHeight="15" outlineLevelCol="1"/>
  <cols>
    <col min="1" max="1" width="11.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3.375" style="11" bestFit="1" customWidth="1"/>
    <col min="10" max="10" width="2.75" style="23" bestFit="1" customWidth="1"/>
    <col min="11" max="25" width="3.625" style="38" customWidth="1"/>
    <col min="26" max="26" width="62" style="38" bestFit="1" customWidth="1" outlineLevel="1"/>
    <col min="27" max="27" width="11.25" style="38" customWidth="1" outlineLevel="1"/>
    <col min="28" max="31" width="4.625" style="38" customWidth="1" outlineLevel="1"/>
    <col min="32" max="33" width="6.625" style="6" customWidth="1"/>
    <col min="34" max="34" width="20.625" style="6" customWidth="1"/>
    <col min="35" max="38" width="20.625" style="6" customWidth="1" outlineLevel="1"/>
    <col min="39" max="39" width="2.875" style="6" customWidth="1" outlineLevel="1"/>
    <col min="40" max="40" width="37.125" style="6" customWidth="1" outlineLevel="1"/>
  </cols>
  <sheetData>
    <row r="1" spans="1:40">
      <c r="A1" s="48" t="s">
        <v>2</v>
      </c>
      <c r="B1" s="49"/>
      <c r="C1" s="49"/>
      <c r="D1" s="49"/>
      <c r="E1" s="49"/>
      <c r="F1" s="49"/>
      <c r="G1" s="50"/>
      <c r="H1" s="50"/>
      <c r="I1" s="51"/>
      <c r="J1" s="5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AE1" s="96"/>
      <c r="AG1" s="96"/>
    </row>
    <row r="2" spans="1:40">
      <c r="A2" s="52"/>
      <c r="B2" s="53"/>
      <c r="C2" s="53"/>
      <c r="D2" s="53"/>
      <c r="E2" s="53"/>
      <c r="F2" s="53"/>
      <c r="G2" s="54"/>
      <c r="H2" s="54"/>
      <c r="I2" s="55"/>
      <c r="J2" s="5"/>
      <c r="K2" s="6">
        <f t="shared" ref="K2" si="1">MAX(K6:K243)</f>
        <v>0</v>
      </c>
      <c r="L2" s="6">
        <f t="shared" ref="L2:W2" si="2">MAX(L6:L243)</f>
        <v>0</v>
      </c>
      <c r="M2" s="6">
        <f t="shared" si="2"/>
        <v>0</v>
      </c>
      <c r="N2" s="6">
        <f t="shared" si="2"/>
        <v>1</v>
      </c>
      <c r="O2" s="6">
        <f t="shared" si="2"/>
        <v>0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0</v>
      </c>
      <c r="U2" s="6">
        <f t="shared" si="2"/>
        <v>0</v>
      </c>
      <c r="V2" s="6">
        <f t="shared" si="2"/>
        <v>0</v>
      </c>
      <c r="W2" s="6">
        <f t="shared" si="2"/>
        <v>0</v>
      </c>
      <c r="X2" s="90">
        <f>SUM(K2:W2)</f>
        <v>1</v>
      </c>
      <c r="Z2" s="38" t="s">
        <v>749</v>
      </c>
      <c r="AE2" s="96"/>
      <c r="AG2" s="96"/>
    </row>
    <row r="3" spans="1:40" ht="31.5">
      <c r="A3" s="47" t="s">
        <v>7</v>
      </c>
      <c r="B3" s="47" t="s">
        <v>7</v>
      </c>
      <c r="C3" s="47"/>
      <c r="D3" s="47" t="s">
        <v>7</v>
      </c>
      <c r="E3" s="47" t="s">
        <v>7</v>
      </c>
      <c r="F3" s="47"/>
      <c r="G3" s="68" t="s">
        <v>8</v>
      </c>
      <c r="H3" s="69" t="s">
        <v>9</v>
      </c>
      <c r="I3" s="68" t="s">
        <v>10</v>
      </c>
      <c r="J3" s="5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91">
        <v>1</v>
      </c>
      <c r="Y3" s="59"/>
      <c r="Z3" s="38" t="s">
        <v>750</v>
      </c>
      <c r="AD3" s="59"/>
      <c r="AE3" s="97"/>
      <c r="AG3" s="96"/>
    </row>
    <row r="4" spans="1:40" ht="177.75">
      <c r="A4" s="46" t="s">
        <v>13</v>
      </c>
      <c r="B4" s="46" t="s">
        <v>12</v>
      </c>
      <c r="C4" s="46" t="s">
        <v>14</v>
      </c>
      <c r="D4" s="46" t="s">
        <v>15</v>
      </c>
      <c r="E4" s="46" t="s">
        <v>16</v>
      </c>
      <c r="F4" s="46" t="s">
        <v>17</v>
      </c>
      <c r="G4" s="40" t="s">
        <v>18</v>
      </c>
      <c r="H4" s="41" t="s">
        <v>18</v>
      </c>
      <c r="I4" s="40" t="s">
        <v>18</v>
      </c>
      <c r="J4" s="5"/>
      <c r="K4" s="17" t="s">
        <v>753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92" t="s">
        <v>766</v>
      </c>
      <c r="Y4" s="60" t="s">
        <v>767</v>
      </c>
      <c r="Z4" s="60" t="s">
        <v>756</v>
      </c>
      <c r="AA4" s="60"/>
      <c r="AB4" s="60"/>
      <c r="AC4" s="60"/>
      <c r="AD4" s="60"/>
      <c r="AE4" s="98"/>
      <c r="AF4" s="107" t="s">
        <v>769</v>
      </c>
      <c r="AG4" s="108" t="s">
        <v>770</v>
      </c>
      <c r="AH4" s="19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  <c r="AM4" s="12"/>
      <c r="AN4" s="12"/>
    </row>
    <row r="5" spans="1:40" s="75" customFormat="1" ht="33.75" customHeight="1">
      <c r="A5" s="42"/>
      <c r="B5" s="43" t="s">
        <v>21</v>
      </c>
      <c r="C5" s="43" t="s">
        <v>22</v>
      </c>
      <c r="D5" s="43" t="s">
        <v>23</v>
      </c>
      <c r="E5" s="43" t="s">
        <v>24</v>
      </c>
      <c r="F5" s="43" t="s">
        <v>22</v>
      </c>
      <c r="G5" s="44"/>
      <c r="H5" s="45"/>
      <c r="I5" s="44"/>
      <c r="J5" s="20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95" t="s">
        <v>776</v>
      </c>
      <c r="Y5" s="86" t="s">
        <v>776</v>
      </c>
      <c r="Z5" s="86" t="s">
        <v>776</v>
      </c>
      <c r="AA5" s="86" t="s">
        <v>776</v>
      </c>
      <c r="AB5" s="86" t="s">
        <v>776</v>
      </c>
      <c r="AC5" s="86" t="s">
        <v>776</v>
      </c>
      <c r="AD5" s="86" t="s">
        <v>776</v>
      </c>
      <c r="AE5" s="99" t="s">
        <v>776</v>
      </c>
      <c r="AF5" s="21" t="s">
        <v>776</v>
      </c>
      <c r="AG5" s="99" t="s">
        <v>776</v>
      </c>
      <c r="AH5" s="21" t="s">
        <v>776</v>
      </c>
      <c r="AI5" s="21" t="s">
        <v>776</v>
      </c>
      <c r="AJ5" s="21" t="s">
        <v>776</v>
      </c>
      <c r="AK5" s="21" t="s">
        <v>776</v>
      </c>
      <c r="AL5" s="21"/>
      <c r="AM5" s="21"/>
      <c r="AN5" s="21"/>
    </row>
    <row r="6" spans="1:40">
      <c r="A6" s="7" t="s">
        <v>790</v>
      </c>
      <c r="B6" s="7" t="s">
        <v>175</v>
      </c>
      <c r="C6" s="7" t="s">
        <v>29</v>
      </c>
      <c r="D6" s="7">
        <v>64</v>
      </c>
      <c r="E6" s="7">
        <v>1000</v>
      </c>
      <c r="F6" s="7" t="s">
        <v>29</v>
      </c>
      <c r="G6" s="7" t="s">
        <v>32</v>
      </c>
      <c r="H6" s="7"/>
      <c r="I6" s="7"/>
      <c r="J6" s="5"/>
      <c r="K6" s="6">
        <v>0</v>
      </c>
      <c r="L6" s="6">
        <v>0</v>
      </c>
      <c r="M6" s="6">
        <v>0</v>
      </c>
      <c r="N6" s="6">
        <v>1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89"/>
      <c r="Y6" s="38">
        <v>0</v>
      </c>
      <c r="Z6" s="38">
        <v>32768</v>
      </c>
      <c r="AE6" s="96"/>
      <c r="AF6" s="87">
        <f>VLOOKUP(A6,SecOC_Cfg.h!$C$33:$D$61,2,FALSE)</f>
        <v>19</v>
      </c>
      <c r="AG6" s="96"/>
      <c r="AH6" s="6" t="s">
        <v>1597</v>
      </c>
      <c r="AI6" s="6">
        <v>1073742803</v>
      </c>
      <c r="AJ6" s="6" t="s">
        <v>1597</v>
      </c>
      <c r="AK6" s="6" t="s">
        <v>1597</v>
      </c>
      <c r="AL6" s="6">
        <f>IF($AF6&lt;&gt;"",MIN($D6:$D6),"")</f>
        <v>64</v>
      </c>
    </row>
    <row r="7" spans="1:40">
      <c r="A7" s="7" t="s">
        <v>793</v>
      </c>
      <c r="B7" s="7" t="s">
        <v>252</v>
      </c>
      <c r="C7" s="7" t="s">
        <v>29</v>
      </c>
      <c r="D7" s="7">
        <v>64</v>
      </c>
      <c r="E7" s="7">
        <v>1000</v>
      </c>
      <c r="F7" s="7" t="s">
        <v>29</v>
      </c>
      <c r="G7" s="7" t="s">
        <v>32</v>
      </c>
      <c r="H7" s="7"/>
      <c r="I7" s="7"/>
      <c r="J7" s="5"/>
      <c r="K7" s="6">
        <v>0</v>
      </c>
      <c r="L7" s="6">
        <v>0</v>
      </c>
      <c r="M7" s="6">
        <v>0</v>
      </c>
      <c r="N7" s="6">
        <v>1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89"/>
      <c r="Y7" s="38">
        <v>0</v>
      </c>
      <c r="Z7" s="38">
        <v>32768</v>
      </c>
      <c r="AE7" s="96"/>
      <c r="AF7" s="87">
        <f>VLOOKUP(A7,SecOC_Cfg.h!$C$33:$D$61,2,FALSE)</f>
        <v>2</v>
      </c>
      <c r="AG7" s="96"/>
      <c r="AH7" s="6" t="s">
        <v>1598</v>
      </c>
      <c r="AI7" s="6">
        <v>1073742741</v>
      </c>
      <c r="AJ7" s="6" t="s">
        <v>1598</v>
      </c>
      <c r="AK7" s="6" t="s">
        <v>1598</v>
      </c>
      <c r="AL7" s="6">
        <f t="shared" ref="AL7:AL34" si="4">IF($AF7&lt;&gt;"",MIN($D7:$D7),"")</f>
        <v>64</v>
      </c>
    </row>
    <row r="8" spans="1:40">
      <c r="A8" s="7" t="s">
        <v>794</v>
      </c>
      <c r="B8" s="7" t="s">
        <v>274</v>
      </c>
      <c r="C8" s="7" t="s">
        <v>29</v>
      </c>
      <c r="D8" s="7">
        <v>32</v>
      </c>
      <c r="E8" s="7">
        <v>1000</v>
      </c>
      <c r="F8" s="7" t="s">
        <v>29</v>
      </c>
      <c r="G8" s="7" t="s">
        <v>32</v>
      </c>
      <c r="H8" s="7"/>
      <c r="I8" s="7"/>
      <c r="J8" s="5"/>
      <c r="K8" s="6">
        <v>0</v>
      </c>
      <c r="L8" s="6">
        <v>0</v>
      </c>
      <c r="M8" s="6">
        <v>0</v>
      </c>
      <c r="N8" s="6">
        <v>1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89"/>
      <c r="Y8" s="38">
        <v>0</v>
      </c>
      <c r="Z8" s="38">
        <v>32768</v>
      </c>
      <c r="AE8" s="96"/>
      <c r="AF8" s="87">
        <f>VLOOKUP(A8,SecOC_Cfg.h!$C$33:$D$61,2,FALSE)</f>
        <v>0</v>
      </c>
      <c r="AG8" s="96"/>
      <c r="AH8" s="6" t="s">
        <v>1599</v>
      </c>
      <c r="AI8" s="6">
        <v>1073742610</v>
      </c>
      <c r="AJ8" s="6" t="s">
        <v>1599</v>
      </c>
      <c r="AK8" s="6" t="s">
        <v>1599</v>
      </c>
      <c r="AL8" s="6">
        <f t="shared" si="4"/>
        <v>32</v>
      </c>
    </row>
    <row r="9" spans="1:40">
      <c r="A9" s="7" t="s">
        <v>795</v>
      </c>
      <c r="B9" s="7" t="s">
        <v>351</v>
      </c>
      <c r="C9" s="7" t="s">
        <v>29</v>
      </c>
      <c r="D9" s="7">
        <v>64</v>
      </c>
      <c r="E9" s="7">
        <v>1000</v>
      </c>
      <c r="F9" s="7" t="s">
        <v>29</v>
      </c>
      <c r="G9" s="7" t="s">
        <v>32</v>
      </c>
      <c r="H9" s="7"/>
      <c r="I9" s="7"/>
      <c r="J9" s="5"/>
      <c r="K9" s="6">
        <v>0</v>
      </c>
      <c r="L9" s="6">
        <v>0</v>
      </c>
      <c r="M9" s="6">
        <v>0</v>
      </c>
      <c r="N9" s="6">
        <v>1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89"/>
      <c r="Y9" s="38">
        <v>0</v>
      </c>
      <c r="Z9" s="38">
        <v>32768</v>
      </c>
      <c r="AE9" s="96"/>
      <c r="AF9" s="87">
        <f>VLOOKUP(A9,SecOC_Cfg.h!$C$33:$D$61,2,FALSE)</f>
        <v>25</v>
      </c>
      <c r="AG9" s="96"/>
      <c r="AH9" s="6" t="s">
        <v>1600</v>
      </c>
      <c r="AI9" s="6">
        <v>1073742837</v>
      </c>
      <c r="AJ9" s="6" t="s">
        <v>1600</v>
      </c>
      <c r="AK9" s="6" t="s">
        <v>1600</v>
      </c>
      <c r="AL9" s="6">
        <f t="shared" si="4"/>
        <v>64</v>
      </c>
    </row>
    <row r="10" spans="1:40">
      <c r="A10" s="7" t="s">
        <v>800</v>
      </c>
      <c r="B10" s="7" t="s">
        <v>388</v>
      </c>
      <c r="C10" s="7" t="s">
        <v>29</v>
      </c>
      <c r="D10" s="7">
        <v>64</v>
      </c>
      <c r="E10" s="7">
        <v>2000</v>
      </c>
      <c r="F10" s="7" t="s">
        <v>29</v>
      </c>
      <c r="G10" s="7" t="s">
        <v>32</v>
      </c>
      <c r="H10" s="7"/>
      <c r="I10" s="7"/>
      <c r="J10" s="5"/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89"/>
      <c r="Y10" s="38">
        <v>0</v>
      </c>
      <c r="Z10" s="38">
        <v>32768</v>
      </c>
      <c r="AE10" s="96"/>
      <c r="AF10" s="87">
        <f>VLOOKUP(A10,SecOC_Cfg.h!$C$33:$D$61,2,FALSE)</f>
        <v>27</v>
      </c>
      <c r="AG10" s="96"/>
      <c r="AH10" s="6" t="s">
        <v>1601</v>
      </c>
      <c r="AI10" s="6">
        <v>1073742712</v>
      </c>
      <c r="AJ10" s="6" t="s">
        <v>1601</v>
      </c>
      <c r="AK10" s="6" t="s">
        <v>1601</v>
      </c>
      <c r="AL10" s="6">
        <f>IF($AF10&lt;&gt;"",MIN($D10:$D10),"")</f>
        <v>64</v>
      </c>
    </row>
    <row r="11" spans="1:40">
      <c r="A11" s="7" t="s">
        <v>803</v>
      </c>
      <c r="B11" s="7" t="s">
        <v>427</v>
      </c>
      <c r="C11" s="7" t="s">
        <v>29</v>
      </c>
      <c r="D11" s="7">
        <v>64</v>
      </c>
      <c r="E11" s="7">
        <v>1000</v>
      </c>
      <c r="F11" s="7" t="s">
        <v>29</v>
      </c>
      <c r="G11" s="7" t="s">
        <v>32</v>
      </c>
      <c r="H11" s="7"/>
      <c r="I11" s="7"/>
      <c r="J11" s="5"/>
      <c r="K11" s="6">
        <v>0</v>
      </c>
      <c r="L11" s="6">
        <v>0</v>
      </c>
      <c r="M11" s="6">
        <v>0</v>
      </c>
      <c r="N11" s="6">
        <v>1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89"/>
      <c r="Y11" s="38">
        <v>0</v>
      </c>
      <c r="Z11" s="38">
        <v>32768</v>
      </c>
      <c r="AE11" s="96"/>
      <c r="AF11" s="87">
        <f>VLOOKUP(A11,SecOC_Cfg.h!$C$33:$D$61,2,FALSE)</f>
        <v>4</v>
      </c>
      <c r="AG11" s="96"/>
      <c r="AH11" s="6" t="s">
        <v>1602</v>
      </c>
      <c r="AI11" s="6">
        <v>1073742746</v>
      </c>
      <c r="AJ11" s="6" t="s">
        <v>1602</v>
      </c>
      <c r="AK11" s="6" t="s">
        <v>1602</v>
      </c>
      <c r="AL11" s="6">
        <f>IF($AF11&lt;&gt;"",MIN($D11:$D11),"")</f>
        <v>64</v>
      </c>
    </row>
    <row r="12" spans="1:40">
      <c r="A12" s="7" t="s">
        <v>1603</v>
      </c>
      <c r="B12" s="7" t="s">
        <v>430</v>
      </c>
      <c r="C12" s="7" t="s">
        <v>29</v>
      </c>
      <c r="D12" s="7">
        <v>64</v>
      </c>
      <c r="E12" s="7">
        <v>1000</v>
      </c>
      <c r="F12" s="7" t="s">
        <v>29</v>
      </c>
      <c r="G12" s="7" t="s">
        <v>32</v>
      </c>
      <c r="H12" s="7"/>
      <c r="I12" s="7"/>
      <c r="J12" s="5"/>
      <c r="K12" s="6">
        <v>0</v>
      </c>
      <c r="L12" s="6">
        <v>0</v>
      </c>
      <c r="M12" s="6">
        <v>0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89"/>
      <c r="Y12" s="38">
        <v>0</v>
      </c>
      <c r="Z12" s="38">
        <v>32768</v>
      </c>
      <c r="AE12" s="96"/>
      <c r="AF12" s="87">
        <f>VLOOKUP(A12,SecOC_Cfg.h!$C$33:$D$61,2,FALSE)</f>
        <v>5</v>
      </c>
      <c r="AG12" s="96"/>
      <c r="AH12" s="6" t="s">
        <v>1604</v>
      </c>
      <c r="AI12" s="6">
        <v>1073742747</v>
      </c>
      <c r="AJ12" s="6" t="s">
        <v>1604</v>
      </c>
      <c r="AK12" s="6" t="s">
        <v>1604</v>
      </c>
      <c r="AL12" s="6">
        <f t="shared" si="4"/>
        <v>64</v>
      </c>
    </row>
    <row r="13" spans="1:40">
      <c r="A13" s="7" t="s">
        <v>433</v>
      </c>
      <c r="B13" s="7" t="s">
        <v>432</v>
      </c>
      <c r="C13" s="7" t="s">
        <v>29</v>
      </c>
      <c r="D13" s="7">
        <v>64</v>
      </c>
      <c r="E13" s="7">
        <v>1000</v>
      </c>
      <c r="F13" s="7" t="s">
        <v>29</v>
      </c>
      <c r="G13" s="7" t="s">
        <v>32</v>
      </c>
      <c r="H13" s="7"/>
      <c r="I13" s="7"/>
      <c r="J13" s="5"/>
      <c r="K13" s="6">
        <v>0</v>
      </c>
      <c r="L13" s="6">
        <v>0</v>
      </c>
      <c r="M13" s="6">
        <v>0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89"/>
      <c r="Y13" s="38">
        <v>0</v>
      </c>
      <c r="Z13" s="38">
        <v>32768</v>
      </c>
      <c r="AE13" s="96"/>
      <c r="AF13" s="87">
        <f>VLOOKUP(A13,SecOC_Cfg.h!$C$33:$D$61,2,FALSE)</f>
        <v>6</v>
      </c>
      <c r="AG13" s="96"/>
      <c r="AH13" s="6" t="s">
        <v>1605</v>
      </c>
      <c r="AI13" s="6">
        <v>1073742749</v>
      </c>
      <c r="AJ13" s="6" t="s">
        <v>1605</v>
      </c>
      <c r="AK13" s="6" t="s">
        <v>1605</v>
      </c>
      <c r="AL13" s="6">
        <f t="shared" si="4"/>
        <v>64</v>
      </c>
    </row>
    <row r="14" spans="1:40">
      <c r="A14" s="7" t="s">
        <v>446</v>
      </c>
      <c r="B14" s="7" t="s">
        <v>447</v>
      </c>
      <c r="C14" s="7" t="s">
        <v>29</v>
      </c>
      <c r="D14" s="7">
        <v>64</v>
      </c>
      <c r="E14" s="7">
        <v>1000</v>
      </c>
      <c r="F14" s="7" t="s">
        <v>29</v>
      </c>
      <c r="G14" s="7" t="s">
        <v>32</v>
      </c>
      <c r="H14" s="7"/>
      <c r="I14" s="7"/>
      <c r="J14" s="5"/>
      <c r="K14" s="6">
        <v>0</v>
      </c>
      <c r="L14" s="6">
        <v>0</v>
      </c>
      <c r="M14" s="6">
        <v>0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89"/>
      <c r="Y14" s="38">
        <v>0</v>
      </c>
      <c r="Z14" s="38">
        <v>32768</v>
      </c>
      <c r="AE14" s="96"/>
      <c r="AF14" s="87">
        <f>VLOOKUP(A14,SecOC_Cfg.h!$C$33:$D$61,2,FALSE)</f>
        <v>18</v>
      </c>
      <c r="AG14" s="96"/>
      <c r="AH14" s="6" t="s">
        <v>1606</v>
      </c>
      <c r="AI14" s="6">
        <v>1073742797</v>
      </c>
      <c r="AJ14" s="6" t="s">
        <v>1606</v>
      </c>
      <c r="AK14" s="6" t="s">
        <v>1606</v>
      </c>
      <c r="AL14" s="6">
        <f t="shared" si="4"/>
        <v>64</v>
      </c>
    </row>
    <row r="15" spans="1:40">
      <c r="A15" s="7" t="s">
        <v>450</v>
      </c>
      <c r="B15" s="7" t="s">
        <v>451</v>
      </c>
      <c r="C15" s="7" t="s">
        <v>29</v>
      </c>
      <c r="D15" s="7">
        <v>64</v>
      </c>
      <c r="E15" s="7">
        <v>1000</v>
      </c>
      <c r="F15" s="7" t="s">
        <v>29</v>
      </c>
      <c r="G15" s="7" t="s">
        <v>32</v>
      </c>
      <c r="H15" s="7"/>
      <c r="I15" s="7"/>
      <c r="J15" s="5"/>
      <c r="K15" s="6">
        <v>0</v>
      </c>
      <c r="L15" s="6">
        <v>0</v>
      </c>
      <c r="M15" s="6">
        <v>0</v>
      </c>
      <c r="N15" s="6">
        <v>1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89"/>
      <c r="Y15" s="38">
        <v>0</v>
      </c>
      <c r="Z15" s="38">
        <v>32768</v>
      </c>
      <c r="AE15" s="96"/>
      <c r="AF15" s="87">
        <f>VLOOKUP(A15,SecOC_Cfg.h!$C$33:$D$61,2,FALSE)</f>
        <v>21</v>
      </c>
      <c r="AG15" s="96"/>
      <c r="AH15" s="6" t="s">
        <v>1607</v>
      </c>
      <c r="AI15" s="6">
        <v>1073742813</v>
      </c>
      <c r="AJ15" s="6" t="s">
        <v>1607</v>
      </c>
      <c r="AK15" s="6" t="s">
        <v>1607</v>
      </c>
      <c r="AL15" s="6">
        <f t="shared" si="4"/>
        <v>64</v>
      </c>
    </row>
    <row r="16" spans="1:40">
      <c r="A16" s="7" t="s">
        <v>417</v>
      </c>
      <c r="B16" s="7" t="s">
        <v>416</v>
      </c>
      <c r="C16" s="7" t="s">
        <v>29</v>
      </c>
      <c r="D16" s="7">
        <v>64</v>
      </c>
      <c r="E16" s="7">
        <v>1000</v>
      </c>
      <c r="F16" s="7" t="s">
        <v>29</v>
      </c>
      <c r="G16" s="7" t="s">
        <v>32</v>
      </c>
      <c r="H16" s="7"/>
      <c r="I16" s="7"/>
      <c r="J16" s="5"/>
      <c r="K16" s="6">
        <v>0</v>
      </c>
      <c r="L16" s="6">
        <v>0</v>
      </c>
      <c r="M16" s="6">
        <v>0</v>
      </c>
      <c r="N16" s="6">
        <v>1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89"/>
      <c r="Y16" s="38">
        <v>0</v>
      </c>
      <c r="Z16" s="38">
        <v>32768</v>
      </c>
      <c r="AE16" s="96"/>
      <c r="AF16" s="87">
        <f>VLOOKUP(A16,SecOC_Cfg.h!$C$33:$D$61,2,FALSE)</f>
        <v>1</v>
      </c>
      <c r="AG16" s="96"/>
      <c r="AH16" s="6" t="s">
        <v>1608</v>
      </c>
      <c r="AI16" s="6">
        <v>1073742739</v>
      </c>
      <c r="AJ16" s="6" t="s">
        <v>1608</v>
      </c>
      <c r="AK16" s="6" t="s">
        <v>1608</v>
      </c>
      <c r="AL16" s="6">
        <f t="shared" si="4"/>
        <v>64</v>
      </c>
    </row>
    <row r="17" spans="1:38">
      <c r="A17" s="7" t="s">
        <v>422</v>
      </c>
      <c r="B17" s="7" t="s">
        <v>421</v>
      </c>
      <c r="C17" s="7" t="s">
        <v>29</v>
      </c>
      <c r="D17" s="7">
        <v>64</v>
      </c>
      <c r="E17" s="7">
        <v>1000</v>
      </c>
      <c r="F17" s="7" t="s">
        <v>29</v>
      </c>
      <c r="G17" s="7" t="s">
        <v>32</v>
      </c>
      <c r="H17" s="7"/>
      <c r="I17" s="7"/>
      <c r="J17" s="5"/>
      <c r="K17" s="6">
        <v>0</v>
      </c>
      <c r="L17" s="6">
        <v>0</v>
      </c>
      <c r="M17" s="6">
        <v>0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89"/>
      <c r="Y17" s="38">
        <v>0</v>
      </c>
      <c r="Z17" s="38">
        <v>32768</v>
      </c>
      <c r="AE17" s="96"/>
      <c r="AF17" s="87">
        <f>VLOOKUP(A17,SecOC_Cfg.h!$C$33:$D$61,2,FALSE)</f>
        <v>3</v>
      </c>
      <c r="AG17" s="96"/>
      <c r="AH17" s="6" t="s">
        <v>1609</v>
      </c>
      <c r="AI17" s="6">
        <v>1073742742</v>
      </c>
      <c r="AJ17" s="6" t="s">
        <v>1609</v>
      </c>
      <c r="AK17" s="6" t="s">
        <v>1609</v>
      </c>
      <c r="AL17" s="6">
        <f t="shared" si="4"/>
        <v>64</v>
      </c>
    </row>
    <row r="18" spans="1:38">
      <c r="A18" s="7" t="s">
        <v>436</v>
      </c>
      <c r="B18" s="7" t="s">
        <v>435</v>
      </c>
      <c r="C18" s="7" t="s">
        <v>29</v>
      </c>
      <c r="D18" s="7">
        <v>64</v>
      </c>
      <c r="E18" s="7">
        <v>1000</v>
      </c>
      <c r="F18" s="7" t="s">
        <v>29</v>
      </c>
      <c r="G18" s="7" t="s">
        <v>32</v>
      </c>
      <c r="H18" s="7"/>
      <c r="I18" s="7"/>
      <c r="J18" s="5"/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89"/>
      <c r="Y18" s="38">
        <v>0</v>
      </c>
      <c r="Z18" s="38">
        <v>32768</v>
      </c>
      <c r="AE18" s="96"/>
      <c r="AF18" s="87">
        <f>VLOOKUP(A18,SecOC_Cfg.h!$C$33:$D$61,2,FALSE)</f>
        <v>7</v>
      </c>
      <c r="AG18" s="96"/>
      <c r="AH18" s="6" t="s">
        <v>1610</v>
      </c>
      <c r="AI18" s="6">
        <v>1073742750</v>
      </c>
      <c r="AJ18" s="6" t="s">
        <v>1610</v>
      </c>
      <c r="AK18" s="6" t="s">
        <v>1610</v>
      </c>
      <c r="AL18" s="6">
        <f t="shared" si="4"/>
        <v>64</v>
      </c>
    </row>
    <row r="19" spans="1:38">
      <c r="A19" s="7" t="s">
        <v>439</v>
      </c>
      <c r="B19" s="7" t="s">
        <v>438</v>
      </c>
      <c r="C19" s="7" t="s">
        <v>29</v>
      </c>
      <c r="D19" s="7">
        <v>64</v>
      </c>
      <c r="E19" s="7">
        <v>1000</v>
      </c>
      <c r="F19" s="7" t="s">
        <v>29</v>
      </c>
      <c r="G19" s="7" t="s">
        <v>32</v>
      </c>
      <c r="H19" s="7"/>
      <c r="I19" s="7"/>
      <c r="J19" s="5"/>
      <c r="K19" s="6">
        <v>0</v>
      </c>
      <c r="L19" s="6">
        <v>0</v>
      </c>
      <c r="M19" s="6">
        <v>0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89"/>
      <c r="Y19" s="38">
        <v>0</v>
      </c>
      <c r="Z19" s="38">
        <v>32768</v>
      </c>
      <c r="AE19" s="96"/>
      <c r="AF19" s="87">
        <f>VLOOKUP(A19,SecOC_Cfg.h!$C$33:$D$61,2,FALSE)</f>
        <v>8</v>
      </c>
      <c r="AG19" s="96"/>
      <c r="AH19" s="6" t="s">
        <v>1611</v>
      </c>
      <c r="AI19" s="6">
        <v>1073742751</v>
      </c>
      <c r="AJ19" s="6" t="s">
        <v>1611</v>
      </c>
      <c r="AK19" s="6" t="s">
        <v>1611</v>
      </c>
      <c r="AL19" s="6">
        <f t="shared" si="4"/>
        <v>64</v>
      </c>
    </row>
    <row r="20" spans="1:38">
      <c r="A20" s="7" t="s">
        <v>445</v>
      </c>
      <c r="B20" s="7" t="s">
        <v>444</v>
      </c>
      <c r="C20" s="7" t="s">
        <v>29</v>
      </c>
      <c r="D20" s="7">
        <v>64</v>
      </c>
      <c r="E20" s="7">
        <v>1000</v>
      </c>
      <c r="F20" s="7" t="s">
        <v>29</v>
      </c>
      <c r="G20" s="7" t="s">
        <v>32</v>
      </c>
      <c r="H20" s="7"/>
      <c r="I20" s="7"/>
      <c r="J20" s="5"/>
      <c r="K20" s="6">
        <v>0</v>
      </c>
      <c r="L20" s="6">
        <v>0</v>
      </c>
      <c r="M20" s="6">
        <v>0</v>
      </c>
      <c r="N20" s="6">
        <v>1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89"/>
      <c r="Y20" s="38">
        <v>0</v>
      </c>
      <c r="Z20" s="38">
        <v>32768</v>
      </c>
      <c r="AE20" s="96"/>
      <c r="AF20" s="87">
        <f>VLOOKUP(A20,SecOC_Cfg.h!$C$33:$D$61,2,FALSE)</f>
        <v>9</v>
      </c>
      <c r="AG20" s="96"/>
      <c r="AH20" s="6" t="s">
        <v>1612</v>
      </c>
      <c r="AI20" s="6">
        <v>1073742757</v>
      </c>
      <c r="AJ20" s="6" t="s">
        <v>1612</v>
      </c>
      <c r="AK20" s="6" t="s">
        <v>1612</v>
      </c>
      <c r="AL20" s="6">
        <f t="shared" si="4"/>
        <v>64</v>
      </c>
    </row>
    <row r="21" spans="1:38">
      <c r="A21" s="7" t="s">
        <v>470</v>
      </c>
      <c r="B21" s="7" t="s">
        <v>471</v>
      </c>
      <c r="C21" s="7" t="s">
        <v>29</v>
      </c>
      <c r="D21" s="7">
        <v>64</v>
      </c>
      <c r="E21" s="7">
        <v>1000</v>
      </c>
      <c r="F21" s="7" t="s">
        <v>29</v>
      </c>
      <c r="G21" s="7" t="s">
        <v>32</v>
      </c>
      <c r="H21" s="7"/>
      <c r="I21" s="7"/>
      <c r="J21" s="5"/>
      <c r="K21" s="6">
        <v>0</v>
      </c>
      <c r="L21" s="6">
        <v>0</v>
      </c>
      <c r="M21" s="6">
        <v>0</v>
      </c>
      <c r="N21" s="6">
        <v>1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89"/>
      <c r="Y21" s="38">
        <v>0</v>
      </c>
      <c r="Z21" s="38">
        <v>32768</v>
      </c>
      <c r="AE21" s="96"/>
      <c r="AF21" s="87">
        <f>VLOOKUP(A21,SecOC_Cfg.h!$C$33:$D$61,2,FALSE)</f>
        <v>22</v>
      </c>
      <c r="AG21" s="96"/>
      <c r="AH21" s="6" t="s">
        <v>1613</v>
      </c>
      <c r="AI21" s="6">
        <v>1073742817</v>
      </c>
      <c r="AJ21" s="6" t="s">
        <v>1613</v>
      </c>
      <c r="AK21" s="6" t="s">
        <v>1613</v>
      </c>
      <c r="AL21" s="6">
        <f t="shared" si="4"/>
        <v>64</v>
      </c>
    </row>
    <row r="22" spans="1:38">
      <c r="A22" s="7" t="s">
        <v>485</v>
      </c>
      <c r="B22" s="7" t="s">
        <v>486</v>
      </c>
      <c r="C22" s="7" t="s">
        <v>29</v>
      </c>
      <c r="D22" s="7">
        <v>64</v>
      </c>
      <c r="E22" s="7">
        <v>1000</v>
      </c>
      <c r="F22" s="7" t="s">
        <v>29</v>
      </c>
      <c r="G22" s="7" t="s">
        <v>32</v>
      </c>
      <c r="H22" s="7"/>
      <c r="I22" s="7"/>
      <c r="J22" s="5"/>
      <c r="K22" s="6">
        <v>0</v>
      </c>
      <c r="L22" s="6">
        <v>0</v>
      </c>
      <c r="M22" s="6">
        <v>0</v>
      </c>
      <c r="N22" s="6">
        <v>1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89"/>
      <c r="Y22" s="38">
        <v>0</v>
      </c>
      <c r="Z22" s="38">
        <v>32768</v>
      </c>
      <c r="AE22" s="96"/>
      <c r="AF22" s="87">
        <f>VLOOKUP(A22,SecOC_Cfg.h!$C$33:$D$61,2,FALSE)</f>
        <v>23</v>
      </c>
      <c r="AG22" s="96"/>
      <c r="AH22" s="6" t="s">
        <v>1614</v>
      </c>
      <c r="AI22" s="6">
        <v>1073742827</v>
      </c>
      <c r="AJ22" s="6" t="s">
        <v>1614</v>
      </c>
      <c r="AK22" s="6" t="s">
        <v>1614</v>
      </c>
      <c r="AL22" s="6">
        <f t="shared" si="4"/>
        <v>64</v>
      </c>
    </row>
    <row r="23" spans="1:38">
      <c r="A23" s="7" t="s">
        <v>456</v>
      </c>
      <c r="B23" s="7" t="s">
        <v>455</v>
      </c>
      <c r="C23" s="7" t="s">
        <v>29</v>
      </c>
      <c r="D23" s="7">
        <v>64</v>
      </c>
      <c r="E23" s="7">
        <v>1000</v>
      </c>
      <c r="F23" s="7" t="s">
        <v>29</v>
      </c>
      <c r="G23" s="7" t="s">
        <v>32</v>
      </c>
      <c r="H23" s="7"/>
      <c r="I23" s="7"/>
      <c r="J23" s="5"/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89"/>
      <c r="Y23" s="38">
        <v>0</v>
      </c>
      <c r="Z23" s="38">
        <v>32768</v>
      </c>
      <c r="AE23" s="96"/>
      <c r="AF23" s="87">
        <f>VLOOKUP(A23,SecOC_Cfg.h!$C$33:$D$61,2,FALSE)</f>
        <v>10</v>
      </c>
      <c r="AG23" s="96"/>
      <c r="AH23" s="6" t="s">
        <v>1615</v>
      </c>
      <c r="AI23" s="6">
        <v>1073742764</v>
      </c>
      <c r="AJ23" s="6" t="s">
        <v>1615</v>
      </c>
      <c r="AK23" s="6" t="s">
        <v>1615</v>
      </c>
      <c r="AL23" s="6">
        <f t="shared" si="4"/>
        <v>64</v>
      </c>
    </row>
    <row r="24" spans="1:38">
      <c r="A24" s="7" t="s">
        <v>458</v>
      </c>
      <c r="B24" s="7" t="s">
        <v>457</v>
      </c>
      <c r="C24" s="7" t="s">
        <v>29</v>
      </c>
      <c r="D24" s="7">
        <v>64</v>
      </c>
      <c r="E24" s="7">
        <v>1000</v>
      </c>
      <c r="F24" s="7" t="s">
        <v>29</v>
      </c>
      <c r="G24" s="7" t="s">
        <v>32</v>
      </c>
      <c r="H24" s="7"/>
      <c r="I24" s="7"/>
      <c r="J24" s="5"/>
      <c r="K24" s="6">
        <v>0</v>
      </c>
      <c r="L24" s="6">
        <v>0</v>
      </c>
      <c r="M24" s="6">
        <v>0</v>
      </c>
      <c r="N24" s="6">
        <v>1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89"/>
      <c r="Y24" s="38">
        <v>0</v>
      </c>
      <c r="Z24" s="38">
        <v>32768</v>
      </c>
      <c r="AE24" s="96"/>
      <c r="AF24" s="87">
        <f>VLOOKUP(A24,SecOC_Cfg.h!$C$33:$D$61,2,FALSE)</f>
        <v>11</v>
      </c>
      <c r="AG24" s="96"/>
      <c r="AH24" s="6" t="s">
        <v>1616</v>
      </c>
      <c r="AI24" s="6">
        <v>1073742766</v>
      </c>
      <c r="AJ24" s="6" t="s">
        <v>1616</v>
      </c>
      <c r="AK24" s="6" t="s">
        <v>1616</v>
      </c>
      <c r="AL24" s="6">
        <f t="shared" si="4"/>
        <v>64</v>
      </c>
    </row>
    <row r="25" spans="1:38">
      <c r="A25" s="7" t="s">
        <v>466</v>
      </c>
      <c r="B25" s="7" t="s">
        <v>465</v>
      </c>
      <c r="C25" s="7" t="s">
        <v>29</v>
      </c>
      <c r="D25" s="7">
        <v>64</v>
      </c>
      <c r="E25" s="7">
        <v>1000</v>
      </c>
      <c r="F25" s="7" t="s">
        <v>29</v>
      </c>
      <c r="G25" s="7" t="s">
        <v>32</v>
      </c>
      <c r="H25" s="7"/>
      <c r="I25" s="7"/>
      <c r="J25" s="5"/>
      <c r="K25" s="6">
        <v>0</v>
      </c>
      <c r="L25" s="6">
        <v>0</v>
      </c>
      <c r="M25" s="6">
        <v>0</v>
      </c>
      <c r="N25" s="6">
        <v>1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89"/>
      <c r="Y25" s="38">
        <v>0</v>
      </c>
      <c r="Z25" s="38">
        <v>32768</v>
      </c>
      <c r="AE25" s="96"/>
      <c r="AF25" s="87">
        <f>VLOOKUP(A25,SecOC_Cfg.h!$C$33:$D$61,2,FALSE)</f>
        <v>12</v>
      </c>
      <c r="AG25" s="96"/>
      <c r="AH25" s="6" t="s">
        <v>1617</v>
      </c>
      <c r="AI25" s="6">
        <v>1073742770</v>
      </c>
      <c r="AJ25" s="6" t="s">
        <v>1617</v>
      </c>
      <c r="AK25" s="6" t="s">
        <v>1617</v>
      </c>
      <c r="AL25" s="6">
        <f t="shared" si="4"/>
        <v>64</v>
      </c>
    </row>
    <row r="26" spans="1:38">
      <c r="A26" s="7" t="s">
        <v>469</v>
      </c>
      <c r="B26" s="7" t="s">
        <v>468</v>
      </c>
      <c r="C26" s="7" t="s">
        <v>29</v>
      </c>
      <c r="D26" s="7">
        <v>64</v>
      </c>
      <c r="E26" s="7">
        <v>1000</v>
      </c>
      <c r="F26" s="7" t="s">
        <v>29</v>
      </c>
      <c r="G26" s="7" t="s">
        <v>32</v>
      </c>
      <c r="H26" s="7"/>
      <c r="I26" s="7"/>
      <c r="J26" s="5"/>
      <c r="K26" s="6">
        <v>0</v>
      </c>
      <c r="L26" s="6">
        <v>0</v>
      </c>
      <c r="M26" s="6">
        <v>0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89"/>
      <c r="Y26" s="38">
        <v>0</v>
      </c>
      <c r="Z26" s="38">
        <v>32768</v>
      </c>
      <c r="AE26" s="96"/>
      <c r="AF26" s="87">
        <f>VLOOKUP(A26,SecOC_Cfg.h!$C$33:$D$61,2,FALSE)</f>
        <v>13</v>
      </c>
      <c r="AG26" s="96"/>
      <c r="AH26" s="6" t="s">
        <v>1618</v>
      </c>
      <c r="AI26" s="6">
        <v>1073742771</v>
      </c>
      <c r="AJ26" s="6" t="s">
        <v>1618</v>
      </c>
      <c r="AK26" s="6" t="s">
        <v>1618</v>
      </c>
      <c r="AL26" s="6">
        <f t="shared" si="4"/>
        <v>64</v>
      </c>
    </row>
    <row r="27" spans="1:38">
      <c r="A27" s="7" t="s">
        <v>478</v>
      </c>
      <c r="B27" s="7" t="s">
        <v>477</v>
      </c>
      <c r="C27" s="7" t="s">
        <v>29</v>
      </c>
      <c r="D27" s="7">
        <v>64</v>
      </c>
      <c r="E27" s="7">
        <v>1000</v>
      </c>
      <c r="F27" s="7" t="s">
        <v>29</v>
      </c>
      <c r="G27" s="7" t="s">
        <v>32</v>
      </c>
      <c r="H27" s="7"/>
      <c r="I27" s="7"/>
      <c r="J27" s="5"/>
      <c r="K27" s="6">
        <v>0</v>
      </c>
      <c r="L27" s="6">
        <v>0</v>
      </c>
      <c r="M27" s="6">
        <v>0</v>
      </c>
      <c r="N27" s="6">
        <v>1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89"/>
      <c r="Y27" s="38">
        <v>0</v>
      </c>
      <c r="Z27" s="38">
        <v>32768</v>
      </c>
      <c r="AE27" s="96"/>
      <c r="AF27" s="87">
        <f>VLOOKUP(A27,SecOC_Cfg.h!$C$33:$D$61,2,FALSE)</f>
        <v>14</v>
      </c>
      <c r="AG27" s="96"/>
      <c r="AH27" s="6" t="s">
        <v>1619</v>
      </c>
      <c r="AI27" s="6">
        <v>1073742777</v>
      </c>
      <c r="AJ27" s="6" t="s">
        <v>1619</v>
      </c>
      <c r="AK27" s="6" t="s">
        <v>1619</v>
      </c>
      <c r="AL27" s="6">
        <f t="shared" si="4"/>
        <v>64</v>
      </c>
    </row>
    <row r="28" spans="1:38">
      <c r="A28" s="7" t="s">
        <v>480</v>
      </c>
      <c r="B28" s="7" t="s">
        <v>479</v>
      </c>
      <c r="C28" s="7" t="s">
        <v>29</v>
      </c>
      <c r="D28" s="7">
        <v>64</v>
      </c>
      <c r="E28" s="7">
        <v>1000</v>
      </c>
      <c r="F28" s="7" t="s">
        <v>29</v>
      </c>
      <c r="G28" s="7" t="s">
        <v>32</v>
      </c>
      <c r="H28" s="7"/>
      <c r="I28" s="7"/>
      <c r="J28" s="5"/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89"/>
      <c r="Y28" s="38">
        <v>0</v>
      </c>
      <c r="Z28" s="38">
        <v>32768</v>
      </c>
      <c r="AE28" s="96"/>
      <c r="AF28" s="87">
        <f>VLOOKUP(A28,SecOC_Cfg.h!$C$33:$D$61,2,FALSE)</f>
        <v>15</v>
      </c>
      <c r="AG28" s="96"/>
      <c r="AH28" s="6" t="s">
        <v>1620</v>
      </c>
      <c r="AI28" s="6">
        <v>1073742780</v>
      </c>
      <c r="AJ28" s="6" t="s">
        <v>1620</v>
      </c>
      <c r="AK28" s="6" t="s">
        <v>1620</v>
      </c>
      <c r="AL28" s="6">
        <f t="shared" si="4"/>
        <v>64</v>
      </c>
    </row>
    <row r="29" spans="1:38">
      <c r="A29" s="7" t="s">
        <v>484</v>
      </c>
      <c r="B29" s="7" t="s">
        <v>483</v>
      </c>
      <c r="C29" s="7" t="s">
        <v>29</v>
      </c>
      <c r="D29" s="7">
        <v>32</v>
      </c>
      <c r="E29" s="7">
        <v>1000</v>
      </c>
      <c r="F29" s="7" t="s">
        <v>29</v>
      </c>
      <c r="G29" s="7" t="s">
        <v>32</v>
      </c>
      <c r="H29" s="7"/>
      <c r="I29" s="7"/>
      <c r="J29" s="5"/>
      <c r="K29" s="6">
        <v>0</v>
      </c>
      <c r="L29" s="6">
        <v>0</v>
      </c>
      <c r="M29" s="6">
        <v>0</v>
      </c>
      <c r="N29" s="6">
        <v>1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89"/>
      <c r="Y29" s="38">
        <v>0</v>
      </c>
      <c r="Z29" s="38">
        <v>32768</v>
      </c>
      <c r="AE29" s="96"/>
      <c r="AF29" s="87">
        <f>VLOOKUP(A29,SecOC_Cfg.h!$C$33:$D$61,2,FALSE)</f>
        <v>28</v>
      </c>
      <c r="AG29" s="96"/>
      <c r="AH29" s="6" t="s">
        <v>1621</v>
      </c>
      <c r="AI29" s="6">
        <v>1073742781</v>
      </c>
      <c r="AJ29" s="6" t="s">
        <v>1621</v>
      </c>
      <c r="AK29" s="6" t="s">
        <v>1621</v>
      </c>
      <c r="AL29" s="6">
        <f t="shared" si="4"/>
        <v>32</v>
      </c>
    </row>
    <row r="30" spans="1:38">
      <c r="A30" s="7" t="s">
        <v>496</v>
      </c>
      <c r="B30" s="7" t="s">
        <v>495</v>
      </c>
      <c r="C30" s="7" t="s">
        <v>29</v>
      </c>
      <c r="D30" s="7">
        <v>64</v>
      </c>
      <c r="E30" s="7">
        <v>1000</v>
      </c>
      <c r="F30" s="7" t="s">
        <v>29</v>
      </c>
      <c r="G30" s="7" t="s">
        <v>32</v>
      </c>
      <c r="H30" s="7"/>
      <c r="I30" s="7"/>
      <c r="J30" s="5"/>
      <c r="K30" s="6">
        <v>0</v>
      </c>
      <c r="L30" s="6">
        <v>0</v>
      </c>
      <c r="M30" s="6">
        <v>0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89"/>
      <c r="Y30" s="38">
        <v>0</v>
      </c>
      <c r="Z30" s="38">
        <v>32768</v>
      </c>
      <c r="AE30" s="96"/>
      <c r="AF30" s="87">
        <f>VLOOKUP(A30,SecOC_Cfg.h!$C$33:$D$61,2,FALSE)</f>
        <v>17</v>
      </c>
      <c r="AG30" s="96"/>
      <c r="AH30" s="6" t="s">
        <v>1622</v>
      </c>
      <c r="AI30" s="6">
        <v>1073742791</v>
      </c>
      <c r="AJ30" s="6" t="s">
        <v>1622</v>
      </c>
      <c r="AK30" s="6" t="s">
        <v>1622</v>
      </c>
      <c r="AL30" s="6">
        <f t="shared" si="4"/>
        <v>64</v>
      </c>
    </row>
    <row r="31" spans="1:38">
      <c r="A31" s="7" t="s">
        <v>493</v>
      </c>
      <c r="B31" s="7" t="s">
        <v>492</v>
      </c>
      <c r="C31" s="7" t="s">
        <v>29</v>
      </c>
      <c r="D31" s="7">
        <v>64</v>
      </c>
      <c r="E31" s="7">
        <v>1000</v>
      </c>
      <c r="F31" s="7" t="s">
        <v>29</v>
      </c>
      <c r="G31" s="7" t="s">
        <v>32</v>
      </c>
      <c r="H31" s="7"/>
      <c r="I31" s="7"/>
      <c r="J31" s="5"/>
      <c r="K31" s="6">
        <v>0</v>
      </c>
      <c r="L31" s="6">
        <v>0</v>
      </c>
      <c r="M31" s="6">
        <v>0</v>
      </c>
      <c r="N31" s="6">
        <v>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89"/>
      <c r="Y31" s="38">
        <v>0</v>
      </c>
      <c r="Z31" s="38">
        <v>32768</v>
      </c>
      <c r="AE31" s="96"/>
      <c r="AF31" s="87">
        <f>VLOOKUP(A31,SecOC_Cfg.h!$C$33:$D$61,2,FALSE)</f>
        <v>16</v>
      </c>
      <c r="AG31" s="96"/>
      <c r="AH31" s="6" t="s">
        <v>1623</v>
      </c>
      <c r="AI31" s="6">
        <v>1073742790</v>
      </c>
      <c r="AJ31" s="6" t="s">
        <v>1623</v>
      </c>
      <c r="AK31" s="6" t="s">
        <v>1623</v>
      </c>
      <c r="AL31" s="6">
        <f t="shared" si="4"/>
        <v>64</v>
      </c>
    </row>
    <row r="32" spans="1:38">
      <c r="A32" s="7" t="s">
        <v>509</v>
      </c>
      <c r="B32" s="7" t="s">
        <v>508</v>
      </c>
      <c r="C32" s="7" t="s">
        <v>29</v>
      </c>
      <c r="D32" s="7">
        <v>64</v>
      </c>
      <c r="E32" s="7">
        <v>1000</v>
      </c>
      <c r="F32" s="7" t="s">
        <v>29</v>
      </c>
      <c r="G32" s="7" t="s">
        <v>32</v>
      </c>
      <c r="H32" s="7"/>
      <c r="I32" s="7"/>
      <c r="J32" s="5"/>
      <c r="K32" s="6">
        <v>0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89"/>
      <c r="Y32" s="38">
        <v>0</v>
      </c>
      <c r="Z32" s="38">
        <v>32768</v>
      </c>
      <c r="AE32" s="96"/>
      <c r="AF32" s="87">
        <f>VLOOKUP(A32,SecOC_Cfg.h!$C$33:$D$61,2,FALSE)</f>
        <v>20</v>
      </c>
      <c r="AG32" s="96"/>
      <c r="AH32" s="6" t="s">
        <v>1624</v>
      </c>
      <c r="AI32" s="6">
        <v>1073742806</v>
      </c>
      <c r="AJ32" s="6" t="s">
        <v>1624</v>
      </c>
      <c r="AK32" s="6" t="s">
        <v>1624</v>
      </c>
      <c r="AL32" s="6">
        <f t="shared" si="4"/>
        <v>64</v>
      </c>
    </row>
    <row r="33" spans="1:40">
      <c r="A33" s="7" t="s">
        <v>522</v>
      </c>
      <c r="B33" s="7" t="s">
        <v>521</v>
      </c>
      <c r="C33" s="7" t="s">
        <v>29</v>
      </c>
      <c r="D33" s="7">
        <v>64</v>
      </c>
      <c r="E33" s="7">
        <v>1000</v>
      </c>
      <c r="F33" s="7" t="s">
        <v>29</v>
      </c>
      <c r="G33" s="7" t="s">
        <v>32</v>
      </c>
      <c r="H33" s="7"/>
      <c r="I33" s="7"/>
      <c r="J33" s="5"/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89"/>
      <c r="Y33" s="38">
        <v>0</v>
      </c>
      <c r="Z33" s="38">
        <v>32768</v>
      </c>
      <c r="AE33" s="96"/>
      <c r="AF33" s="87">
        <f>VLOOKUP(A33,SecOC_Cfg.h!$C$33:$D$61,2,FALSE)</f>
        <v>24</v>
      </c>
      <c r="AG33" s="96"/>
      <c r="AH33" s="6" t="s">
        <v>1625</v>
      </c>
      <c r="AI33" s="6">
        <v>1073742831</v>
      </c>
      <c r="AJ33" s="6" t="s">
        <v>1625</v>
      </c>
      <c r="AK33" s="6" t="s">
        <v>1625</v>
      </c>
      <c r="AL33" s="6">
        <f t="shared" si="4"/>
        <v>64</v>
      </c>
    </row>
    <row r="34" spans="1:40">
      <c r="A34" s="7" t="s">
        <v>692</v>
      </c>
      <c r="B34" s="7" t="s">
        <v>691</v>
      </c>
      <c r="C34" s="7" t="s">
        <v>29</v>
      </c>
      <c r="D34" s="7">
        <v>64</v>
      </c>
      <c r="E34" s="7">
        <v>1000</v>
      </c>
      <c r="F34" s="7" t="s">
        <v>29</v>
      </c>
      <c r="G34" s="7" t="s">
        <v>32</v>
      </c>
      <c r="H34" s="7"/>
      <c r="I34" s="7"/>
      <c r="J34" s="5"/>
      <c r="K34" s="6">
        <v>0</v>
      </c>
      <c r="L34" s="6">
        <v>0</v>
      </c>
      <c r="M34" s="6">
        <v>0</v>
      </c>
      <c r="N34" s="6">
        <v>1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89"/>
      <c r="Y34" s="38">
        <v>0</v>
      </c>
      <c r="Z34" s="38">
        <v>32768</v>
      </c>
      <c r="AE34" s="96"/>
      <c r="AF34" s="87">
        <f>VLOOKUP(A34,SecOC_Cfg.h!$C$33:$D$61,2,FALSE)</f>
        <v>26</v>
      </c>
      <c r="AG34" s="96"/>
      <c r="AH34" s="6" t="s">
        <v>1626</v>
      </c>
      <c r="AI34" s="6">
        <v>1073743156</v>
      </c>
      <c r="AJ34" s="6" t="s">
        <v>1626</v>
      </c>
      <c r="AK34" s="6" t="s">
        <v>1626</v>
      </c>
      <c r="AL34" s="6">
        <f t="shared" si="4"/>
        <v>64</v>
      </c>
    </row>
    <row r="35" spans="1:40">
      <c r="A35" s="15"/>
      <c r="B35" s="15"/>
      <c r="C35" s="15"/>
      <c r="D35" s="15"/>
      <c r="E35" s="15"/>
      <c r="F35" s="15"/>
      <c r="G35" s="15"/>
      <c r="H35" s="15"/>
      <c r="I35" s="15"/>
      <c r="J35" s="5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89"/>
      <c r="AE35" s="96"/>
      <c r="AG35" s="96"/>
    </row>
    <row r="36" spans="1:40">
      <c r="A36" s="5" t="s">
        <v>776</v>
      </c>
      <c r="B36" s="5" t="s">
        <v>776</v>
      </c>
      <c r="C36" s="5" t="s">
        <v>776</v>
      </c>
      <c r="D36" s="5" t="s">
        <v>776</v>
      </c>
      <c r="E36" s="5" t="s">
        <v>776</v>
      </c>
      <c r="F36" s="5" t="s">
        <v>776</v>
      </c>
      <c r="G36" s="5" t="s">
        <v>776</v>
      </c>
      <c r="H36" s="5" t="s">
        <v>776</v>
      </c>
      <c r="I36" s="5" t="s">
        <v>776</v>
      </c>
      <c r="J36" s="6" t="s">
        <v>776</v>
      </c>
      <c r="K36" s="6" t="s">
        <v>1154</v>
      </c>
      <c r="L36" s="6" t="s">
        <v>1154</v>
      </c>
      <c r="M36" s="6" t="s">
        <v>1154</v>
      </c>
      <c r="N36" s="6" t="s">
        <v>1154</v>
      </c>
      <c r="O36" s="6" t="s">
        <v>1154</v>
      </c>
      <c r="P36" s="6" t="s">
        <v>1154</v>
      </c>
      <c r="Q36" s="6" t="s">
        <v>1154</v>
      </c>
      <c r="R36" s="6" t="s">
        <v>1154</v>
      </c>
      <c r="S36" s="6" t="s">
        <v>1154</v>
      </c>
      <c r="T36" s="6" t="s">
        <v>1154</v>
      </c>
      <c r="U36" s="6" t="s">
        <v>1154</v>
      </c>
      <c r="V36" s="6" t="s">
        <v>1154</v>
      </c>
      <c r="W36" s="6" t="s">
        <v>1154</v>
      </c>
      <c r="X36" s="89" t="s">
        <v>1154</v>
      </c>
      <c r="Y36" s="38" t="s">
        <v>776</v>
      </c>
      <c r="Z36" s="38" t="s">
        <v>776</v>
      </c>
      <c r="AA36" s="38" t="s">
        <v>776</v>
      </c>
      <c r="AB36" s="38" t="s">
        <v>776</v>
      </c>
      <c r="AC36" s="38" t="s">
        <v>776</v>
      </c>
      <c r="AD36" s="38" t="s">
        <v>776</v>
      </c>
      <c r="AE36" s="96" t="s">
        <v>776</v>
      </c>
      <c r="AF36" s="6" t="s">
        <v>776</v>
      </c>
      <c r="AG36" s="96" t="s">
        <v>776</v>
      </c>
      <c r="AH36" s="6" t="s">
        <v>776</v>
      </c>
      <c r="AI36" s="6" t="s">
        <v>776</v>
      </c>
      <c r="AJ36" s="6" t="s">
        <v>776</v>
      </c>
      <c r="AK36" s="6" t="s">
        <v>776</v>
      </c>
      <c r="AM36" s="6" t="s">
        <v>776</v>
      </c>
      <c r="AN36" s="6" t="s">
        <v>776</v>
      </c>
    </row>
    <row r="37" spans="1:40">
      <c r="A37" s="66" t="str">
        <f t="shared" ref="A37:F37" si="5">A6</f>
        <v>BDC1SE1</v>
      </c>
      <c r="B37" s="66" t="str">
        <f t="shared" si="5"/>
        <v>3D3</v>
      </c>
      <c r="C37" s="66" t="str">
        <f t="shared" si="5"/>
        <v>1</v>
      </c>
      <c r="D37" s="66">
        <f t="shared" si="5"/>
        <v>64</v>
      </c>
      <c r="E37" s="66">
        <f t="shared" si="5"/>
        <v>1000</v>
      </c>
      <c r="F37" s="66" t="str">
        <f t="shared" si="5"/>
        <v>1</v>
      </c>
      <c r="G37" s="66" t="str">
        <f>IF(G6&lt;&gt;"",G6,"")</f>
        <v>R</v>
      </c>
      <c r="H37" s="66" t="str">
        <f>IF(H6&lt;&gt;"",H6,"")</f>
        <v/>
      </c>
      <c r="I37" s="66" t="str">
        <f>IF(I6&lt;&gt;"",I6,"")</f>
        <v/>
      </c>
      <c r="J37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91">
        <v>0</v>
      </c>
      <c r="Y37" s="18"/>
      <c r="Z37" s="18" t="str">
        <f>"(U2)0x"&amp;IF(LOWER(DEC2HEX(VLOOKUP($X37,$Y$6:$Z$34,2,FALSE),4)) = "ffff",LOWER(DEC2HEX(VLOOKUP($X37,$Y$6:$Z$34,2,FALSE),4))&amp;"U,",LOWER(DEC2HEX(VLOOKUP($X37,$Y$6:$Z$34,2,FALSE),4))&amp;"U"&amp;" | (U2)BSW_VCAN_CFG_VMBOX_UTXOFFSET_0,")</f>
        <v>(U2)0x8000U | (U2)BSW_VCAN_CFG_VMBOX_UTXOFFSET_0,</v>
      </c>
      <c r="AA37" s="18" t="str">
        <f>"/* "&amp;($X37*$X$3)&amp;" */"</f>
        <v>/* 0 */</v>
      </c>
      <c r="AE37" s="96"/>
      <c r="AF37" s="6">
        <f t="shared" ref="AF37:AF65" si="6">IF($AF6&lt;&gt;"",$AF6,"")</f>
        <v>19</v>
      </c>
      <c r="AG37" s="96" t="str">
        <f t="shared" ref="AG37:AG65" si="7">IF($AF6&lt;&gt;"","", "/* ")</f>
        <v/>
      </c>
      <c r="AH37" s="6" t="str">
        <f t="shared" ref="AH37:AH65" si="8">IF($AF6&lt;&gt;"","{(U4)0x"&amp;LOWER(DEC2HEX($N6*$N$3,8))&amp;"U,",AH36)</f>
        <v>{(U4)0x00000200U,</v>
      </c>
      <c r="AI37" s="6" t="str">
        <f t="shared" ref="AI37:AI65" si="9">IF($AF6&lt;&gt;"", "(U4)"&amp;LOWER($AJ6)&amp;"U,",AI36)</f>
        <v>(U4)0x400003d3U,</v>
      </c>
      <c r="AJ37" s="6" t="str">
        <f t="shared" ref="AJ37:AJ65" si="10">IF($AF6&lt;&gt;"", "(U4)"&amp;LOWER($AK6)&amp;"U,",AJ36)</f>
        <v>(U4)0x400003d3U,</v>
      </c>
      <c r="AK37" s="6" t="str">
        <f t="shared" ref="AK37:AK65" si="11" xml:space="preserve"> IF($AF6&lt;&gt;"", "(U2)"&amp;$AL6&amp;"U,",AK36)</f>
        <v>(U2)64U,</v>
      </c>
      <c r="AL37" s="6" t="str">
        <f t="shared" ref="AL37:AL65" si="12" xml:space="preserve"> IF($AF6&lt;&gt;"", "(U2)"&amp;$Y6*$X$3&amp;"U},",AL36)</f>
        <v>(U2)0U},</v>
      </c>
      <c r="AM37" s="6" t="str">
        <f>IF($AF6&lt;&gt;"","", " */")</f>
        <v/>
      </c>
      <c r="AN37" s="6" t="str">
        <f t="shared" ref="AN37:AN65" si="13">"/* "&amp;IF($AF6&lt;&gt;"",$AF6," ")&amp;" : "&amp;$A6&amp;" = "&amp;LOWER($AH6)&amp;" */"</f>
        <v>/* 19 : BDC1SE1 = 0x400003d3 */</v>
      </c>
    </row>
    <row r="38" spans="1:40">
      <c r="A38" s="66" t="str">
        <f t="shared" ref="A38:F38" si="14">A7</f>
        <v>BDC1SC2</v>
      </c>
      <c r="B38" s="66" t="str">
        <f t="shared" si="14"/>
        <v>395</v>
      </c>
      <c r="C38" s="66" t="str">
        <f t="shared" si="14"/>
        <v>1</v>
      </c>
      <c r="D38" s="66">
        <f t="shared" si="14"/>
        <v>64</v>
      </c>
      <c r="E38" s="66">
        <f t="shared" si="14"/>
        <v>1000</v>
      </c>
      <c r="F38" s="66" t="str">
        <f t="shared" si="14"/>
        <v>1</v>
      </c>
      <c r="G38" s="66" t="str">
        <f t="shared" ref="G38:I38" si="15">IF(G7&lt;&gt;"",G7,"")</f>
        <v>R</v>
      </c>
      <c r="H38" s="66" t="str">
        <f t="shared" si="15"/>
        <v/>
      </c>
      <c r="I38" s="66" t="str">
        <f t="shared" si="15"/>
        <v/>
      </c>
      <c r="J38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89"/>
      <c r="Y38" s="18"/>
      <c r="AE38" s="96"/>
      <c r="AF38" s="6">
        <f t="shared" si="6"/>
        <v>2</v>
      </c>
      <c r="AG38" s="96" t="str">
        <f t="shared" si="7"/>
        <v/>
      </c>
      <c r="AH38" s="6" t="str">
        <f t="shared" si="8"/>
        <v>{(U4)0x00000200U,</v>
      </c>
      <c r="AI38" s="6" t="str">
        <f t="shared" si="9"/>
        <v>(U4)0x40000395U,</v>
      </c>
      <c r="AJ38" s="6" t="str">
        <f t="shared" si="10"/>
        <v>(U4)0x40000395U,</v>
      </c>
      <c r="AK38" s="6" t="str">
        <f t="shared" si="11"/>
        <v>(U2)64U,</v>
      </c>
      <c r="AL38" s="6" t="str">
        <f t="shared" si="12"/>
        <v>(U2)0U},</v>
      </c>
      <c r="AM38" s="6" t="str">
        <f t="shared" ref="AM38:AM65" si="16">IF($AF7&lt;&gt;"","", " */")</f>
        <v/>
      </c>
      <c r="AN38" s="6" t="str">
        <f t="shared" si="13"/>
        <v>/* 2 : BDC1SC2 = 0x40000395 */</v>
      </c>
    </row>
    <row r="39" spans="1:40">
      <c r="A39" s="66" t="str">
        <f t="shared" ref="A39:F39" si="17">A8</f>
        <v>BDC1S13</v>
      </c>
      <c r="B39" s="66" t="str">
        <f t="shared" si="17"/>
        <v>312</v>
      </c>
      <c r="C39" s="66" t="str">
        <f t="shared" si="17"/>
        <v>1</v>
      </c>
      <c r="D39" s="66">
        <f t="shared" si="17"/>
        <v>32</v>
      </c>
      <c r="E39" s="66">
        <f t="shared" si="17"/>
        <v>1000</v>
      </c>
      <c r="F39" s="66" t="str">
        <f t="shared" si="17"/>
        <v>1</v>
      </c>
      <c r="G39" s="66" t="str">
        <f t="shared" ref="G39:I39" si="18">IF(G8&lt;&gt;"",G8,"")</f>
        <v>R</v>
      </c>
      <c r="H39" s="66" t="str">
        <f t="shared" si="18"/>
        <v/>
      </c>
      <c r="I39" s="66" t="str">
        <f t="shared" si="18"/>
        <v/>
      </c>
      <c r="J3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89"/>
      <c r="AE39" s="96"/>
      <c r="AF39" s="6">
        <f t="shared" si="6"/>
        <v>0</v>
      </c>
      <c r="AG39" s="96" t="str">
        <f t="shared" si="7"/>
        <v/>
      </c>
      <c r="AH39" s="6" t="str">
        <f t="shared" si="8"/>
        <v>{(U4)0x00000200U,</v>
      </c>
      <c r="AI39" s="6" t="str">
        <f t="shared" si="9"/>
        <v>(U4)0x40000312U,</v>
      </c>
      <c r="AJ39" s="6" t="str">
        <f t="shared" si="10"/>
        <v>(U4)0x40000312U,</v>
      </c>
      <c r="AK39" s="6" t="str">
        <f t="shared" si="11"/>
        <v>(U2)32U,</v>
      </c>
      <c r="AL39" s="6" t="str">
        <f t="shared" si="12"/>
        <v>(U2)0U},</v>
      </c>
      <c r="AM39" s="6" t="str">
        <f t="shared" si="16"/>
        <v/>
      </c>
      <c r="AN39" s="6" t="str">
        <f t="shared" si="13"/>
        <v>/* 0 : BDC1S13 = 0x40000312 */</v>
      </c>
    </row>
    <row r="40" spans="1:40">
      <c r="A40" s="66" t="str">
        <f t="shared" ref="A40:F40" si="19">A9</f>
        <v>BDC1SE7</v>
      </c>
      <c r="B40" s="66" t="str">
        <f t="shared" si="19"/>
        <v>3F5</v>
      </c>
      <c r="C40" s="66" t="str">
        <f t="shared" si="19"/>
        <v>1</v>
      </c>
      <c r="D40" s="66">
        <f t="shared" si="19"/>
        <v>64</v>
      </c>
      <c r="E40" s="66">
        <f t="shared" si="19"/>
        <v>1000</v>
      </c>
      <c r="F40" s="66" t="str">
        <f t="shared" si="19"/>
        <v>1</v>
      </c>
      <c r="G40" s="66" t="str">
        <f t="shared" ref="G40:I40" si="20">IF(G9&lt;&gt;"",G9,"")</f>
        <v>R</v>
      </c>
      <c r="H40" s="66" t="str">
        <f t="shared" si="20"/>
        <v/>
      </c>
      <c r="I40" s="66" t="str">
        <f t="shared" si="20"/>
        <v/>
      </c>
      <c r="J40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89"/>
      <c r="AE40" s="96"/>
      <c r="AF40" s="6">
        <f t="shared" si="6"/>
        <v>25</v>
      </c>
      <c r="AG40" s="96" t="str">
        <f t="shared" si="7"/>
        <v/>
      </c>
      <c r="AH40" s="6" t="str">
        <f t="shared" si="8"/>
        <v>{(U4)0x00000200U,</v>
      </c>
      <c r="AI40" s="6" t="str">
        <f t="shared" si="9"/>
        <v>(U4)0x400003f5U,</v>
      </c>
      <c r="AJ40" s="6" t="str">
        <f t="shared" si="10"/>
        <v>(U4)0x400003f5U,</v>
      </c>
      <c r="AK40" s="6" t="str">
        <f t="shared" si="11"/>
        <v>(U2)64U,</v>
      </c>
      <c r="AL40" s="6" t="str">
        <f t="shared" si="12"/>
        <v>(U2)0U},</v>
      </c>
      <c r="AM40" s="6" t="str">
        <f t="shared" si="16"/>
        <v/>
      </c>
      <c r="AN40" s="6" t="str">
        <f t="shared" si="13"/>
        <v>/* 25 : BDC1SE7 = 0x400003f5 */</v>
      </c>
    </row>
    <row r="41" spans="1:40">
      <c r="A41" s="66" t="str">
        <f t="shared" ref="A41:F41" si="21">A10</f>
        <v>BDC1SJ5</v>
      </c>
      <c r="B41" s="66" t="str">
        <f t="shared" si="21"/>
        <v>378</v>
      </c>
      <c r="C41" s="66" t="str">
        <f t="shared" si="21"/>
        <v>1</v>
      </c>
      <c r="D41" s="66">
        <f t="shared" si="21"/>
        <v>64</v>
      </c>
      <c r="E41" s="66">
        <f t="shared" si="21"/>
        <v>2000</v>
      </c>
      <c r="F41" s="66" t="str">
        <f t="shared" si="21"/>
        <v>1</v>
      </c>
      <c r="G41" s="66" t="str">
        <f t="shared" ref="G41:I41" si="22">IF(G10&lt;&gt;"",G10,"")</f>
        <v>R</v>
      </c>
      <c r="H41" s="66" t="str">
        <f t="shared" si="22"/>
        <v/>
      </c>
      <c r="I41" s="66" t="str">
        <f t="shared" si="22"/>
        <v/>
      </c>
      <c r="J41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89"/>
      <c r="AE41" s="96"/>
      <c r="AF41" s="6">
        <f t="shared" si="6"/>
        <v>27</v>
      </c>
      <c r="AG41" s="96" t="str">
        <f t="shared" si="7"/>
        <v/>
      </c>
      <c r="AH41" s="6" t="str">
        <f t="shared" si="8"/>
        <v>{(U4)0x00000200U,</v>
      </c>
      <c r="AI41" s="6" t="str">
        <f t="shared" si="9"/>
        <v>(U4)0x40000378U,</v>
      </c>
      <c r="AJ41" s="6" t="str">
        <f t="shared" si="10"/>
        <v>(U4)0x40000378U,</v>
      </c>
      <c r="AK41" s="6" t="str">
        <f t="shared" si="11"/>
        <v>(U2)64U,</v>
      </c>
      <c r="AL41" s="6" t="str">
        <f t="shared" si="12"/>
        <v>(U2)0U},</v>
      </c>
      <c r="AM41" s="6" t="str">
        <f t="shared" si="16"/>
        <v/>
      </c>
      <c r="AN41" s="6" t="str">
        <f t="shared" si="13"/>
        <v>/* 27 : BDC1SJ5 = 0x40000378 */</v>
      </c>
    </row>
    <row r="42" spans="1:40">
      <c r="A42" s="66" t="str">
        <f t="shared" ref="A42:F42" si="23">A11</f>
        <v>BDC1SC4</v>
      </c>
      <c r="B42" s="66" t="str">
        <f t="shared" si="23"/>
        <v>39A</v>
      </c>
      <c r="C42" s="66" t="str">
        <f t="shared" si="23"/>
        <v>1</v>
      </c>
      <c r="D42" s="66">
        <f t="shared" si="23"/>
        <v>64</v>
      </c>
      <c r="E42" s="66">
        <f t="shared" si="23"/>
        <v>1000</v>
      </c>
      <c r="F42" s="66" t="str">
        <f t="shared" si="23"/>
        <v>1</v>
      </c>
      <c r="G42" s="66" t="str">
        <f t="shared" ref="G42:I42" si="24">IF(G11&lt;&gt;"",G11,"")</f>
        <v>R</v>
      </c>
      <c r="H42" s="66" t="str">
        <f t="shared" si="24"/>
        <v/>
      </c>
      <c r="I42" s="66" t="str">
        <f t="shared" si="24"/>
        <v/>
      </c>
      <c r="J4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89"/>
      <c r="AE42" s="96"/>
      <c r="AF42" s="6">
        <f t="shared" si="6"/>
        <v>4</v>
      </c>
      <c r="AG42" s="96" t="str">
        <f t="shared" si="7"/>
        <v/>
      </c>
      <c r="AH42" s="6" t="str">
        <f t="shared" si="8"/>
        <v>{(U4)0x00000200U,</v>
      </c>
      <c r="AI42" s="6" t="str">
        <f t="shared" si="9"/>
        <v>(U4)0x4000039aU,</v>
      </c>
      <c r="AJ42" s="6" t="str">
        <f t="shared" si="10"/>
        <v>(U4)0x4000039aU,</v>
      </c>
      <c r="AK42" s="6" t="str">
        <f t="shared" si="11"/>
        <v>(U2)64U,</v>
      </c>
      <c r="AL42" s="6" t="str">
        <f t="shared" si="12"/>
        <v>(U2)0U},</v>
      </c>
      <c r="AM42" s="6" t="str">
        <f t="shared" si="16"/>
        <v/>
      </c>
      <c r="AN42" s="6" t="str">
        <f t="shared" si="13"/>
        <v>/* 4 : BDC1SC4 = 0x4000039a */</v>
      </c>
    </row>
    <row r="43" spans="1:40">
      <c r="A43" s="66" t="str">
        <f t="shared" ref="A43:F43" si="25">A12</f>
        <v>BDC1SC5</v>
      </c>
      <c r="B43" s="66" t="str">
        <f t="shared" si="25"/>
        <v>39B</v>
      </c>
      <c r="C43" s="66" t="str">
        <f t="shared" si="25"/>
        <v>1</v>
      </c>
      <c r="D43" s="66">
        <f t="shared" si="25"/>
        <v>64</v>
      </c>
      <c r="E43" s="66">
        <f t="shared" si="25"/>
        <v>1000</v>
      </c>
      <c r="F43" s="66" t="str">
        <f t="shared" si="25"/>
        <v>1</v>
      </c>
      <c r="G43" s="66" t="str">
        <f t="shared" ref="G43:I43" si="26">IF(G12&lt;&gt;"",G12,"")</f>
        <v>R</v>
      </c>
      <c r="H43" s="66" t="str">
        <f t="shared" si="26"/>
        <v/>
      </c>
      <c r="I43" s="66" t="str">
        <f t="shared" si="26"/>
        <v/>
      </c>
      <c r="J43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89"/>
      <c r="AE43" s="96"/>
      <c r="AF43" s="6">
        <f t="shared" si="6"/>
        <v>5</v>
      </c>
      <c r="AG43" s="96" t="str">
        <f t="shared" si="7"/>
        <v/>
      </c>
      <c r="AH43" s="6" t="str">
        <f t="shared" si="8"/>
        <v>{(U4)0x00000200U,</v>
      </c>
      <c r="AI43" s="6" t="str">
        <f t="shared" si="9"/>
        <v>(U4)0x4000039bU,</v>
      </c>
      <c r="AJ43" s="6" t="str">
        <f t="shared" si="10"/>
        <v>(U4)0x4000039bU,</v>
      </c>
      <c r="AK43" s="6" t="str">
        <f t="shared" si="11"/>
        <v>(U2)64U,</v>
      </c>
      <c r="AL43" s="6" t="str">
        <f t="shared" si="12"/>
        <v>(U2)0U},</v>
      </c>
      <c r="AM43" s="6" t="str">
        <f t="shared" si="16"/>
        <v/>
      </c>
      <c r="AN43" s="6" t="str">
        <f t="shared" si="13"/>
        <v>/* 5 : BDC1SC5 = 0x4000039b */</v>
      </c>
    </row>
    <row r="44" spans="1:40">
      <c r="A44" s="66" t="str">
        <f t="shared" ref="A44:F44" si="27">A13</f>
        <v>BDC1SC6</v>
      </c>
      <c r="B44" s="66" t="str">
        <f t="shared" si="27"/>
        <v>39D</v>
      </c>
      <c r="C44" s="66" t="str">
        <f t="shared" si="27"/>
        <v>1</v>
      </c>
      <c r="D44" s="66">
        <f t="shared" si="27"/>
        <v>64</v>
      </c>
      <c r="E44" s="66">
        <f t="shared" si="27"/>
        <v>1000</v>
      </c>
      <c r="F44" s="66" t="str">
        <f t="shared" si="27"/>
        <v>1</v>
      </c>
      <c r="G44" s="66" t="str">
        <f t="shared" ref="G44:I44" si="28">IF(G13&lt;&gt;"",G13,"")</f>
        <v>R</v>
      </c>
      <c r="H44" s="66" t="str">
        <f t="shared" si="28"/>
        <v/>
      </c>
      <c r="I44" s="66" t="str">
        <f t="shared" si="28"/>
        <v/>
      </c>
      <c r="J4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89"/>
      <c r="AE44" s="96"/>
      <c r="AF44" s="6">
        <f t="shared" si="6"/>
        <v>6</v>
      </c>
      <c r="AG44" s="96" t="str">
        <f t="shared" si="7"/>
        <v/>
      </c>
      <c r="AH44" s="6" t="str">
        <f t="shared" si="8"/>
        <v>{(U4)0x00000200U,</v>
      </c>
      <c r="AI44" s="6" t="str">
        <f t="shared" si="9"/>
        <v>(U4)0x4000039dU,</v>
      </c>
      <c r="AJ44" s="6" t="str">
        <f t="shared" si="10"/>
        <v>(U4)0x4000039dU,</v>
      </c>
      <c r="AK44" s="6" t="str">
        <f t="shared" si="11"/>
        <v>(U2)64U,</v>
      </c>
      <c r="AL44" s="6" t="str">
        <f t="shared" si="12"/>
        <v>(U2)0U},</v>
      </c>
      <c r="AM44" s="6" t="str">
        <f t="shared" si="16"/>
        <v/>
      </c>
      <c r="AN44" s="6" t="str">
        <f t="shared" si="13"/>
        <v>/* 6 : BDC1SC6 = 0x4000039d */</v>
      </c>
    </row>
    <row r="45" spans="1:40">
      <c r="A45" s="66" t="str">
        <f t="shared" ref="A45:F45" si="29">A14</f>
        <v>BDC1SD9</v>
      </c>
      <c r="B45" s="66" t="str">
        <f t="shared" si="29"/>
        <v>3CD</v>
      </c>
      <c r="C45" s="66" t="str">
        <f t="shared" si="29"/>
        <v>1</v>
      </c>
      <c r="D45" s="66">
        <f t="shared" si="29"/>
        <v>64</v>
      </c>
      <c r="E45" s="66">
        <f t="shared" si="29"/>
        <v>1000</v>
      </c>
      <c r="F45" s="66" t="str">
        <f t="shared" si="29"/>
        <v>1</v>
      </c>
      <c r="G45" s="66" t="str">
        <f t="shared" ref="G45:I45" si="30">IF(G14&lt;&gt;"",G14,"")</f>
        <v>R</v>
      </c>
      <c r="H45" s="66" t="str">
        <f t="shared" si="30"/>
        <v/>
      </c>
      <c r="I45" s="66" t="str">
        <f t="shared" si="30"/>
        <v/>
      </c>
      <c r="J45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89"/>
      <c r="AE45" s="96"/>
      <c r="AF45" s="6">
        <f t="shared" si="6"/>
        <v>18</v>
      </c>
      <c r="AG45" s="96" t="str">
        <f t="shared" si="7"/>
        <v/>
      </c>
      <c r="AH45" s="6" t="str">
        <f t="shared" si="8"/>
        <v>{(U4)0x00000200U,</v>
      </c>
      <c r="AI45" s="6" t="str">
        <f t="shared" si="9"/>
        <v>(U4)0x400003cdU,</v>
      </c>
      <c r="AJ45" s="6" t="str">
        <f t="shared" si="10"/>
        <v>(U4)0x400003cdU,</v>
      </c>
      <c r="AK45" s="6" t="str">
        <f t="shared" si="11"/>
        <v>(U2)64U,</v>
      </c>
      <c r="AL45" s="6" t="str">
        <f t="shared" si="12"/>
        <v>(U2)0U},</v>
      </c>
      <c r="AM45" s="6" t="str">
        <f t="shared" si="16"/>
        <v/>
      </c>
      <c r="AN45" s="6" t="str">
        <f t="shared" si="13"/>
        <v>/* 18 : BDC1SD9 = 0x400003cd */</v>
      </c>
    </row>
    <row r="46" spans="1:40">
      <c r="A46" s="66" t="str">
        <f t="shared" ref="A46:F46" si="31">A15</f>
        <v>BDC1SE3</v>
      </c>
      <c r="B46" s="66" t="str">
        <f t="shared" si="31"/>
        <v>3DD</v>
      </c>
      <c r="C46" s="66" t="str">
        <f t="shared" si="31"/>
        <v>1</v>
      </c>
      <c r="D46" s="66">
        <f t="shared" si="31"/>
        <v>64</v>
      </c>
      <c r="E46" s="66">
        <f t="shared" si="31"/>
        <v>1000</v>
      </c>
      <c r="F46" s="66" t="str">
        <f t="shared" si="31"/>
        <v>1</v>
      </c>
      <c r="G46" s="66" t="str">
        <f t="shared" ref="G46:I46" si="32">IF(G15&lt;&gt;"",G15,"")</f>
        <v>R</v>
      </c>
      <c r="H46" s="66" t="str">
        <f t="shared" si="32"/>
        <v/>
      </c>
      <c r="I46" s="66" t="str">
        <f t="shared" si="32"/>
        <v/>
      </c>
      <c r="J4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89"/>
      <c r="AE46" s="96"/>
      <c r="AF46" s="6">
        <f t="shared" si="6"/>
        <v>21</v>
      </c>
      <c r="AG46" s="96" t="str">
        <f t="shared" si="7"/>
        <v/>
      </c>
      <c r="AH46" s="6" t="str">
        <f t="shared" si="8"/>
        <v>{(U4)0x00000200U,</v>
      </c>
      <c r="AI46" s="6" t="str">
        <f t="shared" si="9"/>
        <v>(U4)0x400003ddU,</v>
      </c>
      <c r="AJ46" s="6" t="str">
        <f t="shared" si="10"/>
        <v>(U4)0x400003ddU,</v>
      </c>
      <c r="AK46" s="6" t="str">
        <f t="shared" si="11"/>
        <v>(U2)64U,</v>
      </c>
      <c r="AL46" s="6" t="str">
        <f t="shared" si="12"/>
        <v>(U2)0U},</v>
      </c>
      <c r="AM46" s="6" t="str">
        <f t="shared" si="16"/>
        <v/>
      </c>
      <c r="AN46" s="6" t="str">
        <f t="shared" si="13"/>
        <v>/* 21 : BDC1SE3 = 0x400003dd */</v>
      </c>
    </row>
    <row r="47" spans="1:40">
      <c r="A47" s="66" t="str">
        <f t="shared" ref="A47:F47" si="33">A16</f>
        <v>BDC1SC1</v>
      </c>
      <c r="B47" s="66" t="str">
        <f t="shared" si="33"/>
        <v>393</v>
      </c>
      <c r="C47" s="66" t="str">
        <f t="shared" si="33"/>
        <v>1</v>
      </c>
      <c r="D47" s="66">
        <f t="shared" si="33"/>
        <v>64</v>
      </c>
      <c r="E47" s="66">
        <f t="shared" si="33"/>
        <v>1000</v>
      </c>
      <c r="F47" s="66" t="str">
        <f t="shared" si="33"/>
        <v>1</v>
      </c>
      <c r="G47" s="66" t="str">
        <f t="shared" ref="G47:I47" si="34">IF(G16&lt;&gt;"",G16,"")</f>
        <v>R</v>
      </c>
      <c r="H47" s="66" t="str">
        <f t="shared" si="34"/>
        <v/>
      </c>
      <c r="I47" s="66" t="str">
        <f t="shared" si="34"/>
        <v/>
      </c>
      <c r="J4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89"/>
      <c r="AE47" s="96"/>
      <c r="AF47" s="6">
        <f t="shared" si="6"/>
        <v>1</v>
      </c>
      <c r="AG47" s="96" t="str">
        <f t="shared" si="7"/>
        <v/>
      </c>
      <c r="AH47" s="6" t="str">
        <f t="shared" si="8"/>
        <v>{(U4)0x00000200U,</v>
      </c>
      <c r="AI47" s="6" t="str">
        <f t="shared" si="9"/>
        <v>(U4)0x40000393U,</v>
      </c>
      <c r="AJ47" s="6" t="str">
        <f t="shared" si="10"/>
        <v>(U4)0x40000393U,</v>
      </c>
      <c r="AK47" s="6" t="str">
        <f t="shared" si="11"/>
        <v>(U2)64U,</v>
      </c>
      <c r="AL47" s="6" t="str">
        <f t="shared" si="12"/>
        <v>(U2)0U},</v>
      </c>
      <c r="AM47" s="6" t="str">
        <f t="shared" si="16"/>
        <v/>
      </c>
      <c r="AN47" s="6" t="str">
        <f t="shared" si="13"/>
        <v>/* 1 : BDC1SC1 = 0x40000393 */</v>
      </c>
    </row>
    <row r="48" spans="1:40">
      <c r="A48" s="66" t="str">
        <f t="shared" ref="A48:F48" si="35">A17</f>
        <v>BDC1SC3</v>
      </c>
      <c r="B48" s="66" t="str">
        <f t="shared" si="35"/>
        <v>396</v>
      </c>
      <c r="C48" s="66" t="str">
        <f t="shared" si="35"/>
        <v>1</v>
      </c>
      <c r="D48" s="66">
        <f t="shared" si="35"/>
        <v>64</v>
      </c>
      <c r="E48" s="66">
        <f t="shared" si="35"/>
        <v>1000</v>
      </c>
      <c r="F48" s="66" t="str">
        <f t="shared" si="35"/>
        <v>1</v>
      </c>
      <c r="G48" s="66" t="str">
        <f t="shared" ref="G48:I48" si="36">IF(G17&lt;&gt;"",G17,"")</f>
        <v>R</v>
      </c>
      <c r="H48" s="66" t="str">
        <f t="shared" si="36"/>
        <v/>
      </c>
      <c r="I48" s="66" t="str">
        <f t="shared" si="36"/>
        <v/>
      </c>
      <c r="J48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89"/>
      <c r="AE48" s="96"/>
      <c r="AF48" s="6">
        <f t="shared" si="6"/>
        <v>3</v>
      </c>
      <c r="AG48" s="96" t="str">
        <f t="shared" si="7"/>
        <v/>
      </c>
      <c r="AH48" s="6" t="str">
        <f t="shared" si="8"/>
        <v>{(U4)0x00000200U,</v>
      </c>
      <c r="AI48" s="6" t="str">
        <f t="shared" si="9"/>
        <v>(U4)0x40000396U,</v>
      </c>
      <c r="AJ48" s="6" t="str">
        <f t="shared" si="10"/>
        <v>(U4)0x40000396U,</v>
      </c>
      <c r="AK48" s="6" t="str">
        <f t="shared" si="11"/>
        <v>(U2)64U,</v>
      </c>
      <c r="AL48" s="6" t="str">
        <f t="shared" si="12"/>
        <v>(U2)0U},</v>
      </c>
      <c r="AM48" s="6" t="str">
        <f t="shared" si="16"/>
        <v/>
      </c>
      <c r="AN48" s="6" t="str">
        <f t="shared" si="13"/>
        <v>/* 3 : BDC1SC3 = 0x40000396 */</v>
      </c>
    </row>
    <row r="49" spans="1:40">
      <c r="A49" s="66" t="str">
        <f t="shared" ref="A49:F49" si="37">A18</f>
        <v>BDC1SC7</v>
      </c>
      <c r="B49" s="66" t="str">
        <f t="shared" si="37"/>
        <v>39E</v>
      </c>
      <c r="C49" s="66" t="str">
        <f t="shared" si="37"/>
        <v>1</v>
      </c>
      <c r="D49" s="66">
        <f t="shared" si="37"/>
        <v>64</v>
      </c>
      <c r="E49" s="66">
        <f t="shared" si="37"/>
        <v>1000</v>
      </c>
      <c r="F49" s="66" t="str">
        <f t="shared" si="37"/>
        <v>1</v>
      </c>
      <c r="G49" s="66" t="str">
        <f t="shared" ref="G49:I49" si="38">IF(G18&lt;&gt;"",G18,"")</f>
        <v>R</v>
      </c>
      <c r="H49" s="66" t="str">
        <f t="shared" si="38"/>
        <v/>
      </c>
      <c r="I49" s="66" t="str">
        <f t="shared" si="38"/>
        <v/>
      </c>
      <c r="J49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89"/>
      <c r="AE49" s="96"/>
      <c r="AF49" s="6">
        <f t="shared" si="6"/>
        <v>7</v>
      </c>
      <c r="AG49" s="96" t="str">
        <f t="shared" si="7"/>
        <v/>
      </c>
      <c r="AH49" s="6" t="str">
        <f t="shared" si="8"/>
        <v>{(U4)0x00000200U,</v>
      </c>
      <c r="AI49" s="6" t="str">
        <f t="shared" si="9"/>
        <v>(U4)0x4000039eU,</v>
      </c>
      <c r="AJ49" s="6" t="str">
        <f t="shared" si="10"/>
        <v>(U4)0x4000039eU,</v>
      </c>
      <c r="AK49" s="6" t="str">
        <f t="shared" si="11"/>
        <v>(U2)64U,</v>
      </c>
      <c r="AL49" s="6" t="str">
        <f t="shared" si="12"/>
        <v>(U2)0U},</v>
      </c>
      <c r="AM49" s="6" t="str">
        <f t="shared" si="16"/>
        <v/>
      </c>
      <c r="AN49" s="6" t="str">
        <f t="shared" si="13"/>
        <v>/* 7 : BDC1SC7 = 0x4000039e */</v>
      </c>
    </row>
    <row r="50" spans="1:40">
      <c r="A50" s="66" t="str">
        <f t="shared" ref="A50:F50" si="39">A19</f>
        <v>BDC1SC8</v>
      </c>
      <c r="B50" s="66" t="str">
        <f t="shared" si="39"/>
        <v>39F</v>
      </c>
      <c r="C50" s="66" t="str">
        <f t="shared" si="39"/>
        <v>1</v>
      </c>
      <c r="D50" s="66">
        <f t="shared" si="39"/>
        <v>64</v>
      </c>
      <c r="E50" s="66">
        <f t="shared" si="39"/>
        <v>1000</v>
      </c>
      <c r="F50" s="66" t="str">
        <f t="shared" si="39"/>
        <v>1</v>
      </c>
      <c r="G50" s="66" t="str">
        <f t="shared" ref="G50:I50" si="40">IF(G19&lt;&gt;"",G19,"")</f>
        <v>R</v>
      </c>
      <c r="H50" s="66" t="str">
        <f t="shared" si="40"/>
        <v/>
      </c>
      <c r="I50" s="66" t="str">
        <f t="shared" si="40"/>
        <v/>
      </c>
      <c r="J50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89"/>
      <c r="AE50" s="96"/>
      <c r="AF50" s="6">
        <f t="shared" si="6"/>
        <v>8</v>
      </c>
      <c r="AG50" s="96" t="str">
        <f t="shared" si="7"/>
        <v/>
      </c>
      <c r="AH50" s="6" t="str">
        <f t="shared" si="8"/>
        <v>{(U4)0x00000200U,</v>
      </c>
      <c r="AI50" s="6" t="str">
        <f t="shared" si="9"/>
        <v>(U4)0x4000039fU,</v>
      </c>
      <c r="AJ50" s="6" t="str">
        <f t="shared" si="10"/>
        <v>(U4)0x4000039fU,</v>
      </c>
      <c r="AK50" s="6" t="str">
        <f t="shared" si="11"/>
        <v>(U2)64U,</v>
      </c>
      <c r="AL50" s="6" t="str">
        <f t="shared" si="12"/>
        <v>(U2)0U},</v>
      </c>
      <c r="AM50" s="6" t="str">
        <f t="shared" si="16"/>
        <v/>
      </c>
      <c r="AN50" s="6" t="str">
        <f t="shared" si="13"/>
        <v>/* 8 : BDC1SC8 = 0x4000039f */</v>
      </c>
    </row>
    <row r="51" spans="1:40">
      <c r="A51" s="66" t="str">
        <f t="shared" ref="A51:F51" si="41">A20</f>
        <v>BDC1SC9</v>
      </c>
      <c r="B51" s="66" t="str">
        <f t="shared" si="41"/>
        <v>3A5</v>
      </c>
      <c r="C51" s="66" t="str">
        <f t="shared" si="41"/>
        <v>1</v>
      </c>
      <c r="D51" s="66">
        <f t="shared" si="41"/>
        <v>64</v>
      </c>
      <c r="E51" s="66">
        <f t="shared" si="41"/>
        <v>1000</v>
      </c>
      <c r="F51" s="66" t="str">
        <f t="shared" si="41"/>
        <v>1</v>
      </c>
      <c r="G51" s="66" t="str">
        <f t="shared" ref="G51:I51" si="42">IF(G20&lt;&gt;"",G20,"")</f>
        <v>R</v>
      </c>
      <c r="H51" s="66" t="str">
        <f t="shared" si="42"/>
        <v/>
      </c>
      <c r="I51" s="66" t="str">
        <f t="shared" si="42"/>
        <v/>
      </c>
      <c r="J51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89"/>
      <c r="AE51" s="96"/>
      <c r="AF51" s="6">
        <f t="shared" si="6"/>
        <v>9</v>
      </c>
      <c r="AG51" s="96" t="str">
        <f t="shared" si="7"/>
        <v/>
      </c>
      <c r="AH51" s="6" t="str">
        <f t="shared" si="8"/>
        <v>{(U4)0x00000200U,</v>
      </c>
      <c r="AI51" s="6" t="str">
        <f t="shared" si="9"/>
        <v>(U4)0x400003a5U,</v>
      </c>
      <c r="AJ51" s="6" t="str">
        <f t="shared" si="10"/>
        <v>(U4)0x400003a5U,</v>
      </c>
      <c r="AK51" s="6" t="str">
        <f t="shared" si="11"/>
        <v>(U2)64U,</v>
      </c>
      <c r="AL51" s="6" t="str">
        <f t="shared" si="12"/>
        <v>(U2)0U},</v>
      </c>
      <c r="AM51" s="6" t="str">
        <f t="shared" si="16"/>
        <v/>
      </c>
      <c r="AN51" s="6" t="str">
        <f t="shared" si="13"/>
        <v>/* 9 : BDC1SC9 = 0x400003a5 */</v>
      </c>
    </row>
    <row r="52" spans="1:40">
      <c r="A52" s="66" t="str">
        <f t="shared" ref="A52:F52" si="43">A21</f>
        <v>BDC1SE4</v>
      </c>
      <c r="B52" s="66" t="str">
        <f t="shared" si="43"/>
        <v>3E1</v>
      </c>
      <c r="C52" s="66" t="str">
        <f t="shared" si="43"/>
        <v>1</v>
      </c>
      <c r="D52" s="66">
        <f t="shared" si="43"/>
        <v>64</v>
      </c>
      <c r="E52" s="66">
        <f t="shared" si="43"/>
        <v>1000</v>
      </c>
      <c r="F52" s="66" t="str">
        <f t="shared" si="43"/>
        <v>1</v>
      </c>
      <c r="G52" s="66" t="str">
        <f t="shared" ref="G52:I52" si="44">IF(G21&lt;&gt;"",G21,"")</f>
        <v>R</v>
      </c>
      <c r="H52" s="66" t="str">
        <f t="shared" si="44"/>
        <v/>
      </c>
      <c r="I52" s="66" t="str">
        <f t="shared" si="44"/>
        <v/>
      </c>
      <c r="J5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89"/>
      <c r="AE52" s="96"/>
      <c r="AF52" s="6">
        <f t="shared" si="6"/>
        <v>22</v>
      </c>
      <c r="AG52" s="96" t="str">
        <f t="shared" si="7"/>
        <v/>
      </c>
      <c r="AH52" s="6" t="str">
        <f t="shared" si="8"/>
        <v>{(U4)0x00000200U,</v>
      </c>
      <c r="AI52" s="6" t="str">
        <f t="shared" si="9"/>
        <v>(U4)0x400003e1U,</v>
      </c>
      <c r="AJ52" s="6" t="str">
        <f t="shared" si="10"/>
        <v>(U4)0x400003e1U,</v>
      </c>
      <c r="AK52" s="6" t="str">
        <f t="shared" si="11"/>
        <v>(U2)64U,</v>
      </c>
      <c r="AL52" s="6" t="str">
        <f t="shared" si="12"/>
        <v>(U2)0U},</v>
      </c>
      <c r="AM52" s="6" t="str">
        <f t="shared" si="16"/>
        <v/>
      </c>
      <c r="AN52" s="6" t="str">
        <f t="shared" si="13"/>
        <v>/* 22 : BDC1SE4 = 0x400003e1 */</v>
      </c>
    </row>
    <row r="53" spans="1:40">
      <c r="A53" s="66" t="str">
        <f t="shared" ref="A53:F53" si="45">A22</f>
        <v>BDC1SE5</v>
      </c>
      <c r="B53" s="66" t="str">
        <f t="shared" si="45"/>
        <v>3EB</v>
      </c>
      <c r="C53" s="66" t="str">
        <f t="shared" si="45"/>
        <v>1</v>
      </c>
      <c r="D53" s="66">
        <f t="shared" si="45"/>
        <v>64</v>
      </c>
      <c r="E53" s="66">
        <f t="shared" si="45"/>
        <v>1000</v>
      </c>
      <c r="F53" s="66" t="str">
        <f t="shared" si="45"/>
        <v>1</v>
      </c>
      <c r="G53" s="66" t="str">
        <f t="shared" ref="G53:I53" si="46">IF(G22&lt;&gt;"",G22,"")</f>
        <v>R</v>
      </c>
      <c r="H53" s="66" t="str">
        <f t="shared" si="46"/>
        <v/>
      </c>
      <c r="I53" s="66" t="str">
        <f t="shared" si="46"/>
        <v/>
      </c>
      <c r="J53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89"/>
      <c r="AE53" s="96"/>
      <c r="AF53" s="6">
        <f t="shared" si="6"/>
        <v>23</v>
      </c>
      <c r="AG53" s="96" t="str">
        <f t="shared" si="7"/>
        <v/>
      </c>
      <c r="AH53" s="6" t="str">
        <f t="shared" si="8"/>
        <v>{(U4)0x00000200U,</v>
      </c>
      <c r="AI53" s="6" t="str">
        <f t="shared" si="9"/>
        <v>(U4)0x400003ebU,</v>
      </c>
      <c r="AJ53" s="6" t="str">
        <f t="shared" si="10"/>
        <v>(U4)0x400003ebU,</v>
      </c>
      <c r="AK53" s="6" t="str">
        <f t="shared" si="11"/>
        <v>(U2)64U,</v>
      </c>
      <c r="AL53" s="6" t="str">
        <f t="shared" si="12"/>
        <v>(U2)0U},</v>
      </c>
      <c r="AM53" s="6" t="str">
        <f t="shared" si="16"/>
        <v/>
      </c>
      <c r="AN53" s="6" t="str">
        <f t="shared" si="13"/>
        <v>/* 23 : BDC1SE5 = 0x400003eb */</v>
      </c>
    </row>
    <row r="54" spans="1:40">
      <c r="A54" s="66" t="str">
        <f t="shared" ref="A54:F54" si="47">A23</f>
        <v>BDC1SD1</v>
      </c>
      <c r="B54" s="66" t="str">
        <f t="shared" si="47"/>
        <v>3AC</v>
      </c>
      <c r="C54" s="66" t="str">
        <f t="shared" si="47"/>
        <v>1</v>
      </c>
      <c r="D54" s="66">
        <f t="shared" si="47"/>
        <v>64</v>
      </c>
      <c r="E54" s="66">
        <f t="shared" si="47"/>
        <v>1000</v>
      </c>
      <c r="F54" s="66" t="str">
        <f t="shared" si="47"/>
        <v>1</v>
      </c>
      <c r="G54" s="66" t="str">
        <f t="shared" ref="G54:I54" si="48">IF(G23&lt;&gt;"",G23,"")</f>
        <v>R</v>
      </c>
      <c r="H54" s="66" t="str">
        <f t="shared" si="48"/>
        <v/>
      </c>
      <c r="I54" s="66" t="str">
        <f t="shared" si="48"/>
        <v/>
      </c>
      <c r="J5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89"/>
      <c r="AE54" s="96"/>
      <c r="AF54" s="6">
        <f t="shared" si="6"/>
        <v>10</v>
      </c>
      <c r="AG54" s="96" t="str">
        <f t="shared" si="7"/>
        <v/>
      </c>
      <c r="AH54" s="6" t="str">
        <f t="shared" si="8"/>
        <v>{(U4)0x00000200U,</v>
      </c>
      <c r="AI54" s="6" t="str">
        <f t="shared" si="9"/>
        <v>(U4)0x400003acU,</v>
      </c>
      <c r="AJ54" s="6" t="str">
        <f t="shared" si="10"/>
        <v>(U4)0x400003acU,</v>
      </c>
      <c r="AK54" s="6" t="str">
        <f t="shared" si="11"/>
        <v>(U2)64U,</v>
      </c>
      <c r="AL54" s="6" t="str">
        <f t="shared" si="12"/>
        <v>(U2)0U},</v>
      </c>
      <c r="AM54" s="6" t="str">
        <f t="shared" si="16"/>
        <v/>
      </c>
      <c r="AN54" s="6" t="str">
        <f t="shared" si="13"/>
        <v>/* 10 : BDC1SD1 = 0x400003ac */</v>
      </c>
    </row>
    <row r="55" spans="1:40">
      <c r="A55" s="66" t="str">
        <f t="shared" ref="A55:F55" si="49">A24</f>
        <v>BDC1SD2</v>
      </c>
      <c r="B55" s="66" t="str">
        <f t="shared" si="49"/>
        <v>3AE</v>
      </c>
      <c r="C55" s="66" t="str">
        <f t="shared" si="49"/>
        <v>1</v>
      </c>
      <c r="D55" s="66">
        <f t="shared" si="49"/>
        <v>64</v>
      </c>
      <c r="E55" s="66">
        <f t="shared" si="49"/>
        <v>1000</v>
      </c>
      <c r="F55" s="66" t="str">
        <f t="shared" si="49"/>
        <v>1</v>
      </c>
      <c r="G55" s="66" t="str">
        <f t="shared" ref="G55:I55" si="50">IF(G24&lt;&gt;"",G24,"")</f>
        <v>R</v>
      </c>
      <c r="H55" s="66" t="str">
        <f t="shared" si="50"/>
        <v/>
      </c>
      <c r="I55" s="66" t="str">
        <f t="shared" si="50"/>
        <v/>
      </c>
      <c r="J55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89"/>
      <c r="AE55" s="96"/>
      <c r="AF55" s="6">
        <f t="shared" si="6"/>
        <v>11</v>
      </c>
      <c r="AG55" s="96" t="str">
        <f t="shared" si="7"/>
        <v/>
      </c>
      <c r="AH55" s="6" t="str">
        <f t="shared" si="8"/>
        <v>{(U4)0x00000200U,</v>
      </c>
      <c r="AI55" s="6" t="str">
        <f t="shared" si="9"/>
        <v>(U4)0x400003aeU,</v>
      </c>
      <c r="AJ55" s="6" t="str">
        <f t="shared" si="10"/>
        <v>(U4)0x400003aeU,</v>
      </c>
      <c r="AK55" s="6" t="str">
        <f t="shared" si="11"/>
        <v>(U2)64U,</v>
      </c>
      <c r="AL55" s="6" t="str">
        <f t="shared" si="12"/>
        <v>(U2)0U},</v>
      </c>
      <c r="AM55" s="6" t="str">
        <f t="shared" si="16"/>
        <v/>
      </c>
      <c r="AN55" s="6" t="str">
        <f t="shared" si="13"/>
        <v>/* 11 : BDC1SD2 = 0x400003ae */</v>
      </c>
    </row>
    <row r="56" spans="1:40">
      <c r="A56" s="66" t="str">
        <f t="shared" ref="A56:F56" si="51">A25</f>
        <v>BDC1SD3</v>
      </c>
      <c r="B56" s="66" t="str">
        <f t="shared" si="51"/>
        <v>3B2</v>
      </c>
      <c r="C56" s="66" t="str">
        <f t="shared" si="51"/>
        <v>1</v>
      </c>
      <c r="D56" s="66">
        <f t="shared" si="51"/>
        <v>64</v>
      </c>
      <c r="E56" s="66">
        <f t="shared" si="51"/>
        <v>1000</v>
      </c>
      <c r="F56" s="66" t="str">
        <f t="shared" si="51"/>
        <v>1</v>
      </c>
      <c r="G56" s="66" t="str">
        <f t="shared" ref="G56:I56" si="52">IF(G25&lt;&gt;"",G25,"")</f>
        <v>R</v>
      </c>
      <c r="H56" s="66" t="str">
        <f t="shared" si="52"/>
        <v/>
      </c>
      <c r="I56" s="66" t="str">
        <f t="shared" si="52"/>
        <v/>
      </c>
      <c r="J5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89"/>
      <c r="AE56" s="96"/>
      <c r="AF56" s="6">
        <f t="shared" si="6"/>
        <v>12</v>
      </c>
      <c r="AG56" s="96" t="str">
        <f t="shared" si="7"/>
        <v/>
      </c>
      <c r="AH56" s="6" t="str">
        <f t="shared" si="8"/>
        <v>{(U4)0x00000200U,</v>
      </c>
      <c r="AI56" s="6" t="str">
        <f t="shared" si="9"/>
        <v>(U4)0x400003b2U,</v>
      </c>
      <c r="AJ56" s="6" t="str">
        <f t="shared" si="10"/>
        <v>(U4)0x400003b2U,</v>
      </c>
      <c r="AK56" s="6" t="str">
        <f t="shared" si="11"/>
        <v>(U2)64U,</v>
      </c>
      <c r="AL56" s="6" t="str">
        <f t="shared" si="12"/>
        <v>(U2)0U},</v>
      </c>
      <c r="AM56" s="6" t="str">
        <f t="shared" si="16"/>
        <v/>
      </c>
      <c r="AN56" s="6" t="str">
        <f t="shared" si="13"/>
        <v>/* 12 : BDC1SD3 = 0x400003b2 */</v>
      </c>
    </row>
    <row r="57" spans="1:40">
      <c r="A57" s="66" t="str">
        <f t="shared" ref="A57:F57" si="53">A26</f>
        <v>BDC1SD4</v>
      </c>
      <c r="B57" s="66" t="str">
        <f t="shared" si="53"/>
        <v>3B3</v>
      </c>
      <c r="C57" s="66" t="str">
        <f t="shared" si="53"/>
        <v>1</v>
      </c>
      <c r="D57" s="66">
        <f t="shared" si="53"/>
        <v>64</v>
      </c>
      <c r="E57" s="66">
        <f t="shared" si="53"/>
        <v>1000</v>
      </c>
      <c r="F57" s="66" t="str">
        <f t="shared" si="53"/>
        <v>1</v>
      </c>
      <c r="G57" s="66" t="str">
        <f t="shared" ref="G57:I57" si="54">IF(G26&lt;&gt;"",G26,"")</f>
        <v>R</v>
      </c>
      <c r="H57" s="66" t="str">
        <f t="shared" si="54"/>
        <v/>
      </c>
      <c r="I57" s="66" t="str">
        <f t="shared" si="54"/>
        <v/>
      </c>
      <c r="J5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89"/>
      <c r="AE57" s="96"/>
      <c r="AF57" s="6">
        <f t="shared" si="6"/>
        <v>13</v>
      </c>
      <c r="AG57" s="96" t="str">
        <f t="shared" si="7"/>
        <v/>
      </c>
      <c r="AH57" s="6" t="str">
        <f t="shared" si="8"/>
        <v>{(U4)0x00000200U,</v>
      </c>
      <c r="AI57" s="6" t="str">
        <f t="shared" si="9"/>
        <v>(U4)0x400003b3U,</v>
      </c>
      <c r="AJ57" s="6" t="str">
        <f t="shared" si="10"/>
        <v>(U4)0x400003b3U,</v>
      </c>
      <c r="AK57" s="6" t="str">
        <f t="shared" si="11"/>
        <v>(U2)64U,</v>
      </c>
      <c r="AL57" s="6" t="str">
        <f t="shared" si="12"/>
        <v>(U2)0U},</v>
      </c>
      <c r="AM57" s="6" t="str">
        <f t="shared" si="16"/>
        <v/>
      </c>
      <c r="AN57" s="6" t="str">
        <f t="shared" si="13"/>
        <v>/* 13 : BDC1SD4 = 0x400003b3 */</v>
      </c>
    </row>
    <row r="58" spans="1:40">
      <c r="A58" s="66" t="str">
        <f t="shared" ref="A58:F58" si="55">A27</f>
        <v>BDC1SD5</v>
      </c>
      <c r="B58" s="66" t="str">
        <f t="shared" si="55"/>
        <v>3B9</v>
      </c>
      <c r="C58" s="66" t="str">
        <f t="shared" si="55"/>
        <v>1</v>
      </c>
      <c r="D58" s="66">
        <f t="shared" si="55"/>
        <v>64</v>
      </c>
      <c r="E58" s="66">
        <f t="shared" si="55"/>
        <v>1000</v>
      </c>
      <c r="F58" s="66" t="str">
        <f t="shared" si="55"/>
        <v>1</v>
      </c>
      <c r="G58" s="66" t="str">
        <f t="shared" ref="G58:I58" si="56">IF(G27&lt;&gt;"",G27,"")</f>
        <v>R</v>
      </c>
      <c r="H58" s="66" t="str">
        <f t="shared" si="56"/>
        <v/>
      </c>
      <c r="I58" s="66" t="str">
        <f t="shared" si="56"/>
        <v/>
      </c>
      <c r="J58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89"/>
      <c r="AE58" s="96"/>
      <c r="AF58" s="6">
        <f t="shared" si="6"/>
        <v>14</v>
      </c>
      <c r="AG58" s="96" t="str">
        <f t="shared" si="7"/>
        <v/>
      </c>
      <c r="AH58" s="6" t="str">
        <f t="shared" si="8"/>
        <v>{(U4)0x00000200U,</v>
      </c>
      <c r="AI58" s="6" t="str">
        <f t="shared" si="9"/>
        <v>(U4)0x400003b9U,</v>
      </c>
      <c r="AJ58" s="6" t="str">
        <f t="shared" si="10"/>
        <v>(U4)0x400003b9U,</v>
      </c>
      <c r="AK58" s="6" t="str">
        <f t="shared" si="11"/>
        <v>(U2)64U,</v>
      </c>
      <c r="AL58" s="6" t="str">
        <f t="shared" si="12"/>
        <v>(U2)0U},</v>
      </c>
      <c r="AM58" s="6" t="str">
        <f t="shared" si="16"/>
        <v/>
      </c>
      <c r="AN58" s="6" t="str">
        <f t="shared" si="13"/>
        <v>/* 14 : BDC1SD5 = 0x400003b9 */</v>
      </c>
    </row>
    <row r="59" spans="1:40">
      <c r="A59" s="66" t="str">
        <f t="shared" ref="A59:F59" si="57">A28</f>
        <v>BDC1SD6</v>
      </c>
      <c r="B59" s="66" t="str">
        <f t="shared" si="57"/>
        <v>3BC</v>
      </c>
      <c r="C59" s="66" t="str">
        <f t="shared" si="57"/>
        <v>1</v>
      </c>
      <c r="D59" s="66">
        <f t="shared" si="57"/>
        <v>64</v>
      </c>
      <c r="E59" s="66">
        <f t="shared" si="57"/>
        <v>1000</v>
      </c>
      <c r="F59" s="66" t="str">
        <f t="shared" si="57"/>
        <v>1</v>
      </c>
      <c r="G59" s="66" t="str">
        <f t="shared" ref="G59:I59" si="58">IF(G28&lt;&gt;"",G28,"")</f>
        <v>R</v>
      </c>
      <c r="H59" s="66" t="str">
        <f t="shared" si="58"/>
        <v/>
      </c>
      <c r="I59" s="66" t="str">
        <f t="shared" si="58"/>
        <v/>
      </c>
      <c r="J5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89"/>
      <c r="AE59" s="96"/>
      <c r="AF59" s="6">
        <f t="shared" si="6"/>
        <v>15</v>
      </c>
      <c r="AG59" s="96" t="str">
        <f t="shared" si="7"/>
        <v/>
      </c>
      <c r="AH59" s="6" t="str">
        <f t="shared" si="8"/>
        <v>{(U4)0x00000200U,</v>
      </c>
      <c r="AI59" s="6" t="str">
        <f t="shared" si="9"/>
        <v>(U4)0x400003bcU,</v>
      </c>
      <c r="AJ59" s="6" t="str">
        <f t="shared" si="10"/>
        <v>(U4)0x400003bcU,</v>
      </c>
      <c r="AK59" s="6" t="str">
        <f t="shared" si="11"/>
        <v>(U2)64U,</v>
      </c>
      <c r="AL59" s="6" t="str">
        <f t="shared" si="12"/>
        <v>(U2)0U},</v>
      </c>
      <c r="AM59" s="6" t="str">
        <f t="shared" si="16"/>
        <v/>
      </c>
      <c r="AN59" s="6" t="str">
        <f t="shared" si="13"/>
        <v>/* 15 : BDC1SD6 = 0x400003bc */</v>
      </c>
    </row>
    <row r="60" spans="1:40">
      <c r="A60" s="66" t="str">
        <f t="shared" ref="A60:F60" si="59">A29</f>
        <v>PCN1S01</v>
      </c>
      <c r="B60" s="66" t="str">
        <f t="shared" si="59"/>
        <v>3BD</v>
      </c>
      <c r="C60" s="66" t="str">
        <f t="shared" si="59"/>
        <v>1</v>
      </c>
      <c r="D60" s="66">
        <f t="shared" si="59"/>
        <v>32</v>
      </c>
      <c r="E60" s="66">
        <f t="shared" si="59"/>
        <v>1000</v>
      </c>
      <c r="F60" s="66" t="str">
        <f t="shared" si="59"/>
        <v>1</v>
      </c>
      <c r="G60" s="66" t="str">
        <f t="shared" ref="G60:I60" si="60">IF(G29&lt;&gt;"",G29,"")</f>
        <v>R</v>
      </c>
      <c r="H60" s="66" t="str">
        <f t="shared" si="60"/>
        <v/>
      </c>
      <c r="I60" s="66" t="str">
        <f t="shared" si="60"/>
        <v/>
      </c>
      <c r="J60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89"/>
      <c r="AE60" s="96"/>
      <c r="AF60" s="6">
        <f t="shared" si="6"/>
        <v>28</v>
      </c>
      <c r="AG60" s="96" t="str">
        <f t="shared" si="7"/>
        <v/>
      </c>
      <c r="AH60" s="6" t="str">
        <f t="shared" si="8"/>
        <v>{(U4)0x00000200U,</v>
      </c>
      <c r="AI60" s="6" t="str">
        <f t="shared" si="9"/>
        <v>(U4)0x400003bdU,</v>
      </c>
      <c r="AJ60" s="6" t="str">
        <f t="shared" si="10"/>
        <v>(U4)0x400003bdU,</v>
      </c>
      <c r="AK60" s="6" t="str">
        <f t="shared" si="11"/>
        <v>(U2)32U,</v>
      </c>
      <c r="AL60" s="6" t="str">
        <f t="shared" si="12"/>
        <v>(U2)0U},</v>
      </c>
      <c r="AM60" s="6" t="str">
        <f t="shared" si="16"/>
        <v/>
      </c>
      <c r="AN60" s="6" t="str">
        <f t="shared" si="13"/>
        <v>/* 28 : PCN1S01 = 0x400003bd */</v>
      </c>
    </row>
    <row r="61" spans="1:40">
      <c r="A61" s="66" t="str">
        <f t="shared" ref="A61:F61" si="61">A30</f>
        <v>BDC1SD8</v>
      </c>
      <c r="B61" s="66" t="str">
        <f t="shared" si="61"/>
        <v>3C7</v>
      </c>
      <c r="C61" s="66" t="str">
        <f t="shared" si="61"/>
        <v>1</v>
      </c>
      <c r="D61" s="66">
        <f t="shared" si="61"/>
        <v>64</v>
      </c>
      <c r="E61" s="66">
        <f t="shared" si="61"/>
        <v>1000</v>
      </c>
      <c r="F61" s="66" t="str">
        <f t="shared" si="61"/>
        <v>1</v>
      </c>
      <c r="G61" s="66" t="str">
        <f t="shared" ref="G61:I61" si="62">IF(G30&lt;&gt;"",G30,"")</f>
        <v>R</v>
      </c>
      <c r="H61" s="66" t="str">
        <f t="shared" si="62"/>
        <v/>
      </c>
      <c r="I61" s="66" t="str">
        <f t="shared" si="62"/>
        <v/>
      </c>
      <c r="J6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89"/>
      <c r="AE61" s="96"/>
      <c r="AF61" s="6">
        <f t="shared" si="6"/>
        <v>17</v>
      </c>
      <c r="AG61" s="96" t="str">
        <f t="shared" si="7"/>
        <v/>
      </c>
      <c r="AH61" s="6" t="str">
        <f t="shared" si="8"/>
        <v>{(U4)0x00000200U,</v>
      </c>
      <c r="AI61" s="6" t="str">
        <f t="shared" si="9"/>
        <v>(U4)0x400003c7U,</v>
      </c>
      <c r="AJ61" s="6" t="str">
        <f t="shared" si="10"/>
        <v>(U4)0x400003c7U,</v>
      </c>
      <c r="AK61" s="6" t="str">
        <f t="shared" si="11"/>
        <v>(U2)64U,</v>
      </c>
      <c r="AL61" s="6" t="str">
        <f t="shared" si="12"/>
        <v>(U2)0U},</v>
      </c>
      <c r="AM61" s="6" t="str">
        <f t="shared" si="16"/>
        <v/>
      </c>
      <c r="AN61" s="6" t="str">
        <f t="shared" si="13"/>
        <v>/* 17 : BDC1SD8 = 0x400003c7 */</v>
      </c>
    </row>
    <row r="62" spans="1:40">
      <c r="A62" s="66" t="str">
        <f t="shared" ref="A62:F62" si="63">A31</f>
        <v>BDC1SD7</v>
      </c>
      <c r="B62" s="66" t="str">
        <f t="shared" si="63"/>
        <v>3C6</v>
      </c>
      <c r="C62" s="66" t="str">
        <f t="shared" si="63"/>
        <v>1</v>
      </c>
      <c r="D62" s="66">
        <f t="shared" si="63"/>
        <v>64</v>
      </c>
      <c r="E62" s="66">
        <f t="shared" si="63"/>
        <v>1000</v>
      </c>
      <c r="F62" s="66" t="str">
        <f t="shared" si="63"/>
        <v>1</v>
      </c>
      <c r="G62" s="66" t="str">
        <f t="shared" ref="G62:I62" si="64">IF(G31&lt;&gt;"",G31,"")</f>
        <v>R</v>
      </c>
      <c r="H62" s="66" t="str">
        <f t="shared" si="64"/>
        <v/>
      </c>
      <c r="I62" s="66" t="str">
        <f t="shared" si="64"/>
        <v/>
      </c>
      <c r="J6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89"/>
      <c r="AE62" s="96"/>
      <c r="AF62" s="6">
        <f t="shared" si="6"/>
        <v>16</v>
      </c>
      <c r="AG62" s="96" t="str">
        <f t="shared" si="7"/>
        <v/>
      </c>
      <c r="AH62" s="6" t="str">
        <f t="shared" si="8"/>
        <v>{(U4)0x00000200U,</v>
      </c>
      <c r="AI62" s="6" t="str">
        <f t="shared" si="9"/>
        <v>(U4)0x400003c6U,</v>
      </c>
      <c r="AJ62" s="6" t="str">
        <f t="shared" si="10"/>
        <v>(U4)0x400003c6U,</v>
      </c>
      <c r="AK62" s="6" t="str">
        <f t="shared" si="11"/>
        <v>(U2)64U,</v>
      </c>
      <c r="AL62" s="6" t="str">
        <f t="shared" si="12"/>
        <v>(U2)0U},</v>
      </c>
      <c r="AM62" s="6" t="str">
        <f t="shared" si="16"/>
        <v/>
      </c>
      <c r="AN62" s="6" t="str">
        <f t="shared" si="13"/>
        <v>/* 16 : BDC1SD7 = 0x400003c6 */</v>
      </c>
    </row>
    <row r="63" spans="1:40">
      <c r="A63" s="66" t="str">
        <f t="shared" ref="A63:F63" si="65">A32</f>
        <v>BDC1SE2</v>
      </c>
      <c r="B63" s="66" t="str">
        <f t="shared" si="65"/>
        <v>3D6</v>
      </c>
      <c r="C63" s="66" t="str">
        <f t="shared" si="65"/>
        <v>1</v>
      </c>
      <c r="D63" s="66">
        <f t="shared" si="65"/>
        <v>64</v>
      </c>
      <c r="E63" s="66">
        <f t="shared" si="65"/>
        <v>1000</v>
      </c>
      <c r="F63" s="66" t="str">
        <f t="shared" si="65"/>
        <v>1</v>
      </c>
      <c r="G63" s="66" t="str">
        <f t="shared" ref="G63:I63" si="66">IF(G32&lt;&gt;"",G32,"")</f>
        <v>R</v>
      </c>
      <c r="H63" s="66" t="str">
        <f t="shared" si="66"/>
        <v/>
      </c>
      <c r="I63" s="66" t="str">
        <f t="shared" si="66"/>
        <v/>
      </c>
      <c r="J63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89"/>
      <c r="AE63" s="96"/>
      <c r="AF63" s="6">
        <f t="shared" si="6"/>
        <v>20</v>
      </c>
      <c r="AG63" s="96" t="str">
        <f t="shared" si="7"/>
        <v/>
      </c>
      <c r="AH63" s="6" t="str">
        <f t="shared" si="8"/>
        <v>{(U4)0x00000200U,</v>
      </c>
      <c r="AI63" s="6" t="str">
        <f t="shared" si="9"/>
        <v>(U4)0x400003d6U,</v>
      </c>
      <c r="AJ63" s="6" t="str">
        <f t="shared" si="10"/>
        <v>(U4)0x400003d6U,</v>
      </c>
      <c r="AK63" s="6" t="str">
        <f t="shared" si="11"/>
        <v>(U2)64U,</v>
      </c>
      <c r="AL63" s="6" t="str">
        <f t="shared" si="12"/>
        <v>(U2)0U},</v>
      </c>
      <c r="AM63" s="6" t="str">
        <f t="shared" si="16"/>
        <v/>
      </c>
      <c r="AN63" s="6" t="str">
        <f t="shared" si="13"/>
        <v>/* 20 : BDC1SE2 = 0x400003d6 */</v>
      </c>
    </row>
    <row r="64" spans="1:40">
      <c r="A64" s="66" t="str">
        <f t="shared" ref="A64:F65" si="67">A33</f>
        <v>BDC1SE6</v>
      </c>
      <c r="B64" s="66" t="str">
        <f t="shared" si="67"/>
        <v>3EF</v>
      </c>
      <c r="C64" s="66" t="str">
        <f t="shared" si="67"/>
        <v>1</v>
      </c>
      <c r="D64" s="66">
        <f t="shared" si="67"/>
        <v>64</v>
      </c>
      <c r="E64" s="66">
        <f t="shared" si="67"/>
        <v>1000</v>
      </c>
      <c r="F64" s="66" t="str">
        <f t="shared" si="67"/>
        <v>1</v>
      </c>
      <c r="G64" s="66" t="str">
        <f t="shared" ref="G64:I65" si="68">IF(G33&lt;&gt;"",G33,"")</f>
        <v>R</v>
      </c>
      <c r="H64" s="66" t="str">
        <f t="shared" si="68"/>
        <v/>
      </c>
      <c r="I64" s="66" t="str">
        <f t="shared" si="68"/>
        <v/>
      </c>
      <c r="J6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89"/>
      <c r="AE64" s="96"/>
      <c r="AF64" s="6">
        <f t="shared" si="6"/>
        <v>24</v>
      </c>
      <c r="AG64" s="96" t="str">
        <f t="shared" si="7"/>
        <v/>
      </c>
      <c r="AH64" s="6" t="str">
        <f t="shared" si="8"/>
        <v>{(U4)0x00000200U,</v>
      </c>
      <c r="AI64" s="6" t="str">
        <f t="shared" si="9"/>
        <v>(U4)0x400003efU,</v>
      </c>
      <c r="AJ64" s="6" t="str">
        <f t="shared" si="10"/>
        <v>(U4)0x400003efU,</v>
      </c>
      <c r="AK64" s="6" t="str">
        <f t="shared" si="11"/>
        <v>(U2)64U,</v>
      </c>
      <c r="AL64" s="6" t="str">
        <f t="shared" si="12"/>
        <v>(U2)0U},</v>
      </c>
      <c r="AM64" s="6" t="str">
        <f t="shared" si="16"/>
        <v/>
      </c>
      <c r="AN64" s="6" t="str">
        <f t="shared" si="13"/>
        <v>/* 24 : BDC1SE6 = 0x400003ef */</v>
      </c>
    </row>
    <row r="65" spans="1:40">
      <c r="A65" s="66" t="str">
        <f t="shared" si="67"/>
        <v>BDC1SH3</v>
      </c>
      <c r="B65" s="66" t="str">
        <f t="shared" si="67"/>
        <v>534</v>
      </c>
      <c r="C65" s="66" t="str">
        <f t="shared" si="67"/>
        <v>1</v>
      </c>
      <c r="D65" s="66">
        <f t="shared" si="67"/>
        <v>64</v>
      </c>
      <c r="E65" s="66">
        <f t="shared" si="67"/>
        <v>1000</v>
      </c>
      <c r="F65" s="66" t="str">
        <f t="shared" si="67"/>
        <v>1</v>
      </c>
      <c r="G65" s="66" t="str">
        <f t="shared" si="68"/>
        <v>R</v>
      </c>
      <c r="H65" s="66" t="str">
        <f t="shared" si="68"/>
        <v/>
      </c>
      <c r="I65" s="66" t="str">
        <f t="shared" si="68"/>
        <v/>
      </c>
      <c r="J6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89"/>
      <c r="AE65" s="96"/>
      <c r="AF65" s="6">
        <f t="shared" si="6"/>
        <v>26</v>
      </c>
      <c r="AG65" s="96" t="str">
        <f t="shared" si="7"/>
        <v/>
      </c>
      <c r="AH65" s="6" t="str">
        <f t="shared" si="8"/>
        <v>{(U4)0x00000200U,</v>
      </c>
      <c r="AI65" s="6" t="str">
        <f t="shared" si="9"/>
        <v>(U4)0x40000534U,</v>
      </c>
      <c r="AJ65" s="6" t="str">
        <f t="shared" si="10"/>
        <v>(U4)0x40000534U,</v>
      </c>
      <c r="AK65" s="6" t="str">
        <f t="shared" si="11"/>
        <v>(U2)64U,</v>
      </c>
      <c r="AL65" s="6" t="str">
        <f t="shared" si="12"/>
        <v>(U2)0U},</v>
      </c>
      <c r="AM65" s="6" t="str">
        <f t="shared" si="16"/>
        <v/>
      </c>
      <c r="AN65" s="6" t="str">
        <f t="shared" si="13"/>
        <v>/* 26 : BDC1SH3 = 0x40000534 */</v>
      </c>
    </row>
    <row r="66" spans="1:40">
      <c r="A66" s="66"/>
      <c r="B66" s="66" t="s">
        <v>776</v>
      </c>
      <c r="C66" s="66" t="s">
        <v>776</v>
      </c>
      <c r="D66" s="66" t="s">
        <v>776</v>
      </c>
      <c r="E66" s="66" t="s">
        <v>776</v>
      </c>
      <c r="F66" s="66" t="s">
        <v>776</v>
      </c>
      <c r="G66" s="66" t="s">
        <v>776</v>
      </c>
      <c r="H66" s="66" t="s">
        <v>776</v>
      </c>
      <c r="I66" s="66" t="s">
        <v>776</v>
      </c>
      <c r="J66" s="66" t="s">
        <v>1154</v>
      </c>
      <c r="K66" s="6" t="s">
        <v>1154</v>
      </c>
      <c r="L66" s="6" t="s">
        <v>1154</v>
      </c>
      <c r="M66" s="6" t="s">
        <v>1154</v>
      </c>
      <c r="N66" s="6" t="s">
        <v>1154</v>
      </c>
      <c r="O66" s="6" t="s">
        <v>1154</v>
      </c>
      <c r="P66" s="6" t="s">
        <v>1154</v>
      </c>
      <c r="Q66" s="6" t="s">
        <v>1154</v>
      </c>
      <c r="R66" s="6" t="s">
        <v>1154</v>
      </c>
      <c r="S66" s="6" t="s">
        <v>1154</v>
      </c>
      <c r="T66" s="6" t="s">
        <v>1154</v>
      </c>
      <c r="U66" s="6" t="s">
        <v>1154</v>
      </c>
      <c r="V66" s="6" t="s">
        <v>1154</v>
      </c>
      <c r="W66" s="6" t="s">
        <v>1154</v>
      </c>
      <c r="X66" s="89" t="s">
        <v>1154</v>
      </c>
      <c r="Y66" s="104" t="s">
        <v>776</v>
      </c>
      <c r="Z66" s="104" t="s">
        <v>776</v>
      </c>
      <c r="AA66" s="104" t="s">
        <v>776</v>
      </c>
      <c r="AB66" s="104" t="s">
        <v>776</v>
      </c>
      <c r="AC66" s="104" t="s">
        <v>776</v>
      </c>
      <c r="AD66" s="104" t="s">
        <v>776</v>
      </c>
      <c r="AE66" s="105" t="s">
        <v>776</v>
      </c>
      <c r="AF66" s="66" t="s">
        <v>776</v>
      </c>
      <c r="AG66" s="105" t="s">
        <v>776</v>
      </c>
      <c r="AH66" s="66" t="s">
        <v>776</v>
      </c>
      <c r="AI66" s="66" t="s">
        <v>776</v>
      </c>
      <c r="AJ66" s="66" t="s">
        <v>776</v>
      </c>
      <c r="AK66" s="66" t="s">
        <v>776</v>
      </c>
      <c r="AL66" s="66"/>
      <c r="AM66" s="66" t="s">
        <v>776</v>
      </c>
      <c r="AN66" s="66" t="s">
        <v>776</v>
      </c>
    </row>
    <row r="67" spans="1:40">
      <c r="A67" s="66"/>
      <c r="B67" s="66"/>
      <c r="C67" s="66"/>
      <c r="D67" s="66"/>
      <c r="E67" s="66"/>
      <c r="F67" s="66"/>
      <c r="G67" s="104"/>
      <c r="H67" s="104"/>
      <c r="I67" s="104"/>
      <c r="J67" s="104"/>
      <c r="Y67" s="104"/>
      <c r="Z67" s="104"/>
      <c r="AA67" s="104"/>
      <c r="AB67" s="104"/>
      <c r="AC67" s="104"/>
      <c r="AD67" s="104"/>
      <c r="AE67" s="104"/>
      <c r="AF67" s="66"/>
      <c r="AG67" s="66"/>
      <c r="AH67" s="66"/>
      <c r="AI67" s="66"/>
      <c r="AJ67" s="66"/>
      <c r="AK67" s="66"/>
      <c r="AL67" s="66"/>
      <c r="AM67" s="66"/>
      <c r="AN67" s="66"/>
    </row>
    <row r="68" spans="1:40">
      <c r="A68" s="66"/>
      <c r="B68" s="66"/>
      <c r="C68" s="66"/>
      <c r="D68" s="66"/>
      <c r="E68" s="66"/>
      <c r="F68" s="66"/>
      <c r="G68" s="104"/>
      <c r="H68" s="104"/>
      <c r="I68" s="104"/>
      <c r="AF68" s="38">
        <v>0</v>
      </c>
      <c r="AG68" s="38" t="s">
        <v>7</v>
      </c>
      <c r="AH68" s="38" t="s">
        <v>1627</v>
      </c>
      <c r="AI68" s="38" t="s">
        <v>1628</v>
      </c>
      <c r="AJ68" s="38" t="s">
        <v>1628</v>
      </c>
      <c r="AK68" s="38" t="s">
        <v>1629</v>
      </c>
      <c r="AL68" s="38" t="s">
        <v>1630</v>
      </c>
      <c r="AM68" s="38" t="s">
        <v>7</v>
      </c>
      <c r="AN68" s="38" t="s">
        <v>1631</v>
      </c>
    </row>
    <row r="69" spans="1:40">
      <c r="A69" s="66"/>
      <c r="B69" s="66"/>
      <c r="C69" s="66"/>
      <c r="D69" s="66"/>
      <c r="E69" s="66"/>
      <c r="F69" s="66"/>
      <c r="G69" s="104"/>
      <c r="H69" s="104"/>
      <c r="I69" s="104"/>
      <c r="AF69" s="38">
        <v>1</v>
      </c>
      <c r="AG69" s="38" t="s">
        <v>7</v>
      </c>
      <c r="AH69" s="38" t="s">
        <v>1627</v>
      </c>
      <c r="AI69" s="38" t="s">
        <v>1632</v>
      </c>
      <c r="AJ69" s="38" t="s">
        <v>1632</v>
      </c>
      <c r="AK69" s="38" t="s">
        <v>1633</v>
      </c>
      <c r="AL69" s="38" t="s">
        <v>1630</v>
      </c>
      <c r="AM69" s="38" t="s">
        <v>7</v>
      </c>
      <c r="AN69" s="38" t="s">
        <v>1634</v>
      </c>
    </row>
    <row r="70" spans="1:40">
      <c r="A70" s="66"/>
      <c r="B70" s="66"/>
      <c r="C70" s="66"/>
      <c r="D70" s="66"/>
      <c r="E70" s="66"/>
      <c r="F70" s="66"/>
      <c r="G70" s="104"/>
      <c r="H70" s="104"/>
      <c r="I70" s="104"/>
      <c r="AF70" s="38">
        <v>2</v>
      </c>
      <c r="AG70" s="38" t="s">
        <v>7</v>
      </c>
      <c r="AH70" s="38" t="s">
        <v>1627</v>
      </c>
      <c r="AI70" s="38" t="s">
        <v>1635</v>
      </c>
      <c r="AJ70" s="38" t="s">
        <v>1635</v>
      </c>
      <c r="AK70" s="38" t="s">
        <v>1633</v>
      </c>
      <c r="AL70" s="38" t="s">
        <v>1630</v>
      </c>
      <c r="AM70" s="38" t="s">
        <v>7</v>
      </c>
      <c r="AN70" s="38" t="s">
        <v>1636</v>
      </c>
    </row>
    <row r="71" spans="1:40">
      <c r="A71" s="66"/>
      <c r="B71" s="66"/>
      <c r="C71" s="66"/>
      <c r="D71" s="66"/>
      <c r="E71" s="66"/>
      <c r="F71" s="66"/>
      <c r="G71" s="104"/>
      <c r="H71" s="104"/>
      <c r="I71" s="104"/>
      <c r="AF71" s="38">
        <v>3</v>
      </c>
      <c r="AG71" s="38" t="s">
        <v>7</v>
      </c>
      <c r="AH71" s="38" t="s">
        <v>1627</v>
      </c>
      <c r="AI71" s="38" t="s">
        <v>1637</v>
      </c>
      <c r="AJ71" s="38" t="s">
        <v>1637</v>
      </c>
      <c r="AK71" s="38" t="s">
        <v>1633</v>
      </c>
      <c r="AL71" s="38" t="s">
        <v>1630</v>
      </c>
      <c r="AM71" s="38" t="s">
        <v>7</v>
      </c>
      <c r="AN71" s="38" t="s">
        <v>1638</v>
      </c>
    </row>
    <row r="72" spans="1:40">
      <c r="A72" s="66"/>
      <c r="B72" s="66"/>
      <c r="C72" s="66"/>
      <c r="D72" s="66"/>
      <c r="E72" s="66"/>
      <c r="F72" s="66"/>
      <c r="G72" s="104"/>
      <c r="H72" s="104"/>
      <c r="I72" s="104"/>
      <c r="AF72" s="38">
        <v>4</v>
      </c>
      <c r="AG72" s="38" t="s">
        <v>7</v>
      </c>
      <c r="AH72" s="38" t="s">
        <v>1627</v>
      </c>
      <c r="AI72" s="38" t="s">
        <v>1639</v>
      </c>
      <c r="AJ72" s="38" t="s">
        <v>1639</v>
      </c>
      <c r="AK72" s="38" t="s">
        <v>1633</v>
      </c>
      <c r="AL72" s="38" t="s">
        <v>1630</v>
      </c>
      <c r="AM72" s="38" t="s">
        <v>7</v>
      </c>
      <c r="AN72" s="38" t="s">
        <v>1640</v>
      </c>
    </row>
    <row r="73" spans="1:40">
      <c r="A73" s="66"/>
      <c r="B73" s="66"/>
      <c r="C73" s="66"/>
      <c r="D73" s="66"/>
      <c r="E73" s="66"/>
      <c r="F73" s="66"/>
      <c r="G73" s="104"/>
      <c r="H73" s="104"/>
      <c r="I73" s="104"/>
      <c r="AF73" s="38">
        <v>5</v>
      </c>
      <c r="AG73" s="38" t="s">
        <v>7</v>
      </c>
      <c r="AH73" s="38" t="s">
        <v>1627</v>
      </c>
      <c r="AI73" s="38" t="s">
        <v>1641</v>
      </c>
      <c r="AJ73" s="38" t="s">
        <v>1641</v>
      </c>
      <c r="AK73" s="38" t="s">
        <v>1633</v>
      </c>
      <c r="AL73" s="38" t="s">
        <v>1630</v>
      </c>
      <c r="AM73" s="38" t="s">
        <v>7</v>
      </c>
      <c r="AN73" s="38" t="s">
        <v>1642</v>
      </c>
    </row>
    <row r="74" spans="1:40">
      <c r="A74" s="66"/>
      <c r="B74" s="66"/>
      <c r="C74" s="66"/>
      <c r="D74" s="66"/>
      <c r="E74" s="66"/>
      <c r="F74" s="66"/>
      <c r="G74" s="104"/>
      <c r="H74" s="104"/>
      <c r="I74" s="104"/>
      <c r="AF74" s="38">
        <v>6</v>
      </c>
      <c r="AG74" s="38" t="s">
        <v>7</v>
      </c>
      <c r="AH74" s="38" t="s">
        <v>1627</v>
      </c>
      <c r="AI74" s="38" t="s">
        <v>1643</v>
      </c>
      <c r="AJ74" s="38" t="s">
        <v>1643</v>
      </c>
      <c r="AK74" s="38" t="s">
        <v>1633</v>
      </c>
      <c r="AL74" s="38" t="s">
        <v>1630</v>
      </c>
      <c r="AM74" s="38" t="s">
        <v>7</v>
      </c>
      <c r="AN74" s="38" t="s">
        <v>1644</v>
      </c>
    </row>
    <row r="75" spans="1:40">
      <c r="A75" s="66"/>
      <c r="B75" s="66"/>
      <c r="C75" s="66"/>
      <c r="D75" s="66"/>
      <c r="E75" s="66"/>
      <c r="F75" s="66"/>
      <c r="G75" s="104"/>
      <c r="H75" s="104"/>
      <c r="I75" s="104"/>
      <c r="AF75" s="38">
        <v>7</v>
      </c>
      <c r="AG75" s="38" t="s">
        <v>7</v>
      </c>
      <c r="AH75" s="38" t="s">
        <v>1627</v>
      </c>
      <c r="AI75" s="38" t="s">
        <v>1645</v>
      </c>
      <c r="AJ75" s="38" t="s">
        <v>1645</v>
      </c>
      <c r="AK75" s="38" t="s">
        <v>1633</v>
      </c>
      <c r="AL75" s="38" t="s">
        <v>1630</v>
      </c>
      <c r="AM75" s="38" t="s">
        <v>7</v>
      </c>
      <c r="AN75" s="38" t="s">
        <v>1646</v>
      </c>
    </row>
    <row r="76" spans="1:40">
      <c r="A76" s="66"/>
      <c r="B76" s="66"/>
      <c r="C76" s="66"/>
      <c r="D76" s="66"/>
      <c r="E76" s="66"/>
      <c r="F76" s="66"/>
      <c r="G76" s="104"/>
      <c r="H76" s="104"/>
      <c r="I76" s="104"/>
      <c r="AF76" s="38">
        <v>8</v>
      </c>
      <c r="AG76" s="38" t="s">
        <v>7</v>
      </c>
      <c r="AH76" s="38" t="s">
        <v>1627</v>
      </c>
      <c r="AI76" s="38" t="s">
        <v>1647</v>
      </c>
      <c r="AJ76" s="38" t="s">
        <v>1647</v>
      </c>
      <c r="AK76" s="38" t="s">
        <v>1633</v>
      </c>
      <c r="AL76" s="38" t="s">
        <v>1630</v>
      </c>
      <c r="AM76" s="38" t="s">
        <v>7</v>
      </c>
      <c r="AN76" s="38" t="s">
        <v>1648</v>
      </c>
    </row>
    <row r="77" spans="1:40">
      <c r="A77" s="66"/>
      <c r="B77" s="66"/>
      <c r="C77" s="66"/>
      <c r="D77" s="66"/>
      <c r="E77" s="66"/>
      <c r="F77" s="66"/>
      <c r="G77" s="104"/>
      <c r="H77" s="104"/>
      <c r="I77" s="104"/>
      <c r="AF77" s="38">
        <v>9</v>
      </c>
      <c r="AG77" s="38" t="s">
        <v>7</v>
      </c>
      <c r="AH77" s="38" t="s">
        <v>1627</v>
      </c>
      <c r="AI77" s="38" t="s">
        <v>1649</v>
      </c>
      <c r="AJ77" s="38" t="s">
        <v>1649</v>
      </c>
      <c r="AK77" s="38" t="s">
        <v>1633</v>
      </c>
      <c r="AL77" s="38" t="s">
        <v>1630</v>
      </c>
      <c r="AM77" s="38" t="s">
        <v>7</v>
      </c>
      <c r="AN77" s="38" t="s">
        <v>1650</v>
      </c>
    </row>
    <row r="78" spans="1:40">
      <c r="A78" s="66"/>
      <c r="B78" s="66"/>
      <c r="C78" s="66"/>
      <c r="D78" s="66"/>
      <c r="E78" s="66"/>
      <c r="F78" s="66"/>
      <c r="G78" s="104"/>
      <c r="H78" s="104"/>
      <c r="I78" s="104"/>
      <c r="AF78" s="38">
        <v>10</v>
      </c>
      <c r="AG78" s="38" t="s">
        <v>7</v>
      </c>
      <c r="AH78" s="38" t="s">
        <v>1627</v>
      </c>
      <c r="AI78" s="38" t="s">
        <v>1651</v>
      </c>
      <c r="AJ78" s="38" t="s">
        <v>1651</v>
      </c>
      <c r="AK78" s="38" t="s">
        <v>1633</v>
      </c>
      <c r="AL78" s="38" t="s">
        <v>1630</v>
      </c>
      <c r="AM78" s="38" t="s">
        <v>7</v>
      </c>
      <c r="AN78" s="38" t="s">
        <v>1652</v>
      </c>
    </row>
    <row r="79" spans="1:40">
      <c r="A79" s="66"/>
      <c r="B79" s="66"/>
      <c r="C79" s="66"/>
      <c r="D79" s="66"/>
      <c r="E79" s="66"/>
      <c r="F79" s="66"/>
      <c r="G79" s="104"/>
      <c r="H79" s="104"/>
      <c r="I79" s="104"/>
      <c r="AF79" s="38">
        <v>11</v>
      </c>
      <c r="AG79" s="38" t="s">
        <v>7</v>
      </c>
      <c r="AH79" s="38" t="s">
        <v>1627</v>
      </c>
      <c r="AI79" s="38" t="s">
        <v>1653</v>
      </c>
      <c r="AJ79" s="38" t="s">
        <v>1653</v>
      </c>
      <c r="AK79" s="38" t="s">
        <v>1633</v>
      </c>
      <c r="AL79" s="38" t="s">
        <v>1630</v>
      </c>
      <c r="AM79" s="38" t="s">
        <v>7</v>
      </c>
      <c r="AN79" s="38" t="s">
        <v>1654</v>
      </c>
    </row>
    <row r="80" spans="1:40">
      <c r="A80" s="66"/>
      <c r="B80" s="66"/>
      <c r="C80" s="66"/>
      <c r="D80" s="66"/>
      <c r="E80" s="66"/>
      <c r="F80" s="66"/>
      <c r="G80" s="104"/>
      <c r="H80" s="104"/>
      <c r="I80" s="104"/>
      <c r="AF80" s="38">
        <v>12</v>
      </c>
      <c r="AG80" s="38" t="s">
        <v>7</v>
      </c>
      <c r="AH80" s="38" t="s">
        <v>1627</v>
      </c>
      <c r="AI80" s="38" t="s">
        <v>1655</v>
      </c>
      <c r="AJ80" s="38" t="s">
        <v>1655</v>
      </c>
      <c r="AK80" s="38" t="s">
        <v>1633</v>
      </c>
      <c r="AL80" s="38" t="s">
        <v>1630</v>
      </c>
      <c r="AM80" s="38" t="s">
        <v>7</v>
      </c>
      <c r="AN80" s="38" t="s">
        <v>1656</v>
      </c>
    </row>
    <row r="81" spans="1:40">
      <c r="A81" s="66"/>
      <c r="B81" s="66"/>
      <c r="C81" s="66"/>
      <c r="D81" s="66"/>
      <c r="E81" s="66"/>
      <c r="F81" s="66"/>
      <c r="G81" s="104"/>
      <c r="H81" s="104"/>
      <c r="I81" s="104"/>
      <c r="AF81" s="38">
        <v>13</v>
      </c>
      <c r="AG81" s="38" t="s">
        <v>7</v>
      </c>
      <c r="AH81" s="38" t="s">
        <v>1627</v>
      </c>
      <c r="AI81" s="38" t="s">
        <v>1657</v>
      </c>
      <c r="AJ81" s="38" t="s">
        <v>1657</v>
      </c>
      <c r="AK81" s="38" t="s">
        <v>1633</v>
      </c>
      <c r="AL81" s="38" t="s">
        <v>1630</v>
      </c>
      <c r="AM81" s="38" t="s">
        <v>7</v>
      </c>
      <c r="AN81" s="38" t="s">
        <v>1658</v>
      </c>
    </row>
    <row r="82" spans="1:40">
      <c r="A82" s="66"/>
      <c r="B82" s="66"/>
      <c r="C82" s="66"/>
      <c r="D82" s="66"/>
      <c r="E82" s="66"/>
      <c r="F82" s="66"/>
      <c r="G82" s="104"/>
      <c r="H82" s="104"/>
      <c r="I82" s="104"/>
      <c r="AF82" s="38">
        <v>14</v>
      </c>
      <c r="AG82" s="38" t="s">
        <v>7</v>
      </c>
      <c r="AH82" s="38" t="s">
        <v>1627</v>
      </c>
      <c r="AI82" s="38" t="s">
        <v>1659</v>
      </c>
      <c r="AJ82" s="38" t="s">
        <v>1659</v>
      </c>
      <c r="AK82" s="38" t="s">
        <v>1633</v>
      </c>
      <c r="AL82" s="38" t="s">
        <v>1630</v>
      </c>
      <c r="AM82" s="38" t="s">
        <v>7</v>
      </c>
      <c r="AN82" s="38" t="s">
        <v>1660</v>
      </c>
    </row>
    <row r="83" spans="1:40">
      <c r="A83" s="66"/>
      <c r="B83" s="66"/>
      <c r="C83" s="66"/>
      <c r="D83" s="66"/>
      <c r="E83" s="66"/>
      <c r="F83" s="66"/>
      <c r="G83" s="104"/>
      <c r="H83" s="104"/>
      <c r="I83" s="104"/>
      <c r="AF83" s="38">
        <v>15</v>
      </c>
      <c r="AG83" s="38" t="s">
        <v>7</v>
      </c>
      <c r="AH83" s="38" t="s">
        <v>1627</v>
      </c>
      <c r="AI83" s="38" t="s">
        <v>1661</v>
      </c>
      <c r="AJ83" s="38" t="s">
        <v>1661</v>
      </c>
      <c r="AK83" s="38" t="s">
        <v>1633</v>
      </c>
      <c r="AL83" s="38" t="s">
        <v>1630</v>
      </c>
      <c r="AM83" s="38" t="s">
        <v>7</v>
      </c>
      <c r="AN83" s="38" t="s">
        <v>1662</v>
      </c>
    </row>
    <row r="84" spans="1:40">
      <c r="A84" s="66"/>
      <c r="B84" s="66"/>
      <c r="C84" s="66"/>
      <c r="D84" s="66"/>
      <c r="E84" s="66"/>
      <c r="F84" s="66"/>
      <c r="G84" s="104"/>
      <c r="H84" s="104"/>
      <c r="I84" s="104"/>
      <c r="AF84" s="38">
        <v>16</v>
      </c>
      <c r="AG84" s="38" t="s">
        <v>7</v>
      </c>
      <c r="AH84" s="38" t="s">
        <v>1627</v>
      </c>
      <c r="AI84" s="38" t="s">
        <v>1663</v>
      </c>
      <c r="AJ84" s="38" t="s">
        <v>1663</v>
      </c>
      <c r="AK84" s="38" t="s">
        <v>1633</v>
      </c>
      <c r="AL84" s="38" t="s">
        <v>1630</v>
      </c>
      <c r="AM84" s="38" t="s">
        <v>7</v>
      </c>
      <c r="AN84" s="38" t="s">
        <v>1664</v>
      </c>
    </row>
    <row r="85" spans="1:40">
      <c r="A85" s="66"/>
      <c r="B85" s="66"/>
      <c r="C85" s="66"/>
      <c r="D85" s="66"/>
      <c r="E85" s="66"/>
      <c r="F85" s="66"/>
      <c r="G85" s="104"/>
      <c r="H85" s="104"/>
      <c r="I85" s="104"/>
      <c r="AF85" s="38">
        <v>17</v>
      </c>
      <c r="AG85" s="38" t="s">
        <v>7</v>
      </c>
      <c r="AH85" s="38" t="s">
        <v>1627</v>
      </c>
      <c r="AI85" s="38" t="s">
        <v>1665</v>
      </c>
      <c r="AJ85" s="38" t="s">
        <v>1665</v>
      </c>
      <c r="AK85" s="38" t="s">
        <v>1633</v>
      </c>
      <c r="AL85" s="38" t="s">
        <v>1630</v>
      </c>
      <c r="AM85" s="38" t="s">
        <v>7</v>
      </c>
      <c r="AN85" s="38" t="s">
        <v>1666</v>
      </c>
    </row>
    <row r="86" spans="1:40">
      <c r="A86" s="66"/>
      <c r="B86" s="66"/>
      <c r="C86" s="66"/>
      <c r="D86" s="66"/>
      <c r="E86" s="66"/>
      <c r="F86" s="66"/>
      <c r="G86" s="104"/>
      <c r="H86" s="104"/>
      <c r="I86" s="104"/>
      <c r="AF86" s="38">
        <v>18</v>
      </c>
      <c r="AG86" s="38" t="s">
        <v>7</v>
      </c>
      <c r="AH86" s="38" t="s">
        <v>1627</v>
      </c>
      <c r="AI86" s="38" t="s">
        <v>1667</v>
      </c>
      <c r="AJ86" s="38" t="s">
        <v>1667</v>
      </c>
      <c r="AK86" s="38" t="s">
        <v>1633</v>
      </c>
      <c r="AL86" s="38" t="s">
        <v>1630</v>
      </c>
      <c r="AM86" s="38" t="s">
        <v>7</v>
      </c>
      <c r="AN86" s="38" t="s">
        <v>1668</v>
      </c>
    </row>
    <row r="87" spans="1:40">
      <c r="A87" s="66"/>
      <c r="B87" s="66"/>
      <c r="C87" s="66"/>
      <c r="D87" s="66"/>
      <c r="E87" s="66"/>
      <c r="F87" s="66"/>
      <c r="G87" s="104"/>
      <c r="H87" s="104"/>
      <c r="I87" s="104"/>
      <c r="AF87" s="38">
        <v>19</v>
      </c>
      <c r="AG87" s="38" t="s">
        <v>7</v>
      </c>
      <c r="AH87" s="38" t="s">
        <v>1627</v>
      </c>
      <c r="AI87" s="38" t="s">
        <v>1669</v>
      </c>
      <c r="AJ87" s="38" t="s">
        <v>1669</v>
      </c>
      <c r="AK87" s="38" t="s">
        <v>1633</v>
      </c>
      <c r="AL87" s="38" t="s">
        <v>1630</v>
      </c>
      <c r="AM87" s="38" t="s">
        <v>7</v>
      </c>
      <c r="AN87" s="38" t="s">
        <v>1670</v>
      </c>
    </row>
    <row r="88" spans="1:40">
      <c r="A88" s="66"/>
      <c r="B88" s="66"/>
      <c r="C88" s="66"/>
      <c r="D88" s="66"/>
      <c r="E88" s="66"/>
      <c r="F88" s="66"/>
      <c r="G88" s="104"/>
      <c r="H88" s="104"/>
      <c r="I88" s="104"/>
      <c r="AF88" s="38">
        <v>20</v>
      </c>
      <c r="AG88" s="38" t="s">
        <v>7</v>
      </c>
      <c r="AH88" s="38" t="s">
        <v>1627</v>
      </c>
      <c r="AI88" s="38" t="s">
        <v>1671</v>
      </c>
      <c r="AJ88" s="38" t="s">
        <v>1671</v>
      </c>
      <c r="AK88" s="38" t="s">
        <v>1633</v>
      </c>
      <c r="AL88" s="38" t="s">
        <v>1630</v>
      </c>
      <c r="AM88" s="38" t="s">
        <v>7</v>
      </c>
      <c r="AN88" s="38" t="s">
        <v>1672</v>
      </c>
    </row>
    <row r="89" spans="1:40">
      <c r="A89" s="66"/>
      <c r="B89" s="66"/>
      <c r="C89" s="66"/>
      <c r="D89" s="66"/>
      <c r="E89" s="66"/>
      <c r="F89" s="66"/>
      <c r="G89" s="104"/>
      <c r="H89" s="104"/>
      <c r="I89" s="104"/>
      <c r="AF89" s="38">
        <v>21</v>
      </c>
      <c r="AG89" s="38" t="s">
        <v>7</v>
      </c>
      <c r="AH89" s="38" t="s">
        <v>1627</v>
      </c>
      <c r="AI89" s="38" t="s">
        <v>1673</v>
      </c>
      <c r="AJ89" s="38" t="s">
        <v>1673</v>
      </c>
      <c r="AK89" s="38" t="s">
        <v>1633</v>
      </c>
      <c r="AL89" s="38" t="s">
        <v>1630</v>
      </c>
      <c r="AM89" s="38" t="s">
        <v>7</v>
      </c>
      <c r="AN89" s="38" t="s">
        <v>1674</v>
      </c>
    </row>
    <row r="90" spans="1:40">
      <c r="A90" s="66"/>
      <c r="B90" s="66"/>
      <c r="C90" s="66"/>
      <c r="D90" s="66"/>
      <c r="E90" s="66"/>
      <c r="F90" s="66"/>
      <c r="G90" s="104"/>
      <c r="H90" s="104"/>
      <c r="I90" s="104"/>
      <c r="AF90" s="38">
        <v>22</v>
      </c>
      <c r="AG90" s="38" t="s">
        <v>7</v>
      </c>
      <c r="AH90" s="38" t="s">
        <v>1627</v>
      </c>
      <c r="AI90" s="38" t="s">
        <v>1675</v>
      </c>
      <c r="AJ90" s="38" t="s">
        <v>1675</v>
      </c>
      <c r="AK90" s="38" t="s">
        <v>1633</v>
      </c>
      <c r="AL90" s="38" t="s">
        <v>1630</v>
      </c>
      <c r="AM90" s="38" t="s">
        <v>7</v>
      </c>
      <c r="AN90" s="38" t="s">
        <v>1676</v>
      </c>
    </row>
    <row r="91" spans="1:40">
      <c r="A91" s="66"/>
      <c r="B91" s="66"/>
      <c r="C91" s="66"/>
      <c r="D91" s="66"/>
      <c r="E91" s="66"/>
      <c r="F91" s="66"/>
      <c r="G91" s="104"/>
      <c r="H91" s="104"/>
      <c r="I91" s="104"/>
      <c r="AF91" s="38">
        <v>23</v>
      </c>
      <c r="AG91" s="38" t="s">
        <v>7</v>
      </c>
      <c r="AH91" s="38" t="s">
        <v>1627</v>
      </c>
      <c r="AI91" s="38" t="s">
        <v>1677</v>
      </c>
      <c r="AJ91" s="38" t="s">
        <v>1677</v>
      </c>
      <c r="AK91" s="38" t="s">
        <v>1633</v>
      </c>
      <c r="AL91" s="38" t="s">
        <v>1630</v>
      </c>
      <c r="AM91" s="38" t="s">
        <v>7</v>
      </c>
      <c r="AN91" s="38" t="s">
        <v>1678</v>
      </c>
    </row>
    <row r="92" spans="1:40">
      <c r="A92" s="66"/>
      <c r="B92" s="66"/>
      <c r="C92" s="66"/>
      <c r="D92" s="66"/>
      <c r="E92" s="66"/>
      <c r="F92" s="66"/>
      <c r="G92" s="104"/>
      <c r="H92" s="104"/>
      <c r="I92" s="104"/>
      <c r="AF92" s="38">
        <v>24</v>
      </c>
      <c r="AG92" s="38" t="s">
        <v>7</v>
      </c>
      <c r="AH92" s="38" t="s">
        <v>1627</v>
      </c>
      <c r="AI92" s="38" t="s">
        <v>1679</v>
      </c>
      <c r="AJ92" s="38" t="s">
        <v>1679</v>
      </c>
      <c r="AK92" s="38" t="s">
        <v>1633</v>
      </c>
      <c r="AL92" s="38" t="s">
        <v>1630</v>
      </c>
      <c r="AM92" s="38" t="s">
        <v>7</v>
      </c>
      <c r="AN92" s="38" t="s">
        <v>1680</v>
      </c>
    </row>
    <row r="93" spans="1:40">
      <c r="A93" s="66"/>
      <c r="B93" s="66"/>
      <c r="C93" s="66"/>
      <c r="D93" s="66"/>
      <c r="E93" s="66"/>
      <c r="F93" s="66"/>
      <c r="G93" s="104"/>
      <c r="H93" s="104"/>
      <c r="I93" s="104"/>
      <c r="AF93" s="38">
        <v>25</v>
      </c>
      <c r="AG93" s="38" t="s">
        <v>7</v>
      </c>
      <c r="AH93" s="38" t="s">
        <v>1627</v>
      </c>
      <c r="AI93" s="38" t="s">
        <v>1681</v>
      </c>
      <c r="AJ93" s="38" t="s">
        <v>1681</v>
      </c>
      <c r="AK93" s="38" t="s">
        <v>1633</v>
      </c>
      <c r="AL93" s="38" t="s">
        <v>1630</v>
      </c>
      <c r="AM93" s="38" t="s">
        <v>7</v>
      </c>
      <c r="AN93" s="38" t="s">
        <v>1682</v>
      </c>
    </row>
    <row r="94" spans="1:40">
      <c r="AF94" s="38">
        <v>26</v>
      </c>
      <c r="AG94" s="38" t="s">
        <v>7</v>
      </c>
      <c r="AH94" s="38" t="s">
        <v>1627</v>
      </c>
      <c r="AI94" s="38" t="s">
        <v>1683</v>
      </c>
      <c r="AJ94" s="38" t="s">
        <v>1683</v>
      </c>
      <c r="AK94" s="38" t="s">
        <v>1633</v>
      </c>
      <c r="AL94" s="38" t="s">
        <v>1630</v>
      </c>
      <c r="AM94" s="38" t="s">
        <v>7</v>
      </c>
      <c r="AN94" s="38" t="s">
        <v>1684</v>
      </c>
    </row>
    <row r="95" spans="1:40">
      <c r="AF95" s="38">
        <v>27</v>
      </c>
      <c r="AG95" s="38" t="s">
        <v>7</v>
      </c>
      <c r="AH95" s="38" t="s">
        <v>1627</v>
      </c>
      <c r="AI95" s="38" t="s">
        <v>1685</v>
      </c>
      <c r="AJ95" s="38" t="s">
        <v>1685</v>
      </c>
      <c r="AK95" s="38" t="s">
        <v>1633</v>
      </c>
      <c r="AL95" s="38" t="s">
        <v>1630</v>
      </c>
      <c r="AM95" s="38" t="s">
        <v>7</v>
      </c>
      <c r="AN95" s="38" t="s">
        <v>1686</v>
      </c>
    </row>
    <row r="96" spans="1:40">
      <c r="AF96" s="38">
        <v>28</v>
      </c>
      <c r="AG96" s="38" t="s">
        <v>7</v>
      </c>
      <c r="AH96" s="38" t="s">
        <v>1627</v>
      </c>
      <c r="AI96" s="38" t="s">
        <v>1687</v>
      </c>
      <c r="AJ96" s="38" t="s">
        <v>1687</v>
      </c>
      <c r="AK96" s="38" t="s">
        <v>1629</v>
      </c>
      <c r="AL96" s="38" t="s">
        <v>1630</v>
      </c>
      <c r="AM96" s="38" t="s">
        <v>7</v>
      </c>
      <c r="AN96" s="38" t="s">
        <v>1688</v>
      </c>
    </row>
    <row r="246" spans="24:24">
      <c r="X246" s="18"/>
    </row>
    <row r="247" spans="24:24">
      <c r="X247" s="18"/>
    </row>
    <row r="248" spans="24:24">
      <c r="X248" s="18"/>
    </row>
    <row r="249" spans="24:24">
      <c r="X249" s="18"/>
    </row>
    <row r="250" spans="24:24">
      <c r="X250" s="18"/>
    </row>
    <row r="251" spans="24:24">
      <c r="X251" s="18"/>
    </row>
    <row r="252" spans="24:24">
      <c r="X252" s="18"/>
    </row>
    <row r="253" spans="24:24">
      <c r="X253" s="18"/>
    </row>
    <row r="254" spans="24:24">
      <c r="X254" s="18"/>
    </row>
    <row r="255" spans="24:24">
      <c r="X255" s="18"/>
    </row>
    <row r="256" spans="24:24">
      <c r="X256" s="18"/>
    </row>
    <row r="257" spans="24:24">
      <c r="X257" s="18"/>
    </row>
    <row r="258" spans="24:24">
      <c r="X258" s="18"/>
    </row>
    <row r="259" spans="24:24">
      <c r="X259" s="18"/>
    </row>
    <row r="260" spans="24:24">
      <c r="X260" s="18"/>
    </row>
    <row r="261" spans="24:24">
      <c r="X261" s="18"/>
    </row>
    <row r="262" spans="24:24">
      <c r="X262" s="18"/>
    </row>
    <row r="263" spans="24:24">
      <c r="X263" s="18"/>
    </row>
    <row r="264" spans="24:24">
      <c r="X264" s="18"/>
    </row>
    <row r="265" spans="24:24">
      <c r="X265" s="18"/>
    </row>
    <row r="266" spans="24:24">
      <c r="X266" s="18"/>
    </row>
    <row r="267" spans="24:24">
      <c r="X267" s="18"/>
    </row>
    <row r="268" spans="24:24">
      <c r="X268" s="18"/>
    </row>
    <row r="269" spans="24:24">
      <c r="X269" s="18"/>
    </row>
    <row r="270" spans="24:24">
      <c r="X270" s="18"/>
    </row>
    <row r="271" spans="24:24">
      <c r="X271" s="18"/>
    </row>
    <row r="272" spans="24:24">
      <c r="X272" s="18"/>
    </row>
    <row r="273" spans="24:24">
      <c r="X273" s="18"/>
    </row>
    <row r="274" spans="24:24">
      <c r="X274" s="18"/>
    </row>
    <row r="482" spans="11:24"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</sheetData>
  <sortState xmlns:xlrd2="http://schemas.microsoft.com/office/spreadsheetml/2017/richdata2" ref="AF68:AN96">
    <sortCondition ref="AF68:AF96"/>
  </sortState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0F561-DA7B-479B-9F83-199A9498D1D8}">
  <sheetPr codeName="Sheet12"/>
  <dimension ref="A1:AN484"/>
  <sheetViews>
    <sheetView workbookViewId="0">
      <pane ySplit="5" topLeftCell="A6" activePane="bottomLeft" state="frozen"/>
      <selection pane="bottomLeft" activeCell="K6" sqref="K6"/>
    </sheetView>
  </sheetViews>
  <sheetFormatPr defaultRowHeight="15" outlineLevelCol="1"/>
  <cols>
    <col min="1" max="1" width="10.625" style="5" bestFit="1" customWidth="1"/>
    <col min="2" max="2" width="10.75" style="5" bestFit="1" customWidth="1"/>
    <col min="3" max="3" width="5.125" style="5" bestFit="1" customWidth="1"/>
    <col min="4" max="4" width="5.25" style="5" bestFit="1" customWidth="1"/>
    <col min="5" max="5" width="6.125" style="5" bestFit="1" customWidth="1"/>
    <col min="6" max="6" width="8.75" style="5" bestFit="1" customWidth="1"/>
    <col min="7" max="9" width="2.875" style="5" bestFit="1" customWidth="1"/>
    <col min="10" max="10" width="2.625" bestFit="1" customWidth="1"/>
    <col min="11" max="22" width="3.625" style="6" customWidth="1"/>
    <col min="23" max="24" width="3.625" style="38" customWidth="1"/>
    <col min="25" max="25" width="3.625" style="6" customWidth="1"/>
    <col min="26" max="27" width="15.625" style="6" customWidth="1"/>
    <col min="28" max="31" width="4.625" style="6" customWidth="1"/>
    <col min="32" max="33" width="6.625" style="6" customWidth="1"/>
    <col min="34" max="34" width="20.625" style="6" customWidth="1"/>
    <col min="35" max="38" width="20.625" style="6" customWidth="1" outlineLevel="1"/>
    <col min="39" max="39" width="3.375" style="6" bestFit="1" customWidth="1" outlineLevel="1"/>
    <col min="40" max="40" width="35" style="6" customWidth="1" outlineLevel="1"/>
  </cols>
  <sheetData>
    <row r="1" spans="1:40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23"/>
      <c r="K1" s="6">
        <f t="shared" ref="K1:U1" si="0">L1+1</f>
        <v>12</v>
      </c>
      <c r="L1" s="6">
        <f t="shared" si="0"/>
        <v>11</v>
      </c>
      <c r="M1" s="6">
        <f t="shared" si="0"/>
        <v>10</v>
      </c>
      <c r="N1" s="6">
        <f t="shared" si="0"/>
        <v>9</v>
      </c>
      <c r="O1" s="6">
        <f t="shared" si="0"/>
        <v>8</v>
      </c>
      <c r="P1" s="6">
        <f t="shared" si="0"/>
        <v>7</v>
      </c>
      <c r="Q1" s="6">
        <f t="shared" si="0"/>
        <v>6</v>
      </c>
      <c r="R1" s="6">
        <f t="shared" si="0"/>
        <v>5</v>
      </c>
      <c r="S1" s="6">
        <f t="shared" si="0"/>
        <v>4</v>
      </c>
      <c r="T1" s="6">
        <f t="shared" si="0"/>
        <v>3</v>
      </c>
      <c r="U1" s="6">
        <f t="shared" si="0"/>
        <v>2</v>
      </c>
      <c r="V1" s="6">
        <f>W1+1</f>
        <v>1</v>
      </c>
      <c r="W1" s="6">
        <v>0</v>
      </c>
      <c r="X1" s="89"/>
      <c r="Y1" s="38"/>
      <c r="Z1" s="38"/>
      <c r="AA1" s="38"/>
      <c r="AB1" s="38"/>
      <c r="AC1" s="38"/>
      <c r="AD1" s="38"/>
      <c r="AE1" s="96"/>
      <c r="AG1" s="96"/>
    </row>
    <row r="2" spans="1:40">
      <c r="A2" s="52"/>
      <c r="B2" s="53"/>
      <c r="C2" s="53"/>
      <c r="D2" s="53"/>
      <c r="E2" s="53"/>
      <c r="F2" s="53"/>
      <c r="G2" s="54"/>
      <c r="H2" s="54"/>
      <c r="I2" s="54"/>
      <c r="J2" s="23"/>
      <c r="K2" s="6">
        <f t="shared" ref="K2" si="1">MAX(K6:K245)</f>
        <v>0</v>
      </c>
      <c r="L2" s="6">
        <f t="shared" ref="L2:W2" si="2">MAX(L6:L245)</f>
        <v>0</v>
      </c>
      <c r="M2" s="6">
        <f t="shared" si="2"/>
        <v>0</v>
      </c>
      <c r="N2" s="6">
        <f t="shared" si="2"/>
        <v>0</v>
      </c>
      <c r="O2" s="6">
        <f t="shared" si="2"/>
        <v>0</v>
      </c>
      <c r="P2" s="6">
        <f t="shared" si="2"/>
        <v>0</v>
      </c>
      <c r="Q2" s="6">
        <f t="shared" si="2"/>
        <v>0</v>
      </c>
      <c r="R2" s="6">
        <f t="shared" si="2"/>
        <v>0</v>
      </c>
      <c r="S2" s="6">
        <f t="shared" si="2"/>
        <v>0</v>
      </c>
      <c r="T2" s="6">
        <f t="shared" si="2"/>
        <v>1</v>
      </c>
      <c r="U2" s="6">
        <f t="shared" si="2"/>
        <v>1</v>
      </c>
      <c r="V2" s="6">
        <f t="shared" si="2"/>
        <v>0</v>
      </c>
      <c r="W2" s="6">
        <f t="shared" si="2"/>
        <v>0</v>
      </c>
      <c r="X2" s="90">
        <f>SUM(K2:W2)</f>
        <v>2</v>
      </c>
      <c r="Y2" s="38"/>
      <c r="Z2" s="38" t="s">
        <v>749</v>
      </c>
      <c r="AA2" s="38"/>
      <c r="AB2" s="38"/>
      <c r="AC2" s="38"/>
      <c r="AD2" s="38"/>
      <c r="AE2" s="96"/>
      <c r="AG2" s="96"/>
    </row>
    <row r="3" spans="1:40" ht="31.5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23"/>
      <c r="K3" s="12">
        <f t="shared" ref="K3:U3" si="3">L3*2</f>
        <v>4096</v>
      </c>
      <c r="L3" s="12">
        <f t="shared" si="3"/>
        <v>2048</v>
      </c>
      <c r="M3" s="12">
        <f t="shared" si="3"/>
        <v>1024</v>
      </c>
      <c r="N3" s="12">
        <f t="shared" si="3"/>
        <v>512</v>
      </c>
      <c r="O3" s="12">
        <f t="shared" si="3"/>
        <v>256</v>
      </c>
      <c r="P3" s="12">
        <f t="shared" si="3"/>
        <v>128</v>
      </c>
      <c r="Q3" s="12">
        <f t="shared" si="3"/>
        <v>64</v>
      </c>
      <c r="R3" s="12">
        <f t="shared" si="3"/>
        <v>32</v>
      </c>
      <c r="S3" s="12">
        <f t="shared" si="3"/>
        <v>16</v>
      </c>
      <c r="T3" s="12">
        <f t="shared" si="3"/>
        <v>8</v>
      </c>
      <c r="U3" s="12">
        <f t="shared" si="3"/>
        <v>4</v>
      </c>
      <c r="V3" s="12">
        <f>W3*2</f>
        <v>2</v>
      </c>
      <c r="W3" s="12">
        <v>1</v>
      </c>
      <c r="X3" s="91">
        <v>1</v>
      </c>
      <c r="Y3" s="59"/>
      <c r="Z3" s="38" t="s">
        <v>1337</v>
      </c>
      <c r="AA3" s="38" t="s">
        <v>1689</v>
      </c>
      <c r="AB3" s="38"/>
      <c r="AC3" s="38"/>
      <c r="AD3" s="38"/>
      <c r="AE3" s="97"/>
      <c r="AG3" s="96"/>
    </row>
    <row r="4" spans="1:40" ht="199.5" customHeight="1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23"/>
      <c r="K4" s="17" t="s">
        <v>753</v>
      </c>
      <c r="L4" s="17" t="s">
        <v>754</v>
      </c>
      <c r="M4" s="17" t="s">
        <v>755</v>
      </c>
      <c r="N4" s="17" t="s">
        <v>756</v>
      </c>
      <c r="O4" s="17" t="s">
        <v>757</v>
      </c>
      <c r="P4" s="17" t="s">
        <v>758</v>
      </c>
      <c r="Q4" s="17" t="s">
        <v>759</v>
      </c>
      <c r="R4" s="17" t="s">
        <v>760</v>
      </c>
      <c r="S4" s="17" t="s">
        <v>761</v>
      </c>
      <c r="T4" s="17" t="s">
        <v>762</v>
      </c>
      <c r="U4" s="17" t="s">
        <v>763</v>
      </c>
      <c r="V4" s="17" t="s">
        <v>764</v>
      </c>
      <c r="W4" s="17" t="s">
        <v>765</v>
      </c>
      <c r="X4" s="92" t="s">
        <v>766</v>
      </c>
      <c r="Y4" s="60" t="s">
        <v>767</v>
      </c>
      <c r="Z4" s="65" t="s">
        <v>1342</v>
      </c>
      <c r="AA4" s="65" t="s">
        <v>1343</v>
      </c>
      <c r="AB4" s="65"/>
      <c r="AC4" s="65"/>
      <c r="AD4" s="65"/>
      <c r="AE4" s="98"/>
      <c r="AF4" s="107" t="s">
        <v>769</v>
      </c>
      <c r="AG4" s="108" t="s">
        <v>770</v>
      </c>
      <c r="AH4" s="19" t="s">
        <v>771</v>
      </c>
      <c r="AI4" s="19" t="s">
        <v>772</v>
      </c>
      <c r="AJ4" s="19" t="s">
        <v>773</v>
      </c>
      <c r="AK4" s="19" t="s">
        <v>774</v>
      </c>
      <c r="AL4" s="19" t="s">
        <v>775</v>
      </c>
    </row>
    <row r="5" spans="1:40" s="75" customFormat="1" ht="13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85"/>
      <c r="K5" s="21" t="s">
        <v>776</v>
      </c>
      <c r="L5" s="21" t="s">
        <v>776</v>
      </c>
      <c r="M5" s="21" t="s">
        <v>776</v>
      </c>
      <c r="N5" s="21" t="s">
        <v>776</v>
      </c>
      <c r="O5" s="21" t="s">
        <v>776</v>
      </c>
      <c r="P5" s="21" t="s">
        <v>776</v>
      </c>
      <c r="Q5" s="21" t="s">
        <v>776</v>
      </c>
      <c r="R5" s="21" t="s">
        <v>776</v>
      </c>
      <c r="S5" s="21" t="s">
        <v>776</v>
      </c>
      <c r="T5" s="21" t="s">
        <v>776</v>
      </c>
      <c r="U5" s="21" t="s">
        <v>776</v>
      </c>
      <c r="V5" s="21" t="s">
        <v>776</v>
      </c>
      <c r="W5" s="21" t="s">
        <v>776</v>
      </c>
      <c r="X5" s="95" t="s">
        <v>776</v>
      </c>
      <c r="Y5" s="86" t="s">
        <v>776</v>
      </c>
      <c r="Z5" s="86" t="s">
        <v>776</v>
      </c>
      <c r="AA5" s="86" t="s">
        <v>776</v>
      </c>
      <c r="AB5" s="86"/>
      <c r="AC5" s="86"/>
      <c r="AD5" s="86"/>
      <c r="AE5" s="99"/>
      <c r="AF5" s="21" t="s">
        <v>776</v>
      </c>
      <c r="AG5" s="99" t="s">
        <v>776</v>
      </c>
      <c r="AH5" s="21" t="s">
        <v>776</v>
      </c>
      <c r="AI5" s="21" t="s">
        <v>776</v>
      </c>
      <c r="AJ5" s="21" t="s">
        <v>776</v>
      </c>
      <c r="AK5" s="21" t="s">
        <v>776</v>
      </c>
      <c r="AL5" s="21"/>
      <c r="AM5" s="21" t="s">
        <v>776</v>
      </c>
      <c r="AN5" s="21" t="s">
        <v>776</v>
      </c>
    </row>
    <row r="6" spans="1:40">
      <c r="A6" s="57" t="s">
        <v>1415</v>
      </c>
      <c r="B6" s="57" t="s">
        <v>1416</v>
      </c>
      <c r="C6" s="57" t="s">
        <v>29</v>
      </c>
      <c r="D6" s="57">
        <v>32</v>
      </c>
      <c r="E6" s="64">
        <v>1000</v>
      </c>
      <c r="F6" s="57" t="s">
        <v>29</v>
      </c>
      <c r="G6" s="57"/>
      <c r="H6" s="57"/>
      <c r="I6" s="57" t="s">
        <v>1346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89"/>
      <c r="Y6" s="38">
        <v>0</v>
      </c>
      <c r="Z6" s="120">
        <v>511</v>
      </c>
      <c r="AA6" s="38">
        <v>9</v>
      </c>
      <c r="AB6" s="38"/>
      <c r="AC6" s="38"/>
      <c r="AD6" s="38"/>
      <c r="AE6" s="96"/>
      <c r="AF6" s="87">
        <f>VLOOKUP(A6,SecOC_Cfg.h!$C$78:$D$93,2,FALSE)</f>
        <v>15</v>
      </c>
      <c r="AG6" s="96"/>
      <c r="AH6" s="9" t="str">
        <f>"0x40000"&amp;B6</f>
        <v>0x4000024D</v>
      </c>
      <c r="AI6" s="9">
        <f>HEX2DEC(RIGHT(AH6,8))</f>
        <v>1073742413</v>
      </c>
      <c r="AJ6" s="9" t="str">
        <f t="shared" ref="AJ6" si="4">IF(AF6&lt;&gt;"",AH6,"")</f>
        <v>0x4000024D</v>
      </c>
      <c r="AK6" s="9" t="s">
        <v>1690</v>
      </c>
      <c r="AL6" s="9">
        <f>IF($AF6&lt;&gt;"",MIN($D6:$D6),"")</f>
        <v>32</v>
      </c>
    </row>
    <row r="7" spans="1:40">
      <c r="A7" s="57" t="s">
        <v>1419</v>
      </c>
      <c r="B7" s="57" t="s">
        <v>1691</v>
      </c>
      <c r="C7" s="57" t="s">
        <v>29</v>
      </c>
      <c r="D7" s="57">
        <v>32</v>
      </c>
      <c r="E7" s="64">
        <v>1000</v>
      </c>
      <c r="F7" s="57" t="s">
        <v>29</v>
      </c>
      <c r="G7" s="57" t="s">
        <v>1346</v>
      </c>
      <c r="H7" s="57"/>
      <c r="I7" s="57"/>
      <c r="J7" s="23"/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1</v>
      </c>
      <c r="V7" s="6">
        <v>0</v>
      </c>
      <c r="W7" s="6">
        <v>0</v>
      </c>
      <c r="X7" s="89"/>
      <c r="Y7" s="38">
        <v>1</v>
      </c>
      <c r="Z7" s="120">
        <v>511</v>
      </c>
      <c r="AA7" s="38">
        <v>1</v>
      </c>
      <c r="AB7" s="38"/>
      <c r="AC7" s="38"/>
      <c r="AD7" s="38"/>
      <c r="AE7" s="96"/>
      <c r="AF7" s="87">
        <f>VLOOKUP(A7,SecOC_Cfg.h!$C$78:$D$93,2,FALSE)</f>
        <v>0</v>
      </c>
      <c r="AG7" s="96"/>
      <c r="AH7" s="9" t="str">
        <f t="shared" ref="AH7:AH21" si="5">"0x40000"&amp;B7</f>
        <v>0x400002D2</v>
      </c>
      <c r="AI7" s="9">
        <f t="shared" ref="AI7:AI21" si="6">HEX2DEC(RIGHT(AH7,8))</f>
        <v>1073742546</v>
      </c>
      <c r="AJ7" s="9" t="str">
        <f t="shared" ref="AJ7:AJ21" si="7">IF(AF7&lt;&gt;"",AH7,"")</f>
        <v>0x400002D2</v>
      </c>
      <c r="AK7" s="9" t="s">
        <v>1692</v>
      </c>
      <c r="AL7" s="9">
        <f t="shared" ref="AL7:AL21" si="8">IF($AF7&lt;&gt;"",MIN($D7:$D7),"")</f>
        <v>32</v>
      </c>
    </row>
    <row r="8" spans="1:40">
      <c r="A8" s="57" t="s">
        <v>1423</v>
      </c>
      <c r="B8" s="57" t="s">
        <v>1424</v>
      </c>
      <c r="C8" s="57" t="s">
        <v>29</v>
      </c>
      <c r="D8" s="57">
        <v>64</v>
      </c>
      <c r="E8" s="64">
        <v>1000</v>
      </c>
      <c r="F8" s="57" t="s">
        <v>29</v>
      </c>
      <c r="G8" s="57" t="s">
        <v>1346</v>
      </c>
      <c r="H8" s="57"/>
      <c r="I8" s="57"/>
      <c r="J8" s="23"/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89"/>
      <c r="Y8" s="38">
        <v>1</v>
      </c>
      <c r="Z8" s="120">
        <v>511</v>
      </c>
      <c r="AA8" s="38">
        <v>1</v>
      </c>
      <c r="AB8" s="38"/>
      <c r="AC8" s="38"/>
      <c r="AD8" s="38"/>
      <c r="AE8" s="96"/>
      <c r="AF8" s="87">
        <f>VLOOKUP(A8,SecOC_Cfg.h!$C$78:$D$93,2,FALSE)</f>
        <v>1</v>
      </c>
      <c r="AG8" s="96"/>
      <c r="AH8" s="9" t="str">
        <f t="shared" si="5"/>
        <v>0x400002D4</v>
      </c>
      <c r="AI8" s="9">
        <f t="shared" si="6"/>
        <v>1073742548</v>
      </c>
      <c r="AJ8" s="9" t="str">
        <f t="shared" si="7"/>
        <v>0x400002D4</v>
      </c>
      <c r="AK8" s="9" t="s">
        <v>1693</v>
      </c>
      <c r="AL8" s="9">
        <f t="shared" si="8"/>
        <v>64</v>
      </c>
    </row>
    <row r="9" spans="1:40">
      <c r="A9" s="57" t="s">
        <v>1425</v>
      </c>
      <c r="B9" s="57" t="s">
        <v>1426</v>
      </c>
      <c r="C9" s="57" t="s">
        <v>29</v>
      </c>
      <c r="D9" s="57">
        <v>64</v>
      </c>
      <c r="E9" s="64">
        <v>1000</v>
      </c>
      <c r="F9" s="57" t="s">
        <v>29</v>
      </c>
      <c r="G9" s="57" t="s">
        <v>1346</v>
      </c>
      <c r="H9" s="57"/>
      <c r="I9" s="57"/>
      <c r="J9" s="23"/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1</v>
      </c>
      <c r="V9" s="6">
        <v>0</v>
      </c>
      <c r="W9" s="6">
        <v>0</v>
      </c>
      <c r="X9" s="89"/>
      <c r="Y9" s="38">
        <v>1</v>
      </c>
      <c r="Z9" s="120">
        <v>511</v>
      </c>
      <c r="AA9" s="38">
        <v>1</v>
      </c>
      <c r="AB9" s="38"/>
      <c r="AC9" s="38"/>
      <c r="AD9" s="38"/>
      <c r="AE9" s="96"/>
      <c r="AF9" s="87">
        <f>VLOOKUP(A9,SecOC_Cfg.h!$C$78:$D$93,2,FALSE)</f>
        <v>2</v>
      </c>
      <c r="AG9" s="96"/>
      <c r="AH9" s="9" t="str">
        <f t="shared" si="5"/>
        <v>0x400002D5</v>
      </c>
      <c r="AI9" s="9">
        <f t="shared" si="6"/>
        <v>1073742549</v>
      </c>
      <c r="AJ9" s="9" t="str">
        <f t="shared" si="7"/>
        <v>0x400002D5</v>
      </c>
      <c r="AK9" s="9" t="s">
        <v>1694</v>
      </c>
      <c r="AL9" s="9">
        <f t="shared" si="8"/>
        <v>64</v>
      </c>
    </row>
    <row r="10" spans="1:40">
      <c r="A10" s="57" t="s">
        <v>1427</v>
      </c>
      <c r="B10" s="57" t="s">
        <v>1428</v>
      </c>
      <c r="C10" s="57" t="s">
        <v>29</v>
      </c>
      <c r="D10" s="57">
        <v>64</v>
      </c>
      <c r="E10" s="64">
        <v>1000</v>
      </c>
      <c r="F10" s="57" t="s">
        <v>29</v>
      </c>
      <c r="G10" s="57" t="s">
        <v>1346</v>
      </c>
      <c r="H10" s="57"/>
      <c r="I10" s="57"/>
      <c r="J10" s="23"/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1</v>
      </c>
      <c r="V10" s="6">
        <v>0</v>
      </c>
      <c r="W10" s="6">
        <v>0</v>
      </c>
      <c r="X10" s="89"/>
      <c r="Y10" s="38">
        <v>1</v>
      </c>
      <c r="Z10" s="120">
        <v>511</v>
      </c>
      <c r="AA10" s="38">
        <v>1</v>
      </c>
      <c r="AB10" s="38"/>
      <c r="AC10" s="38"/>
      <c r="AD10" s="38"/>
      <c r="AE10" s="96"/>
      <c r="AF10" s="87">
        <f>VLOOKUP(A10,SecOC_Cfg.h!$C$78:$D$93,2,FALSE)</f>
        <v>3</v>
      </c>
      <c r="AG10" s="96"/>
      <c r="AH10" s="9" t="str">
        <f t="shared" si="5"/>
        <v>0x400002D6</v>
      </c>
      <c r="AI10" s="9">
        <f t="shared" si="6"/>
        <v>1073742550</v>
      </c>
      <c r="AJ10" s="9" t="str">
        <f t="shared" si="7"/>
        <v>0x400002D6</v>
      </c>
      <c r="AK10" s="9" t="s">
        <v>1695</v>
      </c>
      <c r="AL10" s="9">
        <f t="shared" si="8"/>
        <v>64</v>
      </c>
    </row>
    <row r="11" spans="1:40">
      <c r="A11" s="57" t="s">
        <v>1429</v>
      </c>
      <c r="B11" s="57" t="s">
        <v>1430</v>
      </c>
      <c r="C11" s="57" t="s">
        <v>29</v>
      </c>
      <c r="D11" s="57">
        <v>64</v>
      </c>
      <c r="E11" s="64">
        <v>1000</v>
      </c>
      <c r="F11" s="57" t="s">
        <v>29</v>
      </c>
      <c r="G11" s="57" t="s">
        <v>1346</v>
      </c>
      <c r="H11" s="57"/>
      <c r="I11" s="57"/>
      <c r="J11" s="23"/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1</v>
      </c>
      <c r="V11" s="6">
        <v>0</v>
      </c>
      <c r="W11" s="6">
        <v>0</v>
      </c>
      <c r="X11" s="89"/>
      <c r="Y11" s="38">
        <v>1</v>
      </c>
      <c r="Z11" s="120">
        <v>511</v>
      </c>
      <c r="AA11" s="38">
        <v>1</v>
      </c>
      <c r="AB11" s="38"/>
      <c r="AC11" s="38"/>
      <c r="AD11" s="38"/>
      <c r="AE11" s="96"/>
      <c r="AF11" s="87">
        <f>VLOOKUP(A11,SecOC_Cfg.h!$C$78:$D$93,2,FALSE)</f>
        <v>4</v>
      </c>
      <c r="AG11" s="96"/>
      <c r="AH11" s="9" t="str">
        <f t="shared" si="5"/>
        <v>0x400002D7</v>
      </c>
      <c r="AI11" s="9">
        <f t="shared" si="6"/>
        <v>1073742551</v>
      </c>
      <c r="AJ11" s="9" t="str">
        <f t="shared" si="7"/>
        <v>0x400002D7</v>
      </c>
      <c r="AK11" s="9" t="s">
        <v>1696</v>
      </c>
      <c r="AL11" s="9">
        <f t="shared" si="8"/>
        <v>64</v>
      </c>
    </row>
    <row r="12" spans="1:40">
      <c r="A12" s="57" t="s">
        <v>1431</v>
      </c>
      <c r="B12" s="57" t="s">
        <v>1432</v>
      </c>
      <c r="C12" s="57" t="s">
        <v>29</v>
      </c>
      <c r="D12" s="57">
        <v>64</v>
      </c>
      <c r="E12" s="64">
        <v>1000</v>
      </c>
      <c r="F12" s="57" t="s">
        <v>29</v>
      </c>
      <c r="G12" s="57" t="s">
        <v>1346</v>
      </c>
      <c r="H12" s="57"/>
      <c r="I12" s="57"/>
      <c r="J12" s="23"/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1</v>
      </c>
      <c r="V12" s="6">
        <v>0</v>
      </c>
      <c r="W12" s="6">
        <v>0</v>
      </c>
      <c r="X12" s="89"/>
      <c r="Y12" s="38">
        <v>1</v>
      </c>
      <c r="Z12" s="120">
        <v>511</v>
      </c>
      <c r="AA12" s="38">
        <v>1</v>
      </c>
      <c r="AB12" s="38"/>
      <c r="AC12" s="38"/>
      <c r="AD12" s="38"/>
      <c r="AE12" s="96"/>
      <c r="AF12" s="87">
        <f>VLOOKUP(A12,SecOC_Cfg.h!$C$78:$D$93,2,FALSE)</f>
        <v>5</v>
      </c>
      <c r="AG12" s="96"/>
      <c r="AH12" s="9" t="str">
        <f t="shared" si="5"/>
        <v>0x400002DF</v>
      </c>
      <c r="AI12" s="9">
        <f t="shared" si="6"/>
        <v>1073742559</v>
      </c>
      <c r="AJ12" s="9" t="str">
        <f t="shared" si="7"/>
        <v>0x400002DF</v>
      </c>
      <c r="AK12" s="9" t="s">
        <v>1697</v>
      </c>
      <c r="AL12" s="9">
        <f t="shared" si="8"/>
        <v>64</v>
      </c>
    </row>
    <row r="13" spans="1:40">
      <c r="A13" s="57" t="s">
        <v>1433</v>
      </c>
      <c r="B13" s="57" t="s">
        <v>1434</v>
      </c>
      <c r="C13" s="57" t="s">
        <v>29</v>
      </c>
      <c r="D13" s="57">
        <v>64</v>
      </c>
      <c r="E13" s="64">
        <v>1000</v>
      </c>
      <c r="F13" s="57" t="s">
        <v>29</v>
      </c>
      <c r="G13" s="57" t="s">
        <v>1346</v>
      </c>
      <c r="H13" s="57"/>
      <c r="I13" s="57"/>
      <c r="J13" s="23"/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</v>
      </c>
      <c r="V13" s="6">
        <v>0</v>
      </c>
      <c r="W13" s="6">
        <v>0</v>
      </c>
      <c r="X13" s="89"/>
      <c r="Y13" s="38">
        <v>1</v>
      </c>
      <c r="Z13" s="120">
        <v>511</v>
      </c>
      <c r="AA13" s="38">
        <v>1</v>
      </c>
      <c r="AB13" s="38"/>
      <c r="AC13" s="38"/>
      <c r="AD13" s="38"/>
      <c r="AE13" s="96"/>
      <c r="AF13" s="87">
        <f>VLOOKUP(A13,SecOC_Cfg.h!$C$78:$D$93,2,FALSE)</f>
        <v>6</v>
      </c>
      <c r="AG13" s="96"/>
      <c r="AH13" s="9" t="str">
        <f t="shared" si="5"/>
        <v>0x400002E0</v>
      </c>
      <c r="AI13" s="9">
        <f t="shared" si="6"/>
        <v>1073742560</v>
      </c>
      <c r="AJ13" s="9" t="str">
        <f t="shared" si="7"/>
        <v>0x400002E0</v>
      </c>
      <c r="AK13" s="9" t="s">
        <v>1698</v>
      </c>
      <c r="AL13" s="9">
        <f t="shared" si="8"/>
        <v>64</v>
      </c>
    </row>
    <row r="14" spans="1:40">
      <c r="A14" s="57" t="s">
        <v>1435</v>
      </c>
      <c r="B14" s="57" t="s">
        <v>1436</v>
      </c>
      <c r="C14" s="57" t="s">
        <v>29</v>
      </c>
      <c r="D14" s="57">
        <v>64</v>
      </c>
      <c r="E14" s="64">
        <v>1000</v>
      </c>
      <c r="F14" s="57" t="s">
        <v>29</v>
      </c>
      <c r="G14" s="57" t="s">
        <v>1346</v>
      </c>
      <c r="H14" s="57"/>
      <c r="I14" s="57"/>
      <c r="J14" s="23"/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1</v>
      </c>
      <c r="V14" s="6">
        <v>0</v>
      </c>
      <c r="W14" s="6">
        <v>0</v>
      </c>
      <c r="X14" s="89"/>
      <c r="Y14" s="38">
        <v>1</v>
      </c>
      <c r="Z14" s="120">
        <v>511</v>
      </c>
      <c r="AA14" s="38">
        <v>1</v>
      </c>
      <c r="AB14" s="38"/>
      <c r="AC14" s="38"/>
      <c r="AD14" s="38"/>
      <c r="AE14" s="96"/>
      <c r="AF14" s="87">
        <f>VLOOKUP(A14,SecOC_Cfg.h!$C$78:$D$93,2,FALSE)</f>
        <v>7</v>
      </c>
      <c r="AG14" s="96"/>
      <c r="AH14" s="9" t="str">
        <f t="shared" si="5"/>
        <v>0x400002E1</v>
      </c>
      <c r="AI14" s="9">
        <f t="shared" si="6"/>
        <v>1073742561</v>
      </c>
      <c r="AJ14" s="9" t="str">
        <f t="shared" si="7"/>
        <v>0x400002E1</v>
      </c>
      <c r="AK14" s="9" t="s">
        <v>1699</v>
      </c>
      <c r="AL14" s="9">
        <f t="shared" si="8"/>
        <v>64</v>
      </c>
    </row>
    <row r="15" spans="1:40">
      <c r="A15" s="57" t="s">
        <v>1437</v>
      </c>
      <c r="B15" s="57" t="s">
        <v>1438</v>
      </c>
      <c r="C15" s="57" t="s">
        <v>29</v>
      </c>
      <c r="D15" s="57">
        <v>64</v>
      </c>
      <c r="E15" s="64">
        <v>1000</v>
      </c>
      <c r="F15" s="57" t="s">
        <v>29</v>
      </c>
      <c r="G15" s="57" t="s">
        <v>1346</v>
      </c>
      <c r="H15" s="57"/>
      <c r="I15" s="57"/>
      <c r="J15" s="23"/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1</v>
      </c>
      <c r="V15" s="6">
        <v>0</v>
      </c>
      <c r="W15" s="6">
        <v>0</v>
      </c>
      <c r="X15" s="89"/>
      <c r="Y15" s="38">
        <v>1</v>
      </c>
      <c r="Z15" s="120">
        <v>511</v>
      </c>
      <c r="AA15" s="38">
        <v>1</v>
      </c>
      <c r="AB15" s="38"/>
      <c r="AC15" s="38"/>
      <c r="AD15" s="38"/>
      <c r="AE15" s="96"/>
      <c r="AF15" s="87">
        <f>VLOOKUP(A15,SecOC_Cfg.h!$C$78:$D$93,2,FALSE)</f>
        <v>8</v>
      </c>
      <c r="AG15" s="96"/>
      <c r="AH15" s="9" t="str">
        <f t="shared" si="5"/>
        <v>0x400002E2</v>
      </c>
      <c r="AI15" s="9">
        <f t="shared" si="6"/>
        <v>1073742562</v>
      </c>
      <c r="AJ15" s="9" t="str">
        <f t="shared" si="7"/>
        <v>0x400002E2</v>
      </c>
      <c r="AK15" s="9" t="s">
        <v>1700</v>
      </c>
      <c r="AL15" s="9">
        <f t="shared" si="8"/>
        <v>64</v>
      </c>
    </row>
    <row r="16" spans="1:40">
      <c r="A16" s="57" t="s">
        <v>1441</v>
      </c>
      <c r="B16" s="57" t="s">
        <v>1442</v>
      </c>
      <c r="C16" s="57" t="s">
        <v>29</v>
      </c>
      <c r="D16" s="57">
        <v>64</v>
      </c>
      <c r="E16" s="64">
        <v>1000</v>
      </c>
      <c r="F16" s="57" t="s">
        <v>29</v>
      </c>
      <c r="G16" s="57" t="s">
        <v>1346</v>
      </c>
      <c r="H16" s="57"/>
      <c r="I16" s="57"/>
      <c r="J16" s="23"/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89"/>
      <c r="Y16" s="38">
        <v>1</v>
      </c>
      <c r="Z16" s="120">
        <v>511</v>
      </c>
      <c r="AA16" s="38">
        <v>1</v>
      </c>
      <c r="AB16" s="38"/>
      <c r="AC16" s="38"/>
      <c r="AD16" s="38"/>
      <c r="AE16" s="96"/>
      <c r="AF16" s="87">
        <f>VLOOKUP(A16,SecOC_Cfg.h!$C$78:$D$93,2,FALSE)</f>
        <v>9</v>
      </c>
      <c r="AG16" s="96"/>
      <c r="AH16" s="9" t="str">
        <f t="shared" si="5"/>
        <v>0x400002EF</v>
      </c>
      <c r="AI16" s="9">
        <f t="shared" si="6"/>
        <v>1073742575</v>
      </c>
      <c r="AJ16" s="9" t="str">
        <f t="shared" si="7"/>
        <v>0x400002EF</v>
      </c>
      <c r="AK16" s="9" t="s">
        <v>1701</v>
      </c>
      <c r="AL16" s="9">
        <f t="shared" si="8"/>
        <v>64</v>
      </c>
    </row>
    <row r="17" spans="1:40">
      <c r="A17" s="57" t="s">
        <v>1443</v>
      </c>
      <c r="B17" s="57" t="s">
        <v>1444</v>
      </c>
      <c r="C17" s="57" t="s">
        <v>29</v>
      </c>
      <c r="D17" s="57">
        <v>64</v>
      </c>
      <c r="E17" s="64">
        <v>1000</v>
      </c>
      <c r="F17" s="57" t="s">
        <v>29</v>
      </c>
      <c r="G17" s="57" t="s">
        <v>1346</v>
      </c>
      <c r="H17" s="57"/>
      <c r="I17" s="57"/>
      <c r="J17" s="23"/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1</v>
      </c>
      <c r="V17" s="6">
        <v>0</v>
      </c>
      <c r="W17" s="6">
        <v>0</v>
      </c>
      <c r="X17" s="89"/>
      <c r="Y17" s="38">
        <v>1</v>
      </c>
      <c r="Z17" s="120">
        <v>511</v>
      </c>
      <c r="AA17" s="38">
        <v>1</v>
      </c>
      <c r="AB17" s="38"/>
      <c r="AC17" s="38"/>
      <c r="AD17" s="38"/>
      <c r="AE17" s="96"/>
      <c r="AF17" s="87">
        <f>VLOOKUP(A17,SecOC_Cfg.h!$C$78:$D$93,2,FALSE)</f>
        <v>10</v>
      </c>
      <c r="AG17" s="96"/>
      <c r="AH17" s="9" t="str">
        <f t="shared" si="5"/>
        <v>0x400002F0</v>
      </c>
      <c r="AI17" s="9">
        <f t="shared" si="6"/>
        <v>1073742576</v>
      </c>
      <c r="AJ17" s="9" t="str">
        <f t="shared" si="7"/>
        <v>0x400002F0</v>
      </c>
      <c r="AK17" s="9" t="s">
        <v>1702</v>
      </c>
      <c r="AL17" s="9">
        <f t="shared" si="8"/>
        <v>64</v>
      </c>
    </row>
    <row r="18" spans="1:40">
      <c r="A18" s="57" t="s">
        <v>1445</v>
      </c>
      <c r="B18" s="57" t="s">
        <v>1446</v>
      </c>
      <c r="C18" s="57" t="s">
        <v>29</v>
      </c>
      <c r="D18" s="57">
        <v>64</v>
      </c>
      <c r="E18" s="64">
        <v>1000</v>
      </c>
      <c r="F18" s="57" t="s">
        <v>29</v>
      </c>
      <c r="G18" s="57" t="s">
        <v>1346</v>
      </c>
      <c r="H18" s="57"/>
      <c r="I18" s="57"/>
      <c r="J18" s="23"/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1</v>
      </c>
      <c r="V18" s="6">
        <v>0</v>
      </c>
      <c r="W18" s="6">
        <v>0</v>
      </c>
      <c r="X18" s="89"/>
      <c r="Y18" s="38">
        <v>1</v>
      </c>
      <c r="Z18" s="120">
        <v>511</v>
      </c>
      <c r="AA18" s="38">
        <v>1</v>
      </c>
      <c r="AB18" s="38"/>
      <c r="AC18" s="38"/>
      <c r="AD18" s="38"/>
      <c r="AE18" s="96"/>
      <c r="AF18" s="87">
        <f>VLOOKUP(A18,SecOC_Cfg.h!$C$78:$D$93,2,FALSE)</f>
        <v>11</v>
      </c>
      <c r="AG18" s="96"/>
      <c r="AH18" s="9" t="str">
        <f t="shared" si="5"/>
        <v>0x400002F2</v>
      </c>
      <c r="AI18" s="9">
        <f t="shared" si="6"/>
        <v>1073742578</v>
      </c>
      <c r="AJ18" s="9" t="str">
        <f t="shared" si="7"/>
        <v>0x400002F2</v>
      </c>
      <c r="AK18" s="9" t="s">
        <v>1703</v>
      </c>
      <c r="AL18" s="9">
        <f t="shared" si="8"/>
        <v>64</v>
      </c>
    </row>
    <row r="19" spans="1:40">
      <c r="A19" s="57" t="s">
        <v>1704</v>
      </c>
      <c r="B19" s="57" t="s">
        <v>1448</v>
      </c>
      <c r="C19" s="57" t="s">
        <v>29</v>
      </c>
      <c r="D19" s="57">
        <v>64</v>
      </c>
      <c r="E19" s="64">
        <v>1000</v>
      </c>
      <c r="F19" s="57" t="s">
        <v>29</v>
      </c>
      <c r="G19" s="57" t="s">
        <v>1346</v>
      </c>
      <c r="H19" s="57"/>
      <c r="I19" s="57"/>
      <c r="J19" s="23"/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1</v>
      </c>
      <c r="V19" s="6">
        <v>0</v>
      </c>
      <c r="W19" s="6">
        <v>0</v>
      </c>
      <c r="X19" s="89"/>
      <c r="Y19" s="38">
        <v>1</v>
      </c>
      <c r="Z19" s="120">
        <v>511</v>
      </c>
      <c r="AA19" s="38">
        <v>1</v>
      </c>
      <c r="AB19" s="38"/>
      <c r="AC19" s="38"/>
      <c r="AD19" s="38"/>
      <c r="AE19" s="96"/>
      <c r="AF19" s="87">
        <f>VLOOKUP(A19,SecOC_Cfg.h!$C$78:$D$93,2,FALSE)</f>
        <v>12</v>
      </c>
      <c r="AG19" s="96"/>
      <c r="AH19" s="9" t="str">
        <f t="shared" si="5"/>
        <v>0x400002F5</v>
      </c>
      <c r="AI19" s="9">
        <f t="shared" si="6"/>
        <v>1073742581</v>
      </c>
      <c r="AJ19" s="9" t="str">
        <f t="shared" si="7"/>
        <v>0x400002F5</v>
      </c>
      <c r="AK19" s="9" t="s">
        <v>1705</v>
      </c>
      <c r="AL19" s="9">
        <f t="shared" si="8"/>
        <v>64</v>
      </c>
    </row>
    <row r="20" spans="1:40">
      <c r="A20" s="57" t="s">
        <v>1474</v>
      </c>
      <c r="B20" s="57" t="s">
        <v>1475</v>
      </c>
      <c r="C20" s="57" t="s">
        <v>29</v>
      </c>
      <c r="D20" s="57">
        <v>32</v>
      </c>
      <c r="E20" s="64">
        <v>1000</v>
      </c>
      <c r="F20" s="57" t="s">
        <v>29</v>
      </c>
      <c r="G20" s="57" t="s">
        <v>1346</v>
      </c>
      <c r="H20" s="57"/>
      <c r="I20" s="57"/>
      <c r="J20" s="23"/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1</v>
      </c>
      <c r="V20" s="6">
        <v>0</v>
      </c>
      <c r="W20" s="6">
        <v>0</v>
      </c>
      <c r="X20" s="89"/>
      <c r="Y20" s="38">
        <v>1</v>
      </c>
      <c r="Z20" s="120">
        <v>511</v>
      </c>
      <c r="AA20" s="38">
        <v>1</v>
      </c>
      <c r="AB20" s="38"/>
      <c r="AC20" s="38"/>
      <c r="AD20" s="38"/>
      <c r="AE20" s="96"/>
      <c r="AF20" s="87">
        <f>VLOOKUP(A20,SecOC_Cfg.h!$C$78:$D$93,2,FALSE)</f>
        <v>13</v>
      </c>
      <c r="AG20" s="96"/>
      <c r="AH20" s="9" t="str">
        <f t="shared" si="5"/>
        <v>0x40000333</v>
      </c>
      <c r="AI20" s="9">
        <f t="shared" si="6"/>
        <v>1073742643</v>
      </c>
      <c r="AJ20" s="9" t="str">
        <f t="shared" si="7"/>
        <v>0x40000333</v>
      </c>
      <c r="AK20" s="9" t="s">
        <v>1706</v>
      </c>
      <c r="AL20" s="9">
        <f t="shared" si="8"/>
        <v>32</v>
      </c>
    </row>
    <row r="21" spans="1:40">
      <c r="A21" s="57" t="s">
        <v>1534</v>
      </c>
      <c r="B21" s="57" t="s">
        <v>1707</v>
      </c>
      <c r="C21" s="57" t="s">
        <v>29</v>
      </c>
      <c r="D21" s="57">
        <v>32</v>
      </c>
      <c r="E21" s="64">
        <v>1000</v>
      </c>
      <c r="F21" s="57" t="s">
        <v>29</v>
      </c>
      <c r="G21" s="57" t="s">
        <v>1346</v>
      </c>
      <c r="H21" s="57"/>
      <c r="I21" s="57"/>
      <c r="J21" s="23"/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89"/>
      <c r="Y21" s="38">
        <v>2</v>
      </c>
      <c r="Z21" s="120">
        <v>511</v>
      </c>
      <c r="AA21" s="38">
        <v>2</v>
      </c>
      <c r="AB21" s="38"/>
      <c r="AC21" s="38"/>
      <c r="AD21" s="38"/>
      <c r="AE21" s="96"/>
      <c r="AF21" s="87">
        <f>VLOOKUP(A21,SecOC_Cfg.h!$C$78:$D$93,2,FALSE)</f>
        <v>14</v>
      </c>
      <c r="AG21" s="96"/>
      <c r="AH21" s="9" t="str">
        <f t="shared" si="5"/>
        <v>0x400003EE</v>
      </c>
      <c r="AI21" s="9">
        <f t="shared" si="6"/>
        <v>1073742830</v>
      </c>
      <c r="AJ21" s="9" t="str">
        <f t="shared" si="7"/>
        <v>0x400003EE</v>
      </c>
      <c r="AK21" s="9" t="s">
        <v>1708</v>
      </c>
      <c r="AL21" s="9">
        <f t="shared" si="8"/>
        <v>32</v>
      </c>
    </row>
    <row r="22" spans="1:40">
      <c r="J22" s="23"/>
      <c r="W22" s="6"/>
      <c r="X22" s="89"/>
      <c r="Y22" s="38"/>
      <c r="Z22" s="38"/>
      <c r="AA22" s="38"/>
      <c r="AB22" s="38"/>
      <c r="AC22" s="38"/>
      <c r="AD22" s="38"/>
      <c r="AE22" s="96"/>
      <c r="AG22" s="96"/>
    </row>
    <row r="23" spans="1:40">
      <c r="A23" s="5" t="s">
        <v>776</v>
      </c>
      <c r="B23" s="5" t="s">
        <v>776</v>
      </c>
      <c r="C23" s="5" t="s">
        <v>776</v>
      </c>
      <c r="D23" s="5" t="s">
        <v>776</v>
      </c>
      <c r="E23" s="5" t="s">
        <v>776</v>
      </c>
      <c r="F23" s="5" t="s">
        <v>776</v>
      </c>
      <c r="G23" s="5" t="s">
        <v>776</v>
      </c>
      <c r="H23" s="5" t="s">
        <v>776</v>
      </c>
      <c r="I23" s="5" t="s">
        <v>776</v>
      </c>
      <c r="J23" s="5" t="s">
        <v>776</v>
      </c>
      <c r="K23" s="6" t="s">
        <v>1154</v>
      </c>
      <c r="L23" s="6" t="s">
        <v>1154</v>
      </c>
      <c r="M23" s="6" t="s">
        <v>1154</v>
      </c>
      <c r="N23" s="6" t="s">
        <v>1154</v>
      </c>
      <c r="O23" s="6" t="s">
        <v>1154</v>
      </c>
      <c r="P23" s="6" t="s">
        <v>1154</v>
      </c>
      <c r="Q23" s="6" t="s">
        <v>1154</v>
      </c>
      <c r="R23" s="6" t="s">
        <v>1154</v>
      </c>
      <c r="S23" s="6" t="s">
        <v>1154</v>
      </c>
      <c r="T23" s="6" t="s">
        <v>1154</v>
      </c>
      <c r="U23" s="6" t="s">
        <v>1154</v>
      </c>
      <c r="V23" s="6" t="s">
        <v>1154</v>
      </c>
      <c r="W23" s="6" t="s">
        <v>1154</v>
      </c>
      <c r="X23" s="89" t="s">
        <v>1154</v>
      </c>
      <c r="Y23" s="38" t="s">
        <v>1154</v>
      </c>
      <c r="Z23" s="38" t="s">
        <v>1154</v>
      </c>
      <c r="AA23" s="38"/>
      <c r="AB23" s="38"/>
      <c r="AC23" s="38"/>
      <c r="AD23" s="38"/>
      <c r="AE23" s="96" t="s">
        <v>776</v>
      </c>
      <c r="AF23" s="6" t="s">
        <v>776</v>
      </c>
      <c r="AG23" s="96" t="s">
        <v>776</v>
      </c>
      <c r="AH23" s="6" t="s">
        <v>776</v>
      </c>
      <c r="AI23" s="6" t="s">
        <v>776</v>
      </c>
      <c r="AJ23" s="6" t="s">
        <v>776</v>
      </c>
      <c r="AK23" s="6" t="s">
        <v>776</v>
      </c>
      <c r="AM23" s="6" t="s">
        <v>776</v>
      </c>
      <c r="AN23" s="6" t="s">
        <v>776</v>
      </c>
    </row>
    <row r="24" spans="1:40">
      <c r="A24" s="66" t="str">
        <f>A6</f>
        <v>MET1S44</v>
      </c>
      <c r="B24" s="66" t="str">
        <f t="shared" ref="B24:F24" si="9">B6</f>
        <v>24D</v>
      </c>
      <c r="C24" s="66" t="str">
        <f t="shared" si="9"/>
        <v>1</v>
      </c>
      <c r="D24" s="66">
        <f t="shared" si="9"/>
        <v>32</v>
      </c>
      <c r="E24" s="66">
        <f t="shared" si="9"/>
        <v>1000</v>
      </c>
      <c r="F24" s="66" t="str">
        <f t="shared" si="9"/>
        <v>1</v>
      </c>
      <c r="G24" s="66" t="str">
        <f>IF(G6&lt;&gt;"",G6,"")</f>
        <v/>
      </c>
      <c r="H24" s="66" t="str">
        <f>IF(H6&lt;&gt;"",H6,"")</f>
        <v/>
      </c>
      <c r="I24" s="66" t="str">
        <f>IF(I6&lt;&gt;"",I6,"")</f>
        <v>T</v>
      </c>
      <c r="W24" s="6"/>
      <c r="X24" s="91">
        <v>0</v>
      </c>
      <c r="Y24" s="18"/>
      <c r="Z24" s="18" t="str">
        <f>"(U2)0x"&amp;LOWER(DEC2HEX(VLOOKUP($X24,$Y$6:$AA$21,2,FALSE)*128+VLOOKUP($X24,$Y$6:$AA$21,3,FALSE),4))&amp;"U,"</f>
        <v>(U2)0xff89U,</v>
      </c>
      <c r="AA24" s="18" t="str">
        <f>"/* "&amp;($X24*$X$3)&amp;" */"</f>
        <v>/* 0 */</v>
      </c>
      <c r="AB24" s="38"/>
      <c r="AC24" s="38"/>
      <c r="AD24" s="38"/>
      <c r="AE24" s="96"/>
      <c r="AF24" s="6">
        <f t="shared" ref="AF24:AF36" si="10">IF($AF6&lt;&gt;"",$AF6,"")</f>
        <v>15</v>
      </c>
      <c r="AG24" s="96" t="str">
        <f t="shared" ref="AG24:AG36" si="11">IF($AF6&lt;&gt;"","", "/* ")</f>
        <v/>
      </c>
      <c r="AH24" s="6" t="str">
        <f t="shared" ref="AH24:AH36" si="12">IF($AF6&lt;&gt;"","{(U4)0x"&amp;LOWER(DEC2HEX($T6*$T$3+$U6*$U$3,8))&amp;"U,",AH23)</f>
        <v>{(U4)0x00000008U,</v>
      </c>
      <c r="AI24" s="6" t="str">
        <f t="shared" ref="AI24:AI36" si="13">IF($AF6&lt;&gt;"", "(U4)"&amp;LOWER($AJ6)&amp;"U,",AI23)</f>
        <v>(U4)0x4000024dU,</v>
      </c>
      <c r="AJ24" s="6" t="str">
        <f t="shared" ref="AJ24:AJ36" si="14">IF($AF6&lt;&gt;"", "(U4)"&amp;LOWER($AK6)&amp;"U,",AJ23)</f>
        <v>(U4)0x4000024dU,</v>
      </c>
      <c r="AK24" s="6" t="str">
        <f t="shared" ref="AK24:AK36" si="15" xml:space="preserve"> IF($AF6&lt;&gt;"", "(U2)"&amp;$AL6&amp;"U,",AK23)</f>
        <v>(U2)32U,</v>
      </c>
      <c r="AL24" s="6" t="str">
        <f t="shared" ref="AL24:AL36" si="16" xml:space="preserve"> IF($AF6&lt;&gt;"", "(U2)"&amp;$Y6*$X$3&amp;"U},",AL23)</f>
        <v>(U2)0U},</v>
      </c>
      <c r="AM24" s="6" t="str">
        <f t="shared" ref="AM24:AM36" si="17">IF($AF6&lt;&gt;"","", " */")</f>
        <v/>
      </c>
      <c r="AN24" s="6" t="str">
        <f t="shared" ref="AN24:AN36" si="18">"/* "&amp;IF($AF6&lt;&gt;"",$AF6," ")&amp;" : "&amp;A6&amp;" = "&amp;LOWER($AH6)&amp;" */"</f>
        <v>/* 15 : MET1S44 = 0x4000024d */</v>
      </c>
    </row>
    <row r="25" spans="1:40">
      <c r="A25" s="66" t="str">
        <f t="shared" ref="A25:F25" si="19">A7</f>
        <v>AVN1SB7</v>
      </c>
      <c r="B25" s="66" t="str">
        <f t="shared" si="19"/>
        <v>2D2</v>
      </c>
      <c r="C25" s="66" t="str">
        <f t="shared" si="19"/>
        <v>1</v>
      </c>
      <c r="D25" s="66">
        <f t="shared" si="19"/>
        <v>32</v>
      </c>
      <c r="E25" s="66">
        <f t="shared" si="19"/>
        <v>1000</v>
      </c>
      <c r="F25" s="66" t="str">
        <f t="shared" si="19"/>
        <v>1</v>
      </c>
      <c r="G25" s="66" t="str">
        <f t="shared" ref="G25:I25" si="20">IF(G7&lt;&gt;"",G7,"")</f>
        <v>T</v>
      </c>
      <c r="H25" s="66" t="str">
        <f t="shared" si="20"/>
        <v/>
      </c>
      <c r="I25" s="66" t="str">
        <f t="shared" si="20"/>
        <v/>
      </c>
      <c r="W25" s="6"/>
      <c r="X25" s="89">
        <f>IF(($X24+1)&lt;=MAX($Y$6:$Y$21),($X24+1),MAX($Y$6:$Y$21))</f>
        <v>1</v>
      </c>
      <c r="Y25" s="18"/>
      <c r="Z25" s="18" t="str">
        <f>"(U2)0x"&amp;LOWER(DEC2HEX(VLOOKUP($X25,$Y$6:$AA$21,2,FALSE)*128+VLOOKUP($X25,$Y$6:$AA$21,3,FALSE),4))&amp;"U,"</f>
        <v>(U2)0xff81U,</v>
      </c>
      <c r="AA25" s="18" t="str">
        <f>"/* "&amp;($X25*$X$3)&amp;" */"</f>
        <v>/* 1 */</v>
      </c>
      <c r="AB25" s="38"/>
      <c r="AC25" s="38"/>
      <c r="AD25" s="38"/>
      <c r="AE25" s="96"/>
      <c r="AF25" s="6">
        <f t="shared" si="10"/>
        <v>0</v>
      </c>
      <c r="AG25" s="96" t="str">
        <f t="shared" si="11"/>
        <v/>
      </c>
      <c r="AH25" s="6" t="str">
        <f t="shared" si="12"/>
        <v>{(U4)0x00000004U,</v>
      </c>
      <c r="AI25" s="6" t="str">
        <f t="shared" si="13"/>
        <v>(U4)0x400002d2U,</v>
      </c>
      <c r="AJ25" s="6" t="str">
        <f t="shared" si="14"/>
        <v>(U4)0x400002d2U,</v>
      </c>
      <c r="AK25" s="6" t="str">
        <f t="shared" si="15"/>
        <v>(U2)32U,</v>
      </c>
      <c r="AL25" s="6" t="str">
        <f t="shared" si="16"/>
        <v>(U2)1U},</v>
      </c>
      <c r="AM25" s="6" t="str">
        <f t="shared" si="17"/>
        <v/>
      </c>
      <c r="AN25" s="6" t="str">
        <f t="shared" si="18"/>
        <v>/* 0 : AVN1SB7 = 0x400002d2 */</v>
      </c>
    </row>
    <row r="26" spans="1:40">
      <c r="A26" s="66" t="str">
        <f t="shared" ref="A26:F26" si="21">A8</f>
        <v>AVN1SC1</v>
      </c>
      <c r="B26" s="66" t="str">
        <f t="shared" si="21"/>
        <v>2D4</v>
      </c>
      <c r="C26" s="66" t="str">
        <f t="shared" si="21"/>
        <v>1</v>
      </c>
      <c r="D26" s="66">
        <f t="shared" si="21"/>
        <v>64</v>
      </c>
      <c r="E26" s="66">
        <f t="shared" si="21"/>
        <v>1000</v>
      </c>
      <c r="F26" s="66" t="str">
        <f t="shared" si="21"/>
        <v>1</v>
      </c>
      <c r="G26" s="66" t="str">
        <f t="shared" ref="G26:I26" si="22">IF(G8&lt;&gt;"",G8,"")</f>
        <v>T</v>
      </c>
      <c r="H26" s="66" t="str">
        <f t="shared" si="22"/>
        <v/>
      </c>
      <c r="I26" s="66" t="str">
        <f t="shared" si="22"/>
        <v/>
      </c>
      <c r="W26" s="6"/>
      <c r="X26" s="89">
        <f>IF(($X25+1)&lt;=MAX($Y$6:$Y$21),($X25+1),MAX($Y$6:$Y$21))</f>
        <v>2</v>
      </c>
      <c r="Y26" s="18"/>
      <c r="Z26" s="18" t="str">
        <f>"(U2)0x"&amp;LOWER(DEC2HEX(VLOOKUP($X26,$Y$6:$AA$21,2,FALSE)*128+VLOOKUP($X26,$Y$6:$AA$21,3,FALSE),4))&amp;"U,"</f>
        <v>(U2)0xff82U,</v>
      </c>
      <c r="AA26" s="18" t="str">
        <f>"/* "&amp;($X26*$X$3)&amp;" */"</f>
        <v>/* 2 */</v>
      </c>
      <c r="AB26" s="38"/>
      <c r="AC26" s="38"/>
      <c r="AD26" s="38"/>
      <c r="AE26" s="96"/>
      <c r="AF26" s="6">
        <f t="shared" si="10"/>
        <v>1</v>
      </c>
      <c r="AG26" s="96" t="str">
        <f t="shared" si="11"/>
        <v/>
      </c>
      <c r="AH26" s="6" t="str">
        <f t="shared" si="12"/>
        <v>{(U4)0x00000004U,</v>
      </c>
      <c r="AI26" s="6" t="str">
        <f t="shared" si="13"/>
        <v>(U4)0x400002d4U,</v>
      </c>
      <c r="AJ26" s="6" t="str">
        <f t="shared" si="14"/>
        <v>(U4)0x400002d4U,</v>
      </c>
      <c r="AK26" s="6" t="str">
        <f t="shared" si="15"/>
        <v>(U2)64U,</v>
      </c>
      <c r="AL26" s="6" t="str">
        <f t="shared" si="16"/>
        <v>(U2)1U},</v>
      </c>
      <c r="AM26" s="6" t="str">
        <f t="shared" si="17"/>
        <v/>
      </c>
      <c r="AN26" s="6" t="str">
        <f t="shared" si="18"/>
        <v>/* 1 : AVN1SC1 = 0x400002d4 */</v>
      </c>
    </row>
    <row r="27" spans="1:40">
      <c r="A27" s="66" t="str">
        <f t="shared" ref="A27:F27" si="23">A9</f>
        <v>AVN1SC2</v>
      </c>
      <c r="B27" s="66" t="str">
        <f t="shared" si="23"/>
        <v>2D5</v>
      </c>
      <c r="C27" s="66" t="str">
        <f t="shared" si="23"/>
        <v>1</v>
      </c>
      <c r="D27" s="66">
        <f t="shared" si="23"/>
        <v>64</v>
      </c>
      <c r="E27" s="66">
        <f t="shared" si="23"/>
        <v>1000</v>
      </c>
      <c r="F27" s="66" t="str">
        <f t="shared" si="23"/>
        <v>1</v>
      </c>
      <c r="G27" s="66" t="str">
        <f t="shared" ref="G27:I27" si="24">IF(G9&lt;&gt;"",G9,"")</f>
        <v>T</v>
      </c>
      <c r="H27" s="66" t="str">
        <f t="shared" si="24"/>
        <v/>
      </c>
      <c r="I27" s="66" t="str">
        <f t="shared" si="24"/>
        <v/>
      </c>
      <c r="W27" s="6"/>
      <c r="X27" s="89"/>
      <c r="Y27" s="18"/>
      <c r="Z27" s="18"/>
      <c r="AA27" s="38"/>
      <c r="AB27" s="38"/>
      <c r="AC27" s="38"/>
      <c r="AD27" s="38"/>
      <c r="AE27" s="96"/>
      <c r="AF27" s="6">
        <f t="shared" si="10"/>
        <v>2</v>
      </c>
      <c r="AG27" s="96" t="str">
        <f t="shared" si="11"/>
        <v/>
      </c>
      <c r="AH27" s="6" t="str">
        <f t="shared" si="12"/>
        <v>{(U4)0x00000004U,</v>
      </c>
      <c r="AI27" s="6" t="str">
        <f t="shared" si="13"/>
        <v>(U4)0x400002d5U,</v>
      </c>
      <c r="AJ27" s="6" t="str">
        <f t="shared" si="14"/>
        <v>(U4)0x400002d5U,</v>
      </c>
      <c r="AK27" s="6" t="str">
        <f t="shared" si="15"/>
        <v>(U2)64U,</v>
      </c>
      <c r="AL27" s="6" t="str">
        <f t="shared" si="16"/>
        <v>(U2)1U},</v>
      </c>
      <c r="AM27" s="6" t="str">
        <f t="shared" si="17"/>
        <v/>
      </c>
      <c r="AN27" s="6" t="str">
        <f t="shared" si="18"/>
        <v>/* 2 : AVN1SC2 = 0x400002d5 */</v>
      </c>
    </row>
    <row r="28" spans="1:40">
      <c r="A28" s="66" t="str">
        <f t="shared" ref="A28:F28" si="25">A10</f>
        <v>AVN1SC3</v>
      </c>
      <c r="B28" s="66" t="str">
        <f t="shared" si="25"/>
        <v>2D6</v>
      </c>
      <c r="C28" s="66" t="str">
        <f t="shared" si="25"/>
        <v>1</v>
      </c>
      <c r="D28" s="66">
        <f t="shared" si="25"/>
        <v>64</v>
      </c>
      <c r="E28" s="66">
        <f t="shared" si="25"/>
        <v>1000</v>
      </c>
      <c r="F28" s="66" t="str">
        <f t="shared" si="25"/>
        <v>1</v>
      </c>
      <c r="G28" s="66" t="str">
        <f t="shared" ref="G28:I28" si="26">IF(G10&lt;&gt;"",G10,"")</f>
        <v>T</v>
      </c>
      <c r="H28" s="66" t="str">
        <f t="shared" si="26"/>
        <v/>
      </c>
      <c r="I28" s="66" t="str">
        <f t="shared" si="26"/>
        <v/>
      </c>
      <c r="W28" s="6"/>
      <c r="X28" s="89"/>
      <c r="Y28" s="18"/>
      <c r="Z28" s="18"/>
      <c r="AA28" s="38"/>
      <c r="AB28" s="38"/>
      <c r="AC28" s="38"/>
      <c r="AD28" s="38"/>
      <c r="AE28" s="96"/>
      <c r="AF28" s="6">
        <f t="shared" si="10"/>
        <v>3</v>
      </c>
      <c r="AG28" s="96" t="str">
        <f t="shared" si="11"/>
        <v/>
      </c>
      <c r="AH28" s="6" t="str">
        <f t="shared" si="12"/>
        <v>{(U4)0x00000004U,</v>
      </c>
      <c r="AI28" s="6" t="str">
        <f t="shared" si="13"/>
        <v>(U4)0x400002d6U,</v>
      </c>
      <c r="AJ28" s="6" t="str">
        <f t="shared" si="14"/>
        <v>(U4)0x400002d6U,</v>
      </c>
      <c r="AK28" s="6" t="str">
        <f t="shared" si="15"/>
        <v>(U2)64U,</v>
      </c>
      <c r="AL28" s="6" t="str">
        <f t="shared" si="16"/>
        <v>(U2)1U},</v>
      </c>
      <c r="AM28" s="6" t="str">
        <f t="shared" si="17"/>
        <v/>
      </c>
      <c r="AN28" s="6" t="str">
        <f t="shared" si="18"/>
        <v>/* 3 : AVN1SC3 = 0x400002d6 */</v>
      </c>
    </row>
    <row r="29" spans="1:40">
      <c r="A29" s="66" t="str">
        <f t="shared" ref="A29:F29" si="27">A11</f>
        <v>AVN1SC4</v>
      </c>
      <c r="B29" s="66" t="str">
        <f t="shared" si="27"/>
        <v>2D7</v>
      </c>
      <c r="C29" s="66" t="str">
        <f t="shared" si="27"/>
        <v>1</v>
      </c>
      <c r="D29" s="66">
        <f t="shared" si="27"/>
        <v>64</v>
      </c>
      <c r="E29" s="66">
        <f t="shared" si="27"/>
        <v>1000</v>
      </c>
      <c r="F29" s="66" t="str">
        <f t="shared" si="27"/>
        <v>1</v>
      </c>
      <c r="G29" s="66" t="str">
        <f t="shared" ref="G29:I29" si="28">IF(G11&lt;&gt;"",G11,"")</f>
        <v>T</v>
      </c>
      <c r="H29" s="66" t="str">
        <f t="shared" si="28"/>
        <v/>
      </c>
      <c r="I29" s="66" t="str">
        <f t="shared" si="28"/>
        <v/>
      </c>
      <c r="W29" s="6"/>
      <c r="X29" s="89"/>
      <c r="Y29" s="18"/>
      <c r="Z29" s="38"/>
      <c r="AA29" s="38"/>
      <c r="AB29" s="38"/>
      <c r="AC29" s="38"/>
      <c r="AD29" s="38"/>
      <c r="AE29" s="96"/>
      <c r="AF29" s="6">
        <f t="shared" si="10"/>
        <v>4</v>
      </c>
      <c r="AG29" s="96" t="str">
        <f t="shared" si="11"/>
        <v/>
      </c>
      <c r="AH29" s="6" t="str">
        <f t="shared" si="12"/>
        <v>{(U4)0x00000004U,</v>
      </c>
      <c r="AI29" s="6" t="str">
        <f t="shared" si="13"/>
        <v>(U4)0x400002d7U,</v>
      </c>
      <c r="AJ29" s="6" t="str">
        <f t="shared" si="14"/>
        <v>(U4)0x400002d7U,</v>
      </c>
      <c r="AK29" s="6" t="str">
        <f t="shared" si="15"/>
        <v>(U2)64U,</v>
      </c>
      <c r="AL29" s="6" t="str">
        <f t="shared" si="16"/>
        <v>(U2)1U},</v>
      </c>
      <c r="AM29" s="6" t="str">
        <f t="shared" si="17"/>
        <v/>
      </c>
      <c r="AN29" s="6" t="str">
        <f t="shared" si="18"/>
        <v>/* 4 : AVN1SC4 = 0x400002d7 */</v>
      </c>
    </row>
    <row r="30" spans="1:40">
      <c r="A30" s="66" t="str">
        <f t="shared" ref="A30:F30" si="29">A12</f>
        <v>AVN1SC5</v>
      </c>
      <c r="B30" s="66" t="str">
        <f t="shared" si="29"/>
        <v>2DF</v>
      </c>
      <c r="C30" s="66" t="str">
        <f t="shared" si="29"/>
        <v>1</v>
      </c>
      <c r="D30" s="66">
        <f t="shared" si="29"/>
        <v>64</v>
      </c>
      <c r="E30" s="66">
        <f t="shared" si="29"/>
        <v>1000</v>
      </c>
      <c r="F30" s="66" t="str">
        <f t="shared" si="29"/>
        <v>1</v>
      </c>
      <c r="G30" s="66" t="str">
        <f t="shared" ref="G30:I30" si="30">IF(G12&lt;&gt;"",G12,"")</f>
        <v>T</v>
      </c>
      <c r="H30" s="66" t="str">
        <f t="shared" si="30"/>
        <v/>
      </c>
      <c r="I30" s="66" t="str">
        <f t="shared" si="30"/>
        <v/>
      </c>
      <c r="W30" s="6"/>
      <c r="X30" s="89"/>
      <c r="Y30" s="38"/>
      <c r="Z30" s="38"/>
      <c r="AA30" s="38"/>
      <c r="AB30" s="38"/>
      <c r="AC30" s="38"/>
      <c r="AD30" s="38"/>
      <c r="AE30" s="96"/>
      <c r="AF30" s="6">
        <f t="shared" si="10"/>
        <v>5</v>
      </c>
      <c r="AG30" s="96" t="str">
        <f t="shared" si="11"/>
        <v/>
      </c>
      <c r="AH30" s="6" t="str">
        <f t="shared" si="12"/>
        <v>{(U4)0x00000004U,</v>
      </c>
      <c r="AI30" s="6" t="str">
        <f t="shared" si="13"/>
        <v>(U4)0x400002dfU,</v>
      </c>
      <c r="AJ30" s="6" t="str">
        <f t="shared" si="14"/>
        <v>(U4)0x400002dfU,</v>
      </c>
      <c r="AK30" s="6" t="str">
        <f t="shared" si="15"/>
        <v>(U2)64U,</v>
      </c>
      <c r="AL30" s="6" t="str">
        <f t="shared" si="16"/>
        <v>(U2)1U},</v>
      </c>
      <c r="AM30" s="6" t="str">
        <f t="shared" si="17"/>
        <v/>
      </c>
      <c r="AN30" s="6" t="str">
        <f t="shared" si="18"/>
        <v>/* 5 : AVN1SC5 = 0x400002df */</v>
      </c>
    </row>
    <row r="31" spans="1:40">
      <c r="A31" s="66" t="str">
        <f t="shared" ref="A31:F31" si="31">A13</f>
        <v>AVN1SC6</v>
      </c>
      <c r="B31" s="66" t="str">
        <f t="shared" si="31"/>
        <v>2E0</v>
      </c>
      <c r="C31" s="66" t="str">
        <f t="shared" si="31"/>
        <v>1</v>
      </c>
      <c r="D31" s="66">
        <f t="shared" si="31"/>
        <v>64</v>
      </c>
      <c r="E31" s="66">
        <f t="shared" si="31"/>
        <v>1000</v>
      </c>
      <c r="F31" s="66" t="str">
        <f t="shared" si="31"/>
        <v>1</v>
      </c>
      <c r="G31" s="66" t="str">
        <f t="shared" ref="G31:I31" si="32">IF(G13&lt;&gt;"",G13,"")</f>
        <v>T</v>
      </c>
      <c r="H31" s="66" t="str">
        <f t="shared" si="32"/>
        <v/>
      </c>
      <c r="I31" s="66" t="str">
        <f t="shared" si="32"/>
        <v/>
      </c>
      <c r="W31" s="6"/>
      <c r="X31" s="89"/>
      <c r="Y31" s="38"/>
      <c r="Z31" s="38"/>
      <c r="AA31" s="38"/>
      <c r="AB31" s="38"/>
      <c r="AC31" s="38"/>
      <c r="AD31" s="38"/>
      <c r="AE31" s="96"/>
      <c r="AF31" s="6">
        <f t="shared" si="10"/>
        <v>6</v>
      </c>
      <c r="AG31" s="96" t="str">
        <f t="shared" si="11"/>
        <v/>
      </c>
      <c r="AH31" s="6" t="str">
        <f t="shared" si="12"/>
        <v>{(U4)0x00000004U,</v>
      </c>
      <c r="AI31" s="6" t="str">
        <f t="shared" si="13"/>
        <v>(U4)0x400002e0U,</v>
      </c>
      <c r="AJ31" s="6" t="str">
        <f t="shared" si="14"/>
        <v>(U4)0x400002e0U,</v>
      </c>
      <c r="AK31" s="6" t="str">
        <f t="shared" si="15"/>
        <v>(U2)64U,</v>
      </c>
      <c r="AL31" s="6" t="str">
        <f t="shared" si="16"/>
        <v>(U2)1U},</v>
      </c>
      <c r="AM31" s="6" t="str">
        <f t="shared" si="17"/>
        <v/>
      </c>
      <c r="AN31" s="6" t="str">
        <f t="shared" si="18"/>
        <v>/* 6 : AVN1SC6 = 0x400002e0 */</v>
      </c>
    </row>
    <row r="32" spans="1:40">
      <c r="A32" s="66" t="str">
        <f t="shared" ref="A32:F32" si="33">A14</f>
        <v>AVN1SC7</v>
      </c>
      <c r="B32" s="66" t="str">
        <f t="shared" si="33"/>
        <v>2E1</v>
      </c>
      <c r="C32" s="66" t="str">
        <f t="shared" si="33"/>
        <v>1</v>
      </c>
      <c r="D32" s="66">
        <f t="shared" si="33"/>
        <v>64</v>
      </c>
      <c r="E32" s="66">
        <f t="shared" si="33"/>
        <v>1000</v>
      </c>
      <c r="F32" s="66" t="str">
        <f t="shared" si="33"/>
        <v>1</v>
      </c>
      <c r="G32" s="66" t="str">
        <f t="shared" ref="G32:I32" si="34">IF(G14&lt;&gt;"",G14,"")</f>
        <v>T</v>
      </c>
      <c r="H32" s="66" t="str">
        <f t="shared" si="34"/>
        <v/>
      </c>
      <c r="I32" s="66" t="str">
        <f t="shared" si="34"/>
        <v/>
      </c>
      <c r="W32" s="6"/>
      <c r="X32" s="89"/>
      <c r="Y32" s="38"/>
      <c r="Z32" s="38"/>
      <c r="AA32" s="38"/>
      <c r="AB32" s="38"/>
      <c r="AC32" s="38"/>
      <c r="AD32" s="38"/>
      <c r="AE32" s="96"/>
      <c r="AF32" s="6">
        <f t="shared" si="10"/>
        <v>7</v>
      </c>
      <c r="AG32" s="96" t="str">
        <f t="shared" si="11"/>
        <v/>
      </c>
      <c r="AH32" s="6" t="str">
        <f t="shared" si="12"/>
        <v>{(U4)0x00000004U,</v>
      </c>
      <c r="AI32" s="6" t="str">
        <f t="shared" si="13"/>
        <v>(U4)0x400002e1U,</v>
      </c>
      <c r="AJ32" s="6" t="str">
        <f t="shared" si="14"/>
        <v>(U4)0x400002e1U,</v>
      </c>
      <c r="AK32" s="6" t="str">
        <f t="shared" si="15"/>
        <v>(U2)64U,</v>
      </c>
      <c r="AL32" s="6" t="str">
        <f t="shared" si="16"/>
        <v>(U2)1U},</v>
      </c>
      <c r="AM32" s="6" t="str">
        <f t="shared" si="17"/>
        <v/>
      </c>
      <c r="AN32" s="6" t="str">
        <f t="shared" si="18"/>
        <v>/* 7 : AVN1SC7 = 0x400002e1 */</v>
      </c>
    </row>
    <row r="33" spans="1:40">
      <c r="A33" s="66" t="str">
        <f t="shared" ref="A33:F33" si="35">A15</f>
        <v>AVN1SC8</v>
      </c>
      <c r="B33" s="66" t="str">
        <f t="shared" si="35"/>
        <v>2E2</v>
      </c>
      <c r="C33" s="66" t="str">
        <f t="shared" si="35"/>
        <v>1</v>
      </c>
      <c r="D33" s="66">
        <f t="shared" si="35"/>
        <v>64</v>
      </c>
      <c r="E33" s="66">
        <f t="shared" si="35"/>
        <v>1000</v>
      </c>
      <c r="F33" s="66" t="str">
        <f t="shared" si="35"/>
        <v>1</v>
      </c>
      <c r="G33" s="66" t="str">
        <f t="shared" ref="G33:I33" si="36">IF(G15&lt;&gt;"",G15,"")</f>
        <v>T</v>
      </c>
      <c r="H33" s="66" t="str">
        <f t="shared" si="36"/>
        <v/>
      </c>
      <c r="I33" s="66" t="str">
        <f t="shared" si="36"/>
        <v/>
      </c>
      <c r="W33" s="6"/>
      <c r="X33" s="89"/>
      <c r="Y33" s="38"/>
      <c r="Z33" s="38"/>
      <c r="AA33" s="38"/>
      <c r="AB33" s="38"/>
      <c r="AC33" s="38"/>
      <c r="AD33" s="38"/>
      <c r="AE33" s="96"/>
      <c r="AF33" s="6">
        <f t="shared" si="10"/>
        <v>8</v>
      </c>
      <c r="AG33" s="96" t="str">
        <f t="shared" si="11"/>
        <v/>
      </c>
      <c r="AH33" s="6" t="str">
        <f t="shared" si="12"/>
        <v>{(U4)0x00000004U,</v>
      </c>
      <c r="AI33" s="6" t="str">
        <f t="shared" si="13"/>
        <v>(U4)0x400002e2U,</v>
      </c>
      <c r="AJ33" s="6" t="str">
        <f t="shared" si="14"/>
        <v>(U4)0x400002e2U,</v>
      </c>
      <c r="AK33" s="6" t="str">
        <f t="shared" si="15"/>
        <v>(U2)64U,</v>
      </c>
      <c r="AL33" s="6" t="str">
        <f t="shared" si="16"/>
        <v>(U2)1U},</v>
      </c>
      <c r="AM33" s="6" t="str">
        <f t="shared" si="17"/>
        <v/>
      </c>
      <c r="AN33" s="6" t="str">
        <f t="shared" si="18"/>
        <v>/* 8 : AVN1SC8 = 0x400002e2 */</v>
      </c>
    </row>
    <row r="34" spans="1:40">
      <c r="A34" s="66" t="str">
        <f t="shared" ref="A34:F34" si="37">A16</f>
        <v>AVN1SC9</v>
      </c>
      <c r="B34" s="66" t="str">
        <f t="shared" si="37"/>
        <v>2EF</v>
      </c>
      <c r="C34" s="66" t="str">
        <f t="shared" si="37"/>
        <v>1</v>
      </c>
      <c r="D34" s="66">
        <f t="shared" si="37"/>
        <v>64</v>
      </c>
      <c r="E34" s="66">
        <f t="shared" si="37"/>
        <v>1000</v>
      </c>
      <c r="F34" s="66" t="str">
        <f t="shared" si="37"/>
        <v>1</v>
      </c>
      <c r="G34" s="66" t="str">
        <f t="shared" ref="G34:I34" si="38">IF(G16&lt;&gt;"",G16,"")</f>
        <v>T</v>
      </c>
      <c r="H34" s="66" t="str">
        <f t="shared" si="38"/>
        <v/>
      </c>
      <c r="I34" s="66" t="str">
        <f t="shared" si="38"/>
        <v/>
      </c>
      <c r="W34" s="6"/>
      <c r="X34" s="89"/>
      <c r="Y34" s="38"/>
      <c r="Z34" s="38"/>
      <c r="AA34" s="38"/>
      <c r="AB34" s="38"/>
      <c r="AC34" s="38"/>
      <c r="AD34" s="38"/>
      <c r="AE34" s="96"/>
      <c r="AF34" s="6">
        <f t="shared" si="10"/>
        <v>9</v>
      </c>
      <c r="AG34" s="96" t="str">
        <f t="shared" si="11"/>
        <v/>
      </c>
      <c r="AH34" s="6" t="str">
        <f t="shared" si="12"/>
        <v>{(U4)0x00000004U,</v>
      </c>
      <c r="AI34" s="6" t="str">
        <f t="shared" si="13"/>
        <v>(U4)0x400002efU,</v>
      </c>
      <c r="AJ34" s="6" t="str">
        <f t="shared" si="14"/>
        <v>(U4)0x400002efU,</v>
      </c>
      <c r="AK34" s="6" t="str">
        <f t="shared" si="15"/>
        <v>(U2)64U,</v>
      </c>
      <c r="AL34" s="6" t="str">
        <f t="shared" si="16"/>
        <v>(U2)1U},</v>
      </c>
      <c r="AM34" s="6" t="str">
        <f t="shared" si="17"/>
        <v/>
      </c>
      <c r="AN34" s="6" t="str">
        <f t="shared" si="18"/>
        <v>/* 9 : AVN1SC9 = 0x400002ef */</v>
      </c>
    </row>
    <row r="35" spans="1:40">
      <c r="A35" s="66" t="str">
        <f t="shared" ref="A35:F35" si="39">A17</f>
        <v>AVN1SD1</v>
      </c>
      <c r="B35" s="66" t="str">
        <f t="shared" si="39"/>
        <v>2F0</v>
      </c>
      <c r="C35" s="66" t="str">
        <f t="shared" si="39"/>
        <v>1</v>
      </c>
      <c r="D35" s="66">
        <f t="shared" si="39"/>
        <v>64</v>
      </c>
      <c r="E35" s="66">
        <f t="shared" si="39"/>
        <v>1000</v>
      </c>
      <c r="F35" s="66" t="str">
        <f t="shared" si="39"/>
        <v>1</v>
      </c>
      <c r="G35" s="66" t="str">
        <f t="shared" ref="G35:I35" si="40">IF(G17&lt;&gt;"",G17,"")</f>
        <v>T</v>
      </c>
      <c r="H35" s="66" t="str">
        <f t="shared" si="40"/>
        <v/>
      </c>
      <c r="I35" s="66" t="str">
        <f t="shared" si="40"/>
        <v/>
      </c>
      <c r="W35" s="6"/>
      <c r="X35" s="89"/>
      <c r="Y35" s="38"/>
      <c r="Z35" s="38"/>
      <c r="AA35" s="38"/>
      <c r="AB35" s="38"/>
      <c r="AC35" s="38"/>
      <c r="AD35" s="38"/>
      <c r="AE35" s="96"/>
      <c r="AF35" s="6">
        <f t="shared" si="10"/>
        <v>10</v>
      </c>
      <c r="AG35" s="96" t="str">
        <f t="shared" si="11"/>
        <v/>
      </c>
      <c r="AH35" s="6" t="str">
        <f t="shared" si="12"/>
        <v>{(U4)0x00000004U,</v>
      </c>
      <c r="AI35" s="6" t="str">
        <f t="shared" si="13"/>
        <v>(U4)0x400002f0U,</v>
      </c>
      <c r="AJ35" s="6" t="str">
        <f t="shared" si="14"/>
        <v>(U4)0x400002f0U,</v>
      </c>
      <c r="AK35" s="6" t="str">
        <f t="shared" si="15"/>
        <v>(U2)64U,</v>
      </c>
      <c r="AL35" s="6" t="str">
        <f t="shared" si="16"/>
        <v>(U2)1U},</v>
      </c>
      <c r="AM35" s="6" t="str">
        <f t="shared" si="17"/>
        <v/>
      </c>
      <c r="AN35" s="6" t="str">
        <f t="shared" si="18"/>
        <v>/* 10 : AVN1SD1 = 0x400002f0 */</v>
      </c>
    </row>
    <row r="36" spans="1:40">
      <c r="A36" s="66" t="str">
        <f t="shared" ref="A36:F36" si="41">A18</f>
        <v>AVN1SD2</v>
      </c>
      <c r="B36" s="66" t="str">
        <f t="shared" si="41"/>
        <v>2F2</v>
      </c>
      <c r="C36" s="66" t="str">
        <f t="shared" si="41"/>
        <v>1</v>
      </c>
      <c r="D36" s="66">
        <f t="shared" si="41"/>
        <v>64</v>
      </c>
      <c r="E36" s="66">
        <f t="shared" si="41"/>
        <v>1000</v>
      </c>
      <c r="F36" s="66" t="str">
        <f t="shared" si="41"/>
        <v>1</v>
      </c>
      <c r="G36" s="66" t="str">
        <f t="shared" ref="G36:I36" si="42">IF(G18&lt;&gt;"",G18,"")</f>
        <v>T</v>
      </c>
      <c r="H36" s="66" t="str">
        <f t="shared" si="42"/>
        <v/>
      </c>
      <c r="I36" s="66" t="str">
        <f t="shared" si="42"/>
        <v/>
      </c>
      <c r="W36" s="6"/>
      <c r="X36" s="89"/>
      <c r="Y36" s="38"/>
      <c r="Z36" s="38"/>
      <c r="AA36" s="38"/>
      <c r="AB36" s="38"/>
      <c r="AC36" s="38"/>
      <c r="AD36" s="38"/>
      <c r="AE36" s="96"/>
      <c r="AF36" s="6">
        <f t="shared" si="10"/>
        <v>11</v>
      </c>
      <c r="AG36" s="96" t="str">
        <f t="shared" si="11"/>
        <v/>
      </c>
      <c r="AH36" s="6" t="str">
        <f t="shared" si="12"/>
        <v>{(U4)0x00000004U,</v>
      </c>
      <c r="AI36" s="6" t="str">
        <f t="shared" si="13"/>
        <v>(U4)0x400002f2U,</v>
      </c>
      <c r="AJ36" s="6" t="str">
        <f t="shared" si="14"/>
        <v>(U4)0x400002f2U,</v>
      </c>
      <c r="AK36" s="6" t="str">
        <f t="shared" si="15"/>
        <v>(U2)64U,</v>
      </c>
      <c r="AL36" s="6" t="str">
        <f t="shared" si="16"/>
        <v>(U2)1U},</v>
      </c>
      <c r="AM36" s="6" t="str">
        <f t="shared" si="17"/>
        <v/>
      </c>
      <c r="AN36" s="6" t="str">
        <f t="shared" si="18"/>
        <v>/* 11 : AVN1SD2 = 0x400002f2 */</v>
      </c>
    </row>
    <row r="37" spans="1:40">
      <c r="A37" s="66" t="str">
        <f t="shared" ref="A37:F37" si="43">A19</f>
        <v>AVN1SD3</v>
      </c>
      <c r="B37" s="66" t="str">
        <f t="shared" si="43"/>
        <v>2F5</v>
      </c>
      <c r="C37" s="66" t="str">
        <f t="shared" si="43"/>
        <v>1</v>
      </c>
      <c r="D37" s="66">
        <f t="shared" si="43"/>
        <v>64</v>
      </c>
      <c r="E37" s="66">
        <f t="shared" si="43"/>
        <v>1000</v>
      </c>
      <c r="F37" s="66" t="str">
        <f t="shared" si="43"/>
        <v>1</v>
      </c>
      <c r="G37" s="66" t="str">
        <f t="shared" ref="G37:I37" si="44">IF(G19&lt;&gt;"",G19,"")</f>
        <v>T</v>
      </c>
      <c r="H37" s="66" t="str">
        <f t="shared" si="44"/>
        <v/>
      </c>
      <c r="I37" s="66" t="str">
        <f t="shared" si="44"/>
        <v/>
      </c>
      <c r="W37" s="6"/>
      <c r="X37" s="89"/>
      <c r="Y37" s="38"/>
      <c r="Z37" s="38"/>
      <c r="AA37" s="38"/>
      <c r="AB37" s="38"/>
      <c r="AC37" s="38"/>
      <c r="AD37" s="38"/>
      <c r="AE37" s="96"/>
      <c r="AF37" s="6">
        <f t="shared" ref="AF37:AF38" si="45">IF($AF19&lt;&gt;"",$AF19,"")</f>
        <v>12</v>
      </c>
      <c r="AG37" s="96" t="str">
        <f t="shared" ref="AG37:AG38" si="46">IF($AF19&lt;&gt;"","", "/* ")</f>
        <v/>
      </c>
      <c r="AH37" s="6" t="str">
        <f t="shared" ref="AH37:AH38" si="47">IF($AF19&lt;&gt;"","{(U4)0x"&amp;LOWER(DEC2HEX($T19*$T$3+$U19*$U$3,8))&amp;"U,",AH36)</f>
        <v>{(U4)0x00000004U,</v>
      </c>
      <c r="AI37" s="6" t="str">
        <f t="shared" ref="AI37:AI38" si="48">IF($AF19&lt;&gt;"", "(U4)"&amp;LOWER($AJ19)&amp;"U,",AI36)</f>
        <v>(U4)0x400002f5U,</v>
      </c>
      <c r="AJ37" s="6" t="str">
        <f t="shared" ref="AJ37:AJ38" si="49">IF($AF19&lt;&gt;"", "(U4)"&amp;LOWER($AK19)&amp;"U,",AJ36)</f>
        <v>(U4)0x400002f5U,</v>
      </c>
      <c r="AK37" s="6" t="str">
        <f t="shared" ref="AK37:AK38" si="50" xml:space="preserve"> IF($AF19&lt;&gt;"", "(U2)"&amp;$AL19&amp;"U,",AK36)</f>
        <v>(U2)64U,</v>
      </c>
      <c r="AL37" s="6" t="str">
        <f t="shared" ref="AL37:AL38" si="51" xml:space="preserve"> IF($AF19&lt;&gt;"", "(U2)"&amp;$Y19*$X$3&amp;"U},",AL36)</f>
        <v>(U2)1U},</v>
      </c>
      <c r="AM37" s="6" t="str">
        <f t="shared" ref="AM37:AM38" si="52">IF($AF19&lt;&gt;"","", " */")</f>
        <v/>
      </c>
      <c r="AN37" s="6" t="str">
        <f t="shared" ref="AN37:AN38" si="53">"/* "&amp;IF($AF19&lt;&gt;"",$AF19," ")&amp;" : "&amp;A19&amp;" = "&amp;LOWER($AH19)&amp;" */"</f>
        <v>/* 12 : AVN1SD3 = 0x400002f5 */</v>
      </c>
    </row>
    <row r="38" spans="1:40">
      <c r="A38" s="66" t="str">
        <f t="shared" ref="A38:F38" si="54">A20</f>
        <v>CDC1S01</v>
      </c>
      <c r="B38" s="66" t="str">
        <f t="shared" si="54"/>
        <v>333</v>
      </c>
      <c r="C38" s="66" t="str">
        <f t="shared" si="54"/>
        <v>1</v>
      </c>
      <c r="D38" s="66">
        <f t="shared" si="54"/>
        <v>32</v>
      </c>
      <c r="E38" s="66">
        <f t="shared" si="54"/>
        <v>1000</v>
      </c>
      <c r="F38" s="66" t="str">
        <f t="shared" si="54"/>
        <v>1</v>
      </c>
      <c r="G38" s="66" t="str">
        <f t="shared" ref="G38:I38" si="55">IF(G20&lt;&gt;"",G20,"")</f>
        <v>T</v>
      </c>
      <c r="H38" s="66" t="str">
        <f t="shared" si="55"/>
        <v/>
      </c>
      <c r="I38" s="66" t="str">
        <f t="shared" si="55"/>
        <v/>
      </c>
      <c r="W38" s="6"/>
      <c r="X38" s="89"/>
      <c r="Y38" s="38"/>
      <c r="Z38" s="38"/>
      <c r="AA38" s="38"/>
      <c r="AB38" s="38"/>
      <c r="AC38" s="38"/>
      <c r="AD38" s="38"/>
      <c r="AE38" s="96"/>
      <c r="AF38" s="6">
        <f t="shared" si="45"/>
        <v>13</v>
      </c>
      <c r="AG38" s="96" t="str">
        <f t="shared" si="46"/>
        <v/>
      </c>
      <c r="AH38" s="6" t="str">
        <f t="shared" si="47"/>
        <v>{(U4)0x00000004U,</v>
      </c>
      <c r="AI38" s="6" t="str">
        <f t="shared" si="48"/>
        <v>(U4)0x40000333U,</v>
      </c>
      <c r="AJ38" s="6" t="str">
        <f t="shared" si="49"/>
        <v>(U4)0x40000333U,</v>
      </c>
      <c r="AK38" s="6" t="str">
        <f t="shared" si="50"/>
        <v>(U2)32U,</v>
      </c>
      <c r="AL38" s="6" t="str">
        <f t="shared" si="51"/>
        <v>(U2)1U},</v>
      </c>
      <c r="AM38" s="6" t="str">
        <f t="shared" si="52"/>
        <v/>
      </c>
      <c r="AN38" s="6" t="str">
        <f t="shared" si="53"/>
        <v>/* 13 : CDC1S01 = 0x40000333 */</v>
      </c>
    </row>
    <row r="39" spans="1:40">
      <c r="A39" s="66" t="str">
        <f t="shared" ref="A39:F39" si="56">A21</f>
        <v>MET1S30</v>
      </c>
      <c r="B39" s="66" t="str">
        <f t="shared" si="56"/>
        <v>3EE</v>
      </c>
      <c r="C39" s="66" t="str">
        <f t="shared" si="56"/>
        <v>1</v>
      </c>
      <c r="D39" s="66">
        <f t="shared" si="56"/>
        <v>32</v>
      </c>
      <c r="E39" s="66">
        <f t="shared" si="56"/>
        <v>1000</v>
      </c>
      <c r="F39" s="66" t="str">
        <f t="shared" si="56"/>
        <v>1</v>
      </c>
      <c r="G39" s="66" t="str">
        <f t="shared" ref="G39:I39" si="57">IF(G21&lt;&gt;"",G21,"")</f>
        <v>T</v>
      </c>
      <c r="H39" s="66" t="str">
        <f t="shared" si="57"/>
        <v/>
      </c>
      <c r="I39" s="66" t="str">
        <f t="shared" si="57"/>
        <v/>
      </c>
      <c r="W39" s="6"/>
      <c r="X39" s="89"/>
      <c r="Y39" s="38"/>
      <c r="Z39" s="38"/>
      <c r="AA39" s="38"/>
      <c r="AB39" s="38"/>
      <c r="AC39" s="38"/>
      <c r="AD39" s="38"/>
      <c r="AE39" s="96"/>
      <c r="AF39" s="6">
        <f t="shared" ref="AF39" si="58">IF($AF21&lt;&gt;"",$AF21,"")</f>
        <v>14</v>
      </c>
      <c r="AG39" s="96" t="str">
        <f t="shared" ref="AG39" si="59">IF($AF21&lt;&gt;"","", "/* ")</f>
        <v/>
      </c>
      <c r="AH39" s="6" t="str">
        <f t="shared" ref="AH39" si="60">IF($AF21&lt;&gt;"","{(U4)0x"&amp;LOWER(DEC2HEX($T21*$T$3+$U21*$U$3,8))&amp;"U,",AH36)</f>
        <v>{(U4)0x00000004U,</v>
      </c>
      <c r="AI39" s="6" t="str">
        <f t="shared" ref="AI39" si="61">IF($AF21&lt;&gt;"", "(U4)"&amp;LOWER($AJ21)&amp;"U,",AI36)</f>
        <v>(U4)0x400003eeU,</v>
      </c>
      <c r="AJ39" s="6" t="str">
        <f t="shared" ref="AJ39" si="62">IF($AF21&lt;&gt;"", "(U4)"&amp;LOWER($AK21)&amp;"U,",AJ36)</f>
        <v>(U4)0x400003eeU,</v>
      </c>
      <c r="AK39" s="6" t="str">
        <f t="shared" ref="AK39" si="63" xml:space="preserve"> IF($AF21&lt;&gt;"", "(U2)"&amp;$AL21&amp;"U,",AK36)</f>
        <v>(U2)32U,</v>
      </c>
      <c r="AL39" s="6" t="str">
        <f t="shared" ref="AL39" si="64" xml:space="preserve"> IF($AF21&lt;&gt;"", "(U2)"&amp;$Y21*$X$3&amp;"U},",AL36)</f>
        <v>(U2)2U},</v>
      </c>
      <c r="AM39" s="6" t="str">
        <f t="shared" ref="AM39" si="65">IF($AF21&lt;&gt;"","", " */")</f>
        <v/>
      </c>
      <c r="AN39" s="6" t="str">
        <f t="shared" ref="AN39" si="66">"/* "&amp;IF($AF21&lt;&gt;"",$AF21," ")&amp;" : "&amp;A21&amp;" = "&amp;LOWER($AH21)&amp;" */"</f>
        <v>/* 14 : MET1S30 = 0x400003ee */</v>
      </c>
    </row>
    <row r="40" spans="1:40">
      <c r="A40" s="66" t="s">
        <v>776</v>
      </c>
      <c r="B40" s="66" t="s">
        <v>776</v>
      </c>
      <c r="C40" s="66" t="s">
        <v>776</v>
      </c>
      <c r="D40" s="66" t="s">
        <v>776</v>
      </c>
      <c r="E40" s="66" t="s">
        <v>776</v>
      </c>
      <c r="F40" s="66" t="s">
        <v>776</v>
      </c>
      <c r="G40" s="66" t="s">
        <v>776</v>
      </c>
      <c r="H40" s="66" t="s">
        <v>776</v>
      </c>
      <c r="I40" s="66" t="s">
        <v>776</v>
      </c>
      <c r="J40" s="66" t="s">
        <v>776</v>
      </c>
      <c r="K40" s="6" t="s">
        <v>1154</v>
      </c>
      <c r="L40" s="6" t="s">
        <v>1154</v>
      </c>
      <c r="M40" s="6" t="s">
        <v>1154</v>
      </c>
      <c r="N40" s="6" t="s">
        <v>1154</v>
      </c>
      <c r="O40" s="6" t="s">
        <v>1154</v>
      </c>
      <c r="P40" s="6" t="s">
        <v>1154</v>
      </c>
      <c r="Q40" s="6" t="s">
        <v>1154</v>
      </c>
      <c r="R40" s="6" t="s">
        <v>1154</v>
      </c>
      <c r="S40" s="6" t="s">
        <v>1154</v>
      </c>
      <c r="T40" s="6" t="s">
        <v>1154</v>
      </c>
      <c r="U40" s="6" t="s">
        <v>1154</v>
      </c>
      <c r="V40" s="6" t="s">
        <v>1154</v>
      </c>
      <c r="W40" s="6" t="s">
        <v>1154</v>
      </c>
      <c r="X40" s="89" t="s">
        <v>1154</v>
      </c>
      <c r="Y40" s="104" t="s">
        <v>776</v>
      </c>
      <c r="Z40" s="104" t="s">
        <v>776</v>
      </c>
      <c r="AA40" s="104" t="s">
        <v>776</v>
      </c>
      <c r="AB40" s="104" t="s">
        <v>776</v>
      </c>
      <c r="AC40" s="104" t="s">
        <v>776</v>
      </c>
      <c r="AD40" s="104" t="s">
        <v>776</v>
      </c>
      <c r="AE40" s="105" t="s">
        <v>776</v>
      </c>
      <c r="AF40" s="66" t="s">
        <v>776</v>
      </c>
      <c r="AG40" s="105" t="s">
        <v>776</v>
      </c>
      <c r="AH40" s="66" t="s">
        <v>776</v>
      </c>
      <c r="AI40" s="66" t="s">
        <v>776</v>
      </c>
      <c r="AJ40" s="66" t="s">
        <v>776</v>
      </c>
      <c r="AK40" s="66" t="s">
        <v>776</v>
      </c>
      <c r="AL40" s="66"/>
      <c r="AM40" s="66" t="s">
        <v>776</v>
      </c>
      <c r="AN40" s="66" t="s">
        <v>776</v>
      </c>
    </row>
    <row r="41" spans="1:40">
      <c r="A41" s="66"/>
      <c r="B41" s="66"/>
      <c r="C41" s="66"/>
      <c r="D41" s="66"/>
      <c r="E41" s="66"/>
      <c r="F41" s="66"/>
      <c r="G41" s="66"/>
      <c r="H41" s="66"/>
      <c r="I41" s="66"/>
      <c r="J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</row>
    <row r="42" spans="1:40">
      <c r="A42" s="66"/>
      <c r="B42" s="66"/>
      <c r="C42" s="66"/>
      <c r="D42" s="66"/>
      <c r="E42" s="66"/>
      <c r="F42" s="66"/>
      <c r="AF42" s="6">
        <v>0</v>
      </c>
      <c r="AG42" s="6" t="s">
        <v>7</v>
      </c>
      <c r="AH42" s="6" t="s">
        <v>1709</v>
      </c>
      <c r="AI42" s="6" t="s">
        <v>1710</v>
      </c>
      <c r="AJ42" s="6" t="s">
        <v>1710</v>
      </c>
      <c r="AK42" s="6" t="s">
        <v>1629</v>
      </c>
      <c r="AL42" s="6" t="s">
        <v>1711</v>
      </c>
      <c r="AM42" s="6" t="s">
        <v>7</v>
      </c>
      <c r="AN42" s="6" t="s">
        <v>1712</v>
      </c>
    </row>
    <row r="43" spans="1:40">
      <c r="A43" s="66"/>
      <c r="B43" s="66"/>
      <c r="C43" s="66"/>
      <c r="D43" s="66"/>
      <c r="E43" s="66"/>
      <c r="F43" s="66"/>
      <c r="AF43" s="6">
        <v>1</v>
      </c>
      <c r="AG43" s="6" t="s">
        <v>7</v>
      </c>
      <c r="AH43" s="6" t="s">
        <v>1709</v>
      </c>
      <c r="AI43" s="6" t="s">
        <v>1713</v>
      </c>
      <c r="AJ43" s="6" t="s">
        <v>1713</v>
      </c>
      <c r="AK43" s="6" t="s">
        <v>1633</v>
      </c>
      <c r="AL43" s="6" t="s">
        <v>1711</v>
      </c>
      <c r="AM43" s="6" t="s">
        <v>7</v>
      </c>
      <c r="AN43" s="6" t="s">
        <v>1714</v>
      </c>
    </row>
    <row r="44" spans="1:40">
      <c r="A44" s="66"/>
      <c r="B44" s="66"/>
      <c r="C44" s="66"/>
      <c r="D44" s="66"/>
      <c r="E44" s="66"/>
      <c r="F44" s="66"/>
      <c r="AF44" s="6">
        <v>2</v>
      </c>
      <c r="AG44" s="6" t="s">
        <v>7</v>
      </c>
      <c r="AH44" s="6" t="s">
        <v>1709</v>
      </c>
      <c r="AI44" s="6" t="s">
        <v>1715</v>
      </c>
      <c r="AJ44" s="6" t="s">
        <v>1715</v>
      </c>
      <c r="AK44" s="6" t="s">
        <v>1633</v>
      </c>
      <c r="AL44" s="6" t="s">
        <v>1711</v>
      </c>
      <c r="AM44" s="6" t="s">
        <v>7</v>
      </c>
      <c r="AN44" s="6" t="s">
        <v>1716</v>
      </c>
    </row>
    <row r="45" spans="1:40">
      <c r="A45" s="66"/>
      <c r="B45" s="66"/>
      <c r="C45" s="66"/>
      <c r="D45" s="66"/>
      <c r="E45" s="66"/>
      <c r="F45" s="66"/>
      <c r="AF45" s="6">
        <v>3</v>
      </c>
      <c r="AG45" s="6" t="s">
        <v>7</v>
      </c>
      <c r="AH45" s="6" t="s">
        <v>1709</v>
      </c>
      <c r="AI45" s="6" t="s">
        <v>1717</v>
      </c>
      <c r="AJ45" s="6" t="s">
        <v>1717</v>
      </c>
      <c r="AK45" s="6" t="s">
        <v>1633</v>
      </c>
      <c r="AL45" s="6" t="s">
        <v>1711</v>
      </c>
      <c r="AM45" s="6" t="s">
        <v>7</v>
      </c>
      <c r="AN45" s="6" t="s">
        <v>1718</v>
      </c>
    </row>
    <row r="46" spans="1:40">
      <c r="A46" s="66"/>
      <c r="B46" s="66"/>
      <c r="C46" s="66"/>
      <c r="D46" s="66"/>
      <c r="E46" s="66"/>
      <c r="F46" s="66"/>
      <c r="AF46" s="6">
        <v>4</v>
      </c>
      <c r="AG46" s="6" t="s">
        <v>7</v>
      </c>
      <c r="AH46" s="6" t="s">
        <v>1709</v>
      </c>
      <c r="AI46" s="6" t="s">
        <v>1719</v>
      </c>
      <c r="AJ46" s="6" t="s">
        <v>1719</v>
      </c>
      <c r="AK46" s="6" t="s">
        <v>1633</v>
      </c>
      <c r="AL46" s="6" t="s">
        <v>1711</v>
      </c>
      <c r="AM46" s="6" t="s">
        <v>7</v>
      </c>
      <c r="AN46" s="6" t="s">
        <v>1720</v>
      </c>
    </row>
    <row r="47" spans="1:40">
      <c r="A47" s="66"/>
      <c r="B47" s="66"/>
      <c r="C47" s="66"/>
      <c r="D47" s="66"/>
      <c r="E47" s="66"/>
      <c r="F47" s="66"/>
      <c r="AF47" s="6">
        <v>5</v>
      </c>
      <c r="AG47" s="6" t="s">
        <v>7</v>
      </c>
      <c r="AH47" s="6" t="s">
        <v>1709</v>
      </c>
      <c r="AI47" s="6" t="s">
        <v>1721</v>
      </c>
      <c r="AJ47" s="6" t="s">
        <v>1721</v>
      </c>
      <c r="AK47" s="6" t="s">
        <v>1633</v>
      </c>
      <c r="AL47" s="6" t="s">
        <v>1711</v>
      </c>
      <c r="AM47" s="6" t="s">
        <v>7</v>
      </c>
      <c r="AN47" s="6" t="s">
        <v>1722</v>
      </c>
    </row>
    <row r="48" spans="1:40">
      <c r="A48" s="66"/>
      <c r="B48" s="66"/>
      <c r="C48" s="66"/>
      <c r="D48" s="66"/>
      <c r="E48" s="66"/>
      <c r="F48" s="66"/>
      <c r="AF48" s="6">
        <v>6</v>
      </c>
      <c r="AG48" s="6" t="s">
        <v>7</v>
      </c>
      <c r="AH48" s="6" t="s">
        <v>1709</v>
      </c>
      <c r="AI48" s="6" t="s">
        <v>1723</v>
      </c>
      <c r="AJ48" s="6" t="s">
        <v>1723</v>
      </c>
      <c r="AK48" s="6" t="s">
        <v>1633</v>
      </c>
      <c r="AL48" s="6" t="s">
        <v>1711</v>
      </c>
      <c r="AM48" s="6" t="s">
        <v>7</v>
      </c>
      <c r="AN48" s="6" t="s">
        <v>1724</v>
      </c>
    </row>
    <row r="49" spans="32:40">
      <c r="AF49" s="6">
        <v>7</v>
      </c>
      <c r="AG49" s="6" t="s">
        <v>7</v>
      </c>
      <c r="AH49" s="6" t="s">
        <v>1709</v>
      </c>
      <c r="AI49" s="6" t="s">
        <v>1725</v>
      </c>
      <c r="AJ49" s="6" t="s">
        <v>1725</v>
      </c>
      <c r="AK49" s="6" t="s">
        <v>1633</v>
      </c>
      <c r="AL49" s="6" t="s">
        <v>1711</v>
      </c>
      <c r="AM49" s="6" t="s">
        <v>7</v>
      </c>
      <c r="AN49" s="6" t="s">
        <v>1726</v>
      </c>
    </row>
    <row r="50" spans="32:40">
      <c r="AF50" s="6">
        <v>8</v>
      </c>
      <c r="AG50" s="6" t="s">
        <v>7</v>
      </c>
      <c r="AH50" s="6" t="s">
        <v>1709</v>
      </c>
      <c r="AI50" s="6" t="s">
        <v>1727</v>
      </c>
      <c r="AJ50" s="6" t="s">
        <v>1727</v>
      </c>
      <c r="AK50" s="6" t="s">
        <v>1633</v>
      </c>
      <c r="AL50" s="6" t="s">
        <v>1711</v>
      </c>
      <c r="AM50" s="6" t="s">
        <v>7</v>
      </c>
      <c r="AN50" s="6" t="s">
        <v>1728</v>
      </c>
    </row>
    <row r="51" spans="32:40">
      <c r="AF51" s="6">
        <v>9</v>
      </c>
      <c r="AG51" s="6" t="s">
        <v>7</v>
      </c>
      <c r="AH51" s="6" t="s">
        <v>1709</v>
      </c>
      <c r="AI51" s="6" t="s">
        <v>1729</v>
      </c>
      <c r="AJ51" s="6" t="s">
        <v>1729</v>
      </c>
      <c r="AK51" s="6" t="s">
        <v>1633</v>
      </c>
      <c r="AL51" s="6" t="s">
        <v>1711</v>
      </c>
      <c r="AM51" s="6" t="s">
        <v>7</v>
      </c>
      <c r="AN51" s="6" t="s">
        <v>1730</v>
      </c>
    </row>
    <row r="52" spans="32:40">
      <c r="AF52" s="6">
        <v>10</v>
      </c>
      <c r="AG52" s="6" t="s">
        <v>7</v>
      </c>
      <c r="AH52" s="6" t="s">
        <v>1709</v>
      </c>
      <c r="AI52" s="6" t="s">
        <v>1731</v>
      </c>
      <c r="AJ52" s="6" t="s">
        <v>1731</v>
      </c>
      <c r="AK52" s="6" t="s">
        <v>1633</v>
      </c>
      <c r="AL52" s="6" t="s">
        <v>1711</v>
      </c>
      <c r="AM52" s="6" t="s">
        <v>7</v>
      </c>
      <c r="AN52" s="6" t="s">
        <v>1732</v>
      </c>
    </row>
    <row r="53" spans="32:40">
      <c r="AF53" s="6">
        <v>11</v>
      </c>
      <c r="AG53" s="6" t="s">
        <v>7</v>
      </c>
      <c r="AH53" s="6" t="s">
        <v>1709</v>
      </c>
      <c r="AI53" s="6" t="s">
        <v>1733</v>
      </c>
      <c r="AJ53" s="6" t="s">
        <v>1733</v>
      </c>
      <c r="AK53" s="6" t="s">
        <v>1633</v>
      </c>
      <c r="AL53" s="6" t="s">
        <v>1711</v>
      </c>
      <c r="AM53" s="6" t="s">
        <v>7</v>
      </c>
      <c r="AN53" s="6" t="s">
        <v>1734</v>
      </c>
    </row>
    <row r="54" spans="32:40">
      <c r="AF54" s="6">
        <v>12</v>
      </c>
      <c r="AG54" s="6" t="s">
        <v>7</v>
      </c>
      <c r="AH54" s="6" t="s">
        <v>1709</v>
      </c>
      <c r="AI54" s="6" t="s">
        <v>1735</v>
      </c>
      <c r="AJ54" s="6" t="s">
        <v>1735</v>
      </c>
      <c r="AK54" s="6" t="s">
        <v>1633</v>
      </c>
      <c r="AL54" s="6" t="s">
        <v>1711</v>
      </c>
      <c r="AM54" s="6" t="s">
        <v>7</v>
      </c>
      <c r="AN54" s="6" t="s">
        <v>1736</v>
      </c>
    </row>
    <row r="55" spans="32:40">
      <c r="AF55" s="6">
        <v>13</v>
      </c>
      <c r="AG55" s="6" t="s">
        <v>7</v>
      </c>
      <c r="AH55" s="6" t="s">
        <v>1709</v>
      </c>
      <c r="AI55" s="6" t="s">
        <v>1737</v>
      </c>
      <c r="AJ55" s="6" t="s">
        <v>1737</v>
      </c>
      <c r="AK55" s="6" t="s">
        <v>1629</v>
      </c>
      <c r="AL55" s="6" t="s">
        <v>1711</v>
      </c>
      <c r="AM55" s="6" t="s">
        <v>7</v>
      </c>
      <c r="AN55" s="6" t="s">
        <v>1738</v>
      </c>
    </row>
    <row r="56" spans="32:40">
      <c r="AF56" s="6">
        <v>14</v>
      </c>
      <c r="AH56" s="6" t="s">
        <v>1709</v>
      </c>
      <c r="AI56" s="6" t="s">
        <v>1739</v>
      </c>
      <c r="AJ56" s="6" t="s">
        <v>1739</v>
      </c>
      <c r="AK56" s="6" t="s">
        <v>1629</v>
      </c>
      <c r="AL56" s="6" t="s">
        <v>974</v>
      </c>
      <c r="AM56" s="6" t="s">
        <v>7</v>
      </c>
      <c r="AN56" s="6" t="s">
        <v>1740</v>
      </c>
    </row>
    <row r="57" spans="32:40">
      <c r="AF57" s="6">
        <v>15</v>
      </c>
      <c r="AH57" s="6" t="s">
        <v>1741</v>
      </c>
      <c r="AI57" s="6" t="s">
        <v>1742</v>
      </c>
      <c r="AJ57" s="6" t="s">
        <v>1742</v>
      </c>
      <c r="AK57" s="6" t="s">
        <v>1629</v>
      </c>
      <c r="AL57" s="6" t="s">
        <v>1630</v>
      </c>
      <c r="AM57" s="6" t="s">
        <v>7</v>
      </c>
      <c r="AN57" s="6" t="s">
        <v>1743</v>
      </c>
    </row>
    <row r="69" spans="11:22"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</row>
    <row r="70" spans="11:22"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</row>
    <row r="71" spans="11:22"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</row>
    <row r="72" spans="11:22"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</row>
    <row r="73" spans="11:22"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</row>
    <row r="74" spans="11:22"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</row>
    <row r="75" spans="11:22"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</row>
    <row r="76" spans="11:22"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</row>
    <row r="77" spans="11:22"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</row>
    <row r="78" spans="11:22"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</row>
    <row r="79" spans="11:22"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</row>
    <row r="80" spans="11:22"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</row>
    <row r="81" spans="11:22"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</row>
    <row r="82" spans="11:22"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</row>
    <row r="83" spans="11:22"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</row>
    <row r="84" spans="11:22"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</row>
    <row r="85" spans="11:22"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</row>
    <row r="86" spans="11:22"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</row>
    <row r="87" spans="11:22"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</row>
    <row r="88" spans="11:22"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</row>
    <row r="89" spans="11:22"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</row>
    <row r="90" spans="11:22"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</row>
    <row r="91" spans="11:22"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</row>
    <row r="92" spans="11:22"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</row>
    <row r="93" spans="11:22"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</row>
    <row r="94" spans="11:22"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</row>
    <row r="95" spans="11:22"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</row>
    <row r="96" spans="11:22"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</row>
    <row r="97" spans="11:22"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</row>
    <row r="98" spans="11:22"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</row>
    <row r="99" spans="11:22"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</row>
    <row r="100" spans="11:22"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</row>
    <row r="101" spans="11:22"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</row>
    <row r="102" spans="11:22"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</row>
    <row r="103" spans="11:22"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</row>
    <row r="104" spans="11:22"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</row>
    <row r="105" spans="11:22"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</row>
    <row r="106" spans="11:22"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</row>
    <row r="107" spans="11:22"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</row>
    <row r="108" spans="11:22"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</row>
    <row r="109" spans="11:22"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</row>
    <row r="110" spans="11:22"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</row>
    <row r="111" spans="11:22"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</row>
    <row r="112" spans="11:22"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</row>
    <row r="113" spans="11:22"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</row>
    <row r="114" spans="11:22"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</row>
    <row r="115" spans="11:22"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</row>
    <row r="116" spans="11:22"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</row>
    <row r="117" spans="11:22"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</row>
    <row r="118" spans="11:22"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</row>
    <row r="119" spans="11:22"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</row>
    <row r="120" spans="11:22"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</row>
    <row r="121" spans="11:22"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</row>
    <row r="122" spans="11:22"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</row>
    <row r="123" spans="11:22"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</row>
    <row r="124" spans="11:22"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</row>
    <row r="125" spans="11:22"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</row>
    <row r="126" spans="11:22"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</row>
    <row r="127" spans="11:22"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</row>
    <row r="128" spans="11:22"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</row>
    <row r="129" spans="11:22"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</row>
    <row r="130" spans="11:22"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</row>
    <row r="131" spans="11:22"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</row>
    <row r="132" spans="11:22"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</row>
    <row r="133" spans="11:22"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</row>
    <row r="134" spans="11:22"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</row>
    <row r="135" spans="11:22"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</row>
    <row r="136" spans="11:22"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</row>
    <row r="137" spans="11:22"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</row>
    <row r="138" spans="11:22"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</row>
    <row r="139" spans="11:22"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</row>
    <row r="140" spans="11:22"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</row>
    <row r="141" spans="11:22"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</row>
    <row r="142" spans="11:22"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</row>
    <row r="143" spans="11:22"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</row>
    <row r="144" spans="11:22"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</row>
    <row r="145" spans="11:22"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</row>
    <row r="146" spans="11:22"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</row>
    <row r="248" spans="24:24">
      <c r="X248" s="18"/>
    </row>
    <row r="249" spans="24:24">
      <c r="X249" s="18"/>
    </row>
    <row r="250" spans="24:24">
      <c r="X250" s="18"/>
    </row>
    <row r="251" spans="24:24">
      <c r="X251" s="18"/>
    </row>
    <row r="252" spans="24:24">
      <c r="X252" s="18"/>
    </row>
    <row r="253" spans="24:24">
      <c r="X253" s="18"/>
    </row>
    <row r="254" spans="24:24">
      <c r="X254" s="18"/>
    </row>
    <row r="255" spans="24:24">
      <c r="X255" s="18"/>
    </row>
    <row r="256" spans="24:24">
      <c r="X256" s="18"/>
    </row>
    <row r="257" spans="24:24">
      <c r="X257" s="18"/>
    </row>
    <row r="258" spans="24:24">
      <c r="X258" s="18"/>
    </row>
    <row r="259" spans="24:24">
      <c r="X259" s="18"/>
    </row>
    <row r="260" spans="24:24">
      <c r="X260" s="18"/>
    </row>
    <row r="261" spans="24:24">
      <c r="X261" s="18"/>
    </row>
    <row r="262" spans="24:24">
      <c r="X262" s="18"/>
    </row>
    <row r="263" spans="24:24">
      <c r="X263" s="18"/>
    </row>
    <row r="264" spans="24:24">
      <c r="X264" s="18"/>
    </row>
    <row r="265" spans="24:24">
      <c r="X265" s="18"/>
    </row>
    <row r="266" spans="24:24">
      <c r="X266" s="18"/>
    </row>
    <row r="267" spans="24:24">
      <c r="X267" s="18"/>
    </row>
    <row r="268" spans="24:24">
      <c r="X268" s="18"/>
    </row>
    <row r="269" spans="24:24">
      <c r="X269" s="18"/>
    </row>
    <row r="270" spans="24:24">
      <c r="X270" s="18"/>
    </row>
    <row r="271" spans="24:24">
      <c r="X271" s="18"/>
    </row>
    <row r="272" spans="24:24">
      <c r="X272" s="18"/>
    </row>
    <row r="273" spans="24:24">
      <c r="X273" s="18"/>
    </row>
    <row r="274" spans="24:24">
      <c r="X274" s="18"/>
    </row>
    <row r="275" spans="24:24">
      <c r="X275" s="18"/>
    </row>
    <row r="276" spans="24:24">
      <c r="X276" s="18"/>
    </row>
    <row r="484" spans="11:24"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</sheetData>
  <sortState xmlns:xlrd2="http://schemas.microsoft.com/office/spreadsheetml/2017/richdata2" ref="AF42:AN55">
    <sortCondition ref="AF42:AF55"/>
  </sortState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28E-AF61-4449-9135-4ED21306A990}">
  <sheetPr codeName="Sheet13"/>
  <dimension ref="A1:AC161"/>
  <sheetViews>
    <sheetView topLeftCell="A4" workbookViewId="0">
      <selection activeCell="AC13" sqref="AB13:AC13"/>
    </sheetView>
  </sheetViews>
  <sheetFormatPr defaultColWidth="8.875" defaultRowHeight="13.5"/>
  <cols>
    <col min="1" max="1" width="14.75" style="88" bestFit="1" customWidth="1"/>
    <col min="2" max="2" width="8.875" style="88"/>
    <col min="3" max="3" width="5.125" style="88" bestFit="1" customWidth="1"/>
    <col min="4" max="4" width="5.25" style="88" bestFit="1" customWidth="1"/>
    <col min="5" max="5" width="6.125" style="88" bestFit="1" customWidth="1"/>
    <col min="6" max="6" width="8.75" style="88" bestFit="1" customWidth="1"/>
    <col min="7" max="9" width="2.875" style="88" bestFit="1" customWidth="1"/>
    <col min="10" max="10" width="3.375" style="88" bestFit="1" customWidth="1"/>
    <col min="11" max="12" width="8.875" style="6"/>
    <col min="13" max="14" width="4.625" style="6" customWidth="1"/>
    <col min="15" max="16" width="20.625" style="6" customWidth="1"/>
    <col min="17" max="21" width="6.625" style="6" customWidth="1"/>
    <col min="22" max="22" width="4.625" style="6" customWidth="1"/>
    <col min="23" max="27" width="7.625" style="6" customWidth="1"/>
    <col min="28" max="28" width="58.25" style="6" bestFit="1" customWidth="1"/>
    <col min="29" max="29" width="45.625" style="6" bestFit="1" customWidth="1"/>
    <col min="30" max="16384" width="8.875" style="88"/>
  </cols>
  <sheetData>
    <row r="1" spans="1:29">
      <c r="A1" s="48" t="s">
        <v>2</v>
      </c>
      <c r="B1" s="49"/>
      <c r="C1" s="49"/>
      <c r="D1" s="49"/>
      <c r="E1" s="49"/>
      <c r="F1" s="49"/>
      <c r="G1" s="50"/>
      <c r="H1" s="50"/>
      <c r="I1" s="50"/>
      <c r="J1" s="50"/>
    </row>
    <row r="2" spans="1:29">
      <c r="A2" s="52"/>
      <c r="B2" s="53"/>
      <c r="C2" s="53"/>
      <c r="D2" s="53"/>
      <c r="E2" s="53"/>
      <c r="F2" s="53"/>
      <c r="G2" s="54"/>
      <c r="H2" s="54"/>
      <c r="I2" s="54"/>
      <c r="J2" s="54"/>
    </row>
    <row r="3" spans="1:29" ht="56.25" customHeight="1">
      <c r="A3" s="1" t="s">
        <v>7</v>
      </c>
      <c r="B3" s="2" t="s">
        <v>7</v>
      </c>
      <c r="C3" s="2"/>
      <c r="D3" s="2" t="s">
        <v>7</v>
      </c>
      <c r="E3" s="2" t="s">
        <v>7</v>
      </c>
      <c r="F3" s="56"/>
      <c r="G3" s="68" t="s">
        <v>8</v>
      </c>
      <c r="H3" s="69" t="s">
        <v>9</v>
      </c>
      <c r="I3" s="68" t="s">
        <v>10</v>
      </c>
      <c r="J3" s="217" t="s">
        <v>1327</v>
      </c>
    </row>
    <row r="4" spans="1:29" ht="177.75">
      <c r="A4" s="1" t="s">
        <v>13</v>
      </c>
      <c r="B4" s="2" t="s">
        <v>12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4" t="s">
        <v>18</v>
      </c>
      <c r="I4" s="58" t="s">
        <v>18</v>
      </c>
      <c r="J4" s="218" t="s">
        <v>18</v>
      </c>
      <c r="K4" s="114" t="s">
        <v>1343</v>
      </c>
      <c r="L4" s="115"/>
      <c r="M4" s="19" t="s">
        <v>1744</v>
      </c>
      <c r="N4" s="19" t="s">
        <v>1745</v>
      </c>
      <c r="O4" s="116" t="s">
        <v>1746</v>
      </c>
      <c r="P4" s="116" t="s">
        <v>1747</v>
      </c>
      <c r="Q4" s="116" t="s">
        <v>1748</v>
      </c>
      <c r="R4" s="116" t="s">
        <v>1749</v>
      </c>
      <c r="S4" s="116" t="s">
        <v>1750</v>
      </c>
      <c r="T4" s="116" t="s">
        <v>1751</v>
      </c>
      <c r="U4" s="116" t="s">
        <v>1752</v>
      </c>
      <c r="V4" s="115"/>
      <c r="W4" s="116" t="s">
        <v>1753</v>
      </c>
      <c r="X4" s="116" t="s">
        <v>1754</v>
      </c>
      <c r="Y4" s="116" t="s">
        <v>1755</v>
      </c>
      <c r="Z4" s="19" t="str">
        <f>"Total : "&amp;ROUNDUP(SUM(Z6:Z20)/1024,0)&amp;"[kibytes]"</f>
        <v>Total : 20[kibytes]</v>
      </c>
      <c r="AA4" s="19" t="str">
        <f>"Total : "&amp;SUM(AA6:AA20)&amp;"[word/4byte]"</f>
        <v>Total : 4872[word/4byte]</v>
      </c>
      <c r="AB4" s="19"/>
    </row>
    <row r="5" spans="1:29" ht="25.5">
      <c r="A5" s="81"/>
      <c r="B5" s="77" t="s">
        <v>21</v>
      </c>
      <c r="C5" s="77" t="s">
        <v>22</v>
      </c>
      <c r="D5" s="77" t="s">
        <v>23</v>
      </c>
      <c r="E5" s="77" t="s">
        <v>24</v>
      </c>
      <c r="F5" s="77" t="s">
        <v>22</v>
      </c>
      <c r="G5" s="82"/>
      <c r="H5" s="83"/>
      <c r="I5" s="84"/>
      <c r="J5" s="219"/>
      <c r="K5" s="21" t="s">
        <v>776</v>
      </c>
    </row>
    <row r="6" spans="1:29">
      <c r="A6" s="7" t="s">
        <v>738</v>
      </c>
      <c r="B6" s="7" t="s">
        <v>737</v>
      </c>
      <c r="C6" s="7" t="s">
        <v>31</v>
      </c>
      <c r="D6" s="7">
        <v>8</v>
      </c>
      <c r="E6" s="61" t="s">
        <v>30</v>
      </c>
      <c r="F6" s="7" t="s">
        <v>31</v>
      </c>
      <c r="G6" s="7" t="s">
        <v>1346</v>
      </c>
      <c r="H6" s="7"/>
      <c r="I6" s="203"/>
      <c r="J6" s="219"/>
      <c r="K6" s="38">
        <v>7</v>
      </c>
      <c r="M6" s="6">
        <v>0</v>
      </c>
      <c r="N6" s="6">
        <f t="shared" ref="N6:N17" si="0">COUNTIF($K$6:$K$161,M6)</f>
        <v>9</v>
      </c>
      <c r="O6" s="6" t="s">
        <v>1756</v>
      </c>
      <c r="P6" s="6" t="s">
        <v>1757</v>
      </c>
      <c r="Q6" s="6">
        <v>0</v>
      </c>
      <c r="R6" s="6">
        <v>10</v>
      </c>
      <c r="S6" s="6">
        <v>10</v>
      </c>
      <c r="T6" s="6">
        <v>0</v>
      </c>
      <c r="U6" s="6">
        <f>SUM(Q6:T6)</f>
        <v>20</v>
      </c>
      <c r="W6" s="6">
        <f>IF(N6&lt;U6,N6,U6)</f>
        <v>9</v>
      </c>
      <c r="X6" s="6">
        <f>W6*3</f>
        <v>27</v>
      </c>
      <c r="Y6" s="6">
        <v>32</v>
      </c>
      <c r="Z6" s="6">
        <f>(Y6+8)*X6</f>
        <v>1080</v>
      </c>
      <c r="AA6" s="6">
        <f>Z6/4</f>
        <v>270</v>
      </c>
      <c r="AB6" s="6" t="str">
        <f t="shared" ref="AB6:AB18" si="1">"#define CAN_LPFQ_QUE_NWORD_"&amp;M6&amp;"            ("&amp;AA6&amp;"U)"</f>
        <v>#define CAN_LPFQ_QUE_NWORD_0            (270U)</v>
      </c>
      <c r="AC6" s="6" t="str">
        <f>"/* "&amp;M6&amp;" = "&amp;O6&amp;" : # of message = "&amp;X6&amp;" / data length max = "&amp;Y6&amp;" */"</f>
        <v>/* 0 = PHY_TX_G2M1_P0 : # of message = 27 / data length max = 32 */</v>
      </c>
    </row>
    <row r="7" spans="1:29">
      <c r="A7" s="7" t="s">
        <v>738</v>
      </c>
      <c r="B7" s="7" t="s">
        <v>1758</v>
      </c>
      <c r="C7" s="7" t="s">
        <v>31</v>
      </c>
      <c r="D7" s="7">
        <v>8</v>
      </c>
      <c r="E7" s="61" t="s">
        <v>30</v>
      </c>
      <c r="F7" s="7" t="s">
        <v>31</v>
      </c>
      <c r="G7" s="7" t="s">
        <v>1346</v>
      </c>
      <c r="H7" s="7"/>
      <c r="I7" s="203"/>
      <c r="J7" s="219"/>
      <c r="K7" s="6">
        <v>7</v>
      </c>
      <c r="M7" s="6">
        <v>1</v>
      </c>
      <c r="N7" s="6">
        <f t="shared" si="0"/>
        <v>18</v>
      </c>
      <c r="O7" s="6" t="s">
        <v>1759</v>
      </c>
      <c r="P7" s="6" t="s">
        <v>1757</v>
      </c>
      <c r="Q7" s="6">
        <v>0</v>
      </c>
      <c r="R7" s="6">
        <v>10</v>
      </c>
      <c r="S7" s="6">
        <v>10</v>
      </c>
      <c r="T7" s="6">
        <v>0</v>
      </c>
      <c r="U7" s="6">
        <f t="shared" ref="U7:U18" si="2">SUM(Q7:T7)</f>
        <v>20</v>
      </c>
      <c r="W7" s="6">
        <f t="shared" ref="W7:W17" si="3">IF(N7&lt;U7,N7,U7)</f>
        <v>18</v>
      </c>
      <c r="X7" s="6">
        <f t="shared" ref="X7:X18" si="4">W7*3</f>
        <v>54</v>
      </c>
      <c r="Y7" s="6">
        <v>64</v>
      </c>
      <c r="Z7" s="6">
        <f>(Y7+8)*X7</f>
        <v>3888</v>
      </c>
      <c r="AA7" s="6">
        <f t="shared" ref="AA7:AA18" si="5">Z7/4</f>
        <v>972</v>
      </c>
      <c r="AB7" s="6" t="str">
        <f t="shared" si="1"/>
        <v>#define CAN_LPFQ_QUE_NWORD_1            (972U)</v>
      </c>
      <c r="AC7" s="6" t="str">
        <f t="shared" ref="AC7:AC18" si="6">"/* "&amp;M7&amp;" = "&amp;O7&amp;" : # of message = "&amp;X7&amp;" / data length max = "&amp;Y7&amp;" */"</f>
        <v>/* 1 = PHY_TX_G2M1_P1 : # of message = 54 / data length max = 64 */</v>
      </c>
    </row>
    <row r="8" spans="1:29">
      <c r="A8" s="7" t="s">
        <v>1344</v>
      </c>
      <c r="B8" s="7" t="s">
        <v>1345</v>
      </c>
      <c r="C8" s="7" t="s">
        <v>29</v>
      </c>
      <c r="D8" s="7">
        <v>8</v>
      </c>
      <c r="E8" s="61">
        <v>100</v>
      </c>
      <c r="F8" s="7" t="s">
        <v>31</v>
      </c>
      <c r="G8" s="7" t="s">
        <v>1346</v>
      </c>
      <c r="H8" s="7"/>
      <c r="I8" s="203" t="s">
        <v>7</v>
      </c>
      <c r="J8" s="219"/>
      <c r="K8" s="6">
        <v>0</v>
      </c>
      <c r="M8" s="6">
        <v>2</v>
      </c>
      <c r="N8" s="6">
        <f t="shared" si="0"/>
        <v>14</v>
      </c>
      <c r="O8" s="6" t="s">
        <v>1760</v>
      </c>
      <c r="P8" s="6" t="s">
        <v>1757</v>
      </c>
      <c r="Q8" s="6">
        <v>0</v>
      </c>
      <c r="R8" s="6">
        <v>10</v>
      </c>
      <c r="S8" s="6">
        <v>10</v>
      </c>
      <c r="T8" s="6">
        <v>0</v>
      </c>
      <c r="U8" s="6">
        <f t="shared" si="2"/>
        <v>20</v>
      </c>
      <c r="W8" s="6">
        <f t="shared" si="3"/>
        <v>14</v>
      </c>
      <c r="X8" s="6">
        <f t="shared" si="4"/>
        <v>42</v>
      </c>
      <c r="Y8" s="6">
        <v>32</v>
      </c>
      <c r="Z8" s="6">
        <f t="shared" ref="Z8:Z18" si="7">(Y8+8)*X8</f>
        <v>1680</v>
      </c>
      <c r="AA8" s="6">
        <f t="shared" si="5"/>
        <v>420</v>
      </c>
      <c r="AB8" s="6" t="str">
        <f t="shared" si="1"/>
        <v>#define CAN_LPFQ_QUE_NWORD_2            (420U)</v>
      </c>
      <c r="AC8" s="6" t="str">
        <f t="shared" si="6"/>
        <v>/* 2 = PHY_TX_G2M1_P2 : # of message = 42 / data length max = 32 */</v>
      </c>
    </row>
    <row r="9" spans="1:29">
      <c r="A9" s="7" t="s">
        <v>1347</v>
      </c>
      <c r="B9" s="7" t="s">
        <v>1348</v>
      </c>
      <c r="C9" s="7" t="s">
        <v>29</v>
      </c>
      <c r="D9" s="7">
        <v>8</v>
      </c>
      <c r="E9" s="61">
        <v>100</v>
      </c>
      <c r="F9" s="7" t="s">
        <v>31</v>
      </c>
      <c r="G9" s="7"/>
      <c r="H9" s="7"/>
      <c r="I9" s="203" t="s">
        <v>1346</v>
      </c>
      <c r="J9" s="219"/>
      <c r="K9" s="38">
        <v>8</v>
      </c>
      <c r="M9" s="6">
        <v>3</v>
      </c>
      <c r="N9" s="9">
        <f t="shared" si="0"/>
        <v>14</v>
      </c>
      <c r="O9" s="6" t="s">
        <v>1761</v>
      </c>
      <c r="P9" s="6" t="s">
        <v>1757</v>
      </c>
      <c r="Q9" s="6">
        <v>0</v>
      </c>
      <c r="R9" s="6">
        <v>10</v>
      </c>
      <c r="S9" s="6">
        <v>10</v>
      </c>
      <c r="T9" s="6">
        <v>0</v>
      </c>
      <c r="U9" s="6">
        <f t="shared" si="2"/>
        <v>20</v>
      </c>
      <c r="W9" s="6">
        <f t="shared" si="3"/>
        <v>14</v>
      </c>
      <c r="X9" s="6">
        <f t="shared" si="4"/>
        <v>42</v>
      </c>
      <c r="Y9" s="6">
        <v>32</v>
      </c>
      <c r="Z9" s="6">
        <f t="shared" si="7"/>
        <v>1680</v>
      </c>
      <c r="AA9" s="6">
        <f t="shared" si="5"/>
        <v>420</v>
      </c>
      <c r="AB9" s="6" t="str">
        <f t="shared" si="1"/>
        <v>#define CAN_LPFQ_QUE_NWORD_3            (420U)</v>
      </c>
      <c r="AC9" s="6" t="str">
        <f t="shared" si="6"/>
        <v>/* 3 = PHY_TX_G2M1_P3 : # of message = 42 / data length max = 32 */</v>
      </c>
    </row>
    <row r="10" spans="1:29">
      <c r="A10" s="7" t="s">
        <v>1349</v>
      </c>
      <c r="B10" s="7" t="s">
        <v>1350</v>
      </c>
      <c r="C10" s="7" t="s">
        <v>29</v>
      </c>
      <c r="D10" s="7">
        <v>32</v>
      </c>
      <c r="E10" s="61">
        <v>100</v>
      </c>
      <c r="F10" s="7" t="s">
        <v>31</v>
      </c>
      <c r="G10" s="7"/>
      <c r="H10" s="7"/>
      <c r="I10" s="203" t="s">
        <v>1346</v>
      </c>
      <c r="J10" s="219"/>
      <c r="K10" s="6">
        <v>8</v>
      </c>
      <c r="M10" s="6">
        <v>4</v>
      </c>
      <c r="N10" s="9">
        <f t="shared" si="0"/>
        <v>8</v>
      </c>
      <c r="O10" s="6" t="s">
        <v>1762</v>
      </c>
      <c r="P10" s="6" t="s">
        <v>1757</v>
      </c>
      <c r="Q10" s="6">
        <v>0</v>
      </c>
      <c r="R10" s="6">
        <v>10</v>
      </c>
      <c r="S10" s="6">
        <v>10</v>
      </c>
      <c r="T10" s="6">
        <v>0</v>
      </c>
      <c r="U10" s="6">
        <f t="shared" ref="U10:U13" si="8">SUM(Q10:T10)</f>
        <v>20</v>
      </c>
      <c r="W10" s="6">
        <f t="shared" si="3"/>
        <v>8</v>
      </c>
      <c r="X10" s="6">
        <f t="shared" ref="X10:X13" si="9">W10*3</f>
        <v>24</v>
      </c>
      <c r="Y10" s="6">
        <v>32</v>
      </c>
      <c r="Z10" s="6">
        <f t="shared" ref="Z10:Z13" si="10">(Y10+8)*X10</f>
        <v>960</v>
      </c>
      <c r="AA10" s="6">
        <f t="shared" ref="AA10:AA13" si="11">Z10/4</f>
        <v>240</v>
      </c>
      <c r="AB10" s="6" t="str">
        <f t="shared" ref="AB10:AB13" si="12">"#define CAN_LPFQ_QUE_NWORD_"&amp;M10&amp;"            ("&amp;AA10&amp;"U)"</f>
        <v>#define CAN_LPFQ_QUE_NWORD_4            (240U)</v>
      </c>
      <c r="AC10" s="6" t="str">
        <f t="shared" ref="AC10:AC13" si="13">"/* "&amp;M10&amp;" = "&amp;O10&amp;" : # of message = "&amp;X10&amp;" / data length max = "&amp;Y10&amp;" */"</f>
        <v>/* 4 = PHY_TX_G2M1_P4 : # of message = 24 / data length max = 32 */</v>
      </c>
    </row>
    <row r="11" spans="1:29">
      <c r="A11" s="7" t="s">
        <v>1351</v>
      </c>
      <c r="B11" s="7" t="s">
        <v>1352</v>
      </c>
      <c r="C11" s="7" t="s">
        <v>29</v>
      </c>
      <c r="D11" s="7">
        <v>8</v>
      </c>
      <c r="E11" s="61">
        <v>100</v>
      </c>
      <c r="F11" s="7" t="s">
        <v>31</v>
      </c>
      <c r="G11" s="7" t="s">
        <v>1346</v>
      </c>
      <c r="H11" s="7"/>
      <c r="I11" s="203" t="s">
        <v>7</v>
      </c>
      <c r="J11" s="219"/>
      <c r="K11" s="38">
        <v>0</v>
      </c>
      <c r="M11" s="6">
        <v>5</v>
      </c>
      <c r="N11" s="9">
        <f t="shared" si="0"/>
        <v>9</v>
      </c>
      <c r="O11" s="6" t="s">
        <v>1763</v>
      </c>
      <c r="P11" s="6" t="s">
        <v>1757</v>
      </c>
      <c r="Q11" s="6">
        <v>0</v>
      </c>
      <c r="R11" s="6">
        <v>10</v>
      </c>
      <c r="S11" s="6">
        <v>10</v>
      </c>
      <c r="T11" s="6">
        <v>0</v>
      </c>
      <c r="U11" s="6">
        <f t="shared" si="8"/>
        <v>20</v>
      </c>
      <c r="W11" s="6">
        <f t="shared" si="3"/>
        <v>9</v>
      </c>
      <c r="X11" s="6">
        <f t="shared" si="9"/>
        <v>27</v>
      </c>
      <c r="Y11" s="6">
        <v>32</v>
      </c>
      <c r="Z11" s="6">
        <f t="shared" si="10"/>
        <v>1080</v>
      </c>
      <c r="AA11" s="6">
        <f t="shared" si="11"/>
        <v>270</v>
      </c>
      <c r="AB11" s="6" t="str">
        <f t="shared" si="12"/>
        <v>#define CAN_LPFQ_QUE_NWORD_5            (270U)</v>
      </c>
      <c r="AC11" s="6" t="str">
        <f t="shared" si="13"/>
        <v>/* 5 = PHY_TX_G2M1_P5 : # of message = 27 / data length max = 32 */</v>
      </c>
    </row>
    <row r="12" spans="1:29">
      <c r="A12" s="7" t="s">
        <v>1353</v>
      </c>
      <c r="B12" s="7" t="s">
        <v>1354</v>
      </c>
      <c r="C12" s="7" t="s">
        <v>29</v>
      </c>
      <c r="D12" s="7">
        <v>8</v>
      </c>
      <c r="E12" s="61">
        <v>100</v>
      </c>
      <c r="F12" s="7" t="s">
        <v>31</v>
      </c>
      <c r="G12" s="7"/>
      <c r="H12" s="7"/>
      <c r="I12" s="203" t="s">
        <v>1346</v>
      </c>
      <c r="J12" s="219"/>
      <c r="K12" s="6">
        <v>8</v>
      </c>
      <c r="M12" s="6">
        <v>6</v>
      </c>
      <c r="N12" s="9">
        <f t="shared" si="0"/>
        <v>4</v>
      </c>
      <c r="O12" s="6" t="s">
        <v>1764</v>
      </c>
      <c r="P12" s="6" t="s">
        <v>1757</v>
      </c>
      <c r="Q12" s="6">
        <v>0</v>
      </c>
      <c r="R12" s="6">
        <v>10</v>
      </c>
      <c r="S12" s="6">
        <v>10</v>
      </c>
      <c r="T12" s="6">
        <v>0</v>
      </c>
      <c r="U12" s="6">
        <f t="shared" si="8"/>
        <v>20</v>
      </c>
      <c r="W12" s="6">
        <f t="shared" si="3"/>
        <v>4</v>
      </c>
      <c r="X12" s="6">
        <f t="shared" si="9"/>
        <v>12</v>
      </c>
      <c r="Y12" s="6">
        <v>32</v>
      </c>
      <c r="Z12" s="6">
        <f t="shared" si="10"/>
        <v>480</v>
      </c>
      <c r="AA12" s="6">
        <f t="shared" si="11"/>
        <v>120</v>
      </c>
      <c r="AB12" s="6" t="str">
        <f t="shared" si="12"/>
        <v>#define CAN_LPFQ_QUE_NWORD_6            (120U)</v>
      </c>
      <c r="AC12" s="6" t="str">
        <f t="shared" si="13"/>
        <v>/* 6 = PHY_TX_G2M1_P6 : # of message = 12 / data length max = 32 */</v>
      </c>
    </row>
    <row r="13" spans="1:29">
      <c r="A13" s="7" t="s">
        <v>1355</v>
      </c>
      <c r="B13" s="7" t="s">
        <v>1356</v>
      </c>
      <c r="C13" s="7" t="s">
        <v>29</v>
      </c>
      <c r="D13" s="7">
        <v>32</v>
      </c>
      <c r="E13" s="61">
        <v>100</v>
      </c>
      <c r="F13" s="7" t="s">
        <v>31</v>
      </c>
      <c r="G13" s="7" t="s">
        <v>1346</v>
      </c>
      <c r="H13" s="7"/>
      <c r="I13" s="203" t="s">
        <v>7</v>
      </c>
      <c r="J13" s="219"/>
      <c r="K13" s="6">
        <v>0</v>
      </c>
      <c r="M13" s="6">
        <v>7</v>
      </c>
      <c r="N13" s="9">
        <f t="shared" si="0"/>
        <v>22</v>
      </c>
      <c r="O13" s="6" t="s">
        <v>1765</v>
      </c>
      <c r="P13" s="6" t="s">
        <v>1766</v>
      </c>
      <c r="Q13" s="6">
        <v>0</v>
      </c>
      <c r="R13" s="9">
        <v>1</v>
      </c>
      <c r="S13" s="9">
        <v>1</v>
      </c>
      <c r="T13" s="6">
        <v>10</v>
      </c>
      <c r="U13" s="6">
        <f t="shared" si="8"/>
        <v>12</v>
      </c>
      <c r="W13" s="9">
        <f t="shared" ref="W13" si="14">U13</f>
        <v>12</v>
      </c>
      <c r="X13" s="6">
        <f t="shared" si="9"/>
        <v>36</v>
      </c>
      <c r="Y13" s="6">
        <v>32</v>
      </c>
      <c r="Z13" s="6">
        <f t="shared" si="10"/>
        <v>1440</v>
      </c>
      <c r="AA13" s="6">
        <f t="shared" si="11"/>
        <v>360</v>
      </c>
      <c r="AB13" s="6" t="str">
        <f t="shared" si="12"/>
        <v>#define CAN_LPFQ_QUE_NWORD_7            (360U)</v>
      </c>
      <c r="AC13" s="6" t="str">
        <f t="shared" si="13"/>
        <v>/* 7 = PHY_TX_G2M1_P7 : # of message = 36 / data length max = 32 */</v>
      </c>
    </row>
    <row r="14" spans="1:29">
      <c r="A14" s="7" t="s">
        <v>1357</v>
      </c>
      <c r="B14" s="7" t="s">
        <v>1358</v>
      </c>
      <c r="C14" s="7" t="s">
        <v>29</v>
      </c>
      <c r="D14" s="7">
        <v>32</v>
      </c>
      <c r="E14" s="61">
        <v>200</v>
      </c>
      <c r="F14" s="7" t="s">
        <v>31</v>
      </c>
      <c r="G14" s="7"/>
      <c r="H14" s="7"/>
      <c r="I14" s="203" t="s">
        <v>1346</v>
      </c>
      <c r="J14" s="219"/>
      <c r="K14" s="6">
        <v>8</v>
      </c>
      <c r="M14" s="6">
        <v>8</v>
      </c>
      <c r="N14" s="6">
        <f t="shared" si="0"/>
        <v>14</v>
      </c>
      <c r="O14" s="6" t="s">
        <v>1767</v>
      </c>
      <c r="P14" s="6" t="s">
        <v>1757</v>
      </c>
      <c r="Q14" s="6">
        <v>0</v>
      </c>
      <c r="R14" s="6">
        <v>10</v>
      </c>
      <c r="S14" s="6">
        <v>10</v>
      </c>
      <c r="T14" s="6">
        <v>0</v>
      </c>
      <c r="U14" s="6">
        <f t="shared" si="2"/>
        <v>20</v>
      </c>
      <c r="W14" s="6">
        <f t="shared" si="3"/>
        <v>14</v>
      </c>
      <c r="X14" s="6">
        <f t="shared" si="4"/>
        <v>42</v>
      </c>
      <c r="Y14" s="6">
        <v>32</v>
      </c>
      <c r="Z14" s="6">
        <f t="shared" si="7"/>
        <v>1680</v>
      </c>
      <c r="AA14" s="6">
        <f t="shared" si="5"/>
        <v>420</v>
      </c>
      <c r="AB14" s="6" t="str">
        <f t="shared" si="1"/>
        <v>#define CAN_LPFQ_QUE_NWORD_8            (420U)</v>
      </c>
      <c r="AC14" s="6" t="str">
        <f t="shared" si="6"/>
        <v>/* 8 = PHY_TX_G5M__P0 : # of message = 42 / data length max = 32 */</v>
      </c>
    </row>
    <row r="15" spans="1:29">
      <c r="A15" s="7" t="s">
        <v>1359</v>
      </c>
      <c r="B15" s="7" t="s">
        <v>1360</v>
      </c>
      <c r="C15" s="7" t="s">
        <v>29</v>
      </c>
      <c r="D15" s="7">
        <v>32</v>
      </c>
      <c r="E15" s="61">
        <v>200</v>
      </c>
      <c r="F15" s="7" t="s">
        <v>31</v>
      </c>
      <c r="G15" s="7"/>
      <c r="H15" s="7"/>
      <c r="I15" s="203" t="s">
        <v>1346</v>
      </c>
      <c r="J15" s="219"/>
      <c r="K15" s="6">
        <v>8</v>
      </c>
      <c r="M15" s="6">
        <v>9</v>
      </c>
      <c r="N15" s="6">
        <f t="shared" si="0"/>
        <v>15</v>
      </c>
      <c r="O15" s="6" t="s">
        <v>1768</v>
      </c>
      <c r="P15" s="6" t="s">
        <v>1757</v>
      </c>
      <c r="Q15" s="6">
        <v>0</v>
      </c>
      <c r="R15" s="6">
        <v>10</v>
      </c>
      <c r="S15" s="6">
        <v>10</v>
      </c>
      <c r="T15" s="6">
        <v>0</v>
      </c>
      <c r="U15" s="6">
        <f t="shared" si="2"/>
        <v>20</v>
      </c>
      <c r="W15" s="6">
        <f>IF(N15&lt;U15,N15,U15)</f>
        <v>15</v>
      </c>
      <c r="X15" s="6">
        <f t="shared" si="4"/>
        <v>45</v>
      </c>
      <c r="Y15" s="6">
        <v>32</v>
      </c>
      <c r="Z15" s="6">
        <f t="shared" si="7"/>
        <v>1800</v>
      </c>
      <c r="AA15" s="6">
        <f t="shared" si="5"/>
        <v>450</v>
      </c>
      <c r="AB15" s="6" t="str">
        <f t="shared" si="1"/>
        <v>#define CAN_LPFQ_QUE_NWORD_9            (450U)</v>
      </c>
      <c r="AC15" s="6" t="str">
        <f t="shared" si="6"/>
        <v>/* 9 = PHY_TX_G5M__P1 : # of message = 45 / data length max = 32 */</v>
      </c>
    </row>
    <row r="16" spans="1:29">
      <c r="A16" s="7" t="s">
        <v>1361</v>
      </c>
      <c r="B16" s="7" t="s">
        <v>1362</v>
      </c>
      <c r="C16" s="7" t="s">
        <v>29</v>
      </c>
      <c r="D16" s="7">
        <v>8</v>
      </c>
      <c r="E16" s="61">
        <v>200</v>
      </c>
      <c r="F16" s="7" t="s">
        <v>31</v>
      </c>
      <c r="G16" s="7"/>
      <c r="H16" s="7"/>
      <c r="I16" s="203" t="s">
        <v>1346</v>
      </c>
      <c r="J16" s="219"/>
      <c r="K16" s="6">
        <v>8</v>
      </c>
      <c r="M16" s="6">
        <v>10</v>
      </c>
      <c r="N16" s="6">
        <f t="shared" si="0"/>
        <v>14</v>
      </c>
      <c r="O16" s="6" t="s">
        <v>1769</v>
      </c>
      <c r="P16" s="6" t="s">
        <v>1757</v>
      </c>
      <c r="Q16" s="6">
        <v>0</v>
      </c>
      <c r="R16" s="6">
        <v>10</v>
      </c>
      <c r="S16" s="6">
        <v>10</v>
      </c>
      <c r="T16" s="6">
        <v>0</v>
      </c>
      <c r="U16" s="6">
        <f t="shared" si="2"/>
        <v>20</v>
      </c>
      <c r="W16" s="6">
        <f t="shared" si="3"/>
        <v>14</v>
      </c>
      <c r="X16" s="6">
        <f t="shared" si="4"/>
        <v>42</v>
      </c>
      <c r="Y16" s="6">
        <v>64</v>
      </c>
      <c r="Z16" s="6">
        <f t="shared" si="7"/>
        <v>3024</v>
      </c>
      <c r="AA16" s="6">
        <f t="shared" si="5"/>
        <v>756</v>
      </c>
      <c r="AB16" s="6" t="str">
        <f t="shared" si="1"/>
        <v>#define CAN_LPFQ_QUE_NWORD_10            (756U)</v>
      </c>
      <c r="AC16" s="6" t="str">
        <f t="shared" si="6"/>
        <v>/* 10 = PHY_TX_G5M__P2 : # of message = 42 / data length max = 64 */</v>
      </c>
    </row>
    <row r="17" spans="1:29">
      <c r="A17" s="7" t="s">
        <v>1363</v>
      </c>
      <c r="B17" s="7" t="s">
        <v>1364</v>
      </c>
      <c r="C17" s="7" t="s">
        <v>29</v>
      </c>
      <c r="D17" s="7">
        <v>32</v>
      </c>
      <c r="E17" s="61">
        <v>200</v>
      </c>
      <c r="F17" s="7" t="s">
        <v>31</v>
      </c>
      <c r="G17" s="7"/>
      <c r="H17" s="7"/>
      <c r="I17" s="203" t="s">
        <v>1346</v>
      </c>
      <c r="J17" s="219"/>
      <c r="K17" s="6">
        <v>8</v>
      </c>
      <c r="M17" s="6">
        <v>11</v>
      </c>
      <c r="N17" s="6">
        <f t="shared" si="0"/>
        <v>5</v>
      </c>
      <c r="O17" s="6" t="s">
        <v>1770</v>
      </c>
      <c r="P17" s="6" t="s">
        <v>1757</v>
      </c>
      <c r="Q17" s="6">
        <v>0</v>
      </c>
      <c r="R17" s="6">
        <v>10</v>
      </c>
      <c r="S17" s="6">
        <v>10</v>
      </c>
      <c r="T17" s="6">
        <v>0</v>
      </c>
      <c r="U17" s="6">
        <f t="shared" si="2"/>
        <v>20</v>
      </c>
      <c r="W17" s="6">
        <f t="shared" si="3"/>
        <v>5</v>
      </c>
      <c r="X17" s="6">
        <f>W17*3</f>
        <v>15</v>
      </c>
      <c r="Y17" s="6">
        <v>32</v>
      </c>
      <c r="Z17" s="6">
        <f>(Y17+8)*X17</f>
        <v>600</v>
      </c>
      <c r="AA17" s="6">
        <f t="shared" si="5"/>
        <v>150</v>
      </c>
      <c r="AB17" s="6" t="str">
        <f t="shared" si="1"/>
        <v>#define CAN_LPFQ_QUE_NWORD_11            (150U)</v>
      </c>
      <c r="AC17" s="6" t="str">
        <f t="shared" si="6"/>
        <v>/* 11 = PHY_TX_G5M__P3 : # of message = 15 / data length max = 32 */</v>
      </c>
    </row>
    <row r="18" spans="1:29">
      <c r="A18" s="7" t="s">
        <v>1365</v>
      </c>
      <c r="B18" s="7" t="s">
        <v>1366</v>
      </c>
      <c r="C18" s="7" t="s">
        <v>29</v>
      </c>
      <c r="D18" s="7">
        <v>32</v>
      </c>
      <c r="E18" s="61">
        <v>200</v>
      </c>
      <c r="F18" s="7" t="s">
        <v>31</v>
      </c>
      <c r="G18" s="7"/>
      <c r="H18" s="7"/>
      <c r="I18" s="203" t="s">
        <v>1346</v>
      </c>
      <c r="J18" s="219"/>
      <c r="K18" s="6">
        <v>8</v>
      </c>
      <c r="M18" s="6">
        <v>12</v>
      </c>
      <c r="N18" s="6">
        <v>1</v>
      </c>
      <c r="O18" s="6" t="s">
        <v>1771</v>
      </c>
      <c r="P18" s="6" t="s">
        <v>1757</v>
      </c>
      <c r="Q18" s="6">
        <v>0</v>
      </c>
      <c r="R18" s="6">
        <v>0</v>
      </c>
      <c r="S18" s="6">
        <v>1</v>
      </c>
      <c r="T18" s="6">
        <v>0</v>
      </c>
      <c r="U18" s="6">
        <f t="shared" si="2"/>
        <v>1</v>
      </c>
      <c r="W18" s="6">
        <f>IF(N18&lt;U18,N18,U18)</f>
        <v>1</v>
      </c>
      <c r="X18" s="6">
        <f t="shared" si="4"/>
        <v>3</v>
      </c>
      <c r="Y18" s="6">
        <v>8</v>
      </c>
      <c r="Z18" s="6">
        <f t="shared" si="7"/>
        <v>48</v>
      </c>
      <c r="AA18" s="6">
        <f t="shared" si="5"/>
        <v>12</v>
      </c>
      <c r="AB18" s="6" t="str">
        <f t="shared" si="1"/>
        <v>#define CAN_LPFQ_QUE_NWORD_12            (12U)</v>
      </c>
      <c r="AC18" s="6" t="str">
        <f t="shared" si="6"/>
        <v>/* 12 = PHY_TX_LOCA_P0 : # of message = 3 / data length max = 8 */</v>
      </c>
    </row>
    <row r="19" spans="1:29">
      <c r="A19" s="7" t="s">
        <v>1367</v>
      </c>
      <c r="B19" s="7" t="s">
        <v>1368</v>
      </c>
      <c r="C19" s="7" t="s">
        <v>29</v>
      </c>
      <c r="D19" s="7">
        <v>32</v>
      </c>
      <c r="E19" s="61">
        <v>200</v>
      </c>
      <c r="F19" s="7" t="s">
        <v>31</v>
      </c>
      <c r="G19" s="7"/>
      <c r="H19" s="7"/>
      <c r="I19" s="203" t="s">
        <v>1346</v>
      </c>
      <c r="J19" s="219"/>
      <c r="K19" s="6">
        <v>8</v>
      </c>
      <c r="M19" s="6">
        <v>13</v>
      </c>
      <c r="N19" s="6">
        <f>COUNTIF($K$6:$K$161,M19)</f>
        <v>1</v>
      </c>
      <c r="O19" s="6" t="s">
        <v>1772</v>
      </c>
      <c r="P19" s="6" t="s">
        <v>1757</v>
      </c>
      <c r="Q19" s="6">
        <v>0</v>
      </c>
      <c r="R19" s="6">
        <v>10</v>
      </c>
      <c r="S19" s="6">
        <v>10</v>
      </c>
      <c r="T19" s="6">
        <v>0</v>
      </c>
      <c r="U19" s="6">
        <f t="shared" ref="U19" si="15">SUM(Q19:T19)</f>
        <v>20</v>
      </c>
      <c r="W19" s="6">
        <f>IF(N19&lt;U19,N19,U19)</f>
        <v>1</v>
      </c>
      <c r="X19" s="6">
        <f>W19*3</f>
        <v>3</v>
      </c>
      <c r="Y19" s="6">
        <v>8</v>
      </c>
      <c r="Z19" s="6">
        <f>(Y19+8)*X19</f>
        <v>48</v>
      </c>
      <c r="AA19" s="6">
        <f>Z19/4</f>
        <v>12</v>
      </c>
      <c r="AB19" s="6" t="str">
        <f t="shared" ref="AB19" si="16">"#define CAN_LPFQ_QUE_NWORD_"&amp;M19&amp;"            ("&amp;AA19&amp;"U)"</f>
        <v>#define CAN_LPFQ_QUE_NWORD_13            (12U)</v>
      </c>
      <c r="AC19" s="6" t="str">
        <f t="shared" ref="AC19" si="17">"/* "&amp;M19&amp;" = "&amp;O19&amp;" : # of message = "&amp;X19&amp;" / data length max = "&amp;Y19&amp;" */"</f>
        <v>/* 13 = PHY_TX_G2M2_P0 : # of message = 3 / data length max = 8 */</v>
      </c>
    </row>
    <row r="20" spans="1:29">
      <c r="A20" s="7" t="s">
        <v>1369</v>
      </c>
      <c r="B20" s="7" t="s">
        <v>1370</v>
      </c>
      <c r="C20" s="7" t="s">
        <v>29</v>
      </c>
      <c r="D20" s="7">
        <v>32</v>
      </c>
      <c r="E20" s="61">
        <v>200</v>
      </c>
      <c r="F20" s="7" t="s">
        <v>31</v>
      </c>
      <c r="G20" s="7"/>
      <c r="H20" s="7"/>
      <c r="I20" s="203" t="s">
        <v>1346</v>
      </c>
      <c r="J20" s="219"/>
      <c r="K20" s="6">
        <v>8</v>
      </c>
      <c r="M20" s="6">
        <v>127</v>
      </c>
      <c r="N20" s="6">
        <f>COUNTIF($K$6:$K$161,M20)</f>
        <v>8</v>
      </c>
    </row>
    <row r="21" spans="1:29">
      <c r="A21" s="7" t="s">
        <v>1371</v>
      </c>
      <c r="B21" s="7" t="s">
        <v>1372</v>
      </c>
      <c r="C21" s="7" t="s">
        <v>29</v>
      </c>
      <c r="D21" s="7">
        <v>32</v>
      </c>
      <c r="E21" s="61">
        <v>200</v>
      </c>
      <c r="F21" s="7" t="s">
        <v>31</v>
      </c>
      <c r="G21" s="7"/>
      <c r="H21" s="7"/>
      <c r="I21" s="203" t="s">
        <v>1346</v>
      </c>
      <c r="J21" s="219"/>
      <c r="K21" s="6">
        <v>8</v>
      </c>
    </row>
    <row r="22" spans="1:29">
      <c r="A22" s="7" t="s">
        <v>1373</v>
      </c>
      <c r="B22" s="7" t="s">
        <v>1374</v>
      </c>
      <c r="C22" s="7" t="s">
        <v>29</v>
      </c>
      <c r="D22" s="7">
        <v>32</v>
      </c>
      <c r="E22" s="61">
        <v>200</v>
      </c>
      <c r="F22" s="7" t="s">
        <v>31</v>
      </c>
      <c r="G22" s="7"/>
      <c r="H22" s="7"/>
      <c r="I22" s="203" t="s">
        <v>1346</v>
      </c>
      <c r="J22" s="219"/>
      <c r="K22" s="6">
        <v>8</v>
      </c>
    </row>
    <row r="23" spans="1:29">
      <c r="A23" s="7" t="s">
        <v>1375</v>
      </c>
      <c r="B23" s="7" t="s">
        <v>1376</v>
      </c>
      <c r="C23" s="7" t="s">
        <v>29</v>
      </c>
      <c r="D23" s="7">
        <v>32</v>
      </c>
      <c r="E23" s="61">
        <v>200</v>
      </c>
      <c r="F23" s="7" t="s">
        <v>31</v>
      </c>
      <c r="G23" s="7"/>
      <c r="H23" s="7"/>
      <c r="I23" s="203" t="s">
        <v>1346</v>
      </c>
      <c r="J23" s="219"/>
      <c r="K23" s="6">
        <v>8</v>
      </c>
    </row>
    <row r="24" spans="1:29">
      <c r="A24" s="7" t="s">
        <v>1377</v>
      </c>
      <c r="B24" s="7" t="s">
        <v>1378</v>
      </c>
      <c r="C24" s="7" t="s">
        <v>29</v>
      </c>
      <c r="D24" s="7">
        <v>32</v>
      </c>
      <c r="E24" s="61">
        <v>200</v>
      </c>
      <c r="F24" s="7" t="s">
        <v>31</v>
      </c>
      <c r="G24" s="7"/>
      <c r="H24" s="7"/>
      <c r="I24" s="203" t="s">
        <v>1346</v>
      </c>
      <c r="J24" s="219"/>
      <c r="K24" s="6">
        <v>8</v>
      </c>
    </row>
    <row r="25" spans="1:29">
      <c r="A25" s="7" t="s">
        <v>1379</v>
      </c>
      <c r="B25" s="7" t="s">
        <v>1380</v>
      </c>
      <c r="C25" s="7" t="s">
        <v>29</v>
      </c>
      <c r="D25" s="7">
        <v>32</v>
      </c>
      <c r="E25" s="61">
        <v>200</v>
      </c>
      <c r="F25" s="7" t="s">
        <v>31</v>
      </c>
      <c r="G25" s="7"/>
      <c r="H25" s="7"/>
      <c r="I25" s="203" t="s">
        <v>1346</v>
      </c>
      <c r="J25" s="219"/>
      <c r="K25" s="6">
        <v>9</v>
      </c>
    </row>
    <row r="26" spans="1:29">
      <c r="A26" s="7" t="s">
        <v>1381</v>
      </c>
      <c r="B26" s="7" t="s">
        <v>1382</v>
      </c>
      <c r="C26" s="7" t="s">
        <v>29</v>
      </c>
      <c r="D26" s="7">
        <v>32</v>
      </c>
      <c r="E26" s="61">
        <v>200</v>
      </c>
      <c r="F26" s="7" t="s">
        <v>31</v>
      </c>
      <c r="G26" s="7"/>
      <c r="H26" s="7"/>
      <c r="I26" s="203" t="s">
        <v>1346</v>
      </c>
      <c r="J26" s="219"/>
      <c r="K26" s="6">
        <v>9</v>
      </c>
    </row>
    <row r="27" spans="1:29">
      <c r="A27" s="7" t="s">
        <v>1383</v>
      </c>
      <c r="B27" s="7" t="s">
        <v>1384</v>
      </c>
      <c r="C27" s="7" t="s">
        <v>29</v>
      </c>
      <c r="D27" s="7">
        <v>32</v>
      </c>
      <c r="E27" s="61">
        <v>200</v>
      </c>
      <c r="F27" s="7" t="s">
        <v>31</v>
      </c>
      <c r="G27" s="7"/>
      <c r="H27" s="7"/>
      <c r="I27" s="203" t="s">
        <v>1346</v>
      </c>
      <c r="J27" s="219"/>
      <c r="K27" s="6">
        <v>9</v>
      </c>
    </row>
    <row r="28" spans="1:29">
      <c r="A28" s="7" t="s">
        <v>1385</v>
      </c>
      <c r="B28" s="7" t="s">
        <v>1386</v>
      </c>
      <c r="C28" s="7" t="s">
        <v>29</v>
      </c>
      <c r="D28" s="7">
        <v>32</v>
      </c>
      <c r="E28" s="61">
        <v>200</v>
      </c>
      <c r="F28" s="7" t="s">
        <v>31</v>
      </c>
      <c r="G28" s="7"/>
      <c r="H28" s="7"/>
      <c r="I28" s="203" t="s">
        <v>1346</v>
      </c>
      <c r="J28" s="219"/>
      <c r="K28" s="6">
        <v>9</v>
      </c>
    </row>
    <row r="29" spans="1:29">
      <c r="A29" s="7" t="s">
        <v>1387</v>
      </c>
      <c r="B29" s="7" t="s">
        <v>1388</v>
      </c>
      <c r="C29" s="7" t="s">
        <v>29</v>
      </c>
      <c r="D29" s="7">
        <v>32</v>
      </c>
      <c r="E29" s="61">
        <v>200</v>
      </c>
      <c r="F29" s="7" t="s">
        <v>31</v>
      </c>
      <c r="G29" s="7"/>
      <c r="H29" s="7"/>
      <c r="I29" s="203" t="s">
        <v>1346</v>
      </c>
      <c r="J29" s="219"/>
      <c r="K29" s="6">
        <v>9</v>
      </c>
    </row>
    <row r="30" spans="1:29">
      <c r="A30" s="7" t="s">
        <v>1389</v>
      </c>
      <c r="B30" s="7" t="s">
        <v>1390</v>
      </c>
      <c r="C30" s="7" t="s">
        <v>29</v>
      </c>
      <c r="D30" s="7">
        <v>32</v>
      </c>
      <c r="E30" s="61">
        <v>200</v>
      </c>
      <c r="F30" s="7" t="s">
        <v>31</v>
      </c>
      <c r="G30" s="7"/>
      <c r="H30" s="7"/>
      <c r="I30" s="203" t="s">
        <v>1346</v>
      </c>
      <c r="J30" s="219"/>
      <c r="K30" s="6">
        <v>9</v>
      </c>
    </row>
    <row r="31" spans="1:29">
      <c r="A31" s="7" t="s">
        <v>1391</v>
      </c>
      <c r="B31" s="7" t="s">
        <v>1392</v>
      </c>
      <c r="C31" s="7" t="s">
        <v>29</v>
      </c>
      <c r="D31" s="7">
        <v>32</v>
      </c>
      <c r="E31" s="61">
        <v>200</v>
      </c>
      <c r="F31" s="7" t="s">
        <v>31</v>
      </c>
      <c r="G31" s="7"/>
      <c r="H31" s="7"/>
      <c r="I31" s="203" t="s">
        <v>1346</v>
      </c>
      <c r="J31" s="219"/>
      <c r="K31" s="38">
        <v>9</v>
      </c>
    </row>
    <row r="32" spans="1:29">
      <c r="A32" s="7" t="s">
        <v>1393</v>
      </c>
      <c r="B32" s="7" t="s">
        <v>1394</v>
      </c>
      <c r="C32" s="7" t="s">
        <v>29</v>
      </c>
      <c r="D32" s="7">
        <v>32</v>
      </c>
      <c r="E32" s="61">
        <v>200</v>
      </c>
      <c r="F32" s="7" t="s">
        <v>31</v>
      </c>
      <c r="G32" s="7"/>
      <c r="H32" s="7"/>
      <c r="I32" s="203" t="s">
        <v>1346</v>
      </c>
      <c r="J32" s="219"/>
      <c r="K32" s="38">
        <v>9</v>
      </c>
    </row>
    <row r="33" spans="1:11">
      <c r="A33" s="7" t="s">
        <v>1395</v>
      </c>
      <c r="B33" s="7" t="s">
        <v>1396</v>
      </c>
      <c r="C33" s="7" t="s">
        <v>29</v>
      </c>
      <c r="D33" s="7">
        <v>8</v>
      </c>
      <c r="E33" s="61">
        <v>200</v>
      </c>
      <c r="F33" s="7" t="s">
        <v>31</v>
      </c>
      <c r="G33" s="7" t="s">
        <v>1346</v>
      </c>
      <c r="H33" s="7"/>
      <c r="I33" s="203" t="s">
        <v>7</v>
      </c>
      <c r="J33" s="219"/>
      <c r="K33" s="38">
        <v>0</v>
      </c>
    </row>
    <row r="34" spans="1:11">
      <c r="A34" s="7" t="s">
        <v>1397</v>
      </c>
      <c r="B34" s="7" t="s">
        <v>1398</v>
      </c>
      <c r="C34" s="7" t="s">
        <v>29</v>
      </c>
      <c r="D34" s="7">
        <v>8</v>
      </c>
      <c r="E34" s="61">
        <v>300</v>
      </c>
      <c r="F34" s="7" t="s">
        <v>31</v>
      </c>
      <c r="G34" s="7" t="s">
        <v>1346</v>
      </c>
      <c r="H34" s="7"/>
      <c r="I34" s="203" t="s">
        <v>7</v>
      </c>
      <c r="J34" s="219"/>
      <c r="K34" s="38">
        <v>0</v>
      </c>
    </row>
    <row r="35" spans="1:11">
      <c r="A35" s="7" t="s">
        <v>1399</v>
      </c>
      <c r="B35" s="7" t="s">
        <v>1400</v>
      </c>
      <c r="C35" s="7" t="s">
        <v>29</v>
      </c>
      <c r="D35" s="7">
        <v>8</v>
      </c>
      <c r="E35" s="61">
        <v>500</v>
      </c>
      <c r="F35" s="7" t="s">
        <v>31</v>
      </c>
      <c r="G35" s="7" t="s">
        <v>1346</v>
      </c>
      <c r="H35" s="7"/>
      <c r="I35" s="203" t="s">
        <v>7</v>
      </c>
      <c r="J35" s="219"/>
      <c r="K35" s="38">
        <v>0</v>
      </c>
    </row>
    <row r="36" spans="1:11">
      <c r="A36" s="7" t="s">
        <v>1401</v>
      </c>
      <c r="B36" s="7" t="s">
        <v>1402</v>
      </c>
      <c r="C36" s="7" t="s">
        <v>29</v>
      </c>
      <c r="D36" s="7">
        <v>8</v>
      </c>
      <c r="E36" s="61">
        <v>500</v>
      </c>
      <c r="F36" s="7" t="s">
        <v>31</v>
      </c>
      <c r="G36" s="7" t="s">
        <v>1346</v>
      </c>
      <c r="H36" s="7"/>
      <c r="I36" s="203" t="s">
        <v>7</v>
      </c>
      <c r="J36" s="219"/>
      <c r="K36" s="38">
        <v>0</v>
      </c>
    </row>
    <row r="37" spans="1:11">
      <c r="A37" s="7" t="s">
        <v>1403</v>
      </c>
      <c r="B37" s="7" t="s">
        <v>1404</v>
      </c>
      <c r="C37" s="7" t="s">
        <v>29</v>
      </c>
      <c r="D37" s="7">
        <v>8</v>
      </c>
      <c r="E37" s="61">
        <v>500</v>
      </c>
      <c r="F37" s="7" t="s">
        <v>31</v>
      </c>
      <c r="G37" s="7" t="s">
        <v>1346</v>
      </c>
      <c r="H37" s="7"/>
      <c r="I37" s="203" t="s">
        <v>7</v>
      </c>
      <c r="J37" s="219"/>
      <c r="K37" s="6">
        <v>0</v>
      </c>
    </row>
    <row r="38" spans="1:11">
      <c r="A38" s="7" t="s">
        <v>1405</v>
      </c>
      <c r="B38" s="7" t="s">
        <v>1406</v>
      </c>
      <c r="C38" s="7" t="s">
        <v>29</v>
      </c>
      <c r="D38" s="7">
        <v>32</v>
      </c>
      <c r="E38" s="61">
        <v>500</v>
      </c>
      <c r="F38" s="7" t="s">
        <v>31</v>
      </c>
      <c r="G38" s="7" t="s">
        <v>1346</v>
      </c>
      <c r="H38" s="7"/>
      <c r="I38" s="203" t="s">
        <v>7</v>
      </c>
      <c r="J38" s="219"/>
      <c r="K38" s="6">
        <v>0</v>
      </c>
    </row>
    <row r="39" spans="1:11">
      <c r="A39" s="7" t="s">
        <v>1407</v>
      </c>
      <c r="B39" s="7" t="s">
        <v>1408</v>
      </c>
      <c r="C39" s="7" t="s">
        <v>29</v>
      </c>
      <c r="D39" s="7">
        <v>8</v>
      </c>
      <c r="E39" s="61">
        <v>500</v>
      </c>
      <c r="F39" s="7" t="s">
        <v>31</v>
      </c>
      <c r="G39" s="7"/>
      <c r="H39" s="7"/>
      <c r="I39" s="203" t="s">
        <v>1346</v>
      </c>
      <c r="J39" s="219"/>
      <c r="K39" s="6">
        <v>9</v>
      </c>
    </row>
    <row r="40" spans="1:11">
      <c r="A40" s="7" t="s">
        <v>1409</v>
      </c>
      <c r="B40" s="7" t="s">
        <v>1410</v>
      </c>
      <c r="C40" s="7" t="s">
        <v>29</v>
      </c>
      <c r="D40" s="7">
        <v>8</v>
      </c>
      <c r="E40" s="61">
        <v>500</v>
      </c>
      <c r="F40" s="7" t="s">
        <v>31</v>
      </c>
      <c r="G40" s="7"/>
      <c r="H40" s="7"/>
      <c r="I40" s="203" t="s">
        <v>1346</v>
      </c>
      <c r="J40" s="219"/>
      <c r="K40" s="6">
        <v>9</v>
      </c>
    </row>
    <row r="41" spans="1:11">
      <c r="A41" s="57" t="s">
        <v>1411</v>
      </c>
      <c r="B41" s="57" t="s">
        <v>1412</v>
      </c>
      <c r="C41" s="57" t="s">
        <v>29</v>
      </c>
      <c r="D41" s="57">
        <v>8</v>
      </c>
      <c r="E41" s="64">
        <v>500</v>
      </c>
      <c r="F41" s="57" t="s">
        <v>31</v>
      </c>
      <c r="G41" s="57"/>
      <c r="H41" s="57"/>
      <c r="I41" s="204" t="s">
        <v>1346</v>
      </c>
      <c r="J41" s="219"/>
      <c r="K41" s="6">
        <v>9</v>
      </c>
    </row>
    <row r="42" spans="1:11">
      <c r="A42" s="7" t="s">
        <v>1413</v>
      </c>
      <c r="B42" s="7" t="s">
        <v>1414</v>
      </c>
      <c r="C42" s="7" t="s">
        <v>29</v>
      </c>
      <c r="D42" s="7">
        <v>8</v>
      </c>
      <c r="E42" s="61">
        <v>500</v>
      </c>
      <c r="F42" s="7" t="s">
        <v>31</v>
      </c>
      <c r="G42" s="7"/>
      <c r="H42" s="7"/>
      <c r="I42" s="203" t="s">
        <v>1346</v>
      </c>
      <c r="J42" s="219"/>
      <c r="K42" s="38">
        <v>9</v>
      </c>
    </row>
    <row r="43" spans="1:11">
      <c r="A43" s="7" t="s">
        <v>1415</v>
      </c>
      <c r="B43" s="7" t="s">
        <v>1416</v>
      </c>
      <c r="C43" s="7" t="s">
        <v>29</v>
      </c>
      <c r="D43" s="7">
        <v>32</v>
      </c>
      <c r="E43" s="61">
        <v>1000</v>
      </c>
      <c r="F43" s="7" t="s">
        <v>29</v>
      </c>
      <c r="G43" s="7"/>
      <c r="H43" s="7"/>
      <c r="I43" s="203" t="s">
        <v>1346</v>
      </c>
      <c r="J43" s="219"/>
      <c r="K43" s="38">
        <v>9</v>
      </c>
    </row>
    <row r="44" spans="1:11">
      <c r="A44" s="7" t="s">
        <v>1417</v>
      </c>
      <c r="B44" s="7" t="s">
        <v>1418</v>
      </c>
      <c r="C44" s="7" t="s">
        <v>29</v>
      </c>
      <c r="D44" s="7">
        <v>8</v>
      </c>
      <c r="E44" s="61">
        <v>1000</v>
      </c>
      <c r="F44" s="7" t="s">
        <v>31</v>
      </c>
      <c r="G44" s="7" t="s">
        <v>1346</v>
      </c>
      <c r="H44" s="7"/>
      <c r="I44" s="203" t="s">
        <v>7</v>
      </c>
      <c r="J44" s="219"/>
      <c r="K44" s="6">
        <v>1</v>
      </c>
    </row>
    <row r="45" spans="1:11">
      <c r="A45" s="57" t="s">
        <v>1419</v>
      </c>
      <c r="B45" s="57" t="s">
        <v>1420</v>
      </c>
      <c r="C45" s="57" t="s">
        <v>29</v>
      </c>
      <c r="D45" s="57">
        <v>32</v>
      </c>
      <c r="E45" s="64">
        <v>1000</v>
      </c>
      <c r="F45" s="57" t="s">
        <v>29</v>
      </c>
      <c r="G45" s="57" t="s">
        <v>1346</v>
      </c>
      <c r="H45" s="57"/>
      <c r="I45" s="204" t="s">
        <v>7</v>
      </c>
      <c r="J45" s="219"/>
      <c r="K45" s="38">
        <v>1</v>
      </c>
    </row>
    <row r="46" spans="1:11">
      <c r="A46" s="57" t="s">
        <v>1421</v>
      </c>
      <c r="B46" s="57" t="s">
        <v>1422</v>
      </c>
      <c r="C46" s="57" t="s">
        <v>29</v>
      </c>
      <c r="D46" s="57">
        <v>32</v>
      </c>
      <c r="E46" s="64">
        <v>1000</v>
      </c>
      <c r="F46" s="57" t="s">
        <v>31</v>
      </c>
      <c r="G46" s="57"/>
      <c r="H46" s="57"/>
      <c r="I46" s="204" t="s">
        <v>1346</v>
      </c>
      <c r="J46" s="219"/>
      <c r="K46" s="38">
        <v>9</v>
      </c>
    </row>
    <row r="47" spans="1:11">
      <c r="A47" s="57" t="s">
        <v>1423</v>
      </c>
      <c r="B47" s="57" t="s">
        <v>1424</v>
      </c>
      <c r="C47" s="57" t="s">
        <v>29</v>
      </c>
      <c r="D47" s="57">
        <v>64</v>
      </c>
      <c r="E47" s="64">
        <v>1000</v>
      </c>
      <c r="F47" s="57" t="s">
        <v>29</v>
      </c>
      <c r="G47" s="57" t="s">
        <v>1346</v>
      </c>
      <c r="H47" s="57"/>
      <c r="I47" s="204" t="s">
        <v>7</v>
      </c>
      <c r="J47" s="219"/>
      <c r="K47" s="38">
        <v>1</v>
      </c>
    </row>
    <row r="48" spans="1:11">
      <c r="A48" s="57" t="s">
        <v>1425</v>
      </c>
      <c r="B48" s="57" t="s">
        <v>1426</v>
      </c>
      <c r="C48" s="57" t="s">
        <v>29</v>
      </c>
      <c r="D48" s="57">
        <v>64</v>
      </c>
      <c r="E48" s="64">
        <v>1000</v>
      </c>
      <c r="F48" s="57" t="s">
        <v>29</v>
      </c>
      <c r="G48" s="57" t="s">
        <v>1346</v>
      </c>
      <c r="H48" s="57"/>
      <c r="I48" s="204" t="s">
        <v>7</v>
      </c>
      <c r="J48" s="219"/>
      <c r="K48" s="38">
        <v>1</v>
      </c>
    </row>
    <row r="49" spans="1:11">
      <c r="A49" s="57" t="s">
        <v>1427</v>
      </c>
      <c r="B49" s="57" t="s">
        <v>1428</v>
      </c>
      <c r="C49" s="57" t="s">
        <v>29</v>
      </c>
      <c r="D49" s="57">
        <v>64</v>
      </c>
      <c r="E49" s="64">
        <v>1000</v>
      </c>
      <c r="F49" s="57" t="s">
        <v>29</v>
      </c>
      <c r="G49" s="57" t="s">
        <v>1346</v>
      </c>
      <c r="H49" s="57"/>
      <c r="I49" s="204" t="s">
        <v>7</v>
      </c>
      <c r="J49" s="219"/>
      <c r="K49" s="38">
        <v>1</v>
      </c>
    </row>
    <row r="50" spans="1:11">
      <c r="A50" s="57" t="s">
        <v>1429</v>
      </c>
      <c r="B50" s="57" t="s">
        <v>1430</v>
      </c>
      <c r="C50" s="57" t="s">
        <v>29</v>
      </c>
      <c r="D50" s="57">
        <v>64</v>
      </c>
      <c r="E50" s="64">
        <v>1000</v>
      </c>
      <c r="F50" s="57" t="s">
        <v>29</v>
      </c>
      <c r="G50" s="57" t="s">
        <v>1346</v>
      </c>
      <c r="H50" s="57"/>
      <c r="I50" s="204" t="s">
        <v>7</v>
      </c>
      <c r="J50" s="219"/>
      <c r="K50" s="38">
        <v>1</v>
      </c>
    </row>
    <row r="51" spans="1:11">
      <c r="A51" s="57" t="s">
        <v>1431</v>
      </c>
      <c r="B51" s="57" t="s">
        <v>1432</v>
      </c>
      <c r="C51" s="57" t="s">
        <v>29</v>
      </c>
      <c r="D51" s="57">
        <v>64</v>
      </c>
      <c r="E51" s="64">
        <v>1000</v>
      </c>
      <c r="F51" s="57" t="s">
        <v>29</v>
      </c>
      <c r="G51" s="57" t="s">
        <v>1346</v>
      </c>
      <c r="H51" s="57"/>
      <c r="I51" s="204" t="s">
        <v>7</v>
      </c>
      <c r="J51" s="219"/>
      <c r="K51" s="38">
        <v>1</v>
      </c>
    </row>
    <row r="52" spans="1:11">
      <c r="A52" s="57" t="s">
        <v>1433</v>
      </c>
      <c r="B52" s="57" t="s">
        <v>1434</v>
      </c>
      <c r="C52" s="57" t="s">
        <v>29</v>
      </c>
      <c r="D52" s="57">
        <v>64</v>
      </c>
      <c r="E52" s="64">
        <v>1000</v>
      </c>
      <c r="F52" s="57" t="s">
        <v>29</v>
      </c>
      <c r="G52" s="57" t="s">
        <v>1346</v>
      </c>
      <c r="H52" s="57"/>
      <c r="I52" s="204" t="s">
        <v>7</v>
      </c>
      <c r="J52" s="219"/>
      <c r="K52" s="38">
        <v>1</v>
      </c>
    </row>
    <row r="53" spans="1:11">
      <c r="A53" s="7" t="s">
        <v>1435</v>
      </c>
      <c r="B53" s="7" t="s">
        <v>1436</v>
      </c>
      <c r="C53" s="7" t="s">
        <v>29</v>
      </c>
      <c r="D53" s="7">
        <v>64</v>
      </c>
      <c r="E53" s="61">
        <v>1000</v>
      </c>
      <c r="F53" s="7" t="s">
        <v>29</v>
      </c>
      <c r="G53" s="7" t="s">
        <v>1346</v>
      </c>
      <c r="H53" s="7"/>
      <c r="I53" s="203" t="s">
        <v>7</v>
      </c>
      <c r="J53" s="219"/>
      <c r="K53" s="38">
        <v>1</v>
      </c>
    </row>
    <row r="54" spans="1:11">
      <c r="A54" s="7" t="s">
        <v>1437</v>
      </c>
      <c r="B54" s="7" t="s">
        <v>1438</v>
      </c>
      <c r="C54" s="7" t="s">
        <v>29</v>
      </c>
      <c r="D54" s="7">
        <v>64</v>
      </c>
      <c r="E54" s="61">
        <v>1000</v>
      </c>
      <c r="F54" s="7" t="s">
        <v>29</v>
      </c>
      <c r="G54" s="7" t="s">
        <v>1346</v>
      </c>
      <c r="H54" s="7"/>
      <c r="I54" s="203" t="s">
        <v>7</v>
      </c>
      <c r="J54" s="219"/>
      <c r="K54" s="6">
        <v>1</v>
      </c>
    </row>
    <row r="55" spans="1:11">
      <c r="A55" s="7" t="s">
        <v>1439</v>
      </c>
      <c r="B55" s="7" t="s">
        <v>1440</v>
      </c>
      <c r="C55" s="7" t="s">
        <v>29</v>
      </c>
      <c r="D55" s="7">
        <v>32</v>
      </c>
      <c r="E55" s="61">
        <v>1000</v>
      </c>
      <c r="F55" s="7" t="s">
        <v>31</v>
      </c>
      <c r="G55" s="7" t="s">
        <v>1346</v>
      </c>
      <c r="H55" s="7"/>
      <c r="I55" s="203" t="s">
        <v>7</v>
      </c>
      <c r="J55" s="219"/>
      <c r="K55" s="6">
        <v>1</v>
      </c>
    </row>
    <row r="56" spans="1:11">
      <c r="A56" s="57" t="s">
        <v>1441</v>
      </c>
      <c r="B56" s="57" t="s">
        <v>1442</v>
      </c>
      <c r="C56" s="57" t="s">
        <v>29</v>
      </c>
      <c r="D56" s="57">
        <v>64</v>
      </c>
      <c r="E56" s="64">
        <v>1000</v>
      </c>
      <c r="F56" s="57" t="s">
        <v>29</v>
      </c>
      <c r="G56" s="57" t="s">
        <v>1346</v>
      </c>
      <c r="H56" s="57"/>
      <c r="I56" s="204" t="s">
        <v>7</v>
      </c>
      <c r="J56" s="219"/>
      <c r="K56" s="38">
        <v>1</v>
      </c>
    </row>
    <row r="57" spans="1:11">
      <c r="A57" s="57" t="s">
        <v>1443</v>
      </c>
      <c r="B57" s="57" t="s">
        <v>1444</v>
      </c>
      <c r="C57" s="57" t="s">
        <v>29</v>
      </c>
      <c r="D57" s="57">
        <v>64</v>
      </c>
      <c r="E57" s="64">
        <v>1000</v>
      </c>
      <c r="F57" s="57" t="s">
        <v>29</v>
      </c>
      <c r="G57" s="57" t="s">
        <v>1346</v>
      </c>
      <c r="H57" s="57"/>
      <c r="I57" s="204" t="s">
        <v>7</v>
      </c>
      <c r="J57" s="219"/>
      <c r="K57" s="38">
        <v>1</v>
      </c>
    </row>
    <row r="58" spans="1:11">
      <c r="A58" s="57" t="s">
        <v>1445</v>
      </c>
      <c r="B58" s="57" t="s">
        <v>1446</v>
      </c>
      <c r="C58" s="57" t="s">
        <v>29</v>
      </c>
      <c r="D58" s="57">
        <v>64</v>
      </c>
      <c r="E58" s="64">
        <v>1000</v>
      </c>
      <c r="F58" s="57" t="s">
        <v>29</v>
      </c>
      <c r="G58" s="57" t="s">
        <v>1346</v>
      </c>
      <c r="H58" s="57"/>
      <c r="I58" s="204" t="s">
        <v>7</v>
      </c>
      <c r="J58" s="219"/>
      <c r="K58" s="38">
        <v>1</v>
      </c>
    </row>
    <row r="59" spans="1:11">
      <c r="A59" s="57" t="s">
        <v>1447</v>
      </c>
      <c r="B59" s="57" t="s">
        <v>1448</v>
      </c>
      <c r="C59" s="57" t="s">
        <v>29</v>
      </c>
      <c r="D59" s="57">
        <v>64</v>
      </c>
      <c r="E59" s="64">
        <v>1000</v>
      </c>
      <c r="F59" s="57" t="s">
        <v>29</v>
      </c>
      <c r="G59" s="57" t="s">
        <v>1346</v>
      </c>
      <c r="H59" s="57"/>
      <c r="I59" s="204" t="s">
        <v>7</v>
      </c>
      <c r="J59" s="219"/>
      <c r="K59" s="38">
        <v>1</v>
      </c>
    </row>
    <row r="60" spans="1:11">
      <c r="A60" s="7" t="s">
        <v>1449</v>
      </c>
      <c r="B60" s="7" t="s">
        <v>1450</v>
      </c>
      <c r="C60" s="7" t="s">
        <v>29</v>
      </c>
      <c r="D60" s="7">
        <v>8</v>
      </c>
      <c r="E60" s="61">
        <v>1000</v>
      </c>
      <c r="F60" s="7" t="s">
        <v>31</v>
      </c>
      <c r="G60" s="7" t="s">
        <v>1346</v>
      </c>
      <c r="H60" s="7"/>
      <c r="I60" s="203" t="s">
        <v>7</v>
      </c>
      <c r="J60" s="219"/>
      <c r="K60" s="38">
        <v>1</v>
      </c>
    </row>
    <row r="61" spans="1:11">
      <c r="A61" s="7" t="s">
        <v>1451</v>
      </c>
      <c r="B61" s="7" t="s">
        <v>1452</v>
      </c>
      <c r="C61" s="7" t="s">
        <v>29</v>
      </c>
      <c r="D61" s="7">
        <v>32</v>
      </c>
      <c r="E61" s="61">
        <v>1000</v>
      </c>
      <c r="F61" s="7" t="s">
        <v>31</v>
      </c>
      <c r="G61" s="7"/>
      <c r="H61" s="7"/>
      <c r="I61" s="203" t="s">
        <v>1346</v>
      </c>
      <c r="J61" s="219"/>
      <c r="K61" s="6">
        <v>9</v>
      </c>
    </row>
    <row r="62" spans="1:11">
      <c r="A62" s="7" t="s">
        <v>1453</v>
      </c>
      <c r="B62" s="7" t="s">
        <v>1454</v>
      </c>
      <c r="C62" s="7" t="s">
        <v>29</v>
      </c>
      <c r="D62" s="7">
        <v>32</v>
      </c>
      <c r="E62" s="61">
        <v>1000</v>
      </c>
      <c r="F62" s="7" t="s">
        <v>31</v>
      </c>
      <c r="G62" s="7" t="s">
        <v>1346</v>
      </c>
      <c r="H62" s="7"/>
      <c r="I62" s="203" t="s">
        <v>7</v>
      </c>
      <c r="J62" s="219"/>
      <c r="K62" s="38">
        <v>1</v>
      </c>
    </row>
    <row r="63" spans="1:11">
      <c r="A63" s="7" t="s">
        <v>1455</v>
      </c>
      <c r="B63" s="7" t="s">
        <v>1456</v>
      </c>
      <c r="C63" s="7" t="s">
        <v>29</v>
      </c>
      <c r="D63" s="7">
        <v>32</v>
      </c>
      <c r="E63" s="61">
        <v>1000</v>
      </c>
      <c r="F63" s="7" t="s">
        <v>31</v>
      </c>
      <c r="G63" s="7" t="s">
        <v>1346</v>
      </c>
      <c r="H63" s="7"/>
      <c r="I63" s="203" t="s">
        <v>7</v>
      </c>
      <c r="J63" s="219"/>
      <c r="K63" s="38">
        <v>1</v>
      </c>
    </row>
    <row r="64" spans="1:11">
      <c r="A64" s="7" t="s">
        <v>1457</v>
      </c>
      <c r="B64" s="7">
        <v>300</v>
      </c>
      <c r="C64" s="7">
        <v>0</v>
      </c>
      <c r="D64" s="7">
        <v>2</v>
      </c>
      <c r="E64" s="61">
        <v>1000</v>
      </c>
      <c r="F64" s="7">
        <v>0</v>
      </c>
      <c r="G64" s="7"/>
      <c r="H64" s="7"/>
      <c r="I64" s="203"/>
      <c r="J64" s="219" t="s">
        <v>1346</v>
      </c>
      <c r="K64" s="38">
        <v>12</v>
      </c>
    </row>
    <row r="65" spans="1:11">
      <c r="A65" s="7" t="s">
        <v>1458</v>
      </c>
      <c r="B65" s="7" t="s">
        <v>1459</v>
      </c>
      <c r="C65" s="7" t="s">
        <v>29</v>
      </c>
      <c r="D65" s="7">
        <v>8</v>
      </c>
      <c r="E65" s="61">
        <v>1000</v>
      </c>
      <c r="F65" s="7" t="s">
        <v>31</v>
      </c>
      <c r="G65" s="7" t="s">
        <v>1346</v>
      </c>
      <c r="H65" s="7"/>
      <c r="I65" s="203" t="s">
        <v>7</v>
      </c>
      <c r="J65" s="219"/>
      <c r="K65" s="38">
        <v>2</v>
      </c>
    </row>
    <row r="66" spans="1:11">
      <c r="A66" s="7" t="s">
        <v>1460</v>
      </c>
      <c r="B66" s="7" t="s">
        <v>1461</v>
      </c>
      <c r="C66" s="7" t="s">
        <v>29</v>
      </c>
      <c r="D66" s="7">
        <v>8</v>
      </c>
      <c r="E66" s="61">
        <v>1000</v>
      </c>
      <c r="F66" s="7" t="s">
        <v>31</v>
      </c>
      <c r="G66" s="7" t="s">
        <v>1346</v>
      </c>
      <c r="H66" s="7"/>
      <c r="I66" s="203" t="s">
        <v>7</v>
      </c>
      <c r="J66" s="219"/>
      <c r="K66" s="38">
        <v>2</v>
      </c>
    </row>
    <row r="67" spans="1:11">
      <c r="A67" s="7" t="s">
        <v>1462</v>
      </c>
      <c r="B67" s="7" t="s">
        <v>1463</v>
      </c>
      <c r="C67" s="7" t="s">
        <v>29</v>
      </c>
      <c r="D67" s="7">
        <v>8</v>
      </c>
      <c r="E67" s="61">
        <v>1000</v>
      </c>
      <c r="F67" s="7" t="s">
        <v>31</v>
      </c>
      <c r="G67" s="7"/>
      <c r="H67" s="7"/>
      <c r="I67" s="203" t="s">
        <v>1346</v>
      </c>
      <c r="J67" s="219"/>
      <c r="K67" s="6">
        <v>10</v>
      </c>
    </row>
    <row r="68" spans="1:11">
      <c r="A68" s="7" t="s">
        <v>1464</v>
      </c>
      <c r="B68" s="7" t="s">
        <v>1465</v>
      </c>
      <c r="C68" s="7" t="s">
        <v>29</v>
      </c>
      <c r="D68" s="7">
        <v>8</v>
      </c>
      <c r="E68" s="61" t="s">
        <v>30</v>
      </c>
      <c r="F68" s="7" t="s">
        <v>31</v>
      </c>
      <c r="G68" s="7" t="s">
        <v>1346</v>
      </c>
      <c r="H68" s="7"/>
      <c r="I68" s="203" t="s">
        <v>7</v>
      </c>
      <c r="J68" s="219"/>
      <c r="K68" s="38">
        <v>2</v>
      </c>
    </row>
    <row r="69" spans="1:11">
      <c r="A69" s="7" t="s">
        <v>1466</v>
      </c>
      <c r="B69" s="7" t="s">
        <v>1467</v>
      </c>
      <c r="C69" s="7" t="s">
        <v>29</v>
      </c>
      <c r="D69" s="7">
        <v>8</v>
      </c>
      <c r="E69" s="61" t="s">
        <v>30</v>
      </c>
      <c r="F69" s="7" t="s">
        <v>31</v>
      </c>
      <c r="G69" s="7" t="s">
        <v>1346</v>
      </c>
      <c r="H69" s="7"/>
      <c r="I69" s="203" t="s">
        <v>7</v>
      </c>
      <c r="J69" s="219"/>
      <c r="K69" s="38">
        <v>2</v>
      </c>
    </row>
    <row r="70" spans="1:11">
      <c r="A70" s="7" t="s">
        <v>1468</v>
      </c>
      <c r="B70" s="7" t="s">
        <v>1469</v>
      </c>
      <c r="C70" s="7" t="s">
        <v>29</v>
      </c>
      <c r="D70" s="7">
        <v>8</v>
      </c>
      <c r="E70" s="61">
        <v>3000</v>
      </c>
      <c r="F70" s="7" t="s">
        <v>31</v>
      </c>
      <c r="G70" s="7" t="s">
        <v>1346</v>
      </c>
      <c r="H70" s="7"/>
      <c r="I70" s="203" t="s">
        <v>7</v>
      </c>
      <c r="J70" s="219"/>
      <c r="K70" s="38">
        <v>2</v>
      </c>
    </row>
    <row r="71" spans="1:11">
      <c r="A71" s="7" t="s">
        <v>1470</v>
      </c>
      <c r="B71" s="7" t="s">
        <v>1471</v>
      </c>
      <c r="C71" s="7" t="s">
        <v>29</v>
      </c>
      <c r="D71" s="7">
        <v>8</v>
      </c>
      <c r="E71" s="61">
        <v>1000</v>
      </c>
      <c r="F71" s="7" t="s">
        <v>31</v>
      </c>
      <c r="G71" s="7"/>
      <c r="H71" s="7"/>
      <c r="I71" s="203" t="s">
        <v>1346</v>
      </c>
      <c r="J71" s="219"/>
      <c r="K71" s="6">
        <v>10</v>
      </c>
    </row>
    <row r="72" spans="1:11">
      <c r="A72" s="7" t="s">
        <v>1472</v>
      </c>
      <c r="B72" s="7" t="s">
        <v>1473</v>
      </c>
      <c r="C72" s="7" t="s">
        <v>29</v>
      </c>
      <c r="D72" s="7">
        <v>32</v>
      </c>
      <c r="E72" s="61">
        <v>1000</v>
      </c>
      <c r="F72" s="7" t="s">
        <v>31</v>
      </c>
      <c r="G72" s="7"/>
      <c r="H72" s="7"/>
      <c r="I72" s="203" t="s">
        <v>1346</v>
      </c>
      <c r="J72" s="219"/>
      <c r="K72" s="6">
        <v>10</v>
      </c>
    </row>
    <row r="73" spans="1:11">
      <c r="A73" s="57" t="s">
        <v>1474</v>
      </c>
      <c r="B73" s="57" t="s">
        <v>1475</v>
      </c>
      <c r="C73" s="57" t="s">
        <v>29</v>
      </c>
      <c r="D73" s="57">
        <v>32</v>
      </c>
      <c r="E73" s="64">
        <v>1000</v>
      </c>
      <c r="F73" s="57" t="s">
        <v>29</v>
      </c>
      <c r="G73" s="57" t="s">
        <v>1346</v>
      </c>
      <c r="H73" s="57"/>
      <c r="I73" s="204" t="s">
        <v>7</v>
      </c>
      <c r="J73" s="219"/>
      <c r="K73" s="38">
        <v>2</v>
      </c>
    </row>
    <row r="74" spans="1:11">
      <c r="A74" s="7" t="s">
        <v>1476</v>
      </c>
      <c r="B74" s="7" t="s">
        <v>1477</v>
      </c>
      <c r="C74" s="7" t="s">
        <v>29</v>
      </c>
      <c r="D74" s="7">
        <v>32</v>
      </c>
      <c r="E74" s="61">
        <v>1000</v>
      </c>
      <c r="F74" s="7" t="s">
        <v>31</v>
      </c>
      <c r="G74" s="7" t="s">
        <v>1346</v>
      </c>
      <c r="H74" s="7"/>
      <c r="I74" s="203" t="s">
        <v>7</v>
      </c>
      <c r="J74" s="219"/>
      <c r="K74" s="38">
        <v>2</v>
      </c>
    </row>
    <row r="75" spans="1:11">
      <c r="A75" s="7" t="s">
        <v>1478</v>
      </c>
      <c r="B75" s="7" t="s">
        <v>1479</v>
      </c>
      <c r="C75" s="7" t="s">
        <v>29</v>
      </c>
      <c r="D75" s="7">
        <v>32</v>
      </c>
      <c r="E75" s="61">
        <v>1000</v>
      </c>
      <c r="F75" s="7" t="s">
        <v>31</v>
      </c>
      <c r="G75" s="7" t="s">
        <v>1346</v>
      </c>
      <c r="H75" s="7"/>
      <c r="I75" s="203" t="s">
        <v>7</v>
      </c>
      <c r="J75" s="219"/>
      <c r="K75" s="38">
        <v>2</v>
      </c>
    </row>
    <row r="76" spans="1:11">
      <c r="A76" s="7" t="s">
        <v>1480</v>
      </c>
      <c r="B76" s="7" t="s">
        <v>1481</v>
      </c>
      <c r="C76" s="7" t="s">
        <v>29</v>
      </c>
      <c r="D76" s="7">
        <v>8</v>
      </c>
      <c r="E76" s="61">
        <v>1000</v>
      </c>
      <c r="F76" s="7" t="s">
        <v>31</v>
      </c>
      <c r="G76" s="7" t="s">
        <v>1346</v>
      </c>
      <c r="H76" s="7"/>
      <c r="I76" s="203" t="s">
        <v>7</v>
      </c>
      <c r="J76" s="219"/>
      <c r="K76" s="38">
        <v>2</v>
      </c>
    </row>
    <row r="77" spans="1:11">
      <c r="A77" s="7" t="s">
        <v>1482</v>
      </c>
      <c r="B77" s="7" t="s">
        <v>1483</v>
      </c>
      <c r="C77" s="7" t="s">
        <v>29</v>
      </c>
      <c r="D77" s="7">
        <v>8</v>
      </c>
      <c r="E77" s="61">
        <v>1000</v>
      </c>
      <c r="F77" s="7" t="s">
        <v>31</v>
      </c>
      <c r="G77" s="7" t="s">
        <v>1346</v>
      </c>
      <c r="H77" s="7"/>
      <c r="I77" s="203" t="s">
        <v>7</v>
      </c>
      <c r="J77" s="219"/>
      <c r="K77" s="38">
        <v>2</v>
      </c>
    </row>
    <row r="78" spans="1:11">
      <c r="A78" s="7" t="s">
        <v>1484</v>
      </c>
      <c r="B78" s="7" t="s">
        <v>1485</v>
      </c>
      <c r="C78" s="7" t="s">
        <v>29</v>
      </c>
      <c r="D78" s="7">
        <v>8</v>
      </c>
      <c r="E78" s="61">
        <v>1000</v>
      </c>
      <c r="F78" s="7" t="s">
        <v>31</v>
      </c>
      <c r="G78" s="7" t="s">
        <v>1346</v>
      </c>
      <c r="H78" s="7"/>
      <c r="I78" s="203" t="s">
        <v>7</v>
      </c>
      <c r="J78" s="219"/>
      <c r="K78" s="6">
        <v>2</v>
      </c>
    </row>
    <row r="79" spans="1:11">
      <c r="A79" s="7" t="s">
        <v>1486</v>
      </c>
      <c r="B79" s="7" t="s">
        <v>1487</v>
      </c>
      <c r="C79" s="7" t="s">
        <v>29</v>
      </c>
      <c r="D79" s="7">
        <v>32</v>
      </c>
      <c r="E79" s="61">
        <v>1000</v>
      </c>
      <c r="F79" s="7" t="s">
        <v>31</v>
      </c>
      <c r="G79" s="7"/>
      <c r="H79" s="7"/>
      <c r="I79" s="203" t="s">
        <v>1346</v>
      </c>
      <c r="J79" s="219"/>
      <c r="K79" s="38">
        <v>10</v>
      </c>
    </row>
    <row r="80" spans="1:11">
      <c r="A80" s="7" t="s">
        <v>1488</v>
      </c>
      <c r="B80" s="7" t="s">
        <v>1489</v>
      </c>
      <c r="C80" s="7" t="s">
        <v>29</v>
      </c>
      <c r="D80" s="7">
        <v>32</v>
      </c>
      <c r="E80" s="61">
        <v>1000</v>
      </c>
      <c r="F80" s="7" t="s">
        <v>31</v>
      </c>
      <c r="G80" s="7" t="s">
        <v>1346</v>
      </c>
      <c r="H80" s="7"/>
      <c r="I80" s="203" t="s">
        <v>7</v>
      </c>
      <c r="J80" s="219"/>
      <c r="K80" s="6">
        <v>2</v>
      </c>
    </row>
    <row r="81" spans="1:11">
      <c r="A81" s="7" t="s">
        <v>1490</v>
      </c>
      <c r="B81" s="7" t="s">
        <v>1491</v>
      </c>
      <c r="C81" s="7" t="s">
        <v>29</v>
      </c>
      <c r="D81" s="7">
        <v>8</v>
      </c>
      <c r="E81" s="61">
        <v>20000</v>
      </c>
      <c r="F81" s="7" t="s">
        <v>31</v>
      </c>
      <c r="G81" s="7" t="s">
        <v>1346</v>
      </c>
      <c r="H81" s="7"/>
      <c r="I81" s="203" t="s">
        <v>7</v>
      </c>
      <c r="J81" s="219"/>
      <c r="K81" s="38">
        <v>2</v>
      </c>
    </row>
    <row r="82" spans="1:11">
      <c r="A82" s="7" t="s">
        <v>1492</v>
      </c>
      <c r="B82" s="7" t="s">
        <v>1493</v>
      </c>
      <c r="C82" s="7" t="s">
        <v>29</v>
      </c>
      <c r="D82" s="7">
        <v>8</v>
      </c>
      <c r="E82" s="61">
        <v>1000</v>
      </c>
      <c r="F82" s="7" t="s">
        <v>31</v>
      </c>
      <c r="G82" s="7" t="s">
        <v>1346</v>
      </c>
      <c r="H82" s="7"/>
      <c r="I82" s="203" t="s">
        <v>7</v>
      </c>
      <c r="J82" s="219"/>
      <c r="K82" s="38">
        <v>2</v>
      </c>
    </row>
    <row r="83" spans="1:11">
      <c r="A83" s="7" t="s">
        <v>1494</v>
      </c>
      <c r="B83" s="7" t="s">
        <v>1495</v>
      </c>
      <c r="C83" s="62" t="s">
        <v>29</v>
      </c>
      <c r="D83" s="7">
        <v>32</v>
      </c>
      <c r="E83" s="61">
        <v>3000</v>
      </c>
      <c r="F83" s="7" t="s">
        <v>31</v>
      </c>
      <c r="G83" s="7" t="s">
        <v>1346</v>
      </c>
      <c r="H83" s="7"/>
      <c r="I83" s="203" t="s">
        <v>7</v>
      </c>
      <c r="J83" s="219"/>
      <c r="K83" s="38">
        <v>3</v>
      </c>
    </row>
    <row r="84" spans="1:11">
      <c r="A84" s="7" t="s">
        <v>1496</v>
      </c>
      <c r="B84" s="7" t="s">
        <v>1497</v>
      </c>
      <c r="C84" s="7" t="s">
        <v>29</v>
      </c>
      <c r="D84" s="7">
        <v>32</v>
      </c>
      <c r="E84" s="61">
        <v>3000</v>
      </c>
      <c r="F84" s="7" t="s">
        <v>31</v>
      </c>
      <c r="G84" s="7"/>
      <c r="H84" s="7"/>
      <c r="I84" s="203" t="s">
        <v>1346</v>
      </c>
      <c r="J84" s="219"/>
      <c r="K84" s="38">
        <v>10</v>
      </c>
    </row>
    <row r="85" spans="1:11">
      <c r="A85" s="7" t="s">
        <v>1498</v>
      </c>
      <c r="B85" s="7" t="s">
        <v>1499</v>
      </c>
      <c r="C85" s="7" t="s">
        <v>29</v>
      </c>
      <c r="D85" s="7">
        <v>8</v>
      </c>
      <c r="E85" s="61">
        <v>1000</v>
      </c>
      <c r="F85" s="7" t="s">
        <v>31</v>
      </c>
      <c r="G85" s="7" t="s">
        <v>1346</v>
      </c>
      <c r="H85" s="7"/>
      <c r="I85" s="203" t="s">
        <v>7</v>
      </c>
      <c r="J85" s="219"/>
      <c r="K85" s="6">
        <v>3</v>
      </c>
    </row>
    <row r="86" spans="1:11">
      <c r="A86" s="7" t="s">
        <v>1500</v>
      </c>
      <c r="B86" s="7" t="s">
        <v>1501</v>
      </c>
      <c r="C86" s="62" t="s">
        <v>29</v>
      </c>
      <c r="D86" s="7">
        <v>8</v>
      </c>
      <c r="E86" s="61">
        <v>1000</v>
      </c>
      <c r="F86" s="7" t="s">
        <v>31</v>
      </c>
      <c r="G86" s="7" t="s">
        <v>1346</v>
      </c>
      <c r="H86" s="7"/>
      <c r="I86" s="203" t="s">
        <v>7</v>
      </c>
      <c r="J86" s="219"/>
      <c r="K86" s="38">
        <v>3</v>
      </c>
    </row>
    <row r="87" spans="1:11">
      <c r="A87" s="7" t="s">
        <v>1502</v>
      </c>
      <c r="B87" s="7" t="s">
        <v>1503</v>
      </c>
      <c r="C87" s="62" t="s">
        <v>29</v>
      </c>
      <c r="D87" s="7">
        <v>8</v>
      </c>
      <c r="E87" s="61">
        <v>1000</v>
      </c>
      <c r="F87" s="7" t="s">
        <v>31</v>
      </c>
      <c r="G87" s="7"/>
      <c r="H87" s="7"/>
      <c r="I87" s="203" t="s">
        <v>1346</v>
      </c>
      <c r="J87" s="219"/>
      <c r="K87" s="38">
        <v>10</v>
      </c>
    </row>
    <row r="88" spans="1:11">
      <c r="A88" s="7" t="s">
        <v>1504</v>
      </c>
      <c r="B88" s="7" t="s">
        <v>1505</v>
      </c>
      <c r="C88" s="7" t="s">
        <v>29</v>
      </c>
      <c r="D88" s="7">
        <v>8</v>
      </c>
      <c r="E88" s="61">
        <v>1000</v>
      </c>
      <c r="F88" s="7" t="s">
        <v>31</v>
      </c>
      <c r="G88" s="7" t="s">
        <v>1346</v>
      </c>
      <c r="H88" s="7"/>
      <c r="I88" s="203" t="s">
        <v>7</v>
      </c>
      <c r="J88" s="219"/>
      <c r="K88" s="6">
        <v>3</v>
      </c>
    </row>
    <row r="89" spans="1:11">
      <c r="A89" s="7" t="s">
        <v>1506</v>
      </c>
      <c r="B89" s="7" t="s">
        <v>1507</v>
      </c>
      <c r="C89" s="62" t="s">
        <v>29</v>
      </c>
      <c r="D89" s="7">
        <v>8</v>
      </c>
      <c r="E89" s="61">
        <v>1000</v>
      </c>
      <c r="F89" s="7" t="s">
        <v>31</v>
      </c>
      <c r="G89" s="7" t="s">
        <v>1346</v>
      </c>
      <c r="H89" s="7"/>
      <c r="I89" s="203" t="s">
        <v>7</v>
      </c>
      <c r="J89" s="219"/>
      <c r="K89" s="38">
        <v>3</v>
      </c>
    </row>
    <row r="90" spans="1:11">
      <c r="A90" s="7" t="s">
        <v>1508</v>
      </c>
      <c r="B90" s="7" t="s">
        <v>1509</v>
      </c>
      <c r="C90" s="7" t="s">
        <v>29</v>
      </c>
      <c r="D90" s="7">
        <v>8</v>
      </c>
      <c r="E90" s="61">
        <v>3000</v>
      </c>
      <c r="F90" s="7" t="s">
        <v>31</v>
      </c>
      <c r="G90" s="7"/>
      <c r="H90" s="7"/>
      <c r="I90" s="203" t="s">
        <v>1346</v>
      </c>
      <c r="J90" s="219"/>
      <c r="K90" s="38">
        <v>10</v>
      </c>
    </row>
    <row r="91" spans="1:11">
      <c r="A91" s="7" t="s">
        <v>1510</v>
      </c>
      <c r="B91" s="7" t="s">
        <v>1511</v>
      </c>
      <c r="C91" s="7" t="s">
        <v>29</v>
      </c>
      <c r="D91" s="7">
        <v>8</v>
      </c>
      <c r="E91" s="61">
        <v>3000</v>
      </c>
      <c r="F91" s="7" t="s">
        <v>31</v>
      </c>
      <c r="G91" s="7"/>
      <c r="H91" s="7"/>
      <c r="I91" s="203" t="s">
        <v>1346</v>
      </c>
      <c r="J91" s="219"/>
      <c r="K91" s="6">
        <v>10</v>
      </c>
    </row>
    <row r="92" spans="1:11">
      <c r="A92" s="7" t="s">
        <v>1512</v>
      </c>
      <c r="B92" s="7" t="s">
        <v>1513</v>
      </c>
      <c r="C92" s="7" t="s">
        <v>29</v>
      </c>
      <c r="D92" s="7">
        <v>8</v>
      </c>
      <c r="E92" s="61">
        <v>3000</v>
      </c>
      <c r="F92" s="7" t="s">
        <v>31</v>
      </c>
      <c r="G92" s="7"/>
      <c r="H92" s="7"/>
      <c r="I92" s="203" t="s">
        <v>1346</v>
      </c>
      <c r="J92" s="219"/>
      <c r="K92" s="6">
        <v>10</v>
      </c>
    </row>
    <row r="93" spans="1:11">
      <c r="A93" s="7" t="s">
        <v>1514</v>
      </c>
      <c r="B93" s="7" t="s">
        <v>1515</v>
      </c>
      <c r="C93" s="7" t="s">
        <v>29</v>
      </c>
      <c r="D93" s="7">
        <v>8</v>
      </c>
      <c r="E93" s="61">
        <v>1000</v>
      </c>
      <c r="F93" s="7" t="s">
        <v>31</v>
      </c>
      <c r="G93" s="7" t="s">
        <v>1346</v>
      </c>
      <c r="H93" s="7"/>
      <c r="I93" s="203" t="s">
        <v>7</v>
      </c>
      <c r="J93" s="219"/>
      <c r="K93" s="6">
        <v>3</v>
      </c>
    </row>
    <row r="94" spans="1:11">
      <c r="A94" s="7" t="s">
        <v>1516</v>
      </c>
      <c r="B94" s="7" t="s">
        <v>1517</v>
      </c>
      <c r="C94" s="7" t="s">
        <v>29</v>
      </c>
      <c r="D94" s="7">
        <v>32</v>
      </c>
      <c r="E94" s="61">
        <v>1000</v>
      </c>
      <c r="F94" s="7" t="s">
        <v>31</v>
      </c>
      <c r="G94" s="7"/>
      <c r="H94" s="7"/>
      <c r="I94" s="203" t="s">
        <v>1346</v>
      </c>
      <c r="J94" s="219"/>
      <c r="K94" s="38">
        <v>10</v>
      </c>
    </row>
    <row r="95" spans="1:11">
      <c r="A95" s="7" t="s">
        <v>1518</v>
      </c>
      <c r="B95" s="7" t="s">
        <v>1519</v>
      </c>
      <c r="C95" s="7" t="s">
        <v>29</v>
      </c>
      <c r="D95" s="7">
        <v>8</v>
      </c>
      <c r="E95" s="61">
        <v>1000</v>
      </c>
      <c r="F95" s="7" t="s">
        <v>31</v>
      </c>
      <c r="G95" s="7"/>
      <c r="H95" s="7"/>
      <c r="I95" s="203" t="s">
        <v>1346</v>
      </c>
      <c r="J95" s="219"/>
      <c r="K95" s="6">
        <v>10</v>
      </c>
    </row>
    <row r="96" spans="1:11">
      <c r="A96" s="7" t="s">
        <v>1520</v>
      </c>
      <c r="B96" s="7" t="s">
        <v>1521</v>
      </c>
      <c r="C96" s="7" t="s">
        <v>29</v>
      </c>
      <c r="D96" s="7">
        <v>8</v>
      </c>
      <c r="E96" s="61">
        <v>1000</v>
      </c>
      <c r="F96" s="7" t="s">
        <v>31</v>
      </c>
      <c r="G96" s="7" t="s">
        <v>1346</v>
      </c>
      <c r="H96" s="7"/>
      <c r="I96" s="203" t="s">
        <v>7</v>
      </c>
      <c r="J96" s="219"/>
      <c r="K96" s="6">
        <v>3</v>
      </c>
    </row>
    <row r="97" spans="1:11">
      <c r="A97" s="7" t="s">
        <v>1522</v>
      </c>
      <c r="B97" s="7" t="s">
        <v>1523</v>
      </c>
      <c r="C97" s="7" t="s">
        <v>29</v>
      </c>
      <c r="D97" s="7">
        <v>8</v>
      </c>
      <c r="E97" s="61">
        <v>1000</v>
      </c>
      <c r="F97" s="7" t="s">
        <v>31</v>
      </c>
      <c r="G97" s="7"/>
      <c r="H97" s="7"/>
      <c r="I97" s="203" t="s">
        <v>1346</v>
      </c>
      <c r="J97" s="219"/>
      <c r="K97" s="38">
        <v>10</v>
      </c>
    </row>
    <row r="98" spans="1:11">
      <c r="A98" s="7" t="s">
        <v>1524</v>
      </c>
      <c r="B98" s="7" t="s">
        <v>1525</v>
      </c>
      <c r="C98" s="7" t="s">
        <v>29</v>
      </c>
      <c r="D98" s="7">
        <v>32</v>
      </c>
      <c r="E98" s="61">
        <v>1000</v>
      </c>
      <c r="F98" s="7" t="s">
        <v>31</v>
      </c>
      <c r="G98" s="7" t="s">
        <v>1346</v>
      </c>
      <c r="H98" s="7"/>
      <c r="I98" s="203" t="s">
        <v>7</v>
      </c>
      <c r="J98" s="219"/>
      <c r="K98" s="6">
        <v>3</v>
      </c>
    </row>
    <row r="99" spans="1:11">
      <c r="A99" s="7" t="s">
        <v>1526</v>
      </c>
      <c r="B99" s="7" t="s">
        <v>1527</v>
      </c>
      <c r="C99" s="7" t="s">
        <v>29</v>
      </c>
      <c r="D99" s="7">
        <v>8</v>
      </c>
      <c r="E99" s="61">
        <v>1000</v>
      </c>
      <c r="F99" s="7" t="s">
        <v>31</v>
      </c>
      <c r="G99" s="7" t="s">
        <v>1346</v>
      </c>
      <c r="H99" s="7"/>
      <c r="I99" s="203" t="s">
        <v>7</v>
      </c>
      <c r="J99" s="219"/>
      <c r="K99" s="38">
        <v>3</v>
      </c>
    </row>
    <row r="100" spans="1:11">
      <c r="A100" s="7" t="s">
        <v>1528</v>
      </c>
      <c r="B100" s="7" t="s">
        <v>1529</v>
      </c>
      <c r="C100" s="7" t="s">
        <v>29</v>
      </c>
      <c r="D100" s="7">
        <v>32</v>
      </c>
      <c r="E100" s="61">
        <v>3000</v>
      </c>
      <c r="F100" s="7" t="s">
        <v>31</v>
      </c>
      <c r="G100" s="7" t="s">
        <v>1346</v>
      </c>
      <c r="H100" s="7"/>
      <c r="I100" s="203" t="s">
        <v>7</v>
      </c>
      <c r="J100" s="219"/>
      <c r="K100" s="38">
        <v>3</v>
      </c>
    </row>
    <row r="101" spans="1:11">
      <c r="A101" s="7" t="s">
        <v>1530</v>
      </c>
      <c r="B101" s="7" t="s">
        <v>1531</v>
      </c>
      <c r="C101" s="7" t="s">
        <v>29</v>
      </c>
      <c r="D101" s="7">
        <v>8</v>
      </c>
      <c r="E101" s="61">
        <v>1000</v>
      </c>
      <c r="F101" s="7" t="s">
        <v>31</v>
      </c>
      <c r="G101" s="7" t="s">
        <v>1346</v>
      </c>
      <c r="H101" s="7"/>
      <c r="I101" s="203" t="s">
        <v>7</v>
      </c>
      <c r="J101" s="219"/>
      <c r="K101" s="38">
        <v>3</v>
      </c>
    </row>
    <row r="102" spans="1:11">
      <c r="A102" s="7" t="s">
        <v>1532</v>
      </c>
      <c r="B102" s="7" t="s">
        <v>1533</v>
      </c>
      <c r="C102" s="7" t="s">
        <v>29</v>
      </c>
      <c r="D102" s="7">
        <v>8</v>
      </c>
      <c r="E102" s="61">
        <v>1000</v>
      </c>
      <c r="F102" s="7" t="s">
        <v>31</v>
      </c>
      <c r="G102" s="7" t="s">
        <v>1346</v>
      </c>
      <c r="H102" s="7"/>
      <c r="I102" s="203" t="s">
        <v>7</v>
      </c>
      <c r="J102" s="219"/>
      <c r="K102" s="38">
        <v>3</v>
      </c>
    </row>
    <row r="103" spans="1:11">
      <c r="A103" s="7" t="s">
        <v>1534</v>
      </c>
      <c r="B103" s="7" t="s">
        <v>1535</v>
      </c>
      <c r="C103" s="7" t="s">
        <v>29</v>
      </c>
      <c r="D103" s="7">
        <v>32</v>
      </c>
      <c r="E103" s="61">
        <v>1000</v>
      </c>
      <c r="F103" s="7" t="s">
        <v>29</v>
      </c>
      <c r="G103" s="7" t="s">
        <v>1346</v>
      </c>
      <c r="H103" s="7"/>
      <c r="I103" s="203" t="s">
        <v>7</v>
      </c>
      <c r="J103" s="219"/>
      <c r="K103" s="38">
        <v>3</v>
      </c>
    </row>
    <row r="104" spans="1:11">
      <c r="A104" s="7" t="s">
        <v>1536</v>
      </c>
      <c r="B104" s="7" t="s">
        <v>1537</v>
      </c>
      <c r="C104" s="7" t="s">
        <v>29</v>
      </c>
      <c r="D104" s="7">
        <v>64</v>
      </c>
      <c r="E104" s="61" t="s">
        <v>30</v>
      </c>
      <c r="F104" s="7" t="s">
        <v>31</v>
      </c>
      <c r="G104" s="7"/>
      <c r="H104" s="7"/>
      <c r="I104" s="203" t="s">
        <v>1346</v>
      </c>
      <c r="J104" s="219"/>
      <c r="K104" s="38">
        <v>10</v>
      </c>
    </row>
    <row r="105" spans="1:11">
      <c r="A105" s="7" t="s">
        <v>1538</v>
      </c>
      <c r="B105" s="7" t="s">
        <v>1539</v>
      </c>
      <c r="C105" s="7" t="s">
        <v>29</v>
      </c>
      <c r="D105" s="7">
        <v>8</v>
      </c>
      <c r="E105" s="61">
        <v>1000</v>
      </c>
      <c r="F105" s="7" t="s">
        <v>31</v>
      </c>
      <c r="G105" s="7" t="s">
        <v>1346</v>
      </c>
      <c r="H105" s="7"/>
      <c r="I105" s="203" t="s">
        <v>7</v>
      </c>
      <c r="J105" s="219"/>
      <c r="K105" s="6">
        <v>3</v>
      </c>
    </row>
    <row r="106" spans="1:11">
      <c r="A106" s="208" t="s">
        <v>1540</v>
      </c>
      <c r="B106" s="208" t="s">
        <v>1541</v>
      </c>
      <c r="C106" s="208" t="s">
        <v>29</v>
      </c>
      <c r="D106" s="208">
        <v>8</v>
      </c>
      <c r="E106" s="209">
        <v>1000</v>
      </c>
      <c r="F106" s="208" t="s">
        <v>31</v>
      </c>
      <c r="G106" s="208"/>
      <c r="H106" s="208"/>
      <c r="I106" s="210" t="s">
        <v>1346</v>
      </c>
      <c r="J106" s="220"/>
      <c r="K106" s="212">
        <v>10</v>
      </c>
    </row>
    <row r="107" spans="1:11">
      <c r="A107" s="7" t="s">
        <v>1542</v>
      </c>
      <c r="B107" s="7" t="s">
        <v>1543</v>
      </c>
      <c r="C107" s="7" t="s">
        <v>29</v>
      </c>
      <c r="D107" s="7">
        <v>8</v>
      </c>
      <c r="E107" s="61">
        <v>1000</v>
      </c>
      <c r="F107" s="7" t="s">
        <v>31</v>
      </c>
      <c r="G107" s="7" t="s">
        <v>1346</v>
      </c>
      <c r="H107" s="7"/>
      <c r="I107" s="203" t="s">
        <v>7</v>
      </c>
      <c r="J107" s="219"/>
      <c r="K107" s="6">
        <v>4</v>
      </c>
    </row>
    <row r="108" spans="1:11">
      <c r="A108" s="7" t="s">
        <v>1544</v>
      </c>
      <c r="B108" s="7" t="s">
        <v>1545</v>
      </c>
      <c r="C108" s="7" t="s">
        <v>29</v>
      </c>
      <c r="D108" s="7">
        <v>8</v>
      </c>
      <c r="E108" s="61">
        <v>1000</v>
      </c>
      <c r="F108" s="7" t="s">
        <v>31</v>
      </c>
      <c r="G108" s="7" t="s">
        <v>1346</v>
      </c>
      <c r="H108" s="7"/>
      <c r="I108" s="203" t="s">
        <v>7</v>
      </c>
      <c r="J108" s="219"/>
      <c r="K108" s="38">
        <v>4</v>
      </c>
    </row>
    <row r="109" spans="1:11">
      <c r="A109" s="7" t="s">
        <v>1546</v>
      </c>
      <c r="B109" s="7" t="s">
        <v>1547</v>
      </c>
      <c r="C109" s="7" t="s">
        <v>29</v>
      </c>
      <c r="D109" s="7">
        <v>8</v>
      </c>
      <c r="E109" s="61">
        <v>1000</v>
      </c>
      <c r="F109" s="7" t="s">
        <v>31</v>
      </c>
      <c r="G109" s="7"/>
      <c r="H109" s="7"/>
      <c r="I109" s="203" t="s">
        <v>1346</v>
      </c>
      <c r="J109" s="219"/>
      <c r="K109" s="6">
        <v>11</v>
      </c>
    </row>
    <row r="110" spans="1:11">
      <c r="A110" s="7" t="s">
        <v>1548</v>
      </c>
      <c r="B110" s="7" t="s">
        <v>1549</v>
      </c>
      <c r="C110" s="7" t="s">
        <v>29</v>
      </c>
      <c r="D110" s="7">
        <v>8</v>
      </c>
      <c r="E110" s="61">
        <v>1000</v>
      </c>
      <c r="F110" s="7" t="s">
        <v>31</v>
      </c>
      <c r="G110" s="7" t="s">
        <v>1346</v>
      </c>
      <c r="H110" s="7"/>
      <c r="I110" s="203" t="s">
        <v>7</v>
      </c>
      <c r="J110" s="219"/>
      <c r="K110" s="6">
        <v>4</v>
      </c>
    </row>
    <row r="111" spans="1:11">
      <c r="A111" s="7" t="s">
        <v>1550</v>
      </c>
      <c r="B111" s="7" t="s">
        <v>1551</v>
      </c>
      <c r="C111" s="7" t="s">
        <v>29</v>
      </c>
      <c r="D111" s="7">
        <v>8</v>
      </c>
      <c r="E111" s="61">
        <v>1000</v>
      </c>
      <c r="F111" s="7" t="s">
        <v>31</v>
      </c>
      <c r="G111" s="7" t="s">
        <v>1346</v>
      </c>
      <c r="H111" s="7"/>
      <c r="I111" s="203" t="s">
        <v>7</v>
      </c>
      <c r="J111" s="219"/>
      <c r="K111" s="38">
        <v>4</v>
      </c>
    </row>
    <row r="112" spans="1:11">
      <c r="A112" s="7" t="s">
        <v>1552</v>
      </c>
      <c r="B112" s="7" t="s">
        <v>1553</v>
      </c>
      <c r="C112" s="7" t="s">
        <v>29</v>
      </c>
      <c r="D112" s="7">
        <v>8</v>
      </c>
      <c r="E112" s="61">
        <v>1000</v>
      </c>
      <c r="F112" s="7" t="s">
        <v>31</v>
      </c>
      <c r="G112" s="7" t="s">
        <v>1346</v>
      </c>
      <c r="H112" s="7"/>
      <c r="I112" s="203" t="s">
        <v>7</v>
      </c>
      <c r="J112" s="219"/>
      <c r="K112" s="38">
        <v>4</v>
      </c>
    </row>
    <row r="113" spans="1:11">
      <c r="A113" s="7" t="s">
        <v>1554</v>
      </c>
      <c r="B113" s="7" t="s">
        <v>1555</v>
      </c>
      <c r="C113" s="7" t="s">
        <v>29</v>
      </c>
      <c r="D113" s="7">
        <v>8</v>
      </c>
      <c r="E113" s="61">
        <v>1000</v>
      </c>
      <c r="F113" s="7" t="s">
        <v>31</v>
      </c>
      <c r="G113" s="7" t="s">
        <v>1346</v>
      </c>
      <c r="H113" s="7"/>
      <c r="I113" s="203" t="s">
        <v>7</v>
      </c>
      <c r="J113" s="219"/>
      <c r="K113" s="6">
        <v>4</v>
      </c>
    </row>
    <row r="114" spans="1:11">
      <c r="A114" s="7" t="s">
        <v>1556</v>
      </c>
      <c r="B114" s="7" t="s">
        <v>1557</v>
      </c>
      <c r="C114" s="7" t="s">
        <v>29</v>
      </c>
      <c r="D114" s="7">
        <v>32</v>
      </c>
      <c r="E114" s="61">
        <v>1000</v>
      </c>
      <c r="F114" s="7" t="s">
        <v>31</v>
      </c>
      <c r="G114" s="7" t="s">
        <v>1346</v>
      </c>
      <c r="H114" s="7"/>
      <c r="I114" s="203" t="s">
        <v>7</v>
      </c>
      <c r="J114" s="219"/>
      <c r="K114" s="38">
        <v>4</v>
      </c>
    </row>
    <row r="115" spans="1:11">
      <c r="A115" s="7" t="s">
        <v>1558</v>
      </c>
      <c r="B115" s="7" t="s">
        <v>1559</v>
      </c>
      <c r="C115" s="7" t="s">
        <v>29</v>
      </c>
      <c r="D115" s="7">
        <v>8</v>
      </c>
      <c r="E115" s="61">
        <v>1000</v>
      </c>
      <c r="F115" s="7" t="s">
        <v>31</v>
      </c>
      <c r="G115" s="7" t="s">
        <v>1346</v>
      </c>
      <c r="H115" s="7"/>
      <c r="I115" s="203" t="s">
        <v>7</v>
      </c>
      <c r="J115" s="219"/>
      <c r="K115" s="38">
        <v>4</v>
      </c>
    </row>
    <row r="116" spans="1:11">
      <c r="A116" s="7" t="s">
        <v>1560</v>
      </c>
      <c r="B116" s="7" t="s">
        <v>1561</v>
      </c>
      <c r="C116" s="7" t="s">
        <v>29</v>
      </c>
      <c r="D116" s="7">
        <v>32</v>
      </c>
      <c r="E116" s="61">
        <v>1000</v>
      </c>
      <c r="F116" s="7" t="s">
        <v>31</v>
      </c>
      <c r="G116" s="7" t="s">
        <v>1346</v>
      </c>
      <c r="H116" s="7"/>
      <c r="I116" s="203" t="s">
        <v>7</v>
      </c>
      <c r="J116" s="219"/>
      <c r="K116" s="38">
        <v>5</v>
      </c>
    </row>
    <row r="117" spans="1:11">
      <c r="A117" s="7" t="s">
        <v>1562</v>
      </c>
      <c r="B117" s="7" t="s">
        <v>1563</v>
      </c>
      <c r="C117" s="7" t="s">
        <v>29</v>
      </c>
      <c r="D117" s="7">
        <v>32</v>
      </c>
      <c r="E117" s="61">
        <v>1000</v>
      </c>
      <c r="F117" s="7" t="s">
        <v>31</v>
      </c>
      <c r="G117" s="7"/>
      <c r="H117" s="7"/>
      <c r="I117" s="203" t="s">
        <v>1346</v>
      </c>
      <c r="J117" s="219"/>
      <c r="K117" s="38">
        <v>11</v>
      </c>
    </row>
    <row r="118" spans="1:11">
      <c r="A118" s="7" t="s">
        <v>1564</v>
      </c>
      <c r="B118" s="7" t="s">
        <v>1565</v>
      </c>
      <c r="C118" s="7" t="s">
        <v>29</v>
      </c>
      <c r="D118" s="7">
        <v>32</v>
      </c>
      <c r="E118" s="61">
        <v>1000</v>
      </c>
      <c r="F118" s="7" t="s">
        <v>31</v>
      </c>
      <c r="G118" s="7"/>
      <c r="H118" s="7"/>
      <c r="I118" s="203" t="s">
        <v>1346</v>
      </c>
      <c r="J118" s="219"/>
      <c r="K118" s="38">
        <v>11</v>
      </c>
    </row>
    <row r="119" spans="1:11">
      <c r="A119" s="7" t="s">
        <v>1566</v>
      </c>
      <c r="B119" s="7" t="s">
        <v>1567</v>
      </c>
      <c r="C119" s="7" t="s">
        <v>29</v>
      </c>
      <c r="D119" s="7">
        <v>8</v>
      </c>
      <c r="E119" s="61">
        <v>1000</v>
      </c>
      <c r="F119" s="7" t="s">
        <v>31</v>
      </c>
      <c r="G119" s="7" t="s">
        <v>1346</v>
      </c>
      <c r="H119" s="7"/>
      <c r="I119" s="203" t="s">
        <v>7</v>
      </c>
      <c r="J119" s="219"/>
      <c r="K119" s="38">
        <v>5</v>
      </c>
    </row>
    <row r="120" spans="1:11">
      <c r="A120" s="7" t="s">
        <v>1568</v>
      </c>
      <c r="B120" s="7" t="s">
        <v>1569</v>
      </c>
      <c r="C120" s="7" t="s">
        <v>29</v>
      </c>
      <c r="D120" s="7">
        <v>8</v>
      </c>
      <c r="E120" s="61">
        <v>1000</v>
      </c>
      <c r="F120" s="7" t="s">
        <v>31</v>
      </c>
      <c r="G120" s="7" t="s">
        <v>1346</v>
      </c>
      <c r="H120" s="7"/>
      <c r="I120" s="203" t="s">
        <v>7</v>
      </c>
      <c r="J120" s="219"/>
      <c r="K120" s="38">
        <v>5</v>
      </c>
    </row>
    <row r="121" spans="1:11">
      <c r="A121" s="7" t="s">
        <v>1570</v>
      </c>
      <c r="B121" s="7" t="s">
        <v>1571</v>
      </c>
      <c r="C121" s="7" t="s">
        <v>29</v>
      </c>
      <c r="D121" s="7">
        <v>8</v>
      </c>
      <c r="E121" s="61">
        <v>3000</v>
      </c>
      <c r="F121" s="7" t="s">
        <v>31</v>
      </c>
      <c r="G121" s="7" t="s">
        <v>1346</v>
      </c>
      <c r="H121" s="7"/>
      <c r="I121" s="203" t="s">
        <v>7</v>
      </c>
      <c r="J121" s="219"/>
      <c r="K121" s="6">
        <v>5</v>
      </c>
    </row>
    <row r="122" spans="1:11">
      <c r="A122" s="7" t="s">
        <v>1572</v>
      </c>
      <c r="B122" s="7" t="s">
        <v>1573</v>
      </c>
      <c r="C122" s="7" t="s">
        <v>29</v>
      </c>
      <c r="D122" s="7">
        <v>32</v>
      </c>
      <c r="E122" s="61">
        <v>1000</v>
      </c>
      <c r="F122" s="7" t="s">
        <v>31</v>
      </c>
      <c r="G122" s="7" t="s">
        <v>1346</v>
      </c>
      <c r="H122" s="7"/>
      <c r="I122" s="203" t="s">
        <v>7</v>
      </c>
      <c r="J122" s="219"/>
      <c r="K122" s="6">
        <v>5</v>
      </c>
    </row>
    <row r="123" spans="1:11">
      <c r="A123" s="7" t="s">
        <v>1574</v>
      </c>
      <c r="B123" s="7" t="s">
        <v>1575</v>
      </c>
      <c r="C123" s="7" t="s">
        <v>29</v>
      </c>
      <c r="D123" s="7">
        <v>8</v>
      </c>
      <c r="E123" s="61">
        <v>1000</v>
      </c>
      <c r="F123" s="7" t="s">
        <v>31</v>
      </c>
      <c r="G123" s="7" t="s">
        <v>1346</v>
      </c>
      <c r="H123" s="7"/>
      <c r="I123" s="203" t="s">
        <v>7</v>
      </c>
      <c r="J123" s="219"/>
      <c r="K123" s="38">
        <v>5</v>
      </c>
    </row>
    <row r="124" spans="1:11">
      <c r="A124" s="7" t="s">
        <v>1576</v>
      </c>
      <c r="B124" s="7" t="s">
        <v>1577</v>
      </c>
      <c r="C124" s="7" t="s">
        <v>29</v>
      </c>
      <c r="D124" s="7">
        <v>8</v>
      </c>
      <c r="E124" s="61">
        <v>1000</v>
      </c>
      <c r="F124" s="7" t="s">
        <v>31</v>
      </c>
      <c r="G124" s="7"/>
      <c r="H124" s="7"/>
      <c r="I124" s="203" t="s">
        <v>1346</v>
      </c>
      <c r="J124" s="219"/>
      <c r="K124" s="38">
        <v>11</v>
      </c>
    </row>
    <row r="125" spans="1:11">
      <c r="A125" s="7" t="s">
        <v>1578</v>
      </c>
      <c r="B125" s="7" t="s">
        <v>1579</v>
      </c>
      <c r="C125" s="7" t="s">
        <v>29</v>
      </c>
      <c r="D125" s="7">
        <v>8</v>
      </c>
      <c r="E125" s="61">
        <v>10000</v>
      </c>
      <c r="F125" s="7" t="s">
        <v>31</v>
      </c>
      <c r="G125" s="7" t="s">
        <v>1346</v>
      </c>
      <c r="H125" s="7"/>
      <c r="I125" s="203" t="s">
        <v>7</v>
      </c>
      <c r="J125" s="219"/>
      <c r="K125" s="38">
        <v>5</v>
      </c>
    </row>
    <row r="126" spans="1:11">
      <c r="A126" s="7" t="s">
        <v>1580</v>
      </c>
      <c r="B126" s="7" t="s">
        <v>1581</v>
      </c>
      <c r="C126" s="7" t="s">
        <v>29</v>
      </c>
      <c r="D126" s="7">
        <v>8</v>
      </c>
      <c r="E126" s="61">
        <v>1000</v>
      </c>
      <c r="F126" s="7" t="s">
        <v>31</v>
      </c>
      <c r="G126" s="7"/>
      <c r="H126" s="7"/>
      <c r="I126" s="203" t="s">
        <v>1346</v>
      </c>
      <c r="J126" s="219"/>
      <c r="K126" s="38">
        <v>11</v>
      </c>
    </row>
    <row r="127" spans="1:11">
      <c r="A127" s="7" t="s">
        <v>1582</v>
      </c>
      <c r="B127" s="7" t="s">
        <v>1583</v>
      </c>
      <c r="C127" s="7" t="s">
        <v>29</v>
      </c>
      <c r="D127" s="7">
        <v>8</v>
      </c>
      <c r="E127" s="61">
        <v>1000</v>
      </c>
      <c r="F127" s="7" t="s">
        <v>31</v>
      </c>
      <c r="G127" s="7" t="s">
        <v>1346</v>
      </c>
      <c r="H127" s="7"/>
      <c r="I127" s="203" t="s">
        <v>7</v>
      </c>
      <c r="J127" s="219"/>
      <c r="K127" s="38">
        <v>5</v>
      </c>
    </row>
    <row r="128" spans="1:11">
      <c r="A128" s="7" t="s">
        <v>1584</v>
      </c>
      <c r="B128" s="7" t="s">
        <v>1585</v>
      </c>
      <c r="C128" s="7" t="s">
        <v>29</v>
      </c>
      <c r="D128" s="7">
        <v>8</v>
      </c>
      <c r="E128" s="61" t="s">
        <v>30</v>
      </c>
      <c r="F128" s="7" t="s">
        <v>31</v>
      </c>
      <c r="G128" s="7" t="s">
        <v>1346</v>
      </c>
      <c r="H128" s="7"/>
      <c r="I128" s="203" t="s">
        <v>7</v>
      </c>
      <c r="J128" s="219"/>
      <c r="K128" s="6">
        <v>5</v>
      </c>
    </row>
    <row r="129" spans="1:29" s="240" customFormat="1">
      <c r="A129" s="228" t="s">
        <v>1586</v>
      </c>
      <c r="B129" s="228" t="s">
        <v>1587</v>
      </c>
      <c r="C129" s="228" t="s">
        <v>29</v>
      </c>
      <c r="D129" s="228">
        <v>32</v>
      </c>
      <c r="E129" s="229">
        <v>1000</v>
      </c>
      <c r="F129" s="228" t="s">
        <v>31</v>
      </c>
      <c r="G129" s="228"/>
      <c r="H129" s="228" t="s">
        <v>1346</v>
      </c>
      <c r="I129" s="230" t="s">
        <v>7</v>
      </c>
      <c r="J129" s="239"/>
      <c r="K129" s="234">
        <v>13</v>
      </c>
      <c r="L129" s="232"/>
      <c r="M129" s="232"/>
      <c r="N129" s="232"/>
      <c r="O129" s="232"/>
      <c r="P129" s="232"/>
      <c r="Q129" s="232"/>
      <c r="R129" s="232"/>
      <c r="S129" s="232"/>
      <c r="T129" s="232"/>
      <c r="U129" s="232"/>
      <c r="V129" s="232"/>
      <c r="W129" s="232"/>
      <c r="X129" s="232"/>
      <c r="Y129" s="232"/>
      <c r="Z129" s="232"/>
      <c r="AA129" s="232"/>
      <c r="AB129" s="232"/>
      <c r="AC129" s="232"/>
    </row>
    <row r="130" spans="1:29">
      <c r="A130" s="7" t="s">
        <v>1588</v>
      </c>
      <c r="B130" s="7" t="s">
        <v>1589</v>
      </c>
      <c r="C130" s="7" t="s">
        <v>29</v>
      </c>
      <c r="D130" s="7">
        <v>32</v>
      </c>
      <c r="E130" s="61">
        <v>1000</v>
      </c>
      <c r="F130" s="7" t="s">
        <v>31</v>
      </c>
      <c r="G130" s="7" t="s">
        <v>1346</v>
      </c>
      <c r="H130" s="7"/>
      <c r="I130" s="203" t="s">
        <v>7</v>
      </c>
      <c r="J130" s="219"/>
      <c r="K130" s="6">
        <v>6</v>
      </c>
    </row>
    <row r="131" spans="1:29">
      <c r="A131" s="7" t="s">
        <v>1590</v>
      </c>
      <c r="B131" s="7" t="s">
        <v>1591</v>
      </c>
      <c r="C131" s="7" t="s">
        <v>29</v>
      </c>
      <c r="D131" s="7">
        <v>8</v>
      </c>
      <c r="E131" s="61">
        <v>1000</v>
      </c>
      <c r="F131" s="7" t="s">
        <v>31</v>
      </c>
      <c r="G131" s="7" t="s">
        <v>1346</v>
      </c>
      <c r="H131" s="7"/>
      <c r="I131" s="203" t="s">
        <v>7</v>
      </c>
      <c r="J131" s="219"/>
      <c r="K131" s="38">
        <v>6</v>
      </c>
    </row>
    <row r="132" spans="1:29">
      <c r="A132" s="7" t="s">
        <v>1592</v>
      </c>
      <c r="B132" s="7" t="s">
        <v>1593</v>
      </c>
      <c r="C132" s="7" t="s">
        <v>29</v>
      </c>
      <c r="D132" s="7">
        <v>8</v>
      </c>
      <c r="E132" s="61">
        <v>1000</v>
      </c>
      <c r="F132" s="7" t="s">
        <v>31</v>
      </c>
      <c r="G132" s="7" t="s">
        <v>1346</v>
      </c>
      <c r="H132" s="7"/>
      <c r="I132" s="203" t="s">
        <v>7</v>
      </c>
      <c r="J132" s="219"/>
      <c r="K132" s="38">
        <v>6</v>
      </c>
    </row>
    <row r="133" spans="1:29">
      <c r="A133" s="7" t="s">
        <v>1594</v>
      </c>
      <c r="B133" s="7" t="s">
        <v>1595</v>
      </c>
      <c r="C133" s="7" t="s">
        <v>29</v>
      </c>
      <c r="D133" s="7">
        <v>8</v>
      </c>
      <c r="E133" s="61">
        <v>10000</v>
      </c>
      <c r="F133" s="7" t="s">
        <v>31</v>
      </c>
      <c r="G133" s="7" t="s">
        <v>1346</v>
      </c>
      <c r="H133" s="7"/>
      <c r="I133" s="203" t="s">
        <v>7</v>
      </c>
      <c r="J133" s="219"/>
      <c r="K133" s="38">
        <v>6</v>
      </c>
    </row>
    <row r="134" spans="1:29">
      <c r="A134" s="7" t="s">
        <v>744</v>
      </c>
      <c r="B134" s="8" t="s">
        <v>743</v>
      </c>
      <c r="C134" s="63">
        <v>0</v>
      </c>
      <c r="D134" s="10"/>
      <c r="E134" s="10"/>
      <c r="F134" s="10"/>
      <c r="G134" s="7" t="s">
        <v>1346</v>
      </c>
      <c r="H134" s="10"/>
      <c r="I134" s="205"/>
      <c r="J134" s="219"/>
      <c r="K134" s="38">
        <v>7</v>
      </c>
    </row>
    <row r="135" spans="1:29">
      <c r="A135" s="7" t="s">
        <v>744</v>
      </c>
      <c r="B135" s="10" t="s">
        <v>1773</v>
      </c>
      <c r="C135" s="63">
        <v>0</v>
      </c>
      <c r="D135" s="10"/>
      <c r="E135" s="10"/>
      <c r="F135" s="10"/>
      <c r="G135" s="7" t="s">
        <v>1346</v>
      </c>
      <c r="H135" s="10"/>
      <c r="I135" s="205"/>
      <c r="J135" s="219"/>
      <c r="K135" s="38">
        <v>7</v>
      </c>
    </row>
    <row r="136" spans="1:29">
      <c r="A136" s="7" t="s">
        <v>1774</v>
      </c>
      <c r="B136" s="10" t="s">
        <v>1775</v>
      </c>
      <c r="C136" s="10">
        <v>0</v>
      </c>
      <c r="D136" s="10"/>
      <c r="E136" s="10"/>
      <c r="F136" s="10"/>
      <c r="G136" s="7"/>
      <c r="H136" s="10"/>
      <c r="I136" s="205"/>
      <c r="J136" s="219"/>
      <c r="K136" s="6">
        <v>127</v>
      </c>
    </row>
    <row r="137" spans="1:29">
      <c r="A137" s="7" t="s">
        <v>744</v>
      </c>
      <c r="B137" s="10" t="s">
        <v>1776</v>
      </c>
      <c r="C137" s="10">
        <v>0</v>
      </c>
      <c r="D137" s="10"/>
      <c r="E137" s="10"/>
      <c r="F137" s="10"/>
      <c r="G137" s="7" t="s">
        <v>1346</v>
      </c>
      <c r="H137" s="10"/>
      <c r="I137" s="205"/>
      <c r="J137" s="219"/>
      <c r="K137" s="38">
        <v>7</v>
      </c>
    </row>
    <row r="138" spans="1:29">
      <c r="A138" s="7" t="s">
        <v>744</v>
      </c>
      <c r="B138" s="10" t="s">
        <v>1777</v>
      </c>
      <c r="C138" s="10">
        <v>0</v>
      </c>
      <c r="D138" s="10"/>
      <c r="E138" s="10"/>
      <c r="F138" s="10"/>
      <c r="G138" s="7" t="s">
        <v>1346</v>
      </c>
      <c r="H138" s="10"/>
      <c r="I138" s="205"/>
      <c r="J138" s="219"/>
      <c r="K138" s="38">
        <v>7</v>
      </c>
    </row>
    <row r="139" spans="1:29">
      <c r="A139" s="7" t="s">
        <v>1778</v>
      </c>
      <c r="B139" s="10" t="s">
        <v>1779</v>
      </c>
      <c r="C139" s="10">
        <v>0</v>
      </c>
      <c r="D139" s="10"/>
      <c r="E139" s="10"/>
      <c r="F139" s="10"/>
      <c r="G139" s="7"/>
      <c r="H139" s="10"/>
      <c r="I139" s="205"/>
      <c r="J139" s="219"/>
      <c r="K139" s="6">
        <v>127</v>
      </c>
    </row>
    <row r="140" spans="1:29">
      <c r="A140" s="7" t="s">
        <v>744</v>
      </c>
      <c r="B140" s="10" t="s">
        <v>1780</v>
      </c>
      <c r="C140" s="10">
        <v>0</v>
      </c>
      <c r="D140" s="10"/>
      <c r="E140" s="10"/>
      <c r="F140" s="10"/>
      <c r="G140" s="7" t="s">
        <v>1346</v>
      </c>
      <c r="H140" s="10"/>
      <c r="I140" s="205"/>
      <c r="J140" s="219"/>
      <c r="K140" s="38">
        <v>7</v>
      </c>
    </row>
    <row r="141" spans="1:29">
      <c r="A141" s="7" t="s">
        <v>744</v>
      </c>
      <c r="B141" s="10" t="s">
        <v>1781</v>
      </c>
      <c r="C141" s="10">
        <v>0</v>
      </c>
      <c r="D141" s="10"/>
      <c r="E141" s="10"/>
      <c r="F141" s="10"/>
      <c r="G141" s="7" t="s">
        <v>1346</v>
      </c>
      <c r="H141" s="10"/>
      <c r="I141" s="205"/>
      <c r="J141" s="219"/>
      <c r="K141" s="38">
        <v>7</v>
      </c>
    </row>
    <row r="142" spans="1:29">
      <c r="A142" s="7" t="s">
        <v>1774</v>
      </c>
      <c r="B142" s="10" t="s">
        <v>1782</v>
      </c>
      <c r="C142" s="10">
        <v>0</v>
      </c>
      <c r="D142" s="10"/>
      <c r="E142" s="10"/>
      <c r="F142" s="10"/>
      <c r="G142" s="7"/>
      <c r="H142" s="10"/>
      <c r="I142" s="205"/>
      <c r="J142" s="219"/>
      <c r="K142" s="6">
        <v>127</v>
      </c>
    </row>
    <row r="143" spans="1:29">
      <c r="A143" s="7" t="s">
        <v>744</v>
      </c>
      <c r="B143" s="10" t="s">
        <v>1783</v>
      </c>
      <c r="C143" s="10">
        <v>0</v>
      </c>
      <c r="D143" s="10"/>
      <c r="E143" s="10"/>
      <c r="F143" s="10"/>
      <c r="G143" s="7" t="s">
        <v>1346</v>
      </c>
      <c r="H143" s="10"/>
      <c r="I143" s="205"/>
      <c r="J143" s="219"/>
      <c r="K143" s="38">
        <v>7</v>
      </c>
    </row>
    <row r="144" spans="1:29">
      <c r="A144" s="7" t="s">
        <v>744</v>
      </c>
      <c r="B144" s="10" t="s">
        <v>1784</v>
      </c>
      <c r="C144" s="10">
        <v>0</v>
      </c>
      <c r="D144" s="10"/>
      <c r="E144" s="10"/>
      <c r="F144" s="10"/>
      <c r="G144" s="7" t="s">
        <v>1346</v>
      </c>
      <c r="H144" s="10"/>
      <c r="I144" s="205"/>
      <c r="J144" s="219"/>
      <c r="K144" s="38">
        <v>7</v>
      </c>
    </row>
    <row r="145" spans="1:11">
      <c r="A145" s="7" t="s">
        <v>1778</v>
      </c>
      <c r="B145" s="10" t="s">
        <v>1785</v>
      </c>
      <c r="C145" s="10">
        <v>0</v>
      </c>
      <c r="D145" s="10"/>
      <c r="E145" s="10"/>
      <c r="F145" s="10"/>
      <c r="G145" s="7"/>
      <c r="H145" s="10"/>
      <c r="I145" s="205"/>
      <c r="J145" s="219"/>
      <c r="K145" s="6">
        <v>127</v>
      </c>
    </row>
    <row r="146" spans="1:11">
      <c r="A146" s="7" t="s">
        <v>744</v>
      </c>
      <c r="B146" s="10" t="s">
        <v>1786</v>
      </c>
      <c r="C146" s="10">
        <v>0</v>
      </c>
      <c r="D146" s="10"/>
      <c r="E146" s="10"/>
      <c r="F146" s="10"/>
      <c r="G146" s="7" t="s">
        <v>1346</v>
      </c>
      <c r="H146" s="10"/>
      <c r="I146" s="205"/>
      <c r="J146" s="219"/>
      <c r="K146" s="38">
        <v>7</v>
      </c>
    </row>
    <row r="147" spans="1:11">
      <c r="A147" s="7" t="s">
        <v>744</v>
      </c>
      <c r="B147" s="10" t="s">
        <v>1596</v>
      </c>
      <c r="C147" s="10">
        <v>0</v>
      </c>
      <c r="D147" s="10"/>
      <c r="E147" s="10"/>
      <c r="F147" s="10"/>
      <c r="G147" s="7" t="s">
        <v>1346</v>
      </c>
      <c r="H147" s="10"/>
      <c r="I147" s="205"/>
      <c r="J147" s="219"/>
      <c r="K147" s="38">
        <v>7</v>
      </c>
    </row>
    <row r="148" spans="1:11">
      <c r="A148" s="7" t="s">
        <v>748</v>
      </c>
      <c r="B148" s="8" t="s">
        <v>743</v>
      </c>
      <c r="C148" s="63">
        <v>1</v>
      </c>
      <c r="D148" s="10"/>
      <c r="E148" s="10"/>
      <c r="F148" s="10"/>
      <c r="G148" s="7" t="s">
        <v>1346</v>
      </c>
      <c r="H148" s="10"/>
      <c r="I148" s="205"/>
      <c r="J148" s="219"/>
      <c r="K148" s="38">
        <v>7</v>
      </c>
    </row>
    <row r="149" spans="1:11">
      <c r="A149" s="7" t="s">
        <v>748</v>
      </c>
      <c r="B149" s="10" t="s">
        <v>1773</v>
      </c>
      <c r="C149" s="10">
        <v>1</v>
      </c>
      <c r="D149" s="10"/>
      <c r="E149" s="10"/>
      <c r="F149" s="10"/>
      <c r="G149" s="7" t="s">
        <v>1346</v>
      </c>
      <c r="H149" s="10"/>
      <c r="I149" s="205"/>
      <c r="J149" s="219"/>
      <c r="K149" s="38">
        <v>7</v>
      </c>
    </row>
    <row r="150" spans="1:11">
      <c r="A150" s="7" t="s">
        <v>1787</v>
      </c>
      <c r="B150" s="10" t="s">
        <v>1775</v>
      </c>
      <c r="C150" s="10">
        <v>1</v>
      </c>
      <c r="D150" s="10"/>
      <c r="E150" s="10"/>
      <c r="F150" s="10"/>
      <c r="G150" s="7"/>
      <c r="H150" s="10"/>
      <c r="I150" s="205"/>
      <c r="J150" s="219"/>
      <c r="K150" s="6">
        <v>127</v>
      </c>
    </row>
    <row r="151" spans="1:11">
      <c r="A151" s="7" t="s">
        <v>748</v>
      </c>
      <c r="B151" s="10" t="s">
        <v>1776</v>
      </c>
      <c r="C151" s="10">
        <v>1</v>
      </c>
      <c r="D151" s="10"/>
      <c r="E151" s="10"/>
      <c r="F151" s="10"/>
      <c r="G151" s="7" t="s">
        <v>1346</v>
      </c>
      <c r="H151" s="10"/>
      <c r="I151" s="205"/>
      <c r="J151" s="219"/>
      <c r="K151" s="38">
        <v>7</v>
      </c>
    </row>
    <row r="152" spans="1:11">
      <c r="A152" s="7" t="s">
        <v>748</v>
      </c>
      <c r="B152" s="10" t="s">
        <v>1777</v>
      </c>
      <c r="C152" s="10">
        <v>1</v>
      </c>
      <c r="D152" s="10"/>
      <c r="E152" s="10"/>
      <c r="F152" s="10"/>
      <c r="G152" s="7" t="s">
        <v>1346</v>
      </c>
      <c r="H152" s="10"/>
      <c r="I152" s="205"/>
      <c r="J152" s="219"/>
      <c r="K152" s="38">
        <v>7</v>
      </c>
    </row>
    <row r="153" spans="1:11">
      <c r="A153" s="7" t="s">
        <v>1788</v>
      </c>
      <c r="B153" s="10" t="s">
        <v>1779</v>
      </c>
      <c r="C153" s="10">
        <v>1</v>
      </c>
      <c r="D153" s="10"/>
      <c r="E153" s="10"/>
      <c r="F153" s="10"/>
      <c r="G153" s="7"/>
      <c r="H153" s="10"/>
      <c r="I153" s="205"/>
      <c r="J153" s="219"/>
      <c r="K153" s="6">
        <v>127</v>
      </c>
    </row>
    <row r="154" spans="1:11">
      <c r="A154" s="7" t="s">
        <v>748</v>
      </c>
      <c r="B154" s="10" t="s">
        <v>1780</v>
      </c>
      <c r="C154" s="10">
        <v>1</v>
      </c>
      <c r="D154" s="10"/>
      <c r="E154" s="10"/>
      <c r="F154" s="10"/>
      <c r="G154" s="7" t="s">
        <v>1346</v>
      </c>
      <c r="H154" s="10"/>
      <c r="I154" s="205"/>
      <c r="J154" s="219"/>
      <c r="K154" s="38">
        <v>7</v>
      </c>
    </row>
    <row r="155" spans="1:11">
      <c r="A155" s="7" t="s">
        <v>748</v>
      </c>
      <c r="B155" s="10" t="s">
        <v>1781</v>
      </c>
      <c r="C155" s="10">
        <v>1</v>
      </c>
      <c r="D155" s="10"/>
      <c r="E155" s="10"/>
      <c r="F155" s="10"/>
      <c r="G155" s="7" t="s">
        <v>1346</v>
      </c>
      <c r="H155" s="10"/>
      <c r="I155" s="205"/>
      <c r="J155" s="219"/>
      <c r="K155" s="38">
        <v>7</v>
      </c>
    </row>
    <row r="156" spans="1:11">
      <c r="A156" s="7" t="s">
        <v>1787</v>
      </c>
      <c r="B156" s="10" t="s">
        <v>1782</v>
      </c>
      <c r="C156" s="10">
        <v>1</v>
      </c>
      <c r="D156" s="10"/>
      <c r="E156" s="10"/>
      <c r="F156" s="10"/>
      <c r="G156" s="7"/>
      <c r="H156" s="10"/>
      <c r="I156" s="205"/>
      <c r="J156" s="219"/>
      <c r="K156" s="6">
        <v>127</v>
      </c>
    </row>
    <row r="157" spans="1:11">
      <c r="A157" s="7" t="s">
        <v>748</v>
      </c>
      <c r="B157" s="10" t="s">
        <v>1783</v>
      </c>
      <c r="C157" s="10">
        <v>1</v>
      </c>
      <c r="D157" s="10"/>
      <c r="E157" s="10"/>
      <c r="F157" s="10"/>
      <c r="G157" s="7" t="s">
        <v>1346</v>
      </c>
      <c r="H157" s="10"/>
      <c r="I157" s="205"/>
      <c r="J157" s="219"/>
      <c r="K157" s="38">
        <v>7</v>
      </c>
    </row>
    <row r="158" spans="1:11">
      <c r="A158" s="7" t="s">
        <v>748</v>
      </c>
      <c r="B158" s="10" t="s">
        <v>1784</v>
      </c>
      <c r="C158" s="10">
        <v>1</v>
      </c>
      <c r="D158" s="10"/>
      <c r="E158" s="10"/>
      <c r="F158" s="10"/>
      <c r="G158" s="7" t="s">
        <v>1346</v>
      </c>
      <c r="H158" s="10"/>
      <c r="I158" s="205"/>
      <c r="J158" s="219"/>
      <c r="K158" s="38">
        <v>7</v>
      </c>
    </row>
    <row r="159" spans="1:11">
      <c r="A159" s="7" t="s">
        <v>1788</v>
      </c>
      <c r="B159" s="10" t="s">
        <v>1785</v>
      </c>
      <c r="C159" s="10">
        <v>1</v>
      </c>
      <c r="D159" s="10"/>
      <c r="E159" s="10"/>
      <c r="F159" s="10"/>
      <c r="G159" s="7"/>
      <c r="H159" s="10"/>
      <c r="I159" s="205"/>
      <c r="J159" s="219"/>
      <c r="K159" s="6">
        <v>127</v>
      </c>
    </row>
    <row r="160" spans="1:11">
      <c r="A160" s="7" t="s">
        <v>748</v>
      </c>
      <c r="B160" s="10" t="s">
        <v>1786</v>
      </c>
      <c r="C160" s="10">
        <v>1</v>
      </c>
      <c r="D160" s="10"/>
      <c r="E160" s="10"/>
      <c r="F160" s="10"/>
      <c r="G160" s="7" t="s">
        <v>1346</v>
      </c>
      <c r="H160" s="10"/>
      <c r="I160" s="205"/>
      <c r="J160" s="219"/>
      <c r="K160" s="38">
        <v>7</v>
      </c>
    </row>
    <row r="161" spans="1:11">
      <c r="A161" s="7" t="s">
        <v>748</v>
      </c>
      <c r="B161" s="10" t="s">
        <v>1596</v>
      </c>
      <c r="C161" s="10">
        <v>1</v>
      </c>
      <c r="D161" s="10"/>
      <c r="E161" s="10"/>
      <c r="F161" s="10"/>
      <c r="G161" s="7" t="s">
        <v>1346</v>
      </c>
      <c r="H161" s="10"/>
      <c r="I161" s="205"/>
      <c r="J161" s="219"/>
      <c r="K161" s="38">
        <v>7</v>
      </c>
    </row>
  </sheetData>
  <autoFilter ref="A5:K161" xr:uid="{9885028E-AF61-4449-9135-4ED21306A990}"/>
  <phoneticPr fontId="4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AAD2-BA8B-4D8D-9316-BCD552722539}">
  <dimension ref="B1:AU221"/>
  <sheetViews>
    <sheetView showGridLines="0" topLeftCell="F1" workbookViewId="0">
      <pane ySplit="9" topLeftCell="A13" activePane="bottomLeft" state="frozen"/>
      <selection pane="bottomLeft" activeCell="R18" sqref="R18"/>
    </sheetView>
  </sheetViews>
  <sheetFormatPr defaultRowHeight="18.75"/>
  <cols>
    <col min="1" max="1" width="2.625" style="121" customWidth="1"/>
    <col min="2" max="3" width="8.875" style="121" bestFit="1" customWidth="1"/>
    <col min="4" max="4" width="24" style="121" bestFit="1" customWidth="1"/>
    <col min="5" max="5" width="23.5" style="121" bestFit="1" customWidth="1"/>
    <col min="6" max="6" width="21.875" style="121" bestFit="1" customWidth="1"/>
    <col min="7" max="7" width="34.875" style="121" bestFit="1" customWidth="1"/>
    <col min="8" max="8" width="9" style="121"/>
    <col min="9" max="9" width="13.625" style="122" bestFit="1" customWidth="1"/>
    <col min="10" max="41" width="4.625" style="122" customWidth="1"/>
    <col min="42" max="42" width="9" style="122"/>
    <col min="43" max="43" width="19.5" style="122" bestFit="1" customWidth="1"/>
    <col min="44" max="44" width="20.75" style="122" bestFit="1" customWidth="1"/>
    <col min="45" max="45" width="20.875" style="121" bestFit="1" customWidth="1"/>
    <col min="46" max="46" width="10.625" style="121" customWidth="1"/>
    <col min="47" max="16384" width="9" style="121"/>
  </cols>
  <sheetData>
    <row r="1" spans="2:46" ht="19.5" thickBot="1"/>
    <row r="2" spans="2:46">
      <c r="B2" s="272" t="s">
        <v>1789</v>
      </c>
      <c r="C2" s="273"/>
      <c r="D2" s="273"/>
      <c r="E2" s="273"/>
      <c r="F2" s="274" t="s">
        <v>1790</v>
      </c>
      <c r="G2" s="276" t="s">
        <v>1791</v>
      </c>
    </row>
    <row r="3" spans="2:46" ht="19.5" thickBot="1">
      <c r="B3" s="167" t="s">
        <v>1792</v>
      </c>
      <c r="C3" s="168" t="s">
        <v>1793</v>
      </c>
      <c r="D3" s="169" t="s">
        <v>1794</v>
      </c>
      <c r="E3" s="170" t="s">
        <v>1795</v>
      </c>
      <c r="F3" s="275"/>
      <c r="G3" s="277"/>
      <c r="J3" s="122">
        <v>31</v>
      </c>
      <c r="K3" s="122">
        <f t="shared" ref="K3:Y3" si="0">J3-1</f>
        <v>30</v>
      </c>
      <c r="L3" s="122">
        <f t="shared" si="0"/>
        <v>29</v>
      </c>
      <c r="M3" s="122">
        <f t="shared" si="0"/>
        <v>28</v>
      </c>
      <c r="N3" s="122">
        <f t="shared" si="0"/>
        <v>27</v>
      </c>
      <c r="O3" s="122">
        <f t="shared" si="0"/>
        <v>26</v>
      </c>
      <c r="P3" s="122">
        <f t="shared" si="0"/>
        <v>25</v>
      </c>
      <c r="Q3" s="122">
        <f t="shared" si="0"/>
        <v>24</v>
      </c>
      <c r="R3" s="122">
        <f t="shared" si="0"/>
        <v>23</v>
      </c>
      <c r="S3" s="122">
        <f t="shared" si="0"/>
        <v>22</v>
      </c>
      <c r="T3" s="122">
        <f t="shared" si="0"/>
        <v>21</v>
      </c>
      <c r="U3" s="122">
        <f t="shared" si="0"/>
        <v>20</v>
      </c>
      <c r="V3" s="122">
        <f t="shared" si="0"/>
        <v>19</v>
      </c>
      <c r="W3" s="122">
        <f t="shared" si="0"/>
        <v>18</v>
      </c>
      <c r="X3" s="122">
        <f t="shared" si="0"/>
        <v>17</v>
      </c>
      <c r="Y3" s="122">
        <f t="shared" si="0"/>
        <v>16</v>
      </c>
      <c r="Z3" s="122">
        <v>15</v>
      </c>
      <c r="AA3" s="122">
        <f t="shared" ref="AA3:AO3" si="1">Z3-1</f>
        <v>14</v>
      </c>
      <c r="AB3" s="122">
        <f t="shared" si="1"/>
        <v>13</v>
      </c>
      <c r="AC3" s="122">
        <f t="shared" si="1"/>
        <v>12</v>
      </c>
      <c r="AD3" s="122">
        <f t="shared" si="1"/>
        <v>11</v>
      </c>
      <c r="AE3" s="122">
        <f t="shared" si="1"/>
        <v>10</v>
      </c>
      <c r="AF3" s="122">
        <f t="shared" si="1"/>
        <v>9</v>
      </c>
      <c r="AG3" s="122">
        <f t="shared" si="1"/>
        <v>8</v>
      </c>
      <c r="AH3" s="122">
        <f t="shared" si="1"/>
        <v>7</v>
      </c>
      <c r="AI3" s="122">
        <f t="shared" si="1"/>
        <v>6</v>
      </c>
      <c r="AJ3" s="122">
        <f t="shared" si="1"/>
        <v>5</v>
      </c>
      <c r="AK3" s="122">
        <f t="shared" si="1"/>
        <v>4</v>
      </c>
      <c r="AL3" s="122">
        <f t="shared" si="1"/>
        <v>3</v>
      </c>
      <c r="AM3" s="122">
        <f t="shared" si="1"/>
        <v>2</v>
      </c>
      <c r="AN3" s="122">
        <f t="shared" si="1"/>
        <v>1</v>
      </c>
      <c r="AO3" s="122">
        <f t="shared" si="1"/>
        <v>0</v>
      </c>
    </row>
    <row r="4" spans="2:46">
      <c r="B4" s="123" t="s">
        <v>1796</v>
      </c>
      <c r="C4" s="124" t="s">
        <v>1797</v>
      </c>
      <c r="D4" s="125" t="s">
        <v>1798</v>
      </c>
      <c r="E4" s="126" t="s">
        <v>1798</v>
      </c>
      <c r="F4" s="127" t="s">
        <v>1799</v>
      </c>
      <c r="G4" s="128" t="s">
        <v>1800</v>
      </c>
      <c r="I4" s="122" t="s">
        <v>1801</v>
      </c>
      <c r="Z4" s="129" t="s">
        <v>1802</v>
      </c>
      <c r="AA4" s="129" t="s">
        <v>1802</v>
      </c>
      <c r="AB4" s="129" t="s">
        <v>1802</v>
      </c>
      <c r="AC4" s="129" t="s">
        <v>1802</v>
      </c>
      <c r="AD4" s="172" t="s">
        <v>1803</v>
      </c>
      <c r="AE4" s="172" t="s">
        <v>1803</v>
      </c>
      <c r="AF4" s="172" t="s">
        <v>1803</v>
      </c>
      <c r="AG4" s="172" t="s">
        <v>1803</v>
      </c>
      <c r="AH4" s="173" t="s">
        <v>1804</v>
      </c>
      <c r="AI4" s="173" t="s">
        <v>1804</v>
      </c>
      <c r="AJ4" s="173" t="s">
        <v>1804</v>
      </c>
      <c r="AK4" s="173" t="s">
        <v>1804</v>
      </c>
      <c r="AL4" s="171" t="s">
        <v>1805</v>
      </c>
      <c r="AM4" s="171" t="s">
        <v>1805</v>
      </c>
      <c r="AN4" s="171" t="s">
        <v>1805</v>
      </c>
      <c r="AO4" s="171" t="s">
        <v>1805</v>
      </c>
    </row>
    <row r="5" spans="2:46">
      <c r="B5" s="123"/>
      <c r="C5" s="124" t="s">
        <v>1806</v>
      </c>
      <c r="D5" s="125" t="s">
        <v>1807</v>
      </c>
      <c r="E5" s="131" t="s">
        <v>1808</v>
      </c>
      <c r="F5" s="132" t="s">
        <v>1809</v>
      </c>
      <c r="G5" s="133" t="s">
        <v>1810</v>
      </c>
      <c r="I5" s="122" t="s">
        <v>1811</v>
      </c>
      <c r="Z5" s="129" t="s">
        <v>1802</v>
      </c>
      <c r="AA5" s="172" t="s">
        <v>1803</v>
      </c>
      <c r="AB5" s="173" t="s">
        <v>1804</v>
      </c>
      <c r="AC5" s="171" t="s">
        <v>1805</v>
      </c>
      <c r="AD5" s="129" t="s">
        <v>1802</v>
      </c>
      <c r="AE5" s="172" t="s">
        <v>1803</v>
      </c>
      <c r="AF5" s="173" t="s">
        <v>1804</v>
      </c>
      <c r="AG5" s="171" t="s">
        <v>1805</v>
      </c>
      <c r="AH5" s="129" t="s">
        <v>1802</v>
      </c>
      <c r="AI5" s="172" t="s">
        <v>1803</v>
      </c>
      <c r="AJ5" s="173" t="s">
        <v>1804</v>
      </c>
      <c r="AK5" s="171" t="s">
        <v>1805</v>
      </c>
      <c r="AL5" s="129" t="s">
        <v>1802</v>
      </c>
      <c r="AM5" s="172" t="s">
        <v>1803</v>
      </c>
      <c r="AN5" s="173" t="s">
        <v>1804</v>
      </c>
      <c r="AO5" s="171" t="s">
        <v>1805</v>
      </c>
    </row>
    <row r="6" spans="2:46">
      <c r="B6" s="123"/>
      <c r="C6" s="134"/>
      <c r="D6" s="135"/>
      <c r="E6" s="136" t="s">
        <v>1812</v>
      </c>
      <c r="F6" s="132" t="s">
        <v>1813</v>
      </c>
      <c r="G6" s="133" t="s">
        <v>1814</v>
      </c>
      <c r="Z6" s="146">
        <v>0</v>
      </c>
      <c r="AA6" s="122">
        <v>1</v>
      </c>
      <c r="AB6" s="146">
        <v>0</v>
      </c>
      <c r="AC6" s="122">
        <v>1</v>
      </c>
      <c r="AD6" s="122">
        <v>1</v>
      </c>
      <c r="AE6" s="146">
        <v>0</v>
      </c>
      <c r="AF6" s="122">
        <v>1</v>
      </c>
      <c r="AG6" s="146">
        <v>0</v>
      </c>
      <c r="AH6" s="146">
        <v>0</v>
      </c>
      <c r="AI6" s="122">
        <v>1</v>
      </c>
      <c r="AJ6" s="146">
        <v>0</v>
      </c>
      <c r="AK6" s="122">
        <v>1</v>
      </c>
      <c r="AL6" s="122">
        <v>1</v>
      </c>
      <c r="AM6" s="146">
        <v>0</v>
      </c>
      <c r="AN6" s="122">
        <v>1</v>
      </c>
      <c r="AO6" s="146">
        <v>0</v>
      </c>
    </row>
    <row r="7" spans="2:46">
      <c r="B7" s="123"/>
      <c r="C7" s="134"/>
      <c r="D7" s="135"/>
      <c r="E7" s="137" t="s">
        <v>1815</v>
      </c>
      <c r="F7" s="132" t="s">
        <v>1799</v>
      </c>
      <c r="G7" s="128" t="s">
        <v>1800</v>
      </c>
      <c r="AG7" s="122" t="str">
        <f>LOWER(BIN2HEX(Z6&amp;AA6&amp;AB6&amp;AC6&amp;AD6&amp;AE6&amp;AF6&amp;AG6,2))</f>
        <v>5a</v>
      </c>
      <c r="AO7" s="122" t="str">
        <f>LOWER(BIN2HEX(AH6&amp;AI6&amp;AJ6&amp;AK6&amp;AL6&amp;AM6&amp;AN6&amp;AO6,2))</f>
        <v>5a</v>
      </c>
      <c r="AQ7" s="122" t="str">
        <f>"(U2)0x"&amp;AG7&amp;AO7&amp;"U"</f>
        <v>(U2)0x5a5aU</v>
      </c>
    </row>
    <row r="8" spans="2:46">
      <c r="B8" s="123"/>
      <c r="C8" s="134"/>
      <c r="D8" s="135"/>
      <c r="E8" s="138" t="s">
        <v>1816</v>
      </c>
      <c r="F8" s="132" t="s">
        <v>1817</v>
      </c>
      <c r="G8" s="133" t="s">
        <v>1818</v>
      </c>
      <c r="I8" s="122" t="s">
        <v>1819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46">
        <v>0</v>
      </c>
      <c r="AA8" s="180">
        <v>0</v>
      </c>
      <c r="AB8" s="146">
        <v>0</v>
      </c>
      <c r="AC8" s="180">
        <v>0</v>
      </c>
      <c r="AD8" s="122">
        <v>1</v>
      </c>
      <c r="AE8" s="146">
        <v>0</v>
      </c>
      <c r="AF8" s="122">
        <v>1</v>
      </c>
      <c r="AG8" s="146">
        <v>0</v>
      </c>
      <c r="AH8" s="146">
        <v>0</v>
      </c>
      <c r="AI8" s="122">
        <v>1</v>
      </c>
      <c r="AJ8" s="146">
        <v>0</v>
      </c>
      <c r="AK8" s="122">
        <v>1</v>
      </c>
      <c r="AL8" s="122">
        <v>1</v>
      </c>
      <c r="AM8" s="146">
        <v>0</v>
      </c>
      <c r="AN8" s="122">
        <v>1</v>
      </c>
      <c r="AO8" s="146">
        <v>0</v>
      </c>
      <c r="AQ8" s="122" t="s">
        <v>1820</v>
      </c>
    </row>
    <row r="9" spans="2:46">
      <c r="B9" s="123"/>
      <c r="C9" s="134"/>
      <c r="D9" s="136" t="s">
        <v>1808</v>
      </c>
      <c r="E9" s="139" t="s">
        <v>1798</v>
      </c>
      <c r="F9" s="132" t="s">
        <v>1821</v>
      </c>
      <c r="G9" s="133"/>
      <c r="Q9" s="122" t="str">
        <f>LOWER(BIN2HEX(J8&amp;K8&amp;L8&amp;M8&amp;N8&amp;O8&amp;P8&amp;Q8,2))</f>
        <v>00</v>
      </c>
      <c r="Y9" s="122" t="str">
        <f>LOWER(BIN2HEX(R8&amp;S8&amp;T8&amp;U8&amp;V8&amp;W8&amp;X8&amp;Y8,2))</f>
        <v>00</v>
      </c>
      <c r="AG9" s="122" t="str">
        <f>LOWER(BIN2HEX(Z8&amp;AA8&amp;AB8&amp;AC8&amp;AD8&amp;AE8&amp;AF8&amp;AG8,2))</f>
        <v>0a</v>
      </c>
      <c r="AO9" s="122" t="str">
        <f>LOWER(BIN2HEX(AH8&amp;AI8&amp;AJ8&amp;AK8&amp;AL8&amp;AM8&amp;AN8&amp;AO8,2))</f>
        <v>5a</v>
      </c>
      <c r="AQ9" s="122" t="str">
        <f>"(U2)0x"&amp;AG9&amp;AO9&amp;"U"</f>
        <v>(U2)0x0a5aU</v>
      </c>
    </row>
    <row r="10" spans="2:46">
      <c r="B10" s="123"/>
      <c r="C10" s="134"/>
      <c r="D10" s="140" t="s">
        <v>1822</v>
      </c>
      <c r="E10" s="139" t="s">
        <v>1823</v>
      </c>
      <c r="F10" s="132" t="s">
        <v>1799</v>
      </c>
      <c r="G10" s="128" t="s">
        <v>1824</v>
      </c>
    </row>
    <row r="11" spans="2:46">
      <c r="B11" s="123"/>
      <c r="C11" s="134"/>
      <c r="D11" s="140"/>
      <c r="E11" s="139" t="s">
        <v>1815</v>
      </c>
      <c r="F11" s="132" t="s">
        <v>1821</v>
      </c>
      <c r="G11" s="133"/>
      <c r="AQ11" s="122" t="s">
        <v>1825</v>
      </c>
      <c r="AR11" s="122" t="s">
        <v>1826</v>
      </c>
      <c r="AS11" s="122" t="s">
        <v>1827</v>
      </c>
      <c r="AT11" s="122" t="s">
        <v>1828</v>
      </c>
    </row>
    <row r="12" spans="2:46">
      <c r="B12" s="123"/>
      <c r="C12" s="134"/>
      <c r="D12" s="141"/>
      <c r="E12" s="139" t="s">
        <v>1816</v>
      </c>
      <c r="F12" s="132" t="s">
        <v>1799</v>
      </c>
      <c r="G12" s="128" t="s">
        <v>1824</v>
      </c>
      <c r="I12" s="122" t="s">
        <v>1829</v>
      </c>
      <c r="J12" s="122">
        <f t="shared" ref="J12:AM12" si="2">K12+1</f>
        <v>31</v>
      </c>
      <c r="K12" s="122">
        <f t="shared" si="2"/>
        <v>30</v>
      </c>
      <c r="L12" s="122">
        <f t="shared" si="2"/>
        <v>29</v>
      </c>
      <c r="M12" s="122">
        <f t="shared" si="2"/>
        <v>28</v>
      </c>
      <c r="N12" s="122">
        <f t="shared" si="2"/>
        <v>27</v>
      </c>
      <c r="O12" s="122">
        <f t="shared" si="2"/>
        <v>26</v>
      </c>
      <c r="P12" s="122">
        <f t="shared" si="2"/>
        <v>25</v>
      </c>
      <c r="Q12" s="122">
        <f t="shared" si="2"/>
        <v>24</v>
      </c>
      <c r="R12" s="122">
        <f t="shared" si="2"/>
        <v>23</v>
      </c>
      <c r="S12" s="122">
        <f t="shared" si="2"/>
        <v>22</v>
      </c>
      <c r="T12" s="122">
        <f t="shared" si="2"/>
        <v>21</v>
      </c>
      <c r="U12" s="122">
        <f t="shared" si="2"/>
        <v>20</v>
      </c>
      <c r="V12" s="122">
        <f t="shared" si="2"/>
        <v>19</v>
      </c>
      <c r="W12" s="122">
        <f t="shared" si="2"/>
        <v>18</v>
      </c>
      <c r="X12" s="122">
        <f t="shared" si="2"/>
        <v>17</v>
      </c>
      <c r="Y12" s="122">
        <f t="shared" si="2"/>
        <v>16</v>
      </c>
      <c r="Z12" s="122">
        <f t="shared" si="2"/>
        <v>15</v>
      </c>
      <c r="AA12" s="122">
        <f t="shared" si="2"/>
        <v>14</v>
      </c>
      <c r="AB12" s="122">
        <f t="shared" si="2"/>
        <v>13</v>
      </c>
      <c r="AC12" s="122">
        <f t="shared" si="2"/>
        <v>12</v>
      </c>
      <c r="AD12" s="122">
        <f t="shared" si="2"/>
        <v>11</v>
      </c>
      <c r="AE12" s="122">
        <f t="shared" si="2"/>
        <v>10</v>
      </c>
      <c r="AF12" s="122">
        <f t="shared" si="2"/>
        <v>9</v>
      </c>
      <c r="AG12" s="122">
        <f t="shared" si="2"/>
        <v>8</v>
      </c>
      <c r="AH12" s="122">
        <f t="shared" si="2"/>
        <v>7</v>
      </c>
      <c r="AI12" s="122">
        <f t="shared" si="2"/>
        <v>6</v>
      </c>
      <c r="AJ12" s="122">
        <f t="shared" si="2"/>
        <v>5</v>
      </c>
      <c r="AK12" s="122">
        <f t="shared" si="2"/>
        <v>4</v>
      </c>
      <c r="AL12" s="122">
        <f t="shared" si="2"/>
        <v>3</v>
      </c>
      <c r="AM12" s="122">
        <f t="shared" si="2"/>
        <v>2</v>
      </c>
      <c r="AN12" s="122">
        <f>AO12+1</f>
        <v>1</v>
      </c>
      <c r="AO12" s="122">
        <v>0</v>
      </c>
    </row>
    <row r="13" spans="2:46" ht="32.25">
      <c r="B13" s="123"/>
      <c r="C13" s="134"/>
      <c r="D13" s="131" t="s">
        <v>1812</v>
      </c>
      <c r="E13" s="142" t="s">
        <v>1798</v>
      </c>
      <c r="F13" s="132" t="s">
        <v>1830</v>
      </c>
      <c r="G13" s="133"/>
      <c r="I13" s="122" t="s">
        <v>1831</v>
      </c>
      <c r="J13" s="143" t="str">
        <f t="shared" ref="J13:AN13" si="3">"0x"&amp;DEC2HEX(J12,2)</f>
        <v>0x1F</v>
      </c>
      <c r="K13" s="143" t="str">
        <f t="shared" si="3"/>
        <v>0x1E</v>
      </c>
      <c r="L13" s="143" t="str">
        <f t="shared" si="3"/>
        <v>0x1D</v>
      </c>
      <c r="M13" s="143" t="str">
        <f t="shared" si="3"/>
        <v>0x1C</v>
      </c>
      <c r="N13" s="143" t="str">
        <f t="shared" si="3"/>
        <v>0x1B</v>
      </c>
      <c r="O13" s="143" t="str">
        <f t="shared" si="3"/>
        <v>0x1A</v>
      </c>
      <c r="P13" s="143" t="str">
        <f t="shared" si="3"/>
        <v>0x19</v>
      </c>
      <c r="Q13" s="143" t="str">
        <f t="shared" si="3"/>
        <v>0x18</v>
      </c>
      <c r="R13" s="143" t="str">
        <f t="shared" si="3"/>
        <v>0x17</v>
      </c>
      <c r="S13" s="143" t="str">
        <f t="shared" si="3"/>
        <v>0x16</v>
      </c>
      <c r="T13" s="143" t="str">
        <f t="shared" si="3"/>
        <v>0x15</v>
      </c>
      <c r="U13" s="143" t="str">
        <f t="shared" si="3"/>
        <v>0x14</v>
      </c>
      <c r="V13" s="143" t="str">
        <f t="shared" si="3"/>
        <v>0x13</v>
      </c>
      <c r="W13" s="143" t="str">
        <f t="shared" si="3"/>
        <v>0x12</v>
      </c>
      <c r="X13" s="143" t="str">
        <f t="shared" si="3"/>
        <v>0x11</v>
      </c>
      <c r="Y13" s="143" t="str">
        <f t="shared" si="3"/>
        <v>0x10</v>
      </c>
      <c r="Z13" s="143" t="str">
        <f t="shared" si="3"/>
        <v>0x0F</v>
      </c>
      <c r="AA13" s="143" t="str">
        <f t="shared" si="3"/>
        <v>0x0E</v>
      </c>
      <c r="AB13" s="143" t="str">
        <f t="shared" si="3"/>
        <v>0x0D</v>
      </c>
      <c r="AC13" s="143" t="str">
        <f t="shared" si="3"/>
        <v>0x0C</v>
      </c>
      <c r="AD13" s="143" t="str">
        <f t="shared" si="3"/>
        <v>0x0B</v>
      </c>
      <c r="AE13" s="143" t="str">
        <f t="shared" si="3"/>
        <v>0x0A</v>
      </c>
      <c r="AF13" s="143" t="str">
        <f t="shared" si="3"/>
        <v>0x09</v>
      </c>
      <c r="AG13" s="143" t="str">
        <f t="shared" si="3"/>
        <v>0x08</v>
      </c>
      <c r="AH13" s="143" t="str">
        <f t="shared" si="3"/>
        <v>0x07</v>
      </c>
      <c r="AI13" s="143" t="str">
        <f t="shared" si="3"/>
        <v>0x06</v>
      </c>
      <c r="AJ13" s="143" t="str">
        <f t="shared" si="3"/>
        <v>0x05</v>
      </c>
      <c r="AK13" s="143" t="str">
        <f t="shared" si="3"/>
        <v>0x04</v>
      </c>
      <c r="AL13" s="143" t="str">
        <f t="shared" si="3"/>
        <v>0x03</v>
      </c>
      <c r="AM13" s="143" t="str">
        <f t="shared" si="3"/>
        <v>0x02</v>
      </c>
      <c r="AN13" s="143" t="str">
        <f t="shared" si="3"/>
        <v>0x01</v>
      </c>
      <c r="AO13" s="143" t="str">
        <f>"0x"&amp;DEC2HEX(AO12,2)</f>
        <v>0x00</v>
      </c>
    </row>
    <row r="14" spans="2:46">
      <c r="B14" s="123"/>
      <c r="C14" s="134"/>
      <c r="D14" s="124" t="s">
        <v>1832</v>
      </c>
      <c r="E14" s="139" t="s">
        <v>1823</v>
      </c>
      <c r="F14" s="132" t="s">
        <v>1799</v>
      </c>
      <c r="G14" s="128" t="s">
        <v>1824</v>
      </c>
      <c r="I14" s="122" t="s">
        <v>1825</v>
      </c>
      <c r="J14" s="130">
        <v>1</v>
      </c>
      <c r="K14" s="130">
        <v>1</v>
      </c>
      <c r="L14" s="130">
        <v>1</v>
      </c>
      <c r="M14" s="122">
        <v>1</v>
      </c>
      <c r="N14" s="130">
        <v>1</v>
      </c>
      <c r="O14" s="130">
        <v>1</v>
      </c>
      <c r="P14" s="130">
        <v>1</v>
      </c>
      <c r="Q14" s="130">
        <v>1</v>
      </c>
      <c r="R14" s="122">
        <v>1</v>
      </c>
      <c r="S14" s="130">
        <v>1</v>
      </c>
      <c r="T14" s="130">
        <v>1</v>
      </c>
      <c r="U14" s="130">
        <v>1</v>
      </c>
      <c r="V14" s="130">
        <v>1</v>
      </c>
      <c r="W14" s="130">
        <v>1</v>
      </c>
      <c r="X14" s="130">
        <v>1</v>
      </c>
      <c r="Y14" s="130">
        <v>1</v>
      </c>
      <c r="Z14" s="130">
        <v>1</v>
      </c>
      <c r="AA14" s="130">
        <v>1</v>
      </c>
      <c r="AB14" s="130">
        <v>1</v>
      </c>
      <c r="AC14" s="130">
        <v>1</v>
      </c>
      <c r="AD14" s="130">
        <v>1</v>
      </c>
      <c r="AE14" s="130">
        <v>1</v>
      </c>
      <c r="AF14" s="130">
        <v>1</v>
      </c>
      <c r="AG14" s="130">
        <v>1</v>
      </c>
      <c r="AH14" s="130">
        <v>1</v>
      </c>
      <c r="AI14" s="130">
        <v>1</v>
      </c>
      <c r="AJ14" s="130">
        <v>1</v>
      </c>
      <c r="AK14" s="130">
        <v>1</v>
      </c>
      <c r="AL14" s="130">
        <v>1</v>
      </c>
      <c r="AM14" s="130">
        <v>1</v>
      </c>
      <c r="AN14" s="130">
        <v>1</v>
      </c>
      <c r="AO14" s="130">
        <v>1</v>
      </c>
    </row>
    <row r="15" spans="2:46">
      <c r="B15" s="123"/>
      <c r="C15" s="134"/>
      <c r="D15" s="124"/>
      <c r="E15" s="144" t="s">
        <v>1815</v>
      </c>
      <c r="F15" s="132" t="s">
        <v>1830</v>
      </c>
      <c r="G15" s="128"/>
      <c r="Q15" s="122" t="str">
        <f>LOWER(BIN2HEX(J14&amp;K14&amp;L14&amp;M14&amp;N14&amp;O14&amp;P14&amp;Q14,2))</f>
        <v>ff</v>
      </c>
      <c r="Y15" s="122" t="str">
        <f>LOWER(BIN2HEX(R14&amp;S14&amp;T14&amp;U14&amp;V14&amp;W14&amp;X14&amp;Y14,2))</f>
        <v>ff</v>
      </c>
      <c r="AG15" s="122" t="str">
        <f>LOWER(BIN2HEX(Z14&amp;AA14&amp;AB14&amp;AC14&amp;AD14&amp;AE14&amp;AF14&amp;AG14,2))</f>
        <v>ff</v>
      </c>
      <c r="AO15" s="122" t="str">
        <f>LOWER(BIN2HEX(AH14&amp;AI14&amp;AJ14&amp;AK14&amp;AL14&amp;AM14&amp;AN14&amp;AO14,2))</f>
        <v>ff</v>
      </c>
      <c r="AQ15" s="122" t="str">
        <f>"(U4)0x"&amp;Q15&amp;Y15&amp;AG15&amp;AO15&amp;"U,"</f>
        <v>(U4)0xffffffffU,</v>
      </c>
    </row>
    <row r="16" spans="2:46">
      <c r="B16" s="123"/>
      <c r="C16" s="134"/>
      <c r="D16" s="145"/>
      <c r="E16" s="139" t="s">
        <v>1816</v>
      </c>
      <c r="F16" s="132" t="s">
        <v>1799</v>
      </c>
      <c r="G16" s="128" t="s">
        <v>1824</v>
      </c>
      <c r="I16" s="122" t="s">
        <v>1826</v>
      </c>
      <c r="J16" s="122">
        <v>1</v>
      </c>
      <c r="K16" s="122">
        <v>1</v>
      </c>
      <c r="L16" s="122">
        <v>1</v>
      </c>
      <c r="M16" s="200">
        <v>0</v>
      </c>
      <c r="N16" s="122">
        <v>1</v>
      </c>
      <c r="O16" s="122">
        <v>1</v>
      </c>
      <c r="P16" s="122">
        <v>1</v>
      </c>
      <c r="Q16" s="122">
        <v>1</v>
      </c>
      <c r="R16" s="146">
        <v>0</v>
      </c>
      <c r="S16" s="122">
        <v>1</v>
      </c>
      <c r="T16" s="122">
        <v>1</v>
      </c>
      <c r="U16" s="122">
        <v>1</v>
      </c>
      <c r="V16" s="122">
        <v>1</v>
      </c>
      <c r="W16" s="122">
        <v>1</v>
      </c>
      <c r="X16" s="122">
        <v>1</v>
      </c>
      <c r="Y16" s="122">
        <v>1</v>
      </c>
      <c r="Z16" s="122">
        <v>1</v>
      </c>
      <c r="AA16" s="122">
        <v>1</v>
      </c>
      <c r="AB16" s="122">
        <v>1</v>
      </c>
      <c r="AC16" s="122">
        <v>1</v>
      </c>
      <c r="AD16" s="122">
        <v>1</v>
      </c>
      <c r="AE16" s="122">
        <v>1</v>
      </c>
      <c r="AF16" s="122">
        <v>1</v>
      </c>
      <c r="AG16" s="122">
        <v>1</v>
      </c>
      <c r="AH16" s="122">
        <v>1</v>
      </c>
      <c r="AI16" s="122">
        <v>1</v>
      </c>
      <c r="AJ16" s="122">
        <v>1</v>
      </c>
      <c r="AK16" s="122">
        <v>1</v>
      </c>
      <c r="AL16" s="122">
        <v>1</v>
      </c>
      <c r="AM16" s="122">
        <v>1</v>
      </c>
      <c r="AN16" s="122">
        <v>1</v>
      </c>
      <c r="AO16" s="122">
        <v>1</v>
      </c>
    </row>
    <row r="17" spans="2:46">
      <c r="B17" s="123"/>
      <c r="C17" s="134"/>
      <c r="D17" s="131" t="s">
        <v>1815</v>
      </c>
      <c r="E17" s="139" t="s">
        <v>1798</v>
      </c>
      <c r="F17" s="132" t="s">
        <v>1799</v>
      </c>
      <c r="G17" s="128" t="s">
        <v>1833</v>
      </c>
      <c r="Q17" s="122" t="str">
        <f>LOWER(BIN2HEX(J16&amp;K16&amp;L16&amp;M16&amp;N16&amp;O16&amp;P16&amp;Q16,2))</f>
        <v>ef</v>
      </c>
      <c r="Y17" s="122" t="str">
        <f>LOWER(BIN2HEX(R16&amp;S16&amp;T16&amp;U16&amp;V16&amp;W16&amp;X16&amp;Y16,2))</f>
        <v>7f</v>
      </c>
      <c r="AG17" s="122" t="str">
        <f>LOWER(BIN2HEX(Z16&amp;AA16&amp;AB16&amp;AC16&amp;AD16&amp;AE16&amp;AF16&amp;AG16,2))</f>
        <v>ff</v>
      </c>
      <c r="AO17" s="122" t="str">
        <f>LOWER(BIN2HEX(AH16&amp;AI16&amp;AJ16&amp;AK16&amp;AL16&amp;AM16&amp;AN16&amp;AO16,2))</f>
        <v>ff</v>
      </c>
      <c r="AR17" s="122" t="str">
        <f>"(U4)0x"&amp;Q17&amp;Y17&amp;AG17&amp;AO17&amp;"U,"</f>
        <v>(U4)0xef7fffffU,</v>
      </c>
    </row>
    <row r="18" spans="2:46">
      <c r="B18" s="123"/>
      <c r="C18" s="134"/>
      <c r="D18" s="124" t="s">
        <v>1834</v>
      </c>
      <c r="E18" s="131" t="s">
        <v>1808</v>
      </c>
      <c r="F18" s="132" t="s">
        <v>1809</v>
      </c>
      <c r="G18" s="133"/>
      <c r="I18" s="122" t="s">
        <v>1827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146">
        <v>0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0</v>
      </c>
      <c r="Z18" s="146">
        <v>0</v>
      </c>
      <c r="AA18" s="146">
        <v>0</v>
      </c>
      <c r="AB18" s="146">
        <v>0</v>
      </c>
      <c r="AC18" s="146">
        <v>0</v>
      </c>
      <c r="AD18" s="146">
        <v>0</v>
      </c>
      <c r="AE18" s="146">
        <v>0</v>
      </c>
      <c r="AF18" s="146">
        <v>0</v>
      </c>
      <c r="AG18" s="146">
        <v>0</v>
      </c>
      <c r="AH18" s="146">
        <v>0</v>
      </c>
      <c r="AI18" s="146">
        <v>0</v>
      </c>
      <c r="AJ18" s="146">
        <v>0</v>
      </c>
      <c r="AK18" s="146">
        <v>0</v>
      </c>
      <c r="AL18" s="146">
        <v>0</v>
      </c>
      <c r="AM18" s="146">
        <v>0</v>
      </c>
      <c r="AN18" s="146">
        <v>0</v>
      </c>
      <c r="AO18" s="146">
        <v>0</v>
      </c>
    </row>
    <row r="19" spans="2:46">
      <c r="B19" s="123"/>
      <c r="C19" s="134"/>
      <c r="D19" s="124"/>
      <c r="E19" s="136" t="s">
        <v>1812</v>
      </c>
      <c r="F19" s="132" t="s">
        <v>1813</v>
      </c>
      <c r="G19" s="133"/>
      <c r="Q19" s="122" t="str">
        <f>LOWER(BIN2HEX(J18&amp;K18&amp;L18&amp;M18&amp;N18&amp;O18&amp;P18&amp;Q18,2))</f>
        <v>00</v>
      </c>
      <c r="Y19" s="122" t="str">
        <f>LOWER(BIN2HEX(R18&amp;S18&amp;T18&amp;U18&amp;V18&amp;W18&amp;X18&amp;Y18,2))</f>
        <v>00</v>
      </c>
      <c r="AG19" s="122" t="str">
        <f>LOWER(BIN2HEX(Z18&amp;AA18&amp;AB18&amp;AC18&amp;AD18&amp;AE18&amp;AF18&amp;AG18,2))</f>
        <v>00</v>
      </c>
      <c r="AO19" s="122" t="str">
        <f>LOWER(BIN2HEX(AH18&amp;AI18&amp;AJ18&amp;AK18&amp;AL18&amp;AM18&amp;AN18&amp;AO18,2))</f>
        <v>00</v>
      </c>
      <c r="AS19" s="122" t="str">
        <f>"(U4)0x"&amp;Q19&amp;Y19&amp;AG19&amp;AO19&amp;"U,"</f>
        <v>(U4)0x00000000U,</v>
      </c>
      <c r="AT19" s="122"/>
    </row>
    <row r="20" spans="2:46">
      <c r="B20" s="123"/>
      <c r="C20" s="134"/>
      <c r="D20" s="124"/>
      <c r="E20" s="137" t="s">
        <v>1815</v>
      </c>
      <c r="F20" s="132" t="s">
        <v>1799</v>
      </c>
      <c r="G20" s="128" t="s">
        <v>1833</v>
      </c>
      <c r="I20" s="122" t="s">
        <v>1828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46">
        <v>0</v>
      </c>
      <c r="AB20" s="146">
        <v>0</v>
      </c>
      <c r="AC20" s="146">
        <v>0</v>
      </c>
      <c r="AD20" s="146">
        <v>0</v>
      </c>
      <c r="AE20" s="146">
        <v>0</v>
      </c>
      <c r="AF20" s="146">
        <v>0</v>
      </c>
      <c r="AG20" s="146">
        <v>0</v>
      </c>
      <c r="AH20" s="146">
        <v>0</v>
      </c>
      <c r="AI20" s="146">
        <v>0</v>
      </c>
      <c r="AJ20" s="146">
        <v>0</v>
      </c>
      <c r="AK20" s="146">
        <v>0</v>
      </c>
      <c r="AL20" s="146">
        <v>0</v>
      </c>
      <c r="AM20" s="146">
        <v>0</v>
      </c>
      <c r="AN20" s="146">
        <v>0</v>
      </c>
      <c r="AO20" s="146">
        <v>0</v>
      </c>
    </row>
    <row r="21" spans="2:46">
      <c r="B21" s="123"/>
      <c r="C21" s="134"/>
      <c r="D21" s="124"/>
      <c r="E21" s="138" t="s">
        <v>1816</v>
      </c>
      <c r="F21" s="132" t="s">
        <v>1817</v>
      </c>
      <c r="G21" s="128"/>
      <c r="Q21" s="122" t="str">
        <f>LOWER(BIN2HEX(J20&amp;K20&amp;L20&amp;M20&amp;N20&amp;O20&amp;P20&amp;Q20,2))</f>
        <v>00</v>
      </c>
      <c r="Y21" s="122" t="str">
        <f>LOWER(BIN2HEX(R20&amp;S20&amp;T20&amp;U20&amp;V20&amp;W20&amp;X20&amp;Y20,2))</f>
        <v>00</v>
      </c>
      <c r="AG21" s="122" t="str">
        <f>LOWER(BIN2HEX(Z20&amp;AA20&amp;AB20&amp;AC20&amp;AD20&amp;AE20&amp;AF20&amp;AG20,2))</f>
        <v>00</v>
      </c>
      <c r="AO21" s="122" t="str">
        <f>LOWER(BIN2HEX(AH20&amp;AI20&amp;AJ20&amp;AK20&amp;AL20&amp;AM20&amp;AN20&amp;AO20,2))</f>
        <v>00</v>
      </c>
      <c r="AS21" s="122"/>
      <c r="AT21" s="122" t="str">
        <f>"(U4)0x"&amp;Q21&amp;Y21&amp;AG21&amp;AO21&amp;"U,"</f>
        <v>(U4)0x00000000U,</v>
      </c>
    </row>
    <row r="22" spans="2:46">
      <c r="B22" s="123"/>
      <c r="C22" s="134"/>
      <c r="D22" s="147" t="s">
        <v>1816</v>
      </c>
      <c r="E22" s="139" t="s">
        <v>1798</v>
      </c>
      <c r="F22" s="132" t="s">
        <v>1835</v>
      </c>
      <c r="G22" s="133"/>
    </row>
    <row r="23" spans="2:46">
      <c r="B23" s="123"/>
      <c r="C23" s="134"/>
      <c r="D23" s="148" t="s">
        <v>1836</v>
      </c>
      <c r="E23" s="147" t="s">
        <v>1823</v>
      </c>
      <c r="F23" s="149" t="s">
        <v>1799</v>
      </c>
      <c r="G23" s="150" t="s">
        <v>1824</v>
      </c>
      <c r="I23" s="122" t="s">
        <v>1829</v>
      </c>
      <c r="J23" s="122">
        <f t="shared" ref="J23:AM23" si="4">K23+1</f>
        <v>63</v>
      </c>
      <c r="K23" s="122">
        <f t="shared" si="4"/>
        <v>62</v>
      </c>
      <c r="L23" s="122">
        <f t="shared" si="4"/>
        <v>61</v>
      </c>
      <c r="M23" s="122">
        <f t="shared" si="4"/>
        <v>60</v>
      </c>
      <c r="N23" s="122">
        <f t="shared" si="4"/>
        <v>59</v>
      </c>
      <c r="O23" s="122">
        <f t="shared" si="4"/>
        <v>58</v>
      </c>
      <c r="P23" s="122">
        <f t="shared" si="4"/>
        <v>57</v>
      </c>
      <c r="Q23" s="122">
        <f t="shared" si="4"/>
        <v>56</v>
      </c>
      <c r="R23" s="122">
        <f t="shared" si="4"/>
        <v>55</v>
      </c>
      <c r="S23" s="122">
        <f t="shared" si="4"/>
        <v>54</v>
      </c>
      <c r="T23" s="122">
        <f t="shared" si="4"/>
        <v>53</v>
      </c>
      <c r="U23" s="122">
        <f t="shared" si="4"/>
        <v>52</v>
      </c>
      <c r="V23" s="122">
        <f t="shared" si="4"/>
        <v>51</v>
      </c>
      <c r="W23" s="122">
        <f t="shared" si="4"/>
        <v>50</v>
      </c>
      <c r="X23" s="122">
        <f t="shared" si="4"/>
        <v>49</v>
      </c>
      <c r="Y23" s="122">
        <f t="shared" si="4"/>
        <v>48</v>
      </c>
      <c r="Z23" s="122">
        <f t="shared" si="4"/>
        <v>47</v>
      </c>
      <c r="AA23" s="122">
        <f t="shared" si="4"/>
        <v>46</v>
      </c>
      <c r="AB23" s="122">
        <f t="shared" si="4"/>
        <v>45</v>
      </c>
      <c r="AC23" s="122">
        <f t="shared" si="4"/>
        <v>44</v>
      </c>
      <c r="AD23" s="122">
        <f t="shared" si="4"/>
        <v>43</v>
      </c>
      <c r="AE23" s="122">
        <f t="shared" si="4"/>
        <v>42</v>
      </c>
      <c r="AF23" s="122">
        <f t="shared" si="4"/>
        <v>41</v>
      </c>
      <c r="AG23" s="122">
        <f t="shared" si="4"/>
        <v>40</v>
      </c>
      <c r="AH23" s="122">
        <f t="shared" si="4"/>
        <v>39</v>
      </c>
      <c r="AI23" s="122">
        <f t="shared" si="4"/>
        <v>38</v>
      </c>
      <c r="AJ23" s="122">
        <f t="shared" si="4"/>
        <v>37</v>
      </c>
      <c r="AK23" s="122">
        <f t="shared" si="4"/>
        <v>36</v>
      </c>
      <c r="AL23" s="122">
        <f t="shared" si="4"/>
        <v>35</v>
      </c>
      <c r="AM23" s="122">
        <f t="shared" si="4"/>
        <v>34</v>
      </c>
      <c r="AN23" s="122">
        <f>AO23+1</f>
        <v>33</v>
      </c>
      <c r="AO23" s="122">
        <v>32</v>
      </c>
    </row>
    <row r="24" spans="2:46" ht="32.25">
      <c r="B24" s="123"/>
      <c r="C24" s="134"/>
      <c r="D24" s="148"/>
      <c r="E24" s="147" t="s">
        <v>1815</v>
      </c>
      <c r="F24" s="132" t="s">
        <v>1835</v>
      </c>
      <c r="G24" s="133"/>
      <c r="I24" s="122" t="s">
        <v>1831</v>
      </c>
      <c r="J24" s="143" t="str">
        <f t="shared" ref="J24:AN24" si="5">"0x"&amp;DEC2HEX(J23,2)</f>
        <v>0x3F</v>
      </c>
      <c r="K24" s="143" t="str">
        <f t="shared" si="5"/>
        <v>0x3E</v>
      </c>
      <c r="L24" s="143" t="str">
        <f t="shared" si="5"/>
        <v>0x3D</v>
      </c>
      <c r="M24" s="143" t="str">
        <f t="shared" si="5"/>
        <v>0x3C</v>
      </c>
      <c r="N24" s="143" t="str">
        <f t="shared" si="5"/>
        <v>0x3B</v>
      </c>
      <c r="O24" s="143" t="str">
        <f t="shared" si="5"/>
        <v>0x3A</v>
      </c>
      <c r="P24" s="143" t="str">
        <f t="shared" si="5"/>
        <v>0x39</v>
      </c>
      <c r="Q24" s="143" t="str">
        <f t="shared" si="5"/>
        <v>0x38</v>
      </c>
      <c r="R24" s="143" t="str">
        <f t="shared" si="5"/>
        <v>0x37</v>
      </c>
      <c r="S24" s="143" t="str">
        <f t="shared" si="5"/>
        <v>0x36</v>
      </c>
      <c r="T24" s="143" t="str">
        <f t="shared" si="5"/>
        <v>0x35</v>
      </c>
      <c r="U24" s="143" t="str">
        <f t="shared" si="5"/>
        <v>0x34</v>
      </c>
      <c r="V24" s="143" t="str">
        <f t="shared" si="5"/>
        <v>0x33</v>
      </c>
      <c r="W24" s="143" t="str">
        <f t="shared" si="5"/>
        <v>0x32</v>
      </c>
      <c r="X24" s="143" t="str">
        <f t="shared" si="5"/>
        <v>0x31</v>
      </c>
      <c r="Y24" s="143" t="str">
        <f t="shared" si="5"/>
        <v>0x30</v>
      </c>
      <c r="Z24" s="143" t="str">
        <f t="shared" si="5"/>
        <v>0x2F</v>
      </c>
      <c r="AA24" s="143" t="str">
        <f t="shared" si="5"/>
        <v>0x2E</v>
      </c>
      <c r="AB24" s="143" t="str">
        <f t="shared" si="5"/>
        <v>0x2D</v>
      </c>
      <c r="AC24" s="143" t="str">
        <f t="shared" si="5"/>
        <v>0x2C</v>
      </c>
      <c r="AD24" s="143" t="str">
        <f t="shared" si="5"/>
        <v>0x2B</v>
      </c>
      <c r="AE24" s="143" t="str">
        <f t="shared" si="5"/>
        <v>0x2A</v>
      </c>
      <c r="AF24" s="143" t="str">
        <f t="shared" si="5"/>
        <v>0x29</v>
      </c>
      <c r="AG24" s="143" t="str">
        <f t="shared" si="5"/>
        <v>0x28</v>
      </c>
      <c r="AH24" s="143" t="str">
        <f t="shared" si="5"/>
        <v>0x27</v>
      </c>
      <c r="AI24" s="143" t="str">
        <f t="shared" si="5"/>
        <v>0x26</v>
      </c>
      <c r="AJ24" s="143" t="str">
        <f t="shared" si="5"/>
        <v>0x25</v>
      </c>
      <c r="AK24" s="143" t="str">
        <f t="shared" si="5"/>
        <v>0x24</v>
      </c>
      <c r="AL24" s="143" t="str">
        <f t="shared" si="5"/>
        <v>0x23</v>
      </c>
      <c r="AM24" s="143" t="str">
        <f t="shared" si="5"/>
        <v>0x22</v>
      </c>
      <c r="AN24" s="143" t="str">
        <f t="shared" si="5"/>
        <v>0x21</v>
      </c>
      <c r="AO24" s="143" t="str">
        <f>"0x"&amp;DEC2HEX(AO23,2)</f>
        <v>0x20</v>
      </c>
    </row>
    <row r="25" spans="2:46" ht="19.5" thickBot="1">
      <c r="B25" s="151"/>
      <c r="C25" s="152"/>
      <c r="D25" s="153"/>
      <c r="E25" s="154" t="s">
        <v>1816</v>
      </c>
      <c r="F25" s="155" t="s">
        <v>1799</v>
      </c>
      <c r="G25" s="156" t="s">
        <v>1824</v>
      </c>
      <c r="I25" s="122" t="s">
        <v>1825</v>
      </c>
      <c r="J25" s="130">
        <v>1</v>
      </c>
      <c r="K25" s="130">
        <v>1</v>
      </c>
      <c r="L25" s="130">
        <v>1</v>
      </c>
      <c r="M25" s="130">
        <v>1</v>
      </c>
      <c r="N25" s="130">
        <v>1</v>
      </c>
      <c r="O25" s="130">
        <v>1</v>
      </c>
      <c r="P25" s="130">
        <v>1</v>
      </c>
      <c r="Q25" s="130">
        <v>1</v>
      </c>
      <c r="R25" s="130">
        <v>1</v>
      </c>
      <c r="S25" s="130">
        <v>1</v>
      </c>
      <c r="T25" s="130">
        <v>1</v>
      </c>
      <c r="U25" s="130">
        <v>1</v>
      </c>
      <c r="V25" s="130">
        <v>1</v>
      </c>
      <c r="W25" s="130">
        <v>1</v>
      </c>
      <c r="X25" s="130">
        <v>1</v>
      </c>
      <c r="Y25" s="130">
        <v>1</v>
      </c>
      <c r="Z25" s="130">
        <v>1</v>
      </c>
      <c r="AA25" s="130">
        <v>1</v>
      </c>
      <c r="AB25" s="130">
        <v>1</v>
      </c>
      <c r="AC25" s="130">
        <v>1</v>
      </c>
      <c r="AD25" s="130">
        <v>1</v>
      </c>
      <c r="AE25" s="130">
        <v>1</v>
      </c>
      <c r="AF25" s="130">
        <v>1</v>
      </c>
      <c r="AG25" s="130">
        <v>1</v>
      </c>
      <c r="AH25" s="130">
        <v>1</v>
      </c>
      <c r="AI25" s="130">
        <v>1</v>
      </c>
      <c r="AJ25" s="130">
        <v>1</v>
      </c>
      <c r="AK25" s="130">
        <v>1</v>
      </c>
      <c r="AL25" s="130">
        <v>1</v>
      </c>
      <c r="AM25" s="130">
        <v>1</v>
      </c>
      <c r="AN25" s="130">
        <v>1</v>
      </c>
      <c r="AO25" s="130">
        <v>1</v>
      </c>
    </row>
    <row r="26" spans="2:46">
      <c r="B26" s="157" t="s">
        <v>1837</v>
      </c>
      <c r="Q26" s="122" t="str">
        <f>LOWER(BIN2HEX(J25&amp;K25&amp;L25&amp;M25&amp;N25&amp;O25&amp;P25&amp;Q25,2))</f>
        <v>ff</v>
      </c>
      <c r="Y26" s="122" t="str">
        <f>LOWER(BIN2HEX(R25&amp;S25&amp;T25&amp;U25&amp;V25&amp;W25&amp;X25&amp;Y25,2))</f>
        <v>ff</v>
      </c>
      <c r="AG26" s="122" t="str">
        <f>LOWER(BIN2HEX(Z25&amp;AA25&amp;AB25&amp;AC25&amp;AD25&amp;AE25&amp;AF25&amp;AG25,2))</f>
        <v>ff</v>
      </c>
      <c r="AO26" s="122" t="str">
        <f>LOWER(BIN2HEX(AH25&amp;AI25&amp;AJ25&amp;AK25&amp;AL25&amp;AM25&amp;AN25&amp;AO25,2))</f>
        <v>ff</v>
      </c>
      <c r="AQ26" s="122" t="str">
        <f>"(U4)0x"&amp;Q26&amp;Y26&amp;AG26&amp;AO26&amp;"U,"</f>
        <v>(U4)0xffffffffU,</v>
      </c>
    </row>
    <row r="27" spans="2:46">
      <c r="I27" s="122" t="s">
        <v>1826</v>
      </c>
      <c r="J27" s="122">
        <v>1</v>
      </c>
      <c r="K27" s="122">
        <v>1</v>
      </c>
      <c r="L27" s="122">
        <v>1</v>
      </c>
      <c r="M27" s="122">
        <v>1</v>
      </c>
      <c r="N27" s="122">
        <v>1</v>
      </c>
      <c r="O27" s="122">
        <v>1</v>
      </c>
      <c r="P27" s="122">
        <v>1</v>
      </c>
      <c r="Q27" s="122">
        <v>1</v>
      </c>
      <c r="R27" s="122">
        <v>1</v>
      </c>
      <c r="S27" s="122">
        <v>1</v>
      </c>
      <c r="T27" s="122">
        <v>1</v>
      </c>
      <c r="U27" s="122">
        <v>1</v>
      </c>
      <c r="V27" s="122">
        <v>1</v>
      </c>
      <c r="W27" s="122">
        <v>1</v>
      </c>
      <c r="X27" s="122">
        <v>1</v>
      </c>
      <c r="Y27" s="122">
        <v>1</v>
      </c>
      <c r="Z27" s="122">
        <v>1</v>
      </c>
      <c r="AA27" s="122">
        <v>1</v>
      </c>
      <c r="AB27" s="122">
        <v>1</v>
      </c>
      <c r="AC27" s="122">
        <v>1</v>
      </c>
      <c r="AD27" s="122">
        <v>1</v>
      </c>
      <c r="AE27" s="122">
        <v>1</v>
      </c>
      <c r="AF27" s="122">
        <v>1</v>
      </c>
      <c r="AG27" s="122">
        <v>1</v>
      </c>
      <c r="AH27" s="122">
        <v>1</v>
      </c>
      <c r="AI27" s="122">
        <v>1</v>
      </c>
      <c r="AJ27" s="122">
        <v>1</v>
      </c>
      <c r="AK27" s="122">
        <v>1</v>
      </c>
      <c r="AL27" s="122">
        <v>1</v>
      </c>
      <c r="AM27" s="122">
        <v>1</v>
      </c>
      <c r="AN27" s="122">
        <v>1</v>
      </c>
      <c r="AO27" s="122">
        <v>1</v>
      </c>
    </row>
    <row r="28" spans="2:46">
      <c r="Q28" s="122" t="str">
        <f>LOWER(BIN2HEX(J27&amp;K27&amp;L27&amp;M27&amp;N27&amp;O27&amp;P27&amp;Q27,2))</f>
        <v>ff</v>
      </c>
      <c r="Y28" s="122" t="str">
        <f>LOWER(BIN2HEX(R27&amp;S27&amp;T27&amp;U27&amp;V27&amp;W27&amp;X27&amp;Y27,2))</f>
        <v>ff</v>
      </c>
      <c r="AG28" s="122" t="str">
        <f>LOWER(BIN2HEX(Z27&amp;AA27&amp;AB27&amp;AC27&amp;AD27&amp;AE27&amp;AF27&amp;AG27,2))</f>
        <v>ff</v>
      </c>
      <c r="AO28" s="122" t="str">
        <f>LOWER(BIN2HEX(AH27&amp;AI27&amp;AJ27&amp;AK27&amp;AL27&amp;AM27&amp;AN27&amp;AO27,2))</f>
        <v>ff</v>
      </c>
      <c r="AR28" s="122" t="str">
        <f>"(U4)0x"&amp;Q28&amp;Y28&amp;AG28&amp;AO28&amp;"U,"</f>
        <v>(U4)0xffffffffU,</v>
      </c>
    </row>
    <row r="29" spans="2:46">
      <c r="I29" s="122" t="s">
        <v>1827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6">
        <v>0</v>
      </c>
      <c r="Y29" s="146">
        <v>0</v>
      </c>
      <c r="Z29" s="146">
        <v>0</v>
      </c>
      <c r="AA29" s="146">
        <v>0</v>
      </c>
      <c r="AB29" s="146">
        <v>0</v>
      </c>
      <c r="AC29" s="146">
        <v>0</v>
      </c>
      <c r="AD29" s="146">
        <v>0</v>
      </c>
      <c r="AE29" s="146">
        <v>0</v>
      </c>
      <c r="AF29" s="146">
        <v>0</v>
      </c>
      <c r="AG29" s="146">
        <v>0</v>
      </c>
      <c r="AH29" s="146">
        <v>0</v>
      </c>
      <c r="AI29" s="146">
        <v>0</v>
      </c>
      <c r="AJ29" s="146">
        <v>0</v>
      </c>
      <c r="AK29" s="146">
        <v>0</v>
      </c>
      <c r="AL29" s="146">
        <v>0</v>
      </c>
      <c r="AM29" s="146">
        <v>0</v>
      </c>
      <c r="AN29" s="146">
        <v>0</v>
      </c>
      <c r="AO29" s="146">
        <v>0</v>
      </c>
    </row>
    <row r="30" spans="2:46">
      <c r="Q30" s="122" t="str">
        <f>LOWER(BIN2HEX(J29&amp;K29&amp;L29&amp;M29&amp;N29&amp;O29&amp;P29&amp;Q29,2))</f>
        <v>00</v>
      </c>
      <c r="Y30" s="122" t="str">
        <f>LOWER(BIN2HEX(R29&amp;S29&amp;T29&amp;U29&amp;V29&amp;W29&amp;X29&amp;Y29,2))</f>
        <v>00</v>
      </c>
      <c r="AG30" s="122" t="str">
        <f>LOWER(BIN2HEX(Z29&amp;AA29&amp;AB29&amp;AC29&amp;AD29&amp;AE29&amp;AF29&amp;AG29,2))</f>
        <v>00</v>
      </c>
      <c r="AO30" s="122" t="str">
        <f>LOWER(BIN2HEX(AH29&amp;AI29&amp;AJ29&amp;AK29&amp;AL29&amp;AM29&amp;AN29&amp;AO29,2))</f>
        <v>00</v>
      </c>
      <c r="AS30" s="122" t="str">
        <f>"(U4)0x"&amp;Q30&amp;Y30&amp;AG30&amp;AO30&amp;"U,"</f>
        <v>(U4)0x00000000U,</v>
      </c>
      <c r="AT30" s="122"/>
    </row>
    <row r="31" spans="2:46">
      <c r="I31" s="122" t="s">
        <v>1828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46">
        <v>0</v>
      </c>
      <c r="AC31" s="146">
        <v>0</v>
      </c>
      <c r="AD31" s="146">
        <v>0</v>
      </c>
      <c r="AE31" s="146">
        <v>0</v>
      </c>
      <c r="AF31" s="146">
        <v>0</v>
      </c>
      <c r="AG31" s="146">
        <v>0</v>
      </c>
      <c r="AH31" s="146">
        <v>0</v>
      </c>
      <c r="AI31" s="146">
        <v>0</v>
      </c>
      <c r="AJ31" s="146">
        <v>0</v>
      </c>
      <c r="AK31" s="146">
        <v>0</v>
      </c>
      <c r="AL31" s="146">
        <v>0</v>
      </c>
      <c r="AM31" s="146">
        <v>0</v>
      </c>
      <c r="AN31" s="146">
        <v>0</v>
      </c>
      <c r="AO31" s="146">
        <v>0</v>
      </c>
    </row>
    <row r="32" spans="2:46">
      <c r="Q32" s="122" t="str">
        <f>LOWER(BIN2HEX(J31&amp;K31&amp;L31&amp;M31&amp;N31&amp;O31&amp;P31&amp;Q31,2))</f>
        <v>00</v>
      </c>
      <c r="Y32" s="122" t="str">
        <f>LOWER(BIN2HEX(R31&amp;S31&amp;T31&amp;U31&amp;V31&amp;W31&amp;X31&amp;Y31,2))</f>
        <v>00</v>
      </c>
      <c r="AG32" s="122" t="str">
        <f>LOWER(BIN2HEX(Z31&amp;AA31&amp;AB31&amp;AC31&amp;AD31&amp;AE31&amp;AF31&amp;AG31,2))</f>
        <v>00</v>
      </c>
      <c r="AO32" s="122" t="str">
        <f>LOWER(BIN2HEX(AH31&amp;AI31&amp;AJ31&amp;AK31&amp;AL31&amp;AM31&amp;AN31&amp;AO31,2))</f>
        <v>00</v>
      </c>
      <c r="AS32" s="122"/>
      <c r="AT32" s="122" t="str">
        <f>"(U4)0x"&amp;Q32&amp;Y32&amp;AG32&amp;AO32&amp;"U,"</f>
        <v>(U4)0x00000000U,</v>
      </c>
    </row>
    <row r="34" spans="9:46">
      <c r="I34" s="122" t="s">
        <v>1829</v>
      </c>
      <c r="J34" s="122">
        <f t="shared" ref="J34:AM34" si="6">K34+1</f>
        <v>95</v>
      </c>
      <c r="K34" s="122">
        <f t="shared" si="6"/>
        <v>94</v>
      </c>
      <c r="L34" s="122">
        <f t="shared" si="6"/>
        <v>93</v>
      </c>
      <c r="M34" s="122">
        <f t="shared" si="6"/>
        <v>92</v>
      </c>
      <c r="N34" s="122">
        <f t="shared" si="6"/>
        <v>91</v>
      </c>
      <c r="O34" s="122">
        <f t="shared" si="6"/>
        <v>90</v>
      </c>
      <c r="P34" s="122">
        <f t="shared" si="6"/>
        <v>89</v>
      </c>
      <c r="Q34" s="122">
        <f t="shared" si="6"/>
        <v>88</v>
      </c>
      <c r="R34" s="122">
        <f t="shared" si="6"/>
        <v>87</v>
      </c>
      <c r="S34" s="122">
        <f t="shared" si="6"/>
        <v>86</v>
      </c>
      <c r="T34" s="122">
        <f t="shared" si="6"/>
        <v>85</v>
      </c>
      <c r="U34" s="122">
        <f t="shared" si="6"/>
        <v>84</v>
      </c>
      <c r="V34" s="122">
        <f t="shared" si="6"/>
        <v>83</v>
      </c>
      <c r="W34" s="122">
        <f t="shared" si="6"/>
        <v>82</v>
      </c>
      <c r="X34" s="122">
        <f t="shared" si="6"/>
        <v>81</v>
      </c>
      <c r="Y34" s="122">
        <f t="shared" si="6"/>
        <v>80</v>
      </c>
      <c r="Z34" s="122">
        <f t="shared" si="6"/>
        <v>79</v>
      </c>
      <c r="AA34" s="122">
        <f t="shared" si="6"/>
        <v>78</v>
      </c>
      <c r="AB34" s="122">
        <f t="shared" si="6"/>
        <v>77</v>
      </c>
      <c r="AC34" s="122">
        <f t="shared" si="6"/>
        <v>76</v>
      </c>
      <c r="AD34" s="122">
        <f t="shared" si="6"/>
        <v>75</v>
      </c>
      <c r="AE34" s="122">
        <f t="shared" si="6"/>
        <v>74</v>
      </c>
      <c r="AF34" s="122">
        <f t="shared" si="6"/>
        <v>73</v>
      </c>
      <c r="AG34" s="122">
        <f t="shared" si="6"/>
        <v>72</v>
      </c>
      <c r="AH34" s="122">
        <f t="shared" si="6"/>
        <v>71</v>
      </c>
      <c r="AI34" s="122">
        <f t="shared" si="6"/>
        <v>70</v>
      </c>
      <c r="AJ34" s="122">
        <f t="shared" si="6"/>
        <v>69</v>
      </c>
      <c r="AK34" s="122">
        <f t="shared" si="6"/>
        <v>68</v>
      </c>
      <c r="AL34" s="122">
        <f t="shared" si="6"/>
        <v>67</v>
      </c>
      <c r="AM34" s="122">
        <f t="shared" si="6"/>
        <v>66</v>
      </c>
      <c r="AN34" s="122">
        <f>AO34+1</f>
        <v>65</v>
      </c>
      <c r="AO34" s="122">
        <v>64</v>
      </c>
    </row>
    <row r="35" spans="9:46" ht="32.25">
      <c r="I35" s="122" t="s">
        <v>1831</v>
      </c>
      <c r="J35" s="143" t="str">
        <f t="shared" ref="J35:AN35" si="7">"0x"&amp;DEC2HEX(J34,2)</f>
        <v>0x5F</v>
      </c>
      <c r="K35" s="143" t="str">
        <f t="shared" si="7"/>
        <v>0x5E</v>
      </c>
      <c r="L35" s="143" t="str">
        <f t="shared" si="7"/>
        <v>0x5D</v>
      </c>
      <c r="M35" s="143" t="str">
        <f t="shared" si="7"/>
        <v>0x5C</v>
      </c>
      <c r="N35" s="143" t="str">
        <f t="shared" si="7"/>
        <v>0x5B</v>
      </c>
      <c r="O35" s="143" t="str">
        <f t="shared" si="7"/>
        <v>0x5A</v>
      </c>
      <c r="P35" s="143" t="str">
        <f t="shared" si="7"/>
        <v>0x59</v>
      </c>
      <c r="Q35" s="143" t="str">
        <f t="shared" si="7"/>
        <v>0x58</v>
      </c>
      <c r="R35" s="143" t="str">
        <f t="shared" si="7"/>
        <v>0x57</v>
      </c>
      <c r="S35" s="143" t="str">
        <f t="shared" si="7"/>
        <v>0x56</v>
      </c>
      <c r="T35" s="143" t="str">
        <f t="shared" si="7"/>
        <v>0x55</v>
      </c>
      <c r="U35" s="143" t="str">
        <f t="shared" si="7"/>
        <v>0x54</v>
      </c>
      <c r="V35" s="143" t="str">
        <f t="shared" si="7"/>
        <v>0x53</v>
      </c>
      <c r="W35" s="143" t="str">
        <f t="shared" si="7"/>
        <v>0x52</v>
      </c>
      <c r="X35" s="143" t="str">
        <f t="shared" si="7"/>
        <v>0x51</v>
      </c>
      <c r="Y35" s="143" t="str">
        <f t="shared" si="7"/>
        <v>0x50</v>
      </c>
      <c r="Z35" s="143" t="str">
        <f t="shared" si="7"/>
        <v>0x4F</v>
      </c>
      <c r="AA35" s="143" t="str">
        <f t="shared" si="7"/>
        <v>0x4E</v>
      </c>
      <c r="AB35" s="143" t="str">
        <f t="shared" si="7"/>
        <v>0x4D</v>
      </c>
      <c r="AC35" s="143" t="str">
        <f t="shared" si="7"/>
        <v>0x4C</v>
      </c>
      <c r="AD35" s="143" t="str">
        <f t="shared" si="7"/>
        <v>0x4B</v>
      </c>
      <c r="AE35" s="143" t="str">
        <f t="shared" si="7"/>
        <v>0x4A</v>
      </c>
      <c r="AF35" s="143" t="str">
        <f t="shared" si="7"/>
        <v>0x49</v>
      </c>
      <c r="AG35" s="143" t="str">
        <f t="shared" si="7"/>
        <v>0x48</v>
      </c>
      <c r="AH35" s="143" t="str">
        <f t="shared" si="7"/>
        <v>0x47</v>
      </c>
      <c r="AI35" s="143" t="str">
        <f t="shared" si="7"/>
        <v>0x46</v>
      </c>
      <c r="AJ35" s="143" t="str">
        <f t="shared" si="7"/>
        <v>0x45</v>
      </c>
      <c r="AK35" s="143" t="str">
        <f t="shared" si="7"/>
        <v>0x44</v>
      </c>
      <c r="AL35" s="143" t="str">
        <f t="shared" si="7"/>
        <v>0x43</v>
      </c>
      <c r="AM35" s="143" t="str">
        <f t="shared" si="7"/>
        <v>0x42</v>
      </c>
      <c r="AN35" s="143" t="str">
        <f t="shared" si="7"/>
        <v>0x41</v>
      </c>
      <c r="AO35" s="143" t="str">
        <f>"0x"&amp;DEC2HEX(AO34,2)</f>
        <v>0x40</v>
      </c>
    </row>
    <row r="36" spans="9:46">
      <c r="I36" s="122" t="s">
        <v>1825</v>
      </c>
      <c r="J36" s="130">
        <v>1</v>
      </c>
      <c r="K36" s="130">
        <v>1</v>
      </c>
      <c r="L36" s="130">
        <v>1</v>
      </c>
      <c r="M36" s="130">
        <v>1</v>
      </c>
      <c r="N36" s="130">
        <v>1</v>
      </c>
      <c r="O36" s="130">
        <v>1</v>
      </c>
      <c r="P36" s="130">
        <v>1</v>
      </c>
      <c r="Q36" s="130">
        <v>1</v>
      </c>
      <c r="R36" s="130">
        <v>1</v>
      </c>
      <c r="S36" s="130">
        <v>1</v>
      </c>
      <c r="T36" s="130">
        <v>1</v>
      </c>
      <c r="U36" s="130">
        <v>1</v>
      </c>
      <c r="V36" s="130">
        <v>1</v>
      </c>
      <c r="W36" s="130">
        <v>1</v>
      </c>
      <c r="X36" s="130">
        <v>1</v>
      </c>
      <c r="Y36" s="130">
        <v>1</v>
      </c>
      <c r="Z36" s="130">
        <v>1</v>
      </c>
      <c r="AA36" s="130">
        <v>1</v>
      </c>
      <c r="AB36" s="130">
        <v>1</v>
      </c>
      <c r="AC36" s="130">
        <v>1</v>
      </c>
      <c r="AD36" s="130">
        <v>1</v>
      </c>
      <c r="AE36" s="130">
        <v>1</v>
      </c>
      <c r="AF36" s="130">
        <v>1</v>
      </c>
      <c r="AG36" s="130">
        <v>1</v>
      </c>
      <c r="AH36" s="130">
        <v>1</v>
      </c>
      <c r="AI36" s="130">
        <v>1</v>
      </c>
      <c r="AJ36" s="130">
        <v>1</v>
      </c>
      <c r="AK36" s="130">
        <v>1</v>
      </c>
      <c r="AL36" s="130">
        <v>1</v>
      </c>
      <c r="AM36" s="130">
        <v>1</v>
      </c>
      <c r="AN36" s="130">
        <v>1</v>
      </c>
      <c r="AO36" s="130">
        <v>1</v>
      </c>
    </row>
    <row r="37" spans="9:46">
      <c r="Q37" s="122" t="str">
        <f>LOWER(BIN2HEX(J36&amp;K36&amp;L36&amp;M36&amp;N36&amp;O36&amp;P36&amp;Q36,2))</f>
        <v>ff</v>
      </c>
      <c r="Y37" s="122" t="str">
        <f>LOWER(BIN2HEX(R36&amp;S36&amp;T36&amp;U36&amp;V36&amp;W36&amp;X36&amp;Y36,2))</f>
        <v>ff</v>
      </c>
      <c r="AG37" s="122" t="str">
        <f>LOWER(BIN2HEX(Z36&amp;AA36&amp;AB36&amp;AC36&amp;AD36&amp;AE36&amp;AF36&amp;AG36,2))</f>
        <v>ff</v>
      </c>
      <c r="AO37" s="122" t="str">
        <f>LOWER(BIN2HEX(AH36&amp;AI36&amp;AJ36&amp;AK36&amp;AL36&amp;AM36&amp;AN36&amp;AO36,2))</f>
        <v>ff</v>
      </c>
      <c r="AQ37" s="122" t="str">
        <f>"(U4)0x"&amp;Q37&amp;Y37&amp;AG37&amp;AO37&amp;"U,"</f>
        <v>(U4)0xffffffffU,</v>
      </c>
    </row>
    <row r="38" spans="9:46">
      <c r="I38" s="122" t="s">
        <v>1826</v>
      </c>
      <c r="J38" s="122">
        <v>1</v>
      </c>
      <c r="K38" s="122">
        <v>1</v>
      </c>
      <c r="L38" s="122">
        <v>1</v>
      </c>
      <c r="M38" s="122">
        <v>1</v>
      </c>
      <c r="N38" s="122">
        <v>1</v>
      </c>
      <c r="O38" s="122">
        <v>1</v>
      </c>
      <c r="P38" s="122">
        <v>1</v>
      </c>
      <c r="Q38" s="122">
        <v>1</v>
      </c>
      <c r="R38" s="122">
        <v>1</v>
      </c>
      <c r="S38" s="122">
        <v>1</v>
      </c>
      <c r="T38" s="122">
        <v>1</v>
      </c>
      <c r="U38" s="122">
        <v>1</v>
      </c>
      <c r="V38" s="122">
        <v>1</v>
      </c>
      <c r="W38" s="122">
        <v>1</v>
      </c>
      <c r="X38" s="122">
        <v>1</v>
      </c>
      <c r="Y38" s="122">
        <v>1</v>
      </c>
      <c r="Z38" s="122">
        <v>1</v>
      </c>
      <c r="AA38" s="122">
        <v>1</v>
      </c>
      <c r="AB38" s="122">
        <v>1</v>
      </c>
      <c r="AC38" s="122">
        <v>1</v>
      </c>
      <c r="AD38" s="122">
        <v>1</v>
      </c>
      <c r="AE38" s="122">
        <v>1</v>
      </c>
      <c r="AF38" s="122">
        <v>1</v>
      </c>
      <c r="AG38" s="122">
        <v>1</v>
      </c>
      <c r="AH38" s="122">
        <v>1</v>
      </c>
      <c r="AI38" s="122">
        <v>1</v>
      </c>
      <c r="AJ38" s="122">
        <v>1</v>
      </c>
      <c r="AK38" s="122">
        <v>1</v>
      </c>
      <c r="AL38" s="122">
        <v>1</v>
      </c>
      <c r="AM38" s="122">
        <v>1</v>
      </c>
      <c r="AN38" s="122">
        <v>1</v>
      </c>
      <c r="AO38" s="122">
        <v>1</v>
      </c>
    </row>
    <row r="39" spans="9:46">
      <c r="Q39" s="122" t="str">
        <f>LOWER(BIN2HEX(J38&amp;K38&amp;L38&amp;M38&amp;N38&amp;O38&amp;P38&amp;Q38,2))</f>
        <v>ff</v>
      </c>
      <c r="Y39" s="122" t="str">
        <f>LOWER(BIN2HEX(R38&amp;S38&amp;T38&amp;U38&amp;V38&amp;W38&amp;X38&amp;Y38,2))</f>
        <v>ff</v>
      </c>
      <c r="AG39" s="122" t="str">
        <f>LOWER(BIN2HEX(Z38&amp;AA38&amp;AB38&amp;AC38&amp;AD38&amp;AE38&amp;AF38&amp;AG38,2))</f>
        <v>ff</v>
      </c>
      <c r="AO39" s="122" t="str">
        <f>LOWER(BIN2HEX(AH38&amp;AI38&amp;AJ38&amp;AK38&amp;AL38&amp;AM38&amp;AN38&amp;AO38,2))</f>
        <v>ff</v>
      </c>
      <c r="AR39" s="122" t="str">
        <f>"(U4)0x"&amp;Q39&amp;Y39&amp;AG39&amp;AO39&amp;"U,"</f>
        <v>(U4)0xffffffffU,</v>
      </c>
    </row>
    <row r="40" spans="9:46">
      <c r="I40" s="122" t="s">
        <v>1827</v>
      </c>
      <c r="J40" s="146">
        <v>0</v>
      </c>
      <c r="K40" s="146">
        <v>0</v>
      </c>
      <c r="L40" s="146">
        <v>0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0</v>
      </c>
      <c r="AA40" s="146">
        <v>0</v>
      </c>
      <c r="AB40" s="146">
        <v>0</v>
      </c>
      <c r="AC40" s="146">
        <v>0</v>
      </c>
      <c r="AD40" s="146">
        <v>0</v>
      </c>
      <c r="AE40" s="146">
        <v>0</v>
      </c>
      <c r="AF40" s="146">
        <v>0</v>
      </c>
      <c r="AG40" s="146">
        <v>0</v>
      </c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>
        <v>0</v>
      </c>
    </row>
    <row r="41" spans="9:46">
      <c r="Q41" s="122" t="str">
        <f>LOWER(BIN2HEX(J40&amp;K40&amp;L40&amp;M40&amp;N40&amp;O40&amp;P40&amp;Q40,2))</f>
        <v>00</v>
      </c>
      <c r="Y41" s="122" t="str">
        <f>LOWER(BIN2HEX(R40&amp;S40&amp;T40&amp;U40&amp;V40&amp;W40&amp;X40&amp;Y40,2))</f>
        <v>00</v>
      </c>
      <c r="AG41" s="122" t="str">
        <f>LOWER(BIN2HEX(Z40&amp;AA40&amp;AB40&amp;AC40&amp;AD40&amp;AE40&amp;AF40&amp;AG40,2))</f>
        <v>00</v>
      </c>
      <c r="AO41" s="122" t="str">
        <f>LOWER(BIN2HEX(AH40&amp;AI40&amp;AJ40&amp;AK40&amp;AL40&amp;AM40&amp;AN40&amp;AO40,2))</f>
        <v>00</v>
      </c>
      <c r="AS41" s="122" t="str">
        <f>"(U4)0x"&amp;Q41&amp;Y41&amp;AG41&amp;AO41&amp;"U,"</f>
        <v>(U4)0x00000000U,</v>
      </c>
      <c r="AT41" s="122"/>
    </row>
    <row r="42" spans="9:46">
      <c r="I42" s="122" t="s">
        <v>1828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146">
        <v>0</v>
      </c>
      <c r="AD42" s="146">
        <v>0</v>
      </c>
      <c r="AE42" s="146">
        <v>0</v>
      </c>
      <c r="AF42" s="146">
        <v>0</v>
      </c>
      <c r="AG42" s="146">
        <v>0</v>
      </c>
      <c r="AH42" s="146">
        <v>0</v>
      </c>
      <c r="AI42" s="146">
        <v>0</v>
      </c>
      <c r="AJ42" s="146">
        <v>0</v>
      </c>
      <c r="AK42" s="146">
        <v>0</v>
      </c>
      <c r="AL42" s="146">
        <v>0</v>
      </c>
      <c r="AM42" s="146">
        <v>0</v>
      </c>
      <c r="AN42" s="146">
        <v>0</v>
      </c>
      <c r="AO42" s="146">
        <v>0</v>
      </c>
    </row>
    <row r="43" spans="9:46">
      <c r="Q43" s="122" t="str">
        <f>LOWER(BIN2HEX(J42&amp;K42&amp;L42&amp;M42&amp;N42&amp;O42&amp;P42&amp;Q42,2))</f>
        <v>00</v>
      </c>
      <c r="Y43" s="122" t="str">
        <f>LOWER(BIN2HEX(R42&amp;S42&amp;T42&amp;U42&amp;V42&amp;W42&amp;X42&amp;Y42,2))</f>
        <v>00</v>
      </c>
      <c r="AG43" s="122" t="str">
        <f>LOWER(BIN2HEX(Z42&amp;AA42&amp;AB42&amp;AC42&amp;AD42&amp;AE42&amp;AF42&amp;AG42,2))</f>
        <v>00</v>
      </c>
      <c r="AO43" s="122" t="str">
        <f>LOWER(BIN2HEX(AH42&amp;AI42&amp;AJ42&amp;AK42&amp;AL42&amp;AM42&amp;AN42&amp;AO42,2))</f>
        <v>00</v>
      </c>
      <c r="AS43" s="122"/>
      <c r="AT43" s="122" t="str">
        <f>"(U4)0x"&amp;Q43&amp;Y43&amp;AG43&amp;AO43&amp;"U,"</f>
        <v>(U4)0x00000000U,</v>
      </c>
    </row>
    <row r="45" spans="9:46">
      <c r="I45" s="122" t="s">
        <v>1829</v>
      </c>
      <c r="J45" s="122">
        <f t="shared" ref="J45:AM45" si="8">K45+1</f>
        <v>127</v>
      </c>
      <c r="K45" s="122">
        <f t="shared" si="8"/>
        <v>126</v>
      </c>
      <c r="L45" s="122">
        <f t="shared" si="8"/>
        <v>125</v>
      </c>
      <c r="M45" s="122">
        <f t="shared" si="8"/>
        <v>124</v>
      </c>
      <c r="N45" s="122">
        <f t="shared" si="8"/>
        <v>123</v>
      </c>
      <c r="O45" s="122">
        <f t="shared" si="8"/>
        <v>122</v>
      </c>
      <c r="P45" s="122">
        <f t="shared" si="8"/>
        <v>121</v>
      </c>
      <c r="Q45" s="122">
        <f t="shared" si="8"/>
        <v>120</v>
      </c>
      <c r="R45" s="122">
        <f t="shared" si="8"/>
        <v>119</v>
      </c>
      <c r="S45" s="122">
        <f t="shared" si="8"/>
        <v>118</v>
      </c>
      <c r="T45" s="122">
        <f t="shared" si="8"/>
        <v>117</v>
      </c>
      <c r="U45" s="122">
        <f t="shared" si="8"/>
        <v>116</v>
      </c>
      <c r="V45" s="122">
        <f t="shared" si="8"/>
        <v>115</v>
      </c>
      <c r="W45" s="122">
        <f t="shared" si="8"/>
        <v>114</v>
      </c>
      <c r="X45" s="122">
        <f t="shared" si="8"/>
        <v>113</v>
      </c>
      <c r="Y45" s="122">
        <f t="shared" si="8"/>
        <v>112</v>
      </c>
      <c r="Z45" s="122">
        <f t="shared" si="8"/>
        <v>111</v>
      </c>
      <c r="AA45" s="122">
        <f t="shared" si="8"/>
        <v>110</v>
      </c>
      <c r="AB45" s="122">
        <f t="shared" si="8"/>
        <v>109</v>
      </c>
      <c r="AC45" s="122">
        <f t="shared" si="8"/>
        <v>108</v>
      </c>
      <c r="AD45" s="122">
        <f t="shared" si="8"/>
        <v>107</v>
      </c>
      <c r="AE45" s="122">
        <f t="shared" si="8"/>
        <v>106</v>
      </c>
      <c r="AF45" s="122">
        <f t="shared" si="8"/>
        <v>105</v>
      </c>
      <c r="AG45" s="122">
        <f t="shared" si="8"/>
        <v>104</v>
      </c>
      <c r="AH45" s="122">
        <f t="shared" si="8"/>
        <v>103</v>
      </c>
      <c r="AI45" s="122">
        <f t="shared" si="8"/>
        <v>102</v>
      </c>
      <c r="AJ45" s="122">
        <f t="shared" si="8"/>
        <v>101</v>
      </c>
      <c r="AK45" s="122">
        <f t="shared" si="8"/>
        <v>100</v>
      </c>
      <c r="AL45" s="122">
        <f t="shared" si="8"/>
        <v>99</v>
      </c>
      <c r="AM45" s="122">
        <f t="shared" si="8"/>
        <v>98</v>
      </c>
      <c r="AN45" s="122">
        <f>AO45+1</f>
        <v>97</v>
      </c>
      <c r="AO45" s="122">
        <v>96</v>
      </c>
    </row>
    <row r="46" spans="9:46" ht="32.25">
      <c r="I46" s="122" t="s">
        <v>1831</v>
      </c>
      <c r="J46" s="143" t="str">
        <f t="shared" ref="J46:AN46" si="9">"0x"&amp;DEC2HEX(J45,2)</f>
        <v>0x7F</v>
      </c>
      <c r="K46" s="143" t="str">
        <f t="shared" si="9"/>
        <v>0x7E</v>
      </c>
      <c r="L46" s="143" t="str">
        <f t="shared" si="9"/>
        <v>0x7D</v>
      </c>
      <c r="M46" s="143" t="str">
        <f t="shared" si="9"/>
        <v>0x7C</v>
      </c>
      <c r="N46" s="143" t="str">
        <f t="shared" si="9"/>
        <v>0x7B</v>
      </c>
      <c r="O46" s="143" t="str">
        <f t="shared" si="9"/>
        <v>0x7A</v>
      </c>
      <c r="P46" s="143" t="str">
        <f t="shared" si="9"/>
        <v>0x79</v>
      </c>
      <c r="Q46" s="143" t="str">
        <f t="shared" si="9"/>
        <v>0x78</v>
      </c>
      <c r="R46" s="143" t="str">
        <f t="shared" si="9"/>
        <v>0x77</v>
      </c>
      <c r="S46" s="143" t="str">
        <f t="shared" si="9"/>
        <v>0x76</v>
      </c>
      <c r="T46" s="143" t="str">
        <f t="shared" si="9"/>
        <v>0x75</v>
      </c>
      <c r="U46" s="143" t="str">
        <f t="shared" si="9"/>
        <v>0x74</v>
      </c>
      <c r="V46" s="143" t="str">
        <f t="shared" si="9"/>
        <v>0x73</v>
      </c>
      <c r="W46" s="143" t="str">
        <f t="shared" si="9"/>
        <v>0x72</v>
      </c>
      <c r="X46" s="143" t="str">
        <f t="shared" si="9"/>
        <v>0x71</v>
      </c>
      <c r="Y46" s="143" t="str">
        <f t="shared" si="9"/>
        <v>0x70</v>
      </c>
      <c r="Z46" s="143" t="str">
        <f t="shared" si="9"/>
        <v>0x6F</v>
      </c>
      <c r="AA46" s="143" t="str">
        <f t="shared" si="9"/>
        <v>0x6E</v>
      </c>
      <c r="AB46" s="143" t="str">
        <f t="shared" si="9"/>
        <v>0x6D</v>
      </c>
      <c r="AC46" s="143" t="str">
        <f t="shared" si="9"/>
        <v>0x6C</v>
      </c>
      <c r="AD46" s="143" t="str">
        <f t="shared" si="9"/>
        <v>0x6B</v>
      </c>
      <c r="AE46" s="143" t="str">
        <f t="shared" si="9"/>
        <v>0x6A</v>
      </c>
      <c r="AF46" s="143" t="str">
        <f t="shared" si="9"/>
        <v>0x69</v>
      </c>
      <c r="AG46" s="143" t="str">
        <f t="shared" si="9"/>
        <v>0x68</v>
      </c>
      <c r="AH46" s="143" t="str">
        <f t="shared" si="9"/>
        <v>0x67</v>
      </c>
      <c r="AI46" s="143" t="str">
        <f t="shared" si="9"/>
        <v>0x66</v>
      </c>
      <c r="AJ46" s="143" t="str">
        <f t="shared" si="9"/>
        <v>0x65</v>
      </c>
      <c r="AK46" s="143" t="str">
        <f t="shared" si="9"/>
        <v>0x64</v>
      </c>
      <c r="AL46" s="143" t="str">
        <f t="shared" si="9"/>
        <v>0x63</v>
      </c>
      <c r="AM46" s="143" t="str">
        <f t="shared" si="9"/>
        <v>0x62</v>
      </c>
      <c r="AN46" s="143" t="str">
        <f t="shared" si="9"/>
        <v>0x61</v>
      </c>
      <c r="AO46" s="143" t="str">
        <f>"0x"&amp;DEC2HEX(AO45,2)</f>
        <v>0x60</v>
      </c>
    </row>
    <row r="47" spans="9:46">
      <c r="I47" s="122" t="s">
        <v>1825</v>
      </c>
      <c r="J47" s="130">
        <v>1</v>
      </c>
      <c r="K47" s="130">
        <v>1</v>
      </c>
      <c r="L47" s="130">
        <v>1</v>
      </c>
      <c r="M47" s="130">
        <v>1</v>
      </c>
      <c r="N47" s="130">
        <v>1</v>
      </c>
      <c r="O47" s="130">
        <v>1</v>
      </c>
      <c r="P47" s="130">
        <v>1</v>
      </c>
      <c r="Q47" s="130">
        <v>1</v>
      </c>
      <c r="R47" s="130">
        <v>1</v>
      </c>
      <c r="S47" s="130">
        <v>1</v>
      </c>
      <c r="T47" s="130">
        <v>1</v>
      </c>
      <c r="U47" s="130">
        <v>1</v>
      </c>
      <c r="V47" s="130">
        <v>1</v>
      </c>
      <c r="W47" s="130">
        <v>1</v>
      </c>
      <c r="X47" s="130">
        <v>1</v>
      </c>
      <c r="Y47" s="130">
        <v>1</v>
      </c>
      <c r="Z47" s="130">
        <v>1</v>
      </c>
      <c r="AA47" s="130">
        <v>1</v>
      </c>
      <c r="AB47" s="130">
        <v>1</v>
      </c>
      <c r="AC47" s="130">
        <v>1</v>
      </c>
      <c r="AD47" s="130">
        <v>1</v>
      </c>
      <c r="AE47" s="130">
        <v>1</v>
      </c>
      <c r="AF47" s="130">
        <v>1</v>
      </c>
      <c r="AG47" s="130">
        <v>1</v>
      </c>
      <c r="AH47" s="130">
        <v>1</v>
      </c>
      <c r="AI47" s="130">
        <v>1</v>
      </c>
      <c r="AJ47" s="130">
        <v>1</v>
      </c>
      <c r="AK47" s="130">
        <v>1</v>
      </c>
      <c r="AL47" s="130">
        <v>1</v>
      </c>
      <c r="AM47" s="130">
        <v>1</v>
      </c>
      <c r="AN47" s="130">
        <v>1</v>
      </c>
      <c r="AO47" s="130">
        <v>1</v>
      </c>
    </row>
    <row r="48" spans="9:46">
      <c r="Q48" s="122" t="str">
        <f>LOWER(BIN2HEX(J47&amp;K47&amp;L47&amp;M47&amp;N47&amp;O47&amp;P47&amp;Q47,2))</f>
        <v>ff</v>
      </c>
      <c r="Y48" s="122" t="str">
        <f>LOWER(BIN2HEX(R47&amp;S47&amp;T47&amp;U47&amp;V47&amp;W47&amp;X47&amp;Y47,2))</f>
        <v>ff</v>
      </c>
      <c r="AG48" s="122" t="str">
        <f>LOWER(BIN2HEX(Z47&amp;AA47&amp;AB47&amp;AC47&amp;AD47&amp;AE47&amp;AF47&amp;AG47,2))</f>
        <v>ff</v>
      </c>
      <c r="AO48" s="122" t="str">
        <f>LOWER(BIN2HEX(AH47&amp;AI47&amp;AJ47&amp;AK47&amp;AL47&amp;AM47&amp;AN47&amp;AO47,2))</f>
        <v>ff</v>
      </c>
      <c r="AQ48" s="122" t="str">
        <f>"(U4)0x"&amp;Q48&amp;Y48&amp;AG48&amp;AO48&amp;"U,"</f>
        <v>(U4)0xffffffffU,</v>
      </c>
    </row>
    <row r="49" spans="9:46">
      <c r="I49" s="122" t="s">
        <v>1826</v>
      </c>
      <c r="J49" s="122">
        <v>1</v>
      </c>
      <c r="K49" s="122">
        <v>1</v>
      </c>
      <c r="L49" s="122">
        <v>1</v>
      </c>
      <c r="M49" s="122">
        <v>1</v>
      </c>
      <c r="N49" s="122">
        <v>1</v>
      </c>
      <c r="O49" s="122">
        <v>1</v>
      </c>
      <c r="P49" s="122">
        <v>1</v>
      </c>
      <c r="Q49" s="122">
        <v>1</v>
      </c>
      <c r="R49" s="122">
        <v>1</v>
      </c>
      <c r="S49" s="122">
        <v>1</v>
      </c>
      <c r="T49" s="122">
        <v>1</v>
      </c>
      <c r="U49" s="122">
        <v>1</v>
      </c>
      <c r="V49" s="122">
        <v>1</v>
      </c>
      <c r="W49" s="122">
        <v>1</v>
      </c>
      <c r="X49" s="122">
        <v>1</v>
      </c>
      <c r="Y49" s="122">
        <v>1</v>
      </c>
      <c r="Z49" s="122">
        <v>1</v>
      </c>
      <c r="AA49" s="122">
        <v>1</v>
      </c>
      <c r="AB49" s="122">
        <v>1</v>
      </c>
      <c r="AC49" s="122">
        <v>1</v>
      </c>
      <c r="AD49" s="122">
        <v>1</v>
      </c>
      <c r="AE49" s="122">
        <v>1</v>
      </c>
      <c r="AF49" s="122">
        <v>1</v>
      </c>
      <c r="AG49" s="122">
        <v>1</v>
      </c>
      <c r="AH49" s="122">
        <v>1</v>
      </c>
      <c r="AI49" s="122">
        <v>1</v>
      </c>
      <c r="AJ49" s="122">
        <v>1</v>
      </c>
      <c r="AK49" s="122">
        <v>1</v>
      </c>
      <c r="AL49" s="122">
        <v>1</v>
      </c>
      <c r="AM49" s="122">
        <v>1</v>
      </c>
      <c r="AN49" s="122">
        <v>1</v>
      </c>
      <c r="AO49" s="122">
        <v>1</v>
      </c>
    </row>
    <row r="50" spans="9:46">
      <c r="Q50" s="122" t="str">
        <f>LOWER(BIN2HEX(J49&amp;K49&amp;L49&amp;M49&amp;N49&amp;O49&amp;P49&amp;Q49,2))</f>
        <v>ff</v>
      </c>
      <c r="Y50" s="122" t="str">
        <f>LOWER(BIN2HEX(R49&amp;S49&amp;T49&amp;U49&amp;V49&amp;W49&amp;X49&amp;Y49,2))</f>
        <v>ff</v>
      </c>
      <c r="AG50" s="122" t="str">
        <f>LOWER(BIN2HEX(Z49&amp;AA49&amp;AB49&amp;AC49&amp;AD49&amp;AE49&amp;AF49&amp;AG49,2))</f>
        <v>ff</v>
      </c>
      <c r="AO50" s="122" t="str">
        <f>LOWER(BIN2HEX(AH49&amp;AI49&amp;AJ49&amp;AK49&amp;AL49&amp;AM49&amp;AN49&amp;AO49,2))</f>
        <v>ff</v>
      </c>
      <c r="AR50" s="122" t="str">
        <f>"(U4)0x"&amp;Q50&amp;Y50&amp;AG50&amp;AO50&amp;"U,"</f>
        <v>(U4)0xffffffffU,</v>
      </c>
    </row>
    <row r="51" spans="9:46">
      <c r="I51" s="122" t="s">
        <v>1827</v>
      </c>
      <c r="J51" s="146">
        <v>0</v>
      </c>
      <c r="K51" s="146">
        <v>0</v>
      </c>
      <c r="L51" s="146">
        <v>0</v>
      </c>
      <c r="M51" s="146">
        <v>0</v>
      </c>
      <c r="N51" s="146">
        <v>0</v>
      </c>
      <c r="O51" s="146">
        <v>0</v>
      </c>
      <c r="P51" s="146">
        <v>0</v>
      </c>
      <c r="Q51" s="146">
        <v>0</v>
      </c>
      <c r="R51" s="146">
        <v>0</v>
      </c>
      <c r="S51" s="146">
        <v>0</v>
      </c>
      <c r="T51" s="146">
        <v>0</v>
      </c>
      <c r="U51" s="146">
        <v>0</v>
      </c>
      <c r="V51" s="146">
        <v>0</v>
      </c>
      <c r="W51" s="146">
        <v>0</v>
      </c>
      <c r="X51" s="146">
        <v>0</v>
      </c>
      <c r="Y51" s="146">
        <v>0</v>
      </c>
      <c r="Z51" s="146">
        <v>0</v>
      </c>
      <c r="AA51" s="146">
        <v>0</v>
      </c>
      <c r="AB51" s="146">
        <v>0</v>
      </c>
      <c r="AC51" s="146">
        <v>0</v>
      </c>
      <c r="AD51" s="146">
        <v>0</v>
      </c>
      <c r="AE51" s="146">
        <v>0</v>
      </c>
      <c r="AF51" s="146">
        <v>0</v>
      </c>
      <c r="AG51" s="146">
        <v>0</v>
      </c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>
        <v>0</v>
      </c>
    </row>
    <row r="52" spans="9:46">
      <c r="Q52" s="122" t="str">
        <f>LOWER(BIN2HEX(J51&amp;K51&amp;L51&amp;M51&amp;N51&amp;O51&amp;P51&amp;Q51,2))</f>
        <v>00</v>
      </c>
      <c r="Y52" s="122" t="str">
        <f>LOWER(BIN2HEX(R51&amp;S51&amp;T51&amp;U51&amp;V51&amp;W51&amp;X51&amp;Y51,2))</f>
        <v>00</v>
      </c>
      <c r="AG52" s="122" t="str">
        <f>LOWER(BIN2HEX(Z51&amp;AA51&amp;AB51&amp;AC51&amp;AD51&amp;AE51&amp;AF51&amp;AG51,2))</f>
        <v>00</v>
      </c>
      <c r="AO52" s="122" t="str">
        <f>LOWER(BIN2HEX(AH51&amp;AI51&amp;AJ51&amp;AK51&amp;AL51&amp;AM51&amp;AN51&amp;AO51,2))</f>
        <v>00</v>
      </c>
      <c r="AS52" s="122" t="str">
        <f>"(U4)0x"&amp;Q52&amp;Y52&amp;AG52&amp;AO52&amp;"U,"</f>
        <v>(U4)0x00000000U,</v>
      </c>
      <c r="AT52" s="122"/>
    </row>
    <row r="53" spans="9:46">
      <c r="I53" s="122" t="s">
        <v>1828</v>
      </c>
      <c r="J53" s="146">
        <v>0</v>
      </c>
      <c r="K53" s="146">
        <v>0</v>
      </c>
      <c r="L53" s="146">
        <v>0</v>
      </c>
      <c r="M53" s="146">
        <v>0</v>
      </c>
      <c r="N53" s="146">
        <v>0</v>
      </c>
      <c r="O53" s="146">
        <v>0</v>
      </c>
      <c r="P53" s="146">
        <v>0</v>
      </c>
      <c r="Q53" s="146">
        <v>0</v>
      </c>
      <c r="R53" s="146">
        <v>0</v>
      </c>
      <c r="S53" s="146">
        <v>0</v>
      </c>
      <c r="T53" s="146">
        <v>0</v>
      </c>
      <c r="U53" s="146">
        <v>0</v>
      </c>
      <c r="V53" s="146">
        <v>0</v>
      </c>
      <c r="W53" s="146">
        <v>0</v>
      </c>
      <c r="X53" s="146">
        <v>0</v>
      </c>
      <c r="Y53" s="146">
        <v>0</v>
      </c>
      <c r="Z53" s="146">
        <v>0</v>
      </c>
      <c r="AA53" s="146">
        <v>0</v>
      </c>
      <c r="AB53" s="146">
        <v>0</v>
      </c>
      <c r="AC53" s="146">
        <v>0</v>
      </c>
      <c r="AD53" s="146">
        <v>0</v>
      </c>
      <c r="AE53" s="146">
        <v>0</v>
      </c>
      <c r="AF53" s="146">
        <v>0</v>
      </c>
      <c r="AG53" s="146">
        <v>0</v>
      </c>
      <c r="AH53" s="146">
        <v>0</v>
      </c>
      <c r="AI53" s="146">
        <v>0</v>
      </c>
      <c r="AJ53" s="146">
        <v>0</v>
      </c>
      <c r="AK53" s="146">
        <v>0</v>
      </c>
      <c r="AL53" s="146">
        <v>0</v>
      </c>
      <c r="AM53" s="146">
        <v>0</v>
      </c>
      <c r="AN53" s="146">
        <v>0</v>
      </c>
      <c r="AO53" s="146">
        <v>0</v>
      </c>
    </row>
    <row r="54" spans="9:46">
      <c r="Q54" s="122" t="str">
        <f>LOWER(BIN2HEX(J53&amp;K53&amp;L53&amp;M53&amp;N53&amp;O53&amp;P53&amp;Q53,2))</f>
        <v>00</v>
      </c>
      <c r="Y54" s="122" t="str">
        <f>LOWER(BIN2HEX(R53&amp;S53&amp;T53&amp;U53&amp;V53&amp;W53&amp;X53&amp;Y53,2))</f>
        <v>00</v>
      </c>
      <c r="AG54" s="122" t="str">
        <f>LOWER(BIN2HEX(Z53&amp;AA53&amp;AB53&amp;AC53&amp;AD53&amp;AE53&amp;AF53&amp;AG53,2))</f>
        <v>00</v>
      </c>
      <c r="AO54" s="122" t="str">
        <f>LOWER(BIN2HEX(AH53&amp;AI53&amp;AJ53&amp;AK53&amp;AL53&amp;AM53&amp;AN53&amp;AO53,2))</f>
        <v>00</v>
      </c>
      <c r="AS54" s="122"/>
      <c r="AT54" s="122" t="str">
        <f>"(U4)0x"&amp;Q54&amp;Y54&amp;AG54&amp;AO54&amp;"U,"</f>
        <v>(U4)0x00000000U,</v>
      </c>
    </row>
    <row r="56" spans="9:46">
      <c r="I56" s="122" t="s">
        <v>1829</v>
      </c>
      <c r="J56" s="122">
        <f t="shared" ref="J56:AM56" si="10">K56+1</f>
        <v>159</v>
      </c>
      <c r="K56" s="122">
        <f t="shared" si="10"/>
        <v>158</v>
      </c>
      <c r="L56" s="122">
        <f t="shared" si="10"/>
        <v>157</v>
      </c>
      <c r="M56" s="122">
        <f t="shared" si="10"/>
        <v>156</v>
      </c>
      <c r="N56" s="122">
        <f t="shared" si="10"/>
        <v>155</v>
      </c>
      <c r="O56" s="122">
        <f t="shared" si="10"/>
        <v>154</v>
      </c>
      <c r="P56" s="122">
        <f t="shared" si="10"/>
        <v>153</v>
      </c>
      <c r="Q56" s="122">
        <f t="shared" si="10"/>
        <v>152</v>
      </c>
      <c r="R56" s="122">
        <f t="shared" si="10"/>
        <v>151</v>
      </c>
      <c r="S56" s="122">
        <f t="shared" si="10"/>
        <v>150</v>
      </c>
      <c r="T56" s="122">
        <f t="shared" si="10"/>
        <v>149</v>
      </c>
      <c r="U56" s="122">
        <f t="shared" si="10"/>
        <v>148</v>
      </c>
      <c r="V56" s="122">
        <f t="shared" si="10"/>
        <v>147</v>
      </c>
      <c r="W56" s="122">
        <f t="shared" si="10"/>
        <v>146</v>
      </c>
      <c r="X56" s="122">
        <f t="shared" si="10"/>
        <v>145</v>
      </c>
      <c r="Y56" s="122">
        <f t="shared" si="10"/>
        <v>144</v>
      </c>
      <c r="Z56" s="122">
        <f t="shared" si="10"/>
        <v>143</v>
      </c>
      <c r="AA56" s="122">
        <f t="shared" si="10"/>
        <v>142</v>
      </c>
      <c r="AB56" s="122">
        <f t="shared" si="10"/>
        <v>141</v>
      </c>
      <c r="AC56" s="122">
        <f t="shared" si="10"/>
        <v>140</v>
      </c>
      <c r="AD56" s="122">
        <f t="shared" si="10"/>
        <v>139</v>
      </c>
      <c r="AE56" s="122">
        <f t="shared" si="10"/>
        <v>138</v>
      </c>
      <c r="AF56" s="122">
        <f t="shared" si="10"/>
        <v>137</v>
      </c>
      <c r="AG56" s="122">
        <f t="shared" si="10"/>
        <v>136</v>
      </c>
      <c r="AH56" s="122">
        <f t="shared" si="10"/>
        <v>135</v>
      </c>
      <c r="AI56" s="122">
        <f t="shared" si="10"/>
        <v>134</v>
      </c>
      <c r="AJ56" s="122">
        <f t="shared" si="10"/>
        <v>133</v>
      </c>
      <c r="AK56" s="122">
        <f t="shared" si="10"/>
        <v>132</v>
      </c>
      <c r="AL56" s="122">
        <f t="shared" si="10"/>
        <v>131</v>
      </c>
      <c r="AM56" s="122">
        <f t="shared" si="10"/>
        <v>130</v>
      </c>
      <c r="AN56" s="122">
        <f>AO56+1</f>
        <v>129</v>
      </c>
      <c r="AO56" s="122">
        <v>128</v>
      </c>
    </row>
    <row r="57" spans="9:46" ht="32.25">
      <c r="I57" s="122" t="s">
        <v>1831</v>
      </c>
      <c r="J57" s="143" t="str">
        <f t="shared" ref="J57:AN57" si="11">"0x"&amp;DEC2HEX(J56,2)</f>
        <v>0x9F</v>
      </c>
      <c r="K57" s="143" t="str">
        <f t="shared" si="11"/>
        <v>0x9E</v>
      </c>
      <c r="L57" s="143" t="str">
        <f t="shared" si="11"/>
        <v>0x9D</v>
      </c>
      <c r="M57" s="143" t="str">
        <f t="shared" si="11"/>
        <v>0x9C</v>
      </c>
      <c r="N57" s="143" t="str">
        <f t="shared" si="11"/>
        <v>0x9B</v>
      </c>
      <c r="O57" s="143" t="str">
        <f t="shared" si="11"/>
        <v>0x9A</v>
      </c>
      <c r="P57" s="143" t="str">
        <f t="shared" si="11"/>
        <v>0x99</v>
      </c>
      <c r="Q57" s="143" t="str">
        <f t="shared" si="11"/>
        <v>0x98</v>
      </c>
      <c r="R57" s="143" t="str">
        <f t="shared" si="11"/>
        <v>0x97</v>
      </c>
      <c r="S57" s="143" t="str">
        <f t="shared" si="11"/>
        <v>0x96</v>
      </c>
      <c r="T57" s="143" t="str">
        <f t="shared" si="11"/>
        <v>0x95</v>
      </c>
      <c r="U57" s="143" t="str">
        <f t="shared" si="11"/>
        <v>0x94</v>
      </c>
      <c r="V57" s="143" t="str">
        <f t="shared" si="11"/>
        <v>0x93</v>
      </c>
      <c r="W57" s="143" t="str">
        <f t="shared" si="11"/>
        <v>0x92</v>
      </c>
      <c r="X57" s="143" t="str">
        <f t="shared" si="11"/>
        <v>0x91</v>
      </c>
      <c r="Y57" s="143" t="str">
        <f t="shared" si="11"/>
        <v>0x90</v>
      </c>
      <c r="Z57" s="143" t="str">
        <f t="shared" si="11"/>
        <v>0x8F</v>
      </c>
      <c r="AA57" s="143" t="str">
        <f t="shared" si="11"/>
        <v>0x8E</v>
      </c>
      <c r="AB57" s="143" t="str">
        <f t="shared" si="11"/>
        <v>0x8D</v>
      </c>
      <c r="AC57" s="143" t="str">
        <f t="shared" si="11"/>
        <v>0x8C</v>
      </c>
      <c r="AD57" s="143" t="str">
        <f t="shared" si="11"/>
        <v>0x8B</v>
      </c>
      <c r="AE57" s="143" t="str">
        <f t="shared" si="11"/>
        <v>0x8A</v>
      </c>
      <c r="AF57" s="143" t="str">
        <f t="shared" si="11"/>
        <v>0x89</v>
      </c>
      <c r="AG57" s="143" t="str">
        <f t="shared" si="11"/>
        <v>0x88</v>
      </c>
      <c r="AH57" s="143" t="str">
        <f t="shared" si="11"/>
        <v>0x87</v>
      </c>
      <c r="AI57" s="143" t="str">
        <f t="shared" si="11"/>
        <v>0x86</v>
      </c>
      <c r="AJ57" s="143" t="str">
        <f t="shared" si="11"/>
        <v>0x85</v>
      </c>
      <c r="AK57" s="143" t="str">
        <f t="shared" si="11"/>
        <v>0x84</v>
      </c>
      <c r="AL57" s="143" t="str">
        <f t="shared" si="11"/>
        <v>0x83</v>
      </c>
      <c r="AM57" s="143" t="str">
        <f t="shared" si="11"/>
        <v>0x82</v>
      </c>
      <c r="AN57" s="143" t="str">
        <f t="shared" si="11"/>
        <v>0x81</v>
      </c>
      <c r="AO57" s="143" t="str">
        <f>"0x"&amp;DEC2HEX(AO56,2)</f>
        <v>0x80</v>
      </c>
    </row>
    <row r="58" spans="9:46">
      <c r="I58" s="122" t="s">
        <v>1825</v>
      </c>
      <c r="J58" s="130">
        <v>1</v>
      </c>
      <c r="K58" s="130">
        <v>1</v>
      </c>
      <c r="L58" s="130">
        <v>1</v>
      </c>
      <c r="M58" s="130">
        <v>1</v>
      </c>
      <c r="N58" s="130">
        <v>1</v>
      </c>
      <c r="O58" s="130">
        <v>1</v>
      </c>
      <c r="P58" s="130">
        <v>1</v>
      </c>
      <c r="Q58" s="130">
        <v>1</v>
      </c>
      <c r="R58" s="130">
        <v>1</v>
      </c>
      <c r="S58" s="130">
        <v>1</v>
      </c>
      <c r="T58" s="130">
        <v>1</v>
      </c>
      <c r="U58" s="130">
        <v>1</v>
      </c>
      <c r="V58" s="130">
        <v>1</v>
      </c>
      <c r="W58" s="130">
        <v>1</v>
      </c>
      <c r="X58" s="130">
        <v>1</v>
      </c>
      <c r="Y58" s="130">
        <v>1</v>
      </c>
      <c r="Z58" s="130">
        <v>1</v>
      </c>
      <c r="AA58" s="130">
        <v>1</v>
      </c>
      <c r="AB58" s="130">
        <v>1</v>
      </c>
      <c r="AC58" s="130">
        <v>1</v>
      </c>
      <c r="AD58" s="130">
        <v>1</v>
      </c>
      <c r="AE58" s="130">
        <v>1</v>
      </c>
      <c r="AF58" s="130">
        <v>1</v>
      </c>
      <c r="AG58" s="130">
        <v>1</v>
      </c>
      <c r="AH58" s="130">
        <v>1</v>
      </c>
      <c r="AI58" s="130">
        <v>1</v>
      </c>
      <c r="AJ58" s="130">
        <v>1</v>
      </c>
      <c r="AK58" s="130">
        <v>1</v>
      </c>
      <c r="AL58" s="130">
        <v>1</v>
      </c>
      <c r="AM58" s="130">
        <v>1</v>
      </c>
      <c r="AN58" s="130">
        <v>1</v>
      </c>
      <c r="AO58" s="130">
        <v>1</v>
      </c>
    </row>
    <row r="59" spans="9:46">
      <c r="Q59" s="122" t="str">
        <f>LOWER(BIN2HEX(J58&amp;K58&amp;L58&amp;M58&amp;N58&amp;O58&amp;P58&amp;Q58,2))</f>
        <v>ff</v>
      </c>
      <c r="Y59" s="122" t="str">
        <f>LOWER(BIN2HEX(R58&amp;S58&amp;T58&amp;U58&amp;V58&amp;W58&amp;X58&amp;Y58,2))</f>
        <v>ff</v>
      </c>
      <c r="AG59" s="122" t="str">
        <f>LOWER(BIN2HEX(Z58&amp;AA58&amp;AB58&amp;AC58&amp;AD58&amp;AE58&amp;AF58&amp;AG58,2))</f>
        <v>ff</v>
      </c>
      <c r="AO59" s="122" t="str">
        <f>LOWER(BIN2HEX(AH58&amp;AI58&amp;AJ58&amp;AK58&amp;AL58&amp;AM58&amp;AN58&amp;AO58,2))</f>
        <v>ff</v>
      </c>
      <c r="AQ59" s="122" t="str">
        <f>"(U4)0x"&amp;Q59&amp;Y59&amp;AG59&amp;AO59&amp;"U,"</f>
        <v>(U4)0xffffffffU,</v>
      </c>
    </row>
    <row r="60" spans="9:46">
      <c r="I60" s="122" t="s">
        <v>1826</v>
      </c>
      <c r="J60" s="122">
        <v>1</v>
      </c>
      <c r="K60" s="122">
        <v>1</v>
      </c>
      <c r="L60" s="122">
        <v>1</v>
      </c>
      <c r="M60" s="122">
        <v>1</v>
      </c>
      <c r="N60" s="122">
        <v>1</v>
      </c>
      <c r="O60" s="122">
        <v>1</v>
      </c>
      <c r="P60" s="122">
        <v>1</v>
      </c>
      <c r="Q60" s="122">
        <v>1</v>
      </c>
      <c r="R60" s="122">
        <v>1</v>
      </c>
      <c r="S60" s="122">
        <v>1</v>
      </c>
      <c r="T60" s="122">
        <v>1</v>
      </c>
      <c r="U60" s="122">
        <v>1</v>
      </c>
      <c r="V60" s="122">
        <v>1</v>
      </c>
      <c r="W60" s="122">
        <v>1</v>
      </c>
      <c r="X60" s="122">
        <v>1</v>
      </c>
      <c r="Y60" s="122">
        <v>1</v>
      </c>
      <c r="Z60" s="122">
        <v>1</v>
      </c>
      <c r="AA60" s="122">
        <v>1</v>
      </c>
      <c r="AB60" s="122">
        <v>1</v>
      </c>
      <c r="AC60" s="122">
        <v>1</v>
      </c>
      <c r="AD60" s="122">
        <v>1</v>
      </c>
      <c r="AE60" s="122">
        <v>1</v>
      </c>
      <c r="AF60" s="122">
        <v>1</v>
      </c>
      <c r="AG60" s="122">
        <v>1</v>
      </c>
      <c r="AH60" s="122">
        <v>1</v>
      </c>
      <c r="AI60" s="122">
        <v>1</v>
      </c>
      <c r="AJ60" s="122">
        <v>1</v>
      </c>
      <c r="AK60" s="122">
        <v>1</v>
      </c>
      <c r="AL60" s="122">
        <v>1</v>
      </c>
      <c r="AM60" s="122">
        <v>1</v>
      </c>
      <c r="AN60" s="122">
        <v>1</v>
      </c>
      <c r="AO60" s="122">
        <v>1</v>
      </c>
    </row>
    <row r="61" spans="9:46">
      <c r="Q61" s="122" t="str">
        <f>LOWER(BIN2HEX(J60&amp;K60&amp;L60&amp;M60&amp;N60&amp;O60&amp;P60&amp;Q60,2))</f>
        <v>ff</v>
      </c>
      <c r="Y61" s="122" t="str">
        <f>LOWER(BIN2HEX(R60&amp;S60&amp;T60&amp;U60&amp;V60&amp;W60&amp;X60&amp;Y60,2))</f>
        <v>ff</v>
      </c>
      <c r="AG61" s="122" t="str">
        <f>LOWER(BIN2HEX(Z60&amp;AA60&amp;AB60&amp;AC60&amp;AD60&amp;AE60&amp;AF60&amp;AG60,2))</f>
        <v>ff</v>
      </c>
      <c r="AO61" s="122" t="str">
        <f>LOWER(BIN2HEX(AH60&amp;AI60&amp;AJ60&amp;AK60&amp;AL60&amp;AM60&amp;AN60&amp;AO60,2))</f>
        <v>ff</v>
      </c>
      <c r="AR61" s="122" t="str">
        <f>"(U4)0x"&amp;Q61&amp;Y61&amp;AG61&amp;AO61&amp;"U,"</f>
        <v>(U4)0xffffffffU,</v>
      </c>
    </row>
    <row r="62" spans="9:46">
      <c r="I62" s="122" t="s">
        <v>1827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46">
        <v>0</v>
      </c>
      <c r="V62" s="146">
        <v>0</v>
      </c>
      <c r="W62" s="146">
        <v>0</v>
      </c>
      <c r="X62" s="146">
        <v>0</v>
      </c>
      <c r="Y62" s="146">
        <v>0</v>
      </c>
      <c r="Z62" s="146">
        <v>0</v>
      </c>
      <c r="AA62" s="146">
        <v>0</v>
      </c>
      <c r="AB62" s="146">
        <v>0</v>
      </c>
      <c r="AC62" s="146">
        <v>0</v>
      </c>
      <c r="AD62" s="146">
        <v>0</v>
      </c>
      <c r="AE62" s="146">
        <v>0</v>
      </c>
      <c r="AF62" s="146">
        <v>0</v>
      </c>
      <c r="AG62" s="146">
        <v>0</v>
      </c>
      <c r="AH62" s="146">
        <v>0</v>
      </c>
      <c r="AI62" s="146">
        <v>0</v>
      </c>
      <c r="AJ62" s="146">
        <v>0</v>
      </c>
      <c r="AK62" s="146">
        <v>0</v>
      </c>
      <c r="AL62" s="146">
        <v>0</v>
      </c>
      <c r="AM62" s="146">
        <v>0</v>
      </c>
      <c r="AN62" s="146">
        <v>0</v>
      </c>
      <c r="AO62" s="146">
        <v>0</v>
      </c>
    </row>
    <row r="63" spans="9:46">
      <c r="Q63" s="122" t="str">
        <f>LOWER(BIN2HEX(J62&amp;K62&amp;L62&amp;M62&amp;N62&amp;O62&amp;P62&amp;Q62,2))</f>
        <v>00</v>
      </c>
      <c r="Y63" s="122" t="str">
        <f>LOWER(BIN2HEX(R62&amp;S62&amp;T62&amp;U62&amp;V62&amp;W62&amp;X62&amp;Y62,2))</f>
        <v>00</v>
      </c>
      <c r="AG63" s="122" t="str">
        <f>LOWER(BIN2HEX(Z62&amp;AA62&amp;AB62&amp;AC62&amp;AD62&amp;AE62&amp;AF62&amp;AG62,2))</f>
        <v>00</v>
      </c>
      <c r="AO63" s="122" t="str">
        <f>LOWER(BIN2HEX(AH62&amp;AI62&amp;AJ62&amp;AK62&amp;AL62&amp;AM62&amp;AN62&amp;AO62,2))</f>
        <v>00</v>
      </c>
      <c r="AS63" s="122" t="str">
        <f>"(U4)0x"&amp;Q63&amp;Y63&amp;AG63&amp;AO63&amp;"U,"</f>
        <v>(U4)0x00000000U,</v>
      </c>
      <c r="AT63" s="122"/>
    </row>
    <row r="64" spans="9:46">
      <c r="I64" s="122" t="s">
        <v>1828</v>
      </c>
      <c r="J64" s="146">
        <v>0</v>
      </c>
      <c r="K64" s="146">
        <v>0</v>
      </c>
      <c r="L64" s="146">
        <v>0</v>
      </c>
      <c r="M64" s="146">
        <v>0</v>
      </c>
      <c r="N64" s="146">
        <v>0</v>
      </c>
      <c r="O64" s="146">
        <v>0</v>
      </c>
      <c r="P64" s="146">
        <v>0</v>
      </c>
      <c r="Q64" s="146">
        <v>0</v>
      </c>
      <c r="R64" s="146">
        <v>0</v>
      </c>
      <c r="S64" s="146">
        <v>0</v>
      </c>
      <c r="T64" s="146">
        <v>0</v>
      </c>
      <c r="U64" s="146">
        <v>0</v>
      </c>
      <c r="V64" s="146">
        <v>0</v>
      </c>
      <c r="W64" s="146">
        <v>0</v>
      </c>
      <c r="X64" s="146">
        <v>0</v>
      </c>
      <c r="Y64" s="146">
        <v>0</v>
      </c>
      <c r="Z64" s="146">
        <v>0</v>
      </c>
      <c r="AA64" s="146">
        <v>0</v>
      </c>
      <c r="AB64" s="146">
        <v>0</v>
      </c>
      <c r="AC64" s="146">
        <v>0</v>
      </c>
      <c r="AD64" s="146">
        <v>0</v>
      </c>
      <c r="AE64" s="146">
        <v>0</v>
      </c>
      <c r="AF64" s="146">
        <v>0</v>
      </c>
      <c r="AG64" s="146">
        <v>0</v>
      </c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>
        <v>0</v>
      </c>
    </row>
    <row r="65" spans="9:46">
      <c r="Q65" s="122" t="str">
        <f>LOWER(BIN2HEX(J64&amp;K64&amp;L64&amp;M64&amp;N64&amp;O64&amp;P64&amp;Q64,2))</f>
        <v>00</v>
      </c>
      <c r="Y65" s="122" t="str">
        <f>LOWER(BIN2HEX(R64&amp;S64&amp;T64&amp;U64&amp;V64&amp;W64&amp;X64&amp;Y64,2))</f>
        <v>00</v>
      </c>
      <c r="AG65" s="122" t="str">
        <f>LOWER(BIN2HEX(Z64&amp;AA64&amp;AB64&amp;AC64&amp;AD64&amp;AE64&amp;AF64&amp;AG64,2))</f>
        <v>00</v>
      </c>
      <c r="AO65" s="122" t="str">
        <f>LOWER(BIN2HEX(AH64&amp;AI64&amp;AJ64&amp;AK64&amp;AL64&amp;AM64&amp;AN64&amp;AO64,2))</f>
        <v>00</v>
      </c>
      <c r="AS65" s="122"/>
      <c r="AT65" s="122" t="str">
        <f>"(U4)0x"&amp;Q65&amp;Y65&amp;AG65&amp;AO65&amp;"U,"</f>
        <v>(U4)0x00000000U,</v>
      </c>
    </row>
    <row r="67" spans="9:46">
      <c r="I67" s="122" t="s">
        <v>1829</v>
      </c>
      <c r="J67" s="122">
        <f t="shared" ref="J67:AM67" si="12">K67+1</f>
        <v>191</v>
      </c>
      <c r="K67" s="122">
        <f t="shared" si="12"/>
        <v>190</v>
      </c>
      <c r="L67" s="122">
        <f t="shared" si="12"/>
        <v>189</v>
      </c>
      <c r="M67" s="122">
        <f t="shared" si="12"/>
        <v>188</v>
      </c>
      <c r="N67" s="122">
        <f t="shared" si="12"/>
        <v>187</v>
      </c>
      <c r="O67" s="122">
        <f t="shared" si="12"/>
        <v>186</v>
      </c>
      <c r="P67" s="122">
        <f t="shared" si="12"/>
        <v>185</v>
      </c>
      <c r="Q67" s="122">
        <f t="shared" si="12"/>
        <v>184</v>
      </c>
      <c r="R67" s="122">
        <f t="shared" si="12"/>
        <v>183</v>
      </c>
      <c r="S67" s="122">
        <f t="shared" si="12"/>
        <v>182</v>
      </c>
      <c r="T67" s="122">
        <f t="shared" si="12"/>
        <v>181</v>
      </c>
      <c r="U67" s="122">
        <f t="shared" si="12"/>
        <v>180</v>
      </c>
      <c r="V67" s="122">
        <f t="shared" si="12"/>
        <v>179</v>
      </c>
      <c r="W67" s="122">
        <f t="shared" si="12"/>
        <v>178</v>
      </c>
      <c r="X67" s="122">
        <f t="shared" si="12"/>
        <v>177</v>
      </c>
      <c r="Y67" s="122">
        <f t="shared" si="12"/>
        <v>176</v>
      </c>
      <c r="Z67" s="122">
        <f t="shared" si="12"/>
        <v>175</v>
      </c>
      <c r="AA67" s="122">
        <f t="shared" si="12"/>
        <v>174</v>
      </c>
      <c r="AB67" s="122">
        <f t="shared" si="12"/>
        <v>173</v>
      </c>
      <c r="AC67" s="122">
        <f t="shared" si="12"/>
        <v>172</v>
      </c>
      <c r="AD67" s="122">
        <f t="shared" si="12"/>
        <v>171</v>
      </c>
      <c r="AE67" s="122">
        <f t="shared" si="12"/>
        <v>170</v>
      </c>
      <c r="AF67" s="122">
        <f t="shared" si="12"/>
        <v>169</v>
      </c>
      <c r="AG67" s="122">
        <f t="shared" si="12"/>
        <v>168</v>
      </c>
      <c r="AH67" s="122">
        <f t="shared" si="12"/>
        <v>167</v>
      </c>
      <c r="AI67" s="122">
        <f t="shared" si="12"/>
        <v>166</v>
      </c>
      <c r="AJ67" s="122">
        <f t="shared" si="12"/>
        <v>165</v>
      </c>
      <c r="AK67" s="122">
        <f t="shared" si="12"/>
        <v>164</v>
      </c>
      <c r="AL67" s="122">
        <f t="shared" si="12"/>
        <v>163</v>
      </c>
      <c r="AM67" s="122">
        <f t="shared" si="12"/>
        <v>162</v>
      </c>
      <c r="AN67" s="122">
        <f>AO67+1</f>
        <v>161</v>
      </c>
      <c r="AO67" s="122">
        <v>160</v>
      </c>
    </row>
    <row r="68" spans="9:46" ht="32.25">
      <c r="I68" s="122" t="s">
        <v>1831</v>
      </c>
      <c r="J68" s="143" t="str">
        <f t="shared" ref="J68:AN68" si="13">"0x"&amp;DEC2HEX(J67,2)</f>
        <v>0xBF</v>
      </c>
      <c r="K68" s="143" t="str">
        <f t="shared" si="13"/>
        <v>0xBE</v>
      </c>
      <c r="L68" s="143" t="str">
        <f t="shared" si="13"/>
        <v>0xBD</v>
      </c>
      <c r="M68" s="143" t="str">
        <f t="shared" si="13"/>
        <v>0xBC</v>
      </c>
      <c r="N68" s="143" t="str">
        <f t="shared" si="13"/>
        <v>0xBB</v>
      </c>
      <c r="O68" s="143" t="str">
        <f t="shared" si="13"/>
        <v>0xBA</v>
      </c>
      <c r="P68" s="143" t="str">
        <f t="shared" si="13"/>
        <v>0xB9</v>
      </c>
      <c r="Q68" s="143" t="str">
        <f t="shared" si="13"/>
        <v>0xB8</v>
      </c>
      <c r="R68" s="143" t="str">
        <f t="shared" si="13"/>
        <v>0xB7</v>
      </c>
      <c r="S68" s="143" t="str">
        <f t="shared" si="13"/>
        <v>0xB6</v>
      </c>
      <c r="T68" s="143" t="str">
        <f t="shared" si="13"/>
        <v>0xB5</v>
      </c>
      <c r="U68" s="143" t="str">
        <f t="shared" si="13"/>
        <v>0xB4</v>
      </c>
      <c r="V68" s="143" t="str">
        <f t="shared" si="13"/>
        <v>0xB3</v>
      </c>
      <c r="W68" s="143" t="str">
        <f t="shared" si="13"/>
        <v>0xB2</v>
      </c>
      <c r="X68" s="143" t="str">
        <f t="shared" si="13"/>
        <v>0xB1</v>
      </c>
      <c r="Y68" s="143" t="str">
        <f t="shared" si="13"/>
        <v>0xB0</v>
      </c>
      <c r="Z68" s="143" t="str">
        <f t="shared" si="13"/>
        <v>0xAF</v>
      </c>
      <c r="AA68" s="143" t="str">
        <f t="shared" si="13"/>
        <v>0xAE</v>
      </c>
      <c r="AB68" s="143" t="str">
        <f t="shared" si="13"/>
        <v>0xAD</v>
      </c>
      <c r="AC68" s="143" t="str">
        <f t="shared" si="13"/>
        <v>0xAC</v>
      </c>
      <c r="AD68" s="143" t="str">
        <f t="shared" si="13"/>
        <v>0xAB</v>
      </c>
      <c r="AE68" s="143" t="str">
        <f t="shared" si="13"/>
        <v>0xAA</v>
      </c>
      <c r="AF68" s="143" t="str">
        <f t="shared" si="13"/>
        <v>0xA9</v>
      </c>
      <c r="AG68" s="143" t="str">
        <f t="shared" si="13"/>
        <v>0xA8</v>
      </c>
      <c r="AH68" s="143" t="str">
        <f t="shared" si="13"/>
        <v>0xA7</v>
      </c>
      <c r="AI68" s="143" t="str">
        <f t="shared" si="13"/>
        <v>0xA6</v>
      </c>
      <c r="AJ68" s="143" t="str">
        <f t="shared" si="13"/>
        <v>0xA5</v>
      </c>
      <c r="AK68" s="143" t="str">
        <f t="shared" si="13"/>
        <v>0xA4</v>
      </c>
      <c r="AL68" s="143" t="str">
        <f t="shared" si="13"/>
        <v>0xA3</v>
      </c>
      <c r="AM68" s="143" t="str">
        <f t="shared" si="13"/>
        <v>0xA2</v>
      </c>
      <c r="AN68" s="143" t="str">
        <f t="shared" si="13"/>
        <v>0xA1</v>
      </c>
      <c r="AO68" s="143" t="str">
        <f>"0x"&amp;DEC2HEX(AO67,2)</f>
        <v>0xA0</v>
      </c>
    </row>
    <row r="69" spans="9:46">
      <c r="I69" s="122" t="s">
        <v>1825</v>
      </c>
      <c r="J69" s="130">
        <v>1</v>
      </c>
      <c r="K69" s="130">
        <v>1</v>
      </c>
      <c r="L69" s="130">
        <v>1</v>
      </c>
      <c r="M69" s="130">
        <v>1</v>
      </c>
      <c r="N69" s="130">
        <v>1</v>
      </c>
      <c r="O69" s="130">
        <v>1</v>
      </c>
      <c r="P69" s="130">
        <v>1</v>
      </c>
      <c r="Q69" s="130">
        <v>1</v>
      </c>
      <c r="R69" s="130">
        <v>1</v>
      </c>
      <c r="S69" s="130">
        <v>1</v>
      </c>
      <c r="T69" s="130">
        <v>1</v>
      </c>
      <c r="U69" s="130">
        <v>1</v>
      </c>
      <c r="V69" s="130">
        <v>1</v>
      </c>
      <c r="W69" s="130">
        <v>1</v>
      </c>
      <c r="X69" s="130">
        <v>1</v>
      </c>
      <c r="Y69" s="130">
        <v>1</v>
      </c>
      <c r="Z69" s="130">
        <v>1</v>
      </c>
      <c r="AA69" s="130">
        <v>1</v>
      </c>
      <c r="AB69" s="130">
        <v>1</v>
      </c>
      <c r="AC69" s="130">
        <v>1</v>
      </c>
      <c r="AD69" s="130">
        <v>1</v>
      </c>
      <c r="AE69" s="130">
        <v>1</v>
      </c>
      <c r="AF69" s="130">
        <v>1</v>
      </c>
      <c r="AG69" s="130">
        <v>1</v>
      </c>
      <c r="AH69" s="130">
        <v>1</v>
      </c>
      <c r="AI69" s="130">
        <v>1</v>
      </c>
      <c r="AJ69" s="130">
        <v>1</v>
      </c>
      <c r="AK69" s="130">
        <v>1</v>
      </c>
      <c r="AL69" s="130">
        <v>1</v>
      </c>
      <c r="AM69" s="130">
        <v>1</v>
      </c>
      <c r="AN69" s="130">
        <v>1</v>
      </c>
      <c r="AO69" s="130">
        <v>1</v>
      </c>
    </row>
    <row r="70" spans="9:46">
      <c r="Q70" s="122" t="str">
        <f>LOWER(BIN2HEX(J69&amp;K69&amp;L69&amp;M69&amp;N69&amp;O69&amp;P69&amp;Q69,2))</f>
        <v>ff</v>
      </c>
      <c r="Y70" s="122" t="str">
        <f>LOWER(BIN2HEX(R69&amp;S69&amp;T69&amp;U69&amp;V69&amp;W69&amp;X69&amp;Y69,2))</f>
        <v>ff</v>
      </c>
      <c r="AG70" s="122" t="str">
        <f>LOWER(BIN2HEX(Z69&amp;AA69&amp;AB69&amp;AC69&amp;AD69&amp;AE69&amp;AF69&amp;AG69,2))</f>
        <v>ff</v>
      </c>
      <c r="AO70" s="122" t="str">
        <f>LOWER(BIN2HEX(AH69&amp;AI69&amp;AJ69&amp;AK69&amp;AL69&amp;AM69&amp;AN69&amp;AO69,2))</f>
        <v>ff</v>
      </c>
      <c r="AQ70" s="122" t="str">
        <f>"(U4)0x"&amp;Q70&amp;Y70&amp;AG70&amp;AO70&amp;"U,"</f>
        <v>(U4)0xffffffffU,</v>
      </c>
    </row>
    <row r="71" spans="9:46">
      <c r="I71" s="122" t="s">
        <v>1826</v>
      </c>
      <c r="J71" s="122">
        <v>1</v>
      </c>
      <c r="K71" s="122">
        <v>1</v>
      </c>
      <c r="L71" s="122">
        <v>1</v>
      </c>
      <c r="M71" s="122">
        <v>1</v>
      </c>
      <c r="N71" s="122">
        <v>1</v>
      </c>
      <c r="O71" s="122">
        <v>1</v>
      </c>
      <c r="P71" s="122">
        <v>1</v>
      </c>
      <c r="Q71" s="122">
        <v>1</v>
      </c>
      <c r="R71" s="122">
        <v>1</v>
      </c>
      <c r="S71" s="122">
        <v>1</v>
      </c>
      <c r="T71" s="122">
        <v>1</v>
      </c>
      <c r="U71" s="122">
        <v>1</v>
      </c>
      <c r="V71" s="122">
        <v>1</v>
      </c>
      <c r="W71" s="122">
        <v>1</v>
      </c>
      <c r="X71" s="122">
        <v>1</v>
      </c>
      <c r="Y71" s="122">
        <v>1</v>
      </c>
      <c r="Z71" s="122">
        <v>1</v>
      </c>
      <c r="AA71" s="122">
        <v>1</v>
      </c>
      <c r="AB71" s="122">
        <v>1</v>
      </c>
      <c r="AC71" s="122">
        <v>1</v>
      </c>
      <c r="AD71" s="122">
        <v>1</v>
      </c>
      <c r="AE71" s="122">
        <v>1</v>
      </c>
      <c r="AF71" s="122">
        <v>1</v>
      </c>
      <c r="AG71" s="122">
        <v>1</v>
      </c>
      <c r="AH71" s="122">
        <v>1</v>
      </c>
      <c r="AI71" s="122">
        <v>1</v>
      </c>
      <c r="AJ71" s="122">
        <v>1</v>
      </c>
      <c r="AK71" s="122">
        <v>1</v>
      </c>
      <c r="AL71" s="122">
        <v>1</v>
      </c>
      <c r="AM71" s="122">
        <v>1</v>
      </c>
      <c r="AN71" s="122">
        <v>1</v>
      </c>
      <c r="AO71" s="122">
        <v>1</v>
      </c>
    </row>
    <row r="72" spans="9:46">
      <c r="Q72" s="122" t="str">
        <f>LOWER(BIN2HEX(J71&amp;K71&amp;L71&amp;M71&amp;N71&amp;O71&amp;P71&amp;Q71,2))</f>
        <v>ff</v>
      </c>
      <c r="Y72" s="122" t="str">
        <f>LOWER(BIN2HEX(R71&amp;S71&amp;T71&amp;U71&amp;V71&amp;W71&amp;X71&amp;Y71,2))</f>
        <v>ff</v>
      </c>
      <c r="AG72" s="122" t="str">
        <f>LOWER(BIN2HEX(Z71&amp;AA71&amp;AB71&amp;AC71&amp;AD71&amp;AE71&amp;AF71&amp;AG71,2))</f>
        <v>ff</v>
      </c>
      <c r="AO72" s="122" t="str">
        <f>LOWER(BIN2HEX(AH71&amp;AI71&amp;AJ71&amp;AK71&amp;AL71&amp;AM71&amp;AN71&amp;AO71,2))</f>
        <v>ff</v>
      </c>
      <c r="AR72" s="122" t="str">
        <f>"(U4)0x"&amp;Q72&amp;Y72&amp;AG72&amp;AO72&amp;"U,"</f>
        <v>(U4)0xffffffffU,</v>
      </c>
    </row>
    <row r="73" spans="9:46">
      <c r="I73" s="122" t="s">
        <v>1827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46">
        <v>0</v>
      </c>
      <c r="S73" s="146">
        <v>0</v>
      </c>
      <c r="T73" s="146">
        <v>0</v>
      </c>
      <c r="U73" s="146">
        <v>0</v>
      </c>
      <c r="V73" s="146">
        <v>0</v>
      </c>
      <c r="W73" s="146">
        <v>0</v>
      </c>
      <c r="X73" s="146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0</v>
      </c>
      <c r="AI73" s="146">
        <v>0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</row>
    <row r="74" spans="9:46">
      <c r="Q74" s="122" t="str">
        <f>LOWER(BIN2HEX(J73&amp;K73&amp;L73&amp;M73&amp;N73&amp;O73&amp;P73&amp;Q73,2))</f>
        <v>00</v>
      </c>
      <c r="Y74" s="122" t="str">
        <f>LOWER(BIN2HEX(R73&amp;S73&amp;T73&amp;U73&amp;V73&amp;W73&amp;X73&amp;Y73,2))</f>
        <v>00</v>
      </c>
      <c r="AG74" s="122" t="str">
        <f>LOWER(BIN2HEX(Z73&amp;AA73&amp;AB73&amp;AC73&amp;AD73&amp;AE73&amp;AF73&amp;AG73,2))</f>
        <v>00</v>
      </c>
      <c r="AO74" s="122" t="str">
        <f>LOWER(BIN2HEX(AH73&amp;AI73&amp;AJ73&amp;AK73&amp;AL73&amp;AM73&amp;AN73&amp;AO73,2))</f>
        <v>00</v>
      </c>
      <c r="AS74" s="122" t="str">
        <f>"(U4)0x"&amp;Q74&amp;Y74&amp;AG74&amp;AO74&amp;"U,"</f>
        <v>(U4)0x00000000U,</v>
      </c>
      <c r="AT74" s="122"/>
    </row>
    <row r="75" spans="9:46">
      <c r="I75" s="122" t="s">
        <v>1828</v>
      </c>
      <c r="J75" s="146">
        <v>0</v>
      </c>
      <c r="K75" s="146">
        <v>0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0</v>
      </c>
      <c r="S75" s="146">
        <v>0</v>
      </c>
      <c r="T75" s="146">
        <v>0</v>
      </c>
      <c r="U75" s="146">
        <v>0</v>
      </c>
      <c r="V75" s="146">
        <v>0</v>
      </c>
      <c r="W75" s="146">
        <v>0</v>
      </c>
      <c r="X75" s="146">
        <v>0</v>
      </c>
      <c r="Y75" s="146">
        <v>0</v>
      </c>
      <c r="Z75" s="146">
        <v>0</v>
      </c>
      <c r="AA75" s="146">
        <v>0</v>
      </c>
      <c r="AB75" s="146">
        <v>0</v>
      </c>
      <c r="AC75" s="146">
        <v>0</v>
      </c>
      <c r="AD75" s="146">
        <v>0</v>
      </c>
      <c r="AE75" s="146">
        <v>0</v>
      </c>
      <c r="AF75" s="146">
        <v>0</v>
      </c>
      <c r="AG75" s="146">
        <v>0</v>
      </c>
      <c r="AH75" s="146">
        <v>0</v>
      </c>
      <c r="AI75" s="146">
        <v>0</v>
      </c>
      <c r="AJ75" s="146">
        <v>0</v>
      </c>
      <c r="AK75" s="146">
        <v>0</v>
      </c>
      <c r="AL75" s="146">
        <v>0</v>
      </c>
      <c r="AM75" s="146">
        <v>0</v>
      </c>
      <c r="AN75" s="146">
        <v>0</v>
      </c>
      <c r="AO75" s="146">
        <v>0</v>
      </c>
    </row>
    <row r="76" spans="9:46">
      <c r="Q76" s="122" t="str">
        <f>LOWER(BIN2HEX(J75&amp;K75&amp;L75&amp;M75&amp;N75&amp;O75&amp;P75&amp;Q75,2))</f>
        <v>00</v>
      </c>
      <c r="Y76" s="122" t="str">
        <f>LOWER(BIN2HEX(R75&amp;S75&amp;T75&amp;U75&amp;V75&amp;W75&amp;X75&amp;Y75,2))</f>
        <v>00</v>
      </c>
      <c r="AG76" s="122" t="str">
        <f>LOWER(BIN2HEX(Z75&amp;AA75&amp;AB75&amp;AC75&amp;AD75&amp;AE75&amp;AF75&amp;AG75,2))</f>
        <v>00</v>
      </c>
      <c r="AO76" s="122" t="str">
        <f>LOWER(BIN2HEX(AH75&amp;AI75&amp;AJ75&amp;AK75&amp;AL75&amp;AM75&amp;AN75&amp;AO75,2))</f>
        <v>00</v>
      </c>
      <c r="AS76" s="122"/>
      <c r="AT76" s="122" t="str">
        <f>"(U4)0x"&amp;Q76&amp;Y76&amp;AG76&amp;AO76&amp;"U,"</f>
        <v>(U4)0x00000000U,</v>
      </c>
    </row>
    <row r="78" spans="9:46">
      <c r="I78" s="122" t="s">
        <v>1829</v>
      </c>
      <c r="J78" s="122">
        <f t="shared" ref="J78:AM78" si="14">K78+1</f>
        <v>223</v>
      </c>
      <c r="K78" s="122">
        <f t="shared" si="14"/>
        <v>222</v>
      </c>
      <c r="L78" s="122">
        <f t="shared" si="14"/>
        <v>221</v>
      </c>
      <c r="M78" s="122">
        <f t="shared" si="14"/>
        <v>220</v>
      </c>
      <c r="N78" s="122">
        <f t="shared" si="14"/>
        <v>219</v>
      </c>
      <c r="O78" s="122">
        <f t="shared" si="14"/>
        <v>218</v>
      </c>
      <c r="P78" s="122">
        <f t="shared" si="14"/>
        <v>217</v>
      </c>
      <c r="Q78" s="122">
        <f t="shared" si="14"/>
        <v>216</v>
      </c>
      <c r="R78" s="122">
        <f t="shared" si="14"/>
        <v>215</v>
      </c>
      <c r="S78" s="122">
        <f t="shared" si="14"/>
        <v>214</v>
      </c>
      <c r="T78" s="122">
        <f t="shared" si="14"/>
        <v>213</v>
      </c>
      <c r="U78" s="122">
        <f t="shared" si="14"/>
        <v>212</v>
      </c>
      <c r="V78" s="122">
        <f t="shared" si="14"/>
        <v>211</v>
      </c>
      <c r="W78" s="122">
        <f t="shared" si="14"/>
        <v>210</v>
      </c>
      <c r="X78" s="122">
        <f t="shared" si="14"/>
        <v>209</v>
      </c>
      <c r="Y78" s="122">
        <f t="shared" si="14"/>
        <v>208</v>
      </c>
      <c r="Z78" s="122">
        <f t="shared" si="14"/>
        <v>207</v>
      </c>
      <c r="AA78" s="122">
        <f t="shared" si="14"/>
        <v>206</v>
      </c>
      <c r="AB78" s="122">
        <f t="shared" si="14"/>
        <v>205</v>
      </c>
      <c r="AC78" s="122">
        <f t="shared" si="14"/>
        <v>204</v>
      </c>
      <c r="AD78" s="122">
        <f t="shared" si="14"/>
        <v>203</v>
      </c>
      <c r="AE78" s="122">
        <f t="shared" si="14"/>
        <v>202</v>
      </c>
      <c r="AF78" s="122">
        <f t="shared" si="14"/>
        <v>201</v>
      </c>
      <c r="AG78" s="122">
        <f t="shared" si="14"/>
        <v>200</v>
      </c>
      <c r="AH78" s="122">
        <f t="shared" si="14"/>
        <v>199</v>
      </c>
      <c r="AI78" s="122">
        <f t="shared" si="14"/>
        <v>198</v>
      </c>
      <c r="AJ78" s="122">
        <f t="shared" si="14"/>
        <v>197</v>
      </c>
      <c r="AK78" s="122">
        <f t="shared" si="14"/>
        <v>196</v>
      </c>
      <c r="AL78" s="122">
        <f t="shared" si="14"/>
        <v>195</v>
      </c>
      <c r="AM78" s="122">
        <f t="shared" si="14"/>
        <v>194</v>
      </c>
      <c r="AN78" s="122">
        <f>AO78+1</f>
        <v>193</v>
      </c>
      <c r="AO78" s="122">
        <v>192</v>
      </c>
    </row>
    <row r="79" spans="9:46" ht="32.25">
      <c r="I79" s="122" t="s">
        <v>1831</v>
      </c>
      <c r="J79" s="143" t="str">
        <f t="shared" ref="J79:AN79" si="15">"0x"&amp;DEC2HEX(J78,2)</f>
        <v>0xDF</v>
      </c>
      <c r="K79" s="143" t="str">
        <f t="shared" si="15"/>
        <v>0xDE</v>
      </c>
      <c r="L79" s="143" t="str">
        <f t="shared" si="15"/>
        <v>0xDD</v>
      </c>
      <c r="M79" s="143" t="str">
        <f t="shared" si="15"/>
        <v>0xDC</v>
      </c>
      <c r="N79" s="143" t="str">
        <f t="shared" si="15"/>
        <v>0xDB</v>
      </c>
      <c r="O79" s="143" t="str">
        <f t="shared" si="15"/>
        <v>0xDA</v>
      </c>
      <c r="P79" s="143" t="str">
        <f t="shared" si="15"/>
        <v>0xD9</v>
      </c>
      <c r="Q79" s="143" t="str">
        <f t="shared" si="15"/>
        <v>0xD8</v>
      </c>
      <c r="R79" s="143" t="str">
        <f t="shared" si="15"/>
        <v>0xD7</v>
      </c>
      <c r="S79" s="143" t="str">
        <f t="shared" si="15"/>
        <v>0xD6</v>
      </c>
      <c r="T79" s="143" t="str">
        <f t="shared" si="15"/>
        <v>0xD5</v>
      </c>
      <c r="U79" s="143" t="str">
        <f t="shared" si="15"/>
        <v>0xD4</v>
      </c>
      <c r="V79" s="143" t="str">
        <f t="shared" si="15"/>
        <v>0xD3</v>
      </c>
      <c r="W79" s="143" t="str">
        <f t="shared" si="15"/>
        <v>0xD2</v>
      </c>
      <c r="X79" s="143" t="str">
        <f t="shared" si="15"/>
        <v>0xD1</v>
      </c>
      <c r="Y79" s="143" t="str">
        <f t="shared" si="15"/>
        <v>0xD0</v>
      </c>
      <c r="Z79" s="143" t="str">
        <f t="shared" si="15"/>
        <v>0xCF</v>
      </c>
      <c r="AA79" s="143" t="str">
        <f t="shared" si="15"/>
        <v>0xCE</v>
      </c>
      <c r="AB79" s="143" t="str">
        <f t="shared" si="15"/>
        <v>0xCD</v>
      </c>
      <c r="AC79" s="143" t="str">
        <f t="shared" si="15"/>
        <v>0xCC</v>
      </c>
      <c r="AD79" s="143" t="str">
        <f t="shared" si="15"/>
        <v>0xCB</v>
      </c>
      <c r="AE79" s="143" t="str">
        <f t="shared" si="15"/>
        <v>0xCA</v>
      </c>
      <c r="AF79" s="143" t="str">
        <f t="shared" si="15"/>
        <v>0xC9</v>
      </c>
      <c r="AG79" s="143" t="str">
        <f t="shared" si="15"/>
        <v>0xC8</v>
      </c>
      <c r="AH79" s="143" t="str">
        <f t="shared" si="15"/>
        <v>0xC7</v>
      </c>
      <c r="AI79" s="143" t="str">
        <f t="shared" si="15"/>
        <v>0xC6</v>
      </c>
      <c r="AJ79" s="143" t="str">
        <f t="shared" si="15"/>
        <v>0xC5</v>
      </c>
      <c r="AK79" s="143" t="str">
        <f t="shared" si="15"/>
        <v>0xC4</v>
      </c>
      <c r="AL79" s="143" t="str">
        <f t="shared" si="15"/>
        <v>0xC3</v>
      </c>
      <c r="AM79" s="143" t="str">
        <f t="shared" si="15"/>
        <v>0xC2</v>
      </c>
      <c r="AN79" s="143" t="str">
        <f t="shared" si="15"/>
        <v>0xC1</v>
      </c>
      <c r="AO79" s="143" t="str">
        <f>"0x"&amp;DEC2HEX(AO78,2)</f>
        <v>0xC0</v>
      </c>
    </row>
    <row r="80" spans="9:46">
      <c r="I80" s="122" t="s">
        <v>1825</v>
      </c>
      <c r="J80" s="130">
        <v>1</v>
      </c>
      <c r="K80" s="130">
        <v>1</v>
      </c>
      <c r="L80" s="130">
        <v>1</v>
      </c>
      <c r="M80" s="130">
        <v>1</v>
      </c>
      <c r="N80" s="130">
        <v>1</v>
      </c>
      <c r="O80" s="130">
        <v>1</v>
      </c>
      <c r="P80" s="130">
        <v>1</v>
      </c>
      <c r="Q80" s="130">
        <v>1</v>
      </c>
      <c r="R80" s="130">
        <v>1</v>
      </c>
      <c r="S80" s="130">
        <v>1</v>
      </c>
      <c r="T80" s="130">
        <v>1</v>
      </c>
      <c r="U80" s="130">
        <v>1</v>
      </c>
      <c r="V80" s="130">
        <v>1</v>
      </c>
      <c r="W80" s="130">
        <v>1</v>
      </c>
      <c r="X80" s="130">
        <v>1</v>
      </c>
      <c r="Y80" s="130">
        <v>1</v>
      </c>
      <c r="Z80" s="130">
        <v>1</v>
      </c>
      <c r="AA80" s="130">
        <v>1</v>
      </c>
      <c r="AB80" s="130">
        <v>1</v>
      </c>
      <c r="AC80" s="130">
        <v>1</v>
      </c>
      <c r="AD80" s="130">
        <v>1</v>
      </c>
      <c r="AE80" s="130">
        <v>1</v>
      </c>
      <c r="AF80" s="130">
        <v>1</v>
      </c>
      <c r="AG80" s="130">
        <v>1</v>
      </c>
      <c r="AH80" s="130">
        <v>1</v>
      </c>
      <c r="AI80" s="130">
        <v>1</v>
      </c>
      <c r="AJ80" s="130">
        <v>1</v>
      </c>
      <c r="AK80" s="130">
        <v>1</v>
      </c>
      <c r="AL80" s="130">
        <v>1</v>
      </c>
      <c r="AM80" s="130">
        <v>1</v>
      </c>
      <c r="AN80" s="130">
        <v>1</v>
      </c>
      <c r="AO80" s="130">
        <v>1</v>
      </c>
    </row>
    <row r="81" spans="9:46">
      <c r="Q81" s="122" t="str">
        <f>LOWER(BIN2HEX(J80&amp;K80&amp;L80&amp;M80&amp;N80&amp;O80&amp;P80&amp;Q80,2))</f>
        <v>ff</v>
      </c>
      <c r="Y81" s="122" t="str">
        <f>LOWER(BIN2HEX(R80&amp;S80&amp;T80&amp;U80&amp;V80&amp;W80&amp;X80&amp;Y80,2))</f>
        <v>ff</v>
      </c>
      <c r="AG81" s="122" t="str">
        <f>LOWER(BIN2HEX(Z80&amp;AA80&amp;AB80&amp;AC80&amp;AD80&amp;AE80&amp;AF80&amp;AG80,2))</f>
        <v>ff</v>
      </c>
      <c r="AO81" s="122" t="str">
        <f>LOWER(BIN2HEX(AH80&amp;AI80&amp;AJ80&amp;AK80&amp;AL80&amp;AM80&amp;AN80&amp;AO80,2))</f>
        <v>ff</v>
      </c>
      <c r="AQ81" s="122" t="str">
        <f>"(U4)0x"&amp;Q81&amp;Y81&amp;AG81&amp;AO81&amp;"U,"</f>
        <v>(U4)0xffffffffU,</v>
      </c>
    </row>
    <row r="82" spans="9:46">
      <c r="I82" s="122" t="s">
        <v>1826</v>
      </c>
      <c r="J82" s="122">
        <v>1</v>
      </c>
      <c r="K82" s="122">
        <v>1</v>
      </c>
      <c r="L82" s="122">
        <v>1</v>
      </c>
      <c r="M82" s="122">
        <v>1</v>
      </c>
      <c r="N82" s="122">
        <v>1</v>
      </c>
      <c r="O82" s="122">
        <v>1</v>
      </c>
      <c r="P82" s="122">
        <v>1</v>
      </c>
      <c r="Q82" s="122">
        <v>1</v>
      </c>
      <c r="R82" s="122">
        <v>1</v>
      </c>
      <c r="S82" s="122">
        <v>1</v>
      </c>
      <c r="T82" s="122">
        <v>1</v>
      </c>
      <c r="U82" s="122">
        <v>1</v>
      </c>
      <c r="V82" s="122">
        <v>1</v>
      </c>
      <c r="W82" s="122">
        <v>1</v>
      </c>
      <c r="X82" s="122">
        <v>1</v>
      </c>
      <c r="Y82" s="122">
        <v>1</v>
      </c>
      <c r="Z82" s="122">
        <v>1</v>
      </c>
      <c r="AA82" s="122">
        <v>1</v>
      </c>
      <c r="AB82" s="122">
        <v>1</v>
      </c>
      <c r="AC82" s="122">
        <v>1</v>
      </c>
      <c r="AD82" s="122">
        <v>1</v>
      </c>
      <c r="AE82" s="122">
        <v>1</v>
      </c>
      <c r="AF82" s="122">
        <v>1</v>
      </c>
      <c r="AG82" s="122">
        <v>1</v>
      </c>
      <c r="AH82" s="122">
        <v>1</v>
      </c>
      <c r="AI82" s="122">
        <v>1</v>
      </c>
      <c r="AJ82" s="122">
        <v>1</v>
      </c>
      <c r="AK82" s="122">
        <v>1</v>
      </c>
      <c r="AL82" s="122">
        <v>1</v>
      </c>
      <c r="AM82" s="122">
        <v>1</v>
      </c>
      <c r="AN82" s="199">
        <v>1</v>
      </c>
      <c r="AO82" s="122">
        <v>1</v>
      </c>
    </row>
    <row r="83" spans="9:46">
      <c r="Q83" s="122" t="str">
        <f>LOWER(BIN2HEX(J82&amp;K82&amp;L82&amp;M82&amp;N82&amp;O82&amp;P82&amp;Q82,2))</f>
        <v>ff</v>
      </c>
      <c r="Y83" s="122" t="str">
        <f>LOWER(BIN2HEX(R82&amp;S82&amp;T82&amp;U82&amp;V82&amp;W82&amp;X82&amp;Y82,2))</f>
        <v>ff</v>
      </c>
      <c r="AG83" s="122" t="str">
        <f>LOWER(BIN2HEX(Z82&amp;AA82&amp;AB82&amp;AC82&amp;AD82&amp;AE82&amp;AF82&amp;AG82,2))</f>
        <v>ff</v>
      </c>
      <c r="AO83" s="122" t="str">
        <f>LOWER(BIN2HEX(AH82&amp;AI82&amp;AJ82&amp;AK82&amp;AL82&amp;AM82&amp;AN82&amp;AO82,2))</f>
        <v>ff</v>
      </c>
      <c r="AR83" s="122" t="str">
        <f>"(U4)0x"&amp;Q83&amp;Y83&amp;AG83&amp;AO83&amp;"U,"</f>
        <v>(U4)0xffffffffU,</v>
      </c>
    </row>
    <row r="84" spans="9:46">
      <c r="I84" s="122" t="s">
        <v>1827</v>
      </c>
      <c r="J84" s="146">
        <v>0</v>
      </c>
      <c r="K84" s="146">
        <v>0</v>
      </c>
      <c r="L84" s="146">
        <v>0</v>
      </c>
      <c r="M84" s="146">
        <v>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6">
        <v>0</v>
      </c>
      <c r="Y84" s="146">
        <v>0</v>
      </c>
      <c r="Z84" s="146">
        <v>0</v>
      </c>
      <c r="AA84" s="146">
        <v>0</v>
      </c>
      <c r="AB84" s="146">
        <v>0</v>
      </c>
      <c r="AC84" s="146">
        <v>0</v>
      </c>
      <c r="AD84" s="146">
        <v>0</v>
      </c>
      <c r="AE84" s="146">
        <v>0</v>
      </c>
      <c r="AF84" s="146">
        <v>0</v>
      </c>
      <c r="AG84" s="146">
        <v>0</v>
      </c>
      <c r="AH84" s="146">
        <v>0</v>
      </c>
      <c r="AI84" s="146">
        <v>0</v>
      </c>
      <c r="AJ84" s="146">
        <v>0</v>
      </c>
      <c r="AK84" s="146">
        <v>0</v>
      </c>
      <c r="AL84" s="146">
        <v>0</v>
      </c>
      <c r="AM84" s="146">
        <v>0</v>
      </c>
      <c r="AN84" s="146">
        <v>0</v>
      </c>
      <c r="AO84" s="146">
        <v>0</v>
      </c>
    </row>
    <row r="85" spans="9:46">
      <c r="Q85" s="122" t="str">
        <f>LOWER(BIN2HEX(J84&amp;K84&amp;L84&amp;M84&amp;N84&amp;O84&amp;P84&amp;Q84,2))</f>
        <v>00</v>
      </c>
      <c r="Y85" s="122" t="str">
        <f>LOWER(BIN2HEX(R84&amp;S84&amp;T84&amp;U84&amp;V84&amp;W84&amp;X84&amp;Y84,2))</f>
        <v>00</v>
      </c>
      <c r="AG85" s="122" t="str">
        <f>LOWER(BIN2HEX(Z84&amp;AA84&amp;AB84&amp;AC84&amp;AD84&amp;AE84&amp;AF84&amp;AG84,2))</f>
        <v>00</v>
      </c>
      <c r="AO85" s="122" t="str">
        <f>LOWER(BIN2HEX(AH84&amp;AI84&amp;AJ84&amp;AK84&amp;AL84&amp;AM84&amp;AN84&amp;AO84,2))</f>
        <v>00</v>
      </c>
      <c r="AS85" s="122" t="str">
        <f>"(U4)0x"&amp;Q85&amp;Y85&amp;AG85&amp;AO85&amp;"U,"</f>
        <v>(U4)0x00000000U,</v>
      </c>
      <c r="AT85" s="122"/>
    </row>
    <row r="86" spans="9:46">
      <c r="I86" s="122" t="s">
        <v>1828</v>
      </c>
      <c r="J86" s="146">
        <v>0</v>
      </c>
      <c r="K86" s="146">
        <v>0</v>
      </c>
      <c r="L86" s="146">
        <v>0</v>
      </c>
      <c r="M86" s="146">
        <v>0</v>
      </c>
      <c r="N86" s="146">
        <v>0</v>
      </c>
      <c r="O86" s="146">
        <v>0</v>
      </c>
      <c r="P86" s="146">
        <v>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6">
        <v>0</v>
      </c>
      <c r="Y86" s="146">
        <v>0</v>
      </c>
      <c r="Z86" s="146">
        <v>0</v>
      </c>
      <c r="AA86" s="146">
        <v>0</v>
      </c>
      <c r="AB86" s="146">
        <v>0</v>
      </c>
      <c r="AC86" s="146">
        <v>0</v>
      </c>
      <c r="AD86" s="146">
        <v>0</v>
      </c>
      <c r="AE86" s="146">
        <v>0</v>
      </c>
      <c r="AF86" s="146">
        <v>0</v>
      </c>
      <c r="AG86" s="146">
        <v>0</v>
      </c>
      <c r="AH86" s="146">
        <v>0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>
        <v>0</v>
      </c>
    </row>
    <row r="87" spans="9:46">
      <c r="Q87" s="122" t="str">
        <f>LOWER(BIN2HEX(J86&amp;K86&amp;L86&amp;M86&amp;N86&amp;O86&amp;P86&amp;Q86,2))</f>
        <v>00</v>
      </c>
      <c r="Y87" s="122" t="str">
        <f>LOWER(BIN2HEX(R86&amp;S86&amp;T86&amp;U86&amp;V86&amp;W86&amp;X86&amp;Y86,2))</f>
        <v>00</v>
      </c>
      <c r="AG87" s="122" t="str">
        <f>LOWER(BIN2HEX(Z86&amp;AA86&amp;AB86&amp;AC86&amp;AD86&amp;AE86&amp;AF86&amp;AG86,2))</f>
        <v>00</v>
      </c>
      <c r="AO87" s="122" t="str">
        <f>LOWER(BIN2HEX(AH86&amp;AI86&amp;AJ86&amp;AK86&amp;AL86&amp;AM86&amp;AN86&amp;AO86,2))</f>
        <v>00</v>
      </c>
      <c r="AS87" s="122"/>
      <c r="AT87" s="122" t="str">
        <f>"(U4)0x"&amp;Q87&amp;Y87&amp;AG87&amp;AO87&amp;"U,"</f>
        <v>(U4)0x00000000U,</v>
      </c>
    </row>
    <row r="89" spans="9:46">
      <c r="I89" s="122" t="s">
        <v>1829</v>
      </c>
      <c r="J89" s="122">
        <f t="shared" ref="J89:AM89" si="16">K89+1</f>
        <v>255</v>
      </c>
      <c r="K89" s="122">
        <f t="shared" si="16"/>
        <v>254</v>
      </c>
      <c r="L89" s="122">
        <f t="shared" si="16"/>
        <v>253</v>
      </c>
      <c r="M89" s="122">
        <f t="shared" si="16"/>
        <v>252</v>
      </c>
      <c r="N89" s="122">
        <f t="shared" si="16"/>
        <v>251</v>
      </c>
      <c r="O89" s="122">
        <f t="shared" si="16"/>
        <v>250</v>
      </c>
      <c r="P89" s="122">
        <f t="shared" si="16"/>
        <v>249</v>
      </c>
      <c r="Q89" s="122">
        <f t="shared" si="16"/>
        <v>248</v>
      </c>
      <c r="R89" s="122">
        <f t="shared" si="16"/>
        <v>247</v>
      </c>
      <c r="S89" s="122">
        <f t="shared" si="16"/>
        <v>246</v>
      </c>
      <c r="T89" s="122">
        <f t="shared" si="16"/>
        <v>245</v>
      </c>
      <c r="U89" s="122">
        <f t="shared" si="16"/>
        <v>244</v>
      </c>
      <c r="V89" s="122">
        <f t="shared" si="16"/>
        <v>243</v>
      </c>
      <c r="W89" s="122">
        <f t="shared" si="16"/>
        <v>242</v>
      </c>
      <c r="X89" s="122">
        <f t="shared" si="16"/>
        <v>241</v>
      </c>
      <c r="Y89" s="122">
        <f t="shared" si="16"/>
        <v>240</v>
      </c>
      <c r="Z89" s="122">
        <f t="shared" si="16"/>
        <v>239</v>
      </c>
      <c r="AA89" s="122">
        <f t="shared" si="16"/>
        <v>238</v>
      </c>
      <c r="AB89" s="122">
        <f t="shared" si="16"/>
        <v>237</v>
      </c>
      <c r="AC89" s="122">
        <f t="shared" si="16"/>
        <v>236</v>
      </c>
      <c r="AD89" s="122">
        <f t="shared" si="16"/>
        <v>235</v>
      </c>
      <c r="AE89" s="122">
        <f t="shared" si="16"/>
        <v>234</v>
      </c>
      <c r="AF89" s="122">
        <f t="shared" si="16"/>
        <v>233</v>
      </c>
      <c r="AG89" s="122">
        <f t="shared" si="16"/>
        <v>232</v>
      </c>
      <c r="AH89" s="122">
        <f t="shared" si="16"/>
        <v>231</v>
      </c>
      <c r="AI89" s="122">
        <f t="shared" si="16"/>
        <v>230</v>
      </c>
      <c r="AJ89" s="122">
        <f t="shared" si="16"/>
        <v>229</v>
      </c>
      <c r="AK89" s="122">
        <f t="shared" si="16"/>
        <v>228</v>
      </c>
      <c r="AL89" s="122">
        <f t="shared" si="16"/>
        <v>227</v>
      </c>
      <c r="AM89" s="122">
        <f t="shared" si="16"/>
        <v>226</v>
      </c>
      <c r="AN89" s="122">
        <f>AO89+1</f>
        <v>225</v>
      </c>
      <c r="AO89" s="122">
        <v>224</v>
      </c>
    </row>
    <row r="90" spans="9:46" ht="32.25">
      <c r="I90" s="122" t="s">
        <v>1831</v>
      </c>
      <c r="J90" s="143" t="str">
        <f t="shared" ref="J90:AN90" si="17">"0x"&amp;DEC2HEX(J89,2)</f>
        <v>0xFF</v>
      </c>
      <c r="K90" s="143" t="str">
        <f t="shared" si="17"/>
        <v>0xFE</v>
      </c>
      <c r="L90" s="143" t="str">
        <f t="shared" si="17"/>
        <v>0xFD</v>
      </c>
      <c r="M90" s="143" t="str">
        <f t="shared" si="17"/>
        <v>0xFC</v>
      </c>
      <c r="N90" s="143" t="str">
        <f t="shared" si="17"/>
        <v>0xFB</v>
      </c>
      <c r="O90" s="143" t="str">
        <f t="shared" si="17"/>
        <v>0xFA</v>
      </c>
      <c r="P90" s="143" t="str">
        <f t="shared" si="17"/>
        <v>0xF9</v>
      </c>
      <c r="Q90" s="143" t="str">
        <f t="shared" si="17"/>
        <v>0xF8</v>
      </c>
      <c r="R90" s="143" t="str">
        <f t="shared" si="17"/>
        <v>0xF7</v>
      </c>
      <c r="S90" s="143" t="str">
        <f t="shared" si="17"/>
        <v>0xF6</v>
      </c>
      <c r="T90" s="143" t="str">
        <f t="shared" si="17"/>
        <v>0xF5</v>
      </c>
      <c r="U90" s="143" t="str">
        <f t="shared" si="17"/>
        <v>0xF4</v>
      </c>
      <c r="V90" s="143" t="str">
        <f t="shared" si="17"/>
        <v>0xF3</v>
      </c>
      <c r="W90" s="143" t="str">
        <f t="shared" si="17"/>
        <v>0xF2</v>
      </c>
      <c r="X90" s="143" t="str">
        <f t="shared" si="17"/>
        <v>0xF1</v>
      </c>
      <c r="Y90" s="143" t="str">
        <f t="shared" si="17"/>
        <v>0xF0</v>
      </c>
      <c r="Z90" s="143" t="str">
        <f t="shared" si="17"/>
        <v>0xEF</v>
      </c>
      <c r="AA90" s="143" t="str">
        <f t="shared" si="17"/>
        <v>0xEE</v>
      </c>
      <c r="AB90" s="143" t="str">
        <f t="shared" si="17"/>
        <v>0xED</v>
      </c>
      <c r="AC90" s="143" t="str">
        <f t="shared" si="17"/>
        <v>0xEC</v>
      </c>
      <c r="AD90" s="143" t="str">
        <f t="shared" si="17"/>
        <v>0xEB</v>
      </c>
      <c r="AE90" s="143" t="str">
        <f t="shared" si="17"/>
        <v>0xEA</v>
      </c>
      <c r="AF90" s="143" t="str">
        <f t="shared" si="17"/>
        <v>0xE9</v>
      </c>
      <c r="AG90" s="143" t="str">
        <f t="shared" si="17"/>
        <v>0xE8</v>
      </c>
      <c r="AH90" s="143" t="str">
        <f t="shared" si="17"/>
        <v>0xE7</v>
      </c>
      <c r="AI90" s="143" t="str">
        <f t="shared" si="17"/>
        <v>0xE6</v>
      </c>
      <c r="AJ90" s="143" t="str">
        <f t="shared" si="17"/>
        <v>0xE5</v>
      </c>
      <c r="AK90" s="143" t="str">
        <f t="shared" si="17"/>
        <v>0xE4</v>
      </c>
      <c r="AL90" s="143" t="str">
        <f t="shared" si="17"/>
        <v>0xE3</v>
      </c>
      <c r="AM90" s="143" t="str">
        <f t="shared" si="17"/>
        <v>0xE2</v>
      </c>
      <c r="AN90" s="143" t="str">
        <f t="shared" si="17"/>
        <v>0xE1</v>
      </c>
      <c r="AO90" s="143" t="str">
        <f>"0x"&amp;DEC2HEX(AO89,2)</f>
        <v>0xE0</v>
      </c>
    </row>
    <row r="91" spans="9:46">
      <c r="I91" s="122" t="s">
        <v>1825</v>
      </c>
      <c r="J91" s="146">
        <v>0</v>
      </c>
      <c r="K91" s="146">
        <v>0</v>
      </c>
      <c r="L91" s="146">
        <v>0</v>
      </c>
      <c r="M91" s="146">
        <v>0</v>
      </c>
      <c r="N91" s="146">
        <v>0</v>
      </c>
      <c r="O91" s="146">
        <v>0</v>
      </c>
      <c r="P91" s="146">
        <v>0</v>
      </c>
      <c r="Q91" s="146">
        <v>0</v>
      </c>
      <c r="R91" s="146">
        <v>0</v>
      </c>
      <c r="S91" s="146">
        <v>0</v>
      </c>
      <c r="T91" s="146">
        <v>0</v>
      </c>
      <c r="U91" s="146">
        <v>0</v>
      </c>
      <c r="V91" s="146">
        <v>0</v>
      </c>
      <c r="W91" s="146">
        <v>0</v>
      </c>
      <c r="X91" s="146">
        <v>0</v>
      </c>
      <c r="Y91" s="146">
        <v>0</v>
      </c>
      <c r="Z91" s="122">
        <v>1</v>
      </c>
      <c r="AA91" s="146">
        <v>0</v>
      </c>
      <c r="AB91" s="122">
        <v>1</v>
      </c>
      <c r="AC91" s="146">
        <v>0</v>
      </c>
      <c r="AD91" s="122">
        <v>1</v>
      </c>
      <c r="AE91" s="146">
        <v>0</v>
      </c>
      <c r="AF91" s="122">
        <v>1</v>
      </c>
      <c r="AG91" s="146">
        <v>0</v>
      </c>
      <c r="AH91" s="122">
        <v>1</v>
      </c>
      <c r="AI91" s="146">
        <v>0</v>
      </c>
      <c r="AJ91" s="122">
        <v>1</v>
      </c>
      <c r="AK91" s="146">
        <v>0</v>
      </c>
      <c r="AL91" s="122">
        <v>1</v>
      </c>
      <c r="AM91" s="146">
        <v>0</v>
      </c>
      <c r="AN91" s="122">
        <v>1</v>
      </c>
      <c r="AO91" s="146">
        <v>0</v>
      </c>
    </row>
    <row r="92" spans="9:46">
      <c r="Q92" s="122" t="str">
        <f>LOWER(BIN2HEX(J91&amp;K91&amp;L91&amp;M91&amp;N91&amp;O91&amp;P91&amp;Q91,2))</f>
        <v>00</v>
      </c>
      <c r="Y92" s="122" t="str">
        <f>LOWER(BIN2HEX(R91&amp;S91&amp;T91&amp;U91&amp;V91&amp;W91&amp;X91&amp;Y91,2))</f>
        <v>00</v>
      </c>
      <c r="AG92" s="122" t="str">
        <f>LOWER(BIN2HEX(Z91&amp;AA91&amp;AB91&amp;AC91&amp;AD91&amp;AE91&amp;AF91&amp;AG91,2))</f>
        <v>aa</v>
      </c>
      <c r="AO92" s="122" t="str">
        <f>LOWER(BIN2HEX(AH91&amp;AI91&amp;AJ91&amp;AK91&amp;AL91&amp;AM91&amp;AN91&amp;AO91,2))</f>
        <v>aa</v>
      </c>
      <c r="AQ92" s="122" t="str">
        <f>"(U4)0x"&amp;Q92&amp;Y92&amp;AG92&amp;AO92&amp;"U,"</f>
        <v>(U4)0x0000aaaaU,</v>
      </c>
    </row>
    <row r="93" spans="9:46">
      <c r="I93" s="122" t="s">
        <v>1826</v>
      </c>
      <c r="J93" s="122">
        <v>1</v>
      </c>
      <c r="K93" s="122">
        <v>1</v>
      </c>
      <c r="L93" s="122">
        <v>1</v>
      </c>
      <c r="M93" s="122">
        <v>1</v>
      </c>
      <c r="N93" s="122">
        <v>1</v>
      </c>
      <c r="O93" s="122">
        <v>1</v>
      </c>
      <c r="P93" s="122">
        <v>1</v>
      </c>
      <c r="Q93" s="122">
        <v>1</v>
      </c>
      <c r="R93" s="122">
        <v>1</v>
      </c>
      <c r="S93" s="122">
        <v>1</v>
      </c>
      <c r="T93" s="122">
        <v>1</v>
      </c>
      <c r="U93" s="122">
        <v>1</v>
      </c>
      <c r="V93" s="122">
        <v>1</v>
      </c>
      <c r="W93" s="122">
        <v>1</v>
      </c>
      <c r="X93" s="122">
        <v>1</v>
      </c>
      <c r="Y93" s="122">
        <v>1</v>
      </c>
      <c r="Z93" s="122">
        <v>1</v>
      </c>
      <c r="AA93" s="122">
        <v>1</v>
      </c>
      <c r="AB93" s="146">
        <v>0</v>
      </c>
      <c r="AC93" s="122">
        <v>1</v>
      </c>
      <c r="AD93" s="146">
        <v>0</v>
      </c>
      <c r="AE93" s="122">
        <v>1</v>
      </c>
      <c r="AF93" s="146">
        <v>0</v>
      </c>
      <c r="AG93" s="122">
        <v>1</v>
      </c>
      <c r="AH93" s="146">
        <v>0</v>
      </c>
      <c r="AI93" s="122">
        <v>1</v>
      </c>
      <c r="AJ93" s="146">
        <v>0</v>
      </c>
      <c r="AK93" s="122">
        <v>1</v>
      </c>
      <c r="AL93" s="146">
        <v>0</v>
      </c>
      <c r="AM93" s="122">
        <v>1</v>
      </c>
      <c r="AN93" s="122">
        <v>1</v>
      </c>
      <c r="AO93" s="122">
        <v>1</v>
      </c>
    </row>
    <row r="94" spans="9:46">
      <c r="Q94" s="122" t="str">
        <f>LOWER(BIN2HEX(J93&amp;K93&amp;L93&amp;M93&amp;N93&amp;O93&amp;P93&amp;Q93,2))</f>
        <v>ff</v>
      </c>
      <c r="Y94" s="122" t="str">
        <f>LOWER(BIN2HEX(R93&amp;S93&amp;T93&amp;U93&amp;V93&amp;W93&amp;X93&amp;Y93,2))</f>
        <v>ff</v>
      </c>
      <c r="AG94" s="122" t="str">
        <f>LOWER(BIN2HEX(Z93&amp;AA93&amp;AB93&amp;AC93&amp;AD93&amp;AE93&amp;AF93&amp;AG93,2))</f>
        <v>d5</v>
      </c>
      <c r="AO94" s="122" t="str">
        <f>LOWER(BIN2HEX(AH93&amp;AI93&amp;AJ93&amp;AK93&amp;AL93&amp;AM93&amp;AN93&amp;AO93,2))</f>
        <v>57</v>
      </c>
      <c r="AR94" s="122" t="str">
        <f>"(U4)0x"&amp;Q94&amp;Y94&amp;AG94&amp;AO94&amp;"U,"</f>
        <v>(U4)0xffffd557U,</v>
      </c>
    </row>
    <row r="95" spans="9:46">
      <c r="I95" s="122" t="s">
        <v>1827</v>
      </c>
      <c r="J95" s="146">
        <v>0</v>
      </c>
      <c r="K95" s="146">
        <v>0</v>
      </c>
      <c r="L95" s="146">
        <v>0</v>
      </c>
      <c r="M95" s="146">
        <v>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0</v>
      </c>
      <c r="Z95" s="146">
        <v>0</v>
      </c>
      <c r="AA95" s="146">
        <v>0</v>
      </c>
      <c r="AB95" s="146">
        <v>0</v>
      </c>
      <c r="AC95" s="146">
        <v>0</v>
      </c>
      <c r="AD95" s="146">
        <v>0</v>
      </c>
      <c r="AE95" s="146">
        <v>0</v>
      </c>
      <c r="AF95" s="146">
        <v>0</v>
      </c>
      <c r="AG95" s="146">
        <v>0</v>
      </c>
      <c r="AH95" s="146">
        <v>0</v>
      </c>
      <c r="AI95" s="146">
        <v>0</v>
      </c>
      <c r="AJ95" s="146">
        <v>0</v>
      </c>
      <c r="AK95" s="146">
        <v>0</v>
      </c>
      <c r="AL95" s="146">
        <v>0</v>
      </c>
      <c r="AM95" s="146">
        <v>0</v>
      </c>
      <c r="AN95" s="146">
        <v>0</v>
      </c>
      <c r="AO95" s="146">
        <v>0</v>
      </c>
    </row>
    <row r="96" spans="9:46">
      <c r="Q96" s="122" t="str">
        <f>LOWER(BIN2HEX(J95&amp;K95&amp;L95&amp;M95&amp;N95&amp;O95&amp;P95&amp;Q95,2))</f>
        <v>00</v>
      </c>
      <c r="Y96" s="122" t="str">
        <f>LOWER(BIN2HEX(R95&amp;S95&amp;T95&amp;U95&amp;V95&amp;W95&amp;X95&amp;Y95,2))</f>
        <v>00</v>
      </c>
      <c r="AG96" s="122" t="str">
        <f>LOWER(BIN2HEX(Z95&amp;AA95&amp;AB95&amp;AC95&amp;AD95&amp;AE95&amp;AF95&amp;AG95,2))</f>
        <v>00</v>
      </c>
      <c r="AO96" s="122" t="str">
        <f>LOWER(BIN2HEX(AH95&amp;AI95&amp;AJ95&amp;AK95&amp;AL95&amp;AM95&amp;AN95&amp;AO95,2))</f>
        <v>00</v>
      </c>
      <c r="AS96" s="122" t="str">
        <f>"(U4)0x"&amp;Q96&amp;Y96&amp;AG96&amp;AO96&amp;"U,"</f>
        <v>(U4)0x00000000U,</v>
      </c>
      <c r="AT96" s="122"/>
    </row>
    <row r="97" spans="9:46">
      <c r="I97" s="122" t="s">
        <v>1828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6">
        <v>0</v>
      </c>
      <c r="Y97" s="146">
        <v>0</v>
      </c>
      <c r="Z97" s="146">
        <v>0</v>
      </c>
      <c r="AA97" s="146">
        <v>0</v>
      </c>
      <c r="AB97" s="146">
        <v>0</v>
      </c>
      <c r="AC97" s="146">
        <v>0</v>
      </c>
      <c r="AD97" s="146">
        <v>0</v>
      </c>
      <c r="AE97" s="146">
        <v>0</v>
      </c>
      <c r="AF97" s="146">
        <v>0</v>
      </c>
      <c r="AG97" s="146">
        <v>0</v>
      </c>
      <c r="AH97" s="146">
        <v>0</v>
      </c>
      <c r="AI97" s="146">
        <v>0</v>
      </c>
      <c r="AJ97" s="146">
        <v>0</v>
      </c>
      <c r="AK97" s="146">
        <v>0</v>
      </c>
      <c r="AL97" s="146">
        <v>0</v>
      </c>
      <c r="AM97" s="146">
        <v>0</v>
      </c>
      <c r="AN97" s="146">
        <v>0</v>
      </c>
      <c r="AO97" s="146">
        <v>0</v>
      </c>
    </row>
    <row r="98" spans="9:46">
      <c r="Q98" s="122" t="str">
        <f>LOWER(BIN2HEX(J97&amp;K97&amp;L97&amp;M97&amp;N97&amp;O97&amp;P97&amp;Q97,2))</f>
        <v>00</v>
      </c>
      <c r="Y98" s="122" t="str">
        <f>LOWER(BIN2HEX(R97&amp;S97&amp;T97&amp;U97&amp;V97&amp;W97&amp;X97&amp;Y97,2))</f>
        <v>00</v>
      </c>
      <c r="AG98" s="122" t="str">
        <f>LOWER(BIN2HEX(Z97&amp;AA97&amp;AB97&amp;AC97&amp;AD97&amp;AE97&amp;AF97&amp;AG97,2))</f>
        <v>00</v>
      </c>
      <c r="AO98" s="122" t="str">
        <f>LOWER(BIN2HEX(AH97&amp;AI97&amp;AJ97&amp;AK97&amp;AL97&amp;AM97&amp;AN97&amp;AO97,2))</f>
        <v>00</v>
      </c>
      <c r="AS98" s="122"/>
      <c r="AT98" s="122" t="str">
        <f>"(U4)0x"&amp;Q98&amp;Y98&amp;AG98&amp;AO98&amp;"U,"</f>
        <v>(U4)0x00000000U,</v>
      </c>
    </row>
    <row r="221" spans="46:47">
      <c r="AT221" s="158"/>
      <c r="AU221" s="121" t="s">
        <v>1838</v>
      </c>
    </row>
  </sheetData>
  <autoFilter ref="I11:AR94" xr:uid="{00000000-0001-0000-0000-000000000000}"/>
  <mergeCells count="3">
    <mergeCell ref="B2:E2"/>
    <mergeCell ref="F2:F3"/>
    <mergeCell ref="G2:G3"/>
  </mergeCells>
  <phoneticPr fontId="4"/>
  <hyperlinks>
    <hyperlink ref="B26" r:id="rId1" xr:uid="{964CFE9F-404E-4F2D-8A00-2C59AE345A69}"/>
  </hyperlinks>
  <pageMargins left="0.7" right="0.7" top="0.75" bottom="0.75" header="0.3" footer="0.3"/>
  <headerFooter>
    <oddHeader>&amp;C&amp;"Calibri"&amp;10&amp;KFF0000 CONFIDENTIAL&amp;1#_x000D_</oddHead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7C26-A505-48D7-8B53-B037319BE9EE}">
  <dimension ref="B1:AU225"/>
  <sheetViews>
    <sheetView showGridLines="0" tabSelected="1" workbookViewId="0">
      <pane ySplit="9" topLeftCell="A10" activePane="bottomLeft" state="frozen"/>
      <selection pane="bottomLeft"/>
    </sheetView>
  </sheetViews>
  <sheetFormatPr defaultRowHeight="18.75"/>
  <cols>
    <col min="1" max="1" width="2.625" style="121" customWidth="1"/>
    <col min="2" max="3" width="8.875" style="121" bestFit="1" customWidth="1"/>
    <col min="4" max="4" width="24" style="121" bestFit="1" customWidth="1"/>
    <col min="5" max="5" width="23.5" style="121" bestFit="1" customWidth="1"/>
    <col min="6" max="6" width="21.875" style="121" bestFit="1" customWidth="1"/>
    <col min="7" max="7" width="34.875" style="121" bestFit="1" customWidth="1"/>
    <col min="8" max="8" width="9" style="121"/>
    <col min="9" max="9" width="13.625" style="122" bestFit="1" customWidth="1"/>
    <col min="10" max="41" width="4.625" style="122" customWidth="1"/>
    <col min="42" max="42" width="9" style="122"/>
    <col min="43" max="44" width="20.875" style="122" bestFit="1" customWidth="1"/>
    <col min="45" max="46" width="20.875" style="121" bestFit="1" customWidth="1"/>
    <col min="47" max="16384" width="9" style="121"/>
  </cols>
  <sheetData>
    <row r="1" spans="2:46" ht="19.5" thickBot="1"/>
    <row r="2" spans="2:46">
      <c r="B2" s="272" t="s">
        <v>1789</v>
      </c>
      <c r="C2" s="273"/>
      <c r="D2" s="273"/>
      <c r="E2" s="273"/>
      <c r="F2" s="274" t="s">
        <v>1790</v>
      </c>
      <c r="G2" s="276" t="s">
        <v>1791</v>
      </c>
    </row>
    <row r="3" spans="2:46" ht="19.5" thickBot="1">
      <c r="B3" s="167" t="s">
        <v>1792</v>
      </c>
      <c r="C3" s="168" t="s">
        <v>1793</v>
      </c>
      <c r="D3" s="169" t="s">
        <v>1794</v>
      </c>
      <c r="E3" s="170" t="s">
        <v>1795</v>
      </c>
      <c r="F3" s="275"/>
      <c r="G3" s="277"/>
      <c r="J3" s="122">
        <v>31</v>
      </c>
      <c r="K3" s="122">
        <f t="shared" ref="K3:Y3" si="0">J3-1</f>
        <v>30</v>
      </c>
      <c r="L3" s="122">
        <f t="shared" si="0"/>
        <v>29</v>
      </c>
      <c r="M3" s="122">
        <f t="shared" si="0"/>
        <v>28</v>
      </c>
      <c r="N3" s="122">
        <f t="shared" si="0"/>
        <v>27</v>
      </c>
      <c r="O3" s="122">
        <f t="shared" si="0"/>
        <v>26</v>
      </c>
      <c r="P3" s="122">
        <f t="shared" si="0"/>
        <v>25</v>
      </c>
      <c r="Q3" s="122">
        <f t="shared" si="0"/>
        <v>24</v>
      </c>
      <c r="R3" s="122">
        <f t="shared" si="0"/>
        <v>23</v>
      </c>
      <c r="S3" s="122">
        <f t="shared" si="0"/>
        <v>22</v>
      </c>
      <c r="T3" s="122">
        <f t="shared" si="0"/>
        <v>21</v>
      </c>
      <c r="U3" s="122">
        <f t="shared" si="0"/>
        <v>20</v>
      </c>
      <c r="V3" s="122">
        <f t="shared" si="0"/>
        <v>19</v>
      </c>
      <c r="W3" s="122">
        <f t="shared" si="0"/>
        <v>18</v>
      </c>
      <c r="X3" s="122">
        <f t="shared" si="0"/>
        <v>17</v>
      </c>
      <c r="Y3" s="122">
        <f t="shared" si="0"/>
        <v>16</v>
      </c>
      <c r="Z3" s="122">
        <v>15</v>
      </c>
      <c r="AA3" s="122">
        <f t="shared" ref="AA3:AO3" si="1">Z3-1</f>
        <v>14</v>
      </c>
      <c r="AB3" s="122">
        <f t="shared" si="1"/>
        <v>13</v>
      </c>
      <c r="AC3" s="122">
        <f t="shared" si="1"/>
        <v>12</v>
      </c>
      <c r="AD3" s="122">
        <f t="shared" si="1"/>
        <v>11</v>
      </c>
      <c r="AE3" s="122">
        <f t="shared" si="1"/>
        <v>10</v>
      </c>
      <c r="AF3" s="122">
        <f t="shared" si="1"/>
        <v>9</v>
      </c>
      <c r="AG3" s="122">
        <f t="shared" si="1"/>
        <v>8</v>
      </c>
      <c r="AH3" s="122">
        <f t="shared" si="1"/>
        <v>7</v>
      </c>
      <c r="AI3" s="122">
        <f t="shared" si="1"/>
        <v>6</v>
      </c>
      <c r="AJ3" s="122">
        <f t="shared" si="1"/>
        <v>5</v>
      </c>
      <c r="AK3" s="122">
        <f t="shared" si="1"/>
        <v>4</v>
      </c>
      <c r="AL3" s="122">
        <f t="shared" si="1"/>
        <v>3</v>
      </c>
      <c r="AM3" s="122">
        <f t="shared" si="1"/>
        <v>2</v>
      </c>
      <c r="AN3" s="122">
        <f t="shared" si="1"/>
        <v>1</v>
      </c>
      <c r="AO3" s="122">
        <f t="shared" si="1"/>
        <v>0</v>
      </c>
    </row>
    <row r="4" spans="2:46">
      <c r="B4" s="123" t="s">
        <v>1796</v>
      </c>
      <c r="C4" s="124" t="s">
        <v>1797</v>
      </c>
      <c r="D4" s="125" t="s">
        <v>1798</v>
      </c>
      <c r="E4" s="126" t="s">
        <v>1798</v>
      </c>
      <c r="F4" s="159" t="s">
        <v>1799</v>
      </c>
      <c r="G4" s="128" t="s">
        <v>1800</v>
      </c>
      <c r="I4" s="122" t="s">
        <v>1801</v>
      </c>
      <c r="Z4" s="129" t="s">
        <v>1802</v>
      </c>
      <c r="AA4" s="129" t="s">
        <v>1802</v>
      </c>
      <c r="AB4" s="129" t="s">
        <v>1802</v>
      </c>
      <c r="AC4" s="129" t="s">
        <v>1802</v>
      </c>
      <c r="AD4" s="172" t="s">
        <v>1803</v>
      </c>
      <c r="AE4" s="172" t="s">
        <v>1803</v>
      </c>
      <c r="AF4" s="172" t="s">
        <v>1803</v>
      </c>
      <c r="AG4" s="172" t="s">
        <v>1803</v>
      </c>
      <c r="AH4" s="173" t="s">
        <v>1804</v>
      </c>
      <c r="AI4" s="173" t="s">
        <v>1804</v>
      </c>
      <c r="AJ4" s="173" t="s">
        <v>1804</v>
      </c>
      <c r="AK4" s="173" t="s">
        <v>1804</v>
      </c>
      <c r="AL4" s="171" t="s">
        <v>1805</v>
      </c>
      <c r="AM4" s="171" t="s">
        <v>1805</v>
      </c>
      <c r="AN4" s="171" t="s">
        <v>1805</v>
      </c>
      <c r="AO4" s="171" t="s">
        <v>1805</v>
      </c>
    </row>
    <row r="5" spans="2:46">
      <c r="B5" s="123"/>
      <c r="C5" s="124" t="s">
        <v>1806</v>
      </c>
      <c r="D5" s="125" t="s">
        <v>1807</v>
      </c>
      <c r="E5" s="136" t="s">
        <v>1808</v>
      </c>
      <c r="F5" s="160" t="s">
        <v>1809</v>
      </c>
      <c r="G5" s="133" t="s">
        <v>1810</v>
      </c>
      <c r="I5" s="122" t="s">
        <v>1811</v>
      </c>
      <c r="Z5" s="129" t="s">
        <v>1802</v>
      </c>
      <c r="AA5" s="172" t="s">
        <v>1803</v>
      </c>
      <c r="AB5" s="173" t="s">
        <v>1804</v>
      </c>
      <c r="AC5" s="171" t="s">
        <v>1805</v>
      </c>
      <c r="AD5" s="129" t="s">
        <v>1802</v>
      </c>
      <c r="AE5" s="172" t="s">
        <v>1803</v>
      </c>
      <c r="AF5" s="173" t="s">
        <v>1804</v>
      </c>
      <c r="AG5" s="171" t="s">
        <v>1805</v>
      </c>
      <c r="AH5" s="129" t="s">
        <v>1802</v>
      </c>
      <c r="AI5" s="172" t="s">
        <v>1803</v>
      </c>
      <c r="AJ5" s="173" t="s">
        <v>1804</v>
      </c>
      <c r="AK5" s="171" t="s">
        <v>1805</v>
      </c>
      <c r="AL5" s="129" t="s">
        <v>1802</v>
      </c>
      <c r="AM5" s="172" t="s">
        <v>1803</v>
      </c>
      <c r="AN5" s="173" t="s">
        <v>1804</v>
      </c>
      <c r="AO5" s="171" t="s">
        <v>1805</v>
      </c>
    </row>
    <row r="6" spans="2:46">
      <c r="B6" s="123"/>
      <c r="C6" s="134"/>
      <c r="D6" s="135"/>
      <c r="E6" s="161" t="s">
        <v>1812</v>
      </c>
      <c r="F6" s="160" t="s">
        <v>1813</v>
      </c>
      <c r="G6" s="133" t="s">
        <v>1814</v>
      </c>
      <c r="Z6" s="146">
        <v>0</v>
      </c>
      <c r="AA6" s="122">
        <v>1</v>
      </c>
      <c r="AB6" s="146">
        <v>0</v>
      </c>
      <c r="AC6" s="122">
        <v>1</v>
      </c>
      <c r="AD6" s="122">
        <v>1</v>
      </c>
      <c r="AE6" s="146">
        <v>0</v>
      </c>
      <c r="AF6" s="122">
        <v>1</v>
      </c>
      <c r="AG6" s="146">
        <v>0</v>
      </c>
      <c r="AH6" s="146">
        <v>0</v>
      </c>
      <c r="AI6" s="122">
        <v>1</v>
      </c>
      <c r="AJ6" s="146">
        <v>0</v>
      </c>
      <c r="AK6" s="122">
        <v>1</v>
      </c>
      <c r="AL6" s="122">
        <v>1</v>
      </c>
      <c r="AM6" s="146">
        <v>0</v>
      </c>
      <c r="AN6" s="122">
        <v>1</v>
      </c>
      <c r="AO6" s="146">
        <v>0</v>
      </c>
    </row>
    <row r="7" spans="2:46">
      <c r="B7" s="123"/>
      <c r="C7" s="134"/>
      <c r="D7" s="135"/>
      <c r="E7" s="137" t="s">
        <v>1815</v>
      </c>
      <c r="F7" s="160" t="s">
        <v>1799</v>
      </c>
      <c r="G7" s="128" t="s">
        <v>1800</v>
      </c>
      <c r="AG7" s="122" t="str">
        <f>LOWER(BIN2HEX(Z6&amp;AA6&amp;AB6&amp;AC6&amp;AD6&amp;AE6&amp;AF6&amp;AG6,2))</f>
        <v>5a</v>
      </c>
      <c r="AO7" s="122" t="str">
        <f>LOWER(BIN2HEX(AH6&amp;AI6&amp;AJ6&amp;AK6&amp;AL6&amp;AM6&amp;AN6&amp;AO6,2))</f>
        <v>5a</v>
      </c>
      <c r="AQ7" s="122" t="str">
        <f>"(U2)0x"&amp;AG7&amp;AO7&amp;"U"</f>
        <v>(U2)0x5a5aU</v>
      </c>
    </row>
    <row r="8" spans="2:46">
      <c r="B8" s="123"/>
      <c r="C8" s="134"/>
      <c r="D8" s="135"/>
      <c r="E8" s="147" t="s">
        <v>1816</v>
      </c>
      <c r="F8" s="160" t="s">
        <v>1817</v>
      </c>
      <c r="G8" s="133" t="s">
        <v>1818</v>
      </c>
      <c r="I8" s="122" t="s">
        <v>1839</v>
      </c>
      <c r="J8" s="122">
        <v>0</v>
      </c>
      <c r="K8" s="122">
        <v>0</v>
      </c>
      <c r="L8" s="122">
        <v>0</v>
      </c>
      <c r="M8" s="122">
        <v>0</v>
      </c>
      <c r="N8" s="122">
        <v>0</v>
      </c>
      <c r="O8" s="122">
        <v>0</v>
      </c>
      <c r="P8" s="122">
        <v>0</v>
      </c>
      <c r="Q8" s="122">
        <v>0</v>
      </c>
      <c r="R8" s="122">
        <v>0</v>
      </c>
      <c r="S8" s="122">
        <v>0</v>
      </c>
      <c r="T8" s="122">
        <v>0</v>
      </c>
      <c r="U8" s="122">
        <v>0</v>
      </c>
      <c r="V8" s="122">
        <v>0</v>
      </c>
      <c r="W8" s="122">
        <v>0</v>
      </c>
      <c r="X8" s="122">
        <v>0</v>
      </c>
      <c r="Y8" s="122">
        <v>0</v>
      </c>
      <c r="Z8" s="146">
        <v>0</v>
      </c>
      <c r="AA8" s="122">
        <v>1</v>
      </c>
      <c r="AB8" s="146">
        <v>0</v>
      </c>
      <c r="AC8" s="122">
        <v>1</v>
      </c>
      <c r="AD8" s="180">
        <v>0</v>
      </c>
      <c r="AE8" s="146">
        <v>0</v>
      </c>
      <c r="AF8" s="122">
        <v>1</v>
      </c>
      <c r="AG8" s="146">
        <v>0</v>
      </c>
      <c r="AH8" s="146">
        <v>0</v>
      </c>
      <c r="AI8" s="122">
        <v>1</v>
      </c>
      <c r="AJ8" s="146">
        <v>0</v>
      </c>
      <c r="AK8" s="122">
        <v>1</v>
      </c>
      <c r="AL8" s="180">
        <v>0</v>
      </c>
      <c r="AM8" s="146">
        <v>0</v>
      </c>
      <c r="AN8" s="122">
        <v>1</v>
      </c>
      <c r="AO8" s="146">
        <v>0</v>
      </c>
      <c r="AQ8" s="122" t="s">
        <v>1820</v>
      </c>
    </row>
    <row r="9" spans="2:46">
      <c r="B9" s="123"/>
      <c r="C9" s="134"/>
      <c r="D9" s="161" t="s">
        <v>1808</v>
      </c>
      <c r="E9" s="142" t="s">
        <v>1798</v>
      </c>
      <c r="F9" s="160" t="s">
        <v>1821</v>
      </c>
      <c r="G9" s="133"/>
      <c r="Q9" s="122" t="str">
        <f>LOWER(BIN2HEX(J8&amp;K8&amp;L8&amp;M8&amp;N8&amp;O8&amp;P8&amp;Q8,2))</f>
        <v>00</v>
      </c>
      <c r="Y9" s="122" t="str">
        <f>LOWER(BIN2HEX(R8&amp;S8&amp;T8&amp;U8&amp;V8&amp;W8&amp;X8&amp;Y8,2))</f>
        <v>00</v>
      </c>
      <c r="AG9" s="122" t="str">
        <f>LOWER(BIN2HEX(Z8&amp;AA8&amp;AB8&amp;AC8&amp;AD8&amp;AE8&amp;AF8&amp;AG8,2))</f>
        <v>52</v>
      </c>
      <c r="AO9" s="122" t="str">
        <f>LOWER(BIN2HEX(AH8&amp;AI8&amp;AJ8&amp;AK8&amp;AL8&amp;AM8&amp;AN8&amp;AO8,2))</f>
        <v>52</v>
      </c>
      <c r="AQ9" s="122" t="str">
        <f>"(U2)0x"&amp;AG9&amp;AO9&amp;"U"</f>
        <v>(U2)0x5252U</v>
      </c>
    </row>
    <row r="10" spans="2:46">
      <c r="B10" s="123"/>
      <c r="C10" s="134"/>
      <c r="D10" s="162" t="s">
        <v>1822</v>
      </c>
      <c r="E10" s="139" t="s">
        <v>1823</v>
      </c>
      <c r="F10" s="160" t="s">
        <v>1799</v>
      </c>
      <c r="G10" s="128" t="s">
        <v>1824</v>
      </c>
    </row>
    <row r="11" spans="2:46">
      <c r="B11" s="123"/>
      <c r="C11" s="134"/>
      <c r="D11" s="162"/>
      <c r="E11" s="163" t="s">
        <v>1815</v>
      </c>
      <c r="F11" s="160" t="s">
        <v>1821</v>
      </c>
      <c r="G11" s="133"/>
      <c r="AQ11" s="122" t="s">
        <v>1825</v>
      </c>
      <c r="AR11" s="122" t="s">
        <v>1826</v>
      </c>
      <c r="AS11" s="122" t="s">
        <v>1827</v>
      </c>
      <c r="AT11" s="122" t="s">
        <v>1828</v>
      </c>
    </row>
    <row r="12" spans="2:46">
      <c r="B12" s="123"/>
      <c r="C12" s="134"/>
      <c r="D12" s="164"/>
      <c r="E12" s="139" t="s">
        <v>1816</v>
      </c>
      <c r="F12" s="160" t="s">
        <v>1799</v>
      </c>
      <c r="G12" s="128" t="s">
        <v>1824</v>
      </c>
      <c r="I12" s="122" t="s">
        <v>1829</v>
      </c>
      <c r="J12" s="122">
        <f t="shared" ref="J12:AM12" si="2">K12+1</f>
        <v>31</v>
      </c>
      <c r="K12" s="122">
        <f t="shared" si="2"/>
        <v>30</v>
      </c>
      <c r="L12" s="122">
        <f t="shared" si="2"/>
        <v>29</v>
      </c>
      <c r="M12" s="122">
        <f t="shared" si="2"/>
        <v>28</v>
      </c>
      <c r="N12" s="122">
        <f t="shared" si="2"/>
        <v>27</v>
      </c>
      <c r="O12" s="122">
        <f t="shared" si="2"/>
        <v>26</v>
      </c>
      <c r="P12" s="122">
        <f t="shared" si="2"/>
        <v>25</v>
      </c>
      <c r="Q12" s="122">
        <f t="shared" si="2"/>
        <v>24</v>
      </c>
      <c r="R12" s="122">
        <f t="shared" si="2"/>
        <v>23</v>
      </c>
      <c r="S12" s="122">
        <f t="shared" si="2"/>
        <v>22</v>
      </c>
      <c r="T12" s="122">
        <f t="shared" si="2"/>
        <v>21</v>
      </c>
      <c r="U12" s="122">
        <f t="shared" si="2"/>
        <v>20</v>
      </c>
      <c r="V12" s="122">
        <f t="shared" si="2"/>
        <v>19</v>
      </c>
      <c r="W12" s="122">
        <f t="shared" si="2"/>
        <v>18</v>
      </c>
      <c r="X12" s="122">
        <f t="shared" si="2"/>
        <v>17</v>
      </c>
      <c r="Y12" s="122">
        <f t="shared" si="2"/>
        <v>16</v>
      </c>
      <c r="Z12" s="122">
        <f t="shared" si="2"/>
        <v>15</v>
      </c>
      <c r="AA12" s="122">
        <f t="shared" si="2"/>
        <v>14</v>
      </c>
      <c r="AB12" s="122">
        <f t="shared" si="2"/>
        <v>13</v>
      </c>
      <c r="AC12" s="122">
        <f t="shared" si="2"/>
        <v>12</v>
      </c>
      <c r="AD12" s="122">
        <f t="shared" si="2"/>
        <v>11</v>
      </c>
      <c r="AE12" s="122">
        <f t="shared" si="2"/>
        <v>10</v>
      </c>
      <c r="AF12" s="122">
        <f t="shared" si="2"/>
        <v>9</v>
      </c>
      <c r="AG12" s="122">
        <f t="shared" si="2"/>
        <v>8</v>
      </c>
      <c r="AH12" s="122">
        <f t="shared" si="2"/>
        <v>7</v>
      </c>
      <c r="AI12" s="122">
        <f t="shared" si="2"/>
        <v>6</v>
      </c>
      <c r="AJ12" s="122">
        <f t="shared" si="2"/>
        <v>5</v>
      </c>
      <c r="AK12" s="122">
        <f t="shared" si="2"/>
        <v>4</v>
      </c>
      <c r="AL12" s="122">
        <f t="shared" si="2"/>
        <v>3</v>
      </c>
      <c r="AM12" s="122">
        <f t="shared" si="2"/>
        <v>2</v>
      </c>
      <c r="AN12" s="122">
        <f>AO12+1</f>
        <v>1</v>
      </c>
      <c r="AO12" s="122">
        <v>0</v>
      </c>
    </row>
    <row r="13" spans="2:46" ht="32.25">
      <c r="B13" s="123"/>
      <c r="C13" s="134"/>
      <c r="D13" s="136" t="s">
        <v>1812</v>
      </c>
      <c r="E13" s="139" t="s">
        <v>1798</v>
      </c>
      <c r="F13" s="160" t="s">
        <v>1830</v>
      </c>
      <c r="G13" s="133"/>
      <c r="I13" s="122" t="s">
        <v>1831</v>
      </c>
      <c r="J13" s="143" t="str">
        <f t="shared" ref="J13:AN13" si="3">"0x"&amp;DEC2HEX(J12,2)</f>
        <v>0x1F</v>
      </c>
      <c r="K13" s="143" t="str">
        <f t="shared" si="3"/>
        <v>0x1E</v>
      </c>
      <c r="L13" s="143" t="str">
        <f t="shared" si="3"/>
        <v>0x1D</v>
      </c>
      <c r="M13" s="143" t="str">
        <f t="shared" si="3"/>
        <v>0x1C</v>
      </c>
      <c r="N13" s="143" t="str">
        <f t="shared" si="3"/>
        <v>0x1B</v>
      </c>
      <c r="O13" s="143" t="str">
        <f t="shared" si="3"/>
        <v>0x1A</v>
      </c>
      <c r="P13" s="143" t="str">
        <f t="shared" si="3"/>
        <v>0x19</v>
      </c>
      <c r="Q13" s="143" t="str">
        <f t="shared" si="3"/>
        <v>0x18</v>
      </c>
      <c r="R13" s="143" t="str">
        <f t="shared" si="3"/>
        <v>0x17</v>
      </c>
      <c r="S13" s="143" t="str">
        <f t="shared" si="3"/>
        <v>0x16</v>
      </c>
      <c r="T13" s="143" t="str">
        <f t="shared" si="3"/>
        <v>0x15</v>
      </c>
      <c r="U13" s="143" t="str">
        <f t="shared" si="3"/>
        <v>0x14</v>
      </c>
      <c r="V13" s="143" t="str">
        <f t="shared" si="3"/>
        <v>0x13</v>
      </c>
      <c r="W13" s="143" t="str">
        <f t="shared" si="3"/>
        <v>0x12</v>
      </c>
      <c r="X13" s="143" t="str">
        <f t="shared" si="3"/>
        <v>0x11</v>
      </c>
      <c r="Y13" s="143" t="str">
        <f t="shared" si="3"/>
        <v>0x10</v>
      </c>
      <c r="Z13" s="143" t="str">
        <f t="shared" si="3"/>
        <v>0x0F</v>
      </c>
      <c r="AA13" s="143" t="str">
        <f t="shared" si="3"/>
        <v>0x0E</v>
      </c>
      <c r="AB13" s="143" t="str">
        <f t="shared" si="3"/>
        <v>0x0D</v>
      </c>
      <c r="AC13" s="143" t="str">
        <f t="shared" si="3"/>
        <v>0x0C</v>
      </c>
      <c r="AD13" s="143" t="str">
        <f t="shared" si="3"/>
        <v>0x0B</v>
      </c>
      <c r="AE13" s="143" t="str">
        <f t="shared" si="3"/>
        <v>0x0A</v>
      </c>
      <c r="AF13" s="143" t="str">
        <f t="shared" si="3"/>
        <v>0x09</v>
      </c>
      <c r="AG13" s="143" t="str">
        <f t="shared" si="3"/>
        <v>0x08</v>
      </c>
      <c r="AH13" s="143" t="str">
        <f t="shared" si="3"/>
        <v>0x07</v>
      </c>
      <c r="AI13" s="143" t="str">
        <f t="shared" si="3"/>
        <v>0x06</v>
      </c>
      <c r="AJ13" s="143" t="str">
        <f t="shared" si="3"/>
        <v>0x05</v>
      </c>
      <c r="AK13" s="143" t="str">
        <f t="shared" si="3"/>
        <v>0x04</v>
      </c>
      <c r="AL13" s="143" t="str">
        <f t="shared" si="3"/>
        <v>0x03</v>
      </c>
      <c r="AM13" s="143" t="str">
        <f t="shared" si="3"/>
        <v>0x02</v>
      </c>
      <c r="AN13" s="143" t="str">
        <f t="shared" si="3"/>
        <v>0x01</v>
      </c>
      <c r="AO13" s="143" t="str">
        <f>"0x"&amp;DEC2HEX(AO12,2)</f>
        <v>0x00</v>
      </c>
    </row>
    <row r="14" spans="2:46">
      <c r="B14" s="123"/>
      <c r="C14" s="134"/>
      <c r="D14" s="140" t="s">
        <v>1832</v>
      </c>
      <c r="E14" s="139" t="s">
        <v>1823</v>
      </c>
      <c r="F14" s="160" t="s">
        <v>1799</v>
      </c>
      <c r="G14" s="128" t="s">
        <v>1824</v>
      </c>
      <c r="I14" s="122" t="s">
        <v>1825</v>
      </c>
      <c r="J14" s="122">
        <v>1</v>
      </c>
      <c r="K14" s="122">
        <v>1</v>
      </c>
      <c r="L14" s="122">
        <v>1</v>
      </c>
      <c r="M14" s="200">
        <v>0</v>
      </c>
      <c r="N14" s="122">
        <v>1</v>
      </c>
      <c r="O14" s="122">
        <v>1</v>
      </c>
      <c r="P14" s="122">
        <v>1</v>
      </c>
      <c r="Q14" s="122">
        <v>1</v>
      </c>
      <c r="R14" s="146">
        <v>0</v>
      </c>
      <c r="S14" s="122">
        <v>1</v>
      </c>
      <c r="T14" s="122">
        <v>1</v>
      </c>
      <c r="U14" s="122">
        <v>1</v>
      </c>
      <c r="V14" s="122">
        <v>1</v>
      </c>
      <c r="W14" s="122">
        <v>1</v>
      </c>
      <c r="X14" s="122">
        <v>1</v>
      </c>
      <c r="Y14" s="122">
        <v>1</v>
      </c>
      <c r="Z14" s="122">
        <v>1</v>
      </c>
      <c r="AA14" s="122">
        <v>1</v>
      </c>
      <c r="AB14" s="122">
        <v>1</v>
      </c>
      <c r="AC14" s="122">
        <v>1</v>
      </c>
      <c r="AD14" s="122">
        <v>1</v>
      </c>
      <c r="AE14" s="122">
        <v>1</v>
      </c>
      <c r="AF14" s="122">
        <v>1</v>
      </c>
      <c r="AG14" s="122">
        <v>1</v>
      </c>
      <c r="AH14" s="122">
        <v>1</v>
      </c>
      <c r="AI14" s="122">
        <v>1</v>
      </c>
      <c r="AJ14" s="122">
        <v>1</v>
      </c>
      <c r="AK14" s="122">
        <v>1</v>
      </c>
      <c r="AL14" s="122">
        <v>1</v>
      </c>
      <c r="AM14" s="122">
        <v>1</v>
      </c>
      <c r="AN14" s="122">
        <v>1</v>
      </c>
      <c r="AO14" s="122">
        <v>1</v>
      </c>
    </row>
    <row r="15" spans="2:46">
      <c r="B15" s="123"/>
      <c r="C15" s="134"/>
      <c r="D15" s="140"/>
      <c r="E15" s="139" t="s">
        <v>1815</v>
      </c>
      <c r="F15" s="160" t="s">
        <v>1830</v>
      </c>
      <c r="G15" s="128"/>
      <c r="M15" s="199"/>
      <c r="Q15" s="122" t="str">
        <f>LOWER(BIN2HEX(J14&amp;K14&amp;L14&amp;M14&amp;N14&amp;O14&amp;P14&amp;Q14,2))</f>
        <v>ef</v>
      </c>
      <c r="Y15" s="122" t="str">
        <f>LOWER(BIN2HEX(R14&amp;S14&amp;T14&amp;U14&amp;V14&amp;W14&amp;X14&amp;Y14,2))</f>
        <v>7f</v>
      </c>
      <c r="AG15" s="122" t="str">
        <f>LOWER(BIN2HEX(Z14&amp;AA14&amp;AB14&amp;AC14&amp;AD14&amp;AE14&amp;AF14&amp;AG14,2))</f>
        <v>ff</v>
      </c>
      <c r="AO15" s="122" t="str">
        <f>LOWER(BIN2HEX(AH14&amp;AI14&amp;AJ14&amp;AK14&amp;AL14&amp;AM14&amp;AN14&amp;AO14,2))</f>
        <v>ff</v>
      </c>
      <c r="AQ15" s="122" t="str">
        <f>"(U4)0x"&amp;Q15&amp;Y15&amp;AG15&amp;AO15&amp;"U,"</f>
        <v>(U4)0xef7fffffU,</v>
      </c>
    </row>
    <row r="16" spans="2:46">
      <c r="B16" s="123"/>
      <c r="C16" s="134"/>
      <c r="D16" s="141"/>
      <c r="E16" s="139" t="s">
        <v>1816</v>
      </c>
      <c r="F16" s="160" t="s">
        <v>1799</v>
      </c>
      <c r="G16" s="128" t="s">
        <v>1824</v>
      </c>
      <c r="I16" s="122" t="s">
        <v>1826</v>
      </c>
      <c r="J16" s="146">
        <v>0</v>
      </c>
      <c r="K16" s="146">
        <v>0</v>
      </c>
      <c r="L16" s="146">
        <v>0</v>
      </c>
      <c r="M16" s="199">
        <v>1</v>
      </c>
      <c r="N16" s="146">
        <v>0</v>
      </c>
      <c r="O16" s="146">
        <v>0</v>
      </c>
      <c r="P16" s="146">
        <v>0</v>
      </c>
      <c r="Q16" s="146">
        <v>0</v>
      </c>
      <c r="R16" s="122">
        <v>1</v>
      </c>
      <c r="S16" s="146">
        <v>0</v>
      </c>
      <c r="T16" s="146">
        <v>0</v>
      </c>
      <c r="U16" s="146">
        <v>0</v>
      </c>
      <c r="V16" s="146">
        <v>0</v>
      </c>
      <c r="W16" s="146">
        <v>0</v>
      </c>
      <c r="X16" s="146">
        <v>0</v>
      </c>
      <c r="Y16" s="146">
        <v>0</v>
      </c>
      <c r="Z16" s="146">
        <v>0</v>
      </c>
      <c r="AA16" s="146">
        <v>0</v>
      </c>
      <c r="AB16" s="146">
        <v>0</v>
      </c>
      <c r="AC16" s="146">
        <v>0</v>
      </c>
      <c r="AD16" s="146">
        <v>0</v>
      </c>
      <c r="AE16" s="146">
        <v>0</v>
      </c>
      <c r="AF16" s="146">
        <v>0</v>
      </c>
      <c r="AG16" s="146">
        <v>0</v>
      </c>
      <c r="AH16" s="146">
        <v>0</v>
      </c>
      <c r="AI16" s="146">
        <v>0</v>
      </c>
      <c r="AJ16" s="146">
        <v>0</v>
      </c>
      <c r="AK16" s="146">
        <v>0</v>
      </c>
      <c r="AL16" s="146">
        <v>0</v>
      </c>
      <c r="AM16" s="146">
        <v>0</v>
      </c>
      <c r="AN16" s="146">
        <v>0</v>
      </c>
      <c r="AO16" s="146">
        <v>0</v>
      </c>
    </row>
    <row r="17" spans="2:46">
      <c r="B17" s="123"/>
      <c r="C17" s="134"/>
      <c r="D17" s="161" t="s">
        <v>1815</v>
      </c>
      <c r="E17" s="139" t="s">
        <v>1798</v>
      </c>
      <c r="F17" s="160" t="s">
        <v>1799</v>
      </c>
      <c r="G17" s="128" t="s">
        <v>1833</v>
      </c>
      <c r="Q17" s="122" t="str">
        <f>LOWER(BIN2HEX(J16&amp;K16&amp;L16&amp;M16&amp;N16&amp;O16&amp;P16&amp;Q16,2))</f>
        <v>10</v>
      </c>
      <c r="Y17" s="122" t="str">
        <f>LOWER(BIN2HEX(R16&amp;S16&amp;T16&amp;U16&amp;V16&amp;W16&amp;X16&amp;Y16,2))</f>
        <v>80</v>
      </c>
      <c r="AG17" s="122" t="str">
        <f>LOWER(BIN2HEX(Z16&amp;AA16&amp;AB16&amp;AC16&amp;AD16&amp;AE16&amp;AF16&amp;AG16,2))</f>
        <v>00</v>
      </c>
      <c r="AO17" s="122" t="str">
        <f>LOWER(BIN2HEX(AH16&amp;AI16&amp;AJ16&amp;AK16&amp;AL16&amp;AM16&amp;AN16&amp;AO16,2))</f>
        <v>00</v>
      </c>
      <c r="AR17" s="122" t="str">
        <f>"(U4)0x"&amp;Q17&amp;Y17&amp;AG17&amp;AO17&amp;"U,"</f>
        <v>(U4)0x10800000U,</v>
      </c>
    </row>
    <row r="18" spans="2:46">
      <c r="B18" s="123"/>
      <c r="C18" s="134"/>
      <c r="D18" s="162" t="s">
        <v>1834</v>
      </c>
      <c r="E18" s="136" t="s">
        <v>1808</v>
      </c>
      <c r="F18" s="160" t="s">
        <v>1809</v>
      </c>
      <c r="G18" s="133"/>
      <c r="I18" s="122" t="s">
        <v>1827</v>
      </c>
      <c r="J18" s="146">
        <v>0</v>
      </c>
      <c r="K18" s="146">
        <v>0</v>
      </c>
      <c r="L18" s="146">
        <v>0</v>
      </c>
      <c r="M18" s="146">
        <v>0</v>
      </c>
      <c r="N18" s="146">
        <v>0</v>
      </c>
      <c r="O18" s="146">
        <v>0</v>
      </c>
      <c r="P18" s="146">
        <v>0</v>
      </c>
      <c r="Q18" s="146">
        <v>0</v>
      </c>
      <c r="R18" s="200">
        <v>0</v>
      </c>
      <c r="S18" s="146">
        <v>0</v>
      </c>
      <c r="T18" s="146">
        <v>0</v>
      </c>
      <c r="U18" s="146">
        <v>0</v>
      </c>
      <c r="V18" s="146">
        <v>0</v>
      </c>
      <c r="W18" s="146">
        <v>0</v>
      </c>
      <c r="X18" s="146">
        <v>0</v>
      </c>
      <c r="Y18" s="146">
        <v>0</v>
      </c>
      <c r="Z18" s="146">
        <v>0</v>
      </c>
      <c r="AA18" s="146">
        <v>0</v>
      </c>
      <c r="AB18" s="146">
        <v>0</v>
      </c>
      <c r="AC18" s="146">
        <v>0</v>
      </c>
      <c r="AD18" s="146">
        <v>0</v>
      </c>
      <c r="AE18" s="146">
        <v>0</v>
      </c>
      <c r="AF18" s="146">
        <v>0</v>
      </c>
      <c r="AG18" s="146">
        <v>0</v>
      </c>
      <c r="AH18" s="146">
        <v>0</v>
      </c>
      <c r="AI18" s="146">
        <v>0</v>
      </c>
      <c r="AJ18" s="146">
        <v>0</v>
      </c>
      <c r="AK18" s="146">
        <v>0</v>
      </c>
      <c r="AL18" s="146">
        <v>0</v>
      </c>
      <c r="AM18" s="146">
        <v>0</v>
      </c>
      <c r="AN18" s="146">
        <v>0</v>
      </c>
      <c r="AO18" s="146">
        <v>0</v>
      </c>
    </row>
    <row r="19" spans="2:46">
      <c r="B19" s="123"/>
      <c r="C19" s="134"/>
      <c r="D19" s="162"/>
      <c r="E19" s="161" t="s">
        <v>1812</v>
      </c>
      <c r="F19" s="160" t="s">
        <v>1813</v>
      </c>
      <c r="G19" s="133"/>
      <c r="Q19" s="122" t="str">
        <f>LOWER(BIN2HEX(J18&amp;K18&amp;L18&amp;M18&amp;N18&amp;O18&amp;P18&amp;Q18,2))</f>
        <v>00</v>
      </c>
      <c r="Y19" s="122" t="str">
        <f>LOWER(BIN2HEX(R18&amp;S18&amp;T18&amp;U18&amp;V18&amp;W18&amp;X18&amp;Y18,2))</f>
        <v>00</v>
      </c>
      <c r="AG19" s="122" t="str">
        <f>LOWER(BIN2HEX(Z18&amp;AA18&amp;AB18&amp;AC18&amp;AD18&amp;AE18&amp;AF18&amp;AG18,2))</f>
        <v>00</v>
      </c>
      <c r="AO19" s="122" t="str">
        <f>LOWER(BIN2HEX(AH18&amp;AI18&amp;AJ18&amp;AK18&amp;AL18&amp;AM18&amp;AN18&amp;AO18,2))</f>
        <v>00</v>
      </c>
      <c r="AS19" s="122" t="str">
        <f>"(U4)0x"&amp;Q19&amp;Y19&amp;AG19&amp;AO19&amp;"U,"</f>
        <v>(U4)0x00000000U,</v>
      </c>
      <c r="AT19" s="122"/>
    </row>
    <row r="20" spans="2:46">
      <c r="B20" s="123"/>
      <c r="C20" s="134"/>
      <c r="D20" s="162"/>
      <c r="E20" s="137" t="s">
        <v>1815</v>
      </c>
      <c r="F20" s="160" t="s">
        <v>1799</v>
      </c>
      <c r="G20" s="128" t="s">
        <v>1833</v>
      </c>
      <c r="I20" s="122" t="s">
        <v>1828</v>
      </c>
      <c r="J20" s="146">
        <v>0</v>
      </c>
      <c r="K20" s="146">
        <v>0</v>
      </c>
      <c r="L20" s="146">
        <v>0</v>
      </c>
      <c r="M20" s="146">
        <v>0</v>
      </c>
      <c r="N20" s="146">
        <v>0</v>
      </c>
      <c r="O20" s="146">
        <v>0</v>
      </c>
      <c r="P20" s="146">
        <v>0</v>
      </c>
      <c r="Q20" s="146">
        <v>0</v>
      </c>
      <c r="R20" s="146">
        <v>0</v>
      </c>
      <c r="S20" s="146">
        <v>0</v>
      </c>
      <c r="T20" s="146">
        <v>0</v>
      </c>
      <c r="U20" s="146">
        <v>0</v>
      </c>
      <c r="V20" s="146">
        <v>0</v>
      </c>
      <c r="W20" s="146">
        <v>0</v>
      </c>
      <c r="X20" s="146">
        <v>0</v>
      </c>
      <c r="Y20" s="146">
        <v>0</v>
      </c>
      <c r="Z20" s="146">
        <v>0</v>
      </c>
      <c r="AA20" s="146">
        <v>0</v>
      </c>
      <c r="AB20" s="146">
        <v>0</v>
      </c>
      <c r="AC20" s="146">
        <v>0</v>
      </c>
      <c r="AD20" s="146">
        <v>0</v>
      </c>
      <c r="AE20" s="146">
        <v>0</v>
      </c>
      <c r="AF20" s="146">
        <v>0</v>
      </c>
      <c r="AG20" s="146">
        <v>0</v>
      </c>
      <c r="AH20" s="146">
        <v>0</v>
      </c>
      <c r="AI20" s="146">
        <v>0</v>
      </c>
      <c r="AJ20" s="146">
        <v>0</v>
      </c>
      <c r="AK20" s="146">
        <v>0</v>
      </c>
      <c r="AL20" s="146">
        <v>0</v>
      </c>
      <c r="AM20" s="146">
        <v>0</v>
      </c>
      <c r="AN20" s="146">
        <v>0</v>
      </c>
      <c r="AO20" s="146">
        <v>0</v>
      </c>
    </row>
    <row r="21" spans="2:46">
      <c r="B21" s="123"/>
      <c r="C21" s="134"/>
      <c r="D21" s="162"/>
      <c r="E21" s="147" t="s">
        <v>1816</v>
      </c>
      <c r="F21" s="160" t="s">
        <v>1817</v>
      </c>
      <c r="G21" s="128"/>
      <c r="Q21" s="122" t="str">
        <f>LOWER(BIN2HEX(J20&amp;K20&amp;L20&amp;M20&amp;N20&amp;O20&amp;P20&amp;Q20,2))</f>
        <v>00</v>
      </c>
      <c r="Y21" s="122" t="str">
        <f>LOWER(BIN2HEX(R20&amp;S20&amp;T20&amp;U20&amp;V20&amp;W20&amp;X20&amp;Y20,2))</f>
        <v>00</v>
      </c>
      <c r="AG21" s="122" t="str">
        <f>LOWER(BIN2HEX(Z20&amp;AA20&amp;AB20&amp;AC20&amp;AD20&amp;AE20&amp;AF20&amp;AG20,2))</f>
        <v>00</v>
      </c>
      <c r="AO21" s="122" t="str">
        <f>LOWER(BIN2HEX(AH20&amp;AI20&amp;AJ20&amp;AK20&amp;AL20&amp;AM20&amp;AN20&amp;AO20,2))</f>
        <v>00</v>
      </c>
      <c r="AS21" s="122"/>
      <c r="AT21" s="122" t="str">
        <f>"(U4)0x"&amp;Q21&amp;Y21&amp;AG21&amp;AO21&amp;"U,"</f>
        <v>(U4)0x00000000U,</v>
      </c>
    </row>
    <row r="22" spans="2:46">
      <c r="B22" s="123"/>
      <c r="C22" s="134"/>
      <c r="D22" s="181" t="s">
        <v>1816</v>
      </c>
      <c r="E22" s="142" t="s">
        <v>1798</v>
      </c>
      <c r="F22" s="160" t="s">
        <v>1835</v>
      </c>
      <c r="G22" s="133"/>
    </row>
    <row r="23" spans="2:46">
      <c r="B23" s="123"/>
      <c r="C23" s="134"/>
      <c r="D23" s="182" t="s">
        <v>1836</v>
      </c>
      <c r="E23" s="147" t="s">
        <v>1823</v>
      </c>
      <c r="F23" s="165" t="s">
        <v>1799</v>
      </c>
      <c r="G23" s="150" t="s">
        <v>1824</v>
      </c>
      <c r="I23" s="122" t="s">
        <v>1829</v>
      </c>
      <c r="J23" s="122">
        <f t="shared" ref="J23:AM23" si="4">K23+1</f>
        <v>63</v>
      </c>
      <c r="K23" s="122">
        <f t="shared" si="4"/>
        <v>62</v>
      </c>
      <c r="L23" s="122">
        <f t="shared" si="4"/>
        <v>61</v>
      </c>
      <c r="M23" s="122">
        <f t="shared" si="4"/>
        <v>60</v>
      </c>
      <c r="N23" s="122">
        <f t="shared" si="4"/>
        <v>59</v>
      </c>
      <c r="O23" s="122">
        <f t="shared" si="4"/>
        <v>58</v>
      </c>
      <c r="P23" s="122">
        <f t="shared" si="4"/>
        <v>57</v>
      </c>
      <c r="Q23" s="122">
        <f t="shared" si="4"/>
        <v>56</v>
      </c>
      <c r="R23" s="122">
        <f t="shared" si="4"/>
        <v>55</v>
      </c>
      <c r="S23" s="122">
        <f t="shared" si="4"/>
        <v>54</v>
      </c>
      <c r="T23" s="122">
        <f t="shared" si="4"/>
        <v>53</v>
      </c>
      <c r="U23" s="122">
        <f t="shared" si="4"/>
        <v>52</v>
      </c>
      <c r="V23" s="122">
        <f t="shared" si="4"/>
        <v>51</v>
      </c>
      <c r="W23" s="122">
        <f t="shared" si="4"/>
        <v>50</v>
      </c>
      <c r="X23" s="122">
        <f t="shared" si="4"/>
        <v>49</v>
      </c>
      <c r="Y23" s="122">
        <f t="shared" si="4"/>
        <v>48</v>
      </c>
      <c r="Z23" s="122">
        <f t="shared" si="4"/>
        <v>47</v>
      </c>
      <c r="AA23" s="122">
        <f t="shared" si="4"/>
        <v>46</v>
      </c>
      <c r="AB23" s="122">
        <f t="shared" si="4"/>
        <v>45</v>
      </c>
      <c r="AC23" s="122">
        <f t="shared" si="4"/>
        <v>44</v>
      </c>
      <c r="AD23" s="122">
        <f t="shared" si="4"/>
        <v>43</v>
      </c>
      <c r="AE23" s="122">
        <f t="shared" si="4"/>
        <v>42</v>
      </c>
      <c r="AF23" s="122">
        <f t="shared" si="4"/>
        <v>41</v>
      </c>
      <c r="AG23" s="122">
        <f t="shared" si="4"/>
        <v>40</v>
      </c>
      <c r="AH23" s="122">
        <f t="shared" si="4"/>
        <v>39</v>
      </c>
      <c r="AI23" s="122">
        <f t="shared" si="4"/>
        <v>38</v>
      </c>
      <c r="AJ23" s="122">
        <f t="shared" si="4"/>
        <v>37</v>
      </c>
      <c r="AK23" s="122">
        <f t="shared" si="4"/>
        <v>36</v>
      </c>
      <c r="AL23" s="122">
        <f t="shared" si="4"/>
        <v>35</v>
      </c>
      <c r="AM23" s="122">
        <f t="shared" si="4"/>
        <v>34</v>
      </c>
      <c r="AN23" s="122">
        <f>AO23+1</f>
        <v>33</v>
      </c>
      <c r="AO23" s="122">
        <v>32</v>
      </c>
    </row>
    <row r="24" spans="2:46" ht="32.25">
      <c r="B24" s="123"/>
      <c r="C24" s="134"/>
      <c r="D24" s="182"/>
      <c r="E24" s="181" t="s">
        <v>1815</v>
      </c>
      <c r="F24" s="160" t="s">
        <v>1835</v>
      </c>
      <c r="G24" s="133"/>
      <c r="I24" s="122" t="s">
        <v>1831</v>
      </c>
      <c r="J24" s="143" t="str">
        <f t="shared" ref="J24:AN24" si="5">"0x"&amp;DEC2HEX(J23,2)</f>
        <v>0x3F</v>
      </c>
      <c r="K24" s="143" t="str">
        <f t="shared" si="5"/>
        <v>0x3E</v>
      </c>
      <c r="L24" s="143" t="str">
        <f t="shared" si="5"/>
        <v>0x3D</v>
      </c>
      <c r="M24" s="143" t="str">
        <f t="shared" si="5"/>
        <v>0x3C</v>
      </c>
      <c r="N24" s="143" t="str">
        <f t="shared" si="5"/>
        <v>0x3B</v>
      </c>
      <c r="O24" s="143" t="str">
        <f t="shared" si="5"/>
        <v>0x3A</v>
      </c>
      <c r="P24" s="143" t="str">
        <f t="shared" si="5"/>
        <v>0x39</v>
      </c>
      <c r="Q24" s="143" t="str">
        <f t="shared" si="5"/>
        <v>0x38</v>
      </c>
      <c r="R24" s="143" t="str">
        <f t="shared" si="5"/>
        <v>0x37</v>
      </c>
      <c r="S24" s="143" t="str">
        <f t="shared" si="5"/>
        <v>0x36</v>
      </c>
      <c r="T24" s="143" t="str">
        <f t="shared" si="5"/>
        <v>0x35</v>
      </c>
      <c r="U24" s="143" t="str">
        <f t="shared" si="5"/>
        <v>0x34</v>
      </c>
      <c r="V24" s="143" t="str">
        <f t="shared" si="5"/>
        <v>0x33</v>
      </c>
      <c r="W24" s="143" t="str">
        <f t="shared" si="5"/>
        <v>0x32</v>
      </c>
      <c r="X24" s="143" t="str">
        <f t="shared" si="5"/>
        <v>0x31</v>
      </c>
      <c r="Y24" s="143" t="str">
        <f t="shared" si="5"/>
        <v>0x30</v>
      </c>
      <c r="Z24" s="143" t="str">
        <f t="shared" si="5"/>
        <v>0x2F</v>
      </c>
      <c r="AA24" s="143" t="str">
        <f t="shared" si="5"/>
        <v>0x2E</v>
      </c>
      <c r="AB24" s="143" t="str">
        <f t="shared" si="5"/>
        <v>0x2D</v>
      </c>
      <c r="AC24" s="143" t="str">
        <f t="shared" si="5"/>
        <v>0x2C</v>
      </c>
      <c r="AD24" s="143" t="str">
        <f t="shared" si="5"/>
        <v>0x2B</v>
      </c>
      <c r="AE24" s="143" t="str">
        <f t="shared" si="5"/>
        <v>0x2A</v>
      </c>
      <c r="AF24" s="143" t="str">
        <f t="shared" si="5"/>
        <v>0x29</v>
      </c>
      <c r="AG24" s="143" t="str">
        <f t="shared" si="5"/>
        <v>0x28</v>
      </c>
      <c r="AH24" s="143" t="str">
        <f t="shared" si="5"/>
        <v>0x27</v>
      </c>
      <c r="AI24" s="143" t="str">
        <f t="shared" si="5"/>
        <v>0x26</v>
      </c>
      <c r="AJ24" s="143" t="str">
        <f t="shared" si="5"/>
        <v>0x25</v>
      </c>
      <c r="AK24" s="143" t="str">
        <f t="shared" si="5"/>
        <v>0x24</v>
      </c>
      <c r="AL24" s="143" t="str">
        <f t="shared" si="5"/>
        <v>0x23</v>
      </c>
      <c r="AM24" s="143" t="str">
        <f t="shared" si="5"/>
        <v>0x22</v>
      </c>
      <c r="AN24" s="143" t="str">
        <f t="shared" si="5"/>
        <v>0x21</v>
      </c>
      <c r="AO24" s="143" t="str">
        <f>"0x"&amp;DEC2HEX(AO23,2)</f>
        <v>0x20</v>
      </c>
    </row>
    <row r="25" spans="2:46" ht="19.5" thickBot="1">
      <c r="B25" s="151"/>
      <c r="C25" s="152"/>
      <c r="D25" s="183"/>
      <c r="E25" s="154" t="s">
        <v>1816</v>
      </c>
      <c r="F25" s="166" t="s">
        <v>1799</v>
      </c>
      <c r="G25" s="156" t="s">
        <v>1824</v>
      </c>
      <c r="I25" s="122" t="s">
        <v>1825</v>
      </c>
      <c r="J25" s="122">
        <v>1</v>
      </c>
      <c r="K25" s="122">
        <v>1</v>
      </c>
      <c r="L25" s="122">
        <v>1</v>
      </c>
      <c r="M25" s="122">
        <v>1</v>
      </c>
      <c r="N25" s="122">
        <v>1</v>
      </c>
      <c r="O25" s="122">
        <v>1</v>
      </c>
      <c r="P25" s="122">
        <v>1</v>
      </c>
      <c r="Q25" s="122">
        <v>1</v>
      </c>
      <c r="R25" s="122">
        <v>1</v>
      </c>
      <c r="S25" s="122">
        <v>1</v>
      </c>
      <c r="T25" s="122">
        <v>1</v>
      </c>
      <c r="U25" s="122">
        <v>1</v>
      </c>
      <c r="V25" s="122">
        <v>1</v>
      </c>
      <c r="W25" s="122">
        <v>1</v>
      </c>
      <c r="X25" s="122">
        <v>1</v>
      </c>
      <c r="Y25" s="122">
        <v>1</v>
      </c>
      <c r="Z25" s="122">
        <v>1</v>
      </c>
      <c r="AA25" s="122">
        <v>1</v>
      </c>
      <c r="AB25" s="122">
        <v>1</v>
      </c>
      <c r="AC25" s="122">
        <v>1</v>
      </c>
      <c r="AD25" s="122">
        <v>1</v>
      </c>
      <c r="AE25" s="122">
        <v>1</v>
      </c>
      <c r="AF25" s="122">
        <v>1</v>
      </c>
      <c r="AG25" s="122">
        <v>1</v>
      </c>
      <c r="AH25" s="122">
        <v>1</v>
      </c>
      <c r="AI25" s="122">
        <v>1</v>
      </c>
      <c r="AJ25" s="122">
        <v>1</v>
      </c>
      <c r="AK25" s="122">
        <v>1</v>
      </c>
      <c r="AL25" s="122">
        <v>1</v>
      </c>
      <c r="AM25" s="122">
        <v>1</v>
      </c>
      <c r="AN25" s="122">
        <v>1</v>
      </c>
      <c r="AO25" s="122">
        <v>1</v>
      </c>
    </row>
    <row r="26" spans="2:46">
      <c r="B26" s="157" t="s">
        <v>1837</v>
      </c>
      <c r="Q26" s="122" t="str">
        <f>LOWER(BIN2HEX(J25&amp;K25&amp;L25&amp;M25&amp;N25&amp;O25&amp;P25&amp;Q25,2))</f>
        <v>ff</v>
      </c>
      <c r="Y26" s="122" t="str">
        <f>LOWER(BIN2HEX(R25&amp;S25&amp;T25&amp;U25&amp;V25&amp;W25&amp;X25&amp;Y25,2))</f>
        <v>ff</v>
      </c>
      <c r="AG26" s="122" t="str">
        <f>LOWER(BIN2HEX(Z25&amp;AA25&amp;AB25&amp;AC25&amp;AD25&amp;AE25&amp;AF25&amp;AG25,2))</f>
        <v>ff</v>
      </c>
      <c r="AO26" s="122" t="str">
        <f>LOWER(BIN2HEX(AH25&amp;AI25&amp;AJ25&amp;AK25&amp;AL25&amp;AM25&amp;AN25&amp;AO25,2))</f>
        <v>ff</v>
      </c>
      <c r="AQ26" s="122" t="str">
        <f>"(U4)0x"&amp;Q26&amp;Y26&amp;AG26&amp;AO26&amp;"U,"</f>
        <v>(U4)0xffffffffU,</v>
      </c>
    </row>
    <row r="27" spans="2:46">
      <c r="I27" s="122" t="s">
        <v>1826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X27" s="146">
        <v>0</v>
      </c>
      <c r="Y27" s="146">
        <v>0</v>
      </c>
      <c r="Z27" s="146">
        <v>0</v>
      </c>
      <c r="AA27" s="146">
        <v>0</v>
      </c>
      <c r="AB27" s="146">
        <v>0</v>
      </c>
      <c r="AC27" s="146">
        <v>0</v>
      </c>
      <c r="AD27" s="146">
        <v>0</v>
      </c>
      <c r="AE27" s="146">
        <v>0</v>
      </c>
      <c r="AF27" s="146">
        <v>0</v>
      </c>
      <c r="AG27" s="146">
        <v>0</v>
      </c>
      <c r="AH27" s="146">
        <v>0</v>
      </c>
      <c r="AI27" s="146">
        <v>0</v>
      </c>
      <c r="AJ27" s="146">
        <v>0</v>
      </c>
      <c r="AK27" s="146">
        <v>0</v>
      </c>
      <c r="AL27" s="146">
        <v>0</v>
      </c>
      <c r="AM27" s="146">
        <v>0</v>
      </c>
      <c r="AN27" s="146">
        <v>0</v>
      </c>
      <c r="AO27" s="146">
        <v>0</v>
      </c>
    </row>
    <row r="28" spans="2:46">
      <c r="Q28" s="122" t="str">
        <f>LOWER(BIN2HEX(J27&amp;K27&amp;L27&amp;M27&amp;N27&amp;O27&amp;P27&amp;Q27,2))</f>
        <v>00</v>
      </c>
      <c r="Y28" s="122" t="str">
        <f>LOWER(BIN2HEX(R27&amp;S27&amp;T27&amp;U27&amp;V27&amp;W27&amp;X27&amp;Y27,2))</f>
        <v>00</v>
      </c>
      <c r="AG28" s="122" t="str">
        <f>LOWER(BIN2HEX(Z27&amp;AA27&amp;AB27&amp;AC27&amp;AD27&amp;AE27&amp;AF27&amp;AG27,2))</f>
        <v>00</v>
      </c>
      <c r="AO28" s="122" t="str">
        <f>LOWER(BIN2HEX(AH27&amp;AI27&amp;AJ27&amp;AK27&amp;AL27&amp;AM27&amp;AN27&amp;AO27,2))</f>
        <v>00</v>
      </c>
      <c r="AR28" s="122" t="str">
        <f>"(U4)0x"&amp;Q28&amp;Y28&amp;AG28&amp;AO28&amp;"U,"</f>
        <v>(U4)0x00000000U,</v>
      </c>
    </row>
    <row r="29" spans="2:46">
      <c r="I29" s="122" t="s">
        <v>1827</v>
      </c>
      <c r="J29" s="146">
        <v>0</v>
      </c>
      <c r="K29" s="146">
        <v>0</v>
      </c>
      <c r="L29" s="146">
        <v>0</v>
      </c>
      <c r="M29" s="146">
        <v>0</v>
      </c>
      <c r="N29" s="146">
        <v>0</v>
      </c>
      <c r="O29" s="146">
        <v>0</v>
      </c>
      <c r="P29" s="146">
        <v>0</v>
      </c>
      <c r="Q29" s="146">
        <v>0</v>
      </c>
      <c r="R29" s="146">
        <v>0</v>
      </c>
      <c r="S29" s="146">
        <v>0</v>
      </c>
      <c r="T29" s="146">
        <v>0</v>
      </c>
      <c r="U29" s="146">
        <v>0</v>
      </c>
      <c r="V29" s="146">
        <v>0</v>
      </c>
      <c r="W29" s="146">
        <v>0</v>
      </c>
      <c r="X29" s="146">
        <v>0</v>
      </c>
      <c r="Y29" s="146">
        <v>0</v>
      </c>
      <c r="Z29" s="146">
        <v>0</v>
      </c>
      <c r="AA29" s="146">
        <v>0</v>
      </c>
      <c r="AB29" s="146">
        <v>0</v>
      </c>
      <c r="AC29" s="146">
        <v>0</v>
      </c>
      <c r="AD29" s="146">
        <v>0</v>
      </c>
      <c r="AE29" s="146">
        <v>0</v>
      </c>
      <c r="AF29" s="146">
        <v>0</v>
      </c>
      <c r="AG29" s="146">
        <v>0</v>
      </c>
      <c r="AH29" s="146">
        <v>0</v>
      </c>
      <c r="AI29" s="146">
        <v>0</v>
      </c>
      <c r="AJ29" s="146">
        <v>0</v>
      </c>
      <c r="AK29" s="146">
        <v>0</v>
      </c>
      <c r="AL29" s="146">
        <v>0</v>
      </c>
      <c r="AM29" s="146">
        <v>0</v>
      </c>
      <c r="AN29" s="146">
        <v>0</v>
      </c>
      <c r="AO29" s="146">
        <v>0</v>
      </c>
    </row>
    <row r="30" spans="2:46">
      <c r="Q30" s="122" t="str">
        <f>LOWER(BIN2HEX(J29&amp;K29&amp;L29&amp;M29&amp;N29&amp;O29&amp;P29&amp;Q29,2))</f>
        <v>00</v>
      </c>
      <c r="Y30" s="122" t="str">
        <f>LOWER(BIN2HEX(R29&amp;S29&amp;T29&amp;U29&amp;V29&amp;W29&amp;X29&amp;Y29,2))</f>
        <v>00</v>
      </c>
      <c r="AG30" s="122" t="str">
        <f>LOWER(BIN2HEX(Z29&amp;AA29&amp;AB29&amp;AC29&amp;AD29&amp;AE29&amp;AF29&amp;AG29,2))</f>
        <v>00</v>
      </c>
      <c r="AO30" s="122" t="str">
        <f>LOWER(BIN2HEX(AH29&amp;AI29&amp;AJ29&amp;AK29&amp;AL29&amp;AM29&amp;AN29&amp;AO29,2))</f>
        <v>00</v>
      </c>
      <c r="AS30" s="122" t="str">
        <f>"(U4)0x"&amp;Q30&amp;Y30&amp;AG30&amp;AO30&amp;"U,"</f>
        <v>(U4)0x00000000U,</v>
      </c>
      <c r="AT30" s="122"/>
    </row>
    <row r="31" spans="2:46">
      <c r="I31" s="122" t="s">
        <v>1828</v>
      </c>
      <c r="J31" s="146">
        <v>0</v>
      </c>
      <c r="K31" s="146">
        <v>0</v>
      </c>
      <c r="L31" s="146">
        <v>0</v>
      </c>
      <c r="M31" s="146">
        <v>0</v>
      </c>
      <c r="N31" s="146">
        <v>0</v>
      </c>
      <c r="O31" s="146">
        <v>0</v>
      </c>
      <c r="P31" s="146">
        <v>0</v>
      </c>
      <c r="Q31" s="146">
        <v>0</v>
      </c>
      <c r="R31" s="146">
        <v>0</v>
      </c>
      <c r="S31" s="146">
        <v>0</v>
      </c>
      <c r="T31" s="146">
        <v>0</v>
      </c>
      <c r="U31" s="146">
        <v>0</v>
      </c>
      <c r="V31" s="146">
        <v>0</v>
      </c>
      <c r="W31" s="146">
        <v>0</v>
      </c>
      <c r="X31" s="146">
        <v>0</v>
      </c>
      <c r="Y31" s="146">
        <v>0</v>
      </c>
      <c r="Z31" s="146">
        <v>0</v>
      </c>
      <c r="AA31" s="146">
        <v>0</v>
      </c>
      <c r="AB31" s="146">
        <v>0</v>
      </c>
      <c r="AC31" s="146">
        <v>0</v>
      </c>
      <c r="AD31" s="146">
        <v>0</v>
      </c>
      <c r="AE31" s="146">
        <v>0</v>
      </c>
      <c r="AF31" s="146">
        <v>0</v>
      </c>
      <c r="AG31" s="146">
        <v>0</v>
      </c>
      <c r="AH31" s="146">
        <v>0</v>
      </c>
      <c r="AI31" s="146">
        <v>0</v>
      </c>
      <c r="AJ31" s="146">
        <v>0</v>
      </c>
      <c r="AK31" s="146">
        <v>0</v>
      </c>
      <c r="AL31" s="146">
        <v>0</v>
      </c>
      <c r="AM31" s="146">
        <v>0</v>
      </c>
      <c r="AN31" s="146">
        <v>0</v>
      </c>
      <c r="AO31" s="146">
        <v>0</v>
      </c>
    </row>
    <row r="32" spans="2:46">
      <c r="Q32" s="122" t="str">
        <f>LOWER(BIN2HEX(J31&amp;K31&amp;L31&amp;M31&amp;N31&amp;O31&amp;P31&amp;Q31,2))</f>
        <v>00</v>
      </c>
      <c r="Y32" s="122" t="str">
        <f>LOWER(BIN2HEX(R31&amp;S31&amp;T31&amp;U31&amp;V31&amp;W31&amp;X31&amp;Y31,2))</f>
        <v>00</v>
      </c>
      <c r="AG32" s="122" t="str">
        <f>LOWER(BIN2HEX(Z31&amp;AA31&amp;AB31&amp;AC31&amp;AD31&amp;AE31&amp;AF31&amp;AG31,2))</f>
        <v>00</v>
      </c>
      <c r="AO32" s="122" t="str">
        <f>LOWER(BIN2HEX(AH31&amp;AI31&amp;AJ31&amp;AK31&amp;AL31&amp;AM31&amp;AN31&amp;AO31,2))</f>
        <v>00</v>
      </c>
      <c r="AS32" s="122"/>
      <c r="AT32" s="122" t="str">
        <f>"(U4)0x"&amp;Q32&amp;Y32&amp;AG32&amp;AO32&amp;"U,"</f>
        <v>(U4)0x00000000U,</v>
      </c>
    </row>
    <row r="34" spans="9:46">
      <c r="I34" s="122" t="s">
        <v>1829</v>
      </c>
      <c r="J34" s="122">
        <f t="shared" ref="J34:AM34" si="6">K34+1</f>
        <v>95</v>
      </c>
      <c r="K34" s="122">
        <f t="shared" si="6"/>
        <v>94</v>
      </c>
      <c r="L34" s="122">
        <f t="shared" si="6"/>
        <v>93</v>
      </c>
      <c r="M34" s="122">
        <f t="shared" si="6"/>
        <v>92</v>
      </c>
      <c r="N34" s="122">
        <f t="shared" si="6"/>
        <v>91</v>
      </c>
      <c r="O34" s="122">
        <f t="shared" si="6"/>
        <v>90</v>
      </c>
      <c r="P34" s="122">
        <f t="shared" si="6"/>
        <v>89</v>
      </c>
      <c r="Q34" s="122">
        <f t="shared" si="6"/>
        <v>88</v>
      </c>
      <c r="R34" s="122">
        <f t="shared" si="6"/>
        <v>87</v>
      </c>
      <c r="S34" s="122">
        <f t="shared" si="6"/>
        <v>86</v>
      </c>
      <c r="T34" s="122">
        <f t="shared" si="6"/>
        <v>85</v>
      </c>
      <c r="U34" s="122">
        <f t="shared" si="6"/>
        <v>84</v>
      </c>
      <c r="V34" s="122">
        <f t="shared" si="6"/>
        <v>83</v>
      </c>
      <c r="W34" s="122">
        <f t="shared" si="6"/>
        <v>82</v>
      </c>
      <c r="X34" s="122">
        <f t="shared" si="6"/>
        <v>81</v>
      </c>
      <c r="Y34" s="122">
        <f t="shared" si="6"/>
        <v>80</v>
      </c>
      <c r="Z34" s="122">
        <f t="shared" si="6"/>
        <v>79</v>
      </c>
      <c r="AA34" s="122">
        <f t="shared" si="6"/>
        <v>78</v>
      </c>
      <c r="AB34" s="122">
        <f t="shared" si="6"/>
        <v>77</v>
      </c>
      <c r="AC34" s="122">
        <f t="shared" si="6"/>
        <v>76</v>
      </c>
      <c r="AD34" s="122">
        <f t="shared" si="6"/>
        <v>75</v>
      </c>
      <c r="AE34" s="122">
        <f t="shared" si="6"/>
        <v>74</v>
      </c>
      <c r="AF34" s="122">
        <f t="shared" si="6"/>
        <v>73</v>
      </c>
      <c r="AG34" s="122">
        <f t="shared" si="6"/>
        <v>72</v>
      </c>
      <c r="AH34" s="122">
        <f t="shared" si="6"/>
        <v>71</v>
      </c>
      <c r="AI34" s="122">
        <f t="shared" si="6"/>
        <v>70</v>
      </c>
      <c r="AJ34" s="122">
        <f t="shared" si="6"/>
        <v>69</v>
      </c>
      <c r="AK34" s="122">
        <f t="shared" si="6"/>
        <v>68</v>
      </c>
      <c r="AL34" s="122">
        <f t="shared" si="6"/>
        <v>67</v>
      </c>
      <c r="AM34" s="122">
        <f t="shared" si="6"/>
        <v>66</v>
      </c>
      <c r="AN34" s="122">
        <f>AO34+1</f>
        <v>65</v>
      </c>
      <c r="AO34" s="122">
        <v>64</v>
      </c>
    </row>
    <row r="35" spans="9:46" ht="32.25">
      <c r="I35" s="122" t="s">
        <v>1831</v>
      </c>
      <c r="J35" s="143" t="str">
        <f t="shared" ref="J35:AN35" si="7">"0x"&amp;DEC2HEX(J34,2)</f>
        <v>0x5F</v>
      </c>
      <c r="K35" s="143" t="str">
        <f t="shared" si="7"/>
        <v>0x5E</v>
      </c>
      <c r="L35" s="143" t="str">
        <f t="shared" si="7"/>
        <v>0x5D</v>
      </c>
      <c r="M35" s="143" t="str">
        <f t="shared" si="7"/>
        <v>0x5C</v>
      </c>
      <c r="N35" s="143" t="str">
        <f t="shared" si="7"/>
        <v>0x5B</v>
      </c>
      <c r="O35" s="143" t="str">
        <f t="shared" si="7"/>
        <v>0x5A</v>
      </c>
      <c r="P35" s="143" t="str">
        <f t="shared" si="7"/>
        <v>0x59</v>
      </c>
      <c r="Q35" s="143" t="str">
        <f t="shared" si="7"/>
        <v>0x58</v>
      </c>
      <c r="R35" s="143" t="str">
        <f t="shared" si="7"/>
        <v>0x57</v>
      </c>
      <c r="S35" s="143" t="str">
        <f t="shared" si="7"/>
        <v>0x56</v>
      </c>
      <c r="T35" s="143" t="str">
        <f t="shared" si="7"/>
        <v>0x55</v>
      </c>
      <c r="U35" s="143" t="str">
        <f t="shared" si="7"/>
        <v>0x54</v>
      </c>
      <c r="V35" s="143" t="str">
        <f t="shared" si="7"/>
        <v>0x53</v>
      </c>
      <c r="W35" s="143" t="str">
        <f t="shared" si="7"/>
        <v>0x52</v>
      </c>
      <c r="X35" s="143" t="str">
        <f t="shared" si="7"/>
        <v>0x51</v>
      </c>
      <c r="Y35" s="143" t="str">
        <f t="shared" si="7"/>
        <v>0x50</v>
      </c>
      <c r="Z35" s="143" t="str">
        <f t="shared" si="7"/>
        <v>0x4F</v>
      </c>
      <c r="AA35" s="143" t="str">
        <f t="shared" si="7"/>
        <v>0x4E</v>
      </c>
      <c r="AB35" s="143" t="str">
        <f t="shared" si="7"/>
        <v>0x4D</v>
      </c>
      <c r="AC35" s="143" t="str">
        <f t="shared" si="7"/>
        <v>0x4C</v>
      </c>
      <c r="AD35" s="143" t="str">
        <f t="shared" si="7"/>
        <v>0x4B</v>
      </c>
      <c r="AE35" s="143" t="str">
        <f t="shared" si="7"/>
        <v>0x4A</v>
      </c>
      <c r="AF35" s="143" t="str">
        <f t="shared" si="7"/>
        <v>0x49</v>
      </c>
      <c r="AG35" s="143" t="str">
        <f t="shared" si="7"/>
        <v>0x48</v>
      </c>
      <c r="AH35" s="143" t="str">
        <f t="shared" si="7"/>
        <v>0x47</v>
      </c>
      <c r="AI35" s="143" t="str">
        <f t="shared" si="7"/>
        <v>0x46</v>
      </c>
      <c r="AJ35" s="143" t="str">
        <f t="shared" si="7"/>
        <v>0x45</v>
      </c>
      <c r="AK35" s="143" t="str">
        <f t="shared" si="7"/>
        <v>0x44</v>
      </c>
      <c r="AL35" s="143" t="str">
        <f t="shared" si="7"/>
        <v>0x43</v>
      </c>
      <c r="AM35" s="143" t="str">
        <f t="shared" si="7"/>
        <v>0x42</v>
      </c>
      <c r="AN35" s="143" t="str">
        <f t="shared" si="7"/>
        <v>0x41</v>
      </c>
      <c r="AO35" s="143" t="str">
        <f>"0x"&amp;DEC2HEX(AO34,2)</f>
        <v>0x40</v>
      </c>
    </row>
    <row r="36" spans="9:46">
      <c r="I36" s="122" t="s">
        <v>1825</v>
      </c>
      <c r="J36" s="122">
        <v>1</v>
      </c>
      <c r="K36" s="122">
        <v>1</v>
      </c>
      <c r="L36" s="122">
        <v>1</v>
      </c>
      <c r="M36" s="122">
        <v>1</v>
      </c>
      <c r="N36" s="122">
        <v>1</v>
      </c>
      <c r="O36" s="122">
        <v>1</v>
      </c>
      <c r="P36" s="122">
        <v>1</v>
      </c>
      <c r="Q36" s="122">
        <v>1</v>
      </c>
      <c r="R36" s="122">
        <v>1</v>
      </c>
      <c r="S36" s="122">
        <v>1</v>
      </c>
      <c r="T36" s="122">
        <v>1</v>
      </c>
      <c r="U36" s="122">
        <v>1</v>
      </c>
      <c r="V36" s="122">
        <v>1</v>
      </c>
      <c r="W36" s="122">
        <v>1</v>
      </c>
      <c r="X36" s="122">
        <v>1</v>
      </c>
      <c r="Y36" s="122">
        <v>1</v>
      </c>
      <c r="Z36" s="122">
        <v>1</v>
      </c>
      <c r="AA36" s="122">
        <v>1</v>
      </c>
      <c r="AB36" s="122">
        <v>1</v>
      </c>
      <c r="AC36" s="122">
        <v>1</v>
      </c>
      <c r="AD36" s="122">
        <v>1</v>
      </c>
      <c r="AE36" s="122">
        <v>1</v>
      </c>
      <c r="AF36" s="122">
        <v>1</v>
      </c>
      <c r="AG36" s="122">
        <v>1</v>
      </c>
      <c r="AH36" s="122">
        <v>1</v>
      </c>
      <c r="AI36" s="122">
        <v>1</v>
      </c>
      <c r="AJ36" s="122">
        <v>1</v>
      </c>
      <c r="AK36" s="122">
        <v>1</v>
      </c>
      <c r="AL36" s="122">
        <v>1</v>
      </c>
      <c r="AM36" s="122">
        <v>1</v>
      </c>
      <c r="AN36" s="122">
        <v>1</v>
      </c>
      <c r="AO36" s="122">
        <v>1</v>
      </c>
    </row>
    <row r="37" spans="9:46">
      <c r="Q37" s="122" t="str">
        <f>LOWER(BIN2HEX(J36&amp;K36&amp;L36&amp;M36&amp;N36&amp;O36&amp;P36&amp;Q36,2))</f>
        <v>ff</v>
      </c>
      <c r="Y37" s="122" t="str">
        <f>LOWER(BIN2HEX(R36&amp;S36&amp;T36&amp;U36&amp;V36&amp;W36&amp;X36&amp;Y36,2))</f>
        <v>ff</v>
      </c>
      <c r="AG37" s="122" t="str">
        <f>LOWER(BIN2HEX(Z36&amp;AA36&amp;AB36&amp;AC36&amp;AD36&amp;AE36&amp;AF36&amp;AG36,2))</f>
        <v>ff</v>
      </c>
      <c r="AO37" s="122" t="str">
        <f>LOWER(BIN2HEX(AH36&amp;AI36&amp;AJ36&amp;AK36&amp;AL36&amp;AM36&amp;AN36&amp;AO36,2))</f>
        <v>ff</v>
      </c>
      <c r="AQ37" s="122" t="str">
        <f>"(U4)0x"&amp;Q37&amp;Y37&amp;AG37&amp;AO37&amp;"U,"</f>
        <v>(U4)0xffffffffU,</v>
      </c>
    </row>
    <row r="38" spans="9:46">
      <c r="I38" s="122" t="s">
        <v>1826</v>
      </c>
      <c r="J38" s="146">
        <v>0</v>
      </c>
      <c r="K38" s="146">
        <v>0</v>
      </c>
      <c r="L38" s="146">
        <v>0</v>
      </c>
      <c r="M38" s="146">
        <v>0</v>
      </c>
      <c r="N38" s="146">
        <v>0</v>
      </c>
      <c r="O38" s="146">
        <v>0</v>
      </c>
      <c r="P38" s="146">
        <v>0</v>
      </c>
      <c r="Q38" s="146">
        <v>0</v>
      </c>
      <c r="R38" s="146">
        <v>0</v>
      </c>
      <c r="S38" s="146">
        <v>0</v>
      </c>
      <c r="T38" s="146">
        <v>0</v>
      </c>
      <c r="U38" s="146">
        <v>0</v>
      </c>
      <c r="V38" s="146">
        <v>0</v>
      </c>
      <c r="W38" s="146">
        <v>0</v>
      </c>
      <c r="X38" s="146">
        <v>0</v>
      </c>
      <c r="Y38" s="146">
        <v>0</v>
      </c>
      <c r="Z38" s="146">
        <v>0</v>
      </c>
      <c r="AA38" s="146">
        <v>0</v>
      </c>
      <c r="AB38" s="146">
        <v>0</v>
      </c>
      <c r="AC38" s="146">
        <v>0</v>
      </c>
      <c r="AD38" s="146">
        <v>0</v>
      </c>
      <c r="AE38" s="146">
        <v>0</v>
      </c>
      <c r="AF38" s="146">
        <v>0</v>
      </c>
      <c r="AG38" s="146">
        <v>0</v>
      </c>
      <c r="AH38" s="146">
        <v>0</v>
      </c>
      <c r="AI38" s="146">
        <v>0</v>
      </c>
      <c r="AJ38" s="146">
        <v>0</v>
      </c>
      <c r="AK38" s="146">
        <v>0</v>
      </c>
      <c r="AL38" s="146">
        <v>0</v>
      </c>
      <c r="AM38" s="146">
        <v>0</v>
      </c>
      <c r="AN38" s="146">
        <v>0</v>
      </c>
      <c r="AO38" s="146">
        <v>0</v>
      </c>
    </row>
    <row r="39" spans="9:46">
      <c r="Q39" s="122" t="str">
        <f>LOWER(BIN2HEX(J38&amp;K38&amp;L38&amp;M38&amp;N38&amp;O38&amp;P38&amp;Q38,2))</f>
        <v>00</v>
      </c>
      <c r="Y39" s="122" t="str">
        <f>LOWER(BIN2HEX(R38&amp;S38&amp;T38&amp;U38&amp;V38&amp;W38&amp;X38&amp;Y38,2))</f>
        <v>00</v>
      </c>
      <c r="AG39" s="122" t="str">
        <f>LOWER(BIN2HEX(Z38&amp;AA38&amp;AB38&amp;AC38&amp;AD38&amp;AE38&amp;AF38&amp;AG38,2))</f>
        <v>00</v>
      </c>
      <c r="AO39" s="122" t="str">
        <f>LOWER(BIN2HEX(AH38&amp;AI38&amp;AJ38&amp;AK38&amp;AL38&amp;AM38&amp;AN38&amp;AO38,2))</f>
        <v>00</v>
      </c>
      <c r="AR39" s="122" t="str">
        <f>"(U4)0x"&amp;Q39&amp;Y39&amp;AG39&amp;AO39&amp;"U,"</f>
        <v>(U4)0x00000000U,</v>
      </c>
    </row>
    <row r="40" spans="9:46">
      <c r="I40" s="122" t="s">
        <v>1827</v>
      </c>
      <c r="J40" s="146">
        <v>0</v>
      </c>
      <c r="K40" s="146">
        <v>0</v>
      </c>
      <c r="L40" s="146">
        <v>0</v>
      </c>
      <c r="M40" s="146">
        <v>0</v>
      </c>
      <c r="N40" s="146">
        <v>0</v>
      </c>
      <c r="O40" s="146">
        <v>0</v>
      </c>
      <c r="P40" s="146">
        <v>0</v>
      </c>
      <c r="Q40" s="146">
        <v>0</v>
      </c>
      <c r="R40" s="146">
        <v>0</v>
      </c>
      <c r="S40" s="146">
        <v>0</v>
      </c>
      <c r="T40" s="146">
        <v>0</v>
      </c>
      <c r="U40" s="146">
        <v>0</v>
      </c>
      <c r="V40" s="146">
        <v>0</v>
      </c>
      <c r="W40" s="146">
        <v>0</v>
      </c>
      <c r="X40" s="146">
        <v>0</v>
      </c>
      <c r="Y40" s="146">
        <v>0</v>
      </c>
      <c r="Z40" s="146">
        <v>0</v>
      </c>
      <c r="AA40" s="146">
        <v>0</v>
      </c>
      <c r="AB40" s="146">
        <v>0</v>
      </c>
      <c r="AC40" s="146">
        <v>0</v>
      </c>
      <c r="AD40" s="146">
        <v>0</v>
      </c>
      <c r="AE40" s="146">
        <v>0</v>
      </c>
      <c r="AF40" s="146">
        <v>0</v>
      </c>
      <c r="AG40" s="146">
        <v>0</v>
      </c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>
        <v>0</v>
      </c>
    </row>
    <row r="41" spans="9:46">
      <c r="Q41" s="122" t="str">
        <f>LOWER(BIN2HEX(J40&amp;K40&amp;L40&amp;M40&amp;N40&amp;O40&amp;P40&amp;Q40,2))</f>
        <v>00</v>
      </c>
      <c r="Y41" s="122" t="str">
        <f>LOWER(BIN2HEX(R40&amp;S40&amp;T40&amp;U40&amp;V40&amp;W40&amp;X40&amp;Y40,2))</f>
        <v>00</v>
      </c>
      <c r="AG41" s="122" t="str">
        <f>LOWER(BIN2HEX(Z40&amp;AA40&amp;AB40&amp;AC40&amp;AD40&amp;AE40&amp;AF40&amp;AG40,2))</f>
        <v>00</v>
      </c>
      <c r="AO41" s="122" t="str">
        <f>LOWER(BIN2HEX(AH40&amp;AI40&amp;AJ40&amp;AK40&amp;AL40&amp;AM40&amp;AN40&amp;AO40,2))</f>
        <v>00</v>
      </c>
      <c r="AS41" s="122" t="str">
        <f>"(U4)0x"&amp;Q41&amp;Y41&amp;AG41&amp;AO41&amp;"U,"</f>
        <v>(U4)0x00000000U,</v>
      </c>
      <c r="AT41" s="122"/>
    </row>
    <row r="42" spans="9:46">
      <c r="I42" s="122" t="s">
        <v>1828</v>
      </c>
      <c r="J42" s="146">
        <v>0</v>
      </c>
      <c r="K42" s="146">
        <v>0</v>
      </c>
      <c r="L42" s="146">
        <v>0</v>
      </c>
      <c r="M42" s="146">
        <v>0</v>
      </c>
      <c r="N42" s="146">
        <v>0</v>
      </c>
      <c r="O42" s="146">
        <v>0</v>
      </c>
      <c r="P42" s="146">
        <v>0</v>
      </c>
      <c r="Q42" s="146">
        <v>0</v>
      </c>
      <c r="R42" s="146">
        <v>0</v>
      </c>
      <c r="S42" s="146">
        <v>0</v>
      </c>
      <c r="T42" s="146">
        <v>0</v>
      </c>
      <c r="U42" s="146">
        <v>0</v>
      </c>
      <c r="V42" s="146">
        <v>0</v>
      </c>
      <c r="W42" s="146">
        <v>0</v>
      </c>
      <c r="X42" s="146">
        <v>0</v>
      </c>
      <c r="Y42" s="146">
        <v>0</v>
      </c>
      <c r="Z42" s="146">
        <v>0</v>
      </c>
      <c r="AA42" s="146">
        <v>0</v>
      </c>
      <c r="AB42" s="146">
        <v>0</v>
      </c>
      <c r="AC42" s="146">
        <v>0</v>
      </c>
      <c r="AD42" s="146">
        <v>0</v>
      </c>
      <c r="AE42" s="146">
        <v>0</v>
      </c>
      <c r="AF42" s="146">
        <v>0</v>
      </c>
      <c r="AG42" s="146">
        <v>0</v>
      </c>
      <c r="AH42" s="146">
        <v>0</v>
      </c>
      <c r="AI42" s="146">
        <v>0</v>
      </c>
      <c r="AJ42" s="146">
        <v>0</v>
      </c>
      <c r="AK42" s="146">
        <v>0</v>
      </c>
      <c r="AL42" s="146">
        <v>0</v>
      </c>
      <c r="AM42" s="146">
        <v>0</v>
      </c>
      <c r="AN42" s="146">
        <v>0</v>
      </c>
      <c r="AO42" s="146">
        <v>0</v>
      </c>
    </row>
    <row r="43" spans="9:46">
      <c r="Q43" s="122" t="str">
        <f>LOWER(BIN2HEX(J42&amp;K42&amp;L42&amp;M42&amp;N42&amp;O42&amp;P42&amp;Q42,2))</f>
        <v>00</v>
      </c>
      <c r="Y43" s="122" t="str">
        <f>LOWER(BIN2HEX(R42&amp;S42&amp;T42&amp;U42&amp;V42&amp;W42&amp;X42&amp;Y42,2))</f>
        <v>00</v>
      </c>
      <c r="AG43" s="122" t="str">
        <f>LOWER(BIN2HEX(Z42&amp;AA42&amp;AB42&amp;AC42&amp;AD42&amp;AE42&amp;AF42&amp;AG42,2))</f>
        <v>00</v>
      </c>
      <c r="AO43" s="122" t="str">
        <f>LOWER(BIN2HEX(AH42&amp;AI42&amp;AJ42&amp;AK42&amp;AL42&amp;AM42&amp;AN42&amp;AO42,2))</f>
        <v>00</v>
      </c>
      <c r="AS43" s="122"/>
      <c r="AT43" s="122" t="str">
        <f>"(U4)0x"&amp;Q43&amp;Y43&amp;AG43&amp;AO43&amp;"U,"</f>
        <v>(U4)0x00000000U,</v>
      </c>
    </row>
    <row r="45" spans="9:46">
      <c r="I45" s="122" t="s">
        <v>1829</v>
      </c>
      <c r="J45" s="122">
        <f t="shared" ref="J45:AM45" si="8">K45+1</f>
        <v>127</v>
      </c>
      <c r="K45" s="122">
        <f t="shared" si="8"/>
        <v>126</v>
      </c>
      <c r="L45" s="122">
        <f t="shared" si="8"/>
        <v>125</v>
      </c>
      <c r="M45" s="122">
        <f t="shared" si="8"/>
        <v>124</v>
      </c>
      <c r="N45" s="122">
        <f t="shared" si="8"/>
        <v>123</v>
      </c>
      <c r="O45" s="122">
        <f t="shared" si="8"/>
        <v>122</v>
      </c>
      <c r="P45" s="122">
        <f t="shared" si="8"/>
        <v>121</v>
      </c>
      <c r="Q45" s="122">
        <f t="shared" si="8"/>
        <v>120</v>
      </c>
      <c r="R45" s="122">
        <f t="shared" si="8"/>
        <v>119</v>
      </c>
      <c r="S45" s="122">
        <f t="shared" si="8"/>
        <v>118</v>
      </c>
      <c r="T45" s="122">
        <f t="shared" si="8"/>
        <v>117</v>
      </c>
      <c r="U45" s="122">
        <f t="shared" si="8"/>
        <v>116</v>
      </c>
      <c r="V45" s="122">
        <f t="shared" si="8"/>
        <v>115</v>
      </c>
      <c r="W45" s="122">
        <f t="shared" si="8"/>
        <v>114</v>
      </c>
      <c r="X45" s="122">
        <f t="shared" si="8"/>
        <v>113</v>
      </c>
      <c r="Y45" s="122">
        <f t="shared" si="8"/>
        <v>112</v>
      </c>
      <c r="Z45" s="122">
        <f t="shared" si="8"/>
        <v>111</v>
      </c>
      <c r="AA45" s="122">
        <f t="shared" si="8"/>
        <v>110</v>
      </c>
      <c r="AB45" s="122">
        <f t="shared" si="8"/>
        <v>109</v>
      </c>
      <c r="AC45" s="122">
        <f t="shared" si="8"/>
        <v>108</v>
      </c>
      <c r="AD45" s="122">
        <f t="shared" si="8"/>
        <v>107</v>
      </c>
      <c r="AE45" s="122">
        <f t="shared" si="8"/>
        <v>106</v>
      </c>
      <c r="AF45" s="122">
        <f t="shared" si="8"/>
        <v>105</v>
      </c>
      <c r="AG45" s="122">
        <f t="shared" si="8"/>
        <v>104</v>
      </c>
      <c r="AH45" s="122">
        <f t="shared" si="8"/>
        <v>103</v>
      </c>
      <c r="AI45" s="122">
        <f t="shared" si="8"/>
        <v>102</v>
      </c>
      <c r="AJ45" s="122">
        <f t="shared" si="8"/>
        <v>101</v>
      </c>
      <c r="AK45" s="122">
        <f t="shared" si="8"/>
        <v>100</v>
      </c>
      <c r="AL45" s="122">
        <f t="shared" si="8"/>
        <v>99</v>
      </c>
      <c r="AM45" s="122">
        <f t="shared" si="8"/>
        <v>98</v>
      </c>
      <c r="AN45" s="122">
        <f>AO45+1</f>
        <v>97</v>
      </c>
      <c r="AO45" s="122">
        <v>96</v>
      </c>
    </row>
    <row r="46" spans="9:46" ht="32.25">
      <c r="I46" s="122" t="s">
        <v>1831</v>
      </c>
      <c r="J46" s="143" t="str">
        <f t="shared" ref="J46:AN46" si="9">"0x"&amp;DEC2HEX(J45,2)</f>
        <v>0x7F</v>
      </c>
      <c r="K46" s="143" t="str">
        <f t="shared" si="9"/>
        <v>0x7E</v>
      </c>
      <c r="L46" s="143" t="str">
        <f t="shared" si="9"/>
        <v>0x7D</v>
      </c>
      <c r="M46" s="143" t="str">
        <f t="shared" si="9"/>
        <v>0x7C</v>
      </c>
      <c r="N46" s="143" t="str">
        <f t="shared" si="9"/>
        <v>0x7B</v>
      </c>
      <c r="O46" s="143" t="str">
        <f t="shared" si="9"/>
        <v>0x7A</v>
      </c>
      <c r="P46" s="143" t="str">
        <f t="shared" si="9"/>
        <v>0x79</v>
      </c>
      <c r="Q46" s="143" t="str">
        <f t="shared" si="9"/>
        <v>0x78</v>
      </c>
      <c r="R46" s="143" t="str">
        <f t="shared" si="9"/>
        <v>0x77</v>
      </c>
      <c r="S46" s="143" t="str">
        <f t="shared" si="9"/>
        <v>0x76</v>
      </c>
      <c r="T46" s="143" t="str">
        <f t="shared" si="9"/>
        <v>0x75</v>
      </c>
      <c r="U46" s="143" t="str">
        <f t="shared" si="9"/>
        <v>0x74</v>
      </c>
      <c r="V46" s="143" t="str">
        <f t="shared" si="9"/>
        <v>0x73</v>
      </c>
      <c r="W46" s="143" t="str">
        <f t="shared" si="9"/>
        <v>0x72</v>
      </c>
      <c r="X46" s="143" t="str">
        <f t="shared" si="9"/>
        <v>0x71</v>
      </c>
      <c r="Y46" s="143" t="str">
        <f t="shared" si="9"/>
        <v>0x70</v>
      </c>
      <c r="Z46" s="143" t="str">
        <f t="shared" si="9"/>
        <v>0x6F</v>
      </c>
      <c r="AA46" s="143" t="str">
        <f t="shared" si="9"/>
        <v>0x6E</v>
      </c>
      <c r="AB46" s="143" t="str">
        <f t="shared" si="9"/>
        <v>0x6D</v>
      </c>
      <c r="AC46" s="143" t="str">
        <f t="shared" si="9"/>
        <v>0x6C</v>
      </c>
      <c r="AD46" s="143" t="str">
        <f t="shared" si="9"/>
        <v>0x6B</v>
      </c>
      <c r="AE46" s="143" t="str">
        <f t="shared" si="9"/>
        <v>0x6A</v>
      </c>
      <c r="AF46" s="143" t="str">
        <f t="shared" si="9"/>
        <v>0x69</v>
      </c>
      <c r="AG46" s="143" t="str">
        <f t="shared" si="9"/>
        <v>0x68</v>
      </c>
      <c r="AH46" s="143" t="str">
        <f t="shared" si="9"/>
        <v>0x67</v>
      </c>
      <c r="AI46" s="143" t="str">
        <f t="shared" si="9"/>
        <v>0x66</v>
      </c>
      <c r="AJ46" s="143" t="str">
        <f t="shared" si="9"/>
        <v>0x65</v>
      </c>
      <c r="AK46" s="143" t="str">
        <f t="shared" si="9"/>
        <v>0x64</v>
      </c>
      <c r="AL46" s="143" t="str">
        <f t="shared" si="9"/>
        <v>0x63</v>
      </c>
      <c r="AM46" s="143" t="str">
        <f t="shared" si="9"/>
        <v>0x62</v>
      </c>
      <c r="AN46" s="143" t="str">
        <f t="shared" si="9"/>
        <v>0x61</v>
      </c>
      <c r="AO46" s="143" t="str">
        <f>"0x"&amp;DEC2HEX(AO45,2)</f>
        <v>0x60</v>
      </c>
    </row>
    <row r="47" spans="9:46">
      <c r="I47" s="122" t="s">
        <v>1825</v>
      </c>
      <c r="J47" s="122">
        <v>1</v>
      </c>
      <c r="K47" s="122">
        <v>1</v>
      </c>
      <c r="L47" s="122">
        <v>1</v>
      </c>
      <c r="M47" s="122">
        <v>1</v>
      </c>
      <c r="N47" s="122">
        <v>1</v>
      </c>
      <c r="O47" s="122">
        <v>1</v>
      </c>
      <c r="P47" s="122">
        <v>1</v>
      </c>
      <c r="Q47" s="122">
        <v>1</v>
      </c>
      <c r="R47" s="122">
        <v>1</v>
      </c>
      <c r="S47" s="122">
        <v>1</v>
      </c>
      <c r="T47" s="122">
        <v>1</v>
      </c>
      <c r="U47" s="122">
        <v>1</v>
      </c>
      <c r="V47" s="122">
        <v>1</v>
      </c>
      <c r="W47" s="122">
        <v>1</v>
      </c>
      <c r="X47" s="122">
        <v>1</v>
      </c>
      <c r="Y47" s="122">
        <v>1</v>
      </c>
      <c r="Z47" s="122">
        <v>1</v>
      </c>
      <c r="AA47" s="122">
        <v>1</v>
      </c>
      <c r="AB47" s="122">
        <v>1</v>
      </c>
      <c r="AC47" s="122">
        <v>1</v>
      </c>
      <c r="AD47" s="122">
        <v>1</v>
      </c>
      <c r="AE47" s="122">
        <v>1</v>
      </c>
      <c r="AF47" s="122">
        <v>1</v>
      </c>
      <c r="AG47" s="122">
        <v>1</v>
      </c>
      <c r="AH47" s="122">
        <v>1</v>
      </c>
      <c r="AI47" s="122">
        <v>1</v>
      </c>
      <c r="AJ47" s="122">
        <v>1</v>
      </c>
      <c r="AK47" s="122">
        <v>1</v>
      </c>
      <c r="AL47" s="122">
        <v>1</v>
      </c>
      <c r="AM47" s="122">
        <v>1</v>
      </c>
      <c r="AN47" s="122">
        <v>1</v>
      </c>
      <c r="AO47" s="122">
        <v>1</v>
      </c>
    </row>
    <row r="48" spans="9:46">
      <c r="Q48" s="122" t="str">
        <f>LOWER(BIN2HEX(J47&amp;K47&amp;L47&amp;M47&amp;N47&amp;O47&amp;P47&amp;Q47,2))</f>
        <v>ff</v>
      </c>
      <c r="Y48" s="122" t="str">
        <f>LOWER(BIN2HEX(R47&amp;S47&amp;T47&amp;U47&amp;V47&amp;W47&amp;X47&amp;Y47,2))</f>
        <v>ff</v>
      </c>
      <c r="AG48" s="122" t="str">
        <f>LOWER(BIN2HEX(Z47&amp;AA47&amp;AB47&amp;AC47&amp;AD47&amp;AE47&amp;AF47&amp;AG47,2))</f>
        <v>ff</v>
      </c>
      <c r="AO48" s="122" t="str">
        <f>LOWER(BIN2HEX(AH47&amp;AI47&amp;AJ47&amp;AK47&amp;AL47&amp;AM47&amp;AN47&amp;AO47,2))</f>
        <v>ff</v>
      </c>
      <c r="AQ48" s="122" t="str">
        <f>"(U4)0x"&amp;Q48&amp;Y48&amp;AG48&amp;AO48&amp;"U,"</f>
        <v>(U4)0xffffffffU,</v>
      </c>
    </row>
    <row r="49" spans="9:46">
      <c r="I49" s="122" t="s">
        <v>1826</v>
      </c>
      <c r="J49" s="146">
        <v>0</v>
      </c>
      <c r="K49" s="146">
        <v>0</v>
      </c>
      <c r="L49" s="146">
        <v>0</v>
      </c>
      <c r="M49" s="146">
        <v>0</v>
      </c>
      <c r="N49" s="146">
        <v>0</v>
      </c>
      <c r="O49" s="146">
        <v>0</v>
      </c>
      <c r="P49" s="146">
        <v>0</v>
      </c>
      <c r="Q49" s="146">
        <v>0</v>
      </c>
      <c r="R49" s="146">
        <v>0</v>
      </c>
      <c r="S49" s="146">
        <v>0</v>
      </c>
      <c r="T49" s="146">
        <v>0</v>
      </c>
      <c r="U49" s="146">
        <v>0</v>
      </c>
      <c r="V49" s="146">
        <v>0</v>
      </c>
      <c r="W49" s="146">
        <v>0</v>
      </c>
      <c r="X49" s="146">
        <v>0</v>
      </c>
      <c r="Y49" s="146">
        <v>0</v>
      </c>
      <c r="Z49" s="146">
        <v>0</v>
      </c>
      <c r="AA49" s="146">
        <v>0</v>
      </c>
      <c r="AB49" s="146">
        <v>0</v>
      </c>
      <c r="AC49" s="146">
        <v>0</v>
      </c>
      <c r="AD49" s="146">
        <v>0</v>
      </c>
      <c r="AE49" s="146">
        <v>0</v>
      </c>
      <c r="AF49" s="146">
        <v>0</v>
      </c>
      <c r="AG49" s="146">
        <v>0</v>
      </c>
      <c r="AH49" s="146">
        <v>0</v>
      </c>
      <c r="AI49" s="146">
        <v>0</v>
      </c>
      <c r="AJ49" s="146">
        <v>0</v>
      </c>
      <c r="AK49" s="146">
        <v>0</v>
      </c>
      <c r="AL49" s="146">
        <v>0</v>
      </c>
      <c r="AM49" s="146">
        <v>0</v>
      </c>
      <c r="AN49" s="146">
        <v>0</v>
      </c>
      <c r="AO49" s="146">
        <v>0</v>
      </c>
    </row>
    <row r="50" spans="9:46">
      <c r="Q50" s="122" t="str">
        <f>LOWER(BIN2HEX(J49&amp;K49&amp;L49&amp;M49&amp;N49&amp;O49&amp;P49&amp;Q49,2))</f>
        <v>00</v>
      </c>
      <c r="Y50" s="122" t="str">
        <f>LOWER(BIN2HEX(R49&amp;S49&amp;T49&amp;U49&amp;V49&amp;W49&amp;X49&amp;Y49,2))</f>
        <v>00</v>
      </c>
      <c r="AG50" s="122" t="str">
        <f>LOWER(BIN2HEX(Z49&amp;AA49&amp;AB49&amp;AC49&amp;AD49&amp;AE49&amp;AF49&amp;AG49,2))</f>
        <v>00</v>
      </c>
      <c r="AO50" s="122" t="str">
        <f>LOWER(BIN2HEX(AH49&amp;AI49&amp;AJ49&amp;AK49&amp;AL49&amp;AM49&amp;AN49&amp;AO49,2))</f>
        <v>00</v>
      </c>
      <c r="AR50" s="122" t="str">
        <f>"(U4)0x"&amp;Q50&amp;Y50&amp;AG50&amp;AO50&amp;"U,"</f>
        <v>(U4)0x00000000U,</v>
      </c>
    </row>
    <row r="51" spans="9:46">
      <c r="I51" s="122" t="s">
        <v>1827</v>
      </c>
      <c r="J51" s="146">
        <v>0</v>
      </c>
      <c r="K51" s="146">
        <v>0</v>
      </c>
      <c r="L51" s="146">
        <v>0</v>
      </c>
      <c r="M51" s="146">
        <v>0</v>
      </c>
      <c r="N51" s="146">
        <v>0</v>
      </c>
      <c r="O51" s="146">
        <v>0</v>
      </c>
      <c r="P51" s="146">
        <v>0</v>
      </c>
      <c r="Q51" s="146">
        <v>0</v>
      </c>
      <c r="R51" s="146">
        <v>0</v>
      </c>
      <c r="S51" s="146">
        <v>0</v>
      </c>
      <c r="T51" s="146">
        <v>0</v>
      </c>
      <c r="U51" s="146">
        <v>0</v>
      </c>
      <c r="V51" s="146">
        <v>0</v>
      </c>
      <c r="W51" s="146">
        <v>0</v>
      </c>
      <c r="X51" s="146">
        <v>0</v>
      </c>
      <c r="Y51" s="146">
        <v>0</v>
      </c>
      <c r="Z51" s="146">
        <v>0</v>
      </c>
      <c r="AA51" s="146">
        <v>0</v>
      </c>
      <c r="AB51" s="146">
        <v>0</v>
      </c>
      <c r="AC51" s="146">
        <v>0</v>
      </c>
      <c r="AD51" s="146">
        <v>0</v>
      </c>
      <c r="AE51" s="146">
        <v>0</v>
      </c>
      <c r="AF51" s="146">
        <v>0</v>
      </c>
      <c r="AG51" s="146">
        <v>0</v>
      </c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>
        <v>0</v>
      </c>
    </row>
    <row r="52" spans="9:46">
      <c r="Q52" s="122" t="str">
        <f>LOWER(BIN2HEX(J51&amp;K51&amp;L51&amp;M51&amp;N51&amp;O51&amp;P51&amp;Q51,2))</f>
        <v>00</v>
      </c>
      <c r="Y52" s="122" t="str">
        <f>LOWER(BIN2HEX(R51&amp;S51&amp;T51&amp;U51&amp;V51&amp;W51&amp;X51&amp;Y51,2))</f>
        <v>00</v>
      </c>
      <c r="AG52" s="122" t="str">
        <f>LOWER(BIN2HEX(Z51&amp;AA51&amp;AB51&amp;AC51&amp;AD51&amp;AE51&amp;AF51&amp;AG51,2))</f>
        <v>00</v>
      </c>
      <c r="AO52" s="122" t="str">
        <f>LOWER(BIN2HEX(AH51&amp;AI51&amp;AJ51&amp;AK51&amp;AL51&amp;AM51&amp;AN51&amp;AO51,2))</f>
        <v>00</v>
      </c>
      <c r="AS52" s="122" t="str">
        <f>"(U4)0x"&amp;Q52&amp;Y52&amp;AG52&amp;AO52&amp;"U,"</f>
        <v>(U4)0x00000000U,</v>
      </c>
      <c r="AT52" s="122"/>
    </row>
    <row r="53" spans="9:46">
      <c r="I53" s="122" t="s">
        <v>1828</v>
      </c>
      <c r="J53" s="146">
        <v>0</v>
      </c>
      <c r="K53" s="146">
        <v>0</v>
      </c>
      <c r="L53" s="146">
        <v>0</v>
      </c>
      <c r="M53" s="146">
        <v>0</v>
      </c>
      <c r="N53" s="146">
        <v>0</v>
      </c>
      <c r="O53" s="146">
        <v>0</v>
      </c>
      <c r="P53" s="146">
        <v>0</v>
      </c>
      <c r="Q53" s="146">
        <v>0</v>
      </c>
      <c r="R53" s="146">
        <v>0</v>
      </c>
      <c r="S53" s="146">
        <v>0</v>
      </c>
      <c r="T53" s="146">
        <v>0</v>
      </c>
      <c r="U53" s="146">
        <v>0</v>
      </c>
      <c r="V53" s="146">
        <v>0</v>
      </c>
      <c r="W53" s="146">
        <v>0</v>
      </c>
      <c r="X53" s="146">
        <v>0</v>
      </c>
      <c r="Y53" s="146">
        <v>0</v>
      </c>
      <c r="Z53" s="146">
        <v>0</v>
      </c>
      <c r="AA53" s="146">
        <v>0</v>
      </c>
      <c r="AB53" s="146">
        <v>0</v>
      </c>
      <c r="AC53" s="146">
        <v>0</v>
      </c>
      <c r="AD53" s="146">
        <v>0</v>
      </c>
      <c r="AE53" s="146">
        <v>0</v>
      </c>
      <c r="AF53" s="146">
        <v>0</v>
      </c>
      <c r="AG53" s="146">
        <v>0</v>
      </c>
      <c r="AH53" s="146">
        <v>0</v>
      </c>
      <c r="AI53" s="146">
        <v>0</v>
      </c>
      <c r="AJ53" s="146">
        <v>0</v>
      </c>
      <c r="AK53" s="146">
        <v>0</v>
      </c>
      <c r="AL53" s="146">
        <v>0</v>
      </c>
      <c r="AM53" s="146">
        <v>0</v>
      </c>
      <c r="AN53" s="146">
        <v>0</v>
      </c>
      <c r="AO53" s="146">
        <v>0</v>
      </c>
    </row>
    <row r="54" spans="9:46">
      <c r="Q54" s="122" t="str">
        <f>LOWER(BIN2HEX(J53&amp;K53&amp;L53&amp;M53&amp;N53&amp;O53&amp;P53&amp;Q53,2))</f>
        <v>00</v>
      </c>
      <c r="Y54" s="122" t="str">
        <f>LOWER(BIN2HEX(R53&amp;S53&amp;T53&amp;U53&amp;V53&amp;W53&amp;X53&amp;Y53,2))</f>
        <v>00</v>
      </c>
      <c r="AG54" s="122" t="str">
        <f>LOWER(BIN2HEX(Z53&amp;AA53&amp;AB53&amp;AC53&amp;AD53&amp;AE53&amp;AF53&amp;AG53,2))</f>
        <v>00</v>
      </c>
      <c r="AO54" s="122" t="str">
        <f>LOWER(BIN2HEX(AH53&amp;AI53&amp;AJ53&amp;AK53&amp;AL53&amp;AM53&amp;AN53&amp;AO53,2))</f>
        <v>00</v>
      </c>
      <c r="AS54" s="122"/>
      <c r="AT54" s="122" t="str">
        <f>"(U4)0x"&amp;Q54&amp;Y54&amp;AG54&amp;AO54&amp;"U,"</f>
        <v>(U4)0x00000000U,</v>
      </c>
    </row>
    <row r="56" spans="9:46">
      <c r="I56" s="122" t="s">
        <v>1829</v>
      </c>
      <c r="J56" s="122">
        <f t="shared" ref="J56:AM56" si="10">K56+1</f>
        <v>159</v>
      </c>
      <c r="K56" s="122">
        <f t="shared" si="10"/>
        <v>158</v>
      </c>
      <c r="L56" s="122">
        <f t="shared" si="10"/>
        <v>157</v>
      </c>
      <c r="M56" s="122">
        <f t="shared" si="10"/>
        <v>156</v>
      </c>
      <c r="N56" s="122">
        <f t="shared" si="10"/>
        <v>155</v>
      </c>
      <c r="O56" s="122">
        <f t="shared" si="10"/>
        <v>154</v>
      </c>
      <c r="P56" s="122">
        <f t="shared" si="10"/>
        <v>153</v>
      </c>
      <c r="Q56" s="122">
        <f t="shared" si="10"/>
        <v>152</v>
      </c>
      <c r="R56" s="122">
        <f t="shared" si="10"/>
        <v>151</v>
      </c>
      <c r="S56" s="122">
        <f t="shared" si="10"/>
        <v>150</v>
      </c>
      <c r="T56" s="122">
        <f t="shared" si="10"/>
        <v>149</v>
      </c>
      <c r="U56" s="122">
        <f t="shared" si="10"/>
        <v>148</v>
      </c>
      <c r="V56" s="122">
        <f t="shared" si="10"/>
        <v>147</v>
      </c>
      <c r="W56" s="122">
        <f t="shared" si="10"/>
        <v>146</v>
      </c>
      <c r="X56" s="122">
        <f t="shared" si="10"/>
        <v>145</v>
      </c>
      <c r="Y56" s="122">
        <f t="shared" si="10"/>
        <v>144</v>
      </c>
      <c r="Z56" s="122">
        <f t="shared" si="10"/>
        <v>143</v>
      </c>
      <c r="AA56" s="122">
        <f t="shared" si="10"/>
        <v>142</v>
      </c>
      <c r="AB56" s="122">
        <f t="shared" si="10"/>
        <v>141</v>
      </c>
      <c r="AC56" s="122">
        <f t="shared" si="10"/>
        <v>140</v>
      </c>
      <c r="AD56" s="122">
        <f t="shared" si="10"/>
        <v>139</v>
      </c>
      <c r="AE56" s="122">
        <f t="shared" si="10"/>
        <v>138</v>
      </c>
      <c r="AF56" s="122">
        <f t="shared" si="10"/>
        <v>137</v>
      </c>
      <c r="AG56" s="122">
        <f t="shared" si="10"/>
        <v>136</v>
      </c>
      <c r="AH56" s="122">
        <f t="shared" si="10"/>
        <v>135</v>
      </c>
      <c r="AI56" s="122">
        <f t="shared" si="10"/>
        <v>134</v>
      </c>
      <c r="AJ56" s="122">
        <f t="shared" si="10"/>
        <v>133</v>
      </c>
      <c r="AK56" s="122">
        <f t="shared" si="10"/>
        <v>132</v>
      </c>
      <c r="AL56" s="122">
        <f t="shared" si="10"/>
        <v>131</v>
      </c>
      <c r="AM56" s="122">
        <f t="shared" si="10"/>
        <v>130</v>
      </c>
      <c r="AN56" s="122">
        <f>AO56+1</f>
        <v>129</v>
      </c>
      <c r="AO56" s="122">
        <v>128</v>
      </c>
    </row>
    <row r="57" spans="9:46" ht="32.25">
      <c r="I57" s="122" t="s">
        <v>1831</v>
      </c>
      <c r="J57" s="143" t="str">
        <f t="shared" ref="J57:AN57" si="11">"0x"&amp;DEC2HEX(J56,2)</f>
        <v>0x9F</v>
      </c>
      <c r="K57" s="143" t="str">
        <f t="shared" si="11"/>
        <v>0x9E</v>
      </c>
      <c r="L57" s="143" t="str">
        <f t="shared" si="11"/>
        <v>0x9D</v>
      </c>
      <c r="M57" s="143" t="str">
        <f t="shared" si="11"/>
        <v>0x9C</v>
      </c>
      <c r="N57" s="143" t="str">
        <f t="shared" si="11"/>
        <v>0x9B</v>
      </c>
      <c r="O57" s="143" t="str">
        <f t="shared" si="11"/>
        <v>0x9A</v>
      </c>
      <c r="P57" s="143" t="str">
        <f t="shared" si="11"/>
        <v>0x99</v>
      </c>
      <c r="Q57" s="143" t="str">
        <f t="shared" si="11"/>
        <v>0x98</v>
      </c>
      <c r="R57" s="143" t="str">
        <f t="shared" si="11"/>
        <v>0x97</v>
      </c>
      <c r="S57" s="143" t="str">
        <f t="shared" si="11"/>
        <v>0x96</v>
      </c>
      <c r="T57" s="143" t="str">
        <f t="shared" si="11"/>
        <v>0x95</v>
      </c>
      <c r="U57" s="143" t="str">
        <f t="shared" si="11"/>
        <v>0x94</v>
      </c>
      <c r="V57" s="143" t="str">
        <f t="shared" si="11"/>
        <v>0x93</v>
      </c>
      <c r="W57" s="143" t="str">
        <f t="shared" si="11"/>
        <v>0x92</v>
      </c>
      <c r="X57" s="143" t="str">
        <f t="shared" si="11"/>
        <v>0x91</v>
      </c>
      <c r="Y57" s="143" t="str">
        <f t="shared" si="11"/>
        <v>0x90</v>
      </c>
      <c r="Z57" s="143" t="str">
        <f t="shared" si="11"/>
        <v>0x8F</v>
      </c>
      <c r="AA57" s="143" t="str">
        <f t="shared" si="11"/>
        <v>0x8E</v>
      </c>
      <c r="AB57" s="143" t="str">
        <f t="shared" si="11"/>
        <v>0x8D</v>
      </c>
      <c r="AC57" s="143" t="str">
        <f t="shared" si="11"/>
        <v>0x8C</v>
      </c>
      <c r="AD57" s="143" t="str">
        <f t="shared" si="11"/>
        <v>0x8B</v>
      </c>
      <c r="AE57" s="143" t="str">
        <f t="shared" si="11"/>
        <v>0x8A</v>
      </c>
      <c r="AF57" s="143" t="str">
        <f t="shared" si="11"/>
        <v>0x89</v>
      </c>
      <c r="AG57" s="143" t="str">
        <f t="shared" si="11"/>
        <v>0x88</v>
      </c>
      <c r="AH57" s="143" t="str">
        <f t="shared" si="11"/>
        <v>0x87</v>
      </c>
      <c r="AI57" s="143" t="str">
        <f t="shared" si="11"/>
        <v>0x86</v>
      </c>
      <c r="AJ57" s="143" t="str">
        <f t="shared" si="11"/>
        <v>0x85</v>
      </c>
      <c r="AK57" s="143" t="str">
        <f t="shared" si="11"/>
        <v>0x84</v>
      </c>
      <c r="AL57" s="143" t="str">
        <f t="shared" si="11"/>
        <v>0x83</v>
      </c>
      <c r="AM57" s="143" t="str">
        <f t="shared" si="11"/>
        <v>0x82</v>
      </c>
      <c r="AN57" s="143" t="str">
        <f t="shared" si="11"/>
        <v>0x81</v>
      </c>
      <c r="AO57" s="143" t="str">
        <f>"0x"&amp;DEC2HEX(AO56,2)</f>
        <v>0x80</v>
      </c>
    </row>
    <row r="58" spans="9:46">
      <c r="I58" s="122" t="s">
        <v>1825</v>
      </c>
      <c r="J58" s="122">
        <v>1</v>
      </c>
      <c r="K58" s="122">
        <v>1</v>
      </c>
      <c r="L58" s="122">
        <v>1</v>
      </c>
      <c r="M58" s="122">
        <v>1</v>
      </c>
      <c r="N58" s="122">
        <v>1</v>
      </c>
      <c r="O58" s="122">
        <v>1</v>
      </c>
      <c r="P58" s="122">
        <v>1</v>
      </c>
      <c r="Q58" s="122">
        <v>1</v>
      </c>
      <c r="R58" s="122">
        <v>1</v>
      </c>
      <c r="S58" s="122">
        <v>1</v>
      </c>
      <c r="T58" s="122">
        <v>1</v>
      </c>
      <c r="U58" s="122">
        <v>1</v>
      </c>
      <c r="V58" s="122">
        <v>1</v>
      </c>
      <c r="W58" s="122">
        <v>1</v>
      </c>
      <c r="X58" s="122">
        <v>1</v>
      </c>
      <c r="Y58" s="122">
        <v>1</v>
      </c>
      <c r="Z58" s="122">
        <v>1</v>
      </c>
      <c r="AA58" s="122">
        <v>1</v>
      </c>
      <c r="AB58" s="122">
        <v>1</v>
      </c>
      <c r="AC58" s="122">
        <v>1</v>
      </c>
      <c r="AD58" s="122">
        <v>1</v>
      </c>
      <c r="AE58" s="122">
        <v>1</v>
      </c>
      <c r="AF58" s="122">
        <v>1</v>
      </c>
      <c r="AG58" s="122">
        <v>1</v>
      </c>
      <c r="AH58" s="122">
        <v>1</v>
      </c>
      <c r="AI58" s="122">
        <v>1</v>
      </c>
      <c r="AJ58" s="122">
        <v>1</v>
      </c>
      <c r="AK58" s="122">
        <v>1</v>
      </c>
      <c r="AL58" s="122">
        <v>1</v>
      </c>
      <c r="AM58" s="122">
        <v>1</v>
      </c>
      <c r="AN58" s="122">
        <v>1</v>
      </c>
      <c r="AO58" s="122">
        <v>1</v>
      </c>
    </row>
    <row r="59" spans="9:46">
      <c r="Q59" s="122" t="str">
        <f>LOWER(BIN2HEX(J58&amp;K58&amp;L58&amp;M58&amp;N58&amp;O58&amp;P58&amp;Q58,2))</f>
        <v>ff</v>
      </c>
      <c r="Y59" s="122" t="str">
        <f>LOWER(BIN2HEX(R58&amp;S58&amp;T58&amp;U58&amp;V58&amp;W58&amp;X58&amp;Y58,2))</f>
        <v>ff</v>
      </c>
      <c r="AG59" s="122" t="str">
        <f>LOWER(BIN2HEX(Z58&amp;AA58&amp;AB58&amp;AC58&amp;AD58&amp;AE58&amp;AF58&amp;AG58,2))</f>
        <v>ff</v>
      </c>
      <c r="AO59" s="122" t="str">
        <f>LOWER(BIN2HEX(AH58&amp;AI58&amp;AJ58&amp;AK58&amp;AL58&amp;AM58&amp;AN58&amp;AO58,2))</f>
        <v>ff</v>
      </c>
      <c r="AQ59" s="122" t="str">
        <f>"(U4)0x"&amp;Q59&amp;Y59&amp;AG59&amp;AO59&amp;"U,"</f>
        <v>(U4)0xffffffffU,</v>
      </c>
    </row>
    <row r="60" spans="9:46">
      <c r="I60" s="122" t="s">
        <v>1826</v>
      </c>
      <c r="J60" s="146">
        <v>0</v>
      </c>
      <c r="K60" s="146">
        <v>0</v>
      </c>
      <c r="L60" s="146">
        <v>0</v>
      </c>
      <c r="M60" s="146">
        <v>0</v>
      </c>
      <c r="N60" s="146">
        <v>0</v>
      </c>
      <c r="O60" s="146">
        <v>0</v>
      </c>
      <c r="P60" s="146">
        <v>0</v>
      </c>
      <c r="Q60" s="146">
        <v>0</v>
      </c>
      <c r="R60" s="146">
        <v>0</v>
      </c>
      <c r="S60" s="146">
        <v>0</v>
      </c>
      <c r="T60" s="146">
        <v>0</v>
      </c>
      <c r="U60" s="146">
        <v>0</v>
      </c>
      <c r="V60" s="146">
        <v>0</v>
      </c>
      <c r="W60" s="146">
        <v>0</v>
      </c>
      <c r="X60" s="146">
        <v>0</v>
      </c>
      <c r="Y60" s="146">
        <v>0</v>
      </c>
      <c r="Z60" s="146">
        <v>0</v>
      </c>
      <c r="AA60" s="146">
        <v>0</v>
      </c>
      <c r="AB60" s="146">
        <v>0</v>
      </c>
      <c r="AC60" s="146">
        <v>0</v>
      </c>
      <c r="AD60" s="146">
        <v>0</v>
      </c>
      <c r="AE60" s="146">
        <v>0</v>
      </c>
      <c r="AF60" s="146">
        <v>0</v>
      </c>
      <c r="AG60" s="146">
        <v>0</v>
      </c>
      <c r="AH60" s="146">
        <v>0</v>
      </c>
      <c r="AI60" s="146">
        <v>0</v>
      </c>
      <c r="AJ60" s="146">
        <v>0</v>
      </c>
      <c r="AK60" s="146">
        <v>0</v>
      </c>
      <c r="AL60" s="146">
        <v>0</v>
      </c>
      <c r="AM60" s="146">
        <v>0</v>
      </c>
      <c r="AN60" s="146">
        <v>0</v>
      </c>
      <c r="AO60" s="146">
        <v>0</v>
      </c>
    </row>
    <row r="61" spans="9:46">
      <c r="Q61" s="122" t="str">
        <f>LOWER(BIN2HEX(J60&amp;K60&amp;L60&amp;M60&amp;N60&amp;O60&amp;P60&amp;Q60,2))</f>
        <v>00</v>
      </c>
      <c r="Y61" s="122" t="str">
        <f>LOWER(BIN2HEX(R60&amp;S60&amp;T60&amp;U60&amp;V60&amp;W60&amp;X60&amp;Y60,2))</f>
        <v>00</v>
      </c>
      <c r="AG61" s="122" t="str">
        <f>LOWER(BIN2HEX(Z60&amp;AA60&amp;AB60&amp;AC60&amp;AD60&amp;AE60&amp;AF60&amp;AG60,2))</f>
        <v>00</v>
      </c>
      <c r="AO61" s="122" t="str">
        <f>LOWER(BIN2HEX(AH60&amp;AI60&amp;AJ60&amp;AK60&amp;AL60&amp;AM60&amp;AN60&amp;AO60,2))</f>
        <v>00</v>
      </c>
      <c r="AR61" s="122" t="str">
        <f>"(U4)0x"&amp;Q61&amp;Y61&amp;AG61&amp;AO61&amp;"U,"</f>
        <v>(U4)0x00000000U,</v>
      </c>
    </row>
    <row r="62" spans="9:46">
      <c r="I62" s="122" t="s">
        <v>1827</v>
      </c>
      <c r="J62" s="146">
        <v>0</v>
      </c>
      <c r="K62" s="146">
        <v>0</v>
      </c>
      <c r="L62" s="146">
        <v>0</v>
      </c>
      <c r="M62" s="146">
        <v>0</v>
      </c>
      <c r="N62" s="146">
        <v>0</v>
      </c>
      <c r="O62" s="146">
        <v>0</v>
      </c>
      <c r="P62" s="146">
        <v>0</v>
      </c>
      <c r="Q62" s="146">
        <v>0</v>
      </c>
      <c r="R62" s="146">
        <v>0</v>
      </c>
      <c r="S62" s="146">
        <v>0</v>
      </c>
      <c r="T62" s="146">
        <v>0</v>
      </c>
      <c r="U62" s="146">
        <v>0</v>
      </c>
      <c r="V62" s="146">
        <v>0</v>
      </c>
      <c r="W62" s="146">
        <v>0</v>
      </c>
      <c r="X62" s="146">
        <v>0</v>
      </c>
      <c r="Y62" s="146">
        <v>0</v>
      </c>
      <c r="Z62" s="146">
        <v>0</v>
      </c>
      <c r="AA62" s="146">
        <v>0</v>
      </c>
      <c r="AB62" s="146">
        <v>0</v>
      </c>
      <c r="AC62" s="146">
        <v>0</v>
      </c>
      <c r="AD62" s="146">
        <v>0</v>
      </c>
      <c r="AE62" s="146">
        <v>0</v>
      </c>
      <c r="AF62" s="146">
        <v>0</v>
      </c>
      <c r="AG62" s="146">
        <v>0</v>
      </c>
      <c r="AH62" s="146">
        <v>0</v>
      </c>
      <c r="AI62" s="146">
        <v>0</v>
      </c>
      <c r="AJ62" s="146">
        <v>0</v>
      </c>
      <c r="AK62" s="146">
        <v>0</v>
      </c>
      <c r="AL62" s="146">
        <v>0</v>
      </c>
      <c r="AM62" s="146">
        <v>0</v>
      </c>
      <c r="AN62" s="146">
        <v>0</v>
      </c>
      <c r="AO62" s="146">
        <v>0</v>
      </c>
    </row>
    <row r="63" spans="9:46">
      <c r="Q63" s="122" t="str">
        <f>LOWER(BIN2HEX(J62&amp;K62&amp;L62&amp;M62&amp;N62&amp;O62&amp;P62&amp;Q62,2))</f>
        <v>00</v>
      </c>
      <c r="Y63" s="122" t="str">
        <f>LOWER(BIN2HEX(R62&amp;S62&amp;T62&amp;U62&amp;V62&amp;W62&amp;X62&amp;Y62,2))</f>
        <v>00</v>
      </c>
      <c r="AG63" s="122" t="str">
        <f>LOWER(BIN2HEX(Z62&amp;AA62&amp;AB62&amp;AC62&amp;AD62&amp;AE62&amp;AF62&amp;AG62,2))</f>
        <v>00</v>
      </c>
      <c r="AO63" s="122" t="str">
        <f>LOWER(BIN2HEX(AH62&amp;AI62&amp;AJ62&amp;AK62&amp;AL62&amp;AM62&amp;AN62&amp;AO62,2))</f>
        <v>00</v>
      </c>
      <c r="AS63" s="122" t="str">
        <f>"(U4)0x"&amp;Q63&amp;Y63&amp;AG63&amp;AO63&amp;"U,"</f>
        <v>(U4)0x00000000U,</v>
      </c>
      <c r="AT63" s="122"/>
    </row>
    <row r="64" spans="9:46">
      <c r="I64" s="122" t="s">
        <v>1828</v>
      </c>
      <c r="J64" s="146">
        <v>0</v>
      </c>
      <c r="K64" s="146">
        <v>0</v>
      </c>
      <c r="L64" s="146">
        <v>0</v>
      </c>
      <c r="M64" s="146">
        <v>0</v>
      </c>
      <c r="N64" s="146">
        <v>0</v>
      </c>
      <c r="O64" s="146">
        <v>0</v>
      </c>
      <c r="P64" s="146">
        <v>0</v>
      </c>
      <c r="Q64" s="146">
        <v>0</v>
      </c>
      <c r="R64" s="146">
        <v>0</v>
      </c>
      <c r="S64" s="146">
        <v>0</v>
      </c>
      <c r="T64" s="146">
        <v>0</v>
      </c>
      <c r="U64" s="146">
        <v>0</v>
      </c>
      <c r="V64" s="146">
        <v>0</v>
      </c>
      <c r="W64" s="146">
        <v>0</v>
      </c>
      <c r="X64" s="146">
        <v>0</v>
      </c>
      <c r="Y64" s="146">
        <v>0</v>
      </c>
      <c r="Z64" s="146">
        <v>0</v>
      </c>
      <c r="AA64" s="146">
        <v>0</v>
      </c>
      <c r="AB64" s="146">
        <v>0</v>
      </c>
      <c r="AC64" s="146">
        <v>0</v>
      </c>
      <c r="AD64" s="146">
        <v>0</v>
      </c>
      <c r="AE64" s="146">
        <v>0</v>
      </c>
      <c r="AF64" s="146">
        <v>0</v>
      </c>
      <c r="AG64" s="146">
        <v>0</v>
      </c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>
        <v>0</v>
      </c>
    </row>
    <row r="65" spans="9:46">
      <c r="Q65" s="122" t="str">
        <f>LOWER(BIN2HEX(J64&amp;K64&amp;L64&amp;M64&amp;N64&amp;O64&amp;P64&amp;Q64,2))</f>
        <v>00</v>
      </c>
      <c r="Y65" s="122" t="str">
        <f>LOWER(BIN2HEX(R64&amp;S64&amp;T64&amp;U64&amp;V64&amp;W64&amp;X64&amp;Y64,2))</f>
        <v>00</v>
      </c>
      <c r="AG65" s="122" t="str">
        <f>LOWER(BIN2HEX(Z64&amp;AA64&amp;AB64&amp;AC64&amp;AD64&amp;AE64&amp;AF64&amp;AG64,2))</f>
        <v>00</v>
      </c>
      <c r="AO65" s="122" t="str">
        <f>LOWER(BIN2HEX(AH64&amp;AI64&amp;AJ64&amp;AK64&amp;AL64&amp;AM64&amp;AN64&amp;AO64,2))</f>
        <v>00</v>
      </c>
      <c r="AS65" s="122"/>
      <c r="AT65" s="122" t="str">
        <f>"(U4)0x"&amp;Q65&amp;Y65&amp;AG65&amp;AO65&amp;"U,"</f>
        <v>(U4)0x00000000U,</v>
      </c>
    </row>
    <row r="67" spans="9:46">
      <c r="I67" s="122" t="s">
        <v>1829</v>
      </c>
      <c r="J67" s="122">
        <f t="shared" ref="J67:AM67" si="12">K67+1</f>
        <v>191</v>
      </c>
      <c r="K67" s="122">
        <f t="shared" si="12"/>
        <v>190</v>
      </c>
      <c r="L67" s="122">
        <f t="shared" si="12"/>
        <v>189</v>
      </c>
      <c r="M67" s="122">
        <f t="shared" si="12"/>
        <v>188</v>
      </c>
      <c r="N67" s="122">
        <f t="shared" si="12"/>
        <v>187</v>
      </c>
      <c r="O67" s="122">
        <f t="shared" si="12"/>
        <v>186</v>
      </c>
      <c r="P67" s="122">
        <f t="shared" si="12"/>
        <v>185</v>
      </c>
      <c r="Q67" s="122">
        <f t="shared" si="12"/>
        <v>184</v>
      </c>
      <c r="R67" s="122">
        <f t="shared" si="12"/>
        <v>183</v>
      </c>
      <c r="S67" s="122">
        <f t="shared" si="12"/>
        <v>182</v>
      </c>
      <c r="T67" s="122">
        <f t="shared" si="12"/>
        <v>181</v>
      </c>
      <c r="U67" s="122">
        <f t="shared" si="12"/>
        <v>180</v>
      </c>
      <c r="V67" s="122">
        <f t="shared" si="12"/>
        <v>179</v>
      </c>
      <c r="W67" s="122">
        <f t="shared" si="12"/>
        <v>178</v>
      </c>
      <c r="X67" s="122">
        <f t="shared" si="12"/>
        <v>177</v>
      </c>
      <c r="Y67" s="122">
        <f t="shared" si="12"/>
        <v>176</v>
      </c>
      <c r="Z67" s="122">
        <f t="shared" si="12"/>
        <v>175</v>
      </c>
      <c r="AA67" s="122">
        <f t="shared" si="12"/>
        <v>174</v>
      </c>
      <c r="AB67" s="122">
        <f t="shared" si="12"/>
        <v>173</v>
      </c>
      <c r="AC67" s="122">
        <f t="shared" si="12"/>
        <v>172</v>
      </c>
      <c r="AD67" s="122">
        <f t="shared" si="12"/>
        <v>171</v>
      </c>
      <c r="AE67" s="122">
        <f t="shared" si="12"/>
        <v>170</v>
      </c>
      <c r="AF67" s="122">
        <f t="shared" si="12"/>
        <v>169</v>
      </c>
      <c r="AG67" s="122">
        <f t="shared" si="12"/>
        <v>168</v>
      </c>
      <c r="AH67" s="122">
        <f t="shared" si="12"/>
        <v>167</v>
      </c>
      <c r="AI67" s="122">
        <f t="shared" si="12"/>
        <v>166</v>
      </c>
      <c r="AJ67" s="122">
        <f t="shared" si="12"/>
        <v>165</v>
      </c>
      <c r="AK67" s="122">
        <f t="shared" si="12"/>
        <v>164</v>
      </c>
      <c r="AL67" s="122">
        <f t="shared" si="12"/>
        <v>163</v>
      </c>
      <c r="AM67" s="122">
        <f t="shared" si="12"/>
        <v>162</v>
      </c>
      <c r="AN67" s="122">
        <f>AO67+1</f>
        <v>161</v>
      </c>
      <c r="AO67" s="122">
        <v>160</v>
      </c>
    </row>
    <row r="68" spans="9:46" ht="32.25">
      <c r="I68" s="122" t="s">
        <v>1831</v>
      </c>
      <c r="J68" s="143" t="str">
        <f t="shared" ref="J68:AN68" si="13">"0x"&amp;DEC2HEX(J67,2)</f>
        <v>0xBF</v>
      </c>
      <c r="K68" s="143" t="str">
        <f t="shared" si="13"/>
        <v>0xBE</v>
      </c>
      <c r="L68" s="143" t="str">
        <f t="shared" si="13"/>
        <v>0xBD</v>
      </c>
      <c r="M68" s="143" t="str">
        <f t="shared" si="13"/>
        <v>0xBC</v>
      </c>
      <c r="N68" s="143" t="str">
        <f t="shared" si="13"/>
        <v>0xBB</v>
      </c>
      <c r="O68" s="143" t="str">
        <f t="shared" si="13"/>
        <v>0xBA</v>
      </c>
      <c r="P68" s="143" t="str">
        <f t="shared" si="13"/>
        <v>0xB9</v>
      </c>
      <c r="Q68" s="143" t="str">
        <f t="shared" si="13"/>
        <v>0xB8</v>
      </c>
      <c r="R68" s="143" t="str">
        <f t="shared" si="13"/>
        <v>0xB7</v>
      </c>
      <c r="S68" s="143" t="str">
        <f t="shared" si="13"/>
        <v>0xB6</v>
      </c>
      <c r="T68" s="143" t="str">
        <f t="shared" si="13"/>
        <v>0xB5</v>
      </c>
      <c r="U68" s="143" t="str">
        <f t="shared" si="13"/>
        <v>0xB4</v>
      </c>
      <c r="V68" s="143" t="str">
        <f t="shared" si="13"/>
        <v>0xB3</v>
      </c>
      <c r="W68" s="143" t="str">
        <f t="shared" si="13"/>
        <v>0xB2</v>
      </c>
      <c r="X68" s="143" t="str">
        <f t="shared" si="13"/>
        <v>0xB1</v>
      </c>
      <c r="Y68" s="143" t="str">
        <f t="shared" si="13"/>
        <v>0xB0</v>
      </c>
      <c r="Z68" s="143" t="str">
        <f t="shared" si="13"/>
        <v>0xAF</v>
      </c>
      <c r="AA68" s="143" t="str">
        <f t="shared" si="13"/>
        <v>0xAE</v>
      </c>
      <c r="AB68" s="143" t="str">
        <f t="shared" si="13"/>
        <v>0xAD</v>
      </c>
      <c r="AC68" s="143" t="str">
        <f t="shared" si="13"/>
        <v>0xAC</v>
      </c>
      <c r="AD68" s="143" t="str">
        <f t="shared" si="13"/>
        <v>0xAB</v>
      </c>
      <c r="AE68" s="143" t="str">
        <f t="shared" si="13"/>
        <v>0xAA</v>
      </c>
      <c r="AF68" s="143" t="str">
        <f t="shared" si="13"/>
        <v>0xA9</v>
      </c>
      <c r="AG68" s="143" t="str">
        <f t="shared" si="13"/>
        <v>0xA8</v>
      </c>
      <c r="AH68" s="143" t="str">
        <f t="shared" si="13"/>
        <v>0xA7</v>
      </c>
      <c r="AI68" s="143" t="str">
        <f t="shared" si="13"/>
        <v>0xA6</v>
      </c>
      <c r="AJ68" s="143" t="str">
        <f t="shared" si="13"/>
        <v>0xA5</v>
      </c>
      <c r="AK68" s="143" t="str">
        <f t="shared" si="13"/>
        <v>0xA4</v>
      </c>
      <c r="AL68" s="143" t="str">
        <f t="shared" si="13"/>
        <v>0xA3</v>
      </c>
      <c r="AM68" s="143" t="str">
        <f t="shared" si="13"/>
        <v>0xA2</v>
      </c>
      <c r="AN68" s="143" t="str">
        <f t="shared" si="13"/>
        <v>0xA1</v>
      </c>
      <c r="AO68" s="143" t="str">
        <f>"0x"&amp;DEC2HEX(AO67,2)</f>
        <v>0xA0</v>
      </c>
    </row>
    <row r="69" spans="9:46">
      <c r="I69" s="122" t="s">
        <v>1825</v>
      </c>
      <c r="J69" s="122">
        <v>1</v>
      </c>
      <c r="K69" s="122">
        <v>1</v>
      </c>
      <c r="L69" s="122">
        <v>1</v>
      </c>
      <c r="M69" s="122">
        <v>1</v>
      </c>
      <c r="N69" s="122">
        <v>1</v>
      </c>
      <c r="O69" s="122">
        <v>1</v>
      </c>
      <c r="P69" s="122">
        <v>1</v>
      </c>
      <c r="Q69" s="122">
        <v>1</v>
      </c>
      <c r="R69" s="122">
        <v>1</v>
      </c>
      <c r="S69" s="122">
        <v>1</v>
      </c>
      <c r="T69" s="122">
        <v>1</v>
      </c>
      <c r="U69" s="122">
        <v>1</v>
      </c>
      <c r="V69" s="122">
        <v>1</v>
      </c>
      <c r="W69" s="122">
        <v>1</v>
      </c>
      <c r="X69" s="122">
        <v>1</v>
      </c>
      <c r="Y69" s="122">
        <v>1</v>
      </c>
      <c r="Z69" s="122">
        <v>1</v>
      </c>
      <c r="AA69" s="122">
        <v>1</v>
      </c>
      <c r="AB69" s="122">
        <v>1</v>
      </c>
      <c r="AC69" s="122">
        <v>1</v>
      </c>
      <c r="AD69" s="122">
        <v>1</v>
      </c>
      <c r="AE69" s="122">
        <v>1</v>
      </c>
      <c r="AF69" s="122">
        <v>1</v>
      </c>
      <c r="AG69" s="122">
        <v>1</v>
      </c>
      <c r="AH69" s="122">
        <v>1</v>
      </c>
      <c r="AI69" s="122">
        <v>1</v>
      </c>
      <c r="AJ69" s="122">
        <v>1</v>
      </c>
      <c r="AK69" s="122">
        <v>1</v>
      </c>
      <c r="AL69" s="122">
        <v>1</v>
      </c>
      <c r="AM69" s="122">
        <v>1</v>
      </c>
      <c r="AN69" s="122">
        <v>1</v>
      </c>
      <c r="AO69" s="122">
        <v>1</v>
      </c>
    </row>
    <row r="70" spans="9:46">
      <c r="Q70" s="122" t="str">
        <f>LOWER(BIN2HEX(J69&amp;K69&amp;L69&amp;M69&amp;N69&amp;O69&amp;P69&amp;Q69,2))</f>
        <v>ff</v>
      </c>
      <c r="Y70" s="122" t="str">
        <f>LOWER(BIN2HEX(R69&amp;S69&amp;T69&amp;U69&amp;V69&amp;W69&amp;X69&amp;Y69,2))</f>
        <v>ff</v>
      </c>
      <c r="AG70" s="122" t="str">
        <f>LOWER(BIN2HEX(Z69&amp;AA69&amp;AB69&amp;AC69&amp;AD69&amp;AE69&amp;AF69&amp;AG69,2))</f>
        <v>ff</v>
      </c>
      <c r="AO70" s="122" t="str">
        <f>LOWER(BIN2HEX(AH69&amp;AI69&amp;AJ69&amp;AK69&amp;AL69&amp;AM69&amp;AN69&amp;AO69,2))</f>
        <v>ff</v>
      </c>
      <c r="AQ70" s="122" t="str">
        <f>"(U4)0x"&amp;Q70&amp;Y70&amp;AG70&amp;AO70&amp;"U,"</f>
        <v>(U4)0xffffffffU,</v>
      </c>
    </row>
    <row r="71" spans="9:46">
      <c r="I71" s="122" t="s">
        <v>1826</v>
      </c>
      <c r="J71" s="146">
        <v>0</v>
      </c>
      <c r="K71" s="146">
        <v>0</v>
      </c>
      <c r="L71" s="146">
        <v>0</v>
      </c>
      <c r="M71" s="146">
        <v>0</v>
      </c>
      <c r="N71" s="146">
        <v>0</v>
      </c>
      <c r="O71" s="146">
        <v>0</v>
      </c>
      <c r="P71" s="146">
        <v>0</v>
      </c>
      <c r="Q71" s="146">
        <v>0</v>
      </c>
      <c r="R71" s="146">
        <v>0</v>
      </c>
      <c r="S71" s="146">
        <v>0</v>
      </c>
      <c r="T71" s="146">
        <v>0</v>
      </c>
      <c r="U71" s="146">
        <v>0</v>
      </c>
      <c r="V71" s="146">
        <v>0</v>
      </c>
      <c r="W71" s="146">
        <v>0</v>
      </c>
      <c r="X71" s="146">
        <v>0</v>
      </c>
      <c r="Y71" s="146">
        <v>0</v>
      </c>
      <c r="Z71" s="146">
        <v>0</v>
      </c>
      <c r="AA71" s="146">
        <v>0</v>
      </c>
      <c r="AB71" s="146">
        <v>0</v>
      </c>
      <c r="AC71" s="146">
        <v>0</v>
      </c>
      <c r="AD71" s="146">
        <v>0</v>
      </c>
      <c r="AE71" s="146">
        <v>0</v>
      </c>
      <c r="AF71" s="146">
        <v>0</v>
      </c>
      <c r="AG71" s="146">
        <v>0</v>
      </c>
      <c r="AH71" s="146">
        <v>0</v>
      </c>
      <c r="AI71" s="146">
        <v>0</v>
      </c>
      <c r="AJ71" s="146">
        <v>0</v>
      </c>
      <c r="AK71" s="146">
        <v>0</v>
      </c>
      <c r="AL71" s="146">
        <v>0</v>
      </c>
      <c r="AM71" s="146">
        <v>0</v>
      </c>
      <c r="AN71" s="146">
        <v>0</v>
      </c>
      <c r="AO71" s="146">
        <v>0</v>
      </c>
    </row>
    <row r="72" spans="9:46">
      <c r="Q72" s="122" t="str">
        <f>LOWER(BIN2HEX(J71&amp;K71&amp;L71&amp;M71&amp;N71&amp;O71&amp;P71&amp;Q71,2))</f>
        <v>00</v>
      </c>
      <c r="Y72" s="122" t="str">
        <f>LOWER(BIN2HEX(R71&amp;S71&amp;T71&amp;U71&amp;V71&amp;W71&amp;X71&amp;Y71,2))</f>
        <v>00</v>
      </c>
      <c r="AG72" s="122" t="str">
        <f>LOWER(BIN2HEX(Z71&amp;AA71&amp;AB71&amp;AC71&amp;AD71&amp;AE71&amp;AF71&amp;AG71,2))</f>
        <v>00</v>
      </c>
      <c r="AO72" s="122" t="str">
        <f>LOWER(BIN2HEX(AH71&amp;AI71&amp;AJ71&amp;AK71&amp;AL71&amp;AM71&amp;AN71&amp;AO71,2))</f>
        <v>00</v>
      </c>
      <c r="AR72" s="122" t="str">
        <f>"(U4)0x"&amp;Q72&amp;Y72&amp;AG72&amp;AO72&amp;"U,"</f>
        <v>(U4)0x00000000U,</v>
      </c>
    </row>
    <row r="73" spans="9:46">
      <c r="I73" s="122" t="s">
        <v>1827</v>
      </c>
      <c r="J73" s="146">
        <v>0</v>
      </c>
      <c r="K73" s="146">
        <v>0</v>
      </c>
      <c r="L73" s="146">
        <v>0</v>
      </c>
      <c r="M73" s="146">
        <v>0</v>
      </c>
      <c r="N73" s="146">
        <v>0</v>
      </c>
      <c r="O73" s="146">
        <v>0</v>
      </c>
      <c r="P73" s="146">
        <v>0</v>
      </c>
      <c r="Q73" s="146">
        <v>0</v>
      </c>
      <c r="R73" s="146">
        <v>0</v>
      </c>
      <c r="S73" s="146">
        <v>0</v>
      </c>
      <c r="T73" s="146">
        <v>0</v>
      </c>
      <c r="U73" s="146">
        <v>0</v>
      </c>
      <c r="V73" s="146">
        <v>0</v>
      </c>
      <c r="W73" s="146">
        <v>0</v>
      </c>
      <c r="X73" s="146">
        <v>0</v>
      </c>
      <c r="Y73" s="146">
        <v>0</v>
      </c>
      <c r="Z73" s="146">
        <v>0</v>
      </c>
      <c r="AA73" s="146">
        <v>0</v>
      </c>
      <c r="AB73" s="146">
        <v>0</v>
      </c>
      <c r="AC73" s="146">
        <v>0</v>
      </c>
      <c r="AD73" s="146">
        <v>0</v>
      </c>
      <c r="AE73" s="146">
        <v>0</v>
      </c>
      <c r="AF73" s="146">
        <v>0</v>
      </c>
      <c r="AG73" s="146">
        <v>0</v>
      </c>
      <c r="AH73" s="146">
        <v>0</v>
      </c>
      <c r="AI73" s="146">
        <v>0</v>
      </c>
      <c r="AJ73" s="146">
        <v>0</v>
      </c>
      <c r="AK73" s="146">
        <v>0</v>
      </c>
      <c r="AL73" s="146">
        <v>0</v>
      </c>
      <c r="AM73" s="146">
        <v>0</v>
      </c>
      <c r="AN73" s="146">
        <v>0</v>
      </c>
      <c r="AO73" s="146">
        <v>0</v>
      </c>
    </row>
    <row r="74" spans="9:46">
      <c r="Q74" s="122" t="str">
        <f>LOWER(BIN2HEX(J73&amp;K73&amp;L73&amp;M73&amp;N73&amp;O73&amp;P73&amp;Q73,2))</f>
        <v>00</v>
      </c>
      <c r="Y74" s="122" t="str">
        <f>LOWER(BIN2HEX(R73&amp;S73&amp;T73&amp;U73&amp;V73&amp;W73&amp;X73&amp;Y73,2))</f>
        <v>00</v>
      </c>
      <c r="AG74" s="122" t="str">
        <f>LOWER(BIN2HEX(Z73&amp;AA73&amp;AB73&amp;AC73&amp;AD73&amp;AE73&amp;AF73&amp;AG73,2))</f>
        <v>00</v>
      </c>
      <c r="AO74" s="122" t="str">
        <f>LOWER(BIN2HEX(AH73&amp;AI73&amp;AJ73&amp;AK73&amp;AL73&amp;AM73&amp;AN73&amp;AO73,2))</f>
        <v>00</v>
      </c>
      <c r="AS74" s="122" t="str">
        <f>"(U4)0x"&amp;Q74&amp;Y74&amp;AG74&amp;AO74&amp;"U,"</f>
        <v>(U4)0x00000000U,</v>
      </c>
      <c r="AT74" s="122"/>
    </row>
    <row r="75" spans="9:46">
      <c r="I75" s="122" t="s">
        <v>1828</v>
      </c>
      <c r="J75" s="146">
        <v>0</v>
      </c>
      <c r="K75" s="146">
        <v>0</v>
      </c>
      <c r="L75" s="146">
        <v>0</v>
      </c>
      <c r="M75" s="146">
        <v>0</v>
      </c>
      <c r="N75" s="146">
        <v>0</v>
      </c>
      <c r="O75" s="146">
        <v>0</v>
      </c>
      <c r="P75" s="146">
        <v>0</v>
      </c>
      <c r="Q75" s="146">
        <v>0</v>
      </c>
      <c r="R75" s="146">
        <v>0</v>
      </c>
      <c r="S75" s="146">
        <v>0</v>
      </c>
      <c r="T75" s="146">
        <v>0</v>
      </c>
      <c r="U75" s="146">
        <v>0</v>
      </c>
      <c r="V75" s="146">
        <v>0</v>
      </c>
      <c r="W75" s="146">
        <v>0</v>
      </c>
      <c r="X75" s="146">
        <v>0</v>
      </c>
      <c r="Y75" s="146">
        <v>0</v>
      </c>
      <c r="Z75" s="146">
        <v>0</v>
      </c>
      <c r="AA75" s="146">
        <v>0</v>
      </c>
      <c r="AB75" s="146">
        <v>0</v>
      </c>
      <c r="AC75" s="146">
        <v>0</v>
      </c>
      <c r="AD75" s="146">
        <v>0</v>
      </c>
      <c r="AE75" s="146">
        <v>0</v>
      </c>
      <c r="AF75" s="146">
        <v>0</v>
      </c>
      <c r="AG75" s="146">
        <v>0</v>
      </c>
      <c r="AH75" s="146">
        <v>0</v>
      </c>
      <c r="AI75" s="146">
        <v>0</v>
      </c>
      <c r="AJ75" s="146">
        <v>0</v>
      </c>
      <c r="AK75" s="146">
        <v>0</v>
      </c>
      <c r="AL75" s="146">
        <v>0</v>
      </c>
      <c r="AM75" s="146">
        <v>0</v>
      </c>
      <c r="AN75" s="146">
        <v>0</v>
      </c>
      <c r="AO75" s="146">
        <v>0</v>
      </c>
    </row>
    <row r="76" spans="9:46">
      <c r="Q76" s="122" t="str">
        <f>LOWER(BIN2HEX(J75&amp;K75&amp;L75&amp;M75&amp;N75&amp;O75&amp;P75&amp;Q75,2))</f>
        <v>00</v>
      </c>
      <c r="Y76" s="122" t="str">
        <f>LOWER(BIN2HEX(R75&amp;S75&amp;T75&amp;U75&amp;V75&amp;W75&amp;X75&amp;Y75,2))</f>
        <v>00</v>
      </c>
      <c r="AG76" s="122" t="str">
        <f>LOWER(BIN2HEX(Z75&amp;AA75&amp;AB75&amp;AC75&amp;AD75&amp;AE75&amp;AF75&amp;AG75,2))</f>
        <v>00</v>
      </c>
      <c r="AO76" s="122" t="str">
        <f>LOWER(BIN2HEX(AH75&amp;AI75&amp;AJ75&amp;AK75&amp;AL75&amp;AM75&amp;AN75&amp;AO75,2))</f>
        <v>00</v>
      </c>
      <c r="AS76" s="122"/>
      <c r="AT76" s="122" t="str">
        <f>"(U4)0x"&amp;Q76&amp;Y76&amp;AG76&amp;AO76&amp;"U,"</f>
        <v>(U4)0x00000000U,</v>
      </c>
    </row>
    <row r="78" spans="9:46">
      <c r="I78" s="122" t="s">
        <v>1829</v>
      </c>
      <c r="J78" s="122">
        <f t="shared" ref="J78:AM78" si="14">K78+1</f>
        <v>223</v>
      </c>
      <c r="K78" s="122">
        <f t="shared" si="14"/>
        <v>222</v>
      </c>
      <c r="L78" s="122">
        <f t="shared" si="14"/>
        <v>221</v>
      </c>
      <c r="M78" s="122">
        <f t="shared" si="14"/>
        <v>220</v>
      </c>
      <c r="N78" s="122">
        <f t="shared" si="14"/>
        <v>219</v>
      </c>
      <c r="O78" s="122">
        <f t="shared" si="14"/>
        <v>218</v>
      </c>
      <c r="P78" s="122">
        <f t="shared" si="14"/>
        <v>217</v>
      </c>
      <c r="Q78" s="122">
        <f t="shared" si="14"/>
        <v>216</v>
      </c>
      <c r="R78" s="122">
        <f t="shared" si="14"/>
        <v>215</v>
      </c>
      <c r="S78" s="122">
        <f t="shared" si="14"/>
        <v>214</v>
      </c>
      <c r="T78" s="122">
        <f t="shared" si="14"/>
        <v>213</v>
      </c>
      <c r="U78" s="122">
        <f t="shared" si="14"/>
        <v>212</v>
      </c>
      <c r="V78" s="122">
        <f t="shared" si="14"/>
        <v>211</v>
      </c>
      <c r="W78" s="122">
        <f t="shared" si="14"/>
        <v>210</v>
      </c>
      <c r="X78" s="122">
        <f t="shared" si="14"/>
        <v>209</v>
      </c>
      <c r="Y78" s="122">
        <f t="shared" si="14"/>
        <v>208</v>
      </c>
      <c r="Z78" s="122">
        <f t="shared" si="14"/>
        <v>207</v>
      </c>
      <c r="AA78" s="122">
        <f t="shared" si="14"/>
        <v>206</v>
      </c>
      <c r="AB78" s="122">
        <f t="shared" si="14"/>
        <v>205</v>
      </c>
      <c r="AC78" s="122">
        <f t="shared" si="14"/>
        <v>204</v>
      </c>
      <c r="AD78" s="122">
        <f t="shared" si="14"/>
        <v>203</v>
      </c>
      <c r="AE78" s="122">
        <f t="shared" si="14"/>
        <v>202</v>
      </c>
      <c r="AF78" s="122">
        <f t="shared" si="14"/>
        <v>201</v>
      </c>
      <c r="AG78" s="122">
        <f t="shared" si="14"/>
        <v>200</v>
      </c>
      <c r="AH78" s="122">
        <f t="shared" si="14"/>
        <v>199</v>
      </c>
      <c r="AI78" s="122">
        <f t="shared" si="14"/>
        <v>198</v>
      </c>
      <c r="AJ78" s="122">
        <f t="shared" si="14"/>
        <v>197</v>
      </c>
      <c r="AK78" s="122">
        <f t="shared" si="14"/>
        <v>196</v>
      </c>
      <c r="AL78" s="122">
        <f t="shared" si="14"/>
        <v>195</v>
      </c>
      <c r="AM78" s="122">
        <f t="shared" si="14"/>
        <v>194</v>
      </c>
      <c r="AN78" s="122">
        <f>AO78+1</f>
        <v>193</v>
      </c>
      <c r="AO78" s="122">
        <v>192</v>
      </c>
    </row>
    <row r="79" spans="9:46" ht="32.25">
      <c r="I79" s="122" t="s">
        <v>1831</v>
      </c>
      <c r="J79" s="143" t="str">
        <f t="shared" ref="J79:AN79" si="15">"0x"&amp;DEC2HEX(J78,2)</f>
        <v>0xDF</v>
      </c>
      <c r="K79" s="143" t="str">
        <f t="shared" si="15"/>
        <v>0xDE</v>
      </c>
      <c r="L79" s="143" t="str">
        <f t="shared" si="15"/>
        <v>0xDD</v>
      </c>
      <c r="M79" s="143" t="str">
        <f t="shared" si="15"/>
        <v>0xDC</v>
      </c>
      <c r="N79" s="143" t="str">
        <f t="shared" si="15"/>
        <v>0xDB</v>
      </c>
      <c r="O79" s="143" t="str">
        <f t="shared" si="15"/>
        <v>0xDA</v>
      </c>
      <c r="P79" s="143" t="str">
        <f t="shared" si="15"/>
        <v>0xD9</v>
      </c>
      <c r="Q79" s="143" t="str">
        <f t="shared" si="15"/>
        <v>0xD8</v>
      </c>
      <c r="R79" s="143" t="str">
        <f t="shared" si="15"/>
        <v>0xD7</v>
      </c>
      <c r="S79" s="143" t="str">
        <f t="shared" si="15"/>
        <v>0xD6</v>
      </c>
      <c r="T79" s="143" t="str">
        <f t="shared" si="15"/>
        <v>0xD5</v>
      </c>
      <c r="U79" s="143" t="str">
        <f t="shared" si="15"/>
        <v>0xD4</v>
      </c>
      <c r="V79" s="143" t="str">
        <f t="shared" si="15"/>
        <v>0xD3</v>
      </c>
      <c r="W79" s="143" t="str">
        <f t="shared" si="15"/>
        <v>0xD2</v>
      </c>
      <c r="X79" s="143" t="str">
        <f t="shared" si="15"/>
        <v>0xD1</v>
      </c>
      <c r="Y79" s="143" t="str">
        <f t="shared" si="15"/>
        <v>0xD0</v>
      </c>
      <c r="Z79" s="143" t="str">
        <f t="shared" si="15"/>
        <v>0xCF</v>
      </c>
      <c r="AA79" s="143" t="str">
        <f t="shared" si="15"/>
        <v>0xCE</v>
      </c>
      <c r="AB79" s="143" t="str">
        <f t="shared" si="15"/>
        <v>0xCD</v>
      </c>
      <c r="AC79" s="143" t="str">
        <f t="shared" si="15"/>
        <v>0xCC</v>
      </c>
      <c r="AD79" s="143" t="str">
        <f t="shared" si="15"/>
        <v>0xCB</v>
      </c>
      <c r="AE79" s="143" t="str">
        <f t="shared" si="15"/>
        <v>0xCA</v>
      </c>
      <c r="AF79" s="143" t="str">
        <f t="shared" si="15"/>
        <v>0xC9</v>
      </c>
      <c r="AG79" s="143" t="str">
        <f t="shared" si="15"/>
        <v>0xC8</v>
      </c>
      <c r="AH79" s="143" t="str">
        <f t="shared" si="15"/>
        <v>0xC7</v>
      </c>
      <c r="AI79" s="143" t="str">
        <f t="shared" si="15"/>
        <v>0xC6</v>
      </c>
      <c r="AJ79" s="143" t="str">
        <f t="shared" si="15"/>
        <v>0xC5</v>
      </c>
      <c r="AK79" s="143" t="str">
        <f t="shared" si="15"/>
        <v>0xC4</v>
      </c>
      <c r="AL79" s="143" t="str">
        <f t="shared" si="15"/>
        <v>0xC3</v>
      </c>
      <c r="AM79" s="143" t="str">
        <f t="shared" si="15"/>
        <v>0xC2</v>
      </c>
      <c r="AN79" s="143" t="str">
        <f t="shared" si="15"/>
        <v>0xC1</v>
      </c>
      <c r="AO79" s="143" t="str">
        <f>"0x"&amp;DEC2HEX(AO78,2)</f>
        <v>0xC0</v>
      </c>
    </row>
    <row r="80" spans="9:46">
      <c r="I80" s="122" t="s">
        <v>1825</v>
      </c>
      <c r="J80" s="122">
        <v>1</v>
      </c>
      <c r="K80" s="122">
        <v>1</v>
      </c>
      <c r="L80" s="122">
        <v>1</v>
      </c>
      <c r="M80" s="122">
        <v>1</v>
      </c>
      <c r="N80" s="122">
        <v>1</v>
      </c>
      <c r="O80" s="122">
        <v>1</v>
      </c>
      <c r="P80" s="122">
        <v>1</v>
      </c>
      <c r="Q80" s="122">
        <v>1</v>
      </c>
      <c r="R80" s="122">
        <v>1</v>
      </c>
      <c r="S80" s="122">
        <v>1</v>
      </c>
      <c r="T80" s="122">
        <v>1</v>
      </c>
      <c r="U80" s="122">
        <v>1</v>
      </c>
      <c r="V80" s="122">
        <v>1</v>
      </c>
      <c r="W80" s="122">
        <v>1</v>
      </c>
      <c r="X80" s="122">
        <v>1</v>
      </c>
      <c r="Y80" s="122">
        <v>1</v>
      </c>
      <c r="Z80" s="122">
        <v>1</v>
      </c>
      <c r="AA80" s="122">
        <v>1</v>
      </c>
      <c r="AB80" s="122">
        <v>1</v>
      </c>
      <c r="AC80" s="122">
        <v>1</v>
      </c>
      <c r="AD80" s="122">
        <v>1</v>
      </c>
      <c r="AE80" s="122">
        <v>1</v>
      </c>
      <c r="AF80" s="122">
        <v>1</v>
      </c>
      <c r="AG80" s="122">
        <v>1</v>
      </c>
      <c r="AH80" s="122">
        <v>1</v>
      </c>
      <c r="AI80" s="122">
        <v>1</v>
      </c>
      <c r="AJ80" s="122">
        <v>1</v>
      </c>
      <c r="AK80" s="122">
        <v>1</v>
      </c>
      <c r="AL80" s="122">
        <v>1</v>
      </c>
      <c r="AM80" s="122">
        <v>1</v>
      </c>
      <c r="AN80" s="199">
        <v>1</v>
      </c>
      <c r="AO80" s="122">
        <v>1</v>
      </c>
    </row>
    <row r="81" spans="9:46">
      <c r="Q81" s="122" t="str">
        <f>LOWER(BIN2HEX(J80&amp;K80&amp;L80&amp;M80&amp;N80&amp;O80&amp;P80&amp;Q80,2))</f>
        <v>ff</v>
      </c>
      <c r="Y81" s="122" t="str">
        <f>LOWER(BIN2HEX(R80&amp;S80&amp;T80&amp;U80&amp;V80&amp;W80&amp;X80&amp;Y80,2))</f>
        <v>ff</v>
      </c>
      <c r="AG81" s="122" t="str">
        <f>LOWER(BIN2HEX(Z80&amp;AA80&amp;AB80&amp;AC80&amp;AD80&amp;AE80&amp;AF80&amp;AG80,2))</f>
        <v>ff</v>
      </c>
      <c r="AO81" s="122" t="str">
        <f>LOWER(BIN2HEX(AH80&amp;AI80&amp;AJ80&amp;AK80&amp;AL80&amp;AM80&amp;AN80&amp;AO80,2))</f>
        <v>ff</v>
      </c>
      <c r="AQ81" s="122" t="str">
        <f>"(U4)0x"&amp;Q81&amp;Y81&amp;AG81&amp;AO81&amp;"U,"</f>
        <v>(U4)0xffffffffU,</v>
      </c>
    </row>
    <row r="82" spans="9:46">
      <c r="I82" s="122" t="s">
        <v>1826</v>
      </c>
      <c r="J82" s="146">
        <v>0</v>
      </c>
      <c r="K82" s="146">
        <v>0</v>
      </c>
      <c r="L82" s="146">
        <v>0</v>
      </c>
      <c r="M82" s="146">
        <v>0</v>
      </c>
      <c r="N82" s="146">
        <v>0</v>
      </c>
      <c r="O82" s="146">
        <v>0</v>
      </c>
      <c r="P82" s="146">
        <v>0</v>
      </c>
      <c r="Q82" s="146">
        <v>0</v>
      </c>
      <c r="R82" s="146">
        <v>0</v>
      </c>
      <c r="S82" s="146">
        <v>0</v>
      </c>
      <c r="T82" s="146">
        <v>0</v>
      </c>
      <c r="U82" s="146">
        <v>0</v>
      </c>
      <c r="V82" s="146">
        <v>0</v>
      </c>
      <c r="W82" s="146">
        <v>0</v>
      </c>
      <c r="X82" s="146">
        <v>0</v>
      </c>
      <c r="Y82" s="146">
        <v>0</v>
      </c>
      <c r="Z82" s="146">
        <v>0</v>
      </c>
      <c r="AA82" s="146">
        <v>0</v>
      </c>
      <c r="AB82" s="146">
        <v>0</v>
      </c>
      <c r="AC82" s="146">
        <v>0</v>
      </c>
      <c r="AD82" s="146">
        <v>0</v>
      </c>
      <c r="AE82" s="146">
        <v>0</v>
      </c>
      <c r="AF82" s="146">
        <v>0</v>
      </c>
      <c r="AG82" s="146">
        <v>0</v>
      </c>
      <c r="AH82" s="146">
        <v>0</v>
      </c>
      <c r="AI82" s="146">
        <v>0</v>
      </c>
      <c r="AJ82" s="146">
        <v>0</v>
      </c>
      <c r="AK82" s="146">
        <v>0</v>
      </c>
      <c r="AL82" s="146">
        <v>0</v>
      </c>
      <c r="AM82" s="146">
        <v>0</v>
      </c>
      <c r="AN82" s="200">
        <v>0</v>
      </c>
      <c r="AO82" s="146">
        <v>0</v>
      </c>
    </row>
    <row r="83" spans="9:46">
      <c r="Q83" s="122" t="str">
        <f>LOWER(BIN2HEX(J82&amp;K82&amp;L82&amp;M82&amp;N82&amp;O82&amp;P82&amp;Q82,2))</f>
        <v>00</v>
      </c>
      <c r="Y83" s="122" t="str">
        <f>LOWER(BIN2HEX(R82&amp;S82&amp;T82&amp;U82&amp;V82&amp;W82&amp;X82&amp;Y82,2))</f>
        <v>00</v>
      </c>
      <c r="AG83" s="122" t="str">
        <f>LOWER(BIN2HEX(Z82&amp;AA82&amp;AB82&amp;AC82&amp;AD82&amp;AE82&amp;AF82&amp;AG82,2))</f>
        <v>00</v>
      </c>
      <c r="AO83" s="122" t="str">
        <f>LOWER(BIN2HEX(AH82&amp;AI82&amp;AJ82&amp;AK82&amp;AL82&amp;AM82&amp;AN82&amp;AO82,2))</f>
        <v>00</v>
      </c>
      <c r="AR83" s="122" t="str">
        <f>"(U4)0x"&amp;Q83&amp;Y83&amp;AG83&amp;AO83&amp;"U,"</f>
        <v>(U4)0x00000000U,</v>
      </c>
    </row>
    <row r="84" spans="9:46">
      <c r="I84" s="122" t="s">
        <v>1827</v>
      </c>
      <c r="J84" s="146">
        <v>0</v>
      </c>
      <c r="K84" s="146">
        <v>0</v>
      </c>
      <c r="L84" s="146">
        <v>0</v>
      </c>
      <c r="M84" s="146">
        <v>0</v>
      </c>
      <c r="N84" s="146">
        <v>0</v>
      </c>
      <c r="O84" s="146">
        <v>0</v>
      </c>
      <c r="P84" s="146">
        <v>0</v>
      </c>
      <c r="Q84" s="146">
        <v>0</v>
      </c>
      <c r="R84" s="146">
        <v>0</v>
      </c>
      <c r="S84" s="146">
        <v>0</v>
      </c>
      <c r="T84" s="146">
        <v>0</v>
      </c>
      <c r="U84" s="146">
        <v>0</v>
      </c>
      <c r="V84" s="146">
        <v>0</v>
      </c>
      <c r="W84" s="146">
        <v>0</v>
      </c>
      <c r="X84" s="146">
        <v>0</v>
      </c>
      <c r="Y84" s="146">
        <v>0</v>
      </c>
      <c r="Z84" s="146">
        <v>0</v>
      </c>
      <c r="AA84" s="146">
        <v>0</v>
      </c>
      <c r="AB84" s="146">
        <v>0</v>
      </c>
      <c r="AC84" s="146">
        <v>0</v>
      </c>
      <c r="AD84" s="146">
        <v>0</v>
      </c>
      <c r="AE84" s="146">
        <v>0</v>
      </c>
      <c r="AF84" s="146">
        <v>0</v>
      </c>
      <c r="AG84" s="146">
        <v>0</v>
      </c>
      <c r="AH84" s="146">
        <v>0</v>
      </c>
      <c r="AI84" s="146">
        <v>0</v>
      </c>
      <c r="AJ84" s="146">
        <v>0</v>
      </c>
      <c r="AK84" s="146">
        <v>0</v>
      </c>
      <c r="AL84" s="146">
        <v>0</v>
      </c>
      <c r="AM84" s="146">
        <v>0</v>
      </c>
      <c r="AN84" s="146">
        <v>0</v>
      </c>
      <c r="AO84" s="146">
        <v>0</v>
      </c>
    </row>
    <row r="85" spans="9:46">
      <c r="Q85" s="122" t="str">
        <f>LOWER(BIN2HEX(J84&amp;K84&amp;L84&amp;M84&amp;N84&amp;O84&amp;P84&amp;Q84,2))</f>
        <v>00</v>
      </c>
      <c r="Y85" s="122" t="str">
        <f>LOWER(BIN2HEX(R84&amp;S84&amp;T84&amp;U84&amp;V84&amp;W84&amp;X84&amp;Y84,2))</f>
        <v>00</v>
      </c>
      <c r="AG85" s="122" t="str">
        <f>LOWER(BIN2HEX(Z84&amp;AA84&amp;AB84&amp;AC84&amp;AD84&amp;AE84&amp;AF84&amp;AG84,2))</f>
        <v>00</v>
      </c>
      <c r="AO85" s="122" t="str">
        <f>LOWER(BIN2HEX(AH84&amp;AI84&amp;AJ84&amp;AK84&amp;AL84&amp;AM84&amp;AN84&amp;AO84,2))</f>
        <v>00</v>
      </c>
      <c r="AS85" s="122" t="str">
        <f>"(U4)0x"&amp;Q85&amp;Y85&amp;AG85&amp;AO85&amp;"U,"</f>
        <v>(U4)0x00000000U,</v>
      </c>
      <c r="AT85" s="122"/>
    </row>
    <row r="86" spans="9:46">
      <c r="I86" s="122" t="s">
        <v>1828</v>
      </c>
      <c r="J86" s="146">
        <v>0</v>
      </c>
      <c r="K86" s="146">
        <v>0</v>
      </c>
      <c r="L86" s="146">
        <v>0</v>
      </c>
      <c r="M86" s="146">
        <v>0</v>
      </c>
      <c r="N86" s="146">
        <v>0</v>
      </c>
      <c r="O86" s="146">
        <v>0</v>
      </c>
      <c r="P86" s="146">
        <v>0</v>
      </c>
      <c r="Q86" s="146">
        <v>0</v>
      </c>
      <c r="R86" s="146">
        <v>0</v>
      </c>
      <c r="S86" s="146">
        <v>0</v>
      </c>
      <c r="T86" s="146">
        <v>0</v>
      </c>
      <c r="U86" s="146">
        <v>0</v>
      </c>
      <c r="V86" s="146">
        <v>0</v>
      </c>
      <c r="W86" s="146">
        <v>0</v>
      </c>
      <c r="X86" s="146">
        <v>0</v>
      </c>
      <c r="Y86" s="146">
        <v>0</v>
      </c>
      <c r="Z86" s="146">
        <v>0</v>
      </c>
      <c r="AA86" s="146">
        <v>0</v>
      </c>
      <c r="AB86" s="146">
        <v>0</v>
      </c>
      <c r="AC86" s="146">
        <v>0</v>
      </c>
      <c r="AD86" s="146">
        <v>0</v>
      </c>
      <c r="AE86" s="146">
        <v>0</v>
      </c>
      <c r="AF86" s="146">
        <v>0</v>
      </c>
      <c r="AG86" s="146">
        <v>0</v>
      </c>
      <c r="AH86" s="146">
        <v>0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>
        <v>0</v>
      </c>
    </row>
    <row r="87" spans="9:46">
      <c r="Q87" s="122" t="str">
        <f>LOWER(BIN2HEX(J86&amp;K86&amp;L86&amp;M86&amp;N86&amp;O86&amp;P86&amp;Q86,2))</f>
        <v>00</v>
      </c>
      <c r="Y87" s="122" t="str">
        <f>LOWER(BIN2HEX(R86&amp;S86&amp;T86&amp;U86&amp;V86&amp;W86&amp;X86&amp;Y86,2))</f>
        <v>00</v>
      </c>
      <c r="AG87" s="122" t="str">
        <f>LOWER(BIN2HEX(Z86&amp;AA86&amp;AB86&amp;AC86&amp;AD86&amp;AE86&amp;AF86&amp;AG86,2))</f>
        <v>00</v>
      </c>
      <c r="AO87" s="122" t="str">
        <f>LOWER(BIN2HEX(AH86&amp;AI86&amp;AJ86&amp;AK86&amp;AL86&amp;AM86&amp;AN86&amp;AO86,2))</f>
        <v>00</v>
      </c>
      <c r="AS87" s="122"/>
      <c r="AT87" s="122" t="str">
        <f>"(U4)0x"&amp;Q87&amp;Y87&amp;AG87&amp;AO87&amp;"U,"</f>
        <v>(U4)0x00000000U,</v>
      </c>
    </row>
    <row r="89" spans="9:46">
      <c r="I89" s="122" t="s">
        <v>1829</v>
      </c>
      <c r="J89" s="122">
        <f t="shared" ref="J89:AM89" si="16">K89+1</f>
        <v>255</v>
      </c>
      <c r="K89" s="122">
        <f t="shared" si="16"/>
        <v>254</v>
      </c>
      <c r="L89" s="122">
        <f t="shared" si="16"/>
        <v>253</v>
      </c>
      <c r="M89" s="122">
        <f t="shared" si="16"/>
        <v>252</v>
      </c>
      <c r="N89" s="122">
        <f t="shared" si="16"/>
        <v>251</v>
      </c>
      <c r="O89" s="122">
        <f t="shared" si="16"/>
        <v>250</v>
      </c>
      <c r="P89" s="122">
        <f t="shared" si="16"/>
        <v>249</v>
      </c>
      <c r="Q89" s="122">
        <f t="shared" si="16"/>
        <v>248</v>
      </c>
      <c r="R89" s="122">
        <f t="shared" si="16"/>
        <v>247</v>
      </c>
      <c r="S89" s="122">
        <f t="shared" si="16"/>
        <v>246</v>
      </c>
      <c r="T89" s="122">
        <f t="shared" si="16"/>
        <v>245</v>
      </c>
      <c r="U89" s="122">
        <f t="shared" si="16"/>
        <v>244</v>
      </c>
      <c r="V89" s="122">
        <f t="shared" si="16"/>
        <v>243</v>
      </c>
      <c r="W89" s="122">
        <f t="shared" si="16"/>
        <v>242</v>
      </c>
      <c r="X89" s="122">
        <f t="shared" si="16"/>
        <v>241</v>
      </c>
      <c r="Y89" s="122">
        <f t="shared" si="16"/>
        <v>240</v>
      </c>
      <c r="Z89" s="122">
        <f t="shared" si="16"/>
        <v>239</v>
      </c>
      <c r="AA89" s="122">
        <f t="shared" si="16"/>
        <v>238</v>
      </c>
      <c r="AB89" s="122">
        <f t="shared" si="16"/>
        <v>237</v>
      </c>
      <c r="AC89" s="122">
        <f t="shared" si="16"/>
        <v>236</v>
      </c>
      <c r="AD89" s="122">
        <f t="shared" si="16"/>
        <v>235</v>
      </c>
      <c r="AE89" s="122">
        <f t="shared" si="16"/>
        <v>234</v>
      </c>
      <c r="AF89" s="122">
        <f t="shared" si="16"/>
        <v>233</v>
      </c>
      <c r="AG89" s="122">
        <f t="shared" si="16"/>
        <v>232</v>
      </c>
      <c r="AH89" s="122">
        <f t="shared" si="16"/>
        <v>231</v>
      </c>
      <c r="AI89" s="122">
        <f t="shared" si="16"/>
        <v>230</v>
      </c>
      <c r="AJ89" s="122">
        <f t="shared" si="16"/>
        <v>229</v>
      </c>
      <c r="AK89" s="122">
        <f t="shared" si="16"/>
        <v>228</v>
      </c>
      <c r="AL89" s="122">
        <f t="shared" si="16"/>
        <v>227</v>
      </c>
      <c r="AM89" s="122">
        <f t="shared" si="16"/>
        <v>226</v>
      </c>
      <c r="AN89" s="122">
        <f>AO89+1</f>
        <v>225</v>
      </c>
      <c r="AO89" s="122">
        <v>224</v>
      </c>
    </row>
    <row r="90" spans="9:46" ht="32.25">
      <c r="I90" s="122" t="s">
        <v>1831</v>
      </c>
      <c r="J90" s="143" t="str">
        <f t="shared" ref="J90:AN90" si="17">"0x"&amp;DEC2HEX(J89,2)</f>
        <v>0xFF</v>
      </c>
      <c r="K90" s="143" t="str">
        <f t="shared" si="17"/>
        <v>0xFE</v>
      </c>
      <c r="L90" s="143" t="str">
        <f t="shared" si="17"/>
        <v>0xFD</v>
      </c>
      <c r="M90" s="143" t="str">
        <f t="shared" si="17"/>
        <v>0xFC</v>
      </c>
      <c r="N90" s="143" t="str">
        <f t="shared" si="17"/>
        <v>0xFB</v>
      </c>
      <c r="O90" s="143" t="str">
        <f t="shared" si="17"/>
        <v>0xFA</v>
      </c>
      <c r="P90" s="143" t="str">
        <f t="shared" si="17"/>
        <v>0xF9</v>
      </c>
      <c r="Q90" s="143" t="str">
        <f t="shared" si="17"/>
        <v>0xF8</v>
      </c>
      <c r="R90" s="143" t="str">
        <f t="shared" si="17"/>
        <v>0xF7</v>
      </c>
      <c r="S90" s="143" t="str">
        <f t="shared" si="17"/>
        <v>0xF6</v>
      </c>
      <c r="T90" s="143" t="str">
        <f t="shared" si="17"/>
        <v>0xF5</v>
      </c>
      <c r="U90" s="143" t="str">
        <f t="shared" si="17"/>
        <v>0xF4</v>
      </c>
      <c r="V90" s="143" t="str">
        <f t="shared" si="17"/>
        <v>0xF3</v>
      </c>
      <c r="W90" s="143" t="str">
        <f t="shared" si="17"/>
        <v>0xF2</v>
      </c>
      <c r="X90" s="143" t="str">
        <f t="shared" si="17"/>
        <v>0xF1</v>
      </c>
      <c r="Y90" s="143" t="str">
        <f t="shared" si="17"/>
        <v>0xF0</v>
      </c>
      <c r="Z90" s="143" t="str">
        <f t="shared" si="17"/>
        <v>0xEF</v>
      </c>
      <c r="AA90" s="143" t="str">
        <f t="shared" si="17"/>
        <v>0xEE</v>
      </c>
      <c r="AB90" s="143" t="str">
        <f t="shared" si="17"/>
        <v>0xED</v>
      </c>
      <c r="AC90" s="143" t="str">
        <f t="shared" si="17"/>
        <v>0xEC</v>
      </c>
      <c r="AD90" s="143" t="str">
        <f t="shared" si="17"/>
        <v>0xEB</v>
      </c>
      <c r="AE90" s="143" t="str">
        <f t="shared" si="17"/>
        <v>0xEA</v>
      </c>
      <c r="AF90" s="143" t="str">
        <f t="shared" si="17"/>
        <v>0xE9</v>
      </c>
      <c r="AG90" s="143" t="str">
        <f t="shared" si="17"/>
        <v>0xE8</v>
      </c>
      <c r="AH90" s="143" t="str">
        <f t="shared" si="17"/>
        <v>0xE7</v>
      </c>
      <c r="AI90" s="143" t="str">
        <f t="shared" si="17"/>
        <v>0xE6</v>
      </c>
      <c r="AJ90" s="143" t="str">
        <f t="shared" si="17"/>
        <v>0xE5</v>
      </c>
      <c r="AK90" s="143" t="str">
        <f t="shared" si="17"/>
        <v>0xE4</v>
      </c>
      <c r="AL90" s="143" t="str">
        <f t="shared" si="17"/>
        <v>0xE3</v>
      </c>
      <c r="AM90" s="143" t="str">
        <f t="shared" si="17"/>
        <v>0xE2</v>
      </c>
      <c r="AN90" s="143" t="str">
        <f t="shared" si="17"/>
        <v>0xE1</v>
      </c>
      <c r="AO90" s="143" t="str">
        <f>"0x"&amp;DEC2HEX(AO89,2)</f>
        <v>0xE0</v>
      </c>
    </row>
    <row r="91" spans="9:46">
      <c r="I91" s="122" t="s">
        <v>1825</v>
      </c>
      <c r="J91" s="122">
        <v>1</v>
      </c>
      <c r="K91" s="122">
        <v>1</v>
      </c>
      <c r="L91" s="122">
        <v>1</v>
      </c>
      <c r="M91" s="122">
        <v>1</v>
      </c>
      <c r="N91" s="122">
        <v>1</v>
      </c>
      <c r="O91" s="122">
        <v>1</v>
      </c>
      <c r="P91" s="122">
        <v>1</v>
      </c>
      <c r="Q91" s="122">
        <v>1</v>
      </c>
      <c r="R91" s="122">
        <v>1</v>
      </c>
      <c r="S91" s="122">
        <v>1</v>
      </c>
      <c r="T91" s="122">
        <v>1</v>
      </c>
      <c r="U91" s="122">
        <v>1</v>
      </c>
      <c r="V91" s="122">
        <v>1</v>
      </c>
      <c r="W91" s="122">
        <v>1</v>
      </c>
      <c r="X91" s="122">
        <v>1</v>
      </c>
      <c r="Y91" s="122">
        <v>1</v>
      </c>
      <c r="Z91" s="122">
        <v>1</v>
      </c>
      <c r="AA91" s="122">
        <v>1</v>
      </c>
      <c r="AB91" s="146">
        <v>0</v>
      </c>
      <c r="AC91" s="122">
        <v>1</v>
      </c>
      <c r="AD91" s="146">
        <v>0</v>
      </c>
      <c r="AE91" s="122">
        <v>1</v>
      </c>
      <c r="AF91" s="146">
        <v>0</v>
      </c>
      <c r="AG91" s="122">
        <v>1</v>
      </c>
      <c r="AH91" s="146">
        <v>0</v>
      </c>
      <c r="AI91" s="122">
        <v>1</v>
      </c>
      <c r="AJ91" s="146">
        <v>0</v>
      </c>
      <c r="AK91" s="122">
        <v>1</v>
      </c>
      <c r="AL91" s="146">
        <v>0</v>
      </c>
      <c r="AM91" s="122">
        <v>1</v>
      </c>
      <c r="AN91" s="122">
        <v>1</v>
      </c>
      <c r="AO91" s="122">
        <v>1</v>
      </c>
    </row>
    <row r="92" spans="9:46">
      <c r="Q92" s="122" t="str">
        <f>LOWER(BIN2HEX(J91&amp;K91&amp;L91&amp;M91&amp;N91&amp;O91&amp;P91&amp;Q91,2))</f>
        <v>ff</v>
      </c>
      <c r="Y92" s="122" t="str">
        <f>LOWER(BIN2HEX(R91&amp;S91&amp;T91&amp;U91&amp;V91&amp;W91&amp;X91&amp;Y91,2))</f>
        <v>ff</v>
      </c>
      <c r="AG92" s="122" t="str">
        <f>LOWER(BIN2HEX(Z91&amp;AA91&amp;AB91&amp;AC91&amp;AD91&amp;AE91&amp;AF91&amp;AG91,2))</f>
        <v>d5</v>
      </c>
      <c r="AO92" s="122" t="str">
        <f>LOWER(BIN2HEX(AH91&amp;AI91&amp;AJ91&amp;AK91&amp;AL91&amp;AM91&amp;AN91&amp;AO91,2))</f>
        <v>57</v>
      </c>
      <c r="AQ92" s="122" t="str">
        <f>"(U4)0x"&amp;Q92&amp;Y92&amp;AG92&amp;AO92&amp;"U,"</f>
        <v>(U4)0xffffd557U,</v>
      </c>
    </row>
    <row r="93" spans="9:46">
      <c r="I93" s="122" t="s">
        <v>1826</v>
      </c>
      <c r="J93" s="146">
        <v>0</v>
      </c>
      <c r="K93" s="146">
        <v>0</v>
      </c>
      <c r="L93" s="146">
        <v>0</v>
      </c>
      <c r="M93" s="146">
        <v>0</v>
      </c>
      <c r="N93" s="146">
        <v>0</v>
      </c>
      <c r="O93" s="146">
        <v>0</v>
      </c>
      <c r="P93" s="146">
        <v>0</v>
      </c>
      <c r="Q93" s="146">
        <v>0</v>
      </c>
      <c r="R93" s="146">
        <v>0</v>
      </c>
      <c r="S93" s="146">
        <v>0</v>
      </c>
      <c r="T93" s="146">
        <v>0</v>
      </c>
      <c r="U93" s="146">
        <v>0</v>
      </c>
      <c r="V93" s="146">
        <v>0</v>
      </c>
      <c r="W93" s="146">
        <v>0</v>
      </c>
      <c r="X93" s="146">
        <v>0</v>
      </c>
      <c r="Y93" s="146">
        <v>0</v>
      </c>
      <c r="Z93" s="122">
        <v>1</v>
      </c>
      <c r="AA93" s="146">
        <v>0</v>
      </c>
      <c r="AB93" s="122">
        <v>1</v>
      </c>
      <c r="AC93" s="146">
        <v>0</v>
      </c>
      <c r="AD93" s="122">
        <v>1</v>
      </c>
      <c r="AE93" s="146">
        <v>0</v>
      </c>
      <c r="AF93" s="122">
        <v>1</v>
      </c>
      <c r="AG93" s="146">
        <v>0</v>
      </c>
      <c r="AH93" s="122">
        <v>1</v>
      </c>
      <c r="AI93" s="146">
        <v>0</v>
      </c>
      <c r="AJ93" s="122">
        <v>1</v>
      </c>
      <c r="AK93" s="146">
        <v>0</v>
      </c>
      <c r="AL93" s="122">
        <v>1</v>
      </c>
      <c r="AM93" s="146">
        <v>0</v>
      </c>
      <c r="AN93" s="122">
        <v>1</v>
      </c>
      <c r="AO93" s="146">
        <v>0</v>
      </c>
    </row>
    <row r="94" spans="9:46">
      <c r="Q94" s="122" t="str">
        <f>LOWER(BIN2HEX(J93&amp;K93&amp;L93&amp;M93&amp;N93&amp;O93&amp;P93&amp;Q93,2))</f>
        <v>00</v>
      </c>
      <c r="Y94" s="122" t="str">
        <f>LOWER(BIN2HEX(R93&amp;S93&amp;T93&amp;U93&amp;V93&amp;W93&amp;X93&amp;Y93,2))</f>
        <v>00</v>
      </c>
      <c r="AG94" s="122" t="str">
        <f>LOWER(BIN2HEX(Z93&amp;AA93&amp;AB93&amp;AC93&amp;AD93&amp;AE93&amp;AF93&amp;AG93,2))</f>
        <v>aa</v>
      </c>
      <c r="AO94" s="122" t="str">
        <f>LOWER(BIN2HEX(AH93&amp;AI93&amp;AJ93&amp;AK93&amp;AL93&amp;AM93&amp;AN93&amp;AO93,2))</f>
        <v>aa</v>
      </c>
      <c r="AR94" s="122" t="str">
        <f>"(U4)0x"&amp;Q94&amp;Y94&amp;AG94&amp;AO94&amp;"U,"</f>
        <v>(U4)0x0000aaaaU,</v>
      </c>
    </row>
    <row r="95" spans="9:46">
      <c r="I95" s="122" t="s">
        <v>1827</v>
      </c>
      <c r="J95" s="146">
        <v>0</v>
      </c>
      <c r="K95" s="146">
        <v>0</v>
      </c>
      <c r="L95" s="146">
        <v>0</v>
      </c>
      <c r="M95" s="146">
        <v>0</v>
      </c>
      <c r="N95" s="146">
        <v>0</v>
      </c>
      <c r="O95" s="146">
        <v>0</v>
      </c>
      <c r="P95" s="146">
        <v>0</v>
      </c>
      <c r="Q95" s="146">
        <v>0</v>
      </c>
      <c r="R95" s="146">
        <v>0</v>
      </c>
      <c r="S95" s="146">
        <v>0</v>
      </c>
      <c r="T95" s="146">
        <v>0</v>
      </c>
      <c r="U95" s="146">
        <v>0</v>
      </c>
      <c r="V95" s="146">
        <v>0</v>
      </c>
      <c r="W95" s="146">
        <v>0</v>
      </c>
      <c r="X95" s="146">
        <v>0</v>
      </c>
      <c r="Y95" s="146">
        <v>0</v>
      </c>
      <c r="Z95" s="146">
        <v>0</v>
      </c>
      <c r="AA95" s="146">
        <v>0</v>
      </c>
      <c r="AB95" s="146">
        <v>0</v>
      </c>
      <c r="AC95" s="146">
        <v>0</v>
      </c>
      <c r="AD95" s="146">
        <v>0</v>
      </c>
      <c r="AE95" s="146">
        <v>0</v>
      </c>
      <c r="AF95" s="146">
        <v>0</v>
      </c>
      <c r="AG95" s="146">
        <v>0</v>
      </c>
      <c r="AH95" s="146">
        <v>0</v>
      </c>
      <c r="AI95" s="146">
        <v>0</v>
      </c>
      <c r="AJ95" s="146">
        <v>0</v>
      </c>
      <c r="AK95" s="146">
        <v>0</v>
      </c>
      <c r="AL95" s="146">
        <v>0</v>
      </c>
      <c r="AM95" s="146">
        <v>0</v>
      </c>
      <c r="AN95" s="146">
        <v>0</v>
      </c>
      <c r="AO95" s="146">
        <v>0</v>
      </c>
    </row>
    <row r="96" spans="9:46">
      <c r="Q96" s="122" t="str">
        <f>LOWER(BIN2HEX(J95&amp;K95&amp;L95&amp;M95&amp;N95&amp;O95&amp;P95&amp;Q95,2))</f>
        <v>00</v>
      </c>
      <c r="Y96" s="122" t="str">
        <f>LOWER(BIN2HEX(R95&amp;S95&amp;T95&amp;U95&amp;V95&amp;W95&amp;X95&amp;Y95,2))</f>
        <v>00</v>
      </c>
      <c r="AG96" s="122" t="str">
        <f>LOWER(BIN2HEX(Z95&amp;AA95&amp;AB95&amp;AC95&amp;AD95&amp;AE95&amp;AF95&amp;AG95,2))</f>
        <v>00</v>
      </c>
      <c r="AO96" s="122" t="str">
        <f>LOWER(BIN2HEX(AH95&amp;AI95&amp;AJ95&amp;AK95&amp;AL95&amp;AM95&amp;AN95&amp;AO95,2))</f>
        <v>00</v>
      </c>
      <c r="AS96" s="122" t="str">
        <f>"(U4)0x"&amp;Q96&amp;Y96&amp;AG96&amp;AO96&amp;"U,"</f>
        <v>(U4)0x00000000U,</v>
      </c>
      <c r="AT96" s="122"/>
    </row>
    <row r="97" spans="9:46">
      <c r="I97" s="122" t="s">
        <v>1828</v>
      </c>
      <c r="J97" s="146">
        <v>0</v>
      </c>
      <c r="K97" s="146">
        <v>0</v>
      </c>
      <c r="L97" s="146">
        <v>0</v>
      </c>
      <c r="M97" s="146">
        <v>0</v>
      </c>
      <c r="N97" s="146">
        <v>0</v>
      </c>
      <c r="O97" s="146">
        <v>0</v>
      </c>
      <c r="P97" s="146">
        <v>0</v>
      </c>
      <c r="Q97" s="146">
        <v>0</v>
      </c>
      <c r="R97" s="146">
        <v>0</v>
      </c>
      <c r="S97" s="146">
        <v>0</v>
      </c>
      <c r="T97" s="146">
        <v>0</v>
      </c>
      <c r="U97" s="146">
        <v>0</v>
      </c>
      <c r="V97" s="146">
        <v>0</v>
      </c>
      <c r="W97" s="146">
        <v>0</v>
      </c>
      <c r="X97" s="146">
        <v>0</v>
      </c>
      <c r="Y97" s="146">
        <v>0</v>
      </c>
      <c r="Z97" s="146">
        <v>0</v>
      </c>
      <c r="AA97" s="146">
        <v>0</v>
      </c>
      <c r="AB97" s="146">
        <v>0</v>
      </c>
      <c r="AC97" s="146">
        <v>0</v>
      </c>
      <c r="AD97" s="146">
        <v>0</v>
      </c>
      <c r="AE97" s="146">
        <v>0</v>
      </c>
      <c r="AF97" s="146">
        <v>0</v>
      </c>
      <c r="AG97" s="146">
        <v>0</v>
      </c>
      <c r="AH97" s="146">
        <v>0</v>
      </c>
      <c r="AI97" s="146">
        <v>0</v>
      </c>
      <c r="AJ97" s="146">
        <v>0</v>
      </c>
      <c r="AK97" s="146">
        <v>0</v>
      </c>
      <c r="AL97" s="146">
        <v>0</v>
      </c>
      <c r="AM97" s="146">
        <v>0</v>
      </c>
      <c r="AN97" s="122">
        <v>1</v>
      </c>
      <c r="AO97" s="146">
        <v>0</v>
      </c>
    </row>
    <row r="98" spans="9:46">
      <c r="Q98" s="122" t="str">
        <f>LOWER(BIN2HEX(J97&amp;K97&amp;L97&amp;M97&amp;N97&amp;O97&amp;P97&amp;Q97,2))</f>
        <v>00</v>
      </c>
      <c r="Y98" s="122" t="str">
        <f>LOWER(BIN2HEX(R97&amp;S97&amp;T97&amp;U97&amp;V97&amp;W97&amp;X97&amp;Y97,2))</f>
        <v>00</v>
      </c>
      <c r="AG98" s="122" t="str">
        <f>LOWER(BIN2HEX(Z97&amp;AA97&amp;AB97&amp;AC97&amp;AD97&amp;AE97&amp;AF97&amp;AG97,2))</f>
        <v>00</v>
      </c>
      <c r="AO98" s="122" t="str">
        <f>LOWER(BIN2HEX(AH97&amp;AI97&amp;AJ97&amp;AK97&amp;AL97&amp;AM97&amp;AN97&amp;AO97,2))</f>
        <v>02</v>
      </c>
      <c r="AS98" s="122"/>
      <c r="AT98" s="122" t="str">
        <f>"(U4)0x"&amp;Q98&amp;Y98&amp;AG98&amp;AO98&amp;"U,"</f>
        <v>(U4)0x00000002U,</v>
      </c>
    </row>
    <row r="201" spans="47:47">
      <c r="AU201" s="121" t="s">
        <v>1838</v>
      </c>
    </row>
    <row r="225" spans="46:46">
      <c r="AT225" s="158"/>
    </row>
  </sheetData>
  <autoFilter ref="I11:AR94" xr:uid="{00000000-0001-0000-0000-000000000000}"/>
  <mergeCells count="3">
    <mergeCell ref="B2:E2"/>
    <mergeCell ref="F2:F3"/>
    <mergeCell ref="G2:G3"/>
  </mergeCells>
  <phoneticPr fontId="4"/>
  <hyperlinks>
    <hyperlink ref="B26" r:id="rId1" xr:uid="{3623DC65-7D42-48AF-93D1-AA90DBB06C2A}"/>
  </hyperlinks>
  <pageMargins left="0.7" right="0.7" top="0.75" bottom="0.75" header="0.3" footer="0.3"/>
  <headerFooter>
    <oddHeader>&amp;C&amp;"Calibri"&amp;10&amp;KFF0000 CONFIDENTIAL&amp;1#_x000D_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6700A-8B63-4D30-B086-FCD3017A2EB7}">
  <sheetPr codeName="Sheet16"/>
  <dimension ref="A1:J93"/>
  <sheetViews>
    <sheetView workbookViewId="0">
      <selection activeCell="C4" sqref="C4"/>
    </sheetView>
  </sheetViews>
  <sheetFormatPr defaultColWidth="9" defaultRowHeight="13.5"/>
  <cols>
    <col min="1" max="1" width="106.875" style="6" bestFit="1" customWidth="1"/>
    <col min="2" max="2" width="9" style="6"/>
    <col min="3" max="3" width="9.625" style="6" bestFit="1" customWidth="1"/>
    <col min="4" max="4" width="3.375" style="6" bestFit="1" customWidth="1"/>
    <col min="5" max="5" width="11.25" style="6" bestFit="1" customWidth="1"/>
    <col min="6" max="6" width="8.625" style="6" bestFit="1" customWidth="1"/>
    <col min="7" max="7" width="9.625" style="6" bestFit="1" customWidth="1"/>
    <col min="8" max="8" width="3.375" style="6" bestFit="1" customWidth="1"/>
    <col min="9" max="9" width="7.375" style="6" bestFit="1" customWidth="1"/>
    <col min="10" max="10" width="5.125" style="6" bestFit="1" customWidth="1"/>
    <col min="11" max="11" width="5.125" style="5" bestFit="1" customWidth="1"/>
    <col min="12" max="12" width="6.25" style="5" bestFit="1" customWidth="1"/>
    <col min="13" max="15" width="7.375" style="5" bestFit="1" customWidth="1"/>
    <col min="16" max="18" width="5.125" style="5" bestFit="1" customWidth="1"/>
    <col min="19" max="16384" width="9" style="5"/>
  </cols>
  <sheetData>
    <row r="1" spans="1:10">
      <c r="A1" s="113"/>
    </row>
    <row r="4" spans="1:10">
      <c r="A4" s="110" t="s">
        <v>1840</v>
      </c>
      <c r="C4" s="6" t="s">
        <v>275</v>
      </c>
      <c r="D4" s="6">
        <v>0</v>
      </c>
      <c r="E4" s="6" t="s">
        <v>1841</v>
      </c>
      <c r="F4" s="6" t="s">
        <v>1842</v>
      </c>
      <c r="G4" s="6" t="s">
        <v>275</v>
      </c>
      <c r="H4" s="6" t="s">
        <v>1843</v>
      </c>
      <c r="I4" s="6" t="s">
        <v>1844</v>
      </c>
      <c r="J4" s="6" t="s">
        <v>1845</v>
      </c>
    </row>
    <row r="5" spans="1:10">
      <c r="A5" s="110" t="s">
        <v>1846</v>
      </c>
      <c r="C5" s="6" t="s">
        <v>417</v>
      </c>
      <c r="D5" s="6">
        <v>1</v>
      </c>
      <c r="E5" s="6" t="s">
        <v>1841</v>
      </c>
      <c r="F5" s="6" t="s">
        <v>1842</v>
      </c>
      <c r="G5" s="6" t="s">
        <v>417</v>
      </c>
      <c r="H5" s="6" t="s">
        <v>1843</v>
      </c>
      <c r="I5" s="6" t="s">
        <v>1844</v>
      </c>
      <c r="J5" s="6" t="s">
        <v>1845</v>
      </c>
    </row>
    <row r="6" spans="1:10">
      <c r="A6" s="110" t="s">
        <v>1847</v>
      </c>
      <c r="C6" s="6" t="s">
        <v>251</v>
      </c>
      <c r="D6" s="6">
        <v>2</v>
      </c>
      <c r="E6" s="6" t="s">
        <v>1841</v>
      </c>
      <c r="F6" s="6" t="s">
        <v>1842</v>
      </c>
      <c r="G6" s="6" t="s">
        <v>251</v>
      </c>
      <c r="H6" s="6" t="s">
        <v>1843</v>
      </c>
      <c r="I6" s="6" t="s">
        <v>1844</v>
      </c>
      <c r="J6" s="6" t="s">
        <v>1845</v>
      </c>
    </row>
    <row r="7" spans="1:10">
      <c r="A7" s="110" t="s">
        <v>1848</v>
      </c>
      <c r="C7" s="6" t="s">
        <v>422</v>
      </c>
      <c r="D7" s="6">
        <v>3</v>
      </c>
      <c r="E7" s="6" t="s">
        <v>1841</v>
      </c>
      <c r="F7" s="6" t="s">
        <v>1842</v>
      </c>
      <c r="G7" s="6" t="s">
        <v>422</v>
      </c>
      <c r="H7" s="6" t="s">
        <v>1843</v>
      </c>
      <c r="I7" s="6" t="s">
        <v>1844</v>
      </c>
      <c r="J7" s="6" t="s">
        <v>1845</v>
      </c>
    </row>
    <row r="8" spans="1:10">
      <c r="A8" s="110" t="s">
        <v>1849</v>
      </c>
      <c r="C8" s="6" t="s">
        <v>428</v>
      </c>
      <c r="D8" s="6">
        <v>4</v>
      </c>
      <c r="E8" s="6" t="s">
        <v>1841</v>
      </c>
      <c r="F8" s="6" t="s">
        <v>1842</v>
      </c>
      <c r="G8" s="6" t="s">
        <v>428</v>
      </c>
      <c r="H8" s="6" t="s">
        <v>1843</v>
      </c>
      <c r="I8" s="6" t="s">
        <v>1844</v>
      </c>
      <c r="J8" s="6" t="s">
        <v>1845</v>
      </c>
    </row>
    <row r="9" spans="1:10">
      <c r="A9" s="110" t="s">
        <v>1850</v>
      </c>
      <c r="C9" s="6" t="s">
        <v>431</v>
      </c>
      <c r="D9" s="6">
        <v>5</v>
      </c>
      <c r="E9" s="6" t="s">
        <v>1841</v>
      </c>
      <c r="F9" s="6" t="s">
        <v>1842</v>
      </c>
      <c r="G9" s="6" t="s">
        <v>431</v>
      </c>
      <c r="H9" s="6" t="s">
        <v>1843</v>
      </c>
      <c r="I9" s="6" t="s">
        <v>1844</v>
      </c>
      <c r="J9" s="6" t="s">
        <v>1845</v>
      </c>
    </row>
    <row r="10" spans="1:10">
      <c r="A10" s="110" t="s">
        <v>1851</v>
      </c>
      <c r="C10" s="6" t="s">
        <v>433</v>
      </c>
      <c r="D10" s="6">
        <v>6</v>
      </c>
      <c r="E10" s="6" t="s">
        <v>1841</v>
      </c>
      <c r="F10" s="6" t="s">
        <v>1842</v>
      </c>
      <c r="G10" s="6" t="s">
        <v>433</v>
      </c>
      <c r="H10" s="6" t="s">
        <v>1843</v>
      </c>
      <c r="I10" s="6" t="s">
        <v>1844</v>
      </c>
      <c r="J10" s="6" t="s">
        <v>1845</v>
      </c>
    </row>
    <row r="11" spans="1:10">
      <c r="A11" s="110" t="s">
        <v>1852</v>
      </c>
      <c r="C11" s="6" t="s">
        <v>436</v>
      </c>
      <c r="D11" s="6">
        <v>7</v>
      </c>
      <c r="E11" s="6" t="s">
        <v>1841</v>
      </c>
      <c r="F11" s="6" t="s">
        <v>1842</v>
      </c>
      <c r="G11" s="6" t="s">
        <v>436</v>
      </c>
      <c r="H11" s="6" t="s">
        <v>1843</v>
      </c>
      <c r="I11" s="6" t="s">
        <v>1844</v>
      </c>
      <c r="J11" s="6" t="s">
        <v>1845</v>
      </c>
    </row>
    <row r="12" spans="1:10">
      <c r="A12" s="110" t="s">
        <v>1853</v>
      </c>
      <c r="C12" s="6" t="s">
        <v>439</v>
      </c>
      <c r="D12" s="6">
        <v>8</v>
      </c>
      <c r="E12" s="6" t="s">
        <v>1841</v>
      </c>
      <c r="F12" s="6" t="s">
        <v>1842</v>
      </c>
      <c r="G12" s="6" t="s">
        <v>439</v>
      </c>
      <c r="H12" s="6" t="s">
        <v>1843</v>
      </c>
      <c r="I12" s="6" t="s">
        <v>1844</v>
      </c>
      <c r="J12" s="6" t="s">
        <v>1845</v>
      </c>
    </row>
    <row r="13" spans="1:10">
      <c r="A13" s="110" t="s">
        <v>1854</v>
      </c>
      <c r="C13" s="6" t="s">
        <v>445</v>
      </c>
      <c r="D13" s="6">
        <v>9</v>
      </c>
      <c r="E13" s="6" t="s">
        <v>1841</v>
      </c>
      <c r="F13" s="6" t="s">
        <v>1842</v>
      </c>
      <c r="G13" s="6" t="s">
        <v>445</v>
      </c>
      <c r="H13" s="6" t="s">
        <v>1843</v>
      </c>
      <c r="I13" s="6" t="s">
        <v>1844</v>
      </c>
      <c r="J13" s="6" t="s">
        <v>1845</v>
      </c>
    </row>
    <row r="14" spans="1:10">
      <c r="A14" s="110" t="s">
        <v>1855</v>
      </c>
      <c r="C14" s="6" t="s">
        <v>456</v>
      </c>
      <c r="D14" s="6">
        <v>10</v>
      </c>
      <c r="E14" s="6" t="s">
        <v>1841</v>
      </c>
      <c r="F14" s="6" t="s">
        <v>1842</v>
      </c>
      <c r="G14" s="6" t="s">
        <v>456</v>
      </c>
      <c r="H14" s="6" t="s">
        <v>1843</v>
      </c>
      <c r="I14" s="6" t="s">
        <v>1844</v>
      </c>
      <c r="J14" s="6" t="s">
        <v>1845</v>
      </c>
    </row>
    <row r="15" spans="1:10">
      <c r="A15" s="110" t="s">
        <v>1856</v>
      </c>
      <c r="C15" s="6" t="s">
        <v>458</v>
      </c>
      <c r="D15" s="6">
        <v>11</v>
      </c>
      <c r="E15" s="6" t="s">
        <v>1841</v>
      </c>
      <c r="F15" s="6" t="s">
        <v>1842</v>
      </c>
      <c r="G15" s="6" t="s">
        <v>458</v>
      </c>
      <c r="H15" s="6" t="s">
        <v>1843</v>
      </c>
      <c r="I15" s="6" t="s">
        <v>1844</v>
      </c>
      <c r="J15" s="6" t="s">
        <v>1845</v>
      </c>
    </row>
    <row r="16" spans="1:10">
      <c r="A16" s="110" t="s">
        <v>1857</v>
      </c>
      <c r="C16" s="6" t="s">
        <v>466</v>
      </c>
      <c r="D16" s="6">
        <v>12</v>
      </c>
      <c r="E16" s="6" t="s">
        <v>1841</v>
      </c>
      <c r="F16" s="6" t="s">
        <v>1842</v>
      </c>
      <c r="G16" s="6" t="s">
        <v>466</v>
      </c>
      <c r="H16" s="6" t="s">
        <v>1843</v>
      </c>
      <c r="I16" s="6" t="s">
        <v>1844</v>
      </c>
      <c r="J16" s="6" t="s">
        <v>1845</v>
      </c>
    </row>
    <row r="17" spans="1:10">
      <c r="A17" s="110" t="s">
        <v>1858</v>
      </c>
      <c r="C17" s="6" t="s">
        <v>469</v>
      </c>
      <c r="D17" s="6">
        <v>13</v>
      </c>
      <c r="E17" s="6" t="s">
        <v>1841</v>
      </c>
      <c r="F17" s="6" t="s">
        <v>1842</v>
      </c>
      <c r="G17" s="6" t="s">
        <v>469</v>
      </c>
      <c r="H17" s="6" t="s">
        <v>1843</v>
      </c>
      <c r="I17" s="6" t="s">
        <v>1844</v>
      </c>
      <c r="J17" s="6" t="s">
        <v>1845</v>
      </c>
    </row>
    <row r="18" spans="1:10">
      <c r="A18" s="110" t="s">
        <v>1859</v>
      </c>
      <c r="C18" s="6" t="s">
        <v>478</v>
      </c>
      <c r="D18" s="6">
        <v>14</v>
      </c>
      <c r="E18" s="6" t="s">
        <v>1841</v>
      </c>
      <c r="F18" s="6" t="s">
        <v>1842</v>
      </c>
      <c r="G18" s="6" t="s">
        <v>478</v>
      </c>
      <c r="H18" s="6" t="s">
        <v>1843</v>
      </c>
      <c r="I18" s="6" t="s">
        <v>1844</v>
      </c>
      <c r="J18" s="6" t="s">
        <v>1845</v>
      </c>
    </row>
    <row r="19" spans="1:10">
      <c r="A19" s="110" t="s">
        <v>1860</v>
      </c>
      <c r="C19" s="6" t="s">
        <v>480</v>
      </c>
      <c r="D19" s="6">
        <v>15</v>
      </c>
      <c r="E19" s="6" t="s">
        <v>1841</v>
      </c>
      <c r="F19" s="6" t="s">
        <v>1842</v>
      </c>
      <c r="G19" s="6" t="s">
        <v>480</v>
      </c>
      <c r="H19" s="6" t="s">
        <v>1843</v>
      </c>
      <c r="I19" s="6" t="s">
        <v>1844</v>
      </c>
      <c r="J19" s="6" t="s">
        <v>1845</v>
      </c>
    </row>
    <row r="20" spans="1:10">
      <c r="A20" s="110" t="s">
        <v>1861</v>
      </c>
      <c r="C20" s="6" t="s">
        <v>493</v>
      </c>
      <c r="D20" s="6">
        <v>16</v>
      </c>
      <c r="E20" s="6" t="s">
        <v>1841</v>
      </c>
      <c r="F20" s="6" t="s">
        <v>1842</v>
      </c>
      <c r="G20" s="6" t="s">
        <v>493</v>
      </c>
      <c r="H20" s="6" t="s">
        <v>1843</v>
      </c>
      <c r="I20" s="6" t="s">
        <v>1844</v>
      </c>
      <c r="J20" s="6" t="s">
        <v>1845</v>
      </c>
    </row>
    <row r="21" spans="1:10">
      <c r="A21" s="110" t="s">
        <v>1862</v>
      </c>
      <c r="C21" s="6" t="s">
        <v>496</v>
      </c>
      <c r="D21" s="6">
        <v>17</v>
      </c>
      <c r="E21" s="6" t="s">
        <v>1841</v>
      </c>
      <c r="F21" s="6" t="s">
        <v>1842</v>
      </c>
      <c r="G21" s="6" t="s">
        <v>496</v>
      </c>
      <c r="H21" s="6" t="s">
        <v>1843</v>
      </c>
      <c r="I21" s="6" t="s">
        <v>1844</v>
      </c>
      <c r="J21" s="6" t="s">
        <v>1845</v>
      </c>
    </row>
    <row r="22" spans="1:10">
      <c r="A22" s="110" t="s">
        <v>1863</v>
      </c>
      <c r="C22" s="6" t="s">
        <v>446</v>
      </c>
      <c r="D22" s="6">
        <v>18</v>
      </c>
      <c r="E22" s="6" t="s">
        <v>1841</v>
      </c>
      <c r="F22" s="6" t="s">
        <v>1842</v>
      </c>
      <c r="G22" s="6" t="s">
        <v>446</v>
      </c>
      <c r="H22" s="6" t="s">
        <v>1843</v>
      </c>
      <c r="I22" s="6" t="s">
        <v>1844</v>
      </c>
      <c r="J22" s="6" t="s">
        <v>1845</v>
      </c>
    </row>
    <row r="23" spans="1:10">
      <c r="A23" s="110" t="s">
        <v>1864</v>
      </c>
      <c r="C23" s="6" t="s">
        <v>174</v>
      </c>
      <c r="D23" s="6">
        <v>19</v>
      </c>
      <c r="E23" s="6" t="s">
        <v>1841</v>
      </c>
      <c r="F23" s="6" t="s">
        <v>1842</v>
      </c>
      <c r="G23" s="6" t="s">
        <v>174</v>
      </c>
      <c r="H23" s="6" t="s">
        <v>1843</v>
      </c>
      <c r="I23" s="6" t="s">
        <v>1844</v>
      </c>
      <c r="J23" s="6" t="s">
        <v>1845</v>
      </c>
    </row>
    <row r="24" spans="1:10">
      <c r="A24" s="110" t="s">
        <v>1865</v>
      </c>
      <c r="C24" s="6" t="s">
        <v>509</v>
      </c>
      <c r="D24" s="6">
        <v>20</v>
      </c>
      <c r="E24" s="6" t="s">
        <v>1841</v>
      </c>
      <c r="F24" s="6" t="s">
        <v>1842</v>
      </c>
      <c r="G24" s="6" t="s">
        <v>509</v>
      </c>
      <c r="H24" s="6" t="s">
        <v>1843</v>
      </c>
      <c r="I24" s="6" t="s">
        <v>1844</v>
      </c>
      <c r="J24" s="6" t="s">
        <v>1845</v>
      </c>
    </row>
    <row r="25" spans="1:10">
      <c r="A25" s="110" t="s">
        <v>1866</v>
      </c>
      <c r="C25" s="6" t="s">
        <v>450</v>
      </c>
      <c r="D25" s="6">
        <v>21</v>
      </c>
      <c r="E25" s="6" t="s">
        <v>1841</v>
      </c>
      <c r="F25" s="6" t="s">
        <v>1842</v>
      </c>
      <c r="G25" s="6" t="s">
        <v>450</v>
      </c>
      <c r="H25" s="6" t="s">
        <v>1843</v>
      </c>
      <c r="I25" s="6" t="s">
        <v>1844</v>
      </c>
      <c r="J25" s="6" t="s">
        <v>1845</v>
      </c>
    </row>
    <row r="26" spans="1:10">
      <c r="A26" s="110" t="s">
        <v>1867</v>
      </c>
      <c r="C26" s="6" t="s">
        <v>470</v>
      </c>
      <c r="D26" s="6">
        <v>22</v>
      </c>
      <c r="E26" s="6" t="s">
        <v>1841</v>
      </c>
      <c r="F26" s="6" t="s">
        <v>1842</v>
      </c>
      <c r="G26" s="6" t="s">
        <v>470</v>
      </c>
      <c r="H26" s="6" t="s">
        <v>1843</v>
      </c>
      <c r="I26" s="6" t="s">
        <v>1844</v>
      </c>
      <c r="J26" s="6" t="s">
        <v>1845</v>
      </c>
    </row>
    <row r="27" spans="1:10">
      <c r="A27" s="110" t="s">
        <v>1868</v>
      </c>
      <c r="C27" s="6" t="s">
        <v>485</v>
      </c>
      <c r="D27" s="6">
        <v>23</v>
      </c>
      <c r="E27" s="6" t="s">
        <v>1841</v>
      </c>
      <c r="F27" s="6" t="s">
        <v>1842</v>
      </c>
      <c r="G27" s="6" t="s">
        <v>485</v>
      </c>
      <c r="H27" s="6" t="s">
        <v>1843</v>
      </c>
      <c r="I27" s="6" t="s">
        <v>1844</v>
      </c>
      <c r="J27" s="6" t="s">
        <v>1845</v>
      </c>
    </row>
    <row r="28" spans="1:10">
      <c r="A28" s="110" t="s">
        <v>1869</v>
      </c>
      <c r="C28" s="6" t="s">
        <v>522</v>
      </c>
      <c r="D28" s="6">
        <v>24</v>
      </c>
      <c r="E28" s="6" t="s">
        <v>1841</v>
      </c>
      <c r="F28" s="6" t="s">
        <v>1842</v>
      </c>
      <c r="G28" s="6" t="s">
        <v>522</v>
      </c>
      <c r="H28" s="6" t="s">
        <v>1843</v>
      </c>
      <c r="I28" s="6" t="s">
        <v>1844</v>
      </c>
      <c r="J28" s="6" t="s">
        <v>1845</v>
      </c>
    </row>
    <row r="29" spans="1:10">
      <c r="A29" s="110" t="s">
        <v>1870</v>
      </c>
      <c r="C29" s="6" t="s">
        <v>350</v>
      </c>
      <c r="D29" s="6">
        <v>25</v>
      </c>
      <c r="E29" s="6" t="s">
        <v>1841</v>
      </c>
      <c r="F29" s="6" t="s">
        <v>1842</v>
      </c>
      <c r="G29" s="6" t="s">
        <v>350</v>
      </c>
      <c r="H29" s="6" t="s">
        <v>1843</v>
      </c>
      <c r="I29" s="6" t="s">
        <v>1844</v>
      </c>
      <c r="J29" s="6" t="s">
        <v>1845</v>
      </c>
    </row>
    <row r="30" spans="1:10">
      <c r="A30" s="110" t="s">
        <v>1871</v>
      </c>
      <c r="C30" s="6" t="s">
        <v>692</v>
      </c>
      <c r="D30" s="6">
        <v>26</v>
      </c>
      <c r="E30" s="6" t="s">
        <v>1841</v>
      </c>
      <c r="F30" s="6" t="s">
        <v>1842</v>
      </c>
      <c r="G30" s="6" t="s">
        <v>692</v>
      </c>
      <c r="H30" s="6" t="s">
        <v>1843</v>
      </c>
      <c r="I30" s="6" t="s">
        <v>1844</v>
      </c>
      <c r="J30" s="6" t="s">
        <v>1845</v>
      </c>
    </row>
    <row r="31" spans="1:10">
      <c r="A31" s="110" t="s">
        <v>1872</v>
      </c>
      <c r="C31" s="6" t="s">
        <v>389</v>
      </c>
      <c r="D31" s="6">
        <v>27</v>
      </c>
      <c r="E31" s="6" t="s">
        <v>1841</v>
      </c>
      <c r="F31" s="6" t="s">
        <v>1842</v>
      </c>
      <c r="G31" s="6" t="s">
        <v>389</v>
      </c>
      <c r="H31" s="6" t="s">
        <v>1843</v>
      </c>
      <c r="I31" s="6" t="s">
        <v>1844</v>
      </c>
      <c r="J31" s="6" t="s">
        <v>1845</v>
      </c>
    </row>
    <row r="32" spans="1:10">
      <c r="A32" s="110" t="s">
        <v>1873</v>
      </c>
      <c r="C32" s="6" t="s">
        <v>484</v>
      </c>
      <c r="D32" s="6">
        <v>28</v>
      </c>
      <c r="E32" s="6" t="s">
        <v>1841</v>
      </c>
      <c r="F32" s="6" t="s">
        <v>1842</v>
      </c>
      <c r="G32" s="6" t="s">
        <v>484</v>
      </c>
      <c r="H32" s="6" t="s">
        <v>1843</v>
      </c>
      <c r="I32" s="6" t="s">
        <v>1844</v>
      </c>
      <c r="J32" s="6" t="s">
        <v>1845</v>
      </c>
    </row>
    <row r="33" spans="1:10">
      <c r="A33" s="110" t="s">
        <v>1874</v>
      </c>
      <c r="C33" s="6" t="s">
        <v>275</v>
      </c>
      <c r="D33" s="6">
        <v>0</v>
      </c>
      <c r="E33" s="6" t="s">
        <v>1841</v>
      </c>
      <c r="F33" s="6" t="s">
        <v>1875</v>
      </c>
      <c r="G33" s="6" t="s">
        <v>275</v>
      </c>
      <c r="H33" s="6" t="s">
        <v>1843</v>
      </c>
      <c r="I33" s="6" t="s">
        <v>1844</v>
      </c>
      <c r="J33" s="6" t="s">
        <v>1845</v>
      </c>
    </row>
    <row r="34" spans="1:10">
      <c r="A34" s="110" t="s">
        <v>1876</v>
      </c>
      <c r="C34" s="6" t="s">
        <v>417</v>
      </c>
      <c r="D34" s="6">
        <v>1</v>
      </c>
      <c r="E34" s="6" t="s">
        <v>1841</v>
      </c>
      <c r="F34" s="6" t="s">
        <v>1875</v>
      </c>
      <c r="G34" s="6" t="s">
        <v>417</v>
      </c>
      <c r="H34" s="6" t="s">
        <v>1843</v>
      </c>
      <c r="I34" s="6" t="s">
        <v>1844</v>
      </c>
      <c r="J34" s="6" t="s">
        <v>1845</v>
      </c>
    </row>
    <row r="35" spans="1:10">
      <c r="A35" s="110" t="s">
        <v>1877</v>
      </c>
      <c r="C35" s="6" t="s">
        <v>251</v>
      </c>
      <c r="D35" s="6">
        <v>2</v>
      </c>
      <c r="E35" s="6" t="s">
        <v>1841</v>
      </c>
      <c r="F35" s="6" t="s">
        <v>1875</v>
      </c>
      <c r="G35" s="6" t="s">
        <v>251</v>
      </c>
      <c r="H35" s="6" t="s">
        <v>1843</v>
      </c>
      <c r="I35" s="6" t="s">
        <v>1844</v>
      </c>
      <c r="J35" s="6" t="s">
        <v>1845</v>
      </c>
    </row>
    <row r="36" spans="1:10">
      <c r="A36" s="110" t="s">
        <v>1878</v>
      </c>
      <c r="C36" s="6" t="s">
        <v>422</v>
      </c>
      <c r="D36" s="6">
        <v>3</v>
      </c>
      <c r="E36" s="6" t="s">
        <v>1841</v>
      </c>
      <c r="F36" s="6" t="s">
        <v>1875</v>
      </c>
      <c r="G36" s="6" t="s">
        <v>422</v>
      </c>
      <c r="H36" s="6" t="s">
        <v>1843</v>
      </c>
      <c r="I36" s="6" t="s">
        <v>1844</v>
      </c>
      <c r="J36" s="6" t="s">
        <v>1845</v>
      </c>
    </row>
    <row r="37" spans="1:10">
      <c r="A37" s="110" t="s">
        <v>1879</v>
      </c>
      <c r="C37" s="6" t="s">
        <v>428</v>
      </c>
      <c r="D37" s="6">
        <v>4</v>
      </c>
      <c r="E37" s="6" t="s">
        <v>1841</v>
      </c>
      <c r="F37" s="6" t="s">
        <v>1875</v>
      </c>
      <c r="G37" s="6" t="s">
        <v>428</v>
      </c>
      <c r="H37" s="6" t="s">
        <v>1843</v>
      </c>
      <c r="I37" s="6" t="s">
        <v>1844</v>
      </c>
      <c r="J37" s="6" t="s">
        <v>1845</v>
      </c>
    </row>
    <row r="38" spans="1:10">
      <c r="A38" s="110" t="s">
        <v>1880</v>
      </c>
      <c r="C38" s="6" t="s">
        <v>431</v>
      </c>
      <c r="D38" s="6">
        <v>5</v>
      </c>
      <c r="E38" s="6" t="s">
        <v>1841</v>
      </c>
      <c r="F38" s="6" t="s">
        <v>1875</v>
      </c>
      <c r="G38" s="6" t="s">
        <v>431</v>
      </c>
      <c r="H38" s="6" t="s">
        <v>1843</v>
      </c>
      <c r="I38" s="6" t="s">
        <v>1844</v>
      </c>
      <c r="J38" s="6" t="s">
        <v>1845</v>
      </c>
    </row>
    <row r="39" spans="1:10">
      <c r="A39" s="110" t="s">
        <v>1881</v>
      </c>
      <c r="C39" s="6" t="s">
        <v>433</v>
      </c>
      <c r="D39" s="6">
        <v>6</v>
      </c>
      <c r="E39" s="6" t="s">
        <v>1841</v>
      </c>
      <c r="F39" s="6" t="s">
        <v>1875</v>
      </c>
      <c r="G39" s="6" t="s">
        <v>433</v>
      </c>
      <c r="H39" s="6" t="s">
        <v>1843</v>
      </c>
      <c r="I39" s="6" t="s">
        <v>1844</v>
      </c>
      <c r="J39" s="6" t="s">
        <v>1845</v>
      </c>
    </row>
    <row r="40" spans="1:10">
      <c r="A40" s="110" t="s">
        <v>1882</v>
      </c>
      <c r="C40" s="6" t="s">
        <v>436</v>
      </c>
      <c r="D40" s="6">
        <v>7</v>
      </c>
      <c r="E40" s="6" t="s">
        <v>1841</v>
      </c>
      <c r="F40" s="6" t="s">
        <v>1875</v>
      </c>
      <c r="G40" s="6" t="s">
        <v>436</v>
      </c>
      <c r="H40" s="6" t="s">
        <v>1843</v>
      </c>
      <c r="I40" s="6" t="s">
        <v>1844</v>
      </c>
      <c r="J40" s="6" t="s">
        <v>1845</v>
      </c>
    </row>
    <row r="41" spans="1:10">
      <c r="A41" s="110" t="s">
        <v>1883</v>
      </c>
      <c r="C41" s="6" t="s">
        <v>439</v>
      </c>
      <c r="D41" s="6">
        <v>8</v>
      </c>
      <c r="E41" s="6" t="s">
        <v>1841</v>
      </c>
      <c r="F41" s="6" t="s">
        <v>1875</v>
      </c>
      <c r="G41" s="6" t="s">
        <v>439</v>
      </c>
      <c r="H41" s="6" t="s">
        <v>1843</v>
      </c>
      <c r="I41" s="6" t="s">
        <v>1844</v>
      </c>
      <c r="J41" s="6" t="s">
        <v>1845</v>
      </c>
    </row>
    <row r="42" spans="1:10">
      <c r="A42" s="110" t="s">
        <v>1884</v>
      </c>
      <c r="C42" s="6" t="s">
        <v>445</v>
      </c>
      <c r="D42" s="6">
        <v>9</v>
      </c>
      <c r="E42" s="6" t="s">
        <v>1841</v>
      </c>
      <c r="F42" s="6" t="s">
        <v>1875</v>
      </c>
      <c r="G42" s="6" t="s">
        <v>445</v>
      </c>
      <c r="H42" s="6" t="s">
        <v>1843</v>
      </c>
      <c r="I42" s="6" t="s">
        <v>1844</v>
      </c>
      <c r="J42" s="6" t="s">
        <v>1845</v>
      </c>
    </row>
    <row r="43" spans="1:10">
      <c r="A43" s="110" t="s">
        <v>1885</v>
      </c>
      <c r="C43" s="6" t="s">
        <v>456</v>
      </c>
      <c r="D43" s="6">
        <v>10</v>
      </c>
      <c r="E43" s="6" t="s">
        <v>1841</v>
      </c>
      <c r="F43" s="6" t="s">
        <v>1875</v>
      </c>
      <c r="G43" s="6" t="s">
        <v>456</v>
      </c>
      <c r="H43" s="6" t="s">
        <v>1843</v>
      </c>
      <c r="I43" s="6" t="s">
        <v>1844</v>
      </c>
      <c r="J43" s="6" t="s">
        <v>1845</v>
      </c>
    </row>
    <row r="44" spans="1:10">
      <c r="A44" s="110" t="s">
        <v>1886</v>
      </c>
      <c r="C44" s="6" t="s">
        <v>458</v>
      </c>
      <c r="D44" s="6">
        <v>11</v>
      </c>
      <c r="E44" s="6" t="s">
        <v>1841</v>
      </c>
      <c r="F44" s="6" t="s">
        <v>1875</v>
      </c>
      <c r="G44" s="6" t="s">
        <v>458</v>
      </c>
      <c r="H44" s="6" t="s">
        <v>1843</v>
      </c>
      <c r="I44" s="6" t="s">
        <v>1844</v>
      </c>
      <c r="J44" s="6" t="s">
        <v>1845</v>
      </c>
    </row>
    <row r="45" spans="1:10">
      <c r="A45" s="110" t="s">
        <v>1887</v>
      </c>
      <c r="C45" s="6" t="s">
        <v>466</v>
      </c>
      <c r="D45" s="6">
        <v>12</v>
      </c>
      <c r="E45" s="6" t="s">
        <v>1841</v>
      </c>
      <c r="F45" s="6" t="s">
        <v>1875</v>
      </c>
      <c r="G45" s="6" t="s">
        <v>466</v>
      </c>
      <c r="H45" s="6" t="s">
        <v>1843</v>
      </c>
      <c r="I45" s="6" t="s">
        <v>1844</v>
      </c>
      <c r="J45" s="6" t="s">
        <v>1845</v>
      </c>
    </row>
    <row r="46" spans="1:10">
      <c r="A46" s="110" t="s">
        <v>1888</v>
      </c>
      <c r="C46" s="6" t="s">
        <v>469</v>
      </c>
      <c r="D46" s="6">
        <v>13</v>
      </c>
      <c r="E46" s="6" t="s">
        <v>1841</v>
      </c>
      <c r="F46" s="6" t="s">
        <v>1875</v>
      </c>
      <c r="G46" s="6" t="s">
        <v>469</v>
      </c>
      <c r="H46" s="6" t="s">
        <v>1843</v>
      </c>
      <c r="I46" s="6" t="s">
        <v>1844</v>
      </c>
      <c r="J46" s="6" t="s">
        <v>1845</v>
      </c>
    </row>
    <row r="47" spans="1:10">
      <c r="A47" s="110" t="s">
        <v>1889</v>
      </c>
      <c r="C47" s="6" t="s">
        <v>478</v>
      </c>
      <c r="D47" s="6">
        <v>14</v>
      </c>
      <c r="E47" s="6" t="s">
        <v>1841</v>
      </c>
      <c r="F47" s="6" t="s">
        <v>1875</v>
      </c>
      <c r="G47" s="6" t="s">
        <v>478</v>
      </c>
      <c r="H47" s="6" t="s">
        <v>1843</v>
      </c>
      <c r="I47" s="6" t="s">
        <v>1844</v>
      </c>
      <c r="J47" s="6" t="s">
        <v>1845</v>
      </c>
    </row>
    <row r="48" spans="1:10">
      <c r="A48" s="110" t="s">
        <v>1890</v>
      </c>
      <c r="C48" s="6" t="s">
        <v>480</v>
      </c>
      <c r="D48" s="6">
        <v>15</v>
      </c>
      <c r="E48" s="6" t="s">
        <v>1841</v>
      </c>
      <c r="F48" s="6" t="s">
        <v>1875</v>
      </c>
      <c r="G48" s="6" t="s">
        <v>480</v>
      </c>
      <c r="H48" s="6" t="s">
        <v>1843</v>
      </c>
      <c r="I48" s="6" t="s">
        <v>1844</v>
      </c>
      <c r="J48" s="6" t="s">
        <v>1845</v>
      </c>
    </row>
    <row r="49" spans="1:10">
      <c r="A49" s="110" t="s">
        <v>1891</v>
      </c>
      <c r="C49" s="6" t="s">
        <v>493</v>
      </c>
      <c r="D49" s="6">
        <v>16</v>
      </c>
      <c r="E49" s="6" t="s">
        <v>1841</v>
      </c>
      <c r="F49" s="6" t="s">
        <v>1875</v>
      </c>
      <c r="G49" s="6" t="s">
        <v>493</v>
      </c>
      <c r="H49" s="6" t="s">
        <v>1843</v>
      </c>
      <c r="I49" s="6" t="s">
        <v>1844</v>
      </c>
      <c r="J49" s="6" t="s">
        <v>1845</v>
      </c>
    </row>
    <row r="50" spans="1:10">
      <c r="A50" s="110" t="s">
        <v>1892</v>
      </c>
      <c r="C50" s="6" t="s">
        <v>496</v>
      </c>
      <c r="D50" s="6">
        <v>17</v>
      </c>
      <c r="E50" s="6" t="s">
        <v>1841</v>
      </c>
      <c r="F50" s="6" t="s">
        <v>1875</v>
      </c>
      <c r="G50" s="6" t="s">
        <v>496</v>
      </c>
      <c r="H50" s="6" t="s">
        <v>1843</v>
      </c>
      <c r="I50" s="6" t="s">
        <v>1844</v>
      </c>
      <c r="J50" s="6" t="s">
        <v>1845</v>
      </c>
    </row>
    <row r="51" spans="1:10">
      <c r="A51" s="110" t="s">
        <v>1893</v>
      </c>
      <c r="C51" s="6" t="s">
        <v>446</v>
      </c>
      <c r="D51" s="6">
        <v>18</v>
      </c>
      <c r="E51" s="6" t="s">
        <v>1841</v>
      </c>
      <c r="F51" s="6" t="s">
        <v>1875</v>
      </c>
      <c r="G51" s="6" t="s">
        <v>446</v>
      </c>
      <c r="H51" s="6" t="s">
        <v>1843</v>
      </c>
      <c r="I51" s="6" t="s">
        <v>1844</v>
      </c>
      <c r="J51" s="6" t="s">
        <v>1845</v>
      </c>
    </row>
    <row r="52" spans="1:10">
      <c r="A52" s="110" t="s">
        <v>1894</v>
      </c>
      <c r="C52" s="6" t="s">
        <v>174</v>
      </c>
      <c r="D52" s="6">
        <v>19</v>
      </c>
      <c r="E52" s="6" t="s">
        <v>1841</v>
      </c>
      <c r="F52" s="6" t="s">
        <v>1875</v>
      </c>
      <c r="G52" s="6" t="s">
        <v>174</v>
      </c>
      <c r="H52" s="6" t="s">
        <v>1843</v>
      </c>
      <c r="I52" s="6" t="s">
        <v>1844</v>
      </c>
      <c r="J52" s="6" t="s">
        <v>1845</v>
      </c>
    </row>
    <row r="53" spans="1:10">
      <c r="A53" s="110" t="s">
        <v>1895</v>
      </c>
      <c r="C53" s="6" t="s">
        <v>509</v>
      </c>
      <c r="D53" s="6">
        <v>20</v>
      </c>
      <c r="E53" s="6" t="s">
        <v>1841</v>
      </c>
      <c r="F53" s="6" t="s">
        <v>1875</v>
      </c>
      <c r="G53" s="6" t="s">
        <v>509</v>
      </c>
      <c r="H53" s="6" t="s">
        <v>1843</v>
      </c>
      <c r="I53" s="6" t="s">
        <v>1844</v>
      </c>
      <c r="J53" s="6" t="s">
        <v>1845</v>
      </c>
    </row>
    <row r="54" spans="1:10">
      <c r="A54" s="110" t="s">
        <v>1896</v>
      </c>
      <c r="C54" s="6" t="s">
        <v>450</v>
      </c>
      <c r="D54" s="6">
        <v>21</v>
      </c>
      <c r="E54" s="6" t="s">
        <v>1841</v>
      </c>
      <c r="F54" s="6" t="s">
        <v>1875</v>
      </c>
      <c r="G54" s="6" t="s">
        <v>450</v>
      </c>
      <c r="H54" s="6" t="s">
        <v>1843</v>
      </c>
      <c r="I54" s="6" t="s">
        <v>1844</v>
      </c>
      <c r="J54" s="6" t="s">
        <v>1845</v>
      </c>
    </row>
    <row r="55" spans="1:10">
      <c r="A55" s="110" t="s">
        <v>1897</v>
      </c>
      <c r="C55" s="6" t="s">
        <v>470</v>
      </c>
      <c r="D55" s="6">
        <v>22</v>
      </c>
      <c r="E55" s="6" t="s">
        <v>1841</v>
      </c>
      <c r="F55" s="6" t="s">
        <v>1875</v>
      </c>
      <c r="G55" s="6" t="s">
        <v>470</v>
      </c>
      <c r="H55" s="6" t="s">
        <v>1843</v>
      </c>
      <c r="I55" s="6" t="s">
        <v>1844</v>
      </c>
      <c r="J55" s="6" t="s">
        <v>1845</v>
      </c>
    </row>
    <row r="56" spans="1:10">
      <c r="A56" s="110" t="s">
        <v>1898</v>
      </c>
      <c r="C56" s="6" t="s">
        <v>485</v>
      </c>
      <c r="D56" s="6">
        <v>23</v>
      </c>
      <c r="E56" s="6" t="s">
        <v>1841</v>
      </c>
      <c r="F56" s="6" t="s">
        <v>1875</v>
      </c>
      <c r="G56" s="6" t="s">
        <v>485</v>
      </c>
      <c r="H56" s="6" t="s">
        <v>1843</v>
      </c>
      <c r="I56" s="6" t="s">
        <v>1844</v>
      </c>
      <c r="J56" s="6" t="s">
        <v>1845</v>
      </c>
    </row>
    <row r="57" spans="1:10">
      <c r="A57" s="110" t="s">
        <v>1899</v>
      </c>
      <c r="C57" s="6" t="s">
        <v>522</v>
      </c>
      <c r="D57" s="6">
        <v>24</v>
      </c>
      <c r="E57" s="6" t="s">
        <v>1841</v>
      </c>
      <c r="F57" s="6" t="s">
        <v>1875</v>
      </c>
      <c r="G57" s="6" t="s">
        <v>522</v>
      </c>
      <c r="H57" s="6" t="s">
        <v>1843</v>
      </c>
      <c r="I57" s="6" t="s">
        <v>1844</v>
      </c>
      <c r="J57" s="6" t="s">
        <v>1845</v>
      </c>
    </row>
    <row r="58" spans="1:10">
      <c r="A58" s="110" t="s">
        <v>1900</v>
      </c>
      <c r="C58" s="6" t="s">
        <v>350</v>
      </c>
      <c r="D58" s="6">
        <v>25</v>
      </c>
      <c r="E58" s="6" t="s">
        <v>1841</v>
      </c>
      <c r="F58" s="6" t="s">
        <v>1875</v>
      </c>
      <c r="G58" s="6" t="s">
        <v>350</v>
      </c>
      <c r="H58" s="6" t="s">
        <v>1843</v>
      </c>
      <c r="I58" s="6" t="s">
        <v>1844</v>
      </c>
      <c r="J58" s="6" t="s">
        <v>1845</v>
      </c>
    </row>
    <row r="59" spans="1:10">
      <c r="A59" s="110" t="s">
        <v>1901</v>
      </c>
      <c r="C59" s="6" t="s">
        <v>692</v>
      </c>
      <c r="D59" s="6">
        <v>26</v>
      </c>
      <c r="E59" s="6" t="s">
        <v>1841</v>
      </c>
      <c r="F59" s="6" t="s">
        <v>1875</v>
      </c>
      <c r="G59" s="6" t="s">
        <v>692</v>
      </c>
      <c r="H59" s="6" t="s">
        <v>1843</v>
      </c>
      <c r="I59" s="6" t="s">
        <v>1844</v>
      </c>
      <c r="J59" s="6" t="s">
        <v>1845</v>
      </c>
    </row>
    <row r="60" spans="1:10">
      <c r="A60" s="110" t="s">
        <v>1902</v>
      </c>
      <c r="C60" s="6" t="s">
        <v>389</v>
      </c>
      <c r="D60" s="6">
        <v>27</v>
      </c>
      <c r="E60" s="6" t="s">
        <v>1841</v>
      </c>
      <c r="F60" s="6" t="s">
        <v>1875</v>
      </c>
      <c r="G60" s="6" t="s">
        <v>389</v>
      </c>
      <c r="H60" s="6" t="s">
        <v>1843</v>
      </c>
      <c r="I60" s="6" t="s">
        <v>1844</v>
      </c>
      <c r="J60" s="6" t="s">
        <v>1845</v>
      </c>
    </row>
    <row r="61" spans="1:10">
      <c r="A61" s="110" t="s">
        <v>1903</v>
      </c>
      <c r="C61" s="6" t="s">
        <v>484</v>
      </c>
      <c r="D61" s="6">
        <v>28</v>
      </c>
      <c r="E61" s="6" t="s">
        <v>1841</v>
      </c>
      <c r="F61" s="6" t="s">
        <v>1875</v>
      </c>
      <c r="G61" s="6" t="s">
        <v>484</v>
      </c>
      <c r="H61" s="6" t="s">
        <v>1843</v>
      </c>
      <c r="I61" s="6" t="s">
        <v>1844</v>
      </c>
      <c r="J61" s="6" t="s">
        <v>1845</v>
      </c>
    </row>
    <row r="62" spans="1:10">
      <c r="A62" s="110" t="s">
        <v>1904</v>
      </c>
      <c r="C62" s="6" t="s">
        <v>1419</v>
      </c>
      <c r="D62" s="6">
        <v>0</v>
      </c>
      <c r="E62" s="6" t="s">
        <v>1841</v>
      </c>
      <c r="F62" s="6" t="s">
        <v>1842</v>
      </c>
      <c r="G62" s="6" t="s">
        <v>1419</v>
      </c>
      <c r="H62" s="6" t="s">
        <v>1905</v>
      </c>
      <c r="I62" s="6" t="s">
        <v>1844</v>
      </c>
      <c r="J62" s="6" t="s">
        <v>1845</v>
      </c>
    </row>
    <row r="63" spans="1:10">
      <c r="A63" s="110" t="s">
        <v>1906</v>
      </c>
      <c r="C63" s="6" t="s">
        <v>1423</v>
      </c>
      <c r="D63" s="6">
        <v>1</v>
      </c>
      <c r="E63" s="6" t="s">
        <v>1841</v>
      </c>
      <c r="F63" s="6" t="s">
        <v>1842</v>
      </c>
      <c r="G63" s="6" t="s">
        <v>1423</v>
      </c>
      <c r="H63" s="6" t="s">
        <v>1905</v>
      </c>
      <c r="I63" s="6" t="s">
        <v>1844</v>
      </c>
      <c r="J63" s="6" t="s">
        <v>1845</v>
      </c>
    </row>
    <row r="64" spans="1:10">
      <c r="A64" s="110" t="s">
        <v>1907</v>
      </c>
      <c r="C64" s="6" t="s">
        <v>1425</v>
      </c>
      <c r="D64" s="6">
        <v>2</v>
      </c>
      <c r="E64" s="6" t="s">
        <v>1841</v>
      </c>
      <c r="F64" s="6" t="s">
        <v>1842</v>
      </c>
      <c r="G64" s="6" t="s">
        <v>1425</v>
      </c>
      <c r="H64" s="6" t="s">
        <v>1905</v>
      </c>
      <c r="I64" s="6" t="s">
        <v>1844</v>
      </c>
      <c r="J64" s="6" t="s">
        <v>1845</v>
      </c>
    </row>
    <row r="65" spans="1:10">
      <c r="A65" s="110" t="s">
        <v>1908</v>
      </c>
      <c r="C65" s="6" t="s">
        <v>1427</v>
      </c>
      <c r="D65" s="6">
        <v>3</v>
      </c>
      <c r="E65" s="6" t="s">
        <v>1841</v>
      </c>
      <c r="F65" s="6" t="s">
        <v>1842</v>
      </c>
      <c r="G65" s="6" t="s">
        <v>1427</v>
      </c>
      <c r="H65" s="6" t="s">
        <v>1905</v>
      </c>
      <c r="I65" s="6" t="s">
        <v>1844</v>
      </c>
      <c r="J65" s="6" t="s">
        <v>1845</v>
      </c>
    </row>
    <row r="66" spans="1:10">
      <c r="A66" s="110" t="s">
        <v>1909</v>
      </c>
      <c r="C66" s="6" t="s">
        <v>1429</v>
      </c>
      <c r="D66" s="6">
        <v>4</v>
      </c>
      <c r="E66" s="6" t="s">
        <v>1841</v>
      </c>
      <c r="F66" s="6" t="s">
        <v>1842</v>
      </c>
      <c r="G66" s="6" t="s">
        <v>1429</v>
      </c>
      <c r="H66" s="6" t="s">
        <v>1905</v>
      </c>
      <c r="I66" s="6" t="s">
        <v>1844</v>
      </c>
      <c r="J66" s="6" t="s">
        <v>1845</v>
      </c>
    </row>
    <row r="67" spans="1:10">
      <c r="A67" s="110" t="s">
        <v>1910</v>
      </c>
      <c r="C67" s="6" t="s">
        <v>1431</v>
      </c>
      <c r="D67" s="6">
        <v>5</v>
      </c>
      <c r="E67" s="6" t="s">
        <v>1841</v>
      </c>
      <c r="F67" s="6" t="s">
        <v>1842</v>
      </c>
      <c r="G67" s="6" t="s">
        <v>1431</v>
      </c>
      <c r="H67" s="6" t="s">
        <v>1905</v>
      </c>
      <c r="I67" s="6" t="s">
        <v>1844</v>
      </c>
      <c r="J67" s="6" t="s">
        <v>1845</v>
      </c>
    </row>
    <row r="68" spans="1:10">
      <c r="A68" s="110" t="s">
        <v>1911</v>
      </c>
      <c r="C68" s="6" t="s">
        <v>1433</v>
      </c>
      <c r="D68" s="6">
        <v>6</v>
      </c>
      <c r="E68" s="6" t="s">
        <v>1841</v>
      </c>
      <c r="F68" s="6" t="s">
        <v>1842</v>
      </c>
      <c r="G68" s="6" t="s">
        <v>1433</v>
      </c>
      <c r="H68" s="6" t="s">
        <v>1905</v>
      </c>
      <c r="I68" s="6" t="s">
        <v>1844</v>
      </c>
      <c r="J68" s="6" t="s">
        <v>1845</v>
      </c>
    </row>
    <row r="69" spans="1:10">
      <c r="A69" s="110" t="s">
        <v>1912</v>
      </c>
      <c r="C69" s="6" t="s">
        <v>1435</v>
      </c>
      <c r="D69" s="6">
        <v>7</v>
      </c>
      <c r="E69" s="6" t="s">
        <v>1841</v>
      </c>
      <c r="F69" s="6" t="s">
        <v>1842</v>
      </c>
      <c r="G69" s="6" t="s">
        <v>1435</v>
      </c>
      <c r="H69" s="6" t="s">
        <v>1905</v>
      </c>
      <c r="I69" s="6" t="s">
        <v>1844</v>
      </c>
      <c r="J69" s="6" t="s">
        <v>1845</v>
      </c>
    </row>
    <row r="70" spans="1:10">
      <c r="A70" s="110" t="s">
        <v>1913</v>
      </c>
      <c r="C70" s="6" t="s">
        <v>1437</v>
      </c>
      <c r="D70" s="6">
        <v>8</v>
      </c>
      <c r="E70" s="6" t="s">
        <v>1841</v>
      </c>
      <c r="F70" s="6" t="s">
        <v>1842</v>
      </c>
      <c r="G70" s="6" t="s">
        <v>1437</v>
      </c>
      <c r="H70" s="6" t="s">
        <v>1905</v>
      </c>
      <c r="I70" s="6" t="s">
        <v>1844</v>
      </c>
      <c r="J70" s="6" t="s">
        <v>1845</v>
      </c>
    </row>
    <row r="71" spans="1:10">
      <c r="A71" s="110" t="s">
        <v>1914</v>
      </c>
      <c r="C71" s="6" t="s">
        <v>1441</v>
      </c>
      <c r="D71" s="6">
        <v>9</v>
      </c>
      <c r="E71" s="6" t="s">
        <v>1841</v>
      </c>
      <c r="F71" s="6" t="s">
        <v>1842</v>
      </c>
      <c r="G71" s="6" t="s">
        <v>1441</v>
      </c>
      <c r="H71" s="6" t="s">
        <v>1905</v>
      </c>
      <c r="I71" s="6" t="s">
        <v>1844</v>
      </c>
      <c r="J71" s="6" t="s">
        <v>1845</v>
      </c>
    </row>
    <row r="72" spans="1:10">
      <c r="A72" s="110" t="s">
        <v>1915</v>
      </c>
      <c r="C72" s="6" t="s">
        <v>1443</v>
      </c>
      <c r="D72" s="6">
        <v>10</v>
      </c>
      <c r="E72" s="6" t="s">
        <v>1841</v>
      </c>
      <c r="F72" s="6" t="s">
        <v>1842</v>
      </c>
      <c r="G72" s="6" t="s">
        <v>1443</v>
      </c>
      <c r="H72" s="6" t="s">
        <v>1905</v>
      </c>
      <c r="I72" s="6" t="s">
        <v>1844</v>
      </c>
      <c r="J72" s="6" t="s">
        <v>1845</v>
      </c>
    </row>
    <row r="73" spans="1:10">
      <c r="A73" s="110" t="s">
        <v>1916</v>
      </c>
      <c r="C73" s="6" t="s">
        <v>1445</v>
      </c>
      <c r="D73" s="6">
        <v>11</v>
      </c>
      <c r="E73" s="6" t="s">
        <v>1841</v>
      </c>
      <c r="F73" s="6" t="s">
        <v>1842</v>
      </c>
      <c r="G73" s="6" t="s">
        <v>1445</v>
      </c>
      <c r="H73" s="6" t="s">
        <v>1905</v>
      </c>
      <c r="I73" s="6" t="s">
        <v>1844</v>
      </c>
      <c r="J73" s="6" t="s">
        <v>1845</v>
      </c>
    </row>
    <row r="74" spans="1:10">
      <c r="A74" s="110" t="s">
        <v>1917</v>
      </c>
      <c r="C74" s="6" t="s">
        <v>1447</v>
      </c>
      <c r="D74" s="6">
        <v>12</v>
      </c>
      <c r="E74" s="6" t="s">
        <v>1841</v>
      </c>
      <c r="F74" s="6" t="s">
        <v>1842</v>
      </c>
      <c r="G74" s="6" t="s">
        <v>1447</v>
      </c>
      <c r="H74" s="6" t="s">
        <v>1905</v>
      </c>
      <c r="I74" s="6" t="s">
        <v>1844</v>
      </c>
      <c r="J74" s="6" t="s">
        <v>1845</v>
      </c>
    </row>
    <row r="75" spans="1:10">
      <c r="A75" s="110" t="s">
        <v>1918</v>
      </c>
      <c r="C75" s="6" t="s">
        <v>1474</v>
      </c>
      <c r="D75" s="6">
        <v>13</v>
      </c>
      <c r="E75" s="6" t="s">
        <v>1841</v>
      </c>
      <c r="F75" s="6" t="s">
        <v>1842</v>
      </c>
      <c r="G75" s="6" t="s">
        <v>1474</v>
      </c>
      <c r="H75" s="6" t="s">
        <v>1905</v>
      </c>
      <c r="I75" s="6" t="s">
        <v>1844</v>
      </c>
      <c r="J75" s="6" t="s">
        <v>1845</v>
      </c>
    </row>
    <row r="76" spans="1:10">
      <c r="A76" s="110" t="s">
        <v>1919</v>
      </c>
      <c r="C76" s="6" t="s">
        <v>1534</v>
      </c>
      <c r="D76" s="6">
        <v>14</v>
      </c>
      <c r="E76" s="6" t="s">
        <v>1841</v>
      </c>
      <c r="F76" s="6" t="s">
        <v>1842</v>
      </c>
      <c r="G76" s="6" t="s">
        <v>1534</v>
      </c>
      <c r="H76" s="6" t="s">
        <v>1905</v>
      </c>
      <c r="I76" s="6" t="s">
        <v>1844</v>
      </c>
      <c r="J76" s="6" t="s">
        <v>1845</v>
      </c>
    </row>
    <row r="77" spans="1:10">
      <c r="A77" s="110" t="s">
        <v>1920</v>
      </c>
      <c r="C77" s="6" t="s">
        <v>1415</v>
      </c>
      <c r="D77" s="6">
        <v>15</v>
      </c>
      <c r="E77" s="6" t="s">
        <v>1841</v>
      </c>
      <c r="F77" s="6" t="s">
        <v>1842</v>
      </c>
      <c r="G77" s="6" t="s">
        <v>1415</v>
      </c>
      <c r="H77" s="6" t="s">
        <v>1905</v>
      </c>
      <c r="I77" s="6" t="s">
        <v>1844</v>
      </c>
      <c r="J77" s="6" t="s">
        <v>1921</v>
      </c>
    </row>
    <row r="78" spans="1:10">
      <c r="A78" s="110" t="s">
        <v>1922</v>
      </c>
      <c r="C78" s="6" t="s">
        <v>1419</v>
      </c>
      <c r="D78" s="6">
        <v>0</v>
      </c>
      <c r="E78" s="6" t="s">
        <v>1841</v>
      </c>
      <c r="F78" s="6" t="s">
        <v>1875</v>
      </c>
      <c r="G78" s="6" t="s">
        <v>1419</v>
      </c>
      <c r="H78" s="6" t="s">
        <v>1905</v>
      </c>
      <c r="I78" s="6" t="s">
        <v>1844</v>
      </c>
      <c r="J78" s="6" t="s">
        <v>1845</v>
      </c>
    </row>
    <row r="79" spans="1:10">
      <c r="A79" s="110" t="s">
        <v>1923</v>
      </c>
      <c r="C79" s="6" t="s">
        <v>1423</v>
      </c>
      <c r="D79" s="6">
        <v>1</v>
      </c>
      <c r="E79" s="6" t="s">
        <v>1841</v>
      </c>
      <c r="F79" s="6" t="s">
        <v>1875</v>
      </c>
      <c r="G79" s="6" t="s">
        <v>1423</v>
      </c>
      <c r="H79" s="6" t="s">
        <v>1905</v>
      </c>
      <c r="I79" s="6" t="s">
        <v>1844</v>
      </c>
      <c r="J79" s="6" t="s">
        <v>1845</v>
      </c>
    </row>
    <row r="80" spans="1:10">
      <c r="A80" s="110" t="s">
        <v>1924</v>
      </c>
      <c r="C80" s="6" t="s">
        <v>1425</v>
      </c>
      <c r="D80" s="6">
        <v>2</v>
      </c>
      <c r="E80" s="6" t="s">
        <v>1841</v>
      </c>
      <c r="F80" s="6" t="s">
        <v>1875</v>
      </c>
      <c r="G80" s="6" t="s">
        <v>1425</v>
      </c>
      <c r="H80" s="6" t="s">
        <v>1905</v>
      </c>
      <c r="I80" s="6" t="s">
        <v>1844</v>
      </c>
      <c r="J80" s="6" t="s">
        <v>1845</v>
      </c>
    </row>
    <row r="81" spans="1:10">
      <c r="A81" s="110" t="s">
        <v>1925</v>
      </c>
      <c r="C81" s="6" t="s">
        <v>1427</v>
      </c>
      <c r="D81" s="6">
        <v>3</v>
      </c>
      <c r="E81" s="6" t="s">
        <v>1841</v>
      </c>
      <c r="F81" s="6" t="s">
        <v>1875</v>
      </c>
      <c r="G81" s="6" t="s">
        <v>1427</v>
      </c>
      <c r="H81" s="6" t="s">
        <v>1905</v>
      </c>
      <c r="I81" s="6" t="s">
        <v>1844</v>
      </c>
      <c r="J81" s="6" t="s">
        <v>1845</v>
      </c>
    </row>
    <row r="82" spans="1:10">
      <c r="A82" s="110" t="s">
        <v>1926</v>
      </c>
      <c r="C82" s="6" t="s">
        <v>1429</v>
      </c>
      <c r="D82" s="6">
        <v>4</v>
      </c>
      <c r="E82" s="6" t="s">
        <v>1841</v>
      </c>
      <c r="F82" s="6" t="s">
        <v>1875</v>
      </c>
      <c r="G82" s="6" t="s">
        <v>1429</v>
      </c>
      <c r="H82" s="6" t="s">
        <v>1905</v>
      </c>
      <c r="I82" s="6" t="s">
        <v>1844</v>
      </c>
      <c r="J82" s="6" t="s">
        <v>1845</v>
      </c>
    </row>
    <row r="83" spans="1:10">
      <c r="A83" s="110" t="s">
        <v>1927</v>
      </c>
      <c r="C83" s="6" t="s">
        <v>1431</v>
      </c>
      <c r="D83" s="6">
        <v>5</v>
      </c>
      <c r="E83" s="6" t="s">
        <v>1841</v>
      </c>
      <c r="F83" s="6" t="s">
        <v>1875</v>
      </c>
      <c r="G83" s="6" t="s">
        <v>1431</v>
      </c>
      <c r="H83" s="6" t="s">
        <v>1905</v>
      </c>
      <c r="I83" s="6" t="s">
        <v>1844</v>
      </c>
      <c r="J83" s="6" t="s">
        <v>1845</v>
      </c>
    </row>
    <row r="84" spans="1:10">
      <c r="A84" s="110" t="s">
        <v>1928</v>
      </c>
      <c r="C84" s="6" t="s">
        <v>1433</v>
      </c>
      <c r="D84" s="6">
        <v>6</v>
      </c>
      <c r="E84" s="6" t="s">
        <v>1841</v>
      </c>
      <c r="F84" s="6" t="s">
        <v>1875</v>
      </c>
      <c r="G84" s="6" t="s">
        <v>1433</v>
      </c>
      <c r="H84" s="6" t="s">
        <v>1905</v>
      </c>
      <c r="I84" s="6" t="s">
        <v>1844</v>
      </c>
      <c r="J84" s="6" t="s">
        <v>1845</v>
      </c>
    </row>
    <row r="85" spans="1:10">
      <c r="A85" s="110" t="s">
        <v>1929</v>
      </c>
      <c r="C85" s="6" t="s">
        <v>1435</v>
      </c>
      <c r="D85" s="6">
        <v>7</v>
      </c>
      <c r="E85" s="6" t="s">
        <v>1841</v>
      </c>
      <c r="F85" s="6" t="s">
        <v>1875</v>
      </c>
      <c r="G85" s="6" t="s">
        <v>1435</v>
      </c>
      <c r="H85" s="6" t="s">
        <v>1905</v>
      </c>
      <c r="I85" s="6" t="s">
        <v>1844</v>
      </c>
      <c r="J85" s="6" t="s">
        <v>1845</v>
      </c>
    </row>
    <row r="86" spans="1:10">
      <c r="A86" s="110" t="s">
        <v>1930</v>
      </c>
      <c r="C86" s="6" t="s">
        <v>1437</v>
      </c>
      <c r="D86" s="6">
        <v>8</v>
      </c>
      <c r="E86" s="6" t="s">
        <v>1841</v>
      </c>
      <c r="F86" s="6" t="s">
        <v>1875</v>
      </c>
      <c r="G86" s="6" t="s">
        <v>1437</v>
      </c>
      <c r="H86" s="6" t="s">
        <v>1905</v>
      </c>
      <c r="I86" s="6" t="s">
        <v>1844</v>
      </c>
      <c r="J86" s="6" t="s">
        <v>1845</v>
      </c>
    </row>
    <row r="87" spans="1:10">
      <c r="A87" s="110" t="s">
        <v>1931</v>
      </c>
      <c r="C87" s="6" t="s">
        <v>1441</v>
      </c>
      <c r="D87" s="6">
        <v>9</v>
      </c>
      <c r="E87" s="6" t="s">
        <v>1841</v>
      </c>
      <c r="F87" s="6" t="s">
        <v>1875</v>
      </c>
      <c r="G87" s="6" t="s">
        <v>1441</v>
      </c>
      <c r="H87" s="6" t="s">
        <v>1905</v>
      </c>
      <c r="I87" s="6" t="s">
        <v>1844</v>
      </c>
      <c r="J87" s="6" t="s">
        <v>1845</v>
      </c>
    </row>
    <row r="88" spans="1:10">
      <c r="A88" s="6" t="s">
        <v>1932</v>
      </c>
      <c r="C88" s="6" t="s">
        <v>1443</v>
      </c>
      <c r="D88" s="6">
        <v>10</v>
      </c>
      <c r="E88" s="6" t="s">
        <v>1841</v>
      </c>
      <c r="F88" s="6" t="s">
        <v>1875</v>
      </c>
      <c r="G88" s="6" t="s">
        <v>1443</v>
      </c>
      <c r="H88" s="6" t="s">
        <v>1905</v>
      </c>
      <c r="I88" s="6" t="s">
        <v>1844</v>
      </c>
      <c r="J88" s="6" t="s">
        <v>1845</v>
      </c>
    </row>
    <row r="89" spans="1:10">
      <c r="A89" s="6" t="s">
        <v>1933</v>
      </c>
      <c r="C89" s="6" t="s">
        <v>1445</v>
      </c>
      <c r="D89" s="6">
        <v>11</v>
      </c>
      <c r="E89" s="6" t="s">
        <v>1841</v>
      </c>
      <c r="F89" s="6" t="s">
        <v>1875</v>
      </c>
      <c r="G89" s="6" t="s">
        <v>1445</v>
      </c>
      <c r="H89" s="6" t="s">
        <v>1905</v>
      </c>
      <c r="I89" s="6" t="s">
        <v>1844</v>
      </c>
      <c r="J89" s="6" t="s">
        <v>1845</v>
      </c>
    </row>
    <row r="90" spans="1:10">
      <c r="A90" s="6" t="s">
        <v>1934</v>
      </c>
      <c r="C90" s="6" t="s">
        <v>1447</v>
      </c>
      <c r="D90" s="6">
        <v>12</v>
      </c>
      <c r="E90" s="6" t="s">
        <v>1841</v>
      </c>
      <c r="F90" s="6" t="s">
        <v>1875</v>
      </c>
      <c r="G90" s="6" t="s">
        <v>1447</v>
      </c>
      <c r="H90" s="6" t="s">
        <v>1905</v>
      </c>
      <c r="I90" s="6" t="s">
        <v>1844</v>
      </c>
      <c r="J90" s="6" t="s">
        <v>1845</v>
      </c>
    </row>
    <row r="91" spans="1:10">
      <c r="A91" s="6" t="s">
        <v>1935</v>
      </c>
      <c r="C91" s="6" t="s">
        <v>1474</v>
      </c>
      <c r="D91" s="6">
        <v>13</v>
      </c>
      <c r="E91" s="6" t="s">
        <v>1841</v>
      </c>
      <c r="F91" s="6" t="s">
        <v>1875</v>
      </c>
      <c r="G91" s="6" t="s">
        <v>1474</v>
      </c>
      <c r="H91" s="6" t="s">
        <v>1905</v>
      </c>
      <c r="I91" s="6" t="s">
        <v>1844</v>
      </c>
      <c r="J91" s="6" t="s">
        <v>1845</v>
      </c>
    </row>
    <row r="92" spans="1:10">
      <c r="A92" s="6" t="s">
        <v>1936</v>
      </c>
      <c r="C92" s="6" t="s">
        <v>1534</v>
      </c>
      <c r="D92" s="6">
        <v>14</v>
      </c>
      <c r="E92" s="6" t="s">
        <v>1841</v>
      </c>
      <c r="F92" s="6" t="s">
        <v>1875</v>
      </c>
      <c r="G92" s="6" t="s">
        <v>1534</v>
      </c>
      <c r="H92" s="6" t="s">
        <v>1905</v>
      </c>
      <c r="I92" s="6" t="s">
        <v>1844</v>
      </c>
      <c r="J92" s="6" t="s">
        <v>1845</v>
      </c>
    </row>
    <row r="93" spans="1:10">
      <c r="A93" s="6" t="s">
        <v>1937</v>
      </c>
      <c r="C93" s="6" t="s">
        <v>1415</v>
      </c>
      <c r="D93" s="6">
        <v>15</v>
      </c>
      <c r="E93" s="6" t="s">
        <v>1841</v>
      </c>
      <c r="F93" s="6" t="s">
        <v>1875</v>
      </c>
      <c r="G93" s="6" t="s">
        <v>1415</v>
      </c>
      <c r="H93" s="6" t="s">
        <v>1905</v>
      </c>
      <c r="I93" s="6" t="s">
        <v>1844</v>
      </c>
      <c r="J93" s="6" t="s">
        <v>1921</v>
      </c>
    </row>
  </sheetData>
  <phoneticPr fontId="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930F-37C6-4041-9AE5-50DE62AAE885}">
  <sheetPr codeName="Sheet17"/>
  <dimension ref="A1:H5272"/>
  <sheetViews>
    <sheetView topLeftCell="A3568" workbookViewId="0">
      <selection activeCell="B3495" sqref="B3495"/>
    </sheetView>
  </sheetViews>
  <sheetFormatPr defaultColWidth="9" defaultRowHeight="15"/>
  <cols>
    <col min="1" max="1" width="99.375" style="13" bestFit="1" customWidth="1"/>
    <col min="2" max="2" width="9.125" style="13" bestFit="1" customWidth="1"/>
    <col min="3" max="3" width="9" style="13"/>
    <col min="4" max="4" width="9.625" style="13" bestFit="1" customWidth="1"/>
    <col min="5" max="5" width="35.75" style="13" bestFit="1" customWidth="1"/>
    <col min="6" max="6" width="5.125" style="13" bestFit="1" customWidth="1"/>
    <col min="7" max="7" width="15.625" style="13" bestFit="1" customWidth="1"/>
    <col min="8" max="8" width="13.25" style="13" bestFit="1" customWidth="1"/>
    <col min="9" max="16384" width="9" style="13"/>
  </cols>
  <sheetData>
    <row r="1" spans="1:1">
      <c r="A1" s="191"/>
    </row>
    <row r="2" spans="1:1">
      <c r="A2" s="191"/>
    </row>
    <row r="3" spans="1:1">
      <c r="A3" s="13" t="s">
        <v>1938</v>
      </c>
    </row>
    <row r="4" spans="1:1" customFormat="1">
      <c r="A4" s="13" t="s">
        <v>1939</v>
      </c>
    </row>
    <row r="5" spans="1:1" customFormat="1">
      <c r="A5" s="13" t="s">
        <v>1940</v>
      </c>
    </row>
    <row r="6" spans="1:1" customFormat="1">
      <c r="A6" s="13" t="s">
        <v>1941</v>
      </c>
    </row>
    <row r="7" spans="1:1" customFormat="1">
      <c r="A7" s="13" t="s">
        <v>1939</v>
      </c>
    </row>
    <row r="8" spans="1:1" customFormat="1">
      <c r="A8" s="13"/>
    </row>
    <row r="9" spans="1:1" customFormat="1">
      <c r="A9" s="13" t="s">
        <v>1939</v>
      </c>
    </row>
    <row r="10" spans="1:1" customFormat="1">
      <c r="A10" s="13" t="s">
        <v>1942</v>
      </c>
    </row>
    <row r="11" spans="1:1" customFormat="1">
      <c r="A11" s="13" t="s">
        <v>1943</v>
      </c>
    </row>
    <row r="12" spans="1:1" customFormat="1">
      <c r="A12" s="13" t="s">
        <v>1944</v>
      </c>
    </row>
    <row r="13" spans="1:1" customFormat="1">
      <c r="A13" s="13" t="s">
        <v>1939</v>
      </c>
    </row>
    <row r="14" spans="1:1" customFormat="1">
      <c r="A14" s="13" t="s">
        <v>1945</v>
      </c>
    </row>
    <row r="15" spans="1:1" customFormat="1">
      <c r="A15" s="13" t="s">
        <v>1946</v>
      </c>
    </row>
    <row r="16" spans="1:1" customFormat="1">
      <c r="A16" s="13"/>
    </row>
    <row r="17" spans="1:1" customFormat="1">
      <c r="A17" s="13"/>
    </row>
    <row r="18" spans="1:1" customFormat="1">
      <c r="A18" s="13" t="s">
        <v>1943</v>
      </c>
    </row>
    <row r="19" spans="1:1" customFormat="1">
      <c r="A19" s="13" t="s">
        <v>1947</v>
      </c>
    </row>
    <row r="20" spans="1:1" customFormat="1">
      <c r="A20" s="13" t="s">
        <v>1943</v>
      </c>
    </row>
    <row r="21" spans="1:1" customFormat="1">
      <c r="A21" s="13" t="s">
        <v>1948</v>
      </c>
    </row>
    <row r="22" spans="1:1" customFormat="1">
      <c r="A22" s="13" t="s">
        <v>1949</v>
      </c>
    </row>
    <row r="23" spans="1:1" customFormat="1">
      <c r="A23" s="13" t="s">
        <v>1948</v>
      </c>
    </row>
    <row r="24" spans="1:1" customFormat="1">
      <c r="A24" s="13" t="s">
        <v>1950</v>
      </c>
    </row>
    <row r="25" spans="1:1" customFormat="1">
      <c r="A25" s="13" t="s">
        <v>1951</v>
      </c>
    </row>
    <row r="26" spans="1:1" customFormat="1">
      <c r="A26" s="13" t="s">
        <v>1950</v>
      </c>
    </row>
    <row r="27" spans="1:1" customFormat="1">
      <c r="A27" s="13" t="s">
        <v>1952</v>
      </c>
    </row>
    <row r="28" spans="1:1" customFormat="1">
      <c r="A28" s="13"/>
    </row>
    <row r="29" spans="1:1" customFormat="1">
      <c r="A29" s="13"/>
    </row>
    <row r="30" spans="1:1" customFormat="1">
      <c r="A30" s="13" t="s">
        <v>1950</v>
      </c>
    </row>
    <row r="31" spans="1:1" customFormat="1">
      <c r="A31" s="13" t="s">
        <v>1953</v>
      </c>
    </row>
    <row r="32" spans="1:1" customFormat="1">
      <c r="A32" s="13" t="s">
        <v>1950</v>
      </c>
    </row>
    <row r="33" spans="1:1" customFormat="1">
      <c r="A33" s="13" t="s">
        <v>1954</v>
      </c>
    </row>
    <row r="34" spans="1:1" customFormat="1">
      <c r="A34" s="13"/>
    </row>
    <row r="35" spans="1:1" customFormat="1">
      <c r="A35" s="13"/>
    </row>
    <row r="36" spans="1:1" customFormat="1">
      <c r="A36" s="13" t="s">
        <v>1950</v>
      </c>
    </row>
    <row r="37" spans="1:1" customFormat="1">
      <c r="A37" s="13" t="s">
        <v>1955</v>
      </c>
    </row>
    <row r="38" spans="1:1" customFormat="1">
      <c r="A38" s="13" t="s">
        <v>1950</v>
      </c>
    </row>
    <row r="39" spans="1:1" customFormat="1">
      <c r="A39" s="13" t="s">
        <v>1956</v>
      </c>
    </row>
    <row r="40" spans="1:1" customFormat="1">
      <c r="A40" s="13"/>
    </row>
    <row r="41" spans="1:1" customFormat="1">
      <c r="A41" s="13"/>
    </row>
    <row r="42" spans="1:1" customFormat="1">
      <c r="A42" s="13" t="s">
        <v>1950</v>
      </c>
    </row>
    <row r="43" spans="1:1" customFormat="1">
      <c r="A43" s="13" t="s">
        <v>1957</v>
      </c>
    </row>
    <row r="44" spans="1:1" customFormat="1">
      <c r="A44" s="13" t="s">
        <v>1950</v>
      </c>
    </row>
    <row r="45" spans="1:1" customFormat="1">
      <c r="A45" s="13" t="s">
        <v>1958</v>
      </c>
    </row>
    <row r="46" spans="1:1" customFormat="1">
      <c r="A46" s="13"/>
    </row>
    <row r="47" spans="1:1" customFormat="1">
      <c r="A47" s="13"/>
    </row>
    <row r="48" spans="1:1" customFormat="1">
      <c r="A48" s="13" t="s">
        <v>1950</v>
      </c>
    </row>
    <row r="49" spans="1:1" customFormat="1">
      <c r="A49" s="13" t="s">
        <v>1959</v>
      </c>
    </row>
    <row r="50" spans="1:1" customFormat="1">
      <c r="A50" s="13" t="s">
        <v>1950</v>
      </c>
    </row>
    <row r="51" spans="1:1" customFormat="1">
      <c r="A51" s="13" t="s">
        <v>1960</v>
      </c>
    </row>
    <row r="52" spans="1:1" customFormat="1">
      <c r="A52" s="13"/>
    </row>
    <row r="53" spans="1:1" customFormat="1">
      <c r="A53" s="13"/>
    </row>
    <row r="54" spans="1:1" customFormat="1">
      <c r="A54" s="13" t="s">
        <v>1950</v>
      </c>
    </row>
    <row r="55" spans="1:1" customFormat="1">
      <c r="A55" s="13" t="s">
        <v>1961</v>
      </c>
    </row>
    <row r="56" spans="1:1" customFormat="1">
      <c r="A56" s="13" t="s">
        <v>1950</v>
      </c>
    </row>
    <row r="57" spans="1:1" customFormat="1">
      <c r="A57" s="13" t="s">
        <v>1962</v>
      </c>
    </row>
    <row r="58" spans="1:1" customFormat="1">
      <c r="A58" s="13"/>
    </row>
    <row r="59" spans="1:1" customFormat="1">
      <c r="A59" s="13"/>
    </row>
    <row r="60" spans="1:1" customFormat="1">
      <c r="A60" s="13" t="s">
        <v>1950</v>
      </c>
    </row>
    <row r="61" spans="1:1" customFormat="1">
      <c r="A61" s="13" t="s">
        <v>1963</v>
      </c>
    </row>
    <row r="62" spans="1:1" customFormat="1">
      <c r="A62" s="13" t="s">
        <v>1950</v>
      </c>
    </row>
    <row r="63" spans="1:1" customFormat="1">
      <c r="A63" s="13" t="s">
        <v>1964</v>
      </c>
    </row>
    <row r="64" spans="1:1" customFormat="1">
      <c r="A64" s="13"/>
    </row>
    <row r="65" spans="1:1" customFormat="1">
      <c r="A65" s="13"/>
    </row>
    <row r="66" spans="1:1" customFormat="1">
      <c r="A66" s="13" t="s">
        <v>1950</v>
      </c>
    </row>
    <row r="67" spans="1:1" customFormat="1">
      <c r="A67" s="13" t="s">
        <v>1965</v>
      </c>
    </row>
    <row r="68" spans="1:1" customFormat="1">
      <c r="A68" s="13" t="s">
        <v>1950</v>
      </c>
    </row>
    <row r="69" spans="1:1" customFormat="1">
      <c r="A69" s="13" t="s">
        <v>1966</v>
      </c>
    </row>
    <row r="70" spans="1:1" customFormat="1">
      <c r="A70" s="13"/>
    </row>
    <row r="71" spans="1:1" customFormat="1">
      <c r="A71" s="13"/>
    </row>
    <row r="72" spans="1:1" customFormat="1">
      <c r="A72" s="13" t="s">
        <v>1950</v>
      </c>
    </row>
    <row r="73" spans="1:1" customFormat="1">
      <c r="A73" s="13" t="s">
        <v>1967</v>
      </c>
    </row>
    <row r="74" spans="1:1" customFormat="1">
      <c r="A74" s="13" t="s">
        <v>1950</v>
      </c>
    </row>
    <row r="75" spans="1:1" customFormat="1">
      <c r="A75" s="13" t="s">
        <v>1968</v>
      </c>
    </row>
    <row r="76" spans="1:1" customFormat="1">
      <c r="A76" s="13"/>
    </row>
    <row r="77" spans="1:1" customFormat="1">
      <c r="A77" s="13"/>
    </row>
    <row r="78" spans="1:1" customFormat="1">
      <c r="A78" s="13" t="s">
        <v>1950</v>
      </c>
    </row>
    <row r="79" spans="1:1" customFormat="1">
      <c r="A79" s="13" t="s">
        <v>1969</v>
      </c>
    </row>
    <row r="80" spans="1:1" customFormat="1">
      <c r="A80" s="13" t="s">
        <v>1950</v>
      </c>
    </row>
    <row r="81" spans="1:1" customFormat="1">
      <c r="A81" s="13" t="s">
        <v>1970</v>
      </c>
    </row>
    <row r="82" spans="1:1" customFormat="1">
      <c r="A82" s="13"/>
    </row>
    <row r="83" spans="1:1" customFormat="1">
      <c r="A83" s="13"/>
    </row>
    <row r="84" spans="1:1" customFormat="1">
      <c r="A84" s="13" t="s">
        <v>1950</v>
      </c>
    </row>
    <row r="85" spans="1:1" customFormat="1">
      <c r="A85" s="13" t="s">
        <v>1971</v>
      </c>
    </row>
    <row r="86" spans="1:1" customFormat="1">
      <c r="A86" s="13" t="s">
        <v>1950</v>
      </c>
    </row>
    <row r="87" spans="1:1" customFormat="1">
      <c r="A87" s="13" t="s">
        <v>1972</v>
      </c>
    </row>
    <row r="88" spans="1:1" customFormat="1">
      <c r="A88" s="13"/>
    </row>
    <row r="89" spans="1:1" customFormat="1">
      <c r="A89" s="13"/>
    </row>
    <row r="90" spans="1:1" customFormat="1">
      <c r="A90" s="13" t="s">
        <v>1950</v>
      </c>
    </row>
    <row r="91" spans="1:1" customFormat="1">
      <c r="A91" s="13" t="s">
        <v>1973</v>
      </c>
    </row>
    <row r="92" spans="1:1" customFormat="1">
      <c r="A92" s="13" t="s">
        <v>1950</v>
      </c>
    </row>
    <row r="93" spans="1:1" customFormat="1">
      <c r="A93" s="13" t="s">
        <v>1974</v>
      </c>
    </row>
    <row r="94" spans="1:1" customFormat="1">
      <c r="A94" s="13"/>
    </row>
    <row r="95" spans="1:1" customFormat="1">
      <c r="A95" s="13"/>
    </row>
    <row r="96" spans="1:1" customFormat="1">
      <c r="A96" s="13" t="s">
        <v>1950</v>
      </c>
    </row>
    <row r="97" spans="1:1" customFormat="1">
      <c r="A97" s="13" t="s">
        <v>1975</v>
      </c>
    </row>
    <row r="98" spans="1:1" customFormat="1">
      <c r="A98" s="13" t="s">
        <v>1950</v>
      </c>
    </row>
    <row r="99" spans="1:1" customFormat="1">
      <c r="A99" s="13" t="s">
        <v>1976</v>
      </c>
    </row>
    <row r="100" spans="1:1" customFormat="1">
      <c r="A100" s="13"/>
    </row>
    <row r="101" spans="1:1" customFormat="1">
      <c r="A101" s="13"/>
    </row>
    <row r="102" spans="1:1" customFormat="1">
      <c r="A102" s="13" t="s">
        <v>1950</v>
      </c>
    </row>
    <row r="103" spans="1:1" customFormat="1">
      <c r="A103" s="13" t="s">
        <v>1977</v>
      </c>
    </row>
    <row r="104" spans="1:1" customFormat="1">
      <c r="A104" s="13" t="s">
        <v>1950</v>
      </c>
    </row>
    <row r="105" spans="1:1" customFormat="1">
      <c r="A105" s="13" t="s">
        <v>1978</v>
      </c>
    </row>
    <row r="106" spans="1:1" customFormat="1">
      <c r="A106" s="13"/>
    </row>
    <row r="107" spans="1:1" customFormat="1">
      <c r="A107" s="13"/>
    </row>
    <row r="108" spans="1:1" customFormat="1">
      <c r="A108" s="13" t="s">
        <v>1950</v>
      </c>
    </row>
    <row r="109" spans="1:1" customFormat="1">
      <c r="A109" s="13" t="s">
        <v>1979</v>
      </c>
    </row>
    <row r="110" spans="1:1" customFormat="1">
      <c r="A110" s="13" t="s">
        <v>1950</v>
      </c>
    </row>
    <row r="111" spans="1:1" customFormat="1">
      <c r="A111" s="13" t="s">
        <v>1980</v>
      </c>
    </row>
    <row r="112" spans="1:1" customFormat="1">
      <c r="A112" s="13"/>
    </row>
    <row r="113" spans="1:1" customFormat="1">
      <c r="A113" s="13"/>
    </row>
    <row r="114" spans="1:1" customFormat="1">
      <c r="A114" s="13" t="s">
        <v>1950</v>
      </c>
    </row>
    <row r="115" spans="1:1" customFormat="1">
      <c r="A115" s="13" t="s">
        <v>1981</v>
      </c>
    </row>
    <row r="116" spans="1:1" customFormat="1">
      <c r="A116" s="13" t="s">
        <v>1950</v>
      </c>
    </row>
    <row r="117" spans="1:1" customFormat="1">
      <c r="A117" s="13" t="s">
        <v>1982</v>
      </c>
    </row>
    <row r="118" spans="1:1" customFormat="1">
      <c r="A118" s="13"/>
    </row>
    <row r="119" spans="1:1" customFormat="1">
      <c r="A119" s="13"/>
    </row>
    <row r="120" spans="1:1" customFormat="1">
      <c r="A120" s="13" t="s">
        <v>1950</v>
      </c>
    </row>
    <row r="121" spans="1:1" customFormat="1">
      <c r="A121" s="13" t="s">
        <v>1983</v>
      </c>
    </row>
    <row r="122" spans="1:1" customFormat="1">
      <c r="A122" s="13" t="s">
        <v>1950</v>
      </c>
    </row>
    <row r="123" spans="1:1" customFormat="1">
      <c r="A123" s="13" t="s">
        <v>1984</v>
      </c>
    </row>
    <row r="124" spans="1:1" customFormat="1">
      <c r="A124" s="13"/>
    </row>
    <row r="125" spans="1:1" customFormat="1">
      <c r="A125" s="13"/>
    </row>
    <row r="126" spans="1:1" customFormat="1">
      <c r="A126" s="13" t="s">
        <v>1950</v>
      </c>
    </row>
    <row r="127" spans="1:1" customFormat="1">
      <c r="A127" s="13" t="s">
        <v>1985</v>
      </c>
    </row>
    <row r="128" spans="1:1" customFormat="1">
      <c r="A128" s="13" t="s">
        <v>1950</v>
      </c>
    </row>
    <row r="129" spans="1:7" customFormat="1">
      <c r="A129" s="13" t="s">
        <v>1986</v>
      </c>
    </row>
    <row r="130" spans="1:7" customFormat="1">
      <c r="A130" s="13"/>
    </row>
    <row r="131" spans="1:7" customFormat="1">
      <c r="A131" s="13"/>
    </row>
    <row r="132" spans="1:7" customFormat="1">
      <c r="A132" s="13" t="s">
        <v>1950</v>
      </c>
    </row>
    <row r="133" spans="1:7" customFormat="1">
      <c r="A133" s="13" t="s">
        <v>1987</v>
      </c>
    </row>
    <row r="134" spans="1:7" customFormat="1">
      <c r="A134" s="13" t="s">
        <v>1950</v>
      </c>
    </row>
    <row r="135" spans="1:7" customFormat="1">
      <c r="A135" s="13" t="s">
        <v>1988</v>
      </c>
    </row>
    <row r="136" spans="1:7" customFormat="1">
      <c r="A136" s="13"/>
    </row>
    <row r="137" spans="1:7" customFormat="1">
      <c r="A137" s="13"/>
    </row>
    <row r="138" spans="1:7" customFormat="1">
      <c r="A138" s="13" t="s">
        <v>1950</v>
      </c>
    </row>
    <row r="139" spans="1:7" customFormat="1">
      <c r="A139" s="13" t="s">
        <v>1989</v>
      </c>
    </row>
    <row r="140" spans="1:7" customFormat="1">
      <c r="A140" s="13" t="s">
        <v>1950</v>
      </c>
    </row>
    <row r="141" spans="1:7">
      <c r="A141" s="13" t="s">
        <v>1990</v>
      </c>
      <c r="B141" s="13" t="s">
        <v>7994</v>
      </c>
      <c r="E141" s="13" t="s">
        <v>7995</v>
      </c>
      <c r="F141" s="13">
        <v>0</v>
      </c>
      <c r="G141" s="13" t="s">
        <v>1993</v>
      </c>
    </row>
    <row r="142" spans="1:7">
      <c r="A142" s="13" t="s">
        <v>1994</v>
      </c>
      <c r="B142" s="13" t="s">
        <v>7994</v>
      </c>
      <c r="E142" s="13" t="s">
        <v>7996</v>
      </c>
      <c r="F142" s="13">
        <v>1</v>
      </c>
      <c r="G142" s="13" t="s">
        <v>88</v>
      </c>
    </row>
    <row r="143" spans="1:7">
      <c r="A143" s="13" t="s">
        <v>1995</v>
      </c>
      <c r="B143" s="13" t="s">
        <v>7994</v>
      </c>
      <c r="E143" s="13" t="s">
        <v>7997</v>
      </c>
      <c r="F143" s="13">
        <v>2</v>
      </c>
      <c r="G143" s="13" t="s">
        <v>494</v>
      </c>
    </row>
    <row r="144" spans="1:7">
      <c r="A144" s="13" t="s">
        <v>1996</v>
      </c>
      <c r="B144" s="13" t="s">
        <v>7994</v>
      </c>
      <c r="E144" s="13" t="s">
        <v>7998</v>
      </c>
      <c r="F144" s="13">
        <v>3</v>
      </c>
      <c r="G144" s="13" t="s">
        <v>635</v>
      </c>
    </row>
    <row r="145" spans="1:7">
      <c r="A145" s="13" t="s">
        <v>1997</v>
      </c>
      <c r="B145" s="13" t="s">
        <v>7994</v>
      </c>
      <c r="E145" s="13" t="s">
        <v>7999</v>
      </c>
      <c r="F145" s="13">
        <v>4</v>
      </c>
      <c r="G145" s="13" t="s">
        <v>464</v>
      </c>
    </row>
    <row r="146" spans="1:7">
      <c r="A146" s="13" t="s">
        <v>1998</v>
      </c>
      <c r="B146" s="13" t="s">
        <v>7994</v>
      </c>
      <c r="E146" s="13" t="s">
        <v>8000</v>
      </c>
      <c r="F146" s="13">
        <v>5</v>
      </c>
      <c r="G146" s="13" t="s">
        <v>527</v>
      </c>
    </row>
    <row r="147" spans="1:7">
      <c r="A147" s="13" t="s">
        <v>1999</v>
      </c>
      <c r="B147" s="13" t="s">
        <v>7994</v>
      </c>
      <c r="E147" s="13" t="s">
        <v>8001</v>
      </c>
      <c r="F147" s="13">
        <v>6</v>
      </c>
      <c r="G147" s="13" t="s">
        <v>390</v>
      </c>
    </row>
    <row r="148" spans="1:7">
      <c r="A148" s="13" t="s">
        <v>2000</v>
      </c>
      <c r="B148" s="13" t="s">
        <v>7994</v>
      </c>
      <c r="E148" s="13" t="s">
        <v>8002</v>
      </c>
      <c r="F148" s="13">
        <v>7</v>
      </c>
      <c r="G148" s="13" t="s">
        <v>366</v>
      </c>
    </row>
    <row r="149" spans="1:7">
      <c r="A149" s="13" t="s">
        <v>2001</v>
      </c>
      <c r="B149" s="13" t="s">
        <v>7994</v>
      </c>
      <c r="E149" s="13" t="s">
        <v>8003</v>
      </c>
      <c r="F149" s="13">
        <v>8</v>
      </c>
      <c r="G149" s="13" t="s">
        <v>148</v>
      </c>
    </row>
    <row r="150" spans="1:7">
      <c r="A150" s="13" t="s">
        <v>2002</v>
      </c>
      <c r="B150" s="13" t="s">
        <v>7994</v>
      </c>
      <c r="E150" s="13" t="s">
        <v>8004</v>
      </c>
      <c r="F150" s="13">
        <v>9</v>
      </c>
      <c r="G150" s="13" t="s">
        <v>409</v>
      </c>
    </row>
    <row r="151" spans="1:7">
      <c r="A151" s="13" t="s">
        <v>2003</v>
      </c>
      <c r="B151" s="13" t="s">
        <v>7994</v>
      </c>
      <c r="E151" s="13" t="s">
        <v>8005</v>
      </c>
      <c r="F151" s="13">
        <v>10</v>
      </c>
      <c r="G151" s="13" t="s">
        <v>434</v>
      </c>
    </row>
    <row r="152" spans="1:7">
      <c r="A152" s="13" t="s">
        <v>2004</v>
      </c>
      <c r="B152" s="13" t="s">
        <v>7994</v>
      </c>
      <c r="E152" s="13" t="s">
        <v>8006</v>
      </c>
      <c r="F152" s="13">
        <v>11</v>
      </c>
      <c r="G152" s="13" t="s">
        <v>189</v>
      </c>
    </row>
    <row r="153" spans="1:7">
      <c r="A153" s="13" t="s">
        <v>2005</v>
      </c>
      <c r="B153" s="13" t="s">
        <v>7994</v>
      </c>
      <c r="E153" s="13" t="s">
        <v>8007</v>
      </c>
      <c r="F153" s="13">
        <v>12</v>
      </c>
      <c r="G153" s="13" t="s">
        <v>194</v>
      </c>
    </row>
    <row r="154" spans="1:7">
      <c r="A154" s="13" t="s">
        <v>2006</v>
      </c>
      <c r="B154" s="13" t="s">
        <v>7994</v>
      </c>
      <c r="E154" s="13" t="s">
        <v>8008</v>
      </c>
      <c r="F154" s="13">
        <v>13</v>
      </c>
      <c r="G154" s="13" t="s">
        <v>454</v>
      </c>
    </row>
    <row r="155" spans="1:7">
      <c r="A155" s="13" t="s">
        <v>2007</v>
      </c>
      <c r="B155" s="13" t="s">
        <v>7994</v>
      </c>
      <c r="E155" s="13" t="s">
        <v>8009</v>
      </c>
      <c r="F155" s="13">
        <v>14</v>
      </c>
      <c r="G155" s="13" t="s">
        <v>337</v>
      </c>
    </row>
    <row r="156" spans="1:7">
      <c r="A156" s="13" t="s">
        <v>2008</v>
      </c>
      <c r="B156" s="13" t="s">
        <v>7994</v>
      </c>
      <c r="E156" s="13" t="s">
        <v>8010</v>
      </c>
      <c r="F156" s="13">
        <v>15</v>
      </c>
      <c r="G156" s="13" t="s">
        <v>320</v>
      </c>
    </row>
    <row r="157" spans="1:7">
      <c r="A157" s="13" t="s">
        <v>2009</v>
      </c>
      <c r="B157" s="13" t="s">
        <v>7994</v>
      </c>
      <c r="E157" s="13" t="s">
        <v>8011</v>
      </c>
      <c r="F157" s="13">
        <v>16</v>
      </c>
      <c r="G157" s="13" t="s">
        <v>510</v>
      </c>
    </row>
    <row r="158" spans="1:7">
      <c r="A158" s="13" t="s">
        <v>2010</v>
      </c>
      <c r="B158" s="13" t="s">
        <v>7994</v>
      </c>
      <c r="E158" s="13" t="s">
        <v>8012</v>
      </c>
      <c r="F158" s="13">
        <v>17</v>
      </c>
      <c r="G158" s="13" t="s">
        <v>162</v>
      </c>
    </row>
    <row r="159" spans="1:7">
      <c r="A159" s="13" t="s">
        <v>2011</v>
      </c>
      <c r="B159" s="13" t="s">
        <v>7994</v>
      </c>
      <c r="E159" s="13" t="s">
        <v>8013</v>
      </c>
      <c r="F159" s="13">
        <v>18</v>
      </c>
      <c r="G159" s="13" t="s">
        <v>296</v>
      </c>
    </row>
    <row r="160" spans="1:7">
      <c r="A160" s="13" t="s">
        <v>2012</v>
      </c>
      <c r="B160" s="13" t="s">
        <v>7994</v>
      </c>
      <c r="E160" s="13" t="s">
        <v>8014</v>
      </c>
      <c r="F160" s="13">
        <v>19</v>
      </c>
      <c r="G160" s="13" t="s">
        <v>623</v>
      </c>
    </row>
    <row r="161" spans="1:7">
      <c r="A161" s="13" t="s">
        <v>2013</v>
      </c>
      <c r="B161" s="13" t="s">
        <v>7994</v>
      </c>
      <c r="E161" s="13" t="s">
        <v>8015</v>
      </c>
      <c r="F161" s="13">
        <v>20</v>
      </c>
      <c r="G161" s="13" t="s">
        <v>673</v>
      </c>
    </row>
    <row r="162" spans="1:7">
      <c r="A162" s="13" t="s">
        <v>2014</v>
      </c>
      <c r="B162" s="13" t="s">
        <v>7994</v>
      </c>
      <c r="E162" s="13" t="s">
        <v>8016</v>
      </c>
      <c r="F162" s="13">
        <v>21</v>
      </c>
      <c r="G162" s="13" t="s">
        <v>312</v>
      </c>
    </row>
    <row r="163" spans="1:7">
      <c r="A163" s="13" t="s">
        <v>2015</v>
      </c>
      <c r="B163" s="13" t="s">
        <v>7994</v>
      </c>
      <c r="E163" s="13" t="s">
        <v>8017</v>
      </c>
      <c r="F163" s="13">
        <v>22</v>
      </c>
      <c r="G163" s="13" t="s">
        <v>36</v>
      </c>
    </row>
    <row r="164" spans="1:7">
      <c r="A164" s="13" t="s">
        <v>2016</v>
      </c>
      <c r="B164" s="13" t="s">
        <v>7994</v>
      </c>
      <c r="E164" s="13" t="s">
        <v>8018</v>
      </c>
      <c r="F164" s="13">
        <v>23</v>
      </c>
      <c r="G164" s="13" t="s">
        <v>102</v>
      </c>
    </row>
    <row r="165" spans="1:7">
      <c r="A165" s="13" t="s">
        <v>2017</v>
      </c>
      <c r="B165" s="13" t="s">
        <v>7994</v>
      </c>
      <c r="E165" s="13" t="s">
        <v>8019</v>
      </c>
      <c r="F165" s="13">
        <v>24</v>
      </c>
      <c r="G165" s="13" t="s">
        <v>94</v>
      </c>
    </row>
    <row r="166" spans="1:7">
      <c r="A166" s="13" t="s">
        <v>2018</v>
      </c>
      <c r="B166" s="13" t="s">
        <v>7994</v>
      </c>
      <c r="E166" s="13" t="s">
        <v>8020</v>
      </c>
      <c r="F166" s="13">
        <v>25</v>
      </c>
      <c r="G166" s="13" t="s">
        <v>71</v>
      </c>
    </row>
    <row r="167" spans="1:7">
      <c r="A167" s="13" t="s">
        <v>2019</v>
      </c>
      <c r="B167" s="13" t="s">
        <v>7994</v>
      </c>
      <c r="E167" s="13" t="s">
        <v>8021</v>
      </c>
      <c r="F167" s="13">
        <v>26</v>
      </c>
      <c r="G167" s="13" t="s">
        <v>273</v>
      </c>
    </row>
    <row r="168" spans="1:7">
      <c r="A168" s="13" t="s">
        <v>2020</v>
      </c>
      <c r="B168" s="13" t="s">
        <v>7994</v>
      </c>
      <c r="E168" s="13" t="s">
        <v>8022</v>
      </c>
      <c r="F168" s="13">
        <v>27</v>
      </c>
      <c r="G168" s="13" t="s">
        <v>6</v>
      </c>
    </row>
    <row r="169" spans="1:7">
      <c r="A169" s="13" t="s">
        <v>2021</v>
      </c>
      <c r="B169" s="13" t="s">
        <v>7994</v>
      </c>
      <c r="E169" s="13" t="s">
        <v>8023</v>
      </c>
      <c r="F169" s="13">
        <v>28</v>
      </c>
      <c r="G169" s="13" t="s">
        <v>44</v>
      </c>
    </row>
    <row r="170" spans="1:7">
      <c r="A170" s="13" t="s">
        <v>2022</v>
      </c>
      <c r="B170" s="13" t="s">
        <v>7994</v>
      </c>
      <c r="E170" s="13" t="s">
        <v>8024</v>
      </c>
      <c r="F170" s="13">
        <v>29</v>
      </c>
      <c r="G170" s="13" t="s">
        <v>253</v>
      </c>
    </row>
    <row r="171" spans="1:7">
      <c r="A171" s="13" t="s">
        <v>2023</v>
      </c>
      <c r="B171" s="13" t="s">
        <v>7994</v>
      </c>
      <c r="E171" s="13" t="s">
        <v>8025</v>
      </c>
      <c r="F171" s="13">
        <v>30</v>
      </c>
      <c r="G171" s="13" t="s">
        <v>62</v>
      </c>
    </row>
    <row r="172" spans="1:7">
      <c r="A172" s="13" t="s">
        <v>2024</v>
      </c>
      <c r="B172" s="13" t="s">
        <v>7994</v>
      </c>
      <c r="E172" s="13" t="s">
        <v>8026</v>
      </c>
      <c r="F172" s="13">
        <v>31</v>
      </c>
      <c r="G172" s="13" t="s">
        <v>732</v>
      </c>
    </row>
    <row r="173" spans="1:7">
      <c r="A173" s="13" t="s">
        <v>7766</v>
      </c>
      <c r="B173" s="13" t="s">
        <v>7994</v>
      </c>
      <c r="E173" s="13" t="s">
        <v>8027</v>
      </c>
      <c r="F173" s="13">
        <v>32</v>
      </c>
      <c r="G173" s="13" t="s">
        <v>728</v>
      </c>
    </row>
    <row r="174" spans="1:7">
      <c r="A174" s="13" t="s">
        <v>7767</v>
      </c>
      <c r="B174" s="13" t="s">
        <v>7994</v>
      </c>
      <c r="E174" s="13" t="s">
        <v>8028</v>
      </c>
      <c r="F174" s="13">
        <v>33</v>
      </c>
      <c r="G174" s="13" t="s">
        <v>1325</v>
      </c>
    </row>
    <row r="175" spans="1:7">
      <c r="A175" s="13" t="s">
        <v>6789</v>
      </c>
    </row>
    <row r="176" spans="1:7">
      <c r="A176" s="13" t="s">
        <v>2025</v>
      </c>
    </row>
    <row r="177" spans="1:6" customFormat="1">
      <c r="A177" s="13" t="s">
        <v>2026</v>
      </c>
      <c r="B177" s="13"/>
      <c r="C177" s="13"/>
      <c r="E177" s="13"/>
      <c r="F177" s="13"/>
    </row>
    <row r="178" spans="1:6" customFormat="1">
      <c r="A178" s="13" t="s">
        <v>2027</v>
      </c>
      <c r="B178" s="13"/>
      <c r="C178" s="13"/>
      <c r="E178" s="13"/>
      <c r="F178" s="13"/>
    </row>
    <row r="179" spans="1:6" customFormat="1">
      <c r="A179" s="13" t="s">
        <v>2028</v>
      </c>
      <c r="B179" s="13"/>
      <c r="C179" s="13"/>
      <c r="E179" s="13"/>
      <c r="F179" s="13"/>
    </row>
    <row r="180" spans="1:6" customFormat="1">
      <c r="A180" s="13" t="s">
        <v>2029</v>
      </c>
      <c r="B180" s="13"/>
      <c r="C180" s="13"/>
      <c r="E180" s="13"/>
      <c r="F180" s="13"/>
    </row>
    <row r="181" spans="1:6" customFormat="1">
      <c r="A181" s="13" t="s">
        <v>2030</v>
      </c>
      <c r="B181" s="13"/>
      <c r="C181" s="13"/>
      <c r="E181" s="13"/>
      <c r="F181" s="13"/>
    </row>
    <row r="182" spans="1:6" customFormat="1">
      <c r="A182" s="13" t="s">
        <v>2031</v>
      </c>
      <c r="B182" s="13"/>
      <c r="C182" s="13"/>
      <c r="E182" s="13"/>
      <c r="F182" s="13"/>
    </row>
    <row r="183" spans="1:6" customFormat="1">
      <c r="A183" s="13" t="s">
        <v>2032</v>
      </c>
      <c r="B183" s="13"/>
      <c r="C183" s="13"/>
      <c r="E183" s="13"/>
      <c r="F183" s="13"/>
    </row>
    <row r="184" spans="1:6" customFormat="1">
      <c r="A184" s="13" t="s">
        <v>2033</v>
      </c>
      <c r="B184" s="13"/>
      <c r="C184" s="13"/>
      <c r="E184" s="13"/>
      <c r="F184" s="13"/>
    </row>
    <row r="185" spans="1:6" customFormat="1">
      <c r="A185" s="13" t="s">
        <v>2034</v>
      </c>
      <c r="B185" s="13"/>
      <c r="C185" s="13"/>
      <c r="E185" s="13"/>
      <c r="F185" s="13"/>
    </row>
    <row r="186" spans="1:6" customFormat="1">
      <c r="A186" s="13" t="s">
        <v>2035</v>
      </c>
      <c r="B186" s="13"/>
      <c r="C186" s="13"/>
      <c r="E186" s="13"/>
      <c r="F186" s="13"/>
    </row>
    <row r="187" spans="1:6" customFormat="1">
      <c r="A187" s="13" t="s">
        <v>2036</v>
      </c>
      <c r="B187" s="13"/>
      <c r="C187" s="13"/>
      <c r="E187" s="13"/>
      <c r="F187" s="13"/>
    </row>
    <row r="188" spans="1:6" customFormat="1">
      <c r="A188" s="13" t="s">
        <v>2037</v>
      </c>
      <c r="B188" s="13"/>
      <c r="C188" s="13"/>
      <c r="E188" s="13"/>
      <c r="F188" s="13"/>
    </row>
    <row r="189" spans="1:6" customFormat="1">
      <c r="A189" s="13" t="s">
        <v>2038</v>
      </c>
      <c r="B189" s="13"/>
      <c r="C189" s="13"/>
      <c r="E189" s="13"/>
      <c r="F189" s="13"/>
    </row>
    <row r="190" spans="1:6" customFormat="1">
      <c r="A190" s="13" t="s">
        <v>2039</v>
      </c>
      <c r="B190" s="13"/>
      <c r="C190" s="13"/>
      <c r="E190" s="13"/>
      <c r="F190" s="13"/>
    </row>
    <row r="191" spans="1:6" customFormat="1">
      <c r="A191" s="13" t="s">
        <v>2040</v>
      </c>
      <c r="B191" s="13"/>
      <c r="C191" s="13"/>
      <c r="E191" s="13"/>
      <c r="F191" s="13"/>
    </row>
    <row r="192" spans="1:6" customFormat="1">
      <c r="A192" s="13" t="s">
        <v>2041</v>
      </c>
      <c r="B192" s="13"/>
      <c r="C192" s="13"/>
      <c r="E192" s="13"/>
      <c r="F192" s="13"/>
    </row>
    <row r="193" spans="1:6" customFormat="1">
      <c r="A193" s="13" t="s">
        <v>2042</v>
      </c>
      <c r="B193" s="13"/>
      <c r="C193" s="13"/>
      <c r="E193" s="13"/>
      <c r="F193" s="13"/>
    </row>
    <row r="194" spans="1:6" customFormat="1">
      <c r="A194" s="13" t="s">
        <v>2043</v>
      </c>
      <c r="B194" s="13"/>
      <c r="C194" s="13"/>
      <c r="E194" s="13"/>
      <c r="F194" s="13"/>
    </row>
    <row r="195" spans="1:6" customFormat="1">
      <c r="A195" s="13" t="s">
        <v>2044</v>
      </c>
      <c r="B195" s="13"/>
      <c r="C195" s="13"/>
      <c r="E195" s="13"/>
      <c r="F195" s="13"/>
    </row>
    <row r="196" spans="1:6" customFormat="1">
      <c r="A196" s="13" t="s">
        <v>2045</v>
      </c>
      <c r="B196" s="13"/>
      <c r="C196" s="13"/>
      <c r="E196" s="13"/>
      <c r="F196" s="13"/>
    </row>
    <row r="197" spans="1:6" customFormat="1">
      <c r="A197" s="13" t="s">
        <v>2046</v>
      </c>
      <c r="B197" s="13"/>
      <c r="C197" s="13"/>
      <c r="E197" s="13"/>
      <c r="F197" s="13"/>
    </row>
    <row r="198" spans="1:6" customFormat="1">
      <c r="A198" s="13" t="s">
        <v>2047</v>
      </c>
      <c r="B198" s="13"/>
      <c r="C198" s="13"/>
      <c r="E198" s="13"/>
      <c r="F198" s="13"/>
    </row>
    <row r="199" spans="1:6" customFormat="1">
      <c r="A199" s="13" t="s">
        <v>2048</v>
      </c>
      <c r="B199" s="13"/>
      <c r="C199" s="13"/>
      <c r="E199" s="13"/>
      <c r="F199" s="13"/>
    </row>
    <row r="200" spans="1:6" customFormat="1">
      <c r="A200" s="13" t="s">
        <v>2049</v>
      </c>
      <c r="B200" s="13"/>
      <c r="C200" s="13"/>
      <c r="E200" s="13"/>
      <c r="F200" s="13"/>
    </row>
    <row r="201" spans="1:6" customFormat="1">
      <c r="A201" s="13" t="s">
        <v>2050</v>
      </c>
      <c r="B201" s="13"/>
      <c r="C201" s="13"/>
      <c r="E201" s="13"/>
      <c r="F201" s="13"/>
    </row>
    <row r="202" spans="1:6" customFormat="1">
      <c r="A202" s="13" t="s">
        <v>2051</v>
      </c>
      <c r="B202" s="13"/>
      <c r="C202" s="13"/>
      <c r="E202" s="13"/>
      <c r="F202" s="13"/>
    </row>
    <row r="203" spans="1:6" customFormat="1">
      <c r="A203" s="13" t="s">
        <v>2052</v>
      </c>
      <c r="B203" s="13"/>
      <c r="C203" s="13"/>
      <c r="E203" s="13"/>
      <c r="F203" s="13"/>
    </row>
    <row r="204" spans="1:6" customFormat="1">
      <c r="A204" s="13" t="s">
        <v>2053</v>
      </c>
      <c r="B204" s="13"/>
      <c r="C204" s="13"/>
      <c r="E204" s="13"/>
      <c r="F204" s="13"/>
    </row>
    <row r="205" spans="1:6" customFormat="1">
      <c r="A205" s="13" t="s">
        <v>2054</v>
      </c>
      <c r="B205" s="13"/>
      <c r="C205" s="13"/>
      <c r="E205" s="13"/>
      <c r="F205" s="13"/>
    </row>
    <row r="206" spans="1:6" customFormat="1">
      <c r="A206" s="13" t="s">
        <v>2055</v>
      </c>
      <c r="B206" s="13"/>
      <c r="C206" s="13"/>
      <c r="E206" s="13"/>
      <c r="F206" s="13"/>
    </row>
    <row r="207" spans="1:6" customFormat="1">
      <c r="A207" s="13" t="s">
        <v>2056</v>
      </c>
      <c r="B207" s="13"/>
      <c r="C207" s="13"/>
      <c r="E207" s="13"/>
      <c r="F207" s="13"/>
    </row>
    <row r="208" spans="1:6" customFormat="1">
      <c r="A208" s="13" t="s">
        <v>2057</v>
      </c>
      <c r="B208" s="13"/>
      <c r="C208" s="13"/>
      <c r="E208" s="13"/>
      <c r="F208" s="13"/>
    </row>
    <row r="209" spans="1:6" customFormat="1">
      <c r="A209" s="13" t="s">
        <v>2058</v>
      </c>
      <c r="B209" s="13"/>
      <c r="C209" s="13"/>
      <c r="E209" s="13"/>
      <c r="F209" s="13"/>
    </row>
    <row r="210" spans="1:6" customFormat="1">
      <c r="A210" s="13" t="s">
        <v>2059</v>
      </c>
      <c r="B210" s="13"/>
      <c r="C210" s="13"/>
      <c r="E210" s="13"/>
      <c r="F210" s="13"/>
    </row>
    <row r="211" spans="1:6" customFormat="1">
      <c r="A211" s="13" t="s">
        <v>2060</v>
      </c>
      <c r="B211" s="13"/>
      <c r="C211" s="13"/>
      <c r="E211" s="13"/>
      <c r="F211" s="13"/>
    </row>
    <row r="212" spans="1:6" customFormat="1">
      <c r="A212" s="13" t="s">
        <v>2061</v>
      </c>
      <c r="B212" s="13"/>
      <c r="C212" s="13"/>
      <c r="E212" s="13"/>
      <c r="F212" s="13"/>
    </row>
    <row r="213" spans="1:6" customFormat="1">
      <c r="A213" s="13" t="s">
        <v>2062</v>
      </c>
      <c r="B213" s="13"/>
      <c r="C213" s="13"/>
      <c r="E213" s="13"/>
      <c r="F213" s="13"/>
    </row>
    <row r="214" spans="1:6" customFormat="1">
      <c r="A214" s="13" t="s">
        <v>2063</v>
      </c>
      <c r="B214" s="13"/>
      <c r="C214" s="13"/>
      <c r="E214" s="13"/>
      <c r="F214" s="13"/>
    </row>
    <row r="215" spans="1:6" customFormat="1">
      <c r="A215" s="13" t="s">
        <v>2064</v>
      </c>
      <c r="B215" s="13"/>
      <c r="C215" s="13"/>
      <c r="E215" s="13"/>
      <c r="F215" s="13"/>
    </row>
    <row r="216" spans="1:6" customFormat="1">
      <c r="A216" s="13" t="s">
        <v>2065</v>
      </c>
      <c r="B216" s="13"/>
      <c r="C216" s="13"/>
      <c r="E216" s="13"/>
      <c r="F216" s="13"/>
    </row>
    <row r="217" spans="1:6" customFormat="1">
      <c r="A217" s="13" t="s">
        <v>2066</v>
      </c>
      <c r="B217" s="13"/>
      <c r="C217" s="13"/>
      <c r="E217" s="13"/>
      <c r="F217" s="13"/>
    </row>
    <row r="218" spans="1:6" customFormat="1">
      <c r="A218" s="13" t="s">
        <v>2067</v>
      </c>
      <c r="B218" s="13"/>
      <c r="C218" s="13"/>
      <c r="E218" s="13"/>
      <c r="F218" s="13"/>
    </row>
    <row r="219" spans="1:6" customFormat="1">
      <c r="A219" s="13" t="s">
        <v>2068</v>
      </c>
      <c r="B219" s="13"/>
      <c r="C219" s="13"/>
      <c r="E219" s="13"/>
      <c r="F219" s="13"/>
    </row>
    <row r="220" spans="1:6" customFormat="1">
      <c r="A220" s="13" t="s">
        <v>2069</v>
      </c>
      <c r="B220" s="13"/>
      <c r="C220" s="13"/>
      <c r="E220" s="13"/>
      <c r="F220" s="13"/>
    </row>
    <row r="221" spans="1:6" customFormat="1">
      <c r="A221" s="13" t="s">
        <v>2070</v>
      </c>
      <c r="B221" s="13"/>
      <c r="C221" s="13"/>
      <c r="E221" s="13"/>
      <c r="F221" s="13"/>
    </row>
    <row r="222" spans="1:6" customFormat="1">
      <c r="A222" s="13" t="s">
        <v>2071</v>
      </c>
      <c r="B222" s="13"/>
      <c r="C222" s="13"/>
      <c r="E222" s="13"/>
      <c r="F222" s="13"/>
    </row>
    <row r="223" spans="1:6" customFormat="1">
      <c r="A223" s="13" t="s">
        <v>2072</v>
      </c>
      <c r="B223" s="13"/>
      <c r="C223" s="13"/>
      <c r="E223" s="13"/>
      <c r="F223" s="13"/>
    </row>
    <row r="224" spans="1:6" customFormat="1">
      <c r="A224" s="13" t="s">
        <v>2073</v>
      </c>
      <c r="B224" s="13"/>
      <c r="C224" s="13"/>
      <c r="E224" s="13"/>
      <c r="F224" s="13"/>
    </row>
    <row r="225" spans="1:6" customFormat="1">
      <c r="A225" s="13" t="s">
        <v>2074</v>
      </c>
      <c r="B225" s="13"/>
      <c r="C225" s="13"/>
      <c r="E225" s="13"/>
      <c r="F225" s="13"/>
    </row>
    <row r="226" spans="1:6" customFormat="1">
      <c r="A226" s="13" t="s">
        <v>2075</v>
      </c>
      <c r="B226" s="13"/>
      <c r="C226" s="13"/>
      <c r="E226" s="13"/>
      <c r="F226" s="13"/>
    </row>
    <row r="227" spans="1:6" customFormat="1">
      <c r="A227" s="13" t="s">
        <v>2076</v>
      </c>
      <c r="B227" s="13"/>
      <c r="C227" s="13"/>
      <c r="E227" s="13"/>
      <c r="F227" s="13"/>
    </row>
    <row r="228" spans="1:6" customFormat="1">
      <c r="A228" s="13" t="s">
        <v>2077</v>
      </c>
      <c r="B228" s="13"/>
      <c r="C228" s="13"/>
      <c r="E228" s="13"/>
      <c r="F228" s="13"/>
    </row>
    <row r="229" spans="1:6" customFormat="1">
      <c r="A229" s="13" t="s">
        <v>2078</v>
      </c>
      <c r="B229" s="13"/>
      <c r="C229" s="13"/>
      <c r="E229" s="13"/>
      <c r="F229" s="13"/>
    </row>
    <row r="230" spans="1:6" customFormat="1">
      <c r="A230" s="13" t="s">
        <v>2079</v>
      </c>
      <c r="B230" s="13"/>
      <c r="C230" s="13"/>
      <c r="E230" s="13"/>
      <c r="F230" s="13"/>
    </row>
    <row r="231" spans="1:6" customFormat="1">
      <c r="A231" s="13" t="s">
        <v>2080</v>
      </c>
      <c r="B231" s="13"/>
      <c r="C231" s="13"/>
      <c r="E231" s="13"/>
      <c r="F231" s="13"/>
    </row>
    <row r="232" spans="1:6" customFormat="1">
      <c r="A232" s="13" t="s">
        <v>2081</v>
      </c>
      <c r="B232" s="13"/>
      <c r="C232" s="13"/>
      <c r="E232" s="13"/>
      <c r="F232" s="13"/>
    </row>
    <row r="233" spans="1:6" customFormat="1">
      <c r="A233" s="13" t="s">
        <v>2082</v>
      </c>
      <c r="B233" s="13"/>
      <c r="C233" s="13"/>
      <c r="E233" s="13"/>
      <c r="F233" s="13"/>
    </row>
    <row r="234" spans="1:6" customFormat="1">
      <c r="A234" s="13" t="s">
        <v>2083</v>
      </c>
      <c r="B234" s="13"/>
      <c r="C234" s="13"/>
      <c r="E234" s="13"/>
      <c r="F234" s="13"/>
    </row>
    <row r="235" spans="1:6" customFormat="1">
      <c r="A235" s="13" t="s">
        <v>2084</v>
      </c>
      <c r="B235" s="13"/>
      <c r="C235" s="13"/>
      <c r="E235" s="13"/>
      <c r="F235" s="13"/>
    </row>
    <row r="236" spans="1:6" customFormat="1">
      <c r="A236" s="13" t="s">
        <v>2085</v>
      </c>
      <c r="B236" s="13"/>
      <c r="C236" s="13"/>
      <c r="E236" s="13"/>
      <c r="F236" s="13"/>
    </row>
    <row r="237" spans="1:6" customFormat="1">
      <c r="A237" s="13" t="s">
        <v>2086</v>
      </c>
      <c r="B237" s="13"/>
      <c r="C237" s="13"/>
      <c r="E237" s="13"/>
      <c r="F237" s="13"/>
    </row>
    <row r="238" spans="1:6" customFormat="1">
      <c r="A238" s="13" t="s">
        <v>2087</v>
      </c>
      <c r="B238" s="13"/>
      <c r="C238" s="13"/>
      <c r="E238" s="13"/>
      <c r="F238" s="13"/>
    </row>
    <row r="239" spans="1:6" customFormat="1">
      <c r="A239" s="13" t="s">
        <v>2088</v>
      </c>
      <c r="B239" s="13"/>
      <c r="C239" s="13"/>
      <c r="E239" s="13"/>
      <c r="F239" s="13"/>
    </row>
    <row r="240" spans="1:6" customFormat="1">
      <c r="A240" s="13" t="s">
        <v>2089</v>
      </c>
      <c r="B240" s="13"/>
      <c r="C240" s="13"/>
      <c r="E240" s="13"/>
      <c r="F240" s="13"/>
    </row>
    <row r="241" spans="1:6" customFormat="1">
      <c r="A241" s="13" t="s">
        <v>2090</v>
      </c>
      <c r="B241" s="13"/>
      <c r="C241" s="13"/>
      <c r="E241" s="13"/>
      <c r="F241" s="13"/>
    </row>
    <row r="242" spans="1:6" customFormat="1">
      <c r="A242" s="13" t="s">
        <v>2091</v>
      </c>
      <c r="B242" s="13"/>
      <c r="C242" s="13"/>
      <c r="E242" s="13"/>
      <c r="F242" s="13"/>
    </row>
    <row r="243" spans="1:6" customFormat="1">
      <c r="A243" s="13" t="s">
        <v>2092</v>
      </c>
      <c r="B243" s="13"/>
      <c r="C243" s="13"/>
      <c r="E243" s="13"/>
      <c r="F243" s="13"/>
    </row>
    <row r="244" spans="1:6" customFormat="1">
      <c r="A244" s="13" t="s">
        <v>2093</v>
      </c>
      <c r="B244" s="13"/>
      <c r="C244" s="13"/>
      <c r="E244" s="13"/>
      <c r="F244" s="13"/>
    </row>
    <row r="245" spans="1:6" customFormat="1">
      <c r="A245" s="13" t="s">
        <v>2094</v>
      </c>
      <c r="B245" s="13"/>
      <c r="C245" s="13"/>
      <c r="E245" s="13"/>
      <c r="F245" s="13"/>
    </row>
    <row r="246" spans="1:6" customFormat="1">
      <c r="A246" s="13" t="s">
        <v>2095</v>
      </c>
      <c r="B246" s="13"/>
      <c r="C246" s="13"/>
      <c r="E246" s="13"/>
      <c r="F246" s="13"/>
    </row>
    <row r="247" spans="1:6" customFormat="1">
      <c r="A247" s="13" t="s">
        <v>2096</v>
      </c>
      <c r="B247" s="13"/>
      <c r="C247" s="13"/>
      <c r="E247" s="13"/>
      <c r="F247" s="13"/>
    </row>
    <row r="248" spans="1:6" customFormat="1">
      <c r="A248" s="13" t="s">
        <v>2097</v>
      </c>
      <c r="B248" s="13"/>
      <c r="C248" s="13"/>
      <c r="E248" s="13"/>
      <c r="F248" s="13"/>
    </row>
    <row r="249" spans="1:6" customFormat="1">
      <c r="A249" s="13" t="s">
        <v>2098</v>
      </c>
      <c r="B249" s="13"/>
      <c r="C249" s="13"/>
      <c r="E249" s="13"/>
      <c r="F249" s="13"/>
    </row>
    <row r="250" spans="1:6" customFormat="1">
      <c r="A250" s="13" t="s">
        <v>2099</v>
      </c>
      <c r="B250" s="13"/>
      <c r="C250" s="13"/>
      <c r="E250" s="13"/>
      <c r="F250" s="13"/>
    </row>
    <row r="251" spans="1:6" customFormat="1">
      <c r="A251" s="13" t="s">
        <v>2100</v>
      </c>
      <c r="B251" s="13"/>
      <c r="C251" s="13"/>
      <c r="E251" s="13"/>
      <c r="F251" s="13"/>
    </row>
    <row r="252" spans="1:6" customFormat="1">
      <c r="A252" s="13" t="s">
        <v>2101</v>
      </c>
      <c r="B252" s="13"/>
      <c r="C252" s="13"/>
      <c r="E252" s="13"/>
      <c r="F252" s="13"/>
    </row>
    <row r="253" spans="1:6" customFormat="1">
      <c r="A253" s="13" t="s">
        <v>2102</v>
      </c>
      <c r="B253" s="13"/>
      <c r="C253" s="13"/>
      <c r="E253" s="13"/>
      <c r="F253" s="13"/>
    </row>
    <row r="254" spans="1:6" customFormat="1">
      <c r="A254" s="13" t="s">
        <v>2103</v>
      </c>
      <c r="B254" s="13"/>
      <c r="C254" s="13"/>
      <c r="E254" s="13"/>
      <c r="F254" s="13"/>
    </row>
    <row r="255" spans="1:6" customFormat="1">
      <c r="A255" s="13" t="s">
        <v>2104</v>
      </c>
      <c r="B255" s="13"/>
      <c r="C255" s="13"/>
      <c r="E255" s="13"/>
      <c r="F255" s="13"/>
    </row>
    <row r="256" spans="1:6" customFormat="1">
      <c r="A256" s="13" t="s">
        <v>2105</v>
      </c>
      <c r="B256" s="13"/>
      <c r="C256" s="13"/>
      <c r="E256" s="13"/>
      <c r="F256" s="13"/>
    </row>
    <row r="257" spans="1:6" customFormat="1">
      <c r="A257" s="13" t="s">
        <v>2106</v>
      </c>
      <c r="B257" s="13"/>
      <c r="C257" s="13"/>
      <c r="E257" s="13"/>
      <c r="F257" s="13"/>
    </row>
    <row r="258" spans="1:6" customFormat="1">
      <c r="A258" s="13" t="s">
        <v>2107</v>
      </c>
      <c r="B258" s="13"/>
      <c r="C258" s="13"/>
      <c r="E258" s="13"/>
      <c r="F258" s="13"/>
    </row>
    <row r="259" spans="1:6" customFormat="1">
      <c r="A259" s="13" t="s">
        <v>2108</v>
      </c>
      <c r="B259" s="13"/>
      <c r="C259" s="13"/>
      <c r="E259" s="13"/>
      <c r="F259" s="13"/>
    </row>
    <row r="260" spans="1:6" customFormat="1">
      <c r="A260" s="13" t="s">
        <v>2109</v>
      </c>
      <c r="B260" s="13"/>
      <c r="C260" s="13"/>
      <c r="E260" s="13"/>
      <c r="F260" s="13"/>
    </row>
    <row r="261" spans="1:6" customFormat="1">
      <c r="A261" s="13" t="s">
        <v>2110</v>
      </c>
      <c r="B261" s="13"/>
      <c r="C261" s="13"/>
      <c r="E261" s="13"/>
      <c r="F261" s="13"/>
    </row>
    <row r="262" spans="1:6" customFormat="1">
      <c r="A262" s="13" t="s">
        <v>2111</v>
      </c>
      <c r="B262" s="13"/>
      <c r="C262" s="13"/>
      <c r="E262" s="13"/>
      <c r="F262" s="13"/>
    </row>
    <row r="263" spans="1:6" customFormat="1">
      <c r="A263" s="13" t="s">
        <v>2112</v>
      </c>
      <c r="B263" s="13"/>
      <c r="C263" s="13"/>
      <c r="E263" s="13"/>
      <c r="F263" s="13"/>
    </row>
    <row r="264" spans="1:6" customFormat="1">
      <c r="A264" s="13" t="s">
        <v>2113</v>
      </c>
      <c r="B264" s="13"/>
      <c r="C264" s="13"/>
      <c r="E264" s="13"/>
      <c r="F264" s="13"/>
    </row>
    <row r="265" spans="1:6" customFormat="1">
      <c r="A265" s="13" t="s">
        <v>2114</v>
      </c>
      <c r="B265" s="13"/>
      <c r="C265" s="13"/>
      <c r="E265" s="13"/>
      <c r="F265" s="13"/>
    </row>
    <row r="266" spans="1:6" customFormat="1">
      <c r="A266" s="13" t="s">
        <v>2115</v>
      </c>
      <c r="B266" s="13"/>
      <c r="C266" s="13"/>
      <c r="E266" s="13"/>
      <c r="F266" s="13"/>
    </row>
    <row r="267" spans="1:6" customFormat="1">
      <c r="A267" s="13" t="s">
        <v>2116</v>
      </c>
      <c r="B267" s="13"/>
      <c r="C267" s="13"/>
      <c r="E267" s="13"/>
      <c r="F267" s="13"/>
    </row>
    <row r="268" spans="1:6" customFormat="1">
      <c r="A268" s="13" t="s">
        <v>2117</v>
      </c>
      <c r="B268" s="13"/>
      <c r="C268" s="13"/>
      <c r="E268" s="13"/>
      <c r="F268" s="13"/>
    </row>
    <row r="269" spans="1:6" customFormat="1">
      <c r="A269" s="13"/>
    </row>
    <row r="270" spans="1:6" customFormat="1">
      <c r="A270" s="13"/>
    </row>
    <row r="271" spans="1:6" customFormat="1">
      <c r="A271" s="13" t="s">
        <v>2118</v>
      </c>
    </row>
    <row r="272" spans="1:6" customFormat="1">
      <c r="A272" s="13" t="s">
        <v>2119</v>
      </c>
    </row>
    <row r="273" spans="1:1" customFormat="1">
      <c r="A273" s="13" t="s">
        <v>2118</v>
      </c>
    </row>
    <row r="274" spans="1:1" customFormat="1">
      <c r="A274" s="13" t="s">
        <v>1950</v>
      </c>
    </row>
    <row r="275" spans="1:1" customFormat="1">
      <c r="A275" s="13" t="s">
        <v>2120</v>
      </c>
    </row>
    <row r="276" spans="1:1" customFormat="1">
      <c r="A276" s="13" t="s">
        <v>1950</v>
      </c>
    </row>
    <row r="277" spans="1:1" customFormat="1">
      <c r="A277" s="13" t="s">
        <v>2121</v>
      </c>
    </row>
    <row r="278" spans="1:1" customFormat="1">
      <c r="A278" s="13" t="s">
        <v>2122</v>
      </c>
    </row>
    <row r="279" spans="1:1" customFormat="1">
      <c r="A279" s="13" t="s">
        <v>2123</v>
      </c>
    </row>
    <row r="280" spans="1:1" customFormat="1">
      <c r="A280" s="13" t="s">
        <v>2124</v>
      </c>
    </row>
    <row r="281" spans="1:1" customFormat="1">
      <c r="A281" s="13" t="s">
        <v>2125</v>
      </c>
    </row>
    <row r="282" spans="1:1" customFormat="1">
      <c r="A282" s="13" t="s">
        <v>2126</v>
      </c>
    </row>
    <row r="283" spans="1:1" customFormat="1">
      <c r="A283" s="13" t="s">
        <v>2127</v>
      </c>
    </row>
    <row r="284" spans="1:1" customFormat="1">
      <c r="A284" s="13" t="s">
        <v>2128</v>
      </c>
    </row>
    <row r="285" spans="1:1" customFormat="1">
      <c r="A285" s="13"/>
    </row>
    <row r="286" spans="1:1" customFormat="1">
      <c r="A286" s="13"/>
    </row>
    <row r="287" spans="1:1" customFormat="1">
      <c r="A287" s="13" t="s">
        <v>1950</v>
      </c>
    </row>
    <row r="288" spans="1:1" customFormat="1">
      <c r="A288" s="13" t="s">
        <v>2129</v>
      </c>
    </row>
    <row r="289" spans="1:1" customFormat="1">
      <c r="A289" s="13" t="s">
        <v>1950</v>
      </c>
    </row>
    <row r="290" spans="1:1" customFormat="1">
      <c r="A290" s="13" t="s">
        <v>2130</v>
      </c>
    </row>
    <row r="291" spans="1:1" customFormat="1">
      <c r="A291" s="13" t="s">
        <v>2131</v>
      </c>
    </row>
    <row r="292" spans="1:1" customFormat="1">
      <c r="A292" s="13" t="s">
        <v>2132</v>
      </c>
    </row>
    <row r="293" spans="1:1" customFormat="1">
      <c r="A293" s="13" t="s">
        <v>2133</v>
      </c>
    </row>
    <row r="294" spans="1:1" customFormat="1">
      <c r="A294" s="13" t="s">
        <v>2134</v>
      </c>
    </row>
    <row r="295" spans="1:1" customFormat="1">
      <c r="A295" s="13" t="s">
        <v>2135</v>
      </c>
    </row>
    <row r="296" spans="1:1" customFormat="1">
      <c r="A296" s="13" t="s">
        <v>2136</v>
      </c>
    </row>
    <row r="297" spans="1:1" customFormat="1">
      <c r="A297" s="13" t="s">
        <v>2137</v>
      </c>
    </row>
    <row r="298" spans="1:1" customFormat="1">
      <c r="A298" s="13"/>
    </row>
    <row r="299" spans="1:1" customFormat="1">
      <c r="A299" s="13"/>
    </row>
    <row r="300" spans="1:1" customFormat="1">
      <c r="A300" s="13" t="s">
        <v>1950</v>
      </c>
    </row>
    <row r="301" spans="1:1" customFormat="1">
      <c r="A301" s="13" t="s">
        <v>2138</v>
      </c>
    </row>
    <row r="302" spans="1:1" customFormat="1">
      <c r="A302" s="13" t="s">
        <v>1950</v>
      </c>
    </row>
    <row r="303" spans="1:1" customFormat="1">
      <c r="A303" s="13" t="s">
        <v>2139</v>
      </c>
    </row>
    <row r="304" spans="1:1" customFormat="1">
      <c r="A304" s="13" t="s">
        <v>2140</v>
      </c>
    </row>
    <row r="305" spans="1:1" customFormat="1">
      <c r="A305" s="13" t="s">
        <v>2141</v>
      </c>
    </row>
    <row r="306" spans="1:1" customFormat="1">
      <c r="A306" s="13" t="s">
        <v>2142</v>
      </c>
    </row>
    <row r="307" spans="1:1" customFormat="1">
      <c r="A307" s="13" t="s">
        <v>2143</v>
      </c>
    </row>
    <row r="308" spans="1:1" customFormat="1">
      <c r="A308" s="13" t="s">
        <v>2144</v>
      </c>
    </row>
    <row r="309" spans="1:1" customFormat="1">
      <c r="A309" s="13" t="s">
        <v>2145</v>
      </c>
    </row>
    <row r="310" spans="1:1" customFormat="1">
      <c r="A310" s="13" t="s">
        <v>2146</v>
      </c>
    </row>
    <row r="311" spans="1:1" customFormat="1">
      <c r="A311" s="13"/>
    </row>
    <row r="312" spans="1:1" customFormat="1">
      <c r="A312" s="13"/>
    </row>
    <row r="313" spans="1:1" customFormat="1">
      <c r="A313" s="13" t="s">
        <v>1950</v>
      </c>
    </row>
    <row r="314" spans="1:1" customFormat="1">
      <c r="A314" s="13" t="s">
        <v>2147</v>
      </c>
    </row>
    <row r="315" spans="1:1" customFormat="1">
      <c r="A315" s="13" t="s">
        <v>1950</v>
      </c>
    </row>
    <row r="316" spans="1:1" customFormat="1">
      <c r="A316" s="13" t="s">
        <v>2148</v>
      </c>
    </row>
    <row r="317" spans="1:1" customFormat="1">
      <c r="A317" s="13" t="s">
        <v>2149</v>
      </c>
    </row>
    <row r="318" spans="1:1" customFormat="1">
      <c r="A318" s="13" t="s">
        <v>2150</v>
      </c>
    </row>
    <row r="319" spans="1:1" customFormat="1">
      <c r="A319" s="13" t="s">
        <v>2151</v>
      </c>
    </row>
    <row r="320" spans="1:1" customFormat="1">
      <c r="A320" s="13" t="s">
        <v>2152</v>
      </c>
    </row>
    <row r="321" spans="1:1" customFormat="1">
      <c r="A321" s="13" t="s">
        <v>2153</v>
      </c>
    </row>
    <row r="322" spans="1:1" customFormat="1">
      <c r="A322" s="13" t="s">
        <v>2154</v>
      </c>
    </row>
    <row r="323" spans="1:1" customFormat="1">
      <c r="A323" s="13" t="s">
        <v>2155</v>
      </c>
    </row>
    <row r="324" spans="1:1" customFormat="1">
      <c r="A324" s="13"/>
    </row>
    <row r="325" spans="1:1" customFormat="1">
      <c r="A325" s="13"/>
    </row>
    <row r="326" spans="1:1" customFormat="1">
      <c r="A326" s="13" t="s">
        <v>1950</v>
      </c>
    </row>
    <row r="327" spans="1:1" customFormat="1">
      <c r="A327" s="13" t="s">
        <v>2156</v>
      </c>
    </row>
    <row r="328" spans="1:1" customFormat="1">
      <c r="A328" s="13" t="s">
        <v>1950</v>
      </c>
    </row>
    <row r="329" spans="1:1" customFormat="1">
      <c r="A329" s="13" t="s">
        <v>2157</v>
      </c>
    </row>
    <row r="330" spans="1:1" customFormat="1">
      <c r="A330" s="13" t="s">
        <v>2158</v>
      </c>
    </row>
    <row r="331" spans="1:1" customFormat="1">
      <c r="A331" s="13" t="s">
        <v>2159</v>
      </c>
    </row>
    <row r="332" spans="1:1" customFormat="1">
      <c r="A332" s="13" t="s">
        <v>2160</v>
      </c>
    </row>
    <row r="333" spans="1:1" customFormat="1">
      <c r="A333" s="13" t="s">
        <v>2161</v>
      </c>
    </row>
    <row r="334" spans="1:1" customFormat="1">
      <c r="A334" s="13" t="s">
        <v>2162</v>
      </c>
    </row>
    <row r="335" spans="1:1" customFormat="1">
      <c r="A335" s="13" t="s">
        <v>2163</v>
      </c>
    </row>
    <row r="336" spans="1:1" customFormat="1">
      <c r="A336" s="13" t="s">
        <v>2164</v>
      </c>
    </row>
    <row r="337" spans="1:1" customFormat="1">
      <c r="A337" s="13"/>
    </row>
    <row r="338" spans="1:1" customFormat="1">
      <c r="A338" s="13"/>
    </row>
    <row r="339" spans="1:1" customFormat="1">
      <c r="A339" s="13" t="s">
        <v>1950</v>
      </c>
    </row>
    <row r="340" spans="1:1" customFormat="1">
      <c r="A340" s="13" t="s">
        <v>2165</v>
      </c>
    </row>
    <row r="341" spans="1:1" customFormat="1">
      <c r="A341" s="13" t="s">
        <v>1950</v>
      </c>
    </row>
    <row r="342" spans="1:1" customFormat="1">
      <c r="A342" s="13" t="s">
        <v>2166</v>
      </c>
    </row>
    <row r="343" spans="1:1" customFormat="1">
      <c r="A343" s="13" t="s">
        <v>2167</v>
      </c>
    </row>
    <row r="344" spans="1:1" customFormat="1">
      <c r="A344" s="13" t="s">
        <v>2168</v>
      </c>
    </row>
    <row r="345" spans="1:1" customFormat="1">
      <c r="A345" s="13" t="s">
        <v>2169</v>
      </c>
    </row>
    <row r="346" spans="1:1" customFormat="1">
      <c r="A346" s="13" t="s">
        <v>2170</v>
      </c>
    </row>
    <row r="347" spans="1:1" customFormat="1">
      <c r="A347" s="13" t="s">
        <v>2171</v>
      </c>
    </row>
    <row r="348" spans="1:1" customFormat="1">
      <c r="A348" s="13" t="s">
        <v>2172</v>
      </c>
    </row>
    <row r="349" spans="1:1" customFormat="1">
      <c r="A349" s="13" t="s">
        <v>2173</v>
      </c>
    </row>
    <row r="350" spans="1:1" customFormat="1">
      <c r="A350" s="13"/>
    </row>
    <row r="351" spans="1:1" customFormat="1">
      <c r="A351" s="13"/>
    </row>
    <row r="352" spans="1:1" customFormat="1">
      <c r="A352" s="13" t="s">
        <v>1950</v>
      </c>
    </row>
    <row r="353" spans="1:1" customFormat="1">
      <c r="A353" s="13" t="s">
        <v>2174</v>
      </c>
    </row>
    <row r="354" spans="1:1" customFormat="1">
      <c r="A354" s="13" t="s">
        <v>1950</v>
      </c>
    </row>
    <row r="355" spans="1:1" customFormat="1">
      <c r="A355" s="13" t="s">
        <v>2175</v>
      </c>
    </row>
    <row r="356" spans="1:1" customFormat="1">
      <c r="A356" s="13" t="s">
        <v>2176</v>
      </c>
    </row>
    <row r="357" spans="1:1" customFormat="1">
      <c r="A357" s="13" t="s">
        <v>2177</v>
      </c>
    </row>
    <row r="358" spans="1:1" customFormat="1">
      <c r="A358" s="13" t="s">
        <v>2178</v>
      </c>
    </row>
    <row r="359" spans="1:1" customFormat="1">
      <c r="A359" s="13" t="s">
        <v>2179</v>
      </c>
    </row>
    <row r="360" spans="1:1" customFormat="1">
      <c r="A360" s="13" t="s">
        <v>2180</v>
      </c>
    </row>
    <row r="361" spans="1:1" customFormat="1">
      <c r="A361" s="13" t="s">
        <v>2181</v>
      </c>
    </row>
    <row r="362" spans="1:1" customFormat="1">
      <c r="A362" s="13" t="s">
        <v>2182</v>
      </c>
    </row>
    <row r="363" spans="1:1" customFormat="1">
      <c r="A363" s="13"/>
    </row>
    <row r="364" spans="1:1" customFormat="1">
      <c r="A364" s="13"/>
    </row>
    <row r="365" spans="1:1" customFormat="1">
      <c r="A365" s="13" t="s">
        <v>1950</v>
      </c>
    </row>
    <row r="366" spans="1:1" customFormat="1">
      <c r="A366" s="13" t="s">
        <v>2183</v>
      </c>
    </row>
    <row r="367" spans="1:1" customFormat="1">
      <c r="A367" s="13" t="s">
        <v>1950</v>
      </c>
    </row>
    <row r="368" spans="1:1" customFormat="1">
      <c r="A368" s="13" t="s">
        <v>2184</v>
      </c>
    </row>
    <row r="369" spans="1:1" customFormat="1">
      <c r="A369" s="13" t="s">
        <v>2185</v>
      </c>
    </row>
    <row r="370" spans="1:1" customFormat="1">
      <c r="A370" s="13" t="s">
        <v>2186</v>
      </c>
    </row>
    <row r="371" spans="1:1" customFormat="1">
      <c r="A371" s="13" t="s">
        <v>2187</v>
      </c>
    </row>
    <row r="372" spans="1:1" customFormat="1">
      <c r="A372" s="13" t="s">
        <v>2188</v>
      </c>
    </row>
    <row r="373" spans="1:1" customFormat="1">
      <c r="A373" s="13" t="s">
        <v>2189</v>
      </c>
    </row>
    <row r="374" spans="1:1" customFormat="1">
      <c r="A374" s="13" t="s">
        <v>2190</v>
      </c>
    </row>
    <row r="375" spans="1:1" customFormat="1">
      <c r="A375" s="13" t="s">
        <v>2191</v>
      </c>
    </row>
    <row r="376" spans="1:1" customFormat="1">
      <c r="A376" s="13"/>
    </row>
    <row r="377" spans="1:1" customFormat="1">
      <c r="A377" s="13"/>
    </row>
    <row r="378" spans="1:1" customFormat="1">
      <c r="A378" s="13" t="s">
        <v>1950</v>
      </c>
    </row>
    <row r="379" spans="1:1" customFormat="1">
      <c r="A379" s="13" t="s">
        <v>2192</v>
      </c>
    </row>
    <row r="380" spans="1:1" customFormat="1">
      <c r="A380" s="13" t="s">
        <v>1950</v>
      </c>
    </row>
    <row r="381" spans="1:1" customFormat="1">
      <c r="A381" s="13" t="s">
        <v>2193</v>
      </c>
    </row>
    <row r="382" spans="1:1" customFormat="1">
      <c r="A382" s="13" t="s">
        <v>2194</v>
      </c>
    </row>
    <row r="383" spans="1:1" customFormat="1">
      <c r="A383" s="13" t="s">
        <v>2195</v>
      </c>
    </row>
    <row r="384" spans="1:1" customFormat="1">
      <c r="A384" s="13" t="s">
        <v>2196</v>
      </c>
    </row>
    <row r="385" spans="1:1" customFormat="1">
      <c r="A385" s="13" t="s">
        <v>2197</v>
      </c>
    </row>
    <row r="386" spans="1:1" customFormat="1">
      <c r="A386" s="13" t="s">
        <v>2198</v>
      </c>
    </row>
    <row r="387" spans="1:1" customFormat="1">
      <c r="A387" s="13" t="s">
        <v>2199</v>
      </c>
    </row>
    <row r="388" spans="1:1" customFormat="1">
      <c r="A388" s="13" t="s">
        <v>2200</v>
      </c>
    </row>
    <row r="389" spans="1:1" customFormat="1">
      <c r="A389" s="13"/>
    </row>
    <row r="390" spans="1:1" customFormat="1">
      <c r="A390" s="13"/>
    </row>
    <row r="391" spans="1:1" customFormat="1">
      <c r="A391" s="13" t="s">
        <v>1950</v>
      </c>
    </row>
    <row r="392" spans="1:1" customFormat="1">
      <c r="A392" s="13" t="s">
        <v>2201</v>
      </c>
    </row>
    <row r="393" spans="1:1" customFormat="1">
      <c r="A393" s="13" t="s">
        <v>1950</v>
      </c>
    </row>
    <row r="394" spans="1:1" customFormat="1">
      <c r="A394" s="13" t="s">
        <v>2202</v>
      </c>
    </row>
    <row r="395" spans="1:1" customFormat="1">
      <c r="A395" s="13" t="s">
        <v>2203</v>
      </c>
    </row>
    <row r="396" spans="1:1" customFormat="1">
      <c r="A396" s="13" t="s">
        <v>2204</v>
      </c>
    </row>
    <row r="397" spans="1:1" customFormat="1">
      <c r="A397" s="13" t="s">
        <v>2205</v>
      </c>
    </row>
    <row r="398" spans="1:1" customFormat="1">
      <c r="A398" s="13" t="s">
        <v>2206</v>
      </c>
    </row>
    <row r="399" spans="1:1" customFormat="1">
      <c r="A399" s="13" t="s">
        <v>2207</v>
      </c>
    </row>
    <row r="400" spans="1:1" customFormat="1">
      <c r="A400" s="13" t="s">
        <v>2208</v>
      </c>
    </row>
    <row r="401" spans="1:1" customFormat="1">
      <c r="A401" s="13" t="s">
        <v>2209</v>
      </c>
    </row>
    <row r="402" spans="1:1" customFormat="1">
      <c r="A402" s="13"/>
    </row>
    <row r="403" spans="1:1" customFormat="1">
      <c r="A403" s="13"/>
    </row>
    <row r="404" spans="1:1" customFormat="1">
      <c r="A404" s="13" t="s">
        <v>1950</v>
      </c>
    </row>
    <row r="405" spans="1:1" customFormat="1">
      <c r="A405" s="13" t="s">
        <v>2210</v>
      </c>
    </row>
    <row r="406" spans="1:1" customFormat="1">
      <c r="A406" s="13" t="s">
        <v>1950</v>
      </c>
    </row>
    <row r="407" spans="1:1" customFormat="1">
      <c r="A407" s="13" t="s">
        <v>2211</v>
      </c>
    </row>
    <row r="408" spans="1:1" customFormat="1">
      <c r="A408" s="13" t="s">
        <v>2212</v>
      </c>
    </row>
    <row r="409" spans="1:1" customFormat="1">
      <c r="A409" s="13" t="s">
        <v>2213</v>
      </c>
    </row>
    <row r="410" spans="1:1" customFormat="1">
      <c r="A410" s="13" t="s">
        <v>2214</v>
      </c>
    </row>
    <row r="411" spans="1:1" customFormat="1">
      <c r="A411" s="13" t="s">
        <v>2215</v>
      </c>
    </row>
    <row r="412" spans="1:1" customFormat="1">
      <c r="A412" s="13" t="s">
        <v>2216</v>
      </c>
    </row>
    <row r="413" spans="1:1" customFormat="1">
      <c r="A413" s="13" t="s">
        <v>2217</v>
      </c>
    </row>
    <row r="414" spans="1:1" customFormat="1">
      <c r="A414" s="13" t="s">
        <v>2218</v>
      </c>
    </row>
    <row r="415" spans="1:1" customFormat="1">
      <c r="A415" s="13"/>
    </row>
    <row r="416" spans="1:1" customFormat="1">
      <c r="A416" s="13"/>
    </row>
    <row r="417" spans="1:1" customFormat="1">
      <c r="A417" s="13" t="s">
        <v>1950</v>
      </c>
    </row>
    <row r="418" spans="1:1" customFormat="1">
      <c r="A418" s="13" t="s">
        <v>2219</v>
      </c>
    </row>
    <row r="419" spans="1:1" customFormat="1">
      <c r="A419" s="13" t="s">
        <v>1950</v>
      </c>
    </row>
    <row r="420" spans="1:1" customFormat="1">
      <c r="A420" s="13" t="s">
        <v>2220</v>
      </c>
    </row>
    <row r="421" spans="1:1" customFormat="1">
      <c r="A421" s="13" t="s">
        <v>2221</v>
      </c>
    </row>
    <row r="422" spans="1:1" customFormat="1">
      <c r="A422" s="13" t="s">
        <v>2222</v>
      </c>
    </row>
    <row r="423" spans="1:1" customFormat="1">
      <c r="A423" s="13" t="s">
        <v>2223</v>
      </c>
    </row>
    <row r="424" spans="1:1" customFormat="1">
      <c r="A424" s="13" t="s">
        <v>2224</v>
      </c>
    </row>
    <row r="425" spans="1:1" customFormat="1">
      <c r="A425" s="13" t="s">
        <v>2225</v>
      </c>
    </row>
    <row r="426" spans="1:1" customFormat="1">
      <c r="A426" s="13" t="s">
        <v>2226</v>
      </c>
    </row>
    <row r="427" spans="1:1" customFormat="1">
      <c r="A427" s="13" t="s">
        <v>2227</v>
      </c>
    </row>
    <row r="428" spans="1:1" customFormat="1">
      <c r="A428" s="13"/>
    </row>
    <row r="429" spans="1:1" customFormat="1">
      <c r="A429" s="13"/>
    </row>
    <row r="430" spans="1:1" customFormat="1">
      <c r="A430" s="13" t="s">
        <v>1950</v>
      </c>
    </row>
    <row r="431" spans="1:1" customFormat="1">
      <c r="A431" s="13" t="s">
        <v>2228</v>
      </c>
    </row>
    <row r="432" spans="1:1" customFormat="1">
      <c r="A432" s="13" t="s">
        <v>1950</v>
      </c>
    </row>
    <row r="433" spans="1:1" customFormat="1">
      <c r="A433" s="13" t="s">
        <v>2229</v>
      </c>
    </row>
    <row r="434" spans="1:1" customFormat="1">
      <c r="A434" s="13" t="s">
        <v>2230</v>
      </c>
    </row>
    <row r="435" spans="1:1" customFormat="1">
      <c r="A435" s="13" t="s">
        <v>2231</v>
      </c>
    </row>
    <row r="436" spans="1:1" customFormat="1">
      <c r="A436" s="13" t="s">
        <v>2232</v>
      </c>
    </row>
    <row r="437" spans="1:1" customFormat="1">
      <c r="A437" s="13" t="s">
        <v>2233</v>
      </c>
    </row>
    <row r="438" spans="1:1" customFormat="1">
      <c r="A438" s="13" t="s">
        <v>2234</v>
      </c>
    </row>
    <row r="439" spans="1:1" customFormat="1">
      <c r="A439" s="13" t="s">
        <v>2235</v>
      </c>
    </row>
    <row r="440" spans="1:1" customFormat="1">
      <c r="A440" s="13" t="s">
        <v>2236</v>
      </c>
    </row>
    <row r="441" spans="1:1" customFormat="1">
      <c r="A441" s="13"/>
    </row>
    <row r="442" spans="1:1" customFormat="1">
      <c r="A442" s="13"/>
    </row>
    <row r="443" spans="1:1" customFormat="1">
      <c r="A443" s="13" t="s">
        <v>1950</v>
      </c>
    </row>
    <row r="444" spans="1:1" customFormat="1">
      <c r="A444" s="13" t="s">
        <v>2237</v>
      </c>
    </row>
    <row r="445" spans="1:1" customFormat="1">
      <c r="A445" s="13" t="s">
        <v>1950</v>
      </c>
    </row>
    <row r="446" spans="1:1" customFormat="1">
      <c r="A446" s="13" t="s">
        <v>2238</v>
      </c>
    </row>
    <row r="447" spans="1:1" customFormat="1">
      <c r="A447" s="13" t="s">
        <v>2239</v>
      </c>
    </row>
    <row r="448" spans="1:1" customFormat="1">
      <c r="A448" s="13" t="s">
        <v>2240</v>
      </c>
    </row>
    <row r="449" spans="1:1" customFormat="1">
      <c r="A449" s="13" t="s">
        <v>2241</v>
      </c>
    </row>
    <row r="450" spans="1:1" customFormat="1">
      <c r="A450" s="13" t="s">
        <v>2242</v>
      </c>
    </row>
    <row r="451" spans="1:1" customFormat="1">
      <c r="A451" s="13" t="s">
        <v>2243</v>
      </c>
    </row>
    <row r="452" spans="1:1" customFormat="1">
      <c r="A452" s="13" t="s">
        <v>2244</v>
      </c>
    </row>
    <row r="453" spans="1:1" customFormat="1">
      <c r="A453" s="13" t="s">
        <v>2245</v>
      </c>
    </row>
    <row r="454" spans="1:1" customFormat="1">
      <c r="A454" s="13"/>
    </row>
    <row r="455" spans="1:1" customFormat="1">
      <c r="A455" s="13"/>
    </row>
    <row r="456" spans="1:1" customFormat="1">
      <c r="A456" s="13" t="s">
        <v>1950</v>
      </c>
    </row>
    <row r="457" spans="1:1" customFormat="1">
      <c r="A457" s="13" t="s">
        <v>2246</v>
      </c>
    </row>
    <row r="458" spans="1:1" customFormat="1">
      <c r="A458" s="13" t="s">
        <v>1950</v>
      </c>
    </row>
    <row r="459" spans="1:1" customFormat="1">
      <c r="A459" s="13" t="s">
        <v>2247</v>
      </c>
    </row>
    <row r="460" spans="1:1" customFormat="1">
      <c r="A460" s="13" t="s">
        <v>2248</v>
      </c>
    </row>
    <row r="461" spans="1:1" customFormat="1">
      <c r="A461" s="13" t="s">
        <v>2249</v>
      </c>
    </row>
    <row r="462" spans="1:1" customFormat="1">
      <c r="A462" s="13" t="s">
        <v>2250</v>
      </c>
    </row>
    <row r="463" spans="1:1" customFormat="1">
      <c r="A463" s="13" t="s">
        <v>2251</v>
      </c>
    </row>
    <row r="464" spans="1:1" customFormat="1">
      <c r="A464" s="13" t="s">
        <v>2252</v>
      </c>
    </row>
    <row r="465" spans="1:1" customFormat="1">
      <c r="A465" s="13" t="s">
        <v>2253</v>
      </c>
    </row>
    <row r="466" spans="1:1" customFormat="1">
      <c r="A466" s="13" t="s">
        <v>2254</v>
      </c>
    </row>
    <row r="467" spans="1:1" customFormat="1">
      <c r="A467" s="13"/>
    </row>
    <row r="468" spans="1:1" customFormat="1">
      <c r="A468" s="13"/>
    </row>
    <row r="469" spans="1:1" customFormat="1">
      <c r="A469" s="13" t="s">
        <v>1950</v>
      </c>
    </row>
    <row r="470" spans="1:1" customFormat="1">
      <c r="A470" s="13" t="s">
        <v>2255</v>
      </c>
    </row>
    <row r="471" spans="1:1" customFormat="1">
      <c r="A471" s="13" t="s">
        <v>1950</v>
      </c>
    </row>
    <row r="472" spans="1:1" customFormat="1">
      <c r="A472" s="13" t="s">
        <v>2256</v>
      </c>
    </row>
    <row r="473" spans="1:1" customFormat="1">
      <c r="A473" s="13" t="s">
        <v>2257</v>
      </c>
    </row>
    <row r="474" spans="1:1" customFormat="1">
      <c r="A474" s="13" t="s">
        <v>2258</v>
      </c>
    </row>
    <row r="475" spans="1:1" customFormat="1">
      <c r="A475" s="13" t="s">
        <v>2259</v>
      </c>
    </row>
    <row r="476" spans="1:1" customFormat="1">
      <c r="A476" s="13" t="s">
        <v>2260</v>
      </c>
    </row>
    <row r="477" spans="1:1" customFormat="1">
      <c r="A477" s="13" t="s">
        <v>2261</v>
      </c>
    </row>
    <row r="478" spans="1:1" customFormat="1">
      <c r="A478" s="13" t="s">
        <v>2262</v>
      </c>
    </row>
    <row r="479" spans="1:1" customFormat="1">
      <c r="A479" s="13" t="s">
        <v>2263</v>
      </c>
    </row>
    <row r="480" spans="1:1" customFormat="1">
      <c r="A480" s="13"/>
    </row>
    <row r="481" spans="1:1" customFormat="1">
      <c r="A481" s="13"/>
    </row>
    <row r="482" spans="1:1" customFormat="1">
      <c r="A482" s="13" t="s">
        <v>1950</v>
      </c>
    </row>
    <row r="483" spans="1:1" customFormat="1">
      <c r="A483" s="13" t="s">
        <v>2264</v>
      </c>
    </row>
    <row r="484" spans="1:1" customFormat="1">
      <c r="A484" s="13" t="s">
        <v>1950</v>
      </c>
    </row>
    <row r="485" spans="1:1" customFormat="1">
      <c r="A485" s="13" t="s">
        <v>2265</v>
      </c>
    </row>
    <row r="486" spans="1:1" customFormat="1">
      <c r="A486" s="13" t="s">
        <v>2266</v>
      </c>
    </row>
    <row r="487" spans="1:1" customFormat="1">
      <c r="A487" s="13" t="s">
        <v>2267</v>
      </c>
    </row>
    <row r="488" spans="1:1" customFormat="1">
      <c r="A488" s="13" t="s">
        <v>2268</v>
      </c>
    </row>
    <row r="489" spans="1:1" customFormat="1">
      <c r="A489" s="13" t="s">
        <v>2269</v>
      </c>
    </row>
    <row r="490" spans="1:1" customFormat="1">
      <c r="A490" s="13" t="s">
        <v>2270</v>
      </c>
    </row>
    <row r="491" spans="1:1" customFormat="1">
      <c r="A491" s="13" t="s">
        <v>2271</v>
      </c>
    </row>
    <row r="492" spans="1:1" customFormat="1">
      <c r="A492" s="13" t="s">
        <v>2272</v>
      </c>
    </row>
    <row r="493" spans="1:1" customFormat="1">
      <c r="A493" s="13"/>
    </row>
    <row r="494" spans="1:1" customFormat="1">
      <c r="A494" s="13"/>
    </row>
    <row r="495" spans="1:1" customFormat="1">
      <c r="A495" s="13" t="s">
        <v>1950</v>
      </c>
    </row>
    <row r="496" spans="1:1" customFormat="1">
      <c r="A496" s="13" t="s">
        <v>2273</v>
      </c>
    </row>
    <row r="497" spans="1:1" customFormat="1">
      <c r="A497" s="13" t="s">
        <v>1950</v>
      </c>
    </row>
    <row r="498" spans="1:1" customFormat="1">
      <c r="A498" s="13" t="s">
        <v>2274</v>
      </c>
    </row>
    <row r="499" spans="1:1" customFormat="1">
      <c r="A499" s="13" t="s">
        <v>2275</v>
      </c>
    </row>
    <row r="500" spans="1:1" customFormat="1">
      <c r="A500" s="13" t="s">
        <v>2276</v>
      </c>
    </row>
    <row r="501" spans="1:1" customFormat="1">
      <c r="A501" s="13" t="s">
        <v>2277</v>
      </c>
    </row>
    <row r="502" spans="1:1" customFormat="1">
      <c r="A502" s="13" t="s">
        <v>2278</v>
      </c>
    </row>
    <row r="503" spans="1:1" customFormat="1">
      <c r="A503" s="13" t="s">
        <v>7768</v>
      </c>
    </row>
    <row r="504" spans="1:1" customFormat="1">
      <c r="A504" s="13" t="s">
        <v>2279</v>
      </c>
    </row>
    <row r="505" spans="1:1" customFormat="1">
      <c r="A505" s="13" t="s">
        <v>2280</v>
      </c>
    </row>
    <row r="506" spans="1:1" customFormat="1">
      <c r="A506" s="13"/>
    </row>
    <row r="507" spans="1:1" customFormat="1">
      <c r="A507" s="13"/>
    </row>
    <row r="508" spans="1:1" customFormat="1">
      <c r="A508" s="13" t="s">
        <v>1950</v>
      </c>
    </row>
    <row r="509" spans="1:1" customFormat="1">
      <c r="A509" s="13" t="s">
        <v>2281</v>
      </c>
    </row>
    <row r="510" spans="1:1" customFormat="1">
      <c r="A510" s="13" t="s">
        <v>1950</v>
      </c>
    </row>
    <row r="511" spans="1:1" customFormat="1">
      <c r="A511" s="13" t="s">
        <v>2282</v>
      </c>
    </row>
    <row r="512" spans="1:1" customFormat="1">
      <c r="A512" s="13" t="s">
        <v>2283</v>
      </c>
    </row>
    <row r="513" spans="1:1" customFormat="1">
      <c r="A513" s="13" t="s">
        <v>2284</v>
      </c>
    </row>
    <row r="514" spans="1:1" customFormat="1">
      <c r="A514" s="13" t="s">
        <v>2285</v>
      </c>
    </row>
    <row r="515" spans="1:1" customFormat="1">
      <c r="A515" s="13" t="s">
        <v>2286</v>
      </c>
    </row>
    <row r="516" spans="1:1" customFormat="1">
      <c r="A516" s="13" t="s">
        <v>2287</v>
      </c>
    </row>
    <row r="517" spans="1:1" customFormat="1">
      <c r="A517" s="13" t="s">
        <v>2288</v>
      </c>
    </row>
    <row r="518" spans="1:1" customFormat="1">
      <c r="A518" s="13" t="s">
        <v>2289</v>
      </c>
    </row>
    <row r="519" spans="1:1" customFormat="1">
      <c r="A519" s="13"/>
    </row>
    <row r="520" spans="1:1" customFormat="1">
      <c r="A520" s="13"/>
    </row>
    <row r="521" spans="1:1" customFormat="1">
      <c r="A521" s="13" t="s">
        <v>1950</v>
      </c>
    </row>
    <row r="522" spans="1:1" customFormat="1">
      <c r="A522" s="13" t="s">
        <v>2290</v>
      </c>
    </row>
    <row r="523" spans="1:1" customFormat="1">
      <c r="A523" s="13" t="s">
        <v>1950</v>
      </c>
    </row>
    <row r="524" spans="1:1" customFormat="1">
      <c r="A524" s="13" t="s">
        <v>2291</v>
      </c>
    </row>
    <row r="525" spans="1:1" customFormat="1">
      <c r="A525" s="13" t="s">
        <v>2292</v>
      </c>
    </row>
    <row r="526" spans="1:1" customFormat="1">
      <c r="A526" s="13" t="s">
        <v>2293</v>
      </c>
    </row>
    <row r="527" spans="1:1" customFormat="1">
      <c r="A527" s="13" t="s">
        <v>2294</v>
      </c>
    </row>
    <row r="528" spans="1:1" customFormat="1">
      <c r="A528" s="13" t="s">
        <v>2295</v>
      </c>
    </row>
    <row r="529" spans="1:1" customFormat="1">
      <c r="A529" s="13" t="s">
        <v>2296</v>
      </c>
    </row>
    <row r="530" spans="1:1" customFormat="1">
      <c r="A530" s="13" t="s">
        <v>2297</v>
      </c>
    </row>
    <row r="531" spans="1:1" customFormat="1">
      <c r="A531" s="13" t="s">
        <v>2298</v>
      </c>
    </row>
    <row r="532" spans="1:1" customFormat="1">
      <c r="A532" s="13"/>
    </row>
    <row r="533" spans="1:1" customFormat="1">
      <c r="A533" s="13"/>
    </row>
    <row r="534" spans="1:1" customFormat="1">
      <c r="A534" s="13" t="s">
        <v>1950</v>
      </c>
    </row>
    <row r="535" spans="1:1" customFormat="1">
      <c r="A535" s="13" t="s">
        <v>2299</v>
      </c>
    </row>
    <row r="536" spans="1:1" customFormat="1">
      <c r="A536" s="13" t="s">
        <v>1950</v>
      </c>
    </row>
    <row r="537" spans="1:1" customFormat="1">
      <c r="A537" s="13" t="s">
        <v>2300</v>
      </c>
    </row>
    <row r="538" spans="1:1" customFormat="1">
      <c r="A538" s="13" t="s">
        <v>2301</v>
      </c>
    </row>
    <row r="539" spans="1:1" customFormat="1">
      <c r="A539" s="13" t="s">
        <v>2302</v>
      </c>
    </row>
    <row r="540" spans="1:1" customFormat="1">
      <c r="A540" s="13" t="s">
        <v>2303</v>
      </c>
    </row>
    <row r="541" spans="1:1" customFormat="1">
      <c r="A541" s="13" t="s">
        <v>2304</v>
      </c>
    </row>
    <row r="542" spans="1:1" customFormat="1">
      <c r="A542" s="13" t="s">
        <v>2305</v>
      </c>
    </row>
    <row r="543" spans="1:1" customFormat="1">
      <c r="A543" s="13" t="s">
        <v>2306</v>
      </c>
    </row>
    <row r="544" spans="1:1" customFormat="1">
      <c r="A544" s="13" t="s">
        <v>2307</v>
      </c>
    </row>
    <row r="545" spans="1:1" customFormat="1">
      <c r="A545" s="13"/>
    </row>
    <row r="546" spans="1:1" customFormat="1">
      <c r="A546" s="13"/>
    </row>
    <row r="547" spans="1:1" customFormat="1">
      <c r="A547" s="13" t="s">
        <v>1950</v>
      </c>
    </row>
    <row r="548" spans="1:1" customFormat="1">
      <c r="A548" s="13" t="s">
        <v>2308</v>
      </c>
    </row>
    <row r="549" spans="1:1" customFormat="1">
      <c r="A549" s="13" t="s">
        <v>1950</v>
      </c>
    </row>
    <row r="550" spans="1:1" customFormat="1">
      <c r="A550" s="13" t="s">
        <v>2309</v>
      </c>
    </row>
    <row r="551" spans="1:1" customFormat="1">
      <c r="A551" s="13" t="s">
        <v>2310</v>
      </c>
    </row>
    <row r="552" spans="1:1" customFormat="1">
      <c r="A552" s="13" t="s">
        <v>2311</v>
      </c>
    </row>
    <row r="553" spans="1:1" customFormat="1">
      <c r="A553" s="13" t="s">
        <v>2312</v>
      </c>
    </row>
    <row r="554" spans="1:1" customFormat="1">
      <c r="A554" s="13" t="s">
        <v>2313</v>
      </c>
    </row>
    <row r="555" spans="1:1" customFormat="1">
      <c r="A555" s="13" t="s">
        <v>7769</v>
      </c>
    </row>
    <row r="556" spans="1:1" customFormat="1">
      <c r="A556" s="13" t="s">
        <v>2314</v>
      </c>
    </row>
    <row r="557" spans="1:1" customFormat="1">
      <c r="A557" s="13" t="s">
        <v>2315</v>
      </c>
    </row>
    <row r="558" spans="1:1" customFormat="1">
      <c r="A558" s="13"/>
    </row>
    <row r="559" spans="1:1" customFormat="1">
      <c r="A559" s="13"/>
    </row>
    <row r="560" spans="1:1" customFormat="1">
      <c r="A560" s="13" t="s">
        <v>1950</v>
      </c>
    </row>
    <row r="561" spans="1:1" customFormat="1">
      <c r="A561" s="13" t="s">
        <v>2316</v>
      </c>
    </row>
    <row r="562" spans="1:1" customFormat="1">
      <c r="A562" s="13" t="s">
        <v>1950</v>
      </c>
    </row>
    <row r="563" spans="1:1" customFormat="1">
      <c r="A563" s="13" t="s">
        <v>2317</v>
      </c>
    </row>
    <row r="564" spans="1:1" customFormat="1">
      <c r="A564" s="13" t="s">
        <v>2318</v>
      </c>
    </row>
    <row r="565" spans="1:1" customFormat="1">
      <c r="A565" s="13" t="s">
        <v>2319</v>
      </c>
    </row>
    <row r="566" spans="1:1" customFormat="1">
      <c r="A566" s="13" t="s">
        <v>2320</v>
      </c>
    </row>
    <row r="567" spans="1:1" customFormat="1">
      <c r="A567" s="13" t="s">
        <v>2321</v>
      </c>
    </row>
    <row r="568" spans="1:1" customFormat="1">
      <c r="A568" s="13" t="s">
        <v>7770</v>
      </c>
    </row>
    <row r="569" spans="1:1" customFormat="1">
      <c r="A569" s="13" t="s">
        <v>2322</v>
      </c>
    </row>
    <row r="570" spans="1:1" customFormat="1">
      <c r="A570" s="13" t="s">
        <v>2323</v>
      </c>
    </row>
    <row r="571" spans="1:1" customFormat="1">
      <c r="A571" s="13"/>
    </row>
    <row r="572" spans="1:1" customFormat="1">
      <c r="A572" s="13"/>
    </row>
    <row r="573" spans="1:1" customFormat="1">
      <c r="A573" s="13" t="s">
        <v>1950</v>
      </c>
    </row>
    <row r="574" spans="1:1" customFormat="1">
      <c r="A574" s="13" t="s">
        <v>2324</v>
      </c>
    </row>
    <row r="575" spans="1:1" customFormat="1">
      <c r="A575" s="13" t="s">
        <v>1950</v>
      </c>
    </row>
    <row r="576" spans="1:1" customFormat="1">
      <c r="A576" s="13" t="s">
        <v>2325</v>
      </c>
    </row>
    <row r="577" spans="1:1" customFormat="1">
      <c r="A577" s="13" t="s">
        <v>2326</v>
      </c>
    </row>
    <row r="578" spans="1:1" customFormat="1">
      <c r="A578" s="13" t="s">
        <v>2327</v>
      </c>
    </row>
    <row r="579" spans="1:1" customFormat="1">
      <c r="A579" s="13" t="s">
        <v>2328</v>
      </c>
    </row>
    <row r="580" spans="1:1" customFormat="1">
      <c r="A580" s="13" t="s">
        <v>2329</v>
      </c>
    </row>
    <row r="581" spans="1:1" customFormat="1">
      <c r="A581" s="13" t="s">
        <v>2330</v>
      </c>
    </row>
    <row r="582" spans="1:1" customFormat="1">
      <c r="A582" s="13" t="s">
        <v>2331</v>
      </c>
    </row>
    <row r="583" spans="1:1" customFormat="1">
      <c r="A583" s="13" t="s">
        <v>2332</v>
      </c>
    </row>
    <row r="584" spans="1:1" customFormat="1">
      <c r="A584" s="13" t="s">
        <v>2333</v>
      </c>
    </row>
    <row r="585" spans="1:1" customFormat="1">
      <c r="A585" s="13" t="s">
        <v>2334</v>
      </c>
    </row>
    <row r="586" spans="1:1" customFormat="1">
      <c r="A586" s="13" t="s">
        <v>2335</v>
      </c>
    </row>
    <row r="587" spans="1:1" customFormat="1">
      <c r="A587" s="13" t="s">
        <v>2336</v>
      </c>
    </row>
    <row r="588" spans="1:1" customFormat="1">
      <c r="A588" s="13" t="s">
        <v>2337</v>
      </c>
    </row>
    <row r="589" spans="1:1" customFormat="1">
      <c r="A589" s="13" t="s">
        <v>2338</v>
      </c>
    </row>
    <row r="590" spans="1:1" customFormat="1">
      <c r="A590" s="13" t="s">
        <v>2339</v>
      </c>
    </row>
    <row r="591" spans="1:1" customFormat="1">
      <c r="A591" s="13" t="s">
        <v>2340</v>
      </c>
    </row>
    <row r="592" spans="1:1" customFormat="1">
      <c r="A592" s="13" t="s">
        <v>2341</v>
      </c>
    </row>
    <row r="593" spans="1:1" customFormat="1">
      <c r="A593" s="13" t="s">
        <v>2342</v>
      </c>
    </row>
    <row r="594" spans="1:1" customFormat="1">
      <c r="A594" s="13" t="s">
        <v>2343</v>
      </c>
    </row>
    <row r="595" spans="1:1" customFormat="1">
      <c r="A595" s="13" t="s">
        <v>2344</v>
      </c>
    </row>
    <row r="596" spans="1:1" customFormat="1">
      <c r="A596" s="13" t="s">
        <v>2345</v>
      </c>
    </row>
    <row r="597" spans="1:1" customFormat="1">
      <c r="A597" s="13" t="s">
        <v>2346</v>
      </c>
    </row>
    <row r="598" spans="1:1" customFormat="1">
      <c r="A598" s="13" t="s">
        <v>2347</v>
      </c>
    </row>
    <row r="599" spans="1:1" customFormat="1">
      <c r="A599" s="13" t="s">
        <v>2348</v>
      </c>
    </row>
    <row r="600" spans="1:1" customFormat="1">
      <c r="A600" s="13" t="s">
        <v>2349</v>
      </c>
    </row>
    <row r="601" spans="1:1" customFormat="1">
      <c r="A601" s="13" t="s">
        <v>2350</v>
      </c>
    </row>
    <row r="602" spans="1:1" customFormat="1">
      <c r="A602" s="13" t="s">
        <v>2351</v>
      </c>
    </row>
    <row r="603" spans="1:1" customFormat="1">
      <c r="A603" s="13" t="s">
        <v>2352</v>
      </c>
    </row>
    <row r="604" spans="1:1" customFormat="1">
      <c r="A604" s="13" t="s">
        <v>2353</v>
      </c>
    </row>
    <row r="605" spans="1:1" customFormat="1">
      <c r="A605" s="13" t="s">
        <v>2354</v>
      </c>
    </row>
    <row r="606" spans="1:1" customFormat="1">
      <c r="A606" s="13" t="s">
        <v>2355</v>
      </c>
    </row>
    <row r="607" spans="1:1" customFormat="1">
      <c r="A607" s="13" t="s">
        <v>2356</v>
      </c>
    </row>
    <row r="608" spans="1:1" customFormat="1">
      <c r="A608" s="13" t="s">
        <v>2357</v>
      </c>
    </row>
    <row r="609" spans="1:1" customFormat="1">
      <c r="A609" s="13" t="s">
        <v>2358</v>
      </c>
    </row>
    <row r="610" spans="1:1" customFormat="1">
      <c r="A610" s="13" t="s">
        <v>2359</v>
      </c>
    </row>
    <row r="611" spans="1:1" customFormat="1">
      <c r="A611" s="13" t="s">
        <v>2360</v>
      </c>
    </row>
    <row r="612" spans="1:1" customFormat="1">
      <c r="A612" s="13" t="s">
        <v>2361</v>
      </c>
    </row>
    <row r="613" spans="1:1" customFormat="1">
      <c r="A613" s="13" t="s">
        <v>2362</v>
      </c>
    </row>
    <row r="614" spans="1:1" customFormat="1">
      <c r="A614" s="13" t="s">
        <v>2363</v>
      </c>
    </row>
    <row r="615" spans="1:1" customFormat="1">
      <c r="A615" s="13" t="s">
        <v>2364</v>
      </c>
    </row>
    <row r="616" spans="1:1" customFormat="1">
      <c r="A616" s="13" t="s">
        <v>2365</v>
      </c>
    </row>
    <row r="617" spans="1:1" customFormat="1">
      <c r="A617" s="13" t="s">
        <v>2366</v>
      </c>
    </row>
    <row r="618" spans="1:1" customFormat="1">
      <c r="A618" s="13" t="s">
        <v>2367</v>
      </c>
    </row>
    <row r="619" spans="1:1" customFormat="1">
      <c r="A619" s="13" t="s">
        <v>2368</v>
      </c>
    </row>
    <row r="620" spans="1:1" customFormat="1">
      <c r="A620" s="13" t="s">
        <v>2369</v>
      </c>
    </row>
    <row r="621" spans="1:1" customFormat="1">
      <c r="A621" s="13" t="s">
        <v>2370</v>
      </c>
    </row>
    <row r="622" spans="1:1" customFormat="1">
      <c r="A622" s="13" t="s">
        <v>2371</v>
      </c>
    </row>
    <row r="623" spans="1:1" customFormat="1">
      <c r="A623" s="13" t="s">
        <v>2372</v>
      </c>
    </row>
    <row r="624" spans="1:1" customFormat="1">
      <c r="A624" s="13" t="s">
        <v>2373</v>
      </c>
    </row>
    <row r="625" spans="1:1" customFormat="1">
      <c r="A625" s="13" t="s">
        <v>2374</v>
      </c>
    </row>
    <row r="626" spans="1:1" customFormat="1">
      <c r="A626" s="13" t="s">
        <v>2375</v>
      </c>
    </row>
    <row r="627" spans="1:1" customFormat="1">
      <c r="A627" s="13" t="s">
        <v>2376</v>
      </c>
    </row>
    <row r="628" spans="1:1" customFormat="1">
      <c r="A628" s="13" t="s">
        <v>2377</v>
      </c>
    </row>
    <row r="629" spans="1:1" customFormat="1">
      <c r="A629" s="13" t="s">
        <v>2378</v>
      </c>
    </row>
    <row r="630" spans="1:1" customFormat="1">
      <c r="A630" s="13" t="s">
        <v>2379</v>
      </c>
    </row>
    <row r="631" spans="1:1" customFormat="1">
      <c r="A631" s="13" t="s">
        <v>2380</v>
      </c>
    </row>
    <row r="632" spans="1:1" customFormat="1">
      <c r="A632" s="13" t="s">
        <v>2381</v>
      </c>
    </row>
    <row r="633" spans="1:1" customFormat="1">
      <c r="A633" s="13" t="s">
        <v>2382</v>
      </c>
    </row>
    <row r="634" spans="1:1" customFormat="1">
      <c r="A634" s="13" t="s">
        <v>2383</v>
      </c>
    </row>
    <row r="635" spans="1:1" customFormat="1">
      <c r="A635" s="13" t="s">
        <v>2384</v>
      </c>
    </row>
    <row r="636" spans="1:1" customFormat="1">
      <c r="A636" s="13" t="s">
        <v>2385</v>
      </c>
    </row>
    <row r="637" spans="1:1" customFormat="1">
      <c r="A637" s="13" t="s">
        <v>2386</v>
      </c>
    </row>
    <row r="638" spans="1:1" customFormat="1">
      <c r="A638" s="13" t="s">
        <v>2387</v>
      </c>
    </row>
    <row r="639" spans="1:1" customFormat="1">
      <c r="A639" s="13" t="s">
        <v>2388</v>
      </c>
    </row>
    <row r="640" spans="1:1" customFormat="1">
      <c r="A640" s="13" t="s">
        <v>2389</v>
      </c>
    </row>
    <row r="641" spans="1:1" customFormat="1">
      <c r="A641" s="13" t="s">
        <v>2390</v>
      </c>
    </row>
    <row r="642" spans="1:1" customFormat="1">
      <c r="A642" s="13" t="s">
        <v>2391</v>
      </c>
    </row>
    <row r="643" spans="1:1" customFormat="1">
      <c r="A643" s="13" t="s">
        <v>2392</v>
      </c>
    </row>
    <row r="644" spans="1:1" customFormat="1">
      <c r="A644" s="13" t="s">
        <v>2393</v>
      </c>
    </row>
    <row r="645" spans="1:1" customFormat="1">
      <c r="A645" s="13" t="s">
        <v>2394</v>
      </c>
    </row>
    <row r="646" spans="1:1" customFormat="1">
      <c r="A646" s="13" t="s">
        <v>2395</v>
      </c>
    </row>
    <row r="647" spans="1:1" customFormat="1">
      <c r="A647" s="13" t="s">
        <v>2396</v>
      </c>
    </row>
    <row r="648" spans="1:1" customFormat="1">
      <c r="A648" s="13" t="s">
        <v>2397</v>
      </c>
    </row>
    <row r="649" spans="1:1" customFormat="1">
      <c r="A649" s="13" t="s">
        <v>2398</v>
      </c>
    </row>
    <row r="650" spans="1:1" customFormat="1">
      <c r="A650" s="13" t="s">
        <v>2399</v>
      </c>
    </row>
    <row r="651" spans="1:1" customFormat="1">
      <c r="A651" s="13" t="s">
        <v>2400</v>
      </c>
    </row>
    <row r="652" spans="1:1" customFormat="1">
      <c r="A652" s="13" t="s">
        <v>2401</v>
      </c>
    </row>
    <row r="653" spans="1:1" customFormat="1">
      <c r="A653" s="13" t="s">
        <v>2402</v>
      </c>
    </row>
    <row r="654" spans="1:1" customFormat="1">
      <c r="A654" s="13" t="s">
        <v>2403</v>
      </c>
    </row>
    <row r="655" spans="1:1" customFormat="1">
      <c r="A655" s="13" t="s">
        <v>2404</v>
      </c>
    </row>
    <row r="656" spans="1:1" customFormat="1">
      <c r="A656" s="13" t="s">
        <v>2405</v>
      </c>
    </row>
    <row r="657" spans="1:1" customFormat="1">
      <c r="A657" s="13" t="s">
        <v>2406</v>
      </c>
    </row>
    <row r="658" spans="1:1" customFormat="1">
      <c r="A658" s="13" t="s">
        <v>2407</v>
      </c>
    </row>
    <row r="659" spans="1:1" customFormat="1">
      <c r="A659" s="13" t="s">
        <v>2408</v>
      </c>
    </row>
    <row r="660" spans="1:1" customFormat="1">
      <c r="A660" s="13" t="s">
        <v>2409</v>
      </c>
    </row>
    <row r="661" spans="1:1" customFormat="1">
      <c r="A661" s="13" t="s">
        <v>2410</v>
      </c>
    </row>
    <row r="662" spans="1:1" customFormat="1">
      <c r="A662" s="13" t="s">
        <v>2411</v>
      </c>
    </row>
    <row r="663" spans="1:1" customFormat="1">
      <c r="A663" s="13" t="s">
        <v>2412</v>
      </c>
    </row>
    <row r="664" spans="1:1" customFormat="1">
      <c r="A664" s="13" t="s">
        <v>2413</v>
      </c>
    </row>
    <row r="665" spans="1:1" customFormat="1">
      <c r="A665" s="13" t="s">
        <v>2414</v>
      </c>
    </row>
    <row r="666" spans="1:1" customFormat="1">
      <c r="A666" s="13" t="s">
        <v>2415</v>
      </c>
    </row>
    <row r="667" spans="1:1" customFormat="1">
      <c r="A667" s="13" t="s">
        <v>2416</v>
      </c>
    </row>
    <row r="668" spans="1:1" customFormat="1">
      <c r="A668" s="13" t="s">
        <v>2417</v>
      </c>
    </row>
    <row r="669" spans="1:1" customFormat="1">
      <c r="A669" s="13" t="s">
        <v>2418</v>
      </c>
    </row>
    <row r="670" spans="1:1" customFormat="1">
      <c r="A670" s="13" t="s">
        <v>2419</v>
      </c>
    </row>
    <row r="671" spans="1:1" customFormat="1">
      <c r="A671" s="13" t="s">
        <v>2420</v>
      </c>
    </row>
    <row r="672" spans="1:1" customFormat="1">
      <c r="A672" s="13" t="s">
        <v>2421</v>
      </c>
    </row>
    <row r="673" spans="1:1" customFormat="1">
      <c r="A673" s="13" t="s">
        <v>2422</v>
      </c>
    </row>
    <row r="674" spans="1:1" customFormat="1">
      <c r="A674" s="13" t="s">
        <v>2423</v>
      </c>
    </row>
    <row r="675" spans="1:1" customFormat="1">
      <c r="A675" s="13" t="s">
        <v>2424</v>
      </c>
    </row>
    <row r="676" spans="1:1" customFormat="1">
      <c r="A676" s="13" t="s">
        <v>2425</v>
      </c>
    </row>
    <row r="677" spans="1:1" customFormat="1">
      <c r="A677" s="13" t="s">
        <v>2426</v>
      </c>
    </row>
    <row r="678" spans="1:1" customFormat="1">
      <c r="A678" s="13" t="s">
        <v>2427</v>
      </c>
    </row>
    <row r="679" spans="1:1" customFormat="1">
      <c r="A679" s="13" t="s">
        <v>2428</v>
      </c>
    </row>
    <row r="680" spans="1:1" customFormat="1">
      <c r="A680" s="13" t="s">
        <v>2429</v>
      </c>
    </row>
    <row r="681" spans="1:1" customFormat="1">
      <c r="A681" s="13" t="s">
        <v>2430</v>
      </c>
    </row>
    <row r="682" spans="1:1" customFormat="1">
      <c r="A682" s="13" t="s">
        <v>2431</v>
      </c>
    </row>
    <row r="683" spans="1:1" customFormat="1">
      <c r="A683" s="13" t="s">
        <v>2432</v>
      </c>
    </row>
    <row r="684" spans="1:1" customFormat="1">
      <c r="A684" s="13" t="s">
        <v>2433</v>
      </c>
    </row>
    <row r="685" spans="1:1" customFormat="1">
      <c r="A685" s="13" t="s">
        <v>2434</v>
      </c>
    </row>
    <row r="686" spans="1:1" customFormat="1">
      <c r="A686" s="13" t="s">
        <v>2435</v>
      </c>
    </row>
    <row r="687" spans="1:1" customFormat="1">
      <c r="A687" s="13" t="s">
        <v>2436</v>
      </c>
    </row>
    <row r="688" spans="1:1" customFormat="1">
      <c r="A688" s="13" t="s">
        <v>2437</v>
      </c>
    </row>
    <row r="689" spans="1:1" customFormat="1">
      <c r="A689" s="13" t="s">
        <v>2438</v>
      </c>
    </row>
    <row r="690" spans="1:1" customFormat="1">
      <c r="A690" s="13" t="s">
        <v>2439</v>
      </c>
    </row>
    <row r="691" spans="1:1" customFormat="1">
      <c r="A691" s="13" t="s">
        <v>2440</v>
      </c>
    </row>
    <row r="692" spans="1:1" customFormat="1">
      <c r="A692" s="13" t="s">
        <v>2441</v>
      </c>
    </row>
    <row r="693" spans="1:1" customFormat="1">
      <c r="A693" s="13" t="s">
        <v>2442</v>
      </c>
    </row>
    <row r="694" spans="1:1" customFormat="1">
      <c r="A694" s="13" t="s">
        <v>2443</v>
      </c>
    </row>
    <row r="695" spans="1:1" customFormat="1">
      <c r="A695" s="13" t="s">
        <v>2444</v>
      </c>
    </row>
    <row r="696" spans="1:1" customFormat="1">
      <c r="A696" s="13" t="s">
        <v>2445</v>
      </c>
    </row>
    <row r="697" spans="1:1" customFormat="1">
      <c r="A697" s="13" t="s">
        <v>2446</v>
      </c>
    </row>
    <row r="698" spans="1:1" customFormat="1">
      <c r="A698" s="13" t="s">
        <v>2447</v>
      </c>
    </row>
    <row r="699" spans="1:1" customFormat="1">
      <c r="A699" s="13" t="s">
        <v>2448</v>
      </c>
    </row>
    <row r="700" spans="1:1" customFormat="1">
      <c r="A700" s="13" t="s">
        <v>2449</v>
      </c>
    </row>
    <row r="701" spans="1:1" customFormat="1">
      <c r="A701" s="13" t="s">
        <v>2450</v>
      </c>
    </row>
    <row r="702" spans="1:1" customFormat="1">
      <c r="A702" s="13" t="s">
        <v>2451</v>
      </c>
    </row>
    <row r="703" spans="1:1" customFormat="1">
      <c r="A703" s="13" t="s">
        <v>2452</v>
      </c>
    </row>
    <row r="704" spans="1:1" customFormat="1">
      <c r="A704" s="13" t="s">
        <v>2453</v>
      </c>
    </row>
    <row r="705" spans="1:1" customFormat="1">
      <c r="A705" s="13" t="s">
        <v>2454</v>
      </c>
    </row>
    <row r="706" spans="1:1" customFormat="1">
      <c r="A706" s="13" t="s">
        <v>2455</v>
      </c>
    </row>
    <row r="707" spans="1:1" customFormat="1">
      <c r="A707" s="13" t="s">
        <v>2456</v>
      </c>
    </row>
    <row r="708" spans="1:1" customFormat="1">
      <c r="A708" s="13" t="s">
        <v>2457</v>
      </c>
    </row>
    <row r="709" spans="1:1" customFormat="1">
      <c r="A709" s="13" t="s">
        <v>2458</v>
      </c>
    </row>
    <row r="710" spans="1:1" customFormat="1">
      <c r="A710" s="13" t="s">
        <v>2459</v>
      </c>
    </row>
    <row r="711" spans="1:1" customFormat="1">
      <c r="A711" s="13" t="s">
        <v>2460</v>
      </c>
    </row>
    <row r="712" spans="1:1" customFormat="1">
      <c r="A712" s="13" t="s">
        <v>2461</v>
      </c>
    </row>
    <row r="713" spans="1:1" customFormat="1">
      <c r="A713" s="13" t="s">
        <v>2462</v>
      </c>
    </row>
    <row r="714" spans="1:1" customFormat="1">
      <c r="A714" s="13" t="s">
        <v>2463</v>
      </c>
    </row>
    <row r="715" spans="1:1" customFormat="1">
      <c r="A715" s="13" t="s">
        <v>2464</v>
      </c>
    </row>
    <row r="716" spans="1:1" customFormat="1">
      <c r="A716" s="13" t="s">
        <v>2465</v>
      </c>
    </row>
    <row r="717" spans="1:1" customFormat="1">
      <c r="A717" s="13" t="s">
        <v>2466</v>
      </c>
    </row>
    <row r="718" spans="1:1" customFormat="1">
      <c r="A718" s="13" t="s">
        <v>2467</v>
      </c>
    </row>
    <row r="719" spans="1:1" customFormat="1">
      <c r="A719" s="13" t="s">
        <v>2468</v>
      </c>
    </row>
    <row r="720" spans="1:1" customFormat="1">
      <c r="A720" s="13" t="s">
        <v>2469</v>
      </c>
    </row>
    <row r="721" spans="1:1" customFormat="1">
      <c r="A721" s="13" t="s">
        <v>2470</v>
      </c>
    </row>
    <row r="722" spans="1:1" customFormat="1">
      <c r="A722" s="13" t="s">
        <v>2471</v>
      </c>
    </row>
    <row r="723" spans="1:1" customFormat="1">
      <c r="A723" s="13" t="s">
        <v>2472</v>
      </c>
    </row>
    <row r="724" spans="1:1" customFormat="1">
      <c r="A724" s="13" t="s">
        <v>2473</v>
      </c>
    </row>
    <row r="725" spans="1:1" customFormat="1">
      <c r="A725" s="13" t="s">
        <v>2474</v>
      </c>
    </row>
    <row r="726" spans="1:1" customFormat="1">
      <c r="A726" s="13" t="s">
        <v>2475</v>
      </c>
    </row>
    <row r="727" spans="1:1" customFormat="1">
      <c r="A727" s="13" t="s">
        <v>2476</v>
      </c>
    </row>
    <row r="728" spans="1:1" customFormat="1">
      <c r="A728" s="13" t="s">
        <v>2477</v>
      </c>
    </row>
    <row r="729" spans="1:1" customFormat="1">
      <c r="A729" s="13" t="s">
        <v>2478</v>
      </c>
    </row>
    <row r="730" spans="1:1" customFormat="1">
      <c r="A730" s="13" t="s">
        <v>2479</v>
      </c>
    </row>
    <row r="731" spans="1:1" customFormat="1">
      <c r="A731" s="13" t="s">
        <v>2480</v>
      </c>
    </row>
    <row r="732" spans="1:1" customFormat="1">
      <c r="A732" s="13" t="s">
        <v>2481</v>
      </c>
    </row>
    <row r="733" spans="1:1" customFormat="1">
      <c r="A733" s="13" t="s">
        <v>2482</v>
      </c>
    </row>
    <row r="734" spans="1:1" customFormat="1">
      <c r="A734" s="13" t="s">
        <v>2483</v>
      </c>
    </row>
    <row r="735" spans="1:1" customFormat="1">
      <c r="A735" s="13" t="s">
        <v>2484</v>
      </c>
    </row>
    <row r="736" spans="1:1" customFormat="1">
      <c r="A736" s="13" t="s">
        <v>2485</v>
      </c>
    </row>
    <row r="737" spans="1:1" customFormat="1">
      <c r="A737" s="13" t="s">
        <v>2486</v>
      </c>
    </row>
    <row r="738" spans="1:1" customFormat="1">
      <c r="A738" s="13" t="s">
        <v>2487</v>
      </c>
    </row>
    <row r="739" spans="1:1" customFormat="1">
      <c r="A739" s="13" t="s">
        <v>2488</v>
      </c>
    </row>
    <row r="740" spans="1:1" customFormat="1">
      <c r="A740" s="13" t="s">
        <v>2489</v>
      </c>
    </row>
    <row r="741" spans="1:1" customFormat="1">
      <c r="A741" s="13" t="s">
        <v>2490</v>
      </c>
    </row>
    <row r="742" spans="1:1" customFormat="1">
      <c r="A742" s="13" t="s">
        <v>2491</v>
      </c>
    </row>
    <row r="743" spans="1:1" customFormat="1">
      <c r="A743" s="13" t="s">
        <v>2492</v>
      </c>
    </row>
    <row r="744" spans="1:1" customFormat="1">
      <c r="A744" s="13" t="s">
        <v>2493</v>
      </c>
    </row>
    <row r="745" spans="1:1" customFormat="1">
      <c r="A745" s="13" t="s">
        <v>2494</v>
      </c>
    </row>
    <row r="746" spans="1:1" customFormat="1">
      <c r="A746" s="13" t="s">
        <v>2495</v>
      </c>
    </row>
    <row r="747" spans="1:1" customFormat="1">
      <c r="A747" s="13" t="s">
        <v>2496</v>
      </c>
    </row>
    <row r="748" spans="1:1" customFormat="1">
      <c r="A748" s="13" t="s">
        <v>2497</v>
      </c>
    </row>
    <row r="749" spans="1:1" customFormat="1">
      <c r="A749" s="13" t="s">
        <v>2498</v>
      </c>
    </row>
    <row r="750" spans="1:1" customFormat="1">
      <c r="A750" s="13" t="s">
        <v>2499</v>
      </c>
    </row>
    <row r="751" spans="1:1" customFormat="1">
      <c r="A751" s="13" t="s">
        <v>2500</v>
      </c>
    </row>
    <row r="752" spans="1:1" customFormat="1">
      <c r="A752" s="13" t="s">
        <v>2501</v>
      </c>
    </row>
    <row r="753" spans="1:1" customFormat="1">
      <c r="A753" s="13" t="s">
        <v>2502</v>
      </c>
    </row>
    <row r="754" spans="1:1" customFormat="1">
      <c r="A754" s="13" t="s">
        <v>2503</v>
      </c>
    </row>
    <row r="755" spans="1:1" customFormat="1">
      <c r="A755" s="13" t="s">
        <v>2504</v>
      </c>
    </row>
    <row r="756" spans="1:1" customFormat="1">
      <c r="A756" s="13" t="s">
        <v>2505</v>
      </c>
    </row>
    <row r="757" spans="1:1" customFormat="1">
      <c r="A757" s="13" t="s">
        <v>2506</v>
      </c>
    </row>
    <row r="758" spans="1:1" customFormat="1">
      <c r="A758" s="13" t="s">
        <v>2507</v>
      </c>
    </row>
    <row r="759" spans="1:1" customFormat="1">
      <c r="A759" s="13" t="s">
        <v>2508</v>
      </c>
    </row>
    <row r="760" spans="1:1" customFormat="1">
      <c r="A760" s="13" t="s">
        <v>2509</v>
      </c>
    </row>
    <row r="761" spans="1:1" customFormat="1">
      <c r="A761" s="13" t="s">
        <v>2510</v>
      </c>
    </row>
    <row r="762" spans="1:1" customFormat="1">
      <c r="A762" s="13" t="s">
        <v>2511</v>
      </c>
    </row>
    <row r="763" spans="1:1" customFormat="1">
      <c r="A763" s="13" t="s">
        <v>2512</v>
      </c>
    </row>
    <row r="764" spans="1:1" customFormat="1">
      <c r="A764" s="13" t="s">
        <v>2513</v>
      </c>
    </row>
    <row r="765" spans="1:1" customFormat="1">
      <c r="A765" s="13" t="s">
        <v>2514</v>
      </c>
    </row>
    <row r="766" spans="1:1" customFormat="1">
      <c r="A766" s="13" t="s">
        <v>2515</v>
      </c>
    </row>
    <row r="767" spans="1:1" customFormat="1">
      <c r="A767" s="13" t="s">
        <v>2516</v>
      </c>
    </row>
    <row r="768" spans="1:1" customFormat="1">
      <c r="A768" s="13" t="s">
        <v>2517</v>
      </c>
    </row>
    <row r="769" spans="1:1" customFormat="1">
      <c r="A769" s="13"/>
    </row>
    <row r="770" spans="1:1" customFormat="1">
      <c r="A770" s="13" t="s">
        <v>2518</v>
      </c>
    </row>
    <row r="771" spans="1:1" customFormat="1">
      <c r="A771" s="13" t="s">
        <v>2519</v>
      </c>
    </row>
    <row r="772" spans="1:1" customFormat="1">
      <c r="A772" s="13" t="s">
        <v>2520</v>
      </c>
    </row>
    <row r="773" spans="1:1" customFormat="1">
      <c r="A773" s="13" t="s">
        <v>2521</v>
      </c>
    </row>
    <row r="774" spans="1:1" customFormat="1">
      <c r="A774" s="13" t="s">
        <v>2522</v>
      </c>
    </row>
    <row r="775" spans="1:1" customFormat="1">
      <c r="A775" s="13" t="s">
        <v>2523</v>
      </c>
    </row>
    <row r="776" spans="1:1" customFormat="1">
      <c r="A776" s="13" t="s">
        <v>2524</v>
      </c>
    </row>
    <row r="777" spans="1:1" customFormat="1">
      <c r="A777" s="13" t="s">
        <v>2525</v>
      </c>
    </row>
    <row r="778" spans="1:1" customFormat="1">
      <c r="A778" s="13" t="s">
        <v>2526</v>
      </c>
    </row>
    <row r="779" spans="1:1" customFormat="1">
      <c r="A779" s="13" t="s">
        <v>2527</v>
      </c>
    </row>
    <row r="780" spans="1:1" customFormat="1">
      <c r="A780" s="13" t="s">
        <v>2528</v>
      </c>
    </row>
    <row r="781" spans="1:1" customFormat="1">
      <c r="A781" s="13" t="s">
        <v>2529</v>
      </c>
    </row>
    <row r="782" spans="1:1" customFormat="1">
      <c r="A782" s="13" t="s">
        <v>2530</v>
      </c>
    </row>
    <row r="783" spans="1:1" customFormat="1">
      <c r="A783" s="13" t="s">
        <v>2531</v>
      </c>
    </row>
    <row r="784" spans="1:1" customFormat="1">
      <c r="A784" s="13" t="s">
        <v>2532</v>
      </c>
    </row>
    <row r="785" spans="1:1" customFormat="1">
      <c r="A785" s="13" t="s">
        <v>2533</v>
      </c>
    </row>
    <row r="786" spans="1:1" customFormat="1">
      <c r="A786" s="13" t="s">
        <v>2534</v>
      </c>
    </row>
    <row r="787" spans="1:1" customFormat="1">
      <c r="A787" s="13" t="s">
        <v>2535</v>
      </c>
    </row>
    <row r="788" spans="1:1" customFormat="1">
      <c r="A788" s="13" t="s">
        <v>2536</v>
      </c>
    </row>
    <row r="789" spans="1:1" customFormat="1">
      <c r="A789" s="13" t="s">
        <v>2537</v>
      </c>
    </row>
    <row r="790" spans="1:1" customFormat="1">
      <c r="A790" s="13" t="s">
        <v>2538</v>
      </c>
    </row>
    <row r="791" spans="1:1" customFormat="1">
      <c r="A791" s="13" t="s">
        <v>2539</v>
      </c>
    </row>
    <row r="792" spans="1:1" customFormat="1">
      <c r="A792" s="13" t="s">
        <v>2540</v>
      </c>
    </row>
    <row r="793" spans="1:1" customFormat="1">
      <c r="A793" s="13" t="s">
        <v>2541</v>
      </c>
    </row>
    <row r="794" spans="1:1" customFormat="1">
      <c r="A794" s="13" t="s">
        <v>2542</v>
      </c>
    </row>
    <row r="795" spans="1:1" customFormat="1">
      <c r="A795" s="13" t="s">
        <v>2543</v>
      </c>
    </row>
    <row r="796" spans="1:1" customFormat="1">
      <c r="A796" s="13" t="s">
        <v>2544</v>
      </c>
    </row>
    <row r="797" spans="1:1" customFormat="1">
      <c r="A797" s="13" t="s">
        <v>2545</v>
      </c>
    </row>
    <row r="798" spans="1:1" customFormat="1">
      <c r="A798" s="13" t="s">
        <v>2546</v>
      </c>
    </row>
    <row r="799" spans="1:1" customFormat="1">
      <c r="A799" s="13" t="s">
        <v>2547</v>
      </c>
    </row>
    <row r="800" spans="1:1" customFormat="1">
      <c r="A800" s="13" t="s">
        <v>2548</v>
      </c>
    </row>
    <row r="801" spans="1:1" customFormat="1">
      <c r="A801" s="13" t="s">
        <v>2549</v>
      </c>
    </row>
    <row r="802" spans="1:1" customFormat="1">
      <c r="A802" s="13" t="s">
        <v>2550</v>
      </c>
    </row>
    <row r="803" spans="1:1" customFormat="1">
      <c r="A803" s="13" t="s">
        <v>2551</v>
      </c>
    </row>
    <row r="804" spans="1:1" customFormat="1">
      <c r="A804" s="13" t="s">
        <v>2552</v>
      </c>
    </row>
    <row r="805" spans="1:1" customFormat="1">
      <c r="A805" s="13" t="s">
        <v>2553</v>
      </c>
    </row>
    <row r="806" spans="1:1" customFormat="1">
      <c r="A806" s="13" t="s">
        <v>2554</v>
      </c>
    </row>
    <row r="807" spans="1:1" customFormat="1">
      <c r="A807" s="13" t="s">
        <v>2555</v>
      </c>
    </row>
    <row r="808" spans="1:1" customFormat="1">
      <c r="A808" s="13" t="s">
        <v>2556</v>
      </c>
    </row>
    <row r="809" spans="1:1" customFormat="1">
      <c r="A809" s="13" t="s">
        <v>2557</v>
      </c>
    </row>
    <row r="810" spans="1:1" customFormat="1">
      <c r="A810" s="13" t="s">
        <v>2558</v>
      </c>
    </row>
    <row r="811" spans="1:1" customFormat="1">
      <c r="A811" s="13" t="s">
        <v>2559</v>
      </c>
    </row>
    <row r="812" spans="1:1" customFormat="1">
      <c r="A812" s="13" t="s">
        <v>2560</v>
      </c>
    </row>
    <row r="813" spans="1:1" customFormat="1">
      <c r="A813" s="13" t="s">
        <v>2561</v>
      </c>
    </row>
    <row r="814" spans="1:1" customFormat="1">
      <c r="A814" s="13" t="s">
        <v>2562</v>
      </c>
    </row>
    <row r="815" spans="1:1" customFormat="1">
      <c r="A815" s="13" t="s">
        <v>2563</v>
      </c>
    </row>
    <row r="816" spans="1:1" customFormat="1">
      <c r="A816" s="13" t="s">
        <v>2564</v>
      </c>
    </row>
    <row r="817" spans="1:1" customFormat="1">
      <c r="A817" s="13" t="s">
        <v>2565</v>
      </c>
    </row>
    <row r="818" spans="1:1" customFormat="1">
      <c r="A818" s="13" t="s">
        <v>2566</v>
      </c>
    </row>
    <row r="819" spans="1:1" customFormat="1">
      <c r="A819" s="13" t="s">
        <v>2567</v>
      </c>
    </row>
    <row r="820" spans="1:1" customFormat="1">
      <c r="A820" s="13" t="s">
        <v>2568</v>
      </c>
    </row>
    <row r="821" spans="1:1" customFormat="1">
      <c r="A821" s="13" t="s">
        <v>2569</v>
      </c>
    </row>
    <row r="822" spans="1:1" customFormat="1">
      <c r="A822" s="13" t="s">
        <v>2570</v>
      </c>
    </row>
    <row r="823" spans="1:1" customFormat="1">
      <c r="A823" s="13" t="s">
        <v>2571</v>
      </c>
    </row>
    <row r="824" spans="1:1" customFormat="1">
      <c r="A824" s="13" t="s">
        <v>2572</v>
      </c>
    </row>
    <row r="825" spans="1:1" customFormat="1">
      <c r="A825" s="13" t="s">
        <v>2573</v>
      </c>
    </row>
    <row r="826" spans="1:1" customFormat="1">
      <c r="A826" s="13" t="s">
        <v>2574</v>
      </c>
    </row>
    <row r="827" spans="1:1" customFormat="1">
      <c r="A827" s="13" t="s">
        <v>2575</v>
      </c>
    </row>
    <row r="828" spans="1:1" customFormat="1">
      <c r="A828" s="13" t="s">
        <v>2576</v>
      </c>
    </row>
    <row r="829" spans="1:1" customFormat="1">
      <c r="A829" s="13" t="s">
        <v>2577</v>
      </c>
    </row>
    <row r="830" spans="1:1" customFormat="1">
      <c r="A830" s="13" t="s">
        <v>2578</v>
      </c>
    </row>
    <row r="831" spans="1:1" customFormat="1">
      <c r="A831" s="13" t="s">
        <v>2579</v>
      </c>
    </row>
    <row r="832" spans="1:1" customFormat="1">
      <c r="A832" s="13" t="s">
        <v>2580</v>
      </c>
    </row>
    <row r="833" spans="1:1" customFormat="1">
      <c r="A833" s="13" t="s">
        <v>2581</v>
      </c>
    </row>
    <row r="834" spans="1:1" customFormat="1">
      <c r="A834" s="13" t="s">
        <v>2582</v>
      </c>
    </row>
    <row r="835" spans="1:1" customFormat="1">
      <c r="A835" s="13" t="s">
        <v>2583</v>
      </c>
    </row>
    <row r="836" spans="1:1" customFormat="1">
      <c r="A836" s="13" t="s">
        <v>2584</v>
      </c>
    </row>
    <row r="837" spans="1:1" customFormat="1">
      <c r="A837" s="13" t="s">
        <v>2585</v>
      </c>
    </row>
    <row r="838" spans="1:1" customFormat="1">
      <c r="A838" s="13" t="s">
        <v>2586</v>
      </c>
    </row>
    <row r="839" spans="1:1" customFormat="1">
      <c r="A839" s="13" t="s">
        <v>2587</v>
      </c>
    </row>
    <row r="840" spans="1:1" customFormat="1">
      <c r="A840" s="13" t="s">
        <v>2588</v>
      </c>
    </row>
    <row r="841" spans="1:1" customFormat="1">
      <c r="A841" s="13" t="s">
        <v>2589</v>
      </c>
    </row>
    <row r="842" spans="1:1" customFormat="1">
      <c r="A842" s="13" t="s">
        <v>2590</v>
      </c>
    </row>
    <row r="843" spans="1:1" customFormat="1">
      <c r="A843" s="13" t="s">
        <v>2591</v>
      </c>
    </row>
    <row r="844" spans="1:1" customFormat="1">
      <c r="A844" s="13" t="s">
        <v>2592</v>
      </c>
    </row>
    <row r="845" spans="1:1" customFormat="1">
      <c r="A845" s="13" t="s">
        <v>2593</v>
      </c>
    </row>
    <row r="846" spans="1:1" customFormat="1">
      <c r="A846" s="13" t="s">
        <v>2594</v>
      </c>
    </row>
    <row r="847" spans="1:1" customFormat="1">
      <c r="A847" s="13" t="s">
        <v>2595</v>
      </c>
    </row>
    <row r="848" spans="1:1" customFormat="1">
      <c r="A848" s="13" t="s">
        <v>2596</v>
      </c>
    </row>
    <row r="849" spans="1:1" customFormat="1">
      <c r="A849" s="13" t="s">
        <v>2597</v>
      </c>
    </row>
    <row r="850" spans="1:1" customFormat="1">
      <c r="A850" s="13" t="s">
        <v>2598</v>
      </c>
    </row>
    <row r="851" spans="1:1" customFormat="1">
      <c r="A851" s="13" t="s">
        <v>2599</v>
      </c>
    </row>
    <row r="852" spans="1:1" customFormat="1">
      <c r="A852" s="13" t="s">
        <v>2600</v>
      </c>
    </row>
    <row r="853" spans="1:1" customFormat="1">
      <c r="A853" s="13" t="s">
        <v>2601</v>
      </c>
    </row>
    <row r="854" spans="1:1" customFormat="1">
      <c r="A854" s="13" t="s">
        <v>2602</v>
      </c>
    </row>
    <row r="855" spans="1:1" customFormat="1">
      <c r="A855" s="13" t="s">
        <v>2603</v>
      </c>
    </row>
    <row r="856" spans="1:1" customFormat="1">
      <c r="A856" s="13" t="s">
        <v>2604</v>
      </c>
    </row>
    <row r="857" spans="1:1" customFormat="1">
      <c r="A857" s="13" t="s">
        <v>2605</v>
      </c>
    </row>
    <row r="858" spans="1:1" customFormat="1">
      <c r="A858" s="13" t="s">
        <v>2606</v>
      </c>
    </row>
    <row r="859" spans="1:1" customFormat="1">
      <c r="A859" s="13" t="s">
        <v>2607</v>
      </c>
    </row>
    <row r="860" spans="1:1" customFormat="1">
      <c r="A860" s="13" t="s">
        <v>2608</v>
      </c>
    </row>
    <row r="861" spans="1:1" customFormat="1">
      <c r="A861" s="13" t="s">
        <v>2609</v>
      </c>
    </row>
    <row r="862" spans="1:1" customFormat="1">
      <c r="A862" s="13" t="s">
        <v>2610</v>
      </c>
    </row>
    <row r="863" spans="1:1" customFormat="1">
      <c r="A863" s="13" t="s">
        <v>2611</v>
      </c>
    </row>
    <row r="864" spans="1:1" customFormat="1">
      <c r="A864" s="13" t="s">
        <v>2612</v>
      </c>
    </row>
    <row r="865" spans="1:1" customFormat="1">
      <c r="A865" s="13" t="s">
        <v>2613</v>
      </c>
    </row>
    <row r="866" spans="1:1" customFormat="1">
      <c r="A866" s="13" t="s">
        <v>2614</v>
      </c>
    </row>
    <row r="867" spans="1:1" customFormat="1">
      <c r="A867" s="13" t="s">
        <v>2615</v>
      </c>
    </row>
    <row r="868" spans="1:1" customFormat="1">
      <c r="A868" s="13" t="s">
        <v>2616</v>
      </c>
    </row>
    <row r="869" spans="1:1" customFormat="1">
      <c r="A869" s="13" t="s">
        <v>2617</v>
      </c>
    </row>
    <row r="870" spans="1:1" customFormat="1">
      <c r="A870" s="13" t="s">
        <v>2618</v>
      </c>
    </row>
    <row r="871" spans="1:1" customFormat="1">
      <c r="A871" s="13" t="s">
        <v>2619</v>
      </c>
    </row>
    <row r="872" spans="1:1" customFormat="1">
      <c r="A872" s="13" t="s">
        <v>2620</v>
      </c>
    </row>
    <row r="873" spans="1:1" customFormat="1">
      <c r="A873" s="13" t="s">
        <v>2621</v>
      </c>
    </row>
    <row r="874" spans="1:1" customFormat="1">
      <c r="A874" s="13" t="s">
        <v>2622</v>
      </c>
    </row>
    <row r="875" spans="1:1" customFormat="1">
      <c r="A875" s="13" t="s">
        <v>2623</v>
      </c>
    </row>
    <row r="876" spans="1:1" customFormat="1">
      <c r="A876" s="13" t="s">
        <v>2624</v>
      </c>
    </row>
    <row r="877" spans="1:1" customFormat="1">
      <c r="A877" s="13" t="s">
        <v>2625</v>
      </c>
    </row>
    <row r="878" spans="1:1" customFormat="1">
      <c r="A878" s="13" t="s">
        <v>2626</v>
      </c>
    </row>
    <row r="879" spans="1:1" customFormat="1">
      <c r="A879" s="13" t="s">
        <v>2627</v>
      </c>
    </row>
    <row r="880" spans="1:1" customFormat="1">
      <c r="A880" s="13" t="s">
        <v>2628</v>
      </c>
    </row>
    <row r="881" spans="1:1" customFormat="1">
      <c r="A881" s="13" t="s">
        <v>2629</v>
      </c>
    </row>
    <row r="882" spans="1:1" customFormat="1">
      <c r="A882" s="13" t="s">
        <v>2630</v>
      </c>
    </row>
    <row r="883" spans="1:1" customFormat="1">
      <c r="A883" s="13" t="s">
        <v>2631</v>
      </c>
    </row>
    <row r="884" spans="1:1" customFormat="1">
      <c r="A884" s="13" t="s">
        <v>2632</v>
      </c>
    </row>
    <row r="885" spans="1:1" customFormat="1">
      <c r="A885" s="13" t="s">
        <v>2633</v>
      </c>
    </row>
    <row r="886" spans="1:1" customFormat="1">
      <c r="A886" s="13" t="s">
        <v>2634</v>
      </c>
    </row>
    <row r="887" spans="1:1" customFormat="1">
      <c r="A887" s="13" t="s">
        <v>2635</v>
      </c>
    </row>
    <row r="888" spans="1:1" customFormat="1">
      <c r="A888" s="13" t="s">
        <v>2636</v>
      </c>
    </row>
    <row r="889" spans="1:1" customFormat="1">
      <c r="A889" s="13" t="s">
        <v>2637</v>
      </c>
    </row>
    <row r="890" spans="1:1" customFormat="1">
      <c r="A890" s="13" t="s">
        <v>2638</v>
      </c>
    </row>
    <row r="891" spans="1:1" customFormat="1">
      <c r="A891" s="13" t="s">
        <v>2639</v>
      </c>
    </row>
    <row r="892" spans="1:1" customFormat="1">
      <c r="A892" s="13" t="s">
        <v>2640</v>
      </c>
    </row>
    <row r="893" spans="1:1" customFormat="1">
      <c r="A893" s="13" t="s">
        <v>2641</v>
      </c>
    </row>
    <row r="894" spans="1:1" customFormat="1">
      <c r="A894" s="13" t="s">
        <v>2642</v>
      </c>
    </row>
    <row r="895" spans="1:1" customFormat="1">
      <c r="A895" s="13" t="s">
        <v>2643</v>
      </c>
    </row>
    <row r="896" spans="1:1" customFormat="1">
      <c r="A896" s="13" t="s">
        <v>2644</v>
      </c>
    </row>
    <row r="897" spans="1:1" customFormat="1">
      <c r="A897" s="13" t="s">
        <v>2645</v>
      </c>
    </row>
    <row r="898" spans="1:1" customFormat="1">
      <c r="A898" s="13" t="s">
        <v>2646</v>
      </c>
    </row>
    <row r="899" spans="1:1" customFormat="1">
      <c r="A899" s="13" t="s">
        <v>2647</v>
      </c>
    </row>
    <row r="900" spans="1:1" customFormat="1">
      <c r="A900" s="13" t="s">
        <v>2648</v>
      </c>
    </row>
    <row r="901" spans="1:1" customFormat="1">
      <c r="A901" s="13" t="s">
        <v>2649</v>
      </c>
    </row>
    <row r="902" spans="1:1" customFormat="1">
      <c r="A902" s="13" t="s">
        <v>2650</v>
      </c>
    </row>
    <row r="903" spans="1:1" customFormat="1">
      <c r="A903" s="13" t="s">
        <v>2651</v>
      </c>
    </row>
    <row r="904" spans="1:1" customFormat="1">
      <c r="A904" s="13" t="s">
        <v>2652</v>
      </c>
    </row>
    <row r="905" spans="1:1" customFormat="1">
      <c r="A905" s="13" t="s">
        <v>2653</v>
      </c>
    </row>
    <row r="906" spans="1:1" customFormat="1">
      <c r="A906" s="13" t="s">
        <v>2654</v>
      </c>
    </row>
    <row r="907" spans="1:1" customFormat="1">
      <c r="A907" s="13" t="s">
        <v>2655</v>
      </c>
    </row>
    <row r="908" spans="1:1" customFormat="1">
      <c r="A908" s="13" t="s">
        <v>2656</v>
      </c>
    </row>
    <row r="909" spans="1:1" customFormat="1">
      <c r="A909" s="13" t="s">
        <v>2657</v>
      </c>
    </row>
    <row r="910" spans="1:1" customFormat="1">
      <c r="A910" s="13" t="s">
        <v>2658</v>
      </c>
    </row>
    <row r="911" spans="1:1" customFormat="1">
      <c r="A911" s="13" t="s">
        <v>2659</v>
      </c>
    </row>
    <row r="912" spans="1:1" customFormat="1">
      <c r="A912" s="13" t="s">
        <v>2660</v>
      </c>
    </row>
    <row r="913" spans="1:1" customFormat="1">
      <c r="A913" s="13" t="s">
        <v>2661</v>
      </c>
    </row>
    <row r="914" spans="1:1" customFormat="1">
      <c r="A914" s="13" t="s">
        <v>2662</v>
      </c>
    </row>
    <row r="915" spans="1:1" customFormat="1">
      <c r="A915" s="13" t="s">
        <v>2663</v>
      </c>
    </row>
    <row r="916" spans="1:1" customFormat="1">
      <c r="A916" s="13" t="s">
        <v>2664</v>
      </c>
    </row>
    <row r="917" spans="1:1" customFormat="1">
      <c r="A917" s="13" t="s">
        <v>2665</v>
      </c>
    </row>
    <row r="918" spans="1:1" customFormat="1">
      <c r="A918" s="13" t="s">
        <v>2666</v>
      </c>
    </row>
    <row r="919" spans="1:1" customFormat="1">
      <c r="A919" s="13" t="s">
        <v>2667</v>
      </c>
    </row>
    <row r="920" spans="1:1" customFormat="1">
      <c r="A920" s="13" t="s">
        <v>2668</v>
      </c>
    </row>
    <row r="921" spans="1:1" customFormat="1">
      <c r="A921" s="13" t="s">
        <v>2669</v>
      </c>
    </row>
    <row r="922" spans="1:1" customFormat="1">
      <c r="A922" s="13" t="s">
        <v>2670</v>
      </c>
    </row>
    <row r="923" spans="1:1" customFormat="1">
      <c r="A923" s="13" t="s">
        <v>2671</v>
      </c>
    </row>
    <row r="924" spans="1:1" customFormat="1">
      <c r="A924" s="13" t="s">
        <v>2672</v>
      </c>
    </row>
    <row r="925" spans="1:1" customFormat="1">
      <c r="A925" s="13" t="s">
        <v>2673</v>
      </c>
    </row>
    <row r="926" spans="1:1" customFormat="1">
      <c r="A926" s="13" t="s">
        <v>2674</v>
      </c>
    </row>
    <row r="927" spans="1:1" customFormat="1">
      <c r="A927" s="13" t="s">
        <v>2675</v>
      </c>
    </row>
    <row r="928" spans="1:1" customFormat="1">
      <c r="A928" s="13" t="s">
        <v>2676</v>
      </c>
    </row>
    <row r="929" spans="1:1" customFormat="1">
      <c r="A929" s="13" t="s">
        <v>2677</v>
      </c>
    </row>
    <row r="930" spans="1:1" customFormat="1">
      <c r="A930" s="13" t="s">
        <v>2678</v>
      </c>
    </row>
    <row r="931" spans="1:1" customFormat="1">
      <c r="A931" s="13" t="s">
        <v>2679</v>
      </c>
    </row>
    <row r="932" spans="1:1" customFormat="1">
      <c r="A932" s="13" t="s">
        <v>2680</v>
      </c>
    </row>
    <row r="933" spans="1:1" customFormat="1">
      <c r="A933" s="13" t="s">
        <v>2681</v>
      </c>
    </row>
    <row r="934" spans="1:1" customFormat="1">
      <c r="A934" s="13" t="s">
        <v>2682</v>
      </c>
    </row>
    <row r="935" spans="1:1" customFormat="1">
      <c r="A935" s="13" t="s">
        <v>2683</v>
      </c>
    </row>
    <row r="936" spans="1:1" customFormat="1">
      <c r="A936" s="13" t="s">
        <v>2684</v>
      </c>
    </row>
    <row r="937" spans="1:1" customFormat="1">
      <c r="A937" s="13" t="s">
        <v>2685</v>
      </c>
    </row>
    <row r="938" spans="1:1" customFormat="1">
      <c r="A938" s="13" t="s">
        <v>2686</v>
      </c>
    </row>
    <row r="939" spans="1:1" customFormat="1">
      <c r="A939" s="13" t="s">
        <v>2687</v>
      </c>
    </row>
    <row r="940" spans="1:1" customFormat="1">
      <c r="A940" s="13" t="s">
        <v>2688</v>
      </c>
    </row>
    <row r="941" spans="1:1" customFormat="1">
      <c r="A941" s="13" t="s">
        <v>2689</v>
      </c>
    </row>
    <row r="942" spans="1:1" customFormat="1">
      <c r="A942" s="13" t="s">
        <v>2690</v>
      </c>
    </row>
    <row r="943" spans="1:1" customFormat="1">
      <c r="A943" s="13" t="s">
        <v>2691</v>
      </c>
    </row>
    <row r="944" spans="1:1" customFormat="1">
      <c r="A944" s="13" t="s">
        <v>2692</v>
      </c>
    </row>
    <row r="945" spans="1:1" customFormat="1">
      <c r="A945" s="13" t="s">
        <v>2693</v>
      </c>
    </row>
    <row r="946" spans="1:1" customFormat="1">
      <c r="A946" s="13" t="s">
        <v>2694</v>
      </c>
    </row>
    <row r="947" spans="1:1" customFormat="1">
      <c r="A947" s="13" t="s">
        <v>2695</v>
      </c>
    </row>
    <row r="948" spans="1:1" customFormat="1">
      <c r="A948" s="13" t="s">
        <v>2696</v>
      </c>
    </row>
    <row r="949" spans="1:1" customFormat="1">
      <c r="A949" s="13" t="s">
        <v>2697</v>
      </c>
    </row>
    <row r="950" spans="1:1" customFormat="1">
      <c r="A950" s="13" t="s">
        <v>2698</v>
      </c>
    </row>
    <row r="951" spans="1:1" customFormat="1">
      <c r="A951" s="13" t="s">
        <v>2699</v>
      </c>
    </row>
    <row r="952" spans="1:1" customFormat="1">
      <c r="A952" s="13" t="s">
        <v>2700</v>
      </c>
    </row>
    <row r="953" spans="1:1" customFormat="1">
      <c r="A953" s="13" t="s">
        <v>2701</v>
      </c>
    </row>
    <row r="954" spans="1:1" customFormat="1">
      <c r="A954" s="13" t="s">
        <v>2702</v>
      </c>
    </row>
    <row r="955" spans="1:1" customFormat="1">
      <c r="A955" s="13" t="s">
        <v>2703</v>
      </c>
    </row>
    <row r="956" spans="1:1" customFormat="1">
      <c r="A956" s="13" t="s">
        <v>2704</v>
      </c>
    </row>
    <row r="957" spans="1:1" customFormat="1">
      <c r="A957" s="13" t="s">
        <v>2705</v>
      </c>
    </row>
    <row r="958" spans="1:1" customFormat="1">
      <c r="A958" s="13" t="s">
        <v>2706</v>
      </c>
    </row>
    <row r="959" spans="1:1" customFormat="1">
      <c r="A959" s="13" t="s">
        <v>2707</v>
      </c>
    </row>
    <row r="960" spans="1:1" customFormat="1">
      <c r="A960" s="13" t="s">
        <v>2708</v>
      </c>
    </row>
    <row r="961" spans="1:1" customFormat="1">
      <c r="A961" s="13" t="s">
        <v>2709</v>
      </c>
    </row>
    <row r="962" spans="1:1" customFormat="1">
      <c r="A962" s="13" t="s">
        <v>2710</v>
      </c>
    </row>
    <row r="963" spans="1:1" customFormat="1">
      <c r="A963" s="13"/>
    </row>
    <row r="964" spans="1:1" customFormat="1">
      <c r="A964" s="13" t="s">
        <v>2711</v>
      </c>
    </row>
    <row r="965" spans="1:1" customFormat="1">
      <c r="A965" s="13" t="s">
        <v>2712</v>
      </c>
    </row>
    <row r="966" spans="1:1" customFormat="1">
      <c r="A966" s="13" t="s">
        <v>2713</v>
      </c>
    </row>
    <row r="967" spans="1:1" customFormat="1">
      <c r="A967" s="13" t="s">
        <v>2714</v>
      </c>
    </row>
    <row r="968" spans="1:1" customFormat="1">
      <c r="A968" s="13" t="s">
        <v>2715</v>
      </c>
    </row>
    <row r="969" spans="1:1" customFormat="1">
      <c r="A969" s="13" t="s">
        <v>2716</v>
      </c>
    </row>
    <row r="970" spans="1:1" customFormat="1">
      <c r="A970" s="13" t="s">
        <v>2717</v>
      </c>
    </row>
    <row r="971" spans="1:1" customFormat="1">
      <c r="A971" s="13" t="s">
        <v>2718</v>
      </c>
    </row>
    <row r="972" spans="1:1" customFormat="1">
      <c r="A972" s="13" t="s">
        <v>2719</v>
      </c>
    </row>
    <row r="973" spans="1:1" customFormat="1">
      <c r="A973" s="13" t="s">
        <v>2720</v>
      </c>
    </row>
    <row r="974" spans="1:1" customFormat="1">
      <c r="A974" s="13" t="s">
        <v>2721</v>
      </c>
    </row>
    <row r="975" spans="1:1" customFormat="1">
      <c r="A975" s="13" t="s">
        <v>2722</v>
      </c>
    </row>
    <row r="976" spans="1:1" customFormat="1">
      <c r="A976" s="13" t="s">
        <v>2723</v>
      </c>
    </row>
    <row r="977" spans="1:1" customFormat="1">
      <c r="A977" s="13" t="s">
        <v>2724</v>
      </c>
    </row>
    <row r="978" spans="1:1" customFormat="1">
      <c r="A978" s="13" t="s">
        <v>2725</v>
      </c>
    </row>
    <row r="979" spans="1:1" customFormat="1">
      <c r="A979" s="13" t="s">
        <v>2726</v>
      </c>
    </row>
    <row r="980" spans="1:1" customFormat="1">
      <c r="A980" s="13" t="s">
        <v>2727</v>
      </c>
    </row>
    <row r="981" spans="1:1" customFormat="1">
      <c r="A981" s="13" t="s">
        <v>2728</v>
      </c>
    </row>
    <row r="982" spans="1:1" customFormat="1">
      <c r="A982" s="13" t="s">
        <v>2729</v>
      </c>
    </row>
    <row r="983" spans="1:1" customFormat="1">
      <c r="A983" s="13" t="s">
        <v>2730</v>
      </c>
    </row>
    <row r="984" spans="1:1" customFormat="1">
      <c r="A984" s="13" t="s">
        <v>2731</v>
      </c>
    </row>
    <row r="985" spans="1:1" customFormat="1">
      <c r="A985" s="13" t="s">
        <v>2732</v>
      </c>
    </row>
    <row r="986" spans="1:1" customFormat="1">
      <c r="A986" s="13" t="s">
        <v>2733</v>
      </c>
    </row>
    <row r="987" spans="1:1" customFormat="1">
      <c r="A987" s="13" t="s">
        <v>2734</v>
      </c>
    </row>
    <row r="988" spans="1:1" customFormat="1">
      <c r="A988" s="13" t="s">
        <v>2735</v>
      </c>
    </row>
    <row r="989" spans="1:1" customFormat="1">
      <c r="A989" s="13" t="s">
        <v>2736</v>
      </c>
    </row>
    <row r="990" spans="1:1" customFormat="1">
      <c r="A990" s="13" t="s">
        <v>2737</v>
      </c>
    </row>
    <row r="991" spans="1:1" customFormat="1">
      <c r="A991" s="13" t="s">
        <v>2738</v>
      </c>
    </row>
    <row r="992" spans="1:1" customFormat="1">
      <c r="A992" s="13" t="s">
        <v>2739</v>
      </c>
    </row>
    <row r="993" spans="1:1" customFormat="1">
      <c r="A993" s="13" t="s">
        <v>2740</v>
      </c>
    </row>
    <row r="994" spans="1:1" customFormat="1">
      <c r="A994" s="13" t="s">
        <v>2741</v>
      </c>
    </row>
    <row r="995" spans="1:1" customFormat="1">
      <c r="A995" s="13" t="s">
        <v>2742</v>
      </c>
    </row>
    <row r="996" spans="1:1" customFormat="1">
      <c r="A996" s="13" t="s">
        <v>2743</v>
      </c>
    </row>
    <row r="997" spans="1:1" customFormat="1">
      <c r="A997" s="13" t="s">
        <v>2744</v>
      </c>
    </row>
    <row r="998" spans="1:1" customFormat="1">
      <c r="A998" s="13" t="s">
        <v>2745</v>
      </c>
    </row>
    <row r="999" spans="1:1" customFormat="1">
      <c r="A999" s="13" t="s">
        <v>2746</v>
      </c>
    </row>
    <row r="1000" spans="1:1" customFormat="1">
      <c r="A1000" s="13" t="s">
        <v>2747</v>
      </c>
    </row>
    <row r="1001" spans="1:1" customFormat="1">
      <c r="A1001" s="13" t="s">
        <v>2748</v>
      </c>
    </row>
    <row r="1002" spans="1:1" customFormat="1">
      <c r="A1002" s="13" t="s">
        <v>2749</v>
      </c>
    </row>
    <row r="1003" spans="1:1" customFormat="1">
      <c r="A1003" s="13" t="s">
        <v>2750</v>
      </c>
    </row>
    <row r="1004" spans="1:1" customFormat="1">
      <c r="A1004" s="13" t="s">
        <v>2751</v>
      </c>
    </row>
    <row r="1005" spans="1:1" customFormat="1">
      <c r="A1005" s="13" t="s">
        <v>2752</v>
      </c>
    </row>
    <row r="1006" spans="1:1" customFormat="1">
      <c r="A1006" s="13" t="s">
        <v>2753</v>
      </c>
    </row>
    <row r="1007" spans="1:1" customFormat="1">
      <c r="A1007" s="13" t="s">
        <v>2754</v>
      </c>
    </row>
    <row r="1008" spans="1:1" customFormat="1">
      <c r="A1008" s="13" t="s">
        <v>2755</v>
      </c>
    </row>
    <row r="1009" spans="1:1" customFormat="1">
      <c r="A1009" s="13" t="s">
        <v>2756</v>
      </c>
    </row>
    <row r="1010" spans="1:1" customFormat="1">
      <c r="A1010" s="13" t="s">
        <v>2757</v>
      </c>
    </row>
    <row r="1011" spans="1:1" customFormat="1">
      <c r="A1011" s="13" t="s">
        <v>2758</v>
      </c>
    </row>
    <row r="1012" spans="1:1" customFormat="1">
      <c r="A1012" s="13" t="s">
        <v>2759</v>
      </c>
    </row>
    <row r="1013" spans="1:1" customFormat="1">
      <c r="A1013" s="13" t="s">
        <v>2760</v>
      </c>
    </row>
    <row r="1014" spans="1:1" customFormat="1">
      <c r="A1014" s="13" t="s">
        <v>2761</v>
      </c>
    </row>
    <row r="1015" spans="1:1" customFormat="1">
      <c r="A1015" s="13" t="s">
        <v>2762</v>
      </c>
    </row>
    <row r="1016" spans="1:1" customFormat="1">
      <c r="A1016" s="13" t="s">
        <v>2763</v>
      </c>
    </row>
    <row r="1017" spans="1:1" customFormat="1">
      <c r="A1017" s="13" t="s">
        <v>2764</v>
      </c>
    </row>
    <row r="1018" spans="1:1" customFormat="1">
      <c r="A1018" s="13" t="s">
        <v>2765</v>
      </c>
    </row>
    <row r="1019" spans="1:1" customFormat="1">
      <c r="A1019" s="13" t="s">
        <v>2766</v>
      </c>
    </row>
    <row r="1020" spans="1:1" customFormat="1">
      <c r="A1020" s="13" t="s">
        <v>2767</v>
      </c>
    </row>
    <row r="1021" spans="1:1" customFormat="1">
      <c r="A1021" s="13" t="s">
        <v>2768</v>
      </c>
    </row>
    <row r="1022" spans="1:1" customFormat="1">
      <c r="A1022" s="13" t="s">
        <v>2769</v>
      </c>
    </row>
    <row r="1023" spans="1:1" customFormat="1">
      <c r="A1023" s="13" t="s">
        <v>2770</v>
      </c>
    </row>
    <row r="1024" spans="1:1" customFormat="1">
      <c r="A1024" s="13" t="s">
        <v>2771</v>
      </c>
    </row>
    <row r="1025" spans="1:1" customFormat="1">
      <c r="A1025" s="13" t="s">
        <v>2772</v>
      </c>
    </row>
    <row r="1026" spans="1:1" customFormat="1">
      <c r="A1026" s="13" t="s">
        <v>2773</v>
      </c>
    </row>
    <row r="1027" spans="1:1" customFormat="1">
      <c r="A1027" s="13" t="s">
        <v>2774</v>
      </c>
    </row>
    <row r="1028" spans="1:1" customFormat="1">
      <c r="A1028" s="13" t="s">
        <v>2775</v>
      </c>
    </row>
    <row r="1029" spans="1:1" customFormat="1">
      <c r="A1029" s="13" t="s">
        <v>2776</v>
      </c>
    </row>
    <row r="1030" spans="1:1" customFormat="1">
      <c r="A1030" s="13" t="s">
        <v>2777</v>
      </c>
    </row>
    <row r="1031" spans="1:1" customFormat="1">
      <c r="A1031" s="13" t="s">
        <v>2778</v>
      </c>
    </row>
    <row r="1032" spans="1:1" customFormat="1">
      <c r="A1032" s="13" t="s">
        <v>2779</v>
      </c>
    </row>
    <row r="1033" spans="1:1" customFormat="1">
      <c r="A1033" s="13" t="s">
        <v>2780</v>
      </c>
    </row>
    <row r="1034" spans="1:1" customFormat="1">
      <c r="A1034" s="13" t="s">
        <v>2781</v>
      </c>
    </row>
    <row r="1035" spans="1:1" customFormat="1">
      <c r="A1035" s="13" t="s">
        <v>2782</v>
      </c>
    </row>
    <row r="1036" spans="1:1" customFormat="1">
      <c r="A1036" s="13" t="s">
        <v>2783</v>
      </c>
    </row>
    <row r="1037" spans="1:1" customFormat="1">
      <c r="A1037" s="13" t="s">
        <v>2784</v>
      </c>
    </row>
    <row r="1038" spans="1:1" customFormat="1">
      <c r="A1038" s="13" t="s">
        <v>2785</v>
      </c>
    </row>
    <row r="1039" spans="1:1" customFormat="1">
      <c r="A1039" s="13" t="s">
        <v>2786</v>
      </c>
    </row>
    <row r="1040" spans="1:1" customFormat="1">
      <c r="A1040" s="13" t="s">
        <v>2787</v>
      </c>
    </row>
    <row r="1041" spans="1:1" customFormat="1">
      <c r="A1041" s="13" t="s">
        <v>2788</v>
      </c>
    </row>
    <row r="1042" spans="1:1" customFormat="1">
      <c r="A1042" s="13" t="s">
        <v>2789</v>
      </c>
    </row>
    <row r="1043" spans="1:1" customFormat="1">
      <c r="A1043" s="13" t="s">
        <v>2790</v>
      </c>
    </row>
    <row r="1044" spans="1:1" customFormat="1">
      <c r="A1044" s="13" t="s">
        <v>2791</v>
      </c>
    </row>
    <row r="1045" spans="1:1" customFormat="1">
      <c r="A1045" s="13" t="s">
        <v>2792</v>
      </c>
    </row>
    <row r="1046" spans="1:1" customFormat="1">
      <c r="A1046" s="13" t="s">
        <v>2793</v>
      </c>
    </row>
    <row r="1047" spans="1:1" customFormat="1">
      <c r="A1047" s="13" t="s">
        <v>2794</v>
      </c>
    </row>
    <row r="1048" spans="1:1" customFormat="1">
      <c r="A1048" s="13" t="s">
        <v>2795</v>
      </c>
    </row>
    <row r="1049" spans="1:1" customFormat="1">
      <c r="A1049" s="13" t="s">
        <v>2796</v>
      </c>
    </row>
    <row r="1050" spans="1:1" customFormat="1">
      <c r="A1050" s="13" t="s">
        <v>2797</v>
      </c>
    </row>
    <row r="1051" spans="1:1" customFormat="1">
      <c r="A1051" s="13" t="s">
        <v>2798</v>
      </c>
    </row>
    <row r="1052" spans="1:1" customFormat="1">
      <c r="A1052" s="13" t="s">
        <v>2799</v>
      </c>
    </row>
    <row r="1053" spans="1:1" customFormat="1">
      <c r="A1053" s="13" t="s">
        <v>2800</v>
      </c>
    </row>
    <row r="1054" spans="1:1" customFormat="1">
      <c r="A1054" s="13" t="s">
        <v>2801</v>
      </c>
    </row>
    <row r="1055" spans="1:1" customFormat="1">
      <c r="A1055" s="13" t="s">
        <v>2802</v>
      </c>
    </row>
    <row r="1056" spans="1:1" customFormat="1">
      <c r="A1056" s="13" t="s">
        <v>2803</v>
      </c>
    </row>
    <row r="1057" spans="1:1" customFormat="1">
      <c r="A1057" s="13" t="s">
        <v>2804</v>
      </c>
    </row>
    <row r="1058" spans="1:1" customFormat="1">
      <c r="A1058" s="13" t="s">
        <v>2805</v>
      </c>
    </row>
    <row r="1059" spans="1:1" customFormat="1">
      <c r="A1059" s="13" t="s">
        <v>2806</v>
      </c>
    </row>
    <row r="1060" spans="1:1" customFormat="1">
      <c r="A1060" s="13" t="s">
        <v>2807</v>
      </c>
    </row>
    <row r="1061" spans="1:1" customFormat="1">
      <c r="A1061" s="13" t="s">
        <v>2808</v>
      </c>
    </row>
    <row r="1062" spans="1:1" customFormat="1">
      <c r="A1062" s="13" t="s">
        <v>2809</v>
      </c>
    </row>
    <row r="1063" spans="1:1" customFormat="1">
      <c r="A1063" s="13" t="s">
        <v>2810</v>
      </c>
    </row>
    <row r="1064" spans="1:1" customFormat="1">
      <c r="A1064" s="13" t="s">
        <v>2811</v>
      </c>
    </row>
    <row r="1065" spans="1:1" customFormat="1">
      <c r="A1065" s="13" t="s">
        <v>2812</v>
      </c>
    </row>
    <row r="1066" spans="1:1" customFormat="1">
      <c r="A1066" s="13" t="s">
        <v>2813</v>
      </c>
    </row>
    <row r="1067" spans="1:1" customFormat="1">
      <c r="A1067" s="13" t="s">
        <v>2814</v>
      </c>
    </row>
    <row r="1068" spans="1:1" customFormat="1">
      <c r="A1068" s="13" t="s">
        <v>2815</v>
      </c>
    </row>
    <row r="1069" spans="1:1" customFormat="1">
      <c r="A1069" s="13" t="s">
        <v>2816</v>
      </c>
    </row>
    <row r="1070" spans="1:1" customFormat="1">
      <c r="A1070" s="13" t="s">
        <v>2817</v>
      </c>
    </row>
    <row r="1071" spans="1:1" customFormat="1">
      <c r="A1071" s="13" t="s">
        <v>2818</v>
      </c>
    </row>
    <row r="1072" spans="1:1" customFormat="1">
      <c r="A1072" s="13" t="s">
        <v>2819</v>
      </c>
    </row>
    <row r="1073" spans="1:1" customFormat="1">
      <c r="A1073" s="13" t="s">
        <v>2820</v>
      </c>
    </row>
    <row r="1074" spans="1:1" customFormat="1">
      <c r="A1074" s="13" t="s">
        <v>2821</v>
      </c>
    </row>
    <row r="1075" spans="1:1" customFormat="1">
      <c r="A1075" s="13" t="s">
        <v>2822</v>
      </c>
    </row>
    <row r="1076" spans="1:1" customFormat="1">
      <c r="A1076" s="13" t="s">
        <v>2823</v>
      </c>
    </row>
    <row r="1077" spans="1:1" customFormat="1">
      <c r="A1077" s="13" t="s">
        <v>2824</v>
      </c>
    </row>
    <row r="1078" spans="1:1" customFormat="1">
      <c r="A1078" s="13" t="s">
        <v>2825</v>
      </c>
    </row>
    <row r="1079" spans="1:1" customFormat="1">
      <c r="A1079" s="13" t="s">
        <v>2826</v>
      </c>
    </row>
    <row r="1080" spans="1:1" customFormat="1">
      <c r="A1080" s="13" t="s">
        <v>2827</v>
      </c>
    </row>
    <row r="1081" spans="1:1" customFormat="1">
      <c r="A1081" s="13" t="s">
        <v>2828</v>
      </c>
    </row>
    <row r="1082" spans="1:1" customFormat="1">
      <c r="A1082" s="13" t="s">
        <v>2829</v>
      </c>
    </row>
    <row r="1083" spans="1:1" customFormat="1">
      <c r="A1083" s="13" t="s">
        <v>2830</v>
      </c>
    </row>
    <row r="1084" spans="1:1" customFormat="1">
      <c r="A1084" s="13" t="s">
        <v>2831</v>
      </c>
    </row>
    <row r="1085" spans="1:1" customFormat="1">
      <c r="A1085" s="13" t="s">
        <v>2832</v>
      </c>
    </row>
    <row r="1086" spans="1:1" customFormat="1">
      <c r="A1086" s="13" t="s">
        <v>2833</v>
      </c>
    </row>
    <row r="1087" spans="1:1" customFormat="1">
      <c r="A1087" s="13" t="s">
        <v>2834</v>
      </c>
    </row>
    <row r="1088" spans="1:1" customFormat="1">
      <c r="A1088" s="13" t="s">
        <v>2835</v>
      </c>
    </row>
    <row r="1089" spans="1:1" customFormat="1">
      <c r="A1089" s="13" t="s">
        <v>2836</v>
      </c>
    </row>
    <row r="1090" spans="1:1" customFormat="1">
      <c r="A1090" s="13" t="s">
        <v>2837</v>
      </c>
    </row>
    <row r="1091" spans="1:1" customFormat="1">
      <c r="A1091" s="13" t="s">
        <v>2838</v>
      </c>
    </row>
    <row r="1092" spans="1:1" customFormat="1">
      <c r="A1092" s="13" t="s">
        <v>2839</v>
      </c>
    </row>
    <row r="1093" spans="1:1" customFormat="1">
      <c r="A1093" s="13" t="s">
        <v>2840</v>
      </c>
    </row>
    <row r="1094" spans="1:1" customFormat="1">
      <c r="A1094" s="13" t="s">
        <v>2841</v>
      </c>
    </row>
    <row r="1095" spans="1:1" customFormat="1">
      <c r="A1095" s="13" t="s">
        <v>2842</v>
      </c>
    </row>
    <row r="1096" spans="1:1" customFormat="1">
      <c r="A1096" s="13" t="s">
        <v>2843</v>
      </c>
    </row>
    <row r="1097" spans="1:1" customFormat="1">
      <c r="A1097" s="13" t="s">
        <v>2844</v>
      </c>
    </row>
    <row r="1098" spans="1:1" customFormat="1">
      <c r="A1098" s="13" t="s">
        <v>2845</v>
      </c>
    </row>
    <row r="1099" spans="1:1" customFormat="1">
      <c r="A1099" s="13" t="s">
        <v>2846</v>
      </c>
    </row>
    <row r="1100" spans="1:1" customFormat="1">
      <c r="A1100" s="13" t="s">
        <v>2847</v>
      </c>
    </row>
    <row r="1101" spans="1:1" customFormat="1">
      <c r="A1101" s="13" t="s">
        <v>2848</v>
      </c>
    </row>
    <row r="1102" spans="1:1" customFormat="1">
      <c r="A1102" s="13" t="s">
        <v>2849</v>
      </c>
    </row>
    <row r="1103" spans="1:1" customFormat="1">
      <c r="A1103" s="13" t="s">
        <v>2850</v>
      </c>
    </row>
    <row r="1104" spans="1:1" customFormat="1">
      <c r="A1104" s="13" t="s">
        <v>2851</v>
      </c>
    </row>
    <row r="1105" spans="1:1" customFormat="1">
      <c r="A1105" s="13" t="s">
        <v>2852</v>
      </c>
    </row>
    <row r="1106" spans="1:1" customFormat="1">
      <c r="A1106" s="13" t="s">
        <v>2853</v>
      </c>
    </row>
    <row r="1107" spans="1:1" customFormat="1">
      <c r="A1107" s="13" t="s">
        <v>2854</v>
      </c>
    </row>
    <row r="1108" spans="1:1" customFormat="1">
      <c r="A1108" s="13" t="s">
        <v>2855</v>
      </c>
    </row>
    <row r="1109" spans="1:1" customFormat="1">
      <c r="A1109" s="13" t="s">
        <v>2856</v>
      </c>
    </row>
    <row r="1110" spans="1:1" customFormat="1">
      <c r="A1110" s="13" t="s">
        <v>2857</v>
      </c>
    </row>
    <row r="1111" spans="1:1" customFormat="1">
      <c r="A1111" s="13" t="s">
        <v>2858</v>
      </c>
    </row>
    <row r="1112" spans="1:1" customFormat="1">
      <c r="A1112" s="13" t="s">
        <v>2859</v>
      </c>
    </row>
    <row r="1113" spans="1:1" customFormat="1">
      <c r="A1113" s="13" t="s">
        <v>2860</v>
      </c>
    </row>
    <row r="1114" spans="1:1" customFormat="1">
      <c r="A1114" s="13" t="s">
        <v>2861</v>
      </c>
    </row>
    <row r="1115" spans="1:1" customFormat="1">
      <c r="A1115" s="13" t="s">
        <v>2862</v>
      </c>
    </row>
    <row r="1116" spans="1:1" customFormat="1">
      <c r="A1116" s="13" t="s">
        <v>2863</v>
      </c>
    </row>
    <row r="1117" spans="1:1" customFormat="1">
      <c r="A1117" s="13" t="s">
        <v>2864</v>
      </c>
    </row>
    <row r="1118" spans="1:1" customFormat="1">
      <c r="A1118" s="13" t="s">
        <v>2865</v>
      </c>
    </row>
    <row r="1119" spans="1:1" customFormat="1">
      <c r="A1119" s="13" t="s">
        <v>2866</v>
      </c>
    </row>
    <row r="1120" spans="1:1" customFormat="1">
      <c r="A1120" s="13" t="s">
        <v>2867</v>
      </c>
    </row>
    <row r="1121" spans="1:1" customFormat="1">
      <c r="A1121" s="13" t="s">
        <v>2868</v>
      </c>
    </row>
    <row r="1122" spans="1:1" customFormat="1">
      <c r="A1122" s="13" t="s">
        <v>2869</v>
      </c>
    </row>
    <row r="1123" spans="1:1" customFormat="1">
      <c r="A1123" s="13" t="s">
        <v>2870</v>
      </c>
    </row>
    <row r="1124" spans="1:1" customFormat="1">
      <c r="A1124" s="13" t="s">
        <v>2871</v>
      </c>
    </row>
    <row r="1125" spans="1:1" customFormat="1">
      <c r="A1125" s="13" t="s">
        <v>2872</v>
      </c>
    </row>
    <row r="1126" spans="1:1" customFormat="1">
      <c r="A1126" s="13" t="s">
        <v>2873</v>
      </c>
    </row>
    <row r="1127" spans="1:1" customFormat="1">
      <c r="A1127" s="13" t="s">
        <v>2874</v>
      </c>
    </row>
    <row r="1128" spans="1:1" customFormat="1">
      <c r="A1128" s="13" t="s">
        <v>2875</v>
      </c>
    </row>
    <row r="1129" spans="1:1" customFormat="1">
      <c r="A1129" s="13" t="s">
        <v>2876</v>
      </c>
    </row>
    <row r="1130" spans="1:1" customFormat="1">
      <c r="A1130" s="13" t="s">
        <v>2877</v>
      </c>
    </row>
    <row r="1131" spans="1:1" customFormat="1">
      <c r="A1131" s="13" t="s">
        <v>2878</v>
      </c>
    </row>
    <row r="1132" spans="1:1" customFormat="1">
      <c r="A1132" s="13" t="s">
        <v>2879</v>
      </c>
    </row>
    <row r="1133" spans="1:1" customFormat="1">
      <c r="A1133" s="13" t="s">
        <v>2880</v>
      </c>
    </row>
    <row r="1134" spans="1:1" customFormat="1">
      <c r="A1134" s="13" t="s">
        <v>2881</v>
      </c>
    </row>
    <row r="1135" spans="1:1" customFormat="1">
      <c r="A1135" s="13" t="s">
        <v>2882</v>
      </c>
    </row>
    <row r="1136" spans="1:1" customFormat="1">
      <c r="A1136" s="13" t="s">
        <v>2883</v>
      </c>
    </row>
    <row r="1137" spans="1:1" customFormat="1">
      <c r="A1137" s="13" t="s">
        <v>2884</v>
      </c>
    </row>
    <row r="1138" spans="1:1" customFormat="1">
      <c r="A1138" s="13" t="s">
        <v>2885</v>
      </c>
    </row>
    <row r="1139" spans="1:1" customFormat="1">
      <c r="A1139" s="13" t="s">
        <v>2886</v>
      </c>
    </row>
    <row r="1140" spans="1:1" customFormat="1">
      <c r="A1140" s="13" t="s">
        <v>2887</v>
      </c>
    </row>
    <row r="1141" spans="1:1" customFormat="1">
      <c r="A1141" s="13" t="s">
        <v>2888</v>
      </c>
    </row>
    <row r="1142" spans="1:1" customFormat="1">
      <c r="A1142" s="13" t="s">
        <v>2889</v>
      </c>
    </row>
    <row r="1143" spans="1:1" customFormat="1">
      <c r="A1143" s="13" t="s">
        <v>2890</v>
      </c>
    </row>
    <row r="1144" spans="1:1" customFormat="1">
      <c r="A1144" s="13" t="s">
        <v>2891</v>
      </c>
    </row>
    <row r="1145" spans="1:1" customFormat="1">
      <c r="A1145" s="13" t="s">
        <v>2892</v>
      </c>
    </row>
    <row r="1146" spans="1:1" customFormat="1">
      <c r="A1146" s="13" t="s">
        <v>2893</v>
      </c>
    </row>
    <row r="1147" spans="1:1" customFormat="1">
      <c r="A1147" s="13" t="s">
        <v>2894</v>
      </c>
    </row>
    <row r="1148" spans="1:1" customFormat="1">
      <c r="A1148" s="13" t="s">
        <v>2895</v>
      </c>
    </row>
    <row r="1149" spans="1:1" customFormat="1">
      <c r="A1149" s="13" t="s">
        <v>2896</v>
      </c>
    </row>
    <row r="1150" spans="1:1" customFormat="1">
      <c r="A1150" s="13" t="s">
        <v>2897</v>
      </c>
    </row>
    <row r="1151" spans="1:1" customFormat="1">
      <c r="A1151" s="13" t="s">
        <v>2898</v>
      </c>
    </row>
    <row r="1152" spans="1:1" customFormat="1">
      <c r="A1152" s="13" t="s">
        <v>2899</v>
      </c>
    </row>
    <row r="1153" spans="1:1" customFormat="1">
      <c r="A1153" s="13" t="s">
        <v>2900</v>
      </c>
    </row>
    <row r="1154" spans="1:1" customFormat="1">
      <c r="A1154" s="13" t="s">
        <v>2901</v>
      </c>
    </row>
    <row r="1155" spans="1:1" customFormat="1">
      <c r="A1155" s="13" t="s">
        <v>2902</v>
      </c>
    </row>
    <row r="1156" spans="1:1" customFormat="1">
      <c r="A1156" s="13" t="s">
        <v>2903</v>
      </c>
    </row>
    <row r="1157" spans="1:1" customFormat="1">
      <c r="A1157" s="13"/>
    </row>
    <row r="1158" spans="1:1" customFormat="1">
      <c r="A1158" s="13" t="s">
        <v>2904</v>
      </c>
    </row>
    <row r="1159" spans="1:1" customFormat="1">
      <c r="A1159" s="13" t="s">
        <v>2905</v>
      </c>
    </row>
    <row r="1160" spans="1:1" customFormat="1">
      <c r="A1160" s="13" t="s">
        <v>2906</v>
      </c>
    </row>
    <row r="1161" spans="1:1" customFormat="1">
      <c r="A1161" s="13" t="s">
        <v>2907</v>
      </c>
    </row>
    <row r="1162" spans="1:1" customFormat="1">
      <c r="A1162" s="13" t="s">
        <v>2908</v>
      </c>
    </row>
    <row r="1163" spans="1:1" customFormat="1">
      <c r="A1163" s="13" t="s">
        <v>2909</v>
      </c>
    </row>
    <row r="1164" spans="1:1" customFormat="1">
      <c r="A1164" s="13" t="s">
        <v>2910</v>
      </c>
    </row>
    <row r="1165" spans="1:1" customFormat="1">
      <c r="A1165" s="13" t="s">
        <v>2911</v>
      </c>
    </row>
    <row r="1166" spans="1:1" customFormat="1">
      <c r="A1166" s="13" t="s">
        <v>2912</v>
      </c>
    </row>
    <row r="1167" spans="1:1" customFormat="1">
      <c r="A1167" s="13" t="s">
        <v>2913</v>
      </c>
    </row>
    <row r="1168" spans="1:1" customFormat="1">
      <c r="A1168" s="13" t="s">
        <v>2914</v>
      </c>
    </row>
    <row r="1169" spans="1:1" customFormat="1">
      <c r="A1169" s="13" t="s">
        <v>2915</v>
      </c>
    </row>
    <row r="1170" spans="1:1" customFormat="1">
      <c r="A1170" s="13" t="s">
        <v>2916</v>
      </c>
    </row>
    <row r="1171" spans="1:1" customFormat="1">
      <c r="A1171" s="13" t="s">
        <v>2917</v>
      </c>
    </row>
    <row r="1172" spans="1:1" customFormat="1">
      <c r="A1172" s="13" t="s">
        <v>2918</v>
      </c>
    </row>
    <row r="1173" spans="1:1" customFormat="1">
      <c r="A1173" s="13" t="s">
        <v>2919</v>
      </c>
    </row>
    <row r="1174" spans="1:1" customFormat="1">
      <c r="A1174" s="13" t="s">
        <v>2920</v>
      </c>
    </row>
    <row r="1175" spans="1:1" customFormat="1">
      <c r="A1175" s="13" t="s">
        <v>2921</v>
      </c>
    </row>
    <row r="1176" spans="1:1" customFormat="1">
      <c r="A1176" s="13" t="s">
        <v>2922</v>
      </c>
    </row>
    <row r="1177" spans="1:1" customFormat="1">
      <c r="A1177" s="13" t="s">
        <v>2923</v>
      </c>
    </row>
    <row r="1178" spans="1:1" customFormat="1">
      <c r="A1178" s="13" t="s">
        <v>2924</v>
      </c>
    </row>
    <row r="1179" spans="1:1" customFormat="1">
      <c r="A1179" s="13" t="s">
        <v>2925</v>
      </c>
    </row>
    <row r="1180" spans="1:1" customFormat="1">
      <c r="A1180" s="13" t="s">
        <v>2926</v>
      </c>
    </row>
    <row r="1181" spans="1:1" customFormat="1">
      <c r="A1181" s="13" t="s">
        <v>2927</v>
      </c>
    </row>
    <row r="1182" spans="1:1" customFormat="1">
      <c r="A1182" s="13" t="s">
        <v>2928</v>
      </c>
    </row>
    <row r="1183" spans="1:1" customFormat="1">
      <c r="A1183" s="13" t="s">
        <v>2929</v>
      </c>
    </row>
    <row r="1184" spans="1:1" customFormat="1">
      <c r="A1184" s="13" t="s">
        <v>2930</v>
      </c>
    </row>
    <row r="1185" spans="1:1" customFormat="1">
      <c r="A1185" s="13" t="s">
        <v>2931</v>
      </c>
    </row>
    <row r="1186" spans="1:1" customFormat="1">
      <c r="A1186" s="13" t="s">
        <v>2932</v>
      </c>
    </row>
    <row r="1187" spans="1:1" customFormat="1">
      <c r="A1187" s="13" t="s">
        <v>2933</v>
      </c>
    </row>
    <row r="1188" spans="1:1" customFormat="1">
      <c r="A1188" s="13" t="s">
        <v>2934</v>
      </c>
    </row>
    <row r="1189" spans="1:1" customFormat="1">
      <c r="A1189" s="13" t="s">
        <v>2935</v>
      </c>
    </row>
    <row r="1190" spans="1:1" customFormat="1">
      <c r="A1190" s="13" t="s">
        <v>2936</v>
      </c>
    </row>
    <row r="1191" spans="1:1" customFormat="1">
      <c r="A1191" s="13" t="s">
        <v>2937</v>
      </c>
    </row>
    <row r="1192" spans="1:1" customFormat="1">
      <c r="A1192" s="13" t="s">
        <v>2938</v>
      </c>
    </row>
    <row r="1193" spans="1:1" customFormat="1">
      <c r="A1193" s="13" t="s">
        <v>2939</v>
      </c>
    </row>
    <row r="1194" spans="1:1" customFormat="1">
      <c r="A1194" s="13" t="s">
        <v>2940</v>
      </c>
    </row>
    <row r="1195" spans="1:1" customFormat="1">
      <c r="A1195" s="13" t="s">
        <v>2941</v>
      </c>
    </row>
    <row r="1196" spans="1:1" customFormat="1">
      <c r="A1196" s="13" t="s">
        <v>2942</v>
      </c>
    </row>
    <row r="1197" spans="1:1" customFormat="1">
      <c r="A1197" s="13" t="s">
        <v>2943</v>
      </c>
    </row>
    <row r="1198" spans="1:1" customFormat="1">
      <c r="A1198" s="13" t="s">
        <v>2944</v>
      </c>
    </row>
    <row r="1199" spans="1:1" customFormat="1">
      <c r="A1199" s="13" t="s">
        <v>2945</v>
      </c>
    </row>
    <row r="1200" spans="1:1" customFormat="1">
      <c r="A1200" s="13" t="s">
        <v>2946</v>
      </c>
    </row>
    <row r="1201" spans="1:1" customFormat="1">
      <c r="A1201" s="13" t="s">
        <v>2947</v>
      </c>
    </row>
    <row r="1202" spans="1:1" customFormat="1">
      <c r="A1202" s="13" t="s">
        <v>2948</v>
      </c>
    </row>
    <row r="1203" spans="1:1" customFormat="1">
      <c r="A1203" s="13" t="s">
        <v>2949</v>
      </c>
    </row>
    <row r="1204" spans="1:1" customFormat="1">
      <c r="A1204" s="13" t="s">
        <v>2950</v>
      </c>
    </row>
    <row r="1205" spans="1:1" customFormat="1">
      <c r="A1205" s="13" t="s">
        <v>2951</v>
      </c>
    </row>
    <row r="1206" spans="1:1" customFormat="1">
      <c r="A1206" s="13" t="s">
        <v>2952</v>
      </c>
    </row>
    <row r="1207" spans="1:1" customFormat="1">
      <c r="A1207" s="13" t="s">
        <v>2953</v>
      </c>
    </row>
    <row r="1208" spans="1:1" customFormat="1">
      <c r="A1208" s="13" t="s">
        <v>2954</v>
      </c>
    </row>
    <row r="1209" spans="1:1" customFormat="1">
      <c r="A1209" s="13" t="s">
        <v>2955</v>
      </c>
    </row>
    <row r="1210" spans="1:1" customFormat="1">
      <c r="A1210" s="13" t="s">
        <v>2956</v>
      </c>
    </row>
    <row r="1211" spans="1:1" customFormat="1">
      <c r="A1211" s="13" t="s">
        <v>2957</v>
      </c>
    </row>
    <row r="1212" spans="1:1" customFormat="1">
      <c r="A1212" s="13" t="s">
        <v>2958</v>
      </c>
    </row>
    <row r="1213" spans="1:1" customFormat="1">
      <c r="A1213" s="13" t="s">
        <v>2959</v>
      </c>
    </row>
    <row r="1214" spans="1:1" customFormat="1">
      <c r="A1214" s="13" t="s">
        <v>2960</v>
      </c>
    </row>
    <row r="1215" spans="1:1" customFormat="1">
      <c r="A1215" s="13" t="s">
        <v>2961</v>
      </c>
    </row>
    <row r="1216" spans="1:1" customFormat="1">
      <c r="A1216" s="13" t="s">
        <v>2962</v>
      </c>
    </row>
    <row r="1217" spans="1:1" customFormat="1">
      <c r="A1217" s="13" t="s">
        <v>2963</v>
      </c>
    </row>
    <row r="1218" spans="1:1" customFormat="1">
      <c r="A1218" s="13" t="s">
        <v>2964</v>
      </c>
    </row>
    <row r="1219" spans="1:1" customFormat="1">
      <c r="A1219" s="13" t="s">
        <v>2965</v>
      </c>
    </row>
    <row r="1220" spans="1:1" customFormat="1">
      <c r="A1220" s="13" t="s">
        <v>2966</v>
      </c>
    </row>
    <row r="1221" spans="1:1" customFormat="1">
      <c r="A1221" s="13" t="s">
        <v>2967</v>
      </c>
    </row>
    <row r="1222" spans="1:1" customFormat="1">
      <c r="A1222" s="13" t="s">
        <v>2968</v>
      </c>
    </row>
    <row r="1223" spans="1:1" customFormat="1">
      <c r="A1223" s="13" t="s">
        <v>2969</v>
      </c>
    </row>
    <row r="1224" spans="1:1" customFormat="1">
      <c r="A1224" s="13" t="s">
        <v>2970</v>
      </c>
    </row>
    <row r="1225" spans="1:1" customFormat="1">
      <c r="A1225" s="13" t="s">
        <v>2971</v>
      </c>
    </row>
    <row r="1226" spans="1:1" customFormat="1">
      <c r="A1226" s="13" t="s">
        <v>2972</v>
      </c>
    </row>
    <row r="1227" spans="1:1" customFormat="1">
      <c r="A1227" s="13" t="s">
        <v>2973</v>
      </c>
    </row>
    <row r="1228" spans="1:1" customFormat="1">
      <c r="A1228" s="13" t="s">
        <v>2974</v>
      </c>
    </row>
    <row r="1229" spans="1:1" customFormat="1">
      <c r="A1229" s="13" t="s">
        <v>2975</v>
      </c>
    </row>
    <row r="1230" spans="1:1" customFormat="1">
      <c r="A1230" s="13" t="s">
        <v>2976</v>
      </c>
    </row>
    <row r="1231" spans="1:1" customFormat="1">
      <c r="A1231" s="13" t="s">
        <v>2977</v>
      </c>
    </row>
    <row r="1232" spans="1:1" customFormat="1">
      <c r="A1232" s="13" t="s">
        <v>2978</v>
      </c>
    </row>
    <row r="1233" spans="1:1" customFormat="1">
      <c r="A1233" s="13" t="s">
        <v>2979</v>
      </c>
    </row>
    <row r="1234" spans="1:1" customFormat="1">
      <c r="A1234" s="13" t="s">
        <v>2980</v>
      </c>
    </row>
    <row r="1235" spans="1:1" customFormat="1">
      <c r="A1235" s="13" t="s">
        <v>2981</v>
      </c>
    </row>
    <row r="1236" spans="1:1" customFormat="1">
      <c r="A1236" s="13" t="s">
        <v>2982</v>
      </c>
    </row>
    <row r="1237" spans="1:1" customFormat="1">
      <c r="A1237" s="13" t="s">
        <v>2983</v>
      </c>
    </row>
    <row r="1238" spans="1:1" customFormat="1">
      <c r="A1238" s="13" t="s">
        <v>2984</v>
      </c>
    </row>
    <row r="1239" spans="1:1" customFormat="1">
      <c r="A1239" s="13" t="s">
        <v>2985</v>
      </c>
    </row>
    <row r="1240" spans="1:1" customFormat="1">
      <c r="A1240" s="13" t="s">
        <v>2986</v>
      </c>
    </row>
    <row r="1241" spans="1:1" customFormat="1">
      <c r="A1241" s="13" t="s">
        <v>2987</v>
      </c>
    </row>
    <row r="1242" spans="1:1" customFormat="1">
      <c r="A1242" s="13" t="s">
        <v>2988</v>
      </c>
    </row>
    <row r="1243" spans="1:1" customFormat="1">
      <c r="A1243" s="13" t="s">
        <v>2989</v>
      </c>
    </row>
    <row r="1244" spans="1:1" customFormat="1">
      <c r="A1244" s="13" t="s">
        <v>2990</v>
      </c>
    </row>
    <row r="1245" spans="1:1" customFormat="1">
      <c r="A1245" s="13" t="s">
        <v>2991</v>
      </c>
    </row>
    <row r="1246" spans="1:1" customFormat="1">
      <c r="A1246" s="13" t="s">
        <v>2992</v>
      </c>
    </row>
    <row r="1247" spans="1:1" customFormat="1">
      <c r="A1247" s="13" t="s">
        <v>2993</v>
      </c>
    </row>
    <row r="1248" spans="1:1" customFormat="1">
      <c r="A1248" s="13" t="s">
        <v>2994</v>
      </c>
    </row>
    <row r="1249" spans="1:1" customFormat="1">
      <c r="A1249" s="13" t="s">
        <v>2995</v>
      </c>
    </row>
    <row r="1250" spans="1:1" customFormat="1">
      <c r="A1250" s="13" t="s">
        <v>2996</v>
      </c>
    </row>
    <row r="1251" spans="1:1" customFormat="1">
      <c r="A1251" s="13" t="s">
        <v>2997</v>
      </c>
    </row>
    <row r="1252" spans="1:1" customFormat="1">
      <c r="A1252" s="13" t="s">
        <v>2998</v>
      </c>
    </row>
    <row r="1253" spans="1:1" customFormat="1">
      <c r="A1253" s="13" t="s">
        <v>2999</v>
      </c>
    </row>
    <row r="1254" spans="1:1" customFormat="1">
      <c r="A1254" s="13" t="s">
        <v>3000</v>
      </c>
    </row>
    <row r="1255" spans="1:1" customFormat="1">
      <c r="A1255" s="13" t="s">
        <v>3001</v>
      </c>
    </row>
    <row r="1256" spans="1:1" customFormat="1">
      <c r="A1256" s="13" t="s">
        <v>3002</v>
      </c>
    </row>
    <row r="1257" spans="1:1" customFormat="1">
      <c r="A1257" s="13" t="s">
        <v>3003</v>
      </c>
    </row>
    <row r="1258" spans="1:1" customFormat="1">
      <c r="A1258" s="13" t="s">
        <v>3004</v>
      </c>
    </row>
    <row r="1259" spans="1:1" customFormat="1">
      <c r="A1259" s="13" t="s">
        <v>3005</v>
      </c>
    </row>
    <row r="1260" spans="1:1" customFormat="1">
      <c r="A1260" s="13" t="s">
        <v>3006</v>
      </c>
    </row>
    <row r="1261" spans="1:1" customFormat="1">
      <c r="A1261" s="13" t="s">
        <v>3007</v>
      </c>
    </row>
    <row r="1262" spans="1:1" customFormat="1">
      <c r="A1262" s="13" t="s">
        <v>3008</v>
      </c>
    </row>
    <row r="1263" spans="1:1" customFormat="1">
      <c r="A1263" s="13" t="s">
        <v>3009</v>
      </c>
    </row>
    <row r="1264" spans="1:1" customFormat="1">
      <c r="A1264" s="13" t="s">
        <v>3010</v>
      </c>
    </row>
    <row r="1265" spans="1:1" customFormat="1">
      <c r="A1265" s="13" t="s">
        <v>3011</v>
      </c>
    </row>
    <row r="1266" spans="1:1" customFormat="1">
      <c r="A1266" s="13" t="s">
        <v>3012</v>
      </c>
    </row>
    <row r="1267" spans="1:1" customFormat="1">
      <c r="A1267" s="13" t="s">
        <v>3013</v>
      </c>
    </row>
    <row r="1268" spans="1:1" customFormat="1">
      <c r="A1268" s="13" t="s">
        <v>3014</v>
      </c>
    </row>
    <row r="1269" spans="1:1" customFormat="1">
      <c r="A1269" s="13" t="s">
        <v>3015</v>
      </c>
    </row>
    <row r="1270" spans="1:1" customFormat="1">
      <c r="A1270" s="13" t="s">
        <v>3016</v>
      </c>
    </row>
    <row r="1271" spans="1:1" customFormat="1">
      <c r="A1271" s="13" t="s">
        <v>3017</v>
      </c>
    </row>
    <row r="1272" spans="1:1" customFormat="1">
      <c r="A1272" s="13" t="s">
        <v>3018</v>
      </c>
    </row>
    <row r="1273" spans="1:1" customFormat="1">
      <c r="A1273" s="13" t="s">
        <v>3019</v>
      </c>
    </row>
    <row r="1274" spans="1:1" customFormat="1">
      <c r="A1274" s="13" t="s">
        <v>3020</v>
      </c>
    </row>
    <row r="1275" spans="1:1" customFormat="1">
      <c r="A1275" s="13" t="s">
        <v>3021</v>
      </c>
    </row>
    <row r="1276" spans="1:1" customFormat="1">
      <c r="A1276" s="13" t="s">
        <v>3022</v>
      </c>
    </row>
    <row r="1277" spans="1:1" customFormat="1">
      <c r="A1277" s="13" t="s">
        <v>3023</v>
      </c>
    </row>
    <row r="1278" spans="1:1" customFormat="1">
      <c r="A1278" s="13" t="s">
        <v>3024</v>
      </c>
    </row>
    <row r="1279" spans="1:1" customFormat="1">
      <c r="A1279" s="13" t="s">
        <v>3025</v>
      </c>
    </row>
    <row r="1280" spans="1:1" customFormat="1">
      <c r="A1280" s="13" t="s">
        <v>3026</v>
      </c>
    </row>
    <row r="1281" spans="1:1" customFormat="1">
      <c r="A1281" s="13" t="s">
        <v>3027</v>
      </c>
    </row>
    <row r="1282" spans="1:1" customFormat="1">
      <c r="A1282" s="13" t="s">
        <v>3028</v>
      </c>
    </row>
    <row r="1283" spans="1:1" customFormat="1">
      <c r="A1283" s="13" t="s">
        <v>3029</v>
      </c>
    </row>
    <row r="1284" spans="1:1" customFormat="1">
      <c r="A1284" s="13" t="s">
        <v>3030</v>
      </c>
    </row>
    <row r="1285" spans="1:1" customFormat="1">
      <c r="A1285" s="13" t="s">
        <v>3031</v>
      </c>
    </row>
    <row r="1286" spans="1:1" customFormat="1">
      <c r="A1286" s="13" t="s">
        <v>3032</v>
      </c>
    </row>
    <row r="1287" spans="1:1" customFormat="1">
      <c r="A1287" s="13" t="s">
        <v>3033</v>
      </c>
    </row>
    <row r="1288" spans="1:1" customFormat="1">
      <c r="A1288" s="13" t="s">
        <v>3034</v>
      </c>
    </row>
    <row r="1289" spans="1:1" customFormat="1">
      <c r="A1289" s="13" t="s">
        <v>3035</v>
      </c>
    </row>
    <row r="1290" spans="1:1" customFormat="1">
      <c r="A1290" s="13" t="s">
        <v>3036</v>
      </c>
    </row>
    <row r="1291" spans="1:1" customFormat="1">
      <c r="A1291" s="13" t="s">
        <v>3037</v>
      </c>
    </row>
    <row r="1292" spans="1:1" customFormat="1">
      <c r="A1292" s="13" t="s">
        <v>3038</v>
      </c>
    </row>
    <row r="1293" spans="1:1" customFormat="1">
      <c r="A1293" s="13" t="s">
        <v>3039</v>
      </c>
    </row>
    <row r="1294" spans="1:1" customFormat="1">
      <c r="A1294" s="13" t="s">
        <v>3040</v>
      </c>
    </row>
    <row r="1295" spans="1:1" customFormat="1">
      <c r="A1295" s="13" t="s">
        <v>3041</v>
      </c>
    </row>
    <row r="1296" spans="1:1" customFormat="1">
      <c r="A1296" s="13" t="s">
        <v>3042</v>
      </c>
    </row>
    <row r="1297" spans="1:1" customFormat="1">
      <c r="A1297" s="13" t="s">
        <v>3043</v>
      </c>
    </row>
    <row r="1298" spans="1:1" customFormat="1">
      <c r="A1298" s="13" t="s">
        <v>3044</v>
      </c>
    </row>
    <row r="1299" spans="1:1" customFormat="1">
      <c r="A1299" s="13" t="s">
        <v>3045</v>
      </c>
    </row>
    <row r="1300" spans="1:1" customFormat="1">
      <c r="A1300" s="13" t="s">
        <v>3046</v>
      </c>
    </row>
    <row r="1301" spans="1:1" customFormat="1">
      <c r="A1301" s="13" t="s">
        <v>3047</v>
      </c>
    </row>
    <row r="1302" spans="1:1" customFormat="1">
      <c r="A1302" s="13" t="s">
        <v>3048</v>
      </c>
    </row>
    <row r="1303" spans="1:1" customFormat="1">
      <c r="A1303" s="13" t="s">
        <v>3049</v>
      </c>
    </row>
    <row r="1304" spans="1:1" customFormat="1">
      <c r="A1304" s="13" t="s">
        <v>3050</v>
      </c>
    </row>
    <row r="1305" spans="1:1" customFormat="1">
      <c r="A1305" s="13" t="s">
        <v>3051</v>
      </c>
    </row>
    <row r="1306" spans="1:1" customFormat="1">
      <c r="A1306" s="13" t="s">
        <v>3052</v>
      </c>
    </row>
    <row r="1307" spans="1:1" customFormat="1">
      <c r="A1307" s="13" t="s">
        <v>3053</v>
      </c>
    </row>
    <row r="1308" spans="1:1" customFormat="1">
      <c r="A1308" s="13" t="s">
        <v>3054</v>
      </c>
    </row>
    <row r="1309" spans="1:1" customFormat="1">
      <c r="A1309" s="13" t="s">
        <v>3055</v>
      </c>
    </row>
    <row r="1310" spans="1:1" customFormat="1">
      <c r="A1310" s="13" t="s">
        <v>3056</v>
      </c>
    </row>
    <row r="1311" spans="1:1" customFormat="1">
      <c r="A1311" s="13" t="s">
        <v>3057</v>
      </c>
    </row>
    <row r="1312" spans="1:1" customFormat="1">
      <c r="A1312" s="13" t="s">
        <v>3058</v>
      </c>
    </row>
    <row r="1313" spans="1:1" customFormat="1">
      <c r="A1313" s="13" t="s">
        <v>3059</v>
      </c>
    </row>
    <row r="1314" spans="1:1" customFormat="1">
      <c r="A1314" s="13" t="s">
        <v>3060</v>
      </c>
    </row>
    <row r="1315" spans="1:1" customFormat="1">
      <c r="A1315" s="13" t="s">
        <v>3061</v>
      </c>
    </row>
    <row r="1316" spans="1:1" customFormat="1">
      <c r="A1316" s="13" t="s">
        <v>3062</v>
      </c>
    </row>
    <row r="1317" spans="1:1" customFormat="1">
      <c r="A1317" s="13" t="s">
        <v>3063</v>
      </c>
    </row>
    <row r="1318" spans="1:1" customFormat="1">
      <c r="A1318" s="13" t="s">
        <v>3064</v>
      </c>
    </row>
    <row r="1319" spans="1:1" customFormat="1">
      <c r="A1319" s="13" t="s">
        <v>3065</v>
      </c>
    </row>
    <row r="1320" spans="1:1" customFormat="1">
      <c r="A1320" s="13" t="s">
        <v>3066</v>
      </c>
    </row>
    <row r="1321" spans="1:1" customFormat="1">
      <c r="A1321" s="13" t="s">
        <v>3067</v>
      </c>
    </row>
    <row r="1322" spans="1:1" customFormat="1">
      <c r="A1322" s="13" t="s">
        <v>3068</v>
      </c>
    </row>
    <row r="1323" spans="1:1" customFormat="1">
      <c r="A1323" s="13" t="s">
        <v>3069</v>
      </c>
    </row>
    <row r="1324" spans="1:1" customFormat="1">
      <c r="A1324" s="13" t="s">
        <v>3070</v>
      </c>
    </row>
    <row r="1325" spans="1:1" customFormat="1">
      <c r="A1325" s="13" t="s">
        <v>3071</v>
      </c>
    </row>
    <row r="1326" spans="1:1" customFormat="1">
      <c r="A1326" s="13" t="s">
        <v>3072</v>
      </c>
    </row>
    <row r="1327" spans="1:1" customFormat="1">
      <c r="A1327" s="13" t="s">
        <v>3073</v>
      </c>
    </row>
    <row r="1328" spans="1:1" customFormat="1">
      <c r="A1328" s="13" t="s">
        <v>3074</v>
      </c>
    </row>
    <row r="1329" spans="1:1" customFormat="1">
      <c r="A1329" s="13" t="s">
        <v>3075</v>
      </c>
    </row>
    <row r="1330" spans="1:1" customFormat="1">
      <c r="A1330" s="13" t="s">
        <v>3076</v>
      </c>
    </row>
    <row r="1331" spans="1:1" customFormat="1">
      <c r="A1331" s="13" t="s">
        <v>3077</v>
      </c>
    </row>
    <row r="1332" spans="1:1" customFormat="1">
      <c r="A1332" s="13" t="s">
        <v>3078</v>
      </c>
    </row>
    <row r="1333" spans="1:1" customFormat="1">
      <c r="A1333" s="13" t="s">
        <v>3079</v>
      </c>
    </row>
    <row r="1334" spans="1:1" customFormat="1">
      <c r="A1334" s="13" t="s">
        <v>3080</v>
      </c>
    </row>
    <row r="1335" spans="1:1" customFormat="1">
      <c r="A1335" s="13" t="s">
        <v>3081</v>
      </c>
    </row>
    <row r="1336" spans="1:1" customFormat="1">
      <c r="A1336" s="13" t="s">
        <v>3082</v>
      </c>
    </row>
    <row r="1337" spans="1:1" customFormat="1">
      <c r="A1337" s="13" t="s">
        <v>3083</v>
      </c>
    </row>
    <row r="1338" spans="1:1" customFormat="1">
      <c r="A1338" s="13" t="s">
        <v>3084</v>
      </c>
    </row>
    <row r="1339" spans="1:1" customFormat="1">
      <c r="A1339" s="13" t="s">
        <v>3085</v>
      </c>
    </row>
    <row r="1340" spans="1:1" customFormat="1">
      <c r="A1340" s="13" t="s">
        <v>3086</v>
      </c>
    </row>
    <row r="1341" spans="1:1" customFormat="1">
      <c r="A1341" s="13" t="s">
        <v>3087</v>
      </c>
    </row>
    <row r="1342" spans="1:1" customFormat="1">
      <c r="A1342" s="13" t="s">
        <v>3088</v>
      </c>
    </row>
    <row r="1343" spans="1:1" customFormat="1">
      <c r="A1343" s="13" t="s">
        <v>3089</v>
      </c>
    </row>
    <row r="1344" spans="1:1" customFormat="1">
      <c r="A1344" s="13" t="s">
        <v>3090</v>
      </c>
    </row>
    <row r="1345" spans="1:1" customFormat="1">
      <c r="A1345" s="13" t="s">
        <v>3091</v>
      </c>
    </row>
    <row r="1346" spans="1:1" customFormat="1">
      <c r="A1346" s="13" t="s">
        <v>3092</v>
      </c>
    </row>
    <row r="1347" spans="1:1" customFormat="1">
      <c r="A1347" s="13" t="s">
        <v>3093</v>
      </c>
    </row>
    <row r="1348" spans="1:1" customFormat="1">
      <c r="A1348" s="13" t="s">
        <v>3094</v>
      </c>
    </row>
    <row r="1349" spans="1:1" customFormat="1">
      <c r="A1349" s="13" t="s">
        <v>3095</v>
      </c>
    </row>
    <row r="1350" spans="1:1" customFormat="1">
      <c r="A1350" s="13" t="s">
        <v>3096</v>
      </c>
    </row>
    <row r="1351" spans="1:1" customFormat="1">
      <c r="A1351" s="13"/>
    </row>
    <row r="1352" spans="1:1" customFormat="1">
      <c r="A1352" s="13" t="s">
        <v>3097</v>
      </c>
    </row>
    <row r="1353" spans="1:1" customFormat="1">
      <c r="A1353" s="13" t="s">
        <v>3098</v>
      </c>
    </row>
    <row r="1354" spans="1:1" customFormat="1">
      <c r="A1354" s="13" t="s">
        <v>3099</v>
      </c>
    </row>
    <row r="1355" spans="1:1" customFormat="1">
      <c r="A1355" s="13" t="s">
        <v>3100</v>
      </c>
    </row>
    <row r="1356" spans="1:1" customFormat="1">
      <c r="A1356" s="13" t="s">
        <v>3101</v>
      </c>
    </row>
    <row r="1357" spans="1:1" customFormat="1">
      <c r="A1357" s="13" t="s">
        <v>3102</v>
      </c>
    </row>
    <row r="1358" spans="1:1" customFormat="1">
      <c r="A1358" s="13" t="s">
        <v>3103</v>
      </c>
    </row>
    <row r="1359" spans="1:1" customFormat="1">
      <c r="A1359" s="13" t="s">
        <v>3104</v>
      </c>
    </row>
    <row r="1360" spans="1:1" customFormat="1">
      <c r="A1360" s="13" t="s">
        <v>3105</v>
      </c>
    </row>
    <row r="1361" spans="1:1" customFormat="1">
      <c r="A1361" s="13" t="s">
        <v>3106</v>
      </c>
    </row>
    <row r="1362" spans="1:1" customFormat="1">
      <c r="A1362" s="13" t="s">
        <v>3107</v>
      </c>
    </row>
    <row r="1363" spans="1:1" customFormat="1">
      <c r="A1363" s="13" t="s">
        <v>3108</v>
      </c>
    </row>
    <row r="1364" spans="1:1" customFormat="1">
      <c r="A1364" s="13" t="s">
        <v>3109</v>
      </c>
    </row>
    <row r="1365" spans="1:1" customFormat="1">
      <c r="A1365" s="13" t="s">
        <v>3110</v>
      </c>
    </row>
    <row r="1366" spans="1:1" customFormat="1">
      <c r="A1366" s="13" t="s">
        <v>3111</v>
      </c>
    </row>
    <row r="1367" spans="1:1" customFormat="1">
      <c r="A1367" s="13" t="s">
        <v>3112</v>
      </c>
    </row>
    <row r="1368" spans="1:1" customFormat="1">
      <c r="A1368" s="13" t="s">
        <v>3113</v>
      </c>
    </row>
    <row r="1369" spans="1:1" customFormat="1">
      <c r="A1369" s="13" t="s">
        <v>3114</v>
      </c>
    </row>
    <row r="1370" spans="1:1" customFormat="1">
      <c r="A1370" s="13" t="s">
        <v>3115</v>
      </c>
    </row>
    <row r="1371" spans="1:1" customFormat="1">
      <c r="A1371" s="13" t="s">
        <v>3116</v>
      </c>
    </row>
    <row r="1372" spans="1:1" customFormat="1">
      <c r="A1372" s="13" t="s">
        <v>3117</v>
      </c>
    </row>
    <row r="1373" spans="1:1" customFormat="1">
      <c r="A1373" s="13" t="s">
        <v>3118</v>
      </c>
    </row>
    <row r="1374" spans="1:1" customFormat="1">
      <c r="A1374" s="13" t="s">
        <v>3119</v>
      </c>
    </row>
    <row r="1375" spans="1:1" customFormat="1">
      <c r="A1375" s="13" t="s">
        <v>3120</v>
      </c>
    </row>
    <row r="1376" spans="1:1" customFormat="1">
      <c r="A1376" s="13" t="s">
        <v>3121</v>
      </c>
    </row>
    <row r="1377" spans="1:1" customFormat="1">
      <c r="A1377" s="13" t="s">
        <v>3122</v>
      </c>
    </row>
    <row r="1378" spans="1:1" customFormat="1">
      <c r="A1378" s="13" t="s">
        <v>3123</v>
      </c>
    </row>
    <row r="1379" spans="1:1" customFormat="1">
      <c r="A1379" s="13" t="s">
        <v>3124</v>
      </c>
    </row>
    <row r="1380" spans="1:1" customFormat="1">
      <c r="A1380" s="13" t="s">
        <v>3125</v>
      </c>
    </row>
    <row r="1381" spans="1:1" customFormat="1">
      <c r="A1381" s="13" t="s">
        <v>3126</v>
      </c>
    </row>
    <row r="1382" spans="1:1" customFormat="1">
      <c r="A1382" s="13" t="s">
        <v>3127</v>
      </c>
    </row>
    <row r="1383" spans="1:1" customFormat="1">
      <c r="A1383" s="13" t="s">
        <v>3128</v>
      </c>
    </row>
    <row r="1384" spans="1:1" customFormat="1">
      <c r="A1384" s="13" t="s">
        <v>3129</v>
      </c>
    </row>
    <row r="1385" spans="1:1" customFormat="1">
      <c r="A1385" s="13" t="s">
        <v>3130</v>
      </c>
    </row>
    <row r="1386" spans="1:1" customFormat="1">
      <c r="A1386" s="13" t="s">
        <v>3131</v>
      </c>
    </row>
    <row r="1387" spans="1:1" customFormat="1">
      <c r="A1387" s="13" t="s">
        <v>3132</v>
      </c>
    </row>
    <row r="1388" spans="1:1" customFormat="1">
      <c r="A1388" s="13" t="s">
        <v>3133</v>
      </c>
    </row>
    <row r="1389" spans="1:1" customFormat="1">
      <c r="A1389" s="13" t="s">
        <v>3134</v>
      </c>
    </row>
    <row r="1390" spans="1:1" customFormat="1">
      <c r="A1390" s="13" t="s">
        <v>3135</v>
      </c>
    </row>
    <row r="1391" spans="1:1" customFormat="1">
      <c r="A1391" s="13" t="s">
        <v>3136</v>
      </c>
    </row>
    <row r="1392" spans="1:1" customFormat="1">
      <c r="A1392" s="13" t="s">
        <v>3137</v>
      </c>
    </row>
    <row r="1393" spans="1:1" customFormat="1">
      <c r="A1393" s="13" t="s">
        <v>3138</v>
      </c>
    </row>
    <row r="1394" spans="1:1" customFormat="1">
      <c r="A1394" s="13" t="s">
        <v>3139</v>
      </c>
    </row>
    <row r="1395" spans="1:1" customFormat="1">
      <c r="A1395" s="13" t="s">
        <v>3140</v>
      </c>
    </row>
    <row r="1396" spans="1:1" customFormat="1">
      <c r="A1396" s="13" t="s">
        <v>3141</v>
      </c>
    </row>
    <row r="1397" spans="1:1" customFormat="1">
      <c r="A1397" s="13" t="s">
        <v>3142</v>
      </c>
    </row>
    <row r="1398" spans="1:1" customFormat="1">
      <c r="A1398" s="13" t="s">
        <v>3143</v>
      </c>
    </row>
    <row r="1399" spans="1:1" customFormat="1">
      <c r="A1399" s="13" t="s">
        <v>3144</v>
      </c>
    </row>
    <row r="1400" spans="1:1" customFormat="1">
      <c r="A1400" s="13" t="s">
        <v>3145</v>
      </c>
    </row>
    <row r="1401" spans="1:1" customFormat="1">
      <c r="A1401" s="13" t="s">
        <v>3146</v>
      </c>
    </row>
    <row r="1402" spans="1:1" customFormat="1">
      <c r="A1402" s="13" t="s">
        <v>3147</v>
      </c>
    </row>
    <row r="1403" spans="1:1" customFormat="1">
      <c r="A1403" s="13" t="s">
        <v>3148</v>
      </c>
    </row>
    <row r="1404" spans="1:1" customFormat="1">
      <c r="A1404" s="13" t="s">
        <v>3149</v>
      </c>
    </row>
    <row r="1405" spans="1:1" customFormat="1">
      <c r="A1405" s="13" t="s">
        <v>3150</v>
      </c>
    </row>
    <row r="1406" spans="1:1" customFormat="1">
      <c r="A1406" s="13" t="s">
        <v>3151</v>
      </c>
    </row>
    <row r="1407" spans="1:1" customFormat="1">
      <c r="A1407" s="13" t="s">
        <v>3152</v>
      </c>
    </row>
    <row r="1408" spans="1:1" customFormat="1">
      <c r="A1408" s="13" t="s">
        <v>3153</v>
      </c>
    </row>
    <row r="1409" spans="1:1" customFormat="1">
      <c r="A1409" s="13" t="s">
        <v>3154</v>
      </c>
    </row>
    <row r="1410" spans="1:1" customFormat="1">
      <c r="A1410" s="13" t="s">
        <v>3155</v>
      </c>
    </row>
    <row r="1411" spans="1:1" customFormat="1">
      <c r="A1411" s="13" t="s">
        <v>3156</v>
      </c>
    </row>
    <row r="1412" spans="1:1" customFormat="1">
      <c r="A1412" s="13" t="s">
        <v>3157</v>
      </c>
    </row>
    <row r="1413" spans="1:1" customFormat="1">
      <c r="A1413" s="13" t="s">
        <v>3158</v>
      </c>
    </row>
    <row r="1414" spans="1:1" customFormat="1">
      <c r="A1414" s="13" t="s">
        <v>3159</v>
      </c>
    </row>
    <row r="1415" spans="1:1" customFormat="1">
      <c r="A1415" s="13" t="s">
        <v>3160</v>
      </c>
    </row>
    <row r="1416" spans="1:1" customFormat="1">
      <c r="A1416" s="13" t="s">
        <v>3161</v>
      </c>
    </row>
    <row r="1417" spans="1:1" customFormat="1">
      <c r="A1417" s="13" t="s">
        <v>3162</v>
      </c>
    </row>
    <row r="1418" spans="1:1" customFormat="1">
      <c r="A1418" s="13" t="s">
        <v>3163</v>
      </c>
    </row>
    <row r="1419" spans="1:1" customFormat="1">
      <c r="A1419" s="13" t="s">
        <v>3164</v>
      </c>
    </row>
    <row r="1420" spans="1:1" customFormat="1">
      <c r="A1420" s="13" t="s">
        <v>3165</v>
      </c>
    </row>
    <row r="1421" spans="1:1" customFormat="1">
      <c r="A1421" s="13" t="s">
        <v>3166</v>
      </c>
    </row>
    <row r="1422" spans="1:1" customFormat="1">
      <c r="A1422" s="13" t="s">
        <v>3167</v>
      </c>
    </row>
    <row r="1423" spans="1:1" customFormat="1">
      <c r="A1423" s="13" t="s">
        <v>3168</v>
      </c>
    </row>
    <row r="1424" spans="1:1" customFormat="1">
      <c r="A1424" s="13" t="s">
        <v>3169</v>
      </c>
    </row>
    <row r="1425" spans="1:1" customFormat="1">
      <c r="A1425" s="13" t="s">
        <v>3170</v>
      </c>
    </row>
    <row r="1426" spans="1:1" customFormat="1">
      <c r="A1426" s="13" t="s">
        <v>3171</v>
      </c>
    </row>
    <row r="1427" spans="1:1" customFormat="1">
      <c r="A1427" s="13" t="s">
        <v>3172</v>
      </c>
    </row>
    <row r="1428" spans="1:1" customFormat="1">
      <c r="A1428" s="13" t="s">
        <v>3173</v>
      </c>
    </row>
    <row r="1429" spans="1:1" customFormat="1">
      <c r="A1429" s="13" t="s">
        <v>3174</v>
      </c>
    </row>
    <row r="1430" spans="1:1" customFormat="1">
      <c r="A1430" s="13" t="s">
        <v>3175</v>
      </c>
    </row>
    <row r="1431" spans="1:1" customFormat="1">
      <c r="A1431" s="13" t="s">
        <v>3176</v>
      </c>
    </row>
    <row r="1432" spans="1:1" customFormat="1">
      <c r="A1432" s="13" t="s">
        <v>3177</v>
      </c>
    </row>
    <row r="1433" spans="1:1" customFormat="1">
      <c r="A1433" s="13" t="s">
        <v>3178</v>
      </c>
    </row>
    <row r="1434" spans="1:1" customFormat="1">
      <c r="A1434" s="13" t="s">
        <v>3179</v>
      </c>
    </row>
    <row r="1435" spans="1:1" customFormat="1">
      <c r="A1435" s="13" t="s">
        <v>3180</v>
      </c>
    </row>
    <row r="1436" spans="1:1" customFormat="1">
      <c r="A1436" s="13" t="s">
        <v>3181</v>
      </c>
    </row>
    <row r="1437" spans="1:1" customFormat="1">
      <c r="A1437" s="13" t="s">
        <v>3182</v>
      </c>
    </row>
    <row r="1438" spans="1:1" customFormat="1">
      <c r="A1438" s="13" t="s">
        <v>3183</v>
      </c>
    </row>
    <row r="1439" spans="1:1" customFormat="1">
      <c r="A1439" s="13" t="s">
        <v>3184</v>
      </c>
    </row>
    <row r="1440" spans="1:1" customFormat="1">
      <c r="A1440" s="13" t="s">
        <v>3185</v>
      </c>
    </row>
    <row r="1441" spans="1:1" customFormat="1">
      <c r="A1441" s="13" t="s">
        <v>3186</v>
      </c>
    </row>
    <row r="1442" spans="1:1" customFormat="1">
      <c r="A1442" s="13" t="s">
        <v>3187</v>
      </c>
    </row>
    <row r="1443" spans="1:1" customFormat="1">
      <c r="A1443" s="13" t="s">
        <v>3188</v>
      </c>
    </row>
    <row r="1444" spans="1:1" customFormat="1">
      <c r="A1444" s="13" t="s">
        <v>3189</v>
      </c>
    </row>
    <row r="1445" spans="1:1" customFormat="1">
      <c r="A1445" s="13" t="s">
        <v>3190</v>
      </c>
    </row>
    <row r="1446" spans="1:1" customFormat="1">
      <c r="A1446" s="13" t="s">
        <v>3191</v>
      </c>
    </row>
    <row r="1447" spans="1:1" customFormat="1">
      <c r="A1447" s="13" t="s">
        <v>3192</v>
      </c>
    </row>
    <row r="1448" spans="1:1" customFormat="1">
      <c r="A1448" s="13" t="s">
        <v>3193</v>
      </c>
    </row>
    <row r="1449" spans="1:1" customFormat="1">
      <c r="A1449" s="13" t="s">
        <v>3194</v>
      </c>
    </row>
    <row r="1450" spans="1:1" customFormat="1">
      <c r="A1450" s="13" t="s">
        <v>3195</v>
      </c>
    </row>
    <row r="1451" spans="1:1" customFormat="1">
      <c r="A1451" s="13" t="s">
        <v>3196</v>
      </c>
    </row>
    <row r="1452" spans="1:1" customFormat="1">
      <c r="A1452" s="13" t="s">
        <v>3197</v>
      </c>
    </row>
    <row r="1453" spans="1:1" customFormat="1">
      <c r="A1453" s="13" t="s">
        <v>3198</v>
      </c>
    </row>
    <row r="1454" spans="1:1" customFormat="1">
      <c r="A1454" s="13" t="s">
        <v>3199</v>
      </c>
    </row>
    <row r="1455" spans="1:1" customFormat="1">
      <c r="A1455" s="13" t="s">
        <v>3200</v>
      </c>
    </row>
    <row r="1456" spans="1:1" customFormat="1">
      <c r="A1456" s="13" t="s">
        <v>3201</v>
      </c>
    </row>
    <row r="1457" spans="1:1" customFormat="1">
      <c r="A1457" s="13" t="s">
        <v>3202</v>
      </c>
    </row>
    <row r="1458" spans="1:1" customFormat="1">
      <c r="A1458" s="13" t="s">
        <v>3203</v>
      </c>
    </row>
    <row r="1459" spans="1:1" customFormat="1">
      <c r="A1459" s="13" t="s">
        <v>3204</v>
      </c>
    </row>
    <row r="1460" spans="1:1" customFormat="1">
      <c r="A1460" s="13" t="s">
        <v>3205</v>
      </c>
    </row>
    <row r="1461" spans="1:1" customFormat="1">
      <c r="A1461" s="13" t="s">
        <v>3206</v>
      </c>
    </row>
    <row r="1462" spans="1:1" customFormat="1">
      <c r="A1462" s="13" t="s">
        <v>3207</v>
      </c>
    </row>
    <row r="1463" spans="1:1" customFormat="1">
      <c r="A1463" s="13" t="s">
        <v>3208</v>
      </c>
    </row>
    <row r="1464" spans="1:1" customFormat="1">
      <c r="A1464" s="13" t="s">
        <v>3209</v>
      </c>
    </row>
    <row r="1465" spans="1:1" customFormat="1">
      <c r="A1465" s="13" t="s">
        <v>3210</v>
      </c>
    </row>
    <row r="1466" spans="1:1" customFormat="1">
      <c r="A1466" s="13" t="s">
        <v>3211</v>
      </c>
    </row>
    <row r="1467" spans="1:1" customFormat="1">
      <c r="A1467" s="13" t="s">
        <v>3212</v>
      </c>
    </row>
    <row r="1468" spans="1:1" customFormat="1">
      <c r="A1468" s="13" t="s">
        <v>3213</v>
      </c>
    </row>
    <row r="1469" spans="1:1" customFormat="1">
      <c r="A1469" s="13" t="s">
        <v>3214</v>
      </c>
    </row>
    <row r="1470" spans="1:1" customFormat="1">
      <c r="A1470" s="13" t="s">
        <v>3215</v>
      </c>
    </row>
    <row r="1471" spans="1:1" customFormat="1">
      <c r="A1471" s="13" t="s">
        <v>3216</v>
      </c>
    </row>
    <row r="1472" spans="1:1" customFormat="1">
      <c r="A1472" s="13" t="s">
        <v>3217</v>
      </c>
    </row>
    <row r="1473" spans="1:1" customFormat="1">
      <c r="A1473" s="13" t="s">
        <v>3218</v>
      </c>
    </row>
    <row r="1474" spans="1:1" customFormat="1">
      <c r="A1474" s="13" t="s">
        <v>3219</v>
      </c>
    </row>
    <row r="1475" spans="1:1" customFormat="1">
      <c r="A1475" s="13" t="s">
        <v>3220</v>
      </c>
    </row>
    <row r="1476" spans="1:1" customFormat="1">
      <c r="A1476" s="13" t="s">
        <v>3221</v>
      </c>
    </row>
    <row r="1477" spans="1:1" customFormat="1">
      <c r="A1477" s="13" t="s">
        <v>3222</v>
      </c>
    </row>
    <row r="1478" spans="1:1" customFormat="1">
      <c r="A1478" s="13" t="s">
        <v>3223</v>
      </c>
    </row>
    <row r="1479" spans="1:1" customFormat="1">
      <c r="A1479" s="13" t="s">
        <v>3224</v>
      </c>
    </row>
    <row r="1480" spans="1:1" customFormat="1">
      <c r="A1480" s="13" t="s">
        <v>3225</v>
      </c>
    </row>
    <row r="1481" spans="1:1" customFormat="1">
      <c r="A1481" s="13" t="s">
        <v>3226</v>
      </c>
    </row>
    <row r="1482" spans="1:1" customFormat="1">
      <c r="A1482" s="13" t="s">
        <v>3227</v>
      </c>
    </row>
    <row r="1483" spans="1:1" customFormat="1">
      <c r="A1483" s="13" t="s">
        <v>3228</v>
      </c>
    </row>
    <row r="1484" spans="1:1" customFormat="1">
      <c r="A1484" s="13" t="s">
        <v>3229</v>
      </c>
    </row>
    <row r="1485" spans="1:1" customFormat="1">
      <c r="A1485" s="13" t="s">
        <v>3230</v>
      </c>
    </row>
    <row r="1486" spans="1:1" customFormat="1">
      <c r="A1486" s="13" t="s">
        <v>3231</v>
      </c>
    </row>
    <row r="1487" spans="1:1" customFormat="1">
      <c r="A1487" s="13" t="s">
        <v>3232</v>
      </c>
    </row>
    <row r="1488" spans="1:1" customFormat="1">
      <c r="A1488" s="13" t="s">
        <v>3233</v>
      </c>
    </row>
    <row r="1489" spans="1:1" customFormat="1">
      <c r="A1489" s="13" t="s">
        <v>3234</v>
      </c>
    </row>
    <row r="1490" spans="1:1" customFormat="1">
      <c r="A1490" s="13" t="s">
        <v>3235</v>
      </c>
    </row>
    <row r="1491" spans="1:1" customFormat="1">
      <c r="A1491" s="13" t="s">
        <v>3236</v>
      </c>
    </row>
    <row r="1492" spans="1:1" customFormat="1">
      <c r="A1492" s="13" t="s">
        <v>3237</v>
      </c>
    </row>
    <row r="1493" spans="1:1" customFormat="1">
      <c r="A1493" s="13" t="s">
        <v>3238</v>
      </c>
    </row>
    <row r="1494" spans="1:1" customFormat="1">
      <c r="A1494" s="13" t="s">
        <v>3239</v>
      </c>
    </row>
    <row r="1495" spans="1:1" customFormat="1">
      <c r="A1495" s="13" t="s">
        <v>3240</v>
      </c>
    </row>
    <row r="1496" spans="1:1" customFormat="1">
      <c r="A1496" s="13" t="s">
        <v>3241</v>
      </c>
    </row>
    <row r="1497" spans="1:1" customFormat="1">
      <c r="A1497" s="13" t="s">
        <v>3242</v>
      </c>
    </row>
    <row r="1498" spans="1:1" customFormat="1">
      <c r="A1498" s="13" t="s">
        <v>3243</v>
      </c>
    </row>
    <row r="1499" spans="1:1" customFormat="1">
      <c r="A1499" s="13" t="s">
        <v>3244</v>
      </c>
    </row>
    <row r="1500" spans="1:1" customFormat="1">
      <c r="A1500" s="13" t="s">
        <v>3245</v>
      </c>
    </row>
    <row r="1501" spans="1:1" customFormat="1">
      <c r="A1501" s="13" t="s">
        <v>3246</v>
      </c>
    </row>
    <row r="1502" spans="1:1" customFormat="1">
      <c r="A1502" s="13" t="s">
        <v>3247</v>
      </c>
    </row>
    <row r="1503" spans="1:1" customFormat="1">
      <c r="A1503" s="13" t="s">
        <v>3248</v>
      </c>
    </row>
    <row r="1504" spans="1:1" customFormat="1">
      <c r="A1504" s="13" t="s">
        <v>3249</v>
      </c>
    </row>
    <row r="1505" spans="1:1" customFormat="1">
      <c r="A1505" s="13" t="s">
        <v>3250</v>
      </c>
    </row>
    <row r="1506" spans="1:1" customFormat="1">
      <c r="A1506" s="13" t="s">
        <v>3251</v>
      </c>
    </row>
    <row r="1507" spans="1:1" customFormat="1">
      <c r="A1507" s="13" t="s">
        <v>3252</v>
      </c>
    </row>
    <row r="1508" spans="1:1" customFormat="1">
      <c r="A1508" s="13" t="s">
        <v>3253</v>
      </c>
    </row>
    <row r="1509" spans="1:1" customFormat="1">
      <c r="A1509" s="13" t="s">
        <v>3254</v>
      </c>
    </row>
    <row r="1510" spans="1:1" customFormat="1">
      <c r="A1510" s="13" t="s">
        <v>3255</v>
      </c>
    </row>
    <row r="1511" spans="1:1" customFormat="1">
      <c r="A1511" s="13" t="s">
        <v>3256</v>
      </c>
    </row>
    <row r="1512" spans="1:1" customFormat="1">
      <c r="A1512" s="13" t="s">
        <v>3257</v>
      </c>
    </row>
    <row r="1513" spans="1:1" customFormat="1">
      <c r="A1513" s="13" t="s">
        <v>3258</v>
      </c>
    </row>
    <row r="1514" spans="1:1" customFormat="1">
      <c r="A1514" s="13" t="s">
        <v>3259</v>
      </c>
    </row>
    <row r="1515" spans="1:1" customFormat="1">
      <c r="A1515" s="13" t="s">
        <v>3260</v>
      </c>
    </row>
    <row r="1516" spans="1:1" customFormat="1">
      <c r="A1516" s="13" t="s">
        <v>3261</v>
      </c>
    </row>
    <row r="1517" spans="1:1" customFormat="1">
      <c r="A1517" s="13" t="s">
        <v>3262</v>
      </c>
    </row>
    <row r="1518" spans="1:1" customFormat="1">
      <c r="A1518" s="13" t="s">
        <v>3263</v>
      </c>
    </row>
    <row r="1519" spans="1:1" customFormat="1">
      <c r="A1519" s="13" t="s">
        <v>3264</v>
      </c>
    </row>
    <row r="1520" spans="1:1" customFormat="1">
      <c r="A1520" s="13" t="s">
        <v>3265</v>
      </c>
    </row>
    <row r="1521" spans="1:1" customFormat="1">
      <c r="A1521" s="13" t="s">
        <v>3266</v>
      </c>
    </row>
    <row r="1522" spans="1:1" customFormat="1">
      <c r="A1522" s="13" t="s">
        <v>3267</v>
      </c>
    </row>
    <row r="1523" spans="1:1" customFormat="1">
      <c r="A1523" s="13" t="s">
        <v>3268</v>
      </c>
    </row>
    <row r="1524" spans="1:1" customFormat="1">
      <c r="A1524" s="13" t="s">
        <v>3269</v>
      </c>
    </row>
    <row r="1525" spans="1:1" customFormat="1">
      <c r="A1525" s="13" t="s">
        <v>3270</v>
      </c>
    </row>
    <row r="1526" spans="1:1" customFormat="1">
      <c r="A1526" s="13" t="s">
        <v>3271</v>
      </c>
    </row>
    <row r="1527" spans="1:1" customFormat="1">
      <c r="A1527" s="13" t="s">
        <v>3272</v>
      </c>
    </row>
    <row r="1528" spans="1:1" customFormat="1">
      <c r="A1528" s="13" t="s">
        <v>3273</v>
      </c>
    </row>
    <row r="1529" spans="1:1" customFormat="1">
      <c r="A1529" s="13" t="s">
        <v>3274</v>
      </c>
    </row>
    <row r="1530" spans="1:1" customFormat="1">
      <c r="A1530" s="13" t="s">
        <v>3275</v>
      </c>
    </row>
    <row r="1531" spans="1:1" customFormat="1">
      <c r="A1531" s="13" t="s">
        <v>3276</v>
      </c>
    </row>
    <row r="1532" spans="1:1" customFormat="1">
      <c r="A1532" s="13" t="s">
        <v>3277</v>
      </c>
    </row>
    <row r="1533" spans="1:1" customFormat="1">
      <c r="A1533" s="13" t="s">
        <v>3278</v>
      </c>
    </row>
    <row r="1534" spans="1:1" customFormat="1">
      <c r="A1534" s="13" t="s">
        <v>3279</v>
      </c>
    </row>
    <row r="1535" spans="1:1" customFormat="1">
      <c r="A1535" s="13" t="s">
        <v>3280</v>
      </c>
    </row>
    <row r="1536" spans="1:1" customFormat="1">
      <c r="A1536" s="13" t="s">
        <v>3281</v>
      </c>
    </row>
    <row r="1537" spans="1:1" customFormat="1">
      <c r="A1537" s="13" t="s">
        <v>3282</v>
      </c>
    </row>
    <row r="1538" spans="1:1" customFormat="1">
      <c r="A1538" s="13" t="s">
        <v>3283</v>
      </c>
    </row>
    <row r="1539" spans="1:1" customFormat="1">
      <c r="A1539" s="13" t="s">
        <v>3284</v>
      </c>
    </row>
    <row r="1540" spans="1:1" customFormat="1">
      <c r="A1540" s="13" t="s">
        <v>3285</v>
      </c>
    </row>
    <row r="1541" spans="1:1" customFormat="1">
      <c r="A1541" s="13" t="s">
        <v>3286</v>
      </c>
    </row>
    <row r="1542" spans="1:1" customFormat="1">
      <c r="A1542" s="13" t="s">
        <v>3287</v>
      </c>
    </row>
    <row r="1543" spans="1:1" customFormat="1">
      <c r="A1543" s="13" t="s">
        <v>3288</v>
      </c>
    </row>
    <row r="1544" spans="1:1" customFormat="1">
      <c r="A1544" s="13" t="s">
        <v>3289</v>
      </c>
    </row>
    <row r="1545" spans="1:1" customFormat="1">
      <c r="A1545" s="13"/>
    </row>
    <row r="1546" spans="1:1" customFormat="1">
      <c r="A1546" s="13" t="s">
        <v>3290</v>
      </c>
    </row>
    <row r="1547" spans="1:1" customFormat="1">
      <c r="A1547" s="13" t="s">
        <v>3291</v>
      </c>
    </row>
    <row r="1548" spans="1:1" customFormat="1">
      <c r="A1548" s="13" t="s">
        <v>3292</v>
      </c>
    </row>
    <row r="1549" spans="1:1" customFormat="1">
      <c r="A1549" s="13" t="s">
        <v>3293</v>
      </c>
    </row>
    <row r="1550" spans="1:1" customFormat="1">
      <c r="A1550" s="13" t="s">
        <v>3294</v>
      </c>
    </row>
    <row r="1551" spans="1:1" customFormat="1">
      <c r="A1551" s="13" t="s">
        <v>3295</v>
      </c>
    </row>
    <row r="1552" spans="1:1" customFormat="1">
      <c r="A1552" s="13" t="s">
        <v>3296</v>
      </c>
    </row>
    <row r="1553" spans="1:1" customFormat="1">
      <c r="A1553" s="13" t="s">
        <v>3297</v>
      </c>
    </row>
    <row r="1554" spans="1:1" customFormat="1">
      <c r="A1554" s="13" t="s">
        <v>3298</v>
      </c>
    </row>
    <row r="1555" spans="1:1" customFormat="1">
      <c r="A1555" s="13" t="s">
        <v>3299</v>
      </c>
    </row>
    <row r="1556" spans="1:1" customFormat="1">
      <c r="A1556" s="13" t="s">
        <v>7771</v>
      </c>
    </row>
    <row r="1557" spans="1:1" customFormat="1">
      <c r="A1557" s="13" t="s">
        <v>7772</v>
      </c>
    </row>
    <row r="1558" spans="1:1" customFormat="1">
      <c r="A1558" s="13" t="s">
        <v>3300</v>
      </c>
    </row>
    <row r="1559" spans="1:1" customFormat="1">
      <c r="A1559" s="13" t="s">
        <v>3301</v>
      </c>
    </row>
    <row r="1560" spans="1:1" customFormat="1">
      <c r="A1560" s="13" t="s">
        <v>3302</v>
      </c>
    </row>
    <row r="1561" spans="1:1" customFormat="1">
      <c r="A1561" s="13" t="s">
        <v>3303</v>
      </c>
    </row>
    <row r="1562" spans="1:1" customFormat="1">
      <c r="A1562" s="13" t="s">
        <v>3304</v>
      </c>
    </row>
    <row r="1563" spans="1:1" customFormat="1">
      <c r="A1563" s="13" t="s">
        <v>3305</v>
      </c>
    </row>
    <row r="1564" spans="1:1" customFormat="1">
      <c r="A1564" s="13" t="s">
        <v>3306</v>
      </c>
    </row>
    <row r="1565" spans="1:1" customFormat="1">
      <c r="A1565" s="13" t="s">
        <v>3307</v>
      </c>
    </row>
    <row r="1566" spans="1:1" customFormat="1">
      <c r="A1566" s="13" t="s">
        <v>3308</v>
      </c>
    </row>
    <row r="1567" spans="1:1" customFormat="1">
      <c r="A1567" s="13" t="s">
        <v>3309</v>
      </c>
    </row>
    <row r="1568" spans="1:1" customFormat="1">
      <c r="A1568" s="13" t="s">
        <v>3310</v>
      </c>
    </row>
    <row r="1569" spans="1:1" customFormat="1">
      <c r="A1569" s="13" t="s">
        <v>3311</v>
      </c>
    </row>
    <row r="1570" spans="1:1" customFormat="1">
      <c r="A1570" s="13" t="s">
        <v>3312</v>
      </c>
    </row>
    <row r="1571" spans="1:1" customFormat="1">
      <c r="A1571" s="13" t="s">
        <v>3313</v>
      </c>
    </row>
    <row r="1572" spans="1:1" customFormat="1">
      <c r="A1572" s="13" t="s">
        <v>3314</v>
      </c>
    </row>
    <row r="1573" spans="1:1" customFormat="1">
      <c r="A1573" s="13" t="s">
        <v>3315</v>
      </c>
    </row>
    <row r="1574" spans="1:1" customFormat="1">
      <c r="A1574" s="13" t="s">
        <v>3316</v>
      </c>
    </row>
    <row r="1575" spans="1:1" customFormat="1">
      <c r="A1575" s="13" t="s">
        <v>3317</v>
      </c>
    </row>
    <row r="1576" spans="1:1" customFormat="1">
      <c r="A1576" s="13" t="s">
        <v>3318</v>
      </c>
    </row>
    <row r="1577" spans="1:1" customFormat="1">
      <c r="A1577" s="13" t="s">
        <v>3319</v>
      </c>
    </row>
    <row r="1578" spans="1:1" customFormat="1">
      <c r="A1578" s="13" t="s">
        <v>3320</v>
      </c>
    </row>
    <row r="1579" spans="1:1" customFormat="1">
      <c r="A1579" s="13" t="s">
        <v>3321</v>
      </c>
    </row>
    <row r="1580" spans="1:1" customFormat="1">
      <c r="A1580" s="13" t="s">
        <v>3322</v>
      </c>
    </row>
    <row r="1581" spans="1:1" customFormat="1">
      <c r="A1581" s="13" t="s">
        <v>3323</v>
      </c>
    </row>
    <row r="1582" spans="1:1" customFormat="1">
      <c r="A1582" s="13" t="s">
        <v>3324</v>
      </c>
    </row>
    <row r="1583" spans="1:1" customFormat="1">
      <c r="A1583" s="13" t="s">
        <v>3325</v>
      </c>
    </row>
    <row r="1584" spans="1:1" customFormat="1">
      <c r="A1584" s="13" t="s">
        <v>3326</v>
      </c>
    </row>
    <row r="1585" spans="1:1" customFormat="1">
      <c r="A1585" s="13" t="s">
        <v>3327</v>
      </c>
    </row>
    <row r="1586" spans="1:1" customFormat="1">
      <c r="A1586" s="13" t="s">
        <v>3328</v>
      </c>
    </row>
    <row r="1587" spans="1:1" customFormat="1">
      <c r="A1587" s="13" t="s">
        <v>3329</v>
      </c>
    </row>
    <row r="1588" spans="1:1" customFormat="1">
      <c r="A1588" s="13" t="s">
        <v>3330</v>
      </c>
    </row>
    <row r="1589" spans="1:1" customFormat="1">
      <c r="A1589" s="13" t="s">
        <v>3331</v>
      </c>
    </row>
    <row r="1590" spans="1:1" customFormat="1">
      <c r="A1590" s="13" t="s">
        <v>3332</v>
      </c>
    </row>
    <row r="1591" spans="1:1" customFormat="1">
      <c r="A1591" s="13" t="s">
        <v>3333</v>
      </c>
    </row>
    <row r="1592" spans="1:1" customFormat="1">
      <c r="A1592" s="13" t="s">
        <v>3334</v>
      </c>
    </row>
    <row r="1593" spans="1:1" customFormat="1">
      <c r="A1593" s="13" t="s">
        <v>3335</v>
      </c>
    </row>
    <row r="1594" spans="1:1" customFormat="1">
      <c r="A1594" s="13" t="s">
        <v>3336</v>
      </c>
    </row>
    <row r="1595" spans="1:1" customFormat="1">
      <c r="A1595" s="13" t="s">
        <v>3337</v>
      </c>
    </row>
    <row r="1596" spans="1:1" customFormat="1">
      <c r="A1596" s="13" t="s">
        <v>3338</v>
      </c>
    </row>
    <row r="1597" spans="1:1" customFormat="1">
      <c r="A1597" s="13" t="s">
        <v>3339</v>
      </c>
    </row>
    <row r="1598" spans="1:1" customFormat="1">
      <c r="A1598" s="13" t="s">
        <v>3340</v>
      </c>
    </row>
    <row r="1599" spans="1:1" customFormat="1">
      <c r="A1599" s="13" t="s">
        <v>3341</v>
      </c>
    </row>
    <row r="1600" spans="1:1" customFormat="1">
      <c r="A1600" s="13" t="s">
        <v>3342</v>
      </c>
    </row>
    <row r="1601" spans="1:1" customFormat="1">
      <c r="A1601" s="13" t="s">
        <v>3343</v>
      </c>
    </row>
    <row r="1602" spans="1:1" customFormat="1">
      <c r="A1602" s="13" t="s">
        <v>3344</v>
      </c>
    </row>
    <row r="1603" spans="1:1" customFormat="1">
      <c r="A1603" s="13" t="s">
        <v>3345</v>
      </c>
    </row>
    <row r="1604" spans="1:1" customFormat="1">
      <c r="A1604" s="13" t="s">
        <v>3346</v>
      </c>
    </row>
    <row r="1605" spans="1:1" customFormat="1">
      <c r="A1605" s="13" t="s">
        <v>3347</v>
      </c>
    </row>
    <row r="1606" spans="1:1" customFormat="1">
      <c r="A1606" s="13" t="s">
        <v>3348</v>
      </c>
    </row>
    <row r="1607" spans="1:1" customFormat="1">
      <c r="A1607" s="13" t="s">
        <v>3349</v>
      </c>
    </row>
    <row r="1608" spans="1:1" customFormat="1">
      <c r="A1608" s="13" t="s">
        <v>3350</v>
      </c>
    </row>
    <row r="1609" spans="1:1" customFormat="1">
      <c r="A1609" s="13" t="s">
        <v>3351</v>
      </c>
    </row>
    <row r="1610" spans="1:1" customFormat="1">
      <c r="A1610" s="13" t="s">
        <v>3352</v>
      </c>
    </row>
    <row r="1611" spans="1:1" customFormat="1">
      <c r="A1611" s="13" t="s">
        <v>3353</v>
      </c>
    </row>
    <row r="1612" spans="1:1" customFormat="1">
      <c r="A1612" s="13" t="s">
        <v>3354</v>
      </c>
    </row>
    <row r="1613" spans="1:1" customFormat="1">
      <c r="A1613" s="13" t="s">
        <v>3355</v>
      </c>
    </row>
    <row r="1614" spans="1:1" customFormat="1">
      <c r="A1614" s="13" t="s">
        <v>3356</v>
      </c>
    </row>
    <row r="1615" spans="1:1" customFormat="1">
      <c r="A1615" s="13" t="s">
        <v>3357</v>
      </c>
    </row>
    <row r="1616" spans="1:1" customFormat="1">
      <c r="A1616" s="13" t="s">
        <v>3358</v>
      </c>
    </row>
    <row r="1617" spans="1:1" customFormat="1">
      <c r="A1617" s="13" t="s">
        <v>3359</v>
      </c>
    </row>
    <row r="1618" spans="1:1" customFormat="1">
      <c r="A1618" s="13" t="s">
        <v>3360</v>
      </c>
    </row>
    <row r="1619" spans="1:1" customFormat="1">
      <c r="A1619" s="13" t="s">
        <v>3361</v>
      </c>
    </row>
    <row r="1620" spans="1:1" customFormat="1">
      <c r="A1620" s="13" t="s">
        <v>3362</v>
      </c>
    </row>
    <row r="1621" spans="1:1" customFormat="1">
      <c r="A1621" s="13" t="s">
        <v>3363</v>
      </c>
    </row>
    <row r="1622" spans="1:1" customFormat="1">
      <c r="A1622" s="13" t="s">
        <v>3364</v>
      </c>
    </row>
    <row r="1623" spans="1:1" customFormat="1">
      <c r="A1623" s="13" t="s">
        <v>3365</v>
      </c>
    </row>
    <row r="1624" spans="1:1" customFormat="1">
      <c r="A1624" s="13" t="s">
        <v>3366</v>
      </c>
    </row>
    <row r="1625" spans="1:1" customFormat="1">
      <c r="A1625" s="13" t="s">
        <v>3367</v>
      </c>
    </row>
    <row r="1626" spans="1:1" customFormat="1">
      <c r="A1626" s="13" t="s">
        <v>3368</v>
      </c>
    </row>
    <row r="1627" spans="1:1" customFormat="1">
      <c r="A1627" s="13" t="s">
        <v>3369</v>
      </c>
    </row>
    <row r="1628" spans="1:1" customFormat="1">
      <c r="A1628" s="13" t="s">
        <v>3370</v>
      </c>
    </row>
    <row r="1629" spans="1:1" customFormat="1">
      <c r="A1629" s="13" t="s">
        <v>3371</v>
      </c>
    </row>
    <row r="1630" spans="1:1" customFormat="1">
      <c r="A1630" s="13" t="s">
        <v>3372</v>
      </c>
    </row>
    <row r="1631" spans="1:1" customFormat="1">
      <c r="A1631" s="13" t="s">
        <v>3373</v>
      </c>
    </row>
    <row r="1632" spans="1:1" customFormat="1">
      <c r="A1632" s="13" t="s">
        <v>3374</v>
      </c>
    </row>
    <row r="1633" spans="1:1" customFormat="1">
      <c r="A1633" s="13" t="s">
        <v>3375</v>
      </c>
    </row>
    <row r="1634" spans="1:1" customFormat="1">
      <c r="A1634" s="13" t="s">
        <v>3376</v>
      </c>
    </row>
    <row r="1635" spans="1:1" customFormat="1">
      <c r="A1635" s="13" t="s">
        <v>3377</v>
      </c>
    </row>
    <row r="1636" spans="1:1" customFormat="1">
      <c r="A1636" s="13" t="s">
        <v>3378</v>
      </c>
    </row>
    <row r="1637" spans="1:1" customFormat="1">
      <c r="A1637" s="13" t="s">
        <v>3379</v>
      </c>
    </row>
    <row r="1638" spans="1:1" customFormat="1">
      <c r="A1638" s="13" t="s">
        <v>3380</v>
      </c>
    </row>
    <row r="1639" spans="1:1" customFormat="1">
      <c r="A1639" s="13" t="s">
        <v>3381</v>
      </c>
    </row>
    <row r="1640" spans="1:1" customFormat="1">
      <c r="A1640" s="13" t="s">
        <v>3382</v>
      </c>
    </row>
    <row r="1641" spans="1:1" customFormat="1">
      <c r="A1641" s="13" t="s">
        <v>3383</v>
      </c>
    </row>
    <row r="1642" spans="1:1" customFormat="1">
      <c r="A1642" s="13" t="s">
        <v>3384</v>
      </c>
    </row>
    <row r="1643" spans="1:1" customFormat="1">
      <c r="A1643" s="13" t="s">
        <v>3385</v>
      </c>
    </row>
    <row r="1644" spans="1:1" customFormat="1">
      <c r="A1644" s="13" t="s">
        <v>3386</v>
      </c>
    </row>
    <row r="1645" spans="1:1" customFormat="1">
      <c r="A1645" s="13" t="s">
        <v>3387</v>
      </c>
    </row>
    <row r="1646" spans="1:1" customFormat="1">
      <c r="A1646" s="13" t="s">
        <v>3388</v>
      </c>
    </row>
    <row r="1647" spans="1:1" customFormat="1">
      <c r="A1647" s="13" t="s">
        <v>3389</v>
      </c>
    </row>
    <row r="1648" spans="1:1" customFormat="1">
      <c r="A1648" s="13" t="s">
        <v>3390</v>
      </c>
    </row>
    <row r="1649" spans="1:1" customFormat="1">
      <c r="A1649" s="13" t="s">
        <v>3391</v>
      </c>
    </row>
    <row r="1650" spans="1:1" customFormat="1">
      <c r="A1650" s="13" t="s">
        <v>3392</v>
      </c>
    </row>
    <row r="1651" spans="1:1" customFormat="1">
      <c r="A1651" s="13" t="s">
        <v>3393</v>
      </c>
    </row>
    <row r="1652" spans="1:1" customFormat="1">
      <c r="A1652" s="13" t="s">
        <v>3394</v>
      </c>
    </row>
    <row r="1653" spans="1:1" customFormat="1">
      <c r="A1653" s="13" t="s">
        <v>3395</v>
      </c>
    </row>
    <row r="1654" spans="1:1" customFormat="1">
      <c r="A1654" s="13" t="s">
        <v>3396</v>
      </c>
    </row>
    <row r="1655" spans="1:1" customFormat="1">
      <c r="A1655" s="13" t="s">
        <v>3397</v>
      </c>
    </row>
    <row r="1656" spans="1:1" customFormat="1">
      <c r="A1656" s="13" t="s">
        <v>3398</v>
      </c>
    </row>
    <row r="1657" spans="1:1" customFormat="1">
      <c r="A1657" s="13" t="s">
        <v>3399</v>
      </c>
    </row>
    <row r="1658" spans="1:1" customFormat="1">
      <c r="A1658" s="13" t="s">
        <v>3400</v>
      </c>
    </row>
    <row r="1659" spans="1:1" customFormat="1">
      <c r="A1659" s="13" t="s">
        <v>3401</v>
      </c>
    </row>
    <row r="1660" spans="1:1" customFormat="1">
      <c r="A1660" s="13" t="s">
        <v>3402</v>
      </c>
    </row>
    <row r="1661" spans="1:1" customFormat="1">
      <c r="A1661" s="13" t="s">
        <v>3403</v>
      </c>
    </row>
    <row r="1662" spans="1:1" customFormat="1">
      <c r="A1662" s="13" t="s">
        <v>3404</v>
      </c>
    </row>
    <row r="1663" spans="1:1" customFormat="1">
      <c r="A1663" s="13" t="s">
        <v>3405</v>
      </c>
    </row>
    <row r="1664" spans="1:1" customFormat="1">
      <c r="A1664" s="13" t="s">
        <v>3406</v>
      </c>
    </row>
    <row r="1665" spans="1:1" customFormat="1">
      <c r="A1665" s="13" t="s">
        <v>3407</v>
      </c>
    </row>
    <row r="1666" spans="1:1" customFormat="1">
      <c r="A1666" s="13" t="s">
        <v>3408</v>
      </c>
    </row>
    <row r="1667" spans="1:1" customFormat="1">
      <c r="A1667" s="13" t="s">
        <v>3409</v>
      </c>
    </row>
    <row r="1668" spans="1:1" customFormat="1">
      <c r="A1668" s="13" t="s">
        <v>3410</v>
      </c>
    </row>
    <row r="1669" spans="1:1" customFormat="1">
      <c r="A1669" s="13" t="s">
        <v>3411</v>
      </c>
    </row>
    <row r="1670" spans="1:1" customFormat="1">
      <c r="A1670" s="13" t="s">
        <v>3412</v>
      </c>
    </row>
    <row r="1671" spans="1:1" customFormat="1">
      <c r="A1671" s="13" t="s">
        <v>3413</v>
      </c>
    </row>
    <row r="1672" spans="1:1" customFormat="1">
      <c r="A1672" s="13" t="s">
        <v>3414</v>
      </c>
    </row>
    <row r="1673" spans="1:1" customFormat="1">
      <c r="A1673" s="13" t="s">
        <v>3415</v>
      </c>
    </row>
    <row r="1674" spans="1:1" customFormat="1">
      <c r="A1674" s="13" t="s">
        <v>3416</v>
      </c>
    </row>
    <row r="1675" spans="1:1" customFormat="1">
      <c r="A1675" s="13" t="s">
        <v>3417</v>
      </c>
    </row>
    <row r="1676" spans="1:1" customFormat="1">
      <c r="A1676" s="13" t="s">
        <v>3418</v>
      </c>
    </row>
    <row r="1677" spans="1:1" customFormat="1">
      <c r="A1677" s="13" t="s">
        <v>3419</v>
      </c>
    </row>
    <row r="1678" spans="1:1" customFormat="1">
      <c r="A1678" s="13" t="s">
        <v>3420</v>
      </c>
    </row>
    <row r="1679" spans="1:1" customFormat="1">
      <c r="A1679" s="13" t="s">
        <v>3421</v>
      </c>
    </row>
    <row r="1680" spans="1:1" customFormat="1">
      <c r="A1680" s="13" t="s">
        <v>3422</v>
      </c>
    </row>
    <row r="1681" spans="1:1" customFormat="1">
      <c r="A1681" s="13" t="s">
        <v>3423</v>
      </c>
    </row>
    <row r="1682" spans="1:1" customFormat="1">
      <c r="A1682" s="13" t="s">
        <v>3424</v>
      </c>
    </row>
    <row r="1683" spans="1:1" customFormat="1">
      <c r="A1683" s="13" t="s">
        <v>3425</v>
      </c>
    </row>
    <row r="1684" spans="1:1" customFormat="1">
      <c r="A1684" s="13" t="s">
        <v>3426</v>
      </c>
    </row>
    <row r="1685" spans="1:1" customFormat="1">
      <c r="A1685" s="13" t="s">
        <v>3427</v>
      </c>
    </row>
    <row r="1686" spans="1:1" customFormat="1">
      <c r="A1686" s="13" t="s">
        <v>3428</v>
      </c>
    </row>
    <row r="1687" spans="1:1" customFormat="1">
      <c r="A1687" s="13" t="s">
        <v>3429</v>
      </c>
    </row>
    <row r="1688" spans="1:1" customFormat="1">
      <c r="A1688" s="13" t="s">
        <v>3430</v>
      </c>
    </row>
    <row r="1689" spans="1:1" customFormat="1">
      <c r="A1689" s="13" t="s">
        <v>3431</v>
      </c>
    </row>
    <row r="1690" spans="1:1" customFormat="1">
      <c r="A1690" s="13" t="s">
        <v>3432</v>
      </c>
    </row>
    <row r="1691" spans="1:1" customFormat="1">
      <c r="A1691" s="13" t="s">
        <v>3433</v>
      </c>
    </row>
    <row r="1692" spans="1:1" customFormat="1">
      <c r="A1692" s="13" t="s">
        <v>3434</v>
      </c>
    </row>
    <row r="1693" spans="1:1" customFormat="1">
      <c r="A1693" s="13" t="s">
        <v>3435</v>
      </c>
    </row>
    <row r="1694" spans="1:1" customFormat="1">
      <c r="A1694" s="13" t="s">
        <v>3436</v>
      </c>
    </row>
    <row r="1695" spans="1:1" customFormat="1">
      <c r="A1695" s="13" t="s">
        <v>7773</v>
      </c>
    </row>
    <row r="1696" spans="1:1" customFormat="1">
      <c r="A1696" s="13" t="s">
        <v>3437</v>
      </c>
    </row>
    <row r="1697" spans="1:1" customFormat="1">
      <c r="A1697" s="13" t="s">
        <v>6967</v>
      </c>
    </row>
    <row r="1698" spans="1:1" customFormat="1">
      <c r="A1698" s="13" t="s">
        <v>6968</v>
      </c>
    </row>
    <row r="1699" spans="1:1" customFormat="1">
      <c r="A1699" s="13" t="s">
        <v>6969</v>
      </c>
    </row>
    <row r="1700" spans="1:1" customFormat="1">
      <c r="A1700" s="13" t="s">
        <v>3438</v>
      </c>
    </row>
    <row r="1701" spans="1:1" customFormat="1">
      <c r="A1701" s="13" t="s">
        <v>3439</v>
      </c>
    </row>
    <row r="1702" spans="1:1" customFormat="1">
      <c r="A1702" s="13" t="s">
        <v>3440</v>
      </c>
    </row>
    <row r="1703" spans="1:1" customFormat="1">
      <c r="A1703" s="13" t="s">
        <v>3441</v>
      </c>
    </row>
    <row r="1704" spans="1:1" customFormat="1">
      <c r="A1704" s="13" t="s">
        <v>3442</v>
      </c>
    </row>
    <row r="1705" spans="1:1" customFormat="1">
      <c r="A1705" s="13" t="s">
        <v>3443</v>
      </c>
    </row>
    <row r="1706" spans="1:1" customFormat="1">
      <c r="A1706" s="13" t="s">
        <v>3444</v>
      </c>
    </row>
    <row r="1707" spans="1:1" customFormat="1">
      <c r="A1707" s="13" t="s">
        <v>3445</v>
      </c>
    </row>
    <row r="1708" spans="1:1" customFormat="1">
      <c r="A1708" s="13" t="s">
        <v>3446</v>
      </c>
    </row>
    <row r="1709" spans="1:1" customFormat="1">
      <c r="A1709" s="13" t="s">
        <v>3447</v>
      </c>
    </row>
    <row r="1710" spans="1:1" customFormat="1">
      <c r="A1710" s="13" t="s">
        <v>3448</v>
      </c>
    </row>
    <row r="1711" spans="1:1" customFormat="1">
      <c r="A1711" s="13" t="s">
        <v>3449</v>
      </c>
    </row>
    <row r="1712" spans="1:1" customFormat="1">
      <c r="A1712" s="13" t="s">
        <v>3450</v>
      </c>
    </row>
    <row r="1713" spans="1:1" customFormat="1">
      <c r="A1713" s="13" t="s">
        <v>3451</v>
      </c>
    </row>
    <row r="1714" spans="1:1" customFormat="1">
      <c r="A1714" s="13" t="s">
        <v>3452</v>
      </c>
    </row>
    <row r="1715" spans="1:1" customFormat="1">
      <c r="A1715" s="13" t="s">
        <v>3453</v>
      </c>
    </row>
    <row r="1716" spans="1:1" customFormat="1">
      <c r="A1716" s="13" t="s">
        <v>3454</v>
      </c>
    </row>
    <row r="1717" spans="1:1" customFormat="1">
      <c r="A1717" s="13" t="s">
        <v>3455</v>
      </c>
    </row>
    <row r="1718" spans="1:1" customFormat="1">
      <c r="A1718" s="13" t="s">
        <v>3456</v>
      </c>
    </row>
    <row r="1719" spans="1:1" customFormat="1">
      <c r="A1719" s="13" t="s">
        <v>3457</v>
      </c>
    </row>
    <row r="1720" spans="1:1" customFormat="1">
      <c r="A1720" s="13" t="s">
        <v>3458</v>
      </c>
    </row>
    <row r="1721" spans="1:1" customFormat="1">
      <c r="A1721" s="13" t="s">
        <v>3459</v>
      </c>
    </row>
    <row r="1722" spans="1:1" customFormat="1">
      <c r="A1722" s="13" t="s">
        <v>3460</v>
      </c>
    </row>
    <row r="1723" spans="1:1" customFormat="1">
      <c r="A1723" s="13" t="s">
        <v>3461</v>
      </c>
    </row>
    <row r="1724" spans="1:1" customFormat="1">
      <c r="A1724" s="13" t="s">
        <v>3462</v>
      </c>
    </row>
    <row r="1725" spans="1:1" customFormat="1">
      <c r="A1725" s="13" t="s">
        <v>3463</v>
      </c>
    </row>
    <row r="1726" spans="1:1" customFormat="1">
      <c r="A1726" s="13" t="s">
        <v>3464</v>
      </c>
    </row>
    <row r="1727" spans="1:1" customFormat="1">
      <c r="A1727" s="13" t="s">
        <v>3465</v>
      </c>
    </row>
    <row r="1728" spans="1:1" customFormat="1">
      <c r="A1728" s="13" t="s">
        <v>3466</v>
      </c>
    </row>
    <row r="1729" spans="1:1" customFormat="1">
      <c r="A1729" s="13" t="s">
        <v>3467</v>
      </c>
    </row>
    <row r="1730" spans="1:1" customFormat="1">
      <c r="A1730" s="13" t="s">
        <v>3468</v>
      </c>
    </row>
    <row r="1731" spans="1:1" customFormat="1">
      <c r="A1731" s="13" t="s">
        <v>3469</v>
      </c>
    </row>
    <row r="1732" spans="1:1" customFormat="1">
      <c r="A1732" s="13" t="s">
        <v>3470</v>
      </c>
    </row>
    <row r="1733" spans="1:1" customFormat="1">
      <c r="A1733" s="13" t="s">
        <v>3471</v>
      </c>
    </row>
    <row r="1734" spans="1:1" customFormat="1">
      <c r="A1734" s="13" t="s">
        <v>3472</v>
      </c>
    </row>
    <row r="1735" spans="1:1" customFormat="1">
      <c r="A1735" s="13" t="s">
        <v>3473</v>
      </c>
    </row>
    <row r="1736" spans="1:1" customFormat="1">
      <c r="A1736" s="13" t="s">
        <v>3474</v>
      </c>
    </row>
    <row r="1737" spans="1:1" customFormat="1">
      <c r="A1737" s="13" t="s">
        <v>3475</v>
      </c>
    </row>
    <row r="1738" spans="1:1" customFormat="1">
      <c r="A1738" s="13" t="s">
        <v>3476</v>
      </c>
    </row>
    <row r="1739" spans="1:1" customFormat="1">
      <c r="A1739" s="13"/>
    </row>
    <row r="1740" spans="1:1" customFormat="1">
      <c r="A1740" s="13" t="s">
        <v>3477</v>
      </c>
    </row>
    <row r="1741" spans="1:1" customFormat="1">
      <c r="A1741" s="13" t="s">
        <v>3478</v>
      </c>
    </row>
    <row r="1742" spans="1:1" customFormat="1">
      <c r="A1742" s="13" t="s">
        <v>3479</v>
      </c>
    </row>
    <row r="1743" spans="1:1" customFormat="1">
      <c r="A1743" s="13" t="s">
        <v>3480</v>
      </c>
    </row>
    <row r="1744" spans="1:1" customFormat="1">
      <c r="A1744" s="13" t="s">
        <v>3481</v>
      </c>
    </row>
    <row r="1745" spans="1:1" customFormat="1">
      <c r="A1745" s="13" t="s">
        <v>3482</v>
      </c>
    </row>
    <row r="1746" spans="1:1" customFormat="1">
      <c r="A1746" s="13" t="s">
        <v>3483</v>
      </c>
    </row>
    <row r="1747" spans="1:1" customFormat="1">
      <c r="A1747" s="13" t="s">
        <v>3484</v>
      </c>
    </row>
    <row r="1748" spans="1:1" customFormat="1">
      <c r="A1748" s="13" t="s">
        <v>3485</v>
      </c>
    </row>
    <row r="1749" spans="1:1" customFormat="1">
      <c r="A1749" s="13" t="s">
        <v>3486</v>
      </c>
    </row>
    <row r="1750" spans="1:1" customFormat="1">
      <c r="A1750" s="13" t="s">
        <v>3487</v>
      </c>
    </row>
    <row r="1751" spans="1:1" customFormat="1">
      <c r="A1751" s="13" t="s">
        <v>3488</v>
      </c>
    </row>
    <row r="1752" spans="1:1" customFormat="1">
      <c r="A1752" s="13" t="s">
        <v>3489</v>
      </c>
    </row>
    <row r="1753" spans="1:1" customFormat="1">
      <c r="A1753" s="13" t="s">
        <v>3490</v>
      </c>
    </row>
    <row r="1754" spans="1:1" customFormat="1">
      <c r="A1754" s="13" t="s">
        <v>3491</v>
      </c>
    </row>
    <row r="1755" spans="1:1" customFormat="1">
      <c r="A1755" s="13" t="s">
        <v>3492</v>
      </c>
    </row>
    <row r="1756" spans="1:1" customFormat="1">
      <c r="A1756" s="13" t="s">
        <v>3493</v>
      </c>
    </row>
    <row r="1757" spans="1:1" customFormat="1">
      <c r="A1757" s="13" t="s">
        <v>3494</v>
      </c>
    </row>
    <row r="1758" spans="1:1" customFormat="1">
      <c r="A1758" s="13" t="s">
        <v>3495</v>
      </c>
    </row>
    <row r="1759" spans="1:1" customFormat="1">
      <c r="A1759" s="13" t="s">
        <v>3496</v>
      </c>
    </row>
    <row r="1760" spans="1:1" customFormat="1">
      <c r="A1760" s="13" t="s">
        <v>3497</v>
      </c>
    </row>
    <row r="1761" spans="1:1" customFormat="1">
      <c r="A1761" s="13" t="s">
        <v>3498</v>
      </c>
    </row>
    <row r="1762" spans="1:1" customFormat="1">
      <c r="A1762" s="13" t="s">
        <v>3499</v>
      </c>
    </row>
    <row r="1763" spans="1:1" customFormat="1">
      <c r="A1763" s="13" t="s">
        <v>3500</v>
      </c>
    </row>
    <row r="1764" spans="1:1" customFormat="1">
      <c r="A1764" s="13" t="s">
        <v>3501</v>
      </c>
    </row>
    <row r="1765" spans="1:1" customFormat="1">
      <c r="A1765" s="13" t="s">
        <v>3502</v>
      </c>
    </row>
    <row r="1766" spans="1:1" customFormat="1">
      <c r="A1766" s="13" t="s">
        <v>3503</v>
      </c>
    </row>
    <row r="1767" spans="1:1" customFormat="1">
      <c r="A1767" s="13" t="s">
        <v>3504</v>
      </c>
    </row>
    <row r="1768" spans="1:1" customFormat="1">
      <c r="A1768" s="13" t="s">
        <v>3505</v>
      </c>
    </row>
    <row r="1769" spans="1:1" customFormat="1">
      <c r="A1769" s="13" t="s">
        <v>3506</v>
      </c>
    </row>
    <row r="1770" spans="1:1" customFormat="1">
      <c r="A1770" s="13" t="s">
        <v>3507</v>
      </c>
    </row>
    <row r="1771" spans="1:1" customFormat="1">
      <c r="A1771" s="13" t="s">
        <v>3508</v>
      </c>
    </row>
    <row r="1772" spans="1:1" customFormat="1">
      <c r="A1772" s="13" t="s">
        <v>3509</v>
      </c>
    </row>
    <row r="1773" spans="1:1" customFormat="1">
      <c r="A1773" s="13" t="s">
        <v>3510</v>
      </c>
    </row>
    <row r="1774" spans="1:1" customFormat="1">
      <c r="A1774" s="13" t="s">
        <v>3511</v>
      </c>
    </row>
    <row r="1775" spans="1:1" customFormat="1">
      <c r="A1775" s="13" t="s">
        <v>3512</v>
      </c>
    </row>
    <row r="1776" spans="1:1" customFormat="1">
      <c r="A1776" s="13" t="s">
        <v>3513</v>
      </c>
    </row>
    <row r="1777" spans="1:1" customFormat="1">
      <c r="A1777" s="13" t="s">
        <v>3514</v>
      </c>
    </row>
    <row r="1778" spans="1:1" customFormat="1">
      <c r="A1778" s="13" t="s">
        <v>3515</v>
      </c>
    </row>
    <row r="1779" spans="1:1" customFormat="1">
      <c r="A1779" s="13" t="s">
        <v>3516</v>
      </c>
    </row>
    <row r="1780" spans="1:1" customFormat="1">
      <c r="A1780" s="13" t="s">
        <v>3517</v>
      </c>
    </row>
    <row r="1781" spans="1:1" customFormat="1">
      <c r="A1781" s="13" t="s">
        <v>3518</v>
      </c>
    </row>
    <row r="1782" spans="1:1" customFormat="1">
      <c r="A1782" s="13" t="s">
        <v>3519</v>
      </c>
    </row>
    <row r="1783" spans="1:1" customFormat="1">
      <c r="A1783" s="13" t="s">
        <v>3520</v>
      </c>
    </row>
    <row r="1784" spans="1:1" customFormat="1">
      <c r="A1784" s="13" t="s">
        <v>3521</v>
      </c>
    </row>
    <row r="1785" spans="1:1" customFormat="1">
      <c r="A1785" s="13" t="s">
        <v>3522</v>
      </c>
    </row>
    <row r="1786" spans="1:1" customFormat="1">
      <c r="A1786" s="13" t="s">
        <v>3523</v>
      </c>
    </row>
    <row r="1787" spans="1:1" customFormat="1">
      <c r="A1787" s="13" t="s">
        <v>3524</v>
      </c>
    </row>
    <row r="1788" spans="1:1" customFormat="1">
      <c r="A1788" s="13" t="s">
        <v>3525</v>
      </c>
    </row>
    <row r="1789" spans="1:1" customFormat="1">
      <c r="A1789" s="13" t="s">
        <v>3526</v>
      </c>
    </row>
    <row r="1790" spans="1:1" customFormat="1">
      <c r="A1790" s="13" t="s">
        <v>3527</v>
      </c>
    </row>
    <row r="1791" spans="1:1" customFormat="1">
      <c r="A1791" s="13" t="s">
        <v>3528</v>
      </c>
    </row>
    <row r="1792" spans="1:1" customFormat="1">
      <c r="A1792" s="13" t="s">
        <v>3529</v>
      </c>
    </row>
    <row r="1793" spans="1:1" customFormat="1">
      <c r="A1793" s="13" t="s">
        <v>3530</v>
      </c>
    </row>
    <row r="1794" spans="1:1" customFormat="1">
      <c r="A1794" s="13" t="s">
        <v>3531</v>
      </c>
    </row>
    <row r="1795" spans="1:1" customFormat="1">
      <c r="A1795" s="13" t="s">
        <v>3532</v>
      </c>
    </row>
    <row r="1796" spans="1:1" customFormat="1">
      <c r="A1796" s="13" t="s">
        <v>3533</v>
      </c>
    </row>
    <row r="1797" spans="1:1" customFormat="1">
      <c r="A1797" s="13" t="s">
        <v>3534</v>
      </c>
    </row>
    <row r="1798" spans="1:1" customFormat="1">
      <c r="A1798" s="13" t="s">
        <v>3535</v>
      </c>
    </row>
    <row r="1799" spans="1:1" customFormat="1">
      <c r="A1799" s="13" t="s">
        <v>3536</v>
      </c>
    </row>
    <row r="1800" spans="1:1" customFormat="1">
      <c r="A1800" s="13" t="s">
        <v>3537</v>
      </c>
    </row>
    <row r="1801" spans="1:1" customFormat="1">
      <c r="A1801" s="13" t="s">
        <v>3538</v>
      </c>
    </row>
    <row r="1802" spans="1:1" customFormat="1">
      <c r="A1802" s="13" t="s">
        <v>3539</v>
      </c>
    </row>
    <row r="1803" spans="1:1" customFormat="1">
      <c r="A1803" s="13" t="s">
        <v>3540</v>
      </c>
    </row>
    <row r="1804" spans="1:1" customFormat="1">
      <c r="A1804" s="13" t="s">
        <v>3541</v>
      </c>
    </row>
    <row r="1805" spans="1:1" customFormat="1">
      <c r="A1805" s="13" t="s">
        <v>3542</v>
      </c>
    </row>
    <row r="1806" spans="1:1" customFormat="1">
      <c r="A1806" s="13" t="s">
        <v>3543</v>
      </c>
    </row>
    <row r="1807" spans="1:1" customFormat="1">
      <c r="A1807" s="13" t="s">
        <v>3544</v>
      </c>
    </row>
    <row r="1808" spans="1:1" customFormat="1">
      <c r="A1808" s="13" t="s">
        <v>3545</v>
      </c>
    </row>
    <row r="1809" spans="1:1" customFormat="1">
      <c r="A1809" s="13" t="s">
        <v>3546</v>
      </c>
    </row>
    <row r="1810" spans="1:1" customFormat="1">
      <c r="A1810" s="13" t="s">
        <v>3547</v>
      </c>
    </row>
    <row r="1811" spans="1:1" customFormat="1">
      <c r="A1811" s="13" t="s">
        <v>3548</v>
      </c>
    </row>
    <row r="1812" spans="1:1" customFormat="1">
      <c r="A1812" s="13" t="s">
        <v>3549</v>
      </c>
    </row>
    <row r="1813" spans="1:1" customFormat="1">
      <c r="A1813" s="13" t="s">
        <v>3550</v>
      </c>
    </row>
    <row r="1814" spans="1:1" customFormat="1">
      <c r="A1814" s="13" t="s">
        <v>3551</v>
      </c>
    </row>
    <row r="1815" spans="1:1" customFormat="1">
      <c r="A1815" s="13" t="s">
        <v>3552</v>
      </c>
    </row>
    <row r="1816" spans="1:1" customFormat="1">
      <c r="A1816" s="13" t="s">
        <v>3553</v>
      </c>
    </row>
    <row r="1817" spans="1:1" customFormat="1">
      <c r="A1817" s="13" t="s">
        <v>3554</v>
      </c>
    </row>
    <row r="1818" spans="1:1" customFormat="1">
      <c r="A1818" s="13" t="s">
        <v>3555</v>
      </c>
    </row>
    <row r="1819" spans="1:1" customFormat="1">
      <c r="A1819" s="13" t="s">
        <v>3556</v>
      </c>
    </row>
    <row r="1820" spans="1:1" customFormat="1">
      <c r="A1820" s="13" t="s">
        <v>3557</v>
      </c>
    </row>
    <row r="1821" spans="1:1" customFormat="1">
      <c r="A1821" s="13" t="s">
        <v>3558</v>
      </c>
    </row>
    <row r="1822" spans="1:1" customFormat="1">
      <c r="A1822" s="13" t="s">
        <v>3559</v>
      </c>
    </row>
    <row r="1823" spans="1:1" customFormat="1">
      <c r="A1823" s="13" t="s">
        <v>3560</v>
      </c>
    </row>
    <row r="1824" spans="1:1" customFormat="1">
      <c r="A1824" s="13" t="s">
        <v>3561</v>
      </c>
    </row>
    <row r="1825" spans="1:1" customFormat="1">
      <c r="A1825" s="13" t="s">
        <v>3562</v>
      </c>
    </row>
    <row r="1826" spans="1:1" customFormat="1">
      <c r="A1826" s="13" t="s">
        <v>3563</v>
      </c>
    </row>
    <row r="1827" spans="1:1" customFormat="1">
      <c r="A1827" s="13" t="s">
        <v>3564</v>
      </c>
    </row>
    <row r="1828" spans="1:1" customFormat="1">
      <c r="A1828" s="13" t="s">
        <v>3565</v>
      </c>
    </row>
    <row r="1829" spans="1:1" customFormat="1">
      <c r="A1829" s="13" t="s">
        <v>3566</v>
      </c>
    </row>
    <row r="1830" spans="1:1" customFormat="1">
      <c r="A1830" s="13" t="s">
        <v>3567</v>
      </c>
    </row>
    <row r="1831" spans="1:1" customFormat="1">
      <c r="A1831" s="13" t="s">
        <v>3568</v>
      </c>
    </row>
    <row r="1832" spans="1:1" customFormat="1">
      <c r="A1832" s="13" t="s">
        <v>3569</v>
      </c>
    </row>
    <row r="1833" spans="1:1" customFormat="1">
      <c r="A1833" s="13" t="s">
        <v>3570</v>
      </c>
    </row>
    <row r="1834" spans="1:1" customFormat="1">
      <c r="A1834" s="13" t="s">
        <v>3571</v>
      </c>
    </row>
    <row r="1835" spans="1:1" customFormat="1">
      <c r="A1835" s="13" t="s">
        <v>3572</v>
      </c>
    </row>
    <row r="1836" spans="1:1" customFormat="1">
      <c r="A1836" s="13" t="s">
        <v>3573</v>
      </c>
    </row>
    <row r="1837" spans="1:1" customFormat="1">
      <c r="A1837" s="13" t="s">
        <v>3574</v>
      </c>
    </row>
    <row r="1838" spans="1:1" customFormat="1">
      <c r="A1838" s="13" t="s">
        <v>3575</v>
      </c>
    </row>
    <row r="1839" spans="1:1" customFormat="1">
      <c r="A1839" s="13" t="s">
        <v>3576</v>
      </c>
    </row>
    <row r="1840" spans="1:1" customFormat="1">
      <c r="A1840" s="13" t="s">
        <v>3577</v>
      </c>
    </row>
    <row r="1841" spans="1:1" customFormat="1">
      <c r="A1841" s="13" t="s">
        <v>3578</v>
      </c>
    </row>
    <row r="1842" spans="1:1" customFormat="1">
      <c r="A1842" s="13" t="s">
        <v>3579</v>
      </c>
    </row>
    <row r="1843" spans="1:1" customFormat="1">
      <c r="A1843" s="13" t="s">
        <v>3580</v>
      </c>
    </row>
    <row r="1844" spans="1:1" customFormat="1">
      <c r="A1844" s="13" t="s">
        <v>3581</v>
      </c>
    </row>
    <row r="1845" spans="1:1" customFormat="1">
      <c r="A1845" s="13" t="s">
        <v>3582</v>
      </c>
    </row>
    <row r="1846" spans="1:1" customFormat="1">
      <c r="A1846" s="13" t="s">
        <v>3583</v>
      </c>
    </row>
    <row r="1847" spans="1:1" customFormat="1">
      <c r="A1847" s="13" t="s">
        <v>3584</v>
      </c>
    </row>
    <row r="1848" spans="1:1" customFormat="1">
      <c r="A1848" s="13" t="s">
        <v>3585</v>
      </c>
    </row>
    <row r="1849" spans="1:1" customFormat="1">
      <c r="A1849" s="13" t="s">
        <v>3586</v>
      </c>
    </row>
    <row r="1850" spans="1:1" customFormat="1">
      <c r="A1850" s="13" t="s">
        <v>3587</v>
      </c>
    </row>
    <row r="1851" spans="1:1" customFormat="1">
      <c r="A1851" s="13" t="s">
        <v>3588</v>
      </c>
    </row>
    <row r="1852" spans="1:1" customFormat="1">
      <c r="A1852" s="13" t="s">
        <v>3589</v>
      </c>
    </row>
    <row r="1853" spans="1:1" customFormat="1">
      <c r="A1853" s="13" t="s">
        <v>3590</v>
      </c>
    </row>
    <row r="1854" spans="1:1" customFormat="1">
      <c r="A1854" s="13" t="s">
        <v>3591</v>
      </c>
    </row>
    <row r="1855" spans="1:1" customFormat="1">
      <c r="A1855" s="13" t="s">
        <v>3592</v>
      </c>
    </row>
    <row r="1856" spans="1:1" customFormat="1">
      <c r="A1856" s="13" t="s">
        <v>3593</v>
      </c>
    </row>
    <row r="1857" spans="1:1" customFormat="1">
      <c r="A1857" s="13" t="s">
        <v>3594</v>
      </c>
    </row>
    <row r="1858" spans="1:1" customFormat="1">
      <c r="A1858" s="13" t="s">
        <v>3595</v>
      </c>
    </row>
    <row r="1859" spans="1:1" customFormat="1">
      <c r="A1859" s="13" t="s">
        <v>3596</v>
      </c>
    </row>
    <row r="1860" spans="1:1" customFormat="1">
      <c r="A1860" s="13" t="s">
        <v>3597</v>
      </c>
    </row>
    <row r="1861" spans="1:1" customFormat="1">
      <c r="A1861" s="13" t="s">
        <v>3598</v>
      </c>
    </row>
    <row r="1862" spans="1:1" customFormat="1">
      <c r="A1862" s="13" t="s">
        <v>3599</v>
      </c>
    </row>
    <row r="1863" spans="1:1" customFormat="1">
      <c r="A1863" s="13" t="s">
        <v>3600</v>
      </c>
    </row>
    <row r="1864" spans="1:1" customFormat="1">
      <c r="A1864" s="13" t="s">
        <v>3601</v>
      </c>
    </row>
    <row r="1865" spans="1:1" customFormat="1">
      <c r="A1865" s="13" t="s">
        <v>3602</v>
      </c>
    </row>
    <row r="1866" spans="1:1" customFormat="1">
      <c r="A1866" s="13" t="s">
        <v>3603</v>
      </c>
    </row>
    <row r="1867" spans="1:1" customFormat="1">
      <c r="A1867" s="13" t="s">
        <v>3604</v>
      </c>
    </row>
    <row r="1868" spans="1:1" customFormat="1">
      <c r="A1868" s="13" t="s">
        <v>3605</v>
      </c>
    </row>
    <row r="1869" spans="1:1" customFormat="1">
      <c r="A1869" s="13" t="s">
        <v>3606</v>
      </c>
    </row>
    <row r="1870" spans="1:1" customFormat="1">
      <c r="A1870" s="13" t="s">
        <v>3607</v>
      </c>
    </row>
    <row r="1871" spans="1:1" customFormat="1">
      <c r="A1871" s="13" t="s">
        <v>3608</v>
      </c>
    </row>
    <row r="1872" spans="1:1" customFormat="1">
      <c r="A1872" s="13" t="s">
        <v>3609</v>
      </c>
    </row>
    <row r="1873" spans="1:1" customFormat="1">
      <c r="A1873" s="13" t="s">
        <v>3610</v>
      </c>
    </row>
    <row r="1874" spans="1:1" customFormat="1">
      <c r="A1874" s="13" t="s">
        <v>3611</v>
      </c>
    </row>
    <row r="1875" spans="1:1" customFormat="1">
      <c r="A1875" s="13" t="s">
        <v>3612</v>
      </c>
    </row>
    <row r="1876" spans="1:1" customFormat="1">
      <c r="A1876" s="13" t="s">
        <v>3613</v>
      </c>
    </row>
    <row r="1877" spans="1:1" customFormat="1">
      <c r="A1877" s="13" t="s">
        <v>3614</v>
      </c>
    </row>
    <row r="1878" spans="1:1" customFormat="1">
      <c r="A1878" s="13" t="s">
        <v>3615</v>
      </c>
    </row>
    <row r="1879" spans="1:1" customFormat="1">
      <c r="A1879" s="13" t="s">
        <v>3616</v>
      </c>
    </row>
    <row r="1880" spans="1:1" customFormat="1">
      <c r="A1880" s="13" t="s">
        <v>3617</v>
      </c>
    </row>
    <row r="1881" spans="1:1" customFormat="1">
      <c r="A1881" s="13" t="s">
        <v>3618</v>
      </c>
    </row>
    <row r="1882" spans="1:1" customFormat="1">
      <c r="A1882" s="13" t="s">
        <v>3619</v>
      </c>
    </row>
    <row r="1883" spans="1:1" customFormat="1">
      <c r="A1883" s="13" t="s">
        <v>3620</v>
      </c>
    </row>
    <row r="1884" spans="1:1" customFormat="1">
      <c r="A1884" s="13" t="s">
        <v>3621</v>
      </c>
    </row>
    <row r="1885" spans="1:1" customFormat="1">
      <c r="A1885" s="13" t="s">
        <v>3622</v>
      </c>
    </row>
    <row r="1886" spans="1:1" customFormat="1">
      <c r="A1886" s="13" t="s">
        <v>3623</v>
      </c>
    </row>
    <row r="1887" spans="1:1" customFormat="1">
      <c r="A1887" s="13" t="s">
        <v>3624</v>
      </c>
    </row>
    <row r="1888" spans="1:1" customFormat="1">
      <c r="A1888" s="13" t="s">
        <v>3625</v>
      </c>
    </row>
    <row r="1889" spans="1:1" customFormat="1">
      <c r="A1889" s="13" t="s">
        <v>3626</v>
      </c>
    </row>
    <row r="1890" spans="1:1" customFormat="1">
      <c r="A1890" s="13" t="s">
        <v>3627</v>
      </c>
    </row>
    <row r="1891" spans="1:1" customFormat="1">
      <c r="A1891" s="13" t="s">
        <v>3628</v>
      </c>
    </row>
    <row r="1892" spans="1:1" customFormat="1">
      <c r="A1892" s="13" t="s">
        <v>3629</v>
      </c>
    </row>
    <row r="1893" spans="1:1" customFormat="1">
      <c r="A1893" s="13" t="s">
        <v>3630</v>
      </c>
    </row>
    <row r="1894" spans="1:1" customFormat="1">
      <c r="A1894" s="13" t="s">
        <v>3631</v>
      </c>
    </row>
    <row r="1895" spans="1:1" customFormat="1">
      <c r="A1895" s="13" t="s">
        <v>3632</v>
      </c>
    </row>
    <row r="1896" spans="1:1" customFormat="1">
      <c r="A1896" s="13" t="s">
        <v>3633</v>
      </c>
    </row>
    <row r="1897" spans="1:1" customFormat="1">
      <c r="A1897" s="13" t="s">
        <v>3634</v>
      </c>
    </row>
    <row r="1898" spans="1:1" customFormat="1">
      <c r="A1898" s="13" t="s">
        <v>3635</v>
      </c>
    </row>
    <row r="1899" spans="1:1" customFormat="1">
      <c r="A1899" s="13" t="s">
        <v>3636</v>
      </c>
    </row>
    <row r="1900" spans="1:1" customFormat="1">
      <c r="A1900" s="13" t="s">
        <v>3637</v>
      </c>
    </row>
    <row r="1901" spans="1:1" customFormat="1">
      <c r="A1901" s="13" t="s">
        <v>3638</v>
      </c>
    </row>
    <row r="1902" spans="1:1" customFormat="1">
      <c r="A1902" s="13" t="s">
        <v>3639</v>
      </c>
    </row>
    <row r="1903" spans="1:1" customFormat="1">
      <c r="A1903" s="13" t="s">
        <v>3640</v>
      </c>
    </row>
    <row r="1904" spans="1:1" customFormat="1">
      <c r="A1904" s="13" t="s">
        <v>3641</v>
      </c>
    </row>
    <row r="1905" spans="1:1" customFormat="1">
      <c r="A1905" s="13" t="s">
        <v>3642</v>
      </c>
    </row>
    <row r="1906" spans="1:1" customFormat="1">
      <c r="A1906" s="13" t="s">
        <v>3643</v>
      </c>
    </row>
    <row r="1907" spans="1:1" customFormat="1">
      <c r="A1907" s="13" t="s">
        <v>3644</v>
      </c>
    </row>
    <row r="1908" spans="1:1" customFormat="1">
      <c r="A1908" s="13" t="s">
        <v>3645</v>
      </c>
    </row>
    <row r="1909" spans="1:1" customFormat="1">
      <c r="A1909" s="13" t="s">
        <v>3646</v>
      </c>
    </row>
    <row r="1910" spans="1:1" customFormat="1">
      <c r="A1910" s="13" t="s">
        <v>3647</v>
      </c>
    </row>
    <row r="1911" spans="1:1" customFormat="1">
      <c r="A1911" s="13" t="s">
        <v>3648</v>
      </c>
    </row>
    <row r="1912" spans="1:1" customFormat="1">
      <c r="A1912" s="13" t="s">
        <v>3649</v>
      </c>
    </row>
    <row r="1913" spans="1:1" customFormat="1">
      <c r="A1913" s="13" t="s">
        <v>3650</v>
      </c>
    </row>
    <row r="1914" spans="1:1" customFormat="1">
      <c r="A1914" s="13" t="s">
        <v>3651</v>
      </c>
    </row>
    <row r="1915" spans="1:1" customFormat="1">
      <c r="A1915" s="13" t="s">
        <v>3652</v>
      </c>
    </row>
    <row r="1916" spans="1:1" customFormat="1">
      <c r="A1916" s="13" t="s">
        <v>3653</v>
      </c>
    </row>
    <row r="1917" spans="1:1" customFormat="1">
      <c r="A1917" s="13" t="s">
        <v>3654</v>
      </c>
    </row>
    <row r="1918" spans="1:1" customFormat="1">
      <c r="A1918" s="13" t="s">
        <v>3655</v>
      </c>
    </row>
    <row r="1919" spans="1:1" customFormat="1">
      <c r="A1919" s="13" t="s">
        <v>3656</v>
      </c>
    </row>
    <row r="1920" spans="1:1" customFormat="1">
      <c r="A1920" s="13" t="s">
        <v>3657</v>
      </c>
    </row>
    <row r="1921" spans="1:1" customFormat="1">
      <c r="A1921" s="13" t="s">
        <v>3658</v>
      </c>
    </row>
    <row r="1922" spans="1:1" customFormat="1">
      <c r="A1922" s="13" t="s">
        <v>3659</v>
      </c>
    </row>
    <row r="1923" spans="1:1" customFormat="1">
      <c r="A1923" s="13" t="s">
        <v>3660</v>
      </c>
    </row>
    <row r="1924" spans="1:1" customFormat="1">
      <c r="A1924" s="13" t="s">
        <v>3661</v>
      </c>
    </row>
    <row r="1925" spans="1:1" customFormat="1">
      <c r="A1925" s="13" t="s">
        <v>3662</v>
      </c>
    </row>
    <row r="1926" spans="1:1" customFormat="1">
      <c r="A1926" s="13" t="s">
        <v>3663</v>
      </c>
    </row>
    <row r="1927" spans="1:1" customFormat="1">
      <c r="A1927" s="13" t="s">
        <v>3664</v>
      </c>
    </row>
    <row r="1928" spans="1:1" customFormat="1">
      <c r="A1928" s="13" t="s">
        <v>3665</v>
      </c>
    </row>
    <row r="1929" spans="1:1" customFormat="1">
      <c r="A1929" s="13" t="s">
        <v>3666</v>
      </c>
    </row>
    <row r="1930" spans="1:1" customFormat="1">
      <c r="A1930" s="13" t="s">
        <v>3667</v>
      </c>
    </row>
    <row r="1931" spans="1:1" customFormat="1">
      <c r="A1931" s="13" t="s">
        <v>3668</v>
      </c>
    </row>
    <row r="1932" spans="1:1" customFormat="1">
      <c r="A1932" s="13" t="s">
        <v>3669</v>
      </c>
    </row>
    <row r="1933" spans="1:1" customFormat="1">
      <c r="A1933" s="13"/>
    </row>
    <row r="1934" spans="1:1" customFormat="1">
      <c r="A1934" s="13" t="s">
        <v>3670</v>
      </c>
    </row>
    <row r="1935" spans="1:1" customFormat="1">
      <c r="A1935" s="13" t="s">
        <v>3671</v>
      </c>
    </row>
    <row r="1936" spans="1:1" customFormat="1">
      <c r="A1936" s="13" t="s">
        <v>3672</v>
      </c>
    </row>
    <row r="1937" spans="1:1" customFormat="1">
      <c r="A1937" s="13" t="s">
        <v>3673</v>
      </c>
    </row>
    <row r="1938" spans="1:1" customFormat="1">
      <c r="A1938" s="13" t="s">
        <v>3674</v>
      </c>
    </row>
    <row r="1939" spans="1:1" customFormat="1">
      <c r="A1939" s="13" t="s">
        <v>3675</v>
      </c>
    </row>
    <row r="1940" spans="1:1" customFormat="1">
      <c r="A1940" s="13" t="s">
        <v>3676</v>
      </c>
    </row>
    <row r="1941" spans="1:1" customFormat="1">
      <c r="A1941" s="13" t="s">
        <v>3677</v>
      </c>
    </row>
    <row r="1942" spans="1:1" customFormat="1">
      <c r="A1942" s="13" t="s">
        <v>3678</v>
      </c>
    </row>
    <row r="1943" spans="1:1" customFormat="1">
      <c r="A1943" s="13" t="s">
        <v>3679</v>
      </c>
    </row>
    <row r="1944" spans="1:1" customFormat="1">
      <c r="A1944" s="13" t="s">
        <v>3680</v>
      </c>
    </row>
    <row r="1945" spans="1:1" customFormat="1">
      <c r="A1945" s="13" t="s">
        <v>3681</v>
      </c>
    </row>
    <row r="1946" spans="1:1" customFormat="1">
      <c r="A1946" s="13" t="s">
        <v>3682</v>
      </c>
    </row>
    <row r="1947" spans="1:1" customFormat="1">
      <c r="A1947" s="13" t="s">
        <v>3683</v>
      </c>
    </row>
    <row r="1948" spans="1:1" customFormat="1">
      <c r="A1948" s="13" t="s">
        <v>3684</v>
      </c>
    </row>
    <row r="1949" spans="1:1" customFormat="1">
      <c r="A1949" s="13" t="s">
        <v>3685</v>
      </c>
    </row>
    <row r="1950" spans="1:1" customFormat="1">
      <c r="A1950" s="13" t="s">
        <v>3686</v>
      </c>
    </row>
    <row r="1951" spans="1:1" customFormat="1">
      <c r="A1951" s="13" t="s">
        <v>3687</v>
      </c>
    </row>
    <row r="1952" spans="1:1" customFormat="1">
      <c r="A1952" s="13" t="s">
        <v>3688</v>
      </c>
    </row>
    <row r="1953" spans="1:1" customFormat="1">
      <c r="A1953" s="13" t="s">
        <v>3689</v>
      </c>
    </row>
    <row r="1954" spans="1:1" customFormat="1">
      <c r="A1954" s="13" t="s">
        <v>3690</v>
      </c>
    </row>
    <row r="1955" spans="1:1" customFormat="1">
      <c r="A1955" s="13" t="s">
        <v>3691</v>
      </c>
    </row>
    <row r="1956" spans="1:1" customFormat="1">
      <c r="A1956" s="13" t="s">
        <v>3692</v>
      </c>
    </row>
    <row r="1957" spans="1:1" customFormat="1">
      <c r="A1957" s="13" t="s">
        <v>3693</v>
      </c>
    </row>
    <row r="1958" spans="1:1" customFormat="1">
      <c r="A1958" s="13" t="s">
        <v>3694</v>
      </c>
    </row>
    <row r="1959" spans="1:1" customFormat="1">
      <c r="A1959" s="13" t="s">
        <v>3695</v>
      </c>
    </row>
    <row r="1960" spans="1:1" customFormat="1">
      <c r="A1960" s="13" t="s">
        <v>3696</v>
      </c>
    </row>
    <row r="1961" spans="1:1" customFormat="1">
      <c r="A1961" s="13" t="s">
        <v>3697</v>
      </c>
    </row>
    <row r="1962" spans="1:1" customFormat="1">
      <c r="A1962" s="13" t="s">
        <v>3698</v>
      </c>
    </row>
    <row r="1963" spans="1:1" customFormat="1">
      <c r="A1963" s="13" t="s">
        <v>3699</v>
      </c>
    </row>
    <row r="1964" spans="1:1" customFormat="1">
      <c r="A1964" s="13" t="s">
        <v>3700</v>
      </c>
    </row>
    <row r="1965" spans="1:1" customFormat="1">
      <c r="A1965" s="13" t="s">
        <v>3701</v>
      </c>
    </row>
    <row r="1966" spans="1:1" customFormat="1">
      <c r="A1966" s="13" t="s">
        <v>3702</v>
      </c>
    </row>
    <row r="1967" spans="1:1" customFormat="1">
      <c r="A1967" s="13" t="s">
        <v>3703</v>
      </c>
    </row>
    <row r="1968" spans="1:1" customFormat="1">
      <c r="A1968" s="13" t="s">
        <v>3704</v>
      </c>
    </row>
    <row r="1969" spans="1:1" customFormat="1">
      <c r="A1969" s="13" t="s">
        <v>3705</v>
      </c>
    </row>
    <row r="1970" spans="1:1" customFormat="1">
      <c r="A1970" s="13" t="s">
        <v>3706</v>
      </c>
    </row>
    <row r="1971" spans="1:1" customFormat="1">
      <c r="A1971" s="13" t="s">
        <v>3707</v>
      </c>
    </row>
    <row r="1972" spans="1:1" customFormat="1">
      <c r="A1972" s="13" t="s">
        <v>3708</v>
      </c>
    </row>
    <row r="1973" spans="1:1" customFormat="1">
      <c r="A1973" s="13" t="s">
        <v>3709</v>
      </c>
    </row>
    <row r="1974" spans="1:1" customFormat="1">
      <c r="A1974" s="13" t="s">
        <v>3710</v>
      </c>
    </row>
    <row r="1975" spans="1:1" customFormat="1">
      <c r="A1975" s="13" t="s">
        <v>3711</v>
      </c>
    </row>
    <row r="1976" spans="1:1" customFormat="1">
      <c r="A1976" s="13" t="s">
        <v>3712</v>
      </c>
    </row>
    <row r="1977" spans="1:1" customFormat="1">
      <c r="A1977" s="13" t="s">
        <v>3713</v>
      </c>
    </row>
    <row r="1978" spans="1:1" customFormat="1">
      <c r="A1978" s="13" t="s">
        <v>3714</v>
      </c>
    </row>
    <row r="1979" spans="1:1" customFormat="1">
      <c r="A1979" s="13" t="s">
        <v>3715</v>
      </c>
    </row>
    <row r="1980" spans="1:1" customFormat="1">
      <c r="A1980" s="13" t="s">
        <v>3716</v>
      </c>
    </row>
    <row r="1981" spans="1:1" customFormat="1">
      <c r="A1981" s="13" t="s">
        <v>3717</v>
      </c>
    </row>
    <row r="1982" spans="1:1" customFormat="1">
      <c r="A1982" s="13" t="s">
        <v>3718</v>
      </c>
    </row>
    <row r="1983" spans="1:1" customFormat="1">
      <c r="A1983" s="13" t="s">
        <v>3719</v>
      </c>
    </row>
    <row r="1984" spans="1:1" customFormat="1">
      <c r="A1984" s="13" t="s">
        <v>3720</v>
      </c>
    </row>
    <row r="1985" spans="1:1" customFormat="1">
      <c r="A1985" s="13" t="s">
        <v>3721</v>
      </c>
    </row>
    <row r="1986" spans="1:1" customFormat="1">
      <c r="A1986" s="13" t="s">
        <v>3722</v>
      </c>
    </row>
    <row r="1987" spans="1:1" customFormat="1">
      <c r="A1987" s="13" t="s">
        <v>3723</v>
      </c>
    </row>
    <row r="1988" spans="1:1" customFormat="1">
      <c r="A1988" s="13" t="s">
        <v>3724</v>
      </c>
    </row>
    <row r="1989" spans="1:1" customFormat="1">
      <c r="A1989" s="13" t="s">
        <v>3725</v>
      </c>
    </row>
    <row r="1990" spans="1:1" customFormat="1">
      <c r="A1990" s="13" t="s">
        <v>3726</v>
      </c>
    </row>
    <row r="1991" spans="1:1" customFormat="1">
      <c r="A1991" s="13" t="s">
        <v>3727</v>
      </c>
    </row>
    <row r="1992" spans="1:1" customFormat="1">
      <c r="A1992" s="13" t="s">
        <v>3728</v>
      </c>
    </row>
    <row r="1993" spans="1:1" customFormat="1">
      <c r="A1993" s="13" t="s">
        <v>3729</v>
      </c>
    </row>
    <row r="1994" spans="1:1" customFormat="1">
      <c r="A1994" s="13" t="s">
        <v>3730</v>
      </c>
    </row>
    <row r="1995" spans="1:1" customFormat="1">
      <c r="A1995" s="13" t="s">
        <v>3731</v>
      </c>
    </row>
    <row r="1996" spans="1:1" customFormat="1">
      <c r="A1996" s="13" t="s">
        <v>3732</v>
      </c>
    </row>
    <row r="1997" spans="1:1" customFormat="1">
      <c r="A1997" s="13" t="s">
        <v>3733</v>
      </c>
    </row>
    <row r="1998" spans="1:1" customFormat="1">
      <c r="A1998" s="13" t="s">
        <v>3734</v>
      </c>
    </row>
    <row r="1999" spans="1:1" customFormat="1">
      <c r="A1999" s="13" t="s">
        <v>3735</v>
      </c>
    </row>
    <row r="2000" spans="1:1" customFormat="1">
      <c r="A2000" s="13" t="s">
        <v>3736</v>
      </c>
    </row>
    <row r="2001" spans="1:1" customFormat="1">
      <c r="A2001" s="13" t="s">
        <v>3737</v>
      </c>
    </row>
    <row r="2002" spans="1:1" customFormat="1">
      <c r="A2002" s="13" t="s">
        <v>3738</v>
      </c>
    </row>
    <row r="2003" spans="1:1" customFormat="1">
      <c r="A2003" s="13" t="s">
        <v>3739</v>
      </c>
    </row>
    <row r="2004" spans="1:1" customFormat="1">
      <c r="A2004" s="13" t="s">
        <v>3740</v>
      </c>
    </row>
    <row r="2005" spans="1:1" customFormat="1">
      <c r="A2005" s="13" t="s">
        <v>3741</v>
      </c>
    </row>
    <row r="2006" spans="1:1" customFormat="1">
      <c r="A2006" s="13" t="s">
        <v>3742</v>
      </c>
    </row>
    <row r="2007" spans="1:1" customFormat="1">
      <c r="A2007" s="13" t="s">
        <v>3743</v>
      </c>
    </row>
    <row r="2008" spans="1:1" customFormat="1">
      <c r="A2008" s="13" t="s">
        <v>3744</v>
      </c>
    </row>
    <row r="2009" spans="1:1" customFormat="1">
      <c r="A2009" s="13" t="s">
        <v>3745</v>
      </c>
    </row>
    <row r="2010" spans="1:1" customFormat="1">
      <c r="A2010" s="13" t="s">
        <v>3746</v>
      </c>
    </row>
    <row r="2011" spans="1:1" customFormat="1">
      <c r="A2011" s="13" t="s">
        <v>3747</v>
      </c>
    </row>
    <row r="2012" spans="1:1" customFormat="1">
      <c r="A2012" s="13" t="s">
        <v>3748</v>
      </c>
    </row>
    <row r="2013" spans="1:1" customFormat="1">
      <c r="A2013" s="13" t="s">
        <v>3749</v>
      </c>
    </row>
    <row r="2014" spans="1:1" customFormat="1">
      <c r="A2014" s="13" t="s">
        <v>3750</v>
      </c>
    </row>
    <row r="2015" spans="1:1" customFormat="1">
      <c r="A2015" s="13" t="s">
        <v>3751</v>
      </c>
    </row>
    <row r="2016" spans="1:1" customFormat="1">
      <c r="A2016" s="13" t="s">
        <v>3752</v>
      </c>
    </row>
    <row r="2017" spans="1:1" customFormat="1">
      <c r="A2017" s="13" t="s">
        <v>3753</v>
      </c>
    </row>
    <row r="2018" spans="1:1" customFormat="1">
      <c r="A2018" s="13" t="s">
        <v>3754</v>
      </c>
    </row>
    <row r="2019" spans="1:1" customFormat="1">
      <c r="A2019" s="13" t="s">
        <v>3755</v>
      </c>
    </row>
    <row r="2020" spans="1:1" customFormat="1">
      <c r="A2020" s="13" t="s">
        <v>3756</v>
      </c>
    </row>
    <row r="2021" spans="1:1" customFormat="1">
      <c r="A2021" s="13" t="s">
        <v>3757</v>
      </c>
    </row>
    <row r="2022" spans="1:1" customFormat="1">
      <c r="A2022" s="13" t="s">
        <v>3758</v>
      </c>
    </row>
    <row r="2023" spans="1:1" customFormat="1">
      <c r="A2023" s="13" t="s">
        <v>3759</v>
      </c>
    </row>
    <row r="2024" spans="1:1" customFormat="1">
      <c r="A2024" s="13" t="s">
        <v>3760</v>
      </c>
    </row>
    <row r="2025" spans="1:1" customFormat="1">
      <c r="A2025" s="13" t="s">
        <v>3761</v>
      </c>
    </row>
    <row r="2026" spans="1:1" customFormat="1">
      <c r="A2026" s="13" t="s">
        <v>3762</v>
      </c>
    </row>
    <row r="2027" spans="1:1" customFormat="1">
      <c r="A2027" s="13" t="s">
        <v>3763</v>
      </c>
    </row>
    <row r="2028" spans="1:1" customFormat="1">
      <c r="A2028" s="13" t="s">
        <v>3764</v>
      </c>
    </row>
    <row r="2029" spans="1:1" customFormat="1">
      <c r="A2029" s="13" t="s">
        <v>3765</v>
      </c>
    </row>
    <row r="2030" spans="1:1" customFormat="1">
      <c r="A2030" s="13" t="s">
        <v>3766</v>
      </c>
    </row>
    <row r="2031" spans="1:1" customFormat="1">
      <c r="A2031" s="13" t="s">
        <v>3767</v>
      </c>
    </row>
    <row r="2032" spans="1:1" customFormat="1">
      <c r="A2032" s="13" t="s">
        <v>3768</v>
      </c>
    </row>
    <row r="2033" spans="1:1" customFormat="1">
      <c r="A2033" s="13" t="s">
        <v>3769</v>
      </c>
    </row>
    <row r="2034" spans="1:1" customFormat="1">
      <c r="A2034" s="13" t="s">
        <v>3770</v>
      </c>
    </row>
    <row r="2035" spans="1:1" customFormat="1">
      <c r="A2035" s="13" t="s">
        <v>3771</v>
      </c>
    </row>
    <row r="2036" spans="1:1" customFormat="1">
      <c r="A2036" s="13" t="s">
        <v>3772</v>
      </c>
    </row>
    <row r="2037" spans="1:1" customFormat="1">
      <c r="A2037" s="13" t="s">
        <v>3773</v>
      </c>
    </row>
    <row r="2038" spans="1:1" customFormat="1">
      <c r="A2038" s="13" t="s">
        <v>3774</v>
      </c>
    </row>
    <row r="2039" spans="1:1" customFormat="1">
      <c r="A2039" s="13" t="s">
        <v>3775</v>
      </c>
    </row>
    <row r="2040" spans="1:1" customFormat="1">
      <c r="A2040" s="13" t="s">
        <v>3776</v>
      </c>
    </row>
    <row r="2041" spans="1:1" customFormat="1">
      <c r="A2041" s="13" t="s">
        <v>3777</v>
      </c>
    </row>
    <row r="2042" spans="1:1" customFormat="1">
      <c r="A2042" s="13" t="s">
        <v>3778</v>
      </c>
    </row>
    <row r="2043" spans="1:1" customFormat="1">
      <c r="A2043" s="13" t="s">
        <v>3779</v>
      </c>
    </row>
    <row r="2044" spans="1:1" customFormat="1">
      <c r="A2044" s="13" t="s">
        <v>3780</v>
      </c>
    </row>
    <row r="2045" spans="1:1" customFormat="1">
      <c r="A2045" s="13" t="s">
        <v>3781</v>
      </c>
    </row>
    <row r="2046" spans="1:1" customFormat="1">
      <c r="A2046" s="13" t="s">
        <v>3782</v>
      </c>
    </row>
    <row r="2047" spans="1:1" customFormat="1">
      <c r="A2047" s="13" t="s">
        <v>3783</v>
      </c>
    </row>
    <row r="2048" spans="1:1" customFormat="1">
      <c r="A2048" s="13" t="s">
        <v>3784</v>
      </c>
    </row>
    <row r="2049" spans="1:1" customFormat="1">
      <c r="A2049" s="13" t="s">
        <v>3785</v>
      </c>
    </row>
    <row r="2050" spans="1:1" customFormat="1">
      <c r="A2050" s="13" t="s">
        <v>3786</v>
      </c>
    </row>
    <row r="2051" spans="1:1" customFormat="1">
      <c r="A2051" s="13" t="s">
        <v>3787</v>
      </c>
    </row>
    <row r="2052" spans="1:1" customFormat="1">
      <c r="A2052" s="13" t="s">
        <v>3788</v>
      </c>
    </row>
    <row r="2053" spans="1:1" customFormat="1">
      <c r="A2053" s="13" t="s">
        <v>3789</v>
      </c>
    </row>
    <row r="2054" spans="1:1" customFormat="1">
      <c r="A2054" s="13" t="s">
        <v>3790</v>
      </c>
    </row>
    <row r="2055" spans="1:1" customFormat="1">
      <c r="A2055" s="13" t="s">
        <v>3791</v>
      </c>
    </row>
    <row r="2056" spans="1:1" customFormat="1">
      <c r="A2056" s="13" t="s">
        <v>3792</v>
      </c>
    </row>
    <row r="2057" spans="1:1" customFormat="1">
      <c r="A2057" s="13" t="s">
        <v>3793</v>
      </c>
    </row>
    <row r="2058" spans="1:1" customFormat="1">
      <c r="A2058" s="13" t="s">
        <v>3794</v>
      </c>
    </row>
    <row r="2059" spans="1:1" customFormat="1">
      <c r="A2059" s="13" t="s">
        <v>3795</v>
      </c>
    </row>
    <row r="2060" spans="1:1" customFormat="1">
      <c r="A2060" s="13" t="s">
        <v>3796</v>
      </c>
    </row>
    <row r="2061" spans="1:1" customFormat="1">
      <c r="A2061" s="13" t="s">
        <v>3797</v>
      </c>
    </row>
    <row r="2062" spans="1:1" customFormat="1">
      <c r="A2062" s="13" t="s">
        <v>3798</v>
      </c>
    </row>
    <row r="2063" spans="1:1" customFormat="1">
      <c r="A2063" s="13" t="s">
        <v>3799</v>
      </c>
    </row>
    <row r="2064" spans="1:1" customFormat="1">
      <c r="A2064" s="13" t="s">
        <v>3800</v>
      </c>
    </row>
    <row r="2065" spans="1:1" customFormat="1">
      <c r="A2065" s="13" t="s">
        <v>3801</v>
      </c>
    </row>
    <row r="2066" spans="1:1" customFormat="1">
      <c r="A2066" s="13" t="s">
        <v>3802</v>
      </c>
    </row>
    <row r="2067" spans="1:1" customFormat="1">
      <c r="A2067" s="13" t="s">
        <v>3803</v>
      </c>
    </row>
    <row r="2068" spans="1:1" customFormat="1">
      <c r="A2068" s="13" t="s">
        <v>3804</v>
      </c>
    </row>
    <row r="2069" spans="1:1" customFormat="1">
      <c r="A2069" s="13" t="s">
        <v>3805</v>
      </c>
    </row>
    <row r="2070" spans="1:1" customFormat="1">
      <c r="A2070" s="13" t="s">
        <v>3806</v>
      </c>
    </row>
    <row r="2071" spans="1:1" customFormat="1">
      <c r="A2071" s="13" t="s">
        <v>3807</v>
      </c>
    </row>
    <row r="2072" spans="1:1" customFormat="1">
      <c r="A2072" s="13" t="s">
        <v>3808</v>
      </c>
    </row>
    <row r="2073" spans="1:1" customFormat="1">
      <c r="A2073" s="13" t="s">
        <v>3809</v>
      </c>
    </row>
    <row r="2074" spans="1:1" customFormat="1">
      <c r="A2074" s="13" t="s">
        <v>3810</v>
      </c>
    </row>
    <row r="2075" spans="1:1" customFormat="1">
      <c r="A2075" s="13" t="s">
        <v>3811</v>
      </c>
    </row>
    <row r="2076" spans="1:1" customFormat="1">
      <c r="A2076" s="13" t="s">
        <v>3812</v>
      </c>
    </row>
    <row r="2077" spans="1:1" customFormat="1">
      <c r="A2077" s="13" t="s">
        <v>3813</v>
      </c>
    </row>
    <row r="2078" spans="1:1" customFormat="1">
      <c r="A2078" s="13" t="s">
        <v>3814</v>
      </c>
    </row>
    <row r="2079" spans="1:1" customFormat="1">
      <c r="A2079" s="13" t="s">
        <v>3815</v>
      </c>
    </row>
    <row r="2080" spans="1:1" customFormat="1">
      <c r="A2080" s="13" t="s">
        <v>3816</v>
      </c>
    </row>
    <row r="2081" spans="1:1" customFormat="1">
      <c r="A2081" s="13" t="s">
        <v>3817</v>
      </c>
    </row>
    <row r="2082" spans="1:1" customFormat="1">
      <c r="A2082" s="13" t="s">
        <v>3818</v>
      </c>
    </row>
    <row r="2083" spans="1:1" customFormat="1">
      <c r="A2083" s="13" t="s">
        <v>3819</v>
      </c>
    </row>
    <row r="2084" spans="1:1" customFormat="1">
      <c r="A2084" s="13" t="s">
        <v>3820</v>
      </c>
    </row>
    <row r="2085" spans="1:1" customFormat="1">
      <c r="A2085" s="13" t="s">
        <v>3821</v>
      </c>
    </row>
    <row r="2086" spans="1:1" customFormat="1">
      <c r="A2086" s="13" t="s">
        <v>3822</v>
      </c>
    </row>
    <row r="2087" spans="1:1" customFormat="1">
      <c r="A2087" s="13" t="s">
        <v>3823</v>
      </c>
    </row>
    <row r="2088" spans="1:1" customFormat="1">
      <c r="A2088" s="13" t="s">
        <v>3824</v>
      </c>
    </row>
    <row r="2089" spans="1:1" customFormat="1">
      <c r="A2089" s="13" t="s">
        <v>3825</v>
      </c>
    </row>
    <row r="2090" spans="1:1" customFormat="1">
      <c r="A2090" s="13" t="s">
        <v>3826</v>
      </c>
    </row>
    <row r="2091" spans="1:1" customFormat="1">
      <c r="A2091" s="13" t="s">
        <v>3827</v>
      </c>
    </row>
    <row r="2092" spans="1:1" customFormat="1">
      <c r="A2092" s="13" t="s">
        <v>3828</v>
      </c>
    </row>
    <row r="2093" spans="1:1" customFormat="1">
      <c r="A2093" s="13" t="s">
        <v>3829</v>
      </c>
    </row>
    <row r="2094" spans="1:1" customFormat="1">
      <c r="A2094" s="13" t="s">
        <v>3830</v>
      </c>
    </row>
    <row r="2095" spans="1:1" customFormat="1">
      <c r="A2095" s="13" t="s">
        <v>3831</v>
      </c>
    </row>
    <row r="2096" spans="1:1" customFormat="1">
      <c r="A2096" s="13" t="s">
        <v>3832</v>
      </c>
    </row>
    <row r="2097" spans="1:1" customFormat="1">
      <c r="A2097" s="13" t="s">
        <v>3833</v>
      </c>
    </row>
    <row r="2098" spans="1:1" customFormat="1">
      <c r="A2098" s="13" t="s">
        <v>3834</v>
      </c>
    </row>
    <row r="2099" spans="1:1" customFormat="1">
      <c r="A2099" s="13" t="s">
        <v>3835</v>
      </c>
    </row>
    <row r="2100" spans="1:1" customFormat="1">
      <c r="A2100" s="13" t="s">
        <v>3836</v>
      </c>
    </row>
    <row r="2101" spans="1:1" customFormat="1">
      <c r="A2101" s="13" t="s">
        <v>3837</v>
      </c>
    </row>
    <row r="2102" spans="1:1" customFormat="1">
      <c r="A2102" s="13" t="s">
        <v>3838</v>
      </c>
    </row>
    <row r="2103" spans="1:1" customFormat="1">
      <c r="A2103" s="13" t="s">
        <v>3839</v>
      </c>
    </row>
    <row r="2104" spans="1:1" customFormat="1">
      <c r="A2104" s="13" t="s">
        <v>3840</v>
      </c>
    </row>
    <row r="2105" spans="1:1" customFormat="1">
      <c r="A2105" s="13" t="s">
        <v>3841</v>
      </c>
    </row>
    <row r="2106" spans="1:1" customFormat="1">
      <c r="A2106" s="13" t="s">
        <v>3842</v>
      </c>
    </row>
    <row r="2107" spans="1:1" customFormat="1">
      <c r="A2107" s="13" t="s">
        <v>3843</v>
      </c>
    </row>
    <row r="2108" spans="1:1" customFormat="1">
      <c r="A2108" s="13" t="s">
        <v>3844</v>
      </c>
    </row>
    <row r="2109" spans="1:1" customFormat="1">
      <c r="A2109" s="13" t="s">
        <v>3845</v>
      </c>
    </row>
    <row r="2110" spans="1:1" customFormat="1">
      <c r="A2110" s="13" t="s">
        <v>3846</v>
      </c>
    </row>
    <row r="2111" spans="1:1" customFormat="1">
      <c r="A2111" s="13" t="s">
        <v>3847</v>
      </c>
    </row>
    <row r="2112" spans="1:1" customFormat="1">
      <c r="A2112" s="13" t="s">
        <v>3848</v>
      </c>
    </row>
    <row r="2113" spans="1:1" customFormat="1">
      <c r="A2113" s="13" t="s">
        <v>3849</v>
      </c>
    </row>
    <row r="2114" spans="1:1" customFormat="1">
      <c r="A2114" s="13" t="s">
        <v>3850</v>
      </c>
    </row>
    <row r="2115" spans="1:1" customFormat="1">
      <c r="A2115" s="13" t="s">
        <v>3851</v>
      </c>
    </row>
    <row r="2116" spans="1:1" customFormat="1">
      <c r="A2116" s="13" t="s">
        <v>3852</v>
      </c>
    </row>
    <row r="2117" spans="1:1" customFormat="1">
      <c r="A2117" s="13" t="s">
        <v>3853</v>
      </c>
    </row>
    <row r="2118" spans="1:1" customFormat="1">
      <c r="A2118" s="13" t="s">
        <v>3854</v>
      </c>
    </row>
    <row r="2119" spans="1:1" customFormat="1">
      <c r="A2119" s="13" t="s">
        <v>3855</v>
      </c>
    </row>
    <row r="2120" spans="1:1" customFormat="1">
      <c r="A2120" s="13" t="s">
        <v>3856</v>
      </c>
    </row>
    <row r="2121" spans="1:1" customFormat="1">
      <c r="A2121" s="13" t="s">
        <v>3857</v>
      </c>
    </row>
    <row r="2122" spans="1:1" customFormat="1">
      <c r="A2122" s="13" t="s">
        <v>3858</v>
      </c>
    </row>
    <row r="2123" spans="1:1" customFormat="1">
      <c r="A2123" s="13" t="s">
        <v>3859</v>
      </c>
    </row>
    <row r="2124" spans="1:1" customFormat="1">
      <c r="A2124" s="13" t="s">
        <v>3860</v>
      </c>
    </row>
    <row r="2125" spans="1:1" customFormat="1">
      <c r="A2125" s="13" t="s">
        <v>3861</v>
      </c>
    </row>
    <row r="2126" spans="1:1" customFormat="1">
      <c r="A2126" s="13" t="s">
        <v>3862</v>
      </c>
    </row>
    <row r="2127" spans="1:1" customFormat="1">
      <c r="A2127" s="13"/>
    </row>
    <row r="2128" spans="1:1" customFormat="1">
      <c r="A2128" s="13"/>
    </row>
    <row r="2129" spans="1:1" customFormat="1">
      <c r="A2129" s="13" t="s">
        <v>1950</v>
      </c>
    </row>
    <row r="2130" spans="1:1" customFormat="1">
      <c r="A2130" s="13" t="s">
        <v>3863</v>
      </c>
    </row>
    <row r="2131" spans="1:1" customFormat="1">
      <c r="A2131" s="13" t="s">
        <v>1950</v>
      </c>
    </row>
    <row r="2132" spans="1:1" customFormat="1">
      <c r="A2132" s="13" t="s">
        <v>3864</v>
      </c>
    </row>
    <row r="2133" spans="1:1" customFormat="1">
      <c r="A2133" s="13" t="s">
        <v>3865</v>
      </c>
    </row>
    <row r="2134" spans="1:1" customFormat="1">
      <c r="A2134" s="13" t="s">
        <v>3866</v>
      </c>
    </row>
    <row r="2135" spans="1:1" customFormat="1">
      <c r="A2135" s="13" t="s">
        <v>3867</v>
      </c>
    </row>
    <row r="2136" spans="1:1" customFormat="1">
      <c r="A2136" s="13" t="s">
        <v>3868</v>
      </c>
    </row>
    <row r="2137" spans="1:1" customFormat="1">
      <c r="A2137" s="13" t="s">
        <v>3869</v>
      </c>
    </row>
    <row r="2138" spans="1:1" customFormat="1">
      <c r="A2138" s="13" t="s">
        <v>3870</v>
      </c>
    </row>
    <row r="2139" spans="1:1" customFormat="1">
      <c r="A2139" s="13" t="s">
        <v>3871</v>
      </c>
    </row>
    <row r="2140" spans="1:1" customFormat="1">
      <c r="A2140" s="13" t="s">
        <v>3872</v>
      </c>
    </row>
    <row r="2141" spans="1:1" customFormat="1">
      <c r="A2141" s="13" t="s">
        <v>3873</v>
      </c>
    </row>
    <row r="2142" spans="1:1" customFormat="1">
      <c r="A2142" s="13" t="s">
        <v>3874</v>
      </c>
    </row>
    <row r="2143" spans="1:1" customFormat="1">
      <c r="A2143" s="13" t="s">
        <v>3875</v>
      </c>
    </row>
    <row r="2144" spans="1:1" customFormat="1">
      <c r="A2144" s="13" t="s">
        <v>3876</v>
      </c>
    </row>
    <row r="2145" spans="1:1" customFormat="1">
      <c r="A2145" s="13" t="s">
        <v>3877</v>
      </c>
    </row>
    <row r="2146" spans="1:1" customFormat="1">
      <c r="A2146" s="13" t="s">
        <v>3878</v>
      </c>
    </row>
    <row r="2147" spans="1:1" customFormat="1">
      <c r="A2147" s="13" t="s">
        <v>3879</v>
      </c>
    </row>
    <row r="2148" spans="1:1" customFormat="1">
      <c r="A2148" s="13" t="s">
        <v>3880</v>
      </c>
    </row>
    <row r="2149" spans="1:1" customFormat="1">
      <c r="A2149" s="13" t="s">
        <v>3881</v>
      </c>
    </row>
    <row r="2150" spans="1:1" customFormat="1">
      <c r="A2150" s="13" t="s">
        <v>3882</v>
      </c>
    </row>
    <row r="2151" spans="1:1" customFormat="1">
      <c r="A2151" s="13" t="s">
        <v>3883</v>
      </c>
    </row>
    <row r="2152" spans="1:1" customFormat="1">
      <c r="A2152" s="13" t="s">
        <v>3884</v>
      </c>
    </row>
    <row r="2153" spans="1:1" customFormat="1">
      <c r="A2153" s="13" t="s">
        <v>3885</v>
      </c>
    </row>
    <row r="2154" spans="1:1" customFormat="1">
      <c r="A2154" s="13" t="s">
        <v>3886</v>
      </c>
    </row>
    <row r="2155" spans="1:1" customFormat="1">
      <c r="A2155" s="13" t="s">
        <v>3887</v>
      </c>
    </row>
    <row r="2156" spans="1:1" customFormat="1">
      <c r="A2156" s="13" t="s">
        <v>3888</v>
      </c>
    </row>
    <row r="2157" spans="1:1" customFormat="1">
      <c r="A2157" s="13" t="s">
        <v>3889</v>
      </c>
    </row>
    <row r="2158" spans="1:1" customFormat="1">
      <c r="A2158" s="13" t="s">
        <v>3890</v>
      </c>
    </row>
    <row r="2159" spans="1:1" customFormat="1">
      <c r="A2159" s="13" t="s">
        <v>3891</v>
      </c>
    </row>
    <row r="2160" spans="1:1" customFormat="1">
      <c r="A2160" s="13" t="s">
        <v>3892</v>
      </c>
    </row>
    <row r="2161" spans="1:1" customFormat="1">
      <c r="A2161" s="13" t="s">
        <v>3893</v>
      </c>
    </row>
    <row r="2162" spans="1:1" customFormat="1">
      <c r="A2162" s="13" t="s">
        <v>3894</v>
      </c>
    </row>
    <row r="2163" spans="1:1" customFormat="1">
      <c r="A2163" s="13" t="s">
        <v>3895</v>
      </c>
    </row>
    <row r="2164" spans="1:1" customFormat="1">
      <c r="A2164" s="13" t="s">
        <v>3896</v>
      </c>
    </row>
    <row r="2165" spans="1:1" customFormat="1">
      <c r="A2165" s="13" t="s">
        <v>3897</v>
      </c>
    </row>
    <row r="2166" spans="1:1" customFormat="1">
      <c r="A2166" s="13" t="s">
        <v>3898</v>
      </c>
    </row>
    <row r="2167" spans="1:1" customFormat="1">
      <c r="A2167" s="13" t="s">
        <v>3899</v>
      </c>
    </row>
    <row r="2168" spans="1:1" customFormat="1">
      <c r="A2168" s="13" t="s">
        <v>3900</v>
      </c>
    </row>
    <row r="2169" spans="1:1" customFormat="1">
      <c r="A2169" s="13" t="s">
        <v>3901</v>
      </c>
    </row>
    <row r="2170" spans="1:1" customFormat="1">
      <c r="A2170" s="13" t="s">
        <v>3902</v>
      </c>
    </row>
    <row r="2171" spans="1:1" customFormat="1">
      <c r="A2171" s="13" t="s">
        <v>3903</v>
      </c>
    </row>
    <row r="2172" spans="1:1" customFormat="1">
      <c r="A2172" s="13" t="s">
        <v>3904</v>
      </c>
    </row>
    <row r="2173" spans="1:1" customFormat="1">
      <c r="A2173" s="13" t="s">
        <v>3905</v>
      </c>
    </row>
    <row r="2174" spans="1:1" customFormat="1">
      <c r="A2174" s="13" t="s">
        <v>3906</v>
      </c>
    </row>
    <row r="2175" spans="1:1" customFormat="1">
      <c r="A2175" s="13" t="s">
        <v>3907</v>
      </c>
    </row>
    <row r="2176" spans="1:1" customFormat="1">
      <c r="A2176" s="13" t="s">
        <v>3908</v>
      </c>
    </row>
    <row r="2177" spans="1:1" customFormat="1">
      <c r="A2177" s="13" t="s">
        <v>3909</v>
      </c>
    </row>
    <row r="2178" spans="1:1" customFormat="1">
      <c r="A2178" s="13" t="s">
        <v>3910</v>
      </c>
    </row>
    <row r="2179" spans="1:1" customFormat="1">
      <c r="A2179" s="13" t="s">
        <v>3911</v>
      </c>
    </row>
    <row r="2180" spans="1:1" customFormat="1">
      <c r="A2180" s="13" t="s">
        <v>3912</v>
      </c>
    </row>
    <row r="2181" spans="1:1" customFormat="1">
      <c r="A2181" s="13" t="s">
        <v>3913</v>
      </c>
    </row>
    <row r="2182" spans="1:1" customFormat="1">
      <c r="A2182" s="13" t="s">
        <v>3914</v>
      </c>
    </row>
    <row r="2183" spans="1:1" customFormat="1">
      <c r="A2183" s="13" t="s">
        <v>3915</v>
      </c>
    </row>
    <row r="2184" spans="1:1" customFormat="1">
      <c r="A2184" s="13" t="s">
        <v>3916</v>
      </c>
    </row>
    <row r="2185" spans="1:1" customFormat="1">
      <c r="A2185" s="13" t="s">
        <v>3917</v>
      </c>
    </row>
    <row r="2186" spans="1:1" customFormat="1">
      <c r="A2186" s="13" t="s">
        <v>3918</v>
      </c>
    </row>
    <row r="2187" spans="1:1" customFormat="1">
      <c r="A2187" s="13" t="s">
        <v>3919</v>
      </c>
    </row>
    <row r="2188" spans="1:1" customFormat="1">
      <c r="A2188" s="13" t="s">
        <v>3920</v>
      </c>
    </row>
    <row r="2189" spans="1:1" customFormat="1">
      <c r="A2189" s="13" t="s">
        <v>3921</v>
      </c>
    </row>
    <row r="2190" spans="1:1" customFormat="1">
      <c r="A2190" s="13" t="s">
        <v>3922</v>
      </c>
    </row>
    <row r="2191" spans="1:1" customFormat="1">
      <c r="A2191" s="13" t="s">
        <v>3923</v>
      </c>
    </row>
    <row r="2192" spans="1:1" customFormat="1">
      <c r="A2192" s="13" t="s">
        <v>3924</v>
      </c>
    </row>
    <row r="2193" spans="1:1" customFormat="1">
      <c r="A2193" s="13" t="s">
        <v>3925</v>
      </c>
    </row>
    <row r="2194" spans="1:1" customFormat="1">
      <c r="A2194" s="13" t="s">
        <v>3926</v>
      </c>
    </row>
    <row r="2195" spans="1:1" customFormat="1">
      <c r="A2195" s="13" t="s">
        <v>3927</v>
      </c>
    </row>
    <row r="2196" spans="1:1" customFormat="1">
      <c r="A2196" s="13" t="s">
        <v>3928</v>
      </c>
    </row>
    <row r="2197" spans="1:1" customFormat="1">
      <c r="A2197" s="13" t="s">
        <v>3929</v>
      </c>
    </row>
    <row r="2198" spans="1:1" customFormat="1">
      <c r="A2198" s="13" t="s">
        <v>3930</v>
      </c>
    </row>
    <row r="2199" spans="1:1" customFormat="1">
      <c r="A2199" s="13" t="s">
        <v>3931</v>
      </c>
    </row>
    <row r="2200" spans="1:1" customFormat="1">
      <c r="A2200" s="13" t="s">
        <v>3932</v>
      </c>
    </row>
    <row r="2201" spans="1:1" customFormat="1">
      <c r="A2201" s="13" t="s">
        <v>3933</v>
      </c>
    </row>
    <row r="2202" spans="1:1" customFormat="1">
      <c r="A2202" s="13" t="s">
        <v>3934</v>
      </c>
    </row>
    <row r="2203" spans="1:1" customFormat="1">
      <c r="A2203" s="13" t="s">
        <v>3935</v>
      </c>
    </row>
    <row r="2204" spans="1:1" customFormat="1">
      <c r="A2204" s="13" t="s">
        <v>3936</v>
      </c>
    </row>
    <row r="2205" spans="1:1" customFormat="1">
      <c r="A2205" s="13" t="s">
        <v>3937</v>
      </c>
    </row>
    <row r="2206" spans="1:1" customFormat="1">
      <c r="A2206" s="13" t="s">
        <v>3938</v>
      </c>
    </row>
    <row r="2207" spans="1:1" customFormat="1">
      <c r="A2207" s="13" t="s">
        <v>3939</v>
      </c>
    </row>
    <row r="2208" spans="1:1" customFormat="1">
      <c r="A2208" s="13" t="s">
        <v>3940</v>
      </c>
    </row>
    <row r="2209" spans="1:1" customFormat="1">
      <c r="A2209" s="13" t="s">
        <v>3941</v>
      </c>
    </row>
    <row r="2210" spans="1:1" customFormat="1">
      <c r="A2210" s="13" t="s">
        <v>3942</v>
      </c>
    </row>
    <row r="2211" spans="1:1" customFormat="1">
      <c r="A2211" s="13" t="s">
        <v>3943</v>
      </c>
    </row>
    <row r="2212" spans="1:1" customFormat="1">
      <c r="A2212" s="13" t="s">
        <v>3944</v>
      </c>
    </row>
    <row r="2213" spans="1:1" customFormat="1">
      <c r="A2213" s="13" t="s">
        <v>3945</v>
      </c>
    </row>
    <row r="2214" spans="1:1" customFormat="1">
      <c r="A2214" s="13" t="s">
        <v>3946</v>
      </c>
    </row>
    <row r="2215" spans="1:1" customFormat="1">
      <c r="A2215" s="13" t="s">
        <v>3947</v>
      </c>
    </row>
    <row r="2216" spans="1:1" customFormat="1">
      <c r="A2216" s="13" t="s">
        <v>3948</v>
      </c>
    </row>
    <row r="2217" spans="1:1" customFormat="1">
      <c r="A2217" s="13" t="s">
        <v>3949</v>
      </c>
    </row>
    <row r="2218" spans="1:1" customFormat="1">
      <c r="A2218" s="13" t="s">
        <v>3950</v>
      </c>
    </row>
    <row r="2219" spans="1:1" customFormat="1">
      <c r="A2219" s="13" t="s">
        <v>3951</v>
      </c>
    </row>
    <row r="2220" spans="1:1" customFormat="1">
      <c r="A2220" s="13" t="s">
        <v>3952</v>
      </c>
    </row>
    <row r="2221" spans="1:1" customFormat="1">
      <c r="A2221" s="13" t="s">
        <v>3953</v>
      </c>
    </row>
    <row r="2222" spans="1:1" customFormat="1">
      <c r="A2222" s="13" t="s">
        <v>3954</v>
      </c>
    </row>
    <row r="2223" spans="1:1" customFormat="1">
      <c r="A2223" s="13" t="s">
        <v>3955</v>
      </c>
    </row>
    <row r="2224" spans="1:1" customFormat="1">
      <c r="A2224" s="13" t="s">
        <v>3956</v>
      </c>
    </row>
    <row r="2225" spans="1:1" customFormat="1">
      <c r="A2225" s="13" t="s">
        <v>3957</v>
      </c>
    </row>
    <row r="2226" spans="1:1" customFormat="1">
      <c r="A2226" s="13" t="s">
        <v>3958</v>
      </c>
    </row>
    <row r="2227" spans="1:1" customFormat="1">
      <c r="A2227" s="13" t="s">
        <v>3959</v>
      </c>
    </row>
    <row r="2228" spans="1:1" customFormat="1">
      <c r="A2228" s="13" t="s">
        <v>3960</v>
      </c>
    </row>
    <row r="2229" spans="1:1" customFormat="1">
      <c r="A2229" s="13" t="s">
        <v>3961</v>
      </c>
    </row>
    <row r="2230" spans="1:1" customFormat="1">
      <c r="A2230" s="13" t="s">
        <v>3962</v>
      </c>
    </row>
    <row r="2231" spans="1:1" customFormat="1">
      <c r="A2231" s="13" t="s">
        <v>3963</v>
      </c>
    </row>
    <row r="2232" spans="1:1" customFormat="1">
      <c r="A2232" s="13" t="s">
        <v>3964</v>
      </c>
    </row>
    <row r="2233" spans="1:1" customFormat="1">
      <c r="A2233" s="13" t="s">
        <v>3965</v>
      </c>
    </row>
    <row r="2234" spans="1:1" customFormat="1">
      <c r="A2234" s="13" t="s">
        <v>3966</v>
      </c>
    </row>
    <row r="2235" spans="1:1" customFormat="1">
      <c r="A2235" s="13" t="s">
        <v>3967</v>
      </c>
    </row>
    <row r="2236" spans="1:1" customFormat="1">
      <c r="A2236" s="13" t="s">
        <v>3968</v>
      </c>
    </row>
    <row r="2237" spans="1:1" customFormat="1">
      <c r="A2237" s="13" t="s">
        <v>3969</v>
      </c>
    </row>
    <row r="2238" spans="1:1" customFormat="1">
      <c r="A2238" s="13" t="s">
        <v>3970</v>
      </c>
    </row>
    <row r="2239" spans="1:1" customFormat="1">
      <c r="A2239" s="13" t="s">
        <v>3971</v>
      </c>
    </row>
    <row r="2240" spans="1:1" customFormat="1">
      <c r="A2240" s="13" t="s">
        <v>3972</v>
      </c>
    </row>
    <row r="2241" spans="1:1" customFormat="1">
      <c r="A2241" s="13" t="s">
        <v>3973</v>
      </c>
    </row>
    <row r="2242" spans="1:1" customFormat="1">
      <c r="A2242" s="13" t="s">
        <v>3974</v>
      </c>
    </row>
    <row r="2243" spans="1:1" customFormat="1">
      <c r="A2243" s="13" t="s">
        <v>3975</v>
      </c>
    </row>
    <row r="2244" spans="1:1" customFormat="1">
      <c r="A2244" s="13" t="s">
        <v>3976</v>
      </c>
    </row>
    <row r="2245" spans="1:1" customFormat="1">
      <c r="A2245" s="13" t="s">
        <v>3977</v>
      </c>
    </row>
    <row r="2246" spans="1:1" customFormat="1">
      <c r="A2246" s="13" t="s">
        <v>3978</v>
      </c>
    </row>
    <row r="2247" spans="1:1" customFormat="1">
      <c r="A2247" s="13" t="s">
        <v>3979</v>
      </c>
    </row>
    <row r="2248" spans="1:1" customFormat="1">
      <c r="A2248" s="13" t="s">
        <v>3980</v>
      </c>
    </row>
    <row r="2249" spans="1:1" customFormat="1">
      <c r="A2249" s="13" t="s">
        <v>3981</v>
      </c>
    </row>
    <row r="2250" spans="1:1" customFormat="1">
      <c r="A2250" s="13" t="s">
        <v>3982</v>
      </c>
    </row>
    <row r="2251" spans="1:1" customFormat="1">
      <c r="A2251" s="13" t="s">
        <v>3983</v>
      </c>
    </row>
    <row r="2252" spans="1:1" customFormat="1">
      <c r="A2252" s="13" t="s">
        <v>3984</v>
      </c>
    </row>
    <row r="2253" spans="1:1" customFormat="1">
      <c r="A2253" s="13" t="s">
        <v>3985</v>
      </c>
    </row>
    <row r="2254" spans="1:1" customFormat="1">
      <c r="A2254" s="13" t="s">
        <v>3986</v>
      </c>
    </row>
    <row r="2255" spans="1:1" customFormat="1">
      <c r="A2255" s="13" t="s">
        <v>3987</v>
      </c>
    </row>
    <row r="2256" spans="1:1" customFormat="1">
      <c r="A2256" s="13" t="s">
        <v>3988</v>
      </c>
    </row>
    <row r="2257" spans="1:1" customFormat="1">
      <c r="A2257" s="13" t="s">
        <v>3989</v>
      </c>
    </row>
    <row r="2258" spans="1:1" customFormat="1">
      <c r="A2258" s="13" t="s">
        <v>3990</v>
      </c>
    </row>
    <row r="2259" spans="1:1" customFormat="1">
      <c r="A2259" s="13" t="s">
        <v>3991</v>
      </c>
    </row>
    <row r="2260" spans="1:1" customFormat="1">
      <c r="A2260" s="13" t="s">
        <v>3992</v>
      </c>
    </row>
    <row r="2261" spans="1:1" customFormat="1">
      <c r="A2261" s="13" t="s">
        <v>3993</v>
      </c>
    </row>
    <row r="2262" spans="1:1" customFormat="1">
      <c r="A2262" s="13" t="s">
        <v>3994</v>
      </c>
    </row>
    <row r="2263" spans="1:1" customFormat="1">
      <c r="A2263" s="13" t="s">
        <v>3995</v>
      </c>
    </row>
    <row r="2264" spans="1:1" customFormat="1">
      <c r="A2264" s="13" t="s">
        <v>3996</v>
      </c>
    </row>
    <row r="2265" spans="1:1" customFormat="1">
      <c r="A2265" s="13" t="s">
        <v>3997</v>
      </c>
    </row>
    <row r="2266" spans="1:1" customFormat="1">
      <c r="A2266" s="13" t="s">
        <v>3998</v>
      </c>
    </row>
    <row r="2267" spans="1:1" customFormat="1">
      <c r="A2267" s="13" t="s">
        <v>3999</v>
      </c>
    </row>
    <row r="2268" spans="1:1" customFormat="1">
      <c r="A2268" s="13" t="s">
        <v>4000</v>
      </c>
    </row>
    <row r="2269" spans="1:1" customFormat="1">
      <c r="A2269" s="13" t="s">
        <v>4001</v>
      </c>
    </row>
    <row r="2270" spans="1:1" customFormat="1">
      <c r="A2270" s="13" t="s">
        <v>4002</v>
      </c>
    </row>
    <row r="2271" spans="1:1" customFormat="1">
      <c r="A2271" s="13" t="s">
        <v>4003</v>
      </c>
    </row>
    <row r="2272" spans="1:1" customFormat="1">
      <c r="A2272" s="13" t="s">
        <v>4004</v>
      </c>
    </row>
    <row r="2273" spans="1:1" customFormat="1">
      <c r="A2273" s="13" t="s">
        <v>4005</v>
      </c>
    </row>
    <row r="2274" spans="1:1" customFormat="1">
      <c r="A2274" s="13" t="s">
        <v>4006</v>
      </c>
    </row>
    <row r="2275" spans="1:1" customFormat="1">
      <c r="A2275" s="13" t="s">
        <v>4007</v>
      </c>
    </row>
    <row r="2276" spans="1:1" customFormat="1">
      <c r="A2276" s="13" t="s">
        <v>4008</v>
      </c>
    </row>
    <row r="2277" spans="1:1" customFormat="1">
      <c r="A2277" s="13" t="s">
        <v>4009</v>
      </c>
    </row>
    <row r="2278" spans="1:1" customFormat="1">
      <c r="A2278" s="13" t="s">
        <v>4010</v>
      </c>
    </row>
    <row r="2279" spans="1:1" customFormat="1">
      <c r="A2279" s="13" t="s">
        <v>4011</v>
      </c>
    </row>
    <row r="2280" spans="1:1" customFormat="1">
      <c r="A2280" s="13" t="s">
        <v>4012</v>
      </c>
    </row>
    <row r="2281" spans="1:1" customFormat="1">
      <c r="A2281" s="13" t="s">
        <v>4013</v>
      </c>
    </row>
    <row r="2282" spans="1:1" customFormat="1">
      <c r="A2282" s="13" t="s">
        <v>4014</v>
      </c>
    </row>
    <row r="2283" spans="1:1" customFormat="1">
      <c r="A2283" s="13" t="s">
        <v>4015</v>
      </c>
    </row>
    <row r="2284" spans="1:1" customFormat="1">
      <c r="A2284" s="13" t="s">
        <v>4016</v>
      </c>
    </row>
    <row r="2285" spans="1:1" customFormat="1">
      <c r="A2285" s="13" t="s">
        <v>4017</v>
      </c>
    </row>
    <row r="2286" spans="1:1" customFormat="1">
      <c r="A2286" s="13" t="s">
        <v>4018</v>
      </c>
    </row>
    <row r="2287" spans="1:1" customFormat="1">
      <c r="A2287" s="13" t="s">
        <v>4019</v>
      </c>
    </row>
    <row r="2288" spans="1:1" customFormat="1">
      <c r="A2288" s="13" t="s">
        <v>4020</v>
      </c>
    </row>
    <row r="2289" spans="1:1" customFormat="1">
      <c r="A2289" s="13" t="s">
        <v>4021</v>
      </c>
    </row>
    <row r="2290" spans="1:1" customFormat="1">
      <c r="A2290" s="13" t="s">
        <v>4022</v>
      </c>
    </row>
    <row r="2291" spans="1:1" customFormat="1">
      <c r="A2291" s="13" t="s">
        <v>4023</v>
      </c>
    </row>
    <row r="2292" spans="1:1" customFormat="1">
      <c r="A2292" s="13" t="s">
        <v>4024</v>
      </c>
    </row>
    <row r="2293" spans="1:1" customFormat="1">
      <c r="A2293" s="13" t="s">
        <v>4025</v>
      </c>
    </row>
    <row r="2294" spans="1:1" customFormat="1">
      <c r="A2294" s="13" t="s">
        <v>4026</v>
      </c>
    </row>
    <row r="2295" spans="1:1" customFormat="1">
      <c r="A2295" s="13" t="s">
        <v>4027</v>
      </c>
    </row>
    <row r="2296" spans="1:1" customFormat="1">
      <c r="A2296" s="13" t="s">
        <v>4028</v>
      </c>
    </row>
    <row r="2297" spans="1:1" customFormat="1">
      <c r="A2297" s="13" t="s">
        <v>4029</v>
      </c>
    </row>
    <row r="2298" spans="1:1" customFormat="1">
      <c r="A2298" s="13" t="s">
        <v>4030</v>
      </c>
    </row>
    <row r="2299" spans="1:1" customFormat="1">
      <c r="A2299" s="13" t="s">
        <v>4031</v>
      </c>
    </row>
    <row r="2300" spans="1:1" customFormat="1">
      <c r="A2300" s="13" t="s">
        <v>4032</v>
      </c>
    </row>
    <row r="2301" spans="1:1" customFormat="1">
      <c r="A2301" s="13" t="s">
        <v>4033</v>
      </c>
    </row>
    <row r="2302" spans="1:1" customFormat="1">
      <c r="A2302" s="13" t="s">
        <v>4034</v>
      </c>
    </row>
    <row r="2303" spans="1:1" customFormat="1">
      <c r="A2303" s="13" t="s">
        <v>4035</v>
      </c>
    </row>
    <row r="2304" spans="1:1" customFormat="1">
      <c r="A2304" s="13" t="s">
        <v>4036</v>
      </c>
    </row>
    <row r="2305" spans="1:1" customFormat="1">
      <c r="A2305" s="13" t="s">
        <v>4037</v>
      </c>
    </row>
    <row r="2306" spans="1:1" customFormat="1">
      <c r="A2306" s="13" t="s">
        <v>4038</v>
      </c>
    </row>
    <row r="2307" spans="1:1" customFormat="1">
      <c r="A2307" s="13" t="s">
        <v>4039</v>
      </c>
    </row>
    <row r="2308" spans="1:1" customFormat="1">
      <c r="A2308" s="13" t="s">
        <v>4040</v>
      </c>
    </row>
    <row r="2309" spans="1:1" customFormat="1">
      <c r="A2309" s="13" t="s">
        <v>4041</v>
      </c>
    </row>
    <row r="2310" spans="1:1" customFormat="1">
      <c r="A2310" s="13" t="s">
        <v>4042</v>
      </c>
    </row>
    <row r="2311" spans="1:1" customFormat="1">
      <c r="A2311" s="13" t="s">
        <v>4043</v>
      </c>
    </row>
    <row r="2312" spans="1:1" customFormat="1">
      <c r="A2312" s="13" t="s">
        <v>4044</v>
      </c>
    </row>
    <row r="2313" spans="1:1" customFormat="1">
      <c r="A2313" s="13" t="s">
        <v>4045</v>
      </c>
    </row>
    <row r="2314" spans="1:1" customFormat="1">
      <c r="A2314" s="13" t="s">
        <v>4046</v>
      </c>
    </row>
    <row r="2315" spans="1:1" customFormat="1">
      <c r="A2315" s="13" t="s">
        <v>4047</v>
      </c>
    </row>
    <row r="2316" spans="1:1" customFormat="1">
      <c r="A2316" s="13" t="s">
        <v>4048</v>
      </c>
    </row>
    <row r="2317" spans="1:1" customFormat="1">
      <c r="A2317" s="13" t="s">
        <v>4049</v>
      </c>
    </row>
    <row r="2318" spans="1:1" customFormat="1">
      <c r="A2318" s="13" t="s">
        <v>4050</v>
      </c>
    </row>
    <row r="2319" spans="1:1" customFormat="1">
      <c r="A2319" s="13" t="s">
        <v>4051</v>
      </c>
    </row>
    <row r="2320" spans="1:1" customFormat="1">
      <c r="A2320" s="13" t="s">
        <v>4052</v>
      </c>
    </row>
    <row r="2321" spans="1:1" customFormat="1">
      <c r="A2321" s="13" t="s">
        <v>4053</v>
      </c>
    </row>
    <row r="2322" spans="1:1" customFormat="1">
      <c r="A2322" s="13" t="s">
        <v>4054</v>
      </c>
    </row>
    <row r="2323" spans="1:1" customFormat="1">
      <c r="A2323" s="13" t="s">
        <v>4055</v>
      </c>
    </row>
    <row r="2324" spans="1:1" customFormat="1">
      <c r="A2324" s="13" t="s">
        <v>4056</v>
      </c>
    </row>
    <row r="2325" spans="1:1" customFormat="1">
      <c r="A2325" s="13"/>
    </row>
    <row r="2326" spans="1:1" customFormat="1">
      <c r="A2326" s="13" t="s">
        <v>4057</v>
      </c>
    </row>
    <row r="2327" spans="1:1" customFormat="1">
      <c r="A2327" s="13" t="s">
        <v>4058</v>
      </c>
    </row>
    <row r="2328" spans="1:1" customFormat="1">
      <c r="A2328" s="13" t="s">
        <v>4059</v>
      </c>
    </row>
    <row r="2329" spans="1:1" customFormat="1">
      <c r="A2329" s="13" t="s">
        <v>4060</v>
      </c>
    </row>
    <row r="2330" spans="1:1" customFormat="1">
      <c r="A2330" s="13" t="s">
        <v>4061</v>
      </c>
    </row>
    <row r="2331" spans="1:1" customFormat="1">
      <c r="A2331" s="13" t="s">
        <v>4062</v>
      </c>
    </row>
    <row r="2332" spans="1:1" customFormat="1">
      <c r="A2332" s="13" t="s">
        <v>4063</v>
      </c>
    </row>
    <row r="2333" spans="1:1" customFormat="1">
      <c r="A2333" s="13" t="s">
        <v>4064</v>
      </c>
    </row>
    <row r="2334" spans="1:1" customFormat="1">
      <c r="A2334" s="13" t="s">
        <v>4065</v>
      </c>
    </row>
    <row r="2335" spans="1:1" customFormat="1">
      <c r="A2335" s="13" t="s">
        <v>4066</v>
      </c>
    </row>
    <row r="2336" spans="1:1" customFormat="1">
      <c r="A2336" s="13" t="s">
        <v>4067</v>
      </c>
    </row>
    <row r="2337" spans="1:1" customFormat="1">
      <c r="A2337" s="13" t="s">
        <v>4068</v>
      </c>
    </row>
    <row r="2338" spans="1:1" customFormat="1">
      <c r="A2338" s="13" t="s">
        <v>4069</v>
      </c>
    </row>
    <row r="2339" spans="1:1" customFormat="1">
      <c r="A2339" s="13" t="s">
        <v>4070</v>
      </c>
    </row>
    <row r="2340" spans="1:1" customFormat="1">
      <c r="A2340" s="13" t="s">
        <v>4071</v>
      </c>
    </row>
    <row r="2341" spans="1:1" customFormat="1">
      <c r="A2341" s="13" t="s">
        <v>4072</v>
      </c>
    </row>
    <row r="2342" spans="1:1" customFormat="1">
      <c r="A2342" s="13" t="s">
        <v>4073</v>
      </c>
    </row>
    <row r="2343" spans="1:1" customFormat="1">
      <c r="A2343" s="13" t="s">
        <v>4074</v>
      </c>
    </row>
    <row r="2344" spans="1:1" customFormat="1">
      <c r="A2344" s="13" t="s">
        <v>4075</v>
      </c>
    </row>
    <row r="2345" spans="1:1" customFormat="1">
      <c r="A2345" s="13" t="s">
        <v>4076</v>
      </c>
    </row>
    <row r="2346" spans="1:1" customFormat="1">
      <c r="A2346" s="13" t="s">
        <v>4077</v>
      </c>
    </row>
    <row r="2347" spans="1:1" customFormat="1">
      <c r="A2347" s="13" t="s">
        <v>4078</v>
      </c>
    </row>
    <row r="2348" spans="1:1" customFormat="1">
      <c r="A2348" s="13" t="s">
        <v>4079</v>
      </c>
    </row>
    <row r="2349" spans="1:1" customFormat="1">
      <c r="A2349" s="13" t="s">
        <v>4080</v>
      </c>
    </row>
    <row r="2350" spans="1:1" customFormat="1">
      <c r="A2350" s="13" t="s">
        <v>4081</v>
      </c>
    </row>
    <row r="2351" spans="1:1" customFormat="1">
      <c r="A2351" s="13" t="s">
        <v>4082</v>
      </c>
    </row>
    <row r="2352" spans="1:1" customFormat="1">
      <c r="A2352" s="13" t="s">
        <v>4083</v>
      </c>
    </row>
    <row r="2353" spans="1:1" customFormat="1">
      <c r="A2353" s="13" t="s">
        <v>4084</v>
      </c>
    </row>
    <row r="2354" spans="1:1" customFormat="1">
      <c r="A2354" s="13" t="s">
        <v>4085</v>
      </c>
    </row>
    <row r="2355" spans="1:1" customFormat="1">
      <c r="A2355" s="13" t="s">
        <v>4086</v>
      </c>
    </row>
    <row r="2356" spans="1:1" customFormat="1">
      <c r="A2356" s="13" t="s">
        <v>4087</v>
      </c>
    </row>
    <row r="2357" spans="1:1" customFormat="1">
      <c r="A2357" s="13" t="s">
        <v>4088</v>
      </c>
    </row>
    <row r="2358" spans="1:1" customFormat="1">
      <c r="A2358" s="13" t="s">
        <v>4089</v>
      </c>
    </row>
    <row r="2359" spans="1:1" customFormat="1">
      <c r="A2359" s="13" t="s">
        <v>4090</v>
      </c>
    </row>
    <row r="2360" spans="1:1" customFormat="1">
      <c r="A2360" s="13" t="s">
        <v>4091</v>
      </c>
    </row>
    <row r="2361" spans="1:1" customFormat="1">
      <c r="A2361" s="13" t="s">
        <v>4092</v>
      </c>
    </row>
    <row r="2362" spans="1:1" customFormat="1">
      <c r="A2362" s="13" t="s">
        <v>4093</v>
      </c>
    </row>
    <row r="2363" spans="1:1" customFormat="1">
      <c r="A2363" s="13" t="s">
        <v>4094</v>
      </c>
    </row>
    <row r="2364" spans="1:1" customFormat="1">
      <c r="A2364" s="13" t="s">
        <v>4095</v>
      </c>
    </row>
    <row r="2365" spans="1:1" customFormat="1">
      <c r="A2365" s="13" t="s">
        <v>4096</v>
      </c>
    </row>
    <row r="2366" spans="1:1" customFormat="1">
      <c r="A2366" s="13" t="s">
        <v>4097</v>
      </c>
    </row>
    <row r="2367" spans="1:1" customFormat="1">
      <c r="A2367" s="13" t="s">
        <v>4098</v>
      </c>
    </row>
    <row r="2368" spans="1:1" customFormat="1">
      <c r="A2368" s="13" t="s">
        <v>4099</v>
      </c>
    </row>
    <row r="2369" spans="1:1" customFormat="1">
      <c r="A2369" s="13" t="s">
        <v>4100</v>
      </c>
    </row>
    <row r="2370" spans="1:1" customFormat="1">
      <c r="A2370" s="13" t="s">
        <v>4101</v>
      </c>
    </row>
    <row r="2371" spans="1:1" customFormat="1">
      <c r="A2371" s="13" t="s">
        <v>4102</v>
      </c>
    </row>
    <row r="2372" spans="1:1" customFormat="1">
      <c r="A2372" s="13" t="s">
        <v>4103</v>
      </c>
    </row>
    <row r="2373" spans="1:1" customFormat="1">
      <c r="A2373" s="13" t="s">
        <v>4104</v>
      </c>
    </row>
    <row r="2374" spans="1:1" customFormat="1">
      <c r="A2374" s="13" t="s">
        <v>4105</v>
      </c>
    </row>
    <row r="2375" spans="1:1" customFormat="1">
      <c r="A2375" s="13" t="s">
        <v>4106</v>
      </c>
    </row>
    <row r="2376" spans="1:1" customFormat="1">
      <c r="A2376" s="13" t="s">
        <v>4107</v>
      </c>
    </row>
    <row r="2377" spans="1:1" customFormat="1">
      <c r="A2377" s="13" t="s">
        <v>4108</v>
      </c>
    </row>
    <row r="2378" spans="1:1" customFormat="1">
      <c r="A2378" s="13" t="s">
        <v>4109</v>
      </c>
    </row>
    <row r="2379" spans="1:1" customFormat="1">
      <c r="A2379" s="13" t="s">
        <v>4110</v>
      </c>
    </row>
    <row r="2380" spans="1:1" customFormat="1">
      <c r="A2380" s="13" t="s">
        <v>4111</v>
      </c>
    </row>
    <row r="2381" spans="1:1" customFormat="1">
      <c r="A2381" s="13" t="s">
        <v>4112</v>
      </c>
    </row>
    <row r="2382" spans="1:1" customFormat="1">
      <c r="A2382" s="13" t="s">
        <v>4113</v>
      </c>
    </row>
    <row r="2383" spans="1:1" customFormat="1">
      <c r="A2383" s="13" t="s">
        <v>4114</v>
      </c>
    </row>
    <row r="2384" spans="1:1" customFormat="1">
      <c r="A2384" s="13" t="s">
        <v>4115</v>
      </c>
    </row>
    <row r="2385" spans="1:1" customFormat="1">
      <c r="A2385" s="13" t="s">
        <v>4116</v>
      </c>
    </row>
    <row r="2386" spans="1:1" customFormat="1">
      <c r="A2386" s="13" t="s">
        <v>4117</v>
      </c>
    </row>
    <row r="2387" spans="1:1" customFormat="1">
      <c r="A2387" s="13" t="s">
        <v>4118</v>
      </c>
    </row>
    <row r="2388" spans="1:1" customFormat="1">
      <c r="A2388" s="13" t="s">
        <v>4119</v>
      </c>
    </row>
    <row r="2389" spans="1:1" customFormat="1">
      <c r="A2389" s="13" t="s">
        <v>4120</v>
      </c>
    </row>
    <row r="2390" spans="1:1" customFormat="1">
      <c r="A2390" s="13" t="s">
        <v>4121</v>
      </c>
    </row>
    <row r="2391" spans="1:1" customFormat="1">
      <c r="A2391" s="13" t="s">
        <v>4122</v>
      </c>
    </row>
    <row r="2392" spans="1:1" customFormat="1">
      <c r="A2392" s="13" t="s">
        <v>4123</v>
      </c>
    </row>
    <row r="2393" spans="1:1" customFormat="1">
      <c r="A2393" s="13" t="s">
        <v>4124</v>
      </c>
    </row>
    <row r="2394" spans="1:1" customFormat="1">
      <c r="A2394" s="13" t="s">
        <v>4125</v>
      </c>
    </row>
    <row r="2395" spans="1:1" customFormat="1">
      <c r="A2395" s="13" t="s">
        <v>4126</v>
      </c>
    </row>
    <row r="2396" spans="1:1" customFormat="1">
      <c r="A2396" s="13" t="s">
        <v>4127</v>
      </c>
    </row>
    <row r="2397" spans="1:1" customFormat="1">
      <c r="A2397" s="13" t="s">
        <v>4128</v>
      </c>
    </row>
    <row r="2398" spans="1:1" customFormat="1">
      <c r="A2398" s="13" t="s">
        <v>4129</v>
      </c>
    </row>
    <row r="2399" spans="1:1" customFormat="1">
      <c r="A2399" s="13" t="s">
        <v>4130</v>
      </c>
    </row>
    <row r="2400" spans="1:1" customFormat="1">
      <c r="A2400" s="13" t="s">
        <v>4131</v>
      </c>
    </row>
    <row r="2401" spans="1:1" customFormat="1">
      <c r="A2401" s="13" t="s">
        <v>4132</v>
      </c>
    </row>
    <row r="2402" spans="1:1" customFormat="1">
      <c r="A2402" s="13" t="s">
        <v>4133</v>
      </c>
    </row>
    <row r="2403" spans="1:1" customFormat="1">
      <c r="A2403" s="13" t="s">
        <v>4134</v>
      </c>
    </row>
    <row r="2404" spans="1:1" customFormat="1">
      <c r="A2404" s="13" t="s">
        <v>4135</v>
      </c>
    </row>
    <row r="2405" spans="1:1" customFormat="1">
      <c r="A2405" s="13" t="s">
        <v>4136</v>
      </c>
    </row>
    <row r="2406" spans="1:1" customFormat="1">
      <c r="A2406" s="13" t="s">
        <v>4137</v>
      </c>
    </row>
    <row r="2407" spans="1:1" customFormat="1">
      <c r="A2407" s="13" t="s">
        <v>4138</v>
      </c>
    </row>
    <row r="2408" spans="1:1" customFormat="1">
      <c r="A2408" s="13" t="s">
        <v>4139</v>
      </c>
    </row>
    <row r="2409" spans="1:1" customFormat="1">
      <c r="A2409" s="13" t="s">
        <v>4140</v>
      </c>
    </row>
    <row r="2410" spans="1:1" customFormat="1">
      <c r="A2410" s="13" t="s">
        <v>4141</v>
      </c>
    </row>
    <row r="2411" spans="1:1" customFormat="1">
      <c r="A2411" s="13" t="s">
        <v>4142</v>
      </c>
    </row>
    <row r="2412" spans="1:1" customFormat="1">
      <c r="A2412" s="13" t="s">
        <v>4143</v>
      </c>
    </row>
    <row r="2413" spans="1:1" customFormat="1">
      <c r="A2413" s="13" t="s">
        <v>4144</v>
      </c>
    </row>
    <row r="2414" spans="1:1" customFormat="1">
      <c r="A2414" s="13" t="s">
        <v>4145</v>
      </c>
    </row>
    <row r="2415" spans="1:1" customFormat="1">
      <c r="A2415" s="13" t="s">
        <v>4146</v>
      </c>
    </row>
    <row r="2416" spans="1:1" customFormat="1">
      <c r="A2416" s="13" t="s">
        <v>4147</v>
      </c>
    </row>
    <row r="2417" spans="1:1" customFormat="1">
      <c r="A2417" s="13" t="s">
        <v>4148</v>
      </c>
    </row>
    <row r="2418" spans="1:1" customFormat="1">
      <c r="A2418" s="13" t="s">
        <v>4149</v>
      </c>
    </row>
    <row r="2419" spans="1:1" customFormat="1">
      <c r="A2419" s="13" t="s">
        <v>4150</v>
      </c>
    </row>
    <row r="2420" spans="1:1" customFormat="1">
      <c r="A2420" s="13" t="s">
        <v>4151</v>
      </c>
    </row>
    <row r="2421" spans="1:1" customFormat="1">
      <c r="A2421" s="13" t="s">
        <v>4152</v>
      </c>
    </row>
    <row r="2422" spans="1:1" customFormat="1">
      <c r="A2422" s="13" t="s">
        <v>4153</v>
      </c>
    </row>
    <row r="2423" spans="1:1" customFormat="1">
      <c r="A2423" s="13" t="s">
        <v>4154</v>
      </c>
    </row>
    <row r="2424" spans="1:1" customFormat="1">
      <c r="A2424" s="13" t="s">
        <v>4155</v>
      </c>
    </row>
    <row r="2425" spans="1:1" customFormat="1">
      <c r="A2425" s="13" t="s">
        <v>4156</v>
      </c>
    </row>
    <row r="2426" spans="1:1" customFormat="1">
      <c r="A2426" s="13" t="s">
        <v>4157</v>
      </c>
    </row>
    <row r="2427" spans="1:1" customFormat="1">
      <c r="A2427" s="13" t="s">
        <v>4158</v>
      </c>
    </row>
    <row r="2428" spans="1:1" customFormat="1">
      <c r="A2428" s="13" t="s">
        <v>4159</v>
      </c>
    </row>
    <row r="2429" spans="1:1" customFormat="1">
      <c r="A2429" s="13" t="s">
        <v>4160</v>
      </c>
    </row>
    <row r="2430" spans="1:1" customFormat="1">
      <c r="A2430" s="13" t="s">
        <v>4161</v>
      </c>
    </row>
    <row r="2431" spans="1:1" customFormat="1">
      <c r="A2431" s="13" t="s">
        <v>4162</v>
      </c>
    </row>
    <row r="2432" spans="1:1" customFormat="1">
      <c r="A2432" s="13" t="s">
        <v>4163</v>
      </c>
    </row>
    <row r="2433" spans="1:1" customFormat="1">
      <c r="A2433" s="13" t="s">
        <v>4164</v>
      </c>
    </row>
    <row r="2434" spans="1:1" customFormat="1">
      <c r="A2434" s="13" t="s">
        <v>4165</v>
      </c>
    </row>
    <row r="2435" spans="1:1" customFormat="1">
      <c r="A2435" s="13" t="s">
        <v>4166</v>
      </c>
    </row>
    <row r="2436" spans="1:1" customFormat="1">
      <c r="A2436" s="13" t="s">
        <v>4167</v>
      </c>
    </row>
    <row r="2437" spans="1:1" customFormat="1">
      <c r="A2437" s="13" t="s">
        <v>4168</v>
      </c>
    </row>
    <row r="2438" spans="1:1" customFormat="1">
      <c r="A2438" s="13" t="s">
        <v>4169</v>
      </c>
    </row>
    <row r="2439" spans="1:1" customFormat="1">
      <c r="A2439" s="13" t="s">
        <v>4170</v>
      </c>
    </row>
    <row r="2440" spans="1:1" customFormat="1">
      <c r="A2440" s="13" t="s">
        <v>4171</v>
      </c>
    </row>
    <row r="2441" spans="1:1" customFormat="1">
      <c r="A2441" s="13" t="s">
        <v>4172</v>
      </c>
    </row>
    <row r="2442" spans="1:1" customFormat="1">
      <c r="A2442" s="13" t="s">
        <v>4173</v>
      </c>
    </row>
    <row r="2443" spans="1:1" customFormat="1">
      <c r="A2443" s="13" t="s">
        <v>4174</v>
      </c>
    </row>
    <row r="2444" spans="1:1" customFormat="1">
      <c r="A2444" s="13" t="s">
        <v>4175</v>
      </c>
    </row>
    <row r="2445" spans="1:1" customFormat="1">
      <c r="A2445" s="13" t="s">
        <v>4176</v>
      </c>
    </row>
    <row r="2446" spans="1:1" customFormat="1">
      <c r="A2446" s="13" t="s">
        <v>4177</v>
      </c>
    </row>
    <row r="2447" spans="1:1" customFormat="1">
      <c r="A2447" s="13" t="s">
        <v>4178</v>
      </c>
    </row>
    <row r="2448" spans="1:1" customFormat="1">
      <c r="A2448" s="13" t="s">
        <v>4179</v>
      </c>
    </row>
    <row r="2449" spans="1:1" customFormat="1">
      <c r="A2449" s="13" t="s">
        <v>4180</v>
      </c>
    </row>
    <row r="2450" spans="1:1" customFormat="1">
      <c r="A2450" s="13" t="s">
        <v>4181</v>
      </c>
    </row>
    <row r="2451" spans="1:1" customFormat="1">
      <c r="A2451" s="13" t="s">
        <v>4182</v>
      </c>
    </row>
    <row r="2452" spans="1:1" customFormat="1">
      <c r="A2452" s="13" t="s">
        <v>4183</v>
      </c>
    </row>
    <row r="2453" spans="1:1" customFormat="1">
      <c r="A2453" s="13" t="s">
        <v>4184</v>
      </c>
    </row>
    <row r="2454" spans="1:1" customFormat="1">
      <c r="A2454" s="13" t="s">
        <v>4185</v>
      </c>
    </row>
    <row r="2455" spans="1:1" customFormat="1">
      <c r="A2455" s="13" t="s">
        <v>4186</v>
      </c>
    </row>
    <row r="2456" spans="1:1" customFormat="1">
      <c r="A2456" s="13" t="s">
        <v>4187</v>
      </c>
    </row>
    <row r="2457" spans="1:1" customFormat="1">
      <c r="A2457" s="13" t="s">
        <v>4188</v>
      </c>
    </row>
    <row r="2458" spans="1:1" customFormat="1">
      <c r="A2458" s="13" t="s">
        <v>4189</v>
      </c>
    </row>
    <row r="2459" spans="1:1" customFormat="1">
      <c r="A2459" s="13" t="s">
        <v>4190</v>
      </c>
    </row>
    <row r="2460" spans="1:1" customFormat="1">
      <c r="A2460" s="13" t="s">
        <v>4191</v>
      </c>
    </row>
    <row r="2461" spans="1:1" customFormat="1">
      <c r="A2461" s="13" t="s">
        <v>4192</v>
      </c>
    </row>
    <row r="2462" spans="1:1" customFormat="1">
      <c r="A2462" s="13" t="s">
        <v>4193</v>
      </c>
    </row>
    <row r="2463" spans="1:1" customFormat="1">
      <c r="A2463" s="13" t="s">
        <v>4194</v>
      </c>
    </row>
    <row r="2464" spans="1:1" customFormat="1">
      <c r="A2464" s="13" t="s">
        <v>4195</v>
      </c>
    </row>
    <row r="2465" spans="1:1" customFormat="1">
      <c r="A2465" s="13" t="s">
        <v>4196</v>
      </c>
    </row>
    <row r="2466" spans="1:1" customFormat="1">
      <c r="A2466" s="13" t="s">
        <v>4197</v>
      </c>
    </row>
    <row r="2467" spans="1:1" customFormat="1">
      <c r="A2467" s="13" t="s">
        <v>4198</v>
      </c>
    </row>
    <row r="2468" spans="1:1" customFormat="1">
      <c r="A2468" s="13" t="s">
        <v>4199</v>
      </c>
    </row>
    <row r="2469" spans="1:1" customFormat="1">
      <c r="A2469" s="13" t="s">
        <v>4200</v>
      </c>
    </row>
    <row r="2470" spans="1:1" customFormat="1">
      <c r="A2470" s="13" t="s">
        <v>4201</v>
      </c>
    </row>
    <row r="2471" spans="1:1" customFormat="1">
      <c r="A2471" s="13" t="s">
        <v>4202</v>
      </c>
    </row>
    <row r="2472" spans="1:1" customFormat="1">
      <c r="A2472" s="13" t="s">
        <v>4203</v>
      </c>
    </row>
    <row r="2473" spans="1:1" customFormat="1">
      <c r="A2473" s="13" t="s">
        <v>4204</v>
      </c>
    </row>
    <row r="2474" spans="1:1" customFormat="1">
      <c r="A2474" s="13" t="s">
        <v>4205</v>
      </c>
    </row>
    <row r="2475" spans="1:1" customFormat="1">
      <c r="A2475" s="13" t="s">
        <v>4206</v>
      </c>
    </row>
    <row r="2476" spans="1:1" customFormat="1">
      <c r="A2476" s="13" t="s">
        <v>4207</v>
      </c>
    </row>
    <row r="2477" spans="1:1" customFormat="1">
      <c r="A2477" s="13" t="s">
        <v>4208</v>
      </c>
    </row>
    <row r="2478" spans="1:1" customFormat="1">
      <c r="A2478" s="13" t="s">
        <v>4209</v>
      </c>
    </row>
    <row r="2479" spans="1:1" customFormat="1">
      <c r="A2479" s="13" t="s">
        <v>4210</v>
      </c>
    </row>
    <row r="2480" spans="1:1" customFormat="1">
      <c r="A2480" s="13" t="s">
        <v>4211</v>
      </c>
    </row>
    <row r="2481" spans="1:1" customFormat="1">
      <c r="A2481" s="13" t="s">
        <v>4212</v>
      </c>
    </row>
    <row r="2482" spans="1:1" customFormat="1">
      <c r="A2482" s="13" t="s">
        <v>4213</v>
      </c>
    </row>
    <row r="2483" spans="1:1" customFormat="1">
      <c r="A2483" s="13" t="s">
        <v>4214</v>
      </c>
    </row>
    <row r="2484" spans="1:1" customFormat="1">
      <c r="A2484" s="13" t="s">
        <v>4215</v>
      </c>
    </row>
    <row r="2485" spans="1:1" customFormat="1">
      <c r="A2485" s="13" t="s">
        <v>4216</v>
      </c>
    </row>
    <row r="2486" spans="1:1" customFormat="1">
      <c r="A2486" s="13" t="s">
        <v>4217</v>
      </c>
    </row>
    <row r="2487" spans="1:1" customFormat="1">
      <c r="A2487" s="13" t="s">
        <v>4218</v>
      </c>
    </row>
    <row r="2488" spans="1:1" customFormat="1">
      <c r="A2488" s="13" t="s">
        <v>4219</v>
      </c>
    </row>
    <row r="2489" spans="1:1" customFormat="1">
      <c r="A2489" s="13" t="s">
        <v>4220</v>
      </c>
    </row>
    <row r="2490" spans="1:1" customFormat="1">
      <c r="A2490" s="13" t="s">
        <v>4221</v>
      </c>
    </row>
    <row r="2491" spans="1:1" customFormat="1">
      <c r="A2491" s="13" t="s">
        <v>4222</v>
      </c>
    </row>
    <row r="2492" spans="1:1" customFormat="1">
      <c r="A2492" s="13" t="s">
        <v>4223</v>
      </c>
    </row>
    <row r="2493" spans="1:1" customFormat="1">
      <c r="A2493" s="13" t="s">
        <v>4224</v>
      </c>
    </row>
    <row r="2494" spans="1:1" customFormat="1">
      <c r="A2494" s="13" t="s">
        <v>4225</v>
      </c>
    </row>
    <row r="2495" spans="1:1" customFormat="1">
      <c r="A2495" s="13" t="s">
        <v>4226</v>
      </c>
    </row>
    <row r="2496" spans="1:1" customFormat="1">
      <c r="A2496" s="13" t="s">
        <v>4227</v>
      </c>
    </row>
    <row r="2497" spans="1:1" customFormat="1">
      <c r="A2497" s="13" t="s">
        <v>4228</v>
      </c>
    </row>
    <row r="2498" spans="1:1" customFormat="1">
      <c r="A2498" s="13" t="s">
        <v>4229</v>
      </c>
    </row>
    <row r="2499" spans="1:1" customFormat="1">
      <c r="A2499" s="13" t="s">
        <v>4230</v>
      </c>
    </row>
    <row r="2500" spans="1:1" customFormat="1">
      <c r="A2500" s="13" t="s">
        <v>4231</v>
      </c>
    </row>
    <row r="2501" spans="1:1" customFormat="1">
      <c r="A2501" s="13" t="s">
        <v>4232</v>
      </c>
    </row>
    <row r="2502" spans="1:1" customFormat="1">
      <c r="A2502" s="13" t="s">
        <v>4233</v>
      </c>
    </row>
    <row r="2503" spans="1:1" customFormat="1">
      <c r="A2503" s="13" t="s">
        <v>4234</v>
      </c>
    </row>
    <row r="2504" spans="1:1" customFormat="1">
      <c r="A2504" s="13" t="s">
        <v>4235</v>
      </c>
    </row>
    <row r="2505" spans="1:1" customFormat="1">
      <c r="A2505" s="13" t="s">
        <v>4236</v>
      </c>
    </row>
    <row r="2506" spans="1:1" customFormat="1">
      <c r="A2506" s="13" t="s">
        <v>4237</v>
      </c>
    </row>
    <row r="2507" spans="1:1" customFormat="1">
      <c r="A2507" s="13" t="s">
        <v>4238</v>
      </c>
    </row>
    <row r="2508" spans="1:1" customFormat="1">
      <c r="A2508" s="13" t="s">
        <v>4239</v>
      </c>
    </row>
    <row r="2509" spans="1:1" customFormat="1">
      <c r="A2509" s="13" t="s">
        <v>4240</v>
      </c>
    </row>
    <row r="2510" spans="1:1" customFormat="1">
      <c r="A2510" s="13" t="s">
        <v>4241</v>
      </c>
    </row>
    <row r="2511" spans="1:1" customFormat="1">
      <c r="A2511" s="13" t="s">
        <v>4242</v>
      </c>
    </row>
    <row r="2512" spans="1:1" customFormat="1">
      <c r="A2512" s="13" t="s">
        <v>4243</v>
      </c>
    </row>
    <row r="2513" spans="1:1" customFormat="1">
      <c r="A2513" s="13" t="s">
        <v>4244</v>
      </c>
    </row>
    <row r="2514" spans="1:1" customFormat="1">
      <c r="A2514" s="13" t="s">
        <v>4245</v>
      </c>
    </row>
    <row r="2515" spans="1:1" customFormat="1">
      <c r="A2515" s="13" t="s">
        <v>4246</v>
      </c>
    </row>
    <row r="2516" spans="1:1" customFormat="1">
      <c r="A2516" s="13" t="s">
        <v>4247</v>
      </c>
    </row>
    <row r="2517" spans="1:1" customFormat="1">
      <c r="A2517" s="13" t="s">
        <v>4248</v>
      </c>
    </row>
    <row r="2518" spans="1:1" customFormat="1">
      <c r="A2518" s="13" t="s">
        <v>4249</v>
      </c>
    </row>
    <row r="2519" spans="1:1" customFormat="1">
      <c r="A2519" s="13"/>
    </row>
    <row r="2520" spans="1:1" customFormat="1">
      <c r="A2520" s="13" t="s">
        <v>4250</v>
      </c>
    </row>
    <row r="2521" spans="1:1" customFormat="1">
      <c r="A2521" s="13" t="s">
        <v>4251</v>
      </c>
    </row>
    <row r="2522" spans="1:1" customFormat="1">
      <c r="A2522" s="13" t="s">
        <v>4252</v>
      </c>
    </row>
    <row r="2523" spans="1:1" customFormat="1">
      <c r="A2523" s="13" t="s">
        <v>4253</v>
      </c>
    </row>
    <row r="2524" spans="1:1" customFormat="1">
      <c r="A2524" s="13" t="s">
        <v>4254</v>
      </c>
    </row>
    <row r="2525" spans="1:1" customFormat="1">
      <c r="A2525" s="13" t="s">
        <v>4255</v>
      </c>
    </row>
    <row r="2526" spans="1:1" customFormat="1">
      <c r="A2526" s="13" t="s">
        <v>4256</v>
      </c>
    </row>
    <row r="2527" spans="1:1" customFormat="1">
      <c r="A2527" s="13" t="s">
        <v>4257</v>
      </c>
    </row>
    <row r="2528" spans="1:1" customFormat="1">
      <c r="A2528" s="13" t="s">
        <v>4258</v>
      </c>
    </row>
    <row r="2529" spans="1:1" customFormat="1">
      <c r="A2529" s="13" t="s">
        <v>4259</v>
      </c>
    </row>
    <row r="2530" spans="1:1" customFormat="1">
      <c r="A2530" s="13" t="s">
        <v>4260</v>
      </c>
    </row>
    <row r="2531" spans="1:1" customFormat="1">
      <c r="A2531" s="13" t="s">
        <v>4261</v>
      </c>
    </row>
    <row r="2532" spans="1:1" customFormat="1">
      <c r="A2532" s="13" t="s">
        <v>4262</v>
      </c>
    </row>
    <row r="2533" spans="1:1" customFormat="1">
      <c r="A2533" s="13" t="s">
        <v>4263</v>
      </c>
    </row>
    <row r="2534" spans="1:1" customFormat="1">
      <c r="A2534" s="13" t="s">
        <v>4264</v>
      </c>
    </row>
    <row r="2535" spans="1:1" customFormat="1">
      <c r="A2535" s="13" t="s">
        <v>4265</v>
      </c>
    </row>
    <row r="2536" spans="1:1" customFormat="1">
      <c r="A2536" s="13" t="s">
        <v>4266</v>
      </c>
    </row>
    <row r="2537" spans="1:1" customFormat="1">
      <c r="A2537" s="13" t="s">
        <v>4267</v>
      </c>
    </row>
    <row r="2538" spans="1:1" customFormat="1">
      <c r="A2538" s="13" t="s">
        <v>4268</v>
      </c>
    </row>
    <row r="2539" spans="1:1" customFormat="1">
      <c r="A2539" s="13" t="s">
        <v>4269</v>
      </c>
    </row>
    <row r="2540" spans="1:1" customFormat="1">
      <c r="A2540" s="13" t="s">
        <v>4270</v>
      </c>
    </row>
    <row r="2541" spans="1:1" customFormat="1">
      <c r="A2541" s="13" t="s">
        <v>4271</v>
      </c>
    </row>
    <row r="2542" spans="1:1" customFormat="1">
      <c r="A2542" s="13" t="s">
        <v>4272</v>
      </c>
    </row>
    <row r="2543" spans="1:1" customFormat="1">
      <c r="A2543" s="13" t="s">
        <v>4273</v>
      </c>
    </row>
    <row r="2544" spans="1:1" customFormat="1">
      <c r="A2544" s="13" t="s">
        <v>4274</v>
      </c>
    </row>
    <row r="2545" spans="1:1" customFormat="1">
      <c r="A2545" s="13" t="s">
        <v>4275</v>
      </c>
    </row>
    <row r="2546" spans="1:1" customFormat="1">
      <c r="A2546" s="13" t="s">
        <v>4276</v>
      </c>
    </row>
    <row r="2547" spans="1:1" customFormat="1">
      <c r="A2547" s="13" t="s">
        <v>4277</v>
      </c>
    </row>
    <row r="2548" spans="1:1" customFormat="1">
      <c r="A2548" s="13" t="s">
        <v>4278</v>
      </c>
    </row>
    <row r="2549" spans="1:1" customFormat="1">
      <c r="A2549" s="13" t="s">
        <v>4279</v>
      </c>
    </row>
    <row r="2550" spans="1:1" customFormat="1">
      <c r="A2550" s="13" t="s">
        <v>4280</v>
      </c>
    </row>
    <row r="2551" spans="1:1" customFormat="1">
      <c r="A2551" s="13" t="s">
        <v>4281</v>
      </c>
    </row>
    <row r="2552" spans="1:1" customFormat="1">
      <c r="A2552" s="13" t="s">
        <v>4282</v>
      </c>
    </row>
    <row r="2553" spans="1:1" customFormat="1">
      <c r="A2553" s="13" t="s">
        <v>4283</v>
      </c>
    </row>
    <row r="2554" spans="1:1" customFormat="1">
      <c r="A2554" s="13" t="s">
        <v>4284</v>
      </c>
    </row>
    <row r="2555" spans="1:1" customFormat="1">
      <c r="A2555" s="13" t="s">
        <v>4285</v>
      </c>
    </row>
    <row r="2556" spans="1:1" customFormat="1">
      <c r="A2556" s="13" t="s">
        <v>4286</v>
      </c>
    </row>
    <row r="2557" spans="1:1" customFormat="1">
      <c r="A2557" s="13" t="s">
        <v>4287</v>
      </c>
    </row>
    <row r="2558" spans="1:1" customFormat="1">
      <c r="A2558" s="13" t="s">
        <v>4288</v>
      </c>
    </row>
    <row r="2559" spans="1:1" customFormat="1">
      <c r="A2559" s="13" t="s">
        <v>4289</v>
      </c>
    </row>
    <row r="2560" spans="1:1" customFormat="1">
      <c r="A2560" s="13" t="s">
        <v>4290</v>
      </c>
    </row>
    <row r="2561" spans="1:1" customFormat="1">
      <c r="A2561" s="13" t="s">
        <v>4291</v>
      </c>
    </row>
    <row r="2562" spans="1:1" customFormat="1">
      <c r="A2562" s="13" t="s">
        <v>4292</v>
      </c>
    </row>
    <row r="2563" spans="1:1" customFormat="1">
      <c r="A2563" s="13" t="s">
        <v>4293</v>
      </c>
    </row>
    <row r="2564" spans="1:1" customFormat="1">
      <c r="A2564" s="13" t="s">
        <v>4294</v>
      </c>
    </row>
    <row r="2565" spans="1:1" customFormat="1">
      <c r="A2565" s="13" t="s">
        <v>4295</v>
      </c>
    </row>
    <row r="2566" spans="1:1" customFormat="1">
      <c r="A2566" s="13" t="s">
        <v>4296</v>
      </c>
    </row>
    <row r="2567" spans="1:1" customFormat="1">
      <c r="A2567" s="13" t="s">
        <v>4297</v>
      </c>
    </row>
    <row r="2568" spans="1:1" customFormat="1">
      <c r="A2568" s="13" t="s">
        <v>4298</v>
      </c>
    </row>
    <row r="2569" spans="1:1" customFormat="1">
      <c r="A2569" s="13" t="s">
        <v>4299</v>
      </c>
    </row>
    <row r="2570" spans="1:1" customFormat="1">
      <c r="A2570" s="13" t="s">
        <v>4300</v>
      </c>
    </row>
    <row r="2571" spans="1:1" customFormat="1">
      <c r="A2571" s="13" t="s">
        <v>4301</v>
      </c>
    </row>
    <row r="2572" spans="1:1" customFormat="1">
      <c r="A2572" s="13" t="s">
        <v>4302</v>
      </c>
    </row>
    <row r="2573" spans="1:1" customFormat="1">
      <c r="A2573" s="13" t="s">
        <v>4303</v>
      </c>
    </row>
    <row r="2574" spans="1:1" customFormat="1">
      <c r="A2574" s="13" t="s">
        <v>4304</v>
      </c>
    </row>
    <row r="2575" spans="1:1" customFormat="1">
      <c r="A2575" s="13" t="s">
        <v>4305</v>
      </c>
    </row>
    <row r="2576" spans="1:1" customFormat="1">
      <c r="A2576" s="13" t="s">
        <v>4306</v>
      </c>
    </row>
    <row r="2577" spans="1:1" customFormat="1">
      <c r="A2577" s="13" t="s">
        <v>4307</v>
      </c>
    </row>
    <row r="2578" spans="1:1" customFormat="1">
      <c r="A2578" s="13" t="s">
        <v>4308</v>
      </c>
    </row>
    <row r="2579" spans="1:1" customFormat="1">
      <c r="A2579" s="13" t="s">
        <v>4309</v>
      </c>
    </row>
    <row r="2580" spans="1:1" customFormat="1">
      <c r="A2580" s="13" t="s">
        <v>4310</v>
      </c>
    </row>
    <row r="2581" spans="1:1" customFormat="1">
      <c r="A2581" s="13" t="s">
        <v>4311</v>
      </c>
    </row>
    <row r="2582" spans="1:1" customFormat="1">
      <c r="A2582" s="13" t="s">
        <v>4312</v>
      </c>
    </row>
    <row r="2583" spans="1:1" customFormat="1">
      <c r="A2583" s="13" t="s">
        <v>4313</v>
      </c>
    </row>
    <row r="2584" spans="1:1" customFormat="1">
      <c r="A2584" s="13" t="s">
        <v>4314</v>
      </c>
    </row>
    <row r="2585" spans="1:1" customFormat="1">
      <c r="A2585" s="13" t="s">
        <v>4315</v>
      </c>
    </row>
    <row r="2586" spans="1:1" customFormat="1">
      <c r="A2586" s="13" t="s">
        <v>4316</v>
      </c>
    </row>
    <row r="2587" spans="1:1" customFormat="1">
      <c r="A2587" s="13" t="s">
        <v>4317</v>
      </c>
    </row>
    <row r="2588" spans="1:1" customFormat="1">
      <c r="A2588" s="13" t="s">
        <v>4318</v>
      </c>
    </row>
    <row r="2589" spans="1:1" customFormat="1">
      <c r="A2589" s="13" t="s">
        <v>4319</v>
      </c>
    </row>
    <row r="2590" spans="1:1" customFormat="1">
      <c r="A2590" s="13" t="s">
        <v>4320</v>
      </c>
    </row>
    <row r="2591" spans="1:1" customFormat="1">
      <c r="A2591" s="13" t="s">
        <v>4321</v>
      </c>
    </row>
    <row r="2592" spans="1:1" customFormat="1">
      <c r="A2592" s="13" t="s">
        <v>4322</v>
      </c>
    </row>
    <row r="2593" spans="1:1" customFormat="1">
      <c r="A2593" s="13" t="s">
        <v>4323</v>
      </c>
    </row>
    <row r="2594" spans="1:1" customFormat="1">
      <c r="A2594" s="13" t="s">
        <v>4324</v>
      </c>
    </row>
    <row r="2595" spans="1:1" customFormat="1">
      <c r="A2595" s="13" t="s">
        <v>4325</v>
      </c>
    </row>
    <row r="2596" spans="1:1" customFormat="1">
      <c r="A2596" s="13" t="s">
        <v>4326</v>
      </c>
    </row>
    <row r="2597" spans="1:1" customFormat="1">
      <c r="A2597" s="13" t="s">
        <v>4327</v>
      </c>
    </row>
    <row r="2598" spans="1:1" customFormat="1">
      <c r="A2598" s="13" t="s">
        <v>4328</v>
      </c>
    </row>
    <row r="2599" spans="1:1" customFormat="1">
      <c r="A2599" s="13" t="s">
        <v>4329</v>
      </c>
    </row>
    <row r="2600" spans="1:1" customFormat="1">
      <c r="A2600" s="13" t="s">
        <v>4330</v>
      </c>
    </row>
    <row r="2601" spans="1:1" customFormat="1">
      <c r="A2601" s="13" t="s">
        <v>4331</v>
      </c>
    </row>
    <row r="2602" spans="1:1" customFormat="1">
      <c r="A2602" s="13" t="s">
        <v>4332</v>
      </c>
    </row>
    <row r="2603" spans="1:1" customFormat="1">
      <c r="A2603" s="13" t="s">
        <v>4333</v>
      </c>
    </row>
    <row r="2604" spans="1:1" customFormat="1">
      <c r="A2604" s="13" t="s">
        <v>4334</v>
      </c>
    </row>
    <row r="2605" spans="1:1" customFormat="1">
      <c r="A2605" s="13" t="s">
        <v>4335</v>
      </c>
    </row>
    <row r="2606" spans="1:1" customFormat="1">
      <c r="A2606" s="13" t="s">
        <v>4336</v>
      </c>
    </row>
    <row r="2607" spans="1:1" customFormat="1">
      <c r="A2607" s="13" t="s">
        <v>4337</v>
      </c>
    </row>
    <row r="2608" spans="1:1" customFormat="1">
      <c r="A2608" s="13" t="s">
        <v>4338</v>
      </c>
    </row>
    <row r="2609" spans="1:1" customFormat="1">
      <c r="A2609" s="13" t="s">
        <v>4339</v>
      </c>
    </row>
    <row r="2610" spans="1:1" customFormat="1">
      <c r="A2610" s="13" t="s">
        <v>4340</v>
      </c>
    </row>
    <row r="2611" spans="1:1" customFormat="1">
      <c r="A2611" s="13" t="s">
        <v>4341</v>
      </c>
    </row>
    <row r="2612" spans="1:1" customFormat="1">
      <c r="A2612" s="13" t="s">
        <v>4342</v>
      </c>
    </row>
    <row r="2613" spans="1:1" customFormat="1">
      <c r="A2613" s="13" t="s">
        <v>4343</v>
      </c>
    </row>
    <row r="2614" spans="1:1" customFormat="1">
      <c r="A2614" s="13" t="s">
        <v>4344</v>
      </c>
    </row>
    <row r="2615" spans="1:1" customFormat="1">
      <c r="A2615" s="13" t="s">
        <v>4345</v>
      </c>
    </row>
    <row r="2616" spans="1:1" customFormat="1">
      <c r="A2616" s="13" t="s">
        <v>4346</v>
      </c>
    </row>
    <row r="2617" spans="1:1" customFormat="1">
      <c r="A2617" s="13" t="s">
        <v>4347</v>
      </c>
    </row>
    <row r="2618" spans="1:1" customFormat="1">
      <c r="A2618" s="13" t="s">
        <v>4348</v>
      </c>
    </row>
    <row r="2619" spans="1:1" customFormat="1">
      <c r="A2619" s="13" t="s">
        <v>4349</v>
      </c>
    </row>
    <row r="2620" spans="1:1" customFormat="1">
      <c r="A2620" s="13" t="s">
        <v>4350</v>
      </c>
    </row>
    <row r="2621" spans="1:1" customFormat="1">
      <c r="A2621" s="13" t="s">
        <v>4351</v>
      </c>
    </row>
    <row r="2622" spans="1:1" customFormat="1">
      <c r="A2622" s="13" t="s">
        <v>4352</v>
      </c>
    </row>
    <row r="2623" spans="1:1" customFormat="1">
      <c r="A2623" s="13" t="s">
        <v>4353</v>
      </c>
    </row>
    <row r="2624" spans="1:1" customFormat="1">
      <c r="A2624" s="13" t="s">
        <v>4354</v>
      </c>
    </row>
    <row r="2625" spans="1:1" customFormat="1">
      <c r="A2625" s="13" t="s">
        <v>4355</v>
      </c>
    </row>
    <row r="2626" spans="1:1" customFormat="1">
      <c r="A2626" s="13" t="s">
        <v>4356</v>
      </c>
    </row>
    <row r="2627" spans="1:1" customFormat="1">
      <c r="A2627" s="13" t="s">
        <v>4357</v>
      </c>
    </row>
    <row r="2628" spans="1:1" customFormat="1">
      <c r="A2628" s="13" t="s">
        <v>4358</v>
      </c>
    </row>
    <row r="2629" spans="1:1" customFormat="1">
      <c r="A2629" s="13" t="s">
        <v>4359</v>
      </c>
    </row>
    <row r="2630" spans="1:1" customFormat="1">
      <c r="A2630" s="13" t="s">
        <v>4360</v>
      </c>
    </row>
    <row r="2631" spans="1:1" customFormat="1">
      <c r="A2631" s="13" t="s">
        <v>4361</v>
      </c>
    </row>
    <row r="2632" spans="1:1" customFormat="1">
      <c r="A2632" s="13" t="s">
        <v>4362</v>
      </c>
    </row>
    <row r="2633" spans="1:1" customFormat="1">
      <c r="A2633" s="13" t="s">
        <v>4363</v>
      </c>
    </row>
    <row r="2634" spans="1:1" customFormat="1">
      <c r="A2634" s="13" t="s">
        <v>4364</v>
      </c>
    </row>
    <row r="2635" spans="1:1" customFormat="1">
      <c r="A2635" s="13" t="s">
        <v>4365</v>
      </c>
    </row>
    <row r="2636" spans="1:1" customFormat="1">
      <c r="A2636" s="13" t="s">
        <v>4366</v>
      </c>
    </row>
    <row r="2637" spans="1:1" customFormat="1">
      <c r="A2637" s="13" t="s">
        <v>4367</v>
      </c>
    </row>
    <row r="2638" spans="1:1" customFormat="1">
      <c r="A2638" s="13" t="s">
        <v>4368</v>
      </c>
    </row>
    <row r="2639" spans="1:1" customFormat="1">
      <c r="A2639" s="13" t="s">
        <v>4369</v>
      </c>
    </row>
    <row r="2640" spans="1:1" customFormat="1">
      <c r="A2640" s="13" t="s">
        <v>4370</v>
      </c>
    </row>
    <row r="2641" spans="1:1" customFormat="1">
      <c r="A2641" s="13" t="s">
        <v>4371</v>
      </c>
    </row>
    <row r="2642" spans="1:1" customFormat="1">
      <c r="A2642" s="13" t="s">
        <v>4372</v>
      </c>
    </row>
    <row r="2643" spans="1:1" customFormat="1">
      <c r="A2643" s="13" t="s">
        <v>4373</v>
      </c>
    </row>
    <row r="2644" spans="1:1" customFormat="1">
      <c r="A2644" s="13" t="s">
        <v>4374</v>
      </c>
    </row>
    <row r="2645" spans="1:1" customFormat="1">
      <c r="A2645" s="13" t="s">
        <v>4375</v>
      </c>
    </row>
    <row r="2646" spans="1:1" customFormat="1">
      <c r="A2646" s="13" t="s">
        <v>4376</v>
      </c>
    </row>
    <row r="2647" spans="1:1" customFormat="1">
      <c r="A2647" s="13" t="s">
        <v>4377</v>
      </c>
    </row>
    <row r="2648" spans="1:1" customFormat="1">
      <c r="A2648" s="13" t="s">
        <v>4378</v>
      </c>
    </row>
    <row r="2649" spans="1:1" customFormat="1">
      <c r="A2649" s="13" t="s">
        <v>4379</v>
      </c>
    </row>
    <row r="2650" spans="1:1" customFormat="1">
      <c r="A2650" s="13" t="s">
        <v>4380</v>
      </c>
    </row>
    <row r="2651" spans="1:1" customFormat="1">
      <c r="A2651" s="13" t="s">
        <v>4381</v>
      </c>
    </row>
    <row r="2652" spans="1:1" customFormat="1">
      <c r="A2652" s="13" t="s">
        <v>4382</v>
      </c>
    </row>
    <row r="2653" spans="1:1" customFormat="1">
      <c r="A2653" s="13" t="s">
        <v>4383</v>
      </c>
    </row>
    <row r="2654" spans="1:1" customFormat="1">
      <c r="A2654" s="13" t="s">
        <v>4384</v>
      </c>
    </row>
    <row r="2655" spans="1:1" customFormat="1">
      <c r="A2655" s="13" t="s">
        <v>4385</v>
      </c>
    </row>
    <row r="2656" spans="1:1" customFormat="1">
      <c r="A2656" s="13" t="s">
        <v>4386</v>
      </c>
    </row>
    <row r="2657" spans="1:1" customFormat="1">
      <c r="A2657" s="13" t="s">
        <v>4387</v>
      </c>
    </row>
    <row r="2658" spans="1:1" customFormat="1">
      <c r="A2658" s="13" t="s">
        <v>4388</v>
      </c>
    </row>
    <row r="2659" spans="1:1" customFormat="1">
      <c r="A2659" s="13" t="s">
        <v>4389</v>
      </c>
    </row>
    <row r="2660" spans="1:1" customFormat="1">
      <c r="A2660" s="13" t="s">
        <v>4390</v>
      </c>
    </row>
    <row r="2661" spans="1:1" customFormat="1">
      <c r="A2661" s="13" t="s">
        <v>4391</v>
      </c>
    </row>
    <row r="2662" spans="1:1" customFormat="1">
      <c r="A2662" s="13" t="s">
        <v>4392</v>
      </c>
    </row>
    <row r="2663" spans="1:1" customFormat="1">
      <c r="A2663" s="13" t="s">
        <v>4393</v>
      </c>
    </row>
    <row r="2664" spans="1:1" customFormat="1">
      <c r="A2664" s="13" t="s">
        <v>4394</v>
      </c>
    </row>
    <row r="2665" spans="1:1" customFormat="1">
      <c r="A2665" s="13" t="s">
        <v>4395</v>
      </c>
    </row>
    <row r="2666" spans="1:1" customFormat="1">
      <c r="A2666" s="13" t="s">
        <v>4396</v>
      </c>
    </row>
    <row r="2667" spans="1:1" customFormat="1">
      <c r="A2667" s="13" t="s">
        <v>4397</v>
      </c>
    </row>
    <row r="2668" spans="1:1" customFormat="1">
      <c r="A2668" s="13" t="s">
        <v>4398</v>
      </c>
    </row>
    <row r="2669" spans="1:1" customFormat="1">
      <c r="A2669" s="13" t="s">
        <v>4399</v>
      </c>
    </row>
    <row r="2670" spans="1:1" customFormat="1">
      <c r="A2670" s="13" t="s">
        <v>4400</v>
      </c>
    </row>
    <row r="2671" spans="1:1" customFormat="1">
      <c r="A2671" s="13" t="s">
        <v>4401</v>
      </c>
    </row>
    <row r="2672" spans="1:1" customFormat="1">
      <c r="A2672" s="13" t="s">
        <v>4402</v>
      </c>
    </row>
    <row r="2673" spans="1:1" customFormat="1">
      <c r="A2673" s="13" t="s">
        <v>4403</v>
      </c>
    </row>
    <row r="2674" spans="1:1" customFormat="1">
      <c r="A2674" s="13" t="s">
        <v>4404</v>
      </c>
    </row>
    <row r="2675" spans="1:1" customFormat="1">
      <c r="A2675" s="13" t="s">
        <v>4405</v>
      </c>
    </row>
    <row r="2676" spans="1:1" customFormat="1">
      <c r="A2676" s="13" t="s">
        <v>4406</v>
      </c>
    </row>
    <row r="2677" spans="1:1" customFormat="1">
      <c r="A2677" s="13" t="s">
        <v>4407</v>
      </c>
    </row>
    <row r="2678" spans="1:1" customFormat="1">
      <c r="A2678" s="13" t="s">
        <v>4408</v>
      </c>
    </row>
    <row r="2679" spans="1:1" customFormat="1">
      <c r="A2679" s="13" t="s">
        <v>4409</v>
      </c>
    </row>
    <row r="2680" spans="1:1" customFormat="1">
      <c r="A2680" s="13" t="s">
        <v>4410</v>
      </c>
    </row>
    <row r="2681" spans="1:1" customFormat="1">
      <c r="A2681" s="13" t="s">
        <v>4411</v>
      </c>
    </row>
    <row r="2682" spans="1:1" customFormat="1">
      <c r="A2682" s="13" t="s">
        <v>4412</v>
      </c>
    </row>
    <row r="2683" spans="1:1" customFormat="1">
      <c r="A2683" s="13" t="s">
        <v>4413</v>
      </c>
    </row>
    <row r="2684" spans="1:1" customFormat="1">
      <c r="A2684" s="13" t="s">
        <v>4414</v>
      </c>
    </row>
    <row r="2685" spans="1:1" customFormat="1">
      <c r="A2685" s="13" t="s">
        <v>4415</v>
      </c>
    </row>
    <row r="2686" spans="1:1" customFormat="1">
      <c r="A2686" s="13" t="s">
        <v>4416</v>
      </c>
    </row>
    <row r="2687" spans="1:1" customFormat="1">
      <c r="A2687" s="13" t="s">
        <v>4417</v>
      </c>
    </row>
    <row r="2688" spans="1:1" customFormat="1">
      <c r="A2688" s="13" t="s">
        <v>4418</v>
      </c>
    </row>
    <row r="2689" spans="1:1" customFormat="1">
      <c r="A2689" s="13" t="s">
        <v>4419</v>
      </c>
    </row>
    <row r="2690" spans="1:1" customFormat="1">
      <c r="A2690" s="13" t="s">
        <v>4420</v>
      </c>
    </row>
    <row r="2691" spans="1:1" customFormat="1">
      <c r="A2691" s="13" t="s">
        <v>4421</v>
      </c>
    </row>
    <row r="2692" spans="1:1" customFormat="1">
      <c r="A2692" s="13" t="s">
        <v>4422</v>
      </c>
    </row>
    <row r="2693" spans="1:1" customFormat="1">
      <c r="A2693" s="13" t="s">
        <v>4423</v>
      </c>
    </row>
    <row r="2694" spans="1:1" customFormat="1">
      <c r="A2694" s="13" t="s">
        <v>4424</v>
      </c>
    </row>
    <row r="2695" spans="1:1" customFormat="1">
      <c r="A2695" s="13" t="s">
        <v>4425</v>
      </c>
    </row>
    <row r="2696" spans="1:1" customFormat="1">
      <c r="A2696" s="13" t="s">
        <v>4426</v>
      </c>
    </row>
    <row r="2697" spans="1:1" customFormat="1">
      <c r="A2697" s="13" t="s">
        <v>4427</v>
      </c>
    </row>
    <row r="2698" spans="1:1" customFormat="1">
      <c r="A2698" s="13" t="s">
        <v>4428</v>
      </c>
    </row>
    <row r="2699" spans="1:1" customFormat="1">
      <c r="A2699" s="13" t="s">
        <v>4429</v>
      </c>
    </row>
    <row r="2700" spans="1:1" customFormat="1">
      <c r="A2700" s="13" t="s">
        <v>4430</v>
      </c>
    </row>
    <row r="2701" spans="1:1" customFormat="1">
      <c r="A2701" s="13" t="s">
        <v>4431</v>
      </c>
    </row>
    <row r="2702" spans="1:1" customFormat="1">
      <c r="A2702" s="13" t="s">
        <v>4432</v>
      </c>
    </row>
    <row r="2703" spans="1:1" customFormat="1">
      <c r="A2703" s="13" t="s">
        <v>4433</v>
      </c>
    </row>
    <row r="2704" spans="1:1" customFormat="1">
      <c r="A2704" s="13" t="s">
        <v>4434</v>
      </c>
    </row>
    <row r="2705" spans="1:8" customFormat="1">
      <c r="A2705" s="13" t="s">
        <v>4435</v>
      </c>
    </row>
    <row r="2706" spans="1:8" customFormat="1">
      <c r="A2706" s="13" t="s">
        <v>4436</v>
      </c>
    </row>
    <row r="2707" spans="1:8" customFormat="1">
      <c r="A2707" s="13" t="s">
        <v>4437</v>
      </c>
    </row>
    <row r="2708" spans="1:8" customFormat="1">
      <c r="A2708" s="13" t="s">
        <v>4438</v>
      </c>
    </row>
    <row r="2709" spans="1:8" customFormat="1">
      <c r="A2709" s="13" t="s">
        <v>4439</v>
      </c>
    </row>
    <row r="2710" spans="1:8" customFormat="1">
      <c r="A2710" s="13" t="s">
        <v>4440</v>
      </c>
    </row>
    <row r="2711" spans="1:8" customFormat="1">
      <c r="A2711" s="13" t="s">
        <v>4441</v>
      </c>
    </row>
    <row r="2712" spans="1:8" customFormat="1">
      <c r="A2712" s="13" t="s">
        <v>4442</v>
      </c>
    </row>
    <row r="2713" spans="1:8" customFormat="1">
      <c r="A2713" s="13"/>
    </row>
    <row r="2714" spans="1:8" customFormat="1">
      <c r="A2714" s="13" t="s">
        <v>4443</v>
      </c>
    </row>
    <row r="2715" spans="1:8" customFormat="1">
      <c r="A2715" s="13" t="s">
        <v>4444</v>
      </c>
    </row>
    <row r="2716" spans="1:8" customFormat="1">
      <c r="A2716" s="13" t="s">
        <v>4445</v>
      </c>
      <c r="B2716" s="13"/>
      <c r="C2716" s="13"/>
      <c r="D2716" s="13"/>
      <c r="E2716" s="13"/>
      <c r="F2716" s="13"/>
      <c r="G2716" s="13"/>
      <c r="H2716" s="13"/>
    </row>
    <row r="2717" spans="1:8" customFormat="1">
      <c r="A2717" s="13" t="s">
        <v>4446</v>
      </c>
      <c r="B2717" s="13"/>
      <c r="C2717" s="13"/>
      <c r="D2717" s="13"/>
      <c r="E2717" s="13"/>
      <c r="F2717" s="13"/>
      <c r="G2717" s="13"/>
      <c r="H2717" s="13"/>
    </row>
    <row r="2718" spans="1:8" customFormat="1">
      <c r="A2718" s="13" t="s">
        <v>4447</v>
      </c>
      <c r="B2718" s="13">
        <v>3</v>
      </c>
      <c r="C2718" s="13"/>
      <c r="D2718" s="13"/>
      <c r="E2718" s="13" t="s">
        <v>4448</v>
      </c>
      <c r="F2718" s="13">
        <v>3</v>
      </c>
      <c r="G2718" s="13" t="s">
        <v>981</v>
      </c>
      <c r="H2718" s="13" t="s">
        <v>46</v>
      </c>
    </row>
    <row r="2719" spans="1:8" customFormat="1">
      <c r="A2719" s="13" t="s">
        <v>4449</v>
      </c>
      <c r="B2719" s="13">
        <v>3</v>
      </c>
      <c r="C2719" s="13"/>
      <c r="D2719" s="13"/>
      <c r="E2719" s="13" t="s">
        <v>4450</v>
      </c>
      <c r="F2719" s="13">
        <v>4</v>
      </c>
      <c r="G2719" s="13" t="s">
        <v>983</v>
      </c>
      <c r="H2719" s="13" t="s">
        <v>46</v>
      </c>
    </row>
    <row r="2720" spans="1:8" customFormat="1">
      <c r="A2720" s="13" t="s">
        <v>4451</v>
      </c>
    </row>
    <row r="2721" spans="1:1" customFormat="1">
      <c r="A2721" s="13" t="s">
        <v>4452</v>
      </c>
    </row>
    <row r="2722" spans="1:1" customFormat="1">
      <c r="A2722" s="13" t="s">
        <v>4453</v>
      </c>
    </row>
    <row r="2723" spans="1:1" customFormat="1">
      <c r="A2723" s="13" t="s">
        <v>4454</v>
      </c>
    </row>
    <row r="2724" spans="1:1" customFormat="1">
      <c r="A2724" s="13" t="s">
        <v>4455</v>
      </c>
    </row>
    <row r="2725" spans="1:1" customFormat="1">
      <c r="A2725" s="13" t="s">
        <v>4456</v>
      </c>
    </row>
    <row r="2726" spans="1:1" customFormat="1">
      <c r="A2726" s="13" t="s">
        <v>4457</v>
      </c>
    </row>
    <row r="2727" spans="1:1" customFormat="1">
      <c r="A2727" s="13" t="s">
        <v>4458</v>
      </c>
    </row>
    <row r="2728" spans="1:1" customFormat="1">
      <c r="A2728" s="13" t="s">
        <v>4459</v>
      </c>
    </row>
    <row r="2729" spans="1:1" customFormat="1">
      <c r="A2729" s="13" t="s">
        <v>4460</v>
      </c>
    </row>
    <row r="2730" spans="1:1" customFormat="1">
      <c r="A2730" s="13" t="s">
        <v>4461</v>
      </c>
    </row>
    <row r="2731" spans="1:1" customFormat="1">
      <c r="A2731" s="13" t="s">
        <v>4462</v>
      </c>
    </row>
    <row r="2732" spans="1:1" customFormat="1">
      <c r="A2732" s="13" t="s">
        <v>4463</v>
      </c>
    </row>
    <row r="2733" spans="1:1" customFormat="1">
      <c r="A2733" s="13" t="s">
        <v>4464</v>
      </c>
    </row>
    <row r="2734" spans="1:1" customFormat="1">
      <c r="A2734" s="13" t="s">
        <v>4465</v>
      </c>
    </row>
    <row r="2735" spans="1:1" customFormat="1">
      <c r="A2735" s="13" t="s">
        <v>4466</v>
      </c>
    </row>
    <row r="2736" spans="1:1" customFormat="1">
      <c r="A2736" s="13" t="s">
        <v>4467</v>
      </c>
    </row>
    <row r="2737" spans="1:1" customFormat="1">
      <c r="A2737" s="13" t="s">
        <v>4468</v>
      </c>
    </row>
    <row r="2738" spans="1:1" customFormat="1">
      <c r="A2738" s="13" t="s">
        <v>4469</v>
      </c>
    </row>
    <row r="2739" spans="1:1" customFormat="1">
      <c r="A2739" s="13" t="s">
        <v>4470</v>
      </c>
    </row>
    <row r="2740" spans="1:1" customFormat="1">
      <c r="A2740" s="13" t="s">
        <v>4471</v>
      </c>
    </row>
    <row r="2741" spans="1:1" customFormat="1">
      <c r="A2741" s="13" t="s">
        <v>4472</v>
      </c>
    </row>
    <row r="2742" spans="1:1" customFormat="1">
      <c r="A2742" s="13" t="s">
        <v>4473</v>
      </c>
    </row>
    <row r="2743" spans="1:1" customFormat="1">
      <c r="A2743" s="13" t="s">
        <v>4474</v>
      </c>
    </row>
    <row r="2744" spans="1:1" customFormat="1">
      <c r="A2744" s="13" t="s">
        <v>4475</v>
      </c>
    </row>
    <row r="2745" spans="1:1" customFormat="1">
      <c r="A2745" s="13" t="s">
        <v>4476</v>
      </c>
    </row>
    <row r="2746" spans="1:1" customFormat="1">
      <c r="A2746" s="13" t="s">
        <v>4477</v>
      </c>
    </row>
    <row r="2747" spans="1:1" customFormat="1">
      <c r="A2747" s="13" t="s">
        <v>4478</v>
      </c>
    </row>
    <row r="2748" spans="1:1" customFormat="1">
      <c r="A2748" s="13" t="s">
        <v>4479</v>
      </c>
    </row>
    <row r="2749" spans="1:1" customFormat="1">
      <c r="A2749" s="13" t="s">
        <v>4480</v>
      </c>
    </row>
    <row r="2750" spans="1:1" customFormat="1">
      <c r="A2750" s="13" t="s">
        <v>4481</v>
      </c>
    </row>
    <row r="2751" spans="1:1" customFormat="1">
      <c r="A2751" s="13" t="s">
        <v>4482</v>
      </c>
    </row>
    <row r="2752" spans="1:1" customFormat="1">
      <c r="A2752" s="13" t="s">
        <v>4483</v>
      </c>
    </row>
    <row r="2753" spans="1:1" customFormat="1">
      <c r="A2753" s="13" t="s">
        <v>4484</v>
      </c>
    </row>
    <row r="2754" spans="1:1" customFormat="1">
      <c r="A2754" s="13" t="s">
        <v>4485</v>
      </c>
    </row>
    <row r="2755" spans="1:1" customFormat="1">
      <c r="A2755" s="13" t="s">
        <v>4486</v>
      </c>
    </row>
    <row r="2756" spans="1:1" customFormat="1">
      <c r="A2756" s="13" t="s">
        <v>4487</v>
      </c>
    </row>
    <row r="2757" spans="1:1" customFormat="1">
      <c r="A2757" s="13" t="s">
        <v>4488</v>
      </c>
    </row>
    <row r="2758" spans="1:1" customFormat="1">
      <c r="A2758" s="13" t="s">
        <v>4489</v>
      </c>
    </row>
    <row r="2759" spans="1:1" customFormat="1">
      <c r="A2759" s="13" t="s">
        <v>4490</v>
      </c>
    </row>
    <row r="2760" spans="1:1" customFormat="1">
      <c r="A2760" s="13" t="s">
        <v>4491</v>
      </c>
    </row>
    <row r="2761" spans="1:1" customFormat="1">
      <c r="A2761" s="13" t="s">
        <v>4492</v>
      </c>
    </row>
    <row r="2762" spans="1:1" customFormat="1">
      <c r="A2762" s="13" t="s">
        <v>4493</v>
      </c>
    </row>
    <row r="2763" spans="1:1" customFormat="1">
      <c r="A2763" s="13" t="s">
        <v>4494</v>
      </c>
    </row>
    <row r="2764" spans="1:1" customFormat="1">
      <c r="A2764" s="13" t="s">
        <v>4495</v>
      </c>
    </row>
    <row r="2765" spans="1:1" customFormat="1">
      <c r="A2765" s="13" t="s">
        <v>4496</v>
      </c>
    </row>
    <row r="2766" spans="1:1" customFormat="1">
      <c r="A2766" s="13" t="s">
        <v>4497</v>
      </c>
    </row>
    <row r="2767" spans="1:1" customFormat="1">
      <c r="A2767" s="13" t="s">
        <v>4498</v>
      </c>
    </row>
    <row r="2768" spans="1:1" customFormat="1">
      <c r="A2768" s="13" t="s">
        <v>4499</v>
      </c>
    </row>
    <row r="2769" spans="1:1" customFormat="1">
      <c r="A2769" s="13" t="s">
        <v>4500</v>
      </c>
    </row>
    <row r="2770" spans="1:1" customFormat="1">
      <c r="A2770" s="13" t="s">
        <v>4501</v>
      </c>
    </row>
    <row r="2771" spans="1:1" customFormat="1">
      <c r="A2771" s="13" t="s">
        <v>4502</v>
      </c>
    </row>
    <row r="2772" spans="1:1" customFormat="1">
      <c r="A2772" s="13" t="s">
        <v>4503</v>
      </c>
    </row>
    <row r="2773" spans="1:1" customFormat="1">
      <c r="A2773" s="13" t="s">
        <v>4504</v>
      </c>
    </row>
    <row r="2774" spans="1:1" customFormat="1">
      <c r="A2774" s="13" t="s">
        <v>4505</v>
      </c>
    </row>
    <row r="2775" spans="1:1" customFormat="1">
      <c r="A2775" s="13" t="s">
        <v>4506</v>
      </c>
    </row>
    <row r="2776" spans="1:1" customFormat="1">
      <c r="A2776" s="13" t="s">
        <v>4507</v>
      </c>
    </row>
    <row r="2777" spans="1:1" customFormat="1">
      <c r="A2777" s="13" t="s">
        <v>4508</v>
      </c>
    </row>
    <row r="2778" spans="1:1" customFormat="1">
      <c r="A2778" s="13" t="s">
        <v>4509</v>
      </c>
    </row>
    <row r="2779" spans="1:1" customFormat="1">
      <c r="A2779" s="13" t="s">
        <v>4510</v>
      </c>
    </row>
    <row r="2780" spans="1:1" customFormat="1">
      <c r="A2780" s="13" t="s">
        <v>4511</v>
      </c>
    </row>
    <row r="2781" spans="1:1" customFormat="1">
      <c r="A2781" s="13" t="s">
        <v>4512</v>
      </c>
    </row>
    <row r="2782" spans="1:1" customFormat="1">
      <c r="A2782" s="13" t="s">
        <v>4513</v>
      </c>
    </row>
    <row r="2783" spans="1:1" customFormat="1">
      <c r="A2783" s="13" t="s">
        <v>4514</v>
      </c>
    </row>
    <row r="2784" spans="1:1" customFormat="1">
      <c r="A2784" s="13" t="s">
        <v>4515</v>
      </c>
    </row>
    <row r="2785" spans="1:1" customFormat="1">
      <c r="A2785" s="13" t="s">
        <v>4516</v>
      </c>
    </row>
    <row r="2786" spans="1:1" customFormat="1">
      <c r="A2786" s="13" t="s">
        <v>4517</v>
      </c>
    </row>
    <row r="2787" spans="1:1" customFormat="1">
      <c r="A2787" s="13" t="s">
        <v>4518</v>
      </c>
    </row>
    <row r="2788" spans="1:1" customFormat="1">
      <c r="A2788" s="13" t="s">
        <v>4519</v>
      </c>
    </row>
    <row r="2789" spans="1:1" customFormat="1">
      <c r="A2789" s="13" t="s">
        <v>4520</v>
      </c>
    </row>
    <row r="2790" spans="1:1" customFormat="1">
      <c r="A2790" s="13" t="s">
        <v>4521</v>
      </c>
    </row>
    <row r="2791" spans="1:1" customFormat="1">
      <c r="A2791" s="13" t="s">
        <v>4522</v>
      </c>
    </row>
    <row r="2792" spans="1:1" customFormat="1">
      <c r="A2792" s="13" t="s">
        <v>4523</v>
      </c>
    </row>
    <row r="2793" spans="1:1" customFormat="1">
      <c r="A2793" s="13" t="s">
        <v>4524</v>
      </c>
    </row>
    <row r="2794" spans="1:1" customFormat="1">
      <c r="A2794" s="13" t="s">
        <v>4525</v>
      </c>
    </row>
    <row r="2795" spans="1:1" customFormat="1">
      <c r="A2795" s="13" t="s">
        <v>4526</v>
      </c>
    </row>
    <row r="2796" spans="1:1" customFormat="1">
      <c r="A2796" s="13" t="s">
        <v>4527</v>
      </c>
    </row>
    <row r="2797" spans="1:1" customFormat="1">
      <c r="A2797" s="13" t="s">
        <v>4528</v>
      </c>
    </row>
    <row r="2798" spans="1:1" customFormat="1">
      <c r="A2798" s="13" t="s">
        <v>4529</v>
      </c>
    </row>
    <row r="2799" spans="1:1" customFormat="1">
      <c r="A2799" s="13" t="s">
        <v>4530</v>
      </c>
    </row>
    <row r="2800" spans="1:1" customFormat="1">
      <c r="A2800" s="13" t="s">
        <v>4531</v>
      </c>
    </row>
    <row r="2801" spans="1:1" customFormat="1">
      <c r="A2801" s="13" t="s">
        <v>4532</v>
      </c>
    </row>
    <row r="2802" spans="1:1" customFormat="1">
      <c r="A2802" s="13" t="s">
        <v>4533</v>
      </c>
    </row>
    <row r="2803" spans="1:1" customFormat="1">
      <c r="A2803" s="13" t="s">
        <v>4534</v>
      </c>
    </row>
    <row r="2804" spans="1:1" customFormat="1">
      <c r="A2804" s="13" t="s">
        <v>4535</v>
      </c>
    </row>
    <row r="2805" spans="1:1" customFormat="1">
      <c r="A2805" s="13" t="s">
        <v>4536</v>
      </c>
    </row>
    <row r="2806" spans="1:1" customFormat="1">
      <c r="A2806" s="13" t="s">
        <v>4537</v>
      </c>
    </row>
    <row r="2807" spans="1:1" customFormat="1">
      <c r="A2807" s="13" t="s">
        <v>4538</v>
      </c>
    </row>
    <row r="2808" spans="1:1" customFormat="1">
      <c r="A2808" s="13" t="s">
        <v>4539</v>
      </c>
    </row>
    <row r="2809" spans="1:1" customFormat="1">
      <c r="A2809" s="13" t="s">
        <v>4540</v>
      </c>
    </row>
    <row r="2810" spans="1:1" customFormat="1">
      <c r="A2810" s="13" t="s">
        <v>4541</v>
      </c>
    </row>
    <row r="2811" spans="1:1" customFormat="1">
      <c r="A2811" s="13" t="s">
        <v>4542</v>
      </c>
    </row>
    <row r="2812" spans="1:1" customFormat="1">
      <c r="A2812" s="13" t="s">
        <v>4543</v>
      </c>
    </row>
    <row r="2813" spans="1:1" customFormat="1">
      <c r="A2813" s="13" t="s">
        <v>4544</v>
      </c>
    </row>
    <row r="2814" spans="1:1" customFormat="1">
      <c r="A2814" s="13" t="s">
        <v>4545</v>
      </c>
    </row>
    <row r="2815" spans="1:1" customFormat="1">
      <c r="A2815" s="13" t="s">
        <v>4546</v>
      </c>
    </row>
    <row r="2816" spans="1:1" customFormat="1">
      <c r="A2816" s="13" t="s">
        <v>4547</v>
      </c>
    </row>
    <row r="2817" spans="1:1" customFormat="1">
      <c r="A2817" s="13" t="s">
        <v>4548</v>
      </c>
    </row>
    <row r="2818" spans="1:1" customFormat="1">
      <c r="A2818" s="13" t="s">
        <v>4549</v>
      </c>
    </row>
    <row r="2819" spans="1:1" customFormat="1">
      <c r="A2819" s="13" t="s">
        <v>4550</v>
      </c>
    </row>
    <row r="2820" spans="1:1" customFormat="1">
      <c r="A2820" s="13" t="s">
        <v>4551</v>
      </c>
    </row>
    <row r="2821" spans="1:1" customFormat="1">
      <c r="A2821" s="13" t="s">
        <v>4552</v>
      </c>
    </row>
    <row r="2822" spans="1:1" customFormat="1">
      <c r="A2822" s="13" t="s">
        <v>4553</v>
      </c>
    </row>
    <row r="2823" spans="1:1" customFormat="1">
      <c r="A2823" s="13" t="s">
        <v>4554</v>
      </c>
    </row>
    <row r="2824" spans="1:1" customFormat="1">
      <c r="A2824" s="13" t="s">
        <v>4555</v>
      </c>
    </row>
    <row r="2825" spans="1:1" customFormat="1">
      <c r="A2825" s="13" t="s">
        <v>4556</v>
      </c>
    </row>
    <row r="2826" spans="1:1" customFormat="1">
      <c r="A2826" s="13" t="s">
        <v>4557</v>
      </c>
    </row>
    <row r="2827" spans="1:1" customFormat="1">
      <c r="A2827" s="13" t="s">
        <v>4558</v>
      </c>
    </row>
    <row r="2828" spans="1:1" customFormat="1">
      <c r="A2828" s="13" t="s">
        <v>4559</v>
      </c>
    </row>
    <row r="2829" spans="1:1" customFormat="1">
      <c r="A2829" s="13" t="s">
        <v>4560</v>
      </c>
    </row>
    <row r="2830" spans="1:1" customFormat="1">
      <c r="A2830" s="13" t="s">
        <v>4561</v>
      </c>
    </row>
    <row r="2831" spans="1:1" customFormat="1">
      <c r="A2831" s="13" t="s">
        <v>4562</v>
      </c>
    </row>
    <row r="2832" spans="1:1" customFormat="1">
      <c r="A2832" s="13" t="s">
        <v>4563</v>
      </c>
    </row>
    <row r="2833" spans="1:1" customFormat="1">
      <c r="A2833" s="13" t="s">
        <v>4564</v>
      </c>
    </row>
    <row r="2834" spans="1:1" customFormat="1">
      <c r="A2834" s="13" t="s">
        <v>4565</v>
      </c>
    </row>
    <row r="2835" spans="1:1" customFormat="1">
      <c r="A2835" s="13" t="s">
        <v>4566</v>
      </c>
    </row>
    <row r="2836" spans="1:1" customFormat="1">
      <c r="A2836" s="13" t="s">
        <v>4567</v>
      </c>
    </row>
    <row r="2837" spans="1:1" customFormat="1">
      <c r="A2837" s="13" t="s">
        <v>4568</v>
      </c>
    </row>
    <row r="2838" spans="1:1" customFormat="1">
      <c r="A2838" s="13" t="s">
        <v>4569</v>
      </c>
    </row>
    <row r="2839" spans="1:1" customFormat="1">
      <c r="A2839" s="13" t="s">
        <v>4570</v>
      </c>
    </row>
    <row r="2840" spans="1:1" customFormat="1">
      <c r="A2840" s="13" t="s">
        <v>4571</v>
      </c>
    </row>
    <row r="2841" spans="1:1" customFormat="1">
      <c r="A2841" s="13" t="s">
        <v>4572</v>
      </c>
    </row>
    <row r="2842" spans="1:1" customFormat="1">
      <c r="A2842" s="13" t="s">
        <v>4573</v>
      </c>
    </row>
    <row r="2843" spans="1:1" customFormat="1">
      <c r="A2843" s="13" t="s">
        <v>4574</v>
      </c>
    </row>
    <row r="2844" spans="1:1" customFormat="1">
      <c r="A2844" s="13" t="s">
        <v>4575</v>
      </c>
    </row>
    <row r="2845" spans="1:1" customFormat="1">
      <c r="A2845" s="13" t="s">
        <v>4576</v>
      </c>
    </row>
    <row r="2846" spans="1:1" customFormat="1">
      <c r="A2846" s="13" t="s">
        <v>4577</v>
      </c>
    </row>
    <row r="2847" spans="1:1" customFormat="1">
      <c r="A2847" s="13" t="s">
        <v>4578</v>
      </c>
    </row>
    <row r="2848" spans="1:1" customFormat="1">
      <c r="A2848" s="13" t="s">
        <v>4579</v>
      </c>
    </row>
    <row r="2849" spans="1:1" customFormat="1">
      <c r="A2849" s="13" t="s">
        <v>4580</v>
      </c>
    </row>
    <row r="2850" spans="1:1" customFormat="1">
      <c r="A2850" s="13" t="s">
        <v>4581</v>
      </c>
    </row>
    <row r="2851" spans="1:1" customFormat="1">
      <c r="A2851" s="13" t="s">
        <v>4582</v>
      </c>
    </row>
    <row r="2852" spans="1:1" customFormat="1">
      <c r="A2852" s="13" t="s">
        <v>4583</v>
      </c>
    </row>
    <row r="2853" spans="1:1" customFormat="1">
      <c r="A2853" s="13" t="s">
        <v>4584</v>
      </c>
    </row>
    <row r="2854" spans="1:1" customFormat="1">
      <c r="A2854" s="13" t="s">
        <v>4585</v>
      </c>
    </row>
    <row r="2855" spans="1:1" customFormat="1">
      <c r="A2855" s="13" t="s">
        <v>4586</v>
      </c>
    </row>
    <row r="2856" spans="1:1" customFormat="1">
      <c r="A2856" s="13" t="s">
        <v>4587</v>
      </c>
    </row>
    <row r="2857" spans="1:1" customFormat="1">
      <c r="A2857" s="13" t="s">
        <v>4588</v>
      </c>
    </row>
    <row r="2858" spans="1:1" customFormat="1">
      <c r="A2858" s="13" t="s">
        <v>4589</v>
      </c>
    </row>
    <row r="2859" spans="1:1" customFormat="1">
      <c r="A2859" s="13" t="s">
        <v>4590</v>
      </c>
    </row>
    <row r="2860" spans="1:1" customFormat="1">
      <c r="A2860" s="13" t="s">
        <v>4591</v>
      </c>
    </row>
    <row r="2861" spans="1:1" customFormat="1">
      <c r="A2861" s="13" t="s">
        <v>4592</v>
      </c>
    </row>
    <row r="2862" spans="1:1" customFormat="1">
      <c r="A2862" s="13" t="s">
        <v>4593</v>
      </c>
    </row>
    <row r="2863" spans="1:1" customFormat="1">
      <c r="A2863" s="13" t="s">
        <v>4594</v>
      </c>
    </row>
    <row r="2864" spans="1:1" customFormat="1">
      <c r="A2864" s="13" t="s">
        <v>4595</v>
      </c>
    </row>
    <row r="2865" spans="1:1" customFormat="1">
      <c r="A2865" s="13" t="s">
        <v>4596</v>
      </c>
    </row>
    <row r="2866" spans="1:1" customFormat="1">
      <c r="A2866" s="13" t="s">
        <v>4597</v>
      </c>
    </row>
    <row r="2867" spans="1:1" customFormat="1">
      <c r="A2867" s="13" t="s">
        <v>4598</v>
      </c>
    </row>
    <row r="2868" spans="1:1" customFormat="1">
      <c r="A2868" s="13" t="s">
        <v>4599</v>
      </c>
    </row>
    <row r="2869" spans="1:1" customFormat="1">
      <c r="A2869" s="13" t="s">
        <v>4600</v>
      </c>
    </row>
    <row r="2870" spans="1:1" customFormat="1">
      <c r="A2870" s="13" t="s">
        <v>4601</v>
      </c>
    </row>
    <row r="2871" spans="1:1" customFormat="1">
      <c r="A2871" s="13" t="s">
        <v>4602</v>
      </c>
    </row>
    <row r="2872" spans="1:1" customFormat="1">
      <c r="A2872" s="13" t="s">
        <v>4603</v>
      </c>
    </row>
    <row r="2873" spans="1:1" customFormat="1">
      <c r="A2873" s="13" t="s">
        <v>4604</v>
      </c>
    </row>
    <row r="2874" spans="1:1" customFormat="1">
      <c r="A2874" s="13" t="s">
        <v>4605</v>
      </c>
    </row>
    <row r="2875" spans="1:1" customFormat="1">
      <c r="A2875" s="13" t="s">
        <v>4606</v>
      </c>
    </row>
    <row r="2876" spans="1:1" customFormat="1">
      <c r="A2876" s="13" t="s">
        <v>4607</v>
      </c>
    </row>
    <row r="2877" spans="1:1" customFormat="1">
      <c r="A2877" s="13" t="s">
        <v>4608</v>
      </c>
    </row>
    <row r="2878" spans="1:1" customFormat="1">
      <c r="A2878" s="13" t="s">
        <v>4609</v>
      </c>
    </row>
    <row r="2879" spans="1:1" customFormat="1">
      <c r="A2879" s="13" t="s">
        <v>4610</v>
      </c>
    </row>
    <row r="2880" spans="1:1" customFormat="1">
      <c r="A2880" s="13" t="s">
        <v>4611</v>
      </c>
    </row>
    <row r="2881" spans="1:1" customFormat="1">
      <c r="A2881" s="13" t="s">
        <v>4612</v>
      </c>
    </row>
    <row r="2882" spans="1:1" customFormat="1">
      <c r="A2882" s="13" t="s">
        <v>4613</v>
      </c>
    </row>
    <row r="2883" spans="1:1" customFormat="1">
      <c r="A2883" s="13" t="s">
        <v>4614</v>
      </c>
    </row>
    <row r="2884" spans="1:1" customFormat="1">
      <c r="A2884" s="13" t="s">
        <v>4615</v>
      </c>
    </row>
    <row r="2885" spans="1:1" customFormat="1">
      <c r="A2885" s="13" t="s">
        <v>4616</v>
      </c>
    </row>
    <row r="2886" spans="1:1" customFormat="1">
      <c r="A2886" s="13" t="s">
        <v>4617</v>
      </c>
    </row>
    <row r="2887" spans="1:1" customFormat="1">
      <c r="A2887" s="13" t="s">
        <v>4618</v>
      </c>
    </row>
    <row r="2888" spans="1:1" customFormat="1">
      <c r="A2888" s="13" t="s">
        <v>4619</v>
      </c>
    </row>
    <row r="2889" spans="1:1" customFormat="1">
      <c r="A2889" s="13" t="s">
        <v>4620</v>
      </c>
    </row>
    <row r="2890" spans="1:1" customFormat="1">
      <c r="A2890" s="13" t="s">
        <v>4621</v>
      </c>
    </row>
    <row r="2891" spans="1:1" customFormat="1">
      <c r="A2891" s="13" t="s">
        <v>4622</v>
      </c>
    </row>
    <row r="2892" spans="1:1" customFormat="1">
      <c r="A2892" s="13" t="s">
        <v>4623</v>
      </c>
    </row>
    <row r="2893" spans="1:1" customFormat="1">
      <c r="A2893" s="13" t="s">
        <v>4624</v>
      </c>
    </row>
    <row r="2894" spans="1:1" customFormat="1">
      <c r="A2894" s="13" t="s">
        <v>4625</v>
      </c>
    </row>
    <row r="2895" spans="1:1" customFormat="1">
      <c r="A2895" s="13" t="s">
        <v>4626</v>
      </c>
    </row>
    <row r="2896" spans="1:1" customFormat="1">
      <c r="A2896" s="13" t="s">
        <v>4627</v>
      </c>
    </row>
    <row r="2897" spans="1:1" customFormat="1">
      <c r="A2897" s="13" t="s">
        <v>4628</v>
      </c>
    </row>
    <row r="2898" spans="1:1" customFormat="1">
      <c r="A2898" s="13" t="s">
        <v>4629</v>
      </c>
    </row>
    <row r="2899" spans="1:1" customFormat="1">
      <c r="A2899" s="13" t="s">
        <v>4630</v>
      </c>
    </row>
    <row r="2900" spans="1:1" customFormat="1">
      <c r="A2900" s="13" t="s">
        <v>4631</v>
      </c>
    </row>
    <row r="2901" spans="1:1" customFormat="1">
      <c r="A2901" s="13" t="s">
        <v>4632</v>
      </c>
    </row>
    <row r="2902" spans="1:1" customFormat="1">
      <c r="A2902" s="13" t="s">
        <v>4633</v>
      </c>
    </row>
    <row r="2903" spans="1:1" customFormat="1">
      <c r="A2903" s="13" t="s">
        <v>4634</v>
      </c>
    </row>
    <row r="2904" spans="1:1" customFormat="1">
      <c r="A2904" s="13" t="s">
        <v>4635</v>
      </c>
    </row>
    <row r="2905" spans="1:1" customFormat="1">
      <c r="A2905" s="13" t="s">
        <v>4636</v>
      </c>
    </row>
    <row r="2906" spans="1:1" customFormat="1">
      <c r="A2906" s="13" t="s">
        <v>4637</v>
      </c>
    </row>
    <row r="2907" spans="1:1" customFormat="1">
      <c r="A2907" s="13"/>
    </row>
    <row r="2908" spans="1:1" customFormat="1">
      <c r="A2908" s="13" t="s">
        <v>4638</v>
      </c>
    </row>
    <row r="2909" spans="1:1" customFormat="1">
      <c r="A2909" s="13" t="s">
        <v>4639</v>
      </c>
    </row>
    <row r="2910" spans="1:1" customFormat="1">
      <c r="A2910" s="13" t="s">
        <v>4640</v>
      </c>
    </row>
    <row r="2911" spans="1:1" customFormat="1">
      <c r="A2911" s="13" t="s">
        <v>4641</v>
      </c>
    </row>
    <row r="2912" spans="1:1" customFormat="1">
      <c r="A2912" s="13" t="s">
        <v>4642</v>
      </c>
    </row>
    <row r="2913" spans="1:1" customFormat="1">
      <c r="A2913" s="13" t="s">
        <v>4643</v>
      </c>
    </row>
    <row r="2914" spans="1:1" customFormat="1">
      <c r="A2914" s="13" t="s">
        <v>4644</v>
      </c>
    </row>
    <row r="2915" spans="1:1" customFormat="1">
      <c r="A2915" s="13" t="s">
        <v>4645</v>
      </c>
    </row>
    <row r="2916" spans="1:1" customFormat="1">
      <c r="A2916" s="13" t="s">
        <v>4646</v>
      </c>
    </row>
    <row r="2917" spans="1:1" customFormat="1">
      <c r="A2917" s="13" t="s">
        <v>4647</v>
      </c>
    </row>
    <row r="2918" spans="1:1" customFormat="1">
      <c r="A2918" s="13" t="s">
        <v>4648</v>
      </c>
    </row>
    <row r="2919" spans="1:1" customFormat="1">
      <c r="A2919" s="13" t="s">
        <v>4649</v>
      </c>
    </row>
    <row r="2920" spans="1:1" customFormat="1">
      <c r="A2920" s="13" t="s">
        <v>4650</v>
      </c>
    </row>
    <row r="2921" spans="1:1" customFormat="1">
      <c r="A2921" s="13" t="s">
        <v>4651</v>
      </c>
    </row>
    <row r="2922" spans="1:1" customFormat="1">
      <c r="A2922" s="13" t="s">
        <v>4652</v>
      </c>
    </row>
    <row r="2923" spans="1:1" customFormat="1">
      <c r="A2923" s="13" t="s">
        <v>4653</v>
      </c>
    </row>
    <row r="2924" spans="1:1" customFormat="1">
      <c r="A2924" s="13" t="s">
        <v>4654</v>
      </c>
    </row>
    <row r="2925" spans="1:1" customFormat="1">
      <c r="A2925" s="13" t="s">
        <v>4655</v>
      </c>
    </row>
    <row r="2926" spans="1:1" customFormat="1">
      <c r="A2926" s="13" t="s">
        <v>4656</v>
      </c>
    </row>
    <row r="2927" spans="1:1" customFormat="1">
      <c r="A2927" s="13" t="s">
        <v>4657</v>
      </c>
    </row>
    <row r="2928" spans="1:1" customFormat="1">
      <c r="A2928" s="13" t="s">
        <v>4658</v>
      </c>
    </row>
    <row r="2929" spans="1:1" customFormat="1">
      <c r="A2929" s="13" t="s">
        <v>4659</v>
      </c>
    </row>
    <row r="2930" spans="1:1" customFormat="1">
      <c r="A2930" s="13" t="s">
        <v>4660</v>
      </c>
    </row>
    <row r="2931" spans="1:1" customFormat="1">
      <c r="A2931" s="13" t="s">
        <v>4661</v>
      </c>
    </row>
    <row r="2932" spans="1:1" customFormat="1">
      <c r="A2932" s="13" t="s">
        <v>4662</v>
      </c>
    </row>
    <row r="2933" spans="1:1" customFormat="1">
      <c r="A2933" s="13" t="s">
        <v>4663</v>
      </c>
    </row>
    <row r="2934" spans="1:1" customFormat="1">
      <c r="A2934" s="13" t="s">
        <v>4664</v>
      </c>
    </row>
    <row r="2935" spans="1:1" customFormat="1">
      <c r="A2935" s="13" t="s">
        <v>4665</v>
      </c>
    </row>
    <row r="2936" spans="1:1" customFormat="1">
      <c r="A2936" s="13" t="s">
        <v>4666</v>
      </c>
    </row>
    <row r="2937" spans="1:1" customFormat="1">
      <c r="A2937" s="13" t="s">
        <v>4667</v>
      </c>
    </row>
    <row r="2938" spans="1:1" customFormat="1">
      <c r="A2938" s="13" t="s">
        <v>4668</v>
      </c>
    </row>
    <row r="2939" spans="1:1" customFormat="1">
      <c r="A2939" s="13" t="s">
        <v>4669</v>
      </c>
    </row>
    <row r="2940" spans="1:1" customFormat="1">
      <c r="A2940" s="13" t="s">
        <v>4670</v>
      </c>
    </row>
    <row r="2941" spans="1:1" customFormat="1">
      <c r="A2941" s="13" t="s">
        <v>4671</v>
      </c>
    </row>
    <row r="2942" spans="1:1" customFormat="1">
      <c r="A2942" s="13" t="s">
        <v>4672</v>
      </c>
    </row>
    <row r="2943" spans="1:1" customFormat="1">
      <c r="A2943" s="13" t="s">
        <v>4673</v>
      </c>
    </row>
    <row r="2944" spans="1:1" customFormat="1">
      <c r="A2944" s="13" t="s">
        <v>4674</v>
      </c>
    </row>
    <row r="2945" spans="1:1" customFormat="1">
      <c r="A2945" s="13" t="s">
        <v>4675</v>
      </c>
    </row>
    <row r="2946" spans="1:1" customFormat="1">
      <c r="A2946" s="13" t="s">
        <v>4676</v>
      </c>
    </row>
    <row r="2947" spans="1:1" customFormat="1">
      <c r="A2947" s="13" t="s">
        <v>4677</v>
      </c>
    </row>
    <row r="2948" spans="1:1" customFormat="1">
      <c r="A2948" s="13" t="s">
        <v>4678</v>
      </c>
    </row>
    <row r="2949" spans="1:1" customFormat="1">
      <c r="A2949" s="13" t="s">
        <v>4679</v>
      </c>
    </row>
    <row r="2950" spans="1:1" customFormat="1">
      <c r="A2950" s="13" t="s">
        <v>4680</v>
      </c>
    </row>
    <row r="2951" spans="1:1" customFormat="1">
      <c r="A2951" s="13" t="s">
        <v>4681</v>
      </c>
    </row>
    <row r="2952" spans="1:1" customFormat="1">
      <c r="A2952" s="13" t="s">
        <v>4682</v>
      </c>
    </row>
    <row r="2953" spans="1:1" customFormat="1">
      <c r="A2953" s="13" t="s">
        <v>4683</v>
      </c>
    </row>
    <row r="2954" spans="1:1" customFormat="1">
      <c r="A2954" s="13" t="s">
        <v>4684</v>
      </c>
    </row>
    <row r="2955" spans="1:1" customFormat="1">
      <c r="A2955" s="13" t="s">
        <v>4685</v>
      </c>
    </row>
    <row r="2956" spans="1:1" customFormat="1">
      <c r="A2956" s="13" t="s">
        <v>4686</v>
      </c>
    </row>
    <row r="2957" spans="1:1" customFormat="1">
      <c r="A2957" s="13" t="s">
        <v>4687</v>
      </c>
    </row>
    <row r="2958" spans="1:1" customFormat="1">
      <c r="A2958" s="13" t="s">
        <v>4688</v>
      </c>
    </row>
    <row r="2959" spans="1:1" customFormat="1">
      <c r="A2959" s="13" t="s">
        <v>4689</v>
      </c>
    </row>
    <row r="2960" spans="1:1" customFormat="1">
      <c r="A2960" s="13" t="s">
        <v>4690</v>
      </c>
    </row>
    <row r="2961" spans="1:1" customFormat="1">
      <c r="A2961" s="13" t="s">
        <v>4691</v>
      </c>
    </row>
    <row r="2962" spans="1:1" customFormat="1">
      <c r="A2962" s="13" t="s">
        <v>4692</v>
      </c>
    </row>
    <row r="2963" spans="1:1" customFormat="1">
      <c r="A2963" s="13" t="s">
        <v>4693</v>
      </c>
    </row>
    <row r="2964" spans="1:1" customFormat="1">
      <c r="A2964" s="13" t="s">
        <v>4694</v>
      </c>
    </row>
    <row r="2965" spans="1:1" customFormat="1">
      <c r="A2965" s="13" t="s">
        <v>4695</v>
      </c>
    </row>
    <row r="2966" spans="1:1" customFormat="1">
      <c r="A2966" s="13" t="s">
        <v>4696</v>
      </c>
    </row>
    <row r="2967" spans="1:1" customFormat="1">
      <c r="A2967" s="13" t="s">
        <v>4697</v>
      </c>
    </row>
    <row r="2968" spans="1:1" customFormat="1">
      <c r="A2968" s="13" t="s">
        <v>4698</v>
      </c>
    </row>
    <row r="2969" spans="1:1" customFormat="1">
      <c r="A2969" s="13" t="s">
        <v>4699</v>
      </c>
    </row>
    <row r="2970" spans="1:1" customFormat="1">
      <c r="A2970" s="13" t="s">
        <v>4700</v>
      </c>
    </row>
    <row r="2971" spans="1:1" customFormat="1">
      <c r="A2971" s="13" t="s">
        <v>4701</v>
      </c>
    </row>
    <row r="2972" spans="1:1" customFormat="1">
      <c r="A2972" s="13" t="s">
        <v>4702</v>
      </c>
    </row>
    <row r="2973" spans="1:1" customFormat="1">
      <c r="A2973" s="13" t="s">
        <v>4703</v>
      </c>
    </row>
    <row r="2974" spans="1:1" customFormat="1">
      <c r="A2974" s="13" t="s">
        <v>4704</v>
      </c>
    </row>
    <row r="2975" spans="1:1" customFormat="1">
      <c r="A2975" s="13" t="s">
        <v>4705</v>
      </c>
    </row>
    <row r="2976" spans="1:1" customFormat="1">
      <c r="A2976" s="13" t="s">
        <v>4706</v>
      </c>
    </row>
    <row r="2977" spans="1:1" customFormat="1">
      <c r="A2977" s="13" t="s">
        <v>4707</v>
      </c>
    </row>
    <row r="2978" spans="1:1" customFormat="1">
      <c r="A2978" s="13" t="s">
        <v>4708</v>
      </c>
    </row>
    <row r="2979" spans="1:1" customFormat="1">
      <c r="A2979" s="13" t="s">
        <v>4709</v>
      </c>
    </row>
    <row r="2980" spans="1:1" customFormat="1">
      <c r="A2980" s="13" t="s">
        <v>4710</v>
      </c>
    </row>
    <row r="2981" spans="1:1" customFormat="1">
      <c r="A2981" s="13" t="s">
        <v>4711</v>
      </c>
    </row>
    <row r="2982" spans="1:1" customFormat="1">
      <c r="A2982" s="13" t="s">
        <v>4712</v>
      </c>
    </row>
    <row r="2983" spans="1:1" customFormat="1">
      <c r="A2983" s="13" t="s">
        <v>4713</v>
      </c>
    </row>
    <row r="2984" spans="1:1" customFormat="1">
      <c r="A2984" s="13" t="s">
        <v>4714</v>
      </c>
    </row>
    <row r="2985" spans="1:1" customFormat="1">
      <c r="A2985" s="13" t="s">
        <v>4715</v>
      </c>
    </row>
    <row r="2986" spans="1:1" customFormat="1">
      <c r="A2986" s="13" t="s">
        <v>4716</v>
      </c>
    </row>
    <row r="2987" spans="1:1" customFormat="1">
      <c r="A2987" s="13" t="s">
        <v>4717</v>
      </c>
    </row>
    <row r="2988" spans="1:1" customFormat="1">
      <c r="A2988" s="13" t="s">
        <v>4718</v>
      </c>
    </row>
    <row r="2989" spans="1:1" customFormat="1">
      <c r="A2989" s="13" t="s">
        <v>4719</v>
      </c>
    </row>
    <row r="2990" spans="1:1" customFormat="1">
      <c r="A2990" s="13" t="s">
        <v>4720</v>
      </c>
    </row>
    <row r="2991" spans="1:1" customFormat="1">
      <c r="A2991" s="13" t="s">
        <v>4721</v>
      </c>
    </row>
    <row r="2992" spans="1:1" customFormat="1">
      <c r="A2992" s="13" t="s">
        <v>4722</v>
      </c>
    </row>
    <row r="2993" spans="1:1" customFormat="1">
      <c r="A2993" s="13" t="s">
        <v>4723</v>
      </c>
    </row>
    <row r="2994" spans="1:1" customFormat="1">
      <c r="A2994" s="13" t="s">
        <v>4724</v>
      </c>
    </row>
    <row r="2995" spans="1:1" customFormat="1">
      <c r="A2995" s="13" t="s">
        <v>4725</v>
      </c>
    </row>
    <row r="2996" spans="1:1" customFormat="1">
      <c r="A2996" s="13" t="s">
        <v>4726</v>
      </c>
    </row>
    <row r="2997" spans="1:1" customFormat="1">
      <c r="A2997" s="13" t="s">
        <v>4727</v>
      </c>
    </row>
    <row r="2998" spans="1:1" customFormat="1">
      <c r="A2998" s="13" t="s">
        <v>4728</v>
      </c>
    </row>
    <row r="2999" spans="1:1" customFormat="1">
      <c r="A2999" s="13" t="s">
        <v>4729</v>
      </c>
    </row>
    <row r="3000" spans="1:1" customFormat="1">
      <c r="A3000" s="13" t="s">
        <v>4730</v>
      </c>
    </row>
    <row r="3001" spans="1:1" customFormat="1">
      <c r="A3001" s="13" t="s">
        <v>4731</v>
      </c>
    </row>
    <row r="3002" spans="1:1" customFormat="1">
      <c r="A3002" s="13" t="s">
        <v>4732</v>
      </c>
    </row>
    <row r="3003" spans="1:1" customFormat="1">
      <c r="A3003" s="13" t="s">
        <v>4733</v>
      </c>
    </row>
    <row r="3004" spans="1:1" customFormat="1">
      <c r="A3004" s="13" t="s">
        <v>4734</v>
      </c>
    </row>
    <row r="3005" spans="1:1" customFormat="1">
      <c r="A3005" s="13" t="s">
        <v>4735</v>
      </c>
    </row>
    <row r="3006" spans="1:1" customFormat="1">
      <c r="A3006" s="13" t="s">
        <v>4736</v>
      </c>
    </row>
    <row r="3007" spans="1:1" customFormat="1">
      <c r="A3007" s="13" t="s">
        <v>4737</v>
      </c>
    </row>
    <row r="3008" spans="1:1" customFormat="1">
      <c r="A3008" s="13" t="s">
        <v>4738</v>
      </c>
    </row>
    <row r="3009" spans="1:1" customFormat="1">
      <c r="A3009" s="13" t="s">
        <v>4739</v>
      </c>
    </row>
    <row r="3010" spans="1:1" customFormat="1">
      <c r="A3010" s="13" t="s">
        <v>4740</v>
      </c>
    </row>
    <row r="3011" spans="1:1" customFormat="1">
      <c r="A3011" s="13" t="s">
        <v>4741</v>
      </c>
    </row>
    <row r="3012" spans="1:1" customFormat="1">
      <c r="A3012" s="13" t="s">
        <v>4742</v>
      </c>
    </row>
    <row r="3013" spans="1:1" customFormat="1">
      <c r="A3013" s="13" t="s">
        <v>4743</v>
      </c>
    </row>
    <row r="3014" spans="1:1" customFormat="1">
      <c r="A3014" s="13" t="s">
        <v>4744</v>
      </c>
    </row>
    <row r="3015" spans="1:1" customFormat="1">
      <c r="A3015" s="13" t="s">
        <v>4745</v>
      </c>
    </row>
    <row r="3016" spans="1:1" customFormat="1">
      <c r="A3016" s="13" t="s">
        <v>4746</v>
      </c>
    </row>
    <row r="3017" spans="1:1" customFormat="1">
      <c r="A3017" s="13" t="s">
        <v>4747</v>
      </c>
    </row>
    <row r="3018" spans="1:1" customFormat="1">
      <c r="A3018" s="13" t="s">
        <v>4748</v>
      </c>
    </row>
    <row r="3019" spans="1:1" customFormat="1">
      <c r="A3019" s="13" t="s">
        <v>4749</v>
      </c>
    </row>
    <row r="3020" spans="1:1" customFormat="1">
      <c r="A3020" s="13" t="s">
        <v>4750</v>
      </c>
    </row>
    <row r="3021" spans="1:1" customFormat="1">
      <c r="A3021" s="13" t="s">
        <v>4751</v>
      </c>
    </row>
    <row r="3022" spans="1:1" customFormat="1">
      <c r="A3022" s="13" t="s">
        <v>4752</v>
      </c>
    </row>
    <row r="3023" spans="1:1" customFormat="1">
      <c r="A3023" s="13" t="s">
        <v>4753</v>
      </c>
    </row>
    <row r="3024" spans="1:1" customFormat="1">
      <c r="A3024" s="13" t="s">
        <v>4754</v>
      </c>
    </row>
    <row r="3025" spans="1:1" customFormat="1">
      <c r="A3025" s="13" t="s">
        <v>4755</v>
      </c>
    </row>
    <row r="3026" spans="1:1" customFormat="1">
      <c r="A3026" s="13" t="s">
        <v>4756</v>
      </c>
    </row>
    <row r="3027" spans="1:1" customFormat="1">
      <c r="A3027" s="13" t="s">
        <v>4757</v>
      </c>
    </row>
    <row r="3028" spans="1:1" customFormat="1">
      <c r="A3028" s="13" t="s">
        <v>4758</v>
      </c>
    </row>
    <row r="3029" spans="1:1" customFormat="1">
      <c r="A3029" s="13" t="s">
        <v>4759</v>
      </c>
    </row>
    <row r="3030" spans="1:1" customFormat="1">
      <c r="A3030" s="13" t="s">
        <v>4760</v>
      </c>
    </row>
    <row r="3031" spans="1:1" customFormat="1">
      <c r="A3031" s="13" t="s">
        <v>4761</v>
      </c>
    </row>
    <row r="3032" spans="1:1" customFormat="1">
      <c r="A3032" s="13" t="s">
        <v>4762</v>
      </c>
    </row>
    <row r="3033" spans="1:1" customFormat="1">
      <c r="A3033" s="13" t="s">
        <v>4763</v>
      </c>
    </row>
    <row r="3034" spans="1:1" customFormat="1">
      <c r="A3034" s="13" t="s">
        <v>4764</v>
      </c>
    </row>
    <row r="3035" spans="1:1" customFormat="1">
      <c r="A3035" s="13" t="s">
        <v>4765</v>
      </c>
    </row>
    <row r="3036" spans="1:1" customFormat="1">
      <c r="A3036" s="13" t="s">
        <v>4766</v>
      </c>
    </row>
    <row r="3037" spans="1:1" customFormat="1">
      <c r="A3037" s="13" t="s">
        <v>4767</v>
      </c>
    </row>
    <row r="3038" spans="1:1" customFormat="1">
      <c r="A3038" s="13" t="s">
        <v>4768</v>
      </c>
    </row>
    <row r="3039" spans="1:1" customFormat="1">
      <c r="A3039" s="13" t="s">
        <v>4769</v>
      </c>
    </row>
    <row r="3040" spans="1:1" customFormat="1">
      <c r="A3040" s="13" t="s">
        <v>4770</v>
      </c>
    </row>
    <row r="3041" spans="1:1" customFormat="1">
      <c r="A3041" s="13" t="s">
        <v>4771</v>
      </c>
    </row>
    <row r="3042" spans="1:1" customFormat="1">
      <c r="A3042" s="13" t="s">
        <v>4772</v>
      </c>
    </row>
    <row r="3043" spans="1:1" customFormat="1">
      <c r="A3043" s="13" t="s">
        <v>4773</v>
      </c>
    </row>
    <row r="3044" spans="1:1" customFormat="1">
      <c r="A3044" s="13" t="s">
        <v>4774</v>
      </c>
    </row>
    <row r="3045" spans="1:1" customFormat="1">
      <c r="A3045" s="13" t="s">
        <v>4775</v>
      </c>
    </row>
    <row r="3046" spans="1:1" customFormat="1">
      <c r="A3046" s="13" t="s">
        <v>4776</v>
      </c>
    </row>
    <row r="3047" spans="1:1" customFormat="1">
      <c r="A3047" s="13" t="s">
        <v>4777</v>
      </c>
    </row>
    <row r="3048" spans="1:1" customFormat="1">
      <c r="A3048" s="13" t="s">
        <v>4778</v>
      </c>
    </row>
    <row r="3049" spans="1:1" customFormat="1">
      <c r="A3049" s="13" t="s">
        <v>4779</v>
      </c>
    </row>
    <row r="3050" spans="1:1" customFormat="1">
      <c r="A3050" s="13" t="s">
        <v>4780</v>
      </c>
    </row>
    <row r="3051" spans="1:1" customFormat="1">
      <c r="A3051" s="13" t="s">
        <v>4781</v>
      </c>
    </row>
    <row r="3052" spans="1:1" customFormat="1">
      <c r="A3052" s="13" t="s">
        <v>4782</v>
      </c>
    </row>
    <row r="3053" spans="1:1" customFormat="1">
      <c r="A3053" s="13" t="s">
        <v>4783</v>
      </c>
    </row>
    <row r="3054" spans="1:1" customFormat="1">
      <c r="A3054" s="13" t="s">
        <v>4784</v>
      </c>
    </row>
    <row r="3055" spans="1:1" customFormat="1">
      <c r="A3055" s="13" t="s">
        <v>4785</v>
      </c>
    </row>
    <row r="3056" spans="1:1" customFormat="1">
      <c r="A3056" s="13" t="s">
        <v>4786</v>
      </c>
    </row>
    <row r="3057" spans="1:1" customFormat="1">
      <c r="A3057" s="13" t="s">
        <v>4787</v>
      </c>
    </row>
    <row r="3058" spans="1:1" customFormat="1">
      <c r="A3058" s="13" t="s">
        <v>4788</v>
      </c>
    </row>
    <row r="3059" spans="1:1" customFormat="1">
      <c r="A3059" s="13" t="s">
        <v>4789</v>
      </c>
    </row>
    <row r="3060" spans="1:1" customFormat="1">
      <c r="A3060" s="13" t="s">
        <v>4790</v>
      </c>
    </row>
    <row r="3061" spans="1:1" customFormat="1">
      <c r="A3061" s="13" t="s">
        <v>4791</v>
      </c>
    </row>
    <row r="3062" spans="1:1" customFormat="1">
      <c r="A3062" s="13" t="s">
        <v>4792</v>
      </c>
    </row>
    <row r="3063" spans="1:1" customFormat="1">
      <c r="A3063" s="13" t="s">
        <v>4793</v>
      </c>
    </row>
    <row r="3064" spans="1:1" customFormat="1">
      <c r="A3064" s="13" t="s">
        <v>4794</v>
      </c>
    </row>
    <row r="3065" spans="1:1" customFormat="1">
      <c r="A3065" s="13" t="s">
        <v>4795</v>
      </c>
    </row>
    <row r="3066" spans="1:1" customFormat="1">
      <c r="A3066" s="13" t="s">
        <v>4796</v>
      </c>
    </row>
    <row r="3067" spans="1:1" customFormat="1">
      <c r="A3067" s="13" t="s">
        <v>4797</v>
      </c>
    </row>
    <row r="3068" spans="1:1" customFormat="1">
      <c r="A3068" s="13" t="s">
        <v>4798</v>
      </c>
    </row>
    <row r="3069" spans="1:1" customFormat="1">
      <c r="A3069" s="13" t="s">
        <v>4799</v>
      </c>
    </row>
    <row r="3070" spans="1:1" customFormat="1">
      <c r="A3070" s="13" t="s">
        <v>4800</v>
      </c>
    </row>
    <row r="3071" spans="1:1" customFormat="1">
      <c r="A3071" s="13" t="s">
        <v>4801</v>
      </c>
    </row>
    <row r="3072" spans="1:1" customFormat="1">
      <c r="A3072" s="13" t="s">
        <v>4802</v>
      </c>
    </row>
    <row r="3073" spans="1:1" customFormat="1">
      <c r="A3073" s="13" t="s">
        <v>4803</v>
      </c>
    </row>
    <row r="3074" spans="1:1" customFormat="1">
      <c r="A3074" s="13" t="s">
        <v>4804</v>
      </c>
    </row>
    <row r="3075" spans="1:1" customFormat="1">
      <c r="A3075" s="13" t="s">
        <v>4805</v>
      </c>
    </row>
    <row r="3076" spans="1:1" customFormat="1">
      <c r="A3076" s="13" t="s">
        <v>4806</v>
      </c>
    </row>
    <row r="3077" spans="1:1" customFormat="1">
      <c r="A3077" s="13" t="s">
        <v>4807</v>
      </c>
    </row>
    <row r="3078" spans="1:1" customFormat="1">
      <c r="A3078" s="13" t="s">
        <v>4808</v>
      </c>
    </row>
    <row r="3079" spans="1:1" customFormat="1">
      <c r="A3079" s="13" t="s">
        <v>4809</v>
      </c>
    </row>
    <row r="3080" spans="1:1" customFormat="1">
      <c r="A3080" s="13" t="s">
        <v>4810</v>
      </c>
    </row>
    <row r="3081" spans="1:1" customFormat="1">
      <c r="A3081" s="13" t="s">
        <v>4811</v>
      </c>
    </row>
    <row r="3082" spans="1:1" customFormat="1">
      <c r="A3082" s="13" t="s">
        <v>4812</v>
      </c>
    </row>
    <row r="3083" spans="1:1" customFormat="1">
      <c r="A3083" s="13" t="s">
        <v>4813</v>
      </c>
    </row>
    <row r="3084" spans="1:1" customFormat="1">
      <c r="A3084" s="13" t="s">
        <v>4814</v>
      </c>
    </row>
    <row r="3085" spans="1:1" customFormat="1">
      <c r="A3085" s="13" t="s">
        <v>4815</v>
      </c>
    </row>
    <row r="3086" spans="1:1" customFormat="1">
      <c r="A3086" s="13" t="s">
        <v>4816</v>
      </c>
    </row>
    <row r="3087" spans="1:1" customFormat="1">
      <c r="A3087" s="13" t="s">
        <v>4817</v>
      </c>
    </row>
    <row r="3088" spans="1:1" customFormat="1">
      <c r="A3088" s="13" t="s">
        <v>4818</v>
      </c>
    </row>
    <row r="3089" spans="1:1" customFormat="1">
      <c r="A3089" s="13" t="s">
        <v>4819</v>
      </c>
    </row>
    <row r="3090" spans="1:1" customFormat="1">
      <c r="A3090" s="13" t="s">
        <v>4820</v>
      </c>
    </row>
    <row r="3091" spans="1:1" customFormat="1">
      <c r="A3091" s="13" t="s">
        <v>4821</v>
      </c>
    </row>
    <row r="3092" spans="1:1" customFormat="1">
      <c r="A3092" s="13" t="s">
        <v>4822</v>
      </c>
    </row>
    <row r="3093" spans="1:1" customFormat="1">
      <c r="A3093" s="13" t="s">
        <v>4823</v>
      </c>
    </row>
    <row r="3094" spans="1:1" customFormat="1">
      <c r="A3094" s="13" t="s">
        <v>4824</v>
      </c>
    </row>
    <row r="3095" spans="1:1" customFormat="1">
      <c r="A3095" s="13" t="s">
        <v>4825</v>
      </c>
    </row>
    <row r="3096" spans="1:1" customFormat="1">
      <c r="A3096" s="13" t="s">
        <v>4826</v>
      </c>
    </row>
    <row r="3097" spans="1:1" customFormat="1">
      <c r="A3097" s="13" t="s">
        <v>4827</v>
      </c>
    </row>
    <row r="3098" spans="1:1" customFormat="1">
      <c r="A3098" s="13" t="s">
        <v>4828</v>
      </c>
    </row>
    <row r="3099" spans="1:1" customFormat="1">
      <c r="A3099" s="13" t="s">
        <v>4829</v>
      </c>
    </row>
    <row r="3100" spans="1:1" customFormat="1">
      <c r="A3100" s="13" t="s">
        <v>4830</v>
      </c>
    </row>
    <row r="3101" spans="1:1" customFormat="1">
      <c r="A3101" s="13"/>
    </row>
    <row r="3102" spans="1:1" customFormat="1">
      <c r="A3102" s="13" t="s">
        <v>4831</v>
      </c>
    </row>
    <row r="3103" spans="1:1" customFormat="1">
      <c r="A3103" s="13" t="s">
        <v>4832</v>
      </c>
    </row>
    <row r="3104" spans="1:1" customFormat="1">
      <c r="A3104" s="13" t="s">
        <v>4833</v>
      </c>
    </row>
    <row r="3105" spans="1:8" customFormat="1">
      <c r="A3105" s="13" t="s">
        <v>4834</v>
      </c>
    </row>
    <row r="3106" spans="1:8" customFormat="1">
      <c r="A3106" s="13" t="s">
        <v>4835</v>
      </c>
    </row>
    <row r="3107" spans="1:8" customFormat="1">
      <c r="A3107" s="13" t="s">
        <v>4836</v>
      </c>
    </row>
    <row r="3108" spans="1:8" customFormat="1">
      <c r="A3108" s="13" t="s">
        <v>4837</v>
      </c>
    </row>
    <row r="3109" spans="1:8" customFormat="1">
      <c r="A3109" s="13" t="s">
        <v>4838</v>
      </c>
    </row>
    <row r="3110" spans="1:8" customFormat="1">
      <c r="A3110" s="13" t="s">
        <v>4839</v>
      </c>
    </row>
    <row r="3111" spans="1:8" customFormat="1">
      <c r="A3111" s="13" t="s">
        <v>4840</v>
      </c>
    </row>
    <row r="3112" spans="1:8" customFormat="1">
      <c r="A3112" s="13" t="s">
        <v>7774</v>
      </c>
    </row>
    <row r="3113" spans="1:8" customFormat="1">
      <c r="A3113" s="13" t="s">
        <v>7775</v>
      </c>
      <c r="B3113" s="13">
        <v>5</v>
      </c>
      <c r="C3113" s="13"/>
      <c r="D3113" s="13"/>
      <c r="E3113" s="13" t="s">
        <v>8029</v>
      </c>
      <c r="F3113" s="13">
        <v>10</v>
      </c>
      <c r="G3113" s="13" t="s">
        <v>602</v>
      </c>
      <c r="H3113" s="13" t="s">
        <v>88</v>
      </c>
    </row>
    <row r="3114" spans="1:8">
      <c r="A3114" s="13" t="s">
        <v>7776</v>
      </c>
      <c r="B3114" s="13">
        <v>5</v>
      </c>
      <c r="E3114" s="13" t="s">
        <v>8030</v>
      </c>
      <c r="F3114" s="13">
        <v>11</v>
      </c>
      <c r="G3114" s="13" t="s">
        <v>487</v>
      </c>
      <c r="H3114" s="13" t="s">
        <v>494</v>
      </c>
    </row>
    <row r="3115" spans="1:8">
      <c r="A3115" s="13" t="s">
        <v>7777</v>
      </c>
      <c r="B3115" s="13">
        <v>5</v>
      </c>
      <c r="E3115" s="13" t="s">
        <v>8031</v>
      </c>
      <c r="F3115" s="13">
        <v>12</v>
      </c>
      <c r="G3115" s="13" t="s">
        <v>626</v>
      </c>
      <c r="H3115" s="13" t="s">
        <v>635</v>
      </c>
    </row>
    <row r="3116" spans="1:8">
      <c r="A3116" s="13" t="s">
        <v>7778</v>
      </c>
      <c r="B3116" s="13">
        <v>5</v>
      </c>
      <c r="E3116" s="13" t="s">
        <v>8032</v>
      </c>
      <c r="F3116" s="13">
        <v>13</v>
      </c>
      <c r="G3116" s="13" t="s">
        <v>459</v>
      </c>
      <c r="H3116" s="13" t="s">
        <v>464</v>
      </c>
    </row>
    <row r="3117" spans="1:8">
      <c r="A3117" s="13" t="s">
        <v>7779</v>
      </c>
      <c r="B3117" s="13">
        <v>5</v>
      </c>
      <c r="E3117" s="13" t="s">
        <v>8033</v>
      </c>
      <c r="F3117" s="13">
        <v>14</v>
      </c>
      <c r="G3117" s="13" t="s">
        <v>415</v>
      </c>
      <c r="H3117" s="13" t="s">
        <v>312</v>
      </c>
    </row>
    <row r="3118" spans="1:8">
      <c r="A3118" s="13" t="s">
        <v>7780</v>
      </c>
      <c r="B3118" s="13">
        <v>5</v>
      </c>
      <c r="E3118" s="13" t="s">
        <v>8034</v>
      </c>
      <c r="F3118" s="13">
        <v>15</v>
      </c>
      <c r="G3118" s="13" t="s">
        <v>224</v>
      </c>
      <c r="H3118" s="13" t="s">
        <v>36</v>
      </c>
    </row>
    <row r="3119" spans="1:8">
      <c r="A3119" s="13" t="s">
        <v>7781</v>
      </c>
      <c r="B3119" s="13">
        <v>5</v>
      </c>
      <c r="E3119" s="13" t="s">
        <v>8035</v>
      </c>
      <c r="F3119" s="13">
        <v>16</v>
      </c>
      <c r="G3119" s="13" t="s">
        <v>535</v>
      </c>
      <c r="H3119" s="13" t="s">
        <v>527</v>
      </c>
    </row>
    <row r="3120" spans="1:8">
      <c r="A3120" s="13" t="s">
        <v>7782</v>
      </c>
      <c r="B3120" s="13">
        <v>5</v>
      </c>
      <c r="E3120" s="13" t="s">
        <v>8036</v>
      </c>
      <c r="F3120" s="13">
        <v>17</v>
      </c>
      <c r="G3120" s="13" t="s">
        <v>62</v>
      </c>
      <c r="H3120" s="13" t="s">
        <v>390</v>
      </c>
    </row>
    <row r="3121" spans="1:8">
      <c r="A3121" s="13" t="s">
        <v>7783</v>
      </c>
      <c r="B3121" s="13">
        <v>5</v>
      </c>
      <c r="E3121" s="13" t="s">
        <v>8037</v>
      </c>
      <c r="F3121" s="13">
        <v>18</v>
      </c>
      <c r="G3121" s="13" t="s">
        <v>377</v>
      </c>
      <c r="H3121" s="13" t="s">
        <v>312</v>
      </c>
    </row>
    <row r="3122" spans="1:8">
      <c r="A3122" s="13" t="s">
        <v>7784</v>
      </c>
      <c r="B3122" s="13">
        <v>5</v>
      </c>
      <c r="E3122" s="13" t="s">
        <v>8038</v>
      </c>
      <c r="F3122" s="13">
        <v>19</v>
      </c>
      <c r="G3122" s="13" t="s">
        <v>213</v>
      </c>
      <c r="H3122" s="13" t="s">
        <v>102</v>
      </c>
    </row>
    <row r="3123" spans="1:8">
      <c r="A3123" s="13" t="s">
        <v>7785</v>
      </c>
      <c r="B3123" s="13">
        <v>5</v>
      </c>
      <c r="E3123" s="13" t="s">
        <v>8039</v>
      </c>
      <c r="F3123" s="13">
        <v>20</v>
      </c>
      <c r="G3123" s="13" t="s">
        <v>663</v>
      </c>
      <c r="H3123" s="13" t="s">
        <v>312</v>
      </c>
    </row>
    <row r="3124" spans="1:8">
      <c r="A3124" s="13" t="s">
        <v>7786</v>
      </c>
      <c r="B3124" s="13">
        <v>5</v>
      </c>
      <c r="E3124" s="13" t="s">
        <v>8040</v>
      </c>
      <c r="F3124" s="13">
        <v>21</v>
      </c>
      <c r="G3124" s="13" t="s">
        <v>113</v>
      </c>
      <c r="H3124" s="13" t="s">
        <v>94</v>
      </c>
    </row>
    <row r="3125" spans="1:8">
      <c r="A3125" s="13" t="s">
        <v>7787</v>
      </c>
      <c r="B3125" s="13">
        <v>5</v>
      </c>
      <c r="E3125" s="13" t="s">
        <v>8041</v>
      </c>
      <c r="F3125" s="13">
        <v>22</v>
      </c>
      <c r="G3125" s="13" t="s">
        <v>199</v>
      </c>
      <c r="H3125" s="13" t="s">
        <v>46</v>
      </c>
    </row>
    <row r="3126" spans="1:8">
      <c r="A3126" s="13" t="s">
        <v>7788</v>
      </c>
      <c r="B3126" s="13">
        <v>5</v>
      </c>
      <c r="E3126" s="13" t="s">
        <v>8042</v>
      </c>
      <c r="F3126" s="13">
        <v>23</v>
      </c>
      <c r="G3126" s="13" t="s">
        <v>202</v>
      </c>
      <c r="H3126" s="13" t="s">
        <v>46</v>
      </c>
    </row>
    <row r="3127" spans="1:8">
      <c r="A3127" s="13" t="s">
        <v>7789</v>
      </c>
      <c r="B3127" s="13">
        <v>5</v>
      </c>
      <c r="E3127" s="13" t="s">
        <v>8043</v>
      </c>
      <c r="F3127" s="13">
        <v>24</v>
      </c>
      <c r="G3127" s="13" t="s">
        <v>355</v>
      </c>
      <c r="H3127" s="13" t="s">
        <v>366</v>
      </c>
    </row>
    <row r="3128" spans="1:8">
      <c r="A3128" s="13" t="s">
        <v>7790</v>
      </c>
      <c r="B3128" s="13">
        <v>5</v>
      </c>
      <c r="E3128" s="13" t="s">
        <v>8044</v>
      </c>
      <c r="F3128" s="13">
        <v>25</v>
      </c>
      <c r="G3128" s="13" t="s">
        <v>849</v>
      </c>
      <c r="H3128" s="13" t="s">
        <v>148</v>
      </c>
    </row>
    <row r="3129" spans="1:8">
      <c r="A3129" s="13" t="s">
        <v>7791</v>
      </c>
      <c r="B3129" s="13">
        <v>5</v>
      </c>
      <c r="E3129" s="13" t="s">
        <v>8045</v>
      </c>
      <c r="F3129" s="13">
        <v>26</v>
      </c>
      <c r="G3129" s="13" t="s">
        <v>207</v>
      </c>
      <c r="H3129" s="13" t="s">
        <v>46</v>
      </c>
    </row>
    <row r="3130" spans="1:8">
      <c r="A3130" s="13" t="s">
        <v>7792</v>
      </c>
      <c r="B3130" s="13">
        <v>5</v>
      </c>
      <c r="E3130" s="13" t="s">
        <v>8046</v>
      </c>
      <c r="F3130" s="13">
        <v>27</v>
      </c>
      <c r="G3130" s="13" t="s">
        <v>168</v>
      </c>
      <c r="H3130" s="13" t="s">
        <v>102</v>
      </c>
    </row>
    <row r="3131" spans="1:8">
      <c r="A3131" s="13" t="s">
        <v>7793</v>
      </c>
      <c r="B3131" s="13">
        <v>5</v>
      </c>
      <c r="E3131" s="13" t="s">
        <v>8047</v>
      </c>
      <c r="F3131" s="13">
        <v>28</v>
      </c>
      <c r="G3131" s="13" t="s">
        <v>194</v>
      </c>
      <c r="H3131" s="13" t="s">
        <v>94</v>
      </c>
    </row>
    <row r="3132" spans="1:8">
      <c r="A3132" s="13" t="s">
        <v>7794</v>
      </c>
      <c r="B3132" s="13">
        <v>5</v>
      </c>
      <c r="E3132" s="13" t="s">
        <v>8048</v>
      </c>
      <c r="F3132" s="13">
        <v>29</v>
      </c>
      <c r="G3132" s="13" t="s">
        <v>68</v>
      </c>
      <c r="H3132" s="13" t="s">
        <v>71</v>
      </c>
    </row>
    <row r="3133" spans="1:8">
      <c r="A3133" s="13" t="s">
        <v>7795</v>
      </c>
      <c r="B3133" s="13">
        <v>5</v>
      </c>
      <c r="E3133" s="13" t="s">
        <v>8049</v>
      </c>
      <c r="F3133" s="13">
        <v>30</v>
      </c>
      <c r="G3133" s="13" t="s">
        <v>404</v>
      </c>
      <c r="H3133" s="13" t="s">
        <v>409</v>
      </c>
    </row>
    <row r="3134" spans="1:8">
      <c r="A3134" s="13" t="s">
        <v>7796</v>
      </c>
      <c r="B3134" s="13">
        <v>5</v>
      </c>
      <c r="E3134" s="13" t="s">
        <v>8050</v>
      </c>
      <c r="F3134" s="13">
        <v>31</v>
      </c>
      <c r="G3134" s="13" t="s">
        <v>650</v>
      </c>
      <c r="H3134" s="13" t="s">
        <v>273</v>
      </c>
    </row>
    <row r="3135" spans="1:8">
      <c r="A3135" s="13" t="s">
        <v>7797</v>
      </c>
      <c r="B3135" s="13">
        <v>5</v>
      </c>
      <c r="E3135" s="13" t="s">
        <v>8051</v>
      </c>
      <c r="F3135" s="13">
        <v>32</v>
      </c>
      <c r="G3135" s="13" t="s">
        <v>420</v>
      </c>
      <c r="H3135" s="13" t="s">
        <v>148</v>
      </c>
    </row>
    <row r="3136" spans="1:8">
      <c r="A3136" s="13" t="s">
        <v>7798</v>
      </c>
      <c r="B3136" s="13">
        <v>5</v>
      </c>
      <c r="E3136" s="13" t="s">
        <v>8052</v>
      </c>
      <c r="F3136" s="13">
        <v>33</v>
      </c>
      <c r="G3136" s="13" t="s">
        <v>429</v>
      </c>
      <c r="H3136" s="13" t="s">
        <v>434</v>
      </c>
    </row>
    <row r="3137" spans="1:8">
      <c r="A3137" s="13" t="s">
        <v>7799</v>
      </c>
      <c r="B3137" s="13">
        <v>5</v>
      </c>
      <c r="E3137" s="13" t="s">
        <v>8053</v>
      </c>
      <c r="F3137" s="13">
        <v>34</v>
      </c>
      <c r="G3137" s="13" t="s">
        <v>186</v>
      </c>
      <c r="H3137" s="13" t="s">
        <v>46</v>
      </c>
    </row>
    <row r="3138" spans="1:8">
      <c r="A3138" s="13" t="s">
        <v>7800</v>
      </c>
      <c r="B3138" s="13">
        <v>5</v>
      </c>
      <c r="E3138" s="13" t="s">
        <v>8054</v>
      </c>
      <c r="F3138" s="13">
        <v>35</v>
      </c>
      <c r="G3138" s="13" t="s">
        <v>141</v>
      </c>
      <c r="H3138" s="13" t="s">
        <v>148</v>
      </c>
    </row>
    <row r="3139" spans="1:8">
      <c r="A3139" s="13" t="s">
        <v>7801</v>
      </c>
      <c r="B3139" s="13">
        <v>5</v>
      </c>
      <c r="E3139" s="13" t="s">
        <v>8055</v>
      </c>
      <c r="F3139" s="13">
        <v>36</v>
      </c>
      <c r="G3139" s="13" t="s">
        <v>566</v>
      </c>
      <c r="H3139" s="13" t="s">
        <v>189</v>
      </c>
    </row>
    <row r="3140" spans="1:8">
      <c r="A3140" s="13" t="s">
        <v>7802</v>
      </c>
      <c r="B3140" s="13">
        <v>5</v>
      </c>
      <c r="E3140" s="13" t="s">
        <v>8056</v>
      </c>
      <c r="F3140" s="13">
        <v>37</v>
      </c>
      <c r="G3140" s="13" t="s">
        <v>575</v>
      </c>
      <c r="H3140" s="13" t="s">
        <v>194</v>
      </c>
    </row>
    <row r="3141" spans="1:8">
      <c r="A3141" s="13" t="s">
        <v>7803</v>
      </c>
      <c r="B3141" s="13">
        <v>5</v>
      </c>
      <c r="E3141" s="13" t="s">
        <v>8057</v>
      </c>
      <c r="F3141" s="13">
        <v>38</v>
      </c>
      <c r="G3141" s="13" t="s">
        <v>715</v>
      </c>
      <c r="H3141" s="13" t="s">
        <v>6</v>
      </c>
    </row>
    <row r="3142" spans="1:8">
      <c r="A3142" s="13" t="s">
        <v>7804</v>
      </c>
      <c r="B3142" s="13">
        <v>5</v>
      </c>
      <c r="E3142" s="13" t="s">
        <v>8058</v>
      </c>
      <c r="F3142" s="13">
        <v>39</v>
      </c>
      <c r="G3142" s="13" t="s">
        <v>530</v>
      </c>
      <c r="H3142" s="13" t="s">
        <v>46</v>
      </c>
    </row>
    <row r="3143" spans="1:8">
      <c r="A3143" s="13" t="s">
        <v>7805</v>
      </c>
      <c r="B3143" s="13">
        <v>5</v>
      </c>
      <c r="E3143" s="13" t="s">
        <v>8059</v>
      </c>
      <c r="F3143" s="13">
        <v>40</v>
      </c>
      <c r="G3143" s="13" t="s">
        <v>276</v>
      </c>
      <c r="H3143" s="13" t="s">
        <v>46</v>
      </c>
    </row>
    <row r="3144" spans="1:8">
      <c r="A3144" s="13" t="s">
        <v>7806</v>
      </c>
      <c r="B3144" s="13">
        <v>5</v>
      </c>
      <c r="E3144" s="13" t="s">
        <v>8060</v>
      </c>
      <c r="F3144" s="13">
        <v>41</v>
      </c>
      <c r="G3144" s="13" t="s">
        <v>270</v>
      </c>
      <c r="H3144" s="13" t="s">
        <v>273</v>
      </c>
    </row>
    <row r="3145" spans="1:8">
      <c r="A3145" s="13" t="s">
        <v>7807</v>
      </c>
      <c r="B3145" s="13">
        <v>5</v>
      </c>
      <c r="E3145" s="13" t="s">
        <v>8061</v>
      </c>
      <c r="F3145" s="13">
        <v>42</v>
      </c>
      <c r="G3145" s="13" t="s">
        <v>718</v>
      </c>
      <c r="H3145" s="13" t="s">
        <v>46</v>
      </c>
    </row>
    <row r="3146" spans="1:8">
      <c r="A3146" s="13" t="s">
        <v>7808</v>
      </c>
      <c r="B3146" s="13">
        <v>5</v>
      </c>
      <c r="E3146" s="13" t="s">
        <v>8062</v>
      </c>
      <c r="F3146" s="13">
        <v>43</v>
      </c>
      <c r="G3146" s="13" t="s">
        <v>721</v>
      </c>
      <c r="H3146" s="13" t="s">
        <v>46</v>
      </c>
    </row>
    <row r="3147" spans="1:8">
      <c r="A3147" s="13" t="s">
        <v>7809</v>
      </c>
      <c r="B3147" s="13">
        <v>5</v>
      </c>
      <c r="E3147" s="13" t="s">
        <v>8063</v>
      </c>
      <c r="F3147" s="13">
        <v>44</v>
      </c>
      <c r="G3147" s="13" t="s">
        <v>443</v>
      </c>
      <c r="H3147" s="13" t="s">
        <v>454</v>
      </c>
    </row>
    <row r="3148" spans="1:8">
      <c r="A3148" s="13" t="s">
        <v>7810</v>
      </c>
      <c r="B3148" s="13">
        <v>5</v>
      </c>
      <c r="E3148" s="13" t="s">
        <v>8064</v>
      </c>
      <c r="F3148" s="13">
        <v>45</v>
      </c>
      <c r="G3148" s="13" t="s">
        <v>326</v>
      </c>
      <c r="H3148" s="13" t="s">
        <v>337</v>
      </c>
    </row>
    <row r="3149" spans="1:8">
      <c r="A3149" s="13" t="s">
        <v>7811</v>
      </c>
      <c r="B3149" s="13">
        <v>5</v>
      </c>
      <c r="E3149" s="13" t="s">
        <v>8065</v>
      </c>
      <c r="F3149" s="13">
        <v>46</v>
      </c>
      <c r="G3149" s="13" t="s">
        <v>497</v>
      </c>
      <c r="H3149" s="13" t="s">
        <v>366</v>
      </c>
    </row>
    <row r="3150" spans="1:8">
      <c r="A3150" s="13" t="s">
        <v>7812</v>
      </c>
      <c r="B3150" s="13">
        <v>5</v>
      </c>
      <c r="E3150" s="13" t="s">
        <v>8066</v>
      </c>
      <c r="F3150" s="13">
        <v>47</v>
      </c>
      <c r="G3150" s="13" t="s">
        <v>660</v>
      </c>
      <c r="H3150" s="13" t="s">
        <v>46</v>
      </c>
    </row>
    <row r="3151" spans="1:8">
      <c r="A3151" s="13" t="s">
        <v>7813</v>
      </c>
      <c r="B3151" s="13">
        <v>5</v>
      </c>
      <c r="E3151" s="13" t="s">
        <v>8067</v>
      </c>
      <c r="F3151" s="13">
        <v>48</v>
      </c>
      <c r="G3151" s="13" t="s">
        <v>279</v>
      </c>
      <c r="H3151" s="13" t="s">
        <v>46</v>
      </c>
    </row>
    <row r="3152" spans="1:8">
      <c r="A3152" s="13" t="s">
        <v>7814</v>
      </c>
      <c r="B3152" s="13">
        <v>5</v>
      </c>
      <c r="E3152" s="13" t="s">
        <v>8068</v>
      </c>
      <c r="F3152" s="13">
        <v>49</v>
      </c>
      <c r="G3152" s="13" t="s">
        <v>307</v>
      </c>
      <c r="H3152" s="13" t="s">
        <v>312</v>
      </c>
    </row>
    <row r="3153" spans="1:8">
      <c r="A3153" s="13" t="s">
        <v>7815</v>
      </c>
      <c r="B3153" s="13">
        <v>5</v>
      </c>
      <c r="E3153" s="13" t="s">
        <v>8069</v>
      </c>
      <c r="F3153" s="13">
        <v>50</v>
      </c>
      <c r="G3153" s="13" t="s">
        <v>317</v>
      </c>
      <c r="H3153" s="13" t="s">
        <v>320</v>
      </c>
    </row>
    <row r="3154" spans="1:8">
      <c r="A3154" s="13" t="s">
        <v>7816</v>
      </c>
      <c r="B3154" s="13">
        <v>5</v>
      </c>
      <c r="E3154" s="13" t="s">
        <v>8070</v>
      </c>
      <c r="F3154" s="13">
        <v>51</v>
      </c>
      <c r="G3154" s="13" t="s">
        <v>376</v>
      </c>
      <c r="H3154" s="13" t="s">
        <v>273</v>
      </c>
    </row>
    <row r="3155" spans="1:8">
      <c r="A3155" s="13" t="s">
        <v>7817</v>
      </c>
      <c r="B3155" s="13">
        <v>5</v>
      </c>
      <c r="E3155" s="13" t="s">
        <v>8071</v>
      </c>
      <c r="F3155" s="13">
        <v>52</v>
      </c>
      <c r="G3155" s="13" t="s">
        <v>79</v>
      </c>
      <c r="H3155" s="13" t="s">
        <v>510</v>
      </c>
    </row>
    <row r="3156" spans="1:8">
      <c r="A3156" s="13" t="s">
        <v>7818</v>
      </c>
      <c r="B3156" s="13">
        <v>5</v>
      </c>
      <c r="E3156" s="13" t="s">
        <v>8072</v>
      </c>
      <c r="F3156" s="13">
        <v>53</v>
      </c>
      <c r="G3156" s="13" t="s">
        <v>33</v>
      </c>
      <c r="H3156" s="13" t="s">
        <v>36</v>
      </c>
    </row>
    <row r="3157" spans="1:8">
      <c r="A3157" s="13" t="s">
        <v>7819</v>
      </c>
      <c r="B3157" s="13">
        <v>5</v>
      </c>
      <c r="E3157" s="13" t="s">
        <v>8073</v>
      </c>
      <c r="F3157" s="13">
        <v>54</v>
      </c>
      <c r="G3157" s="13" t="s">
        <v>151</v>
      </c>
      <c r="H3157" s="13" t="s">
        <v>162</v>
      </c>
    </row>
    <row r="3158" spans="1:8">
      <c r="A3158" s="13" t="s">
        <v>7820</v>
      </c>
      <c r="B3158" s="13">
        <v>5</v>
      </c>
      <c r="E3158" s="13" t="s">
        <v>8074</v>
      </c>
      <c r="F3158" s="13">
        <v>55</v>
      </c>
      <c r="G3158" s="13" t="s">
        <v>39</v>
      </c>
      <c r="H3158" s="13" t="s">
        <v>44</v>
      </c>
    </row>
    <row r="3159" spans="1:8">
      <c r="A3159" s="13" t="s">
        <v>7821</v>
      </c>
      <c r="B3159" s="13">
        <v>5</v>
      </c>
      <c r="E3159" s="13" t="s">
        <v>8075</v>
      </c>
      <c r="F3159" s="13">
        <v>56</v>
      </c>
      <c r="G3159" s="13" t="s">
        <v>393</v>
      </c>
      <c r="H3159" s="13" t="s">
        <v>6</v>
      </c>
    </row>
    <row r="3160" spans="1:8">
      <c r="A3160" s="13" t="s">
        <v>7822</v>
      </c>
      <c r="B3160" s="13">
        <v>5</v>
      </c>
      <c r="E3160" s="13" t="s">
        <v>8076</v>
      </c>
      <c r="F3160" s="13">
        <v>57</v>
      </c>
      <c r="G3160" s="13" t="s">
        <v>289</v>
      </c>
      <c r="H3160" s="13" t="s">
        <v>296</v>
      </c>
    </row>
    <row r="3161" spans="1:8">
      <c r="A3161" s="13" t="s">
        <v>7823</v>
      </c>
      <c r="B3161" s="13">
        <v>5</v>
      </c>
      <c r="E3161" s="13" t="s">
        <v>8077</v>
      </c>
      <c r="F3161" s="13">
        <v>58</v>
      </c>
      <c r="G3161" s="13" t="s">
        <v>3</v>
      </c>
      <c r="H3161" s="13" t="s">
        <v>6</v>
      </c>
    </row>
    <row r="3162" spans="1:8">
      <c r="A3162" s="13" t="s">
        <v>7824</v>
      </c>
      <c r="B3162" s="13">
        <v>5</v>
      </c>
      <c r="E3162" s="13" t="s">
        <v>8078</v>
      </c>
      <c r="F3162" s="13">
        <v>59</v>
      </c>
      <c r="G3162" s="13" t="s">
        <v>345</v>
      </c>
      <c r="H3162" s="13" t="s">
        <v>273</v>
      </c>
    </row>
    <row r="3163" spans="1:8">
      <c r="A3163" s="13" t="s">
        <v>7825</v>
      </c>
      <c r="B3163" s="13">
        <v>5</v>
      </c>
      <c r="E3163" s="13" t="s">
        <v>8079</v>
      </c>
      <c r="F3163" s="13">
        <v>60</v>
      </c>
      <c r="G3163" s="13" t="s">
        <v>173</v>
      </c>
      <c r="H3163" s="13" t="s">
        <v>44</v>
      </c>
    </row>
    <row r="3164" spans="1:8">
      <c r="A3164" s="13" t="s">
        <v>7826</v>
      </c>
      <c r="B3164" s="13">
        <v>5</v>
      </c>
      <c r="E3164" s="13" t="s">
        <v>8080</v>
      </c>
      <c r="F3164" s="13">
        <v>61</v>
      </c>
      <c r="G3164" s="13" t="s">
        <v>385</v>
      </c>
      <c r="H3164" s="13" t="s">
        <v>390</v>
      </c>
    </row>
    <row r="3165" spans="1:8">
      <c r="A3165" s="13" t="s">
        <v>7827</v>
      </c>
      <c r="B3165" s="13">
        <v>5</v>
      </c>
      <c r="E3165" s="13" t="s">
        <v>8081</v>
      </c>
      <c r="F3165" s="13">
        <v>62</v>
      </c>
      <c r="G3165" s="13" t="s">
        <v>122</v>
      </c>
      <c r="H3165" s="13" t="s">
        <v>46</v>
      </c>
    </row>
    <row r="3166" spans="1:8">
      <c r="A3166" s="13" t="s">
        <v>7828</v>
      </c>
      <c r="B3166" s="13">
        <v>5</v>
      </c>
      <c r="E3166" s="13" t="s">
        <v>8082</v>
      </c>
      <c r="F3166" s="13">
        <v>63</v>
      </c>
      <c r="G3166" s="13" t="s">
        <v>888</v>
      </c>
      <c r="H3166" s="13" t="s">
        <v>273</v>
      </c>
    </row>
    <row r="3167" spans="1:8">
      <c r="A3167" s="13" t="s">
        <v>7829</v>
      </c>
      <c r="B3167" s="13">
        <v>5</v>
      </c>
      <c r="E3167" s="13" t="s">
        <v>8083</v>
      </c>
      <c r="F3167" s="13">
        <v>64</v>
      </c>
      <c r="G3167" s="13" t="s">
        <v>380</v>
      </c>
      <c r="H3167" s="13" t="s">
        <v>44</v>
      </c>
    </row>
    <row r="3168" spans="1:8">
      <c r="A3168" s="13" t="s">
        <v>7830</v>
      </c>
      <c r="B3168" s="13">
        <v>5</v>
      </c>
      <c r="E3168" s="13" t="s">
        <v>8084</v>
      </c>
      <c r="F3168" s="13">
        <v>65</v>
      </c>
      <c r="G3168" s="13" t="s">
        <v>440</v>
      </c>
      <c r="H3168" s="13" t="s">
        <v>46</v>
      </c>
    </row>
    <row r="3169" spans="1:8">
      <c r="A3169" s="13" t="s">
        <v>7831</v>
      </c>
      <c r="B3169" s="13">
        <v>5</v>
      </c>
      <c r="E3169" s="13" t="s">
        <v>8085</v>
      </c>
      <c r="F3169" s="13">
        <v>66</v>
      </c>
      <c r="G3169" s="13" t="s">
        <v>234</v>
      </c>
      <c r="H3169" s="13" t="s">
        <v>36</v>
      </c>
    </row>
    <row r="3170" spans="1:8">
      <c r="A3170" s="13" t="s">
        <v>7832</v>
      </c>
      <c r="B3170" s="13">
        <v>5</v>
      </c>
      <c r="E3170" s="13" t="s">
        <v>8086</v>
      </c>
      <c r="F3170" s="13">
        <v>67</v>
      </c>
      <c r="G3170" s="13" t="s">
        <v>476</v>
      </c>
      <c r="H3170" s="13" t="s">
        <v>44</v>
      </c>
    </row>
    <row r="3171" spans="1:8">
      <c r="A3171" s="13" t="s">
        <v>7833</v>
      </c>
      <c r="B3171" s="13">
        <v>5</v>
      </c>
      <c r="E3171" s="13" t="s">
        <v>8087</v>
      </c>
      <c r="F3171" s="13">
        <v>68</v>
      </c>
      <c r="G3171" s="13" t="s">
        <v>507</v>
      </c>
      <c r="H3171" s="13" t="s">
        <v>510</v>
      </c>
    </row>
    <row r="3172" spans="1:8">
      <c r="A3172" s="13" t="s">
        <v>7834</v>
      </c>
      <c r="B3172" s="13">
        <v>5</v>
      </c>
      <c r="E3172" s="13" t="s">
        <v>8088</v>
      </c>
      <c r="F3172" s="13">
        <v>69</v>
      </c>
      <c r="G3172" s="13" t="s">
        <v>504</v>
      </c>
      <c r="H3172" s="13" t="s">
        <v>102</v>
      </c>
    </row>
    <row r="3173" spans="1:8">
      <c r="A3173" s="13" t="s">
        <v>7835</v>
      </c>
      <c r="B3173" s="13">
        <v>5</v>
      </c>
      <c r="E3173" s="13" t="s">
        <v>8089</v>
      </c>
      <c r="F3173" s="13">
        <v>70</v>
      </c>
      <c r="G3173" s="13" t="s">
        <v>467</v>
      </c>
      <c r="H3173" s="13" t="s">
        <v>320</v>
      </c>
    </row>
    <row r="3174" spans="1:8">
      <c r="A3174" s="13" t="s">
        <v>7836</v>
      </c>
      <c r="B3174" s="13">
        <v>5</v>
      </c>
      <c r="E3174" s="13" t="s">
        <v>8090</v>
      </c>
      <c r="F3174" s="13">
        <v>71</v>
      </c>
      <c r="G3174" s="13" t="s">
        <v>519</v>
      </c>
      <c r="H3174" s="13" t="s">
        <v>6</v>
      </c>
    </row>
    <row r="3175" spans="1:8">
      <c r="A3175" s="13" t="s">
        <v>7837</v>
      </c>
      <c r="B3175" s="13">
        <v>5</v>
      </c>
      <c r="E3175" s="13" t="s">
        <v>8091</v>
      </c>
      <c r="F3175" s="13">
        <v>72</v>
      </c>
      <c r="G3175" s="13" t="s">
        <v>588</v>
      </c>
      <c r="H3175" s="13" t="s">
        <v>494</v>
      </c>
    </row>
    <row r="3176" spans="1:8">
      <c r="A3176" s="13" t="s">
        <v>7838</v>
      </c>
      <c r="B3176" s="13">
        <v>5</v>
      </c>
      <c r="E3176" s="13" t="s">
        <v>8092</v>
      </c>
      <c r="F3176" s="13">
        <v>73</v>
      </c>
      <c r="G3176" s="13" t="s">
        <v>614</v>
      </c>
      <c r="H3176" s="13" t="s">
        <v>623</v>
      </c>
    </row>
    <row r="3177" spans="1:8">
      <c r="A3177" s="13" t="s">
        <v>7839</v>
      </c>
      <c r="B3177" s="13">
        <v>5</v>
      </c>
      <c r="E3177" s="13" t="s">
        <v>8093</v>
      </c>
      <c r="F3177" s="13">
        <v>74</v>
      </c>
      <c r="G3177" s="13" t="s">
        <v>643</v>
      </c>
      <c r="H3177" s="13" t="s">
        <v>102</v>
      </c>
    </row>
    <row r="3178" spans="1:8">
      <c r="A3178" s="13" t="s">
        <v>7840</v>
      </c>
      <c r="B3178" s="13">
        <v>5</v>
      </c>
      <c r="E3178" s="13" t="s">
        <v>8094</v>
      </c>
      <c r="F3178" s="13">
        <v>75</v>
      </c>
      <c r="G3178" s="13" t="s">
        <v>653</v>
      </c>
      <c r="H3178" s="13" t="s">
        <v>102</v>
      </c>
    </row>
    <row r="3179" spans="1:8">
      <c r="A3179" s="13" t="s">
        <v>7841</v>
      </c>
      <c r="B3179" s="13">
        <v>5</v>
      </c>
      <c r="E3179" s="13" t="s">
        <v>8095</v>
      </c>
      <c r="F3179" s="13">
        <v>76</v>
      </c>
      <c r="G3179" s="13" t="s">
        <v>369</v>
      </c>
      <c r="H3179" s="13" t="s">
        <v>312</v>
      </c>
    </row>
    <row r="3180" spans="1:8">
      <c r="A3180" s="13" t="s">
        <v>7842</v>
      </c>
      <c r="B3180" s="13">
        <v>5</v>
      </c>
      <c r="E3180" s="13" t="s">
        <v>8096</v>
      </c>
      <c r="F3180" s="13">
        <v>77</v>
      </c>
      <c r="G3180" s="13" t="s">
        <v>654</v>
      </c>
      <c r="H3180" s="13" t="s">
        <v>312</v>
      </c>
    </row>
    <row r="3181" spans="1:8">
      <c r="A3181" s="13" t="s">
        <v>7843</v>
      </c>
      <c r="B3181" s="13">
        <v>5</v>
      </c>
      <c r="E3181" s="13" t="s">
        <v>8097</v>
      </c>
      <c r="F3181" s="13">
        <v>78</v>
      </c>
      <c r="G3181" s="13" t="s">
        <v>686</v>
      </c>
      <c r="H3181" s="13" t="s">
        <v>46</v>
      </c>
    </row>
    <row r="3182" spans="1:8">
      <c r="A3182" s="13" t="s">
        <v>7844</v>
      </c>
      <c r="B3182" s="13">
        <v>5</v>
      </c>
      <c r="E3182" s="13" t="s">
        <v>8098</v>
      </c>
      <c r="F3182" s="13">
        <v>79</v>
      </c>
      <c r="G3182" s="13" t="s">
        <v>676</v>
      </c>
      <c r="H3182" s="13" t="s">
        <v>273</v>
      </c>
    </row>
    <row r="3183" spans="1:8">
      <c r="A3183" s="13" t="s">
        <v>7845</v>
      </c>
      <c r="B3183" s="13">
        <v>5</v>
      </c>
      <c r="E3183" s="13" t="s">
        <v>8099</v>
      </c>
      <c r="F3183" s="13">
        <v>80</v>
      </c>
      <c r="G3183" s="13" t="s">
        <v>668</v>
      </c>
      <c r="H3183" s="13" t="s">
        <v>673</v>
      </c>
    </row>
    <row r="3184" spans="1:8">
      <c r="A3184" s="13" t="s">
        <v>7846</v>
      </c>
      <c r="B3184" s="13">
        <v>5</v>
      </c>
      <c r="E3184" s="13" t="s">
        <v>8100</v>
      </c>
      <c r="F3184" s="13">
        <v>81</v>
      </c>
      <c r="G3184" s="13" t="s">
        <v>687</v>
      </c>
      <c r="H3184" s="13" t="s">
        <v>46</v>
      </c>
    </row>
    <row r="3185" spans="1:8">
      <c r="A3185" s="13" t="s">
        <v>7847</v>
      </c>
      <c r="B3185" s="13">
        <v>5</v>
      </c>
      <c r="E3185" s="13" t="s">
        <v>8101</v>
      </c>
      <c r="F3185" s="13">
        <v>82</v>
      </c>
      <c r="G3185" s="13" t="s">
        <v>690</v>
      </c>
      <c r="H3185" s="13" t="s">
        <v>494</v>
      </c>
    </row>
    <row r="3186" spans="1:8">
      <c r="A3186" s="13" t="s">
        <v>7848</v>
      </c>
      <c r="B3186" s="13">
        <v>5</v>
      </c>
      <c r="E3186" s="13" t="s">
        <v>8102</v>
      </c>
      <c r="F3186" s="13">
        <v>83</v>
      </c>
      <c r="G3186" s="13" t="s">
        <v>697</v>
      </c>
      <c r="H3186" s="13" t="s">
        <v>46</v>
      </c>
    </row>
    <row r="3187" spans="1:8">
      <c r="A3187" s="13" t="s">
        <v>7849</v>
      </c>
      <c r="B3187" s="13">
        <v>5</v>
      </c>
      <c r="E3187" s="13" t="s">
        <v>8103</v>
      </c>
      <c r="F3187" s="13">
        <v>84</v>
      </c>
      <c r="G3187" s="13" t="s">
        <v>248</v>
      </c>
      <c r="H3187" s="13" t="s">
        <v>253</v>
      </c>
    </row>
    <row r="3188" spans="1:8">
      <c r="A3188" s="13" t="s">
        <v>7850</v>
      </c>
      <c r="B3188" s="13">
        <v>5</v>
      </c>
      <c r="E3188" s="13" t="s">
        <v>8104</v>
      </c>
      <c r="F3188" s="13">
        <v>85</v>
      </c>
      <c r="G3188" s="13" t="s">
        <v>513</v>
      </c>
      <c r="H3188" s="13" t="s">
        <v>273</v>
      </c>
    </row>
    <row r="3189" spans="1:8">
      <c r="A3189" s="13" t="s">
        <v>7851</v>
      </c>
      <c r="B3189" s="13">
        <v>5</v>
      </c>
      <c r="E3189" s="13" t="s">
        <v>8105</v>
      </c>
      <c r="F3189" s="13">
        <v>86</v>
      </c>
      <c r="G3189" s="13" t="s">
        <v>520</v>
      </c>
      <c r="H3189" s="13" t="s">
        <v>527</v>
      </c>
    </row>
    <row r="3190" spans="1:8">
      <c r="A3190" s="13" t="s">
        <v>7852</v>
      </c>
      <c r="B3190" s="13">
        <v>5</v>
      </c>
      <c r="E3190" s="13" t="s">
        <v>8106</v>
      </c>
      <c r="F3190" s="13">
        <v>87</v>
      </c>
      <c r="G3190" s="13" t="s">
        <v>302</v>
      </c>
      <c r="H3190" s="13" t="s">
        <v>46</v>
      </c>
    </row>
    <row r="3191" spans="1:8">
      <c r="A3191" s="13" t="s">
        <v>7853</v>
      </c>
      <c r="B3191" s="13">
        <v>5</v>
      </c>
      <c r="E3191" s="13" t="s">
        <v>8107</v>
      </c>
      <c r="F3191" s="13">
        <v>88</v>
      </c>
      <c r="G3191" s="13" t="s">
        <v>681</v>
      </c>
      <c r="H3191" s="13" t="s">
        <v>94</v>
      </c>
    </row>
    <row r="3192" spans="1:8">
      <c r="A3192" s="13" t="s">
        <v>7854</v>
      </c>
      <c r="B3192" s="13">
        <v>5</v>
      </c>
      <c r="E3192" s="13" t="s">
        <v>8108</v>
      </c>
      <c r="F3192" s="13">
        <v>89</v>
      </c>
      <c r="G3192" s="13" t="s">
        <v>551</v>
      </c>
      <c r="H3192" s="13" t="s">
        <v>36</v>
      </c>
    </row>
    <row r="3193" spans="1:8">
      <c r="A3193" s="13" t="s">
        <v>7855</v>
      </c>
      <c r="B3193" s="13">
        <v>5</v>
      </c>
      <c r="E3193" s="13" t="s">
        <v>8109</v>
      </c>
      <c r="F3193" s="13">
        <v>90</v>
      </c>
      <c r="G3193" s="13" t="s">
        <v>712</v>
      </c>
      <c r="H3193" s="13" t="s">
        <v>46</v>
      </c>
    </row>
    <row r="3194" spans="1:8">
      <c r="A3194" s="13" t="s">
        <v>7856</v>
      </c>
      <c r="B3194" s="13">
        <v>5</v>
      </c>
      <c r="E3194" s="13" t="s">
        <v>8110</v>
      </c>
      <c r="F3194" s="13">
        <v>91</v>
      </c>
      <c r="G3194" s="13" t="s">
        <v>189</v>
      </c>
      <c r="H3194" s="13" t="s">
        <v>62</v>
      </c>
    </row>
    <row r="3195" spans="1:8">
      <c r="A3195" s="13" t="s">
        <v>7857</v>
      </c>
      <c r="B3195" s="13">
        <v>5</v>
      </c>
      <c r="E3195" s="13" t="s">
        <v>8111</v>
      </c>
      <c r="F3195" s="13">
        <v>92</v>
      </c>
      <c r="G3195" s="13" t="s">
        <v>700</v>
      </c>
      <c r="H3195" s="13" t="s">
        <v>102</v>
      </c>
    </row>
    <row r="3196" spans="1:8">
      <c r="A3196" s="13" t="s">
        <v>7858</v>
      </c>
      <c r="B3196" s="13">
        <v>5</v>
      </c>
      <c r="E3196" s="13" t="s">
        <v>8112</v>
      </c>
      <c r="F3196" s="13">
        <v>93</v>
      </c>
      <c r="G3196" s="13" t="s">
        <v>116</v>
      </c>
      <c r="H3196" s="13" t="s">
        <v>46</v>
      </c>
    </row>
    <row r="3197" spans="1:8">
      <c r="A3197" s="13" t="s">
        <v>7859</v>
      </c>
      <c r="B3197" s="13">
        <v>5</v>
      </c>
      <c r="E3197" s="13" t="s">
        <v>8113</v>
      </c>
      <c r="F3197" s="13">
        <v>94</v>
      </c>
      <c r="G3197" s="13" t="s">
        <v>119</v>
      </c>
      <c r="H3197" s="13" t="s">
        <v>46</v>
      </c>
    </row>
    <row r="3198" spans="1:8">
      <c r="A3198" s="13" t="s">
        <v>7860</v>
      </c>
      <c r="B3198" s="13">
        <v>5</v>
      </c>
      <c r="E3198" s="13" t="s">
        <v>8114</v>
      </c>
      <c r="F3198" s="13">
        <v>95</v>
      </c>
      <c r="G3198" s="13" t="s">
        <v>514</v>
      </c>
      <c r="H3198" s="13" t="s">
        <v>312</v>
      </c>
    </row>
    <row r="3199" spans="1:8">
      <c r="A3199" s="13" t="s">
        <v>7861</v>
      </c>
      <c r="B3199" s="13">
        <v>5</v>
      </c>
      <c r="E3199" s="13" t="s">
        <v>8115</v>
      </c>
      <c r="F3199" s="13">
        <v>96</v>
      </c>
      <c r="G3199" s="13" t="s">
        <v>210</v>
      </c>
      <c r="H3199" s="13" t="s">
        <v>46</v>
      </c>
    </row>
    <row r="3200" spans="1:8">
      <c r="A3200" s="13" t="s">
        <v>7862</v>
      </c>
      <c r="B3200" s="13">
        <v>5</v>
      </c>
      <c r="E3200" s="13" t="s">
        <v>8116</v>
      </c>
      <c r="F3200" s="13">
        <v>97</v>
      </c>
      <c r="G3200" s="13" t="s">
        <v>247</v>
      </c>
      <c r="H3200" s="13" t="s">
        <v>46</v>
      </c>
    </row>
    <row r="3201" spans="1:8">
      <c r="A3201" s="13" t="s">
        <v>7863</v>
      </c>
      <c r="B3201" s="13">
        <v>5</v>
      </c>
      <c r="E3201" s="13" t="s">
        <v>8117</v>
      </c>
      <c r="F3201" s="13">
        <v>98</v>
      </c>
      <c r="G3201" s="13" t="s">
        <v>54</v>
      </c>
      <c r="H3201" s="13" t="s">
        <v>46</v>
      </c>
    </row>
    <row r="3202" spans="1:8">
      <c r="A3202" s="13" t="s">
        <v>7864</v>
      </c>
      <c r="B3202" s="13">
        <v>5</v>
      </c>
      <c r="E3202" s="13" t="s">
        <v>8118</v>
      </c>
      <c r="F3202" s="13">
        <v>99</v>
      </c>
      <c r="G3202" s="13" t="s">
        <v>262</v>
      </c>
      <c r="H3202" s="13" t="s">
        <v>46</v>
      </c>
    </row>
    <row r="3203" spans="1:8">
      <c r="A3203" s="13" t="s">
        <v>7865</v>
      </c>
      <c r="B3203" s="13">
        <v>5</v>
      </c>
      <c r="E3203" s="13" t="s">
        <v>8119</v>
      </c>
      <c r="F3203" s="13">
        <v>100</v>
      </c>
      <c r="G3203" s="13" t="s">
        <v>165</v>
      </c>
      <c r="H3203" s="13" t="s">
        <v>46</v>
      </c>
    </row>
    <row r="3204" spans="1:8">
      <c r="A3204" s="13" t="s">
        <v>7866</v>
      </c>
      <c r="B3204" s="13">
        <v>5</v>
      </c>
      <c r="E3204" s="13" t="s">
        <v>8120</v>
      </c>
      <c r="F3204" s="13">
        <v>101</v>
      </c>
      <c r="G3204" s="13" t="s">
        <v>218</v>
      </c>
      <c r="H3204" s="13" t="s">
        <v>71</v>
      </c>
    </row>
    <row r="3205" spans="1:8">
      <c r="A3205" s="13" t="s">
        <v>7867</v>
      </c>
      <c r="B3205" s="13">
        <v>5</v>
      </c>
      <c r="E3205" s="13" t="s">
        <v>8121</v>
      </c>
      <c r="F3205" s="13">
        <v>102</v>
      </c>
      <c r="G3205" s="13" t="s">
        <v>256</v>
      </c>
      <c r="H3205" s="13" t="s">
        <v>46</v>
      </c>
    </row>
    <row r="3206" spans="1:8">
      <c r="A3206" s="13" t="s">
        <v>7868</v>
      </c>
      <c r="B3206" s="13">
        <v>5</v>
      </c>
      <c r="E3206" s="13" t="s">
        <v>8122</v>
      </c>
      <c r="F3206" s="13">
        <v>103</v>
      </c>
      <c r="G3206" s="13" t="s">
        <v>65</v>
      </c>
      <c r="H3206" s="13" t="s">
        <v>46</v>
      </c>
    </row>
    <row r="3207" spans="1:8">
      <c r="A3207" s="13" t="s">
        <v>7869</v>
      </c>
      <c r="B3207" s="13">
        <v>5</v>
      </c>
      <c r="E3207" s="13" t="s">
        <v>8123</v>
      </c>
      <c r="F3207" s="13">
        <v>104</v>
      </c>
      <c r="G3207" s="13" t="s">
        <v>229</v>
      </c>
      <c r="H3207" s="13" t="s">
        <v>46</v>
      </c>
    </row>
    <row r="3208" spans="1:8">
      <c r="A3208" s="13" t="s">
        <v>7870</v>
      </c>
      <c r="B3208" s="13">
        <v>5</v>
      </c>
      <c r="E3208" s="13" t="s">
        <v>8124</v>
      </c>
      <c r="F3208" s="13">
        <v>105</v>
      </c>
      <c r="G3208" s="13" t="s">
        <v>709</v>
      </c>
      <c r="H3208" s="13" t="s">
        <v>46</v>
      </c>
    </row>
    <row r="3209" spans="1:8">
      <c r="A3209" s="13" t="s">
        <v>7871</v>
      </c>
      <c r="B3209" s="13">
        <v>5</v>
      </c>
      <c r="E3209" s="13" t="s">
        <v>8125</v>
      </c>
      <c r="F3209" s="13">
        <v>106</v>
      </c>
      <c r="G3209" s="13" t="s">
        <v>554</v>
      </c>
      <c r="H3209" s="13" t="s">
        <v>46</v>
      </c>
    </row>
    <row r="3210" spans="1:8">
      <c r="A3210" s="13" t="s">
        <v>7872</v>
      </c>
      <c r="B3210" s="13">
        <v>5</v>
      </c>
      <c r="E3210" s="13" t="s">
        <v>8126</v>
      </c>
      <c r="F3210" s="13">
        <v>107</v>
      </c>
      <c r="G3210" s="13" t="s">
        <v>557</v>
      </c>
      <c r="H3210" s="13" t="s">
        <v>46</v>
      </c>
    </row>
    <row r="3211" spans="1:8">
      <c r="A3211" s="13" t="s">
        <v>7873</v>
      </c>
      <c r="B3211" s="13">
        <v>5</v>
      </c>
      <c r="E3211" s="13" t="s">
        <v>8127</v>
      </c>
      <c r="F3211" s="13">
        <v>108</v>
      </c>
      <c r="G3211" s="13" t="s">
        <v>657</v>
      </c>
      <c r="H3211" s="13" t="s">
        <v>46</v>
      </c>
    </row>
    <row r="3212" spans="1:8">
      <c r="A3212" s="13" t="s">
        <v>7874</v>
      </c>
      <c r="B3212" s="13">
        <v>5</v>
      </c>
      <c r="E3212" s="13" t="s">
        <v>8128</v>
      </c>
      <c r="F3212" s="13">
        <v>109</v>
      </c>
      <c r="G3212" s="13" t="s">
        <v>935</v>
      </c>
      <c r="H3212" s="13" t="s">
        <v>102</v>
      </c>
    </row>
    <row r="3213" spans="1:8">
      <c r="A3213" s="13" t="s">
        <v>7875</v>
      </c>
      <c r="B3213" s="13">
        <v>5</v>
      </c>
      <c r="E3213" s="13" t="s">
        <v>8129</v>
      </c>
      <c r="F3213" s="13">
        <v>110</v>
      </c>
      <c r="G3213" s="13" t="s">
        <v>132</v>
      </c>
      <c r="H3213" s="13" t="s">
        <v>44</v>
      </c>
    </row>
    <row r="3214" spans="1:8">
      <c r="A3214" s="13" t="s">
        <v>7876</v>
      </c>
      <c r="B3214" s="13">
        <v>5</v>
      </c>
      <c r="E3214" s="13" t="s">
        <v>8130</v>
      </c>
      <c r="F3214" s="13">
        <v>111</v>
      </c>
      <c r="G3214" s="13" t="s">
        <v>74</v>
      </c>
      <c r="H3214" s="13" t="s">
        <v>46</v>
      </c>
    </row>
    <row r="3215" spans="1:8">
      <c r="A3215" s="13" t="s">
        <v>7877</v>
      </c>
      <c r="B3215" s="13">
        <v>5</v>
      </c>
      <c r="E3215" s="13" t="s">
        <v>8131</v>
      </c>
      <c r="F3215" s="13">
        <v>112</v>
      </c>
      <c r="G3215" s="13" t="s">
        <v>611</v>
      </c>
      <c r="H3215" s="13" t="s">
        <v>46</v>
      </c>
    </row>
    <row r="3216" spans="1:8">
      <c r="A3216" s="13" t="s">
        <v>7878</v>
      </c>
      <c r="B3216" s="13">
        <v>5</v>
      </c>
      <c r="E3216" s="13" t="s">
        <v>8132</v>
      </c>
      <c r="F3216" s="13">
        <v>113</v>
      </c>
      <c r="G3216" s="13" t="s">
        <v>340</v>
      </c>
      <c r="H3216" s="13" t="s">
        <v>71</v>
      </c>
    </row>
    <row r="3217" spans="1:8">
      <c r="A3217" s="13" t="s">
        <v>7879</v>
      </c>
      <c r="B3217" s="13">
        <v>5</v>
      </c>
      <c r="E3217" s="13" t="s">
        <v>8133</v>
      </c>
      <c r="F3217" s="13">
        <v>114</v>
      </c>
      <c r="G3217" s="13" t="s">
        <v>548</v>
      </c>
      <c r="H3217" s="13" t="s">
        <v>46</v>
      </c>
    </row>
    <row r="3218" spans="1:8">
      <c r="A3218" s="13" t="s">
        <v>7880</v>
      </c>
      <c r="B3218" s="13">
        <v>5</v>
      </c>
      <c r="E3218" s="13" t="s">
        <v>8134</v>
      </c>
      <c r="F3218" s="13">
        <v>115</v>
      </c>
      <c r="G3218" s="13" t="s">
        <v>178</v>
      </c>
      <c r="H3218" s="13" t="s">
        <v>94</v>
      </c>
    </row>
    <row r="3219" spans="1:8">
      <c r="A3219" s="13" t="s">
        <v>7881</v>
      </c>
      <c r="B3219" s="13">
        <v>5</v>
      </c>
      <c r="E3219" s="13" t="s">
        <v>8135</v>
      </c>
      <c r="F3219" s="13">
        <v>116</v>
      </c>
      <c r="G3219" s="13" t="s">
        <v>259</v>
      </c>
      <c r="H3219" s="13" t="s">
        <v>46</v>
      </c>
    </row>
    <row r="3220" spans="1:8">
      <c r="A3220" s="13" t="s">
        <v>7882</v>
      </c>
      <c r="B3220" s="13">
        <v>5</v>
      </c>
      <c r="E3220" s="13" t="s">
        <v>8136</v>
      </c>
      <c r="F3220" s="13">
        <v>117</v>
      </c>
      <c r="G3220" s="13" t="s">
        <v>45</v>
      </c>
      <c r="H3220" s="13" t="s">
        <v>46</v>
      </c>
    </row>
    <row r="3221" spans="1:8">
      <c r="A3221" s="13" t="s">
        <v>7883</v>
      </c>
      <c r="B3221" s="13">
        <v>5</v>
      </c>
      <c r="E3221" s="13" t="s">
        <v>8137</v>
      </c>
      <c r="F3221" s="13">
        <v>118</v>
      </c>
      <c r="G3221" s="13" t="s">
        <v>57</v>
      </c>
      <c r="H3221" s="13" t="s">
        <v>46</v>
      </c>
    </row>
    <row r="3222" spans="1:8">
      <c r="A3222" s="13" t="s">
        <v>7884</v>
      </c>
      <c r="B3222" s="13">
        <v>5</v>
      </c>
      <c r="E3222" s="13" t="s">
        <v>8138</v>
      </c>
      <c r="F3222" s="13">
        <v>119</v>
      </c>
      <c r="G3222" s="13" t="s">
        <v>11</v>
      </c>
      <c r="H3222" s="13" t="s">
        <v>6</v>
      </c>
    </row>
    <row r="3223" spans="1:8">
      <c r="A3223" s="13" t="s">
        <v>7885</v>
      </c>
      <c r="B3223" s="13">
        <v>5</v>
      </c>
      <c r="E3223" s="13" t="s">
        <v>8139</v>
      </c>
      <c r="F3223" s="13">
        <v>120</v>
      </c>
      <c r="G3223" s="13" t="s">
        <v>137</v>
      </c>
      <c r="H3223" s="13" t="s">
        <v>46</v>
      </c>
    </row>
    <row r="3224" spans="1:8">
      <c r="A3224" s="13" t="s">
        <v>7886</v>
      </c>
      <c r="B3224" s="13">
        <v>5</v>
      </c>
      <c r="E3224" s="13" t="s">
        <v>8140</v>
      </c>
      <c r="F3224" s="13">
        <v>121</v>
      </c>
      <c r="G3224" s="13" t="s">
        <v>110</v>
      </c>
      <c r="H3224" s="13" t="s">
        <v>46</v>
      </c>
    </row>
    <row r="3225" spans="1:8">
      <c r="A3225" s="13" t="s">
        <v>7887</v>
      </c>
      <c r="B3225" s="13">
        <v>5</v>
      </c>
      <c r="E3225" s="13" t="s">
        <v>8141</v>
      </c>
      <c r="F3225" s="13">
        <v>122</v>
      </c>
      <c r="G3225" s="13" t="s">
        <v>36</v>
      </c>
      <c r="H3225" s="13" t="s">
        <v>62</v>
      </c>
    </row>
    <row r="3226" spans="1:8">
      <c r="A3226" s="13" t="s">
        <v>7888</v>
      </c>
      <c r="B3226" s="13">
        <v>5</v>
      </c>
      <c r="E3226" s="13" t="s">
        <v>8142</v>
      </c>
      <c r="F3226" s="13">
        <v>123</v>
      </c>
      <c r="G3226" s="13" t="s">
        <v>125</v>
      </c>
      <c r="H3226" s="13" t="s">
        <v>46</v>
      </c>
    </row>
    <row r="3227" spans="1:8">
      <c r="A3227" s="13" t="s">
        <v>7889</v>
      </c>
      <c r="B3227" s="13">
        <v>5</v>
      </c>
      <c r="E3227" s="13" t="s">
        <v>8143</v>
      </c>
      <c r="F3227" s="13">
        <v>124</v>
      </c>
      <c r="G3227" s="13" t="s">
        <v>722</v>
      </c>
      <c r="H3227" s="13" t="s">
        <v>46</v>
      </c>
    </row>
    <row r="3228" spans="1:8">
      <c r="A3228" s="13" t="s">
        <v>7890</v>
      </c>
      <c r="B3228" s="13">
        <v>5</v>
      </c>
      <c r="E3228" s="13" t="s">
        <v>8144</v>
      </c>
      <c r="F3228" s="13">
        <v>125</v>
      </c>
      <c r="G3228" s="13" t="s">
        <v>99</v>
      </c>
      <c r="H3228" s="13" t="s">
        <v>102</v>
      </c>
    </row>
    <row r="3229" spans="1:8">
      <c r="A3229" s="13" t="s">
        <v>7891</v>
      </c>
      <c r="B3229" s="13">
        <v>5</v>
      </c>
      <c r="E3229" s="13" t="s">
        <v>8145</v>
      </c>
      <c r="F3229" s="13">
        <v>126</v>
      </c>
      <c r="G3229" s="13" t="s">
        <v>703</v>
      </c>
      <c r="H3229" s="13" t="s">
        <v>46</v>
      </c>
    </row>
    <row r="3230" spans="1:8">
      <c r="A3230" s="13" t="s">
        <v>7892</v>
      </c>
      <c r="B3230" s="13">
        <v>5</v>
      </c>
      <c r="E3230" s="13" t="s">
        <v>8146</v>
      </c>
      <c r="F3230" s="13">
        <v>127</v>
      </c>
      <c r="G3230" s="13" t="s">
        <v>640</v>
      </c>
      <c r="H3230" s="13" t="s">
        <v>46</v>
      </c>
    </row>
    <row r="3231" spans="1:8">
      <c r="A3231" s="13" t="s">
        <v>7893</v>
      </c>
      <c r="B3231" s="13">
        <v>5</v>
      </c>
      <c r="E3231" s="13" t="s">
        <v>8147</v>
      </c>
      <c r="F3231" s="13">
        <v>128</v>
      </c>
      <c r="G3231" s="13" t="s">
        <v>284</v>
      </c>
      <c r="H3231" s="13" t="s">
        <v>46</v>
      </c>
    </row>
    <row r="3232" spans="1:8">
      <c r="A3232" s="13" t="s">
        <v>7894</v>
      </c>
      <c r="B3232" s="13">
        <v>5</v>
      </c>
      <c r="E3232" s="13" t="s">
        <v>8148</v>
      </c>
      <c r="F3232" s="13">
        <v>129</v>
      </c>
      <c r="G3232" s="13" t="s">
        <v>223</v>
      </c>
      <c r="H3232" s="13" t="s">
        <v>46</v>
      </c>
    </row>
    <row r="3233" spans="1:8">
      <c r="A3233" s="13" t="s">
        <v>7895</v>
      </c>
      <c r="B3233" s="13">
        <v>5</v>
      </c>
      <c r="E3233" s="13" t="s">
        <v>8149</v>
      </c>
      <c r="F3233" s="13">
        <v>130</v>
      </c>
      <c r="G3233" s="13" t="s">
        <v>138</v>
      </c>
      <c r="H3233" s="13" t="s">
        <v>46</v>
      </c>
    </row>
    <row r="3234" spans="1:8">
      <c r="A3234" s="13" t="s">
        <v>7896</v>
      </c>
      <c r="B3234" s="13">
        <v>5</v>
      </c>
      <c r="E3234" s="13" t="s">
        <v>8150</v>
      </c>
      <c r="F3234" s="13">
        <v>131</v>
      </c>
      <c r="G3234" s="13" t="s">
        <v>239</v>
      </c>
      <c r="H3234" s="13" t="s">
        <v>46</v>
      </c>
    </row>
    <row r="3235" spans="1:8">
      <c r="A3235" s="13" t="s">
        <v>7897</v>
      </c>
      <c r="B3235" s="13">
        <v>5</v>
      </c>
      <c r="E3235" s="13" t="s">
        <v>8151</v>
      </c>
      <c r="F3235" s="13">
        <v>132</v>
      </c>
      <c r="G3235" s="13" t="s">
        <v>244</v>
      </c>
      <c r="H3235" s="13" t="s">
        <v>46</v>
      </c>
    </row>
    <row r="3236" spans="1:8">
      <c r="A3236" s="13" t="s">
        <v>7898</v>
      </c>
      <c r="B3236" s="13">
        <v>5</v>
      </c>
      <c r="E3236" s="13" t="s">
        <v>8152</v>
      </c>
      <c r="F3236" s="13">
        <v>133</v>
      </c>
      <c r="G3236" s="13" t="s">
        <v>105</v>
      </c>
      <c r="H3236" s="13" t="s">
        <v>46</v>
      </c>
    </row>
    <row r="3237" spans="1:8">
      <c r="A3237" s="13" t="s">
        <v>7899</v>
      </c>
      <c r="B3237" s="13">
        <v>5</v>
      </c>
      <c r="E3237" s="13" t="s">
        <v>8153</v>
      </c>
      <c r="F3237" s="13">
        <v>134</v>
      </c>
      <c r="G3237" s="13" t="s">
        <v>323</v>
      </c>
      <c r="H3237" s="13" t="s">
        <v>46</v>
      </c>
    </row>
    <row r="3238" spans="1:8">
      <c r="A3238" s="13" t="s">
        <v>7900</v>
      </c>
      <c r="B3238" s="13">
        <v>5</v>
      </c>
      <c r="E3238" s="13" t="s">
        <v>8154</v>
      </c>
      <c r="F3238" s="13">
        <v>135</v>
      </c>
      <c r="G3238" s="13" t="s">
        <v>265</v>
      </c>
      <c r="H3238" s="13" t="s">
        <v>102</v>
      </c>
    </row>
    <row r="3239" spans="1:8">
      <c r="A3239" s="13" t="s">
        <v>7901</v>
      </c>
      <c r="B3239" s="13">
        <v>5</v>
      </c>
      <c r="E3239" s="13" t="s">
        <v>8155</v>
      </c>
      <c r="F3239" s="13">
        <v>136</v>
      </c>
      <c r="G3239" s="13" t="s">
        <v>183</v>
      </c>
      <c r="H3239" s="13" t="s">
        <v>46</v>
      </c>
    </row>
    <row r="3240" spans="1:8">
      <c r="A3240" s="13" t="s">
        <v>7902</v>
      </c>
      <c r="B3240" s="13">
        <v>5</v>
      </c>
      <c r="E3240" s="13" t="s">
        <v>8156</v>
      </c>
      <c r="F3240" s="13">
        <v>137</v>
      </c>
      <c r="G3240" s="13" t="s">
        <v>126</v>
      </c>
      <c r="H3240" s="13" t="s">
        <v>46</v>
      </c>
    </row>
    <row r="3241" spans="1:8">
      <c r="A3241" s="13" t="s">
        <v>7903</v>
      </c>
      <c r="B3241" s="13">
        <v>5</v>
      </c>
      <c r="E3241" s="13" t="s">
        <v>8157</v>
      </c>
      <c r="F3241" s="13">
        <v>138</v>
      </c>
      <c r="G3241" s="13" t="s">
        <v>352</v>
      </c>
      <c r="H3241" s="13" t="s">
        <v>46</v>
      </c>
    </row>
    <row r="3242" spans="1:8">
      <c r="A3242" s="13" t="s">
        <v>7904</v>
      </c>
      <c r="B3242" s="13">
        <v>5</v>
      </c>
      <c r="E3242" s="13" t="s">
        <v>8158</v>
      </c>
      <c r="F3242" s="13">
        <v>139</v>
      </c>
      <c r="G3242" s="13" t="s">
        <v>558</v>
      </c>
      <c r="H3242" s="13" t="s">
        <v>46</v>
      </c>
    </row>
    <row r="3243" spans="1:8">
      <c r="A3243" s="13" t="s">
        <v>7905</v>
      </c>
      <c r="B3243" s="13">
        <v>5</v>
      </c>
      <c r="E3243" s="13" t="s">
        <v>8159</v>
      </c>
      <c r="F3243" s="13">
        <v>140</v>
      </c>
      <c r="G3243" s="13" t="s">
        <v>561</v>
      </c>
      <c r="H3243" s="13" t="s">
        <v>46</v>
      </c>
    </row>
    <row r="3244" spans="1:8">
      <c r="A3244" s="13" t="s">
        <v>7906</v>
      </c>
      <c r="B3244" s="13">
        <v>5</v>
      </c>
      <c r="E3244" s="13" t="s">
        <v>8160</v>
      </c>
      <c r="F3244" s="13">
        <v>141</v>
      </c>
      <c r="G3244" s="13" t="s">
        <v>297</v>
      </c>
      <c r="H3244" s="13" t="s">
        <v>71</v>
      </c>
    </row>
    <row r="3245" spans="1:8">
      <c r="A3245" s="13" t="s">
        <v>7907</v>
      </c>
      <c r="B3245" s="13">
        <v>5</v>
      </c>
      <c r="E3245" s="13" t="s">
        <v>8161</v>
      </c>
      <c r="F3245" s="13">
        <v>142</v>
      </c>
      <c r="G3245" s="13" t="s">
        <v>26</v>
      </c>
      <c r="H3245" s="13" t="s">
        <v>46</v>
      </c>
    </row>
    <row r="3246" spans="1:8">
      <c r="A3246" s="13" t="s">
        <v>7908</v>
      </c>
      <c r="B3246" s="13">
        <v>5</v>
      </c>
      <c r="E3246" s="13" t="s">
        <v>8162</v>
      </c>
      <c r="F3246" s="13">
        <v>143</v>
      </c>
      <c r="G3246" s="13" t="s">
        <v>49</v>
      </c>
      <c r="H3246" s="13" t="s">
        <v>46</v>
      </c>
    </row>
    <row r="3247" spans="1:8">
      <c r="A3247" s="13" t="s">
        <v>7909</v>
      </c>
      <c r="B3247" s="13">
        <v>5</v>
      </c>
      <c r="E3247" s="13" t="s">
        <v>8163</v>
      </c>
      <c r="F3247" s="13">
        <v>144</v>
      </c>
      <c r="G3247" s="13" t="s">
        <v>706</v>
      </c>
      <c r="H3247" s="13" t="s">
        <v>46</v>
      </c>
    </row>
    <row r="3248" spans="1:8">
      <c r="A3248" s="13" t="s">
        <v>7910</v>
      </c>
      <c r="B3248" s="13">
        <v>5</v>
      </c>
      <c r="E3248" s="13" t="s">
        <v>8164</v>
      </c>
      <c r="F3248" s="13">
        <v>145</v>
      </c>
      <c r="G3248" s="13" t="s">
        <v>412</v>
      </c>
      <c r="H3248" s="13" t="s">
        <v>46</v>
      </c>
    </row>
    <row r="3249" spans="1:8">
      <c r="A3249" s="13" t="s">
        <v>7911</v>
      </c>
      <c r="B3249" s="13">
        <v>5</v>
      </c>
      <c r="E3249" s="13" t="s">
        <v>8165</v>
      </c>
      <c r="F3249" s="13">
        <v>146</v>
      </c>
      <c r="G3249" s="13" t="s">
        <v>398</v>
      </c>
      <c r="H3249" s="13" t="s">
        <v>46</v>
      </c>
    </row>
    <row r="3250" spans="1:8">
      <c r="A3250" s="13" t="s">
        <v>7912</v>
      </c>
      <c r="B3250" s="13">
        <v>5</v>
      </c>
      <c r="E3250" s="13" t="s">
        <v>8166</v>
      </c>
      <c r="F3250" s="13">
        <v>147</v>
      </c>
      <c r="G3250" s="13" t="s">
        <v>437</v>
      </c>
      <c r="H3250" s="13" t="s">
        <v>46</v>
      </c>
    </row>
    <row r="3251" spans="1:8">
      <c r="A3251" s="13" t="s">
        <v>7913</v>
      </c>
      <c r="B3251" s="13">
        <v>5</v>
      </c>
      <c r="E3251" s="13" t="s">
        <v>8167</v>
      </c>
      <c r="F3251" s="13">
        <v>148</v>
      </c>
      <c r="G3251" s="13" t="s">
        <v>731</v>
      </c>
      <c r="H3251" s="13" t="s">
        <v>732</v>
      </c>
    </row>
    <row r="3252" spans="1:8">
      <c r="A3252" s="13" t="s">
        <v>7914</v>
      </c>
      <c r="B3252" s="13">
        <v>5</v>
      </c>
      <c r="E3252" s="13" t="s">
        <v>8168</v>
      </c>
      <c r="F3252" s="13">
        <v>149</v>
      </c>
      <c r="G3252" s="13" t="s">
        <v>727</v>
      </c>
      <c r="H3252" s="13" t="s">
        <v>728</v>
      </c>
    </row>
    <row r="3253" spans="1:8">
      <c r="A3253" s="13" t="s">
        <v>7207</v>
      </c>
    </row>
    <row r="3254" spans="1:8">
      <c r="A3254" s="13" t="s">
        <v>7208</v>
      </c>
    </row>
    <row r="3255" spans="1:8">
      <c r="A3255" s="13" t="s">
        <v>7209</v>
      </c>
    </row>
    <row r="3256" spans="1:8">
      <c r="A3256" s="13" t="s">
        <v>4842</v>
      </c>
    </row>
    <row r="3257" spans="1:8">
      <c r="A3257" s="13" t="s">
        <v>4843</v>
      </c>
    </row>
    <row r="3258" spans="1:8">
      <c r="A3258" s="13" t="s">
        <v>4844</v>
      </c>
    </row>
    <row r="3259" spans="1:8">
      <c r="A3259" s="13" t="s">
        <v>4845</v>
      </c>
    </row>
    <row r="3260" spans="1:8" customFormat="1">
      <c r="A3260" s="13" t="s">
        <v>4846</v>
      </c>
    </row>
    <row r="3261" spans="1:8" customFormat="1">
      <c r="A3261" s="13" t="s">
        <v>4847</v>
      </c>
    </row>
    <row r="3262" spans="1:8" customFormat="1">
      <c r="A3262" s="13" t="s">
        <v>4848</v>
      </c>
    </row>
    <row r="3263" spans="1:8" customFormat="1">
      <c r="A3263" s="13" t="s">
        <v>4849</v>
      </c>
    </row>
    <row r="3264" spans="1:8" customFormat="1">
      <c r="A3264" s="13" t="s">
        <v>4850</v>
      </c>
    </row>
    <row r="3265" spans="1:1" customFormat="1">
      <c r="A3265" s="13" t="s">
        <v>4851</v>
      </c>
    </row>
    <row r="3266" spans="1:1" customFormat="1">
      <c r="A3266" s="13" t="s">
        <v>4852</v>
      </c>
    </row>
    <row r="3267" spans="1:1" customFormat="1">
      <c r="A3267" s="13" t="s">
        <v>4853</v>
      </c>
    </row>
    <row r="3268" spans="1:1" customFormat="1">
      <c r="A3268" s="13" t="s">
        <v>4854</v>
      </c>
    </row>
    <row r="3269" spans="1:1" customFormat="1">
      <c r="A3269" s="13" t="s">
        <v>4855</v>
      </c>
    </row>
    <row r="3270" spans="1:1" customFormat="1">
      <c r="A3270" s="13" t="s">
        <v>4856</v>
      </c>
    </row>
    <row r="3271" spans="1:1" customFormat="1">
      <c r="A3271" s="13" t="s">
        <v>4857</v>
      </c>
    </row>
    <row r="3272" spans="1:1" customFormat="1">
      <c r="A3272" s="13" t="s">
        <v>4858</v>
      </c>
    </row>
    <row r="3273" spans="1:1" customFormat="1">
      <c r="A3273" s="13" t="s">
        <v>4859</v>
      </c>
    </row>
    <row r="3274" spans="1:1" customFormat="1">
      <c r="A3274" s="13" t="s">
        <v>4860</v>
      </c>
    </row>
    <row r="3275" spans="1:1" customFormat="1">
      <c r="A3275" s="13" t="s">
        <v>4861</v>
      </c>
    </row>
    <row r="3276" spans="1:1" customFormat="1">
      <c r="A3276" s="13" t="s">
        <v>4862</v>
      </c>
    </row>
    <row r="3277" spans="1:1" customFormat="1">
      <c r="A3277" s="13" t="s">
        <v>4863</v>
      </c>
    </row>
    <row r="3278" spans="1:1" customFormat="1">
      <c r="A3278" s="13" t="s">
        <v>4864</v>
      </c>
    </row>
    <row r="3279" spans="1:1" customFormat="1">
      <c r="A3279" s="13" t="s">
        <v>4865</v>
      </c>
    </row>
    <row r="3280" spans="1:1" customFormat="1">
      <c r="A3280" s="13" t="s">
        <v>4866</v>
      </c>
    </row>
    <row r="3281" spans="1:1" customFormat="1">
      <c r="A3281" s="13" t="s">
        <v>4867</v>
      </c>
    </row>
    <row r="3282" spans="1:1" customFormat="1">
      <c r="A3282" s="13" t="s">
        <v>4868</v>
      </c>
    </row>
    <row r="3283" spans="1:1" customFormat="1">
      <c r="A3283" s="13" t="s">
        <v>4869</v>
      </c>
    </row>
    <row r="3284" spans="1:1" customFormat="1">
      <c r="A3284" s="13" t="s">
        <v>4870</v>
      </c>
    </row>
    <row r="3285" spans="1:1" customFormat="1">
      <c r="A3285" s="13" t="s">
        <v>4871</v>
      </c>
    </row>
    <row r="3286" spans="1:1" customFormat="1">
      <c r="A3286" s="13" t="s">
        <v>4872</v>
      </c>
    </row>
    <row r="3287" spans="1:1" customFormat="1">
      <c r="A3287" s="13" t="s">
        <v>4873</v>
      </c>
    </row>
    <row r="3288" spans="1:1" customFormat="1">
      <c r="A3288" s="13" t="s">
        <v>4874</v>
      </c>
    </row>
    <row r="3289" spans="1:1" customFormat="1">
      <c r="A3289" s="13" t="s">
        <v>4875</v>
      </c>
    </row>
    <row r="3290" spans="1:1" customFormat="1">
      <c r="A3290" s="13" t="s">
        <v>4876</v>
      </c>
    </row>
    <row r="3291" spans="1:1" customFormat="1">
      <c r="A3291" s="13" t="s">
        <v>4877</v>
      </c>
    </row>
    <row r="3292" spans="1:1" customFormat="1">
      <c r="A3292" s="13" t="s">
        <v>4878</v>
      </c>
    </row>
    <row r="3293" spans="1:1" customFormat="1">
      <c r="A3293" s="13" t="s">
        <v>4879</v>
      </c>
    </row>
    <row r="3294" spans="1:1" customFormat="1">
      <c r="A3294" s="13" t="s">
        <v>4880</v>
      </c>
    </row>
    <row r="3295" spans="1:1" customFormat="1">
      <c r="A3295" s="13"/>
    </row>
    <row r="3296" spans="1:1" customFormat="1">
      <c r="A3296" s="13" t="s">
        <v>4881</v>
      </c>
    </row>
    <row r="3297" spans="1:1" customFormat="1">
      <c r="A3297" s="13" t="s">
        <v>4882</v>
      </c>
    </row>
    <row r="3298" spans="1:1" customFormat="1">
      <c r="A3298" s="13" t="s">
        <v>4883</v>
      </c>
    </row>
    <row r="3299" spans="1:1" customFormat="1">
      <c r="A3299" s="13" t="s">
        <v>4884</v>
      </c>
    </row>
    <row r="3300" spans="1:1" customFormat="1">
      <c r="A3300" s="13" t="s">
        <v>4885</v>
      </c>
    </row>
    <row r="3301" spans="1:1" customFormat="1">
      <c r="A3301" s="13" t="s">
        <v>4886</v>
      </c>
    </row>
    <row r="3302" spans="1:1" customFormat="1">
      <c r="A3302" s="13" t="s">
        <v>4887</v>
      </c>
    </row>
    <row r="3303" spans="1:1" customFormat="1">
      <c r="A3303" s="13" t="s">
        <v>4888</v>
      </c>
    </row>
    <row r="3304" spans="1:1" customFormat="1">
      <c r="A3304" s="13" t="s">
        <v>4889</v>
      </c>
    </row>
    <row r="3305" spans="1:1" customFormat="1">
      <c r="A3305" s="13" t="s">
        <v>4890</v>
      </c>
    </row>
    <row r="3306" spans="1:1" customFormat="1">
      <c r="A3306" s="13" t="s">
        <v>4891</v>
      </c>
    </row>
    <row r="3307" spans="1:1" customFormat="1">
      <c r="A3307" s="13" t="s">
        <v>4892</v>
      </c>
    </row>
    <row r="3308" spans="1:1" customFormat="1">
      <c r="A3308" s="13" t="s">
        <v>4893</v>
      </c>
    </row>
    <row r="3309" spans="1:1" customFormat="1">
      <c r="A3309" s="13" t="s">
        <v>4894</v>
      </c>
    </row>
    <row r="3310" spans="1:1" customFormat="1">
      <c r="A3310" s="13" t="s">
        <v>4895</v>
      </c>
    </row>
    <row r="3311" spans="1:1" customFormat="1">
      <c r="A3311" s="13" t="s">
        <v>4896</v>
      </c>
    </row>
    <row r="3312" spans="1:1" customFormat="1">
      <c r="A3312" s="13" t="s">
        <v>4897</v>
      </c>
    </row>
    <row r="3313" spans="1:1" customFormat="1">
      <c r="A3313" s="13" t="s">
        <v>4898</v>
      </c>
    </row>
    <row r="3314" spans="1:1" customFormat="1">
      <c r="A3314" s="13" t="s">
        <v>4899</v>
      </c>
    </row>
    <row r="3315" spans="1:1" customFormat="1">
      <c r="A3315" s="13" t="s">
        <v>4900</v>
      </c>
    </row>
    <row r="3316" spans="1:1" customFormat="1">
      <c r="A3316" s="13" t="s">
        <v>4901</v>
      </c>
    </row>
    <row r="3317" spans="1:1" customFormat="1">
      <c r="A3317" s="13" t="s">
        <v>4902</v>
      </c>
    </row>
    <row r="3318" spans="1:1" customFormat="1">
      <c r="A3318" s="13" t="s">
        <v>4903</v>
      </c>
    </row>
    <row r="3319" spans="1:1" customFormat="1">
      <c r="A3319" s="13" t="s">
        <v>4904</v>
      </c>
    </row>
    <row r="3320" spans="1:1" customFormat="1">
      <c r="A3320" s="13" t="s">
        <v>4905</v>
      </c>
    </row>
    <row r="3321" spans="1:1" customFormat="1">
      <c r="A3321" s="13" t="s">
        <v>4906</v>
      </c>
    </row>
    <row r="3322" spans="1:1" customFormat="1">
      <c r="A3322" s="13" t="s">
        <v>4907</v>
      </c>
    </row>
    <row r="3323" spans="1:1" customFormat="1">
      <c r="A3323" s="13" t="s">
        <v>4908</v>
      </c>
    </row>
    <row r="3324" spans="1:1" customFormat="1">
      <c r="A3324" s="13" t="s">
        <v>4909</v>
      </c>
    </row>
    <row r="3325" spans="1:1" customFormat="1">
      <c r="A3325" s="13" t="s">
        <v>4910</v>
      </c>
    </row>
    <row r="3326" spans="1:1" customFormat="1">
      <c r="A3326" s="13" t="s">
        <v>4911</v>
      </c>
    </row>
    <row r="3327" spans="1:1" customFormat="1">
      <c r="A3327" s="13" t="s">
        <v>4912</v>
      </c>
    </row>
    <row r="3328" spans="1:1" customFormat="1">
      <c r="A3328" s="13" t="s">
        <v>4913</v>
      </c>
    </row>
    <row r="3329" spans="1:1" customFormat="1">
      <c r="A3329" s="13" t="s">
        <v>4914</v>
      </c>
    </row>
    <row r="3330" spans="1:1" customFormat="1">
      <c r="A3330" s="13" t="s">
        <v>4915</v>
      </c>
    </row>
    <row r="3331" spans="1:1" customFormat="1">
      <c r="A3331" s="13" t="s">
        <v>4916</v>
      </c>
    </row>
    <row r="3332" spans="1:1" customFormat="1">
      <c r="A3332" s="13" t="s">
        <v>4917</v>
      </c>
    </row>
    <row r="3333" spans="1:1" customFormat="1">
      <c r="A3333" s="13" t="s">
        <v>4918</v>
      </c>
    </row>
    <row r="3334" spans="1:1" customFormat="1">
      <c r="A3334" s="13" t="s">
        <v>4919</v>
      </c>
    </row>
    <row r="3335" spans="1:1" customFormat="1">
      <c r="A3335" s="13" t="s">
        <v>4920</v>
      </c>
    </row>
    <row r="3336" spans="1:1" customFormat="1">
      <c r="A3336" s="13" t="s">
        <v>4921</v>
      </c>
    </row>
    <row r="3337" spans="1:1" customFormat="1">
      <c r="A3337" s="13" t="s">
        <v>4922</v>
      </c>
    </row>
    <row r="3338" spans="1:1" customFormat="1">
      <c r="A3338" s="13" t="s">
        <v>4923</v>
      </c>
    </row>
    <row r="3339" spans="1:1" customFormat="1">
      <c r="A3339" s="13" t="s">
        <v>4924</v>
      </c>
    </row>
    <row r="3340" spans="1:1" customFormat="1">
      <c r="A3340" s="13" t="s">
        <v>4925</v>
      </c>
    </row>
    <row r="3341" spans="1:1" customFormat="1">
      <c r="A3341" s="13" t="s">
        <v>4926</v>
      </c>
    </row>
    <row r="3342" spans="1:1" customFormat="1">
      <c r="A3342" s="13" t="s">
        <v>4927</v>
      </c>
    </row>
    <row r="3343" spans="1:1" customFormat="1">
      <c r="A3343" s="13" t="s">
        <v>4928</v>
      </c>
    </row>
    <row r="3344" spans="1:1" customFormat="1">
      <c r="A3344" s="13" t="s">
        <v>4929</v>
      </c>
    </row>
    <row r="3345" spans="1:1" customFormat="1">
      <c r="A3345" s="13" t="s">
        <v>4930</v>
      </c>
    </row>
    <row r="3346" spans="1:1" customFormat="1">
      <c r="A3346" s="13" t="s">
        <v>4931</v>
      </c>
    </row>
    <row r="3347" spans="1:1" customFormat="1">
      <c r="A3347" s="13" t="s">
        <v>4932</v>
      </c>
    </row>
    <row r="3348" spans="1:1" customFormat="1">
      <c r="A3348" s="13" t="s">
        <v>4933</v>
      </c>
    </row>
    <row r="3349" spans="1:1" customFormat="1">
      <c r="A3349" s="13" t="s">
        <v>4934</v>
      </c>
    </row>
    <row r="3350" spans="1:1" customFormat="1">
      <c r="A3350" s="13" t="s">
        <v>4935</v>
      </c>
    </row>
    <row r="3351" spans="1:1" customFormat="1">
      <c r="A3351" s="13" t="s">
        <v>4936</v>
      </c>
    </row>
    <row r="3352" spans="1:1" customFormat="1">
      <c r="A3352" s="13" t="s">
        <v>4937</v>
      </c>
    </row>
    <row r="3353" spans="1:1" customFormat="1">
      <c r="A3353" s="13" t="s">
        <v>4938</v>
      </c>
    </row>
    <row r="3354" spans="1:1" customFormat="1">
      <c r="A3354" s="13" t="s">
        <v>4939</v>
      </c>
    </row>
    <row r="3355" spans="1:1" customFormat="1">
      <c r="A3355" s="13" t="s">
        <v>4940</v>
      </c>
    </row>
    <row r="3356" spans="1:1" customFormat="1">
      <c r="A3356" s="13" t="s">
        <v>4941</v>
      </c>
    </row>
    <row r="3357" spans="1:1" customFormat="1">
      <c r="A3357" s="13" t="s">
        <v>4942</v>
      </c>
    </row>
    <row r="3358" spans="1:1" customFormat="1">
      <c r="A3358" s="13" t="s">
        <v>4943</v>
      </c>
    </row>
    <row r="3359" spans="1:1" customFormat="1">
      <c r="A3359" s="13" t="s">
        <v>4944</v>
      </c>
    </row>
    <row r="3360" spans="1:1" customFormat="1">
      <c r="A3360" s="13" t="s">
        <v>4945</v>
      </c>
    </row>
    <row r="3361" spans="1:1" customFormat="1">
      <c r="A3361" s="13" t="s">
        <v>4946</v>
      </c>
    </row>
    <row r="3362" spans="1:1" customFormat="1">
      <c r="A3362" s="13" t="s">
        <v>4947</v>
      </c>
    </row>
    <row r="3363" spans="1:1" customFormat="1">
      <c r="A3363" s="13" t="s">
        <v>4948</v>
      </c>
    </row>
    <row r="3364" spans="1:1" customFormat="1">
      <c r="A3364" s="13" t="s">
        <v>4949</v>
      </c>
    </row>
    <row r="3365" spans="1:1" customFormat="1">
      <c r="A3365" s="13" t="s">
        <v>4950</v>
      </c>
    </row>
    <row r="3366" spans="1:1" customFormat="1">
      <c r="A3366" s="13" t="s">
        <v>4951</v>
      </c>
    </row>
    <row r="3367" spans="1:1" customFormat="1">
      <c r="A3367" s="13" t="s">
        <v>4952</v>
      </c>
    </row>
    <row r="3368" spans="1:1" customFormat="1">
      <c r="A3368" s="13" t="s">
        <v>4953</v>
      </c>
    </row>
    <row r="3369" spans="1:1" customFormat="1">
      <c r="A3369" s="13" t="s">
        <v>4954</v>
      </c>
    </row>
    <row r="3370" spans="1:1" customFormat="1">
      <c r="A3370" s="13" t="s">
        <v>4955</v>
      </c>
    </row>
    <row r="3371" spans="1:1" customFormat="1">
      <c r="A3371" s="13" t="s">
        <v>4956</v>
      </c>
    </row>
    <row r="3372" spans="1:1" customFormat="1">
      <c r="A3372" s="13" t="s">
        <v>4957</v>
      </c>
    </row>
    <row r="3373" spans="1:1" customFormat="1">
      <c r="A3373" s="13" t="s">
        <v>4958</v>
      </c>
    </row>
    <row r="3374" spans="1:1" customFormat="1">
      <c r="A3374" s="13" t="s">
        <v>4959</v>
      </c>
    </row>
    <row r="3375" spans="1:1" customFormat="1">
      <c r="A3375" s="13" t="s">
        <v>4960</v>
      </c>
    </row>
    <row r="3376" spans="1:1" customFormat="1">
      <c r="A3376" s="13" t="s">
        <v>4961</v>
      </c>
    </row>
    <row r="3377" spans="1:1" customFormat="1">
      <c r="A3377" s="13" t="s">
        <v>4962</v>
      </c>
    </row>
    <row r="3378" spans="1:1" customFormat="1">
      <c r="A3378" s="13" t="s">
        <v>4963</v>
      </c>
    </row>
    <row r="3379" spans="1:1" customFormat="1">
      <c r="A3379" s="13" t="s">
        <v>4964</v>
      </c>
    </row>
    <row r="3380" spans="1:1" customFormat="1">
      <c r="A3380" s="13" t="s">
        <v>4965</v>
      </c>
    </row>
    <row r="3381" spans="1:1" customFormat="1">
      <c r="A3381" s="13" t="s">
        <v>4966</v>
      </c>
    </row>
    <row r="3382" spans="1:1" customFormat="1">
      <c r="A3382" s="13" t="s">
        <v>4967</v>
      </c>
    </row>
    <row r="3383" spans="1:1" customFormat="1">
      <c r="A3383" s="13" t="s">
        <v>4968</v>
      </c>
    </row>
    <row r="3384" spans="1:1" customFormat="1">
      <c r="A3384" s="13" t="s">
        <v>4969</v>
      </c>
    </row>
    <row r="3385" spans="1:1" customFormat="1">
      <c r="A3385" s="13" t="s">
        <v>4970</v>
      </c>
    </row>
    <row r="3386" spans="1:1" customFormat="1">
      <c r="A3386" s="13" t="s">
        <v>4971</v>
      </c>
    </row>
    <row r="3387" spans="1:1" customFormat="1">
      <c r="A3387" s="13" t="s">
        <v>4972</v>
      </c>
    </row>
    <row r="3388" spans="1:1" customFormat="1">
      <c r="A3388" s="13" t="s">
        <v>4973</v>
      </c>
    </row>
    <row r="3389" spans="1:1" customFormat="1">
      <c r="A3389" s="13" t="s">
        <v>4974</v>
      </c>
    </row>
    <row r="3390" spans="1:1" customFormat="1">
      <c r="A3390" s="13" t="s">
        <v>4975</v>
      </c>
    </row>
    <row r="3391" spans="1:1" customFormat="1">
      <c r="A3391" s="13" t="s">
        <v>4976</v>
      </c>
    </row>
    <row r="3392" spans="1:1" customFormat="1">
      <c r="A3392" s="13" t="s">
        <v>4977</v>
      </c>
    </row>
    <row r="3393" spans="1:1" customFormat="1">
      <c r="A3393" s="13" t="s">
        <v>4978</v>
      </c>
    </row>
    <row r="3394" spans="1:1" customFormat="1">
      <c r="A3394" s="13" t="s">
        <v>4979</v>
      </c>
    </row>
    <row r="3395" spans="1:1" customFormat="1">
      <c r="A3395" s="13" t="s">
        <v>4980</v>
      </c>
    </row>
    <row r="3396" spans="1:1" customFormat="1">
      <c r="A3396" s="13" t="s">
        <v>4981</v>
      </c>
    </row>
    <row r="3397" spans="1:1" customFormat="1">
      <c r="A3397" s="13" t="s">
        <v>4982</v>
      </c>
    </row>
    <row r="3398" spans="1:1" customFormat="1">
      <c r="A3398" s="13" t="s">
        <v>4983</v>
      </c>
    </row>
    <row r="3399" spans="1:1" customFormat="1">
      <c r="A3399" s="13" t="s">
        <v>4984</v>
      </c>
    </row>
    <row r="3400" spans="1:1" customFormat="1">
      <c r="A3400" s="13" t="s">
        <v>4985</v>
      </c>
    </row>
    <row r="3401" spans="1:1" customFormat="1">
      <c r="A3401" s="13" t="s">
        <v>4986</v>
      </c>
    </row>
    <row r="3402" spans="1:1" customFormat="1">
      <c r="A3402" s="13" t="s">
        <v>4987</v>
      </c>
    </row>
    <row r="3403" spans="1:1" customFormat="1">
      <c r="A3403" s="13" t="s">
        <v>4988</v>
      </c>
    </row>
    <row r="3404" spans="1:1" customFormat="1">
      <c r="A3404" s="13" t="s">
        <v>4989</v>
      </c>
    </row>
    <row r="3405" spans="1:1" customFormat="1">
      <c r="A3405" s="13" t="s">
        <v>4990</v>
      </c>
    </row>
    <row r="3406" spans="1:1" customFormat="1">
      <c r="A3406" s="13" t="s">
        <v>4991</v>
      </c>
    </row>
    <row r="3407" spans="1:1" customFormat="1">
      <c r="A3407" s="13" t="s">
        <v>4992</v>
      </c>
    </row>
    <row r="3408" spans="1:1" customFormat="1">
      <c r="A3408" s="13" t="s">
        <v>4993</v>
      </c>
    </row>
    <row r="3409" spans="1:1" customFormat="1">
      <c r="A3409" s="13" t="s">
        <v>4994</v>
      </c>
    </row>
    <row r="3410" spans="1:1" customFormat="1">
      <c r="A3410" s="13" t="s">
        <v>4995</v>
      </c>
    </row>
    <row r="3411" spans="1:1" customFormat="1">
      <c r="A3411" s="13" t="s">
        <v>4996</v>
      </c>
    </row>
    <row r="3412" spans="1:1" customFormat="1">
      <c r="A3412" s="13" t="s">
        <v>4997</v>
      </c>
    </row>
    <row r="3413" spans="1:1" customFormat="1">
      <c r="A3413" s="13" t="s">
        <v>4998</v>
      </c>
    </row>
    <row r="3414" spans="1:1" customFormat="1">
      <c r="A3414" s="13" t="s">
        <v>4999</v>
      </c>
    </row>
    <row r="3415" spans="1:1" customFormat="1">
      <c r="A3415" s="13" t="s">
        <v>5000</v>
      </c>
    </row>
    <row r="3416" spans="1:1" customFormat="1">
      <c r="A3416" s="13" t="s">
        <v>5001</v>
      </c>
    </row>
    <row r="3417" spans="1:1" customFormat="1">
      <c r="A3417" s="13" t="s">
        <v>5002</v>
      </c>
    </row>
    <row r="3418" spans="1:1" customFormat="1">
      <c r="A3418" s="13" t="s">
        <v>5003</v>
      </c>
    </row>
    <row r="3419" spans="1:1" customFormat="1">
      <c r="A3419" s="13" t="s">
        <v>5004</v>
      </c>
    </row>
    <row r="3420" spans="1:1" customFormat="1">
      <c r="A3420" s="13" t="s">
        <v>5005</v>
      </c>
    </row>
    <row r="3421" spans="1:1" customFormat="1">
      <c r="A3421" s="13" t="s">
        <v>5006</v>
      </c>
    </row>
    <row r="3422" spans="1:1" customFormat="1">
      <c r="A3422" s="13" t="s">
        <v>5007</v>
      </c>
    </row>
    <row r="3423" spans="1:1" customFormat="1">
      <c r="A3423" s="13" t="s">
        <v>5008</v>
      </c>
    </row>
    <row r="3424" spans="1:1" customFormat="1">
      <c r="A3424" s="13" t="s">
        <v>5009</v>
      </c>
    </row>
    <row r="3425" spans="1:1" customFormat="1">
      <c r="A3425" s="13" t="s">
        <v>5010</v>
      </c>
    </row>
    <row r="3426" spans="1:1" customFormat="1">
      <c r="A3426" s="13" t="s">
        <v>5011</v>
      </c>
    </row>
    <row r="3427" spans="1:1" customFormat="1">
      <c r="A3427" s="13" t="s">
        <v>5012</v>
      </c>
    </row>
    <row r="3428" spans="1:1" customFormat="1">
      <c r="A3428" s="13" t="s">
        <v>5013</v>
      </c>
    </row>
    <row r="3429" spans="1:1" customFormat="1">
      <c r="A3429" s="13" t="s">
        <v>5014</v>
      </c>
    </row>
    <row r="3430" spans="1:1" customFormat="1">
      <c r="A3430" s="13" t="s">
        <v>5015</v>
      </c>
    </row>
    <row r="3431" spans="1:1" customFormat="1">
      <c r="A3431" s="13" t="s">
        <v>5016</v>
      </c>
    </row>
    <row r="3432" spans="1:1" customFormat="1">
      <c r="A3432" s="13" t="s">
        <v>5017</v>
      </c>
    </row>
    <row r="3433" spans="1:1" customFormat="1">
      <c r="A3433" s="13" t="s">
        <v>5018</v>
      </c>
    </row>
    <row r="3434" spans="1:1" customFormat="1">
      <c r="A3434" s="13" t="s">
        <v>5019</v>
      </c>
    </row>
    <row r="3435" spans="1:1" customFormat="1">
      <c r="A3435" s="13" t="s">
        <v>5020</v>
      </c>
    </row>
    <row r="3436" spans="1:1" customFormat="1">
      <c r="A3436" s="13" t="s">
        <v>5021</v>
      </c>
    </row>
    <row r="3437" spans="1:1" customFormat="1">
      <c r="A3437" s="13" t="s">
        <v>5022</v>
      </c>
    </row>
    <row r="3438" spans="1:1" customFormat="1">
      <c r="A3438" s="13" t="s">
        <v>5023</v>
      </c>
    </row>
    <row r="3439" spans="1:1" customFormat="1">
      <c r="A3439" s="13" t="s">
        <v>5024</v>
      </c>
    </row>
    <row r="3440" spans="1:1" customFormat="1">
      <c r="A3440" s="13" t="s">
        <v>5025</v>
      </c>
    </row>
    <row r="3441" spans="1:1" customFormat="1">
      <c r="A3441" s="13" t="s">
        <v>5026</v>
      </c>
    </row>
    <row r="3442" spans="1:1" customFormat="1">
      <c r="A3442" s="13" t="s">
        <v>5027</v>
      </c>
    </row>
    <row r="3443" spans="1:1" customFormat="1">
      <c r="A3443" s="13" t="s">
        <v>5028</v>
      </c>
    </row>
    <row r="3444" spans="1:1" customFormat="1">
      <c r="A3444" s="13" t="s">
        <v>5029</v>
      </c>
    </row>
    <row r="3445" spans="1:1" customFormat="1">
      <c r="A3445" s="13" t="s">
        <v>5030</v>
      </c>
    </row>
    <row r="3446" spans="1:1" customFormat="1">
      <c r="A3446" s="13" t="s">
        <v>5031</v>
      </c>
    </row>
    <row r="3447" spans="1:1" customFormat="1">
      <c r="A3447" s="13" t="s">
        <v>5032</v>
      </c>
    </row>
    <row r="3448" spans="1:1" customFormat="1">
      <c r="A3448" s="13" t="s">
        <v>5033</v>
      </c>
    </row>
    <row r="3449" spans="1:1" customFormat="1">
      <c r="A3449" s="13" t="s">
        <v>5034</v>
      </c>
    </row>
    <row r="3450" spans="1:1" customFormat="1">
      <c r="A3450" s="13" t="s">
        <v>5035</v>
      </c>
    </row>
    <row r="3451" spans="1:1" customFormat="1">
      <c r="A3451" s="13" t="s">
        <v>5036</v>
      </c>
    </row>
    <row r="3452" spans="1:1" customFormat="1">
      <c r="A3452" s="13" t="s">
        <v>5037</v>
      </c>
    </row>
    <row r="3453" spans="1:1" customFormat="1">
      <c r="A3453" s="13" t="s">
        <v>5038</v>
      </c>
    </row>
    <row r="3454" spans="1:1" customFormat="1">
      <c r="A3454" s="13" t="s">
        <v>5039</v>
      </c>
    </row>
    <row r="3455" spans="1:1" customFormat="1">
      <c r="A3455" s="13" t="s">
        <v>5040</v>
      </c>
    </row>
    <row r="3456" spans="1:1" customFormat="1">
      <c r="A3456" s="13" t="s">
        <v>5041</v>
      </c>
    </row>
    <row r="3457" spans="1:1" customFormat="1">
      <c r="A3457" s="13" t="s">
        <v>5042</v>
      </c>
    </row>
    <row r="3458" spans="1:1" customFormat="1">
      <c r="A3458" s="13" t="s">
        <v>5043</v>
      </c>
    </row>
    <row r="3459" spans="1:1" customFormat="1">
      <c r="A3459" s="13" t="s">
        <v>5044</v>
      </c>
    </row>
    <row r="3460" spans="1:1" customFormat="1">
      <c r="A3460" s="13" t="s">
        <v>5045</v>
      </c>
    </row>
    <row r="3461" spans="1:1" customFormat="1">
      <c r="A3461" s="13" t="s">
        <v>5046</v>
      </c>
    </row>
    <row r="3462" spans="1:1" customFormat="1">
      <c r="A3462" s="13" t="s">
        <v>5047</v>
      </c>
    </row>
    <row r="3463" spans="1:1" customFormat="1">
      <c r="A3463" s="13" t="s">
        <v>5048</v>
      </c>
    </row>
    <row r="3464" spans="1:1" customFormat="1">
      <c r="A3464" s="13" t="s">
        <v>5049</v>
      </c>
    </row>
    <row r="3465" spans="1:1" customFormat="1">
      <c r="A3465" s="13" t="s">
        <v>5050</v>
      </c>
    </row>
    <row r="3466" spans="1:1" customFormat="1">
      <c r="A3466" s="13" t="s">
        <v>5051</v>
      </c>
    </row>
    <row r="3467" spans="1:1" customFormat="1">
      <c r="A3467" s="13" t="s">
        <v>5052</v>
      </c>
    </row>
    <row r="3468" spans="1:1" customFormat="1">
      <c r="A3468" s="13" t="s">
        <v>5053</v>
      </c>
    </row>
    <row r="3469" spans="1:1" customFormat="1">
      <c r="A3469" s="13" t="s">
        <v>5054</v>
      </c>
    </row>
    <row r="3470" spans="1:1" customFormat="1">
      <c r="A3470" s="13" t="s">
        <v>5055</v>
      </c>
    </row>
    <row r="3471" spans="1:1" customFormat="1">
      <c r="A3471" s="13" t="s">
        <v>5056</v>
      </c>
    </row>
    <row r="3472" spans="1:1" customFormat="1">
      <c r="A3472" s="13" t="s">
        <v>5057</v>
      </c>
    </row>
    <row r="3473" spans="1:1" customFormat="1">
      <c r="A3473" s="13" t="s">
        <v>5058</v>
      </c>
    </row>
    <row r="3474" spans="1:1" customFormat="1">
      <c r="A3474" s="13" t="s">
        <v>5059</v>
      </c>
    </row>
    <row r="3475" spans="1:1" customFormat="1">
      <c r="A3475" s="13" t="s">
        <v>5060</v>
      </c>
    </row>
    <row r="3476" spans="1:1" customFormat="1">
      <c r="A3476" s="13" t="s">
        <v>5061</v>
      </c>
    </row>
    <row r="3477" spans="1:1" customFormat="1">
      <c r="A3477" s="13" t="s">
        <v>5062</v>
      </c>
    </row>
    <row r="3478" spans="1:1" customFormat="1">
      <c r="A3478" s="13" t="s">
        <v>5063</v>
      </c>
    </row>
    <row r="3479" spans="1:1" customFormat="1">
      <c r="A3479" s="13" t="s">
        <v>5064</v>
      </c>
    </row>
    <row r="3480" spans="1:1" customFormat="1">
      <c r="A3480" s="13" t="s">
        <v>5065</v>
      </c>
    </row>
    <row r="3481" spans="1:1" customFormat="1">
      <c r="A3481" s="13" t="s">
        <v>5066</v>
      </c>
    </row>
    <row r="3482" spans="1:1" customFormat="1">
      <c r="A3482" s="13" t="s">
        <v>5067</v>
      </c>
    </row>
    <row r="3483" spans="1:1" customFormat="1">
      <c r="A3483" s="13" t="s">
        <v>5068</v>
      </c>
    </row>
    <row r="3484" spans="1:1" customFormat="1">
      <c r="A3484" s="13" t="s">
        <v>5069</v>
      </c>
    </row>
    <row r="3485" spans="1:1" customFormat="1">
      <c r="A3485" s="13" t="s">
        <v>5070</v>
      </c>
    </row>
    <row r="3486" spans="1:1" customFormat="1">
      <c r="A3486" s="13" t="s">
        <v>5071</v>
      </c>
    </row>
    <row r="3487" spans="1:1" customFormat="1">
      <c r="A3487" s="13" t="s">
        <v>5072</v>
      </c>
    </row>
    <row r="3488" spans="1:1" customFormat="1">
      <c r="A3488" s="13" t="s">
        <v>5073</v>
      </c>
    </row>
    <row r="3489" spans="1:8" customFormat="1">
      <c r="A3489" s="13"/>
    </row>
    <row r="3490" spans="1:8" customFormat="1">
      <c r="A3490" s="13" t="s">
        <v>5074</v>
      </c>
    </row>
    <row r="3491" spans="1:8" customFormat="1">
      <c r="A3491" s="13" t="s">
        <v>5075</v>
      </c>
    </row>
    <row r="3492" spans="1:8" customFormat="1">
      <c r="A3492" s="13" t="s">
        <v>5076</v>
      </c>
    </row>
    <row r="3493" spans="1:8" customFormat="1">
      <c r="A3493" s="13" t="s">
        <v>5077</v>
      </c>
    </row>
    <row r="3494" spans="1:8" customFormat="1">
      <c r="A3494" s="13" t="s">
        <v>5078</v>
      </c>
    </row>
    <row r="3495" spans="1:8">
      <c r="A3495" s="13" t="s">
        <v>5079</v>
      </c>
      <c r="B3495" s="13">
        <v>7</v>
      </c>
      <c r="E3495" s="13" t="s">
        <v>8169</v>
      </c>
      <c r="F3495" s="13">
        <v>4</v>
      </c>
      <c r="G3495" s="13" t="s">
        <v>1158</v>
      </c>
      <c r="H3495" s="13" t="s">
        <v>46</v>
      </c>
    </row>
    <row r="3496" spans="1:8">
      <c r="A3496" s="13" t="s">
        <v>5080</v>
      </c>
      <c r="B3496" s="13">
        <v>7</v>
      </c>
      <c r="E3496" s="13" t="s">
        <v>8170</v>
      </c>
      <c r="F3496" s="13">
        <v>5</v>
      </c>
      <c r="G3496" s="13" t="s">
        <v>1160</v>
      </c>
      <c r="H3496" s="13" t="s">
        <v>46</v>
      </c>
    </row>
    <row r="3497" spans="1:8">
      <c r="A3497" s="13" t="s">
        <v>5081</v>
      </c>
      <c r="B3497" s="13">
        <v>7</v>
      </c>
      <c r="E3497" s="13" t="s">
        <v>8171</v>
      </c>
      <c r="F3497" s="13">
        <v>6</v>
      </c>
      <c r="G3497" s="13" t="s">
        <v>1162</v>
      </c>
      <c r="H3497" s="13" t="s">
        <v>46</v>
      </c>
    </row>
    <row r="3498" spans="1:8">
      <c r="A3498" s="13" t="s">
        <v>5082</v>
      </c>
      <c r="B3498" s="13">
        <v>7</v>
      </c>
      <c r="E3498" s="13" t="s">
        <v>8172</v>
      </c>
      <c r="F3498" s="13">
        <v>7</v>
      </c>
      <c r="G3498" s="13" t="s">
        <v>1164</v>
      </c>
      <c r="H3498" s="13" t="s">
        <v>46</v>
      </c>
    </row>
    <row r="3499" spans="1:8">
      <c r="A3499" s="13" t="s">
        <v>5083</v>
      </c>
      <c r="B3499" s="13">
        <v>7</v>
      </c>
      <c r="E3499" s="13" t="s">
        <v>8173</v>
      </c>
      <c r="F3499" s="13">
        <v>8</v>
      </c>
      <c r="G3499" s="13" t="s">
        <v>1166</v>
      </c>
      <c r="H3499" s="13" t="s">
        <v>46</v>
      </c>
    </row>
    <row r="3500" spans="1:8">
      <c r="A3500" s="13" t="s">
        <v>5084</v>
      </c>
      <c r="B3500" s="13">
        <v>7</v>
      </c>
      <c r="E3500" s="13" t="s">
        <v>8174</v>
      </c>
      <c r="F3500" s="13">
        <v>9</v>
      </c>
      <c r="G3500" s="13" t="s">
        <v>1168</v>
      </c>
      <c r="H3500" s="13" t="s">
        <v>46</v>
      </c>
    </row>
    <row r="3501" spans="1:8">
      <c r="A3501" s="13" t="s">
        <v>5085</v>
      </c>
      <c r="B3501" s="13">
        <v>7</v>
      </c>
      <c r="E3501" s="13" t="s">
        <v>8175</v>
      </c>
      <c r="F3501" s="13">
        <v>10</v>
      </c>
      <c r="G3501" s="13" t="s">
        <v>1170</v>
      </c>
      <c r="H3501" s="13" t="s">
        <v>46</v>
      </c>
    </row>
    <row r="3502" spans="1:8">
      <c r="A3502" s="13" t="s">
        <v>5086</v>
      </c>
      <c r="B3502" s="13">
        <v>7</v>
      </c>
      <c r="E3502" s="13" t="s">
        <v>8176</v>
      </c>
      <c r="F3502" s="13">
        <v>11</v>
      </c>
      <c r="G3502" s="13" t="s">
        <v>1172</v>
      </c>
      <c r="H3502" s="13" t="s">
        <v>46</v>
      </c>
    </row>
    <row r="3503" spans="1:8">
      <c r="A3503" s="13" t="s">
        <v>5087</v>
      </c>
      <c r="B3503" s="13">
        <v>7</v>
      </c>
      <c r="E3503" s="13" t="s">
        <v>8177</v>
      </c>
      <c r="F3503" s="13">
        <v>12</v>
      </c>
      <c r="G3503" s="13" t="s">
        <v>1174</v>
      </c>
      <c r="H3503" s="13" t="s">
        <v>46</v>
      </c>
    </row>
    <row r="3504" spans="1:8">
      <c r="A3504" s="13" t="s">
        <v>5088</v>
      </c>
      <c r="B3504" s="13">
        <v>7</v>
      </c>
      <c r="E3504" s="13" t="s">
        <v>8178</v>
      </c>
      <c r="F3504" s="13">
        <v>13</v>
      </c>
      <c r="G3504" s="13" t="s">
        <v>1176</v>
      </c>
      <c r="H3504" s="13" t="s">
        <v>46</v>
      </c>
    </row>
    <row r="3505" spans="1:8">
      <c r="A3505" s="13" t="s">
        <v>5089</v>
      </c>
      <c r="B3505" s="13">
        <v>7</v>
      </c>
      <c r="E3505" s="13" t="s">
        <v>8179</v>
      </c>
      <c r="F3505" s="13">
        <v>14</v>
      </c>
      <c r="G3505" s="13" t="s">
        <v>1178</v>
      </c>
      <c r="H3505" s="13" t="s">
        <v>46</v>
      </c>
    </row>
    <row r="3506" spans="1:8">
      <c r="A3506" s="13" t="s">
        <v>5090</v>
      </c>
      <c r="B3506" s="13">
        <v>7</v>
      </c>
      <c r="E3506" s="13" t="s">
        <v>8180</v>
      </c>
      <c r="F3506" s="13">
        <v>15</v>
      </c>
      <c r="G3506" s="13" t="s">
        <v>1180</v>
      </c>
      <c r="H3506" s="13" t="s">
        <v>46</v>
      </c>
    </row>
    <row r="3507" spans="1:8">
      <c r="A3507" s="13" t="s">
        <v>5091</v>
      </c>
      <c r="B3507" s="13">
        <v>7</v>
      </c>
      <c r="E3507" s="13" t="s">
        <v>8181</v>
      </c>
      <c r="F3507" s="13">
        <v>16</v>
      </c>
      <c r="G3507" s="13" t="s">
        <v>1182</v>
      </c>
      <c r="H3507" s="13" t="s">
        <v>46</v>
      </c>
    </row>
    <row r="3508" spans="1:8">
      <c r="A3508" s="13" t="s">
        <v>5092</v>
      </c>
      <c r="B3508" s="13">
        <v>7</v>
      </c>
      <c r="E3508" s="13" t="s">
        <v>8182</v>
      </c>
      <c r="F3508" s="13">
        <v>17</v>
      </c>
      <c r="G3508" s="13" t="s">
        <v>1184</v>
      </c>
      <c r="H3508" s="13" t="s">
        <v>46</v>
      </c>
    </row>
    <row r="3509" spans="1:8">
      <c r="A3509" s="13" t="s">
        <v>5093</v>
      </c>
      <c r="B3509" s="13">
        <v>7</v>
      </c>
      <c r="E3509" s="13" t="s">
        <v>8183</v>
      </c>
      <c r="F3509" s="13">
        <v>18</v>
      </c>
      <c r="G3509" s="13" t="s">
        <v>1186</v>
      </c>
      <c r="H3509" s="13" t="s">
        <v>46</v>
      </c>
    </row>
    <row r="3510" spans="1:8">
      <c r="A3510" s="13" t="s">
        <v>5094</v>
      </c>
      <c r="B3510" s="13">
        <v>7</v>
      </c>
      <c r="E3510" s="13" t="s">
        <v>8184</v>
      </c>
      <c r="F3510" s="13">
        <v>19</v>
      </c>
      <c r="G3510" s="13" t="s">
        <v>1188</v>
      </c>
      <c r="H3510" s="13" t="s">
        <v>46</v>
      </c>
    </row>
    <row r="3511" spans="1:8">
      <c r="A3511" s="13" t="s">
        <v>5095</v>
      </c>
      <c r="B3511" s="13">
        <v>7</v>
      </c>
      <c r="E3511" s="13" t="s">
        <v>8185</v>
      </c>
      <c r="F3511" s="13">
        <v>20</v>
      </c>
      <c r="G3511" s="13" t="s">
        <v>1190</v>
      </c>
      <c r="H3511" s="13" t="s">
        <v>46</v>
      </c>
    </row>
    <row r="3512" spans="1:8">
      <c r="A3512" s="13" t="s">
        <v>5096</v>
      </c>
      <c r="B3512" s="13">
        <v>7</v>
      </c>
      <c r="E3512" s="13" t="s">
        <v>8186</v>
      </c>
      <c r="F3512" s="13">
        <v>21</v>
      </c>
      <c r="G3512" s="13" t="s">
        <v>1192</v>
      </c>
      <c r="H3512" s="13" t="s">
        <v>46</v>
      </c>
    </row>
    <row r="3513" spans="1:8">
      <c r="A3513" s="13" t="s">
        <v>5097</v>
      </c>
      <c r="B3513" s="13">
        <v>7</v>
      </c>
      <c r="E3513" s="13" t="s">
        <v>8187</v>
      </c>
      <c r="F3513" s="13">
        <v>22</v>
      </c>
      <c r="G3513" s="13" t="s">
        <v>1194</v>
      </c>
      <c r="H3513" s="13" t="s">
        <v>46</v>
      </c>
    </row>
    <row r="3514" spans="1:8">
      <c r="A3514" s="13" t="s">
        <v>5098</v>
      </c>
      <c r="B3514" s="13">
        <v>7</v>
      </c>
      <c r="E3514" s="13" t="s">
        <v>8188</v>
      </c>
      <c r="F3514" s="13">
        <v>23</v>
      </c>
      <c r="G3514" s="13" t="s">
        <v>1196</v>
      </c>
      <c r="H3514" s="13" t="s">
        <v>46</v>
      </c>
    </row>
    <row r="3515" spans="1:8">
      <c r="A3515" s="13" t="s">
        <v>5099</v>
      </c>
      <c r="B3515" s="13">
        <v>7</v>
      </c>
      <c r="E3515" s="13" t="s">
        <v>8189</v>
      </c>
      <c r="F3515" s="13">
        <v>24</v>
      </c>
      <c r="G3515" s="13" t="s">
        <v>1198</v>
      </c>
      <c r="H3515" s="13" t="s">
        <v>46</v>
      </c>
    </row>
    <row r="3516" spans="1:8">
      <c r="A3516" s="13" t="s">
        <v>5100</v>
      </c>
      <c r="B3516" s="13">
        <v>7</v>
      </c>
      <c r="E3516" s="13" t="s">
        <v>8190</v>
      </c>
      <c r="F3516" s="13">
        <v>25</v>
      </c>
      <c r="G3516" s="13" t="s">
        <v>1200</v>
      </c>
      <c r="H3516" s="13" t="s">
        <v>46</v>
      </c>
    </row>
    <row r="3517" spans="1:8">
      <c r="A3517" s="13" t="s">
        <v>5101</v>
      </c>
      <c r="B3517" s="13">
        <v>7</v>
      </c>
      <c r="E3517" s="13" t="s">
        <v>8191</v>
      </c>
      <c r="F3517" s="13">
        <v>26</v>
      </c>
      <c r="G3517" s="13" t="s">
        <v>1202</v>
      </c>
      <c r="H3517" s="13" t="s">
        <v>46</v>
      </c>
    </row>
    <row r="3518" spans="1:8">
      <c r="A3518" s="13" t="s">
        <v>5102</v>
      </c>
      <c r="B3518" s="13">
        <v>7</v>
      </c>
      <c r="E3518" s="13" t="s">
        <v>8192</v>
      </c>
      <c r="F3518" s="13">
        <v>27</v>
      </c>
      <c r="G3518" s="13" t="s">
        <v>1204</v>
      </c>
      <c r="H3518" s="13" t="s">
        <v>46</v>
      </c>
    </row>
    <row r="3519" spans="1:8">
      <c r="A3519" s="13" t="s">
        <v>5103</v>
      </c>
      <c r="B3519" s="13">
        <v>7</v>
      </c>
      <c r="E3519" s="13" t="s">
        <v>8193</v>
      </c>
      <c r="F3519" s="13">
        <v>28</v>
      </c>
      <c r="G3519" s="13" t="s">
        <v>1206</v>
      </c>
      <c r="H3519" s="13" t="s">
        <v>46</v>
      </c>
    </row>
    <row r="3520" spans="1:8">
      <c r="A3520" s="13" t="s">
        <v>5104</v>
      </c>
      <c r="B3520" s="13">
        <v>7</v>
      </c>
      <c r="E3520" s="13" t="s">
        <v>8194</v>
      </c>
      <c r="F3520" s="13">
        <v>29</v>
      </c>
      <c r="G3520" s="13" t="s">
        <v>1208</v>
      </c>
      <c r="H3520" s="13" t="s">
        <v>46</v>
      </c>
    </row>
    <row r="3521" spans="1:8">
      <c r="A3521" s="13" t="s">
        <v>5105</v>
      </c>
      <c r="B3521" s="13">
        <v>7</v>
      </c>
      <c r="E3521" s="13" t="s">
        <v>8195</v>
      </c>
      <c r="F3521" s="13">
        <v>30</v>
      </c>
      <c r="G3521" s="13" t="s">
        <v>1210</v>
      </c>
      <c r="H3521" s="13" t="s">
        <v>46</v>
      </c>
    </row>
    <row r="3522" spans="1:8">
      <c r="A3522" s="13" t="s">
        <v>5106</v>
      </c>
      <c r="B3522" s="13">
        <v>7</v>
      </c>
      <c r="E3522" s="13" t="s">
        <v>8196</v>
      </c>
      <c r="F3522" s="13">
        <v>31</v>
      </c>
      <c r="G3522" s="13" t="s">
        <v>1212</v>
      </c>
      <c r="H3522" s="13" t="s">
        <v>46</v>
      </c>
    </row>
    <row r="3523" spans="1:8">
      <c r="A3523" s="13" t="s">
        <v>5107</v>
      </c>
      <c r="B3523" s="13">
        <v>7</v>
      </c>
      <c r="E3523" s="13" t="s">
        <v>8197</v>
      </c>
      <c r="F3523" s="13">
        <v>32</v>
      </c>
      <c r="G3523" s="13" t="s">
        <v>1214</v>
      </c>
      <c r="H3523" s="13" t="s">
        <v>46</v>
      </c>
    </row>
    <row r="3524" spans="1:8">
      <c r="A3524" s="13" t="s">
        <v>5108</v>
      </c>
      <c r="B3524" s="13">
        <v>7</v>
      </c>
      <c r="E3524" s="13" t="s">
        <v>8198</v>
      </c>
      <c r="F3524" s="13">
        <v>33</v>
      </c>
      <c r="G3524" s="13" t="s">
        <v>1216</v>
      </c>
      <c r="H3524" s="13" t="s">
        <v>46</v>
      </c>
    </row>
    <row r="3525" spans="1:8">
      <c r="A3525" s="13" t="s">
        <v>5109</v>
      </c>
      <c r="B3525" s="13">
        <v>7</v>
      </c>
      <c r="E3525" s="13" t="s">
        <v>8199</v>
      </c>
      <c r="F3525" s="13">
        <v>34</v>
      </c>
      <c r="G3525" s="13" t="s">
        <v>1218</v>
      </c>
      <c r="H3525" s="13" t="s">
        <v>46</v>
      </c>
    </row>
    <row r="3526" spans="1:8">
      <c r="A3526" s="13" t="s">
        <v>5110</v>
      </c>
      <c r="B3526" s="13">
        <v>7</v>
      </c>
      <c r="E3526" s="13" t="s">
        <v>8200</v>
      </c>
      <c r="F3526" s="13">
        <v>35</v>
      </c>
      <c r="G3526" s="13" t="s">
        <v>1220</v>
      </c>
      <c r="H3526" s="13" t="s">
        <v>46</v>
      </c>
    </row>
    <row r="3527" spans="1:8">
      <c r="A3527" s="13" t="s">
        <v>5111</v>
      </c>
      <c r="B3527" s="13">
        <v>7</v>
      </c>
      <c r="E3527" s="13" t="s">
        <v>8201</v>
      </c>
      <c r="F3527" s="13">
        <v>36</v>
      </c>
      <c r="G3527" s="13" t="s">
        <v>1222</v>
      </c>
      <c r="H3527" s="13" t="s">
        <v>46</v>
      </c>
    </row>
    <row r="3528" spans="1:8">
      <c r="A3528" s="13" t="s">
        <v>5112</v>
      </c>
      <c r="B3528" s="13">
        <v>7</v>
      </c>
      <c r="E3528" s="13" t="s">
        <v>8202</v>
      </c>
      <c r="F3528" s="13">
        <v>37</v>
      </c>
      <c r="G3528" s="13" t="s">
        <v>1224</v>
      </c>
      <c r="H3528" s="13" t="s">
        <v>46</v>
      </c>
    </row>
    <row r="3529" spans="1:8">
      <c r="A3529" s="13" t="s">
        <v>5113</v>
      </c>
      <c r="B3529" s="13">
        <v>7</v>
      </c>
      <c r="E3529" s="13" t="s">
        <v>8203</v>
      </c>
      <c r="F3529" s="13">
        <v>38</v>
      </c>
      <c r="G3529" s="13" t="s">
        <v>1226</v>
      </c>
      <c r="H3529" s="13" t="s">
        <v>46</v>
      </c>
    </row>
    <row r="3530" spans="1:8">
      <c r="A3530" s="13" t="s">
        <v>5114</v>
      </c>
      <c r="B3530" s="13">
        <v>7</v>
      </c>
      <c r="E3530" s="13" t="s">
        <v>8204</v>
      </c>
      <c r="F3530" s="13">
        <v>39</v>
      </c>
      <c r="G3530" s="13" t="s">
        <v>1228</v>
      </c>
      <c r="H3530" s="13" t="s">
        <v>46</v>
      </c>
    </row>
    <row r="3531" spans="1:8">
      <c r="A3531" s="13" t="s">
        <v>5115</v>
      </c>
      <c r="B3531" s="13">
        <v>7</v>
      </c>
      <c r="E3531" s="13" t="s">
        <v>8205</v>
      </c>
      <c r="F3531" s="13">
        <v>40</v>
      </c>
      <c r="G3531" s="13" t="s">
        <v>1230</v>
      </c>
      <c r="H3531" s="13" t="s">
        <v>46</v>
      </c>
    </row>
    <row r="3532" spans="1:8">
      <c r="A3532" s="13" t="s">
        <v>5116</v>
      </c>
      <c r="B3532" s="13">
        <v>7</v>
      </c>
      <c r="E3532" s="13" t="s">
        <v>8206</v>
      </c>
      <c r="F3532" s="13">
        <v>41</v>
      </c>
      <c r="G3532" s="13" t="s">
        <v>1232</v>
      </c>
      <c r="H3532" s="13" t="s">
        <v>46</v>
      </c>
    </row>
    <row r="3533" spans="1:8">
      <c r="A3533" s="13" t="s">
        <v>5117</v>
      </c>
      <c r="B3533" s="13">
        <v>7</v>
      </c>
      <c r="E3533" s="13" t="s">
        <v>8207</v>
      </c>
      <c r="F3533" s="13">
        <v>42</v>
      </c>
      <c r="G3533" s="13" t="s">
        <v>1234</v>
      </c>
      <c r="H3533" s="13" t="s">
        <v>46</v>
      </c>
    </row>
    <row r="3534" spans="1:8">
      <c r="A3534" s="13" t="s">
        <v>5118</v>
      </c>
      <c r="B3534" s="13">
        <v>7</v>
      </c>
      <c r="E3534" s="13" t="s">
        <v>8208</v>
      </c>
      <c r="F3534" s="13">
        <v>43</v>
      </c>
      <c r="G3534" s="13" t="s">
        <v>1236</v>
      </c>
      <c r="H3534" s="13" t="s">
        <v>46</v>
      </c>
    </row>
    <row r="3535" spans="1:8">
      <c r="A3535" s="13" t="s">
        <v>5119</v>
      </c>
      <c r="B3535" s="13">
        <v>7</v>
      </c>
      <c r="E3535" s="13" t="s">
        <v>8209</v>
      </c>
      <c r="F3535" s="13">
        <v>44</v>
      </c>
      <c r="G3535" s="13" t="s">
        <v>1238</v>
      </c>
      <c r="H3535" s="13" t="s">
        <v>46</v>
      </c>
    </row>
    <row r="3536" spans="1:8">
      <c r="A3536" s="13" t="s">
        <v>5120</v>
      </c>
      <c r="B3536" s="13">
        <v>7</v>
      </c>
      <c r="E3536" s="13" t="s">
        <v>8210</v>
      </c>
      <c r="F3536" s="13">
        <v>45</v>
      </c>
      <c r="G3536" s="13" t="s">
        <v>1240</v>
      </c>
      <c r="H3536" s="13" t="s">
        <v>46</v>
      </c>
    </row>
    <row r="3537" spans="1:8">
      <c r="A3537" s="13" t="s">
        <v>5121</v>
      </c>
      <c r="B3537" s="13">
        <v>7</v>
      </c>
      <c r="E3537" s="13" t="s">
        <v>8211</v>
      </c>
      <c r="F3537" s="13">
        <v>46</v>
      </c>
      <c r="G3537" s="13" t="s">
        <v>1242</v>
      </c>
      <c r="H3537" s="13" t="s">
        <v>46</v>
      </c>
    </row>
    <row r="3538" spans="1:8">
      <c r="A3538" s="13" t="s">
        <v>5122</v>
      </c>
      <c r="B3538" s="13">
        <v>7</v>
      </c>
      <c r="E3538" s="13" t="s">
        <v>8212</v>
      </c>
      <c r="F3538" s="13">
        <v>47</v>
      </c>
      <c r="G3538" s="13" t="s">
        <v>1244</v>
      </c>
      <c r="H3538" s="13" t="s">
        <v>46</v>
      </c>
    </row>
    <row r="3539" spans="1:8">
      <c r="A3539" s="13" t="s">
        <v>5123</v>
      </c>
      <c r="B3539" s="13">
        <v>7</v>
      </c>
      <c r="E3539" s="13" t="s">
        <v>8213</v>
      </c>
      <c r="F3539" s="13">
        <v>48</v>
      </c>
      <c r="G3539" s="13" t="s">
        <v>1246</v>
      </c>
      <c r="H3539" s="13" t="s">
        <v>46</v>
      </c>
    </row>
    <row r="3540" spans="1:8">
      <c r="A3540" s="13" t="s">
        <v>5124</v>
      </c>
      <c r="B3540" s="13">
        <v>7</v>
      </c>
      <c r="E3540" s="13" t="s">
        <v>8214</v>
      </c>
      <c r="F3540" s="13">
        <v>49</v>
      </c>
      <c r="G3540" s="13" t="s">
        <v>1248</v>
      </c>
      <c r="H3540" s="13" t="s">
        <v>46</v>
      </c>
    </row>
    <row r="3541" spans="1:8">
      <c r="A3541" s="13" t="s">
        <v>5125</v>
      </c>
      <c r="B3541" s="13">
        <v>7</v>
      </c>
      <c r="E3541" s="13" t="s">
        <v>8215</v>
      </c>
      <c r="F3541" s="13">
        <v>50</v>
      </c>
      <c r="G3541" s="13" t="s">
        <v>1250</v>
      </c>
      <c r="H3541" s="13" t="s">
        <v>46</v>
      </c>
    </row>
    <row r="3542" spans="1:8">
      <c r="A3542" s="13" t="s">
        <v>5126</v>
      </c>
      <c r="B3542" s="13">
        <v>7</v>
      </c>
      <c r="E3542" s="13" t="s">
        <v>8216</v>
      </c>
      <c r="F3542" s="13">
        <v>51</v>
      </c>
      <c r="G3542" s="13" t="s">
        <v>1252</v>
      </c>
      <c r="H3542" s="13" t="s">
        <v>46</v>
      </c>
    </row>
    <row r="3543" spans="1:8">
      <c r="A3543" s="13" t="s">
        <v>5127</v>
      </c>
      <c r="B3543" s="13">
        <v>7</v>
      </c>
      <c r="E3543" s="13" t="s">
        <v>8217</v>
      </c>
      <c r="F3543" s="13">
        <v>52</v>
      </c>
      <c r="G3543" s="13" t="s">
        <v>1254</v>
      </c>
      <c r="H3543" s="13" t="s">
        <v>46</v>
      </c>
    </row>
    <row r="3544" spans="1:8">
      <c r="A3544" s="13" t="s">
        <v>5128</v>
      </c>
      <c r="B3544" s="13">
        <v>7</v>
      </c>
      <c r="E3544" s="13" t="s">
        <v>8218</v>
      </c>
      <c r="F3544" s="13">
        <v>53</v>
      </c>
      <c r="G3544" s="13" t="s">
        <v>1256</v>
      </c>
      <c r="H3544" s="13" t="s">
        <v>46</v>
      </c>
    </row>
    <row r="3545" spans="1:8">
      <c r="A3545" s="13" t="s">
        <v>5129</v>
      </c>
      <c r="B3545" s="13">
        <v>7</v>
      </c>
      <c r="E3545" s="13" t="s">
        <v>8219</v>
      </c>
      <c r="F3545" s="13">
        <v>54</v>
      </c>
      <c r="G3545" s="13" t="s">
        <v>1258</v>
      </c>
      <c r="H3545" s="13" t="s">
        <v>46</v>
      </c>
    </row>
    <row r="3546" spans="1:8">
      <c r="A3546" s="13" t="s">
        <v>5130</v>
      </c>
      <c r="B3546" s="13">
        <v>7</v>
      </c>
      <c r="E3546" s="13" t="s">
        <v>8220</v>
      </c>
      <c r="F3546" s="13">
        <v>55</v>
      </c>
      <c r="G3546" s="13" t="s">
        <v>1260</v>
      </c>
      <c r="H3546" s="13" t="s">
        <v>46</v>
      </c>
    </row>
    <row r="3547" spans="1:8">
      <c r="A3547" s="13" t="s">
        <v>5131</v>
      </c>
      <c r="B3547" s="13">
        <v>7</v>
      </c>
      <c r="E3547" s="13" t="s">
        <v>8221</v>
      </c>
      <c r="F3547" s="13">
        <v>56</v>
      </c>
      <c r="G3547" s="13" t="s">
        <v>1262</v>
      </c>
      <c r="H3547" s="13" t="s">
        <v>46</v>
      </c>
    </row>
    <row r="3548" spans="1:8">
      <c r="A3548" s="13" t="s">
        <v>5132</v>
      </c>
      <c r="B3548" s="13">
        <v>7</v>
      </c>
      <c r="E3548" s="13" t="s">
        <v>8222</v>
      </c>
      <c r="F3548" s="13">
        <v>57</v>
      </c>
      <c r="G3548" s="13" t="s">
        <v>1264</v>
      </c>
      <c r="H3548" s="13" t="s">
        <v>46</v>
      </c>
    </row>
    <row r="3549" spans="1:8">
      <c r="A3549" s="13" t="s">
        <v>5133</v>
      </c>
      <c r="B3549" s="13">
        <v>7</v>
      </c>
      <c r="E3549" s="13" t="s">
        <v>8223</v>
      </c>
      <c r="F3549" s="13">
        <v>58</v>
      </c>
      <c r="G3549" s="13" t="s">
        <v>1266</v>
      </c>
      <c r="H3549" s="13" t="s">
        <v>46</v>
      </c>
    </row>
    <row r="3550" spans="1:8">
      <c r="A3550" s="13" t="s">
        <v>5134</v>
      </c>
      <c r="B3550" s="13">
        <v>7</v>
      </c>
      <c r="E3550" s="13" t="s">
        <v>8224</v>
      </c>
      <c r="F3550" s="13">
        <v>59</v>
      </c>
      <c r="G3550" s="13" t="s">
        <v>1268</v>
      </c>
      <c r="H3550" s="13" t="s">
        <v>46</v>
      </c>
    </row>
    <row r="3551" spans="1:8">
      <c r="A3551" s="13" t="s">
        <v>5135</v>
      </c>
      <c r="B3551" s="13">
        <v>7</v>
      </c>
      <c r="E3551" s="13" t="s">
        <v>8225</v>
      </c>
      <c r="F3551" s="13">
        <v>60</v>
      </c>
      <c r="G3551" s="13" t="s">
        <v>1270</v>
      </c>
      <c r="H3551" s="13" t="s">
        <v>46</v>
      </c>
    </row>
    <row r="3552" spans="1:8">
      <c r="A3552" s="13" t="s">
        <v>5136</v>
      </c>
      <c r="B3552" s="13">
        <v>7</v>
      </c>
      <c r="E3552" s="13" t="s">
        <v>8226</v>
      </c>
      <c r="F3552" s="13">
        <v>61</v>
      </c>
      <c r="G3552" s="13" t="s">
        <v>1272</v>
      </c>
      <c r="H3552" s="13" t="s">
        <v>46</v>
      </c>
    </row>
    <row r="3553" spans="1:8">
      <c r="A3553" s="13" t="s">
        <v>5137</v>
      </c>
      <c r="B3553" s="13">
        <v>7</v>
      </c>
      <c r="E3553" s="13" t="s">
        <v>8227</v>
      </c>
      <c r="F3553" s="13">
        <v>62</v>
      </c>
      <c r="G3553" s="13" t="s">
        <v>1274</v>
      </c>
      <c r="H3553" s="13" t="s">
        <v>46</v>
      </c>
    </row>
    <row r="3554" spans="1:8">
      <c r="A3554" s="13" t="s">
        <v>5138</v>
      </c>
      <c r="B3554" s="13">
        <v>7</v>
      </c>
      <c r="E3554" s="13" t="s">
        <v>8228</v>
      </c>
      <c r="F3554" s="13">
        <v>63</v>
      </c>
      <c r="G3554" s="13" t="s">
        <v>1276</v>
      </c>
      <c r="H3554" s="13" t="s">
        <v>46</v>
      </c>
    </row>
    <row r="3555" spans="1:8">
      <c r="A3555" s="13" t="s">
        <v>5139</v>
      </c>
      <c r="B3555" s="13">
        <v>7</v>
      </c>
      <c r="E3555" s="13" t="s">
        <v>8229</v>
      </c>
      <c r="F3555" s="13">
        <v>64</v>
      </c>
      <c r="G3555" s="13" t="s">
        <v>1278</v>
      </c>
      <c r="H3555" s="13" t="s">
        <v>46</v>
      </c>
    </row>
    <row r="3556" spans="1:8">
      <c r="A3556" s="13" t="s">
        <v>5140</v>
      </c>
      <c r="B3556" s="13">
        <v>7</v>
      </c>
      <c r="E3556" s="13" t="s">
        <v>8230</v>
      </c>
      <c r="F3556" s="13">
        <v>65</v>
      </c>
      <c r="G3556" s="13" t="s">
        <v>1280</v>
      </c>
      <c r="H3556" s="13" t="s">
        <v>46</v>
      </c>
    </row>
    <row r="3557" spans="1:8">
      <c r="A3557" s="13" t="s">
        <v>5141</v>
      </c>
      <c r="B3557" s="13">
        <v>7</v>
      </c>
      <c r="E3557" s="13" t="s">
        <v>8231</v>
      </c>
      <c r="F3557" s="13">
        <v>66</v>
      </c>
      <c r="G3557" s="13" t="s">
        <v>1282</v>
      </c>
      <c r="H3557" s="13" t="s">
        <v>46</v>
      </c>
    </row>
    <row r="3558" spans="1:8">
      <c r="A3558" s="13" t="s">
        <v>5142</v>
      </c>
      <c r="B3558" s="13">
        <v>7</v>
      </c>
      <c r="E3558" s="13" t="s">
        <v>8232</v>
      </c>
      <c r="F3558" s="13">
        <v>67</v>
      </c>
      <c r="G3558" s="13" t="s">
        <v>1284</v>
      </c>
      <c r="H3558" s="13" t="s">
        <v>46</v>
      </c>
    </row>
    <row r="3559" spans="1:8">
      <c r="A3559" s="13" t="s">
        <v>5143</v>
      </c>
      <c r="B3559" s="13">
        <v>7</v>
      </c>
      <c r="E3559" s="13" t="s">
        <v>8233</v>
      </c>
      <c r="F3559" s="13">
        <v>68</v>
      </c>
      <c r="G3559" s="13" t="s">
        <v>1286</v>
      </c>
      <c r="H3559" s="13" t="s">
        <v>46</v>
      </c>
    </row>
    <row r="3560" spans="1:8">
      <c r="A3560" s="13" t="s">
        <v>5144</v>
      </c>
      <c r="B3560" s="13">
        <v>7</v>
      </c>
      <c r="E3560" s="13" t="s">
        <v>8234</v>
      </c>
      <c r="F3560" s="13">
        <v>69</v>
      </c>
      <c r="G3560" s="13" t="s">
        <v>1288</v>
      </c>
      <c r="H3560" s="13" t="s">
        <v>46</v>
      </c>
    </row>
    <row r="3561" spans="1:8">
      <c r="A3561" s="13" t="s">
        <v>5145</v>
      </c>
      <c r="B3561" s="13">
        <v>7</v>
      </c>
      <c r="E3561" s="13" t="s">
        <v>8235</v>
      </c>
      <c r="F3561" s="13">
        <v>70</v>
      </c>
      <c r="G3561" s="13" t="s">
        <v>1290</v>
      </c>
      <c r="H3561" s="13" t="s">
        <v>46</v>
      </c>
    </row>
    <row r="3562" spans="1:8">
      <c r="A3562" s="13" t="s">
        <v>5146</v>
      </c>
      <c r="B3562" s="13">
        <v>7</v>
      </c>
      <c r="E3562" s="13" t="s">
        <v>8236</v>
      </c>
      <c r="F3562" s="13">
        <v>71</v>
      </c>
      <c r="G3562" s="13" t="s">
        <v>1292</v>
      </c>
      <c r="H3562" s="13" t="s">
        <v>46</v>
      </c>
    </row>
    <row r="3563" spans="1:8">
      <c r="A3563" s="13" t="s">
        <v>5147</v>
      </c>
      <c r="B3563" s="13">
        <v>7</v>
      </c>
      <c r="E3563" s="13" t="s">
        <v>8237</v>
      </c>
      <c r="F3563" s="13">
        <v>72</v>
      </c>
      <c r="G3563" s="13" t="s">
        <v>1294</v>
      </c>
      <c r="H3563" s="13" t="s">
        <v>46</v>
      </c>
    </row>
    <row r="3564" spans="1:8">
      <c r="A3564" s="13" t="s">
        <v>5148</v>
      </c>
      <c r="B3564" s="13">
        <v>7</v>
      </c>
      <c r="E3564" s="13" t="s">
        <v>8238</v>
      </c>
      <c r="F3564" s="13">
        <v>73</v>
      </c>
      <c r="G3564" s="13" t="s">
        <v>1296</v>
      </c>
      <c r="H3564" s="13" t="s">
        <v>46</v>
      </c>
    </row>
    <row r="3565" spans="1:8">
      <c r="A3565" s="13" t="s">
        <v>5149</v>
      </c>
      <c r="B3565" s="13">
        <v>7</v>
      </c>
      <c r="E3565" s="13" t="s">
        <v>8239</v>
      </c>
      <c r="F3565" s="13">
        <v>74</v>
      </c>
      <c r="G3565" s="13" t="s">
        <v>1298</v>
      </c>
      <c r="H3565" s="13" t="s">
        <v>46</v>
      </c>
    </row>
    <row r="3566" spans="1:8">
      <c r="A3566" s="13" t="s">
        <v>5150</v>
      </c>
      <c r="B3566" s="13">
        <v>7</v>
      </c>
      <c r="E3566" s="13" t="s">
        <v>8240</v>
      </c>
      <c r="F3566" s="13">
        <v>75</v>
      </c>
      <c r="G3566" s="13" t="s">
        <v>1300</v>
      </c>
      <c r="H3566" s="13" t="s">
        <v>46</v>
      </c>
    </row>
    <row r="3567" spans="1:8">
      <c r="A3567" s="13" t="s">
        <v>5151</v>
      </c>
      <c r="B3567" s="13">
        <v>7</v>
      </c>
      <c r="E3567" s="13" t="s">
        <v>8241</v>
      </c>
      <c r="F3567" s="13">
        <v>76</v>
      </c>
      <c r="G3567" s="13" t="s">
        <v>1302</v>
      </c>
      <c r="H3567" s="13" t="s">
        <v>46</v>
      </c>
    </row>
    <row r="3568" spans="1:8">
      <c r="A3568" s="13" t="s">
        <v>5152</v>
      </c>
      <c r="B3568" s="13">
        <v>7</v>
      </c>
      <c r="E3568" s="13" t="s">
        <v>8242</v>
      </c>
      <c r="F3568" s="13">
        <v>77</v>
      </c>
      <c r="G3568" s="13" t="s">
        <v>1304</v>
      </c>
      <c r="H3568" s="13" t="s">
        <v>46</v>
      </c>
    </row>
    <row r="3569" spans="1:8">
      <c r="A3569" s="13" t="s">
        <v>5153</v>
      </c>
      <c r="B3569" s="13">
        <v>7</v>
      </c>
      <c r="E3569" s="13" t="s">
        <v>8243</v>
      </c>
      <c r="F3569" s="13">
        <v>78</v>
      </c>
      <c r="G3569" s="13" t="s">
        <v>1306</v>
      </c>
      <c r="H3569" s="13" t="s">
        <v>46</v>
      </c>
    </row>
    <row r="3570" spans="1:8">
      <c r="A3570" s="13" t="s">
        <v>5154</v>
      </c>
      <c r="B3570" s="13">
        <v>7</v>
      </c>
      <c r="E3570" s="13" t="s">
        <v>8244</v>
      </c>
      <c r="F3570" s="13">
        <v>79</v>
      </c>
      <c r="G3570" s="13" t="s">
        <v>1308</v>
      </c>
      <c r="H3570" s="13" t="s">
        <v>46</v>
      </c>
    </row>
    <row r="3571" spans="1:8">
      <c r="A3571" s="13" t="s">
        <v>5155</v>
      </c>
      <c r="B3571" s="13">
        <v>7</v>
      </c>
      <c r="E3571" s="13" t="s">
        <v>8245</v>
      </c>
      <c r="F3571" s="13">
        <v>80</v>
      </c>
      <c r="G3571" s="13" t="s">
        <v>1310</v>
      </c>
      <c r="H3571" s="13" t="s">
        <v>46</v>
      </c>
    </row>
    <row r="3572" spans="1:8">
      <c r="A3572" s="13" t="s">
        <v>5156</v>
      </c>
      <c r="B3572" s="13">
        <v>7</v>
      </c>
      <c r="E3572" s="13" t="s">
        <v>8246</v>
      </c>
      <c r="F3572" s="13">
        <v>81</v>
      </c>
      <c r="G3572" s="13" t="s">
        <v>1312</v>
      </c>
      <c r="H3572" s="13" t="s">
        <v>46</v>
      </c>
    </row>
    <row r="3573" spans="1:8">
      <c r="A3573" s="13" t="s">
        <v>5157</v>
      </c>
      <c r="B3573" s="13">
        <v>7</v>
      </c>
      <c r="E3573" s="13" t="s">
        <v>8247</v>
      </c>
      <c r="F3573" s="13">
        <v>82</v>
      </c>
      <c r="G3573" s="13" t="s">
        <v>1314</v>
      </c>
      <c r="H3573" s="13" t="s">
        <v>46</v>
      </c>
    </row>
    <row r="3574" spans="1:8">
      <c r="A3574" s="13" t="s">
        <v>5158</v>
      </c>
      <c r="B3574" s="13">
        <v>7</v>
      </c>
      <c r="E3574" s="13" t="s">
        <v>8248</v>
      </c>
      <c r="F3574" s="13">
        <v>83</v>
      </c>
      <c r="G3574" s="13" t="s">
        <v>1316</v>
      </c>
      <c r="H3574" s="13" t="s">
        <v>46</v>
      </c>
    </row>
    <row r="3575" spans="1:8">
      <c r="A3575" s="13" t="s">
        <v>5159</v>
      </c>
      <c r="B3575" s="13">
        <v>7</v>
      </c>
      <c r="E3575" s="13" t="s">
        <v>8249</v>
      </c>
      <c r="F3575" s="13">
        <v>84</v>
      </c>
      <c r="G3575" s="13" t="s">
        <v>1318</v>
      </c>
      <c r="H3575" s="13" t="s">
        <v>46</v>
      </c>
    </row>
    <row r="3576" spans="1:8">
      <c r="A3576" s="13" t="s">
        <v>5160</v>
      </c>
      <c r="B3576" s="13">
        <v>7</v>
      </c>
      <c r="E3576" s="13" t="s">
        <v>8250</v>
      </c>
      <c r="F3576" s="13">
        <v>85</v>
      </c>
      <c r="G3576" s="13" t="s">
        <v>1320</v>
      </c>
      <c r="H3576" s="13" t="s">
        <v>46</v>
      </c>
    </row>
    <row r="3577" spans="1:8">
      <c r="A3577" s="13" t="s">
        <v>5161</v>
      </c>
      <c r="B3577" s="13">
        <v>7</v>
      </c>
      <c r="E3577" s="13" t="s">
        <v>8251</v>
      </c>
      <c r="F3577" s="13">
        <v>86</v>
      </c>
      <c r="G3577" s="13" t="s">
        <v>1322</v>
      </c>
      <c r="H3577" s="13" t="s">
        <v>46</v>
      </c>
    </row>
    <row r="3578" spans="1:8">
      <c r="A3578" s="13" t="s">
        <v>5162</v>
      </c>
      <c r="B3578" s="13">
        <v>7</v>
      </c>
      <c r="E3578" s="13" t="s">
        <v>8252</v>
      </c>
      <c r="F3578" s="13">
        <v>87</v>
      </c>
      <c r="G3578" s="13" t="s">
        <v>5163</v>
      </c>
      <c r="H3578" s="13" t="s">
        <v>1325</v>
      </c>
    </row>
    <row r="3579" spans="1:8">
      <c r="A3579" s="13" t="s">
        <v>5164</v>
      </c>
    </row>
    <row r="3580" spans="1:8">
      <c r="A3580" s="13" t="s">
        <v>5165</v>
      </c>
    </row>
    <row r="3581" spans="1:8">
      <c r="A3581" s="13" t="s">
        <v>5166</v>
      </c>
    </row>
    <row r="3582" spans="1:8">
      <c r="A3582" s="13" t="s">
        <v>5167</v>
      </c>
    </row>
    <row r="3583" spans="1:8">
      <c r="A3583" s="13" t="s">
        <v>5168</v>
      </c>
    </row>
    <row r="3584" spans="1:8">
      <c r="A3584" s="13" t="s">
        <v>5169</v>
      </c>
    </row>
    <row r="3585" spans="1:1">
      <c r="A3585" s="13" t="s">
        <v>5170</v>
      </c>
    </row>
    <row r="3586" spans="1:1">
      <c r="A3586" s="13" t="s">
        <v>5171</v>
      </c>
    </row>
    <row r="3587" spans="1:1">
      <c r="A3587" s="13" t="s">
        <v>5172</v>
      </c>
    </row>
    <row r="3588" spans="1:1">
      <c r="A3588" s="13" t="s">
        <v>5173</v>
      </c>
    </row>
    <row r="3589" spans="1:1">
      <c r="A3589" s="13" t="s">
        <v>5174</v>
      </c>
    </row>
    <row r="3590" spans="1:1" customFormat="1">
      <c r="A3590" s="13" t="s">
        <v>5175</v>
      </c>
    </row>
    <row r="3591" spans="1:1" customFormat="1">
      <c r="A3591" s="13" t="s">
        <v>5176</v>
      </c>
    </row>
    <row r="3592" spans="1:1" customFormat="1">
      <c r="A3592" s="13" t="s">
        <v>5177</v>
      </c>
    </row>
    <row r="3593" spans="1:1" customFormat="1">
      <c r="A3593" s="13" t="s">
        <v>5178</v>
      </c>
    </row>
    <row r="3594" spans="1:1" customFormat="1">
      <c r="A3594" s="13" t="s">
        <v>5179</v>
      </c>
    </row>
    <row r="3595" spans="1:1" customFormat="1">
      <c r="A3595" s="13" t="s">
        <v>5180</v>
      </c>
    </row>
    <row r="3596" spans="1:1" customFormat="1">
      <c r="A3596" s="13" t="s">
        <v>5181</v>
      </c>
    </row>
    <row r="3597" spans="1:1" customFormat="1">
      <c r="A3597" s="13" t="s">
        <v>5182</v>
      </c>
    </row>
    <row r="3598" spans="1:1" customFormat="1">
      <c r="A3598" s="13" t="s">
        <v>5183</v>
      </c>
    </row>
    <row r="3599" spans="1:1" customFormat="1">
      <c r="A3599" s="13" t="s">
        <v>5184</v>
      </c>
    </row>
    <row r="3600" spans="1:1" customFormat="1">
      <c r="A3600" s="13" t="s">
        <v>5185</v>
      </c>
    </row>
    <row r="3601" spans="1:1" customFormat="1">
      <c r="A3601" s="13" t="s">
        <v>5186</v>
      </c>
    </row>
    <row r="3602" spans="1:1" customFormat="1">
      <c r="A3602" s="13" t="s">
        <v>5187</v>
      </c>
    </row>
    <row r="3603" spans="1:1" customFormat="1">
      <c r="A3603" s="13" t="s">
        <v>5188</v>
      </c>
    </row>
    <row r="3604" spans="1:1" customFormat="1">
      <c r="A3604" s="13" t="s">
        <v>5189</v>
      </c>
    </row>
    <row r="3605" spans="1:1" customFormat="1">
      <c r="A3605" s="13" t="s">
        <v>5190</v>
      </c>
    </row>
    <row r="3606" spans="1:1" customFormat="1">
      <c r="A3606" s="13" t="s">
        <v>5191</v>
      </c>
    </row>
    <row r="3607" spans="1:1" customFormat="1">
      <c r="A3607" s="13" t="s">
        <v>5192</v>
      </c>
    </row>
    <row r="3608" spans="1:1" customFormat="1">
      <c r="A3608" s="13" t="s">
        <v>5193</v>
      </c>
    </row>
    <row r="3609" spans="1:1" customFormat="1">
      <c r="A3609" s="13" t="s">
        <v>5194</v>
      </c>
    </row>
    <row r="3610" spans="1:1" customFormat="1">
      <c r="A3610" s="13" t="s">
        <v>5195</v>
      </c>
    </row>
    <row r="3611" spans="1:1" customFormat="1">
      <c r="A3611" s="13" t="s">
        <v>5196</v>
      </c>
    </row>
    <row r="3612" spans="1:1" customFormat="1">
      <c r="A3612" s="13" t="s">
        <v>5197</v>
      </c>
    </row>
    <row r="3613" spans="1:1" customFormat="1">
      <c r="A3613" s="13" t="s">
        <v>5198</v>
      </c>
    </row>
    <row r="3614" spans="1:1" customFormat="1">
      <c r="A3614" s="13" t="s">
        <v>5199</v>
      </c>
    </row>
    <row r="3615" spans="1:1" customFormat="1">
      <c r="A3615" s="13" t="s">
        <v>5200</v>
      </c>
    </row>
    <row r="3616" spans="1:1" customFormat="1">
      <c r="A3616" s="13" t="s">
        <v>5201</v>
      </c>
    </row>
    <row r="3617" spans="1:1" customFormat="1">
      <c r="A3617" s="13" t="s">
        <v>5202</v>
      </c>
    </row>
    <row r="3618" spans="1:1" customFormat="1">
      <c r="A3618" s="13" t="s">
        <v>5203</v>
      </c>
    </row>
    <row r="3619" spans="1:1" customFormat="1">
      <c r="A3619" s="13" t="s">
        <v>5204</v>
      </c>
    </row>
    <row r="3620" spans="1:1" customFormat="1">
      <c r="A3620" s="13" t="s">
        <v>5205</v>
      </c>
    </row>
    <row r="3621" spans="1:1" customFormat="1">
      <c r="A3621" s="13" t="s">
        <v>5206</v>
      </c>
    </row>
    <row r="3622" spans="1:1" customFormat="1">
      <c r="A3622" s="13" t="s">
        <v>5207</v>
      </c>
    </row>
    <row r="3623" spans="1:1" customFormat="1">
      <c r="A3623" s="13" t="s">
        <v>5208</v>
      </c>
    </row>
    <row r="3624" spans="1:1" customFormat="1">
      <c r="A3624" s="13" t="s">
        <v>5209</v>
      </c>
    </row>
    <row r="3625" spans="1:1" customFormat="1">
      <c r="A3625" s="13" t="s">
        <v>5210</v>
      </c>
    </row>
    <row r="3626" spans="1:1" customFormat="1">
      <c r="A3626" s="13" t="s">
        <v>5211</v>
      </c>
    </row>
    <row r="3627" spans="1:1" customFormat="1">
      <c r="A3627" s="13" t="s">
        <v>5212</v>
      </c>
    </row>
    <row r="3628" spans="1:1" customFormat="1">
      <c r="A3628" s="13" t="s">
        <v>5213</v>
      </c>
    </row>
    <row r="3629" spans="1:1" customFormat="1">
      <c r="A3629" s="13" t="s">
        <v>5214</v>
      </c>
    </row>
    <row r="3630" spans="1:1" customFormat="1">
      <c r="A3630" s="13" t="s">
        <v>5215</v>
      </c>
    </row>
    <row r="3631" spans="1:1" customFormat="1">
      <c r="A3631" s="13" t="s">
        <v>5216</v>
      </c>
    </row>
    <row r="3632" spans="1:1" customFormat="1">
      <c r="A3632" s="13" t="s">
        <v>5217</v>
      </c>
    </row>
    <row r="3633" spans="1:1" customFormat="1">
      <c r="A3633" s="13" t="s">
        <v>5218</v>
      </c>
    </row>
    <row r="3634" spans="1:1" customFormat="1">
      <c r="A3634" s="13" t="s">
        <v>5219</v>
      </c>
    </row>
    <row r="3635" spans="1:1" customFormat="1">
      <c r="A3635" s="13" t="s">
        <v>5220</v>
      </c>
    </row>
    <row r="3636" spans="1:1" customFormat="1">
      <c r="A3636" s="13" t="s">
        <v>5221</v>
      </c>
    </row>
    <row r="3637" spans="1:1" customFormat="1">
      <c r="A3637" s="13" t="s">
        <v>5222</v>
      </c>
    </row>
    <row r="3638" spans="1:1" customFormat="1">
      <c r="A3638" s="13" t="s">
        <v>5223</v>
      </c>
    </row>
    <row r="3639" spans="1:1" customFormat="1">
      <c r="A3639" s="13" t="s">
        <v>5224</v>
      </c>
    </row>
    <row r="3640" spans="1:1" customFormat="1">
      <c r="A3640" s="13" t="s">
        <v>5225</v>
      </c>
    </row>
    <row r="3641" spans="1:1" customFormat="1">
      <c r="A3641" s="13" t="s">
        <v>5226</v>
      </c>
    </row>
    <row r="3642" spans="1:1" customFormat="1">
      <c r="A3642" s="13" t="s">
        <v>5227</v>
      </c>
    </row>
    <row r="3643" spans="1:1" customFormat="1">
      <c r="A3643" s="13" t="s">
        <v>5228</v>
      </c>
    </row>
    <row r="3644" spans="1:1" customFormat="1">
      <c r="A3644" s="13" t="s">
        <v>5229</v>
      </c>
    </row>
    <row r="3645" spans="1:1" customFormat="1">
      <c r="A3645" s="13" t="s">
        <v>5230</v>
      </c>
    </row>
    <row r="3646" spans="1:1" customFormat="1">
      <c r="A3646" s="13" t="s">
        <v>5231</v>
      </c>
    </row>
    <row r="3647" spans="1:1" customFormat="1">
      <c r="A3647" s="13" t="s">
        <v>5232</v>
      </c>
    </row>
    <row r="3648" spans="1:1" customFormat="1">
      <c r="A3648" s="13" t="s">
        <v>5233</v>
      </c>
    </row>
    <row r="3649" spans="1:1" customFormat="1">
      <c r="A3649" s="13" t="s">
        <v>5234</v>
      </c>
    </row>
    <row r="3650" spans="1:1" customFormat="1">
      <c r="A3650" s="13" t="s">
        <v>5235</v>
      </c>
    </row>
    <row r="3651" spans="1:1" customFormat="1">
      <c r="A3651" s="13" t="s">
        <v>5236</v>
      </c>
    </row>
    <row r="3652" spans="1:1" customFormat="1">
      <c r="A3652" s="13" t="s">
        <v>5237</v>
      </c>
    </row>
    <row r="3653" spans="1:1" customFormat="1">
      <c r="A3653" s="13" t="s">
        <v>5238</v>
      </c>
    </row>
    <row r="3654" spans="1:1" customFormat="1">
      <c r="A3654" s="13" t="s">
        <v>5239</v>
      </c>
    </row>
    <row r="3655" spans="1:1" customFormat="1">
      <c r="A3655" s="13" t="s">
        <v>5240</v>
      </c>
    </row>
    <row r="3656" spans="1:1" customFormat="1">
      <c r="A3656" s="13" t="s">
        <v>5241</v>
      </c>
    </row>
    <row r="3657" spans="1:1" customFormat="1">
      <c r="A3657" s="13" t="s">
        <v>5242</v>
      </c>
    </row>
    <row r="3658" spans="1:1" customFormat="1">
      <c r="A3658" s="13" t="s">
        <v>5243</v>
      </c>
    </row>
    <row r="3659" spans="1:1" customFormat="1">
      <c r="A3659" s="13" t="s">
        <v>5244</v>
      </c>
    </row>
    <row r="3660" spans="1:1" customFormat="1">
      <c r="A3660" s="13" t="s">
        <v>5245</v>
      </c>
    </row>
    <row r="3661" spans="1:1" customFormat="1">
      <c r="A3661" s="13" t="s">
        <v>5246</v>
      </c>
    </row>
    <row r="3662" spans="1:1" customFormat="1">
      <c r="A3662" s="13" t="s">
        <v>5247</v>
      </c>
    </row>
    <row r="3663" spans="1:1" customFormat="1">
      <c r="A3663" s="13" t="s">
        <v>5248</v>
      </c>
    </row>
    <row r="3664" spans="1:1" customFormat="1">
      <c r="A3664" s="13" t="s">
        <v>5249</v>
      </c>
    </row>
    <row r="3665" spans="1:1" customFormat="1">
      <c r="A3665" s="13" t="s">
        <v>5250</v>
      </c>
    </row>
    <row r="3666" spans="1:1" customFormat="1">
      <c r="A3666" s="13" t="s">
        <v>5251</v>
      </c>
    </row>
    <row r="3667" spans="1:1" customFormat="1">
      <c r="A3667" s="13" t="s">
        <v>5252</v>
      </c>
    </row>
    <row r="3668" spans="1:1" customFormat="1">
      <c r="A3668" s="13" t="s">
        <v>5253</v>
      </c>
    </row>
    <row r="3669" spans="1:1" customFormat="1">
      <c r="A3669" s="13" t="s">
        <v>5254</v>
      </c>
    </row>
    <row r="3670" spans="1:1" customFormat="1">
      <c r="A3670" s="13" t="s">
        <v>5255</v>
      </c>
    </row>
    <row r="3671" spans="1:1" customFormat="1">
      <c r="A3671" s="13" t="s">
        <v>5256</v>
      </c>
    </row>
    <row r="3672" spans="1:1" customFormat="1">
      <c r="A3672" s="13" t="s">
        <v>5257</v>
      </c>
    </row>
    <row r="3673" spans="1:1" customFormat="1">
      <c r="A3673" s="13" t="s">
        <v>5258</v>
      </c>
    </row>
    <row r="3674" spans="1:1" customFormat="1">
      <c r="A3674" s="13" t="s">
        <v>5259</v>
      </c>
    </row>
    <row r="3675" spans="1:1" customFormat="1">
      <c r="A3675" s="13" t="s">
        <v>5260</v>
      </c>
    </row>
    <row r="3676" spans="1:1" customFormat="1">
      <c r="A3676" s="13" t="s">
        <v>5261</v>
      </c>
    </row>
    <row r="3677" spans="1:1" customFormat="1">
      <c r="A3677" s="13" t="s">
        <v>5262</v>
      </c>
    </row>
    <row r="3678" spans="1:1" customFormat="1">
      <c r="A3678" s="13" t="s">
        <v>5263</v>
      </c>
    </row>
    <row r="3679" spans="1:1" customFormat="1">
      <c r="A3679" s="13" t="s">
        <v>5264</v>
      </c>
    </row>
    <row r="3680" spans="1:1" customFormat="1">
      <c r="A3680" s="13" t="s">
        <v>5265</v>
      </c>
    </row>
    <row r="3681" spans="1:1" customFormat="1">
      <c r="A3681" s="13" t="s">
        <v>5266</v>
      </c>
    </row>
    <row r="3682" spans="1:1" customFormat="1">
      <c r="A3682" s="13" t="s">
        <v>5267</v>
      </c>
    </row>
    <row r="3683" spans="1:1" customFormat="1">
      <c r="A3683" s="13"/>
    </row>
    <row r="3684" spans="1:1" customFormat="1">
      <c r="A3684" s="13"/>
    </row>
    <row r="3685" spans="1:1" customFormat="1">
      <c r="A3685" s="13" t="s">
        <v>1950</v>
      </c>
    </row>
    <row r="3686" spans="1:1" customFormat="1">
      <c r="A3686" s="13" t="s">
        <v>5268</v>
      </c>
    </row>
    <row r="3687" spans="1:1" customFormat="1">
      <c r="A3687" s="13" t="s">
        <v>1950</v>
      </c>
    </row>
    <row r="3688" spans="1:1" customFormat="1">
      <c r="A3688" s="13" t="s">
        <v>5269</v>
      </c>
    </row>
    <row r="3689" spans="1:1" customFormat="1">
      <c r="A3689" s="13" t="s">
        <v>5270</v>
      </c>
    </row>
    <row r="3690" spans="1:1" customFormat="1">
      <c r="A3690" s="13" t="s">
        <v>5271</v>
      </c>
    </row>
    <row r="3691" spans="1:1" customFormat="1">
      <c r="A3691" s="13" t="s">
        <v>5272</v>
      </c>
    </row>
    <row r="3692" spans="1:1" customFormat="1">
      <c r="A3692" s="13" t="s">
        <v>5273</v>
      </c>
    </row>
    <row r="3693" spans="1:1" customFormat="1">
      <c r="A3693" s="13" t="s">
        <v>5274</v>
      </c>
    </row>
    <row r="3694" spans="1:1" customFormat="1">
      <c r="A3694" s="13" t="s">
        <v>5275</v>
      </c>
    </row>
    <row r="3695" spans="1:1" customFormat="1">
      <c r="A3695" s="13" t="s">
        <v>5276</v>
      </c>
    </row>
    <row r="3696" spans="1:1" customFormat="1">
      <c r="A3696" s="13" t="s">
        <v>5277</v>
      </c>
    </row>
    <row r="3697" spans="1:1" customFormat="1">
      <c r="A3697" s="13" t="s">
        <v>5278</v>
      </c>
    </row>
    <row r="3698" spans="1:1" customFormat="1">
      <c r="A3698" s="13" t="s">
        <v>5279</v>
      </c>
    </row>
    <row r="3699" spans="1:1" customFormat="1">
      <c r="A3699" s="13" t="s">
        <v>5280</v>
      </c>
    </row>
    <row r="3700" spans="1:1" customFormat="1">
      <c r="A3700" s="13" t="s">
        <v>5281</v>
      </c>
    </row>
    <row r="3701" spans="1:1" customFormat="1">
      <c r="A3701" s="13" t="s">
        <v>5282</v>
      </c>
    </row>
    <row r="3702" spans="1:1" customFormat="1">
      <c r="A3702" s="13" t="s">
        <v>5283</v>
      </c>
    </row>
    <row r="3703" spans="1:1" customFormat="1">
      <c r="A3703" s="13" t="s">
        <v>5284</v>
      </c>
    </row>
    <row r="3704" spans="1:1" customFormat="1">
      <c r="A3704" s="13" t="s">
        <v>5285</v>
      </c>
    </row>
    <row r="3705" spans="1:1" customFormat="1">
      <c r="A3705" s="13" t="s">
        <v>5286</v>
      </c>
    </row>
    <row r="3706" spans="1:1" customFormat="1">
      <c r="A3706" s="13" t="s">
        <v>5287</v>
      </c>
    </row>
    <row r="3707" spans="1:1" customFormat="1">
      <c r="A3707" s="13" t="s">
        <v>5288</v>
      </c>
    </row>
    <row r="3708" spans="1:1" customFormat="1">
      <c r="A3708" s="13" t="s">
        <v>5289</v>
      </c>
    </row>
    <row r="3709" spans="1:1" customFormat="1">
      <c r="A3709" s="13" t="s">
        <v>5290</v>
      </c>
    </row>
    <row r="3710" spans="1:1" customFormat="1">
      <c r="A3710" s="13" t="s">
        <v>5291</v>
      </c>
    </row>
    <row r="3711" spans="1:1" customFormat="1">
      <c r="A3711" s="13" t="s">
        <v>5292</v>
      </c>
    </row>
    <row r="3712" spans="1:1" customFormat="1">
      <c r="A3712" s="13" t="s">
        <v>5293</v>
      </c>
    </row>
    <row r="3713" spans="1:1" customFormat="1">
      <c r="A3713" s="13" t="s">
        <v>5294</v>
      </c>
    </row>
    <row r="3714" spans="1:1" customFormat="1">
      <c r="A3714" s="13" t="s">
        <v>5295</v>
      </c>
    </row>
    <row r="3715" spans="1:1" customFormat="1">
      <c r="A3715" s="13" t="s">
        <v>5296</v>
      </c>
    </row>
    <row r="3716" spans="1:1" customFormat="1">
      <c r="A3716" s="13" t="s">
        <v>5297</v>
      </c>
    </row>
    <row r="3717" spans="1:1" customFormat="1">
      <c r="A3717" s="13" t="s">
        <v>5298</v>
      </c>
    </row>
    <row r="3718" spans="1:1" customFormat="1">
      <c r="A3718" s="13" t="s">
        <v>5299</v>
      </c>
    </row>
    <row r="3719" spans="1:1" customFormat="1">
      <c r="A3719" s="13" t="s">
        <v>5300</v>
      </c>
    </row>
    <row r="3720" spans="1:1" customFormat="1">
      <c r="A3720" s="13" t="s">
        <v>5301</v>
      </c>
    </row>
    <row r="3721" spans="1:1" customFormat="1">
      <c r="A3721" s="13" t="s">
        <v>5302</v>
      </c>
    </row>
    <row r="3722" spans="1:1" customFormat="1">
      <c r="A3722" s="13" t="s">
        <v>5303</v>
      </c>
    </row>
    <row r="3723" spans="1:1" customFormat="1">
      <c r="A3723" s="13" t="s">
        <v>5304</v>
      </c>
    </row>
    <row r="3724" spans="1:1" customFormat="1">
      <c r="A3724" s="13" t="s">
        <v>5305</v>
      </c>
    </row>
    <row r="3725" spans="1:1" customFormat="1">
      <c r="A3725" s="13" t="s">
        <v>5306</v>
      </c>
    </row>
    <row r="3726" spans="1:1" customFormat="1">
      <c r="A3726" s="13" t="s">
        <v>5307</v>
      </c>
    </row>
    <row r="3727" spans="1:1" customFormat="1">
      <c r="A3727" s="13" t="s">
        <v>5308</v>
      </c>
    </row>
    <row r="3728" spans="1:1" customFormat="1">
      <c r="A3728" s="13" t="s">
        <v>5309</v>
      </c>
    </row>
    <row r="3729" spans="1:1" customFormat="1">
      <c r="A3729" s="13" t="s">
        <v>5310</v>
      </c>
    </row>
    <row r="3730" spans="1:1" customFormat="1">
      <c r="A3730" s="13" t="s">
        <v>5311</v>
      </c>
    </row>
    <row r="3731" spans="1:1" customFormat="1">
      <c r="A3731" s="13" t="s">
        <v>5312</v>
      </c>
    </row>
    <row r="3732" spans="1:1" customFormat="1">
      <c r="A3732" s="13" t="s">
        <v>5313</v>
      </c>
    </row>
    <row r="3733" spans="1:1" customFormat="1">
      <c r="A3733" s="13" t="s">
        <v>5314</v>
      </c>
    </row>
    <row r="3734" spans="1:1" customFormat="1">
      <c r="A3734" s="13" t="s">
        <v>5315</v>
      </c>
    </row>
    <row r="3735" spans="1:1" customFormat="1">
      <c r="A3735" s="13" t="s">
        <v>5316</v>
      </c>
    </row>
    <row r="3736" spans="1:1" customFormat="1">
      <c r="A3736" s="13" t="s">
        <v>5317</v>
      </c>
    </row>
    <row r="3737" spans="1:1" customFormat="1">
      <c r="A3737" s="13" t="s">
        <v>5318</v>
      </c>
    </row>
    <row r="3738" spans="1:1" customFormat="1">
      <c r="A3738" s="13" t="s">
        <v>5319</v>
      </c>
    </row>
    <row r="3739" spans="1:1" customFormat="1">
      <c r="A3739" s="13" t="s">
        <v>5320</v>
      </c>
    </row>
    <row r="3740" spans="1:1" customFormat="1">
      <c r="A3740" s="13" t="s">
        <v>5321</v>
      </c>
    </row>
    <row r="3741" spans="1:1" customFormat="1">
      <c r="A3741" s="13" t="s">
        <v>5322</v>
      </c>
    </row>
    <row r="3742" spans="1:1" customFormat="1">
      <c r="A3742" s="13" t="s">
        <v>5323</v>
      </c>
    </row>
    <row r="3743" spans="1:1" customFormat="1">
      <c r="A3743" s="13" t="s">
        <v>5324</v>
      </c>
    </row>
    <row r="3744" spans="1:1" customFormat="1">
      <c r="A3744" s="13" t="s">
        <v>5325</v>
      </c>
    </row>
    <row r="3745" spans="1:1" customFormat="1">
      <c r="A3745" s="13" t="s">
        <v>5326</v>
      </c>
    </row>
    <row r="3746" spans="1:1" customFormat="1">
      <c r="A3746" s="13" t="s">
        <v>5327</v>
      </c>
    </row>
    <row r="3747" spans="1:1" customFormat="1">
      <c r="A3747" s="13" t="s">
        <v>5328</v>
      </c>
    </row>
    <row r="3748" spans="1:1" customFormat="1">
      <c r="A3748" s="13" t="s">
        <v>5329</v>
      </c>
    </row>
    <row r="3749" spans="1:1" customFormat="1">
      <c r="A3749" s="13" t="s">
        <v>5330</v>
      </c>
    </row>
    <row r="3750" spans="1:1" customFormat="1">
      <c r="A3750" s="13" t="s">
        <v>5331</v>
      </c>
    </row>
    <row r="3751" spans="1:1" customFormat="1">
      <c r="A3751" s="13" t="s">
        <v>5332</v>
      </c>
    </row>
    <row r="3752" spans="1:1" customFormat="1">
      <c r="A3752" s="13" t="s">
        <v>5333</v>
      </c>
    </row>
    <row r="3753" spans="1:1" customFormat="1">
      <c r="A3753" s="13" t="s">
        <v>5334</v>
      </c>
    </row>
    <row r="3754" spans="1:1" customFormat="1">
      <c r="A3754" s="13" t="s">
        <v>5335</v>
      </c>
    </row>
    <row r="3755" spans="1:1" customFormat="1">
      <c r="A3755" s="13" t="s">
        <v>5336</v>
      </c>
    </row>
    <row r="3756" spans="1:1" customFormat="1">
      <c r="A3756" s="13" t="s">
        <v>5337</v>
      </c>
    </row>
    <row r="3757" spans="1:1" customFormat="1">
      <c r="A3757" s="13" t="s">
        <v>5338</v>
      </c>
    </row>
    <row r="3758" spans="1:1" customFormat="1">
      <c r="A3758" s="13" t="s">
        <v>5339</v>
      </c>
    </row>
    <row r="3759" spans="1:1" customFormat="1">
      <c r="A3759" s="13" t="s">
        <v>5340</v>
      </c>
    </row>
    <row r="3760" spans="1:1" customFormat="1">
      <c r="A3760" s="13" t="s">
        <v>5341</v>
      </c>
    </row>
    <row r="3761" spans="1:1" customFormat="1">
      <c r="A3761" s="13" t="s">
        <v>5342</v>
      </c>
    </row>
    <row r="3762" spans="1:1" customFormat="1">
      <c r="A3762" s="13" t="s">
        <v>5343</v>
      </c>
    </row>
    <row r="3763" spans="1:1" customFormat="1">
      <c r="A3763" s="13" t="s">
        <v>5344</v>
      </c>
    </row>
    <row r="3764" spans="1:1" customFormat="1">
      <c r="A3764" s="13" t="s">
        <v>5345</v>
      </c>
    </row>
    <row r="3765" spans="1:1" customFormat="1">
      <c r="A3765" s="13" t="s">
        <v>5346</v>
      </c>
    </row>
    <row r="3766" spans="1:1" customFormat="1">
      <c r="A3766" s="13" t="s">
        <v>5347</v>
      </c>
    </row>
    <row r="3767" spans="1:1" customFormat="1">
      <c r="A3767" s="13" t="s">
        <v>5348</v>
      </c>
    </row>
    <row r="3768" spans="1:1" customFormat="1">
      <c r="A3768" s="13" t="s">
        <v>5349</v>
      </c>
    </row>
    <row r="3769" spans="1:1" customFormat="1">
      <c r="A3769" s="13" t="s">
        <v>5350</v>
      </c>
    </row>
    <row r="3770" spans="1:1" customFormat="1">
      <c r="A3770" s="13" t="s">
        <v>5351</v>
      </c>
    </row>
    <row r="3771" spans="1:1" customFormat="1">
      <c r="A3771" s="13" t="s">
        <v>5352</v>
      </c>
    </row>
    <row r="3772" spans="1:1" customFormat="1">
      <c r="A3772" s="13" t="s">
        <v>5353</v>
      </c>
    </row>
    <row r="3773" spans="1:1" customFormat="1">
      <c r="A3773" s="13" t="s">
        <v>5354</v>
      </c>
    </row>
    <row r="3774" spans="1:1" customFormat="1">
      <c r="A3774" s="13" t="s">
        <v>5355</v>
      </c>
    </row>
    <row r="3775" spans="1:1" customFormat="1">
      <c r="A3775" s="13" t="s">
        <v>5356</v>
      </c>
    </row>
    <row r="3776" spans="1:1" customFormat="1">
      <c r="A3776" s="13" t="s">
        <v>5357</v>
      </c>
    </row>
    <row r="3777" spans="1:1" customFormat="1">
      <c r="A3777" s="13" t="s">
        <v>5358</v>
      </c>
    </row>
    <row r="3778" spans="1:1" customFormat="1">
      <c r="A3778" s="13" t="s">
        <v>5359</v>
      </c>
    </row>
    <row r="3779" spans="1:1" customFormat="1">
      <c r="A3779" s="13" t="s">
        <v>5360</v>
      </c>
    </row>
    <row r="3780" spans="1:1" customFormat="1">
      <c r="A3780" s="13" t="s">
        <v>5361</v>
      </c>
    </row>
    <row r="3781" spans="1:1" customFormat="1">
      <c r="A3781" s="13" t="s">
        <v>5362</v>
      </c>
    </row>
    <row r="3782" spans="1:1" customFormat="1">
      <c r="A3782" s="13" t="s">
        <v>5363</v>
      </c>
    </row>
    <row r="3783" spans="1:1" customFormat="1">
      <c r="A3783" s="13" t="s">
        <v>5364</v>
      </c>
    </row>
    <row r="3784" spans="1:1" customFormat="1">
      <c r="A3784" s="13" t="s">
        <v>5365</v>
      </c>
    </row>
    <row r="3785" spans="1:1" customFormat="1">
      <c r="A3785" s="13" t="s">
        <v>5366</v>
      </c>
    </row>
    <row r="3786" spans="1:1" customFormat="1">
      <c r="A3786" s="13" t="s">
        <v>5367</v>
      </c>
    </row>
    <row r="3787" spans="1:1" customFormat="1">
      <c r="A3787" s="13" t="s">
        <v>5368</v>
      </c>
    </row>
    <row r="3788" spans="1:1" customFormat="1">
      <c r="A3788" s="13" t="s">
        <v>5369</v>
      </c>
    </row>
    <row r="3789" spans="1:1" customFormat="1">
      <c r="A3789" s="13" t="s">
        <v>5370</v>
      </c>
    </row>
    <row r="3790" spans="1:1" customFormat="1">
      <c r="A3790" s="13" t="s">
        <v>5371</v>
      </c>
    </row>
    <row r="3791" spans="1:1" customFormat="1">
      <c r="A3791" s="13" t="s">
        <v>5372</v>
      </c>
    </row>
    <row r="3792" spans="1:1" customFormat="1">
      <c r="A3792" s="13" t="s">
        <v>5373</v>
      </c>
    </row>
    <row r="3793" spans="1:1" customFormat="1">
      <c r="A3793" s="13" t="s">
        <v>5374</v>
      </c>
    </row>
    <row r="3794" spans="1:1" customFormat="1">
      <c r="A3794" s="13" t="s">
        <v>5375</v>
      </c>
    </row>
    <row r="3795" spans="1:1" customFormat="1">
      <c r="A3795" s="13" t="s">
        <v>5376</v>
      </c>
    </row>
    <row r="3796" spans="1:1" customFormat="1">
      <c r="A3796" s="13" t="s">
        <v>5377</v>
      </c>
    </row>
    <row r="3797" spans="1:1" customFormat="1">
      <c r="A3797" s="13" t="s">
        <v>5378</v>
      </c>
    </row>
    <row r="3798" spans="1:1" customFormat="1">
      <c r="A3798" s="13" t="s">
        <v>5379</v>
      </c>
    </row>
    <row r="3799" spans="1:1" customFormat="1">
      <c r="A3799" s="13" t="s">
        <v>5380</v>
      </c>
    </row>
    <row r="3800" spans="1:1" customFormat="1">
      <c r="A3800" s="13" t="s">
        <v>5381</v>
      </c>
    </row>
    <row r="3801" spans="1:1" customFormat="1">
      <c r="A3801" s="13" t="s">
        <v>5382</v>
      </c>
    </row>
    <row r="3802" spans="1:1" customFormat="1">
      <c r="A3802" s="13" t="s">
        <v>5383</v>
      </c>
    </row>
    <row r="3803" spans="1:1" customFormat="1">
      <c r="A3803" s="13" t="s">
        <v>5384</v>
      </c>
    </row>
    <row r="3804" spans="1:1" customFormat="1">
      <c r="A3804" s="13" t="s">
        <v>5385</v>
      </c>
    </row>
    <row r="3805" spans="1:1" customFormat="1">
      <c r="A3805" s="13" t="s">
        <v>5386</v>
      </c>
    </row>
    <row r="3806" spans="1:1" customFormat="1">
      <c r="A3806" s="13" t="s">
        <v>5387</v>
      </c>
    </row>
    <row r="3807" spans="1:1" customFormat="1">
      <c r="A3807" s="13" t="s">
        <v>5388</v>
      </c>
    </row>
    <row r="3808" spans="1:1" customFormat="1">
      <c r="A3808" s="13" t="s">
        <v>5389</v>
      </c>
    </row>
    <row r="3809" spans="1:1" customFormat="1">
      <c r="A3809" s="13" t="s">
        <v>5390</v>
      </c>
    </row>
    <row r="3810" spans="1:1" customFormat="1">
      <c r="A3810" s="13" t="s">
        <v>5391</v>
      </c>
    </row>
    <row r="3811" spans="1:1" customFormat="1">
      <c r="A3811" s="13" t="s">
        <v>5392</v>
      </c>
    </row>
    <row r="3812" spans="1:1" customFormat="1">
      <c r="A3812" s="13" t="s">
        <v>5393</v>
      </c>
    </row>
    <row r="3813" spans="1:1" customFormat="1">
      <c r="A3813" s="13" t="s">
        <v>5394</v>
      </c>
    </row>
    <row r="3814" spans="1:1" customFormat="1">
      <c r="A3814" s="13" t="s">
        <v>5395</v>
      </c>
    </row>
    <row r="3815" spans="1:1" customFormat="1">
      <c r="A3815" s="13" t="s">
        <v>5396</v>
      </c>
    </row>
    <row r="3816" spans="1:1" customFormat="1">
      <c r="A3816" s="13" t="s">
        <v>5397</v>
      </c>
    </row>
    <row r="3817" spans="1:1" customFormat="1">
      <c r="A3817" s="13" t="s">
        <v>5398</v>
      </c>
    </row>
    <row r="3818" spans="1:1" customFormat="1">
      <c r="A3818" s="13" t="s">
        <v>5399</v>
      </c>
    </row>
    <row r="3819" spans="1:1" customFormat="1">
      <c r="A3819" s="13" t="s">
        <v>5400</v>
      </c>
    </row>
    <row r="3820" spans="1:1" customFormat="1">
      <c r="A3820" s="13" t="s">
        <v>5401</v>
      </c>
    </row>
    <row r="3821" spans="1:1" customFormat="1">
      <c r="A3821" s="13" t="s">
        <v>5402</v>
      </c>
    </row>
    <row r="3822" spans="1:1" customFormat="1">
      <c r="A3822" s="13" t="s">
        <v>5403</v>
      </c>
    </row>
    <row r="3823" spans="1:1" customFormat="1">
      <c r="A3823" s="13" t="s">
        <v>5404</v>
      </c>
    </row>
    <row r="3824" spans="1:1" customFormat="1">
      <c r="A3824" s="13" t="s">
        <v>5405</v>
      </c>
    </row>
    <row r="3825" spans="1:1" customFormat="1">
      <c r="A3825" s="13" t="s">
        <v>5406</v>
      </c>
    </row>
    <row r="3826" spans="1:1" customFormat="1">
      <c r="A3826" s="13" t="s">
        <v>5407</v>
      </c>
    </row>
    <row r="3827" spans="1:1" customFormat="1">
      <c r="A3827" s="13" t="s">
        <v>5408</v>
      </c>
    </row>
    <row r="3828" spans="1:1" customFormat="1">
      <c r="A3828" s="13" t="s">
        <v>5409</v>
      </c>
    </row>
    <row r="3829" spans="1:1" customFormat="1">
      <c r="A3829" s="13" t="s">
        <v>5410</v>
      </c>
    </row>
    <row r="3830" spans="1:1" customFormat="1">
      <c r="A3830" s="13" t="s">
        <v>5411</v>
      </c>
    </row>
    <row r="3831" spans="1:1" customFormat="1">
      <c r="A3831" s="13" t="s">
        <v>5412</v>
      </c>
    </row>
    <row r="3832" spans="1:1" customFormat="1">
      <c r="A3832" s="13" t="s">
        <v>5413</v>
      </c>
    </row>
    <row r="3833" spans="1:1" customFormat="1">
      <c r="A3833" s="13" t="s">
        <v>5414</v>
      </c>
    </row>
    <row r="3834" spans="1:1" customFormat="1">
      <c r="A3834" s="13" t="s">
        <v>5415</v>
      </c>
    </row>
    <row r="3835" spans="1:1" customFormat="1">
      <c r="A3835" s="13" t="s">
        <v>5416</v>
      </c>
    </row>
    <row r="3836" spans="1:1" customFormat="1">
      <c r="A3836" s="13" t="s">
        <v>5417</v>
      </c>
    </row>
    <row r="3837" spans="1:1" customFormat="1">
      <c r="A3837" s="13" t="s">
        <v>5418</v>
      </c>
    </row>
    <row r="3838" spans="1:1" customFormat="1">
      <c r="A3838" s="13" t="s">
        <v>5419</v>
      </c>
    </row>
    <row r="3839" spans="1:1" customFormat="1">
      <c r="A3839" s="13" t="s">
        <v>5420</v>
      </c>
    </row>
    <row r="3840" spans="1:1" customFormat="1">
      <c r="A3840" s="13" t="s">
        <v>5421</v>
      </c>
    </row>
    <row r="3841" spans="1:1" customFormat="1">
      <c r="A3841" s="13" t="s">
        <v>5422</v>
      </c>
    </row>
    <row r="3842" spans="1:1" customFormat="1">
      <c r="A3842" s="13" t="s">
        <v>5423</v>
      </c>
    </row>
    <row r="3843" spans="1:1" customFormat="1">
      <c r="A3843" s="13" t="s">
        <v>5424</v>
      </c>
    </row>
    <row r="3844" spans="1:1" customFormat="1">
      <c r="A3844" s="13" t="s">
        <v>5425</v>
      </c>
    </row>
    <row r="3845" spans="1:1" customFormat="1">
      <c r="A3845" s="13" t="s">
        <v>5426</v>
      </c>
    </row>
    <row r="3846" spans="1:1" customFormat="1">
      <c r="A3846" s="13" t="s">
        <v>5427</v>
      </c>
    </row>
    <row r="3847" spans="1:1" customFormat="1">
      <c r="A3847" s="13" t="s">
        <v>5428</v>
      </c>
    </row>
    <row r="3848" spans="1:1" customFormat="1">
      <c r="A3848" s="13" t="s">
        <v>5429</v>
      </c>
    </row>
    <row r="3849" spans="1:1" customFormat="1">
      <c r="A3849" s="13" t="s">
        <v>5430</v>
      </c>
    </row>
    <row r="3850" spans="1:1" customFormat="1">
      <c r="A3850" s="13" t="s">
        <v>5431</v>
      </c>
    </row>
    <row r="3851" spans="1:1" customFormat="1">
      <c r="A3851" s="13" t="s">
        <v>5432</v>
      </c>
    </row>
    <row r="3852" spans="1:1" customFormat="1">
      <c r="A3852" s="13" t="s">
        <v>5433</v>
      </c>
    </row>
    <row r="3853" spans="1:1" customFormat="1">
      <c r="A3853" s="13" t="s">
        <v>5434</v>
      </c>
    </row>
    <row r="3854" spans="1:1" customFormat="1">
      <c r="A3854" s="13" t="s">
        <v>5435</v>
      </c>
    </row>
    <row r="3855" spans="1:1" customFormat="1">
      <c r="A3855" s="13" t="s">
        <v>5436</v>
      </c>
    </row>
    <row r="3856" spans="1:1" customFormat="1">
      <c r="A3856" s="13" t="s">
        <v>5437</v>
      </c>
    </row>
    <row r="3857" spans="1:1" customFormat="1">
      <c r="A3857" s="13" t="s">
        <v>5438</v>
      </c>
    </row>
    <row r="3858" spans="1:1" customFormat="1">
      <c r="A3858" s="13" t="s">
        <v>5439</v>
      </c>
    </row>
    <row r="3859" spans="1:1" customFormat="1">
      <c r="A3859" s="13" t="s">
        <v>5440</v>
      </c>
    </row>
    <row r="3860" spans="1:1" customFormat="1">
      <c r="A3860" s="13" t="s">
        <v>5441</v>
      </c>
    </row>
    <row r="3861" spans="1:1" customFormat="1">
      <c r="A3861" s="13" t="s">
        <v>5442</v>
      </c>
    </row>
    <row r="3862" spans="1:1" customFormat="1">
      <c r="A3862" s="13" t="s">
        <v>5443</v>
      </c>
    </row>
    <row r="3863" spans="1:1" customFormat="1">
      <c r="A3863" s="13" t="s">
        <v>5444</v>
      </c>
    </row>
    <row r="3864" spans="1:1" customFormat="1">
      <c r="A3864" s="13" t="s">
        <v>5445</v>
      </c>
    </row>
    <row r="3865" spans="1:1" customFormat="1">
      <c r="A3865" s="13" t="s">
        <v>5446</v>
      </c>
    </row>
    <row r="3866" spans="1:1" customFormat="1">
      <c r="A3866" s="13" t="s">
        <v>5447</v>
      </c>
    </row>
    <row r="3867" spans="1:1" customFormat="1">
      <c r="A3867" s="13" t="s">
        <v>5448</v>
      </c>
    </row>
    <row r="3868" spans="1:1" customFormat="1">
      <c r="A3868" s="13" t="s">
        <v>5449</v>
      </c>
    </row>
    <row r="3869" spans="1:1" customFormat="1">
      <c r="A3869" s="13" t="s">
        <v>5450</v>
      </c>
    </row>
    <row r="3870" spans="1:1" customFormat="1">
      <c r="A3870" s="13" t="s">
        <v>5451</v>
      </c>
    </row>
    <row r="3871" spans="1:1" customFormat="1">
      <c r="A3871" s="13" t="s">
        <v>5452</v>
      </c>
    </row>
    <row r="3872" spans="1:1" customFormat="1">
      <c r="A3872" s="13" t="s">
        <v>5453</v>
      </c>
    </row>
    <row r="3873" spans="1:1" customFormat="1">
      <c r="A3873" s="13" t="s">
        <v>5454</v>
      </c>
    </row>
    <row r="3874" spans="1:1" customFormat="1">
      <c r="A3874" s="13" t="s">
        <v>5455</v>
      </c>
    </row>
    <row r="3875" spans="1:1" customFormat="1">
      <c r="A3875" s="13" t="s">
        <v>5456</v>
      </c>
    </row>
    <row r="3876" spans="1:1" customFormat="1">
      <c r="A3876" s="13" t="s">
        <v>5457</v>
      </c>
    </row>
    <row r="3877" spans="1:1" customFormat="1">
      <c r="A3877" s="13" t="s">
        <v>5458</v>
      </c>
    </row>
    <row r="3878" spans="1:1" customFormat="1">
      <c r="A3878" s="13" t="s">
        <v>5459</v>
      </c>
    </row>
    <row r="3879" spans="1:1" customFormat="1">
      <c r="A3879" s="13" t="s">
        <v>5460</v>
      </c>
    </row>
    <row r="3880" spans="1:1" customFormat="1">
      <c r="A3880" s="13" t="s">
        <v>5461</v>
      </c>
    </row>
    <row r="3881" spans="1:1" customFormat="1">
      <c r="A3881" s="13"/>
    </row>
    <row r="3882" spans="1:1" customFormat="1">
      <c r="A3882" s="13" t="s">
        <v>5462</v>
      </c>
    </row>
    <row r="3883" spans="1:1" customFormat="1">
      <c r="A3883" s="13" t="s">
        <v>5463</v>
      </c>
    </row>
    <row r="3884" spans="1:1" customFormat="1">
      <c r="A3884" s="13" t="s">
        <v>5464</v>
      </c>
    </row>
    <row r="3885" spans="1:1" customFormat="1">
      <c r="A3885" s="13" t="s">
        <v>5465</v>
      </c>
    </row>
    <row r="3886" spans="1:1" customFormat="1">
      <c r="A3886" s="13" t="s">
        <v>5466</v>
      </c>
    </row>
    <row r="3887" spans="1:1" customFormat="1">
      <c r="A3887" s="13" t="s">
        <v>5467</v>
      </c>
    </row>
    <row r="3888" spans="1:1" customFormat="1">
      <c r="A3888" s="13" t="s">
        <v>5468</v>
      </c>
    </row>
    <row r="3889" spans="1:1" customFormat="1">
      <c r="A3889" s="13" t="s">
        <v>5469</v>
      </c>
    </row>
    <row r="3890" spans="1:1" customFormat="1">
      <c r="A3890" s="13" t="s">
        <v>5470</v>
      </c>
    </row>
    <row r="3891" spans="1:1" customFormat="1">
      <c r="A3891" s="13" t="s">
        <v>5471</v>
      </c>
    </row>
    <row r="3892" spans="1:1" customFormat="1">
      <c r="A3892" s="13" t="s">
        <v>5472</v>
      </c>
    </row>
    <row r="3893" spans="1:1" customFormat="1">
      <c r="A3893" s="13" t="s">
        <v>5473</v>
      </c>
    </row>
    <row r="3894" spans="1:1" customFormat="1">
      <c r="A3894" s="13" t="s">
        <v>5474</v>
      </c>
    </row>
    <row r="3895" spans="1:1" customFormat="1">
      <c r="A3895" s="13" t="s">
        <v>5475</v>
      </c>
    </row>
    <row r="3896" spans="1:1" customFormat="1">
      <c r="A3896" s="13" t="s">
        <v>5476</v>
      </c>
    </row>
    <row r="3897" spans="1:1" customFormat="1">
      <c r="A3897" s="13" t="s">
        <v>5477</v>
      </c>
    </row>
    <row r="3898" spans="1:1" customFormat="1">
      <c r="A3898" s="13" t="s">
        <v>5478</v>
      </c>
    </row>
    <row r="3899" spans="1:1" customFormat="1">
      <c r="A3899" s="13" t="s">
        <v>5479</v>
      </c>
    </row>
    <row r="3900" spans="1:1" customFormat="1">
      <c r="A3900" s="13" t="s">
        <v>5480</v>
      </c>
    </row>
    <row r="3901" spans="1:1" customFormat="1">
      <c r="A3901" s="13" t="s">
        <v>5481</v>
      </c>
    </row>
    <row r="3902" spans="1:1" customFormat="1">
      <c r="A3902" s="13" t="s">
        <v>5482</v>
      </c>
    </row>
    <row r="3903" spans="1:1" customFormat="1">
      <c r="A3903" s="13" t="s">
        <v>5483</v>
      </c>
    </row>
    <row r="3904" spans="1:1" customFormat="1">
      <c r="A3904" s="13" t="s">
        <v>5484</v>
      </c>
    </row>
    <row r="3905" spans="1:1" customFormat="1">
      <c r="A3905" s="13" t="s">
        <v>5485</v>
      </c>
    </row>
    <row r="3906" spans="1:1" customFormat="1">
      <c r="A3906" s="13" t="s">
        <v>5486</v>
      </c>
    </row>
    <row r="3907" spans="1:1" customFormat="1">
      <c r="A3907" s="13" t="s">
        <v>5487</v>
      </c>
    </row>
    <row r="3908" spans="1:1" customFormat="1">
      <c r="A3908" s="13" t="s">
        <v>5488</v>
      </c>
    </row>
    <row r="3909" spans="1:1" customFormat="1">
      <c r="A3909" s="13" t="s">
        <v>5489</v>
      </c>
    </row>
    <row r="3910" spans="1:1" customFormat="1">
      <c r="A3910" s="13" t="s">
        <v>5490</v>
      </c>
    </row>
    <row r="3911" spans="1:1" customFormat="1">
      <c r="A3911" s="13" t="s">
        <v>5491</v>
      </c>
    </row>
    <row r="3912" spans="1:1" customFormat="1">
      <c r="A3912" s="13" t="s">
        <v>5492</v>
      </c>
    </row>
    <row r="3913" spans="1:1" customFormat="1">
      <c r="A3913" s="13" t="s">
        <v>5493</v>
      </c>
    </row>
    <row r="3914" spans="1:1" customFormat="1">
      <c r="A3914" s="13" t="s">
        <v>5494</v>
      </c>
    </row>
    <row r="3915" spans="1:1" customFormat="1">
      <c r="A3915" s="13" t="s">
        <v>5495</v>
      </c>
    </row>
    <row r="3916" spans="1:1" customFormat="1">
      <c r="A3916" s="13" t="s">
        <v>5496</v>
      </c>
    </row>
    <row r="3917" spans="1:1" customFormat="1">
      <c r="A3917" s="13" t="s">
        <v>5497</v>
      </c>
    </row>
    <row r="3918" spans="1:1" customFormat="1">
      <c r="A3918" s="13" t="s">
        <v>5498</v>
      </c>
    </row>
    <row r="3919" spans="1:1" customFormat="1">
      <c r="A3919" s="13" t="s">
        <v>5499</v>
      </c>
    </row>
    <row r="3920" spans="1:1" customFormat="1">
      <c r="A3920" s="13" t="s">
        <v>5500</v>
      </c>
    </row>
    <row r="3921" spans="1:1" customFormat="1">
      <c r="A3921" s="13" t="s">
        <v>5501</v>
      </c>
    </row>
    <row r="3922" spans="1:1" customFormat="1">
      <c r="A3922" s="13" t="s">
        <v>5502</v>
      </c>
    </row>
    <row r="3923" spans="1:1" customFormat="1">
      <c r="A3923" s="13" t="s">
        <v>5503</v>
      </c>
    </row>
    <row r="3924" spans="1:1" customFormat="1">
      <c r="A3924" s="13" t="s">
        <v>5504</v>
      </c>
    </row>
    <row r="3925" spans="1:1" customFormat="1">
      <c r="A3925" s="13" t="s">
        <v>5505</v>
      </c>
    </row>
    <row r="3926" spans="1:1" customFormat="1">
      <c r="A3926" s="13" t="s">
        <v>5506</v>
      </c>
    </row>
    <row r="3927" spans="1:1" customFormat="1">
      <c r="A3927" s="13" t="s">
        <v>5507</v>
      </c>
    </row>
    <row r="3928" spans="1:1" customFormat="1">
      <c r="A3928" s="13" t="s">
        <v>5508</v>
      </c>
    </row>
    <row r="3929" spans="1:1" customFormat="1">
      <c r="A3929" s="13" t="s">
        <v>5509</v>
      </c>
    </row>
    <row r="3930" spans="1:1" customFormat="1">
      <c r="A3930" s="13" t="s">
        <v>5510</v>
      </c>
    </row>
    <row r="3931" spans="1:1" customFormat="1">
      <c r="A3931" s="13" t="s">
        <v>5511</v>
      </c>
    </row>
    <row r="3932" spans="1:1" customFormat="1">
      <c r="A3932" s="13" t="s">
        <v>5512</v>
      </c>
    </row>
    <row r="3933" spans="1:1" customFormat="1">
      <c r="A3933" s="13" t="s">
        <v>5513</v>
      </c>
    </row>
    <row r="3934" spans="1:1" customFormat="1">
      <c r="A3934" s="13" t="s">
        <v>5514</v>
      </c>
    </row>
    <row r="3935" spans="1:1" customFormat="1">
      <c r="A3935" s="13" t="s">
        <v>5515</v>
      </c>
    </row>
    <row r="3936" spans="1:1" customFormat="1">
      <c r="A3936" s="13" t="s">
        <v>5516</v>
      </c>
    </row>
    <row r="3937" spans="1:1" customFormat="1">
      <c r="A3937" s="13" t="s">
        <v>5517</v>
      </c>
    </row>
    <row r="3938" spans="1:1" customFormat="1">
      <c r="A3938" s="13" t="s">
        <v>5518</v>
      </c>
    </row>
    <row r="3939" spans="1:1" customFormat="1">
      <c r="A3939" s="13" t="s">
        <v>5519</v>
      </c>
    </row>
    <row r="3940" spans="1:1" customFormat="1">
      <c r="A3940" s="13" t="s">
        <v>5520</v>
      </c>
    </row>
    <row r="3941" spans="1:1" customFormat="1">
      <c r="A3941" s="13" t="s">
        <v>5521</v>
      </c>
    </row>
    <row r="3942" spans="1:1" customFormat="1">
      <c r="A3942" s="13" t="s">
        <v>5522</v>
      </c>
    </row>
    <row r="3943" spans="1:1" customFormat="1">
      <c r="A3943" s="13" t="s">
        <v>5523</v>
      </c>
    </row>
    <row r="3944" spans="1:1" customFormat="1">
      <c r="A3944" s="13" t="s">
        <v>5524</v>
      </c>
    </row>
    <row r="3945" spans="1:1" customFormat="1">
      <c r="A3945" s="13" t="s">
        <v>5525</v>
      </c>
    </row>
    <row r="3946" spans="1:1" customFormat="1">
      <c r="A3946" s="13" t="s">
        <v>5526</v>
      </c>
    </row>
    <row r="3947" spans="1:1" customFormat="1">
      <c r="A3947" s="13" t="s">
        <v>5527</v>
      </c>
    </row>
    <row r="3948" spans="1:1" customFormat="1">
      <c r="A3948" s="13" t="s">
        <v>5528</v>
      </c>
    </row>
    <row r="3949" spans="1:1" customFormat="1">
      <c r="A3949" s="13" t="s">
        <v>5529</v>
      </c>
    </row>
    <row r="3950" spans="1:1" customFormat="1">
      <c r="A3950" s="13" t="s">
        <v>5530</v>
      </c>
    </row>
    <row r="3951" spans="1:1" customFormat="1">
      <c r="A3951" s="13" t="s">
        <v>5531</v>
      </c>
    </row>
    <row r="3952" spans="1:1" customFormat="1">
      <c r="A3952" s="13" t="s">
        <v>5532</v>
      </c>
    </row>
    <row r="3953" spans="1:1" customFormat="1">
      <c r="A3953" s="13" t="s">
        <v>5533</v>
      </c>
    </row>
    <row r="3954" spans="1:1" customFormat="1">
      <c r="A3954" s="13" t="s">
        <v>5534</v>
      </c>
    </row>
    <row r="3955" spans="1:1" customFormat="1">
      <c r="A3955" s="13" t="s">
        <v>5535</v>
      </c>
    </row>
    <row r="3956" spans="1:1" customFormat="1">
      <c r="A3956" s="13" t="s">
        <v>5536</v>
      </c>
    </row>
    <row r="3957" spans="1:1" customFormat="1">
      <c r="A3957" s="13" t="s">
        <v>5537</v>
      </c>
    </row>
    <row r="3958" spans="1:1" customFormat="1">
      <c r="A3958" s="13" t="s">
        <v>5538</v>
      </c>
    </row>
    <row r="3959" spans="1:1" customFormat="1">
      <c r="A3959" s="13" t="s">
        <v>5539</v>
      </c>
    </row>
    <row r="3960" spans="1:1" customFormat="1">
      <c r="A3960" s="13" t="s">
        <v>5540</v>
      </c>
    </row>
    <row r="3961" spans="1:1" customFormat="1">
      <c r="A3961" s="13" t="s">
        <v>5541</v>
      </c>
    </row>
    <row r="3962" spans="1:1" customFormat="1">
      <c r="A3962" s="13" t="s">
        <v>5542</v>
      </c>
    </row>
    <row r="3963" spans="1:1" customFormat="1">
      <c r="A3963" s="13" t="s">
        <v>5543</v>
      </c>
    </row>
    <row r="3964" spans="1:1" customFormat="1">
      <c r="A3964" s="13" t="s">
        <v>5544</v>
      </c>
    </row>
    <row r="3965" spans="1:1" customFormat="1">
      <c r="A3965" s="13" t="s">
        <v>5545</v>
      </c>
    </row>
    <row r="3966" spans="1:1" customFormat="1">
      <c r="A3966" s="13" t="s">
        <v>5546</v>
      </c>
    </row>
    <row r="3967" spans="1:1" customFormat="1">
      <c r="A3967" s="13" t="s">
        <v>5547</v>
      </c>
    </row>
    <row r="3968" spans="1:1" customFormat="1">
      <c r="A3968" s="13" t="s">
        <v>5548</v>
      </c>
    </row>
    <row r="3969" spans="1:1" customFormat="1">
      <c r="A3969" s="13" t="s">
        <v>5549</v>
      </c>
    </row>
    <row r="3970" spans="1:1" customFormat="1">
      <c r="A3970" s="13" t="s">
        <v>5550</v>
      </c>
    </row>
    <row r="3971" spans="1:1" customFormat="1">
      <c r="A3971" s="13" t="s">
        <v>5551</v>
      </c>
    </row>
    <row r="3972" spans="1:1" customFormat="1">
      <c r="A3972" s="13" t="s">
        <v>5552</v>
      </c>
    </row>
    <row r="3973" spans="1:1" customFormat="1">
      <c r="A3973" s="13" t="s">
        <v>5553</v>
      </c>
    </row>
    <row r="3974" spans="1:1" customFormat="1">
      <c r="A3974" s="13" t="s">
        <v>5554</v>
      </c>
    </row>
    <row r="3975" spans="1:1" customFormat="1">
      <c r="A3975" s="13" t="s">
        <v>5555</v>
      </c>
    </row>
    <row r="3976" spans="1:1" customFormat="1">
      <c r="A3976" s="13" t="s">
        <v>5556</v>
      </c>
    </row>
    <row r="3977" spans="1:1" customFormat="1">
      <c r="A3977" s="13" t="s">
        <v>5557</v>
      </c>
    </row>
    <row r="3978" spans="1:1" customFormat="1">
      <c r="A3978" s="13" t="s">
        <v>5558</v>
      </c>
    </row>
    <row r="3979" spans="1:1" customFormat="1">
      <c r="A3979" s="13" t="s">
        <v>5559</v>
      </c>
    </row>
    <row r="3980" spans="1:1" customFormat="1">
      <c r="A3980" s="13" t="s">
        <v>5560</v>
      </c>
    </row>
    <row r="3981" spans="1:1" customFormat="1">
      <c r="A3981" s="13" t="s">
        <v>5561</v>
      </c>
    </row>
    <row r="3982" spans="1:1" customFormat="1">
      <c r="A3982" s="13" t="s">
        <v>5562</v>
      </c>
    </row>
    <row r="3983" spans="1:1" customFormat="1">
      <c r="A3983" s="13" t="s">
        <v>5563</v>
      </c>
    </row>
    <row r="3984" spans="1:1" customFormat="1">
      <c r="A3984" s="13" t="s">
        <v>5564</v>
      </c>
    </row>
    <row r="3985" spans="1:1" customFormat="1">
      <c r="A3985" s="13" t="s">
        <v>5565</v>
      </c>
    </row>
    <row r="3986" spans="1:1" customFormat="1">
      <c r="A3986" s="13" t="s">
        <v>5566</v>
      </c>
    </row>
    <row r="3987" spans="1:1" customFormat="1">
      <c r="A3987" s="13" t="s">
        <v>5567</v>
      </c>
    </row>
    <row r="3988" spans="1:1" customFormat="1">
      <c r="A3988" s="13" t="s">
        <v>5568</v>
      </c>
    </row>
    <row r="3989" spans="1:1" customFormat="1">
      <c r="A3989" s="13" t="s">
        <v>5569</v>
      </c>
    </row>
    <row r="3990" spans="1:1" customFormat="1">
      <c r="A3990" s="13" t="s">
        <v>5570</v>
      </c>
    </row>
    <row r="3991" spans="1:1" customFormat="1">
      <c r="A3991" s="13" t="s">
        <v>5571</v>
      </c>
    </row>
    <row r="3992" spans="1:1" customFormat="1">
      <c r="A3992" s="13" t="s">
        <v>5572</v>
      </c>
    </row>
    <row r="3993" spans="1:1" customFormat="1">
      <c r="A3993" s="13" t="s">
        <v>5573</v>
      </c>
    </row>
    <row r="3994" spans="1:1" customFormat="1">
      <c r="A3994" s="13" t="s">
        <v>5574</v>
      </c>
    </row>
    <row r="3995" spans="1:1" customFormat="1">
      <c r="A3995" s="13" t="s">
        <v>5575</v>
      </c>
    </row>
    <row r="3996" spans="1:1" customFormat="1">
      <c r="A3996" s="13" t="s">
        <v>5576</v>
      </c>
    </row>
    <row r="3997" spans="1:1" customFormat="1">
      <c r="A3997" s="13" t="s">
        <v>5577</v>
      </c>
    </row>
    <row r="3998" spans="1:1" customFormat="1">
      <c r="A3998" s="13" t="s">
        <v>5578</v>
      </c>
    </row>
    <row r="3999" spans="1:1" customFormat="1">
      <c r="A3999" s="13" t="s">
        <v>5579</v>
      </c>
    </row>
    <row r="4000" spans="1:1" customFormat="1">
      <c r="A4000" s="13" t="s">
        <v>5580</v>
      </c>
    </row>
    <row r="4001" spans="1:1" customFormat="1">
      <c r="A4001" s="13" t="s">
        <v>5581</v>
      </c>
    </row>
    <row r="4002" spans="1:1" customFormat="1">
      <c r="A4002" s="13" t="s">
        <v>5582</v>
      </c>
    </row>
    <row r="4003" spans="1:1" customFormat="1">
      <c r="A4003" s="13" t="s">
        <v>5583</v>
      </c>
    </row>
    <row r="4004" spans="1:1" customFormat="1">
      <c r="A4004" s="13" t="s">
        <v>5584</v>
      </c>
    </row>
    <row r="4005" spans="1:1" customFormat="1">
      <c r="A4005" s="13" t="s">
        <v>5585</v>
      </c>
    </row>
    <row r="4006" spans="1:1" customFormat="1">
      <c r="A4006" s="13" t="s">
        <v>5586</v>
      </c>
    </row>
    <row r="4007" spans="1:1" customFormat="1">
      <c r="A4007" s="13" t="s">
        <v>5587</v>
      </c>
    </row>
    <row r="4008" spans="1:1" customFormat="1">
      <c r="A4008" s="13" t="s">
        <v>5588</v>
      </c>
    </row>
    <row r="4009" spans="1:1" customFormat="1">
      <c r="A4009" s="13" t="s">
        <v>5589</v>
      </c>
    </row>
    <row r="4010" spans="1:1" customFormat="1">
      <c r="A4010" s="13" t="s">
        <v>5590</v>
      </c>
    </row>
    <row r="4011" spans="1:1" customFormat="1">
      <c r="A4011" s="13" t="s">
        <v>5591</v>
      </c>
    </row>
    <row r="4012" spans="1:1" customFormat="1">
      <c r="A4012" s="13" t="s">
        <v>5592</v>
      </c>
    </row>
    <row r="4013" spans="1:1" customFormat="1">
      <c r="A4013" s="13" t="s">
        <v>5593</v>
      </c>
    </row>
    <row r="4014" spans="1:1" customFormat="1">
      <c r="A4014" s="13" t="s">
        <v>5594</v>
      </c>
    </row>
    <row r="4015" spans="1:1" customFormat="1">
      <c r="A4015" s="13" t="s">
        <v>5595</v>
      </c>
    </row>
    <row r="4016" spans="1:1" customFormat="1">
      <c r="A4016" s="13" t="s">
        <v>5596</v>
      </c>
    </row>
    <row r="4017" spans="1:1" customFormat="1">
      <c r="A4017" s="13" t="s">
        <v>5597</v>
      </c>
    </row>
    <row r="4018" spans="1:1" customFormat="1">
      <c r="A4018" s="13" t="s">
        <v>5598</v>
      </c>
    </row>
    <row r="4019" spans="1:1" customFormat="1">
      <c r="A4019" s="13" t="s">
        <v>5599</v>
      </c>
    </row>
    <row r="4020" spans="1:1" customFormat="1">
      <c r="A4020" s="13" t="s">
        <v>5600</v>
      </c>
    </row>
    <row r="4021" spans="1:1" customFormat="1">
      <c r="A4021" s="13" t="s">
        <v>5601</v>
      </c>
    </row>
    <row r="4022" spans="1:1" customFormat="1">
      <c r="A4022" s="13" t="s">
        <v>5602</v>
      </c>
    </row>
    <row r="4023" spans="1:1" customFormat="1">
      <c r="A4023" s="13" t="s">
        <v>5603</v>
      </c>
    </row>
    <row r="4024" spans="1:1" customFormat="1">
      <c r="A4024" s="13" t="s">
        <v>5604</v>
      </c>
    </row>
    <row r="4025" spans="1:1" customFormat="1">
      <c r="A4025" s="13" t="s">
        <v>5605</v>
      </c>
    </row>
    <row r="4026" spans="1:1" customFormat="1">
      <c r="A4026" s="13" t="s">
        <v>5606</v>
      </c>
    </row>
    <row r="4027" spans="1:1" customFormat="1">
      <c r="A4027" s="13" t="s">
        <v>5607</v>
      </c>
    </row>
    <row r="4028" spans="1:1" customFormat="1">
      <c r="A4028" s="13" t="s">
        <v>5608</v>
      </c>
    </row>
    <row r="4029" spans="1:1" customFormat="1">
      <c r="A4029" s="13" t="s">
        <v>5609</v>
      </c>
    </row>
    <row r="4030" spans="1:1" customFormat="1">
      <c r="A4030" s="13" t="s">
        <v>5610</v>
      </c>
    </row>
    <row r="4031" spans="1:1" customFormat="1">
      <c r="A4031" s="13" t="s">
        <v>5611</v>
      </c>
    </row>
    <row r="4032" spans="1:1" customFormat="1">
      <c r="A4032" s="13" t="s">
        <v>5612</v>
      </c>
    </row>
    <row r="4033" spans="1:1" customFormat="1">
      <c r="A4033" s="13" t="s">
        <v>5613</v>
      </c>
    </row>
    <row r="4034" spans="1:1" customFormat="1">
      <c r="A4034" s="13" t="s">
        <v>5614</v>
      </c>
    </row>
    <row r="4035" spans="1:1" customFormat="1">
      <c r="A4035" s="13" t="s">
        <v>5615</v>
      </c>
    </row>
    <row r="4036" spans="1:1" customFormat="1">
      <c r="A4036" s="13" t="s">
        <v>5616</v>
      </c>
    </row>
    <row r="4037" spans="1:1" customFormat="1">
      <c r="A4037" s="13" t="s">
        <v>5617</v>
      </c>
    </row>
    <row r="4038" spans="1:1" customFormat="1">
      <c r="A4038" s="13" t="s">
        <v>5618</v>
      </c>
    </row>
    <row r="4039" spans="1:1" customFormat="1">
      <c r="A4039" s="13" t="s">
        <v>5619</v>
      </c>
    </row>
    <row r="4040" spans="1:1" customFormat="1">
      <c r="A4040" s="13" t="s">
        <v>5620</v>
      </c>
    </row>
    <row r="4041" spans="1:1" customFormat="1">
      <c r="A4041" s="13" t="s">
        <v>5621</v>
      </c>
    </row>
    <row r="4042" spans="1:1" customFormat="1">
      <c r="A4042" s="13" t="s">
        <v>5622</v>
      </c>
    </row>
    <row r="4043" spans="1:1" customFormat="1">
      <c r="A4043" s="13" t="s">
        <v>5623</v>
      </c>
    </row>
    <row r="4044" spans="1:1" customFormat="1">
      <c r="A4044" s="13" t="s">
        <v>5624</v>
      </c>
    </row>
    <row r="4045" spans="1:1" customFormat="1">
      <c r="A4045" s="13" t="s">
        <v>5625</v>
      </c>
    </row>
    <row r="4046" spans="1:1" customFormat="1">
      <c r="A4046" s="13" t="s">
        <v>5626</v>
      </c>
    </row>
    <row r="4047" spans="1:1" customFormat="1">
      <c r="A4047" s="13" t="s">
        <v>5627</v>
      </c>
    </row>
    <row r="4048" spans="1:1" customFormat="1">
      <c r="A4048" s="13" t="s">
        <v>5628</v>
      </c>
    </row>
    <row r="4049" spans="1:1" customFormat="1">
      <c r="A4049" s="13" t="s">
        <v>5629</v>
      </c>
    </row>
    <row r="4050" spans="1:1" customFormat="1">
      <c r="A4050" s="13" t="s">
        <v>5630</v>
      </c>
    </row>
    <row r="4051" spans="1:1" customFormat="1">
      <c r="A4051" s="13" t="s">
        <v>5631</v>
      </c>
    </row>
    <row r="4052" spans="1:1" customFormat="1">
      <c r="A4052" s="13" t="s">
        <v>5632</v>
      </c>
    </row>
    <row r="4053" spans="1:1" customFormat="1">
      <c r="A4053" s="13" t="s">
        <v>5633</v>
      </c>
    </row>
    <row r="4054" spans="1:1" customFormat="1">
      <c r="A4054" s="13" t="s">
        <v>5634</v>
      </c>
    </row>
    <row r="4055" spans="1:1" customFormat="1">
      <c r="A4055" s="13" t="s">
        <v>5635</v>
      </c>
    </row>
    <row r="4056" spans="1:1" customFormat="1">
      <c r="A4056" s="13" t="s">
        <v>5636</v>
      </c>
    </row>
    <row r="4057" spans="1:1" customFormat="1">
      <c r="A4057" s="13" t="s">
        <v>5637</v>
      </c>
    </row>
    <row r="4058" spans="1:1" customFormat="1">
      <c r="A4058" s="13" t="s">
        <v>5638</v>
      </c>
    </row>
    <row r="4059" spans="1:1" customFormat="1">
      <c r="A4059" s="13" t="s">
        <v>5639</v>
      </c>
    </row>
    <row r="4060" spans="1:1" customFormat="1">
      <c r="A4060" s="13" t="s">
        <v>5640</v>
      </c>
    </row>
    <row r="4061" spans="1:1" customFormat="1">
      <c r="A4061" s="13" t="s">
        <v>5641</v>
      </c>
    </row>
    <row r="4062" spans="1:1" customFormat="1">
      <c r="A4062" s="13" t="s">
        <v>5642</v>
      </c>
    </row>
    <row r="4063" spans="1:1" customFormat="1">
      <c r="A4063" s="13" t="s">
        <v>5643</v>
      </c>
    </row>
    <row r="4064" spans="1:1" customFormat="1">
      <c r="A4064" s="13" t="s">
        <v>5644</v>
      </c>
    </row>
    <row r="4065" spans="1:1" customFormat="1">
      <c r="A4065" s="13" t="s">
        <v>5645</v>
      </c>
    </row>
    <row r="4066" spans="1:1" customFormat="1">
      <c r="A4066" s="13" t="s">
        <v>5646</v>
      </c>
    </row>
    <row r="4067" spans="1:1" customFormat="1">
      <c r="A4067" s="13" t="s">
        <v>5647</v>
      </c>
    </row>
    <row r="4068" spans="1:1" customFormat="1">
      <c r="A4068" s="13" t="s">
        <v>5648</v>
      </c>
    </row>
    <row r="4069" spans="1:1" customFormat="1">
      <c r="A4069" s="13" t="s">
        <v>5649</v>
      </c>
    </row>
    <row r="4070" spans="1:1" customFormat="1">
      <c r="A4070" s="13" t="s">
        <v>5650</v>
      </c>
    </row>
    <row r="4071" spans="1:1" customFormat="1">
      <c r="A4071" s="13" t="s">
        <v>5651</v>
      </c>
    </row>
    <row r="4072" spans="1:1" customFormat="1">
      <c r="A4072" s="13" t="s">
        <v>5652</v>
      </c>
    </row>
    <row r="4073" spans="1:1" customFormat="1">
      <c r="A4073" s="13" t="s">
        <v>5653</v>
      </c>
    </row>
    <row r="4074" spans="1:1" customFormat="1">
      <c r="A4074" s="13" t="s">
        <v>5654</v>
      </c>
    </row>
    <row r="4075" spans="1:1" customFormat="1">
      <c r="A4075" s="13"/>
    </row>
    <row r="4076" spans="1:1" customFormat="1">
      <c r="A4076" s="13" t="s">
        <v>5655</v>
      </c>
    </row>
    <row r="4077" spans="1:1" customFormat="1">
      <c r="A4077" s="13" t="s">
        <v>5656</v>
      </c>
    </row>
    <row r="4078" spans="1:1" customFormat="1">
      <c r="A4078" s="13" t="s">
        <v>5657</v>
      </c>
    </row>
    <row r="4079" spans="1:1" customFormat="1">
      <c r="A4079" s="13" t="s">
        <v>5658</v>
      </c>
    </row>
    <row r="4080" spans="1:1" customFormat="1">
      <c r="A4080" s="13" t="s">
        <v>5659</v>
      </c>
    </row>
    <row r="4081" spans="1:1" customFormat="1">
      <c r="A4081" s="13" t="s">
        <v>5660</v>
      </c>
    </row>
    <row r="4082" spans="1:1" customFormat="1">
      <c r="A4082" s="13" t="s">
        <v>5661</v>
      </c>
    </row>
    <row r="4083" spans="1:1" customFormat="1">
      <c r="A4083" s="13" t="s">
        <v>5662</v>
      </c>
    </row>
    <row r="4084" spans="1:1" customFormat="1">
      <c r="A4084" s="13" t="s">
        <v>5663</v>
      </c>
    </row>
    <row r="4085" spans="1:1" customFormat="1">
      <c r="A4085" s="13" t="s">
        <v>5664</v>
      </c>
    </row>
    <row r="4086" spans="1:1" customFormat="1">
      <c r="A4086" s="13" t="s">
        <v>5665</v>
      </c>
    </row>
    <row r="4087" spans="1:1" customFormat="1">
      <c r="A4087" s="13" t="s">
        <v>5666</v>
      </c>
    </row>
    <row r="4088" spans="1:1" customFormat="1">
      <c r="A4088" s="13" t="s">
        <v>5667</v>
      </c>
    </row>
    <row r="4089" spans="1:1" customFormat="1">
      <c r="A4089" s="13" t="s">
        <v>5668</v>
      </c>
    </row>
    <row r="4090" spans="1:1" customFormat="1">
      <c r="A4090" s="13" t="s">
        <v>5669</v>
      </c>
    </row>
    <row r="4091" spans="1:1" customFormat="1">
      <c r="A4091" s="13" t="s">
        <v>5670</v>
      </c>
    </row>
    <row r="4092" spans="1:1" customFormat="1">
      <c r="A4092" s="13" t="s">
        <v>5671</v>
      </c>
    </row>
    <row r="4093" spans="1:1" customFormat="1">
      <c r="A4093" s="13" t="s">
        <v>5672</v>
      </c>
    </row>
    <row r="4094" spans="1:1" customFormat="1">
      <c r="A4094" s="13" t="s">
        <v>5673</v>
      </c>
    </row>
    <row r="4095" spans="1:1" customFormat="1">
      <c r="A4095" s="13" t="s">
        <v>5674</v>
      </c>
    </row>
    <row r="4096" spans="1:1" customFormat="1">
      <c r="A4096" s="13" t="s">
        <v>5675</v>
      </c>
    </row>
    <row r="4097" spans="1:1" customFormat="1">
      <c r="A4097" s="13" t="s">
        <v>5676</v>
      </c>
    </row>
    <row r="4098" spans="1:1" customFormat="1">
      <c r="A4098" s="13" t="s">
        <v>5677</v>
      </c>
    </row>
    <row r="4099" spans="1:1" customFormat="1">
      <c r="A4099" s="13" t="s">
        <v>5678</v>
      </c>
    </row>
    <row r="4100" spans="1:1" customFormat="1">
      <c r="A4100" s="13" t="s">
        <v>5679</v>
      </c>
    </row>
    <row r="4101" spans="1:1" customFormat="1">
      <c r="A4101" s="13" t="s">
        <v>5680</v>
      </c>
    </row>
    <row r="4102" spans="1:1" customFormat="1">
      <c r="A4102" s="13" t="s">
        <v>5681</v>
      </c>
    </row>
    <row r="4103" spans="1:1" customFormat="1">
      <c r="A4103" s="13" t="s">
        <v>5682</v>
      </c>
    </row>
    <row r="4104" spans="1:1" customFormat="1">
      <c r="A4104" s="13" t="s">
        <v>5683</v>
      </c>
    </row>
    <row r="4105" spans="1:1" customFormat="1">
      <c r="A4105" s="13" t="s">
        <v>5684</v>
      </c>
    </row>
    <row r="4106" spans="1:1" customFormat="1">
      <c r="A4106" s="13" t="s">
        <v>5685</v>
      </c>
    </row>
    <row r="4107" spans="1:1" customFormat="1">
      <c r="A4107" s="13" t="s">
        <v>5686</v>
      </c>
    </row>
    <row r="4108" spans="1:1" customFormat="1">
      <c r="A4108" s="13" t="s">
        <v>5687</v>
      </c>
    </row>
    <row r="4109" spans="1:1" customFormat="1">
      <c r="A4109" s="13" t="s">
        <v>5688</v>
      </c>
    </row>
    <row r="4110" spans="1:1" customFormat="1">
      <c r="A4110" s="13" t="s">
        <v>5689</v>
      </c>
    </row>
    <row r="4111" spans="1:1" customFormat="1">
      <c r="A4111" s="13" t="s">
        <v>5690</v>
      </c>
    </row>
    <row r="4112" spans="1:1" customFormat="1">
      <c r="A4112" s="13" t="s">
        <v>5691</v>
      </c>
    </row>
    <row r="4113" spans="1:1" customFormat="1">
      <c r="A4113" s="13" t="s">
        <v>5692</v>
      </c>
    </row>
    <row r="4114" spans="1:1" customFormat="1">
      <c r="A4114" s="13" t="s">
        <v>5693</v>
      </c>
    </row>
    <row r="4115" spans="1:1" customFormat="1">
      <c r="A4115" s="13" t="s">
        <v>5694</v>
      </c>
    </row>
    <row r="4116" spans="1:1" customFormat="1">
      <c r="A4116" s="13" t="s">
        <v>5695</v>
      </c>
    </row>
    <row r="4117" spans="1:1" customFormat="1">
      <c r="A4117" s="13" t="s">
        <v>5696</v>
      </c>
    </row>
    <row r="4118" spans="1:1" customFormat="1">
      <c r="A4118" s="13" t="s">
        <v>5697</v>
      </c>
    </row>
    <row r="4119" spans="1:1" customFormat="1">
      <c r="A4119" s="13" t="s">
        <v>5698</v>
      </c>
    </row>
    <row r="4120" spans="1:1" customFormat="1">
      <c r="A4120" s="13" t="s">
        <v>5699</v>
      </c>
    </row>
    <row r="4121" spans="1:1" customFormat="1">
      <c r="A4121" s="13" t="s">
        <v>5700</v>
      </c>
    </row>
    <row r="4122" spans="1:1" customFormat="1">
      <c r="A4122" s="13" t="s">
        <v>5701</v>
      </c>
    </row>
    <row r="4123" spans="1:1" customFormat="1">
      <c r="A4123" s="13" t="s">
        <v>5702</v>
      </c>
    </row>
    <row r="4124" spans="1:1" customFormat="1">
      <c r="A4124" s="13" t="s">
        <v>5703</v>
      </c>
    </row>
    <row r="4125" spans="1:1" customFormat="1">
      <c r="A4125" s="13" t="s">
        <v>5704</v>
      </c>
    </row>
    <row r="4126" spans="1:1" customFormat="1">
      <c r="A4126" s="13" t="s">
        <v>5705</v>
      </c>
    </row>
    <row r="4127" spans="1:1" customFormat="1">
      <c r="A4127" s="13" t="s">
        <v>5706</v>
      </c>
    </row>
    <row r="4128" spans="1:1" customFormat="1">
      <c r="A4128" s="13" t="s">
        <v>5707</v>
      </c>
    </row>
    <row r="4129" spans="1:1" customFormat="1">
      <c r="A4129" s="13" t="s">
        <v>5708</v>
      </c>
    </row>
    <row r="4130" spans="1:1" customFormat="1">
      <c r="A4130" s="13" t="s">
        <v>5709</v>
      </c>
    </row>
    <row r="4131" spans="1:1" customFormat="1">
      <c r="A4131" s="13" t="s">
        <v>5710</v>
      </c>
    </row>
    <row r="4132" spans="1:1" customFormat="1">
      <c r="A4132" s="13" t="s">
        <v>5711</v>
      </c>
    </row>
    <row r="4133" spans="1:1" customFormat="1">
      <c r="A4133" s="13" t="s">
        <v>5712</v>
      </c>
    </row>
    <row r="4134" spans="1:1" customFormat="1">
      <c r="A4134" s="13" t="s">
        <v>5713</v>
      </c>
    </row>
    <row r="4135" spans="1:1" customFormat="1">
      <c r="A4135" s="13" t="s">
        <v>5714</v>
      </c>
    </row>
    <row r="4136" spans="1:1" customFormat="1">
      <c r="A4136" s="13" t="s">
        <v>5715</v>
      </c>
    </row>
    <row r="4137" spans="1:1" customFormat="1">
      <c r="A4137" s="13" t="s">
        <v>5716</v>
      </c>
    </row>
    <row r="4138" spans="1:1" customFormat="1">
      <c r="A4138" s="13" t="s">
        <v>5717</v>
      </c>
    </row>
    <row r="4139" spans="1:1" customFormat="1">
      <c r="A4139" s="13" t="s">
        <v>5718</v>
      </c>
    </row>
    <row r="4140" spans="1:1" customFormat="1">
      <c r="A4140" s="13" t="s">
        <v>5719</v>
      </c>
    </row>
    <row r="4141" spans="1:1" customFormat="1">
      <c r="A4141" s="13" t="s">
        <v>5720</v>
      </c>
    </row>
    <row r="4142" spans="1:1" customFormat="1">
      <c r="A4142" s="13" t="s">
        <v>5721</v>
      </c>
    </row>
    <row r="4143" spans="1:1" customFormat="1">
      <c r="A4143" s="13" t="s">
        <v>5722</v>
      </c>
    </row>
    <row r="4144" spans="1:1" customFormat="1">
      <c r="A4144" s="13" t="s">
        <v>5723</v>
      </c>
    </row>
    <row r="4145" spans="1:1" customFormat="1">
      <c r="A4145" s="13" t="s">
        <v>5724</v>
      </c>
    </row>
    <row r="4146" spans="1:1" customFormat="1">
      <c r="A4146" s="13" t="s">
        <v>5725</v>
      </c>
    </row>
    <row r="4147" spans="1:1" customFormat="1">
      <c r="A4147" s="13" t="s">
        <v>5726</v>
      </c>
    </row>
    <row r="4148" spans="1:1" customFormat="1">
      <c r="A4148" s="13" t="s">
        <v>5727</v>
      </c>
    </row>
    <row r="4149" spans="1:1" customFormat="1">
      <c r="A4149" s="13" t="s">
        <v>5728</v>
      </c>
    </row>
    <row r="4150" spans="1:1" customFormat="1">
      <c r="A4150" s="13" t="s">
        <v>5729</v>
      </c>
    </row>
    <row r="4151" spans="1:1" customFormat="1">
      <c r="A4151" s="13" t="s">
        <v>5730</v>
      </c>
    </row>
    <row r="4152" spans="1:1" customFormat="1">
      <c r="A4152" s="13" t="s">
        <v>5731</v>
      </c>
    </row>
    <row r="4153" spans="1:1" customFormat="1">
      <c r="A4153" s="13" t="s">
        <v>5732</v>
      </c>
    </row>
    <row r="4154" spans="1:1" customFormat="1">
      <c r="A4154" s="13" t="s">
        <v>5733</v>
      </c>
    </row>
    <row r="4155" spans="1:1" customFormat="1">
      <c r="A4155" s="13" t="s">
        <v>5734</v>
      </c>
    </row>
    <row r="4156" spans="1:1" customFormat="1">
      <c r="A4156" s="13" t="s">
        <v>5735</v>
      </c>
    </row>
    <row r="4157" spans="1:1" customFormat="1">
      <c r="A4157" s="13" t="s">
        <v>5736</v>
      </c>
    </row>
    <row r="4158" spans="1:1" customFormat="1">
      <c r="A4158" s="13" t="s">
        <v>5737</v>
      </c>
    </row>
    <row r="4159" spans="1:1" customFormat="1">
      <c r="A4159" s="13" t="s">
        <v>5738</v>
      </c>
    </row>
    <row r="4160" spans="1:1" customFormat="1">
      <c r="A4160" s="13" t="s">
        <v>5739</v>
      </c>
    </row>
    <row r="4161" spans="1:1" customFormat="1">
      <c r="A4161" s="13" t="s">
        <v>5740</v>
      </c>
    </row>
    <row r="4162" spans="1:1" customFormat="1">
      <c r="A4162" s="13" t="s">
        <v>5741</v>
      </c>
    </row>
    <row r="4163" spans="1:1" customFormat="1">
      <c r="A4163" s="13" t="s">
        <v>5742</v>
      </c>
    </row>
    <row r="4164" spans="1:1" customFormat="1">
      <c r="A4164" s="13" t="s">
        <v>5743</v>
      </c>
    </row>
    <row r="4165" spans="1:1" customFormat="1">
      <c r="A4165" s="13" t="s">
        <v>5744</v>
      </c>
    </row>
    <row r="4166" spans="1:1" customFormat="1">
      <c r="A4166" s="13" t="s">
        <v>5745</v>
      </c>
    </row>
    <row r="4167" spans="1:1" customFormat="1">
      <c r="A4167" s="13" t="s">
        <v>5746</v>
      </c>
    </row>
    <row r="4168" spans="1:1" customFormat="1">
      <c r="A4168" s="13" t="s">
        <v>5747</v>
      </c>
    </row>
    <row r="4169" spans="1:1" customFormat="1">
      <c r="A4169" s="13" t="s">
        <v>5748</v>
      </c>
    </row>
    <row r="4170" spans="1:1" customFormat="1">
      <c r="A4170" s="13" t="s">
        <v>5749</v>
      </c>
    </row>
    <row r="4171" spans="1:1" customFormat="1">
      <c r="A4171" s="13" t="s">
        <v>5750</v>
      </c>
    </row>
    <row r="4172" spans="1:1" customFormat="1">
      <c r="A4172" s="13" t="s">
        <v>5751</v>
      </c>
    </row>
    <row r="4173" spans="1:1" customFormat="1">
      <c r="A4173" s="13" t="s">
        <v>5752</v>
      </c>
    </row>
    <row r="4174" spans="1:1" customFormat="1">
      <c r="A4174" s="13" t="s">
        <v>5753</v>
      </c>
    </row>
    <row r="4175" spans="1:1" customFormat="1">
      <c r="A4175" s="13" t="s">
        <v>5754</v>
      </c>
    </row>
    <row r="4176" spans="1:1" customFormat="1">
      <c r="A4176" s="13" t="s">
        <v>5755</v>
      </c>
    </row>
    <row r="4177" spans="1:1" customFormat="1">
      <c r="A4177" s="13" t="s">
        <v>5756</v>
      </c>
    </row>
    <row r="4178" spans="1:1" customFormat="1">
      <c r="A4178" s="13" t="s">
        <v>5757</v>
      </c>
    </row>
    <row r="4179" spans="1:1" customFormat="1">
      <c r="A4179" s="13" t="s">
        <v>5758</v>
      </c>
    </row>
    <row r="4180" spans="1:1" customFormat="1">
      <c r="A4180" s="13" t="s">
        <v>5759</v>
      </c>
    </row>
    <row r="4181" spans="1:1" customFormat="1">
      <c r="A4181" s="13" t="s">
        <v>5760</v>
      </c>
    </row>
    <row r="4182" spans="1:1" customFormat="1">
      <c r="A4182" s="13" t="s">
        <v>5761</v>
      </c>
    </row>
    <row r="4183" spans="1:1" customFormat="1">
      <c r="A4183" s="13" t="s">
        <v>5762</v>
      </c>
    </row>
    <row r="4184" spans="1:1" customFormat="1">
      <c r="A4184" s="13" t="s">
        <v>5763</v>
      </c>
    </row>
    <row r="4185" spans="1:1" customFormat="1">
      <c r="A4185" s="13" t="s">
        <v>5764</v>
      </c>
    </row>
    <row r="4186" spans="1:1" customFormat="1">
      <c r="A4186" s="13" t="s">
        <v>5765</v>
      </c>
    </row>
    <row r="4187" spans="1:1" customFormat="1">
      <c r="A4187" s="13" t="s">
        <v>5766</v>
      </c>
    </row>
    <row r="4188" spans="1:1" customFormat="1">
      <c r="A4188" s="13" t="s">
        <v>5767</v>
      </c>
    </row>
    <row r="4189" spans="1:1" customFormat="1">
      <c r="A4189" s="13" t="s">
        <v>5768</v>
      </c>
    </row>
    <row r="4190" spans="1:1" customFormat="1">
      <c r="A4190" s="13" t="s">
        <v>5769</v>
      </c>
    </row>
    <row r="4191" spans="1:1" customFormat="1">
      <c r="A4191" s="13" t="s">
        <v>5770</v>
      </c>
    </row>
    <row r="4192" spans="1:1" customFormat="1">
      <c r="A4192" s="13" t="s">
        <v>5771</v>
      </c>
    </row>
    <row r="4193" spans="1:1" customFormat="1">
      <c r="A4193" s="13" t="s">
        <v>5772</v>
      </c>
    </row>
    <row r="4194" spans="1:1" customFormat="1">
      <c r="A4194" s="13" t="s">
        <v>5773</v>
      </c>
    </row>
    <row r="4195" spans="1:1" customFormat="1">
      <c r="A4195" s="13" t="s">
        <v>5774</v>
      </c>
    </row>
    <row r="4196" spans="1:1" customFormat="1">
      <c r="A4196" s="13" t="s">
        <v>5775</v>
      </c>
    </row>
    <row r="4197" spans="1:1" customFormat="1">
      <c r="A4197" s="13" t="s">
        <v>5776</v>
      </c>
    </row>
    <row r="4198" spans="1:1" customFormat="1">
      <c r="A4198" s="13" t="s">
        <v>5777</v>
      </c>
    </row>
    <row r="4199" spans="1:1" customFormat="1">
      <c r="A4199" s="13" t="s">
        <v>5778</v>
      </c>
    </row>
    <row r="4200" spans="1:1" customFormat="1">
      <c r="A4200" s="13" t="s">
        <v>5779</v>
      </c>
    </row>
    <row r="4201" spans="1:1" customFormat="1">
      <c r="A4201" s="13" t="s">
        <v>5780</v>
      </c>
    </row>
    <row r="4202" spans="1:1" customFormat="1">
      <c r="A4202" s="13" t="s">
        <v>5781</v>
      </c>
    </row>
    <row r="4203" spans="1:1" customFormat="1">
      <c r="A4203" s="13" t="s">
        <v>5782</v>
      </c>
    </row>
    <row r="4204" spans="1:1" customFormat="1">
      <c r="A4204" s="13" t="s">
        <v>5783</v>
      </c>
    </row>
    <row r="4205" spans="1:1" customFormat="1">
      <c r="A4205" s="13" t="s">
        <v>5784</v>
      </c>
    </row>
    <row r="4206" spans="1:1" customFormat="1">
      <c r="A4206" s="13" t="s">
        <v>5785</v>
      </c>
    </row>
    <row r="4207" spans="1:1" customFormat="1">
      <c r="A4207" s="13" t="s">
        <v>5786</v>
      </c>
    </row>
    <row r="4208" spans="1:1" customFormat="1">
      <c r="A4208" s="13" t="s">
        <v>5787</v>
      </c>
    </row>
    <row r="4209" spans="1:1" customFormat="1">
      <c r="A4209" s="13" t="s">
        <v>5788</v>
      </c>
    </row>
    <row r="4210" spans="1:1" customFormat="1">
      <c r="A4210" s="13" t="s">
        <v>5789</v>
      </c>
    </row>
    <row r="4211" spans="1:1" customFormat="1">
      <c r="A4211" s="13" t="s">
        <v>5790</v>
      </c>
    </row>
    <row r="4212" spans="1:1" customFormat="1">
      <c r="A4212" s="13" t="s">
        <v>5791</v>
      </c>
    </row>
    <row r="4213" spans="1:1" customFormat="1">
      <c r="A4213" s="13" t="s">
        <v>5792</v>
      </c>
    </row>
    <row r="4214" spans="1:1" customFormat="1">
      <c r="A4214" s="13" t="s">
        <v>5793</v>
      </c>
    </row>
    <row r="4215" spans="1:1" customFormat="1">
      <c r="A4215" s="13" t="s">
        <v>5794</v>
      </c>
    </row>
    <row r="4216" spans="1:1" customFormat="1">
      <c r="A4216" s="13" t="s">
        <v>5795</v>
      </c>
    </row>
    <row r="4217" spans="1:1" customFormat="1">
      <c r="A4217" s="13" t="s">
        <v>5796</v>
      </c>
    </row>
    <row r="4218" spans="1:1" customFormat="1">
      <c r="A4218" s="13" t="s">
        <v>5797</v>
      </c>
    </row>
    <row r="4219" spans="1:1" customFormat="1">
      <c r="A4219" s="13" t="s">
        <v>5798</v>
      </c>
    </row>
    <row r="4220" spans="1:1" customFormat="1">
      <c r="A4220" s="13" t="s">
        <v>5799</v>
      </c>
    </row>
    <row r="4221" spans="1:1" customFormat="1">
      <c r="A4221" s="13" t="s">
        <v>5800</v>
      </c>
    </row>
    <row r="4222" spans="1:1" customFormat="1">
      <c r="A4222" s="13" t="s">
        <v>5801</v>
      </c>
    </row>
    <row r="4223" spans="1:1" customFormat="1">
      <c r="A4223" s="13" t="s">
        <v>5802</v>
      </c>
    </row>
    <row r="4224" spans="1:1" customFormat="1">
      <c r="A4224" s="13" t="s">
        <v>5803</v>
      </c>
    </row>
    <row r="4225" spans="1:1" customFormat="1">
      <c r="A4225" s="13" t="s">
        <v>5804</v>
      </c>
    </row>
    <row r="4226" spans="1:1" customFormat="1">
      <c r="A4226" s="13" t="s">
        <v>5805</v>
      </c>
    </row>
    <row r="4227" spans="1:1" customFormat="1">
      <c r="A4227" s="13" t="s">
        <v>5806</v>
      </c>
    </row>
    <row r="4228" spans="1:1" customFormat="1">
      <c r="A4228" s="13" t="s">
        <v>5807</v>
      </c>
    </row>
    <row r="4229" spans="1:1" customFormat="1">
      <c r="A4229" s="13" t="s">
        <v>5808</v>
      </c>
    </row>
    <row r="4230" spans="1:1" customFormat="1">
      <c r="A4230" s="13" t="s">
        <v>5809</v>
      </c>
    </row>
    <row r="4231" spans="1:1" customFormat="1">
      <c r="A4231" s="13" t="s">
        <v>5810</v>
      </c>
    </row>
    <row r="4232" spans="1:1" customFormat="1">
      <c r="A4232" s="13" t="s">
        <v>5811</v>
      </c>
    </row>
    <row r="4233" spans="1:1" customFormat="1">
      <c r="A4233" s="13" t="s">
        <v>5812</v>
      </c>
    </row>
    <row r="4234" spans="1:1" customFormat="1">
      <c r="A4234" s="13" t="s">
        <v>5813</v>
      </c>
    </row>
    <row r="4235" spans="1:1" customFormat="1">
      <c r="A4235" s="13" t="s">
        <v>5814</v>
      </c>
    </row>
    <row r="4236" spans="1:1" customFormat="1">
      <c r="A4236" s="13" t="s">
        <v>5815</v>
      </c>
    </row>
    <row r="4237" spans="1:1" customFormat="1">
      <c r="A4237" s="13" t="s">
        <v>5816</v>
      </c>
    </row>
    <row r="4238" spans="1:1" customFormat="1">
      <c r="A4238" s="13" t="s">
        <v>5817</v>
      </c>
    </row>
    <row r="4239" spans="1:1" customFormat="1">
      <c r="A4239" s="13" t="s">
        <v>5818</v>
      </c>
    </row>
    <row r="4240" spans="1:1" customFormat="1">
      <c r="A4240" s="13" t="s">
        <v>5819</v>
      </c>
    </row>
    <row r="4241" spans="1:1" customFormat="1">
      <c r="A4241" s="13" t="s">
        <v>5820</v>
      </c>
    </row>
    <row r="4242" spans="1:1" customFormat="1">
      <c r="A4242" s="13" t="s">
        <v>5821</v>
      </c>
    </row>
    <row r="4243" spans="1:1" customFormat="1">
      <c r="A4243" s="13" t="s">
        <v>5822</v>
      </c>
    </row>
    <row r="4244" spans="1:1" customFormat="1">
      <c r="A4244" s="13" t="s">
        <v>5823</v>
      </c>
    </row>
    <row r="4245" spans="1:1" customFormat="1">
      <c r="A4245" s="13" t="s">
        <v>5824</v>
      </c>
    </row>
    <row r="4246" spans="1:1" customFormat="1">
      <c r="A4246" s="13" t="s">
        <v>5825</v>
      </c>
    </row>
    <row r="4247" spans="1:1" customFormat="1">
      <c r="A4247" s="13" t="s">
        <v>5826</v>
      </c>
    </row>
    <row r="4248" spans="1:1" customFormat="1">
      <c r="A4248" s="13" t="s">
        <v>5827</v>
      </c>
    </row>
    <row r="4249" spans="1:1" customFormat="1">
      <c r="A4249" s="13" t="s">
        <v>5828</v>
      </c>
    </row>
    <row r="4250" spans="1:1" customFormat="1">
      <c r="A4250" s="13" t="s">
        <v>5829</v>
      </c>
    </row>
    <row r="4251" spans="1:1" customFormat="1">
      <c r="A4251" s="13" t="s">
        <v>5830</v>
      </c>
    </row>
    <row r="4252" spans="1:1" customFormat="1">
      <c r="A4252" s="13" t="s">
        <v>5831</v>
      </c>
    </row>
    <row r="4253" spans="1:1" customFormat="1">
      <c r="A4253" s="13" t="s">
        <v>5832</v>
      </c>
    </row>
    <row r="4254" spans="1:1" customFormat="1">
      <c r="A4254" s="13" t="s">
        <v>5833</v>
      </c>
    </row>
    <row r="4255" spans="1:1" customFormat="1">
      <c r="A4255" s="13" t="s">
        <v>5834</v>
      </c>
    </row>
    <row r="4256" spans="1:1" customFormat="1">
      <c r="A4256" s="13" t="s">
        <v>5835</v>
      </c>
    </row>
    <row r="4257" spans="1:7" customFormat="1">
      <c r="A4257" s="13" t="s">
        <v>5836</v>
      </c>
    </row>
    <row r="4258" spans="1:7" customFormat="1">
      <c r="A4258" s="13" t="s">
        <v>5837</v>
      </c>
    </row>
    <row r="4259" spans="1:7" customFormat="1">
      <c r="A4259" s="13" t="s">
        <v>5838</v>
      </c>
    </row>
    <row r="4260" spans="1:7" customFormat="1">
      <c r="A4260" s="13" t="s">
        <v>5839</v>
      </c>
    </row>
    <row r="4261" spans="1:7" customFormat="1">
      <c r="A4261" s="13" t="s">
        <v>5840</v>
      </c>
    </row>
    <row r="4262" spans="1:7" customFormat="1">
      <c r="A4262" s="13" t="s">
        <v>5841</v>
      </c>
    </row>
    <row r="4263" spans="1:7" customFormat="1">
      <c r="A4263" s="13" t="s">
        <v>5842</v>
      </c>
    </row>
    <row r="4264" spans="1:7" customFormat="1">
      <c r="A4264" s="13" t="s">
        <v>5843</v>
      </c>
    </row>
    <row r="4265" spans="1:7" customFormat="1">
      <c r="A4265" s="13" t="s">
        <v>5844</v>
      </c>
    </row>
    <row r="4266" spans="1:7" customFormat="1">
      <c r="A4266" s="13" t="s">
        <v>5845</v>
      </c>
    </row>
    <row r="4267" spans="1:7" customFormat="1">
      <c r="A4267" s="13" t="s">
        <v>5846</v>
      </c>
    </row>
    <row r="4268" spans="1:7" customFormat="1">
      <c r="A4268" s="13" t="s">
        <v>5847</v>
      </c>
    </row>
    <row r="4269" spans="1:7" customFormat="1">
      <c r="A4269" s="13"/>
    </row>
    <row r="4270" spans="1:7" customFormat="1">
      <c r="A4270" s="13" t="s">
        <v>5848</v>
      </c>
    </row>
    <row r="4271" spans="1:7" customFormat="1">
      <c r="A4271" s="13" t="s">
        <v>5849</v>
      </c>
    </row>
    <row r="4272" spans="1:7" customFormat="1">
      <c r="A4272" s="13" t="s">
        <v>5850</v>
      </c>
      <c r="B4272" s="13"/>
      <c r="C4272" s="13"/>
      <c r="D4272" s="13"/>
      <c r="E4272" s="13"/>
      <c r="F4272" s="13"/>
      <c r="G4272" s="13"/>
    </row>
    <row r="4273" spans="1:7" customFormat="1">
      <c r="A4273" s="13" t="s">
        <v>5851</v>
      </c>
      <c r="B4273" s="13">
        <v>3</v>
      </c>
      <c r="C4273" s="13"/>
      <c r="D4273" s="13"/>
      <c r="E4273" s="13" t="s">
        <v>5852</v>
      </c>
      <c r="F4273" s="13">
        <v>2</v>
      </c>
      <c r="G4273" s="13" t="s">
        <v>31</v>
      </c>
    </row>
    <row r="4274" spans="1:7" customFormat="1">
      <c r="A4274" s="13" t="s">
        <v>5853</v>
      </c>
      <c r="B4274" s="13">
        <v>3</v>
      </c>
      <c r="C4274" s="13"/>
      <c r="D4274" s="13"/>
      <c r="E4274" s="13" t="s">
        <v>5854</v>
      </c>
      <c r="F4274" s="13">
        <v>3</v>
      </c>
      <c r="G4274" s="13" t="s">
        <v>46</v>
      </c>
    </row>
    <row r="4275" spans="1:7" customFormat="1">
      <c r="A4275" s="13" t="s">
        <v>5855</v>
      </c>
      <c r="B4275" s="13">
        <v>3</v>
      </c>
      <c r="C4275" s="13"/>
      <c r="D4275" s="13"/>
      <c r="E4275" s="13" t="s">
        <v>5856</v>
      </c>
      <c r="F4275" s="13">
        <v>4</v>
      </c>
      <c r="G4275" s="13" t="s">
        <v>46</v>
      </c>
    </row>
    <row r="4276" spans="1:7" customFormat="1">
      <c r="A4276" s="13" t="s">
        <v>5857</v>
      </c>
    </row>
    <row r="4277" spans="1:7" customFormat="1">
      <c r="A4277" s="13" t="s">
        <v>5858</v>
      </c>
    </row>
    <row r="4278" spans="1:7" customFormat="1">
      <c r="A4278" s="13" t="s">
        <v>5859</v>
      </c>
    </row>
    <row r="4279" spans="1:7" customFormat="1">
      <c r="A4279" s="13" t="s">
        <v>5860</v>
      </c>
    </row>
    <row r="4280" spans="1:7" customFormat="1">
      <c r="A4280" s="13" t="s">
        <v>5861</v>
      </c>
    </row>
    <row r="4281" spans="1:7" customFormat="1">
      <c r="A4281" s="13" t="s">
        <v>5862</v>
      </c>
    </row>
    <row r="4282" spans="1:7" customFormat="1">
      <c r="A4282" s="13" t="s">
        <v>5863</v>
      </c>
    </row>
    <row r="4283" spans="1:7" customFormat="1">
      <c r="A4283" s="13" t="s">
        <v>5864</v>
      </c>
    </row>
    <row r="4284" spans="1:7" customFormat="1">
      <c r="A4284" s="13" t="s">
        <v>5865</v>
      </c>
    </row>
    <row r="4285" spans="1:7" customFormat="1">
      <c r="A4285" s="13" t="s">
        <v>5866</v>
      </c>
    </row>
    <row r="4286" spans="1:7" customFormat="1">
      <c r="A4286" s="13" t="s">
        <v>5867</v>
      </c>
    </row>
    <row r="4287" spans="1:7" customFormat="1">
      <c r="A4287" s="13" t="s">
        <v>5868</v>
      </c>
    </row>
    <row r="4288" spans="1:7" customFormat="1">
      <c r="A4288" s="13" t="s">
        <v>5869</v>
      </c>
    </row>
    <row r="4289" spans="1:1" customFormat="1">
      <c r="A4289" s="13" t="s">
        <v>5870</v>
      </c>
    </row>
    <row r="4290" spans="1:1" customFormat="1">
      <c r="A4290" s="13" t="s">
        <v>5871</v>
      </c>
    </row>
    <row r="4291" spans="1:1" customFormat="1">
      <c r="A4291" s="13" t="s">
        <v>5872</v>
      </c>
    </row>
    <row r="4292" spans="1:1" customFormat="1">
      <c r="A4292" s="13" t="s">
        <v>5873</v>
      </c>
    </row>
    <row r="4293" spans="1:1" customFormat="1">
      <c r="A4293" s="13" t="s">
        <v>5874</v>
      </c>
    </row>
    <row r="4294" spans="1:1" customFormat="1">
      <c r="A4294" s="13" t="s">
        <v>5875</v>
      </c>
    </row>
    <row r="4295" spans="1:1" customFormat="1">
      <c r="A4295" s="13" t="s">
        <v>5876</v>
      </c>
    </row>
    <row r="4296" spans="1:1" customFormat="1">
      <c r="A4296" s="13" t="s">
        <v>5877</v>
      </c>
    </row>
    <row r="4297" spans="1:1" customFormat="1">
      <c r="A4297" s="13" t="s">
        <v>5878</v>
      </c>
    </row>
    <row r="4298" spans="1:1" customFormat="1">
      <c r="A4298" s="13" t="s">
        <v>5879</v>
      </c>
    </row>
    <row r="4299" spans="1:1" customFormat="1">
      <c r="A4299" s="13" t="s">
        <v>5880</v>
      </c>
    </row>
    <row r="4300" spans="1:1" customFormat="1">
      <c r="A4300" s="13" t="s">
        <v>5881</v>
      </c>
    </row>
    <row r="4301" spans="1:1" customFormat="1">
      <c r="A4301" s="13" t="s">
        <v>5882</v>
      </c>
    </row>
    <row r="4302" spans="1:1" customFormat="1">
      <c r="A4302" s="13" t="s">
        <v>5883</v>
      </c>
    </row>
    <row r="4303" spans="1:1" customFormat="1">
      <c r="A4303" s="13" t="s">
        <v>5884</v>
      </c>
    </row>
    <row r="4304" spans="1:1" customFormat="1">
      <c r="A4304" s="13" t="s">
        <v>5885</v>
      </c>
    </row>
    <row r="4305" spans="1:1" customFormat="1">
      <c r="A4305" s="13" t="s">
        <v>5886</v>
      </c>
    </row>
    <row r="4306" spans="1:1" customFormat="1">
      <c r="A4306" s="13" t="s">
        <v>5887</v>
      </c>
    </row>
    <row r="4307" spans="1:1" customFormat="1">
      <c r="A4307" s="13" t="s">
        <v>5888</v>
      </c>
    </row>
    <row r="4308" spans="1:1" customFormat="1">
      <c r="A4308" s="13" t="s">
        <v>5889</v>
      </c>
    </row>
    <row r="4309" spans="1:1" customFormat="1">
      <c r="A4309" s="13" t="s">
        <v>5890</v>
      </c>
    </row>
    <row r="4310" spans="1:1" customFormat="1">
      <c r="A4310" s="13" t="s">
        <v>5891</v>
      </c>
    </row>
    <row r="4311" spans="1:1" customFormat="1">
      <c r="A4311" s="13" t="s">
        <v>5892</v>
      </c>
    </row>
    <row r="4312" spans="1:1" customFormat="1">
      <c r="A4312" s="13" t="s">
        <v>5893</v>
      </c>
    </row>
    <row r="4313" spans="1:1" customFormat="1">
      <c r="A4313" s="13" t="s">
        <v>5894</v>
      </c>
    </row>
    <row r="4314" spans="1:1" customFormat="1">
      <c r="A4314" s="13" t="s">
        <v>5895</v>
      </c>
    </row>
    <row r="4315" spans="1:1" customFormat="1">
      <c r="A4315" s="13" t="s">
        <v>5896</v>
      </c>
    </row>
    <row r="4316" spans="1:1" customFormat="1">
      <c r="A4316" s="13" t="s">
        <v>5897</v>
      </c>
    </row>
    <row r="4317" spans="1:1" customFormat="1">
      <c r="A4317" s="13" t="s">
        <v>5898</v>
      </c>
    </row>
    <row r="4318" spans="1:1" customFormat="1">
      <c r="A4318" s="13" t="s">
        <v>5899</v>
      </c>
    </row>
    <row r="4319" spans="1:1" customFormat="1">
      <c r="A4319" s="13" t="s">
        <v>5900</v>
      </c>
    </row>
    <row r="4320" spans="1:1" customFormat="1">
      <c r="A4320" s="13" t="s">
        <v>5901</v>
      </c>
    </row>
    <row r="4321" spans="1:1" customFormat="1">
      <c r="A4321" s="13" t="s">
        <v>5902</v>
      </c>
    </row>
    <row r="4322" spans="1:1" customFormat="1">
      <c r="A4322" s="13" t="s">
        <v>5903</v>
      </c>
    </row>
    <row r="4323" spans="1:1" customFormat="1">
      <c r="A4323" s="13" t="s">
        <v>5904</v>
      </c>
    </row>
    <row r="4324" spans="1:1" customFormat="1">
      <c r="A4324" s="13" t="s">
        <v>5905</v>
      </c>
    </row>
    <row r="4325" spans="1:1" customFormat="1">
      <c r="A4325" s="13" t="s">
        <v>5906</v>
      </c>
    </row>
    <row r="4326" spans="1:1" customFormat="1">
      <c r="A4326" s="13" t="s">
        <v>5907</v>
      </c>
    </row>
    <row r="4327" spans="1:1" customFormat="1">
      <c r="A4327" s="13" t="s">
        <v>5908</v>
      </c>
    </row>
    <row r="4328" spans="1:1" customFormat="1">
      <c r="A4328" s="13" t="s">
        <v>5909</v>
      </c>
    </row>
    <row r="4329" spans="1:1" customFormat="1">
      <c r="A4329" s="13" t="s">
        <v>5910</v>
      </c>
    </row>
    <row r="4330" spans="1:1" customFormat="1">
      <c r="A4330" s="13" t="s">
        <v>5911</v>
      </c>
    </row>
    <row r="4331" spans="1:1" customFormat="1">
      <c r="A4331" s="13" t="s">
        <v>5912</v>
      </c>
    </row>
    <row r="4332" spans="1:1" customFormat="1">
      <c r="A4332" s="13" t="s">
        <v>5913</v>
      </c>
    </row>
    <row r="4333" spans="1:1" customFormat="1">
      <c r="A4333" s="13" t="s">
        <v>5914</v>
      </c>
    </row>
    <row r="4334" spans="1:1" customFormat="1">
      <c r="A4334" s="13" t="s">
        <v>5915</v>
      </c>
    </row>
    <row r="4335" spans="1:1" customFormat="1">
      <c r="A4335" s="13" t="s">
        <v>5916</v>
      </c>
    </row>
    <row r="4336" spans="1:1" customFormat="1">
      <c r="A4336" s="13" t="s">
        <v>5917</v>
      </c>
    </row>
    <row r="4337" spans="1:1" customFormat="1">
      <c r="A4337" s="13" t="s">
        <v>5918</v>
      </c>
    </row>
    <row r="4338" spans="1:1" customFormat="1">
      <c r="A4338" s="13" t="s">
        <v>5919</v>
      </c>
    </row>
    <row r="4339" spans="1:1" customFormat="1">
      <c r="A4339" s="13" t="s">
        <v>5920</v>
      </c>
    </row>
    <row r="4340" spans="1:1" customFormat="1">
      <c r="A4340" s="13" t="s">
        <v>5921</v>
      </c>
    </row>
    <row r="4341" spans="1:1" customFormat="1">
      <c r="A4341" s="13" t="s">
        <v>5922</v>
      </c>
    </row>
    <row r="4342" spans="1:1" customFormat="1">
      <c r="A4342" s="13" t="s">
        <v>5923</v>
      </c>
    </row>
    <row r="4343" spans="1:1" customFormat="1">
      <c r="A4343" s="13" t="s">
        <v>5924</v>
      </c>
    </row>
    <row r="4344" spans="1:1" customFormat="1">
      <c r="A4344" s="13" t="s">
        <v>5925</v>
      </c>
    </row>
    <row r="4345" spans="1:1" customFormat="1">
      <c r="A4345" s="13" t="s">
        <v>5926</v>
      </c>
    </row>
    <row r="4346" spans="1:1" customFormat="1">
      <c r="A4346" s="13" t="s">
        <v>5927</v>
      </c>
    </row>
    <row r="4347" spans="1:1" customFormat="1">
      <c r="A4347" s="13" t="s">
        <v>5928</v>
      </c>
    </row>
    <row r="4348" spans="1:1" customFormat="1">
      <c r="A4348" s="13" t="s">
        <v>5929</v>
      </c>
    </row>
    <row r="4349" spans="1:1" customFormat="1">
      <c r="A4349" s="13" t="s">
        <v>5930</v>
      </c>
    </row>
    <row r="4350" spans="1:1" customFormat="1">
      <c r="A4350" s="13" t="s">
        <v>5931</v>
      </c>
    </row>
    <row r="4351" spans="1:1" customFormat="1">
      <c r="A4351" s="13" t="s">
        <v>5932</v>
      </c>
    </row>
    <row r="4352" spans="1:1" customFormat="1">
      <c r="A4352" s="13" t="s">
        <v>5933</v>
      </c>
    </row>
    <row r="4353" spans="1:1" customFormat="1">
      <c r="A4353" s="13" t="s">
        <v>5934</v>
      </c>
    </row>
    <row r="4354" spans="1:1" customFormat="1">
      <c r="A4354" s="13" t="s">
        <v>5935</v>
      </c>
    </row>
    <row r="4355" spans="1:1" customFormat="1">
      <c r="A4355" s="13" t="s">
        <v>5936</v>
      </c>
    </row>
    <row r="4356" spans="1:1" customFormat="1">
      <c r="A4356" s="13" t="s">
        <v>5937</v>
      </c>
    </row>
    <row r="4357" spans="1:1" customFormat="1">
      <c r="A4357" s="13" t="s">
        <v>5938</v>
      </c>
    </row>
    <row r="4358" spans="1:1" customFormat="1">
      <c r="A4358" s="13" t="s">
        <v>5939</v>
      </c>
    </row>
    <row r="4359" spans="1:1" customFormat="1">
      <c r="A4359" s="13" t="s">
        <v>5940</v>
      </c>
    </row>
    <row r="4360" spans="1:1" customFormat="1">
      <c r="A4360" s="13" t="s">
        <v>5941</v>
      </c>
    </row>
    <row r="4361" spans="1:1" customFormat="1">
      <c r="A4361" s="13" t="s">
        <v>5942</v>
      </c>
    </row>
    <row r="4362" spans="1:1" customFormat="1">
      <c r="A4362" s="13" t="s">
        <v>5943</v>
      </c>
    </row>
    <row r="4363" spans="1:1" customFormat="1">
      <c r="A4363" s="13" t="s">
        <v>5944</v>
      </c>
    </row>
    <row r="4364" spans="1:1" customFormat="1">
      <c r="A4364" s="13" t="s">
        <v>5945</v>
      </c>
    </row>
    <row r="4365" spans="1:1" customFormat="1">
      <c r="A4365" s="13" t="s">
        <v>5946</v>
      </c>
    </row>
    <row r="4366" spans="1:1" customFormat="1">
      <c r="A4366" s="13" t="s">
        <v>5947</v>
      </c>
    </row>
    <row r="4367" spans="1:1" customFormat="1">
      <c r="A4367" s="13" t="s">
        <v>5948</v>
      </c>
    </row>
    <row r="4368" spans="1:1" customFormat="1">
      <c r="A4368" s="13" t="s">
        <v>5949</v>
      </c>
    </row>
    <row r="4369" spans="1:1" customFormat="1">
      <c r="A4369" s="13" t="s">
        <v>5950</v>
      </c>
    </row>
    <row r="4370" spans="1:1" customFormat="1">
      <c r="A4370" s="13" t="s">
        <v>5951</v>
      </c>
    </row>
    <row r="4371" spans="1:1" customFormat="1">
      <c r="A4371" s="13" t="s">
        <v>5952</v>
      </c>
    </row>
    <row r="4372" spans="1:1" customFormat="1">
      <c r="A4372" s="13" t="s">
        <v>5953</v>
      </c>
    </row>
    <row r="4373" spans="1:1" customFormat="1">
      <c r="A4373" s="13" t="s">
        <v>5954</v>
      </c>
    </row>
    <row r="4374" spans="1:1" customFormat="1">
      <c r="A4374" s="13" t="s">
        <v>5955</v>
      </c>
    </row>
    <row r="4375" spans="1:1" customFormat="1">
      <c r="A4375" s="13" t="s">
        <v>5956</v>
      </c>
    </row>
    <row r="4376" spans="1:1" customFormat="1">
      <c r="A4376" s="13" t="s">
        <v>5957</v>
      </c>
    </row>
    <row r="4377" spans="1:1" customFormat="1">
      <c r="A4377" s="13" t="s">
        <v>5958</v>
      </c>
    </row>
    <row r="4378" spans="1:1" customFormat="1">
      <c r="A4378" s="13" t="s">
        <v>5959</v>
      </c>
    </row>
    <row r="4379" spans="1:1" customFormat="1">
      <c r="A4379" s="13" t="s">
        <v>5960</v>
      </c>
    </row>
    <row r="4380" spans="1:1" customFormat="1">
      <c r="A4380" s="13" t="s">
        <v>5961</v>
      </c>
    </row>
    <row r="4381" spans="1:1" customFormat="1">
      <c r="A4381" s="13" t="s">
        <v>5962</v>
      </c>
    </row>
    <row r="4382" spans="1:1" customFormat="1">
      <c r="A4382" s="13" t="s">
        <v>5963</v>
      </c>
    </row>
    <row r="4383" spans="1:1" customFormat="1">
      <c r="A4383" s="13" t="s">
        <v>5964</v>
      </c>
    </row>
    <row r="4384" spans="1:1" customFormat="1">
      <c r="A4384" s="13" t="s">
        <v>5965</v>
      </c>
    </row>
    <row r="4385" spans="1:1" customFormat="1">
      <c r="A4385" s="13" t="s">
        <v>5966</v>
      </c>
    </row>
    <row r="4386" spans="1:1" customFormat="1">
      <c r="A4386" s="13" t="s">
        <v>5967</v>
      </c>
    </row>
    <row r="4387" spans="1:1" customFormat="1">
      <c r="A4387" s="13" t="s">
        <v>5968</v>
      </c>
    </row>
    <row r="4388" spans="1:1" customFormat="1">
      <c r="A4388" s="13" t="s">
        <v>5969</v>
      </c>
    </row>
    <row r="4389" spans="1:1" customFormat="1">
      <c r="A4389" s="13" t="s">
        <v>5970</v>
      </c>
    </row>
    <row r="4390" spans="1:1" customFormat="1">
      <c r="A4390" s="13" t="s">
        <v>5971</v>
      </c>
    </row>
    <row r="4391" spans="1:1" customFormat="1">
      <c r="A4391" s="13" t="s">
        <v>5972</v>
      </c>
    </row>
    <row r="4392" spans="1:1" customFormat="1">
      <c r="A4392" s="13" t="s">
        <v>5973</v>
      </c>
    </row>
    <row r="4393" spans="1:1" customFormat="1">
      <c r="A4393" s="13" t="s">
        <v>5974</v>
      </c>
    </row>
    <row r="4394" spans="1:1" customFormat="1">
      <c r="A4394" s="13" t="s">
        <v>5975</v>
      </c>
    </row>
    <row r="4395" spans="1:1" customFormat="1">
      <c r="A4395" s="13" t="s">
        <v>5976</v>
      </c>
    </row>
    <row r="4396" spans="1:1" customFormat="1">
      <c r="A4396" s="13" t="s">
        <v>5977</v>
      </c>
    </row>
    <row r="4397" spans="1:1" customFormat="1">
      <c r="A4397" s="13" t="s">
        <v>5978</v>
      </c>
    </row>
    <row r="4398" spans="1:1" customFormat="1">
      <c r="A4398" s="13" t="s">
        <v>5979</v>
      </c>
    </row>
    <row r="4399" spans="1:1" customFormat="1">
      <c r="A4399" s="13" t="s">
        <v>5980</v>
      </c>
    </row>
    <row r="4400" spans="1:1" customFormat="1">
      <c r="A4400" s="13" t="s">
        <v>5981</v>
      </c>
    </row>
    <row r="4401" spans="1:1" customFormat="1">
      <c r="A4401" s="13" t="s">
        <v>5982</v>
      </c>
    </row>
    <row r="4402" spans="1:1" customFormat="1">
      <c r="A4402" s="13" t="s">
        <v>5983</v>
      </c>
    </row>
    <row r="4403" spans="1:1" customFormat="1">
      <c r="A4403" s="13" t="s">
        <v>5984</v>
      </c>
    </row>
    <row r="4404" spans="1:1" customFormat="1">
      <c r="A4404" s="13" t="s">
        <v>5985</v>
      </c>
    </row>
    <row r="4405" spans="1:1" customFormat="1">
      <c r="A4405" s="13" t="s">
        <v>5986</v>
      </c>
    </row>
    <row r="4406" spans="1:1" customFormat="1">
      <c r="A4406" s="13" t="s">
        <v>5987</v>
      </c>
    </row>
    <row r="4407" spans="1:1" customFormat="1">
      <c r="A4407" s="13" t="s">
        <v>5988</v>
      </c>
    </row>
    <row r="4408" spans="1:1" customFormat="1">
      <c r="A4408" s="13" t="s">
        <v>5989</v>
      </c>
    </row>
    <row r="4409" spans="1:1" customFormat="1">
      <c r="A4409" s="13" t="s">
        <v>5990</v>
      </c>
    </row>
    <row r="4410" spans="1:1" customFormat="1">
      <c r="A4410" s="13" t="s">
        <v>5991</v>
      </c>
    </row>
    <row r="4411" spans="1:1" customFormat="1">
      <c r="A4411" s="13" t="s">
        <v>5992</v>
      </c>
    </row>
    <row r="4412" spans="1:1" customFormat="1">
      <c r="A4412" s="13" t="s">
        <v>5993</v>
      </c>
    </row>
    <row r="4413" spans="1:1" customFormat="1">
      <c r="A4413" s="13" t="s">
        <v>5994</v>
      </c>
    </row>
    <row r="4414" spans="1:1" customFormat="1">
      <c r="A4414" s="13" t="s">
        <v>5995</v>
      </c>
    </row>
    <row r="4415" spans="1:1" customFormat="1">
      <c r="A4415" s="13" t="s">
        <v>5996</v>
      </c>
    </row>
    <row r="4416" spans="1:1" customFormat="1">
      <c r="A4416" s="13" t="s">
        <v>5997</v>
      </c>
    </row>
    <row r="4417" spans="1:1" customFormat="1">
      <c r="A4417" s="13" t="s">
        <v>5998</v>
      </c>
    </row>
    <row r="4418" spans="1:1" customFormat="1">
      <c r="A4418" s="13" t="s">
        <v>5999</v>
      </c>
    </row>
    <row r="4419" spans="1:1" customFormat="1">
      <c r="A4419" s="13" t="s">
        <v>6000</v>
      </c>
    </row>
    <row r="4420" spans="1:1" customFormat="1">
      <c r="A4420" s="13" t="s">
        <v>6001</v>
      </c>
    </row>
    <row r="4421" spans="1:1" customFormat="1">
      <c r="A4421" s="13" t="s">
        <v>6002</v>
      </c>
    </row>
    <row r="4422" spans="1:1" customFormat="1">
      <c r="A4422" s="13" t="s">
        <v>6003</v>
      </c>
    </row>
    <row r="4423" spans="1:1" customFormat="1">
      <c r="A4423" s="13" t="s">
        <v>6004</v>
      </c>
    </row>
    <row r="4424" spans="1:1" customFormat="1">
      <c r="A4424" s="13" t="s">
        <v>6005</v>
      </c>
    </row>
    <row r="4425" spans="1:1" customFormat="1">
      <c r="A4425" s="13" t="s">
        <v>6006</v>
      </c>
    </row>
    <row r="4426" spans="1:1" customFormat="1">
      <c r="A4426" s="13" t="s">
        <v>6007</v>
      </c>
    </row>
    <row r="4427" spans="1:1" customFormat="1">
      <c r="A4427" s="13" t="s">
        <v>6008</v>
      </c>
    </row>
    <row r="4428" spans="1:1" customFormat="1">
      <c r="A4428" s="13" t="s">
        <v>6009</v>
      </c>
    </row>
    <row r="4429" spans="1:1" customFormat="1">
      <c r="A4429" s="13" t="s">
        <v>6010</v>
      </c>
    </row>
    <row r="4430" spans="1:1" customFormat="1">
      <c r="A4430" s="13" t="s">
        <v>6011</v>
      </c>
    </row>
    <row r="4431" spans="1:1" customFormat="1">
      <c r="A4431" s="13" t="s">
        <v>6012</v>
      </c>
    </row>
    <row r="4432" spans="1:1" customFormat="1">
      <c r="A4432" s="13" t="s">
        <v>6013</v>
      </c>
    </row>
    <row r="4433" spans="1:1" customFormat="1">
      <c r="A4433" s="13" t="s">
        <v>6014</v>
      </c>
    </row>
    <row r="4434" spans="1:1" customFormat="1">
      <c r="A4434" s="13" t="s">
        <v>6015</v>
      </c>
    </row>
    <row r="4435" spans="1:1" customFormat="1">
      <c r="A4435" s="13" t="s">
        <v>6016</v>
      </c>
    </row>
    <row r="4436" spans="1:1" customFormat="1">
      <c r="A4436" s="13" t="s">
        <v>6017</v>
      </c>
    </row>
    <row r="4437" spans="1:1" customFormat="1">
      <c r="A4437" s="13" t="s">
        <v>6018</v>
      </c>
    </row>
    <row r="4438" spans="1:1" customFormat="1">
      <c r="A4438" s="13" t="s">
        <v>6019</v>
      </c>
    </row>
    <row r="4439" spans="1:1" customFormat="1">
      <c r="A4439" s="13" t="s">
        <v>6020</v>
      </c>
    </row>
    <row r="4440" spans="1:1" customFormat="1">
      <c r="A4440" s="13" t="s">
        <v>6021</v>
      </c>
    </row>
    <row r="4441" spans="1:1" customFormat="1">
      <c r="A4441" s="13" t="s">
        <v>6022</v>
      </c>
    </row>
    <row r="4442" spans="1:1" customFormat="1">
      <c r="A4442" s="13" t="s">
        <v>6023</v>
      </c>
    </row>
    <row r="4443" spans="1:1" customFormat="1">
      <c r="A4443" s="13" t="s">
        <v>6024</v>
      </c>
    </row>
    <row r="4444" spans="1:1" customFormat="1">
      <c r="A4444" s="13" t="s">
        <v>6025</v>
      </c>
    </row>
    <row r="4445" spans="1:1" customFormat="1">
      <c r="A4445" s="13" t="s">
        <v>6026</v>
      </c>
    </row>
    <row r="4446" spans="1:1" customFormat="1">
      <c r="A4446" s="13" t="s">
        <v>6027</v>
      </c>
    </row>
    <row r="4447" spans="1:1" customFormat="1">
      <c r="A4447" s="13" t="s">
        <v>6028</v>
      </c>
    </row>
    <row r="4448" spans="1:1" customFormat="1">
      <c r="A4448" s="13" t="s">
        <v>6029</v>
      </c>
    </row>
    <row r="4449" spans="1:1" customFormat="1">
      <c r="A4449" s="13" t="s">
        <v>6030</v>
      </c>
    </row>
    <row r="4450" spans="1:1" customFormat="1">
      <c r="A4450" s="13" t="s">
        <v>6031</v>
      </c>
    </row>
    <row r="4451" spans="1:1" customFormat="1">
      <c r="A4451" s="13" t="s">
        <v>6032</v>
      </c>
    </row>
    <row r="4452" spans="1:1" customFormat="1">
      <c r="A4452" s="13" t="s">
        <v>6033</v>
      </c>
    </row>
    <row r="4453" spans="1:1" customFormat="1">
      <c r="A4453" s="13" t="s">
        <v>6034</v>
      </c>
    </row>
    <row r="4454" spans="1:1" customFormat="1">
      <c r="A4454" s="13" t="s">
        <v>6035</v>
      </c>
    </row>
    <row r="4455" spans="1:1" customFormat="1">
      <c r="A4455" s="13" t="s">
        <v>6036</v>
      </c>
    </row>
    <row r="4456" spans="1:1" customFormat="1">
      <c r="A4456" s="13" t="s">
        <v>6037</v>
      </c>
    </row>
    <row r="4457" spans="1:1" customFormat="1">
      <c r="A4457" s="13" t="s">
        <v>6038</v>
      </c>
    </row>
    <row r="4458" spans="1:1" customFormat="1">
      <c r="A4458" s="13" t="s">
        <v>6039</v>
      </c>
    </row>
    <row r="4459" spans="1:1" customFormat="1">
      <c r="A4459" s="13" t="s">
        <v>6040</v>
      </c>
    </row>
    <row r="4460" spans="1:1" customFormat="1">
      <c r="A4460" s="13" t="s">
        <v>6041</v>
      </c>
    </row>
    <row r="4461" spans="1:1" customFormat="1">
      <c r="A4461" s="13" t="s">
        <v>6042</v>
      </c>
    </row>
    <row r="4462" spans="1:1" customFormat="1">
      <c r="A4462" s="13" t="s">
        <v>6043</v>
      </c>
    </row>
    <row r="4463" spans="1:1" customFormat="1">
      <c r="A4463" s="13"/>
    </row>
    <row r="4464" spans="1:1" customFormat="1">
      <c r="A4464" s="13" t="s">
        <v>6044</v>
      </c>
    </row>
    <row r="4465" spans="1:1" customFormat="1">
      <c r="A4465" s="13" t="s">
        <v>6045</v>
      </c>
    </row>
    <row r="4466" spans="1:1" customFormat="1">
      <c r="A4466" s="13" t="s">
        <v>6046</v>
      </c>
    </row>
    <row r="4467" spans="1:1" customFormat="1">
      <c r="A4467" s="13" t="s">
        <v>6047</v>
      </c>
    </row>
    <row r="4468" spans="1:1" customFormat="1">
      <c r="A4468" s="13" t="s">
        <v>6048</v>
      </c>
    </row>
    <row r="4469" spans="1:1" customFormat="1">
      <c r="A4469" s="13" t="s">
        <v>6049</v>
      </c>
    </row>
    <row r="4470" spans="1:1" customFormat="1">
      <c r="A4470" s="13" t="s">
        <v>6050</v>
      </c>
    </row>
    <row r="4471" spans="1:1" customFormat="1">
      <c r="A4471" s="13" t="s">
        <v>6051</v>
      </c>
    </row>
    <row r="4472" spans="1:1" customFormat="1">
      <c r="A4472" s="13" t="s">
        <v>6052</v>
      </c>
    </row>
    <row r="4473" spans="1:1" customFormat="1">
      <c r="A4473" s="13" t="s">
        <v>6053</v>
      </c>
    </row>
    <row r="4474" spans="1:1" customFormat="1">
      <c r="A4474" s="13" t="s">
        <v>6054</v>
      </c>
    </row>
    <row r="4475" spans="1:1" customFormat="1">
      <c r="A4475" s="13" t="s">
        <v>6055</v>
      </c>
    </row>
    <row r="4476" spans="1:1" customFormat="1">
      <c r="A4476" s="13" t="s">
        <v>6056</v>
      </c>
    </row>
    <row r="4477" spans="1:1" customFormat="1">
      <c r="A4477" s="13" t="s">
        <v>6057</v>
      </c>
    </row>
    <row r="4478" spans="1:1" customFormat="1">
      <c r="A4478" s="13" t="s">
        <v>6058</v>
      </c>
    </row>
    <row r="4479" spans="1:1" customFormat="1">
      <c r="A4479" s="13" t="s">
        <v>6059</v>
      </c>
    </row>
    <row r="4480" spans="1:1" customFormat="1">
      <c r="A4480" s="13" t="s">
        <v>6060</v>
      </c>
    </row>
    <row r="4481" spans="1:1" customFormat="1">
      <c r="A4481" s="13" t="s">
        <v>6061</v>
      </c>
    </row>
    <row r="4482" spans="1:1" customFormat="1">
      <c r="A4482" s="13" t="s">
        <v>6062</v>
      </c>
    </row>
    <row r="4483" spans="1:1" customFormat="1">
      <c r="A4483" s="13" t="s">
        <v>6063</v>
      </c>
    </row>
    <row r="4484" spans="1:1" customFormat="1">
      <c r="A4484" s="13" t="s">
        <v>6064</v>
      </c>
    </row>
    <row r="4485" spans="1:1" customFormat="1">
      <c r="A4485" s="13" t="s">
        <v>6065</v>
      </c>
    </row>
    <row r="4486" spans="1:1" customFormat="1">
      <c r="A4486" s="13" t="s">
        <v>6066</v>
      </c>
    </row>
    <row r="4487" spans="1:1" customFormat="1">
      <c r="A4487" s="13" t="s">
        <v>6067</v>
      </c>
    </row>
    <row r="4488" spans="1:1" customFormat="1">
      <c r="A4488" s="13" t="s">
        <v>6068</v>
      </c>
    </row>
    <row r="4489" spans="1:1" customFormat="1">
      <c r="A4489" s="13" t="s">
        <v>6069</v>
      </c>
    </row>
    <row r="4490" spans="1:1" customFormat="1">
      <c r="A4490" s="13" t="s">
        <v>6070</v>
      </c>
    </row>
    <row r="4491" spans="1:1" customFormat="1">
      <c r="A4491" s="13" t="s">
        <v>6071</v>
      </c>
    </row>
    <row r="4492" spans="1:1" customFormat="1">
      <c r="A4492" s="13" t="s">
        <v>6072</v>
      </c>
    </row>
    <row r="4493" spans="1:1" customFormat="1">
      <c r="A4493" s="13" t="s">
        <v>6073</v>
      </c>
    </row>
    <row r="4494" spans="1:1" customFormat="1">
      <c r="A4494" s="13" t="s">
        <v>6074</v>
      </c>
    </row>
    <row r="4495" spans="1:1" customFormat="1">
      <c r="A4495" s="13" t="s">
        <v>6075</v>
      </c>
    </row>
    <row r="4496" spans="1:1" customFormat="1">
      <c r="A4496" s="13" t="s">
        <v>6076</v>
      </c>
    </row>
    <row r="4497" spans="1:1" customFormat="1">
      <c r="A4497" s="13" t="s">
        <v>6077</v>
      </c>
    </row>
    <row r="4498" spans="1:1" customFormat="1">
      <c r="A4498" s="13" t="s">
        <v>6078</v>
      </c>
    </row>
    <row r="4499" spans="1:1" customFormat="1">
      <c r="A4499" s="13" t="s">
        <v>6079</v>
      </c>
    </row>
    <row r="4500" spans="1:1" customFormat="1">
      <c r="A4500" s="13" t="s">
        <v>6080</v>
      </c>
    </row>
    <row r="4501" spans="1:1" customFormat="1">
      <c r="A4501" s="13" t="s">
        <v>6081</v>
      </c>
    </row>
    <row r="4502" spans="1:1" customFormat="1">
      <c r="A4502" s="13" t="s">
        <v>6082</v>
      </c>
    </row>
    <row r="4503" spans="1:1" customFormat="1">
      <c r="A4503" s="13" t="s">
        <v>6083</v>
      </c>
    </row>
    <row r="4504" spans="1:1" customFormat="1">
      <c r="A4504" s="13" t="s">
        <v>6084</v>
      </c>
    </row>
    <row r="4505" spans="1:1" customFormat="1">
      <c r="A4505" s="13" t="s">
        <v>6085</v>
      </c>
    </row>
    <row r="4506" spans="1:1" customFormat="1">
      <c r="A4506" s="13" t="s">
        <v>6086</v>
      </c>
    </row>
    <row r="4507" spans="1:1" customFormat="1">
      <c r="A4507" s="13" t="s">
        <v>6087</v>
      </c>
    </row>
    <row r="4508" spans="1:1" customFormat="1">
      <c r="A4508" s="13" t="s">
        <v>6088</v>
      </c>
    </row>
    <row r="4509" spans="1:1" customFormat="1">
      <c r="A4509" s="13" t="s">
        <v>6089</v>
      </c>
    </row>
    <row r="4510" spans="1:1" customFormat="1">
      <c r="A4510" s="13" t="s">
        <v>6090</v>
      </c>
    </row>
    <row r="4511" spans="1:1" customFormat="1">
      <c r="A4511" s="13" t="s">
        <v>6091</v>
      </c>
    </row>
    <row r="4512" spans="1:1" customFormat="1">
      <c r="A4512" s="13" t="s">
        <v>6092</v>
      </c>
    </row>
    <row r="4513" spans="1:1" customFormat="1">
      <c r="A4513" s="13" t="s">
        <v>6093</v>
      </c>
    </row>
    <row r="4514" spans="1:1" customFormat="1">
      <c r="A4514" s="13" t="s">
        <v>6094</v>
      </c>
    </row>
    <row r="4515" spans="1:1" customFormat="1">
      <c r="A4515" s="13" t="s">
        <v>6095</v>
      </c>
    </row>
    <row r="4516" spans="1:1" customFormat="1">
      <c r="A4516" s="13" t="s">
        <v>6096</v>
      </c>
    </row>
    <row r="4517" spans="1:1" customFormat="1">
      <c r="A4517" s="13" t="s">
        <v>6097</v>
      </c>
    </row>
    <row r="4518" spans="1:1" customFormat="1">
      <c r="A4518" s="13" t="s">
        <v>6098</v>
      </c>
    </row>
    <row r="4519" spans="1:1" customFormat="1">
      <c r="A4519" s="13" t="s">
        <v>6099</v>
      </c>
    </row>
    <row r="4520" spans="1:1" customFormat="1">
      <c r="A4520" s="13" t="s">
        <v>6100</v>
      </c>
    </row>
    <row r="4521" spans="1:1" customFormat="1">
      <c r="A4521" s="13" t="s">
        <v>6101</v>
      </c>
    </row>
    <row r="4522" spans="1:1" customFormat="1">
      <c r="A4522" s="13" t="s">
        <v>6102</v>
      </c>
    </row>
    <row r="4523" spans="1:1" customFormat="1">
      <c r="A4523" s="13" t="s">
        <v>6103</v>
      </c>
    </row>
    <row r="4524" spans="1:1" customFormat="1">
      <c r="A4524" s="13" t="s">
        <v>6104</v>
      </c>
    </row>
    <row r="4525" spans="1:1" customFormat="1">
      <c r="A4525" s="13" t="s">
        <v>6105</v>
      </c>
    </row>
    <row r="4526" spans="1:1" customFormat="1">
      <c r="A4526" s="13" t="s">
        <v>6106</v>
      </c>
    </row>
    <row r="4527" spans="1:1" customFormat="1">
      <c r="A4527" s="13" t="s">
        <v>6107</v>
      </c>
    </row>
    <row r="4528" spans="1:1" customFormat="1">
      <c r="A4528" s="13" t="s">
        <v>6108</v>
      </c>
    </row>
    <row r="4529" spans="1:1" customFormat="1">
      <c r="A4529" s="13" t="s">
        <v>6109</v>
      </c>
    </row>
    <row r="4530" spans="1:1" customFormat="1">
      <c r="A4530" s="13" t="s">
        <v>6110</v>
      </c>
    </row>
    <row r="4531" spans="1:1" customFormat="1">
      <c r="A4531" s="13" t="s">
        <v>6111</v>
      </c>
    </row>
    <row r="4532" spans="1:1" customFormat="1">
      <c r="A4532" s="13" t="s">
        <v>6112</v>
      </c>
    </row>
    <row r="4533" spans="1:1" customFormat="1">
      <c r="A4533" s="13" t="s">
        <v>6113</v>
      </c>
    </row>
    <row r="4534" spans="1:1" customFormat="1">
      <c r="A4534" s="13" t="s">
        <v>6114</v>
      </c>
    </row>
    <row r="4535" spans="1:1" customFormat="1">
      <c r="A4535" s="13" t="s">
        <v>6115</v>
      </c>
    </row>
    <row r="4536" spans="1:1" customFormat="1">
      <c r="A4536" s="13" t="s">
        <v>6116</v>
      </c>
    </row>
    <row r="4537" spans="1:1" customFormat="1">
      <c r="A4537" s="13" t="s">
        <v>6117</v>
      </c>
    </row>
    <row r="4538" spans="1:1" customFormat="1">
      <c r="A4538" s="13" t="s">
        <v>6118</v>
      </c>
    </row>
    <row r="4539" spans="1:1" customFormat="1">
      <c r="A4539" s="13" t="s">
        <v>6119</v>
      </c>
    </row>
    <row r="4540" spans="1:1" customFormat="1">
      <c r="A4540" s="13" t="s">
        <v>6120</v>
      </c>
    </row>
    <row r="4541" spans="1:1" customFormat="1">
      <c r="A4541" s="13" t="s">
        <v>6121</v>
      </c>
    </row>
    <row r="4542" spans="1:1" customFormat="1">
      <c r="A4542" s="13" t="s">
        <v>6122</v>
      </c>
    </row>
    <row r="4543" spans="1:1" customFormat="1">
      <c r="A4543" s="13" t="s">
        <v>6123</v>
      </c>
    </row>
    <row r="4544" spans="1:1" customFormat="1">
      <c r="A4544" s="13" t="s">
        <v>6124</v>
      </c>
    </row>
    <row r="4545" spans="1:1" customFormat="1">
      <c r="A4545" s="13" t="s">
        <v>6125</v>
      </c>
    </row>
    <row r="4546" spans="1:1" customFormat="1">
      <c r="A4546" s="13" t="s">
        <v>6126</v>
      </c>
    </row>
    <row r="4547" spans="1:1" customFormat="1">
      <c r="A4547" s="13" t="s">
        <v>6127</v>
      </c>
    </row>
    <row r="4548" spans="1:1" customFormat="1">
      <c r="A4548" s="13" t="s">
        <v>6128</v>
      </c>
    </row>
    <row r="4549" spans="1:1" customFormat="1">
      <c r="A4549" s="13" t="s">
        <v>6129</v>
      </c>
    </row>
    <row r="4550" spans="1:1" customFormat="1">
      <c r="A4550" s="13" t="s">
        <v>6130</v>
      </c>
    </row>
    <row r="4551" spans="1:1" customFormat="1">
      <c r="A4551" s="13" t="s">
        <v>6131</v>
      </c>
    </row>
    <row r="4552" spans="1:1" customFormat="1">
      <c r="A4552" s="13" t="s">
        <v>6132</v>
      </c>
    </row>
    <row r="4553" spans="1:1" customFormat="1">
      <c r="A4553" s="13" t="s">
        <v>6133</v>
      </c>
    </row>
    <row r="4554" spans="1:1" customFormat="1">
      <c r="A4554" s="13" t="s">
        <v>6134</v>
      </c>
    </row>
    <row r="4555" spans="1:1" customFormat="1">
      <c r="A4555" s="13" t="s">
        <v>6135</v>
      </c>
    </row>
    <row r="4556" spans="1:1" customFormat="1">
      <c r="A4556" s="13" t="s">
        <v>6136</v>
      </c>
    </row>
    <row r="4557" spans="1:1" customFormat="1">
      <c r="A4557" s="13" t="s">
        <v>6137</v>
      </c>
    </row>
    <row r="4558" spans="1:1" customFormat="1">
      <c r="A4558" s="13" t="s">
        <v>6138</v>
      </c>
    </row>
    <row r="4559" spans="1:1" customFormat="1">
      <c r="A4559" s="13" t="s">
        <v>6139</v>
      </c>
    </row>
    <row r="4560" spans="1:1" customFormat="1">
      <c r="A4560" s="13" t="s">
        <v>6140</v>
      </c>
    </row>
    <row r="4561" spans="1:1" customFormat="1">
      <c r="A4561" s="13" t="s">
        <v>6141</v>
      </c>
    </row>
    <row r="4562" spans="1:1" customFormat="1">
      <c r="A4562" s="13" t="s">
        <v>6142</v>
      </c>
    </row>
    <row r="4563" spans="1:1" customFormat="1">
      <c r="A4563" s="13" t="s">
        <v>6143</v>
      </c>
    </row>
    <row r="4564" spans="1:1" customFormat="1">
      <c r="A4564" s="13" t="s">
        <v>6144</v>
      </c>
    </row>
    <row r="4565" spans="1:1" customFormat="1">
      <c r="A4565" s="13" t="s">
        <v>6145</v>
      </c>
    </row>
    <row r="4566" spans="1:1" customFormat="1">
      <c r="A4566" s="13" t="s">
        <v>6146</v>
      </c>
    </row>
    <row r="4567" spans="1:1" customFormat="1">
      <c r="A4567" s="13" t="s">
        <v>6147</v>
      </c>
    </row>
    <row r="4568" spans="1:1" customFormat="1">
      <c r="A4568" s="13" t="s">
        <v>6148</v>
      </c>
    </row>
    <row r="4569" spans="1:1" customFormat="1">
      <c r="A4569" s="13" t="s">
        <v>6149</v>
      </c>
    </row>
    <row r="4570" spans="1:1" customFormat="1">
      <c r="A4570" s="13" t="s">
        <v>6150</v>
      </c>
    </row>
    <row r="4571" spans="1:1" customFormat="1">
      <c r="A4571" s="13" t="s">
        <v>6151</v>
      </c>
    </row>
    <row r="4572" spans="1:1" customFormat="1">
      <c r="A4572" s="13" t="s">
        <v>6152</v>
      </c>
    </row>
    <row r="4573" spans="1:1" customFormat="1">
      <c r="A4573" s="13" t="s">
        <v>6153</v>
      </c>
    </row>
    <row r="4574" spans="1:1" customFormat="1">
      <c r="A4574" s="13" t="s">
        <v>6154</v>
      </c>
    </row>
    <row r="4575" spans="1:1" customFormat="1">
      <c r="A4575" s="13" t="s">
        <v>6155</v>
      </c>
    </row>
    <row r="4576" spans="1:1" customFormat="1">
      <c r="A4576" s="13" t="s">
        <v>6156</v>
      </c>
    </row>
    <row r="4577" spans="1:1" customFormat="1">
      <c r="A4577" s="13" t="s">
        <v>6157</v>
      </c>
    </row>
    <row r="4578" spans="1:1" customFormat="1">
      <c r="A4578" s="13" t="s">
        <v>6158</v>
      </c>
    </row>
    <row r="4579" spans="1:1" customFormat="1">
      <c r="A4579" s="13" t="s">
        <v>6159</v>
      </c>
    </row>
    <row r="4580" spans="1:1" customFormat="1">
      <c r="A4580" s="13" t="s">
        <v>6160</v>
      </c>
    </row>
    <row r="4581" spans="1:1" customFormat="1">
      <c r="A4581" s="13" t="s">
        <v>6161</v>
      </c>
    </row>
    <row r="4582" spans="1:1" customFormat="1">
      <c r="A4582" s="13" t="s">
        <v>6162</v>
      </c>
    </row>
    <row r="4583" spans="1:1" customFormat="1">
      <c r="A4583" s="13" t="s">
        <v>6163</v>
      </c>
    </row>
    <row r="4584" spans="1:1" customFormat="1">
      <c r="A4584" s="13" t="s">
        <v>6164</v>
      </c>
    </row>
    <row r="4585" spans="1:1" customFormat="1">
      <c r="A4585" s="13" t="s">
        <v>6165</v>
      </c>
    </row>
    <row r="4586" spans="1:1" customFormat="1">
      <c r="A4586" s="13" t="s">
        <v>6166</v>
      </c>
    </row>
    <row r="4587" spans="1:1" customFormat="1">
      <c r="A4587" s="13" t="s">
        <v>6167</v>
      </c>
    </row>
    <row r="4588" spans="1:1" customFormat="1">
      <c r="A4588" s="13" t="s">
        <v>6168</v>
      </c>
    </row>
    <row r="4589" spans="1:1" customFormat="1">
      <c r="A4589" s="13" t="s">
        <v>6169</v>
      </c>
    </row>
    <row r="4590" spans="1:1" customFormat="1">
      <c r="A4590" s="13" t="s">
        <v>6170</v>
      </c>
    </row>
    <row r="4591" spans="1:1" customFormat="1">
      <c r="A4591" s="13" t="s">
        <v>6171</v>
      </c>
    </row>
    <row r="4592" spans="1:1" customFormat="1">
      <c r="A4592" s="13" t="s">
        <v>6172</v>
      </c>
    </row>
    <row r="4593" spans="1:1" customFormat="1">
      <c r="A4593" s="13" t="s">
        <v>6173</v>
      </c>
    </row>
    <row r="4594" spans="1:1" customFormat="1">
      <c r="A4594" s="13" t="s">
        <v>6174</v>
      </c>
    </row>
    <row r="4595" spans="1:1" customFormat="1">
      <c r="A4595" s="13" t="s">
        <v>6175</v>
      </c>
    </row>
    <row r="4596" spans="1:1" customFormat="1">
      <c r="A4596" s="13" t="s">
        <v>6176</v>
      </c>
    </row>
    <row r="4597" spans="1:1" customFormat="1">
      <c r="A4597" s="13" t="s">
        <v>6177</v>
      </c>
    </row>
    <row r="4598" spans="1:1" customFormat="1">
      <c r="A4598" s="13" t="s">
        <v>6178</v>
      </c>
    </row>
    <row r="4599" spans="1:1" customFormat="1">
      <c r="A4599" s="13" t="s">
        <v>6179</v>
      </c>
    </row>
    <row r="4600" spans="1:1" customFormat="1">
      <c r="A4600" s="13" t="s">
        <v>6180</v>
      </c>
    </row>
    <row r="4601" spans="1:1" customFormat="1">
      <c r="A4601" s="13" t="s">
        <v>6181</v>
      </c>
    </row>
    <row r="4602" spans="1:1" customFormat="1">
      <c r="A4602" s="13" t="s">
        <v>6182</v>
      </c>
    </row>
    <row r="4603" spans="1:1" customFormat="1">
      <c r="A4603" s="13" t="s">
        <v>6183</v>
      </c>
    </row>
    <row r="4604" spans="1:1" customFormat="1">
      <c r="A4604" s="13" t="s">
        <v>6184</v>
      </c>
    </row>
    <row r="4605" spans="1:1" customFormat="1">
      <c r="A4605" s="13" t="s">
        <v>6185</v>
      </c>
    </row>
    <row r="4606" spans="1:1" customFormat="1">
      <c r="A4606" s="13" t="s">
        <v>6186</v>
      </c>
    </row>
    <row r="4607" spans="1:1" customFormat="1">
      <c r="A4607" s="13" t="s">
        <v>6187</v>
      </c>
    </row>
    <row r="4608" spans="1:1" customFormat="1">
      <c r="A4608" s="13" t="s">
        <v>6188</v>
      </c>
    </row>
    <row r="4609" spans="1:1" customFormat="1">
      <c r="A4609" s="13" t="s">
        <v>6189</v>
      </c>
    </row>
    <row r="4610" spans="1:1" customFormat="1">
      <c r="A4610" s="13" t="s">
        <v>6190</v>
      </c>
    </row>
    <row r="4611" spans="1:1" customFormat="1">
      <c r="A4611" s="13" t="s">
        <v>6191</v>
      </c>
    </row>
    <row r="4612" spans="1:1" customFormat="1">
      <c r="A4612" s="13" t="s">
        <v>6192</v>
      </c>
    </row>
    <row r="4613" spans="1:1" customFormat="1">
      <c r="A4613" s="13" t="s">
        <v>6193</v>
      </c>
    </row>
    <row r="4614" spans="1:1" customFormat="1">
      <c r="A4614" s="13" t="s">
        <v>6194</v>
      </c>
    </row>
    <row r="4615" spans="1:1" customFormat="1">
      <c r="A4615" s="13" t="s">
        <v>6195</v>
      </c>
    </row>
    <row r="4616" spans="1:1" customFormat="1">
      <c r="A4616" s="13" t="s">
        <v>6196</v>
      </c>
    </row>
    <row r="4617" spans="1:1" customFormat="1">
      <c r="A4617" s="13" t="s">
        <v>6197</v>
      </c>
    </row>
    <row r="4618" spans="1:1" customFormat="1">
      <c r="A4618" s="13" t="s">
        <v>6198</v>
      </c>
    </row>
    <row r="4619" spans="1:1" customFormat="1">
      <c r="A4619" s="13" t="s">
        <v>6199</v>
      </c>
    </row>
    <row r="4620" spans="1:1" customFormat="1">
      <c r="A4620" s="13" t="s">
        <v>6200</v>
      </c>
    </row>
    <row r="4621" spans="1:1" customFormat="1">
      <c r="A4621" s="13" t="s">
        <v>6201</v>
      </c>
    </row>
    <row r="4622" spans="1:1" customFormat="1">
      <c r="A4622" s="13" t="s">
        <v>6202</v>
      </c>
    </row>
    <row r="4623" spans="1:1" customFormat="1">
      <c r="A4623" s="13" t="s">
        <v>6203</v>
      </c>
    </row>
    <row r="4624" spans="1:1" customFormat="1">
      <c r="A4624" s="13" t="s">
        <v>6204</v>
      </c>
    </row>
    <row r="4625" spans="1:1" customFormat="1">
      <c r="A4625" s="13" t="s">
        <v>6205</v>
      </c>
    </row>
    <row r="4626" spans="1:1" customFormat="1">
      <c r="A4626" s="13" t="s">
        <v>6206</v>
      </c>
    </row>
    <row r="4627" spans="1:1" customFormat="1">
      <c r="A4627" s="13" t="s">
        <v>6207</v>
      </c>
    </row>
    <row r="4628" spans="1:1" customFormat="1">
      <c r="A4628" s="13" t="s">
        <v>6208</v>
      </c>
    </row>
    <row r="4629" spans="1:1" customFormat="1">
      <c r="A4629" s="13" t="s">
        <v>6209</v>
      </c>
    </row>
    <row r="4630" spans="1:1" customFormat="1">
      <c r="A4630" s="13" t="s">
        <v>6210</v>
      </c>
    </row>
    <row r="4631" spans="1:1" customFormat="1">
      <c r="A4631" s="13" t="s">
        <v>6211</v>
      </c>
    </row>
    <row r="4632" spans="1:1" customFormat="1">
      <c r="A4632" s="13" t="s">
        <v>6212</v>
      </c>
    </row>
    <row r="4633" spans="1:1" customFormat="1">
      <c r="A4633" s="13" t="s">
        <v>6213</v>
      </c>
    </row>
    <row r="4634" spans="1:1" customFormat="1">
      <c r="A4634" s="13" t="s">
        <v>6214</v>
      </c>
    </row>
    <row r="4635" spans="1:1" customFormat="1">
      <c r="A4635" s="13" t="s">
        <v>6215</v>
      </c>
    </row>
    <row r="4636" spans="1:1" customFormat="1">
      <c r="A4636" s="13" t="s">
        <v>6216</v>
      </c>
    </row>
    <row r="4637" spans="1:1" customFormat="1">
      <c r="A4637" s="13" t="s">
        <v>6217</v>
      </c>
    </row>
    <row r="4638" spans="1:1" customFormat="1">
      <c r="A4638" s="13" t="s">
        <v>6218</v>
      </c>
    </row>
    <row r="4639" spans="1:1" customFormat="1">
      <c r="A4639" s="13" t="s">
        <v>6219</v>
      </c>
    </row>
    <row r="4640" spans="1:1" customFormat="1">
      <c r="A4640" s="13" t="s">
        <v>6220</v>
      </c>
    </row>
    <row r="4641" spans="1:1" customFormat="1">
      <c r="A4641" s="13" t="s">
        <v>6221</v>
      </c>
    </row>
    <row r="4642" spans="1:1" customFormat="1">
      <c r="A4642" s="13" t="s">
        <v>6222</v>
      </c>
    </row>
    <row r="4643" spans="1:1" customFormat="1">
      <c r="A4643" s="13" t="s">
        <v>6223</v>
      </c>
    </row>
    <row r="4644" spans="1:1" customFormat="1">
      <c r="A4644" s="13" t="s">
        <v>6224</v>
      </c>
    </row>
    <row r="4645" spans="1:1" customFormat="1">
      <c r="A4645" s="13" t="s">
        <v>6225</v>
      </c>
    </row>
    <row r="4646" spans="1:1" customFormat="1">
      <c r="A4646" s="13" t="s">
        <v>6226</v>
      </c>
    </row>
    <row r="4647" spans="1:1" customFormat="1">
      <c r="A4647" s="13" t="s">
        <v>6227</v>
      </c>
    </row>
    <row r="4648" spans="1:1" customFormat="1">
      <c r="A4648" s="13" t="s">
        <v>6228</v>
      </c>
    </row>
    <row r="4649" spans="1:1" customFormat="1">
      <c r="A4649" s="13" t="s">
        <v>6229</v>
      </c>
    </row>
    <row r="4650" spans="1:1" customFormat="1">
      <c r="A4650" s="13" t="s">
        <v>6230</v>
      </c>
    </row>
    <row r="4651" spans="1:1" customFormat="1">
      <c r="A4651" s="13" t="s">
        <v>6231</v>
      </c>
    </row>
    <row r="4652" spans="1:1" customFormat="1">
      <c r="A4652" s="13" t="s">
        <v>6232</v>
      </c>
    </row>
    <row r="4653" spans="1:1" customFormat="1">
      <c r="A4653" s="13" t="s">
        <v>6233</v>
      </c>
    </row>
    <row r="4654" spans="1:1" customFormat="1">
      <c r="A4654" s="13" t="s">
        <v>6234</v>
      </c>
    </row>
    <row r="4655" spans="1:1" customFormat="1">
      <c r="A4655" s="13" t="s">
        <v>6235</v>
      </c>
    </row>
    <row r="4656" spans="1:1" customFormat="1">
      <c r="A4656" s="13" t="s">
        <v>6236</v>
      </c>
    </row>
    <row r="4657" spans="1:7" customFormat="1">
      <c r="A4657" s="13"/>
    </row>
    <row r="4658" spans="1:7" customFormat="1">
      <c r="A4658" s="13" t="s">
        <v>6237</v>
      </c>
    </row>
    <row r="4659" spans="1:7" customFormat="1">
      <c r="A4659" s="13" t="s">
        <v>6238</v>
      </c>
    </row>
    <row r="4660" spans="1:7" customFormat="1">
      <c r="A4660" s="13" t="s">
        <v>6239</v>
      </c>
    </row>
    <row r="4661" spans="1:7" customFormat="1">
      <c r="A4661" s="13" t="s">
        <v>6240</v>
      </c>
    </row>
    <row r="4662" spans="1:7" customFormat="1">
      <c r="A4662" s="13" t="s">
        <v>6241</v>
      </c>
    </row>
    <row r="4663" spans="1:7" customFormat="1">
      <c r="A4663" s="13" t="s">
        <v>6242</v>
      </c>
    </row>
    <row r="4664" spans="1:7" customFormat="1">
      <c r="A4664" s="13" t="s">
        <v>6243</v>
      </c>
    </row>
    <row r="4665" spans="1:7" customFormat="1">
      <c r="A4665" s="13" t="s">
        <v>6244</v>
      </c>
    </row>
    <row r="4666" spans="1:7" customFormat="1">
      <c r="A4666" s="13" t="s">
        <v>6245</v>
      </c>
    </row>
    <row r="4667" spans="1:7" customFormat="1">
      <c r="A4667" s="13" t="s">
        <v>6246</v>
      </c>
    </row>
    <row r="4668" spans="1:7" customFormat="1">
      <c r="A4668" s="13" t="s">
        <v>7915</v>
      </c>
    </row>
    <row r="4669" spans="1:7">
      <c r="A4669" s="13" t="s">
        <v>7916</v>
      </c>
      <c r="B4669" s="13">
        <v>5</v>
      </c>
      <c r="E4669" s="13" t="s">
        <v>8253</v>
      </c>
      <c r="F4669" s="13">
        <v>9</v>
      </c>
      <c r="G4669" s="271">
        <v>0</v>
      </c>
    </row>
    <row r="4670" spans="1:7">
      <c r="A4670" s="13" t="s">
        <v>7917</v>
      </c>
      <c r="B4670" s="13">
        <v>5</v>
      </c>
      <c r="E4670" s="13" t="s">
        <v>8254</v>
      </c>
      <c r="F4670" s="13">
        <v>10</v>
      </c>
      <c r="G4670" s="271">
        <v>1</v>
      </c>
    </row>
    <row r="4671" spans="1:7">
      <c r="A4671" s="13" t="s">
        <v>7918</v>
      </c>
      <c r="B4671" s="13">
        <v>5</v>
      </c>
      <c r="E4671" s="13" t="s">
        <v>8255</v>
      </c>
      <c r="F4671" s="13">
        <v>11</v>
      </c>
      <c r="G4671" s="271">
        <v>2</v>
      </c>
    </row>
    <row r="4672" spans="1:7">
      <c r="A4672" s="13" t="s">
        <v>7919</v>
      </c>
      <c r="B4672" s="13">
        <v>5</v>
      </c>
      <c r="E4672" s="13" t="s">
        <v>8257</v>
      </c>
      <c r="F4672" s="13">
        <v>12</v>
      </c>
      <c r="G4672" s="271">
        <v>3</v>
      </c>
    </row>
    <row r="4673" spans="1:7">
      <c r="A4673" s="13" t="s">
        <v>7920</v>
      </c>
      <c r="B4673" s="13">
        <v>5</v>
      </c>
      <c r="E4673" s="13" t="s">
        <v>8259</v>
      </c>
      <c r="F4673" s="13">
        <v>13</v>
      </c>
      <c r="G4673" s="271">
        <v>4</v>
      </c>
    </row>
    <row r="4674" spans="1:7">
      <c r="A4674" s="13" t="s">
        <v>7921</v>
      </c>
      <c r="B4674" s="13">
        <v>5</v>
      </c>
      <c r="E4674" s="13" t="s">
        <v>8261</v>
      </c>
      <c r="F4674" s="13">
        <v>14</v>
      </c>
      <c r="G4674" s="271">
        <v>21</v>
      </c>
    </row>
    <row r="4675" spans="1:7">
      <c r="A4675" s="13" t="s">
        <v>7922</v>
      </c>
      <c r="B4675" s="13">
        <v>5</v>
      </c>
      <c r="E4675" s="13" t="s">
        <v>8262</v>
      </c>
      <c r="F4675" s="13">
        <v>15</v>
      </c>
      <c r="G4675" s="271">
        <v>22</v>
      </c>
    </row>
    <row r="4676" spans="1:7">
      <c r="A4676" s="13" t="s">
        <v>7923</v>
      </c>
      <c r="B4676" s="13">
        <v>5</v>
      </c>
      <c r="E4676" s="13" t="s">
        <v>8263</v>
      </c>
      <c r="F4676" s="13">
        <v>16</v>
      </c>
      <c r="G4676" s="271">
        <v>5</v>
      </c>
    </row>
    <row r="4677" spans="1:7">
      <c r="A4677" s="13" t="s">
        <v>7924</v>
      </c>
      <c r="B4677" s="13">
        <v>5</v>
      </c>
      <c r="E4677" s="13" t="s">
        <v>8265</v>
      </c>
      <c r="F4677" s="13">
        <v>17</v>
      </c>
      <c r="G4677" s="271">
        <v>6</v>
      </c>
    </row>
    <row r="4678" spans="1:7">
      <c r="A4678" s="13" t="s">
        <v>7925</v>
      </c>
      <c r="B4678" s="13">
        <v>5</v>
      </c>
      <c r="E4678" s="13" t="s">
        <v>8266</v>
      </c>
      <c r="F4678" s="13">
        <v>18</v>
      </c>
      <c r="G4678" s="271">
        <v>21</v>
      </c>
    </row>
    <row r="4679" spans="1:7">
      <c r="A4679" s="13" t="s">
        <v>7926</v>
      </c>
      <c r="B4679" s="13">
        <v>5</v>
      </c>
      <c r="E4679" s="13" t="s">
        <v>8267</v>
      </c>
      <c r="F4679" s="13">
        <v>19</v>
      </c>
      <c r="G4679" s="271">
        <v>23</v>
      </c>
    </row>
    <row r="4680" spans="1:7">
      <c r="A4680" s="13" t="s">
        <v>7927</v>
      </c>
      <c r="B4680" s="13">
        <v>5</v>
      </c>
      <c r="E4680" s="13" t="s">
        <v>8268</v>
      </c>
      <c r="F4680" s="13">
        <v>20</v>
      </c>
      <c r="G4680" s="271">
        <v>21</v>
      </c>
    </row>
    <row r="4681" spans="1:7">
      <c r="A4681" s="13" t="s">
        <v>7310</v>
      </c>
      <c r="B4681" s="13">
        <v>5</v>
      </c>
      <c r="E4681" s="13" t="s">
        <v>8269</v>
      </c>
      <c r="F4681" s="13">
        <v>21</v>
      </c>
      <c r="G4681" s="271">
        <v>24</v>
      </c>
    </row>
    <row r="4682" spans="1:7">
      <c r="A4682" s="13" t="s">
        <v>6248</v>
      </c>
      <c r="B4682" s="13">
        <v>5</v>
      </c>
      <c r="E4682" s="13" t="s">
        <v>8270</v>
      </c>
      <c r="F4682" s="13">
        <v>22</v>
      </c>
      <c r="G4682" s="13" t="s">
        <v>46</v>
      </c>
    </row>
    <row r="4683" spans="1:7">
      <c r="A4683" s="13" t="s">
        <v>7928</v>
      </c>
      <c r="B4683" s="13">
        <v>5</v>
      </c>
      <c r="E4683" s="13" t="s">
        <v>8271</v>
      </c>
      <c r="F4683" s="13">
        <v>23</v>
      </c>
      <c r="G4683" s="13" t="s">
        <v>46</v>
      </c>
    </row>
    <row r="4684" spans="1:7">
      <c r="A4684" s="13" t="s">
        <v>7929</v>
      </c>
      <c r="B4684" s="13">
        <v>5</v>
      </c>
      <c r="E4684" s="13" t="s">
        <v>8272</v>
      </c>
      <c r="F4684" s="13">
        <v>24</v>
      </c>
      <c r="G4684" s="271">
        <v>7</v>
      </c>
    </row>
    <row r="4685" spans="1:7">
      <c r="A4685" s="13" t="s">
        <v>7312</v>
      </c>
      <c r="B4685" s="13">
        <v>5</v>
      </c>
      <c r="E4685" s="13" t="s">
        <v>8273</v>
      </c>
      <c r="F4685" s="13">
        <v>25</v>
      </c>
      <c r="G4685" s="271">
        <v>8</v>
      </c>
    </row>
    <row r="4686" spans="1:7">
      <c r="A4686" s="13" t="s">
        <v>7930</v>
      </c>
      <c r="B4686" s="13">
        <v>5</v>
      </c>
      <c r="E4686" s="13" t="s">
        <v>8274</v>
      </c>
      <c r="F4686" s="13">
        <v>26</v>
      </c>
      <c r="G4686" s="13" t="s">
        <v>46</v>
      </c>
    </row>
    <row r="4687" spans="1:7">
      <c r="A4687" s="13" t="s">
        <v>7931</v>
      </c>
      <c r="B4687" s="13">
        <v>5</v>
      </c>
      <c r="E4687" s="13" t="s">
        <v>8275</v>
      </c>
      <c r="F4687" s="13">
        <v>27</v>
      </c>
      <c r="G4687" s="271">
        <v>23</v>
      </c>
    </row>
    <row r="4688" spans="1:7">
      <c r="A4688" s="13" t="s">
        <v>7932</v>
      </c>
      <c r="B4688" s="13">
        <v>5</v>
      </c>
      <c r="E4688" s="13" t="s">
        <v>8276</v>
      </c>
      <c r="F4688" s="13">
        <v>28</v>
      </c>
      <c r="G4688" s="271">
        <v>24</v>
      </c>
    </row>
    <row r="4689" spans="1:7">
      <c r="A4689" s="13" t="s">
        <v>7933</v>
      </c>
      <c r="B4689" s="13">
        <v>5</v>
      </c>
      <c r="E4689" s="13" t="s">
        <v>8277</v>
      </c>
      <c r="F4689" s="13">
        <v>29</v>
      </c>
      <c r="G4689" s="271">
        <v>25</v>
      </c>
    </row>
    <row r="4690" spans="1:7">
      <c r="A4690" s="13" t="s">
        <v>7934</v>
      </c>
      <c r="B4690" s="13">
        <v>5</v>
      </c>
      <c r="E4690" s="13" t="s">
        <v>8278</v>
      </c>
      <c r="F4690" s="13">
        <v>30</v>
      </c>
      <c r="G4690" s="271">
        <v>9</v>
      </c>
    </row>
    <row r="4691" spans="1:7">
      <c r="A4691" s="13" t="s">
        <v>7935</v>
      </c>
      <c r="B4691" s="13">
        <v>5</v>
      </c>
      <c r="E4691" s="13" t="s">
        <v>8279</v>
      </c>
      <c r="F4691" s="13">
        <v>31</v>
      </c>
      <c r="G4691" s="271">
        <v>26</v>
      </c>
    </row>
    <row r="4692" spans="1:7">
      <c r="A4692" s="13" t="s">
        <v>7936</v>
      </c>
      <c r="B4692" s="13">
        <v>5</v>
      </c>
      <c r="E4692" s="13" t="s">
        <v>8280</v>
      </c>
      <c r="F4692" s="13">
        <v>32</v>
      </c>
      <c r="G4692" s="271">
        <v>8</v>
      </c>
    </row>
    <row r="4693" spans="1:7">
      <c r="A4693" s="13" t="s">
        <v>7319</v>
      </c>
      <c r="B4693" s="13">
        <v>5</v>
      </c>
      <c r="E4693" s="13" t="s">
        <v>8281</v>
      </c>
      <c r="F4693" s="13">
        <v>33</v>
      </c>
      <c r="G4693" s="271">
        <v>10</v>
      </c>
    </row>
    <row r="4694" spans="1:7">
      <c r="A4694" s="13" t="s">
        <v>7937</v>
      </c>
      <c r="B4694" s="13">
        <v>5</v>
      </c>
      <c r="E4694" s="13" t="s">
        <v>8282</v>
      </c>
      <c r="F4694" s="13">
        <v>34</v>
      </c>
      <c r="G4694" s="13" t="s">
        <v>46</v>
      </c>
    </row>
    <row r="4695" spans="1:7">
      <c r="A4695" s="13" t="s">
        <v>7938</v>
      </c>
      <c r="B4695" s="13">
        <v>5</v>
      </c>
      <c r="E4695" s="13" t="s">
        <v>8283</v>
      </c>
      <c r="F4695" s="13">
        <v>35</v>
      </c>
      <c r="G4695" s="271">
        <v>8</v>
      </c>
    </row>
    <row r="4696" spans="1:7">
      <c r="A4696" s="13" t="s">
        <v>7939</v>
      </c>
      <c r="B4696" s="13">
        <v>5</v>
      </c>
      <c r="E4696" s="13" t="s">
        <v>8284</v>
      </c>
      <c r="F4696" s="13">
        <v>36</v>
      </c>
      <c r="G4696" s="271">
        <v>11</v>
      </c>
    </row>
    <row r="4697" spans="1:7">
      <c r="A4697" s="13" t="s">
        <v>7940</v>
      </c>
      <c r="B4697" s="13">
        <v>5</v>
      </c>
      <c r="E4697" s="13" t="s">
        <v>8285</v>
      </c>
      <c r="F4697" s="13">
        <v>37</v>
      </c>
      <c r="G4697" s="271">
        <v>12</v>
      </c>
    </row>
    <row r="4698" spans="1:7">
      <c r="A4698" s="13" t="s">
        <v>7323</v>
      </c>
      <c r="B4698" s="13">
        <v>5</v>
      </c>
      <c r="E4698" s="13" t="s">
        <v>8286</v>
      </c>
      <c r="F4698" s="13">
        <v>38</v>
      </c>
      <c r="G4698" s="271">
        <v>27</v>
      </c>
    </row>
    <row r="4699" spans="1:7">
      <c r="A4699" s="13" t="s">
        <v>6252</v>
      </c>
      <c r="B4699" s="13">
        <v>5</v>
      </c>
      <c r="E4699" s="13" t="s">
        <v>8287</v>
      </c>
      <c r="F4699" s="13">
        <v>39</v>
      </c>
      <c r="G4699" s="13" t="s">
        <v>46</v>
      </c>
    </row>
    <row r="4700" spans="1:7">
      <c r="A4700" s="13" t="s">
        <v>7941</v>
      </c>
      <c r="B4700" s="13">
        <v>5</v>
      </c>
      <c r="E4700" s="13" t="s">
        <v>8288</v>
      </c>
      <c r="F4700" s="13">
        <v>40</v>
      </c>
      <c r="G4700" s="13" t="s">
        <v>46</v>
      </c>
    </row>
    <row r="4701" spans="1:7">
      <c r="A4701" s="13" t="s">
        <v>7324</v>
      </c>
      <c r="B4701" s="13">
        <v>5</v>
      </c>
      <c r="E4701" s="13" t="s">
        <v>8289</v>
      </c>
      <c r="F4701" s="13">
        <v>41</v>
      </c>
      <c r="G4701" s="271">
        <v>26</v>
      </c>
    </row>
    <row r="4702" spans="1:7">
      <c r="A4702" s="13" t="s">
        <v>6254</v>
      </c>
      <c r="B4702" s="13">
        <v>5</v>
      </c>
      <c r="E4702" s="13" t="s">
        <v>8290</v>
      </c>
      <c r="F4702" s="13">
        <v>42</v>
      </c>
      <c r="G4702" s="13" t="s">
        <v>46</v>
      </c>
    </row>
    <row r="4703" spans="1:7">
      <c r="A4703" s="13" t="s">
        <v>7942</v>
      </c>
      <c r="B4703" s="13">
        <v>5</v>
      </c>
      <c r="E4703" s="13" t="s">
        <v>8291</v>
      </c>
      <c r="F4703" s="13">
        <v>43</v>
      </c>
      <c r="G4703" s="13" t="s">
        <v>46</v>
      </c>
    </row>
    <row r="4704" spans="1:7">
      <c r="A4704" s="13" t="s">
        <v>7943</v>
      </c>
      <c r="B4704" s="13">
        <v>5</v>
      </c>
      <c r="E4704" s="13" t="s">
        <v>8292</v>
      </c>
      <c r="F4704" s="13">
        <v>44</v>
      </c>
      <c r="G4704" s="271">
        <v>13</v>
      </c>
    </row>
    <row r="4705" spans="1:7">
      <c r="A4705" s="13" t="s">
        <v>7944</v>
      </c>
      <c r="B4705" s="13">
        <v>5</v>
      </c>
      <c r="E4705" s="13" t="s">
        <v>8293</v>
      </c>
      <c r="F4705" s="13">
        <v>45</v>
      </c>
      <c r="G4705" s="271">
        <v>14</v>
      </c>
    </row>
    <row r="4706" spans="1:7">
      <c r="A4706" s="13" t="s">
        <v>7327</v>
      </c>
      <c r="B4706" s="13">
        <v>5</v>
      </c>
      <c r="E4706" s="13" t="s">
        <v>8294</v>
      </c>
      <c r="F4706" s="13">
        <v>46</v>
      </c>
      <c r="G4706" s="271">
        <v>7</v>
      </c>
    </row>
    <row r="4707" spans="1:7">
      <c r="A4707" s="13" t="s">
        <v>6256</v>
      </c>
      <c r="B4707" s="13">
        <v>5</v>
      </c>
      <c r="E4707" s="13" t="s">
        <v>8295</v>
      </c>
      <c r="F4707" s="13">
        <v>47</v>
      </c>
      <c r="G4707" s="13" t="s">
        <v>46</v>
      </c>
    </row>
    <row r="4708" spans="1:7">
      <c r="A4708" s="13" t="s">
        <v>7945</v>
      </c>
      <c r="B4708" s="13">
        <v>5</v>
      </c>
      <c r="E4708" s="13" t="s">
        <v>8296</v>
      </c>
      <c r="F4708" s="13">
        <v>48</v>
      </c>
      <c r="G4708" s="13" t="s">
        <v>46</v>
      </c>
    </row>
    <row r="4709" spans="1:7">
      <c r="A4709" s="13" t="s">
        <v>7946</v>
      </c>
      <c r="B4709" s="13">
        <v>5</v>
      </c>
      <c r="E4709" s="13" t="s">
        <v>8297</v>
      </c>
      <c r="F4709" s="13">
        <v>49</v>
      </c>
      <c r="G4709" s="271">
        <v>21</v>
      </c>
    </row>
    <row r="4710" spans="1:7">
      <c r="A4710" s="13" t="s">
        <v>7947</v>
      </c>
      <c r="B4710" s="13">
        <v>5</v>
      </c>
      <c r="E4710" s="13" t="s">
        <v>8298</v>
      </c>
      <c r="F4710" s="13">
        <v>50</v>
      </c>
      <c r="G4710" s="271">
        <v>15</v>
      </c>
    </row>
    <row r="4711" spans="1:7">
      <c r="A4711" s="13" t="s">
        <v>7948</v>
      </c>
      <c r="B4711" s="13">
        <v>5</v>
      </c>
      <c r="E4711" s="13" t="s">
        <v>8299</v>
      </c>
      <c r="F4711" s="13">
        <v>51</v>
      </c>
      <c r="G4711" s="271">
        <v>26</v>
      </c>
    </row>
    <row r="4712" spans="1:7">
      <c r="A4712" s="13" t="s">
        <v>7949</v>
      </c>
      <c r="B4712" s="13">
        <v>5</v>
      </c>
      <c r="E4712" s="13" t="s">
        <v>8300</v>
      </c>
      <c r="F4712" s="13">
        <v>52</v>
      </c>
      <c r="G4712" s="271">
        <v>16</v>
      </c>
    </row>
    <row r="4713" spans="1:7">
      <c r="A4713" s="13" t="s">
        <v>7950</v>
      </c>
      <c r="B4713" s="13">
        <v>5</v>
      </c>
      <c r="E4713" s="13" t="s">
        <v>8301</v>
      </c>
      <c r="F4713" s="13">
        <v>53</v>
      </c>
      <c r="G4713" s="271">
        <v>22</v>
      </c>
    </row>
    <row r="4714" spans="1:7">
      <c r="A4714" s="13" t="s">
        <v>7951</v>
      </c>
      <c r="B4714" s="13">
        <v>5</v>
      </c>
      <c r="E4714" s="13" t="s">
        <v>8302</v>
      </c>
      <c r="F4714" s="13">
        <v>54</v>
      </c>
      <c r="G4714" s="271">
        <v>17</v>
      </c>
    </row>
    <row r="4715" spans="1:7">
      <c r="A4715" s="13" t="s">
        <v>7952</v>
      </c>
      <c r="B4715" s="13">
        <v>5</v>
      </c>
      <c r="E4715" s="13" t="s">
        <v>8303</v>
      </c>
      <c r="F4715" s="13">
        <v>55</v>
      </c>
      <c r="G4715" s="271">
        <v>28</v>
      </c>
    </row>
    <row r="4716" spans="1:7">
      <c r="A4716" s="13" t="s">
        <v>7953</v>
      </c>
      <c r="B4716" s="13">
        <v>5</v>
      </c>
      <c r="E4716" s="13" t="s">
        <v>8304</v>
      </c>
      <c r="F4716" s="13">
        <v>56</v>
      </c>
      <c r="G4716" s="271">
        <v>27</v>
      </c>
    </row>
    <row r="4717" spans="1:7">
      <c r="A4717" s="13" t="s">
        <v>7954</v>
      </c>
      <c r="B4717" s="13">
        <v>5</v>
      </c>
      <c r="E4717" s="13" t="s">
        <v>8305</v>
      </c>
      <c r="F4717" s="13">
        <v>57</v>
      </c>
      <c r="G4717" s="271">
        <v>18</v>
      </c>
    </row>
    <row r="4718" spans="1:7">
      <c r="A4718" s="13" t="s">
        <v>7955</v>
      </c>
      <c r="B4718" s="13">
        <v>5</v>
      </c>
      <c r="E4718" s="13" t="s">
        <v>8306</v>
      </c>
      <c r="F4718" s="13">
        <v>58</v>
      </c>
      <c r="G4718" s="271">
        <v>27</v>
      </c>
    </row>
    <row r="4719" spans="1:7">
      <c r="A4719" s="13" t="s">
        <v>7956</v>
      </c>
      <c r="B4719" s="13">
        <v>5</v>
      </c>
      <c r="E4719" s="13" t="s">
        <v>8307</v>
      </c>
      <c r="F4719" s="13">
        <v>59</v>
      </c>
      <c r="G4719" s="271">
        <v>26</v>
      </c>
    </row>
    <row r="4720" spans="1:7">
      <c r="A4720" s="13" t="s">
        <v>7957</v>
      </c>
      <c r="B4720" s="13">
        <v>5</v>
      </c>
      <c r="E4720" s="13" t="s">
        <v>8308</v>
      </c>
      <c r="F4720" s="13">
        <v>60</v>
      </c>
      <c r="G4720" s="271">
        <v>28</v>
      </c>
    </row>
    <row r="4721" spans="1:7">
      <c r="A4721" s="13" t="s">
        <v>7340</v>
      </c>
      <c r="B4721" s="13">
        <v>5</v>
      </c>
      <c r="E4721" s="13" t="s">
        <v>8309</v>
      </c>
      <c r="F4721" s="13">
        <v>61</v>
      </c>
      <c r="G4721" s="271">
        <v>6</v>
      </c>
    </row>
    <row r="4722" spans="1:7">
      <c r="A4722" s="13" t="s">
        <v>7958</v>
      </c>
      <c r="B4722" s="13">
        <v>5</v>
      </c>
      <c r="E4722" s="13" t="s">
        <v>8310</v>
      </c>
      <c r="F4722" s="13">
        <v>62</v>
      </c>
      <c r="G4722" s="13" t="s">
        <v>46</v>
      </c>
    </row>
    <row r="4723" spans="1:7">
      <c r="A4723" s="13" t="s">
        <v>7959</v>
      </c>
      <c r="B4723" s="13">
        <v>5</v>
      </c>
      <c r="E4723" s="13" t="s">
        <v>8311</v>
      </c>
      <c r="F4723" s="13">
        <v>63</v>
      </c>
      <c r="G4723" s="271">
        <v>26</v>
      </c>
    </row>
    <row r="4724" spans="1:7">
      <c r="A4724" s="13" t="s">
        <v>7342</v>
      </c>
      <c r="B4724" s="13">
        <v>5</v>
      </c>
      <c r="E4724" s="13" t="s">
        <v>8312</v>
      </c>
      <c r="F4724" s="13">
        <v>64</v>
      </c>
      <c r="G4724" s="271">
        <v>28</v>
      </c>
    </row>
    <row r="4725" spans="1:7">
      <c r="A4725" s="13" t="s">
        <v>7960</v>
      </c>
      <c r="B4725" s="13">
        <v>5</v>
      </c>
      <c r="E4725" s="13" t="s">
        <v>8313</v>
      </c>
      <c r="F4725" s="13">
        <v>65</v>
      </c>
      <c r="G4725" s="13" t="s">
        <v>46</v>
      </c>
    </row>
    <row r="4726" spans="1:7">
      <c r="A4726" s="13" t="s">
        <v>7961</v>
      </c>
      <c r="B4726" s="13">
        <v>5</v>
      </c>
      <c r="E4726" s="13" t="s">
        <v>8314</v>
      </c>
      <c r="F4726" s="13">
        <v>66</v>
      </c>
      <c r="G4726" s="271">
        <v>22</v>
      </c>
    </row>
    <row r="4727" spans="1:7">
      <c r="A4727" s="13" t="s">
        <v>7962</v>
      </c>
      <c r="B4727" s="13">
        <v>5</v>
      </c>
      <c r="E4727" s="13" t="s">
        <v>8315</v>
      </c>
      <c r="F4727" s="13">
        <v>67</v>
      </c>
      <c r="G4727" s="271">
        <v>28</v>
      </c>
    </row>
    <row r="4728" spans="1:7">
      <c r="A4728" s="13" t="s">
        <v>7963</v>
      </c>
      <c r="B4728" s="13">
        <v>5</v>
      </c>
      <c r="E4728" s="13" t="s">
        <v>8316</v>
      </c>
      <c r="F4728" s="13">
        <v>68</v>
      </c>
      <c r="G4728" s="271">
        <v>16</v>
      </c>
    </row>
    <row r="4729" spans="1:7">
      <c r="A4729" s="13" t="s">
        <v>7964</v>
      </c>
      <c r="B4729" s="13">
        <v>5</v>
      </c>
      <c r="E4729" s="13" t="s">
        <v>8317</v>
      </c>
      <c r="F4729" s="13">
        <v>69</v>
      </c>
      <c r="G4729" s="271">
        <v>23</v>
      </c>
    </row>
    <row r="4730" spans="1:7">
      <c r="A4730" s="13" t="s">
        <v>7965</v>
      </c>
      <c r="B4730" s="13">
        <v>5</v>
      </c>
      <c r="E4730" s="13" t="s">
        <v>8318</v>
      </c>
      <c r="F4730" s="13">
        <v>70</v>
      </c>
      <c r="G4730" s="271">
        <v>15</v>
      </c>
    </row>
    <row r="4731" spans="1:7">
      <c r="A4731" s="13" t="s">
        <v>7966</v>
      </c>
      <c r="B4731" s="13">
        <v>5</v>
      </c>
      <c r="E4731" s="13" t="s">
        <v>8319</v>
      </c>
      <c r="F4731" s="13">
        <v>71</v>
      </c>
      <c r="G4731" s="271">
        <v>27</v>
      </c>
    </row>
    <row r="4732" spans="1:7">
      <c r="A4732" s="13" t="s">
        <v>7967</v>
      </c>
      <c r="B4732" s="13">
        <v>5</v>
      </c>
      <c r="E4732" s="13" t="s">
        <v>8320</v>
      </c>
      <c r="F4732" s="13">
        <v>72</v>
      </c>
      <c r="G4732" s="271">
        <v>2</v>
      </c>
    </row>
    <row r="4733" spans="1:7">
      <c r="A4733" s="13" t="s">
        <v>7968</v>
      </c>
      <c r="B4733" s="13">
        <v>5</v>
      </c>
      <c r="E4733" s="13" t="s">
        <v>8321</v>
      </c>
      <c r="F4733" s="13">
        <v>73</v>
      </c>
      <c r="G4733" s="271">
        <v>19</v>
      </c>
    </row>
    <row r="4734" spans="1:7">
      <c r="A4734" s="13" t="s">
        <v>6260</v>
      </c>
      <c r="B4734" s="13">
        <v>5</v>
      </c>
      <c r="E4734" s="13" t="s">
        <v>8322</v>
      </c>
      <c r="F4734" s="13">
        <v>74</v>
      </c>
      <c r="G4734" s="271">
        <v>23</v>
      </c>
    </row>
    <row r="4735" spans="1:7">
      <c r="A4735" s="13" t="s">
        <v>7969</v>
      </c>
      <c r="B4735" s="13">
        <v>5</v>
      </c>
      <c r="E4735" s="13" t="s">
        <v>8323</v>
      </c>
      <c r="F4735" s="13">
        <v>75</v>
      </c>
      <c r="G4735" s="271">
        <v>23</v>
      </c>
    </row>
    <row r="4736" spans="1:7">
      <c r="A4736" s="13" t="s">
        <v>6261</v>
      </c>
      <c r="B4736" s="13">
        <v>5</v>
      </c>
      <c r="E4736" s="13" t="s">
        <v>8324</v>
      </c>
      <c r="F4736" s="13">
        <v>76</v>
      </c>
      <c r="G4736" s="271">
        <v>21</v>
      </c>
    </row>
    <row r="4737" spans="1:7">
      <c r="A4737" s="13" t="s">
        <v>7354</v>
      </c>
      <c r="B4737" s="13">
        <v>5</v>
      </c>
      <c r="E4737" s="13" t="s">
        <v>8325</v>
      </c>
      <c r="F4737" s="13">
        <v>77</v>
      </c>
      <c r="G4737" s="271">
        <v>21</v>
      </c>
    </row>
    <row r="4738" spans="1:7">
      <c r="A4738" s="13" t="s">
        <v>7970</v>
      </c>
      <c r="B4738" s="13">
        <v>5</v>
      </c>
      <c r="E4738" s="13" t="s">
        <v>8326</v>
      </c>
      <c r="F4738" s="13">
        <v>78</v>
      </c>
      <c r="G4738" s="13" t="s">
        <v>46</v>
      </c>
    </row>
    <row r="4739" spans="1:7">
      <c r="A4739" s="13" t="s">
        <v>7971</v>
      </c>
      <c r="B4739" s="13">
        <v>5</v>
      </c>
      <c r="E4739" s="13" t="s">
        <v>8327</v>
      </c>
      <c r="F4739" s="13">
        <v>79</v>
      </c>
      <c r="G4739" s="271">
        <v>26</v>
      </c>
    </row>
    <row r="4740" spans="1:7">
      <c r="A4740" s="13" t="s">
        <v>7356</v>
      </c>
      <c r="B4740" s="13">
        <v>5</v>
      </c>
      <c r="E4740" s="13" t="s">
        <v>8328</v>
      </c>
      <c r="F4740" s="13">
        <v>80</v>
      </c>
      <c r="G4740" s="271">
        <v>20</v>
      </c>
    </row>
    <row r="4741" spans="1:7">
      <c r="A4741" s="13" t="s">
        <v>7972</v>
      </c>
      <c r="B4741" s="13">
        <v>5</v>
      </c>
      <c r="E4741" s="13" t="s">
        <v>8329</v>
      </c>
      <c r="F4741" s="13">
        <v>81</v>
      </c>
      <c r="G4741" s="13" t="s">
        <v>46</v>
      </c>
    </row>
    <row r="4742" spans="1:7">
      <c r="A4742" s="13" t="s">
        <v>7357</v>
      </c>
      <c r="B4742" s="13">
        <v>5</v>
      </c>
      <c r="E4742" s="13" t="s">
        <v>8330</v>
      </c>
      <c r="F4742" s="13">
        <v>82</v>
      </c>
      <c r="G4742" s="271">
        <v>2</v>
      </c>
    </row>
    <row r="4743" spans="1:7">
      <c r="A4743" s="13" t="s">
        <v>7973</v>
      </c>
      <c r="B4743" s="13">
        <v>5</v>
      </c>
      <c r="E4743" s="13" t="s">
        <v>8331</v>
      </c>
      <c r="F4743" s="13">
        <v>83</v>
      </c>
      <c r="G4743" s="13" t="s">
        <v>46</v>
      </c>
    </row>
    <row r="4744" spans="1:7">
      <c r="A4744" s="13" t="s">
        <v>7974</v>
      </c>
      <c r="B4744" s="13">
        <v>5</v>
      </c>
      <c r="E4744" s="13" t="s">
        <v>8332</v>
      </c>
      <c r="F4744" s="13">
        <v>84</v>
      </c>
      <c r="G4744" s="271">
        <v>29</v>
      </c>
    </row>
    <row r="4745" spans="1:7">
      <c r="A4745" s="13" t="s">
        <v>7975</v>
      </c>
      <c r="B4745" s="13">
        <v>5</v>
      </c>
      <c r="E4745" s="13" t="s">
        <v>8333</v>
      </c>
      <c r="F4745" s="13">
        <v>85</v>
      </c>
      <c r="G4745" s="271">
        <v>26</v>
      </c>
    </row>
    <row r="4746" spans="1:7">
      <c r="A4746" s="13" t="s">
        <v>7360</v>
      </c>
      <c r="B4746" s="13">
        <v>5</v>
      </c>
      <c r="E4746" s="13" t="s">
        <v>8334</v>
      </c>
      <c r="F4746" s="13">
        <v>86</v>
      </c>
      <c r="G4746" s="271">
        <v>5</v>
      </c>
    </row>
    <row r="4747" spans="1:7">
      <c r="A4747" s="13" t="s">
        <v>7976</v>
      </c>
      <c r="B4747" s="13">
        <v>5</v>
      </c>
      <c r="E4747" s="13" t="s">
        <v>8335</v>
      </c>
      <c r="F4747" s="13">
        <v>87</v>
      </c>
      <c r="G4747" s="13" t="s">
        <v>46</v>
      </c>
    </row>
    <row r="4748" spans="1:7">
      <c r="A4748" s="13" t="s">
        <v>7977</v>
      </c>
      <c r="B4748" s="13">
        <v>5</v>
      </c>
      <c r="E4748" s="13" t="s">
        <v>8336</v>
      </c>
      <c r="F4748" s="13">
        <v>88</v>
      </c>
      <c r="G4748" s="271">
        <v>24</v>
      </c>
    </row>
    <row r="4749" spans="1:7">
      <c r="A4749" s="13" t="s">
        <v>7362</v>
      </c>
      <c r="B4749" s="13">
        <v>5</v>
      </c>
      <c r="E4749" s="13" t="s">
        <v>8337</v>
      </c>
      <c r="F4749" s="13">
        <v>89</v>
      </c>
      <c r="G4749" s="271">
        <v>22</v>
      </c>
    </row>
    <row r="4750" spans="1:7">
      <c r="A4750" s="13" t="s">
        <v>7978</v>
      </c>
      <c r="B4750" s="13">
        <v>5</v>
      </c>
      <c r="E4750" s="13" t="s">
        <v>8338</v>
      </c>
      <c r="F4750" s="13">
        <v>90</v>
      </c>
      <c r="G4750" s="13" t="s">
        <v>46</v>
      </c>
    </row>
    <row r="4751" spans="1:7">
      <c r="A4751" s="13" t="s">
        <v>7979</v>
      </c>
      <c r="B4751" s="13">
        <v>5</v>
      </c>
      <c r="E4751" s="13" t="s">
        <v>8339</v>
      </c>
      <c r="F4751" s="13">
        <v>91</v>
      </c>
      <c r="G4751" s="271">
        <v>30</v>
      </c>
    </row>
    <row r="4752" spans="1:7">
      <c r="A4752" s="13" t="s">
        <v>7364</v>
      </c>
      <c r="B4752" s="13">
        <v>5</v>
      </c>
      <c r="E4752" s="13" t="s">
        <v>8340</v>
      </c>
      <c r="F4752" s="13">
        <v>92</v>
      </c>
      <c r="G4752" s="271">
        <v>23</v>
      </c>
    </row>
    <row r="4753" spans="1:7">
      <c r="A4753" s="13" t="s">
        <v>6267</v>
      </c>
      <c r="B4753" s="13">
        <v>5</v>
      </c>
      <c r="E4753" s="13" t="s">
        <v>8341</v>
      </c>
      <c r="F4753" s="13">
        <v>93</v>
      </c>
      <c r="G4753" s="13" t="s">
        <v>46</v>
      </c>
    </row>
    <row r="4754" spans="1:7">
      <c r="A4754" s="13" t="s">
        <v>7980</v>
      </c>
      <c r="B4754" s="13">
        <v>5</v>
      </c>
      <c r="E4754" s="13" t="s">
        <v>8342</v>
      </c>
      <c r="F4754" s="13">
        <v>94</v>
      </c>
      <c r="G4754" s="13" t="s">
        <v>46</v>
      </c>
    </row>
    <row r="4755" spans="1:7">
      <c r="A4755" s="13" t="s">
        <v>7365</v>
      </c>
      <c r="B4755" s="13">
        <v>5</v>
      </c>
      <c r="E4755" s="13" t="s">
        <v>8343</v>
      </c>
      <c r="F4755" s="13">
        <v>95</v>
      </c>
      <c r="G4755" s="271">
        <v>21</v>
      </c>
    </row>
    <row r="4756" spans="1:7">
      <c r="A4756" s="13" t="s">
        <v>6269</v>
      </c>
      <c r="B4756" s="13">
        <v>5</v>
      </c>
      <c r="E4756" s="13" t="s">
        <v>8344</v>
      </c>
      <c r="F4756" s="13">
        <v>96</v>
      </c>
      <c r="G4756" s="13" t="s">
        <v>46</v>
      </c>
    </row>
    <row r="4757" spans="1:7">
      <c r="A4757" s="13" t="s">
        <v>6270</v>
      </c>
      <c r="B4757" s="13">
        <v>5</v>
      </c>
      <c r="E4757" s="13" t="s">
        <v>8345</v>
      </c>
      <c r="F4757" s="13">
        <v>97</v>
      </c>
      <c r="G4757" s="13" t="s">
        <v>46</v>
      </c>
    </row>
    <row r="4758" spans="1:7">
      <c r="A4758" s="13" t="s">
        <v>6271</v>
      </c>
      <c r="B4758" s="13">
        <v>5</v>
      </c>
      <c r="E4758" s="13" t="s">
        <v>8346</v>
      </c>
      <c r="F4758" s="13">
        <v>98</v>
      </c>
      <c r="G4758" s="13" t="s">
        <v>46</v>
      </c>
    </row>
    <row r="4759" spans="1:7">
      <c r="A4759" s="13" t="s">
        <v>6272</v>
      </c>
      <c r="B4759" s="13">
        <v>5</v>
      </c>
      <c r="E4759" s="13" t="s">
        <v>8347</v>
      </c>
      <c r="F4759" s="13">
        <v>99</v>
      </c>
      <c r="G4759" s="13" t="s">
        <v>46</v>
      </c>
    </row>
    <row r="4760" spans="1:7">
      <c r="A4760" s="13" t="s">
        <v>7981</v>
      </c>
      <c r="B4760" s="13">
        <v>5</v>
      </c>
      <c r="E4760" s="13" t="s">
        <v>8348</v>
      </c>
      <c r="F4760" s="13">
        <v>100</v>
      </c>
      <c r="G4760" s="13" t="s">
        <v>46</v>
      </c>
    </row>
    <row r="4761" spans="1:7">
      <c r="A4761" s="13" t="s">
        <v>7366</v>
      </c>
      <c r="B4761" s="13">
        <v>5</v>
      </c>
      <c r="E4761" s="13" t="s">
        <v>8349</v>
      </c>
      <c r="F4761" s="13">
        <v>101</v>
      </c>
      <c r="G4761" s="271">
        <v>25</v>
      </c>
    </row>
    <row r="4762" spans="1:7">
      <c r="A4762" s="13" t="s">
        <v>6274</v>
      </c>
      <c r="B4762" s="13">
        <v>5</v>
      </c>
      <c r="E4762" s="13" t="s">
        <v>8350</v>
      </c>
      <c r="F4762" s="13">
        <v>102</v>
      </c>
      <c r="G4762" s="13" t="s">
        <v>46</v>
      </c>
    </row>
    <row r="4763" spans="1:7">
      <c r="A4763" s="13" t="s">
        <v>6275</v>
      </c>
      <c r="B4763" s="13">
        <v>5</v>
      </c>
      <c r="E4763" s="13" t="s">
        <v>8351</v>
      </c>
      <c r="F4763" s="13">
        <v>103</v>
      </c>
      <c r="G4763" s="13" t="s">
        <v>46</v>
      </c>
    </row>
    <row r="4764" spans="1:7">
      <c r="A4764" s="13" t="s">
        <v>6276</v>
      </c>
      <c r="B4764" s="13">
        <v>5</v>
      </c>
      <c r="E4764" s="13" t="s">
        <v>8352</v>
      </c>
      <c r="F4764" s="13">
        <v>104</v>
      </c>
      <c r="G4764" s="13" t="s">
        <v>46</v>
      </c>
    </row>
    <row r="4765" spans="1:7">
      <c r="A4765" s="13" t="s">
        <v>6277</v>
      </c>
      <c r="B4765" s="13">
        <v>5</v>
      </c>
      <c r="E4765" s="13" t="s">
        <v>8353</v>
      </c>
      <c r="F4765" s="13">
        <v>105</v>
      </c>
      <c r="G4765" s="13" t="s">
        <v>46</v>
      </c>
    </row>
    <row r="4766" spans="1:7">
      <c r="A4766" s="13" t="s">
        <v>6278</v>
      </c>
      <c r="B4766" s="13">
        <v>5</v>
      </c>
      <c r="E4766" s="13" t="s">
        <v>8354</v>
      </c>
      <c r="F4766" s="13">
        <v>106</v>
      </c>
      <c r="G4766" s="13" t="s">
        <v>46</v>
      </c>
    </row>
    <row r="4767" spans="1:7">
      <c r="A4767" s="13" t="s">
        <v>6279</v>
      </c>
      <c r="B4767" s="13">
        <v>5</v>
      </c>
      <c r="E4767" s="13" t="s">
        <v>8355</v>
      </c>
      <c r="F4767" s="13">
        <v>107</v>
      </c>
      <c r="G4767" s="13" t="s">
        <v>46</v>
      </c>
    </row>
    <row r="4768" spans="1:7">
      <c r="A4768" s="13" t="s">
        <v>7982</v>
      </c>
      <c r="B4768" s="13">
        <v>5</v>
      </c>
      <c r="E4768" s="13" t="s">
        <v>8356</v>
      </c>
      <c r="F4768" s="13">
        <v>108</v>
      </c>
      <c r="G4768" s="13" t="s">
        <v>46</v>
      </c>
    </row>
    <row r="4769" spans="1:7">
      <c r="A4769" s="13" t="s">
        <v>7983</v>
      </c>
      <c r="B4769" s="13">
        <v>5</v>
      </c>
      <c r="E4769" s="13" t="s">
        <v>8357</v>
      </c>
      <c r="F4769" s="13">
        <v>109</v>
      </c>
      <c r="G4769" s="271">
        <v>23</v>
      </c>
    </row>
    <row r="4770" spans="1:7">
      <c r="A4770" s="13" t="s">
        <v>7368</v>
      </c>
      <c r="B4770" s="13">
        <v>5</v>
      </c>
      <c r="E4770" s="13" t="s">
        <v>8358</v>
      </c>
      <c r="F4770" s="13">
        <v>110</v>
      </c>
      <c r="G4770" s="271">
        <v>28</v>
      </c>
    </row>
    <row r="4771" spans="1:7">
      <c r="A4771" s="13" t="s">
        <v>6281</v>
      </c>
      <c r="B4771" s="13">
        <v>5</v>
      </c>
      <c r="E4771" s="13" t="s">
        <v>8359</v>
      </c>
      <c r="F4771" s="13">
        <v>111</v>
      </c>
      <c r="G4771" s="13" t="s">
        <v>46</v>
      </c>
    </row>
    <row r="4772" spans="1:7">
      <c r="A4772" s="13" t="s">
        <v>7984</v>
      </c>
      <c r="B4772" s="13">
        <v>5</v>
      </c>
      <c r="E4772" s="13" t="s">
        <v>8360</v>
      </c>
      <c r="F4772" s="13">
        <v>112</v>
      </c>
      <c r="G4772" s="13" t="s">
        <v>46</v>
      </c>
    </row>
    <row r="4773" spans="1:7">
      <c r="A4773" s="13" t="s">
        <v>7369</v>
      </c>
      <c r="B4773" s="13">
        <v>5</v>
      </c>
      <c r="E4773" s="13" t="s">
        <v>8361</v>
      </c>
      <c r="F4773" s="13">
        <v>113</v>
      </c>
      <c r="G4773" s="271">
        <v>25</v>
      </c>
    </row>
    <row r="4774" spans="1:7">
      <c r="A4774" s="13" t="s">
        <v>7985</v>
      </c>
      <c r="B4774" s="13">
        <v>5</v>
      </c>
      <c r="E4774" s="13" t="s">
        <v>8362</v>
      </c>
      <c r="F4774" s="13">
        <v>114</v>
      </c>
      <c r="G4774" s="13" t="s">
        <v>46</v>
      </c>
    </row>
    <row r="4775" spans="1:7">
      <c r="A4775" s="13" t="s">
        <v>7370</v>
      </c>
      <c r="B4775" s="13">
        <v>5</v>
      </c>
      <c r="E4775" s="13" t="s">
        <v>8363</v>
      </c>
      <c r="F4775" s="13">
        <v>115</v>
      </c>
      <c r="G4775" s="271">
        <v>24</v>
      </c>
    </row>
    <row r="4776" spans="1:7">
      <c r="A4776" s="13" t="s">
        <v>6284</v>
      </c>
      <c r="B4776" s="13">
        <v>5</v>
      </c>
      <c r="E4776" s="13" t="s">
        <v>8364</v>
      </c>
      <c r="F4776" s="13">
        <v>116</v>
      </c>
      <c r="G4776" s="13" t="s">
        <v>46</v>
      </c>
    </row>
    <row r="4777" spans="1:7">
      <c r="A4777" s="13" t="s">
        <v>6285</v>
      </c>
      <c r="B4777" s="13">
        <v>5</v>
      </c>
      <c r="E4777" s="13" t="s">
        <v>8365</v>
      </c>
      <c r="F4777" s="13">
        <v>117</v>
      </c>
      <c r="G4777" s="13" t="s">
        <v>46</v>
      </c>
    </row>
    <row r="4778" spans="1:7">
      <c r="A4778" s="13" t="s">
        <v>7986</v>
      </c>
      <c r="B4778" s="13">
        <v>5</v>
      </c>
      <c r="E4778" s="13" t="s">
        <v>8366</v>
      </c>
      <c r="F4778" s="13">
        <v>118</v>
      </c>
      <c r="G4778" s="13" t="s">
        <v>46</v>
      </c>
    </row>
    <row r="4779" spans="1:7">
      <c r="A4779" s="13" t="s">
        <v>7371</v>
      </c>
      <c r="B4779" s="13">
        <v>5</v>
      </c>
      <c r="E4779" s="13" t="s">
        <v>8367</v>
      </c>
      <c r="F4779" s="13">
        <v>119</v>
      </c>
      <c r="G4779" s="271">
        <v>27</v>
      </c>
    </row>
    <row r="4780" spans="1:7">
      <c r="A4780" s="13" t="s">
        <v>6287</v>
      </c>
      <c r="B4780" s="13">
        <v>5</v>
      </c>
      <c r="E4780" s="13" t="s">
        <v>8368</v>
      </c>
      <c r="F4780" s="13">
        <v>120</v>
      </c>
      <c r="G4780" s="13" t="s">
        <v>46</v>
      </c>
    </row>
    <row r="4781" spans="1:7">
      <c r="A4781" s="13" t="s">
        <v>7987</v>
      </c>
      <c r="B4781" s="13">
        <v>5</v>
      </c>
      <c r="E4781" s="13" t="s">
        <v>8369</v>
      </c>
      <c r="F4781" s="13">
        <v>121</v>
      </c>
      <c r="G4781" s="13" t="s">
        <v>46</v>
      </c>
    </row>
    <row r="4782" spans="1:7">
      <c r="A4782" s="13" t="s">
        <v>7372</v>
      </c>
      <c r="B4782" s="13">
        <v>5</v>
      </c>
      <c r="E4782" s="13" t="s">
        <v>8370</v>
      </c>
      <c r="F4782" s="13">
        <v>122</v>
      </c>
      <c r="G4782" s="271">
        <v>30</v>
      </c>
    </row>
    <row r="4783" spans="1:7">
      <c r="A4783" s="13" t="s">
        <v>6289</v>
      </c>
      <c r="B4783" s="13">
        <v>5</v>
      </c>
      <c r="E4783" s="13" t="s">
        <v>8371</v>
      </c>
      <c r="F4783" s="13">
        <v>123</v>
      </c>
      <c r="G4783" s="13" t="s">
        <v>46</v>
      </c>
    </row>
    <row r="4784" spans="1:7">
      <c r="A4784" s="13" t="s">
        <v>7988</v>
      </c>
      <c r="B4784" s="13">
        <v>5</v>
      </c>
      <c r="E4784" s="13" t="s">
        <v>8372</v>
      </c>
      <c r="F4784" s="13">
        <v>124</v>
      </c>
      <c r="G4784" s="13" t="s">
        <v>46</v>
      </c>
    </row>
    <row r="4785" spans="1:7">
      <c r="A4785" s="13" t="s">
        <v>7373</v>
      </c>
      <c r="B4785" s="13">
        <v>5</v>
      </c>
      <c r="E4785" s="13" t="s">
        <v>8373</v>
      </c>
      <c r="F4785" s="13">
        <v>125</v>
      </c>
      <c r="G4785" s="271">
        <v>23</v>
      </c>
    </row>
    <row r="4786" spans="1:7">
      <c r="A4786" s="13" t="s">
        <v>6291</v>
      </c>
      <c r="B4786" s="13">
        <v>5</v>
      </c>
      <c r="E4786" s="13" t="s">
        <v>8374</v>
      </c>
      <c r="F4786" s="13">
        <v>126</v>
      </c>
      <c r="G4786" s="13" t="s">
        <v>46</v>
      </c>
    </row>
    <row r="4787" spans="1:7">
      <c r="A4787" s="13" t="s">
        <v>6292</v>
      </c>
      <c r="B4787" s="13">
        <v>5</v>
      </c>
      <c r="E4787" s="13" t="s">
        <v>8375</v>
      </c>
      <c r="F4787" s="13">
        <v>127</v>
      </c>
      <c r="G4787" s="13" t="s">
        <v>46</v>
      </c>
    </row>
    <row r="4788" spans="1:7">
      <c r="A4788" s="13" t="s">
        <v>6293</v>
      </c>
      <c r="B4788" s="13">
        <v>5</v>
      </c>
      <c r="E4788" s="13" t="s">
        <v>8376</v>
      </c>
      <c r="F4788" s="13">
        <v>128</v>
      </c>
      <c r="G4788" s="13" t="s">
        <v>46</v>
      </c>
    </row>
    <row r="4789" spans="1:7">
      <c r="A4789" s="13" t="s">
        <v>6294</v>
      </c>
      <c r="B4789" s="13">
        <v>5</v>
      </c>
      <c r="E4789" s="13" t="s">
        <v>8377</v>
      </c>
      <c r="F4789" s="13">
        <v>129</v>
      </c>
      <c r="G4789" s="13" t="s">
        <v>46</v>
      </c>
    </row>
    <row r="4790" spans="1:7">
      <c r="A4790" s="13" t="s">
        <v>6295</v>
      </c>
      <c r="B4790" s="13">
        <v>5</v>
      </c>
      <c r="E4790" s="13" t="s">
        <v>8378</v>
      </c>
      <c r="F4790" s="13">
        <v>130</v>
      </c>
      <c r="G4790" s="13" t="s">
        <v>46</v>
      </c>
    </row>
    <row r="4791" spans="1:7">
      <c r="A4791" s="13" t="s">
        <v>6296</v>
      </c>
      <c r="B4791" s="13">
        <v>5</v>
      </c>
      <c r="E4791" s="13" t="s">
        <v>8379</v>
      </c>
      <c r="F4791" s="13">
        <v>131</v>
      </c>
      <c r="G4791" s="13" t="s">
        <v>46</v>
      </c>
    </row>
    <row r="4792" spans="1:7">
      <c r="A4792" s="13" t="s">
        <v>6297</v>
      </c>
      <c r="B4792" s="13">
        <v>5</v>
      </c>
      <c r="E4792" s="13" t="s">
        <v>8380</v>
      </c>
      <c r="F4792" s="13">
        <v>132</v>
      </c>
      <c r="G4792" s="13" t="s">
        <v>46</v>
      </c>
    </row>
    <row r="4793" spans="1:7">
      <c r="A4793" s="13" t="s">
        <v>6298</v>
      </c>
      <c r="B4793" s="13">
        <v>5</v>
      </c>
      <c r="E4793" s="13" t="s">
        <v>8381</v>
      </c>
      <c r="F4793" s="13">
        <v>133</v>
      </c>
      <c r="G4793" s="13" t="s">
        <v>46</v>
      </c>
    </row>
    <row r="4794" spans="1:7">
      <c r="A4794" s="13" t="s">
        <v>7989</v>
      </c>
      <c r="B4794" s="13">
        <v>5</v>
      </c>
      <c r="E4794" s="13" t="s">
        <v>8382</v>
      </c>
      <c r="F4794" s="13">
        <v>134</v>
      </c>
      <c r="G4794" s="13" t="s">
        <v>46</v>
      </c>
    </row>
    <row r="4795" spans="1:7">
      <c r="A4795" s="13" t="s">
        <v>7374</v>
      </c>
      <c r="B4795" s="13">
        <v>5</v>
      </c>
      <c r="E4795" s="13" t="s">
        <v>8383</v>
      </c>
      <c r="F4795" s="13">
        <v>135</v>
      </c>
      <c r="G4795" s="271">
        <v>23</v>
      </c>
    </row>
    <row r="4796" spans="1:7">
      <c r="A4796" s="13" t="s">
        <v>6300</v>
      </c>
      <c r="B4796" s="13">
        <v>5</v>
      </c>
      <c r="E4796" s="13" t="s">
        <v>8384</v>
      </c>
      <c r="F4796" s="13">
        <v>136</v>
      </c>
      <c r="G4796" s="13" t="s">
        <v>46</v>
      </c>
    </row>
    <row r="4797" spans="1:7">
      <c r="A4797" s="13" t="s">
        <v>6301</v>
      </c>
      <c r="B4797" s="13">
        <v>5</v>
      </c>
      <c r="E4797" s="13" t="s">
        <v>8385</v>
      </c>
      <c r="F4797" s="13">
        <v>137</v>
      </c>
      <c r="G4797" s="13" t="s">
        <v>46</v>
      </c>
    </row>
    <row r="4798" spans="1:7">
      <c r="A4798" s="13" t="s">
        <v>6302</v>
      </c>
      <c r="B4798" s="13">
        <v>5</v>
      </c>
      <c r="E4798" s="13" t="s">
        <v>8386</v>
      </c>
      <c r="F4798" s="13">
        <v>138</v>
      </c>
      <c r="G4798" s="13" t="s">
        <v>46</v>
      </c>
    </row>
    <row r="4799" spans="1:7">
      <c r="A4799" s="13" t="s">
        <v>6303</v>
      </c>
      <c r="B4799" s="13">
        <v>5</v>
      </c>
      <c r="E4799" s="13" t="s">
        <v>8387</v>
      </c>
      <c r="F4799" s="13">
        <v>139</v>
      </c>
      <c r="G4799" s="13" t="s">
        <v>46</v>
      </c>
    </row>
    <row r="4800" spans="1:7">
      <c r="A4800" s="13" t="s">
        <v>7990</v>
      </c>
      <c r="B4800" s="13">
        <v>5</v>
      </c>
      <c r="E4800" s="13" t="s">
        <v>8388</v>
      </c>
      <c r="F4800" s="13">
        <v>140</v>
      </c>
      <c r="G4800" s="13" t="s">
        <v>46</v>
      </c>
    </row>
    <row r="4801" spans="1:7">
      <c r="A4801" s="13" t="s">
        <v>7375</v>
      </c>
      <c r="B4801" s="13">
        <v>5</v>
      </c>
      <c r="E4801" s="13" t="s">
        <v>8389</v>
      </c>
      <c r="F4801" s="13">
        <v>141</v>
      </c>
      <c r="G4801" s="271">
        <v>25</v>
      </c>
    </row>
    <row r="4802" spans="1:7">
      <c r="A4802" s="13" t="s">
        <v>6305</v>
      </c>
      <c r="B4802" s="13">
        <v>5</v>
      </c>
      <c r="E4802" s="13" t="s">
        <v>8390</v>
      </c>
      <c r="F4802" s="13">
        <v>142</v>
      </c>
      <c r="G4802" s="13" t="s">
        <v>46</v>
      </c>
    </row>
    <row r="4803" spans="1:7">
      <c r="A4803" s="13" t="s">
        <v>6306</v>
      </c>
      <c r="B4803" s="13">
        <v>5</v>
      </c>
      <c r="E4803" s="13" t="s">
        <v>8391</v>
      </c>
      <c r="F4803" s="13">
        <v>143</v>
      </c>
      <c r="G4803" s="13" t="s">
        <v>46</v>
      </c>
    </row>
    <row r="4804" spans="1:7">
      <c r="A4804" s="13" t="s">
        <v>6307</v>
      </c>
      <c r="B4804" s="13">
        <v>5</v>
      </c>
      <c r="E4804" s="13" t="s">
        <v>8392</v>
      </c>
      <c r="F4804" s="13">
        <v>144</v>
      </c>
      <c r="G4804" s="13" t="s">
        <v>46</v>
      </c>
    </row>
    <row r="4805" spans="1:7">
      <c r="A4805" s="13" t="s">
        <v>6308</v>
      </c>
      <c r="B4805" s="13">
        <v>5</v>
      </c>
      <c r="E4805" s="13" t="s">
        <v>8393</v>
      </c>
      <c r="F4805" s="13">
        <v>145</v>
      </c>
      <c r="G4805" s="13" t="s">
        <v>46</v>
      </c>
    </row>
    <row r="4806" spans="1:7">
      <c r="A4806" s="13" t="s">
        <v>6309</v>
      </c>
      <c r="B4806" s="13">
        <v>5</v>
      </c>
      <c r="E4806" s="13" t="s">
        <v>8394</v>
      </c>
      <c r="F4806" s="13">
        <v>146</v>
      </c>
      <c r="G4806" s="13" t="s">
        <v>46</v>
      </c>
    </row>
    <row r="4807" spans="1:7">
      <c r="A4807" s="13" t="s">
        <v>7991</v>
      </c>
      <c r="B4807" s="13">
        <v>5</v>
      </c>
      <c r="E4807" s="13" t="s">
        <v>8395</v>
      </c>
      <c r="F4807" s="13">
        <v>147</v>
      </c>
      <c r="G4807" s="13" t="s">
        <v>46</v>
      </c>
    </row>
    <row r="4808" spans="1:7">
      <c r="A4808" s="13" t="s">
        <v>7992</v>
      </c>
      <c r="B4808" s="13">
        <v>5</v>
      </c>
      <c r="E4808" s="13" t="s">
        <v>8396</v>
      </c>
      <c r="F4808" s="13">
        <v>148</v>
      </c>
      <c r="G4808" s="271">
        <v>31</v>
      </c>
    </row>
    <row r="4809" spans="1:7">
      <c r="A4809" s="13" t="s">
        <v>7377</v>
      </c>
      <c r="B4809" s="13">
        <v>5</v>
      </c>
      <c r="E4809" s="13" t="s">
        <v>8397</v>
      </c>
      <c r="F4809" s="13">
        <v>149</v>
      </c>
      <c r="G4809" s="271">
        <v>32</v>
      </c>
    </row>
    <row r="4810" spans="1:7">
      <c r="A4810" s="13" t="s">
        <v>7378</v>
      </c>
    </row>
    <row r="4811" spans="1:7">
      <c r="A4811" s="13" t="s">
        <v>6311</v>
      </c>
    </row>
    <row r="4812" spans="1:7">
      <c r="A4812" s="13" t="s">
        <v>6312</v>
      </c>
    </row>
    <row r="4813" spans="1:7">
      <c r="A4813" s="13" t="s">
        <v>6313</v>
      </c>
    </row>
    <row r="4814" spans="1:7">
      <c r="A4814" s="13" t="s">
        <v>6314</v>
      </c>
    </row>
    <row r="4815" spans="1:7">
      <c r="A4815" s="13" t="s">
        <v>6315</v>
      </c>
    </row>
    <row r="4816" spans="1:7" customFormat="1">
      <c r="A4816" s="13" t="s">
        <v>6316</v>
      </c>
    </row>
    <row r="4817" spans="1:1" customFormat="1">
      <c r="A4817" s="13" t="s">
        <v>6317</v>
      </c>
    </row>
    <row r="4818" spans="1:1" customFormat="1">
      <c r="A4818" s="13" t="s">
        <v>6318</v>
      </c>
    </row>
    <row r="4819" spans="1:1" customFormat="1">
      <c r="A4819" s="13" t="s">
        <v>6319</v>
      </c>
    </row>
    <row r="4820" spans="1:1" customFormat="1">
      <c r="A4820" s="13" t="s">
        <v>6320</v>
      </c>
    </row>
    <row r="4821" spans="1:1" customFormat="1">
      <c r="A4821" s="13" t="s">
        <v>6321</v>
      </c>
    </row>
    <row r="4822" spans="1:1" customFormat="1">
      <c r="A4822" s="13" t="s">
        <v>6322</v>
      </c>
    </row>
    <row r="4823" spans="1:1" customFormat="1">
      <c r="A4823" s="13" t="s">
        <v>6323</v>
      </c>
    </row>
    <row r="4824" spans="1:1" customFormat="1">
      <c r="A4824" s="13" t="s">
        <v>6324</v>
      </c>
    </row>
    <row r="4825" spans="1:1" customFormat="1">
      <c r="A4825" s="13" t="s">
        <v>6325</v>
      </c>
    </row>
    <row r="4826" spans="1:1" customFormat="1">
      <c r="A4826" s="13" t="s">
        <v>6326</v>
      </c>
    </row>
    <row r="4827" spans="1:1" customFormat="1">
      <c r="A4827" s="13" t="s">
        <v>6327</v>
      </c>
    </row>
    <row r="4828" spans="1:1" customFormat="1">
      <c r="A4828" s="13" t="s">
        <v>6328</v>
      </c>
    </row>
    <row r="4829" spans="1:1" customFormat="1">
      <c r="A4829" s="13" t="s">
        <v>6329</v>
      </c>
    </row>
    <row r="4830" spans="1:1" customFormat="1">
      <c r="A4830" s="13" t="s">
        <v>6330</v>
      </c>
    </row>
    <row r="4831" spans="1:1" customFormat="1">
      <c r="A4831" s="13" t="s">
        <v>6331</v>
      </c>
    </row>
    <row r="4832" spans="1:1" customFormat="1">
      <c r="A4832" s="13" t="s">
        <v>6332</v>
      </c>
    </row>
    <row r="4833" spans="1:1" customFormat="1">
      <c r="A4833" s="13" t="s">
        <v>6333</v>
      </c>
    </row>
    <row r="4834" spans="1:1" customFormat="1">
      <c r="A4834" s="13" t="s">
        <v>6334</v>
      </c>
    </row>
    <row r="4835" spans="1:1" customFormat="1">
      <c r="A4835" s="13" t="s">
        <v>6335</v>
      </c>
    </row>
    <row r="4836" spans="1:1" customFormat="1">
      <c r="A4836" s="13" t="s">
        <v>6336</v>
      </c>
    </row>
    <row r="4837" spans="1:1" customFormat="1">
      <c r="A4837" s="13" t="s">
        <v>6337</v>
      </c>
    </row>
    <row r="4838" spans="1:1" customFormat="1">
      <c r="A4838" s="13" t="s">
        <v>6338</v>
      </c>
    </row>
    <row r="4839" spans="1:1" customFormat="1">
      <c r="A4839" s="13" t="s">
        <v>6339</v>
      </c>
    </row>
    <row r="4840" spans="1:1" customFormat="1">
      <c r="A4840" s="13" t="s">
        <v>6340</v>
      </c>
    </row>
    <row r="4841" spans="1:1" customFormat="1">
      <c r="A4841" s="13" t="s">
        <v>6341</v>
      </c>
    </row>
    <row r="4842" spans="1:1" customFormat="1">
      <c r="A4842" s="13" t="s">
        <v>6342</v>
      </c>
    </row>
    <row r="4843" spans="1:1" customFormat="1">
      <c r="A4843" s="13" t="s">
        <v>6343</v>
      </c>
    </row>
    <row r="4844" spans="1:1" customFormat="1">
      <c r="A4844" s="13" t="s">
        <v>6344</v>
      </c>
    </row>
    <row r="4845" spans="1:1" customFormat="1">
      <c r="A4845" s="13" t="s">
        <v>6345</v>
      </c>
    </row>
    <row r="4846" spans="1:1" customFormat="1">
      <c r="A4846" s="13" t="s">
        <v>6346</v>
      </c>
    </row>
    <row r="4847" spans="1:1" customFormat="1">
      <c r="A4847" s="13" t="s">
        <v>6347</v>
      </c>
    </row>
    <row r="4848" spans="1:1" customFormat="1">
      <c r="A4848" s="13" t="s">
        <v>6348</v>
      </c>
    </row>
    <row r="4849" spans="1:1" customFormat="1">
      <c r="A4849" s="13" t="s">
        <v>6349</v>
      </c>
    </row>
    <row r="4850" spans="1:1" customFormat="1">
      <c r="A4850" s="13" t="s">
        <v>6350</v>
      </c>
    </row>
    <row r="4851" spans="1:1" customFormat="1">
      <c r="A4851" s="13"/>
    </row>
    <row r="4852" spans="1:1" customFormat="1">
      <c r="A4852" s="13" t="s">
        <v>6351</v>
      </c>
    </row>
    <row r="4853" spans="1:1" customFormat="1">
      <c r="A4853" s="13" t="s">
        <v>6352</v>
      </c>
    </row>
    <row r="4854" spans="1:1" customFormat="1">
      <c r="A4854" s="13" t="s">
        <v>6353</v>
      </c>
    </row>
    <row r="4855" spans="1:1" customFormat="1">
      <c r="A4855" s="13" t="s">
        <v>6354</v>
      </c>
    </row>
    <row r="4856" spans="1:1" customFormat="1">
      <c r="A4856" s="13" t="s">
        <v>6355</v>
      </c>
    </row>
    <row r="4857" spans="1:1" customFormat="1">
      <c r="A4857" s="13" t="s">
        <v>6356</v>
      </c>
    </row>
    <row r="4858" spans="1:1" customFormat="1">
      <c r="A4858" s="13" t="s">
        <v>6357</v>
      </c>
    </row>
    <row r="4859" spans="1:1" customFormat="1">
      <c r="A4859" s="13" t="s">
        <v>6358</v>
      </c>
    </row>
    <row r="4860" spans="1:1" customFormat="1">
      <c r="A4860" s="13" t="s">
        <v>6359</v>
      </c>
    </row>
    <row r="4861" spans="1:1" customFormat="1">
      <c r="A4861" s="13" t="s">
        <v>6360</v>
      </c>
    </row>
    <row r="4862" spans="1:1" customFormat="1">
      <c r="A4862" s="13" t="s">
        <v>6361</v>
      </c>
    </row>
    <row r="4863" spans="1:1" customFormat="1">
      <c r="A4863" s="13" t="s">
        <v>6362</v>
      </c>
    </row>
    <row r="4864" spans="1:1" customFormat="1">
      <c r="A4864" s="13" t="s">
        <v>6363</v>
      </c>
    </row>
    <row r="4865" spans="1:1" customFormat="1">
      <c r="A4865" s="13" t="s">
        <v>6364</v>
      </c>
    </row>
    <row r="4866" spans="1:1" customFormat="1">
      <c r="A4866" s="13" t="s">
        <v>6365</v>
      </c>
    </row>
    <row r="4867" spans="1:1" customFormat="1">
      <c r="A4867" s="13" t="s">
        <v>6366</v>
      </c>
    </row>
    <row r="4868" spans="1:1" customFormat="1">
      <c r="A4868" s="13" t="s">
        <v>6367</v>
      </c>
    </row>
    <row r="4869" spans="1:1" customFormat="1">
      <c r="A4869" s="13" t="s">
        <v>6368</v>
      </c>
    </row>
    <row r="4870" spans="1:1" customFormat="1">
      <c r="A4870" s="13" t="s">
        <v>6369</v>
      </c>
    </row>
    <row r="4871" spans="1:1" customFormat="1">
      <c r="A4871" s="13" t="s">
        <v>6370</v>
      </c>
    </row>
    <row r="4872" spans="1:1" customFormat="1">
      <c r="A4872" s="13" t="s">
        <v>6371</v>
      </c>
    </row>
    <row r="4873" spans="1:1" customFormat="1">
      <c r="A4873" s="13" t="s">
        <v>6372</v>
      </c>
    </row>
    <row r="4874" spans="1:1" customFormat="1">
      <c r="A4874" s="13" t="s">
        <v>6373</v>
      </c>
    </row>
    <row r="4875" spans="1:1" customFormat="1">
      <c r="A4875" s="13" t="s">
        <v>6374</v>
      </c>
    </row>
    <row r="4876" spans="1:1" customFormat="1">
      <c r="A4876" s="13" t="s">
        <v>6375</v>
      </c>
    </row>
    <row r="4877" spans="1:1" customFormat="1">
      <c r="A4877" s="13" t="s">
        <v>6376</v>
      </c>
    </row>
    <row r="4878" spans="1:1" customFormat="1">
      <c r="A4878" s="13" t="s">
        <v>6377</v>
      </c>
    </row>
    <row r="4879" spans="1:1" customFormat="1">
      <c r="A4879" s="13" t="s">
        <v>6378</v>
      </c>
    </row>
    <row r="4880" spans="1:1" customFormat="1">
      <c r="A4880" s="13" t="s">
        <v>6379</v>
      </c>
    </row>
    <row r="4881" spans="1:1" customFormat="1">
      <c r="A4881" s="13" t="s">
        <v>6380</v>
      </c>
    </row>
    <row r="4882" spans="1:1" customFormat="1">
      <c r="A4882" s="13" t="s">
        <v>6381</v>
      </c>
    </row>
    <row r="4883" spans="1:1" customFormat="1">
      <c r="A4883" s="13" t="s">
        <v>6382</v>
      </c>
    </row>
    <row r="4884" spans="1:1" customFormat="1">
      <c r="A4884" s="13" t="s">
        <v>6383</v>
      </c>
    </row>
    <row r="4885" spans="1:1" customFormat="1">
      <c r="A4885" s="13" t="s">
        <v>6384</v>
      </c>
    </row>
    <row r="4886" spans="1:1" customFormat="1">
      <c r="A4886" s="13" t="s">
        <v>6385</v>
      </c>
    </row>
    <row r="4887" spans="1:1" customFormat="1">
      <c r="A4887" s="13" t="s">
        <v>6386</v>
      </c>
    </row>
    <row r="4888" spans="1:1" customFormat="1">
      <c r="A4888" s="13" t="s">
        <v>6387</v>
      </c>
    </row>
    <row r="4889" spans="1:1" customFormat="1">
      <c r="A4889" s="13" t="s">
        <v>6388</v>
      </c>
    </row>
    <row r="4890" spans="1:1" customFormat="1">
      <c r="A4890" s="13" t="s">
        <v>6389</v>
      </c>
    </row>
    <row r="4891" spans="1:1" customFormat="1">
      <c r="A4891" s="13" t="s">
        <v>6390</v>
      </c>
    </row>
    <row r="4892" spans="1:1" customFormat="1">
      <c r="A4892" s="13" t="s">
        <v>6391</v>
      </c>
    </row>
    <row r="4893" spans="1:1" customFormat="1">
      <c r="A4893" s="13" t="s">
        <v>6392</v>
      </c>
    </row>
    <row r="4894" spans="1:1" customFormat="1">
      <c r="A4894" s="13" t="s">
        <v>6393</v>
      </c>
    </row>
    <row r="4895" spans="1:1" customFormat="1">
      <c r="A4895" s="13" t="s">
        <v>6394</v>
      </c>
    </row>
    <row r="4896" spans="1:1" customFormat="1">
      <c r="A4896" s="13" t="s">
        <v>6395</v>
      </c>
    </row>
    <row r="4897" spans="1:1" customFormat="1">
      <c r="A4897" s="13" t="s">
        <v>6396</v>
      </c>
    </row>
    <row r="4898" spans="1:1" customFormat="1">
      <c r="A4898" s="13" t="s">
        <v>6397</v>
      </c>
    </row>
    <row r="4899" spans="1:1" customFormat="1">
      <c r="A4899" s="13" t="s">
        <v>6398</v>
      </c>
    </row>
    <row r="4900" spans="1:1" customFormat="1">
      <c r="A4900" s="13" t="s">
        <v>6399</v>
      </c>
    </row>
    <row r="4901" spans="1:1" customFormat="1">
      <c r="A4901" s="13" t="s">
        <v>6400</v>
      </c>
    </row>
    <row r="4902" spans="1:1" customFormat="1">
      <c r="A4902" s="13" t="s">
        <v>6401</v>
      </c>
    </row>
    <row r="4903" spans="1:1" customFormat="1">
      <c r="A4903" s="13" t="s">
        <v>6402</v>
      </c>
    </row>
    <row r="4904" spans="1:1" customFormat="1">
      <c r="A4904" s="13" t="s">
        <v>6403</v>
      </c>
    </row>
    <row r="4905" spans="1:1" customFormat="1">
      <c r="A4905" s="13" t="s">
        <v>6404</v>
      </c>
    </row>
    <row r="4906" spans="1:1" customFormat="1">
      <c r="A4906" s="13" t="s">
        <v>6405</v>
      </c>
    </row>
    <row r="4907" spans="1:1" customFormat="1">
      <c r="A4907" s="13" t="s">
        <v>6406</v>
      </c>
    </row>
    <row r="4908" spans="1:1" customFormat="1">
      <c r="A4908" s="13" t="s">
        <v>6407</v>
      </c>
    </row>
    <row r="4909" spans="1:1" customFormat="1">
      <c r="A4909" s="13" t="s">
        <v>6408</v>
      </c>
    </row>
    <row r="4910" spans="1:1" customFormat="1">
      <c r="A4910" s="13" t="s">
        <v>6409</v>
      </c>
    </row>
    <row r="4911" spans="1:1" customFormat="1">
      <c r="A4911" s="13" t="s">
        <v>6410</v>
      </c>
    </row>
    <row r="4912" spans="1:1" customFormat="1">
      <c r="A4912" s="13" t="s">
        <v>6411</v>
      </c>
    </row>
    <row r="4913" spans="1:1" customFormat="1">
      <c r="A4913" s="13" t="s">
        <v>6412</v>
      </c>
    </row>
    <row r="4914" spans="1:1" customFormat="1">
      <c r="A4914" s="13" t="s">
        <v>6413</v>
      </c>
    </row>
    <row r="4915" spans="1:1" customFormat="1">
      <c r="A4915" s="13" t="s">
        <v>6414</v>
      </c>
    </row>
    <row r="4916" spans="1:1" customFormat="1">
      <c r="A4916" s="13" t="s">
        <v>6415</v>
      </c>
    </row>
    <row r="4917" spans="1:1" customFormat="1">
      <c r="A4917" s="13" t="s">
        <v>6416</v>
      </c>
    </row>
    <row r="4918" spans="1:1" customFormat="1">
      <c r="A4918" s="13" t="s">
        <v>6417</v>
      </c>
    </row>
    <row r="4919" spans="1:1" customFormat="1">
      <c r="A4919" s="13" t="s">
        <v>6418</v>
      </c>
    </row>
    <row r="4920" spans="1:1" customFormat="1">
      <c r="A4920" s="13" t="s">
        <v>6419</v>
      </c>
    </row>
    <row r="4921" spans="1:1" customFormat="1">
      <c r="A4921" s="13" t="s">
        <v>6420</v>
      </c>
    </row>
    <row r="4922" spans="1:1" customFormat="1">
      <c r="A4922" s="13" t="s">
        <v>6421</v>
      </c>
    </row>
    <row r="4923" spans="1:1" customFormat="1">
      <c r="A4923" s="13" t="s">
        <v>6422</v>
      </c>
    </row>
    <row r="4924" spans="1:1" customFormat="1">
      <c r="A4924" s="13" t="s">
        <v>6423</v>
      </c>
    </row>
    <row r="4925" spans="1:1" customFormat="1">
      <c r="A4925" s="13" t="s">
        <v>6424</v>
      </c>
    </row>
    <row r="4926" spans="1:1" customFormat="1">
      <c r="A4926" s="13" t="s">
        <v>6425</v>
      </c>
    </row>
    <row r="4927" spans="1:1" customFormat="1">
      <c r="A4927" s="13" t="s">
        <v>6426</v>
      </c>
    </row>
    <row r="4928" spans="1:1" customFormat="1">
      <c r="A4928" s="13" t="s">
        <v>6427</v>
      </c>
    </row>
    <row r="4929" spans="1:1" customFormat="1">
      <c r="A4929" s="13" t="s">
        <v>6428</v>
      </c>
    </row>
    <row r="4930" spans="1:1" customFormat="1">
      <c r="A4930" s="13" t="s">
        <v>6429</v>
      </c>
    </row>
    <row r="4931" spans="1:1" customFormat="1">
      <c r="A4931" s="13" t="s">
        <v>6430</v>
      </c>
    </row>
    <row r="4932" spans="1:1" customFormat="1">
      <c r="A4932" s="13" t="s">
        <v>6431</v>
      </c>
    </row>
    <row r="4933" spans="1:1" customFormat="1">
      <c r="A4933" s="13" t="s">
        <v>6432</v>
      </c>
    </row>
    <row r="4934" spans="1:1" customFormat="1">
      <c r="A4934" s="13" t="s">
        <v>6433</v>
      </c>
    </row>
    <row r="4935" spans="1:1" customFormat="1">
      <c r="A4935" s="13" t="s">
        <v>6434</v>
      </c>
    </row>
    <row r="4936" spans="1:1" customFormat="1">
      <c r="A4936" s="13" t="s">
        <v>6435</v>
      </c>
    </row>
    <row r="4937" spans="1:1" customFormat="1">
      <c r="A4937" s="13" t="s">
        <v>6436</v>
      </c>
    </row>
    <row r="4938" spans="1:1" customFormat="1">
      <c r="A4938" s="13" t="s">
        <v>6437</v>
      </c>
    </row>
    <row r="4939" spans="1:1" customFormat="1">
      <c r="A4939" s="13" t="s">
        <v>6438</v>
      </c>
    </row>
    <row r="4940" spans="1:1" customFormat="1">
      <c r="A4940" s="13" t="s">
        <v>6439</v>
      </c>
    </row>
    <row r="4941" spans="1:1" customFormat="1">
      <c r="A4941" s="13" t="s">
        <v>6440</v>
      </c>
    </row>
    <row r="4942" spans="1:1" customFormat="1">
      <c r="A4942" s="13" t="s">
        <v>6441</v>
      </c>
    </row>
    <row r="4943" spans="1:1" customFormat="1">
      <c r="A4943" s="13" t="s">
        <v>6442</v>
      </c>
    </row>
    <row r="4944" spans="1:1" customFormat="1">
      <c r="A4944" s="13" t="s">
        <v>6443</v>
      </c>
    </row>
    <row r="4945" spans="1:1" customFormat="1">
      <c r="A4945" s="13" t="s">
        <v>6444</v>
      </c>
    </row>
    <row r="4946" spans="1:1" customFormat="1">
      <c r="A4946" s="13" t="s">
        <v>6445</v>
      </c>
    </row>
    <row r="4947" spans="1:1" customFormat="1">
      <c r="A4947" s="13" t="s">
        <v>6446</v>
      </c>
    </row>
    <row r="4948" spans="1:1" customFormat="1">
      <c r="A4948" s="13" t="s">
        <v>6447</v>
      </c>
    </row>
    <row r="4949" spans="1:1" customFormat="1">
      <c r="A4949" s="13" t="s">
        <v>6448</v>
      </c>
    </row>
    <row r="4950" spans="1:1" customFormat="1">
      <c r="A4950" s="13" t="s">
        <v>6449</v>
      </c>
    </row>
    <row r="4951" spans="1:1" customFormat="1">
      <c r="A4951" s="13" t="s">
        <v>6450</v>
      </c>
    </row>
    <row r="4952" spans="1:1" customFormat="1">
      <c r="A4952" s="13" t="s">
        <v>6451</v>
      </c>
    </row>
    <row r="4953" spans="1:1" customFormat="1">
      <c r="A4953" s="13" t="s">
        <v>6452</v>
      </c>
    </row>
    <row r="4954" spans="1:1" customFormat="1">
      <c r="A4954" s="13" t="s">
        <v>6453</v>
      </c>
    </row>
    <row r="4955" spans="1:1" customFormat="1">
      <c r="A4955" s="13" t="s">
        <v>6454</v>
      </c>
    </row>
    <row r="4956" spans="1:1" customFormat="1">
      <c r="A4956" s="13" t="s">
        <v>6455</v>
      </c>
    </row>
    <row r="4957" spans="1:1" customFormat="1">
      <c r="A4957" s="13" t="s">
        <v>6456</v>
      </c>
    </row>
    <row r="4958" spans="1:1" customFormat="1">
      <c r="A4958" s="13" t="s">
        <v>6457</v>
      </c>
    </row>
    <row r="4959" spans="1:1" customFormat="1">
      <c r="A4959" s="13" t="s">
        <v>6458</v>
      </c>
    </row>
    <row r="4960" spans="1:1" customFormat="1">
      <c r="A4960" s="13" t="s">
        <v>6459</v>
      </c>
    </row>
    <row r="4961" spans="1:1" customFormat="1">
      <c r="A4961" s="13" t="s">
        <v>6460</v>
      </c>
    </row>
    <row r="4962" spans="1:1" customFormat="1">
      <c r="A4962" s="13" t="s">
        <v>6461</v>
      </c>
    </row>
    <row r="4963" spans="1:1" customFormat="1">
      <c r="A4963" s="13" t="s">
        <v>6462</v>
      </c>
    </row>
    <row r="4964" spans="1:1" customFormat="1">
      <c r="A4964" s="13" t="s">
        <v>6463</v>
      </c>
    </row>
    <row r="4965" spans="1:1" customFormat="1">
      <c r="A4965" s="13" t="s">
        <v>6464</v>
      </c>
    </row>
    <row r="4966" spans="1:1" customFormat="1">
      <c r="A4966" s="13" t="s">
        <v>6465</v>
      </c>
    </row>
    <row r="4967" spans="1:1" customFormat="1">
      <c r="A4967" s="13" t="s">
        <v>6466</v>
      </c>
    </row>
    <row r="4968" spans="1:1" customFormat="1">
      <c r="A4968" s="13" t="s">
        <v>6467</v>
      </c>
    </row>
    <row r="4969" spans="1:1" customFormat="1">
      <c r="A4969" s="13" t="s">
        <v>6468</v>
      </c>
    </row>
    <row r="4970" spans="1:1" customFormat="1">
      <c r="A4970" s="13" t="s">
        <v>6469</v>
      </c>
    </row>
    <row r="4971" spans="1:1" customFormat="1">
      <c r="A4971" s="13" t="s">
        <v>6470</v>
      </c>
    </row>
    <row r="4972" spans="1:1" customFormat="1">
      <c r="A4972" s="13" t="s">
        <v>6471</v>
      </c>
    </row>
    <row r="4973" spans="1:1" customFormat="1">
      <c r="A4973" s="13" t="s">
        <v>6472</v>
      </c>
    </row>
    <row r="4974" spans="1:1" customFormat="1">
      <c r="A4974" s="13" t="s">
        <v>6473</v>
      </c>
    </row>
    <row r="4975" spans="1:1" customFormat="1">
      <c r="A4975" s="13" t="s">
        <v>6474</v>
      </c>
    </row>
    <row r="4976" spans="1:1" customFormat="1">
      <c r="A4976" s="13" t="s">
        <v>6475</v>
      </c>
    </row>
    <row r="4977" spans="1:1" customFormat="1">
      <c r="A4977" s="13" t="s">
        <v>6476</v>
      </c>
    </row>
    <row r="4978" spans="1:1" customFormat="1">
      <c r="A4978" s="13" t="s">
        <v>6477</v>
      </c>
    </row>
    <row r="4979" spans="1:1" customFormat="1">
      <c r="A4979" s="13" t="s">
        <v>6478</v>
      </c>
    </row>
    <row r="4980" spans="1:1" customFormat="1">
      <c r="A4980" s="13" t="s">
        <v>6479</v>
      </c>
    </row>
    <row r="4981" spans="1:1" customFormat="1">
      <c r="A4981" s="13" t="s">
        <v>6480</v>
      </c>
    </row>
    <row r="4982" spans="1:1" customFormat="1">
      <c r="A4982" s="13" t="s">
        <v>6481</v>
      </c>
    </row>
    <row r="4983" spans="1:1" customFormat="1">
      <c r="A4983" s="13" t="s">
        <v>6482</v>
      </c>
    </row>
    <row r="4984" spans="1:1" customFormat="1">
      <c r="A4984" s="13" t="s">
        <v>6483</v>
      </c>
    </row>
    <row r="4985" spans="1:1" customFormat="1">
      <c r="A4985" s="13" t="s">
        <v>6484</v>
      </c>
    </row>
    <row r="4986" spans="1:1" customFormat="1">
      <c r="A4986" s="13" t="s">
        <v>6485</v>
      </c>
    </row>
    <row r="4987" spans="1:1" customFormat="1">
      <c r="A4987" s="13" t="s">
        <v>6486</v>
      </c>
    </row>
    <row r="4988" spans="1:1" customFormat="1">
      <c r="A4988" s="13" t="s">
        <v>6487</v>
      </c>
    </row>
    <row r="4989" spans="1:1" customFormat="1">
      <c r="A4989" s="13" t="s">
        <v>6488</v>
      </c>
    </row>
    <row r="4990" spans="1:1" customFormat="1">
      <c r="A4990" s="13" t="s">
        <v>6489</v>
      </c>
    </row>
    <row r="4991" spans="1:1" customFormat="1">
      <c r="A4991" s="13" t="s">
        <v>6490</v>
      </c>
    </row>
    <row r="4992" spans="1:1" customFormat="1">
      <c r="A4992" s="13" t="s">
        <v>6491</v>
      </c>
    </row>
    <row r="4993" spans="1:1" customFormat="1">
      <c r="A4993" s="13" t="s">
        <v>6492</v>
      </c>
    </row>
    <row r="4994" spans="1:1" customFormat="1">
      <c r="A4994" s="13" t="s">
        <v>6493</v>
      </c>
    </row>
    <row r="4995" spans="1:1" customFormat="1">
      <c r="A4995" s="13" t="s">
        <v>6494</v>
      </c>
    </row>
    <row r="4996" spans="1:1" customFormat="1">
      <c r="A4996" s="13" t="s">
        <v>6495</v>
      </c>
    </row>
    <row r="4997" spans="1:1" customFormat="1">
      <c r="A4997" s="13" t="s">
        <v>6496</v>
      </c>
    </row>
    <row r="4998" spans="1:1" customFormat="1">
      <c r="A4998" s="13" t="s">
        <v>6497</v>
      </c>
    </row>
    <row r="4999" spans="1:1" customFormat="1">
      <c r="A4999" s="13" t="s">
        <v>6498</v>
      </c>
    </row>
    <row r="5000" spans="1:1" customFormat="1">
      <c r="A5000" s="13" t="s">
        <v>6499</v>
      </c>
    </row>
    <row r="5001" spans="1:1" customFormat="1">
      <c r="A5001" s="13" t="s">
        <v>6500</v>
      </c>
    </row>
    <row r="5002" spans="1:1" customFormat="1">
      <c r="A5002" s="13" t="s">
        <v>6501</v>
      </c>
    </row>
    <row r="5003" spans="1:1" customFormat="1">
      <c r="A5003" s="13" t="s">
        <v>6502</v>
      </c>
    </row>
    <row r="5004" spans="1:1" customFormat="1">
      <c r="A5004" s="13" t="s">
        <v>6503</v>
      </c>
    </row>
    <row r="5005" spans="1:1" customFormat="1">
      <c r="A5005" s="13" t="s">
        <v>6504</v>
      </c>
    </row>
    <row r="5006" spans="1:1" customFormat="1">
      <c r="A5006" s="13" t="s">
        <v>6505</v>
      </c>
    </row>
    <row r="5007" spans="1:1" customFormat="1">
      <c r="A5007" s="13" t="s">
        <v>6506</v>
      </c>
    </row>
    <row r="5008" spans="1:1" customFormat="1">
      <c r="A5008" s="13" t="s">
        <v>6507</v>
      </c>
    </row>
    <row r="5009" spans="1:1" customFormat="1">
      <c r="A5009" s="13" t="s">
        <v>6508</v>
      </c>
    </row>
    <row r="5010" spans="1:1" customFormat="1">
      <c r="A5010" s="13" t="s">
        <v>6509</v>
      </c>
    </row>
    <row r="5011" spans="1:1" customFormat="1">
      <c r="A5011" s="13" t="s">
        <v>6510</v>
      </c>
    </row>
    <row r="5012" spans="1:1" customFormat="1">
      <c r="A5012" s="13" t="s">
        <v>6511</v>
      </c>
    </row>
    <row r="5013" spans="1:1" customFormat="1">
      <c r="A5013" s="13" t="s">
        <v>6512</v>
      </c>
    </row>
    <row r="5014" spans="1:1" customFormat="1">
      <c r="A5014" s="13" t="s">
        <v>6513</v>
      </c>
    </row>
    <row r="5015" spans="1:1" customFormat="1">
      <c r="A5015" s="13" t="s">
        <v>6514</v>
      </c>
    </row>
    <row r="5016" spans="1:1" customFormat="1">
      <c r="A5016" s="13" t="s">
        <v>6515</v>
      </c>
    </row>
    <row r="5017" spans="1:1" customFormat="1">
      <c r="A5017" s="13" t="s">
        <v>6516</v>
      </c>
    </row>
    <row r="5018" spans="1:1" customFormat="1">
      <c r="A5018" s="13" t="s">
        <v>6517</v>
      </c>
    </row>
    <row r="5019" spans="1:1" customFormat="1">
      <c r="A5019" s="13" t="s">
        <v>6518</v>
      </c>
    </row>
    <row r="5020" spans="1:1" customFormat="1">
      <c r="A5020" s="13" t="s">
        <v>6519</v>
      </c>
    </row>
    <row r="5021" spans="1:1" customFormat="1">
      <c r="A5021" s="13" t="s">
        <v>6520</v>
      </c>
    </row>
    <row r="5022" spans="1:1" customFormat="1">
      <c r="A5022" s="13" t="s">
        <v>6521</v>
      </c>
    </row>
    <row r="5023" spans="1:1" customFormat="1">
      <c r="A5023" s="13" t="s">
        <v>6522</v>
      </c>
    </row>
    <row r="5024" spans="1:1" customFormat="1">
      <c r="A5024" s="13" t="s">
        <v>6523</v>
      </c>
    </row>
    <row r="5025" spans="1:1" customFormat="1">
      <c r="A5025" s="13" t="s">
        <v>6524</v>
      </c>
    </row>
    <row r="5026" spans="1:1" customFormat="1">
      <c r="A5026" s="13" t="s">
        <v>6525</v>
      </c>
    </row>
    <row r="5027" spans="1:1" customFormat="1">
      <c r="A5027" s="13" t="s">
        <v>6526</v>
      </c>
    </row>
    <row r="5028" spans="1:1" customFormat="1">
      <c r="A5028" s="13" t="s">
        <v>6527</v>
      </c>
    </row>
    <row r="5029" spans="1:1" customFormat="1">
      <c r="A5029" s="13" t="s">
        <v>6528</v>
      </c>
    </row>
    <row r="5030" spans="1:1" customFormat="1">
      <c r="A5030" s="13" t="s">
        <v>6529</v>
      </c>
    </row>
    <row r="5031" spans="1:1" customFormat="1">
      <c r="A5031" s="13" t="s">
        <v>6530</v>
      </c>
    </row>
    <row r="5032" spans="1:1" customFormat="1">
      <c r="A5032" s="13" t="s">
        <v>6531</v>
      </c>
    </row>
    <row r="5033" spans="1:1" customFormat="1">
      <c r="A5033" s="13" t="s">
        <v>6532</v>
      </c>
    </row>
    <row r="5034" spans="1:1" customFormat="1">
      <c r="A5034" s="13" t="s">
        <v>6533</v>
      </c>
    </row>
    <row r="5035" spans="1:1" customFormat="1">
      <c r="A5035" s="13" t="s">
        <v>6534</v>
      </c>
    </row>
    <row r="5036" spans="1:1" customFormat="1">
      <c r="A5036" s="13" t="s">
        <v>6535</v>
      </c>
    </row>
    <row r="5037" spans="1:1" customFormat="1">
      <c r="A5037" s="13" t="s">
        <v>6536</v>
      </c>
    </row>
    <row r="5038" spans="1:1" customFormat="1">
      <c r="A5038" s="13" t="s">
        <v>6537</v>
      </c>
    </row>
    <row r="5039" spans="1:1" customFormat="1">
      <c r="A5039" s="13" t="s">
        <v>6538</v>
      </c>
    </row>
    <row r="5040" spans="1:1" customFormat="1">
      <c r="A5040" s="13" t="s">
        <v>6539</v>
      </c>
    </row>
    <row r="5041" spans="1:7" customFormat="1">
      <c r="A5041" s="13" t="s">
        <v>6540</v>
      </c>
    </row>
    <row r="5042" spans="1:7" customFormat="1">
      <c r="A5042" s="13" t="s">
        <v>6541</v>
      </c>
    </row>
    <row r="5043" spans="1:7" customFormat="1">
      <c r="A5043" s="13" t="s">
        <v>6542</v>
      </c>
    </row>
    <row r="5044" spans="1:7" customFormat="1">
      <c r="A5044" s="13" t="s">
        <v>6543</v>
      </c>
    </row>
    <row r="5045" spans="1:7" customFormat="1">
      <c r="A5045" s="13"/>
    </row>
    <row r="5046" spans="1:7" customFormat="1">
      <c r="A5046" s="13" t="s">
        <v>6544</v>
      </c>
    </row>
    <row r="5047" spans="1:7" customFormat="1">
      <c r="A5047" s="13" t="s">
        <v>6545</v>
      </c>
      <c r="E5047" s="13"/>
      <c r="F5047" s="13"/>
      <c r="G5047" s="13"/>
    </row>
    <row r="5048" spans="1:7" customFormat="1">
      <c r="A5048" s="13" t="s">
        <v>6546</v>
      </c>
      <c r="E5048" s="13"/>
    </row>
    <row r="5049" spans="1:7" customFormat="1">
      <c r="A5049" s="13" t="s">
        <v>6547</v>
      </c>
      <c r="E5049" s="13"/>
    </row>
    <row r="5050" spans="1:7" customFormat="1">
      <c r="A5050" s="13" t="s">
        <v>6548</v>
      </c>
      <c r="E5050" s="13"/>
    </row>
    <row r="5051" spans="1:7">
      <c r="A5051" s="13" t="s">
        <v>6549</v>
      </c>
      <c r="B5051" s="13">
        <v>7</v>
      </c>
      <c r="E5051" s="13" t="s">
        <v>8398</v>
      </c>
      <c r="F5051" s="13">
        <v>4</v>
      </c>
      <c r="G5051" s="13" t="s">
        <v>46</v>
      </c>
    </row>
    <row r="5052" spans="1:7">
      <c r="A5052" s="13" t="s">
        <v>6550</v>
      </c>
      <c r="B5052" s="13">
        <v>7</v>
      </c>
      <c r="E5052" s="13" t="s">
        <v>8399</v>
      </c>
      <c r="F5052" s="13">
        <v>5</v>
      </c>
      <c r="G5052" s="13" t="s">
        <v>46</v>
      </c>
    </row>
    <row r="5053" spans="1:7">
      <c r="A5053" s="13" t="s">
        <v>6551</v>
      </c>
      <c r="B5053" s="13">
        <v>7</v>
      </c>
      <c r="E5053" s="13" t="s">
        <v>8400</v>
      </c>
      <c r="F5053" s="13">
        <v>6</v>
      </c>
      <c r="G5053" s="13" t="s">
        <v>46</v>
      </c>
    </row>
    <row r="5054" spans="1:7">
      <c r="A5054" s="13" t="s">
        <v>6552</v>
      </c>
      <c r="B5054" s="13">
        <v>7</v>
      </c>
      <c r="E5054" s="13" t="s">
        <v>8401</v>
      </c>
      <c r="F5054" s="13">
        <v>7</v>
      </c>
      <c r="G5054" s="13" t="s">
        <v>46</v>
      </c>
    </row>
    <row r="5055" spans="1:7">
      <c r="A5055" s="13" t="s">
        <v>6553</v>
      </c>
      <c r="B5055" s="13">
        <v>7</v>
      </c>
      <c r="E5055" s="13" t="s">
        <v>8402</v>
      </c>
      <c r="F5055" s="13">
        <v>8</v>
      </c>
      <c r="G5055" s="13" t="s">
        <v>46</v>
      </c>
    </row>
    <row r="5056" spans="1:7">
      <c r="A5056" s="13" t="s">
        <v>6554</v>
      </c>
      <c r="B5056" s="13">
        <v>7</v>
      </c>
      <c r="E5056" s="13" t="s">
        <v>8403</v>
      </c>
      <c r="F5056" s="13">
        <v>9</v>
      </c>
      <c r="G5056" s="13" t="s">
        <v>46</v>
      </c>
    </row>
    <row r="5057" spans="1:7">
      <c r="A5057" s="13" t="s">
        <v>6555</v>
      </c>
      <c r="B5057" s="13">
        <v>7</v>
      </c>
      <c r="E5057" s="13" t="s">
        <v>8404</v>
      </c>
      <c r="F5057" s="13">
        <v>10</v>
      </c>
      <c r="G5057" s="13" t="s">
        <v>46</v>
      </c>
    </row>
    <row r="5058" spans="1:7">
      <c r="A5058" s="13" t="s">
        <v>6556</v>
      </c>
      <c r="B5058" s="13">
        <v>7</v>
      </c>
      <c r="E5058" s="13" t="s">
        <v>8405</v>
      </c>
      <c r="F5058" s="13">
        <v>11</v>
      </c>
      <c r="G5058" s="13" t="s">
        <v>46</v>
      </c>
    </row>
    <row r="5059" spans="1:7">
      <c r="A5059" s="13" t="s">
        <v>6557</v>
      </c>
      <c r="B5059" s="13">
        <v>7</v>
      </c>
      <c r="E5059" s="13" t="s">
        <v>8406</v>
      </c>
      <c r="F5059" s="13">
        <v>12</v>
      </c>
      <c r="G5059" s="13" t="s">
        <v>46</v>
      </c>
    </row>
    <row r="5060" spans="1:7">
      <c r="A5060" s="13" t="s">
        <v>6558</v>
      </c>
      <c r="B5060" s="13">
        <v>7</v>
      </c>
      <c r="E5060" s="13" t="s">
        <v>8407</v>
      </c>
      <c r="F5060" s="13">
        <v>13</v>
      </c>
      <c r="G5060" s="13" t="s">
        <v>46</v>
      </c>
    </row>
    <row r="5061" spans="1:7">
      <c r="A5061" s="13" t="s">
        <v>6559</v>
      </c>
      <c r="B5061" s="13">
        <v>7</v>
      </c>
      <c r="E5061" s="13" t="s">
        <v>8408</v>
      </c>
      <c r="F5061" s="13">
        <v>14</v>
      </c>
      <c r="G5061" s="13" t="s">
        <v>46</v>
      </c>
    </row>
    <row r="5062" spans="1:7">
      <c r="A5062" s="13" t="s">
        <v>6560</v>
      </c>
      <c r="B5062" s="13">
        <v>7</v>
      </c>
      <c r="E5062" s="13" t="s">
        <v>8409</v>
      </c>
      <c r="F5062" s="13">
        <v>15</v>
      </c>
      <c r="G5062" s="13" t="s">
        <v>46</v>
      </c>
    </row>
    <row r="5063" spans="1:7">
      <c r="A5063" s="13" t="s">
        <v>6561</v>
      </c>
      <c r="B5063" s="13">
        <v>7</v>
      </c>
      <c r="E5063" s="13" t="s">
        <v>8410</v>
      </c>
      <c r="F5063" s="13">
        <v>16</v>
      </c>
      <c r="G5063" s="13" t="s">
        <v>46</v>
      </c>
    </row>
    <row r="5064" spans="1:7">
      <c r="A5064" s="13" t="s">
        <v>6562</v>
      </c>
      <c r="B5064" s="13">
        <v>7</v>
      </c>
      <c r="E5064" s="13" t="s">
        <v>8411</v>
      </c>
      <c r="F5064" s="13">
        <v>17</v>
      </c>
      <c r="G5064" s="13" t="s">
        <v>46</v>
      </c>
    </row>
    <row r="5065" spans="1:7">
      <c r="A5065" s="13" t="s">
        <v>6563</v>
      </c>
      <c r="B5065" s="13">
        <v>7</v>
      </c>
      <c r="E5065" s="13" t="s">
        <v>8412</v>
      </c>
      <c r="F5065" s="13">
        <v>18</v>
      </c>
      <c r="G5065" s="13" t="s">
        <v>46</v>
      </c>
    </row>
    <row r="5066" spans="1:7">
      <c r="A5066" s="13" t="s">
        <v>6564</v>
      </c>
      <c r="B5066" s="13">
        <v>7</v>
      </c>
      <c r="E5066" s="13" t="s">
        <v>8413</v>
      </c>
      <c r="F5066" s="13">
        <v>19</v>
      </c>
      <c r="G5066" s="13" t="s">
        <v>46</v>
      </c>
    </row>
    <row r="5067" spans="1:7">
      <c r="A5067" s="13" t="s">
        <v>6565</v>
      </c>
      <c r="B5067" s="13">
        <v>7</v>
      </c>
      <c r="E5067" s="13" t="s">
        <v>8414</v>
      </c>
      <c r="F5067" s="13">
        <v>20</v>
      </c>
      <c r="G5067" s="13" t="s">
        <v>46</v>
      </c>
    </row>
    <row r="5068" spans="1:7">
      <c r="A5068" s="13" t="s">
        <v>6566</v>
      </c>
      <c r="B5068" s="13">
        <v>7</v>
      </c>
      <c r="E5068" s="13" t="s">
        <v>8415</v>
      </c>
      <c r="F5068" s="13">
        <v>21</v>
      </c>
      <c r="G5068" s="13" t="s">
        <v>46</v>
      </c>
    </row>
    <row r="5069" spans="1:7">
      <c r="A5069" s="13" t="s">
        <v>6567</v>
      </c>
      <c r="B5069" s="13">
        <v>7</v>
      </c>
      <c r="E5069" s="13" t="s">
        <v>8416</v>
      </c>
      <c r="F5069" s="13">
        <v>22</v>
      </c>
      <c r="G5069" s="13" t="s">
        <v>46</v>
      </c>
    </row>
    <row r="5070" spans="1:7">
      <c r="A5070" s="13" t="s">
        <v>6568</v>
      </c>
      <c r="B5070" s="13">
        <v>7</v>
      </c>
      <c r="E5070" s="13" t="s">
        <v>8417</v>
      </c>
      <c r="F5070" s="13">
        <v>23</v>
      </c>
      <c r="G5070" s="13" t="s">
        <v>46</v>
      </c>
    </row>
    <row r="5071" spans="1:7">
      <c r="A5071" s="13" t="s">
        <v>6569</v>
      </c>
      <c r="B5071" s="13">
        <v>7</v>
      </c>
      <c r="E5071" s="13" t="s">
        <v>8418</v>
      </c>
      <c r="F5071" s="13">
        <v>24</v>
      </c>
      <c r="G5071" s="13" t="s">
        <v>46</v>
      </c>
    </row>
    <row r="5072" spans="1:7">
      <c r="A5072" s="13" t="s">
        <v>6570</v>
      </c>
      <c r="B5072" s="13">
        <v>7</v>
      </c>
      <c r="E5072" s="13" t="s">
        <v>8419</v>
      </c>
      <c r="F5072" s="13">
        <v>25</v>
      </c>
      <c r="G5072" s="13" t="s">
        <v>46</v>
      </c>
    </row>
    <row r="5073" spans="1:7">
      <c r="A5073" s="13" t="s">
        <v>6571</v>
      </c>
      <c r="B5073" s="13">
        <v>7</v>
      </c>
      <c r="E5073" s="13" t="s">
        <v>8420</v>
      </c>
      <c r="F5073" s="13">
        <v>26</v>
      </c>
      <c r="G5073" s="13" t="s">
        <v>46</v>
      </c>
    </row>
    <row r="5074" spans="1:7">
      <c r="A5074" s="13" t="s">
        <v>6572</v>
      </c>
      <c r="B5074" s="13">
        <v>7</v>
      </c>
      <c r="E5074" s="13" t="s">
        <v>8421</v>
      </c>
      <c r="F5074" s="13">
        <v>27</v>
      </c>
      <c r="G5074" s="13" t="s">
        <v>46</v>
      </c>
    </row>
    <row r="5075" spans="1:7">
      <c r="A5075" s="13" t="s">
        <v>6573</v>
      </c>
      <c r="B5075" s="13">
        <v>7</v>
      </c>
      <c r="E5075" s="13" t="s">
        <v>8422</v>
      </c>
      <c r="F5075" s="13">
        <v>28</v>
      </c>
      <c r="G5075" s="13" t="s">
        <v>46</v>
      </c>
    </row>
    <row r="5076" spans="1:7">
      <c r="A5076" s="13" t="s">
        <v>6574</v>
      </c>
      <c r="B5076" s="13">
        <v>7</v>
      </c>
      <c r="E5076" s="13" t="s">
        <v>8423</v>
      </c>
      <c r="F5076" s="13">
        <v>29</v>
      </c>
      <c r="G5076" s="13" t="s">
        <v>46</v>
      </c>
    </row>
    <row r="5077" spans="1:7">
      <c r="A5077" s="13" t="s">
        <v>6575</v>
      </c>
      <c r="B5077" s="13">
        <v>7</v>
      </c>
      <c r="E5077" s="13" t="s">
        <v>8424</v>
      </c>
      <c r="F5077" s="13">
        <v>30</v>
      </c>
      <c r="G5077" s="13" t="s">
        <v>46</v>
      </c>
    </row>
    <row r="5078" spans="1:7">
      <c r="A5078" s="13" t="s">
        <v>6576</v>
      </c>
      <c r="B5078" s="13">
        <v>7</v>
      </c>
      <c r="E5078" s="13" t="s">
        <v>8425</v>
      </c>
      <c r="F5078" s="13">
        <v>31</v>
      </c>
      <c r="G5078" s="13" t="s">
        <v>46</v>
      </c>
    </row>
    <row r="5079" spans="1:7">
      <c r="A5079" s="13" t="s">
        <v>6577</v>
      </c>
      <c r="B5079" s="13">
        <v>7</v>
      </c>
      <c r="E5079" s="13" t="s">
        <v>8426</v>
      </c>
      <c r="F5079" s="13">
        <v>32</v>
      </c>
      <c r="G5079" s="13" t="s">
        <v>46</v>
      </c>
    </row>
    <row r="5080" spans="1:7">
      <c r="A5080" s="13" t="s">
        <v>6578</v>
      </c>
      <c r="B5080" s="13">
        <v>7</v>
      </c>
      <c r="E5080" s="13" t="s">
        <v>8427</v>
      </c>
      <c r="F5080" s="13">
        <v>33</v>
      </c>
      <c r="G5080" s="13" t="s">
        <v>46</v>
      </c>
    </row>
    <row r="5081" spans="1:7">
      <c r="A5081" s="13" t="s">
        <v>6579</v>
      </c>
      <c r="B5081" s="13">
        <v>7</v>
      </c>
      <c r="E5081" s="13" t="s">
        <v>8428</v>
      </c>
      <c r="F5081" s="13">
        <v>34</v>
      </c>
      <c r="G5081" s="13" t="s">
        <v>46</v>
      </c>
    </row>
    <row r="5082" spans="1:7">
      <c r="A5082" s="13" t="s">
        <v>6580</v>
      </c>
      <c r="B5082" s="13">
        <v>7</v>
      </c>
      <c r="E5082" s="13" t="s">
        <v>8429</v>
      </c>
      <c r="F5082" s="13">
        <v>35</v>
      </c>
      <c r="G5082" s="13" t="s">
        <v>46</v>
      </c>
    </row>
    <row r="5083" spans="1:7">
      <c r="A5083" s="13" t="s">
        <v>6581</v>
      </c>
      <c r="B5083" s="13">
        <v>7</v>
      </c>
      <c r="E5083" s="13" t="s">
        <v>8430</v>
      </c>
      <c r="F5083" s="13">
        <v>36</v>
      </c>
      <c r="G5083" s="13" t="s">
        <v>46</v>
      </c>
    </row>
    <row r="5084" spans="1:7">
      <c r="A5084" s="13" t="s">
        <v>6582</v>
      </c>
      <c r="B5084" s="13">
        <v>7</v>
      </c>
      <c r="E5084" s="13" t="s">
        <v>8431</v>
      </c>
      <c r="F5084" s="13">
        <v>37</v>
      </c>
      <c r="G5084" s="13" t="s">
        <v>46</v>
      </c>
    </row>
    <row r="5085" spans="1:7">
      <c r="A5085" s="13" t="s">
        <v>6583</v>
      </c>
      <c r="B5085" s="13">
        <v>7</v>
      </c>
      <c r="E5085" s="13" t="s">
        <v>8432</v>
      </c>
      <c r="F5085" s="13">
        <v>38</v>
      </c>
      <c r="G5085" s="13" t="s">
        <v>46</v>
      </c>
    </row>
    <row r="5086" spans="1:7">
      <c r="A5086" s="13" t="s">
        <v>6584</v>
      </c>
      <c r="B5086" s="13">
        <v>7</v>
      </c>
      <c r="E5086" s="13" t="s">
        <v>8433</v>
      </c>
      <c r="F5086" s="13">
        <v>39</v>
      </c>
      <c r="G5086" s="13" t="s">
        <v>46</v>
      </c>
    </row>
    <row r="5087" spans="1:7">
      <c r="A5087" s="13" t="s">
        <v>6585</v>
      </c>
      <c r="B5087" s="13">
        <v>7</v>
      </c>
      <c r="E5087" s="13" t="s">
        <v>8434</v>
      </c>
      <c r="F5087" s="13">
        <v>40</v>
      </c>
      <c r="G5087" s="13" t="s">
        <v>46</v>
      </c>
    </row>
    <row r="5088" spans="1:7">
      <c r="A5088" s="13" t="s">
        <v>6586</v>
      </c>
      <c r="B5088" s="13">
        <v>7</v>
      </c>
      <c r="E5088" s="13" t="s">
        <v>8435</v>
      </c>
      <c r="F5088" s="13">
        <v>41</v>
      </c>
      <c r="G5088" s="13" t="s">
        <v>46</v>
      </c>
    </row>
    <row r="5089" spans="1:7">
      <c r="A5089" s="13" t="s">
        <v>6587</v>
      </c>
      <c r="B5089" s="13">
        <v>7</v>
      </c>
      <c r="E5089" s="13" t="s">
        <v>8436</v>
      </c>
      <c r="F5089" s="13">
        <v>42</v>
      </c>
      <c r="G5089" s="13" t="s">
        <v>46</v>
      </c>
    </row>
    <row r="5090" spans="1:7">
      <c r="A5090" s="13" t="s">
        <v>6588</v>
      </c>
      <c r="B5090" s="13">
        <v>7</v>
      </c>
      <c r="E5090" s="13" t="s">
        <v>8437</v>
      </c>
      <c r="F5090" s="13">
        <v>43</v>
      </c>
      <c r="G5090" s="13" t="s">
        <v>46</v>
      </c>
    </row>
    <row r="5091" spans="1:7">
      <c r="A5091" s="13" t="s">
        <v>6589</v>
      </c>
      <c r="B5091" s="13">
        <v>7</v>
      </c>
      <c r="E5091" s="13" t="s">
        <v>8438</v>
      </c>
      <c r="F5091" s="13">
        <v>44</v>
      </c>
      <c r="G5091" s="13" t="s">
        <v>46</v>
      </c>
    </row>
    <row r="5092" spans="1:7">
      <c r="A5092" s="13" t="s">
        <v>6590</v>
      </c>
      <c r="B5092" s="13">
        <v>7</v>
      </c>
      <c r="E5092" s="13" t="s">
        <v>8439</v>
      </c>
      <c r="F5092" s="13">
        <v>45</v>
      </c>
      <c r="G5092" s="13" t="s">
        <v>46</v>
      </c>
    </row>
    <row r="5093" spans="1:7">
      <c r="A5093" s="13" t="s">
        <v>6591</v>
      </c>
      <c r="B5093" s="13">
        <v>7</v>
      </c>
      <c r="E5093" s="13" t="s">
        <v>8440</v>
      </c>
      <c r="F5093" s="13">
        <v>46</v>
      </c>
      <c r="G5093" s="13" t="s">
        <v>46</v>
      </c>
    </row>
    <row r="5094" spans="1:7">
      <c r="A5094" s="13" t="s">
        <v>6592</v>
      </c>
      <c r="B5094" s="13">
        <v>7</v>
      </c>
      <c r="E5094" s="13" t="s">
        <v>8441</v>
      </c>
      <c r="F5094" s="13">
        <v>47</v>
      </c>
      <c r="G5094" s="13" t="s">
        <v>46</v>
      </c>
    </row>
    <row r="5095" spans="1:7">
      <c r="A5095" s="13" t="s">
        <v>6593</v>
      </c>
      <c r="B5095" s="13">
        <v>7</v>
      </c>
      <c r="E5095" s="13" t="s">
        <v>8442</v>
      </c>
      <c r="F5095" s="13">
        <v>48</v>
      </c>
      <c r="G5095" s="13" t="s">
        <v>46</v>
      </c>
    </row>
    <row r="5096" spans="1:7">
      <c r="A5096" s="13" t="s">
        <v>6594</v>
      </c>
      <c r="B5096" s="13">
        <v>7</v>
      </c>
      <c r="E5096" s="13" t="s">
        <v>8443</v>
      </c>
      <c r="F5096" s="13">
        <v>49</v>
      </c>
      <c r="G5096" s="13" t="s">
        <v>46</v>
      </c>
    </row>
    <row r="5097" spans="1:7">
      <c r="A5097" s="13" t="s">
        <v>6595</v>
      </c>
      <c r="B5097" s="13">
        <v>7</v>
      </c>
      <c r="E5097" s="13" t="s">
        <v>8444</v>
      </c>
      <c r="F5097" s="13">
        <v>50</v>
      </c>
      <c r="G5097" s="13" t="s">
        <v>46</v>
      </c>
    </row>
    <row r="5098" spans="1:7">
      <c r="A5098" s="13" t="s">
        <v>6596</v>
      </c>
      <c r="B5098" s="13">
        <v>7</v>
      </c>
      <c r="E5098" s="13" t="s">
        <v>8445</v>
      </c>
      <c r="F5098" s="13">
        <v>51</v>
      </c>
      <c r="G5098" s="13" t="s">
        <v>46</v>
      </c>
    </row>
    <row r="5099" spans="1:7">
      <c r="A5099" s="13" t="s">
        <v>6597</v>
      </c>
      <c r="B5099" s="13">
        <v>7</v>
      </c>
      <c r="E5099" s="13" t="s">
        <v>8446</v>
      </c>
      <c r="F5099" s="13">
        <v>52</v>
      </c>
      <c r="G5099" s="13" t="s">
        <v>46</v>
      </c>
    </row>
    <row r="5100" spans="1:7">
      <c r="A5100" s="13" t="s">
        <v>6598</v>
      </c>
      <c r="B5100" s="13">
        <v>7</v>
      </c>
      <c r="E5100" s="13" t="s">
        <v>8447</v>
      </c>
      <c r="F5100" s="13">
        <v>53</v>
      </c>
      <c r="G5100" s="13" t="s">
        <v>46</v>
      </c>
    </row>
    <row r="5101" spans="1:7">
      <c r="A5101" s="13" t="s">
        <v>6599</v>
      </c>
      <c r="B5101" s="13">
        <v>7</v>
      </c>
      <c r="E5101" s="13" t="s">
        <v>8448</v>
      </c>
      <c r="F5101" s="13">
        <v>54</v>
      </c>
      <c r="G5101" s="13" t="s">
        <v>46</v>
      </c>
    </row>
    <row r="5102" spans="1:7">
      <c r="A5102" s="13" t="s">
        <v>6600</v>
      </c>
      <c r="B5102" s="13">
        <v>7</v>
      </c>
      <c r="E5102" s="13" t="s">
        <v>8449</v>
      </c>
      <c r="F5102" s="13">
        <v>55</v>
      </c>
      <c r="G5102" s="13" t="s">
        <v>46</v>
      </c>
    </row>
    <row r="5103" spans="1:7">
      <c r="A5103" s="13" t="s">
        <v>6601</v>
      </c>
      <c r="B5103" s="13">
        <v>7</v>
      </c>
      <c r="E5103" s="13" t="s">
        <v>8450</v>
      </c>
      <c r="F5103" s="13">
        <v>56</v>
      </c>
      <c r="G5103" s="13" t="s">
        <v>46</v>
      </c>
    </row>
    <row r="5104" spans="1:7">
      <c r="A5104" s="13" t="s">
        <v>6602</v>
      </c>
      <c r="B5104" s="13">
        <v>7</v>
      </c>
      <c r="E5104" s="13" t="s">
        <v>8451</v>
      </c>
      <c r="F5104" s="13">
        <v>57</v>
      </c>
      <c r="G5104" s="13" t="s">
        <v>46</v>
      </c>
    </row>
    <row r="5105" spans="1:7">
      <c r="A5105" s="13" t="s">
        <v>6603</v>
      </c>
      <c r="B5105" s="13">
        <v>7</v>
      </c>
      <c r="E5105" s="13" t="s">
        <v>8452</v>
      </c>
      <c r="F5105" s="13">
        <v>58</v>
      </c>
      <c r="G5105" s="13" t="s">
        <v>46</v>
      </c>
    </row>
    <row r="5106" spans="1:7">
      <c r="A5106" s="13" t="s">
        <v>6604</v>
      </c>
      <c r="B5106" s="13">
        <v>7</v>
      </c>
      <c r="E5106" s="13" t="s">
        <v>8453</v>
      </c>
      <c r="F5106" s="13">
        <v>59</v>
      </c>
      <c r="G5106" s="13" t="s">
        <v>46</v>
      </c>
    </row>
    <row r="5107" spans="1:7">
      <c r="A5107" s="13" t="s">
        <v>6605</v>
      </c>
      <c r="B5107" s="13">
        <v>7</v>
      </c>
      <c r="E5107" s="13" t="s">
        <v>8454</v>
      </c>
      <c r="F5107" s="13">
        <v>60</v>
      </c>
      <c r="G5107" s="13" t="s">
        <v>46</v>
      </c>
    </row>
    <row r="5108" spans="1:7">
      <c r="A5108" s="13" t="s">
        <v>6606</v>
      </c>
      <c r="B5108" s="13">
        <v>7</v>
      </c>
      <c r="E5108" s="13" t="s">
        <v>8455</v>
      </c>
      <c r="F5108" s="13">
        <v>61</v>
      </c>
      <c r="G5108" s="13" t="s">
        <v>46</v>
      </c>
    </row>
    <row r="5109" spans="1:7">
      <c r="A5109" s="13" t="s">
        <v>6607</v>
      </c>
      <c r="B5109" s="13">
        <v>7</v>
      </c>
      <c r="E5109" s="13" t="s">
        <v>8456</v>
      </c>
      <c r="F5109" s="13">
        <v>62</v>
      </c>
      <c r="G5109" s="13" t="s">
        <v>46</v>
      </c>
    </row>
    <row r="5110" spans="1:7">
      <c r="A5110" s="13" t="s">
        <v>6608</v>
      </c>
      <c r="B5110" s="13">
        <v>7</v>
      </c>
      <c r="E5110" s="13" t="s">
        <v>8457</v>
      </c>
      <c r="F5110" s="13">
        <v>63</v>
      </c>
      <c r="G5110" s="13" t="s">
        <v>46</v>
      </c>
    </row>
    <row r="5111" spans="1:7">
      <c r="A5111" s="13" t="s">
        <v>6609</v>
      </c>
      <c r="B5111" s="13">
        <v>7</v>
      </c>
      <c r="E5111" s="13" t="s">
        <v>8458</v>
      </c>
      <c r="F5111" s="13">
        <v>64</v>
      </c>
      <c r="G5111" s="13" t="s">
        <v>46</v>
      </c>
    </row>
    <row r="5112" spans="1:7">
      <c r="A5112" s="13" t="s">
        <v>6610</v>
      </c>
      <c r="B5112" s="13">
        <v>7</v>
      </c>
      <c r="E5112" s="13" t="s">
        <v>8459</v>
      </c>
      <c r="F5112" s="13">
        <v>65</v>
      </c>
      <c r="G5112" s="13" t="s">
        <v>46</v>
      </c>
    </row>
    <row r="5113" spans="1:7">
      <c r="A5113" s="13" t="s">
        <v>6611</v>
      </c>
      <c r="B5113" s="13">
        <v>7</v>
      </c>
      <c r="E5113" s="13" t="s">
        <v>8460</v>
      </c>
      <c r="F5113" s="13">
        <v>66</v>
      </c>
      <c r="G5113" s="13" t="s">
        <v>46</v>
      </c>
    </row>
    <row r="5114" spans="1:7">
      <c r="A5114" s="13" t="s">
        <v>6612</v>
      </c>
      <c r="B5114" s="13">
        <v>7</v>
      </c>
      <c r="E5114" s="13" t="s">
        <v>8461</v>
      </c>
      <c r="F5114" s="13">
        <v>67</v>
      </c>
      <c r="G5114" s="13" t="s">
        <v>46</v>
      </c>
    </row>
    <row r="5115" spans="1:7">
      <c r="A5115" s="13" t="s">
        <v>6613</v>
      </c>
      <c r="B5115" s="13">
        <v>7</v>
      </c>
      <c r="E5115" s="13" t="s">
        <v>8462</v>
      </c>
      <c r="F5115" s="13">
        <v>68</v>
      </c>
      <c r="G5115" s="13" t="s">
        <v>46</v>
      </c>
    </row>
    <row r="5116" spans="1:7">
      <c r="A5116" s="13" t="s">
        <v>6614</v>
      </c>
      <c r="B5116" s="13">
        <v>7</v>
      </c>
      <c r="E5116" s="13" t="s">
        <v>8463</v>
      </c>
      <c r="F5116" s="13">
        <v>69</v>
      </c>
      <c r="G5116" s="13" t="s">
        <v>46</v>
      </c>
    </row>
    <row r="5117" spans="1:7">
      <c r="A5117" s="13" t="s">
        <v>6615</v>
      </c>
      <c r="B5117" s="13">
        <v>7</v>
      </c>
      <c r="E5117" s="13" t="s">
        <v>8464</v>
      </c>
      <c r="F5117" s="13">
        <v>70</v>
      </c>
      <c r="G5117" s="13" t="s">
        <v>46</v>
      </c>
    </row>
    <row r="5118" spans="1:7">
      <c r="A5118" s="13" t="s">
        <v>6616</v>
      </c>
      <c r="B5118" s="13">
        <v>7</v>
      </c>
      <c r="E5118" s="13" t="s">
        <v>8465</v>
      </c>
      <c r="F5118" s="13">
        <v>71</v>
      </c>
      <c r="G5118" s="13" t="s">
        <v>46</v>
      </c>
    </row>
    <row r="5119" spans="1:7">
      <c r="A5119" s="13" t="s">
        <v>6617</v>
      </c>
      <c r="B5119" s="13">
        <v>7</v>
      </c>
      <c r="E5119" s="13" t="s">
        <v>8466</v>
      </c>
      <c r="F5119" s="13">
        <v>72</v>
      </c>
      <c r="G5119" s="13" t="s">
        <v>46</v>
      </c>
    </row>
    <row r="5120" spans="1:7">
      <c r="A5120" s="13" t="s">
        <v>6618</v>
      </c>
      <c r="B5120" s="13">
        <v>7</v>
      </c>
      <c r="E5120" s="13" t="s">
        <v>8467</v>
      </c>
      <c r="F5120" s="13">
        <v>73</v>
      </c>
      <c r="G5120" s="13" t="s">
        <v>46</v>
      </c>
    </row>
    <row r="5121" spans="1:7">
      <c r="A5121" s="13" t="s">
        <v>6619</v>
      </c>
      <c r="B5121" s="13">
        <v>7</v>
      </c>
      <c r="E5121" s="13" t="s">
        <v>8468</v>
      </c>
      <c r="F5121" s="13">
        <v>74</v>
      </c>
      <c r="G5121" s="13" t="s">
        <v>46</v>
      </c>
    </row>
    <row r="5122" spans="1:7">
      <c r="A5122" s="13" t="s">
        <v>6620</v>
      </c>
      <c r="B5122" s="13">
        <v>7</v>
      </c>
      <c r="E5122" s="13" t="s">
        <v>8469</v>
      </c>
      <c r="F5122" s="13">
        <v>75</v>
      </c>
      <c r="G5122" s="13" t="s">
        <v>46</v>
      </c>
    </row>
    <row r="5123" spans="1:7">
      <c r="A5123" s="13" t="s">
        <v>6621</v>
      </c>
      <c r="B5123" s="13">
        <v>7</v>
      </c>
      <c r="E5123" s="13" t="s">
        <v>8470</v>
      </c>
      <c r="F5123" s="13">
        <v>76</v>
      </c>
      <c r="G5123" s="13" t="s">
        <v>46</v>
      </c>
    </row>
    <row r="5124" spans="1:7">
      <c r="A5124" s="13" t="s">
        <v>6622</v>
      </c>
      <c r="B5124" s="13">
        <v>7</v>
      </c>
      <c r="E5124" s="13" t="s">
        <v>8471</v>
      </c>
      <c r="F5124" s="13">
        <v>77</v>
      </c>
      <c r="G5124" s="13" t="s">
        <v>46</v>
      </c>
    </row>
    <row r="5125" spans="1:7">
      <c r="A5125" s="13" t="s">
        <v>6623</v>
      </c>
      <c r="B5125" s="13">
        <v>7</v>
      </c>
      <c r="E5125" s="13" t="s">
        <v>8472</v>
      </c>
      <c r="F5125" s="13">
        <v>78</v>
      </c>
      <c r="G5125" s="13" t="s">
        <v>46</v>
      </c>
    </row>
    <row r="5126" spans="1:7">
      <c r="A5126" s="13" t="s">
        <v>6624</v>
      </c>
      <c r="B5126" s="13">
        <v>7</v>
      </c>
      <c r="E5126" s="13" t="s">
        <v>8473</v>
      </c>
      <c r="F5126" s="13">
        <v>79</v>
      </c>
      <c r="G5126" s="13" t="s">
        <v>46</v>
      </c>
    </row>
    <row r="5127" spans="1:7">
      <c r="A5127" s="13" t="s">
        <v>6625</v>
      </c>
      <c r="B5127" s="13">
        <v>7</v>
      </c>
      <c r="E5127" s="13" t="s">
        <v>8474</v>
      </c>
      <c r="F5127" s="13">
        <v>80</v>
      </c>
      <c r="G5127" s="13" t="s">
        <v>46</v>
      </c>
    </row>
    <row r="5128" spans="1:7">
      <c r="A5128" s="13" t="s">
        <v>6626</v>
      </c>
      <c r="B5128" s="13">
        <v>7</v>
      </c>
      <c r="E5128" s="13" t="s">
        <v>8475</v>
      </c>
      <c r="F5128" s="13">
        <v>81</v>
      </c>
      <c r="G5128" s="13" t="s">
        <v>46</v>
      </c>
    </row>
    <row r="5129" spans="1:7">
      <c r="A5129" s="13" t="s">
        <v>6627</v>
      </c>
      <c r="B5129" s="13">
        <v>7</v>
      </c>
      <c r="E5129" s="13" t="s">
        <v>8476</v>
      </c>
      <c r="F5129" s="13">
        <v>82</v>
      </c>
      <c r="G5129" s="13" t="s">
        <v>46</v>
      </c>
    </row>
    <row r="5130" spans="1:7">
      <c r="A5130" s="13" t="s">
        <v>6628</v>
      </c>
      <c r="B5130" s="13">
        <v>7</v>
      </c>
      <c r="E5130" s="13" t="s">
        <v>8477</v>
      </c>
      <c r="F5130" s="13">
        <v>83</v>
      </c>
      <c r="G5130" s="13" t="s">
        <v>46</v>
      </c>
    </row>
    <row r="5131" spans="1:7">
      <c r="A5131" s="13" t="s">
        <v>6629</v>
      </c>
      <c r="B5131" s="13">
        <v>7</v>
      </c>
      <c r="E5131" s="13" t="s">
        <v>8478</v>
      </c>
      <c r="F5131" s="13">
        <v>84</v>
      </c>
      <c r="G5131" s="13" t="s">
        <v>46</v>
      </c>
    </row>
    <row r="5132" spans="1:7">
      <c r="A5132" s="13" t="s">
        <v>6630</v>
      </c>
      <c r="B5132" s="13">
        <v>7</v>
      </c>
      <c r="E5132" s="13" t="s">
        <v>8479</v>
      </c>
      <c r="F5132" s="13">
        <v>85</v>
      </c>
      <c r="G5132" s="13" t="s">
        <v>46</v>
      </c>
    </row>
    <row r="5133" spans="1:7">
      <c r="A5133" s="13" t="s">
        <v>6631</v>
      </c>
      <c r="B5133" s="13">
        <v>7</v>
      </c>
      <c r="E5133" s="13" t="s">
        <v>8480</v>
      </c>
      <c r="F5133" s="13">
        <v>86</v>
      </c>
      <c r="G5133" s="13" t="s">
        <v>46</v>
      </c>
    </row>
    <row r="5134" spans="1:7">
      <c r="A5134" s="13" t="s">
        <v>7993</v>
      </c>
      <c r="B5134" s="13">
        <v>7</v>
      </c>
      <c r="E5134" s="13" t="s">
        <v>8481</v>
      </c>
      <c r="F5134" s="13">
        <v>87</v>
      </c>
      <c r="G5134" s="271">
        <v>33</v>
      </c>
    </row>
    <row r="5135" spans="1:7">
      <c r="A5135" s="13" t="s">
        <v>6632</v>
      </c>
    </row>
    <row r="5136" spans="1:7">
      <c r="A5136" s="13" t="s">
        <v>6633</v>
      </c>
    </row>
    <row r="5137" spans="1:1">
      <c r="A5137" s="13" t="s">
        <v>6634</v>
      </c>
    </row>
    <row r="5138" spans="1:1">
      <c r="A5138" s="13" t="s">
        <v>6635</v>
      </c>
    </row>
    <row r="5139" spans="1:1">
      <c r="A5139" s="13" t="s">
        <v>6636</v>
      </c>
    </row>
    <row r="5140" spans="1:1">
      <c r="A5140" s="13" t="s">
        <v>6637</v>
      </c>
    </row>
    <row r="5141" spans="1:1">
      <c r="A5141" s="13" t="s">
        <v>6638</v>
      </c>
    </row>
    <row r="5142" spans="1:1">
      <c r="A5142" s="13" t="s">
        <v>6639</v>
      </c>
    </row>
    <row r="5143" spans="1:1">
      <c r="A5143" s="13" t="s">
        <v>6640</v>
      </c>
    </row>
    <row r="5144" spans="1:1">
      <c r="A5144" s="13" t="s">
        <v>6641</v>
      </c>
    </row>
    <row r="5145" spans="1:1">
      <c r="A5145" s="13" t="s">
        <v>6642</v>
      </c>
    </row>
    <row r="5146" spans="1:1" customFormat="1">
      <c r="A5146" s="13" t="s">
        <v>6643</v>
      </c>
    </row>
    <row r="5147" spans="1:1" customFormat="1">
      <c r="A5147" s="13" t="s">
        <v>6644</v>
      </c>
    </row>
    <row r="5148" spans="1:1" customFormat="1">
      <c r="A5148" s="13" t="s">
        <v>6645</v>
      </c>
    </row>
    <row r="5149" spans="1:1" customFormat="1">
      <c r="A5149" s="13" t="s">
        <v>6646</v>
      </c>
    </row>
    <row r="5150" spans="1:1" customFormat="1">
      <c r="A5150" s="13" t="s">
        <v>6647</v>
      </c>
    </row>
    <row r="5151" spans="1:1" customFormat="1">
      <c r="A5151" s="13" t="s">
        <v>6648</v>
      </c>
    </row>
    <row r="5152" spans="1:1" customFormat="1">
      <c r="A5152" s="13" t="s">
        <v>6649</v>
      </c>
    </row>
    <row r="5153" spans="1:1" customFormat="1">
      <c r="A5153" s="13" t="s">
        <v>6650</v>
      </c>
    </row>
    <row r="5154" spans="1:1" customFormat="1">
      <c r="A5154" s="13" t="s">
        <v>6651</v>
      </c>
    </row>
    <row r="5155" spans="1:1" customFormat="1">
      <c r="A5155" s="13" t="s">
        <v>6652</v>
      </c>
    </row>
    <row r="5156" spans="1:1" customFormat="1">
      <c r="A5156" s="13" t="s">
        <v>6653</v>
      </c>
    </row>
    <row r="5157" spans="1:1" customFormat="1">
      <c r="A5157" s="13" t="s">
        <v>6654</v>
      </c>
    </row>
    <row r="5158" spans="1:1" customFormat="1">
      <c r="A5158" s="13" t="s">
        <v>6655</v>
      </c>
    </row>
    <row r="5159" spans="1:1" customFormat="1">
      <c r="A5159" s="13" t="s">
        <v>6656</v>
      </c>
    </row>
    <row r="5160" spans="1:1" customFormat="1">
      <c r="A5160" s="13" t="s">
        <v>6657</v>
      </c>
    </row>
    <row r="5161" spans="1:1" customFormat="1">
      <c r="A5161" s="13" t="s">
        <v>6658</v>
      </c>
    </row>
    <row r="5162" spans="1:1" customFormat="1">
      <c r="A5162" s="13" t="s">
        <v>6659</v>
      </c>
    </row>
    <row r="5163" spans="1:1" customFormat="1">
      <c r="A5163" s="13" t="s">
        <v>6660</v>
      </c>
    </row>
    <row r="5164" spans="1:1" customFormat="1">
      <c r="A5164" s="13" t="s">
        <v>6661</v>
      </c>
    </row>
    <row r="5165" spans="1:1" customFormat="1">
      <c r="A5165" s="13" t="s">
        <v>6662</v>
      </c>
    </row>
    <row r="5166" spans="1:1" customFormat="1">
      <c r="A5166" s="13" t="s">
        <v>6663</v>
      </c>
    </row>
    <row r="5167" spans="1:1" customFormat="1">
      <c r="A5167" s="13" t="s">
        <v>6664</v>
      </c>
    </row>
    <row r="5168" spans="1:1" customFormat="1">
      <c r="A5168" s="13" t="s">
        <v>6665</v>
      </c>
    </row>
    <row r="5169" spans="1:1" customFormat="1">
      <c r="A5169" s="13" t="s">
        <v>6666</v>
      </c>
    </row>
    <row r="5170" spans="1:1" customFormat="1">
      <c r="A5170" s="13" t="s">
        <v>6667</v>
      </c>
    </row>
    <row r="5171" spans="1:1" customFormat="1">
      <c r="A5171" s="13" t="s">
        <v>6668</v>
      </c>
    </row>
    <row r="5172" spans="1:1" customFormat="1">
      <c r="A5172" s="13" t="s">
        <v>6669</v>
      </c>
    </row>
    <row r="5173" spans="1:1" customFormat="1">
      <c r="A5173" s="13" t="s">
        <v>6670</v>
      </c>
    </row>
    <row r="5174" spans="1:1" customFormat="1">
      <c r="A5174" s="13" t="s">
        <v>6671</v>
      </c>
    </row>
    <row r="5175" spans="1:1" customFormat="1">
      <c r="A5175" s="13" t="s">
        <v>6672</v>
      </c>
    </row>
    <row r="5176" spans="1:1" customFormat="1">
      <c r="A5176" s="13" t="s">
        <v>6673</v>
      </c>
    </row>
    <row r="5177" spans="1:1" customFormat="1">
      <c r="A5177" s="13" t="s">
        <v>6674</v>
      </c>
    </row>
    <row r="5178" spans="1:1" customFormat="1">
      <c r="A5178" s="13" t="s">
        <v>6675</v>
      </c>
    </row>
    <row r="5179" spans="1:1" customFormat="1">
      <c r="A5179" s="13" t="s">
        <v>6676</v>
      </c>
    </row>
    <row r="5180" spans="1:1" customFormat="1">
      <c r="A5180" s="13" t="s">
        <v>6677</v>
      </c>
    </row>
    <row r="5181" spans="1:1" customFormat="1">
      <c r="A5181" s="13" t="s">
        <v>6678</v>
      </c>
    </row>
    <row r="5182" spans="1:1" customFormat="1">
      <c r="A5182" s="13" t="s">
        <v>6679</v>
      </c>
    </row>
    <row r="5183" spans="1:1" customFormat="1">
      <c r="A5183" s="13" t="s">
        <v>6680</v>
      </c>
    </row>
    <row r="5184" spans="1:1" customFormat="1">
      <c r="A5184" s="13" t="s">
        <v>6681</v>
      </c>
    </row>
    <row r="5185" spans="1:1" customFormat="1">
      <c r="A5185" s="13" t="s">
        <v>6682</v>
      </c>
    </row>
    <row r="5186" spans="1:1" customFormat="1">
      <c r="A5186" s="13" t="s">
        <v>6683</v>
      </c>
    </row>
    <row r="5187" spans="1:1" customFormat="1">
      <c r="A5187" s="13" t="s">
        <v>6684</v>
      </c>
    </row>
    <row r="5188" spans="1:1" customFormat="1">
      <c r="A5188" s="13" t="s">
        <v>6685</v>
      </c>
    </row>
    <row r="5189" spans="1:1" customFormat="1">
      <c r="A5189" s="13" t="s">
        <v>6686</v>
      </c>
    </row>
    <row r="5190" spans="1:1" customFormat="1">
      <c r="A5190" s="13" t="s">
        <v>6687</v>
      </c>
    </row>
    <row r="5191" spans="1:1" customFormat="1">
      <c r="A5191" s="13" t="s">
        <v>6688</v>
      </c>
    </row>
    <row r="5192" spans="1:1" customFormat="1">
      <c r="A5192" s="13" t="s">
        <v>6689</v>
      </c>
    </row>
    <row r="5193" spans="1:1" customFormat="1">
      <c r="A5193" s="13" t="s">
        <v>6690</v>
      </c>
    </row>
    <row r="5194" spans="1:1" customFormat="1">
      <c r="A5194" s="13" t="s">
        <v>6691</v>
      </c>
    </row>
    <row r="5195" spans="1:1" customFormat="1">
      <c r="A5195" s="13" t="s">
        <v>6692</v>
      </c>
    </row>
    <row r="5196" spans="1:1" customFormat="1">
      <c r="A5196" s="13" t="s">
        <v>6693</v>
      </c>
    </row>
    <row r="5197" spans="1:1" customFormat="1">
      <c r="A5197" s="13" t="s">
        <v>6694</v>
      </c>
    </row>
    <row r="5198" spans="1:1" customFormat="1">
      <c r="A5198" s="13" t="s">
        <v>6695</v>
      </c>
    </row>
    <row r="5199" spans="1:1" customFormat="1">
      <c r="A5199" s="13" t="s">
        <v>6696</v>
      </c>
    </row>
    <row r="5200" spans="1:1" customFormat="1">
      <c r="A5200" s="13" t="s">
        <v>6697</v>
      </c>
    </row>
    <row r="5201" spans="1:1" customFormat="1">
      <c r="A5201" s="13" t="s">
        <v>6698</v>
      </c>
    </row>
    <row r="5202" spans="1:1" customFormat="1">
      <c r="A5202" s="13" t="s">
        <v>6699</v>
      </c>
    </row>
    <row r="5203" spans="1:1" customFormat="1">
      <c r="A5203" s="13" t="s">
        <v>6700</v>
      </c>
    </row>
    <row r="5204" spans="1:1" customFormat="1">
      <c r="A5204" s="13" t="s">
        <v>6701</v>
      </c>
    </row>
    <row r="5205" spans="1:1" customFormat="1">
      <c r="A5205" s="13" t="s">
        <v>6702</v>
      </c>
    </row>
    <row r="5206" spans="1:1" customFormat="1">
      <c r="A5206" s="13" t="s">
        <v>6703</v>
      </c>
    </row>
    <row r="5207" spans="1:1" customFormat="1">
      <c r="A5207" s="13" t="s">
        <v>6704</v>
      </c>
    </row>
    <row r="5208" spans="1:1" customFormat="1">
      <c r="A5208" s="13" t="s">
        <v>6705</v>
      </c>
    </row>
    <row r="5209" spans="1:1" customFormat="1">
      <c r="A5209" s="13" t="s">
        <v>6706</v>
      </c>
    </row>
    <row r="5210" spans="1:1" customFormat="1">
      <c r="A5210" s="13" t="s">
        <v>6707</v>
      </c>
    </row>
    <row r="5211" spans="1:1" customFormat="1">
      <c r="A5211" s="13" t="s">
        <v>6708</v>
      </c>
    </row>
    <row r="5212" spans="1:1" customFormat="1">
      <c r="A5212" s="13" t="s">
        <v>6709</v>
      </c>
    </row>
    <row r="5213" spans="1:1" customFormat="1">
      <c r="A5213" s="13" t="s">
        <v>6710</v>
      </c>
    </row>
    <row r="5214" spans="1:1" customFormat="1">
      <c r="A5214" s="13" t="s">
        <v>6711</v>
      </c>
    </row>
    <row r="5215" spans="1:1" customFormat="1">
      <c r="A5215" s="13" t="s">
        <v>6712</v>
      </c>
    </row>
    <row r="5216" spans="1:1" customFormat="1">
      <c r="A5216" s="13" t="s">
        <v>6713</v>
      </c>
    </row>
    <row r="5217" spans="1:1" customFormat="1">
      <c r="A5217" s="13" t="s">
        <v>6714</v>
      </c>
    </row>
    <row r="5218" spans="1:1" customFormat="1">
      <c r="A5218" s="13" t="s">
        <v>6715</v>
      </c>
    </row>
    <row r="5219" spans="1:1" customFormat="1">
      <c r="A5219" s="13" t="s">
        <v>6716</v>
      </c>
    </row>
    <row r="5220" spans="1:1" customFormat="1">
      <c r="A5220" s="13" t="s">
        <v>6717</v>
      </c>
    </row>
    <row r="5221" spans="1:1" customFormat="1">
      <c r="A5221" s="13" t="s">
        <v>6718</v>
      </c>
    </row>
    <row r="5222" spans="1:1" customFormat="1">
      <c r="A5222" s="13" t="s">
        <v>6719</v>
      </c>
    </row>
    <row r="5223" spans="1:1" customFormat="1">
      <c r="A5223" s="13" t="s">
        <v>6720</v>
      </c>
    </row>
    <row r="5224" spans="1:1" customFormat="1">
      <c r="A5224" s="13" t="s">
        <v>6721</v>
      </c>
    </row>
    <row r="5225" spans="1:1" customFormat="1">
      <c r="A5225" s="13" t="s">
        <v>6722</v>
      </c>
    </row>
    <row r="5226" spans="1:1" customFormat="1">
      <c r="A5226" s="13" t="s">
        <v>6723</v>
      </c>
    </row>
    <row r="5227" spans="1:1" customFormat="1">
      <c r="A5227" s="13" t="s">
        <v>6724</v>
      </c>
    </row>
    <row r="5228" spans="1:1" customFormat="1">
      <c r="A5228" s="13" t="s">
        <v>6725</v>
      </c>
    </row>
    <row r="5229" spans="1:1" customFormat="1">
      <c r="A5229" s="13" t="s">
        <v>6726</v>
      </c>
    </row>
    <row r="5230" spans="1:1" customFormat="1">
      <c r="A5230" s="13" t="s">
        <v>6727</v>
      </c>
    </row>
    <row r="5231" spans="1:1" customFormat="1">
      <c r="A5231" s="13" t="s">
        <v>6728</v>
      </c>
    </row>
    <row r="5232" spans="1:1" customFormat="1">
      <c r="A5232" s="13" t="s">
        <v>6729</v>
      </c>
    </row>
    <row r="5233" spans="1:1" customFormat="1">
      <c r="A5233" s="13" t="s">
        <v>6730</v>
      </c>
    </row>
    <row r="5234" spans="1:1" customFormat="1">
      <c r="A5234" s="13" t="s">
        <v>6731</v>
      </c>
    </row>
    <row r="5235" spans="1:1" customFormat="1">
      <c r="A5235" s="13" t="s">
        <v>6732</v>
      </c>
    </row>
    <row r="5236" spans="1:1" customFormat="1">
      <c r="A5236" s="13" t="s">
        <v>6733</v>
      </c>
    </row>
    <row r="5237" spans="1:1" customFormat="1">
      <c r="A5237" s="13" t="s">
        <v>6734</v>
      </c>
    </row>
    <row r="5238" spans="1:1" customFormat="1">
      <c r="A5238" s="13" t="s">
        <v>6735</v>
      </c>
    </row>
    <row r="5239" spans="1:1" customFormat="1">
      <c r="A5239" s="13"/>
    </row>
    <row r="5240" spans="1:1" customFormat="1">
      <c r="A5240" s="13"/>
    </row>
    <row r="5241" spans="1:1" customFormat="1">
      <c r="A5241" s="13" t="s">
        <v>1943</v>
      </c>
    </row>
    <row r="5242" spans="1:1" customFormat="1">
      <c r="A5242" s="13" t="s">
        <v>6736</v>
      </c>
    </row>
    <row r="5243" spans="1:1" customFormat="1">
      <c r="A5243" s="13" t="s">
        <v>1943</v>
      </c>
    </row>
    <row r="5244" spans="1:1" customFormat="1">
      <c r="A5244" s="13"/>
    </row>
    <row r="5245" spans="1:1" customFormat="1">
      <c r="A5245" s="13" t="s">
        <v>1943</v>
      </c>
    </row>
    <row r="5246" spans="1:1" customFormat="1">
      <c r="A5246" s="13" t="s">
        <v>6737</v>
      </c>
    </row>
    <row r="5247" spans="1:1" customFormat="1">
      <c r="A5247" s="13" t="s">
        <v>1943</v>
      </c>
    </row>
    <row r="5248" spans="1:1" customFormat="1">
      <c r="A5248" s="13"/>
    </row>
    <row r="5249" spans="1:1" customFormat="1">
      <c r="A5249" s="13" t="s">
        <v>1943</v>
      </c>
    </row>
    <row r="5250" spans="1:1" customFormat="1">
      <c r="A5250" s="13" t="s">
        <v>6738</v>
      </c>
    </row>
    <row r="5251" spans="1:1" customFormat="1">
      <c r="A5251" s="13" t="s">
        <v>1943</v>
      </c>
    </row>
    <row r="5252" spans="1:1" customFormat="1">
      <c r="A5252" s="13"/>
    </row>
    <row r="5253" spans="1:1" customFormat="1">
      <c r="A5253" s="13" t="s">
        <v>1943</v>
      </c>
    </row>
    <row r="5254" spans="1:1" customFormat="1">
      <c r="A5254" s="13" t="s">
        <v>6739</v>
      </c>
    </row>
    <row r="5255" spans="1:1" customFormat="1">
      <c r="A5255" s="13" t="s">
        <v>1943</v>
      </c>
    </row>
    <row r="5256" spans="1:1" customFormat="1">
      <c r="A5256" s="13"/>
    </row>
    <row r="5257" spans="1:1" customFormat="1">
      <c r="A5257" s="13"/>
    </row>
    <row r="5258" spans="1:1" customFormat="1">
      <c r="A5258" s="13" t="s">
        <v>6740</v>
      </c>
    </row>
    <row r="5259" spans="1:1" customFormat="1">
      <c r="A5259" s="13"/>
    </row>
    <row r="5260" spans="1:1" customFormat="1">
      <c r="A5260" s="13" t="s">
        <v>1939</v>
      </c>
    </row>
    <row r="5261" spans="1:1" customFormat="1">
      <c r="A5261" s="13" t="s">
        <v>6741</v>
      </c>
    </row>
    <row r="5262" spans="1:1" customFormat="1">
      <c r="A5262" s="13" t="s">
        <v>6742</v>
      </c>
    </row>
    <row r="5263" spans="1:1" customFormat="1">
      <c r="A5263" s="13" t="s">
        <v>6743</v>
      </c>
    </row>
    <row r="5264" spans="1:1" customFormat="1">
      <c r="A5264" s="13" t="s">
        <v>6744</v>
      </c>
    </row>
    <row r="5265" spans="1:1" customFormat="1">
      <c r="A5265" s="13" t="s">
        <v>1939</v>
      </c>
    </row>
    <row r="5266" spans="1:1" customFormat="1">
      <c r="A5266" s="13" t="s">
        <v>1939</v>
      </c>
    </row>
    <row r="5267" spans="1:1" customFormat="1">
      <c r="A5267" s="13" t="s">
        <v>6745</v>
      </c>
    </row>
    <row r="5268" spans="1:1" customFormat="1">
      <c r="A5268" s="13" t="s">
        <v>6746</v>
      </c>
    </row>
    <row r="5269" spans="1:1" customFormat="1">
      <c r="A5269" s="13" t="s">
        <v>6747</v>
      </c>
    </row>
    <row r="5270" spans="1:1" customFormat="1">
      <c r="A5270" s="13" t="s">
        <v>1939</v>
      </c>
    </row>
    <row r="5271" spans="1:1" customFormat="1">
      <c r="A5271" s="13"/>
    </row>
    <row r="5272" spans="1:1">
      <c r="A5272" s="13" t="s">
        <v>6748</v>
      </c>
    </row>
  </sheetData>
  <autoFilter ref="A3:H5272" xr:uid="{F1DC930F-37C6-4041-9AE5-50DE62AAE885}"/>
  <phoneticPr fontId="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F0C7-1778-45F8-9CB9-775ACE655A61}">
  <sheetPr codeName="Sheet18" filterMode="1"/>
  <dimension ref="A1:H5272"/>
  <sheetViews>
    <sheetView workbookViewId="0"/>
  </sheetViews>
  <sheetFormatPr defaultColWidth="9" defaultRowHeight="15"/>
  <cols>
    <col min="1" max="1" width="99.375" style="13" bestFit="1" customWidth="1"/>
    <col min="2" max="2" width="9.125" style="13" bestFit="1" customWidth="1"/>
    <col min="3" max="3" width="9" style="13"/>
    <col min="4" max="4" width="9.625" style="13" bestFit="1" customWidth="1"/>
    <col min="5" max="5" width="31.875" style="13" bestFit="1" customWidth="1"/>
    <col min="6" max="6" width="5.125" style="13" bestFit="1" customWidth="1"/>
    <col min="7" max="7" width="15.625" style="13" bestFit="1" customWidth="1"/>
    <col min="8" max="8" width="13.25" style="13" bestFit="1" customWidth="1"/>
    <col min="9" max="16384" width="9" style="13"/>
  </cols>
  <sheetData>
    <row r="1" spans="1:1">
      <c r="A1" s="191"/>
    </row>
    <row r="2" spans="1:1">
      <c r="A2" s="191"/>
    </row>
    <row r="3" spans="1:1">
      <c r="A3" s="13" t="s">
        <v>6749</v>
      </c>
    </row>
    <row r="4" spans="1:1" customFormat="1" hidden="1">
      <c r="A4" s="13" t="s">
        <v>1939</v>
      </c>
    </row>
    <row r="5" spans="1:1" customFormat="1" hidden="1">
      <c r="A5" s="13" t="s">
        <v>1940</v>
      </c>
    </row>
    <row r="6" spans="1:1" customFormat="1" hidden="1">
      <c r="A6" s="13" t="s">
        <v>1941</v>
      </c>
    </row>
    <row r="7" spans="1:1" customFormat="1" hidden="1">
      <c r="A7" s="13" t="s">
        <v>1939</v>
      </c>
    </row>
    <row r="8" spans="1:1" customFormat="1" hidden="1">
      <c r="A8" s="13"/>
    </row>
    <row r="9" spans="1:1" customFormat="1" hidden="1">
      <c r="A9" s="13" t="s">
        <v>1939</v>
      </c>
    </row>
    <row r="10" spans="1:1" customFormat="1" hidden="1">
      <c r="A10" s="13" t="s">
        <v>6750</v>
      </c>
    </row>
    <row r="11" spans="1:1" customFormat="1" hidden="1">
      <c r="A11" s="13" t="s">
        <v>1943</v>
      </c>
    </row>
    <row r="12" spans="1:1" customFormat="1" hidden="1">
      <c r="A12" s="13" t="s">
        <v>1944</v>
      </c>
    </row>
    <row r="13" spans="1:1" customFormat="1" hidden="1">
      <c r="A13" s="13" t="s">
        <v>1939</v>
      </c>
    </row>
    <row r="14" spans="1:1" customFormat="1" hidden="1">
      <c r="A14" s="13" t="s">
        <v>6751</v>
      </c>
    </row>
    <row r="15" spans="1:1" customFormat="1" hidden="1">
      <c r="A15" s="13" t="s">
        <v>6752</v>
      </c>
    </row>
    <row r="16" spans="1:1" customFormat="1" hidden="1">
      <c r="A16" s="13"/>
    </row>
    <row r="17" spans="1:1" customFormat="1" hidden="1">
      <c r="A17" s="13"/>
    </row>
    <row r="18" spans="1:1" customFormat="1" hidden="1">
      <c r="A18" s="13" t="s">
        <v>1943</v>
      </c>
    </row>
    <row r="19" spans="1:1" customFormat="1" hidden="1">
      <c r="A19" s="13" t="s">
        <v>1947</v>
      </c>
    </row>
    <row r="20" spans="1:1" customFormat="1" hidden="1">
      <c r="A20" s="13" t="s">
        <v>1943</v>
      </c>
    </row>
    <row r="21" spans="1:1" customFormat="1" hidden="1">
      <c r="A21" s="13" t="s">
        <v>1948</v>
      </c>
    </row>
    <row r="22" spans="1:1" customFormat="1" hidden="1">
      <c r="A22" s="13" t="s">
        <v>1949</v>
      </c>
    </row>
    <row r="23" spans="1:1" customFormat="1" hidden="1">
      <c r="A23" s="13" t="s">
        <v>1948</v>
      </c>
    </row>
    <row r="24" spans="1:1" customFormat="1" hidden="1">
      <c r="A24" s="13" t="s">
        <v>1950</v>
      </c>
    </row>
    <row r="25" spans="1:1" customFormat="1" hidden="1">
      <c r="A25" s="13" t="s">
        <v>1951</v>
      </c>
    </row>
    <row r="26" spans="1:1" customFormat="1" hidden="1">
      <c r="A26" s="13" t="s">
        <v>1950</v>
      </c>
    </row>
    <row r="27" spans="1:1" customFormat="1" hidden="1">
      <c r="A27" s="13" t="s">
        <v>1952</v>
      </c>
    </row>
    <row r="28" spans="1:1" customFormat="1" hidden="1">
      <c r="A28" s="13"/>
    </row>
    <row r="29" spans="1:1" customFormat="1" hidden="1">
      <c r="A29" s="13"/>
    </row>
    <row r="30" spans="1:1" customFormat="1" hidden="1">
      <c r="A30" s="13" t="s">
        <v>1950</v>
      </c>
    </row>
    <row r="31" spans="1:1" customFormat="1" hidden="1">
      <c r="A31" s="13" t="s">
        <v>1953</v>
      </c>
    </row>
    <row r="32" spans="1:1" customFormat="1" hidden="1">
      <c r="A32" s="13" t="s">
        <v>1950</v>
      </c>
    </row>
    <row r="33" spans="1:1" customFormat="1" hidden="1">
      <c r="A33" s="13" t="s">
        <v>1954</v>
      </c>
    </row>
    <row r="34" spans="1:1" customFormat="1" hidden="1">
      <c r="A34" s="13"/>
    </row>
    <row r="35" spans="1:1" customFormat="1" hidden="1">
      <c r="A35" s="13"/>
    </row>
    <row r="36" spans="1:1" customFormat="1" hidden="1">
      <c r="A36" s="13" t="s">
        <v>1950</v>
      </c>
    </row>
    <row r="37" spans="1:1" customFormat="1" hidden="1">
      <c r="A37" s="13" t="s">
        <v>1955</v>
      </c>
    </row>
    <row r="38" spans="1:1" customFormat="1" hidden="1">
      <c r="A38" s="13" t="s">
        <v>1950</v>
      </c>
    </row>
    <row r="39" spans="1:1" customFormat="1" hidden="1">
      <c r="A39" s="13" t="s">
        <v>1956</v>
      </c>
    </row>
    <row r="40" spans="1:1" customFormat="1" hidden="1">
      <c r="A40" s="13"/>
    </row>
    <row r="41" spans="1:1" customFormat="1" hidden="1">
      <c r="A41" s="13"/>
    </row>
    <row r="42" spans="1:1" customFormat="1" hidden="1">
      <c r="A42" s="13" t="s">
        <v>1950</v>
      </c>
    </row>
    <row r="43" spans="1:1" customFormat="1" hidden="1">
      <c r="A43" s="13" t="s">
        <v>1957</v>
      </c>
    </row>
    <row r="44" spans="1:1" customFormat="1" hidden="1">
      <c r="A44" s="13" t="s">
        <v>1950</v>
      </c>
    </row>
    <row r="45" spans="1:1" customFormat="1" hidden="1">
      <c r="A45" s="13" t="s">
        <v>1958</v>
      </c>
    </row>
    <row r="46" spans="1:1" customFormat="1" hidden="1">
      <c r="A46" s="13"/>
    </row>
    <row r="47" spans="1:1" customFormat="1" hidden="1">
      <c r="A47" s="13"/>
    </row>
    <row r="48" spans="1:1" customFormat="1" hidden="1">
      <c r="A48" s="13" t="s">
        <v>1950</v>
      </c>
    </row>
    <row r="49" spans="1:1" customFormat="1" hidden="1">
      <c r="A49" s="13" t="s">
        <v>1959</v>
      </c>
    </row>
    <row r="50" spans="1:1" customFormat="1" hidden="1">
      <c r="A50" s="13" t="s">
        <v>1950</v>
      </c>
    </row>
    <row r="51" spans="1:1" customFormat="1" hidden="1">
      <c r="A51" s="13" t="s">
        <v>1960</v>
      </c>
    </row>
    <row r="52" spans="1:1" customFormat="1" hidden="1">
      <c r="A52" s="13"/>
    </row>
    <row r="53" spans="1:1" customFormat="1" hidden="1">
      <c r="A53" s="13"/>
    </row>
    <row r="54" spans="1:1" customFormat="1" hidden="1">
      <c r="A54" s="13" t="s">
        <v>1950</v>
      </c>
    </row>
    <row r="55" spans="1:1" customFormat="1" hidden="1">
      <c r="A55" s="13" t="s">
        <v>1961</v>
      </c>
    </row>
    <row r="56" spans="1:1" customFormat="1" hidden="1">
      <c r="A56" s="13" t="s">
        <v>1950</v>
      </c>
    </row>
    <row r="57" spans="1:1" customFormat="1" hidden="1">
      <c r="A57" s="13" t="s">
        <v>1962</v>
      </c>
    </row>
    <row r="58" spans="1:1" customFormat="1" hidden="1">
      <c r="A58" s="13"/>
    </row>
    <row r="59" spans="1:1" customFormat="1" hidden="1">
      <c r="A59" s="13"/>
    </row>
    <row r="60" spans="1:1" customFormat="1" hidden="1">
      <c r="A60" s="13" t="s">
        <v>1950</v>
      </c>
    </row>
    <row r="61" spans="1:1" customFormat="1" hidden="1">
      <c r="A61" s="13" t="s">
        <v>1963</v>
      </c>
    </row>
    <row r="62" spans="1:1" customFormat="1" hidden="1">
      <c r="A62" s="13" t="s">
        <v>1950</v>
      </c>
    </row>
    <row r="63" spans="1:1" customFormat="1" hidden="1">
      <c r="A63" s="13" t="s">
        <v>6753</v>
      </c>
    </row>
    <row r="64" spans="1:1" customFormat="1" hidden="1">
      <c r="A64" s="13"/>
    </row>
    <row r="65" spans="1:1" customFormat="1" hidden="1">
      <c r="A65" s="13"/>
    </row>
    <row r="66" spans="1:1" customFormat="1" hidden="1">
      <c r="A66" s="13" t="s">
        <v>1950</v>
      </c>
    </row>
    <row r="67" spans="1:1" customFormat="1" hidden="1">
      <c r="A67" s="13" t="s">
        <v>1965</v>
      </c>
    </row>
    <row r="68" spans="1:1" customFormat="1" hidden="1">
      <c r="A68" s="13" t="s">
        <v>1950</v>
      </c>
    </row>
    <row r="69" spans="1:1" customFormat="1" hidden="1">
      <c r="A69" s="13" t="s">
        <v>1966</v>
      </c>
    </row>
    <row r="70" spans="1:1" customFormat="1" hidden="1">
      <c r="A70" s="13"/>
    </row>
    <row r="71" spans="1:1" customFormat="1" hidden="1">
      <c r="A71" s="13"/>
    </row>
    <row r="72" spans="1:1" customFormat="1" hidden="1">
      <c r="A72" s="13" t="s">
        <v>1950</v>
      </c>
    </row>
    <row r="73" spans="1:1" customFormat="1" hidden="1">
      <c r="A73" s="13" t="s">
        <v>1967</v>
      </c>
    </row>
    <row r="74" spans="1:1" customFormat="1" hidden="1">
      <c r="A74" s="13" t="s">
        <v>1950</v>
      </c>
    </row>
    <row r="75" spans="1:1" customFormat="1" hidden="1">
      <c r="A75" s="13" t="s">
        <v>1968</v>
      </c>
    </row>
    <row r="76" spans="1:1" customFormat="1" hidden="1">
      <c r="A76" s="13"/>
    </row>
    <row r="77" spans="1:1" customFormat="1" hidden="1">
      <c r="A77" s="13"/>
    </row>
    <row r="78" spans="1:1" customFormat="1" hidden="1">
      <c r="A78" s="13" t="s">
        <v>1950</v>
      </c>
    </row>
    <row r="79" spans="1:1" customFormat="1" hidden="1">
      <c r="A79" s="13" t="s">
        <v>1969</v>
      </c>
    </row>
    <row r="80" spans="1:1" customFormat="1" hidden="1">
      <c r="A80" s="13" t="s">
        <v>1950</v>
      </c>
    </row>
    <row r="81" spans="1:1" customFormat="1" hidden="1">
      <c r="A81" s="13" t="s">
        <v>1970</v>
      </c>
    </row>
    <row r="82" spans="1:1" customFormat="1" hidden="1">
      <c r="A82" s="13"/>
    </row>
    <row r="83" spans="1:1" customFormat="1" hidden="1">
      <c r="A83" s="13"/>
    </row>
    <row r="84" spans="1:1" customFormat="1" hidden="1">
      <c r="A84" s="13" t="s">
        <v>1950</v>
      </c>
    </row>
    <row r="85" spans="1:1" customFormat="1" hidden="1">
      <c r="A85" s="13" t="s">
        <v>1971</v>
      </c>
    </row>
    <row r="86" spans="1:1" customFormat="1" hidden="1">
      <c r="A86" s="13" t="s">
        <v>1950</v>
      </c>
    </row>
    <row r="87" spans="1:1" customFormat="1" hidden="1">
      <c r="A87" s="13" t="s">
        <v>1972</v>
      </c>
    </row>
    <row r="88" spans="1:1" customFormat="1" hidden="1">
      <c r="A88" s="13"/>
    </row>
    <row r="89" spans="1:1" customFormat="1" hidden="1">
      <c r="A89" s="13"/>
    </row>
    <row r="90" spans="1:1" customFormat="1" hidden="1">
      <c r="A90" s="13" t="s">
        <v>1950</v>
      </c>
    </row>
    <row r="91" spans="1:1" customFormat="1" hidden="1">
      <c r="A91" s="13" t="s">
        <v>1973</v>
      </c>
    </row>
    <row r="92" spans="1:1" customFormat="1" hidden="1">
      <c r="A92" s="13" t="s">
        <v>1950</v>
      </c>
    </row>
    <row r="93" spans="1:1" customFormat="1" hidden="1">
      <c r="A93" s="13" t="s">
        <v>1974</v>
      </c>
    </row>
    <row r="94" spans="1:1" customFormat="1" hidden="1">
      <c r="A94" s="13"/>
    </row>
    <row r="95" spans="1:1" customFormat="1" hidden="1">
      <c r="A95" s="13"/>
    </row>
    <row r="96" spans="1:1" customFormat="1" hidden="1">
      <c r="A96" s="13" t="s">
        <v>1950</v>
      </c>
    </row>
    <row r="97" spans="1:1" customFormat="1" hidden="1">
      <c r="A97" s="13" t="s">
        <v>1975</v>
      </c>
    </row>
    <row r="98" spans="1:1" customFormat="1" hidden="1">
      <c r="A98" s="13" t="s">
        <v>1950</v>
      </c>
    </row>
    <row r="99" spans="1:1" customFormat="1" hidden="1">
      <c r="A99" s="13" t="s">
        <v>1976</v>
      </c>
    </row>
    <row r="100" spans="1:1" customFormat="1" hidden="1">
      <c r="A100" s="13"/>
    </row>
    <row r="101" spans="1:1" customFormat="1" hidden="1">
      <c r="A101" s="13"/>
    </row>
    <row r="102" spans="1:1" customFormat="1" hidden="1">
      <c r="A102" s="13" t="s">
        <v>1950</v>
      </c>
    </row>
    <row r="103" spans="1:1" customFormat="1" hidden="1">
      <c r="A103" s="13" t="s">
        <v>1977</v>
      </c>
    </row>
    <row r="104" spans="1:1" customFormat="1" hidden="1">
      <c r="A104" s="13" t="s">
        <v>1950</v>
      </c>
    </row>
    <row r="105" spans="1:1" customFormat="1" hidden="1">
      <c r="A105" s="13" t="s">
        <v>1978</v>
      </c>
    </row>
    <row r="106" spans="1:1" customFormat="1" hidden="1">
      <c r="A106" s="13"/>
    </row>
    <row r="107" spans="1:1" customFormat="1" hidden="1">
      <c r="A107" s="13"/>
    </row>
    <row r="108" spans="1:1" customFormat="1" hidden="1">
      <c r="A108" s="13" t="s">
        <v>1950</v>
      </c>
    </row>
    <row r="109" spans="1:1" customFormat="1" hidden="1">
      <c r="A109" s="13" t="s">
        <v>1979</v>
      </c>
    </row>
    <row r="110" spans="1:1" customFormat="1" hidden="1">
      <c r="A110" s="13" t="s">
        <v>1950</v>
      </c>
    </row>
    <row r="111" spans="1:1" customFormat="1" hidden="1">
      <c r="A111" s="13" t="s">
        <v>1980</v>
      </c>
    </row>
    <row r="112" spans="1:1" customFormat="1" hidden="1">
      <c r="A112" s="13"/>
    </row>
    <row r="113" spans="1:1" customFormat="1" hidden="1">
      <c r="A113" s="13"/>
    </row>
    <row r="114" spans="1:1" customFormat="1" hidden="1">
      <c r="A114" s="13" t="s">
        <v>1950</v>
      </c>
    </row>
    <row r="115" spans="1:1" customFormat="1" hidden="1">
      <c r="A115" s="13" t="s">
        <v>1981</v>
      </c>
    </row>
    <row r="116" spans="1:1" customFormat="1" hidden="1">
      <c r="A116" s="13" t="s">
        <v>1950</v>
      </c>
    </row>
    <row r="117" spans="1:1" customFormat="1" hidden="1">
      <c r="A117" s="13" t="s">
        <v>1982</v>
      </c>
    </row>
    <row r="118" spans="1:1" customFormat="1" hidden="1">
      <c r="A118" s="13"/>
    </row>
    <row r="119" spans="1:1" customFormat="1" hidden="1">
      <c r="A119" s="13"/>
    </row>
    <row r="120" spans="1:1" customFormat="1" hidden="1">
      <c r="A120" s="13" t="s">
        <v>1950</v>
      </c>
    </row>
    <row r="121" spans="1:1" customFormat="1" hidden="1">
      <c r="A121" s="13" t="s">
        <v>1983</v>
      </c>
    </row>
    <row r="122" spans="1:1" customFormat="1" hidden="1">
      <c r="A122" s="13" t="s">
        <v>1950</v>
      </c>
    </row>
    <row r="123" spans="1:1" customFormat="1" hidden="1">
      <c r="A123" s="13" t="s">
        <v>1984</v>
      </c>
    </row>
    <row r="124" spans="1:1" customFormat="1" hidden="1">
      <c r="A124" s="13"/>
    </row>
    <row r="125" spans="1:1" customFormat="1" hidden="1">
      <c r="A125" s="13"/>
    </row>
    <row r="126" spans="1:1" customFormat="1" hidden="1">
      <c r="A126" s="13" t="s">
        <v>1950</v>
      </c>
    </row>
    <row r="127" spans="1:1" customFormat="1" hidden="1">
      <c r="A127" s="13" t="s">
        <v>1985</v>
      </c>
    </row>
    <row r="128" spans="1:1" customFormat="1" hidden="1">
      <c r="A128" s="13" t="s">
        <v>1950</v>
      </c>
    </row>
    <row r="129" spans="1:7" customFormat="1" hidden="1">
      <c r="A129" s="13" t="s">
        <v>1986</v>
      </c>
    </row>
    <row r="130" spans="1:7" customFormat="1" hidden="1">
      <c r="A130" s="13"/>
    </row>
    <row r="131" spans="1:7" customFormat="1" hidden="1">
      <c r="A131" s="13"/>
    </row>
    <row r="132" spans="1:7" customFormat="1" hidden="1">
      <c r="A132" s="13" t="s">
        <v>1950</v>
      </c>
    </row>
    <row r="133" spans="1:7" customFormat="1" hidden="1">
      <c r="A133" s="13" t="s">
        <v>1987</v>
      </c>
    </row>
    <row r="134" spans="1:7" customFormat="1" hidden="1">
      <c r="A134" s="13" t="s">
        <v>1950</v>
      </c>
    </row>
    <row r="135" spans="1:7" customFormat="1" hidden="1">
      <c r="A135" s="13" t="s">
        <v>6754</v>
      </c>
    </row>
    <row r="136" spans="1:7" customFormat="1" hidden="1">
      <c r="A136" s="13"/>
    </row>
    <row r="137" spans="1:7" customFormat="1" hidden="1">
      <c r="A137" s="13"/>
    </row>
    <row r="138" spans="1:7" customFormat="1" hidden="1">
      <c r="A138" s="13" t="s">
        <v>1950</v>
      </c>
    </row>
    <row r="139" spans="1:7" customFormat="1" hidden="1">
      <c r="A139" s="13" t="s">
        <v>1989</v>
      </c>
    </row>
    <row r="140" spans="1:7" customFormat="1" hidden="1">
      <c r="A140" s="13" t="s">
        <v>1950</v>
      </c>
    </row>
    <row r="141" spans="1:7">
      <c r="A141" s="13" t="s">
        <v>6755</v>
      </c>
      <c r="B141" s="13" t="s">
        <v>1991</v>
      </c>
      <c r="E141" s="13" t="s">
        <v>1992</v>
      </c>
      <c r="F141" s="13">
        <v>0</v>
      </c>
      <c r="G141" s="13" t="s">
        <v>4</v>
      </c>
    </row>
    <row r="142" spans="1:7" hidden="1">
      <c r="A142" s="13" t="s">
        <v>6756</v>
      </c>
    </row>
    <row r="143" spans="1:7" hidden="1">
      <c r="A143" s="13" t="s">
        <v>6757</v>
      </c>
    </row>
    <row r="144" spans="1:7" hidden="1">
      <c r="A144" s="13" t="s">
        <v>6758</v>
      </c>
    </row>
    <row r="145" spans="1:1" hidden="1">
      <c r="A145" s="13" t="s">
        <v>6759</v>
      </c>
    </row>
    <row r="146" spans="1:1" hidden="1">
      <c r="A146" s="13" t="s">
        <v>6760</v>
      </c>
    </row>
    <row r="147" spans="1:1" hidden="1">
      <c r="A147" s="13" t="s">
        <v>6761</v>
      </c>
    </row>
    <row r="148" spans="1:1" hidden="1">
      <c r="A148" s="13" t="s">
        <v>6762</v>
      </c>
    </row>
    <row r="149" spans="1:1" hidden="1">
      <c r="A149" s="13" t="s">
        <v>6763</v>
      </c>
    </row>
    <row r="150" spans="1:1" hidden="1">
      <c r="A150" s="13" t="s">
        <v>6764</v>
      </c>
    </row>
    <row r="151" spans="1:1" hidden="1">
      <c r="A151" s="13" t="s">
        <v>6765</v>
      </c>
    </row>
    <row r="152" spans="1:1" hidden="1">
      <c r="A152" s="13" t="s">
        <v>6766</v>
      </c>
    </row>
    <row r="153" spans="1:1" hidden="1">
      <c r="A153" s="13" t="s">
        <v>6767</v>
      </c>
    </row>
    <row r="154" spans="1:1" hidden="1">
      <c r="A154" s="13" t="s">
        <v>6768</v>
      </c>
    </row>
    <row r="155" spans="1:1" hidden="1">
      <c r="A155" s="13" t="s">
        <v>6769</v>
      </c>
    </row>
    <row r="156" spans="1:1" hidden="1">
      <c r="A156" s="13" t="s">
        <v>6770</v>
      </c>
    </row>
    <row r="157" spans="1:1" hidden="1">
      <c r="A157" s="13" t="s">
        <v>6771</v>
      </c>
    </row>
    <row r="158" spans="1:1" hidden="1">
      <c r="A158" s="13" t="s">
        <v>6772</v>
      </c>
    </row>
    <row r="159" spans="1:1" hidden="1">
      <c r="A159" s="13" t="s">
        <v>6773</v>
      </c>
    </row>
    <row r="160" spans="1:1" hidden="1">
      <c r="A160" s="13" t="s">
        <v>6774</v>
      </c>
    </row>
    <row r="161" spans="1:1" hidden="1">
      <c r="A161" s="13" t="s">
        <v>6775</v>
      </c>
    </row>
    <row r="162" spans="1:1" hidden="1">
      <c r="A162" s="13" t="s">
        <v>6776</v>
      </c>
    </row>
    <row r="163" spans="1:1" hidden="1">
      <c r="A163" s="13" t="s">
        <v>6777</v>
      </c>
    </row>
    <row r="164" spans="1:1" hidden="1">
      <c r="A164" s="13" t="s">
        <v>6778</v>
      </c>
    </row>
    <row r="165" spans="1:1" hidden="1">
      <c r="A165" s="13" t="s">
        <v>6779</v>
      </c>
    </row>
    <row r="166" spans="1:1" hidden="1">
      <c r="A166" s="13" t="s">
        <v>6780</v>
      </c>
    </row>
    <row r="167" spans="1:1" hidden="1">
      <c r="A167" s="13" t="s">
        <v>6781</v>
      </c>
    </row>
    <row r="168" spans="1:1" hidden="1">
      <c r="A168" s="13" t="s">
        <v>6782</v>
      </c>
    </row>
    <row r="169" spans="1:1" hidden="1">
      <c r="A169" s="13" t="s">
        <v>6783</v>
      </c>
    </row>
    <row r="170" spans="1:1" hidden="1">
      <c r="A170" s="13" t="s">
        <v>6784</v>
      </c>
    </row>
    <row r="171" spans="1:1" hidden="1">
      <c r="A171" s="13" t="s">
        <v>6785</v>
      </c>
    </row>
    <row r="172" spans="1:1" hidden="1">
      <c r="A172" s="13" t="s">
        <v>6786</v>
      </c>
    </row>
    <row r="173" spans="1:1" hidden="1">
      <c r="A173" s="13" t="s">
        <v>6787</v>
      </c>
    </row>
    <row r="174" spans="1:1" hidden="1">
      <c r="A174" s="13" t="s">
        <v>6788</v>
      </c>
    </row>
    <row r="175" spans="1:1" hidden="1">
      <c r="A175" s="13" t="s">
        <v>6789</v>
      </c>
    </row>
    <row r="176" spans="1:1" hidden="1">
      <c r="A176" s="13" t="s">
        <v>2025</v>
      </c>
    </row>
    <row r="177" spans="1:1" customFormat="1" hidden="1">
      <c r="A177" s="13" t="s">
        <v>2026</v>
      </c>
    </row>
    <row r="178" spans="1:1" customFormat="1" hidden="1">
      <c r="A178" s="13" t="s">
        <v>2027</v>
      </c>
    </row>
    <row r="179" spans="1:1" customFormat="1" hidden="1">
      <c r="A179" s="13" t="s">
        <v>2028</v>
      </c>
    </row>
    <row r="180" spans="1:1" customFormat="1" hidden="1">
      <c r="A180" s="13" t="s">
        <v>2029</v>
      </c>
    </row>
    <row r="181" spans="1:1" customFormat="1" hidden="1">
      <c r="A181" s="13" t="s">
        <v>2030</v>
      </c>
    </row>
    <row r="182" spans="1:1" customFormat="1" hidden="1">
      <c r="A182" s="13" t="s">
        <v>2031</v>
      </c>
    </row>
    <row r="183" spans="1:1" customFormat="1" hidden="1">
      <c r="A183" s="13" t="s">
        <v>2032</v>
      </c>
    </row>
    <row r="184" spans="1:1" customFormat="1" hidden="1">
      <c r="A184" s="13" t="s">
        <v>2033</v>
      </c>
    </row>
    <row r="185" spans="1:1" customFormat="1" hidden="1">
      <c r="A185" s="13" t="s">
        <v>2034</v>
      </c>
    </row>
    <row r="186" spans="1:1" customFormat="1" hidden="1">
      <c r="A186" s="13" t="s">
        <v>2035</v>
      </c>
    </row>
    <row r="187" spans="1:1" customFormat="1" hidden="1">
      <c r="A187" s="13" t="s">
        <v>2036</v>
      </c>
    </row>
    <row r="188" spans="1:1" customFormat="1" hidden="1">
      <c r="A188" s="13" t="s">
        <v>2037</v>
      </c>
    </row>
    <row r="189" spans="1:1" customFormat="1" hidden="1">
      <c r="A189" s="13" t="s">
        <v>2038</v>
      </c>
    </row>
    <row r="190" spans="1:1" customFormat="1" hidden="1">
      <c r="A190" s="13" t="s">
        <v>2039</v>
      </c>
    </row>
    <row r="191" spans="1:1" customFormat="1" hidden="1">
      <c r="A191" s="13" t="s">
        <v>2040</v>
      </c>
    </row>
    <row r="192" spans="1:1" customFormat="1" hidden="1">
      <c r="A192" s="13" t="s">
        <v>2041</v>
      </c>
    </row>
    <row r="193" spans="1:1" customFormat="1" hidden="1">
      <c r="A193" s="13" t="s">
        <v>2042</v>
      </c>
    </row>
    <row r="194" spans="1:1" customFormat="1" hidden="1">
      <c r="A194" s="13" t="s">
        <v>2043</v>
      </c>
    </row>
    <row r="195" spans="1:1" customFormat="1" hidden="1">
      <c r="A195" s="13" t="s">
        <v>2044</v>
      </c>
    </row>
    <row r="196" spans="1:1" customFormat="1" hidden="1">
      <c r="A196" s="13" t="s">
        <v>2045</v>
      </c>
    </row>
    <row r="197" spans="1:1" customFormat="1" hidden="1">
      <c r="A197" s="13" t="s">
        <v>2046</v>
      </c>
    </row>
    <row r="198" spans="1:1" customFormat="1" hidden="1">
      <c r="A198" s="13" t="s">
        <v>2047</v>
      </c>
    </row>
    <row r="199" spans="1:1" customFormat="1" hidden="1">
      <c r="A199" s="13" t="s">
        <v>2048</v>
      </c>
    </row>
    <row r="200" spans="1:1" customFormat="1" hidden="1">
      <c r="A200" s="13" t="s">
        <v>2049</v>
      </c>
    </row>
    <row r="201" spans="1:1" customFormat="1" hidden="1">
      <c r="A201" s="13" t="s">
        <v>2050</v>
      </c>
    </row>
    <row r="202" spans="1:1" customFormat="1" hidden="1">
      <c r="A202" s="13" t="s">
        <v>2051</v>
      </c>
    </row>
    <row r="203" spans="1:1" customFormat="1" hidden="1">
      <c r="A203" s="13" t="s">
        <v>2052</v>
      </c>
    </row>
    <row r="204" spans="1:1" customFormat="1" hidden="1">
      <c r="A204" s="13" t="s">
        <v>2053</v>
      </c>
    </row>
    <row r="205" spans="1:1" customFormat="1" hidden="1">
      <c r="A205" s="13" t="s">
        <v>2054</v>
      </c>
    </row>
    <row r="206" spans="1:1" customFormat="1" hidden="1">
      <c r="A206" s="13" t="s">
        <v>2055</v>
      </c>
    </row>
    <row r="207" spans="1:1" customFormat="1" hidden="1">
      <c r="A207" s="13" t="s">
        <v>2056</v>
      </c>
    </row>
    <row r="208" spans="1:1" customFormat="1" hidden="1">
      <c r="A208" s="13" t="s">
        <v>2057</v>
      </c>
    </row>
    <row r="209" spans="1:1" customFormat="1" hidden="1">
      <c r="A209" s="13" t="s">
        <v>2058</v>
      </c>
    </row>
    <row r="210" spans="1:1" customFormat="1" hidden="1">
      <c r="A210" s="13" t="s">
        <v>2059</v>
      </c>
    </row>
    <row r="211" spans="1:1" customFormat="1" hidden="1">
      <c r="A211" s="13" t="s">
        <v>2060</v>
      </c>
    </row>
    <row r="212" spans="1:1" customFormat="1" hidden="1">
      <c r="A212" s="13" t="s">
        <v>2061</v>
      </c>
    </row>
    <row r="213" spans="1:1" customFormat="1" hidden="1">
      <c r="A213" s="13" t="s">
        <v>2062</v>
      </c>
    </row>
    <row r="214" spans="1:1" customFormat="1" hidden="1">
      <c r="A214" s="13" t="s">
        <v>2063</v>
      </c>
    </row>
    <row r="215" spans="1:1" customFormat="1" hidden="1">
      <c r="A215" s="13" t="s">
        <v>2064</v>
      </c>
    </row>
    <row r="216" spans="1:1" customFormat="1" hidden="1">
      <c r="A216" s="13" t="s">
        <v>2065</v>
      </c>
    </row>
    <row r="217" spans="1:1" customFormat="1" hidden="1">
      <c r="A217" s="13" t="s">
        <v>2066</v>
      </c>
    </row>
    <row r="218" spans="1:1" customFormat="1" hidden="1">
      <c r="A218" s="13" t="s">
        <v>2067</v>
      </c>
    </row>
    <row r="219" spans="1:1" customFormat="1" hidden="1">
      <c r="A219" s="13" t="s">
        <v>2068</v>
      </c>
    </row>
    <row r="220" spans="1:1" customFormat="1" hidden="1">
      <c r="A220" s="13" t="s">
        <v>2069</v>
      </c>
    </row>
    <row r="221" spans="1:1" customFormat="1" hidden="1">
      <c r="A221" s="13" t="s">
        <v>2070</v>
      </c>
    </row>
    <row r="222" spans="1:1" customFormat="1" hidden="1">
      <c r="A222" s="13" t="s">
        <v>2071</v>
      </c>
    </row>
    <row r="223" spans="1:1" customFormat="1" hidden="1">
      <c r="A223" s="13" t="s">
        <v>2072</v>
      </c>
    </row>
    <row r="224" spans="1:1" customFormat="1" hidden="1">
      <c r="A224" s="13" t="s">
        <v>2073</v>
      </c>
    </row>
    <row r="225" spans="1:1" customFormat="1" hidden="1">
      <c r="A225" s="13" t="s">
        <v>2074</v>
      </c>
    </row>
    <row r="226" spans="1:1" customFormat="1" hidden="1">
      <c r="A226" s="13" t="s">
        <v>2075</v>
      </c>
    </row>
    <row r="227" spans="1:1" customFormat="1" hidden="1">
      <c r="A227" s="13" t="s">
        <v>2076</v>
      </c>
    </row>
    <row r="228" spans="1:1" customFormat="1" hidden="1">
      <c r="A228" s="13" t="s">
        <v>2077</v>
      </c>
    </row>
    <row r="229" spans="1:1" customFormat="1" hidden="1">
      <c r="A229" s="13" t="s">
        <v>2078</v>
      </c>
    </row>
    <row r="230" spans="1:1" customFormat="1" hidden="1">
      <c r="A230" s="13" t="s">
        <v>2079</v>
      </c>
    </row>
    <row r="231" spans="1:1" customFormat="1" hidden="1">
      <c r="A231" s="13" t="s">
        <v>2080</v>
      </c>
    </row>
    <row r="232" spans="1:1" customFormat="1" hidden="1">
      <c r="A232" s="13" t="s">
        <v>2081</v>
      </c>
    </row>
    <row r="233" spans="1:1" customFormat="1" hidden="1">
      <c r="A233" s="13" t="s">
        <v>2082</v>
      </c>
    </row>
    <row r="234" spans="1:1" customFormat="1" hidden="1">
      <c r="A234" s="13" t="s">
        <v>2083</v>
      </c>
    </row>
    <row r="235" spans="1:1" customFormat="1" hidden="1">
      <c r="A235" s="13" t="s">
        <v>2084</v>
      </c>
    </row>
    <row r="236" spans="1:1" customFormat="1" hidden="1">
      <c r="A236" s="13" t="s">
        <v>2085</v>
      </c>
    </row>
    <row r="237" spans="1:1" customFormat="1" hidden="1">
      <c r="A237" s="13" t="s">
        <v>2086</v>
      </c>
    </row>
    <row r="238" spans="1:1" customFormat="1" hidden="1">
      <c r="A238" s="13" t="s">
        <v>2087</v>
      </c>
    </row>
    <row r="239" spans="1:1" customFormat="1" hidden="1">
      <c r="A239" s="13" t="s">
        <v>2088</v>
      </c>
    </row>
    <row r="240" spans="1:1" customFormat="1" hidden="1">
      <c r="A240" s="13" t="s">
        <v>2089</v>
      </c>
    </row>
    <row r="241" spans="1:1" customFormat="1" hidden="1">
      <c r="A241" s="13" t="s">
        <v>2090</v>
      </c>
    </row>
    <row r="242" spans="1:1" customFormat="1" hidden="1">
      <c r="A242" s="13" t="s">
        <v>2091</v>
      </c>
    </row>
    <row r="243" spans="1:1" customFormat="1" hidden="1">
      <c r="A243" s="13" t="s">
        <v>2092</v>
      </c>
    </row>
    <row r="244" spans="1:1" customFormat="1" hidden="1">
      <c r="A244" s="13" t="s">
        <v>2093</v>
      </c>
    </row>
    <row r="245" spans="1:1" customFormat="1" hidden="1">
      <c r="A245" s="13" t="s">
        <v>2094</v>
      </c>
    </row>
    <row r="246" spans="1:1" customFormat="1" hidden="1">
      <c r="A246" s="13" t="s">
        <v>2095</v>
      </c>
    </row>
    <row r="247" spans="1:1" customFormat="1" hidden="1">
      <c r="A247" s="13" t="s">
        <v>2096</v>
      </c>
    </row>
    <row r="248" spans="1:1" customFormat="1" hidden="1">
      <c r="A248" s="13" t="s">
        <v>2097</v>
      </c>
    </row>
    <row r="249" spans="1:1" customFormat="1" hidden="1">
      <c r="A249" s="13" t="s">
        <v>2098</v>
      </c>
    </row>
    <row r="250" spans="1:1" customFormat="1" hidden="1">
      <c r="A250" s="13" t="s">
        <v>2099</v>
      </c>
    </row>
    <row r="251" spans="1:1" customFormat="1" hidden="1">
      <c r="A251" s="13" t="s">
        <v>2100</v>
      </c>
    </row>
    <row r="252" spans="1:1" customFormat="1" hidden="1">
      <c r="A252" s="13" t="s">
        <v>2101</v>
      </c>
    </row>
    <row r="253" spans="1:1" customFormat="1" hidden="1">
      <c r="A253" s="13" t="s">
        <v>2102</v>
      </c>
    </row>
    <row r="254" spans="1:1" customFormat="1" hidden="1">
      <c r="A254" s="13" t="s">
        <v>2103</v>
      </c>
    </row>
    <row r="255" spans="1:1" customFormat="1" hidden="1">
      <c r="A255" s="13" t="s">
        <v>2104</v>
      </c>
    </row>
    <row r="256" spans="1:1" customFormat="1" hidden="1">
      <c r="A256" s="13" t="s">
        <v>2105</v>
      </c>
    </row>
    <row r="257" spans="1:1" customFormat="1" hidden="1">
      <c r="A257" s="13" t="s">
        <v>2106</v>
      </c>
    </row>
    <row r="258" spans="1:1" customFormat="1" hidden="1">
      <c r="A258" s="13" t="s">
        <v>2107</v>
      </c>
    </row>
    <row r="259" spans="1:1" customFormat="1" hidden="1">
      <c r="A259" s="13" t="s">
        <v>2108</v>
      </c>
    </row>
    <row r="260" spans="1:1" customFormat="1" hidden="1">
      <c r="A260" s="13" t="s">
        <v>2109</v>
      </c>
    </row>
    <row r="261" spans="1:1" customFormat="1" hidden="1">
      <c r="A261" s="13" t="s">
        <v>2110</v>
      </c>
    </row>
    <row r="262" spans="1:1" customFormat="1" hidden="1">
      <c r="A262" s="13" t="s">
        <v>2111</v>
      </c>
    </row>
    <row r="263" spans="1:1" customFormat="1" hidden="1">
      <c r="A263" s="13" t="s">
        <v>2112</v>
      </c>
    </row>
    <row r="264" spans="1:1" customFormat="1" hidden="1">
      <c r="A264" s="13" t="s">
        <v>2113</v>
      </c>
    </row>
    <row r="265" spans="1:1" customFormat="1" hidden="1">
      <c r="A265" s="13" t="s">
        <v>2114</v>
      </c>
    </row>
    <row r="266" spans="1:1" customFormat="1" hidden="1">
      <c r="A266" s="13" t="s">
        <v>2115</v>
      </c>
    </row>
    <row r="267" spans="1:1" customFormat="1" hidden="1">
      <c r="A267" s="13" t="s">
        <v>2116</v>
      </c>
    </row>
    <row r="268" spans="1:1" customFormat="1" hidden="1">
      <c r="A268" s="13" t="s">
        <v>2117</v>
      </c>
    </row>
    <row r="269" spans="1:1" customFormat="1" hidden="1">
      <c r="A269" s="13"/>
    </row>
    <row r="270" spans="1:1" customFormat="1" hidden="1">
      <c r="A270" s="13"/>
    </row>
    <row r="271" spans="1:1" customFormat="1" hidden="1">
      <c r="A271" s="13" t="s">
        <v>2118</v>
      </c>
    </row>
    <row r="272" spans="1:1" customFormat="1" hidden="1">
      <c r="A272" s="13" t="s">
        <v>2119</v>
      </c>
    </row>
    <row r="273" spans="1:1" customFormat="1" hidden="1">
      <c r="A273" s="13" t="s">
        <v>2118</v>
      </c>
    </row>
    <row r="274" spans="1:1" customFormat="1" hidden="1">
      <c r="A274" s="13" t="s">
        <v>1950</v>
      </c>
    </row>
    <row r="275" spans="1:1" customFormat="1" hidden="1">
      <c r="A275" s="13" t="s">
        <v>2120</v>
      </c>
    </row>
    <row r="276" spans="1:1" customFormat="1" hidden="1">
      <c r="A276" s="13" t="s">
        <v>1950</v>
      </c>
    </row>
    <row r="277" spans="1:1" customFormat="1" hidden="1">
      <c r="A277" s="13" t="s">
        <v>2121</v>
      </c>
    </row>
    <row r="278" spans="1:1" customFormat="1" hidden="1">
      <c r="A278" s="13" t="s">
        <v>2122</v>
      </c>
    </row>
    <row r="279" spans="1:1" customFormat="1" hidden="1">
      <c r="A279" s="13" t="s">
        <v>2123</v>
      </c>
    </row>
    <row r="280" spans="1:1" customFormat="1" hidden="1">
      <c r="A280" s="13" t="s">
        <v>2124</v>
      </c>
    </row>
    <row r="281" spans="1:1" customFormat="1" hidden="1">
      <c r="A281" s="13" t="s">
        <v>2125</v>
      </c>
    </row>
    <row r="282" spans="1:1" customFormat="1" hidden="1">
      <c r="A282" s="13" t="s">
        <v>2126</v>
      </c>
    </row>
    <row r="283" spans="1:1" customFormat="1" hidden="1">
      <c r="A283" s="13" t="s">
        <v>2127</v>
      </c>
    </row>
    <row r="284" spans="1:1" customFormat="1" hidden="1">
      <c r="A284" s="13" t="s">
        <v>2128</v>
      </c>
    </row>
    <row r="285" spans="1:1" customFormat="1" hidden="1">
      <c r="A285" s="13"/>
    </row>
    <row r="286" spans="1:1" customFormat="1" hidden="1">
      <c r="A286" s="13"/>
    </row>
    <row r="287" spans="1:1" customFormat="1" hidden="1">
      <c r="A287" s="13" t="s">
        <v>1950</v>
      </c>
    </row>
    <row r="288" spans="1:1" customFormat="1" hidden="1">
      <c r="A288" s="13" t="s">
        <v>2129</v>
      </c>
    </row>
    <row r="289" spans="1:1" customFormat="1" hidden="1">
      <c r="A289" s="13" t="s">
        <v>1950</v>
      </c>
    </row>
    <row r="290" spans="1:1" customFormat="1" hidden="1">
      <c r="A290" s="13" t="s">
        <v>2130</v>
      </c>
    </row>
    <row r="291" spans="1:1" customFormat="1" hidden="1">
      <c r="A291" s="13" t="s">
        <v>2131</v>
      </c>
    </row>
    <row r="292" spans="1:1" customFormat="1" hidden="1">
      <c r="A292" s="13" t="s">
        <v>2132</v>
      </c>
    </row>
    <row r="293" spans="1:1" customFormat="1" hidden="1">
      <c r="A293" s="13" t="s">
        <v>2133</v>
      </c>
    </row>
    <row r="294" spans="1:1" customFormat="1" hidden="1">
      <c r="A294" s="13" t="s">
        <v>2134</v>
      </c>
    </row>
    <row r="295" spans="1:1" customFormat="1" hidden="1">
      <c r="A295" s="13" t="s">
        <v>6790</v>
      </c>
    </row>
    <row r="296" spans="1:1" customFormat="1" hidden="1">
      <c r="A296" s="13" t="s">
        <v>2136</v>
      </c>
    </row>
    <row r="297" spans="1:1" customFormat="1" hidden="1">
      <c r="A297" s="13" t="s">
        <v>6791</v>
      </c>
    </row>
    <row r="298" spans="1:1" customFormat="1" hidden="1">
      <c r="A298" s="13"/>
    </row>
    <row r="299" spans="1:1" customFormat="1" hidden="1">
      <c r="A299" s="13"/>
    </row>
    <row r="300" spans="1:1" customFormat="1" hidden="1">
      <c r="A300" s="13" t="s">
        <v>1950</v>
      </c>
    </row>
    <row r="301" spans="1:1" customFormat="1" hidden="1">
      <c r="A301" s="13" t="s">
        <v>2138</v>
      </c>
    </row>
    <row r="302" spans="1:1" customFormat="1" hidden="1">
      <c r="A302" s="13" t="s">
        <v>1950</v>
      </c>
    </row>
    <row r="303" spans="1:1" customFormat="1" hidden="1">
      <c r="A303" s="13" t="s">
        <v>2139</v>
      </c>
    </row>
    <row r="304" spans="1:1" customFormat="1" hidden="1">
      <c r="A304" s="13" t="s">
        <v>2140</v>
      </c>
    </row>
    <row r="305" spans="1:1" customFormat="1" hidden="1">
      <c r="A305" s="13" t="s">
        <v>2141</v>
      </c>
    </row>
    <row r="306" spans="1:1" customFormat="1" hidden="1">
      <c r="A306" s="13" t="s">
        <v>6792</v>
      </c>
    </row>
    <row r="307" spans="1:1" customFormat="1" hidden="1">
      <c r="A307" s="13" t="s">
        <v>2143</v>
      </c>
    </row>
    <row r="308" spans="1:1" customFormat="1" hidden="1">
      <c r="A308" s="13" t="s">
        <v>6793</v>
      </c>
    </row>
    <row r="309" spans="1:1" customFormat="1" hidden="1">
      <c r="A309" s="13" t="s">
        <v>2145</v>
      </c>
    </row>
    <row r="310" spans="1:1" customFormat="1" hidden="1">
      <c r="A310" s="13" t="s">
        <v>6794</v>
      </c>
    </row>
    <row r="311" spans="1:1" customFormat="1" hidden="1">
      <c r="A311" s="13"/>
    </row>
    <row r="312" spans="1:1" customFormat="1" hidden="1">
      <c r="A312" s="13"/>
    </row>
    <row r="313" spans="1:1" customFormat="1" hidden="1">
      <c r="A313" s="13" t="s">
        <v>1950</v>
      </c>
    </row>
    <row r="314" spans="1:1" customFormat="1" hidden="1">
      <c r="A314" s="13" t="s">
        <v>2147</v>
      </c>
    </row>
    <row r="315" spans="1:1" customFormat="1" hidden="1">
      <c r="A315" s="13" t="s">
        <v>1950</v>
      </c>
    </row>
    <row r="316" spans="1:1" customFormat="1" hidden="1">
      <c r="A316" s="13" t="s">
        <v>2148</v>
      </c>
    </row>
    <row r="317" spans="1:1" customFormat="1" hidden="1">
      <c r="A317" s="13" t="s">
        <v>2149</v>
      </c>
    </row>
    <row r="318" spans="1:1" customFormat="1" hidden="1">
      <c r="A318" s="13" t="s">
        <v>2150</v>
      </c>
    </row>
    <row r="319" spans="1:1" customFormat="1" hidden="1">
      <c r="A319" s="13" t="s">
        <v>2151</v>
      </c>
    </row>
    <row r="320" spans="1:1" customFormat="1" hidden="1">
      <c r="A320" s="13" t="s">
        <v>2152</v>
      </c>
    </row>
    <row r="321" spans="1:1" customFormat="1" hidden="1">
      <c r="A321" s="13" t="s">
        <v>2153</v>
      </c>
    </row>
    <row r="322" spans="1:1" customFormat="1" hidden="1">
      <c r="A322" s="13" t="s">
        <v>2154</v>
      </c>
    </row>
    <row r="323" spans="1:1" customFormat="1" hidden="1">
      <c r="A323" s="13" t="s">
        <v>2155</v>
      </c>
    </row>
    <row r="324" spans="1:1" customFormat="1" hidden="1">
      <c r="A324" s="13"/>
    </row>
    <row r="325" spans="1:1" customFormat="1" hidden="1">
      <c r="A325" s="13"/>
    </row>
    <row r="326" spans="1:1" customFormat="1" hidden="1">
      <c r="A326" s="13" t="s">
        <v>1950</v>
      </c>
    </row>
    <row r="327" spans="1:1" customFormat="1" hidden="1">
      <c r="A327" s="13" t="s">
        <v>2156</v>
      </c>
    </row>
    <row r="328" spans="1:1" customFormat="1" hidden="1">
      <c r="A328" s="13" t="s">
        <v>1950</v>
      </c>
    </row>
    <row r="329" spans="1:1" customFormat="1" hidden="1">
      <c r="A329" s="13" t="s">
        <v>2157</v>
      </c>
    </row>
    <row r="330" spans="1:1" customFormat="1" hidden="1">
      <c r="A330" s="13" t="s">
        <v>2158</v>
      </c>
    </row>
    <row r="331" spans="1:1" customFormat="1" hidden="1">
      <c r="A331" s="13" t="s">
        <v>2159</v>
      </c>
    </row>
    <row r="332" spans="1:1" customFormat="1" hidden="1">
      <c r="A332" s="13" t="s">
        <v>2160</v>
      </c>
    </row>
    <row r="333" spans="1:1" customFormat="1" hidden="1">
      <c r="A333" s="13" t="s">
        <v>2161</v>
      </c>
    </row>
    <row r="334" spans="1:1" customFormat="1" hidden="1">
      <c r="A334" s="13" t="s">
        <v>2162</v>
      </c>
    </row>
    <row r="335" spans="1:1" customFormat="1" hidden="1">
      <c r="A335" s="13" t="s">
        <v>2163</v>
      </c>
    </row>
    <row r="336" spans="1:1" customFormat="1" hidden="1">
      <c r="A336" s="13" t="s">
        <v>2164</v>
      </c>
    </row>
    <row r="337" spans="1:1" customFormat="1" hidden="1">
      <c r="A337" s="13"/>
    </row>
    <row r="338" spans="1:1" customFormat="1" hidden="1">
      <c r="A338" s="13"/>
    </row>
    <row r="339" spans="1:1" customFormat="1" hidden="1">
      <c r="A339" s="13" t="s">
        <v>1950</v>
      </c>
    </row>
    <row r="340" spans="1:1" customFormat="1" hidden="1">
      <c r="A340" s="13" t="s">
        <v>2165</v>
      </c>
    </row>
    <row r="341" spans="1:1" customFormat="1" hidden="1">
      <c r="A341" s="13" t="s">
        <v>1950</v>
      </c>
    </row>
    <row r="342" spans="1:1" customFormat="1" hidden="1">
      <c r="A342" s="13" t="s">
        <v>2166</v>
      </c>
    </row>
    <row r="343" spans="1:1" customFormat="1" hidden="1">
      <c r="A343" s="13" t="s">
        <v>2167</v>
      </c>
    </row>
    <row r="344" spans="1:1" customFormat="1" hidden="1">
      <c r="A344" s="13" t="s">
        <v>2168</v>
      </c>
    </row>
    <row r="345" spans="1:1" customFormat="1" hidden="1">
      <c r="A345" s="13" t="s">
        <v>2169</v>
      </c>
    </row>
    <row r="346" spans="1:1" customFormat="1" hidden="1">
      <c r="A346" s="13" t="s">
        <v>2170</v>
      </c>
    </row>
    <row r="347" spans="1:1" customFormat="1" hidden="1">
      <c r="A347" s="13" t="s">
        <v>2171</v>
      </c>
    </row>
    <row r="348" spans="1:1" customFormat="1" hidden="1">
      <c r="A348" s="13" t="s">
        <v>2172</v>
      </c>
    </row>
    <row r="349" spans="1:1" customFormat="1" hidden="1">
      <c r="A349" s="13" t="s">
        <v>2173</v>
      </c>
    </row>
    <row r="350" spans="1:1" customFormat="1" hidden="1">
      <c r="A350" s="13"/>
    </row>
    <row r="351" spans="1:1" customFormat="1" hidden="1">
      <c r="A351" s="13"/>
    </row>
    <row r="352" spans="1:1" customFormat="1" hidden="1">
      <c r="A352" s="13" t="s">
        <v>1950</v>
      </c>
    </row>
    <row r="353" spans="1:1" customFormat="1" hidden="1">
      <c r="A353" s="13" t="s">
        <v>2174</v>
      </c>
    </row>
    <row r="354" spans="1:1" customFormat="1" hidden="1">
      <c r="A354" s="13" t="s">
        <v>1950</v>
      </c>
    </row>
    <row r="355" spans="1:1" customFormat="1" hidden="1">
      <c r="A355" s="13" t="s">
        <v>2175</v>
      </c>
    </row>
    <row r="356" spans="1:1" customFormat="1" hidden="1">
      <c r="A356" s="13" t="s">
        <v>2176</v>
      </c>
    </row>
    <row r="357" spans="1:1" customFormat="1" hidden="1">
      <c r="A357" s="13" t="s">
        <v>2177</v>
      </c>
    </row>
    <row r="358" spans="1:1" customFormat="1" hidden="1">
      <c r="A358" s="13" t="s">
        <v>2178</v>
      </c>
    </row>
    <row r="359" spans="1:1" customFormat="1" hidden="1">
      <c r="A359" s="13" t="s">
        <v>2179</v>
      </c>
    </row>
    <row r="360" spans="1:1" customFormat="1" hidden="1">
      <c r="A360" s="13" t="s">
        <v>2180</v>
      </c>
    </row>
    <row r="361" spans="1:1" customFormat="1" hidden="1">
      <c r="A361" s="13" t="s">
        <v>2181</v>
      </c>
    </row>
    <row r="362" spans="1:1" customFormat="1" hidden="1">
      <c r="A362" s="13" t="s">
        <v>2182</v>
      </c>
    </row>
    <row r="363" spans="1:1" customFormat="1" hidden="1">
      <c r="A363" s="13"/>
    </row>
    <row r="364" spans="1:1" customFormat="1" hidden="1">
      <c r="A364" s="13"/>
    </row>
    <row r="365" spans="1:1" customFormat="1" hidden="1">
      <c r="A365" s="13" t="s">
        <v>1950</v>
      </c>
    </row>
    <row r="366" spans="1:1" customFormat="1" hidden="1">
      <c r="A366" s="13" t="s">
        <v>2183</v>
      </c>
    </row>
    <row r="367" spans="1:1" customFormat="1" hidden="1">
      <c r="A367" s="13" t="s">
        <v>1950</v>
      </c>
    </row>
    <row r="368" spans="1:1" customFormat="1" hidden="1">
      <c r="A368" s="13" t="s">
        <v>2184</v>
      </c>
    </row>
    <row r="369" spans="1:1" customFormat="1" hidden="1">
      <c r="A369" s="13" t="s">
        <v>2185</v>
      </c>
    </row>
    <row r="370" spans="1:1" customFormat="1" hidden="1">
      <c r="A370" s="13" t="s">
        <v>2186</v>
      </c>
    </row>
    <row r="371" spans="1:1" customFormat="1" hidden="1">
      <c r="A371" s="13" t="s">
        <v>6795</v>
      </c>
    </row>
    <row r="372" spans="1:1" customFormat="1" hidden="1">
      <c r="A372" s="13" t="s">
        <v>2188</v>
      </c>
    </row>
    <row r="373" spans="1:1" customFormat="1" hidden="1">
      <c r="A373" s="13" t="s">
        <v>6796</v>
      </c>
    </row>
    <row r="374" spans="1:1" customFormat="1" hidden="1">
      <c r="A374" s="13" t="s">
        <v>2190</v>
      </c>
    </row>
    <row r="375" spans="1:1" customFormat="1" hidden="1">
      <c r="A375" s="13" t="s">
        <v>6797</v>
      </c>
    </row>
    <row r="376" spans="1:1" customFormat="1" hidden="1">
      <c r="A376" s="13"/>
    </row>
    <row r="377" spans="1:1" customFormat="1" hidden="1">
      <c r="A377" s="13"/>
    </row>
    <row r="378" spans="1:1" customFormat="1" hidden="1">
      <c r="A378" s="13" t="s">
        <v>1950</v>
      </c>
    </row>
    <row r="379" spans="1:1" customFormat="1" hidden="1">
      <c r="A379" s="13" t="s">
        <v>2192</v>
      </c>
    </row>
    <row r="380" spans="1:1" customFormat="1" hidden="1">
      <c r="A380" s="13" t="s">
        <v>1950</v>
      </c>
    </row>
    <row r="381" spans="1:1" customFormat="1" hidden="1">
      <c r="A381" s="13" t="s">
        <v>2193</v>
      </c>
    </row>
    <row r="382" spans="1:1" customFormat="1" hidden="1">
      <c r="A382" s="13" t="s">
        <v>2194</v>
      </c>
    </row>
    <row r="383" spans="1:1" customFormat="1" hidden="1">
      <c r="A383" s="13" t="s">
        <v>2195</v>
      </c>
    </row>
    <row r="384" spans="1:1" customFormat="1" hidden="1">
      <c r="A384" s="13" t="s">
        <v>6798</v>
      </c>
    </row>
    <row r="385" spans="1:1" customFormat="1" hidden="1">
      <c r="A385" s="13" t="s">
        <v>2197</v>
      </c>
    </row>
    <row r="386" spans="1:1" customFormat="1" hidden="1">
      <c r="A386" s="13" t="s">
        <v>6799</v>
      </c>
    </row>
    <row r="387" spans="1:1" customFormat="1" hidden="1">
      <c r="A387" s="13" t="s">
        <v>2199</v>
      </c>
    </row>
    <row r="388" spans="1:1" customFormat="1" hidden="1">
      <c r="A388" s="13" t="s">
        <v>6800</v>
      </c>
    </row>
    <row r="389" spans="1:1" customFormat="1" hidden="1">
      <c r="A389" s="13"/>
    </row>
    <row r="390" spans="1:1" customFormat="1" hidden="1">
      <c r="A390" s="13"/>
    </row>
    <row r="391" spans="1:1" customFormat="1" hidden="1">
      <c r="A391" s="13" t="s">
        <v>1950</v>
      </c>
    </row>
    <row r="392" spans="1:1" customFormat="1" hidden="1">
      <c r="A392" s="13" t="s">
        <v>2201</v>
      </c>
    </row>
    <row r="393" spans="1:1" customFormat="1" hidden="1">
      <c r="A393" s="13" t="s">
        <v>1950</v>
      </c>
    </row>
    <row r="394" spans="1:1" customFormat="1" hidden="1">
      <c r="A394" s="13" t="s">
        <v>2202</v>
      </c>
    </row>
    <row r="395" spans="1:1" customFormat="1" hidden="1">
      <c r="A395" s="13" t="s">
        <v>2203</v>
      </c>
    </row>
    <row r="396" spans="1:1" customFormat="1" hidden="1">
      <c r="A396" s="13" t="s">
        <v>2204</v>
      </c>
    </row>
    <row r="397" spans="1:1" customFormat="1" hidden="1">
      <c r="A397" s="13" t="s">
        <v>2205</v>
      </c>
    </row>
    <row r="398" spans="1:1" customFormat="1" hidden="1">
      <c r="A398" s="13" t="s">
        <v>2206</v>
      </c>
    </row>
    <row r="399" spans="1:1" customFormat="1" hidden="1">
      <c r="A399" s="13" t="s">
        <v>2207</v>
      </c>
    </row>
    <row r="400" spans="1:1" customFormat="1" hidden="1">
      <c r="A400" s="13" t="s">
        <v>2208</v>
      </c>
    </row>
    <row r="401" spans="1:1" customFormat="1" hidden="1">
      <c r="A401" s="13" t="s">
        <v>2209</v>
      </c>
    </row>
    <row r="402" spans="1:1" customFormat="1" hidden="1">
      <c r="A402" s="13"/>
    </row>
    <row r="403" spans="1:1" customFormat="1" hidden="1">
      <c r="A403" s="13"/>
    </row>
    <row r="404" spans="1:1" customFormat="1" hidden="1">
      <c r="A404" s="13" t="s">
        <v>1950</v>
      </c>
    </row>
    <row r="405" spans="1:1" customFormat="1" hidden="1">
      <c r="A405" s="13" t="s">
        <v>2210</v>
      </c>
    </row>
    <row r="406" spans="1:1" customFormat="1" hidden="1">
      <c r="A406" s="13" t="s">
        <v>1950</v>
      </c>
    </row>
    <row r="407" spans="1:1" customFormat="1" hidden="1">
      <c r="A407" s="13" t="s">
        <v>2211</v>
      </c>
    </row>
    <row r="408" spans="1:1" customFormat="1" hidden="1">
      <c r="A408" s="13" t="s">
        <v>2212</v>
      </c>
    </row>
    <row r="409" spans="1:1" customFormat="1" hidden="1">
      <c r="A409" s="13" t="s">
        <v>2213</v>
      </c>
    </row>
    <row r="410" spans="1:1" customFormat="1" hidden="1">
      <c r="A410" s="13" t="s">
        <v>6801</v>
      </c>
    </row>
    <row r="411" spans="1:1" customFormat="1" hidden="1">
      <c r="A411" s="13" t="s">
        <v>2215</v>
      </c>
    </row>
    <row r="412" spans="1:1" customFormat="1" hidden="1">
      <c r="A412" s="13" t="s">
        <v>6802</v>
      </c>
    </row>
    <row r="413" spans="1:1" customFormat="1" hidden="1">
      <c r="A413" s="13" t="s">
        <v>2217</v>
      </c>
    </row>
    <row r="414" spans="1:1" customFormat="1" hidden="1">
      <c r="A414" s="13" t="s">
        <v>6803</v>
      </c>
    </row>
    <row r="415" spans="1:1" customFormat="1" hidden="1">
      <c r="A415" s="13"/>
    </row>
    <row r="416" spans="1:1" customFormat="1" hidden="1">
      <c r="A416" s="13"/>
    </row>
    <row r="417" spans="1:1" customFormat="1" hidden="1">
      <c r="A417" s="13" t="s">
        <v>1950</v>
      </c>
    </row>
    <row r="418" spans="1:1" customFormat="1" hidden="1">
      <c r="A418" s="13" t="s">
        <v>2219</v>
      </c>
    </row>
    <row r="419" spans="1:1" customFormat="1" hidden="1">
      <c r="A419" s="13" t="s">
        <v>1950</v>
      </c>
    </row>
    <row r="420" spans="1:1" customFormat="1" hidden="1">
      <c r="A420" s="13" t="s">
        <v>2220</v>
      </c>
    </row>
    <row r="421" spans="1:1" customFormat="1" hidden="1">
      <c r="A421" s="13" t="s">
        <v>2221</v>
      </c>
    </row>
    <row r="422" spans="1:1" customFormat="1" hidden="1">
      <c r="A422" s="13" t="s">
        <v>2222</v>
      </c>
    </row>
    <row r="423" spans="1:1" customFormat="1" hidden="1">
      <c r="A423" s="13" t="s">
        <v>2223</v>
      </c>
    </row>
    <row r="424" spans="1:1" customFormat="1" hidden="1">
      <c r="A424" s="13" t="s">
        <v>2224</v>
      </c>
    </row>
    <row r="425" spans="1:1" customFormat="1" hidden="1">
      <c r="A425" s="13" t="s">
        <v>2225</v>
      </c>
    </row>
    <row r="426" spans="1:1" customFormat="1" hidden="1">
      <c r="A426" s="13" t="s">
        <v>2226</v>
      </c>
    </row>
    <row r="427" spans="1:1" customFormat="1" hidden="1">
      <c r="A427" s="13" t="s">
        <v>6804</v>
      </c>
    </row>
    <row r="428" spans="1:1" customFormat="1" hidden="1">
      <c r="A428" s="13"/>
    </row>
    <row r="429" spans="1:1" customFormat="1" hidden="1">
      <c r="A429" s="13"/>
    </row>
    <row r="430" spans="1:1" customFormat="1" hidden="1">
      <c r="A430" s="13" t="s">
        <v>1950</v>
      </c>
    </row>
    <row r="431" spans="1:1" customFormat="1" hidden="1">
      <c r="A431" s="13" t="s">
        <v>2228</v>
      </c>
    </row>
    <row r="432" spans="1:1" customFormat="1" hidden="1">
      <c r="A432" s="13" t="s">
        <v>1950</v>
      </c>
    </row>
    <row r="433" spans="1:1" customFormat="1" hidden="1">
      <c r="A433" s="13" t="s">
        <v>2229</v>
      </c>
    </row>
    <row r="434" spans="1:1" customFormat="1" hidden="1">
      <c r="A434" s="13" t="s">
        <v>2230</v>
      </c>
    </row>
    <row r="435" spans="1:1" customFormat="1" hidden="1">
      <c r="A435" s="13" t="s">
        <v>2231</v>
      </c>
    </row>
    <row r="436" spans="1:1" customFormat="1" hidden="1">
      <c r="A436" s="13" t="s">
        <v>2232</v>
      </c>
    </row>
    <row r="437" spans="1:1" customFormat="1" hidden="1">
      <c r="A437" s="13" t="s">
        <v>2233</v>
      </c>
    </row>
    <row r="438" spans="1:1" customFormat="1" hidden="1">
      <c r="A438" s="13" t="s">
        <v>6805</v>
      </c>
    </row>
    <row r="439" spans="1:1" customFormat="1" hidden="1">
      <c r="A439" s="13" t="s">
        <v>2235</v>
      </c>
    </row>
    <row r="440" spans="1:1" customFormat="1" hidden="1">
      <c r="A440" s="13" t="s">
        <v>6806</v>
      </c>
    </row>
    <row r="441" spans="1:1" customFormat="1" hidden="1">
      <c r="A441" s="13"/>
    </row>
    <row r="442" spans="1:1" customFormat="1" hidden="1">
      <c r="A442" s="13"/>
    </row>
    <row r="443" spans="1:1" customFormat="1" hidden="1">
      <c r="A443" s="13" t="s">
        <v>1950</v>
      </c>
    </row>
    <row r="444" spans="1:1" customFormat="1" hidden="1">
      <c r="A444" s="13" t="s">
        <v>2237</v>
      </c>
    </row>
    <row r="445" spans="1:1" customFormat="1" hidden="1">
      <c r="A445" s="13" t="s">
        <v>1950</v>
      </c>
    </row>
    <row r="446" spans="1:1" customFormat="1" hidden="1">
      <c r="A446" s="13" t="s">
        <v>2238</v>
      </c>
    </row>
    <row r="447" spans="1:1" customFormat="1" hidden="1">
      <c r="A447" s="13" t="s">
        <v>2239</v>
      </c>
    </row>
    <row r="448" spans="1:1" customFormat="1" hidden="1">
      <c r="A448" s="13" t="s">
        <v>2240</v>
      </c>
    </row>
    <row r="449" spans="1:1" customFormat="1" hidden="1">
      <c r="A449" s="13" t="s">
        <v>2241</v>
      </c>
    </row>
    <row r="450" spans="1:1" customFormat="1" hidden="1">
      <c r="A450" s="13" t="s">
        <v>2242</v>
      </c>
    </row>
    <row r="451" spans="1:1" customFormat="1" hidden="1">
      <c r="A451" s="13" t="s">
        <v>2243</v>
      </c>
    </row>
    <row r="452" spans="1:1" customFormat="1" hidden="1">
      <c r="A452" s="13" t="s">
        <v>2244</v>
      </c>
    </row>
    <row r="453" spans="1:1" customFormat="1" hidden="1">
      <c r="A453" s="13" t="s">
        <v>2245</v>
      </c>
    </row>
    <row r="454" spans="1:1" customFormat="1" hidden="1">
      <c r="A454" s="13"/>
    </row>
    <row r="455" spans="1:1" customFormat="1" hidden="1">
      <c r="A455" s="13"/>
    </row>
    <row r="456" spans="1:1" customFormat="1" hidden="1">
      <c r="A456" s="13" t="s">
        <v>1950</v>
      </c>
    </row>
    <row r="457" spans="1:1" customFormat="1" hidden="1">
      <c r="A457" s="13" t="s">
        <v>2246</v>
      </c>
    </row>
    <row r="458" spans="1:1" customFormat="1" hidden="1">
      <c r="A458" s="13" t="s">
        <v>1950</v>
      </c>
    </row>
    <row r="459" spans="1:1" customFormat="1" hidden="1">
      <c r="A459" s="13" t="s">
        <v>2247</v>
      </c>
    </row>
    <row r="460" spans="1:1" customFormat="1" hidden="1">
      <c r="A460" s="13" t="s">
        <v>2248</v>
      </c>
    </row>
    <row r="461" spans="1:1" customFormat="1" hidden="1">
      <c r="A461" s="13" t="s">
        <v>2249</v>
      </c>
    </row>
    <row r="462" spans="1:1" customFormat="1" hidden="1">
      <c r="A462" s="13" t="s">
        <v>2250</v>
      </c>
    </row>
    <row r="463" spans="1:1" customFormat="1" hidden="1">
      <c r="A463" s="13" t="s">
        <v>2251</v>
      </c>
    </row>
    <row r="464" spans="1:1" customFormat="1" hidden="1">
      <c r="A464" s="13" t="s">
        <v>6807</v>
      </c>
    </row>
    <row r="465" spans="1:1" customFormat="1" hidden="1">
      <c r="A465" s="13" t="s">
        <v>2253</v>
      </c>
    </row>
    <row r="466" spans="1:1" customFormat="1" hidden="1">
      <c r="A466" s="13" t="s">
        <v>6808</v>
      </c>
    </row>
    <row r="467" spans="1:1" customFormat="1" hidden="1">
      <c r="A467" s="13"/>
    </row>
    <row r="468" spans="1:1" customFormat="1" hidden="1">
      <c r="A468" s="13"/>
    </row>
    <row r="469" spans="1:1" customFormat="1" hidden="1">
      <c r="A469" s="13" t="s">
        <v>1950</v>
      </c>
    </row>
    <row r="470" spans="1:1" customFormat="1" hidden="1">
      <c r="A470" s="13" t="s">
        <v>2255</v>
      </c>
    </row>
    <row r="471" spans="1:1" customFormat="1" hidden="1">
      <c r="A471" s="13" t="s">
        <v>1950</v>
      </c>
    </row>
    <row r="472" spans="1:1" customFormat="1" hidden="1">
      <c r="A472" s="13" t="s">
        <v>2256</v>
      </c>
    </row>
    <row r="473" spans="1:1" customFormat="1" hidden="1">
      <c r="A473" s="13" t="s">
        <v>2257</v>
      </c>
    </row>
    <row r="474" spans="1:1" customFormat="1" hidden="1">
      <c r="A474" s="13" t="s">
        <v>2258</v>
      </c>
    </row>
    <row r="475" spans="1:1" customFormat="1" hidden="1">
      <c r="A475" s="13" t="s">
        <v>2259</v>
      </c>
    </row>
    <row r="476" spans="1:1" customFormat="1" hidden="1">
      <c r="A476" s="13" t="s">
        <v>2260</v>
      </c>
    </row>
    <row r="477" spans="1:1" customFormat="1" hidden="1">
      <c r="A477" s="13" t="s">
        <v>2261</v>
      </c>
    </row>
    <row r="478" spans="1:1" customFormat="1" hidden="1">
      <c r="A478" s="13" t="s">
        <v>2262</v>
      </c>
    </row>
    <row r="479" spans="1:1" customFormat="1" hidden="1">
      <c r="A479" s="13" t="s">
        <v>2263</v>
      </c>
    </row>
    <row r="480" spans="1:1" customFormat="1" hidden="1">
      <c r="A480" s="13"/>
    </row>
    <row r="481" spans="1:1" customFormat="1" hidden="1">
      <c r="A481" s="13"/>
    </row>
    <row r="482" spans="1:1" customFormat="1" hidden="1">
      <c r="A482" s="13" t="s">
        <v>1950</v>
      </c>
    </row>
    <row r="483" spans="1:1" customFormat="1" hidden="1">
      <c r="A483" s="13" t="s">
        <v>2264</v>
      </c>
    </row>
    <row r="484" spans="1:1" customFormat="1" hidden="1">
      <c r="A484" s="13" t="s">
        <v>1950</v>
      </c>
    </row>
    <row r="485" spans="1:1" customFormat="1" hidden="1">
      <c r="A485" s="13" t="s">
        <v>2265</v>
      </c>
    </row>
    <row r="486" spans="1:1" customFormat="1" hidden="1">
      <c r="A486" s="13" t="s">
        <v>2266</v>
      </c>
    </row>
    <row r="487" spans="1:1" customFormat="1" hidden="1">
      <c r="A487" s="13" t="s">
        <v>2267</v>
      </c>
    </row>
    <row r="488" spans="1:1" customFormat="1" hidden="1">
      <c r="A488" s="13" t="s">
        <v>2268</v>
      </c>
    </row>
    <row r="489" spans="1:1" customFormat="1" hidden="1">
      <c r="A489" s="13" t="s">
        <v>2269</v>
      </c>
    </row>
    <row r="490" spans="1:1" customFormat="1" hidden="1">
      <c r="A490" s="13" t="s">
        <v>2270</v>
      </c>
    </row>
    <row r="491" spans="1:1" customFormat="1" hidden="1">
      <c r="A491" s="13" t="s">
        <v>2271</v>
      </c>
    </row>
    <row r="492" spans="1:1" customFormat="1" hidden="1">
      <c r="A492" s="13" t="s">
        <v>2272</v>
      </c>
    </row>
    <row r="493" spans="1:1" customFormat="1" hidden="1">
      <c r="A493" s="13"/>
    </row>
    <row r="494" spans="1:1" customFormat="1" hidden="1">
      <c r="A494" s="13"/>
    </row>
    <row r="495" spans="1:1" customFormat="1" hidden="1">
      <c r="A495" s="13" t="s">
        <v>1950</v>
      </c>
    </row>
    <row r="496" spans="1:1" customFormat="1" hidden="1">
      <c r="A496" s="13" t="s">
        <v>2273</v>
      </c>
    </row>
    <row r="497" spans="1:1" customFormat="1" hidden="1">
      <c r="A497" s="13" t="s">
        <v>1950</v>
      </c>
    </row>
    <row r="498" spans="1:1" customFormat="1" hidden="1">
      <c r="A498" s="13" t="s">
        <v>2274</v>
      </c>
    </row>
    <row r="499" spans="1:1" customFormat="1" hidden="1">
      <c r="A499" s="13" t="s">
        <v>2275</v>
      </c>
    </row>
    <row r="500" spans="1:1" customFormat="1" hidden="1">
      <c r="A500" s="13" t="s">
        <v>2276</v>
      </c>
    </row>
    <row r="501" spans="1:1" customFormat="1" hidden="1">
      <c r="A501" s="13" t="s">
        <v>2277</v>
      </c>
    </row>
    <row r="502" spans="1:1" customFormat="1" hidden="1">
      <c r="A502" s="13" t="s">
        <v>2278</v>
      </c>
    </row>
    <row r="503" spans="1:1" customFormat="1" hidden="1">
      <c r="A503" s="13" t="s">
        <v>6809</v>
      </c>
    </row>
    <row r="504" spans="1:1" customFormat="1" hidden="1">
      <c r="A504" s="13" t="s">
        <v>2279</v>
      </c>
    </row>
    <row r="505" spans="1:1" customFormat="1" hidden="1">
      <c r="A505" s="13" t="s">
        <v>2280</v>
      </c>
    </row>
    <row r="506" spans="1:1" customFormat="1" hidden="1">
      <c r="A506" s="13"/>
    </row>
    <row r="507" spans="1:1" customFormat="1" hidden="1">
      <c r="A507" s="13"/>
    </row>
    <row r="508" spans="1:1" customFormat="1" hidden="1">
      <c r="A508" s="13" t="s">
        <v>1950</v>
      </c>
    </row>
    <row r="509" spans="1:1" customFormat="1" hidden="1">
      <c r="A509" s="13" t="s">
        <v>2281</v>
      </c>
    </row>
    <row r="510" spans="1:1" customFormat="1" hidden="1">
      <c r="A510" s="13" t="s">
        <v>1950</v>
      </c>
    </row>
    <row r="511" spans="1:1" customFormat="1" hidden="1">
      <c r="A511" s="13" t="s">
        <v>2282</v>
      </c>
    </row>
    <row r="512" spans="1:1" customFormat="1" hidden="1">
      <c r="A512" s="13" t="s">
        <v>2283</v>
      </c>
    </row>
    <row r="513" spans="1:1" customFormat="1" hidden="1">
      <c r="A513" s="13" t="s">
        <v>2284</v>
      </c>
    </row>
    <row r="514" spans="1:1" customFormat="1" hidden="1">
      <c r="A514" s="13" t="s">
        <v>2285</v>
      </c>
    </row>
    <row r="515" spans="1:1" customFormat="1" hidden="1">
      <c r="A515" s="13" t="s">
        <v>2286</v>
      </c>
    </row>
    <row r="516" spans="1:1" customFormat="1" hidden="1">
      <c r="A516" s="13" t="s">
        <v>6810</v>
      </c>
    </row>
    <row r="517" spans="1:1" customFormat="1" hidden="1">
      <c r="A517" s="13" t="s">
        <v>2288</v>
      </c>
    </row>
    <row r="518" spans="1:1" customFormat="1" hidden="1">
      <c r="A518" s="13" t="s">
        <v>2289</v>
      </c>
    </row>
    <row r="519" spans="1:1" customFormat="1" hidden="1">
      <c r="A519" s="13"/>
    </row>
    <row r="520" spans="1:1" customFormat="1" hidden="1">
      <c r="A520" s="13"/>
    </row>
    <row r="521" spans="1:1" customFormat="1" hidden="1">
      <c r="A521" s="13" t="s">
        <v>1950</v>
      </c>
    </row>
    <row r="522" spans="1:1" customFormat="1" hidden="1">
      <c r="A522" s="13" t="s">
        <v>2290</v>
      </c>
    </row>
    <row r="523" spans="1:1" customFormat="1" hidden="1">
      <c r="A523" s="13" t="s">
        <v>1950</v>
      </c>
    </row>
    <row r="524" spans="1:1" customFormat="1" hidden="1">
      <c r="A524" s="13" t="s">
        <v>2291</v>
      </c>
    </row>
    <row r="525" spans="1:1" customFormat="1" hidden="1">
      <c r="A525" s="13" t="s">
        <v>2292</v>
      </c>
    </row>
    <row r="526" spans="1:1" customFormat="1" hidden="1">
      <c r="A526" s="13" t="s">
        <v>2293</v>
      </c>
    </row>
    <row r="527" spans="1:1" customFormat="1" hidden="1">
      <c r="A527" s="13" t="s">
        <v>2294</v>
      </c>
    </row>
    <row r="528" spans="1:1" customFormat="1" hidden="1">
      <c r="A528" s="13" t="s">
        <v>2295</v>
      </c>
    </row>
    <row r="529" spans="1:1" customFormat="1" hidden="1">
      <c r="A529" s="13" t="s">
        <v>6811</v>
      </c>
    </row>
    <row r="530" spans="1:1" customFormat="1" hidden="1">
      <c r="A530" s="13" t="s">
        <v>2297</v>
      </c>
    </row>
    <row r="531" spans="1:1" customFormat="1" hidden="1">
      <c r="A531" s="13" t="s">
        <v>6812</v>
      </c>
    </row>
    <row r="532" spans="1:1" customFormat="1" hidden="1">
      <c r="A532" s="13"/>
    </row>
    <row r="533" spans="1:1" customFormat="1" hidden="1">
      <c r="A533" s="13"/>
    </row>
    <row r="534" spans="1:1" customFormat="1" hidden="1">
      <c r="A534" s="13" t="s">
        <v>1950</v>
      </c>
    </row>
    <row r="535" spans="1:1" customFormat="1" hidden="1">
      <c r="A535" s="13" t="s">
        <v>2299</v>
      </c>
    </row>
    <row r="536" spans="1:1" customFormat="1" hidden="1">
      <c r="A536" s="13" t="s">
        <v>1950</v>
      </c>
    </row>
    <row r="537" spans="1:1" customFormat="1" hidden="1">
      <c r="A537" s="13" t="s">
        <v>2300</v>
      </c>
    </row>
    <row r="538" spans="1:1" customFormat="1" hidden="1">
      <c r="A538" s="13" t="s">
        <v>2301</v>
      </c>
    </row>
    <row r="539" spans="1:1" customFormat="1" hidden="1">
      <c r="A539" s="13" t="s">
        <v>2302</v>
      </c>
    </row>
    <row r="540" spans="1:1" customFormat="1" hidden="1">
      <c r="A540" s="13" t="s">
        <v>2303</v>
      </c>
    </row>
    <row r="541" spans="1:1" customFormat="1" hidden="1">
      <c r="A541" s="13" t="s">
        <v>2304</v>
      </c>
    </row>
    <row r="542" spans="1:1" customFormat="1" hidden="1">
      <c r="A542" s="13" t="s">
        <v>2305</v>
      </c>
    </row>
    <row r="543" spans="1:1" customFormat="1" hidden="1">
      <c r="A543" s="13" t="s">
        <v>2306</v>
      </c>
    </row>
    <row r="544" spans="1:1" customFormat="1" hidden="1">
      <c r="A544" s="13" t="s">
        <v>2307</v>
      </c>
    </row>
    <row r="545" spans="1:1" customFormat="1" hidden="1">
      <c r="A545" s="13"/>
    </row>
    <row r="546" spans="1:1" customFormat="1" hidden="1">
      <c r="A546" s="13"/>
    </row>
    <row r="547" spans="1:1" customFormat="1" hidden="1">
      <c r="A547" s="13" t="s">
        <v>1950</v>
      </c>
    </row>
    <row r="548" spans="1:1" customFormat="1" hidden="1">
      <c r="A548" s="13" t="s">
        <v>2308</v>
      </c>
    </row>
    <row r="549" spans="1:1" customFormat="1" hidden="1">
      <c r="A549" s="13" t="s">
        <v>1950</v>
      </c>
    </row>
    <row r="550" spans="1:1" customFormat="1" hidden="1">
      <c r="A550" s="13" t="s">
        <v>2309</v>
      </c>
    </row>
    <row r="551" spans="1:1" customFormat="1" hidden="1">
      <c r="A551" s="13" t="s">
        <v>2310</v>
      </c>
    </row>
    <row r="552" spans="1:1" customFormat="1" hidden="1">
      <c r="A552" s="13" t="s">
        <v>2311</v>
      </c>
    </row>
    <row r="553" spans="1:1" customFormat="1" hidden="1">
      <c r="A553" s="13" t="s">
        <v>2312</v>
      </c>
    </row>
    <row r="554" spans="1:1" customFormat="1" hidden="1">
      <c r="A554" s="13" t="s">
        <v>2313</v>
      </c>
    </row>
    <row r="555" spans="1:1" customFormat="1" hidden="1">
      <c r="A555" s="13" t="s">
        <v>6813</v>
      </c>
    </row>
    <row r="556" spans="1:1" customFormat="1" hidden="1">
      <c r="A556" s="13" t="s">
        <v>2314</v>
      </c>
    </row>
    <row r="557" spans="1:1" customFormat="1" hidden="1">
      <c r="A557" s="13" t="s">
        <v>6814</v>
      </c>
    </row>
    <row r="558" spans="1:1" customFormat="1" hidden="1">
      <c r="A558" s="13"/>
    </row>
    <row r="559" spans="1:1" customFormat="1" hidden="1">
      <c r="A559" s="13"/>
    </row>
    <row r="560" spans="1:1" customFormat="1" hidden="1">
      <c r="A560" s="13" t="s">
        <v>1950</v>
      </c>
    </row>
    <row r="561" spans="1:1" customFormat="1" hidden="1">
      <c r="A561" s="13" t="s">
        <v>2316</v>
      </c>
    </row>
    <row r="562" spans="1:1" customFormat="1" hidden="1">
      <c r="A562" s="13" t="s">
        <v>1950</v>
      </c>
    </row>
    <row r="563" spans="1:1" customFormat="1" hidden="1">
      <c r="A563" s="13" t="s">
        <v>2317</v>
      </c>
    </row>
    <row r="564" spans="1:1" customFormat="1" hidden="1">
      <c r="A564" s="13" t="s">
        <v>2318</v>
      </c>
    </row>
    <row r="565" spans="1:1" customFormat="1" hidden="1">
      <c r="A565" s="13" t="s">
        <v>2319</v>
      </c>
    </row>
    <row r="566" spans="1:1" customFormat="1" hidden="1">
      <c r="A566" s="13" t="s">
        <v>2320</v>
      </c>
    </row>
    <row r="567" spans="1:1" customFormat="1" hidden="1">
      <c r="A567" s="13" t="s">
        <v>2321</v>
      </c>
    </row>
    <row r="568" spans="1:1" customFormat="1" hidden="1">
      <c r="A568" s="13" t="s">
        <v>6815</v>
      </c>
    </row>
    <row r="569" spans="1:1" customFormat="1" hidden="1">
      <c r="A569" s="13" t="s">
        <v>2322</v>
      </c>
    </row>
    <row r="570" spans="1:1" customFormat="1" hidden="1">
      <c r="A570" s="13" t="s">
        <v>6816</v>
      </c>
    </row>
    <row r="571" spans="1:1" customFormat="1" hidden="1">
      <c r="A571" s="13"/>
    </row>
    <row r="572" spans="1:1" customFormat="1" hidden="1">
      <c r="A572" s="13"/>
    </row>
    <row r="573" spans="1:1" customFormat="1" hidden="1">
      <c r="A573" s="13" t="s">
        <v>1950</v>
      </c>
    </row>
    <row r="574" spans="1:1" customFormat="1" hidden="1">
      <c r="A574" s="13" t="s">
        <v>2324</v>
      </c>
    </row>
    <row r="575" spans="1:1" customFormat="1" hidden="1">
      <c r="A575" s="13" t="s">
        <v>1950</v>
      </c>
    </row>
    <row r="576" spans="1:1" customFormat="1" hidden="1">
      <c r="A576" s="13" t="s">
        <v>2325</v>
      </c>
    </row>
    <row r="577" spans="1:1" customFormat="1" hidden="1">
      <c r="A577" s="13" t="s">
        <v>2326</v>
      </c>
    </row>
    <row r="578" spans="1:1" customFormat="1" hidden="1">
      <c r="A578" s="13" t="s">
        <v>2327</v>
      </c>
    </row>
    <row r="579" spans="1:1" customFormat="1" hidden="1">
      <c r="A579" s="13" t="s">
        <v>2328</v>
      </c>
    </row>
    <row r="580" spans="1:1" customFormat="1" hidden="1">
      <c r="A580" s="13" t="s">
        <v>2329</v>
      </c>
    </row>
    <row r="581" spans="1:1" customFormat="1" hidden="1">
      <c r="A581" s="13" t="s">
        <v>2330</v>
      </c>
    </row>
    <row r="582" spans="1:1" customFormat="1" hidden="1">
      <c r="A582" s="13" t="s">
        <v>2331</v>
      </c>
    </row>
    <row r="583" spans="1:1" customFormat="1" hidden="1">
      <c r="A583" s="13" t="s">
        <v>2332</v>
      </c>
    </row>
    <row r="584" spans="1:1" customFormat="1" hidden="1">
      <c r="A584" s="13" t="s">
        <v>2333</v>
      </c>
    </row>
    <row r="585" spans="1:1" customFormat="1" hidden="1">
      <c r="A585" s="13" t="s">
        <v>2334</v>
      </c>
    </row>
    <row r="586" spans="1:1" customFormat="1" hidden="1">
      <c r="A586" s="13" t="s">
        <v>2335</v>
      </c>
    </row>
    <row r="587" spans="1:1" customFormat="1" hidden="1">
      <c r="A587" s="13" t="s">
        <v>2336</v>
      </c>
    </row>
    <row r="588" spans="1:1" customFormat="1" hidden="1">
      <c r="A588" s="13" t="s">
        <v>2337</v>
      </c>
    </row>
    <row r="589" spans="1:1" customFormat="1" hidden="1">
      <c r="A589" s="13" t="s">
        <v>2338</v>
      </c>
    </row>
    <row r="590" spans="1:1" customFormat="1" hidden="1">
      <c r="A590" s="13" t="s">
        <v>2339</v>
      </c>
    </row>
    <row r="591" spans="1:1" customFormat="1" hidden="1">
      <c r="A591" s="13" t="s">
        <v>2340</v>
      </c>
    </row>
    <row r="592" spans="1:1" customFormat="1" hidden="1">
      <c r="A592" s="13" t="s">
        <v>2341</v>
      </c>
    </row>
    <row r="593" spans="1:1" customFormat="1" hidden="1">
      <c r="A593" s="13" t="s">
        <v>2342</v>
      </c>
    </row>
    <row r="594" spans="1:1" customFormat="1" hidden="1">
      <c r="A594" s="13" t="s">
        <v>2343</v>
      </c>
    </row>
    <row r="595" spans="1:1" customFormat="1" hidden="1">
      <c r="A595" s="13" t="s">
        <v>2344</v>
      </c>
    </row>
    <row r="596" spans="1:1" customFormat="1" hidden="1">
      <c r="A596" s="13" t="s">
        <v>2345</v>
      </c>
    </row>
    <row r="597" spans="1:1" customFormat="1" hidden="1">
      <c r="A597" s="13" t="s">
        <v>2346</v>
      </c>
    </row>
    <row r="598" spans="1:1" customFormat="1" hidden="1">
      <c r="A598" s="13" t="s">
        <v>2347</v>
      </c>
    </row>
    <row r="599" spans="1:1" customFormat="1" hidden="1">
      <c r="A599" s="13" t="s">
        <v>2348</v>
      </c>
    </row>
    <row r="600" spans="1:1" customFormat="1" hidden="1">
      <c r="A600" s="13" t="s">
        <v>2349</v>
      </c>
    </row>
    <row r="601" spans="1:1" customFormat="1" hidden="1">
      <c r="A601" s="13" t="s">
        <v>2350</v>
      </c>
    </row>
    <row r="602" spans="1:1" customFormat="1" hidden="1">
      <c r="A602" s="13" t="s">
        <v>2351</v>
      </c>
    </row>
    <row r="603" spans="1:1" customFormat="1" hidden="1">
      <c r="A603" s="13" t="s">
        <v>2352</v>
      </c>
    </row>
    <row r="604" spans="1:1" customFormat="1" hidden="1">
      <c r="A604" s="13" t="s">
        <v>2353</v>
      </c>
    </row>
    <row r="605" spans="1:1" customFormat="1" hidden="1">
      <c r="A605" s="13" t="s">
        <v>2354</v>
      </c>
    </row>
    <row r="606" spans="1:1" customFormat="1" hidden="1">
      <c r="A606" s="13" t="s">
        <v>2355</v>
      </c>
    </row>
    <row r="607" spans="1:1" customFormat="1" hidden="1">
      <c r="A607" s="13" t="s">
        <v>2356</v>
      </c>
    </row>
    <row r="608" spans="1:1" customFormat="1" hidden="1">
      <c r="A608" s="13" t="s">
        <v>2357</v>
      </c>
    </row>
    <row r="609" spans="1:1" customFormat="1" hidden="1">
      <c r="A609" s="13" t="s">
        <v>2358</v>
      </c>
    </row>
    <row r="610" spans="1:1" customFormat="1" hidden="1">
      <c r="A610" s="13" t="s">
        <v>2359</v>
      </c>
    </row>
    <row r="611" spans="1:1" customFormat="1" hidden="1">
      <c r="A611" s="13" t="s">
        <v>2360</v>
      </c>
    </row>
    <row r="612" spans="1:1" customFormat="1" hidden="1">
      <c r="A612" s="13" t="s">
        <v>2361</v>
      </c>
    </row>
    <row r="613" spans="1:1" customFormat="1" hidden="1">
      <c r="A613" s="13" t="s">
        <v>2362</v>
      </c>
    </row>
    <row r="614" spans="1:1" customFormat="1" hidden="1">
      <c r="A614" s="13" t="s">
        <v>2363</v>
      </c>
    </row>
    <row r="615" spans="1:1" customFormat="1" hidden="1">
      <c r="A615" s="13" t="s">
        <v>2364</v>
      </c>
    </row>
    <row r="616" spans="1:1" customFormat="1" hidden="1">
      <c r="A616" s="13" t="s">
        <v>2365</v>
      </c>
    </row>
    <row r="617" spans="1:1" customFormat="1" hidden="1">
      <c r="A617" s="13" t="s">
        <v>2366</v>
      </c>
    </row>
    <row r="618" spans="1:1" customFormat="1" hidden="1">
      <c r="A618" s="13" t="s">
        <v>2367</v>
      </c>
    </row>
    <row r="619" spans="1:1" customFormat="1" hidden="1">
      <c r="A619" s="13" t="s">
        <v>2368</v>
      </c>
    </row>
    <row r="620" spans="1:1" customFormat="1" hidden="1">
      <c r="A620" s="13" t="s">
        <v>2369</v>
      </c>
    </row>
    <row r="621" spans="1:1" customFormat="1" hidden="1">
      <c r="A621" s="13" t="s">
        <v>2370</v>
      </c>
    </row>
    <row r="622" spans="1:1" customFormat="1" hidden="1">
      <c r="A622" s="13" t="s">
        <v>2371</v>
      </c>
    </row>
    <row r="623" spans="1:1" customFormat="1" hidden="1">
      <c r="A623" s="13" t="s">
        <v>2372</v>
      </c>
    </row>
    <row r="624" spans="1:1" customFormat="1" hidden="1">
      <c r="A624" s="13" t="s">
        <v>2373</v>
      </c>
    </row>
    <row r="625" spans="1:1" customFormat="1" hidden="1">
      <c r="A625" s="13" t="s">
        <v>2374</v>
      </c>
    </row>
    <row r="626" spans="1:1" customFormat="1" hidden="1">
      <c r="A626" s="13" t="s">
        <v>2375</v>
      </c>
    </row>
    <row r="627" spans="1:1" customFormat="1" hidden="1">
      <c r="A627" s="13" t="s">
        <v>2376</v>
      </c>
    </row>
    <row r="628" spans="1:1" customFormat="1" hidden="1">
      <c r="A628" s="13" t="s">
        <v>2377</v>
      </c>
    </row>
    <row r="629" spans="1:1" customFormat="1" hidden="1">
      <c r="A629" s="13" t="s">
        <v>2378</v>
      </c>
    </row>
    <row r="630" spans="1:1" customFormat="1" hidden="1">
      <c r="A630" s="13" t="s">
        <v>2379</v>
      </c>
    </row>
    <row r="631" spans="1:1" customFormat="1" hidden="1">
      <c r="A631" s="13" t="s">
        <v>2380</v>
      </c>
    </row>
    <row r="632" spans="1:1" customFormat="1" hidden="1">
      <c r="A632" s="13" t="s">
        <v>2381</v>
      </c>
    </row>
    <row r="633" spans="1:1" customFormat="1" hidden="1">
      <c r="A633" s="13" t="s">
        <v>2382</v>
      </c>
    </row>
    <row r="634" spans="1:1" customFormat="1" hidden="1">
      <c r="A634" s="13" t="s">
        <v>2383</v>
      </c>
    </row>
    <row r="635" spans="1:1" customFormat="1" hidden="1">
      <c r="A635" s="13" t="s">
        <v>2384</v>
      </c>
    </row>
    <row r="636" spans="1:1" customFormat="1" hidden="1">
      <c r="A636" s="13" t="s">
        <v>2385</v>
      </c>
    </row>
    <row r="637" spans="1:1" customFormat="1" hidden="1">
      <c r="A637" s="13" t="s">
        <v>2386</v>
      </c>
    </row>
    <row r="638" spans="1:1" customFormat="1" hidden="1">
      <c r="A638" s="13" t="s">
        <v>2387</v>
      </c>
    </row>
    <row r="639" spans="1:1" customFormat="1" hidden="1">
      <c r="A639" s="13" t="s">
        <v>2388</v>
      </c>
    </row>
    <row r="640" spans="1:1" customFormat="1" hidden="1">
      <c r="A640" s="13" t="s">
        <v>2389</v>
      </c>
    </row>
    <row r="641" spans="1:1" customFormat="1" hidden="1">
      <c r="A641" s="13" t="s">
        <v>2390</v>
      </c>
    </row>
    <row r="642" spans="1:1" customFormat="1" hidden="1">
      <c r="A642" s="13" t="s">
        <v>2391</v>
      </c>
    </row>
    <row r="643" spans="1:1" customFormat="1" hidden="1">
      <c r="A643" s="13" t="s">
        <v>2392</v>
      </c>
    </row>
    <row r="644" spans="1:1" customFormat="1" hidden="1">
      <c r="A644" s="13" t="s">
        <v>2393</v>
      </c>
    </row>
    <row r="645" spans="1:1" customFormat="1" hidden="1">
      <c r="A645" s="13" t="s">
        <v>2394</v>
      </c>
    </row>
    <row r="646" spans="1:1" customFormat="1" hidden="1">
      <c r="A646" s="13" t="s">
        <v>2395</v>
      </c>
    </row>
    <row r="647" spans="1:1" customFormat="1" hidden="1">
      <c r="A647" s="13" t="s">
        <v>2396</v>
      </c>
    </row>
    <row r="648" spans="1:1" customFormat="1" hidden="1">
      <c r="A648" s="13" t="s">
        <v>2397</v>
      </c>
    </row>
    <row r="649" spans="1:1" customFormat="1" hidden="1">
      <c r="A649" s="13" t="s">
        <v>2398</v>
      </c>
    </row>
    <row r="650" spans="1:1" customFormat="1" hidden="1">
      <c r="A650" s="13" t="s">
        <v>2399</v>
      </c>
    </row>
    <row r="651" spans="1:1" customFormat="1" hidden="1">
      <c r="A651" s="13" t="s">
        <v>2400</v>
      </c>
    </row>
    <row r="652" spans="1:1" customFormat="1" hidden="1">
      <c r="A652" s="13" t="s">
        <v>2401</v>
      </c>
    </row>
    <row r="653" spans="1:1" customFormat="1" hidden="1">
      <c r="A653" s="13" t="s">
        <v>2402</v>
      </c>
    </row>
    <row r="654" spans="1:1" customFormat="1" hidden="1">
      <c r="A654" s="13" t="s">
        <v>2403</v>
      </c>
    </row>
    <row r="655" spans="1:1" customFormat="1" hidden="1">
      <c r="A655" s="13" t="s">
        <v>2404</v>
      </c>
    </row>
    <row r="656" spans="1:1" customFormat="1" hidden="1">
      <c r="A656" s="13" t="s">
        <v>2405</v>
      </c>
    </row>
    <row r="657" spans="1:1" customFormat="1" hidden="1">
      <c r="A657" s="13" t="s">
        <v>2406</v>
      </c>
    </row>
    <row r="658" spans="1:1" customFormat="1" hidden="1">
      <c r="A658" s="13" t="s">
        <v>2407</v>
      </c>
    </row>
    <row r="659" spans="1:1" customFormat="1" hidden="1">
      <c r="A659" s="13" t="s">
        <v>2408</v>
      </c>
    </row>
    <row r="660" spans="1:1" customFormat="1" hidden="1">
      <c r="A660" s="13" t="s">
        <v>2409</v>
      </c>
    </row>
    <row r="661" spans="1:1" customFormat="1" hidden="1">
      <c r="A661" s="13" t="s">
        <v>2410</v>
      </c>
    </row>
    <row r="662" spans="1:1" customFormat="1" hidden="1">
      <c r="A662" s="13" t="s">
        <v>2411</v>
      </c>
    </row>
    <row r="663" spans="1:1" customFormat="1" hidden="1">
      <c r="A663" s="13" t="s">
        <v>2412</v>
      </c>
    </row>
    <row r="664" spans="1:1" customFormat="1" hidden="1">
      <c r="A664" s="13" t="s">
        <v>2413</v>
      </c>
    </row>
    <row r="665" spans="1:1" customFormat="1" hidden="1">
      <c r="A665" s="13" t="s">
        <v>2414</v>
      </c>
    </row>
    <row r="666" spans="1:1" customFormat="1" hidden="1">
      <c r="A666" s="13" t="s">
        <v>2415</v>
      </c>
    </row>
    <row r="667" spans="1:1" customFormat="1" hidden="1">
      <c r="A667" s="13" t="s">
        <v>2416</v>
      </c>
    </row>
    <row r="668" spans="1:1" customFormat="1" hidden="1">
      <c r="A668" s="13" t="s">
        <v>2417</v>
      </c>
    </row>
    <row r="669" spans="1:1" customFormat="1" hidden="1">
      <c r="A669" s="13" t="s">
        <v>2418</v>
      </c>
    </row>
    <row r="670" spans="1:1" customFormat="1" hidden="1">
      <c r="A670" s="13" t="s">
        <v>2419</v>
      </c>
    </row>
    <row r="671" spans="1:1" customFormat="1" hidden="1">
      <c r="A671" s="13" t="s">
        <v>2420</v>
      </c>
    </row>
    <row r="672" spans="1:1" customFormat="1" hidden="1">
      <c r="A672" s="13" t="s">
        <v>2421</v>
      </c>
    </row>
    <row r="673" spans="1:1" customFormat="1" hidden="1">
      <c r="A673" s="13" t="s">
        <v>2422</v>
      </c>
    </row>
    <row r="674" spans="1:1" customFormat="1" hidden="1">
      <c r="A674" s="13" t="s">
        <v>2423</v>
      </c>
    </row>
    <row r="675" spans="1:1" customFormat="1" hidden="1">
      <c r="A675" s="13" t="s">
        <v>2424</v>
      </c>
    </row>
    <row r="676" spans="1:1" customFormat="1" hidden="1">
      <c r="A676" s="13" t="s">
        <v>2425</v>
      </c>
    </row>
    <row r="677" spans="1:1" customFormat="1" hidden="1">
      <c r="A677" s="13" t="s">
        <v>2426</v>
      </c>
    </row>
    <row r="678" spans="1:1" customFormat="1" hidden="1">
      <c r="A678" s="13" t="s">
        <v>2427</v>
      </c>
    </row>
    <row r="679" spans="1:1" customFormat="1" hidden="1">
      <c r="A679" s="13" t="s">
        <v>2428</v>
      </c>
    </row>
    <row r="680" spans="1:1" customFormat="1" hidden="1">
      <c r="A680" s="13" t="s">
        <v>2429</v>
      </c>
    </row>
    <row r="681" spans="1:1" customFormat="1" hidden="1">
      <c r="A681" s="13" t="s">
        <v>2430</v>
      </c>
    </row>
    <row r="682" spans="1:1" customFormat="1" hidden="1">
      <c r="A682" s="13" t="s">
        <v>2431</v>
      </c>
    </row>
    <row r="683" spans="1:1" customFormat="1" hidden="1">
      <c r="A683" s="13" t="s">
        <v>2432</v>
      </c>
    </row>
    <row r="684" spans="1:1" customFormat="1" hidden="1">
      <c r="A684" s="13" t="s">
        <v>2433</v>
      </c>
    </row>
    <row r="685" spans="1:1" customFormat="1" hidden="1">
      <c r="A685" s="13" t="s">
        <v>2434</v>
      </c>
    </row>
    <row r="686" spans="1:1" customFormat="1" hidden="1">
      <c r="A686" s="13" t="s">
        <v>2435</v>
      </c>
    </row>
    <row r="687" spans="1:1" customFormat="1" hidden="1">
      <c r="A687" s="13" t="s">
        <v>2436</v>
      </c>
    </row>
    <row r="688" spans="1:1" customFormat="1" hidden="1">
      <c r="A688" s="13" t="s">
        <v>2437</v>
      </c>
    </row>
    <row r="689" spans="1:1" customFormat="1" hidden="1">
      <c r="A689" s="13" t="s">
        <v>2438</v>
      </c>
    </row>
    <row r="690" spans="1:1" customFormat="1" hidden="1">
      <c r="A690" s="13" t="s">
        <v>2439</v>
      </c>
    </row>
    <row r="691" spans="1:1" customFormat="1" hidden="1">
      <c r="A691" s="13" t="s">
        <v>2440</v>
      </c>
    </row>
    <row r="692" spans="1:1" customFormat="1" hidden="1">
      <c r="A692" s="13" t="s">
        <v>2441</v>
      </c>
    </row>
    <row r="693" spans="1:1" customFormat="1" hidden="1">
      <c r="A693" s="13" t="s">
        <v>2442</v>
      </c>
    </row>
    <row r="694" spans="1:1" customFormat="1" hidden="1">
      <c r="A694" s="13" t="s">
        <v>2443</v>
      </c>
    </row>
    <row r="695" spans="1:1" customFormat="1" hidden="1">
      <c r="A695" s="13" t="s">
        <v>2444</v>
      </c>
    </row>
    <row r="696" spans="1:1" customFormat="1" hidden="1">
      <c r="A696" s="13" t="s">
        <v>2445</v>
      </c>
    </row>
    <row r="697" spans="1:1" customFormat="1" hidden="1">
      <c r="A697" s="13" t="s">
        <v>2446</v>
      </c>
    </row>
    <row r="698" spans="1:1" customFormat="1" hidden="1">
      <c r="A698" s="13" t="s">
        <v>2447</v>
      </c>
    </row>
    <row r="699" spans="1:1" customFormat="1" hidden="1">
      <c r="A699" s="13" t="s">
        <v>2448</v>
      </c>
    </row>
    <row r="700" spans="1:1" customFormat="1" hidden="1">
      <c r="A700" s="13" t="s">
        <v>2449</v>
      </c>
    </row>
    <row r="701" spans="1:1" customFormat="1" hidden="1">
      <c r="A701" s="13" t="s">
        <v>2450</v>
      </c>
    </row>
    <row r="702" spans="1:1" customFormat="1" hidden="1">
      <c r="A702" s="13" t="s">
        <v>2451</v>
      </c>
    </row>
    <row r="703" spans="1:1" customFormat="1" hidden="1">
      <c r="A703" s="13" t="s">
        <v>2452</v>
      </c>
    </row>
    <row r="704" spans="1:1" customFormat="1" hidden="1">
      <c r="A704" s="13" t="s">
        <v>2453</v>
      </c>
    </row>
    <row r="705" spans="1:1" customFormat="1" hidden="1">
      <c r="A705" s="13" t="s">
        <v>2454</v>
      </c>
    </row>
    <row r="706" spans="1:1" customFormat="1" hidden="1">
      <c r="A706" s="13" t="s">
        <v>2455</v>
      </c>
    </row>
    <row r="707" spans="1:1" customFormat="1" hidden="1">
      <c r="A707" s="13" t="s">
        <v>2456</v>
      </c>
    </row>
    <row r="708" spans="1:1" customFormat="1" hidden="1">
      <c r="A708" s="13" t="s">
        <v>2457</v>
      </c>
    </row>
    <row r="709" spans="1:1" customFormat="1" hidden="1">
      <c r="A709" s="13" t="s">
        <v>2458</v>
      </c>
    </row>
    <row r="710" spans="1:1" customFormat="1" hidden="1">
      <c r="A710" s="13" t="s">
        <v>2459</v>
      </c>
    </row>
    <row r="711" spans="1:1" customFormat="1" hidden="1">
      <c r="A711" s="13" t="s">
        <v>2460</v>
      </c>
    </row>
    <row r="712" spans="1:1" customFormat="1" hidden="1">
      <c r="A712" s="13" t="s">
        <v>2461</v>
      </c>
    </row>
    <row r="713" spans="1:1" customFormat="1" hidden="1">
      <c r="A713" s="13" t="s">
        <v>2462</v>
      </c>
    </row>
    <row r="714" spans="1:1" customFormat="1" hidden="1">
      <c r="A714" s="13" t="s">
        <v>2463</v>
      </c>
    </row>
    <row r="715" spans="1:1" customFormat="1" hidden="1">
      <c r="A715" s="13" t="s">
        <v>2464</v>
      </c>
    </row>
    <row r="716" spans="1:1" customFormat="1" hidden="1">
      <c r="A716" s="13" t="s">
        <v>2465</v>
      </c>
    </row>
    <row r="717" spans="1:1" customFormat="1" hidden="1">
      <c r="A717" s="13" t="s">
        <v>2466</v>
      </c>
    </row>
    <row r="718" spans="1:1" customFormat="1" hidden="1">
      <c r="A718" s="13" t="s">
        <v>2467</v>
      </c>
    </row>
    <row r="719" spans="1:1" customFormat="1" hidden="1">
      <c r="A719" s="13" t="s">
        <v>2468</v>
      </c>
    </row>
    <row r="720" spans="1:1" customFormat="1" hidden="1">
      <c r="A720" s="13" t="s">
        <v>2469</v>
      </c>
    </row>
    <row r="721" spans="1:1" customFormat="1" hidden="1">
      <c r="A721" s="13" t="s">
        <v>2470</v>
      </c>
    </row>
    <row r="722" spans="1:1" customFormat="1" hidden="1">
      <c r="A722" s="13" t="s">
        <v>2471</v>
      </c>
    </row>
    <row r="723" spans="1:1" customFormat="1" hidden="1">
      <c r="A723" s="13" t="s">
        <v>2472</v>
      </c>
    </row>
    <row r="724" spans="1:1" customFormat="1" hidden="1">
      <c r="A724" s="13" t="s">
        <v>2473</v>
      </c>
    </row>
    <row r="725" spans="1:1" customFormat="1" hidden="1">
      <c r="A725" s="13" t="s">
        <v>2474</v>
      </c>
    </row>
    <row r="726" spans="1:1" customFormat="1" hidden="1">
      <c r="A726" s="13" t="s">
        <v>2475</v>
      </c>
    </row>
    <row r="727" spans="1:1" customFormat="1" hidden="1">
      <c r="A727" s="13" t="s">
        <v>2476</v>
      </c>
    </row>
    <row r="728" spans="1:1" customFormat="1" hidden="1">
      <c r="A728" s="13" t="s">
        <v>2477</v>
      </c>
    </row>
    <row r="729" spans="1:1" customFormat="1" hidden="1">
      <c r="A729" s="13" t="s">
        <v>2478</v>
      </c>
    </row>
    <row r="730" spans="1:1" customFormat="1" hidden="1">
      <c r="A730" s="13" t="s">
        <v>2479</v>
      </c>
    </row>
    <row r="731" spans="1:1" customFormat="1" hidden="1">
      <c r="A731" s="13" t="s">
        <v>2480</v>
      </c>
    </row>
    <row r="732" spans="1:1" customFormat="1" hidden="1">
      <c r="A732" s="13" t="s">
        <v>2481</v>
      </c>
    </row>
    <row r="733" spans="1:1" customFormat="1" hidden="1">
      <c r="A733" s="13" t="s">
        <v>2482</v>
      </c>
    </row>
    <row r="734" spans="1:1" customFormat="1" hidden="1">
      <c r="A734" s="13" t="s">
        <v>2483</v>
      </c>
    </row>
    <row r="735" spans="1:1" customFormat="1" hidden="1">
      <c r="A735" s="13" t="s">
        <v>2484</v>
      </c>
    </row>
    <row r="736" spans="1:1" customFormat="1" hidden="1">
      <c r="A736" s="13" t="s">
        <v>2485</v>
      </c>
    </row>
    <row r="737" spans="1:1" customFormat="1" hidden="1">
      <c r="A737" s="13" t="s">
        <v>2486</v>
      </c>
    </row>
    <row r="738" spans="1:1" customFormat="1" hidden="1">
      <c r="A738" s="13" t="s">
        <v>2487</v>
      </c>
    </row>
    <row r="739" spans="1:1" customFormat="1" hidden="1">
      <c r="A739" s="13" t="s">
        <v>2488</v>
      </c>
    </row>
    <row r="740" spans="1:1" customFormat="1" hidden="1">
      <c r="A740" s="13" t="s">
        <v>2489</v>
      </c>
    </row>
    <row r="741" spans="1:1" customFormat="1" hidden="1">
      <c r="A741" s="13" t="s">
        <v>2490</v>
      </c>
    </row>
    <row r="742" spans="1:1" customFormat="1" hidden="1">
      <c r="A742" s="13" t="s">
        <v>2491</v>
      </c>
    </row>
    <row r="743" spans="1:1" customFormat="1" hidden="1">
      <c r="A743" s="13" t="s">
        <v>2492</v>
      </c>
    </row>
    <row r="744" spans="1:1" customFormat="1" hidden="1">
      <c r="A744" s="13" t="s">
        <v>2493</v>
      </c>
    </row>
    <row r="745" spans="1:1" customFormat="1" hidden="1">
      <c r="A745" s="13" t="s">
        <v>2494</v>
      </c>
    </row>
    <row r="746" spans="1:1" customFormat="1" hidden="1">
      <c r="A746" s="13" t="s">
        <v>2495</v>
      </c>
    </row>
    <row r="747" spans="1:1" customFormat="1" hidden="1">
      <c r="A747" s="13" t="s">
        <v>2496</v>
      </c>
    </row>
    <row r="748" spans="1:1" customFormat="1" hidden="1">
      <c r="A748" s="13" t="s">
        <v>2497</v>
      </c>
    </row>
    <row r="749" spans="1:1" customFormat="1" hidden="1">
      <c r="A749" s="13" t="s">
        <v>2498</v>
      </c>
    </row>
    <row r="750" spans="1:1" customFormat="1" hidden="1">
      <c r="A750" s="13" t="s">
        <v>2499</v>
      </c>
    </row>
    <row r="751" spans="1:1" customFormat="1" hidden="1">
      <c r="A751" s="13" t="s">
        <v>2500</v>
      </c>
    </row>
    <row r="752" spans="1:1" customFormat="1" hidden="1">
      <c r="A752" s="13" t="s">
        <v>2501</v>
      </c>
    </row>
    <row r="753" spans="1:1" customFormat="1" hidden="1">
      <c r="A753" s="13" t="s">
        <v>2502</v>
      </c>
    </row>
    <row r="754" spans="1:1" customFormat="1" hidden="1">
      <c r="A754" s="13" t="s">
        <v>2503</v>
      </c>
    </row>
    <row r="755" spans="1:1" customFormat="1" hidden="1">
      <c r="A755" s="13" t="s">
        <v>2504</v>
      </c>
    </row>
    <row r="756" spans="1:1" customFormat="1" hidden="1">
      <c r="A756" s="13" t="s">
        <v>2505</v>
      </c>
    </row>
    <row r="757" spans="1:1" customFormat="1" hidden="1">
      <c r="A757" s="13" t="s">
        <v>2506</v>
      </c>
    </row>
    <row r="758" spans="1:1" customFormat="1" hidden="1">
      <c r="A758" s="13" t="s">
        <v>2507</v>
      </c>
    </row>
    <row r="759" spans="1:1" customFormat="1" hidden="1">
      <c r="A759" s="13" t="s">
        <v>2508</v>
      </c>
    </row>
    <row r="760" spans="1:1" customFormat="1" hidden="1">
      <c r="A760" s="13" t="s">
        <v>2509</v>
      </c>
    </row>
    <row r="761" spans="1:1" customFormat="1" hidden="1">
      <c r="A761" s="13" t="s">
        <v>2510</v>
      </c>
    </row>
    <row r="762" spans="1:1" customFormat="1" hidden="1">
      <c r="A762" s="13" t="s">
        <v>2511</v>
      </c>
    </row>
    <row r="763" spans="1:1" customFormat="1" hidden="1">
      <c r="A763" s="13" t="s">
        <v>2512</v>
      </c>
    </row>
    <row r="764" spans="1:1" customFormat="1" hidden="1">
      <c r="A764" s="13" t="s">
        <v>2513</v>
      </c>
    </row>
    <row r="765" spans="1:1" customFormat="1" hidden="1">
      <c r="A765" s="13" t="s">
        <v>2514</v>
      </c>
    </row>
    <row r="766" spans="1:1" customFormat="1" hidden="1">
      <c r="A766" s="13" t="s">
        <v>2515</v>
      </c>
    </row>
    <row r="767" spans="1:1" customFormat="1" hidden="1">
      <c r="A767" s="13" t="s">
        <v>2516</v>
      </c>
    </row>
    <row r="768" spans="1:1" customFormat="1" hidden="1">
      <c r="A768" s="13" t="s">
        <v>2517</v>
      </c>
    </row>
    <row r="769" spans="1:1" customFormat="1" hidden="1">
      <c r="A769" s="13"/>
    </row>
    <row r="770" spans="1:1" customFormat="1" hidden="1">
      <c r="A770" s="13" t="s">
        <v>2518</v>
      </c>
    </row>
    <row r="771" spans="1:1" customFormat="1" hidden="1">
      <c r="A771" s="13" t="s">
        <v>2519</v>
      </c>
    </row>
    <row r="772" spans="1:1" customFormat="1" hidden="1">
      <c r="A772" s="13" t="s">
        <v>2520</v>
      </c>
    </row>
    <row r="773" spans="1:1" customFormat="1" hidden="1">
      <c r="A773" s="13" t="s">
        <v>2521</v>
      </c>
    </row>
    <row r="774" spans="1:1" customFormat="1" hidden="1">
      <c r="A774" s="13" t="s">
        <v>2522</v>
      </c>
    </row>
    <row r="775" spans="1:1" customFormat="1" hidden="1">
      <c r="A775" s="13" t="s">
        <v>2523</v>
      </c>
    </row>
    <row r="776" spans="1:1" customFormat="1" hidden="1">
      <c r="A776" s="13" t="s">
        <v>2524</v>
      </c>
    </row>
    <row r="777" spans="1:1" customFormat="1" hidden="1">
      <c r="A777" s="13" t="s">
        <v>2525</v>
      </c>
    </row>
    <row r="778" spans="1:1" customFormat="1" hidden="1">
      <c r="A778" s="13" t="s">
        <v>2526</v>
      </c>
    </row>
    <row r="779" spans="1:1" customFormat="1" hidden="1">
      <c r="A779" s="13" t="s">
        <v>2527</v>
      </c>
    </row>
    <row r="780" spans="1:1" customFormat="1" hidden="1">
      <c r="A780" s="13" t="s">
        <v>2528</v>
      </c>
    </row>
    <row r="781" spans="1:1" customFormat="1" hidden="1">
      <c r="A781" s="13" t="s">
        <v>2529</v>
      </c>
    </row>
    <row r="782" spans="1:1" customFormat="1" hidden="1">
      <c r="A782" s="13" t="s">
        <v>2530</v>
      </c>
    </row>
    <row r="783" spans="1:1" customFormat="1" hidden="1">
      <c r="A783" s="13" t="s">
        <v>2531</v>
      </c>
    </row>
    <row r="784" spans="1:1" customFormat="1" hidden="1">
      <c r="A784" s="13" t="s">
        <v>2532</v>
      </c>
    </row>
    <row r="785" spans="1:1" customFormat="1" hidden="1">
      <c r="A785" s="13" t="s">
        <v>2533</v>
      </c>
    </row>
    <row r="786" spans="1:1" customFormat="1" hidden="1">
      <c r="A786" s="13" t="s">
        <v>2534</v>
      </c>
    </row>
    <row r="787" spans="1:1" customFormat="1" hidden="1">
      <c r="A787" s="13" t="s">
        <v>2535</v>
      </c>
    </row>
    <row r="788" spans="1:1" customFormat="1" hidden="1">
      <c r="A788" s="13" t="s">
        <v>2536</v>
      </c>
    </row>
    <row r="789" spans="1:1" customFormat="1" hidden="1">
      <c r="A789" s="13" t="s">
        <v>2537</v>
      </c>
    </row>
    <row r="790" spans="1:1" customFormat="1" hidden="1">
      <c r="A790" s="13" t="s">
        <v>2538</v>
      </c>
    </row>
    <row r="791" spans="1:1" customFormat="1" hidden="1">
      <c r="A791" s="13" t="s">
        <v>2539</v>
      </c>
    </row>
    <row r="792" spans="1:1" customFormat="1" hidden="1">
      <c r="A792" s="13" t="s">
        <v>2540</v>
      </c>
    </row>
    <row r="793" spans="1:1" customFormat="1" hidden="1">
      <c r="A793" s="13" t="s">
        <v>2541</v>
      </c>
    </row>
    <row r="794" spans="1:1" customFormat="1" hidden="1">
      <c r="A794" s="13" t="s">
        <v>2542</v>
      </c>
    </row>
    <row r="795" spans="1:1" customFormat="1" hidden="1">
      <c r="A795" s="13" t="s">
        <v>2543</v>
      </c>
    </row>
    <row r="796" spans="1:1" customFormat="1" hidden="1">
      <c r="A796" s="13" t="s">
        <v>2544</v>
      </c>
    </row>
    <row r="797" spans="1:1" customFormat="1" hidden="1">
      <c r="A797" s="13" t="s">
        <v>2545</v>
      </c>
    </row>
    <row r="798" spans="1:1" customFormat="1" hidden="1">
      <c r="A798" s="13" t="s">
        <v>2546</v>
      </c>
    </row>
    <row r="799" spans="1:1" customFormat="1" hidden="1">
      <c r="A799" s="13" t="s">
        <v>2547</v>
      </c>
    </row>
    <row r="800" spans="1:1" customFormat="1" hidden="1">
      <c r="A800" s="13" t="s">
        <v>2548</v>
      </c>
    </row>
    <row r="801" spans="1:1" customFormat="1" hidden="1">
      <c r="A801" s="13" t="s">
        <v>2549</v>
      </c>
    </row>
    <row r="802" spans="1:1" customFormat="1" hidden="1">
      <c r="A802" s="13" t="s">
        <v>2550</v>
      </c>
    </row>
    <row r="803" spans="1:1" customFormat="1" hidden="1">
      <c r="A803" s="13" t="s">
        <v>2551</v>
      </c>
    </row>
    <row r="804" spans="1:1" customFormat="1" hidden="1">
      <c r="A804" s="13" t="s">
        <v>2552</v>
      </c>
    </row>
    <row r="805" spans="1:1" customFormat="1" hidden="1">
      <c r="A805" s="13" t="s">
        <v>2553</v>
      </c>
    </row>
    <row r="806" spans="1:1" customFormat="1" hidden="1">
      <c r="A806" s="13" t="s">
        <v>2554</v>
      </c>
    </row>
    <row r="807" spans="1:1" customFormat="1" hidden="1">
      <c r="A807" s="13" t="s">
        <v>2555</v>
      </c>
    </row>
    <row r="808" spans="1:1" customFormat="1" hidden="1">
      <c r="A808" s="13" t="s">
        <v>2556</v>
      </c>
    </row>
    <row r="809" spans="1:1" customFormat="1" hidden="1">
      <c r="A809" s="13" t="s">
        <v>2557</v>
      </c>
    </row>
    <row r="810" spans="1:1" customFormat="1" hidden="1">
      <c r="A810" s="13" t="s">
        <v>2558</v>
      </c>
    </row>
    <row r="811" spans="1:1" customFormat="1" hidden="1">
      <c r="A811" s="13" t="s">
        <v>2559</v>
      </c>
    </row>
    <row r="812" spans="1:1" customFormat="1" hidden="1">
      <c r="A812" s="13" t="s">
        <v>2560</v>
      </c>
    </row>
    <row r="813" spans="1:1" customFormat="1" hidden="1">
      <c r="A813" s="13" t="s">
        <v>2561</v>
      </c>
    </row>
    <row r="814" spans="1:1" customFormat="1" hidden="1">
      <c r="A814" s="13" t="s">
        <v>2562</v>
      </c>
    </row>
    <row r="815" spans="1:1" customFormat="1" hidden="1">
      <c r="A815" s="13" t="s">
        <v>2563</v>
      </c>
    </row>
    <row r="816" spans="1:1" customFormat="1" hidden="1">
      <c r="A816" s="13" t="s">
        <v>2564</v>
      </c>
    </row>
    <row r="817" spans="1:1" customFormat="1" hidden="1">
      <c r="A817" s="13" t="s">
        <v>2565</v>
      </c>
    </row>
    <row r="818" spans="1:1" customFormat="1" hidden="1">
      <c r="A818" s="13" t="s">
        <v>2566</v>
      </c>
    </row>
    <row r="819" spans="1:1" customFormat="1" hidden="1">
      <c r="A819" s="13" t="s">
        <v>2567</v>
      </c>
    </row>
    <row r="820" spans="1:1" customFormat="1" hidden="1">
      <c r="A820" s="13" t="s">
        <v>2568</v>
      </c>
    </row>
    <row r="821" spans="1:1" customFormat="1" hidden="1">
      <c r="A821" s="13" t="s">
        <v>2569</v>
      </c>
    </row>
    <row r="822" spans="1:1" customFormat="1" hidden="1">
      <c r="A822" s="13" t="s">
        <v>2570</v>
      </c>
    </row>
    <row r="823" spans="1:1" customFormat="1" hidden="1">
      <c r="A823" s="13" t="s">
        <v>2571</v>
      </c>
    </row>
    <row r="824" spans="1:1" customFormat="1" hidden="1">
      <c r="A824" s="13" t="s">
        <v>2572</v>
      </c>
    </row>
    <row r="825" spans="1:1" customFormat="1" hidden="1">
      <c r="A825" s="13" t="s">
        <v>2573</v>
      </c>
    </row>
    <row r="826" spans="1:1" customFormat="1" hidden="1">
      <c r="A826" s="13" t="s">
        <v>2574</v>
      </c>
    </row>
    <row r="827" spans="1:1" customFormat="1" hidden="1">
      <c r="A827" s="13" t="s">
        <v>2575</v>
      </c>
    </row>
    <row r="828" spans="1:1" customFormat="1" hidden="1">
      <c r="A828" s="13" t="s">
        <v>2576</v>
      </c>
    </row>
    <row r="829" spans="1:1" customFormat="1" hidden="1">
      <c r="A829" s="13" t="s">
        <v>2577</v>
      </c>
    </row>
    <row r="830" spans="1:1" customFormat="1" hidden="1">
      <c r="A830" s="13" t="s">
        <v>2578</v>
      </c>
    </row>
    <row r="831" spans="1:1" customFormat="1" hidden="1">
      <c r="A831" s="13" t="s">
        <v>2579</v>
      </c>
    </row>
    <row r="832" spans="1:1" customFormat="1" hidden="1">
      <c r="A832" s="13" t="s">
        <v>2580</v>
      </c>
    </row>
    <row r="833" spans="1:1" customFormat="1" hidden="1">
      <c r="A833" s="13" t="s">
        <v>2581</v>
      </c>
    </row>
    <row r="834" spans="1:1" customFormat="1" hidden="1">
      <c r="A834" s="13" t="s">
        <v>2582</v>
      </c>
    </row>
    <row r="835" spans="1:1" customFormat="1" hidden="1">
      <c r="A835" s="13" t="s">
        <v>2583</v>
      </c>
    </row>
    <row r="836" spans="1:1" customFormat="1" hidden="1">
      <c r="A836" s="13" t="s">
        <v>2584</v>
      </c>
    </row>
    <row r="837" spans="1:1" customFormat="1" hidden="1">
      <c r="A837" s="13" t="s">
        <v>2585</v>
      </c>
    </row>
    <row r="838" spans="1:1" customFormat="1" hidden="1">
      <c r="A838" s="13" t="s">
        <v>2586</v>
      </c>
    </row>
    <row r="839" spans="1:1" customFormat="1" hidden="1">
      <c r="A839" s="13" t="s">
        <v>2587</v>
      </c>
    </row>
    <row r="840" spans="1:1" customFormat="1" hidden="1">
      <c r="A840" s="13" t="s">
        <v>2588</v>
      </c>
    </row>
    <row r="841" spans="1:1" customFormat="1" hidden="1">
      <c r="A841" s="13" t="s">
        <v>2589</v>
      </c>
    </row>
    <row r="842" spans="1:1" customFormat="1" hidden="1">
      <c r="A842" s="13" t="s">
        <v>2590</v>
      </c>
    </row>
    <row r="843" spans="1:1" customFormat="1" hidden="1">
      <c r="A843" s="13" t="s">
        <v>2591</v>
      </c>
    </row>
    <row r="844" spans="1:1" customFormat="1" hidden="1">
      <c r="A844" s="13" t="s">
        <v>2592</v>
      </c>
    </row>
    <row r="845" spans="1:1" customFormat="1" hidden="1">
      <c r="A845" s="13" t="s">
        <v>2593</v>
      </c>
    </row>
    <row r="846" spans="1:1" customFormat="1" hidden="1">
      <c r="A846" s="13" t="s">
        <v>2594</v>
      </c>
    </row>
    <row r="847" spans="1:1" customFormat="1" hidden="1">
      <c r="A847" s="13" t="s">
        <v>2595</v>
      </c>
    </row>
    <row r="848" spans="1:1" customFormat="1" hidden="1">
      <c r="A848" s="13" t="s">
        <v>2596</v>
      </c>
    </row>
    <row r="849" spans="1:1" customFormat="1" hidden="1">
      <c r="A849" s="13" t="s">
        <v>2597</v>
      </c>
    </row>
    <row r="850" spans="1:1" customFormat="1" hidden="1">
      <c r="A850" s="13" t="s">
        <v>2598</v>
      </c>
    </row>
    <row r="851" spans="1:1" customFormat="1" hidden="1">
      <c r="A851" s="13" t="s">
        <v>2599</v>
      </c>
    </row>
    <row r="852" spans="1:1" customFormat="1" hidden="1">
      <c r="A852" s="13" t="s">
        <v>2600</v>
      </c>
    </row>
    <row r="853" spans="1:1" customFormat="1" hidden="1">
      <c r="A853" s="13" t="s">
        <v>2601</v>
      </c>
    </row>
    <row r="854" spans="1:1" customFormat="1" hidden="1">
      <c r="A854" s="13" t="s">
        <v>2602</v>
      </c>
    </row>
    <row r="855" spans="1:1" customFormat="1" hidden="1">
      <c r="A855" s="13" t="s">
        <v>2603</v>
      </c>
    </row>
    <row r="856" spans="1:1" customFormat="1" hidden="1">
      <c r="A856" s="13" t="s">
        <v>2604</v>
      </c>
    </row>
    <row r="857" spans="1:1" customFormat="1" hidden="1">
      <c r="A857" s="13" t="s">
        <v>2605</v>
      </c>
    </row>
    <row r="858" spans="1:1" customFormat="1" hidden="1">
      <c r="A858" s="13" t="s">
        <v>2606</v>
      </c>
    </row>
    <row r="859" spans="1:1" customFormat="1" hidden="1">
      <c r="A859" s="13" t="s">
        <v>2607</v>
      </c>
    </row>
    <row r="860" spans="1:1" customFormat="1" hidden="1">
      <c r="A860" s="13" t="s">
        <v>2608</v>
      </c>
    </row>
    <row r="861" spans="1:1" customFormat="1" hidden="1">
      <c r="A861" s="13" t="s">
        <v>2609</v>
      </c>
    </row>
    <row r="862" spans="1:1" customFormat="1" hidden="1">
      <c r="A862" s="13" t="s">
        <v>2610</v>
      </c>
    </row>
    <row r="863" spans="1:1" customFormat="1" hidden="1">
      <c r="A863" s="13" t="s">
        <v>2611</v>
      </c>
    </row>
    <row r="864" spans="1:1" customFormat="1" hidden="1">
      <c r="A864" s="13" t="s">
        <v>2612</v>
      </c>
    </row>
    <row r="865" spans="1:1" customFormat="1" hidden="1">
      <c r="A865" s="13" t="s">
        <v>2613</v>
      </c>
    </row>
    <row r="866" spans="1:1" customFormat="1" hidden="1">
      <c r="A866" s="13" t="s">
        <v>2614</v>
      </c>
    </row>
    <row r="867" spans="1:1" customFormat="1" hidden="1">
      <c r="A867" s="13" t="s">
        <v>2615</v>
      </c>
    </row>
    <row r="868" spans="1:1" customFormat="1" hidden="1">
      <c r="A868" s="13" t="s">
        <v>2616</v>
      </c>
    </row>
    <row r="869" spans="1:1" customFormat="1" hidden="1">
      <c r="A869" s="13" t="s">
        <v>2617</v>
      </c>
    </row>
    <row r="870" spans="1:1" customFormat="1" hidden="1">
      <c r="A870" s="13" t="s">
        <v>2618</v>
      </c>
    </row>
    <row r="871" spans="1:1" customFormat="1" hidden="1">
      <c r="A871" s="13" t="s">
        <v>2619</v>
      </c>
    </row>
    <row r="872" spans="1:1" customFormat="1" hidden="1">
      <c r="A872" s="13" t="s">
        <v>2620</v>
      </c>
    </row>
    <row r="873" spans="1:1" customFormat="1" hidden="1">
      <c r="A873" s="13" t="s">
        <v>2621</v>
      </c>
    </row>
    <row r="874" spans="1:1" customFormat="1" hidden="1">
      <c r="A874" s="13" t="s">
        <v>2622</v>
      </c>
    </row>
    <row r="875" spans="1:1" customFormat="1" hidden="1">
      <c r="A875" s="13" t="s">
        <v>2623</v>
      </c>
    </row>
    <row r="876" spans="1:1" customFormat="1" hidden="1">
      <c r="A876" s="13" t="s">
        <v>2624</v>
      </c>
    </row>
    <row r="877" spans="1:1" customFormat="1" hidden="1">
      <c r="A877" s="13" t="s">
        <v>2625</v>
      </c>
    </row>
    <row r="878" spans="1:1" customFormat="1" hidden="1">
      <c r="A878" s="13" t="s">
        <v>2626</v>
      </c>
    </row>
    <row r="879" spans="1:1" customFormat="1" hidden="1">
      <c r="A879" s="13" t="s">
        <v>2627</v>
      </c>
    </row>
    <row r="880" spans="1:1" customFormat="1" hidden="1">
      <c r="A880" s="13" t="s">
        <v>2628</v>
      </c>
    </row>
    <row r="881" spans="1:1" customFormat="1" hidden="1">
      <c r="A881" s="13" t="s">
        <v>2629</v>
      </c>
    </row>
    <row r="882" spans="1:1" customFormat="1" hidden="1">
      <c r="A882" s="13" t="s">
        <v>2630</v>
      </c>
    </row>
    <row r="883" spans="1:1" customFormat="1" hidden="1">
      <c r="A883" s="13" t="s">
        <v>2631</v>
      </c>
    </row>
    <row r="884" spans="1:1" customFormat="1" hidden="1">
      <c r="A884" s="13" t="s">
        <v>2632</v>
      </c>
    </row>
    <row r="885" spans="1:1" customFormat="1" hidden="1">
      <c r="A885" s="13" t="s">
        <v>2633</v>
      </c>
    </row>
    <row r="886" spans="1:1" customFormat="1" hidden="1">
      <c r="A886" s="13" t="s">
        <v>2634</v>
      </c>
    </row>
    <row r="887" spans="1:1" customFormat="1" hidden="1">
      <c r="A887" s="13" t="s">
        <v>2635</v>
      </c>
    </row>
    <row r="888" spans="1:1" customFormat="1" hidden="1">
      <c r="A888" s="13" t="s">
        <v>2636</v>
      </c>
    </row>
    <row r="889" spans="1:1" customFormat="1" hidden="1">
      <c r="A889" s="13" t="s">
        <v>2637</v>
      </c>
    </row>
    <row r="890" spans="1:1" customFormat="1" hidden="1">
      <c r="A890" s="13" t="s">
        <v>2638</v>
      </c>
    </row>
    <row r="891" spans="1:1" customFormat="1" hidden="1">
      <c r="A891" s="13" t="s">
        <v>2639</v>
      </c>
    </row>
    <row r="892" spans="1:1" customFormat="1" hidden="1">
      <c r="A892" s="13" t="s">
        <v>2640</v>
      </c>
    </row>
    <row r="893" spans="1:1" customFormat="1" hidden="1">
      <c r="A893" s="13" t="s">
        <v>2641</v>
      </c>
    </row>
    <row r="894" spans="1:1" customFormat="1" hidden="1">
      <c r="A894" s="13" t="s">
        <v>2642</v>
      </c>
    </row>
    <row r="895" spans="1:1" customFormat="1" hidden="1">
      <c r="A895" s="13" t="s">
        <v>2643</v>
      </c>
    </row>
    <row r="896" spans="1:1" customFormat="1" hidden="1">
      <c r="A896" s="13" t="s">
        <v>2644</v>
      </c>
    </row>
    <row r="897" spans="1:1" customFormat="1" hidden="1">
      <c r="A897" s="13" t="s">
        <v>2645</v>
      </c>
    </row>
    <row r="898" spans="1:1" customFormat="1" hidden="1">
      <c r="A898" s="13" t="s">
        <v>2646</v>
      </c>
    </row>
    <row r="899" spans="1:1" customFormat="1" hidden="1">
      <c r="A899" s="13" t="s">
        <v>2647</v>
      </c>
    </row>
    <row r="900" spans="1:1" customFormat="1" hidden="1">
      <c r="A900" s="13" t="s">
        <v>2648</v>
      </c>
    </row>
    <row r="901" spans="1:1" customFormat="1" hidden="1">
      <c r="A901" s="13" t="s">
        <v>2649</v>
      </c>
    </row>
    <row r="902" spans="1:1" customFormat="1" hidden="1">
      <c r="A902" s="13" t="s">
        <v>2650</v>
      </c>
    </row>
    <row r="903" spans="1:1" customFormat="1" hidden="1">
      <c r="A903" s="13" t="s">
        <v>2651</v>
      </c>
    </row>
    <row r="904" spans="1:1" customFormat="1" hidden="1">
      <c r="A904" s="13" t="s">
        <v>2652</v>
      </c>
    </row>
    <row r="905" spans="1:1" customFormat="1" hidden="1">
      <c r="A905" s="13" t="s">
        <v>2653</v>
      </c>
    </row>
    <row r="906" spans="1:1" customFormat="1" hidden="1">
      <c r="A906" s="13" t="s">
        <v>2654</v>
      </c>
    </row>
    <row r="907" spans="1:1" customFormat="1" hidden="1">
      <c r="A907" s="13" t="s">
        <v>2655</v>
      </c>
    </row>
    <row r="908" spans="1:1" customFormat="1" hidden="1">
      <c r="A908" s="13" t="s">
        <v>2656</v>
      </c>
    </row>
    <row r="909" spans="1:1" customFormat="1" hidden="1">
      <c r="A909" s="13" t="s">
        <v>2657</v>
      </c>
    </row>
    <row r="910" spans="1:1" customFormat="1" hidden="1">
      <c r="A910" s="13" t="s">
        <v>2658</v>
      </c>
    </row>
    <row r="911" spans="1:1" customFormat="1" hidden="1">
      <c r="A911" s="13" t="s">
        <v>2659</v>
      </c>
    </row>
    <row r="912" spans="1:1" customFormat="1" hidden="1">
      <c r="A912" s="13" t="s">
        <v>2660</v>
      </c>
    </row>
    <row r="913" spans="1:1" customFormat="1" hidden="1">
      <c r="A913" s="13" t="s">
        <v>2661</v>
      </c>
    </row>
    <row r="914" spans="1:1" customFormat="1" hidden="1">
      <c r="A914" s="13" t="s">
        <v>2662</v>
      </c>
    </row>
    <row r="915" spans="1:1" customFormat="1" hidden="1">
      <c r="A915" s="13" t="s">
        <v>2663</v>
      </c>
    </row>
    <row r="916" spans="1:1" customFormat="1" hidden="1">
      <c r="A916" s="13" t="s">
        <v>2664</v>
      </c>
    </row>
    <row r="917" spans="1:1" customFormat="1" hidden="1">
      <c r="A917" s="13" t="s">
        <v>2665</v>
      </c>
    </row>
    <row r="918" spans="1:1" customFormat="1" hidden="1">
      <c r="A918" s="13" t="s">
        <v>2666</v>
      </c>
    </row>
    <row r="919" spans="1:1" customFormat="1" hidden="1">
      <c r="A919" s="13" t="s">
        <v>2667</v>
      </c>
    </row>
    <row r="920" spans="1:1" customFormat="1" hidden="1">
      <c r="A920" s="13" t="s">
        <v>2668</v>
      </c>
    </row>
    <row r="921" spans="1:1" customFormat="1" hidden="1">
      <c r="A921" s="13" t="s">
        <v>2669</v>
      </c>
    </row>
    <row r="922" spans="1:1" customFormat="1" hidden="1">
      <c r="A922" s="13" t="s">
        <v>2670</v>
      </c>
    </row>
    <row r="923" spans="1:1" customFormat="1" hidden="1">
      <c r="A923" s="13" t="s">
        <v>2671</v>
      </c>
    </row>
    <row r="924" spans="1:1" customFormat="1" hidden="1">
      <c r="A924" s="13" t="s">
        <v>2672</v>
      </c>
    </row>
    <row r="925" spans="1:1" customFormat="1" hidden="1">
      <c r="A925" s="13" t="s">
        <v>2673</v>
      </c>
    </row>
    <row r="926" spans="1:1" customFormat="1" hidden="1">
      <c r="A926" s="13" t="s">
        <v>2674</v>
      </c>
    </row>
    <row r="927" spans="1:1" customFormat="1" hidden="1">
      <c r="A927" s="13" t="s">
        <v>2675</v>
      </c>
    </row>
    <row r="928" spans="1:1" customFormat="1" hidden="1">
      <c r="A928" s="13" t="s">
        <v>2676</v>
      </c>
    </row>
    <row r="929" spans="1:1" customFormat="1" hidden="1">
      <c r="A929" s="13" t="s">
        <v>2677</v>
      </c>
    </row>
    <row r="930" spans="1:1" customFormat="1" hidden="1">
      <c r="A930" s="13" t="s">
        <v>2678</v>
      </c>
    </row>
    <row r="931" spans="1:1" customFormat="1" hidden="1">
      <c r="A931" s="13" t="s">
        <v>2679</v>
      </c>
    </row>
    <row r="932" spans="1:1" customFormat="1" hidden="1">
      <c r="A932" s="13" t="s">
        <v>2680</v>
      </c>
    </row>
    <row r="933" spans="1:1" customFormat="1" hidden="1">
      <c r="A933" s="13" t="s">
        <v>2681</v>
      </c>
    </row>
    <row r="934" spans="1:1" customFormat="1" hidden="1">
      <c r="A934" s="13" t="s">
        <v>2682</v>
      </c>
    </row>
    <row r="935" spans="1:1" customFormat="1" hidden="1">
      <c r="A935" s="13" t="s">
        <v>2683</v>
      </c>
    </row>
    <row r="936" spans="1:1" customFormat="1" hidden="1">
      <c r="A936" s="13" t="s">
        <v>2684</v>
      </c>
    </row>
    <row r="937" spans="1:1" customFormat="1" hidden="1">
      <c r="A937" s="13" t="s">
        <v>2685</v>
      </c>
    </row>
    <row r="938" spans="1:1" customFormat="1" hidden="1">
      <c r="A938" s="13" t="s">
        <v>2686</v>
      </c>
    </row>
    <row r="939" spans="1:1" customFormat="1" hidden="1">
      <c r="A939" s="13" t="s">
        <v>2687</v>
      </c>
    </row>
    <row r="940" spans="1:1" customFormat="1" hidden="1">
      <c r="A940" s="13" t="s">
        <v>2688</v>
      </c>
    </row>
    <row r="941" spans="1:1" customFormat="1" hidden="1">
      <c r="A941" s="13" t="s">
        <v>2689</v>
      </c>
    </row>
    <row r="942" spans="1:1" customFormat="1" hidden="1">
      <c r="A942" s="13" t="s">
        <v>2690</v>
      </c>
    </row>
    <row r="943" spans="1:1" customFormat="1" hidden="1">
      <c r="A943" s="13" t="s">
        <v>2691</v>
      </c>
    </row>
    <row r="944" spans="1:1" customFormat="1" hidden="1">
      <c r="A944" s="13" t="s">
        <v>2692</v>
      </c>
    </row>
    <row r="945" spans="1:1" customFormat="1" hidden="1">
      <c r="A945" s="13" t="s">
        <v>2693</v>
      </c>
    </row>
    <row r="946" spans="1:1" customFormat="1" hidden="1">
      <c r="A946" s="13" t="s">
        <v>2694</v>
      </c>
    </row>
    <row r="947" spans="1:1" customFormat="1" hidden="1">
      <c r="A947" s="13" t="s">
        <v>2695</v>
      </c>
    </row>
    <row r="948" spans="1:1" customFormat="1" hidden="1">
      <c r="A948" s="13" t="s">
        <v>2696</v>
      </c>
    </row>
    <row r="949" spans="1:1" customFormat="1" hidden="1">
      <c r="A949" s="13" t="s">
        <v>2697</v>
      </c>
    </row>
    <row r="950" spans="1:1" customFormat="1" hidden="1">
      <c r="A950" s="13" t="s">
        <v>2698</v>
      </c>
    </row>
    <row r="951" spans="1:1" customFormat="1" hidden="1">
      <c r="A951" s="13" t="s">
        <v>2699</v>
      </c>
    </row>
    <row r="952" spans="1:1" customFormat="1" hidden="1">
      <c r="A952" s="13" t="s">
        <v>2700</v>
      </c>
    </row>
    <row r="953" spans="1:1" customFormat="1" hidden="1">
      <c r="A953" s="13" t="s">
        <v>2701</v>
      </c>
    </row>
    <row r="954" spans="1:1" customFormat="1" hidden="1">
      <c r="A954" s="13" t="s">
        <v>2702</v>
      </c>
    </row>
    <row r="955" spans="1:1" customFormat="1" hidden="1">
      <c r="A955" s="13" t="s">
        <v>2703</v>
      </c>
    </row>
    <row r="956" spans="1:1" customFormat="1" hidden="1">
      <c r="A956" s="13" t="s">
        <v>2704</v>
      </c>
    </row>
    <row r="957" spans="1:1" customFormat="1" hidden="1">
      <c r="A957" s="13" t="s">
        <v>2705</v>
      </c>
    </row>
    <row r="958" spans="1:1" customFormat="1" hidden="1">
      <c r="A958" s="13" t="s">
        <v>2706</v>
      </c>
    </row>
    <row r="959" spans="1:1" customFormat="1" hidden="1">
      <c r="A959" s="13" t="s">
        <v>2707</v>
      </c>
    </row>
    <row r="960" spans="1:1" customFormat="1" hidden="1">
      <c r="A960" s="13" t="s">
        <v>2708</v>
      </c>
    </row>
    <row r="961" spans="1:1" customFormat="1" hidden="1">
      <c r="A961" s="13" t="s">
        <v>2709</v>
      </c>
    </row>
    <row r="962" spans="1:1" customFormat="1" hidden="1">
      <c r="A962" s="13" t="s">
        <v>2710</v>
      </c>
    </row>
    <row r="963" spans="1:1" customFormat="1" hidden="1">
      <c r="A963" s="13"/>
    </row>
    <row r="964" spans="1:1" customFormat="1" hidden="1">
      <c r="A964" s="13" t="s">
        <v>2711</v>
      </c>
    </row>
    <row r="965" spans="1:1" customFormat="1" hidden="1">
      <c r="A965" s="13" t="s">
        <v>2712</v>
      </c>
    </row>
    <row r="966" spans="1:1" customFormat="1" hidden="1">
      <c r="A966" s="13" t="s">
        <v>2713</v>
      </c>
    </row>
    <row r="967" spans="1:1" customFormat="1" hidden="1">
      <c r="A967" s="13" t="s">
        <v>2714</v>
      </c>
    </row>
    <row r="968" spans="1:1" customFormat="1" hidden="1">
      <c r="A968" s="13" t="s">
        <v>2715</v>
      </c>
    </row>
    <row r="969" spans="1:1" customFormat="1" hidden="1">
      <c r="A969" s="13" t="s">
        <v>2716</v>
      </c>
    </row>
    <row r="970" spans="1:1" customFormat="1" hidden="1">
      <c r="A970" s="13" t="s">
        <v>2717</v>
      </c>
    </row>
    <row r="971" spans="1:1" customFormat="1" hidden="1">
      <c r="A971" s="13" t="s">
        <v>2718</v>
      </c>
    </row>
    <row r="972" spans="1:1" customFormat="1" hidden="1">
      <c r="A972" s="13" t="s">
        <v>2719</v>
      </c>
    </row>
    <row r="973" spans="1:1" customFormat="1" hidden="1">
      <c r="A973" s="13" t="s">
        <v>2720</v>
      </c>
    </row>
    <row r="974" spans="1:1" customFormat="1" hidden="1">
      <c r="A974" s="13" t="s">
        <v>2721</v>
      </c>
    </row>
    <row r="975" spans="1:1" customFormat="1" hidden="1">
      <c r="A975" s="13" t="s">
        <v>2722</v>
      </c>
    </row>
    <row r="976" spans="1:1" customFormat="1" hidden="1">
      <c r="A976" s="13" t="s">
        <v>2723</v>
      </c>
    </row>
    <row r="977" spans="1:1" customFormat="1" hidden="1">
      <c r="A977" s="13" t="s">
        <v>2724</v>
      </c>
    </row>
    <row r="978" spans="1:1" customFormat="1" hidden="1">
      <c r="A978" s="13" t="s">
        <v>2725</v>
      </c>
    </row>
    <row r="979" spans="1:1" customFormat="1" hidden="1">
      <c r="A979" s="13" t="s">
        <v>2726</v>
      </c>
    </row>
    <row r="980" spans="1:1" customFormat="1" hidden="1">
      <c r="A980" s="13" t="s">
        <v>2727</v>
      </c>
    </row>
    <row r="981" spans="1:1" customFormat="1" hidden="1">
      <c r="A981" s="13" t="s">
        <v>2728</v>
      </c>
    </row>
    <row r="982" spans="1:1" customFormat="1" hidden="1">
      <c r="A982" s="13" t="s">
        <v>2729</v>
      </c>
    </row>
    <row r="983" spans="1:1" customFormat="1" hidden="1">
      <c r="A983" s="13" t="s">
        <v>2730</v>
      </c>
    </row>
    <row r="984" spans="1:1" customFormat="1" hidden="1">
      <c r="A984" s="13" t="s">
        <v>2731</v>
      </c>
    </row>
    <row r="985" spans="1:1" customFormat="1" hidden="1">
      <c r="A985" s="13" t="s">
        <v>2732</v>
      </c>
    </row>
    <row r="986" spans="1:1" customFormat="1" hidden="1">
      <c r="A986" s="13" t="s">
        <v>2733</v>
      </c>
    </row>
    <row r="987" spans="1:1" customFormat="1" hidden="1">
      <c r="A987" s="13" t="s">
        <v>2734</v>
      </c>
    </row>
    <row r="988" spans="1:1" customFormat="1" hidden="1">
      <c r="A988" s="13" t="s">
        <v>2735</v>
      </c>
    </row>
    <row r="989" spans="1:1" customFormat="1" hidden="1">
      <c r="A989" s="13" t="s">
        <v>2736</v>
      </c>
    </row>
    <row r="990" spans="1:1" customFormat="1" hidden="1">
      <c r="A990" s="13" t="s">
        <v>2737</v>
      </c>
    </row>
    <row r="991" spans="1:1" customFormat="1" hidden="1">
      <c r="A991" s="13" t="s">
        <v>2738</v>
      </c>
    </row>
    <row r="992" spans="1:1" customFormat="1" hidden="1">
      <c r="A992" s="13" t="s">
        <v>2739</v>
      </c>
    </row>
    <row r="993" spans="1:1" customFormat="1" hidden="1">
      <c r="A993" s="13" t="s">
        <v>2740</v>
      </c>
    </row>
    <row r="994" spans="1:1" customFormat="1" hidden="1">
      <c r="A994" s="13" t="s">
        <v>2741</v>
      </c>
    </row>
    <row r="995" spans="1:1" customFormat="1" hidden="1">
      <c r="A995" s="13" t="s">
        <v>2742</v>
      </c>
    </row>
    <row r="996" spans="1:1" customFormat="1" hidden="1">
      <c r="A996" s="13" t="s">
        <v>2743</v>
      </c>
    </row>
    <row r="997" spans="1:1" customFormat="1" hidden="1">
      <c r="A997" s="13" t="s">
        <v>2744</v>
      </c>
    </row>
    <row r="998" spans="1:1" customFormat="1" hidden="1">
      <c r="A998" s="13" t="s">
        <v>2745</v>
      </c>
    </row>
    <row r="999" spans="1:1" customFormat="1" hidden="1">
      <c r="A999" s="13" t="s">
        <v>2746</v>
      </c>
    </row>
    <row r="1000" spans="1:1" customFormat="1" hidden="1">
      <c r="A1000" s="13" t="s">
        <v>2747</v>
      </c>
    </row>
    <row r="1001" spans="1:1" customFormat="1" hidden="1">
      <c r="A1001" s="13" t="s">
        <v>2748</v>
      </c>
    </row>
    <row r="1002" spans="1:1" customFormat="1" hidden="1">
      <c r="A1002" s="13" t="s">
        <v>2749</v>
      </c>
    </row>
    <row r="1003" spans="1:1" customFormat="1" hidden="1">
      <c r="A1003" s="13" t="s">
        <v>2750</v>
      </c>
    </row>
    <row r="1004" spans="1:1" customFormat="1" hidden="1">
      <c r="A1004" s="13" t="s">
        <v>2751</v>
      </c>
    </row>
    <row r="1005" spans="1:1" customFormat="1" hidden="1">
      <c r="A1005" s="13" t="s">
        <v>2752</v>
      </c>
    </row>
    <row r="1006" spans="1:1" customFormat="1" hidden="1">
      <c r="A1006" s="13" t="s">
        <v>2753</v>
      </c>
    </row>
    <row r="1007" spans="1:1" customFormat="1" hidden="1">
      <c r="A1007" s="13" t="s">
        <v>2754</v>
      </c>
    </row>
    <row r="1008" spans="1:1" customFormat="1" hidden="1">
      <c r="A1008" s="13" t="s">
        <v>2755</v>
      </c>
    </row>
    <row r="1009" spans="1:1" customFormat="1" hidden="1">
      <c r="A1009" s="13" t="s">
        <v>2756</v>
      </c>
    </row>
    <row r="1010" spans="1:1" customFormat="1" hidden="1">
      <c r="A1010" s="13" t="s">
        <v>2757</v>
      </c>
    </row>
    <row r="1011" spans="1:1" customFormat="1" hidden="1">
      <c r="A1011" s="13" t="s">
        <v>2758</v>
      </c>
    </row>
    <row r="1012" spans="1:1" customFormat="1" hidden="1">
      <c r="A1012" s="13" t="s">
        <v>2759</v>
      </c>
    </row>
    <row r="1013" spans="1:1" customFormat="1" hidden="1">
      <c r="A1013" s="13" t="s">
        <v>2760</v>
      </c>
    </row>
    <row r="1014" spans="1:1" customFormat="1" hidden="1">
      <c r="A1014" s="13" t="s">
        <v>2761</v>
      </c>
    </row>
    <row r="1015" spans="1:1" customFormat="1" hidden="1">
      <c r="A1015" s="13" t="s">
        <v>2762</v>
      </c>
    </row>
    <row r="1016" spans="1:1" customFormat="1" hidden="1">
      <c r="A1016" s="13" t="s">
        <v>2763</v>
      </c>
    </row>
    <row r="1017" spans="1:1" customFormat="1" hidden="1">
      <c r="A1017" s="13" t="s">
        <v>2764</v>
      </c>
    </row>
    <row r="1018" spans="1:1" customFormat="1" hidden="1">
      <c r="A1018" s="13" t="s">
        <v>2765</v>
      </c>
    </row>
    <row r="1019" spans="1:1" customFormat="1" hidden="1">
      <c r="A1019" s="13" t="s">
        <v>2766</v>
      </c>
    </row>
    <row r="1020" spans="1:1" customFormat="1" hidden="1">
      <c r="A1020" s="13" t="s">
        <v>2767</v>
      </c>
    </row>
    <row r="1021" spans="1:1" customFormat="1" hidden="1">
      <c r="A1021" s="13" t="s">
        <v>2768</v>
      </c>
    </row>
    <row r="1022" spans="1:1" customFormat="1" hidden="1">
      <c r="A1022" s="13" t="s">
        <v>2769</v>
      </c>
    </row>
    <row r="1023" spans="1:1" customFormat="1" hidden="1">
      <c r="A1023" s="13" t="s">
        <v>2770</v>
      </c>
    </row>
    <row r="1024" spans="1:1" customFormat="1" hidden="1">
      <c r="A1024" s="13" t="s">
        <v>2771</v>
      </c>
    </row>
    <row r="1025" spans="1:1" customFormat="1" hidden="1">
      <c r="A1025" s="13" t="s">
        <v>2772</v>
      </c>
    </row>
    <row r="1026" spans="1:1" customFormat="1" hidden="1">
      <c r="A1026" s="13" t="s">
        <v>2773</v>
      </c>
    </row>
    <row r="1027" spans="1:1" customFormat="1" hidden="1">
      <c r="A1027" s="13" t="s">
        <v>2774</v>
      </c>
    </row>
    <row r="1028" spans="1:1" customFormat="1" hidden="1">
      <c r="A1028" s="13" t="s">
        <v>2775</v>
      </c>
    </row>
    <row r="1029" spans="1:1" customFormat="1" hidden="1">
      <c r="A1029" s="13" t="s">
        <v>2776</v>
      </c>
    </row>
    <row r="1030" spans="1:1" customFormat="1" hidden="1">
      <c r="A1030" s="13" t="s">
        <v>2777</v>
      </c>
    </row>
    <row r="1031" spans="1:1" customFormat="1" hidden="1">
      <c r="A1031" s="13" t="s">
        <v>2778</v>
      </c>
    </row>
    <row r="1032" spans="1:1" customFormat="1" hidden="1">
      <c r="A1032" s="13" t="s">
        <v>2779</v>
      </c>
    </row>
    <row r="1033" spans="1:1" customFormat="1" hidden="1">
      <c r="A1033" s="13" t="s">
        <v>2780</v>
      </c>
    </row>
    <row r="1034" spans="1:1" customFormat="1" hidden="1">
      <c r="A1034" s="13" t="s">
        <v>2781</v>
      </c>
    </row>
    <row r="1035" spans="1:1" customFormat="1" hidden="1">
      <c r="A1035" s="13" t="s">
        <v>2782</v>
      </c>
    </row>
    <row r="1036" spans="1:1" customFormat="1" hidden="1">
      <c r="A1036" s="13" t="s">
        <v>2783</v>
      </c>
    </row>
    <row r="1037" spans="1:1" customFormat="1" hidden="1">
      <c r="A1037" s="13" t="s">
        <v>2784</v>
      </c>
    </row>
    <row r="1038" spans="1:1" customFormat="1" hidden="1">
      <c r="A1038" s="13" t="s">
        <v>2785</v>
      </c>
    </row>
    <row r="1039" spans="1:1" customFormat="1" hidden="1">
      <c r="A1039" s="13" t="s">
        <v>2786</v>
      </c>
    </row>
    <row r="1040" spans="1:1" customFormat="1" hidden="1">
      <c r="A1040" s="13" t="s">
        <v>2787</v>
      </c>
    </row>
    <row r="1041" spans="1:1" customFormat="1" hidden="1">
      <c r="A1041" s="13" t="s">
        <v>2788</v>
      </c>
    </row>
    <row r="1042" spans="1:1" customFormat="1" hidden="1">
      <c r="A1042" s="13" t="s">
        <v>2789</v>
      </c>
    </row>
    <row r="1043" spans="1:1" customFormat="1" hidden="1">
      <c r="A1043" s="13" t="s">
        <v>2790</v>
      </c>
    </row>
    <row r="1044" spans="1:1" customFormat="1" hidden="1">
      <c r="A1044" s="13" t="s">
        <v>2791</v>
      </c>
    </row>
    <row r="1045" spans="1:1" customFormat="1" hidden="1">
      <c r="A1045" s="13" t="s">
        <v>2792</v>
      </c>
    </row>
    <row r="1046" spans="1:1" customFormat="1" hidden="1">
      <c r="A1046" s="13" t="s">
        <v>2793</v>
      </c>
    </row>
    <row r="1047" spans="1:1" customFormat="1" hidden="1">
      <c r="A1047" s="13" t="s">
        <v>2794</v>
      </c>
    </row>
    <row r="1048" spans="1:1" customFormat="1" hidden="1">
      <c r="A1048" s="13" t="s">
        <v>2795</v>
      </c>
    </row>
    <row r="1049" spans="1:1" customFormat="1" hidden="1">
      <c r="A1049" s="13" t="s">
        <v>2796</v>
      </c>
    </row>
    <row r="1050" spans="1:1" customFormat="1" hidden="1">
      <c r="A1050" s="13" t="s">
        <v>2797</v>
      </c>
    </row>
    <row r="1051" spans="1:1" customFormat="1" hidden="1">
      <c r="A1051" s="13" t="s">
        <v>2798</v>
      </c>
    </row>
    <row r="1052" spans="1:1" customFormat="1" hidden="1">
      <c r="A1052" s="13" t="s">
        <v>2799</v>
      </c>
    </row>
    <row r="1053" spans="1:1" customFormat="1" hidden="1">
      <c r="A1053" s="13" t="s">
        <v>2800</v>
      </c>
    </row>
    <row r="1054" spans="1:1" customFormat="1" hidden="1">
      <c r="A1054" s="13" t="s">
        <v>2801</v>
      </c>
    </row>
    <row r="1055" spans="1:1" customFormat="1" hidden="1">
      <c r="A1055" s="13" t="s">
        <v>2802</v>
      </c>
    </row>
    <row r="1056" spans="1:1" customFormat="1" hidden="1">
      <c r="A1056" s="13" t="s">
        <v>2803</v>
      </c>
    </row>
    <row r="1057" spans="1:1" customFormat="1" hidden="1">
      <c r="A1057" s="13" t="s">
        <v>2804</v>
      </c>
    </row>
    <row r="1058" spans="1:1" customFormat="1" hidden="1">
      <c r="A1058" s="13" t="s">
        <v>2805</v>
      </c>
    </row>
    <row r="1059" spans="1:1" customFormat="1" hidden="1">
      <c r="A1059" s="13" t="s">
        <v>2806</v>
      </c>
    </row>
    <row r="1060" spans="1:1" customFormat="1" hidden="1">
      <c r="A1060" s="13" t="s">
        <v>2807</v>
      </c>
    </row>
    <row r="1061" spans="1:1" customFormat="1" hidden="1">
      <c r="A1061" s="13" t="s">
        <v>2808</v>
      </c>
    </row>
    <row r="1062" spans="1:1" customFormat="1" hidden="1">
      <c r="A1062" s="13" t="s">
        <v>2809</v>
      </c>
    </row>
    <row r="1063" spans="1:1" customFormat="1" hidden="1">
      <c r="A1063" s="13" t="s">
        <v>2810</v>
      </c>
    </row>
    <row r="1064" spans="1:1" customFormat="1" hidden="1">
      <c r="A1064" s="13" t="s">
        <v>2811</v>
      </c>
    </row>
    <row r="1065" spans="1:1" customFormat="1" hidden="1">
      <c r="A1065" s="13" t="s">
        <v>2812</v>
      </c>
    </row>
    <row r="1066" spans="1:1" customFormat="1" hidden="1">
      <c r="A1066" s="13" t="s">
        <v>2813</v>
      </c>
    </row>
    <row r="1067" spans="1:1" customFormat="1" hidden="1">
      <c r="A1067" s="13" t="s">
        <v>2814</v>
      </c>
    </row>
    <row r="1068" spans="1:1" customFormat="1" hidden="1">
      <c r="A1068" s="13" t="s">
        <v>2815</v>
      </c>
    </row>
    <row r="1069" spans="1:1" customFormat="1" hidden="1">
      <c r="A1069" s="13" t="s">
        <v>2816</v>
      </c>
    </row>
    <row r="1070" spans="1:1" customFormat="1" hidden="1">
      <c r="A1070" s="13" t="s">
        <v>2817</v>
      </c>
    </row>
    <row r="1071" spans="1:1" customFormat="1" hidden="1">
      <c r="A1071" s="13" t="s">
        <v>2818</v>
      </c>
    </row>
    <row r="1072" spans="1:1" customFormat="1" hidden="1">
      <c r="A1072" s="13" t="s">
        <v>2819</v>
      </c>
    </row>
    <row r="1073" spans="1:1" customFormat="1" hidden="1">
      <c r="A1073" s="13" t="s">
        <v>2820</v>
      </c>
    </row>
    <row r="1074" spans="1:1" customFormat="1" hidden="1">
      <c r="A1074" s="13" t="s">
        <v>2821</v>
      </c>
    </row>
    <row r="1075" spans="1:1" customFormat="1" hidden="1">
      <c r="A1075" s="13" t="s">
        <v>2822</v>
      </c>
    </row>
    <row r="1076" spans="1:1" customFormat="1" hidden="1">
      <c r="A1076" s="13" t="s">
        <v>2823</v>
      </c>
    </row>
    <row r="1077" spans="1:1" customFormat="1" hidden="1">
      <c r="A1077" s="13" t="s">
        <v>2824</v>
      </c>
    </row>
    <row r="1078" spans="1:1" customFormat="1" hidden="1">
      <c r="A1078" s="13" t="s">
        <v>2825</v>
      </c>
    </row>
    <row r="1079" spans="1:1" customFormat="1" hidden="1">
      <c r="A1079" s="13" t="s">
        <v>2826</v>
      </c>
    </row>
    <row r="1080" spans="1:1" customFormat="1" hidden="1">
      <c r="A1080" s="13" t="s">
        <v>2827</v>
      </c>
    </row>
    <row r="1081" spans="1:1" customFormat="1" hidden="1">
      <c r="A1081" s="13" t="s">
        <v>2828</v>
      </c>
    </row>
    <row r="1082" spans="1:1" customFormat="1" hidden="1">
      <c r="A1082" s="13" t="s">
        <v>2829</v>
      </c>
    </row>
    <row r="1083" spans="1:1" customFormat="1" hidden="1">
      <c r="A1083" s="13" t="s">
        <v>2830</v>
      </c>
    </row>
    <row r="1084" spans="1:1" customFormat="1" hidden="1">
      <c r="A1084" s="13" t="s">
        <v>2831</v>
      </c>
    </row>
    <row r="1085" spans="1:1" customFormat="1" hidden="1">
      <c r="A1085" s="13" t="s">
        <v>2832</v>
      </c>
    </row>
    <row r="1086" spans="1:1" customFormat="1" hidden="1">
      <c r="A1086" s="13" t="s">
        <v>2833</v>
      </c>
    </row>
    <row r="1087" spans="1:1" customFormat="1" hidden="1">
      <c r="A1087" s="13" t="s">
        <v>2834</v>
      </c>
    </row>
    <row r="1088" spans="1:1" customFormat="1" hidden="1">
      <c r="A1088" s="13" t="s">
        <v>2835</v>
      </c>
    </row>
    <row r="1089" spans="1:1" customFormat="1" hidden="1">
      <c r="A1089" s="13" t="s">
        <v>2836</v>
      </c>
    </row>
    <row r="1090" spans="1:1" customFormat="1" hidden="1">
      <c r="A1090" s="13" t="s">
        <v>2837</v>
      </c>
    </row>
    <row r="1091" spans="1:1" customFormat="1" hidden="1">
      <c r="A1091" s="13" t="s">
        <v>2838</v>
      </c>
    </row>
    <row r="1092" spans="1:1" customFormat="1" hidden="1">
      <c r="A1092" s="13" t="s">
        <v>2839</v>
      </c>
    </row>
    <row r="1093" spans="1:1" customFormat="1" hidden="1">
      <c r="A1093" s="13" t="s">
        <v>2840</v>
      </c>
    </row>
    <row r="1094" spans="1:1" customFormat="1" hidden="1">
      <c r="A1094" s="13" t="s">
        <v>2841</v>
      </c>
    </row>
    <row r="1095" spans="1:1" customFormat="1" hidden="1">
      <c r="A1095" s="13" t="s">
        <v>2842</v>
      </c>
    </row>
    <row r="1096" spans="1:1" customFormat="1" hidden="1">
      <c r="A1096" s="13" t="s">
        <v>2843</v>
      </c>
    </row>
    <row r="1097" spans="1:1" customFormat="1" hidden="1">
      <c r="A1097" s="13" t="s">
        <v>2844</v>
      </c>
    </row>
    <row r="1098" spans="1:1" customFormat="1" hidden="1">
      <c r="A1098" s="13" t="s">
        <v>2845</v>
      </c>
    </row>
    <row r="1099" spans="1:1" customFormat="1" hidden="1">
      <c r="A1099" s="13" t="s">
        <v>2846</v>
      </c>
    </row>
    <row r="1100" spans="1:1" customFormat="1" hidden="1">
      <c r="A1100" s="13" t="s">
        <v>2847</v>
      </c>
    </row>
    <row r="1101" spans="1:1" customFormat="1" hidden="1">
      <c r="A1101" s="13" t="s">
        <v>2848</v>
      </c>
    </row>
    <row r="1102" spans="1:1" customFormat="1" hidden="1">
      <c r="A1102" s="13" t="s">
        <v>2849</v>
      </c>
    </row>
    <row r="1103" spans="1:1" customFormat="1" hidden="1">
      <c r="A1103" s="13" t="s">
        <v>2850</v>
      </c>
    </row>
    <row r="1104" spans="1:1" customFormat="1" hidden="1">
      <c r="A1104" s="13" t="s">
        <v>2851</v>
      </c>
    </row>
    <row r="1105" spans="1:1" customFormat="1" hidden="1">
      <c r="A1105" s="13" t="s">
        <v>2852</v>
      </c>
    </row>
    <row r="1106" spans="1:1" customFormat="1" hidden="1">
      <c r="A1106" s="13" t="s">
        <v>2853</v>
      </c>
    </row>
    <row r="1107" spans="1:1" customFormat="1" hidden="1">
      <c r="A1107" s="13" t="s">
        <v>2854</v>
      </c>
    </row>
    <row r="1108" spans="1:1" customFormat="1" hidden="1">
      <c r="A1108" s="13" t="s">
        <v>2855</v>
      </c>
    </row>
    <row r="1109" spans="1:1" customFormat="1" hidden="1">
      <c r="A1109" s="13" t="s">
        <v>2856</v>
      </c>
    </row>
    <row r="1110" spans="1:1" customFormat="1" hidden="1">
      <c r="A1110" s="13" t="s">
        <v>2857</v>
      </c>
    </row>
    <row r="1111" spans="1:1" customFormat="1" hidden="1">
      <c r="A1111" s="13" t="s">
        <v>2858</v>
      </c>
    </row>
    <row r="1112" spans="1:1" customFormat="1" hidden="1">
      <c r="A1112" s="13" t="s">
        <v>2859</v>
      </c>
    </row>
    <row r="1113" spans="1:1" customFormat="1" hidden="1">
      <c r="A1113" s="13" t="s">
        <v>2860</v>
      </c>
    </row>
    <row r="1114" spans="1:1" customFormat="1" hidden="1">
      <c r="A1114" s="13" t="s">
        <v>2861</v>
      </c>
    </row>
    <row r="1115" spans="1:1" customFormat="1" hidden="1">
      <c r="A1115" s="13" t="s">
        <v>2862</v>
      </c>
    </row>
    <row r="1116" spans="1:1" customFormat="1" hidden="1">
      <c r="A1116" s="13" t="s">
        <v>2863</v>
      </c>
    </row>
    <row r="1117" spans="1:1" customFormat="1" hidden="1">
      <c r="A1117" s="13" t="s">
        <v>2864</v>
      </c>
    </row>
    <row r="1118" spans="1:1" customFormat="1" hidden="1">
      <c r="A1118" s="13" t="s">
        <v>2865</v>
      </c>
    </row>
    <row r="1119" spans="1:1" customFormat="1" hidden="1">
      <c r="A1119" s="13" t="s">
        <v>2866</v>
      </c>
    </row>
    <row r="1120" spans="1:1" customFormat="1" hidden="1">
      <c r="A1120" s="13" t="s">
        <v>2867</v>
      </c>
    </row>
    <row r="1121" spans="1:1" customFormat="1" hidden="1">
      <c r="A1121" s="13" t="s">
        <v>2868</v>
      </c>
    </row>
    <row r="1122" spans="1:1" customFormat="1" hidden="1">
      <c r="A1122" s="13" t="s">
        <v>2869</v>
      </c>
    </row>
    <row r="1123" spans="1:1" customFormat="1" hidden="1">
      <c r="A1123" s="13" t="s">
        <v>2870</v>
      </c>
    </row>
    <row r="1124" spans="1:1" customFormat="1" hidden="1">
      <c r="A1124" s="13" t="s">
        <v>2871</v>
      </c>
    </row>
    <row r="1125" spans="1:1" customFormat="1" hidden="1">
      <c r="A1125" s="13" t="s">
        <v>2872</v>
      </c>
    </row>
    <row r="1126" spans="1:1" customFormat="1" hidden="1">
      <c r="A1126" s="13" t="s">
        <v>2873</v>
      </c>
    </row>
    <row r="1127" spans="1:1" customFormat="1" hidden="1">
      <c r="A1127" s="13" t="s">
        <v>2874</v>
      </c>
    </row>
    <row r="1128" spans="1:1" customFormat="1" hidden="1">
      <c r="A1128" s="13" t="s">
        <v>2875</v>
      </c>
    </row>
    <row r="1129" spans="1:1" customFormat="1" hidden="1">
      <c r="A1129" s="13" t="s">
        <v>2876</v>
      </c>
    </row>
    <row r="1130" spans="1:1" customFormat="1" hidden="1">
      <c r="A1130" s="13" t="s">
        <v>2877</v>
      </c>
    </row>
    <row r="1131" spans="1:1" customFormat="1" hidden="1">
      <c r="A1131" s="13" t="s">
        <v>2878</v>
      </c>
    </row>
    <row r="1132" spans="1:1" customFormat="1" hidden="1">
      <c r="A1132" s="13" t="s">
        <v>2879</v>
      </c>
    </row>
    <row r="1133" spans="1:1" customFormat="1" hidden="1">
      <c r="A1133" s="13" t="s">
        <v>2880</v>
      </c>
    </row>
    <row r="1134" spans="1:1" customFormat="1" hidden="1">
      <c r="A1134" s="13" t="s">
        <v>2881</v>
      </c>
    </row>
    <row r="1135" spans="1:1" customFormat="1" hidden="1">
      <c r="A1135" s="13" t="s">
        <v>2882</v>
      </c>
    </row>
    <row r="1136" spans="1:1" customFormat="1" hidden="1">
      <c r="A1136" s="13" t="s">
        <v>2883</v>
      </c>
    </row>
    <row r="1137" spans="1:1" customFormat="1" hidden="1">
      <c r="A1137" s="13" t="s">
        <v>2884</v>
      </c>
    </row>
    <row r="1138" spans="1:1" customFormat="1" hidden="1">
      <c r="A1138" s="13" t="s">
        <v>2885</v>
      </c>
    </row>
    <row r="1139" spans="1:1" customFormat="1" hidden="1">
      <c r="A1139" s="13" t="s">
        <v>2886</v>
      </c>
    </row>
    <row r="1140" spans="1:1" customFormat="1" hidden="1">
      <c r="A1140" s="13" t="s">
        <v>2887</v>
      </c>
    </row>
    <row r="1141" spans="1:1" customFormat="1" hidden="1">
      <c r="A1141" s="13" t="s">
        <v>2888</v>
      </c>
    </row>
    <row r="1142" spans="1:1" customFormat="1" hidden="1">
      <c r="A1142" s="13" t="s">
        <v>2889</v>
      </c>
    </row>
    <row r="1143" spans="1:1" customFormat="1" hidden="1">
      <c r="A1143" s="13" t="s">
        <v>2890</v>
      </c>
    </row>
    <row r="1144" spans="1:1" customFormat="1" hidden="1">
      <c r="A1144" s="13" t="s">
        <v>2891</v>
      </c>
    </row>
    <row r="1145" spans="1:1" customFormat="1" hidden="1">
      <c r="A1145" s="13" t="s">
        <v>2892</v>
      </c>
    </row>
    <row r="1146" spans="1:1" customFormat="1" hidden="1">
      <c r="A1146" s="13" t="s">
        <v>2893</v>
      </c>
    </row>
    <row r="1147" spans="1:1" customFormat="1" hidden="1">
      <c r="A1147" s="13" t="s">
        <v>2894</v>
      </c>
    </row>
    <row r="1148" spans="1:1" customFormat="1" hidden="1">
      <c r="A1148" s="13" t="s">
        <v>2895</v>
      </c>
    </row>
    <row r="1149" spans="1:1" customFormat="1" hidden="1">
      <c r="A1149" s="13" t="s">
        <v>2896</v>
      </c>
    </row>
    <row r="1150" spans="1:1" customFormat="1" hidden="1">
      <c r="A1150" s="13" t="s">
        <v>2897</v>
      </c>
    </row>
    <row r="1151" spans="1:1" customFormat="1" hidden="1">
      <c r="A1151" s="13" t="s">
        <v>2898</v>
      </c>
    </row>
    <row r="1152" spans="1:1" customFormat="1" hidden="1">
      <c r="A1152" s="13" t="s">
        <v>2899</v>
      </c>
    </row>
    <row r="1153" spans="1:1" customFormat="1" hidden="1">
      <c r="A1153" s="13" t="s">
        <v>2900</v>
      </c>
    </row>
    <row r="1154" spans="1:1" customFormat="1" hidden="1">
      <c r="A1154" s="13" t="s">
        <v>2901</v>
      </c>
    </row>
    <row r="1155" spans="1:1" customFormat="1" hidden="1">
      <c r="A1155" s="13" t="s">
        <v>2902</v>
      </c>
    </row>
    <row r="1156" spans="1:1" customFormat="1" hidden="1">
      <c r="A1156" s="13" t="s">
        <v>2903</v>
      </c>
    </row>
    <row r="1157" spans="1:1" customFormat="1" hidden="1">
      <c r="A1157" s="13"/>
    </row>
    <row r="1158" spans="1:1" customFormat="1" hidden="1">
      <c r="A1158" s="13" t="s">
        <v>2904</v>
      </c>
    </row>
    <row r="1159" spans="1:1" customFormat="1" hidden="1">
      <c r="A1159" s="13" t="s">
        <v>2905</v>
      </c>
    </row>
    <row r="1160" spans="1:1" customFormat="1" hidden="1">
      <c r="A1160" s="13" t="s">
        <v>2906</v>
      </c>
    </row>
    <row r="1161" spans="1:1" customFormat="1" hidden="1">
      <c r="A1161" s="13" t="s">
        <v>2907</v>
      </c>
    </row>
    <row r="1162" spans="1:1" customFormat="1" hidden="1">
      <c r="A1162" s="13" t="s">
        <v>2908</v>
      </c>
    </row>
    <row r="1163" spans="1:1" customFormat="1" hidden="1">
      <c r="A1163" s="13" t="s">
        <v>2909</v>
      </c>
    </row>
    <row r="1164" spans="1:1" customFormat="1" hidden="1">
      <c r="A1164" s="13" t="s">
        <v>2910</v>
      </c>
    </row>
    <row r="1165" spans="1:1" customFormat="1" hidden="1">
      <c r="A1165" s="13" t="s">
        <v>2911</v>
      </c>
    </row>
    <row r="1166" spans="1:1" customFormat="1" hidden="1">
      <c r="A1166" s="13" t="s">
        <v>2912</v>
      </c>
    </row>
    <row r="1167" spans="1:1" customFormat="1" hidden="1">
      <c r="A1167" s="13" t="s">
        <v>2913</v>
      </c>
    </row>
    <row r="1168" spans="1:1" customFormat="1" hidden="1">
      <c r="A1168" s="13" t="s">
        <v>2914</v>
      </c>
    </row>
    <row r="1169" spans="1:1" customFormat="1" hidden="1">
      <c r="A1169" s="13" t="s">
        <v>2915</v>
      </c>
    </row>
    <row r="1170" spans="1:1" customFormat="1" hidden="1">
      <c r="A1170" s="13" t="s">
        <v>2916</v>
      </c>
    </row>
    <row r="1171" spans="1:1" customFormat="1" hidden="1">
      <c r="A1171" s="13" t="s">
        <v>2917</v>
      </c>
    </row>
    <row r="1172" spans="1:1" customFormat="1" hidden="1">
      <c r="A1172" s="13" t="s">
        <v>2918</v>
      </c>
    </row>
    <row r="1173" spans="1:1" customFormat="1" hidden="1">
      <c r="A1173" s="13" t="s">
        <v>2919</v>
      </c>
    </row>
    <row r="1174" spans="1:1" customFormat="1" hidden="1">
      <c r="A1174" s="13" t="s">
        <v>2920</v>
      </c>
    </row>
    <row r="1175" spans="1:1" customFormat="1" hidden="1">
      <c r="A1175" s="13" t="s">
        <v>2921</v>
      </c>
    </row>
    <row r="1176" spans="1:1" customFormat="1" hidden="1">
      <c r="A1176" s="13" t="s">
        <v>2922</v>
      </c>
    </row>
    <row r="1177" spans="1:1" customFormat="1" hidden="1">
      <c r="A1177" s="13" t="s">
        <v>2923</v>
      </c>
    </row>
    <row r="1178" spans="1:1" customFormat="1" hidden="1">
      <c r="A1178" s="13" t="s">
        <v>2924</v>
      </c>
    </row>
    <row r="1179" spans="1:1" customFormat="1" hidden="1">
      <c r="A1179" s="13" t="s">
        <v>2925</v>
      </c>
    </row>
    <row r="1180" spans="1:1" customFormat="1" hidden="1">
      <c r="A1180" s="13" t="s">
        <v>2926</v>
      </c>
    </row>
    <row r="1181" spans="1:1" customFormat="1" hidden="1">
      <c r="A1181" s="13" t="s">
        <v>2927</v>
      </c>
    </row>
    <row r="1182" spans="1:1" customFormat="1" hidden="1">
      <c r="A1182" s="13" t="s">
        <v>2928</v>
      </c>
    </row>
    <row r="1183" spans="1:1" customFormat="1" hidden="1">
      <c r="A1183" s="13" t="s">
        <v>2929</v>
      </c>
    </row>
    <row r="1184" spans="1:1" customFormat="1" hidden="1">
      <c r="A1184" s="13" t="s">
        <v>2930</v>
      </c>
    </row>
    <row r="1185" spans="1:1" customFormat="1" hidden="1">
      <c r="A1185" s="13" t="s">
        <v>2931</v>
      </c>
    </row>
    <row r="1186" spans="1:1" customFormat="1" hidden="1">
      <c r="A1186" s="13" t="s">
        <v>2932</v>
      </c>
    </row>
    <row r="1187" spans="1:1" customFormat="1" hidden="1">
      <c r="A1187" s="13" t="s">
        <v>2933</v>
      </c>
    </row>
    <row r="1188" spans="1:1" customFormat="1" hidden="1">
      <c r="A1188" s="13" t="s">
        <v>2934</v>
      </c>
    </row>
    <row r="1189" spans="1:1" customFormat="1" hidden="1">
      <c r="A1189" s="13" t="s">
        <v>2935</v>
      </c>
    </row>
    <row r="1190" spans="1:1" customFormat="1" hidden="1">
      <c r="A1190" s="13" t="s">
        <v>2936</v>
      </c>
    </row>
    <row r="1191" spans="1:1" customFormat="1" hidden="1">
      <c r="A1191" s="13" t="s">
        <v>2937</v>
      </c>
    </row>
    <row r="1192" spans="1:1" customFormat="1" hidden="1">
      <c r="A1192" s="13" t="s">
        <v>2938</v>
      </c>
    </row>
    <row r="1193" spans="1:1" customFormat="1" hidden="1">
      <c r="A1193" s="13" t="s">
        <v>2939</v>
      </c>
    </row>
    <row r="1194" spans="1:1" customFormat="1" hidden="1">
      <c r="A1194" s="13" t="s">
        <v>2940</v>
      </c>
    </row>
    <row r="1195" spans="1:1" customFormat="1" hidden="1">
      <c r="A1195" s="13" t="s">
        <v>2941</v>
      </c>
    </row>
    <row r="1196" spans="1:1" customFormat="1" hidden="1">
      <c r="A1196" s="13" t="s">
        <v>2942</v>
      </c>
    </row>
    <row r="1197" spans="1:1" customFormat="1" hidden="1">
      <c r="A1197" s="13" t="s">
        <v>2943</v>
      </c>
    </row>
    <row r="1198" spans="1:1" customFormat="1" hidden="1">
      <c r="A1198" s="13" t="s">
        <v>2944</v>
      </c>
    </row>
    <row r="1199" spans="1:1" customFormat="1" hidden="1">
      <c r="A1199" s="13" t="s">
        <v>2945</v>
      </c>
    </row>
    <row r="1200" spans="1:1" customFormat="1" hidden="1">
      <c r="A1200" s="13" t="s">
        <v>2946</v>
      </c>
    </row>
    <row r="1201" spans="1:1" customFormat="1" hidden="1">
      <c r="A1201" s="13" t="s">
        <v>2947</v>
      </c>
    </row>
    <row r="1202" spans="1:1" customFormat="1" hidden="1">
      <c r="A1202" s="13" t="s">
        <v>2948</v>
      </c>
    </row>
    <row r="1203" spans="1:1" customFormat="1" hidden="1">
      <c r="A1203" s="13" t="s">
        <v>2949</v>
      </c>
    </row>
    <row r="1204" spans="1:1" customFormat="1" hidden="1">
      <c r="A1204" s="13" t="s">
        <v>2950</v>
      </c>
    </row>
    <row r="1205" spans="1:1" customFormat="1" hidden="1">
      <c r="A1205" s="13" t="s">
        <v>2951</v>
      </c>
    </row>
    <row r="1206" spans="1:1" customFormat="1" hidden="1">
      <c r="A1206" s="13" t="s">
        <v>2952</v>
      </c>
    </row>
    <row r="1207" spans="1:1" customFormat="1" hidden="1">
      <c r="A1207" s="13" t="s">
        <v>2953</v>
      </c>
    </row>
    <row r="1208" spans="1:1" customFormat="1" hidden="1">
      <c r="A1208" s="13" t="s">
        <v>2954</v>
      </c>
    </row>
    <row r="1209" spans="1:1" customFormat="1" hidden="1">
      <c r="A1209" s="13" t="s">
        <v>2955</v>
      </c>
    </row>
    <row r="1210" spans="1:1" customFormat="1" hidden="1">
      <c r="A1210" s="13" t="s">
        <v>2956</v>
      </c>
    </row>
    <row r="1211" spans="1:1" customFormat="1" hidden="1">
      <c r="A1211" s="13" t="s">
        <v>2957</v>
      </c>
    </row>
    <row r="1212" spans="1:1" customFormat="1" hidden="1">
      <c r="A1212" s="13" t="s">
        <v>2958</v>
      </c>
    </row>
    <row r="1213" spans="1:1" customFormat="1" hidden="1">
      <c r="A1213" s="13" t="s">
        <v>2959</v>
      </c>
    </row>
    <row r="1214" spans="1:1" customFormat="1" hidden="1">
      <c r="A1214" s="13" t="s">
        <v>2960</v>
      </c>
    </row>
    <row r="1215" spans="1:1" customFormat="1" hidden="1">
      <c r="A1215" s="13" t="s">
        <v>2961</v>
      </c>
    </row>
    <row r="1216" spans="1:1" customFormat="1" hidden="1">
      <c r="A1216" s="13" t="s">
        <v>2962</v>
      </c>
    </row>
    <row r="1217" spans="1:1" customFormat="1" hidden="1">
      <c r="A1217" s="13" t="s">
        <v>2963</v>
      </c>
    </row>
    <row r="1218" spans="1:1" customFormat="1" hidden="1">
      <c r="A1218" s="13" t="s">
        <v>2964</v>
      </c>
    </row>
    <row r="1219" spans="1:1" customFormat="1" hidden="1">
      <c r="A1219" s="13" t="s">
        <v>2965</v>
      </c>
    </row>
    <row r="1220" spans="1:1" customFormat="1" hidden="1">
      <c r="A1220" s="13" t="s">
        <v>2966</v>
      </c>
    </row>
    <row r="1221" spans="1:1" customFormat="1" hidden="1">
      <c r="A1221" s="13" t="s">
        <v>2967</v>
      </c>
    </row>
    <row r="1222" spans="1:1" customFormat="1" hidden="1">
      <c r="A1222" s="13" t="s">
        <v>2968</v>
      </c>
    </row>
    <row r="1223" spans="1:1" customFormat="1" hidden="1">
      <c r="A1223" s="13" t="s">
        <v>2969</v>
      </c>
    </row>
    <row r="1224" spans="1:1" customFormat="1" hidden="1">
      <c r="A1224" s="13" t="s">
        <v>2970</v>
      </c>
    </row>
    <row r="1225" spans="1:1" customFormat="1" hidden="1">
      <c r="A1225" s="13" t="s">
        <v>2971</v>
      </c>
    </row>
    <row r="1226" spans="1:1" customFormat="1" hidden="1">
      <c r="A1226" s="13" t="s">
        <v>2972</v>
      </c>
    </row>
    <row r="1227" spans="1:1" customFormat="1" hidden="1">
      <c r="A1227" s="13" t="s">
        <v>2973</v>
      </c>
    </row>
    <row r="1228" spans="1:1" customFormat="1" hidden="1">
      <c r="A1228" s="13" t="s">
        <v>2974</v>
      </c>
    </row>
    <row r="1229" spans="1:1" customFormat="1" hidden="1">
      <c r="A1229" s="13" t="s">
        <v>2975</v>
      </c>
    </row>
    <row r="1230" spans="1:1" customFormat="1" hidden="1">
      <c r="A1230" s="13" t="s">
        <v>2976</v>
      </c>
    </row>
    <row r="1231" spans="1:1" customFormat="1" hidden="1">
      <c r="A1231" s="13" t="s">
        <v>2977</v>
      </c>
    </row>
    <row r="1232" spans="1:1" customFormat="1" hidden="1">
      <c r="A1232" s="13" t="s">
        <v>2978</v>
      </c>
    </row>
    <row r="1233" spans="1:1" customFormat="1" hidden="1">
      <c r="A1233" s="13" t="s">
        <v>2979</v>
      </c>
    </row>
    <row r="1234" spans="1:1" customFormat="1" hidden="1">
      <c r="A1234" s="13" t="s">
        <v>2980</v>
      </c>
    </row>
    <row r="1235" spans="1:1" customFormat="1" hidden="1">
      <c r="A1235" s="13" t="s">
        <v>2981</v>
      </c>
    </row>
    <row r="1236" spans="1:1" customFormat="1" hidden="1">
      <c r="A1236" s="13" t="s">
        <v>2982</v>
      </c>
    </row>
    <row r="1237" spans="1:1" customFormat="1" hidden="1">
      <c r="A1237" s="13" t="s">
        <v>2983</v>
      </c>
    </row>
    <row r="1238" spans="1:1" customFormat="1" hidden="1">
      <c r="A1238" s="13" t="s">
        <v>2984</v>
      </c>
    </row>
    <row r="1239" spans="1:1" customFormat="1" hidden="1">
      <c r="A1239" s="13" t="s">
        <v>2985</v>
      </c>
    </row>
    <row r="1240" spans="1:1" customFormat="1" hidden="1">
      <c r="A1240" s="13" t="s">
        <v>2986</v>
      </c>
    </row>
    <row r="1241" spans="1:1" customFormat="1" hidden="1">
      <c r="A1241" s="13" t="s">
        <v>2987</v>
      </c>
    </row>
    <row r="1242" spans="1:1" customFormat="1" hidden="1">
      <c r="A1242" s="13" t="s">
        <v>2988</v>
      </c>
    </row>
    <row r="1243" spans="1:1" customFormat="1" hidden="1">
      <c r="A1243" s="13" t="s">
        <v>2989</v>
      </c>
    </row>
    <row r="1244" spans="1:1" customFormat="1" hidden="1">
      <c r="A1244" s="13" t="s">
        <v>2990</v>
      </c>
    </row>
    <row r="1245" spans="1:1" customFormat="1" hidden="1">
      <c r="A1245" s="13" t="s">
        <v>2991</v>
      </c>
    </row>
    <row r="1246" spans="1:1" customFormat="1" hidden="1">
      <c r="A1246" s="13" t="s">
        <v>2992</v>
      </c>
    </row>
    <row r="1247" spans="1:1" customFormat="1" hidden="1">
      <c r="A1247" s="13" t="s">
        <v>2993</v>
      </c>
    </row>
    <row r="1248" spans="1:1" customFormat="1" hidden="1">
      <c r="A1248" s="13" t="s">
        <v>2994</v>
      </c>
    </row>
    <row r="1249" spans="1:1" customFormat="1" hidden="1">
      <c r="A1249" s="13" t="s">
        <v>2995</v>
      </c>
    </row>
    <row r="1250" spans="1:1" customFormat="1" hidden="1">
      <c r="A1250" s="13" t="s">
        <v>2996</v>
      </c>
    </row>
    <row r="1251" spans="1:1" customFormat="1" hidden="1">
      <c r="A1251" s="13" t="s">
        <v>2997</v>
      </c>
    </row>
    <row r="1252" spans="1:1" customFormat="1" hidden="1">
      <c r="A1252" s="13" t="s">
        <v>2998</v>
      </c>
    </row>
    <row r="1253" spans="1:1" customFormat="1" hidden="1">
      <c r="A1253" s="13" t="s">
        <v>2999</v>
      </c>
    </row>
    <row r="1254" spans="1:1" customFormat="1" hidden="1">
      <c r="A1254" s="13" t="s">
        <v>3000</v>
      </c>
    </row>
    <row r="1255" spans="1:1" customFormat="1" hidden="1">
      <c r="A1255" s="13" t="s">
        <v>3001</v>
      </c>
    </row>
    <row r="1256" spans="1:1" customFormat="1" hidden="1">
      <c r="A1256" s="13" t="s">
        <v>3002</v>
      </c>
    </row>
    <row r="1257" spans="1:1" customFormat="1" hidden="1">
      <c r="A1257" s="13" t="s">
        <v>3003</v>
      </c>
    </row>
    <row r="1258" spans="1:1" customFormat="1" hidden="1">
      <c r="A1258" s="13" t="s">
        <v>3004</v>
      </c>
    </row>
    <row r="1259" spans="1:1" customFormat="1" hidden="1">
      <c r="A1259" s="13" t="s">
        <v>3005</v>
      </c>
    </row>
    <row r="1260" spans="1:1" customFormat="1" hidden="1">
      <c r="A1260" s="13" t="s">
        <v>3006</v>
      </c>
    </row>
    <row r="1261" spans="1:1" customFormat="1" hidden="1">
      <c r="A1261" s="13" t="s">
        <v>3007</v>
      </c>
    </row>
    <row r="1262" spans="1:1" customFormat="1" hidden="1">
      <c r="A1262" s="13" t="s">
        <v>3008</v>
      </c>
    </row>
    <row r="1263" spans="1:1" customFormat="1" hidden="1">
      <c r="A1263" s="13" t="s">
        <v>3009</v>
      </c>
    </row>
    <row r="1264" spans="1:1" customFormat="1" hidden="1">
      <c r="A1264" s="13" t="s">
        <v>3010</v>
      </c>
    </row>
    <row r="1265" spans="1:1" customFormat="1" hidden="1">
      <c r="A1265" s="13" t="s">
        <v>3011</v>
      </c>
    </row>
    <row r="1266" spans="1:1" customFormat="1" hidden="1">
      <c r="A1266" s="13" t="s">
        <v>3012</v>
      </c>
    </row>
    <row r="1267" spans="1:1" customFormat="1" hidden="1">
      <c r="A1267" s="13" t="s">
        <v>3013</v>
      </c>
    </row>
    <row r="1268" spans="1:1" customFormat="1" hidden="1">
      <c r="A1268" s="13" t="s">
        <v>3014</v>
      </c>
    </row>
    <row r="1269" spans="1:1" customFormat="1" hidden="1">
      <c r="A1269" s="13" t="s">
        <v>3015</v>
      </c>
    </row>
    <row r="1270" spans="1:1" customFormat="1" hidden="1">
      <c r="A1270" s="13" t="s">
        <v>3016</v>
      </c>
    </row>
    <row r="1271" spans="1:1" customFormat="1" hidden="1">
      <c r="A1271" s="13" t="s">
        <v>3017</v>
      </c>
    </row>
    <row r="1272" spans="1:1" customFormat="1" hidden="1">
      <c r="A1272" s="13" t="s">
        <v>3018</v>
      </c>
    </row>
    <row r="1273" spans="1:1" customFormat="1" hidden="1">
      <c r="A1273" s="13" t="s">
        <v>3019</v>
      </c>
    </row>
    <row r="1274" spans="1:1" customFormat="1" hidden="1">
      <c r="A1274" s="13" t="s">
        <v>3020</v>
      </c>
    </row>
    <row r="1275" spans="1:1" customFormat="1" hidden="1">
      <c r="A1275" s="13" t="s">
        <v>3021</v>
      </c>
    </row>
    <row r="1276" spans="1:1" customFormat="1" hidden="1">
      <c r="A1276" s="13" t="s">
        <v>3022</v>
      </c>
    </row>
    <row r="1277" spans="1:1" customFormat="1" hidden="1">
      <c r="A1277" s="13" t="s">
        <v>3023</v>
      </c>
    </row>
    <row r="1278" spans="1:1" customFormat="1" hidden="1">
      <c r="A1278" s="13" t="s">
        <v>3024</v>
      </c>
    </row>
    <row r="1279" spans="1:1" customFormat="1" hidden="1">
      <c r="A1279" s="13" t="s">
        <v>3025</v>
      </c>
    </row>
    <row r="1280" spans="1:1" customFormat="1" hidden="1">
      <c r="A1280" s="13" t="s">
        <v>3026</v>
      </c>
    </row>
    <row r="1281" spans="1:1" customFormat="1" hidden="1">
      <c r="A1281" s="13" t="s">
        <v>3027</v>
      </c>
    </row>
    <row r="1282" spans="1:1" customFormat="1" hidden="1">
      <c r="A1282" s="13" t="s">
        <v>3028</v>
      </c>
    </row>
    <row r="1283" spans="1:1" customFormat="1" hidden="1">
      <c r="A1283" s="13" t="s">
        <v>3029</v>
      </c>
    </row>
    <row r="1284" spans="1:1" customFormat="1" hidden="1">
      <c r="A1284" s="13" t="s">
        <v>3030</v>
      </c>
    </row>
    <row r="1285" spans="1:1" customFormat="1" hidden="1">
      <c r="A1285" s="13" t="s">
        <v>3031</v>
      </c>
    </row>
    <row r="1286" spans="1:1" customFormat="1" hidden="1">
      <c r="A1286" s="13" t="s">
        <v>3032</v>
      </c>
    </row>
    <row r="1287" spans="1:1" customFormat="1" hidden="1">
      <c r="A1287" s="13" t="s">
        <v>3033</v>
      </c>
    </row>
    <row r="1288" spans="1:1" customFormat="1" hidden="1">
      <c r="A1288" s="13" t="s">
        <v>3034</v>
      </c>
    </row>
    <row r="1289" spans="1:1" customFormat="1" hidden="1">
      <c r="A1289" s="13" t="s">
        <v>3035</v>
      </c>
    </row>
    <row r="1290" spans="1:1" customFormat="1" hidden="1">
      <c r="A1290" s="13" t="s">
        <v>3036</v>
      </c>
    </row>
    <row r="1291" spans="1:1" customFormat="1" hidden="1">
      <c r="A1291" s="13" t="s">
        <v>3037</v>
      </c>
    </row>
    <row r="1292" spans="1:1" customFormat="1" hidden="1">
      <c r="A1292" s="13" t="s">
        <v>3038</v>
      </c>
    </row>
    <row r="1293" spans="1:1" customFormat="1" hidden="1">
      <c r="A1293" s="13" t="s">
        <v>3039</v>
      </c>
    </row>
    <row r="1294" spans="1:1" customFormat="1" hidden="1">
      <c r="A1294" s="13" t="s">
        <v>3040</v>
      </c>
    </row>
    <row r="1295" spans="1:1" customFormat="1" hidden="1">
      <c r="A1295" s="13" t="s">
        <v>3041</v>
      </c>
    </row>
    <row r="1296" spans="1:1" customFormat="1" hidden="1">
      <c r="A1296" s="13" t="s">
        <v>3042</v>
      </c>
    </row>
    <row r="1297" spans="1:1" customFormat="1" hidden="1">
      <c r="A1297" s="13" t="s">
        <v>3043</v>
      </c>
    </row>
    <row r="1298" spans="1:1" customFormat="1" hidden="1">
      <c r="A1298" s="13" t="s">
        <v>3044</v>
      </c>
    </row>
    <row r="1299" spans="1:1" customFormat="1" hidden="1">
      <c r="A1299" s="13" t="s">
        <v>3045</v>
      </c>
    </row>
    <row r="1300" spans="1:1" customFormat="1" hidden="1">
      <c r="A1300" s="13" t="s">
        <v>3046</v>
      </c>
    </row>
    <row r="1301" spans="1:1" customFormat="1" hidden="1">
      <c r="A1301" s="13" t="s">
        <v>3047</v>
      </c>
    </row>
    <row r="1302" spans="1:1" customFormat="1" hidden="1">
      <c r="A1302" s="13" t="s">
        <v>3048</v>
      </c>
    </row>
    <row r="1303" spans="1:1" customFormat="1" hidden="1">
      <c r="A1303" s="13" t="s">
        <v>3049</v>
      </c>
    </row>
    <row r="1304" spans="1:1" customFormat="1" hidden="1">
      <c r="A1304" s="13" t="s">
        <v>3050</v>
      </c>
    </row>
    <row r="1305" spans="1:1" customFormat="1" hidden="1">
      <c r="A1305" s="13" t="s">
        <v>3051</v>
      </c>
    </row>
    <row r="1306" spans="1:1" customFormat="1" hidden="1">
      <c r="A1306" s="13" t="s">
        <v>3052</v>
      </c>
    </row>
    <row r="1307" spans="1:1" customFormat="1" hidden="1">
      <c r="A1307" s="13" t="s">
        <v>3053</v>
      </c>
    </row>
    <row r="1308" spans="1:1" customFormat="1" hidden="1">
      <c r="A1308" s="13" t="s">
        <v>3054</v>
      </c>
    </row>
    <row r="1309" spans="1:1" customFormat="1" hidden="1">
      <c r="A1309" s="13" t="s">
        <v>3055</v>
      </c>
    </row>
    <row r="1310" spans="1:1" customFormat="1" hidden="1">
      <c r="A1310" s="13" t="s">
        <v>3056</v>
      </c>
    </row>
    <row r="1311" spans="1:1" customFormat="1" hidden="1">
      <c r="A1311" s="13" t="s">
        <v>3057</v>
      </c>
    </row>
    <row r="1312" spans="1:1" customFormat="1" hidden="1">
      <c r="A1312" s="13" t="s">
        <v>3058</v>
      </c>
    </row>
    <row r="1313" spans="1:1" customFormat="1" hidden="1">
      <c r="A1313" s="13" t="s">
        <v>3059</v>
      </c>
    </row>
    <row r="1314" spans="1:1" customFormat="1" hidden="1">
      <c r="A1314" s="13" t="s">
        <v>3060</v>
      </c>
    </row>
    <row r="1315" spans="1:1" customFormat="1" hidden="1">
      <c r="A1315" s="13" t="s">
        <v>3061</v>
      </c>
    </row>
    <row r="1316" spans="1:1" customFormat="1" hidden="1">
      <c r="A1316" s="13" t="s">
        <v>3062</v>
      </c>
    </row>
    <row r="1317" spans="1:1" customFormat="1" hidden="1">
      <c r="A1317" s="13" t="s">
        <v>3063</v>
      </c>
    </row>
    <row r="1318" spans="1:1" customFormat="1" hidden="1">
      <c r="A1318" s="13" t="s">
        <v>3064</v>
      </c>
    </row>
    <row r="1319" spans="1:1" customFormat="1" hidden="1">
      <c r="A1319" s="13" t="s">
        <v>3065</v>
      </c>
    </row>
    <row r="1320" spans="1:1" customFormat="1" hidden="1">
      <c r="A1320" s="13" t="s">
        <v>3066</v>
      </c>
    </row>
    <row r="1321" spans="1:1" customFormat="1" hidden="1">
      <c r="A1321" s="13" t="s">
        <v>3067</v>
      </c>
    </row>
    <row r="1322" spans="1:1" customFormat="1" hidden="1">
      <c r="A1322" s="13" t="s">
        <v>3068</v>
      </c>
    </row>
    <row r="1323" spans="1:1" customFormat="1" hidden="1">
      <c r="A1323" s="13" t="s">
        <v>3069</v>
      </c>
    </row>
    <row r="1324" spans="1:1" customFormat="1" hidden="1">
      <c r="A1324" s="13" t="s">
        <v>3070</v>
      </c>
    </row>
    <row r="1325" spans="1:1" customFormat="1" hidden="1">
      <c r="A1325" s="13" t="s">
        <v>3071</v>
      </c>
    </row>
    <row r="1326" spans="1:1" customFormat="1" hidden="1">
      <c r="A1326" s="13" t="s">
        <v>3072</v>
      </c>
    </row>
    <row r="1327" spans="1:1" customFormat="1" hidden="1">
      <c r="A1327" s="13" t="s">
        <v>3073</v>
      </c>
    </row>
    <row r="1328" spans="1:1" customFormat="1" hidden="1">
      <c r="A1328" s="13" t="s">
        <v>3074</v>
      </c>
    </row>
    <row r="1329" spans="1:1" customFormat="1" hidden="1">
      <c r="A1329" s="13" t="s">
        <v>3075</v>
      </c>
    </row>
    <row r="1330" spans="1:1" customFormat="1" hidden="1">
      <c r="A1330" s="13" t="s">
        <v>3076</v>
      </c>
    </row>
    <row r="1331" spans="1:1" customFormat="1" hidden="1">
      <c r="A1331" s="13" t="s">
        <v>3077</v>
      </c>
    </row>
    <row r="1332" spans="1:1" customFormat="1" hidden="1">
      <c r="A1332" s="13" t="s">
        <v>3078</v>
      </c>
    </row>
    <row r="1333" spans="1:1" customFormat="1" hidden="1">
      <c r="A1333" s="13" t="s">
        <v>3079</v>
      </c>
    </row>
    <row r="1334" spans="1:1" customFormat="1" hidden="1">
      <c r="A1334" s="13" t="s">
        <v>3080</v>
      </c>
    </row>
    <row r="1335" spans="1:1" customFormat="1" hidden="1">
      <c r="A1335" s="13" t="s">
        <v>3081</v>
      </c>
    </row>
    <row r="1336" spans="1:1" customFormat="1" hidden="1">
      <c r="A1336" s="13" t="s">
        <v>3082</v>
      </c>
    </row>
    <row r="1337" spans="1:1" customFormat="1" hidden="1">
      <c r="A1337" s="13" t="s">
        <v>3083</v>
      </c>
    </row>
    <row r="1338" spans="1:1" customFormat="1" hidden="1">
      <c r="A1338" s="13" t="s">
        <v>3084</v>
      </c>
    </row>
    <row r="1339" spans="1:1" customFormat="1" hidden="1">
      <c r="A1339" s="13" t="s">
        <v>3085</v>
      </c>
    </row>
    <row r="1340" spans="1:1" customFormat="1" hidden="1">
      <c r="A1340" s="13" t="s">
        <v>3086</v>
      </c>
    </row>
    <row r="1341" spans="1:1" customFormat="1" hidden="1">
      <c r="A1341" s="13" t="s">
        <v>3087</v>
      </c>
    </row>
    <row r="1342" spans="1:1" customFormat="1" hidden="1">
      <c r="A1342" s="13" t="s">
        <v>3088</v>
      </c>
    </row>
    <row r="1343" spans="1:1" customFormat="1" hidden="1">
      <c r="A1343" s="13" t="s">
        <v>3089</v>
      </c>
    </row>
    <row r="1344" spans="1:1" customFormat="1" hidden="1">
      <c r="A1344" s="13" t="s">
        <v>3090</v>
      </c>
    </row>
    <row r="1345" spans="1:1" customFormat="1" hidden="1">
      <c r="A1345" s="13" t="s">
        <v>3091</v>
      </c>
    </row>
    <row r="1346" spans="1:1" customFormat="1" hidden="1">
      <c r="A1346" s="13" t="s">
        <v>3092</v>
      </c>
    </row>
    <row r="1347" spans="1:1" customFormat="1" hidden="1">
      <c r="A1347" s="13" t="s">
        <v>3093</v>
      </c>
    </row>
    <row r="1348" spans="1:1" customFormat="1" hidden="1">
      <c r="A1348" s="13" t="s">
        <v>3094</v>
      </c>
    </row>
    <row r="1349" spans="1:1" customFormat="1" hidden="1">
      <c r="A1349" s="13" t="s">
        <v>3095</v>
      </c>
    </row>
    <row r="1350" spans="1:1" customFormat="1" hidden="1">
      <c r="A1350" s="13" t="s">
        <v>3096</v>
      </c>
    </row>
    <row r="1351" spans="1:1" customFormat="1" hidden="1">
      <c r="A1351" s="13"/>
    </row>
    <row r="1352" spans="1:1" customFormat="1" hidden="1">
      <c r="A1352" s="13" t="s">
        <v>3097</v>
      </c>
    </row>
    <row r="1353" spans="1:1" customFormat="1" hidden="1">
      <c r="A1353" s="13" t="s">
        <v>3098</v>
      </c>
    </row>
    <row r="1354" spans="1:1" customFormat="1" hidden="1">
      <c r="A1354" s="13" t="s">
        <v>3099</v>
      </c>
    </row>
    <row r="1355" spans="1:1" customFormat="1" hidden="1">
      <c r="A1355" s="13" t="s">
        <v>3100</v>
      </c>
    </row>
    <row r="1356" spans="1:1" customFormat="1" hidden="1">
      <c r="A1356" s="13" t="s">
        <v>3101</v>
      </c>
    </row>
    <row r="1357" spans="1:1" customFormat="1" hidden="1">
      <c r="A1357" s="13" t="s">
        <v>3102</v>
      </c>
    </row>
    <row r="1358" spans="1:1" customFormat="1" hidden="1">
      <c r="A1358" s="13" t="s">
        <v>3103</v>
      </c>
    </row>
    <row r="1359" spans="1:1" customFormat="1" hidden="1">
      <c r="A1359" s="13" t="s">
        <v>3104</v>
      </c>
    </row>
    <row r="1360" spans="1:1" customFormat="1" hidden="1">
      <c r="A1360" s="13" t="s">
        <v>3105</v>
      </c>
    </row>
    <row r="1361" spans="1:1" customFormat="1" hidden="1">
      <c r="A1361" s="13" t="s">
        <v>3106</v>
      </c>
    </row>
    <row r="1362" spans="1:1" customFormat="1" hidden="1">
      <c r="A1362" s="13" t="s">
        <v>3107</v>
      </c>
    </row>
    <row r="1363" spans="1:1" customFormat="1" hidden="1">
      <c r="A1363" s="13" t="s">
        <v>3108</v>
      </c>
    </row>
    <row r="1364" spans="1:1" customFormat="1" hidden="1">
      <c r="A1364" s="13" t="s">
        <v>3109</v>
      </c>
    </row>
    <row r="1365" spans="1:1" customFormat="1" hidden="1">
      <c r="A1365" s="13" t="s">
        <v>3110</v>
      </c>
    </row>
    <row r="1366" spans="1:1" customFormat="1" hidden="1">
      <c r="A1366" s="13" t="s">
        <v>3111</v>
      </c>
    </row>
    <row r="1367" spans="1:1" customFormat="1" hidden="1">
      <c r="A1367" s="13" t="s">
        <v>3112</v>
      </c>
    </row>
    <row r="1368" spans="1:1" customFormat="1" hidden="1">
      <c r="A1368" s="13" t="s">
        <v>3113</v>
      </c>
    </row>
    <row r="1369" spans="1:1" customFormat="1" hidden="1">
      <c r="A1369" s="13" t="s">
        <v>3114</v>
      </c>
    </row>
    <row r="1370" spans="1:1" customFormat="1" hidden="1">
      <c r="A1370" s="13" t="s">
        <v>3115</v>
      </c>
    </row>
    <row r="1371" spans="1:1" customFormat="1" hidden="1">
      <c r="A1371" s="13" t="s">
        <v>3116</v>
      </c>
    </row>
    <row r="1372" spans="1:1" customFormat="1" hidden="1">
      <c r="A1372" s="13" t="s">
        <v>3117</v>
      </c>
    </row>
    <row r="1373" spans="1:1" customFormat="1" hidden="1">
      <c r="A1373" s="13" t="s">
        <v>3118</v>
      </c>
    </row>
    <row r="1374" spans="1:1" customFormat="1" hidden="1">
      <c r="A1374" s="13" t="s">
        <v>3119</v>
      </c>
    </row>
    <row r="1375" spans="1:1" customFormat="1" hidden="1">
      <c r="A1375" s="13" t="s">
        <v>3120</v>
      </c>
    </row>
    <row r="1376" spans="1:1" customFormat="1" hidden="1">
      <c r="A1376" s="13" t="s">
        <v>3121</v>
      </c>
    </row>
    <row r="1377" spans="1:1" customFormat="1" hidden="1">
      <c r="A1377" s="13" t="s">
        <v>3122</v>
      </c>
    </row>
    <row r="1378" spans="1:1" customFormat="1" hidden="1">
      <c r="A1378" s="13" t="s">
        <v>3123</v>
      </c>
    </row>
    <row r="1379" spans="1:1" customFormat="1" hidden="1">
      <c r="A1379" s="13" t="s">
        <v>3124</v>
      </c>
    </row>
    <row r="1380" spans="1:1" customFormat="1" hidden="1">
      <c r="A1380" s="13" t="s">
        <v>3125</v>
      </c>
    </row>
    <row r="1381" spans="1:1" customFormat="1" hidden="1">
      <c r="A1381" s="13" t="s">
        <v>3126</v>
      </c>
    </row>
    <row r="1382" spans="1:1" customFormat="1" hidden="1">
      <c r="A1382" s="13" t="s">
        <v>3127</v>
      </c>
    </row>
    <row r="1383" spans="1:1" customFormat="1" hidden="1">
      <c r="A1383" s="13" t="s">
        <v>3128</v>
      </c>
    </row>
    <row r="1384" spans="1:1" customFormat="1" hidden="1">
      <c r="A1384" s="13" t="s">
        <v>3129</v>
      </c>
    </row>
    <row r="1385" spans="1:1" customFormat="1" hidden="1">
      <c r="A1385" s="13" t="s">
        <v>3130</v>
      </c>
    </row>
    <row r="1386" spans="1:1" customFormat="1" hidden="1">
      <c r="A1386" s="13" t="s">
        <v>3131</v>
      </c>
    </row>
    <row r="1387" spans="1:1" customFormat="1" hidden="1">
      <c r="A1387" s="13" t="s">
        <v>3132</v>
      </c>
    </row>
    <row r="1388" spans="1:1" customFormat="1" hidden="1">
      <c r="A1388" s="13" t="s">
        <v>3133</v>
      </c>
    </row>
    <row r="1389" spans="1:1" customFormat="1" hidden="1">
      <c r="A1389" s="13" t="s">
        <v>3134</v>
      </c>
    </row>
    <row r="1390" spans="1:1" customFormat="1" hidden="1">
      <c r="A1390" s="13" t="s">
        <v>3135</v>
      </c>
    </row>
    <row r="1391" spans="1:1" customFormat="1" hidden="1">
      <c r="A1391" s="13" t="s">
        <v>3136</v>
      </c>
    </row>
    <row r="1392" spans="1:1" customFormat="1" hidden="1">
      <c r="A1392" s="13" t="s">
        <v>3137</v>
      </c>
    </row>
    <row r="1393" spans="1:1" customFormat="1" hidden="1">
      <c r="A1393" s="13" t="s">
        <v>3138</v>
      </c>
    </row>
    <row r="1394" spans="1:1" customFormat="1" hidden="1">
      <c r="A1394" s="13" t="s">
        <v>3139</v>
      </c>
    </row>
    <row r="1395" spans="1:1" customFormat="1" hidden="1">
      <c r="A1395" s="13" t="s">
        <v>3140</v>
      </c>
    </row>
    <row r="1396" spans="1:1" customFormat="1" hidden="1">
      <c r="A1396" s="13" t="s">
        <v>3141</v>
      </c>
    </row>
    <row r="1397" spans="1:1" customFormat="1" hidden="1">
      <c r="A1397" s="13" t="s">
        <v>3142</v>
      </c>
    </row>
    <row r="1398" spans="1:1" customFormat="1" hidden="1">
      <c r="A1398" s="13" t="s">
        <v>3143</v>
      </c>
    </row>
    <row r="1399" spans="1:1" customFormat="1" hidden="1">
      <c r="A1399" s="13" t="s">
        <v>3144</v>
      </c>
    </row>
    <row r="1400" spans="1:1" customFormat="1" hidden="1">
      <c r="A1400" s="13" t="s">
        <v>3145</v>
      </c>
    </row>
    <row r="1401" spans="1:1" customFormat="1" hidden="1">
      <c r="A1401" s="13" t="s">
        <v>3146</v>
      </c>
    </row>
    <row r="1402" spans="1:1" customFormat="1" hidden="1">
      <c r="A1402" s="13" t="s">
        <v>3147</v>
      </c>
    </row>
    <row r="1403" spans="1:1" customFormat="1" hidden="1">
      <c r="A1403" s="13" t="s">
        <v>3148</v>
      </c>
    </row>
    <row r="1404" spans="1:1" customFormat="1" hidden="1">
      <c r="A1404" s="13" t="s">
        <v>3149</v>
      </c>
    </row>
    <row r="1405" spans="1:1" customFormat="1" hidden="1">
      <c r="A1405" s="13" t="s">
        <v>3150</v>
      </c>
    </row>
    <row r="1406" spans="1:1" customFormat="1" hidden="1">
      <c r="A1406" s="13" t="s">
        <v>3151</v>
      </c>
    </row>
    <row r="1407" spans="1:1" customFormat="1" hidden="1">
      <c r="A1407" s="13" t="s">
        <v>3152</v>
      </c>
    </row>
    <row r="1408" spans="1:1" customFormat="1" hidden="1">
      <c r="A1408" s="13" t="s">
        <v>3153</v>
      </c>
    </row>
    <row r="1409" spans="1:1" customFormat="1" hidden="1">
      <c r="A1409" s="13" t="s">
        <v>3154</v>
      </c>
    </row>
    <row r="1410" spans="1:1" customFormat="1" hidden="1">
      <c r="A1410" s="13" t="s">
        <v>3155</v>
      </c>
    </row>
    <row r="1411" spans="1:1" customFormat="1" hidden="1">
      <c r="A1411" s="13" t="s">
        <v>3156</v>
      </c>
    </row>
    <row r="1412" spans="1:1" customFormat="1" hidden="1">
      <c r="A1412" s="13" t="s">
        <v>3157</v>
      </c>
    </row>
    <row r="1413" spans="1:1" customFormat="1" hidden="1">
      <c r="A1413" s="13" t="s">
        <v>3158</v>
      </c>
    </row>
    <row r="1414" spans="1:1" customFormat="1" hidden="1">
      <c r="A1414" s="13" t="s">
        <v>3159</v>
      </c>
    </row>
    <row r="1415" spans="1:1" customFormat="1" hidden="1">
      <c r="A1415" s="13" t="s">
        <v>3160</v>
      </c>
    </row>
    <row r="1416" spans="1:1" customFormat="1" hidden="1">
      <c r="A1416" s="13" t="s">
        <v>3161</v>
      </c>
    </row>
    <row r="1417" spans="1:1" customFormat="1" hidden="1">
      <c r="A1417" s="13" t="s">
        <v>3162</v>
      </c>
    </row>
    <row r="1418" spans="1:1" customFormat="1" hidden="1">
      <c r="A1418" s="13" t="s">
        <v>3163</v>
      </c>
    </row>
    <row r="1419" spans="1:1" customFormat="1" hidden="1">
      <c r="A1419" s="13" t="s">
        <v>3164</v>
      </c>
    </row>
    <row r="1420" spans="1:1" customFormat="1" hidden="1">
      <c r="A1420" s="13" t="s">
        <v>3165</v>
      </c>
    </row>
    <row r="1421" spans="1:1" customFormat="1" hidden="1">
      <c r="A1421" s="13" t="s">
        <v>3166</v>
      </c>
    </row>
    <row r="1422" spans="1:1" customFormat="1" hidden="1">
      <c r="A1422" s="13" t="s">
        <v>3167</v>
      </c>
    </row>
    <row r="1423" spans="1:1" customFormat="1" hidden="1">
      <c r="A1423" s="13" t="s">
        <v>3168</v>
      </c>
    </row>
    <row r="1424" spans="1:1" customFormat="1" hidden="1">
      <c r="A1424" s="13" t="s">
        <v>3169</v>
      </c>
    </row>
    <row r="1425" spans="1:1" customFormat="1" hidden="1">
      <c r="A1425" s="13" t="s">
        <v>3170</v>
      </c>
    </row>
    <row r="1426" spans="1:1" customFormat="1" hidden="1">
      <c r="A1426" s="13" t="s">
        <v>3171</v>
      </c>
    </row>
    <row r="1427" spans="1:1" customFormat="1" hidden="1">
      <c r="A1427" s="13" t="s">
        <v>3172</v>
      </c>
    </row>
    <row r="1428" spans="1:1" customFormat="1" hidden="1">
      <c r="A1428" s="13" t="s">
        <v>3173</v>
      </c>
    </row>
    <row r="1429" spans="1:1" customFormat="1" hidden="1">
      <c r="A1429" s="13" t="s">
        <v>3174</v>
      </c>
    </row>
    <row r="1430" spans="1:1" customFormat="1" hidden="1">
      <c r="A1430" s="13" t="s">
        <v>3175</v>
      </c>
    </row>
    <row r="1431" spans="1:1" customFormat="1" hidden="1">
      <c r="A1431" s="13" t="s">
        <v>3176</v>
      </c>
    </row>
    <row r="1432" spans="1:1" customFormat="1" hidden="1">
      <c r="A1432" s="13" t="s">
        <v>3177</v>
      </c>
    </row>
    <row r="1433" spans="1:1" customFormat="1" hidden="1">
      <c r="A1433" s="13" t="s">
        <v>3178</v>
      </c>
    </row>
    <row r="1434" spans="1:1" customFormat="1" hidden="1">
      <c r="A1434" s="13" t="s">
        <v>3179</v>
      </c>
    </row>
    <row r="1435" spans="1:1" customFormat="1" hidden="1">
      <c r="A1435" s="13" t="s">
        <v>3180</v>
      </c>
    </row>
    <row r="1436" spans="1:1" customFormat="1" hidden="1">
      <c r="A1436" s="13" t="s">
        <v>3181</v>
      </c>
    </row>
    <row r="1437" spans="1:1" customFormat="1" hidden="1">
      <c r="A1437" s="13" t="s">
        <v>3182</v>
      </c>
    </row>
    <row r="1438" spans="1:1" customFormat="1" hidden="1">
      <c r="A1438" s="13" t="s">
        <v>3183</v>
      </c>
    </row>
    <row r="1439" spans="1:1" customFormat="1" hidden="1">
      <c r="A1439" s="13" t="s">
        <v>3184</v>
      </c>
    </row>
    <row r="1440" spans="1:1" customFormat="1" hidden="1">
      <c r="A1440" s="13" t="s">
        <v>3185</v>
      </c>
    </row>
    <row r="1441" spans="1:1" customFormat="1" hidden="1">
      <c r="A1441" s="13" t="s">
        <v>3186</v>
      </c>
    </row>
    <row r="1442" spans="1:1" customFormat="1" hidden="1">
      <c r="A1442" s="13" t="s">
        <v>3187</v>
      </c>
    </row>
    <row r="1443" spans="1:1" customFormat="1" hidden="1">
      <c r="A1443" s="13" t="s">
        <v>3188</v>
      </c>
    </row>
    <row r="1444" spans="1:1" customFormat="1" hidden="1">
      <c r="A1444" s="13" t="s">
        <v>3189</v>
      </c>
    </row>
    <row r="1445" spans="1:1" customFormat="1" hidden="1">
      <c r="A1445" s="13" t="s">
        <v>3190</v>
      </c>
    </row>
    <row r="1446" spans="1:1" customFormat="1" hidden="1">
      <c r="A1446" s="13" t="s">
        <v>3191</v>
      </c>
    </row>
    <row r="1447" spans="1:1" customFormat="1" hidden="1">
      <c r="A1447" s="13" t="s">
        <v>3192</v>
      </c>
    </row>
    <row r="1448" spans="1:1" customFormat="1" hidden="1">
      <c r="A1448" s="13" t="s">
        <v>3193</v>
      </c>
    </row>
    <row r="1449" spans="1:1" customFormat="1" hidden="1">
      <c r="A1449" s="13" t="s">
        <v>3194</v>
      </c>
    </row>
    <row r="1450" spans="1:1" customFormat="1" hidden="1">
      <c r="A1450" s="13" t="s">
        <v>3195</v>
      </c>
    </row>
    <row r="1451" spans="1:1" customFormat="1" hidden="1">
      <c r="A1451" s="13" t="s">
        <v>3196</v>
      </c>
    </row>
    <row r="1452" spans="1:1" customFormat="1" hidden="1">
      <c r="A1452" s="13" t="s">
        <v>3197</v>
      </c>
    </row>
    <row r="1453" spans="1:1" customFormat="1" hidden="1">
      <c r="A1453" s="13" t="s">
        <v>3198</v>
      </c>
    </row>
    <row r="1454" spans="1:1" customFormat="1" hidden="1">
      <c r="A1454" s="13" t="s">
        <v>3199</v>
      </c>
    </row>
    <row r="1455" spans="1:1" customFormat="1" hidden="1">
      <c r="A1455" s="13" t="s">
        <v>3200</v>
      </c>
    </row>
    <row r="1456" spans="1:1" customFormat="1" hidden="1">
      <c r="A1456" s="13" t="s">
        <v>3201</v>
      </c>
    </row>
    <row r="1457" spans="1:1" customFormat="1" hidden="1">
      <c r="A1457" s="13" t="s">
        <v>3202</v>
      </c>
    </row>
    <row r="1458" spans="1:1" customFormat="1" hidden="1">
      <c r="A1458" s="13" t="s">
        <v>3203</v>
      </c>
    </row>
    <row r="1459" spans="1:1" customFormat="1" hidden="1">
      <c r="A1459" s="13" t="s">
        <v>3204</v>
      </c>
    </row>
    <row r="1460" spans="1:1" customFormat="1" hidden="1">
      <c r="A1460" s="13" t="s">
        <v>3205</v>
      </c>
    </row>
    <row r="1461" spans="1:1" customFormat="1" hidden="1">
      <c r="A1461" s="13" t="s">
        <v>3206</v>
      </c>
    </row>
    <row r="1462" spans="1:1" customFormat="1" hidden="1">
      <c r="A1462" s="13" t="s">
        <v>3207</v>
      </c>
    </row>
    <row r="1463" spans="1:1" customFormat="1" hidden="1">
      <c r="A1463" s="13" t="s">
        <v>3208</v>
      </c>
    </row>
    <row r="1464" spans="1:1" customFormat="1" hidden="1">
      <c r="A1464" s="13" t="s">
        <v>3209</v>
      </c>
    </row>
    <row r="1465" spans="1:1" customFormat="1" hidden="1">
      <c r="A1465" s="13" t="s">
        <v>3210</v>
      </c>
    </row>
    <row r="1466" spans="1:1" customFormat="1" hidden="1">
      <c r="A1466" s="13" t="s">
        <v>3211</v>
      </c>
    </row>
    <row r="1467" spans="1:1" customFormat="1" hidden="1">
      <c r="A1467" s="13" t="s">
        <v>3212</v>
      </c>
    </row>
    <row r="1468" spans="1:1" customFormat="1" hidden="1">
      <c r="A1468" s="13" t="s">
        <v>3213</v>
      </c>
    </row>
    <row r="1469" spans="1:1" customFormat="1" hidden="1">
      <c r="A1469" s="13" t="s">
        <v>3214</v>
      </c>
    </row>
    <row r="1470" spans="1:1" customFormat="1" hidden="1">
      <c r="A1470" s="13" t="s">
        <v>3215</v>
      </c>
    </row>
    <row r="1471" spans="1:1" customFormat="1" hidden="1">
      <c r="A1471" s="13" t="s">
        <v>3216</v>
      </c>
    </row>
    <row r="1472" spans="1:1" customFormat="1" hidden="1">
      <c r="A1472" s="13" t="s">
        <v>3217</v>
      </c>
    </row>
    <row r="1473" spans="1:1" customFormat="1" hidden="1">
      <c r="A1473" s="13" t="s">
        <v>3218</v>
      </c>
    </row>
    <row r="1474" spans="1:1" customFormat="1" hidden="1">
      <c r="A1474" s="13" t="s">
        <v>3219</v>
      </c>
    </row>
    <row r="1475" spans="1:1" customFormat="1" hidden="1">
      <c r="A1475" s="13" t="s">
        <v>3220</v>
      </c>
    </row>
    <row r="1476" spans="1:1" customFormat="1" hidden="1">
      <c r="A1476" s="13" t="s">
        <v>3221</v>
      </c>
    </row>
    <row r="1477" spans="1:1" customFormat="1" hidden="1">
      <c r="A1477" s="13" t="s">
        <v>3222</v>
      </c>
    </row>
    <row r="1478" spans="1:1" customFormat="1" hidden="1">
      <c r="A1478" s="13" t="s">
        <v>3223</v>
      </c>
    </row>
    <row r="1479" spans="1:1" customFormat="1" hidden="1">
      <c r="A1479" s="13" t="s">
        <v>3224</v>
      </c>
    </row>
    <row r="1480" spans="1:1" customFormat="1" hidden="1">
      <c r="A1480" s="13" t="s">
        <v>3225</v>
      </c>
    </row>
    <row r="1481" spans="1:1" customFormat="1" hidden="1">
      <c r="A1481" s="13" t="s">
        <v>3226</v>
      </c>
    </row>
    <row r="1482" spans="1:1" customFormat="1" hidden="1">
      <c r="A1482" s="13" t="s">
        <v>3227</v>
      </c>
    </row>
    <row r="1483" spans="1:1" customFormat="1" hidden="1">
      <c r="A1483" s="13" t="s">
        <v>3228</v>
      </c>
    </row>
    <row r="1484" spans="1:1" customFormat="1" hidden="1">
      <c r="A1484" s="13" t="s">
        <v>3229</v>
      </c>
    </row>
    <row r="1485" spans="1:1" customFormat="1" hidden="1">
      <c r="A1485" s="13" t="s">
        <v>3230</v>
      </c>
    </row>
    <row r="1486" spans="1:1" customFormat="1" hidden="1">
      <c r="A1486" s="13" t="s">
        <v>3231</v>
      </c>
    </row>
    <row r="1487" spans="1:1" customFormat="1" hidden="1">
      <c r="A1487" s="13" t="s">
        <v>3232</v>
      </c>
    </row>
    <row r="1488" spans="1:1" customFormat="1" hidden="1">
      <c r="A1488" s="13" t="s">
        <v>3233</v>
      </c>
    </row>
    <row r="1489" spans="1:1" customFormat="1" hidden="1">
      <c r="A1489" s="13" t="s">
        <v>3234</v>
      </c>
    </row>
    <row r="1490" spans="1:1" customFormat="1" hidden="1">
      <c r="A1490" s="13" t="s">
        <v>3235</v>
      </c>
    </row>
    <row r="1491" spans="1:1" customFormat="1" hidden="1">
      <c r="A1491" s="13" t="s">
        <v>3236</v>
      </c>
    </row>
    <row r="1492" spans="1:1" customFormat="1" hidden="1">
      <c r="A1492" s="13" t="s">
        <v>3237</v>
      </c>
    </row>
    <row r="1493" spans="1:1" customFormat="1" hidden="1">
      <c r="A1493" s="13" t="s">
        <v>3238</v>
      </c>
    </row>
    <row r="1494" spans="1:1" customFormat="1" hidden="1">
      <c r="A1494" s="13" t="s">
        <v>3239</v>
      </c>
    </row>
    <row r="1495" spans="1:1" customFormat="1" hidden="1">
      <c r="A1495" s="13" t="s">
        <v>3240</v>
      </c>
    </row>
    <row r="1496" spans="1:1" customFormat="1" hidden="1">
      <c r="A1496" s="13" t="s">
        <v>3241</v>
      </c>
    </row>
    <row r="1497" spans="1:1" customFormat="1" hidden="1">
      <c r="A1497" s="13" t="s">
        <v>3242</v>
      </c>
    </row>
    <row r="1498" spans="1:1" customFormat="1" hidden="1">
      <c r="A1498" s="13" t="s">
        <v>3243</v>
      </c>
    </row>
    <row r="1499" spans="1:1" customFormat="1" hidden="1">
      <c r="A1499" s="13" t="s">
        <v>3244</v>
      </c>
    </row>
    <row r="1500" spans="1:1" customFormat="1" hidden="1">
      <c r="A1500" s="13" t="s">
        <v>3245</v>
      </c>
    </row>
    <row r="1501" spans="1:1" customFormat="1" hidden="1">
      <c r="A1501" s="13" t="s">
        <v>3246</v>
      </c>
    </row>
    <row r="1502" spans="1:1" customFormat="1" hidden="1">
      <c r="A1502" s="13" t="s">
        <v>3247</v>
      </c>
    </row>
    <row r="1503" spans="1:1" customFormat="1" hidden="1">
      <c r="A1503" s="13" t="s">
        <v>3248</v>
      </c>
    </row>
    <row r="1504" spans="1:1" customFormat="1" hidden="1">
      <c r="A1504" s="13" t="s">
        <v>3249</v>
      </c>
    </row>
    <row r="1505" spans="1:1" customFormat="1" hidden="1">
      <c r="A1505" s="13" t="s">
        <v>3250</v>
      </c>
    </row>
    <row r="1506" spans="1:1" customFormat="1" hidden="1">
      <c r="A1506" s="13" t="s">
        <v>3251</v>
      </c>
    </row>
    <row r="1507" spans="1:1" customFormat="1" hidden="1">
      <c r="A1507" s="13" t="s">
        <v>3252</v>
      </c>
    </row>
    <row r="1508" spans="1:1" customFormat="1" hidden="1">
      <c r="A1508" s="13" t="s">
        <v>3253</v>
      </c>
    </row>
    <row r="1509" spans="1:1" customFormat="1" hidden="1">
      <c r="A1509" s="13" t="s">
        <v>3254</v>
      </c>
    </row>
    <row r="1510" spans="1:1" customFormat="1" hidden="1">
      <c r="A1510" s="13" t="s">
        <v>3255</v>
      </c>
    </row>
    <row r="1511" spans="1:1" customFormat="1" hidden="1">
      <c r="A1511" s="13" t="s">
        <v>3256</v>
      </c>
    </row>
    <row r="1512" spans="1:1" customFormat="1" hidden="1">
      <c r="A1512" s="13" t="s">
        <v>3257</v>
      </c>
    </row>
    <row r="1513" spans="1:1" customFormat="1" hidden="1">
      <c r="A1513" s="13" t="s">
        <v>3258</v>
      </c>
    </row>
    <row r="1514" spans="1:1" customFormat="1" hidden="1">
      <c r="A1514" s="13" t="s">
        <v>3259</v>
      </c>
    </row>
    <row r="1515" spans="1:1" customFormat="1" hidden="1">
      <c r="A1515" s="13" t="s">
        <v>3260</v>
      </c>
    </row>
    <row r="1516" spans="1:1" customFormat="1" hidden="1">
      <c r="A1516" s="13" t="s">
        <v>3261</v>
      </c>
    </row>
    <row r="1517" spans="1:1" customFormat="1" hidden="1">
      <c r="A1517" s="13" t="s">
        <v>3262</v>
      </c>
    </row>
    <row r="1518" spans="1:1" customFormat="1" hidden="1">
      <c r="A1518" s="13" t="s">
        <v>3263</v>
      </c>
    </row>
    <row r="1519" spans="1:1" customFormat="1" hidden="1">
      <c r="A1519" s="13" t="s">
        <v>3264</v>
      </c>
    </row>
    <row r="1520" spans="1:1" customFormat="1" hidden="1">
      <c r="A1520" s="13" t="s">
        <v>3265</v>
      </c>
    </row>
    <row r="1521" spans="1:1" customFormat="1" hidden="1">
      <c r="A1521" s="13" t="s">
        <v>3266</v>
      </c>
    </row>
    <row r="1522" spans="1:1" customFormat="1" hidden="1">
      <c r="A1522" s="13" t="s">
        <v>3267</v>
      </c>
    </row>
    <row r="1523" spans="1:1" customFormat="1" hidden="1">
      <c r="A1523" s="13" t="s">
        <v>3268</v>
      </c>
    </row>
    <row r="1524" spans="1:1" customFormat="1" hidden="1">
      <c r="A1524" s="13" t="s">
        <v>3269</v>
      </c>
    </row>
    <row r="1525" spans="1:1" customFormat="1" hidden="1">
      <c r="A1525" s="13" t="s">
        <v>3270</v>
      </c>
    </row>
    <row r="1526" spans="1:1" customFormat="1" hidden="1">
      <c r="A1526" s="13" t="s">
        <v>3271</v>
      </c>
    </row>
    <row r="1527" spans="1:1" customFormat="1" hidden="1">
      <c r="A1527" s="13" t="s">
        <v>3272</v>
      </c>
    </row>
    <row r="1528" spans="1:1" customFormat="1" hidden="1">
      <c r="A1528" s="13" t="s">
        <v>3273</v>
      </c>
    </row>
    <row r="1529" spans="1:1" customFormat="1" hidden="1">
      <c r="A1529" s="13" t="s">
        <v>3274</v>
      </c>
    </row>
    <row r="1530" spans="1:1" customFormat="1" hidden="1">
      <c r="A1530" s="13" t="s">
        <v>3275</v>
      </c>
    </row>
    <row r="1531" spans="1:1" customFormat="1" hidden="1">
      <c r="A1531" s="13" t="s">
        <v>3276</v>
      </c>
    </row>
    <row r="1532" spans="1:1" customFormat="1" hidden="1">
      <c r="A1532" s="13" t="s">
        <v>3277</v>
      </c>
    </row>
    <row r="1533" spans="1:1" customFormat="1" hidden="1">
      <c r="A1533" s="13" t="s">
        <v>3278</v>
      </c>
    </row>
    <row r="1534" spans="1:1" customFormat="1" hidden="1">
      <c r="A1534" s="13" t="s">
        <v>3279</v>
      </c>
    </row>
    <row r="1535" spans="1:1" customFormat="1" hidden="1">
      <c r="A1535" s="13" t="s">
        <v>3280</v>
      </c>
    </row>
    <row r="1536" spans="1:1" customFormat="1" hidden="1">
      <c r="A1536" s="13" t="s">
        <v>3281</v>
      </c>
    </row>
    <row r="1537" spans="1:1" customFormat="1" hidden="1">
      <c r="A1537" s="13" t="s">
        <v>3282</v>
      </c>
    </row>
    <row r="1538" spans="1:1" customFormat="1" hidden="1">
      <c r="A1538" s="13" t="s">
        <v>3283</v>
      </c>
    </row>
    <row r="1539" spans="1:1" customFormat="1" hidden="1">
      <c r="A1539" s="13" t="s">
        <v>3284</v>
      </c>
    </row>
    <row r="1540" spans="1:1" customFormat="1" hidden="1">
      <c r="A1540" s="13" t="s">
        <v>3285</v>
      </c>
    </row>
    <row r="1541" spans="1:1" customFormat="1" hidden="1">
      <c r="A1541" s="13" t="s">
        <v>3286</v>
      </c>
    </row>
    <row r="1542" spans="1:1" customFormat="1" hidden="1">
      <c r="A1542" s="13" t="s">
        <v>3287</v>
      </c>
    </row>
    <row r="1543" spans="1:1" customFormat="1" hidden="1">
      <c r="A1543" s="13" t="s">
        <v>3288</v>
      </c>
    </row>
    <row r="1544" spans="1:1" customFormat="1" hidden="1">
      <c r="A1544" s="13" t="s">
        <v>3289</v>
      </c>
    </row>
    <row r="1545" spans="1:1" customFormat="1" hidden="1">
      <c r="A1545" s="13"/>
    </row>
    <row r="1546" spans="1:1" customFormat="1" hidden="1">
      <c r="A1546" s="13" t="s">
        <v>3290</v>
      </c>
    </row>
    <row r="1547" spans="1:1" customFormat="1" hidden="1">
      <c r="A1547" s="13" t="s">
        <v>6817</v>
      </c>
    </row>
    <row r="1548" spans="1:1" customFormat="1" hidden="1">
      <c r="A1548" s="13" t="s">
        <v>6818</v>
      </c>
    </row>
    <row r="1549" spans="1:1" customFormat="1" hidden="1">
      <c r="A1549" s="13" t="s">
        <v>6819</v>
      </c>
    </row>
    <row r="1550" spans="1:1" customFormat="1" hidden="1">
      <c r="A1550" s="13" t="s">
        <v>6820</v>
      </c>
    </row>
    <row r="1551" spans="1:1" customFormat="1" hidden="1">
      <c r="A1551" s="13" t="s">
        <v>6821</v>
      </c>
    </row>
    <row r="1552" spans="1:1" customFormat="1" hidden="1">
      <c r="A1552" s="13" t="s">
        <v>6822</v>
      </c>
    </row>
    <row r="1553" spans="1:1" customFormat="1" hidden="1">
      <c r="A1553" s="13" t="s">
        <v>6823</v>
      </c>
    </row>
    <row r="1554" spans="1:1" customFormat="1" hidden="1">
      <c r="A1554" s="13" t="s">
        <v>6824</v>
      </c>
    </row>
    <row r="1555" spans="1:1" customFormat="1" hidden="1">
      <c r="A1555" s="13" t="s">
        <v>6825</v>
      </c>
    </row>
    <row r="1556" spans="1:1" customFormat="1" hidden="1">
      <c r="A1556" s="13" t="s">
        <v>6826</v>
      </c>
    </row>
    <row r="1557" spans="1:1" customFormat="1" hidden="1">
      <c r="A1557" s="13" t="s">
        <v>6827</v>
      </c>
    </row>
    <row r="1558" spans="1:1" customFormat="1" hidden="1">
      <c r="A1558" s="13" t="s">
        <v>6828</v>
      </c>
    </row>
    <row r="1559" spans="1:1" customFormat="1" hidden="1">
      <c r="A1559" s="13" t="s">
        <v>6829</v>
      </c>
    </row>
    <row r="1560" spans="1:1" customFormat="1" hidden="1">
      <c r="A1560" s="13" t="s">
        <v>6830</v>
      </c>
    </row>
    <row r="1561" spans="1:1" customFormat="1" hidden="1">
      <c r="A1561" s="13" t="s">
        <v>6831</v>
      </c>
    </row>
    <row r="1562" spans="1:1" customFormat="1" hidden="1">
      <c r="A1562" s="13" t="s">
        <v>6832</v>
      </c>
    </row>
    <row r="1563" spans="1:1" customFormat="1" hidden="1">
      <c r="A1563" s="13" t="s">
        <v>6833</v>
      </c>
    </row>
    <row r="1564" spans="1:1" customFormat="1" hidden="1">
      <c r="A1564" s="13" t="s">
        <v>6834</v>
      </c>
    </row>
    <row r="1565" spans="1:1" customFormat="1" hidden="1">
      <c r="A1565" s="13" t="s">
        <v>6835</v>
      </c>
    </row>
    <row r="1566" spans="1:1" customFormat="1" hidden="1">
      <c r="A1566" s="13" t="s">
        <v>6836</v>
      </c>
    </row>
    <row r="1567" spans="1:1" customFormat="1" hidden="1">
      <c r="A1567" s="13" t="s">
        <v>6837</v>
      </c>
    </row>
    <row r="1568" spans="1:1" customFormat="1" hidden="1">
      <c r="A1568" s="13" t="s">
        <v>6838</v>
      </c>
    </row>
    <row r="1569" spans="1:1" customFormat="1" hidden="1">
      <c r="A1569" s="13" t="s">
        <v>6839</v>
      </c>
    </row>
    <row r="1570" spans="1:1" customFormat="1" hidden="1">
      <c r="A1570" s="13" t="s">
        <v>6840</v>
      </c>
    </row>
    <row r="1571" spans="1:1" customFormat="1" hidden="1">
      <c r="A1571" s="13" t="s">
        <v>6841</v>
      </c>
    </row>
    <row r="1572" spans="1:1" customFormat="1" hidden="1">
      <c r="A1572" s="13" t="s">
        <v>6842</v>
      </c>
    </row>
    <row r="1573" spans="1:1" customFormat="1" hidden="1">
      <c r="A1573" s="13" t="s">
        <v>6843</v>
      </c>
    </row>
    <row r="1574" spans="1:1" customFormat="1" hidden="1">
      <c r="A1574" s="13" t="s">
        <v>6844</v>
      </c>
    </row>
    <row r="1575" spans="1:1" customFormat="1" hidden="1">
      <c r="A1575" s="13" t="s">
        <v>6845</v>
      </c>
    </row>
    <row r="1576" spans="1:1" customFormat="1" hidden="1">
      <c r="A1576" s="13" t="s">
        <v>6846</v>
      </c>
    </row>
    <row r="1577" spans="1:1" customFormat="1" hidden="1">
      <c r="A1577" s="13" t="s">
        <v>6847</v>
      </c>
    </row>
    <row r="1578" spans="1:1" customFormat="1" hidden="1">
      <c r="A1578" s="13" t="s">
        <v>6848</v>
      </c>
    </row>
    <row r="1579" spans="1:1" customFormat="1" hidden="1">
      <c r="A1579" s="13" t="s">
        <v>6849</v>
      </c>
    </row>
    <row r="1580" spans="1:1" customFormat="1" hidden="1">
      <c r="A1580" s="13" t="s">
        <v>6850</v>
      </c>
    </row>
    <row r="1581" spans="1:1" customFormat="1" hidden="1">
      <c r="A1581" s="13" t="s">
        <v>6851</v>
      </c>
    </row>
    <row r="1582" spans="1:1" customFormat="1" hidden="1">
      <c r="A1582" s="13" t="s">
        <v>6852</v>
      </c>
    </row>
    <row r="1583" spans="1:1" customFormat="1" hidden="1">
      <c r="A1583" s="13" t="s">
        <v>6853</v>
      </c>
    </row>
    <row r="1584" spans="1:1" customFormat="1" hidden="1">
      <c r="A1584" s="13" t="s">
        <v>6854</v>
      </c>
    </row>
    <row r="1585" spans="1:1" customFormat="1" hidden="1">
      <c r="A1585" s="13" t="s">
        <v>6855</v>
      </c>
    </row>
    <row r="1586" spans="1:1" customFormat="1" hidden="1">
      <c r="A1586" s="13" t="s">
        <v>6856</v>
      </c>
    </row>
    <row r="1587" spans="1:1" customFormat="1" hidden="1">
      <c r="A1587" s="13" t="s">
        <v>6857</v>
      </c>
    </row>
    <row r="1588" spans="1:1" customFormat="1" hidden="1">
      <c r="A1588" s="13" t="s">
        <v>6858</v>
      </c>
    </row>
    <row r="1589" spans="1:1" customFormat="1" hidden="1">
      <c r="A1589" s="13" t="s">
        <v>6859</v>
      </c>
    </row>
    <row r="1590" spans="1:1" customFormat="1" hidden="1">
      <c r="A1590" s="13" t="s">
        <v>6860</v>
      </c>
    </row>
    <row r="1591" spans="1:1" customFormat="1" hidden="1">
      <c r="A1591" s="13" t="s">
        <v>6861</v>
      </c>
    </row>
    <row r="1592" spans="1:1" customFormat="1" hidden="1">
      <c r="A1592" s="13" t="s">
        <v>6862</v>
      </c>
    </row>
    <row r="1593" spans="1:1" customFormat="1" hidden="1">
      <c r="A1593" s="13" t="s">
        <v>6863</v>
      </c>
    </row>
    <row r="1594" spans="1:1" customFormat="1" hidden="1">
      <c r="A1594" s="13" t="s">
        <v>6864</v>
      </c>
    </row>
    <row r="1595" spans="1:1" customFormat="1" hidden="1">
      <c r="A1595" s="13" t="s">
        <v>6865</v>
      </c>
    </row>
    <row r="1596" spans="1:1" customFormat="1" hidden="1">
      <c r="A1596" s="13" t="s">
        <v>6866</v>
      </c>
    </row>
    <row r="1597" spans="1:1" customFormat="1" hidden="1">
      <c r="A1597" s="13" t="s">
        <v>6867</v>
      </c>
    </row>
    <row r="1598" spans="1:1" customFormat="1" hidden="1">
      <c r="A1598" s="13" t="s">
        <v>6868</v>
      </c>
    </row>
    <row r="1599" spans="1:1" customFormat="1" hidden="1">
      <c r="A1599" s="13" t="s">
        <v>6869</v>
      </c>
    </row>
    <row r="1600" spans="1:1" customFormat="1" hidden="1">
      <c r="A1600" s="13" t="s">
        <v>6870</v>
      </c>
    </row>
    <row r="1601" spans="1:1" customFormat="1" hidden="1">
      <c r="A1601" s="13" t="s">
        <v>6871</v>
      </c>
    </row>
    <row r="1602" spans="1:1" customFormat="1" hidden="1">
      <c r="A1602" s="13" t="s">
        <v>6872</v>
      </c>
    </row>
    <row r="1603" spans="1:1" customFormat="1" hidden="1">
      <c r="A1603" s="13" t="s">
        <v>6873</v>
      </c>
    </row>
    <row r="1604" spans="1:1" customFormat="1" hidden="1">
      <c r="A1604" s="13" t="s">
        <v>6874</v>
      </c>
    </row>
    <row r="1605" spans="1:1" customFormat="1" hidden="1">
      <c r="A1605" s="13" t="s">
        <v>6875</v>
      </c>
    </row>
    <row r="1606" spans="1:1" customFormat="1" hidden="1">
      <c r="A1606" s="13" t="s">
        <v>6876</v>
      </c>
    </row>
    <row r="1607" spans="1:1" customFormat="1" hidden="1">
      <c r="A1607" s="13" t="s">
        <v>6877</v>
      </c>
    </row>
    <row r="1608" spans="1:1" customFormat="1" hidden="1">
      <c r="A1608" s="13" t="s">
        <v>6878</v>
      </c>
    </row>
    <row r="1609" spans="1:1" customFormat="1" hidden="1">
      <c r="A1609" s="13" t="s">
        <v>6879</v>
      </c>
    </row>
    <row r="1610" spans="1:1" customFormat="1" hidden="1">
      <c r="A1610" s="13" t="s">
        <v>6880</v>
      </c>
    </row>
    <row r="1611" spans="1:1" customFormat="1" hidden="1">
      <c r="A1611" s="13" t="s">
        <v>6881</v>
      </c>
    </row>
    <row r="1612" spans="1:1" customFormat="1" hidden="1">
      <c r="A1612" s="13" t="s">
        <v>6882</v>
      </c>
    </row>
    <row r="1613" spans="1:1" customFormat="1" hidden="1">
      <c r="A1613" s="13" t="s">
        <v>6883</v>
      </c>
    </row>
    <row r="1614" spans="1:1" customFormat="1" hidden="1">
      <c r="A1614" s="13" t="s">
        <v>6884</v>
      </c>
    </row>
    <row r="1615" spans="1:1" customFormat="1" hidden="1">
      <c r="A1615" s="13" t="s">
        <v>6885</v>
      </c>
    </row>
    <row r="1616" spans="1:1" customFormat="1" hidden="1">
      <c r="A1616" s="13" t="s">
        <v>6886</v>
      </c>
    </row>
    <row r="1617" spans="1:1" customFormat="1" hidden="1">
      <c r="A1617" s="13" t="s">
        <v>6887</v>
      </c>
    </row>
    <row r="1618" spans="1:1" customFormat="1" hidden="1">
      <c r="A1618" s="13" t="s">
        <v>6888</v>
      </c>
    </row>
    <row r="1619" spans="1:1" customFormat="1" hidden="1">
      <c r="A1619" s="13" t="s">
        <v>6889</v>
      </c>
    </row>
    <row r="1620" spans="1:1" customFormat="1" hidden="1">
      <c r="A1620" s="13" t="s">
        <v>6890</v>
      </c>
    </row>
    <row r="1621" spans="1:1" customFormat="1" hidden="1">
      <c r="A1621" s="13" t="s">
        <v>6891</v>
      </c>
    </row>
    <row r="1622" spans="1:1" customFormat="1" hidden="1">
      <c r="A1622" s="13" t="s">
        <v>6892</v>
      </c>
    </row>
    <row r="1623" spans="1:1" customFormat="1" hidden="1">
      <c r="A1623" s="13" t="s">
        <v>6893</v>
      </c>
    </row>
    <row r="1624" spans="1:1" customFormat="1" hidden="1">
      <c r="A1624" s="13" t="s">
        <v>6894</v>
      </c>
    </row>
    <row r="1625" spans="1:1" customFormat="1" hidden="1">
      <c r="A1625" s="13" t="s">
        <v>6895</v>
      </c>
    </row>
    <row r="1626" spans="1:1" customFormat="1" hidden="1">
      <c r="A1626" s="13" t="s">
        <v>6896</v>
      </c>
    </row>
    <row r="1627" spans="1:1" customFormat="1" hidden="1">
      <c r="A1627" s="13" t="s">
        <v>6897</v>
      </c>
    </row>
    <row r="1628" spans="1:1" customFormat="1" hidden="1">
      <c r="A1628" s="13" t="s">
        <v>6898</v>
      </c>
    </row>
    <row r="1629" spans="1:1" customFormat="1" hidden="1">
      <c r="A1629" s="13" t="s">
        <v>6899</v>
      </c>
    </row>
    <row r="1630" spans="1:1" customFormat="1" hidden="1">
      <c r="A1630" s="13" t="s">
        <v>6900</v>
      </c>
    </row>
    <row r="1631" spans="1:1" customFormat="1" hidden="1">
      <c r="A1631" s="13" t="s">
        <v>6901</v>
      </c>
    </row>
    <row r="1632" spans="1:1" customFormat="1" hidden="1">
      <c r="A1632" s="13" t="s">
        <v>6902</v>
      </c>
    </row>
    <row r="1633" spans="1:1" customFormat="1" hidden="1">
      <c r="A1633" s="13" t="s">
        <v>6903</v>
      </c>
    </row>
    <row r="1634" spans="1:1" customFormat="1" hidden="1">
      <c r="A1634" s="13" t="s">
        <v>6904</v>
      </c>
    </row>
    <row r="1635" spans="1:1" customFormat="1" hidden="1">
      <c r="A1635" s="13" t="s">
        <v>6905</v>
      </c>
    </row>
    <row r="1636" spans="1:1" customFormat="1" hidden="1">
      <c r="A1636" s="13" t="s">
        <v>6906</v>
      </c>
    </row>
    <row r="1637" spans="1:1" customFormat="1" hidden="1">
      <c r="A1637" s="13" t="s">
        <v>6907</v>
      </c>
    </row>
    <row r="1638" spans="1:1" customFormat="1" hidden="1">
      <c r="A1638" s="13" t="s">
        <v>6908</v>
      </c>
    </row>
    <row r="1639" spans="1:1" customFormat="1" hidden="1">
      <c r="A1639" s="13" t="s">
        <v>6909</v>
      </c>
    </row>
    <row r="1640" spans="1:1" customFormat="1" hidden="1">
      <c r="A1640" s="13" t="s">
        <v>6910</v>
      </c>
    </row>
    <row r="1641" spans="1:1" customFormat="1" hidden="1">
      <c r="A1641" s="13" t="s">
        <v>6911</v>
      </c>
    </row>
    <row r="1642" spans="1:1" customFormat="1" hidden="1">
      <c r="A1642" s="13" t="s">
        <v>6912</v>
      </c>
    </row>
    <row r="1643" spans="1:1" customFormat="1" hidden="1">
      <c r="A1643" s="13" t="s">
        <v>6913</v>
      </c>
    </row>
    <row r="1644" spans="1:1" customFormat="1" hidden="1">
      <c r="A1644" s="13" t="s">
        <v>6914</v>
      </c>
    </row>
    <row r="1645" spans="1:1" customFormat="1" hidden="1">
      <c r="A1645" s="13" t="s">
        <v>6915</v>
      </c>
    </row>
    <row r="1646" spans="1:1" customFormat="1" hidden="1">
      <c r="A1646" s="13" t="s">
        <v>6916</v>
      </c>
    </row>
    <row r="1647" spans="1:1" customFormat="1" hidden="1">
      <c r="A1647" s="13" t="s">
        <v>6917</v>
      </c>
    </row>
    <row r="1648" spans="1:1" customFormat="1" hidden="1">
      <c r="A1648" s="13" t="s">
        <v>6918</v>
      </c>
    </row>
    <row r="1649" spans="1:1" customFormat="1" hidden="1">
      <c r="A1649" s="13" t="s">
        <v>6919</v>
      </c>
    </row>
    <row r="1650" spans="1:1" customFormat="1" hidden="1">
      <c r="A1650" s="13" t="s">
        <v>6920</v>
      </c>
    </row>
    <row r="1651" spans="1:1" customFormat="1" hidden="1">
      <c r="A1651" s="13" t="s">
        <v>6921</v>
      </c>
    </row>
    <row r="1652" spans="1:1" customFormat="1" hidden="1">
      <c r="A1652" s="13" t="s">
        <v>6922</v>
      </c>
    </row>
    <row r="1653" spans="1:1" customFormat="1" hidden="1">
      <c r="A1653" s="13" t="s">
        <v>6923</v>
      </c>
    </row>
    <row r="1654" spans="1:1" customFormat="1" hidden="1">
      <c r="A1654" s="13" t="s">
        <v>6924</v>
      </c>
    </row>
    <row r="1655" spans="1:1" customFormat="1" hidden="1">
      <c r="A1655" s="13" t="s">
        <v>6925</v>
      </c>
    </row>
    <row r="1656" spans="1:1" customFormat="1" hidden="1">
      <c r="A1656" s="13" t="s">
        <v>6926</v>
      </c>
    </row>
    <row r="1657" spans="1:1" customFormat="1" hidden="1">
      <c r="A1657" s="13" t="s">
        <v>6927</v>
      </c>
    </row>
    <row r="1658" spans="1:1" customFormat="1" hidden="1">
      <c r="A1658" s="13" t="s">
        <v>6928</v>
      </c>
    </row>
    <row r="1659" spans="1:1" customFormat="1" hidden="1">
      <c r="A1659" s="13" t="s">
        <v>6929</v>
      </c>
    </row>
    <row r="1660" spans="1:1" customFormat="1" hidden="1">
      <c r="A1660" s="13" t="s">
        <v>6930</v>
      </c>
    </row>
    <row r="1661" spans="1:1" customFormat="1" hidden="1">
      <c r="A1661" s="13" t="s">
        <v>6931</v>
      </c>
    </row>
    <row r="1662" spans="1:1" customFormat="1" hidden="1">
      <c r="A1662" s="13" t="s">
        <v>6932</v>
      </c>
    </row>
    <row r="1663" spans="1:1" customFormat="1" hidden="1">
      <c r="A1663" s="13" t="s">
        <v>6933</v>
      </c>
    </row>
    <row r="1664" spans="1:1" customFormat="1" hidden="1">
      <c r="A1664" s="13" t="s">
        <v>6934</v>
      </c>
    </row>
    <row r="1665" spans="1:1" customFormat="1" hidden="1">
      <c r="A1665" s="13" t="s">
        <v>6935</v>
      </c>
    </row>
    <row r="1666" spans="1:1" customFormat="1" hidden="1">
      <c r="A1666" s="13" t="s">
        <v>6936</v>
      </c>
    </row>
    <row r="1667" spans="1:1" customFormat="1" hidden="1">
      <c r="A1667" s="13" t="s">
        <v>6937</v>
      </c>
    </row>
    <row r="1668" spans="1:1" customFormat="1" hidden="1">
      <c r="A1668" s="13" t="s">
        <v>6938</v>
      </c>
    </row>
    <row r="1669" spans="1:1" customFormat="1" hidden="1">
      <c r="A1669" s="13" t="s">
        <v>6939</v>
      </c>
    </row>
    <row r="1670" spans="1:1" customFormat="1" hidden="1">
      <c r="A1670" s="13" t="s">
        <v>6940</v>
      </c>
    </row>
    <row r="1671" spans="1:1" customFormat="1" hidden="1">
      <c r="A1671" s="13" t="s">
        <v>6941</v>
      </c>
    </row>
    <row r="1672" spans="1:1" customFormat="1" hidden="1">
      <c r="A1672" s="13" t="s">
        <v>6942</v>
      </c>
    </row>
    <row r="1673" spans="1:1" customFormat="1" hidden="1">
      <c r="A1673" s="13" t="s">
        <v>6943</v>
      </c>
    </row>
    <row r="1674" spans="1:1" customFormat="1" hidden="1">
      <c r="A1674" s="13" t="s">
        <v>6944</v>
      </c>
    </row>
    <row r="1675" spans="1:1" customFormat="1" hidden="1">
      <c r="A1675" s="13" t="s">
        <v>6945</v>
      </c>
    </row>
    <row r="1676" spans="1:1" customFormat="1" hidden="1">
      <c r="A1676" s="13" t="s">
        <v>6946</v>
      </c>
    </row>
    <row r="1677" spans="1:1" customFormat="1" hidden="1">
      <c r="A1677" s="13" t="s">
        <v>6947</v>
      </c>
    </row>
    <row r="1678" spans="1:1" customFormat="1" hidden="1">
      <c r="A1678" s="13" t="s">
        <v>6948</v>
      </c>
    </row>
    <row r="1679" spans="1:1" customFormat="1" hidden="1">
      <c r="A1679" s="13" t="s">
        <v>6949</v>
      </c>
    </row>
    <row r="1680" spans="1:1" customFormat="1" hidden="1">
      <c r="A1680" s="13" t="s">
        <v>6950</v>
      </c>
    </row>
    <row r="1681" spans="1:1" customFormat="1" hidden="1">
      <c r="A1681" s="13" t="s">
        <v>6951</v>
      </c>
    </row>
    <row r="1682" spans="1:1" customFormat="1" hidden="1">
      <c r="A1682" s="13" t="s">
        <v>6952</v>
      </c>
    </row>
    <row r="1683" spans="1:1" customFormat="1" hidden="1">
      <c r="A1683" s="13" t="s">
        <v>6953</v>
      </c>
    </row>
    <row r="1684" spans="1:1" customFormat="1" hidden="1">
      <c r="A1684" s="13" t="s">
        <v>6954</v>
      </c>
    </row>
    <row r="1685" spans="1:1" customFormat="1" hidden="1">
      <c r="A1685" s="13" t="s">
        <v>6955</v>
      </c>
    </row>
    <row r="1686" spans="1:1" customFormat="1" hidden="1">
      <c r="A1686" s="13" t="s">
        <v>6956</v>
      </c>
    </row>
    <row r="1687" spans="1:1" customFormat="1" hidden="1">
      <c r="A1687" s="13" t="s">
        <v>6957</v>
      </c>
    </row>
    <row r="1688" spans="1:1" customFormat="1" hidden="1">
      <c r="A1688" s="13" t="s">
        <v>6958</v>
      </c>
    </row>
    <row r="1689" spans="1:1" customFormat="1" hidden="1">
      <c r="A1689" s="13" t="s">
        <v>6959</v>
      </c>
    </row>
    <row r="1690" spans="1:1" customFormat="1" hidden="1">
      <c r="A1690" s="13" t="s">
        <v>6960</v>
      </c>
    </row>
    <row r="1691" spans="1:1" customFormat="1" hidden="1">
      <c r="A1691" s="13" t="s">
        <v>6961</v>
      </c>
    </row>
    <row r="1692" spans="1:1" customFormat="1" hidden="1">
      <c r="A1692" s="13" t="s">
        <v>6962</v>
      </c>
    </row>
    <row r="1693" spans="1:1" customFormat="1" hidden="1">
      <c r="A1693" s="13" t="s">
        <v>6963</v>
      </c>
    </row>
    <row r="1694" spans="1:1" customFormat="1" hidden="1">
      <c r="A1694" s="13" t="s">
        <v>6964</v>
      </c>
    </row>
    <row r="1695" spans="1:1" customFormat="1" hidden="1">
      <c r="A1695" s="13" t="s">
        <v>6965</v>
      </c>
    </row>
    <row r="1696" spans="1:1" customFormat="1" hidden="1">
      <c r="A1696" s="13" t="s">
        <v>6966</v>
      </c>
    </row>
    <row r="1697" spans="1:1" customFormat="1" hidden="1">
      <c r="A1697" s="13" t="s">
        <v>6967</v>
      </c>
    </row>
    <row r="1698" spans="1:1" customFormat="1" hidden="1">
      <c r="A1698" s="13" t="s">
        <v>6968</v>
      </c>
    </row>
    <row r="1699" spans="1:1" customFormat="1" hidden="1">
      <c r="A1699" s="13" t="s">
        <v>6969</v>
      </c>
    </row>
    <row r="1700" spans="1:1" customFormat="1" hidden="1">
      <c r="A1700" s="13" t="s">
        <v>3438</v>
      </c>
    </row>
    <row r="1701" spans="1:1" customFormat="1" hidden="1">
      <c r="A1701" s="13" t="s">
        <v>3439</v>
      </c>
    </row>
    <row r="1702" spans="1:1" customFormat="1" hidden="1">
      <c r="A1702" s="13" t="s">
        <v>3440</v>
      </c>
    </row>
    <row r="1703" spans="1:1" customFormat="1" hidden="1">
      <c r="A1703" s="13" t="s">
        <v>3441</v>
      </c>
    </row>
    <row r="1704" spans="1:1" customFormat="1" hidden="1">
      <c r="A1704" s="13" t="s">
        <v>3442</v>
      </c>
    </row>
    <row r="1705" spans="1:1" customFormat="1" hidden="1">
      <c r="A1705" s="13" t="s">
        <v>3443</v>
      </c>
    </row>
    <row r="1706" spans="1:1" customFormat="1" hidden="1">
      <c r="A1706" s="13" t="s">
        <v>3444</v>
      </c>
    </row>
    <row r="1707" spans="1:1" customFormat="1" hidden="1">
      <c r="A1707" s="13" t="s">
        <v>3445</v>
      </c>
    </row>
    <row r="1708" spans="1:1" customFormat="1" hidden="1">
      <c r="A1708" s="13" t="s">
        <v>3446</v>
      </c>
    </row>
    <row r="1709" spans="1:1" customFormat="1" hidden="1">
      <c r="A1709" s="13" t="s">
        <v>3447</v>
      </c>
    </row>
    <row r="1710" spans="1:1" customFormat="1" hidden="1">
      <c r="A1710" s="13" t="s">
        <v>3448</v>
      </c>
    </row>
    <row r="1711" spans="1:1" customFormat="1" hidden="1">
      <c r="A1711" s="13" t="s">
        <v>3449</v>
      </c>
    </row>
    <row r="1712" spans="1:1" customFormat="1" hidden="1">
      <c r="A1712" s="13" t="s">
        <v>3450</v>
      </c>
    </row>
    <row r="1713" spans="1:1" customFormat="1" hidden="1">
      <c r="A1713" s="13" t="s">
        <v>3451</v>
      </c>
    </row>
    <row r="1714" spans="1:1" customFormat="1" hidden="1">
      <c r="A1714" s="13" t="s">
        <v>3452</v>
      </c>
    </row>
    <row r="1715" spans="1:1" customFormat="1" hidden="1">
      <c r="A1715" s="13" t="s">
        <v>3453</v>
      </c>
    </row>
    <row r="1716" spans="1:1" customFormat="1" hidden="1">
      <c r="A1716" s="13" t="s">
        <v>3454</v>
      </c>
    </row>
    <row r="1717" spans="1:1" customFormat="1" hidden="1">
      <c r="A1717" s="13" t="s">
        <v>3455</v>
      </c>
    </row>
    <row r="1718" spans="1:1" customFormat="1" hidden="1">
      <c r="A1718" s="13" t="s">
        <v>3456</v>
      </c>
    </row>
    <row r="1719" spans="1:1" customFormat="1" hidden="1">
      <c r="A1719" s="13" t="s">
        <v>3457</v>
      </c>
    </row>
    <row r="1720" spans="1:1" customFormat="1" hidden="1">
      <c r="A1720" s="13" t="s">
        <v>3458</v>
      </c>
    </row>
    <row r="1721" spans="1:1" customFormat="1" hidden="1">
      <c r="A1721" s="13" t="s">
        <v>3459</v>
      </c>
    </row>
    <row r="1722" spans="1:1" customFormat="1" hidden="1">
      <c r="A1722" s="13" t="s">
        <v>3460</v>
      </c>
    </row>
    <row r="1723" spans="1:1" customFormat="1" hidden="1">
      <c r="A1723" s="13" t="s">
        <v>3461</v>
      </c>
    </row>
    <row r="1724" spans="1:1" customFormat="1" hidden="1">
      <c r="A1724" s="13" t="s">
        <v>3462</v>
      </c>
    </row>
    <row r="1725" spans="1:1" customFormat="1" hidden="1">
      <c r="A1725" s="13" t="s">
        <v>3463</v>
      </c>
    </row>
    <row r="1726" spans="1:1" customFormat="1" hidden="1">
      <c r="A1726" s="13" t="s">
        <v>3464</v>
      </c>
    </row>
    <row r="1727" spans="1:1" customFormat="1" hidden="1">
      <c r="A1727" s="13" t="s">
        <v>3465</v>
      </c>
    </row>
    <row r="1728" spans="1:1" customFormat="1" hidden="1">
      <c r="A1728" s="13" t="s">
        <v>3466</v>
      </c>
    </row>
    <row r="1729" spans="1:1" customFormat="1" hidden="1">
      <c r="A1729" s="13" t="s">
        <v>3467</v>
      </c>
    </row>
    <row r="1730" spans="1:1" customFormat="1" hidden="1">
      <c r="A1730" s="13" t="s">
        <v>3468</v>
      </c>
    </row>
    <row r="1731" spans="1:1" customFormat="1" hidden="1">
      <c r="A1731" s="13" t="s">
        <v>3469</v>
      </c>
    </row>
    <row r="1732" spans="1:1" customFormat="1" hidden="1">
      <c r="A1732" s="13" t="s">
        <v>3470</v>
      </c>
    </row>
    <row r="1733" spans="1:1" customFormat="1" hidden="1">
      <c r="A1733" s="13" t="s">
        <v>3471</v>
      </c>
    </row>
    <row r="1734" spans="1:1" customFormat="1" hidden="1">
      <c r="A1734" s="13" t="s">
        <v>3472</v>
      </c>
    </row>
    <row r="1735" spans="1:1" customFormat="1" hidden="1">
      <c r="A1735" s="13" t="s">
        <v>3473</v>
      </c>
    </row>
    <row r="1736" spans="1:1" customFormat="1" hidden="1">
      <c r="A1736" s="13" t="s">
        <v>3474</v>
      </c>
    </row>
    <row r="1737" spans="1:1" customFormat="1" hidden="1">
      <c r="A1737" s="13" t="s">
        <v>3475</v>
      </c>
    </row>
    <row r="1738" spans="1:1" customFormat="1" hidden="1">
      <c r="A1738" s="13" t="s">
        <v>3476</v>
      </c>
    </row>
    <row r="1739" spans="1:1" customFormat="1" hidden="1">
      <c r="A1739" s="13"/>
    </row>
    <row r="1740" spans="1:1" customFormat="1" hidden="1">
      <c r="A1740" s="13" t="s">
        <v>3477</v>
      </c>
    </row>
    <row r="1741" spans="1:1" customFormat="1" hidden="1">
      <c r="A1741" s="13" t="s">
        <v>3478</v>
      </c>
    </row>
    <row r="1742" spans="1:1" customFormat="1" hidden="1">
      <c r="A1742" s="13" t="s">
        <v>3479</v>
      </c>
    </row>
    <row r="1743" spans="1:1" customFormat="1" hidden="1">
      <c r="A1743" s="13" t="s">
        <v>3480</v>
      </c>
    </row>
    <row r="1744" spans="1:1" customFormat="1" hidden="1">
      <c r="A1744" s="13" t="s">
        <v>3481</v>
      </c>
    </row>
    <row r="1745" spans="1:1" customFormat="1" hidden="1">
      <c r="A1745" s="13" t="s">
        <v>3482</v>
      </c>
    </row>
    <row r="1746" spans="1:1" customFormat="1" hidden="1">
      <c r="A1746" s="13" t="s">
        <v>3483</v>
      </c>
    </row>
    <row r="1747" spans="1:1" customFormat="1" hidden="1">
      <c r="A1747" s="13" t="s">
        <v>3484</v>
      </c>
    </row>
    <row r="1748" spans="1:1" customFormat="1" hidden="1">
      <c r="A1748" s="13" t="s">
        <v>3485</v>
      </c>
    </row>
    <row r="1749" spans="1:1" customFormat="1" hidden="1">
      <c r="A1749" s="13" t="s">
        <v>3486</v>
      </c>
    </row>
    <row r="1750" spans="1:1" customFormat="1" hidden="1">
      <c r="A1750" s="13" t="s">
        <v>3487</v>
      </c>
    </row>
    <row r="1751" spans="1:1" customFormat="1" hidden="1">
      <c r="A1751" s="13" t="s">
        <v>3488</v>
      </c>
    </row>
    <row r="1752" spans="1:1" customFormat="1" hidden="1">
      <c r="A1752" s="13" t="s">
        <v>3489</v>
      </c>
    </row>
    <row r="1753" spans="1:1" customFormat="1" hidden="1">
      <c r="A1753" s="13" t="s">
        <v>3490</v>
      </c>
    </row>
    <row r="1754" spans="1:1" customFormat="1" hidden="1">
      <c r="A1754" s="13" t="s">
        <v>3491</v>
      </c>
    </row>
    <row r="1755" spans="1:1" customFormat="1" hidden="1">
      <c r="A1755" s="13" t="s">
        <v>3492</v>
      </c>
    </row>
    <row r="1756" spans="1:1" customFormat="1" hidden="1">
      <c r="A1756" s="13" t="s">
        <v>3493</v>
      </c>
    </row>
    <row r="1757" spans="1:1" customFormat="1" hidden="1">
      <c r="A1757" s="13" t="s">
        <v>3494</v>
      </c>
    </row>
    <row r="1758" spans="1:1" customFormat="1" hidden="1">
      <c r="A1758" s="13" t="s">
        <v>3495</v>
      </c>
    </row>
    <row r="1759" spans="1:1" customFormat="1" hidden="1">
      <c r="A1759" s="13" t="s">
        <v>3496</v>
      </c>
    </row>
    <row r="1760" spans="1:1" customFormat="1" hidden="1">
      <c r="A1760" s="13" t="s">
        <v>3497</v>
      </c>
    </row>
    <row r="1761" spans="1:1" customFormat="1" hidden="1">
      <c r="A1761" s="13" t="s">
        <v>3498</v>
      </c>
    </row>
    <row r="1762" spans="1:1" customFormat="1" hidden="1">
      <c r="A1762" s="13" t="s">
        <v>3499</v>
      </c>
    </row>
    <row r="1763" spans="1:1" customFormat="1" hidden="1">
      <c r="A1763" s="13" t="s">
        <v>3500</v>
      </c>
    </row>
    <row r="1764" spans="1:1" customFormat="1" hidden="1">
      <c r="A1764" s="13" t="s">
        <v>3501</v>
      </c>
    </row>
    <row r="1765" spans="1:1" customFormat="1" hidden="1">
      <c r="A1765" s="13" t="s">
        <v>3502</v>
      </c>
    </row>
    <row r="1766" spans="1:1" customFormat="1" hidden="1">
      <c r="A1766" s="13" t="s">
        <v>3503</v>
      </c>
    </row>
    <row r="1767" spans="1:1" customFormat="1" hidden="1">
      <c r="A1767" s="13" t="s">
        <v>3504</v>
      </c>
    </row>
    <row r="1768" spans="1:1" customFormat="1" hidden="1">
      <c r="A1768" s="13" t="s">
        <v>3505</v>
      </c>
    </row>
    <row r="1769" spans="1:1" customFormat="1" hidden="1">
      <c r="A1769" s="13" t="s">
        <v>3506</v>
      </c>
    </row>
    <row r="1770" spans="1:1" customFormat="1" hidden="1">
      <c r="A1770" s="13" t="s">
        <v>3507</v>
      </c>
    </row>
    <row r="1771" spans="1:1" customFormat="1" hidden="1">
      <c r="A1771" s="13" t="s">
        <v>3508</v>
      </c>
    </row>
    <row r="1772" spans="1:1" customFormat="1" hidden="1">
      <c r="A1772" s="13" t="s">
        <v>3509</v>
      </c>
    </row>
    <row r="1773" spans="1:1" customFormat="1" hidden="1">
      <c r="A1773" s="13" t="s">
        <v>3510</v>
      </c>
    </row>
    <row r="1774" spans="1:1" customFormat="1" hidden="1">
      <c r="A1774" s="13" t="s">
        <v>3511</v>
      </c>
    </row>
    <row r="1775" spans="1:1" customFormat="1" hidden="1">
      <c r="A1775" s="13" t="s">
        <v>3512</v>
      </c>
    </row>
    <row r="1776" spans="1:1" customFormat="1" hidden="1">
      <c r="A1776" s="13" t="s">
        <v>3513</v>
      </c>
    </row>
    <row r="1777" spans="1:1" customFormat="1" hidden="1">
      <c r="A1777" s="13" t="s">
        <v>3514</v>
      </c>
    </row>
    <row r="1778" spans="1:1" customFormat="1" hidden="1">
      <c r="A1778" s="13" t="s">
        <v>3515</v>
      </c>
    </row>
    <row r="1779" spans="1:1" customFormat="1" hidden="1">
      <c r="A1779" s="13" t="s">
        <v>3516</v>
      </c>
    </row>
    <row r="1780" spans="1:1" customFormat="1" hidden="1">
      <c r="A1780" s="13" t="s">
        <v>3517</v>
      </c>
    </row>
    <row r="1781" spans="1:1" customFormat="1" hidden="1">
      <c r="A1781" s="13" t="s">
        <v>3518</v>
      </c>
    </row>
    <row r="1782" spans="1:1" customFormat="1" hidden="1">
      <c r="A1782" s="13" t="s">
        <v>3519</v>
      </c>
    </row>
    <row r="1783" spans="1:1" customFormat="1" hidden="1">
      <c r="A1783" s="13" t="s">
        <v>3520</v>
      </c>
    </row>
    <row r="1784" spans="1:1" customFormat="1" hidden="1">
      <c r="A1784" s="13" t="s">
        <v>3521</v>
      </c>
    </row>
    <row r="1785" spans="1:1" customFormat="1" hidden="1">
      <c r="A1785" s="13" t="s">
        <v>3522</v>
      </c>
    </row>
    <row r="1786" spans="1:1" customFormat="1" hidden="1">
      <c r="A1786" s="13" t="s">
        <v>3523</v>
      </c>
    </row>
    <row r="1787" spans="1:1" customFormat="1" hidden="1">
      <c r="A1787" s="13" t="s">
        <v>3524</v>
      </c>
    </row>
    <row r="1788" spans="1:1" customFormat="1" hidden="1">
      <c r="A1788" s="13" t="s">
        <v>3525</v>
      </c>
    </row>
    <row r="1789" spans="1:1" customFormat="1" hidden="1">
      <c r="A1789" s="13" t="s">
        <v>3526</v>
      </c>
    </row>
    <row r="1790" spans="1:1" customFormat="1" hidden="1">
      <c r="A1790" s="13" t="s">
        <v>3527</v>
      </c>
    </row>
    <row r="1791" spans="1:1" customFormat="1" hidden="1">
      <c r="A1791" s="13" t="s">
        <v>3528</v>
      </c>
    </row>
    <row r="1792" spans="1:1" customFormat="1" hidden="1">
      <c r="A1792" s="13" t="s">
        <v>3529</v>
      </c>
    </row>
    <row r="1793" spans="1:1" customFormat="1" hidden="1">
      <c r="A1793" s="13" t="s">
        <v>3530</v>
      </c>
    </row>
    <row r="1794" spans="1:1" customFormat="1" hidden="1">
      <c r="A1794" s="13" t="s">
        <v>3531</v>
      </c>
    </row>
    <row r="1795" spans="1:1" customFormat="1" hidden="1">
      <c r="A1795" s="13" t="s">
        <v>3532</v>
      </c>
    </row>
    <row r="1796" spans="1:1" customFormat="1" hidden="1">
      <c r="A1796" s="13" t="s">
        <v>3533</v>
      </c>
    </row>
    <row r="1797" spans="1:1" customFormat="1" hidden="1">
      <c r="A1797" s="13" t="s">
        <v>3534</v>
      </c>
    </row>
    <row r="1798" spans="1:1" customFormat="1" hidden="1">
      <c r="A1798" s="13" t="s">
        <v>3535</v>
      </c>
    </row>
    <row r="1799" spans="1:1" customFormat="1" hidden="1">
      <c r="A1799" s="13" t="s">
        <v>3536</v>
      </c>
    </row>
    <row r="1800" spans="1:1" customFormat="1" hidden="1">
      <c r="A1800" s="13" t="s">
        <v>3537</v>
      </c>
    </row>
    <row r="1801" spans="1:1" customFormat="1" hidden="1">
      <c r="A1801" s="13" t="s">
        <v>3538</v>
      </c>
    </row>
    <row r="1802" spans="1:1" customFormat="1" hidden="1">
      <c r="A1802" s="13" t="s">
        <v>3539</v>
      </c>
    </row>
    <row r="1803" spans="1:1" customFormat="1" hidden="1">
      <c r="A1803" s="13" t="s">
        <v>3540</v>
      </c>
    </row>
    <row r="1804" spans="1:1" customFormat="1" hidden="1">
      <c r="A1804" s="13" t="s">
        <v>3541</v>
      </c>
    </row>
    <row r="1805" spans="1:1" customFormat="1" hidden="1">
      <c r="A1805" s="13" t="s">
        <v>3542</v>
      </c>
    </row>
    <row r="1806" spans="1:1" customFormat="1" hidden="1">
      <c r="A1806" s="13" t="s">
        <v>3543</v>
      </c>
    </row>
    <row r="1807" spans="1:1" customFormat="1" hidden="1">
      <c r="A1807" s="13" t="s">
        <v>3544</v>
      </c>
    </row>
    <row r="1808" spans="1:1" customFormat="1" hidden="1">
      <c r="A1808" s="13" t="s">
        <v>3545</v>
      </c>
    </row>
    <row r="1809" spans="1:1" customFormat="1" hidden="1">
      <c r="A1809" s="13" t="s">
        <v>3546</v>
      </c>
    </row>
    <row r="1810" spans="1:1" customFormat="1" hidden="1">
      <c r="A1810" s="13" t="s">
        <v>3547</v>
      </c>
    </row>
    <row r="1811" spans="1:1" customFormat="1" hidden="1">
      <c r="A1811" s="13" t="s">
        <v>3548</v>
      </c>
    </row>
    <row r="1812" spans="1:1" customFormat="1" hidden="1">
      <c r="A1812" s="13" t="s">
        <v>3549</v>
      </c>
    </row>
    <row r="1813" spans="1:1" customFormat="1" hidden="1">
      <c r="A1813" s="13" t="s">
        <v>3550</v>
      </c>
    </row>
    <row r="1814" spans="1:1" customFormat="1" hidden="1">
      <c r="A1814" s="13" t="s">
        <v>3551</v>
      </c>
    </row>
    <row r="1815" spans="1:1" customFormat="1" hidden="1">
      <c r="A1815" s="13" t="s">
        <v>3552</v>
      </c>
    </row>
    <row r="1816" spans="1:1" customFormat="1" hidden="1">
      <c r="A1816" s="13" t="s">
        <v>3553</v>
      </c>
    </row>
    <row r="1817" spans="1:1" customFormat="1" hidden="1">
      <c r="A1817" s="13" t="s">
        <v>3554</v>
      </c>
    </row>
    <row r="1818" spans="1:1" customFormat="1" hidden="1">
      <c r="A1818" s="13" t="s">
        <v>3555</v>
      </c>
    </row>
    <row r="1819" spans="1:1" customFormat="1" hidden="1">
      <c r="A1819" s="13" t="s">
        <v>3556</v>
      </c>
    </row>
    <row r="1820" spans="1:1" customFormat="1" hidden="1">
      <c r="A1820" s="13" t="s">
        <v>3557</v>
      </c>
    </row>
    <row r="1821" spans="1:1" customFormat="1" hidden="1">
      <c r="A1821" s="13" t="s">
        <v>3558</v>
      </c>
    </row>
    <row r="1822" spans="1:1" customFormat="1" hidden="1">
      <c r="A1822" s="13" t="s">
        <v>3559</v>
      </c>
    </row>
    <row r="1823" spans="1:1" customFormat="1" hidden="1">
      <c r="A1823" s="13" t="s">
        <v>3560</v>
      </c>
    </row>
    <row r="1824" spans="1:1" customFormat="1" hidden="1">
      <c r="A1824" s="13" t="s">
        <v>3561</v>
      </c>
    </row>
    <row r="1825" spans="1:1" customFormat="1" hidden="1">
      <c r="A1825" s="13" t="s">
        <v>3562</v>
      </c>
    </row>
    <row r="1826" spans="1:1" customFormat="1" hidden="1">
      <c r="A1826" s="13" t="s">
        <v>3563</v>
      </c>
    </row>
    <row r="1827" spans="1:1" customFormat="1" hidden="1">
      <c r="A1827" s="13" t="s">
        <v>3564</v>
      </c>
    </row>
    <row r="1828" spans="1:1" customFormat="1" hidden="1">
      <c r="A1828" s="13" t="s">
        <v>3565</v>
      </c>
    </row>
    <row r="1829" spans="1:1" customFormat="1" hidden="1">
      <c r="A1829" s="13" t="s">
        <v>3566</v>
      </c>
    </row>
    <row r="1830" spans="1:1" customFormat="1" hidden="1">
      <c r="A1830" s="13" t="s">
        <v>3567</v>
      </c>
    </row>
    <row r="1831" spans="1:1" customFormat="1" hidden="1">
      <c r="A1831" s="13" t="s">
        <v>3568</v>
      </c>
    </row>
    <row r="1832" spans="1:1" customFormat="1" hidden="1">
      <c r="A1832" s="13" t="s">
        <v>3569</v>
      </c>
    </row>
    <row r="1833" spans="1:1" customFormat="1" hidden="1">
      <c r="A1833" s="13" t="s">
        <v>3570</v>
      </c>
    </row>
    <row r="1834" spans="1:1" customFormat="1" hidden="1">
      <c r="A1834" s="13" t="s">
        <v>3571</v>
      </c>
    </row>
    <row r="1835" spans="1:1" customFormat="1" hidden="1">
      <c r="A1835" s="13" t="s">
        <v>3572</v>
      </c>
    </row>
    <row r="1836" spans="1:1" customFormat="1" hidden="1">
      <c r="A1836" s="13" t="s">
        <v>3573</v>
      </c>
    </row>
    <row r="1837" spans="1:1" customFormat="1" hidden="1">
      <c r="A1837" s="13" t="s">
        <v>3574</v>
      </c>
    </row>
    <row r="1838" spans="1:1" customFormat="1" hidden="1">
      <c r="A1838" s="13" t="s">
        <v>3575</v>
      </c>
    </row>
    <row r="1839" spans="1:1" customFormat="1" hidden="1">
      <c r="A1839" s="13" t="s">
        <v>3576</v>
      </c>
    </row>
    <row r="1840" spans="1:1" customFormat="1" hidden="1">
      <c r="A1840" s="13" t="s">
        <v>3577</v>
      </c>
    </row>
    <row r="1841" spans="1:1" customFormat="1" hidden="1">
      <c r="A1841" s="13" t="s">
        <v>3578</v>
      </c>
    </row>
    <row r="1842" spans="1:1" customFormat="1" hidden="1">
      <c r="A1842" s="13" t="s">
        <v>3579</v>
      </c>
    </row>
    <row r="1843" spans="1:1" customFormat="1" hidden="1">
      <c r="A1843" s="13" t="s">
        <v>3580</v>
      </c>
    </row>
    <row r="1844" spans="1:1" customFormat="1" hidden="1">
      <c r="A1844" s="13" t="s">
        <v>3581</v>
      </c>
    </row>
    <row r="1845" spans="1:1" customFormat="1" hidden="1">
      <c r="A1845" s="13" t="s">
        <v>3582</v>
      </c>
    </row>
    <row r="1846" spans="1:1" customFormat="1" hidden="1">
      <c r="A1846" s="13" t="s">
        <v>3583</v>
      </c>
    </row>
    <row r="1847" spans="1:1" customFormat="1" hidden="1">
      <c r="A1847" s="13" t="s">
        <v>3584</v>
      </c>
    </row>
    <row r="1848" spans="1:1" customFormat="1" hidden="1">
      <c r="A1848" s="13" t="s">
        <v>3585</v>
      </c>
    </row>
    <row r="1849" spans="1:1" customFormat="1" hidden="1">
      <c r="A1849" s="13" t="s">
        <v>3586</v>
      </c>
    </row>
    <row r="1850" spans="1:1" customFormat="1" hidden="1">
      <c r="A1850" s="13" t="s">
        <v>3587</v>
      </c>
    </row>
    <row r="1851" spans="1:1" customFormat="1" hidden="1">
      <c r="A1851" s="13" t="s">
        <v>3588</v>
      </c>
    </row>
    <row r="1852" spans="1:1" customFormat="1" hidden="1">
      <c r="A1852" s="13" t="s">
        <v>3589</v>
      </c>
    </row>
    <row r="1853" spans="1:1" customFormat="1" hidden="1">
      <c r="A1853" s="13" t="s">
        <v>3590</v>
      </c>
    </row>
    <row r="1854" spans="1:1" customFormat="1" hidden="1">
      <c r="A1854" s="13" t="s">
        <v>3591</v>
      </c>
    </row>
    <row r="1855" spans="1:1" customFormat="1" hidden="1">
      <c r="A1855" s="13" t="s">
        <v>3592</v>
      </c>
    </row>
    <row r="1856" spans="1:1" customFormat="1" hidden="1">
      <c r="A1856" s="13" t="s">
        <v>3593</v>
      </c>
    </row>
    <row r="1857" spans="1:1" customFormat="1" hidden="1">
      <c r="A1857" s="13" t="s">
        <v>3594</v>
      </c>
    </row>
    <row r="1858" spans="1:1" customFormat="1" hidden="1">
      <c r="A1858" s="13" t="s">
        <v>3595</v>
      </c>
    </row>
    <row r="1859" spans="1:1" customFormat="1" hidden="1">
      <c r="A1859" s="13" t="s">
        <v>3596</v>
      </c>
    </row>
    <row r="1860" spans="1:1" customFormat="1" hidden="1">
      <c r="A1860" s="13" t="s">
        <v>3597</v>
      </c>
    </row>
    <row r="1861" spans="1:1" customFormat="1" hidden="1">
      <c r="A1861" s="13" t="s">
        <v>3598</v>
      </c>
    </row>
    <row r="1862" spans="1:1" customFormat="1" hidden="1">
      <c r="A1862" s="13" t="s">
        <v>3599</v>
      </c>
    </row>
    <row r="1863" spans="1:1" customFormat="1" hidden="1">
      <c r="A1863" s="13" t="s">
        <v>3600</v>
      </c>
    </row>
    <row r="1864" spans="1:1" customFormat="1" hidden="1">
      <c r="A1864" s="13" t="s">
        <v>3601</v>
      </c>
    </row>
    <row r="1865" spans="1:1" customFormat="1" hidden="1">
      <c r="A1865" s="13" t="s">
        <v>3602</v>
      </c>
    </row>
    <row r="1866" spans="1:1" customFormat="1" hidden="1">
      <c r="A1866" s="13" t="s">
        <v>3603</v>
      </c>
    </row>
    <row r="1867" spans="1:1" customFormat="1" hidden="1">
      <c r="A1867" s="13" t="s">
        <v>3604</v>
      </c>
    </row>
    <row r="1868" spans="1:1" customFormat="1" hidden="1">
      <c r="A1868" s="13" t="s">
        <v>3605</v>
      </c>
    </row>
    <row r="1869" spans="1:1" customFormat="1" hidden="1">
      <c r="A1869" s="13" t="s">
        <v>3606</v>
      </c>
    </row>
    <row r="1870" spans="1:1" customFormat="1" hidden="1">
      <c r="A1870" s="13" t="s">
        <v>3607</v>
      </c>
    </row>
    <row r="1871" spans="1:1" customFormat="1" hidden="1">
      <c r="A1871" s="13" t="s">
        <v>3608</v>
      </c>
    </row>
    <row r="1872" spans="1:1" customFormat="1" hidden="1">
      <c r="A1872" s="13" t="s">
        <v>3609</v>
      </c>
    </row>
    <row r="1873" spans="1:1" customFormat="1" hidden="1">
      <c r="A1873" s="13" t="s">
        <v>3610</v>
      </c>
    </row>
    <row r="1874" spans="1:1" customFormat="1" hidden="1">
      <c r="A1874" s="13" t="s">
        <v>3611</v>
      </c>
    </row>
    <row r="1875" spans="1:1" customFormat="1" hidden="1">
      <c r="A1875" s="13" t="s">
        <v>3612</v>
      </c>
    </row>
    <row r="1876" spans="1:1" customFormat="1" hidden="1">
      <c r="A1876" s="13" t="s">
        <v>3613</v>
      </c>
    </row>
    <row r="1877" spans="1:1" customFormat="1" hidden="1">
      <c r="A1877" s="13" t="s">
        <v>3614</v>
      </c>
    </row>
    <row r="1878" spans="1:1" customFormat="1" hidden="1">
      <c r="A1878" s="13" t="s">
        <v>3615</v>
      </c>
    </row>
    <row r="1879" spans="1:1" customFormat="1" hidden="1">
      <c r="A1879" s="13" t="s">
        <v>3616</v>
      </c>
    </row>
    <row r="1880" spans="1:1" customFormat="1" hidden="1">
      <c r="A1880" s="13" t="s">
        <v>3617</v>
      </c>
    </row>
    <row r="1881" spans="1:1" customFormat="1" hidden="1">
      <c r="A1881" s="13" t="s">
        <v>3618</v>
      </c>
    </row>
    <row r="1882" spans="1:1" customFormat="1" hidden="1">
      <c r="A1882" s="13" t="s">
        <v>3619</v>
      </c>
    </row>
    <row r="1883" spans="1:1" customFormat="1" hidden="1">
      <c r="A1883" s="13" t="s">
        <v>3620</v>
      </c>
    </row>
    <row r="1884" spans="1:1" customFormat="1" hidden="1">
      <c r="A1884" s="13" t="s">
        <v>3621</v>
      </c>
    </row>
    <row r="1885" spans="1:1" customFormat="1" hidden="1">
      <c r="A1885" s="13" t="s">
        <v>3622</v>
      </c>
    </row>
    <row r="1886" spans="1:1" customFormat="1" hidden="1">
      <c r="A1886" s="13" t="s">
        <v>3623</v>
      </c>
    </row>
    <row r="1887" spans="1:1" customFormat="1" hidden="1">
      <c r="A1887" s="13" t="s">
        <v>3624</v>
      </c>
    </row>
    <row r="1888" spans="1:1" customFormat="1" hidden="1">
      <c r="A1888" s="13" t="s">
        <v>3625</v>
      </c>
    </row>
    <row r="1889" spans="1:1" customFormat="1" hidden="1">
      <c r="A1889" s="13" t="s">
        <v>3626</v>
      </c>
    </row>
    <row r="1890" spans="1:1" customFormat="1" hidden="1">
      <c r="A1890" s="13" t="s">
        <v>3627</v>
      </c>
    </row>
    <row r="1891" spans="1:1" customFormat="1" hidden="1">
      <c r="A1891" s="13" t="s">
        <v>3628</v>
      </c>
    </row>
    <row r="1892" spans="1:1" customFormat="1" hidden="1">
      <c r="A1892" s="13" t="s">
        <v>3629</v>
      </c>
    </row>
    <row r="1893" spans="1:1" customFormat="1" hidden="1">
      <c r="A1893" s="13" t="s">
        <v>3630</v>
      </c>
    </row>
    <row r="1894" spans="1:1" customFormat="1" hidden="1">
      <c r="A1894" s="13" t="s">
        <v>3631</v>
      </c>
    </row>
    <row r="1895" spans="1:1" customFormat="1" hidden="1">
      <c r="A1895" s="13" t="s">
        <v>3632</v>
      </c>
    </row>
    <row r="1896" spans="1:1" customFormat="1" hidden="1">
      <c r="A1896" s="13" t="s">
        <v>3633</v>
      </c>
    </row>
    <row r="1897" spans="1:1" customFormat="1" hidden="1">
      <c r="A1897" s="13" t="s">
        <v>3634</v>
      </c>
    </row>
    <row r="1898" spans="1:1" customFormat="1" hidden="1">
      <c r="A1898" s="13" t="s">
        <v>3635</v>
      </c>
    </row>
    <row r="1899" spans="1:1" customFormat="1" hidden="1">
      <c r="A1899" s="13" t="s">
        <v>3636</v>
      </c>
    </row>
    <row r="1900" spans="1:1" customFormat="1" hidden="1">
      <c r="A1900" s="13" t="s">
        <v>3637</v>
      </c>
    </row>
    <row r="1901" spans="1:1" customFormat="1" hidden="1">
      <c r="A1901" s="13" t="s">
        <v>3638</v>
      </c>
    </row>
    <row r="1902" spans="1:1" customFormat="1" hidden="1">
      <c r="A1902" s="13" t="s">
        <v>3639</v>
      </c>
    </row>
    <row r="1903" spans="1:1" customFormat="1" hidden="1">
      <c r="A1903" s="13" t="s">
        <v>3640</v>
      </c>
    </row>
    <row r="1904" spans="1:1" customFormat="1" hidden="1">
      <c r="A1904" s="13" t="s">
        <v>3641</v>
      </c>
    </row>
    <row r="1905" spans="1:1" customFormat="1" hidden="1">
      <c r="A1905" s="13" t="s">
        <v>3642</v>
      </c>
    </row>
    <row r="1906" spans="1:1" customFormat="1" hidden="1">
      <c r="A1906" s="13" t="s">
        <v>3643</v>
      </c>
    </row>
    <row r="1907" spans="1:1" customFormat="1" hidden="1">
      <c r="A1907" s="13" t="s">
        <v>3644</v>
      </c>
    </row>
    <row r="1908" spans="1:1" customFormat="1" hidden="1">
      <c r="A1908" s="13" t="s">
        <v>3645</v>
      </c>
    </row>
    <row r="1909" spans="1:1" customFormat="1" hidden="1">
      <c r="A1909" s="13" t="s">
        <v>3646</v>
      </c>
    </row>
    <row r="1910" spans="1:1" customFormat="1" hidden="1">
      <c r="A1910" s="13" t="s">
        <v>3647</v>
      </c>
    </row>
    <row r="1911" spans="1:1" customFormat="1" hidden="1">
      <c r="A1911" s="13" t="s">
        <v>3648</v>
      </c>
    </row>
    <row r="1912" spans="1:1" customFormat="1" hidden="1">
      <c r="A1912" s="13" t="s">
        <v>3649</v>
      </c>
    </row>
    <row r="1913" spans="1:1" customFormat="1" hidden="1">
      <c r="A1913" s="13" t="s">
        <v>3650</v>
      </c>
    </row>
    <row r="1914" spans="1:1" customFormat="1" hidden="1">
      <c r="A1914" s="13" t="s">
        <v>3651</v>
      </c>
    </row>
    <row r="1915" spans="1:1" customFormat="1" hidden="1">
      <c r="A1915" s="13" t="s">
        <v>3652</v>
      </c>
    </row>
    <row r="1916" spans="1:1" customFormat="1" hidden="1">
      <c r="A1916" s="13" t="s">
        <v>3653</v>
      </c>
    </row>
    <row r="1917" spans="1:1" customFormat="1" hidden="1">
      <c r="A1917" s="13" t="s">
        <v>3654</v>
      </c>
    </row>
    <row r="1918" spans="1:1" customFormat="1" hidden="1">
      <c r="A1918" s="13" t="s">
        <v>3655</v>
      </c>
    </row>
    <row r="1919" spans="1:1" customFormat="1" hidden="1">
      <c r="A1919" s="13" t="s">
        <v>3656</v>
      </c>
    </row>
    <row r="1920" spans="1:1" customFormat="1" hidden="1">
      <c r="A1920" s="13" t="s">
        <v>3657</v>
      </c>
    </row>
    <row r="1921" spans="1:1" customFormat="1" hidden="1">
      <c r="A1921" s="13" t="s">
        <v>3658</v>
      </c>
    </row>
    <row r="1922" spans="1:1" customFormat="1" hidden="1">
      <c r="A1922" s="13" t="s">
        <v>3659</v>
      </c>
    </row>
    <row r="1923" spans="1:1" customFormat="1" hidden="1">
      <c r="A1923" s="13" t="s">
        <v>3660</v>
      </c>
    </row>
    <row r="1924" spans="1:1" customFormat="1" hidden="1">
      <c r="A1924" s="13" t="s">
        <v>3661</v>
      </c>
    </row>
    <row r="1925" spans="1:1" customFormat="1" hidden="1">
      <c r="A1925" s="13" t="s">
        <v>3662</v>
      </c>
    </row>
    <row r="1926" spans="1:1" customFormat="1" hidden="1">
      <c r="A1926" s="13" t="s">
        <v>3663</v>
      </c>
    </row>
    <row r="1927" spans="1:1" customFormat="1" hidden="1">
      <c r="A1927" s="13" t="s">
        <v>3664</v>
      </c>
    </row>
    <row r="1928" spans="1:1" customFormat="1" hidden="1">
      <c r="A1928" s="13" t="s">
        <v>3665</v>
      </c>
    </row>
    <row r="1929" spans="1:1" customFormat="1" hidden="1">
      <c r="A1929" s="13" t="s">
        <v>3666</v>
      </c>
    </row>
    <row r="1930" spans="1:1" customFormat="1" hidden="1">
      <c r="A1930" s="13" t="s">
        <v>3667</v>
      </c>
    </row>
    <row r="1931" spans="1:1" customFormat="1" hidden="1">
      <c r="A1931" s="13" t="s">
        <v>3668</v>
      </c>
    </row>
    <row r="1932" spans="1:1" customFormat="1" hidden="1">
      <c r="A1932" s="13" t="s">
        <v>3669</v>
      </c>
    </row>
    <row r="1933" spans="1:1" customFormat="1" hidden="1">
      <c r="A1933" s="13"/>
    </row>
    <row r="1934" spans="1:1" customFormat="1" hidden="1">
      <c r="A1934" s="13" t="s">
        <v>3670</v>
      </c>
    </row>
    <row r="1935" spans="1:1" customFormat="1" hidden="1">
      <c r="A1935" s="13" t="s">
        <v>6970</v>
      </c>
    </row>
    <row r="1936" spans="1:1" customFormat="1" hidden="1">
      <c r="A1936" s="13" t="s">
        <v>6971</v>
      </c>
    </row>
    <row r="1937" spans="1:1" customFormat="1" hidden="1">
      <c r="A1937" s="13" t="s">
        <v>6972</v>
      </c>
    </row>
    <row r="1938" spans="1:1" customFormat="1" hidden="1">
      <c r="A1938" s="13" t="s">
        <v>6973</v>
      </c>
    </row>
    <row r="1939" spans="1:1" customFormat="1" hidden="1">
      <c r="A1939" s="13" t="s">
        <v>6974</v>
      </c>
    </row>
    <row r="1940" spans="1:1" customFormat="1" hidden="1">
      <c r="A1940" s="13" t="s">
        <v>6975</v>
      </c>
    </row>
    <row r="1941" spans="1:1" customFormat="1" hidden="1">
      <c r="A1941" s="13" t="s">
        <v>6976</v>
      </c>
    </row>
    <row r="1942" spans="1:1" customFormat="1" hidden="1">
      <c r="A1942" s="13" t="s">
        <v>6977</v>
      </c>
    </row>
    <row r="1943" spans="1:1" customFormat="1" hidden="1">
      <c r="A1943" s="13" t="s">
        <v>6978</v>
      </c>
    </row>
    <row r="1944" spans="1:1" customFormat="1" hidden="1">
      <c r="A1944" s="13" t="s">
        <v>6979</v>
      </c>
    </row>
    <row r="1945" spans="1:1" customFormat="1" hidden="1">
      <c r="A1945" s="13" t="s">
        <v>6980</v>
      </c>
    </row>
    <row r="1946" spans="1:1" customFormat="1" hidden="1">
      <c r="A1946" s="13" t="s">
        <v>6981</v>
      </c>
    </row>
    <row r="1947" spans="1:1" customFormat="1" hidden="1">
      <c r="A1947" s="13" t="s">
        <v>6982</v>
      </c>
    </row>
    <row r="1948" spans="1:1" customFormat="1" hidden="1">
      <c r="A1948" s="13" t="s">
        <v>6983</v>
      </c>
    </row>
    <row r="1949" spans="1:1" customFormat="1" hidden="1">
      <c r="A1949" s="13" t="s">
        <v>6984</v>
      </c>
    </row>
    <row r="1950" spans="1:1" customFormat="1" hidden="1">
      <c r="A1950" s="13" t="s">
        <v>6985</v>
      </c>
    </row>
    <row r="1951" spans="1:1" customFormat="1" hidden="1">
      <c r="A1951" s="13" t="s">
        <v>6986</v>
      </c>
    </row>
    <row r="1952" spans="1:1" customFormat="1" hidden="1">
      <c r="A1952" s="13" t="s">
        <v>6987</v>
      </c>
    </row>
    <row r="1953" spans="1:1" customFormat="1" hidden="1">
      <c r="A1953" s="13" t="s">
        <v>6988</v>
      </c>
    </row>
    <row r="1954" spans="1:1" customFormat="1" hidden="1">
      <c r="A1954" s="13" t="s">
        <v>6989</v>
      </c>
    </row>
    <row r="1955" spans="1:1" customFormat="1" hidden="1">
      <c r="A1955" s="13" t="s">
        <v>6990</v>
      </c>
    </row>
    <row r="1956" spans="1:1" customFormat="1" hidden="1">
      <c r="A1956" s="13" t="s">
        <v>6991</v>
      </c>
    </row>
    <row r="1957" spans="1:1" customFormat="1" hidden="1">
      <c r="A1957" s="13" t="s">
        <v>6992</v>
      </c>
    </row>
    <row r="1958" spans="1:1" customFormat="1" hidden="1">
      <c r="A1958" s="13" t="s">
        <v>6993</v>
      </c>
    </row>
    <row r="1959" spans="1:1" customFormat="1" hidden="1">
      <c r="A1959" s="13" t="s">
        <v>6994</v>
      </c>
    </row>
    <row r="1960" spans="1:1" customFormat="1" hidden="1">
      <c r="A1960" s="13" t="s">
        <v>6995</v>
      </c>
    </row>
    <row r="1961" spans="1:1" customFormat="1" hidden="1">
      <c r="A1961" s="13" t="s">
        <v>6996</v>
      </c>
    </row>
    <row r="1962" spans="1:1" customFormat="1" hidden="1">
      <c r="A1962" s="13" t="s">
        <v>6997</v>
      </c>
    </row>
    <row r="1963" spans="1:1" customFormat="1" hidden="1">
      <c r="A1963" s="13" t="s">
        <v>6998</v>
      </c>
    </row>
    <row r="1964" spans="1:1" customFormat="1" hidden="1">
      <c r="A1964" s="13" t="s">
        <v>6999</v>
      </c>
    </row>
    <row r="1965" spans="1:1" customFormat="1" hidden="1">
      <c r="A1965" s="13" t="s">
        <v>7000</v>
      </c>
    </row>
    <row r="1966" spans="1:1" customFormat="1" hidden="1">
      <c r="A1966" s="13" t="s">
        <v>7001</v>
      </c>
    </row>
    <row r="1967" spans="1:1" customFormat="1" hidden="1">
      <c r="A1967" s="13" t="s">
        <v>7002</v>
      </c>
    </row>
    <row r="1968" spans="1:1" customFormat="1" hidden="1">
      <c r="A1968" s="13" t="s">
        <v>7003</v>
      </c>
    </row>
    <row r="1969" spans="1:1" customFormat="1" hidden="1">
      <c r="A1969" s="13" t="s">
        <v>7004</v>
      </c>
    </row>
    <row r="1970" spans="1:1" customFormat="1" hidden="1">
      <c r="A1970" s="13" t="s">
        <v>7005</v>
      </c>
    </row>
    <row r="1971" spans="1:1" customFormat="1" hidden="1">
      <c r="A1971" s="13" t="s">
        <v>7006</v>
      </c>
    </row>
    <row r="1972" spans="1:1" customFormat="1" hidden="1">
      <c r="A1972" s="13" t="s">
        <v>7007</v>
      </c>
    </row>
    <row r="1973" spans="1:1" customFormat="1" hidden="1">
      <c r="A1973" s="13" t="s">
        <v>7008</v>
      </c>
    </row>
    <row r="1974" spans="1:1" customFormat="1" hidden="1">
      <c r="A1974" s="13" t="s">
        <v>7009</v>
      </c>
    </row>
    <row r="1975" spans="1:1" customFormat="1" hidden="1">
      <c r="A1975" s="13" t="s">
        <v>7010</v>
      </c>
    </row>
    <row r="1976" spans="1:1" customFormat="1" hidden="1">
      <c r="A1976" s="13" t="s">
        <v>7011</v>
      </c>
    </row>
    <row r="1977" spans="1:1" customFormat="1" hidden="1">
      <c r="A1977" s="13" t="s">
        <v>7012</v>
      </c>
    </row>
    <row r="1978" spans="1:1" customFormat="1" hidden="1">
      <c r="A1978" s="13" t="s">
        <v>7013</v>
      </c>
    </row>
    <row r="1979" spans="1:1" customFormat="1" hidden="1">
      <c r="A1979" s="13" t="s">
        <v>7014</v>
      </c>
    </row>
    <row r="1980" spans="1:1" customFormat="1" hidden="1">
      <c r="A1980" s="13" t="s">
        <v>7015</v>
      </c>
    </row>
    <row r="1981" spans="1:1" customFormat="1" hidden="1">
      <c r="A1981" s="13" t="s">
        <v>7016</v>
      </c>
    </row>
    <row r="1982" spans="1:1" customFormat="1" hidden="1">
      <c r="A1982" s="13" t="s">
        <v>7017</v>
      </c>
    </row>
    <row r="1983" spans="1:1" customFormat="1" hidden="1">
      <c r="A1983" s="13" t="s">
        <v>7018</v>
      </c>
    </row>
    <row r="1984" spans="1:1" customFormat="1" hidden="1">
      <c r="A1984" s="13" t="s">
        <v>7019</v>
      </c>
    </row>
    <row r="1985" spans="1:1" customFormat="1" hidden="1">
      <c r="A1985" s="13" t="s">
        <v>7020</v>
      </c>
    </row>
    <row r="1986" spans="1:1" customFormat="1" hidden="1">
      <c r="A1986" s="13" t="s">
        <v>7021</v>
      </c>
    </row>
    <row r="1987" spans="1:1" customFormat="1" hidden="1">
      <c r="A1987" s="13" t="s">
        <v>7022</v>
      </c>
    </row>
    <row r="1988" spans="1:1" customFormat="1" hidden="1">
      <c r="A1988" s="13" t="s">
        <v>7023</v>
      </c>
    </row>
    <row r="1989" spans="1:1" customFormat="1" hidden="1">
      <c r="A1989" s="13" t="s">
        <v>7024</v>
      </c>
    </row>
    <row r="1990" spans="1:1" customFormat="1" hidden="1">
      <c r="A1990" s="13" t="s">
        <v>7025</v>
      </c>
    </row>
    <row r="1991" spans="1:1" customFormat="1" hidden="1">
      <c r="A1991" s="13" t="s">
        <v>7026</v>
      </c>
    </row>
    <row r="1992" spans="1:1" customFormat="1" hidden="1">
      <c r="A1992" s="13" t="s">
        <v>7027</v>
      </c>
    </row>
    <row r="1993" spans="1:1" customFormat="1" hidden="1">
      <c r="A1993" s="13" t="s">
        <v>7028</v>
      </c>
    </row>
    <row r="1994" spans="1:1" customFormat="1" hidden="1">
      <c r="A1994" s="13" t="s">
        <v>7029</v>
      </c>
    </row>
    <row r="1995" spans="1:1" customFormat="1" hidden="1">
      <c r="A1995" s="13" t="s">
        <v>7030</v>
      </c>
    </row>
    <row r="1996" spans="1:1" customFormat="1" hidden="1">
      <c r="A1996" s="13" t="s">
        <v>7031</v>
      </c>
    </row>
    <row r="1997" spans="1:1" customFormat="1" hidden="1">
      <c r="A1997" s="13" t="s">
        <v>7032</v>
      </c>
    </row>
    <row r="1998" spans="1:1" customFormat="1" hidden="1">
      <c r="A1998" s="13" t="s">
        <v>7033</v>
      </c>
    </row>
    <row r="1999" spans="1:1" customFormat="1" hidden="1">
      <c r="A1999" s="13" t="s">
        <v>7034</v>
      </c>
    </row>
    <row r="2000" spans="1:1" customFormat="1" hidden="1">
      <c r="A2000" s="13" t="s">
        <v>7035</v>
      </c>
    </row>
    <row r="2001" spans="1:1" customFormat="1" hidden="1">
      <c r="A2001" s="13" t="s">
        <v>7036</v>
      </c>
    </row>
    <row r="2002" spans="1:1" customFormat="1" hidden="1">
      <c r="A2002" s="13" t="s">
        <v>7037</v>
      </c>
    </row>
    <row r="2003" spans="1:1" customFormat="1" hidden="1">
      <c r="A2003" s="13" t="s">
        <v>7038</v>
      </c>
    </row>
    <row r="2004" spans="1:1" customFormat="1" hidden="1">
      <c r="A2004" s="13" t="s">
        <v>7039</v>
      </c>
    </row>
    <row r="2005" spans="1:1" customFormat="1" hidden="1">
      <c r="A2005" s="13" t="s">
        <v>7040</v>
      </c>
    </row>
    <row r="2006" spans="1:1" customFormat="1" hidden="1">
      <c r="A2006" s="13" t="s">
        <v>7041</v>
      </c>
    </row>
    <row r="2007" spans="1:1" customFormat="1" hidden="1">
      <c r="A2007" s="13" t="s">
        <v>7042</v>
      </c>
    </row>
    <row r="2008" spans="1:1" customFormat="1" hidden="1">
      <c r="A2008" s="13" t="s">
        <v>7043</v>
      </c>
    </row>
    <row r="2009" spans="1:1" customFormat="1" hidden="1">
      <c r="A2009" s="13" t="s">
        <v>7044</v>
      </c>
    </row>
    <row r="2010" spans="1:1" customFormat="1" hidden="1">
      <c r="A2010" s="13" t="s">
        <v>7045</v>
      </c>
    </row>
    <row r="2011" spans="1:1" customFormat="1" hidden="1">
      <c r="A2011" s="13" t="s">
        <v>7046</v>
      </c>
    </row>
    <row r="2012" spans="1:1" customFormat="1" hidden="1">
      <c r="A2012" s="13" t="s">
        <v>7047</v>
      </c>
    </row>
    <row r="2013" spans="1:1" customFormat="1" hidden="1">
      <c r="A2013" s="13" t="s">
        <v>7048</v>
      </c>
    </row>
    <row r="2014" spans="1:1" customFormat="1" hidden="1">
      <c r="A2014" s="13" t="s">
        <v>7049</v>
      </c>
    </row>
    <row r="2015" spans="1:1" customFormat="1" hidden="1">
      <c r="A2015" s="13" t="s">
        <v>7050</v>
      </c>
    </row>
    <row r="2016" spans="1:1" customFormat="1" hidden="1">
      <c r="A2016" s="13" t="s">
        <v>7051</v>
      </c>
    </row>
    <row r="2017" spans="1:1" customFormat="1" hidden="1">
      <c r="A2017" s="13" t="s">
        <v>7052</v>
      </c>
    </row>
    <row r="2018" spans="1:1" customFormat="1" hidden="1">
      <c r="A2018" s="13" t="s">
        <v>7053</v>
      </c>
    </row>
    <row r="2019" spans="1:1" customFormat="1" hidden="1">
      <c r="A2019" s="13" t="s">
        <v>7054</v>
      </c>
    </row>
    <row r="2020" spans="1:1" customFormat="1" hidden="1">
      <c r="A2020" s="13" t="s">
        <v>7055</v>
      </c>
    </row>
    <row r="2021" spans="1:1" customFormat="1" hidden="1">
      <c r="A2021" s="13" t="s">
        <v>7056</v>
      </c>
    </row>
    <row r="2022" spans="1:1" customFormat="1" hidden="1">
      <c r="A2022" s="13" t="s">
        <v>7057</v>
      </c>
    </row>
    <row r="2023" spans="1:1" customFormat="1" hidden="1">
      <c r="A2023" s="13" t="s">
        <v>3759</v>
      </c>
    </row>
    <row r="2024" spans="1:1" customFormat="1" hidden="1">
      <c r="A2024" s="13" t="s">
        <v>3760</v>
      </c>
    </row>
    <row r="2025" spans="1:1" customFormat="1" hidden="1">
      <c r="A2025" s="13" t="s">
        <v>3761</v>
      </c>
    </row>
    <row r="2026" spans="1:1" customFormat="1" hidden="1">
      <c r="A2026" s="13" t="s">
        <v>3762</v>
      </c>
    </row>
    <row r="2027" spans="1:1" customFormat="1" hidden="1">
      <c r="A2027" s="13" t="s">
        <v>3763</v>
      </c>
    </row>
    <row r="2028" spans="1:1" customFormat="1" hidden="1">
      <c r="A2028" s="13" t="s">
        <v>3764</v>
      </c>
    </row>
    <row r="2029" spans="1:1" customFormat="1" hidden="1">
      <c r="A2029" s="13" t="s">
        <v>3765</v>
      </c>
    </row>
    <row r="2030" spans="1:1" customFormat="1" hidden="1">
      <c r="A2030" s="13" t="s">
        <v>3766</v>
      </c>
    </row>
    <row r="2031" spans="1:1" customFormat="1" hidden="1">
      <c r="A2031" s="13" t="s">
        <v>3767</v>
      </c>
    </row>
    <row r="2032" spans="1:1" customFormat="1" hidden="1">
      <c r="A2032" s="13" t="s">
        <v>3768</v>
      </c>
    </row>
    <row r="2033" spans="1:1" customFormat="1" hidden="1">
      <c r="A2033" s="13" t="s">
        <v>3769</v>
      </c>
    </row>
    <row r="2034" spans="1:1" customFormat="1" hidden="1">
      <c r="A2034" s="13" t="s">
        <v>3770</v>
      </c>
    </row>
    <row r="2035" spans="1:1" customFormat="1" hidden="1">
      <c r="A2035" s="13" t="s">
        <v>3771</v>
      </c>
    </row>
    <row r="2036" spans="1:1" customFormat="1" hidden="1">
      <c r="A2036" s="13" t="s">
        <v>3772</v>
      </c>
    </row>
    <row r="2037" spans="1:1" customFormat="1" hidden="1">
      <c r="A2037" s="13" t="s">
        <v>3773</v>
      </c>
    </row>
    <row r="2038" spans="1:1" customFormat="1" hidden="1">
      <c r="A2038" s="13" t="s">
        <v>3774</v>
      </c>
    </row>
    <row r="2039" spans="1:1" customFormat="1" hidden="1">
      <c r="A2039" s="13" t="s">
        <v>3775</v>
      </c>
    </row>
    <row r="2040" spans="1:1" customFormat="1" hidden="1">
      <c r="A2040" s="13" t="s">
        <v>3776</v>
      </c>
    </row>
    <row r="2041" spans="1:1" customFormat="1" hidden="1">
      <c r="A2041" s="13" t="s">
        <v>3777</v>
      </c>
    </row>
    <row r="2042" spans="1:1" customFormat="1" hidden="1">
      <c r="A2042" s="13" t="s">
        <v>3778</v>
      </c>
    </row>
    <row r="2043" spans="1:1" customFormat="1" hidden="1">
      <c r="A2043" s="13" t="s">
        <v>3779</v>
      </c>
    </row>
    <row r="2044" spans="1:1" customFormat="1" hidden="1">
      <c r="A2044" s="13" t="s">
        <v>3780</v>
      </c>
    </row>
    <row r="2045" spans="1:1" customFormat="1" hidden="1">
      <c r="A2045" s="13" t="s">
        <v>3781</v>
      </c>
    </row>
    <row r="2046" spans="1:1" customFormat="1" hidden="1">
      <c r="A2046" s="13" t="s">
        <v>3782</v>
      </c>
    </row>
    <row r="2047" spans="1:1" customFormat="1" hidden="1">
      <c r="A2047" s="13" t="s">
        <v>3783</v>
      </c>
    </row>
    <row r="2048" spans="1:1" customFormat="1" hidden="1">
      <c r="A2048" s="13" t="s">
        <v>3784</v>
      </c>
    </row>
    <row r="2049" spans="1:1" customFormat="1" hidden="1">
      <c r="A2049" s="13" t="s">
        <v>3785</v>
      </c>
    </row>
    <row r="2050" spans="1:1" customFormat="1" hidden="1">
      <c r="A2050" s="13" t="s">
        <v>3786</v>
      </c>
    </row>
    <row r="2051" spans="1:1" customFormat="1" hidden="1">
      <c r="A2051" s="13" t="s">
        <v>3787</v>
      </c>
    </row>
    <row r="2052" spans="1:1" customFormat="1" hidden="1">
      <c r="A2052" s="13" t="s">
        <v>3788</v>
      </c>
    </row>
    <row r="2053" spans="1:1" customFormat="1" hidden="1">
      <c r="A2053" s="13" t="s">
        <v>3789</v>
      </c>
    </row>
    <row r="2054" spans="1:1" customFormat="1" hidden="1">
      <c r="A2054" s="13" t="s">
        <v>3790</v>
      </c>
    </row>
    <row r="2055" spans="1:1" customFormat="1" hidden="1">
      <c r="A2055" s="13" t="s">
        <v>3791</v>
      </c>
    </row>
    <row r="2056" spans="1:1" customFormat="1" hidden="1">
      <c r="A2056" s="13" t="s">
        <v>3792</v>
      </c>
    </row>
    <row r="2057" spans="1:1" customFormat="1" hidden="1">
      <c r="A2057" s="13" t="s">
        <v>3793</v>
      </c>
    </row>
    <row r="2058" spans="1:1" customFormat="1" hidden="1">
      <c r="A2058" s="13" t="s">
        <v>3794</v>
      </c>
    </row>
    <row r="2059" spans="1:1" customFormat="1" hidden="1">
      <c r="A2059" s="13" t="s">
        <v>3795</v>
      </c>
    </row>
    <row r="2060" spans="1:1" customFormat="1" hidden="1">
      <c r="A2060" s="13" t="s">
        <v>3796</v>
      </c>
    </row>
    <row r="2061" spans="1:1" customFormat="1" hidden="1">
      <c r="A2061" s="13" t="s">
        <v>3797</v>
      </c>
    </row>
    <row r="2062" spans="1:1" customFormat="1" hidden="1">
      <c r="A2062" s="13" t="s">
        <v>3798</v>
      </c>
    </row>
    <row r="2063" spans="1:1" customFormat="1" hidden="1">
      <c r="A2063" s="13" t="s">
        <v>3799</v>
      </c>
    </row>
    <row r="2064" spans="1:1" customFormat="1" hidden="1">
      <c r="A2064" s="13" t="s">
        <v>3800</v>
      </c>
    </row>
    <row r="2065" spans="1:1" customFormat="1" hidden="1">
      <c r="A2065" s="13" t="s">
        <v>3801</v>
      </c>
    </row>
    <row r="2066" spans="1:1" customFormat="1" hidden="1">
      <c r="A2066" s="13" t="s">
        <v>3802</v>
      </c>
    </row>
    <row r="2067" spans="1:1" customFormat="1" hidden="1">
      <c r="A2067" s="13" t="s">
        <v>3803</v>
      </c>
    </row>
    <row r="2068" spans="1:1" customFormat="1" hidden="1">
      <c r="A2068" s="13" t="s">
        <v>3804</v>
      </c>
    </row>
    <row r="2069" spans="1:1" customFormat="1" hidden="1">
      <c r="A2069" s="13" t="s">
        <v>3805</v>
      </c>
    </row>
    <row r="2070" spans="1:1" customFormat="1" hidden="1">
      <c r="A2070" s="13" t="s">
        <v>3806</v>
      </c>
    </row>
    <row r="2071" spans="1:1" customFormat="1" hidden="1">
      <c r="A2071" s="13" t="s">
        <v>3807</v>
      </c>
    </row>
    <row r="2072" spans="1:1" customFormat="1" hidden="1">
      <c r="A2072" s="13" t="s">
        <v>3808</v>
      </c>
    </row>
    <row r="2073" spans="1:1" customFormat="1" hidden="1">
      <c r="A2073" s="13" t="s">
        <v>3809</v>
      </c>
    </row>
    <row r="2074" spans="1:1" customFormat="1" hidden="1">
      <c r="A2074" s="13" t="s">
        <v>3810</v>
      </c>
    </row>
    <row r="2075" spans="1:1" customFormat="1" hidden="1">
      <c r="A2075" s="13" t="s">
        <v>3811</v>
      </c>
    </row>
    <row r="2076" spans="1:1" customFormat="1" hidden="1">
      <c r="A2076" s="13" t="s">
        <v>3812</v>
      </c>
    </row>
    <row r="2077" spans="1:1" customFormat="1" hidden="1">
      <c r="A2077" s="13" t="s">
        <v>3813</v>
      </c>
    </row>
    <row r="2078" spans="1:1" customFormat="1" hidden="1">
      <c r="A2078" s="13" t="s">
        <v>3814</v>
      </c>
    </row>
    <row r="2079" spans="1:1" customFormat="1" hidden="1">
      <c r="A2079" s="13" t="s">
        <v>3815</v>
      </c>
    </row>
    <row r="2080" spans="1:1" customFormat="1" hidden="1">
      <c r="A2080" s="13" t="s">
        <v>3816</v>
      </c>
    </row>
    <row r="2081" spans="1:1" customFormat="1" hidden="1">
      <c r="A2081" s="13" t="s">
        <v>3817</v>
      </c>
    </row>
    <row r="2082" spans="1:1" customFormat="1" hidden="1">
      <c r="A2082" s="13" t="s">
        <v>3818</v>
      </c>
    </row>
    <row r="2083" spans="1:1" customFormat="1" hidden="1">
      <c r="A2083" s="13" t="s">
        <v>3819</v>
      </c>
    </row>
    <row r="2084" spans="1:1" customFormat="1" hidden="1">
      <c r="A2084" s="13" t="s">
        <v>3820</v>
      </c>
    </row>
    <row r="2085" spans="1:1" customFormat="1" hidden="1">
      <c r="A2085" s="13" t="s">
        <v>3821</v>
      </c>
    </row>
    <row r="2086" spans="1:1" customFormat="1" hidden="1">
      <c r="A2086" s="13" t="s">
        <v>3822</v>
      </c>
    </row>
    <row r="2087" spans="1:1" customFormat="1" hidden="1">
      <c r="A2087" s="13" t="s">
        <v>3823</v>
      </c>
    </row>
    <row r="2088" spans="1:1" customFormat="1" hidden="1">
      <c r="A2088" s="13" t="s">
        <v>3824</v>
      </c>
    </row>
    <row r="2089" spans="1:1" customFormat="1" hidden="1">
      <c r="A2089" s="13" t="s">
        <v>3825</v>
      </c>
    </row>
    <row r="2090" spans="1:1" customFormat="1" hidden="1">
      <c r="A2090" s="13" t="s">
        <v>3826</v>
      </c>
    </row>
    <row r="2091" spans="1:1" customFormat="1" hidden="1">
      <c r="A2091" s="13" t="s">
        <v>3827</v>
      </c>
    </row>
    <row r="2092" spans="1:1" customFormat="1" hidden="1">
      <c r="A2092" s="13" t="s">
        <v>3828</v>
      </c>
    </row>
    <row r="2093" spans="1:1" customFormat="1" hidden="1">
      <c r="A2093" s="13" t="s">
        <v>3829</v>
      </c>
    </row>
    <row r="2094" spans="1:1" customFormat="1" hidden="1">
      <c r="A2094" s="13" t="s">
        <v>3830</v>
      </c>
    </row>
    <row r="2095" spans="1:1" customFormat="1" hidden="1">
      <c r="A2095" s="13" t="s">
        <v>3831</v>
      </c>
    </row>
    <row r="2096" spans="1:1" customFormat="1" hidden="1">
      <c r="A2096" s="13" t="s">
        <v>3832</v>
      </c>
    </row>
    <row r="2097" spans="1:1" customFormat="1" hidden="1">
      <c r="A2097" s="13" t="s">
        <v>3833</v>
      </c>
    </row>
    <row r="2098" spans="1:1" customFormat="1" hidden="1">
      <c r="A2098" s="13" t="s">
        <v>3834</v>
      </c>
    </row>
    <row r="2099" spans="1:1" customFormat="1" hidden="1">
      <c r="A2099" s="13" t="s">
        <v>3835</v>
      </c>
    </row>
    <row r="2100" spans="1:1" customFormat="1" hidden="1">
      <c r="A2100" s="13" t="s">
        <v>3836</v>
      </c>
    </row>
    <row r="2101" spans="1:1" customFormat="1" hidden="1">
      <c r="A2101" s="13" t="s">
        <v>3837</v>
      </c>
    </row>
    <row r="2102" spans="1:1" customFormat="1" hidden="1">
      <c r="A2102" s="13" t="s">
        <v>3838</v>
      </c>
    </row>
    <row r="2103" spans="1:1" customFormat="1" hidden="1">
      <c r="A2103" s="13" t="s">
        <v>3839</v>
      </c>
    </row>
    <row r="2104" spans="1:1" customFormat="1" hidden="1">
      <c r="A2104" s="13" t="s">
        <v>3840</v>
      </c>
    </row>
    <row r="2105" spans="1:1" customFormat="1" hidden="1">
      <c r="A2105" s="13" t="s">
        <v>3841</v>
      </c>
    </row>
    <row r="2106" spans="1:1" customFormat="1" hidden="1">
      <c r="A2106" s="13" t="s">
        <v>3842</v>
      </c>
    </row>
    <row r="2107" spans="1:1" customFormat="1" hidden="1">
      <c r="A2107" s="13" t="s">
        <v>3843</v>
      </c>
    </row>
    <row r="2108" spans="1:1" customFormat="1" hidden="1">
      <c r="A2108" s="13" t="s">
        <v>3844</v>
      </c>
    </row>
    <row r="2109" spans="1:1" customFormat="1" hidden="1">
      <c r="A2109" s="13" t="s">
        <v>3845</v>
      </c>
    </row>
    <row r="2110" spans="1:1" customFormat="1" hidden="1">
      <c r="A2110" s="13" t="s">
        <v>3846</v>
      </c>
    </row>
    <row r="2111" spans="1:1" customFormat="1" hidden="1">
      <c r="A2111" s="13" t="s">
        <v>3847</v>
      </c>
    </row>
    <row r="2112" spans="1:1" customFormat="1" hidden="1">
      <c r="A2112" s="13" t="s">
        <v>3848</v>
      </c>
    </row>
    <row r="2113" spans="1:1" customFormat="1" hidden="1">
      <c r="A2113" s="13" t="s">
        <v>3849</v>
      </c>
    </row>
    <row r="2114" spans="1:1" customFormat="1" hidden="1">
      <c r="A2114" s="13" t="s">
        <v>3850</v>
      </c>
    </row>
    <row r="2115" spans="1:1" customFormat="1" hidden="1">
      <c r="A2115" s="13" t="s">
        <v>3851</v>
      </c>
    </row>
    <row r="2116" spans="1:1" customFormat="1" hidden="1">
      <c r="A2116" s="13" t="s">
        <v>3852</v>
      </c>
    </row>
    <row r="2117" spans="1:1" customFormat="1" hidden="1">
      <c r="A2117" s="13" t="s">
        <v>3853</v>
      </c>
    </row>
    <row r="2118" spans="1:1" customFormat="1" hidden="1">
      <c r="A2118" s="13" t="s">
        <v>3854</v>
      </c>
    </row>
    <row r="2119" spans="1:1" customFormat="1" hidden="1">
      <c r="A2119" s="13" t="s">
        <v>3855</v>
      </c>
    </row>
    <row r="2120" spans="1:1" customFormat="1" hidden="1">
      <c r="A2120" s="13" t="s">
        <v>3856</v>
      </c>
    </row>
    <row r="2121" spans="1:1" customFormat="1" hidden="1">
      <c r="A2121" s="13" t="s">
        <v>3857</v>
      </c>
    </row>
    <row r="2122" spans="1:1" customFormat="1" hidden="1">
      <c r="A2122" s="13" t="s">
        <v>3858</v>
      </c>
    </row>
    <row r="2123" spans="1:1" customFormat="1" hidden="1">
      <c r="A2123" s="13" t="s">
        <v>3859</v>
      </c>
    </row>
    <row r="2124" spans="1:1" customFormat="1" hidden="1">
      <c r="A2124" s="13" t="s">
        <v>3860</v>
      </c>
    </row>
    <row r="2125" spans="1:1" customFormat="1" hidden="1">
      <c r="A2125" s="13" t="s">
        <v>3861</v>
      </c>
    </row>
    <row r="2126" spans="1:1" customFormat="1" hidden="1">
      <c r="A2126" s="13" t="s">
        <v>3862</v>
      </c>
    </row>
    <row r="2127" spans="1:1" customFormat="1" hidden="1">
      <c r="A2127" s="13"/>
    </row>
    <row r="2128" spans="1:1" customFormat="1" hidden="1">
      <c r="A2128" s="13"/>
    </row>
    <row r="2129" spans="1:1" customFormat="1" hidden="1">
      <c r="A2129" s="13" t="s">
        <v>1950</v>
      </c>
    </row>
    <row r="2130" spans="1:1" customFormat="1" hidden="1">
      <c r="A2130" s="13" t="s">
        <v>3863</v>
      </c>
    </row>
    <row r="2131" spans="1:1" customFormat="1" hidden="1">
      <c r="A2131" s="13" t="s">
        <v>1950</v>
      </c>
    </row>
    <row r="2132" spans="1:1" customFormat="1" hidden="1">
      <c r="A2132" s="13" t="s">
        <v>3864</v>
      </c>
    </row>
    <row r="2133" spans="1:1" customFormat="1" hidden="1">
      <c r="A2133" s="13" t="s">
        <v>3865</v>
      </c>
    </row>
    <row r="2134" spans="1:1" customFormat="1" hidden="1">
      <c r="A2134" s="13" t="s">
        <v>3866</v>
      </c>
    </row>
    <row r="2135" spans="1:1" customFormat="1" hidden="1">
      <c r="A2135" s="13" t="s">
        <v>3867</v>
      </c>
    </row>
    <row r="2136" spans="1:1" customFormat="1" hidden="1">
      <c r="A2136" s="13" t="s">
        <v>3868</v>
      </c>
    </row>
    <row r="2137" spans="1:1" customFormat="1" hidden="1">
      <c r="A2137" s="13" t="s">
        <v>3869</v>
      </c>
    </row>
    <row r="2138" spans="1:1" customFormat="1" hidden="1">
      <c r="A2138" s="13" t="s">
        <v>3870</v>
      </c>
    </row>
    <row r="2139" spans="1:1" customFormat="1" hidden="1">
      <c r="A2139" s="13" t="s">
        <v>3871</v>
      </c>
    </row>
    <row r="2140" spans="1:1" customFormat="1" hidden="1">
      <c r="A2140" s="13" t="s">
        <v>3872</v>
      </c>
    </row>
    <row r="2141" spans="1:1" customFormat="1" hidden="1">
      <c r="A2141" s="13" t="s">
        <v>3873</v>
      </c>
    </row>
    <row r="2142" spans="1:1" customFormat="1" hidden="1">
      <c r="A2142" s="13" t="s">
        <v>3874</v>
      </c>
    </row>
    <row r="2143" spans="1:1" customFormat="1" hidden="1">
      <c r="A2143" s="13" t="s">
        <v>3875</v>
      </c>
    </row>
    <row r="2144" spans="1:1" customFormat="1" hidden="1">
      <c r="A2144" s="13" t="s">
        <v>3876</v>
      </c>
    </row>
    <row r="2145" spans="1:1" customFormat="1" hidden="1">
      <c r="A2145" s="13" t="s">
        <v>3877</v>
      </c>
    </row>
    <row r="2146" spans="1:1" customFormat="1" hidden="1">
      <c r="A2146" s="13" t="s">
        <v>3878</v>
      </c>
    </row>
    <row r="2147" spans="1:1" customFormat="1" hidden="1">
      <c r="A2147" s="13" t="s">
        <v>3879</v>
      </c>
    </row>
    <row r="2148" spans="1:1" customFormat="1" hidden="1">
      <c r="A2148" s="13" t="s">
        <v>3880</v>
      </c>
    </row>
    <row r="2149" spans="1:1" customFormat="1" hidden="1">
      <c r="A2149" s="13" t="s">
        <v>3881</v>
      </c>
    </row>
    <row r="2150" spans="1:1" customFormat="1" hidden="1">
      <c r="A2150" s="13" t="s">
        <v>3882</v>
      </c>
    </row>
    <row r="2151" spans="1:1" customFormat="1" hidden="1">
      <c r="A2151" s="13" t="s">
        <v>3883</v>
      </c>
    </row>
    <row r="2152" spans="1:1" customFormat="1" hidden="1">
      <c r="A2152" s="13" t="s">
        <v>3884</v>
      </c>
    </row>
    <row r="2153" spans="1:1" customFormat="1" hidden="1">
      <c r="A2153" s="13" t="s">
        <v>3885</v>
      </c>
    </row>
    <row r="2154" spans="1:1" customFormat="1" hidden="1">
      <c r="A2154" s="13" t="s">
        <v>3886</v>
      </c>
    </row>
    <row r="2155" spans="1:1" customFormat="1" hidden="1">
      <c r="A2155" s="13" t="s">
        <v>3887</v>
      </c>
    </row>
    <row r="2156" spans="1:1" customFormat="1" hidden="1">
      <c r="A2156" s="13" t="s">
        <v>3888</v>
      </c>
    </row>
    <row r="2157" spans="1:1" customFormat="1" hidden="1">
      <c r="A2157" s="13" t="s">
        <v>3889</v>
      </c>
    </row>
    <row r="2158" spans="1:1" customFormat="1" hidden="1">
      <c r="A2158" s="13" t="s">
        <v>3890</v>
      </c>
    </row>
    <row r="2159" spans="1:1" customFormat="1" hidden="1">
      <c r="A2159" s="13" t="s">
        <v>3891</v>
      </c>
    </row>
    <row r="2160" spans="1:1" customFormat="1" hidden="1">
      <c r="A2160" s="13" t="s">
        <v>3892</v>
      </c>
    </row>
    <row r="2161" spans="1:1" customFormat="1" hidden="1">
      <c r="A2161" s="13" t="s">
        <v>3893</v>
      </c>
    </row>
    <row r="2162" spans="1:1" customFormat="1" hidden="1">
      <c r="A2162" s="13" t="s">
        <v>3894</v>
      </c>
    </row>
    <row r="2163" spans="1:1" customFormat="1" hidden="1">
      <c r="A2163" s="13" t="s">
        <v>3895</v>
      </c>
    </row>
    <row r="2164" spans="1:1" customFormat="1" hidden="1">
      <c r="A2164" s="13" t="s">
        <v>3896</v>
      </c>
    </row>
    <row r="2165" spans="1:1" customFormat="1" hidden="1">
      <c r="A2165" s="13" t="s">
        <v>3897</v>
      </c>
    </row>
    <row r="2166" spans="1:1" customFormat="1" hidden="1">
      <c r="A2166" s="13" t="s">
        <v>3898</v>
      </c>
    </row>
    <row r="2167" spans="1:1" customFormat="1" hidden="1">
      <c r="A2167" s="13" t="s">
        <v>3899</v>
      </c>
    </row>
    <row r="2168" spans="1:1" customFormat="1" hidden="1">
      <c r="A2168" s="13" t="s">
        <v>3900</v>
      </c>
    </row>
    <row r="2169" spans="1:1" customFormat="1" hidden="1">
      <c r="A2169" s="13" t="s">
        <v>3901</v>
      </c>
    </row>
    <row r="2170" spans="1:1" customFormat="1" hidden="1">
      <c r="A2170" s="13" t="s">
        <v>3902</v>
      </c>
    </row>
    <row r="2171" spans="1:1" customFormat="1" hidden="1">
      <c r="A2171" s="13" t="s">
        <v>3903</v>
      </c>
    </row>
    <row r="2172" spans="1:1" customFormat="1" hidden="1">
      <c r="A2172" s="13" t="s">
        <v>3904</v>
      </c>
    </row>
    <row r="2173" spans="1:1" customFormat="1" hidden="1">
      <c r="A2173" s="13" t="s">
        <v>3905</v>
      </c>
    </row>
    <row r="2174" spans="1:1" customFormat="1" hidden="1">
      <c r="A2174" s="13" t="s">
        <v>3906</v>
      </c>
    </row>
    <row r="2175" spans="1:1" customFormat="1" hidden="1">
      <c r="A2175" s="13" t="s">
        <v>3907</v>
      </c>
    </row>
    <row r="2176" spans="1:1" customFormat="1" hidden="1">
      <c r="A2176" s="13" t="s">
        <v>3908</v>
      </c>
    </row>
    <row r="2177" spans="1:1" customFormat="1" hidden="1">
      <c r="A2177" s="13" t="s">
        <v>3909</v>
      </c>
    </row>
    <row r="2178" spans="1:1" customFormat="1" hidden="1">
      <c r="A2178" s="13" t="s">
        <v>3910</v>
      </c>
    </row>
    <row r="2179" spans="1:1" customFormat="1" hidden="1">
      <c r="A2179" s="13" t="s">
        <v>3911</v>
      </c>
    </row>
    <row r="2180" spans="1:1" customFormat="1" hidden="1">
      <c r="A2180" s="13" t="s">
        <v>3912</v>
      </c>
    </row>
    <row r="2181" spans="1:1" customFormat="1" hidden="1">
      <c r="A2181" s="13" t="s">
        <v>3913</v>
      </c>
    </row>
    <row r="2182" spans="1:1" customFormat="1" hidden="1">
      <c r="A2182" s="13" t="s">
        <v>3914</v>
      </c>
    </row>
    <row r="2183" spans="1:1" customFormat="1" hidden="1">
      <c r="A2183" s="13" t="s">
        <v>3915</v>
      </c>
    </row>
    <row r="2184" spans="1:1" customFormat="1" hidden="1">
      <c r="A2184" s="13" t="s">
        <v>3916</v>
      </c>
    </row>
    <row r="2185" spans="1:1" customFormat="1" hidden="1">
      <c r="A2185" s="13" t="s">
        <v>3917</v>
      </c>
    </row>
    <row r="2186" spans="1:1" customFormat="1" hidden="1">
      <c r="A2186" s="13" t="s">
        <v>3918</v>
      </c>
    </row>
    <row r="2187" spans="1:1" customFormat="1" hidden="1">
      <c r="A2187" s="13" t="s">
        <v>3919</v>
      </c>
    </row>
    <row r="2188" spans="1:1" customFormat="1" hidden="1">
      <c r="A2188" s="13" t="s">
        <v>3920</v>
      </c>
    </row>
    <row r="2189" spans="1:1" customFormat="1" hidden="1">
      <c r="A2189" s="13" t="s">
        <v>3921</v>
      </c>
    </row>
    <row r="2190" spans="1:1" customFormat="1" hidden="1">
      <c r="A2190" s="13" t="s">
        <v>3922</v>
      </c>
    </row>
    <row r="2191" spans="1:1" customFormat="1" hidden="1">
      <c r="A2191" s="13" t="s">
        <v>3923</v>
      </c>
    </row>
    <row r="2192" spans="1:1" customFormat="1" hidden="1">
      <c r="A2192" s="13" t="s">
        <v>3924</v>
      </c>
    </row>
    <row r="2193" spans="1:1" customFormat="1" hidden="1">
      <c r="A2193" s="13" t="s">
        <v>3925</v>
      </c>
    </row>
    <row r="2194" spans="1:1" customFormat="1" hidden="1">
      <c r="A2194" s="13" t="s">
        <v>3926</v>
      </c>
    </row>
    <row r="2195" spans="1:1" customFormat="1" hidden="1">
      <c r="A2195" s="13" t="s">
        <v>3927</v>
      </c>
    </row>
    <row r="2196" spans="1:1" customFormat="1" hidden="1">
      <c r="A2196" s="13" t="s">
        <v>3928</v>
      </c>
    </row>
    <row r="2197" spans="1:1" customFormat="1" hidden="1">
      <c r="A2197" s="13" t="s">
        <v>3929</v>
      </c>
    </row>
    <row r="2198" spans="1:1" customFormat="1" hidden="1">
      <c r="A2198" s="13" t="s">
        <v>3930</v>
      </c>
    </row>
    <row r="2199" spans="1:1" customFormat="1" hidden="1">
      <c r="A2199" s="13" t="s">
        <v>3931</v>
      </c>
    </row>
    <row r="2200" spans="1:1" customFormat="1" hidden="1">
      <c r="A2200" s="13" t="s">
        <v>3932</v>
      </c>
    </row>
    <row r="2201" spans="1:1" customFormat="1" hidden="1">
      <c r="A2201" s="13" t="s">
        <v>3933</v>
      </c>
    </row>
    <row r="2202" spans="1:1" customFormat="1" hidden="1">
      <c r="A2202" s="13" t="s">
        <v>3934</v>
      </c>
    </row>
    <row r="2203" spans="1:1" customFormat="1" hidden="1">
      <c r="A2203" s="13" t="s">
        <v>3935</v>
      </c>
    </row>
    <row r="2204" spans="1:1" customFormat="1" hidden="1">
      <c r="A2204" s="13" t="s">
        <v>3936</v>
      </c>
    </row>
    <row r="2205" spans="1:1" customFormat="1" hidden="1">
      <c r="A2205" s="13" t="s">
        <v>3937</v>
      </c>
    </row>
    <row r="2206" spans="1:1" customFormat="1" hidden="1">
      <c r="A2206" s="13" t="s">
        <v>3938</v>
      </c>
    </row>
    <row r="2207" spans="1:1" customFormat="1" hidden="1">
      <c r="A2207" s="13" t="s">
        <v>3939</v>
      </c>
    </row>
    <row r="2208" spans="1:1" customFormat="1" hidden="1">
      <c r="A2208" s="13" t="s">
        <v>3940</v>
      </c>
    </row>
    <row r="2209" spans="1:1" customFormat="1" hidden="1">
      <c r="A2209" s="13" t="s">
        <v>3941</v>
      </c>
    </row>
    <row r="2210" spans="1:1" customFormat="1" hidden="1">
      <c r="A2210" s="13" t="s">
        <v>3942</v>
      </c>
    </row>
    <row r="2211" spans="1:1" customFormat="1" hidden="1">
      <c r="A2211" s="13" t="s">
        <v>3943</v>
      </c>
    </row>
    <row r="2212" spans="1:1" customFormat="1" hidden="1">
      <c r="A2212" s="13" t="s">
        <v>3944</v>
      </c>
    </row>
    <row r="2213" spans="1:1" customFormat="1" hidden="1">
      <c r="A2213" s="13" t="s">
        <v>3945</v>
      </c>
    </row>
    <row r="2214" spans="1:1" customFormat="1" hidden="1">
      <c r="A2214" s="13" t="s">
        <v>3946</v>
      </c>
    </row>
    <row r="2215" spans="1:1" customFormat="1" hidden="1">
      <c r="A2215" s="13" t="s">
        <v>3947</v>
      </c>
    </row>
    <row r="2216" spans="1:1" customFormat="1" hidden="1">
      <c r="A2216" s="13" t="s">
        <v>3948</v>
      </c>
    </row>
    <row r="2217" spans="1:1" customFormat="1" hidden="1">
      <c r="A2217" s="13" t="s">
        <v>3949</v>
      </c>
    </row>
    <row r="2218" spans="1:1" customFormat="1" hidden="1">
      <c r="A2218" s="13" t="s">
        <v>3950</v>
      </c>
    </row>
    <row r="2219" spans="1:1" customFormat="1" hidden="1">
      <c r="A2219" s="13" t="s">
        <v>3951</v>
      </c>
    </row>
    <row r="2220" spans="1:1" customFormat="1" hidden="1">
      <c r="A2220" s="13" t="s">
        <v>3952</v>
      </c>
    </row>
    <row r="2221" spans="1:1" customFormat="1" hidden="1">
      <c r="A2221" s="13" t="s">
        <v>3953</v>
      </c>
    </row>
    <row r="2222" spans="1:1" customFormat="1" hidden="1">
      <c r="A2222" s="13" t="s">
        <v>3954</v>
      </c>
    </row>
    <row r="2223" spans="1:1" customFormat="1" hidden="1">
      <c r="A2223" s="13" t="s">
        <v>3955</v>
      </c>
    </row>
    <row r="2224" spans="1:1" customFormat="1" hidden="1">
      <c r="A2224" s="13" t="s">
        <v>3956</v>
      </c>
    </row>
    <row r="2225" spans="1:1" customFormat="1" hidden="1">
      <c r="A2225" s="13" t="s">
        <v>3957</v>
      </c>
    </row>
    <row r="2226" spans="1:1" customFormat="1" hidden="1">
      <c r="A2226" s="13" t="s">
        <v>3958</v>
      </c>
    </row>
    <row r="2227" spans="1:1" customFormat="1" hidden="1">
      <c r="A2227" s="13" t="s">
        <v>3959</v>
      </c>
    </row>
    <row r="2228" spans="1:1" customFormat="1" hidden="1">
      <c r="A2228" s="13" t="s">
        <v>3960</v>
      </c>
    </row>
    <row r="2229" spans="1:1" customFormat="1" hidden="1">
      <c r="A2229" s="13" t="s">
        <v>3961</v>
      </c>
    </row>
    <row r="2230" spans="1:1" customFormat="1" hidden="1">
      <c r="A2230" s="13" t="s">
        <v>3962</v>
      </c>
    </row>
    <row r="2231" spans="1:1" customFormat="1" hidden="1">
      <c r="A2231" s="13" t="s">
        <v>3963</v>
      </c>
    </row>
    <row r="2232" spans="1:1" customFormat="1" hidden="1">
      <c r="A2232" s="13" t="s">
        <v>3964</v>
      </c>
    </row>
    <row r="2233" spans="1:1" customFormat="1" hidden="1">
      <c r="A2233" s="13" t="s">
        <v>3965</v>
      </c>
    </row>
    <row r="2234" spans="1:1" customFormat="1" hidden="1">
      <c r="A2234" s="13" t="s">
        <v>3966</v>
      </c>
    </row>
    <row r="2235" spans="1:1" customFormat="1" hidden="1">
      <c r="A2235" s="13" t="s">
        <v>3967</v>
      </c>
    </row>
    <row r="2236" spans="1:1" customFormat="1" hidden="1">
      <c r="A2236" s="13" t="s">
        <v>3968</v>
      </c>
    </row>
    <row r="2237" spans="1:1" customFormat="1" hidden="1">
      <c r="A2237" s="13" t="s">
        <v>3969</v>
      </c>
    </row>
    <row r="2238" spans="1:1" customFormat="1" hidden="1">
      <c r="A2238" s="13" t="s">
        <v>3970</v>
      </c>
    </row>
    <row r="2239" spans="1:1" customFormat="1" hidden="1">
      <c r="A2239" s="13" t="s">
        <v>3971</v>
      </c>
    </row>
    <row r="2240" spans="1:1" customFormat="1" hidden="1">
      <c r="A2240" s="13" t="s">
        <v>3972</v>
      </c>
    </row>
    <row r="2241" spans="1:1" customFormat="1" hidden="1">
      <c r="A2241" s="13" t="s">
        <v>3973</v>
      </c>
    </row>
    <row r="2242" spans="1:1" customFormat="1" hidden="1">
      <c r="A2242" s="13" t="s">
        <v>3974</v>
      </c>
    </row>
    <row r="2243" spans="1:1" customFormat="1" hidden="1">
      <c r="A2243" s="13" t="s">
        <v>3975</v>
      </c>
    </row>
    <row r="2244" spans="1:1" customFormat="1" hidden="1">
      <c r="A2244" s="13" t="s">
        <v>3976</v>
      </c>
    </row>
    <row r="2245" spans="1:1" customFormat="1" hidden="1">
      <c r="A2245" s="13" t="s">
        <v>3977</v>
      </c>
    </row>
    <row r="2246" spans="1:1" customFormat="1" hidden="1">
      <c r="A2246" s="13" t="s">
        <v>3978</v>
      </c>
    </row>
    <row r="2247" spans="1:1" customFormat="1" hidden="1">
      <c r="A2247" s="13" t="s">
        <v>3979</v>
      </c>
    </row>
    <row r="2248" spans="1:1" customFormat="1" hidden="1">
      <c r="A2248" s="13" t="s">
        <v>3980</v>
      </c>
    </row>
    <row r="2249" spans="1:1" customFormat="1" hidden="1">
      <c r="A2249" s="13" t="s">
        <v>3981</v>
      </c>
    </row>
    <row r="2250" spans="1:1" customFormat="1" hidden="1">
      <c r="A2250" s="13" t="s">
        <v>3982</v>
      </c>
    </row>
    <row r="2251" spans="1:1" customFormat="1" hidden="1">
      <c r="A2251" s="13" t="s">
        <v>3983</v>
      </c>
    </row>
    <row r="2252" spans="1:1" customFormat="1" hidden="1">
      <c r="A2252" s="13" t="s">
        <v>3984</v>
      </c>
    </row>
    <row r="2253" spans="1:1" customFormat="1" hidden="1">
      <c r="A2253" s="13" t="s">
        <v>3985</v>
      </c>
    </row>
    <row r="2254" spans="1:1" customFormat="1" hidden="1">
      <c r="A2254" s="13" t="s">
        <v>3986</v>
      </c>
    </row>
    <row r="2255" spans="1:1" customFormat="1" hidden="1">
      <c r="A2255" s="13" t="s">
        <v>3987</v>
      </c>
    </row>
    <row r="2256" spans="1:1" customFormat="1" hidden="1">
      <c r="A2256" s="13" t="s">
        <v>3988</v>
      </c>
    </row>
    <row r="2257" spans="1:1" customFormat="1" hidden="1">
      <c r="A2257" s="13" t="s">
        <v>3989</v>
      </c>
    </row>
    <row r="2258" spans="1:1" customFormat="1" hidden="1">
      <c r="A2258" s="13" t="s">
        <v>3990</v>
      </c>
    </row>
    <row r="2259" spans="1:1" customFormat="1" hidden="1">
      <c r="A2259" s="13" t="s">
        <v>3991</v>
      </c>
    </row>
    <row r="2260" spans="1:1" customFormat="1" hidden="1">
      <c r="A2260" s="13" t="s">
        <v>3992</v>
      </c>
    </row>
    <row r="2261" spans="1:1" customFormat="1" hidden="1">
      <c r="A2261" s="13" t="s">
        <v>3993</v>
      </c>
    </row>
    <row r="2262" spans="1:1" customFormat="1" hidden="1">
      <c r="A2262" s="13" t="s">
        <v>3994</v>
      </c>
    </row>
    <row r="2263" spans="1:1" customFormat="1" hidden="1">
      <c r="A2263" s="13" t="s">
        <v>3995</v>
      </c>
    </row>
    <row r="2264" spans="1:1" customFormat="1" hidden="1">
      <c r="A2264" s="13" t="s">
        <v>3996</v>
      </c>
    </row>
    <row r="2265" spans="1:1" customFormat="1" hidden="1">
      <c r="A2265" s="13" t="s">
        <v>3997</v>
      </c>
    </row>
    <row r="2266" spans="1:1" customFormat="1" hidden="1">
      <c r="A2266" s="13" t="s">
        <v>3998</v>
      </c>
    </row>
    <row r="2267" spans="1:1" customFormat="1" hidden="1">
      <c r="A2267" s="13" t="s">
        <v>3999</v>
      </c>
    </row>
    <row r="2268" spans="1:1" customFormat="1" hidden="1">
      <c r="A2268" s="13" t="s">
        <v>4000</v>
      </c>
    </row>
    <row r="2269" spans="1:1" customFormat="1" hidden="1">
      <c r="A2269" s="13" t="s">
        <v>4001</v>
      </c>
    </row>
    <row r="2270" spans="1:1" customFormat="1" hidden="1">
      <c r="A2270" s="13" t="s">
        <v>4002</v>
      </c>
    </row>
    <row r="2271" spans="1:1" customFormat="1" hidden="1">
      <c r="A2271" s="13" t="s">
        <v>4003</v>
      </c>
    </row>
    <row r="2272" spans="1:1" customFormat="1" hidden="1">
      <c r="A2272" s="13" t="s">
        <v>4004</v>
      </c>
    </row>
    <row r="2273" spans="1:1" customFormat="1" hidden="1">
      <c r="A2273" s="13" t="s">
        <v>4005</v>
      </c>
    </row>
    <row r="2274" spans="1:1" customFormat="1" hidden="1">
      <c r="A2274" s="13" t="s">
        <v>4006</v>
      </c>
    </row>
    <row r="2275" spans="1:1" customFormat="1" hidden="1">
      <c r="A2275" s="13" t="s">
        <v>4007</v>
      </c>
    </row>
    <row r="2276" spans="1:1" customFormat="1" hidden="1">
      <c r="A2276" s="13" t="s">
        <v>4008</v>
      </c>
    </row>
    <row r="2277" spans="1:1" customFormat="1" hidden="1">
      <c r="A2277" s="13" t="s">
        <v>4009</v>
      </c>
    </row>
    <row r="2278" spans="1:1" customFormat="1" hidden="1">
      <c r="A2278" s="13" t="s">
        <v>4010</v>
      </c>
    </row>
    <row r="2279" spans="1:1" customFormat="1" hidden="1">
      <c r="A2279" s="13" t="s">
        <v>4011</v>
      </c>
    </row>
    <row r="2280" spans="1:1" customFormat="1" hidden="1">
      <c r="A2280" s="13" t="s">
        <v>4012</v>
      </c>
    </row>
    <row r="2281" spans="1:1" customFormat="1" hidden="1">
      <c r="A2281" s="13" t="s">
        <v>4013</v>
      </c>
    </row>
    <row r="2282" spans="1:1" customFormat="1" hidden="1">
      <c r="A2282" s="13" t="s">
        <v>4014</v>
      </c>
    </row>
    <row r="2283" spans="1:1" customFormat="1" hidden="1">
      <c r="A2283" s="13" t="s">
        <v>4015</v>
      </c>
    </row>
    <row r="2284" spans="1:1" customFormat="1" hidden="1">
      <c r="A2284" s="13" t="s">
        <v>4016</v>
      </c>
    </row>
    <row r="2285" spans="1:1" customFormat="1" hidden="1">
      <c r="A2285" s="13" t="s">
        <v>4017</v>
      </c>
    </row>
    <row r="2286" spans="1:1" customFormat="1" hidden="1">
      <c r="A2286" s="13" t="s">
        <v>4018</v>
      </c>
    </row>
    <row r="2287" spans="1:1" customFormat="1" hidden="1">
      <c r="A2287" s="13" t="s">
        <v>4019</v>
      </c>
    </row>
    <row r="2288" spans="1:1" customFormat="1" hidden="1">
      <c r="A2288" s="13" t="s">
        <v>4020</v>
      </c>
    </row>
    <row r="2289" spans="1:1" customFormat="1" hidden="1">
      <c r="A2289" s="13" t="s">
        <v>4021</v>
      </c>
    </row>
    <row r="2290" spans="1:1" customFormat="1" hidden="1">
      <c r="A2290" s="13" t="s">
        <v>4022</v>
      </c>
    </row>
    <row r="2291" spans="1:1" customFormat="1" hidden="1">
      <c r="A2291" s="13" t="s">
        <v>4023</v>
      </c>
    </row>
    <row r="2292" spans="1:1" customFormat="1" hidden="1">
      <c r="A2292" s="13" t="s">
        <v>4024</v>
      </c>
    </row>
    <row r="2293" spans="1:1" customFormat="1" hidden="1">
      <c r="A2293" s="13" t="s">
        <v>4025</v>
      </c>
    </row>
    <row r="2294" spans="1:1" customFormat="1" hidden="1">
      <c r="A2294" s="13" t="s">
        <v>4026</v>
      </c>
    </row>
    <row r="2295" spans="1:1" customFormat="1" hidden="1">
      <c r="A2295" s="13" t="s">
        <v>4027</v>
      </c>
    </row>
    <row r="2296" spans="1:1" customFormat="1" hidden="1">
      <c r="A2296" s="13" t="s">
        <v>4028</v>
      </c>
    </row>
    <row r="2297" spans="1:1" customFormat="1" hidden="1">
      <c r="A2297" s="13" t="s">
        <v>4029</v>
      </c>
    </row>
    <row r="2298" spans="1:1" customFormat="1" hidden="1">
      <c r="A2298" s="13" t="s">
        <v>4030</v>
      </c>
    </row>
    <row r="2299" spans="1:1" customFormat="1" hidden="1">
      <c r="A2299" s="13" t="s">
        <v>4031</v>
      </c>
    </row>
    <row r="2300" spans="1:1" customFormat="1" hidden="1">
      <c r="A2300" s="13" t="s">
        <v>4032</v>
      </c>
    </row>
    <row r="2301" spans="1:1" customFormat="1" hidden="1">
      <c r="A2301" s="13" t="s">
        <v>4033</v>
      </c>
    </row>
    <row r="2302" spans="1:1" customFormat="1" hidden="1">
      <c r="A2302" s="13" t="s">
        <v>4034</v>
      </c>
    </row>
    <row r="2303" spans="1:1" customFormat="1" hidden="1">
      <c r="A2303" s="13" t="s">
        <v>4035</v>
      </c>
    </row>
    <row r="2304" spans="1:1" customFormat="1" hidden="1">
      <c r="A2304" s="13" t="s">
        <v>4036</v>
      </c>
    </row>
    <row r="2305" spans="1:1" customFormat="1" hidden="1">
      <c r="A2305" s="13" t="s">
        <v>4037</v>
      </c>
    </row>
    <row r="2306" spans="1:1" customFormat="1" hidden="1">
      <c r="A2306" s="13" t="s">
        <v>4038</v>
      </c>
    </row>
    <row r="2307" spans="1:1" customFormat="1" hidden="1">
      <c r="A2307" s="13" t="s">
        <v>4039</v>
      </c>
    </row>
    <row r="2308" spans="1:1" customFormat="1" hidden="1">
      <c r="A2308" s="13" t="s">
        <v>4040</v>
      </c>
    </row>
    <row r="2309" spans="1:1" customFormat="1" hidden="1">
      <c r="A2309" s="13" t="s">
        <v>4041</v>
      </c>
    </row>
    <row r="2310" spans="1:1" customFormat="1" hidden="1">
      <c r="A2310" s="13" t="s">
        <v>4042</v>
      </c>
    </row>
    <row r="2311" spans="1:1" customFormat="1" hidden="1">
      <c r="A2311" s="13" t="s">
        <v>4043</v>
      </c>
    </row>
    <row r="2312" spans="1:1" customFormat="1" hidden="1">
      <c r="A2312" s="13" t="s">
        <v>4044</v>
      </c>
    </row>
    <row r="2313" spans="1:1" customFormat="1" hidden="1">
      <c r="A2313" s="13" t="s">
        <v>4045</v>
      </c>
    </row>
    <row r="2314" spans="1:1" customFormat="1" hidden="1">
      <c r="A2314" s="13" t="s">
        <v>4046</v>
      </c>
    </row>
    <row r="2315" spans="1:1" customFormat="1" hidden="1">
      <c r="A2315" s="13" t="s">
        <v>4047</v>
      </c>
    </row>
    <row r="2316" spans="1:1" customFormat="1" hidden="1">
      <c r="A2316" s="13" t="s">
        <v>4048</v>
      </c>
    </row>
    <row r="2317" spans="1:1" customFormat="1" hidden="1">
      <c r="A2317" s="13" t="s">
        <v>4049</v>
      </c>
    </row>
    <row r="2318" spans="1:1" customFormat="1" hidden="1">
      <c r="A2318" s="13" t="s">
        <v>4050</v>
      </c>
    </row>
    <row r="2319" spans="1:1" customFormat="1" hidden="1">
      <c r="A2319" s="13" t="s">
        <v>4051</v>
      </c>
    </row>
    <row r="2320" spans="1:1" customFormat="1" hidden="1">
      <c r="A2320" s="13" t="s">
        <v>4052</v>
      </c>
    </row>
    <row r="2321" spans="1:1" customFormat="1" hidden="1">
      <c r="A2321" s="13" t="s">
        <v>4053</v>
      </c>
    </row>
    <row r="2322" spans="1:1" customFormat="1" hidden="1">
      <c r="A2322" s="13" t="s">
        <v>4054</v>
      </c>
    </row>
    <row r="2323" spans="1:1" customFormat="1" hidden="1">
      <c r="A2323" s="13" t="s">
        <v>4055</v>
      </c>
    </row>
    <row r="2324" spans="1:1" customFormat="1" hidden="1">
      <c r="A2324" s="13" t="s">
        <v>4056</v>
      </c>
    </row>
    <row r="2325" spans="1:1" customFormat="1" hidden="1">
      <c r="A2325" s="13"/>
    </row>
    <row r="2326" spans="1:1" customFormat="1" hidden="1">
      <c r="A2326" s="13" t="s">
        <v>4057</v>
      </c>
    </row>
    <row r="2327" spans="1:1" customFormat="1" hidden="1">
      <c r="A2327" s="13" t="s">
        <v>4058</v>
      </c>
    </row>
    <row r="2328" spans="1:1" customFormat="1" hidden="1">
      <c r="A2328" s="13" t="s">
        <v>4059</v>
      </c>
    </row>
    <row r="2329" spans="1:1" customFormat="1" hidden="1">
      <c r="A2329" s="13" t="s">
        <v>4060</v>
      </c>
    </row>
    <row r="2330" spans="1:1" customFormat="1" hidden="1">
      <c r="A2330" s="13" t="s">
        <v>4061</v>
      </c>
    </row>
    <row r="2331" spans="1:1" customFormat="1" hidden="1">
      <c r="A2331" s="13" t="s">
        <v>4062</v>
      </c>
    </row>
    <row r="2332" spans="1:1" customFormat="1" hidden="1">
      <c r="A2332" s="13" t="s">
        <v>4063</v>
      </c>
    </row>
    <row r="2333" spans="1:1" customFormat="1" hidden="1">
      <c r="A2333" s="13" t="s">
        <v>4064</v>
      </c>
    </row>
    <row r="2334" spans="1:1" customFormat="1" hidden="1">
      <c r="A2334" s="13" t="s">
        <v>4065</v>
      </c>
    </row>
    <row r="2335" spans="1:1" customFormat="1" hidden="1">
      <c r="A2335" s="13" t="s">
        <v>4066</v>
      </c>
    </row>
    <row r="2336" spans="1:1" customFormat="1" hidden="1">
      <c r="A2336" s="13" t="s">
        <v>4067</v>
      </c>
    </row>
    <row r="2337" spans="1:1" customFormat="1" hidden="1">
      <c r="A2337" s="13" t="s">
        <v>4068</v>
      </c>
    </row>
    <row r="2338" spans="1:1" customFormat="1" hidden="1">
      <c r="A2338" s="13" t="s">
        <v>4069</v>
      </c>
    </row>
    <row r="2339" spans="1:1" customFormat="1" hidden="1">
      <c r="A2339" s="13" t="s">
        <v>4070</v>
      </c>
    </row>
    <row r="2340" spans="1:1" customFormat="1" hidden="1">
      <c r="A2340" s="13" t="s">
        <v>4071</v>
      </c>
    </row>
    <row r="2341" spans="1:1" customFormat="1" hidden="1">
      <c r="A2341" s="13" t="s">
        <v>4072</v>
      </c>
    </row>
    <row r="2342" spans="1:1" customFormat="1" hidden="1">
      <c r="A2342" s="13" t="s">
        <v>4073</v>
      </c>
    </row>
    <row r="2343" spans="1:1" customFormat="1" hidden="1">
      <c r="A2343" s="13" t="s">
        <v>4074</v>
      </c>
    </row>
    <row r="2344" spans="1:1" customFormat="1" hidden="1">
      <c r="A2344" s="13" t="s">
        <v>4075</v>
      </c>
    </row>
    <row r="2345" spans="1:1" customFormat="1" hidden="1">
      <c r="A2345" s="13" t="s">
        <v>4076</v>
      </c>
    </row>
    <row r="2346" spans="1:1" customFormat="1" hidden="1">
      <c r="A2346" s="13" t="s">
        <v>4077</v>
      </c>
    </row>
    <row r="2347" spans="1:1" customFormat="1" hidden="1">
      <c r="A2347" s="13" t="s">
        <v>4078</v>
      </c>
    </row>
    <row r="2348" spans="1:1" customFormat="1" hidden="1">
      <c r="A2348" s="13" t="s">
        <v>4079</v>
      </c>
    </row>
    <row r="2349" spans="1:1" customFormat="1" hidden="1">
      <c r="A2349" s="13" t="s">
        <v>4080</v>
      </c>
    </row>
    <row r="2350" spans="1:1" customFormat="1" hidden="1">
      <c r="A2350" s="13" t="s">
        <v>4081</v>
      </c>
    </row>
    <row r="2351" spans="1:1" customFormat="1" hidden="1">
      <c r="A2351" s="13" t="s">
        <v>4082</v>
      </c>
    </row>
    <row r="2352" spans="1:1" customFormat="1" hidden="1">
      <c r="A2352" s="13" t="s">
        <v>4083</v>
      </c>
    </row>
    <row r="2353" spans="1:1" customFormat="1" hidden="1">
      <c r="A2353" s="13" t="s">
        <v>4084</v>
      </c>
    </row>
    <row r="2354" spans="1:1" customFormat="1" hidden="1">
      <c r="A2354" s="13" t="s">
        <v>4085</v>
      </c>
    </row>
    <row r="2355" spans="1:1" customFormat="1" hidden="1">
      <c r="A2355" s="13" t="s">
        <v>4086</v>
      </c>
    </row>
    <row r="2356" spans="1:1" customFormat="1" hidden="1">
      <c r="A2356" s="13" t="s">
        <v>4087</v>
      </c>
    </row>
    <row r="2357" spans="1:1" customFormat="1" hidden="1">
      <c r="A2357" s="13" t="s">
        <v>4088</v>
      </c>
    </row>
    <row r="2358" spans="1:1" customFormat="1" hidden="1">
      <c r="A2358" s="13" t="s">
        <v>4089</v>
      </c>
    </row>
    <row r="2359" spans="1:1" customFormat="1" hidden="1">
      <c r="A2359" s="13" t="s">
        <v>4090</v>
      </c>
    </row>
    <row r="2360" spans="1:1" customFormat="1" hidden="1">
      <c r="A2360" s="13" t="s">
        <v>4091</v>
      </c>
    </row>
    <row r="2361" spans="1:1" customFormat="1" hidden="1">
      <c r="A2361" s="13" t="s">
        <v>4092</v>
      </c>
    </row>
    <row r="2362" spans="1:1" customFormat="1" hidden="1">
      <c r="A2362" s="13" t="s">
        <v>4093</v>
      </c>
    </row>
    <row r="2363" spans="1:1" customFormat="1" hidden="1">
      <c r="A2363" s="13" t="s">
        <v>4094</v>
      </c>
    </row>
    <row r="2364" spans="1:1" customFormat="1" hidden="1">
      <c r="A2364" s="13" t="s">
        <v>4095</v>
      </c>
    </row>
    <row r="2365" spans="1:1" customFormat="1" hidden="1">
      <c r="A2365" s="13" t="s">
        <v>4096</v>
      </c>
    </row>
    <row r="2366" spans="1:1" customFormat="1" hidden="1">
      <c r="A2366" s="13" t="s">
        <v>4097</v>
      </c>
    </row>
    <row r="2367" spans="1:1" customFormat="1" hidden="1">
      <c r="A2367" s="13" t="s">
        <v>4098</v>
      </c>
    </row>
    <row r="2368" spans="1:1" customFormat="1" hidden="1">
      <c r="A2368" s="13" t="s">
        <v>4099</v>
      </c>
    </row>
    <row r="2369" spans="1:1" customFormat="1" hidden="1">
      <c r="A2369" s="13" t="s">
        <v>4100</v>
      </c>
    </row>
    <row r="2370" spans="1:1" customFormat="1" hidden="1">
      <c r="A2370" s="13" t="s">
        <v>4101</v>
      </c>
    </row>
    <row r="2371" spans="1:1" customFormat="1" hidden="1">
      <c r="A2371" s="13" t="s">
        <v>4102</v>
      </c>
    </row>
    <row r="2372" spans="1:1" customFormat="1" hidden="1">
      <c r="A2372" s="13" t="s">
        <v>4103</v>
      </c>
    </row>
    <row r="2373" spans="1:1" customFormat="1" hidden="1">
      <c r="A2373" s="13" t="s">
        <v>4104</v>
      </c>
    </row>
    <row r="2374" spans="1:1" customFormat="1" hidden="1">
      <c r="A2374" s="13" t="s">
        <v>4105</v>
      </c>
    </row>
    <row r="2375" spans="1:1" customFormat="1" hidden="1">
      <c r="A2375" s="13" t="s">
        <v>4106</v>
      </c>
    </row>
    <row r="2376" spans="1:1" customFormat="1" hidden="1">
      <c r="A2376" s="13" t="s">
        <v>4107</v>
      </c>
    </row>
    <row r="2377" spans="1:1" customFormat="1" hidden="1">
      <c r="A2377" s="13" t="s">
        <v>4108</v>
      </c>
    </row>
    <row r="2378" spans="1:1" customFormat="1" hidden="1">
      <c r="A2378" s="13" t="s">
        <v>4109</v>
      </c>
    </row>
    <row r="2379" spans="1:1" customFormat="1" hidden="1">
      <c r="A2379" s="13" t="s">
        <v>4110</v>
      </c>
    </row>
    <row r="2380" spans="1:1" customFormat="1" hidden="1">
      <c r="A2380" s="13" t="s">
        <v>4111</v>
      </c>
    </row>
    <row r="2381" spans="1:1" customFormat="1" hidden="1">
      <c r="A2381" s="13" t="s">
        <v>4112</v>
      </c>
    </row>
    <row r="2382" spans="1:1" customFormat="1" hidden="1">
      <c r="A2382" s="13" t="s">
        <v>4113</v>
      </c>
    </row>
    <row r="2383" spans="1:1" customFormat="1" hidden="1">
      <c r="A2383" s="13" t="s">
        <v>4114</v>
      </c>
    </row>
    <row r="2384" spans="1:1" customFormat="1" hidden="1">
      <c r="A2384" s="13" t="s">
        <v>4115</v>
      </c>
    </row>
    <row r="2385" spans="1:1" customFormat="1" hidden="1">
      <c r="A2385" s="13" t="s">
        <v>4116</v>
      </c>
    </row>
    <row r="2386" spans="1:1" customFormat="1" hidden="1">
      <c r="A2386" s="13" t="s">
        <v>4117</v>
      </c>
    </row>
    <row r="2387" spans="1:1" customFormat="1" hidden="1">
      <c r="A2387" s="13" t="s">
        <v>4118</v>
      </c>
    </row>
    <row r="2388" spans="1:1" customFormat="1" hidden="1">
      <c r="A2388" s="13" t="s">
        <v>4119</v>
      </c>
    </row>
    <row r="2389" spans="1:1" customFormat="1" hidden="1">
      <c r="A2389" s="13" t="s">
        <v>4120</v>
      </c>
    </row>
    <row r="2390" spans="1:1" customFormat="1" hidden="1">
      <c r="A2390" s="13" t="s">
        <v>4121</v>
      </c>
    </row>
    <row r="2391" spans="1:1" customFormat="1" hidden="1">
      <c r="A2391" s="13" t="s">
        <v>4122</v>
      </c>
    </row>
    <row r="2392" spans="1:1" customFormat="1" hidden="1">
      <c r="A2392" s="13" t="s">
        <v>4123</v>
      </c>
    </row>
    <row r="2393" spans="1:1" customFormat="1" hidden="1">
      <c r="A2393" s="13" t="s">
        <v>4124</v>
      </c>
    </row>
    <row r="2394" spans="1:1" customFormat="1" hidden="1">
      <c r="A2394" s="13" t="s">
        <v>4125</v>
      </c>
    </row>
    <row r="2395" spans="1:1" customFormat="1" hidden="1">
      <c r="A2395" s="13" t="s">
        <v>4126</v>
      </c>
    </row>
    <row r="2396" spans="1:1" customFormat="1" hidden="1">
      <c r="A2396" s="13" t="s">
        <v>4127</v>
      </c>
    </row>
    <row r="2397" spans="1:1" customFormat="1" hidden="1">
      <c r="A2397" s="13" t="s">
        <v>4128</v>
      </c>
    </row>
    <row r="2398" spans="1:1" customFormat="1" hidden="1">
      <c r="A2398" s="13" t="s">
        <v>4129</v>
      </c>
    </row>
    <row r="2399" spans="1:1" customFormat="1" hidden="1">
      <c r="A2399" s="13" t="s">
        <v>4130</v>
      </c>
    </row>
    <row r="2400" spans="1:1" customFormat="1" hidden="1">
      <c r="A2400" s="13" t="s">
        <v>4131</v>
      </c>
    </row>
    <row r="2401" spans="1:1" customFormat="1" hidden="1">
      <c r="A2401" s="13" t="s">
        <v>4132</v>
      </c>
    </row>
    <row r="2402" spans="1:1" customFormat="1" hidden="1">
      <c r="A2402" s="13" t="s">
        <v>4133</v>
      </c>
    </row>
    <row r="2403" spans="1:1" customFormat="1" hidden="1">
      <c r="A2403" s="13" t="s">
        <v>4134</v>
      </c>
    </row>
    <row r="2404" spans="1:1" customFormat="1" hidden="1">
      <c r="A2404" s="13" t="s">
        <v>4135</v>
      </c>
    </row>
    <row r="2405" spans="1:1" customFormat="1" hidden="1">
      <c r="A2405" s="13" t="s">
        <v>4136</v>
      </c>
    </row>
    <row r="2406" spans="1:1" customFormat="1" hidden="1">
      <c r="A2406" s="13" t="s">
        <v>4137</v>
      </c>
    </row>
    <row r="2407" spans="1:1" customFormat="1" hidden="1">
      <c r="A2407" s="13" t="s">
        <v>4138</v>
      </c>
    </row>
    <row r="2408" spans="1:1" customFormat="1" hidden="1">
      <c r="A2408" s="13" t="s">
        <v>4139</v>
      </c>
    </row>
    <row r="2409" spans="1:1" customFormat="1" hidden="1">
      <c r="A2409" s="13" t="s">
        <v>4140</v>
      </c>
    </row>
    <row r="2410" spans="1:1" customFormat="1" hidden="1">
      <c r="A2410" s="13" t="s">
        <v>4141</v>
      </c>
    </row>
    <row r="2411" spans="1:1" customFormat="1" hidden="1">
      <c r="A2411" s="13" t="s">
        <v>4142</v>
      </c>
    </row>
    <row r="2412" spans="1:1" customFormat="1" hidden="1">
      <c r="A2412" s="13" t="s">
        <v>4143</v>
      </c>
    </row>
    <row r="2413" spans="1:1" customFormat="1" hidden="1">
      <c r="A2413" s="13" t="s">
        <v>4144</v>
      </c>
    </row>
    <row r="2414" spans="1:1" customFormat="1" hidden="1">
      <c r="A2414" s="13" t="s">
        <v>4145</v>
      </c>
    </row>
    <row r="2415" spans="1:1" customFormat="1" hidden="1">
      <c r="A2415" s="13" t="s">
        <v>4146</v>
      </c>
    </row>
    <row r="2416" spans="1:1" customFormat="1" hidden="1">
      <c r="A2416" s="13" t="s">
        <v>4147</v>
      </c>
    </row>
    <row r="2417" spans="1:1" customFormat="1" hidden="1">
      <c r="A2417" s="13" t="s">
        <v>4148</v>
      </c>
    </row>
    <row r="2418" spans="1:1" customFormat="1" hidden="1">
      <c r="A2418" s="13" t="s">
        <v>4149</v>
      </c>
    </row>
    <row r="2419" spans="1:1" customFormat="1" hidden="1">
      <c r="A2419" s="13" t="s">
        <v>4150</v>
      </c>
    </row>
    <row r="2420" spans="1:1" customFormat="1" hidden="1">
      <c r="A2420" s="13" t="s">
        <v>4151</v>
      </c>
    </row>
    <row r="2421" spans="1:1" customFormat="1" hidden="1">
      <c r="A2421" s="13" t="s">
        <v>4152</v>
      </c>
    </row>
    <row r="2422" spans="1:1" customFormat="1" hidden="1">
      <c r="A2422" s="13" t="s">
        <v>4153</v>
      </c>
    </row>
    <row r="2423" spans="1:1" customFormat="1" hidden="1">
      <c r="A2423" s="13" t="s">
        <v>4154</v>
      </c>
    </row>
    <row r="2424" spans="1:1" customFormat="1" hidden="1">
      <c r="A2424" s="13" t="s">
        <v>4155</v>
      </c>
    </row>
    <row r="2425" spans="1:1" customFormat="1" hidden="1">
      <c r="A2425" s="13" t="s">
        <v>4156</v>
      </c>
    </row>
    <row r="2426" spans="1:1" customFormat="1" hidden="1">
      <c r="A2426" s="13" t="s">
        <v>4157</v>
      </c>
    </row>
    <row r="2427" spans="1:1" customFormat="1" hidden="1">
      <c r="A2427" s="13" t="s">
        <v>4158</v>
      </c>
    </row>
    <row r="2428" spans="1:1" customFormat="1" hidden="1">
      <c r="A2428" s="13" t="s">
        <v>4159</v>
      </c>
    </row>
    <row r="2429" spans="1:1" customFormat="1" hidden="1">
      <c r="A2429" s="13" t="s">
        <v>4160</v>
      </c>
    </row>
    <row r="2430" spans="1:1" customFormat="1" hidden="1">
      <c r="A2430" s="13" t="s">
        <v>4161</v>
      </c>
    </row>
    <row r="2431" spans="1:1" customFormat="1" hidden="1">
      <c r="A2431" s="13" t="s">
        <v>4162</v>
      </c>
    </row>
    <row r="2432" spans="1:1" customFormat="1" hidden="1">
      <c r="A2432" s="13" t="s">
        <v>4163</v>
      </c>
    </row>
    <row r="2433" spans="1:1" customFormat="1" hidden="1">
      <c r="A2433" s="13" t="s">
        <v>4164</v>
      </c>
    </row>
    <row r="2434" spans="1:1" customFormat="1" hidden="1">
      <c r="A2434" s="13" t="s">
        <v>4165</v>
      </c>
    </row>
    <row r="2435" spans="1:1" customFormat="1" hidden="1">
      <c r="A2435" s="13" t="s">
        <v>4166</v>
      </c>
    </row>
    <row r="2436" spans="1:1" customFormat="1" hidden="1">
      <c r="A2436" s="13" t="s">
        <v>4167</v>
      </c>
    </row>
    <row r="2437" spans="1:1" customFormat="1" hidden="1">
      <c r="A2437" s="13" t="s">
        <v>4168</v>
      </c>
    </row>
    <row r="2438" spans="1:1" customFormat="1" hidden="1">
      <c r="A2438" s="13" t="s">
        <v>4169</v>
      </c>
    </row>
    <row r="2439" spans="1:1" customFormat="1" hidden="1">
      <c r="A2439" s="13" t="s">
        <v>4170</v>
      </c>
    </row>
    <row r="2440" spans="1:1" customFormat="1" hidden="1">
      <c r="A2440" s="13" t="s">
        <v>4171</v>
      </c>
    </row>
    <row r="2441" spans="1:1" customFormat="1" hidden="1">
      <c r="A2441" s="13" t="s">
        <v>4172</v>
      </c>
    </row>
    <row r="2442" spans="1:1" customFormat="1" hidden="1">
      <c r="A2442" s="13" t="s">
        <v>4173</v>
      </c>
    </row>
    <row r="2443" spans="1:1" customFormat="1" hidden="1">
      <c r="A2443" s="13" t="s">
        <v>4174</v>
      </c>
    </row>
    <row r="2444" spans="1:1" customFormat="1" hidden="1">
      <c r="A2444" s="13" t="s">
        <v>4175</v>
      </c>
    </row>
    <row r="2445" spans="1:1" customFormat="1" hidden="1">
      <c r="A2445" s="13" t="s">
        <v>4176</v>
      </c>
    </row>
    <row r="2446" spans="1:1" customFormat="1" hidden="1">
      <c r="A2446" s="13" t="s">
        <v>4177</v>
      </c>
    </row>
    <row r="2447" spans="1:1" customFormat="1" hidden="1">
      <c r="A2447" s="13" t="s">
        <v>4178</v>
      </c>
    </row>
    <row r="2448" spans="1:1" customFormat="1" hidden="1">
      <c r="A2448" s="13" t="s">
        <v>4179</v>
      </c>
    </row>
    <row r="2449" spans="1:1" customFormat="1" hidden="1">
      <c r="A2449" s="13" t="s">
        <v>4180</v>
      </c>
    </row>
    <row r="2450" spans="1:1" customFormat="1" hidden="1">
      <c r="A2450" s="13" t="s">
        <v>4181</v>
      </c>
    </row>
    <row r="2451" spans="1:1" customFormat="1" hidden="1">
      <c r="A2451" s="13" t="s">
        <v>4182</v>
      </c>
    </row>
    <row r="2452" spans="1:1" customFormat="1" hidden="1">
      <c r="A2452" s="13" t="s">
        <v>4183</v>
      </c>
    </row>
    <row r="2453" spans="1:1" customFormat="1" hidden="1">
      <c r="A2453" s="13" t="s">
        <v>4184</v>
      </c>
    </row>
    <row r="2454" spans="1:1" customFormat="1" hidden="1">
      <c r="A2454" s="13" t="s">
        <v>4185</v>
      </c>
    </row>
    <row r="2455" spans="1:1" customFormat="1" hidden="1">
      <c r="A2455" s="13" t="s">
        <v>4186</v>
      </c>
    </row>
    <row r="2456" spans="1:1" customFormat="1" hidden="1">
      <c r="A2456" s="13" t="s">
        <v>4187</v>
      </c>
    </row>
    <row r="2457" spans="1:1" customFormat="1" hidden="1">
      <c r="A2457" s="13" t="s">
        <v>4188</v>
      </c>
    </row>
    <row r="2458" spans="1:1" customFormat="1" hidden="1">
      <c r="A2458" s="13" t="s">
        <v>4189</v>
      </c>
    </row>
    <row r="2459" spans="1:1" customFormat="1" hidden="1">
      <c r="A2459" s="13" t="s">
        <v>4190</v>
      </c>
    </row>
    <row r="2460" spans="1:1" customFormat="1" hidden="1">
      <c r="A2460" s="13" t="s">
        <v>4191</v>
      </c>
    </row>
    <row r="2461" spans="1:1" customFormat="1" hidden="1">
      <c r="A2461" s="13" t="s">
        <v>4192</v>
      </c>
    </row>
    <row r="2462" spans="1:1" customFormat="1" hidden="1">
      <c r="A2462" s="13" t="s">
        <v>4193</v>
      </c>
    </row>
    <row r="2463" spans="1:1" customFormat="1" hidden="1">
      <c r="A2463" s="13" t="s">
        <v>4194</v>
      </c>
    </row>
    <row r="2464" spans="1:1" customFormat="1" hidden="1">
      <c r="A2464" s="13" t="s">
        <v>4195</v>
      </c>
    </row>
    <row r="2465" spans="1:1" customFormat="1" hidden="1">
      <c r="A2465" s="13" t="s">
        <v>4196</v>
      </c>
    </row>
    <row r="2466" spans="1:1" customFormat="1" hidden="1">
      <c r="A2466" s="13" t="s">
        <v>4197</v>
      </c>
    </row>
    <row r="2467" spans="1:1" customFormat="1" hidden="1">
      <c r="A2467" s="13" t="s">
        <v>4198</v>
      </c>
    </row>
    <row r="2468" spans="1:1" customFormat="1" hidden="1">
      <c r="A2468" s="13" t="s">
        <v>4199</v>
      </c>
    </row>
    <row r="2469" spans="1:1" customFormat="1" hidden="1">
      <c r="A2469" s="13" t="s">
        <v>4200</v>
      </c>
    </row>
    <row r="2470" spans="1:1" customFormat="1" hidden="1">
      <c r="A2470" s="13" t="s">
        <v>4201</v>
      </c>
    </row>
    <row r="2471" spans="1:1" customFormat="1" hidden="1">
      <c r="A2471" s="13" t="s">
        <v>4202</v>
      </c>
    </row>
    <row r="2472" spans="1:1" customFormat="1" hidden="1">
      <c r="A2472" s="13" t="s">
        <v>4203</v>
      </c>
    </row>
    <row r="2473" spans="1:1" customFormat="1" hidden="1">
      <c r="A2473" s="13" t="s">
        <v>4204</v>
      </c>
    </row>
    <row r="2474" spans="1:1" customFormat="1" hidden="1">
      <c r="A2474" s="13" t="s">
        <v>4205</v>
      </c>
    </row>
    <row r="2475" spans="1:1" customFormat="1" hidden="1">
      <c r="A2475" s="13" t="s">
        <v>4206</v>
      </c>
    </row>
    <row r="2476" spans="1:1" customFormat="1" hidden="1">
      <c r="A2476" s="13" t="s">
        <v>4207</v>
      </c>
    </row>
    <row r="2477" spans="1:1" customFormat="1" hidden="1">
      <c r="A2477" s="13" t="s">
        <v>4208</v>
      </c>
    </row>
    <row r="2478" spans="1:1" customFormat="1" hidden="1">
      <c r="A2478" s="13" t="s">
        <v>4209</v>
      </c>
    </row>
    <row r="2479" spans="1:1" customFormat="1" hidden="1">
      <c r="A2479" s="13" t="s">
        <v>4210</v>
      </c>
    </row>
    <row r="2480" spans="1:1" customFormat="1" hidden="1">
      <c r="A2480" s="13" t="s">
        <v>4211</v>
      </c>
    </row>
    <row r="2481" spans="1:1" customFormat="1" hidden="1">
      <c r="A2481" s="13" t="s">
        <v>4212</v>
      </c>
    </row>
    <row r="2482" spans="1:1" customFormat="1" hidden="1">
      <c r="A2482" s="13" t="s">
        <v>4213</v>
      </c>
    </row>
    <row r="2483" spans="1:1" customFormat="1" hidden="1">
      <c r="A2483" s="13" t="s">
        <v>4214</v>
      </c>
    </row>
    <row r="2484" spans="1:1" customFormat="1" hidden="1">
      <c r="A2484" s="13" t="s">
        <v>4215</v>
      </c>
    </row>
    <row r="2485" spans="1:1" customFormat="1" hidden="1">
      <c r="A2485" s="13" t="s">
        <v>4216</v>
      </c>
    </row>
    <row r="2486" spans="1:1" customFormat="1" hidden="1">
      <c r="A2486" s="13" t="s">
        <v>4217</v>
      </c>
    </row>
    <row r="2487" spans="1:1" customFormat="1" hidden="1">
      <c r="A2487" s="13" t="s">
        <v>4218</v>
      </c>
    </row>
    <row r="2488" spans="1:1" customFormat="1" hidden="1">
      <c r="A2488" s="13" t="s">
        <v>4219</v>
      </c>
    </row>
    <row r="2489" spans="1:1" customFormat="1" hidden="1">
      <c r="A2489" s="13" t="s">
        <v>4220</v>
      </c>
    </row>
    <row r="2490" spans="1:1" customFormat="1" hidden="1">
      <c r="A2490" s="13" t="s">
        <v>4221</v>
      </c>
    </row>
    <row r="2491" spans="1:1" customFormat="1" hidden="1">
      <c r="A2491" s="13" t="s">
        <v>4222</v>
      </c>
    </row>
    <row r="2492" spans="1:1" customFormat="1" hidden="1">
      <c r="A2492" s="13" t="s">
        <v>4223</v>
      </c>
    </row>
    <row r="2493" spans="1:1" customFormat="1" hidden="1">
      <c r="A2493" s="13" t="s">
        <v>4224</v>
      </c>
    </row>
    <row r="2494" spans="1:1" customFormat="1" hidden="1">
      <c r="A2494" s="13" t="s">
        <v>4225</v>
      </c>
    </row>
    <row r="2495" spans="1:1" customFormat="1" hidden="1">
      <c r="A2495" s="13" t="s">
        <v>4226</v>
      </c>
    </row>
    <row r="2496" spans="1:1" customFormat="1" hidden="1">
      <c r="A2496" s="13" t="s">
        <v>4227</v>
      </c>
    </row>
    <row r="2497" spans="1:1" customFormat="1" hidden="1">
      <c r="A2497" s="13" t="s">
        <v>4228</v>
      </c>
    </row>
    <row r="2498" spans="1:1" customFormat="1" hidden="1">
      <c r="A2498" s="13" t="s">
        <v>4229</v>
      </c>
    </row>
    <row r="2499" spans="1:1" customFormat="1" hidden="1">
      <c r="A2499" s="13" t="s">
        <v>4230</v>
      </c>
    </row>
    <row r="2500" spans="1:1" customFormat="1" hidden="1">
      <c r="A2500" s="13" t="s">
        <v>4231</v>
      </c>
    </row>
    <row r="2501" spans="1:1" customFormat="1" hidden="1">
      <c r="A2501" s="13" t="s">
        <v>4232</v>
      </c>
    </row>
    <row r="2502" spans="1:1" customFormat="1" hidden="1">
      <c r="A2502" s="13" t="s">
        <v>4233</v>
      </c>
    </row>
    <row r="2503" spans="1:1" customFormat="1" hidden="1">
      <c r="A2503" s="13" t="s">
        <v>4234</v>
      </c>
    </row>
    <row r="2504" spans="1:1" customFormat="1" hidden="1">
      <c r="A2504" s="13" t="s">
        <v>4235</v>
      </c>
    </row>
    <row r="2505" spans="1:1" customFormat="1" hidden="1">
      <c r="A2505" s="13" t="s">
        <v>4236</v>
      </c>
    </row>
    <row r="2506" spans="1:1" customFormat="1" hidden="1">
      <c r="A2506" s="13" t="s">
        <v>4237</v>
      </c>
    </row>
    <row r="2507" spans="1:1" customFormat="1" hidden="1">
      <c r="A2507" s="13" t="s">
        <v>4238</v>
      </c>
    </row>
    <row r="2508" spans="1:1" customFormat="1" hidden="1">
      <c r="A2508" s="13" t="s">
        <v>4239</v>
      </c>
    </row>
    <row r="2509" spans="1:1" customFormat="1" hidden="1">
      <c r="A2509" s="13" t="s">
        <v>4240</v>
      </c>
    </row>
    <row r="2510" spans="1:1" customFormat="1" hidden="1">
      <c r="A2510" s="13" t="s">
        <v>4241</v>
      </c>
    </row>
    <row r="2511" spans="1:1" customFormat="1" hidden="1">
      <c r="A2511" s="13" t="s">
        <v>4242</v>
      </c>
    </row>
    <row r="2512" spans="1:1" customFormat="1" hidden="1">
      <c r="A2512" s="13" t="s">
        <v>4243</v>
      </c>
    </row>
    <row r="2513" spans="1:1" customFormat="1" hidden="1">
      <c r="A2513" s="13" t="s">
        <v>4244</v>
      </c>
    </row>
    <row r="2514" spans="1:1" customFormat="1" hidden="1">
      <c r="A2514" s="13" t="s">
        <v>4245</v>
      </c>
    </row>
    <row r="2515" spans="1:1" customFormat="1" hidden="1">
      <c r="A2515" s="13" t="s">
        <v>4246</v>
      </c>
    </row>
    <row r="2516" spans="1:1" customFormat="1" hidden="1">
      <c r="A2516" s="13" t="s">
        <v>4247</v>
      </c>
    </row>
    <row r="2517" spans="1:1" customFormat="1" hidden="1">
      <c r="A2517" s="13" t="s">
        <v>4248</v>
      </c>
    </row>
    <row r="2518" spans="1:1" customFormat="1" hidden="1">
      <c r="A2518" s="13" t="s">
        <v>4249</v>
      </c>
    </row>
    <row r="2519" spans="1:1" customFormat="1" hidden="1">
      <c r="A2519" s="13"/>
    </row>
    <row r="2520" spans="1:1" customFormat="1" hidden="1">
      <c r="A2520" s="13" t="s">
        <v>4250</v>
      </c>
    </row>
    <row r="2521" spans="1:1" customFormat="1" hidden="1">
      <c r="A2521" s="13" t="s">
        <v>4251</v>
      </c>
    </row>
    <row r="2522" spans="1:1" customFormat="1" hidden="1">
      <c r="A2522" s="13" t="s">
        <v>4252</v>
      </c>
    </row>
    <row r="2523" spans="1:1" customFormat="1" hidden="1">
      <c r="A2523" s="13" t="s">
        <v>4253</v>
      </c>
    </row>
    <row r="2524" spans="1:1" customFormat="1" hidden="1">
      <c r="A2524" s="13" t="s">
        <v>4254</v>
      </c>
    </row>
    <row r="2525" spans="1:1" customFormat="1" hidden="1">
      <c r="A2525" s="13" t="s">
        <v>4255</v>
      </c>
    </row>
    <row r="2526" spans="1:1" customFormat="1" hidden="1">
      <c r="A2526" s="13" t="s">
        <v>4256</v>
      </c>
    </row>
    <row r="2527" spans="1:1" customFormat="1" hidden="1">
      <c r="A2527" s="13" t="s">
        <v>4257</v>
      </c>
    </row>
    <row r="2528" spans="1:1" customFormat="1" hidden="1">
      <c r="A2528" s="13" t="s">
        <v>4258</v>
      </c>
    </row>
    <row r="2529" spans="1:1" customFormat="1" hidden="1">
      <c r="A2529" s="13" t="s">
        <v>4259</v>
      </c>
    </row>
    <row r="2530" spans="1:1" customFormat="1" hidden="1">
      <c r="A2530" s="13" t="s">
        <v>4260</v>
      </c>
    </row>
    <row r="2531" spans="1:1" customFormat="1" hidden="1">
      <c r="A2531" s="13" t="s">
        <v>4261</v>
      </c>
    </row>
    <row r="2532" spans="1:1" customFormat="1" hidden="1">
      <c r="A2532" s="13" t="s">
        <v>4262</v>
      </c>
    </row>
    <row r="2533" spans="1:1" customFormat="1" hidden="1">
      <c r="A2533" s="13" t="s">
        <v>4263</v>
      </c>
    </row>
    <row r="2534" spans="1:1" customFormat="1" hidden="1">
      <c r="A2534" s="13" t="s">
        <v>4264</v>
      </c>
    </row>
    <row r="2535" spans="1:1" customFormat="1" hidden="1">
      <c r="A2535" s="13" t="s">
        <v>4265</v>
      </c>
    </row>
    <row r="2536" spans="1:1" customFormat="1" hidden="1">
      <c r="A2536" s="13" t="s">
        <v>4266</v>
      </c>
    </row>
    <row r="2537" spans="1:1" customFormat="1" hidden="1">
      <c r="A2537" s="13" t="s">
        <v>4267</v>
      </c>
    </row>
    <row r="2538" spans="1:1" customFormat="1" hidden="1">
      <c r="A2538" s="13" t="s">
        <v>4268</v>
      </c>
    </row>
    <row r="2539" spans="1:1" customFormat="1" hidden="1">
      <c r="A2539" s="13" t="s">
        <v>4269</v>
      </c>
    </row>
    <row r="2540" spans="1:1" customFormat="1" hidden="1">
      <c r="A2540" s="13" t="s">
        <v>4270</v>
      </c>
    </row>
    <row r="2541" spans="1:1" customFormat="1" hidden="1">
      <c r="A2541" s="13" t="s">
        <v>4271</v>
      </c>
    </row>
    <row r="2542" spans="1:1" customFormat="1" hidden="1">
      <c r="A2542" s="13" t="s">
        <v>4272</v>
      </c>
    </row>
    <row r="2543" spans="1:1" customFormat="1" hidden="1">
      <c r="A2543" s="13" t="s">
        <v>4273</v>
      </c>
    </row>
    <row r="2544" spans="1:1" customFormat="1" hidden="1">
      <c r="A2544" s="13" t="s">
        <v>4274</v>
      </c>
    </row>
    <row r="2545" spans="1:1" customFormat="1" hidden="1">
      <c r="A2545" s="13" t="s">
        <v>4275</v>
      </c>
    </row>
    <row r="2546" spans="1:1" customFormat="1" hidden="1">
      <c r="A2546" s="13" t="s">
        <v>4276</v>
      </c>
    </row>
    <row r="2547" spans="1:1" customFormat="1" hidden="1">
      <c r="A2547" s="13" t="s">
        <v>4277</v>
      </c>
    </row>
    <row r="2548" spans="1:1" customFormat="1" hidden="1">
      <c r="A2548" s="13" t="s">
        <v>4278</v>
      </c>
    </row>
    <row r="2549" spans="1:1" customFormat="1" hidden="1">
      <c r="A2549" s="13" t="s">
        <v>4279</v>
      </c>
    </row>
    <row r="2550" spans="1:1" customFormat="1" hidden="1">
      <c r="A2550" s="13" t="s">
        <v>4280</v>
      </c>
    </row>
    <row r="2551" spans="1:1" customFormat="1" hidden="1">
      <c r="A2551" s="13" t="s">
        <v>4281</v>
      </c>
    </row>
    <row r="2552" spans="1:1" customFormat="1" hidden="1">
      <c r="A2552" s="13" t="s">
        <v>4282</v>
      </c>
    </row>
    <row r="2553" spans="1:1" customFormat="1" hidden="1">
      <c r="A2553" s="13" t="s">
        <v>4283</v>
      </c>
    </row>
    <row r="2554" spans="1:1" customFormat="1" hidden="1">
      <c r="A2554" s="13" t="s">
        <v>4284</v>
      </c>
    </row>
    <row r="2555" spans="1:1" customFormat="1" hidden="1">
      <c r="A2555" s="13" t="s">
        <v>4285</v>
      </c>
    </row>
    <row r="2556" spans="1:1" customFormat="1" hidden="1">
      <c r="A2556" s="13" t="s">
        <v>4286</v>
      </c>
    </row>
    <row r="2557" spans="1:1" customFormat="1" hidden="1">
      <c r="A2557" s="13" t="s">
        <v>4287</v>
      </c>
    </row>
    <row r="2558" spans="1:1" customFormat="1" hidden="1">
      <c r="A2558" s="13" t="s">
        <v>4288</v>
      </c>
    </row>
    <row r="2559" spans="1:1" customFormat="1" hidden="1">
      <c r="A2559" s="13" t="s">
        <v>4289</v>
      </c>
    </row>
    <row r="2560" spans="1:1" customFormat="1" hidden="1">
      <c r="A2560" s="13" t="s">
        <v>4290</v>
      </c>
    </row>
    <row r="2561" spans="1:1" customFormat="1" hidden="1">
      <c r="A2561" s="13" t="s">
        <v>4291</v>
      </c>
    </row>
    <row r="2562" spans="1:1" customFormat="1" hidden="1">
      <c r="A2562" s="13" t="s">
        <v>4292</v>
      </c>
    </row>
    <row r="2563" spans="1:1" customFormat="1" hidden="1">
      <c r="A2563" s="13" t="s">
        <v>4293</v>
      </c>
    </row>
    <row r="2564" spans="1:1" customFormat="1" hidden="1">
      <c r="A2564" s="13" t="s">
        <v>4294</v>
      </c>
    </row>
    <row r="2565" spans="1:1" customFormat="1" hidden="1">
      <c r="A2565" s="13" t="s">
        <v>4295</v>
      </c>
    </row>
    <row r="2566" spans="1:1" customFormat="1" hidden="1">
      <c r="A2566" s="13" t="s">
        <v>4296</v>
      </c>
    </row>
    <row r="2567" spans="1:1" customFormat="1" hidden="1">
      <c r="A2567" s="13" t="s">
        <v>4297</v>
      </c>
    </row>
    <row r="2568" spans="1:1" customFormat="1" hidden="1">
      <c r="A2568" s="13" t="s">
        <v>4298</v>
      </c>
    </row>
    <row r="2569" spans="1:1" customFormat="1" hidden="1">
      <c r="A2569" s="13" t="s">
        <v>4299</v>
      </c>
    </row>
    <row r="2570" spans="1:1" customFormat="1" hidden="1">
      <c r="A2570" s="13" t="s">
        <v>4300</v>
      </c>
    </row>
    <row r="2571" spans="1:1" customFormat="1" hidden="1">
      <c r="A2571" s="13" t="s">
        <v>4301</v>
      </c>
    </row>
    <row r="2572" spans="1:1" customFormat="1" hidden="1">
      <c r="A2572" s="13" t="s">
        <v>4302</v>
      </c>
    </row>
    <row r="2573" spans="1:1" customFormat="1" hidden="1">
      <c r="A2573" s="13" t="s">
        <v>4303</v>
      </c>
    </row>
    <row r="2574" spans="1:1" customFormat="1" hidden="1">
      <c r="A2574" s="13" t="s">
        <v>4304</v>
      </c>
    </row>
    <row r="2575" spans="1:1" customFormat="1" hidden="1">
      <c r="A2575" s="13" t="s">
        <v>4305</v>
      </c>
    </row>
    <row r="2576" spans="1:1" customFormat="1" hidden="1">
      <c r="A2576" s="13" t="s">
        <v>4306</v>
      </c>
    </row>
    <row r="2577" spans="1:1" customFormat="1" hidden="1">
      <c r="A2577" s="13" t="s">
        <v>4307</v>
      </c>
    </row>
    <row r="2578" spans="1:1" customFormat="1" hidden="1">
      <c r="A2578" s="13" t="s">
        <v>4308</v>
      </c>
    </row>
    <row r="2579" spans="1:1" customFormat="1" hidden="1">
      <c r="A2579" s="13" t="s">
        <v>4309</v>
      </c>
    </row>
    <row r="2580" spans="1:1" customFormat="1" hidden="1">
      <c r="A2580" s="13" t="s">
        <v>4310</v>
      </c>
    </row>
    <row r="2581" spans="1:1" customFormat="1" hidden="1">
      <c r="A2581" s="13" t="s">
        <v>4311</v>
      </c>
    </row>
    <row r="2582" spans="1:1" customFormat="1" hidden="1">
      <c r="A2582" s="13" t="s">
        <v>4312</v>
      </c>
    </row>
    <row r="2583" spans="1:1" customFormat="1" hidden="1">
      <c r="A2583" s="13" t="s">
        <v>4313</v>
      </c>
    </row>
    <row r="2584" spans="1:1" customFormat="1" hidden="1">
      <c r="A2584" s="13" t="s">
        <v>4314</v>
      </c>
    </row>
    <row r="2585" spans="1:1" customFormat="1" hidden="1">
      <c r="A2585" s="13" t="s">
        <v>4315</v>
      </c>
    </row>
    <row r="2586" spans="1:1" customFormat="1" hidden="1">
      <c r="A2586" s="13" t="s">
        <v>4316</v>
      </c>
    </row>
    <row r="2587" spans="1:1" customFormat="1" hidden="1">
      <c r="A2587" s="13" t="s">
        <v>4317</v>
      </c>
    </row>
    <row r="2588" spans="1:1" customFormat="1" hidden="1">
      <c r="A2588" s="13" t="s">
        <v>4318</v>
      </c>
    </row>
    <row r="2589" spans="1:1" customFormat="1" hidden="1">
      <c r="A2589" s="13" t="s">
        <v>4319</v>
      </c>
    </row>
    <row r="2590" spans="1:1" customFormat="1" hidden="1">
      <c r="A2590" s="13" t="s">
        <v>4320</v>
      </c>
    </row>
    <row r="2591" spans="1:1" customFormat="1" hidden="1">
      <c r="A2591" s="13" t="s">
        <v>4321</v>
      </c>
    </row>
    <row r="2592" spans="1:1" customFormat="1" hidden="1">
      <c r="A2592" s="13" t="s">
        <v>4322</v>
      </c>
    </row>
    <row r="2593" spans="1:1" customFormat="1" hidden="1">
      <c r="A2593" s="13" t="s">
        <v>4323</v>
      </c>
    </row>
    <row r="2594" spans="1:1" customFormat="1" hidden="1">
      <c r="A2594" s="13" t="s">
        <v>4324</v>
      </c>
    </row>
    <row r="2595" spans="1:1" customFormat="1" hidden="1">
      <c r="A2595" s="13" t="s">
        <v>4325</v>
      </c>
    </row>
    <row r="2596" spans="1:1" customFormat="1" hidden="1">
      <c r="A2596" s="13" t="s">
        <v>4326</v>
      </c>
    </row>
    <row r="2597" spans="1:1" customFormat="1" hidden="1">
      <c r="A2597" s="13" t="s">
        <v>4327</v>
      </c>
    </row>
    <row r="2598" spans="1:1" customFormat="1" hidden="1">
      <c r="A2598" s="13" t="s">
        <v>4328</v>
      </c>
    </row>
    <row r="2599" spans="1:1" customFormat="1" hidden="1">
      <c r="A2599" s="13" t="s">
        <v>4329</v>
      </c>
    </row>
    <row r="2600" spans="1:1" customFormat="1" hidden="1">
      <c r="A2600" s="13" t="s">
        <v>4330</v>
      </c>
    </row>
    <row r="2601" spans="1:1" customFormat="1" hidden="1">
      <c r="A2601" s="13" t="s">
        <v>4331</v>
      </c>
    </row>
    <row r="2602" spans="1:1" customFormat="1" hidden="1">
      <c r="A2602" s="13" t="s">
        <v>4332</v>
      </c>
    </row>
    <row r="2603" spans="1:1" customFormat="1" hidden="1">
      <c r="A2603" s="13" t="s">
        <v>4333</v>
      </c>
    </row>
    <row r="2604" spans="1:1" customFormat="1" hidden="1">
      <c r="A2604" s="13" t="s">
        <v>4334</v>
      </c>
    </row>
    <row r="2605" spans="1:1" customFormat="1" hidden="1">
      <c r="A2605" s="13" t="s">
        <v>4335</v>
      </c>
    </row>
    <row r="2606" spans="1:1" customFormat="1" hidden="1">
      <c r="A2606" s="13" t="s">
        <v>4336</v>
      </c>
    </row>
    <row r="2607" spans="1:1" customFormat="1" hidden="1">
      <c r="A2607" s="13" t="s">
        <v>4337</v>
      </c>
    </row>
    <row r="2608" spans="1:1" customFormat="1" hidden="1">
      <c r="A2608" s="13" t="s">
        <v>4338</v>
      </c>
    </row>
    <row r="2609" spans="1:1" customFormat="1" hidden="1">
      <c r="A2609" s="13" t="s">
        <v>4339</v>
      </c>
    </row>
    <row r="2610" spans="1:1" customFormat="1" hidden="1">
      <c r="A2610" s="13" t="s">
        <v>4340</v>
      </c>
    </row>
    <row r="2611" spans="1:1" customFormat="1" hidden="1">
      <c r="A2611" s="13" t="s">
        <v>4341</v>
      </c>
    </row>
    <row r="2612" spans="1:1" customFormat="1" hidden="1">
      <c r="A2612" s="13" t="s">
        <v>4342</v>
      </c>
    </row>
    <row r="2613" spans="1:1" customFormat="1" hidden="1">
      <c r="A2613" s="13" t="s">
        <v>4343</v>
      </c>
    </row>
    <row r="2614" spans="1:1" customFormat="1" hidden="1">
      <c r="A2614" s="13" t="s">
        <v>4344</v>
      </c>
    </row>
    <row r="2615" spans="1:1" customFormat="1" hidden="1">
      <c r="A2615" s="13" t="s">
        <v>4345</v>
      </c>
    </row>
    <row r="2616" spans="1:1" customFormat="1" hidden="1">
      <c r="A2616" s="13" t="s">
        <v>4346</v>
      </c>
    </row>
    <row r="2617" spans="1:1" customFormat="1" hidden="1">
      <c r="A2617" s="13" t="s">
        <v>4347</v>
      </c>
    </row>
    <row r="2618" spans="1:1" customFormat="1" hidden="1">
      <c r="A2618" s="13" t="s">
        <v>4348</v>
      </c>
    </row>
    <row r="2619" spans="1:1" customFormat="1" hidden="1">
      <c r="A2619" s="13" t="s">
        <v>4349</v>
      </c>
    </row>
    <row r="2620" spans="1:1" customFormat="1" hidden="1">
      <c r="A2620" s="13" t="s">
        <v>4350</v>
      </c>
    </row>
    <row r="2621" spans="1:1" customFormat="1" hidden="1">
      <c r="A2621" s="13" t="s">
        <v>4351</v>
      </c>
    </row>
    <row r="2622" spans="1:1" customFormat="1" hidden="1">
      <c r="A2622" s="13" t="s">
        <v>4352</v>
      </c>
    </row>
    <row r="2623" spans="1:1" customFormat="1" hidden="1">
      <c r="A2623" s="13" t="s">
        <v>4353</v>
      </c>
    </row>
    <row r="2624" spans="1:1" customFormat="1" hidden="1">
      <c r="A2624" s="13" t="s">
        <v>4354</v>
      </c>
    </row>
    <row r="2625" spans="1:1" customFormat="1" hidden="1">
      <c r="A2625" s="13" t="s">
        <v>4355</v>
      </c>
    </row>
    <row r="2626" spans="1:1" customFormat="1" hidden="1">
      <c r="A2626" s="13" t="s">
        <v>4356</v>
      </c>
    </row>
    <row r="2627" spans="1:1" customFormat="1" hidden="1">
      <c r="A2627" s="13" t="s">
        <v>4357</v>
      </c>
    </row>
    <row r="2628" spans="1:1" customFormat="1" hidden="1">
      <c r="A2628" s="13" t="s">
        <v>4358</v>
      </c>
    </row>
    <row r="2629" spans="1:1" customFormat="1" hidden="1">
      <c r="A2629" s="13" t="s">
        <v>4359</v>
      </c>
    </row>
    <row r="2630" spans="1:1" customFormat="1" hidden="1">
      <c r="A2630" s="13" t="s">
        <v>4360</v>
      </c>
    </row>
    <row r="2631" spans="1:1" customFormat="1" hidden="1">
      <c r="A2631" s="13" t="s">
        <v>4361</v>
      </c>
    </row>
    <row r="2632" spans="1:1" customFormat="1" hidden="1">
      <c r="A2632" s="13" t="s">
        <v>4362</v>
      </c>
    </row>
    <row r="2633" spans="1:1" customFormat="1" hidden="1">
      <c r="A2633" s="13" t="s">
        <v>4363</v>
      </c>
    </row>
    <row r="2634" spans="1:1" customFormat="1" hidden="1">
      <c r="A2634" s="13" t="s">
        <v>4364</v>
      </c>
    </row>
    <row r="2635" spans="1:1" customFormat="1" hidden="1">
      <c r="A2635" s="13" t="s">
        <v>4365</v>
      </c>
    </row>
    <row r="2636" spans="1:1" customFormat="1" hidden="1">
      <c r="A2636" s="13" t="s">
        <v>4366</v>
      </c>
    </row>
    <row r="2637" spans="1:1" customFormat="1" hidden="1">
      <c r="A2637" s="13" t="s">
        <v>4367</v>
      </c>
    </row>
    <row r="2638" spans="1:1" customFormat="1" hidden="1">
      <c r="A2638" s="13" t="s">
        <v>4368</v>
      </c>
    </row>
    <row r="2639" spans="1:1" customFormat="1" hidden="1">
      <c r="A2639" s="13" t="s">
        <v>4369</v>
      </c>
    </row>
    <row r="2640" spans="1:1" customFormat="1" hidden="1">
      <c r="A2640" s="13" t="s">
        <v>4370</v>
      </c>
    </row>
    <row r="2641" spans="1:1" customFormat="1" hidden="1">
      <c r="A2641" s="13" t="s">
        <v>4371</v>
      </c>
    </row>
    <row r="2642" spans="1:1" customFormat="1" hidden="1">
      <c r="A2642" s="13" t="s">
        <v>4372</v>
      </c>
    </row>
    <row r="2643" spans="1:1" customFormat="1" hidden="1">
      <c r="A2643" s="13" t="s">
        <v>4373</v>
      </c>
    </row>
    <row r="2644" spans="1:1" customFormat="1" hidden="1">
      <c r="A2644" s="13" t="s">
        <v>4374</v>
      </c>
    </row>
    <row r="2645" spans="1:1" customFormat="1" hidden="1">
      <c r="A2645" s="13" t="s">
        <v>4375</v>
      </c>
    </row>
    <row r="2646" spans="1:1" customFormat="1" hidden="1">
      <c r="A2646" s="13" t="s">
        <v>4376</v>
      </c>
    </row>
    <row r="2647" spans="1:1" customFormat="1" hidden="1">
      <c r="A2647" s="13" t="s">
        <v>4377</v>
      </c>
    </row>
    <row r="2648" spans="1:1" customFormat="1" hidden="1">
      <c r="A2648" s="13" t="s">
        <v>4378</v>
      </c>
    </row>
    <row r="2649" spans="1:1" customFormat="1" hidden="1">
      <c r="A2649" s="13" t="s">
        <v>4379</v>
      </c>
    </row>
    <row r="2650" spans="1:1" customFormat="1" hidden="1">
      <c r="A2650" s="13" t="s">
        <v>4380</v>
      </c>
    </row>
    <row r="2651" spans="1:1" customFormat="1" hidden="1">
      <c r="A2651" s="13" t="s">
        <v>4381</v>
      </c>
    </row>
    <row r="2652" spans="1:1" customFormat="1" hidden="1">
      <c r="A2652" s="13" t="s">
        <v>4382</v>
      </c>
    </row>
    <row r="2653" spans="1:1" customFormat="1" hidden="1">
      <c r="A2653" s="13" t="s">
        <v>4383</v>
      </c>
    </row>
    <row r="2654" spans="1:1" customFormat="1" hidden="1">
      <c r="A2654" s="13" t="s">
        <v>4384</v>
      </c>
    </row>
    <row r="2655" spans="1:1" customFormat="1" hidden="1">
      <c r="A2655" s="13" t="s">
        <v>4385</v>
      </c>
    </row>
    <row r="2656" spans="1:1" customFormat="1" hidden="1">
      <c r="A2656" s="13" t="s">
        <v>4386</v>
      </c>
    </row>
    <row r="2657" spans="1:1" customFormat="1" hidden="1">
      <c r="A2657" s="13" t="s">
        <v>4387</v>
      </c>
    </row>
    <row r="2658" spans="1:1" customFormat="1" hidden="1">
      <c r="A2658" s="13" t="s">
        <v>4388</v>
      </c>
    </row>
    <row r="2659" spans="1:1" customFormat="1" hidden="1">
      <c r="A2659" s="13" t="s">
        <v>4389</v>
      </c>
    </row>
    <row r="2660" spans="1:1" customFormat="1" hidden="1">
      <c r="A2660" s="13" t="s">
        <v>4390</v>
      </c>
    </row>
    <row r="2661" spans="1:1" customFormat="1" hidden="1">
      <c r="A2661" s="13" t="s">
        <v>4391</v>
      </c>
    </row>
    <row r="2662" spans="1:1" customFormat="1" hidden="1">
      <c r="A2662" s="13" t="s">
        <v>4392</v>
      </c>
    </row>
    <row r="2663" spans="1:1" customFormat="1" hidden="1">
      <c r="A2663" s="13" t="s">
        <v>4393</v>
      </c>
    </row>
    <row r="2664" spans="1:1" customFormat="1" hidden="1">
      <c r="A2664" s="13" t="s">
        <v>4394</v>
      </c>
    </row>
    <row r="2665" spans="1:1" customFormat="1" hidden="1">
      <c r="A2665" s="13" t="s">
        <v>4395</v>
      </c>
    </row>
    <row r="2666" spans="1:1" customFormat="1" hidden="1">
      <c r="A2666" s="13" t="s">
        <v>4396</v>
      </c>
    </row>
    <row r="2667" spans="1:1" customFormat="1" hidden="1">
      <c r="A2667" s="13" t="s">
        <v>4397</v>
      </c>
    </row>
    <row r="2668" spans="1:1" customFormat="1" hidden="1">
      <c r="A2668" s="13" t="s">
        <v>4398</v>
      </c>
    </row>
    <row r="2669" spans="1:1" customFormat="1" hidden="1">
      <c r="A2669" s="13" t="s">
        <v>4399</v>
      </c>
    </row>
    <row r="2670" spans="1:1" customFormat="1" hidden="1">
      <c r="A2670" s="13" t="s">
        <v>4400</v>
      </c>
    </row>
    <row r="2671" spans="1:1" customFormat="1" hidden="1">
      <c r="A2671" s="13" t="s">
        <v>4401</v>
      </c>
    </row>
    <row r="2672" spans="1:1" customFormat="1" hidden="1">
      <c r="A2672" s="13" t="s">
        <v>4402</v>
      </c>
    </row>
    <row r="2673" spans="1:1" customFormat="1" hidden="1">
      <c r="A2673" s="13" t="s">
        <v>4403</v>
      </c>
    </row>
    <row r="2674" spans="1:1" customFormat="1" hidden="1">
      <c r="A2674" s="13" t="s">
        <v>4404</v>
      </c>
    </row>
    <row r="2675" spans="1:1" customFormat="1" hidden="1">
      <c r="A2675" s="13" t="s">
        <v>4405</v>
      </c>
    </row>
    <row r="2676" spans="1:1" customFormat="1" hidden="1">
      <c r="A2676" s="13" t="s">
        <v>4406</v>
      </c>
    </row>
    <row r="2677" spans="1:1" customFormat="1" hidden="1">
      <c r="A2677" s="13" t="s">
        <v>4407</v>
      </c>
    </row>
    <row r="2678" spans="1:1" customFormat="1" hidden="1">
      <c r="A2678" s="13" t="s">
        <v>4408</v>
      </c>
    </row>
    <row r="2679" spans="1:1" customFormat="1" hidden="1">
      <c r="A2679" s="13" t="s">
        <v>4409</v>
      </c>
    </row>
    <row r="2680" spans="1:1" customFormat="1" hidden="1">
      <c r="A2680" s="13" t="s">
        <v>4410</v>
      </c>
    </row>
    <row r="2681" spans="1:1" customFormat="1" hidden="1">
      <c r="A2681" s="13" t="s">
        <v>4411</v>
      </c>
    </row>
    <row r="2682" spans="1:1" customFormat="1" hidden="1">
      <c r="A2682" s="13" t="s">
        <v>4412</v>
      </c>
    </row>
    <row r="2683" spans="1:1" customFormat="1" hidden="1">
      <c r="A2683" s="13" t="s">
        <v>4413</v>
      </c>
    </row>
    <row r="2684" spans="1:1" customFormat="1" hidden="1">
      <c r="A2684" s="13" t="s">
        <v>4414</v>
      </c>
    </row>
    <row r="2685" spans="1:1" customFormat="1" hidden="1">
      <c r="A2685" s="13" t="s">
        <v>4415</v>
      </c>
    </row>
    <row r="2686" spans="1:1" customFormat="1" hidden="1">
      <c r="A2686" s="13" t="s">
        <v>4416</v>
      </c>
    </row>
    <row r="2687" spans="1:1" customFormat="1" hidden="1">
      <c r="A2687" s="13" t="s">
        <v>4417</v>
      </c>
    </row>
    <row r="2688" spans="1:1" customFormat="1" hidden="1">
      <c r="A2688" s="13" t="s">
        <v>4418</v>
      </c>
    </row>
    <row r="2689" spans="1:1" customFormat="1" hidden="1">
      <c r="A2689" s="13" t="s">
        <v>4419</v>
      </c>
    </row>
    <row r="2690" spans="1:1" customFormat="1" hidden="1">
      <c r="A2690" s="13" t="s">
        <v>4420</v>
      </c>
    </row>
    <row r="2691" spans="1:1" customFormat="1" hidden="1">
      <c r="A2691" s="13" t="s">
        <v>4421</v>
      </c>
    </row>
    <row r="2692" spans="1:1" customFormat="1" hidden="1">
      <c r="A2692" s="13" t="s">
        <v>4422</v>
      </c>
    </row>
    <row r="2693" spans="1:1" customFormat="1" hidden="1">
      <c r="A2693" s="13" t="s">
        <v>4423</v>
      </c>
    </row>
    <row r="2694" spans="1:1" customFormat="1" hidden="1">
      <c r="A2694" s="13" t="s">
        <v>4424</v>
      </c>
    </row>
    <row r="2695" spans="1:1" customFormat="1" hidden="1">
      <c r="A2695" s="13" t="s">
        <v>4425</v>
      </c>
    </row>
    <row r="2696" spans="1:1" customFormat="1" hidden="1">
      <c r="A2696" s="13" t="s">
        <v>4426</v>
      </c>
    </row>
    <row r="2697" spans="1:1" customFormat="1" hidden="1">
      <c r="A2697" s="13" t="s">
        <v>4427</v>
      </c>
    </row>
    <row r="2698" spans="1:1" customFormat="1" hidden="1">
      <c r="A2698" s="13" t="s">
        <v>4428</v>
      </c>
    </row>
    <row r="2699" spans="1:1" customFormat="1" hidden="1">
      <c r="A2699" s="13" t="s">
        <v>4429</v>
      </c>
    </row>
    <row r="2700" spans="1:1" customFormat="1" hidden="1">
      <c r="A2700" s="13" t="s">
        <v>4430</v>
      </c>
    </row>
    <row r="2701" spans="1:1" customFormat="1" hidden="1">
      <c r="A2701" s="13" t="s">
        <v>4431</v>
      </c>
    </row>
    <row r="2702" spans="1:1" customFormat="1" hidden="1">
      <c r="A2702" s="13" t="s">
        <v>4432</v>
      </c>
    </row>
    <row r="2703" spans="1:1" customFormat="1" hidden="1">
      <c r="A2703" s="13" t="s">
        <v>4433</v>
      </c>
    </row>
    <row r="2704" spans="1:1" customFormat="1" hidden="1">
      <c r="A2704" s="13" t="s">
        <v>4434</v>
      </c>
    </row>
    <row r="2705" spans="1:8" customFormat="1" hidden="1">
      <c r="A2705" s="13" t="s">
        <v>4435</v>
      </c>
    </row>
    <row r="2706" spans="1:8" customFormat="1" hidden="1">
      <c r="A2706" s="13" t="s">
        <v>4436</v>
      </c>
    </row>
    <row r="2707" spans="1:8" customFormat="1" hidden="1">
      <c r="A2707" s="13" t="s">
        <v>4437</v>
      </c>
    </row>
    <row r="2708" spans="1:8" customFormat="1" hidden="1">
      <c r="A2708" s="13" t="s">
        <v>4438</v>
      </c>
    </row>
    <row r="2709" spans="1:8" customFormat="1" hidden="1">
      <c r="A2709" s="13" t="s">
        <v>4439</v>
      </c>
    </row>
    <row r="2710" spans="1:8" customFormat="1" hidden="1">
      <c r="A2710" s="13" t="s">
        <v>4440</v>
      </c>
    </row>
    <row r="2711" spans="1:8" customFormat="1" hidden="1">
      <c r="A2711" s="13" t="s">
        <v>4441</v>
      </c>
    </row>
    <row r="2712" spans="1:8" customFormat="1" hidden="1">
      <c r="A2712" s="13" t="s">
        <v>4442</v>
      </c>
    </row>
    <row r="2713" spans="1:8" customFormat="1" hidden="1">
      <c r="A2713" s="13"/>
    </row>
    <row r="2714" spans="1:8" customFormat="1" hidden="1">
      <c r="A2714" s="13" t="s">
        <v>4443</v>
      </c>
    </row>
    <row r="2715" spans="1:8" customFormat="1" hidden="1">
      <c r="A2715" s="13" t="s">
        <v>4444</v>
      </c>
    </row>
    <row r="2716" spans="1:8" customFormat="1" hidden="1">
      <c r="A2716" s="13" t="s">
        <v>4445</v>
      </c>
    </row>
    <row r="2717" spans="1:8" customFormat="1">
      <c r="A2717" s="13" t="s">
        <v>7058</v>
      </c>
      <c r="B2717">
        <v>3</v>
      </c>
      <c r="E2717" s="13" t="s">
        <v>7059</v>
      </c>
      <c r="F2717" s="13">
        <v>2</v>
      </c>
      <c r="G2717" s="13" t="s">
        <v>7060</v>
      </c>
      <c r="H2717" s="13" t="str">
        <f>IF(G4273&lt;&gt;"NOUSE",VLOOKUP(G4273,$F$141:$G$176,2,FALSE),"NOUSE")</f>
        <v>NOUSE</v>
      </c>
    </row>
    <row r="2718" spans="1:8" customFormat="1">
      <c r="A2718" s="13" t="s">
        <v>7061</v>
      </c>
      <c r="B2718">
        <v>3</v>
      </c>
      <c r="E2718" s="13" t="s">
        <v>7062</v>
      </c>
      <c r="F2718" s="13">
        <v>3</v>
      </c>
      <c r="G2718" s="13" t="s">
        <v>7063</v>
      </c>
      <c r="H2718" s="13" t="str">
        <f t="shared" ref="H2718:H2719" si="0">IF(G4274&lt;&gt;"NOUSE",VLOOKUP(G4274,$F$141:$G$176,2,FALSE),"NOUSE")</f>
        <v>NOUSE</v>
      </c>
    </row>
    <row r="2719" spans="1:8" customFormat="1">
      <c r="A2719" s="13" t="s">
        <v>7064</v>
      </c>
      <c r="B2719">
        <v>3</v>
      </c>
      <c r="E2719" s="13" t="s">
        <v>7065</v>
      </c>
      <c r="F2719" s="13">
        <v>4</v>
      </c>
      <c r="G2719" s="13" t="s">
        <v>7066</v>
      </c>
      <c r="H2719" s="13" t="str">
        <f t="shared" si="0"/>
        <v>NOUSE</v>
      </c>
    </row>
    <row r="2720" spans="1:8" customFormat="1" hidden="1">
      <c r="A2720" s="13" t="s">
        <v>4451</v>
      </c>
    </row>
    <row r="2721" spans="1:1" customFormat="1" hidden="1">
      <c r="A2721" s="13" t="s">
        <v>4452</v>
      </c>
    </row>
    <row r="2722" spans="1:1" customFormat="1" hidden="1">
      <c r="A2722" s="13" t="s">
        <v>4453</v>
      </c>
    </row>
    <row r="2723" spans="1:1" customFormat="1" hidden="1">
      <c r="A2723" s="13" t="s">
        <v>4454</v>
      </c>
    </row>
    <row r="2724" spans="1:1" customFormat="1" hidden="1">
      <c r="A2724" s="13" t="s">
        <v>4455</v>
      </c>
    </row>
    <row r="2725" spans="1:1" customFormat="1" hidden="1">
      <c r="A2725" s="13" t="s">
        <v>4456</v>
      </c>
    </row>
    <row r="2726" spans="1:1" customFormat="1" hidden="1">
      <c r="A2726" s="13" t="s">
        <v>4457</v>
      </c>
    </row>
    <row r="2727" spans="1:1" customFormat="1" hidden="1">
      <c r="A2727" s="13" t="s">
        <v>4458</v>
      </c>
    </row>
    <row r="2728" spans="1:1" customFormat="1" hidden="1">
      <c r="A2728" s="13" t="s">
        <v>4459</v>
      </c>
    </row>
    <row r="2729" spans="1:1" customFormat="1" hidden="1">
      <c r="A2729" s="13" t="s">
        <v>4460</v>
      </c>
    </row>
    <row r="2730" spans="1:1" customFormat="1" hidden="1">
      <c r="A2730" s="13" t="s">
        <v>4461</v>
      </c>
    </row>
    <row r="2731" spans="1:1" customFormat="1" hidden="1">
      <c r="A2731" s="13" t="s">
        <v>4462</v>
      </c>
    </row>
    <row r="2732" spans="1:1" customFormat="1" hidden="1">
      <c r="A2732" s="13" t="s">
        <v>4463</v>
      </c>
    </row>
    <row r="2733" spans="1:1" customFormat="1" hidden="1">
      <c r="A2733" s="13" t="s">
        <v>4464</v>
      </c>
    </row>
    <row r="2734" spans="1:1" customFormat="1" hidden="1">
      <c r="A2734" s="13" t="s">
        <v>4465</v>
      </c>
    </row>
    <row r="2735" spans="1:1" customFormat="1" hidden="1">
      <c r="A2735" s="13" t="s">
        <v>4466</v>
      </c>
    </row>
    <row r="2736" spans="1:1" customFormat="1" hidden="1">
      <c r="A2736" s="13" t="s">
        <v>4467</v>
      </c>
    </row>
    <row r="2737" spans="1:1" customFormat="1" hidden="1">
      <c r="A2737" s="13" t="s">
        <v>4468</v>
      </c>
    </row>
    <row r="2738" spans="1:1" customFormat="1" hidden="1">
      <c r="A2738" s="13" t="s">
        <v>4469</v>
      </c>
    </row>
    <row r="2739" spans="1:1" customFormat="1" hidden="1">
      <c r="A2739" s="13" t="s">
        <v>4470</v>
      </c>
    </row>
    <row r="2740" spans="1:1" customFormat="1" hidden="1">
      <c r="A2740" s="13" t="s">
        <v>4471</v>
      </c>
    </row>
    <row r="2741" spans="1:1" customFormat="1" hidden="1">
      <c r="A2741" s="13" t="s">
        <v>4472</v>
      </c>
    </row>
    <row r="2742" spans="1:1" customFormat="1" hidden="1">
      <c r="A2742" s="13" t="s">
        <v>4473</v>
      </c>
    </row>
    <row r="2743" spans="1:1" customFormat="1" hidden="1">
      <c r="A2743" s="13" t="s">
        <v>4474</v>
      </c>
    </row>
    <row r="2744" spans="1:1" customFormat="1" hidden="1">
      <c r="A2744" s="13" t="s">
        <v>4475</v>
      </c>
    </row>
    <row r="2745" spans="1:1" customFormat="1" hidden="1">
      <c r="A2745" s="13" t="s">
        <v>4476</v>
      </c>
    </row>
    <row r="2746" spans="1:1" customFormat="1" hidden="1">
      <c r="A2746" s="13" t="s">
        <v>4477</v>
      </c>
    </row>
    <row r="2747" spans="1:1" customFormat="1" hidden="1">
      <c r="A2747" s="13" t="s">
        <v>4478</v>
      </c>
    </row>
    <row r="2748" spans="1:1" customFormat="1" hidden="1">
      <c r="A2748" s="13" t="s">
        <v>4479</v>
      </c>
    </row>
    <row r="2749" spans="1:1" customFormat="1" hidden="1">
      <c r="A2749" s="13" t="s">
        <v>4480</v>
      </c>
    </row>
    <row r="2750" spans="1:1" customFormat="1" hidden="1">
      <c r="A2750" s="13" t="s">
        <v>4481</v>
      </c>
    </row>
    <row r="2751" spans="1:1" customFormat="1" hidden="1">
      <c r="A2751" s="13" t="s">
        <v>4482</v>
      </c>
    </row>
    <row r="2752" spans="1:1" customFormat="1" hidden="1">
      <c r="A2752" s="13" t="s">
        <v>4483</v>
      </c>
    </row>
    <row r="2753" spans="1:1" customFormat="1" hidden="1">
      <c r="A2753" s="13" t="s">
        <v>4484</v>
      </c>
    </row>
    <row r="2754" spans="1:1" customFormat="1" hidden="1">
      <c r="A2754" s="13" t="s">
        <v>4485</v>
      </c>
    </row>
    <row r="2755" spans="1:1" customFormat="1" hidden="1">
      <c r="A2755" s="13" t="s">
        <v>4486</v>
      </c>
    </row>
    <row r="2756" spans="1:1" customFormat="1" hidden="1">
      <c r="A2756" s="13" t="s">
        <v>4487</v>
      </c>
    </row>
    <row r="2757" spans="1:1" customFormat="1" hidden="1">
      <c r="A2757" s="13" t="s">
        <v>4488</v>
      </c>
    </row>
    <row r="2758" spans="1:1" customFormat="1" hidden="1">
      <c r="A2758" s="13" t="s">
        <v>4489</v>
      </c>
    </row>
    <row r="2759" spans="1:1" customFormat="1" hidden="1">
      <c r="A2759" s="13" t="s">
        <v>4490</v>
      </c>
    </row>
    <row r="2760" spans="1:1" customFormat="1" hidden="1">
      <c r="A2760" s="13" t="s">
        <v>4491</v>
      </c>
    </row>
    <row r="2761" spans="1:1" customFormat="1" hidden="1">
      <c r="A2761" s="13" t="s">
        <v>4492</v>
      </c>
    </row>
    <row r="2762" spans="1:1" customFormat="1" hidden="1">
      <c r="A2762" s="13" t="s">
        <v>4493</v>
      </c>
    </row>
    <row r="2763" spans="1:1" customFormat="1" hidden="1">
      <c r="A2763" s="13" t="s">
        <v>4494</v>
      </c>
    </row>
    <row r="2764" spans="1:1" customFormat="1" hidden="1">
      <c r="A2764" s="13" t="s">
        <v>4495</v>
      </c>
    </row>
    <row r="2765" spans="1:1" customFormat="1" hidden="1">
      <c r="A2765" s="13" t="s">
        <v>4496</v>
      </c>
    </row>
    <row r="2766" spans="1:1" customFormat="1" hidden="1">
      <c r="A2766" s="13" t="s">
        <v>4497</v>
      </c>
    </row>
    <row r="2767" spans="1:1" customFormat="1" hidden="1">
      <c r="A2767" s="13" t="s">
        <v>4498</v>
      </c>
    </row>
    <row r="2768" spans="1:1" customFormat="1" hidden="1">
      <c r="A2768" s="13" t="s">
        <v>4499</v>
      </c>
    </row>
    <row r="2769" spans="1:1" customFormat="1" hidden="1">
      <c r="A2769" s="13" t="s">
        <v>4500</v>
      </c>
    </row>
    <row r="2770" spans="1:1" customFormat="1" hidden="1">
      <c r="A2770" s="13" t="s">
        <v>4501</v>
      </c>
    </row>
    <row r="2771" spans="1:1" customFormat="1" hidden="1">
      <c r="A2771" s="13" t="s">
        <v>4502</v>
      </c>
    </row>
    <row r="2772" spans="1:1" customFormat="1" hidden="1">
      <c r="A2772" s="13" t="s">
        <v>4503</v>
      </c>
    </row>
    <row r="2773" spans="1:1" customFormat="1" hidden="1">
      <c r="A2773" s="13" t="s">
        <v>4504</v>
      </c>
    </row>
    <row r="2774" spans="1:1" customFormat="1" hidden="1">
      <c r="A2774" s="13" t="s">
        <v>4505</v>
      </c>
    </row>
    <row r="2775" spans="1:1" customFormat="1" hidden="1">
      <c r="A2775" s="13" t="s">
        <v>4506</v>
      </c>
    </row>
    <row r="2776" spans="1:1" customFormat="1" hidden="1">
      <c r="A2776" s="13" t="s">
        <v>4507</v>
      </c>
    </row>
    <row r="2777" spans="1:1" customFormat="1" hidden="1">
      <c r="A2777" s="13" t="s">
        <v>4508</v>
      </c>
    </row>
    <row r="2778" spans="1:1" customFormat="1" hidden="1">
      <c r="A2778" s="13" t="s">
        <v>4509</v>
      </c>
    </row>
    <row r="2779" spans="1:1" customFormat="1" hidden="1">
      <c r="A2779" s="13" t="s">
        <v>4510</v>
      </c>
    </row>
    <row r="2780" spans="1:1" customFormat="1" hidden="1">
      <c r="A2780" s="13" t="s">
        <v>4511</v>
      </c>
    </row>
    <row r="2781" spans="1:1" customFormat="1" hidden="1">
      <c r="A2781" s="13" t="s">
        <v>4512</v>
      </c>
    </row>
    <row r="2782" spans="1:1" customFormat="1" hidden="1">
      <c r="A2782" s="13" t="s">
        <v>4513</v>
      </c>
    </row>
    <row r="2783" spans="1:1" customFormat="1" hidden="1">
      <c r="A2783" s="13" t="s">
        <v>4514</v>
      </c>
    </row>
    <row r="2784" spans="1:1" customFormat="1" hidden="1">
      <c r="A2784" s="13" t="s">
        <v>4515</v>
      </c>
    </row>
    <row r="2785" spans="1:1" customFormat="1" hidden="1">
      <c r="A2785" s="13" t="s">
        <v>4516</v>
      </c>
    </row>
    <row r="2786" spans="1:1" customFormat="1" hidden="1">
      <c r="A2786" s="13" t="s">
        <v>4517</v>
      </c>
    </row>
    <row r="2787" spans="1:1" customFormat="1" hidden="1">
      <c r="A2787" s="13" t="s">
        <v>4518</v>
      </c>
    </row>
    <row r="2788" spans="1:1" customFormat="1" hidden="1">
      <c r="A2788" s="13" t="s">
        <v>4519</v>
      </c>
    </row>
    <row r="2789" spans="1:1" customFormat="1" hidden="1">
      <c r="A2789" s="13" t="s">
        <v>4520</v>
      </c>
    </row>
    <row r="2790" spans="1:1" customFormat="1" hidden="1">
      <c r="A2790" s="13" t="s">
        <v>4521</v>
      </c>
    </row>
    <row r="2791" spans="1:1" customFormat="1" hidden="1">
      <c r="A2791" s="13" t="s">
        <v>4522</v>
      </c>
    </row>
    <row r="2792" spans="1:1" customFormat="1" hidden="1">
      <c r="A2792" s="13" t="s">
        <v>4523</v>
      </c>
    </row>
    <row r="2793" spans="1:1" customFormat="1" hidden="1">
      <c r="A2793" s="13" t="s">
        <v>4524</v>
      </c>
    </row>
    <row r="2794" spans="1:1" customFormat="1" hidden="1">
      <c r="A2794" s="13" t="s">
        <v>4525</v>
      </c>
    </row>
    <row r="2795" spans="1:1" customFormat="1" hidden="1">
      <c r="A2795" s="13" t="s">
        <v>4526</v>
      </c>
    </row>
    <row r="2796" spans="1:1" customFormat="1" hidden="1">
      <c r="A2796" s="13" t="s">
        <v>4527</v>
      </c>
    </row>
    <row r="2797" spans="1:1" customFormat="1" hidden="1">
      <c r="A2797" s="13" t="s">
        <v>4528</v>
      </c>
    </row>
    <row r="2798" spans="1:1" customFormat="1" hidden="1">
      <c r="A2798" s="13" t="s">
        <v>4529</v>
      </c>
    </row>
    <row r="2799" spans="1:1" customFormat="1" hidden="1">
      <c r="A2799" s="13" t="s">
        <v>4530</v>
      </c>
    </row>
    <row r="2800" spans="1:1" customFormat="1" hidden="1">
      <c r="A2800" s="13" t="s">
        <v>4531</v>
      </c>
    </row>
    <row r="2801" spans="1:1" customFormat="1" hidden="1">
      <c r="A2801" s="13" t="s">
        <v>4532</v>
      </c>
    </row>
    <row r="2802" spans="1:1" customFormat="1" hidden="1">
      <c r="A2802" s="13" t="s">
        <v>4533</v>
      </c>
    </row>
    <row r="2803" spans="1:1" customFormat="1" hidden="1">
      <c r="A2803" s="13" t="s">
        <v>4534</v>
      </c>
    </row>
    <row r="2804" spans="1:1" customFormat="1" hidden="1">
      <c r="A2804" s="13" t="s">
        <v>4535</v>
      </c>
    </row>
    <row r="2805" spans="1:1" customFormat="1" hidden="1">
      <c r="A2805" s="13" t="s">
        <v>4536</v>
      </c>
    </row>
    <row r="2806" spans="1:1" customFormat="1" hidden="1">
      <c r="A2806" s="13" t="s">
        <v>4537</v>
      </c>
    </row>
    <row r="2807" spans="1:1" customFormat="1" hidden="1">
      <c r="A2807" s="13" t="s">
        <v>4538</v>
      </c>
    </row>
    <row r="2808" spans="1:1" customFormat="1" hidden="1">
      <c r="A2808" s="13" t="s">
        <v>4539</v>
      </c>
    </row>
    <row r="2809" spans="1:1" customFormat="1" hidden="1">
      <c r="A2809" s="13" t="s">
        <v>4540</v>
      </c>
    </row>
    <row r="2810" spans="1:1" customFormat="1" hidden="1">
      <c r="A2810" s="13" t="s">
        <v>4541</v>
      </c>
    </row>
    <row r="2811" spans="1:1" customFormat="1" hidden="1">
      <c r="A2811" s="13" t="s">
        <v>4542</v>
      </c>
    </row>
    <row r="2812" spans="1:1" customFormat="1" hidden="1">
      <c r="A2812" s="13" t="s">
        <v>4543</v>
      </c>
    </row>
    <row r="2813" spans="1:1" customFormat="1" hidden="1">
      <c r="A2813" s="13" t="s">
        <v>4544</v>
      </c>
    </row>
    <row r="2814" spans="1:1" customFormat="1" hidden="1">
      <c r="A2814" s="13" t="s">
        <v>4545</v>
      </c>
    </row>
    <row r="2815" spans="1:1" customFormat="1" hidden="1">
      <c r="A2815" s="13" t="s">
        <v>4546</v>
      </c>
    </row>
    <row r="2816" spans="1:1" customFormat="1" hidden="1">
      <c r="A2816" s="13" t="s">
        <v>4547</v>
      </c>
    </row>
    <row r="2817" spans="1:1" customFormat="1" hidden="1">
      <c r="A2817" s="13" t="s">
        <v>4548</v>
      </c>
    </row>
    <row r="2818" spans="1:1" customFormat="1" hidden="1">
      <c r="A2818" s="13" t="s">
        <v>4549</v>
      </c>
    </row>
    <row r="2819" spans="1:1" customFormat="1" hidden="1">
      <c r="A2819" s="13" t="s">
        <v>4550</v>
      </c>
    </row>
    <row r="2820" spans="1:1" customFormat="1" hidden="1">
      <c r="A2820" s="13" t="s">
        <v>4551</v>
      </c>
    </row>
    <row r="2821" spans="1:1" customFormat="1" hidden="1">
      <c r="A2821" s="13" t="s">
        <v>4552</v>
      </c>
    </row>
    <row r="2822" spans="1:1" customFormat="1" hidden="1">
      <c r="A2822" s="13" t="s">
        <v>4553</v>
      </c>
    </row>
    <row r="2823" spans="1:1" customFormat="1" hidden="1">
      <c r="A2823" s="13" t="s">
        <v>4554</v>
      </c>
    </row>
    <row r="2824" spans="1:1" customFormat="1" hidden="1">
      <c r="A2824" s="13" t="s">
        <v>4555</v>
      </c>
    </row>
    <row r="2825" spans="1:1" customFormat="1" hidden="1">
      <c r="A2825" s="13" t="s">
        <v>4556</v>
      </c>
    </row>
    <row r="2826" spans="1:1" customFormat="1" hidden="1">
      <c r="A2826" s="13" t="s">
        <v>4557</v>
      </c>
    </row>
    <row r="2827" spans="1:1" customFormat="1" hidden="1">
      <c r="A2827" s="13" t="s">
        <v>4558</v>
      </c>
    </row>
    <row r="2828" spans="1:1" customFormat="1" hidden="1">
      <c r="A2828" s="13" t="s">
        <v>4559</v>
      </c>
    </row>
    <row r="2829" spans="1:1" customFormat="1" hidden="1">
      <c r="A2829" s="13" t="s">
        <v>4560</v>
      </c>
    </row>
    <row r="2830" spans="1:1" customFormat="1" hidden="1">
      <c r="A2830" s="13" t="s">
        <v>4561</v>
      </c>
    </row>
    <row r="2831" spans="1:1" customFormat="1" hidden="1">
      <c r="A2831" s="13" t="s">
        <v>4562</v>
      </c>
    </row>
    <row r="2832" spans="1:1" customFormat="1" hidden="1">
      <c r="A2832" s="13" t="s">
        <v>4563</v>
      </c>
    </row>
    <row r="2833" spans="1:1" customFormat="1" hidden="1">
      <c r="A2833" s="13" t="s">
        <v>4564</v>
      </c>
    </row>
    <row r="2834" spans="1:1" customFormat="1" hidden="1">
      <c r="A2834" s="13" t="s">
        <v>4565</v>
      </c>
    </row>
    <row r="2835" spans="1:1" customFormat="1" hidden="1">
      <c r="A2835" s="13" t="s">
        <v>4566</v>
      </c>
    </row>
    <row r="2836" spans="1:1" customFormat="1" hidden="1">
      <c r="A2836" s="13" t="s">
        <v>4567</v>
      </c>
    </row>
    <row r="2837" spans="1:1" customFormat="1" hidden="1">
      <c r="A2837" s="13" t="s">
        <v>4568</v>
      </c>
    </row>
    <row r="2838" spans="1:1" customFormat="1" hidden="1">
      <c r="A2838" s="13" t="s">
        <v>4569</v>
      </c>
    </row>
    <row r="2839" spans="1:1" customFormat="1" hidden="1">
      <c r="A2839" s="13" t="s">
        <v>4570</v>
      </c>
    </row>
    <row r="2840" spans="1:1" customFormat="1" hidden="1">
      <c r="A2840" s="13" t="s">
        <v>4571</v>
      </c>
    </row>
    <row r="2841" spans="1:1" customFormat="1" hidden="1">
      <c r="A2841" s="13" t="s">
        <v>4572</v>
      </c>
    </row>
    <row r="2842" spans="1:1" customFormat="1" hidden="1">
      <c r="A2842" s="13" t="s">
        <v>4573</v>
      </c>
    </row>
    <row r="2843" spans="1:1" customFormat="1" hidden="1">
      <c r="A2843" s="13" t="s">
        <v>4574</v>
      </c>
    </row>
    <row r="2844" spans="1:1" customFormat="1" hidden="1">
      <c r="A2844" s="13" t="s">
        <v>4575</v>
      </c>
    </row>
    <row r="2845" spans="1:1" customFormat="1" hidden="1">
      <c r="A2845" s="13" t="s">
        <v>4576</v>
      </c>
    </row>
    <row r="2846" spans="1:1" customFormat="1" hidden="1">
      <c r="A2846" s="13" t="s">
        <v>4577</v>
      </c>
    </row>
    <row r="2847" spans="1:1" customFormat="1" hidden="1">
      <c r="A2847" s="13" t="s">
        <v>4578</v>
      </c>
    </row>
    <row r="2848" spans="1:1" customFormat="1" hidden="1">
      <c r="A2848" s="13" t="s">
        <v>4579</v>
      </c>
    </row>
    <row r="2849" spans="1:1" customFormat="1" hidden="1">
      <c r="A2849" s="13" t="s">
        <v>4580</v>
      </c>
    </row>
    <row r="2850" spans="1:1" customFormat="1" hidden="1">
      <c r="A2850" s="13" t="s">
        <v>4581</v>
      </c>
    </row>
    <row r="2851" spans="1:1" customFormat="1" hidden="1">
      <c r="A2851" s="13" t="s">
        <v>4582</v>
      </c>
    </row>
    <row r="2852" spans="1:1" customFormat="1" hidden="1">
      <c r="A2852" s="13" t="s">
        <v>4583</v>
      </c>
    </row>
    <row r="2853" spans="1:1" customFormat="1" hidden="1">
      <c r="A2853" s="13" t="s">
        <v>4584</v>
      </c>
    </row>
    <row r="2854" spans="1:1" customFormat="1" hidden="1">
      <c r="A2854" s="13" t="s">
        <v>4585</v>
      </c>
    </row>
    <row r="2855" spans="1:1" customFormat="1" hidden="1">
      <c r="A2855" s="13" t="s">
        <v>4586</v>
      </c>
    </row>
    <row r="2856" spans="1:1" customFormat="1" hidden="1">
      <c r="A2856" s="13" t="s">
        <v>4587</v>
      </c>
    </row>
    <row r="2857" spans="1:1" customFormat="1" hidden="1">
      <c r="A2857" s="13" t="s">
        <v>4588</v>
      </c>
    </row>
    <row r="2858" spans="1:1" customFormat="1" hidden="1">
      <c r="A2858" s="13" t="s">
        <v>4589</v>
      </c>
    </row>
    <row r="2859" spans="1:1" customFormat="1" hidden="1">
      <c r="A2859" s="13" t="s">
        <v>4590</v>
      </c>
    </row>
    <row r="2860" spans="1:1" customFormat="1" hidden="1">
      <c r="A2860" s="13" t="s">
        <v>4591</v>
      </c>
    </row>
    <row r="2861" spans="1:1" customFormat="1" hidden="1">
      <c r="A2861" s="13" t="s">
        <v>4592</v>
      </c>
    </row>
    <row r="2862" spans="1:1" customFormat="1" hidden="1">
      <c r="A2862" s="13" t="s">
        <v>4593</v>
      </c>
    </row>
    <row r="2863" spans="1:1" customFormat="1" hidden="1">
      <c r="A2863" s="13" t="s">
        <v>4594</v>
      </c>
    </row>
    <row r="2864" spans="1:1" customFormat="1" hidden="1">
      <c r="A2864" s="13" t="s">
        <v>4595</v>
      </c>
    </row>
    <row r="2865" spans="1:1" customFormat="1" hidden="1">
      <c r="A2865" s="13" t="s">
        <v>4596</v>
      </c>
    </row>
    <row r="2866" spans="1:1" customFormat="1" hidden="1">
      <c r="A2866" s="13" t="s">
        <v>4597</v>
      </c>
    </row>
    <row r="2867" spans="1:1" customFormat="1" hidden="1">
      <c r="A2867" s="13" t="s">
        <v>4598</v>
      </c>
    </row>
    <row r="2868" spans="1:1" customFormat="1" hidden="1">
      <c r="A2868" s="13" t="s">
        <v>4599</v>
      </c>
    </row>
    <row r="2869" spans="1:1" customFormat="1" hidden="1">
      <c r="A2869" s="13" t="s">
        <v>4600</v>
      </c>
    </row>
    <row r="2870" spans="1:1" customFormat="1" hidden="1">
      <c r="A2870" s="13" t="s">
        <v>4601</v>
      </c>
    </row>
    <row r="2871" spans="1:1" customFormat="1" hidden="1">
      <c r="A2871" s="13" t="s">
        <v>4602</v>
      </c>
    </row>
    <row r="2872" spans="1:1" customFormat="1" hidden="1">
      <c r="A2872" s="13" t="s">
        <v>4603</v>
      </c>
    </row>
    <row r="2873" spans="1:1" customFormat="1" hidden="1">
      <c r="A2873" s="13" t="s">
        <v>4604</v>
      </c>
    </row>
    <row r="2874" spans="1:1" customFormat="1" hidden="1">
      <c r="A2874" s="13" t="s">
        <v>4605</v>
      </c>
    </row>
    <row r="2875" spans="1:1" customFormat="1" hidden="1">
      <c r="A2875" s="13" t="s">
        <v>4606</v>
      </c>
    </row>
    <row r="2876" spans="1:1" customFormat="1" hidden="1">
      <c r="A2876" s="13" t="s">
        <v>4607</v>
      </c>
    </row>
    <row r="2877" spans="1:1" customFormat="1" hidden="1">
      <c r="A2877" s="13" t="s">
        <v>4608</v>
      </c>
    </row>
    <row r="2878" spans="1:1" customFormat="1" hidden="1">
      <c r="A2878" s="13" t="s">
        <v>4609</v>
      </c>
    </row>
    <row r="2879" spans="1:1" customFormat="1" hidden="1">
      <c r="A2879" s="13" t="s">
        <v>4610</v>
      </c>
    </row>
    <row r="2880" spans="1:1" customFormat="1" hidden="1">
      <c r="A2880" s="13" t="s">
        <v>4611</v>
      </c>
    </row>
    <row r="2881" spans="1:1" customFormat="1" hidden="1">
      <c r="A2881" s="13" t="s">
        <v>4612</v>
      </c>
    </row>
    <row r="2882" spans="1:1" customFormat="1" hidden="1">
      <c r="A2882" s="13" t="s">
        <v>4613</v>
      </c>
    </row>
    <row r="2883" spans="1:1" customFormat="1" hidden="1">
      <c r="A2883" s="13" t="s">
        <v>4614</v>
      </c>
    </row>
    <row r="2884" spans="1:1" customFormat="1" hidden="1">
      <c r="A2884" s="13" t="s">
        <v>4615</v>
      </c>
    </row>
    <row r="2885" spans="1:1" customFormat="1" hidden="1">
      <c r="A2885" s="13" t="s">
        <v>4616</v>
      </c>
    </row>
    <row r="2886" spans="1:1" customFormat="1" hidden="1">
      <c r="A2886" s="13" t="s">
        <v>4617</v>
      </c>
    </row>
    <row r="2887" spans="1:1" customFormat="1" hidden="1">
      <c r="A2887" s="13" t="s">
        <v>4618</v>
      </c>
    </row>
    <row r="2888" spans="1:1" customFormat="1" hidden="1">
      <c r="A2888" s="13" t="s">
        <v>4619</v>
      </c>
    </row>
    <row r="2889" spans="1:1" customFormat="1" hidden="1">
      <c r="A2889" s="13" t="s">
        <v>4620</v>
      </c>
    </row>
    <row r="2890" spans="1:1" customFormat="1" hidden="1">
      <c r="A2890" s="13" t="s">
        <v>4621</v>
      </c>
    </row>
    <row r="2891" spans="1:1" customFormat="1" hidden="1">
      <c r="A2891" s="13" t="s">
        <v>4622</v>
      </c>
    </row>
    <row r="2892" spans="1:1" customFormat="1" hidden="1">
      <c r="A2892" s="13" t="s">
        <v>4623</v>
      </c>
    </row>
    <row r="2893" spans="1:1" customFormat="1" hidden="1">
      <c r="A2893" s="13" t="s">
        <v>4624</v>
      </c>
    </row>
    <row r="2894" spans="1:1" customFormat="1" hidden="1">
      <c r="A2894" s="13" t="s">
        <v>4625</v>
      </c>
    </row>
    <row r="2895" spans="1:1" customFormat="1" hidden="1">
      <c r="A2895" s="13" t="s">
        <v>4626</v>
      </c>
    </row>
    <row r="2896" spans="1:1" customFormat="1" hidden="1">
      <c r="A2896" s="13" t="s">
        <v>4627</v>
      </c>
    </row>
    <row r="2897" spans="1:1" customFormat="1" hidden="1">
      <c r="A2897" s="13" t="s">
        <v>4628</v>
      </c>
    </row>
    <row r="2898" spans="1:1" customFormat="1" hidden="1">
      <c r="A2898" s="13" t="s">
        <v>4629</v>
      </c>
    </row>
    <row r="2899" spans="1:1" customFormat="1" hidden="1">
      <c r="A2899" s="13" t="s">
        <v>4630</v>
      </c>
    </row>
    <row r="2900" spans="1:1" customFormat="1" hidden="1">
      <c r="A2900" s="13" t="s">
        <v>4631</v>
      </c>
    </row>
    <row r="2901" spans="1:1" customFormat="1" hidden="1">
      <c r="A2901" s="13" t="s">
        <v>4632</v>
      </c>
    </row>
    <row r="2902" spans="1:1" customFormat="1" hidden="1">
      <c r="A2902" s="13" t="s">
        <v>4633</v>
      </c>
    </row>
    <row r="2903" spans="1:1" customFormat="1" hidden="1">
      <c r="A2903" s="13" t="s">
        <v>4634</v>
      </c>
    </row>
    <row r="2904" spans="1:1" customFormat="1" hidden="1">
      <c r="A2904" s="13" t="s">
        <v>4635</v>
      </c>
    </row>
    <row r="2905" spans="1:1" customFormat="1" hidden="1">
      <c r="A2905" s="13" t="s">
        <v>4636</v>
      </c>
    </row>
    <row r="2906" spans="1:1" customFormat="1" hidden="1">
      <c r="A2906" s="13" t="s">
        <v>4637</v>
      </c>
    </row>
    <row r="2907" spans="1:1" customFormat="1" hidden="1">
      <c r="A2907" s="13"/>
    </row>
    <row r="2908" spans="1:1" customFormat="1" hidden="1">
      <c r="A2908" s="13" t="s">
        <v>4638</v>
      </c>
    </row>
    <row r="2909" spans="1:1" customFormat="1" hidden="1">
      <c r="A2909" s="13" t="s">
        <v>4639</v>
      </c>
    </row>
    <row r="2910" spans="1:1" customFormat="1" hidden="1">
      <c r="A2910" s="13" t="s">
        <v>4640</v>
      </c>
    </row>
    <row r="2911" spans="1:1" customFormat="1" hidden="1">
      <c r="A2911" s="13" t="s">
        <v>4641</v>
      </c>
    </row>
    <row r="2912" spans="1:1" customFormat="1" hidden="1">
      <c r="A2912" s="13" t="s">
        <v>4642</v>
      </c>
    </row>
    <row r="2913" spans="1:1" customFormat="1" hidden="1">
      <c r="A2913" s="13" t="s">
        <v>4643</v>
      </c>
    </row>
    <row r="2914" spans="1:1" customFormat="1" hidden="1">
      <c r="A2914" s="13" t="s">
        <v>4644</v>
      </c>
    </row>
    <row r="2915" spans="1:1" customFormat="1" hidden="1">
      <c r="A2915" s="13" t="s">
        <v>4645</v>
      </c>
    </row>
    <row r="2916" spans="1:1" customFormat="1" hidden="1">
      <c r="A2916" s="13" t="s">
        <v>4646</v>
      </c>
    </row>
    <row r="2917" spans="1:1" customFormat="1" hidden="1">
      <c r="A2917" s="13" t="s">
        <v>4647</v>
      </c>
    </row>
    <row r="2918" spans="1:1" customFormat="1" hidden="1">
      <c r="A2918" s="13" t="s">
        <v>4648</v>
      </c>
    </row>
    <row r="2919" spans="1:1" customFormat="1" hidden="1">
      <c r="A2919" s="13" t="s">
        <v>4649</v>
      </c>
    </row>
    <row r="2920" spans="1:1" customFormat="1" hidden="1">
      <c r="A2920" s="13" t="s">
        <v>4650</v>
      </c>
    </row>
    <row r="2921" spans="1:1" customFormat="1" hidden="1">
      <c r="A2921" s="13" t="s">
        <v>4651</v>
      </c>
    </row>
    <row r="2922" spans="1:1" customFormat="1" hidden="1">
      <c r="A2922" s="13" t="s">
        <v>4652</v>
      </c>
    </row>
    <row r="2923" spans="1:1" customFormat="1" hidden="1">
      <c r="A2923" s="13" t="s">
        <v>4653</v>
      </c>
    </row>
    <row r="2924" spans="1:1" customFormat="1" hidden="1">
      <c r="A2924" s="13" t="s">
        <v>4654</v>
      </c>
    </row>
    <row r="2925" spans="1:1" customFormat="1" hidden="1">
      <c r="A2925" s="13" t="s">
        <v>4655</v>
      </c>
    </row>
    <row r="2926" spans="1:1" customFormat="1" hidden="1">
      <c r="A2926" s="13" t="s">
        <v>4656</v>
      </c>
    </row>
    <row r="2927" spans="1:1" customFormat="1" hidden="1">
      <c r="A2927" s="13" t="s">
        <v>4657</v>
      </c>
    </row>
    <row r="2928" spans="1:1" customFormat="1" hidden="1">
      <c r="A2928" s="13" t="s">
        <v>4658</v>
      </c>
    </row>
    <row r="2929" spans="1:1" customFormat="1" hidden="1">
      <c r="A2929" s="13" t="s">
        <v>4659</v>
      </c>
    </row>
    <row r="2930" spans="1:1" customFormat="1" hidden="1">
      <c r="A2930" s="13" t="s">
        <v>4660</v>
      </c>
    </row>
    <row r="2931" spans="1:1" customFormat="1" hidden="1">
      <c r="A2931" s="13" t="s">
        <v>4661</v>
      </c>
    </row>
    <row r="2932" spans="1:1" customFormat="1" hidden="1">
      <c r="A2932" s="13" t="s">
        <v>4662</v>
      </c>
    </row>
    <row r="2933" spans="1:1" customFormat="1" hidden="1">
      <c r="A2933" s="13" t="s">
        <v>4663</v>
      </c>
    </row>
    <row r="2934" spans="1:1" customFormat="1" hidden="1">
      <c r="A2934" s="13" t="s">
        <v>4664</v>
      </c>
    </row>
    <row r="2935" spans="1:1" customFormat="1" hidden="1">
      <c r="A2935" s="13" t="s">
        <v>4665</v>
      </c>
    </row>
    <row r="2936" spans="1:1" customFormat="1" hidden="1">
      <c r="A2936" s="13" t="s">
        <v>4666</v>
      </c>
    </row>
    <row r="2937" spans="1:1" customFormat="1" hidden="1">
      <c r="A2937" s="13" t="s">
        <v>4667</v>
      </c>
    </row>
    <row r="2938" spans="1:1" customFormat="1" hidden="1">
      <c r="A2938" s="13" t="s">
        <v>4668</v>
      </c>
    </row>
    <row r="2939" spans="1:1" customFormat="1" hidden="1">
      <c r="A2939" s="13" t="s">
        <v>4669</v>
      </c>
    </row>
    <row r="2940" spans="1:1" customFormat="1" hidden="1">
      <c r="A2940" s="13" t="s">
        <v>4670</v>
      </c>
    </row>
    <row r="2941" spans="1:1" customFormat="1" hidden="1">
      <c r="A2941" s="13" t="s">
        <v>4671</v>
      </c>
    </row>
    <row r="2942" spans="1:1" customFormat="1" hidden="1">
      <c r="A2942" s="13" t="s">
        <v>4672</v>
      </c>
    </row>
    <row r="2943" spans="1:1" customFormat="1" hidden="1">
      <c r="A2943" s="13" t="s">
        <v>4673</v>
      </c>
    </row>
    <row r="2944" spans="1:1" customFormat="1" hidden="1">
      <c r="A2944" s="13" t="s">
        <v>4674</v>
      </c>
    </row>
    <row r="2945" spans="1:1" customFormat="1" hidden="1">
      <c r="A2945" s="13" t="s">
        <v>4675</v>
      </c>
    </row>
    <row r="2946" spans="1:1" customFormat="1" hidden="1">
      <c r="A2946" s="13" t="s">
        <v>4676</v>
      </c>
    </row>
    <row r="2947" spans="1:1" customFormat="1" hidden="1">
      <c r="A2947" s="13" t="s">
        <v>4677</v>
      </c>
    </row>
    <row r="2948" spans="1:1" customFormat="1" hidden="1">
      <c r="A2948" s="13" t="s">
        <v>4678</v>
      </c>
    </row>
    <row r="2949" spans="1:1" customFormat="1" hidden="1">
      <c r="A2949" s="13" t="s">
        <v>4679</v>
      </c>
    </row>
    <row r="2950" spans="1:1" customFormat="1" hidden="1">
      <c r="A2950" s="13" t="s">
        <v>4680</v>
      </c>
    </row>
    <row r="2951" spans="1:1" customFormat="1" hidden="1">
      <c r="A2951" s="13" t="s">
        <v>4681</v>
      </c>
    </row>
    <row r="2952" spans="1:1" customFormat="1" hidden="1">
      <c r="A2952" s="13" t="s">
        <v>4682</v>
      </c>
    </row>
    <row r="2953" spans="1:1" customFormat="1" hidden="1">
      <c r="A2953" s="13" t="s">
        <v>4683</v>
      </c>
    </row>
    <row r="2954" spans="1:1" customFormat="1" hidden="1">
      <c r="A2954" s="13" t="s">
        <v>4684</v>
      </c>
    </row>
    <row r="2955" spans="1:1" customFormat="1" hidden="1">
      <c r="A2955" s="13" t="s">
        <v>4685</v>
      </c>
    </row>
    <row r="2956" spans="1:1" customFormat="1" hidden="1">
      <c r="A2956" s="13" t="s">
        <v>4686</v>
      </c>
    </row>
    <row r="2957" spans="1:1" customFormat="1" hidden="1">
      <c r="A2957" s="13" t="s">
        <v>4687</v>
      </c>
    </row>
    <row r="2958" spans="1:1" customFormat="1" hidden="1">
      <c r="A2958" s="13" t="s">
        <v>4688</v>
      </c>
    </row>
    <row r="2959" spans="1:1" customFormat="1" hidden="1">
      <c r="A2959" s="13" t="s">
        <v>4689</v>
      </c>
    </row>
    <row r="2960" spans="1:1" customFormat="1" hidden="1">
      <c r="A2960" s="13" t="s">
        <v>4690</v>
      </c>
    </row>
    <row r="2961" spans="1:1" customFormat="1" hidden="1">
      <c r="A2961" s="13" t="s">
        <v>4691</v>
      </c>
    </row>
    <row r="2962" spans="1:1" customFormat="1" hidden="1">
      <c r="A2962" s="13" t="s">
        <v>4692</v>
      </c>
    </row>
    <row r="2963" spans="1:1" customFormat="1" hidden="1">
      <c r="A2963" s="13" t="s">
        <v>4693</v>
      </c>
    </row>
    <row r="2964" spans="1:1" customFormat="1" hidden="1">
      <c r="A2964" s="13" t="s">
        <v>4694</v>
      </c>
    </row>
    <row r="2965" spans="1:1" customFormat="1" hidden="1">
      <c r="A2965" s="13" t="s">
        <v>4695</v>
      </c>
    </row>
    <row r="2966" spans="1:1" customFormat="1" hidden="1">
      <c r="A2966" s="13" t="s">
        <v>4696</v>
      </c>
    </row>
    <row r="2967" spans="1:1" customFormat="1" hidden="1">
      <c r="A2967" s="13" t="s">
        <v>4697</v>
      </c>
    </row>
    <row r="2968" spans="1:1" customFormat="1" hidden="1">
      <c r="A2968" s="13" t="s">
        <v>4698</v>
      </c>
    </row>
    <row r="2969" spans="1:1" customFormat="1" hidden="1">
      <c r="A2969" s="13" t="s">
        <v>4699</v>
      </c>
    </row>
    <row r="2970" spans="1:1" customFormat="1" hidden="1">
      <c r="A2970" s="13" t="s">
        <v>4700</v>
      </c>
    </row>
    <row r="2971" spans="1:1" customFormat="1" hidden="1">
      <c r="A2971" s="13" t="s">
        <v>4701</v>
      </c>
    </row>
    <row r="2972" spans="1:1" customFormat="1" hidden="1">
      <c r="A2972" s="13" t="s">
        <v>4702</v>
      </c>
    </row>
    <row r="2973" spans="1:1" customFormat="1" hidden="1">
      <c r="A2973" s="13" t="s">
        <v>4703</v>
      </c>
    </row>
    <row r="2974" spans="1:1" customFormat="1" hidden="1">
      <c r="A2974" s="13" t="s">
        <v>4704</v>
      </c>
    </row>
    <row r="2975" spans="1:1" customFormat="1" hidden="1">
      <c r="A2975" s="13" t="s">
        <v>4705</v>
      </c>
    </row>
    <row r="2976" spans="1:1" customFormat="1" hidden="1">
      <c r="A2976" s="13" t="s">
        <v>4706</v>
      </c>
    </row>
    <row r="2977" spans="1:1" customFormat="1" hidden="1">
      <c r="A2977" s="13" t="s">
        <v>4707</v>
      </c>
    </row>
    <row r="2978" spans="1:1" customFormat="1" hidden="1">
      <c r="A2978" s="13" t="s">
        <v>4708</v>
      </c>
    </row>
    <row r="2979" spans="1:1" customFormat="1" hidden="1">
      <c r="A2979" s="13" t="s">
        <v>4709</v>
      </c>
    </row>
    <row r="2980" spans="1:1" customFormat="1" hidden="1">
      <c r="A2980" s="13" t="s">
        <v>4710</v>
      </c>
    </row>
    <row r="2981" spans="1:1" customFormat="1" hidden="1">
      <c r="A2981" s="13" t="s">
        <v>4711</v>
      </c>
    </row>
    <row r="2982" spans="1:1" customFormat="1" hidden="1">
      <c r="A2982" s="13" t="s">
        <v>4712</v>
      </c>
    </row>
    <row r="2983" spans="1:1" customFormat="1" hidden="1">
      <c r="A2983" s="13" t="s">
        <v>4713</v>
      </c>
    </row>
    <row r="2984" spans="1:1" customFormat="1" hidden="1">
      <c r="A2984" s="13" t="s">
        <v>4714</v>
      </c>
    </row>
    <row r="2985" spans="1:1" customFormat="1" hidden="1">
      <c r="A2985" s="13" t="s">
        <v>4715</v>
      </c>
    </row>
    <row r="2986" spans="1:1" customFormat="1" hidden="1">
      <c r="A2986" s="13" t="s">
        <v>4716</v>
      </c>
    </row>
    <row r="2987" spans="1:1" customFormat="1" hidden="1">
      <c r="A2987" s="13" t="s">
        <v>4717</v>
      </c>
    </row>
    <row r="2988" spans="1:1" customFormat="1" hidden="1">
      <c r="A2988" s="13" t="s">
        <v>4718</v>
      </c>
    </row>
    <row r="2989" spans="1:1" customFormat="1" hidden="1">
      <c r="A2989" s="13" t="s">
        <v>4719</v>
      </c>
    </row>
    <row r="2990" spans="1:1" customFormat="1" hidden="1">
      <c r="A2990" s="13" t="s">
        <v>4720</v>
      </c>
    </row>
    <row r="2991" spans="1:1" customFormat="1" hidden="1">
      <c r="A2991" s="13" t="s">
        <v>4721</v>
      </c>
    </row>
    <row r="2992" spans="1:1" customFormat="1" hidden="1">
      <c r="A2992" s="13" t="s">
        <v>4722</v>
      </c>
    </row>
    <row r="2993" spans="1:1" customFormat="1" hidden="1">
      <c r="A2993" s="13" t="s">
        <v>4723</v>
      </c>
    </row>
    <row r="2994" spans="1:1" customFormat="1" hidden="1">
      <c r="A2994" s="13" t="s">
        <v>4724</v>
      </c>
    </row>
    <row r="2995" spans="1:1" customFormat="1" hidden="1">
      <c r="A2995" s="13" t="s">
        <v>4725</v>
      </c>
    </row>
    <row r="2996" spans="1:1" customFormat="1" hidden="1">
      <c r="A2996" s="13" t="s">
        <v>4726</v>
      </c>
    </row>
    <row r="2997" spans="1:1" customFormat="1" hidden="1">
      <c r="A2997" s="13" t="s">
        <v>4727</v>
      </c>
    </row>
    <row r="2998" spans="1:1" customFormat="1" hidden="1">
      <c r="A2998" s="13" t="s">
        <v>4728</v>
      </c>
    </row>
    <row r="2999" spans="1:1" customFormat="1" hidden="1">
      <c r="A2999" s="13" t="s">
        <v>4729</v>
      </c>
    </row>
    <row r="3000" spans="1:1" customFormat="1" hidden="1">
      <c r="A3000" s="13" t="s">
        <v>4730</v>
      </c>
    </row>
    <row r="3001" spans="1:1" customFormat="1" hidden="1">
      <c r="A3001" s="13" t="s">
        <v>4731</v>
      </c>
    </row>
    <row r="3002" spans="1:1" customFormat="1" hidden="1">
      <c r="A3002" s="13" t="s">
        <v>4732</v>
      </c>
    </row>
    <row r="3003" spans="1:1" customFormat="1" hidden="1">
      <c r="A3003" s="13" t="s">
        <v>4733</v>
      </c>
    </row>
    <row r="3004" spans="1:1" customFormat="1" hidden="1">
      <c r="A3004" s="13" t="s">
        <v>4734</v>
      </c>
    </row>
    <row r="3005" spans="1:1" customFormat="1" hidden="1">
      <c r="A3005" s="13" t="s">
        <v>4735</v>
      </c>
    </row>
    <row r="3006" spans="1:1" customFormat="1" hidden="1">
      <c r="A3006" s="13" t="s">
        <v>4736</v>
      </c>
    </row>
    <row r="3007" spans="1:1" customFormat="1" hidden="1">
      <c r="A3007" s="13" t="s">
        <v>4737</v>
      </c>
    </row>
    <row r="3008" spans="1:1" customFormat="1" hidden="1">
      <c r="A3008" s="13" t="s">
        <v>4738</v>
      </c>
    </row>
    <row r="3009" spans="1:1" customFormat="1" hidden="1">
      <c r="A3009" s="13" t="s">
        <v>4739</v>
      </c>
    </row>
    <row r="3010" spans="1:1" customFormat="1" hidden="1">
      <c r="A3010" s="13" t="s">
        <v>4740</v>
      </c>
    </row>
    <row r="3011" spans="1:1" customFormat="1" hidden="1">
      <c r="A3011" s="13" t="s">
        <v>4741</v>
      </c>
    </row>
    <row r="3012" spans="1:1" customFormat="1" hidden="1">
      <c r="A3012" s="13" t="s">
        <v>4742</v>
      </c>
    </row>
    <row r="3013" spans="1:1" customFormat="1" hidden="1">
      <c r="A3013" s="13" t="s">
        <v>4743</v>
      </c>
    </row>
    <row r="3014" spans="1:1" customFormat="1" hidden="1">
      <c r="A3014" s="13" t="s">
        <v>4744</v>
      </c>
    </row>
    <row r="3015" spans="1:1" customFormat="1" hidden="1">
      <c r="A3015" s="13" t="s">
        <v>4745</v>
      </c>
    </row>
    <row r="3016" spans="1:1" customFormat="1" hidden="1">
      <c r="A3016" s="13" t="s">
        <v>4746</v>
      </c>
    </row>
    <row r="3017" spans="1:1" customFormat="1" hidden="1">
      <c r="A3017" s="13" t="s">
        <v>4747</v>
      </c>
    </row>
    <row r="3018" spans="1:1" customFormat="1" hidden="1">
      <c r="A3018" s="13" t="s">
        <v>4748</v>
      </c>
    </row>
    <row r="3019" spans="1:1" customFormat="1" hidden="1">
      <c r="A3019" s="13" t="s">
        <v>4749</v>
      </c>
    </row>
    <row r="3020" spans="1:1" customFormat="1" hidden="1">
      <c r="A3020" s="13" t="s">
        <v>4750</v>
      </c>
    </row>
    <row r="3021" spans="1:1" customFormat="1" hidden="1">
      <c r="A3021" s="13" t="s">
        <v>4751</v>
      </c>
    </row>
    <row r="3022" spans="1:1" customFormat="1" hidden="1">
      <c r="A3022" s="13" t="s">
        <v>4752</v>
      </c>
    </row>
    <row r="3023" spans="1:1" customFormat="1" hidden="1">
      <c r="A3023" s="13" t="s">
        <v>4753</v>
      </c>
    </row>
    <row r="3024" spans="1:1" customFormat="1" hidden="1">
      <c r="A3024" s="13" t="s">
        <v>4754</v>
      </c>
    </row>
    <row r="3025" spans="1:1" customFormat="1" hidden="1">
      <c r="A3025" s="13" t="s">
        <v>4755</v>
      </c>
    </row>
    <row r="3026" spans="1:1" customFormat="1" hidden="1">
      <c r="A3026" s="13" t="s">
        <v>4756</v>
      </c>
    </row>
    <row r="3027" spans="1:1" customFormat="1" hidden="1">
      <c r="A3027" s="13" t="s">
        <v>4757</v>
      </c>
    </row>
    <row r="3028" spans="1:1" customFormat="1" hidden="1">
      <c r="A3028" s="13" t="s">
        <v>4758</v>
      </c>
    </row>
    <row r="3029" spans="1:1" customFormat="1" hidden="1">
      <c r="A3029" s="13" t="s">
        <v>4759</v>
      </c>
    </row>
    <row r="3030" spans="1:1" customFormat="1" hidden="1">
      <c r="A3030" s="13" t="s">
        <v>4760</v>
      </c>
    </row>
    <row r="3031" spans="1:1" customFormat="1" hidden="1">
      <c r="A3031" s="13" t="s">
        <v>4761</v>
      </c>
    </row>
    <row r="3032" spans="1:1" customFormat="1" hidden="1">
      <c r="A3032" s="13" t="s">
        <v>4762</v>
      </c>
    </row>
    <row r="3033" spans="1:1" customFormat="1" hidden="1">
      <c r="A3033" s="13" t="s">
        <v>4763</v>
      </c>
    </row>
    <row r="3034" spans="1:1" customFormat="1" hidden="1">
      <c r="A3034" s="13" t="s">
        <v>4764</v>
      </c>
    </row>
    <row r="3035" spans="1:1" customFormat="1" hidden="1">
      <c r="A3035" s="13" t="s">
        <v>4765</v>
      </c>
    </row>
    <row r="3036" spans="1:1" customFormat="1" hidden="1">
      <c r="A3036" s="13" t="s">
        <v>4766</v>
      </c>
    </row>
    <row r="3037" spans="1:1" customFormat="1" hidden="1">
      <c r="A3037" s="13" t="s">
        <v>4767</v>
      </c>
    </row>
    <row r="3038" spans="1:1" customFormat="1" hidden="1">
      <c r="A3038" s="13" t="s">
        <v>4768</v>
      </c>
    </row>
    <row r="3039" spans="1:1" customFormat="1" hidden="1">
      <c r="A3039" s="13" t="s">
        <v>4769</v>
      </c>
    </row>
    <row r="3040" spans="1:1" customFormat="1" hidden="1">
      <c r="A3040" s="13" t="s">
        <v>4770</v>
      </c>
    </row>
    <row r="3041" spans="1:1" customFormat="1" hidden="1">
      <c r="A3041" s="13" t="s">
        <v>4771</v>
      </c>
    </row>
    <row r="3042" spans="1:1" customFormat="1" hidden="1">
      <c r="A3042" s="13" t="s">
        <v>4772</v>
      </c>
    </row>
    <row r="3043" spans="1:1" customFormat="1" hidden="1">
      <c r="A3043" s="13" t="s">
        <v>4773</v>
      </c>
    </row>
    <row r="3044" spans="1:1" customFormat="1" hidden="1">
      <c r="A3044" s="13" t="s">
        <v>4774</v>
      </c>
    </row>
    <row r="3045" spans="1:1" customFormat="1" hidden="1">
      <c r="A3045" s="13" t="s">
        <v>4775</v>
      </c>
    </row>
    <row r="3046" spans="1:1" customFormat="1" hidden="1">
      <c r="A3046" s="13" t="s">
        <v>4776</v>
      </c>
    </row>
    <row r="3047" spans="1:1" customFormat="1" hidden="1">
      <c r="A3047" s="13" t="s">
        <v>4777</v>
      </c>
    </row>
    <row r="3048" spans="1:1" customFormat="1" hidden="1">
      <c r="A3048" s="13" t="s">
        <v>4778</v>
      </c>
    </row>
    <row r="3049" spans="1:1" customFormat="1" hidden="1">
      <c r="A3049" s="13" t="s">
        <v>4779</v>
      </c>
    </row>
    <row r="3050" spans="1:1" customFormat="1" hidden="1">
      <c r="A3050" s="13" t="s">
        <v>4780</v>
      </c>
    </row>
    <row r="3051" spans="1:1" customFormat="1" hidden="1">
      <c r="A3051" s="13" t="s">
        <v>4781</v>
      </c>
    </row>
    <row r="3052" spans="1:1" customFormat="1" hidden="1">
      <c r="A3052" s="13" t="s">
        <v>4782</v>
      </c>
    </row>
    <row r="3053" spans="1:1" customFormat="1" hidden="1">
      <c r="A3053" s="13" t="s">
        <v>4783</v>
      </c>
    </row>
    <row r="3054" spans="1:1" customFormat="1" hidden="1">
      <c r="A3054" s="13" t="s">
        <v>4784</v>
      </c>
    </row>
    <row r="3055" spans="1:1" customFormat="1" hidden="1">
      <c r="A3055" s="13" t="s">
        <v>4785</v>
      </c>
    </row>
    <row r="3056" spans="1:1" customFormat="1" hidden="1">
      <c r="A3056" s="13" t="s">
        <v>4786</v>
      </c>
    </row>
    <row r="3057" spans="1:1" customFormat="1" hidden="1">
      <c r="A3057" s="13" t="s">
        <v>4787</v>
      </c>
    </row>
    <row r="3058" spans="1:1" customFormat="1" hidden="1">
      <c r="A3058" s="13" t="s">
        <v>4788</v>
      </c>
    </row>
    <row r="3059" spans="1:1" customFormat="1" hidden="1">
      <c r="A3059" s="13" t="s">
        <v>4789</v>
      </c>
    </row>
    <row r="3060" spans="1:1" customFormat="1" hidden="1">
      <c r="A3060" s="13" t="s">
        <v>4790</v>
      </c>
    </row>
    <row r="3061" spans="1:1" customFormat="1" hidden="1">
      <c r="A3061" s="13" t="s">
        <v>4791</v>
      </c>
    </row>
    <row r="3062" spans="1:1" customFormat="1" hidden="1">
      <c r="A3062" s="13" t="s">
        <v>4792</v>
      </c>
    </row>
    <row r="3063" spans="1:1" customFormat="1" hidden="1">
      <c r="A3063" s="13" t="s">
        <v>4793</v>
      </c>
    </row>
    <row r="3064" spans="1:1" customFormat="1" hidden="1">
      <c r="A3064" s="13" t="s">
        <v>4794</v>
      </c>
    </row>
    <row r="3065" spans="1:1" customFormat="1" hidden="1">
      <c r="A3065" s="13" t="s">
        <v>4795</v>
      </c>
    </row>
    <row r="3066" spans="1:1" customFormat="1" hidden="1">
      <c r="A3066" s="13" t="s">
        <v>4796</v>
      </c>
    </row>
    <row r="3067" spans="1:1" customFormat="1" hidden="1">
      <c r="A3067" s="13" t="s">
        <v>4797</v>
      </c>
    </row>
    <row r="3068" spans="1:1" customFormat="1" hidden="1">
      <c r="A3068" s="13" t="s">
        <v>4798</v>
      </c>
    </row>
    <row r="3069" spans="1:1" customFormat="1" hidden="1">
      <c r="A3069" s="13" t="s">
        <v>4799</v>
      </c>
    </row>
    <row r="3070" spans="1:1" customFormat="1" hidden="1">
      <c r="A3070" s="13" t="s">
        <v>4800</v>
      </c>
    </row>
    <row r="3071" spans="1:1" customFormat="1" hidden="1">
      <c r="A3071" s="13" t="s">
        <v>4801</v>
      </c>
    </row>
    <row r="3072" spans="1:1" customFormat="1" hidden="1">
      <c r="A3072" s="13" t="s">
        <v>4802</v>
      </c>
    </row>
    <row r="3073" spans="1:1" customFormat="1" hidden="1">
      <c r="A3073" s="13" t="s">
        <v>4803</v>
      </c>
    </row>
    <row r="3074" spans="1:1" customFormat="1" hidden="1">
      <c r="A3074" s="13" t="s">
        <v>4804</v>
      </c>
    </row>
    <row r="3075" spans="1:1" customFormat="1" hidden="1">
      <c r="A3075" s="13" t="s">
        <v>4805</v>
      </c>
    </row>
    <row r="3076" spans="1:1" customFormat="1" hidden="1">
      <c r="A3076" s="13" t="s">
        <v>4806</v>
      </c>
    </row>
    <row r="3077" spans="1:1" customFormat="1" hidden="1">
      <c r="A3077" s="13" t="s">
        <v>4807</v>
      </c>
    </row>
    <row r="3078" spans="1:1" customFormat="1" hidden="1">
      <c r="A3078" s="13" t="s">
        <v>4808</v>
      </c>
    </row>
    <row r="3079" spans="1:1" customFormat="1" hidden="1">
      <c r="A3079" s="13" t="s">
        <v>4809</v>
      </c>
    </row>
    <row r="3080" spans="1:1" customFormat="1" hidden="1">
      <c r="A3080" s="13" t="s">
        <v>4810</v>
      </c>
    </row>
    <row r="3081" spans="1:1" customFormat="1" hidden="1">
      <c r="A3081" s="13" t="s">
        <v>4811</v>
      </c>
    </row>
    <row r="3082" spans="1:1" customFormat="1" hidden="1">
      <c r="A3082" s="13" t="s">
        <v>4812</v>
      </c>
    </row>
    <row r="3083" spans="1:1" customFormat="1" hidden="1">
      <c r="A3083" s="13" t="s">
        <v>4813</v>
      </c>
    </row>
    <row r="3084" spans="1:1" customFormat="1" hidden="1">
      <c r="A3084" s="13" t="s">
        <v>4814</v>
      </c>
    </row>
    <row r="3085" spans="1:1" customFormat="1" hidden="1">
      <c r="A3085" s="13" t="s">
        <v>4815</v>
      </c>
    </row>
    <row r="3086" spans="1:1" customFormat="1" hidden="1">
      <c r="A3086" s="13" t="s">
        <v>4816</v>
      </c>
    </row>
    <row r="3087" spans="1:1" customFormat="1" hidden="1">
      <c r="A3087" s="13" t="s">
        <v>4817</v>
      </c>
    </row>
    <row r="3088" spans="1:1" customFormat="1" hidden="1">
      <c r="A3088" s="13" t="s">
        <v>4818</v>
      </c>
    </row>
    <row r="3089" spans="1:1" customFormat="1" hidden="1">
      <c r="A3089" s="13" t="s">
        <v>4819</v>
      </c>
    </row>
    <row r="3090" spans="1:1" customFormat="1" hidden="1">
      <c r="A3090" s="13" t="s">
        <v>4820</v>
      </c>
    </row>
    <row r="3091" spans="1:1" customFormat="1" hidden="1">
      <c r="A3091" s="13" t="s">
        <v>4821</v>
      </c>
    </row>
    <row r="3092" spans="1:1" customFormat="1" hidden="1">
      <c r="A3092" s="13" t="s">
        <v>4822</v>
      </c>
    </row>
    <row r="3093" spans="1:1" customFormat="1" hidden="1">
      <c r="A3093" s="13" t="s">
        <v>4823</v>
      </c>
    </row>
    <row r="3094" spans="1:1" customFormat="1" hidden="1">
      <c r="A3094" s="13" t="s">
        <v>4824</v>
      </c>
    </row>
    <row r="3095" spans="1:1" customFormat="1" hidden="1">
      <c r="A3095" s="13" t="s">
        <v>4825</v>
      </c>
    </row>
    <row r="3096" spans="1:1" customFormat="1" hidden="1">
      <c r="A3096" s="13" t="s">
        <v>4826</v>
      </c>
    </row>
    <row r="3097" spans="1:1" customFormat="1" hidden="1">
      <c r="A3097" s="13" t="s">
        <v>4827</v>
      </c>
    </row>
    <row r="3098" spans="1:1" customFormat="1" hidden="1">
      <c r="A3098" s="13" t="s">
        <v>4828</v>
      </c>
    </row>
    <row r="3099" spans="1:1" customFormat="1" hidden="1">
      <c r="A3099" s="13" t="s">
        <v>4829</v>
      </c>
    </row>
    <row r="3100" spans="1:1" customFormat="1" hidden="1">
      <c r="A3100" s="13" t="s">
        <v>4830</v>
      </c>
    </row>
    <row r="3101" spans="1:1" customFormat="1" hidden="1">
      <c r="A3101" s="13"/>
    </row>
    <row r="3102" spans="1:1" customFormat="1" hidden="1">
      <c r="A3102" s="13" t="s">
        <v>4831</v>
      </c>
    </row>
    <row r="3103" spans="1:1" customFormat="1" hidden="1">
      <c r="A3103" s="13" t="s">
        <v>4832</v>
      </c>
    </row>
    <row r="3104" spans="1:1" customFormat="1" hidden="1">
      <c r="A3104" s="13" t="s">
        <v>4833</v>
      </c>
    </row>
    <row r="3105" spans="1:1" customFormat="1" hidden="1">
      <c r="A3105" s="13" t="s">
        <v>4834</v>
      </c>
    </row>
    <row r="3106" spans="1:1" customFormat="1" hidden="1">
      <c r="A3106" s="13" t="s">
        <v>4835</v>
      </c>
    </row>
    <row r="3107" spans="1:1" customFormat="1" hidden="1">
      <c r="A3107" s="13" t="s">
        <v>4836</v>
      </c>
    </row>
    <row r="3108" spans="1:1" customFormat="1" hidden="1">
      <c r="A3108" s="13" t="s">
        <v>4837</v>
      </c>
    </row>
    <row r="3109" spans="1:1" customFormat="1" hidden="1">
      <c r="A3109" s="13" t="s">
        <v>4838</v>
      </c>
    </row>
    <row r="3110" spans="1:1" customFormat="1" hidden="1">
      <c r="A3110" s="13" t="s">
        <v>4839</v>
      </c>
    </row>
    <row r="3111" spans="1:1" customFormat="1" hidden="1">
      <c r="A3111" s="13" t="s">
        <v>4840</v>
      </c>
    </row>
    <row r="3112" spans="1:1" customFormat="1" hidden="1">
      <c r="A3112" s="13" t="s">
        <v>4841</v>
      </c>
    </row>
    <row r="3113" spans="1:1" customFormat="1" hidden="1">
      <c r="A3113" s="13" t="s">
        <v>7067</v>
      </c>
    </row>
    <row r="3114" spans="1:1" hidden="1">
      <c r="A3114" s="13" t="s">
        <v>7068</v>
      </c>
    </row>
    <row r="3115" spans="1:1" hidden="1">
      <c r="A3115" s="13" t="s">
        <v>7069</v>
      </c>
    </row>
    <row r="3116" spans="1:1" hidden="1">
      <c r="A3116" s="13" t="s">
        <v>7070</v>
      </c>
    </row>
    <row r="3117" spans="1:1" hidden="1">
      <c r="A3117" s="13" t="s">
        <v>7071</v>
      </c>
    </row>
    <row r="3118" spans="1:1" hidden="1">
      <c r="A3118" s="13" t="s">
        <v>7072</v>
      </c>
    </row>
    <row r="3119" spans="1:1" hidden="1">
      <c r="A3119" s="13" t="s">
        <v>7073</v>
      </c>
    </row>
    <row r="3120" spans="1:1" hidden="1">
      <c r="A3120" s="13" t="s">
        <v>7074</v>
      </c>
    </row>
    <row r="3121" spans="1:1" hidden="1">
      <c r="A3121" s="13" t="s">
        <v>7075</v>
      </c>
    </row>
    <row r="3122" spans="1:1" hidden="1">
      <c r="A3122" s="13" t="s">
        <v>7076</v>
      </c>
    </row>
    <row r="3123" spans="1:1" hidden="1">
      <c r="A3123" s="13" t="s">
        <v>7077</v>
      </c>
    </row>
    <row r="3124" spans="1:1" hidden="1">
      <c r="A3124" s="13" t="s">
        <v>7078</v>
      </c>
    </row>
    <row r="3125" spans="1:1" hidden="1">
      <c r="A3125" s="13" t="s">
        <v>7079</v>
      </c>
    </row>
    <row r="3126" spans="1:1" hidden="1">
      <c r="A3126" s="13" t="s">
        <v>7080</v>
      </c>
    </row>
    <row r="3127" spans="1:1" hidden="1">
      <c r="A3127" s="13" t="s">
        <v>7081</v>
      </c>
    </row>
    <row r="3128" spans="1:1" hidden="1">
      <c r="A3128" s="13" t="s">
        <v>7082</v>
      </c>
    </row>
    <row r="3129" spans="1:1" hidden="1">
      <c r="A3129" s="13" t="s">
        <v>7083</v>
      </c>
    </row>
    <row r="3130" spans="1:1" hidden="1">
      <c r="A3130" s="13" t="s">
        <v>7084</v>
      </c>
    </row>
    <row r="3131" spans="1:1" hidden="1">
      <c r="A3131" s="13" t="s">
        <v>7085</v>
      </c>
    </row>
    <row r="3132" spans="1:1" hidden="1">
      <c r="A3132" s="13" t="s">
        <v>7086</v>
      </c>
    </row>
    <row r="3133" spans="1:1" hidden="1">
      <c r="A3133" s="13" t="s">
        <v>7087</v>
      </c>
    </row>
    <row r="3134" spans="1:1" hidden="1">
      <c r="A3134" s="13" t="s">
        <v>7088</v>
      </c>
    </row>
    <row r="3135" spans="1:1" hidden="1">
      <c r="A3135" s="13" t="s">
        <v>7089</v>
      </c>
    </row>
    <row r="3136" spans="1:1" hidden="1">
      <c r="A3136" s="13" t="s">
        <v>7090</v>
      </c>
    </row>
    <row r="3137" spans="1:1" hidden="1">
      <c r="A3137" s="13" t="s">
        <v>7091</v>
      </c>
    </row>
    <row r="3138" spans="1:1" hidden="1">
      <c r="A3138" s="13" t="s">
        <v>7092</v>
      </c>
    </row>
    <row r="3139" spans="1:1" hidden="1">
      <c r="A3139" s="13" t="s">
        <v>7093</v>
      </c>
    </row>
    <row r="3140" spans="1:1" hidden="1">
      <c r="A3140" s="13" t="s">
        <v>7094</v>
      </c>
    </row>
    <row r="3141" spans="1:1" hidden="1">
      <c r="A3141" s="13" t="s">
        <v>7095</v>
      </c>
    </row>
    <row r="3142" spans="1:1" hidden="1">
      <c r="A3142" s="13" t="s">
        <v>7096</v>
      </c>
    </row>
    <row r="3143" spans="1:1" hidden="1">
      <c r="A3143" s="13" t="s">
        <v>7097</v>
      </c>
    </row>
    <row r="3144" spans="1:1" hidden="1">
      <c r="A3144" s="13" t="s">
        <v>7098</v>
      </c>
    </row>
    <row r="3145" spans="1:1" hidden="1">
      <c r="A3145" s="13" t="s">
        <v>7099</v>
      </c>
    </row>
    <row r="3146" spans="1:1" hidden="1">
      <c r="A3146" s="13" t="s">
        <v>7100</v>
      </c>
    </row>
    <row r="3147" spans="1:1" hidden="1">
      <c r="A3147" s="13" t="s">
        <v>7101</v>
      </c>
    </row>
    <row r="3148" spans="1:1" hidden="1">
      <c r="A3148" s="13" t="s">
        <v>7102</v>
      </c>
    </row>
    <row r="3149" spans="1:1" hidden="1">
      <c r="A3149" s="13" t="s">
        <v>7103</v>
      </c>
    </row>
    <row r="3150" spans="1:1" hidden="1">
      <c r="A3150" s="13" t="s">
        <v>7104</v>
      </c>
    </row>
    <row r="3151" spans="1:1" hidden="1">
      <c r="A3151" s="13" t="s">
        <v>7105</v>
      </c>
    </row>
    <row r="3152" spans="1:1" hidden="1">
      <c r="A3152" s="13" t="s">
        <v>7106</v>
      </c>
    </row>
    <row r="3153" spans="1:1" hidden="1">
      <c r="A3153" s="13" t="s">
        <v>7107</v>
      </c>
    </row>
    <row r="3154" spans="1:1" hidden="1">
      <c r="A3154" s="13" t="s">
        <v>7108</v>
      </c>
    </row>
    <row r="3155" spans="1:1" hidden="1">
      <c r="A3155" s="13" t="s">
        <v>7109</v>
      </c>
    </row>
    <row r="3156" spans="1:1" hidden="1">
      <c r="A3156" s="13" t="s">
        <v>7110</v>
      </c>
    </row>
    <row r="3157" spans="1:1" hidden="1">
      <c r="A3157" s="13" t="s">
        <v>7111</v>
      </c>
    </row>
    <row r="3158" spans="1:1" hidden="1">
      <c r="A3158" s="13" t="s">
        <v>7112</v>
      </c>
    </row>
    <row r="3159" spans="1:1" hidden="1">
      <c r="A3159" s="13" t="s">
        <v>7113</v>
      </c>
    </row>
    <row r="3160" spans="1:1" hidden="1">
      <c r="A3160" s="13" t="s">
        <v>7114</v>
      </c>
    </row>
    <row r="3161" spans="1:1" hidden="1">
      <c r="A3161" s="13" t="s">
        <v>7115</v>
      </c>
    </row>
    <row r="3162" spans="1:1" hidden="1">
      <c r="A3162" s="13" t="s">
        <v>7116</v>
      </c>
    </row>
    <row r="3163" spans="1:1" hidden="1">
      <c r="A3163" s="13" t="s">
        <v>7117</v>
      </c>
    </row>
    <row r="3164" spans="1:1" hidden="1">
      <c r="A3164" s="13" t="s">
        <v>7118</v>
      </c>
    </row>
    <row r="3165" spans="1:1" hidden="1">
      <c r="A3165" s="13" t="s">
        <v>7119</v>
      </c>
    </row>
    <row r="3166" spans="1:1" hidden="1">
      <c r="A3166" s="13" t="s">
        <v>7120</v>
      </c>
    </row>
    <row r="3167" spans="1:1" hidden="1">
      <c r="A3167" s="13" t="s">
        <v>7121</v>
      </c>
    </row>
    <row r="3168" spans="1:1" hidden="1">
      <c r="A3168" s="13" t="s">
        <v>7122</v>
      </c>
    </row>
    <row r="3169" spans="1:1" hidden="1">
      <c r="A3169" s="13" t="s">
        <v>7123</v>
      </c>
    </row>
    <row r="3170" spans="1:1" hidden="1">
      <c r="A3170" s="13" t="s">
        <v>7124</v>
      </c>
    </row>
    <row r="3171" spans="1:1" hidden="1">
      <c r="A3171" s="13" t="s">
        <v>7125</v>
      </c>
    </row>
    <row r="3172" spans="1:1" hidden="1">
      <c r="A3172" s="13" t="s">
        <v>7126</v>
      </c>
    </row>
    <row r="3173" spans="1:1" hidden="1">
      <c r="A3173" s="13" t="s">
        <v>7127</v>
      </c>
    </row>
    <row r="3174" spans="1:1" hidden="1">
      <c r="A3174" s="13" t="s">
        <v>7128</v>
      </c>
    </row>
    <row r="3175" spans="1:1" hidden="1">
      <c r="A3175" s="13" t="s">
        <v>7129</v>
      </c>
    </row>
    <row r="3176" spans="1:1" hidden="1">
      <c r="A3176" s="13" t="s">
        <v>7130</v>
      </c>
    </row>
    <row r="3177" spans="1:1" hidden="1">
      <c r="A3177" s="13" t="s">
        <v>7131</v>
      </c>
    </row>
    <row r="3178" spans="1:1" hidden="1">
      <c r="A3178" s="13" t="s">
        <v>7132</v>
      </c>
    </row>
    <row r="3179" spans="1:1" hidden="1">
      <c r="A3179" s="13" t="s">
        <v>7133</v>
      </c>
    </row>
    <row r="3180" spans="1:1" hidden="1">
      <c r="A3180" s="13" t="s">
        <v>7134</v>
      </c>
    </row>
    <row r="3181" spans="1:1" hidden="1">
      <c r="A3181" s="13" t="s">
        <v>7135</v>
      </c>
    </row>
    <row r="3182" spans="1:1" hidden="1">
      <c r="A3182" s="13" t="s">
        <v>7136</v>
      </c>
    </row>
    <row r="3183" spans="1:1" hidden="1">
      <c r="A3183" s="13" t="s">
        <v>7137</v>
      </c>
    </row>
    <row r="3184" spans="1:1" hidden="1">
      <c r="A3184" s="13" t="s">
        <v>7138</v>
      </c>
    </row>
    <row r="3185" spans="1:1" hidden="1">
      <c r="A3185" s="13" t="s">
        <v>7139</v>
      </c>
    </row>
    <row r="3186" spans="1:1" hidden="1">
      <c r="A3186" s="13" t="s">
        <v>7140</v>
      </c>
    </row>
    <row r="3187" spans="1:1" hidden="1">
      <c r="A3187" s="13" t="s">
        <v>7141</v>
      </c>
    </row>
    <row r="3188" spans="1:1" hidden="1">
      <c r="A3188" s="13" t="s">
        <v>7142</v>
      </c>
    </row>
    <row r="3189" spans="1:1" hidden="1">
      <c r="A3189" s="13" t="s">
        <v>7143</v>
      </c>
    </row>
    <row r="3190" spans="1:1" hidden="1">
      <c r="A3190" s="13" t="s">
        <v>7144</v>
      </c>
    </row>
    <row r="3191" spans="1:1" hidden="1">
      <c r="A3191" s="13" t="s">
        <v>7145</v>
      </c>
    </row>
    <row r="3192" spans="1:1" hidden="1">
      <c r="A3192" s="13" t="s">
        <v>7146</v>
      </c>
    </row>
    <row r="3193" spans="1:1" hidden="1">
      <c r="A3193" s="13" t="s">
        <v>7147</v>
      </c>
    </row>
    <row r="3194" spans="1:1" hidden="1">
      <c r="A3194" s="13" t="s">
        <v>7148</v>
      </c>
    </row>
    <row r="3195" spans="1:1" hidden="1">
      <c r="A3195" s="13" t="s">
        <v>7149</v>
      </c>
    </row>
    <row r="3196" spans="1:1" hidden="1">
      <c r="A3196" s="13" t="s">
        <v>7150</v>
      </c>
    </row>
    <row r="3197" spans="1:1" hidden="1">
      <c r="A3197" s="13" t="s">
        <v>7151</v>
      </c>
    </row>
    <row r="3198" spans="1:1" hidden="1">
      <c r="A3198" s="13" t="s">
        <v>7152</v>
      </c>
    </row>
    <row r="3199" spans="1:1" hidden="1">
      <c r="A3199" s="13" t="s">
        <v>7153</v>
      </c>
    </row>
    <row r="3200" spans="1:1" hidden="1">
      <c r="A3200" s="13" t="s">
        <v>7154</v>
      </c>
    </row>
    <row r="3201" spans="1:1" hidden="1">
      <c r="A3201" s="13" t="s">
        <v>7155</v>
      </c>
    </row>
    <row r="3202" spans="1:1" hidden="1">
      <c r="A3202" s="13" t="s">
        <v>7156</v>
      </c>
    </row>
    <row r="3203" spans="1:1" hidden="1">
      <c r="A3203" s="13" t="s">
        <v>7157</v>
      </c>
    </row>
    <row r="3204" spans="1:1" hidden="1">
      <c r="A3204" s="13" t="s">
        <v>7158</v>
      </c>
    </row>
    <row r="3205" spans="1:1" hidden="1">
      <c r="A3205" s="13" t="s">
        <v>7159</v>
      </c>
    </row>
    <row r="3206" spans="1:1" hidden="1">
      <c r="A3206" s="13" t="s">
        <v>7160</v>
      </c>
    </row>
    <row r="3207" spans="1:1" hidden="1">
      <c r="A3207" s="13" t="s">
        <v>7161</v>
      </c>
    </row>
    <row r="3208" spans="1:1" hidden="1">
      <c r="A3208" s="13" t="s">
        <v>7162</v>
      </c>
    </row>
    <row r="3209" spans="1:1" hidden="1">
      <c r="A3209" s="13" t="s">
        <v>7163</v>
      </c>
    </row>
    <row r="3210" spans="1:1" hidden="1">
      <c r="A3210" s="13" t="s">
        <v>7164</v>
      </c>
    </row>
    <row r="3211" spans="1:1" hidden="1">
      <c r="A3211" s="13" t="s">
        <v>7165</v>
      </c>
    </row>
    <row r="3212" spans="1:1" hidden="1">
      <c r="A3212" s="13" t="s">
        <v>7166</v>
      </c>
    </row>
    <row r="3213" spans="1:1" hidden="1">
      <c r="A3213" s="13" t="s">
        <v>7167</v>
      </c>
    </row>
    <row r="3214" spans="1:1" hidden="1">
      <c r="A3214" s="13" t="s">
        <v>7168</v>
      </c>
    </row>
    <row r="3215" spans="1:1" hidden="1">
      <c r="A3215" s="13" t="s">
        <v>7169</v>
      </c>
    </row>
    <row r="3216" spans="1:1" hidden="1">
      <c r="A3216" s="13" t="s">
        <v>7170</v>
      </c>
    </row>
    <row r="3217" spans="1:1" hidden="1">
      <c r="A3217" s="13" t="s">
        <v>7171</v>
      </c>
    </row>
    <row r="3218" spans="1:1" hidden="1">
      <c r="A3218" s="13" t="s">
        <v>7172</v>
      </c>
    </row>
    <row r="3219" spans="1:1" hidden="1">
      <c r="A3219" s="13" t="s">
        <v>7173</v>
      </c>
    </row>
    <row r="3220" spans="1:1" hidden="1">
      <c r="A3220" s="13" t="s">
        <v>7174</v>
      </c>
    </row>
    <row r="3221" spans="1:1" hidden="1">
      <c r="A3221" s="13" t="s">
        <v>7175</v>
      </c>
    </row>
    <row r="3222" spans="1:1" hidden="1">
      <c r="A3222" s="13" t="s">
        <v>7176</v>
      </c>
    </row>
    <row r="3223" spans="1:1" hidden="1">
      <c r="A3223" s="13" t="s">
        <v>7177</v>
      </c>
    </row>
    <row r="3224" spans="1:1" hidden="1">
      <c r="A3224" s="13" t="s">
        <v>7178</v>
      </c>
    </row>
    <row r="3225" spans="1:1" hidden="1">
      <c r="A3225" s="13" t="s">
        <v>7179</v>
      </c>
    </row>
    <row r="3226" spans="1:1" hidden="1">
      <c r="A3226" s="13" t="s">
        <v>7180</v>
      </c>
    </row>
    <row r="3227" spans="1:1" hidden="1">
      <c r="A3227" s="13" t="s">
        <v>7181</v>
      </c>
    </row>
    <row r="3228" spans="1:1" hidden="1">
      <c r="A3228" s="13" t="s">
        <v>7182</v>
      </c>
    </row>
    <row r="3229" spans="1:1" hidden="1">
      <c r="A3229" s="13" t="s">
        <v>7183</v>
      </c>
    </row>
    <row r="3230" spans="1:1" hidden="1">
      <c r="A3230" s="13" t="s">
        <v>7184</v>
      </c>
    </row>
    <row r="3231" spans="1:1" hidden="1">
      <c r="A3231" s="13" t="s">
        <v>7185</v>
      </c>
    </row>
    <row r="3232" spans="1:1" hidden="1">
      <c r="A3232" s="13" t="s">
        <v>7186</v>
      </c>
    </row>
    <row r="3233" spans="1:1" hidden="1">
      <c r="A3233" s="13" t="s">
        <v>7187</v>
      </c>
    </row>
    <row r="3234" spans="1:1" hidden="1">
      <c r="A3234" s="13" t="s">
        <v>7188</v>
      </c>
    </row>
    <row r="3235" spans="1:1" hidden="1">
      <c r="A3235" s="13" t="s">
        <v>7189</v>
      </c>
    </row>
    <row r="3236" spans="1:1" hidden="1">
      <c r="A3236" s="13" t="s">
        <v>7190</v>
      </c>
    </row>
    <row r="3237" spans="1:1" hidden="1">
      <c r="A3237" s="13" t="s">
        <v>7191</v>
      </c>
    </row>
    <row r="3238" spans="1:1" hidden="1">
      <c r="A3238" s="13" t="s">
        <v>7192</v>
      </c>
    </row>
    <row r="3239" spans="1:1" hidden="1">
      <c r="A3239" s="13" t="s">
        <v>7193</v>
      </c>
    </row>
    <row r="3240" spans="1:1" hidden="1">
      <c r="A3240" s="13" t="s">
        <v>7194</v>
      </c>
    </row>
    <row r="3241" spans="1:1" hidden="1">
      <c r="A3241" s="13" t="s">
        <v>7195</v>
      </c>
    </row>
    <row r="3242" spans="1:1" hidden="1">
      <c r="A3242" s="13" t="s">
        <v>7196</v>
      </c>
    </row>
    <row r="3243" spans="1:1" hidden="1">
      <c r="A3243" s="13" t="s">
        <v>7197</v>
      </c>
    </row>
    <row r="3244" spans="1:1" hidden="1">
      <c r="A3244" s="13" t="s">
        <v>7198</v>
      </c>
    </row>
    <row r="3245" spans="1:1" hidden="1">
      <c r="A3245" s="13" t="s">
        <v>7199</v>
      </c>
    </row>
    <row r="3246" spans="1:1" hidden="1">
      <c r="A3246" s="13" t="s">
        <v>7200</v>
      </c>
    </row>
    <row r="3247" spans="1:1" hidden="1">
      <c r="A3247" s="13" t="s">
        <v>7201</v>
      </c>
    </row>
    <row r="3248" spans="1:1" hidden="1">
      <c r="A3248" s="13" t="s">
        <v>7202</v>
      </c>
    </row>
    <row r="3249" spans="1:1" hidden="1">
      <c r="A3249" s="13" t="s">
        <v>7203</v>
      </c>
    </row>
    <row r="3250" spans="1:1" hidden="1">
      <c r="A3250" s="13" t="s">
        <v>7204</v>
      </c>
    </row>
    <row r="3251" spans="1:1" hidden="1">
      <c r="A3251" s="13" t="s">
        <v>7205</v>
      </c>
    </row>
    <row r="3252" spans="1:1" hidden="1">
      <c r="A3252" s="13" t="s">
        <v>7206</v>
      </c>
    </row>
    <row r="3253" spans="1:1" hidden="1">
      <c r="A3253" s="13" t="s">
        <v>7207</v>
      </c>
    </row>
    <row r="3254" spans="1:1" hidden="1">
      <c r="A3254" s="13" t="s">
        <v>7208</v>
      </c>
    </row>
    <row r="3255" spans="1:1" hidden="1">
      <c r="A3255" s="13" t="s">
        <v>7209</v>
      </c>
    </row>
    <row r="3256" spans="1:1" hidden="1">
      <c r="A3256" s="13" t="s">
        <v>4842</v>
      </c>
    </row>
    <row r="3257" spans="1:1" hidden="1">
      <c r="A3257" s="13" t="s">
        <v>4843</v>
      </c>
    </row>
    <row r="3258" spans="1:1" hidden="1">
      <c r="A3258" s="13" t="s">
        <v>4844</v>
      </c>
    </row>
    <row r="3259" spans="1:1" hidden="1">
      <c r="A3259" s="13" t="s">
        <v>4845</v>
      </c>
    </row>
    <row r="3260" spans="1:1" customFormat="1" hidden="1">
      <c r="A3260" s="13" t="s">
        <v>4846</v>
      </c>
    </row>
    <row r="3261" spans="1:1" customFormat="1" hidden="1">
      <c r="A3261" s="13" t="s">
        <v>4847</v>
      </c>
    </row>
    <row r="3262" spans="1:1" customFormat="1" hidden="1">
      <c r="A3262" s="13" t="s">
        <v>4848</v>
      </c>
    </row>
    <row r="3263" spans="1:1" customFormat="1" hidden="1">
      <c r="A3263" s="13" t="s">
        <v>4849</v>
      </c>
    </row>
    <row r="3264" spans="1:1" customFormat="1" hidden="1">
      <c r="A3264" s="13" t="s">
        <v>4850</v>
      </c>
    </row>
    <row r="3265" spans="1:1" customFormat="1" hidden="1">
      <c r="A3265" s="13" t="s">
        <v>4851</v>
      </c>
    </row>
    <row r="3266" spans="1:1" customFormat="1" hidden="1">
      <c r="A3266" s="13" t="s">
        <v>4852</v>
      </c>
    </row>
    <row r="3267" spans="1:1" customFormat="1" hidden="1">
      <c r="A3267" s="13" t="s">
        <v>4853</v>
      </c>
    </row>
    <row r="3268" spans="1:1" customFormat="1" hidden="1">
      <c r="A3268" s="13" t="s">
        <v>4854</v>
      </c>
    </row>
    <row r="3269" spans="1:1" customFormat="1" hidden="1">
      <c r="A3269" s="13" t="s">
        <v>4855</v>
      </c>
    </row>
    <row r="3270" spans="1:1" customFormat="1" hidden="1">
      <c r="A3270" s="13" t="s">
        <v>4856</v>
      </c>
    </row>
    <row r="3271" spans="1:1" customFormat="1" hidden="1">
      <c r="A3271" s="13" t="s">
        <v>4857</v>
      </c>
    </row>
    <row r="3272" spans="1:1" customFormat="1" hidden="1">
      <c r="A3272" s="13" t="s">
        <v>4858</v>
      </c>
    </row>
    <row r="3273" spans="1:1" customFormat="1" hidden="1">
      <c r="A3273" s="13" t="s">
        <v>4859</v>
      </c>
    </row>
    <row r="3274" spans="1:1" customFormat="1" hidden="1">
      <c r="A3274" s="13" t="s">
        <v>4860</v>
      </c>
    </row>
    <row r="3275" spans="1:1" customFormat="1" hidden="1">
      <c r="A3275" s="13" t="s">
        <v>4861</v>
      </c>
    </row>
    <row r="3276" spans="1:1" customFormat="1" hidden="1">
      <c r="A3276" s="13" t="s">
        <v>4862</v>
      </c>
    </row>
    <row r="3277" spans="1:1" customFormat="1" hidden="1">
      <c r="A3277" s="13" t="s">
        <v>4863</v>
      </c>
    </row>
    <row r="3278" spans="1:1" customFormat="1" hidden="1">
      <c r="A3278" s="13" t="s">
        <v>4864</v>
      </c>
    </row>
    <row r="3279" spans="1:1" customFormat="1" hidden="1">
      <c r="A3279" s="13" t="s">
        <v>4865</v>
      </c>
    </row>
    <row r="3280" spans="1:1" customFormat="1" hidden="1">
      <c r="A3280" s="13" t="s">
        <v>4866</v>
      </c>
    </row>
    <row r="3281" spans="1:1" customFormat="1" hidden="1">
      <c r="A3281" s="13" t="s">
        <v>4867</v>
      </c>
    </row>
    <row r="3282" spans="1:1" customFormat="1" hidden="1">
      <c r="A3282" s="13" t="s">
        <v>4868</v>
      </c>
    </row>
    <row r="3283" spans="1:1" customFormat="1" hidden="1">
      <c r="A3283" s="13" t="s">
        <v>4869</v>
      </c>
    </row>
    <row r="3284" spans="1:1" customFormat="1" hidden="1">
      <c r="A3284" s="13" t="s">
        <v>4870</v>
      </c>
    </row>
    <row r="3285" spans="1:1" customFormat="1" hidden="1">
      <c r="A3285" s="13" t="s">
        <v>4871</v>
      </c>
    </row>
    <row r="3286" spans="1:1" customFormat="1" hidden="1">
      <c r="A3286" s="13" t="s">
        <v>4872</v>
      </c>
    </row>
    <row r="3287" spans="1:1" customFormat="1" hidden="1">
      <c r="A3287" s="13" t="s">
        <v>4873</v>
      </c>
    </row>
    <row r="3288" spans="1:1" customFormat="1" hidden="1">
      <c r="A3288" s="13" t="s">
        <v>4874</v>
      </c>
    </row>
    <row r="3289" spans="1:1" customFormat="1" hidden="1">
      <c r="A3289" s="13" t="s">
        <v>4875</v>
      </c>
    </row>
    <row r="3290" spans="1:1" customFormat="1" hidden="1">
      <c r="A3290" s="13" t="s">
        <v>4876</v>
      </c>
    </row>
    <row r="3291" spans="1:1" customFormat="1" hidden="1">
      <c r="A3291" s="13" t="s">
        <v>4877</v>
      </c>
    </row>
    <row r="3292" spans="1:1" customFormat="1" hidden="1">
      <c r="A3292" s="13" t="s">
        <v>4878</v>
      </c>
    </row>
    <row r="3293" spans="1:1" customFormat="1" hidden="1">
      <c r="A3293" s="13" t="s">
        <v>4879</v>
      </c>
    </row>
    <row r="3294" spans="1:1" customFormat="1" hidden="1">
      <c r="A3294" s="13" t="s">
        <v>4880</v>
      </c>
    </row>
    <row r="3295" spans="1:1" customFormat="1" hidden="1">
      <c r="A3295" s="13"/>
    </row>
    <row r="3296" spans="1:1" customFormat="1" hidden="1">
      <c r="A3296" s="13" t="s">
        <v>4881</v>
      </c>
    </row>
    <row r="3297" spans="1:1" customFormat="1" hidden="1">
      <c r="A3297" s="13" t="s">
        <v>4882</v>
      </c>
    </row>
    <row r="3298" spans="1:1" customFormat="1" hidden="1">
      <c r="A3298" s="13" t="s">
        <v>4883</v>
      </c>
    </row>
    <row r="3299" spans="1:1" customFormat="1" hidden="1">
      <c r="A3299" s="13" t="s">
        <v>4884</v>
      </c>
    </row>
    <row r="3300" spans="1:1" customFormat="1" hidden="1">
      <c r="A3300" s="13" t="s">
        <v>4885</v>
      </c>
    </row>
    <row r="3301" spans="1:1" customFormat="1" hidden="1">
      <c r="A3301" s="13" t="s">
        <v>4886</v>
      </c>
    </row>
    <row r="3302" spans="1:1" customFormat="1" hidden="1">
      <c r="A3302" s="13" t="s">
        <v>4887</v>
      </c>
    </row>
    <row r="3303" spans="1:1" customFormat="1" hidden="1">
      <c r="A3303" s="13" t="s">
        <v>4888</v>
      </c>
    </row>
    <row r="3304" spans="1:1" customFormat="1" hidden="1">
      <c r="A3304" s="13" t="s">
        <v>4889</v>
      </c>
    </row>
    <row r="3305" spans="1:1" customFormat="1" hidden="1">
      <c r="A3305" s="13" t="s">
        <v>4890</v>
      </c>
    </row>
    <row r="3306" spans="1:1" customFormat="1" hidden="1">
      <c r="A3306" s="13" t="s">
        <v>4891</v>
      </c>
    </row>
    <row r="3307" spans="1:1" customFormat="1" hidden="1">
      <c r="A3307" s="13" t="s">
        <v>4892</v>
      </c>
    </row>
    <row r="3308" spans="1:1" customFormat="1" hidden="1">
      <c r="A3308" s="13" t="s">
        <v>4893</v>
      </c>
    </row>
    <row r="3309" spans="1:1" customFormat="1" hidden="1">
      <c r="A3309" s="13" t="s">
        <v>4894</v>
      </c>
    </row>
    <row r="3310" spans="1:1" customFormat="1" hidden="1">
      <c r="A3310" s="13" t="s">
        <v>4895</v>
      </c>
    </row>
    <row r="3311" spans="1:1" customFormat="1" hidden="1">
      <c r="A3311" s="13" t="s">
        <v>4896</v>
      </c>
    </row>
    <row r="3312" spans="1:1" customFormat="1" hidden="1">
      <c r="A3312" s="13" t="s">
        <v>4897</v>
      </c>
    </row>
    <row r="3313" spans="1:1" customFormat="1" hidden="1">
      <c r="A3313" s="13" t="s">
        <v>4898</v>
      </c>
    </row>
    <row r="3314" spans="1:1" customFormat="1" hidden="1">
      <c r="A3314" s="13" t="s">
        <v>4899</v>
      </c>
    </row>
    <row r="3315" spans="1:1" customFormat="1" hidden="1">
      <c r="A3315" s="13" t="s">
        <v>4900</v>
      </c>
    </row>
    <row r="3316" spans="1:1" customFormat="1" hidden="1">
      <c r="A3316" s="13" t="s">
        <v>4901</v>
      </c>
    </row>
    <row r="3317" spans="1:1" customFormat="1" hidden="1">
      <c r="A3317" s="13" t="s">
        <v>4902</v>
      </c>
    </row>
    <row r="3318" spans="1:1" customFormat="1" hidden="1">
      <c r="A3318" s="13" t="s">
        <v>4903</v>
      </c>
    </row>
    <row r="3319" spans="1:1" customFormat="1" hidden="1">
      <c r="A3319" s="13" t="s">
        <v>4904</v>
      </c>
    </row>
    <row r="3320" spans="1:1" customFormat="1" hidden="1">
      <c r="A3320" s="13" t="s">
        <v>4905</v>
      </c>
    </row>
    <row r="3321" spans="1:1" customFormat="1" hidden="1">
      <c r="A3321" s="13" t="s">
        <v>4906</v>
      </c>
    </row>
    <row r="3322" spans="1:1" customFormat="1" hidden="1">
      <c r="A3322" s="13" t="s">
        <v>4907</v>
      </c>
    </row>
    <row r="3323" spans="1:1" customFormat="1" hidden="1">
      <c r="A3323" s="13" t="s">
        <v>4908</v>
      </c>
    </row>
    <row r="3324" spans="1:1" customFormat="1" hidden="1">
      <c r="A3324" s="13" t="s">
        <v>4909</v>
      </c>
    </row>
    <row r="3325" spans="1:1" customFormat="1" hidden="1">
      <c r="A3325" s="13" t="s">
        <v>4910</v>
      </c>
    </row>
    <row r="3326" spans="1:1" customFormat="1" hidden="1">
      <c r="A3326" s="13" t="s">
        <v>4911</v>
      </c>
    </row>
    <row r="3327" spans="1:1" customFormat="1" hidden="1">
      <c r="A3327" s="13" t="s">
        <v>4912</v>
      </c>
    </row>
    <row r="3328" spans="1:1" customFormat="1" hidden="1">
      <c r="A3328" s="13" t="s">
        <v>4913</v>
      </c>
    </row>
    <row r="3329" spans="1:1" customFormat="1" hidden="1">
      <c r="A3329" s="13" t="s">
        <v>4914</v>
      </c>
    </row>
    <row r="3330" spans="1:1" customFormat="1" hidden="1">
      <c r="A3330" s="13" t="s">
        <v>4915</v>
      </c>
    </row>
    <row r="3331" spans="1:1" customFormat="1" hidden="1">
      <c r="A3331" s="13" t="s">
        <v>4916</v>
      </c>
    </row>
    <row r="3332" spans="1:1" customFormat="1" hidden="1">
      <c r="A3332" s="13" t="s">
        <v>4917</v>
      </c>
    </row>
    <row r="3333" spans="1:1" customFormat="1" hidden="1">
      <c r="A3333" s="13" t="s">
        <v>4918</v>
      </c>
    </row>
    <row r="3334" spans="1:1" customFormat="1" hidden="1">
      <c r="A3334" s="13" t="s">
        <v>4919</v>
      </c>
    </row>
    <row r="3335" spans="1:1" customFormat="1" hidden="1">
      <c r="A3335" s="13" t="s">
        <v>4920</v>
      </c>
    </row>
    <row r="3336" spans="1:1" customFormat="1" hidden="1">
      <c r="A3336" s="13" t="s">
        <v>4921</v>
      </c>
    </row>
    <row r="3337" spans="1:1" customFormat="1" hidden="1">
      <c r="A3337" s="13" t="s">
        <v>4922</v>
      </c>
    </row>
    <row r="3338" spans="1:1" customFormat="1" hidden="1">
      <c r="A3338" s="13" t="s">
        <v>4923</v>
      </c>
    </row>
    <row r="3339" spans="1:1" customFormat="1" hidden="1">
      <c r="A3339" s="13" t="s">
        <v>4924</v>
      </c>
    </row>
    <row r="3340" spans="1:1" customFormat="1" hidden="1">
      <c r="A3340" s="13" t="s">
        <v>4925</v>
      </c>
    </row>
    <row r="3341" spans="1:1" customFormat="1" hidden="1">
      <c r="A3341" s="13" t="s">
        <v>4926</v>
      </c>
    </row>
    <row r="3342" spans="1:1" customFormat="1" hidden="1">
      <c r="A3342" s="13" t="s">
        <v>4927</v>
      </c>
    </row>
    <row r="3343" spans="1:1" customFormat="1" hidden="1">
      <c r="A3343" s="13" t="s">
        <v>4928</v>
      </c>
    </row>
    <row r="3344" spans="1:1" customFormat="1" hidden="1">
      <c r="A3344" s="13" t="s">
        <v>4929</v>
      </c>
    </row>
    <row r="3345" spans="1:1" customFormat="1" hidden="1">
      <c r="A3345" s="13" t="s">
        <v>4930</v>
      </c>
    </row>
    <row r="3346" spans="1:1" customFormat="1" hidden="1">
      <c r="A3346" s="13" t="s">
        <v>4931</v>
      </c>
    </row>
    <row r="3347" spans="1:1" customFormat="1" hidden="1">
      <c r="A3347" s="13" t="s">
        <v>4932</v>
      </c>
    </row>
    <row r="3348" spans="1:1" customFormat="1" hidden="1">
      <c r="A3348" s="13" t="s">
        <v>4933</v>
      </c>
    </row>
    <row r="3349" spans="1:1" customFormat="1" hidden="1">
      <c r="A3349" s="13" t="s">
        <v>4934</v>
      </c>
    </row>
    <row r="3350" spans="1:1" customFormat="1" hidden="1">
      <c r="A3350" s="13" t="s">
        <v>4935</v>
      </c>
    </row>
    <row r="3351" spans="1:1" customFormat="1" hidden="1">
      <c r="A3351" s="13" t="s">
        <v>4936</v>
      </c>
    </row>
    <row r="3352" spans="1:1" customFormat="1" hidden="1">
      <c r="A3352" s="13" t="s">
        <v>4937</v>
      </c>
    </row>
    <row r="3353" spans="1:1" customFormat="1" hidden="1">
      <c r="A3353" s="13" t="s">
        <v>4938</v>
      </c>
    </row>
    <row r="3354" spans="1:1" customFormat="1" hidden="1">
      <c r="A3354" s="13" t="s">
        <v>4939</v>
      </c>
    </row>
    <row r="3355" spans="1:1" customFormat="1" hidden="1">
      <c r="A3355" s="13" t="s">
        <v>4940</v>
      </c>
    </row>
    <row r="3356" spans="1:1" customFormat="1" hidden="1">
      <c r="A3356" s="13" t="s">
        <v>4941</v>
      </c>
    </row>
    <row r="3357" spans="1:1" customFormat="1" hidden="1">
      <c r="A3357" s="13" t="s">
        <v>4942</v>
      </c>
    </row>
    <row r="3358" spans="1:1" customFormat="1" hidden="1">
      <c r="A3358" s="13" t="s">
        <v>4943</v>
      </c>
    </row>
    <row r="3359" spans="1:1" customFormat="1" hidden="1">
      <c r="A3359" s="13" t="s">
        <v>4944</v>
      </c>
    </row>
    <row r="3360" spans="1:1" customFormat="1" hidden="1">
      <c r="A3360" s="13" t="s">
        <v>4945</v>
      </c>
    </row>
    <row r="3361" spans="1:1" customFormat="1" hidden="1">
      <c r="A3361" s="13" t="s">
        <v>4946</v>
      </c>
    </row>
    <row r="3362" spans="1:1" customFormat="1" hidden="1">
      <c r="A3362" s="13" t="s">
        <v>4947</v>
      </c>
    </row>
    <row r="3363" spans="1:1" customFormat="1" hidden="1">
      <c r="A3363" s="13" t="s">
        <v>4948</v>
      </c>
    </row>
    <row r="3364" spans="1:1" customFormat="1" hidden="1">
      <c r="A3364" s="13" t="s">
        <v>4949</v>
      </c>
    </row>
    <row r="3365" spans="1:1" customFormat="1" hidden="1">
      <c r="A3365" s="13" t="s">
        <v>4950</v>
      </c>
    </row>
    <row r="3366" spans="1:1" customFormat="1" hidden="1">
      <c r="A3366" s="13" t="s">
        <v>4951</v>
      </c>
    </row>
    <row r="3367" spans="1:1" customFormat="1" hidden="1">
      <c r="A3367" s="13" t="s">
        <v>4952</v>
      </c>
    </row>
    <row r="3368" spans="1:1" customFormat="1" hidden="1">
      <c r="A3368" s="13" t="s">
        <v>4953</v>
      </c>
    </row>
    <row r="3369" spans="1:1" customFormat="1" hidden="1">
      <c r="A3369" s="13" t="s">
        <v>4954</v>
      </c>
    </row>
    <row r="3370" spans="1:1" customFormat="1" hidden="1">
      <c r="A3370" s="13" t="s">
        <v>4955</v>
      </c>
    </row>
    <row r="3371" spans="1:1" customFormat="1" hidden="1">
      <c r="A3371" s="13" t="s">
        <v>4956</v>
      </c>
    </row>
    <row r="3372" spans="1:1" customFormat="1" hidden="1">
      <c r="A3372" s="13" t="s">
        <v>4957</v>
      </c>
    </row>
    <row r="3373" spans="1:1" customFormat="1" hidden="1">
      <c r="A3373" s="13" t="s">
        <v>4958</v>
      </c>
    </row>
    <row r="3374" spans="1:1" customFormat="1" hidden="1">
      <c r="A3374" s="13" t="s">
        <v>4959</v>
      </c>
    </row>
    <row r="3375" spans="1:1" customFormat="1" hidden="1">
      <c r="A3375" s="13" t="s">
        <v>4960</v>
      </c>
    </row>
    <row r="3376" spans="1:1" customFormat="1" hidden="1">
      <c r="A3376" s="13" t="s">
        <v>4961</v>
      </c>
    </row>
    <row r="3377" spans="1:1" customFormat="1" hidden="1">
      <c r="A3377" s="13" t="s">
        <v>4962</v>
      </c>
    </row>
    <row r="3378" spans="1:1" customFormat="1" hidden="1">
      <c r="A3378" s="13" t="s">
        <v>4963</v>
      </c>
    </row>
    <row r="3379" spans="1:1" customFormat="1" hidden="1">
      <c r="A3379" s="13" t="s">
        <v>4964</v>
      </c>
    </row>
    <row r="3380" spans="1:1" customFormat="1" hidden="1">
      <c r="A3380" s="13" t="s">
        <v>4965</v>
      </c>
    </row>
    <row r="3381" spans="1:1" customFormat="1" hidden="1">
      <c r="A3381" s="13" t="s">
        <v>4966</v>
      </c>
    </row>
    <row r="3382" spans="1:1" customFormat="1" hidden="1">
      <c r="A3382" s="13" t="s">
        <v>4967</v>
      </c>
    </row>
    <row r="3383" spans="1:1" customFormat="1" hidden="1">
      <c r="A3383" s="13" t="s">
        <v>4968</v>
      </c>
    </row>
    <row r="3384" spans="1:1" customFormat="1" hidden="1">
      <c r="A3384" s="13" t="s">
        <v>4969</v>
      </c>
    </row>
    <row r="3385" spans="1:1" customFormat="1" hidden="1">
      <c r="A3385" s="13" t="s">
        <v>4970</v>
      </c>
    </row>
    <row r="3386" spans="1:1" customFormat="1" hidden="1">
      <c r="A3386" s="13" t="s">
        <v>4971</v>
      </c>
    </row>
    <row r="3387" spans="1:1" customFormat="1" hidden="1">
      <c r="A3387" s="13" t="s">
        <v>4972</v>
      </c>
    </row>
    <row r="3388" spans="1:1" customFormat="1" hidden="1">
      <c r="A3388" s="13" t="s">
        <v>4973</v>
      </c>
    </row>
    <row r="3389" spans="1:1" customFormat="1" hidden="1">
      <c r="A3389" s="13" t="s">
        <v>4974</v>
      </c>
    </row>
    <row r="3390" spans="1:1" customFormat="1" hidden="1">
      <c r="A3390" s="13" t="s">
        <v>4975</v>
      </c>
    </row>
    <row r="3391" spans="1:1" customFormat="1" hidden="1">
      <c r="A3391" s="13" t="s">
        <v>4976</v>
      </c>
    </row>
    <row r="3392" spans="1:1" customFormat="1" hidden="1">
      <c r="A3392" s="13" t="s">
        <v>4977</v>
      </c>
    </row>
    <row r="3393" spans="1:1" customFormat="1" hidden="1">
      <c r="A3393" s="13" t="s">
        <v>4978</v>
      </c>
    </row>
    <row r="3394" spans="1:1" customFormat="1" hidden="1">
      <c r="A3394" s="13" t="s">
        <v>4979</v>
      </c>
    </row>
    <row r="3395" spans="1:1" customFormat="1" hidden="1">
      <c r="A3395" s="13" t="s">
        <v>4980</v>
      </c>
    </row>
    <row r="3396" spans="1:1" customFormat="1" hidden="1">
      <c r="A3396" s="13" t="s">
        <v>4981</v>
      </c>
    </row>
    <row r="3397" spans="1:1" customFormat="1" hidden="1">
      <c r="A3397" s="13" t="s">
        <v>4982</v>
      </c>
    </row>
    <row r="3398" spans="1:1" customFormat="1" hidden="1">
      <c r="A3398" s="13" t="s">
        <v>4983</v>
      </c>
    </row>
    <row r="3399" spans="1:1" customFormat="1" hidden="1">
      <c r="A3399" s="13" t="s">
        <v>4984</v>
      </c>
    </row>
    <row r="3400" spans="1:1" customFormat="1" hidden="1">
      <c r="A3400" s="13" t="s">
        <v>4985</v>
      </c>
    </row>
    <row r="3401" spans="1:1" customFormat="1" hidden="1">
      <c r="A3401" s="13" t="s">
        <v>4986</v>
      </c>
    </row>
    <row r="3402" spans="1:1" customFormat="1" hidden="1">
      <c r="A3402" s="13" t="s">
        <v>4987</v>
      </c>
    </row>
    <row r="3403" spans="1:1" customFormat="1" hidden="1">
      <c r="A3403" s="13" t="s">
        <v>4988</v>
      </c>
    </row>
    <row r="3404" spans="1:1" customFormat="1" hidden="1">
      <c r="A3404" s="13" t="s">
        <v>4989</v>
      </c>
    </row>
    <row r="3405" spans="1:1" customFormat="1" hidden="1">
      <c r="A3405" s="13" t="s">
        <v>4990</v>
      </c>
    </row>
    <row r="3406" spans="1:1" customFormat="1" hidden="1">
      <c r="A3406" s="13" t="s">
        <v>4991</v>
      </c>
    </row>
    <row r="3407" spans="1:1" customFormat="1" hidden="1">
      <c r="A3407" s="13" t="s">
        <v>4992</v>
      </c>
    </row>
    <row r="3408" spans="1:1" customFormat="1" hidden="1">
      <c r="A3408" s="13" t="s">
        <v>4993</v>
      </c>
    </row>
    <row r="3409" spans="1:1" customFormat="1" hidden="1">
      <c r="A3409" s="13" t="s">
        <v>4994</v>
      </c>
    </row>
    <row r="3410" spans="1:1" customFormat="1" hidden="1">
      <c r="A3410" s="13" t="s">
        <v>4995</v>
      </c>
    </row>
    <row r="3411" spans="1:1" customFormat="1" hidden="1">
      <c r="A3411" s="13" t="s">
        <v>4996</v>
      </c>
    </row>
    <row r="3412" spans="1:1" customFormat="1" hidden="1">
      <c r="A3412" s="13" t="s">
        <v>4997</v>
      </c>
    </row>
    <row r="3413" spans="1:1" customFormat="1" hidden="1">
      <c r="A3413" s="13" t="s">
        <v>4998</v>
      </c>
    </row>
    <row r="3414" spans="1:1" customFormat="1" hidden="1">
      <c r="A3414" s="13" t="s">
        <v>4999</v>
      </c>
    </row>
    <row r="3415" spans="1:1" customFormat="1" hidden="1">
      <c r="A3415" s="13" t="s">
        <v>5000</v>
      </c>
    </row>
    <row r="3416" spans="1:1" customFormat="1" hidden="1">
      <c r="A3416" s="13" t="s">
        <v>5001</v>
      </c>
    </row>
    <row r="3417" spans="1:1" customFormat="1" hidden="1">
      <c r="A3417" s="13" t="s">
        <v>5002</v>
      </c>
    </row>
    <row r="3418" spans="1:1" customFormat="1" hidden="1">
      <c r="A3418" s="13" t="s">
        <v>5003</v>
      </c>
    </row>
    <row r="3419" spans="1:1" customFormat="1" hidden="1">
      <c r="A3419" s="13" t="s">
        <v>5004</v>
      </c>
    </row>
    <row r="3420" spans="1:1" customFormat="1" hidden="1">
      <c r="A3420" s="13" t="s">
        <v>5005</v>
      </c>
    </row>
    <row r="3421" spans="1:1" customFormat="1" hidden="1">
      <c r="A3421" s="13" t="s">
        <v>5006</v>
      </c>
    </row>
    <row r="3422" spans="1:1" customFormat="1" hidden="1">
      <c r="A3422" s="13" t="s">
        <v>5007</v>
      </c>
    </row>
    <row r="3423" spans="1:1" customFormat="1" hidden="1">
      <c r="A3423" s="13" t="s">
        <v>5008</v>
      </c>
    </row>
    <row r="3424" spans="1:1" customFormat="1" hidden="1">
      <c r="A3424" s="13" t="s">
        <v>5009</v>
      </c>
    </row>
    <row r="3425" spans="1:1" customFormat="1" hidden="1">
      <c r="A3425" s="13" t="s">
        <v>5010</v>
      </c>
    </row>
    <row r="3426" spans="1:1" customFormat="1" hidden="1">
      <c r="A3426" s="13" t="s">
        <v>5011</v>
      </c>
    </row>
    <row r="3427" spans="1:1" customFormat="1" hidden="1">
      <c r="A3427" s="13" t="s">
        <v>5012</v>
      </c>
    </row>
    <row r="3428" spans="1:1" customFormat="1" hidden="1">
      <c r="A3428" s="13" t="s">
        <v>5013</v>
      </c>
    </row>
    <row r="3429" spans="1:1" customFormat="1" hidden="1">
      <c r="A3429" s="13" t="s">
        <v>5014</v>
      </c>
    </row>
    <row r="3430" spans="1:1" customFormat="1" hidden="1">
      <c r="A3430" s="13" t="s">
        <v>5015</v>
      </c>
    </row>
    <row r="3431" spans="1:1" customFormat="1" hidden="1">
      <c r="A3431" s="13" t="s">
        <v>5016</v>
      </c>
    </row>
    <row r="3432" spans="1:1" customFormat="1" hidden="1">
      <c r="A3432" s="13" t="s">
        <v>5017</v>
      </c>
    </row>
    <row r="3433" spans="1:1" customFormat="1" hidden="1">
      <c r="A3433" s="13" t="s">
        <v>5018</v>
      </c>
    </row>
    <row r="3434" spans="1:1" customFormat="1" hidden="1">
      <c r="A3434" s="13" t="s">
        <v>5019</v>
      </c>
    </row>
    <row r="3435" spans="1:1" customFormat="1" hidden="1">
      <c r="A3435" s="13" t="s">
        <v>5020</v>
      </c>
    </row>
    <row r="3436" spans="1:1" customFormat="1" hidden="1">
      <c r="A3436" s="13" t="s">
        <v>5021</v>
      </c>
    </row>
    <row r="3437" spans="1:1" customFormat="1" hidden="1">
      <c r="A3437" s="13" t="s">
        <v>5022</v>
      </c>
    </row>
    <row r="3438" spans="1:1" customFormat="1" hidden="1">
      <c r="A3438" s="13" t="s">
        <v>5023</v>
      </c>
    </row>
    <row r="3439" spans="1:1" customFormat="1" hidden="1">
      <c r="A3439" s="13" t="s">
        <v>5024</v>
      </c>
    </row>
    <row r="3440" spans="1:1" customFormat="1" hidden="1">
      <c r="A3440" s="13" t="s">
        <v>5025</v>
      </c>
    </row>
    <row r="3441" spans="1:1" customFormat="1" hidden="1">
      <c r="A3441" s="13" t="s">
        <v>5026</v>
      </c>
    </row>
    <row r="3442" spans="1:1" customFormat="1" hidden="1">
      <c r="A3442" s="13" t="s">
        <v>5027</v>
      </c>
    </row>
    <row r="3443" spans="1:1" customFormat="1" hidden="1">
      <c r="A3443" s="13" t="s">
        <v>5028</v>
      </c>
    </row>
    <row r="3444" spans="1:1" customFormat="1" hidden="1">
      <c r="A3444" s="13" t="s">
        <v>5029</v>
      </c>
    </row>
    <row r="3445" spans="1:1" customFormat="1" hidden="1">
      <c r="A3445" s="13" t="s">
        <v>5030</v>
      </c>
    </row>
    <row r="3446" spans="1:1" customFormat="1" hidden="1">
      <c r="A3446" s="13" t="s">
        <v>5031</v>
      </c>
    </row>
    <row r="3447" spans="1:1" customFormat="1" hidden="1">
      <c r="A3447" s="13" t="s">
        <v>5032</v>
      </c>
    </row>
    <row r="3448" spans="1:1" customFormat="1" hidden="1">
      <c r="A3448" s="13" t="s">
        <v>5033</v>
      </c>
    </row>
    <row r="3449" spans="1:1" customFormat="1" hidden="1">
      <c r="A3449" s="13" t="s">
        <v>5034</v>
      </c>
    </row>
    <row r="3450" spans="1:1" customFormat="1" hidden="1">
      <c r="A3450" s="13" t="s">
        <v>5035</v>
      </c>
    </row>
    <row r="3451" spans="1:1" customFormat="1" hidden="1">
      <c r="A3451" s="13" t="s">
        <v>5036</v>
      </c>
    </row>
    <row r="3452" spans="1:1" customFormat="1" hidden="1">
      <c r="A3452" s="13" t="s">
        <v>5037</v>
      </c>
    </row>
    <row r="3453" spans="1:1" customFormat="1" hidden="1">
      <c r="A3453" s="13" t="s">
        <v>5038</v>
      </c>
    </row>
    <row r="3454" spans="1:1" customFormat="1" hidden="1">
      <c r="A3454" s="13" t="s">
        <v>5039</v>
      </c>
    </row>
    <row r="3455" spans="1:1" customFormat="1" hidden="1">
      <c r="A3455" s="13" t="s">
        <v>5040</v>
      </c>
    </row>
    <row r="3456" spans="1:1" customFormat="1" hidden="1">
      <c r="A3456" s="13" t="s">
        <v>5041</v>
      </c>
    </row>
    <row r="3457" spans="1:1" customFormat="1" hidden="1">
      <c r="A3457" s="13" t="s">
        <v>5042</v>
      </c>
    </row>
    <row r="3458" spans="1:1" customFormat="1" hidden="1">
      <c r="A3458" s="13" t="s">
        <v>5043</v>
      </c>
    </row>
    <row r="3459" spans="1:1" customFormat="1" hidden="1">
      <c r="A3459" s="13" t="s">
        <v>5044</v>
      </c>
    </row>
    <row r="3460" spans="1:1" customFormat="1" hidden="1">
      <c r="A3460" s="13" t="s">
        <v>5045</v>
      </c>
    </row>
    <row r="3461" spans="1:1" customFormat="1" hidden="1">
      <c r="A3461" s="13" t="s">
        <v>5046</v>
      </c>
    </row>
    <row r="3462" spans="1:1" customFormat="1" hidden="1">
      <c r="A3462" s="13" t="s">
        <v>5047</v>
      </c>
    </row>
    <row r="3463" spans="1:1" customFormat="1" hidden="1">
      <c r="A3463" s="13" t="s">
        <v>5048</v>
      </c>
    </row>
    <row r="3464" spans="1:1" customFormat="1" hidden="1">
      <c r="A3464" s="13" t="s">
        <v>5049</v>
      </c>
    </row>
    <row r="3465" spans="1:1" customFormat="1" hidden="1">
      <c r="A3465" s="13" t="s">
        <v>5050</v>
      </c>
    </row>
    <row r="3466" spans="1:1" customFormat="1" hidden="1">
      <c r="A3466" s="13" t="s">
        <v>5051</v>
      </c>
    </row>
    <row r="3467" spans="1:1" customFormat="1" hidden="1">
      <c r="A3467" s="13" t="s">
        <v>5052</v>
      </c>
    </row>
    <row r="3468" spans="1:1" customFormat="1" hidden="1">
      <c r="A3468" s="13" t="s">
        <v>5053</v>
      </c>
    </row>
    <row r="3469" spans="1:1" customFormat="1" hidden="1">
      <c r="A3469" s="13" t="s">
        <v>5054</v>
      </c>
    </row>
    <row r="3470" spans="1:1" customFormat="1" hidden="1">
      <c r="A3470" s="13" t="s">
        <v>5055</v>
      </c>
    </row>
    <row r="3471" spans="1:1" customFormat="1" hidden="1">
      <c r="A3471" s="13" t="s">
        <v>5056</v>
      </c>
    </row>
    <row r="3472" spans="1:1" customFormat="1" hidden="1">
      <c r="A3472" s="13" t="s">
        <v>5057</v>
      </c>
    </row>
    <row r="3473" spans="1:1" customFormat="1" hidden="1">
      <c r="A3473" s="13" t="s">
        <v>5058</v>
      </c>
    </row>
    <row r="3474" spans="1:1" customFormat="1" hidden="1">
      <c r="A3474" s="13" t="s">
        <v>5059</v>
      </c>
    </row>
    <row r="3475" spans="1:1" customFormat="1" hidden="1">
      <c r="A3475" s="13" t="s">
        <v>5060</v>
      </c>
    </row>
    <row r="3476" spans="1:1" customFormat="1" hidden="1">
      <c r="A3476" s="13" t="s">
        <v>5061</v>
      </c>
    </row>
    <row r="3477" spans="1:1" customFormat="1" hidden="1">
      <c r="A3477" s="13" t="s">
        <v>5062</v>
      </c>
    </row>
    <row r="3478" spans="1:1" customFormat="1" hidden="1">
      <c r="A3478" s="13" t="s">
        <v>5063</v>
      </c>
    </row>
    <row r="3479" spans="1:1" customFormat="1" hidden="1">
      <c r="A3479" s="13" t="s">
        <v>5064</v>
      </c>
    </row>
    <row r="3480" spans="1:1" customFormat="1" hidden="1">
      <c r="A3480" s="13" t="s">
        <v>5065</v>
      </c>
    </row>
    <row r="3481" spans="1:1" customFormat="1" hidden="1">
      <c r="A3481" s="13" t="s">
        <v>5066</v>
      </c>
    </row>
    <row r="3482" spans="1:1" customFormat="1" hidden="1">
      <c r="A3482" s="13" t="s">
        <v>5067</v>
      </c>
    </row>
    <row r="3483" spans="1:1" customFormat="1" hidden="1">
      <c r="A3483" s="13" t="s">
        <v>5068</v>
      </c>
    </row>
    <row r="3484" spans="1:1" customFormat="1" hidden="1">
      <c r="A3484" s="13" t="s">
        <v>5069</v>
      </c>
    </row>
    <row r="3485" spans="1:1" customFormat="1" hidden="1">
      <c r="A3485" s="13" t="s">
        <v>5070</v>
      </c>
    </row>
    <row r="3486" spans="1:1" customFormat="1" hidden="1">
      <c r="A3486" s="13" t="s">
        <v>5071</v>
      </c>
    </row>
    <row r="3487" spans="1:1" customFormat="1" hidden="1">
      <c r="A3487" s="13" t="s">
        <v>5072</v>
      </c>
    </row>
    <row r="3488" spans="1:1" customFormat="1" hidden="1">
      <c r="A3488" s="13" t="s">
        <v>5073</v>
      </c>
    </row>
    <row r="3489" spans="1:1" customFormat="1" hidden="1">
      <c r="A3489" s="13"/>
    </row>
    <row r="3490" spans="1:1" customFormat="1" hidden="1">
      <c r="A3490" s="13" t="s">
        <v>5074</v>
      </c>
    </row>
    <row r="3491" spans="1:1" customFormat="1" hidden="1">
      <c r="A3491" s="13" t="s">
        <v>5075</v>
      </c>
    </row>
    <row r="3492" spans="1:1" customFormat="1" hidden="1">
      <c r="A3492" s="13" t="s">
        <v>5076</v>
      </c>
    </row>
    <row r="3493" spans="1:1" customFormat="1" hidden="1">
      <c r="A3493" s="13" t="s">
        <v>5077</v>
      </c>
    </row>
    <row r="3494" spans="1:1" customFormat="1" hidden="1">
      <c r="A3494" s="13" t="s">
        <v>5078</v>
      </c>
    </row>
    <row r="3495" spans="1:1" hidden="1">
      <c r="A3495" s="13" t="s">
        <v>7210</v>
      </c>
    </row>
    <row r="3496" spans="1:1" hidden="1">
      <c r="A3496" s="13" t="s">
        <v>7211</v>
      </c>
    </row>
    <row r="3497" spans="1:1" hidden="1">
      <c r="A3497" s="13" t="s">
        <v>7212</v>
      </c>
    </row>
    <row r="3498" spans="1:1" hidden="1">
      <c r="A3498" s="13" t="s">
        <v>7213</v>
      </c>
    </row>
    <row r="3499" spans="1:1" hidden="1">
      <c r="A3499" s="13" t="s">
        <v>7214</v>
      </c>
    </row>
    <row r="3500" spans="1:1" hidden="1">
      <c r="A3500" s="13" t="s">
        <v>7215</v>
      </c>
    </row>
    <row r="3501" spans="1:1" hidden="1">
      <c r="A3501" s="13" t="s">
        <v>7216</v>
      </c>
    </row>
    <row r="3502" spans="1:1" hidden="1">
      <c r="A3502" s="13" t="s">
        <v>7217</v>
      </c>
    </row>
    <row r="3503" spans="1:1" hidden="1">
      <c r="A3503" s="13" t="s">
        <v>7218</v>
      </c>
    </row>
    <row r="3504" spans="1:1" hidden="1">
      <c r="A3504" s="13" t="s">
        <v>7219</v>
      </c>
    </row>
    <row r="3505" spans="1:1" hidden="1">
      <c r="A3505" s="13" t="s">
        <v>7220</v>
      </c>
    </row>
    <row r="3506" spans="1:1" hidden="1">
      <c r="A3506" s="13" t="s">
        <v>7221</v>
      </c>
    </row>
    <row r="3507" spans="1:1" hidden="1">
      <c r="A3507" s="13" t="s">
        <v>7222</v>
      </c>
    </row>
    <row r="3508" spans="1:1" hidden="1">
      <c r="A3508" s="13" t="s">
        <v>7223</v>
      </c>
    </row>
    <row r="3509" spans="1:1" hidden="1">
      <c r="A3509" s="13" t="s">
        <v>7224</v>
      </c>
    </row>
    <row r="3510" spans="1:1" hidden="1">
      <c r="A3510" s="13" t="s">
        <v>7225</v>
      </c>
    </row>
    <row r="3511" spans="1:1" hidden="1">
      <c r="A3511" s="13" t="s">
        <v>7226</v>
      </c>
    </row>
    <row r="3512" spans="1:1" hidden="1">
      <c r="A3512" s="13" t="s">
        <v>7227</v>
      </c>
    </row>
    <row r="3513" spans="1:1" hidden="1">
      <c r="A3513" s="13" t="s">
        <v>7228</v>
      </c>
    </row>
    <row r="3514" spans="1:1" hidden="1">
      <c r="A3514" s="13" t="s">
        <v>7229</v>
      </c>
    </row>
    <row r="3515" spans="1:1" hidden="1">
      <c r="A3515" s="13" t="s">
        <v>7230</v>
      </c>
    </row>
    <row r="3516" spans="1:1" hidden="1">
      <c r="A3516" s="13" t="s">
        <v>7231</v>
      </c>
    </row>
    <row r="3517" spans="1:1" hidden="1">
      <c r="A3517" s="13" t="s">
        <v>7232</v>
      </c>
    </row>
    <row r="3518" spans="1:1" hidden="1">
      <c r="A3518" s="13" t="s">
        <v>7233</v>
      </c>
    </row>
    <row r="3519" spans="1:1" hidden="1">
      <c r="A3519" s="13" t="s">
        <v>7234</v>
      </c>
    </row>
    <row r="3520" spans="1:1" hidden="1">
      <c r="A3520" s="13" t="s">
        <v>7235</v>
      </c>
    </row>
    <row r="3521" spans="1:1" hidden="1">
      <c r="A3521" s="13" t="s">
        <v>7236</v>
      </c>
    </row>
    <row r="3522" spans="1:1" hidden="1">
      <c r="A3522" s="13" t="s">
        <v>7237</v>
      </c>
    </row>
    <row r="3523" spans="1:1" hidden="1">
      <c r="A3523" s="13" t="s">
        <v>7238</v>
      </c>
    </row>
    <row r="3524" spans="1:1" hidden="1">
      <c r="A3524" s="13" t="s">
        <v>7239</v>
      </c>
    </row>
    <row r="3525" spans="1:1" hidden="1">
      <c r="A3525" s="13" t="s">
        <v>7240</v>
      </c>
    </row>
    <row r="3526" spans="1:1" hidden="1">
      <c r="A3526" s="13" t="s">
        <v>7241</v>
      </c>
    </row>
    <row r="3527" spans="1:1" hidden="1">
      <c r="A3527" s="13" t="s">
        <v>7242</v>
      </c>
    </row>
    <row r="3528" spans="1:1" hidden="1">
      <c r="A3528" s="13" t="s">
        <v>7243</v>
      </c>
    </row>
    <row r="3529" spans="1:1" hidden="1">
      <c r="A3529" s="13" t="s">
        <v>7244</v>
      </c>
    </row>
    <row r="3530" spans="1:1" hidden="1">
      <c r="A3530" s="13" t="s">
        <v>7245</v>
      </c>
    </row>
    <row r="3531" spans="1:1" hidden="1">
      <c r="A3531" s="13" t="s">
        <v>7246</v>
      </c>
    </row>
    <row r="3532" spans="1:1" hidden="1">
      <c r="A3532" s="13" t="s">
        <v>7247</v>
      </c>
    </row>
    <row r="3533" spans="1:1" hidden="1">
      <c r="A3533" s="13" t="s">
        <v>7248</v>
      </c>
    </row>
    <row r="3534" spans="1:1" hidden="1">
      <c r="A3534" s="13" t="s">
        <v>7249</v>
      </c>
    </row>
    <row r="3535" spans="1:1" hidden="1">
      <c r="A3535" s="13" t="s">
        <v>7250</v>
      </c>
    </row>
    <row r="3536" spans="1:1" hidden="1">
      <c r="A3536" s="13" t="s">
        <v>7251</v>
      </c>
    </row>
    <row r="3537" spans="1:1" hidden="1">
      <c r="A3537" s="13" t="s">
        <v>7252</v>
      </c>
    </row>
    <row r="3538" spans="1:1" hidden="1">
      <c r="A3538" s="13" t="s">
        <v>7253</v>
      </c>
    </row>
    <row r="3539" spans="1:1" hidden="1">
      <c r="A3539" s="13" t="s">
        <v>7254</v>
      </c>
    </row>
    <row r="3540" spans="1:1" hidden="1">
      <c r="A3540" s="13" t="s">
        <v>7255</v>
      </c>
    </row>
    <row r="3541" spans="1:1" hidden="1">
      <c r="A3541" s="13" t="s">
        <v>7256</v>
      </c>
    </row>
    <row r="3542" spans="1:1" hidden="1">
      <c r="A3542" s="13" t="s">
        <v>7257</v>
      </c>
    </row>
    <row r="3543" spans="1:1" hidden="1">
      <c r="A3543" s="13" t="s">
        <v>7258</v>
      </c>
    </row>
    <row r="3544" spans="1:1" hidden="1">
      <c r="A3544" s="13" t="s">
        <v>7259</v>
      </c>
    </row>
    <row r="3545" spans="1:1" hidden="1">
      <c r="A3545" s="13" t="s">
        <v>7260</v>
      </c>
    </row>
    <row r="3546" spans="1:1" hidden="1">
      <c r="A3546" s="13" t="s">
        <v>7261</v>
      </c>
    </row>
    <row r="3547" spans="1:1" hidden="1">
      <c r="A3547" s="13" t="s">
        <v>7262</v>
      </c>
    </row>
    <row r="3548" spans="1:1" hidden="1">
      <c r="A3548" s="13" t="s">
        <v>7263</v>
      </c>
    </row>
    <row r="3549" spans="1:1" hidden="1">
      <c r="A3549" s="13" t="s">
        <v>7264</v>
      </c>
    </row>
    <row r="3550" spans="1:1" hidden="1">
      <c r="A3550" s="13" t="s">
        <v>7265</v>
      </c>
    </row>
    <row r="3551" spans="1:1" hidden="1">
      <c r="A3551" s="13" t="s">
        <v>7266</v>
      </c>
    </row>
    <row r="3552" spans="1:1" hidden="1">
      <c r="A3552" s="13" t="s">
        <v>7267</v>
      </c>
    </row>
    <row r="3553" spans="1:1" hidden="1">
      <c r="A3553" s="13" t="s">
        <v>7268</v>
      </c>
    </row>
    <row r="3554" spans="1:1" hidden="1">
      <c r="A3554" s="13" t="s">
        <v>7269</v>
      </c>
    </row>
    <row r="3555" spans="1:1" hidden="1">
      <c r="A3555" s="13" t="s">
        <v>7270</v>
      </c>
    </row>
    <row r="3556" spans="1:1" hidden="1">
      <c r="A3556" s="13" t="s">
        <v>7271</v>
      </c>
    </row>
    <row r="3557" spans="1:1" hidden="1">
      <c r="A3557" s="13" t="s">
        <v>7272</v>
      </c>
    </row>
    <row r="3558" spans="1:1" hidden="1">
      <c r="A3558" s="13" t="s">
        <v>7273</v>
      </c>
    </row>
    <row r="3559" spans="1:1" hidden="1">
      <c r="A3559" s="13" t="s">
        <v>7274</v>
      </c>
    </row>
    <row r="3560" spans="1:1" hidden="1">
      <c r="A3560" s="13" t="s">
        <v>7275</v>
      </c>
    </row>
    <row r="3561" spans="1:1" hidden="1">
      <c r="A3561" s="13" t="s">
        <v>7276</v>
      </c>
    </row>
    <row r="3562" spans="1:1" hidden="1">
      <c r="A3562" s="13" t="s">
        <v>7277</v>
      </c>
    </row>
    <row r="3563" spans="1:1" hidden="1">
      <c r="A3563" s="13" t="s">
        <v>7278</v>
      </c>
    </row>
    <row r="3564" spans="1:1" hidden="1">
      <c r="A3564" s="13" t="s">
        <v>7279</v>
      </c>
    </row>
    <row r="3565" spans="1:1" hidden="1">
      <c r="A3565" s="13" t="s">
        <v>7280</v>
      </c>
    </row>
    <row r="3566" spans="1:1" hidden="1">
      <c r="A3566" s="13" t="s">
        <v>7281</v>
      </c>
    </row>
    <row r="3567" spans="1:1" hidden="1">
      <c r="A3567" s="13" t="s">
        <v>7282</v>
      </c>
    </row>
    <row r="3568" spans="1:1" hidden="1">
      <c r="A3568" s="13" t="s">
        <v>7283</v>
      </c>
    </row>
    <row r="3569" spans="1:1" hidden="1">
      <c r="A3569" s="13" t="s">
        <v>7284</v>
      </c>
    </row>
    <row r="3570" spans="1:1" hidden="1">
      <c r="A3570" s="13" t="s">
        <v>7285</v>
      </c>
    </row>
    <row r="3571" spans="1:1" hidden="1">
      <c r="A3571" s="13" t="s">
        <v>7286</v>
      </c>
    </row>
    <row r="3572" spans="1:1" hidden="1">
      <c r="A3572" s="13" t="s">
        <v>7287</v>
      </c>
    </row>
    <row r="3573" spans="1:1" hidden="1">
      <c r="A3573" s="13" t="s">
        <v>7288</v>
      </c>
    </row>
    <row r="3574" spans="1:1" hidden="1">
      <c r="A3574" s="13" t="s">
        <v>7289</v>
      </c>
    </row>
    <row r="3575" spans="1:1" hidden="1">
      <c r="A3575" s="13" t="s">
        <v>7290</v>
      </c>
    </row>
    <row r="3576" spans="1:1" hidden="1">
      <c r="A3576" s="13" t="s">
        <v>7291</v>
      </c>
    </row>
    <row r="3577" spans="1:1" hidden="1">
      <c r="A3577" s="13" t="s">
        <v>7292</v>
      </c>
    </row>
    <row r="3578" spans="1:1" hidden="1">
      <c r="A3578" s="13" t="s">
        <v>7293</v>
      </c>
    </row>
    <row r="3579" spans="1:1" hidden="1">
      <c r="A3579" s="13" t="s">
        <v>5164</v>
      </c>
    </row>
    <row r="3580" spans="1:1" hidden="1">
      <c r="A3580" s="13" t="s">
        <v>5165</v>
      </c>
    </row>
    <row r="3581" spans="1:1" hidden="1">
      <c r="A3581" s="13" t="s">
        <v>5166</v>
      </c>
    </row>
    <row r="3582" spans="1:1" hidden="1">
      <c r="A3582" s="13" t="s">
        <v>5167</v>
      </c>
    </row>
    <row r="3583" spans="1:1" hidden="1">
      <c r="A3583" s="13" t="s">
        <v>5168</v>
      </c>
    </row>
    <row r="3584" spans="1:1" hidden="1">
      <c r="A3584" s="13" t="s">
        <v>5169</v>
      </c>
    </row>
    <row r="3585" spans="1:1" hidden="1">
      <c r="A3585" s="13" t="s">
        <v>5170</v>
      </c>
    </row>
    <row r="3586" spans="1:1" hidden="1">
      <c r="A3586" s="13" t="s">
        <v>5171</v>
      </c>
    </row>
    <row r="3587" spans="1:1" hidden="1">
      <c r="A3587" s="13" t="s">
        <v>5172</v>
      </c>
    </row>
    <row r="3588" spans="1:1" hidden="1">
      <c r="A3588" s="13" t="s">
        <v>5173</v>
      </c>
    </row>
    <row r="3589" spans="1:1" hidden="1">
      <c r="A3589" s="13" t="s">
        <v>5174</v>
      </c>
    </row>
    <row r="3590" spans="1:1" customFormat="1" hidden="1">
      <c r="A3590" s="13" t="s">
        <v>5175</v>
      </c>
    </row>
    <row r="3591" spans="1:1" customFormat="1" hidden="1">
      <c r="A3591" s="13" t="s">
        <v>5176</v>
      </c>
    </row>
    <row r="3592" spans="1:1" customFormat="1" hidden="1">
      <c r="A3592" s="13" t="s">
        <v>5177</v>
      </c>
    </row>
    <row r="3593" spans="1:1" customFormat="1" hidden="1">
      <c r="A3593" s="13" t="s">
        <v>5178</v>
      </c>
    </row>
    <row r="3594" spans="1:1" customFormat="1" hidden="1">
      <c r="A3594" s="13" t="s">
        <v>5179</v>
      </c>
    </row>
    <row r="3595" spans="1:1" customFormat="1" hidden="1">
      <c r="A3595" s="13" t="s">
        <v>5180</v>
      </c>
    </row>
    <row r="3596" spans="1:1" customFormat="1" hidden="1">
      <c r="A3596" s="13" t="s">
        <v>5181</v>
      </c>
    </row>
    <row r="3597" spans="1:1" customFormat="1" hidden="1">
      <c r="A3597" s="13" t="s">
        <v>5182</v>
      </c>
    </row>
    <row r="3598" spans="1:1" customFormat="1" hidden="1">
      <c r="A3598" s="13" t="s">
        <v>5183</v>
      </c>
    </row>
    <row r="3599" spans="1:1" customFormat="1" hidden="1">
      <c r="A3599" s="13" t="s">
        <v>5184</v>
      </c>
    </row>
    <row r="3600" spans="1:1" customFormat="1" hidden="1">
      <c r="A3600" s="13" t="s">
        <v>5185</v>
      </c>
    </row>
    <row r="3601" spans="1:1" customFormat="1" hidden="1">
      <c r="A3601" s="13" t="s">
        <v>5186</v>
      </c>
    </row>
    <row r="3602" spans="1:1" customFormat="1" hidden="1">
      <c r="A3602" s="13" t="s">
        <v>5187</v>
      </c>
    </row>
    <row r="3603" spans="1:1" customFormat="1" hidden="1">
      <c r="A3603" s="13" t="s">
        <v>5188</v>
      </c>
    </row>
    <row r="3604" spans="1:1" customFormat="1" hidden="1">
      <c r="A3604" s="13" t="s">
        <v>5189</v>
      </c>
    </row>
    <row r="3605" spans="1:1" customFormat="1" hidden="1">
      <c r="A3605" s="13" t="s">
        <v>5190</v>
      </c>
    </row>
    <row r="3606" spans="1:1" customFormat="1" hidden="1">
      <c r="A3606" s="13" t="s">
        <v>5191</v>
      </c>
    </row>
    <row r="3607" spans="1:1" customFormat="1" hidden="1">
      <c r="A3607" s="13" t="s">
        <v>5192</v>
      </c>
    </row>
    <row r="3608" spans="1:1" customFormat="1" hidden="1">
      <c r="A3608" s="13" t="s">
        <v>5193</v>
      </c>
    </row>
    <row r="3609" spans="1:1" customFormat="1" hidden="1">
      <c r="A3609" s="13" t="s">
        <v>5194</v>
      </c>
    </row>
    <row r="3610" spans="1:1" customFormat="1" hidden="1">
      <c r="A3610" s="13" t="s">
        <v>5195</v>
      </c>
    </row>
    <row r="3611" spans="1:1" customFormat="1" hidden="1">
      <c r="A3611" s="13" t="s">
        <v>5196</v>
      </c>
    </row>
    <row r="3612" spans="1:1" customFormat="1" hidden="1">
      <c r="A3612" s="13" t="s">
        <v>5197</v>
      </c>
    </row>
    <row r="3613" spans="1:1" customFormat="1" hidden="1">
      <c r="A3613" s="13" t="s">
        <v>5198</v>
      </c>
    </row>
    <row r="3614" spans="1:1" customFormat="1" hidden="1">
      <c r="A3614" s="13" t="s">
        <v>5199</v>
      </c>
    </row>
    <row r="3615" spans="1:1" customFormat="1" hidden="1">
      <c r="A3615" s="13" t="s">
        <v>5200</v>
      </c>
    </row>
    <row r="3616" spans="1:1" customFormat="1" hidden="1">
      <c r="A3616" s="13" t="s">
        <v>5201</v>
      </c>
    </row>
    <row r="3617" spans="1:1" customFormat="1" hidden="1">
      <c r="A3617" s="13" t="s">
        <v>5202</v>
      </c>
    </row>
    <row r="3618" spans="1:1" customFormat="1" hidden="1">
      <c r="A3618" s="13" t="s">
        <v>5203</v>
      </c>
    </row>
    <row r="3619" spans="1:1" customFormat="1" hidden="1">
      <c r="A3619" s="13" t="s">
        <v>5204</v>
      </c>
    </row>
    <row r="3620" spans="1:1" customFormat="1" hidden="1">
      <c r="A3620" s="13" t="s">
        <v>5205</v>
      </c>
    </row>
    <row r="3621" spans="1:1" customFormat="1" hidden="1">
      <c r="A3621" s="13" t="s">
        <v>5206</v>
      </c>
    </row>
    <row r="3622" spans="1:1" customFormat="1" hidden="1">
      <c r="A3622" s="13" t="s">
        <v>5207</v>
      </c>
    </row>
    <row r="3623" spans="1:1" customFormat="1" hidden="1">
      <c r="A3623" s="13" t="s">
        <v>5208</v>
      </c>
    </row>
    <row r="3624" spans="1:1" customFormat="1" hidden="1">
      <c r="A3624" s="13" t="s">
        <v>5209</v>
      </c>
    </row>
    <row r="3625" spans="1:1" customFormat="1" hidden="1">
      <c r="A3625" s="13" t="s">
        <v>5210</v>
      </c>
    </row>
    <row r="3626" spans="1:1" customFormat="1" hidden="1">
      <c r="A3626" s="13" t="s">
        <v>5211</v>
      </c>
    </row>
    <row r="3627" spans="1:1" customFormat="1" hidden="1">
      <c r="A3627" s="13" t="s">
        <v>5212</v>
      </c>
    </row>
    <row r="3628" spans="1:1" customFormat="1" hidden="1">
      <c r="A3628" s="13" t="s">
        <v>5213</v>
      </c>
    </row>
    <row r="3629" spans="1:1" customFormat="1" hidden="1">
      <c r="A3629" s="13" t="s">
        <v>5214</v>
      </c>
    </row>
    <row r="3630" spans="1:1" customFormat="1" hidden="1">
      <c r="A3630" s="13" t="s">
        <v>5215</v>
      </c>
    </row>
    <row r="3631" spans="1:1" customFormat="1" hidden="1">
      <c r="A3631" s="13" t="s">
        <v>5216</v>
      </c>
    </row>
    <row r="3632" spans="1:1" customFormat="1" hidden="1">
      <c r="A3632" s="13" t="s">
        <v>5217</v>
      </c>
    </row>
    <row r="3633" spans="1:1" customFormat="1" hidden="1">
      <c r="A3633" s="13" t="s">
        <v>5218</v>
      </c>
    </row>
    <row r="3634" spans="1:1" customFormat="1" hidden="1">
      <c r="A3634" s="13" t="s">
        <v>5219</v>
      </c>
    </row>
    <row r="3635" spans="1:1" customFormat="1" hidden="1">
      <c r="A3635" s="13" t="s">
        <v>5220</v>
      </c>
    </row>
    <row r="3636" spans="1:1" customFormat="1" hidden="1">
      <c r="A3636" s="13" t="s">
        <v>5221</v>
      </c>
    </row>
    <row r="3637" spans="1:1" customFormat="1" hidden="1">
      <c r="A3637" s="13" t="s">
        <v>5222</v>
      </c>
    </row>
    <row r="3638" spans="1:1" customFormat="1" hidden="1">
      <c r="A3638" s="13" t="s">
        <v>5223</v>
      </c>
    </row>
    <row r="3639" spans="1:1" customFormat="1" hidden="1">
      <c r="A3639" s="13" t="s">
        <v>5224</v>
      </c>
    </row>
    <row r="3640" spans="1:1" customFormat="1" hidden="1">
      <c r="A3640" s="13" t="s">
        <v>5225</v>
      </c>
    </row>
    <row r="3641" spans="1:1" customFormat="1" hidden="1">
      <c r="A3641" s="13" t="s">
        <v>5226</v>
      </c>
    </row>
    <row r="3642" spans="1:1" customFormat="1" hidden="1">
      <c r="A3642" s="13" t="s">
        <v>5227</v>
      </c>
    </row>
    <row r="3643" spans="1:1" customFormat="1" hidden="1">
      <c r="A3643" s="13" t="s">
        <v>5228</v>
      </c>
    </row>
    <row r="3644" spans="1:1" customFormat="1" hidden="1">
      <c r="A3644" s="13" t="s">
        <v>5229</v>
      </c>
    </row>
    <row r="3645" spans="1:1" customFormat="1" hidden="1">
      <c r="A3645" s="13" t="s">
        <v>5230</v>
      </c>
    </row>
    <row r="3646" spans="1:1" customFormat="1" hidden="1">
      <c r="A3646" s="13" t="s">
        <v>5231</v>
      </c>
    </row>
    <row r="3647" spans="1:1" customFormat="1" hidden="1">
      <c r="A3647" s="13" t="s">
        <v>5232</v>
      </c>
    </row>
    <row r="3648" spans="1:1" customFormat="1" hidden="1">
      <c r="A3648" s="13" t="s">
        <v>5233</v>
      </c>
    </row>
    <row r="3649" spans="1:1" customFormat="1" hidden="1">
      <c r="A3649" s="13" t="s">
        <v>5234</v>
      </c>
    </row>
    <row r="3650" spans="1:1" customFormat="1" hidden="1">
      <c r="A3650" s="13" t="s">
        <v>5235</v>
      </c>
    </row>
    <row r="3651" spans="1:1" customFormat="1" hidden="1">
      <c r="A3651" s="13" t="s">
        <v>5236</v>
      </c>
    </row>
    <row r="3652" spans="1:1" customFormat="1" hidden="1">
      <c r="A3652" s="13" t="s">
        <v>5237</v>
      </c>
    </row>
    <row r="3653" spans="1:1" customFormat="1" hidden="1">
      <c r="A3653" s="13" t="s">
        <v>5238</v>
      </c>
    </row>
    <row r="3654" spans="1:1" customFormat="1" hidden="1">
      <c r="A3654" s="13" t="s">
        <v>5239</v>
      </c>
    </row>
    <row r="3655" spans="1:1" customFormat="1" hidden="1">
      <c r="A3655" s="13" t="s">
        <v>5240</v>
      </c>
    </row>
    <row r="3656" spans="1:1" customFormat="1" hidden="1">
      <c r="A3656" s="13" t="s">
        <v>5241</v>
      </c>
    </row>
    <row r="3657" spans="1:1" customFormat="1" hidden="1">
      <c r="A3657" s="13" t="s">
        <v>5242</v>
      </c>
    </row>
    <row r="3658" spans="1:1" customFormat="1" hidden="1">
      <c r="A3658" s="13" t="s">
        <v>5243</v>
      </c>
    </row>
    <row r="3659" spans="1:1" customFormat="1" hidden="1">
      <c r="A3659" s="13" t="s">
        <v>5244</v>
      </c>
    </row>
    <row r="3660" spans="1:1" customFormat="1" hidden="1">
      <c r="A3660" s="13" t="s">
        <v>5245</v>
      </c>
    </row>
    <row r="3661" spans="1:1" customFormat="1" hidden="1">
      <c r="A3661" s="13" t="s">
        <v>5246</v>
      </c>
    </row>
    <row r="3662" spans="1:1" customFormat="1" hidden="1">
      <c r="A3662" s="13" t="s">
        <v>5247</v>
      </c>
    </row>
    <row r="3663" spans="1:1" customFormat="1" hidden="1">
      <c r="A3663" s="13" t="s">
        <v>5248</v>
      </c>
    </row>
    <row r="3664" spans="1:1" customFormat="1" hidden="1">
      <c r="A3664" s="13" t="s">
        <v>5249</v>
      </c>
    </row>
    <row r="3665" spans="1:1" customFormat="1" hidden="1">
      <c r="A3665" s="13" t="s">
        <v>5250</v>
      </c>
    </row>
    <row r="3666" spans="1:1" customFormat="1" hidden="1">
      <c r="A3666" s="13" t="s">
        <v>5251</v>
      </c>
    </row>
    <row r="3667" spans="1:1" customFormat="1" hidden="1">
      <c r="A3667" s="13" t="s">
        <v>5252</v>
      </c>
    </row>
    <row r="3668" spans="1:1" customFormat="1" hidden="1">
      <c r="A3668" s="13" t="s">
        <v>5253</v>
      </c>
    </row>
    <row r="3669" spans="1:1" customFormat="1" hidden="1">
      <c r="A3669" s="13" t="s">
        <v>5254</v>
      </c>
    </row>
    <row r="3670" spans="1:1" customFormat="1" hidden="1">
      <c r="A3670" s="13" t="s">
        <v>5255</v>
      </c>
    </row>
    <row r="3671" spans="1:1" customFormat="1" hidden="1">
      <c r="A3671" s="13" t="s">
        <v>5256</v>
      </c>
    </row>
    <row r="3672" spans="1:1" customFormat="1" hidden="1">
      <c r="A3672" s="13" t="s">
        <v>5257</v>
      </c>
    </row>
    <row r="3673" spans="1:1" customFormat="1" hidden="1">
      <c r="A3673" s="13" t="s">
        <v>5258</v>
      </c>
    </row>
    <row r="3674" spans="1:1" customFormat="1" hidden="1">
      <c r="A3674" s="13" t="s">
        <v>5259</v>
      </c>
    </row>
    <row r="3675" spans="1:1" customFormat="1" hidden="1">
      <c r="A3675" s="13" t="s">
        <v>5260</v>
      </c>
    </row>
    <row r="3676" spans="1:1" customFormat="1" hidden="1">
      <c r="A3676" s="13" t="s">
        <v>5261</v>
      </c>
    </row>
    <row r="3677" spans="1:1" customFormat="1" hidden="1">
      <c r="A3677" s="13" t="s">
        <v>5262</v>
      </c>
    </row>
    <row r="3678" spans="1:1" customFormat="1" hidden="1">
      <c r="A3678" s="13" t="s">
        <v>5263</v>
      </c>
    </row>
    <row r="3679" spans="1:1" customFormat="1" hidden="1">
      <c r="A3679" s="13" t="s">
        <v>5264</v>
      </c>
    </row>
    <row r="3680" spans="1:1" customFormat="1" hidden="1">
      <c r="A3680" s="13" t="s">
        <v>5265</v>
      </c>
    </row>
    <row r="3681" spans="1:1" customFormat="1" hidden="1">
      <c r="A3681" s="13" t="s">
        <v>5266</v>
      </c>
    </row>
    <row r="3682" spans="1:1" customFormat="1" hidden="1">
      <c r="A3682" s="13" t="s">
        <v>5267</v>
      </c>
    </row>
    <row r="3683" spans="1:1" customFormat="1" hidden="1">
      <c r="A3683" s="13"/>
    </row>
    <row r="3684" spans="1:1" customFormat="1" hidden="1">
      <c r="A3684" s="13"/>
    </row>
    <row r="3685" spans="1:1" customFormat="1" hidden="1">
      <c r="A3685" s="13" t="s">
        <v>1950</v>
      </c>
    </row>
    <row r="3686" spans="1:1" customFormat="1" hidden="1">
      <c r="A3686" s="13" t="s">
        <v>5268</v>
      </c>
    </row>
    <row r="3687" spans="1:1" customFormat="1" hidden="1">
      <c r="A3687" s="13" t="s">
        <v>1950</v>
      </c>
    </row>
    <row r="3688" spans="1:1" customFormat="1" hidden="1">
      <c r="A3688" s="13" t="s">
        <v>5269</v>
      </c>
    </row>
    <row r="3689" spans="1:1" customFormat="1" hidden="1">
      <c r="A3689" s="13" t="s">
        <v>5270</v>
      </c>
    </row>
    <row r="3690" spans="1:1" customFormat="1" hidden="1">
      <c r="A3690" s="13" t="s">
        <v>5271</v>
      </c>
    </row>
    <row r="3691" spans="1:1" customFormat="1" hidden="1">
      <c r="A3691" s="13" t="s">
        <v>5272</v>
      </c>
    </row>
    <row r="3692" spans="1:1" customFormat="1" hidden="1">
      <c r="A3692" s="13" t="s">
        <v>5273</v>
      </c>
    </row>
    <row r="3693" spans="1:1" customFormat="1" hidden="1">
      <c r="A3693" s="13" t="s">
        <v>5274</v>
      </c>
    </row>
    <row r="3694" spans="1:1" customFormat="1" hidden="1">
      <c r="A3694" s="13" t="s">
        <v>5275</v>
      </c>
    </row>
    <row r="3695" spans="1:1" customFormat="1" hidden="1">
      <c r="A3695" s="13" t="s">
        <v>5276</v>
      </c>
    </row>
    <row r="3696" spans="1:1" customFormat="1" hidden="1">
      <c r="A3696" s="13" t="s">
        <v>5277</v>
      </c>
    </row>
    <row r="3697" spans="1:1" customFormat="1" hidden="1">
      <c r="A3697" s="13" t="s">
        <v>5278</v>
      </c>
    </row>
    <row r="3698" spans="1:1" customFormat="1" hidden="1">
      <c r="A3698" s="13" t="s">
        <v>5279</v>
      </c>
    </row>
    <row r="3699" spans="1:1" customFormat="1" hidden="1">
      <c r="A3699" s="13" t="s">
        <v>5280</v>
      </c>
    </row>
    <row r="3700" spans="1:1" customFormat="1" hidden="1">
      <c r="A3700" s="13" t="s">
        <v>5281</v>
      </c>
    </row>
    <row r="3701" spans="1:1" customFormat="1" hidden="1">
      <c r="A3701" s="13" t="s">
        <v>5282</v>
      </c>
    </row>
    <row r="3702" spans="1:1" customFormat="1" hidden="1">
      <c r="A3702" s="13" t="s">
        <v>5283</v>
      </c>
    </row>
    <row r="3703" spans="1:1" customFormat="1" hidden="1">
      <c r="A3703" s="13" t="s">
        <v>5284</v>
      </c>
    </row>
    <row r="3704" spans="1:1" customFormat="1" hidden="1">
      <c r="A3704" s="13" t="s">
        <v>5285</v>
      </c>
    </row>
    <row r="3705" spans="1:1" customFormat="1" hidden="1">
      <c r="A3705" s="13" t="s">
        <v>5286</v>
      </c>
    </row>
    <row r="3706" spans="1:1" customFormat="1" hidden="1">
      <c r="A3706" s="13" t="s">
        <v>5287</v>
      </c>
    </row>
    <row r="3707" spans="1:1" customFormat="1" hidden="1">
      <c r="A3707" s="13" t="s">
        <v>5288</v>
      </c>
    </row>
    <row r="3708" spans="1:1" customFormat="1" hidden="1">
      <c r="A3708" s="13" t="s">
        <v>5289</v>
      </c>
    </row>
    <row r="3709" spans="1:1" customFormat="1" hidden="1">
      <c r="A3709" s="13" t="s">
        <v>5290</v>
      </c>
    </row>
    <row r="3710" spans="1:1" customFormat="1" hidden="1">
      <c r="A3710" s="13" t="s">
        <v>5291</v>
      </c>
    </row>
    <row r="3711" spans="1:1" customFormat="1" hidden="1">
      <c r="A3711" s="13" t="s">
        <v>5292</v>
      </c>
    </row>
    <row r="3712" spans="1:1" customFormat="1" hidden="1">
      <c r="A3712" s="13" t="s">
        <v>5293</v>
      </c>
    </row>
    <row r="3713" spans="1:1" customFormat="1" hidden="1">
      <c r="A3713" s="13" t="s">
        <v>5294</v>
      </c>
    </row>
    <row r="3714" spans="1:1" customFormat="1" hidden="1">
      <c r="A3714" s="13" t="s">
        <v>5295</v>
      </c>
    </row>
    <row r="3715" spans="1:1" customFormat="1" hidden="1">
      <c r="A3715" s="13" t="s">
        <v>5296</v>
      </c>
    </row>
    <row r="3716" spans="1:1" customFormat="1" hidden="1">
      <c r="A3716" s="13" t="s">
        <v>5297</v>
      </c>
    </row>
    <row r="3717" spans="1:1" customFormat="1" hidden="1">
      <c r="A3717" s="13" t="s">
        <v>5298</v>
      </c>
    </row>
    <row r="3718" spans="1:1" customFormat="1" hidden="1">
      <c r="A3718" s="13" t="s">
        <v>5299</v>
      </c>
    </row>
    <row r="3719" spans="1:1" customFormat="1" hidden="1">
      <c r="A3719" s="13" t="s">
        <v>5300</v>
      </c>
    </row>
    <row r="3720" spans="1:1" customFormat="1" hidden="1">
      <c r="A3720" s="13" t="s">
        <v>5301</v>
      </c>
    </row>
    <row r="3721" spans="1:1" customFormat="1" hidden="1">
      <c r="A3721" s="13" t="s">
        <v>5302</v>
      </c>
    </row>
    <row r="3722" spans="1:1" customFormat="1" hidden="1">
      <c r="A3722" s="13" t="s">
        <v>5303</v>
      </c>
    </row>
    <row r="3723" spans="1:1" customFormat="1" hidden="1">
      <c r="A3723" s="13" t="s">
        <v>5304</v>
      </c>
    </row>
    <row r="3724" spans="1:1" customFormat="1" hidden="1">
      <c r="A3724" s="13" t="s">
        <v>5305</v>
      </c>
    </row>
    <row r="3725" spans="1:1" customFormat="1" hidden="1">
      <c r="A3725" s="13" t="s">
        <v>5306</v>
      </c>
    </row>
    <row r="3726" spans="1:1" customFormat="1" hidden="1">
      <c r="A3726" s="13" t="s">
        <v>5307</v>
      </c>
    </row>
    <row r="3727" spans="1:1" customFormat="1" hidden="1">
      <c r="A3727" s="13" t="s">
        <v>5308</v>
      </c>
    </row>
    <row r="3728" spans="1:1" customFormat="1" hidden="1">
      <c r="A3728" s="13" t="s">
        <v>5309</v>
      </c>
    </row>
    <row r="3729" spans="1:1" customFormat="1" hidden="1">
      <c r="A3729" s="13" t="s">
        <v>5310</v>
      </c>
    </row>
    <row r="3730" spans="1:1" customFormat="1" hidden="1">
      <c r="A3730" s="13" t="s">
        <v>5311</v>
      </c>
    </row>
    <row r="3731" spans="1:1" customFormat="1" hidden="1">
      <c r="A3731" s="13" t="s">
        <v>5312</v>
      </c>
    </row>
    <row r="3732" spans="1:1" customFormat="1" hidden="1">
      <c r="A3732" s="13" t="s">
        <v>5313</v>
      </c>
    </row>
    <row r="3733" spans="1:1" customFormat="1" hidden="1">
      <c r="A3733" s="13" t="s">
        <v>5314</v>
      </c>
    </row>
    <row r="3734" spans="1:1" customFormat="1" hidden="1">
      <c r="A3734" s="13" t="s">
        <v>5315</v>
      </c>
    </row>
    <row r="3735" spans="1:1" customFormat="1" hidden="1">
      <c r="A3735" s="13" t="s">
        <v>5316</v>
      </c>
    </row>
    <row r="3736" spans="1:1" customFormat="1" hidden="1">
      <c r="A3736" s="13" t="s">
        <v>5317</v>
      </c>
    </row>
    <row r="3737" spans="1:1" customFormat="1" hidden="1">
      <c r="A3737" s="13" t="s">
        <v>5318</v>
      </c>
    </row>
    <row r="3738" spans="1:1" customFormat="1" hidden="1">
      <c r="A3738" s="13" t="s">
        <v>5319</v>
      </c>
    </row>
    <row r="3739" spans="1:1" customFormat="1" hidden="1">
      <c r="A3739" s="13" t="s">
        <v>5320</v>
      </c>
    </row>
    <row r="3740" spans="1:1" customFormat="1" hidden="1">
      <c r="A3740" s="13" t="s">
        <v>5321</v>
      </c>
    </row>
    <row r="3741" spans="1:1" customFormat="1" hidden="1">
      <c r="A3741" s="13" t="s">
        <v>5322</v>
      </c>
    </row>
    <row r="3742" spans="1:1" customFormat="1" hidden="1">
      <c r="A3742" s="13" t="s">
        <v>5323</v>
      </c>
    </row>
    <row r="3743" spans="1:1" customFormat="1" hidden="1">
      <c r="A3743" s="13" t="s">
        <v>5324</v>
      </c>
    </row>
    <row r="3744" spans="1:1" customFormat="1" hidden="1">
      <c r="A3744" s="13" t="s">
        <v>5325</v>
      </c>
    </row>
    <row r="3745" spans="1:1" customFormat="1" hidden="1">
      <c r="A3745" s="13" t="s">
        <v>5326</v>
      </c>
    </row>
    <row r="3746" spans="1:1" customFormat="1" hidden="1">
      <c r="A3746" s="13" t="s">
        <v>5327</v>
      </c>
    </row>
    <row r="3747" spans="1:1" customFormat="1" hidden="1">
      <c r="A3747" s="13" t="s">
        <v>5328</v>
      </c>
    </row>
    <row r="3748" spans="1:1" customFormat="1" hidden="1">
      <c r="A3748" s="13" t="s">
        <v>5329</v>
      </c>
    </row>
    <row r="3749" spans="1:1" customFormat="1" hidden="1">
      <c r="A3749" s="13" t="s">
        <v>5330</v>
      </c>
    </row>
    <row r="3750" spans="1:1" customFormat="1" hidden="1">
      <c r="A3750" s="13" t="s">
        <v>5331</v>
      </c>
    </row>
    <row r="3751" spans="1:1" customFormat="1" hidden="1">
      <c r="A3751" s="13" t="s">
        <v>5332</v>
      </c>
    </row>
    <row r="3752" spans="1:1" customFormat="1" hidden="1">
      <c r="A3752" s="13" t="s">
        <v>5333</v>
      </c>
    </row>
    <row r="3753" spans="1:1" customFormat="1" hidden="1">
      <c r="A3753" s="13" t="s">
        <v>5334</v>
      </c>
    </row>
    <row r="3754" spans="1:1" customFormat="1" hidden="1">
      <c r="A3754" s="13" t="s">
        <v>5335</v>
      </c>
    </row>
    <row r="3755" spans="1:1" customFormat="1" hidden="1">
      <c r="A3755" s="13" t="s">
        <v>5336</v>
      </c>
    </row>
    <row r="3756" spans="1:1" customFormat="1" hidden="1">
      <c r="A3756" s="13" t="s">
        <v>5337</v>
      </c>
    </row>
    <row r="3757" spans="1:1" customFormat="1" hidden="1">
      <c r="A3757" s="13" t="s">
        <v>5338</v>
      </c>
    </row>
    <row r="3758" spans="1:1" customFormat="1" hidden="1">
      <c r="A3758" s="13" t="s">
        <v>5339</v>
      </c>
    </row>
    <row r="3759" spans="1:1" customFormat="1" hidden="1">
      <c r="A3759" s="13" t="s">
        <v>5340</v>
      </c>
    </row>
    <row r="3760" spans="1:1" customFormat="1" hidden="1">
      <c r="A3760" s="13" t="s">
        <v>5341</v>
      </c>
    </row>
    <row r="3761" spans="1:1" customFormat="1" hidden="1">
      <c r="A3761" s="13" t="s">
        <v>5342</v>
      </c>
    </row>
    <row r="3762" spans="1:1" customFormat="1" hidden="1">
      <c r="A3762" s="13" t="s">
        <v>5343</v>
      </c>
    </row>
    <row r="3763" spans="1:1" customFormat="1" hidden="1">
      <c r="A3763" s="13" t="s">
        <v>5344</v>
      </c>
    </row>
    <row r="3764" spans="1:1" customFormat="1" hidden="1">
      <c r="A3764" s="13" t="s">
        <v>5345</v>
      </c>
    </row>
    <row r="3765" spans="1:1" customFormat="1" hidden="1">
      <c r="A3765" s="13" t="s">
        <v>5346</v>
      </c>
    </row>
    <row r="3766" spans="1:1" customFormat="1" hidden="1">
      <c r="A3766" s="13" t="s">
        <v>5347</v>
      </c>
    </row>
    <row r="3767" spans="1:1" customFormat="1" hidden="1">
      <c r="A3767" s="13" t="s">
        <v>5348</v>
      </c>
    </row>
    <row r="3768" spans="1:1" customFormat="1" hidden="1">
      <c r="A3768" s="13" t="s">
        <v>5349</v>
      </c>
    </row>
    <row r="3769" spans="1:1" customFormat="1" hidden="1">
      <c r="A3769" s="13" t="s">
        <v>5350</v>
      </c>
    </row>
    <row r="3770" spans="1:1" customFormat="1" hidden="1">
      <c r="A3770" s="13" t="s">
        <v>5351</v>
      </c>
    </row>
    <row r="3771" spans="1:1" customFormat="1" hidden="1">
      <c r="A3771" s="13" t="s">
        <v>5352</v>
      </c>
    </row>
    <row r="3772" spans="1:1" customFormat="1" hidden="1">
      <c r="A3772" s="13" t="s">
        <v>5353</v>
      </c>
    </row>
    <row r="3773" spans="1:1" customFormat="1" hidden="1">
      <c r="A3773" s="13" t="s">
        <v>5354</v>
      </c>
    </row>
    <row r="3774" spans="1:1" customFormat="1" hidden="1">
      <c r="A3774" s="13" t="s">
        <v>5355</v>
      </c>
    </row>
    <row r="3775" spans="1:1" customFormat="1" hidden="1">
      <c r="A3775" s="13" t="s">
        <v>5356</v>
      </c>
    </row>
    <row r="3776" spans="1:1" customFormat="1" hidden="1">
      <c r="A3776" s="13" t="s">
        <v>5357</v>
      </c>
    </row>
    <row r="3777" spans="1:1" customFormat="1" hidden="1">
      <c r="A3777" s="13" t="s">
        <v>5358</v>
      </c>
    </row>
    <row r="3778" spans="1:1" customFormat="1" hidden="1">
      <c r="A3778" s="13" t="s">
        <v>5359</v>
      </c>
    </row>
    <row r="3779" spans="1:1" customFormat="1" hidden="1">
      <c r="A3779" s="13" t="s">
        <v>5360</v>
      </c>
    </row>
    <row r="3780" spans="1:1" customFormat="1" hidden="1">
      <c r="A3780" s="13" t="s">
        <v>5361</v>
      </c>
    </row>
    <row r="3781" spans="1:1" customFormat="1" hidden="1">
      <c r="A3781" s="13" t="s">
        <v>5362</v>
      </c>
    </row>
    <row r="3782" spans="1:1" customFormat="1" hidden="1">
      <c r="A3782" s="13" t="s">
        <v>5363</v>
      </c>
    </row>
    <row r="3783" spans="1:1" customFormat="1" hidden="1">
      <c r="A3783" s="13" t="s">
        <v>5364</v>
      </c>
    </row>
    <row r="3784" spans="1:1" customFormat="1" hidden="1">
      <c r="A3784" s="13" t="s">
        <v>5365</v>
      </c>
    </row>
    <row r="3785" spans="1:1" customFormat="1" hidden="1">
      <c r="A3785" s="13" t="s">
        <v>5366</v>
      </c>
    </row>
    <row r="3786" spans="1:1" customFormat="1" hidden="1">
      <c r="A3786" s="13" t="s">
        <v>5367</v>
      </c>
    </row>
    <row r="3787" spans="1:1" customFormat="1" hidden="1">
      <c r="A3787" s="13" t="s">
        <v>5368</v>
      </c>
    </row>
    <row r="3788" spans="1:1" customFormat="1" hidden="1">
      <c r="A3788" s="13" t="s">
        <v>5369</v>
      </c>
    </row>
    <row r="3789" spans="1:1" customFormat="1" hidden="1">
      <c r="A3789" s="13" t="s">
        <v>5370</v>
      </c>
    </row>
    <row r="3790" spans="1:1" customFormat="1" hidden="1">
      <c r="A3790" s="13" t="s">
        <v>5371</v>
      </c>
    </row>
    <row r="3791" spans="1:1" customFormat="1" hidden="1">
      <c r="A3791" s="13" t="s">
        <v>5372</v>
      </c>
    </row>
    <row r="3792" spans="1:1" customFormat="1" hidden="1">
      <c r="A3792" s="13" t="s">
        <v>5373</v>
      </c>
    </row>
    <row r="3793" spans="1:1" customFormat="1" hidden="1">
      <c r="A3793" s="13" t="s">
        <v>5374</v>
      </c>
    </row>
    <row r="3794" spans="1:1" customFormat="1" hidden="1">
      <c r="A3794" s="13" t="s">
        <v>5375</v>
      </c>
    </row>
    <row r="3795" spans="1:1" customFormat="1" hidden="1">
      <c r="A3795" s="13" t="s">
        <v>5376</v>
      </c>
    </row>
    <row r="3796" spans="1:1" customFormat="1" hidden="1">
      <c r="A3796" s="13" t="s">
        <v>5377</v>
      </c>
    </row>
    <row r="3797" spans="1:1" customFormat="1" hidden="1">
      <c r="A3797" s="13" t="s">
        <v>5378</v>
      </c>
    </row>
    <row r="3798" spans="1:1" customFormat="1" hidden="1">
      <c r="A3798" s="13" t="s">
        <v>5379</v>
      </c>
    </row>
    <row r="3799" spans="1:1" customFormat="1" hidden="1">
      <c r="A3799" s="13" t="s">
        <v>5380</v>
      </c>
    </row>
    <row r="3800" spans="1:1" customFormat="1" hidden="1">
      <c r="A3800" s="13" t="s">
        <v>5381</v>
      </c>
    </row>
    <row r="3801" spans="1:1" customFormat="1" hidden="1">
      <c r="A3801" s="13" t="s">
        <v>5382</v>
      </c>
    </row>
    <row r="3802" spans="1:1" customFormat="1" hidden="1">
      <c r="A3802" s="13" t="s">
        <v>5383</v>
      </c>
    </row>
    <row r="3803" spans="1:1" customFormat="1" hidden="1">
      <c r="A3803" s="13" t="s">
        <v>5384</v>
      </c>
    </row>
    <row r="3804" spans="1:1" customFormat="1" hidden="1">
      <c r="A3804" s="13" t="s">
        <v>5385</v>
      </c>
    </row>
    <row r="3805" spans="1:1" customFormat="1" hidden="1">
      <c r="A3805" s="13" t="s">
        <v>5386</v>
      </c>
    </row>
    <row r="3806" spans="1:1" customFormat="1" hidden="1">
      <c r="A3806" s="13" t="s">
        <v>5387</v>
      </c>
    </row>
    <row r="3807" spans="1:1" customFormat="1" hidden="1">
      <c r="A3807" s="13" t="s">
        <v>5388</v>
      </c>
    </row>
    <row r="3808" spans="1:1" customFormat="1" hidden="1">
      <c r="A3808" s="13" t="s">
        <v>5389</v>
      </c>
    </row>
    <row r="3809" spans="1:1" customFormat="1" hidden="1">
      <c r="A3809" s="13" t="s">
        <v>5390</v>
      </c>
    </row>
    <row r="3810" spans="1:1" customFormat="1" hidden="1">
      <c r="A3810" s="13" t="s">
        <v>5391</v>
      </c>
    </row>
    <row r="3811" spans="1:1" customFormat="1" hidden="1">
      <c r="A3811" s="13" t="s">
        <v>5392</v>
      </c>
    </row>
    <row r="3812" spans="1:1" customFormat="1" hidden="1">
      <c r="A3812" s="13" t="s">
        <v>5393</v>
      </c>
    </row>
    <row r="3813" spans="1:1" customFormat="1" hidden="1">
      <c r="A3813" s="13" t="s">
        <v>5394</v>
      </c>
    </row>
    <row r="3814" spans="1:1" customFormat="1" hidden="1">
      <c r="A3814" s="13" t="s">
        <v>5395</v>
      </c>
    </row>
    <row r="3815" spans="1:1" customFormat="1" hidden="1">
      <c r="A3815" s="13" t="s">
        <v>5396</v>
      </c>
    </row>
    <row r="3816" spans="1:1" customFormat="1" hidden="1">
      <c r="A3816" s="13" t="s">
        <v>5397</v>
      </c>
    </row>
    <row r="3817" spans="1:1" customFormat="1" hidden="1">
      <c r="A3817" s="13" t="s">
        <v>5398</v>
      </c>
    </row>
    <row r="3818" spans="1:1" customFormat="1" hidden="1">
      <c r="A3818" s="13" t="s">
        <v>5399</v>
      </c>
    </row>
    <row r="3819" spans="1:1" customFormat="1" hidden="1">
      <c r="A3819" s="13" t="s">
        <v>5400</v>
      </c>
    </row>
    <row r="3820" spans="1:1" customFormat="1" hidden="1">
      <c r="A3820" s="13" t="s">
        <v>5401</v>
      </c>
    </row>
    <row r="3821" spans="1:1" customFormat="1" hidden="1">
      <c r="A3821" s="13" t="s">
        <v>5402</v>
      </c>
    </row>
    <row r="3822" spans="1:1" customFormat="1" hidden="1">
      <c r="A3822" s="13" t="s">
        <v>5403</v>
      </c>
    </row>
    <row r="3823" spans="1:1" customFormat="1" hidden="1">
      <c r="A3823" s="13" t="s">
        <v>5404</v>
      </c>
    </row>
    <row r="3824" spans="1:1" customFormat="1" hidden="1">
      <c r="A3824" s="13" t="s">
        <v>5405</v>
      </c>
    </row>
    <row r="3825" spans="1:1" customFormat="1" hidden="1">
      <c r="A3825" s="13" t="s">
        <v>5406</v>
      </c>
    </row>
    <row r="3826" spans="1:1" customFormat="1" hidden="1">
      <c r="A3826" s="13" t="s">
        <v>5407</v>
      </c>
    </row>
    <row r="3827" spans="1:1" customFormat="1" hidden="1">
      <c r="A3827" s="13" t="s">
        <v>5408</v>
      </c>
    </row>
    <row r="3828" spans="1:1" customFormat="1" hidden="1">
      <c r="A3828" s="13" t="s">
        <v>5409</v>
      </c>
    </row>
    <row r="3829" spans="1:1" customFormat="1" hidden="1">
      <c r="A3829" s="13" t="s">
        <v>5410</v>
      </c>
    </row>
    <row r="3830" spans="1:1" customFormat="1" hidden="1">
      <c r="A3830" s="13" t="s">
        <v>5411</v>
      </c>
    </row>
    <row r="3831" spans="1:1" customFormat="1" hidden="1">
      <c r="A3831" s="13" t="s">
        <v>5412</v>
      </c>
    </row>
    <row r="3832" spans="1:1" customFormat="1" hidden="1">
      <c r="A3832" s="13" t="s">
        <v>5413</v>
      </c>
    </row>
    <row r="3833" spans="1:1" customFormat="1" hidden="1">
      <c r="A3833" s="13" t="s">
        <v>5414</v>
      </c>
    </row>
    <row r="3834" spans="1:1" customFormat="1" hidden="1">
      <c r="A3834" s="13" t="s">
        <v>5415</v>
      </c>
    </row>
    <row r="3835" spans="1:1" customFormat="1" hidden="1">
      <c r="A3835" s="13" t="s">
        <v>5416</v>
      </c>
    </row>
    <row r="3836" spans="1:1" customFormat="1" hidden="1">
      <c r="A3836" s="13" t="s">
        <v>5417</v>
      </c>
    </row>
    <row r="3837" spans="1:1" customFormat="1" hidden="1">
      <c r="A3837" s="13" t="s">
        <v>5418</v>
      </c>
    </row>
    <row r="3838" spans="1:1" customFormat="1" hidden="1">
      <c r="A3838" s="13" t="s">
        <v>5419</v>
      </c>
    </row>
    <row r="3839" spans="1:1" customFormat="1" hidden="1">
      <c r="A3839" s="13" t="s">
        <v>5420</v>
      </c>
    </row>
    <row r="3840" spans="1:1" customFormat="1" hidden="1">
      <c r="A3840" s="13" t="s">
        <v>5421</v>
      </c>
    </row>
    <row r="3841" spans="1:1" customFormat="1" hidden="1">
      <c r="A3841" s="13" t="s">
        <v>5422</v>
      </c>
    </row>
    <row r="3842" spans="1:1" customFormat="1" hidden="1">
      <c r="A3842" s="13" t="s">
        <v>5423</v>
      </c>
    </row>
    <row r="3843" spans="1:1" customFormat="1" hidden="1">
      <c r="A3843" s="13" t="s">
        <v>5424</v>
      </c>
    </row>
    <row r="3844" spans="1:1" customFormat="1" hidden="1">
      <c r="A3844" s="13" t="s">
        <v>5425</v>
      </c>
    </row>
    <row r="3845" spans="1:1" customFormat="1" hidden="1">
      <c r="A3845" s="13" t="s">
        <v>5426</v>
      </c>
    </row>
    <row r="3846" spans="1:1" customFormat="1" hidden="1">
      <c r="A3846" s="13" t="s">
        <v>5427</v>
      </c>
    </row>
    <row r="3847" spans="1:1" customFormat="1" hidden="1">
      <c r="A3847" s="13" t="s">
        <v>5428</v>
      </c>
    </row>
    <row r="3848" spans="1:1" customFormat="1" hidden="1">
      <c r="A3848" s="13" t="s">
        <v>5429</v>
      </c>
    </row>
    <row r="3849" spans="1:1" customFormat="1" hidden="1">
      <c r="A3849" s="13" t="s">
        <v>5430</v>
      </c>
    </row>
    <row r="3850" spans="1:1" customFormat="1" hidden="1">
      <c r="A3850" s="13" t="s">
        <v>5431</v>
      </c>
    </row>
    <row r="3851" spans="1:1" customFormat="1" hidden="1">
      <c r="A3851" s="13" t="s">
        <v>5432</v>
      </c>
    </row>
    <row r="3852" spans="1:1" customFormat="1" hidden="1">
      <c r="A3852" s="13" t="s">
        <v>5433</v>
      </c>
    </row>
    <row r="3853" spans="1:1" customFormat="1" hidden="1">
      <c r="A3853" s="13" t="s">
        <v>5434</v>
      </c>
    </row>
    <row r="3854" spans="1:1" customFormat="1" hidden="1">
      <c r="A3854" s="13" t="s">
        <v>5435</v>
      </c>
    </row>
    <row r="3855" spans="1:1" customFormat="1" hidden="1">
      <c r="A3855" s="13" t="s">
        <v>5436</v>
      </c>
    </row>
    <row r="3856" spans="1:1" customFormat="1" hidden="1">
      <c r="A3856" s="13" t="s">
        <v>5437</v>
      </c>
    </row>
    <row r="3857" spans="1:1" customFormat="1" hidden="1">
      <c r="A3857" s="13" t="s">
        <v>5438</v>
      </c>
    </row>
    <row r="3858" spans="1:1" customFormat="1" hidden="1">
      <c r="A3858" s="13" t="s">
        <v>5439</v>
      </c>
    </row>
    <row r="3859" spans="1:1" customFormat="1" hidden="1">
      <c r="A3859" s="13" t="s">
        <v>5440</v>
      </c>
    </row>
    <row r="3860" spans="1:1" customFormat="1" hidden="1">
      <c r="A3860" s="13" t="s">
        <v>5441</v>
      </c>
    </row>
    <row r="3861" spans="1:1" customFormat="1" hidden="1">
      <c r="A3861" s="13" t="s">
        <v>5442</v>
      </c>
    </row>
    <row r="3862" spans="1:1" customFormat="1" hidden="1">
      <c r="A3862" s="13" t="s">
        <v>5443</v>
      </c>
    </row>
    <row r="3863" spans="1:1" customFormat="1" hidden="1">
      <c r="A3863" s="13" t="s">
        <v>5444</v>
      </c>
    </row>
    <row r="3864" spans="1:1" customFormat="1" hidden="1">
      <c r="A3864" s="13" t="s">
        <v>5445</v>
      </c>
    </row>
    <row r="3865" spans="1:1" customFormat="1" hidden="1">
      <c r="A3865" s="13" t="s">
        <v>5446</v>
      </c>
    </row>
    <row r="3866" spans="1:1" customFormat="1" hidden="1">
      <c r="A3866" s="13" t="s">
        <v>5447</v>
      </c>
    </row>
    <row r="3867" spans="1:1" customFormat="1" hidden="1">
      <c r="A3867" s="13" t="s">
        <v>5448</v>
      </c>
    </row>
    <row r="3868" spans="1:1" customFormat="1" hidden="1">
      <c r="A3868" s="13" t="s">
        <v>5449</v>
      </c>
    </row>
    <row r="3869" spans="1:1" customFormat="1" hidden="1">
      <c r="A3869" s="13" t="s">
        <v>5450</v>
      </c>
    </row>
    <row r="3870" spans="1:1" customFormat="1" hidden="1">
      <c r="A3870" s="13" t="s">
        <v>5451</v>
      </c>
    </row>
    <row r="3871" spans="1:1" customFormat="1" hidden="1">
      <c r="A3871" s="13" t="s">
        <v>5452</v>
      </c>
    </row>
    <row r="3872" spans="1:1" customFormat="1" hidden="1">
      <c r="A3872" s="13" t="s">
        <v>5453</v>
      </c>
    </row>
    <row r="3873" spans="1:1" customFormat="1" hidden="1">
      <c r="A3873" s="13" t="s">
        <v>5454</v>
      </c>
    </row>
    <row r="3874" spans="1:1" customFormat="1" hidden="1">
      <c r="A3874" s="13" t="s">
        <v>5455</v>
      </c>
    </row>
    <row r="3875" spans="1:1" customFormat="1" hidden="1">
      <c r="A3875" s="13" t="s">
        <v>5456</v>
      </c>
    </row>
    <row r="3876" spans="1:1" customFormat="1" hidden="1">
      <c r="A3876" s="13" t="s">
        <v>5457</v>
      </c>
    </row>
    <row r="3877" spans="1:1" customFormat="1" hidden="1">
      <c r="A3877" s="13" t="s">
        <v>5458</v>
      </c>
    </row>
    <row r="3878" spans="1:1" customFormat="1" hidden="1">
      <c r="A3878" s="13" t="s">
        <v>5459</v>
      </c>
    </row>
    <row r="3879" spans="1:1" customFormat="1" hidden="1">
      <c r="A3879" s="13" t="s">
        <v>5460</v>
      </c>
    </row>
    <row r="3880" spans="1:1" customFormat="1" hidden="1">
      <c r="A3880" s="13" t="s">
        <v>5461</v>
      </c>
    </row>
    <row r="3881" spans="1:1" customFormat="1" hidden="1">
      <c r="A3881" s="13"/>
    </row>
    <row r="3882" spans="1:1" customFormat="1" hidden="1">
      <c r="A3882" s="13" t="s">
        <v>5462</v>
      </c>
    </row>
    <row r="3883" spans="1:1" customFormat="1" hidden="1">
      <c r="A3883" s="13" t="s">
        <v>5463</v>
      </c>
    </row>
    <row r="3884" spans="1:1" customFormat="1" hidden="1">
      <c r="A3884" s="13" t="s">
        <v>5464</v>
      </c>
    </row>
    <row r="3885" spans="1:1" customFormat="1" hidden="1">
      <c r="A3885" s="13" t="s">
        <v>5465</v>
      </c>
    </row>
    <row r="3886" spans="1:1" customFormat="1" hidden="1">
      <c r="A3886" s="13" t="s">
        <v>5466</v>
      </c>
    </row>
    <row r="3887" spans="1:1" customFormat="1" hidden="1">
      <c r="A3887" s="13" t="s">
        <v>5467</v>
      </c>
    </row>
    <row r="3888" spans="1:1" customFormat="1" hidden="1">
      <c r="A3888" s="13" t="s">
        <v>5468</v>
      </c>
    </row>
    <row r="3889" spans="1:1" customFormat="1" hidden="1">
      <c r="A3889" s="13" t="s">
        <v>5469</v>
      </c>
    </row>
    <row r="3890" spans="1:1" customFormat="1" hidden="1">
      <c r="A3890" s="13" t="s">
        <v>5470</v>
      </c>
    </row>
    <row r="3891" spans="1:1" customFormat="1" hidden="1">
      <c r="A3891" s="13" t="s">
        <v>5471</v>
      </c>
    </row>
    <row r="3892" spans="1:1" customFormat="1" hidden="1">
      <c r="A3892" s="13" t="s">
        <v>5472</v>
      </c>
    </row>
    <row r="3893" spans="1:1" customFormat="1" hidden="1">
      <c r="A3893" s="13" t="s">
        <v>5473</v>
      </c>
    </row>
    <row r="3894" spans="1:1" customFormat="1" hidden="1">
      <c r="A3894" s="13" t="s">
        <v>5474</v>
      </c>
    </row>
    <row r="3895" spans="1:1" customFormat="1" hidden="1">
      <c r="A3895" s="13" t="s">
        <v>5475</v>
      </c>
    </row>
    <row r="3896" spans="1:1" customFormat="1" hidden="1">
      <c r="A3896" s="13" t="s">
        <v>5476</v>
      </c>
    </row>
    <row r="3897" spans="1:1" customFormat="1" hidden="1">
      <c r="A3897" s="13" t="s">
        <v>5477</v>
      </c>
    </row>
    <row r="3898" spans="1:1" customFormat="1" hidden="1">
      <c r="A3898" s="13" t="s">
        <v>5478</v>
      </c>
    </row>
    <row r="3899" spans="1:1" customFormat="1" hidden="1">
      <c r="A3899" s="13" t="s">
        <v>5479</v>
      </c>
    </row>
    <row r="3900" spans="1:1" customFormat="1" hidden="1">
      <c r="A3900" s="13" t="s">
        <v>5480</v>
      </c>
    </row>
    <row r="3901" spans="1:1" customFormat="1" hidden="1">
      <c r="A3901" s="13" t="s">
        <v>5481</v>
      </c>
    </row>
    <row r="3902" spans="1:1" customFormat="1" hidden="1">
      <c r="A3902" s="13" t="s">
        <v>5482</v>
      </c>
    </row>
    <row r="3903" spans="1:1" customFormat="1" hidden="1">
      <c r="A3903" s="13" t="s">
        <v>5483</v>
      </c>
    </row>
    <row r="3904" spans="1:1" customFormat="1" hidden="1">
      <c r="A3904" s="13" t="s">
        <v>5484</v>
      </c>
    </row>
    <row r="3905" spans="1:1" customFormat="1" hidden="1">
      <c r="A3905" s="13" t="s">
        <v>5485</v>
      </c>
    </row>
    <row r="3906" spans="1:1" customFormat="1" hidden="1">
      <c r="A3906" s="13" t="s">
        <v>5486</v>
      </c>
    </row>
    <row r="3907" spans="1:1" customFormat="1" hidden="1">
      <c r="A3907" s="13" t="s">
        <v>5487</v>
      </c>
    </row>
    <row r="3908" spans="1:1" customFormat="1" hidden="1">
      <c r="A3908" s="13" t="s">
        <v>5488</v>
      </c>
    </row>
    <row r="3909" spans="1:1" customFormat="1" hidden="1">
      <c r="A3909" s="13" t="s">
        <v>5489</v>
      </c>
    </row>
    <row r="3910" spans="1:1" customFormat="1" hidden="1">
      <c r="A3910" s="13" t="s">
        <v>5490</v>
      </c>
    </row>
    <row r="3911" spans="1:1" customFormat="1" hidden="1">
      <c r="A3911" s="13" t="s">
        <v>5491</v>
      </c>
    </row>
    <row r="3912" spans="1:1" customFormat="1" hidden="1">
      <c r="A3912" s="13" t="s">
        <v>5492</v>
      </c>
    </row>
    <row r="3913" spans="1:1" customFormat="1" hidden="1">
      <c r="A3913" s="13" t="s">
        <v>5493</v>
      </c>
    </row>
    <row r="3914" spans="1:1" customFormat="1" hidden="1">
      <c r="A3914" s="13" t="s">
        <v>5494</v>
      </c>
    </row>
    <row r="3915" spans="1:1" customFormat="1" hidden="1">
      <c r="A3915" s="13" t="s">
        <v>5495</v>
      </c>
    </row>
    <row r="3916" spans="1:1" customFormat="1" hidden="1">
      <c r="A3916" s="13" t="s">
        <v>5496</v>
      </c>
    </row>
    <row r="3917" spans="1:1" customFormat="1" hidden="1">
      <c r="A3917" s="13" t="s">
        <v>5497</v>
      </c>
    </row>
    <row r="3918" spans="1:1" customFormat="1" hidden="1">
      <c r="A3918" s="13" t="s">
        <v>5498</v>
      </c>
    </row>
    <row r="3919" spans="1:1" customFormat="1" hidden="1">
      <c r="A3919" s="13" t="s">
        <v>5499</v>
      </c>
    </row>
    <row r="3920" spans="1:1" customFormat="1" hidden="1">
      <c r="A3920" s="13" t="s">
        <v>5500</v>
      </c>
    </row>
    <row r="3921" spans="1:1" customFormat="1" hidden="1">
      <c r="A3921" s="13" t="s">
        <v>5501</v>
      </c>
    </row>
    <row r="3922" spans="1:1" customFormat="1" hidden="1">
      <c r="A3922" s="13" t="s">
        <v>5502</v>
      </c>
    </row>
    <row r="3923" spans="1:1" customFormat="1" hidden="1">
      <c r="A3923" s="13" t="s">
        <v>5503</v>
      </c>
    </row>
    <row r="3924" spans="1:1" customFormat="1" hidden="1">
      <c r="A3924" s="13" t="s">
        <v>5504</v>
      </c>
    </row>
    <row r="3925" spans="1:1" customFormat="1" hidden="1">
      <c r="A3925" s="13" t="s">
        <v>5505</v>
      </c>
    </row>
    <row r="3926" spans="1:1" customFormat="1" hidden="1">
      <c r="A3926" s="13" t="s">
        <v>5506</v>
      </c>
    </row>
    <row r="3927" spans="1:1" customFormat="1" hidden="1">
      <c r="A3927" s="13" t="s">
        <v>5507</v>
      </c>
    </row>
    <row r="3928" spans="1:1" customFormat="1" hidden="1">
      <c r="A3928" s="13" t="s">
        <v>5508</v>
      </c>
    </row>
    <row r="3929" spans="1:1" customFormat="1" hidden="1">
      <c r="A3929" s="13" t="s">
        <v>5509</v>
      </c>
    </row>
    <row r="3930" spans="1:1" customFormat="1" hidden="1">
      <c r="A3930" s="13" t="s">
        <v>5510</v>
      </c>
    </row>
    <row r="3931" spans="1:1" customFormat="1" hidden="1">
      <c r="A3931" s="13" t="s">
        <v>5511</v>
      </c>
    </row>
    <row r="3932" spans="1:1" customFormat="1" hidden="1">
      <c r="A3932" s="13" t="s">
        <v>5512</v>
      </c>
    </row>
    <row r="3933" spans="1:1" customFormat="1" hidden="1">
      <c r="A3933" s="13" t="s">
        <v>5513</v>
      </c>
    </row>
    <row r="3934" spans="1:1" customFormat="1" hidden="1">
      <c r="A3934" s="13" t="s">
        <v>5514</v>
      </c>
    </row>
    <row r="3935" spans="1:1" customFormat="1" hidden="1">
      <c r="A3935" s="13" t="s">
        <v>5515</v>
      </c>
    </row>
    <row r="3936" spans="1:1" customFormat="1" hidden="1">
      <c r="A3936" s="13" t="s">
        <v>5516</v>
      </c>
    </row>
    <row r="3937" spans="1:1" customFormat="1" hidden="1">
      <c r="A3937" s="13" t="s">
        <v>5517</v>
      </c>
    </row>
    <row r="3938" spans="1:1" customFormat="1" hidden="1">
      <c r="A3938" s="13" t="s">
        <v>5518</v>
      </c>
    </row>
    <row r="3939" spans="1:1" customFormat="1" hidden="1">
      <c r="A3939" s="13" t="s">
        <v>5519</v>
      </c>
    </row>
    <row r="3940" spans="1:1" customFormat="1" hidden="1">
      <c r="A3940" s="13" t="s">
        <v>5520</v>
      </c>
    </row>
    <row r="3941" spans="1:1" customFormat="1" hidden="1">
      <c r="A3941" s="13" t="s">
        <v>5521</v>
      </c>
    </row>
    <row r="3942" spans="1:1" customFormat="1" hidden="1">
      <c r="A3942" s="13" t="s">
        <v>5522</v>
      </c>
    </row>
    <row r="3943" spans="1:1" customFormat="1" hidden="1">
      <c r="A3943" s="13" t="s">
        <v>5523</v>
      </c>
    </row>
    <row r="3944" spans="1:1" customFormat="1" hidden="1">
      <c r="A3944" s="13" t="s">
        <v>5524</v>
      </c>
    </row>
    <row r="3945" spans="1:1" customFormat="1" hidden="1">
      <c r="A3945" s="13" t="s">
        <v>5525</v>
      </c>
    </row>
    <row r="3946" spans="1:1" customFormat="1" hidden="1">
      <c r="A3946" s="13" t="s">
        <v>5526</v>
      </c>
    </row>
    <row r="3947" spans="1:1" customFormat="1" hidden="1">
      <c r="A3947" s="13" t="s">
        <v>5527</v>
      </c>
    </row>
    <row r="3948" spans="1:1" customFormat="1" hidden="1">
      <c r="A3948" s="13" t="s">
        <v>5528</v>
      </c>
    </row>
    <row r="3949" spans="1:1" customFormat="1" hidden="1">
      <c r="A3949" s="13" t="s">
        <v>5529</v>
      </c>
    </row>
    <row r="3950" spans="1:1" customFormat="1" hidden="1">
      <c r="A3950" s="13" t="s">
        <v>5530</v>
      </c>
    </row>
    <row r="3951" spans="1:1" customFormat="1" hidden="1">
      <c r="A3951" s="13" t="s">
        <v>5531</v>
      </c>
    </row>
    <row r="3952" spans="1:1" customFormat="1" hidden="1">
      <c r="A3952" s="13" t="s">
        <v>5532</v>
      </c>
    </row>
    <row r="3953" spans="1:1" customFormat="1" hidden="1">
      <c r="A3953" s="13" t="s">
        <v>5533</v>
      </c>
    </row>
    <row r="3954" spans="1:1" customFormat="1" hidden="1">
      <c r="A3954" s="13" t="s">
        <v>5534</v>
      </c>
    </row>
    <row r="3955" spans="1:1" customFormat="1" hidden="1">
      <c r="A3955" s="13" t="s">
        <v>5535</v>
      </c>
    </row>
    <row r="3956" spans="1:1" customFormat="1" hidden="1">
      <c r="A3956" s="13" t="s">
        <v>5536</v>
      </c>
    </row>
    <row r="3957" spans="1:1" customFormat="1" hidden="1">
      <c r="A3957" s="13" t="s">
        <v>5537</v>
      </c>
    </row>
    <row r="3958" spans="1:1" customFormat="1" hidden="1">
      <c r="A3958" s="13" t="s">
        <v>5538</v>
      </c>
    </row>
    <row r="3959" spans="1:1" customFormat="1" hidden="1">
      <c r="A3959" s="13" t="s">
        <v>5539</v>
      </c>
    </row>
    <row r="3960" spans="1:1" customFormat="1" hidden="1">
      <c r="A3960" s="13" t="s">
        <v>5540</v>
      </c>
    </row>
    <row r="3961" spans="1:1" customFormat="1" hidden="1">
      <c r="A3961" s="13" t="s">
        <v>5541</v>
      </c>
    </row>
    <row r="3962" spans="1:1" customFormat="1" hidden="1">
      <c r="A3962" s="13" t="s">
        <v>5542</v>
      </c>
    </row>
    <row r="3963" spans="1:1" customFormat="1" hidden="1">
      <c r="A3963" s="13" t="s">
        <v>5543</v>
      </c>
    </row>
    <row r="3964" spans="1:1" customFormat="1" hidden="1">
      <c r="A3964" s="13" t="s">
        <v>5544</v>
      </c>
    </row>
    <row r="3965" spans="1:1" customFormat="1" hidden="1">
      <c r="A3965" s="13" t="s">
        <v>5545</v>
      </c>
    </row>
    <row r="3966" spans="1:1" customFormat="1" hidden="1">
      <c r="A3966" s="13" t="s">
        <v>5546</v>
      </c>
    </row>
    <row r="3967" spans="1:1" customFormat="1" hidden="1">
      <c r="A3967" s="13" t="s">
        <v>5547</v>
      </c>
    </row>
    <row r="3968" spans="1:1" customFormat="1" hidden="1">
      <c r="A3968" s="13" t="s">
        <v>5548</v>
      </c>
    </row>
    <row r="3969" spans="1:1" customFormat="1" hidden="1">
      <c r="A3969" s="13" t="s">
        <v>5549</v>
      </c>
    </row>
    <row r="3970" spans="1:1" customFormat="1" hidden="1">
      <c r="A3970" s="13" t="s">
        <v>5550</v>
      </c>
    </row>
    <row r="3971" spans="1:1" customFormat="1" hidden="1">
      <c r="A3971" s="13" t="s">
        <v>5551</v>
      </c>
    </row>
    <row r="3972" spans="1:1" customFormat="1" hidden="1">
      <c r="A3972" s="13" t="s">
        <v>5552</v>
      </c>
    </row>
    <row r="3973" spans="1:1" customFormat="1" hidden="1">
      <c r="A3973" s="13" t="s">
        <v>5553</v>
      </c>
    </row>
    <row r="3974" spans="1:1" customFormat="1" hidden="1">
      <c r="A3974" s="13" t="s">
        <v>5554</v>
      </c>
    </row>
    <row r="3975" spans="1:1" customFormat="1" hidden="1">
      <c r="A3975" s="13" t="s">
        <v>5555</v>
      </c>
    </row>
    <row r="3976" spans="1:1" customFormat="1" hidden="1">
      <c r="A3976" s="13" t="s">
        <v>5556</v>
      </c>
    </row>
    <row r="3977" spans="1:1" customFormat="1" hidden="1">
      <c r="A3977" s="13" t="s">
        <v>5557</v>
      </c>
    </row>
    <row r="3978" spans="1:1" customFormat="1" hidden="1">
      <c r="A3978" s="13" t="s">
        <v>5558</v>
      </c>
    </row>
    <row r="3979" spans="1:1" customFormat="1" hidden="1">
      <c r="A3979" s="13" t="s">
        <v>5559</v>
      </c>
    </row>
    <row r="3980" spans="1:1" customFormat="1" hidden="1">
      <c r="A3980" s="13" t="s">
        <v>5560</v>
      </c>
    </row>
    <row r="3981" spans="1:1" customFormat="1" hidden="1">
      <c r="A3981" s="13" t="s">
        <v>5561</v>
      </c>
    </row>
    <row r="3982" spans="1:1" customFormat="1" hidden="1">
      <c r="A3982" s="13" t="s">
        <v>5562</v>
      </c>
    </row>
    <row r="3983" spans="1:1" customFormat="1" hidden="1">
      <c r="A3983" s="13" t="s">
        <v>5563</v>
      </c>
    </row>
    <row r="3984" spans="1:1" customFormat="1" hidden="1">
      <c r="A3984" s="13" t="s">
        <v>5564</v>
      </c>
    </row>
    <row r="3985" spans="1:1" customFormat="1" hidden="1">
      <c r="A3985" s="13" t="s">
        <v>5565</v>
      </c>
    </row>
    <row r="3986" spans="1:1" customFormat="1" hidden="1">
      <c r="A3986" s="13" t="s">
        <v>5566</v>
      </c>
    </row>
    <row r="3987" spans="1:1" customFormat="1" hidden="1">
      <c r="A3987" s="13" t="s">
        <v>5567</v>
      </c>
    </row>
    <row r="3988" spans="1:1" customFormat="1" hidden="1">
      <c r="A3988" s="13" t="s">
        <v>5568</v>
      </c>
    </row>
    <row r="3989" spans="1:1" customFormat="1" hidden="1">
      <c r="A3989" s="13" t="s">
        <v>5569</v>
      </c>
    </row>
    <row r="3990" spans="1:1" customFormat="1" hidden="1">
      <c r="A3990" s="13" t="s">
        <v>5570</v>
      </c>
    </row>
    <row r="3991" spans="1:1" customFormat="1" hidden="1">
      <c r="A3991" s="13" t="s">
        <v>5571</v>
      </c>
    </row>
    <row r="3992" spans="1:1" customFormat="1" hidden="1">
      <c r="A3992" s="13" t="s">
        <v>5572</v>
      </c>
    </row>
    <row r="3993" spans="1:1" customFormat="1" hidden="1">
      <c r="A3993" s="13" t="s">
        <v>5573</v>
      </c>
    </row>
    <row r="3994" spans="1:1" customFormat="1" hidden="1">
      <c r="A3994" s="13" t="s">
        <v>5574</v>
      </c>
    </row>
    <row r="3995" spans="1:1" customFormat="1" hidden="1">
      <c r="A3995" s="13" t="s">
        <v>5575</v>
      </c>
    </row>
    <row r="3996" spans="1:1" customFormat="1" hidden="1">
      <c r="A3996" s="13" t="s">
        <v>5576</v>
      </c>
    </row>
    <row r="3997" spans="1:1" customFormat="1" hidden="1">
      <c r="A3997" s="13" t="s">
        <v>5577</v>
      </c>
    </row>
    <row r="3998" spans="1:1" customFormat="1" hidden="1">
      <c r="A3998" s="13" t="s">
        <v>5578</v>
      </c>
    </row>
    <row r="3999" spans="1:1" customFormat="1" hidden="1">
      <c r="A3999" s="13" t="s">
        <v>5579</v>
      </c>
    </row>
    <row r="4000" spans="1:1" customFormat="1" hidden="1">
      <c r="A4000" s="13" t="s">
        <v>5580</v>
      </c>
    </row>
    <row r="4001" spans="1:1" customFormat="1" hidden="1">
      <c r="A4001" s="13" t="s">
        <v>5581</v>
      </c>
    </row>
    <row r="4002" spans="1:1" customFormat="1" hidden="1">
      <c r="A4002" s="13" t="s">
        <v>5582</v>
      </c>
    </row>
    <row r="4003" spans="1:1" customFormat="1" hidden="1">
      <c r="A4003" s="13" t="s">
        <v>5583</v>
      </c>
    </row>
    <row r="4004" spans="1:1" customFormat="1" hidden="1">
      <c r="A4004" s="13" t="s">
        <v>5584</v>
      </c>
    </row>
    <row r="4005" spans="1:1" customFormat="1" hidden="1">
      <c r="A4005" s="13" t="s">
        <v>5585</v>
      </c>
    </row>
    <row r="4006" spans="1:1" customFormat="1" hidden="1">
      <c r="A4006" s="13" t="s">
        <v>5586</v>
      </c>
    </row>
    <row r="4007" spans="1:1" customFormat="1" hidden="1">
      <c r="A4007" s="13" t="s">
        <v>5587</v>
      </c>
    </row>
    <row r="4008" spans="1:1" customFormat="1" hidden="1">
      <c r="A4008" s="13" t="s">
        <v>5588</v>
      </c>
    </row>
    <row r="4009" spans="1:1" customFormat="1" hidden="1">
      <c r="A4009" s="13" t="s">
        <v>5589</v>
      </c>
    </row>
    <row r="4010" spans="1:1" customFormat="1" hidden="1">
      <c r="A4010" s="13" t="s">
        <v>5590</v>
      </c>
    </row>
    <row r="4011" spans="1:1" customFormat="1" hidden="1">
      <c r="A4011" s="13" t="s">
        <v>5591</v>
      </c>
    </row>
    <row r="4012" spans="1:1" customFormat="1" hidden="1">
      <c r="A4012" s="13" t="s">
        <v>5592</v>
      </c>
    </row>
    <row r="4013" spans="1:1" customFormat="1" hidden="1">
      <c r="A4013" s="13" t="s">
        <v>5593</v>
      </c>
    </row>
    <row r="4014" spans="1:1" customFormat="1" hidden="1">
      <c r="A4014" s="13" t="s">
        <v>5594</v>
      </c>
    </row>
    <row r="4015" spans="1:1" customFormat="1" hidden="1">
      <c r="A4015" s="13" t="s">
        <v>5595</v>
      </c>
    </row>
    <row r="4016" spans="1:1" customFormat="1" hidden="1">
      <c r="A4016" s="13" t="s">
        <v>5596</v>
      </c>
    </row>
    <row r="4017" spans="1:1" customFormat="1" hidden="1">
      <c r="A4017" s="13" t="s">
        <v>5597</v>
      </c>
    </row>
    <row r="4018" spans="1:1" customFormat="1" hidden="1">
      <c r="A4018" s="13" t="s">
        <v>5598</v>
      </c>
    </row>
    <row r="4019" spans="1:1" customFormat="1" hidden="1">
      <c r="A4019" s="13" t="s">
        <v>5599</v>
      </c>
    </row>
    <row r="4020" spans="1:1" customFormat="1" hidden="1">
      <c r="A4020" s="13" t="s">
        <v>5600</v>
      </c>
    </row>
    <row r="4021" spans="1:1" customFormat="1" hidden="1">
      <c r="A4021" s="13" t="s">
        <v>5601</v>
      </c>
    </row>
    <row r="4022" spans="1:1" customFormat="1" hidden="1">
      <c r="A4022" s="13" t="s">
        <v>5602</v>
      </c>
    </row>
    <row r="4023" spans="1:1" customFormat="1" hidden="1">
      <c r="A4023" s="13" t="s">
        <v>5603</v>
      </c>
    </row>
    <row r="4024" spans="1:1" customFormat="1" hidden="1">
      <c r="A4024" s="13" t="s">
        <v>5604</v>
      </c>
    </row>
    <row r="4025" spans="1:1" customFormat="1" hidden="1">
      <c r="A4025" s="13" t="s">
        <v>5605</v>
      </c>
    </row>
    <row r="4026" spans="1:1" customFormat="1" hidden="1">
      <c r="A4026" s="13" t="s">
        <v>5606</v>
      </c>
    </row>
    <row r="4027" spans="1:1" customFormat="1" hidden="1">
      <c r="A4027" s="13" t="s">
        <v>5607</v>
      </c>
    </row>
    <row r="4028" spans="1:1" customFormat="1" hidden="1">
      <c r="A4028" s="13" t="s">
        <v>5608</v>
      </c>
    </row>
    <row r="4029" spans="1:1" customFormat="1" hidden="1">
      <c r="A4029" s="13" t="s">
        <v>5609</v>
      </c>
    </row>
    <row r="4030" spans="1:1" customFormat="1" hidden="1">
      <c r="A4030" s="13" t="s">
        <v>5610</v>
      </c>
    </row>
    <row r="4031" spans="1:1" customFormat="1" hidden="1">
      <c r="A4031" s="13" t="s">
        <v>5611</v>
      </c>
    </row>
    <row r="4032" spans="1:1" customFormat="1" hidden="1">
      <c r="A4032" s="13" t="s">
        <v>5612</v>
      </c>
    </row>
    <row r="4033" spans="1:1" customFormat="1" hidden="1">
      <c r="A4033" s="13" t="s">
        <v>5613</v>
      </c>
    </row>
    <row r="4034" spans="1:1" customFormat="1" hidden="1">
      <c r="A4034" s="13" t="s">
        <v>5614</v>
      </c>
    </row>
    <row r="4035" spans="1:1" customFormat="1" hidden="1">
      <c r="A4035" s="13" t="s">
        <v>5615</v>
      </c>
    </row>
    <row r="4036" spans="1:1" customFormat="1" hidden="1">
      <c r="A4036" s="13" t="s">
        <v>5616</v>
      </c>
    </row>
    <row r="4037" spans="1:1" customFormat="1" hidden="1">
      <c r="A4037" s="13" t="s">
        <v>5617</v>
      </c>
    </row>
    <row r="4038" spans="1:1" customFormat="1" hidden="1">
      <c r="A4038" s="13" t="s">
        <v>5618</v>
      </c>
    </row>
    <row r="4039" spans="1:1" customFormat="1" hidden="1">
      <c r="A4039" s="13" t="s">
        <v>5619</v>
      </c>
    </row>
    <row r="4040" spans="1:1" customFormat="1" hidden="1">
      <c r="A4040" s="13" t="s">
        <v>5620</v>
      </c>
    </row>
    <row r="4041" spans="1:1" customFormat="1" hidden="1">
      <c r="A4041" s="13" t="s">
        <v>5621</v>
      </c>
    </row>
    <row r="4042" spans="1:1" customFormat="1" hidden="1">
      <c r="A4042" s="13" t="s">
        <v>5622</v>
      </c>
    </row>
    <row r="4043" spans="1:1" customFormat="1" hidden="1">
      <c r="A4043" s="13" t="s">
        <v>5623</v>
      </c>
    </row>
    <row r="4044" spans="1:1" customFormat="1" hidden="1">
      <c r="A4044" s="13" t="s">
        <v>5624</v>
      </c>
    </row>
    <row r="4045" spans="1:1" customFormat="1" hidden="1">
      <c r="A4045" s="13" t="s">
        <v>5625</v>
      </c>
    </row>
    <row r="4046" spans="1:1" customFormat="1" hidden="1">
      <c r="A4046" s="13" t="s">
        <v>5626</v>
      </c>
    </row>
    <row r="4047" spans="1:1" customFormat="1" hidden="1">
      <c r="A4047" s="13" t="s">
        <v>5627</v>
      </c>
    </row>
    <row r="4048" spans="1:1" customFormat="1" hidden="1">
      <c r="A4048" s="13" t="s">
        <v>5628</v>
      </c>
    </row>
    <row r="4049" spans="1:1" customFormat="1" hidden="1">
      <c r="A4049" s="13" t="s">
        <v>5629</v>
      </c>
    </row>
    <row r="4050" spans="1:1" customFormat="1" hidden="1">
      <c r="A4050" s="13" t="s">
        <v>5630</v>
      </c>
    </row>
    <row r="4051" spans="1:1" customFormat="1" hidden="1">
      <c r="A4051" s="13" t="s">
        <v>5631</v>
      </c>
    </row>
    <row r="4052" spans="1:1" customFormat="1" hidden="1">
      <c r="A4052" s="13" t="s">
        <v>5632</v>
      </c>
    </row>
    <row r="4053" spans="1:1" customFormat="1" hidden="1">
      <c r="A4053" s="13" t="s">
        <v>5633</v>
      </c>
    </row>
    <row r="4054" spans="1:1" customFormat="1" hidden="1">
      <c r="A4054" s="13" t="s">
        <v>5634</v>
      </c>
    </row>
    <row r="4055" spans="1:1" customFormat="1" hidden="1">
      <c r="A4055" s="13" t="s">
        <v>5635</v>
      </c>
    </row>
    <row r="4056" spans="1:1" customFormat="1" hidden="1">
      <c r="A4056" s="13" t="s">
        <v>5636</v>
      </c>
    </row>
    <row r="4057" spans="1:1" customFormat="1" hidden="1">
      <c r="A4057" s="13" t="s">
        <v>5637</v>
      </c>
    </row>
    <row r="4058" spans="1:1" customFormat="1" hidden="1">
      <c r="A4058" s="13" t="s">
        <v>5638</v>
      </c>
    </row>
    <row r="4059" spans="1:1" customFormat="1" hidden="1">
      <c r="A4059" s="13" t="s">
        <v>5639</v>
      </c>
    </row>
    <row r="4060" spans="1:1" customFormat="1" hidden="1">
      <c r="A4060" s="13" t="s">
        <v>5640</v>
      </c>
    </row>
    <row r="4061" spans="1:1" customFormat="1" hidden="1">
      <c r="A4061" s="13" t="s">
        <v>5641</v>
      </c>
    </row>
    <row r="4062" spans="1:1" customFormat="1" hidden="1">
      <c r="A4062" s="13" t="s">
        <v>5642</v>
      </c>
    </row>
    <row r="4063" spans="1:1" customFormat="1" hidden="1">
      <c r="A4063" s="13" t="s">
        <v>5643</v>
      </c>
    </row>
    <row r="4064" spans="1:1" customFormat="1" hidden="1">
      <c r="A4064" s="13" t="s">
        <v>5644</v>
      </c>
    </row>
    <row r="4065" spans="1:7" customFormat="1" hidden="1">
      <c r="A4065" s="13" t="s">
        <v>5645</v>
      </c>
    </row>
    <row r="4066" spans="1:7" customFormat="1" hidden="1">
      <c r="A4066" s="13" t="s">
        <v>5646</v>
      </c>
    </row>
    <row r="4067" spans="1:7" customFormat="1" hidden="1">
      <c r="A4067" s="13" t="s">
        <v>5647</v>
      </c>
    </row>
    <row r="4068" spans="1:7" customFormat="1" hidden="1">
      <c r="A4068" s="13" t="s">
        <v>5648</v>
      </c>
    </row>
    <row r="4069" spans="1:7" customFormat="1" hidden="1">
      <c r="A4069" s="13" t="s">
        <v>5649</v>
      </c>
    </row>
    <row r="4070" spans="1:7" customFormat="1" hidden="1">
      <c r="A4070" s="13" t="s">
        <v>5650</v>
      </c>
    </row>
    <row r="4071" spans="1:7" customFormat="1" hidden="1">
      <c r="A4071" s="13" t="s">
        <v>5651</v>
      </c>
    </row>
    <row r="4072" spans="1:7" customFormat="1" hidden="1">
      <c r="A4072" s="13" t="s">
        <v>5652</v>
      </c>
    </row>
    <row r="4073" spans="1:7" customFormat="1" hidden="1">
      <c r="A4073" s="13" t="s">
        <v>5653</v>
      </c>
    </row>
    <row r="4074" spans="1:7" customFormat="1" hidden="1">
      <c r="A4074" s="13" t="s">
        <v>5654</v>
      </c>
    </row>
    <row r="4075" spans="1:7" customFormat="1" hidden="1">
      <c r="A4075" s="13"/>
    </row>
    <row r="4076" spans="1:7" customFormat="1" hidden="1">
      <c r="A4076" s="13" t="s">
        <v>5655</v>
      </c>
    </row>
    <row r="4077" spans="1:7" customFormat="1" hidden="1">
      <c r="A4077" s="13" t="s">
        <v>5656</v>
      </c>
    </row>
    <row r="4078" spans="1:7" customFormat="1" hidden="1">
      <c r="A4078" s="13" t="s">
        <v>5657</v>
      </c>
    </row>
    <row r="4079" spans="1:7" customFormat="1" hidden="1">
      <c r="A4079" s="13" t="s">
        <v>5658</v>
      </c>
      <c r="B4079" s="13"/>
      <c r="C4079" s="13"/>
      <c r="D4079" s="13"/>
      <c r="E4079" s="13"/>
      <c r="G4079" s="13"/>
    </row>
    <row r="4080" spans="1:7" customFormat="1" hidden="1">
      <c r="A4080" s="13" t="s">
        <v>5659</v>
      </c>
      <c r="B4080" s="13"/>
      <c r="C4080" s="13"/>
      <c r="D4080" s="13"/>
      <c r="E4080" s="13"/>
      <c r="G4080" s="13"/>
    </row>
    <row r="4081" spans="1:7" customFormat="1" hidden="1">
      <c r="A4081" s="13" t="s">
        <v>5660</v>
      </c>
      <c r="B4081" s="13"/>
      <c r="C4081" s="13"/>
      <c r="D4081" s="13"/>
      <c r="E4081" s="13"/>
      <c r="G4081" s="13"/>
    </row>
    <row r="4082" spans="1:7" customFormat="1" hidden="1">
      <c r="A4082" s="13" t="s">
        <v>5661</v>
      </c>
    </row>
    <row r="4083" spans="1:7" customFormat="1" hidden="1">
      <c r="A4083" s="13" t="s">
        <v>5662</v>
      </c>
    </row>
    <row r="4084" spans="1:7" customFormat="1" hidden="1">
      <c r="A4084" s="13" t="s">
        <v>5663</v>
      </c>
    </row>
    <row r="4085" spans="1:7" customFormat="1" hidden="1">
      <c r="A4085" s="13" t="s">
        <v>5664</v>
      </c>
    </row>
    <row r="4086" spans="1:7" customFormat="1" hidden="1">
      <c r="A4086" s="13" t="s">
        <v>5665</v>
      </c>
    </row>
    <row r="4087" spans="1:7" customFormat="1" hidden="1">
      <c r="A4087" s="13" t="s">
        <v>5666</v>
      </c>
    </row>
    <row r="4088" spans="1:7" customFormat="1" hidden="1">
      <c r="A4088" s="13" t="s">
        <v>5667</v>
      </c>
    </row>
    <row r="4089" spans="1:7" customFormat="1" hidden="1">
      <c r="A4089" s="13" t="s">
        <v>5668</v>
      </c>
    </row>
    <row r="4090" spans="1:7" customFormat="1" hidden="1">
      <c r="A4090" s="13" t="s">
        <v>5669</v>
      </c>
    </row>
    <row r="4091" spans="1:7" customFormat="1" hidden="1">
      <c r="A4091" s="13" t="s">
        <v>5670</v>
      </c>
    </row>
    <row r="4092" spans="1:7" customFormat="1" hidden="1">
      <c r="A4092" s="13" t="s">
        <v>5671</v>
      </c>
    </row>
    <row r="4093" spans="1:7" customFormat="1" hidden="1">
      <c r="A4093" s="13" t="s">
        <v>5672</v>
      </c>
    </row>
    <row r="4094" spans="1:7" customFormat="1" hidden="1">
      <c r="A4094" s="13" t="s">
        <v>5673</v>
      </c>
    </row>
    <row r="4095" spans="1:7" customFormat="1" hidden="1">
      <c r="A4095" s="13" t="s">
        <v>5674</v>
      </c>
    </row>
    <row r="4096" spans="1:7" customFormat="1" hidden="1">
      <c r="A4096" s="13" t="s">
        <v>5675</v>
      </c>
    </row>
    <row r="4097" spans="1:1" customFormat="1" hidden="1">
      <c r="A4097" s="13" t="s">
        <v>5676</v>
      </c>
    </row>
    <row r="4098" spans="1:1" customFormat="1" hidden="1">
      <c r="A4098" s="13" t="s">
        <v>5677</v>
      </c>
    </row>
    <row r="4099" spans="1:1" customFormat="1" hidden="1">
      <c r="A4099" s="13" t="s">
        <v>5678</v>
      </c>
    </row>
    <row r="4100" spans="1:1" customFormat="1" hidden="1">
      <c r="A4100" s="13" t="s">
        <v>5679</v>
      </c>
    </row>
    <row r="4101" spans="1:1" customFormat="1" hidden="1">
      <c r="A4101" s="13" t="s">
        <v>5680</v>
      </c>
    </row>
    <row r="4102" spans="1:1" customFormat="1" hidden="1">
      <c r="A4102" s="13" t="s">
        <v>5681</v>
      </c>
    </row>
    <row r="4103" spans="1:1" customFormat="1" hidden="1">
      <c r="A4103" s="13" t="s">
        <v>5682</v>
      </c>
    </row>
    <row r="4104" spans="1:1" customFormat="1" hidden="1">
      <c r="A4104" s="13" t="s">
        <v>5683</v>
      </c>
    </row>
    <row r="4105" spans="1:1" customFormat="1" hidden="1">
      <c r="A4105" s="13" t="s">
        <v>5684</v>
      </c>
    </row>
    <row r="4106" spans="1:1" customFormat="1" hidden="1">
      <c r="A4106" s="13" t="s">
        <v>5685</v>
      </c>
    </row>
    <row r="4107" spans="1:1" customFormat="1" hidden="1">
      <c r="A4107" s="13" t="s">
        <v>5686</v>
      </c>
    </row>
    <row r="4108" spans="1:1" customFormat="1" hidden="1">
      <c r="A4108" s="13" t="s">
        <v>5687</v>
      </c>
    </row>
    <row r="4109" spans="1:1" customFormat="1" hidden="1">
      <c r="A4109" s="13" t="s">
        <v>5688</v>
      </c>
    </row>
    <row r="4110" spans="1:1" customFormat="1" hidden="1">
      <c r="A4110" s="13" t="s">
        <v>5689</v>
      </c>
    </row>
    <row r="4111" spans="1:1" customFormat="1" hidden="1">
      <c r="A4111" s="13" t="s">
        <v>5690</v>
      </c>
    </row>
    <row r="4112" spans="1:1" customFormat="1" hidden="1">
      <c r="A4112" s="13" t="s">
        <v>5691</v>
      </c>
    </row>
    <row r="4113" spans="1:1" customFormat="1" hidden="1">
      <c r="A4113" s="13" t="s">
        <v>5692</v>
      </c>
    </row>
    <row r="4114" spans="1:1" customFormat="1" hidden="1">
      <c r="A4114" s="13" t="s">
        <v>5693</v>
      </c>
    </row>
    <row r="4115" spans="1:1" customFormat="1" hidden="1">
      <c r="A4115" s="13" t="s">
        <v>5694</v>
      </c>
    </row>
    <row r="4116" spans="1:1" customFormat="1" hidden="1">
      <c r="A4116" s="13" t="s">
        <v>5695</v>
      </c>
    </row>
    <row r="4117" spans="1:1" customFormat="1" hidden="1">
      <c r="A4117" s="13" t="s">
        <v>5696</v>
      </c>
    </row>
    <row r="4118" spans="1:1" customFormat="1" hidden="1">
      <c r="A4118" s="13" t="s">
        <v>5697</v>
      </c>
    </row>
    <row r="4119" spans="1:1" customFormat="1" hidden="1">
      <c r="A4119" s="13" t="s">
        <v>5698</v>
      </c>
    </row>
    <row r="4120" spans="1:1" customFormat="1" hidden="1">
      <c r="A4120" s="13" t="s">
        <v>5699</v>
      </c>
    </row>
    <row r="4121" spans="1:1" customFormat="1" hidden="1">
      <c r="A4121" s="13" t="s">
        <v>5700</v>
      </c>
    </row>
    <row r="4122" spans="1:1" customFormat="1" hidden="1">
      <c r="A4122" s="13" t="s">
        <v>5701</v>
      </c>
    </row>
    <row r="4123" spans="1:1" customFormat="1" hidden="1">
      <c r="A4123" s="13" t="s">
        <v>5702</v>
      </c>
    </row>
    <row r="4124" spans="1:1" customFormat="1" hidden="1">
      <c r="A4124" s="13" t="s">
        <v>5703</v>
      </c>
    </row>
    <row r="4125" spans="1:1" customFormat="1" hidden="1">
      <c r="A4125" s="13" t="s">
        <v>5704</v>
      </c>
    </row>
    <row r="4126" spans="1:1" customFormat="1" hidden="1">
      <c r="A4126" s="13" t="s">
        <v>5705</v>
      </c>
    </row>
    <row r="4127" spans="1:1" customFormat="1" hidden="1">
      <c r="A4127" s="13" t="s">
        <v>5706</v>
      </c>
    </row>
    <row r="4128" spans="1:1" customFormat="1" hidden="1">
      <c r="A4128" s="13" t="s">
        <v>5707</v>
      </c>
    </row>
    <row r="4129" spans="1:1" customFormat="1" hidden="1">
      <c r="A4129" s="13" t="s">
        <v>5708</v>
      </c>
    </row>
    <row r="4130" spans="1:1" customFormat="1" hidden="1">
      <c r="A4130" s="13" t="s">
        <v>5709</v>
      </c>
    </row>
    <row r="4131" spans="1:1" customFormat="1" hidden="1">
      <c r="A4131" s="13" t="s">
        <v>5710</v>
      </c>
    </row>
    <row r="4132" spans="1:1" customFormat="1" hidden="1">
      <c r="A4132" s="13" t="s">
        <v>5711</v>
      </c>
    </row>
    <row r="4133" spans="1:1" customFormat="1" hidden="1">
      <c r="A4133" s="13" t="s">
        <v>5712</v>
      </c>
    </row>
    <row r="4134" spans="1:1" customFormat="1" hidden="1">
      <c r="A4134" s="13" t="s">
        <v>5713</v>
      </c>
    </row>
    <row r="4135" spans="1:1" customFormat="1" hidden="1">
      <c r="A4135" s="13" t="s">
        <v>5714</v>
      </c>
    </row>
    <row r="4136" spans="1:1" customFormat="1" hidden="1">
      <c r="A4136" s="13" t="s">
        <v>5715</v>
      </c>
    </row>
    <row r="4137" spans="1:1" customFormat="1" hidden="1">
      <c r="A4137" s="13" t="s">
        <v>5716</v>
      </c>
    </row>
    <row r="4138" spans="1:1" customFormat="1" hidden="1">
      <c r="A4138" s="13" t="s">
        <v>5717</v>
      </c>
    </row>
    <row r="4139" spans="1:1" customFormat="1" hidden="1">
      <c r="A4139" s="13" t="s">
        <v>5718</v>
      </c>
    </row>
    <row r="4140" spans="1:1" customFormat="1" hidden="1">
      <c r="A4140" s="13" t="s">
        <v>5719</v>
      </c>
    </row>
    <row r="4141" spans="1:1" customFormat="1" hidden="1">
      <c r="A4141" s="13" t="s">
        <v>5720</v>
      </c>
    </row>
    <row r="4142" spans="1:1" customFormat="1" hidden="1">
      <c r="A4142" s="13" t="s">
        <v>5721</v>
      </c>
    </row>
    <row r="4143" spans="1:1" customFormat="1" hidden="1">
      <c r="A4143" s="13" t="s">
        <v>5722</v>
      </c>
    </row>
    <row r="4144" spans="1:1" customFormat="1" hidden="1">
      <c r="A4144" s="13" t="s">
        <v>5723</v>
      </c>
    </row>
    <row r="4145" spans="1:1" customFormat="1" hidden="1">
      <c r="A4145" s="13" t="s">
        <v>5724</v>
      </c>
    </row>
    <row r="4146" spans="1:1" customFormat="1" hidden="1">
      <c r="A4146" s="13" t="s">
        <v>5725</v>
      </c>
    </row>
    <row r="4147" spans="1:1" customFormat="1" hidden="1">
      <c r="A4147" s="13" t="s">
        <v>5726</v>
      </c>
    </row>
    <row r="4148" spans="1:1" customFormat="1" hidden="1">
      <c r="A4148" s="13" t="s">
        <v>5727</v>
      </c>
    </row>
    <row r="4149" spans="1:1" customFormat="1" hidden="1">
      <c r="A4149" s="13" t="s">
        <v>5728</v>
      </c>
    </row>
    <row r="4150" spans="1:1" customFormat="1" hidden="1">
      <c r="A4150" s="13" t="s">
        <v>5729</v>
      </c>
    </row>
    <row r="4151" spans="1:1" customFormat="1" hidden="1">
      <c r="A4151" s="13" t="s">
        <v>5730</v>
      </c>
    </row>
    <row r="4152" spans="1:1" customFormat="1" hidden="1">
      <c r="A4152" s="13" t="s">
        <v>5731</v>
      </c>
    </row>
    <row r="4153" spans="1:1" customFormat="1" hidden="1">
      <c r="A4153" s="13" t="s">
        <v>5732</v>
      </c>
    </row>
    <row r="4154" spans="1:1" customFormat="1" hidden="1">
      <c r="A4154" s="13" t="s">
        <v>5733</v>
      </c>
    </row>
    <row r="4155" spans="1:1" customFormat="1" hidden="1">
      <c r="A4155" s="13" t="s">
        <v>5734</v>
      </c>
    </row>
    <row r="4156" spans="1:1" customFormat="1" hidden="1">
      <c r="A4156" s="13" t="s">
        <v>5735</v>
      </c>
    </row>
    <row r="4157" spans="1:1" customFormat="1" hidden="1">
      <c r="A4157" s="13" t="s">
        <v>5736</v>
      </c>
    </row>
    <row r="4158" spans="1:1" customFormat="1" hidden="1">
      <c r="A4158" s="13" t="s">
        <v>5737</v>
      </c>
    </row>
    <row r="4159" spans="1:1" customFormat="1" hidden="1">
      <c r="A4159" s="13" t="s">
        <v>5738</v>
      </c>
    </row>
    <row r="4160" spans="1:1" customFormat="1" hidden="1">
      <c r="A4160" s="13" t="s">
        <v>5739</v>
      </c>
    </row>
    <row r="4161" spans="1:1" customFormat="1" hidden="1">
      <c r="A4161" s="13" t="s">
        <v>5740</v>
      </c>
    </row>
    <row r="4162" spans="1:1" customFormat="1" hidden="1">
      <c r="A4162" s="13" t="s">
        <v>5741</v>
      </c>
    </row>
    <row r="4163" spans="1:1" customFormat="1" hidden="1">
      <c r="A4163" s="13" t="s">
        <v>5742</v>
      </c>
    </row>
    <row r="4164" spans="1:1" customFormat="1" hidden="1">
      <c r="A4164" s="13" t="s">
        <v>5743</v>
      </c>
    </row>
    <row r="4165" spans="1:1" customFormat="1" hidden="1">
      <c r="A4165" s="13" t="s">
        <v>5744</v>
      </c>
    </row>
    <row r="4166" spans="1:1" customFormat="1" hidden="1">
      <c r="A4166" s="13" t="s">
        <v>5745</v>
      </c>
    </row>
    <row r="4167" spans="1:1" customFormat="1" hidden="1">
      <c r="A4167" s="13" t="s">
        <v>5746</v>
      </c>
    </row>
    <row r="4168" spans="1:1" customFormat="1" hidden="1">
      <c r="A4168" s="13" t="s">
        <v>5747</v>
      </c>
    </row>
    <row r="4169" spans="1:1" customFormat="1" hidden="1">
      <c r="A4169" s="13" t="s">
        <v>5748</v>
      </c>
    </row>
    <row r="4170" spans="1:1" customFormat="1" hidden="1">
      <c r="A4170" s="13" t="s">
        <v>5749</v>
      </c>
    </row>
    <row r="4171" spans="1:1" customFormat="1" hidden="1">
      <c r="A4171" s="13" t="s">
        <v>5750</v>
      </c>
    </row>
    <row r="4172" spans="1:1" customFormat="1" hidden="1">
      <c r="A4172" s="13" t="s">
        <v>5751</v>
      </c>
    </row>
    <row r="4173" spans="1:1" customFormat="1" hidden="1">
      <c r="A4173" s="13" t="s">
        <v>5752</v>
      </c>
    </row>
    <row r="4174" spans="1:1" customFormat="1" hidden="1">
      <c r="A4174" s="13" t="s">
        <v>5753</v>
      </c>
    </row>
    <row r="4175" spans="1:1" customFormat="1" hidden="1">
      <c r="A4175" s="13" t="s">
        <v>5754</v>
      </c>
    </row>
    <row r="4176" spans="1:1" customFormat="1" hidden="1">
      <c r="A4176" s="13" t="s">
        <v>5755</v>
      </c>
    </row>
    <row r="4177" spans="1:1" customFormat="1" hidden="1">
      <c r="A4177" s="13" t="s">
        <v>5756</v>
      </c>
    </row>
    <row r="4178" spans="1:1" customFormat="1" hidden="1">
      <c r="A4178" s="13" t="s">
        <v>5757</v>
      </c>
    </row>
    <row r="4179" spans="1:1" customFormat="1" hidden="1">
      <c r="A4179" s="13" t="s">
        <v>5758</v>
      </c>
    </row>
    <row r="4180" spans="1:1" customFormat="1" hidden="1">
      <c r="A4180" s="13" t="s">
        <v>5759</v>
      </c>
    </row>
    <row r="4181" spans="1:1" customFormat="1" hidden="1">
      <c r="A4181" s="13" t="s">
        <v>5760</v>
      </c>
    </row>
    <row r="4182" spans="1:1" customFormat="1" hidden="1">
      <c r="A4182" s="13" t="s">
        <v>5761</v>
      </c>
    </row>
    <row r="4183" spans="1:1" customFormat="1" hidden="1">
      <c r="A4183" s="13" t="s">
        <v>5762</v>
      </c>
    </row>
    <row r="4184" spans="1:1" customFormat="1" hidden="1">
      <c r="A4184" s="13" t="s">
        <v>5763</v>
      </c>
    </row>
    <row r="4185" spans="1:1" customFormat="1" hidden="1">
      <c r="A4185" s="13" t="s">
        <v>5764</v>
      </c>
    </row>
    <row r="4186" spans="1:1" customFormat="1" hidden="1">
      <c r="A4186" s="13" t="s">
        <v>5765</v>
      </c>
    </row>
    <row r="4187" spans="1:1" customFormat="1" hidden="1">
      <c r="A4187" s="13" t="s">
        <v>5766</v>
      </c>
    </row>
    <row r="4188" spans="1:1" customFormat="1" hidden="1">
      <c r="A4188" s="13" t="s">
        <v>5767</v>
      </c>
    </row>
    <row r="4189" spans="1:1" customFormat="1" hidden="1">
      <c r="A4189" s="13" t="s">
        <v>5768</v>
      </c>
    </row>
    <row r="4190" spans="1:1" customFormat="1" hidden="1">
      <c r="A4190" s="13" t="s">
        <v>5769</v>
      </c>
    </row>
    <row r="4191" spans="1:1" customFormat="1" hidden="1">
      <c r="A4191" s="13" t="s">
        <v>5770</v>
      </c>
    </row>
    <row r="4192" spans="1:1" customFormat="1" hidden="1">
      <c r="A4192" s="13" t="s">
        <v>5771</v>
      </c>
    </row>
    <row r="4193" spans="1:1" customFormat="1" hidden="1">
      <c r="A4193" s="13" t="s">
        <v>5772</v>
      </c>
    </row>
    <row r="4194" spans="1:1" customFormat="1" hidden="1">
      <c r="A4194" s="13" t="s">
        <v>5773</v>
      </c>
    </row>
    <row r="4195" spans="1:1" customFormat="1" hidden="1">
      <c r="A4195" s="13" t="s">
        <v>5774</v>
      </c>
    </row>
    <row r="4196" spans="1:1" customFormat="1" hidden="1">
      <c r="A4196" s="13" t="s">
        <v>5775</v>
      </c>
    </row>
    <row r="4197" spans="1:1" customFormat="1" hidden="1">
      <c r="A4197" s="13" t="s">
        <v>5776</v>
      </c>
    </row>
    <row r="4198" spans="1:1" customFormat="1" hidden="1">
      <c r="A4198" s="13" t="s">
        <v>5777</v>
      </c>
    </row>
    <row r="4199" spans="1:1" customFormat="1" hidden="1">
      <c r="A4199" s="13" t="s">
        <v>5778</v>
      </c>
    </row>
    <row r="4200" spans="1:1" customFormat="1" hidden="1">
      <c r="A4200" s="13" t="s">
        <v>5779</v>
      </c>
    </row>
    <row r="4201" spans="1:1" customFormat="1" hidden="1">
      <c r="A4201" s="13" t="s">
        <v>5780</v>
      </c>
    </row>
    <row r="4202" spans="1:1" customFormat="1" hidden="1">
      <c r="A4202" s="13" t="s">
        <v>5781</v>
      </c>
    </row>
    <row r="4203" spans="1:1" customFormat="1" hidden="1">
      <c r="A4203" s="13" t="s">
        <v>5782</v>
      </c>
    </row>
    <row r="4204" spans="1:1" customFormat="1" hidden="1">
      <c r="A4204" s="13" t="s">
        <v>5783</v>
      </c>
    </row>
    <row r="4205" spans="1:1" customFormat="1" hidden="1">
      <c r="A4205" s="13" t="s">
        <v>5784</v>
      </c>
    </row>
    <row r="4206" spans="1:1" customFormat="1" hidden="1">
      <c r="A4206" s="13" t="s">
        <v>5785</v>
      </c>
    </row>
    <row r="4207" spans="1:1" customFormat="1" hidden="1">
      <c r="A4207" s="13" t="s">
        <v>5786</v>
      </c>
    </row>
    <row r="4208" spans="1:1" customFormat="1" hidden="1">
      <c r="A4208" s="13" t="s">
        <v>5787</v>
      </c>
    </row>
    <row r="4209" spans="1:1" customFormat="1" hidden="1">
      <c r="A4209" s="13" t="s">
        <v>5788</v>
      </c>
    </row>
    <row r="4210" spans="1:1" customFormat="1" hidden="1">
      <c r="A4210" s="13" t="s">
        <v>5789</v>
      </c>
    </row>
    <row r="4211" spans="1:1" customFormat="1" hidden="1">
      <c r="A4211" s="13" t="s">
        <v>5790</v>
      </c>
    </row>
    <row r="4212" spans="1:1" customFormat="1" hidden="1">
      <c r="A4212" s="13" t="s">
        <v>5791</v>
      </c>
    </row>
    <row r="4213" spans="1:1" customFormat="1" hidden="1">
      <c r="A4213" s="13" t="s">
        <v>5792</v>
      </c>
    </row>
    <row r="4214" spans="1:1" customFormat="1" hidden="1">
      <c r="A4214" s="13" t="s">
        <v>5793</v>
      </c>
    </row>
    <row r="4215" spans="1:1" customFormat="1" hidden="1">
      <c r="A4215" s="13" t="s">
        <v>5794</v>
      </c>
    </row>
    <row r="4216" spans="1:1" customFormat="1" hidden="1">
      <c r="A4216" s="13" t="s">
        <v>5795</v>
      </c>
    </row>
    <row r="4217" spans="1:1" customFormat="1" hidden="1">
      <c r="A4217" s="13" t="s">
        <v>5796</v>
      </c>
    </row>
    <row r="4218" spans="1:1" customFormat="1" hidden="1">
      <c r="A4218" s="13" t="s">
        <v>5797</v>
      </c>
    </row>
    <row r="4219" spans="1:1" customFormat="1" hidden="1">
      <c r="A4219" s="13" t="s">
        <v>5798</v>
      </c>
    </row>
    <row r="4220" spans="1:1" customFormat="1" hidden="1">
      <c r="A4220" s="13" t="s">
        <v>5799</v>
      </c>
    </row>
    <row r="4221" spans="1:1" customFormat="1" hidden="1">
      <c r="A4221" s="13" t="s">
        <v>5800</v>
      </c>
    </row>
    <row r="4222" spans="1:1" customFormat="1" hidden="1">
      <c r="A4222" s="13" t="s">
        <v>5801</v>
      </c>
    </row>
    <row r="4223" spans="1:1" customFormat="1" hidden="1">
      <c r="A4223" s="13" t="s">
        <v>5802</v>
      </c>
    </row>
    <row r="4224" spans="1:1" customFormat="1" hidden="1">
      <c r="A4224" s="13" t="s">
        <v>5803</v>
      </c>
    </row>
    <row r="4225" spans="1:1" customFormat="1" hidden="1">
      <c r="A4225" s="13" t="s">
        <v>5804</v>
      </c>
    </row>
    <row r="4226" spans="1:1" customFormat="1" hidden="1">
      <c r="A4226" s="13" t="s">
        <v>5805</v>
      </c>
    </row>
    <row r="4227" spans="1:1" customFormat="1" hidden="1">
      <c r="A4227" s="13" t="s">
        <v>5806</v>
      </c>
    </row>
    <row r="4228" spans="1:1" customFormat="1" hidden="1">
      <c r="A4228" s="13" t="s">
        <v>5807</v>
      </c>
    </row>
    <row r="4229" spans="1:1" customFormat="1" hidden="1">
      <c r="A4229" s="13" t="s">
        <v>5808</v>
      </c>
    </row>
    <row r="4230" spans="1:1" customFormat="1" hidden="1">
      <c r="A4230" s="13" t="s">
        <v>5809</v>
      </c>
    </row>
    <row r="4231" spans="1:1" customFormat="1" hidden="1">
      <c r="A4231" s="13" t="s">
        <v>5810</v>
      </c>
    </row>
    <row r="4232" spans="1:1" customFormat="1" hidden="1">
      <c r="A4232" s="13" t="s">
        <v>5811</v>
      </c>
    </row>
    <row r="4233" spans="1:1" customFormat="1" hidden="1">
      <c r="A4233" s="13" t="s">
        <v>5812</v>
      </c>
    </row>
    <row r="4234" spans="1:1" customFormat="1" hidden="1">
      <c r="A4234" s="13" t="s">
        <v>5813</v>
      </c>
    </row>
    <row r="4235" spans="1:1" customFormat="1" hidden="1">
      <c r="A4235" s="13" t="s">
        <v>5814</v>
      </c>
    </row>
    <row r="4236" spans="1:1" customFormat="1" hidden="1">
      <c r="A4236" s="13" t="s">
        <v>5815</v>
      </c>
    </row>
    <row r="4237" spans="1:1" customFormat="1" hidden="1">
      <c r="A4237" s="13" t="s">
        <v>5816</v>
      </c>
    </row>
    <row r="4238" spans="1:1" customFormat="1" hidden="1">
      <c r="A4238" s="13" t="s">
        <v>5817</v>
      </c>
    </row>
    <row r="4239" spans="1:1" customFormat="1" hidden="1">
      <c r="A4239" s="13" t="s">
        <v>5818</v>
      </c>
    </row>
    <row r="4240" spans="1:1" customFormat="1" hidden="1">
      <c r="A4240" s="13" t="s">
        <v>5819</v>
      </c>
    </row>
    <row r="4241" spans="1:1" customFormat="1" hidden="1">
      <c r="A4241" s="13" t="s">
        <v>5820</v>
      </c>
    </row>
    <row r="4242" spans="1:1" customFormat="1" hidden="1">
      <c r="A4242" s="13" t="s">
        <v>5821</v>
      </c>
    </row>
    <row r="4243" spans="1:1" customFormat="1" hidden="1">
      <c r="A4243" s="13" t="s">
        <v>5822</v>
      </c>
    </row>
    <row r="4244" spans="1:1" customFormat="1" hidden="1">
      <c r="A4244" s="13" t="s">
        <v>5823</v>
      </c>
    </row>
    <row r="4245" spans="1:1" customFormat="1" hidden="1">
      <c r="A4245" s="13" t="s">
        <v>5824</v>
      </c>
    </row>
    <row r="4246" spans="1:1" customFormat="1" hidden="1">
      <c r="A4246" s="13" t="s">
        <v>5825</v>
      </c>
    </row>
    <row r="4247" spans="1:1" customFormat="1" hidden="1">
      <c r="A4247" s="13" t="s">
        <v>5826</v>
      </c>
    </row>
    <row r="4248" spans="1:1" customFormat="1" hidden="1">
      <c r="A4248" s="13" t="s">
        <v>5827</v>
      </c>
    </row>
    <row r="4249" spans="1:1" customFormat="1" hidden="1">
      <c r="A4249" s="13" t="s">
        <v>5828</v>
      </c>
    </row>
    <row r="4250" spans="1:1" customFormat="1" hidden="1">
      <c r="A4250" s="13" t="s">
        <v>5829</v>
      </c>
    </row>
    <row r="4251" spans="1:1" customFormat="1" hidden="1">
      <c r="A4251" s="13" t="s">
        <v>5830</v>
      </c>
    </row>
    <row r="4252" spans="1:1" customFormat="1" hidden="1">
      <c r="A4252" s="13" t="s">
        <v>5831</v>
      </c>
    </row>
    <row r="4253" spans="1:1" customFormat="1" hidden="1">
      <c r="A4253" s="13" t="s">
        <v>5832</v>
      </c>
    </row>
    <row r="4254" spans="1:1" customFormat="1" hidden="1">
      <c r="A4254" s="13" t="s">
        <v>5833</v>
      </c>
    </row>
    <row r="4255" spans="1:1" customFormat="1" hidden="1">
      <c r="A4255" s="13" t="s">
        <v>5834</v>
      </c>
    </row>
    <row r="4256" spans="1:1" customFormat="1" hidden="1">
      <c r="A4256" s="13" t="s">
        <v>5835</v>
      </c>
    </row>
    <row r="4257" spans="1:1" customFormat="1" hidden="1">
      <c r="A4257" s="13" t="s">
        <v>5836</v>
      </c>
    </row>
    <row r="4258" spans="1:1" customFormat="1" hidden="1">
      <c r="A4258" s="13" t="s">
        <v>5837</v>
      </c>
    </row>
    <row r="4259" spans="1:1" customFormat="1" hidden="1">
      <c r="A4259" s="13" t="s">
        <v>5838</v>
      </c>
    </row>
    <row r="4260" spans="1:1" customFormat="1" hidden="1">
      <c r="A4260" s="13" t="s">
        <v>5839</v>
      </c>
    </row>
    <row r="4261" spans="1:1" customFormat="1" hidden="1">
      <c r="A4261" s="13" t="s">
        <v>5840</v>
      </c>
    </row>
    <row r="4262" spans="1:1" customFormat="1" hidden="1">
      <c r="A4262" s="13" t="s">
        <v>5841</v>
      </c>
    </row>
    <row r="4263" spans="1:1" customFormat="1" hidden="1">
      <c r="A4263" s="13" t="s">
        <v>5842</v>
      </c>
    </row>
    <row r="4264" spans="1:1" customFormat="1" hidden="1">
      <c r="A4264" s="13" t="s">
        <v>5843</v>
      </c>
    </row>
    <row r="4265" spans="1:1" customFormat="1" hidden="1">
      <c r="A4265" s="13" t="s">
        <v>5844</v>
      </c>
    </row>
    <row r="4266" spans="1:1" customFormat="1" hidden="1">
      <c r="A4266" s="13" t="s">
        <v>5845</v>
      </c>
    </row>
    <row r="4267" spans="1:1" customFormat="1" hidden="1">
      <c r="A4267" s="13" t="s">
        <v>5846</v>
      </c>
    </row>
    <row r="4268" spans="1:1" customFormat="1" hidden="1">
      <c r="A4268" s="13" t="s">
        <v>5847</v>
      </c>
    </row>
    <row r="4269" spans="1:1" customFormat="1" hidden="1">
      <c r="A4269" s="13"/>
    </row>
    <row r="4270" spans="1:1" customFormat="1" hidden="1">
      <c r="A4270" s="13" t="s">
        <v>5848</v>
      </c>
    </row>
    <row r="4271" spans="1:1" customFormat="1" hidden="1">
      <c r="A4271" s="13" t="s">
        <v>5849</v>
      </c>
    </row>
    <row r="4272" spans="1:1" customFormat="1" hidden="1">
      <c r="A4272" s="13" t="s">
        <v>5850</v>
      </c>
    </row>
    <row r="4273" spans="1:7" customFormat="1">
      <c r="A4273" s="13" t="s">
        <v>7294</v>
      </c>
      <c r="B4273" s="13">
        <v>3</v>
      </c>
      <c r="C4273" s="13"/>
      <c r="D4273" s="13"/>
      <c r="E4273" s="13" t="s">
        <v>7295</v>
      </c>
      <c r="G4273" s="13" t="s">
        <v>46</v>
      </c>
    </row>
    <row r="4274" spans="1:7" customFormat="1">
      <c r="A4274" s="13" t="s">
        <v>5853</v>
      </c>
      <c r="B4274" s="13">
        <v>3</v>
      </c>
      <c r="C4274" s="13"/>
      <c r="D4274" s="13"/>
      <c r="E4274" s="13" t="s">
        <v>7296</v>
      </c>
      <c r="G4274" s="13" t="s">
        <v>46</v>
      </c>
    </row>
    <row r="4275" spans="1:7" customFormat="1">
      <c r="A4275" s="13" t="s">
        <v>5855</v>
      </c>
      <c r="B4275" s="13">
        <v>3</v>
      </c>
      <c r="C4275" s="13"/>
      <c r="D4275" s="13"/>
      <c r="E4275" s="13" t="s">
        <v>7297</v>
      </c>
      <c r="G4275" s="13" t="s">
        <v>46</v>
      </c>
    </row>
    <row r="4276" spans="1:7" customFormat="1" hidden="1">
      <c r="A4276" s="13" t="s">
        <v>5857</v>
      </c>
    </row>
    <row r="4277" spans="1:7" customFormat="1" hidden="1">
      <c r="A4277" s="13" t="s">
        <v>5858</v>
      </c>
    </row>
    <row r="4278" spans="1:7" customFormat="1" hidden="1">
      <c r="A4278" s="13" t="s">
        <v>5859</v>
      </c>
    </row>
    <row r="4279" spans="1:7" customFormat="1" hidden="1">
      <c r="A4279" s="13" t="s">
        <v>5860</v>
      </c>
    </row>
    <row r="4280" spans="1:7" customFormat="1" hidden="1">
      <c r="A4280" s="13" t="s">
        <v>5861</v>
      </c>
    </row>
    <row r="4281" spans="1:7" customFormat="1" hidden="1">
      <c r="A4281" s="13" t="s">
        <v>5862</v>
      </c>
    </row>
    <row r="4282" spans="1:7" customFormat="1" hidden="1">
      <c r="A4282" s="13" t="s">
        <v>5863</v>
      </c>
    </row>
    <row r="4283" spans="1:7" customFormat="1" hidden="1">
      <c r="A4283" s="13" t="s">
        <v>5864</v>
      </c>
    </row>
    <row r="4284" spans="1:7" customFormat="1" hidden="1">
      <c r="A4284" s="13" t="s">
        <v>5865</v>
      </c>
    </row>
    <row r="4285" spans="1:7" customFormat="1" hidden="1">
      <c r="A4285" s="13" t="s">
        <v>5866</v>
      </c>
    </row>
    <row r="4286" spans="1:7" customFormat="1" hidden="1">
      <c r="A4286" s="13" t="s">
        <v>5867</v>
      </c>
    </row>
    <row r="4287" spans="1:7" customFormat="1" hidden="1">
      <c r="A4287" s="13" t="s">
        <v>5868</v>
      </c>
    </row>
    <row r="4288" spans="1:7" customFormat="1" hidden="1">
      <c r="A4288" s="13" t="s">
        <v>5869</v>
      </c>
    </row>
    <row r="4289" spans="1:1" customFormat="1" hidden="1">
      <c r="A4289" s="13" t="s">
        <v>5870</v>
      </c>
    </row>
    <row r="4290" spans="1:1" customFormat="1" hidden="1">
      <c r="A4290" s="13" t="s">
        <v>5871</v>
      </c>
    </row>
    <row r="4291" spans="1:1" customFormat="1" hidden="1">
      <c r="A4291" s="13" t="s">
        <v>5872</v>
      </c>
    </row>
    <row r="4292" spans="1:1" customFormat="1" hidden="1">
      <c r="A4292" s="13" t="s">
        <v>5873</v>
      </c>
    </row>
    <row r="4293" spans="1:1" customFormat="1" hidden="1">
      <c r="A4293" s="13" t="s">
        <v>5874</v>
      </c>
    </row>
    <row r="4294" spans="1:1" customFormat="1" hidden="1">
      <c r="A4294" s="13" t="s">
        <v>5875</v>
      </c>
    </row>
    <row r="4295" spans="1:1" customFormat="1" hidden="1">
      <c r="A4295" s="13" t="s">
        <v>5876</v>
      </c>
    </row>
    <row r="4296" spans="1:1" customFormat="1" hidden="1">
      <c r="A4296" s="13" t="s">
        <v>5877</v>
      </c>
    </row>
    <row r="4297" spans="1:1" customFormat="1" hidden="1">
      <c r="A4297" s="13" t="s">
        <v>5878</v>
      </c>
    </row>
    <row r="4298" spans="1:1" customFormat="1" hidden="1">
      <c r="A4298" s="13" t="s">
        <v>5879</v>
      </c>
    </row>
    <row r="4299" spans="1:1" customFormat="1" hidden="1">
      <c r="A4299" s="13" t="s">
        <v>5880</v>
      </c>
    </row>
    <row r="4300" spans="1:1" customFormat="1" hidden="1">
      <c r="A4300" s="13" t="s">
        <v>5881</v>
      </c>
    </row>
    <row r="4301" spans="1:1" customFormat="1" hidden="1">
      <c r="A4301" s="13" t="s">
        <v>5882</v>
      </c>
    </row>
    <row r="4302" spans="1:1" customFormat="1" hidden="1">
      <c r="A4302" s="13" t="s">
        <v>5883</v>
      </c>
    </row>
    <row r="4303" spans="1:1" customFormat="1" hidden="1">
      <c r="A4303" s="13" t="s">
        <v>5884</v>
      </c>
    </row>
    <row r="4304" spans="1:1" customFormat="1" hidden="1">
      <c r="A4304" s="13" t="s">
        <v>5885</v>
      </c>
    </row>
    <row r="4305" spans="1:1" customFormat="1" hidden="1">
      <c r="A4305" s="13" t="s">
        <v>5886</v>
      </c>
    </row>
    <row r="4306" spans="1:1" customFormat="1" hidden="1">
      <c r="A4306" s="13" t="s">
        <v>5887</v>
      </c>
    </row>
    <row r="4307" spans="1:1" customFormat="1" hidden="1">
      <c r="A4307" s="13" t="s">
        <v>5888</v>
      </c>
    </row>
    <row r="4308" spans="1:1" customFormat="1" hidden="1">
      <c r="A4308" s="13" t="s">
        <v>5889</v>
      </c>
    </row>
    <row r="4309" spans="1:1" customFormat="1" hidden="1">
      <c r="A4309" s="13" t="s">
        <v>5890</v>
      </c>
    </row>
    <row r="4310" spans="1:1" customFormat="1" hidden="1">
      <c r="A4310" s="13" t="s">
        <v>5891</v>
      </c>
    </row>
    <row r="4311" spans="1:1" customFormat="1" hidden="1">
      <c r="A4311" s="13" t="s">
        <v>5892</v>
      </c>
    </row>
    <row r="4312" spans="1:1" customFormat="1" hidden="1">
      <c r="A4312" s="13" t="s">
        <v>5893</v>
      </c>
    </row>
    <row r="4313" spans="1:1" customFormat="1" hidden="1">
      <c r="A4313" s="13" t="s">
        <v>5894</v>
      </c>
    </row>
    <row r="4314" spans="1:1" customFormat="1" hidden="1">
      <c r="A4314" s="13" t="s">
        <v>5895</v>
      </c>
    </row>
    <row r="4315" spans="1:1" customFormat="1" hidden="1">
      <c r="A4315" s="13" t="s">
        <v>5896</v>
      </c>
    </row>
    <row r="4316" spans="1:1" customFormat="1" hidden="1">
      <c r="A4316" s="13" t="s">
        <v>5897</v>
      </c>
    </row>
    <row r="4317" spans="1:1" customFormat="1" hidden="1">
      <c r="A4317" s="13" t="s">
        <v>5898</v>
      </c>
    </row>
    <row r="4318" spans="1:1" customFormat="1" hidden="1">
      <c r="A4318" s="13" t="s">
        <v>5899</v>
      </c>
    </row>
    <row r="4319" spans="1:1" customFormat="1" hidden="1">
      <c r="A4319" s="13" t="s">
        <v>5900</v>
      </c>
    </row>
    <row r="4320" spans="1:1" customFormat="1" hidden="1">
      <c r="A4320" s="13" t="s">
        <v>5901</v>
      </c>
    </row>
    <row r="4321" spans="1:1" customFormat="1" hidden="1">
      <c r="A4321" s="13" t="s">
        <v>5902</v>
      </c>
    </row>
    <row r="4322" spans="1:1" customFormat="1" hidden="1">
      <c r="A4322" s="13" t="s">
        <v>5903</v>
      </c>
    </row>
    <row r="4323" spans="1:1" customFormat="1" hidden="1">
      <c r="A4323" s="13" t="s">
        <v>5904</v>
      </c>
    </row>
    <row r="4324" spans="1:1" customFormat="1" hidden="1">
      <c r="A4324" s="13" t="s">
        <v>5905</v>
      </c>
    </row>
    <row r="4325" spans="1:1" customFormat="1" hidden="1">
      <c r="A4325" s="13" t="s">
        <v>5906</v>
      </c>
    </row>
    <row r="4326" spans="1:1" customFormat="1" hidden="1">
      <c r="A4326" s="13" t="s">
        <v>5907</v>
      </c>
    </row>
    <row r="4327" spans="1:1" customFormat="1" hidden="1">
      <c r="A4327" s="13" t="s">
        <v>5908</v>
      </c>
    </row>
    <row r="4328" spans="1:1" customFormat="1" hidden="1">
      <c r="A4328" s="13" t="s">
        <v>5909</v>
      </c>
    </row>
    <row r="4329" spans="1:1" customFormat="1" hidden="1">
      <c r="A4329" s="13" t="s">
        <v>5910</v>
      </c>
    </row>
    <row r="4330" spans="1:1" customFormat="1" hidden="1">
      <c r="A4330" s="13" t="s">
        <v>5911</v>
      </c>
    </row>
    <row r="4331" spans="1:1" customFormat="1" hidden="1">
      <c r="A4331" s="13" t="s">
        <v>5912</v>
      </c>
    </row>
    <row r="4332" spans="1:1" customFormat="1" hidden="1">
      <c r="A4332" s="13" t="s">
        <v>5913</v>
      </c>
    </row>
    <row r="4333" spans="1:1" customFormat="1" hidden="1">
      <c r="A4333" s="13" t="s">
        <v>5914</v>
      </c>
    </row>
    <row r="4334" spans="1:1" customFormat="1" hidden="1">
      <c r="A4334" s="13" t="s">
        <v>5915</v>
      </c>
    </row>
    <row r="4335" spans="1:1" customFormat="1" hidden="1">
      <c r="A4335" s="13" t="s">
        <v>5916</v>
      </c>
    </row>
    <row r="4336" spans="1:1" customFormat="1" hidden="1">
      <c r="A4336" s="13" t="s">
        <v>5917</v>
      </c>
    </row>
    <row r="4337" spans="1:1" customFormat="1" hidden="1">
      <c r="A4337" s="13" t="s">
        <v>5918</v>
      </c>
    </row>
    <row r="4338" spans="1:1" customFormat="1" hidden="1">
      <c r="A4338" s="13" t="s">
        <v>5919</v>
      </c>
    </row>
    <row r="4339" spans="1:1" customFormat="1" hidden="1">
      <c r="A4339" s="13" t="s">
        <v>5920</v>
      </c>
    </row>
    <row r="4340" spans="1:1" customFormat="1" hidden="1">
      <c r="A4340" s="13" t="s">
        <v>5921</v>
      </c>
    </row>
    <row r="4341" spans="1:1" customFormat="1" hidden="1">
      <c r="A4341" s="13" t="s">
        <v>5922</v>
      </c>
    </row>
    <row r="4342" spans="1:1" customFormat="1" hidden="1">
      <c r="A4342" s="13" t="s">
        <v>5923</v>
      </c>
    </row>
    <row r="4343" spans="1:1" customFormat="1" hidden="1">
      <c r="A4343" s="13" t="s">
        <v>5924</v>
      </c>
    </row>
    <row r="4344" spans="1:1" customFormat="1" hidden="1">
      <c r="A4344" s="13" t="s">
        <v>5925</v>
      </c>
    </row>
    <row r="4345" spans="1:1" customFormat="1" hidden="1">
      <c r="A4345" s="13" t="s">
        <v>5926</v>
      </c>
    </row>
    <row r="4346" spans="1:1" customFormat="1" hidden="1">
      <c r="A4346" s="13" t="s">
        <v>5927</v>
      </c>
    </row>
    <row r="4347" spans="1:1" customFormat="1" hidden="1">
      <c r="A4347" s="13" t="s">
        <v>5928</v>
      </c>
    </row>
    <row r="4348" spans="1:1" customFormat="1" hidden="1">
      <c r="A4348" s="13" t="s">
        <v>5929</v>
      </c>
    </row>
    <row r="4349" spans="1:1" customFormat="1" hidden="1">
      <c r="A4349" s="13" t="s">
        <v>5930</v>
      </c>
    </row>
    <row r="4350" spans="1:1" customFormat="1" hidden="1">
      <c r="A4350" s="13" t="s">
        <v>5931</v>
      </c>
    </row>
    <row r="4351" spans="1:1" customFormat="1" hidden="1">
      <c r="A4351" s="13" t="s">
        <v>5932</v>
      </c>
    </row>
    <row r="4352" spans="1:1" customFormat="1" hidden="1">
      <c r="A4352" s="13" t="s">
        <v>5933</v>
      </c>
    </row>
    <row r="4353" spans="1:1" customFormat="1" hidden="1">
      <c r="A4353" s="13" t="s">
        <v>5934</v>
      </c>
    </row>
    <row r="4354" spans="1:1" customFormat="1" hidden="1">
      <c r="A4354" s="13" t="s">
        <v>5935</v>
      </c>
    </row>
    <row r="4355" spans="1:1" customFormat="1" hidden="1">
      <c r="A4355" s="13" t="s">
        <v>5936</v>
      </c>
    </row>
    <row r="4356" spans="1:1" customFormat="1" hidden="1">
      <c r="A4356" s="13" t="s">
        <v>5937</v>
      </c>
    </row>
    <row r="4357" spans="1:1" customFormat="1" hidden="1">
      <c r="A4357" s="13" t="s">
        <v>5938</v>
      </c>
    </row>
    <row r="4358" spans="1:1" customFormat="1" hidden="1">
      <c r="A4358" s="13" t="s">
        <v>5939</v>
      </c>
    </row>
    <row r="4359" spans="1:1" customFormat="1" hidden="1">
      <c r="A4359" s="13" t="s">
        <v>5940</v>
      </c>
    </row>
    <row r="4360" spans="1:1" customFormat="1" hidden="1">
      <c r="A4360" s="13" t="s">
        <v>5941</v>
      </c>
    </row>
    <row r="4361" spans="1:1" customFormat="1" hidden="1">
      <c r="A4361" s="13" t="s">
        <v>5942</v>
      </c>
    </row>
    <row r="4362" spans="1:1" customFormat="1" hidden="1">
      <c r="A4362" s="13" t="s">
        <v>5943</v>
      </c>
    </row>
    <row r="4363" spans="1:1" customFormat="1" hidden="1">
      <c r="A4363" s="13" t="s">
        <v>5944</v>
      </c>
    </row>
    <row r="4364" spans="1:1" customFormat="1" hidden="1">
      <c r="A4364" s="13" t="s">
        <v>5945</v>
      </c>
    </row>
    <row r="4365" spans="1:1" customFormat="1" hidden="1">
      <c r="A4365" s="13" t="s">
        <v>5946</v>
      </c>
    </row>
    <row r="4366" spans="1:1" customFormat="1" hidden="1">
      <c r="A4366" s="13" t="s">
        <v>5947</v>
      </c>
    </row>
    <row r="4367" spans="1:1" customFormat="1" hidden="1">
      <c r="A4367" s="13" t="s">
        <v>5948</v>
      </c>
    </row>
    <row r="4368" spans="1:1" customFormat="1" hidden="1">
      <c r="A4368" s="13" t="s">
        <v>5949</v>
      </c>
    </row>
    <row r="4369" spans="1:1" customFormat="1" hidden="1">
      <c r="A4369" s="13" t="s">
        <v>5950</v>
      </c>
    </row>
    <row r="4370" spans="1:1" customFormat="1" hidden="1">
      <c r="A4370" s="13" t="s">
        <v>5951</v>
      </c>
    </row>
    <row r="4371" spans="1:1" customFormat="1" hidden="1">
      <c r="A4371" s="13" t="s">
        <v>5952</v>
      </c>
    </row>
    <row r="4372" spans="1:1" customFormat="1" hidden="1">
      <c r="A4372" s="13" t="s">
        <v>5953</v>
      </c>
    </row>
    <row r="4373" spans="1:1" customFormat="1" hidden="1">
      <c r="A4373" s="13" t="s">
        <v>5954</v>
      </c>
    </row>
    <row r="4374" spans="1:1" customFormat="1" hidden="1">
      <c r="A4374" s="13" t="s">
        <v>5955</v>
      </c>
    </row>
    <row r="4375" spans="1:1" customFormat="1" hidden="1">
      <c r="A4375" s="13" t="s">
        <v>5956</v>
      </c>
    </row>
    <row r="4376" spans="1:1" customFormat="1" hidden="1">
      <c r="A4376" s="13" t="s">
        <v>5957</v>
      </c>
    </row>
    <row r="4377" spans="1:1" customFormat="1" hidden="1">
      <c r="A4377" s="13" t="s">
        <v>5958</v>
      </c>
    </row>
    <row r="4378" spans="1:1" customFormat="1" hidden="1">
      <c r="A4378" s="13" t="s">
        <v>5959</v>
      </c>
    </row>
    <row r="4379" spans="1:1" customFormat="1" hidden="1">
      <c r="A4379" s="13" t="s">
        <v>5960</v>
      </c>
    </row>
    <row r="4380" spans="1:1" customFormat="1" hidden="1">
      <c r="A4380" s="13" t="s">
        <v>5961</v>
      </c>
    </row>
    <row r="4381" spans="1:1" customFormat="1" hidden="1">
      <c r="A4381" s="13" t="s">
        <v>5962</v>
      </c>
    </row>
    <row r="4382" spans="1:1" customFormat="1" hidden="1">
      <c r="A4382" s="13" t="s">
        <v>5963</v>
      </c>
    </row>
    <row r="4383" spans="1:1" customFormat="1" hidden="1">
      <c r="A4383" s="13" t="s">
        <v>5964</v>
      </c>
    </row>
    <row r="4384" spans="1:1" customFormat="1" hidden="1">
      <c r="A4384" s="13" t="s">
        <v>5965</v>
      </c>
    </row>
    <row r="4385" spans="1:1" customFormat="1" hidden="1">
      <c r="A4385" s="13" t="s">
        <v>5966</v>
      </c>
    </row>
    <row r="4386" spans="1:1" customFormat="1" hidden="1">
      <c r="A4386" s="13" t="s">
        <v>5967</v>
      </c>
    </row>
    <row r="4387" spans="1:1" customFormat="1" hidden="1">
      <c r="A4387" s="13" t="s">
        <v>5968</v>
      </c>
    </row>
    <row r="4388" spans="1:1" customFormat="1" hidden="1">
      <c r="A4388" s="13" t="s">
        <v>5969</v>
      </c>
    </row>
    <row r="4389" spans="1:1" customFormat="1" hidden="1">
      <c r="A4389" s="13" t="s">
        <v>5970</v>
      </c>
    </row>
    <row r="4390" spans="1:1" customFormat="1" hidden="1">
      <c r="A4390" s="13" t="s">
        <v>5971</v>
      </c>
    </row>
    <row r="4391" spans="1:1" customFormat="1" hidden="1">
      <c r="A4391" s="13" t="s">
        <v>5972</v>
      </c>
    </row>
    <row r="4392" spans="1:1" customFormat="1" hidden="1">
      <c r="A4392" s="13" t="s">
        <v>5973</v>
      </c>
    </row>
    <row r="4393" spans="1:1" customFormat="1" hidden="1">
      <c r="A4393" s="13" t="s">
        <v>5974</v>
      </c>
    </row>
    <row r="4394" spans="1:1" customFormat="1" hidden="1">
      <c r="A4394" s="13" t="s">
        <v>5975</v>
      </c>
    </row>
    <row r="4395" spans="1:1" customFormat="1" hidden="1">
      <c r="A4395" s="13" t="s">
        <v>5976</v>
      </c>
    </row>
    <row r="4396" spans="1:1" customFormat="1" hidden="1">
      <c r="A4396" s="13" t="s">
        <v>5977</v>
      </c>
    </row>
    <row r="4397" spans="1:1" customFormat="1" hidden="1">
      <c r="A4397" s="13" t="s">
        <v>5978</v>
      </c>
    </row>
    <row r="4398" spans="1:1" customFormat="1" hidden="1">
      <c r="A4398" s="13" t="s">
        <v>5979</v>
      </c>
    </row>
    <row r="4399" spans="1:1" customFormat="1" hidden="1">
      <c r="A4399" s="13" t="s">
        <v>5980</v>
      </c>
    </row>
    <row r="4400" spans="1:1" customFormat="1" hidden="1">
      <c r="A4400" s="13" t="s">
        <v>5981</v>
      </c>
    </row>
    <row r="4401" spans="1:1" customFormat="1" hidden="1">
      <c r="A4401" s="13" t="s">
        <v>5982</v>
      </c>
    </row>
    <row r="4402" spans="1:1" customFormat="1" hidden="1">
      <c r="A4402" s="13" t="s">
        <v>5983</v>
      </c>
    </row>
    <row r="4403" spans="1:1" customFormat="1" hidden="1">
      <c r="A4403" s="13" t="s">
        <v>5984</v>
      </c>
    </row>
    <row r="4404" spans="1:1" customFormat="1" hidden="1">
      <c r="A4404" s="13" t="s">
        <v>5985</v>
      </c>
    </row>
    <row r="4405" spans="1:1" customFormat="1" hidden="1">
      <c r="A4405" s="13" t="s">
        <v>5986</v>
      </c>
    </row>
    <row r="4406" spans="1:1" customFormat="1" hidden="1">
      <c r="A4406" s="13" t="s">
        <v>5987</v>
      </c>
    </row>
    <row r="4407" spans="1:1" customFormat="1" hidden="1">
      <c r="A4407" s="13" t="s">
        <v>5988</v>
      </c>
    </row>
    <row r="4408" spans="1:1" customFormat="1" hidden="1">
      <c r="A4408" s="13" t="s">
        <v>5989</v>
      </c>
    </row>
    <row r="4409" spans="1:1" customFormat="1" hidden="1">
      <c r="A4409" s="13" t="s">
        <v>5990</v>
      </c>
    </row>
    <row r="4410" spans="1:1" customFormat="1" hidden="1">
      <c r="A4410" s="13" t="s">
        <v>5991</v>
      </c>
    </row>
    <row r="4411" spans="1:1" customFormat="1" hidden="1">
      <c r="A4411" s="13" t="s">
        <v>5992</v>
      </c>
    </row>
    <row r="4412" spans="1:1" customFormat="1" hidden="1">
      <c r="A4412" s="13" t="s">
        <v>5993</v>
      </c>
    </row>
    <row r="4413" spans="1:1" customFormat="1" hidden="1">
      <c r="A4413" s="13" t="s">
        <v>5994</v>
      </c>
    </row>
    <row r="4414" spans="1:1" customFormat="1" hidden="1">
      <c r="A4414" s="13" t="s">
        <v>5995</v>
      </c>
    </row>
    <row r="4415" spans="1:1" customFormat="1" hidden="1">
      <c r="A4415" s="13" t="s">
        <v>5996</v>
      </c>
    </row>
    <row r="4416" spans="1:1" customFormat="1" hidden="1">
      <c r="A4416" s="13" t="s">
        <v>5997</v>
      </c>
    </row>
    <row r="4417" spans="1:1" customFormat="1" hidden="1">
      <c r="A4417" s="13" t="s">
        <v>5998</v>
      </c>
    </row>
    <row r="4418" spans="1:1" customFormat="1" hidden="1">
      <c r="A4418" s="13" t="s">
        <v>5999</v>
      </c>
    </row>
    <row r="4419" spans="1:1" customFormat="1" hidden="1">
      <c r="A4419" s="13" t="s">
        <v>6000</v>
      </c>
    </row>
    <row r="4420" spans="1:1" customFormat="1" hidden="1">
      <c r="A4420" s="13" t="s">
        <v>6001</v>
      </c>
    </row>
    <row r="4421" spans="1:1" customFormat="1" hidden="1">
      <c r="A4421" s="13" t="s">
        <v>6002</v>
      </c>
    </row>
    <row r="4422" spans="1:1" customFormat="1" hidden="1">
      <c r="A4422" s="13" t="s">
        <v>6003</v>
      </c>
    </row>
    <row r="4423" spans="1:1" customFormat="1" hidden="1">
      <c r="A4423" s="13" t="s">
        <v>6004</v>
      </c>
    </row>
    <row r="4424" spans="1:1" customFormat="1" hidden="1">
      <c r="A4424" s="13" t="s">
        <v>6005</v>
      </c>
    </row>
    <row r="4425" spans="1:1" customFormat="1" hidden="1">
      <c r="A4425" s="13" t="s">
        <v>6006</v>
      </c>
    </row>
    <row r="4426" spans="1:1" customFormat="1" hidden="1">
      <c r="A4426" s="13" t="s">
        <v>6007</v>
      </c>
    </row>
    <row r="4427" spans="1:1" customFormat="1" hidden="1">
      <c r="A4427" s="13" t="s">
        <v>6008</v>
      </c>
    </row>
    <row r="4428" spans="1:1" customFormat="1" hidden="1">
      <c r="A4428" s="13" t="s">
        <v>6009</v>
      </c>
    </row>
    <row r="4429" spans="1:1" customFormat="1" hidden="1">
      <c r="A4429" s="13" t="s">
        <v>6010</v>
      </c>
    </row>
    <row r="4430" spans="1:1" customFormat="1" hidden="1">
      <c r="A4430" s="13" t="s">
        <v>6011</v>
      </c>
    </row>
    <row r="4431" spans="1:1" customFormat="1" hidden="1">
      <c r="A4431" s="13" t="s">
        <v>6012</v>
      </c>
    </row>
    <row r="4432" spans="1:1" customFormat="1" hidden="1">
      <c r="A4432" s="13" t="s">
        <v>6013</v>
      </c>
    </row>
    <row r="4433" spans="1:1" customFormat="1" hidden="1">
      <c r="A4433" s="13" t="s">
        <v>6014</v>
      </c>
    </row>
    <row r="4434" spans="1:1" customFormat="1" hidden="1">
      <c r="A4434" s="13" t="s">
        <v>6015</v>
      </c>
    </row>
    <row r="4435" spans="1:1" customFormat="1" hidden="1">
      <c r="A4435" s="13" t="s">
        <v>6016</v>
      </c>
    </row>
    <row r="4436" spans="1:1" customFormat="1" hidden="1">
      <c r="A4436" s="13" t="s">
        <v>6017</v>
      </c>
    </row>
    <row r="4437" spans="1:1" customFormat="1" hidden="1">
      <c r="A4437" s="13" t="s">
        <v>6018</v>
      </c>
    </row>
    <row r="4438" spans="1:1" customFormat="1" hidden="1">
      <c r="A4438" s="13" t="s">
        <v>6019</v>
      </c>
    </row>
    <row r="4439" spans="1:1" customFormat="1" hidden="1">
      <c r="A4439" s="13" t="s">
        <v>6020</v>
      </c>
    </row>
    <row r="4440" spans="1:1" customFormat="1" hidden="1">
      <c r="A4440" s="13" t="s">
        <v>6021</v>
      </c>
    </row>
    <row r="4441" spans="1:1" customFormat="1" hidden="1">
      <c r="A4441" s="13" t="s">
        <v>6022</v>
      </c>
    </row>
    <row r="4442" spans="1:1" customFormat="1" hidden="1">
      <c r="A4442" s="13" t="s">
        <v>6023</v>
      </c>
    </row>
    <row r="4443" spans="1:1" customFormat="1" hidden="1">
      <c r="A4443" s="13" t="s">
        <v>6024</v>
      </c>
    </row>
    <row r="4444" spans="1:1" customFormat="1" hidden="1">
      <c r="A4444" s="13" t="s">
        <v>6025</v>
      </c>
    </row>
    <row r="4445" spans="1:1" customFormat="1" hidden="1">
      <c r="A4445" s="13" t="s">
        <v>6026</v>
      </c>
    </row>
    <row r="4446" spans="1:1" customFormat="1" hidden="1">
      <c r="A4446" s="13" t="s">
        <v>6027</v>
      </c>
    </row>
    <row r="4447" spans="1:1" customFormat="1" hidden="1">
      <c r="A4447" s="13" t="s">
        <v>6028</v>
      </c>
    </row>
    <row r="4448" spans="1:1" customFormat="1" hidden="1">
      <c r="A4448" s="13" t="s">
        <v>6029</v>
      </c>
    </row>
    <row r="4449" spans="1:1" customFormat="1" hidden="1">
      <c r="A4449" s="13" t="s">
        <v>6030</v>
      </c>
    </row>
    <row r="4450" spans="1:1" customFormat="1" hidden="1">
      <c r="A4450" s="13" t="s">
        <v>6031</v>
      </c>
    </row>
    <row r="4451" spans="1:1" customFormat="1" hidden="1">
      <c r="A4451" s="13" t="s">
        <v>6032</v>
      </c>
    </row>
    <row r="4452" spans="1:1" customFormat="1" hidden="1">
      <c r="A4452" s="13" t="s">
        <v>6033</v>
      </c>
    </row>
    <row r="4453" spans="1:1" customFormat="1" hidden="1">
      <c r="A4453" s="13" t="s">
        <v>6034</v>
      </c>
    </row>
    <row r="4454" spans="1:1" customFormat="1" hidden="1">
      <c r="A4454" s="13" t="s">
        <v>6035</v>
      </c>
    </row>
    <row r="4455" spans="1:1" customFormat="1" hidden="1">
      <c r="A4455" s="13" t="s">
        <v>6036</v>
      </c>
    </row>
    <row r="4456" spans="1:1" customFormat="1" hidden="1">
      <c r="A4456" s="13" t="s">
        <v>6037</v>
      </c>
    </row>
    <row r="4457" spans="1:1" customFormat="1" hidden="1">
      <c r="A4457" s="13" t="s">
        <v>6038</v>
      </c>
    </row>
    <row r="4458" spans="1:1" customFormat="1" hidden="1">
      <c r="A4458" s="13" t="s">
        <v>6039</v>
      </c>
    </row>
    <row r="4459" spans="1:1" customFormat="1" hidden="1">
      <c r="A4459" s="13" t="s">
        <v>6040</v>
      </c>
    </row>
    <row r="4460" spans="1:1" customFormat="1" hidden="1">
      <c r="A4460" s="13" t="s">
        <v>6041</v>
      </c>
    </row>
    <row r="4461" spans="1:1" customFormat="1" hidden="1">
      <c r="A4461" s="13" t="s">
        <v>6042</v>
      </c>
    </row>
    <row r="4462" spans="1:1" customFormat="1" hidden="1">
      <c r="A4462" s="13" t="s">
        <v>6043</v>
      </c>
    </row>
    <row r="4463" spans="1:1" customFormat="1" hidden="1">
      <c r="A4463" s="13"/>
    </row>
    <row r="4464" spans="1:1" customFormat="1" hidden="1">
      <c r="A4464" s="13" t="s">
        <v>6044</v>
      </c>
    </row>
    <row r="4465" spans="1:1" customFormat="1" hidden="1">
      <c r="A4465" s="13" t="s">
        <v>6045</v>
      </c>
    </row>
    <row r="4466" spans="1:1" customFormat="1" hidden="1">
      <c r="A4466" s="13" t="s">
        <v>6046</v>
      </c>
    </row>
    <row r="4467" spans="1:1" customFormat="1" hidden="1">
      <c r="A4467" s="13" t="s">
        <v>6047</v>
      </c>
    </row>
    <row r="4468" spans="1:1" customFormat="1" hidden="1">
      <c r="A4468" s="13" t="s">
        <v>6048</v>
      </c>
    </row>
    <row r="4469" spans="1:1" customFormat="1" hidden="1">
      <c r="A4469" s="13" t="s">
        <v>6049</v>
      </c>
    </row>
    <row r="4470" spans="1:1" customFormat="1" hidden="1">
      <c r="A4470" s="13" t="s">
        <v>6050</v>
      </c>
    </row>
    <row r="4471" spans="1:1" customFormat="1" hidden="1">
      <c r="A4471" s="13" t="s">
        <v>6051</v>
      </c>
    </row>
    <row r="4472" spans="1:1" customFormat="1" hidden="1">
      <c r="A4472" s="13" t="s">
        <v>6052</v>
      </c>
    </row>
    <row r="4473" spans="1:1" customFormat="1" hidden="1">
      <c r="A4473" s="13" t="s">
        <v>6053</v>
      </c>
    </row>
    <row r="4474" spans="1:1" customFormat="1" hidden="1">
      <c r="A4474" s="13" t="s">
        <v>6054</v>
      </c>
    </row>
    <row r="4475" spans="1:1" customFormat="1" hidden="1">
      <c r="A4475" s="13" t="s">
        <v>6055</v>
      </c>
    </row>
    <row r="4476" spans="1:1" customFormat="1" hidden="1">
      <c r="A4476" s="13" t="s">
        <v>6056</v>
      </c>
    </row>
    <row r="4477" spans="1:1" customFormat="1" hidden="1">
      <c r="A4477" s="13" t="s">
        <v>6057</v>
      </c>
    </row>
    <row r="4478" spans="1:1" customFormat="1" hidden="1">
      <c r="A4478" s="13" t="s">
        <v>6058</v>
      </c>
    </row>
    <row r="4479" spans="1:1" customFormat="1" hidden="1">
      <c r="A4479" s="13" t="s">
        <v>6059</v>
      </c>
    </row>
    <row r="4480" spans="1:1" customFormat="1" hidden="1">
      <c r="A4480" s="13" t="s">
        <v>6060</v>
      </c>
    </row>
    <row r="4481" spans="1:1" customFormat="1" hidden="1">
      <c r="A4481" s="13" t="s">
        <v>6061</v>
      </c>
    </row>
    <row r="4482" spans="1:1" customFormat="1" hidden="1">
      <c r="A4482" s="13" t="s">
        <v>6062</v>
      </c>
    </row>
    <row r="4483" spans="1:1" customFormat="1" hidden="1">
      <c r="A4483" s="13" t="s">
        <v>6063</v>
      </c>
    </row>
    <row r="4484" spans="1:1" customFormat="1" hidden="1">
      <c r="A4484" s="13" t="s">
        <v>6064</v>
      </c>
    </row>
    <row r="4485" spans="1:1" customFormat="1" hidden="1">
      <c r="A4485" s="13" t="s">
        <v>6065</v>
      </c>
    </row>
    <row r="4486" spans="1:1" customFormat="1" hidden="1">
      <c r="A4486" s="13" t="s">
        <v>6066</v>
      </c>
    </row>
    <row r="4487" spans="1:1" customFormat="1" hidden="1">
      <c r="A4487" s="13" t="s">
        <v>6067</v>
      </c>
    </row>
    <row r="4488" spans="1:1" customFormat="1" hidden="1">
      <c r="A4488" s="13" t="s">
        <v>6068</v>
      </c>
    </row>
    <row r="4489" spans="1:1" customFormat="1" hidden="1">
      <c r="A4489" s="13" t="s">
        <v>6069</v>
      </c>
    </row>
    <row r="4490" spans="1:1" customFormat="1" hidden="1">
      <c r="A4490" s="13" t="s">
        <v>6070</v>
      </c>
    </row>
    <row r="4491" spans="1:1" customFormat="1" hidden="1">
      <c r="A4491" s="13" t="s">
        <v>6071</v>
      </c>
    </row>
    <row r="4492" spans="1:1" customFormat="1" hidden="1">
      <c r="A4492" s="13" t="s">
        <v>6072</v>
      </c>
    </row>
    <row r="4493" spans="1:1" customFormat="1" hidden="1">
      <c r="A4493" s="13" t="s">
        <v>6073</v>
      </c>
    </row>
    <row r="4494" spans="1:1" customFormat="1" hidden="1">
      <c r="A4494" s="13" t="s">
        <v>6074</v>
      </c>
    </row>
    <row r="4495" spans="1:1" customFormat="1" hidden="1">
      <c r="A4495" s="13" t="s">
        <v>6075</v>
      </c>
    </row>
    <row r="4496" spans="1:1" customFormat="1" hidden="1">
      <c r="A4496" s="13" t="s">
        <v>6076</v>
      </c>
    </row>
    <row r="4497" spans="1:1" customFormat="1" hidden="1">
      <c r="A4497" s="13" t="s">
        <v>6077</v>
      </c>
    </row>
    <row r="4498" spans="1:1" customFormat="1" hidden="1">
      <c r="A4498" s="13" t="s">
        <v>6078</v>
      </c>
    </row>
    <row r="4499" spans="1:1" customFormat="1" hidden="1">
      <c r="A4499" s="13" t="s">
        <v>6079</v>
      </c>
    </row>
    <row r="4500" spans="1:1" customFormat="1" hidden="1">
      <c r="A4500" s="13" t="s">
        <v>6080</v>
      </c>
    </row>
    <row r="4501" spans="1:1" customFormat="1" hidden="1">
      <c r="A4501" s="13" t="s">
        <v>6081</v>
      </c>
    </row>
    <row r="4502" spans="1:1" customFormat="1" hidden="1">
      <c r="A4502" s="13" t="s">
        <v>6082</v>
      </c>
    </row>
    <row r="4503" spans="1:1" customFormat="1" hidden="1">
      <c r="A4503" s="13" t="s">
        <v>6083</v>
      </c>
    </row>
    <row r="4504" spans="1:1" customFormat="1" hidden="1">
      <c r="A4504" s="13" t="s">
        <v>6084</v>
      </c>
    </row>
    <row r="4505" spans="1:1" customFormat="1" hidden="1">
      <c r="A4505" s="13" t="s">
        <v>6085</v>
      </c>
    </row>
    <row r="4506" spans="1:1" customFormat="1" hidden="1">
      <c r="A4506" s="13" t="s">
        <v>6086</v>
      </c>
    </row>
    <row r="4507" spans="1:1" customFormat="1" hidden="1">
      <c r="A4507" s="13" t="s">
        <v>6087</v>
      </c>
    </row>
    <row r="4508" spans="1:1" customFormat="1" hidden="1">
      <c r="A4508" s="13" t="s">
        <v>6088</v>
      </c>
    </row>
    <row r="4509" spans="1:1" customFormat="1" hidden="1">
      <c r="A4509" s="13" t="s">
        <v>6089</v>
      </c>
    </row>
    <row r="4510" spans="1:1" customFormat="1" hidden="1">
      <c r="A4510" s="13" t="s">
        <v>6090</v>
      </c>
    </row>
    <row r="4511" spans="1:1" customFormat="1" hidden="1">
      <c r="A4511" s="13" t="s">
        <v>6091</v>
      </c>
    </row>
    <row r="4512" spans="1:1" customFormat="1" hidden="1">
      <c r="A4512" s="13" t="s">
        <v>6092</v>
      </c>
    </row>
    <row r="4513" spans="1:1" customFormat="1" hidden="1">
      <c r="A4513" s="13" t="s">
        <v>6093</v>
      </c>
    </row>
    <row r="4514" spans="1:1" customFormat="1" hidden="1">
      <c r="A4514" s="13" t="s">
        <v>6094</v>
      </c>
    </row>
    <row r="4515" spans="1:1" customFormat="1" hidden="1">
      <c r="A4515" s="13" t="s">
        <v>6095</v>
      </c>
    </row>
    <row r="4516" spans="1:1" customFormat="1" hidden="1">
      <c r="A4516" s="13" t="s">
        <v>6096</v>
      </c>
    </row>
    <row r="4517" spans="1:1" customFormat="1" hidden="1">
      <c r="A4517" s="13" t="s">
        <v>6097</v>
      </c>
    </row>
    <row r="4518" spans="1:1" customFormat="1" hidden="1">
      <c r="A4518" s="13" t="s">
        <v>6098</v>
      </c>
    </row>
    <row r="4519" spans="1:1" customFormat="1" hidden="1">
      <c r="A4519" s="13" t="s">
        <v>6099</v>
      </c>
    </row>
    <row r="4520" spans="1:1" customFormat="1" hidden="1">
      <c r="A4520" s="13" t="s">
        <v>6100</v>
      </c>
    </row>
    <row r="4521" spans="1:1" customFormat="1" hidden="1">
      <c r="A4521" s="13" t="s">
        <v>6101</v>
      </c>
    </row>
    <row r="4522" spans="1:1" customFormat="1" hidden="1">
      <c r="A4522" s="13" t="s">
        <v>6102</v>
      </c>
    </row>
    <row r="4523" spans="1:1" customFormat="1" hidden="1">
      <c r="A4523" s="13" t="s">
        <v>6103</v>
      </c>
    </row>
    <row r="4524" spans="1:1" customFormat="1" hidden="1">
      <c r="A4524" s="13" t="s">
        <v>6104</v>
      </c>
    </row>
    <row r="4525" spans="1:1" customFormat="1" hidden="1">
      <c r="A4525" s="13" t="s">
        <v>6105</v>
      </c>
    </row>
    <row r="4526" spans="1:1" customFormat="1" hidden="1">
      <c r="A4526" s="13" t="s">
        <v>6106</v>
      </c>
    </row>
    <row r="4527" spans="1:1" customFormat="1" hidden="1">
      <c r="A4527" s="13" t="s">
        <v>6107</v>
      </c>
    </row>
    <row r="4528" spans="1:1" customFormat="1" hidden="1">
      <c r="A4528" s="13" t="s">
        <v>6108</v>
      </c>
    </row>
    <row r="4529" spans="1:1" customFormat="1" hidden="1">
      <c r="A4529" s="13" t="s">
        <v>6109</v>
      </c>
    </row>
    <row r="4530" spans="1:1" customFormat="1" hidden="1">
      <c r="A4530" s="13" t="s">
        <v>6110</v>
      </c>
    </row>
    <row r="4531" spans="1:1" customFormat="1" hidden="1">
      <c r="A4531" s="13" t="s">
        <v>6111</v>
      </c>
    </row>
    <row r="4532" spans="1:1" customFormat="1" hidden="1">
      <c r="A4532" s="13" t="s">
        <v>6112</v>
      </c>
    </row>
    <row r="4533" spans="1:1" customFormat="1" hidden="1">
      <c r="A4533" s="13" t="s">
        <v>6113</v>
      </c>
    </row>
    <row r="4534" spans="1:1" customFormat="1" hidden="1">
      <c r="A4534" s="13" t="s">
        <v>6114</v>
      </c>
    </row>
    <row r="4535" spans="1:1" customFormat="1" hidden="1">
      <c r="A4535" s="13" t="s">
        <v>6115</v>
      </c>
    </row>
    <row r="4536" spans="1:1" customFormat="1" hidden="1">
      <c r="A4536" s="13" t="s">
        <v>6116</v>
      </c>
    </row>
    <row r="4537" spans="1:1" customFormat="1" hidden="1">
      <c r="A4537" s="13" t="s">
        <v>6117</v>
      </c>
    </row>
    <row r="4538" spans="1:1" customFormat="1" hidden="1">
      <c r="A4538" s="13" t="s">
        <v>6118</v>
      </c>
    </row>
    <row r="4539" spans="1:1" customFormat="1" hidden="1">
      <c r="A4539" s="13" t="s">
        <v>6119</v>
      </c>
    </row>
    <row r="4540" spans="1:1" customFormat="1" hidden="1">
      <c r="A4540" s="13" t="s">
        <v>6120</v>
      </c>
    </row>
    <row r="4541" spans="1:1" customFormat="1" hidden="1">
      <c r="A4541" s="13" t="s">
        <v>6121</v>
      </c>
    </row>
    <row r="4542" spans="1:1" customFormat="1" hidden="1">
      <c r="A4542" s="13" t="s">
        <v>6122</v>
      </c>
    </row>
    <row r="4543" spans="1:1" customFormat="1" hidden="1">
      <c r="A4543" s="13" t="s">
        <v>6123</v>
      </c>
    </row>
    <row r="4544" spans="1:1" customFormat="1" hidden="1">
      <c r="A4544" s="13" t="s">
        <v>6124</v>
      </c>
    </row>
    <row r="4545" spans="1:1" customFormat="1" hidden="1">
      <c r="A4545" s="13" t="s">
        <v>6125</v>
      </c>
    </row>
    <row r="4546" spans="1:1" customFormat="1" hidden="1">
      <c r="A4546" s="13" t="s">
        <v>6126</v>
      </c>
    </row>
    <row r="4547" spans="1:1" customFormat="1" hidden="1">
      <c r="A4547" s="13" t="s">
        <v>6127</v>
      </c>
    </row>
    <row r="4548" spans="1:1" customFormat="1" hidden="1">
      <c r="A4548" s="13" t="s">
        <v>6128</v>
      </c>
    </row>
    <row r="4549" spans="1:1" customFormat="1" hidden="1">
      <c r="A4549" s="13" t="s">
        <v>6129</v>
      </c>
    </row>
    <row r="4550" spans="1:1" customFormat="1" hidden="1">
      <c r="A4550" s="13" t="s">
        <v>6130</v>
      </c>
    </row>
    <row r="4551" spans="1:1" customFormat="1" hidden="1">
      <c r="A4551" s="13" t="s">
        <v>6131</v>
      </c>
    </row>
    <row r="4552" spans="1:1" customFormat="1" hidden="1">
      <c r="A4552" s="13" t="s">
        <v>6132</v>
      </c>
    </row>
    <row r="4553" spans="1:1" customFormat="1" hidden="1">
      <c r="A4553" s="13" t="s">
        <v>6133</v>
      </c>
    </row>
    <row r="4554" spans="1:1" customFormat="1" hidden="1">
      <c r="A4554" s="13" t="s">
        <v>6134</v>
      </c>
    </row>
    <row r="4555" spans="1:1" customFormat="1" hidden="1">
      <c r="A4555" s="13" t="s">
        <v>6135</v>
      </c>
    </row>
    <row r="4556" spans="1:1" customFormat="1" hidden="1">
      <c r="A4556" s="13" t="s">
        <v>6136</v>
      </c>
    </row>
    <row r="4557" spans="1:1" customFormat="1" hidden="1">
      <c r="A4557" s="13" t="s">
        <v>6137</v>
      </c>
    </row>
    <row r="4558" spans="1:1" customFormat="1" hidden="1">
      <c r="A4558" s="13" t="s">
        <v>6138</v>
      </c>
    </row>
    <row r="4559" spans="1:1" customFormat="1" hidden="1">
      <c r="A4559" s="13" t="s">
        <v>6139</v>
      </c>
    </row>
    <row r="4560" spans="1:1" customFormat="1" hidden="1">
      <c r="A4560" s="13" t="s">
        <v>6140</v>
      </c>
    </row>
    <row r="4561" spans="1:1" customFormat="1" hidden="1">
      <c r="A4561" s="13" t="s">
        <v>6141</v>
      </c>
    </row>
    <row r="4562" spans="1:1" customFormat="1" hidden="1">
      <c r="A4562" s="13" t="s">
        <v>6142</v>
      </c>
    </row>
    <row r="4563" spans="1:1" customFormat="1" hidden="1">
      <c r="A4563" s="13" t="s">
        <v>6143</v>
      </c>
    </row>
    <row r="4564" spans="1:1" customFormat="1" hidden="1">
      <c r="A4564" s="13" t="s">
        <v>6144</v>
      </c>
    </row>
    <row r="4565" spans="1:1" customFormat="1" hidden="1">
      <c r="A4565" s="13" t="s">
        <v>6145</v>
      </c>
    </row>
    <row r="4566" spans="1:1" customFormat="1" hidden="1">
      <c r="A4566" s="13" t="s">
        <v>6146</v>
      </c>
    </row>
    <row r="4567" spans="1:1" customFormat="1" hidden="1">
      <c r="A4567" s="13" t="s">
        <v>6147</v>
      </c>
    </row>
    <row r="4568" spans="1:1" customFormat="1" hidden="1">
      <c r="A4568" s="13" t="s">
        <v>6148</v>
      </c>
    </row>
    <row r="4569" spans="1:1" customFormat="1" hidden="1">
      <c r="A4569" s="13" t="s">
        <v>6149</v>
      </c>
    </row>
    <row r="4570" spans="1:1" customFormat="1" hidden="1">
      <c r="A4570" s="13" t="s">
        <v>6150</v>
      </c>
    </row>
    <row r="4571" spans="1:1" customFormat="1" hidden="1">
      <c r="A4571" s="13" t="s">
        <v>6151</v>
      </c>
    </row>
    <row r="4572" spans="1:1" customFormat="1" hidden="1">
      <c r="A4572" s="13" t="s">
        <v>6152</v>
      </c>
    </row>
    <row r="4573" spans="1:1" customFormat="1" hidden="1">
      <c r="A4573" s="13" t="s">
        <v>6153</v>
      </c>
    </row>
    <row r="4574" spans="1:1" customFormat="1" hidden="1">
      <c r="A4574" s="13" t="s">
        <v>6154</v>
      </c>
    </row>
    <row r="4575" spans="1:1" customFormat="1" hidden="1">
      <c r="A4575" s="13" t="s">
        <v>6155</v>
      </c>
    </row>
    <row r="4576" spans="1:1" customFormat="1" hidden="1">
      <c r="A4576" s="13" t="s">
        <v>6156</v>
      </c>
    </row>
    <row r="4577" spans="1:1" customFormat="1" hidden="1">
      <c r="A4577" s="13" t="s">
        <v>6157</v>
      </c>
    </row>
    <row r="4578" spans="1:1" customFormat="1" hidden="1">
      <c r="A4578" s="13" t="s">
        <v>6158</v>
      </c>
    </row>
    <row r="4579" spans="1:1" customFormat="1" hidden="1">
      <c r="A4579" s="13" t="s">
        <v>6159</v>
      </c>
    </row>
    <row r="4580" spans="1:1" customFormat="1" hidden="1">
      <c r="A4580" s="13" t="s">
        <v>6160</v>
      </c>
    </row>
    <row r="4581" spans="1:1" customFormat="1" hidden="1">
      <c r="A4581" s="13" t="s">
        <v>6161</v>
      </c>
    </row>
    <row r="4582" spans="1:1" customFormat="1" hidden="1">
      <c r="A4582" s="13" t="s">
        <v>6162</v>
      </c>
    </row>
    <row r="4583" spans="1:1" customFormat="1" hidden="1">
      <c r="A4583" s="13" t="s">
        <v>6163</v>
      </c>
    </row>
    <row r="4584" spans="1:1" customFormat="1" hidden="1">
      <c r="A4584" s="13" t="s">
        <v>6164</v>
      </c>
    </row>
    <row r="4585" spans="1:1" customFormat="1" hidden="1">
      <c r="A4585" s="13" t="s">
        <v>6165</v>
      </c>
    </row>
    <row r="4586" spans="1:1" customFormat="1" hidden="1">
      <c r="A4586" s="13" t="s">
        <v>6166</v>
      </c>
    </row>
    <row r="4587" spans="1:1" customFormat="1" hidden="1">
      <c r="A4587" s="13" t="s">
        <v>6167</v>
      </c>
    </row>
    <row r="4588" spans="1:1" customFormat="1" hidden="1">
      <c r="A4588" s="13" t="s">
        <v>6168</v>
      </c>
    </row>
    <row r="4589" spans="1:1" customFormat="1" hidden="1">
      <c r="A4589" s="13" t="s">
        <v>6169</v>
      </c>
    </row>
    <row r="4590" spans="1:1" customFormat="1" hidden="1">
      <c r="A4590" s="13" t="s">
        <v>6170</v>
      </c>
    </row>
    <row r="4591" spans="1:1" customFormat="1" hidden="1">
      <c r="A4591" s="13" t="s">
        <v>6171</v>
      </c>
    </row>
    <row r="4592" spans="1:1" customFormat="1" hidden="1">
      <c r="A4592" s="13" t="s">
        <v>6172</v>
      </c>
    </row>
    <row r="4593" spans="1:1" customFormat="1" hidden="1">
      <c r="A4593" s="13" t="s">
        <v>6173</v>
      </c>
    </row>
    <row r="4594" spans="1:1" customFormat="1" hidden="1">
      <c r="A4594" s="13" t="s">
        <v>6174</v>
      </c>
    </row>
    <row r="4595" spans="1:1" customFormat="1" hidden="1">
      <c r="A4595" s="13" t="s">
        <v>6175</v>
      </c>
    </row>
    <row r="4596" spans="1:1" customFormat="1" hidden="1">
      <c r="A4596" s="13" t="s">
        <v>6176</v>
      </c>
    </row>
    <row r="4597" spans="1:1" customFormat="1" hidden="1">
      <c r="A4597" s="13" t="s">
        <v>6177</v>
      </c>
    </row>
    <row r="4598" spans="1:1" customFormat="1" hidden="1">
      <c r="A4598" s="13" t="s">
        <v>6178</v>
      </c>
    </row>
    <row r="4599" spans="1:1" customFormat="1" hidden="1">
      <c r="A4599" s="13" t="s">
        <v>6179</v>
      </c>
    </row>
    <row r="4600" spans="1:1" customFormat="1" hidden="1">
      <c r="A4600" s="13" t="s">
        <v>6180</v>
      </c>
    </row>
    <row r="4601" spans="1:1" customFormat="1" hidden="1">
      <c r="A4601" s="13" t="s">
        <v>6181</v>
      </c>
    </row>
    <row r="4602" spans="1:1" customFormat="1" hidden="1">
      <c r="A4602" s="13" t="s">
        <v>6182</v>
      </c>
    </row>
    <row r="4603" spans="1:1" customFormat="1" hidden="1">
      <c r="A4603" s="13" t="s">
        <v>6183</v>
      </c>
    </row>
    <row r="4604" spans="1:1" customFormat="1" hidden="1">
      <c r="A4604" s="13" t="s">
        <v>6184</v>
      </c>
    </row>
    <row r="4605" spans="1:1" customFormat="1" hidden="1">
      <c r="A4605" s="13" t="s">
        <v>6185</v>
      </c>
    </row>
    <row r="4606" spans="1:1" customFormat="1" hidden="1">
      <c r="A4606" s="13" t="s">
        <v>6186</v>
      </c>
    </row>
    <row r="4607" spans="1:1" customFormat="1" hidden="1">
      <c r="A4607" s="13" t="s">
        <v>6187</v>
      </c>
    </row>
    <row r="4608" spans="1:1" customFormat="1" hidden="1">
      <c r="A4608" s="13" t="s">
        <v>6188</v>
      </c>
    </row>
    <row r="4609" spans="1:1" customFormat="1" hidden="1">
      <c r="A4609" s="13" t="s">
        <v>6189</v>
      </c>
    </row>
    <row r="4610" spans="1:1" customFormat="1" hidden="1">
      <c r="A4610" s="13" t="s">
        <v>6190</v>
      </c>
    </row>
    <row r="4611" spans="1:1" customFormat="1" hidden="1">
      <c r="A4611" s="13" t="s">
        <v>6191</v>
      </c>
    </row>
    <row r="4612" spans="1:1" customFormat="1" hidden="1">
      <c r="A4612" s="13" t="s">
        <v>6192</v>
      </c>
    </row>
    <row r="4613" spans="1:1" customFormat="1" hidden="1">
      <c r="A4613" s="13" t="s">
        <v>6193</v>
      </c>
    </row>
    <row r="4614" spans="1:1" customFormat="1" hidden="1">
      <c r="A4614" s="13" t="s">
        <v>6194</v>
      </c>
    </row>
    <row r="4615" spans="1:1" customFormat="1" hidden="1">
      <c r="A4615" s="13" t="s">
        <v>6195</v>
      </c>
    </row>
    <row r="4616" spans="1:1" customFormat="1" hidden="1">
      <c r="A4616" s="13" t="s">
        <v>6196</v>
      </c>
    </row>
    <row r="4617" spans="1:1" customFormat="1" hidden="1">
      <c r="A4617" s="13" t="s">
        <v>6197</v>
      </c>
    </row>
    <row r="4618" spans="1:1" customFormat="1" hidden="1">
      <c r="A4618" s="13" t="s">
        <v>6198</v>
      </c>
    </row>
    <row r="4619" spans="1:1" customFormat="1" hidden="1">
      <c r="A4619" s="13" t="s">
        <v>6199</v>
      </c>
    </row>
    <row r="4620" spans="1:1" customFormat="1" hidden="1">
      <c r="A4620" s="13" t="s">
        <v>6200</v>
      </c>
    </row>
    <row r="4621" spans="1:1" customFormat="1" hidden="1">
      <c r="A4621" s="13" t="s">
        <v>6201</v>
      </c>
    </row>
    <row r="4622" spans="1:1" customFormat="1" hidden="1">
      <c r="A4622" s="13" t="s">
        <v>6202</v>
      </c>
    </row>
    <row r="4623" spans="1:1" customFormat="1" hidden="1">
      <c r="A4623" s="13" t="s">
        <v>6203</v>
      </c>
    </row>
    <row r="4624" spans="1:1" customFormat="1" hidden="1">
      <c r="A4624" s="13" t="s">
        <v>6204</v>
      </c>
    </row>
    <row r="4625" spans="1:1" customFormat="1" hidden="1">
      <c r="A4625" s="13" t="s">
        <v>6205</v>
      </c>
    </row>
    <row r="4626" spans="1:1" customFormat="1" hidden="1">
      <c r="A4626" s="13" t="s">
        <v>6206</v>
      </c>
    </row>
    <row r="4627" spans="1:1" customFormat="1" hidden="1">
      <c r="A4627" s="13" t="s">
        <v>6207</v>
      </c>
    </row>
    <row r="4628" spans="1:1" customFormat="1" hidden="1">
      <c r="A4628" s="13" t="s">
        <v>6208</v>
      </c>
    </row>
    <row r="4629" spans="1:1" customFormat="1" hidden="1">
      <c r="A4629" s="13" t="s">
        <v>6209</v>
      </c>
    </row>
    <row r="4630" spans="1:1" customFormat="1" hidden="1">
      <c r="A4630" s="13" t="s">
        <v>6210</v>
      </c>
    </row>
    <row r="4631" spans="1:1" customFormat="1" hidden="1">
      <c r="A4631" s="13" t="s">
        <v>6211</v>
      </c>
    </row>
    <row r="4632" spans="1:1" customFormat="1" hidden="1">
      <c r="A4632" s="13" t="s">
        <v>6212</v>
      </c>
    </row>
    <row r="4633" spans="1:1" customFormat="1" hidden="1">
      <c r="A4633" s="13" t="s">
        <v>6213</v>
      </c>
    </row>
    <row r="4634" spans="1:1" customFormat="1" hidden="1">
      <c r="A4634" s="13" t="s">
        <v>6214</v>
      </c>
    </row>
    <row r="4635" spans="1:1" customFormat="1" hidden="1">
      <c r="A4635" s="13" t="s">
        <v>6215</v>
      </c>
    </row>
    <row r="4636" spans="1:1" customFormat="1" hidden="1">
      <c r="A4636" s="13" t="s">
        <v>6216</v>
      </c>
    </row>
    <row r="4637" spans="1:1" customFormat="1" hidden="1">
      <c r="A4637" s="13" t="s">
        <v>6217</v>
      </c>
    </row>
    <row r="4638" spans="1:1" customFormat="1" hidden="1">
      <c r="A4638" s="13" t="s">
        <v>6218</v>
      </c>
    </row>
    <row r="4639" spans="1:1" customFormat="1" hidden="1">
      <c r="A4639" s="13" t="s">
        <v>6219</v>
      </c>
    </row>
    <row r="4640" spans="1:1" customFormat="1" hidden="1">
      <c r="A4640" s="13" t="s">
        <v>6220</v>
      </c>
    </row>
    <row r="4641" spans="1:1" customFormat="1" hidden="1">
      <c r="A4641" s="13" t="s">
        <v>6221</v>
      </c>
    </row>
    <row r="4642" spans="1:1" customFormat="1" hidden="1">
      <c r="A4642" s="13" t="s">
        <v>6222</v>
      </c>
    </row>
    <row r="4643" spans="1:1" customFormat="1" hidden="1">
      <c r="A4643" s="13" t="s">
        <v>6223</v>
      </c>
    </row>
    <row r="4644" spans="1:1" customFormat="1" hidden="1">
      <c r="A4644" s="13" t="s">
        <v>6224</v>
      </c>
    </row>
    <row r="4645" spans="1:1" customFormat="1" hidden="1">
      <c r="A4645" s="13" t="s">
        <v>6225</v>
      </c>
    </row>
    <row r="4646" spans="1:1" customFormat="1" hidden="1">
      <c r="A4646" s="13" t="s">
        <v>6226</v>
      </c>
    </row>
    <row r="4647" spans="1:1" customFormat="1" hidden="1">
      <c r="A4647" s="13" t="s">
        <v>6227</v>
      </c>
    </row>
    <row r="4648" spans="1:1" customFormat="1" hidden="1">
      <c r="A4648" s="13" t="s">
        <v>6228</v>
      </c>
    </row>
    <row r="4649" spans="1:1" customFormat="1" hidden="1">
      <c r="A4649" s="13" t="s">
        <v>6229</v>
      </c>
    </row>
    <row r="4650" spans="1:1" customFormat="1" hidden="1">
      <c r="A4650" s="13" t="s">
        <v>6230</v>
      </c>
    </row>
    <row r="4651" spans="1:1" customFormat="1" hidden="1">
      <c r="A4651" s="13" t="s">
        <v>6231</v>
      </c>
    </row>
    <row r="4652" spans="1:1" customFormat="1" hidden="1">
      <c r="A4652" s="13" t="s">
        <v>6232</v>
      </c>
    </row>
    <row r="4653" spans="1:1" customFormat="1" hidden="1">
      <c r="A4653" s="13" t="s">
        <v>6233</v>
      </c>
    </row>
    <row r="4654" spans="1:1" customFormat="1" hidden="1">
      <c r="A4654" s="13" t="s">
        <v>6234</v>
      </c>
    </row>
    <row r="4655" spans="1:1" customFormat="1" hidden="1">
      <c r="A4655" s="13" t="s">
        <v>6235</v>
      </c>
    </row>
    <row r="4656" spans="1:1" customFormat="1" hidden="1">
      <c r="A4656" s="13" t="s">
        <v>6236</v>
      </c>
    </row>
    <row r="4657" spans="1:1" customFormat="1" hidden="1">
      <c r="A4657" s="13"/>
    </row>
    <row r="4658" spans="1:1" customFormat="1" hidden="1">
      <c r="A4658" s="13" t="s">
        <v>6237</v>
      </c>
    </row>
    <row r="4659" spans="1:1" customFormat="1" hidden="1">
      <c r="A4659" s="13" t="s">
        <v>6238</v>
      </c>
    </row>
    <row r="4660" spans="1:1" customFormat="1" hidden="1">
      <c r="A4660" s="13" t="s">
        <v>6239</v>
      </c>
    </row>
    <row r="4661" spans="1:1" customFormat="1" hidden="1">
      <c r="A4661" s="13" t="s">
        <v>6240</v>
      </c>
    </row>
    <row r="4662" spans="1:1" customFormat="1" hidden="1">
      <c r="A4662" s="13" t="s">
        <v>6241</v>
      </c>
    </row>
    <row r="4663" spans="1:1" customFormat="1" hidden="1">
      <c r="A4663" s="13" t="s">
        <v>6242</v>
      </c>
    </row>
    <row r="4664" spans="1:1" customFormat="1" hidden="1">
      <c r="A4664" s="13" t="s">
        <v>6243</v>
      </c>
    </row>
    <row r="4665" spans="1:1" customFormat="1" hidden="1">
      <c r="A4665" s="13" t="s">
        <v>6244</v>
      </c>
    </row>
    <row r="4666" spans="1:1" customFormat="1" hidden="1">
      <c r="A4666" s="13" t="s">
        <v>6245</v>
      </c>
    </row>
    <row r="4667" spans="1:1" customFormat="1" hidden="1">
      <c r="A4667" s="13" t="s">
        <v>6246</v>
      </c>
    </row>
    <row r="4668" spans="1:1" customFormat="1" hidden="1">
      <c r="A4668" s="13" t="s">
        <v>6247</v>
      </c>
    </row>
    <row r="4669" spans="1:1" hidden="1">
      <c r="A4669" s="13" t="s">
        <v>7298</v>
      </c>
    </row>
    <row r="4670" spans="1:1" hidden="1">
      <c r="A4670" s="13" t="s">
        <v>7299</v>
      </c>
    </row>
    <row r="4671" spans="1:1" hidden="1">
      <c r="A4671" s="13" t="s">
        <v>7300</v>
      </c>
    </row>
    <row r="4672" spans="1:1" hidden="1">
      <c r="A4672" s="13" t="s">
        <v>7301</v>
      </c>
    </row>
    <row r="4673" spans="1:1" hidden="1">
      <c r="A4673" s="13" t="s">
        <v>7302</v>
      </c>
    </row>
    <row r="4674" spans="1:1" hidden="1">
      <c r="A4674" s="13" t="s">
        <v>7303</v>
      </c>
    </row>
    <row r="4675" spans="1:1" hidden="1">
      <c r="A4675" s="13" t="s">
        <v>7304</v>
      </c>
    </row>
    <row r="4676" spans="1:1" hidden="1">
      <c r="A4676" s="13" t="s">
        <v>7305</v>
      </c>
    </row>
    <row r="4677" spans="1:1" hidden="1">
      <c r="A4677" s="13" t="s">
        <v>7306</v>
      </c>
    </row>
    <row r="4678" spans="1:1" hidden="1">
      <c r="A4678" s="13" t="s">
        <v>7307</v>
      </c>
    </row>
    <row r="4679" spans="1:1" hidden="1">
      <c r="A4679" s="13" t="s">
        <v>7308</v>
      </c>
    </row>
    <row r="4680" spans="1:1" hidden="1">
      <c r="A4680" s="13" t="s">
        <v>7309</v>
      </c>
    </row>
    <row r="4681" spans="1:1" hidden="1">
      <c r="A4681" s="13" t="s">
        <v>7310</v>
      </c>
    </row>
    <row r="4682" spans="1:1" hidden="1">
      <c r="A4682" s="13" t="s">
        <v>6248</v>
      </c>
    </row>
    <row r="4683" spans="1:1" hidden="1">
      <c r="A4683" s="13" t="s">
        <v>6249</v>
      </c>
    </row>
    <row r="4684" spans="1:1" hidden="1">
      <c r="A4684" s="13" t="s">
        <v>7311</v>
      </c>
    </row>
    <row r="4685" spans="1:1" hidden="1">
      <c r="A4685" s="13" t="s">
        <v>7312</v>
      </c>
    </row>
    <row r="4686" spans="1:1" hidden="1">
      <c r="A4686" s="13" t="s">
        <v>6250</v>
      </c>
    </row>
    <row r="4687" spans="1:1" hidden="1">
      <c r="A4687" s="13" t="s">
        <v>7313</v>
      </c>
    </row>
    <row r="4688" spans="1:1" hidden="1">
      <c r="A4688" s="13" t="s">
        <v>7314</v>
      </c>
    </row>
    <row r="4689" spans="1:1" hidden="1">
      <c r="A4689" s="13" t="s">
        <v>7315</v>
      </c>
    </row>
    <row r="4690" spans="1:1" hidden="1">
      <c r="A4690" s="13" t="s">
        <v>7316</v>
      </c>
    </row>
    <row r="4691" spans="1:1" hidden="1">
      <c r="A4691" s="13" t="s">
        <v>7317</v>
      </c>
    </row>
    <row r="4692" spans="1:1" hidden="1">
      <c r="A4692" s="13" t="s">
        <v>7318</v>
      </c>
    </row>
    <row r="4693" spans="1:1" hidden="1">
      <c r="A4693" s="13" t="s">
        <v>7319</v>
      </c>
    </row>
    <row r="4694" spans="1:1" hidden="1">
      <c r="A4694" s="13" t="s">
        <v>6251</v>
      </c>
    </row>
    <row r="4695" spans="1:1" hidden="1">
      <c r="A4695" s="13" t="s">
        <v>7320</v>
      </c>
    </row>
    <row r="4696" spans="1:1" hidden="1">
      <c r="A4696" s="13" t="s">
        <v>7321</v>
      </c>
    </row>
    <row r="4697" spans="1:1" hidden="1">
      <c r="A4697" s="13" t="s">
        <v>7322</v>
      </c>
    </row>
    <row r="4698" spans="1:1" hidden="1">
      <c r="A4698" s="13" t="s">
        <v>7323</v>
      </c>
    </row>
    <row r="4699" spans="1:1" hidden="1">
      <c r="A4699" s="13" t="s">
        <v>6252</v>
      </c>
    </row>
    <row r="4700" spans="1:1" hidden="1">
      <c r="A4700" s="13" t="s">
        <v>6253</v>
      </c>
    </row>
    <row r="4701" spans="1:1" hidden="1">
      <c r="A4701" s="13" t="s">
        <v>7324</v>
      </c>
    </row>
    <row r="4702" spans="1:1" hidden="1">
      <c r="A4702" s="13" t="s">
        <v>6254</v>
      </c>
    </row>
    <row r="4703" spans="1:1" hidden="1">
      <c r="A4703" s="13" t="s">
        <v>6255</v>
      </c>
    </row>
    <row r="4704" spans="1:1" hidden="1">
      <c r="A4704" s="13" t="s">
        <v>7325</v>
      </c>
    </row>
    <row r="4705" spans="1:1" hidden="1">
      <c r="A4705" s="13" t="s">
        <v>7326</v>
      </c>
    </row>
    <row r="4706" spans="1:1" hidden="1">
      <c r="A4706" s="13" t="s">
        <v>7327</v>
      </c>
    </row>
    <row r="4707" spans="1:1" hidden="1">
      <c r="A4707" s="13" t="s">
        <v>6256</v>
      </c>
    </row>
    <row r="4708" spans="1:1" hidden="1">
      <c r="A4708" s="13" t="s">
        <v>6257</v>
      </c>
    </row>
    <row r="4709" spans="1:1" hidden="1">
      <c r="A4709" s="13" t="s">
        <v>7328</v>
      </c>
    </row>
    <row r="4710" spans="1:1" hidden="1">
      <c r="A4710" s="13" t="s">
        <v>7329</v>
      </c>
    </row>
    <row r="4711" spans="1:1" hidden="1">
      <c r="A4711" s="13" t="s">
        <v>7330</v>
      </c>
    </row>
    <row r="4712" spans="1:1" hidden="1">
      <c r="A4712" s="13" t="s">
        <v>7331</v>
      </c>
    </row>
    <row r="4713" spans="1:1" hidden="1">
      <c r="A4713" s="13" t="s">
        <v>7332</v>
      </c>
    </row>
    <row r="4714" spans="1:1" hidden="1">
      <c r="A4714" s="13" t="s">
        <v>7333</v>
      </c>
    </row>
    <row r="4715" spans="1:1" hidden="1">
      <c r="A4715" s="13" t="s">
        <v>7334</v>
      </c>
    </row>
    <row r="4716" spans="1:1" hidden="1">
      <c r="A4716" s="13" t="s">
        <v>7335</v>
      </c>
    </row>
    <row r="4717" spans="1:1" hidden="1">
      <c r="A4717" s="13" t="s">
        <v>7336</v>
      </c>
    </row>
    <row r="4718" spans="1:1" hidden="1">
      <c r="A4718" s="13" t="s">
        <v>7337</v>
      </c>
    </row>
    <row r="4719" spans="1:1" hidden="1">
      <c r="A4719" s="13" t="s">
        <v>7338</v>
      </c>
    </row>
    <row r="4720" spans="1:1" hidden="1">
      <c r="A4720" s="13" t="s">
        <v>7339</v>
      </c>
    </row>
    <row r="4721" spans="1:1" hidden="1">
      <c r="A4721" s="13" t="s">
        <v>7340</v>
      </c>
    </row>
    <row r="4722" spans="1:1" hidden="1">
      <c r="A4722" s="13" t="s">
        <v>6258</v>
      </c>
    </row>
    <row r="4723" spans="1:1" hidden="1">
      <c r="A4723" s="13" t="s">
        <v>7341</v>
      </c>
    </row>
    <row r="4724" spans="1:1" hidden="1">
      <c r="A4724" s="13" t="s">
        <v>7342</v>
      </c>
    </row>
    <row r="4725" spans="1:1" hidden="1">
      <c r="A4725" s="13" t="s">
        <v>6259</v>
      </c>
    </row>
    <row r="4726" spans="1:1" hidden="1">
      <c r="A4726" s="13" t="s">
        <v>7343</v>
      </c>
    </row>
    <row r="4727" spans="1:1" hidden="1">
      <c r="A4727" s="13" t="s">
        <v>7344</v>
      </c>
    </row>
    <row r="4728" spans="1:1" hidden="1">
      <c r="A4728" s="13" t="s">
        <v>7345</v>
      </c>
    </row>
    <row r="4729" spans="1:1" hidden="1">
      <c r="A4729" s="13" t="s">
        <v>7346</v>
      </c>
    </row>
    <row r="4730" spans="1:1" hidden="1">
      <c r="A4730" s="13" t="s">
        <v>7347</v>
      </c>
    </row>
    <row r="4731" spans="1:1" hidden="1">
      <c r="A4731" s="13" t="s">
        <v>7348</v>
      </c>
    </row>
    <row r="4732" spans="1:1" hidden="1">
      <c r="A4732" s="13" t="s">
        <v>7349</v>
      </c>
    </row>
    <row r="4733" spans="1:1" hidden="1">
      <c r="A4733" s="13" t="s">
        <v>7350</v>
      </c>
    </row>
    <row r="4734" spans="1:1" hidden="1">
      <c r="A4734" s="13" t="s">
        <v>7351</v>
      </c>
    </row>
    <row r="4735" spans="1:1" hidden="1">
      <c r="A4735" s="13" t="s">
        <v>7352</v>
      </c>
    </row>
    <row r="4736" spans="1:1" hidden="1">
      <c r="A4736" s="13" t="s">
        <v>7353</v>
      </c>
    </row>
    <row r="4737" spans="1:1" hidden="1">
      <c r="A4737" s="13" t="s">
        <v>7354</v>
      </c>
    </row>
    <row r="4738" spans="1:1" hidden="1">
      <c r="A4738" s="13" t="s">
        <v>6262</v>
      </c>
    </row>
    <row r="4739" spans="1:1" hidden="1">
      <c r="A4739" s="13" t="s">
        <v>7355</v>
      </c>
    </row>
    <row r="4740" spans="1:1" hidden="1">
      <c r="A4740" s="13" t="s">
        <v>7356</v>
      </c>
    </row>
    <row r="4741" spans="1:1" hidden="1">
      <c r="A4741" s="13" t="s">
        <v>6263</v>
      </c>
    </row>
    <row r="4742" spans="1:1" hidden="1">
      <c r="A4742" s="13" t="s">
        <v>7357</v>
      </c>
    </row>
    <row r="4743" spans="1:1" hidden="1">
      <c r="A4743" s="13" t="s">
        <v>6264</v>
      </c>
    </row>
    <row r="4744" spans="1:1" hidden="1">
      <c r="A4744" s="13" t="s">
        <v>7358</v>
      </c>
    </row>
    <row r="4745" spans="1:1" hidden="1">
      <c r="A4745" s="13" t="s">
        <v>7359</v>
      </c>
    </row>
    <row r="4746" spans="1:1" hidden="1">
      <c r="A4746" s="13" t="s">
        <v>7360</v>
      </c>
    </row>
    <row r="4747" spans="1:1" hidden="1">
      <c r="A4747" s="13" t="s">
        <v>6265</v>
      </c>
    </row>
    <row r="4748" spans="1:1" hidden="1">
      <c r="A4748" s="13" t="s">
        <v>7361</v>
      </c>
    </row>
    <row r="4749" spans="1:1" hidden="1">
      <c r="A4749" s="13" t="s">
        <v>7362</v>
      </c>
    </row>
    <row r="4750" spans="1:1" hidden="1">
      <c r="A4750" s="13" t="s">
        <v>6266</v>
      </c>
    </row>
    <row r="4751" spans="1:1" hidden="1">
      <c r="A4751" s="13" t="s">
        <v>7363</v>
      </c>
    </row>
    <row r="4752" spans="1:1" hidden="1">
      <c r="A4752" s="13" t="s">
        <v>7364</v>
      </c>
    </row>
    <row r="4753" spans="1:1" hidden="1">
      <c r="A4753" s="13" t="s">
        <v>6267</v>
      </c>
    </row>
    <row r="4754" spans="1:1" hidden="1">
      <c r="A4754" s="13" t="s">
        <v>6268</v>
      </c>
    </row>
    <row r="4755" spans="1:1" hidden="1">
      <c r="A4755" s="13" t="s">
        <v>7365</v>
      </c>
    </row>
    <row r="4756" spans="1:1" hidden="1">
      <c r="A4756" s="13" t="s">
        <v>6269</v>
      </c>
    </row>
    <row r="4757" spans="1:1" hidden="1">
      <c r="A4757" s="13" t="s">
        <v>6270</v>
      </c>
    </row>
    <row r="4758" spans="1:1" hidden="1">
      <c r="A4758" s="13" t="s">
        <v>6271</v>
      </c>
    </row>
    <row r="4759" spans="1:1" hidden="1">
      <c r="A4759" s="13" t="s">
        <v>6272</v>
      </c>
    </row>
    <row r="4760" spans="1:1" hidden="1">
      <c r="A4760" s="13" t="s">
        <v>6273</v>
      </c>
    </row>
    <row r="4761" spans="1:1" hidden="1">
      <c r="A4761" s="13" t="s">
        <v>7366</v>
      </c>
    </row>
    <row r="4762" spans="1:1" hidden="1">
      <c r="A4762" s="13" t="s">
        <v>6274</v>
      </c>
    </row>
    <row r="4763" spans="1:1" hidden="1">
      <c r="A4763" s="13" t="s">
        <v>6275</v>
      </c>
    </row>
    <row r="4764" spans="1:1" hidden="1">
      <c r="A4764" s="13" t="s">
        <v>6276</v>
      </c>
    </row>
    <row r="4765" spans="1:1" hidden="1">
      <c r="A4765" s="13" t="s">
        <v>6277</v>
      </c>
    </row>
    <row r="4766" spans="1:1" hidden="1">
      <c r="A4766" s="13" t="s">
        <v>6278</v>
      </c>
    </row>
    <row r="4767" spans="1:1" hidden="1">
      <c r="A4767" s="13" t="s">
        <v>6279</v>
      </c>
    </row>
    <row r="4768" spans="1:1" hidden="1">
      <c r="A4768" s="13" t="s">
        <v>6280</v>
      </c>
    </row>
    <row r="4769" spans="1:1" hidden="1">
      <c r="A4769" s="13" t="s">
        <v>7367</v>
      </c>
    </row>
    <row r="4770" spans="1:1" hidden="1">
      <c r="A4770" s="13" t="s">
        <v>7368</v>
      </c>
    </row>
    <row r="4771" spans="1:1" hidden="1">
      <c r="A4771" s="13" t="s">
        <v>6281</v>
      </c>
    </row>
    <row r="4772" spans="1:1" hidden="1">
      <c r="A4772" s="13" t="s">
        <v>6282</v>
      </c>
    </row>
    <row r="4773" spans="1:1" hidden="1">
      <c r="A4773" s="13" t="s">
        <v>7369</v>
      </c>
    </row>
    <row r="4774" spans="1:1" hidden="1">
      <c r="A4774" s="13" t="s">
        <v>6283</v>
      </c>
    </row>
    <row r="4775" spans="1:1" hidden="1">
      <c r="A4775" s="13" t="s">
        <v>7370</v>
      </c>
    </row>
    <row r="4776" spans="1:1" hidden="1">
      <c r="A4776" s="13" t="s">
        <v>6284</v>
      </c>
    </row>
    <row r="4777" spans="1:1" hidden="1">
      <c r="A4777" s="13" t="s">
        <v>6285</v>
      </c>
    </row>
    <row r="4778" spans="1:1" hidden="1">
      <c r="A4778" s="13" t="s">
        <v>6286</v>
      </c>
    </row>
    <row r="4779" spans="1:1" hidden="1">
      <c r="A4779" s="13" t="s">
        <v>7371</v>
      </c>
    </row>
    <row r="4780" spans="1:1" hidden="1">
      <c r="A4780" s="13" t="s">
        <v>6287</v>
      </c>
    </row>
    <row r="4781" spans="1:1" hidden="1">
      <c r="A4781" s="13" t="s">
        <v>6288</v>
      </c>
    </row>
    <row r="4782" spans="1:1" hidden="1">
      <c r="A4782" s="13" t="s">
        <v>7372</v>
      </c>
    </row>
    <row r="4783" spans="1:1" hidden="1">
      <c r="A4783" s="13" t="s">
        <v>6289</v>
      </c>
    </row>
    <row r="4784" spans="1:1" hidden="1">
      <c r="A4784" s="13" t="s">
        <v>6290</v>
      </c>
    </row>
    <row r="4785" spans="1:1" hidden="1">
      <c r="A4785" s="13" t="s">
        <v>7373</v>
      </c>
    </row>
    <row r="4786" spans="1:1" hidden="1">
      <c r="A4786" s="13" t="s">
        <v>6291</v>
      </c>
    </row>
    <row r="4787" spans="1:1" hidden="1">
      <c r="A4787" s="13" t="s">
        <v>6292</v>
      </c>
    </row>
    <row r="4788" spans="1:1" hidden="1">
      <c r="A4788" s="13" t="s">
        <v>6293</v>
      </c>
    </row>
    <row r="4789" spans="1:1" hidden="1">
      <c r="A4789" s="13" t="s">
        <v>6294</v>
      </c>
    </row>
    <row r="4790" spans="1:1" hidden="1">
      <c r="A4790" s="13" t="s">
        <v>6295</v>
      </c>
    </row>
    <row r="4791" spans="1:1" hidden="1">
      <c r="A4791" s="13" t="s">
        <v>6296</v>
      </c>
    </row>
    <row r="4792" spans="1:1" hidden="1">
      <c r="A4792" s="13" t="s">
        <v>6297</v>
      </c>
    </row>
    <row r="4793" spans="1:1" hidden="1">
      <c r="A4793" s="13" t="s">
        <v>6298</v>
      </c>
    </row>
    <row r="4794" spans="1:1" hidden="1">
      <c r="A4794" s="13" t="s">
        <v>6299</v>
      </c>
    </row>
    <row r="4795" spans="1:1" hidden="1">
      <c r="A4795" s="13" t="s">
        <v>7374</v>
      </c>
    </row>
    <row r="4796" spans="1:1" hidden="1">
      <c r="A4796" s="13" t="s">
        <v>6300</v>
      </c>
    </row>
    <row r="4797" spans="1:1" hidden="1">
      <c r="A4797" s="13" t="s">
        <v>6301</v>
      </c>
    </row>
    <row r="4798" spans="1:1" hidden="1">
      <c r="A4798" s="13" t="s">
        <v>6302</v>
      </c>
    </row>
    <row r="4799" spans="1:1" hidden="1">
      <c r="A4799" s="13" t="s">
        <v>6303</v>
      </c>
    </row>
    <row r="4800" spans="1:1" hidden="1">
      <c r="A4800" s="13" t="s">
        <v>6304</v>
      </c>
    </row>
    <row r="4801" spans="1:1" hidden="1">
      <c r="A4801" s="13" t="s">
        <v>7375</v>
      </c>
    </row>
    <row r="4802" spans="1:1" hidden="1">
      <c r="A4802" s="13" t="s">
        <v>6305</v>
      </c>
    </row>
    <row r="4803" spans="1:1" hidden="1">
      <c r="A4803" s="13" t="s">
        <v>6306</v>
      </c>
    </row>
    <row r="4804" spans="1:1" hidden="1">
      <c r="A4804" s="13" t="s">
        <v>6307</v>
      </c>
    </row>
    <row r="4805" spans="1:1" hidden="1">
      <c r="A4805" s="13" t="s">
        <v>6308</v>
      </c>
    </row>
    <row r="4806" spans="1:1" hidden="1">
      <c r="A4806" s="13" t="s">
        <v>6309</v>
      </c>
    </row>
    <row r="4807" spans="1:1" hidden="1">
      <c r="A4807" s="13" t="s">
        <v>6310</v>
      </c>
    </row>
    <row r="4808" spans="1:1" hidden="1">
      <c r="A4808" s="13" t="s">
        <v>7376</v>
      </c>
    </row>
    <row r="4809" spans="1:1" hidden="1">
      <c r="A4809" s="13" t="s">
        <v>7377</v>
      </c>
    </row>
    <row r="4810" spans="1:1" hidden="1">
      <c r="A4810" s="13" t="s">
        <v>7378</v>
      </c>
    </row>
    <row r="4811" spans="1:1" hidden="1">
      <c r="A4811" s="13" t="s">
        <v>6311</v>
      </c>
    </row>
    <row r="4812" spans="1:1" hidden="1">
      <c r="A4812" s="13" t="s">
        <v>6312</v>
      </c>
    </row>
    <row r="4813" spans="1:1" hidden="1">
      <c r="A4813" s="13" t="s">
        <v>6313</v>
      </c>
    </row>
    <row r="4814" spans="1:1" hidden="1">
      <c r="A4814" s="13" t="s">
        <v>6314</v>
      </c>
    </row>
    <row r="4815" spans="1:1" hidden="1">
      <c r="A4815" s="13" t="s">
        <v>6315</v>
      </c>
    </row>
    <row r="4816" spans="1:1" customFormat="1" hidden="1">
      <c r="A4816" s="13" t="s">
        <v>6316</v>
      </c>
    </row>
    <row r="4817" spans="1:1" customFormat="1" hidden="1">
      <c r="A4817" s="13" t="s">
        <v>6317</v>
      </c>
    </row>
    <row r="4818" spans="1:1" customFormat="1" hidden="1">
      <c r="A4818" s="13" t="s">
        <v>6318</v>
      </c>
    </row>
    <row r="4819" spans="1:1" customFormat="1" hidden="1">
      <c r="A4819" s="13" t="s">
        <v>6319</v>
      </c>
    </row>
    <row r="4820" spans="1:1" customFormat="1" hidden="1">
      <c r="A4820" s="13" t="s">
        <v>6320</v>
      </c>
    </row>
    <row r="4821" spans="1:1" customFormat="1" hidden="1">
      <c r="A4821" s="13" t="s">
        <v>6321</v>
      </c>
    </row>
    <row r="4822" spans="1:1" customFormat="1" hidden="1">
      <c r="A4822" s="13" t="s">
        <v>6322</v>
      </c>
    </row>
    <row r="4823" spans="1:1" customFormat="1" hidden="1">
      <c r="A4823" s="13" t="s">
        <v>6323</v>
      </c>
    </row>
    <row r="4824" spans="1:1" customFormat="1" hidden="1">
      <c r="A4824" s="13" t="s">
        <v>6324</v>
      </c>
    </row>
    <row r="4825" spans="1:1" customFormat="1" hidden="1">
      <c r="A4825" s="13" t="s">
        <v>6325</v>
      </c>
    </row>
    <row r="4826" spans="1:1" customFormat="1" hidden="1">
      <c r="A4826" s="13" t="s">
        <v>6326</v>
      </c>
    </row>
    <row r="4827" spans="1:1" customFormat="1" hidden="1">
      <c r="A4827" s="13" t="s">
        <v>6327</v>
      </c>
    </row>
    <row r="4828" spans="1:1" customFormat="1" hidden="1">
      <c r="A4828" s="13" t="s">
        <v>6328</v>
      </c>
    </row>
    <row r="4829" spans="1:1" customFormat="1" hidden="1">
      <c r="A4829" s="13" t="s">
        <v>6329</v>
      </c>
    </row>
    <row r="4830" spans="1:1" customFormat="1" hidden="1">
      <c r="A4830" s="13" t="s">
        <v>6330</v>
      </c>
    </row>
    <row r="4831" spans="1:1" customFormat="1" hidden="1">
      <c r="A4831" s="13" t="s">
        <v>6331</v>
      </c>
    </row>
    <row r="4832" spans="1:1" customFormat="1" hidden="1">
      <c r="A4832" s="13" t="s">
        <v>6332</v>
      </c>
    </row>
    <row r="4833" spans="1:1" customFormat="1" hidden="1">
      <c r="A4833" s="13" t="s">
        <v>6333</v>
      </c>
    </row>
    <row r="4834" spans="1:1" customFormat="1" hidden="1">
      <c r="A4834" s="13" t="s">
        <v>6334</v>
      </c>
    </row>
    <row r="4835" spans="1:1" customFormat="1" hidden="1">
      <c r="A4835" s="13" t="s">
        <v>6335</v>
      </c>
    </row>
    <row r="4836" spans="1:1" customFormat="1" hidden="1">
      <c r="A4836" s="13" t="s">
        <v>6336</v>
      </c>
    </row>
    <row r="4837" spans="1:1" customFormat="1" hidden="1">
      <c r="A4837" s="13" t="s">
        <v>6337</v>
      </c>
    </row>
    <row r="4838" spans="1:1" customFormat="1" hidden="1">
      <c r="A4838" s="13" t="s">
        <v>6338</v>
      </c>
    </row>
    <row r="4839" spans="1:1" customFormat="1" hidden="1">
      <c r="A4839" s="13" t="s">
        <v>6339</v>
      </c>
    </row>
    <row r="4840" spans="1:1" customFormat="1" hidden="1">
      <c r="A4840" s="13" t="s">
        <v>6340</v>
      </c>
    </row>
    <row r="4841" spans="1:1" customFormat="1" hidden="1">
      <c r="A4841" s="13" t="s">
        <v>6341</v>
      </c>
    </row>
    <row r="4842" spans="1:1" customFormat="1" hidden="1">
      <c r="A4842" s="13" t="s">
        <v>6342</v>
      </c>
    </row>
    <row r="4843" spans="1:1" customFormat="1" hidden="1">
      <c r="A4843" s="13" t="s">
        <v>6343</v>
      </c>
    </row>
    <row r="4844" spans="1:1" customFormat="1" hidden="1">
      <c r="A4844" s="13" t="s">
        <v>6344</v>
      </c>
    </row>
    <row r="4845" spans="1:1" customFormat="1" hidden="1">
      <c r="A4845" s="13" t="s">
        <v>6345</v>
      </c>
    </row>
    <row r="4846" spans="1:1" customFormat="1" hidden="1">
      <c r="A4846" s="13" t="s">
        <v>6346</v>
      </c>
    </row>
    <row r="4847" spans="1:1" customFormat="1" hidden="1">
      <c r="A4847" s="13" t="s">
        <v>6347</v>
      </c>
    </row>
    <row r="4848" spans="1:1" customFormat="1" hidden="1">
      <c r="A4848" s="13" t="s">
        <v>6348</v>
      </c>
    </row>
    <row r="4849" spans="1:1" customFormat="1" hidden="1">
      <c r="A4849" s="13" t="s">
        <v>6349</v>
      </c>
    </row>
    <row r="4850" spans="1:1" customFormat="1" hidden="1">
      <c r="A4850" s="13" t="s">
        <v>6350</v>
      </c>
    </row>
    <row r="4851" spans="1:1" customFormat="1" hidden="1">
      <c r="A4851" s="13"/>
    </row>
    <row r="4852" spans="1:1" customFormat="1" hidden="1">
      <c r="A4852" s="13" t="s">
        <v>6351</v>
      </c>
    </row>
    <row r="4853" spans="1:1" customFormat="1" hidden="1">
      <c r="A4853" s="13" t="s">
        <v>6352</v>
      </c>
    </row>
    <row r="4854" spans="1:1" customFormat="1" hidden="1">
      <c r="A4854" s="13" t="s">
        <v>6353</v>
      </c>
    </row>
    <row r="4855" spans="1:1" customFormat="1" hidden="1">
      <c r="A4855" s="13" t="s">
        <v>6354</v>
      </c>
    </row>
    <row r="4856" spans="1:1" customFormat="1" hidden="1">
      <c r="A4856" s="13" t="s">
        <v>6355</v>
      </c>
    </row>
    <row r="4857" spans="1:1" customFormat="1" hidden="1">
      <c r="A4857" s="13" t="s">
        <v>6356</v>
      </c>
    </row>
    <row r="4858" spans="1:1" customFormat="1" hidden="1">
      <c r="A4858" s="13" t="s">
        <v>6357</v>
      </c>
    </row>
    <row r="4859" spans="1:1" customFormat="1" hidden="1">
      <c r="A4859" s="13" t="s">
        <v>6358</v>
      </c>
    </row>
    <row r="4860" spans="1:1" customFormat="1" hidden="1">
      <c r="A4860" s="13" t="s">
        <v>6359</v>
      </c>
    </row>
    <row r="4861" spans="1:1" customFormat="1" hidden="1">
      <c r="A4861" s="13" t="s">
        <v>6360</v>
      </c>
    </row>
    <row r="4862" spans="1:1" customFormat="1" hidden="1">
      <c r="A4862" s="13" t="s">
        <v>6361</v>
      </c>
    </row>
    <row r="4863" spans="1:1" customFormat="1" hidden="1">
      <c r="A4863" s="13" t="s">
        <v>6362</v>
      </c>
    </row>
    <row r="4864" spans="1:1" customFormat="1" hidden="1">
      <c r="A4864" s="13" t="s">
        <v>6363</v>
      </c>
    </row>
    <row r="4865" spans="1:1" customFormat="1" hidden="1">
      <c r="A4865" s="13" t="s">
        <v>6364</v>
      </c>
    </row>
    <row r="4866" spans="1:1" customFormat="1" hidden="1">
      <c r="A4866" s="13" t="s">
        <v>6365</v>
      </c>
    </row>
    <row r="4867" spans="1:1" customFormat="1" hidden="1">
      <c r="A4867" s="13" t="s">
        <v>6366</v>
      </c>
    </row>
    <row r="4868" spans="1:1" customFormat="1" hidden="1">
      <c r="A4868" s="13" t="s">
        <v>6367</v>
      </c>
    </row>
    <row r="4869" spans="1:1" customFormat="1" hidden="1">
      <c r="A4869" s="13" t="s">
        <v>6368</v>
      </c>
    </row>
    <row r="4870" spans="1:1" customFormat="1" hidden="1">
      <c r="A4870" s="13" t="s">
        <v>6369</v>
      </c>
    </row>
    <row r="4871" spans="1:1" customFormat="1" hidden="1">
      <c r="A4871" s="13" t="s">
        <v>6370</v>
      </c>
    </row>
    <row r="4872" spans="1:1" customFormat="1" hidden="1">
      <c r="A4872" s="13" t="s">
        <v>6371</v>
      </c>
    </row>
    <row r="4873" spans="1:1" customFormat="1" hidden="1">
      <c r="A4873" s="13" t="s">
        <v>6372</v>
      </c>
    </row>
    <row r="4874" spans="1:1" customFormat="1" hidden="1">
      <c r="A4874" s="13" t="s">
        <v>6373</v>
      </c>
    </row>
    <row r="4875" spans="1:1" customFormat="1" hidden="1">
      <c r="A4875" s="13" t="s">
        <v>6374</v>
      </c>
    </row>
    <row r="4876" spans="1:1" customFormat="1" hidden="1">
      <c r="A4876" s="13" t="s">
        <v>6375</v>
      </c>
    </row>
    <row r="4877" spans="1:1" customFormat="1" hidden="1">
      <c r="A4877" s="13" t="s">
        <v>6376</v>
      </c>
    </row>
    <row r="4878" spans="1:1" customFormat="1" hidden="1">
      <c r="A4878" s="13" t="s">
        <v>6377</v>
      </c>
    </row>
    <row r="4879" spans="1:1" customFormat="1" hidden="1">
      <c r="A4879" s="13" t="s">
        <v>6378</v>
      </c>
    </row>
    <row r="4880" spans="1:1" customFormat="1" hidden="1">
      <c r="A4880" s="13" t="s">
        <v>6379</v>
      </c>
    </row>
    <row r="4881" spans="1:1" customFormat="1" hidden="1">
      <c r="A4881" s="13" t="s">
        <v>6380</v>
      </c>
    </row>
    <row r="4882" spans="1:1" customFormat="1" hidden="1">
      <c r="A4882" s="13" t="s">
        <v>6381</v>
      </c>
    </row>
    <row r="4883" spans="1:1" customFormat="1" hidden="1">
      <c r="A4883" s="13" t="s">
        <v>6382</v>
      </c>
    </row>
    <row r="4884" spans="1:1" customFormat="1" hidden="1">
      <c r="A4884" s="13" t="s">
        <v>6383</v>
      </c>
    </row>
    <row r="4885" spans="1:1" customFormat="1" hidden="1">
      <c r="A4885" s="13" t="s">
        <v>6384</v>
      </c>
    </row>
    <row r="4886" spans="1:1" customFormat="1" hidden="1">
      <c r="A4886" s="13" t="s">
        <v>6385</v>
      </c>
    </row>
    <row r="4887" spans="1:1" customFormat="1" hidden="1">
      <c r="A4887" s="13" t="s">
        <v>6386</v>
      </c>
    </row>
    <row r="4888" spans="1:1" customFormat="1" hidden="1">
      <c r="A4888" s="13" t="s">
        <v>6387</v>
      </c>
    </row>
    <row r="4889" spans="1:1" customFormat="1" hidden="1">
      <c r="A4889" s="13" t="s">
        <v>6388</v>
      </c>
    </row>
    <row r="4890" spans="1:1" customFormat="1" hidden="1">
      <c r="A4890" s="13" t="s">
        <v>6389</v>
      </c>
    </row>
    <row r="4891" spans="1:1" customFormat="1" hidden="1">
      <c r="A4891" s="13" t="s">
        <v>6390</v>
      </c>
    </row>
    <row r="4892" spans="1:1" customFormat="1" hidden="1">
      <c r="A4892" s="13" t="s">
        <v>6391</v>
      </c>
    </row>
    <row r="4893" spans="1:1" customFormat="1" hidden="1">
      <c r="A4893" s="13" t="s">
        <v>6392</v>
      </c>
    </row>
    <row r="4894" spans="1:1" customFormat="1" hidden="1">
      <c r="A4894" s="13" t="s">
        <v>6393</v>
      </c>
    </row>
    <row r="4895" spans="1:1" customFormat="1" hidden="1">
      <c r="A4895" s="13" t="s">
        <v>6394</v>
      </c>
    </row>
    <row r="4896" spans="1:1" customFormat="1" hidden="1">
      <c r="A4896" s="13" t="s">
        <v>6395</v>
      </c>
    </row>
    <row r="4897" spans="1:1" customFormat="1" hidden="1">
      <c r="A4897" s="13" t="s">
        <v>6396</v>
      </c>
    </row>
    <row r="4898" spans="1:1" customFormat="1" hidden="1">
      <c r="A4898" s="13" t="s">
        <v>6397</v>
      </c>
    </row>
    <row r="4899" spans="1:1" customFormat="1" hidden="1">
      <c r="A4899" s="13" t="s">
        <v>6398</v>
      </c>
    </row>
    <row r="4900" spans="1:1" customFormat="1" hidden="1">
      <c r="A4900" s="13" t="s">
        <v>6399</v>
      </c>
    </row>
    <row r="4901" spans="1:1" customFormat="1" hidden="1">
      <c r="A4901" s="13" t="s">
        <v>6400</v>
      </c>
    </row>
    <row r="4902" spans="1:1" customFormat="1" hidden="1">
      <c r="A4902" s="13" t="s">
        <v>6401</v>
      </c>
    </row>
    <row r="4903" spans="1:1" customFormat="1" hidden="1">
      <c r="A4903" s="13" t="s">
        <v>6402</v>
      </c>
    </row>
    <row r="4904" spans="1:1" customFormat="1" hidden="1">
      <c r="A4904" s="13" t="s">
        <v>6403</v>
      </c>
    </row>
    <row r="4905" spans="1:1" customFormat="1" hidden="1">
      <c r="A4905" s="13" t="s">
        <v>6404</v>
      </c>
    </row>
    <row r="4906" spans="1:1" customFormat="1" hidden="1">
      <c r="A4906" s="13" t="s">
        <v>6405</v>
      </c>
    </row>
    <row r="4907" spans="1:1" customFormat="1" hidden="1">
      <c r="A4907" s="13" t="s">
        <v>6406</v>
      </c>
    </row>
    <row r="4908" spans="1:1" customFormat="1" hidden="1">
      <c r="A4908" s="13" t="s">
        <v>6407</v>
      </c>
    </row>
    <row r="4909" spans="1:1" customFormat="1" hidden="1">
      <c r="A4909" s="13" t="s">
        <v>6408</v>
      </c>
    </row>
    <row r="4910" spans="1:1" customFormat="1" hidden="1">
      <c r="A4910" s="13" t="s">
        <v>6409</v>
      </c>
    </row>
    <row r="4911" spans="1:1" customFormat="1" hidden="1">
      <c r="A4911" s="13" t="s">
        <v>6410</v>
      </c>
    </row>
    <row r="4912" spans="1:1" customFormat="1" hidden="1">
      <c r="A4912" s="13" t="s">
        <v>6411</v>
      </c>
    </row>
    <row r="4913" spans="1:1" customFormat="1" hidden="1">
      <c r="A4913" s="13" t="s">
        <v>6412</v>
      </c>
    </row>
    <row r="4914" spans="1:1" customFormat="1" hidden="1">
      <c r="A4914" s="13" t="s">
        <v>6413</v>
      </c>
    </row>
    <row r="4915" spans="1:1" customFormat="1" hidden="1">
      <c r="A4915" s="13" t="s">
        <v>6414</v>
      </c>
    </row>
    <row r="4916" spans="1:1" customFormat="1" hidden="1">
      <c r="A4916" s="13" t="s">
        <v>6415</v>
      </c>
    </row>
    <row r="4917" spans="1:1" customFormat="1" hidden="1">
      <c r="A4917" s="13" t="s">
        <v>6416</v>
      </c>
    </row>
    <row r="4918" spans="1:1" customFormat="1" hidden="1">
      <c r="A4918" s="13" t="s">
        <v>6417</v>
      </c>
    </row>
    <row r="4919" spans="1:1" customFormat="1" hidden="1">
      <c r="A4919" s="13" t="s">
        <v>6418</v>
      </c>
    </row>
    <row r="4920" spans="1:1" customFormat="1" hidden="1">
      <c r="A4920" s="13" t="s">
        <v>6419</v>
      </c>
    </row>
    <row r="4921" spans="1:1" customFormat="1" hidden="1">
      <c r="A4921" s="13" t="s">
        <v>6420</v>
      </c>
    </row>
    <row r="4922" spans="1:1" customFormat="1" hidden="1">
      <c r="A4922" s="13" t="s">
        <v>6421</v>
      </c>
    </row>
    <row r="4923" spans="1:1" customFormat="1" hidden="1">
      <c r="A4923" s="13" t="s">
        <v>6422</v>
      </c>
    </row>
    <row r="4924" spans="1:1" customFormat="1" hidden="1">
      <c r="A4924" s="13" t="s">
        <v>6423</v>
      </c>
    </row>
    <row r="4925" spans="1:1" customFormat="1" hidden="1">
      <c r="A4925" s="13" t="s">
        <v>6424</v>
      </c>
    </row>
    <row r="4926" spans="1:1" customFormat="1" hidden="1">
      <c r="A4926" s="13" t="s">
        <v>6425</v>
      </c>
    </row>
    <row r="4927" spans="1:1" customFormat="1" hidden="1">
      <c r="A4927" s="13" t="s">
        <v>6426</v>
      </c>
    </row>
    <row r="4928" spans="1:1" customFormat="1" hidden="1">
      <c r="A4928" s="13" t="s">
        <v>6427</v>
      </c>
    </row>
    <row r="4929" spans="1:1" customFormat="1" hidden="1">
      <c r="A4929" s="13" t="s">
        <v>6428</v>
      </c>
    </row>
    <row r="4930" spans="1:1" customFormat="1" hidden="1">
      <c r="A4930" s="13" t="s">
        <v>6429</v>
      </c>
    </row>
    <row r="4931" spans="1:1" customFormat="1" hidden="1">
      <c r="A4931" s="13" t="s">
        <v>6430</v>
      </c>
    </row>
    <row r="4932" spans="1:1" customFormat="1" hidden="1">
      <c r="A4932" s="13" t="s">
        <v>6431</v>
      </c>
    </row>
    <row r="4933" spans="1:1" customFormat="1" hidden="1">
      <c r="A4933" s="13" t="s">
        <v>6432</v>
      </c>
    </row>
    <row r="4934" spans="1:1" customFormat="1" hidden="1">
      <c r="A4934" s="13" t="s">
        <v>6433</v>
      </c>
    </row>
    <row r="4935" spans="1:1" customFormat="1" hidden="1">
      <c r="A4935" s="13" t="s">
        <v>6434</v>
      </c>
    </row>
    <row r="4936" spans="1:1" customFormat="1" hidden="1">
      <c r="A4936" s="13" t="s">
        <v>6435</v>
      </c>
    </row>
    <row r="4937" spans="1:1" customFormat="1" hidden="1">
      <c r="A4937" s="13" t="s">
        <v>6436</v>
      </c>
    </row>
    <row r="4938" spans="1:1" customFormat="1" hidden="1">
      <c r="A4938" s="13" t="s">
        <v>6437</v>
      </c>
    </row>
    <row r="4939" spans="1:1" customFormat="1" hidden="1">
      <c r="A4939" s="13" t="s">
        <v>6438</v>
      </c>
    </row>
    <row r="4940" spans="1:1" customFormat="1" hidden="1">
      <c r="A4940" s="13" t="s">
        <v>6439</v>
      </c>
    </row>
    <row r="4941" spans="1:1" customFormat="1" hidden="1">
      <c r="A4941" s="13" t="s">
        <v>6440</v>
      </c>
    </row>
    <row r="4942" spans="1:1" customFormat="1" hidden="1">
      <c r="A4942" s="13" t="s">
        <v>6441</v>
      </c>
    </row>
    <row r="4943" spans="1:1" customFormat="1" hidden="1">
      <c r="A4943" s="13" t="s">
        <v>6442</v>
      </c>
    </row>
    <row r="4944" spans="1:1" customFormat="1" hidden="1">
      <c r="A4944" s="13" t="s">
        <v>6443</v>
      </c>
    </row>
    <row r="4945" spans="1:1" customFormat="1" hidden="1">
      <c r="A4945" s="13" t="s">
        <v>6444</v>
      </c>
    </row>
    <row r="4946" spans="1:1" customFormat="1" hidden="1">
      <c r="A4946" s="13" t="s">
        <v>6445</v>
      </c>
    </row>
    <row r="4947" spans="1:1" customFormat="1" hidden="1">
      <c r="A4947" s="13" t="s">
        <v>6446</v>
      </c>
    </row>
    <row r="4948" spans="1:1" customFormat="1" hidden="1">
      <c r="A4948" s="13" t="s">
        <v>6447</v>
      </c>
    </row>
    <row r="4949" spans="1:1" customFormat="1" hidden="1">
      <c r="A4949" s="13" t="s">
        <v>6448</v>
      </c>
    </row>
    <row r="4950" spans="1:1" customFormat="1" hidden="1">
      <c r="A4950" s="13" t="s">
        <v>6449</v>
      </c>
    </row>
    <row r="4951" spans="1:1" customFormat="1" hidden="1">
      <c r="A4951" s="13" t="s">
        <v>6450</v>
      </c>
    </row>
    <row r="4952" spans="1:1" customFormat="1" hidden="1">
      <c r="A4952" s="13" t="s">
        <v>6451</v>
      </c>
    </row>
    <row r="4953" spans="1:1" customFormat="1" hidden="1">
      <c r="A4953" s="13" t="s">
        <v>6452</v>
      </c>
    </row>
    <row r="4954" spans="1:1" customFormat="1" hidden="1">
      <c r="A4954" s="13" t="s">
        <v>6453</v>
      </c>
    </row>
    <row r="4955" spans="1:1" customFormat="1" hidden="1">
      <c r="A4955" s="13" t="s">
        <v>6454</v>
      </c>
    </row>
    <row r="4956" spans="1:1" customFormat="1" hidden="1">
      <c r="A4956" s="13" t="s">
        <v>6455</v>
      </c>
    </row>
    <row r="4957" spans="1:1" customFormat="1" hidden="1">
      <c r="A4957" s="13" t="s">
        <v>6456</v>
      </c>
    </row>
    <row r="4958" spans="1:1" customFormat="1" hidden="1">
      <c r="A4958" s="13" t="s">
        <v>6457</v>
      </c>
    </row>
    <row r="4959" spans="1:1" customFormat="1" hidden="1">
      <c r="A4959" s="13" t="s">
        <v>6458</v>
      </c>
    </row>
    <row r="4960" spans="1:1" customFormat="1" hidden="1">
      <c r="A4960" s="13" t="s">
        <v>6459</v>
      </c>
    </row>
    <row r="4961" spans="1:1" customFormat="1" hidden="1">
      <c r="A4961" s="13" t="s">
        <v>6460</v>
      </c>
    </row>
    <row r="4962" spans="1:1" customFormat="1" hidden="1">
      <c r="A4962" s="13" t="s">
        <v>6461</v>
      </c>
    </row>
    <row r="4963" spans="1:1" customFormat="1" hidden="1">
      <c r="A4963" s="13" t="s">
        <v>6462</v>
      </c>
    </row>
    <row r="4964" spans="1:1" customFormat="1" hidden="1">
      <c r="A4964" s="13" t="s">
        <v>6463</v>
      </c>
    </row>
    <row r="4965" spans="1:1" customFormat="1" hidden="1">
      <c r="A4965" s="13" t="s">
        <v>6464</v>
      </c>
    </row>
    <row r="4966" spans="1:1" customFormat="1" hidden="1">
      <c r="A4966" s="13" t="s">
        <v>6465</v>
      </c>
    </row>
    <row r="4967" spans="1:1" customFormat="1" hidden="1">
      <c r="A4967" s="13" t="s">
        <v>6466</v>
      </c>
    </row>
    <row r="4968" spans="1:1" customFormat="1" hidden="1">
      <c r="A4968" s="13" t="s">
        <v>6467</v>
      </c>
    </row>
    <row r="4969" spans="1:1" customFormat="1" hidden="1">
      <c r="A4969" s="13" t="s">
        <v>6468</v>
      </c>
    </row>
    <row r="4970" spans="1:1" customFormat="1" hidden="1">
      <c r="A4970" s="13" t="s">
        <v>6469</v>
      </c>
    </row>
    <row r="4971" spans="1:1" customFormat="1" hidden="1">
      <c r="A4971" s="13" t="s">
        <v>6470</v>
      </c>
    </row>
    <row r="4972" spans="1:1" customFormat="1" hidden="1">
      <c r="A4972" s="13" t="s">
        <v>6471</v>
      </c>
    </row>
    <row r="4973" spans="1:1" customFormat="1" hidden="1">
      <c r="A4973" s="13" t="s">
        <v>6472</v>
      </c>
    </row>
    <row r="4974" spans="1:1" customFormat="1" hidden="1">
      <c r="A4974" s="13" t="s">
        <v>6473</v>
      </c>
    </row>
    <row r="4975" spans="1:1" customFormat="1" hidden="1">
      <c r="A4975" s="13" t="s">
        <v>6474</v>
      </c>
    </row>
    <row r="4976" spans="1:1" customFormat="1" hidden="1">
      <c r="A4976" s="13" t="s">
        <v>6475</v>
      </c>
    </row>
    <row r="4977" spans="1:1" customFormat="1" hidden="1">
      <c r="A4977" s="13" t="s">
        <v>6476</v>
      </c>
    </row>
    <row r="4978" spans="1:1" customFormat="1" hidden="1">
      <c r="A4978" s="13" t="s">
        <v>6477</v>
      </c>
    </row>
    <row r="4979" spans="1:1" customFormat="1" hidden="1">
      <c r="A4979" s="13" t="s">
        <v>6478</v>
      </c>
    </row>
    <row r="4980" spans="1:1" customFormat="1" hidden="1">
      <c r="A4980" s="13" t="s">
        <v>6479</v>
      </c>
    </row>
    <row r="4981" spans="1:1" customFormat="1" hidden="1">
      <c r="A4981" s="13" t="s">
        <v>6480</v>
      </c>
    </row>
    <row r="4982" spans="1:1" customFormat="1" hidden="1">
      <c r="A4982" s="13" t="s">
        <v>6481</v>
      </c>
    </row>
    <row r="4983" spans="1:1" customFormat="1" hidden="1">
      <c r="A4983" s="13" t="s">
        <v>6482</v>
      </c>
    </row>
    <row r="4984" spans="1:1" customFormat="1" hidden="1">
      <c r="A4984" s="13" t="s">
        <v>6483</v>
      </c>
    </row>
    <row r="4985" spans="1:1" customFormat="1" hidden="1">
      <c r="A4985" s="13" t="s">
        <v>6484</v>
      </c>
    </row>
    <row r="4986" spans="1:1" customFormat="1" hidden="1">
      <c r="A4986" s="13" t="s">
        <v>6485</v>
      </c>
    </row>
    <row r="4987" spans="1:1" customFormat="1" hidden="1">
      <c r="A4987" s="13" t="s">
        <v>6486</v>
      </c>
    </row>
    <row r="4988" spans="1:1" customFormat="1" hidden="1">
      <c r="A4988" s="13" t="s">
        <v>6487</v>
      </c>
    </row>
    <row r="4989" spans="1:1" customFormat="1" hidden="1">
      <c r="A4989" s="13" t="s">
        <v>6488</v>
      </c>
    </row>
    <row r="4990" spans="1:1" customFormat="1" hidden="1">
      <c r="A4990" s="13" t="s">
        <v>6489</v>
      </c>
    </row>
    <row r="4991" spans="1:1" customFormat="1" hidden="1">
      <c r="A4991" s="13" t="s">
        <v>6490</v>
      </c>
    </row>
    <row r="4992" spans="1:1" customFormat="1" hidden="1">
      <c r="A4992" s="13" t="s">
        <v>6491</v>
      </c>
    </row>
    <row r="4993" spans="1:1" customFormat="1" hidden="1">
      <c r="A4993" s="13" t="s">
        <v>6492</v>
      </c>
    </row>
    <row r="4994" spans="1:1" customFormat="1" hidden="1">
      <c r="A4994" s="13" t="s">
        <v>6493</v>
      </c>
    </row>
    <row r="4995" spans="1:1" customFormat="1" hidden="1">
      <c r="A4995" s="13" t="s">
        <v>6494</v>
      </c>
    </row>
    <row r="4996" spans="1:1" customFormat="1" hidden="1">
      <c r="A4996" s="13" t="s">
        <v>6495</v>
      </c>
    </row>
    <row r="4997" spans="1:1" customFormat="1" hidden="1">
      <c r="A4997" s="13" t="s">
        <v>6496</v>
      </c>
    </row>
    <row r="4998" spans="1:1" customFormat="1" hidden="1">
      <c r="A4998" s="13" t="s">
        <v>6497</v>
      </c>
    </row>
    <row r="4999" spans="1:1" customFormat="1" hidden="1">
      <c r="A4999" s="13" t="s">
        <v>6498</v>
      </c>
    </row>
    <row r="5000" spans="1:1" customFormat="1" hidden="1">
      <c r="A5000" s="13" t="s">
        <v>6499</v>
      </c>
    </row>
    <row r="5001" spans="1:1" customFormat="1" hidden="1">
      <c r="A5001" s="13" t="s">
        <v>6500</v>
      </c>
    </row>
    <row r="5002" spans="1:1" customFormat="1" hidden="1">
      <c r="A5002" s="13" t="s">
        <v>6501</v>
      </c>
    </row>
    <row r="5003" spans="1:1" customFormat="1" hidden="1">
      <c r="A5003" s="13" t="s">
        <v>6502</v>
      </c>
    </row>
    <row r="5004" spans="1:1" customFormat="1" hidden="1">
      <c r="A5004" s="13" t="s">
        <v>6503</v>
      </c>
    </row>
    <row r="5005" spans="1:1" customFormat="1" hidden="1">
      <c r="A5005" s="13" t="s">
        <v>6504</v>
      </c>
    </row>
    <row r="5006" spans="1:1" customFormat="1" hidden="1">
      <c r="A5006" s="13" t="s">
        <v>6505</v>
      </c>
    </row>
    <row r="5007" spans="1:1" customFormat="1" hidden="1">
      <c r="A5007" s="13" t="s">
        <v>6506</v>
      </c>
    </row>
    <row r="5008" spans="1:1" customFormat="1" hidden="1">
      <c r="A5008" s="13" t="s">
        <v>6507</v>
      </c>
    </row>
    <row r="5009" spans="1:1" customFormat="1" hidden="1">
      <c r="A5009" s="13" t="s">
        <v>6508</v>
      </c>
    </row>
    <row r="5010" spans="1:1" customFormat="1" hidden="1">
      <c r="A5010" s="13" t="s">
        <v>6509</v>
      </c>
    </row>
    <row r="5011" spans="1:1" customFormat="1" hidden="1">
      <c r="A5011" s="13" t="s">
        <v>6510</v>
      </c>
    </row>
    <row r="5012" spans="1:1" customFormat="1" hidden="1">
      <c r="A5012" s="13" t="s">
        <v>6511</v>
      </c>
    </row>
    <row r="5013" spans="1:1" customFormat="1" hidden="1">
      <c r="A5013" s="13" t="s">
        <v>6512</v>
      </c>
    </row>
    <row r="5014" spans="1:1" customFormat="1" hidden="1">
      <c r="A5014" s="13" t="s">
        <v>6513</v>
      </c>
    </row>
    <row r="5015" spans="1:1" customFormat="1" hidden="1">
      <c r="A5015" s="13" t="s">
        <v>6514</v>
      </c>
    </row>
    <row r="5016" spans="1:1" customFormat="1" hidden="1">
      <c r="A5016" s="13" t="s">
        <v>6515</v>
      </c>
    </row>
    <row r="5017" spans="1:1" customFormat="1" hidden="1">
      <c r="A5017" s="13" t="s">
        <v>6516</v>
      </c>
    </row>
    <row r="5018" spans="1:1" customFormat="1" hidden="1">
      <c r="A5018" s="13" t="s">
        <v>6517</v>
      </c>
    </row>
    <row r="5019" spans="1:1" customFormat="1" hidden="1">
      <c r="A5019" s="13" t="s">
        <v>6518</v>
      </c>
    </row>
    <row r="5020" spans="1:1" customFormat="1" hidden="1">
      <c r="A5020" s="13" t="s">
        <v>6519</v>
      </c>
    </row>
    <row r="5021" spans="1:1" customFormat="1" hidden="1">
      <c r="A5021" s="13" t="s">
        <v>6520</v>
      </c>
    </row>
    <row r="5022" spans="1:1" customFormat="1" hidden="1">
      <c r="A5022" s="13" t="s">
        <v>6521</v>
      </c>
    </row>
    <row r="5023" spans="1:1" customFormat="1" hidden="1">
      <c r="A5023" s="13" t="s">
        <v>6522</v>
      </c>
    </row>
    <row r="5024" spans="1:1" customFormat="1" hidden="1">
      <c r="A5024" s="13" t="s">
        <v>6523</v>
      </c>
    </row>
    <row r="5025" spans="1:1" customFormat="1" hidden="1">
      <c r="A5025" s="13" t="s">
        <v>6524</v>
      </c>
    </row>
    <row r="5026" spans="1:1" customFormat="1" hidden="1">
      <c r="A5026" s="13" t="s">
        <v>6525</v>
      </c>
    </row>
    <row r="5027" spans="1:1" customFormat="1" hidden="1">
      <c r="A5027" s="13" t="s">
        <v>6526</v>
      </c>
    </row>
    <row r="5028" spans="1:1" customFormat="1" hidden="1">
      <c r="A5028" s="13" t="s">
        <v>6527</v>
      </c>
    </row>
    <row r="5029" spans="1:1" customFormat="1" hidden="1">
      <c r="A5029" s="13" t="s">
        <v>6528</v>
      </c>
    </row>
    <row r="5030" spans="1:1" customFormat="1" hidden="1">
      <c r="A5030" s="13" t="s">
        <v>6529</v>
      </c>
    </row>
    <row r="5031" spans="1:1" customFormat="1" hidden="1">
      <c r="A5031" s="13" t="s">
        <v>6530</v>
      </c>
    </row>
    <row r="5032" spans="1:1" customFormat="1" hidden="1">
      <c r="A5032" s="13" t="s">
        <v>6531</v>
      </c>
    </row>
    <row r="5033" spans="1:1" customFormat="1" hidden="1">
      <c r="A5033" s="13" t="s">
        <v>6532</v>
      </c>
    </row>
    <row r="5034" spans="1:1" customFormat="1" hidden="1">
      <c r="A5034" s="13" t="s">
        <v>6533</v>
      </c>
    </row>
    <row r="5035" spans="1:1" customFormat="1" hidden="1">
      <c r="A5035" s="13" t="s">
        <v>6534</v>
      </c>
    </row>
    <row r="5036" spans="1:1" customFormat="1" hidden="1">
      <c r="A5036" s="13" t="s">
        <v>6535</v>
      </c>
    </row>
    <row r="5037" spans="1:1" customFormat="1" hidden="1">
      <c r="A5037" s="13" t="s">
        <v>6536</v>
      </c>
    </row>
    <row r="5038" spans="1:1" customFormat="1" hidden="1">
      <c r="A5038" s="13" t="s">
        <v>6537</v>
      </c>
    </row>
    <row r="5039" spans="1:1" customFormat="1" hidden="1">
      <c r="A5039" s="13" t="s">
        <v>6538</v>
      </c>
    </row>
    <row r="5040" spans="1:1" customFormat="1" hidden="1">
      <c r="A5040" s="13" t="s">
        <v>6539</v>
      </c>
    </row>
    <row r="5041" spans="1:7" customFormat="1" hidden="1">
      <c r="A5041" s="13" t="s">
        <v>6540</v>
      </c>
    </row>
    <row r="5042" spans="1:7" customFormat="1" hidden="1">
      <c r="A5042" s="13" t="s">
        <v>6541</v>
      </c>
    </row>
    <row r="5043" spans="1:7" customFormat="1" hidden="1">
      <c r="A5043" s="13" t="s">
        <v>6542</v>
      </c>
    </row>
    <row r="5044" spans="1:7" customFormat="1" hidden="1">
      <c r="A5044" s="13" t="s">
        <v>6543</v>
      </c>
    </row>
    <row r="5045" spans="1:7" customFormat="1" hidden="1">
      <c r="A5045" s="13"/>
    </row>
    <row r="5046" spans="1:7" customFormat="1" hidden="1">
      <c r="A5046" s="13" t="s">
        <v>6544</v>
      </c>
    </row>
    <row r="5047" spans="1:7" customFormat="1" hidden="1">
      <c r="A5047" s="13" t="s">
        <v>6545</v>
      </c>
      <c r="E5047" s="13"/>
      <c r="F5047" s="13"/>
      <c r="G5047" s="13"/>
    </row>
    <row r="5048" spans="1:7" customFormat="1" hidden="1">
      <c r="A5048" s="13" t="s">
        <v>6546</v>
      </c>
      <c r="E5048" s="13"/>
    </row>
    <row r="5049" spans="1:7" customFormat="1" hidden="1">
      <c r="A5049" s="13" t="s">
        <v>6547</v>
      </c>
      <c r="E5049" s="13"/>
    </row>
    <row r="5050" spans="1:7" customFormat="1" hidden="1">
      <c r="A5050" s="13" t="s">
        <v>6548</v>
      </c>
      <c r="E5050" s="13"/>
    </row>
    <row r="5051" spans="1:7" hidden="1">
      <c r="A5051" s="13" t="s">
        <v>6549</v>
      </c>
    </row>
    <row r="5052" spans="1:7" hidden="1">
      <c r="A5052" s="13" t="s">
        <v>6550</v>
      </c>
    </row>
    <row r="5053" spans="1:7" hidden="1">
      <c r="A5053" s="13" t="s">
        <v>6551</v>
      </c>
    </row>
    <row r="5054" spans="1:7" hidden="1">
      <c r="A5054" s="13" t="s">
        <v>6552</v>
      </c>
    </row>
    <row r="5055" spans="1:7" hidden="1">
      <c r="A5055" s="13" t="s">
        <v>6553</v>
      </c>
    </row>
    <row r="5056" spans="1:7" hidden="1">
      <c r="A5056" s="13" t="s">
        <v>6554</v>
      </c>
    </row>
    <row r="5057" spans="1:1" hidden="1">
      <c r="A5057" s="13" t="s">
        <v>6555</v>
      </c>
    </row>
    <row r="5058" spans="1:1" hidden="1">
      <c r="A5058" s="13" t="s">
        <v>6556</v>
      </c>
    </row>
    <row r="5059" spans="1:1" hidden="1">
      <c r="A5059" s="13" t="s">
        <v>6557</v>
      </c>
    </row>
    <row r="5060" spans="1:1" hidden="1">
      <c r="A5060" s="13" t="s">
        <v>6558</v>
      </c>
    </row>
    <row r="5061" spans="1:1" hidden="1">
      <c r="A5061" s="13" t="s">
        <v>6559</v>
      </c>
    </row>
    <row r="5062" spans="1:1" hidden="1">
      <c r="A5062" s="13" t="s">
        <v>6560</v>
      </c>
    </row>
    <row r="5063" spans="1:1" hidden="1">
      <c r="A5063" s="13" t="s">
        <v>6561</v>
      </c>
    </row>
    <row r="5064" spans="1:1" hidden="1">
      <c r="A5064" s="13" t="s">
        <v>6562</v>
      </c>
    </row>
    <row r="5065" spans="1:1" hidden="1">
      <c r="A5065" s="13" t="s">
        <v>6563</v>
      </c>
    </row>
    <row r="5066" spans="1:1" hidden="1">
      <c r="A5066" s="13" t="s">
        <v>6564</v>
      </c>
    </row>
    <row r="5067" spans="1:1" hidden="1">
      <c r="A5067" s="13" t="s">
        <v>6565</v>
      </c>
    </row>
    <row r="5068" spans="1:1" hidden="1">
      <c r="A5068" s="13" t="s">
        <v>6566</v>
      </c>
    </row>
    <row r="5069" spans="1:1" hidden="1">
      <c r="A5069" s="13" t="s">
        <v>6567</v>
      </c>
    </row>
    <row r="5070" spans="1:1" hidden="1">
      <c r="A5070" s="13" t="s">
        <v>6568</v>
      </c>
    </row>
    <row r="5071" spans="1:1" hidden="1">
      <c r="A5071" s="13" t="s">
        <v>6569</v>
      </c>
    </row>
    <row r="5072" spans="1:1" hidden="1">
      <c r="A5072" s="13" t="s">
        <v>6570</v>
      </c>
    </row>
    <row r="5073" spans="1:1" hidden="1">
      <c r="A5073" s="13" t="s">
        <v>6571</v>
      </c>
    </row>
    <row r="5074" spans="1:1" hidden="1">
      <c r="A5074" s="13" t="s">
        <v>6572</v>
      </c>
    </row>
    <row r="5075" spans="1:1" hidden="1">
      <c r="A5075" s="13" t="s">
        <v>6573</v>
      </c>
    </row>
    <row r="5076" spans="1:1" hidden="1">
      <c r="A5076" s="13" t="s">
        <v>6574</v>
      </c>
    </row>
    <row r="5077" spans="1:1" hidden="1">
      <c r="A5077" s="13" t="s">
        <v>6575</v>
      </c>
    </row>
    <row r="5078" spans="1:1" hidden="1">
      <c r="A5078" s="13" t="s">
        <v>6576</v>
      </c>
    </row>
    <row r="5079" spans="1:1" hidden="1">
      <c r="A5079" s="13" t="s">
        <v>6577</v>
      </c>
    </row>
    <row r="5080" spans="1:1" hidden="1">
      <c r="A5080" s="13" t="s">
        <v>6578</v>
      </c>
    </row>
    <row r="5081" spans="1:1" hidden="1">
      <c r="A5081" s="13" t="s">
        <v>6579</v>
      </c>
    </row>
    <row r="5082" spans="1:1" hidden="1">
      <c r="A5082" s="13" t="s">
        <v>6580</v>
      </c>
    </row>
    <row r="5083" spans="1:1" hidden="1">
      <c r="A5083" s="13" t="s">
        <v>6581</v>
      </c>
    </row>
    <row r="5084" spans="1:1" hidden="1">
      <c r="A5084" s="13" t="s">
        <v>6582</v>
      </c>
    </row>
    <row r="5085" spans="1:1" hidden="1">
      <c r="A5085" s="13" t="s">
        <v>6583</v>
      </c>
    </row>
    <row r="5086" spans="1:1" hidden="1">
      <c r="A5086" s="13" t="s">
        <v>6584</v>
      </c>
    </row>
    <row r="5087" spans="1:1" hidden="1">
      <c r="A5087" s="13" t="s">
        <v>6585</v>
      </c>
    </row>
    <row r="5088" spans="1:1" hidden="1">
      <c r="A5088" s="13" t="s">
        <v>6586</v>
      </c>
    </row>
    <row r="5089" spans="1:1" hidden="1">
      <c r="A5089" s="13" t="s">
        <v>6587</v>
      </c>
    </row>
    <row r="5090" spans="1:1" hidden="1">
      <c r="A5090" s="13" t="s">
        <v>6588</v>
      </c>
    </row>
    <row r="5091" spans="1:1" hidden="1">
      <c r="A5091" s="13" t="s">
        <v>6589</v>
      </c>
    </row>
    <row r="5092" spans="1:1" hidden="1">
      <c r="A5092" s="13" t="s">
        <v>6590</v>
      </c>
    </row>
    <row r="5093" spans="1:1" hidden="1">
      <c r="A5093" s="13" t="s">
        <v>6591</v>
      </c>
    </row>
    <row r="5094" spans="1:1" hidden="1">
      <c r="A5094" s="13" t="s">
        <v>6592</v>
      </c>
    </row>
    <row r="5095" spans="1:1" hidden="1">
      <c r="A5095" s="13" t="s">
        <v>6593</v>
      </c>
    </row>
    <row r="5096" spans="1:1" hidden="1">
      <c r="A5096" s="13" t="s">
        <v>6594</v>
      </c>
    </row>
    <row r="5097" spans="1:1" hidden="1">
      <c r="A5097" s="13" t="s">
        <v>6595</v>
      </c>
    </row>
    <row r="5098" spans="1:1" hidden="1">
      <c r="A5098" s="13" t="s">
        <v>6596</v>
      </c>
    </row>
    <row r="5099" spans="1:1" hidden="1">
      <c r="A5099" s="13" t="s">
        <v>6597</v>
      </c>
    </row>
    <row r="5100" spans="1:1" hidden="1">
      <c r="A5100" s="13" t="s">
        <v>6598</v>
      </c>
    </row>
    <row r="5101" spans="1:1" hidden="1">
      <c r="A5101" s="13" t="s">
        <v>6599</v>
      </c>
    </row>
    <row r="5102" spans="1:1" hidden="1">
      <c r="A5102" s="13" t="s">
        <v>6600</v>
      </c>
    </row>
    <row r="5103" spans="1:1" hidden="1">
      <c r="A5103" s="13" t="s">
        <v>6601</v>
      </c>
    </row>
    <row r="5104" spans="1:1" hidden="1">
      <c r="A5104" s="13" t="s">
        <v>6602</v>
      </c>
    </row>
    <row r="5105" spans="1:1" hidden="1">
      <c r="A5105" s="13" t="s">
        <v>6603</v>
      </c>
    </row>
    <row r="5106" spans="1:1" hidden="1">
      <c r="A5106" s="13" t="s">
        <v>6604</v>
      </c>
    </row>
    <row r="5107" spans="1:1" hidden="1">
      <c r="A5107" s="13" t="s">
        <v>6605</v>
      </c>
    </row>
    <row r="5108" spans="1:1" hidden="1">
      <c r="A5108" s="13" t="s">
        <v>6606</v>
      </c>
    </row>
    <row r="5109" spans="1:1" hidden="1">
      <c r="A5109" s="13" t="s">
        <v>6607</v>
      </c>
    </row>
    <row r="5110" spans="1:1" hidden="1">
      <c r="A5110" s="13" t="s">
        <v>6608</v>
      </c>
    </row>
    <row r="5111" spans="1:1" hidden="1">
      <c r="A5111" s="13" t="s">
        <v>6609</v>
      </c>
    </row>
    <row r="5112" spans="1:1" hidden="1">
      <c r="A5112" s="13" t="s">
        <v>6610</v>
      </c>
    </row>
    <row r="5113" spans="1:1" hidden="1">
      <c r="A5113" s="13" t="s">
        <v>6611</v>
      </c>
    </row>
    <row r="5114" spans="1:1" hidden="1">
      <c r="A5114" s="13" t="s">
        <v>6612</v>
      </c>
    </row>
    <row r="5115" spans="1:1" hidden="1">
      <c r="A5115" s="13" t="s">
        <v>6613</v>
      </c>
    </row>
    <row r="5116" spans="1:1" hidden="1">
      <c r="A5116" s="13" t="s">
        <v>6614</v>
      </c>
    </row>
    <row r="5117" spans="1:1" hidden="1">
      <c r="A5117" s="13" t="s">
        <v>6615</v>
      </c>
    </row>
    <row r="5118" spans="1:1" hidden="1">
      <c r="A5118" s="13" t="s">
        <v>6616</v>
      </c>
    </row>
    <row r="5119" spans="1:1" hidden="1">
      <c r="A5119" s="13" t="s">
        <v>6617</v>
      </c>
    </row>
    <row r="5120" spans="1:1" hidden="1">
      <c r="A5120" s="13" t="s">
        <v>6618</v>
      </c>
    </row>
    <row r="5121" spans="1:1" hidden="1">
      <c r="A5121" s="13" t="s">
        <v>6619</v>
      </c>
    </row>
    <row r="5122" spans="1:1" hidden="1">
      <c r="A5122" s="13" t="s">
        <v>6620</v>
      </c>
    </row>
    <row r="5123" spans="1:1" hidden="1">
      <c r="A5123" s="13" t="s">
        <v>6621</v>
      </c>
    </row>
    <row r="5124" spans="1:1" hidden="1">
      <c r="A5124" s="13" t="s">
        <v>6622</v>
      </c>
    </row>
    <row r="5125" spans="1:1" hidden="1">
      <c r="A5125" s="13" t="s">
        <v>6623</v>
      </c>
    </row>
    <row r="5126" spans="1:1" hidden="1">
      <c r="A5126" s="13" t="s">
        <v>6624</v>
      </c>
    </row>
    <row r="5127" spans="1:1" hidden="1">
      <c r="A5127" s="13" t="s">
        <v>6625</v>
      </c>
    </row>
    <row r="5128" spans="1:1" hidden="1">
      <c r="A5128" s="13" t="s">
        <v>6626</v>
      </c>
    </row>
    <row r="5129" spans="1:1" hidden="1">
      <c r="A5129" s="13" t="s">
        <v>6627</v>
      </c>
    </row>
    <row r="5130" spans="1:1" hidden="1">
      <c r="A5130" s="13" t="s">
        <v>6628</v>
      </c>
    </row>
    <row r="5131" spans="1:1" hidden="1">
      <c r="A5131" s="13" t="s">
        <v>6629</v>
      </c>
    </row>
    <row r="5132" spans="1:1" hidden="1">
      <c r="A5132" s="13" t="s">
        <v>6630</v>
      </c>
    </row>
    <row r="5133" spans="1:1" hidden="1">
      <c r="A5133" s="13" t="s">
        <v>6631</v>
      </c>
    </row>
    <row r="5134" spans="1:1" hidden="1">
      <c r="A5134" s="13" t="s">
        <v>7379</v>
      </c>
    </row>
    <row r="5135" spans="1:1" hidden="1">
      <c r="A5135" s="13" t="s">
        <v>6632</v>
      </c>
    </row>
    <row r="5136" spans="1:1" hidden="1">
      <c r="A5136" s="13" t="s">
        <v>6633</v>
      </c>
    </row>
    <row r="5137" spans="1:1" hidden="1">
      <c r="A5137" s="13" t="s">
        <v>6634</v>
      </c>
    </row>
    <row r="5138" spans="1:1" hidden="1">
      <c r="A5138" s="13" t="s">
        <v>6635</v>
      </c>
    </row>
    <row r="5139" spans="1:1" hidden="1">
      <c r="A5139" s="13" t="s">
        <v>6636</v>
      </c>
    </row>
    <row r="5140" spans="1:1" hidden="1">
      <c r="A5140" s="13" t="s">
        <v>6637</v>
      </c>
    </row>
    <row r="5141" spans="1:1" hidden="1">
      <c r="A5141" s="13" t="s">
        <v>6638</v>
      </c>
    </row>
    <row r="5142" spans="1:1" hidden="1">
      <c r="A5142" s="13" t="s">
        <v>6639</v>
      </c>
    </row>
    <row r="5143" spans="1:1" hidden="1">
      <c r="A5143" s="13" t="s">
        <v>6640</v>
      </c>
    </row>
    <row r="5144" spans="1:1" hidden="1">
      <c r="A5144" s="13" t="s">
        <v>6641</v>
      </c>
    </row>
    <row r="5145" spans="1:1" hidden="1">
      <c r="A5145" s="13" t="s">
        <v>6642</v>
      </c>
    </row>
    <row r="5146" spans="1:1" customFormat="1" hidden="1">
      <c r="A5146" s="13" t="s">
        <v>6643</v>
      </c>
    </row>
    <row r="5147" spans="1:1" customFormat="1" hidden="1">
      <c r="A5147" s="13" t="s">
        <v>6644</v>
      </c>
    </row>
    <row r="5148" spans="1:1" customFormat="1" hidden="1">
      <c r="A5148" s="13" t="s">
        <v>6645</v>
      </c>
    </row>
    <row r="5149" spans="1:1" customFormat="1" hidden="1">
      <c r="A5149" s="13" t="s">
        <v>6646</v>
      </c>
    </row>
    <row r="5150" spans="1:1" customFormat="1" hidden="1">
      <c r="A5150" s="13" t="s">
        <v>6647</v>
      </c>
    </row>
    <row r="5151" spans="1:1" customFormat="1" hidden="1">
      <c r="A5151" s="13" t="s">
        <v>6648</v>
      </c>
    </row>
    <row r="5152" spans="1:1" customFormat="1" hidden="1">
      <c r="A5152" s="13" t="s">
        <v>6649</v>
      </c>
    </row>
    <row r="5153" spans="1:1" customFormat="1" hidden="1">
      <c r="A5153" s="13" t="s">
        <v>6650</v>
      </c>
    </row>
    <row r="5154" spans="1:1" customFormat="1" hidden="1">
      <c r="A5154" s="13" t="s">
        <v>6651</v>
      </c>
    </row>
    <row r="5155" spans="1:1" customFormat="1" hidden="1">
      <c r="A5155" s="13" t="s">
        <v>6652</v>
      </c>
    </row>
    <row r="5156" spans="1:1" customFormat="1" hidden="1">
      <c r="A5156" s="13" t="s">
        <v>6653</v>
      </c>
    </row>
    <row r="5157" spans="1:1" customFormat="1" hidden="1">
      <c r="A5157" s="13" t="s">
        <v>6654</v>
      </c>
    </row>
    <row r="5158" spans="1:1" customFormat="1" hidden="1">
      <c r="A5158" s="13" t="s">
        <v>6655</v>
      </c>
    </row>
    <row r="5159" spans="1:1" customFormat="1" hidden="1">
      <c r="A5159" s="13" t="s">
        <v>6656</v>
      </c>
    </row>
    <row r="5160" spans="1:1" customFormat="1" hidden="1">
      <c r="A5160" s="13" t="s">
        <v>6657</v>
      </c>
    </row>
    <row r="5161" spans="1:1" customFormat="1" hidden="1">
      <c r="A5161" s="13" t="s">
        <v>6658</v>
      </c>
    </row>
    <row r="5162" spans="1:1" customFormat="1" hidden="1">
      <c r="A5162" s="13" t="s">
        <v>6659</v>
      </c>
    </row>
    <row r="5163" spans="1:1" customFormat="1" hidden="1">
      <c r="A5163" s="13" t="s">
        <v>6660</v>
      </c>
    </row>
    <row r="5164" spans="1:1" customFormat="1" hidden="1">
      <c r="A5164" s="13" t="s">
        <v>6661</v>
      </c>
    </row>
    <row r="5165" spans="1:1" customFormat="1" hidden="1">
      <c r="A5165" s="13" t="s">
        <v>6662</v>
      </c>
    </row>
    <row r="5166" spans="1:1" customFormat="1" hidden="1">
      <c r="A5166" s="13" t="s">
        <v>6663</v>
      </c>
    </row>
    <row r="5167" spans="1:1" customFormat="1" hidden="1">
      <c r="A5167" s="13" t="s">
        <v>6664</v>
      </c>
    </row>
    <row r="5168" spans="1:1" customFormat="1" hidden="1">
      <c r="A5168" s="13" t="s">
        <v>6665</v>
      </c>
    </row>
    <row r="5169" spans="1:1" customFormat="1" hidden="1">
      <c r="A5169" s="13" t="s">
        <v>6666</v>
      </c>
    </row>
    <row r="5170" spans="1:1" customFormat="1" hidden="1">
      <c r="A5170" s="13" t="s">
        <v>6667</v>
      </c>
    </row>
    <row r="5171" spans="1:1" customFormat="1" hidden="1">
      <c r="A5171" s="13" t="s">
        <v>6668</v>
      </c>
    </row>
    <row r="5172" spans="1:1" customFormat="1" hidden="1">
      <c r="A5172" s="13" t="s">
        <v>6669</v>
      </c>
    </row>
    <row r="5173" spans="1:1" customFormat="1" hidden="1">
      <c r="A5173" s="13" t="s">
        <v>6670</v>
      </c>
    </row>
    <row r="5174" spans="1:1" customFormat="1" hidden="1">
      <c r="A5174" s="13" t="s">
        <v>6671</v>
      </c>
    </row>
    <row r="5175" spans="1:1" customFormat="1" hidden="1">
      <c r="A5175" s="13" t="s">
        <v>6672</v>
      </c>
    </row>
    <row r="5176" spans="1:1" customFormat="1" hidden="1">
      <c r="A5176" s="13" t="s">
        <v>6673</v>
      </c>
    </row>
    <row r="5177" spans="1:1" customFormat="1" hidden="1">
      <c r="A5177" s="13" t="s">
        <v>6674</v>
      </c>
    </row>
    <row r="5178" spans="1:1" customFormat="1" hidden="1">
      <c r="A5178" s="13" t="s">
        <v>6675</v>
      </c>
    </row>
    <row r="5179" spans="1:1" customFormat="1" hidden="1">
      <c r="A5179" s="13" t="s">
        <v>6676</v>
      </c>
    </row>
    <row r="5180" spans="1:1" customFormat="1" hidden="1">
      <c r="A5180" s="13" t="s">
        <v>6677</v>
      </c>
    </row>
    <row r="5181" spans="1:1" customFormat="1" hidden="1">
      <c r="A5181" s="13" t="s">
        <v>6678</v>
      </c>
    </row>
    <row r="5182" spans="1:1" customFormat="1" hidden="1">
      <c r="A5182" s="13" t="s">
        <v>6679</v>
      </c>
    </row>
    <row r="5183" spans="1:1" customFormat="1" hidden="1">
      <c r="A5183" s="13" t="s">
        <v>6680</v>
      </c>
    </row>
    <row r="5184" spans="1:1" customFormat="1" hidden="1">
      <c r="A5184" s="13" t="s">
        <v>6681</v>
      </c>
    </row>
    <row r="5185" spans="1:1" customFormat="1" hidden="1">
      <c r="A5185" s="13" t="s">
        <v>6682</v>
      </c>
    </row>
    <row r="5186" spans="1:1" customFormat="1" hidden="1">
      <c r="A5186" s="13" t="s">
        <v>6683</v>
      </c>
    </row>
    <row r="5187" spans="1:1" customFormat="1" hidden="1">
      <c r="A5187" s="13" t="s">
        <v>6684</v>
      </c>
    </row>
    <row r="5188" spans="1:1" customFormat="1" hidden="1">
      <c r="A5188" s="13" t="s">
        <v>6685</v>
      </c>
    </row>
    <row r="5189" spans="1:1" customFormat="1" hidden="1">
      <c r="A5189" s="13" t="s">
        <v>6686</v>
      </c>
    </row>
    <row r="5190" spans="1:1" customFormat="1" hidden="1">
      <c r="A5190" s="13" t="s">
        <v>6687</v>
      </c>
    </row>
    <row r="5191" spans="1:1" customFormat="1" hidden="1">
      <c r="A5191" s="13" t="s">
        <v>6688</v>
      </c>
    </row>
    <row r="5192" spans="1:1" customFormat="1" hidden="1">
      <c r="A5192" s="13" t="s">
        <v>6689</v>
      </c>
    </row>
    <row r="5193" spans="1:1" customFormat="1" hidden="1">
      <c r="A5193" s="13" t="s">
        <v>6690</v>
      </c>
    </row>
    <row r="5194" spans="1:1" customFormat="1" hidden="1">
      <c r="A5194" s="13" t="s">
        <v>6691</v>
      </c>
    </row>
    <row r="5195" spans="1:1" customFormat="1" hidden="1">
      <c r="A5195" s="13" t="s">
        <v>6692</v>
      </c>
    </row>
    <row r="5196" spans="1:1" customFormat="1" hidden="1">
      <c r="A5196" s="13" t="s">
        <v>6693</v>
      </c>
    </row>
    <row r="5197" spans="1:1" customFormat="1" hidden="1">
      <c r="A5197" s="13" t="s">
        <v>6694</v>
      </c>
    </row>
    <row r="5198" spans="1:1" customFormat="1" hidden="1">
      <c r="A5198" s="13" t="s">
        <v>6695</v>
      </c>
    </row>
    <row r="5199" spans="1:1" customFormat="1" hidden="1">
      <c r="A5199" s="13" t="s">
        <v>6696</v>
      </c>
    </row>
    <row r="5200" spans="1:1" customFormat="1" hidden="1">
      <c r="A5200" s="13" t="s">
        <v>6697</v>
      </c>
    </row>
    <row r="5201" spans="1:1" customFormat="1" hidden="1">
      <c r="A5201" s="13" t="s">
        <v>6698</v>
      </c>
    </row>
    <row r="5202" spans="1:1" customFormat="1" hidden="1">
      <c r="A5202" s="13" t="s">
        <v>6699</v>
      </c>
    </row>
    <row r="5203" spans="1:1" customFormat="1" hidden="1">
      <c r="A5203" s="13" t="s">
        <v>6700</v>
      </c>
    </row>
    <row r="5204" spans="1:1" customFormat="1" hidden="1">
      <c r="A5204" s="13" t="s">
        <v>6701</v>
      </c>
    </row>
    <row r="5205" spans="1:1" customFormat="1" hidden="1">
      <c r="A5205" s="13" t="s">
        <v>6702</v>
      </c>
    </row>
    <row r="5206" spans="1:1" customFormat="1" hidden="1">
      <c r="A5206" s="13" t="s">
        <v>6703</v>
      </c>
    </row>
    <row r="5207" spans="1:1" customFormat="1" hidden="1">
      <c r="A5207" s="13" t="s">
        <v>6704</v>
      </c>
    </row>
    <row r="5208" spans="1:1" customFormat="1" hidden="1">
      <c r="A5208" s="13" t="s">
        <v>6705</v>
      </c>
    </row>
    <row r="5209" spans="1:1" customFormat="1" hidden="1">
      <c r="A5209" s="13" t="s">
        <v>6706</v>
      </c>
    </row>
    <row r="5210" spans="1:1" customFormat="1" hidden="1">
      <c r="A5210" s="13" t="s">
        <v>6707</v>
      </c>
    </row>
    <row r="5211" spans="1:1" customFormat="1" hidden="1">
      <c r="A5211" s="13" t="s">
        <v>6708</v>
      </c>
    </row>
    <row r="5212" spans="1:1" customFormat="1" hidden="1">
      <c r="A5212" s="13" t="s">
        <v>6709</v>
      </c>
    </row>
    <row r="5213" spans="1:1" customFormat="1" hidden="1">
      <c r="A5213" s="13" t="s">
        <v>6710</v>
      </c>
    </row>
    <row r="5214" spans="1:1" customFormat="1" hidden="1">
      <c r="A5214" s="13" t="s">
        <v>6711</v>
      </c>
    </row>
    <row r="5215" spans="1:1" customFormat="1" hidden="1">
      <c r="A5215" s="13" t="s">
        <v>6712</v>
      </c>
    </row>
    <row r="5216" spans="1:1" customFormat="1" hidden="1">
      <c r="A5216" s="13" t="s">
        <v>6713</v>
      </c>
    </row>
    <row r="5217" spans="1:1" customFormat="1" hidden="1">
      <c r="A5217" s="13" t="s">
        <v>6714</v>
      </c>
    </row>
    <row r="5218" spans="1:1" customFormat="1" hidden="1">
      <c r="A5218" s="13" t="s">
        <v>6715</v>
      </c>
    </row>
    <row r="5219" spans="1:1" customFormat="1" hidden="1">
      <c r="A5219" s="13" t="s">
        <v>6716</v>
      </c>
    </row>
    <row r="5220" spans="1:1" customFormat="1" hidden="1">
      <c r="A5220" s="13" t="s">
        <v>6717</v>
      </c>
    </row>
    <row r="5221" spans="1:1" customFormat="1" hidden="1">
      <c r="A5221" s="13" t="s">
        <v>6718</v>
      </c>
    </row>
    <row r="5222" spans="1:1" customFormat="1" hidden="1">
      <c r="A5222" s="13" t="s">
        <v>6719</v>
      </c>
    </row>
    <row r="5223" spans="1:1" customFormat="1" hidden="1">
      <c r="A5223" s="13" t="s">
        <v>6720</v>
      </c>
    </row>
    <row r="5224" spans="1:1" customFormat="1" hidden="1">
      <c r="A5224" s="13" t="s">
        <v>6721</v>
      </c>
    </row>
    <row r="5225" spans="1:1" customFormat="1" hidden="1">
      <c r="A5225" s="13" t="s">
        <v>6722</v>
      </c>
    </row>
    <row r="5226" spans="1:1" customFormat="1" hidden="1">
      <c r="A5226" s="13" t="s">
        <v>6723</v>
      </c>
    </row>
    <row r="5227" spans="1:1" customFormat="1" hidden="1">
      <c r="A5227" s="13" t="s">
        <v>6724</v>
      </c>
    </row>
    <row r="5228" spans="1:1" customFormat="1" hidden="1">
      <c r="A5228" s="13" t="s">
        <v>6725</v>
      </c>
    </row>
    <row r="5229" spans="1:1" customFormat="1" hidden="1">
      <c r="A5229" s="13" t="s">
        <v>6726</v>
      </c>
    </row>
    <row r="5230" spans="1:1" customFormat="1" hidden="1">
      <c r="A5230" s="13" t="s">
        <v>6727</v>
      </c>
    </row>
    <row r="5231" spans="1:1" customFormat="1" hidden="1">
      <c r="A5231" s="13" t="s">
        <v>6728</v>
      </c>
    </row>
    <row r="5232" spans="1:1" customFormat="1" hidden="1">
      <c r="A5232" s="13" t="s">
        <v>6729</v>
      </c>
    </row>
    <row r="5233" spans="1:1" customFormat="1" hidden="1">
      <c r="A5233" s="13" t="s">
        <v>6730</v>
      </c>
    </row>
    <row r="5234" spans="1:1" customFormat="1" hidden="1">
      <c r="A5234" s="13" t="s">
        <v>6731</v>
      </c>
    </row>
    <row r="5235" spans="1:1" customFormat="1" hidden="1">
      <c r="A5235" s="13" t="s">
        <v>6732</v>
      </c>
    </row>
    <row r="5236" spans="1:1" customFormat="1" hidden="1">
      <c r="A5236" s="13" t="s">
        <v>6733</v>
      </c>
    </row>
    <row r="5237" spans="1:1" customFormat="1" hidden="1">
      <c r="A5237" s="13" t="s">
        <v>6734</v>
      </c>
    </row>
    <row r="5238" spans="1:1" customFormat="1" hidden="1">
      <c r="A5238" s="13" t="s">
        <v>6735</v>
      </c>
    </row>
    <row r="5239" spans="1:1" customFormat="1" hidden="1">
      <c r="A5239" s="13"/>
    </row>
    <row r="5240" spans="1:1" customFormat="1" hidden="1">
      <c r="A5240" s="13"/>
    </row>
    <row r="5241" spans="1:1" customFormat="1" hidden="1">
      <c r="A5241" s="13" t="s">
        <v>1943</v>
      </c>
    </row>
    <row r="5242" spans="1:1" customFormat="1" hidden="1">
      <c r="A5242" s="13" t="s">
        <v>6736</v>
      </c>
    </row>
    <row r="5243" spans="1:1" customFormat="1" hidden="1">
      <c r="A5243" s="13" t="s">
        <v>1943</v>
      </c>
    </row>
    <row r="5244" spans="1:1" customFormat="1" hidden="1">
      <c r="A5244" s="13"/>
    </row>
    <row r="5245" spans="1:1" customFormat="1" hidden="1">
      <c r="A5245" s="13" t="s">
        <v>1943</v>
      </c>
    </row>
    <row r="5246" spans="1:1" customFormat="1" hidden="1">
      <c r="A5246" s="13" t="s">
        <v>6737</v>
      </c>
    </row>
    <row r="5247" spans="1:1" customFormat="1" hidden="1">
      <c r="A5247" s="13" t="s">
        <v>1943</v>
      </c>
    </row>
    <row r="5248" spans="1:1" customFormat="1" hidden="1">
      <c r="A5248" s="13"/>
    </row>
    <row r="5249" spans="1:1" customFormat="1" hidden="1">
      <c r="A5249" s="13" t="s">
        <v>1943</v>
      </c>
    </row>
    <row r="5250" spans="1:1" customFormat="1" hidden="1">
      <c r="A5250" s="13" t="s">
        <v>6738</v>
      </c>
    </row>
    <row r="5251" spans="1:1" customFormat="1" hidden="1">
      <c r="A5251" s="13" t="s">
        <v>1943</v>
      </c>
    </row>
    <row r="5252" spans="1:1" customFormat="1" hidden="1">
      <c r="A5252" s="13"/>
    </row>
    <row r="5253" spans="1:1" customFormat="1" hidden="1">
      <c r="A5253" s="13" t="s">
        <v>1943</v>
      </c>
    </row>
    <row r="5254" spans="1:1" customFormat="1" hidden="1">
      <c r="A5254" s="13" t="s">
        <v>6739</v>
      </c>
    </row>
    <row r="5255" spans="1:1" customFormat="1" hidden="1">
      <c r="A5255" s="13" t="s">
        <v>1943</v>
      </c>
    </row>
    <row r="5256" spans="1:1" customFormat="1" hidden="1">
      <c r="A5256" s="13"/>
    </row>
    <row r="5257" spans="1:1" customFormat="1" hidden="1">
      <c r="A5257" s="13"/>
    </row>
    <row r="5258" spans="1:1" customFormat="1" hidden="1">
      <c r="A5258" s="13" t="s">
        <v>7380</v>
      </c>
    </row>
    <row r="5259" spans="1:1" customFormat="1" hidden="1">
      <c r="A5259" s="13"/>
    </row>
    <row r="5260" spans="1:1" customFormat="1" hidden="1">
      <c r="A5260" s="13" t="s">
        <v>1939</v>
      </c>
    </row>
    <row r="5261" spans="1:1" customFormat="1" hidden="1">
      <c r="A5261" s="13" t="s">
        <v>6741</v>
      </c>
    </row>
    <row r="5262" spans="1:1" customFormat="1" hidden="1">
      <c r="A5262" s="13" t="s">
        <v>6742</v>
      </c>
    </row>
    <row r="5263" spans="1:1" customFormat="1" hidden="1">
      <c r="A5263" s="13" t="s">
        <v>6743</v>
      </c>
    </row>
    <row r="5264" spans="1:1" customFormat="1" hidden="1">
      <c r="A5264" s="13" t="s">
        <v>6744</v>
      </c>
    </row>
    <row r="5265" spans="1:1" customFormat="1" hidden="1">
      <c r="A5265" s="13" t="s">
        <v>1939</v>
      </c>
    </row>
    <row r="5266" spans="1:1" customFormat="1" hidden="1">
      <c r="A5266" s="13" t="s">
        <v>1939</v>
      </c>
    </row>
    <row r="5267" spans="1:1" customFormat="1" hidden="1">
      <c r="A5267" s="13" t="s">
        <v>6745</v>
      </c>
    </row>
    <row r="5268" spans="1:1" customFormat="1" hidden="1">
      <c r="A5268" s="13" t="s">
        <v>6746</v>
      </c>
    </row>
    <row r="5269" spans="1:1" customFormat="1" hidden="1">
      <c r="A5269" s="13" t="s">
        <v>6747</v>
      </c>
    </row>
    <row r="5270" spans="1:1" customFormat="1" hidden="1">
      <c r="A5270" s="13" t="s">
        <v>1939</v>
      </c>
    </row>
    <row r="5271" spans="1:1" customFormat="1" hidden="1">
      <c r="A5271" s="13"/>
    </row>
    <row r="5272" spans="1:1" hidden="1">
      <c r="A5272" s="13" t="s">
        <v>6748</v>
      </c>
    </row>
  </sheetData>
  <autoFilter ref="A3:B5272" xr:uid="{F1DC930F-37C6-4041-9AE5-50DE62AAE885}">
    <filterColumn colId="1">
      <customFilters>
        <customFilter operator="notEqual" val=" "/>
      </customFilters>
    </filterColumn>
  </autoFilter>
  <phoneticPr fontId="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A19D-E44F-4547-9744-F83DF52BDBD4}">
  <sheetPr codeName="Sheet19"/>
  <dimension ref="A1:G363"/>
  <sheetViews>
    <sheetView topLeftCell="A61" workbookViewId="0">
      <selection activeCell="G82" sqref="B82:G82"/>
    </sheetView>
  </sheetViews>
  <sheetFormatPr defaultColWidth="9" defaultRowHeight="15"/>
  <cols>
    <col min="1" max="1" width="124.875" style="13" bestFit="1" customWidth="1"/>
    <col min="2" max="2" width="2.875" style="13" bestFit="1" customWidth="1"/>
    <col min="3" max="3" width="9" style="13"/>
    <col min="4" max="4" width="28.25" style="13" bestFit="1" customWidth="1"/>
    <col min="5" max="5" width="2.875" style="13" bestFit="1" customWidth="1"/>
    <col min="6" max="7" width="13.25" style="13" bestFit="1" customWidth="1"/>
    <col min="8" max="16384" width="9" style="13"/>
  </cols>
  <sheetData>
    <row r="1" spans="1:1">
      <c r="A1" s="110" t="s">
        <v>7381</v>
      </c>
    </row>
    <row r="2" spans="1:1">
      <c r="A2" s="110" t="s">
        <v>1939</v>
      </c>
    </row>
    <row r="3" spans="1:1">
      <c r="A3" s="110" t="s">
        <v>7382</v>
      </c>
    </row>
    <row r="4" spans="1:1">
      <c r="A4" s="110" t="s">
        <v>7383</v>
      </c>
    </row>
    <row r="5" spans="1:1">
      <c r="A5" s="110" t="s">
        <v>1939</v>
      </c>
    </row>
    <row r="6" spans="1:1">
      <c r="A6" s="112"/>
    </row>
    <row r="7" spans="1:1">
      <c r="A7" s="110" t="s">
        <v>1939</v>
      </c>
    </row>
    <row r="8" spans="1:1">
      <c r="A8" s="110" t="s">
        <v>7384</v>
      </c>
    </row>
    <row r="9" spans="1:1">
      <c r="A9" s="110" t="s">
        <v>1943</v>
      </c>
    </row>
    <row r="10" spans="1:1">
      <c r="A10" s="110" t="s">
        <v>7385</v>
      </c>
    </row>
    <row r="11" spans="1:1">
      <c r="A11" s="110" t="s">
        <v>1939</v>
      </c>
    </row>
    <row r="12" spans="1:1">
      <c r="A12" s="112"/>
    </row>
    <row r="13" spans="1:1">
      <c r="A13" s="110" t="s">
        <v>1943</v>
      </c>
    </row>
    <row r="14" spans="1:1">
      <c r="A14" s="110" t="s">
        <v>7386</v>
      </c>
    </row>
    <row r="15" spans="1:1">
      <c r="A15" s="110" t="s">
        <v>1943</v>
      </c>
    </row>
    <row r="16" spans="1:1">
      <c r="A16" s="110" t="s">
        <v>7387</v>
      </c>
    </row>
    <row r="17" spans="1:1">
      <c r="A17" s="110" t="s">
        <v>7388</v>
      </c>
    </row>
    <row r="18" spans="1:1">
      <c r="A18" s="110" t="s">
        <v>7389</v>
      </c>
    </row>
    <row r="19" spans="1:1">
      <c r="A19" s="110" t="s">
        <v>7390</v>
      </c>
    </row>
    <row r="20" spans="1:1">
      <c r="A20" s="110" t="s">
        <v>7391</v>
      </c>
    </row>
    <row r="21" spans="1:1">
      <c r="A21" s="112"/>
    </row>
    <row r="22" spans="1:1">
      <c r="A22" s="110" t="s">
        <v>7392</v>
      </c>
    </row>
    <row r="23" spans="1:1">
      <c r="A23" s="110" t="s">
        <v>7393</v>
      </c>
    </row>
    <row r="24" spans="1:1">
      <c r="A24" s="110" t="s">
        <v>7394</v>
      </c>
    </row>
    <row r="25" spans="1:1">
      <c r="A25" s="110" t="s">
        <v>7395</v>
      </c>
    </row>
    <row r="26" spans="1:1">
      <c r="A26" s="110" t="s">
        <v>7396</v>
      </c>
    </row>
    <row r="27" spans="1:1">
      <c r="A27" s="110" t="s">
        <v>7397</v>
      </c>
    </row>
    <row r="28" spans="1:1">
      <c r="A28" s="112"/>
    </row>
    <row r="29" spans="1:1">
      <c r="A29" s="110" t="s">
        <v>7398</v>
      </c>
    </row>
    <row r="30" spans="1:1">
      <c r="A30" s="112"/>
    </row>
    <row r="31" spans="1:1">
      <c r="A31" s="110" t="s">
        <v>7399</v>
      </c>
    </row>
    <row r="32" spans="1:1">
      <c r="A32" s="110" t="s">
        <v>7400</v>
      </c>
    </row>
    <row r="33" spans="1:1">
      <c r="A33" s="112"/>
    </row>
    <row r="34" spans="1:1">
      <c r="A34" s="110" t="s">
        <v>7401</v>
      </c>
    </row>
    <row r="35" spans="1:1">
      <c r="A35" s="110" t="s">
        <v>7402</v>
      </c>
    </row>
    <row r="36" spans="1:1">
      <c r="A36" s="110" t="s">
        <v>7403</v>
      </c>
    </row>
    <row r="37" spans="1:1">
      <c r="A37" s="112"/>
    </row>
    <row r="38" spans="1:1">
      <c r="A38" s="110" t="s">
        <v>1943</v>
      </c>
    </row>
    <row r="39" spans="1:1">
      <c r="A39" s="110" t="s">
        <v>7404</v>
      </c>
    </row>
    <row r="40" spans="1:1">
      <c r="A40" s="110" t="s">
        <v>1943</v>
      </c>
    </row>
    <row r="41" spans="1:1">
      <c r="A41" s="112"/>
    </row>
    <row r="42" spans="1:1">
      <c r="A42" s="110" t="s">
        <v>1943</v>
      </c>
    </row>
    <row r="43" spans="1:1">
      <c r="A43" s="110" t="s">
        <v>7405</v>
      </c>
    </row>
    <row r="44" spans="1:1">
      <c r="A44" s="110" t="s">
        <v>1943</v>
      </c>
    </row>
    <row r="45" spans="1:1">
      <c r="A45" s="112"/>
    </row>
    <row r="46" spans="1:1">
      <c r="A46" s="110" t="s">
        <v>1943</v>
      </c>
    </row>
    <row r="47" spans="1:1">
      <c r="A47" s="110" t="s">
        <v>7406</v>
      </c>
    </row>
    <row r="48" spans="1:1">
      <c r="A48" s="110" t="s">
        <v>1943</v>
      </c>
    </row>
    <row r="49" spans="1:1">
      <c r="A49" s="112"/>
    </row>
    <row r="50" spans="1:1">
      <c r="A50" s="110" t="s">
        <v>1943</v>
      </c>
    </row>
    <row r="51" spans="1:1">
      <c r="A51" s="110" t="s">
        <v>7407</v>
      </c>
    </row>
    <row r="52" spans="1:1">
      <c r="A52" s="110" t="s">
        <v>1943</v>
      </c>
    </row>
    <row r="53" spans="1:1">
      <c r="A53" s="112"/>
    </row>
    <row r="54" spans="1:1">
      <c r="A54" s="110" t="s">
        <v>1943</v>
      </c>
    </row>
    <row r="55" spans="1:1">
      <c r="A55" s="110" t="s">
        <v>7408</v>
      </c>
    </row>
    <row r="56" spans="1:1">
      <c r="A56" s="110" t="s">
        <v>1943</v>
      </c>
    </row>
    <row r="57" spans="1:1">
      <c r="A57" s="110" t="s">
        <v>7409</v>
      </c>
    </row>
    <row r="58" spans="1:1">
      <c r="A58" s="110" t="s">
        <v>7410</v>
      </c>
    </row>
    <row r="59" spans="1:1">
      <c r="A59" s="110" t="s">
        <v>7409</v>
      </c>
    </row>
    <row r="60" spans="1:1">
      <c r="A60" s="110" t="s">
        <v>7411</v>
      </c>
    </row>
    <row r="61" spans="1:1">
      <c r="A61" s="110" t="s">
        <v>7412</v>
      </c>
    </row>
    <row r="62" spans="1:1">
      <c r="A62" s="110" t="s">
        <v>7413</v>
      </c>
    </row>
    <row r="63" spans="1:1">
      <c r="A63" s="110" t="s">
        <v>7414</v>
      </c>
    </row>
    <row r="64" spans="1:1">
      <c r="A64" s="110" t="s">
        <v>7415</v>
      </c>
    </row>
    <row r="65" spans="1:1">
      <c r="A65" s="110" t="s">
        <v>7416</v>
      </c>
    </row>
    <row r="66" spans="1:1">
      <c r="A66" s="110" t="s">
        <v>7417</v>
      </c>
    </row>
    <row r="67" spans="1:1">
      <c r="A67" s="110" t="s">
        <v>7418</v>
      </c>
    </row>
    <row r="68" spans="1:1">
      <c r="A68" s="112" t="s">
        <v>7419</v>
      </c>
    </row>
    <row r="69" spans="1:1">
      <c r="A69" s="110" t="s">
        <v>7420</v>
      </c>
    </row>
    <row r="70" spans="1:1">
      <c r="A70" s="110" t="s">
        <v>7422</v>
      </c>
    </row>
    <row r="71" spans="1:1">
      <c r="A71" s="110" t="s">
        <v>7421</v>
      </c>
    </row>
    <row r="72" spans="1:1">
      <c r="A72" s="110" t="s">
        <v>7423</v>
      </c>
    </row>
    <row r="73" spans="1:1">
      <c r="A73" s="110"/>
    </row>
    <row r="74" spans="1:1">
      <c r="A74" s="110" t="s">
        <v>7409</v>
      </c>
    </row>
    <row r="75" spans="1:1">
      <c r="A75" s="110" t="s">
        <v>7424</v>
      </c>
    </row>
    <row r="76" spans="1:1">
      <c r="A76" s="110" t="s">
        <v>7409</v>
      </c>
    </row>
    <row r="77" spans="1:1">
      <c r="A77" s="110" t="s">
        <v>7425</v>
      </c>
    </row>
    <row r="78" spans="1:1">
      <c r="A78" s="110" t="s">
        <v>7426</v>
      </c>
    </row>
    <row r="79" spans="1:1">
      <c r="A79" s="110" t="s">
        <v>7412</v>
      </c>
    </row>
    <row r="80" spans="1:1">
      <c r="A80" s="110" t="s">
        <v>7427</v>
      </c>
    </row>
    <row r="81" spans="1:7">
      <c r="A81" s="112" t="s">
        <v>7428</v>
      </c>
    </row>
    <row r="82" spans="1:7">
      <c r="A82" s="110" t="s">
        <v>7429</v>
      </c>
      <c r="B82" s="13">
        <v>0</v>
      </c>
      <c r="D82" s="13" t="s">
        <v>8485</v>
      </c>
      <c r="E82" s="13" t="s">
        <v>31</v>
      </c>
      <c r="F82" s="13" t="s">
        <v>8486</v>
      </c>
      <c r="G82" s="13" t="s">
        <v>8487</v>
      </c>
    </row>
    <row r="83" spans="1:7">
      <c r="A83" s="110" t="s">
        <v>7430</v>
      </c>
      <c r="B83" s="13">
        <v>0</v>
      </c>
      <c r="D83" s="13" t="s">
        <v>8485</v>
      </c>
      <c r="E83" s="13" t="s">
        <v>29</v>
      </c>
      <c r="F83" s="13" t="s">
        <v>8488</v>
      </c>
      <c r="G83" s="13" t="s">
        <v>8489</v>
      </c>
    </row>
    <row r="84" spans="1:7">
      <c r="A84" s="110" t="s">
        <v>7431</v>
      </c>
      <c r="B84" s="13">
        <v>0</v>
      </c>
      <c r="D84" s="13" t="s">
        <v>8485</v>
      </c>
      <c r="E84" s="13" t="s">
        <v>8256</v>
      </c>
      <c r="F84" s="13" t="s">
        <v>62</v>
      </c>
      <c r="G84" s="13" t="s">
        <v>8490</v>
      </c>
    </row>
    <row r="85" spans="1:7">
      <c r="A85" s="110" t="s">
        <v>7432</v>
      </c>
      <c r="B85" s="13">
        <v>0</v>
      </c>
      <c r="D85" s="13" t="s">
        <v>8485</v>
      </c>
      <c r="E85" s="13" t="s">
        <v>8258</v>
      </c>
      <c r="F85" s="13" t="s">
        <v>8491</v>
      </c>
      <c r="G85" s="13" t="s">
        <v>8492</v>
      </c>
    </row>
    <row r="86" spans="1:7">
      <c r="A86" s="110" t="s">
        <v>7433</v>
      </c>
      <c r="B86" s="13">
        <v>0</v>
      </c>
      <c r="D86" s="13" t="s">
        <v>8485</v>
      </c>
      <c r="E86" s="13" t="s">
        <v>8260</v>
      </c>
      <c r="F86" s="13" t="s">
        <v>8493</v>
      </c>
      <c r="G86" s="13" t="s">
        <v>8492</v>
      </c>
    </row>
    <row r="87" spans="1:7">
      <c r="A87" s="110" t="s">
        <v>8484</v>
      </c>
      <c r="B87" s="13">
        <v>0</v>
      </c>
      <c r="D87" s="13" t="s">
        <v>8485</v>
      </c>
      <c r="E87" s="13" t="s">
        <v>8264</v>
      </c>
      <c r="F87" s="13" t="s">
        <v>731</v>
      </c>
      <c r="G87" s="13" t="s">
        <v>8494</v>
      </c>
    </row>
    <row r="88" spans="1:7">
      <c r="A88" s="110" t="s">
        <v>7423</v>
      </c>
    </row>
    <row r="89" spans="1:7">
      <c r="A89" s="110" t="s">
        <v>7434</v>
      </c>
    </row>
    <row r="90" spans="1:7">
      <c r="A90" s="110"/>
    </row>
    <row r="91" spans="1:7">
      <c r="A91" s="110" t="s">
        <v>7435</v>
      </c>
    </row>
    <row r="92" spans="1:7">
      <c r="A92" s="110" t="s">
        <v>7436</v>
      </c>
    </row>
    <row r="93" spans="1:7">
      <c r="A93" s="110" t="s">
        <v>7437</v>
      </c>
    </row>
    <row r="94" spans="1:7">
      <c r="A94" s="110" t="s">
        <v>7438</v>
      </c>
    </row>
    <row r="95" spans="1:7">
      <c r="A95" s="110" t="s">
        <v>7439</v>
      </c>
    </row>
    <row r="96" spans="1:7">
      <c r="A96" s="110" t="s">
        <v>7440</v>
      </c>
    </row>
    <row r="97" spans="1:1">
      <c r="A97" s="110" t="s">
        <v>7435</v>
      </c>
    </row>
    <row r="98" spans="1:1">
      <c r="A98" s="112" t="s">
        <v>7441</v>
      </c>
    </row>
    <row r="99" spans="1:1">
      <c r="A99" s="110" t="s">
        <v>7442</v>
      </c>
    </row>
    <row r="100" spans="1:1">
      <c r="A100" s="110" t="s">
        <v>7412</v>
      </c>
    </row>
    <row r="101" spans="1:1">
      <c r="A101" s="110" t="s">
        <v>7443</v>
      </c>
    </row>
    <row r="102" spans="1:1">
      <c r="A102" s="110" t="s">
        <v>7444</v>
      </c>
    </row>
    <row r="103" spans="1:1">
      <c r="A103" s="110" t="s">
        <v>7445</v>
      </c>
    </row>
    <row r="104" spans="1:1">
      <c r="A104" s="110" t="s">
        <v>7446</v>
      </c>
    </row>
    <row r="105" spans="1:1">
      <c r="A105" s="112" t="s">
        <v>7423</v>
      </c>
    </row>
    <row r="106" spans="1:1">
      <c r="A106" s="110" t="s">
        <v>7447</v>
      </c>
    </row>
    <row r="107" spans="1:1">
      <c r="A107" s="110"/>
    </row>
    <row r="108" spans="1:1">
      <c r="A108" s="110" t="s">
        <v>7448</v>
      </c>
    </row>
    <row r="109" spans="1:1">
      <c r="A109" s="110" t="s">
        <v>7449</v>
      </c>
    </row>
    <row r="110" spans="1:1">
      <c r="A110" s="110" t="s">
        <v>7412</v>
      </c>
    </row>
    <row r="111" spans="1:1">
      <c r="A111" s="110" t="s">
        <v>7443</v>
      </c>
    </row>
    <row r="112" spans="1:1">
      <c r="A112" s="112" t="s">
        <v>7423</v>
      </c>
    </row>
    <row r="113" spans="1:1">
      <c r="A113" s="110" t="s">
        <v>7450</v>
      </c>
    </row>
    <row r="114" spans="1:1">
      <c r="A114" s="110"/>
    </row>
    <row r="115" spans="1:1">
      <c r="A115" s="110" t="s">
        <v>7451</v>
      </c>
    </row>
    <row r="116" spans="1:1">
      <c r="A116" s="110" t="s">
        <v>7452</v>
      </c>
    </row>
    <row r="117" spans="1:1">
      <c r="A117" s="110" t="s">
        <v>7412</v>
      </c>
    </row>
    <row r="118" spans="1:1">
      <c r="A118" s="110" t="s">
        <v>7443</v>
      </c>
    </row>
    <row r="119" spans="1:1">
      <c r="A119" s="112" t="s">
        <v>7423</v>
      </c>
    </row>
    <row r="120" spans="1:1">
      <c r="A120" s="110" t="s">
        <v>7453</v>
      </c>
    </row>
    <row r="121" spans="1:1">
      <c r="A121" s="110"/>
    </row>
    <row r="122" spans="1:1">
      <c r="A122" s="110" t="s">
        <v>7454</v>
      </c>
    </row>
    <row r="123" spans="1:1">
      <c r="A123" s="110" t="s">
        <v>7455</v>
      </c>
    </row>
    <row r="124" spans="1:1">
      <c r="A124" s="110" t="s">
        <v>7412</v>
      </c>
    </row>
    <row r="125" spans="1:1">
      <c r="A125" s="110" t="s">
        <v>7443</v>
      </c>
    </row>
    <row r="126" spans="1:1">
      <c r="A126" s="112" t="s">
        <v>7423</v>
      </c>
    </row>
    <row r="127" spans="1:1">
      <c r="A127" s="110" t="s">
        <v>7456</v>
      </c>
    </row>
    <row r="128" spans="1:1">
      <c r="A128" s="110"/>
    </row>
    <row r="129" spans="1:1">
      <c r="A129" s="110" t="s">
        <v>7457</v>
      </c>
    </row>
    <row r="130" spans="1:1">
      <c r="A130" s="110" t="s">
        <v>7458</v>
      </c>
    </row>
    <row r="131" spans="1:1">
      <c r="A131" s="110" t="s">
        <v>7412</v>
      </c>
    </row>
    <row r="132" spans="1:1">
      <c r="A132" s="110" t="s">
        <v>7443</v>
      </c>
    </row>
    <row r="133" spans="1:1">
      <c r="A133" s="112" t="s">
        <v>7423</v>
      </c>
    </row>
    <row r="134" spans="1:1">
      <c r="A134" s="110" t="s">
        <v>7459</v>
      </c>
    </row>
    <row r="135" spans="1:1">
      <c r="A135" s="110"/>
    </row>
    <row r="136" spans="1:1">
      <c r="A136" s="110" t="s">
        <v>7460</v>
      </c>
    </row>
    <row r="137" spans="1:1">
      <c r="A137" s="110" t="s">
        <v>7461</v>
      </c>
    </row>
    <row r="138" spans="1:1">
      <c r="A138" s="110" t="s">
        <v>7412</v>
      </c>
    </row>
    <row r="139" spans="1:1">
      <c r="A139" s="110" t="s">
        <v>7443</v>
      </c>
    </row>
    <row r="140" spans="1:1">
      <c r="A140" s="112" t="s">
        <v>7423</v>
      </c>
    </row>
    <row r="141" spans="1:1">
      <c r="A141" s="110" t="s">
        <v>7462</v>
      </c>
    </row>
    <row r="142" spans="1:1">
      <c r="A142" s="110"/>
    </row>
    <row r="143" spans="1:1">
      <c r="A143" s="110" t="s">
        <v>7463</v>
      </c>
    </row>
    <row r="144" spans="1:1">
      <c r="A144" s="110" t="s">
        <v>7464</v>
      </c>
    </row>
    <row r="145" spans="1:1">
      <c r="A145" s="110" t="s">
        <v>7412</v>
      </c>
    </row>
    <row r="146" spans="1:1">
      <c r="A146" s="110" t="s">
        <v>7443</v>
      </c>
    </row>
    <row r="147" spans="1:1">
      <c r="A147" s="112" t="s">
        <v>7423</v>
      </c>
    </row>
    <row r="148" spans="1:1">
      <c r="A148" s="110" t="s">
        <v>7465</v>
      </c>
    </row>
    <row r="149" spans="1:1">
      <c r="A149" s="110"/>
    </row>
    <row r="150" spans="1:1">
      <c r="A150" s="110" t="s">
        <v>7466</v>
      </c>
    </row>
    <row r="151" spans="1:1">
      <c r="A151" s="110" t="s">
        <v>7467</v>
      </c>
    </row>
    <row r="152" spans="1:1">
      <c r="A152" s="110" t="s">
        <v>7412</v>
      </c>
    </row>
    <row r="153" spans="1:1">
      <c r="A153" s="110" t="s">
        <v>7443</v>
      </c>
    </row>
    <row r="154" spans="1:1">
      <c r="A154" s="112" t="s">
        <v>7423</v>
      </c>
    </row>
    <row r="155" spans="1:1">
      <c r="A155" s="110" t="s">
        <v>7468</v>
      </c>
    </row>
    <row r="156" spans="1:1">
      <c r="A156" s="110"/>
    </row>
    <row r="157" spans="1:1">
      <c r="A157" s="110" t="s">
        <v>7469</v>
      </c>
    </row>
    <row r="158" spans="1:1">
      <c r="A158" s="110" t="s">
        <v>7470</v>
      </c>
    </row>
    <row r="159" spans="1:1">
      <c r="A159" s="110" t="s">
        <v>7412</v>
      </c>
    </row>
    <row r="160" spans="1:1">
      <c r="A160" s="110" t="s">
        <v>7443</v>
      </c>
    </row>
    <row r="161" spans="1:1">
      <c r="A161" s="112" t="s">
        <v>7423</v>
      </c>
    </row>
    <row r="162" spans="1:1">
      <c r="A162" s="110" t="s">
        <v>7471</v>
      </c>
    </row>
    <row r="163" spans="1:1">
      <c r="A163" s="110"/>
    </row>
    <row r="164" spans="1:1">
      <c r="A164" s="110" t="s">
        <v>7472</v>
      </c>
    </row>
    <row r="165" spans="1:1">
      <c r="A165" s="110" t="s">
        <v>7473</v>
      </c>
    </row>
    <row r="166" spans="1:1">
      <c r="A166" s="110" t="s">
        <v>7412</v>
      </c>
    </row>
    <row r="167" spans="1:1">
      <c r="A167" s="110" t="s">
        <v>7443</v>
      </c>
    </row>
    <row r="168" spans="1:1">
      <c r="A168" s="112" t="s">
        <v>7423</v>
      </c>
    </row>
    <row r="169" spans="1:1">
      <c r="A169" s="110" t="s">
        <v>7474</v>
      </c>
    </row>
    <row r="170" spans="1:1">
      <c r="A170" s="110"/>
    </row>
    <row r="171" spans="1:1">
      <c r="A171" s="110" t="s">
        <v>7475</v>
      </c>
    </row>
    <row r="172" spans="1:1">
      <c r="A172" s="110" t="s">
        <v>7476</v>
      </c>
    </row>
    <row r="173" spans="1:1">
      <c r="A173" s="110" t="s">
        <v>7412</v>
      </c>
    </row>
    <row r="174" spans="1:1">
      <c r="A174" s="110" t="s">
        <v>7443</v>
      </c>
    </row>
    <row r="175" spans="1:1">
      <c r="A175" s="112" t="s">
        <v>7423</v>
      </c>
    </row>
    <row r="176" spans="1:1">
      <c r="A176" s="110" t="s">
        <v>7477</v>
      </c>
    </row>
    <row r="177" spans="1:1">
      <c r="A177" s="110"/>
    </row>
    <row r="178" spans="1:1">
      <c r="A178" s="110" t="s">
        <v>7478</v>
      </c>
    </row>
    <row r="179" spans="1:1">
      <c r="A179" s="110" t="s">
        <v>7479</v>
      </c>
    </row>
    <row r="180" spans="1:1">
      <c r="A180" s="110" t="s">
        <v>7412</v>
      </c>
    </row>
    <row r="181" spans="1:1">
      <c r="A181" s="110" t="s">
        <v>7443</v>
      </c>
    </row>
    <row r="182" spans="1:1">
      <c r="A182" s="112" t="s">
        <v>7423</v>
      </c>
    </row>
    <row r="183" spans="1:1">
      <c r="A183" s="110" t="s">
        <v>7480</v>
      </c>
    </row>
    <row r="184" spans="1:1">
      <c r="A184" s="110"/>
    </row>
    <row r="185" spans="1:1">
      <c r="A185" s="110" t="s">
        <v>7481</v>
      </c>
    </row>
    <row r="186" spans="1:1">
      <c r="A186" s="110" t="s">
        <v>7482</v>
      </c>
    </row>
    <row r="187" spans="1:1">
      <c r="A187" s="110" t="s">
        <v>7412</v>
      </c>
    </row>
    <row r="188" spans="1:1">
      <c r="A188" s="110" t="s">
        <v>7443</v>
      </c>
    </row>
    <row r="189" spans="1:1">
      <c r="A189" s="112" t="s">
        <v>7423</v>
      </c>
    </row>
    <row r="190" spans="1:1">
      <c r="A190" s="110" t="s">
        <v>7483</v>
      </c>
    </row>
    <row r="191" spans="1:1">
      <c r="A191" s="110"/>
    </row>
    <row r="192" spans="1:1">
      <c r="A192" s="110" t="s">
        <v>7484</v>
      </c>
    </row>
    <row r="193" spans="1:1">
      <c r="A193" s="110" t="s">
        <v>7485</v>
      </c>
    </row>
    <row r="194" spans="1:1">
      <c r="A194" s="110" t="s">
        <v>7412</v>
      </c>
    </row>
    <row r="195" spans="1:1">
      <c r="A195" s="110" t="s">
        <v>7443</v>
      </c>
    </row>
    <row r="196" spans="1:1">
      <c r="A196" s="112" t="s">
        <v>7423</v>
      </c>
    </row>
    <row r="197" spans="1:1">
      <c r="A197" s="110" t="s">
        <v>7486</v>
      </c>
    </row>
    <row r="198" spans="1:1">
      <c r="A198" s="110"/>
    </row>
    <row r="199" spans="1:1">
      <c r="A199" s="110" t="s">
        <v>7487</v>
      </c>
    </row>
    <row r="200" spans="1:1">
      <c r="A200" s="110" t="s">
        <v>7488</v>
      </c>
    </row>
    <row r="201" spans="1:1">
      <c r="A201" s="110" t="s">
        <v>7412</v>
      </c>
    </row>
    <row r="202" spans="1:1">
      <c r="A202" s="110" t="s">
        <v>7443</v>
      </c>
    </row>
    <row r="203" spans="1:1">
      <c r="A203" s="112" t="s">
        <v>7423</v>
      </c>
    </row>
    <row r="204" spans="1:1">
      <c r="A204" s="112" t="s">
        <v>7489</v>
      </c>
    </row>
    <row r="205" spans="1:1">
      <c r="A205" s="110"/>
    </row>
    <row r="206" spans="1:1">
      <c r="A206" s="110" t="s">
        <v>7490</v>
      </c>
    </row>
    <row r="207" spans="1:1">
      <c r="A207" s="110" t="s">
        <v>7491</v>
      </c>
    </row>
    <row r="208" spans="1:1">
      <c r="A208" s="110" t="s">
        <v>7412</v>
      </c>
    </row>
    <row r="209" spans="1:1">
      <c r="A209" s="110" t="s">
        <v>7443</v>
      </c>
    </row>
    <row r="210" spans="1:1">
      <c r="A210" s="110" t="s">
        <v>7423</v>
      </c>
    </row>
    <row r="211" spans="1:1">
      <c r="A211" s="110" t="s">
        <v>7492</v>
      </c>
    </row>
    <row r="212" spans="1:1">
      <c r="A212" s="110"/>
    </row>
    <row r="213" spans="1:1">
      <c r="A213" s="110"/>
    </row>
    <row r="214" spans="1:1">
      <c r="A214" s="110" t="s">
        <v>7409</v>
      </c>
    </row>
    <row r="215" spans="1:1">
      <c r="A215" s="110" t="s">
        <v>7493</v>
      </c>
    </row>
    <row r="216" spans="1:1">
      <c r="A216" s="110" t="s">
        <v>7409</v>
      </c>
    </row>
    <row r="217" spans="1:1">
      <c r="A217" s="112" t="s">
        <v>7494</v>
      </c>
    </row>
    <row r="218" spans="1:1">
      <c r="A218" s="110" t="s">
        <v>7495</v>
      </c>
    </row>
    <row r="219" spans="1:1">
      <c r="A219" s="112" t="s">
        <v>7412</v>
      </c>
    </row>
    <row r="220" spans="1:1">
      <c r="A220" s="110" t="s">
        <v>7496</v>
      </c>
    </row>
    <row r="221" spans="1:1">
      <c r="A221" s="110" t="s">
        <v>7497</v>
      </c>
    </row>
    <row r="222" spans="1:1">
      <c r="A222" s="110" t="s">
        <v>7498</v>
      </c>
    </row>
    <row r="223" spans="1:1">
      <c r="A223" s="110" t="s">
        <v>7423</v>
      </c>
    </row>
    <row r="224" spans="1:1">
      <c r="A224" s="110"/>
    </row>
    <row r="225" spans="1:1">
      <c r="A225" s="112" t="s">
        <v>7499</v>
      </c>
    </row>
    <row r="226" spans="1:1">
      <c r="A226" s="110"/>
    </row>
    <row r="227" spans="1:1">
      <c r="A227" s="112" t="s">
        <v>7500</v>
      </c>
    </row>
    <row r="228" spans="1:1">
      <c r="A228" s="110" t="s">
        <v>7501</v>
      </c>
    </row>
    <row r="229" spans="1:1">
      <c r="A229" s="110" t="s">
        <v>7412</v>
      </c>
    </row>
    <row r="230" spans="1:1">
      <c r="A230" s="110" t="s">
        <v>7496</v>
      </c>
    </row>
    <row r="231" spans="1:1">
      <c r="A231" s="110" t="s">
        <v>7423</v>
      </c>
    </row>
    <row r="232" spans="1:1">
      <c r="A232" s="110"/>
    </row>
    <row r="233" spans="1:1">
      <c r="A233" s="112" t="s">
        <v>7502</v>
      </c>
    </row>
    <row r="234" spans="1:1">
      <c r="A234" s="110"/>
    </row>
    <row r="235" spans="1:1">
      <c r="A235" s="112" t="s">
        <v>7503</v>
      </c>
    </row>
    <row r="236" spans="1:1">
      <c r="A236" s="110" t="s">
        <v>7504</v>
      </c>
    </row>
    <row r="237" spans="1:1">
      <c r="A237" s="110" t="s">
        <v>7412</v>
      </c>
    </row>
    <row r="238" spans="1:1">
      <c r="A238" s="110" t="s">
        <v>7496</v>
      </c>
    </row>
    <row r="239" spans="1:1">
      <c r="A239" s="110" t="s">
        <v>7423</v>
      </c>
    </row>
    <row r="240" spans="1:1">
      <c r="A240" s="110"/>
    </row>
    <row r="241" spans="1:1">
      <c r="A241" s="112" t="s">
        <v>7505</v>
      </c>
    </row>
    <row r="242" spans="1:1">
      <c r="A242" s="110"/>
    </row>
    <row r="243" spans="1:1">
      <c r="A243" s="112" t="s">
        <v>7506</v>
      </c>
    </row>
    <row r="244" spans="1:1">
      <c r="A244" s="110" t="s">
        <v>7507</v>
      </c>
    </row>
    <row r="245" spans="1:1">
      <c r="A245" s="110" t="s">
        <v>7412</v>
      </c>
    </row>
    <row r="246" spans="1:1">
      <c r="A246" s="110" t="s">
        <v>7496</v>
      </c>
    </row>
    <row r="247" spans="1:1">
      <c r="A247" s="110" t="s">
        <v>7423</v>
      </c>
    </row>
    <row r="248" spans="1:1">
      <c r="A248" s="110"/>
    </row>
    <row r="249" spans="1:1">
      <c r="A249" s="112" t="s">
        <v>7508</v>
      </c>
    </row>
    <row r="250" spans="1:1">
      <c r="A250" s="110"/>
    </row>
    <row r="251" spans="1:1">
      <c r="A251" s="112" t="s">
        <v>7509</v>
      </c>
    </row>
    <row r="252" spans="1:1">
      <c r="A252" s="110" t="s">
        <v>7510</v>
      </c>
    </row>
    <row r="253" spans="1:1">
      <c r="A253" s="110" t="s">
        <v>7412</v>
      </c>
    </row>
    <row r="254" spans="1:1">
      <c r="A254" s="110" t="s">
        <v>7496</v>
      </c>
    </row>
    <row r="255" spans="1:1">
      <c r="A255" s="110" t="s">
        <v>7423</v>
      </c>
    </row>
    <row r="256" spans="1:1">
      <c r="A256" s="110"/>
    </row>
    <row r="257" spans="1:1">
      <c r="A257" s="112" t="s">
        <v>7511</v>
      </c>
    </row>
    <row r="258" spans="1:1">
      <c r="A258" s="110"/>
    </row>
    <row r="259" spans="1:1">
      <c r="A259" s="112" t="s">
        <v>7512</v>
      </c>
    </row>
    <row r="260" spans="1:1">
      <c r="A260" s="110" t="s">
        <v>7513</v>
      </c>
    </row>
    <row r="261" spans="1:1">
      <c r="A261" s="110" t="s">
        <v>7412</v>
      </c>
    </row>
    <row r="262" spans="1:1">
      <c r="A262" s="110" t="s">
        <v>7496</v>
      </c>
    </row>
    <row r="263" spans="1:1">
      <c r="A263" s="110" t="s">
        <v>7423</v>
      </c>
    </row>
    <row r="264" spans="1:1">
      <c r="A264" s="110"/>
    </row>
    <row r="265" spans="1:1">
      <c r="A265" s="112" t="s">
        <v>7514</v>
      </c>
    </row>
    <row r="266" spans="1:1">
      <c r="A266" s="110"/>
    </row>
    <row r="267" spans="1:1">
      <c r="A267" s="112" t="s">
        <v>7515</v>
      </c>
    </row>
    <row r="268" spans="1:1">
      <c r="A268" s="110" t="s">
        <v>7516</v>
      </c>
    </row>
    <row r="269" spans="1:1">
      <c r="A269" s="110" t="s">
        <v>7412</v>
      </c>
    </row>
    <row r="270" spans="1:1">
      <c r="A270" s="110" t="s">
        <v>7496</v>
      </c>
    </row>
    <row r="271" spans="1:1">
      <c r="A271" s="110" t="s">
        <v>7423</v>
      </c>
    </row>
    <row r="272" spans="1:1">
      <c r="A272" s="110"/>
    </row>
    <row r="273" spans="1:1">
      <c r="A273" s="112" t="s">
        <v>7517</v>
      </c>
    </row>
    <row r="274" spans="1:1">
      <c r="A274" s="110"/>
    </row>
    <row r="275" spans="1:1">
      <c r="A275" s="112" t="s">
        <v>7518</v>
      </c>
    </row>
    <row r="276" spans="1:1">
      <c r="A276" s="110" t="s">
        <v>7519</v>
      </c>
    </row>
    <row r="277" spans="1:1">
      <c r="A277" s="110" t="s">
        <v>7412</v>
      </c>
    </row>
    <row r="278" spans="1:1">
      <c r="A278" s="110" t="s">
        <v>7496</v>
      </c>
    </row>
    <row r="279" spans="1:1">
      <c r="A279" s="110" t="s">
        <v>7423</v>
      </c>
    </row>
    <row r="280" spans="1:1">
      <c r="A280" s="110"/>
    </row>
    <row r="281" spans="1:1">
      <c r="A281" s="112" t="s">
        <v>7520</v>
      </c>
    </row>
    <row r="282" spans="1:1">
      <c r="A282" s="110"/>
    </row>
    <row r="283" spans="1:1">
      <c r="A283" s="112" t="s">
        <v>7521</v>
      </c>
    </row>
    <row r="284" spans="1:1">
      <c r="A284" s="110" t="s">
        <v>7522</v>
      </c>
    </row>
    <row r="285" spans="1:1">
      <c r="A285" s="110" t="s">
        <v>7412</v>
      </c>
    </row>
    <row r="286" spans="1:1">
      <c r="A286" s="110" t="s">
        <v>7496</v>
      </c>
    </row>
    <row r="287" spans="1:1">
      <c r="A287" s="110" t="s">
        <v>7423</v>
      </c>
    </row>
    <row r="288" spans="1:1">
      <c r="A288" s="110"/>
    </row>
    <row r="289" spans="1:1">
      <c r="A289" s="112" t="s">
        <v>7523</v>
      </c>
    </row>
    <row r="290" spans="1:1">
      <c r="A290" s="110"/>
    </row>
    <row r="291" spans="1:1">
      <c r="A291" s="112" t="s">
        <v>7524</v>
      </c>
    </row>
    <row r="292" spans="1:1">
      <c r="A292" s="110" t="s">
        <v>7525</v>
      </c>
    </row>
    <row r="293" spans="1:1">
      <c r="A293" s="110" t="s">
        <v>7412</v>
      </c>
    </row>
    <row r="294" spans="1:1">
      <c r="A294" s="110" t="s">
        <v>7496</v>
      </c>
    </row>
    <row r="295" spans="1:1">
      <c r="A295" s="110" t="s">
        <v>7423</v>
      </c>
    </row>
    <row r="296" spans="1:1">
      <c r="A296" s="110"/>
    </row>
    <row r="297" spans="1:1">
      <c r="A297" s="112" t="s">
        <v>7526</v>
      </c>
    </row>
    <row r="298" spans="1:1">
      <c r="A298" s="110"/>
    </row>
    <row r="299" spans="1:1">
      <c r="A299" s="112" t="s">
        <v>7527</v>
      </c>
    </row>
    <row r="300" spans="1:1">
      <c r="A300" s="110" t="s">
        <v>7528</v>
      </c>
    </row>
    <row r="301" spans="1:1">
      <c r="A301" s="110" t="s">
        <v>7412</v>
      </c>
    </row>
    <row r="302" spans="1:1">
      <c r="A302" s="110" t="s">
        <v>7496</v>
      </c>
    </row>
    <row r="303" spans="1:1">
      <c r="A303" s="110" t="s">
        <v>7423</v>
      </c>
    </row>
    <row r="304" spans="1:1">
      <c r="A304" s="110"/>
    </row>
    <row r="305" spans="1:1">
      <c r="A305" s="112" t="s">
        <v>7529</v>
      </c>
    </row>
    <row r="306" spans="1:1">
      <c r="A306" s="110"/>
    </row>
    <row r="307" spans="1:1">
      <c r="A307" s="112" t="s">
        <v>7530</v>
      </c>
    </row>
    <row r="308" spans="1:1">
      <c r="A308" s="110" t="s">
        <v>7531</v>
      </c>
    </row>
    <row r="309" spans="1:1">
      <c r="A309" s="110" t="s">
        <v>7412</v>
      </c>
    </row>
    <row r="310" spans="1:1">
      <c r="A310" s="110" t="s">
        <v>7496</v>
      </c>
    </row>
    <row r="311" spans="1:1">
      <c r="A311" s="110" t="s">
        <v>7423</v>
      </c>
    </row>
    <row r="312" spans="1:1">
      <c r="A312" s="110"/>
    </row>
    <row r="313" spans="1:1">
      <c r="A313" s="112" t="s">
        <v>7532</v>
      </c>
    </row>
    <row r="314" spans="1:1">
      <c r="A314" s="110"/>
    </row>
    <row r="315" spans="1:1">
      <c r="A315" s="112" t="s">
        <v>7533</v>
      </c>
    </row>
    <row r="316" spans="1:1">
      <c r="A316" s="110" t="s">
        <v>7534</v>
      </c>
    </row>
    <row r="317" spans="1:1">
      <c r="A317" s="110" t="s">
        <v>7412</v>
      </c>
    </row>
    <row r="318" spans="1:1">
      <c r="A318" s="110" t="s">
        <v>7496</v>
      </c>
    </row>
    <row r="319" spans="1:1">
      <c r="A319" s="110" t="s">
        <v>7423</v>
      </c>
    </row>
    <row r="320" spans="1:1">
      <c r="A320" s="110"/>
    </row>
    <row r="321" spans="1:1">
      <c r="A321" s="112" t="s">
        <v>7535</v>
      </c>
    </row>
    <row r="322" spans="1:1">
      <c r="A322" s="110"/>
    </row>
    <row r="323" spans="1:1">
      <c r="A323" s="112" t="s">
        <v>7536</v>
      </c>
    </row>
    <row r="324" spans="1:1">
      <c r="A324" s="110" t="s">
        <v>7537</v>
      </c>
    </row>
    <row r="325" spans="1:1">
      <c r="A325" s="110" t="s">
        <v>7412</v>
      </c>
    </row>
    <row r="326" spans="1:1">
      <c r="A326" s="110" t="s">
        <v>7496</v>
      </c>
    </row>
    <row r="327" spans="1:1">
      <c r="A327" s="110" t="s">
        <v>7423</v>
      </c>
    </row>
    <row r="328" spans="1:1">
      <c r="A328" s="110"/>
    </row>
    <row r="329" spans="1:1">
      <c r="A329" s="112" t="s">
        <v>7538</v>
      </c>
    </row>
    <row r="330" spans="1:1">
      <c r="A330" s="110"/>
    </row>
    <row r="331" spans="1:1">
      <c r="A331" s="112" t="s">
        <v>7539</v>
      </c>
    </row>
    <row r="332" spans="1:1">
      <c r="A332" s="110" t="s">
        <v>7540</v>
      </c>
    </row>
    <row r="333" spans="1:1">
      <c r="A333" s="110" t="s">
        <v>7412</v>
      </c>
    </row>
    <row r="334" spans="1:1">
      <c r="A334" s="110" t="s">
        <v>7496</v>
      </c>
    </row>
    <row r="335" spans="1:1">
      <c r="A335" s="110" t="s">
        <v>7423</v>
      </c>
    </row>
    <row r="336" spans="1:1">
      <c r="A336" s="110"/>
    </row>
    <row r="337" spans="1:1">
      <c r="A337" s="112" t="s">
        <v>7541</v>
      </c>
    </row>
    <row r="338" spans="1:1">
      <c r="A338" s="110"/>
    </row>
    <row r="339" spans="1:1">
      <c r="A339" s="112" t="s">
        <v>7542</v>
      </c>
    </row>
    <row r="340" spans="1:1">
      <c r="A340" s="112" t="s">
        <v>7543</v>
      </c>
    </row>
    <row r="341" spans="1:1">
      <c r="A341" s="110" t="s">
        <v>7412</v>
      </c>
    </row>
    <row r="342" spans="1:1">
      <c r="A342" s="112" t="s">
        <v>7496</v>
      </c>
    </row>
    <row r="343" spans="1:1">
      <c r="A343" s="110" t="s">
        <v>7423</v>
      </c>
    </row>
    <row r="344" spans="1:1">
      <c r="A344" s="110"/>
    </row>
    <row r="345" spans="1:1">
      <c r="A345" s="110" t="s">
        <v>7544</v>
      </c>
    </row>
    <row r="346" spans="1:1">
      <c r="A346" s="110"/>
    </row>
    <row r="347" spans="1:1">
      <c r="A347" s="110"/>
    </row>
    <row r="348" spans="1:1">
      <c r="A348" s="110" t="s">
        <v>7545</v>
      </c>
    </row>
    <row r="349" spans="1:1">
      <c r="A349" s="110"/>
    </row>
    <row r="350" spans="1:1">
      <c r="A350" s="110" t="s">
        <v>1939</v>
      </c>
    </row>
    <row r="351" spans="1:1">
      <c r="A351" s="110" t="s">
        <v>7546</v>
      </c>
    </row>
    <row r="352" spans="1:1">
      <c r="A352" s="110" t="s">
        <v>7547</v>
      </c>
    </row>
    <row r="353" spans="1:1">
      <c r="A353" s="110" t="s">
        <v>7548</v>
      </c>
    </row>
    <row r="354" spans="1:1">
      <c r="A354" s="110" t="s">
        <v>7549</v>
      </c>
    </row>
    <row r="355" spans="1:1">
      <c r="A355" s="112" t="s">
        <v>7550</v>
      </c>
    </row>
    <row r="356" spans="1:1">
      <c r="A356" s="110" t="s">
        <v>1939</v>
      </c>
    </row>
    <row r="357" spans="1:1">
      <c r="A357" s="13" t="s">
        <v>1939</v>
      </c>
    </row>
    <row r="358" spans="1:1">
      <c r="A358" s="13" t="s">
        <v>7551</v>
      </c>
    </row>
    <row r="359" spans="1:1">
      <c r="A359" s="13" t="s">
        <v>7552</v>
      </c>
    </row>
    <row r="360" spans="1:1">
      <c r="A360" s="13" t="s">
        <v>7553</v>
      </c>
    </row>
    <row r="361" spans="1:1">
      <c r="A361" s="13" t="s">
        <v>1939</v>
      </c>
    </row>
    <row r="363" spans="1:1">
      <c r="A363" s="13" t="s">
        <v>6748</v>
      </c>
    </row>
  </sheetData>
  <autoFilter ref="A1:B363" xr:uid="{175AA19D-E44F-4547-9744-F83DF52BDBD4}"/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19</vt:i4>
      </vt:variant>
      <vt:variant>
        <vt:lpstr>名前付き一覧</vt:lpstr>
      </vt:variant>
      <vt:variant>
        <vt:i4>1</vt:i4>
      </vt:variant>
    </vt:vector>
  </HeadingPairs>
  <TitlesOfParts>
    <vt:vector size="20" baseType="lpstr">
      <vt:lpstr>G2M-1_v2</vt:lpstr>
      <vt:lpstr>CANRx_G2M-1_v2</vt:lpstr>
      <vt:lpstr>RRMB_G2M-1</vt:lpstr>
      <vt:lpstr>CANRx_G2M-2</vt:lpstr>
      <vt:lpstr>RRMB_G2M-2</vt:lpstr>
      <vt:lpstr>CANRx_G5M</vt:lpstr>
      <vt:lpstr>RRMB_G5M</vt:lpstr>
      <vt:lpstr>CANRx_Local</vt:lpstr>
      <vt:lpstr>RRMB_Local</vt:lpstr>
      <vt:lpstr>vCANRx</vt:lpstr>
      <vt:lpstr>SecOCRx_G2M-1</vt:lpstr>
      <vt:lpstr>SecOCTx_GxM-y</vt:lpstr>
      <vt:lpstr>can_lpfq_cfg</vt:lpstr>
      <vt:lpstr>can_lpr_uds_tx_cfg_G2M_1-&gt;vCAN</vt:lpstr>
      <vt:lpstr>can_lpr_uds_tx_cfg_vCAN-&gt;G2M_1</vt:lpstr>
      <vt:lpstr>SecOC_Cfg.h</vt:lpstr>
      <vt:lpstr>can_rscf4_cfg.h</vt:lpstr>
      <vt:lpstr>can_rscf4c_cfg.h</vt:lpstr>
      <vt:lpstr>VCan_PBcfg.c</vt:lpstr>
      <vt:lpstr>CANRx_G5M!_FilterDatabase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Takashi Nagai (長井 隆)</dc:creator>
  <cp:keywords/>
  <dc:description/>
  <cp:lastModifiedBy>Tsubasa Takahashi (高橋 翼)</cp:lastModifiedBy>
  <cp:revision/>
  <dcterms:created xsi:type="dcterms:W3CDTF">2025-03-12T00:37:33Z</dcterms:created>
  <dcterms:modified xsi:type="dcterms:W3CDTF">2026-04-07T09:29:05Z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d1414a-99f2-46f9-bbe5-740af8d1b502_Enabled">
    <vt:lpwstr>true</vt:lpwstr>
  </property>
  <property fmtid="{D5CDD505-2E9C-101B-9397-08002B2CF9AE}" pid="3" name="MSIP_Label_7ed1414a-99f2-46f9-bbe5-740af8d1b502_SetDate">
    <vt:lpwstr>2025-03-12T00:37:56Z</vt:lpwstr>
  </property>
  <property fmtid="{D5CDD505-2E9C-101B-9397-08002B2CF9AE}" pid="4" name="MSIP_Label_7ed1414a-99f2-46f9-bbe5-740af8d1b502_Method">
    <vt:lpwstr>Standard</vt:lpwstr>
  </property>
  <property fmtid="{D5CDD505-2E9C-101B-9397-08002B2CF9AE}" pid="5" name="MSIP_Label_7ed1414a-99f2-46f9-bbe5-740af8d1b502_Name">
    <vt:lpwstr>G_MIP_Confidential_Standard</vt:lpwstr>
  </property>
  <property fmtid="{D5CDD505-2E9C-101B-9397-08002B2CF9AE}" pid="6" name="MSIP_Label_7ed1414a-99f2-46f9-bbe5-740af8d1b502_SiteId">
    <vt:lpwstr>69405920-b673-4f7c-8845-e124e9d08af2</vt:lpwstr>
  </property>
  <property fmtid="{D5CDD505-2E9C-101B-9397-08002B2CF9AE}" pid="7" name="MSIP_Label_7ed1414a-99f2-46f9-bbe5-740af8d1b502_ActionId">
    <vt:lpwstr>d48e6c09-999a-4169-bcd6-76129b05dfa7</vt:lpwstr>
  </property>
  <property fmtid="{D5CDD505-2E9C-101B-9397-08002B2CF9AE}" pid="8" name="MSIP_Label_7ed1414a-99f2-46f9-bbe5-740af8d1b502_ContentBits">
    <vt:lpwstr>1</vt:lpwstr>
  </property>
</Properties>
</file>