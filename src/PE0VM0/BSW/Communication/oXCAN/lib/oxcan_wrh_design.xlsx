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defaultThemeVersion="124226"/>
  <mc:AlternateContent xmlns:mc="http://schemas.openxmlformats.org/markup-compatibility/2006">
    <mc:Choice Requires="x15">
      <x15ac:absPath xmlns:x15ac="http://schemas.microsoft.com/office/spreadsheetml/2010/11/ac" url="C:\Users\10001140895\Documents\Git\rh850_u2a\CANLpR_w_SecOC_v2\src\PE0VM0\BSW\Communication\oXCAN\lib\"/>
    </mc:Choice>
  </mc:AlternateContent>
  <xr:revisionPtr revIDLastSave="0" documentId="13_ncr:1_{39EFB9A3-97C1-401D-B2DA-46D21887072D}" xr6:coauthVersionLast="47" xr6:coauthVersionMax="47" xr10:uidLastSave="{00000000-0000-0000-0000-000000000000}"/>
  <bookViews>
    <workbookView xWindow="-120" yWindow="-120" windowWidth="29040" windowHeight="15720" activeTab="1" xr2:uid="{00000000-000D-0000-FFFF-FFFF00000000}"/>
  </bookViews>
  <sheets>
    <sheet name="状態遷移表" sheetId="11" r:id="rId1"/>
    <sheet name="Sheet1" sheetId="12" r:id="rId2"/>
    <sheet name="(参考)要求仕様" sheetId="5" r:id="rId3"/>
    <sheet name="__obsolete_STD" sheetId="10" r:id="rId4"/>
    <sheet name="__obsolete_TC" sheetId="9" r:id="rId5"/>
  </sheets>
  <externalReferences>
    <externalReference r:id="rId6"/>
  </externalReferences>
  <definedNames>
    <definedName name="AD_1">[1]Par!#REF!</definedName>
    <definedName name="AD_2">[1]Par!#REF!</definedName>
    <definedName name="AD_3">[1]Par!#REF!</definedName>
    <definedName name="AD_4">[1]Par!#REF!</definedName>
    <definedName name="AD_5">[1]Par!#REF!</definedName>
    <definedName name="AD_6">[1]Par!#REF!</definedName>
    <definedName name="AD_7">[1]Par!#REF!</definedName>
    <definedName name="AD_FULL">[1]Par!#REF!</definedName>
    <definedName name="AD_LFWOFF">[1]Par!#REF!</definedName>
    <definedName name="AD_LFWON">[1]Par!#REF!</definedName>
    <definedName name="AD_ME">[1]Par!#REF!</definedName>
    <definedName name="AD_MF">[1]Par!#REF!</definedName>
    <definedName name="AD_OPEN">[1]Par!#REF!</definedName>
    <definedName name="AD_SE">[1]Par!#REF!</definedName>
    <definedName name="AD_SHRT">[1]Par!#REF!</definedName>
    <definedName name="AD_ZF">[1]Par!#REF!</definedName>
    <definedName name="ADLSB">#REF!</definedName>
    <definedName name="Clb_Fail_DIST1">[1]Par!#REF!</definedName>
    <definedName name="Clb_Fail_DIST2">[1]Par!#REF!</definedName>
    <definedName name="Clb_Fail_DIST3">[1]Par!#REF!</definedName>
    <definedName name="Clb_Fail_DIST4">[1]Par!#REF!</definedName>
    <definedName name="Clb_Fail_LIT1">[1]Par!#REF!</definedName>
    <definedName name="Clb_Fail_LIT2">[1]Par!#REF!</definedName>
    <definedName name="Clb_Fail_LIT3">[1]Par!#REF!</definedName>
    <definedName name="Clb_Fail_LIT4">[1]Par!#REF!</definedName>
    <definedName name="Clb_FS">[1]Par!#REF!</definedName>
    <definedName name="Clb_IGON_DOWN">[1]Par!#REF!</definedName>
    <definedName name="Clb_IGON_UP">[1]Par!#REF!</definedName>
    <definedName name="Clb_Nml_DIST">[1]Par!#REF!</definedName>
    <definedName name="Clb_Nml_DIST_ALL">[1]Par!#REF!</definedName>
    <definedName name="Clb_Nml_LIT1">[1]Par!#REF!</definedName>
    <definedName name="Clb_Nml_LIT2">[1]Par!#REF!</definedName>
    <definedName name="Clb_Nml_LIT3">[1]Par!#REF!</definedName>
    <definedName name="Clb_Nml_LIT4">[1]Par!#REF!</definedName>
    <definedName name="Clb_ODO">[1]Par!#REF!</definedName>
    <definedName name="Clb_R1">[1]Par!#REF!</definedName>
    <definedName name="Clb_R10">[1]Par!#REF!</definedName>
    <definedName name="Clb_R11">[1]Par!#REF!</definedName>
    <definedName name="Clb_R2">[1]Par!#REF!</definedName>
    <definedName name="Clb_R3">[1]Par!#REF!</definedName>
    <definedName name="Clb_R4">[1]Par!#REF!</definedName>
    <definedName name="Clb_R5">[1]Par!#REF!</definedName>
    <definedName name="Clb_R6">[1]Par!#REF!</definedName>
    <definedName name="Clb_R7">[1]Par!#REF!</definedName>
    <definedName name="Clb_R8">[1]Par!#REF!</definedName>
    <definedName name="Clb_R9">[1]Par!#REF!</definedName>
    <definedName name="Clb_REF">[1]Par!#REF!</definedName>
    <definedName name="Clb_SE_ADD">[1]Par!#REF!</definedName>
    <definedName name="Clb_Seg_DISP">[1]Par!#REF!</definedName>
    <definedName name="COM_FAIL">[1]Par!#REF!</definedName>
    <definedName name="COR_ADD">[1]Par!#REF!</definedName>
    <definedName name="COR_CAL">[1]Par!#REF!</definedName>
    <definedName name="DEG_0">[1]Par!#REF!</definedName>
    <definedName name="DEG_1">[1]Par!#REF!</definedName>
    <definedName name="DEG_2">[1]Par!#REF!</definedName>
    <definedName name="DEG_3">[1]Par!#REF!</definedName>
    <definedName name="DEG_4">[1]Par!#REF!</definedName>
    <definedName name="DEG_5">[1]Par!#REF!</definedName>
    <definedName name="DEG_6">[1]Par!#REF!</definedName>
    <definedName name="DEG_7">[1]Par!#REF!</definedName>
    <definedName name="DEG_FULL">[1]Par!#REF!</definedName>
    <definedName name="DEG_LFWOFF">[1]Par!#REF!</definedName>
    <definedName name="DEG_LFWON">[1]Par!#REF!</definedName>
    <definedName name="DEG_MAX">[1]Par!#REF!</definedName>
    <definedName name="DEG_ME">[1]Par!#REF!</definedName>
    <definedName name="DEG_MF">[1]Par!#REF!</definedName>
    <definedName name="DEG_OPEN">[1]Par!#REF!</definedName>
    <definedName name="DEG_SE">[1]Par!#REF!</definedName>
    <definedName name="DEG_SHRT">[1]Par!#REF!</definedName>
    <definedName name="DEG_ZF">[1]Par!#REF!</definedName>
    <definedName name="IG">#REF!</definedName>
    <definedName name="LIT_1">[1]Par!#REF!</definedName>
    <definedName name="LIT_2">[1]Par!#REF!</definedName>
    <definedName name="LIT_3">[1]Par!#REF!</definedName>
    <definedName name="LIT_4">[1]Par!#REF!</definedName>
    <definedName name="LIT_5">[1]Par!#REF!</definedName>
    <definedName name="LIT_6">[1]Par!#REF!</definedName>
    <definedName name="LIT_7">[1]Par!#REF!</definedName>
    <definedName name="LIT_FULL">[1]Par!#REF!</definedName>
    <definedName name="LIT_LFWOFF">[1]Par!#REF!</definedName>
    <definedName name="LIT_LFWON">[1]Par!#REF!</definedName>
    <definedName name="LIT_ME">[1]Par!#REF!</definedName>
    <definedName name="LIT_MF">[1]Par!#REF!</definedName>
    <definedName name="LIT_SE">[1]Par!#REF!</definedName>
    <definedName name="LIT_ZF">[1]Par!#REF!</definedName>
    <definedName name="POINT_0">[1]Par!#REF!</definedName>
    <definedName name="POINT_1">[1]Par!#REF!</definedName>
    <definedName name="POINT_2">[1]Par!#REF!</definedName>
    <definedName name="POINT_3">[1]Par!#REF!</definedName>
    <definedName name="POINT_4">[1]Par!#REF!</definedName>
    <definedName name="POINT_5">[1]Par!#REF!</definedName>
    <definedName name="POINT_6">[1]Par!#REF!</definedName>
    <definedName name="POINT_7">[1]Par!#REF!</definedName>
    <definedName name="POINT_FULL">[1]Par!#REF!</definedName>
    <definedName name="POINT_LFWOFF">[1]Par!#REF!</definedName>
    <definedName name="POINT_LFWOFFA">[1]Par!#REF!</definedName>
    <definedName name="POINT_LFWON">[1]Par!#REF!</definedName>
    <definedName name="POINT_ME">[1]Par!#REF!</definedName>
    <definedName name="POINT_MF">[1]Par!#REF!</definedName>
    <definedName name="POINT_OPEN">[1]Par!#REF!</definedName>
    <definedName name="POINT_SE">[1]Par!#REF!</definedName>
    <definedName name="POINT_SHRT">[1]Par!#REF!</definedName>
    <definedName name="POINT_ZF">[1]Par!#REF!</definedName>
    <definedName name="R_1">[1]Par!#REF!</definedName>
    <definedName name="R_2">[1]Par!#REF!</definedName>
    <definedName name="R_3">[1]Par!#REF!</definedName>
    <definedName name="R_4">[1]Par!#REF!</definedName>
    <definedName name="R_5">[1]Par!#REF!</definedName>
    <definedName name="R_6">[1]Par!#REF!</definedName>
    <definedName name="R_7">[1]Par!#REF!</definedName>
    <definedName name="R_FULL">[1]Par!#REF!</definedName>
    <definedName name="R_LFWOFF">[1]Par!#REF!</definedName>
    <definedName name="R_LFWON">[1]Par!#REF!</definedName>
    <definedName name="R_ME">[1]Par!#REF!</definedName>
    <definedName name="R_MF">[1]Par!#REF!</definedName>
    <definedName name="R_OPEN">[1]Par!#REF!</definedName>
    <definedName name="R_SE">[1]Par!#REF!</definedName>
    <definedName name="R_SHRT">[1]Par!#REF!</definedName>
    <definedName name="R_ZF">[1]Par!#REF!</definedName>
    <definedName name="SEG_NUM">[1]Par!#REF!</definedName>
    <definedName name="Soft_LIT_1">[1]Par!#REF!</definedName>
    <definedName name="Soft_LIT_2">[1]Par!#REF!</definedName>
    <definedName name="Soft_LIT_3">[1]Par!#REF!</definedName>
    <definedName name="Soft_LIT_4">[1]Par!#REF!</definedName>
    <definedName name="Soft_LIT_5">[1]Par!#REF!</definedName>
    <definedName name="Soft_LIT_6">[1]Par!#REF!</definedName>
    <definedName name="Soft_LIT_7">[1]Par!#REF!</definedName>
    <definedName name="Soft_LIT_FULL">[1]Par!#REF!</definedName>
    <definedName name="Soft_LIT_LFWOFF">[1]Par!#REF!</definedName>
    <definedName name="Soft_LIT_LFWON">[1]Par!#REF!</definedName>
    <definedName name="Soft_LIT_ME">[1]Par!#REF!</definedName>
    <definedName name="Soft_LIT_MF">[1]Par!#REF!</definedName>
    <definedName name="Soft_LIT_SE">[1]Par!#REF!</definedName>
    <definedName name="Soft_LIT_ZF">[1]Par!#REF!</definedName>
    <definedName name="T_ABNML_100">[1]Par!#REF!</definedName>
    <definedName name="T_ABNML_100_2">[1]Par!#REF!</definedName>
    <definedName name="T_ABNML_90">[1]Par!#REF!</definedName>
    <definedName name="T_ABNML_90_2">[1]Par!#REF!</definedName>
    <definedName name="T_ABNML_MODE">[1]Par!#REF!</definedName>
    <definedName name="T_FAIL">[1]Par!#REF!</definedName>
    <definedName name="T_FS">[1]Par!#REF!</definedName>
    <definedName name="T_IGOFF">[1]Par!#REF!</definedName>
    <definedName name="T_IGOFF_IDLE">[1]Par!#REF!</definedName>
    <definedName name="T_IGON_100">[1]Par!#REF!</definedName>
    <definedName name="T_IGON_100_2">[1]Par!#REF!</definedName>
    <definedName name="T_IGON_90">[1]Par!#REF!</definedName>
    <definedName name="T_IGON_90_2">[1]Par!#REF!</definedName>
    <definedName name="T_IGON_IDLE">[1]Par!#REF!</definedName>
    <definedName name="T_IGON_IDLE_2">[1]Par!#REF!</definedName>
    <definedName name="T_ME_MF">[1]Par!#REF!</definedName>
    <definedName name="T_ME_MF_2">[1]Par!#REF!</definedName>
    <definedName name="T_REF">[1]Par!#REF!</definedName>
    <definedName name="T_REF_2">[1]Par!#REF!</definedName>
    <definedName name="TBL_NUM">[1]Par!#REF!</definedName>
    <definedName name="Z_549346FF_2959_4613_8783_DAA5CB3C3FA4_.wvu.FilterData" hidden="1">#REF!</definedName>
    <definedName name="ウェークアップ直後初期化フック前処理1">#REF!</definedName>
    <definedName name="ウェークアップ直後初期化フック前処理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12" l="1"/>
  <c r="G36" i="12"/>
  <c r="F36" i="12"/>
  <c r="H35" i="12"/>
  <c r="G35" i="12"/>
  <c r="F35" i="12"/>
  <c r="H34" i="12"/>
  <c r="G34" i="12"/>
  <c r="F34" i="12"/>
  <c r="H33" i="12"/>
  <c r="G33" i="12"/>
  <c r="F33" i="12"/>
  <c r="H32" i="12"/>
  <c r="G32" i="12"/>
  <c r="F32" i="12"/>
  <c r="H31" i="12"/>
  <c r="G31" i="12"/>
  <c r="F31" i="12"/>
  <c r="H30" i="12"/>
  <c r="G30" i="12"/>
  <c r="F30" i="12"/>
  <c r="H29" i="12"/>
  <c r="G29" i="12"/>
  <c r="F29" i="12"/>
  <c r="H28" i="12"/>
  <c r="G28" i="12"/>
  <c r="F28" i="12"/>
  <c r="H27" i="12"/>
  <c r="G27" i="12"/>
  <c r="F27" i="12"/>
  <c r="H26" i="12"/>
  <c r="G26" i="12"/>
  <c r="F26" i="12"/>
  <c r="H25" i="12"/>
  <c r="G25" i="12"/>
  <c r="F25" i="12"/>
  <c r="H24" i="12"/>
  <c r="G24" i="12"/>
  <c r="F24" i="12"/>
  <c r="H23" i="12"/>
  <c r="G23" i="12"/>
  <c r="J22" i="12" s="1" a="1"/>
  <c r="J22" i="12" s="1"/>
  <c r="F23" i="12"/>
  <c r="H22" i="12"/>
  <c r="G22" i="12"/>
  <c r="F22" i="12"/>
  <c r="H21" i="12"/>
  <c r="G21" i="12"/>
  <c r="F21" i="12"/>
  <c r="K20" i="12"/>
  <c r="L20" i="12" s="1"/>
  <c r="M20" i="12" s="1"/>
  <c r="N20" i="12" s="1"/>
  <c r="O20" i="12" s="1"/>
  <c r="P20" i="12" s="1"/>
  <c r="Q20" i="12" s="1"/>
  <c r="R20" i="12" s="1"/>
  <c r="S20" i="12" s="1"/>
  <c r="T20" i="12" s="1"/>
  <c r="U20" i="12" s="1"/>
  <c r="V20" i="12" s="1"/>
  <c r="W20" i="12" s="1"/>
  <c r="X20" i="12" s="1"/>
  <c r="Y20" i="12" s="1"/>
  <c r="J87" i="11"/>
  <c r="I87" i="11"/>
  <c r="H87" i="11"/>
  <c r="G87" i="11"/>
  <c r="J86" i="11"/>
  <c r="I86" i="11"/>
  <c r="H86" i="11"/>
  <c r="G86" i="11"/>
  <c r="J85" i="11"/>
  <c r="I85" i="11"/>
  <c r="H85" i="11"/>
  <c r="G85" i="11"/>
  <c r="J84" i="11"/>
  <c r="I84" i="11"/>
  <c r="H84" i="11"/>
  <c r="G84" i="11"/>
  <c r="J83" i="11"/>
  <c r="I83" i="11"/>
  <c r="H83" i="11"/>
  <c r="G83" i="11"/>
  <c r="J82" i="11"/>
  <c r="I82" i="11"/>
  <c r="H82" i="11"/>
  <c r="G82" i="11"/>
  <c r="J81" i="11"/>
  <c r="I81" i="11"/>
  <c r="H81" i="11"/>
  <c r="G81" i="11"/>
  <c r="J80" i="11"/>
  <c r="I80" i="11"/>
  <c r="H80" i="11"/>
  <c r="G80" i="11"/>
  <c r="J79" i="11"/>
  <c r="I79" i="11"/>
  <c r="H79" i="11"/>
  <c r="G79" i="11"/>
  <c r="J78" i="11"/>
  <c r="I78" i="11"/>
  <c r="H78" i="11"/>
  <c r="G78" i="11"/>
  <c r="J77" i="11"/>
  <c r="I77" i="11"/>
  <c r="H77" i="11"/>
  <c r="G77" i="11"/>
  <c r="J76" i="11"/>
  <c r="I76" i="11"/>
  <c r="H76" i="11"/>
  <c r="G76" i="11"/>
  <c r="J75" i="11"/>
  <c r="I75" i="11"/>
  <c r="H75" i="11"/>
  <c r="G75" i="11"/>
  <c r="J74" i="11"/>
  <c r="I74" i="11"/>
  <c r="H74" i="11"/>
  <c r="G74" i="11"/>
  <c r="J73" i="11"/>
  <c r="I73" i="11"/>
  <c r="H73" i="11"/>
  <c r="G73" i="11"/>
  <c r="J72" i="11"/>
  <c r="I72" i="11"/>
  <c r="H72" i="11"/>
  <c r="G72" i="11"/>
  <c r="J71" i="11"/>
  <c r="I71" i="11"/>
  <c r="H71" i="11"/>
  <c r="G71" i="11"/>
  <c r="J70" i="11"/>
  <c r="I70" i="11"/>
  <c r="H70" i="11"/>
  <c r="G70" i="11"/>
  <c r="J69" i="11"/>
  <c r="I69" i="11"/>
  <c r="H69" i="11"/>
  <c r="G69" i="11"/>
  <c r="J68" i="11"/>
  <c r="I68" i="11"/>
  <c r="H68" i="11"/>
  <c r="G68" i="11"/>
  <c r="J67" i="11"/>
  <c r="I67" i="11"/>
  <c r="H67" i="11"/>
  <c r="G67" i="11"/>
  <c r="J66" i="11"/>
  <c r="I66" i="11"/>
  <c r="H66" i="11"/>
  <c r="G66" i="11"/>
  <c r="J65" i="11"/>
  <c r="I65" i="11"/>
  <c r="H65" i="11"/>
  <c r="G65" i="11"/>
  <c r="J64" i="11"/>
  <c r="I64" i="11"/>
  <c r="H64" i="11"/>
  <c r="G64" i="11"/>
  <c r="J63" i="11"/>
  <c r="I63" i="11"/>
  <c r="H63" i="11"/>
  <c r="G63" i="11"/>
  <c r="J62" i="11"/>
  <c r="I62" i="11"/>
  <c r="H62" i="11"/>
  <c r="G62" i="11"/>
  <c r="J61" i="11"/>
  <c r="I61" i="11"/>
  <c r="H61" i="11"/>
  <c r="G61" i="11"/>
  <c r="J60" i="11"/>
  <c r="I60" i="11"/>
  <c r="H60" i="11"/>
  <c r="G60" i="11"/>
  <c r="J59" i="11"/>
  <c r="I59" i="11"/>
  <c r="H59" i="11"/>
  <c r="G59" i="11"/>
  <c r="J58" i="11"/>
  <c r="I58" i="11"/>
  <c r="H58" i="11"/>
  <c r="G58" i="11"/>
  <c r="J57" i="11"/>
  <c r="I57" i="11"/>
  <c r="H57" i="11"/>
  <c r="G57" i="11"/>
  <c r="J56" i="11"/>
  <c r="I56" i="11"/>
  <c r="H56" i="11"/>
  <c r="G56" i="11"/>
  <c r="O40" i="11"/>
  <c r="O39" i="11"/>
  <c r="O38" i="11"/>
  <c r="O37" i="11"/>
  <c r="O36" i="11"/>
  <c r="O35" i="11"/>
  <c r="O34" i="11"/>
  <c r="O33" i="11"/>
  <c r="P40" i="11"/>
  <c r="P39" i="11"/>
  <c r="P38" i="11"/>
  <c r="P37" i="11"/>
  <c r="P36" i="11"/>
  <c r="P35" i="11"/>
  <c r="P34" i="11"/>
  <c r="P33" i="11"/>
  <c r="J23" i="12" l="1" a="1"/>
  <c r="J23" i="12" s="1"/>
  <c r="J21" i="12" a="1"/>
  <c r="J21" i="12" s="1"/>
  <c r="T22" i="12"/>
  <c r="Q22" i="12"/>
  <c r="P22" i="12"/>
  <c r="Y22" i="12"/>
  <c r="M22" i="12"/>
  <c r="X22" i="12"/>
  <c r="L22" i="12"/>
  <c r="U22" i="12"/>
  <c r="S22" i="12"/>
  <c r="R22" i="12"/>
  <c r="O22" i="12"/>
  <c r="N22" i="12"/>
  <c r="W22" i="12"/>
  <c r="K22" i="12"/>
  <c r="V22" i="12"/>
  <c r="K23" i="12" l="1"/>
  <c r="W23" i="12"/>
  <c r="P23" i="12"/>
  <c r="L23" i="12"/>
  <c r="X23" i="12"/>
  <c r="U23" i="12"/>
  <c r="M23" i="12"/>
  <c r="Y23" i="12"/>
  <c r="Q23" i="12"/>
  <c r="R23" i="12"/>
  <c r="S23" i="12"/>
  <c r="T23" i="12"/>
  <c r="V23" i="12"/>
  <c r="N23" i="12"/>
  <c r="O23" i="12"/>
  <c r="K21" i="12"/>
  <c r="Y21" i="12"/>
  <c r="U21" i="12"/>
  <c r="R21" i="12"/>
  <c r="N21" i="12"/>
  <c r="T21" i="12"/>
  <c r="L21" i="12"/>
  <c r="M21" i="12"/>
  <c r="P21" i="12"/>
  <c r="Q21" i="12"/>
  <c r="W21" i="12"/>
  <c r="S21" i="12"/>
  <c r="O21" i="12"/>
  <c r="V21" i="12"/>
  <c r="X21" i="12"/>
</calcChain>
</file>

<file path=xl/sharedStrings.xml><?xml version="1.0" encoding="utf-8"?>
<sst xmlns="http://schemas.openxmlformats.org/spreadsheetml/2006/main" count="372" uniqueCount="114">
  <si>
    <t>EVENT</t>
    <phoneticPr fontId="3"/>
  </si>
  <si>
    <t>STATUS</t>
    <phoneticPr fontId="3"/>
  </si>
  <si>
    <t>ACTION</t>
    <phoneticPr fontId="3"/>
  </si>
  <si>
    <t>NEXT STATUS</t>
    <phoneticPr fontId="2"/>
  </si>
  <si>
    <t>ACTION_NAME</t>
    <phoneticPr fontId="5"/>
  </si>
  <si>
    <t>default</t>
    <phoneticPr fontId="2"/>
  </si>
  <si>
    <t>(参考)要求仕様</t>
    <rPh sb="1" eb="3">
      <t>サンコウ</t>
    </rPh>
    <rPh sb="4" eb="8">
      <t>ヨウキュウシヨウ</t>
    </rPh>
    <phoneticPr fontId="5"/>
  </si>
  <si>
    <t>■MET-WUP-00-00-a.xls から抜粋</t>
    <rPh sb="23" eb="25">
      <t>バッスイ</t>
    </rPh>
    <phoneticPr fontId="7"/>
  </si>
  <si>
    <t>IG Awake</t>
    <phoneticPr fontId="6"/>
  </si>
  <si>
    <t>App Awake1</t>
    <phoneticPr fontId="6"/>
  </si>
  <si>
    <t>App Awake2</t>
    <phoneticPr fontId="6"/>
  </si>
  <si>
    <t>(telltale)</t>
    <phoneticPr fontId="6"/>
  </si>
  <si>
    <t>(dtc)</t>
    <phoneticPr fontId="6"/>
  </si>
  <si>
    <r>
      <t>bswd</t>
    </r>
    <r>
      <rPr>
        <sz val="11"/>
        <color indexed="8"/>
        <rFont val="HG丸ｺﾞｼｯｸM-PRO"/>
        <family val="3"/>
        <charset val="128"/>
      </rPr>
      <t>への</t>
    </r>
    <r>
      <rPr>
        <sz val="11"/>
        <color indexed="8"/>
        <rFont val="Tahoma"/>
        <family val="2"/>
      </rPr>
      <t>Awake</t>
    </r>
    <r>
      <rPr>
        <sz val="11"/>
        <color indexed="8"/>
        <rFont val="HG丸ｺﾞｼｯｸM-PRO"/>
        <family val="3"/>
        <charset val="128"/>
      </rPr>
      <t>要求</t>
    </r>
    <rPh sb="11" eb="13">
      <t>ヨウキュウ</t>
    </rPh>
    <phoneticPr fontId="6"/>
  </si>
  <si>
    <r>
      <rPr>
        <sz val="11"/>
        <color indexed="8"/>
        <rFont val="HG丸ｺﾞｼｯｸM-PRO"/>
        <family val="3"/>
        <charset val="128"/>
      </rPr>
      <t>なし</t>
    </r>
    <phoneticPr fontId="6"/>
  </si>
  <si>
    <r>
      <rPr>
        <sz val="11"/>
        <color indexed="8"/>
        <rFont val="HG丸ｺﾞｼｯｸM-PRO"/>
        <family val="3"/>
        <charset val="128"/>
      </rPr>
      <t>あり</t>
    </r>
    <phoneticPr fontId="6"/>
  </si>
  <si>
    <r>
      <t>NM</t>
    </r>
    <r>
      <rPr>
        <sz val="11"/>
        <color indexed="8"/>
        <rFont val="HG丸ｺﾞｼｯｸM-PRO"/>
        <family val="3"/>
        <charset val="128"/>
      </rPr>
      <t>状態（バス状態）</t>
    </r>
    <rPh sb="2" eb="4">
      <t>ジョウタイ</t>
    </rPh>
    <rPh sb="7" eb="9">
      <t>ジョウタイ</t>
    </rPh>
    <phoneticPr fontId="6"/>
  </si>
  <si>
    <r>
      <rPr>
        <sz val="11"/>
        <color indexed="8"/>
        <rFont val="HG丸ｺﾞｼｯｸM-PRO"/>
        <family val="3"/>
        <charset val="128"/>
      </rPr>
      <t>ウェイクアップ</t>
    </r>
    <phoneticPr fontId="6"/>
  </si>
  <si>
    <r>
      <rPr>
        <sz val="11"/>
        <color indexed="8"/>
        <rFont val="HG丸ｺﾞｼｯｸM-PRO"/>
        <family val="3"/>
        <charset val="128"/>
      </rPr>
      <t>スリープ</t>
    </r>
    <phoneticPr fontId="6"/>
  </si>
  <si>
    <r>
      <rPr>
        <sz val="11"/>
        <color indexed="8"/>
        <rFont val="HG丸ｺﾞｼｯｸM-PRO"/>
        <family val="3"/>
        <charset val="128"/>
      </rPr>
      <t>スリープ</t>
    </r>
    <phoneticPr fontId="6"/>
  </si>
  <si>
    <t>仕様案② バスウェイクアップ中AppAwake要求リトリガなし</t>
    <rPh sb="0" eb="2">
      <t>シヨウ</t>
    </rPh>
    <rPh sb="2" eb="3">
      <t>アン</t>
    </rPh>
    <rPh sb="14" eb="15">
      <t>チュウ</t>
    </rPh>
    <rPh sb="23" eb="25">
      <t>ヨウキュウ</t>
    </rPh>
    <phoneticPr fontId="8"/>
  </si>
  <si>
    <t>今回設計案（仕様案①）</t>
    <rPh sb="0" eb="2">
      <t>コンカイ</t>
    </rPh>
    <rPh sb="2" eb="4">
      <t>セッケイ</t>
    </rPh>
    <rPh sb="4" eb="5">
      <t>アン</t>
    </rPh>
    <rPh sb="6" eb="8">
      <t>シヨウ</t>
    </rPh>
    <rPh sb="8" eb="9">
      <t>アン</t>
    </rPh>
    <phoneticPr fontId="6"/>
  </si>
  <si>
    <r>
      <rPr>
        <u/>
        <sz val="11"/>
        <rFont val="HG丸ｺﾞｼｯｸM-PRO"/>
        <family val="3"/>
        <charset val="128"/>
      </rPr>
      <t>従来（</t>
    </r>
    <r>
      <rPr>
        <u/>
        <sz val="11"/>
        <rFont val="Tahoma"/>
        <family val="2"/>
      </rPr>
      <t>AXCS/DECSTAR</t>
    </r>
    <r>
      <rPr>
        <u/>
        <sz val="11"/>
        <rFont val="HG丸ｺﾞｼｯｸM-PRO"/>
        <family val="3"/>
        <charset val="128"/>
      </rPr>
      <t>）設計</t>
    </r>
    <rPh sb="0" eb="2">
      <t>ジュウライ</t>
    </rPh>
    <rPh sb="16" eb="18">
      <t>セッケイ</t>
    </rPh>
    <phoneticPr fontId="6"/>
  </si>
  <si>
    <t>今回設計案（仕様案②）</t>
    <rPh sb="0" eb="2">
      <t>コンカイ</t>
    </rPh>
    <rPh sb="2" eb="4">
      <t>セッケイ</t>
    </rPh>
    <rPh sb="4" eb="5">
      <t>アン</t>
    </rPh>
    <rPh sb="6" eb="8">
      <t>シヨウ</t>
    </rPh>
    <rPh sb="8" eb="9">
      <t>アン</t>
    </rPh>
    <phoneticPr fontId="6"/>
  </si>
  <si>
    <r>
      <rPr>
        <sz val="11"/>
        <color indexed="8"/>
        <rFont val="HG丸ｺﾞｼｯｸM-PRO"/>
        <family val="3"/>
        <charset val="128"/>
      </rPr>
      <t>従来設計からの変更点</t>
    </r>
    <rPh sb="0" eb="2">
      <t>ジュウライ</t>
    </rPh>
    <rPh sb="2" eb="4">
      <t>セッケイ</t>
    </rPh>
    <rPh sb="7" eb="9">
      <t>ヘンコウ</t>
    </rPh>
    <rPh sb="9" eb="10">
      <t>テン</t>
    </rPh>
    <phoneticPr fontId="8"/>
  </si>
  <si>
    <r>
      <rPr>
        <sz val="11"/>
        <color indexed="8"/>
        <rFont val="HG丸ｺﾞｼｯｸM-PRO"/>
        <family val="3"/>
        <charset val="128"/>
      </rPr>
      <t>ﾀｲﾑｱｳﾄ</t>
    </r>
    <r>
      <rPr>
        <sz val="11"/>
        <color indexed="8"/>
        <rFont val="Tahoma"/>
        <family val="2"/>
      </rPr>
      <t>(or</t>
    </r>
    <r>
      <rPr>
        <sz val="11"/>
        <color indexed="8"/>
        <rFont val="HG丸ｺﾞｼｯｸM-PRO"/>
        <family val="3"/>
        <charset val="128"/>
      </rPr>
      <t>未受信</t>
    </r>
    <r>
      <rPr>
        <sz val="11"/>
        <color indexed="8"/>
        <rFont val="Tahoma"/>
        <family val="2"/>
      </rPr>
      <t>)</t>
    </r>
  </si>
  <si>
    <t>前回値</t>
    <rPh sb="0" eb="2">
      <t>ゼンカイ</t>
    </rPh>
    <rPh sb="2" eb="3">
      <t>チ</t>
    </rPh>
    <phoneticPr fontId="6"/>
  </si>
  <si>
    <r>
      <rPr>
        <sz val="11"/>
        <color indexed="8"/>
        <rFont val="HG丸ｺﾞｼｯｸM-PRO"/>
        <family val="3"/>
        <charset val="128"/>
      </rPr>
      <t>ﾀｲﾑｱｳﾄ</t>
    </r>
    <r>
      <rPr>
        <sz val="11"/>
        <color indexed="8"/>
        <rFont val="Tahoma"/>
        <family val="2"/>
      </rPr>
      <t>(or</t>
    </r>
    <r>
      <rPr>
        <sz val="11"/>
        <color indexed="8"/>
        <rFont val="HG丸ｺﾞｼｯｸM-PRO"/>
        <family val="3"/>
        <charset val="128"/>
      </rPr>
      <t>未受信</t>
    </r>
    <r>
      <rPr>
        <sz val="11"/>
        <color indexed="8"/>
        <rFont val="Tahoma"/>
        <family val="2"/>
      </rPr>
      <t xml:space="preserve">) </t>
    </r>
    <r>
      <rPr>
        <sz val="11"/>
        <color indexed="8"/>
        <rFont val="HG丸ｺﾞｼｯｸM-PRO"/>
        <family val="3"/>
        <charset val="128"/>
      </rPr>
      <t>のち</t>
    </r>
    <r>
      <rPr>
        <sz val="11"/>
        <color indexed="8"/>
        <rFont val="Tahoma"/>
        <family val="2"/>
      </rPr>
      <t xml:space="preserve"> </t>
    </r>
    <r>
      <rPr>
        <sz val="11"/>
        <color indexed="8"/>
        <rFont val="HG丸ｺﾞｼｯｸM-PRO"/>
        <family val="3"/>
        <charset val="128"/>
      </rPr>
      <t>通常</t>
    </r>
    <rPh sb="9" eb="10">
      <t>ミ</t>
    </rPh>
    <rPh sb="10" eb="12">
      <t>ジュシン</t>
    </rPh>
    <rPh sb="17" eb="19">
      <t>ツウジョウ</t>
    </rPh>
    <phoneticPr fontId="6"/>
  </si>
  <si>
    <r>
      <rPr>
        <sz val="11"/>
        <color indexed="8"/>
        <rFont val="HG丸ｺﾞｼｯｸM-PRO"/>
        <family val="3"/>
        <charset val="128"/>
      </rPr>
      <t>前回値</t>
    </r>
    <r>
      <rPr>
        <sz val="11"/>
        <color indexed="8"/>
        <rFont val="Tahoma"/>
        <family val="2"/>
      </rPr>
      <t xml:space="preserve"> </t>
    </r>
    <r>
      <rPr>
        <sz val="11"/>
        <color indexed="8"/>
        <rFont val="HG丸ｺﾞｼｯｸM-PRO"/>
        <family val="3"/>
        <charset val="128"/>
      </rPr>
      <t>のち</t>
    </r>
    <r>
      <rPr>
        <sz val="11"/>
        <color indexed="8"/>
        <rFont val="Tahoma"/>
        <family val="2"/>
      </rPr>
      <t xml:space="preserve"> </t>
    </r>
    <r>
      <rPr>
        <sz val="11"/>
        <color indexed="8"/>
        <rFont val="HG丸ｺﾞｼｯｸM-PRO"/>
        <family val="3"/>
        <charset val="128"/>
      </rPr>
      <t>最新値</t>
    </r>
    <rPh sb="0" eb="2">
      <t>ゼンカイ</t>
    </rPh>
    <rPh sb="2" eb="3">
      <t>チ</t>
    </rPh>
    <rPh sb="7" eb="9">
      <t>サイシン</t>
    </rPh>
    <rPh sb="9" eb="10">
      <t>チ</t>
    </rPh>
    <phoneticPr fontId="8"/>
  </si>
  <si>
    <t>タイムアウト</t>
    <phoneticPr fontId="8"/>
  </si>
  <si>
    <r>
      <rPr>
        <sz val="11"/>
        <color indexed="8"/>
        <rFont val="HG丸ｺﾞｼｯｸM-PRO"/>
        <family val="3"/>
        <charset val="128"/>
      </rPr>
      <t>タイムアウト</t>
    </r>
    <r>
      <rPr>
        <sz val="11"/>
        <color indexed="8"/>
        <rFont val="Tahoma"/>
        <family val="2"/>
      </rPr>
      <t xml:space="preserve"> </t>
    </r>
    <r>
      <rPr>
        <sz val="11"/>
        <color indexed="8"/>
        <rFont val="HG丸ｺﾞｼｯｸM-PRO"/>
        <family val="3"/>
        <charset val="128"/>
      </rPr>
      <t>のち</t>
    </r>
    <r>
      <rPr>
        <sz val="11"/>
        <color indexed="8"/>
        <rFont val="Tahoma"/>
        <family val="2"/>
      </rPr>
      <t xml:space="preserve"> </t>
    </r>
    <r>
      <rPr>
        <sz val="11"/>
        <color indexed="8"/>
        <rFont val="HG丸ｺﾞｼｯｸM-PRO"/>
        <family val="3"/>
        <charset val="128"/>
      </rPr>
      <t>通常</t>
    </r>
    <rPh sb="10" eb="12">
      <t>ツウジョウ</t>
    </rPh>
    <phoneticPr fontId="8"/>
  </si>
  <si>
    <t>前回値 のち 最新値</t>
    <rPh sb="0" eb="2">
      <t>ゼンカイ</t>
    </rPh>
    <rPh sb="2" eb="3">
      <t>チ</t>
    </rPh>
    <rPh sb="7" eb="9">
      <t>サイシン</t>
    </rPh>
    <rPh sb="9" eb="10">
      <t>チ</t>
    </rPh>
    <phoneticPr fontId="6"/>
  </si>
  <si>
    <r>
      <rPr>
        <sz val="11"/>
        <color indexed="8"/>
        <rFont val="HG丸ｺﾞｼｯｸM-PRO"/>
        <family val="3"/>
        <charset val="128"/>
      </rPr>
      <t>前回値</t>
    </r>
    <rPh sb="0" eb="2">
      <t>ゼンカイ</t>
    </rPh>
    <rPh sb="2" eb="3">
      <t>チ</t>
    </rPh>
    <phoneticPr fontId="6"/>
  </si>
  <si>
    <t>通常 のち タイムアウト</t>
    <rPh sb="0" eb="2">
      <t>ツウジョウ</t>
    </rPh>
    <phoneticPr fontId="8"/>
  </si>
  <si>
    <r>
      <t>+B</t>
    </r>
    <r>
      <rPr>
        <sz val="11"/>
        <color indexed="8"/>
        <rFont val="HG丸ｺﾞｼｯｸM-PRO"/>
        <family val="3"/>
        <charset val="128"/>
      </rPr>
      <t>メッセージステータス</t>
    </r>
    <phoneticPr fontId="6"/>
  </si>
  <si>
    <r>
      <t>+B</t>
    </r>
    <r>
      <rPr>
        <sz val="11"/>
        <color indexed="8"/>
        <rFont val="HG丸ｺﾞｼｯｸM-PRO"/>
        <family val="3"/>
        <charset val="128"/>
      </rPr>
      <t>メッセージデータ</t>
    </r>
    <phoneticPr fontId="6"/>
  </si>
  <si>
    <r>
      <rPr>
        <sz val="11"/>
        <color indexed="8"/>
        <rFont val="HG丸ｺﾞｼｯｸM-PRO"/>
        <family val="3"/>
        <charset val="128"/>
      </rPr>
      <t>前回値</t>
    </r>
    <r>
      <rPr>
        <sz val="11"/>
        <color indexed="8"/>
        <rFont val="Tahoma"/>
        <family val="2"/>
      </rPr>
      <t>(or</t>
    </r>
    <r>
      <rPr>
        <sz val="11"/>
        <color indexed="8"/>
        <rFont val="HG丸ｺﾞｼｯｸM-PRO"/>
        <family val="3"/>
        <charset val="128"/>
      </rPr>
      <t>初期値</t>
    </r>
    <r>
      <rPr>
        <sz val="11"/>
        <color indexed="8"/>
        <rFont val="Tahoma"/>
        <family val="2"/>
      </rPr>
      <t>)</t>
    </r>
    <rPh sb="0" eb="2">
      <t>ゼンカイ</t>
    </rPh>
    <rPh sb="2" eb="3">
      <t>チ</t>
    </rPh>
    <rPh sb="6" eb="9">
      <t>ショキチ</t>
    </rPh>
    <phoneticPr fontId="8"/>
  </si>
  <si>
    <r>
      <rPr>
        <sz val="11"/>
        <color indexed="8"/>
        <rFont val="HG丸ｺﾞｼｯｸM-PRO"/>
        <family val="3"/>
        <charset val="128"/>
      </rPr>
      <t>通常</t>
    </r>
    <r>
      <rPr>
        <sz val="11"/>
        <color indexed="8"/>
        <rFont val="Tahoma"/>
        <family val="2"/>
      </rPr>
      <t xml:space="preserve"> </t>
    </r>
    <r>
      <rPr>
        <sz val="11"/>
        <color indexed="8"/>
        <rFont val="HG丸ｺﾞｼｯｸM-PRO"/>
        <family val="3"/>
        <charset val="128"/>
      </rPr>
      <t>のち</t>
    </r>
    <r>
      <rPr>
        <sz val="11"/>
        <color indexed="8"/>
        <rFont val="Tahoma"/>
        <family val="2"/>
      </rPr>
      <t xml:space="preserve"> </t>
    </r>
    <r>
      <rPr>
        <sz val="11"/>
        <color indexed="8"/>
        <rFont val="HG丸ｺﾞｼｯｸM-PRO"/>
        <family val="3"/>
        <charset val="128"/>
      </rPr>
      <t>タイムアウト</t>
    </r>
    <rPh sb="0" eb="2">
      <t>ツウジョウ</t>
    </rPh>
    <phoneticPr fontId="8"/>
  </si>
  <si>
    <t>INIT</t>
    <phoneticPr fontId="15"/>
  </si>
  <si>
    <t>TO_TRG_WK</t>
    <phoneticPr fontId="2"/>
  </si>
  <si>
    <t>TO_SLP_OK</t>
    <phoneticPr fontId="2"/>
  </si>
  <si>
    <t>TO_SLP_NG</t>
    <phoneticPr fontId="2"/>
  </si>
  <si>
    <t>SLP_OK</t>
    <phoneticPr fontId="2"/>
  </si>
  <si>
    <t>SLP_NG</t>
    <phoneticPr fontId="2"/>
  </si>
  <si>
    <t>TRG_WK</t>
    <phoneticPr fontId="2"/>
  </si>
  <si>
    <t>TO_SLP_OK</t>
    <phoneticPr fontId="2"/>
  </si>
  <si>
    <t>SLP_OK</t>
    <phoneticPr fontId="2"/>
  </si>
  <si>
    <t>SLP_NG</t>
    <phoneticPr fontId="2"/>
  </si>
  <si>
    <t>TO_WAI_EVT</t>
    <phoneticPr fontId="2"/>
  </si>
  <si>
    <t>TO_WAI_EVT</t>
    <phoneticPr fontId="15"/>
  </si>
  <si>
    <t>TO_WAI_WKF</t>
    <phoneticPr fontId="15"/>
  </si>
  <si>
    <t>OXCAN_NMWK_AEVTBIT_NM_AWAK</t>
  </si>
  <si>
    <t>OXCAN_NMWK_AEVTBIT_RQRI</t>
  </si>
  <si>
    <t>OXCAN_NMWK_AEVTBIT_RQST</t>
  </si>
  <si>
    <t>OXCAN_NMWK_AEVTBIT_TO_AWAK</t>
  </si>
  <si>
    <t>OXCAN_NMWK_AEVTBIT_TO_RQWK</t>
  </si>
  <si>
    <t>OXCAN_NMWK_ARQSTS_WAI_EVT</t>
  </si>
  <si>
    <t>OXCAN_NMWK_ARQSTS_TRG_WK</t>
  </si>
  <si>
    <t>OXCAN_NMWK_ARQSTS_SLP_OK</t>
  </si>
  <si>
    <t>OXCAN_NMWK_ARQSTS_SLP_NG</t>
  </si>
  <si>
    <t>OXCAN_NMWK_ARQACT_OPT_TM_INIT</t>
  </si>
  <si>
    <t>OXCAN_NMWK_ARQACT_OPT_XRQST</t>
  </si>
  <si>
    <r>
      <t>oxcan_nmwk</t>
    </r>
    <r>
      <rPr>
        <sz val="16"/>
        <color theme="1"/>
        <rFont val="HG丸ｺﾞｼｯｸM-PRO"/>
        <family val="3"/>
        <charset val="128"/>
      </rPr>
      <t>状態遷移表</t>
    </r>
    <rPh sb="10" eb="15">
      <t>ジョウタイセンイヒョウ</t>
    </rPh>
    <phoneticPr fontId="5"/>
  </si>
  <si>
    <r>
      <rPr>
        <sz val="11"/>
        <color theme="1"/>
        <rFont val="HG丸ｺﾞｼｯｸM-PRO"/>
        <family val="3"/>
        <charset val="128"/>
      </rPr>
      <t>凡例</t>
    </r>
    <rPh sb="0" eb="2">
      <t>ハンレイ</t>
    </rPh>
    <phoneticPr fontId="5"/>
  </si>
  <si>
    <r>
      <t>EVENT</t>
    </r>
    <r>
      <rPr>
        <sz val="11"/>
        <color theme="1"/>
        <rFont val="HG丸ｺﾞｼｯｸM-PRO"/>
        <family val="3"/>
        <charset val="128"/>
      </rPr>
      <t>定義</t>
    </r>
    <rPh sb="5" eb="7">
      <t>テイギ</t>
    </rPh>
    <phoneticPr fontId="15"/>
  </si>
  <si>
    <r>
      <rPr>
        <sz val="11"/>
        <color theme="1"/>
        <rFont val="HG丸ｺﾞｼｯｸM-PRO"/>
        <family val="3"/>
        <charset val="128"/>
      </rPr>
      <t>遷移先</t>
    </r>
    <r>
      <rPr>
        <sz val="11"/>
        <color theme="1"/>
        <rFont val="Tahoma"/>
        <family val="2"/>
      </rPr>
      <t>STATUS</t>
    </r>
    <r>
      <rPr>
        <sz val="11"/>
        <color theme="1"/>
        <rFont val="HG丸ｺﾞｼｯｸM-PRO"/>
        <family val="3"/>
        <charset val="128"/>
      </rPr>
      <t>に対応する色を付与する。</t>
    </r>
    <phoneticPr fontId="15"/>
  </si>
  <si>
    <r>
      <t>EVENT</t>
    </r>
    <r>
      <rPr>
        <sz val="11"/>
        <color theme="1"/>
        <rFont val="HG丸ｺﾞｼｯｸM-PRO"/>
        <family val="3"/>
        <charset val="128"/>
      </rPr>
      <t>名</t>
    </r>
    <rPh sb="5" eb="6">
      <t>メイ</t>
    </rPh>
    <phoneticPr fontId="15"/>
  </si>
  <si>
    <r>
      <rPr>
        <sz val="11"/>
        <color theme="1"/>
        <rFont val="HG丸ｺﾞｼｯｸM-PRO"/>
        <family val="3"/>
        <charset val="128"/>
      </rPr>
      <t>値</t>
    </r>
    <rPh sb="0" eb="1">
      <t>アタイ</t>
    </rPh>
    <phoneticPr fontId="15"/>
  </si>
  <si>
    <r>
      <rPr>
        <sz val="11"/>
        <color theme="1"/>
        <rFont val="HG丸ｺﾞｼｯｸM-PRO"/>
        <family val="3"/>
        <charset val="128"/>
      </rPr>
      <t>説明</t>
    </r>
    <rPh sb="0" eb="2">
      <t>セツメイ</t>
    </rPh>
    <phoneticPr fontId="15"/>
  </si>
  <si>
    <r>
      <rPr>
        <sz val="11"/>
        <color theme="1"/>
        <rFont val="HG丸ｺﾞｼｯｸM-PRO"/>
        <family val="3"/>
        <charset val="128"/>
      </rPr>
      <t>バス状態が</t>
    </r>
    <r>
      <rPr>
        <sz val="11"/>
        <color theme="1"/>
        <rFont val="Tahoma"/>
        <family val="2"/>
      </rPr>
      <t>RUN</t>
    </r>
    <r>
      <rPr>
        <sz val="11"/>
        <color theme="1"/>
        <rFont val="HG丸ｺﾞｼｯｸM-PRO"/>
        <family val="3"/>
        <charset val="128"/>
      </rPr>
      <t>以外</t>
    </r>
    <phoneticPr fontId="15"/>
  </si>
  <si>
    <r>
      <rPr>
        <sz val="11"/>
        <color theme="1"/>
        <rFont val="HG丸ｺﾞｼｯｸM-PRO"/>
        <family val="3"/>
        <charset val="128"/>
      </rPr>
      <t>バス状態が</t>
    </r>
    <r>
      <rPr>
        <sz val="11"/>
        <color theme="1"/>
        <rFont val="Tahoma"/>
        <family val="2"/>
      </rPr>
      <t>RUN</t>
    </r>
    <phoneticPr fontId="15"/>
  </si>
  <si>
    <r>
      <rPr>
        <sz val="11"/>
        <color theme="1"/>
        <rFont val="HG丸ｺﾞｼｯｸM-PRO"/>
        <family val="3"/>
        <charset val="128"/>
      </rPr>
      <t>複数存在する</t>
    </r>
    <r>
      <rPr>
        <sz val="11"/>
        <color theme="1"/>
        <rFont val="Tahoma"/>
        <family val="2"/>
      </rPr>
      <t>AppAwake</t>
    </r>
    <r>
      <rPr>
        <sz val="11"/>
        <color theme="1"/>
        <rFont val="HG丸ｺﾞｼｯｸM-PRO"/>
        <family val="3"/>
        <charset val="128"/>
      </rPr>
      <t>要求のうち、なし→ありに変化した要求なし</t>
    </r>
    <rPh sb="0" eb="4">
      <t>フクスウソンザイ</t>
    </rPh>
    <rPh sb="14" eb="16">
      <t>ヨウキュウ</t>
    </rPh>
    <rPh sb="26" eb="28">
      <t>ヘンカ</t>
    </rPh>
    <rPh sb="30" eb="32">
      <t>ヨウキュウ</t>
    </rPh>
    <phoneticPr fontId="15"/>
  </si>
  <si>
    <r>
      <rPr>
        <sz val="11"/>
        <color theme="1"/>
        <rFont val="HG丸ｺﾞｼｯｸM-PRO"/>
        <family val="3"/>
        <charset val="128"/>
      </rPr>
      <t>存在しない</t>
    </r>
    <r>
      <rPr>
        <sz val="11"/>
        <color theme="1"/>
        <rFont val="Tahoma"/>
        <family val="2"/>
      </rPr>
      <t>EVENT</t>
    </r>
    <r>
      <rPr>
        <sz val="11"/>
        <color theme="1"/>
        <rFont val="HG丸ｺﾞｼｯｸM-PRO"/>
        <family val="3"/>
        <charset val="128"/>
      </rPr>
      <t>の組み合わせ</t>
    </r>
    <r>
      <rPr>
        <sz val="11"/>
        <color theme="1"/>
        <rFont val="Tahoma"/>
        <family val="2"/>
      </rPr>
      <t>(</t>
    </r>
    <r>
      <rPr>
        <sz val="11"/>
        <color theme="1"/>
        <rFont val="HG丸ｺﾞｼｯｸM-PRO"/>
        <family val="3"/>
        <charset val="128"/>
      </rPr>
      <t>異常系</t>
    </r>
    <r>
      <rPr>
        <sz val="11"/>
        <color theme="1"/>
        <rFont val="Tahoma"/>
        <family val="2"/>
      </rPr>
      <t>)</t>
    </r>
    <rPh sb="0" eb="2">
      <t>ソンザイ</t>
    </rPh>
    <rPh sb="11" eb="12">
      <t>ク</t>
    </rPh>
    <rPh sb="13" eb="14">
      <t>ア</t>
    </rPh>
    <rPh sb="17" eb="20">
      <t>イジョウケイ</t>
    </rPh>
    <phoneticPr fontId="5"/>
  </si>
  <si>
    <r>
      <rPr>
        <sz val="11"/>
        <color theme="1"/>
        <rFont val="HG丸ｺﾞｼｯｸM-PRO"/>
        <family val="3"/>
        <charset val="128"/>
      </rPr>
      <t>複数存在する</t>
    </r>
    <r>
      <rPr>
        <sz val="11"/>
        <color theme="1"/>
        <rFont val="Tahoma"/>
        <family val="2"/>
      </rPr>
      <t>AppAwake</t>
    </r>
    <r>
      <rPr>
        <sz val="11"/>
        <color theme="1"/>
        <rFont val="HG丸ｺﾞｼｯｸM-PRO"/>
        <family val="3"/>
        <charset val="128"/>
      </rPr>
      <t>要求のうち、</t>
    </r>
    <r>
      <rPr>
        <sz val="11"/>
        <color theme="1"/>
        <rFont val="Tahoma"/>
        <family val="2"/>
      </rPr>
      <t>1</t>
    </r>
    <r>
      <rPr>
        <sz val="11"/>
        <color theme="1"/>
        <rFont val="HG丸ｺﾞｼｯｸM-PRO"/>
        <family val="3"/>
        <charset val="128"/>
      </rPr>
      <t>つ以上がなし→ありに変化した</t>
    </r>
    <phoneticPr fontId="15"/>
  </si>
  <si>
    <r>
      <rPr>
        <sz val="11"/>
        <color theme="1"/>
        <rFont val="HG丸ｺﾞｼｯｸM-PRO"/>
        <family val="3"/>
        <charset val="128"/>
      </rPr>
      <t>および異常状態を表す</t>
    </r>
    <rPh sb="3" eb="5">
      <t>イジョウ</t>
    </rPh>
    <rPh sb="5" eb="7">
      <t>ジョウタイ</t>
    </rPh>
    <rPh sb="8" eb="9">
      <t>アラワ</t>
    </rPh>
    <phoneticPr fontId="5"/>
  </si>
  <si>
    <r>
      <rPr>
        <sz val="11"/>
        <color theme="1"/>
        <rFont val="HG丸ｺﾞｼｯｸM-PRO"/>
        <family val="3"/>
        <charset val="128"/>
      </rPr>
      <t>全ての</t>
    </r>
    <r>
      <rPr>
        <sz val="11"/>
        <color theme="1"/>
        <rFont val="Tahoma"/>
        <family val="2"/>
      </rPr>
      <t>AppAwake</t>
    </r>
    <r>
      <rPr>
        <sz val="11"/>
        <color theme="1"/>
        <rFont val="HG丸ｺﾞｼｯｸM-PRO"/>
        <family val="3"/>
        <charset val="128"/>
      </rPr>
      <t>要求なし</t>
    </r>
    <rPh sb="0" eb="1">
      <t>スベ</t>
    </rPh>
    <rPh sb="11" eb="13">
      <t>ヨウキュウ</t>
    </rPh>
    <phoneticPr fontId="15"/>
  </si>
  <si>
    <r>
      <rPr>
        <b/>
        <sz val="11"/>
        <color theme="1"/>
        <rFont val="HG丸ｺﾞｼｯｸM-PRO"/>
        <family val="3"/>
        <charset val="128"/>
      </rPr>
      <t>太字</t>
    </r>
    <rPh sb="0" eb="2">
      <t>フトジ</t>
    </rPh>
    <phoneticPr fontId="5"/>
  </si>
  <si>
    <r>
      <rPr>
        <sz val="11"/>
        <color theme="1"/>
        <rFont val="HG丸ｺﾞｼｯｸM-PRO"/>
        <family val="3"/>
        <charset val="128"/>
      </rPr>
      <t>タイマを</t>
    </r>
    <r>
      <rPr>
        <sz val="11"/>
        <color theme="1"/>
        <rFont val="Tahoma"/>
        <family val="2"/>
      </rPr>
      <t>RESET</t>
    </r>
    <r>
      <rPr>
        <sz val="11"/>
        <color theme="1"/>
        <rFont val="HG丸ｺﾞｼｯｸM-PRO"/>
        <family val="3"/>
        <charset val="128"/>
      </rPr>
      <t>する</t>
    </r>
    <r>
      <rPr>
        <sz val="11"/>
        <color theme="1"/>
        <rFont val="Tahoma"/>
        <family val="2"/>
      </rPr>
      <t>Action</t>
    </r>
    <r>
      <rPr>
        <sz val="11"/>
        <color theme="1"/>
        <rFont val="HG丸ｺﾞｼｯｸM-PRO"/>
        <family val="3"/>
        <charset val="128"/>
      </rPr>
      <t>の場合</t>
    </r>
    <rPh sb="18" eb="20">
      <t>バアイ</t>
    </rPh>
    <phoneticPr fontId="5"/>
  </si>
  <si>
    <r>
      <rPr>
        <sz val="11"/>
        <color theme="1"/>
        <rFont val="HG丸ｺﾞｼｯｸM-PRO"/>
        <family val="3"/>
        <charset val="128"/>
      </rPr>
      <t>いずれかの</t>
    </r>
    <r>
      <rPr>
        <sz val="11"/>
        <color theme="1"/>
        <rFont val="Tahoma"/>
        <family val="2"/>
      </rPr>
      <t>AppAwake</t>
    </r>
    <r>
      <rPr>
        <sz val="11"/>
        <color theme="1"/>
        <rFont val="HG丸ｺﾞｼｯｸM-PRO"/>
        <family val="3"/>
        <charset val="128"/>
      </rPr>
      <t>要求有り</t>
    </r>
    <phoneticPr fontId="15"/>
  </si>
  <si>
    <r>
      <t>AppSleepNG</t>
    </r>
    <r>
      <rPr>
        <sz val="11"/>
        <color theme="1"/>
        <rFont val="HG丸ｺﾞｼｯｸM-PRO"/>
        <family val="3"/>
        <charset val="128"/>
      </rPr>
      <t>タイマタイムアウトなし</t>
    </r>
    <phoneticPr fontId="15"/>
  </si>
  <si>
    <r>
      <t>(</t>
    </r>
    <r>
      <rPr>
        <sz val="11"/>
        <color theme="1"/>
        <rFont val="HG丸ｺﾞｼｯｸM-PRO"/>
        <family val="3"/>
        <charset val="128"/>
      </rPr>
      <t>コンフィグ</t>
    </r>
    <r>
      <rPr>
        <sz val="11"/>
        <color theme="1"/>
        <rFont val="Tahoma"/>
        <family val="2"/>
      </rPr>
      <t>"</t>
    </r>
    <r>
      <rPr>
        <sz val="11"/>
        <color theme="1"/>
        <rFont val="HG丸ｺﾞｼｯｸM-PRO"/>
        <family val="3"/>
        <charset val="128"/>
      </rPr>
      <t>アプリケーション・</t>
    </r>
    <r>
      <rPr>
        <sz val="11"/>
        <color theme="1"/>
        <rFont val="Tahoma"/>
        <family val="2"/>
      </rPr>
      <t>CDD</t>
    </r>
    <r>
      <rPr>
        <sz val="11"/>
        <color theme="1"/>
        <rFont val="HG丸ｺﾞｼｯｸM-PRO"/>
        <family val="3"/>
        <charset val="128"/>
      </rPr>
      <t>の</t>
    </r>
    <r>
      <rPr>
        <sz val="11"/>
        <color theme="1"/>
        <rFont val="Tahoma"/>
        <family val="2"/>
      </rPr>
      <t>NM</t>
    </r>
    <r>
      <rPr>
        <sz val="11"/>
        <color theme="1"/>
        <rFont val="HG丸ｺﾞｼｯｸM-PRO"/>
        <family val="3"/>
        <charset val="128"/>
      </rPr>
      <t>アウェイク要因ありによるスリープ</t>
    </r>
    <r>
      <rPr>
        <sz val="11"/>
        <color theme="1"/>
        <rFont val="Tahoma"/>
        <family val="2"/>
      </rPr>
      <t>NG</t>
    </r>
    <r>
      <rPr>
        <sz val="11"/>
        <color theme="1"/>
        <rFont val="HG丸ｺﾞｼｯｸM-PRO"/>
        <family val="3"/>
        <charset val="128"/>
      </rPr>
      <t>時間の有無</t>
    </r>
    <r>
      <rPr>
        <sz val="11"/>
        <color theme="1"/>
        <rFont val="Tahoma"/>
        <family val="2"/>
      </rPr>
      <t>"</t>
    </r>
    <r>
      <rPr>
        <sz val="11"/>
        <color theme="1"/>
        <rFont val="HG丸ｺﾞｼｯｸM-PRO"/>
        <family val="3"/>
        <charset val="128"/>
      </rPr>
      <t>が無しの場合は</t>
    </r>
    <r>
      <rPr>
        <sz val="11"/>
        <color theme="1"/>
        <rFont val="Tahoma"/>
        <family val="2"/>
      </rPr>
      <t>0</t>
    </r>
    <r>
      <rPr>
        <sz val="11"/>
        <color theme="1"/>
        <rFont val="HG丸ｺﾞｼｯｸM-PRO"/>
        <family val="3"/>
        <charset val="128"/>
      </rPr>
      <t>固定</t>
    </r>
    <r>
      <rPr>
        <sz val="11"/>
        <color theme="1"/>
        <rFont val="Tahoma"/>
        <family val="2"/>
      </rPr>
      <t>)</t>
    </r>
    <rPh sb="43" eb="45">
      <t>ウム</t>
    </rPh>
    <rPh sb="47" eb="48">
      <t>ナ</t>
    </rPh>
    <rPh sb="50" eb="52">
      <t>バアイ</t>
    </rPh>
    <rPh sb="54" eb="56">
      <t>コテイ</t>
    </rPh>
    <phoneticPr fontId="15"/>
  </si>
  <si>
    <r>
      <t>AppSleepNG</t>
    </r>
    <r>
      <rPr>
        <sz val="11"/>
        <color theme="1"/>
        <rFont val="HG丸ｺﾞｼｯｸM-PRO"/>
        <family val="3"/>
        <charset val="128"/>
      </rPr>
      <t>タイマタイムアウト</t>
    </r>
    <phoneticPr fontId="15"/>
  </si>
  <si>
    <r>
      <rPr>
        <sz val="11"/>
        <color theme="1"/>
        <rFont val="HG丸ｺﾞｼｯｸM-PRO"/>
        <family val="3"/>
        <charset val="128"/>
      </rPr>
      <t>タイムアウト値は</t>
    </r>
    <r>
      <rPr>
        <sz val="11"/>
        <color theme="1"/>
        <rFont val="Tahoma"/>
        <family val="2"/>
      </rPr>
      <t>5s</t>
    </r>
    <r>
      <rPr>
        <sz val="11"/>
        <color theme="1"/>
        <rFont val="HG丸ｺﾞｼｯｸM-PRO"/>
        <family val="3"/>
        <charset val="128"/>
      </rPr>
      <t>とする</t>
    </r>
    <r>
      <rPr>
        <sz val="11"/>
        <color theme="1"/>
        <rFont val="Tahoma"/>
        <family val="2"/>
      </rPr>
      <t>(</t>
    </r>
    <r>
      <rPr>
        <sz val="11"/>
        <color theme="1"/>
        <rFont val="HG丸ｺﾞｼｯｸM-PRO"/>
        <family val="3"/>
        <charset val="128"/>
      </rPr>
      <t>要求仕様に従う</t>
    </r>
    <r>
      <rPr>
        <sz val="11"/>
        <color theme="1"/>
        <rFont val="Tahoma"/>
        <family val="2"/>
      </rPr>
      <t>)</t>
    </r>
    <phoneticPr fontId="15"/>
  </si>
  <si>
    <r>
      <t>AppAwake</t>
    </r>
    <r>
      <rPr>
        <sz val="11"/>
        <color theme="1"/>
        <rFont val="HG丸ｺﾞｼｯｸM-PRO"/>
        <family val="3"/>
        <charset val="128"/>
      </rPr>
      <t>要求有りタイマタイムアウトなし</t>
    </r>
    <rPh sb="8" eb="11">
      <t>ヨウキュウア</t>
    </rPh>
    <phoneticPr fontId="15"/>
  </si>
  <si>
    <r>
      <t>AppAwake</t>
    </r>
    <r>
      <rPr>
        <sz val="11"/>
        <color theme="1"/>
        <rFont val="HG丸ｺﾞｼｯｸM-PRO"/>
        <family val="3"/>
        <charset val="128"/>
      </rPr>
      <t>要求ありタイマタイムアウト</t>
    </r>
    <phoneticPr fontId="15"/>
  </si>
  <si>
    <r>
      <rPr>
        <sz val="11"/>
        <color theme="1"/>
        <rFont val="HG丸ｺﾞｼｯｸM-PRO"/>
        <family val="3"/>
        <charset val="128"/>
      </rPr>
      <t>タイムアウト値は</t>
    </r>
    <r>
      <rPr>
        <sz val="11"/>
        <color theme="1"/>
        <rFont val="Tahoma"/>
        <family val="2"/>
      </rPr>
      <t>10s</t>
    </r>
    <r>
      <rPr>
        <sz val="11"/>
        <color theme="1"/>
        <rFont val="HG丸ｺﾞｼｯｸM-PRO"/>
        <family val="3"/>
        <charset val="128"/>
      </rPr>
      <t>とする</t>
    </r>
    <r>
      <rPr>
        <sz val="11"/>
        <color theme="1"/>
        <rFont val="Tahoma"/>
        <family val="2"/>
      </rPr>
      <t>(</t>
    </r>
    <r>
      <rPr>
        <sz val="11"/>
        <color theme="1"/>
        <rFont val="HG丸ｺﾞｼｯｸM-PRO"/>
        <family val="3"/>
        <charset val="128"/>
      </rPr>
      <t>コンフィグ可能</t>
    </r>
    <r>
      <rPr>
        <sz val="11"/>
        <color theme="1"/>
        <rFont val="Tahoma"/>
        <family val="2"/>
      </rPr>
      <t>)</t>
    </r>
    <rPh sb="20" eb="22">
      <t>カノウ</t>
    </rPh>
    <phoneticPr fontId="15"/>
  </si>
  <si>
    <r>
      <rPr>
        <sz val="11"/>
        <color theme="1"/>
        <rFont val="HG丸ｺﾞｼｯｸM-PRO"/>
        <family val="3"/>
        <charset val="128"/>
      </rPr>
      <t>バス状態が</t>
    </r>
    <r>
      <rPr>
        <sz val="11"/>
        <color theme="1"/>
        <rFont val="Tahoma"/>
        <family val="2"/>
      </rPr>
      <t>RUN</t>
    </r>
    <r>
      <rPr>
        <sz val="11"/>
        <color theme="1"/>
        <rFont val="HG丸ｺﾞｼｯｸM-PRO"/>
        <family val="3"/>
        <charset val="128"/>
      </rPr>
      <t>以外で</t>
    </r>
    <r>
      <rPr>
        <sz val="11"/>
        <color theme="1"/>
        <rFont val="Tahoma"/>
        <family val="2"/>
      </rPr>
      <t>AppAwake</t>
    </r>
    <r>
      <rPr>
        <sz val="11"/>
        <color theme="1"/>
        <rFont val="HG丸ｺﾞｼｯｸM-PRO"/>
        <family val="3"/>
        <charset val="128"/>
      </rPr>
      <t>要求ありを通知して</t>
    </r>
    <r>
      <rPr>
        <sz val="11"/>
        <color theme="1"/>
        <rFont val="Tahoma"/>
        <family val="2"/>
      </rPr>
      <t>RUN</t>
    </r>
    <r>
      <rPr>
        <sz val="11"/>
        <color theme="1"/>
        <rFont val="HG丸ｺﾞｼｯｸM-PRO"/>
        <family val="3"/>
        <charset val="128"/>
      </rPr>
      <t>に遷移する最大時間（※）の約</t>
    </r>
    <r>
      <rPr>
        <sz val="11"/>
        <color theme="1"/>
        <rFont val="Tahoma"/>
        <family val="2"/>
      </rPr>
      <t>20</t>
    </r>
    <r>
      <rPr>
        <sz val="11"/>
        <color theme="1"/>
        <rFont val="HG丸ｺﾞｼｯｸM-PRO"/>
        <family val="3"/>
        <charset val="128"/>
      </rPr>
      <t>倍を設定</t>
    </r>
    <rPh sb="2" eb="4">
      <t>ジョウタイ</t>
    </rPh>
    <rPh sb="8" eb="10">
      <t>イガイ</t>
    </rPh>
    <rPh sb="19" eb="21">
      <t>ヨウキュウ</t>
    </rPh>
    <rPh sb="24" eb="26">
      <t>ツウチ</t>
    </rPh>
    <rPh sb="32" eb="34">
      <t>センイ</t>
    </rPh>
    <rPh sb="36" eb="38">
      <t>サイダイ</t>
    </rPh>
    <rPh sb="38" eb="40">
      <t>ジカン</t>
    </rPh>
    <rPh sb="44" eb="45">
      <t>ヤク</t>
    </rPh>
    <rPh sb="47" eb="48">
      <t>バイ</t>
    </rPh>
    <rPh sb="49" eb="51">
      <t>セッテイ</t>
    </rPh>
    <phoneticPr fontId="15"/>
  </si>
  <si>
    <r>
      <rPr>
        <sz val="11"/>
        <color theme="1"/>
        <rFont val="HG丸ｺﾞｼｯｸM-PRO"/>
        <family val="3"/>
        <charset val="128"/>
      </rPr>
      <t>※送信禁止状態時間</t>
    </r>
    <r>
      <rPr>
        <sz val="11"/>
        <color theme="1"/>
        <rFont val="Tahoma"/>
        <family val="2"/>
      </rPr>
      <t>(300ms) + CANIF</t>
    </r>
    <r>
      <rPr>
        <sz val="11"/>
        <color theme="1"/>
        <rFont val="HG丸ｺﾞｼｯｸM-PRO"/>
        <family val="3"/>
        <charset val="128"/>
      </rPr>
      <t>初期化最大時間</t>
    </r>
    <r>
      <rPr>
        <sz val="11"/>
        <color theme="1"/>
        <rFont val="Tahoma"/>
        <family val="2"/>
      </rPr>
      <t>(120ms)</t>
    </r>
    <rPh sb="1" eb="3">
      <t>ソウシン</t>
    </rPh>
    <rPh sb="3" eb="5">
      <t>キンシ</t>
    </rPh>
    <rPh sb="5" eb="7">
      <t>ジョウタイ</t>
    </rPh>
    <rPh sb="7" eb="9">
      <t>ジカン</t>
    </rPh>
    <rPh sb="24" eb="27">
      <t>ショキカ</t>
    </rPh>
    <rPh sb="27" eb="31">
      <t>サイダイジカン</t>
    </rPh>
    <phoneticPr fontId="15"/>
  </si>
  <si>
    <r>
      <t>ROM</t>
    </r>
    <r>
      <rPr>
        <sz val="11"/>
        <color theme="1"/>
        <rFont val="HG丸ｺﾞｼｯｸM-PRO"/>
        <family val="3"/>
        <charset val="128"/>
      </rPr>
      <t>削減のため</t>
    </r>
    <rPh sb="3" eb="5">
      <t>サクゲン</t>
    </rPh>
    <phoneticPr fontId="5"/>
  </si>
  <si>
    <r>
      <t>ACTION</t>
    </r>
    <r>
      <rPr>
        <sz val="11"/>
        <color theme="1"/>
        <rFont val="HG丸ｺﾞｼｯｸM-PRO"/>
        <family val="3"/>
        <charset val="128"/>
      </rPr>
      <t>テーブル</t>
    </r>
    <phoneticPr fontId="5"/>
  </si>
  <si>
    <r>
      <rPr>
        <sz val="11"/>
        <color theme="1"/>
        <rFont val="HG丸ｺﾞｼｯｸM-PRO"/>
        <family val="3"/>
        <charset val="128"/>
      </rPr>
      <t>には反映せず、</t>
    </r>
    <rPh sb="2" eb="4">
      <t>ハンエイ</t>
    </rPh>
    <phoneticPr fontId="5"/>
  </si>
  <si>
    <r>
      <rPr>
        <sz val="11"/>
        <color theme="1"/>
        <rFont val="HG丸ｺﾞｼｯｸM-PRO"/>
        <family val="3"/>
        <charset val="128"/>
      </rPr>
      <t>プログラム実装する</t>
    </r>
    <rPh sb="5" eb="7">
      <t>ジッソウ</t>
    </rPh>
    <phoneticPr fontId="5"/>
  </si>
  <si>
    <r>
      <rPr>
        <sz val="11"/>
        <color theme="1"/>
        <rFont val="HG丸ｺﾞｼｯｸM-PRO"/>
        <family val="3"/>
        <charset val="128"/>
      </rPr>
      <t>異常系</t>
    </r>
    <rPh sb="0" eb="3">
      <t>イジョウケイ</t>
    </rPh>
    <phoneticPr fontId="15"/>
  </si>
  <si>
    <r>
      <rPr>
        <sz val="11"/>
        <color theme="1"/>
        <rFont val="HG丸ｺﾞｼｯｸM-PRO"/>
        <family val="3"/>
        <charset val="128"/>
      </rPr>
      <t>異常系</t>
    </r>
    <r>
      <rPr>
        <sz val="11"/>
        <color theme="1"/>
        <rFont val="Tahoma"/>
        <family val="2"/>
      </rPr>
      <t>(AppSleepNG</t>
    </r>
    <r>
      <rPr>
        <sz val="11"/>
        <color theme="1"/>
        <rFont val="HG丸ｺﾞｼｯｸM-PRO"/>
        <family val="3"/>
        <charset val="128"/>
      </rPr>
      <t>時間が無しの場合</t>
    </r>
    <r>
      <rPr>
        <sz val="11"/>
        <color theme="1"/>
        <rFont val="Tahoma"/>
        <family val="2"/>
      </rPr>
      <t>)</t>
    </r>
    <rPh sb="0" eb="3">
      <t>イジョウケイ</t>
    </rPh>
    <rPh sb="14" eb="16">
      <t>ジカン</t>
    </rPh>
    <rPh sb="17" eb="18">
      <t>ナ</t>
    </rPh>
    <rPh sb="20" eb="22">
      <t>バアイ</t>
    </rPh>
    <phoneticPr fontId="15"/>
  </si>
  <si>
    <t>REQ</t>
    <phoneticPr fontId="70"/>
  </si>
  <si>
    <t>STA</t>
    <phoneticPr fontId="70"/>
  </si>
  <si>
    <t>RUN</t>
    <phoneticPr fontId="70"/>
  </si>
  <si>
    <t>TO_REQ</t>
    <phoneticPr fontId="70"/>
  </si>
  <si>
    <t>TO_STA</t>
    <phoneticPr fontId="70"/>
  </si>
  <si>
    <t>TO_RUN</t>
    <phoneticPr fontId="70"/>
  </si>
  <si>
    <t>elpsd</t>
    <phoneticPr fontId="70"/>
  </si>
  <si>
    <t>inc</t>
    <phoneticPr fontId="70"/>
  </si>
  <si>
    <t>next</t>
    <phoneticPr fontId="70"/>
  </si>
  <si>
    <t>req</t>
    <phoneticPr fontId="70"/>
  </si>
  <si>
    <t>sys_net</t>
    <phoneticPr fontId="70"/>
  </si>
  <si>
    <t>req_by_ch</t>
    <phoneticPr fontId="70"/>
  </si>
  <si>
    <t>n/a</t>
    <phoneticPr fontId="70"/>
  </si>
  <si>
    <t>WFR</t>
    <phoneticPr fontId="70"/>
  </si>
  <si>
    <t>TO_WFR</t>
  </si>
  <si>
    <t>OXCAN_WRQH_EAS_NET_RUN</t>
    <phoneticPr fontId="70"/>
  </si>
  <si>
    <t>OXCAN_WRQH_EAS_TIM_OUT</t>
    <phoneticPr fontId="70"/>
  </si>
  <si>
    <t>OXCAN_WRQH_EAS_REQ_STA</t>
    <phoneticPr fontId="70"/>
  </si>
  <si>
    <t>\</t>
    <phoneticPr fontId="70"/>
  </si>
  <si>
    <t>OXCAN_WRQH_EAS_REQ_WKU</t>
    <phoneticPr fontId="7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</si>
</sst>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quot;-&quot;"/>
    <numFmt numFmtId="177" formatCode="&quot;  &quot;@"/>
    <numFmt numFmtId="178" formatCode="yy"/>
    <numFmt numFmtId="179" formatCode="@\ *."/>
  </numFmts>
  <fonts count="71">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6"/>
      <name val="ＭＳ Ｐゴシック"/>
      <family val="3"/>
      <charset val="128"/>
    </font>
    <font>
      <sz val="11"/>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sz val="11"/>
      <color indexed="8"/>
      <name val="HG丸ｺﾞｼｯｸM-PRO"/>
      <family val="3"/>
      <charset val="128"/>
    </font>
    <font>
      <sz val="11"/>
      <color indexed="8"/>
      <name val="Tahoma"/>
      <family val="2"/>
    </font>
    <font>
      <b/>
      <u/>
      <sz val="11"/>
      <name val="HG丸ｺﾞｼｯｸM-PRO"/>
      <family val="3"/>
      <charset val="128"/>
    </font>
    <font>
      <u/>
      <sz val="11"/>
      <name val="Tahoma"/>
      <family val="2"/>
    </font>
    <font>
      <u/>
      <sz val="11"/>
      <name val="HG丸ｺﾞｼｯｸM-PRO"/>
      <family val="3"/>
      <charset val="128"/>
    </font>
    <font>
      <sz val="6"/>
      <name val="ＭＳ Ｐゴシック"/>
      <family val="3"/>
      <charset val="128"/>
    </font>
    <font>
      <sz val="6"/>
      <name val="ＭＳ Ｐゴシック"/>
      <family val="3"/>
      <charset val="128"/>
    </font>
    <font>
      <b/>
      <sz val="18"/>
      <color indexed="56"/>
      <name val="ＭＳ Ｐゴシック"/>
      <family val="3"/>
      <charset val="128"/>
    </font>
    <font>
      <sz val="10"/>
      <name val="Helv"/>
      <family val="2"/>
    </font>
    <font>
      <sz val="11"/>
      <name val="Tahoma"/>
      <family val="2"/>
    </font>
    <font>
      <b/>
      <sz val="16"/>
      <name val="HG丸ｺﾞｼｯｸM-PRO"/>
      <family val="3"/>
      <charset val="128"/>
    </font>
    <font>
      <sz val="9"/>
      <color indexed="8"/>
      <name val="ＭＳ 明朝"/>
      <family val="1"/>
      <charset val="128"/>
    </font>
    <font>
      <sz val="9"/>
      <color indexed="9"/>
      <name val="ＭＳ 明朝"/>
      <family val="1"/>
      <charset val="128"/>
    </font>
    <font>
      <sz val="10"/>
      <color indexed="8"/>
      <name val="Arial"/>
      <family val="2"/>
    </font>
    <font>
      <b/>
      <sz val="12"/>
      <name val="Arial"/>
      <family val="2"/>
    </font>
    <font>
      <sz val="10"/>
      <color indexed="12"/>
      <name val="ＭＳ Ｐゴシック"/>
      <family val="3"/>
      <charset val="128"/>
    </font>
    <font>
      <sz val="10"/>
      <name val="Arial"/>
      <family val="2"/>
    </font>
    <font>
      <b/>
      <sz val="11"/>
      <color indexed="12"/>
      <name val="ＭＳ Ｐゴシック"/>
      <family val="3"/>
      <charset val="128"/>
    </font>
    <font>
      <sz val="11"/>
      <name val="明朝"/>
      <family val="1"/>
      <charset val="128"/>
    </font>
    <font>
      <b/>
      <sz val="9"/>
      <color indexed="9"/>
      <name val="ＭＳ 明朝"/>
      <family val="1"/>
      <charset val="128"/>
    </font>
    <font>
      <u val="singleAccounting"/>
      <sz val="11"/>
      <color indexed="12"/>
      <name val="ＭＳ Ｐゴシック"/>
      <family val="3"/>
      <charset val="128"/>
    </font>
    <font>
      <sz val="9"/>
      <name val="ＭＳ Ｐゴシック"/>
      <family val="3"/>
      <charset val="128"/>
    </font>
    <font>
      <sz val="9"/>
      <color indexed="60"/>
      <name val="ＭＳ 明朝"/>
      <family val="1"/>
      <charset val="128"/>
    </font>
    <font>
      <sz val="9"/>
      <color indexed="52"/>
      <name val="ＭＳ 明朝"/>
      <family val="1"/>
      <charset val="128"/>
    </font>
    <font>
      <sz val="9"/>
      <color indexed="20"/>
      <name val="ＭＳ 明朝"/>
      <family val="1"/>
      <charset val="128"/>
    </font>
    <font>
      <sz val="9"/>
      <color indexed="23"/>
      <name val="ＭＳ Ｐゴシック"/>
      <family val="3"/>
      <charset val="128"/>
    </font>
    <font>
      <sz val="12"/>
      <name val="明朝"/>
      <family val="1"/>
      <charset val="128"/>
    </font>
    <font>
      <b/>
      <sz val="9"/>
      <color indexed="52"/>
      <name val="ＭＳ 明朝"/>
      <family val="1"/>
      <charset val="128"/>
    </font>
    <font>
      <sz val="9"/>
      <color indexed="10"/>
      <name val="ＭＳ 明朝"/>
      <family val="1"/>
      <charset val="128"/>
    </font>
    <font>
      <b/>
      <sz val="11"/>
      <name val="明朝"/>
      <family val="1"/>
      <charset val="128"/>
    </font>
    <font>
      <b/>
      <sz val="15"/>
      <color indexed="56"/>
      <name val="ＭＳ 明朝"/>
      <family val="1"/>
      <charset val="128"/>
    </font>
    <font>
      <b/>
      <sz val="13"/>
      <color indexed="56"/>
      <name val="ＭＳ 明朝"/>
      <family val="1"/>
      <charset val="128"/>
    </font>
    <font>
      <b/>
      <sz val="11"/>
      <color indexed="56"/>
      <name val="ＭＳ 明朝"/>
      <family val="1"/>
      <charset val="128"/>
    </font>
    <font>
      <b/>
      <sz val="12"/>
      <name val="HG丸ｺﾞｼｯｸM-PRO"/>
      <family val="3"/>
      <charset val="128"/>
    </font>
    <font>
      <b/>
      <sz val="9"/>
      <name val="ＭＳ Ｐゴシック"/>
      <family val="3"/>
      <charset val="128"/>
    </font>
    <font>
      <strike/>
      <sz val="11"/>
      <name val="ＭＳ Ｐゴシック"/>
      <family val="3"/>
      <charset val="128"/>
    </font>
    <font>
      <b/>
      <sz val="9"/>
      <color indexed="8"/>
      <name val="ＭＳ 明朝"/>
      <family val="1"/>
      <charset val="128"/>
    </font>
    <font>
      <b/>
      <sz val="9"/>
      <color indexed="63"/>
      <name val="ＭＳ 明朝"/>
      <family val="1"/>
      <charset val="128"/>
    </font>
    <font>
      <i/>
      <sz val="9"/>
      <color indexed="23"/>
      <name val="ＭＳ 明朝"/>
      <family val="1"/>
      <charset val="128"/>
    </font>
    <font>
      <sz val="9"/>
      <color indexed="62"/>
      <name val="ＭＳ 明朝"/>
      <family val="1"/>
      <charset val="128"/>
    </font>
    <font>
      <sz val="8"/>
      <name val="Times New Roman"/>
      <family val="1"/>
    </font>
    <font>
      <u/>
      <sz val="11"/>
      <color indexed="36"/>
      <name val="ＭＳ Ｐゴシック"/>
      <family val="3"/>
      <charset val="128"/>
    </font>
    <font>
      <sz val="9"/>
      <name val="ＭＳ 明朝"/>
      <family val="1"/>
      <charset val="128"/>
    </font>
    <font>
      <sz val="9"/>
      <color indexed="8"/>
      <name val="ＭＳ Ｐゴシック"/>
      <family val="3"/>
      <charset val="128"/>
    </font>
    <font>
      <sz val="14"/>
      <name val="明朝"/>
      <family val="1"/>
      <charset val="128"/>
    </font>
    <font>
      <sz val="14"/>
      <name val="ＭＳ 明朝"/>
      <family val="1"/>
      <charset val="128"/>
    </font>
    <font>
      <sz val="11"/>
      <color indexed="12"/>
      <name val="ＭＳ Ｐゴシック"/>
      <family val="3"/>
      <charset val="128"/>
    </font>
    <font>
      <sz val="9"/>
      <color indexed="17"/>
      <name val="ＭＳ 明朝"/>
      <family val="1"/>
      <charset val="128"/>
    </font>
    <font>
      <sz val="11"/>
      <name val="돋움"/>
      <family val="2"/>
      <charset val="129"/>
    </font>
    <font>
      <sz val="11"/>
      <color theme="1"/>
      <name val="ＭＳ Ｐゴシック"/>
      <family val="3"/>
      <charset val="128"/>
      <scheme val="minor"/>
    </font>
    <font>
      <b/>
      <sz val="11"/>
      <color theme="0"/>
      <name val="Calibri"/>
      <family val="2"/>
    </font>
    <font>
      <sz val="11"/>
      <color rgb="FF9C6500"/>
      <name val="Calibri"/>
      <family val="2"/>
    </font>
    <font>
      <b/>
      <sz val="11"/>
      <color theme="1"/>
      <name val="ＭＳ Ｐゴシック"/>
      <family val="3"/>
      <charset val="128"/>
      <scheme val="minor"/>
    </font>
    <font>
      <sz val="11"/>
      <color rgb="FF006100"/>
      <name val="Calibri"/>
      <family val="2"/>
    </font>
    <font>
      <sz val="16"/>
      <color theme="1"/>
      <name val="ＭＳ Ｐゴシック"/>
      <family val="3"/>
      <charset val="128"/>
      <scheme val="minor"/>
    </font>
    <font>
      <sz val="11"/>
      <color theme="1"/>
      <name val="Tahoma"/>
      <family val="2"/>
    </font>
    <font>
      <sz val="16"/>
      <color theme="1"/>
      <name val="HG丸ｺﾞｼｯｸM-PRO"/>
      <family val="3"/>
      <charset val="128"/>
    </font>
    <font>
      <sz val="11"/>
      <color theme="1"/>
      <name val="HG丸ｺﾞｼｯｸM-PRO"/>
      <family val="3"/>
      <charset val="128"/>
    </font>
    <font>
      <b/>
      <sz val="11"/>
      <color theme="1"/>
      <name val="HG丸ｺﾞｼｯｸM-PRO"/>
      <family val="3"/>
      <charset val="128"/>
    </font>
    <font>
      <sz val="16"/>
      <color theme="1"/>
      <name val="Tahoma"/>
      <family val="2"/>
    </font>
    <font>
      <b/>
      <sz val="11"/>
      <color theme="1"/>
      <name val="Tahoma"/>
      <family val="2"/>
    </font>
    <font>
      <sz val="6"/>
      <name val="ＭＳ Ｐゴシック"/>
      <family val="3"/>
      <charset val="128"/>
      <scheme val="minor"/>
    </font>
  </fonts>
  <fills count="4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31"/>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bgColor indexed="64"/>
      </patternFill>
    </fill>
    <fill>
      <patternFill patternType="solid">
        <fgColor indexed="55"/>
      </patternFill>
    </fill>
    <fill>
      <patternFill patternType="solid">
        <fgColor indexed="42"/>
        <bgColor indexed="64"/>
      </patternFill>
    </fill>
    <fill>
      <patternFill patternType="solid">
        <fgColor indexed="47"/>
        <bgColor indexed="64"/>
      </patternFill>
    </fill>
    <fill>
      <patternFill patternType="solid">
        <fgColor indexed="44"/>
        <bgColor indexed="64"/>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rgb="FFA5A5A5"/>
      </patternFill>
    </fill>
    <fill>
      <patternFill patternType="solid">
        <fgColor rgb="FFFFEB9C"/>
      </patternFill>
    </fill>
    <fill>
      <patternFill patternType="solid">
        <fgColor rgb="FFC6EFCE"/>
      </patternFill>
    </fill>
    <fill>
      <patternFill patternType="solid">
        <fgColor rgb="FFCCFFCC"/>
        <bgColor indexed="64"/>
      </patternFill>
    </fill>
    <fill>
      <patternFill patternType="solid">
        <fgColor rgb="FFFF00FF"/>
        <bgColor indexed="64"/>
      </patternFill>
    </fill>
    <fill>
      <patternFill patternType="solid">
        <fgColor rgb="FFCCFFFF"/>
        <bgColor indexed="64"/>
      </patternFill>
    </fill>
    <fill>
      <patternFill patternType="solid">
        <fgColor rgb="FF99CCFF"/>
        <bgColor indexed="64"/>
      </patternFill>
    </fill>
    <fill>
      <patternFill patternType="solid">
        <fgColor rgb="FFCC99FF"/>
        <bgColor indexed="64"/>
      </patternFill>
    </fill>
    <fill>
      <patternFill patternType="solid">
        <fgColor rgb="FFFF99CC"/>
        <bgColor indexed="64"/>
      </patternFill>
    </fill>
    <fill>
      <patternFill patternType="solid">
        <fgColor rgb="FFC0C0C0"/>
        <bgColor indexed="64"/>
      </patternFill>
    </fill>
    <fill>
      <patternFill patternType="solid">
        <fgColor rgb="FFFFFF99"/>
        <bgColor indexed="64"/>
      </patternFill>
    </fill>
    <fill>
      <patternFill patternType="solid">
        <fgColor rgb="FFFFFFFF"/>
        <bgColor indexed="64"/>
      </patternFill>
    </fill>
    <fill>
      <patternFill patternType="solid">
        <fgColor rgb="FFFFCC99"/>
        <bgColor indexed="64"/>
      </patternFill>
    </fill>
    <fill>
      <patternFill patternType="solid">
        <fgColor theme="9" tint="0.39994506668294322"/>
        <bgColor indexed="64"/>
      </patternFill>
    </fill>
    <fill>
      <patternFill patternType="solid">
        <fgColor theme="0" tint="-0.24994659260841701"/>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rgb="FFFFFF00"/>
        <bgColor indexed="64"/>
      </patternFill>
    </fill>
    <fill>
      <patternFill patternType="solid">
        <fgColor theme="0" tint="-0.14999847407452621"/>
        <bgColor indexed="64"/>
      </patternFill>
    </fill>
  </fills>
  <borders count="5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right style="double">
        <color indexed="64"/>
      </right>
      <top style="medium">
        <color indexed="64"/>
      </top>
      <bottom style="double">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thick">
        <color indexed="64"/>
      </bottom>
      <diagonal/>
    </border>
    <border>
      <left style="thick">
        <color indexed="55"/>
      </left>
      <right/>
      <top/>
      <bottom style="thin">
        <color indexed="55"/>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4"/>
      </left>
      <right style="double">
        <color indexed="64"/>
      </right>
      <top style="medium">
        <color indexed="64"/>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ck">
        <color indexed="64"/>
      </left>
      <right/>
      <top style="thick">
        <color indexed="64"/>
      </top>
      <bottom/>
      <diagonal/>
    </border>
    <border>
      <left/>
      <right/>
      <top style="thick">
        <color indexed="64"/>
      </top>
      <bottom/>
      <diagonal/>
    </border>
    <border>
      <left style="thick">
        <color indexed="64"/>
      </left>
      <right/>
      <top/>
      <bottom/>
      <diagonal/>
    </border>
    <border>
      <left style="thick">
        <color indexed="64"/>
      </left>
      <right/>
      <top/>
      <bottom style="thick">
        <color indexed="64"/>
      </bottom>
      <diagonal/>
    </border>
    <border>
      <left/>
      <right style="thick">
        <color indexed="64"/>
      </right>
      <top/>
      <bottom/>
      <diagonal/>
    </border>
    <border>
      <left style="dotted">
        <color indexed="64"/>
      </left>
      <right/>
      <top/>
      <bottom/>
      <diagonal/>
    </border>
    <border>
      <left style="dotted">
        <color indexed="64"/>
      </left>
      <right/>
      <top/>
      <bottom style="thick">
        <color indexed="64"/>
      </bottom>
      <diagonal/>
    </border>
    <border>
      <left/>
      <right style="thick">
        <color indexed="64"/>
      </right>
      <top/>
      <bottom style="thick">
        <color indexed="64"/>
      </bottom>
      <diagonal/>
    </border>
    <border>
      <left/>
      <right style="dotted">
        <color indexed="64"/>
      </right>
      <top/>
      <bottom/>
      <diagonal/>
    </border>
    <border>
      <left style="dotted">
        <color indexed="64"/>
      </left>
      <right/>
      <top style="thick">
        <color indexed="64"/>
      </top>
      <bottom/>
      <diagonal/>
    </border>
    <border>
      <left/>
      <right style="dotted">
        <color indexed="64"/>
      </right>
      <top/>
      <bottom style="medium">
        <color indexed="64"/>
      </bottom>
      <diagonal/>
    </border>
    <border>
      <left style="dotted">
        <color indexed="64"/>
      </left>
      <right/>
      <top style="medium">
        <color indexed="64"/>
      </top>
      <bottom style="medium">
        <color indexed="64"/>
      </bottom>
      <diagonal/>
    </border>
    <border>
      <left style="dotted">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dotted">
        <color indexed="64"/>
      </right>
      <top style="medium">
        <color indexed="64"/>
      </top>
      <bottom/>
      <diagonal/>
    </border>
    <border>
      <left/>
      <right style="dotted">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double">
        <color rgb="FF3F3F3F"/>
      </left>
      <right style="double">
        <color rgb="FF3F3F3F"/>
      </right>
      <top style="double">
        <color rgb="FF3F3F3F"/>
      </top>
      <bottom style="double">
        <color rgb="FF3F3F3F"/>
      </bottom>
      <diagonal/>
    </border>
  </borders>
  <cellStyleXfs count="3443">
    <xf numFmtId="0" fontId="0" fillId="0" borderId="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2"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3"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6"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7"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9"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10"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5"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8"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0"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0" fontId="21" fillId="15" borderId="0" applyNumberFormat="0" applyBorder="0" applyAlignment="0" applyProtection="0">
      <alignment vertical="center"/>
    </xf>
    <xf numFmtId="176" fontId="22" fillId="0" borderId="0" applyFill="0" applyBorder="0" applyAlignment="0"/>
    <xf numFmtId="0" fontId="23" fillId="0" borderId="1" applyNumberFormat="0" applyAlignment="0" applyProtection="0">
      <alignment horizontal="left" vertical="center"/>
    </xf>
    <xf numFmtId="0" fontId="23" fillId="0" borderId="2">
      <alignment horizontal="left" vertical="center"/>
    </xf>
    <xf numFmtId="0" fontId="24" fillId="0" borderId="0" applyNumberFormat="0" applyFont="0" applyBorder="0" applyAlignment="0" applyProtection="0">
      <alignment horizontal="center" vertical="top"/>
    </xf>
    <xf numFmtId="0" fontId="25" fillId="0" borderId="0"/>
    <xf numFmtId="0" fontId="4" fillId="16" borderId="0" applyNumberFormat="0" applyFont="0" applyBorder="0" applyAlignment="0" applyProtection="0"/>
    <xf numFmtId="0" fontId="26" fillId="16" borderId="0" applyNumberFormat="0" applyFont="0" applyBorder="0" applyAlignment="0" applyProtection="0"/>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9"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14"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0" fontId="21" fillId="20" borderId="0" applyNumberFormat="0" applyBorder="0" applyAlignment="0" applyProtection="0">
      <alignment vertical="center"/>
    </xf>
    <xf numFmtId="49" fontId="27" fillId="21" borderId="3">
      <alignment horizontal="centerContinuous" vertical="center"/>
      <protection locked="0"/>
    </xf>
    <xf numFmtId="0" fontId="17" fillId="0" borderId="0"/>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8" fillId="22" borderId="4" applyNumberFormat="0" applyAlignment="0" applyProtection="0">
      <alignment vertical="center"/>
    </xf>
    <xf numFmtId="0" fontId="59" fillId="30" borderId="51" applyNumberFormat="0" applyAlignment="0" applyProtection="0"/>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8" fillId="22" borderId="4" applyNumberFormat="0" applyAlignment="0" applyProtection="0">
      <alignment vertical="center"/>
    </xf>
    <xf numFmtId="0" fontId="29" fillId="0" borderId="5" applyAlignment="0">
      <alignment horizontal="left"/>
    </xf>
    <xf numFmtId="0" fontId="30" fillId="23" borderId="6" applyBorder="0"/>
    <xf numFmtId="0" fontId="30" fillId="24" borderId="6">
      <alignment horizontal="left"/>
    </xf>
    <xf numFmtId="0" fontId="30" fillId="25" borderId="7" applyBorder="0">
      <alignment horizontal="center" vertical="center"/>
    </xf>
    <xf numFmtId="0" fontId="31" fillId="26" borderId="0" applyNumberFormat="0" applyBorder="0" applyAlignment="0" applyProtection="0">
      <alignment vertical="center"/>
    </xf>
    <xf numFmtId="0" fontId="60" fillId="31" borderId="0" applyNumberFormat="0" applyBorder="0" applyAlignment="0" applyProtection="0"/>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0" fontId="31" fillId="26" borderId="0" applyNumberFormat="0" applyBorder="0" applyAlignment="0" applyProtection="0">
      <alignment vertical="center"/>
    </xf>
    <xf numFmtId="9" fontId="4" fillId="0" borderId="0" applyFont="0" applyFill="0" applyBorder="0" applyAlignment="0" applyProtection="0"/>
    <xf numFmtId="1" fontId="27" fillId="21" borderId="0">
      <alignment horizontal="center" vertical="center"/>
      <protection locked="0"/>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4" fillId="27" borderId="8" applyNumberFormat="0" applyFont="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3" fillId="3" borderId="0" applyNumberFormat="0" applyBorder="0" applyAlignment="0" applyProtection="0">
      <alignment vertical="center"/>
    </xf>
    <xf numFmtId="0" fontId="34" fillId="0" borderId="0" applyAlignment="0">
      <alignment vertical="top"/>
    </xf>
    <xf numFmtId="0" fontId="30" fillId="23" borderId="6" applyBorder="0">
      <alignment vertical="top"/>
    </xf>
    <xf numFmtId="49" fontId="35" fillId="21" borderId="10">
      <alignment vertical="center" wrapText="1"/>
      <protection locked="0"/>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6" fillId="28" borderId="11" applyNumberFormat="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7" fillId="0" borderId="0" applyNumberFormat="0" applyFill="0" applyBorder="0" applyAlignment="0" applyProtection="0">
      <alignment vertical="center"/>
    </xf>
    <xf numFmtId="38" fontId="4" fillId="0" borderId="0" applyFont="0" applyFill="0" applyBorder="0" applyAlignment="0" applyProtection="0"/>
    <xf numFmtId="38" fontId="4" fillId="0" borderId="0" applyFont="0" applyFill="0" applyBorder="0" applyAlignment="0" applyProtection="0"/>
    <xf numFmtId="38" fontId="4" fillId="0" borderId="0" applyFont="0" applyFill="0" applyBorder="0" applyAlignment="0" applyProtection="0"/>
    <xf numFmtId="1" fontId="38" fillId="21" borderId="0">
      <alignment horizontal="center" vertical="center"/>
      <protection locked="0"/>
    </xf>
    <xf numFmtId="1" fontId="38" fillId="29" borderId="0">
      <alignment horizontal="center"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39" fillId="0" borderId="12"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0" fillId="0" borderId="13"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14" applyNumberFormat="0" applyFill="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49" fontId="19" fillId="0" borderId="15">
      <alignment horizontal="left" vertical="center"/>
    </xf>
    <xf numFmtId="49" fontId="42" fillId="0" borderId="15">
      <alignment horizontal="left" vertical="center"/>
    </xf>
    <xf numFmtId="177" fontId="43" fillId="0" borderId="16">
      <alignment vertical="center"/>
    </xf>
    <xf numFmtId="1" fontId="38" fillId="21" borderId="0">
      <alignment horizontal="center" vertical="center"/>
      <protection locked="0"/>
    </xf>
    <xf numFmtId="0" fontId="4" fillId="0" borderId="0">
      <alignment horizontal="right"/>
    </xf>
    <xf numFmtId="0" fontId="44" fillId="22" borderId="0" applyNumberFormat="0" applyBorder="0" applyAlignment="0" applyProtection="0"/>
    <xf numFmtId="1" fontId="38" fillId="21" borderId="0">
      <alignment horizontal="center" vertical="center"/>
      <protection locked="0"/>
    </xf>
    <xf numFmtId="9" fontId="27" fillId="29" borderId="0">
      <alignment horizontal="center"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5" fillId="0" borderId="17" applyNumberFormat="0" applyFill="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6" fillId="28" borderId="18" applyNumberFormat="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1" fontId="38" fillId="21" borderId="0">
      <alignment horizontal="center" vertical="center"/>
      <protection locked="0"/>
    </xf>
    <xf numFmtId="1" fontId="38" fillId="29" borderId="0">
      <alignment horizontal="center"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0" fontId="48" fillId="7" borderId="11" applyNumberFormat="0" applyAlignment="0" applyProtection="0">
      <alignment vertical="center"/>
    </xf>
    <xf numFmtId="178" fontId="38" fillId="21" borderId="0">
      <alignment horizontal="center" vertical="center"/>
      <protection locked="0"/>
    </xf>
    <xf numFmtId="1" fontId="38" fillId="29" borderId="0">
      <alignment horizontal="center" vertical="center"/>
    </xf>
    <xf numFmtId="0" fontId="4" fillId="0" borderId="0"/>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4" fillId="0" borderId="0"/>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4" fillId="0" borderId="0"/>
    <xf numFmtId="0" fontId="4" fillId="0" borderId="0"/>
    <xf numFmtId="0" fontId="1" fillId="0" borderId="0">
      <alignment vertical="center"/>
    </xf>
    <xf numFmtId="0" fontId="4" fillId="0" borderId="0"/>
    <xf numFmtId="0" fontId="4" fillId="0" borderId="0"/>
    <xf numFmtId="0" fontId="1" fillId="0" borderId="0">
      <alignment vertical="center"/>
    </xf>
    <xf numFmtId="0" fontId="1" fillId="0" borderId="0">
      <alignment vertical="center"/>
    </xf>
    <xf numFmtId="0" fontId="1" fillId="0" borderId="0">
      <alignment vertical="center"/>
    </xf>
    <xf numFmtId="0" fontId="4" fillId="0" borderId="0"/>
    <xf numFmtId="0" fontId="4" fillId="0" borderId="0"/>
    <xf numFmtId="0" fontId="4" fillId="0" borderId="0"/>
    <xf numFmtId="0" fontId="1" fillId="0" borderId="0">
      <alignment vertical="center"/>
    </xf>
    <xf numFmtId="0" fontId="4" fillId="0" borderId="0"/>
    <xf numFmtId="0" fontId="4" fillId="0" borderId="0"/>
    <xf numFmtId="0" fontId="1" fillId="0" borderId="0">
      <alignment vertical="center"/>
    </xf>
    <xf numFmtId="0" fontId="4" fillId="0" borderId="0"/>
    <xf numFmtId="0" fontId="1" fillId="0" borderId="0">
      <alignment vertical="center"/>
    </xf>
    <xf numFmtId="0" fontId="1" fillId="0" borderId="0">
      <alignment vertical="center"/>
    </xf>
    <xf numFmtId="0" fontId="4" fillId="0" borderId="0"/>
    <xf numFmtId="0" fontId="4" fillId="0" borderId="0"/>
    <xf numFmtId="0" fontId="30"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20" fillId="0" borderId="0">
      <alignment vertical="center"/>
    </xf>
    <xf numFmtId="0" fontId="4" fillId="0" borderId="0"/>
    <xf numFmtId="0" fontId="4" fillId="0" borderId="0"/>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20" fillId="0" borderId="0">
      <alignment vertical="center"/>
    </xf>
    <xf numFmtId="0" fontId="4" fillId="0" borderId="0"/>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20" fillId="0" borderId="0">
      <alignment vertical="center"/>
    </xf>
    <xf numFmtId="0" fontId="4" fillId="0" borderId="0"/>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4" fillId="0" borderId="0"/>
    <xf numFmtId="0" fontId="4" fillId="0" borderId="0"/>
    <xf numFmtId="0" fontId="4" fillId="0" borderId="0"/>
    <xf numFmtId="0" fontId="20" fillId="0" borderId="0">
      <alignment vertical="center"/>
    </xf>
    <xf numFmtId="0" fontId="20" fillId="0" borderId="0">
      <alignment vertical="center"/>
    </xf>
    <xf numFmtId="0" fontId="20" fillId="0" borderId="0">
      <alignment vertical="center"/>
    </xf>
    <xf numFmtId="0" fontId="4" fillId="0" borderId="0"/>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4" fillId="0" borderId="0"/>
    <xf numFmtId="0" fontId="20" fillId="0" borderId="0">
      <alignment vertical="center"/>
    </xf>
    <xf numFmtId="0" fontId="4" fillId="0" borderId="0"/>
    <xf numFmtId="0" fontId="4" fillId="0" borderId="0"/>
    <xf numFmtId="0" fontId="4" fillId="0" borderId="0"/>
    <xf numFmtId="0" fontId="20" fillId="0" borderId="0">
      <alignment vertical="center"/>
    </xf>
    <xf numFmtId="0" fontId="4" fillId="0" borderId="0"/>
    <xf numFmtId="0" fontId="20" fillId="0" borderId="0">
      <alignment vertical="center"/>
    </xf>
    <xf numFmtId="0" fontId="4" fillId="0" borderId="0"/>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4" fillId="0" borderId="0"/>
    <xf numFmtId="0" fontId="4" fillId="0" borderId="0"/>
    <xf numFmtId="0" fontId="4" fillId="0" borderId="0"/>
    <xf numFmtId="0" fontId="20" fillId="0" borderId="0">
      <alignment vertical="center"/>
    </xf>
    <xf numFmtId="0" fontId="4" fillId="0" borderId="0"/>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4" fillId="0" borderId="0"/>
    <xf numFmtId="0" fontId="20" fillId="0" borderId="0">
      <alignment vertical="center"/>
    </xf>
    <xf numFmtId="0" fontId="4" fillId="0" borderId="0"/>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20" fillId="0" borderId="0">
      <alignment vertical="center"/>
    </xf>
    <xf numFmtId="0" fontId="4" fillId="0" borderId="0"/>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20" fillId="0" borderId="0">
      <alignment vertical="center"/>
    </xf>
    <xf numFmtId="0" fontId="4" fillId="0" borderId="0"/>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4" fillId="0" borderId="0"/>
    <xf numFmtId="0" fontId="4" fillId="0" borderId="0"/>
    <xf numFmtId="0" fontId="4" fillId="0" borderId="0"/>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4" fillId="0" borderId="0"/>
    <xf numFmtId="0" fontId="20" fillId="0" borderId="0">
      <alignment vertical="center"/>
    </xf>
    <xf numFmtId="0" fontId="4" fillId="0" borderId="0"/>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20" fillId="0" borderId="0">
      <alignment vertical="center"/>
    </xf>
    <xf numFmtId="0" fontId="4" fillId="0" borderId="0"/>
    <xf numFmtId="0" fontId="4" fillId="0" borderId="0"/>
    <xf numFmtId="0" fontId="20" fillId="0" borderId="0">
      <alignment vertical="center"/>
    </xf>
    <xf numFmtId="0" fontId="4" fillId="0" borderId="0"/>
    <xf numFmtId="0" fontId="4" fillId="0" borderId="0"/>
    <xf numFmtId="0" fontId="4" fillId="0" borderId="0"/>
    <xf numFmtId="0" fontId="4" fillId="0" borderId="0"/>
    <xf numFmtId="0" fontId="4" fillId="0" borderId="0"/>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48" fillId="0" borderId="0"/>
    <xf numFmtId="0" fontId="4"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49" fillId="0" borderId="0">
      <alignment vertical="center"/>
    </xf>
    <xf numFmtId="0" fontId="5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50" fillId="0" borderId="0">
      <alignment vertical="center"/>
    </xf>
    <xf numFmtId="0" fontId="51" fillId="0" borderId="0">
      <alignment vertical="center"/>
    </xf>
    <xf numFmtId="0" fontId="50" fillId="0" borderId="0">
      <alignment vertical="center"/>
    </xf>
    <xf numFmtId="0" fontId="50" fillId="0" borderId="0">
      <alignment vertical="center"/>
    </xf>
    <xf numFmtId="0" fontId="50"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5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51" fillId="0" borderId="0">
      <alignment vertical="center"/>
    </xf>
    <xf numFmtId="0" fontId="4" fillId="0" borderId="0"/>
    <xf numFmtId="0" fontId="1" fillId="0" borderId="0">
      <alignment vertical="center"/>
    </xf>
    <xf numFmtId="0" fontId="4" fillId="0" borderId="0"/>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2" fillId="0" borderId="0">
      <alignment vertical="center"/>
    </xf>
    <xf numFmtId="0" fontId="1" fillId="0" borderId="0">
      <alignment vertical="center"/>
    </xf>
    <xf numFmtId="0" fontId="4" fillId="0" borderId="0"/>
    <xf numFmtId="0" fontId="4" fillId="0" borderId="0"/>
    <xf numFmtId="0" fontId="1" fillId="0" borderId="0">
      <alignment vertical="center"/>
    </xf>
    <xf numFmtId="0" fontId="4" fillId="0" borderId="0"/>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4" fillId="0" borderId="0"/>
    <xf numFmtId="0" fontId="1" fillId="0" borderId="0">
      <alignment vertical="center"/>
    </xf>
    <xf numFmtId="0" fontId="4" fillId="0" borderId="0"/>
    <xf numFmtId="0" fontId="4" fillId="0" borderId="0"/>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5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52"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4" fillId="0" borderId="0"/>
    <xf numFmtId="0" fontId="20" fillId="0" borderId="0">
      <alignment vertical="center"/>
    </xf>
    <xf numFmtId="0" fontId="4" fillId="0" borderId="0"/>
    <xf numFmtId="0" fontId="5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1"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4" fillId="0" borderId="0"/>
    <xf numFmtId="0" fontId="4" fillId="0" borderId="0"/>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4" fillId="0" borderId="0"/>
    <xf numFmtId="0" fontId="20" fillId="0" borderId="0">
      <alignment vertical="center"/>
    </xf>
    <xf numFmtId="0" fontId="1" fillId="0" borderId="0">
      <alignment vertical="center"/>
    </xf>
    <xf numFmtId="0" fontId="20" fillId="0" borderId="0">
      <alignment vertical="center"/>
    </xf>
    <xf numFmtId="0" fontId="1" fillId="0" borderId="0">
      <alignment vertical="center"/>
    </xf>
    <xf numFmtId="0" fontId="20" fillId="0" borderId="0">
      <alignment vertical="center"/>
    </xf>
    <xf numFmtId="49" fontId="43" fillId="0" borderId="0"/>
    <xf numFmtId="49" fontId="53" fillId="21" borderId="19">
      <alignment horizontal="center" vertical="center"/>
      <protection locked="0"/>
    </xf>
    <xf numFmtId="1" fontId="27" fillId="29" borderId="0">
      <alignment horizontal="center" vertical="center"/>
    </xf>
    <xf numFmtId="1" fontId="38" fillId="29" borderId="0">
      <alignment horizontal="center" vertical="center"/>
    </xf>
    <xf numFmtId="1" fontId="27" fillId="29" borderId="0">
      <alignment horizontal="centerContinuous"/>
    </xf>
    <xf numFmtId="0" fontId="54" fillId="0" borderId="0"/>
    <xf numFmtId="0" fontId="54" fillId="0" borderId="0"/>
    <xf numFmtId="179" fontId="55" fillId="0" borderId="0" applyFill="0">
      <alignment horizontal="left"/>
    </xf>
    <xf numFmtId="0" fontId="56" fillId="4" borderId="0" applyNumberFormat="0" applyBorder="0" applyAlignment="0" applyProtection="0">
      <alignment vertical="center"/>
    </xf>
    <xf numFmtId="0" fontId="62" fillId="32" borderId="0" applyNumberFormat="0" applyBorder="0" applyAlignment="0" applyProtection="0"/>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6" fillId="4" borderId="0" applyNumberFormat="0" applyBorder="0" applyAlignment="0" applyProtection="0">
      <alignment vertical="center"/>
    </xf>
    <xf numFmtId="0" fontId="57" fillId="0" borderId="0">
      <alignment vertical="center"/>
    </xf>
    <xf numFmtId="0" fontId="58" fillId="0" borderId="0"/>
  </cellStyleXfs>
  <cellXfs count="125">
    <xf numFmtId="0" fontId="0" fillId="0" borderId="0" xfId="0">
      <alignment vertical="center"/>
    </xf>
    <xf numFmtId="0" fontId="63" fillId="0" borderId="0" xfId="0" applyFont="1">
      <alignment vertical="center"/>
    </xf>
    <xf numFmtId="0" fontId="64" fillId="0" borderId="0" xfId="0" applyFont="1">
      <alignment vertical="center"/>
    </xf>
    <xf numFmtId="0" fontId="64" fillId="0" borderId="0" xfId="0" applyFont="1" applyBorder="1">
      <alignment vertical="center"/>
    </xf>
    <xf numFmtId="0" fontId="64" fillId="0" borderId="32" xfId="0" applyFont="1" applyBorder="1">
      <alignment vertical="center"/>
    </xf>
    <xf numFmtId="0" fontId="64" fillId="0" borderId="33" xfId="0" applyFont="1" applyBorder="1">
      <alignment vertical="center"/>
    </xf>
    <xf numFmtId="0" fontId="64" fillId="0" borderId="34" xfId="0" applyFont="1" applyBorder="1">
      <alignment vertical="center"/>
    </xf>
    <xf numFmtId="0" fontId="64" fillId="0" borderId="15" xfId="0" applyFont="1" applyBorder="1">
      <alignment vertical="center"/>
    </xf>
    <xf numFmtId="0" fontId="64" fillId="0" borderId="35" xfId="0" applyFont="1" applyBorder="1">
      <alignment vertical="center"/>
    </xf>
    <xf numFmtId="0" fontId="64" fillId="0" borderId="15" xfId="0" applyFont="1" applyBorder="1">
      <alignment vertical="center"/>
    </xf>
    <xf numFmtId="0" fontId="64" fillId="0" borderId="36" xfId="0" applyFont="1" applyBorder="1">
      <alignment vertical="center"/>
    </xf>
    <xf numFmtId="0" fontId="64" fillId="0" borderId="37" xfId="0" applyFont="1" applyBorder="1">
      <alignment vertical="center"/>
    </xf>
    <xf numFmtId="0" fontId="64" fillId="0" borderId="38" xfId="0" applyFont="1" applyBorder="1">
      <alignment vertical="center"/>
    </xf>
    <xf numFmtId="0" fontId="64" fillId="0" borderId="39" xfId="0" applyFont="1" applyBorder="1">
      <alignment vertical="center"/>
    </xf>
    <xf numFmtId="0" fontId="64" fillId="0" borderId="40" xfId="0" applyFont="1" applyBorder="1">
      <alignment vertical="center"/>
    </xf>
    <xf numFmtId="0" fontId="64" fillId="0" borderId="41" xfId="0" applyFont="1" applyBorder="1">
      <alignment vertical="center"/>
    </xf>
    <xf numFmtId="0" fontId="64" fillId="0" borderId="42" xfId="0" applyFont="1" applyBorder="1">
      <alignment vertical="center"/>
    </xf>
    <xf numFmtId="0" fontId="64" fillId="0" borderId="43" xfId="0" applyFont="1" applyBorder="1">
      <alignment vertical="center"/>
    </xf>
    <xf numFmtId="0" fontId="64" fillId="0" borderId="44" xfId="0" applyFont="1" applyBorder="1">
      <alignment vertical="center"/>
    </xf>
    <xf numFmtId="0" fontId="64" fillId="0" borderId="0" xfId="0" applyFont="1" applyBorder="1" applyAlignment="1">
      <alignment horizontal="right" vertical="center"/>
    </xf>
    <xf numFmtId="0" fontId="64" fillId="43" borderId="3" xfId="0" applyFont="1" applyFill="1" applyBorder="1">
      <alignment vertical="center"/>
    </xf>
    <xf numFmtId="0" fontId="64" fillId="43" borderId="1" xfId="0" applyFont="1" applyFill="1" applyBorder="1">
      <alignment vertical="center"/>
    </xf>
    <xf numFmtId="0" fontId="64" fillId="43" borderId="45" xfId="0" applyFont="1" applyFill="1" applyBorder="1">
      <alignment vertical="center"/>
    </xf>
    <xf numFmtId="0" fontId="64" fillId="44" borderId="1" xfId="0" applyFont="1" applyFill="1" applyBorder="1">
      <alignment vertical="center"/>
    </xf>
    <xf numFmtId="0" fontId="64" fillId="44" borderId="43" xfId="0" applyFont="1" applyFill="1" applyBorder="1">
      <alignment vertical="center"/>
    </xf>
    <xf numFmtId="0" fontId="64" fillId="44" borderId="45" xfId="0" applyFont="1" applyFill="1" applyBorder="1">
      <alignment vertical="center"/>
    </xf>
    <xf numFmtId="0" fontId="64" fillId="44" borderId="3" xfId="0" applyFont="1" applyFill="1" applyBorder="1">
      <alignment vertical="center"/>
    </xf>
    <xf numFmtId="0" fontId="64" fillId="44" borderId="46" xfId="0" applyFont="1" applyFill="1" applyBorder="1">
      <alignment vertical="center"/>
    </xf>
    <xf numFmtId="0" fontId="12" fillId="0" borderId="0" xfId="0" applyFont="1" applyBorder="1">
      <alignment vertical="center"/>
    </xf>
    <xf numFmtId="0" fontId="61" fillId="0" borderId="0" xfId="0" applyFont="1">
      <alignment vertical="center"/>
    </xf>
    <xf numFmtId="0" fontId="64" fillId="45" borderId="33" xfId="0" applyFont="1" applyFill="1" applyBorder="1">
      <alignment vertical="center"/>
    </xf>
    <xf numFmtId="0" fontId="64" fillId="45" borderId="0" xfId="0" applyFont="1" applyFill="1" applyBorder="1">
      <alignment vertical="center"/>
    </xf>
    <xf numFmtId="0" fontId="11" fillId="0" borderId="0" xfId="0" applyFont="1" applyBorder="1">
      <alignment vertical="center"/>
    </xf>
    <xf numFmtId="0" fontId="64" fillId="38" borderId="1" xfId="0" applyFont="1" applyFill="1" applyBorder="1">
      <alignment vertical="center"/>
    </xf>
    <xf numFmtId="0" fontId="64" fillId="38" borderId="45" xfId="0" applyFont="1" applyFill="1" applyBorder="1">
      <alignment vertical="center"/>
    </xf>
    <xf numFmtId="0" fontId="64" fillId="38" borderId="3" xfId="0" applyFont="1" applyFill="1" applyBorder="1">
      <alignment vertical="center"/>
    </xf>
    <xf numFmtId="0" fontId="64" fillId="38" borderId="0" xfId="0" applyFont="1" applyFill="1" applyBorder="1">
      <alignment vertical="center"/>
    </xf>
    <xf numFmtId="0" fontId="64" fillId="0" borderId="0" xfId="0" quotePrefix="1" applyFont="1" applyBorder="1" applyAlignment="1">
      <alignment horizontal="right" vertical="center"/>
    </xf>
    <xf numFmtId="0" fontId="10" fillId="43" borderId="3" xfId="0" applyFont="1" applyFill="1" applyBorder="1">
      <alignment vertical="center"/>
    </xf>
    <xf numFmtId="0" fontId="9" fillId="44" borderId="1" xfId="0" applyFont="1" applyFill="1" applyBorder="1">
      <alignment vertical="center"/>
    </xf>
    <xf numFmtId="0" fontId="9" fillId="38" borderId="3" xfId="0" applyFont="1" applyFill="1" applyBorder="1">
      <alignment vertical="center"/>
    </xf>
    <xf numFmtId="0" fontId="10" fillId="38" borderId="3" xfId="0" applyFont="1" applyFill="1" applyBorder="1">
      <alignment vertical="center"/>
    </xf>
    <xf numFmtId="0" fontId="9" fillId="44" borderId="3" xfId="0" applyFont="1" applyFill="1" applyBorder="1">
      <alignment vertical="center"/>
    </xf>
    <xf numFmtId="0" fontId="64" fillId="0" borderId="47" xfId="0" applyFont="1" applyBorder="1">
      <alignment vertical="center"/>
    </xf>
    <xf numFmtId="0" fontId="64" fillId="44" borderId="48" xfId="0" applyFont="1" applyFill="1" applyBorder="1">
      <alignment vertical="center"/>
    </xf>
    <xf numFmtId="0" fontId="0" fillId="0" borderId="40" xfId="0" applyBorder="1">
      <alignment vertical="center"/>
    </xf>
    <xf numFmtId="0" fontId="64" fillId="0" borderId="49" xfId="0" applyFont="1" applyBorder="1">
      <alignment vertical="center"/>
    </xf>
    <xf numFmtId="0" fontId="0" fillId="0" borderId="0" xfId="0" applyBorder="1">
      <alignment vertical="center"/>
    </xf>
    <xf numFmtId="0" fontId="64" fillId="0" borderId="50" xfId="0" applyFont="1" applyBorder="1">
      <alignment vertical="center"/>
    </xf>
    <xf numFmtId="0" fontId="68" fillId="0" borderId="0" xfId="0" applyFont="1">
      <alignment vertical="center"/>
    </xf>
    <xf numFmtId="0" fontId="64" fillId="33" borderId="7" xfId="0" applyFont="1" applyFill="1" applyBorder="1">
      <alignment vertical="center"/>
    </xf>
    <xf numFmtId="0" fontId="64" fillId="33" borderId="20" xfId="0" applyFont="1" applyFill="1" applyBorder="1">
      <alignment vertical="center"/>
    </xf>
    <xf numFmtId="0" fontId="64" fillId="41" borderId="23" xfId="0" applyFont="1" applyFill="1" applyBorder="1">
      <alignment vertical="center"/>
    </xf>
    <xf numFmtId="0" fontId="64" fillId="41" borderId="24" xfId="0" applyFont="1" applyFill="1" applyBorder="1">
      <alignment vertical="center"/>
    </xf>
    <xf numFmtId="0" fontId="64" fillId="41" borderId="25" xfId="0" applyFont="1" applyFill="1" applyBorder="1">
      <alignment vertical="center"/>
    </xf>
    <xf numFmtId="0" fontId="64" fillId="33" borderId="6" xfId="0" applyFont="1" applyFill="1" applyBorder="1">
      <alignment vertical="center"/>
    </xf>
    <xf numFmtId="0" fontId="64" fillId="33" borderId="2" xfId="0" applyFont="1" applyFill="1" applyBorder="1">
      <alignment vertical="center"/>
    </xf>
    <xf numFmtId="0" fontId="64" fillId="35" borderId="7" xfId="0" applyFont="1" applyFill="1" applyBorder="1">
      <alignment vertical="center"/>
    </xf>
    <xf numFmtId="0" fontId="64" fillId="35" borderId="20" xfId="0" applyFont="1" applyFill="1" applyBorder="1">
      <alignment vertical="center"/>
    </xf>
    <xf numFmtId="0" fontId="64" fillId="41" borderId="26" xfId="0" applyFont="1" applyFill="1" applyBorder="1">
      <alignment vertical="center"/>
    </xf>
    <xf numFmtId="0" fontId="64" fillId="41" borderId="0" xfId="0" applyFont="1" applyFill="1" applyBorder="1">
      <alignment vertical="center"/>
    </xf>
    <xf numFmtId="0" fontId="64" fillId="41" borderId="27" xfId="0" applyFont="1" applyFill="1" applyBorder="1">
      <alignment vertical="center"/>
    </xf>
    <xf numFmtId="0" fontId="64" fillId="38" borderId="23" xfId="0" applyFont="1" applyFill="1" applyBorder="1">
      <alignment vertical="center"/>
    </xf>
    <xf numFmtId="0" fontId="64" fillId="38" borderId="25" xfId="0" applyFont="1" applyFill="1" applyBorder="1">
      <alignment vertical="center"/>
    </xf>
    <xf numFmtId="0" fontId="64" fillId="41" borderId="2" xfId="0" applyFont="1" applyFill="1" applyBorder="1">
      <alignment vertical="center"/>
    </xf>
    <xf numFmtId="0" fontId="64" fillId="41" borderId="7" xfId="0" applyFont="1" applyFill="1" applyBorder="1">
      <alignment vertical="center"/>
    </xf>
    <xf numFmtId="0" fontId="64" fillId="36" borderId="7" xfId="0" applyFont="1" applyFill="1" applyBorder="1">
      <alignment vertical="center"/>
    </xf>
    <xf numFmtId="0" fontId="64" fillId="36" borderId="20" xfId="0" applyFont="1" applyFill="1" applyBorder="1">
      <alignment vertical="center"/>
    </xf>
    <xf numFmtId="0" fontId="64" fillId="38" borderId="28" xfId="0" applyFont="1" applyFill="1" applyBorder="1">
      <alignment vertical="center"/>
    </xf>
    <xf numFmtId="0" fontId="64" fillId="38" borderId="30" xfId="0" applyFont="1" applyFill="1" applyBorder="1">
      <alignment vertical="center"/>
    </xf>
    <xf numFmtId="0" fontId="64" fillId="37" borderId="7" xfId="0" applyFont="1" applyFill="1" applyBorder="1">
      <alignment vertical="center"/>
    </xf>
    <xf numFmtId="0" fontId="64" fillId="37" borderId="20" xfId="0" applyFont="1" applyFill="1" applyBorder="1">
      <alignment vertical="center"/>
    </xf>
    <xf numFmtId="0" fontId="64" fillId="41" borderId="28" xfId="0" applyFont="1" applyFill="1" applyBorder="1">
      <alignment vertical="center"/>
    </xf>
    <xf numFmtId="0" fontId="64" fillId="41" borderId="29" xfId="0" applyFont="1" applyFill="1" applyBorder="1">
      <alignment vertical="center"/>
    </xf>
    <xf numFmtId="0" fontId="64" fillId="41" borderId="30" xfId="0" applyFont="1" applyFill="1" applyBorder="1">
      <alignment vertical="center"/>
    </xf>
    <xf numFmtId="0" fontId="64" fillId="39" borderId="23" xfId="0" applyFont="1" applyFill="1" applyBorder="1">
      <alignment vertical="center"/>
    </xf>
    <xf numFmtId="0" fontId="64" fillId="39" borderId="25" xfId="0" applyFont="1" applyFill="1" applyBorder="1">
      <alignment vertical="center"/>
    </xf>
    <xf numFmtId="0" fontId="64" fillId="39" borderId="28" xfId="0" applyFont="1" applyFill="1" applyBorder="1">
      <alignment vertical="center"/>
    </xf>
    <xf numFmtId="0" fontId="64" fillId="39" borderId="30" xfId="0" applyFont="1" applyFill="1" applyBorder="1">
      <alignment vertical="center"/>
    </xf>
    <xf numFmtId="0" fontId="69" fillId="41" borderId="7" xfId="0" applyFont="1" applyFill="1" applyBorder="1">
      <alignment vertical="center"/>
    </xf>
    <xf numFmtId="0" fontId="64" fillId="41" borderId="20" xfId="0" applyFont="1" applyFill="1" applyBorder="1">
      <alignment vertical="center"/>
    </xf>
    <xf numFmtId="0" fontId="69" fillId="0" borderId="0" xfId="0" applyFont="1" applyFill="1" applyBorder="1">
      <alignment vertical="center"/>
    </xf>
    <xf numFmtId="0" fontId="64" fillId="0" borderId="0" xfId="0" applyFont="1" applyFill="1" applyBorder="1">
      <alignment vertical="center"/>
    </xf>
    <xf numFmtId="0" fontId="64" fillId="38" borderId="26" xfId="0" applyFont="1" applyFill="1" applyBorder="1">
      <alignment vertical="center"/>
    </xf>
    <xf numFmtId="0" fontId="64" fillId="38" borderId="27" xfId="0" applyFont="1" applyFill="1" applyBorder="1">
      <alignment vertical="center"/>
    </xf>
    <xf numFmtId="0" fontId="64" fillId="41" borderId="22" xfId="0" applyFont="1" applyFill="1" applyBorder="1">
      <alignment vertical="center"/>
    </xf>
    <xf numFmtId="0" fontId="64" fillId="41" borderId="21" xfId="0" applyFont="1" applyFill="1" applyBorder="1">
      <alignment vertical="center"/>
    </xf>
    <xf numFmtId="0" fontId="64" fillId="41" borderId="31" xfId="0" applyFont="1" applyFill="1" applyBorder="1">
      <alignment vertical="center"/>
    </xf>
    <xf numFmtId="0" fontId="64" fillId="41" borderId="26" xfId="0" applyFont="1" applyFill="1" applyBorder="1" applyAlignment="1">
      <alignment vertical="center"/>
    </xf>
    <xf numFmtId="0" fontId="64" fillId="38" borderId="7" xfId="0" applyFont="1" applyFill="1" applyBorder="1">
      <alignment vertical="center"/>
    </xf>
    <xf numFmtId="0" fontId="64" fillId="38" borderId="2" xfId="0" applyFont="1" applyFill="1" applyBorder="1">
      <alignment vertical="center"/>
    </xf>
    <xf numFmtId="0" fontId="64" fillId="34" borderId="7" xfId="0" applyFont="1" applyFill="1" applyBorder="1">
      <alignment vertical="center"/>
    </xf>
    <xf numFmtId="0" fontId="64" fillId="34" borderId="2" xfId="0" applyFont="1" applyFill="1" applyBorder="1">
      <alignment vertical="center"/>
    </xf>
    <xf numFmtId="0" fontId="64" fillId="34" borderId="20" xfId="0" applyFont="1" applyFill="1" applyBorder="1">
      <alignment vertical="center"/>
    </xf>
    <xf numFmtId="0" fontId="64" fillId="40" borderId="21" xfId="0" applyFont="1" applyFill="1" applyBorder="1">
      <alignment vertical="center"/>
    </xf>
    <xf numFmtId="0" fontId="64" fillId="40" borderId="7" xfId="0" applyFont="1" applyFill="1" applyBorder="1">
      <alignment vertical="center"/>
    </xf>
    <xf numFmtId="0" fontId="64" fillId="40" borderId="20" xfId="0" applyFont="1" applyFill="1" applyBorder="1">
      <alignment vertical="center"/>
    </xf>
    <xf numFmtId="0" fontId="64" fillId="38" borderId="6" xfId="0" applyFont="1" applyFill="1" applyBorder="1" applyAlignment="1">
      <alignment horizontal="center" vertical="center" textRotation="90" wrapText="1"/>
    </xf>
    <xf numFmtId="0" fontId="64" fillId="33" borderId="6" xfId="0" applyFont="1" applyFill="1" applyBorder="1" applyAlignment="1">
      <alignment horizontal="center" vertical="center" textRotation="90" wrapText="1"/>
    </xf>
    <xf numFmtId="0" fontId="64" fillId="35" borderId="6" xfId="0" applyFont="1" applyFill="1" applyBorder="1" applyAlignment="1">
      <alignment horizontal="center" vertical="center" textRotation="90" wrapText="1"/>
    </xf>
    <xf numFmtId="0" fontId="64" fillId="36" borderId="6" xfId="0" applyFont="1" applyFill="1" applyBorder="1" applyAlignment="1">
      <alignment horizontal="center" vertical="center" textRotation="90" wrapText="1"/>
    </xf>
    <xf numFmtId="0" fontId="64" fillId="37" borderId="6" xfId="0" applyFont="1" applyFill="1" applyBorder="1" applyAlignment="1">
      <alignment horizontal="center" vertical="center" textRotation="90" wrapText="1"/>
    </xf>
    <xf numFmtId="0" fontId="64" fillId="39" borderId="6" xfId="0" applyFont="1" applyFill="1" applyBorder="1" applyAlignment="1">
      <alignment horizontal="center" vertical="center" textRotation="90" wrapText="1"/>
    </xf>
    <xf numFmtId="0" fontId="64" fillId="40" borderId="22" xfId="0" applyFont="1" applyFill="1" applyBorder="1" applyAlignment="1">
      <alignment horizontal="center" vertical="center" textRotation="90"/>
    </xf>
    <xf numFmtId="0" fontId="64" fillId="40" borderId="6" xfId="0" applyFont="1" applyFill="1" applyBorder="1" applyAlignment="1">
      <alignment horizontal="center" vertical="center" textRotation="90" wrapText="1"/>
    </xf>
    <xf numFmtId="0" fontId="64" fillId="40" borderId="6" xfId="0" applyFont="1" applyFill="1" applyBorder="1" applyAlignment="1">
      <alignment horizontal="center" vertical="center" textRotation="90"/>
    </xf>
    <xf numFmtId="0" fontId="18" fillId="0" borderId="6" xfId="0" applyFont="1" applyFill="1" applyBorder="1" applyAlignment="1">
      <alignment horizontal="center" vertical="center"/>
    </xf>
    <xf numFmtId="0" fontId="64" fillId="33" borderId="6" xfId="0" applyFont="1" applyFill="1" applyBorder="1" applyAlignment="1">
      <alignment horizontal="center" vertical="center" wrapText="1"/>
    </xf>
    <xf numFmtId="0" fontId="64" fillId="42" borderId="31" xfId="0" applyFont="1" applyFill="1" applyBorder="1" applyAlignment="1">
      <alignment horizontal="center" vertical="center"/>
    </xf>
    <xf numFmtId="0" fontId="64" fillId="0" borderId="6" xfId="0" applyFont="1" applyBorder="1" applyAlignment="1">
      <alignment horizontal="center" vertical="center"/>
    </xf>
    <xf numFmtId="0" fontId="64" fillId="42" borderId="31" xfId="0" applyFont="1" applyFill="1" applyBorder="1">
      <alignment vertical="center"/>
    </xf>
    <xf numFmtId="0" fontId="64" fillId="35" borderId="6" xfId="0" applyFont="1" applyFill="1" applyBorder="1" applyAlignment="1">
      <alignment horizontal="center" vertical="center" wrapText="1"/>
    </xf>
    <xf numFmtId="0" fontId="64" fillId="36" borderId="6" xfId="0" applyFont="1" applyFill="1" applyBorder="1" applyAlignment="1">
      <alignment horizontal="center" vertical="center" wrapText="1"/>
    </xf>
    <xf numFmtId="0" fontId="64" fillId="37" borderId="6" xfId="0" applyFont="1" applyFill="1" applyBorder="1" applyAlignment="1">
      <alignment horizontal="center" vertical="center" wrapText="1"/>
    </xf>
    <xf numFmtId="0" fontId="18" fillId="39" borderId="6" xfId="0" applyFont="1" applyFill="1" applyBorder="1" applyAlignment="1">
      <alignment horizontal="center" vertical="center"/>
    </xf>
    <xf numFmtId="0" fontId="69" fillId="37" borderId="6" xfId="0" applyFont="1" applyFill="1" applyBorder="1" applyAlignment="1">
      <alignment horizontal="center" vertical="center" wrapText="1"/>
    </xf>
    <xf numFmtId="0" fontId="64" fillId="0" borderId="0" xfId="0" applyFont="1" applyFill="1" applyBorder="1" applyAlignment="1">
      <alignment vertical="center" wrapText="1"/>
    </xf>
    <xf numFmtId="0" fontId="69" fillId="35" borderId="6" xfId="0" applyFont="1" applyFill="1" applyBorder="1" applyAlignment="1">
      <alignment horizontal="center" vertical="center" wrapText="1"/>
    </xf>
    <xf numFmtId="0" fontId="64" fillId="0" borderId="0" xfId="0" applyFont="1" applyFill="1" applyBorder="1" applyAlignment="1">
      <alignment vertical="center"/>
    </xf>
    <xf numFmtId="0" fontId="69" fillId="36" borderId="6" xfId="0" applyFont="1" applyFill="1" applyBorder="1" applyAlignment="1">
      <alignment horizontal="center" vertical="center" wrapText="1"/>
    </xf>
    <xf numFmtId="0" fontId="64" fillId="42" borderId="22" xfId="0" applyFont="1" applyFill="1" applyBorder="1">
      <alignment vertical="center"/>
    </xf>
    <xf numFmtId="0" fontId="64" fillId="0" borderId="0" xfId="0" applyFont="1" applyAlignment="1">
      <alignment vertical="center" textRotation="90"/>
    </xf>
    <xf numFmtId="0" fontId="64" fillId="48" borderId="0" xfId="0" applyFont="1" applyFill="1">
      <alignment vertical="center"/>
    </xf>
    <xf numFmtId="0" fontId="64" fillId="47" borderId="0" xfId="0" applyFont="1" applyFill="1">
      <alignment vertical="center"/>
    </xf>
    <xf numFmtId="0" fontId="64" fillId="46" borderId="0" xfId="0" applyFont="1" applyFill="1">
      <alignment vertical="center"/>
    </xf>
  </cellXfs>
  <cellStyles count="3443">
    <cellStyle name="20% - アクセント 1 10" xfId="1" xr:uid="{00000000-0005-0000-0000-000000000000}"/>
    <cellStyle name="20% - アクセント 1 2" xfId="2" xr:uid="{00000000-0005-0000-0000-000001000000}"/>
    <cellStyle name="20% - アクセント 1 2 2" xfId="3" xr:uid="{00000000-0005-0000-0000-000002000000}"/>
    <cellStyle name="20% - アクセント 1 2 3" xfId="4" xr:uid="{00000000-0005-0000-0000-000003000000}"/>
    <cellStyle name="20% - アクセント 1 2 4" xfId="5" xr:uid="{00000000-0005-0000-0000-000004000000}"/>
    <cellStyle name="20% - アクセント 1 2 5" xfId="6" xr:uid="{00000000-0005-0000-0000-000005000000}"/>
    <cellStyle name="20% - アクセント 1 2 6" xfId="7" xr:uid="{00000000-0005-0000-0000-000006000000}"/>
    <cellStyle name="20% - アクセント 1 3" xfId="8" xr:uid="{00000000-0005-0000-0000-000007000000}"/>
    <cellStyle name="20% - アクセント 1 3 2" xfId="9" xr:uid="{00000000-0005-0000-0000-000008000000}"/>
    <cellStyle name="20% - アクセント 1 3 3" xfId="10" xr:uid="{00000000-0005-0000-0000-000009000000}"/>
    <cellStyle name="20% - アクセント 1 3 4" xfId="11" xr:uid="{00000000-0005-0000-0000-00000A000000}"/>
    <cellStyle name="20% - アクセント 1 3 5" xfId="12" xr:uid="{00000000-0005-0000-0000-00000B000000}"/>
    <cellStyle name="20% - アクセント 1 3 6" xfId="13" xr:uid="{00000000-0005-0000-0000-00000C000000}"/>
    <cellStyle name="20% - アクセント 1 4" xfId="14" xr:uid="{00000000-0005-0000-0000-00000D000000}"/>
    <cellStyle name="20% - アクセント 1 4 2" xfId="15" xr:uid="{00000000-0005-0000-0000-00000E000000}"/>
    <cellStyle name="20% - アクセント 1 4 3" xfId="16" xr:uid="{00000000-0005-0000-0000-00000F000000}"/>
    <cellStyle name="20% - アクセント 1 4 4" xfId="17" xr:uid="{00000000-0005-0000-0000-000010000000}"/>
    <cellStyle name="20% - アクセント 1 4 5" xfId="18" xr:uid="{00000000-0005-0000-0000-000011000000}"/>
    <cellStyle name="20% - アクセント 1 4 6" xfId="19" xr:uid="{00000000-0005-0000-0000-000012000000}"/>
    <cellStyle name="20% - アクセント 1 5" xfId="20" xr:uid="{00000000-0005-0000-0000-000013000000}"/>
    <cellStyle name="20% - アクセント 1 6" xfId="21" xr:uid="{00000000-0005-0000-0000-000014000000}"/>
    <cellStyle name="20% - アクセント 1 7" xfId="22" xr:uid="{00000000-0005-0000-0000-000015000000}"/>
    <cellStyle name="20% - アクセント 1 8" xfId="23" xr:uid="{00000000-0005-0000-0000-000016000000}"/>
    <cellStyle name="20% - アクセント 1 9" xfId="24" xr:uid="{00000000-0005-0000-0000-000017000000}"/>
    <cellStyle name="20% - アクセント 2 10" xfId="25" xr:uid="{00000000-0005-0000-0000-000018000000}"/>
    <cellStyle name="20% - アクセント 2 2" xfId="26" xr:uid="{00000000-0005-0000-0000-000019000000}"/>
    <cellStyle name="20% - アクセント 2 2 2" xfId="27" xr:uid="{00000000-0005-0000-0000-00001A000000}"/>
    <cellStyle name="20% - アクセント 2 2 3" xfId="28" xr:uid="{00000000-0005-0000-0000-00001B000000}"/>
    <cellStyle name="20% - アクセント 2 2 4" xfId="29" xr:uid="{00000000-0005-0000-0000-00001C000000}"/>
    <cellStyle name="20% - アクセント 2 2 5" xfId="30" xr:uid="{00000000-0005-0000-0000-00001D000000}"/>
    <cellStyle name="20% - アクセント 2 2 6" xfId="31" xr:uid="{00000000-0005-0000-0000-00001E000000}"/>
    <cellStyle name="20% - アクセント 2 3" xfId="32" xr:uid="{00000000-0005-0000-0000-00001F000000}"/>
    <cellStyle name="20% - アクセント 2 3 2" xfId="33" xr:uid="{00000000-0005-0000-0000-000020000000}"/>
    <cellStyle name="20% - アクセント 2 3 3" xfId="34" xr:uid="{00000000-0005-0000-0000-000021000000}"/>
    <cellStyle name="20% - アクセント 2 3 4" xfId="35" xr:uid="{00000000-0005-0000-0000-000022000000}"/>
    <cellStyle name="20% - アクセント 2 3 5" xfId="36" xr:uid="{00000000-0005-0000-0000-000023000000}"/>
    <cellStyle name="20% - アクセント 2 3 6" xfId="37" xr:uid="{00000000-0005-0000-0000-000024000000}"/>
    <cellStyle name="20% - アクセント 2 4" xfId="38" xr:uid="{00000000-0005-0000-0000-000025000000}"/>
    <cellStyle name="20% - アクセント 2 4 2" xfId="39" xr:uid="{00000000-0005-0000-0000-000026000000}"/>
    <cellStyle name="20% - アクセント 2 4 3" xfId="40" xr:uid="{00000000-0005-0000-0000-000027000000}"/>
    <cellStyle name="20% - アクセント 2 4 4" xfId="41" xr:uid="{00000000-0005-0000-0000-000028000000}"/>
    <cellStyle name="20% - アクセント 2 4 5" xfId="42" xr:uid="{00000000-0005-0000-0000-000029000000}"/>
    <cellStyle name="20% - アクセント 2 4 6" xfId="43" xr:uid="{00000000-0005-0000-0000-00002A000000}"/>
    <cellStyle name="20% - アクセント 2 5" xfId="44" xr:uid="{00000000-0005-0000-0000-00002B000000}"/>
    <cellStyle name="20% - アクセント 2 6" xfId="45" xr:uid="{00000000-0005-0000-0000-00002C000000}"/>
    <cellStyle name="20% - アクセント 2 7" xfId="46" xr:uid="{00000000-0005-0000-0000-00002D000000}"/>
    <cellStyle name="20% - アクセント 2 8" xfId="47" xr:uid="{00000000-0005-0000-0000-00002E000000}"/>
    <cellStyle name="20% - アクセント 2 9" xfId="48" xr:uid="{00000000-0005-0000-0000-00002F000000}"/>
    <cellStyle name="20% - アクセント 3 10" xfId="49" xr:uid="{00000000-0005-0000-0000-000030000000}"/>
    <cellStyle name="20% - アクセント 3 2" xfId="50" xr:uid="{00000000-0005-0000-0000-000031000000}"/>
    <cellStyle name="20% - アクセント 3 2 2" xfId="51" xr:uid="{00000000-0005-0000-0000-000032000000}"/>
    <cellStyle name="20% - アクセント 3 2 3" xfId="52" xr:uid="{00000000-0005-0000-0000-000033000000}"/>
    <cellStyle name="20% - アクセント 3 2 4" xfId="53" xr:uid="{00000000-0005-0000-0000-000034000000}"/>
    <cellStyle name="20% - アクセント 3 2 5" xfId="54" xr:uid="{00000000-0005-0000-0000-000035000000}"/>
    <cellStyle name="20% - アクセント 3 2 6" xfId="55" xr:uid="{00000000-0005-0000-0000-000036000000}"/>
    <cellStyle name="20% - アクセント 3 3" xfId="56" xr:uid="{00000000-0005-0000-0000-000037000000}"/>
    <cellStyle name="20% - アクセント 3 3 2" xfId="57" xr:uid="{00000000-0005-0000-0000-000038000000}"/>
    <cellStyle name="20% - アクセント 3 3 3" xfId="58" xr:uid="{00000000-0005-0000-0000-000039000000}"/>
    <cellStyle name="20% - アクセント 3 3 4" xfId="59" xr:uid="{00000000-0005-0000-0000-00003A000000}"/>
    <cellStyle name="20% - アクセント 3 3 5" xfId="60" xr:uid="{00000000-0005-0000-0000-00003B000000}"/>
    <cellStyle name="20% - アクセント 3 3 6" xfId="61" xr:uid="{00000000-0005-0000-0000-00003C000000}"/>
    <cellStyle name="20% - アクセント 3 4" xfId="62" xr:uid="{00000000-0005-0000-0000-00003D000000}"/>
    <cellStyle name="20% - アクセント 3 4 2" xfId="63" xr:uid="{00000000-0005-0000-0000-00003E000000}"/>
    <cellStyle name="20% - アクセント 3 4 3" xfId="64" xr:uid="{00000000-0005-0000-0000-00003F000000}"/>
    <cellStyle name="20% - アクセント 3 4 4" xfId="65" xr:uid="{00000000-0005-0000-0000-000040000000}"/>
    <cellStyle name="20% - アクセント 3 4 5" xfId="66" xr:uid="{00000000-0005-0000-0000-000041000000}"/>
    <cellStyle name="20% - アクセント 3 4 6" xfId="67" xr:uid="{00000000-0005-0000-0000-000042000000}"/>
    <cellStyle name="20% - アクセント 3 5" xfId="68" xr:uid="{00000000-0005-0000-0000-000043000000}"/>
    <cellStyle name="20% - アクセント 3 6" xfId="69" xr:uid="{00000000-0005-0000-0000-000044000000}"/>
    <cellStyle name="20% - アクセント 3 7" xfId="70" xr:uid="{00000000-0005-0000-0000-000045000000}"/>
    <cellStyle name="20% - アクセント 3 8" xfId="71" xr:uid="{00000000-0005-0000-0000-000046000000}"/>
    <cellStyle name="20% - アクセント 3 9" xfId="72" xr:uid="{00000000-0005-0000-0000-000047000000}"/>
    <cellStyle name="20% - アクセント 4 10" xfId="73" xr:uid="{00000000-0005-0000-0000-000048000000}"/>
    <cellStyle name="20% - アクセント 4 2" xfId="74" xr:uid="{00000000-0005-0000-0000-000049000000}"/>
    <cellStyle name="20% - アクセント 4 2 2" xfId="75" xr:uid="{00000000-0005-0000-0000-00004A000000}"/>
    <cellStyle name="20% - アクセント 4 2 3" xfId="76" xr:uid="{00000000-0005-0000-0000-00004B000000}"/>
    <cellStyle name="20% - アクセント 4 2 4" xfId="77" xr:uid="{00000000-0005-0000-0000-00004C000000}"/>
    <cellStyle name="20% - アクセント 4 2 5" xfId="78" xr:uid="{00000000-0005-0000-0000-00004D000000}"/>
    <cellStyle name="20% - アクセント 4 2 6" xfId="79" xr:uid="{00000000-0005-0000-0000-00004E000000}"/>
    <cellStyle name="20% - アクセント 4 3" xfId="80" xr:uid="{00000000-0005-0000-0000-00004F000000}"/>
    <cellStyle name="20% - アクセント 4 3 2" xfId="81" xr:uid="{00000000-0005-0000-0000-000050000000}"/>
    <cellStyle name="20% - アクセント 4 3 3" xfId="82" xr:uid="{00000000-0005-0000-0000-000051000000}"/>
    <cellStyle name="20% - アクセント 4 3 4" xfId="83" xr:uid="{00000000-0005-0000-0000-000052000000}"/>
    <cellStyle name="20% - アクセント 4 3 5" xfId="84" xr:uid="{00000000-0005-0000-0000-000053000000}"/>
    <cellStyle name="20% - アクセント 4 3 6" xfId="85" xr:uid="{00000000-0005-0000-0000-000054000000}"/>
    <cellStyle name="20% - アクセント 4 4" xfId="86" xr:uid="{00000000-0005-0000-0000-000055000000}"/>
    <cellStyle name="20% - アクセント 4 4 2" xfId="87" xr:uid="{00000000-0005-0000-0000-000056000000}"/>
    <cellStyle name="20% - アクセント 4 4 3" xfId="88" xr:uid="{00000000-0005-0000-0000-000057000000}"/>
    <cellStyle name="20% - アクセント 4 4 4" xfId="89" xr:uid="{00000000-0005-0000-0000-000058000000}"/>
    <cellStyle name="20% - アクセント 4 4 5" xfId="90" xr:uid="{00000000-0005-0000-0000-000059000000}"/>
    <cellStyle name="20% - アクセント 4 4 6" xfId="91" xr:uid="{00000000-0005-0000-0000-00005A000000}"/>
    <cellStyle name="20% - アクセント 4 5" xfId="92" xr:uid="{00000000-0005-0000-0000-00005B000000}"/>
    <cellStyle name="20% - アクセント 4 6" xfId="93" xr:uid="{00000000-0005-0000-0000-00005C000000}"/>
    <cellStyle name="20% - アクセント 4 7" xfId="94" xr:uid="{00000000-0005-0000-0000-00005D000000}"/>
    <cellStyle name="20% - アクセント 4 8" xfId="95" xr:uid="{00000000-0005-0000-0000-00005E000000}"/>
    <cellStyle name="20% - アクセント 4 9" xfId="96" xr:uid="{00000000-0005-0000-0000-00005F000000}"/>
    <cellStyle name="20% - アクセント 5 10" xfId="97" xr:uid="{00000000-0005-0000-0000-000060000000}"/>
    <cellStyle name="20% - アクセント 5 2" xfId="98" xr:uid="{00000000-0005-0000-0000-000061000000}"/>
    <cellStyle name="20% - アクセント 5 2 2" xfId="99" xr:uid="{00000000-0005-0000-0000-000062000000}"/>
    <cellStyle name="20% - アクセント 5 2 3" xfId="100" xr:uid="{00000000-0005-0000-0000-000063000000}"/>
    <cellStyle name="20% - アクセント 5 2 4" xfId="101" xr:uid="{00000000-0005-0000-0000-000064000000}"/>
    <cellStyle name="20% - アクセント 5 2 5" xfId="102" xr:uid="{00000000-0005-0000-0000-000065000000}"/>
    <cellStyle name="20% - アクセント 5 2 6" xfId="103" xr:uid="{00000000-0005-0000-0000-000066000000}"/>
    <cellStyle name="20% - アクセント 5 3" xfId="104" xr:uid="{00000000-0005-0000-0000-000067000000}"/>
    <cellStyle name="20% - アクセント 5 3 2" xfId="105" xr:uid="{00000000-0005-0000-0000-000068000000}"/>
    <cellStyle name="20% - アクセント 5 3 3" xfId="106" xr:uid="{00000000-0005-0000-0000-000069000000}"/>
    <cellStyle name="20% - アクセント 5 3 4" xfId="107" xr:uid="{00000000-0005-0000-0000-00006A000000}"/>
    <cellStyle name="20% - アクセント 5 3 5" xfId="108" xr:uid="{00000000-0005-0000-0000-00006B000000}"/>
    <cellStyle name="20% - アクセント 5 3 6" xfId="109" xr:uid="{00000000-0005-0000-0000-00006C000000}"/>
    <cellStyle name="20% - アクセント 5 4" xfId="110" xr:uid="{00000000-0005-0000-0000-00006D000000}"/>
    <cellStyle name="20% - アクセント 5 4 2" xfId="111" xr:uid="{00000000-0005-0000-0000-00006E000000}"/>
    <cellStyle name="20% - アクセント 5 4 3" xfId="112" xr:uid="{00000000-0005-0000-0000-00006F000000}"/>
    <cellStyle name="20% - アクセント 5 4 4" xfId="113" xr:uid="{00000000-0005-0000-0000-000070000000}"/>
    <cellStyle name="20% - アクセント 5 4 5" xfId="114" xr:uid="{00000000-0005-0000-0000-000071000000}"/>
    <cellStyle name="20% - アクセント 5 4 6" xfId="115" xr:uid="{00000000-0005-0000-0000-000072000000}"/>
    <cellStyle name="20% - アクセント 5 5" xfId="116" xr:uid="{00000000-0005-0000-0000-000073000000}"/>
    <cellStyle name="20% - アクセント 5 6" xfId="117" xr:uid="{00000000-0005-0000-0000-000074000000}"/>
    <cellStyle name="20% - アクセント 5 7" xfId="118" xr:uid="{00000000-0005-0000-0000-000075000000}"/>
    <cellStyle name="20% - アクセント 5 8" xfId="119" xr:uid="{00000000-0005-0000-0000-000076000000}"/>
    <cellStyle name="20% - アクセント 5 9" xfId="120" xr:uid="{00000000-0005-0000-0000-000077000000}"/>
    <cellStyle name="20% - アクセント 6 10" xfId="121" xr:uid="{00000000-0005-0000-0000-000078000000}"/>
    <cellStyle name="20% - アクセント 6 2" xfId="122" xr:uid="{00000000-0005-0000-0000-000079000000}"/>
    <cellStyle name="20% - アクセント 6 2 2" xfId="123" xr:uid="{00000000-0005-0000-0000-00007A000000}"/>
    <cellStyle name="20% - アクセント 6 2 3" xfId="124" xr:uid="{00000000-0005-0000-0000-00007B000000}"/>
    <cellStyle name="20% - アクセント 6 2 4" xfId="125" xr:uid="{00000000-0005-0000-0000-00007C000000}"/>
    <cellStyle name="20% - アクセント 6 2 5" xfId="126" xr:uid="{00000000-0005-0000-0000-00007D000000}"/>
    <cellStyle name="20% - アクセント 6 2 6" xfId="127" xr:uid="{00000000-0005-0000-0000-00007E000000}"/>
    <cellStyle name="20% - アクセント 6 3" xfId="128" xr:uid="{00000000-0005-0000-0000-00007F000000}"/>
    <cellStyle name="20% - アクセント 6 3 2" xfId="129" xr:uid="{00000000-0005-0000-0000-000080000000}"/>
    <cellStyle name="20% - アクセント 6 3 3" xfId="130" xr:uid="{00000000-0005-0000-0000-000081000000}"/>
    <cellStyle name="20% - アクセント 6 3 4" xfId="131" xr:uid="{00000000-0005-0000-0000-000082000000}"/>
    <cellStyle name="20% - アクセント 6 3 5" xfId="132" xr:uid="{00000000-0005-0000-0000-000083000000}"/>
    <cellStyle name="20% - アクセント 6 3 6" xfId="133" xr:uid="{00000000-0005-0000-0000-000084000000}"/>
    <cellStyle name="20% - アクセント 6 4" xfId="134" xr:uid="{00000000-0005-0000-0000-000085000000}"/>
    <cellStyle name="20% - アクセント 6 4 2" xfId="135" xr:uid="{00000000-0005-0000-0000-000086000000}"/>
    <cellStyle name="20% - アクセント 6 4 3" xfId="136" xr:uid="{00000000-0005-0000-0000-000087000000}"/>
    <cellStyle name="20% - アクセント 6 4 4" xfId="137" xr:uid="{00000000-0005-0000-0000-000088000000}"/>
    <cellStyle name="20% - アクセント 6 4 5" xfId="138" xr:uid="{00000000-0005-0000-0000-000089000000}"/>
    <cellStyle name="20% - アクセント 6 4 6" xfId="139" xr:uid="{00000000-0005-0000-0000-00008A000000}"/>
    <cellStyle name="20% - アクセント 6 5" xfId="140" xr:uid="{00000000-0005-0000-0000-00008B000000}"/>
    <cellStyle name="20% - アクセント 6 6" xfId="141" xr:uid="{00000000-0005-0000-0000-00008C000000}"/>
    <cellStyle name="20% - アクセント 6 7" xfId="142" xr:uid="{00000000-0005-0000-0000-00008D000000}"/>
    <cellStyle name="20% - アクセント 6 8" xfId="143" xr:uid="{00000000-0005-0000-0000-00008E000000}"/>
    <cellStyle name="20% - アクセント 6 9" xfId="144" xr:uid="{00000000-0005-0000-0000-00008F000000}"/>
    <cellStyle name="40% - アクセント 1 10" xfId="145" xr:uid="{00000000-0005-0000-0000-000090000000}"/>
    <cellStyle name="40% - アクセント 1 2" xfId="146" xr:uid="{00000000-0005-0000-0000-000091000000}"/>
    <cellStyle name="40% - アクセント 1 2 2" xfId="147" xr:uid="{00000000-0005-0000-0000-000092000000}"/>
    <cellStyle name="40% - アクセント 1 2 3" xfId="148" xr:uid="{00000000-0005-0000-0000-000093000000}"/>
    <cellStyle name="40% - アクセント 1 2 4" xfId="149" xr:uid="{00000000-0005-0000-0000-000094000000}"/>
    <cellStyle name="40% - アクセント 1 2 5" xfId="150" xr:uid="{00000000-0005-0000-0000-000095000000}"/>
    <cellStyle name="40% - アクセント 1 2 6" xfId="151" xr:uid="{00000000-0005-0000-0000-000096000000}"/>
    <cellStyle name="40% - アクセント 1 3" xfId="152" xr:uid="{00000000-0005-0000-0000-000097000000}"/>
    <cellStyle name="40% - アクセント 1 3 2" xfId="153" xr:uid="{00000000-0005-0000-0000-000098000000}"/>
    <cellStyle name="40% - アクセント 1 3 3" xfId="154" xr:uid="{00000000-0005-0000-0000-000099000000}"/>
    <cellStyle name="40% - アクセント 1 3 4" xfId="155" xr:uid="{00000000-0005-0000-0000-00009A000000}"/>
    <cellStyle name="40% - アクセント 1 3 5" xfId="156" xr:uid="{00000000-0005-0000-0000-00009B000000}"/>
    <cellStyle name="40% - アクセント 1 3 6" xfId="157" xr:uid="{00000000-0005-0000-0000-00009C000000}"/>
    <cellStyle name="40% - アクセント 1 4" xfId="158" xr:uid="{00000000-0005-0000-0000-00009D000000}"/>
    <cellStyle name="40% - アクセント 1 4 2" xfId="159" xr:uid="{00000000-0005-0000-0000-00009E000000}"/>
    <cellStyle name="40% - アクセント 1 4 3" xfId="160" xr:uid="{00000000-0005-0000-0000-00009F000000}"/>
    <cellStyle name="40% - アクセント 1 4 4" xfId="161" xr:uid="{00000000-0005-0000-0000-0000A0000000}"/>
    <cellStyle name="40% - アクセント 1 4 5" xfId="162" xr:uid="{00000000-0005-0000-0000-0000A1000000}"/>
    <cellStyle name="40% - アクセント 1 4 6" xfId="163" xr:uid="{00000000-0005-0000-0000-0000A2000000}"/>
    <cellStyle name="40% - アクセント 1 5" xfId="164" xr:uid="{00000000-0005-0000-0000-0000A3000000}"/>
    <cellStyle name="40% - アクセント 1 6" xfId="165" xr:uid="{00000000-0005-0000-0000-0000A4000000}"/>
    <cellStyle name="40% - アクセント 1 7" xfId="166" xr:uid="{00000000-0005-0000-0000-0000A5000000}"/>
    <cellStyle name="40% - アクセント 1 8" xfId="167" xr:uid="{00000000-0005-0000-0000-0000A6000000}"/>
    <cellStyle name="40% - アクセント 1 9" xfId="168" xr:uid="{00000000-0005-0000-0000-0000A7000000}"/>
    <cellStyle name="40% - アクセント 2 10" xfId="169" xr:uid="{00000000-0005-0000-0000-0000A8000000}"/>
    <cellStyle name="40% - アクセント 2 2" xfId="170" xr:uid="{00000000-0005-0000-0000-0000A9000000}"/>
    <cellStyle name="40% - アクセント 2 2 2" xfId="171" xr:uid="{00000000-0005-0000-0000-0000AA000000}"/>
    <cellStyle name="40% - アクセント 2 2 3" xfId="172" xr:uid="{00000000-0005-0000-0000-0000AB000000}"/>
    <cellStyle name="40% - アクセント 2 2 4" xfId="173" xr:uid="{00000000-0005-0000-0000-0000AC000000}"/>
    <cellStyle name="40% - アクセント 2 2 5" xfId="174" xr:uid="{00000000-0005-0000-0000-0000AD000000}"/>
    <cellStyle name="40% - アクセント 2 2 6" xfId="175" xr:uid="{00000000-0005-0000-0000-0000AE000000}"/>
    <cellStyle name="40% - アクセント 2 3" xfId="176" xr:uid="{00000000-0005-0000-0000-0000AF000000}"/>
    <cellStyle name="40% - アクセント 2 3 2" xfId="177" xr:uid="{00000000-0005-0000-0000-0000B0000000}"/>
    <cellStyle name="40% - アクセント 2 3 3" xfId="178" xr:uid="{00000000-0005-0000-0000-0000B1000000}"/>
    <cellStyle name="40% - アクセント 2 3 4" xfId="179" xr:uid="{00000000-0005-0000-0000-0000B2000000}"/>
    <cellStyle name="40% - アクセント 2 3 5" xfId="180" xr:uid="{00000000-0005-0000-0000-0000B3000000}"/>
    <cellStyle name="40% - アクセント 2 3 6" xfId="181" xr:uid="{00000000-0005-0000-0000-0000B4000000}"/>
    <cellStyle name="40% - アクセント 2 4" xfId="182" xr:uid="{00000000-0005-0000-0000-0000B5000000}"/>
    <cellStyle name="40% - アクセント 2 4 2" xfId="183" xr:uid="{00000000-0005-0000-0000-0000B6000000}"/>
    <cellStyle name="40% - アクセント 2 4 3" xfId="184" xr:uid="{00000000-0005-0000-0000-0000B7000000}"/>
    <cellStyle name="40% - アクセント 2 4 4" xfId="185" xr:uid="{00000000-0005-0000-0000-0000B8000000}"/>
    <cellStyle name="40% - アクセント 2 4 5" xfId="186" xr:uid="{00000000-0005-0000-0000-0000B9000000}"/>
    <cellStyle name="40% - アクセント 2 4 6" xfId="187" xr:uid="{00000000-0005-0000-0000-0000BA000000}"/>
    <cellStyle name="40% - アクセント 2 5" xfId="188" xr:uid="{00000000-0005-0000-0000-0000BB000000}"/>
    <cellStyle name="40% - アクセント 2 6" xfId="189" xr:uid="{00000000-0005-0000-0000-0000BC000000}"/>
    <cellStyle name="40% - アクセント 2 7" xfId="190" xr:uid="{00000000-0005-0000-0000-0000BD000000}"/>
    <cellStyle name="40% - アクセント 2 8" xfId="191" xr:uid="{00000000-0005-0000-0000-0000BE000000}"/>
    <cellStyle name="40% - アクセント 2 9" xfId="192" xr:uid="{00000000-0005-0000-0000-0000BF000000}"/>
    <cellStyle name="40% - アクセント 3 10" xfId="193" xr:uid="{00000000-0005-0000-0000-0000C0000000}"/>
    <cellStyle name="40% - アクセント 3 2" xfId="194" xr:uid="{00000000-0005-0000-0000-0000C1000000}"/>
    <cellStyle name="40% - アクセント 3 2 2" xfId="195" xr:uid="{00000000-0005-0000-0000-0000C2000000}"/>
    <cellStyle name="40% - アクセント 3 2 3" xfId="196" xr:uid="{00000000-0005-0000-0000-0000C3000000}"/>
    <cellStyle name="40% - アクセント 3 2 4" xfId="197" xr:uid="{00000000-0005-0000-0000-0000C4000000}"/>
    <cellStyle name="40% - アクセント 3 2 5" xfId="198" xr:uid="{00000000-0005-0000-0000-0000C5000000}"/>
    <cellStyle name="40% - アクセント 3 2 6" xfId="199" xr:uid="{00000000-0005-0000-0000-0000C6000000}"/>
    <cellStyle name="40% - アクセント 3 3" xfId="200" xr:uid="{00000000-0005-0000-0000-0000C7000000}"/>
    <cellStyle name="40% - アクセント 3 3 2" xfId="201" xr:uid="{00000000-0005-0000-0000-0000C8000000}"/>
    <cellStyle name="40% - アクセント 3 3 3" xfId="202" xr:uid="{00000000-0005-0000-0000-0000C9000000}"/>
    <cellStyle name="40% - アクセント 3 3 4" xfId="203" xr:uid="{00000000-0005-0000-0000-0000CA000000}"/>
    <cellStyle name="40% - アクセント 3 3 5" xfId="204" xr:uid="{00000000-0005-0000-0000-0000CB000000}"/>
    <cellStyle name="40% - アクセント 3 3 6" xfId="205" xr:uid="{00000000-0005-0000-0000-0000CC000000}"/>
    <cellStyle name="40% - アクセント 3 4" xfId="206" xr:uid="{00000000-0005-0000-0000-0000CD000000}"/>
    <cellStyle name="40% - アクセント 3 4 2" xfId="207" xr:uid="{00000000-0005-0000-0000-0000CE000000}"/>
    <cellStyle name="40% - アクセント 3 4 3" xfId="208" xr:uid="{00000000-0005-0000-0000-0000CF000000}"/>
    <cellStyle name="40% - アクセント 3 4 4" xfId="209" xr:uid="{00000000-0005-0000-0000-0000D0000000}"/>
    <cellStyle name="40% - アクセント 3 4 5" xfId="210" xr:uid="{00000000-0005-0000-0000-0000D1000000}"/>
    <cellStyle name="40% - アクセント 3 4 6" xfId="211" xr:uid="{00000000-0005-0000-0000-0000D2000000}"/>
    <cellStyle name="40% - アクセント 3 5" xfId="212" xr:uid="{00000000-0005-0000-0000-0000D3000000}"/>
    <cellStyle name="40% - アクセント 3 6" xfId="213" xr:uid="{00000000-0005-0000-0000-0000D4000000}"/>
    <cellStyle name="40% - アクセント 3 7" xfId="214" xr:uid="{00000000-0005-0000-0000-0000D5000000}"/>
    <cellStyle name="40% - アクセント 3 8" xfId="215" xr:uid="{00000000-0005-0000-0000-0000D6000000}"/>
    <cellStyle name="40% - アクセント 3 9" xfId="216" xr:uid="{00000000-0005-0000-0000-0000D7000000}"/>
    <cellStyle name="40% - アクセント 4 10" xfId="217" xr:uid="{00000000-0005-0000-0000-0000D8000000}"/>
    <cellStyle name="40% - アクセント 4 2" xfId="218" xr:uid="{00000000-0005-0000-0000-0000D9000000}"/>
    <cellStyle name="40% - アクセント 4 2 2" xfId="219" xr:uid="{00000000-0005-0000-0000-0000DA000000}"/>
    <cellStyle name="40% - アクセント 4 2 3" xfId="220" xr:uid="{00000000-0005-0000-0000-0000DB000000}"/>
    <cellStyle name="40% - アクセント 4 2 4" xfId="221" xr:uid="{00000000-0005-0000-0000-0000DC000000}"/>
    <cellStyle name="40% - アクセント 4 2 5" xfId="222" xr:uid="{00000000-0005-0000-0000-0000DD000000}"/>
    <cellStyle name="40% - アクセント 4 2 6" xfId="223" xr:uid="{00000000-0005-0000-0000-0000DE000000}"/>
    <cellStyle name="40% - アクセント 4 3" xfId="224" xr:uid="{00000000-0005-0000-0000-0000DF000000}"/>
    <cellStyle name="40% - アクセント 4 3 2" xfId="225" xr:uid="{00000000-0005-0000-0000-0000E0000000}"/>
    <cellStyle name="40% - アクセント 4 3 3" xfId="226" xr:uid="{00000000-0005-0000-0000-0000E1000000}"/>
    <cellStyle name="40% - アクセント 4 3 4" xfId="227" xr:uid="{00000000-0005-0000-0000-0000E2000000}"/>
    <cellStyle name="40% - アクセント 4 3 5" xfId="228" xr:uid="{00000000-0005-0000-0000-0000E3000000}"/>
    <cellStyle name="40% - アクセント 4 3 6" xfId="229" xr:uid="{00000000-0005-0000-0000-0000E4000000}"/>
    <cellStyle name="40% - アクセント 4 4" xfId="230" xr:uid="{00000000-0005-0000-0000-0000E5000000}"/>
    <cellStyle name="40% - アクセント 4 4 2" xfId="231" xr:uid="{00000000-0005-0000-0000-0000E6000000}"/>
    <cellStyle name="40% - アクセント 4 4 3" xfId="232" xr:uid="{00000000-0005-0000-0000-0000E7000000}"/>
    <cellStyle name="40% - アクセント 4 4 4" xfId="233" xr:uid="{00000000-0005-0000-0000-0000E8000000}"/>
    <cellStyle name="40% - アクセント 4 4 5" xfId="234" xr:uid="{00000000-0005-0000-0000-0000E9000000}"/>
    <cellStyle name="40% - アクセント 4 4 6" xfId="235" xr:uid="{00000000-0005-0000-0000-0000EA000000}"/>
    <cellStyle name="40% - アクセント 4 5" xfId="236" xr:uid="{00000000-0005-0000-0000-0000EB000000}"/>
    <cellStyle name="40% - アクセント 4 6" xfId="237" xr:uid="{00000000-0005-0000-0000-0000EC000000}"/>
    <cellStyle name="40% - アクセント 4 7" xfId="238" xr:uid="{00000000-0005-0000-0000-0000ED000000}"/>
    <cellStyle name="40% - アクセント 4 8" xfId="239" xr:uid="{00000000-0005-0000-0000-0000EE000000}"/>
    <cellStyle name="40% - アクセント 4 9" xfId="240" xr:uid="{00000000-0005-0000-0000-0000EF000000}"/>
    <cellStyle name="40% - アクセント 5 10" xfId="241" xr:uid="{00000000-0005-0000-0000-0000F0000000}"/>
    <cellStyle name="40% - アクセント 5 2" xfId="242" xr:uid="{00000000-0005-0000-0000-0000F1000000}"/>
    <cellStyle name="40% - アクセント 5 2 2" xfId="243" xr:uid="{00000000-0005-0000-0000-0000F2000000}"/>
    <cellStyle name="40% - アクセント 5 2 3" xfId="244" xr:uid="{00000000-0005-0000-0000-0000F3000000}"/>
    <cellStyle name="40% - アクセント 5 2 4" xfId="245" xr:uid="{00000000-0005-0000-0000-0000F4000000}"/>
    <cellStyle name="40% - アクセント 5 2 5" xfId="246" xr:uid="{00000000-0005-0000-0000-0000F5000000}"/>
    <cellStyle name="40% - アクセント 5 2 6" xfId="247" xr:uid="{00000000-0005-0000-0000-0000F6000000}"/>
    <cellStyle name="40% - アクセント 5 3" xfId="248" xr:uid="{00000000-0005-0000-0000-0000F7000000}"/>
    <cellStyle name="40% - アクセント 5 3 2" xfId="249" xr:uid="{00000000-0005-0000-0000-0000F8000000}"/>
    <cellStyle name="40% - アクセント 5 3 3" xfId="250" xr:uid="{00000000-0005-0000-0000-0000F9000000}"/>
    <cellStyle name="40% - アクセント 5 3 4" xfId="251" xr:uid="{00000000-0005-0000-0000-0000FA000000}"/>
    <cellStyle name="40% - アクセント 5 3 5" xfId="252" xr:uid="{00000000-0005-0000-0000-0000FB000000}"/>
    <cellStyle name="40% - アクセント 5 3 6" xfId="253" xr:uid="{00000000-0005-0000-0000-0000FC000000}"/>
    <cellStyle name="40% - アクセント 5 4" xfId="254" xr:uid="{00000000-0005-0000-0000-0000FD000000}"/>
    <cellStyle name="40% - アクセント 5 4 2" xfId="255" xr:uid="{00000000-0005-0000-0000-0000FE000000}"/>
    <cellStyle name="40% - アクセント 5 4 3" xfId="256" xr:uid="{00000000-0005-0000-0000-0000FF000000}"/>
    <cellStyle name="40% - アクセント 5 4 4" xfId="257" xr:uid="{00000000-0005-0000-0000-000000010000}"/>
    <cellStyle name="40% - アクセント 5 4 5" xfId="258" xr:uid="{00000000-0005-0000-0000-000001010000}"/>
    <cellStyle name="40% - アクセント 5 4 6" xfId="259" xr:uid="{00000000-0005-0000-0000-000002010000}"/>
    <cellStyle name="40% - アクセント 5 5" xfId="260" xr:uid="{00000000-0005-0000-0000-000003010000}"/>
    <cellStyle name="40% - アクセント 5 6" xfId="261" xr:uid="{00000000-0005-0000-0000-000004010000}"/>
    <cellStyle name="40% - アクセント 5 7" xfId="262" xr:uid="{00000000-0005-0000-0000-000005010000}"/>
    <cellStyle name="40% - アクセント 5 8" xfId="263" xr:uid="{00000000-0005-0000-0000-000006010000}"/>
    <cellStyle name="40% - アクセント 5 9" xfId="264" xr:uid="{00000000-0005-0000-0000-000007010000}"/>
    <cellStyle name="40% - アクセント 6 10" xfId="265" xr:uid="{00000000-0005-0000-0000-000008010000}"/>
    <cellStyle name="40% - アクセント 6 2" xfId="266" xr:uid="{00000000-0005-0000-0000-000009010000}"/>
    <cellStyle name="40% - アクセント 6 2 2" xfId="267" xr:uid="{00000000-0005-0000-0000-00000A010000}"/>
    <cellStyle name="40% - アクセント 6 2 3" xfId="268" xr:uid="{00000000-0005-0000-0000-00000B010000}"/>
    <cellStyle name="40% - アクセント 6 2 4" xfId="269" xr:uid="{00000000-0005-0000-0000-00000C010000}"/>
    <cellStyle name="40% - アクセント 6 2 5" xfId="270" xr:uid="{00000000-0005-0000-0000-00000D010000}"/>
    <cellStyle name="40% - アクセント 6 2 6" xfId="271" xr:uid="{00000000-0005-0000-0000-00000E010000}"/>
    <cellStyle name="40% - アクセント 6 3" xfId="272" xr:uid="{00000000-0005-0000-0000-00000F010000}"/>
    <cellStyle name="40% - アクセント 6 3 2" xfId="273" xr:uid="{00000000-0005-0000-0000-000010010000}"/>
    <cellStyle name="40% - アクセント 6 3 3" xfId="274" xr:uid="{00000000-0005-0000-0000-000011010000}"/>
    <cellStyle name="40% - アクセント 6 3 4" xfId="275" xr:uid="{00000000-0005-0000-0000-000012010000}"/>
    <cellStyle name="40% - アクセント 6 3 5" xfId="276" xr:uid="{00000000-0005-0000-0000-000013010000}"/>
    <cellStyle name="40% - アクセント 6 3 6" xfId="277" xr:uid="{00000000-0005-0000-0000-000014010000}"/>
    <cellStyle name="40% - アクセント 6 4" xfId="278" xr:uid="{00000000-0005-0000-0000-000015010000}"/>
    <cellStyle name="40% - アクセント 6 4 2" xfId="279" xr:uid="{00000000-0005-0000-0000-000016010000}"/>
    <cellStyle name="40% - アクセント 6 4 3" xfId="280" xr:uid="{00000000-0005-0000-0000-000017010000}"/>
    <cellStyle name="40% - アクセント 6 4 4" xfId="281" xr:uid="{00000000-0005-0000-0000-000018010000}"/>
    <cellStyle name="40% - アクセント 6 4 5" xfId="282" xr:uid="{00000000-0005-0000-0000-000019010000}"/>
    <cellStyle name="40% - アクセント 6 4 6" xfId="283" xr:uid="{00000000-0005-0000-0000-00001A010000}"/>
    <cellStyle name="40% - アクセント 6 5" xfId="284" xr:uid="{00000000-0005-0000-0000-00001B010000}"/>
    <cellStyle name="40% - アクセント 6 6" xfId="285" xr:uid="{00000000-0005-0000-0000-00001C010000}"/>
    <cellStyle name="40% - アクセント 6 7" xfId="286" xr:uid="{00000000-0005-0000-0000-00001D010000}"/>
    <cellStyle name="40% - アクセント 6 8" xfId="287" xr:uid="{00000000-0005-0000-0000-00001E010000}"/>
    <cellStyle name="40% - アクセント 6 9" xfId="288" xr:uid="{00000000-0005-0000-0000-00001F010000}"/>
    <cellStyle name="60% - アクセント 1 10" xfId="289" xr:uid="{00000000-0005-0000-0000-000020010000}"/>
    <cellStyle name="60% - アクセント 1 2" xfId="290" xr:uid="{00000000-0005-0000-0000-000021010000}"/>
    <cellStyle name="60% - アクセント 1 2 2" xfId="291" xr:uid="{00000000-0005-0000-0000-000022010000}"/>
    <cellStyle name="60% - アクセント 1 2 3" xfId="292" xr:uid="{00000000-0005-0000-0000-000023010000}"/>
    <cellStyle name="60% - アクセント 1 2 4" xfId="293" xr:uid="{00000000-0005-0000-0000-000024010000}"/>
    <cellStyle name="60% - アクセント 1 2 5" xfId="294" xr:uid="{00000000-0005-0000-0000-000025010000}"/>
    <cellStyle name="60% - アクセント 1 2 6" xfId="295" xr:uid="{00000000-0005-0000-0000-000026010000}"/>
    <cellStyle name="60% - アクセント 1 3" xfId="296" xr:uid="{00000000-0005-0000-0000-000027010000}"/>
    <cellStyle name="60% - アクセント 1 3 2" xfId="297" xr:uid="{00000000-0005-0000-0000-000028010000}"/>
    <cellStyle name="60% - アクセント 1 3 3" xfId="298" xr:uid="{00000000-0005-0000-0000-000029010000}"/>
    <cellStyle name="60% - アクセント 1 3 4" xfId="299" xr:uid="{00000000-0005-0000-0000-00002A010000}"/>
    <cellStyle name="60% - アクセント 1 3 5" xfId="300" xr:uid="{00000000-0005-0000-0000-00002B010000}"/>
    <cellStyle name="60% - アクセント 1 3 6" xfId="301" xr:uid="{00000000-0005-0000-0000-00002C010000}"/>
    <cellStyle name="60% - アクセント 1 4" xfId="302" xr:uid="{00000000-0005-0000-0000-00002D010000}"/>
    <cellStyle name="60% - アクセント 1 4 2" xfId="303" xr:uid="{00000000-0005-0000-0000-00002E010000}"/>
    <cellStyle name="60% - アクセント 1 4 3" xfId="304" xr:uid="{00000000-0005-0000-0000-00002F010000}"/>
    <cellStyle name="60% - アクセント 1 4 4" xfId="305" xr:uid="{00000000-0005-0000-0000-000030010000}"/>
    <cellStyle name="60% - アクセント 1 4 5" xfId="306" xr:uid="{00000000-0005-0000-0000-000031010000}"/>
    <cellStyle name="60% - アクセント 1 4 6" xfId="307" xr:uid="{00000000-0005-0000-0000-000032010000}"/>
    <cellStyle name="60% - アクセント 1 5" xfId="308" xr:uid="{00000000-0005-0000-0000-000033010000}"/>
    <cellStyle name="60% - アクセント 1 6" xfId="309" xr:uid="{00000000-0005-0000-0000-000034010000}"/>
    <cellStyle name="60% - アクセント 1 7" xfId="310" xr:uid="{00000000-0005-0000-0000-000035010000}"/>
    <cellStyle name="60% - アクセント 1 8" xfId="311" xr:uid="{00000000-0005-0000-0000-000036010000}"/>
    <cellStyle name="60% - アクセント 1 9" xfId="312" xr:uid="{00000000-0005-0000-0000-000037010000}"/>
    <cellStyle name="60% - アクセント 2 10" xfId="313" xr:uid="{00000000-0005-0000-0000-000038010000}"/>
    <cellStyle name="60% - アクセント 2 2" xfId="314" xr:uid="{00000000-0005-0000-0000-000039010000}"/>
    <cellStyle name="60% - アクセント 2 2 2" xfId="315" xr:uid="{00000000-0005-0000-0000-00003A010000}"/>
    <cellStyle name="60% - アクセント 2 2 3" xfId="316" xr:uid="{00000000-0005-0000-0000-00003B010000}"/>
    <cellStyle name="60% - アクセント 2 2 4" xfId="317" xr:uid="{00000000-0005-0000-0000-00003C010000}"/>
    <cellStyle name="60% - アクセント 2 2 5" xfId="318" xr:uid="{00000000-0005-0000-0000-00003D010000}"/>
    <cellStyle name="60% - アクセント 2 2 6" xfId="319" xr:uid="{00000000-0005-0000-0000-00003E010000}"/>
    <cellStyle name="60% - アクセント 2 3" xfId="320" xr:uid="{00000000-0005-0000-0000-00003F010000}"/>
    <cellStyle name="60% - アクセント 2 3 2" xfId="321" xr:uid="{00000000-0005-0000-0000-000040010000}"/>
    <cellStyle name="60% - アクセント 2 3 3" xfId="322" xr:uid="{00000000-0005-0000-0000-000041010000}"/>
    <cellStyle name="60% - アクセント 2 3 4" xfId="323" xr:uid="{00000000-0005-0000-0000-000042010000}"/>
    <cellStyle name="60% - アクセント 2 3 5" xfId="324" xr:uid="{00000000-0005-0000-0000-000043010000}"/>
    <cellStyle name="60% - アクセント 2 3 6" xfId="325" xr:uid="{00000000-0005-0000-0000-000044010000}"/>
    <cellStyle name="60% - アクセント 2 4" xfId="326" xr:uid="{00000000-0005-0000-0000-000045010000}"/>
    <cellStyle name="60% - アクセント 2 4 2" xfId="327" xr:uid="{00000000-0005-0000-0000-000046010000}"/>
    <cellStyle name="60% - アクセント 2 4 3" xfId="328" xr:uid="{00000000-0005-0000-0000-000047010000}"/>
    <cellStyle name="60% - アクセント 2 4 4" xfId="329" xr:uid="{00000000-0005-0000-0000-000048010000}"/>
    <cellStyle name="60% - アクセント 2 4 5" xfId="330" xr:uid="{00000000-0005-0000-0000-000049010000}"/>
    <cellStyle name="60% - アクセント 2 4 6" xfId="331" xr:uid="{00000000-0005-0000-0000-00004A010000}"/>
    <cellStyle name="60% - アクセント 2 5" xfId="332" xr:uid="{00000000-0005-0000-0000-00004B010000}"/>
    <cellStyle name="60% - アクセント 2 6" xfId="333" xr:uid="{00000000-0005-0000-0000-00004C010000}"/>
    <cellStyle name="60% - アクセント 2 7" xfId="334" xr:uid="{00000000-0005-0000-0000-00004D010000}"/>
    <cellStyle name="60% - アクセント 2 8" xfId="335" xr:uid="{00000000-0005-0000-0000-00004E010000}"/>
    <cellStyle name="60% - アクセント 2 9" xfId="336" xr:uid="{00000000-0005-0000-0000-00004F010000}"/>
    <cellStyle name="60% - アクセント 3 10" xfId="337" xr:uid="{00000000-0005-0000-0000-000050010000}"/>
    <cellStyle name="60% - アクセント 3 2" xfId="338" xr:uid="{00000000-0005-0000-0000-000051010000}"/>
    <cellStyle name="60% - アクセント 3 2 2" xfId="339" xr:uid="{00000000-0005-0000-0000-000052010000}"/>
    <cellStyle name="60% - アクセント 3 2 3" xfId="340" xr:uid="{00000000-0005-0000-0000-000053010000}"/>
    <cellStyle name="60% - アクセント 3 2 4" xfId="341" xr:uid="{00000000-0005-0000-0000-000054010000}"/>
    <cellStyle name="60% - アクセント 3 2 5" xfId="342" xr:uid="{00000000-0005-0000-0000-000055010000}"/>
    <cellStyle name="60% - アクセント 3 2 6" xfId="343" xr:uid="{00000000-0005-0000-0000-000056010000}"/>
    <cellStyle name="60% - アクセント 3 3" xfId="344" xr:uid="{00000000-0005-0000-0000-000057010000}"/>
    <cellStyle name="60% - アクセント 3 3 2" xfId="345" xr:uid="{00000000-0005-0000-0000-000058010000}"/>
    <cellStyle name="60% - アクセント 3 3 3" xfId="346" xr:uid="{00000000-0005-0000-0000-000059010000}"/>
    <cellStyle name="60% - アクセント 3 3 4" xfId="347" xr:uid="{00000000-0005-0000-0000-00005A010000}"/>
    <cellStyle name="60% - アクセント 3 3 5" xfId="348" xr:uid="{00000000-0005-0000-0000-00005B010000}"/>
    <cellStyle name="60% - アクセント 3 3 6" xfId="349" xr:uid="{00000000-0005-0000-0000-00005C010000}"/>
    <cellStyle name="60% - アクセント 3 4" xfId="350" xr:uid="{00000000-0005-0000-0000-00005D010000}"/>
    <cellStyle name="60% - アクセント 3 4 2" xfId="351" xr:uid="{00000000-0005-0000-0000-00005E010000}"/>
    <cellStyle name="60% - アクセント 3 4 3" xfId="352" xr:uid="{00000000-0005-0000-0000-00005F010000}"/>
    <cellStyle name="60% - アクセント 3 4 4" xfId="353" xr:uid="{00000000-0005-0000-0000-000060010000}"/>
    <cellStyle name="60% - アクセント 3 4 5" xfId="354" xr:uid="{00000000-0005-0000-0000-000061010000}"/>
    <cellStyle name="60% - アクセント 3 4 6" xfId="355" xr:uid="{00000000-0005-0000-0000-000062010000}"/>
    <cellStyle name="60% - アクセント 3 5" xfId="356" xr:uid="{00000000-0005-0000-0000-000063010000}"/>
    <cellStyle name="60% - アクセント 3 6" xfId="357" xr:uid="{00000000-0005-0000-0000-000064010000}"/>
    <cellStyle name="60% - アクセント 3 7" xfId="358" xr:uid="{00000000-0005-0000-0000-000065010000}"/>
    <cellStyle name="60% - アクセント 3 8" xfId="359" xr:uid="{00000000-0005-0000-0000-000066010000}"/>
    <cellStyle name="60% - アクセント 3 9" xfId="360" xr:uid="{00000000-0005-0000-0000-000067010000}"/>
    <cellStyle name="60% - アクセント 4 10" xfId="361" xr:uid="{00000000-0005-0000-0000-000068010000}"/>
    <cellStyle name="60% - アクセント 4 2" xfId="362" xr:uid="{00000000-0005-0000-0000-000069010000}"/>
    <cellStyle name="60% - アクセント 4 2 2" xfId="363" xr:uid="{00000000-0005-0000-0000-00006A010000}"/>
    <cellStyle name="60% - アクセント 4 2 3" xfId="364" xr:uid="{00000000-0005-0000-0000-00006B010000}"/>
    <cellStyle name="60% - アクセント 4 2 4" xfId="365" xr:uid="{00000000-0005-0000-0000-00006C010000}"/>
    <cellStyle name="60% - アクセント 4 2 5" xfId="366" xr:uid="{00000000-0005-0000-0000-00006D010000}"/>
    <cellStyle name="60% - アクセント 4 2 6" xfId="367" xr:uid="{00000000-0005-0000-0000-00006E010000}"/>
    <cellStyle name="60% - アクセント 4 3" xfId="368" xr:uid="{00000000-0005-0000-0000-00006F010000}"/>
    <cellStyle name="60% - アクセント 4 3 2" xfId="369" xr:uid="{00000000-0005-0000-0000-000070010000}"/>
    <cellStyle name="60% - アクセント 4 3 3" xfId="370" xr:uid="{00000000-0005-0000-0000-000071010000}"/>
    <cellStyle name="60% - アクセント 4 3 4" xfId="371" xr:uid="{00000000-0005-0000-0000-000072010000}"/>
    <cellStyle name="60% - アクセント 4 3 5" xfId="372" xr:uid="{00000000-0005-0000-0000-000073010000}"/>
    <cellStyle name="60% - アクセント 4 3 6" xfId="373" xr:uid="{00000000-0005-0000-0000-000074010000}"/>
    <cellStyle name="60% - アクセント 4 4" xfId="374" xr:uid="{00000000-0005-0000-0000-000075010000}"/>
    <cellStyle name="60% - アクセント 4 4 2" xfId="375" xr:uid="{00000000-0005-0000-0000-000076010000}"/>
    <cellStyle name="60% - アクセント 4 4 3" xfId="376" xr:uid="{00000000-0005-0000-0000-000077010000}"/>
    <cellStyle name="60% - アクセント 4 4 4" xfId="377" xr:uid="{00000000-0005-0000-0000-000078010000}"/>
    <cellStyle name="60% - アクセント 4 4 5" xfId="378" xr:uid="{00000000-0005-0000-0000-000079010000}"/>
    <cellStyle name="60% - アクセント 4 4 6" xfId="379" xr:uid="{00000000-0005-0000-0000-00007A010000}"/>
    <cellStyle name="60% - アクセント 4 5" xfId="380" xr:uid="{00000000-0005-0000-0000-00007B010000}"/>
    <cellStyle name="60% - アクセント 4 6" xfId="381" xr:uid="{00000000-0005-0000-0000-00007C010000}"/>
    <cellStyle name="60% - アクセント 4 7" xfId="382" xr:uid="{00000000-0005-0000-0000-00007D010000}"/>
    <cellStyle name="60% - アクセント 4 8" xfId="383" xr:uid="{00000000-0005-0000-0000-00007E010000}"/>
    <cellStyle name="60% - アクセント 4 9" xfId="384" xr:uid="{00000000-0005-0000-0000-00007F010000}"/>
    <cellStyle name="60% - アクセント 5 10" xfId="385" xr:uid="{00000000-0005-0000-0000-000080010000}"/>
    <cellStyle name="60% - アクセント 5 2" xfId="386" xr:uid="{00000000-0005-0000-0000-000081010000}"/>
    <cellStyle name="60% - アクセント 5 2 2" xfId="387" xr:uid="{00000000-0005-0000-0000-000082010000}"/>
    <cellStyle name="60% - アクセント 5 2 3" xfId="388" xr:uid="{00000000-0005-0000-0000-000083010000}"/>
    <cellStyle name="60% - アクセント 5 2 4" xfId="389" xr:uid="{00000000-0005-0000-0000-000084010000}"/>
    <cellStyle name="60% - アクセント 5 2 5" xfId="390" xr:uid="{00000000-0005-0000-0000-000085010000}"/>
    <cellStyle name="60% - アクセント 5 2 6" xfId="391" xr:uid="{00000000-0005-0000-0000-000086010000}"/>
    <cellStyle name="60% - アクセント 5 3" xfId="392" xr:uid="{00000000-0005-0000-0000-000087010000}"/>
    <cellStyle name="60% - アクセント 5 3 2" xfId="393" xr:uid="{00000000-0005-0000-0000-000088010000}"/>
    <cellStyle name="60% - アクセント 5 3 3" xfId="394" xr:uid="{00000000-0005-0000-0000-000089010000}"/>
    <cellStyle name="60% - アクセント 5 3 4" xfId="395" xr:uid="{00000000-0005-0000-0000-00008A010000}"/>
    <cellStyle name="60% - アクセント 5 3 5" xfId="396" xr:uid="{00000000-0005-0000-0000-00008B010000}"/>
    <cellStyle name="60% - アクセント 5 3 6" xfId="397" xr:uid="{00000000-0005-0000-0000-00008C010000}"/>
    <cellStyle name="60% - アクセント 5 4" xfId="398" xr:uid="{00000000-0005-0000-0000-00008D010000}"/>
    <cellStyle name="60% - アクセント 5 4 2" xfId="399" xr:uid="{00000000-0005-0000-0000-00008E010000}"/>
    <cellStyle name="60% - アクセント 5 4 3" xfId="400" xr:uid="{00000000-0005-0000-0000-00008F010000}"/>
    <cellStyle name="60% - アクセント 5 4 4" xfId="401" xr:uid="{00000000-0005-0000-0000-000090010000}"/>
    <cellStyle name="60% - アクセント 5 4 5" xfId="402" xr:uid="{00000000-0005-0000-0000-000091010000}"/>
    <cellStyle name="60% - アクセント 5 4 6" xfId="403" xr:uid="{00000000-0005-0000-0000-000092010000}"/>
    <cellStyle name="60% - アクセント 5 5" xfId="404" xr:uid="{00000000-0005-0000-0000-000093010000}"/>
    <cellStyle name="60% - アクセント 5 6" xfId="405" xr:uid="{00000000-0005-0000-0000-000094010000}"/>
    <cellStyle name="60% - アクセント 5 7" xfId="406" xr:uid="{00000000-0005-0000-0000-000095010000}"/>
    <cellStyle name="60% - アクセント 5 8" xfId="407" xr:uid="{00000000-0005-0000-0000-000096010000}"/>
    <cellStyle name="60% - アクセント 5 9" xfId="408" xr:uid="{00000000-0005-0000-0000-000097010000}"/>
    <cellStyle name="60% - アクセント 6 10" xfId="409" xr:uid="{00000000-0005-0000-0000-000098010000}"/>
    <cellStyle name="60% - アクセント 6 2" xfId="410" xr:uid="{00000000-0005-0000-0000-000099010000}"/>
    <cellStyle name="60% - アクセント 6 2 2" xfId="411" xr:uid="{00000000-0005-0000-0000-00009A010000}"/>
    <cellStyle name="60% - アクセント 6 2 3" xfId="412" xr:uid="{00000000-0005-0000-0000-00009B010000}"/>
    <cellStyle name="60% - アクセント 6 2 4" xfId="413" xr:uid="{00000000-0005-0000-0000-00009C010000}"/>
    <cellStyle name="60% - アクセント 6 2 5" xfId="414" xr:uid="{00000000-0005-0000-0000-00009D010000}"/>
    <cellStyle name="60% - アクセント 6 2 6" xfId="415" xr:uid="{00000000-0005-0000-0000-00009E010000}"/>
    <cellStyle name="60% - アクセント 6 3" xfId="416" xr:uid="{00000000-0005-0000-0000-00009F010000}"/>
    <cellStyle name="60% - アクセント 6 3 2" xfId="417" xr:uid="{00000000-0005-0000-0000-0000A0010000}"/>
    <cellStyle name="60% - アクセント 6 3 3" xfId="418" xr:uid="{00000000-0005-0000-0000-0000A1010000}"/>
    <cellStyle name="60% - アクセント 6 3 4" xfId="419" xr:uid="{00000000-0005-0000-0000-0000A2010000}"/>
    <cellStyle name="60% - アクセント 6 3 5" xfId="420" xr:uid="{00000000-0005-0000-0000-0000A3010000}"/>
    <cellStyle name="60% - アクセント 6 3 6" xfId="421" xr:uid="{00000000-0005-0000-0000-0000A4010000}"/>
    <cellStyle name="60% - アクセント 6 4" xfId="422" xr:uid="{00000000-0005-0000-0000-0000A5010000}"/>
    <cellStyle name="60% - アクセント 6 4 2" xfId="423" xr:uid="{00000000-0005-0000-0000-0000A6010000}"/>
    <cellStyle name="60% - アクセント 6 4 3" xfId="424" xr:uid="{00000000-0005-0000-0000-0000A7010000}"/>
    <cellStyle name="60% - アクセント 6 4 4" xfId="425" xr:uid="{00000000-0005-0000-0000-0000A8010000}"/>
    <cellStyle name="60% - アクセント 6 4 5" xfId="426" xr:uid="{00000000-0005-0000-0000-0000A9010000}"/>
    <cellStyle name="60% - アクセント 6 4 6" xfId="427" xr:uid="{00000000-0005-0000-0000-0000AA010000}"/>
    <cellStyle name="60% - アクセント 6 5" xfId="428" xr:uid="{00000000-0005-0000-0000-0000AB010000}"/>
    <cellStyle name="60% - アクセント 6 6" xfId="429" xr:uid="{00000000-0005-0000-0000-0000AC010000}"/>
    <cellStyle name="60% - アクセント 6 7" xfId="430" xr:uid="{00000000-0005-0000-0000-0000AD010000}"/>
    <cellStyle name="60% - アクセント 6 8" xfId="431" xr:uid="{00000000-0005-0000-0000-0000AE010000}"/>
    <cellStyle name="60% - アクセント 6 9" xfId="432" xr:uid="{00000000-0005-0000-0000-0000AF010000}"/>
    <cellStyle name="Calc Currency (0)" xfId="433" xr:uid="{00000000-0005-0000-0000-0000B0010000}"/>
    <cellStyle name="Header1" xfId="434" xr:uid="{00000000-0005-0000-0000-0000B1010000}"/>
    <cellStyle name="Header2" xfId="435" xr:uid="{00000000-0005-0000-0000-0000B2010000}"/>
    <cellStyle name="memo" xfId="436" xr:uid="{00000000-0005-0000-0000-0000B3010000}"/>
    <cellStyle name="Normal_#18-Internet" xfId="437" xr:uid="{00000000-0005-0000-0000-0000B4010000}"/>
    <cellStyle name="Ver0.10改訂個所" xfId="438" xr:uid="{00000000-0005-0000-0000-0000B5010000}"/>
    <cellStyle name="Ver0.20改訂個所" xfId="439" xr:uid="{00000000-0005-0000-0000-0000B6010000}"/>
    <cellStyle name="アクセント 1 10" xfId="440" xr:uid="{00000000-0005-0000-0000-0000B7010000}"/>
    <cellStyle name="アクセント 1 2" xfId="441" xr:uid="{00000000-0005-0000-0000-0000B8010000}"/>
    <cellStyle name="アクセント 1 2 2" xfId="442" xr:uid="{00000000-0005-0000-0000-0000B9010000}"/>
    <cellStyle name="アクセント 1 2 3" xfId="443" xr:uid="{00000000-0005-0000-0000-0000BA010000}"/>
    <cellStyle name="アクセント 1 2 4" xfId="444" xr:uid="{00000000-0005-0000-0000-0000BB010000}"/>
    <cellStyle name="アクセント 1 2 5" xfId="445" xr:uid="{00000000-0005-0000-0000-0000BC010000}"/>
    <cellStyle name="アクセント 1 2 6" xfId="446" xr:uid="{00000000-0005-0000-0000-0000BD010000}"/>
    <cellStyle name="アクセント 1 3" xfId="447" xr:uid="{00000000-0005-0000-0000-0000BE010000}"/>
    <cellStyle name="アクセント 1 3 2" xfId="448" xr:uid="{00000000-0005-0000-0000-0000BF010000}"/>
    <cellStyle name="アクセント 1 3 3" xfId="449" xr:uid="{00000000-0005-0000-0000-0000C0010000}"/>
    <cellStyle name="アクセント 1 3 4" xfId="450" xr:uid="{00000000-0005-0000-0000-0000C1010000}"/>
    <cellStyle name="アクセント 1 3 5" xfId="451" xr:uid="{00000000-0005-0000-0000-0000C2010000}"/>
    <cellStyle name="アクセント 1 3 6" xfId="452" xr:uid="{00000000-0005-0000-0000-0000C3010000}"/>
    <cellStyle name="アクセント 1 4" xfId="453" xr:uid="{00000000-0005-0000-0000-0000C4010000}"/>
    <cellStyle name="アクセント 1 4 2" xfId="454" xr:uid="{00000000-0005-0000-0000-0000C5010000}"/>
    <cellStyle name="アクセント 1 4 3" xfId="455" xr:uid="{00000000-0005-0000-0000-0000C6010000}"/>
    <cellStyle name="アクセント 1 4 4" xfId="456" xr:uid="{00000000-0005-0000-0000-0000C7010000}"/>
    <cellStyle name="アクセント 1 4 5" xfId="457" xr:uid="{00000000-0005-0000-0000-0000C8010000}"/>
    <cellStyle name="アクセント 1 4 6" xfId="458" xr:uid="{00000000-0005-0000-0000-0000C9010000}"/>
    <cellStyle name="アクセント 1 5" xfId="459" xr:uid="{00000000-0005-0000-0000-0000CA010000}"/>
    <cellStyle name="アクセント 1 6" xfId="460" xr:uid="{00000000-0005-0000-0000-0000CB010000}"/>
    <cellStyle name="アクセント 1 7" xfId="461" xr:uid="{00000000-0005-0000-0000-0000CC010000}"/>
    <cellStyle name="アクセント 1 8" xfId="462" xr:uid="{00000000-0005-0000-0000-0000CD010000}"/>
    <cellStyle name="アクセント 1 9" xfId="463" xr:uid="{00000000-0005-0000-0000-0000CE010000}"/>
    <cellStyle name="アクセント 2 10" xfId="464" xr:uid="{00000000-0005-0000-0000-0000CF010000}"/>
    <cellStyle name="アクセント 2 2" xfId="465" xr:uid="{00000000-0005-0000-0000-0000D0010000}"/>
    <cellStyle name="アクセント 2 2 2" xfId="466" xr:uid="{00000000-0005-0000-0000-0000D1010000}"/>
    <cellStyle name="アクセント 2 2 3" xfId="467" xr:uid="{00000000-0005-0000-0000-0000D2010000}"/>
    <cellStyle name="アクセント 2 2 4" xfId="468" xr:uid="{00000000-0005-0000-0000-0000D3010000}"/>
    <cellStyle name="アクセント 2 2 5" xfId="469" xr:uid="{00000000-0005-0000-0000-0000D4010000}"/>
    <cellStyle name="アクセント 2 2 6" xfId="470" xr:uid="{00000000-0005-0000-0000-0000D5010000}"/>
    <cellStyle name="アクセント 2 3" xfId="471" xr:uid="{00000000-0005-0000-0000-0000D6010000}"/>
    <cellStyle name="アクセント 2 3 2" xfId="472" xr:uid="{00000000-0005-0000-0000-0000D7010000}"/>
    <cellStyle name="アクセント 2 3 3" xfId="473" xr:uid="{00000000-0005-0000-0000-0000D8010000}"/>
    <cellStyle name="アクセント 2 3 4" xfId="474" xr:uid="{00000000-0005-0000-0000-0000D9010000}"/>
    <cellStyle name="アクセント 2 3 5" xfId="475" xr:uid="{00000000-0005-0000-0000-0000DA010000}"/>
    <cellStyle name="アクセント 2 3 6" xfId="476" xr:uid="{00000000-0005-0000-0000-0000DB010000}"/>
    <cellStyle name="アクセント 2 4" xfId="477" xr:uid="{00000000-0005-0000-0000-0000DC010000}"/>
    <cellStyle name="アクセント 2 4 2" xfId="478" xr:uid="{00000000-0005-0000-0000-0000DD010000}"/>
    <cellStyle name="アクセント 2 4 3" xfId="479" xr:uid="{00000000-0005-0000-0000-0000DE010000}"/>
    <cellStyle name="アクセント 2 4 4" xfId="480" xr:uid="{00000000-0005-0000-0000-0000DF010000}"/>
    <cellStyle name="アクセント 2 4 5" xfId="481" xr:uid="{00000000-0005-0000-0000-0000E0010000}"/>
    <cellStyle name="アクセント 2 4 6" xfId="482" xr:uid="{00000000-0005-0000-0000-0000E1010000}"/>
    <cellStyle name="アクセント 2 5" xfId="483" xr:uid="{00000000-0005-0000-0000-0000E2010000}"/>
    <cellStyle name="アクセント 2 6" xfId="484" xr:uid="{00000000-0005-0000-0000-0000E3010000}"/>
    <cellStyle name="アクセント 2 7" xfId="485" xr:uid="{00000000-0005-0000-0000-0000E4010000}"/>
    <cellStyle name="アクセント 2 8" xfId="486" xr:uid="{00000000-0005-0000-0000-0000E5010000}"/>
    <cellStyle name="アクセント 2 9" xfId="487" xr:uid="{00000000-0005-0000-0000-0000E6010000}"/>
    <cellStyle name="アクセント 3 10" xfId="488" xr:uid="{00000000-0005-0000-0000-0000E7010000}"/>
    <cellStyle name="アクセント 3 2" xfId="489" xr:uid="{00000000-0005-0000-0000-0000E8010000}"/>
    <cellStyle name="アクセント 3 2 2" xfId="490" xr:uid="{00000000-0005-0000-0000-0000E9010000}"/>
    <cellStyle name="アクセント 3 2 3" xfId="491" xr:uid="{00000000-0005-0000-0000-0000EA010000}"/>
    <cellStyle name="アクセント 3 2 4" xfId="492" xr:uid="{00000000-0005-0000-0000-0000EB010000}"/>
    <cellStyle name="アクセント 3 2 5" xfId="493" xr:uid="{00000000-0005-0000-0000-0000EC010000}"/>
    <cellStyle name="アクセント 3 2 6" xfId="494" xr:uid="{00000000-0005-0000-0000-0000ED010000}"/>
    <cellStyle name="アクセント 3 3" xfId="495" xr:uid="{00000000-0005-0000-0000-0000EE010000}"/>
    <cellStyle name="アクセント 3 3 2" xfId="496" xr:uid="{00000000-0005-0000-0000-0000EF010000}"/>
    <cellStyle name="アクセント 3 3 3" xfId="497" xr:uid="{00000000-0005-0000-0000-0000F0010000}"/>
    <cellStyle name="アクセント 3 3 4" xfId="498" xr:uid="{00000000-0005-0000-0000-0000F1010000}"/>
    <cellStyle name="アクセント 3 3 5" xfId="499" xr:uid="{00000000-0005-0000-0000-0000F2010000}"/>
    <cellStyle name="アクセント 3 3 6" xfId="500" xr:uid="{00000000-0005-0000-0000-0000F3010000}"/>
    <cellStyle name="アクセント 3 4" xfId="501" xr:uid="{00000000-0005-0000-0000-0000F4010000}"/>
    <cellStyle name="アクセント 3 4 2" xfId="502" xr:uid="{00000000-0005-0000-0000-0000F5010000}"/>
    <cellStyle name="アクセント 3 4 3" xfId="503" xr:uid="{00000000-0005-0000-0000-0000F6010000}"/>
    <cellStyle name="アクセント 3 4 4" xfId="504" xr:uid="{00000000-0005-0000-0000-0000F7010000}"/>
    <cellStyle name="アクセント 3 4 5" xfId="505" xr:uid="{00000000-0005-0000-0000-0000F8010000}"/>
    <cellStyle name="アクセント 3 4 6" xfId="506" xr:uid="{00000000-0005-0000-0000-0000F9010000}"/>
    <cellStyle name="アクセント 3 5" xfId="507" xr:uid="{00000000-0005-0000-0000-0000FA010000}"/>
    <cellStyle name="アクセント 3 6" xfId="508" xr:uid="{00000000-0005-0000-0000-0000FB010000}"/>
    <cellStyle name="アクセント 3 7" xfId="509" xr:uid="{00000000-0005-0000-0000-0000FC010000}"/>
    <cellStyle name="アクセント 3 8" xfId="510" xr:uid="{00000000-0005-0000-0000-0000FD010000}"/>
    <cellStyle name="アクセント 3 9" xfId="511" xr:uid="{00000000-0005-0000-0000-0000FE010000}"/>
    <cellStyle name="アクセント 4 10" xfId="512" xr:uid="{00000000-0005-0000-0000-0000FF010000}"/>
    <cellStyle name="アクセント 4 2" xfId="513" xr:uid="{00000000-0005-0000-0000-000000020000}"/>
    <cellStyle name="アクセント 4 2 2" xfId="514" xr:uid="{00000000-0005-0000-0000-000001020000}"/>
    <cellStyle name="アクセント 4 2 3" xfId="515" xr:uid="{00000000-0005-0000-0000-000002020000}"/>
    <cellStyle name="アクセント 4 2 4" xfId="516" xr:uid="{00000000-0005-0000-0000-000003020000}"/>
    <cellStyle name="アクセント 4 2 5" xfId="517" xr:uid="{00000000-0005-0000-0000-000004020000}"/>
    <cellStyle name="アクセント 4 2 6" xfId="518" xr:uid="{00000000-0005-0000-0000-000005020000}"/>
    <cellStyle name="アクセント 4 3" xfId="519" xr:uid="{00000000-0005-0000-0000-000006020000}"/>
    <cellStyle name="アクセント 4 3 2" xfId="520" xr:uid="{00000000-0005-0000-0000-000007020000}"/>
    <cellStyle name="アクセント 4 3 3" xfId="521" xr:uid="{00000000-0005-0000-0000-000008020000}"/>
    <cellStyle name="アクセント 4 3 4" xfId="522" xr:uid="{00000000-0005-0000-0000-000009020000}"/>
    <cellStyle name="アクセント 4 3 5" xfId="523" xr:uid="{00000000-0005-0000-0000-00000A020000}"/>
    <cellStyle name="アクセント 4 3 6" xfId="524" xr:uid="{00000000-0005-0000-0000-00000B020000}"/>
    <cellStyle name="アクセント 4 4" xfId="525" xr:uid="{00000000-0005-0000-0000-00000C020000}"/>
    <cellStyle name="アクセント 4 4 2" xfId="526" xr:uid="{00000000-0005-0000-0000-00000D020000}"/>
    <cellStyle name="アクセント 4 4 3" xfId="527" xr:uid="{00000000-0005-0000-0000-00000E020000}"/>
    <cellStyle name="アクセント 4 4 4" xfId="528" xr:uid="{00000000-0005-0000-0000-00000F020000}"/>
    <cellStyle name="アクセント 4 4 5" xfId="529" xr:uid="{00000000-0005-0000-0000-000010020000}"/>
    <cellStyle name="アクセント 4 4 6" xfId="530" xr:uid="{00000000-0005-0000-0000-000011020000}"/>
    <cellStyle name="アクセント 4 5" xfId="531" xr:uid="{00000000-0005-0000-0000-000012020000}"/>
    <cellStyle name="アクセント 4 6" xfId="532" xr:uid="{00000000-0005-0000-0000-000013020000}"/>
    <cellStyle name="アクセント 4 7" xfId="533" xr:uid="{00000000-0005-0000-0000-000014020000}"/>
    <cellStyle name="アクセント 4 8" xfId="534" xr:uid="{00000000-0005-0000-0000-000015020000}"/>
    <cellStyle name="アクセント 4 9" xfId="535" xr:uid="{00000000-0005-0000-0000-000016020000}"/>
    <cellStyle name="アクセント 5 10" xfId="536" xr:uid="{00000000-0005-0000-0000-000017020000}"/>
    <cellStyle name="アクセント 5 2" xfId="537" xr:uid="{00000000-0005-0000-0000-000018020000}"/>
    <cellStyle name="アクセント 5 2 2" xfId="538" xr:uid="{00000000-0005-0000-0000-000019020000}"/>
    <cellStyle name="アクセント 5 2 3" xfId="539" xr:uid="{00000000-0005-0000-0000-00001A020000}"/>
    <cellStyle name="アクセント 5 2 4" xfId="540" xr:uid="{00000000-0005-0000-0000-00001B020000}"/>
    <cellStyle name="アクセント 5 2 5" xfId="541" xr:uid="{00000000-0005-0000-0000-00001C020000}"/>
    <cellStyle name="アクセント 5 2 6" xfId="542" xr:uid="{00000000-0005-0000-0000-00001D020000}"/>
    <cellStyle name="アクセント 5 3" xfId="543" xr:uid="{00000000-0005-0000-0000-00001E020000}"/>
    <cellStyle name="アクセント 5 3 2" xfId="544" xr:uid="{00000000-0005-0000-0000-00001F020000}"/>
    <cellStyle name="アクセント 5 3 3" xfId="545" xr:uid="{00000000-0005-0000-0000-000020020000}"/>
    <cellStyle name="アクセント 5 3 4" xfId="546" xr:uid="{00000000-0005-0000-0000-000021020000}"/>
    <cellStyle name="アクセント 5 3 5" xfId="547" xr:uid="{00000000-0005-0000-0000-000022020000}"/>
    <cellStyle name="アクセント 5 3 6" xfId="548" xr:uid="{00000000-0005-0000-0000-000023020000}"/>
    <cellStyle name="アクセント 5 4" xfId="549" xr:uid="{00000000-0005-0000-0000-000024020000}"/>
    <cellStyle name="アクセント 5 4 2" xfId="550" xr:uid="{00000000-0005-0000-0000-000025020000}"/>
    <cellStyle name="アクセント 5 4 3" xfId="551" xr:uid="{00000000-0005-0000-0000-000026020000}"/>
    <cellStyle name="アクセント 5 4 4" xfId="552" xr:uid="{00000000-0005-0000-0000-000027020000}"/>
    <cellStyle name="アクセント 5 4 5" xfId="553" xr:uid="{00000000-0005-0000-0000-000028020000}"/>
    <cellStyle name="アクセント 5 4 6" xfId="554" xr:uid="{00000000-0005-0000-0000-000029020000}"/>
    <cellStyle name="アクセント 5 5" xfId="555" xr:uid="{00000000-0005-0000-0000-00002A020000}"/>
    <cellStyle name="アクセント 5 6" xfId="556" xr:uid="{00000000-0005-0000-0000-00002B020000}"/>
    <cellStyle name="アクセント 5 7" xfId="557" xr:uid="{00000000-0005-0000-0000-00002C020000}"/>
    <cellStyle name="アクセント 5 8" xfId="558" xr:uid="{00000000-0005-0000-0000-00002D020000}"/>
    <cellStyle name="アクセント 5 9" xfId="559" xr:uid="{00000000-0005-0000-0000-00002E020000}"/>
    <cellStyle name="アクセント 6 10" xfId="560" xr:uid="{00000000-0005-0000-0000-00002F020000}"/>
    <cellStyle name="アクセント 6 2" xfId="561" xr:uid="{00000000-0005-0000-0000-000030020000}"/>
    <cellStyle name="アクセント 6 2 2" xfId="562" xr:uid="{00000000-0005-0000-0000-000031020000}"/>
    <cellStyle name="アクセント 6 2 3" xfId="563" xr:uid="{00000000-0005-0000-0000-000032020000}"/>
    <cellStyle name="アクセント 6 2 4" xfId="564" xr:uid="{00000000-0005-0000-0000-000033020000}"/>
    <cellStyle name="アクセント 6 2 5" xfId="565" xr:uid="{00000000-0005-0000-0000-000034020000}"/>
    <cellStyle name="アクセント 6 2 6" xfId="566" xr:uid="{00000000-0005-0000-0000-000035020000}"/>
    <cellStyle name="アクセント 6 3" xfId="567" xr:uid="{00000000-0005-0000-0000-000036020000}"/>
    <cellStyle name="アクセント 6 3 2" xfId="568" xr:uid="{00000000-0005-0000-0000-000037020000}"/>
    <cellStyle name="アクセント 6 3 3" xfId="569" xr:uid="{00000000-0005-0000-0000-000038020000}"/>
    <cellStyle name="アクセント 6 3 4" xfId="570" xr:uid="{00000000-0005-0000-0000-000039020000}"/>
    <cellStyle name="アクセント 6 3 5" xfId="571" xr:uid="{00000000-0005-0000-0000-00003A020000}"/>
    <cellStyle name="アクセント 6 3 6" xfId="572" xr:uid="{00000000-0005-0000-0000-00003B020000}"/>
    <cellStyle name="アクセント 6 4" xfId="573" xr:uid="{00000000-0005-0000-0000-00003C020000}"/>
    <cellStyle name="アクセント 6 4 2" xfId="574" xr:uid="{00000000-0005-0000-0000-00003D020000}"/>
    <cellStyle name="アクセント 6 4 3" xfId="575" xr:uid="{00000000-0005-0000-0000-00003E020000}"/>
    <cellStyle name="アクセント 6 4 4" xfId="576" xr:uid="{00000000-0005-0000-0000-00003F020000}"/>
    <cellStyle name="アクセント 6 4 5" xfId="577" xr:uid="{00000000-0005-0000-0000-000040020000}"/>
    <cellStyle name="アクセント 6 4 6" xfId="578" xr:uid="{00000000-0005-0000-0000-000041020000}"/>
    <cellStyle name="アクセント 6 5" xfId="579" xr:uid="{00000000-0005-0000-0000-000042020000}"/>
    <cellStyle name="アクセント 6 6" xfId="580" xr:uid="{00000000-0005-0000-0000-000043020000}"/>
    <cellStyle name="アクセント 6 7" xfId="581" xr:uid="{00000000-0005-0000-0000-000044020000}"/>
    <cellStyle name="アクセント 6 8" xfId="582" xr:uid="{00000000-0005-0000-0000-000045020000}"/>
    <cellStyle name="アクセント 6 9" xfId="583" xr:uid="{00000000-0005-0000-0000-000046020000}"/>
    <cellStyle name="システム名" xfId="584" xr:uid="{00000000-0005-0000-0000-000047020000}"/>
    <cellStyle name="スタイル 1" xfId="585" xr:uid="{00000000-0005-0000-0000-000048020000}"/>
    <cellStyle name="タイトル 10" xfId="586" xr:uid="{00000000-0005-0000-0000-000049020000}"/>
    <cellStyle name="タイトル 2" xfId="587" xr:uid="{00000000-0005-0000-0000-00004A020000}"/>
    <cellStyle name="タイトル 2 10" xfId="588" xr:uid="{00000000-0005-0000-0000-00004B020000}"/>
    <cellStyle name="タイトル 2 11" xfId="589" xr:uid="{00000000-0005-0000-0000-00004C020000}"/>
    <cellStyle name="タイトル 2 12" xfId="590" xr:uid="{00000000-0005-0000-0000-00004D020000}"/>
    <cellStyle name="タイトル 2 2" xfId="591" xr:uid="{00000000-0005-0000-0000-00004E020000}"/>
    <cellStyle name="タイトル 2 2 2" xfId="592" xr:uid="{00000000-0005-0000-0000-00004F020000}"/>
    <cellStyle name="タイトル 2 3" xfId="593" xr:uid="{00000000-0005-0000-0000-000050020000}"/>
    <cellStyle name="タイトル 2 3 2" xfId="594" xr:uid="{00000000-0005-0000-0000-000051020000}"/>
    <cellStyle name="タイトル 2 4" xfId="595" xr:uid="{00000000-0005-0000-0000-000052020000}"/>
    <cellStyle name="タイトル 2 4 2" xfId="596" xr:uid="{00000000-0005-0000-0000-000053020000}"/>
    <cellStyle name="タイトル 2 5" xfId="597" xr:uid="{00000000-0005-0000-0000-000054020000}"/>
    <cellStyle name="タイトル 2 5 2" xfId="598" xr:uid="{00000000-0005-0000-0000-000055020000}"/>
    <cellStyle name="タイトル 2 6" xfId="599" xr:uid="{00000000-0005-0000-0000-000056020000}"/>
    <cellStyle name="タイトル 2 6 2" xfId="600" xr:uid="{00000000-0005-0000-0000-000057020000}"/>
    <cellStyle name="タイトル 2 7" xfId="601" xr:uid="{00000000-0005-0000-0000-000058020000}"/>
    <cellStyle name="タイトル 2 8" xfId="602" xr:uid="{00000000-0005-0000-0000-000059020000}"/>
    <cellStyle name="タイトル 2 9" xfId="603" xr:uid="{00000000-0005-0000-0000-00005A020000}"/>
    <cellStyle name="タイトル 3" xfId="604" xr:uid="{00000000-0005-0000-0000-00005B020000}"/>
    <cellStyle name="タイトル 3 2" xfId="605" xr:uid="{00000000-0005-0000-0000-00005C020000}"/>
    <cellStyle name="タイトル 3 2 2" xfId="606" xr:uid="{00000000-0005-0000-0000-00005D020000}"/>
    <cellStyle name="タイトル 3 3" xfId="607" xr:uid="{00000000-0005-0000-0000-00005E020000}"/>
    <cellStyle name="タイトル 3 3 2" xfId="608" xr:uid="{00000000-0005-0000-0000-00005F020000}"/>
    <cellStyle name="タイトル 3 4" xfId="609" xr:uid="{00000000-0005-0000-0000-000060020000}"/>
    <cellStyle name="タイトル 3 4 2" xfId="610" xr:uid="{00000000-0005-0000-0000-000061020000}"/>
    <cellStyle name="タイトル 3 5" xfId="611" xr:uid="{00000000-0005-0000-0000-000062020000}"/>
    <cellStyle name="タイトル 3 5 2" xfId="612" xr:uid="{00000000-0005-0000-0000-000063020000}"/>
    <cellStyle name="タイトル 3 6" xfId="613" xr:uid="{00000000-0005-0000-0000-000064020000}"/>
    <cellStyle name="タイトル 3 6 2" xfId="614" xr:uid="{00000000-0005-0000-0000-000065020000}"/>
    <cellStyle name="タイトル 3 7" xfId="615" xr:uid="{00000000-0005-0000-0000-000066020000}"/>
    <cellStyle name="タイトル 3 8" xfId="616" xr:uid="{00000000-0005-0000-0000-000067020000}"/>
    <cellStyle name="タイトル 4" xfId="617" xr:uid="{00000000-0005-0000-0000-000068020000}"/>
    <cellStyle name="タイトル 4 2" xfId="618" xr:uid="{00000000-0005-0000-0000-000069020000}"/>
    <cellStyle name="タイトル 4 2 2" xfId="619" xr:uid="{00000000-0005-0000-0000-00006A020000}"/>
    <cellStyle name="タイトル 4 3" xfId="620" xr:uid="{00000000-0005-0000-0000-00006B020000}"/>
    <cellStyle name="タイトル 4 3 2" xfId="621" xr:uid="{00000000-0005-0000-0000-00006C020000}"/>
    <cellStyle name="タイトル 4 4" xfId="622" xr:uid="{00000000-0005-0000-0000-00006D020000}"/>
    <cellStyle name="タイトル 4 4 2" xfId="623" xr:uid="{00000000-0005-0000-0000-00006E020000}"/>
    <cellStyle name="タイトル 4 5" xfId="624" xr:uid="{00000000-0005-0000-0000-00006F020000}"/>
    <cellStyle name="タイトル 4 5 2" xfId="625" xr:uid="{00000000-0005-0000-0000-000070020000}"/>
    <cellStyle name="タイトル 4 6" xfId="626" xr:uid="{00000000-0005-0000-0000-000071020000}"/>
    <cellStyle name="タイトル 4 6 2" xfId="627" xr:uid="{00000000-0005-0000-0000-000072020000}"/>
    <cellStyle name="タイトル 4 7" xfId="628" xr:uid="{00000000-0005-0000-0000-000073020000}"/>
    <cellStyle name="タイトル 4 8" xfId="629" xr:uid="{00000000-0005-0000-0000-000074020000}"/>
    <cellStyle name="タイトル 5" xfId="630" xr:uid="{00000000-0005-0000-0000-000075020000}"/>
    <cellStyle name="タイトル 5 2" xfId="631" xr:uid="{00000000-0005-0000-0000-000076020000}"/>
    <cellStyle name="タイトル 5 3" xfId="632" xr:uid="{00000000-0005-0000-0000-000077020000}"/>
    <cellStyle name="タイトル 5 4" xfId="633" xr:uid="{00000000-0005-0000-0000-000078020000}"/>
    <cellStyle name="タイトル 5 5" xfId="634" xr:uid="{00000000-0005-0000-0000-000079020000}"/>
    <cellStyle name="タイトル 5 6" xfId="635" xr:uid="{00000000-0005-0000-0000-00007A020000}"/>
    <cellStyle name="タイトル 5 7" xfId="636" xr:uid="{00000000-0005-0000-0000-00007B020000}"/>
    <cellStyle name="タイトル 5 8" xfId="637" xr:uid="{00000000-0005-0000-0000-00007C020000}"/>
    <cellStyle name="タイトル 6" xfId="638" xr:uid="{00000000-0005-0000-0000-00007D020000}"/>
    <cellStyle name="タイトル 6 2" xfId="639" xr:uid="{00000000-0005-0000-0000-00007E020000}"/>
    <cellStyle name="タイトル 6 3" xfId="640" xr:uid="{00000000-0005-0000-0000-00007F020000}"/>
    <cellStyle name="タイトル 6 4" xfId="641" xr:uid="{00000000-0005-0000-0000-000080020000}"/>
    <cellStyle name="タイトル 6 5" xfId="642" xr:uid="{00000000-0005-0000-0000-000081020000}"/>
    <cellStyle name="タイトル 6 6" xfId="643" xr:uid="{00000000-0005-0000-0000-000082020000}"/>
    <cellStyle name="タイトル 6 7" xfId="644" xr:uid="{00000000-0005-0000-0000-000083020000}"/>
    <cellStyle name="タイトル 6 8" xfId="645" xr:uid="{00000000-0005-0000-0000-000084020000}"/>
    <cellStyle name="タイトル 7" xfId="646" xr:uid="{00000000-0005-0000-0000-000085020000}"/>
    <cellStyle name="タイトル 8" xfId="647" xr:uid="{00000000-0005-0000-0000-000086020000}"/>
    <cellStyle name="タイトル 9" xfId="648" xr:uid="{00000000-0005-0000-0000-000087020000}"/>
    <cellStyle name="チェック セル 10" xfId="649" xr:uid="{00000000-0005-0000-0000-000088020000}"/>
    <cellStyle name="チェック セル 2" xfId="650" xr:uid="{00000000-0005-0000-0000-000089020000}"/>
    <cellStyle name="チェック セル 2 2" xfId="651" xr:uid="{00000000-0005-0000-0000-00008A020000}"/>
    <cellStyle name="チェック セル 2 3" xfId="652" xr:uid="{00000000-0005-0000-0000-00008B020000}"/>
    <cellStyle name="チェック セル 2 4" xfId="653" xr:uid="{00000000-0005-0000-0000-00008C020000}"/>
    <cellStyle name="チェック セル 2 5" xfId="654" xr:uid="{00000000-0005-0000-0000-00008D020000}"/>
    <cellStyle name="チェック セル 2 6" xfId="655" xr:uid="{00000000-0005-0000-0000-00008E020000}"/>
    <cellStyle name="チェック セル 3" xfId="656" xr:uid="{00000000-0005-0000-0000-00008F020000}"/>
    <cellStyle name="チェック セル 3 2" xfId="657" xr:uid="{00000000-0005-0000-0000-000090020000}"/>
    <cellStyle name="チェック セル 3 3" xfId="658" xr:uid="{00000000-0005-0000-0000-000091020000}"/>
    <cellStyle name="チェック セル 3 4" xfId="659" xr:uid="{00000000-0005-0000-0000-000092020000}"/>
    <cellStyle name="チェック セル 3 5" xfId="660" xr:uid="{00000000-0005-0000-0000-000093020000}"/>
    <cellStyle name="チェック セル 3 6" xfId="661" xr:uid="{00000000-0005-0000-0000-000094020000}"/>
    <cellStyle name="チェック セル 4" xfId="662" xr:uid="{00000000-0005-0000-0000-000095020000}"/>
    <cellStyle name="チェック セル 4 2" xfId="663" xr:uid="{00000000-0005-0000-0000-000096020000}"/>
    <cellStyle name="チェック セル 4 3" xfId="664" xr:uid="{00000000-0005-0000-0000-000097020000}"/>
    <cellStyle name="チェック セル 4 4" xfId="665" xr:uid="{00000000-0005-0000-0000-000098020000}"/>
    <cellStyle name="チェック セル 4 5" xfId="666" xr:uid="{00000000-0005-0000-0000-000099020000}"/>
    <cellStyle name="チェック セル 4 6" xfId="667" xr:uid="{00000000-0005-0000-0000-00009A020000}"/>
    <cellStyle name="チェック セル 5" xfId="668" xr:uid="{00000000-0005-0000-0000-00009B020000}"/>
    <cellStyle name="チェック セル 6" xfId="669" xr:uid="{00000000-0005-0000-0000-00009C020000}"/>
    <cellStyle name="チェック セル 7" xfId="670" xr:uid="{00000000-0005-0000-0000-00009D020000}"/>
    <cellStyle name="チェック セル 8" xfId="671" xr:uid="{00000000-0005-0000-0000-00009E020000}"/>
    <cellStyle name="チェック セル 9" xfId="672" xr:uid="{00000000-0005-0000-0000-00009F020000}"/>
    <cellStyle name="テストスタイル" xfId="673" xr:uid="{00000000-0005-0000-0000-0000A0020000}"/>
    <cellStyle name="テストデータ表ヘッダ行" xfId="674" xr:uid="{00000000-0005-0000-0000-0000A1020000}"/>
    <cellStyle name="テスト観点ヘッダ行" xfId="675" xr:uid="{00000000-0005-0000-0000-0000A2020000}"/>
    <cellStyle name="テスト項目ヘッダ行" xfId="676" xr:uid="{00000000-0005-0000-0000-0000A3020000}"/>
    <cellStyle name="どちらでもない 10" xfId="677" xr:uid="{00000000-0005-0000-0000-0000A4020000}"/>
    <cellStyle name="どちらでもない 2" xfId="678" xr:uid="{00000000-0005-0000-0000-0000A5020000}"/>
    <cellStyle name="どちらでもない 2 2" xfId="679" xr:uid="{00000000-0005-0000-0000-0000A6020000}"/>
    <cellStyle name="どちらでもない 2 3" xfId="680" xr:uid="{00000000-0005-0000-0000-0000A7020000}"/>
    <cellStyle name="どちらでもない 2 4" xfId="681" xr:uid="{00000000-0005-0000-0000-0000A8020000}"/>
    <cellStyle name="どちらでもない 2 5" xfId="682" xr:uid="{00000000-0005-0000-0000-0000A9020000}"/>
    <cellStyle name="どちらでもない 2 6" xfId="683" xr:uid="{00000000-0005-0000-0000-0000AA020000}"/>
    <cellStyle name="どちらでもない 3" xfId="684" xr:uid="{00000000-0005-0000-0000-0000AB020000}"/>
    <cellStyle name="どちらでもない 3 2" xfId="685" xr:uid="{00000000-0005-0000-0000-0000AC020000}"/>
    <cellStyle name="どちらでもない 3 3" xfId="686" xr:uid="{00000000-0005-0000-0000-0000AD020000}"/>
    <cellStyle name="どちらでもない 3 4" xfId="687" xr:uid="{00000000-0005-0000-0000-0000AE020000}"/>
    <cellStyle name="どちらでもない 3 5" xfId="688" xr:uid="{00000000-0005-0000-0000-0000AF020000}"/>
    <cellStyle name="どちらでもない 3 6" xfId="689" xr:uid="{00000000-0005-0000-0000-0000B0020000}"/>
    <cellStyle name="どちらでもない 4" xfId="690" xr:uid="{00000000-0005-0000-0000-0000B1020000}"/>
    <cellStyle name="どちらでもない 4 2" xfId="691" xr:uid="{00000000-0005-0000-0000-0000B2020000}"/>
    <cellStyle name="どちらでもない 4 3" xfId="692" xr:uid="{00000000-0005-0000-0000-0000B3020000}"/>
    <cellStyle name="どちらでもない 4 4" xfId="693" xr:uid="{00000000-0005-0000-0000-0000B4020000}"/>
    <cellStyle name="どちらでもない 4 5" xfId="694" xr:uid="{00000000-0005-0000-0000-0000B5020000}"/>
    <cellStyle name="どちらでもない 4 6" xfId="695" xr:uid="{00000000-0005-0000-0000-0000B6020000}"/>
    <cellStyle name="どちらでもない 5" xfId="696" xr:uid="{00000000-0005-0000-0000-0000B7020000}"/>
    <cellStyle name="どちらでもない 6" xfId="697" xr:uid="{00000000-0005-0000-0000-0000B8020000}"/>
    <cellStyle name="どちらでもない 7" xfId="698" xr:uid="{00000000-0005-0000-0000-0000B9020000}"/>
    <cellStyle name="どちらでもない 8" xfId="699" xr:uid="{00000000-0005-0000-0000-0000BA020000}"/>
    <cellStyle name="どちらでもない 9" xfId="700" xr:uid="{00000000-0005-0000-0000-0000BB020000}"/>
    <cellStyle name="パーセント 2" xfId="701" xr:uid="{00000000-0005-0000-0000-0000BC020000}"/>
    <cellStyle name="バグ数" xfId="702" xr:uid="{00000000-0005-0000-0000-0000BD020000}"/>
    <cellStyle name="メモ 10" xfId="703" xr:uid="{00000000-0005-0000-0000-0000BE020000}"/>
    <cellStyle name="メモ 2" xfId="704" xr:uid="{00000000-0005-0000-0000-0000BF020000}"/>
    <cellStyle name="メモ 2 2" xfId="705" xr:uid="{00000000-0005-0000-0000-0000C0020000}"/>
    <cellStyle name="メモ 2 3" xfId="706" xr:uid="{00000000-0005-0000-0000-0000C1020000}"/>
    <cellStyle name="メモ 2 4" xfId="707" xr:uid="{00000000-0005-0000-0000-0000C2020000}"/>
    <cellStyle name="メモ 2 5" xfId="708" xr:uid="{00000000-0005-0000-0000-0000C3020000}"/>
    <cellStyle name="メモ 2 6" xfId="709" xr:uid="{00000000-0005-0000-0000-0000C4020000}"/>
    <cellStyle name="メモ 3" xfId="710" xr:uid="{00000000-0005-0000-0000-0000C5020000}"/>
    <cellStyle name="メモ 3 2" xfId="711" xr:uid="{00000000-0005-0000-0000-0000C6020000}"/>
    <cellStyle name="メモ 3 3" xfId="712" xr:uid="{00000000-0005-0000-0000-0000C7020000}"/>
    <cellStyle name="メモ 3 4" xfId="713" xr:uid="{00000000-0005-0000-0000-0000C8020000}"/>
    <cellStyle name="メモ 3 5" xfId="714" xr:uid="{00000000-0005-0000-0000-0000C9020000}"/>
    <cellStyle name="メモ 3 6" xfId="715" xr:uid="{00000000-0005-0000-0000-0000CA020000}"/>
    <cellStyle name="メモ 4" xfId="716" xr:uid="{00000000-0005-0000-0000-0000CB020000}"/>
    <cellStyle name="メモ 4 2" xfId="717" xr:uid="{00000000-0005-0000-0000-0000CC020000}"/>
    <cellStyle name="メモ 4 3" xfId="718" xr:uid="{00000000-0005-0000-0000-0000CD020000}"/>
    <cellStyle name="メモ 4 4" xfId="719" xr:uid="{00000000-0005-0000-0000-0000CE020000}"/>
    <cellStyle name="メモ 4 5" xfId="720" xr:uid="{00000000-0005-0000-0000-0000CF020000}"/>
    <cellStyle name="メモ 4 6" xfId="721" xr:uid="{00000000-0005-0000-0000-0000D0020000}"/>
    <cellStyle name="メモ 5" xfId="722" xr:uid="{00000000-0005-0000-0000-0000D1020000}"/>
    <cellStyle name="メモ 6" xfId="723" xr:uid="{00000000-0005-0000-0000-0000D2020000}"/>
    <cellStyle name="メモ 7" xfId="724" xr:uid="{00000000-0005-0000-0000-0000D3020000}"/>
    <cellStyle name="メモ 8" xfId="725" xr:uid="{00000000-0005-0000-0000-0000D4020000}"/>
    <cellStyle name="メモ 9" xfId="726" xr:uid="{00000000-0005-0000-0000-0000D5020000}"/>
    <cellStyle name="リンク セル 10" xfId="727" xr:uid="{00000000-0005-0000-0000-0000D6020000}"/>
    <cellStyle name="リンク セル 2" xfId="728" xr:uid="{00000000-0005-0000-0000-0000D7020000}"/>
    <cellStyle name="リンク セル 2 2" xfId="729" xr:uid="{00000000-0005-0000-0000-0000D8020000}"/>
    <cellStyle name="リンク セル 2 3" xfId="730" xr:uid="{00000000-0005-0000-0000-0000D9020000}"/>
    <cellStyle name="リンク セル 2 4" xfId="731" xr:uid="{00000000-0005-0000-0000-0000DA020000}"/>
    <cellStyle name="リンク セル 2 5" xfId="732" xr:uid="{00000000-0005-0000-0000-0000DB020000}"/>
    <cellStyle name="リンク セル 2 6" xfId="733" xr:uid="{00000000-0005-0000-0000-0000DC020000}"/>
    <cellStyle name="リンク セル 3" xfId="734" xr:uid="{00000000-0005-0000-0000-0000DD020000}"/>
    <cellStyle name="リンク セル 3 2" xfId="735" xr:uid="{00000000-0005-0000-0000-0000DE020000}"/>
    <cellStyle name="リンク セル 3 3" xfId="736" xr:uid="{00000000-0005-0000-0000-0000DF020000}"/>
    <cellStyle name="リンク セル 3 4" xfId="737" xr:uid="{00000000-0005-0000-0000-0000E0020000}"/>
    <cellStyle name="リンク セル 3 5" xfId="738" xr:uid="{00000000-0005-0000-0000-0000E1020000}"/>
    <cellStyle name="リンク セル 3 6" xfId="739" xr:uid="{00000000-0005-0000-0000-0000E2020000}"/>
    <cellStyle name="リンク セル 4" xfId="740" xr:uid="{00000000-0005-0000-0000-0000E3020000}"/>
    <cellStyle name="リンク セル 4 2" xfId="741" xr:uid="{00000000-0005-0000-0000-0000E4020000}"/>
    <cellStyle name="リンク セル 4 3" xfId="742" xr:uid="{00000000-0005-0000-0000-0000E5020000}"/>
    <cellStyle name="リンク セル 4 4" xfId="743" xr:uid="{00000000-0005-0000-0000-0000E6020000}"/>
    <cellStyle name="リンク セル 4 5" xfId="744" xr:uid="{00000000-0005-0000-0000-0000E7020000}"/>
    <cellStyle name="リンク セル 4 6" xfId="745" xr:uid="{00000000-0005-0000-0000-0000E8020000}"/>
    <cellStyle name="リンク セル 5" xfId="746" xr:uid="{00000000-0005-0000-0000-0000E9020000}"/>
    <cellStyle name="リンク セル 6" xfId="747" xr:uid="{00000000-0005-0000-0000-0000EA020000}"/>
    <cellStyle name="リンク セル 7" xfId="748" xr:uid="{00000000-0005-0000-0000-0000EB020000}"/>
    <cellStyle name="リンク セル 8" xfId="749" xr:uid="{00000000-0005-0000-0000-0000EC020000}"/>
    <cellStyle name="リンク セル 9" xfId="750" xr:uid="{00000000-0005-0000-0000-0000ED020000}"/>
    <cellStyle name="悪い 10" xfId="751" xr:uid="{00000000-0005-0000-0000-0000EE020000}"/>
    <cellStyle name="悪い 2" xfId="752" xr:uid="{00000000-0005-0000-0000-0000EF020000}"/>
    <cellStyle name="悪い 2 2" xfId="753" xr:uid="{00000000-0005-0000-0000-0000F0020000}"/>
    <cellStyle name="悪い 2 3" xfId="754" xr:uid="{00000000-0005-0000-0000-0000F1020000}"/>
    <cellStyle name="悪い 2 4" xfId="755" xr:uid="{00000000-0005-0000-0000-0000F2020000}"/>
    <cellStyle name="悪い 2 5" xfId="756" xr:uid="{00000000-0005-0000-0000-0000F3020000}"/>
    <cellStyle name="悪い 2 6" xfId="757" xr:uid="{00000000-0005-0000-0000-0000F4020000}"/>
    <cellStyle name="悪い 3" xfId="758" xr:uid="{00000000-0005-0000-0000-0000F5020000}"/>
    <cellStyle name="悪い 3 2" xfId="759" xr:uid="{00000000-0005-0000-0000-0000F6020000}"/>
    <cellStyle name="悪い 3 3" xfId="760" xr:uid="{00000000-0005-0000-0000-0000F7020000}"/>
    <cellStyle name="悪い 3 4" xfId="761" xr:uid="{00000000-0005-0000-0000-0000F8020000}"/>
    <cellStyle name="悪い 3 5" xfId="762" xr:uid="{00000000-0005-0000-0000-0000F9020000}"/>
    <cellStyle name="悪い 3 6" xfId="763" xr:uid="{00000000-0005-0000-0000-0000FA020000}"/>
    <cellStyle name="悪い 4" xfId="764" xr:uid="{00000000-0005-0000-0000-0000FB020000}"/>
    <cellStyle name="悪い 4 2" xfId="765" xr:uid="{00000000-0005-0000-0000-0000FC020000}"/>
    <cellStyle name="悪い 4 3" xfId="766" xr:uid="{00000000-0005-0000-0000-0000FD020000}"/>
    <cellStyle name="悪い 4 4" xfId="767" xr:uid="{00000000-0005-0000-0000-0000FE020000}"/>
    <cellStyle name="悪い 4 5" xfId="768" xr:uid="{00000000-0005-0000-0000-0000FF020000}"/>
    <cellStyle name="悪い 4 6" xfId="769" xr:uid="{00000000-0005-0000-0000-000000030000}"/>
    <cellStyle name="悪い 5" xfId="770" xr:uid="{00000000-0005-0000-0000-000001030000}"/>
    <cellStyle name="悪い 6" xfId="771" xr:uid="{00000000-0005-0000-0000-000002030000}"/>
    <cellStyle name="悪い 7" xfId="772" xr:uid="{00000000-0005-0000-0000-000003030000}"/>
    <cellStyle name="悪い 8" xfId="773" xr:uid="{00000000-0005-0000-0000-000004030000}"/>
    <cellStyle name="悪い 9" xfId="774" xr:uid="{00000000-0005-0000-0000-000005030000}"/>
    <cellStyle name="隠しセル" xfId="775" xr:uid="{00000000-0005-0000-0000-000006030000}"/>
    <cellStyle name="期待値表_ヘッダ項目" xfId="776" xr:uid="{00000000-0005-0000-0000-000007030000}"/>
    <cellStyle name="区分名" xfId="777" xr:uid="{00000000-0005-0000-0000-000008030000}"/>
    <cellStyle name="計算 10" xfId="778" xr:uid="{00000000-0005-0000-0000-000009030000}"/>
    <cellStyle name="計算 2" xfId="779" xr:uid="{00000000-0005-0000-0000-00000A030000}"/>
    <cellStyle name="計算 2 2" xfId="780" xr:uid="{00000000-0005-0000-0000-00000B030000}"/>
    <cellStyle name="計算 2 3" xfId="781" xr:uid="{00000000-0005-0000-0000-00000C030000}"/>
    <cellStyle name="計算 2 4" xfId="782" xr:uid="{00000000-0005-0000-0000-00000D030000}"/>
    <cellStyle name="計算 2 5" xfId="783" xr:uid="{00000000-0005-0000-0000-00000E030000}"/>
    <cellStyle name="計算 2 6" xfId="784" xr:uid="{00000000-0005-0000-0000-00000F030000}"/>
    <cellStyle name="計算 3" xfId="785" xr:uid="{00000000-0005-0000-0000-000010030000}"/>
    <cellStyle name="計算 3 2" xfId="786" xr:uid="{00000000-0005-0000-0000-000011030000}"/>
    <cellStyle name="計算 3 3" xfId="787" xr:uid="{00000000-0005-0000-0000-000012030000}"/>
    <cellStyle name="計算 3 4" xfId="788" xr:uid="{00000000-0005-0000-0000-000013030000}"/>
    <cellStyle name="計算 3 5" xfId="789" xr:uid="{00000000-0005-0000-0000-000014030000}"/>
    <cellStyle name="計算 3 6" xfId="790" xr:uid="{00000000-0005-0000-0000-000015030000}"/>
    <cellStyle name="計算 4" xfId="791" xr:uid="{00000000-0005-0000-0000-000016030000}"/>
    <cellStyle name="計算 4 2" xfId="792" xr:uid="{00000000-0005-0000-0000-000017030000}"/>
    <cellStyle name="計算 4 3" xfId="793" xr:uid="{00000000-0005-0000-0000-000018030000}"/>
    <cellStyle name="計算 4 4" xfId="794" xr:uid="{00000000-0005-0000-0000-000019030000}"/>
    <cellStyle name="計算 4 5" xfId="795" xr:uid="{00000000-0005-0000-0000-00001A030000}"/>
    <cellStyle name="計算 4 6" xfId="796" xr:uid="{00000000-0005-0000-0000-00001B030000}"/>
    <cellStyle name="計算 5" xfId="797" xr:uid="{00000000-0005-0000-0000-00001C030000}"/>
    <cellStyle name="計算 6" xfId="798" xr:uid="{00000000-0005-0000-0000-00001D030000}"/>
    <cellStyle name="計算 7" xfId="799" xr:uid="{00000000-0005-0000-0000-00001E030000}"/>
    <cellStyle name="計算 8" xfId="800" xr:uid="{00000000-0005-0000-0000-00001F030000}"/>
    <cellStyle name="計算 9" xfId="801" xr:uid="{00000000-0005-0000-0000-000020030000}"/>
    <cellStyle name="警告文 10" xfId="802" xr:uid="{00000000-0005-0000-0000-000021030000}"/>
    <cellStyle name="警告文 2" xfId="803" xr:uid="{00000000-0005-0000-0000-000022030000}"/>
    <cellStyle name="警告文 2 2" xfId="804" xr:uid="{00000000-0005-0000-0000-000023030000}"/>
    <cellStyle name="警告文 2 3" xfId="805" xr:uid="{00000000-0005-0000-0000-000024030000}"/>
    <cellStyle name="警告文 2 4" xfId="806" xr:uid="{00000000-0005-0000-0000-000025030000}"/>
    <cellStyle name="警告文 2 5" xfId="807" xr:uid="{00000000-0005-0000-0000-000026030000}"/>
    <cellStyle name="警告文 2 6" xfId="808" xr:uid="{00000000-0005-0000-0000-000027030000}"/>
    <cellStyle name="警告文 3" xfId="809" xr:uid="{00000000-0005-0000-0000-000028030000}"/>
    <cellStyle name="警告文 3 2" xfId="810" xr:uid="{00000000-0005-0000-0000-000029030000}"/>
    <cellStyle name="警告文 3 3" xfId="811" xr:uid="{00000000-0005-0000-0000-00002A030000}"/>
    <cellStyle name="警告文 3 4" xfId="812" xr:uid="{00000000-0005-0000-0000-00002B030000}"/>
    <cellStyle name="警告文 3 5" xfId="813" xr:uid="{00000000-0005-0000-0000-00002C030000}"/>
    <cellStyle name="警告文 3 6" xfId="814" xr:uid="{00000000-0005-0000-0000-00002D030000}"/>
    <cellStyle name="警告文 4" xfId="815" xr:uid="{00000000-0005-0000-0000-00002E030000}"/>
    <cellStyle name="警告文 4 2" xfId="816" xr:uid="{00000000-0005-0000-0000-00002F030000}"/>
    <cellStyle name="警告文 4 3" xfId="817" xr:uid="{00000000-0005-0000-0000-000030030000}"/>
    <cellStyle name="警告文 4 4" xfId="818" xr:uid="{00000000-0005-0000-0000-000031030000}"/>
    <cellStyle name="警告文 4 5" xfId="819" xr:uid="{00000000-0005-0000-0000-000032030000}"/>
    <cellStyle name="警告文 4 6" xfId="820" xr:uid="{00000000-0005-0000-0000-000033030000}"/>
    <cellStyle name="警告文 5" xfId="821" xr:uid="{00000000-0005-0000-0000-000034030000}"/>
    <cellStyle name="警告文 6" xfId="822" xr:uid="{00000000-0005-0000-0000-000035030000}"/>
    <cellStyle name="警告文 7" xfId="823" xr:uid="{00000000-0005-0000-0000-000036030000}"/>
    <cellStyle name="警告文 8" xfId="824" xr:uid="{00000000-0005-0000-0000-000037030000}"/>
    <cellStyle name="警告文 9" xfId="825" xr:uid="{00000000-0005-0000-0000-000038030000}"/>
    <cellStyle name="桁区切り 2" xfId="826" xr:uid="{00000000-0005-0000-0000-000039030000}"/>
    <cellStyle name="桁区切り 3" xfId="827" xr:uid="{00000000-0005-0000-0000-00003A030000}"/>
    <cellStyle name="桁区切り 4" xfId="828" xr:uid="{00000000-0005-0000-0000-00003B030000}"/>
    <cellStyle name="月" xfId="829" xr:uid="{00000000-0005-0000-0000-00003C030000}"/>
    <cellStyle name="月２" xfId="830" xr:uid="{00000000-0005-0000-0000-00003D030000}"/>
    <cellStyle name="見出し 1 10" xfId="831" xr:uid="{00000000-0005-0000-0000-00003E030000}"/>
    <cellStyle name="見出し 1 2" xfId="832" xr:uid="{00000000-0005-0000-0000-00003F030000}"/>
    <cellStyle name="見出し 1 2 2" xfId="833" xr:uid="{00000000-0005-0000-0000-000040030000}"/>
    <cellStyle name="見出し 1 2 3" xfId="834" xr:uid="{00000000-0005-0000-0000-000041030000}"/>
    <cellStyle name="見出し 1 2 4" xfId="835" xr:uid="{00000000-0005-0000-0000-000042030000}"/>
    <cellStyle name="見出し 1 2 5" xfId="836" xr:uid="{00000000-0005-0000-0000-000043030000}"/>
    <cellStyle name="見出し 1 2 6" xfId="837" xr:uid="{00000000-0005-0000-0000-000044030000}"/>
    <cellStyle name="見出し 1 3" xfId="838" xr:uid="{00000000-0005-0000-0000-000045030000}"/>
    <cellStyle name="見出し 1 3 2" xfId="839" xr:uid="{00000000-0005-0000-0000-000046030000}"/>
    <cellStyle name="見出し 1 3 3" xfId="840" xr:uid="{00000000-0005-0000-0000-000047030000}"/>
    <cellStyle name="見出し 1 3 4" xfId="841" xr:uid="{00000000-0005-0000-0000-000048030000}"/>
    <cellStyle name="見出し 1 3 5" xfId="842" xr:uid="{00000000-0005-0000-0000-000049030000}"/>
    <cellStyle name="見出し 1 3 6" xfId="843" xr:uid="{00000000-0005-0000-0000-00004A030000}"/>
    <cellStyle name="見出し 1 4" xfId="844" xr:uid="{00000000-0005-0000-0000-00004B030000}"/>
    <cellStyle name="見出し 1 4 2" xfId="845" xr:uid="{00000000-0005-0000-0000-00004C030000}"/>
    <cellStyle name="見出し 1 4 3" xfId="846" xr:uid="{00000000-0005-0000-0000-00004D030000}"/>
    <cellStyle name="見出し 1 4 4" xfId="847" xr:uid="{00000000-0005-0000-0000-00004E030000}"/>
    <cellStyle name="見出し 1 4 5" xfId="848" xr:uid="{00000000-0005-0000-0000-00004F030000}"/>
    <cellStyle name="見出し 1 4 6" xfId="849" xr:uid="{00000000-0005-0000-0000-000050030000}"/>
    <cellStyle name="見出し 1 5" xfId="850" xr:uid="{00000000-0005-0000-0000-000051030000}"/>
    <cellStyle name="見出し 1 6" xfId="851" xr:uid="{00000000-0005-0000-0000-000052030000}"/>
    <cellStyle name="見出し 1 7" xfId="852" xr:uid="{00000000-0005-0000-0000-000053030000}"/>
    <cellStyle name="見出し 1 8" xfId="853" xr:uid="{00000000-0005-0000-0000-000054030000}"/>
    <cellStyle name="見出し 1 9" xfId="854" xr:uid="{00000000-0005-0000-0000-000055030000}"/>
    <cellStyle name="見出し 2 10" xfId="855" xr:uid="{00000000-0005-0000-0000-000056030000}"/>
    <cellStyle name="見出し 2 2" xfId="856" xr:uid="{00000000-0005-0000-0000-000057030000}"/>
    <cellStyle name="見出し 2 2 2" xfId="857" xr:uid="{00000000-0005-0000-0000-000058030000}"/>
    <cellStyle name="見出し 2 2 3" xfId="858" xr:uid="{00000000-0005-0000-0000-000059030000}"/>
    <cellStyle name="見出し 2 2 4" xfId="859" xr:uid="{00000000-0005-0000-0000-00005A030000}"/>
    <cellStyle name="見出し 2 2 5" xfId="860" xr:uid="{00000000-0005-0000-0000-00005B030000}"/>
    <cellStyle name="見出し 2 2 6" xfId="861" xr:uid="{00000000-0005-0000-0000-00005C030000}"/>
    <cellStyle name="見出し 2 3" xfId="862" xr:uid="{00000000-0005-0000-0000-00005D030000}"/>
    <cellStyle name="見出し 2 3 2" xfId="863" xr:uid="{00000000-0005-0000-0000-00005E030000}"/>
    <cellStyle name="見出し 2 3 3" xfId="864" xr:uid="{00000000-0005-0000-0000-00005F030000}"/>
    <cellStyle name="見出し 2 3 4" xfId="865" xr:uid="{00000000-0005-0000-0000-000060030000}"/>
    <cellStyle name="見出し 2 3 5" xfId="866" xr:uid="{00000000-0005-0000-0000-000061030000}"/>
    <cellStyle name="見出し 2 3 6" xfId="867" xr:uid="{00000000-0005-0000-0000-000062030000}"/>
    <cellStyle name="見出し 2 4" xfId="868" xr:uid="{00000000-0005-0000-0000-000063030000}"/>
    <cellStyle name="見出し 2 4 2" xfId="869" xr:uid="{00000000-0005-0000-0000-000064030000}"/>
    <cellStyle name="見出し 2 4 3" xfId="870" xr:uid="{00000000-0005-0000-0000-000065030000}"/>
    <cellStyle name="見出し 2 4 4" xfId="871" xr:uid="{00000000-0005-0000-0000-000066030000}"/>
    <cellStyle name="見出し 2 4 5" xfId="872" xr:uid="{00000000-0005-0000-0000-000067030000}"/>
    <cellStyle name="見出し 2 4 6" xfId="873" xr:uid="{00000000-0005-0000-0000-000068030000}"/>
    <cellStyle name="見出し 2 5" xfId="874" xr:uid="{00000000-0005-0000-0000-000069030000}"/>
    <cellStyle name="見出し 2 6" xfId="875" xr:uid="{00000000-0005-0000-0000-00006A030000}"/>
    <cellStyle name="見出し 2 7" xfId="876" xr:uid="{00000000-0005-0000-0000-00006B030000}"/>
    <cellStyle name="見出し 2 8" xfId="877" xr:uid="{00000000-0005-0000-0000-00006C030000}"/>
    <cellStyle name="見出し 2 9" xfId="878" xr:uid="{00000000-0005-0000-0000-00006D030000}"/>
    <cellStyle name="見出し 3 10" xfId="879" xr:uid="{00000000-0005-0000-0000-00006E030000}"/>
    <cellStyle name="見出し 3 2" xfId="880" xr:uid="{00000000-0005-0000-0000-00006F030000}"/>
    <cellStyle name="見出し 3 2 2" xfId="881" xr:uid="{00000000-0005-0000-0000-000070030000}"/>
    <cellStyle name="見出し 3 2 3" xfId="882" xr:uid="{00000000-0005-0000-0000-000071030000}"/>
    <cellStyle name="見出し 3 2 4" xfId="883" xr:uid="{00000000-0005-0000-0000-000072030000}"/>
    <cellStyle name="見出し 3 2 5" xfId="884" xr:uid="{00000000-0005-0000-0000-000073030000}"/>
    <cellStyle name="見出し 3 2 6" xfId="885" xr:uid="{00000000-0005-0000-0000-000074030000}"/>
    <cellStyle name="見出し 3 3" xfId="886" xr:uid="{00000000-0005-0000-0000-000075030000}"/>
    <cellStyle name="見出し 3 3 2" xfId="887" xr:uid="{00000000-0005-0000-0000-000076030000}"/>
    <cellStyle name="見出し 3 3 3" xfId="888" xr:uid="{00000000-0005-0000-0000-000077030000}"/>
    <cellStyle name="見出し 3 3 4" xfId="889" xr:uid="{00000000-0005-0000-0000-000078030000}"/>
    <cellStyle name="見出し 3 3 5" xfId="890" xr:uid="{00000000-0005-0000-0000-000079030000}"/>
    <cellStyle name="見出し 3 3 6" xfId="891" xr:uid="{00000000-0005-0000-0000-00007A030000}"/>
    <cellStyle name="見出し 3 4" xfId="892" xr:uid="{00000000-0005-0000-0000-00007B030000}"/>
    <cellStyle name="見出し 3 4 2" xfId="893" xr:uid="{00000000-0005-0000-0000-00007C030000}"/>
    <cellStyle name="見出し 3 4 3" xfId="894" xr:uid="{00000000-0005-0000-0000-00007D030000}"/>
    <cellStyle name="見出し 3 4 4" xfId="895" xr:uid="{00000000-0005-0000-0000-00007E030000}"/>
    <cellStyle name="見出し 3 4 5" xfId="896" xr:uid="{00000000-0005-0000-0000-00007F030000}"/>
    <cellStyle name="見出し 3 4 6" xfId="897" xr:uid="{00000000-0005-0000-0000-000080030000}"/>
    <cellStyle name="見出し 3 5" xfId="898" xr:uid="{00000000-0005-0000-0000-000081030000}"/>
    <cellStyle name="見出し 3 6" xfId="899" xr:uid="{00000000-0005-0000-0000-000082030000}"/>
    <cellStyle name="見出し 3 7" xfId="900" xr:uid="{00000000-0005-0000-0000-000083030000}"/>
    <cellStyle name="見出し 3 8" xfId="901" xr:uid="{00000000-0005-0000-0000-000084030000}"/>
    <cellStyle name="見出し 3 9" xfId="902" xr:uid="{00000000-0005-0000-0000-000085030000}"/>
    <cellStyle name="見出し 4 10" xfId="903" xr:uid="{00000000-0005-0000-0000-000086030000}"/>
    <cellStyle name="見出し 4 2" xfId="904" xr:uid="{00000000-0005-0000-0000-000087030000}"/>
    <cellStyle name="見出し 4 2 2" xfId="905" xr:uid="{00000000-0005-0000-0000-000088030000}"/>
    <cellStyle name="見出し 4 2 3" xfId="906" xr:uid="{00000000-0005-0000-0000-000089030000}"/>
    <cellStyle name="見出し 4 2 4" xfId="907" xr:uid="{00000000-0005-0000-0000-00008A030000}"/>
    <cellStyle name="見出し 4 2 5" xfId="908" xr:uid="{00000000-0005-0000-0000-00008B030000}"/>
    <cellStyle name="見出し 4 2 6" xfId="909" xr:uid="{00000000-0005-0000-0000-00008C030000}"/>
    <cellStyle name="見出し 4 3" xfId="910" xr:uid="{00000000-0005-0000-0000-00008D030000}"/>
    <cellStyle name="見出し 4 3 2" xfId="911" xr:uid="{00000000-0005-0000-0000-00008E030000}"/>
    <cellStyle name="見出し 4 3 3" xfId="912" xr:uid="{00000000-0005-0000-0000-00008F030000}"/>
    <cellStyle name="見出し 4 3 4" xfId="913" xr:uid="{00000000-0005-0000-0000-000090030000}"/>
    <cellStyle name="見出し 4 3 5" xfId="914" xr:uid="{00000000-0005-0000-0000-000091030000}"/>
    <cellStyle name="見出し 4 3 6" xfId="915" xr:uid="{00000000-0005-0000-0000-000092030000}"/>
    <cellStyle name="見出し 4 4" xfId="916" xr:uid="{00000000-0005-0000-0000-000093030000}"/>
    <cellStyle name="見出し 4 4 2" xfId="917" xr:uid="{00000000-0005-0000-0000-000094030000}"/>
    <cellStyle name="見出し 4 4 3" xfId="918" xr:uid="{00000000-0005-0000-0000-000095030000}"/>
    <cellStyle name="見出し 4 4 4" xfId="919" xr:uid="{00000000-0005-0000-0000-000096030000}"/>
    <cellStyle name="見出し 4 4 5" xfId="920" xr:uid="{00000000-0005-0000-0000-000097030000}"/>
    <cellStyle name="見出し 4 4 6" xfId="921" xr:uid="{00000000-0005-0000-0000-000098030000}"/>
    <cellStyle name="見出し 4 5" xfId="922" xr:uid="{00000000-0005-0000-0000-000099030000}"/>
    <cellStyle name="見出し 4 6" xfId="923" xr:uid="{00000000-0005-0000-0000-00009A030000}"/>
    <cellStyle name="見出し 4 7" xfId="924" xr:uid="{00000000-0005-0000-0000-00009B030000}"/>
    <cellStyle name="見出し 4 8" xfId="925" xr:uid="{00000000-0005-0000-0000-00009C030000}"/>
    <cellStyle name="見出し 4 9" xfId="926" xr:uid="{00000000-0005-0000-0000-00009D030000}"/>
    <cellStyle name="見出し１" xfId="927" xr:uid="{00000000-0005-0000-0000-00009E030000}"/>
    <cellStyle name="見出し2" xfId="928" xr:uid="{00000000-0005-0000-0000-00009F030000}"/>
    <cellStyle name="見出し3" xfId="929" xr:uid="{00000000-0005-0000-0000-0000A0030000}"/>
    <cellStyle name="項目数" xfId="930" xr:uid="{00000000-0005-0000-0000-0000A1030000}"/>
    <cellStyle name="最終ページ" xfId="931" xr:uid="{00000000-0005-0000-0000-0000A2030000}"/>
    <cellStyle name="削除エリア" xfId="932" xr:uid="{00000000-0005-0000-0000-0000A3030000}"/>
    <cellStyle name="試験項目数" xfId="933" xr:uid="{00000000-0005-0000-0000-0000A4030000}"/>
    <cellStyle name="試験進捗率" xfId="934" xr:uid="{00000000-0005-0000-0000-0000A5030000}"/>
    <cellStyle name="集計 10" xfId="935" xr:uid="{00000000-0005-0000-0000-0000A6030000}"/>
    <cellStyle name="集計 2" xfId="936" xr:uid="{00000000-0005-0000-0000-0000A7030000}"/>
    <cellStyle name="集計 2 2" xfId="937" xr:uid="{00000000-0005-0000-0000-0000A8030000}"/>
    <cellStyle name="集計 2 3" xfId="938" xr:uid="{00000000-0005-0000-0000-0000A9030000}"/>
    <cellStyle name="集計 2 4" xfId="939" xr:uid="{00000000-0005-0000-0000-0000AA030000}"/>
    <cellStyle name="集計 2 5" xfId="940" xr:uid="{00000000-0005-0000-0000-0000AB030000}"/>
    <cellStyle name="集計 2 6" xfId="941" xr:uid="{00000000-0005-0000-0000-0000AC030000}"/>
    <cellStyle name="集計 3" xfId="942" xr:uid="{00000000-0005-0000-0000-0000AD030000}"/>
    <cellStyle name="集計 3 2" xfId="943" xr:uid="{00000000-0005-0000-0000-0000AE030000}"/>
    <cellStyle name="集計 3 3" xfId="944" xr:uid="{00000000-0005-0000-0000-0000AF030000}"/>
    <cellStyle name="集計 3 4" xfId="945" xr:uid="{00000000-0005-0000-0000-0000B0030000}"/>
    <cellStyle name="集計 3 5" xfId="946" xr:uid="{00000000-0005-0000-0000-0000B1030000}"/>
    <cellStyle name="集計 3 6" xfId="947" xr:uid="{00000000-0005-0000-0000-0000B2030000}"/>
    <cellStyle name="集計 4" xfId="948" xr:uid="{00000000-0005-0000-0000-0000B3030000}"/>
    <cellStyle name="集計 4 2" xfId="949" xr:uid="{00000000-0005-0000-0000-0000B4030000}"/>
    <cellStyle name="集計 4 3" xfId="950" xr:uid="{00000000-0005-0000-0000-0000B5030000}"/>
    <cellStyle name="集計 4 4" xfId="951" xr:uid="{00000000-0005-0000-0000-0000B6030000}"/>
    <cellStyle name="集計 4 5" xfId="952" xr:uid="{00000000-0005-0000-0000-0000B7030000}"/>
    <cellStyle name="集計 4 6" xfId="953" xr:uid="{00000000-0005-0000-0000-0000B8030000}"/>
    <cellStyle name="集計 5" xfId="954" xr:uid="{00000000-0005-0000-0000-0000B9030000}"/>
    <cellStyle name="集計 6" xfId="955" xr:uid="{00000000-0005-0000-0000-0000BA030000}"/>
    <cellStyle name="集計 7" xfId="956" xr:uid="{00000000-0005-0000-0000-0000BB030000}"/>
    <cellStyle name="集計 8" xfId="957" xr:uid="{00000000-0005-0000-0000-0000BC030000}"/>
    <cellStyle name="集計 9" xfId="958" xr:uid="{00000000-0005-0000-0000-0000BD030000}"/>
    <cellStyle name="出力 10" xfId="959" xr:uid="{00000000-0005-0000-0000-0000BE030000}"/>
    <cellStyle name="出力 2" xfId="960" xr:uid="{00000000-0005-0000-0000-0000BF030000}"/>
    <cellStyle name="出力 2 2" xfId="961" xr:uid="{00000000-0005-0000-0000-0000C0030000}"/>
    <cellStyle name="出力 2 3" xfId="962" xr:uid="{00000000-0005-0000-0000-0000C1030000}"/>
    <cellStyle name="出力 2 4" xfId="963" xr:uid="{00000000-0005-0000-0000-0000C2030000}"/>
    <cellStyle name="出力 2 5" xfId="964" xr:uid="{00000000-0005-0000-0000-0000C3030000}"/>
    <cellStyle name="出力 2 6" xfId="965" xr:uid="{00000000-0005-0000-0000-0000C4030000}"/>
    <cellStyle name="出力 3" xfId="966" xr:uid="{00000000-0005-0000-0000-0000C5030000}"/>
    <cellStyle name="出力 3 2" xfId="967" xr:uid="{00000000-0005-0000-0000-0000C6030000}"/>
    <cellStyle name="出力 3 3" xfId="968" xr:uid="{00000000-0005-0000-0000-0000C7030000}"/>
    <cellStyle name="出力 3 4" xfId="969" xr:uid="{00000000-0005-0000-0000-0000C8030000}"/>
    <cellStyle name="出力 3 5" xfId="970" xr:uid="{00000000-0005-0000-0000-0000C9030000}"/>
    <cellStyle name="出力 3 6" xfId="971" xr:uid="{00000000-0005-0000-0000-0000CA030000}"/>
    <cellStyle name="出力 4" xfId="972" xr:uid="{00000000-0005-0000-0000-0000CB030000}"/>
    <cellStyle name="出力 4 2" xfId="973" xr:uid="{00000000-0005-0000-0000-0000CC030000}"/>
    <cellStyle name="出力 4 3" xfId="974" xr:uid="{00000000-0005-0000-0000-0000CD030000}"/>
    <cellStyle name="出力 4 4" xfId="975" xr:uid="{00000000-0005-0000-0000-0000CE030000}"/>
    <cellStyle name="出力 4 5" xfId="976" xr:uid="{00000000-0005-0000-0000-0000CF030000}"/>
    <cellStyle name="出力 4 6" xfId="977" xr:uid="{00000000-0005-0000-0000-0000D0030000}"/>
    <cellStyle name="出力 5" xfId="978" xr:uid="{00000000-0005-0000-0000-0000D1030000}"/>
    <cellStyle name="出力 6" xfId="979" xr:uid="{00000000-0005-0000-0000-0000D2030000}"/>
    <cellStyle name="出力 7" xfId="980" xr:uid="{00000000-0005-0000-0000-0000D3030000}"/>
    <cellStyle name="出力 8" xfId="981" xr:uid="{00000000-0005-0000-0000-0000D4030000}"/>
    <cellStyle name="出力 9" xfId="982" xr:uid="{00000000-0005-0000-0000-0000D5030000}"/>
    <cellStyle name="説明文 10" xfId="983" xr:uid="{00000000-0005-0000-0000-0000D6030000}"/>
    <cellStyle name="説明文 2" xfId="984" xr:uid="{00000000-0005-0000-0000-0000D7030000}"/>
    <cellStyle name="説明文 2 2" xfId="985" xr:uid="{00000000-0005-0000-0000-0000D8030000}"/>
    <cellStyle name="説明文 2 3" xfId="986" xr:uid="{00000000-0005-0000-0000-0000D9030000}"/>
    <cellStyle name="説明文 2 4" xfId="987" xr:uid="{00000000-0005-0000-0000-0000DA030000}"/>
    <cellStyle name="説明文 2 5" xfId="988" xr:uid="{00000000-0005-0000-0000-0000DB030000}"/>
    <cellStyle name="説明文 2 6" xfId="989" xr:uid="{00000000-0005-0000-0000-0000DC030000}"/>
    <cellStyle name="説明文 3" xfId="990" xr:uid="{00000000-0005-0000-0000-0000DD030000}"/>
    <cellStyle name="説明文 3 2" xfId="991" xr:uid="{00000000-0005-0000-0000-0000DE030000}"/>
    <cellStyle name="説明文 3 3" xfId="992" xr:uid="{00000000-0005-0000-0000-0000DF030000}"/>
    <cellStyle name="説明文 3 4" xfId="993" xr:uid="{00000000-0005-0000-0000-0000E0030000}"/>
    <cellStyle name="説明文 3 5" xfId="994" xr:uid="{00000000-0005-0000-0000-0000E1030000}"/>
    <cellStyle name="説明文 3 6" xfId="995" xr:uid="{00000000-0005-0000-0000-0000E2030000}"/>
    <cellStyle name="説明文 4" xfId="996" xr:uid="{00000000-0005-0000-0000-0000E3030000}"/>
    <cellStyle name="説明文 4 2" xfId="997" xr:uid="{00000000-0005-0000-0000-0000E4030000}"/>
    <cellStyle name="説明文 4 3" xfId="998" xr:uid="{00000000-0005-0000-0000-0000E5030000}"/>
    <cellStyle name="説明文 4 4" xfId="999" xr:uid="{00000000-0005-0000-0000-0000E6030000}"/>
    <cellStyle name="説明文 4 5" xfId="1000" xr:uid="{00000000-0005-0000-0000-0000E7030000}"/>
    <cellStyle name="説明文 4 6" xfId="1001" xr:uid="{00000000-0005-0000-0000-0000E8030000}"/>
    <cellStyle name="説明文 5" xfId="1002" xr:uid="{00000000-0005-0000-0000-0000E9030000}"/>
    <cellStyle name="説明文 6" xfId="1003" xr:uid="{00000000-0005-0000-0000-0000EA030000}"/>
    <cellStyle name="説明文 7" xfId="1004" xr:uid="{00000000-0005-0000-0000-0000EB030000}"/>
    <cellStyle name="説明文 8" xfId="1005" xr:uid="{00000000-0005-0000-0000-0000EC030000}"/>
    <cellStyle name="説明文 9" xfId="1006" xr:uid="{00000000-0005-0000-0000-0000ED030000}"/>
    <cellStyle name="日" xfId="1007" xr:uid="{00000000-0005-0000-0000-0000EE030000}"/>
    <cellStyle name="日２" xfId="1008" xr:uid="{00000000-0005-0000-0000-0000EF030000}"/>
    <cellStyle name="入力 10" xfId="1009" xr:uid="{00000000-0005-0000-0000-0000F0030000}"/>
    <cellStyle name="入力 2" xfId="1010" xr:uid="{00000000-0005-0000-0000-0000F1030000}"/>
    <cellStyle name="入力 2 2" xfId="1011" xr:uid="{00000000-0005-0000-0000-0000F2030000}"/>
    <cellStyle name="入力 2 3" xfId="1012" xr:uid="{00000000-0005-0000-0000-0000F3030000}"/>
    <cellStyle name="入力 2 4" xfId="1013" xr:uid="{00000000-0005-0000-0000-0000F4030000}"/>
    <cellStyle name="入力 2 5" xfId="1014" xr:uid="{00000000-0005-0000-0000-0000F5030000}"/>
    <cellStyle name="入力 2 6" xfId="1015" xr:uid="{00000000-0005-0000-0000-0000F6030000}"/>
    <cellStyle name="入力 3" xfId="1016" xr:uid="{00000000-0005-0000-0000-0000F7030000}"/>
    <cellStyle name="入力 3 2" xfId="1017" xr:uid="{00000000-0005-0000-0000-0000F8030000}"/>
    <cellStyle name="入力 3 3" xfId="1018" xr:uid="{00000000-0005-0000-0000-0000F9030000}"/>
    <cellStyle name="入力 3 4" xfId="1019" xr:uid="{00000000-0005-0000-0000-0000FA030000}"/>
    <cellStyle name="入力 3 5" xfId="1020" xr:uid="{00000000-0005-0000-0000-0000FB030000}"/>
    <cellStyle name="入力 3 6" xfId="1021" xr:uid="{00000000-0005-0000-0000-0000FC030000}"/>
    <cellStyle name="入力 4" xfId="1022" xr:uid="{00000000-0005-0000-0000-0000FD030000}"/>
    <cellStyle name="入力 4 2" xfId="1023" xr:uid="{00000000-0005-0000-0000-0000FE030000}"/>
    <cellStyle name="入力 4 3" xfId="1024" xr:uid="{00000000-0005-0000-0000-0000FF030000}"/>
    <cellStyle name="入力 4 4" xfId="1025" xr:uid="{00000000-0005-0000-0000-000000040000}"/>
    <cellStyle name="入力 4 5" xfId="1026" xr:uid="{00000000-0005-0000-0000-000001040000}"/>
    <cellStyle name="入力 4 6" xfId="1027" xr:uid="{00000000-0005-0000-0000-000002040000}"/>
    <cellStyle name="入力 5" xfId="1028" xr:uid="{00000000-0005-0000-0000-000003040000}"/>
    <cellStyle name="入力 6" xfId="1029" xr:uid="{00000000-0005-0000-0000-000004040000}"/>
    <cellStyle name="入力 7" xfId="1030" xr:uid="{00000000-0005-0000-0000-000005040000}"/>
    <cellStyle name="入力 8" xfId="1031" xr:uid="{00000000-0005-0000-0000-000006040000}"/>
    <cellStyle name="入力 9" xfId="1032" xr:uid="{00000000-0005-0000-0000-000007040000}"/>
    <cellStyle name="年" xfId="1033" xr:uid="{00000000-0005-0000-0000-000008040000}"/>
    <cellStyle name="年２" xfId="1034" xr:uid="{00000000-0005-0000-0000-000009040000}"/>
    <cellStyle name="標準" xfId="0" builtinId="0"/>
    <cellStyle name="標準 10" xfId="1035" xr:uid="{00000000-0005-0000-0000-00000B040000}"/>
    <cellStyle name="標準 10 10" xfId="1036" xr:uid="{00000000-0005-0000-0000-00000C040000}"/>
    <cellStyle name="標準 10 10 2" xfId="1037" xr:uid="{00000000-0005-0000-0000-00000D040000}"/>
    <cellStyle name="標準 10 11" xfId="1038" xr:uid="{00000000-0005-0000-0000-00000E040000}"/>
    <cellStyle name="標準 10 11 2" xfId="1039" xr:uid="{00000000-0005-0000-0000-00000F040000}"/>
    <cellStyle name="標準 10 12" xfId="1040" xr:uid="{00000000-0005-0000-0000-000010040000}"/>
    <cellStyle name="標準 10 12 2" xfId="1041" xr:uid="{00000000-0005-0000-0000-000011040000}"/>
    <cellStyle name="標準 10 13" xfId="1042" xr:uid="{00000000-0005-0000-0000-000012040000}"/>
    <cellStyle name="標準 10 13 2" xfId="1043" xr:uid="{00000000-0005-0000-0000-000013040000}"/>
    <cellStyle name="標準 10 14" xfId="1044" xr:uid="{00000000-0005-0000-0000-000014040000}"/>
    <cellStyle name="標準 10 14 2" xfId="1045" xr:uid="{00000000-0005-0000-0000-000015040000}"/>
    <cellStyle name="標準 10 15" xfId="1046" xr:uid="{00000000-0005-0000-0000-000016040000}"/>
    <cellStyle name="標準 10 15 2" xfId="1047" xr:uid="{00000000-0005-0000-0000-000017040000}"/>
    <cellStyle name="標準 10 16" xfId="1048" xr:uid="{00000000-0005-0000-0000-000018040000}"/>
    <cellStyle name="標準 10 16 2" xfId="1049" xr:uid="{00000000-0005-0000-0000-000019040000}"/>
    <cellStyle name="標準 10 17" xfId="1050" xr:uid="{00000000-0005-0000-0000-00001A040000}"/>
    <cellStyle name="標準 10 17 2" xfId="1051" xr:uid="{00000000-0005-0000-0000-00001B040000}"/>
    <cellStyle name="標準 10 18" xfId="1052" xr:uid="{00000000-0005-0000-0000-00001C040000}"/>
    <cellStyle name="標準 10 18 2" xfId="1053" xr:uid="{00000000-0005-0000-0000-00001D040000}"/>
    <cellStyle name="標準 10 19" xfId="1054" xr:uid="{00000000-0005-0000-0000-00001E040000}"/>
    <cellStyle name="標準 10 19 2" xfId="1055" xr:uid="{00000000-0005-0000-0000-00001F040000}"/>
    <cellStyle name="標準 10 2" xfId="1056" xr:uid="{00000000-0005-0000-0000-000020040000}"/>
    <cellStyle name="標準 10 2 2" xfId="1057" xr:uid="{00000000-0005-0000-0000-000021040000}"/>
    <cellStyle name="標準 10 2 3" xfId="1058" xr:uid="{00000000-0005-0000-0000-000022040000}"/>
    <cellStyle name="標準 10 20" xfId="1059" xr:uid="{00000000-0005-0000-0000-000023040000}"/>
    <cellStyle name="標準 10 20 2" xfId="1060" xr:uid="{00000000-0005-0000-0000-000024040000}"/>
    <cellStyle name="標準 10 21" xfId="1061" xr:uid="{00000000-0005-0000-0000-000025040000}"/>
    <cellStyle name="標準 10 21 2" xfId="1062" xr:uid="{00000000-0005-0000-0000-000026040000}"/>
    <cellStyle name="標準 10 22" xfId="1063" xr:uid="{00000000-0005-0000-0000-000027040000}"/>
    <cellStyle name="標準 10 22 2" xfId="1064" xr:uid="{00000000-0005-0000-0000-000028040000}"/>
    <cellStyle name="標準 10 23" xfId="1065" xr:uid="{00000000-0005-0000-0000-000029040000}"/>
    <cellStyle name="標準 10 23 2" xfId="1066" xr:uid="{00000000-0005-0000-0000-00002A040000}"/>
    <cellStyle name="標準 10 24" xfId="1067" xr:uid="{00000000-0005-0000-0000-00002B040000}"/>
    <cellStyle name="標準 10 24 2" xfId="1068" xr:uid="{00000000-0005-0000-0000-00002C040000}"/>
    <cellStyle name="標準 10 25" xfId="1069" xr:uid="{00000000-0005-0000-0000-00002D040000}"/>
    <cellStyle name="標準 10 25 2" xfId="1070" xr:uid="{00000000-0005-0000-0000-00002E040000}"/>
    <cellStyle name="標準 10 26" xfId="1071" xr:uid="{00000000-0005-0000-0000-00002F040000}"/>
    <cellStyle name="標準 10 26 2" xfId="1072" xr:uid="{00000000-0005-0000-0000-000030040000}"/>
    <cellStyle name="標準 10 27" xfId="1073" xr:uid="{00000000-0005-0000-0000-000031040000}"/>
    <cellStyle name="標準 10 27 2" xfId="1074" xr:uid="{00000000-0005-0000-0000-000032040000}"/>
    <cellStyle name="標準 10 28" xfId="1075" xr:uid="{00000000-0005-0000-0000-000033040000}"/>
    <cellStyle name="標準 10 28 2" xfId="1076" xr:uid="{00000000-0005-0000-0000-000034040000}"/>
    <cellStyle name="標準 10 29" xfId="1077" xr:uid="{00000000-0005-0000-0000-000035040000}"/>
    <cellStyle name="標準 10 29 2" xfId="1078" xr:uid="{00000000-0005-0000-0000-000036040000}"/>
    <cellStyle name="標準 10 3" xfId="1079" xr:uid="{00000000-0005-0000-0000-000037040000}"/>
    <cellStyle name="標準 10 3 2" xfId="1080" xr:uid="{00000000-0005-0000-0000-000038040000}"/>
    <cellStyle name="標準 10 3 3" xfId="1081" xr:uid="{00000000-0005-0000-0000-000039040000}"/>
    <cellStyle name="標準 10 30" xfId="1082" xr:uid="{00000000-0005-0000-0000-00003A040000}"/>
    <cellStyle name="標準 10 30 2" xfId="1083" xr:uid="{00000000-0005-0000-0000-00003B040000}"/>
    <cellStyle name="標準 10 31" xfId="1084" xr:uid="{00000000-0005-0000-0000-00003C040000}"/>
    <cellStyle name="標準 10 31 2" xfId="1085" xr:uid="{00000000-0005-0000-0000-00003D040000}"/>
    <cellStyle name="標準 10 32" xfId="1086" xr:uid="{00000000-0005-0000-0000-00003E040000}"/>
    <cellStyle name="標準 10 32 2" xfId="1087" xr:uid="{00000000-0005-0000-0000-00003F040000}"/>
    <cellStyle name="標準 10 33" xfId="1088" xr:uid="{00000000-0005-0000-0000-000040040000}"/>
    <cellStyle name="標準 10 33 2" xfId="1089" xr:uid="{00000000-0005-0000-0000-000041040000}"/>
    <cellStyle name="標準 10 34" xfId="1090" xr:uid="{00000000-0005-0000-0000-000042040000}"/>
    <cellStyle name="標準 10 34 2" xfId="1091" xr:uid="{00000000-0005-0000-0000-000043040000}"/>
    <cellStyle name="標準 10 35" xfId="1092" xr:uid="{00000000-0005-0000-0000-000044040000}"/>
    <cellStyle name="標準 10 35 2" xfId="1093" xr:uid="{00000000-0005-0000-0000-000045040000}"/>
    <cellStyle name="標準 10 36" xfId="1094" xr:uid="{00000000-0005-0000-0000-000046040000}"/>
    <cellStyle name="標準 10 36 2" xfId="1095" xr:uid="{00000000-0005-0000-0000-000047040000}"/>
    <cellStyle name="標準 10 37" xfId="1096" xr:uid="{00000000-0005-0000-0000-000048040000}"/>
    <cellStyle name="標準 10 38" xfId="1097" xr:uid="{00000000-0005-0000-0000-000049040000}"/>
    <cellStyle name="標準 10 39" xfId="1098" xr:uid="{00000000-0005-0000-0000-00004A040000}"/>
    <cellStyle name="標準 10 4" xfId="1099" xr:uid="{00000000-0005-0000-0000-00004B040000}"/>
    <cellStyle name="標準 10 4 2" xfId="1100" xr:uid="{00000000-0005-0000-0000-00004C040000}"/>
    <cellStyle name="標準 10 4 3" xfId="1101" xr:uid="{00000000-0005-0000-0000-00004D040000}"/>
    <cellStyle name="標準 10 40" xfId="1102" xr:uid="{00000000-0005-0000-0000-00004E040000}"/>
    <cellStyle name="標準 10 41" xfId="1103" xr:uid="{00000000-0005-0000-0000-00004F040000}"/>
    <cellStyle name="標準 10 42" xfId="1104" xr:uid="{00000000-0005-0000-0000-000050040000}"/>
    <cellStyle name="標準 10 43" xfId="1105" xr:uid="{00000000-0005-0000-0000-000051040000}"/>
    <cellStyle name="標準 10 44" xfId="1106" xr:uid="{00000000-0005-0000-0000-000052040000}"/>
    <cellStyle name="標準 10 45" xfId="1107" xr:uid="{00000000-0005-0000-0000-000053040000}"/>
    <cellStyle name="標準 10 46" xfId="1108" xr:uid="{00000000-0005-0000-0000-000054040000}"/>
    <cellStyle name="標準 10 47" xfId="1109" xr:uid="{00000000-0005-0000-0000-000055040000}"/>
    <cellStyle name="標準 10 48" xfId="1110" xr:uid="{00000000-0005-0000-0000-000056040000}"/>
    <cellStyle name="標準 10 49" xfId="1111" xr:uid="{00000000-0005-0000-0000-000057040000}"/>
    <cellStyle name="標準 10 5" xfId="1112" xr:uid="{00000000-0005-0000-0000-000058040000}"/>
    <cellStyle name="標準 10 5 2" xfId="1113" xr:uid="{00000000-0005-0000-0000-000059040000}"/>
    <cellStyle name="標準 10 5 3" xfId="1114" xr:uid="{00000000-0005-0000-0000-00005A040000}"/>
    <cellStyle name="標準 10 6" xfId="1115" xr:uid="{00000000-0005-0000-0000-00005B040000}"/>
    <cellStyle name="標準 10 6 2" xfId="1116" xr:uid="{00000000-0005-0000-0000-00005C040000}"/>
    <cellStyle name="標準 10 6 3" xfId="1117" xr:uid="{00000000-0005-0000-0000-00005D040000}"/>
    <cellStyle name="標準 10 7" xfId="1118" xr:uid="{00000000-0005-0000-0000-00005E040000}"/>
    <cellStyle name="標準 10 7 2" xfId="1119" xr:uid="{00000000-0005-0000-0000-00005F040000}"/>
    <cellStyle name="標準 10 7 3" xfId="1120" xr:uid="{00000000-0005-0000-0000-000060040000}"/>
    <cellStyle name="標準 10 8" xfId="1121" xr:uid="{00000000-0005-0000-0000-000061040000}"/>
    <cellStyle name="標準 10 8 2" xfId="1122" xr:uid="{00000000-0005-0000-0000-000062040000}"/>
    <cellStyle name="標準 10 9" xfId="1123" xr:uid="{00000000-0005-0000-0000-000063040000}"/>
    <cellStyle name="標準 10 9 2" xfId="1124" xr:uid="{00000000-0005-0000-0000-000064040000}"/>
    <cellStyle name="標準 11" xfId="1125" xr:uid="{00000000-0005-0000-0000-000065040000}"/>
    <cellStyle name="標準 11 10" xfId="1126" xr:uid="{00000000-0005-0000-0000-000066040000}"/>
    <cellStyle name="標準 11 10 2" xfId="1127" xr:uid="{00000000-0005-0000-0000-000067040000}"/>
    <cellStyle name="標準 11 11" xfId="1128" xr:uid="{00000000-0005-0000-0000-000068040000}"/>
    <cellStyle name="標準 11 11 2" xfId="1129" xr:uid="{00000000-0005-0000-0000-000069040000}"/>
    <cellStyle name="標準 11 12" xfId="1130" xr:uid="{00000000-0005-0000-0000-00006A040000}"/>
    <cellStyle name="標準 11 12 2" xfId="1131" xr:uid="{00000000-0005-0000-0000-00006B040000}"/>
    <cellStyle name="標準 11 13" xfId="1132" xr:uid="{00000000-0005-0000-0000-00006C040000}"/>
    <cellStyle name="標準 11 13 2" xfId="1133" xr:uid="{00000000-0005-0000-0000-00006D040000}"/>
    <cellStyle name="標準 11 14" xfId="1134" xr:uid="{00000000-0005-0000-0000-00006E040000}"/>
    <cellStyle name="標準 11 14 2" xfId="1135" xr:uid="{00000000-0005-0000-0000-00006F040000}"/>
    <cellStyle name="標準 11 15" xfId="1136" xr:uid="{00000000-0005-0000-0000-000070040000}"/>
    <cellStyle name="標準 11 15 2" xfId="1137" xr:uid="{00000000-0005-0000-0000-000071040000}"/>
    <cellStyle name="標準 11 16" xfId="1138" xr:uid="{00000000-0005-0000-0000-000072040000}"/>
    <cellStyle name="標準 11 16 2" xfId="1139" xr:uid="{00000000-0005-0000-0000-000073040000}"/>
    <cellStyle name="標準 11 17" xfId="1140" xr:uid="{00000000-0005-0000-0000-000074040000}"/>
    <cellStyle name="標準 11 17 2" xfId="1141" xr:uid="{00000000-0005-0000-0000-000075040000}"/>
    <cellStyle name="標準 11 18" xfId="1142" xr:uid="{00000000-0005-0000-0000-000076040000}"/>
    <cellStyle name="標準 11 18 2" xfId="1143" xr:uid="{00000000-0005-0000-0000-000077040000}"/>
    <cellStyle name="標準 11 19" xfId="1144" xr:uid="{00000000-0005-0000-0000-000078040000}"/>
    <cellStyle name="標準 11 19 2" xfId="1145" xr:uid="{00000000-0005-0000-0000-000079040000}"/>
    <cellStyle name="標準 11 2" xfId="1146" xr:uid="{00000000-0005-0000-0000-00007A040000}"/>
    <cellStyle name="標準 11 2 2" xfId="1147" xr:uid="{00000000-0005-0000-0000-00007B040000}"/>
    <cellStyle name="標準 11 2 3" xfId="1148" xr:uid="{00000000-0005-0000-0000-00007C040000}"/>
    <cellStyle name="標準 11 20" xfId="1149" xr:uid="{00000000-0005-0000-0000-00007D040000}"/>
    <cellStyle name="標準 11 20 2" xfId="1150" xr:uid="{00000000-0005-0000-0000-00007E040000}"/>
    <cellStyle name="標準 11 21" xfId="1151" xr:uid="{00000000-0005-0000-0000-00007F040000}"/>
    <cellStyle name="標準 11 21 2" xfId="1152" xr:uid="{00000000-0005-0000-0000-000080040000}"/>
    <cellStyle name="標準 11 22" xfId="1153" xr:uid="{00000000-0005-0000-0000-000081040000}"/>
    <cellStyle name="標準 11 22 2" xfId="1154" xr:uid="{00000000-0005-0000-0000-000082040000}"/>
    <cellStyle name="標準 11 23" xfId="1155" xr:uid="{00000000-0005-0000-0000-000083040000}"/>
    <cellStyle name="標準 11 23 2" xfId="1156" xr:uid="{00000000-0005-0000-0000-000084040000}"/>
    <cellStyle name="標準 11 24" xfId="1157" xr:uid="{00000000-0005-0000-0000-000085040000}"/>
    <cellStyle name="標準 11 24 2" xfId="1158" xr:uid="{00000000-0005-0000-0000-000086040000}"/>
    <cellStyle name="標準 11 25" xfId="1159" xr:uid="{00000000-0005-0000-0000-000087040000}"/>
    <cellStyle name="標準 11 25 2" xfId="1160" xr:uid="{00000000-0005-0000-0000-000088040000}"/>
    <cellStyle name="標準 11 26" xfId="1161" xr:uid="{00000000-0005-0000-0000-000089040000}"/>
    <cellStyle name="標準 11 26 2" xfId="1162" xr:uid="{00000000-0005-0000-0000-00008A040000}"/>
    <cellStyle name="標準 11 27" xfId="1163" xr:uid="{00000000-0005-0000-0000-00008B040000}"/>
    <cellStyle name="標準 11 27 2" xfId="1164" xr:uid="{00000000-0005-0000-0000-00008C040000}"/>
    <cellStyle name="標準 11 28" xfId="1165" xr:uid="{00000000-0005-0000-0000-00008D040000}"/>
    <cellStyle name="標準 11 28 2" xfId="1166" xr:uid="{00000000-0005-0000-0000-00008E040000}"/>
    <cellStyle name="標準 11 29" xfId="1167" xr:uid="{00000000-0005-0000-0000-00008F040000}"/>
    <cellStyle name="標準 11 29 2" xfId="1168" xr:uid="{00000000-0005-0000-0000-000090040000}"/>
    <cellStyle name="標準 11 3" xfId="1169" xr:uid="{00000000-0005-0000-0000-000091040000}"/>
    <cellStyle name="標準 11 3 2" xfId="1170" xr:uid="{00000000-0005-0000-0000-000092040000}"/>
    <cellStyle name="標準 11 3 3" xfId="1171" xr:uid="{00000000-0005-0000-0000-000093040000}"/>
    <cellStyle name="標準 11 30" xfId="1172" xr:uid="{00000000-0005-0000-0000-000094040000}"/>
    <cellStyle name="標準 11 30 2" xfId="1173" xr:uid="{00000000-0005-0000-0000-000095040000}"/>
    <cellStyle name="標準 11 31" xfId="1174" xr:uid="{00000000-0005-0000-0000-000096040000}"/>
    <cellStyle name="標準 11 31 2" xfId="1175" xr:uid="{00000000-0005-0000-0000-000097040000}"/>
    <cellStyle name="標準 11 32" xfId="1176" xr:uid="{00000000-0005-0000-0000-000098040000}"/>
    <cellStyle name="標準 11 32 2" xfId="1177" xr:uid="{00000000-0005-0000-0000-000099040000}"/>
    <cellStyle name="標準 11 33" xfId="1178" xr:uid="{00000000-0005-0000-0000-00009A040000}"/>
    <cellStyle name="標準 11 33 2" xfId="1179" xr:uid="{00000000-0005-0000-0000-00009B040000}"/>
    <cellStyle name="標準 11 34" xfId="1180" xr:uid="{00000000-0005-0000-0000-00009C040000}"/>
    <cellStyle name="標準 11 34 2" xfId="1181" xr:uid="{00000000-0005-0000-0000-00009D040000}"/>
    <cellStyle name="標準 11 35" xfId="1182" xr:uid="{00000000-0005-0000-0000-00009E040000}"/>
    <cellStyle name="標準 11 35 2" xfId="1183" xr:uid="{00000000-0005-0000-0000-00009F040000}"/>
    <cellStyle name="標準 11 36" xfId="1184" xr:uid="{00000000-0005-0000-0000-0000A0040000}"/>
    <cellStyle name="標準 11 36 2" xfId="1185" xr:uid="{00000000-0005-0000-0000-0000A1040000}"/>
    <cellStyle name="標準 11 37" xfId="1186" xr:uid="{00000000-0005-0000-0000-0000A2040000}"/>
    <cellStyle name="標準 11 38" xfId="1187" xr:uid="{00000000-0005-0000-0000-0000A3040000}"/>
    <cellStyle name="標準 11 39" xfId="1188" xr:uid="{00000000-0005-0000-0000-0000A4040000}"/>
    <cellStyle name="標準 11 4" xfId="1189" xr:uid="{00000000-0005-0000-0000-0000A5040000}"/>
    <cellStyle name="標準 11 4 2" xfId="1190" xr:uid="{00000000-0005-0000-0000-0000A6040000}"/>
    <cellStyle name="標準 11 4 3" xfId="1191" xr:uid="{00000000-0005-0000-0000-0000A7040000}"/>
    <cellStyle name="標準 11 40" xfId="1192" xr:uid="{00000000-0005-0000-0000-0000A8040000}"/>
    <cellStyle name="標準 11 41" xfId="1193" xr:uid="{00000000-0005-0000-0000-0000A9040000}"/>
    <cellStyle name="標準 11 42" xfId="1194" xr:uid="{00000000-0005-0000-0000-0000AA040000}"/>
    <cellStyle name="標準 11 43" xfId="1195" xr:uid="{00000000-0005-0000-0000-0000AB040000}"/>
    <cellStyle name="標準 11 44" xfId="1196" xr:uid="{00000000-0005-0000-0000-0000AC040000}"/>
    <cellStyle name="標準 11 45" xfId="1197" xr:uid="{00000000-0005-0000-0000-0000AD040000}"/>
    <cellStyle name="標準 11 46" xfId="1198" xr:uid="{00000000-0005-0000-0000-0000AE040000}"/>
    <cellStyle name="標準 11 47" xfId="1199" xr:uid="{00000000-0005-0000-0000-0000AF040000}"/>
    <cellStyle name="標準 11 48" xfId="1200" xr:uid="{00000000-0005-0000-0000-0000B0040000}"/>
    <cellStyle name="標準 11 49" xfId="1201" xr:uid="{00000000-0005-0000-0000-0000B1040000}"/>
    <cellStyle name="標準 11 5" xfId="1202" xr:uid="{00000000-0005-0000-0000-0000B2040000}"/>
    <cellStyle name="標準 11 5 2" xfId="1203" xr:uid="{00000000-0005-0000-0000-0000B3040000}"/>
    <cellStyle name="標準 11 5 3" xfId="1204" xr:uid="{00000000-0005-0000-0000-0000B4040000}"/>
    <cellStyle name="標準 11 50" xfId="1205" xr:uid="{00000000-0005-0000-0000-0000B5040000}"/>
    <cellStyle name="標準 11 51" xfId="1206" xr:uid="{00000000-0005-0000-0000-0000B6040000}"/>
    <cellStyle name="標準 11 52" xfId="1207" xr:uid="{00000000-0005-0000-0000-0000B7040000}"/>
    <cellStyle name="標準 11 53" xfId="1208" xr:uid="{00000000-0005-0000-0000-0000B8040000}"/>
    <cellStyle name="標準 11 54" xfId="1209" xr:uid="{00000000-0005-0000-0000-0000B9040000}"/>
    <cellStyle name="標準 11 55" xfId="1210" xr:uid="{00000000-0005-0000-0000-0000BA040000}"/>
    <cellStyle name="標準 11 56" xfId="1211" xr:uid="{00000000-0005-0000-0000-0000BB040000}"/>
    <cellStyle name="標準 11 57" xfId="1212" xr:uid="{00000000-0005-0000-0000-0000BC040000}"/>
    <cellStyle name="標準 11 58" xfId="1213" xr:uid="{00000000-0005-0000-0000-0000BD040000}"/>
    <cellStyle name="標準 11 59" xfId="1214" xr:uid="{00000000-0005-0000-0000-0000BE040000}"/>
    <cellStyle name="標準 11 6" xfId="1215" xr:uid="{00000000-0005-0000-0000-0000BF040000}"/>
    <cellStyle name="標準 11 6 2" xfId="1216" xr:uid="{00000000-0005-0000-0000-0000C0040000}"/>
    <cellStyle name="標準 11 6 3" xfId="1217" xr:uid="{00000000-0005-0000-0000-0000C1040000}"/>
    <cellStyle name="標準 11 60" xfId="1218" xr:uid="{00000000-0005-0000-0000-0000C2040000}"/>
    <cellStyle name="標準 11 61" xfId="1219" xr:uid="{00000000-0005-0000-0000-0000C3040000}"/>
    <cellStyle name="標準 11 62" xfId="1220" xr:uid="{00000000-0005-0000-0000-0000C4040000}"/>
    <cellStyle name="標準 11 63" xfId="1221" xr:uid="{00000000-0005-0000-0000-0000C5040000}"/>
    <cellStyle name="標準 11 64" xfId="1222" xr:uid="{00000000-0005-0000-0000-0000C6040000}"/>
    <cellStyle name="標準 11 65" xfId="1223" xr:uid="{00000000-0005-0000-0000-0000C7040000}"/>
    <cellStyle name="標準 11 66" xfId="1224" xr:uid="{00000000-0005-0000-0000-0000C8040000}"/>
    <cellStyle name="標準 11 7" xfId="1225" xr:uid="{00000000-0005-0000-0000-0000C9040000}"/>
    <cellStyle name="標準 11 7 2" xfId="1226" xr:uid="{00000000-0005-0000-0000-0000CA040000}"/>
    <cellStyle name="標準 11 7 3" xfId="1227" xr:uid="{00000000-0005-0000-0000-0000CB040000}"/>
    <cellStyle name="標準 11 8" xfId="1228" xr:uid="{00000000-0005-0000-0000-0000CC040000}"/>
    <cellStyle name="標準 11 8 2" xfId="1229" xr:uid="{00000000-0005-0000-0000-0000CD040000}"/>
    <cellStyle name="標準 11 9" xfId="1230" xr:uid="{00000000-0005-0000-0000-0000CE040000}"/>
    <cellStyle name="標準 11 9 2" xfId="1231" xr:uid="{00000000-0005-0000-0000-0000CF040000}"/>
    <cellStyle name="標準 12" xfId="1232" xr:uid="{00000000-0005-0000-0000-0000D0040000}"/>
    <cellStyle name="標準 12 10" xfId="1233" xr:uid="{00000000-0005-0000-0000-0000D1040000}"/>
    <cellStyle name="標準 12 11" xfId="1234" xr:uid="{00000000-0005-0000-0000-0000D2040000}"/>
    <cellStyle name="標準 12 12" xfId="1235" xr:uid="{00000000-0005-0000-0000-0000D3040000}"/>
    <cellStyle name="標準 12 13" xfId="1236" xr:uid="{00000000-0005-0000-0000-0000D4040000}"/>
    <cellStyle name="標準 12 14" xfId="1237" xr:uid="{00000000-0005-0000-0000-0000D5040000}"/>
    <cellStyle name="標準 12 15" xfId="1238" xr:uid="{00000000-0005-0000-0000-0000D6040000}"/>
    <cellStyle name="標準 12 16" xfId="1239" xr:uid="{00000000-0005-0000-0000-0000D7040000}"/>
    <cellStyle name="標準 12 17" xfId="1240" xr:uid="{00000000-0005-0000-0000-0000D8040000}"/>
    <cellStyle name="標準 12 18" xfId="1241" xr:uid="{00000000-0005-0000-0000-0000D9040000}"/>
    <cellStyle name="標準 12 19" xfId="1242" xr:uid="{00000000-0005-0000-0000-0000DA040000}"/>
    <cellStyle name="標準 12 2" xfId="1243" xr:uid="{00000000-0005-0000-0000-0000DB040000}"/>
    <cellStyle name="標準 12 2 2" xfId="1244" xr:uid="{00000000-0005-0000-0000-0000DC040000}"/>
    <cellStyle name="標準 12 20" xfId="1245" xr:uid="{00000000-0005-0000-0000-0000DD040000}"/>
    <cellStyle name="標準 12 21" xfId="1246" xr:uid="{00000000-0005-0000-0000-0000DE040000}"/>
    <cellStyle name="標準 12 22" xfId="1247" xr:uid="{00000000-0005-0000-0000-0000DF040000}"/>
    <cellStyle name="標準 12 23" xfId="1248" xr:uid="{00000000-0005-0000-0000-0000E0040000}"/>
    <cellStyle name="標準 12 24" xfId="1249" xr:uid="{00000000-0005-0000-0000-0000E1040000}"/>
    <cellStyle name="標準 12 25" xfId="1250" xr:uid="{00000000-0005-0000-0000-0000E2040000}"/>
    <cellStyle name="標準 12 26" xfId="1251" xr:uid="{00000000-0005-0000-0000-0000E3040000}"/>
    <cellStyle name="標準 12 27" xfId="1252" xr:uid="{00000000-0005-0000-0000-0000E4040000}"/>
    <cellStyle name="標準 12 28" xfId="1253" xr:uid="{00000000-0005-0000-0000-0000E5040000}"/>
    <cellStyle name="標準 12 29" xfId="1254" xr:uid="{00000000-0005-0000-0000-0000E6040000}"/>
    <cellStyle name="標準 12 3" xfId="1255" xr:uid="{00000000-0005-0000-0000-0000E7040000}"/>
    <cellStyle name="標準 12 3 2" xfId="1256" xr:uid="{00000000-0005-0000-0000-0000E8040000}"/>
    <cellStyle name="標準 12 30" xfId="1257" xr:uid="{00000000-0005-0000-0000-0000E9040000}"/>
    <cellStyle name="標準 12 31" xfId="1258" xr:uid="{00000000-0005-0000-0000-0000EA040000}"/>
    <cellStyle name="標準 12 32" xfId="1259" xr:uid="{00000000-0005-0000-0000-0000EB040000}"/>
    <cellStyle name="標準 12 33" xfId="1260" xr:uid="{00000000-0005-0000-0000-0000EC040000}"/>
    <cellStyle name="標準 12 34" xfId="1261" xr:uid="{00000000-0005-0000-0000-0000ED040000}"/>
    <cellStyle name="標準 12 35" xfId="1262" xr:uid="{00000000-0005-0000-0000-0000EE040000}"/>
    <cellStyle name="標準 12 36" xfId="1263" xr:uid="{00000000-0005-0000-0000-0000EF040000}"/>
    <cellStyle name="標準 12 37" xfId="1264" xr:uid="{00000000-0005-0000-0000-0000F0040000}"/>
    <cellStyle name="標準 12 38" xfId="1265" xr:uid="{00000000-0005-0000-0000-0000F1040000}"/>
    <cellStyle name="標準 12 39" xfId="1266" xr:uid="{00000000-0005-0000-0000-0000F2040000}"/>
    <cellStyle name="標準 12 4" xfId="1267" xr:uid="{00000000-0005-0000-0000-0000F3040000}"/>
    <cellStyle name="標準 12 4 2" xfId="1268" xr:uid="{00000000-0005-0000-0000-0000F4040000}"/>
    <cellStyle name="標準 12 40" xfId="1269" xr:uid="{00000000-0005-0000-0000-0000F5040000}"/>
    <cellStyle name="標準 12 41" xfId="1270" xr:uid="{00000000-0005-0000-0000-0000F6040000}"/>
    <cellStyle name="標準 12 42" xfId="1271" xr:uid="{00000000-0005-0000-0000-0000F7040000}"/>
    <cellStyle name="標準 12 43" xfId="1272" xr:uid="{00000000-0005-0000-0000-0000F8040000}"/>
    <cellStyle name="標準 12 44" xfId="1273" xr:uid="{00000000-0005-0000-0000-0000F9040000}"/>
    <cellStyle name="標準 12 45" xfId="1274" xr:uid="{00000000-0005-0000-0000-0000FA040000}"/>
    <cellStyle name="標準 12 46" xfId="1275" xr:uid="{00000000-0005-0000-0000-0000FB040000}"/>
    <cellStyle name="標準 12 47" xfId="1276" xr:uid="{00000000-0005-0000-0000-0000FC040000}"/>
    <cellStyle name="標準 12 48" xfId="1277" xr:uid="{00000000-0005-0000-0000-0000FD040000}"/>
    <cellStyle name="標準 12 49" xfId="1278" xr:uid="{00000000-0005-0000-0000-0000FE040000}"/>
    <cellStyle name="標準 12 5" xfId="1279" xr:uid="{00000000-0005-0000-0000-0000FF040000}"/>
    <cellStyle name="標準 12 5 2" xfId="1280" xr:uid="{00000000-0005-0000-0000-000000050000}"/>
    <cellStyle name="標準 12 50" xfId="1281" xr:uid="{00000000-0005-0000-0000-000001050000}"/>
    <cellStyle name="標準 12 51" xfId="1282" xr:uid="{00000000-0005-0000-0000-000002050000}"/>
    <cellStyle name="標準 12 52" xfId="1283" xr:uid="{00000000-0005-0000-0000-000003050000}"/>
    <cellStyle name="標準 12 53" xfId="1284" xr:uid="{00000000-0005-0000-0000-000004050000}"/>
    <cellStyle name="標準 12 54" xfId="1285" xr:uid="{00000000-0005-0000-0000-000005050000}"/>
    <cellStyle name="標準 12 55" xfId="1286" xr:uid="{00000000-0005-0000-0000-000006050000}"/>
    <cellStyle name="標準 12 56" xfId="1287" xr:uid="{00000000-0005-0000-0000-000007050000}"/>
    <cellStyle name="標準 12 57" xfId="1288" xr:uid="{00000000-0005-0000-0000-000008050000}"/>
    <cellStyle name="標準 12 58" xfId="1289" xr:uid="{00000000-0005-0000-0000-000009050000}"/>
    <cellStyle name="標準 12 59" xfId="1290" xr:uid="{00000000-0005-0000-0000-00000A050000}"/>
    <cellStyle name="標準 12 6" xfId="1291" xr:uid="{00000000-0005-0000-0000-00000B050000}"/>
    <cellStyle name="標準 12 6 2" xfId="1292" xr:uid="{00000000-0005-0000-0000-00000C050000}"/>
    <cellStyle name="標準 12 60" xfId="1293" xr:uid="{00000000-0005-0000-0000-00000D050000}"/>
    <cellStyle name="標準 12 61" xfId="1294" xr:uid="{00000000-0005-0000-0000-00000E050000}"/>
    <cellStyle name="標準 12 62" xfId="1295" xr:uid="{00000000-0005-0000-0000-00000F050000}"/>
    <cellStyle name="標準 12 63" xfId="1296" xr:uid="{00000000-0005-0000-0000-000010050000}"/>
    <cellStyle name="標準 12 64" xfId="1297" xr:uid="{00000000-0005-0000-0000-000011050000}"/>
    <cellStyle name="標準 12 65" xfId="1298" xr:uid="{00000000-0005-0000-0000-000012050000}"/>
    <cellStyle name="標準 12 7" xfId="1299" xr:uid="{00000000-0005-0000-0000-000013050000}"/>
    <cellStyle name="標準 12 7 2" xfId="1300" xr:uid="{00000000-0005-0000-0000-000014050000}"/>
    <cellStyle name="標準 12 8" xfId="1301" xr:uid="{00000000-0005-0000-0000-000015050000}"/>
    <cellStyle name="標準 12 9" xfId="1302" xr:uid="{00000000-0005-0000-0000-000016050000}"/>
    <cellStyle name="標準 13" xfId="1303" xr:uid="{00000000-0005-0000-0000-000017050000}"/>
    <cellStyle name="標準 13 10" xfId="1304" xr:uid="{00000000-0005-0000-0000-000018050000}"/>
    <cellStyle name="標準 13 11" xfId="1305" xr:uid="{00000000-0005-0000-0000-000019050000}"/>
    <cellStyle name="標準 13 12" xfId="1306" xr:uid="{00000000-0005-0000-0000-00001A050000}"/>
    <cellStyle name="標準 13 13" xfId="1307" xr:uid="{00000000-0005-0000-0000-00001B050000}"/>
    <cellStyle name="標準 13 14" xfId="1308" xr:uid="{00000000-0005-0000-0000-00001C050000}"/>
    <cellStyle name="標準 13 15" xfId="1309" xr:uid="{00000000-0005-0000-0000-00001D050000}"/>
    <cellStyle name="標準 13 16" xfId="1310" xr:uid="{00000000-0005-0000-0000-00001E050000}"/>
    <cellStyle name="標準 13 17" xfId="1311" xr:uid="{00000000-0005-0000-0000-00001F050000}"/>
    <cellStyle name="標準 13 18" xfId="1312" xr:uid="{00000000-0005-0000-0000-000020050000}"/>
    <cellStyle name="標準 13 19" xfId="1313" xr:uid="{00000000-0005-0000-0000-000021050000}"/>
    <cellStyle name="標準 13 2" xfId="1314" xr:uid="{00000000-0005-0000-0000-000022050000}"/>
    <cellStyle name="標準 13 2 2" xfId="1315" xr:uid="{00000000-0005-0000-0000-000023050000}"/>
    <cellStyle name="標準 13 20" xfId="1316" xr:uid="{00000000-0005-0000-0000-000024050000}"/>
    <cellStyle name="標準 13 21" xfId="1317" xr:uid="{00000000-0005-0000-0000-000025050000}"/>
    <cellStyle name="標準 13 22" xfId="1318" xr:uid="{00000000-0005-0000-0000-000026050000}"/>
    <cellStyle name="標準 13 23" xfId="1319" xr:uid="{00000000-0005-0000-0000-000027050000}"/>
    <cellStyle name="標準 13 24" xfId="1320" xr:uid="{00000000-0005-0000-0000-000028050000}"/>
    <cellStyle name="標準 13 25" xfId="1321" xr:uid="{00000000-0005-0000-0000-000029050000}"/>
    <cellStyle name="標準 13 26" xfId="1322" xr:uid="{00000000-0005-0000-0000-00002A050000}"/>
    <cellStyle name="標準 13 27" xfId="1323" xr:uid="{00000000-0005-0000-0000-00002B050000}"/>
    <cellStyle name="標準 13 28" xfId="1324" xr:uid="{00000000-0005-0000-0000-00002C050000}"/>
    <cellStyle name="標準 13 29" xfId="1325" xr:uid="{00000000-0005-0000-0000-00002D050000}"/>
    <cellStyle name="標準 13 3" xfId="1326" xr:uid="{00000000-0005-0000-0000-00002E050000}"/>
    <cellStyle name="標準 13 3 2" xfId="1327" xr:uid="{00000000-0005-0000-0000-00002F050000}"/>
    <cellStyle name="標準 13 30" xfId="1328" xr:uid="{00000000-0005-0000-0000-000030050000}"/>
    <cellStyle name="標準 13 31" xfId="1329" xr:uid="{00000000-0005-0000-0000-000031050000}"/>
    <cellStyle name="標準 13 32" xfId="1330" xr:uid="{00000000-0005-0000-0000-000032050000}"/>
    <cellStyle name="標準 13 33" xfId="1331" xr:uid="{00000000-0005-0000-0000-000033050000}"/>
    <cellStyle name="標準 13 34" xfId="1332" xr:uid="{00000000-0005-0000-0000-000034050000}"/>
    <cellStyle name="標準 13 35" xfId="1333" xr:uid="{00000000-0005-0000-0000-000035050000}"/>
    <cellStyle name="標準 13 36" xfId="1334" xr:uid="{00000000-0005-0000-0000-000036050000}"/>
    <cellStyle name="標準 13 37" xfId="1335" xr:uid="{00000000-0005-0000-0000-000037050000}"/>
    <cellStyle name="標準 13 38" xfId="1336" xr:uid="{00000000-0005-0000-0000-000038050000}"/>
    <cellStyle name="標準 13 39" xfId="1337" xr:uid="{00000000-0005-0000-0000-000039050000}"/>
    <cellStyle name="標準 13 4" xfId="1338" xr:uid="{00000000-0005-0000-0000-00003A050000}"/>
    <cellStyle name="標準 13 4 2" xfId="1339" xr:uid="{00000000-0005-0000-0000-00003B050000}"/>
    <cellStyle name="標準 13 40" xfId="1340" xr:uid="{00000000-0005-0000-0000-00003C050000}"/>
    <cellStyle name="標準 13 41" xfId="1341" xr:uid="{00000000-0005-0000-0000-00003D050000}"/>
    <cellStyle name="標準 13 42" xfId="1342" xr:uid="{00000000-0005-0000-0000-00003E050000}"/>
    <cellStyle name="標準 13 43" xfId="1343" xr:uid="{00000000-0005-0000-0000-00003F050000}"/>
    <cellStyle name="標準 13 44" xfId="1344" xr:uid="{00000000-0005-0000-0000-000040050000}"/>
    <cellStyle name="標準 13 45" xfId="1345" xr:uid="{00000000-0005-0000-0000-000041050000}"/>
    <cellStyle name="標準 13 46" xfId="1346" xr:uid="{00000000-0005-0000-0000-000042050000}"/>
    <cellStyle name="標準 13 47" xfId="1347" xr:uid="{00000000-0005-0000-0000-000043050000}"/>
    <cellStyle name="標準 13 48" xfId="1348" xr:uid="{00000000-0005-0000-0000-000044050000}"/>
    <cellStyle name="標準 13 49" xfId="1349" xr:uid="{00000000-0005-0000-0000-000045050000}"/>
    <cellStyle name="標準 13 5" xfId="1350" xr:uid="{00000000-0005-0000-0000-000046050000}"/>
    <cellStyle name="標準 13 5 2" xfId="1351" xr:uid="{00000000-0005-0000-0000-000047050000}"/>
    <cellStyle name="標準 13 50" xfId="1352" xr:uid="{00000000-0005-0000-0000-000048050000}"/>
    <cellStyle name="標準 13 51" xfId="1353" xr:uid="{00000000-0005-0000-0000-000049050000}"/>
    <cellStyle name="標準 13 52" xfId="1354" xr:uid="{00000000-0005-0000-0000-00004A050000}"/>
    <cellStyle name="標準 13 53" xfId="1355" xr:uid="{00000000-0005-0000-0000-00004B050000}"/>
    <cellStyle name="標準 13 54" xfId="1356" xr:uid="{00000000-0005-0000-0000-00004C050000}"/>
    <cellStyle name="標準 13 55" xfId="1357" xr:uid="{00000000-0005-0000-0000-00004D050000}"/>
    <cellStyle name="標準 13 56" xfId="1358" xr:uid="{00000000-0005-0000-0000-00004E050000}"/>
    <cellStyle name="標準 13 57" xfId="1359" xr:uid="{00000000-0005-0000-0000-00004F050000}"/>
    <cellStyle name="標準 13 58" xfId="1360" xr:uid="{00000000-0005-0000-0000-000050050000}"/>
    <cellStyle name="標準 13 59" xfId="1361" xr:uid="{00000000-0005-0000-0000-000051050000}"/>
    <cellStyle name="標準 13 6" xfId="1362" xr:uid="{00000000-0005-0000-0000-000052050000}"/>
    <cellStyle name="標準 13 6 2" xfId="1363" xr:uid="{00000000-0005-0000-0000-000053050000}"/>
    <cellStyle name="標準 13 60" xfId="1364" xr:uid="{00000000-0005-0000-0000-000054050000}"/>
    <cellStyle name="標準 13 61" xfId="1365" xr:uid="{00000000-0005-0000-0000-000055050000}"/>
    <cellStyle name="標準 13 62" xfId="1366" xr:uid="{00000000-0005-0000-0000-000056050000}"/>
    <cellStyle name="標準 13 63" xfId="1367" xr:uid="{00000000-0005-0000-0000-000057050000}"/>
    <cellStyle name="標準 13 64" xfId="1368" xr:uid="{00000000-0005-0000-0000-000058050000}"/>
    <cellStyle name="標準 13 65" xfId="1369" xr:uid="{00000000-0005-0000-0000-000059050000}"/>
    <cellStyle name="標準 13 7" xfId="1370" xr:uid="{00000000-0005-0000-0000-00005A050000}"/>
    <cellStyle name="標準 13 7 2" xfId="1371" xr:uid="{00000000-0005-0000-0000-00005B050000}"/>
    <cellStyle name="標準 13 8" xfId="1372" xr:uid="{00000000-0005-0000-0000-00005C050000}"/>
    <cellStyle name="標準 13 9" xfId="1373" xr:uid="{00000000-0005-0000-0000-00005D050000}"/>
    <cellStyle name="標準 14" xfId="1374" xr:uid="{00000000-0005-0000-0000-00005E050000}"/>
    <cellStyle name="標準 14 10" xfId="1375" xr:uid="{00000000-0005-0000-0000-00005F050000}"/>
    <cellStyle name="標準 14 10 2" xfId="1376" xr:uid="{00000000-0005-0000-0000-000060050000}"/>
    <cellStyle name="標準 14 11" xfId="1377" xr:uid="{00000000-0005-0000-0000-000061050000}"/>
    <cellStyle name="標準 14 11 2" xfId="1378" xr:uid="{00000000-0005-0000-0000-000062050000}"/>
    <cellStyle name="標準 14 12" xfId="1379" xr:uid="{00000000-0005-0000-0000-000063050000}"/>
    <cellStyle name="標準 14 12 2" xfId="1380" xr:uid="{00000000-0005-0000-0000-000064050000}"/>
    <cellStyle name="標準 14 13" xfId="1381" xr:uid="{00000000-0005-0000-0000-000065050000}"/>
    <cellStyle name="標準 14 13 2" xfId="1382" xr:uid="{00000000-0005-0000-0000-000066050000}"/>
    <cellStyle name="標準 14 14" xfId="1383" xr:uid="{00000000-0005-0000-0000-000067050000}"/>
    <cellStyle name="標準 14 14 2" xfId="1384" xr:uid="{00000000-0005-0000-0000-000068050000}"/>
    <cellStyle name="標準 14 15" xfId="1385" xr:uid="{00000000-0005-0000-0000-000069050000}"/>
    <cellStyle name="標準 14 15 2" xfId="1386" xr:uid="{00000000-0005-0000-0000-00006A050000}"/>
    <cellStyle name="標準 14 16" xfId="1387" xr:uid="{00000000-0005-0000-0000-00006B050000}"/>
    <cellStyle name="標準 14 16 2" xfId="1388" xr:uid="{00000000-0005-0000-0000-00006C050000}"/>
    <cellStyle name="標準 14 17" xfId="1389" xr:uid="{00000000-0005-0000-0000-00006D050000}"/>
    <cellStyle name="標準 14 17 2" xfId="1390" xr:uid="{00000000-0005-0000-0000-00006E050000}"/>
    <cellStyle name="標準 14 18" xfId="1391" xr:uid="{00000000-0005-0000-0000-00006F050000}"/>
    <cellStyle name="標準 14 18 2" xfId="1392" xr:uid="{00000000-0005-0000-0000-000070050000}"/>
    <cellStyle name="標準 14 19" xfId="1393" xr:uid="{00000000-0005-0000-0000-000071050000}"/>
    <cellStyle name="標準 14 19 2" xfId="1394" xr:uid="{00000000-0005-0000-0000-000072050000}"/>
    <cellStyle name="標準 14 2" xfId="1395" xr:uid="{00000000-0005-0000-0000-000073050000}"/>
    <cellStyle name="標準 14 2 2" xfId="1396" xr:uid="{00000000-0005-0000-0000-000074050000}"/>
    <cellStyle name="標準 14 20" xfId="1397" xr:uid="{00000000-0005-0000-0000-000075050000}"/>
    <cellStyle name="標準 14 20 2" xfId="1398" xr:uid="{00000000-0005-0000-0000-000076050000}"/>
    <cellStyle name="標準 14 21" xfId="1399" xr:uid="{00000000-0005-0000-0000-000077050000}"/>
    <cellStyle name="標準 14 21 2" xfId="1400" xr:uid="{00000000-0005-0000-0000-000078050000}"/>
    <cellStyle name="標準 14 22" xfId="1401" xr:uid="{00000000-0005-0000-0000-000079050000}"/>
    <cellStyle name="標準 14 22 2" xfId="1402" xr:uid="{00000000-0005-0000-0000-00007A050000}"/>
    <cellStyle name="標準 14 23" xfId="1403" xr:uid="{00000000-0005-0000-0000-00007B050000}"/>
    <cellStyle name="標準 14 23 2" xfId="1404" xr:uid="{00000000-0005-0000-0000-00007C050000}"/>
    <cellStyle name="標準 14 24" xfId="1405" xr:uid="{00000000-0005-0000-0000-00007D050000}"/>
    <cellStyle name="標準 14 24 2" xfId="1406" xr:uid="{00000000-0005-0000-0000-00007E050000}"/>
    <cellStyle name="標準 14 25" xfId="1407" xr:uid="{00000000-0005-0000-0000-00007F050000}"/>
    <cellStyle name="標準 14 25 2" xfId="1408" xr:uid="{00000000-0005-0000-0000-000080050000}"/>
    <cellStyle name="標準 14 26" xfId="1409" xr:uid="{00000000-0005-0000-0000-000081050000}"/>
    <cellStyle name="標準 14 26 2" xfId="1410" xr:uid="{00000000-0005-0000-0000-000082050000}"/>
    <cellStyle name="標準 14 27" xfId="1411" xr:uid="{00000000-0005-0000-0000-000083050000}"/>
    <cellStyle name="標準 14 27 2" xfId="1412" xr:uid="{00000000-0005-0000-0000-000084050000}"/>
    <cellStyle name="標準 14 28" xfId="1413" xr:uid="{00000000-0005-0000-0000-000085050000}"/>
    <cellStyle name="標準 14 28 2" xfId="1414" xr:uid="{00000000-0005-0000-0000-000086050000}"/>
    <cellStyle name="標準 14 29" xfId="1415" xr:uid="{00000000-0005-0000-0000-000087050000}"/>
    <cellStyle name="標準 14 29 2" xfId="1416" xr:uid="{00000000-0005-0000-0000-000088050000}"/>
    <cellStyle name="標準 14 3" xfId="1417" xr:uid="{00000000-0005-0000-0000-000089050000}"/>
    <cellStyle name="標準 14 3 2" xfId="1418" xr:uid="{00000000-0005-0000-0000-00008A050000}"/>
    <cellStyle name="標準 14 30" xfId="1419" xr:uid="{00000000-0005-0000-0000-00008B050000}"/>
    <cellStyle name="標準 14 30 2" xfId="1420" xr:uid="{00000000-0005-0000-0000-00008C050000}"/>
    <cellStyle name="標準 14 31" xfId="1421" xr:uid="{00000000-0005-0000-0000-00008D050000}"/>
    <cellStyle name="標準 14 31 2" xfId="1422" xr:uid="{00000000-0005-0000-0000-00008E050000}"/>
    <cellStyle name="標準 14 32" xfId="1423" xr:uid="{00000000-0005-0000-0000-00008F050000}"/>
    <cellStyle name="標準 14 32 2" xfId="1424" xr:uid="{00000000-0005-0000-0000-000090050000}"/>
    <cellStyle name="標準 14 33" xfId="1425" xr:uid="{00000000-0005-0000-0000-000091050000}"/>
    <cellStyle name="標準 14 33 2" xfId="1426" xr:uid="{00000000-0005-0000-0000-000092050000}"/>
    <cellStyle name="標準 14 34" xfId="1427" xr:uid="{00000000-0005-0000-0000-000093050000}"/>
    <cellStyle name="標準 14 34 2" xfId="1428" xr:uid="{00000000-0005-0000-0000-000094050000}"/>
    <cellStyle name="標準 14 35" xfId="1429" xr:uid="{00000000-0005-0000-0000-000095050000}"/>
    <cellStyle name="標準 14 35 2" xfId="1430" xr:uid="{00000000-0005-0000-0000-000096050000}"/>
    <cellStyle name="標準 14 36" xfId="1431" xr:uid="{00000000-0005-0000-0000-000097050000}"/>
    <cellStyle name="標準 14 36 2" xfId="1432" xr:uid="{00000000-0005-0000-0000-000098050000}"/>
    <cellStyle name="標準 14 37" xfId="1433" xr:uid="{00000000-0005-0000-0000-000099050000}"/>
    <cellStyle name="標準 14 38" xfId="1434" xr:uid="{00000000-0005-0000-0000-00009A050000}"/>
    <cellStyle name="標準 14 39" xfId="1435" xr:uid="{00000000-0005-0000-0000-00009B050000}"/>
    <cellStyle name="標準 14 4" xfId="1436" xr:uid="{00000000-0005-0000-0000-00009C050000}"/>
    <cellStyle name="標準 14 4 2" xfId="1437" xr:uid="{00000000-0005-0000-0000-00009D050000}"/>
    <cellStyle name="標準 14 40" xfId="1438" xr:uid="{00000000-0005-0000-0000-00009E050000}"/>
    <cellStyle name="標準 14 41" xfId="1439" xr:uid="{00000000-0005-0000-0000-00009F050000}"/>
    <cellStyle name="標準 14 42" xfId="1440" xr:uid="{00000000-0005-0000-0000-0000A0050000}"/>
    <cellStyle name="標準 14 43" xfId="1441" xr:uid="{00000000-0005-0000-0000-0000A1050000}"/>
    <cellStyle name="標準 14 44" xfId="1442" xr:uid="{00000000-0005-0000-0000-0000A2050000}"/>
    <cellStyle name="標準 14 45" xfId="1443" xr:uid="{00000000-0005-0000-0000-0000A3050000}"/>
    <cellStyle name="標準 14 46" xfId="1444" xr:uid="{00000000-0005-0000-0000-0000A4050000}"/>
    <cellStyle name="標準 14 47" xfId="1445" xr:uid="{00000000-0005-0000-0000-0000A5050000}"/>
    <cellStyle name="標準 14 48" xfId="1446" xr:uid="{00000000-0005-0000-0000-0000A6050000}"/>
    <cellStyle name="標準 14 49" xfId="1447" xr:uid="{00000000-0005-0000-0000-0000A7050000}"/>
    <cellStyle name="標準 14 5" xfId="1448" xr:uid="{00000000-0005-0000-0000-0000A8050000}"/>
    <cellStyle name="標準 14 5 2" xfId="1449" xr:uid="{00000000-0005-0000-0000-0000A9050000}"/>
    <cellStyle name="標準 14 50" xfId="1450" xr:uid="{00000000-0005-0000-0000-0000AA050000}"/>
    <cellStyle name="標準 14 51" xfId="1451" xr:uid="{00000000-0005-0000-0000-0000AB050000}"/>
    <cellStyle name="標準 14 52" xfId="1452" xr:uid="{00000000-0005-0000-0000-0000AC050000}"/>
    <cellStyle name="標準 14 53" xfId="1453" xr:uid="{00000000-0005-0000-0000-0000AD050000}"/>
    <cellStyle name="標準 14 54" xfId="1454" xr:uid="{00000000-0005-0000-0000-0000AE050000}"/>
    <cellStyle name="標準 14 55" xfId="1455" xr:uid="{00000000-0005-0000-0000-0000AF050000}"/>
    <cellStyle name="標準 14 56" xfId="1456" xr:uid="{00000000-0005-0000-0000-0000B0050000}"/>
    <cellStyle name="標準 14 57" xfId="1457" xr:uid="{00000000-0005-0000-0000-0000B1050000}"/>
    <cellStyle name="標準 14 58" xfId="1458" xr:uid="{00000000-0005-0000-0000-0000B2050000}"/>
    <cellStyle name="標準 14 59" xfId="1459" xr:uid="{00000000-0005-0000-0000-0000B3050000}"/>
    <cellStyle name="標準 14 6" xfId="1460" xr:uid="{00000000-0005-0000-0000-0000B4050000}"/>
    <cellStyle name="標準 14 6 2" xfId="1461" xr:uid="{00000000-0005-0000-0000-0000B5050000}"/>
    <cellStyle name="標準 14 60" xfId="1462" xr:uid="{00000000-0005-0000-0000-0000B6050000}"/>
    <cellStyle name="標準 14 61" xfId="1463" xr:uid="{00000000-0005-0000-0000-0000B7050000}"/>
    <cellStyle name="標準 14 62" xfId="1464" xr:uid="{00000000-0005-0000-0000-0000B8050000}"/>
    <cellStyle name="標準 14 63" xfId="1465" xr:uid="{00000000-0005-0000-0000-0000B9050000}"/>
    <cellStyle name="標準 14 64" xfId="1466" xr:uid="{00000000-0005-0000-0000-0000BA050000}"/>
    <cellStyle name="標準 14 65" xfId="1467" xr:uid="{00000000-0005-0000-0000-0000BB050000}"/>
    <cellStyle name="標準 14 7" xfId="1468" xr:uid="{00000000-0005-0000-0000-0000BC050000}"/>
    <cellStyle name="標準 14 7 2" xfId="1469" xr:uid="{00000000-0005-0000-0000-0000BD050000}"/>
    <cellStyle name="標準 14 8" xfId="1470" xr:uid="{00000000-0005-0000-0000-0000BE050000}"/>
    <cellStyle name="標準 14 8 2" xfId="1471" xr:uid="{00000000-0005-0000-0000-0000BF050000}"/>
    <cellStyle name="標準 14 9" xfId="1472" xr:uid="{00000000-0005-0000-0000-0000C0050000}"/>
    <cellStyle name="標準 14 9 2" xfId="1473" xr:uid="{00000000-0005-0000-0000-0000C1050000}"/>
    <cellStyle name="標準 15" xfId="1474" xr:uid="{00000000-0005-0000-0000-0000C2050000}"/>
    <cellStyle name="標準 15 10" xfId="1475" xr:uid="{00000000-0005-0000-0000-0000C3050000}"/>
    <cellStyle name="標準 15 11" xfId="1476" xr:uid="{00000000-0005-0000-0000-0000C4050000}"/>
    <cellStyle name="標準 15 12" xfId="1477" xr:uid="{00000000-0005-0000-0000-0000C5050000}"/>
    <cellStyle name="標準 15 13" xfId="1478" xr:uid="{00000000-0005-0000-0000-0000C6050000}"/>
    <cellStyle name="標準 15 14" xfId="1479" xr:uid="{00000000-0005-0000-0000-0000C7050000}"/>
    <cellStyle name="標準 15 15" xfId="1480" xr:uid="{00000000-0005-0000-0000-0000C8050000}"/>
    <cellStyle name="標準 15 16" xfId="1481" xr:uid="{00000000-0005-0000-0000-0000C9050000}"/>
    <cellStyle name="標準 15 17" xfId="1482" xr:uid="{00000000-0005-0000-0000-0000CA050000}"/>
    <cellStyle name="標準 15 18" xfId="1483" xr:uid="{00000000-0005-0000-0000-0000CB050000}"/>
    <cellStyle name="標準 15 19" xfId="1484" xr:uid="{00000000-0005-0000-0000-0000CC050000}"/>
    <cellStyle name="標準 15 2" xfId="1485" xr:uid="{00000000-0005-0000-0000-0000CD050000}"/>
    <cellStyle name="標準 15 20" xfId="1486" xr:uid="{00000000-0005-0000-0000-0000CE050000}"/>
    <cellStyle name="標準 15 21" xfId="1487" xr:uid="{00000000-0005-0000-0000-0000CF050000}"/>
    <cellStyle name="標準 15 22" xfId="1488" xr:uid="{00000000-0005-0000-0000-0000D0050000}"/>
    <cellStyle name="標準 15 23" xfId="1489" xr:uid="{00000000-0005-0000-0000-0000D1050000}"/>
    <cellStyle name="標準 15 24" xfId="1490" xr:uid="{00000000-0005-0000-0000-0000D2050000}"/>
    <cellStyle name="標準 15 25" xfId="1491" xr:uid="{00000000-0005-0000-0000-0000D3050000}"/>
    <cellStyle name="標準 15 26" xfId="1492" xr:uid="{00000000-0005-0000-0000-0000D4050000}"/>
    <cellStyle name="標準 15 27" xfId="1493" xr:uid="{00000000-0005-0000-0000-0000D5050000}"/>
    <cellStyle name="標準 15 28" xfId="1494" xr:uid="{00000000-0005-0000-0000-0000D6050000}"/>
    <cellStyle name="標準 15 29" xfId="1495" xr:uid="{00000000-0005-0000-0000-0000D7050000}"/>
    <cellStyle name="標準 15 3" xfId="1496" xr:uid="{00000000-0005-0000-0000-0000D8050000}"/>
    <cellStyle name="標準 15 30" xfId="1497" xr:uid="{00000000-0005-0000-0000-0000D9050000}"/>
    <cellStyle name="標準 15 31" xfId="1498" xr:uid="{00000000-0005-0000-0000-0000DA050000}"/>
    <cellStyle name="標準 15 32" xfId="1499" xr:uid="{00000000-0005-0000-0000-0000DB050000}"/>
    <cellStyle name="標準 15 33" xfId="1500" xr:uid="{00000000-0005-0000-0000-0000DC050000}"/>
    <cellStyle name="標準 15 34" xfId="1501" xr:uid="{00000000-0005-0000-0000-0000DD050000}"/>
    <cellStyle name="標準 15 35" xfId="1502" xr:uid="{00000000-0005-0000-0000-0000DE050000}"/>
    <cellStyle name="標準 15 36" xfId="1503" xr:uid="{00000000-0005-0000-0000-0000DF050000}"/>
    <cellStyle name="標準 15 37" xfId="1504" xr:uid="{00000000-0005-0000-0000-0000E0050000}"/>
    <cellStyle name="標準 15 38" xfId="1505" xr:uid="{00000000-0005-0000-0000-0000E1050000}"/>
    <cellStyle name="標準 15 39" xfId="1506" xr:uid="{00000000-0005-0000-0000-0000E2050000}"/>
    <cellStyle name="標準 15 4" xfId="1507" xr:uid="{00000000-0005-0000-0000-0000E3050000}"/>
    <cellStyle name="標準 15 40" xfId="1508" xr:uid="{00000000-0005-0000-0000-0000E4050000}"/>
    <cellStyle name="標準 15 41" xfId="1509" xr:uid="{00000000-0005-0000-0000-0000E5050000}"/>
    <cellStyle name="標準 15 42" xfId="1510" xr:uid="{00000000-0005-0000-0000-0000E6050000}"/>
    <cellStyle name="標準 15 43" xfId="1511" xr:uid="{00000000-0005-0000-0000-0000E7050000}"/>
    <cellStyle name="標準 15 44" xfId="1512" xr:uid="{00000000-0005-0000-0000-0000E8050000}"/>
    <cellStyle name="標準 15 45" xfId="1513" xr:uid="{00000000-0005-0000-0000-0000E9050000}"/>
    <cellStyle name="標準 15 46" xfId="1514" xr:uid="{00000000-0005-0000-0000-0000EA050000}"/>
    <cellStyle name="標準 15 47" xfId="1515" xr:uid="{00000000-0005-0000-0000-0000EB050000}"/>
    <cellStyle name="標準 15 48" xfId="1516" xr:uid="{00000000-0005-0000-0000-0000EC050000}"/>
    <cellStyle name="標準 15 49" xfId="1517" xr:uid="{00000000-0005-0000-0000-0000ED050000}"/>
    <cellStyle name="標準 15 5" xfId="1518" xr:uid="{00000000-0005-0000-0000-0000EE050000}"/>
    <cellStyle name="標準 15 50" xfId="1519" xr:uid="{00000000-0005-0000-0000-0000EF050000}"/>
    <cellStyle name="標準 15 51" xfId="1520" xr:uid="{00000000-0005-0000-0000-0000F0050000}"/>
    <cellStyle name="標準 15 52" xfId="1521" xr:uid="{00000000-0005-0000-0000-0000F1050000}"/>
    <cellStyle name="標準 15 53" xfId="1522" xr:uid="{00000000-0005-0000-0000-0000F2050000}"/>
    <cellStyle name="標準 15 54" xfId="1523" xr:uid="{00000000-0005-0000-0000-0000F3050000}"/>
    <cellStyle name="標準 15 55" xfId="1524" xr:uid="{00000000-0005-0000-0000-0000F4050000}"/>
    <cellStyle name="標準 15 56" xfId="1525" xr:uid="{00000000-0005-0000-0000-0000F5050000}"/>
    <cellStyle name="標準 15 57" xfId="1526" xr:uid="{00000000-0005-0000-0000-0000F6050000}"/>
    <cellStyle name="標準 15 58" xfId="1527" xr:uid="{00000000-0005-0000-0000-0000F7050000}"/>
    <cellStyle name="標準 15 59" xfId="1528" xr:uid="{00000000-0005-0000-0000-0000F8050000}"/>
    <cellStyle name="標準 15 6" xfId="1529" xr:uid="{00000000-0005-0000-0000-0000F9050000}"/>
    <cellStyle name="標準 15 60" xfId="1530" xr:uid="{00000000-0005-0000-0000-0000FA050000}"/>
    <cellStyle name="標準 15 61" xfId="1531" xr:uid="{00000000-0005-0000-0000-0000FB050000}"/>
    <cellStyle name="標準 15 62" xfId="1532" xr:uid="{00000000-0005-0000-0000-0000FC050000}"/>
    <cellStyle name="標準 15 63" xfId="1533" xr:uid="{00000000-0005-0000-0000-0000FD050000}"/>
    <cellStyle name="標準 15 64" xfId="1534" xr:uid="{00000000-0005-0000-0000-0000FE050000}"/>
    <cellStyle name="標準 15 65" xfId="1535" xr:uid="{00000000-0005-0000-0000-0000FF050000}"/>
    <cellStyle name="標準 15 7" xfId="1536" xr:uid="{00000000-0005-0000-0000-000000060000}"/>
    <cellStyle name="標準 15 8" xfId="1537" xr:uid="{00000000-0005-0000-0000-000001060000}"/>
    <cellStyle name="標準 15 9" xfId="1538" xr:uid="{00000000-0005-0000-0000-000002060000}"/>
    <cellStyle name="標準 16" xfId="1539" xr:uid="{00000000-0005-0000-0000-000003060000}"/>
    <cellStyle name="標準 16 10" xfId="1540" xr:uid="{00000000-0005-0000-0000-000004060000}"/>
    <cellStyle name="標準 16 10 2" xfId="1541" xr:uid="{00000000-0005-0000-0000-000005060000}"/>
    <cellStyle name="標準 16 11" xfId="1542" xr:uid="{00000000-0005-0000-0000-000006060000}"/>
    <cellStyle name="標準 16 11 2" xfId="1543" xr:uid="{00000000-0005-0000-0000-000007060000}"/>
    <cellStyle name="標準 16 12" xfId="1544" xr:uid="{00000000-0005-0000-0000-000008060000}"/>
    <cellStyle name="標準 16 12 2" xfId="1545" xr:uid="{00000000-0005-0000-0000-000009060000}"/>
    <cellStyle name="標準 16 13" xfId="1546" xr:uid="{00000000-0005-0000-0000-00000A060000}"/>
    <cellStyle name="標準 16 13 2" xfId="1547" xr:uid="{00000000-0005-0000-0000-00000B060000}"/>
    <cellStyle name="標準 16 14" xfId="1548" xr:uid="{00000000-0005-0000-0000-00000C060000}"/>
    <cellStyle name="標準 16 14 2" xfId="1549" xr:uid="{00000000-0005-0000-0000-00000D060000}"/>
    <cellStyle name="標準 16 15" xfId="1550" xr:uid="{00000000-0005-0000-0000-00000E060000}"/>
    <cellStyle name="標準 16 15 2" xfId="1551" xr:uid="{00000000-0005-0000-0000-00000F060000}"/>
    <cellStyle name="標準 16 16" xfId="1552" xr:uid="{00000000-0005-0000-0000-000010060000}"/>
    <cellStyle name="標準 16 16 2" xfId="1553" xr:uid="{00000000-0005-0000-0000-000011060000}"/>
    <cellStyle name="標準 16 17" xfId="1554" xr:uid="{00000000-0005-0000-0000-000012060000}"/>
    <cellStyle name="標準 16 17 2" xfId="1555" xr:uid="{00000000-0005-0000-0000-000013060000}"/>
    <cellStyle name="標準 16 18" xfId="1556" xr:uid="{00000000-0005-0000-0000-000014060000}"/>
    <cellStyle name="標準 16 18 2" xfId="1557" xr:uid="{00000000-0005-0000-0000-000015060000}"/>
    <cellStyle name="標準 16 19" xfId="1558" xr:uid="{00000000-0005-0000-0000-000016060000}"/>
    <cellStyle name="標準 16 19 2" xfId="1559" xr:uid="{00000000-0005-0000-0000-000017060000}"/>
    <cellStyle name="標準 16 2" xfId="1560" xr:uid="{00000000-0005-0000-0000-000018060000}"/>
    <cellStyle name="標準 16 2 2" xfId="1561" xr:uid="{00000000-0005-0000-0000-000019060000}"/>
    <cellStyle name="標準 16 20" xfId="1562" xr:uid="{00000000-0005-0000-0000-00001A060000}"/>
    <cellStyle name="標準 16 20 2" xfId="1563" xr:uid="{00000000-0005-0000-0000-00001B060000}"/>
    <cellStyle name="標準 16 21" xfId="1564" xr:uid="{00000000-0005-0000-0000-00001C060000}"/>
    <cellStyle name="標準 16 21 2" xfId="1565" xr:uid="{00000000-0005-0000-0000-00001D060000}"/>
    <cellStyle name="標準 16 22" xfId="1566" xr:uid="{00000000-0005-0000-0000-00001E060000}"/>
    <cellStyle name="標準 16 22 2" xfId="1567" xr:uid="{00000000-0005-0000-0000-00001F060000}"/>
    <cellStyle name="標準 16 23" xfId="1568" xr:uid="{00000000-0005-0000-0000-000020060000}"/>
    <cellStyle name="標準 16 23 2" xfId="1569" xr:uid="{00000000-0005-0000-0000-000021060000}"/>
    <cellStyle name="標準 16 24" xfId="1570" xr:uid="{00000000-0005-0000-0000-000022060000}"/>
    <cellStyle name="標準 16 24 2" xfId="1571" xr:uid="{00000000-0005-0000-0000-000023060000}"/>
    <cellStyle name="標準 16 25" xfId="1572" xr:uid="{00000000-0005-0000-0000-000024060000}"/>
    <cellStyle name="標準 16 25 2" xfId="1573" xr:uid="{00000000-0005-0000-0000-000025060000}"/>
    <cellStyle name="標準 16 26" xfId="1574" xr:uid="{00000000-0005-0000-0000-000026060000}"/>
    <cellStyle name="標準 16 26 2" xfId="1575" xr:uid="{00000000-0005-0000-0000-000027060000}"/>
    <cellStyle name="標準 16 27" xfId="1576" xr:uid="{00000000-0005-0000-0000-000028060000}"/>
    <cellStyle name="標準 16 27 2" xfId="1577" xr:uid="{00000000-0005-0000-0000-000029060000}"/>
    <cellStyle name="標準 16 28" xfId="1578" xr:uid="{00000000-0005-0000-0000-00002A060000}"/>
    <cellStyle name="標準 16 28 2" xfId="1579" xr:uid="{00000000-0005-0000-0000-00002B060000}"/>
    <cellStyle name="標準 16 29" xfId="1580" xr:uid="{00000000-0005-0000-0000-00002C060000}"/>
    <cellStyle name="標準 16 29 2" xfId="1581" xr:uid="{00000000-0005-0000-0000-00002D060000}"/>
    <cellStyle name="標準 16 3" xfId="1582" xr:uid="{00000000-0005-0000-0000-00002E060000}"/>
    <cellStyle name="標準 16 3 2" xfId="1583" xr:uid="{00000000-0005-0000-0000-00002F060000}"/>
    <cellStyle name="標準 16 30" xfId="1584" xr:uid="{00000000-0005-0000-0000-000030060000}"/>
    <cellStyle name="標準 16 30 2" xfId="1585" xr:uid="{00000000-0005-0000-0000-000031060000}"/>
    <cellStyle name="標準 16 31" xfId="1586" xr:uid="{00000000-0005-0000-0000-000032060000}"/>
    <cellStyle name="標準 16 31 2" xfId="1587" xr:uid="{00000000-0005-0000-0000-000033060000}"/>
    <cellStyle name="標準 16 32" xfId="1588" xr:uid="{00000000-0005-0000-0000-000034060000}"/>
    <cellStyle name="標準 16 32 2" xfId="1589" xr:uid="{00000000-0005-0000-0000-000035060000}"/>
    <cellStyle name="標準 16 33" xfId="1590" xr:uid="{00000000-0005-0000-0000-000036060000}"/>
    <cellStyle name="標準 16 33 2" xfId="1591" xr:uid="{00000000-0005-0000-0000-000037060000}"/>
    <cellStyle name="標準 16 34" xfId="1592" xr:uid="{00000000-0005-0000-0000-000038060000}"/>
    <cellStyle name="標準 16 34 2" xfId="1593" xr:uid="{00000000-0005-0000-0000-000039060000}"/>
    <cellStyle name="標準 16 35" xfId="1594" xr:uid="{00000000-0005-0000-0000-00003A060000}"/>
    <cellStyle name="標準 16 35 2" xfId="1595" xr:uid="{00000000-0005-0000-0000-00003B060000}"/>
    <cellStyle name="標準 16 36" xfId="1596" xr:uid="{00000000-0005-0000-0000-00003C060000}"/>
    <cellStyle name="標準 16 36 2" xfId="1597" xr:uid="{00000000-0005-0000-0000-00003D060000}"/>
    <cellStyle name="標準 16 37" xfId="1598" xr:uid="{00000000-0005-0000-0000-00003E060000}"/>
    <cellStyle name="標準 16 38" xfId="1599" xr:uid="{00000000-0005-0000-0000-00003F060000}"/>
    <cellStyle name="標準 16 39" xfId="1600" xr:uid="{00000000-0005-0000-0000-000040060000}"/>
    <cellStyle name="標準 16 4" xfId="1601" xr:uid="{00000000-0005-0000-0000-000041060000}"/>
    <cellStyle name="標準 16 4 2" xfId="1602" xr:uid="{00000000-0005-0000-0000-000042060000}"/>
    <cellStyle name="標準 16 40" xfId="1603" xr:uid="{00000000-0005-0000-0000-000043060000}"/>
    <cellStyle name="標準 16 41" xfId="1604" xr:uid="{00000000-0005-0000-0000-000044060000}"/>
    <cellStyle name="標準 16 42" xfId="1605" xr:uid="{00000000-0005-0000-0000-000045060000}"/>
    <cellStyle name="標準 16 43" xfId="1606" xr:uid="{00000000-0005-0000-0000-000046060000}"/>
    <cellStyle name="標準 16 44" xfId="1607" xr:uid="{00000000-0005-0000-0000-000047060000}"/>
    <cellStyle name="標準 16 45" xfId="1608" xr:uid="{00000000-0005-0000-0000-000048060000}"/>
    <cellStyle name="標準 16 46" xfId="1609" xr:uid="{00000000-0005-0000-0000-000049060000}"/>
    <cellStyle name="標準 16 47" xfId="1610" xr:uid="{00000000-0005-0000-0000-00004A060000}"/>
    <cellStyle name="標準 16 48" xfId="1611" xr:uid="{00000000-0005-0000-0000-00004B060000}"/>
    <cellStyle name="標準 16 49" xfId="1612" xr:uid="{00000000-0005-0000-0000-00004C060000}"/>
    <cellStyle name="標準 16 5" xfId="1613" xr:uid="{00000000-0005-0000-0000-00004D060000}"/>
    <cellStyle name="標準 16 5 2" xfId="1614" xr:uid="{00000000-0005-0000-0000-00004E060000}"/>
    <cellStyle name="標準 16 50" xfId="1615" xr:uid="{00000000-0005-0000-0000-00004F060000}"/>
    <cellStyle name="標準 16 51" xfId="1616" xr:uid="{00000000-0005-0000-0000-000050060000}"/>
    <cellStyle name="標準 16 52" xfId="1617" xr:uid="{00000000-0005-0000-0000-000051060000}"/>
    <cellStyle name="標準 16 53" xfId="1618" xr:uid="{00000000-0005-0000-0000-000052060000}"/>
    <cellStyle name="標準 16 54" xfId="1619" xr:uid="{00000000-0005-0000-0000-000053060000}"/>
    <cellStyle name="標準 16 55" xfId="1620" xr:uid="{00000000-0005-0000-0000-000054060000}"/>
    <cellStyle name="標準 16 56" xfId="1621" xr:uid="{00000000-0005-0000-0000-000055060000}"/>
    <cellStyle name="標準 16 57" xfId="1622" xr:uid="{00000000-0005-0000-0000-000056060000}"/>
    <cellStyle name="標準 16 58" xfId="1623" xr:uid="{00000000-0005-0000-0000-000057060000}"/>
    <cellStyle name="標準 16 59" xfId="1624" xr:uid="{00000000-0005-0000-0000-000058060000}"/>
    <cellStyle name="標準 16 6" xfId="1625" xr:uid="{00000000-0005-0000-0000-000059060000}"/>
    <cellStyle name="標準 16 6 2" xfId="1626" xr:uid="{00000000-0005-0000-0000-00005A060000}"/>
    <cellStyle name="標準 16 60" xfId="1627" xr:uid="{00000000-0005-0000-0000-00005B060000}"/>
    <cellStyle name="標準 16 61" xfId="1628" xr:uid="{00000000-0005-0000-0000-00005C060000}"/>
    <cellStyle name="標準 16 62" xfId="1629" xr:uid="{00000000-0005-0000-0000-00005D060000}"/>
    <cellStyle name="標準 16 63" xfId="1630" xr:uid="{00000000-0005-0000-0000-00005E060000}"/>
    <cellStyle name="標準 16 64" xfId="1631" xr:uid="{00000000-0005-0000-0000-00005F060000}"/>
    <cellStyle name="標準 16 65" xfId="1632" xr:uid="{00000000-0005-0000-0000-000060060000}"/>
    <cellStyle name="標準 16 66" xfId="1633" xr:uid="{00000000-0005-0000-0000-000061060000}"/>
    <cellStyle name="標準 16 7" xfId="1634" xr:uid="{00000000-0005-0000-0000-000062060000}"/>
    <cellStyle name="標準 16 7 2" xfId="1635" xr:uid="{00000000-0005-0000-0000-000063060000}"/>
    <cellStyle name="標準 16 8" xfId="1636" xr:uid="{00000000-0005-0000-0000-000064060000}"/>
    <cellStyle name="標準 16 8 2" xfId="1637" xr:uid="{00000000-0005-0000-0000-000065060000}"/>
    <cellStyle name="標準 16 9" xfId="1638" xr:uid="{00000000-0005-0000-0000-000066060000}"/>
    <cellStyle name="標準 16 9 2" xfId="1639" xr:uid="{00000000-0005-0000-0000-000067060000}"/>
    <cellStyle name="標準 17" xfId="1640" xr:uid="{00000000-0005-0000-0000-000068060000}"/>
    <cellStyle name="標準 17 10" xfId="1641" xr:uid="{00000000-0005-0000-0000-000069060000}"/>
    <cellStyle name="標準 17 10 2" xfId="1642" xr:uid="{00000000-0005-0000-0000-00006A060000}"/>
    <cellStyle name="標準 17 11" xfId="1643" xr:uid="{00000000-0005-0000-0000-00006B060000}"/>
    <cellStyle name="標準 17 11 2" xfId="1644" xr:uid="{00000000-0005-0000-0000-00006C060000}"/>
    <cellStyle name="標準 17 12" xfId="1645" xr:uid="{00000000-0005-0000-0000-00006D060000}"/>
    <cellStyle name="標準 17 12 2" xfId="1646" xr:uid="{00000000-0005-0000-0000-00006E060000}"/>
    <cellStyle name="標準 17 13" xfId="1647" xr:uid="{00000000-0005-0000-0000-00006F060000}"/>
    <cellStyle name="標準 17 13 2" xfId="1648" xr:uid="{00000000-0005-0000-0000-000070060000}"/>
    <cellStyle name="標準 17 14" xfId="1649" xr:uid="{00000000-0005-0000-0000-000071060000}"/>
    <cellStyle name="標準 17 14 2" xfId="1650" xr:uid="{00000000-0005-0000-0000-000072060000}"/>
    <cellStyle name="標準 17 15" xfId="1651" xr:uid="{00000000-0005-0000-0000-000073060000}"/>
    <cellStyle name="標準 17 15 2" xfId="1652" xr:uid="{00000000-0005-0000-0000-000074060000}"/>
    <cellStyle name="標準 17 16" xfId="1653" xr:uid="{00000000-0005-0000-0000-000075060000}"/>
    <cellStyle name="標準 17 16 2" xfId="1654" xr:uid="{00000000-0005-0000-0000-000076060000}"/>
    <cellStyle name="標準 17 17" xfId="1655" xr:uid="{00000000-0005-0000-0000-000077060000}"/>
    <cellStyle name="標準 17 17 2" xfId="1656" xr:uid="{00000000-0005-0000-0000-000078060000}"/>
    <cellStyle name="標準 17 18" xfId="1657" xr:uid="{00000000-0005-0000-0000-000079060000}"/>
    <cellStyle name="標準 17 18 2" xfId="1658" xr:uid="{00000000-0005-0000-0000-00007A060000}"/>
    <cellStyle name="標準 17 19" xfId="1659" xr:uid="{00000000-0005-0000-0000-00007B060000}"/>
    <cellStyle name="標準 17 19 2" xfId="1660" xr:uid="{00000000-0005-0000-0000-00007C060000}"/>
    <cellStyle name="標準 17 2" xfId="1661" xr:uid="{00000000-0005-0000-0000-00007D060000}"/>
    <cellStyle name="標準 17 2 2" xfId="1662" xr:uid="{00000000-0005-0000-0000-00007E060000}"/>
    <cellStyle name="標準 17 20" xfId="1663" xr:uid="{00000000-0005-0000-0000-00007F060000}"/>
    <cellStyle name="標準 17 20 2" xfId="1664" xr:uid="{00000000-0005-0000-0000-000080060000}"/>
    <cellStyle name="標準 17 21" xfId="1665" xr:uid="{00000000-0005-0000-0000-000081060000}"/>
    <cellStyle name="標準 17 21 2" xfId="1666" xr:uid="{00000000-0005-0000-0000-000082060000}"/>
    <cellStyle name="標準 17 22" xfId="1667" xr:uid="{00000000-0005-0000-0000-000083060000}"/>
    <cellStyle name="標準 17 22 2" xfId="1668" xr:uid="{00000000-0005-0000-0000-000084060000}"/>
    <cellStyle name="標準 17 23" xfId="1669" xr:uid="{00000000-0005-0000-0000-000085060000}"/>
    <cellStyle name="標準 17 23 2" xfId="1670" xr:uid="{00000000-0005-0000-0000-000086060000}"/>
    <cellStyle name="標準 17 24" xfId="1671" xr:uid="{00000000-0005-0000-0000-000087060000}"/>
    <cellStyle name="標準 17 24 2" xfId="1672" xr:uid="{00000000-0005-0000-0000-000088060000}"/>
    <cellStyle name="標準 17 25" xfId="1673" xr:uid="{00000000-0005-0000-0000-000089060000}"/>
    <cellStyle name="標準 17 25 2" xfId="1674" xr:uid="{00000000-0005-0000-0000-00008A060000}"/>
    <cellStyle name="標準 17 26" xfId="1675" xr:uid="{00000000-0005-0000-0000-00008B060000}"/>
    <cellStyle name="標準 17 26 2" xfId="1676" xr:uid="{00000000-0005-0000-0000-00008C060000}"/>
    <cellStyle name="標準 17 27" xfId="1677" xr:uid="{00000000-0005-0000-0000-00008D060000}"/>
    <cellStyle name="標準 17 27 2" xfId="1678" xr:uid="{00000000-0005-0000-0000-00008E060000}"/>
    <cellStyle name="標準 17 28" xfId="1679" xr:uid="{00000000-0005-0000-0000-00008F060000}"/>
    <cellStyle name="標準 17 28 2" xfId="1680" xr:uid="{00000000-0005-0000-0000-000090060000}"/>
    <cellStyle name="標準 17 29" xfId="1681" xr:uid="{00000000-0005-0000-0000-000091060000}"/>
    <cellStyle name="標準 17 29 2" xfId="1682" xr:uid="{00000000-0005-0000-0000-000092060000}"/>
    <cellStyle name="標準 17 3" xfId="1683" xr:uid="{00000000-0005-0000-0000-000093060000}"/>
    <cellStyle name="標準 17 3 2" xfId="1684" xr:uid="{00000000-0005-0000-0000-000094060000}"/>
    <cellStyle name="標準 17 30" xfId="1685" xr:uid="{00000000-0005-0000-0000-000095060000}"/>
    <cellStyle name="標準 17 30 2" xfId="1686" xr:uid="{00000000-0005-0000-0000-000096060000}"/>
    <cellStyle name="標準 17 31" xfId="1687" xr:uid="{00000000-0005-0000-0000-000097060000}"/>
    <cellStyle name="標準 17 31 2" xfId="1688" xr:uid="{00000000-0005-0000-0000-000098060000}"/>
    <cellStyle name="標準 17 32" xfId="1689" xr:uid="{00000000-0005-0000-0000-000099060000}"/>
    <cellStyle name="標準 17 32 2" xfId="1690" xr:uid="{00000000-0005-0000-0000-00009A060000}"/>
    <cellStyle name="標準 17 33" xfId="1691" xr:uid="{00000000-0005-0000-0000-00009B060000}"/>
    <cellStyle name="標準 17 33 2" xfId="1692" xr:uid="{00000000-0005-0000-0000-00009C060000}"/>
    <cellStyle name="標準 17 34" xfId="1693" xr:uid="{00000000-0005-0000-0000-00009D060000}"/>
    <cellStyle name="標準 17 34 2" xfId="1694" xr:uid="{00000000-0005-0000-0000-00009E060000}"/>
    <cellStyle name="標準 17 35" xfId="1695" xr:uid="{00000000-0005-0000-0000-00009F060000}"/>
    <cellStyle name="標準 17 35 2" xfId="1696" xr:uid="{00000000-0005-0000-0000-0000A0060000}"/>
    <cellStyle name="標準 17 36" xfId="1697" xr:uid="{00000000-0005-0000-0000-0000A1060000}"/>
    <cellStyle name="標準 17 36 2" xfId="1698" xr:uid="{00000000-0005-0000-0000-0000A2060000}"/>
    <cellStyle name="標準 17 37" xfId="1699" xr:uid="{00000000-0005-0000-0000-0000A3060000}"/>
    <cellStyle name="標準 17 38" xfId="1700" xr:uid="{00000000-0005-0000-0000-0000A4060000}"/>
    <cellStyle name="標準 17 39" xfId="1701" xr:uid="{00000000-0005-0000-0000-0000A5060000}"/>
    <cellStyle name="標準 17 4" xfId="1702" xr:uid="{00000000-0005-0000-0000-0000A6060000}"/>
    <cellStyle name="標準 17 4 2" xfId="1703" xr:uid="{00000000-0005-0000-0000-0000A7060000}"/>
    <cellStyle name="標準 17 40" xfId="1704" xr:uid="{00000000-0005-0000-0000-0000A8060000}"/>
    <cellStyle name="標準 17 41" xfId="1705" xr:uid="{00000000-0005-0000-0000-0000A9060000}"/>
    <cellStyle name="標準 17 42" xfId="1706" xr:uid="{00000000-0005-0000-0000-0000AA060000}"/>
    <cellStyle name="標準 17 43" xfId="1707" xr:uid="{00000000-0005-0000-0000-0000AB060000}"/>
    <cellStyle name="標準 17 44" xfId="1708" xr:uid="{00000000-0005-0000-0000-0000AC060000}"/>
    <cellStyle name="標準 17 45" xfId="1709" xr:uid="{00000000-0005-0000-0000-0000AD060000}"/>
    <cellStyle name="標準 17 46" xfId="1710" xr:uid="{00000000-0005-0000-0000-0000AE060000}"/>
    <cellStyle name="標準 17 47" xfId="1711" xr:uid="{00000000-0005-0000-0000-0000AF060000}"/>
    <cellStyle name="標準 17 48" xfId="1712" xr:uid="{00000000-0005-0000-0000-0000B0060000}"/>
    <cellStyle name="標準 17 49" xfId="1713" xr:uid="{00000000-0005-0000-0000-0000B1060000}"/>
    <cellStyle name="標準 17 5" xfId="1714" xr:uid="{00000000-0005-0000-0000-0000B2060000}"/>
    <cellStyle name="標準 17 5 2" xfId="1715" xr:uid="{00000000-0005-0000-0000-0000B3060000}"/>
    <cellStyle name="標準 17 50" xfId="1716" xr:uid="{00000000-0005-0000-0000-0000B4060000}"/>
    <cellStyle name="標準 17 51" xfId="1717" xr:uid="{00000000-0005-0000-0000-0000B5060000}"/>
    <cellStyle name="標準 17 52" xfId="1718" xr:uid="{00000000-0005-0000-0000-0000B6060000}"/>
    <cellStyle name="標準 17 53" xfId="1719" xr:uid="{00000000-0005-0000-0000-0000B7060000}"/>
    <cellStyle name="標準 17 54" xfId="1720" xr:uid="{00000000-0005-0000-0000-0000B8060000}"/>
    <cellStyle name="標準 17 55" xfId="1721" xr:uid="{00000000-0005-0000-0000-0000B9060000}"/>
    <cellStyle name="標準 17 56" xfId="1722" xr:uid="{00000000-0005-0000-0000-0000BA060000}"/>
    <cellStyle name="標準 17 57" xfId="1723" xr:uid="{00000000-0005-0000-0000-0000BB060000}"/>
    <cellStyle name="標準 17 58" xfId="1724" xr:uid="{00000000-0005-0000-0000-0000BC060000}"/>
    <cellStyle name="標準 17 59" xfId="1725" xr:uid="{00000000-0005-0000-0000-0000BD060000}"/>
    <cellStyle name="標準 17 6" xfId="1726" xr:uid="{00000000-0005-0000-0000-0000BE060000}"/>
    <cellStyle name="標準 17 6 2" xfId="1727" xr:uid="{00000000-0005-0000-0000-0000BF060000}"/>
    <cellStyle name="標準 17 60" xfId="1728" xr:uid="{00000000-0005-0000-0000-0000C0060000}"/>
    <cellStyle name="標準 17 61" xfId="1729" xr:uid="{00000000-0005-0000-0000-0000C1060000}"/>
    <cellStyle name="標準 17 62" xfId="1730" xr:uid="{00000000-0005-0000-0000-0000C2060000}"/>
    <cellStyle name="標準 17 63" xfId="1731" xr:uid="{00000000-0005-0000-0000-0000C3060000}"/>
    <cellStyle name="標準 17 64" xfId="1732" xr:uid="{00000000-0005-0000-0000-0000C4060000}"/>
    <cellStyle name="標準 17 65" xfId="1733" xr:uid="{00000000-0005-0000-0000-0000C5060000}"/>
    <cellStyle name="標準 17 66" xfId="1734" xr:uid="{00000000-0005-0000-0000-0000C6060000}"/>
    <cellStyle name="標準 17 7" xfId="1735" xr:uid="{00000000-0005-0000-0000-0000C7060000}"/>
    <cellStyle name="標準 17 7 2" xfId="1736" xr:uid="{00000000-0005-0000-0000-0000C8060000}"/>
    <cellStyle name="標準 17 8" xfId="1737" xr:uid="{00000000-0005-0000-0000-0000C9060000}"/>
    <cellStyle name="標準 17 8 2" xfId="1738" xr:uid="{00000000-0005-0000-0000-0000CA060000}"/>
    <cellStyle name="標準 17 9" xfId="1739" xr:uid="{00000000-0005-0000-0000-0000CB060000}"/>
    <cellStyle name="標準 17 9 2" xfId="1740" xr:uid="{00000000-0005-0000-0000-0000CC060000}"/>
    <cellStyle name="標準 18" xfId="1741" xr:uid="{00000000-0005-0000-0000-0000CD060000}"/>
    <cellStyle name="標準 18 10" xfId="1742" xr:uid="{00000000-0005-0000-0000-0000CE060000}"/>
    <cellStyle name="標準 18 10 2" xfId="1743" xr:uid="{00000000-0005-0000-0000-0000CF060000}"/>
    <cellStyle name="標準 18 11" xfId="1744" xr:uid="{00000000-0005-0000-0000-0000D0060000}"/>
    <cellStyle name="標準 18 11 2" xfId="1745" xr:uid="{00000000-0005-0000-0000-0000D1060000}"/>
    <cellStyle name="標準 18 12" xfId="1746" xr:uid="{00000000-0005-0000-0000-0000D2060000}"/>
    <cellStyle name="標準 18 12 2" xfId="1747" xr:uid="{00000000-0005-0000-0000-0000D3060000}"/>
    <cellStyle name="標準 18 13" xfId="1748" xr:uid="{00000000-0005-0000-0000-0000D4060000}"/>
    <cellStyle name="標準 18 13 2" xfId="1749" xr:uid="{00000000-0005-0000-0000-0000D5060000}"/>
    <cellStyle name="標準 18 14" xfId="1750" xr:uid="{00000000-0005-0000-0000-0000D6060000}"/>
    <cellStyle name="標準 18 14 2" xfId="1751" xr:uid="{00000000-0005-0000-0000-0000D7060000}"/>
    <cellStyle name="標準 18 15" xfId="1752" xr:uid="{00000000-0005-0000-0000-0000D8060000}"/>
    <cellStyle name="標準 18 15 2" xfId="1753" xr:uid="{00000000-0005-0000-0000-0000D9060000}"/>
    <cellStyle name="標準 18 16" xfId="1754" xr:uid="{00000000-0005-0000-0000-0000DA060000}"/>
    <cellStyle name="標準 18 16 2" xfId="1755" xr:uid="{00000000-0005-0000-0000-0000DB060000}"/>
    <cellStyle name="標準 18 17" xfId="1756" xr:uid="{00000000-0005-0000-0000-0000DC060000}"/>
    <cellStyle name="標準 18 17 2" xfId="1757" xr:uid="{00000000-0005-0000-0000-0000DD060000}"/>
    <cellStyle name="標準 18 18" xfId="1758" xr:uid="{00000000-0005-0000-0000-0000DE060000}"/>
    <cellStyle name="標準 18 18 2" xfId="1759" xr:uid="{00000000-0005-0000-0000-0000DF060000}"/>
    <cellStyle name="標準 18 19" xfId="1760" xr:uid="{00000000-0005-0000-0000-0000E0060000}"/>
    <cellStyle name="標準 18 19 2" xfId="1761" xr:uid="{00000000-0005-0000-0000-0000E1060000}"/>
    <cellStyle name="標準 18 2" xfId="1762" xr:uid="{00000000-0005-0000-0000-0000E2060000}"/>
    <cellStyle name="標準 18 2 2" xfId="1763" xr:uid="{00000000-0005-0000-0000-0000E3060000}"/>
    <cellStyle name="標準 18 20" xfId="1764" xr:uid="{00000000-0005-0000-0000-0000E4060000}"/>
    <cellStyle name="標準 18 20 2" xfId="1765" xr:uid="{00000000-0005-0000-0000-0000E5060000}"/>
    <cellStyle name="標準 18 21" xfId="1766" xr:uid="{00000000-0005-0000-0000-0000E6060000}"/>
    <cellStyle name="標準 18 21 2" xfId="1767" xr:uid="{00000000-0005-0000-0000-0000E7060000}"/>
    <cellStyle name="標準 18 22" xfId="1768" xr:uid="{00000000-0005-0000-0000-0000E8060000}"/>
    <cellStyle name="標準 18 22 2" xfId="1769" xr:uid="{00000000-0005-0000-0000-0000E9060000}"/>
    <cellStyle name="標準 18 23" xfId="1770" xr:uid="{00000000-0005-0000-0000-0000EA060000}"/>
    <cellStyle name="標準 18 23 2" xfId="1771" xr:uid="{00000000-0005-0000-0000-0000EB060000}"/>
    <cellStyle name="標準 18 24" xfId="1772" xr:uid="{00000000-0005-0000-0000-0000EC060000}"/>
    <cellStyle name="標準 18 24 2" xfId="1773" xr:uid="{00000000-0005-0000-0000-0000ED060000}"/>
    <cellStyle name="標準 18 25" xfId="1774" xr:uid="{00000000-0005-0000-0000-0000EE060000}"/>
    <cellStyle name="標準 18 25 2" xfId="1775" xr:uid="{00000000-0005-0000-0000-0000EF060000}"/>
    <cellStyle name="標準 18 26" xfId="1776" xr:uid="{00000000-0005-0000-0000-0000F0060000}"/>
    <cellStyle name="標準 18 26 2" xfId="1777" xr:uid="{00000000-0005-0000-0000-0000F1060000}"/>
    <cellStyle name="標準 18 27" xfId="1778" xr:uid="{00000000-0005-0000-0000-0000F2060000}"/>
    <cellStyle name="標準 18 27 2" xfId="1779" xr:uid="{00000000-0005-0000-0000-0000F3060000}"/>
    <cellStyle name="標準 18 28" xfId="1780" xr:uid="{00000000-0005-0000-0000-0000F4060000}"/>
    <cellStyle name="標準 18 28 2" xfId="1781" xr:uid="{00000000-0005-0000-0000-0000F5060000}"/>
    <cellStyle name="標準 18 29" xfId="1782" xr:uid="{00000000-0005-0000-0000-0000F6060000}"/>
    <cellStyle name="標準 18 29 2" xfId="1783" xr:uid="{00000000-0005-0000-0000-0000F7060000}"/>
    <cellStyle name="標準 18 3" xfId="1784" xr:uid="{00000000-0005-0000-0000-0000F8060000}"/>
    <cellStyle name="標準 18 3 2" xfId="1785" xr:uid="{00000000-0005-0000-0000-0000F9060000}"/>
    <cellStyle name="標準 18 30" xfId="1786" xr:uid="{00000000-0005-0000-0000-0000FA060000}"/>
    <cellStyle name="標準 18 30 2" xfId="1787" xr:uid="{00000000-0005-0000-0000-0000FB060000}"/>
    <cellStyle name="標準 18 31" xfId="1788" xr:uid="{00000000-0005-0000-0000-0000FC060000}"/>
    <cellStyle name="標準 18 31 2" xfId="1789" xr:uid="{00000000-0005-0000-0000-0000FD060000}"/>
    <cellStyle name="標準 18 32" xfId="1790" xr:uid="{00000000-0005-0000-0000-0000FE060000}"/>
    <cellStyle name="標準 18 32 2" xfId="1791" xr:uid="{00000000-0005-0000-0000-0000FF060000}"/>
    <cellStyle name="標準 18 33" xfId="1792" xr:uid="{00000000-0005-0000-0000-000000070000}"/>
    <cellStyle name="標準 18 33 2" xfId="1793" xr:uid="{00000000-0005-0000-0000-000001070000}"/>
    <cellStyle name="標準 18 34" xfId="1794" xr:uid="{00000000-0005-0000-0000-000002070000}"/>
    <cellStyle name="標準 18 34 2" xfId="1795" xr:uid="{00000000-0005-0000-0000-000003070000}"/>
    <cellStyle name="標準 18 35" xfId="1796" xr:uid="{00000000-0005-0000-0000-000004070000}"/>
    <cellStyle name="標準 18 35 2" xfId="1797" xr:uid="{00000000-0005-0000-0000-000005070000}"/>
    <cellStyle name="標準 18 36" xfId="1798" xr:uid="{00000000-0005-0000-0000-000006070000}"/>
    <cellStyle name="標準 18 36 2" xfId="1799" xr:uid="{00000000-0005-0000-0000-000007070000}"/>
    <cellStyle name="標準 18 37" xfId="1800" xr:uid="{00000000-0005-0000-0000-000008070000}"/>
    <cellStyle name="標準 18 38" xfId="1801" xr:uid="{00000000-0005-0000-0000-000009070000}"/>
    <cellStyle name="標準 18 39" xfId="1802" xr:uid="{00000000-0005-0000-0000-00000A070000}"/>
    <cellStyle name="標準 18 4" xfId="1803" xr:uid="{00000000-0005-0000-0000-00000B070000}"/>
    <cellStyle name="標準 18 4 2" xfId="1804" xr:uid="{00000000-0005-0000-0000-00000C070000}"/>
    <cellStyle name="標準 18 40" xfId="1805" xr:uid="{00000000-0005-0000-0000-00000D070000}"/>
    <cellStyle name="標準 18 41" xfId="1806" xr:uid="{00000000-0005-0000-0000-00000E070000}"/>
    <cellStyle name="標準 18 42" xfId="1807" xr:uid="{00000000-0005-0000-0000-00000F070000}"/>
    <cellStyle name="標準 18 43" xfId="1808" xr:uid="{00000000-0005-0000-0000-000010070000}"/>
    <cellStyle name="標準 18 44" xfId="1809" xr:uid="{00000000-0005-0000-0000-000011070000}"/>
    <cellStyle name="標準 18 45" xfId="1810" xr:uid="{00000000-0005-0000-0000-000012070000}"/>
    <cellStyle name="標準 18 46" xfId="1811" xr:uid="{00000000-0005-0000-0000-000013070000}"/>
    <cellStyle name="標準 18 47" xfId="1812" xr:uid="{00000000-0005-0000-0000-000014070000}"/>
    <cellStyle name="標準 18 48" xfId="1813" xr:uid="{00000000-0005-0000-0000-000015070000}"/>
    <cellStyle name="標準 18 49" xfId="1814" xr:uid="{00000000-0005-0000-0000-000016070000}"/>
    <cellStyle name="標準 18 5" xfId="1815" xr:uid="{00000000-0005-0000-0000-000017070000}"/>
    <cellStyle name="標準 18 5 2" xfId="1816" xr:uid="{00000000-0005-0000-0000-000018070000}"/>
    <cellStyle name="標準 18 50" xfId="1817" xr:uid="{00000000-0005-0000-0000-000019070000}"/>
    <cellStyle name="標準 18 51" xfId="1818" xr:uid="{00000000-0005-0000-0000-00001A070000}"/>
    <cellStyle name="標準 18 52" xfId="1819" xr:uid="{00000000-0005-0000-0000-00001B070000}"/>
    <cellStyle name="標準 18 53" xfId="1820" xr:uid="{00000000-0005-0000-0000-00001C070000}"/>
    <cellStyle name="標準 18 54" xfId="1821" xr:uid="{00000000-0005-0000-0000-00001D070000}"/>
    <cellStyle name="標準 18 55" xfId="1822" xr:uid="{00000000-0005-0000-0000-00001E070000}"/>
    <cellStyle name="標準 18 56" xfId="1823" xr:uid="{00000000-0005-0000-0000-00001F070000}"/>
    <cellStyle name="標準 18 57" xfId="1824" xr:uid="{00000000-0005-0000-0000-000020070000}"/>
    <cellStyle name="標準 18 58" xfId="1825" xr:uid="{00000000-0005-0000-0000-000021070000}"/>
    <cellStyle name="標準 18 59" xfId="1826" xr:uid="{00000000-0005-0000-0000-000022070000}"/>
    <cellStyle name="標準 18 6" xfId="1827" xr:uid="{00000000-0005-0000-0000-000023070000}"/>
    <cellStyle name="標準 18 6 2" xfId="1828" xr:uid="{00000000-0005-0000-0000-000024070000}"/>
    <cellStyle name="標準 18 60" xfId="1829" xr:uid="{00000000-0005-0000-0000-000025070000}"/>
    <cellStyle name="標準 18 61" xfId="1830" xr:uid="{00000000-0005-0000-0000-000026070000}"/>
    <cellStyle name="標準 18 62" xfId="1831" xr:uid="{00000000-0005-0000-0000-000027070000}"/>
    <cellStyle name="標準 18 63" xfId="1832" xr:uid="{00000000-0005-0000-0000-000028070000}"/>
    <cellStyle name="標準 18 64" xfId="1833" xr:uid="{00000000-0005-0000-0000-000029070000}"/>
    <cellStyle name="標準 18 65" xfId="1834" xr:uid="{00000000-0005-0000-0000-00002A070000}"/>
    <cellStyle name="標準 18 66" xfId="1835" xr:uid="{00000000-0005-0000-0000-00002B070000}"/>
    <cellStyle name="標準 18 7" xfId="1836" xr:uid="{00000000-0005-0000-0000-00002C070000}"/>
    <cellStyle name="標準 18 7 2" xfId="1837" xr:uid="{00000000-0005-0000-0000-00002D070000}"/>
    <cellStyle name="標準 18 8" xfId="1838" xr:uid="{00000000-0005-0000-0000-00002E070000}"/>
    <cellStyle name="標準 18 8 2" xfId="1839" xr:uid="{00000000-0005-0000-0000-00002F070000}"/>
    <cellStyle name="標準 18 9" xfId="1840" xr:uid="{00000000-0005-0000-0000-000030070000}"/>
    <cellStyle name="標準 18 9 2" xfId="1841" xr:uid="{00000000-0005-0000-0000-000031070000}"/>
    <cellStyle name="標準 19" xfId="1842" xr:uid="{00000000-0005-0000-0000-000032070000}"/>
    <cellStyle name="標準 19 10" xfId="1843" xr:uid="{00000000-0005-0000-0000-000033070000}"/>
    <cellStyle name="標準 19 11" xfId="1844" xr:uid="{00000000-0005-0000-0000-000034070000}"/>
    <cellStyle name="標準 19 12" xfId="1845" xr:uid="{00000000-0005-0000-0000-000035070000}"/>
    <cellStyle name="標準 19 13" xfId="1846" xr:uid="{00000000-0005-0000-0000-000036070000}"/>
    <cellStyle name="標準 19 14" xfId="1847" xr:uid="{00000000-0005-0000-0000-000037070000}"/>
    <cellStyle name="標準 19 15" xfId="1848" xr:uid="{00000000-0005-0000-0000-000038070000}"/>
    <cellStyle name="標準 19 16" xfId="1849" xr:uid="{00000000-0005-0000-0000-000039070000}"/>
    <cellStyle name="標準 19 17" xfId="1850" xr:uid="{00000000-0005-0000-0000-00003A070000}"/>
    <cellStyle name="標準 19 18" xfId="1851" xr:uid="{00000000-0005-0000-0000-00003B070000}"/>
    <cellStyle name="標準 19 19" xfId="1852" xr:uid="{00000000-0005-0000-0000-00003C070000}"/>
    <cellStyle name="標準 19 2" xfId="1853" xr:uid="{00000000-0005-0000-0000-00003D070000}"/>
    <cellStyle name="標準 19 20" xfId="1854" xr:uid="{00000000-0005-0000-0000-00003E070000}"/>
    <cellStyle name="標準 19 21" xfId="1855" xr:uid="{00000000-0005-0000-0000-00003F070000}"/>
    <cellStyle name="標準 19 22" xfId="1856" xr:uid="{00000000-0005-0000-0000-000040070000}"/>
    <cellStyle name="標準 19 23" xfId="1857" xr:uid="{00000000-0005-0000-0000-000041070000}"/>
    <cellStyle name="標準 19 24" xfId="1858" xr:uid="{00000000-0005-0000-0000-000042070000}"/>
    <cellStyle name="標準 19 25" xfId="1859" xr:uid="{00000000-0005-0000-0000-000043070000}"/>
    <cellStyle name="標準 19 26" xfId="1860" xr:uid="{00000000-0005-0000-0000-000044070000}"/>
    <cellStyle name="標準 19 27" xfId="1861" xr:uid="{00000000-0005-0000-0000-000045070000}"/>
    <cellStyle name="標準 19 28" xfId="1862" xr:uid="{00000000-0005-0000-0000-000046070000}"/>
    <cellStyle name="標準 19 29" xfId="1863" xr:uid="{00000000-0005-0000-0000-000047070000}"/>
    <cellStyle name="標準 19 3" xfId="1864" xr:uid="{00000000-0005-0000-0000-000048070000}"/>
    <cellStyle name="標準 19 30" xfId="1865" xr:uid="{00000000-0005-0000-0000-000049070000}"/>
    <cellStyle name="標準 19 31" xfId="1866" xr:uid="{00000000-0005-0000-0000-00004A070000}"/>
    <cellStyle name="標準 19 32" xfId="1867" xr:uid="{00000000-0005-0000-0000-00004B070000}"/>
    <cellStyle name="標準 19 33" xfId="1868" xr:uid="{00000000-0005-0000-0000-00004C070000}"/>
    <cellStyle name="標準 19 34" xfId="1869" xr:uid="{00000000-0005-0000-0000-00004D070000}"/>
    <cellStyle name="標準 19 35" xfId="1870" xr:uid="{00000000-0005-0000-0000-00004E070000}"/>
    <cellStyle name="標準 19 36" xfId="1871" xr:uid="{00000000-0005-0000-0000-00004F070000}"/>
    <cellStyle name="標準 19 37" xfId="1872" xr:uid="{00000000-0005-0000-0000-000050070000}"/>
    <cellStyle name="標準 19 38" xfId="1873" xr:uid="{00000000-0005-0000-0000-000051070000}"/>
    <cellStyle name="標準 19 39" xfId="1874" xr:uid="{00000000-0005-0000-0000-000052070000}"/>
    <cellStyle name="標準 19 4" xfId="1875" xr:uid="{00000000-0005-0000-0000-000053070000}"/>
    <cellStyle name="標準 19 40" xfId="1876" xr:uid="{00000000-0005-0000-0000-000054070000}"/>
    <cellStyle name="標準 19 41" xfId="1877" xr:uid="{00000000-0005-0000-0000-000055070000}"/>
    <cellStyle name="標準 19 42" xfId="1878" xr:uid="{00000000-0005-0000-0000-000056070000}"/>
    <cellStyle name="標準 19 43" xfId="1879" xr:uid="{00000000-0005-0000-0000-000057070000}"/>
    <cellStyle name="標準 19 44" xfId="1880" xr:uid="{00000000-0005-0000-0000-000058070000}"/>
    <cellStyle name="標準 19 45" xfId="1881" xr:uid="{00000000-0005-0000-0000-000059070000}"/>
    <cellStyle name="標準 19 46" xfId="1882" xr:uid="{00000000-0005-0000-0000-00005A070000}"/>
    <cellStyle name="標準 19 47" xfId="1883" xr:uid="{00000000-0005-0000-0000-00005B070000}"/>
    <cellStyle name="標準 19 48" xfId="1884" xr:uid="{00000000-0005-0000-0000-00005C070000}"/>
    <cellStyle name="標準 19 5" xfId="1885" xr:uid="{00000000-0005-0000-0000-00005D070000}"/>
    <cellStyle name="標準 19 6" xfId="1886" xr:uid="{00000000-0005-0000-0000-00005E070000}"/>
    <cellStyle name="標準 19 7" xfId="1887" xr:uid="{00000000-0005-0000-0000-00005F070000}"/>
    <cellStyle name="標準 19 8" xfId="1888" xr:uid="{00000000-0005-0000-0000-000060070000}"/>
    <cellStyle name="標準 19 9" xfId="1889" xr:uid="{00000000-0005-0000-0000-000061070000}"/>
    <cellStyle name="標準 2" xfId="1890" xr:uid="{00000000-0005-0000-0000-000062070000}"/>
    <cellStyle name="標準 2 10" xfId="1891" xr:uid="{00000000-0005-0000-0000-000063070000}"/>
    <cellStyle name="標準 2 10 2" xfId="1892" xr:uid="{00000000-0005-0000-0000-000064070000}"/>
    <cellStyle name="標準 2 11" xfId="1893" xr:uid="{00000000-0005-0000-0000-000065070000}"/>
    <cellStyle name="標準 2 11 2" xfId="1894" xr:uid="{00000000-0005-0000-0000-000066070000}"/>
    <cellStyle name="標準 2 12" xfId="1895" xr:uid="{00000000-0005-0000-0000-000067070000}"/>
    <cellStyle name="標準 2 12 2" xfId="1896" xr:uid="{00000000-0005-0000-0000-000068070000}"/>
    <cellStyle name="標準 2 12 2 2" xfId="1897" xr:uid="{00000000-0005-0000-0000-000069070000}"/>
    <cellStyle name="標準 2 12 2 2 2" xfId="1898" xr:uid="{00000000-0005-0000-0000-00006A070000}"/>
    <cellStyle name="標準 2 12 3" xfId="1899" xr:uid="{00000000-0005-0000-0000-00006B070000}"/>
    <cellStyle name="標準 2 13" xfId="1900" xr:uid="{00000000-0005-0000-0000-00006C070000}"/>
    <cellStyle name="標準 2 13 2" xfId="1901" xr:uid="{00000000-0005-0000-0000-00006D070000}"/>
    <cellStyle name="標準 2 14" xfId="1902" xr:uid="{00000000-0005-0000-0000-00006E070000}"/>
    <cellStyle name="標準 2 15" xfId="1903" xr:uid="{00000000-0005-0000-0000-00006F070000}"/>
    <cellStyle name="標準 2 16" xfId="1904" xr:uid="{00000000-0005-0000-0000-000070070000}"/>
    <cellStyle name="標準 2 17" xfId="1905" xr:uid="{00000000-0005-0000-0000-000071070000}"/>
    <cellStyle name="標準 2 18" xfId="1906" xr:uid="{00000000-0005-0000-0000-000072070000}"/>
    <cellStyle name="標準 2 19" xfId="1907" xr:uid="{00000000-0005-0000-0000-000073070000}"/>
    <cellStyle name="標準 2 2" xfId="1908" xr:uid="{00000000-0005-0000-0000-000074070000}"/>
    <cellStyle name="標準 2 2 10" xfId="1909" xr:uid="{00000000-0005-0000-0000-000075070000}"/>
    <cellStyle name="標準 2 2 10 2" xfId="1910" xr:uid="{00000000-0005-0000-0000-000076070000}"/>
    <cellStyle name="標準 2 2 10 3" xfId="1911" xr:uid="{00000000-0005-0000-0000-000077070000}"/>
    <cellStyle name="標準 2 2 11" xfId="1912" xr:uid="{00000000-0005-0000-0000-000078070000}"/>
    <cellStyle name="標準 2 2 11 2" xfId="1913" xr:uid="{00000000-0005-0000-0000-000079070000}"/>
    <cellStyle name="標準 2 2 11 3" xfId="1914" xr:uid="{00000000-0005-0000-0000-00007A070000}"/>
    <cellStyle name="標準 2 2 12" xfId="1915" xr:uid="{00000000-0005-0000-0000-00007B070000}"/>
    <cellStyle name="標準 2 2 12 2" xfId="1916" xr:uid="{00000000-0005-0000-0000-00007C070000}"/>
    <cellStyle name="標準 2 2 12 3" xfId="1917" xr:uid="{00000000-0005-0000-0000-00007D070000}"/>
    <cellStyle name="標準 2 2 13" xfId="1918" xr:uid="{00000000-0005-0000-0000-00007E070000}"/>
    <cellStyle name="標準 2 2 14" xfId="1919" xr:uid="{00000000-0005-0000-0000-00007F070000}"/>
    <cellStyle name="標準 2 2 15" xfId="1920" xr:uid="{00000000-0005-0000-0000-000080070000}"/>
    <cellStyle name="標準 2 2 16" xfId="1921" xr:uid="{00000000-0005-0000-0000-000081070000}"/>
    <cellStyle name="標準 2 2 17" xfId="1922" xr:uid="{00000000-0005-0000-0000-000082070000}"/>
    <cellStyle name="標準 2 2 18" xfId="1923" xr:uid="{00000000-0005-0000-0000-000083070000}"/>
    <cellStyle name="標準 2 2 2" xfId="1924" xr:uid="{00000000-0005-0000-0000-000084070000}"/>
    <cellStyle name="標準 2 2 2 2" xfId="1925" xr:uid="{00000000-0005-0000-0000-000085070000}"/>
    <cellStyle name="標準 2 2 2 2 2" xfId="1926" xr:uid="{00000000-0005-0000-0000-000086070000}"/>
    <cellStyle name="標準 2 2 2 2 2 2" xfId="1927" xr:uid="{00000000-0005-0000-0000-000087070000}"/>
    <cellStyle name="標準 2 2 2 2 3" xfId="1928" xr:uid="{00000000-0005-0000-0000-000088070000}"/>
    <cellStyle name="標準 2 2 2 2 4" xfId="1929" xr:uid="{00000000-0005-0000-0000-000089070000}"/>
    <cellStyle name="標準 2 2 2 3" xfId="1930" xr:uid="{00000000-0005-0000-0000-00008A070000}"/>
    <cellStyle name="標準 2 2 2 4" xfId="1931" xr:uid="{00000000-0005-0000-0000-00008B070000}"/>
    <cellStyle name="標準 2 2 2 4 2" xfId="1932" xr:uid="{00000000-0005-0000-0000-00008C070000}"/>
    <cellStyle name="標準 2 2 2 5" xfId="1933" xr:uid="{00000000-0005-0000-0000-00008D070000}"/>
    <cellStyle name="標準 2 2 3" xfId="1934" xr:uid="{00000000-0005-0000-0000-00008E070000}"/>
    <cellStyle name="標準 2 2 3 2" xfId="1935" xr:uid="{00000000-0005-0000-0000-00008F070000}"/>
    <cellStyle name="標準 2 2 3 2 2" xfId="1936" xr:uid="{00000000-0005-0000-0000-000090070000}"/>
    <cellStyle name="標準 2 2 3 2 3" xfId="1937" xr:uid="{00000000-0005-0000-0000-000091070000}"/>
    <cellStyle name="標準 2 2 3 3" xfId="1938" xr:uid="{00000000-0005-0000-0000-000092070000}"/>
    <cellStyle name="標準 2 2 4" xfId="1939" xr:uid="{00000000-0005-0000-0000-000093070000}"/>
    <cellStyle name="標準 2 2 4 2" xfId="1940" xr:uid="{00000000-0005-0000-0000-000094070000}"/>
    <cellStyle name="標準 2 2 4 3" xfId="1941" xr:uid="{00000000-0005-0000-0000-000095070000}"/>
    <cellStyle name="標準 2 2 4 4" xfId="1942" xr:uid="{00000000-0005-0000-0000-000096070000}"/>
    <cellStyle name="標準 2 2 4 5" xfId="1943" xr:uid="{00000000-0005-0000-0000-000097070000}"/>
    <cellStyle name="標準 2 2 5" xfId="1944" xr:uid="{00000000-0005-0000-0000-000098070000}"/>
    <cellStyle name="標準 2 2 5 2" xfId="1945" xr:uid="{00000000-0005-0000-0000-000099070000}"/>
    <cellStyle name="標準 2 2 5 3" xfId="1946" xr:uid="{00000000-0005-0000-0000-00009A070000}"/>
    <cellStyle name="標準 2 2 6" xfId="1947" xr:uid="{00000000-0005-0000-0000-00009B070000}"/>
    <cellStyle name="標準 2 2 6 2" xfId="1948" xr:uid="{00000000-0005-0000-0000-00009C070000}"/>
    <cellStyle name="標準 2 2 6 3" xfId="1949" xr:uid="{00000000-0005-0000-0000-00009D070000}"/>
    <cellStyle name="標準 2 2 7" xfId="1950" xr:uid="{00000000-0005-0000-0000-00009E070000}"/>
    <cellStyle name="標準 2 2 7 2" xfId="1951" xr:uid="{00000000-0005-0000-0000-00009F070000}"/>
    <cellStyle name="標準 2 2 7 3" xfId="1952" xr:uid="{00000000-0005-0000-0000-0000A0070000}"/>
    <cellStyle name="標準 2 2 8" xfId="1953" xr:uid="{00000000-0005-0000-0000-0000A1070000}"/>
    <cellStyle name="標準 2 2 8 2" xfId="1954" xr:uid="{00000000-0005-0000-0000-0000A2070000}"/>
    <cellStyle name="標準 2 2 8 3" xfId="1955" xr:uid="{00000000-0005-0000-0000-0000A3070000}"/>
    <cellStyle name="標準 2 2 9" xfId="1956" xr:uid="{00000000-0005-0000-0000-0000A4070000}"/>
    <cellStyle name="標準 2 2 9 2" xfId="1957" xr:uid="{00000000-0005-0000-0000-0000A5070000}"/>
    <cellStyle name="標準 2 2 9 3" xfId="1958" xr:uid="{00000000-0005-0000-0000-0000A6070000}"/>
    <cellStyle name="標準 2 20" xfId="1959" xr:uid="{00000000-0005-0000-0000-0000A7070000}"/>
    <cellStyle name="標準 2 21" xfId="1960" xr:uid="{00000000-0005-0000-0000-0000A8070000}"/>
    <cellStyle name="標準 2 22" xfId="1961" xr:uid="{00000000-0005-0000-0000-0000A9070000}"/>
    <cellStyle name="標準 2 23" xfId="1962" xr:uid="{00000000-0005-0000-0000-0000AA070000}"/>
    <cellStyle name="標準 2 24" xfId="1963" xr:uid="{00000000-0005-0000-0000-0000AB070000}"/>
    <cellStyle name="標準 2 25" xfId="1964" xr:uid="{00000000-0005-0000-0000-0000AC070000}"/>
    <cellStyle name="標準 2 26" xfId="1965" xr:uid="{00000000-0005-0000-0000-0000AD070000}"/>
    <cellStyle name="標準 2 27" xfId="1966" xr:uid="{00000000-0005-0000-0000-0000AE070000}"/>
    <cellStyle name="標準 2 28" xfId="1967" xr:uid="{00000000-0005-0000-0000-0000AF070000}"/>
    <cellStyle name="標準 2 29" xfId="1968" xr:uid="{00000000-0005-0000-0000-0000B0070000}"/>
    <cellStyle name="標準 2 3" xfId="1969" xr:uid="{00000000-0005-0000-0000-0000B1070000}"/>
    <cellStyle name="標準 2 3 10" xfId="1970" xr:uid="{00000000-0005-0000-0000-0000B2070000}"/>
    <cellStyle name="標準 2 3 10 2" xfId="1971" xr:uid="{00000000-0005-0000-0000-0000B3070000}"/>
    <cellStyle name="標準 2 3 10 2 2" xfId="1972" xr:uid="{00000000-0005-0000-0000-0000B4070000}"/>
    <cellStyle name="標準 2 3 10 3" xfId="1973" xr:uid="{00000000-0005-0000-0000-0000B5070000}"/>
    <cellStyle name="標準 2 3 11" xfId="1974" xr:uid="{00000000-0005-0000-0000-0000B6070000}"/>
    <cellStyle name="標準 2 3 11 2" xfId="1975" xr:uid="{00000000-0005-0000-0000-0000B7070000}"/>
    <cellStyle name="標準 2 3 12" xfId="1976" xr:uid="{00000000-0005-0000-0000-0000B8070000}"/>
    <cellStyle name="標準 2 3 13" xfId="1977" xr:uid="{00000000-0005-0000-0000-0000B9070000}"/>
    <cellStyle name="標準 2 3 14" xfId="1978" xr:uid="{00000000-0005-0000-0000-0000BA070000}"/>
    <cellStyle name="標準 2 3 2" xfId="1979" xr:uid="{00000000-0005-0000-0000-0000BB070000}"/>
    <cellStyle name="標準 2 3 2 10" xfId="1980" xr:uid="{00000000-0005-0000-0000-0000BC070000}"/>
    <cellStyle name="標準 2 3 2 10 2" xfId="1981" xr:uid="{00000000-0005-0000-0000-0000BD070000}"/>
    <cellStyle name="標準 2 3 2 10 2 2" xfId="1982" xr:uid="{00000000-0005-0000-0000-0000BE070000}"/>
    <cellStyle name="標準 2 3 2 10 3" xfId="1983" xr:uid="{00000000-0005-0000-0000-0000BF070000}"/>
    <cellStyle name="標準 2 3 2 11" xfId="1984" xr:uid="{00000000-0005-0000-0000-0000C0070000}"/>
    <cellStyle name="標準 2 3 2 11 2" xfId="1985" xr:uid="{00000000-0005-0000-0000-0000C1070000}"/>
    <cellStyle name="標準 2 3 2 12" xfId="1986" xr:uid="{00000000-0005-0000-0000-0000C2070000}"/>
    <cellStyle name="標準 2 3 2 13" xfId="1987" xr:uid="{00000000-0005-0000-0000-0000C3070000}"/>
    <cellStyle name="標準 2 3 2 2" xfId="1988" xr:uid="{00000000-0005-0000-0000-0000C4070000}"/>
    <cellStyle name="標準 2 3 2 2 10" xfId="1989" xr:uid="{00000000-0005-0000-0000-0000C5070000}"/>
    <cellStyle name="標準 2 3 2 2 11" xfId="1990" xr:uid="{00000000-0005-0000-0000-0000C6070000}"/>
    <cellStyle name="標準 2 3 2 2 2" xfId="1991" xr:uid="{00000000-0005-0000-0000-0000C7070000}"/>
    <cellStyle name="標準 2 3 2 2 2 10" xfId="1992" xr:uid="{00000000-0005-0000-0000-0000C8070000}"/>
    <cellStyle name="標準 2 3 2 2 2 11" xfId="1993" xr:uid="{00000000-0005-0000-0000-0000C9070000}"/>
    <cellStyle name="標準 2 3 2 2 2 2" xfId="1994" xr:uid="{00000000-0005-0000-0000-0000CA070000}"/>
    <cellStyle name="標準 2 3 2 2 2 2 2" xfId="1995" xr:uid="{00000000-0005-0000-0000-0000CB070000}"/>
    <cellStyle name="標準 2 3 2 2 2 2 2 2" xfId="1996" xr:uid="{00000000-0005-0000-0000-0000CC070000}"/>
    <cellStyle name="標準 2 3 2 2 2 2 2 2 2" xfId="1997" xr:uid="{00000000-0005-0000-0000-0000CD070000}"/>
    <cellStyle name="標準 2 3 2 2 2 2 2 2 2 2" xfId="1998" xr:uid="{00000000-0005-0000-0000-0000CE070000}"/>
    <cellStyle name="標準 2 3 2 2 2 2 2 2 3" xfId="1999" xr:uid="{00000000-0005-0000-0000-0000CF070000}"/>
    <cellStyle name="標準 2 3 2 2 2 2 2 2 4" xfId="2000" xr:uid="{00000000-0005-0000-0000-0000D0070000}"/>
    <cellStyle name="標準 2 3 2 2 2 2 2 2 5" xfId="2001" xr:uid="{00000000-0005-0000-0000-0000D1070000}"/>
    <cellStyle name="標準 2 3 2 2 2 2 2 3" xfId="2002" xr:uid="{00000000-0005-0000-0000-0000D2070000}"/>
    <cellStyle name="標準 2 3 2 2 2 2 2 3 2" xfId="2003" xr:uid="{00000000-0005-0000-0000-0000D3070000}"/>
    <cellStyle name="標準 2 3 2 2 2 2 2 4" xfId="2004" xr:uid="{00000000-0005-0000-0000-0000D4070000}"/>
    <cellStyle name="標準 2 3 2 2 2 2 2 5" xfId="2005" xr:uid="{00000000-0005-0000-0000-0000D5070000}"/>
    <cellStyle name="標準 2 3 2 2 2 2 3" xfId="2006" xr:uid="{00000000-0005-0000-0000-0000D6070000}"/>
    <cellStyle name="標準 2 3 2 2 2 2 3 2" xfId="2007" xr:uid="{00000000-0005-0000-0000-0000D7070000}"/>
    <cellStyle name="標準 2 3 2 2 2 2 4" xfId="2008" xr:uid="{00000000-0005-0000-0000-0000D8070000}"/>
    <cellStyle name="標準 2 3 2 2 2 2 5" xfId="2009" xr:uid="{00000000-0005-0000-0000-0000D9070000}"/>
    <cellStyle name="標準 2 3 2 2 2 2 6" xfId="2010" xr:uid="{00000000-0005-0000-0000-0000DA070000}"/>
    <cellStyle name="標準 2 3 2 2 2 3" xfId="2011" xr:uid="{00000000-0005-0000-0000-0000DB070000}"/>
    <cellStyle name="標準 2 3 2 2 2 4" xfId="2012" xr:uid="{00000000-0005-0000-0000-0000DC070000}"/>
    <cellStyle name="標準 2 3 2 2 2 5" xfId="2013" xr:uid="{00000000-0005-0000-0000-0000DD070000}"/>
    <cellStyle name="標準 2 3 2 2 2 6" xfId="2014" xr:uid="{00000000-0005-0000-0000-0000DE070000}"/>
    <cellStyle name="標準 2 3 2 2 2 7" xfId="2015" xr:uid="{00000000-0005-0000-0000-0000DF070000}"/>
    <cellStyle name="標準 2 3 2 2 2 8" xfId="2016" xr:uid="{00000000-0005-0000-0000-0000E0070000}"/>
    <cellStyle name="標準 2 3 2 2 2 8 2" xfId="2017" xr:uid="{00000000-0005-0000-0000-0000E1070000}"/>
    <cellStyle name="標準 2 3 2 2 2 8 2 2" xfId="2018" xr:uid="{00000000-0005-0000-0000-0000E2070000}"/>
    <cellStyle name="標準 2 3 2 2 2 8 3" xfId="2019" xr:uid="{00000000-0005-0000-0000-0000E3070000}"/>
    <cellStyle name="標準 2 3 2 2 2 9" xfId="2020" xr:uid="{00000000-0005-0000-0000-0000E4070000}"/>
    <cellStyle name="標準 2 3 2 2 2 9 2" xfId="2021" xr:uid="{00000000-0005-0000-0000-0000E5070000}"/>
    <cellStyle name="標準 2 3 2 2 3" xfId="2022" xr:uid="{00000000-0005-0000-0000-0000E6070000}"/>
    <cellStyle name="標準 2 3 2 2 3 2" xfId="2023" xr:uid="{00000000-0005-0000-0000-0000E7070000}"/>
    <cellStyle name="標準 2 3 2 2 3 2 2" xfId="2024" xr:uid="{00000000-0005-0000-0000-0000E8070000}"/>
    <cellStyle name="標準 2 3 2 2 3 2 2 2" xfId="2025" xr:uid="{00000000-0005-0000-0000-0000E9070000}"/>
    <cellStyle name="標準 2 3 2 2 3 2 2 2 2" xfId="2026" xr:uid="{00000000-0005-0000-0000-0000EA070000}"/>
    <cellStyle name="標準 2 3 2 2 3 2 2 3" xfId="2027" xr:uid="{00000000-0005-0000-0000-0000EB070000}"/>
    <cellStyle name="標準 2 3 2 2 3 2 3" xfId="2028" xr:uid="{00000000-0005-0000-0000-0000EC070000}"/>
    <cellStyle name="標準 2 3 2 2 3 2 4" xfId="2029" xr:uid="{00000000-0005-0000-0000-0000ED070000}"/>
    <cellStyle name="標準 2 3 2 2 3 2 5" xfId="2030" xr:uid="{00000000-0005-0000-0000-0000EE070000}"/>
    <cellStyle name="標準 2 3 2 2 3 2 6" xfId="2031" xr:uid="{00000000-0005-0000-0000-0000EF070000}"/>
    <cellStyle name="標準 2 3 2 2 3 2 6 2" xfId="2032" xr:uid="{00000000-0005-0000-0000-0000F0070000}"/>
    <cellStyle name="標準 2 3 2 2 3 3" xfId="2033" xr:uid="{00000000-0005-0000-0000-0000F1070000}"/>
    <cellStyle name="標準 2 3 2 2 3 3 2" xfId="2034" xr:uid="{00000000-0005-0000-0000-0000F2070000}"/>
    <cellStyle name="標準 2 3 2 2 3 3 2 2" xfId="2035" xr:uid="{00000000-0005-0000-0000-0000F3070000}"/>
    <cellStyle name="標準 2 3 2 2 3 3 3" xfId="2036" xr:uid="{00000000-0005-0000-0000-0000F4070000}"/>
    <cellStyle name="標準 2 3 2 2 3 4" xfId="2037" xr:uid="{00000000-0005-0000-0000-0000F5070000}"/>
    <cellStyle name="標準 2 3 2 2 3 5" xfId="2038" xr:uid="{00000000-0005-0000-0000-0000F6070000}"/>
    <cellStyle name="標準 2 3 2 2 3 6" xfId="2039" xr:uid="{00000000-0005-0000-0000-0000F7070000}"/>
    <cellStyle name="標準 2 3 2 2 3 6 2" xfId="2040" xr:uid="{00000000-0005-0000-0000-0000F8070000}"/>
    <cellStyle name="標準 2 3 2 2 4" xfId="2041" xr:uid="{00000000-0005-0000-0000-0000F9070000}"/>
    <cellStyle name="標準 2 3 2 2 5" xfId="2042" xr:uid="{00000000-0005-0000-0000-0000FA070000}"/>
    <cellStyle name="標準 2 3 2 2 6" xfId="2043" xr:uid="{00000000-0005-0000-0000-0000FB070000}"/>
    <cellStyle name="標準 2 3 2 2 7" xfId="2044" xr:uid="{00000000-0005-0000-0000-0000FC070000}"/>
    <cellStyle name="標準 2 3 2 2 8" xfId="2045" xr:uid="{00000000-0005-0000-0000-0000FD070000}"/>
    <cellStyle name="標準 2 3 2 2 8 2" xfId="2046" xr:uid="{00000000-0005-0000-0000-0000FE070000}"/>
    <cellStyle name="標準 2 3 2 2 8 2 2" xfId="2047" xr:uid="{00000000-0005-0000-0000-0000FF070000}"/>
    <cellStyle name="標準 2 3 2 2 8 3" xfId="2048" xr:uid="{00000000-0005-0000-0000-000000080000}"/>
    <cellStyle name="標準 2 3 2 2 9" xfId="2049" xr:uid="{00000000-0005-0000-0000-000001080000}"/>
    <cellStyle name="標準 2 3 2 2 9 2" xfId="2050" xr:uid="{00000000-0005-0000-0000-000002080000}"/>
    <cellStyle name="標準 2 3 2 3" xfId="2051" xr:uid="{00000000-0005-0000-0000-000003080000}"/>
    <cellStyle name="標準 2 3 2 4" xfId="2052" xr:uid="{00000000-0005-0000-0000-000004080000}"/>
    <cellStyle name="標準 2 3 2 4 2" xfId="2053" xr:uid="{00000000-0005-0000-0000-000005080000}"/>
    <cellStyle name="標準 2 3 2 4 2 2" xfId="2054" xr:uid="{00000000-0005-0000-0000-000006080000}"/>
    <cellStyle name="標準 2 3 2 4 2 2 2" xfId="2055" xr:uid="{00000000-0005-0000-0000-000007080000}"/>
    <cellStyle name="標準 2 3 2 4 2 2 2 2" xfId="2056" xr:uid="{00000000-0005-0000-0000-000008080000}"/>
    <cellStyle name="標準 2 3 2 4 2 2 3" xfId="2057" xr:uid="{00000000-0005-0000-0000-000009080000}"/>
    <cellStyle name="標準 2 3 2 4 2 3" xfId="2058" xr:uid="{00000000-0005-0000-0000-00000A080000}"/>
    <cellStyle name="標準 2 3 2 4 2 4" xfId="2059" xr:uid="{00000000-0005-0000-0000-00000B080000}"/>
    <cellStyle name="標準 2 3 2 4 2 5" xfId="2060" xr:uid="{00000000-0005-0000-0000-00000C080000}"/>
    <cellStyle name="標準 2 3 2 4 2 6" xfId="2061" xr:uid="{00000000-0005-0000-0000-00000D080000}"/>
    <cellStyle name="標準 2 3 2 4 2 6 2" xfId="2062" xr:uid="{00000000-0005-0000-0000-00000E080000}"/>
    <cellStyle name="標準 2 3 2 4 3" xfId="2063" xr:uid="{00000000-0005-0000-0000-00000F080000}"/>
    <cellStyle name="標準 2 3 2 4 3 2" xfId="2064" xr:uid="{00000000-0005-0000-0000-000010080000}"/>
    <cellStyle name="標準 2 3 2 4 3 2 2" xfId="2065" xr:uid="{00000000-0005-0000-0000-000011080000}"/>
    <cellStyle name="標準 2 3 2 4 3 3" xfId="2066" xr:uid="{00000000-0005-0000-0000-000012080000}"/>
    <cellStyle name="標準 2 3 2 4 4" xfId="2067" xr:uid="{00000000-0005-0000-0000-000013080000}"/>
    <cellStyle name="標準 2 3 2 4 5" xfId="2068" xr:uid="{00000000-0005-0000-0000-000014080000}"/>
    <cellStyle name="標準 2 3 2 4 6" xfId="2069" xr:uid="{00000000-0005-0000-0000-000015080000}"/>
    <cellStyle name="標準 2 3 2 4 6 2" xfId="2070" xr:uid="{00000000-0005-0000-0000-000016080000}"/>
    <cellStyle name="標準 2 3 2 5" xfId="2071" xr:uid="{00000000-0005-0000-0000-000017080000}"/>
    <cellStyle name="標準 2 3 2 6" xfId="2072" xr:uid="{00000000-0005-0000-0000-000018080000}"/>
    <cellStyle name="標準 2 3 2 7" xfId="2073" xr:uid="{00000000-0005-0000-0000-000019080000}"/>
    <cellStyle name="標準 2 3 2 8" xfId="2074" xr:uid="{00000000-0005-0000-0000-00001A080000}"/>
    <cellStyle name="標準 2 3 2 9" xfId="2075" xr:uid="{00000000-0005-0000-0000-00001B080000}"/>
    <cellStyle name="標準 2 3 3" xfId="2076" xr:uid="{00000000-0005-0000-0000-00001C080000}"/>
    <cellStyle name="標準 2 3 3 10" xfId="2077" xr:uid="{00000000-0005-0000-0000-00001D080000}"/>
    <cellStyle name="標準 2 3 3 11" xfId="2078" xr:uid="{00000000-0005-0000-0000-00001E080000}"/>
    <cellStyle name="標準 2 3 3 12" xfId="2079" xr:uid="{00000000-0005-0000-0000-00001F080000}"/>
    <cellStyle name="標準 2 3 3 12 2" xfId="2080" xr:uid="{00000000-0005-0000-0000-000020080000}"/>
    <cellStyle name="標準 2 3 3 2" xfId="2081" xr:uid="{00000000-0005-0000-0000-000021080000}"/>
    <cellStyle name="標準 2 3 3 2 10" xfId="2082" xr:uid="{00000000-0005-0000-0000-000022080000}"/>
    <cellStyle name="標準 2 3 3 2 11" xfId="2083" xr:uid="{00000000-0005-0000-0000-000023080000}"/>
    <cellStyle name="標準 2 3 3 2 12" xfId="2084" xr:uid="{00000000-0005-0000-0000-000024080000}"/>
    <cellStyle name="標準 2 3 3 2 12 2" xfId="2085" xr:uid="{00000000-0005-0000-0000-000025080000}"/>
    <cellStyle name="標準 2 3 3 2 2" xfId="2086" xr:uid="{00000000-0005-0000-0000-000026080000}"/>
    <cellStyle name="標準 2 3 3 2 2 2" xfId="2087" xr:uid="{00000000-0005-0000-0000-000027080000}"/>
    <cellStyle name="標準 2 3 3 2 2 2 2" xfId="2088" xr:uid="{00000000-0005-0000-0000-000028080000}"/>
    <cellStyle name="標準 2 3 3 2 2 2 2 2" xfId="2089" xr:uid="{00000000-0005-0000-0000-000029080000}"/>
    <cellStyle name="標準 2 3 3 2 2 2 2 2 2" xfId="2090" xr:uid="{00000000-0005-0000-0000-00002A080000}"/>
    <cellStyle name="標準 2 3 3 2 2 2 2 3" xfId="2091" xr:uid="{00000000-0005-0000-0000-00002B080000}"/>
    <cellStyle name="標準 2 3 3 2 2 2 3" xfId="2092" xr:uid="{00000000-0005-0000-0000-00002C080000}"/>
    <cellStyle name="標準 2 3 3 2 2 2 4" xfId="2093" xr:uid="{00000000-0005-0000-0000-00002D080000}"/>
    <cellStyle name="標準 2 3 3 2 2 2 5" xfId="2094" xr:uid="{00000000-0005-0000-0000-00002E080000}"/>
    <cellStyle name="標準 2 3 3 2 2 2 6" xfId="2095" xr:uid="{00000000-0005-0000-0000-00002F080000}"/>
    <cellStyle name="標準 2 3 3 2 2 2 6 2" xfId="2096" xr:uid="{00000000-0005-0000-0000-000030080000}"/>
    <cellStyle name="標準 2 3 3 2 2 3" xfId="2097" xr:uid="{00000000-0005-0000-0000-000031080000}"/>
    <cellStyle name="標準 2 3 3 2 2 3 2" xfId="2098" xr:uid="{00000000-0005-0000-0000-000032080000}"/>
    <cellStyle name="標準 2 3 3 2 2 3 2 2" xfId="2099" xr:uid="{00000000-0005-0000-0000-000033080000}"/>
    <cellStyle name="標準 2 3 3 2 2 3 3" xfId="2100" xr:uid="{00000000-0005-0000-0000-000034080000}"/>
    <cellStyle name="標準 2 3 3 2 2 4" xfId="2101" xr:uid="{00000000-0005-0000-0000-000035080000}"/>
    <cellStyle name="標準 2 3 3 2 2 5" xfId="2102" xr:uid="{00000000-0005-0000-0000-000036080000}"/>
    <cellStyle name="標準 2 3 3 2 2 6" xfId="2103" xr:uid="{00000000-0005-0000-0000-000037080000}"/>
    <cellStyle name="標準 2 3 3 2 2 6 2" xfId="2104" xr:uid="{00000000-0005-0000-0000-000038080000}"/>
    <cellStyle name="標準 2 3 3 2 3" xfId="2105" xr:uid="{00000000-0005-0000-0000-000039080000}"/>
    <cellStyle name="標準 2 3 3 2 4" xfId="2106" xr:uid="{00000000-0005-0000-0000-00003A080000}"/>
    <cellStyle name="標準 2 3 3 2 5" xfId="2107" xr:uid="{00000000-0005-0000-0000-00003B080000}"/>
    <cellStyle name="標準 2 3 3 2 6" xfId="2108" xr:uid="{00000000-0005-0000-0000-00003C080000}"/>
    <cellStyle name="標準 2 3 3 2 7" xfId="2109" xr:uid="{00000000-0005-0000-0000-00003D080000}"/>
    <cellStyle name="標準 2 3 3 2 8" xfId="2110" xr:uid="{00000000-0005-0000-0000-00003E080000}"/>
    <cellStyle name="標準 2 3 3 2 8 2" xfId="2111" xr:uid="{00000000-0005-0000-0000-00003F080000}"/>
    <cellStyle name="標準 2 3 3 2 8 2 2" xfId="2112" xr:uid="{00000000-0005-0000-0000-000040080000}"/>
    <cellStyle name="標準 2 3 3 2 8 3" xfId="2113" xr:uid="{00000000-0005-0000-0000-000041080000}"/>
    <cellStyle name="標準 2 3 3 2 9" xfId="2114" xr:uid="{00000000-0005-0000-0000-000042080000}"/>
    <cellStyle name="標準 2 3 3 3" xfId="2115" xr:uid="{00000000-0005-0000-0000-000043080000}"/>
    <cellStyle name="標準 2 3 3 3 2" xfId="2116" xr:uid="{00000000-0005-0000-0000-000044080000}"/>
    <cellStyle name="標準 2 3 3 3 2 2" xfId="2117" xr:uid="{00000000-0005-0000-0000-000045080000}"/>
    <cellStyle name="標準 2 3 3 3 2 2 2" xfId="2118" xr:uid="{00000000-0005-0000-0000-000046080000}"/>
    <cellStyle name="標準 2 3 3 3 2 2 2 2" xfId="2119" xr:uid="{00000000-0005-0000-0000-000047080000}"/>
    <cellStyle name="標準 2 3 3 3 2 2 3" xfId="2120" xr:uid="{00000000-0005-0000-0000-000048080000}"/>
    <cellStyle name="標準 2 3 3 3 2 3" xfId="2121" xr:uid="{00000000-0005-0000-0000-000049080000}"/>
    <cellStyle name="標準 2 3 3 3 2 4" xfId="2122" xr:uid="{00000000-0005-0000-0000-00004A080000}"/>
    <cellStyle name="標準 2 3 3 3 2 5" xfId="2123" xr:uid="{00000000-0005-0000-0000-00004B080000}"/>
    <cellStyle name="標準 2 3 3 3 2 6" xfId="2124" xr:uid="{00000000-0005-0000-0000-00004C080000}"/>
    <cellStyle name="標準 2 3 3 3 2 6 2" xfId="2125" xr:uid="{00000000-0005-0000-0000-00004D080000}"/>
    <cellStyle name="標準 2 3 3 3 3" xfId="2126" xr:uid="{00000000-0005-0000-0000-00004E080000}"/>
    <cellStyle name="標準 2 3 3 3 3 2" xfId="2127" xr:uid="{00000000-0005-0000-0000-00004F080000}"/>
    <cellStyle name="標準 2 3 3 3 3 2 2" xfId="2128" xr:uid="{00000000-0005-0000-0000-000050080000}"/>
    <cellStyle name="標準 2 3 3 3 3 3" xfId="2129" xr:uid="{00000000-0005-0000-0000-000051080000}"/>
    <cellStyle name="標準 2 3 3 3 4" xfId="2130" xr:uid="{00000000-0005-0000-0000-000052080000}"/>
    <cellStyle name="標準 2 3 3 3 5" xfId="2131" xr:uid="{00000000-0005-0000-0000-000053080000}"/>
    <cellStyle name="標準 2 3 3 3 6" xfId="2132" xr:uid="{00000000-0005-0000-0000-000054080000}"/>
    <cellStyle name="標準 2 3 3 3 6 2" xfId="2133" xr:uid="{00000000-0005-0000-0000-000055080000}"/>
    <cellStyle name="標準 2 3 3 4" xfId="2134" xr:uid="{00000000-0005-0000-0000-000056080000}"/>
    <cellStyle name="標準 2 3 3 5" xfId="2135" xr:uid="{00000000-0005-0000-0000-000057080000}"/>
    <cellStyle name="標準 2 3 3 6" xfId="2136" xr:uid="{00000000-0005-0000-0000-000058080000}"/>
    <cellStyle name="標準 2 3 3 7" xfId="2137" xr:uid="{00000000-0005-0000-0000-000059080000}"/>
    <cellStyle name="標準 2 3 3 8" xfId="2138" xr:uid="{00000000-0005-0000-0000-00005A080000}"/>
    <cellStyle name="標準 2 3 3 8 2" xfId="2139" xr:uid="{00000000-0005-0000-0000-00005B080000}"/>
    <cellStyle name="標準 2 3 3 8 2 2" xfId="2140" xr:uid="{00000000-0005-0000-0000-00005C080000}"/>
    <cellStyle name="標準 2 3 3 8 3" xfId="2141" xr:uid="{00000000-0005-0000-0000-00005D080000}"/>
    <cellStyle name="標準 2 3 3 9" xfId="2142" xr:uid="{00000000-0005-0000-0000-00005E080000}"/>
    <cellStyle name="標準 2 3 4" xfId="2143" xr:uid="{00000000-0005-0000-0000-00005F080000}"/>
    <cellStyle name="標準 2 3 4 2" xfId="2144" xr:uid="{00000000-0005-0000-0000-000060080000}"/>
    <cellStyle name="標準 2 3 4 2 2" xfId="2145" xr:uid="{00000000-0005-0000-0000-000061080000}"/>
    <cellStyle name="標準 2 3 4 2 2 2" xfId="2146" xr:uid="{00000000-0005-0000-0000-000062080000}"/>
    <cellStyle name="標準 2 3 4 2 2 2 2" xfId="2147" xr:uid="{00000000-0005-0000-0000-000063080000}"/>
    <cellStyle name="標準 2 3 4 2 2 3" xfId="2148" xr:uid="{00000000-0005-0000-0000-000064080000}"/>
    <cellStyle name="標準 2 3 4 2 3" xfId="2149" xr:uid="{00000000-0005-0000-0000-000065080000}"/>
    <cellStyle name="標準 2 3 4 2 4" xfId="2150" xr:uid="{00000000-0005-0000-0000-000066080000}"/>
    <cellStyle name="標準 2 3 4 2 5" xfId="2151" xr:uid="{00000000-0005-0000-0000-000067080000}"/>
    <cellStyle name="標準 2 3 4 2 6" xfId="2152" xr:uid="{00000000-0005-0000-0000-000068080000}"/>
    <cellStyle name="標準 2 3 4 2 6 2" xfId="2153" xr:uid="{00000000-0005-0000-0000-000069080000}"/>
    <cellStyle name="標準 2 3 4 3" xfId="2154" xr:uid="{00000000-0005-0000-0000-00006A080000}"/>
    <cellStyle name="標準 2 3 4 3 2" xfId="2155" xr:uid="{00000000-0005-0000-0000-00006B080000}"/>
    <cellStyle name="標準 2 3 4 3 2 2" xfId="2156" xr:uid="{00000000-0005-0000-0000-00006C080000}"/>
    <cellStyle name="標準 2 3 4 3 3" xfId="2157" xr:uid="{00000000-0005-0000-0000-00006D080000}"/>
    <cellStyle name="標準 2 3 4 4" xfId="2158" xr:uid="{00000000-0005-0000-0000-00006E080000}"/>
    <cellStyle name="標準 2 3 4 5" xfId="2159" xr:uid="{00000000-0005-0000-0000-00006F080000}"/>
    <cellStyle name="標準 2 3 4 6" xfId="2160" xr:uid="{00000000-0005-0000-0000-000070080000}"/>
    <cellStyle name="標準 2 3 4 6 2" xfId="2161" xr:uid="{00000000-0005-0000-0000-000071080000}"/>
    <cellStyle name="標準 2 3 5" xfId="2162" xr:uid="{00000000-0005-0000-0000-000072080000}"/>
    <cellStyle name="標準 2 3 6" xfId="2163" xr:uid="{00000000-0005-0000-0000-000073080000}"/>
    <cellStyle name="標準 2 3 7" xfId="2164" xr:uid="{00000000-0005-0000-0000-000074080000}"/>
    <cellStyle name="標準 2 3 8" xfId="2165" xr:uid="{00000000-0005-0000-0000-000075080000}"/>
    <cellStyle name="標準 2 3 9" xfId="2166" xr:uid="{00000000-0005-0000-0000-000076080000}"/>
    <cellStyle name="標準 2 30" xfId="2167" xr:uid="{00000000-0005-0000-0000-000077080000}"/>
    <cellStyle name="標準 2 31" xfId="2168" xr:uid="{00000000-0005-0000-0000-000078080000}"/>
    <cellStyle name="標準 2 32" xfId="2169" xr:uid="{00000000-0005-0000-0000-000079080000}"/>
    <cellStyle name="標準 2 33" xfId="2170" xr:uid="{00000000-0005-0000-0000-00007A080000}"/>
    <cellStyle name="標準 2 34" xfId="2171" xr:uid="{00000000-0005-0000-0000-00007B080000}"/>
    <cellStyle name="標準 2 35" xfId="2172" xr:uid="{00000000-0005-0000-0000-00007C080000}"/>
    <cellStyle name="標準 2 36" xfId="2173" xr:uid="{00000000-0005-0000-0000-00007D080000}"/>
    <cellStyle name="標準 2 37" xfId="2174" xr:uid="{00000000-0005-0000-0000-00007E080000}"/>
    <cellStyle name="標準 2 38" xfId="2175" xr:uid="{00000000-0005-0000-0000-00007F080000}"/>
    <cellStyle name="標準 2 39" xfId="2176" xr:uid="{00000000-0005-0000-0000-000080080000}"/>
    <cellStyle name="標準 2 4" xfId="2177" xr:uid="{00000000-0005-0000-0000-000081080000}"/>
    <cellStyle name="標準 2 4 10" xfId="2178" xr:uid="{00000000-0005-0000-0000-000082080000}"/>
    <cellStyle name="標準 2 4 11" xfId="2179" xr:uid="{00000000-0005-0000-0000-000083080000}"/>
    <cellStyle name="標準 2 4 2" xfId="2180" xr:uid="{00000000-0005-0000-0000-000084080000}"/>
    <cellStyle name="標準 2 4 2 10" xfId="2181" xr:uid="{00000000-0005-0000-0000-000085080000}"/>
    <cellStyle name="標準 2 4 2 11" xfId="2182" xr:uid="{00000000-0005-0000-0000-000086080000}"/>
    <cellStyle name="標準 2 4 2 2" xfId="2183" xr:uid="{00000000-0005-0000-0000-000087080000}"/>
    <cellStyle name="標準 2 4 2 2 2" xfId="2184" xr:uid="{00000000-0005-0000-0000-000088080000}"/>
    <cellStyle name="標準 2 4 2 2 2 2" xfId="2185" xr:uid="{00000000-0005-0000-0000-000089080000}"/>
    <cellStyle name="標準 2 4 2 2 2 2 2" xfId="2186" xr:uid="{00000000-0005-0000-0000-00008A080000}"/>
    <cellStyle name="標準 2 4 2 2 2 2 2 2" xfId="2187" xr:uid="{00000000-0005-0000-0000-00008B080000}"/>
    <cellStyle name="標準 2 4 2 2 2 2 2 2 2" xfId="2188" xr:uid="{00000000-0005-0000-0000-00008C080000}"/>
    <cellStyle name="標準 2 4 2 2 2 2 3" xfId="2189" xr:uid="{00000000-0005-0000-0000-00008D080000}"/>
    <cellStyle name="標準 2 4 2 2 2 2 4" xfId="2190" xr:uid="{00000000-0005-0000-0000-00008E080000}"/>
    <cellStyle name="標準 2 4 2 2 2 2 5" xfId="2191" xr:uid="{00000000-0005-0000-0000-00008F080000}"/>
    <cellStyle name="標準 2 4 2 2 2 3" xfId="2192" xr:uid="{00000000-0005-0000-0000-000090080000}"/>
    <cellStyle name="標準 2 4 2 2 2 3 2" xfId="2193" xr:uid="{00000000-0005-0000-0000-000091080000}"/>
    <cellStyle name="標準 2 4 2 2 2 4" xfId="2194" xr:uid="{00000000-0005-0000-0000-000092080000}"/>
    <cellStyle name="標準 2 4 2 2 2 5" xfId="2195" xr:uid="{00000000-0005-0000-0000-000093080000}"/>
    <cellStyle name="標準 2 4 2 2 3" xfId="2196" xr:uid="{00000000-0005-0000-0000-000094080000}"/>
    <cellStyle name="標準 2 4 2 2 3 2" xfId="2197" xr:uid="{00000000-0005-0000-0000-000095080000}"/>
    <cellStyle name="標準 2 4 2 2 4" xfId="2198" xr:uid="{00000000-0005-0000-0000-000096080000}"/>
    <cellStyle name="標準 2 4 2 2 5" xfId="2199" xr:uid="{00000000-0005-0000-0000-000097080000}"/>
    <cellStyle name="標準 2 4 2 2 6" xfId="2200" xr:uid="{00000000-0005-0000-0000-000098080000}"/>
    <cellStyle name="標準 2 4 2 3" xfId="2201" xr:uid="{00000000-0005-0000-0000-000099080000}"/>
    <cellStyle name="標準 2 4 2 4" xfId="2202" xr:uid="{00000000-0005-0000-0000-00009A080000}"/>
    <cellStyle name="標準 2 4 2 5" xfId="2203" xr:uid="{00000000-0005-0000-0000-00009B080000}"/>
    <cellStyle name="標準 2 4 2 6" xfId="2204" xr:uid="{00000000-0005-0000-0000-00009C080000}"/>
    <cellStyle name="標準 2 4 2 7" xfId="2205" xr:uid="{00000000-0005-0000-0000-00009D080000}"/>
    <cellStyle name="標準 2 4 2 8" xfId="2206" xr:uid="{00000000-0005-0000-0000-00009E080000}"/>
    <cellStyle name="標準 2 4 2 8 2" xfId="2207" xr:uid="{00000000-0005-0000-0000-00009F080000}"/>
    <cellStyle name="標準 2 4 2 8 2 2" xfId="2208" xr:uid="{00000000-0005-0000-0000-0000A0080000}"/>
    <cellStyle name="標準 2 4 2 8 3" xfId="2209" xr:uid="{00000000-0005-0000-0000-0000A1080000}"/>
    <cellStyle name="標準 2 4 2 9" xfId="2210" xr:uid="{00000000-0005-0000-0000-0000A2080000}"/>
    <cellStyle name="標準 2 4 2 9 2" xfId="2211" xr:uid="{00000000-0005-0000-0000-0000A3080000}"/>
    <cellStyle name="標準 2 4 3" xfId="2212" xr:uid="{00000000-0005-0000-0000-0000A4080000}"/>
    <cellStyle name="標準 2 4 3 2" xfId="2213" xr:uid="{00000000-0005-0000-0000-0000A5080000}"/>
    <cellStyle name="標準 2 4 3 2 2" xfId="2214" xr:uid="{00000000-0005-0000-0000-0000A6080000}"/>
    <cellStyle name="標準 2 4 3 2 2 2" xfId="2215" xr:uid="{00000000-0005-0000-0000-0000A7080000}"/>
    <cellStyle name="標準 2 4 3 2 2 2 2" xfId="2216" xr:uid="{00000000-0005-0000-0000-0000A8080000}"/>
    <cellStyle name="標準 2 4 3 2 2 3" xfId="2217" xr:uid="{00000000-0005-0000-0000-0000A9080000}"/>
    <cellStyle name="標準 2 4 3 2 3" xfId="2218" xr:uid="{00000000-0005-0000-0000-0000AA080000}"/>
    <cellStyle name="標準 2 4 3 2 4" xfId="2219" xr:uid="{00000000-0005-0000-0000-0000AB080000}"/>
    <cellStyle name="標準 2 4 3 2 5" xfId="2220" xr:uid="{00000000-0005-0000-0000-0000AC080000}"/>
    <cellStyle name="標準 2 4 3 2 6" xfId="2221" xr:uid="{00000000-0005-0000-0000-0000AD080000}"/>
    <cellStyle name="標準 2 4 3 2 6 2" xfId="2222" xr:uid="{00000000-0005-0000-0000-0000AE080000}"/>
    <cellStyle name="標準 2 4 3 3" xfId="2223" xr:uid="{00000000-0005-0000-0000-0000AF080000}"/>
    <cellStyle name="標準 2 4 3 3 2" xfId="2224" xr:uid="{00000000-0005-0000-0000-0000B0080000}"/>
    <cellStyle name="標準 2 4 3 3 2 2" xfId="2225" xr:uid="{00000000-0005-0000-0000-0000B1080000}"/>
    <cellStyle name="標準 2 4 3 3 3" xfId="2226" xr:uid="{00000000-0005-0000-0000-0000B2080000}"/>
    <cellStyle name="標準 2 4 3 4" xfId="2227" xr:uid="{00000000-0005-0000-0000-0000B3080000}"/>
    <cellStyle name="標準 2 4 3 5" xfId="2228" xr:uid="{00000000-0005-0000-0000-0000B4080000}"/>
    <cellStyle name="標準 2 4 3 6" xfId="2229" xr:uid="{00000000-0005-0000-0000-0000B5080000}"/>
    <cellStyle name="標準 2 4 3 6 2" xfId="2230" xr:uid="{00000000-0005-0000-0000-0000B6080000}"/>
    <cellStyle name="標準 2 4 4" xfId="2231" xr:uid="{00000000-0005-0000-0000-0000B7080000}"/>
    <cellStyle name="標準 2 4 5" xfId="2232" xr:uid="{00000000-0005-0000-0000-0000B8080000}"/>
    <cellStyle name="標準 2 4 6" xfId="2233" xr:uid="{00000000-0005-0000-0000-0000B9080000}"/>
    <cellStyle name="標準 2 4 7" xfId="2234" xr:uid="{00000000-0005-0000-0000-0000BA080000}"/>
    <cellStyle name="標準 2 4 8" xfId="2235" xr:uid="{00000000-0005-0000-0000-0000BB080000}"/>
    <cellStyle name="標準 2 4 8 2" xfId="2236" xr:uid="{00000000-0005-0000-0000-0000BC080000}"/>
    <cellStyle name="標準 2 4 8 2 2" xfId="2237" xr:uid="{00000000-0005-0000-0000-0000BD080000}"/>
    <cellStyle name="標準 2 4 8 3" xfId="2238" xr:uid="{00000000-0005-0000-0000-0000BE080000}"/>
    <cellStyle name="標準 2 4 9" xfId="2239" xr:uid="{00000000-0005-0000-0000-0000BF080000}"/>
    <cellStyle name="標準 2 4 9 2" xfId="2240" xr:uid="{00000000-0005-0000-0000-0000C0080000}"/>
    <cellStyle name="標準 2 40" xfId="2241" xr:uid="{00000000-0005-0000-0000-0000C1080000}"/>
    <cellStyle name="標準 2 41" xfId="2242" xr:uid="{00000000-0005-0000-0000-0000C2080000}"/>
    <cellStyle name="標準 2 42" xfId="2243" xr:uid="{00000000-0005-0000-0000-0000C3080000}"/>
    <cellStyle name="標準 2 43" xfId="2244" xr:uid="{00000000-0005-0000-0000-0000C4080000}"/>
    <cellStyle name="標準 2 44" xfId="2245" xr:uid="{00000000-0005-0000-0000-0000C5080000}"/>
    <cellStyle name="標準 2 45" xfId="2246" xr:uid="{00000000-0005-0000-0000-0000C6080000}"/>
    <cellStyle name="標準 2 46" xfId="2247" xr:uid="{00000000-0005-0000-0000-0000C7080000}"/>
    <cellStyle name="標準 2 47" xfId="2248" xr:uid="{00000000-0005-0000-0000-0000C8080000}"/>
    <cellStyle name="標準 2 48" xfId="2249" xr:uid="{00000000-0005-0000-0000-0000C9080000}"/>
    <cellStyle name="標準 2 49" xfId="2250" xr:uid="{00000000-0005-0000-0000-0000CA080000}"/>
    <cellStyle name="標準 2 49 2" xfId="2251" xr:uid="{00000000-0005-0000-0000-0000CB080000}"/>
    <cellStyle name="標準 2 5" xfId="2252" xr:uid="{00000000-0005-0000-0000-0000CC080000}"/>
    <cellStyle name="標準 2 5 2" xfId="2253" xr:uid="{00000000-0005-0000-0000-0000CD080000}"/>
    <cellStyle name="標準 2 50" xfId="2254" xr:uid="{00000000-0005-0000-0000-0000CE080000}"/>
    <cellStyle name="標準 2 51" xfId="2255" xr:uid="{00000000-0005-0000-0000-0000CF080000}"/>
    <cellStyle name="標準 2 52" xfId="2256" xr:uid="{00000000-0005-0000-0000-0000D0080000}"/>
    <cellStyle name="標準 2 53" xfId="2257" xr:uid="{00000000-0005-0000-0000-0000D1080000}"/>
    <cellStyle name="標準 2 54" xfId="2258" xr:uid="{00000000-0005-0000-0000-0000D2080000}"/>
    <cellStyle name="標準 2 55" xfId="2259" xr:uid="{00000000-0005-0000-0000-0000D3080000}"/>
    <cellStyle name="標準 2 56" xfId="2260" xr:uid="{00000000-0005-0000-0000-0000D4080000}"/>
    <cellStyle name="標準 2 57" xfId="2261" xr:uid="{00000000-0005-0000-0000-0000D5080000}"/>
    <cellStyle name="標準 2 58" xfId="2262" xr:uid="{00000000-0005-0000-0000-0000D6080000}"/>
    <cellStyle name="標準 2 59" xfId="2263" xr:uid="{00000000-0005-0000-0000-0000D7080000}"/>
    <cellStyle name="標準 2 6" xfId="2264" xr:uid="{00000000-0005-0000-0000-0000D8080000}"/>
    <cellStyle name="標準 2 6 2" xfId="2265" xr:uid="{00000000-0005-0000-0000-0000D9080000}"/>
    <cellStyle name="標準 2 6 2 2" xfId="2266" xr:uid="{00000000-0005-0000-0000-0000DA080000}"/>
    <cellStyle name="標準 2 6 2 2 2" xfId="2267" xr:uid="{00000000-0005-0000-0000-0000DB080000}"/>
    <cellStyle name="標準 2 6 2 2 2 2" xfId="2268" xr:uid="{00000000-0005-0000-0000-0000DC080000}"/>
    <cellStyle name="標準 2 6 2 2 2 2 2" xfId="2269" xr:uid="{00000000-0005-0000-0000-0000DD080000}"/>
    <cellStyle name="標準 2 6 2 2 3" xfId="2270" xr:uid="{00000000-0005-0000-0000-0000DE080000}"/>
    <cellStyle name="標準 2 6 2 3" xfId="2271" xr:uid="{00000000-0005-0000-0000-0000DF080000}"/>
    <cellStyle name="標準 2 6 2 4" xfId="2272" xr:uid="{00000000-0005-0000-0000-0000E0080000}"/>
    <cellStyle name="標準 2 6 2 5" xfId="2273" xr:uid="{00000000-0005-0000-0000-0000E1080000}"/>
    <cellStyle name="標準 2 6 2 6" xfId="2274" xr:uid="{00000000-0005-0000-0000-0000E2080000}"/>
    <cellStyle name="標準 2 6 2 6 2" xfId="2275" xr:uid="{00000000-0005-0000-0000-0000E3080000}"/>
    <cellStyle name="標準 2 6 3" xfId="2276" xr:uid="{00000000-0005-0000-0000-0000E4080000}"/>
    <cellStyle name="標準 2 6 3 2" xfId="2277" xr:uid="{00000000-0005-0000-0000-0000E5080000}"/>
    <cellStyle name="標準 2 6 3 2 2" xfId="2278" xr:uid="{00000000-0005-0000-0000-0000E6080000}"/>
    <cellStyle name="標準 2 6 3 3" xfId="2279" xr:uid="{00000000-0005-0000-0000-0000E7080000}"/>
    <cellStyle name="標準 2 6 4" xfId="2280" xr:uid="{00000000-0005-0000-0000-0000E8080000}"/>
    <cellStyle name="標準 2 6 5" xfId="2281" xr:uid="{00000000-0005-0000-0000-0000E9080000}"/>
    <cellStyle name="標準 2 6 6" xfId="2282" xr:uid="{00000000-0005-0000-0000-0000EA080000}"/>
    <cellStyle name="標準 2 6 6 2" xfId="2283" xr:uid="{00000000-0005-0000-0000-0000EB080000}"/>
    <cellStyle name="標準 2 60" xfId="2284" xr:uid="{00000000-0005-0000-0000-0000EC080000}"/>
    <cellStyle name="標準 2 61" xfId="2285" xr:uid="{00000000-0005-0000-0000-0000ED080000}"/>
    <cellStyle name="標準 2 62" xfId="2286" xr:uid="{00000000-0005-0000-0000-0000EE080000}"/>
    <cellStyle name="標準 2 63" xfId="2287" xr:uid="{00000000-0005-0000-0000-0000EF080000}"/>
    <cellStyle name="標準 2 64" xfId="2288" xr:uid="{00000000-0005-0000-0000-0000F0080000}"/>
    <cellStyle name="標準 2 65" xfId="2289" xr:uid="{00000000-0005-0000-0000-0000F1080000}"/>
    <cellStyle name="標準 2 66" xfId="2290" xr:uid="{00000000-0005-0000-0000-0000F2080000}"/>
    <cellStyle name="標準 2 67" xfId="2291" xr:uid="{00000000-0005-0000-0000-0000F3080000}"/>
    <cellStyle name="標準 2 68" xfId="2292" xr:uid="{00000000-0005-0000-0000-0000F4080000}"/>
    <cellStyle name="標準 2 69" xfId="2293" xr:uid="{00000000-0005-0000-0000-0000F5080000}"/>
    <cellStyle name="標準 2 7" xfId="2294" xr:uid="{00000000-0005-0000-0000-0000F6080000}"/>
    <cellStyle name="標準 2 7 2" xfId="2295" xr:uid="{00000000-0005-0000-0000-0000F7080000}"/>
    <cellStyle name="標準 2 8" xfId="2296" xr:uid="{00000000-0005-0000-0000-0000F8080000}"/>
    <cellStyle name="標準 2 8 2" xfId="2297" xr:uid="{00000000-0005-0000-0000-0000F9080000}"/>
    <cellStyle name="標準 2 9" xfId="2298" xr:uid="{00000000-0005-0000-0000-0000FA080000}"/>
    <cellStyle name="標準 2 9 2" xfId="2299" xr:uid="{00000000-0005-0000-0000-0000FB080000}"/>
    <cellStyle name="標準 2_Appendix_E(マイコン状態遷移)" xfId="2300" xr:uid="{00000000-0005-0000-0000-0000FC080000}"/>
    <cellStyle name="標準 20" xfId="2301" xr:uid="{00000000-0005-0000-0000-0000FD080000}"/>
    <cellStyle name="標準 20 10" xfId="2302" xr:uid="{00000000-0005-0000-0000-0000FE080000}"/>
    <cellStyle name="標準 20 11" xfId="2303" xr:uid="{00000000-0005-0000-0000-0000FF080000}"/>
    <cellStyle name="標準 20 12" xfId="2304" xr:uid="{00000000-0005-0000-0000-000000090000}"/>
    <cellStyle name="標準 20 13" xfId="2305" xr:uid="{00000000-0005-0000-0000-000001090000}"/>
    <cellStyle name="標準 20 14" xfId="2306" xr:uid="{00000000-0005-0000-0000-000002090000}"/>
    <cellStyle name="標準 20 15" xfId="2307" xr:uid="{00000000-0005-0000-0000-000003090000}"/>
    <cellStyle name="標準 20 16" xfId="2308" xr:uid="{00000000-0005-0000-0000-000004090000}"/>
    <cellStyle name="標準 20 17" xfId="2309" xr:uid="{00000000-0005-0000-0000-000005090000}"/>
    <cellStyle name="標準 20 18" xfId="2310" xr:uid="{00000000-0005-0000-0000-000006090000}"/>
    <cellStyle name="標準 20 19" xfId="2311" xr:uid="{00000000-0005-0000-0000-000007090000}"/>
    <cellStyle name="標準 20 2" xfId="2312" xr:uid="{00000000-0005-0000-0000-000008090000}"/>
    <cellStyle name="標準 20 20" xfId="2313" xr:uid="{00000000-0005-0000-0000-000009090000}"/>
    <cellStyle name="標準 20 21" xfId="2314" xr:uid="{00000000-0005-0000-0000-00000A090000}"/>
    <cellStyle name="標準 20 22" xfId="2315" xr:uid="{00000000-0005-0000-0000-00000B090000}"/>
    <cellStyle name="標準 20 23" xfId="2316" xr:uid="{00000000-0005-0000-0000-00000C090000}"/>
    <cellStyle name="標準 20 24" xfId="2317" xr:uid="{00000000-0005-0000-0000-00000D090000}"/>
    <cellStyle name="標準 20 25" xfId="2318" xr:uid="{00000000-0005-0000-0000-00000E090000}"/>
    <cellStyle name="標準 20 26" xfId="2319" xr:uid="{00000000-0005-0000-0000-00000F090000}"/>
    <cellStyle name="標準 20 27" xfId="2320" xr:uid="{00000000-0005-0000-0000-000010090000}"/>
    <cellStyle name="標準 20 28" xfId="2321" xr:uid="{00000000-0005-0000-0000-000011090000}"/>
    <cellStyle name="標準 20 29" xfId="2322" xr:uid="{00000000-0005-0000-0000-000012090000}"/>
    <cellStyle name="標準 20 3" xfId="2323" xr:uid="{00000000-0005-0000-0000-000013090000}"/>
    <cellStyle name="標準 20 30" xfId="2324" xr:uid="{00000000-0005-0000-0000-000014090000}"/>
    <cellStyle name="標準 20 31" xfId="2325" xr:uid="{00000000-0005-0000-0000-000015090000}"/>
    <cellStyle name="標準 20 32" xfId="2326" xr:uid="{00000000-0005-0000-0000-000016090000}"/>
    <cellStyle name="標準 20 33" xfId="2327" xr:uid="{00000000-0005-0000-0000-000017090000}"/>
    <cellStyle name="標準 20 34" xfId="2328" xr:uid="{00000000-0005-0000-0000-000018090000}"/>
    <cellStyle name="標準 20 35" xfId="2329" xr:uid="{00000000-0005-0000-0000-000019090000}"/>
    <cellStyle name="標準 20 36" xfId="2330" xr:uid="{00000000-0005-0000-0000-00001A090000}"/>
    <cellStyle name="標準 20 37" xfId="2331" xr:uid="{00000000-0005-0000-0000-00001B090000}"/>
    <cellStyle name="標準 20 38" xfId="2332" xr:uid="{00000000-0005-0000-0000-00001C090000}"/>
    <cellStyle name="標準 20 39" xfId="2333" xr:uid="{00000000-0005-0000-0000-00001D090000}"/>
    <cellStyle name="標準 20 4" xfId="2334" xr:uid="{00000000-0005-0000-0000-00001E090000}"/>
    <cellStyle name="標準 20 40" xfId="2335" xr:uid="{00000000-0005-0000-0000-00001F090000}"/>
    <cellStyle name="標準 20 41" xfId="2336" xr:uid="{00000000-0005-0000-0000-000020090000}"/>
    <cellStyle name="標準 20 42" xfId="2337" xr:uid="{00000000-0005-0000-0000-000021090000}"/>
    <cellStyle name="標準 20 43" xfId="2338" xr:uid="{00000000-0005-0000-0000-000022090000}"/>
    <cellStyle name="標準 20 44" xfId="2339" xr:uid="{00000000-0005-0000-0000-000023090000}"/>
    <cellStyle name="標準 20 45" xfId="2340" xr:uid="{00000000-0005-0000-0000-000024090000}"/>
    <cellStyle name="標準 20 46" xfId="2341" xr:uid="{00000000-0005-0000-0000-000025090000}"/>
    <cellStyle name="標準 20 47" xfId="2342" xr:uid="{00000000-0005-0000-0000-000026090000}"/>
    <cellStyle name="標準 20 48" xfId="2343" xr:uid="{00000000-0005-0000-0000-000027090000}"/>
    <cellStyle name="標準 20 5" xfId="2344" xr:uid="{00000000-0005-0000-0000-000028090000}"/>
    <cellStyle name="標準 20 6" xfId="2345" xr:uid="{00000000-0005-0000-0000-000029090000}"/>
    <cellStyle name="標準 20 7" xfId="2346" xr:uid="{00000000-0005-0000-0000-00002A090000}"/>
    <cellStyle name="標準 20 8" xfId="2347" xr:uid="{00000000-0005-0000-0000-00002B090000}"/>
    <cellStyle name="標準 20 9" xfId="2348" xr:uid="{00000000-0005-0000-0000-00002C090000}"/>
    <cellStyle name="標準 21 10" xfId="2349" xr:uid="{00000000-0005-0000-0000-00002D090000}"/>
    <cellStyle name="標準 21 11" xfId="2350" xr:uid="{00000000-0005-0000-0000-00002E090000}"/>
    <cellStyle name="標準 21 12" xfId="2351" xr:uid="{00000000-0005-0000-0000-00002F090000}"/>
    <cellStyle name="標準 21 13" xfId="2352" xr:uid="{00000000-0005-0000-0000-000030090000}"/>
    <cellStyle name="標準 21 14" xfId="2353" xr:uid="{00000000-0005-0000-0000-000031090000}"/>
    <cellStyle name="標準 21 15" xfId="2354" xr:uid="{00000000-0005-0000-0000-000032090000}"/>
    <cellStyle name="標準 21 16" xfId="2355" xr:uid="{00000000-0005-0000-0000-000033090000}"/>
    <cellStyle name="標準 21 17" xfId="2356" xr:uid="{00000000-0005-0000-0000-000034090000}"/>
    <cellStyle name="標準 21 18" xfId="2357" xr:uid="{00000000-0005-0000-0000-000035090000}"/>
    <cellStyle name="標準 21 19" xfId="2358" xr:uid="{00000000-0005-0000-0000-000036090000}"/>
    <cellStyle name="標準 21 2" xfId="2359" xr:uid="{00000000-0005-0000-0000-000037090000}"/>
    <cellStyle name="標準 21 20" xfId="2360" xr:uid="{00000000-0005-0000-0000-000038090000}"/>
    <cellStyle name="標準 21 21" xfId="2361" xr:uid="{00000000-0005-0000-0000-000039090000}"/>
    <cellStyle name="標準 21 22" xfId="2362" xr:uid="{00000000-0005-0000-0000-00003A090000}"/>
    <cellStyle name="標準 21 23" xfId="2363" xr:uid="{00000000-0005-0000-0000-00003B090000}"/>
    <cellStyle name="標準 21 24" xfId="2364" xr:uid="{00000000-0005-0000-0000-00003C090000}"/>
    <cellStyle name="標準 21 25" xfId="2365" xr:uid="{00000000-0005-0000-0000-00003D090000}"/>
    <cellStyle name="標準 21 26" xfId="2366" xr:uid="{00000000-0005-0000-0000-00003E090000}"/>
    <cellStyle name="標準 21 27" xfId="2367" xr:uid="{00000000-0005-0000-0000-00003F090000}"/>
    <cellStyle name="標準 21 28" xfId="2368" xr:uid="{00000000-0005-0000-0000-000040090000}"/>
    <cellStyle name="標準 21 29" xfId="2369" xr:uid="{00000000-0005-0000-0000-000041090000}"/>
    <cellStyle name="標準 21 3" xfId="2370" xr:uid="{00000000-0005-0000-0000-000042090000}"/>
    <cellStyle name="標準 21 30" xfId="2371" xr:uid="{00000000-0005-0000-0000-000043090000}"/>
    <cellStyle name="標準 21 31" xfId="2372" xr:uid="{00000000-0005-0000-0000-000044090000}"/>
    <cellStyle name="標準 21 32" xfId="2373" xr:uid="{00000000-0005-0000-0000-000045090000}"/>
    <cellStyle name="標準 21 33" xfId="2374" xr:uid="{00000000-0005-0000-0000-000046090000}"/>
    <cellStyle name="標準 21 34" xfId="2375" xr:uid="{00000000-0005-0000-0000-000047090000}"/>
    <cellStyle name="標準 21 35" xfId="2376" xr:uid="{00000000-0005-0000-0000-000048090000}"/>
    <cellStyle name="標準 21 36" xfId="2377" xr:uid="{00000000-0005-0000-0000-000049090000}"/>
    <cellStyle name="標準 21 37" xfId="2378" xr:uid="{00000000-0005-0000-0000-00004A090000}"/>
    <cellStyle name="標準 21 38" xfId="2379" xr:uid="{00000000-0005-0000-0000-00004B090000}"/>
    <cellStyle name="標準 21 39" xfId="2380" xr:uid="{00000000-0005-0000-0000-00004C090000}"/>
    <cellStyle name="標準 21 4" xfId="2381" xr:uid="{00000000-0005-0000-0000-00004D090000}"/>
    <cellStyle name="標準 21 40" xfId="2382" xr:uid="{00000000-0005-0000-0000-00004E090000}"/>
    <cellStyle name="標準 21 41" xfId="2383" xr:uid="{00000000-0005-0000-0000-00004F090000}"/>
    <cellStyle name="標準 21 42" xfId="2384" xr:uid="{00000000-0005-0000-0000-000050090000}"/>
    <cellStyle name="標準 21 43" xfId="2385" xr:uid="{00000000-0005-0000-0000-000051090000}"/>
    <cellStyle name="標準 21 44" xfId="2386" xr:uid="{00000000-0005-0000-0000-000052090000}"/>
    <cellStyle name="標準 21 45" xfId="2387" xr:uid="{00000000-0005-0000-0000-000053090000}"/>
    <cellStyle name="標準 21 46" xfId="2388" xr:uid="{00000000-0005-0000-0000-000054090000}"/>
    <cellStyle name="標準 21 47" xfId="2389" xr:uid="{00000000-0005-0000-0000-000055090000}"/>
    <cellStyle name="標準 21 48" xfId="2390" xr:uid="{00000000-0005-0000-0000-000056090000}"/>
    <cellStyle name="標準 21 5" xfId="2391" xr:uid="{00000000-0005-0000-0000-000057090000}"/>
    <cellStyle name="標準 21 6" xfId="2392" xr:uid="{00000000-0005-0000-0000-000058090000}"/>
    <cellStyle name="標準 21 7" xfId="2393" xr:uid="{00000000-0005-0000-0000-000059090000}"/>
    <cellStyle name="標準 21 8" xfId="2394" xr:uid="{00000000-0005-0000-0000-00005A090000}"/>
    <cellStyle name="標準 21 9" xfId="2395" xr:uid="{00000000-0005-0000-0000-00005B090000}"/>
    <cellStyle name="標準 22 10" xfId="2396" xr:uid="{00000000-0005-0000-0000-00005C090000}"/>
    <cellStyle name="標準 22 11" xfId="2397" xr:uid="{00000000-0005-0000-0000-00005D090000}"/>
    <cellStyle name="標準 22 12" xfId="2398" xr:uid="{00000000-0005-0000-0000-00005E090000}"/>
    <cellStyle name="標準 22 13" xfId="2399" xr:uid="{00000000-0005-0000-0000-00005F090000}"/>
    <cellStyle name="標準 22 14" xfId="2400" xr:uid="{00000000-0005-0000-0000-000060090000}"/>
    <cellStyle name="標準 22 15" xfId="2401" xr:uid="{00000000-0005-0000-0000-000061090000}"/>
    <cellStyle name="標準 22 16" xfId="2402" xr:uid="{00000000-0005-0000-0000-000062090000}"/>
    <cellStyle name="標準 22 17" xfId="2403" xr:uid="{00000000-0005-0000-0000-000063090000}"/>
    <cellStyle name="標準 22 18" xfId="2404" xr:uid="{00000000-0005-0000-0000-000064090000}"/>
    <cellStyle name="標準 22 19" xfId="2405" xr:uid="{00000000-0005-0000-0000-000065090000}"/>
    <cellStyle name="標準 22 2" xfId="2406" xr:uid="{00000000-0005-0000-0000-000066090000}"/>
    <cellStyle name="標準 22 20" xfId="2407" xr:uid="{00000000-0005-0000-0000-000067090000}"/>
    <cellStyle name="標準 22 21" xfId="2408" xr:uid="{00000000-0005-0000-0000-000068090000}"/>
    <cellStyle name="標準 22 22" xfId="2409" xr:uid="{00000000-0005-0000-0000-000069090000}"/>
    <cellStyle name="標準 22 23" xfId="2410" xr:uid="{00000000-0005-0000-0000-00006A090000}"/>
    <cellStyle name="標準 22 24" xfId="2411" xr:uid="{00000000-0005-0000-0000-00006B090000}"/>
    <cellStyle name="標準 22 25" xfId="2412" xr:uid="{00000000-0005-0000-0000-00006C090000}"/>
    <cellStyle name="標準 22 26" xfId="2413" xr:uid="{00000000-0005-0000-0000-00006D090000}"/>
    <cellStyle name="標準 22 27" xfId="2414" xr:uid="{00000000-0005-0000-0000-00006E090000}"/>
    <cellStyle name="標準 22 28" xfId="2415" xr:uid="{00000000-0005-0000-0000-00006F090000}"/>
    <cellStyle name="標準 22 29" xfId="2416" xr:uid="{00000000-0005-0000-0000-000070090000}"/>
    <cellStyle name="標準 22 3" xfId="2417" xr:uid="{00000000-0005-0000-0000-000071090000}"/>
    <cellStyle name="標準 22 30" xfId="2418" xr:uid="{00000000-0005-0000-0000-000072090000}"/>
    <cellStyle name="標準 22 31" xfId="2419" xr:uid="{00000000-0005-0000-0000-000073090000}"/>
    <cellStyle name="標準 22 32" xfId="2420" xr:uid="{00000000-0005-0000-0000-000074090000}"/>
    <cellStyle name="標準 22 33" xfId="2421" xr:uid="{00000000-0005-0000-0000-000075090000}"/>
    <cellStyle name="標準 22 34" xfId="2422" xr:uid="{00000000-0005-0000-0000-000076090000}"/>
    <cellStyle name="標準 22 35" xfId="2423" xr:uid="{00000000-0005-0000-0000-000077090000}"/>
    <cellStyle name="標準 22 36" xfId="2424" xr:uid="{00000000-0005-0000-0000-000078090000}"/>
    <cellStyle name="標準 22 37" xfId="2425" xr:uid="{00000000-0005-0000-0000-000079090000}"/>
    <cellStyle name="標準 22 38" xfId="2426" xr:uid="{00000000-0005-0000-0000-00007A090000}"/>
    <cellStyle name="標準 22 39" xfId="2427" xr:uid="{00000000-0005-0000-0000-00007B090000}"/>
    <cellStyle name="標準 22 4" xfId="2428" xr:uid="{00000000-0005-0000-0000-00007C090000}"/>
    <cellStyle name="標準 22 40" xfId="2429" xr:uid="{00000000-0005-0000-0000-00007D090000}"/>
    <cellStyle name="標準 22 41" xfId="2430" xr:uid="{00000000-0005-0000-0000-00007E090000}"/>
    <cellStyle name="標準 22 42" xfId="2431" xr:uid="{00000000-0005-0000-0000-00007F090000}"/>
    <cellStyle name="標準 22 43" xfId="2432" xr:uid="{00000000-0005-0000-0000-000080090000}"/>
    <cellStyle name="標準 22 44" xfId="2433" xr:uid="{00000000-0005-0000-0000-000081090000}"/>
    <cellStyle name="標準 22 45" xfId="2434" xr:uid="{00000000-0005-0000-0000-000082090000}"/>
    <cellStyle name="標準 22 46" xfId="2435" xr:uid="{00000000-0005-0000-0000-000083090000}"/>
    <cellStyle name="標準 22 47" xfId="2436" xr:uid="{00000000-0005-0000-0000-000084090000}"/>
    <cellStyle name="標準 22 48" xfId="2437" xr:uid="{00000000-0005-0000-0000-000085090000}"/>
    <cellStyle name="標準 22 5" xfId="2438" xr:uid="{00000000-0005-0000-0000-000086090000}"/>
    <cellStyle name="標準 22 6" xfId="2439" xr:uid="{00000000-0005-0000-0000-000087090000}"/>
    <cellStyle name="標準 22 7" xfId="2440" xr:uid="{00000000-0005-0000-0000-000088090000}"/>
    <cellStyle name="標準 22 8" xfId="2441" xr:uid="{00000000-0005-0000-0000-000089090000}"/>
    <cellStyle name="標準 22 9" xfId="2442" xr:uid="{00000000-0005-0000-0000-00008A090000}"/>
    <cellStyle name="標準 23 10" xfId="2443" xr:uid="{00000000-0005-0000-0000-00008B090000}"/>
    <cellStyle name="標準 23 11" xfId="2444" xr:uid="{00000000-0005-0000-0000-00008C090000}"/>
    <cellStyle name="標準 23 12" xfId="2445" xr:uid="{00000000-0005-0000-0000-00008D090000}"/>
    <cellStyle name="標準 23 13" xfId="2446" xr:uid="{00000000-0005-0000-0000-00008E090000}"/>
    <cellStyle name="標準 23 14" xfId="2447" xr:uid="{00000000-0005-0000-0000-00008F090000}"/>
    <cellStyle name="標準 23 15" xfId="2448" xr:uid="{00000000-0005-0000-0000-000090090000}"/>
    <cellStyle name="標準 23 16" xfId="2449" xr:uid="{00000000-0005-0000-0000-000091090000}"/>
    <cellStyle name="標準 23 17" xfId="2450" xr:uid="{00000000-0005-0000-0000-000092090000}"/>
    <cellStyle name="標準 23 18" xfId="2451" xr:uid="{00000000-0005-0000-0000-000093090000}"/>
    <cellStyle name="標準 23 19" xfId="2452" xr:uid="{00000000-0005-0000-0000-000094090000}"/>
    <cellStyle name="標準 23 2" xfId="2453" xr:uid="{00000000-0005-0000-0000-000095090000}"/>
    <cellStyle name="標準 23 20" xfId="2454" xr:uid="{00000000-0005-0000-0000-000096090000}"/>
    <cellStyle name="標準 23 21" xfId="2455" xr:uid="{00000000-0005-0000-0000-000097090000}"/>
    <cellStyle name="標準 23 22" xfId="2456" xr:uid="{00000000-0005-0000-0000-000098090000}"/>
    <cellStyle name="標準 23 23" xfId="2457" xr:uid="{00000000-0005-0000-0000-000099090000}"/>
    <cellStyle name="標準 23 24" xfId="2458" xr:uid="{00000000-0005-0000-0000-00009A090000}"/>
    <cellStyle name="標準 23 25" xfId="2459" xr:uid="{00000000-0005-0000-0000-00009B090000}"/>
    <cellStyle name="標準 23 26" xfId="2460" xr:uid="{00000000-0005-0000-0000-00009C090000}"/>
    <cellStyle name="標準 23 27" xfId="2461" xr:uid="{00000000-0005-0000-0000-00009D090000}"/>
    <cellStyle name="標準 23 28" xfId="2462" xr:uid="{00000000-0005-0000-0000-00009E090000}"/>
    <cellStyle name="標準 23 29" xfId="2463" xr:uid="{00000000-0005-0000-0000-00009F090000}"/>
    <cellStyle name="標準 23 3" xfId="2464" xr:uid="{00000000-0005-0000-0000-0000A0090000}"/>
    <cellStyle name="標準 23 30" xfId="2465" xr:uid="{00000000-0005-0000-0000-0000A1090000}"/>
    <cellStyle name="標準 23 31" xfId="2466" xr:uid="{00000000-0005-0000-0000-0000A2090000}"/>
    <cellStyle name="標準 23 32" xfId="2467" xr:uid="{00000000-0005-0000-0000-0000A3090000}"/>
    <cellStyle name="標準 23 33" xfId="2468" xr:uid="{00000000-0005-0000-0000-0000A4090000}"/>
    <cellStyle name="標準 23 34" xfId="2469" xr:uid="{00000000-0005-0000-0000-0000A5090000}"/>
    <cellStyle name="標準 23 35" xfId="2470" xr:uid="{00000000-0005-0000-0000-0000A6090000}"/>
    <cellStyle name="標準 23 36" xfId="2471" xr:uid="{00000000-0005-0000-0000-0000A7090000}"/>
    <cellStyle name="標準 23 37" xfId="2472" xr:uid="{00000000-0005-0000-0000-0000A8090000}"/>
    <cellStyle name="標準 23 38" xfId="2473" xr:uid="{00000000-0005-0000-0000-0000A9090000}"/>
    <cellStyle name="標準 23 39" xfId="2474" xr:uid="{00000000-0005-0000-0000-0000AA090000}"/>
    <cellStyle name="標準 23 4" xfId="2475" xr:uid="{00000000-0005-0000-0000-0000AB090000}"/>
    <cellStyle name="標準 23 40" xfId="2476" xr:uid="{00000000-0005-0000-0000-0000AC090000}"/>
    <cellStyle name="標準 23 41" xfId="2477" xr:uid="{00000000-0005-0000-0000-0000AD090000}"/>
    <cellStyle name="標準 23 42" xfId="2478" xr:uid="{00000000-0005-0000-0000-0000AE090000}"/>
    <cellStyle name="標準 23 43" xfId="2479" xr:uid="{00000000-0005-0000-0000-0000AF090000}"/>
    <cellStyle name="標準 23 44" xfId="2480" xr:uid="{00000000-0005-0000-0000-0000B0090000}"/>
    <cellStyle name="標準 23 45" xfId="2481" xr:uid="{00000000-0005-0000-0000-0000B1090000}"/>
    <cellStyle name="標準 23 46" xfId="2482" xr:uid="{00000000-0005-0000-0000-0000B2090000}"/>
    <cellStyle name="標準 23 47" xfId="2483" xr:uid="{00000000-0005-0000-0000-0000B3090000}"/>
    <cellStyle name="標準 23 48" xfId="2484" xr:uid="{00000000-0005-0000-0000-0000B4090000}"/>
    <cellStyle name="標準 23 5" xfId="2485" xr:uid="{00000000-0005-0000-0000-0000B5090000}"/>
    <cellStyle name="標準 23 6" xfId="2486" xr:uid="{00000000-0005-0000-0000-0000B6090000}"/>
    <cellStyle name="標準 23 7" xfId="2487" xr:uid="{00000000-0005-0000-0000-0000B7090000}"/>
    <cellStyle name="標準 23 8" xfId="2488" xr:uid="{00000000-0005-0000-0000-0000B8090000}"/>
    <cellStyle name="標準 23 9" xfId="2489" xr:uid="{00000000-0005-0000-0000-0000B9090000}"/>
    <cellStyle name="標準 24 10" xfId="2490" xr:uid="{00000000-0005-0000-0000-0000BA090000}"/>
    <cellStyle name="標準 24 11" xfId="2491" xr:uid="{00000000-0005-0000-0000-0000BB090000}"/>
    <cellStyle name="標準 24 12" xfId="2492" xr:uid="{00000000-0005-0000-0000-0000BC090000}"/>
    <cellStyle name="標準 24 13" xfId="2493" xr:uid="{00000000-0005-0000-0000-0000BD090000}"/>
    <cellStyle name="標準 24 14" xfId="2494" xr:uid="{00000000-0005-0000-0000-0000BE090000}"/>
    <cellStyle name="標準 24 15" xfId="2495" xr:uid="{00000000-0005-0000-0000-0000BF090000}"/>
    <cellStyle name="標準 24 16" xfId="2496" xr:uid="{00000000-0005-0000-0000-0000C0090000}"/>
    <cellStyle name="標準 24 17" xfId="2497" xr:uid="{00000000-0005-0000-0000-0000C1090000}"/>
    <cellStyle name="標準 24 18" xfId="2498" xr:uid="{00000000-0005-0000-0000-0000C2090000}"/>
    <cellStyle name="標準 24 19" xfId="2499" xr:uid="{00000000-0005-0000-0000-0000C3090000}"/>
    <cellStyle name="標準 24 2" xfId="2500" xr:uid="{00000000-0005-0000-0000-0000C4090000}"/>
    <cellStyle name="標準 24 20" xfId="2501" xr:uid="{00000000-0005-0000-0000-0000C5090000}"/>
    <cellStyle name="標準 24 21" xfId="2502" xr:uid="{00000000-0005-0000-0000-0000C6090000}"/>
    <cellStyle name="標準 24 22" xfId="2503" xr:uid="{00000000-0005-0000-0000-0000C7090000}"/>
    <cellStyle name="標準 24 23" xfId="2504" xr:uid="{00000000-0005-0000-0000-0000C8090000}"/>
    <cellStyle name="標準 24 24" xfId="2505" xr:uid="{00000000-0005-0000-0000-0000C9090000}"/>
    <cellStyle name="標準 24 25" xfId="2506" xr:uid="{00000000-0005-0000-0000-0000CA090000}"/>
    <cellStyle name="標準 24 26" xfId="2507" xr:uid="{00000000-0005-0000-0000-0000CB090000}"/>
    <cellStyle name="標準 24 27" xfId="2508" xr:uid="{00000000-0005-0000-0000-0000CC090000}"/>
    <cellStyle name="標準 24 28" xfId="2509" xr:uid="{00000000-0005-0000-0000-0000CD090000}"/>
    <cellStyle name="標準 24 29" xfId="2510" xr:uid="{00000000-0005-0000-0000-0000CE090000}"/>
    <cellStyle name="標準 24 3" xfId="2511" xr:uid="{00000000-0005-0000-0000-0000CF090000}"/>
    <cellStyle name="標準 24 30" xfId="2512" xr:uid="{00000000-0005-0000-0000-0000D0090000}"/>
    <cellStyle name="標準 24 31" xfId="2513" xr:uid="{00000000-0005-0000-0000-0000D1090000}"/>
    <cellStyle name="標準 24 32" xfId="2514" xr:uid="{00000000-0005-0000-0000-0000D2090000}"/>
    <cellStyle name="標準 24 33" xfId="2515" xr:uid="{00000000-0005-0000-0000-0000D3090000}"/>
    <cellStyle name="標準 24 34" xfId="2516" xr:uid="{00000000-0005-0000-0000-0000D4090000}"/>
    <cellStyle name="標準 24 35" xfId="2517" xr:uid="{00000000-0005-0000-0000-0000D5090000}"/>
    <cellStyle name="標準 24 36" xfId="2518" xr:uid="{00000000-0005-0000-0000-0000D6090000}"/>
    <cellStyle name="標準 24 37" xfId="2519" xr:uid="{00000000-0005-0000-0000-0000D7090000}"/>
    <cellStyle name="標準 24 38" xfId="2520" xr:uid="{00000000-0005-0000-0000-0000D8090000}"/>
    <cellStyle name="標準 24 39" xfId="2521" xr:uid="{00000000-0005-0000-0000-0000D9090000}"/>
    <cellStyle name="標準 24 4" xfId="2522" xr:uid="{00000000-0005-0000-0000-0000DA090000}"/>
    <cellStyle name="標準 24 40" xfId="2523" xr:uid="{00000000-0005-0000-0000-0000DB090000}"/>
    <cellStyle name="標準 24 41" xfId="2524" xr:uid="{00000000-0005-0000-0000-0000DC090000}"/>
    <cellStyle name="標準 24 42" xfId="2525" xr:uid="{00000000-0005-0000-0000-0000DD090000}"/>
    <cellStyle name="標準 24 43" xfId="2526" xr:uid="{00000000-0005-0000-0000-0000DE090000}"/>
    <cellStyle name="標準 24 44" xfId="2527" xr:uid="{00000000-0005-0000-0000-0000DF090000}"/>
    <cellStyle name="標準 24 45" xfId="2528" xr:uid="{00000000-0005-0000-0000-0000E0090000}"/>
    <cellStyle name="標準 24 46" xfId="2529" xr:uid="{00000000-0005-0000-0000-0000E1090000}"/>
    <cellStyle name="標準 24 47" xfId="2530" xr:uid="{00000000-0005-0000-0000-0000E2090000}"/>
    <cellStyle name="標準 24 48" xfId="2531" xr:uid="{00000000-0005-0000-0000-0000E3090000}"/>
    <cellStyle name="標準 24 5" xfId="2532" xr:uid="{00000000-0005-0000-0000-0000E4090000}"/>
    <cellStyle name="標準 24 6" xfId="2533" xr:uid="{00000000-0005-0000-0000-0000E5090000}"/>
    <cellStyle name="標準 24 7" xfId="2534" xr:uid="{00000000-0005-0000-0000-0000E6090000}"/>
    <cellStyle name="標準 24 8" xfId="2535" xr:uid="{00000000-0005-0000-0000-0000E7090000}"/>
    <cellStyle name="標準 24 9" xfId="2536" xr:uid="{00000000-0005-0000-0000-0000E8090000}"/>
    <cellStyle name="標準 25 10" xfId="2537" xr:uid="{00000000-0005-0000-0000-0000E9090000}"/>
    <cellStyle name="標準 25 11" xfId="2538" xr:uid="{00000000-0005-0000-0000-0000EA090000}"/>
    <cellStyle name="標準 25 12" xfId="2539" xr:uid="{00000000-0005-0000-0000-0000EB090000}"/>
    <cellStyle name="標準 25 13" xfId="2540" xr:uid="{00000000-0005-0000-0000-0000EC090000}"/>
    <cellStyle name="標準 25 14" xfId="2541" xr:uid="{00000000-0005-0000-0000-0000ED090000}"/>
    <cellStyle name="標準 25 15" xfId="2542" xr:uid="{00000000-0005-0000-0000-0000EE090000}"/>
    <cellStyle name="標準 25 16" xfId="2543" xr:uid="{00000000-0005-0000-0000-0000EF090000}"/>
    <cellStyle name="標準 25 17" xfId="2544" xr:uid="{00000000-0005-0000-0000-0000F0090000}"/>
    <cellStyle name="標準 25 18" xfId="2545" xr:uid="{00000000-0005-0000-0000-0000F1090000}"/>
    <cellStyle name="標準 25 19" xfId="2546" xr:uid="{00000000-0005-0000-0000-0000F2090000}"/>
    <cellStyle name="標準 25 2" xfId="2547" xr:uid="{00000000-0005-0000-0000-0000F3090000}"/>
    <cellStyle name="標準 25 20" xfId="2548" xr:uid="{00000000-0005-0000-0000-0000F4090000}"/>
    <cellStyle name="標準 25 21" xfId="2549" xr:uid="{00000000-0005-0000-0000-0000F5090000}"/>
    <cellStyle name="標準 25 22" xfId="2550" xr:uid="{00000000-0005-0000-0000-0000F6090000}"/>
    <cellStyle name="標準 25 23" xfId="2551" xr:uid="{00000000-0005-0000-0000-0000F7090000}"/>
    <cellStyle name="標準 25 24" xfId="2552" xr:uid="{00000000-0005-0000-0000-0000F8090000}"/>
    <cellStyle name="標準 25 25" xfId="2553" xr:uid="{00000000-0005-0000-0000-0000F9090000}"/>
    <cellStyle name="標準 25 26" xfId="2554" xr:uid="{00000000-0005-0000-0000-0000FA090000}"/>
    <cellStyle name="標準 25 27" xfId="2555" xr:uid="{00000000-0005-0000-0000-0000FB090000}"/>
    <cellStyle name="標準 25 28" xfId="2556" xr:uid="{00000000-0005-0000-0000-0000FC090000}"/>
    <cellStyle name="標準 25 29" xfId="2557" xr:uid="{00000000-0005-0000-0000-0000FD090000}"/>
    <cellStyle name="標準 25 3" xfId="2558" xr:uid="{00000000-0005-0000-0000-0000FE090000}"/>
    <cellStyle name="標準 25 30" xfId="2559" xr:uid="{00000000-0005-0000-0000-0000FF090000}"/>
    <cellStyle name="標準 25 31" xfId="2560" xr:uid="{00000000-0005-0000-0000-0000000A0000}"/>
    <cellStyle name="標準 25 32" xfId="2561" xr:uid="{00000000-0005-0000-0000-0000010A0000}"/>
    <cellStyle name="標準 25 33" xfId="2562" xr:uid="{00000000-0005-0000-0000-0000020A0000}"/>
    <cellStyle name="標準 25 34" xfId="2563" xr:uid="{00000000-0005-0000-0000-0000030A0000}"/>
    <cellStyle name="標準 25 35" xfId="2564" xr:uid="{00000000-0005-0000-0000-0000040A0000}"/>
    <cellStyle name="標準 25 36" xfId="2565" xr:uid="{00000000-0005-0000-0000-0000050A0000}"/>
    <cellStyle name="標準 25 37" xfId="2566" xr:uid="{00000000-0005-0000-0000-0000060A0000}"/>
    <cellStyle name="標準 25 38" xfId="2567" xr:uid="{00000000-0005-0000-0000-0000070A0000}"/>
    <cellStyle name="標準 25 39" xfId="2568" xr:uid="{00000000-0005-0000-0000-0000080A0000}"/>
    <cellStyle name="標準 25 4" xfId="2569" xr:uid="{00000000-0005-0000-0000-0000090A0000}"/>
    <cellStyle name="標準 25 40" xfId="2570" xr:uid="{00000000-0005-0000-0000-00000A0A0000}"/>
    <cellStyle name="標準 25 41" xfId="2571" xr:uid="{00000000-0005-0000-0000-00000B0A0000}"/>
    <cellStyle name="標準 25 42" xfId="2572" xr:uid="{00000000-0005-0000-0000-00000C0A0000}"/>
    <cellStyle name="標準 25 43" xfId="2573" xr:uid="{00000000-0005-0000-0000-00000D0A0000}"/>
    <cellStyle name="標準 25 44" xfId="2574" xr:uid="{00000000-0005-0000-0000-00000E0A0000}"/>
    <cellStyle name="標準 25 45" xfId="2575" xr:uid="{00000000-0005-0000-0000-00000F0A0000}"/>
    <cellStyle name="標準 25 46" xfId="2576" xr:uid="{00000000-0005-0000-0000-0000100A0000}"/>
    <cellStyle name="標準 25 47" xfId="2577" xr:uid="{00000000-0005-0000-0000-0000110A0000}"/>
    <cellStyle name="標準 25 48" xfId="2578" xr:uid="{00000000-0005-0000-0000-0000120A0000}"/>
    <cellStyle name="標準 25 5" xfId="2579" xr:uid="{00000000-0005-0000-0000-0000130A0000}"/>
    <cellStyle name="標準 25 6" xfId="2580" xr:uid="{00000000-0005-0000-0000-0000140A0000}"/>
    <cellStyle name="標準 25 7" xfId="2581" xr:uid="{00000000-0005-0000-0000-0000150A0000}"/>
    <cellStyle name="標準 25 8" xfId="2582" xr:uid="{00000000-0005-0000-0000-0000160A0000}"/>
    <cellStyle name="標準 25 9" xfId="2583" xr:uid="{00000000-0005-0000-0000-0000170A0000}"/>
    <cellStyle name="標準 26 10" xfId="2584" xr:uid="{00000000-0005-0000-0000-0000180A0000}"/>
    <cellStyle name="標準 26 11" xfId="2585" xr:uid="{00000000-0005-0000-0000-0000190A0000}"/>
    <cellStyle name="標準 26 12" xfId="2586" xr:uid="{00000000-0005-0000-0000-00001A0A0000}"/>
    <cellStyle name="標準 26 13" xfId="2587" xr:uid="{00000000-0005-0000-0000-00001B0A0000}"/>
    <cellStyle name="標準 26 14" xfId="2588" xr:uid="{00000000-0005-0000-0000-00001C0A0000}"/>
    <cellStyle name="標準 26 15" xfId="2589" xr:uid="{00000000-0005-0000-0000-00001D0A0000}"/>
    <cellStyle name="標準 26 16" xfId="2590" xr:uid="{00000000-0005-0000-0000-00001E0A0000}"/>
    <cellStyle name="標準 26 17" xfId="2591" xr:uid="{00000000-0005-0000-0000-00001F0A0000}"/>
    <cellStyle name="標準 26 18" xfId="2592" xr:uid="{00000000-0005-0000-0000-0000200A0000}"/>
    <cellStyle name="標準 26 19" xfId="2593" xr:uid="{00000000-0005-0000-0000-0000210A0000}"/>
    <cellStyle name="標準 26 2" xfId="2594" xr:uid="{00000000-0005-0000-0000-0000220A0000}"/>
    <cellStyle name="標準 26 20" xfId="2595" xr:uid="{00000000-0005-0000-0000-0000230A0000}"/>
    <cellStyle name="標準 26 21" xfId="2596" xr:uid="{00000000-0005-0000-0000-0000240A0000}"/>
    <cellStyle name="標準 26 22" xfId="2597" xr:uid="{00000000-0005-0000-0000-0000250A0000}"/>
    <cellStyle name="標準 26 23" xfId="2598" xr:uid="{00000000-0005-0000-0000-0000260A0000}"/>
    <cellStyle name="標準 26 24" xfId="2599" xr:uid="{00000000-0005-0000-0000-0000270A0000}"/>
    <cellStyle name="標準 26 25" xfId="2600" xr:uid="{00000000-0005-0000-0000-0000280A0000}"/>
    <cellStyle name="標準 26 26" xfId="2601" xr:uid="{00000000-0005-0000-0000-0000290A0000}"/>
    <cellStyle name="標準 26 27" xfId="2602" xr:uid="{00000000-0005-0000-0000-00002A0A0000}"/>
    <cellStyle name="標準 26 28" xfId="2603" xr:uid="{00000000-0005-0000-0000-00002B0A0000}"/>
    <cellStyle name="標準 26 29" xfId="2604" xr:uid="{00000000-0005-0000-0000-00002C0A0000}"/>
    <cellStyle name="標準 26 3" xfId="2605" xr:uid="{00000000-0005-0000-0000-00002D0A0000}"/>
    <cellStyle name="標準 26 30" xfId="2606" xr:uid="{00000000-0005-0000-0000-00002E0A0000}"/>
    <cellStyle name="標準 26 31" xfId="2607" xr:uid="{00000000-0005-0000-0000-00002F0A0000}"/>
    <cellStyle name="標準 26 32" xfId="2608" xr:uid="{00000000-0005-0000-0000-0000300A0000}"/>
    <cellStyle name="標準 26 33" xfId="2609" xr:uid="{00000000-0005-0000-0000-0000310A0000}"/>
    <cellStyle name="標準 26 34" xfId="2610" xr:uid="{00000000-0005-0000-0000-0000320A0000}"/>
    <cellStyle name="標準 26 35" xfId="2611" xr:uid="{00000000-0005-0000-0000-0000330A0000}"/>
    <cellStyle name="標準 26 36" xfId="2612" xr:uid="{00000000-0005-0000-0000-0000340A0000}"/>
    <cellStyle name="標準 26 37" xfId="2613" xr:uid="{00000000-0005-0000-0000-0000350A0000}"/>
    <cellStyle name="標準 26 38" xfId="2614" xr:uid="{00000000-0005-0000-0000-0000360A0000}"/>
    <cellStyle name="標準 26 39" xfId="2615" xr:uid="{00000000-0005-0000-0000-0000370A0000}"/>
    <cellStyle name="標準 26 4" xfId="2616" xr:uid="{00000000-0005-0000-0000-0000380A0000}"/>
    <cellStyle name="標準 26 40" xfId="2617" xr:uid="{00000000-0005-0000-0000-0000390A0000}"/>
    <cellStyle name="標準 26 41" xfId="2618" xr:uid="{00000000-0005-0000-0000-00003A0A0000}"/>
    <cellStyle name="標準 26 42" xfId="2619" xr:uid="{00000000-0005-0000-0000-00003B0A0000}"/>
    <cellStyle name="標準 26 43" xfId="2620" xr:uid="{00000000-0005-0000-0000-00003C0A0000}"/>
    <cellStyle name="標準 26 44" xfId="2621" xr:uid="{00000000-0005-0000-0000-00003D0A0000}"/>
    <cellStyle name="標準 26 45" xfId="2622" xr:uid="{00000000-0005-0000-0000-00003E0A0000}"/>
    <cellStyle name="標準 26 46" xfId="2623" xr:uid="{00000000-0005-0000-0000-00003F0A0000}"/>
    <cellStyle name="標準 26 47" xfId="2624" xr:uid="{00000000-0005-0000-0000-0000400A0000}"/>
    <cellStyle name="標準 26 48" xfId="2625" xr:uid="{00000000-0005-0000-0000-0000410A0000}"/>
    <cellStyle name="標準 26 5" xfId="2626" xr:uid="{00000000-0005-0000-0000-0000420A0000}"/>
    <cellStyle name="標準 26 6" xfId="2627" xr:uid="{00000000-0005-0000-0000-0000430A0000}"/>
    <cellStyle name="標準 26 7" xfId="2628" xr:uid="{00000000-0005-0000-0000-0000440A0000}"/>
    <cellStyle name="標準 26 8" xfId="2629" xr:uid="{00000000-0005-0000-0000-0000450A0000}"/>
    <cellStyle name="標準 26 9" xfId="2630" xr:uid="{00000000-0005-0000-0000-0000460A0000}"/>
    <cellStyle name="標準 27 10" xfId="2631" xr:uid="{00000000-0005-0000-0000-0000470A0000}"/>
    <cellStyle name="標準 27 11" xfId="2632" xr:uid="{00000000-0005-0000-0000-0000480A0000}"/>
    <cellStyle name="標準 27 12" xfId="2633" xr:uid="{00000000-0005-0000-0000-0000490A0000}"/>
    <cellStyle name="標準 27 13" xfId="2634" xr:uid="{00000000-0005-0000-0000-00004A0A0000}"/>
    <cellStyle name="標準 27 14" xfId="2635" xr:uid="{00000000-0005-0000-0000-00004B0A0000}"/>
    <cellStyle name="標準 27 15" xfId="2636" xr:uid="{00000000-0005-0000-0000-00004C0A0000}"/>
    <cellStyle name="標準 27 16" xfId="2637" xr:uid="{00000000-0005-0000-0000-00004D0A0000}"/>
    <cellStyle name="標準 27 17" xfId="2638" xr:uid="{00000000-0005-0000-0000-00004E0A0000}"/>
    <cellStyle name="標準 27 18" xfId="2639" xr:uid="{00000000-0005-0000-0000-00004F0A0000}"/>
    <cellStyle name="標準 27 19" xfId="2640" xr:uid="{00000000-0005-0000-0000-0000500A0000}"/>
    <cellStyle name="標準 27 2" xfId="2641" xr:uid="{00000000-0005-0000-0000-0000510A0000}"/>
    <cellStyle name="標準 27 20" xfId="2642" xr:uid="{00000000-0005-0000-0000-0000520A0000}"/>
    <cellStyle name="標準 27 21" xfId="2643" xr:uid="{00000000-0005-0000-0000-0000530A0000}"/>
    <cellStyle name="標準 27 22" xfId="2644" xr:uid="{00000000-0005-0000-0000-0000540A0000}"/>
    <cellStyle name="標準 27 23" xfId="2645" xr:uid="{00000000-0005-0000-0000-0000550A0000}"/>
    <cellStyle name="標準 27 24" xfId="2646" xr:uid="{00000000-0005-0000-0000-0000560A0000}"/>
    <cellStyle name="標準 27 25" xfId="2647" xr:uid="{00000000-0005-0000-0000-0000570A0000}"/>
    <cellStyle name="標準 27 26" xfId="2648" xr:uid="{00000000-0005-0000-0000-0000580A0000}"/>
    <cellStyle name="標準 27 27" xfId="2649" xr:uid="{00000000-0005-0000-0000-0000590A0000}"/>
    <cellStyle name="標準 27 28" xfId="2650" xr:uid="{00000000-0005-0000-0000-00005A0A0000}"/>
    <cellStyle name="標準 27 29" xfId="2651" xr:uid="{00000000-0005-0000-0000-00005B0A0000}"/>
    <cellStyle name="標準 27 3" xfId="2652" xr:uid="{00000000-0005-0000-0000-00005C0A0000}"/>
    <cellStyle name="標準 27 30" xfId="2653" xr:uid="{00000000-0005-0000-0000-00005D0A0000}"/>
    <cellStyle name="標準 27 31" xfId="2654" xr:uid="{00000000-0005-0000-0000-00005E0A0000}"/>
    <cellStyle name="標準 27 32" xfId="2655" xr:uid="{00000000-0005-0000-0000-00005F0A0000}"/>
    <cellStyle name="標準 27 33" xfId="2656" xr:uid="{00000000-0005-0000-0000-0000600A0000}"/>
    <cellStyle name="標準 27 34" xfId="2657" xr:uid="{00000000-0005-0000-0000-0000610A0000}"/>
    <cellStyle name="標準 27 35" xfId="2658" xr:uid="{00000000-0005-0000-0000-0000620A0000}"/>
    <cellStyle name="標準 27 36" xfId="2659" xr:uid="{00000000-0005-0000-0000-0000630A0000}"/>
    <cellStyle name="標準 27 37" xfId="2660" xr:uid="{00000000-0005-0000-0000-0000640A0000}"/>
    <cellStyle name="標準 27 38" xfId="2661" xr:uid="{00000000-0005-0000-0000-0000650A0000}"/>
    <cellStyle name="標準 27 39" xfId="2662" xr:uid="{00000000-0005-0000-0000-0000660A0000}"/>
    <cellStyle name="標準 27 4" xfId="2663" xr:uid="{00000000-0005-0000-0000-0000670A0000}"/>
    <cellStyle name="標準 27 40" xfId="2664" xr:uid="{00000000-0005-0000-0000-0000680A0000}"/>
    <cellStyle name="標準 27 41" xfId="2665" xr:uid="{00000000-0005-0000-0000-0000690A0000}"/>
    <cellStyle name="標準 27 42" xfId="2666" xr:uid="{00000000-0005-0000-0000-00006A0A0000}"/>
    <cellStyle name="標準 27 43" xfId="2667" xr:uid="{00000000-0005-0000-0000-00006B0A0000}"/>
    <cellStyle name="標準 27 44" xfId="2668" xr:uid="{00000000-0005-0000-0000-00006C0A0000}"/>
    <cellStyle name="標準 27 45" xfId="2669" xr:uid="{00000000-0005-0000-0000-00006D0A0000}"/>
    <cellStyle name="標準 27 46" xfId="2670" xr:uid="{00000000-0005-0000-0000-00006E0A0000}"/>
    <cellStyle name="標準 27 47" xfId="2671" xr:uid="{00000000-0005-0000-0000-00006F0A0000}"/>
    <cellStyle name="標準 27 48" xfId="2672" xr:uid="{00000000-0005-0000-0000-0000700A0000}"/>
    <cellStyle name="標準 27 5" xfId="2673" xr:uid="{00000000-0005-0000-0000-0000710A0000}"/>
    <cellStyle name="標準 27 6" xfId="2674" xr:uid="{00000000-0005-0000-0000-0000720A0000}"/>
    <cellStyle name="標準 27 7" xfId="2675" xr:uid="{00000000-0005-0000-0000-0000730A0000}"/>
    <cellStyle name="標準 27 8" xfId="2676" xr:uid="{00000000-0005-0000-0000-0000740A0000}"/>
    <cellStyle name="標準 27 9" xfId="2677" xr:uid="{00000000-0005-0000-0000-0000750A0000}"/>
    <cellStyle name="標準 28 10" xfId="2678" xr:uid="{00000000-0005-0000-0000-0000760A0000}"/>
    <cellStyle name="標準 28 11" xfId="2679" xr:uid="{00000000-0005-0000-0000-0000770A0000}"/>
    <cellStyle name="標準 28 12" xfId="2680" xr:uid="{00000000-0005-0000-0000-0000780A0000}"/>
    <cellStyle name="標準 28 13" xfId="2681" xr:uid="{00000000-0005-0000-0000-0000790A0000}"/>
    <cellStyle name="標準 28 14" xfId="2682" xr:uid="{00000000-0005-0000-0000-00007A0A0000}"/>
    <cellStyle name="標準 28 15" xfId="2683" xr:uid="{00000000-0005-0000-0000-00007B0A0000}"/>
    <cellStyle name="標準 28 16" xfId="2684" xr:uid="{00000000-0005-0000-0000-00007C0A0000}"/>
    <cellStyle name="標準 28 17" xfId="2685" xr:uid="{00000000-0005-0000-0000-00007D0A0000}"/>
    <cellStyle name="標準 28 18" xfId="2686" xr:uid="{00000000-0005-0000-0000-00007E0A0000}"/>
    <cellStyle name="標準 28 19" xfId="2687" xr:uid="{00000000-0005-0000-0000-00007F0A0000}"/>
    <cellStyle name="標準 28 2" xfId="2688" xr:uid="{00000000-0005-0000-0000-0000800A0000}"/>
    <cellStyle name="標準 28 20" xfId="2689" xr:uid="{00000000-0005-0000-0000-0000810A0000}"/>
    <cellStyle name="標準 28 21" xfId="2690" xr:uid="{00000000-0005-0000-0000-0000820A0000}"/>
    <cellStyle name="標準 28 22" xfId="2691" xr:uid="{00000000-0005-0000-0000-0000830A0000}"/>
    <cellStyle name="標準 28 23" xfId="2692" xr:uid="{00000000-0005-0000-0000-0000840A0000}"/>
    <cellStyle name="標準 28 24" xfId="2693" xr:uid="{00000000-0005-0000-0000-0000850A0000}"/>
    <cellStyle name="標準 28 25" xfId="2694" xr:uid="{00000000-0005-0000-0000-0000860A0000}"/>
    <cellStyle name="標準 28 26" xfId="2695" xr:uid="{00000000-0005-0000-0000-0000870A0000}"/>
    <cellStyle name="標準 28 27" xfId="2696" xr:uid="{00000000-0005-0000-0000-0000880A0000}"/>
    <cellStyle name="標準 28 28" xfId="2697" xr:uid="{00000000-0005-0000-0000-0000890A0000}"/>
    <cellStyle name="標準 28 29" xfId="2698" xr:uid="{00000000-0005-0000-0000-00008A0A0000}"/>
    <cellStyle name="標準 28 3" xfId="2699" xr:uid="{00000000-0005-0000-0000-00008B0A0000}"/>
    <cellStyle name="標準 28 30" xfId="2700" xr:uid="{00000000-0005-0000-0000-00008C0A0000}"/>
    <cellStyle name="標準 28 31" xfId="2701" xr:uid="{00000000-0005-0000-0000-00008D0A0000}"/>
    <cellStyle name="標準 28 32" xfId="2702" xr:uid="{00000000-0005-0000-0000-00008E0A0000}"/>
    <cellStyle name="標準 28 33" xfId="2703" xr:uid="{00000000-0005-0000-0000-00008F0A0000}"/>
    <cellStyle name="標準 28 34" xfId="2704" xr:uid="{00000000-0005-0000-0000-0000900A0000}"/>
    <cellStyle name="標準 28 35" xfId="2705" xr:uid="{00000000-0005-0000-0000-0000910A0000}"/>
    <cellStyle name="標準 28 36" xfId="2706" xr:uid="{00000000-0005-0000-0000-0000920A0000}"/>
    <cellStyle name="標準 28 37" xfId="2707" xr:uid="{00000000-0005-0000-0000-0000930A0000}"/>
    <cellStyle name="標準 28 38" xfId="2708" xr:uid="{00000000-0005-0000-0000-0000940A0000}"/>
    <cellStyle name="標準 28 39" xfId="2709" xr:uid="{00000000-0005-0000-0000-0000950A0000}"/>
    <cellStyle name="標準 28 4" xfId="2710" xr:uid="{00000000-0005-0000-0000-0000960A0000}"/>
    <cellStyle name="標準 28 40" xfId="2711" xr:uid="{00000000-0005-0000-0000-0000970A0000}"/>
    <cellStyle name="標準 28 41" xfId="2712" xr:uid="{00000000-0005-0000-0000-0000980A0000}"/>
    <cellStyle name="標準 28 42" xfId="2713" xr:uid="{00000000-0005-0000-0000-0000990A0000}"/>
    <cellStyle name="標準 28 43" xfId="2714" xr:uid="{00000000-0005-0000-0000-00009A0A0000}"/>
    <cellStyle name="標準 28 44" xfId="2715" xr:uid="{00000000-0005-0000-0000-00009B0A0000}"/>
    <cellStyle name="標準 28 45" xfId="2716" xr:uid="{00000000-0005-0000-0000-00009C0A0000}"/>
    <cellStyle name="標準 28 46" xfId="2717" xr:uid="{00000000-0005-0000-0000-00009D0A0000}"/>
    <cellStyle name="標準 28 47" xfId="2718" xr:uid="{00000000-0005-0000-0000-00009E0A0000}"/>
    <cellStyle name="標準 28 48" xfId="2719" xr:uid="{00000000-0005-0000-0000-00009F0A0000}"/>
    <cellStyle name="標準 28 5" xfId="2720" xr:uid="{00000000-0005-0000-0000-0000A00A0000}"/>
    <cellStyle name="標準 28 6" xfId="2721" xr:uid="{00000000-0005-0000-0000-0000A10A0000}"/>
    <cellStyle name="標準 28 7" xfId="2722" xr:uid="{00000000-0005-0000-0000-0000A20A0000}"/>
    <cellStyle name="標準 28 8" xfId="2723" xr:uid="{00000000-0005-0000-0000-0000A30A0000}"/>
    <cellStyle name="標準 28 9" xfId="2724" xr:uid="{00000000-0005-0000-0000-0000A40A0000}"/>
    <cellStyle name="標準 29 2" xfId="2725" xr:uid="{00000000-0005-0000-0000-0000A50A0000}"/>
    <cellStyle name="標準 29 3" xfId="2726" xr:uid="{00000000-0005-0000-0000-0000A60A0000}"/>
    <cellStyle name="標準 29 4" xfId="2727" xr:uid="{00000000-0005-0000-0000-0000A70A0000}"/>
    <cellStyle name="標準 29 5" xfId="2728" xr:uid="{00000000-0005-0000-0000-0000A80A0000}"/>
    <cellStyle name="標準 29 6" xfId="2729" xr:uid="{00000000-0005-0000-0000-0000A90A0000}"/>
    <cellStyle name="標準 3" xfId="2730" xr:uid="{00000000-0005-0000-0000-0000AA0A0000}"/>
    <cellStyle name="標準 3 10" xfId="2731" xr:uid="{00000000-0005-0000-0000-0000AB0A0000}"/>
    <cellStyle name="標準 3 10 2" xfId="2732" xr:uid="{00000000-0005-0000-0000-0000AC0A0000}"/>
    <cellStyle name="標準 3 11" xfId="2733" xr:uid="{00000000-0005-0000-0000-0000AD0A0000}"/>
    <cellStyle name="標準 3 11 2" xfId="2734" xr:uid="{00000000-0005-0000-0000-0000AE0A0000}"/>
    <cellStyle name="標準 3 12" xfId="2735" xr:uid="{00000000-0005-0000-0000-0000AF0A0000}"/>
    <cellStyle name="標準 3 12 2" xfId="2736" xr:uid="{00000000-0005-0000-0000-0000B00A0000}"/>
    <cellStyle name="標準 3 13" xfId="2737" xr:uid="{00000000-0005-0000-0000-0000B10A0000}"/>
    <cellStyle name="標準 3 13 2" xfId="2738" xr:uid="{00000000-0005-0000-0000-0000B20A0000}"/>
    <cellStyle name="標準 3 14" xfId="2739" xr:uid="{00000000-0005-0000-0000-0000B30A0000}"/>
    <cellStyle name="標準 3 14 2" xfId="2740" xr:uid="{00000000-0005-0000-0000-0000B40A0000}"/>
    <cellStyle name="標準 3 14 3" xfId="3442" xr:uid="{71A44953-5E90-4E72-AA6E-2706E1E99703}"/>
    <cellStyle name="標準 3 15" xfId="2741" xr:uid="{00000000-0005-0000-0000-0000B50A0000}"/>
    <cellStyle name="標準 3 15 2" xfId="2742" xr:uid="{00000000-0005-0000-0000-0000B60A0000}"/>
    <cellStyle name="標準 3 16" xfId="2743" xr:uid="{00000000-0005-0000-0000-0000B70A0000}"/>
    <cellStyle name="標準 3 16 2" xfId="2744" xr:uid="{00000000-0005-0000-0000-0000B80A0000}"/>
    <cellStyle name="標準 3 17" xfId="2745" xr:uid="{00000000-0005-0000-0000-0000B90A0000}"/>
    <cellStyle name="標準 3 17 2" xfId="2746" xr:uid="{00000000-0005-0000-0000-0000BA0A0000}"/>
    <cellStyle name="標準 3 18" xfId="2747" xr:uid="{00000000-0005-0000-0000-0000BB0A0000}"/>
    <cellStyle name="標準 3 18 2" xfId="2748" xr:uid="{00000000-0005-0000-0000-0000BC0A0000}"/>
    <cellStyle name="標準 3 19" xfId="2749" xr:uid="{00000000-0005-0000-0000-0000BD0A0000}"/>
    <cellStyle name="標準 3 19 2" xfId="2750" xr:uid="{00000000-0005-0000-0000-0000BE0A0000}"/>
    <cellStyle name="標準 3 2" xfId="2751" xr:uid="{00000000-0005-0000-0000-0000BF0A0000}"/>
    <cellStyle name="標準 3 2 2" xfId="2752" xr:uid="{00000000-0005-0000-0000-0000C00A0000}"/>
    <cellStyle name="標準 3 2 2 2" xfId="2753" xr:uid="{00000000-0005-0000-0000-0000C10A0000}"/>
    <cellStyle name="標準 3 2 3" xfId="2754" xr:uid="{00000000-0005-0000-0000-0000C20A0000}"/>
    <cellStyle name="標準 3 2 4" xfId="2755" xr:uid="{00000000-0005-0000-0000-0000C30A0000}"/>
    <cellStyle name="標準 3 2 5" xfId="2756" xr:uid="{00000000-0005-0000-0000-0000C40A0000}"/>
    <cellStyle name="標準 3 20" xfId="2757" xr:uid="{00000000-0005-0000-0000-0000C50A0000}"/>
    <cellStyle name="標準 3 20 2" xfId="2758" xr:uid="{00000000-0005-0000-0000-0000C60A0000}"/>
    <cellStyle name="標準 3 21" xfId="2759" xr:uid="{00000000-0005-0000-0000-0000C70A0000}"/>
    <cellStyle name="標準 3 21 2" xfId="2760" xr:uid="{00000000-0005-0000-0000-0000C80A0000}"/>
    <cellStyle name="標準 3 22" xfId="2761" xr:uid="{00000000-0005-0000-0000-0000C90A0000}"/>
    <cellStyle name="標準 3 22 2" xfId="2762" xr:uid="{00000000-0005-0000-0000-0000CA0A0000}"/>
    <cellStyle name="標準 3 23" xfId="2763" xr:uid="{00000000-0005-0000-0000-0000CB0A0000}"/>
    <cellStyle name="標準 3 23 2" xfId="2764" xr:uid="{00000000-0005-0000-0000-0000CC0A0000}"/>
    <cellStyle name="標準 3 24" xfId="2765" xr:uid="{00000000-0005-0000-0000-0000CD0A0000}"/>
    <cellStyle name="標準 3 24 2" xfId="2766" xr:uid="{00000000-0005-0000-0000-0000CE0A0000}"/>
    <cellStyle name="標準 3 25" xfId="2767" xr:uid="{00000000-0005-0000-0000-0000CF0A0000}"/>
    <cellStyle name="標準 3 25 2" xfId="2768" xr:uid="{00000000-0005-0000-0000-0000D00A0000}"/>
    <cellStyle name="標準 3 26" xfId="2769" xr:uid="{00000000-0005-0000-0000-0000D10A0000}"/>
    <cellStyle name="標準 3 26 2" xfId="2770" xr:uid="{00000000-0005-0000-0000-0000D20A0000}"/>
    <cellStyle name="標準 3 27" xfId="2771" xr:uid="{00000000-0005-0000-0000-0000D30A0000}"/>
    <cellStyle name="標準 3 27 2" xfId="2772" xr:uid="{00000000-0005-0000-0000-0000D40A0000}"/>
    <cellStyle name="標準 3 28" xfId="2773" xr:uid="{00000000-0005-0000-0000-0000D50A0000}"/>
    <cellStyle name="標準 3 28 2" xfId="2774" xr:uid="{00000000-0005-0000-0000-0000D60A0000}"/>
    <cellStyle name="標準 3 29" xfId="2775" xr:uid="{00000000-0005-0000-0000-0000D70A0000}"/>
    <cellStyle name="標準 3 29 2" xfId="2776" xr:uid="{00000000-0005-0000-0000-0000D80A0000}"/>
    <cellStyle name="標準 3 3" xfId="2777" xr:uid="{00000000-0005-0000-0000-0000D90A0000}"/>
    <cellStyle name="標準 3 3 2" xfId="2778" xr:uid="{00000000-0005-0000-0000-0000DA0A0000}"/>
    <cellStyle name="標準 3 3 3" xfId="2779" xr:uid="{00000000-0005-0000-0000-0000DB0A0000}"/>
    <cellStyle name="標準 3 30" xfId="2780" xr:uid="{00000000-0005-0000-0000-0000DC0A0000}"/>
    <cellStyle name="標準 3 30 2" xfId="2781" xr:uid="{00000000-0005-0000-0000-0000DD0A0000}"/>
    <cellStyle name="標準 3 31" xfId="2782" xr:uid="{00000000-0005-0000-0000-0000DE0A0000}"/>
    <cellStyle name="標準 3 31 2" xfId="2783" xr:uid="{00000000-0005-0000-0000-0000DF0A0000}"/>
    <cellStyle name="標準 3 32" xfId="2784" xr:uid="{00000000-0005-0000-0000-0000E00A0000}"/>
    <cellStyle name="標準 3 32 2" xfId="2785" xr:uid="{00000000-0005-0000-0000-0000E10A0000}"/>
    <cellStyle name="標準 3 33" xfId="2786" xr:uid="{00000000-0005-0000-0000-0000E20A0000}"/>
    <cellStyle name="標準 3 33 2" xfId="2787" xr:uid="{00000000-0005-0000-0000-0000E30A0000}"/>
    <cellStyle name="標準 3 34" xfId="2788" xr:uid="{00000000-0005-0000-0000-0000E40A0000}"/>
    <cellStyle name="標準 3 34 2" xfId="2789" xr:uid="{00000000-0005-0000-0000-0000E50A0000}"/>
    <cellStyle name="標準 3 35" xfId="2790" xr:uid="{00000000-0005-0000-0000-0000E60A0000}"/>
    <cellStyle name="標準 3 35 2" xfId="2791" xr:uid="{00000000-0005-0000-0000-0000E70A0000}"/>
    <cellStyle name="標準 3 36" xfId="2792" xr:uid="{00000000-0005-0000-0000-0000E80A0000}"/>
    <cellStyle name="標準 3 36 2" xfId="2793" xr:uid="{00000000-0005-0000-0000-0000E90A0000}"/>
    <cellStyle name="標準 3 37" xfId="2794" xr:uid="{00000000-0005-0000-0000-0000EA0A0000}"/>
    <cellStyle name="標準 3 37 2" xfId="2795" xr:uid="{00000000-0005-0000-0000-0000EB0A0000}"/>
    <cellStyle name="標準 3 38" xfId="2796" xr:uid="{00000000-0005-0000-0000-0000EC0A0000}"/>
    <cellStyle name="標準 3 38 2" xfId="2797" xr:uid="{00000000-0005-0000-0000-0000ED0A0000}"/>
    <cellStyle name="標準 3 39" xfId="2798" xr:uid="{00000000-0005-0000-0000-0000EE0A0000}"/>
    <cellStyle name="標準 3 39 2" xfId="2799" xr:uid="{00000000-0005-0000-0000-0000EF0A0000}"/>
    <cellStyle name="標準 3 4" xfId="2800" xr:uid="{00000000-0005-0000-0000-0000F00A0000}"/>
    <cellStyle name="標準 3 4 2" xfId="2801" xr:uid="{00000000-0005-0000-0000-0000F10A0000}"/>
    <cellStyle name="標準 3 40" xfId="2802" xr:uid="{00000000-0005-0000-0000-0000F20A0000}"/>
    <cellStyle name="標準 3 40 2" xfId="2803" xr:uid="{00000000-0005-0000-0000-0000F30A0000}"/>
    <cellStyle name="標準 3 41" xfId="2804" xr:uid="{00000000-0005-0000-0000-0000F40A0000}"/>
    <cellStyle name="標準 3 41 2" xfId="2805" xr:uid="{00000000-0005-0000-0000-0000F50A0000}"/>
    <cellStyle name="標準 3 42" xfId="2806" xr:uid="{00000000-0005-0000-0000-0000F60A0000}"/>
    <cellStyle name="標準 3 42 2" xfId="2807" xr:uid="{00000000-0005-0000-0000-0000F70A0000}"/>
    <cellStyle name="標準 3 43" xfId="2808" xr:uid="{00000000-0005-0000-0000-0000F80A0000}"/>
    <cellStyle name="標準 3 43 2" xfId="2809" xr:uid="{00000000-0005-0000-0000-0000F90A0000}"/>
    <cellStyle name="標準 3 44" xfId="2810" xr:uid="{00000000-0005-0000-0000-0000FA0A0000}"/>
    <cellStyle name="標準 3 44 2" xfId="2811" xr:uid="{00000000-0005-0000-0000-0000FB0A0000}"/>
    <cellStyle name="標準 3 45" xfId="2812" xr:uid="{00000000-0005-0000-0000-0000FC0A0000}"/>
    <cellStyle name="標準 3 45 2" xfId="2813" xr:uid="{00000000-0005-0000-0000-0000FD0A0000}"/>
    <cellStyle name="標準 3 46" xfId="2814" xr:uid="{00000000-0005-0000-0000-0000FE0A0000}"/>
    <cellStyle name="標準 3 46 2" xfId="2815" xr:uid="{00000000-0005-0000-0000-0000FF0A0000}"/>
    <cellStyle name="標準 3 47" xfId="2816" xr:uid="{00000000-0005-0000-0000-0000000B0000}"/>
    <cellStyle name="標準 3 47 2" xfId="2817" xr:uid="{00000000-0005-0000-0000-0000010B0000}"/>
    <cellStyle name="標準 3 48" xfId="2818" xr:uid="{00000000-0005-0000-0000-0000020B0000}"/>
    <cellStyle name="標準 3 48 2" xfId="2819" xr:uid="{00000000-0005-0000-0000-0000030B0000}"/>
    <cellStyle name="標準 3 49" xfId="2820" xr:uid="{00000000-0005-0000-0000-0000040B0000}"/>
    <cellStyle name="標準 3 49 2" xfId="2821" xr:uid="{00000000-0005-0000-0000-0000050B0000}"/>
    <cellStyle name="標準 3 5" xfId="2822" xr:uid="{00000000-0005-0000-0000-0000060B0000}"/>
    <cellStyle name="標準 3 5 2" xfId="2823" xr:uid="{00000000-0005-0000-0000-0000070B0000}"/>
    <cellStyle name="標準 3 50" xfId="2824" xr:uid="{00000000-0005-0000-0000-0000080B0000}"/>
    <cellStyle name="標準 3 6" xfId="2825" xr:uid="{00000000-0005-0000-0000-0000090B0000}"/>
    <cellStyle name="標準 3 6 2" xfId="2826" xr:uid="{00000000-0005-0000-0000-00000A0B0000}"/>
    <cellStyle name="標準 3 7" xfId="2827" xr:uid="{00000000-0005-0000-0000-00000B0B0000}"/>
    <cellStyle name="標準 3 7 2" xfId="2828" xr:uid="{00000000-0005-0000-0000-00000C0B0000}"/>
    <cellStyle name="標準 3 8" xfId="2829" xr:uid="{00000000-0005-0000-0000-00000D0B0000}"/>
    <cellStyle name="標準 3 8 2" xfId="2830" xr:uid="{00000000-0005-0000-0000-00000E0B0000}"/>
    <cellStyle name="標準 3 9" xfId="2831" xr:uid="{00000000-0005-0000-0000-00000F0B0000}"/>
    <cellStyle name="標準 3 9 2" xfId="2832" xr:uid="{00000000-0005-0000-0000-0000100B0000}"/>
    <cellStyle name="標準 3_matrix（CTG）" xfId="2833" xr:uid="{00000000-0005-0000-0000-0000110B0000}"/>
    <cellStyle name="標準 30 2" xfId="2834" xr:uid="{00000000-0005-0000-0000-0000120B0000}"/>
    <cellStyle name="標準 30 3" xfId="2835" xr:uid="{00000000-0005-0000-0000-0000130B0000}"/>
    <cellStyle name="標準 30 4" xfId="2836" xr:uid="{00000000-0005-0000-0000-0000140B0000}"/>
    <cellStyle name="標準 30 5" xfId="2837" xr:uid="{00000000-0005-0000-0000-0000150B0000}"/>
    <cellStyle name="標準 30 6" xfId="2838" xr:uid="{00000000-0005-0000-0000-0000160B0000}"/>
    <cellStyle name="標準 31 2" xfId="2839" xr:uid="{00000000-0005-0000-0000-0000170B0000}"/>
    <cellStyle name="標準 31 3" xfId="2840" xr:uid="{00000000-0005-0000-0000-0000180B0000}"/>
    <cellStyle name="標準 31 4" xfId="2841" xr:uid="{00000000-0005-0000-0000-0000190B0000}"/>
    <cellStyle name="標準 31 5" xfId="2842" xr:uid="{00000000-0005-0000-0000-00001A0B0000}"/>
    <cellStyle name="標準 31 6" xfId="2843" xr:uid="{00000000-0005-0000-0000-00001B0B0000}"/>
    <cellStyle name="標準 32 2" xfId="2844" xr:uid="{00000000-0005-0000-0000-00001C0B0000}"/>
    <cellStyle name="標準 32 3" xfId="2845" xr:uid="{00000000-0005-0000-0000-00001D0B0000}"/>
    <cellStyle name="標準 32 4" xfId="2846" xr:uid="{00000000-0005-0000-0000-00001E0B0000}"/>
    <cellStyle name="標準 32 5" xfId="2847" xr:uid="{00000000-0005-0000-0000-00001F0B0000}"/>
    <cellStyle name="標準 32 6" xfId="2848" xr:uid="{00000000-0005-0000-0000-0000200B0000}"/>
    <cellStyle name="標準 33 2" xfId="2849" xr:uid="{00000000-0005-0000-0000-0000210B0000}"/>
    <cellStyle name="標準 33 3" xfId="2850" xr:uid="{00000000-0005-0000-0000-0000220B0000}"/>
    <cellStyle name="標準 33 4" xfId="2851" xr:uid="{00000000-0005-0000-0000-0000230B0000}"/>
    <cellStyle name="標準 33 5" xfId="2852" xr:uid="{00000000-0005-0000-0000-0000240B0000}"/>
    <cellStyle name="標準 33 6" xfId="2853" xr:uid="{00000000-0005-0000-0000-0000250B0000}"/>
    <cellStyle name="標準 34 2" xfId="2854" xr:uid="{00000000-0005-0000-0000-0000260B0000}"/>
    <cellStyle name="標準 34 3" xfId="2855" xr:uid="{00000000-0005-0000-0000-0000270B0000}"/>
    <cellStyle name="標準 34 4" xfId="2856" xr:uid="{00000000-0005-0000-0000-0000280B0000}"/>
    <cellStyle name="標準 34 5" xfId="2857" xr:uid="{00000000-0005-0000-0000-0000290B0000}"/>
    <cellStyle name="標準 34 6" xfId="2858" xr:uid="{00000000-0005-0000-0000-00002A0B0000}"/>
    <cellStyle name="標準 35 2" xfId="2859" xr:uid="{00000000-0005-0000-0000-00002B0B0000}"/>
    <cellStyle name="標準 35 3" xfId="2860" xr:uid="{00000000-0005-0000-0000-00002C0B0000}"/>
    <cellStyle name="標準 35 4" xfId="2861" xr:uid="{00000000-0005-0000-0000-00002D0B0000}"/>
    <cellStyle name="標準 35 5" xfId="2862" xr:uid="{00000000-0005-0000-0000-00002E0B0000}"/>
    <cellStyle name="標準 35 6" xfId="2863" xr:uid="{00000000-0005-0000-0000-00002F0B0000}"/>
    <cellStyle name="標準 36 10" xfId="2864" xr:uid="{00000000-0005-0000-0000-0000300B0000}"/>
    <cellStyle name="標準 36 11" xfId="2865" xr:uid="{00000000-0005-0000-0000-0000310B0000}"/>
    <cellStyle name="標準 36 12" xfId="2866" xr:uid="{00000000-0005-0000-0000-0000320B0000}"/>
    <cellStyle name="標準 36 13" xfId="2867" xr:uid="{00000000-0005-0000-0000-0000330B0000}"/>
    <cellStyle name="標準 36 14" xfId="2868" xr:uid="{00000000-0005-0000-0000-0000340B0000}"/>
    <cellStyle name="標準 36 15" xfId="2869" xr:uid="{00000000-0005-0000-0000-0000350B0000}"/>
    <cellStyle name="標準 36 16" xfId="2870" xr:uid="{00000000-0005-0000-0000-0000360B0000}"/>
    <cellStyle name="標準 36 17" xfId="2871" xr:uid="{00000000-0005-0000-0000-0000370B0000}"/>
    <cellStyle name="標準 36 18" xfId="2872" xr:uid="{00000000-0005-0000-0000-0000380B0000}"/>
    <cellStyle name="標準 36 19" xfId="2873" xr:uid="{00000000-0005-0000-0000-0000390B0000}"/>
    <cellStyle name="標準 36 2" xfId="2874" xr:uid="{00000000-0005-0000-0000-00003A0B0000}"/>
    <cellStyle name="標準 36 20" xfId="2875" xr:uid="{00000000-0005-0000-0000-00003B0B0000}"/>
    <cellStyle name="標準 36 21" xfId="2876" xr:uid="{00000000-0005-0000-0000-00003C0B0000}"/>
    <cellStyle name="標準 36 22" xfId="2877" xr:uid="{00000000-0005-0000-0000-00003D0B0000}"/>
    <cellStyle name="標準 36 23" xfId="2878" xr:uid="{00000000-0005-0000-0000-00003E0B0000}"/>
    <cellStyle name="標準 36 3" xfId="2879" xr:uid="{00000000-0005-0000-0000-00003F0B0000}"/>
    <cellStyle name="標準 36 4" xfId="2880" xr:uid="{00000000-0005-0000-0000-0000400B0000}"/>
    <cellStyle name="標準 36 5" xfId="2881" xr:uid="{00000000-0005-0000-0000-0000410B0000}"/>
    <cellStyle name="標準 36 6" xfId="2882" xr:uid="{00000000-0005-0000-0000-0000420B0000}"/>
    <cellStyle name="標準 36 7" xfId="2883" xr:uid="{00000000-0005-0000-0000-0000430B0000}"/>
    <cellStyle name="標準 36 8" xfId="2884" xr:uid="{00000000-0005-0000-0000-0000440B0000}"/>
    <cellStyle name="標準 36 9" xfId="2885" xr:uid="{00000000-0005-0000-0000-0000450B0000}"/>
    <cellStyle name="標準 37 10" xfId="2886" xr:uid="{00000000-0005-0000-0000-0000460B0000}"/>
    <cellStyle name="標準 37 11" xfId="2887" xr:uid="{00000000-0005-0000-0000-0000470B0000}"/>
    <cellStyle name="標準 37 12" xfId="2888" xr:uid="{00000000-0005-0000-0000-0000480B0000}"/>
    <cellStyle name="標準 37 13" xfId="2889" xr:uid="{00000000-0005-0000-0000-0000490B0000}"/>
    <cellStyle name="標準 37 14" xfId="2890" xr:uid="{00000000-0005-0000-0000-00004A0B0000}"/>
    <cellStyle name="標準 37 15" xfId="2891" xr:uid="{00000000-0005-0000-0000-00004B0B0000}"/>
    <cellStyle name="標準 37 16" xfId="2892" xr:uid="{00000000-0005-0000-0000-00004C0B0000}"/>
    <cellStyle name="標準 37 17" xfId="2893" xr:uid="{00000000-0005-0000-0000-00004D0B0000}"/>
    <cellStyle name="標準 37 18" xfId="2894" xr:uid="{00000000-0005-0000-0000-00004E0B0000}"/>
    <cellStyle name="標準 37 19" xfId="2895" xr:uid="{00000000-0005-0000-0000-00004F0B0000}"/>
    <cellStyle name="標準 37 2" xfId="2896" xr:uid="{00000000-0005-0000-0000-0000500B0000}"/>
    <cellStyle name="標準 37 20" xfId="2897" xr:uid="{00000000-0005-0000-0000-0000510B0000}"/>
    <cellStyle name="標準 37 21" xfId="2898" xr:uid="{00000000-0005-0000-0000-0000520B0000}"/>
    <cellStyle name="標準 37 22" xfId="2899" xr:uid="{00000000-0005-0000-0000-0000530B0000}"/>
    <cellStyle name="標準 37 23" xfId="2900" xr:uid="{00000000-0005-0000-0000-0000540B0000}"/>
    <cellStyle name="標準 37 3" xfId="2901" xr:uid="{00000000-0005-0000-0000-0000550B0000}"/>
    <cellStyle name="標準 37 4" xfId="2902" xr:uid="{00000000-0005-0000-0000-0000560B0000}"/>
    <cellStyle name="標準 37 5" xfId="2903" xr:uid="{00000000-0005-0000-0000-0000570B0000}"/>
    <cellStyle name="標準 37 6" xfId="2904" xr:uid="{00000000-0005-0000-0000-0000580B0000}"/>
    <cellStyle name="標準 37 7" xfId="2905" xr:uid="{00000000-0005-0000-0000-0000590B0000}"/>
    <cellStyle name="標準 37 8" xfId="2906" xr:uid="{00000000-0005-0000-0000-00005A0B0000}"/>
    <cellStyle name="標準 37 9" xfId="2907" xr:uid="{00000000-0005-0000-0000-00005B0B0000}"/>
    <cellStyle name="標準 38 2" xfId="2908" xr:uid="{00000000-0005-0000-0000-00005C0B0000}"/>
    <cellStyle name="標準 38 3" xfId="2909" xr:uid="{00000000-0005-0000-0000-00005D0B0000}"/>
    <cellStyle name="標準 38 4" xfId="2910" xr:uid="{00000000-0005-0000-0000-00005E0B0000}"/>
    <cellStyle name="標準 38 5" xfId="2911" xr:uid="{00000000-0005-0000-0000-00005F0B0000}"/>
    <cellStyle name="標準 38 6" xfId="2912" xr:uid="{00000000-0005-0000-0000-0000600B0000}"/>
    <cellStyle name="標準 39 2" xfId="2913" xr:uid="{00000000-0005-0000-0000-0000610B0000}"/>
    <cellStyle name="標準 39 3" xfId="2914" xr:uid="{00000000-0005-0000-0000-0000620B0000}"/>
    <cellStyle name="標準 39 4" xfId="2915" xr:uid="{00000000-0005-0000-0000-0000630B0000}"/>
    <cellStyle name="標準 39 5" xfId="2916" xr:uid="{00000000-0005-0000-0000-0000640B0000}"/>
    <cellStyle name="標準 39 6" xfId="2917" xr:uid="{00000000-0005-0000-0000-0000650B0000}"/>
    <cellStyle name="標準 4" xfId="2918" xr:uid="{00000000-0005-0000-0000-0000660B0000}"/>
    <cellStyle name="標準 4 10" xfId="2919" xr:uid="{00000000-0005-0000-0000-0000670B0000}"/>
    <cellStyle name="標準 4 11" xfId="2920" xr:uid="{00000000-0005-0000-0000-0000680B0000}"/>
    <cellStyle name="標準 4 12" xfId="2921" xr:uid="{00000000-0005-0000-0000-0000690B0000}"/>
    <cellStyle name="標準 4 13" xfId="2922" xr:uid="{00000000-0005-0000-0000-00006A0B0000}"/>
    <cellStyle name="標準 4 14" xfId="2923" xr:uid="{00000000-0005-0000-0000-00006B0B0000}"/>
    <cellStyle name="標準 4 15" xfId="2924" xr:uid="{00000000-0005-0000-0000-00006C0B0000}"/>
    <cellStyle name="標準 4 16" xfId="2925" xr:uid="{00000000-0005-0000-0000-00006D0B0000}"/>
    <cellStyle name="標準 4 17" xfId="2926" xr:uid="{00000000-0005-0000-0000-00006E0B0000}"/>
    <cellStyle name="標準 4 18" xfId="2927" xr:uid="{00000000-0005-0000-0000-00006F0B0000}"/>
    <cellStyle name="標準 4 19" xfId="2928" xr:uid="{00000000-0005-0000-0000-0000700B0000}"/>
    <cellStyle name="標準 4 2" xfId="2929" xr:uid="{00000000-0005-0000-0000-0000710B0000}"/>
    <cellStyle name="標準 4 2 2" xfId="2930" xr:uid="{00000000-0005-0000-0000-0000720B0000}"/>
    <cellStyle name="標準 4 20" xfId="2931" xr:uid="{00000000-0005-0000-0000-0000730B0000}"/>
    <cellStyle name="標準 4 21" xfId="2932" xr:uid="{00000000-0005-0000-0000-0000740B0000}"/>
    <cellStyle name="標準 4 22" xfId="2933" xr:uid="{00000000-0005-0000-0000-0000750B0000}"/>
    <cellStyle name="標準 4 23" xfId="2934" xr:uid="{00000000-0005-0000-0000-0000760B0000}"/>
    <cellStyle name="標準 4 24" xfId="2935" xr:uid="{00000000-0005-0000-0000-0000770B0000}"/>
    <cellStyle name="標準 4 25" xfId="2936" xr:uid="{00000000-0005-0000-0000-0000780B0000}"/>
    <cellStyle name="標準 4 26" xfId="2937" xr:uid="{00000000-0005-0000-0000-0000790B0000}"/>
    <cellStyle name="標準 4 27" xfId="2938" xr:uid="{00000000-0005-0000-0000-00007A0B0000}"/>
    <cellStyle name="標準 4 28" xfId="2939" xr:uid="{00000000-0005-0000-0000-00007B0B0000}"/>
    <cellStyle name="標準 4 29" xfId="2940" xr:uid="{00000000-0005-0000-0000-00007C0B0000}"/>
    <cellStyle name="標準 4 3" xfId="2941" xr:uid="{00000000-0005-0000-0000-00007D0B0000}"/>
    <cellStyle name="標準 4 3 2" xfId="2942" xr:uid="{00000000-0005-0000-0000-00007E0B0000}"/>
    <cellStyle name="標準 4 30" xfId="2943" xr:uid="{00000000-0005-0000-0000-00007F0B0000}"/>
    <cellStyle name="標準 4 31" xfId="2944" xr:uid="{00000000-0005-0000-0000-0000800B0000}"/>
    <cellStyle name="標準 4 32" xfId="2945" xr:uid="{00000000-0005-0000-0000-0000810B0000}"/>
    <cellStyle name="標準 4 33" xfId="2946" xr:uid="{00000000-0005-0000-0000-0000820B0000}"/>
    <cellStyle name="標準 4 34" xfId="2947" xr:uid="{00000000-0005-0000-0000-0000830B0000}"/>
    <cellStyle name="標準 4 35" xfId="2948" xr:uid="{00000000-0005-0000-0000-0000840B0000}"/>
    <cellStyle name="標準 4 36" xfId="2949" xr:uid="{00000000-0005-0000-0000-0000850B0000}"/>
    <cellStyle name="標準 4 37" xfId="2950" xr:uid="{00000000-0005-0000-0000-0000860B0000}"/>
    <cellStyle name="標準 4 38" xfId="2951" xr:uid="{00000000-0005-0000-0000-0000870B0000}"/>
    <cellStyle name="標準 4 39" xfId="2952" xr:uid="{00000000-0005-0000-0000-0000880B0000}"/>
    <cellStyle name="標準 4 4" xfId="2953" xr:uid="{00000000-0005-0000-0000-0000890B0000}"/>
    <cellStyle name="標準 4 4 2" xfId="2954" xr:uid="{00000000-0005-0000-0000-00008A0B0000}"/>
    <cellStyle name="標準 4 40" xfId="2955" xr:uid="{00000000-0005-0000-0000-00008B0B0000}"/>
    <cellStyle name="標準 4 41" xfId="2956" xr:uid="{00000000-0005-0000-0000-00008C0B0000}"/>
    <cellStyle name="標準 4 42" xfId="2957" xr:uid="{00000000-0005-0000-0000-00008D0B0000}"/>
    <cellStyle name="標準 4 43" xfId="2958" xr:uid="{00000000-0005-0000-0000-00008E0B0000}"/>
    <cellStyle name="標準 4 44" xfId="2959" xr:uid="{00000000-0005-0000-0000-00008F0B0000}"/>
    <cellStyle name="標準 4 45" xfId="2960" xr:uid="{00000000-0005-0000-0000-0000900B0000}"/>
    <cellStyle name="標準 4 46" xfId="2961" xr:uid="{00000000-0005-0000-0000-0000910B0000}"/>
    <cellStyle name="標準 4 47" xfId="2962" xr:uid="{00000000-0005-0000-0000-0000920B0000}"/>
    <cellStyle name="標準 4 48" xfId="2963" xr:uid="{00000000-0005-0000-0000-0000930B0000}"/>
    <cellStyle name="標準 4 49" xfId="2964" xr:uid="{00000000-0005-0000-0000-0000940B0000}"/>
    <cellStyle name="標準 4 5" xfId="2965" xr:uid="{00000000-0005-0000-0000-0000950B0000}"/>
    <cellStyle name="標準 4 5 2" xfId="2966" xr:uid="{00000000-0005-0000-0000-0000960B0000}"/>
    <cellStyle name="標準 4 50" xfId="2967" xr:uid="{00000000-0005-0000-0000-0000970B0000}"/>
    <cellStyle name="標準 4 6" xfId="2968" xr:uid="{00000000-0005-0000-0000-0000980B0000}"/>
    <cellStyle name="標準 4 6 2" xfId="2969" xr:uid="{00000000-0005-0000-0000-0000990B0000}"/>
    <cellStyle name="標準 4 7" xfId="2970" xr:uid="{00000000-0005-0000-0000-00009A0B0000}"/>
    <cellStyle name="標準 4 7 2" xfId="2971" xr:uid="{00000000-0005-0000-0000-00009B0B0000}"/>
    <cellStyle name="標準 4 8" xfId="2972" xr:uid="{00000000-0005-0000-0000-00009C0B0000}"/>
    <cellStyle name="標準 4 9" xfId="2973" xr:uid="{00000000-0005-0000-0000-00009D0B0000}"/>
    <cellStyle name="標準 4_コンフィグレーション項目一覧【MCAL(CAND)】_FR81S_520(照合ECU向け見解追記)" xfId="2974" xr:uid="{00000000-0005-0000-0000-00009E0B0000}"/>
    <cellStyle name="標準 40 2" xfId="2975" xr:uid="{00000000-0005-0000-0000-00009F0B0000}"/>
    <cellStyle name="標準 40 3" xfId="2976" xr:uid="{00000000-0005-0000-0000-0000A00B0000}"/>
    <cellStyle name="標準 40 4" xfId="2977" xr:uid="{00000000-0005-0000-0000-0000A10B0000}"/>
    <cellStyle name="標準 40 5" xfId="2978" xr:uid="{00000000-0005-0000-0000-0000A20B0000}"/>
    <cellStyle name="標準 40 6" xfId="2979" xr:uid="{00000000-0005-0000-0000-0000A30B0000}"/>
    <cellStyle name="標準 41 2" xfId="2980" xr:uid="{00000000-0005-0000-0000-0000A40B0000}"/>
    <cellStyle name="標準 41 3" xfId="2981" xr:uid="{00000000-0005-0000-0000-0000A50B0000}"/>
    <cellStyle name="標準 41 4" xfId="2982" xr:uid="{00000000-0005-0000-0000-0000A60B0000}"/>
    <cellStyle name="標準 41 5" xfId="2983" xr:uid="{00000000-0005-0000-0000-0000A70B0000}"/>
    <cellStyle name="標準 41 6" xfId="2984" xr:uid="{00000000-0005-0000-0000-0000A80B0000}"/>
    <cellStyle name="標準 42 2" xfId="2985" xr:uid="{00000000-0005-0000-0000-0000A90B0000}"/>
    <cellStyle name="標準 42 3" xfId="2986" xr:uid="{00000000-0005-0000-0000-0000AA0B0000}"/>
    <cellStyle name="標準 42 4" xfId="2987" xr:uid="{00000000-0005-0000-0000-0000AB0B0000}"/>
    <cellStyle name="標準 42 5" xfId="2988" xr:uid="{00000000-0005-0000-0000-0000AC0B0000}"/>
    <cellStyle name="標準 42 6" xfId="2989" xr:uid="{00000000-0005-0000-0000-0000AD0B0000}"/>
    <cellStyle name="標準 43 2" xfId="2990" xr:uid="{00000000-0005-0000-0000-0000AE0B0000}"/>
    <cellStyle name="標準 43 3" xfId="2991" xr:uid="{00000000-0005-0000-0000-0000AF0B0000}"/>
    <cellStyle name="標準 43 4" xfId="2992" xr:uid="{00000000-0005-0000-0000-0000B00B0000}"/>
    <cellStyle name="標準 43 5" xfId="2993" xr:uid="{00000000-0005-0000-0000-0000B10B0000}"/>
    <cellStyle name="標準 43 6" xfId="2994" xr:uid="{00000000-0005-0000-0000-0000B20B0000}"/>
    <cellStyle name="標準 44 2" xfId="2995" xr:uid="{00000000-0005-0000-0000-0000B30B0000}"/>
    <cellStyle name="標準 44 3" xfId="2996" xr:uid="{00000000-0005-0000-0000-0000B40B0000}"/>
    <cellStyle name="標準 44 4" xfId="2997" xr:uid="{00000000-0005-0000-0000-0000B50B0000}"/>
    <cellStyle name="標準 44 5" xfId="2998" xr:uid="{00000000-0005-0000-0000-0000B60B0000}"/>
    <cellStyle name="標準 44 6" xfId="2999" xr:uid="{00000000-0005-0000-0000-0000B70B0000}"/>
    <cellStyle name="標準 45 2" xfId="3000" xr:uid="{00000000-0005-0000-0000-0000B80B0000}"/>
    <cellStyle name="標準 45 3" xfId="3001" xr:uid="{00000000-0005-0000-0000-0000B90B0000}"/>
    <cellStyle name="標準 45 4" xfId="3002" xr:uid="{00000000-0005-0000-0000-0000BA0B0000}"/>
    <cellStyle name="標準 45 5" xfId="3003" xr:uid="{00000000-0005-0000-0000-0000BB0B0000}"/>
    <cellStyle name="標準 45 6" xfId="3004" xr:uid="{00000000-0005-0000-0000-0000BC0B0000}"/>
    <cellStyle name="標準 46 2" xfId="3005" xr:uid="{00000000-0005-0000-0000-0000BD0B0000}"/>
    <cellStyle name="標準 46 3" xfId="3006" xr:uid="{00000000-0005-0000-0000-0000BE0B0000}"/>
    <cellStyle name="標準 46 4" xfId="3007" xr:uid="{00000000-0005-0000-0000-0000BF0B0000}"/>
    <cellStyle name="標準 46 5" xfId="3008" xr:uid="{00000000-0005-0000-0000-0000C00B0000}"/>
    <cellStyle name="標準 46 6" xfId="3009" xr:uid="{00000000-0005-0000-0000-0000C10B0000}"/>
    <cellStyle name="標準 47 2" xfId="3010" xr:uid="{00000000-0005-0000-0000-0000C20B0000}"/>
    <cellStyle name="標準 47 3" xfId="3011" xr:uid="{00000000-0005-0000-0000-0000C30B0000}"/>
    <cellStyle name="標準 47 4" xfId="3012" xr:uid="{00000000-0005-0000-0000-0000C40B0000}"/>
    <cellStyle name="標準 47 5" xfId="3013" xr:uid="{00000000-0005-0000-0000-0000C50B0000}"/>
    <cellStyle name="標準 47 6" xfId="3014" xr:uid="{00000000-0005-0000-0000-0000C60B0000}"/>
    <cellStyle name="標準 48 2" xfId="3015" xr:uid="{00000000-0005-0000-0000-0000C70B0000}"/>
    <cellStyle name="標準 48 3" xfId="3016" xr:uid="{00000000-0005-0000-0000-0000C80B0000}"/>
    <cellStyle name="標準 48 4" xfId="3017" xr:uid="{00000000-0005-0000-0000-0000C90B0000}"/>
    <cellStyle name="標準 48 5" xfId="3018" xr:uid="{00000000-0005-0000-0000-0000CA0B0000}"/>
    <cellStyle name="標準 48 6" xfId="3019" xr:uid="{00000000-0005-0000-0000-0000CB0B0000}"/>
    <cellStyle name="標準 49 2" xfId="3020" xr:uid="{00000000-0005-0000-0000-0000CC0B0000}"/>
    <cellStyle name="標準 49 3" xfId="3021" xr:uid="{00000000-0005-0000-0000-0000CD0B0000}"/>
    <cellStyle name="標準 49 4" xfId="3022" xr:uid="{00000000-0005-0000-0000-0000CE0B0000}"/>
    <cellStyle name="標準 49 5" xfId="3023" xr:uid="{00000000-0005-0000-0000-0000CF0B0000}"/>
    <cellStyle name="標準 49 6" xfId="3024" xr:uid="{00000000-0005-0000-0000-0000D00B0000}"/>
    <cellStyle name="標準 5" xfId="3025" xr:uid="{00000000-0005-0000-0000-0000D10B0000}"/>
    <cellStyle name="標準 5 10" xfId="3026" xr:uid="{00000000-0005-0000-0000-0000D20B0000}"/>
    <cellStyle name="標準 5 10 2" xfId="3027" xr:uid="{00000000-0005-0000-0000-0000D30B0000}"/>
    <cellStyle name="標準 5 10 3" xfId="3028" xr:uid="{00000000-0005-0000-0000-0000D40B0000}"/>
    <cellStyle name="標準 5 11" xfId="3029" xr:uid="{00000000-0005-0000-0000-0000D50B0000}"/>
    <cellStyle name="標準 5 11 2" xfId="3030" xr:uid="{00000000-0005-0000-0000-0000D60B0000}"/>
    <cellStyle name="標準 5 11 3" xfId="3031" xr:uid="{00000000-0005-0000-0000-0000D70B0000}"/>
    <cellStyle name="標準 5 12" xfId="3032" xr:uid="{00000000-0005-0000-0000-0000D80B0000}"/>
    <cellStyle name="標準 5 12 2" xfId="3033" xr:uid="{00000000-0005-0000-0000-0000D90B0000}"/>
    <cellStyle name="標準 5 13" xfId="3034" xr:uid="{00000000-0005-0000-0000-0000DA0B0000}"/>
    <cellStyle name="標準 5 13 2" xfId="3035" xr:uid="{00000000-0005-0000-0000-0000DB0B0000}"/>
    <cellStyle name="標準 5 14" xfId="3036" xr:uid="{00000000-0005-0000-0000-0000DC0B0000}"/>
    <cellStyle name="標準 5 14 2" xfId="3037" xr:uid="{00000000-0005-0000-0000-0000DD0B0000}"/>
    <cellStyle name="標準 5 15" xfId="3038" xr:uid="{00000000-0005-0000-0000-0000DE0B0000}"/>
    <cellStyle name="標準 5 15 2" xfId="3039" xr:uid="{00000000-0005-0000-0000-0000DF0B0000}"/>
    <cellStyle name="標準 5 16" xfId="3040" xr:uid="{00000000-0005-0000-0000-0000E00B0000}"/>
    <cellStyle name="標準 5 17" xfId="3041" xr:uid="{00000000-0005-0000-0000-0000E10B0000}"/>
    <cellStyle name="標準 5 18" xfId="3042" xr:uid="{00000000-0005-0000-0000-0000E20B0000}"/>
    <cellStyle name="標準 5 19" xfId="3043" xr:uid="{00000000-0005-0000-0000-0000E30B0000}"/>
    <cellStyle name="標準 5 2" xfId="3044" xr:uid="{00000000-0005-0000-0000-0000E40B0000}"/>
    <cellStyle name="標準 5 2 2" xfId="3045" xr:uid="{00000000-0005-0000-0000-0000E50B0000}"/>
    <cellStyle name="標準 5 2 3" xfId="3046" xr:uid="{00000000-0005-0000-0000-0000E60B0000}"/>
    <cellStyle name="標準 5 20" xfId="3047" xr:uid="{00000000-0005-0000-0000-0000E70B0000}"/>
    <cellStyle name="標準 5 21" xfId="3048" xr:uid="{00000000-0005-0000-0000-0000E80B0000}"/>
    <cellStyle name="標準 5 22" xfId="3049" xr:uid="{00000000-0005-0000-0000-0000E90B0000}"/>
    <cellStyle name="標準 5 23" xfId="3050" xr:uid="{00000000-0005-0000-0000-0000EA0B0000}"/>
    <cellStyle name="標準 5 24" xfId="3051" xr:uid="{00000000-0005-0000-0000-0000EB0B0000}"/>
    <cellStyle name="標準 5 25" xfId="3052" xr:uid="{00000000-0005-0000-0000-0000EC0B0000}"/>
    <cellStyle name="標準 5 26" xfId="3053" xr:uid="{00000000-0005-0000-0000-0000ED0B0000}"/>
    <cellStyle name="標準 5 27" xfId="3054" xr:uid="{00000000-0005-0000-0000-0000EE0B0000}"/>
    <cellStyle name="標準 5 28" xfId="3055" xr:uid="{00000000-0005-0000-0000-0000EF0B0000}"/>
    <cellStyle name="標準 5 29" xfId="3056" xr:uid="{00000000-0005-0000-0000-0000F00B0000}"/>
    <cellStyle name="標準 5 3" xfId="3057" xr:uid="{00000000-0005-0000-0000-0000F10B0000}"/>
    <cellStyle name="標準 5 3 2" xfId="3058" xr:uid="{00000000-0005-0000-0000-0000F20B0000}"/>
    <cellStyle name="標準 5 3 3" xfId="3059" xr:uid="{00000000-0005-0000-0000-0000F30B0000}"/>
    <cellStyle name="標準 5 30" xfId="3060" xr:uid="{00000000-0005-0000-0000-0000F40B0000}"/>
    <cellStyle name="標準 5 31" xfId="3061" xr:uid="{00000000-0005-0000-0000-0000F50B0000}"/>
    <cellStyle name="標準 5 32" xfId="3062" xr:uid="{00000000-0005-0000-0000-0000F60B0000}"/>
    <cellStyle name="標準 5 33" xfId="3063" xr:uid="{00000000-0005-0000-0000-0000F70B0000}"/>
    <cellStyle name="標準 5 34" xfId="3064" xr:uid="{00000000-0005-0000-0000-0000F80B0000}"/>
    <cellStyle name="標準 5 35" xfId="3065" xr:uid="{00000000-0005-0000-0000-0000F90B0000}"/>
    <cellStyle name="標準 5 36" xfId="3066" xr:uid="{00000000-0005-0000-0000-0000FA0B0000}"/>
    <cellStyle name="標準 5 37" xfId="3067" xr:uid="{00000000-0005-0000-0000-0000FB0B0000}"/>
    <cellStyle name="標準 5 38" xfId="3068" xr:uid="{00000000-0005-0000-0000-0000FC0B0000}"/>
    <cellStyle name="標準 5 39" xfId="3069" xr:uid="{00000000-0005-0000-0000-0000FD0B0000}"/>
    <cellStyle name="標準 5 4" xfId="3070" xr:uid="{00000000-0005-0000-0000-0000FE0B0000}"/>
    <cellStyle name="標準 5 4 2" xfId="3071" xr:uid="{00000000-0005-0000-0000-0000FF0B0000}"/>
    <cellStyle name="標準 5 4 3" xfId="3072" xr:uid="{00000000-0005-0000-0000-0000000C0000}"/>
    <cellStyle name="標準 5 40" xfId="3073" xr:uid="{00000000-0005-0000-0000-0000010C0000}"/>
    <cellStyle name="標準 5 41" xfId="3074" xr:uid="{00000000-0005-0000-0000-0000020C0000}"/>
    <cellStyle name="標準 5 42" xfId="3075" xr:uid="{00000000-0005-0000-0000-0000030C0000}"/>
    <cellStyle name="標準 5 43" xfId="3076" xr:uid="{00000000-0005-0000-0000-0000040C0000}"/>
    <cellStyle name="標準 5 44" xfId="3077" xr:uid="{00000000-0005-0000-0000-0000050C0000}"/>
    <cellStyle name="標準 5 45" xfId="3078" xr:uid="{00000000-0005-0000-0000-0000060C0000}"/>
    <cellStyle name="標準 5 46" xfId="3079" xr:uid="{00000000-0005-0000-0000-0000070C0000}"/>
    <cellStyle name="標準 5 47" xfId="3080" xr:uid="{00000000-0005-0000-0000-0000080C0000}"/>
    <cellStyle name="標準 5 48" xfId="3081" xr:uid="{00000000-0005-0000-0000-0000090C0000}"/>
    <cellStyle name="標準 5 5" xfId="3082" xr:uid="{00000000-0005-0000-0000-00000A0C0000}"/>
    <cellStyle name="標準 5 5 2" xfId="3083" xr:uid="{00000000-0005-0000-0000-00000B0C0000}"/>
    <cellStyle name="標準 5 6" xfId="3084" xr:uid="{00000000-0005-0000-0000-00000C0C0000}"/>
    <cellStyle name="標準 5 6 2" xfId="3085" xr:uid="{00000000-0005-0000-0000-00000D0C0000}"/>
    <cellStyle name="標準 5 7" xfId="3086" xr:uid="{00000000-0005-0000-0000-00000E0C0000}"/>
    <cellStyle name="標準 5 7 2" xfId="3087" xr:uid="{00000000-0005-0000-0000-00000F0C0000}"/>
    <cellStyle name="標準 5 8" xfId="3088" xr:uid="{00000000-0005-0000-0000-0000100C0000}"/>
    <cellStyle name="標準 5 8 2" xfId="3089" xr:uid="{00000000-0005-0000-0000-0000110C0000}"/>
    <cellStyle name="標準 5 8 3" xfId="3090" xr:uid="{00000000-0005-0000-0000-0000120C0000}"/>
    <cellStyle name="標準 5 9" xfId="3091" xr:uid="{00000000-0005-0000-0000-0000130C0000}"/>
    <cellStyle name="標準 5 9 2" xfId="3092" xr:uid="{00000000-0005-0000-0000-0000140C0000}"/>
    <cellStyle name="標準 5 9 3" xfId="3093" xr:uid="{00000000-0005-0000-0000-0000150C0000}"/>
    <cellStyle name="標準 5_コンフィグレーション項目一覧【MCAL(CAND)】_FR81S_520(照合ECU向け見解追記)" xfId="3094" xr:uid="{00000000-0005-0000-0000-0000160C0000}"/>
    <cellStyle name="標準 50 2" xfId="3095" xr:uid="{00000000-0005-0000-0000-0000170C0000}"/>
    <cellStyle name="標準 50 3" xfId="3096" xr:uid="{00000000-0005-0000-0000-0000180C0000}"/>
    <cellStyle name="標準 50 4" xfId="3097" xr:uid="{00000000-0005-0000-0000-0000190C0000}"/>
    <cellStyle name="標準 50 5" xfId="3098" xr:uid="{00000000-0005-0000-0000-00001A0C0000}"/>
    <cellStyle name="標準 50 6" xfId="3099" xr:uid="{00000000-0005-0000-0000-00001B0C0000}"/>
    <cellStyle name="標準 51 2" xfId="3100" xr:uid="{00000000-0005-0000-0000-00001C0C0000}"/>
    <cellStyle name="標準 51 3" xfId="3101" xr:uid="{00000000-0005-0000-0000-00001D0C0000}"/>
    <cellStyle name="標準 51 4" xfId="3102" xr:uid="{00000000-0005-0000-0000-00001E0C0000}"/>
    <cellStyle name="標準 51 5" xfId="3103" xr:uid="{00000000-0005-0000-0000-00001F0C0000}"/>
    <cellStyle name="標準 51 6" xfId="3104" xr:uid="{00000000-0005-0000-0000-0000200C0000}"/>
    <cellStyle name="標準 52 2" xfId="3105" xr:uid="{00000000-0005-0000-0000-0000210C0000}"/>
    <cellStyle name="標準 52 3" xfId="3106" xr:uid="{00000000-0005-0000-0000-0000220C0000}"/>
    <cellStyle name="標準 52 4" xfId="3107" xr:uid="{00000000-0005-0000-0000-0000230C0000}"/>
    <cellStyle name="標準 52 5" xfId="3108" xr:uid="{00000000-0005-0000-0000-0000240C0000}"/>
    <cellStyle name="標準 52 6" xfId="3109" xr:uid="{00000000-0005-0000-0000-0000250C0000}"/>
    <cellStyle name="標準 53 2" xfId="3110" xr:uid="{00000000-0005-0000-0000-0000260C0000}"/>
    <cellStyle name="標準 53 3" xfId="3111" xr:uid="{00000000-0005-0000-0000-0000270C0000}"/>
    <cellStyle name="標準 53 4" xfId="3112" xr:uid="{00000000-0005-0000-0000-0000280C0000}"/>
    <cellStyle name="標準 53 5" xfId="3113" xr:uid="{00000000-0005-0000-0000-0000290C0000}"/>
    <cellStyle name="標準 53 6" xfId="3114" xr:uid="{00000000-0005-0000-0000-00002A0C0000}"/>
    <cellStyle name="標準 54" xfId="3115" xr:uid="{00000000-0005-0000-0000-00002B0C0000}"/>
    <cellStyle name="標準 6" xfId="3116" xr:uid="{00000000-0005-0000-0000-00002C0C0000}"/>
    <cellStyle name="標準 6 10" xfId="3117" xr:uid="{00000000-0005-0000-0000-00002D0C0000}"/>
    <cellStyle name="標準 6 11" xfId="3118" xr:uid="{00000000-0005-0000-0000-00002E0C0000}"/>
    <cellStyle name="標準 6 12" xfId="3119" xr:uid="{00000000-0005-0000-0000-00002F0C0000}"/>
    <cellStyle name="標準 6 13" xfId="3120" xr:uid="{00000000-0005-0000-0000-0000300C0000}"/>
    <cellStyle name="標準 6 14" xfId="3121" xr:uid="{00000000-0005-0000-0000-0000310C0000}"/>
    <cellStyle name="標準 6 15" xfId="3122" xr:uid="{00000000-0005-0000-0000-0000320C0000}"/>
    <cellStyle name="標準 6 16" xfId="3123" xr:uid="{00000000-0005-0000-0000-0000330C0000}"/>
    <cellStyle name="標準 6 17" xfId="3124" xr:uid="{00000000-0005-0000-0000-0000340C0000}"/>
    <cellStyle name="標準 6 18" xfId="3125" xr:uid="{00000000-0005-0000-0000-0000350C0000}"/>
    <cellStyle name="標準 6 19" xfId="3126" xr:uid="{00000000-0005-0000-0000-0000360C0000}"/>
    <cellStyle name="標準 6 2" xfId="3127" xr:uid="{00000000-0005-0000-0000-0000370C0000}"/>
    <cellStyle name="標準 6 2 2" xfId="3128" xr:uid="{00000000-0005-0000-0000-0000380C0000}"/>
    <cellStyle name="標準 6 20" xfId="3129" xr:uid="{00000000-0005-0000-0000-0000390C0000}"/>
    <cellStyle name="標準 6 21" xfId="3130" xr:uid="{00000000-0005-0000-0000-00003A0C0000}"/>
    <cellStyle name="標準 6 22" xfId="3131" xr:uid="{00000000-0005-0000-0000-00003B0C0000}"/>
    <cellStyle name="標準 6 23" xfId="3132" xr:uid="{00000000-0005-0000-0000-00003C0C0000}"/>
    <cellStyle name="標準 6 24" xfId="3133" xr:uid="{00000000-0005-0000-0000-00003D0C0000}"/>
    <cellStyle name="標準 6 25" xfId="3134" xr:uid="{00000000-0005-0000-0000-00003E0C0000}"/>
    <cellStyle name="標準 6 26" xfId="3135" xr:uid="{00000000-0005-0000-0000-00003F0C0000}"/>
    <cellStyle name="標準 6 27" xfId="3136" xr:uid="{00000000-0005-0000-0000-0000400C0000}"/>
    <cellStyle name="標準 6 28" xfId="3137" xr:uid="{00000000-0005-0000-0000-0000410C0000}"/>
    <cellStyle name="標準 6 29" xfId="3138" xr:uid="{00000000-0005-0000-0000-0000420C0000}"/>
    <cellStyle name="標準 6 3" xfId="3139" xr:uid="{00000000-0005-0000-0000-0000430C0000}"/>
    <cellStyle name="標準 6 3 2" xfId="3140" xr:uid="{00000000-0005-0000-0000-0000440C0000}"/>
    <cellStyle name="標準 6 30" xfId="3141" xr:uid="{00000000-0005-0000-0000-0000450C0000}"/>
    <cellStyle name="標準 6 31" xfId="3142" xr:uid="{00000000-0005-0000-0000-0000460C0000}"/>
    <cellStyle name="標準 6 32" xfId="3143" xr:uid="{00000000-0005-0000-0000-0000470C0000}"/>
    <cellStyle name="標準 6 33" xfId="3144" xr:uid="{00000000-0005-0000-0000-0000480C0000}"/>
    <cellStyle name="標準 6 34" xfId="3145" xr:uid="{00000000-0005-0000-0000-0000490C0000}"/>
    <cellStyle name="標準 6 35" xfId="3146" xr:uid="{00000000-0005-0000-0000-00004A0C0000}"/>
    <cellStyle name="標準 6 36" xfId="3147" xr:uid="{00000000-0005-0000-0000-00004B0C0000}"/>
    <cellStyle name="標準 6 37" xfId="3148" xr:uid="{00000000-0005-0000-0000-00004C0C0000}"/>
    <cellStyle name="標準 6 38" xfId="3149" xr:uid="{00000000-0005-0000-0000-00004D0C0000}"/>
    <cellStyle name="標準 6 39" xfId="3150" xr:uid="{00000000-0005-0000-0000-00004E0C0000}"/>
    <cellStyle name="標準 6 4" xfId="3151" xr:uid="{00000000-0005-0000-0000-00004F0C0000}"/>
    <cellStyle name="標準 6 4 2" xfId="3152" xr:uid="{00000000-0005-0000-0000-0000500C0000}"/>
    <cellStyle name="標準 6 40" xfId="3153" xr:uid="{00000000-0005-0000-0000-0000510C0000}"/>
    <cellStyle name="標準 6 41" xfId="3154" xr:uid="{00000000-0005-0000-0000-0000520C0000}"/>
    <cellStyle name="標準 6 42" xfId="3155" xr:uid="{00000000-0005-0000-0000-0000530C0000}"/>
    <cellStyle name="標準 6 43" xfId="3156" xr:uid="{00000000-0005-0000-0000-0000540C0000}"/>
    <cellStyle name="標準 6 44" xfId="3157" xr:uid="{00000000-0005-0000-0000-0000550C0000}"/>
    <cellStyle name="標準 6 45" xfId="3158" xr:uid="{00000000-0005-0000-0000-0000560C0000}"/>
    <cellStyle name="標準 6 46" xfId="3159" xr:uid="{00000000-0005-0000-0000-0000570C0000}"/>
    <cellStyle name="標準 6 47" xfId="3160" xr:uid="{00000000-0005-0000-0000-0000580C0000}"/>
    <cellStyle name="標準 6 48" xfId="3161" xr:uid="{00000000-0005-0000-0000-0000590C0000}"/>
    <cellStyle name="標準 6 5" xfId="3162" xr:uid="{00000000-0005-0000-0000-00005A0C0000}"/>
    <cellStyle name="標準 6 5 2" xfId="3163" xr:uid="{00000000-0005-0000-0000-00005B0C0000}"/>
    <cellStyle name="標準 6 6" xfId="3164" xr:uid="{00000000-0005-0000-0000-00005C0C0000}"/>
    <cellStyle name="標準 6 6 2" xfId="3165" xr:uid="{00000000-0005-0000-0000-00005D0C0000}"/>
    <cellStyle name="標準 6 7" xfId="3166" xr:uid="{00000000-0005-0000-0000-00005E0C0000}"/>
    <cellStyle name="標準 6 7 2" xfId="3167" xr:uid="{00000000-0005-0000-0000-00005F0C0000}"/>
    <cellStyle name="標準 6 8" xfId="3168" xr:uid="{00000000-0005-0000-0000-0000600C0000}"/>
    <cellStyle name="標準 6 9" xfId="3169" xr:uid="{00000000-0005-0000-0000-0000610C0000}"/>
    <cellStyle name="標準 6_コンフィグレーション項目一覧【MCAL(CAND)】_FR81S_520(照合ECU向け見解追記)" xfId="3170" xr:uid="{00000000-0005-0000-0000-0000620C0000}"/>
    <cellStyle name="標準 7" xfId="3171" xr:uid="{00000000-0005-0000-0000-0000630C0000}"/>
    <cellStyle name="標準 7 10" xfId="3172" xr:uid="{00000000-0005-0000-0000-0000640C0000}"/>
    <cellStyle name="標準 7 10 2" xfId="3173" xr:uid="{00000000-0005-0000-0000-0000650C0000}"/>
    <cellStyle name="標準 7 10 3" xfId="3174" xr:uid="{00000000-0005-0000-0000-0000660C0000}"/>
    <cellStyle name="標準 7 11" xfId="3175" xr:uid="{00000000-0005-0000-0000-0000670C0000}"/>
    <cellStyle name="標準 7 11 2" xfId="3176" xr:uid="{00000000-0005-0000-0000-0000680C0000}"/>
    <cellStyle name="標準 7 12" xfId="3177" xr:uid="{00000000-0005-0000-0000-0000690C0000}"/>
    <cellStyle name="標準 7 12 2" xfId="3178" xr:uid="{00000000-0005-0000-0000-00006A0C0000}"/>
    <cellStyle name="標準 7 13" xfId="3179" xr:uid="{00000000-0005-0000-0000-00006B0C0000}"/>
    <cellStyle name="標準 7 13 2" xfId="3180" xr:uid="{00000000-0005-0000-0000-00006C0C0000}"/>
    <cellStyle name="標準 7 14" xfId="3181" xr:uid="{00000000-0005-0000-0000-00006D0C0000}"/>
    <cellStyle name="標準 7 14 2" xfId="3182" xr:uid="{00000000-0005-0000-0000-00006E0C0000}"/>
    <cellStyle name="標準 7 15" xfId="3183" xr:uid="{00000000-0005-0000-0000-00006F0C0000}"/>
    <cellStyle name="標準 7 15 2" xfId="3184" xr:uid="{00000000-0005-0000-0000-0000700C0000}"/>
    <cellStyle name="標準 7 16" xfId="3185" xr:uid="{00000000-0005-0000-0000-0000710C0000}"/>
    <cellStyle name="標準 7 16 2" xfId="3186" xr:uid="{00000000-0005-0000-0000-0000720C0000}"/>
    <cellStyle name="標準 7 17" xfId="3187" xr:uid="{00000000-0005-0000-0000-0000730C0000}"/>
    <cellStyle name="標準 7 17 2" xfId="3188" xr:uid="{00000000-0005-0000-0000-0000740C0000}"/>
    <cellStyle name="標準 7 18" xfId="3189" xr:uid="{00000000-0005-0000-0000-0000750C0000}"/>
    <cellStyle name="標準 7 18 2" xfId="3190" xr:uid="{00000000-0005-0000-0000-0000760C0000}"/>
    <cellStyle name="標準 7 19" xfId="3191" xr:uid="{00000000-0005-0000-0000-0000770C0000}"/>
    <cellStyle name="標準 7 19 2" xfId="3192" xr:uid="{00000000-0005-0000-0000-0000780C0000}"/>
    <cellStyle name="標準 7 2" xfId="3193" xr:uid="{00000000-0005-0000-0000-0000790C0000}"/>
    <cellStyle name="標準 7 2 2" xfId="3194" xr:uid="{00000000-0005-0000-0000-00007A0C0000}"/>
    <cellStyle name="標準 7 2 3" xfId="3195" xr:uid="{00000000-0005-0000-0000-00007B0C0000}"/>
    <cellStyle name="標準 7 20" xfId="3196" xr:uid="{00000000-0005-0000-0000-00007C0C0000}"/>
    <cellStyle name="標準 7 20 2" xfId="3197" xr:uid="{00000000-0005-0000-0000-00007D0C0000}"/>
    <cellStyle name="標準 7 21" xfId="3198" xr:uid="{00000000-0005-0000-0000-00007E0C0000}"/>
    <cellStyle name="標準 7 21 2" xfId="3199" xr:uid="{00000000-0005-0000-0000-00007F0C0000}"/>
    <cellStyle name="標準 7 22" xfId="3200" xr:uid="{00000000-0005-0000-0000-0000800C0000}"/>
    <cellStyle name="標準 7 22 2" xfId="3201" xr:uid="{00000000-0005-0000-0000-0000810C0000}"/>
    <cellStyle name="標準 7 23" xfId="3202" xr:uid="{00000000-0005-0000-0000-0000820C0000}"/>
    <cellStyle name="標準 7 23 2" xfId="3203" xr:uid="{00000000-0005-0000-0000-0000830C0000}"/>
    <cellStyle name="標準 7 24" xfId="3204" xr:uid="{00000000-0005-0000-0000-0000840C0000}"/>
    <cellStyle name="標準 7 24 2" xfId="3205" xr:uid="{00000000-0005-0000-0000-0000850C0000}"/>
    <cellStyle name="標準 7 25" xfId="3206" xr:uid="{00000000-0005-0000-0000-0000860C0000}"/>
    <cellStyle name="標準 7 25 2" xfId="3207" xr:uid="{00000000-0005-0000-0000-0000870C0000}"/>
    <cellStyle name="標準 7 26" xfId="3208" xr:uid="{00000000-0005-0000-0000-0000880C0000}"/>
    <cellStyle name="標準 7 26 2" xfId="3209" xr:uid="{00000000-0005-0000-0000-0000890C0000}"/>
    <cellStyle name="標準 7 27" xfId="3210" xr:uid="{00000000-0005-0000-0000-00008A0C0000}"/>
    <cellStyle name="標準 7 27 2" xfId="3211" xr:uid="{00000000-0005-0000-0000-00008B0C0000}"/>
    <cellStyle name="標準 7 28" xfId="3212" xr:uid="{00000000-0005-0000-0000-00008C0C0000}"/>
    <cellStyle name="標準 7 28 2" xfId="3213" xr:uid="{00000000-0005-0000-0000-00008D0C0000}"/>
    <cellStyle name="標準 7 29" xfId="3214" xr:uid="{00000000-0005-0000-0000-00008E0C0000}"/>
    <cellStyle name="標準 7 29 2" xfId="3215" xr:uid="{00000000-0005-0000-0000-00008F0C0000}"/>
    <cellStyle name="標準 7 3" xfId="3216" xr:uid="{00000000-0005-0000-0000-0000900C0000}"/>
    <cellStyle name="標準 7 3 2" xfId="3217" xr:uid="{00000000-0005-0000-0000-0000910C0000}"/>
    <cellStyle name="標準 7 3 3" xfId="3218" xr:uid="{00000000-0005-0000-0000-0000920C0000}"/>
    <cellStyle name="標準 7 30" xfId="3219" xr:uid="{00000000-0005-0000-0000-0000930C0000}"/>
    <cellStyle name="標準 7 30 2" xfId="3220" xr:uid="{00000000-0005-0000-0000-0000940C0000}"/>
    <cellStyle name="標準 7 31" xfId="3221" xr:uid="{00000000-0005-0000-0000-0000950C0000}"/>
    <cellStyle name="標準 7 31 2" xfId="3222" xr:uid="{00000000-0005-0000-0000-0000960C0000}"/>
    <cellStyle name="標準 7 32" xfId="3223" xr:uid="{00000000-0005-0000-0000-0000970C0000}"/>
    <cellStyle name="標準 7 32 2" xfId="3224" xr:uid="{00000000-0005-0000-0000-0000980C0000}"/>
    <cellStyle name="標準 7 33" xfId="3225" xr:uid="{00000000-0005-0000-0000-0000990C0000}"/>
    <cellStyle name="標準 7 33 2" xfId="3226" xr:uid="{00000000-0005-0000-0000-00009A0C0000}"/>
    <cellStyle name="標準 7 34" xfId="3227" xr:uid="{00000000-0005-0000-0000-00009B0C0000}"/>
    <cellStyle name="標準 7 34 2" xfId="3228" xr:uid="{00000000-0005-0000-0000-00009C0C0000}"/>
    <cellStyle name="標準 7 35" xfId="3229" xr:uid="{00000000-0005-0000-0000-00009D0C0000}"/>
    <cellStyle name="標準 7 35 2" xfId="3230" xr:uid="{00000000-0005-0000-0000-00009E0C0000}"/>
    <cellStyle name="標準 7 36" xfId="3231" xr:uid="{00000000-0005-0000-0000-00009F0C0000}"/>
    <cellStyle name="標準 7 36 2" xfId="3232" xr:uid="{00000000-0005-0000-0000-0000A00C0000}"/>
    <cellStyle name="標準 7 37" xfId="3233" xr:uid="{00000000-0005-0000-0000-0000A10C0000}"/>
    <cellStyle name="標準 7 38" xfId="3234" xr:uid="{00000000-0005-0000-0000-0000A20C0000}"/>
    <cellStyle name="標準 7 39" xfId="3235" xr:uid="{00000000-0005-0000-0000-0000A30C0000}"/>
    <cellStyle name="標準 7 4" xfId="3236" xr:uid="{00000000-0005-0000-0000-0000A40C0000}"/>
    <cellStyle name="標準 7 4 2" xfId="3237" xr:uid="{00000000-0005-0000-0000-0000A50C0000}"/>
    <cellStyle name="標準 7 4 3" xfId="3238" xr:uid="{00000000-0005-0000-0000-0000A60C0000}"/>
    <cellStyle name="標準 7 40" xfId="3239" xr:uid="{00000000-0005-0000-0000-0000A70C0000}"/>
    <cellStyle name="標準 7 41" xfId="3240" xr:uid="{00000000-0005-0000-0000-0000A80C0000}"/>
    <cellStyle name="標準 7 42" xfId="3241" xr:uid="{00000000-0005-0000-0000-0000A90C0000}"/>
    <cellStyle name="標準 7 43" xfId="3242" xr:uid="{00000000-0005-0000-0000-0000AA0C0000}"/>
    <cellStyle name="標準 7 44" xfId="3243" xr:uid="{00000000-0005-0000-0000-0000AB0C0000}"/>
    <cellStyle name="標準 7 45" xfId="3244" xr:uid="{00000000-0005-0000-0000-0000AC0C0000}"/>
    <cellStyle name="標準 7 46" xfId="3245" xr:uid="{00000000-0005-0000-0000-0000AD0C0000}"/>
    <cellStyle name="標準 7 47" xfId="3246" xr:uid="{00000000-0005-0000-0000-0000AE0C0000}"/>
    <cellStyle name="標準 7 48" xfId="3247" xr:uid="{00000000-0005-0000-0000-0000AF0C0000}"/>
    <cellStyle name="標準 7 49" xfId="3248" xr:uid="{00000000-0005-0000-0000-0000B00C0000}"/>
    <cellStyle name="標準 7 5" xfId="3249" xr:uid="{00000000-0005-0000-0000-0000B10C0000}"/>
    <cellStyle name="標準 7 5 2" xfId="3250" xr:uid="{00000000-0005-0000-0000-0000B20C0000}"/>
    <cellStyle name="標準 7 5 3" xfId="3251" xr:uid="{00000000-0005-0000-0000-0000B30C0000}"/>
    <cellStyle name="標準 7 6" xfId="3252" xr:uid="{00000000-0005-0000-0000-0000B40C0000}"/>
    <cellStyle name="標準 7 6 2" xfId="3253" xr:uid="{00000000-0005-0000-0000-0000B50C0000}"/>
    <cellStyle name="標準 7 6 3" xfId="3254" xr:uid="{00000000-0005-0000-0000-0000B60C0000}"/>
    <cellStyle name="標準 7 7" xfId="3255" xr:uid="{00000000-0005-0000-0000-0000B70C0000}"/>
    <cellStyle name="標準 7 7 2" xfId="3256" xr:uid="{00000000-0005-0000-0000-0000B80C0000}"/>
    <cellStyle name="標準 7 7 3" xfId="3257" xr:uid="{00000000-0005-0000-0000-0000B90C0000}"/>
    <cellStyle name="標準 7 8" xfId="3258" xr:uid="{00000000-0005-0000-0000-0000BA0C0000}"/>
    <cellStyle name="標準 7 8 2" xfId="3259" xr:uid="{00000000-0005-0000-0000-0000BB0C0000}"/>
    <cellStyle name="標準 7 8 3" xfId="3260" xr:uid="{00000000-0005-0000-0000-0000BC0C0000}"/>
    <cellStyle name="標準 7 9" xfId="3261" xr:uid="{00000000-0005-0000-0000-0000BD0C0000}"/>
    <cellStyle name="標準 7 9 2" xfId="3262" xr:uid="{00000000-0005-0000-0000-0000BE0C0000}"/>
    <cellStyle name="標準 7 9 3" xfId="3263" xr:uid="{00000000-0005-0000-0000-0000BF0C0000}"/>
    <cellStyle name="標準 7_コンフィグレーション項目一覧【MCAL(CAND)】_FR81S_520(照合ECU向け見解追記)" xfId="3264" xr:uid="{00000000-0005-0000-0000-0000C00C0000}"/>
    <cellStyle name="標準 8" xfId="3265" xr:uid="{00000000-0005-0000-0000-0000C10C0000}"/>
    <cellStyle name="標準 8 10" xfId="3266" xr:uid="{00000000-0005-0000-0000-0000C20C0000}"/>
    <cellStyle name="標準 8 11" xfId="3267" xr:uid="{00000000-0005-0000-0000-0000C30C0000}"/>
    <cellStyle name="標準 8 12" xfId="3268" xr:uid="{00000000-0005-0000-0000-0000C40C0000}"/>
    <cellStyle name="標準 8 13" xfId="3269" xr:uid="{00000000-0005-0000-0000-0000C50C0000}"/>
    <cellStyle name="標準 8 14" xfId="3270" xr:uid="{00000000-0005-0000-0000-0000C60C0000}"/>
    <cellStyle name="標準 8 15" xfId="3271" xr:uid="{00000000-0005-0000-0000-0000C70C0000}"/>
    <cellStyle name="標準 8 16" xfId="3272" xr:uid="{00000000-0005-0000-0000-0000C80C0000}"/>
    <cellStyle name="標準 8 17" xfId="3273" xr:uid="{00000000-0005-0000-0000-0000C90C0000}"/>
    <cellStyle name="標準 8 18" xfId="3274" xr:uid="{00000000-0005-0000-0000-0000CA0C0000}"/>
    <cellStyle name="標準 8 19" xfId="3275" xr:uid="{00000000-0005-0000-0000-0000CB0C0000}"/>
    <cellStyle name="標準 8 2" xfId="3276" xr:uid="{00000000-0005-0000-0000-0000CC0C0000}"/>
    <cellStyle name="標準 8 2 2" xfId="3277" xr:uid="{00000000-0005-0000-0000-0000CD0C0000}"/>
    <cellStyle name="標準 8 20" xfId="3278" xr:uid="{00000000-0005-0000-0000-0000CE0C0000}"/>
    <cellStyle name="標準 8 21" xfId="3279" xr:uid="{00000000-0005-0000-0000-0000CF0C0000}"/>
    <cellStyle name="標準 8 22" xfId="3280" xr:uid="{00000000-0005-0000-0000-0000D00C0000}"/>
    <cellStyle name="標準 8 23" xfId="3281" xr:uid="{00000000-0005-0000-0000-0000D10C0000}"/>
    <cellStyle name="標準 8 24" xfId="3282" xr:uid="{00000000-0005-0000-0000-0000D20C0000}"/>
    <cellStyle name="標準 8 25" xfId="3283" xr:uid="{00000000-0005-0000-0000-0000D30C0000}"/>
    <cellStyle name="標準 8 26" xfId="3284" xr:uid="{00000000-0005-0000-0000-0000D40C0000}"/>
    <cellStyle name="標準 8 27" xfId="3285" xr:uid="{00000000-0005-0000-0000-0000D50C0000}"/>
    <cellStyle name="標準 8 28" xfId="3286" xr:uid="{00000000-0005-0000-0000-0000D60C0000}"/>
    <cellStyle name="標準 8 29" xfId="3287" xr:uid="{00000000-0005-0000-0000-0000D70C0000}"/>
    <cellStyle name="標準 8 3" xfId="3288" xr:uid="{00000000-0005-0000-0000-0000D80C0000}"/>
    <cellStyle name="標準 8 3 2" xfId="3289" xr:uid="{00000000-0005-0000-0000-0000D90C0000}"/>
    <cellStyle name="標準 8 30" xfId="3290" xr:uid="{00000000-0005-0000-0000-0000DA0C0000}"/>
    <cellStyle name="標準 8 31" xfId="3291" xr:uid="{00000000-0005-0000-0000-0000DB0C0000}"/>
    <cellStyle name="標準 8 32" xfId="3292" xr:uid="{00000000-0005-0000-0000-0000DC0C0000}"/>
    <cellStyle name="標準 8 33" xfId="3293" xr:uid="{00000000-0005-0000-0000-0000DD0C0000}"/>
    <cellStyle name="標準 8 34" xfId="3294" xr:uid="{00000000-0005-0000-0000-0000DE0C0000}"/>
    <cellStyle name="標準 8 35" xfId="3295" xr:uid="{00000000-0005-0000-0000-0000DF0C0000}"/>
    <cellStyle name="標準 8 36" xfId="3296" xr:uid="{00000000-0005-0000-0000-0000E00C0000}"/>
    <cellStyle name="標準 8 37" xfId="3297" xr:uid="{00000000-0005-0000-0000-0000E10C0000}"/>
    <cellStyle name="標準 8 38" xfId="3298" xr:uid="{00000000-0005-0000-0000-0000E20C0000}"/>
    <cellStyle name="標準 8 39" xfId="3299" xr:uid="{00000000-0005-0000-0000-0000E30C0000}"/>
    <cellStyle name="標準 8 4" xfId="3300" xr:uid="{00000000-0005-0000-0000-0000E40C0000}"/>
    <cellStyle name="標準 8 4 2" xfId="3301" xr:uid="{00000000-0005-0000-0000-0000E50C0000}"/>
    <cellStyle name="標準 8 40" xfId="3302" xr:uid="{00000000-0005-0000-0000-0000E60C0000}"/>
    <cellStyle name="標準 8 41" xfId="3303" xr:uid="{00000000-0005-0000-0000-0000E70C0000}"/>
    <cellStyle name="標準 8 42" xfId="3304" xr:uid="{00000000-0005-0000-0000-0000E80C0000}"/>
    <cellStyle name="標準 8 43" xfId="3305" xr:uid="{00000000-0005-0000-0000-0000E90C0000}"/>
    <cellStyle name="標準 8 44" xfId="3306" xr:uid="{00000000-0005-0000-0000-0000EA0C0000}"/>
    <cellStyle name="標準 8 45" xfId="3307" xr:uid="{00000000-0005-0000-0000-0000EB0C0000}"/>
    <cellStyle name="標準 8 46" xfId="3308" xr:uid="{00000000-0005-0000-0000-0000EC0C0000}"/>
    <cellStyle name="標準 8 47" xfId="3309" xr:uid="{00000000-0005-0000-0000-0000ED0C0000}"/>
    <cellStyle name="標準 8 48" xfId="3310" xr:uid="{00000000-0005-0000-0000-0000EE0C0000}"/>
    <cellStyle name="標準 8 5" xfId="3311" xr:uid="{00000000-0005-0000-0000-0000EF0C0000}"/>
    <cellStyle name="標準 8 5 2" xfId="3312" xr:uid="{00000000-0005-0000-0000-0000F00C0000}"/>
    <cellStyle name="標準 8 6" xfId="3313" xr:uid="{00000000-0005-0000-0000-0000F10C0000}"/>
    <cellStyle name="標準 8 6 2" xfId="3314" xr:uid="{00000000-0005-0000-0000-0000F20C0000}"/>
    <cellStyle name="標準 8 7" xfId="3315" xr:uid="{00000000-0005-0000-0000-0000F30C0000}"/>
    <cellStyle name="標準 8 8" xfId="3316" xr:uid="{00000000-0005-0000-0000-0000F40C0000}"/>
    <cellStyle name="標準 8 9" xfId="3317" xr:uid="{00000000-0005-0000-0000-0000F50C0000}"/>
    <cellStyle name="標準 8_コンフィグレーション項目一覧【MCAL(CAND)】_FR81S_520(照合ECU向け見解追記)" xfId="3318" xr:uid="{00000000-0005-0000-0000-0000F60C0000}"/>
    <cellStyle name="標準 9" xfId="3319" xr:uid="{00000000-0005-0000-0000-0000F70C0000}"/>
    <cellStyle name="標準 9 10" xfId="3320" xr:uid="{00000000-0005-0000-0000-0000F80C0000}"/>
    <cellStyle name="標準 9 10 2" xfId="3321" xr:uid="{00000000-0005-0000-0000-0000F90C0000}"/>
    <cellStyle name="標準 9 11" xfId="3322" xr:uid="{00000000-0005-0000-0000-0000FA0C0000}"/>
    <cellStyle name="標準 9 11 2" xfId="3323" xr:uid="{00000000-0005-0000-0000-0000FB0C0000}"/>
    <cellStyle name="標準 9 12" xfId="3324" xr:uid="{00000000-0005-0000-0000-0000FC0C0000}"/>
    <cellStyle name="標準 9 12 2" xfId="3325" xr:uid="{00000000-0005-0000-0000-0000FD0C0000}"/>
    <cellStyle name="標準 9 13" xfId="3326" xr:uid="{00000000-0005-0000-0000-0000FE0C0000}"/>
    <cellStyle name="標準 9 13 2" xfId="3327" xr:uid="{00000000-0005-0000-0000-0000FF0C0000}"/>
    <cellStyle name="標準 9 14" xfId="3328" xr:uid="{00000000-0005-0000-0000-0000000D0000}"/>
    <cellStyle name="標準 9 14 2" xfId="3329" xr:uid="{00000000-0005-0000-0000-0000010D0000}"/>
    <cellStyle name="標準 9 15" xfId="3330" xr:uid="{00000000-0005-0000-0000-0000020D0000}"/>
    <cellStyle name="標準 9 15 2" xfId="3331" xr:uid="{00000000-0005-0000-0000-0000030D0000}"/>
    <cellStyle name="標準 9 16" xfId="3332" xr:uid="{00000000-0005-0000-0000-0000040D0000}"/>
    <cellStyle name="標準 9 16 2" xfId="3333" xr:uid="{00000000-0005-0000-0000-0000050D0000}"/>
    <cellStyle name="標準 9 17" xfId="3334" xr:uid="{00000000-0005-0000-0000-0000060D0000}"/>
    <cellStyle name="標準 9 17 2" xfId="3335" xr:uid="{00000000-0005-0000-0000-0000070D0000}"/>
    <cellStyle name="標準 9 18" xfId="3336" xr:uid="{00000000-0005-0000-0000-0000080D0000}"/>
    <cellStyle name="標準 9 18 2" xfId="3337" xr:uid="{00000000-0005-0000-0000-0000090D0000}"/>
    <cellStyle name="標準 9 19" xfId="3338" xr:uid="{00000000-0005-0000-0000-00000A0D0000}"/>
    <cellStyle name="標準 9 19 2" xfId="3339" xr:uid="{00000000-0005-0000-0000-00000B0D0000}"/>
    <cellStyle name="標準 9 2" xfId="3340" xr:uid="{00000000-0005-0000-0000-00000C0D0000}"/>
    <cellStyle name="標準 9 2 2" xfId="3341" xr:uid="{00000000-0005-0000-0000-00000D0D0000}"/>
    <cellStyle name="標準 9 2 3" xfId="3342" xr:uid="{00000000-0005-0000-0000-00000E0D0000}"/>
    <cellStyle name="標準 9 20" xfId="3343" xr:uid="{00000000-0005-0000-0000-00000F0D0000}"/>
    <cellStyle name="標準 9 20 2" xfId="3344" xr:uid="{00000000-0005-0000-0000-0000100D0000}"/>
    <cellStyle name="標準 9 21" xfId="3345" xr:uid="{00000000-0005-0000-0000-0000110D0000}"/>
    <cellStyle name="標準 9 21 2" xfId="3346" xr:uid="{00000000-0005-0000-0000-0000120D0000}"/>
    <cellStyle name="標準 9 22" xfId="3347" xr:uid="{00000000-0005-0000-0000-0000130D0000}"/>
    <cellStyle name="標準 9 22 2" xfId="3348" xr:uid="{00000000-0005-0000-0000-0000140D0000}"/>
    <cellStyle name="標準 9 23" xfId="3349" xr:uid="{00000000-0005-0000-0000-0000150D0000}"/>
    <cellStyle name="標準 9 23 2" xfId="3350" xr:uid="{00000000-0005-0000-0000-0000160D0000}"/>
    <cellStyle name="標準 9 24" xfId="3351" xr:uid="{00000000-0005-0000-0000-0000170D0000}"/>
    <cellStyle name="標準 9 24 2" xfId="3352" xr:uid="{00000000-0005-0000-0000-0000180D0000}"/>
    <cellStyle name="標準 9 25" xfId="3353" xr:uid="{00000000-0005-0000-0000-0000190D0000}"/>
    <cellStyle name="標準 9 25 2" xfId="3354" xr:uid="{00000000-0005-0000-0000-00001A0D0000}"/>
    <cellStyle name="標準 9 26" xfId="3355" xr:uid="{00000000-0005-0000-0000-00001B0D0000}"/>
    <cellStyle name="標準 9 26 2" xfId="3356" xr:uid="{00000000-0005-0000-0000-00001C0D0000}"/>
    <cellStyle name="標準 9 27" xfId="3357" xr:uid="{00000000-0005-0000-0000-00001D0D0000}"/>
    <cellStyle name="標準 9 27 2" xfId="3358" xr:uid="{00000000-0005-0000-0000-00001E0D0000}"/>
    <cellStyle name="標準 9 28" xfId="3359" xr:uid="{00000000-0005-0000-0000-00001F0D0000}"/>
    <cellStyle name="標準 9 28 2" xfId="3360" xr:uid="{00000000-0005-0000-0000-0000200D0000}"/>
    <cellStyle name="標準 9 29" xfId="3361" xr:uid="{00000000-0005-0000-0000-0000210D0000}"/>
    <cellStyle name="標準 9 29 2" xfId="3362" xr:uid="{00000000-0005-0000-0000-0000220D0000}"/>
    <cellStyle name="標準 9 3" xfId="3363" xr:uid="{00000000-0005-0000-0000-0000230D0000}"/>
    <cellStyle name="標準 9 3 2" xfId="3364" xr:uid="{00000000-0005-0000-0000-0000240D0000}"/>
    <cellStyle name="標準 9 3 3" xfId="3365" xr:uid="{00000000-0005-0000-0000-0000250D0000}"/>
    <cellStyle name="標準 9 30" xfId="3366" xr:uid="{00000000-0005-0000-0000-0000260D0000}"/>
    <cellStyle name="標準 9 30 2" xfId="3367" xr:uid="{00000000-0005-0000-0000-0000270D0000}"/>
    <cellStyle name="標準 9 31" xfId="3368" xr:uid="{00000000-0005-0000-0000-0000280D0000}"/>
    <cellStyle name="標準 9 31 2" xfId="3369" xr:uid="{00000000-0005-0000-0000-0000290D0000}"/>
    <cellStyle name="標準 9 32" xfId="3370" xr:uid="{00000000-0005-0000-0000-00002A0D0000}"/>
    <cellStyle name="標準 9 32 2" xfId="3371" xr:uid="{00000000-0005-0000-0000-00002B0D0000}"/>
    <cellStyle name="標準 9 33" xfId="3372" xr:uid="{00000000-0005-0000-0000-00002C0D0000}"/>
    <cellStyle name="標準 9 33 2" xfId="3373" xr:uid="{00000000-0005-0000-0000-00002D0D0000}"/>
    <cellStyle name="標準 9 34" xfId="3374" xr:uid="{00000000-0005-0000-0000-00002E0D0000}"/>
    <cellStyle name="標準 9 34 2" xfId="3375" xr:uid="{00000000-0005-0000-0000-00002F0D0000}"/>
    <cellStyle name="標準 9 35" xfId="3376" xr:uid="{00000000-0005-0000-0000-0000300D0000}"/>
    <cellStyle name="標準 9 35 2" xfId="3377" xr:uid="{00000000-0005-0000-0000-0000310D0000}"/>
    <cellStyle name="標準 9 36" xfId="3378" xr:uid="{00000000-0005-0000-0000-0000320D0000}"/>
    <cellStyle name="標準 9 36 2" xfId="3379" xr:uid="{00000000-0005-0000-0000-0000330D0000}"/>
    <cellStyle name="標準 9 37" xfId="3380" xr:uid="{00000000-0005-0000-0000-0000340D0000}"/>
    <cellStyle name="標準 9 38" xfId="3381" xr:uid="{00000000-0005-0000-0000-0000350D0000}"/>
    <cellStyle name="標準 9 39" xfId="3382" xr:uid="{00000000-0005-0000-0000-0000360D0000}"/>
    <cellStyle name="標準 9 4" xfId="3383" xr:uid="{00000000-0005-0000-0000-0000370D0000}"/>
    <cellStyle name="標準 9 4 2" xfId="3384" xr:uid="{00000000-0005-0000-0000-0000380D0000}"/>
    <cellStyle name="標準 9 4 3" xfId="3385" xr:uid="{00000000-0005-0000-0000-0000390D0000}"/>
    <cellStyle name="標準 9 40" xfId="3386" xr:uid="{00000000-0005-0000-0000-00003A0D0000}"/>
    <cellStyle name="標準 9 41" xfId="3387" xr:uid="{00000000-0005-0000-0000-00003B0D0000}"/>
    <cellStyle name="標準 9 42" xfId="3388" xr:uid="{00000000-0005-0000-0000-00003C0D0000}"/>
    <cellStyle name="標準 9 43" xfId="3389" xr:uid="{00000000-0005-0000-0000-00003D0D0000}"/>
    <cellStyle name="標準 9 44" xfId="3390" xr:uid="{00000000-0005-0000-0000-00003E0D0000}"/>
    <cellStyle name="標準 9 45" xfId="3391" xr:uid="{00000000-0005-0000-0000-00003F0D0000}"/>
    <cellStyle name="標準 9 46" xfId="3392" xr:uid="{00000000-0005-0000-0000-0000400D0000}"/>
    <cellStyle name="標準 9 47" xfId="3393" xr:uid="{00000000-0005-0000-0000-0000410D0000}"/>
    <cellStyle name="標準 9 48" xfId="3394" xr:uid="{00000000-0005-0000-0000-0000420D0000}"/>
    <cellStyle name="標準 9 49" xfId="3395" xr:uid="{00000000-0005-0000-0000-0000430D0000}"/>
    <cellStyle name="標準 9 5" xfId="3396" xr:uid="{00000000-0005-0000-0000-0000440D0000}"/>
    <cellStyle name="標準 9 5 2" xfId="3397" xr:uid="{00000000-0005-0000-0000-0000450D0000}"/>
    <cellStyle name="標準 9 5 3" xfId="3398" xr:uid="{00000000-0005-0000-0000-0000460D0000}"/>
    <cellStyle name="標準 9 6" xfId="3399" xr:uid="{00000000-0005-0000-0000-0000470D0000}"/>
    <cellStyle name="標準 9 6 2" xfId="3400" xr:uid="{00000000-0005-0000-0000-0000480D0000}"/>
    <cellStyle name="標準 9 6 3" xfId="3401" xr:uid="{00000000-0005-0000-0000-0000490D0000}"/>
    <cellStyle name="標準 9 7" xfId="3402" xr:uid="{00000000-0005-0000-0000-00004A0D0000}"/>
    <cellStyle name="標準 9 7 2" xfId="3403" xr:uid="{00000000-0005-0000-0000-00004B0D0000}"/>
    <cellStyle name="標準 9 7 3" xfId="3404" xr:uid="{00000000-0005-0000-0000-00004C0D0000}"/>
    <cellStyle name="標準 9 8" xfId="3405" xr:uid="{00000000-0005-0000-0000-00004D0D0000}"/>
    <cellStyle name="標準 9 8 2" xfId="3406" xr:uid="{00000000-0005-0000-0000-00004E0D0000}"/>
    <cellStyle name="標準 9 9" xfId="3407" xr:uid="{00000000-0005-0000-0000-00004F0D0000}"/>
    <cellStyle name="標準 9 9 2" xfId="3408" xr:uid="{00000000-0005-0000-0000-0000500D0000}"/>
    <cellStyle name="表見出し" xfId="3409" xr:uid="{00000000-0005-0000-0000-0000530D0000}"/>
    <cellStyle name="品質管理担当者" xfId="3410" xr:uid="{00000000-0005-0000-0000-0000540D0000}"/>
    <cellStyle name="保護バグ数" xfId="3411" xr:uid="{00000000-0005-0000-0000-0000550D0000}"/>
    <cellStyle name="保護項目数" xfId="3412" xr:uid="{00000000-0005-0000-0000-0000560D0000}"/>
    <cellStyle name="未消化項目数" xfId="3413" xr:uid="{00000000-0005-0000-0000-0000570D0000}"/>
    <cellStyle name="未定義" xfId="3414" xr:uid="{00000000-0005-0000-0000-0000580D0000}"/>
    <cellStyle name="未定義 1" xfId="3415" xr:uid="{00000000-0005-0000-0000-0000590D0000}"/>
    <cellStyle name="目次_見出し1" xfId="3416" xr:uid="{00000000-0005-0000-0000-00005A0D0000}"/>
    <cellStyle name="良い 10" xfId="3417" xr:uid="{00000000-0005-0000-0000-00005B0D0000}"/>
    <cellStyle name="良い 2" xfId="3418" xr:uid="{00000000-0005-0000-0000-00005C0D0000}"/>
    <cellStyle name="良い 2 2" xfId="3419" xr:uid="{00000000-0005-0000-0000-00005D0D0000}"/>
    <cellStyle name="良い 2 3" xfId="3420" xr:uid="{00000000-0005-0000-0000-00005E0D0000}"/>
    <cellStyle name="良い 2 4" xfId="3421" xr:uid="{00000000-0005-0000-0000-00005F0D0000}"/>
    <cellStyle name="良い 2 5" xfId="3422" xr:uid="{00000000-0005-0000-0000-0000600D0000}"/>
    <cellStyle name="良い 2 6" xfId="3423" xr:uid="{00000000-0005-0000-0000-0000610D0000}"/>
    <cellStyle name="良い 3" xfId="3424" xr:uid="{00000000-0005-0000-0000-0000620D0000}"/>
    <cellStyle name="良い 3 2" xfId="3425" xr:uid="{00000000-0005-0000-0000-0000630D0000}"/>
    <cellStyle name="良い 3 3" xfId="3426" xr:uid="{00000000-0005-0000-0000-0000640D0000}"/>
    <cellStyle name="良い 3 4" xfId="3427" xr:uid="{00000000-0005-0000-0000-0000650D0000}"/>
    <cellStyle name="良い 3 5" xfId="3428" xr:uid="{00000000-0005-0000-0000-0000660D0000}"/>
    <cellStyle name="良い 3 6" xfId="3429" xr:uid="{00000000-0005-0000-0000-0000670D0000}"/>
    <cellStyle name="良い 4" xfId="3430" xr:uid="{00000000-0005-0000-0000-0000680D0000}"/>
    <cellStyle name="良い 4 2" xfId="3431" xr:uid="{00000000-0005-0000-0000-0000690D0000}"/>
    <cellStyle name="良い 4 3" xfId="3432" xr:uid="{00000000-0005-0000-0000-00006A0D0000}"/>
    <cellStyle name="良い 4 4" xfId="3433" xr:uid="{00000000-0005-0000-0000-00006B0D0000}"/>
    <cellStyle name="良い 4 5" xfId="3434" xr:uid="{00000000-0005-0000-0000-00006C0D0000}"/>
    <cellStyle name="良い 4 6" xfId="3435" xr:uid="{00000000-0005-0000-0000-00006D0D0000}"/>
    <cellStyle name="良い 5" xfId="3436" xr:uid="{00000000-0005-0000-0000-00006E0D0000}"/>
    <cellStyle name="良い 6" xfId="3437" xr:uid="{00000000-0005-0000-0000-00006F0D0000}"/>
    <cellStyle name="良い 7" xfId="3438" xr:uid="{00000000-0005-0000-0000-0000700D0000}"/>
    <cellStyle name="良い 8" xfId="3439" xr:uid="{00000000-0005-0000-0000-0000710D0000}"/>
    <cellStyle name="良い 9" xfId="3440" xr:uid="{00000000-0005-0000-0000-0000720D0000}"/>
    <cellStyle name="표준_Decstar設定値" xfId="3441" xr:uid="{00000000-0005-0000-0000-0000730D0000}"/>
  </cellStyles>
  <dxfs count="0"/>
  <tableStyles count="0" defaultTableStyle="TableStyleMedium2" defaultPivotStyle="PivotStyleLight16"/>
  <colors>
    <mruColors>
      <color rgb="FFC0C0C0"/>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76200</xdr:colOff>
      <xdr:row>4</xdr:row>
      <xdr:rowOff>133350</xdr:rowOff>
    </xdr:from>
    <xdr:to>
      <xdr:col>15</xdr:col>
      <xdr:colOff>542925</xdr:colOff>
      <xdr:row>47</xdr:row>
      <xdr:rowOff>161925</xdr:rowOff>
    </xdr:to>
    <xdr:pic>
      <xdr:nvPicPr>
        <xdr:cNvPr id="3438" name="図 1">
          <a:extLst>
            <a:ext uri="{FF2B5EF4-FFF2-40B4-BE49-F238E27FC236}">
              <a16:creationId xmlns:a16="http://schemas.microsoft.com/office/drawing/2014/main" id="{00000000-0008-0000-0300-00006E0D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885825"/>
          <a:ext cx="10067925" cy="7400925"/>
        </a:xfrm>
        <a:prstGeom prst="rect">
          <a:avLst/>
        </a:prstGeom>
        <a:noFill/>
        <a:ln w="9525">
          <a:solidFill>
            <a:srgbClr val="4F81BD"/>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238125</xdr:colOff>
      <xdr:row>27</xdr:row>
      <xdr:rowOff>9525</xdr:rowOff>
    </xdr:from>
    <xdr:to>
      <xdr:col>12</xdr:col>
      <xdr:colOff>400050</xdr:colOff>
      <xdr:row>31</xdr:row>
      <xdr:rowOff>19050</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923925" y="4705350"/>
          <a:ext cx="7705725" cy="695325"/>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endParaRPr lang="ja-JP" altLang="en-US"/>
        </a:p>
      </xdr:txBody>
    </xdr:sp>
    <xdr:clientData/>
  </xdr:twoCellAnchor>
  <xdr:twoCellAnchor>
    <xdr:from>
      <xdr:col>16</xdr:col>
      <xdr:colOff>66675</xdr:colOff>
      <xdr:row>20</xdr:row>
      <xdr:rowOff>85725</xdr:rowOff>
    </xdr:from>
    <xdr:to>
      <xdr:col>21</xdr:col>
      <xdr:colOff>114300</xdr:colOff>
      <xdr:row>25</xdr:row>
      <xdr:rowOff>28575</xdr:rowOff>
    </xdr:to>
    <xdr:sp macro="" textlink="">
      <xdr:nvSpPr>
        <xdr:cNvPr id="4" name="線吹き出し 2 (枠付き) 3">
          <a:extLst>
            <a:ext uri="{FF2B5EF4-FFF2-40B4-BE49-F238E27FC236}">
              <a16:creationId xmlns:a16="http://schemas.microsoft.com/office/drawing/2014/main" id="{00000000-0008-0000-0300-000004000000}"/>
            </a:ext>
          </a:extLst>
        </xdr:cNvPr>
        <xdr:cNvSpPr/>
      </xdr:nvSpPr>
      <xdr:spPr>
        <a:xfrm>
          <a:off x="11039475" y="3581400"/>
          <a:ext cx="3476625" cy="800100"/>
        </a:xfrm>
        <a:prstGeom prst="borderCallout2">
          <a:avLst>
            <a:gd name="adj1" fmla="val 18750"/>
            <a:gd name="adj2" fmla="val -8333"/>
            <a:gd name="adj3" fmla="val 18750"/>
            <a:gd name="adj4" fmla="val -16667"/>
            <a:gd name="adj5" fmla="val 160119"/>
            <a:gd name="adj6" fmla="val -69021"/>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tycan_awake(AppAwake</a:t>
          </a:r>
          <a:r>
            <a:rPr kumimoji="1" lang="ja-JP" altLang="en-US" sz="1100"/>
            <a:t>の</a:t>
          </a:r>
          <a:r>
            <a:rPr kumimoji="1" lang="en-US" altLang="ja-JP" sz="1100"/>
            <a:t>Wakeup</a:t>
          </a:r>
          <a:r>
            <a:rPr kumimoji="1" lang="ja-JP" altLang="en-US" sz="1100"/>
            <a:t>要求として実現する</a:t>
          </a:r>
          <a:r>
            <a:rPr kumimoji="1" lang="en-US" altLang="ja-JP" sz="1100"/>
            <a:t>)</a:t>
          </a:r>
          <a:endParaRPr kumimoji="1" lang="ja-JP" altLang="en-US" sz="1100"/>
        </a:p>
      </xdr:txBody>
    </xdr:sp>
    <xdr:clientData/>
  </xdr:twoCellAnchor>
  <xdr:twoCellAnchor>
    <xdr:from>
      <xdr:col>1</xdr:col>
      <xdr:colOff>285751</xdr:colOff>
      <xdr:row>43</xdr:row>
      <xdr:rowOff>142875</xdr:rowOff>
    </xdr:from>
    <xdr:to>
      <xdr:col>9</xdr:col>
      <xdr:colOff>361951</xdr:colOff>
      <xdr:row>46</xdr:row>
      <xdr:rowOff>57150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971551" y="7581900"/>
          <a:ext cx="5562600" cy="428625"/>
        </a:xfrm>
        <a:prstGeom prst="rect">
          <a:avLst/>
        </a:prstGeom>
        <a:no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endParaRPr lang="ja-JP" altLang="en-US"/>
        </a:p>
      </xdr:txBody>
    </xdr:sp>
    <xdr:clientData/>
  </xdr:twoCellAnchor>
  <xdr:twoCellAnchor>
    <xdr:from>
      <xdr:col>16</xdr:col>
      <xdr:colOff>38100</xdr:colOff>
      <xdr:row>35</xdr:row>
      <xdr:rowOff>85725</xdr:rowOff>
    </xdr:from>
    <xdr:to>
      <xdr:col>21</xdr:col>
      <xdr:colOff>85725</xdr:colOff>
      <xdr:row>40</xdr:row>
      <xdr:rowOff>28575</xdr:rowOff>
    </xdr:to>
    <xdr:sp macro="" textlink="">
      <xdr:nvSpPr>
        <xdr:cNvPr id="6" name="線吹き出し 2 (枠付き) 5">
          <a:extLst>
            <a:ext uri="{FF2B5EF4-FFF2-40B4-BE49-F238E27FC236}">
              <a16:creationId xmlns:a16="http://schemas.microsoft.com/office/drawing/2014/main" id="{00000000-0008-0000-0300-000006000000}"/>
            </a:ext>
          </a:extLst>
        </xdr:cNvPr>
        <xdr:cNvSpPr/>
      </xdr:nvSpPr>
      <xdr:spPr>
        <a:xfrm>
          <a:off x="11010900" y="6153150"/>
          <a:ext cx="3476625" cy="800100"/>
        </a:xfrm>
        <a:prstGeom prst="borderCallout2">
          <a:avLst>
            <a:gd name="adj1" fmla="val 18750"/>
            <a:gd name="adj2" fmla="val -8333"/>
            <a:gd name="adj3" fmla="val 18750"/>
            <a:gd name="adj4" fmla="val -16667"/>
            <a:gd name="adj5" fmla="val 191071"/>
            <a:gd name="adj6" fmla="val -128747"/>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en-US" altLang="ja-JP" sz="1100"/>
            <a:t>tycan_awake(AppAwake</a:t>
          </a:r>
          <a:r>
            <a:rPr kumimoji="1" lang="ja-JP" altLang="en-US" sz="1100"/>
            <a:t>のスリープ</a:t>
          </a:r>
          <a:r>
            <a:rPr kumimoji="1" lang="en-US" altLang="ja-JP" sz="1100"/>
            <a:t>NG</a:t>
          </a:r>
          <a:r>
            <a:rPr kumimoji="1" lang="ja-JP" altLang="en-US" sz="1100"/>
            <a:t>中として実現する</a:t>
          </a:r>
          <a:r>
            <a:rPr kumimoji="1" lang="en-US" altLang="ja-JP" sz="1100"/>
            <a:t>)</a:t>
          </a: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133350</xdr:colOff>
      <xdr:row>9</xdr:row>
      <xdr:rowOff>161924</xdr:rowOff>
    </xdr:from>
    <xdr:to>
      <xdr:col>17</xdr:col>
      <xdr:colOff>581025</xdr:colOff>
      <xdr:row>27</xdr:row>
      <xdr:rowOff>171449</xdr:rowOff>
    </xdr:to>
    <xdr:sp macro="" textlink="">
      <xdr:nvSpPr>
        <xdr:cNvPr id="2" name="角丸四角形 1">
          <a:extLst>
            <a:ext uri="{FF2B5EF4-FFF2-40B4-BE49-F238E27FC236}">
              <a16:creationId xmlns:a16="http://schemas.microsoft.com/office/drawing/2014/main" id="{00000000-0008-0000-0400-000002000000}"/>
            </a:ext>
          </a:extLst>
        </xdr:cNvPr>
        <xdr:cNvSpPr/>
      </xdr:nvSpPr>
      <xdr:spPr>
        <a:xfrm>
          <a:off x="2190750" y="1704974"/>
          <a:ext cx="8677275" cy="3438525"/>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kumimoji="1" lang="ja-JP" altLang="en-US" sz="1100"/>
            <a:t>バススリープ</a:t>
          </a:r>
        </a:p>
      </xdr:txBody>
    </xdr:sp>
    <xdr:clientData/>
  </xdr:twoCellAnchor>
  <xdr:twoCellAnchor>
    <xdr:from>
      <xdr:col>5</xdr:col>
      <xdr:colOff>133350</xdr:colOff>
      <xdr:row>34</xdr:row>
      <xdr:rowOff>19050</xdr:rowOff>
    </xdr:from>
    <xdr:to>
      <xdr:col>17</xdr:col>
      <xdr:colOff>581025</xdr:colOff>
      <xdr:row>47</xdr:row>
      <xdr:rowOff>76200</xdr:rowOff>
    </xdr:to>
    <xdr:sp macro="" textlink="">
      <xdr:nvSpPr>
        <xdr:cNvPr id="3" name="角丸四角形 2">
          <a:extLst>
            <a:ext uri="{FF2B5EF4-FFF2-40B4-BE49-F238E27FC236}">
              <a16:creationId xmlns:a16="http://schemas.microsoft.com/office/drawing/2014/main" id="{00000000-0008-0000-0400-000003000000}"/>
            </a:ext>
          </a:extLst>
        </xdr:cNvPr>
        <xdr:cNvSpPr/>
      </xdr:nvSpPr>
      <xdr:spPr>
        <a:xfrm>
          <a:off x="2190750" y="6191250"/>
          <a:ext cx="8677275" cy="348615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ja-JP" altLang="en-US" sz="1100"/>
            <a:t>バスウェイクアップ</a:t>
          </a:r>
        </a:p>
      </xdr:txBody>
    </xdr:sp>
    <xdr:clientData/>
  </xdr:twoCellAnchor>
  <xdr:twoCellAnchor>
    <xdr:from>
      <xdr:col>5</xdr:col>
      <xdr:colOff>571501</xdr:colOff>
      <xdr:row>13</xdr:row>
      <xdr:rowOff>76201</xdr:rowOff>
    </xdr:from>
    <xdr:to>
      <xdr:col>9</xdr:col>
      <xdr:colOff>0</xdr:colOff>
      <xdr:row>25</xdr:row>
      <xdr:rowOff>76201</xdr:rowOff>
    </xdr:to>
    <xdr:sp macro="" textlink="">
      <xdr:nvSpPr>
        <xdr:cNvPr id="5" name="角丸四角形 4">
          <a:extLst>
            <a:ext uri="{FF2B5EF4-FFF2-40B4-BE49-F238E27FC236}">
              <a16:creationId xmlns:a16="http://schemas.microsoft.com/office/drawing/2014/main" id="{00000000-0008-0000-0400-000005000000}"/>
            </a:ext>
          </a:extLst>
        </xdr:cNvPr>
        <xdr:cNvSpPr/>
      </xdr:nvSpPr>
      <xdr:spPr>
        <a:xfrm>
          <a:off x="2628901" y="2305051"/>
          <a:ext cx="2171699" cy="24003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AppAwake</a:t>
          </a:r>
          <a:r>
            <a:rPr kumimoji="1" lang="ja-JP" altLang="en-US" sz="1100"/>
            <a:t>要求待ち受け</a:t>
          </a:r>
          <a:endParaRPr kumimoji="1" lang="ja-JP" altLang="en-US" sz="1050"/>
        </a:p>
      </xdr:txBody>
    </xdr:sp>
    <xdr:clientData/>
  </xdr:twoCellAnchor>
  <xdr:twoCellAnchor>
    <xdr:from>
      <xdr:col>14</xdr:col>
      <xdr:colOff>19050</xdr:colOff>
      <xdr:row>13</xdr:row>
      <xdr:rowOff>95250</xdr:rowOff>
    </xdr:from>
    <xdr:to>
      <xdr:col>16</xdr:col>
      <xdr:colOff>600076</xdr:colOff>
      <xdr:row>25</xdr:row>
      <xdr:rowOff>95250</xdr:rowOff>
    </xdr:to>
    <xdr:sp macro="" textlink="">
      <xdr:nvSpPr>
        <xdr:cNvPr id="6" name="角丸四角形 5">
          <a:extLst>
            <a:ext uri="{FF2B5EF4-FFF2-40B4-BE49-F238E27FC236}">
              <a16:creationId xmlns:a16="http://schemas.microsoft.com/office/drawing/2014/main" id="{00000000-0008-0000-0400-000006000000}"/>
            </a:ext>
          </a:extLst>
        </xdr:cNvPr>
        <xdr:cNvSpPr/>
      </xdr:nvSpPr>
      <xdr:spPr>
        <a:xfrm>
          <a:off x="8248650" y="2324100"/>
          <a:ext cx="1952626" cy="2400300"/>
        </a:xfrm>
        <a:prstGeom prst="roundRect">
          <a:avLst/>
        </a:prstGeom>
        <a:solidFill>
          <a:srgbClr val="FFCCFF"/>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AppAwake</a:t>
          </a:r>
          <a:r>
            <a:rPr kumimoji="1" lang="ja-JP" altLang="en-US" sz="1100"/>
            <a:t>要求中</a:t>
          </a:r>
          <a:endParaRPr kumimoji="1" lang="en-US" altLang="ja-JP" sz="1100"/>
        </a:p>
        <a:p>
          <a:pPr algn="l"/>
          <a:r>
            <a:rPr kumimoji="1" lang="en-US" altLang="ja-JP" sz="1100"/>
            <a:t>※1</a:t>
          </a:r>
          <a:r>
            <a:rPr kumimoji="1" lang="ja-JP" altLang="en-US" sz="1100"/>
            <a:t>つ以上の</a:t>
          </a:r>
          <a:r>
            <a:rPr kumimoji="1" lang="en-US" altLang="ja-JP" sz="1100"/>
            <a:t>AppAwake</a:t>
          </a:r>
          <a:r>
            <a:rPr kumimoji="1" lang="ja-JP" altLang="en-US" sz="1100"/>
            <a:t>要求あり</a:t>
          </a:r>
          <a:endParaRPr kumimoji="1" lang="en-US" altLang="ja-JP" sz="1100"/>
        </a:p>
      </xdr:txBody>
    </xdr:sp>
    <xdr:clientData/>
  </xdr:twoCellAnchor>
  <xdr:twoCellAnchor>
    <xdr:from>
      <xdr:col>5</xdr:col>
      <xdr:colOff>571501</xdr:colOff>
      <xdr:row>39</xdr:row>
      <xdr:rowOff>66675</xdr:rowOff>
    </xdr:from>
    <xdr:to>
      <xdr:col>9</xdr:col>
      <xdr:colOff>0</xdr:colOff>
      <xdr:row>43</xdr:row>
      <xdr:rowOff>133350</xdr:rowOff>
    </xdr:to>
    <xdr:sp macro="" textlink="">
      <xdr:nvSpPr>
        <xdr:cNvPr id="7" name="角丸四角形 6">
          <a:extLst>
            <a:ext uri="{FF2B5EF4-FFF2-40B4-BE49-F238E27FC236}">
              <a16:creationId xmlns:a16="http://schemas.microsoft.com/office/drawing/2014/main" id="{00000000-0008-0000-0400-000007000000}"/>
            </a:ext>
          </a:extLst>
        </xdr:cNvPr>
        <xdr:cNvSpPr/>
      </xdr:nvSpPr>
      <xdr:spPr>
        <a:xfrm>
          <a:off x="2628901" y="7096125"/>
          <a:ext cx="2171699" cy="75247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AppSleepOK</a:t>
          </a:r>
          <a:endParaRPr kumimoji="1" lang="ja-JP" altLang="en-US" sz="1100"/>
        </a:p>
      </xdr:txBody>
    </xdr:sp>
    <xdr:clientData/>
  </xdr:twoCellAnchor>
  <xdr:twoCellAnchor>
    <xdr:from>
      <xdr:col>14</xdr:col>
      <xdr:colOff>0</xdr:colOff>
      <xdr:row>39</xdr:row>
      <xdr:rowOff>57150</xdr:rowOff>
    </xdr:from>
    <xdr:to>
      <xdr:col>16</xdr:col>
      <xdr:colOff>619126</xdr:colOff>
      <xdr:row>43</xdr:row>
      <xdr:rowOff>123825</xdr:rowOff>
    </xdr:to>
    <xdr:sp macro="" textlink="">
      <xdr:nvSpPr>
        <xdr:cNvPr id="8" name="角丸四角形 7">
          <a:extLst>
            <a:ext uri="{FF2B5EF4-FFF2-40B4-BE49-F238E27FC236}">
              <a16:creationId xmlns:a16="http://schemas.microsoft.com/office/drawing/2014/main" id="{00000000-0008-0000-0400-000008000000}"/>
            </a:ext>
          </a:extLst>
        </xdr:cNvPr>
        <xdr:cNvSpPr/>
      </xdr:nvSpPr>
      <xdr:spPr>
        <a:xfrm>
          <a:off x="8229600" y="7086600"/>
          <a:ext cx="1990726" cy="752475"/>
        </a:xfrm>
        <a:prstGeom prst="roundRect">
          <a:avLst/>
        </a:prstGeom>
        <a:solidFill>
          <a:srgbClr val="FFCCFF"/>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AppSleepNG</a:t>
          </a:r>
        </a:p>
      </xdr:txBody>
    </xdr:sp>
    <xdr:clientData/>
  </xdr:twoCellAnchor>
  <xdr:twoCellAnchor>
    <xdr:from>
      <xdr:col>9</xdr:col>
      <xdr:colOff>0</xdr:colOff>
      <xdr:row>40</xdr:row>
      <xdr:rowOff>71438</xdr:rowOff>
    </xdr:from>
    <xdr:to>
      <xdr:col>14</xdr:col>
      <xdr:colOff>0</xdr:colOff>
      <xdr:row>40</xdr:row>
      <xdr:rowOff>80963</xdr:rowOff>
    </xdr:to>
    <xdr:cxnSp macro="">
      <xdr:nvCxnSpPr>
        <xdr:cNvPr id="12" name="曲線コネクタ 11">
          <a:extLst>
            <a:ext uri="{FF2B5EF4-FFF2-40B4-BE49-F238E27FC236}">
              <a16:creationId xmlns:a16="http://schemas.microsoft.com/office/drawing/2014/main" id="{00000000-0008-0000-0400-00000C000000}"/>
            </a:ext>
          </a:extLst>
        </xdr:cNvPr>
        <xdr:cNvCxnSpPr/>
      </xdr:nvCxnSpPr>
      <xdr:spPr>
        <a:xfrm flipV="1">
          <a:off x="4800600" y="7272338"/>
          <a:ext cx="3429000" cy="9525"/>
        </a:xfrm>
        <a:prstGeom prst="curved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417513</xdr:colOff>
      <xdr:row>25</xdr:row>
      <xdr:rowOff>101600</xdr:rowOff>
    </xdr:from>
    <xdr:to>
      <xdr:col>15</xdr:col>
      <xdr:colOff>430213</xdr:colOff>
      <xdr:row>39</xdr:row>
      <xdr:rowOff>63500</xdr:rowOff>
    </xdr:to>
    <xdr:cxnSp macro="">
      <xdr:nvCxnSpPr>
        <xdr:cNvPr id="14" name="曲線コネクタ 13">
          <a:extLst>
            <a:ext uri="{FF2B5EF4-FFF2-40B4-BE49-F238E27FC236}">
              <a16:creationId xmlns:a16="http://schemas.microsoft.com/office/drawing/2014/main" id="{00000000-0008-0000-0400-00000E000000}"/>
            </a:ext>
          </a:extLst>
        </xdr:cNvPr>
        <xdr:cNvCxnSpPr/>
      </xdr:nvCxnSpPr>
      <xdr:spPr>
        <a:xfrm rot="5400000">
          <a:off x="8158163" y="5562600"/>
          <a:ext cx="2362200" cy="12700"/>
        </a:xfrm>
        <a:prstGeom prst="curved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184151</xdr:colOff>
      <xdr:row>25</xdr:row>
      <xdr:rowOff>82551</xdr:rowOff>
    </xdr:from>
    <xdr:to>
      <xdr:col>7</xdr:col>
      <xdr:colOff>196851</xdr:colOff>
      <xdr:row>39</xdr:row>
      <xdr:rowOff>73025</xdr:rowOff>
    </xdr:to>
    <xdr:cxnSp macro="">
      <xdr:nvCxnSpPr>
        <xdr:cNvPr id="17" name="曲線コネクタ 16">
          <a:extLst>
            <a:ext uri="{FF2B5EF4-FFF2-40B4-BE49-F238E27FC236}">
              <a16:creationId xmlns:a16="http://schemas.microsoft.com/office/drawing/2014/main" id="{00000000-0008-0000-0400-000011000000}"/>
            </a:ext>
          </a:extLst>
        </xdr:cNvPr>
        <xdr:cNvCxnSpPr/>
      </xdr:nvCxnSpPr>
      <xdr:spPr>
        <a:xfrm rot="5400000">
          <a:off x="2424114" y="5557838"/>
          <a:ext cx="2390774" cy="12700"/>
        </a:xfrm>
        <a:prstGeom prst="curved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152400</xdr:colOff>
      <xdr:row>29</xdr:row>
      <xdr:rowOff>104775</xdr:rowOff>
    </xdr:from>
    <xdr:ext cx="2394245" cy="459100"/>
    <xdr:sp macro="" textlink="">
      <xdr:nvSpPr>
        <xdr:cNvPr id="18" name="テキスト ボックス 17">
          <a:extLst>
            <a:ext uri="{FF2B5EF4-FFF2-40B4-BE49-F238E27FC236}">
              <a16:creationId xmlns:a16="http://schemas.microsoft.com/office/drawing/2014/main" id="{00000000-0008-0000-0400-000012000000}"/>
            </a:ext>
          </a:extLst>
        </xdr:cNvPr>
        <xdr:cNvSpPr txBox="1"/>
      </xdr:nvSpPr>
      <xdr:spPr>
        <a:xfrm>
          <a:off x="3554186" y="5234668"/>
          <a:ext cx="2394245" cy="459100"/>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ysClr val="windowText" lastClr="000000"/>
              </a:solidFill>
              <a:effectLst/>
              <a:latin typeface="+mn-lt"/>
              <a:ea typeface="+mn-ea"/>
              <a:cs typeface="+mn-cs"/>
            </a:rPr>
            <a:t>CanNm</a:t>
          </a:r>
          <a:r>
            <a:rPr kumimoji="1" lang="ja-JP" altLang="en-US" sz="1100">
              <a:solidFill>
                <a:sysClr val="windowText" lastClr="000000"/>
              </a:solidFill>
            </a:rPr>
            <a:t>通常</a:t>
          </a:r>
          <a:r>
            <a:rPr kumimoji="1" lang="en-US" altLang="ja-JP" sz="1100" baseline="0">
              <a:solidFill>
                <a:sysClr val="windowText" lastClr="000000"/>
              </a:solidFill>
            </a:rPr>
            <a:t>  and   </a:t>
          </a:r>
          <a:r>
            <a:rPr kumimoji="1" lang="en-US" altLang="ja-JP" sz="1100">
              <a:solidFill>
                <a:sysClr val="windowText" lastClr="000000"/>
              </a:solidFill>
            </a:rPr>
            <a:t>AppAwake</a:t>
          </a:r>
          <a:r>
            <a:rPr kumimoji="1" lang="ja-JP" altLang="en-US" sz="1100">
              <a:solidFill>
                <a:sysClr val="windowText" lastClr="000000"/>
              </a:solidFill>
            </a:rPr>
            <a:t>要求なし</a:t>
          </a:r>
          <a:endParaRPr kumimoji="1" lang="en-US" altLang="ja-JP" sz="1100">
            <a:solidFill>
              <a:sysClr val="windowText" lastClr="000000"/>
            </a:solidFill>
          </a:endParaRPr>
        </a:p>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rgbClr val="FF0000"/>
              </a:solidFill>
              <a:effectLst/>
              <a:latin typeface="+mn-lt"/>
              <a:ea typeface="+mn-ea"/>
              <a:cs typeface="+mn-cs"/>
            </a:rPr>
            <a:t>/AppSleepNG</a:t>
          </a:r>
          <a:r>
            <a:rPr kumimoji="1" lang="ja-JP" altLang="ja-JP" sz="1100">
              <a:solidFill>
                <a:srgbClr val="FF0000"/>
              </a:solidFill>
              <a:effectLst/>
              <a:latin typeface="+mn-lt"/>
              <a:ea typeface="+mn-ea"/>
              <a:cs typeface="+mn-cs"/>
            </a:rPr>
            <a:t>タイマリセット</a:t>
          </a:r>
          <a:endParaRPr lang="ja-JP" altLang="ja-JP">
            <a:solidFill>
              <a:srgbClr val="FF0000"/>
            </a:solidFill>
            <a:effectLst/>
          </a:endParaRPr>
        </a:p>
      </xdr:txBody>
    </xdr:sp>
    <xdr:clientData/>
  </xdr:oneCellAnchor>
  <xdr:twoCellAnchor>
    <xdr:from>
      <xdr:col>7</xdr:col>
      <xdr:colOff>285752</xdr:colOff>
      <xdr:row>25</xdr:row>
      <xdr:rowOff>76200</xdr:rowOff>
    </xdr:from>
    <xdr:to>
      <xdr:col>15</xdr:col>
      <xdr:colOff>309564</xdr:colOff>
      <xdr:row>39</xdr:row>
      <xdr:rowOff>57149</xdr:rowOff>
    </xdr:to>
    <xdr:cxnSp macro="">
      <xdr:nvCxnSpPr>
        <xdr:cNvPr id="21" name="曲線コネクタ 20">
          <a:extLst>
            <a:ext uri="{FF2B5EF4-FFF2-40B4-BE49-F238E27FC236}">
              <a16:creationId xmlns:a16="http://schemas.microsoft.com/office/drawing/2014/main" id="{00000000-0008-0000-0400-000015000000}"/>
            </a:ext>
          </a:extLst>
        </xdr:cNvPr>
        <xdr:cNvCxnSpPr>
          <a:stCxn id="5" idx="2"/>
          <a:endCxn id="8" idx="0"/>
        </xdr:cNvCxnSpPr>
      </xdr:nvCxnSpPr>
      <xdr:spPr>
        <a:xfrm rot="16200000" flipH="1">
          <a:off x="5279233" y="3140869"/>
          <a:ext cx="2381249" cy="5510212"/>
        </a:xfrm>
        <a:prstGeom prst="curvedConnector3">
          <a:avLst>
            <a:gd name="adj1" fmla="val 408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504825</xdr:colOff>
      <xdr:row>32</xdr:row>
      <xdr:rowOff>114300</xdr:rowOff>
    </xdr:from>
    <xdr:ext cx="2435410" cy="459100"/>
    <xdr:sp macro="" textlink="">
      <xdr:nvSpPr>
        <xdr:cNvPr id="22" name="テキスト ボックス 21">
          <a:extLst>
            <a:ext uri="{FF2B5EF4-FFF2-40B4-BE49-F238E27FC236}">
              <a16:creationId xmlns:a16="http://schemas.microsoft.com/office/drawing/2014/main" id="{00000000-0008-0000-0400-000016000000}"/>
            </a:ext>
          </a:extLst>
        </xdr:cNvPr>
        <xdr:cNvSpPr txBox="1"/>
      </xdr:nvSpPr>
      <xdr:spPr>
        <a:xfrm>
          <a:off x="7988754" y="5774871"/>
          <a:ext cx="2435410" cy="459100"/>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ysClr val="windowText" lastClr="000000"/>
              </a:solidFill>
              <a:effectLst/>
              <a:latin typeface="+mn-lt"/>
              <a:ea typeface="+mn-ea"/>
              <a:cs typeface="+mn-cs"/>
            </a:rPr>
            <a:t>CanNm</a:t>
          </a:r>
          <a:r>
            <a:rPr kumimoji="1" lang="en-US" altLang="ja-JP" sz="1100">
              <a:solidFill>
                <a:sysClr val="windowText" lastClr="000000"/>
              </a:solidFill>
            </a:rPr>
            <a:t>=</a:t>
          </a:r>
          <a:r>
            <a:rPr kumimoji="1" lang="ja-JP" altLang="en-US" sz="1100">
              <a:solidFill>
                <a:sysClr val="windowText" lastClr="000000"/>
              </a:solidFill>
            </a:rPr>
            <a:t>通常</a:t>
          </a:r>
          <a:r>
            <a:rPr kumimoji="1" lang="en-US" altLang="ja-JP" sz="1100" baseline="0">
              <a:solidFill>
                <a:sysClr val="windowText" lastClr="000000"/>
              </a:solidFill>
            </a:rPr>
            <a:t>  and  </a:t>
          </a:r>
          <a:r>
            <a:rPr kumimoji="1" lang="en-US" altLang="ja-JP" sz="1100">
              <a:solidFill>
                <a:sysClr val="windowText" lastClr="000000"/>
              </a:solidFill>
            </a:rPr>
            <a:t>AppAwake</a:t>
          </a:r>
          <a:r>
            <a:rPr kumimoji="1" lang="ja-JP" altLang="en-US" sz="1100">
              <a:solidFill>
                <a:sysClr val="windowText" lastClr="000000"/>
              </a:solidFill>
            </a:rPr>
            <a:t>要求あり</a:t>
          </a:r>
          <a:br>
            <a:rPr kumimoji="1" lang="en-US" altLang="ja-JP" sz="1100">
              <a:solidFill>
                <a:schemeClr val="accent1">
                  <a:lumMod val="75000"/>
                </a:schemeClr>
              </a:solidFill>
            </a:rPr>
          </a:br>
          <a:r>
            <a:rPr kumimoji="1" lang="en-US" altLang="ja-JP" sz="1100">
              <a:solidFill>
                <a:srgbClr val="FF0000"/>
              </a:solidFill>
            </a:rPr>
            <a:t>/AppSleepNG</a:t>
          </a:r>
          <a:r>
            <a:rPr kumimoji="1" lang="ja-JP" altLang="en-US" sz="1100">
              <a:solidFill>
                <a:srgbClr val="FF0000"/>
              </a:solidFill>
            </a:rPr>
            <a:t>タイマリセット</a:t>
          </a:r>
          <a:endParaRPr kumimoji="1" lang="en-US" altLang="ja-JP" sz="1100">
            <a:solidFill>
              <a:srgbClr val="FF0000"/>
            </a:solidFill>
          </a:endParaRPr>
        </a:p>
      </xdr:txBody>
    </xdr:sp>
    <xdr:clientData/>
  </xdr:oneCellAnchor>
  <xdr:oneCellAnchor>
    <xdr:from>
      <xdr:col>15</xdr:col>
      <xdr:colOff>180975</xdr:colOff>
      <xdr:row>29</xdr:row>
      <xdr:rowOff>123825</xdr:rowOff>
    </xdr:from>
    <xdr:ext cx="2435410" cy="459100"/>
    <xdr:sp macro="" textlink="">
      <xdr:nvSpPr>
        <xdr:cNvPr id="24" name="テキスト ボックス 23">
          <a:extLst>
            <a:ext uri="{FF2B5EF4-FFF2-40B4-BE49-F238E27FC236}">
              <a16:creationId xmlns:a16="http://schemas.microsoft.com/office/drawing/2014/main" id="{00000000-0008-0000-0400-000018000000}"/>
            </a:ext>
          </a:extLst>
        </xdr:cNvPr>
        <xdr:cNvSpPr txBox="1"/>
      </xdr:nvSpPr>
      <xdr:spPr>
        <a:xfrm>
          <a:off x="10386332" y="5253718"/>
          <a:ext cx="2435410" cy="459100"/>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ysClr val="windowText" lastClr="000000"/>
              </a:solidFill>
              <a:effectLst/>
              <a:latin typeface="+mn-lt"/>
              <a:ea typeface="+mn-ea"/>
              <a:cs typeface="+mn-cs"/>
            </a:rPr>
            <a:t>CanNm</a:t>
          </a:r>
          <a:r>
            <a:rPr kumimoji="1" lang="en-US" altLang="ja-JP" sz="1100">
              <a:solidFill>
                <a:sysClr val="windowText" lastClr="000000"/>
              </a:solidFill>
            </a:rPr>
            <a:t>=</a:t>
          </a:r>
          <a:r>
            <a:rPr kumimoji="1" lang="ja-JP" altLang="en-US" sz="1100">
              <a:solidFill>
                <a:sysClr val="windowText" lastClr="000000"/>
              </a:solidFill>
            </a:rPr>
            <a:t>通常</a:t>
          </a:r>
          <a:r>
            <a:rPr kumimoji="1" lang="en-US" altLang="ja-JP" sz="1100" baseline="0">
              <a:solidFill>
                <a:sysClr val="windowText" lastClr="000000"/>
              </a:solidFill>
            </a:rPr>
            <a:t>  and  </a:t>
          </a:r>
          <a:r>
            <a:rPr kumimoji="1" lang="en-US" altLang="ja-JP" sz="1100">
              <a:solidFill>
                <a:sysClr val="windowText" lastClr="000000"/>
              </a:solidFill>
            </a:rPr>
            <a:t>AppAwake</a:t>
          </a:r>
          <a:r>
            <a:rPr kumimoji="1" lang="ja-JP" altLang="en-US" sz="1100">
              <a:solidFill>
                <a:sysClr val="windowText" lastClr="000000"/>
              </a:solidFill>
            </a:rPr>
            <a:t>要求あり</a:t>
          </a:r>
          <a:br>
            <a:rPr kumimoji="1" lang="en-US" altLang="ja-JP" sz="1100">
              <a:solidFill>
                <a:schemeClr val="accent1">
                  <a:lumMod val="75000"/>
                </a:schemeClr>
              </a:solidFill>
            </a:rPr>
          </a:br>
          <a:r>
            <a:rPr kumimoji="1" lang="en-US" altLang="ja-JP" sz="1100">
              <a:solidFill>
                <a:srgbClr val="FF0000"/>
              </a:solidFill>
            </a:rPr>
            <a:t>/AppSleepNG</a:t>
          </a:r>
          <a:r>
            <a:rPr kumimoji="1" lang="ja-JP" altLang="en-US" sz="1100">
              <a:solidFill>
                <a:srgbClr val="FF0000"/>
              </a:solidFill>
            </a:rPr>
            <a:t>タイマリセット</a:t>
          </a:r>
        </a:p>
      </xdr:txBody>
    </xdr:sp>
    <xdr:clientData/>
  </xdr:oneCellAnchor>
  <xdr:twoCellAnchor>
    <xdr:from>
      <xdr:col>7</xdr:col>
      <xdr:colOff>285752</xdr:colOff>
      <xdr:row>25</xdr:row>
      <xdr:rowOff>95249</xdr:rowOff>
    </xdr:from>
    <xdr:to>
      <xdr:col>15</xdr:col>
      <xdr:colOff>309564</xdr:colOff>
      <xdr:row>39</xdr:row>
      <xdr:rowOff>66674</xdr:rowOff>
    </xdr:to>
    <xdr:cxnSp macro="">
      <xdr:nvCxnSpPr>
        <xdr:cNvPr id="25" name="曲線コネクタ 24">
          <a:extLst>
            <a:ext uri="{FF2B5EF4-FFF2-40B4-BE49-F238E27FC236}">
              <a16:creationId xmlns:a16="http://schemas.microsoft.com/office/drawing/2014/main" id="{00000000-0008-0000-0400-000019000000}"/>
            </a:ext>
          </a:extLst>
        </xdr:cNvPr>
        <xdr:cNvCxnSpPr>
          <a:stCxn id="6" idx="2"/>
          <a:endCxn id="7" idx="0"/>
        </xdr:cNvCxnSpPr>
      </xdr:nvCxnSpPr>
      <xdr:spPr>
        <a:xfrm rot="5400000">
          <a:off x="5283995" y="2812256"/>
          <a:ext cx="2371725" cy="5510212"/>
        </a:xfrm>
        <a:prstGeom prst="curvedConnector3">
          <a:avLst>
            <a:gd name="adj1" fmla="val 3996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457200</xdr:colOff>
      <xdr:row>32</xdr:row>
      <xdr:rowOff>114300</xdr:rowOff>
    </xdr:from>
    <xdr:ext cx="2298899" cy="459100"/>
    <xdr:sp macro="" textlink="">
      <xdr:nvSpPr>
        <xdr:cNvPr id="26" name="テキスト ボックス 25">
          <a:extLst>
            <a:ext uri="{FF2B5EF4-FFF2-40B4-BE49-F238E27FC236}">
              <a16:creationId xmlns:a16="http://schemas.microsoft.com/office/drawing/2014/main" id="{00000000-0008-0000-0400-00001A000000}"/>
            </a:ext>
          </a:extLst>
        </xdr:cNvPr>
        <xdr:cNvSpPr txBox="1"/>
      </xdr:nvSpPr>
      <xdr:spPr>
        <a:xfrm>
          <a:off x="5257800" y="5600700"/>
          <a:ext cx="2298899" cy="459100"/>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rPr>
            <a:t>CNM=</a:t>
          </a:r>
          <a:r>
            <a:rPr kumimoji="1" lang="ja-JP" altLang="en-US" sz="1100">
              <a:solidFill>
                <a:sysClr val="windowText" lastClr="000000"/>
              </a:solidFill>
            </a:rPr>
            <a:t>通常  </a:t>
          </a:r>
          <a:r>
            <a:rPr kumimoji="1" lang="en-US" altLang="ja-JP" sz="1100">
              <a:solidFill>
                <a:sysClr val="windowText" lastClr="000000"/>
              </a:solidFill>
            </a:rPr>
            <a:t>and  AppAwake</a:t>
          </a:r>
          <a:r>
            <a:rPr kumimoji="1" lang="ja-JP" altLang="en-US" sz="1100">
              <a:solidFill>
                <a:sysClr val="windowText" lastClr="000000"/>
              </a:solidFill>
            </a:rPr>
            <a:t>要求なし</a:t>
          </a:r>
          <a:br>
            <a:rPr kumimoji="1" lang="en-US" altLang="ja-JP" sz="1100">
              <a:solidFill>
                <a:schemeClr val="accent1">
                  <a:lumMod val="75000"/>
                </a:schemeClr>
              </a:solidFill>
            </a:rPr>
          </a:br>
          <a:r>
            <a:rPr kumimoji="1" lang="en-US" altLang="ja-JP" sz="1100">
              <a:solidFill>
                <a:srgbClr val="FF0000"/>
              </a:solidFill>
              <a:effectLst/>
              <a:latin typeface="+mn-lt"/>
              <a:ea typeface="+mn-ea"/>
              <a:cs typeface="+mn-cs"/>
            </a:rPr>
            <a:t>/AppSleepNG</a:t>
          </a:r>
          <a:r>
            <a:rPr kumimoji="1" lang="ja-JP" altLang="ja-JP" sz="1100">
              <a:solidFill>
                <a:srgbClr val="FF0000"/>
              </a:solidFill>
              <a:effectLst/>
              <a:latin typeface="+mn-lt"/>
              <a:ea typeface="+mn-ea"/>
              <a:cs typeface="+mn-cs"/>
            </a:rPr>
            <a:t>タイマリセット</a:t>
          </a:r>
          <a:endParaRPr lang="ja-JP" altLang="ja-JP">
            <a:solidFill>
              <a:srgbClr val="FF0000"/>
            </a:solidFill>
            <a:effectLst/>
          </a:endParaRPr>
        </a:p>
      </xdr:txBody>
    </xdr:sp>
    <xdr:clientData/>
  </xdr:oneCellAnchor>
  <xdr:oneCellAnchor>
    <xdr:from>
      <xdr:col>10</xdr:col>
      <xdr:colOff>142875</xdr:colOff>
      <xdr:row>38</xdr:row>
      <xdr:rowOff>28575</xdr:rowOff>
    </xdr:from>
    <xdr:ext cx="1319079" cy="275717"/>
    <xdr:sp macro="" textlink="">
      <xdr:nvSpPr>
        <xdr:cNvPr id="27" name="テキスト ボックス 26">
          <a:extLst>
            <a:ext uri="{FF2B5EF4-FFF2-40B4-BE49-F238E27FC236}">
              <a16:creationId xmlns:a16="http://schemas.microsoft.com/office/drawing/2014/main" id="{00000000-0008-0000-0400-00001B000000}"/>
            </a:ext>
          </a:extLst>
        </xdr:cNvPr>
        <xdr:cNvSpPr txBox="1"/>
      </xdr:nvSpPr>
      <xdr:spPr>
        <a:xfrm>
          <a:off x="7000875" y="6543675"/>
          <a:ext cx="1319079" cy="275717"/>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ysClr val="windowText" lastClr="000000"/>
              </a:solidFill>
            </a:rPr>
            <a:t>AppAwake</a:t>
          </a:r>
          <a:r>
            <a:rPr kumimoji="1" lang="ja-JP" altLang="en-US" sz="1100">
              <a:solidFill>
                <a:sysClr val="windowText" lastClr="000000"/>
              </a:solidFill>
            </a:rPr>
            <a:t>要求あり</a:t>
          </a:r>
          <a:endParaRPr kumimoji="1" lang="en-US" altLang="ja-JP" sz="1100">
            <a:solidFill>
              <a:sysClr val="windowText" lastClr="000000"/>
            </a:solidFill>
          </a:endParaRPr>
        </a:p>
      </xdr:txBody>
    </xdr:sp>
    <xdr:clientData/>
  </xdr:oneCellAnchor>
  <xdr:twoCellAnchor>
    <xdr:from>
      <xdr:col>9</xdr:col>
      <xdr:colOff>0</xdr:colOff>
      <xdr:row>42</xdr:row>
      <xdr:rowOff>138113</xdr:rowOff>
    </xdr:from>
    <xdr:to>
      <xdr:col>14</xdr:col>
      <xdr:colOff>0</xdr:colOff>
      <xdr:row>42</xdr:row>
      <xdr:rowOff>147638</xdr:rowOff>
    </xdr:to>
    <xdr:cxnSp macro="">
      <xdr:nvCxnSpPr>
        <xdr:cNvPr id="29" name="曲線コネクタ 28">
          <a:extLst>
            <a:ext uri="{FF2B5EF4-FFF2-40B4-BE49-F238E27FC236}">
              <a16:creationId xmlns:a16="http://schemas.microsoft.com/office/drawing/2014/main" id="{00000000-0008-0000-0400-00001D000000}"/>
            </a:ext>
          </a:extLst>
        </xdr:cNvPr>
        <xdr:cNvCxnSpPr/>
      </xdr:nvCxnSpPr>
      <xdr:spPr>
        <a:xfrm flipV="1">
          <a:off x="4800600" y="7681913"/>
          <a:ext cx="3429000" cy="9525"/>
        </a:xfrm>
        <a:prstGeom prst="curvedConnector3">
          <a:avLst>
            <a:gd name="adj1" fmla="val 50000"/>
          </a:avLst>
        </a:prstGeom>
        <a:ln>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675216</xdr:colOff>
      <xdr:row>41</xdr:row>
      <xdr:rowOff>85725</xdr:rowOff>
    </xdr:from>
    <xdr:ext cx="1619354" cy="642484"/>
    <xdr:sp macro="" textlink="">
      <xdr:nvSpPr>
        <xdr:cNvPr id="30" name="テキスト ボックス 29">
          <a:extLst>
            <a:ext uri="{FF2B5EF4-FFF2-40B4-BE49-F238E27FC236}">
              <a16:creationId xmlns:a16="http://schemas.microsoft.com/office/drawing/2014/main" id="{00000000-0008-0000-0400-00001E000000}"/>
            </a:ext>
          </a:extLst>
        </xdr:cNvPr>
        <xdr:cNvSpPr txBox="1"/>
      </xdr:nvSpPr>
      <xdr:spPr>
        <a:xfrm>
          <a:off x="6847416" y="7115175"/>
          <a:ext cx="1619354" cy="642484"/>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indent="0" algn="ctr" defTabSz="914400" eaLnBrk="1" fontAlgn="auto" latinLnBrk="0" hangingPunct="1">
            <a:lnSpc>
              <a:spcPct val="100000"/>
            </a:lnSpc>
            <a:spcBef>
              <a:spcPts val="0"/>
            </a:spcBef>
            <a:spcAft>
              <a:spcPts val="0"/>
            </a:spcAft>
            <a:buClrTx/>
            <a:buSzTx/>
            <a:buFontTx/>
            <a:buNone/>
            <a:tabLst/>
            <a:defRPr/>
          </a:pPr>
          <a:r>
            <a:rPr kumimoji="1" lang="en-US" altLang="ja-JP" sz="1100">
              <a:solidFill>
                <a:sysClr val="windowText" lastClr="000000"/>
              </a:solidFill>
              <a:effectLst/>
              <a:latin typeface="+mn-lt"/>
              <a:ea typeface="+mn-ea"/>
              <a:cs typeface="+mn-cs"/>
            </a:rPr>
            <a:t>AppSleepNG</a:t>
          </a:r>
          <a:r>
            <a:rPr kumimoji="1" lang="ja-JP" altLang="ja-JP" sz="1100">
              <a:solidFill>
                <a:sysClr val="windowText" lastClr="000000"/>
              </a:solidFill>
              <a:effectLst/>
              <a:latin typeface="+mn-lt"/>
              <a:ea typeface="+mn-ea"/>
              <a:cs typeface="+mn-cs"/>
            </a:rPr>
            <a:t>タイムアウト</a:t>
          </a:r>
          <a:endParaRPr lang="ja-JP" altLang="ja-JP">
            <a:solidFill>
              <a:sysClr val="windowText" lastClr="000000"/>
            </a:solidFill>
            <a:effectLst/>
          </a:endParaRPr>
        </a:p>
        <a:p>
          <a:pPr algn="ctr"/>
          <a:r>
            <a:rPr kumimoji="1" lang="ja-JP" altLang="en-US" sz="1100">
              <a:solidFill>
                <a:sysClr val="windowText" lastClr="000000"/>
              </a:solidFill>
            </a:rPr>
            <a:t>または</a:t>
          </a:r>
          <a:br>
            <a:rPr kumimoji="1" lang="en-US" altLang="ja-JP" sz="1100">
              <a:solidFill>
                <a:sysClr val="windowText" lastClr="000000"/>
              </a:solidFill>
            </a:rPr>
          </a:br>
          <a:r>
            <a:rPr kumimoji="1" lang="en-US" altLang="ja-JP" sz="1100">
              <a:solidFill>
                <a:sysClr val="windowText" lastClr="000000"/>
              </a:solidFill>
              <a:effectLst/>
              <a:latin typeface="+mn-lt"/>
              <a:ea typeface="+mn-ea"/>
              <a:cs typeface="+mn-cs"/>
            </a:rPr>
            <a:t>AppAwake</a:t>
          </a:r>
          <a:r>
            <a:rPr kumimoji="1" lang="ja-JP" altLang="ja-JP" sz="1100">
              <a:solidFill>
                <a:sysClr val="windowText" lastClr="000000"/>
              </a:solidFill>
              <a:effectLst/>
              <a:latin typeface="+mn-lt"/>
              <a:ea typeface="+mn-ea"/>
              <a:cs typeface="+mn-cs"/>
            </a:rPr>
            <a:t>要求なし</a:t>
          </a:r>
          <a:endParaRPr kumimoji="1" lang="en-US" altLang="ja-JP" sz="1100">
            <a:solidFill>
              <a:sysClr val="windowText" lastClr="000000"/>
            </a:solidFill>
          </a:endParaRPr>
        </a:p>
      </xdr:txBody>
    </xdr:sp>
    <xdr:clientData/>
  </xdr:oneCellAnchor>
  <xdr:twoCellAnchor>
    <xdr:from>
      <xdr:col>5</xdr:col>
      <xdr:colOff>571501</xdr:colOff>
      <xdr:row>19</xdr:row>
      <xdr:rowOff>76201</xdr:rowOff>
    </xdr:from>
    <xdr:to>
      <xdr:col>5</xdr:col>
      <xdr:colOff>584201</xdr:colOff>
      <xdr:row>41</xdr:row>
      <xdr:rowOff>100013</xdr:rowOff>
    </xdr:to>
    <xdr:cxnSp macro="">
      <xdr:nvCxnSpPr>
        <xdr:cNvPr id="31" name="曲線コネクタ 30">
          <a:extLst>
            <a:ext uri="{FF2B5EF4-FFF2-40B4-BE49-F238E27FC236}">
              <a16:creationId xmlns:a16="http://schemas.microsoft.com/office/drawing/2014/main" id="{00000000-0008-0000-0400-00001F000000}"/>
            </a:ext>
          </a:extLst>
        </xdr:cNvPr>
        <xdr:cNvCxnSpPr>
          <a:stCxn id="7" idx="1"/>
          <a:endCxn id="5" idx="1"/>
        </xdr:cNvCxnSpPr>
      </xdr:nvCxnSpPr>
      <xdr:spPr>
        <a:xfrm rot="10800000">
          <a:off x="2628901" y="3505201"/>
          <a:ext cx="12700" cy="3967162"/>
        </a:xfrm>
        <a:prstGeom prst="curvedConnector3">
          <a:avLst>
            <a:gd name="adj1" fmla="val 810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xdr:col>
      <xdr:colOff>171451</xdr:colOff>
      <xdr:row>34</xdr:row>
      <xdr:rowOff>123825</xdr:rowOff>
    </xdr:from>
    <xdr:ext cx="1961128" cy="642484"/>
    <xdr:sp macro="" textlink="">
      <xdr:nvSpPr>
        <xdr:cNvPr id="32" name="テキスト ボックス 31">
          <a:extLst>
            <a:ext uri="{FF2B5EF4-FFF2-40B4-BE49-F238E27FC236}">
              <a16:creationId xmlns:a16="http://schemas.microsoft.com/office/drawing/2014/main" id="{00000000-0008-0000-0400-000020000000}"/>
            </a:ext>
          </a:extLst>
        </xdr:cNvPr>
        <xdr:cNvSpPr txBox="1"/>
      </xdr:nvSpPr>
      <xdr:spPr>
        <a:xfrm>
          <a:off x="1543051" y="5953125"/>
          <a:ext cx="1961128" cy="642484"/>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100">
              <a:solidFill>
                <a:sysClr val="windowText" lastClr="000000"/>
              </a:solidFill>
            </a:rPr>
            <a:t>CanNm</a:t>
          </a:r>
          <a:r>
            <a:rPr kumimoji="1" lang="ja-JP" altLang="en-US" sz="1100">
              <a:solidFill>
                <a:sysClr val="windowText" lastClr="000000"/>
              </a:solidFill>
            </a:rPr>
            <a:t>通常以外</a:t>
          </a:r>
          <a:r>
            <a:rPr kumimoji="1" lang="en-US" altLang="ja-JP" sz="1100" baseline="0">
              <a:solidFill>
                <a:sysClr val="windowText" lastClr="000000"/>
              </a:solidFill>
            </a:rPr>
            <a:t>   and   </a:t>
          </a:r>
          <a:r>
            <a:rPr kumimoji="1" lang="en-US" altLang="ja-JP" sz="1100">
              <a:solidFill>
                <a:sysClr val="windowText" lastClr="000000"/>
              </a:solidFill>
            </a:rPr>
            <a:t>AppAwake</a:t>
          </a:r>
          <a:r>
            <a:rPr kumimoji="1" lang="ja-JP" altLang="en-US" sz="1100">
              <a:solidFill>
                <a:sysClr val="windowText" lastClr="000000"/>
              </a:solidFill>
            </a:rPr>
            <a:t>要求</a:t>
          </a:r>
          <a:r>
            <a:rPr kumimoji="1" lang="en-US" altLang="ja-JP" sz="1100">
              <a:solidFill>
                <a:sysClr val="windowText" lastClr="000000"/>
              </a:solidFill>
            </a:rPr>
            <a:t>[appid]</a:t>
          </a:r>
          <a:r>
            <a:rPr kumimoji="1" lang="ja-JP" altLang="en-US" sz="1100">
              <a:solidFill>
                <a:sysClr val="windowText" lastClr="000000"/>
              </a:solidFill>
            </a:rPr>
            <a:t>エッジ検出なし</a:t>
          </a:r>
        </a:p>
      </xdr:txBody>
    </xdr:sp>
    <xdr:clientData/>
  </xdr:oneCellAnchor>
  <xdr:twoCellAnchor>
    <xdr:from>
      <xdr:col>9</xdr:col>
      <xdr:colOff>0</xdr:colOff>
      <xdr:row>17</xdr:row>
      <xdr:rowOff>133351</xdr:rowOff>
    </xdr:from>
    <xdr:to>
      <xdr:col>14</xdr:col>
      <xdr:colOff>19050</xdr:colOff>
      <xdr:row>17</xdr:row>
      <xdr:rowOff>152400</xdr:rowOff>
    </xdr:to>
    <xdr:cxnSp macro="">
      <xdr:nvCxnSpPr>
        <xdr:cNvPr id="37" name="曲線コネクタ 36">
          <a:extLst>
            <a:ext uri="{FF2B5EF4-FFF2-40B4-BE49-F238E27FC236}">
              <a16:creationId xmlns:a16="http://schemas.microsoft.com/office/drawing/2014/main" id="{00000000-0008-0000-0400-000025000000}"/>
            </a:ext>
          </a:extLst>
        </xdr:cNvPr>
        <xdr:cNvCxnSpPr/>
      </xdr:nvCxnSpPr>
      <xdr:spPr>
        <a:xfrm>
          <a:off x="4800600" y="3048001"/>
          <a:ext cx="3448050" cy="19049"/>
        </a:xfrm>
        <a:prstGeom prst="curvedConnector3">
          <a:avLst>
            <a:gd name="adj1" fmla="val 5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533399</xdr:colOff>
      <xdr:row>14</xdr:row>
      <xdr:rowOff>47626</xdr:rowOff>
    </xdr:from>
    <xdr:ext cx="2581276" cy="495299"/>
    <xdr:sp macro="" textlink="">
      <xdr:nvSpPr>
        <xdr:cNvPr id="38" name="テキスト ボックス 37">
          <a:extLst>
            <a:ext uri="{FF2B5EF4-FFF2-40B4-BE49-F238E27FC236}">
              <a16:creationId xmlns:a16="http://schemas.microsoft.com/office/drawing/2014/main" id="{00000000-0008-0000-0400-000026000000}"/>
            </a:ext>
          </a:extLst>
        </xdr:cNvPr>
        <xdr:cNvSpPr txBox="1"/>
      </xdr:nvSpPr>
      <xdr:spPr>
        <a:xfrm>
          <a:off x="6705599" y="2447926"/>
          <a:ext cx="2581276" cy="495299"/>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100">
              <a:solidFill>
                <a:sysClr val="windowText" lastClr="000000"/>
              </a:solidFill>
            </a:rPr>
            <a:t>AppAwake[appid]</a:t>
          </a:r>
          <a:r>
            <a:rPr kumimoji="1" lang="ja-JP" altLang="en-US" sz="1100">
              <a:solidFill>
                <a:sysClr val="windowText" lastClr="000000"/>
              </a:solidFill>
            </a:rPr>
            <a:t>要求エッジ検出</a:t>
          </a:r>
          <a:br>
            <a:rPr kumimoji="1" lang="en-US" altLang="ja-JP" sz="1100">
              <a:solidFill>
                <a:schemeClr val="accent1">
                  <a:lumMod val="75000"/>
                </a:schemeClr>
              </a:solidFill>
            </a:rPr>
          </a:br>
          <a:r>
            <a:rPr kumimoji="1" lang="en-US" altLang="ja-JP" sz="1100">
              <a:solidFill>
                <a:srgbClr val="FF0000"/>
              </a:solidFill>
            </a:rPr>
            <a:t>/AppAwake</a:t>
          </a:r>
          <a:r>
            <a:rPr kumimoji="1" lang="ja-JP" altLang="en-US" sz="1100">
              <a:solidFill>
                <a:srgbClr val="FF0000"/>
              </a:solidFill>
            </a:rPr>
            <a:t>要因ありタイマリセット</a:t>
          </a:r>
        </a:p>
      </xdr:txBody>
    </xdr:sp>
    <xdr:clientData/>
  </xdr:oneCellAnchor>
  <xdr:twoCellAnchor>
    <xdr:from>
      <xdr:col>4</xdr:col>
      <xdr:colOff>219075</xdr:colOff>
      <xdr:row>16</xdr:row>
      <xdr:rowOff>33338</xdr:rowOff>
    </xdr:from>
    <xdr:to>
      <xdr:col>5</xdr:col>
      <xdr:colOff>571501</xdr:colOff>
      <xdr:row>16</xdr:row>
      <xdr:rowOff>33338</xdr:rowOff>
    </xdr:to>
    <xdr:cxnSp macro="">
      <xdr:nvCxnSpPr>
        <xdr:cNvPr id="43" name="直線矢印コネクタ 42">
          <a:extLst>
            <a:ext uri="{FF2B5EF4-FFF2-40B4-BE49-F238E27FC236}">
              <a16:creationId xmlns:a16="http://schemas.microsoft.com/office/drawing/2014/main" id="{00000000-0008-0000-0400-00002B000000}"/>
            </a:ext>
          </a:extLst>
        </xdr:cNvPr>
        <xdr:cNvCxnSpPr/>
      </xdr:nvCxnSpPr>
      <xdr:spPr>
        <a:xfrm>
          <a:off x="2962275" y="2776538"/>
          <a:ext cx="1038226" cy="0"/>
        </a:xfrm>
        <a:prstGeom prst="straightConnector1">
          <a:avLst/>
        </a:prstGeom>
        <a:ln>
          <a:solidFill>
            <a:schemeClr val="accent1">
              <a:lumMod val="75000"/>
            </a:schemeClr>
          </a:solidFill>
          <a:headEnd type="oval" w="lg" len="lg"/>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276226</xdr:colOff>
      <xdr:row>0</xdr:row>
      <xdr:rowOff>76199</xdr:rowOff>
    </xdr:from>
    <xdr:to>
      <xdr:col>17</xdr:col>
      <xdr:colOff>600076</xdr:colOff>
      <xdr:row>9</xdr:row>
      <xdr:rowOff>9524</xdr:rowOff>
    </xdr:to>
    <xdr:sp macro="" textlink="">
      <xdr:nvSpPr>
        <xdr:cNvPr id="44" name="角丸四角形 43">
          <a:extLst>
            <a:ext uri="{FF2B5EF4-FFF2-40B4-BE49-F238E27FC236}">
              <a16:creationId xmlns:a16="http://schemas.microsoft.com/office/drawing/2014/main" id="{00000000-0008-0000-0400-00002C000000}"/>
            </a:ext>
          </a:extLst>
        </xdr:cNvPr>
        <xdr:cNvSpPr/>
      </xdr:nvSpPr>
      <xdr:spPr>
        <a:xfrm>
          <a:off x="7760155" y="76199"/>
          <a:ext cx="4405992" cy="1525361"/>
        </a:xfrm>
        <a:prstGeom prst="roundRect">
          <a:avLst/>
        </a:prstGeom>
        <a:ln w="15875">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100"/>
            <a:t>（凡例）</a:t>
          </a:r>
        </a:p>
      </xdr:txBody>
    </xdr:sp>
    <xdr:clientData/>
  </xdr:twoCellAnchor>
  <xdr:twoCellAnchor>
    <xdr:from>
      <xdr:col>12</xdr:col>
      <xdr:colOff>0</xdr:colOff>
      <xdr:row>2</xdr:row>
      <xdr:rowOff>104775</xdr:rowOff>
    </xdr:from>
    <xdr:to>
      <xdr:col>14</xdr:col>
      <xdr:colOff>304800</xdr:colOff>
      <xdr:row>4</xdr:row>
      <xdr:rowOff>142875</xdr:rowOff>
    </xdr:to>
    <xdr:sp macro="" textlink="">
      <xdr:nvSpPr>
        <xdr:cNvPr id="45" name="角丸四角形 44">
          <a:extLst>
            <a:ext uri="{FF2B5EF4-FFF2-40B4-BE49-F238E27FC236}">
              <a16:creationId xmlns:a16="http://schemas.microsoft.com/office/drawing/2014/main" id="{00000000-0008-0000-0400-00002D000000}"/>
            </a:ext>
          </a:extLst>
        </xdr:cNvPr>
        <xdr:cNvSpPr/>
      </xdr:nvSpPr>
      <xdr:spPr>
        <a:xfrm>
          <a:off x="6858000" y="447675"/>
          <a:ext cx="1676400" cy="381000"/>
        </a:xfrm>
        <a:prstGeom prst="roundRect">
          <a:avLst/>
        </a:prstGeom>
        <a:solidFill>
          <a:srgbClr val="FFCCFF"/>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Awake</a:t>
          </a:r>
          <a:r>
            <a:rPr kumimoji="1" lang="ja-JP" altLang="en-US" sz="1100"/>
            <a:t>要因ありの状態</a:t>
          </a:r>
          <a:endParaRPr kumimoji="1" lang="en-US" altLang="ja-JP" sz="1100"/>
        </a:p>
      </xdr:txBody>
    </xdr:sp>
    <xdr:clientData/>
  </xdr:twoCellAnchor>
  <xdr:twoCellAnchor>
    <xdr:from>
      <xdr:col>14</xdr:col>
      <xdr:colOff>638175</xdr:colOff>
      <xdr:row>2</xdr:row>
      <xdr:rowOff>104775</xdr:rowOff>
    </xdr:from>
    <xdr:to>
      <xdr:col>17</xdr:col>
      <xdr:colOff>257175</xdr:colOff>
      <xdr:row>4</xdr:row>
      <xdr:rowOff>142875</xdr:rowOff>
    </xdr:to>
    <xdr:sp macro="" textlink="">
      <xdr:nvSpPr>
        <xdr:cNvPr id="46" name="角丸四角形 45">
          <a:extLst>
            <a:ext uri="{FF2B5EF4-FFF2-40B4-BE49-F238E27FC236}">
              <a16:creationId xmlns:a16="http://schemas.microsoft.com/office/drawing/2014/main" id="{00000000-0008-0000-0400-00002E000000}"/>
            </a:ext>
          </a:extLst>
        </xdr:cNvPr>
        <xdr:cNvSpPr/>
      </xdr:nvSpPr>
      <xdr:spPr>
        <a:xfrm>
          <a:off x="8867775" y="447675"/>
          <a:ext cx="1676400" cy="3810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en-US" altLang="ja-JP" sz="1100"/>
            <a:t>Awake</a:t>
          </a:r>
          <a:r>
            <a:rPr kumimoji="1" lang="ja-JP" altLang="en-US" sz="1100"/>
            <a:t>要因なしの状態</a:t>
          </a:r>
          <a:endParaRPr kumimoji="1" lang="en-US" altLang="ja-JP" sz="1100"/>
        </a:p>
      </xdr:txBody>
    </xdr:sp>
    <xdr:clientData/>
  </xdr:twoCellAnchor>
  <xdr:oneCellAnchor>
    <xdr:from>
      <xdr:col>12</xdr:col>
      <xdr:colOff>257175</xdr:colOff>
      <xdr:row>5</xdr:row>
      <xdr:rowOff>76200</xdr:rowOff>
    </xdr:from>
    <xdr:ext cx="3556551" cy="459100"/>
    <xdr:sp macro="" textlink="">
      <xdr:nvSpPr>
        <xdr:cNvPr id="47" name="テキスト ボックス 46">
          <a:extLst>
            <a:ext uri="{FF2B5EF4-FFF2-40B4-BE49-F238E27FC236}">
              <a16:creationId xmlns:a16="http://schemas.microsoft.com/office/drawing/2014/main" id="{00000000-0008-0000-0400-00002F000000}"/>
            </a:ext>
          </a:extLst>
        </xdr:cNvPr>
        <xdr:cNvSpPr txBox="1"/>
      </xdr:nvSpPr>
      <xdr:spPr>
        <a:xfrm>
          <a:off x="8486775" y="933450"/>
          <a:ext cx="3556551" cy="45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XXX[appid]  :  </a:t>
          </a:r>
          <a:r>
            <a:rPr kumimoji="1" lang="ja-JP" altLang="en-US" sz="1100"/>
            <a:t>複数ある</a:t>
          </a:r>
          <a:r>
            <a:rPr kumimoji="1" lang="en-US" altLang="ja-JP" sz="1100"/>
            <a:t>AppAwake</a:t>
          </a:r>
          <a:r>
            <a:rPr kumimoji="1" lang="ja-JP" altLang="en-US" sz="1100"/>
            <a:t>要求のうちの、</a:t>
          </a:r>
          <a:br>
            <a:rPr kumimoji="1" lang="en-US" altLang="ja-JP" sz="1100"/>
          </a:br>
          <a:r>
            <a:rPr kumimoji="1" lang="ja-JP" altLang="en-US" sz="1100"/>
            <a:t>　　　　　　　　 </a:t>
          </a:r>
          <a:r>
            <a:rPr kumimoji="1" lang="en-US" altLang="ja-JP" sz="1100"/>
            <a:t>1</a:t>
          </a:r>
          <a:r>
            <a:rPr kumimoji="1" lang="ja-JP" altLang="en-US" sz="1100"/>
            <a:t>つ以上の</a:t>
          </a:r>
          <a:r>
            <a:rPr kumimoji="1" lang="en-US" altLang="ja-JP" sz="1100"/>
            <a:t>XXX</a:t>
          </a:r>
          <a:r>
            <a:rPr kumimoji="1" lang="ja-JP" altLang="en-US" sz="1100"/>
            <a:t>イベントが成立したことを表す</a:t>
          </a:r>
        </a:p>
      </xdr:txBody>
    </xdr:sp>
    <xdr:clientData/>
  </xdr:oneCellAnchor>
  <xdr:twoCellAnchor>
    <xdr:from>
      <xdr:col>9</xdr:col>
      <xdr:colOff>0</xdr:colOff>
      <xdr:row>22</xdr:row>
      <xdr:rowOff>47626</xdr:rowOff>
    </xdr:from>
    <xdr:to>
      <xdr:col>14</xdr:col>
      <xdr:colOff>19050</xdr:colOff>
      <xdr:row>22</xdr:row>
      <xdr:rowOff>66675</xdr:rowOff>
    </xdr:to>
    <xdr:cxnSp macro="">
      <xdr:nvCxnSpPr>
        <xdr:cNvPr id="64" name="曲線コネクタ 63">
          <a:extLst>
            <a:ext uri="{FF2B5EF4-FFF2-40B4-BE49-F238E27FC236}">
              <a16:creationId xmlns:a16="http://schemas.microsoft.com/office/drawing/2014/main" id="{00000000-0008-0000-0400-000040000000}"/>
            </a:ext>
          </a:extLst>
        </xdr:cNvPr>
        <xdr:cNvCxnSpPr/>
      </xdr:nvCxnSpPr>
      <xdr:spPr>
        <a:xfrm>
          <a:off x="4800600" y="3990976"/>
          <a:ext cx="3448050" cy="19049"/>
        </a:xfrm>
        <a:prstGeom prst="curvedConnector3">
          <a:avLst>
            <a:gd name="adj1" fmla="val 50000"/>
          </a:avLst>
        </a:prstGeom>
        <a:ln>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285750</xdr:colOff>
      <xdr:row>19</xdr:row>
      <xdr:rowOff>95250</xdr:rowOff>
    </xdr:from>
    <xdr:to>
      <xdr:col>16</xdr:col>
      <xdr:colOff>600075</xdr:colOff>
      <xdr:row>43</xdr:row>
      <xdr:rowOff>133350</xdr:rowOff>
    </xdr:to>
    <xdr:cxnSp macro="">
      <xdr:nvCxnSpPr>
        <xdr:cNvPr id="93" name="曲線コネクタ 92">
          <a:extLst>
            <a:ext uri="{FF2B5EF4-FFF2-40B4-BE49-F238E27FC236}">
              <a16:creationId xmlns:a16="http://schemas.microsoft.com/office/drawing/2014/main" id="{00000000-0008-0000-0400-00005D000000}"/>
            </a:ext>
          </a:extLst>
        </xdr:cNvPr>
        <xdr:cNvCxnSpPr>
          <a:stCxn id="7" idx="2"/>
          <a:endCxn id="6" idx="3"/>
        </xdr:cNvCxnSpPr>
      </xdr:nvCxnSpPr>
      <xdr:spPr>
        <a:xfrm rot="5400000" flipH="1" flipV="1">
          <a:off x="4881563" y="2185987"/>
          <a:ext cx="4152900" cy="6486525"/>
        </a:xfrm>
        <a:prstGeom prst="curvedConnector4">
          <a:avLst>
            <a:gd name="adj1" fmla="val -35322"/>
            <a:gd name="adj2" fmla="val 139647"/>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476249</xdr:colOff>
      <xdr:row>48</xdr:row>
      <xdr:rowOff>1</xdr:rowOff>
    </xdr:from>
    <xdr:ext cx="2581276" cy="657224"/>
    <xdr:sp macro="" textlink="">
      <xdr:nvSpPr>
        <xdr:cNvPr id="99" name="テキスト ボックス 98">
          <a:extLst>
            <a:ext uri="{FF2B5EF4-FFF2-40B4-BE49-F238E27FC236}">
              <a16:creationId xmlns:a16="http://schemas.microsoft.com/office/drawing/2014/main" id="{00000000-0008-0000-0400-000063000000}"/>
            </a:ext>
          </a:extLst>
        </xdr:cNvPr>
        <xdr:cNvSpPr txBox="1"/>
      </xdr:nvSpPr>
      <xdr:spPr>
        <a:xfrm>
          <a:off x="10077449" y="8229601"/>
          <a:ext cx="2581276" cy="657224"/>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100">
              <a:solidFill>
                <a:sysClr val="windowText" lastClr="000000"/>
              </a:solidFill>
              <a:effectLst/>
              <a:latin typeface="+mn-lt"/>
              <a:ea typeface="+mn-ea"/>
              <a:cs typeface="+mn-cs"/>
            </a:rPr>
            <a:t>CanNm</a:t>
          </a:r>
          <a:r>
            <a:rPr kumimoji="1" lang="ja-JP" altLang="en-US" sz="1100">
              <a:solidFill>
                <a:sysClr val="windowText" lastClr="000000"/>
              </a:solidFill>
            </a:rPr>
            <a:t>通常以外  </a:t>
          </a:r>
          <a:r>
            <a:rPr kumimoji="1" lang="en-US" altLang="ja-JP" sz="1100">
              <a:solidFill>
                <a:sysClr val="windowText" lastClr="000000"/>
              </a:solidFill>
            </a:rPr>
            <a:t>and</a:t>
          </a:r>
        </a:p>
        <a:p>
          <a:r>
            <a:rPr kumimoji="1" lang="en-US" altLang="ja-JP" sz="1100">
              <a:solidFill>
                <a:sysClr val="windowText" lastClr="000000"/>
              </a:solidFill>
            </a:rPr>
            <a:t>AppAwake[appid]</a:t>
          </a:r>
          <a:r>
            <a:rPr kumimoji="1" lang="ja-JP" altLang="en-US" sz="1100">
              <a:solidFill>
                <a:sysClr val="windowText" lastClr="000000"/>
              </a:solidFill>
            </a:rPr>
            <a:t>要求エッジ検出</a:t>
          </a:r>
          <a:br>
            <a:rPr kumimoji="1" lang="en-US" altLang="ja-JP" sz="1100">
              <a:solidFill>
                <a:schemeClr val="accent1">
                  <a:lumMod val="75000"/>
                </a:schemeClr>
              </a:solidFill>
            </a:rPr>
          </a:br>
          <a:r>
            <a:rPr kumimoji="1" lang="en-US" altLang="ja-JP" sz="1100">
              <a:solidFill>
                <a:srgbClr val="FF0000"/>
              </a:solidFill>
            </a:rPr>
            <a:t>/AppAwake</a:t>
          </a:r>
          <a:r>
            <a:rPr kumimoji="1" lang="ja-JP" altLang="en-US" sz="1100">
              <a:solidFill>
                <a:srgbClr val="FF0000"/>
              </a:solidFill>
            </a:rPr>
            <a:t>要因ありタイマリセット</a:t>
          </a:r>
        </a:p>
      </xdr:txBody>
    </xdr:sp>
    <xdr:clientData/>
  </xdr:oneCellAnchor>
  <xdr:twoCellAnchor>
    <xdr:from>
      <xdr:col>16</xdr:col>
      <xdr:colOff>600076</xdr:colOff>
      <xdr:row>19</xdr:row>
      <xdr:rowOff>95250</xdr:rowOff>
    </xdr:from>
    <xdr:to>
      <xdr:col>16</xdr:col>
      <xdr:colOff>619126</xdr:colOff>
      <xdr:row>41</xdr:row>
      <xdr:rowOff>90488</xdr:rowOff>
    </xdr:to>
    <xdr:cxnSp macro="">
      <xdr:nvCxnSpPr>
        <xdr:cNvPr id="100" name="曲線コネクタ 99">
          <a:extLst>
            <a:ext uri="{FF2B5EF4-FFF2-40B4-BE49-F238E27FC236}">
              <a16:creationId xmlns:a16="http://schemas.microsoft.com/office/drawing/2014/main" id="{00000000-0008-0000-0400-000064000000}"/>
            </a:ext>
          </a:extLst>
        </xdr:cNvPr>
        <xdr:cNvCxnSpPr>
          <a:stCxn id="8" idx="3"/>
          <a:endCxn id="6" idx="3"/>
        </xdr:cNvCxnSpPr>
      </xdr:nvCxnSpPr>
      <xdr:spPr>
        <a:xfrm flipH="1" flipV="1">
          <a:off x="10201276" y="3352800"/>
          <a:ext cx="19050" cy="3767138"/>
        </a:xfrm>
        <a:prstGeom prst="curvedConnector3">
          <a:avLst>
            <a:gd name="adj1" fmla="val -7700000"/>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276224</xdr:colOff>
      <xdr:row>34</xdr:row>
      <xdr:rowOff>123826</xdr:rowOff>
    </xdr:from>
    <xdr:ext cx="2305051" cy="657224"/>
    <xdr:sp macro="" textlink="">
      <xdr:nvSpPr>
        <xdr:cNvPr id="105" name="テキスト ボックス 104">
          <a:extLst>
            <a:ext uri="{FF2B5EF4-FFF2-40B4-BE49-F238E27FC236}">
              <a16:creationId xmlns:a16="http://schemas.microsoft.com/office/drawing/2014/main" id="{00000000-0008-0000-0400-000069000000}"/>
            </a:ext>
          </a:extLst>
        </xdr:cNvPr>
        <xdr:cNvSpPr txBox="1"/>
      </xdr:nvSpPr>
      <xdr:spPr>
        <a:xfrm>
          <a:off x="9877424" y="5953126"/>
          <a:ext cx="2305051" cy="657224"/>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100">
              <a:solidFill>
                <a:sysClr val="windowText" lastClr="000000"/>
              </a:solidFill>
              <a:effectLst/>
              <a:latin typeface="+mn-lt"/>
              <a:ea typeface="+mn-ea"/>
              <a:cs typeface="+mn-cs"/>
            </a:rPr>
            <a:t>CanNm</a:t>
          </a:r>
          <a:r>
            <a:rPr kumimoji="1" lang="ja-JP" altLang="en-US" sz="1100">
              <a:solidFill>
                <a:sysClr val="windowText" lastClr="000000"/>
              </a:solidFill>
            </a:rPr>
            <a:t>通常以外  </a:t>
          </a:r>
          <a:r>
            <a:rPr kumimoji="1" lang="en-US" altLang="ja-JP" sz="1100">
              <a:solidFill>
                <a:sysClr val="windowText" lastClr="000000"/>
              </a:solidFill>
            </a:rPr>
            <a:t>and</a:t>
          </a:r>
        </a:p>
        <a:p>
          <a:r>
            <a:rPr kumimoji="1" lang="en-US" altLang="ja-JP" sz="1100">
              <a:solidFill>
                <a:sysClr val="windowText" lastClr="000000"/>
              </a:solidFill>
            </a:rPr>
            <a:t>AppAwake[appid]</a:t>
          </a:r>
          <a:r>
            <a:rPr kumimoji="1" lang="ja-JP" altLang="en-US" sz="1100">
              <a:solidFill>
                <a:sysClr val="windowText" lastClr="000000"/>
              </a:solidFill>
            </a:rPr>
            <a:t>要求エッジ検出</a:t>
          </a:r>
          <a:br>
            <a:rPr kumimoji="1" lang="en-US" altLang="ja-JP" sz="1100">
              <a:solidFill>
                <a:schemeClr val="accent1">
                  <a:lumMod val="75000"/>
                </a:schemeClr>
              </a:solidFill>
            </a:rPr>
          </a:br>
          <a:r>
            <a:rPr kumimoji="1" lang="en-US" altLang="ja-JP" sz="1100">
              <a:solidFill>
                <a:srgbClr val="FF0000"/>
              </a:solidFill>
            </a:rPr>
            <a:t>/AppAwake</a:t>
          </a:r>
          <a:r>
            <a:rPr kumimoji="1" lang="ja-JP" altLang="en-US" sz="1100">
              <a:solidFill>
                <a:srgbClr val="FF0000"/>
              </a:solidFill>
            </a:rPr>
            <a:t>要因ありタイマリセット</a:t>
          </a:r>
        </a:p>
      </xdr:txBody>
    </xdr:sp>
    <xdr:clientData/>
  </xdr:oneCellAnchor>
  <xdr:twoCellAnchor>
    <xdr:from>
      <xdr:col>5</xdr:col>
      <xdr:colOff>571501</xdr:colOff>
      <xdr:row>19</xdr:row>
      <xdr:rowOff>76201</xdr:rowOff>
    </xdr:from>
    <xdr:to>
      <xdr:col>15</xdr:col>
      <xdr:colOff>309563</xdr:colOff>
      <xdr:row>43</xdr:row>
      <xdr:rowOff>123825</xdr:rowOff>
    </xdr:to>
    <xdr:cxnSp macro="">
      <xdr:nvCxnSpPr>
        <xdr:cNvPr id="107" name="曲線コネクタ 106">
          <a:extLst>
            <a:ext uri="{FF2B5EF4-FFF2-40B4-BE49-F238E27FC236}">
              <a16:creationId xmlns:a16="http://schemas.microsoft.com/office/drawing/2014/main" id="{00000000-0008-0000-0400-00006B000000}"/>
            </a:ext>
          </a:extLst>
        </xdr:cNvPr>
        <xdr:cNvCxnSpPr>
          <a:stCxn id="8" idx="2"/>
          <a:endCxn id="5" idx="1"/>
        </xdr:cNvCxnSpPr>
      </xdr:nvCxnSpPr>
      <xdr:spPr>
        <a:xfrm rot="5400000" flipH="1">
          <a:off x="5217320" y="2116932"/>
          <a:ext cx="4162424" cy="6596062"/>
        </a:xfrm>
        <a:prstGeom prst="curvedConnector4">
          <a:avLst>
            <a:gd name="adj1" fmla="val -35698"/>
            <a:gd name="adj2" fmla="val 142599"/>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571499</xdr:colOff>
      <xdr:row>48</xdr:row>
      <xdr:rowOff>1</xdr:rowOff>
    </xdr:from>
    <xdr:ext cx="2581276" cy="657224"/>
    <xdr:sp macro="" textlink="">
      <xdr:nvSpPr>
        <xdr:cNvPr id="115" name="テキスト ボックス 114">
          <a:extLst>
            <a:ext uri="{FF2B5EF4-FFF2-40B4-BE49-F238E27FC236}">
              <a16:creationId xmlns:a16="http://schemas.microsoft.com/office/drawing/2014/main" id="{00000000-0008-0000-0400-000073000000}"/>
            </a:ext>
          </a:extLst>
        </xdr:cNvPr>
        <xdr:cNvSpPr txBox="1"/>
      </xdr:nvSpPr>
      <xdr:spPr>
        <a:xfrm>
          <a:off x="2628899" y="8229601"/>
          <a:ext cx="2581276" cy="657224"/>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100">
              <a:solidFill>
                <a:sysClr val="windowText" lastClr="000000"/>
              </a:solidFill>
              <a:effectLst/>
              <a:latin typeface="+mn-lt"/>
              <a:ea typeface="+mn-ea"/>
              <a:cs typeface="+mn-cs"/>
            </a:rPr>
            <a:t>CanNm</a:t>
          </a:r>
          <a:r>
            <a:rPr kumimoji="1" lang="ja-JP" altLang="en-US" sz="1100">
              <a:solidFill>
                <a:sysClr val="windowText" lastClr="000000"/>
              </a:solidFill>
            </a:rPr>
            <a:t>通常以外  </a:t>
          </a:r>
          <a:r>
            <a:rPr kumimoji="1" lang="en-US" altLang="ja-JP" sz="1100">
              <a:solidFill>
                <a:sysClr val="windowText" lastClr="000000"/>
              </a:solidFill>
            </a:rPr>
            <a:t>and</a:t>
          </a:r>
        </a:p>
        <a:p>
          <a:r>
            <a:rPr kumimoji="1" lang="en-US" altLang="ja-JP" sz="1100">
              <a:solidFill>
                <a:sysClr val="windowText" lastClr="000000"/>
              </a:solidFill>
            </a:rPr>
            <a:t>AppAwake[appid]</a:t>
          </a:r>
          <a:r>
            <a:rPr kumimoji="1" lang="ja-JP" altLang="en-US" sz="1100">
              <a:solidFill>
                <a:sysClr val="windowText" lastClr="000000"/>
              </a:solidFill>
            </a:rPr>
            <a:t>要求エッジ検出なし</a:t>
          </a:r>
        </a:p>
      </xdr:txBody>
    </xdr:sp>
    <xdr:clientData/>
  </xdr:oneCellAnchor>
  <xdr:oneCellAnchor>
    <xdr:from>
      <xdr:col>10</xdr:col>
      <xdr:colOff>428625</xdr:colOff>
      <xdr:row>19</xdr:row>
      <xdr:rowOff>114299</xdr:rowOff>
    </xdr:from>
    <xdr:ext cx="1409701" cy="923925"/>
    <xdr:sp macro="" textlink="">
      <xdr:nvSpPr>
        <xdr:cNvPr id="39" name="テキスト ボックス 38">
          <a:extLst>
            <a:ext uri="{FF2B5EF4-FFF2-40B4-BE49-F238E27FC236}">
              <a16:creationId xmlns:a16="http://schemas.microsoft.com/office/drawing/2014/main" id="{00000000-0008-0000-0400-000027000000}"/>
            </a:ext>
          </a:extLst>
        </xdr:cNvPr>
        <xdr:cNvSpPr txBox="1"/>
      </xdr:nvSpPr>
      <xdr:spPr>
        <a:xfrm>
          <a:off x="7286625" y="3371849"/>
          <a:ext cx="1409701" cy="923925"/>
        </a:xfrm>
        <a:prstGeom prst="rect">
          <a:avLst/>
        </a:prstGeom>
        <a:solidFill>
          <a:schemeClr val="bg1"/>
        </a:solidFill>
        <a:ln>
          <a:solidFill>
            <a:schemeClr val="accent1">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kumimoji="1" lang="en-US" altLang="ja-JP" sz="1100">
              <a:solidFill>
                <a:sysClr val="windowText" lastClr="000000"/>
              </a:solidFill>
            </a:rPr>
            <a:t>AppAwake</a:t>
          </a:r>
          <a:r>
            <a:rPr kumimoji="1" lang="ja-JP" altLang="en-US" sz="1100">
              <a:solidFill>
                <a:sysClr val="windowText" lastClr="000000"/>
              </a:solidFill>
            </a:rPr>
            <a:t>要因ありタイマタイムアウト</a:t>
          </a:r>
          <a:endParaRPr kumimoji="1" lang="en-US" altLang="ja-JP" sz="1100">
            <a:solidFill>
              <a:sysClr val="windowText" lastClr="000000"/>
            </a:solidFill>
          </a:endParaRPr>
        </a:p>
        <a:p>
          <a:r>
            <a:rPr kumimoji="1" lang="ja-JP" altLang="en-US" sz="1100">
              <a:solidFill>
                <a:sysClr val="windowText" lastClr="000000"/>
              </a:solidFill>
            </a:rPr>
            <a:t>または</a:t>
          </a:r>
          <a:endParaRPr kumimoji="1" lang="en-US" altLang="ja-JP" sz="1100">
            <a:solidFill>
              <a:sysClr val="windowText" lastClr="000000"/>
            </a:solidFill>
          </a:endParaRPr>
        </a:p>
        <a:p>
          <a:r>
            <a:rPr kumimoji="1" lang="en-US" altLang="ja-JP" sz="1100">
              <a:solidFill>
                <a:sysClr val="windowText" lastClr="000000"/>
              </a:solidFill>
            </a:rPr>
            <a:t>AppAwake</a:t>
          </a:r>
          <a:r>
            <a:rPr kumimoji="1" lang="ja-JP" altLang="en-US" sz="1100">
              <a:solidFill>
                <a:sysClr val="windowText" lastClr="000000"/>
              </a:solidFill>
            </a:rPr>
            <a:t>要求なし</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3</xdr:col>
      <xdr:colOff>676275</xdr:colOff>
      <xdr:row>14</xdr:row>
      <xdr:rowOff>66675</xdr:rowOff>
    </xdr:from>
    <xdr:to>
      <xdr:col>7</xdr:col>
      <xdr:colOff>114300</xdr:colOff>
      <xdr:row>14</xdr:row>
      <xdr:rowOff>66675</xdr:rowOff>
    </xdr:to>
    <xdr:cxnSp macro="">
      <xdr:nvCxnSpPr>
        <xdr:cNvPr id="14" name="直線矢印コネクタ 13">
          <a:extLst>
            <a:ext uri="{FF2B5EF4-FFF2-40B4-BE49-F238E27FC236}">
              <a16:creationId xmlns:a16="http://schemas.microsoft.com/office/drawing/2014/main" id="{00000000-0008-0000-0500-00000E000000}"/>
            </a:ext>
          </a:extLst>
        </xdr:cNvPr>
        <xdr:cNvCxnSpPr/>
      </xdr:nvCxnSpPr>
      <xdr:spPr>
        <a:xfrm>
          <a:off x="11649075" y="2533650"/>
          <a:ext cx="1619250" cy="0"/>
        </a:xfrm>
        <a:prstGeom prst="straightConnector1">
          <a:avLst/>
        </a:prstGeom>
        <a:ln>
          <a:headEnd type="triangle"/>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85725</xdr:colOff>
      <xdr:row>12</xdr:row>
      <xdr:rowOff>152400</xdr:rowOff>
    </xdr:from>
    <xdr:ext cx="311304" cy="264560"/>
    <xdr:sp macro="" textlink="">
      <xdr:nvSpPr>
        <xdr:cNvPr id="15" name="テキスト ボックス 14">
          <a:extLst>
            <a:ext uri="{FF2B5EF4-FFF2-40B4-BE49-F238E27FC236}">
              <a16:creationId xmlns:a16="http://schemas.microsoft.com/office/drawing/2014/main" id="{00000000-0008-0000-0500-00000F000000}"/>
            </a:ext>
          </a:extLst>
        </xdr:cNvPr>
        <xdr:cNvSpPr txBox="1"/>
      </xdr:nvSpPr>
      <xdr:spPr>
        <a:xfrm>
          <a:off x="3514725" y="2352675"/>
          <a:ext cx="3113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5s</a:t>
          </a:r>
          <a:endParaRPr kumimoji="1" lang="ja-JP" altLang="en-US" sz="1100"/>
        </a:p>
      </xdr:txBody>
    </xdr:sp>
    <xdr:clientData/>
  </xdr:oneCellAnchor>
  <xdr:twoCellAnchor>
    <xdr:from>
      <xdr:col>14</xdr:col>
      <xdr:colOff>676275</xdr:colOff>
      <xdr:row>20</xdr:row>
      <xdr:rowOff>66675</xdr:rowOff>
    </xdr:from>
    <xdr:to>
      <xdr:col>18</xdr:col>
      <xdr:colOff>0</xdr:colOff>
      <xdr:row>20</xdr:row>
      <xdr:rowOff>66675</xdr:rowOff>
    </xdr:to>
    <xdr:cxnSp macro="">
      <xdr:nvCxnSpPr>
        <xdr:cNvPr id="16" name="直線矢印コネクタ 15">
          <a:extLst>
            <a:ext uri="{FF2B5EF4-FFF2-40B4-BE49-F238E27FC236}">
              <a16:creationId xmlns:a16="http://schemas.microsoft.com/office/drawing/2014/main" id="{00000000-0008-0000-0500-000010000000}"/>
            </a:ext>
          </a:extLst>
        </xdr:cNvPr>
        <xdr:cNvCxnSpPr/>
      </xdr:nvCxnSpPr>
      <xdr:spPr>
        <a:xfrm>
          <a:off x="18068925" y="3657600"/>
          <a:ext cx="2066925" cy="0"/>
        </a:xfrm>
        <a:prstGeom prst="straightConnector1">
          <a:avLst/>
        </a:prstGeom>
        <a:ln>
          <a:headEnd type="triangle"/>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590550</xdr:colOff>
      <xdr:row>18</xdr:row>
      <xdr:rowOff>171450</xdr:rowOff>
    </xdr:from>
    <xdr:ext cx="311304" cy="264560"/>
    <xdr:sp macro="" textlink="">
      <xdr:nvSpPr>
        <xdr:cNvPr id="17" name="テキスト ボックス 16">
          <a:extLst>
            <a:ext uri="{FF2B5EF4-FFF2-40B4-BE49-F238E27FC236}">
              <a16:creationId xmlns:a16="http://schemas.microsoft.com/office/drawing/2014/main" id="{00000000-0008-0000-0500-000011000000}"/>
            </a:ext>
          </a:extLst>
        </xdr:cNvPr>
        <xdr:cNvSpPr txBox="1"/>
      </xdr:nvSpPr>
      <xdr:spPr>
        <a:xfrm>
          <a:off x="9753600" y="3495675"/>
          <a:ext cx="3113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5s</a:t>
          </a:r>
          <a:endParaRPr kumimoji="1" lang="ja-JP" altLang="en-US" sz="1100"/>
        </a:p>
      </xdr:txBody>
    </xdr:sp>
    <xdr:clientData/>
  </xdr:oneCellAnchor>
  <xdr:twoCellAnchor>
    <xdr:from>
      <xdr:col>8</xdr:col>
      <xdr:colOff>371472</xdr:colOff>
      <xdr:row>1</xdr:row>
      <xdr:rowOff>133350</xdr:rowOff>
    </xdr:from>
    <xdr:to>
      <xdr:col>20</xdr:col>
      <xdr:colOff>57149</xdr:colOff>
      <xdr:row>6</xdr:row>
      <xdr:rowOff>107824</xdr:rowOff>
    </xdr:to>
    <xdr:sp macro="" textlink="">
      <xdr:nvSpPr>
        <xdr:cNvPr id="18" name="四角形吹き出し 17">
          <a:extLst>
            <a:ext uri="{FF2B5EF4-FFF2-40B4-BE49-F238E27FC236}">
              <a16:creationId xmlns:a16="http://schemas.microsoft.com/office/drawing/2014/main" id="{00000000-0008-0000-0500-000012000000}"/>
            </a:ext>
          </a:extLst>
        </xdr:cNvPr>
        <xdr:cNvSpPr/>
      </xdr:nvSpPr>
      <xdr:spPr>
        <a:xfrm>
          <a:off x="4733922" y="304800"/>
          <a:ext cx="7915277" cy="888874"/>
        </a:xfrm>
        <a:prstGeom prst="wedgeRectCallout">
          <a:avLst>
            <a:gd name="adj1" fmla="val -55710"/>
            <a:gd name="adj2" fmla="val 201002"/>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kumimoji="1" lang="en-US" altLang="ja-JP" sz="1100">
              <a:latin typeface="Tahoma" pitchFamily="34" charset="0"/>
              <a:ea typeface="Tahoma" pitchFamily="34" charset="0"/>
              <a:cs typeface="Tahoma" pitchFamily="34" charset="0"/>
            </a:rPr>
            <a:t>AppAwake</a:t>
          </a:r>
          <a:r>
            <a:rPr kumimoji="1" lang="ja-JP" altLang="en-US" sz="1100">
              <a:latin typeface="Tahoma" pitchFamily="34" charset="0"/>
              <a:ea typeface="HG丸ｺﾞｼｯｸM-PRO" pitchFamily="50" charset="-128"/>
              <a:cs typeface="Tahoma" pitchFamily="34" charset="0"/>
            </a:rPr>
            <a:t>要求は短時間しかバス</a:t>
          </a:r>
          <a:r>
            <a:rPr kumimoji="1" lang="en-US" altLang="ja-JP" sz="1100">
              <a:latin typeface="Tahoma" pitchFamily="34" charset="0"/>
              <a:ea typeface="Tahoma" pitchFamily="34" charset="0"/>
              <a:cs typeface="Tahoma" pitchFamily="34" charset="0"/>
            </a:rPr>
            <a:t>Awake</a:t>
          </a:r>
          <a:r>
            <a:rPr kumimoji="1" lang="ja-JP" altLang="en-US" sz="1100">
              <a:latin typeface="Tahoma" pitchFamily="34" charset="0"/>
              <a:ea typeface="HG丸ｺﾞｼｯｸM-PRO" pitchFamily="50" charset="-128"/>
              <a:cs typeface="Tahoma" pitchFamily="34" charset="0"/>
            </a:rPr>
            <a:t>を要求しないが問題ないか？</a:t>
          </a:r>
          <a:endParaRPr kumimoji="1" lang="en-US" altLang="ja-JP" sz="1100">
            <a:latin typeface="Tahoma" pitchFamily="34" charset="0"/>
            <a:ea typeface="HG丸ｺﾞｼｯｸM-PRO" pitchFamily="50" charset="-128"/>
            <a:cs typeface="Tahoma" pitchFamily="34" charset="0"/>
          </a:endParaRPr>
        </a:p>
        <a:p>
          <a:pPr algn="l"/>
          <a:r>
            <a:rPr kumimoji="1" lang="ja-JP" altLang="en-US" sz="1100">
              <a:latin typeface="Tahoma" pitchFamily="34" charset="0"/>
              <a:ea typeface="HG丸ｺﾞｼｯｸM-PRO" pitchFamily="50" charset="-128"/>
              <a:cs typeface="Tahoma" pitchFamily="34" charset="0"/>
            </a:rPr>
            <a:t>観点：</a:t>
          </a:r>
          <a:r>
            <a:rPr kumimoji="1" lang="en-US" altLang="ja-JP" sz="1100">
              <a:latin typeface="Tahoma" pitchFamily="34" charset="0"/>
              <a:ea typeface="HG丸ｺﾞｼｯｸM-PRO" pitchFamily="50" charset="-128"/>
              <a:cs typeface="Tahoma" pitchFamily="34" charset="0"/>
            </a:rPr>
            <a:t>App</a:t>
          </a:r>
          <a:r>
            <a:rPr kumimoji="1" lang="en-US" altLang="ja-JP" sz="1100" baseline="0">
              <a:latin typeface="Tahoma" pitchFamily="34" charset="0"/>
              <a:ea typeface="HG丸ｺﾞｼｯｸM-PRO" pitchFamily="50" charset="-128"/>
              <a:cs typeface="Tahoma" pitchFamily="34" charset="0"/>
            </a:rPr>
            <a:t>Awake</a:t>
          </a:r>
          <a:r>
            <a:rPr kumimoji="1" lang="ja-JP" altLang="en-US" sz="1100" baseline="0">
              <a:latin typeface="Tahoma" pitchFamily="34" charset="0"/>
              <a:ea typeface="HG丸ｺﾞｼｯｸM-PRO" pitchFamily="50" charset="-128"/>
              <a:cs typeface="Tahoma" pitchFamily="34" charset="0"/>
            </a:rPr>
            <a:t>が必要になったタイミングの最新値は受信できているので問題ないと考えてよいか。</a:t>
          </a:r>
          <a:endParaRPr kumimoji="1" lang="en-US" altLang="ja-JP" sz="1100" baseline="0">
            <a:latin typeface="Tahoma" pitchFamily="34" charset="0"/>
            <a:ea typeface="HG丸ｺﾞｼｯｸM-PRO" pitchFamily="50" charset="-128"/>
            <a:cs typeface="Tahoma" pitchFamily="34" charset="0"/>
          </a:endParaRPr>
        </a:p>
        <a:p>
          <a:pPr algn="l"/>
          <a:r>
            <a:rPr kumimoji="1" lang="ja-JP" altLang="en-US" sz="1100" baseline="0">
              <a:latin typeface="Tahoma" pitchFamily="34" charset="0"/>
              <a:ea typeface="HG丸ｺﾞｼｯｸM-PRO" pitchFamily="50" charset="-128"/>
              <a:cs typeface="Tahoma" pitchFamily="34" charset="0"/>
            </a:rPr>
            <a:t>仕様案①  問題あり。</a:t>
          </a:r>
          <a:r>
            <a:rPr kumimoji="1" lang="en-US" altLang="ja-JP" sz="1100" baseline="0">
              <a:latin typeface="Tahoma" pitchFamily="34" charset="0"/>
              <a:ea typeface="HG丸ｺﾞｼｯｸM-PRO" pitchFamily="50" charset="-128"/>
              <a:cs typeface="Tahoma" pitchFamily="34" charset="0"/>
            </a:rPr>
            <a:t>AppAwake</a:t>
          </a:r>
          <a:r>
            <a:rPr kumimoji="1" lang="ja-JP" altLang="en-US" sz="1100" baseline="0">
              <a:latin typeface="Tahoma" pitchFamily="34" charset="0"/>
              <a:ea typeface="HG丸ｺﾞｼｯｸM-PRO" pitchFamily="50" charset="-128"/>
              <a:cs typeface="Tahoma" pitchFamily="34" charset="0"/>
            </a:rPr>
            <a:t>要求をリトリガする</a:t>
          </a:r>
          <a:endParaRPr kumimoji="1" lang="en-US" altLang="ja-JP" sz="1100" baseline="0">
            <a:latin typeface="Tahoma" pitchFamily="34" charset="0"/>
            <a:ea typeface="HG丸ｺﾞｼｯｸM-PRO" pitchFamily="50" charset="-128"/>
            <a:cs typeface="Tahoma" pitchFamily="34" charset="0"/>
          </a:endParaRPr>
        </a:p>
        <a:p>
          <a:pPr algn="l"/>
          <a:r>
            <a:rPr kumimoji="1" lang="ja-JP" altLang="en-US" sz="1100" baseline="0">
              <a:latin typeface="Tahoma" pitchFamily="34" charset="0"/>
              <a:ea typeface="HG丸ｺﾞｼｯｸM-PRO" pitchFamily="50" charset="-128"/>
              <a:cs typeface="Tahoma" pitchFamily="34" charset="0"/>
            </a:rPr>
            <a:t>仕様案②  問題なし。</a:t>
          </a:r>
          <a:r>
            <a:rPr kumimoji="1" lang="en-US" altLang="ja-JP" sz="1100" baseline="0">
              <a:latin typeface="Tahoma" pitchFamily="34" charset="0"/>
              <a:ea typeface="HG丸ｺﾞｼｯｸM-PRO" pitchFamily="50" charset="-128"/>
              <a:cs typeface="Tahoma" pitchFamily="34" charset="0"/>
            </a:rPr>
            <a:t>AppAwake</a:t>
          </a:r>
          <a:r>
            <a:rPr kumimoji="1" lang="ja-JP" altLang="en-US" sz="1100" baseline="0">
              <a:latin typeface="Tahoma" pitchFamily="34" charset="0"/>
              <a:ea typeface="HG丸ｺﾞｼｯｸM-PRO" pitchFamily="50" charset="-128"/>
              <a:cs typeface="Tahoma" pitchFamily="34" charset="0"/>
            </a:rPr>
            <a:t>要求をリトリガしない（</a:t>
          </a:r>
          <a:r>
            <a:rPr kumimoji="1" lang="en-US" altLang="ja-JP" sz="1100" baseline="0">
              <a:latin typeface="Tahoma" pitchFamily="34" charset="0"/>
              <a:ea typeface="HG丸ｺﾞｼｯｸM-PRO" pitchFamily="50" charset="-128"/>
              <a:cs typeface="Tahoma" pitchFamily="34" charset="0"/>
            </a:rPr>
            <a:t>AXCS/DECSTAR</a:t>
          </a:r>
          <a:r>
            <a:rPr kumimoji="1" lang="ja-JP" altLang="en-US" sz="1100" baseline="0">
              <a:latin typeface="Tahoma" pitchFamily="34" charset="0"/>
              <a:ea typeface="HG丸ｺﾞｼｯｸM-PRO" pitchFamily="50" charset="-128"/>
              <a:cs typeface="Tahoma" pitchFamily="34" charset="0"/>
            </a:rPr>
            <a:t>の作り） 　⇒</a:t>
          </a:r>
          <a:r>
            <a:rPr kumimoji="1" lang="ja-JP" altLang="en-US" sz="1100" b="1" baseline="0">
              <a:latin typeface="Tahoma" pitchFamily="34" charset="0"/>
              <a:ea typeface="HG丸ｺﾞｼｯｸM-PRO" pitchFamily="50" charset="-128"/>
              <a:cs typeface="Tahoma" pitchFamily="34" charset="0"/>
            </a:rPr>
            <a:t>採用</a:t>
          </a:r>
          <a:endParaRPr kumimoji="1" lang="ja-JP" altLang="en-US" sz="1100" b="1">
            <a:latin typeface="Tahoma" pitchFamily="34" charset="0"/>
            <a:ea typeface="HG丸ｺﾞｼｯｸM-PRO" pitchFamily="50" charset="-128"/>
            <a:cs typeface="Tahoma" pitchFamily="34" charset="0"/>
          </a:endParaRPr>
        </a:p>
      </xdr:txBody>
    </xdr:sp>
    <xdr:clientData/>
  </xdr:twoCellAnchor>
  <xdr:twoCellAnchor>
    <xdr:from>
      <xdr:col>15</xdr:col>
      <xdr:colOff>428625</xdr:colOff>
      <xdr:row>13</xdr:row>
      <xdr:rowOff>85725</xdr:rowOff>
    </xdr:from>
    <xdr:to>
      <xdr:col>20</xdr:col>
      <xdr:colOff>381000</xdr:colOff>
      <xdr:row>18</xdr:row>
      <xdr:rowOff>38101</xdr:rowOff>
    </xdr:to>
    <xdr:sp macro="" textlink="">
      <xdr:nvSpPr>
        <xdr:cNvPr id="19" name="四角形吹き出し 18">
          <a:extLst>
            <a:ext uri="{FF2B5EF4-FFF2-40B4-BE49-F238E27FC236}">
              <a16:creationId xmlns:a16="http://schemas.microsoft.com/office/drawing/2014/main" id="{00000000-0008-0000-0500-000013000000}"/>
            </a:ext>
          </a:extLst>
        </xdr:cNvPr>
        <xdr:cNvSpPr/>
      </xdr:nvSpPr>
      <xdr:spPr>
        <a:xfrm>
          <a:off x="9591675" y="2476500"/>
          <a:ext cx="3381375" cy="885826"/>
        </a:xfrm>
        <a:prstGeom prst="wedgeRectCallout">
          <a:avLst>
            <a:gd name="adj1" fmla="val -26652"/>
            <a:gd name="adj2" fmla="val 86450"/>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kumimoji="1" lang="ja-JP" altLang="en-US" sz="1100" b="1">
              <a:solidFill>
                <a:srgbClr val="FF0000"/>
              </a:solidFill>
              <a:latin typeface="Tahoma" pitchFamily="34" charset="0"/>
              <a:ea typeface="HG丸ｺﾞｼｯｸM-PRO" pitchFamily="50" charset="-128"/>
              <a:cs typeface="Tahoma" pitchFamily="34" charset="0"/>
            </a:rPr>
            <a:t>最新のタイムスタンプ値を受信できない（</a:t>
          </a:r>
          <a:r>
            <a:rPr kumimoji="1" lang="en-US" altLang="ja-JP" sz="1100" b="1">
              <a:solidFill>
                <a:srgbClr val="FF0000"/>
              </a:solidFill>
              <a:latin typeface="Tahoma" pitchFamily="34" charset="0"/>
              <a:ea typeface="HG丸ｺﾞｼｯｸM-PRO" pitchFamily="50" charset="-128"/>
              <a:cs typeface="Tahoma" pitchFamily="34" charset="0"/>
            </a:rPr>
            <a:t>AXCS/DECSTAR</a:t>
          </a:r>
          <a:r>
            <a:rPr kumimoji="1" lang="ja-JP" altLang="en-US" sz="1100" b="1">
              <a:solidFill>
                <a:srgbClr val="FF0000"/>
              </a:solidFill>
              <a:latin typeface="Tahoma" pitchFamily="34" charset="0"/>
              <a:ea typeface="HG丸ｺﾞｼｯｸM-PRO" pitchFamily="50" charset="-128"/>
              <a:cs typeface="Tahoma" pitchFamily="34" charset="0"/>
            </a:rPr>
            <a:t>の作り）</a:t>
          </a:r>
          <a:br>
            <a:rPr kumimoji="1" lang="en-US" altLang="ja-JP" sz="1100" b="1">
              <a:solidFill>
                <a:srgbClr val="FF0000"/>
              </a:solidFill>
              <a:latin typeface="Tahoma" pitchFamily="34" charset="0"/>
              <a:ea typeface="HG丸ｺﾞｼｯｸM-PRO" pitchFamily="50" charset="-128"/>
              <a:cs typeface="Tahoma" pitchFamily="34" charset="0"/>
            </a:rPr>
          </a:br>
          <a:r>
            <a:rPr kumimoji="1" lang="ja-JP" altLang="en-US" sz="1100" b="1">
              <a:solidFill>
                <a:srgbClr val="FF0000"/>
              </a:solidFill>
              <a:latin typeface="Tahoma" pitchFamily="34" charset="0"/>
              <a:ea typeface="HG丸ｺﾞｼｯｸM-PRO" pitchFamily="50" charset="-128"/>
              <a:cs typeface="Tahoma" pitchFamily="34" charset="0"/>
            </a:rPr>
            <a:t>⇒問題あり。新しい</a:t>
          </a:r>
          <a:r>
            <a:rPr kumimoji="1" lang="en-US" altLang="ja-JP" sz="1100" b="1">
              <a:solidFill>
                <a:srgbClr val="FF0000"/>
              </a:solidFill>
              <a:latin typeface="Tahoma" pitchFamily="34" charset="0"/>
              <a:ea typeface="HG丸ｺﾞｼｯｸM-PRO" pitchFamily="50" charset="-128"/>
              <a:cs typeface="Tahoma" pitchFamily="34" charset="0"/>
            </a:rPr>
            <a:t>AppAwake</a:t>
          </a:r>
          <a:r>
            <a:rPr kumimoji="1" lang="ja-JP" altLang="en-US" sz="1100" b="1">
              <a:solidFill>
                <a:srgbClr val="FF0000"/>
              </a:solidFill>
              <a:latin typeface="Tahoma" pitchFamily="34" charset="0"/>
              <a:ea typeface="HG丸ｺﾞｼｯｸM-PRO" pitchFamily="50" charset="-128"/>
              <a:cs typeface="Tahoma" pitchFamily="34" charset="0"/>
            </a:rPr>
            <a:t>要求検出した場合はバスウェイクアップする</a:t>
          </a:r>
        </a:p>
      </xdr:txBody>
    </xdr:sp>
    <xdr:clientData/>
  </xdr:twoCellAnchor>
  <xdr:twoCellAnchor>
    <xdr:from>
      <xdr:col>5</xdr:col>
      <xdr:colOff>285749</xdr:colOff>
      <xdr:row>9</xdr:row>
      <xdr:rowOff>142875</xdr:rowOff>
    </xdr:from>
    <xdr:to>
      <xdr:col>6</xdr:col>
      <xdr:colOff>85724</xdr:colOff>
      <xdr:row>12</xdr:row>
      <xdr:rowOff>114300</xdr:rowOff>
    </xdr:to>
    <xdr:sp macro="" textlink="">
      <xdr:nvSpPr>
        <xdr:cNvPr id="20" name="稲妻 19">
          <a:extLst>
            <a:ext uri="{FF2B5EF4-FFF2-40B4-BE49-F238E27FC236}">
              <a16:creationId xmlns:a16="http://schemas.microsoft.com/office/drawing/2014/main" id="{00000000-0008-0000-0500-000014000000}"/>
            </a:ext>
          </a:extLst>
        </xdr:cNvPr>
        <xdr:cNvSpPr/>
      </xdr:nvSpPr>
      <xdr:spPr>
        <a:xfrm>
          <a:off x="12630149" y="1676400"/>
          <a:ext cx="485775" cy="523875"/>
        </a:xfrm>
        <a:prstGeom prst="lightningBol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１</a:t>
          </a:r>
        </a:p>
      </xdr:txBody>
    </xdr:sp>
    <xdr:clientData/>
  </xdr:twoCellAnchor>
  <xdr:oneCellAnchor>
    <xdr:from>
      <xdr:col>3</xdr:col>
      <xdr:colOff>161925</xdr:colOff>
      <xdr:row>10</xdr:row>
      <xdr:rowOff>133350</xdr:rowOff>
    </xdr:from>
    <xdr:ext cx="1590500" cy="275717"/>
    <xdr:sp macro="" textlink="">
      <xdr:nvSpPr>
        <xdr:cNvPr id="21" name="テキスト ボックス 20">
          <a:extLst>
            <a:ext uri="{FF2B5EF4-FFF2-40B4-BE49-F238E27FC236}">
              <a16:creationId xmlns:a16="http://schemas.microsoft.com/office/drawing/2014/main" id="{00000000-0008-0000-0500-000015000000}"/>
            </a:ext>
          </a:extLst>
        </xdr:cNvPr>
        <xdr:cNvSpPr txBox="1"/>
      </xdr:nvSpPr>
      <xdr:spPr>
        <a:xfrm>
          <a:off x="2219325" y="1971675"/>
          <a:ext cx="1590500"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FF0000"/>
              </a:solidFill>
              <a:latin typeface="Tahoma" pitchFamily="34" charset="0"/>
              <a:ea typeface="Tahoma" pitchFamily="34" charset="0"/>
              <a:cs typeface="Tahoma" pitchFamily="34" charset="0"/>
            </a:rPr>
            <a:t>+B</a:t>
          </a:r>
          <a:r>
            <a:rPr kumimoji="1" lang="ja-JP" altLang="en-US" sz="1100">
              <a:solidFill>
                <a:srgbClr val="FF0000"/>
              </a:solidFill>
              <a:latin typeface="Tahoma" pitchFamily="34" charset="0"/>
              <a:ea typeface="HG丸ｺﾞｼｯｸM-PRO" pitchFamily="50" charset="-128"/>
              <a:cs typeface="Tahoma" pitchFamily="34" charset="0"/>
            </a:rPr>
            <a:t>系の表示器が</a:t>
          </a:r>
          <a:r>
            <a:rPr kumimoji="1" lang="en-US" altLang="ja-JP" sz="1100">
              <a:solidFill>
                <a:srgbClr val="FF0000"/>
              </a:solidFill>
              <a:latin typeface="Tahoma" pitchFamily="34" charset="0"/>
              <a:ea typeface="Tahoma" pitchFamily="34" charset="0"/>
              <a:cs typeface="Tahoma" pitchFamily="34" charset="0"/>
            </a:rPr>
            <a:t>Active</a:t>
          </a:r>
          <a:endParaRPr kumimoji="1" lang="ja-JP" altLang="en-US" sz="1100">
            <a:solidFill>
              <a:srgbClr val="FF0000"/>
            </a:solidFill>
            <a:latin typeface="Tahoma" pitchFamily="34" charset="0"/>
            <a:ea typeface="HG丸ｺﾞｼｯｸM-PRO" pitchFamily="50" charset="-128"/>
            <a:cs typeface="Tahoma" pitchFamily="34" charset="0"/>
          </a:endParaRPr>
        </a:p>
      </xdr:txBody>
    </xdr:sp>
    <xdr:clientData/>
  </xdr:oneCellAnchor>
  <xdr:twoCellAnchor>
    <xdr:from>
      <xdr:col>14</xdr:col>
      <xdr:colOff>247650</xdr:colOff>
      <xdr:row>16</xdr:row>
      <xdr:rowOff>0</xdr:rowOff>
    </xdr:from>
    <xdr:to>
      <xdr:col>14</xdr:col>
      <xdr:colOff>666749</xdr:colOff>
      <xdr:row>18</xdr:row>
      <xdr:rowOff>142875</xdr:rowOff>
    </xdr:to>
    <xdr:sp macro="" textlink="">
      <xdr:nvSpPr>
        <xdr:cNvPr id="22" name="稲妻 21">
          <a:extLst>
            <a:ext uri="{FF2B5EF4-FFF2-40B4-BE49-F238E27FC236}">
              <a16:creationId xmlns:a16="http://schemas.microsoft.com/office/drawing/2014/main" id="{00000000-0008-0000-0500-000016000000}"/>
            </a:ext>
          </a:extLst>
        </xdr:cNvPr>
        <xdr:cNvSpPr/>
      </xdr:nvSpPr>
      <xdr:spPr>
        <a:xfrm>
          <a:off x="17640300" y="2838450"/>
          <a:ext cx="419099" cy="514350"/>
        </a:xfrm>
        <a:prstGeom prst="lightningBolt">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１</a:t>
          </a:r>
        </a:p>
      </xdr:txBody>
    </xdr:sp>
    <xdr:clientData/>
  </xdr:twoCellAnchor>
  <xdr:oneCellAnchor>
    <xdr:from>
      <xdr:col>13</xdr:col>
      <xdr:colOff>266700</xdr:colOff>
      <xdr:row>16</xdr:row>
      <xdr:rowOff>180975</xdr:rowOff>
    </xdr:from>
    <xdr:ext cx="729559" cy="275717"/>
    <xdr:sp macro="" textlink="">
      <xdr:nvSpPr>
        <xdr:cNvPr id="23" name="テキスト ボックス 22">
          <a:extLst>
            <a:ext uri="{FF2B5EF4-FFF2-40B4-BE49-F238E27FC236}">
              <a16:creationId xmlns:a16="http://schemas.microsoft.com/office/drawing/2014/main" id="{00000000-0008-0000-0500-000017000000}"/>
            </a:ext>
          </a:extLst>
        </xdr:cNvPr>
        <xdr:cNvSpPr txBox="1"/>
      </xdr:nvSpPr>
      <xdr:spPr>
        <a:xfrm>
          <a:off x="8058150" y="3133725"/>
          <a:ext cx="72955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solidFill>
                <a:srgbClr val="FF0000"/>
              </a:solidFill>
              <a:latin typeface="Tahoma" pitchFamily="34" charset="0"/>
              <a:ea typeface="Tahoma" pitchFamily="34" charset="0"/>
              <a:cs typeface="Tahoma" pitchFamily="34" charset="0"/>
            </a:rPr>
            <a:t>DTC</a:t>
          </a:r>
          <a:r>
            <a:rPr kumimoji="1" lang="ja-JP" altLang="en-US" sz="1100">
              <a:solidFill>
                <a:srgbClr val="FF0000"/>
              </a:solidFill>
              <a:latin typeface="Tahoma" pitchFamily="34" charset="0"/>
              <a:ea typeface="HG丸ｺﾞｼｯｸM-PRO" pitchFamily="50" charset="-128"/>
              <a:cs typeface="Tahoma" pitchFamily="34" charset="0"/>
            </a:rPr>
            <a:t>検知</a:t>
          </a:r>
        </a:p>
      </xdr:txBody>
    </xdr:sp>
    <xdr:clientData/>
  </xdr:oneCellAnchor>
  <xdr:twoCellAnchor>
    <xdr:from>
      <xdr:col>6</xdr:col>
      <xdr:colOff>104775</xdr:colOff>
      <xdr:row>15</xdr:row>
      <xdr:rowOff>85725</xdr:rowOff>
    </xdr:from>
    <xdr:to>
      <xdr:col>9</xdr:col>
      <xdr:colOff>666750</xdr:colOff>
      <xdr:row>15</xdr:row>
      <xdr:rowOff>85725</xdr:rowOff>
    </xdr:to>
    <xdr:cxnSp macro="">
      <xdr:nvCxnSpPr>
        <xdr:cNvPr id="24" name="直線矢印コネクタ 23">
          <a:extLst>
            <a:ext uri="{FF2B5EF4-FFF2-40B4-BE49-F238E27FC236}">
              <a16:creationId xmlns:a16="http://schemas.microsoft.com/office/drawing/2014/main" id="{00000000-0008-0000-0500-000018000000}"/>
            </a:ext>
          </a:extLst>
        </xdr:cNvPr>
        <xdr:cNvCxnSpPr/>
      </xdr:nvCxnSpPr>
      <xdr:spPr>
        <a:xfrm>
          <a:off x="13134975" y="2733675"/>
          <a:ext cx="1495425" cy="0"/>
        </a:xfrm>
        <a:prstGeom prst="straightConnector1">
          <a:avLst/>
        </a:prstGeom>
        <a:ln>
          <a:headEnd type="triangle"/>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419100</xdr:colOff>
      <xdr:row>13</xdr:row>
      <xdr:rowOff>161925</xdr:rowOff>
    </xdr:from>
    <xdr:ext cx="311304" cy="264560"/>
    <xdr:sp macro="" textlink="">
      <xdr:nvSpPr>
        <xdr:cNvPr id="25" name="テキスト ボックス 24">
          <a:extLst>
            <a:ext uri="{FF2B5EF4-FFF2-40B4-BE49-F238E27FC236}">
              <a16:creationId xmlns:a16="http://schemas.microsoft.com/office/drawing/2014/main" id="{00000000-0008-0000-0500-000019000000}"/>
            </a:ext>
          </a:extLst>
        </xdr:cNvPr>
        <xdr:cNvSpPr txBox="1"/>
      </xdr:nvSpPr>
      <xdr:spPr>
        <a:xfrm>
          <a:off x="4781550" y="2552700"/>
          <a:ext cx="3113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5s</a:t>
          </a:r>
          <a:endParaRPr kumimoji="1" lang="ja-JP" alt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irius\project\P60299xxx\02&#26696;&#20214;\01_T5AA\02_T7AA_&#21335;&#31859;FFV_&#31481;_D1\30_&#35413;&#20385;\02_&#22806;&#37096;&#12486;&#12473;&#12488;&#22577;&#21578;&#26360;\1&#22238;&#30446;\&#12304;T5AA&#12305;FTP_31_FCAN&#21046;&#244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項目一覧"/>
      <sheetName val="NG・保留項目一覧"/>
      <sheetName val="手順(31-01-001)"/>
      <sheetName val="結果(31-01-001)"/>
      <sheetName val="手順(31-01-002)"/>
      <sheetName val="結果(31-01-002)"/>
      <sheetName val="手順(31-01-003)"/>
      <sheetName val="結果(31-01-003)"/>
      <sheetName val="手順(31-01-004)"/>
      <sheetName val="結果(31-01-004)"/>
      <sheetName val="手順(31-01-005)"/>
      <sheetName val="結果(31-01-005)"/>
      <sheetName val="手順(31-01-006)"/>
      <sheetName val="結果(31-01-006)"/>
      <sheetName val="手順(31-01-007)"/>
      <sheetName val="結果(31-01-007)"/>
      <sheetName val="手順(31-01-008)"/>
      <sheetName val="結果(31-01-008)"/>
      <sheetName val="手順(31-01-009)"/>
      <sheetName val="結果(31-01-009)"/>
      <sheetName val="結果(31-01-009)ソースコード"/>
      <sheetName val="Par"/>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87"/>
  <sheetViews>
    <sheetView zoomScale="85" zoomScaleNormal="85" workbookViewId="0"/>
  </sheetViews>
  <sheetFormatPr defaultRowHeight="14.25"/>
  <cols>
    <col min="1" max="1" width="33.5" style="2" bestFit="1" customWidth="1"/>
    <col min="2" max="6" width="2.75" style="2" customWidth="1"/>
    <col min="7" max="10" width="16" style="2" customWidth="1"/>
    <col min="11" max="11" width="17.75" style="2" customWidth="1"/>
    <col min="12" max="12" width="3" style="2" customWidth="1"/>
    <col min="13" max="13" width="13.625" style="2" bestFit="1" customWidth="1"/>
    <col min="14" max="14" width="3.125" style="2" bestFit="1" customWidth="1"/>
    <col min="15" max="15" width="48.625" style="2" bestFit="1" customWidth="1"/>
    <col min="16" max="16" width="39.625" style="2" bestFit="1" customWidth="1"/>
    <col min="17" max="17" width="3.625" style="2" customWidth="1"/>
    <col min="18" max="18" width="3.625" style="2" bestFit="1" customWidth="1"/>
    <col min="19" max="16384" width="9" style="2"/>
  </cols>
  <sheetData>
    <row r="1" spans="1:16" ht="19.5">
      <c r="A1" s="49" t="s">
        <v>62</v>
      </c>
    </row>
    <row r="3" spans="1:16">
      <c r="B3" s="2" t="s">
        <v>63</v>
      </c>
      <c r="J3" s="2" t="s">
        <v>64</v>
      </c>
    </row>
    <row r="4" spans="1:16">
      <c r="B4" s="50"/>
      <c r="C4" s="51"/>
      <c r="D4" s="52" t="s">
        <v>65</v>
      </c>
      <c r="E4" s="53"/>
      <c r="F4" s="53"/>
      <c r="G4" s="53"/>
      <c r="H4" s="54"/>
      <c r="J4" s="50" t="s">
        <v>66</v>
      </c>
      <c r="K4" s="51"/>
      <c r="L4" s="55" t="s">
        <v>67</v>
      </c>
      <c r="M4" s="50" t="s">
        <v>68</v>
      </c>
      <c r="N4" s="56"/>
      <c r="O4" s="56"/>
      <c r="P4" s="56"/>
    </row>
    <row r="5" spans="1:16">
      <c r="B5" s="57"/>
      <c r="C5" s="58"/>
      <c r="D5" s="59"/>
      <c r="E5" s="60"/>
      <c r="F5" s="60"/>
      <c r="G5" s="60"/>
      <c r="H5" s="61"/>
      <c r="J5" s="62" t="s">
        <v>51</v>
      </c>
      <c r="K5" s="63"/>
      <c r="L5" s="64">
        <v>0</v>
      </c>
      <c r="M5" s="65" t="s">
        <v>69</v>
      </c>
      <c r="N5" s="64"/>
      <c r="O5" s="64"/>
      <c r="P5" s="64"/>
    </row>
    <row r="6" spans="1:16">
      <c r="B6" s="66"/>
      <c r="C6" s="67"/>
      <c r="D6" s="59"/>
      <c r="E6" s="60"/>
      <c r="F6" s="60"/>
      <c r="G6" s="60"/>
      <c r="H6" s="61"/>
      <c r="J6" s="68"/>
      <c r="K6" s="69"/>
      <c r="L6" s="60">
        <v>1</v>
      </c>
      <c r="M6" s="59" t="s">
        <v>70</v>
      </c>
      <c r="N6" s="60"/>
      <c r="O6" s="60"/>
      <c r="P6" s="64"/>
    </row>
    <row r="7" spans="1:16">
      <c r="B7" s="70"/>
      <c r="C7" s="71"/>
      <c r="D7" s="72"/>
      <c r="E7" s="73"/>
      <c r="F7" s="73"/>
      <c r="G7" s="73"/>
      <c r="H7" s="74"/>
      <c r="J7" s="62" t="s">
        <v>52</v>
      </c>
      <c r="K7" s="63"/>
      <c r="L7" s="64">
        <v>0</v>
      </c>
      <c r="M7" s="65" t="s">
        <v>71</v>
      </c>
      <c r="N7" s="64"/>
      <c r="O7" s="64"/>
      <c r="P7" s="64"/>
    </row>
    <row r="8" spans="1:16">
      <c r="B8" s="75"/>
      <c r="C8" s="76"/>
      <c r="D8" s="52" t="s">
        <v>72</v>
      </c>
      <c r="E8" s="53"/>
      <c r="F8" s="53"/>
      <c r="G8" s="53"/>
      <c r="H8" s="54"/>
      <c r="J8" s="68"/>
      <c r="K8" s="69"/>
      <c r="L8" s="60">
        <v>1</v>
      </c>
      <c r="M8" s="59" t="s">
        <v>73</v>
      </c>
      <c r="N8" s="60"/>
      <c r="O8" s="60"/>
      <c r="P8" s="64"/>
    </row>
    <row r="9" spans="1:16">
      <c r="B9" s="77"/>
      <c r="C9" s="78"/>
      <c r="D9" s="72" t="s">
        <v>74</v>
      </c>
      <c r="E9" s="73"/>
      <c r="F9" s="73"/>
      <c r="G9" s="73"/>
      <c r="H9" s="74"/>
      <c r="J9" s="62" t="s">
        <v>53</v>
      </c>
      <c r="K9" s="63"/>
      <c r="L9" s="64">
        <v>0</v>
      </c>
      <c r="M9" s="65" t="s">
        <v>75</v>
      </c>
      <c r="N9" s="64"/>
      <c r="O9" s="64"/>
      <c r="P9" s="64"/>
    </row>
    <row r="10" spans="1:16">
      <c r="B10" s="79" t="s">
        <v>76</v>
      </c>
      <c r="C10" s="80"/>
      <c r="D10" s="72" t="s">
        <v>77</v>
      </c>
      <c r="E10" s="73"/>
      <c r="F10" s="73"/>
      <c r="G10" s="73"/>
      <c r="H10" s="74"/>
      <c r="J10" s="68"/>
      <c r="K10" s="69"/>
      <c r="L10" s="60">
        <v>1</v>
      </c>
      <c r="M10" s="59" t="s">
        <v>78</v>
      </c>
      <c r="N10" s="60"/>
      <c r="O10" s="60"/>
      <c r="P10" s="64"/>
    </row>
    <row r="11" spans="1:16">
      <c r="B11" s="81"/>
      <c r="C11" s="82"/>
      <c r="D11" s="82"/>
      <c r="E11" s="82"/>
      <c r="F11" s="82"/>
      <c r="G11" s="82"/>
      <c r="H11" s="82"/>
      <c r="J11" s="62" t="s">
        <v>54</v>
      </c>
      <c r="K11" s="63"/>
      <c r="L11" s="52">
        <v>0</v>
      </c>
      <c r="M11" s="52" t="s">
        <v>79</v>
      </c>
      <c r="N11" s="53"/>
      <c r="O11" s="53"/>
      <c r="P11" s="53"/>
    </row>
    <row r="12" spans="1:16">
      <c r="B12" s="81"/>
      <c r="C12" s="82"/>
      <c r="D12" s="82"/>
      <c r="E12" s="82"/>
      <c r="F12" s="82"/>
      <c r="G12" s="82"/>
      <c r="H12" s="82"/>
      <c r="J12" s="83"/>
      <c r="K12" s="84"/>
      <c r="L12" s="85"/>
      <c r="M12" s="59" t="s">
        <v>80</v>
      </c>
      <c r="N12" s="60"/>
      <c r="O12" s="60"/>
      <c r="P12" s="60"/>
    </row>
    <row r="13" spans="1:16">
      <c r="B13" s="81"/>
      <c r="C13" s="82"/>
      <c r="D13" s="82"/>
      <c r="E13" s="82"/>
      <c r="F13" s="82"/>
      <c r="G13" s="82"/>
      <c r="H13" s="82"/>
      <c r="J13" s="83"/>
      <c r="K13" s="84"/>
      <c r="L13" s="60">
        <v>1</v>
      </c>
      <c r="M13" s="52" t="s">
        <v>81</v>
      </c>
      <c r="N13" s="53"/>
      <c r="O13" s="53"/>
      <c r="P13" s="53"/>
    </row>
    <row r="14" spans="1:16">
      <c r="B14" s="81"/>
      <c r="C14" s="82"/>
      <c r="D14" s="82"/>
      <c r="E14" s="82"/>
      <c r="F14" s="82"/>
      <c r="G14" s="82"/>
      <c r="H14" s="82"/>
      <c r="J14" s="68"/>
      <c r="K14" s="69"/>
      <c r="L14" s="60"/>
      <c r="M14" s="72" t="s">
        <v>82</v>
      </c>
      <c r="N14" s="73"/>
      <c r="O14" s="73"/>
      <c r="P14" s="73"/>
    </row>
    <row r="15" spans="1:16">
      <c r="B15" s="81"/>
      <c r="C15" s="82"/>
      <c r="D15" s="82"/>
      <c r="E15" s="82"/>
      <c r="F15" s="82"/>
      <c r="G15" s="82"/>
      <c r="H15" s="82"/>
      <c r="J15" s="62" t="s">
        <v>55</v>
      </c>
      <c r="K15" s="63"/>
      <c r="L15" s="64">
        <v>0</v>
      </c>
      <c r="M15" s="65" t="s">
        <v>83</v>
      </c>
      <c r="N15" s="64"/>
      <c r="O15" s="64"/>
      <c r="P15" s="64"/>
    </row>
    <row r="16" spans="1:16">
      <c r="B16" s="81"/>
      <c r="C16" s="82"/>
      <c r="D16" s="82"/>
      <c r="E16" s="82"/>
      <c r="F16" s="82"/>
      <c r="G16" s="82"/>
      <c r="H16" s="82"/>
      <c r="J16" s="83"/>
      <c r="K16" s="84"/>
      <c r="L16" s="86">
        <v>1</v>
      </c>
      <c r="M16" s="52" t="s">
        <v>84</v>
      </c>
      <c r="N16" s="53"/>
      <c r="O16" s="53"/>
      <c r="P16" s="53"/>
    </row>
    <row r="17" spans="1:18">
      <c r="B17" s="81"/>
      <c r="C17" s="82"/>
      <c r="D17" s="82"/>
      <c r="E17" s="82"/>
      <c r="F17" s="82"/>
      <c r="G17" s="82"/>
      <c r="H17" s="82"/>
      <c r="J17" s="83"/>
      <c r="K17" s="84"/>
      <c r="L17" s="87"/>
      <c r="M17" s="88" t="s">
        <v>85</v>
      </c>
      <c r="N17" s="60"/>
      <c r="O17" s="60"/>
      <c r="P17" s="60"/>
    </row>
    <row r="18" spans="1:18">
      <c r="B18" s="81"/>
      <c r="C18" s="82"/>
      <c r="D18" s="82"/>
      <c r="E18" s="82"/>
      <c r="F18" s="82"/>
      <c r="G18" s="82"/>
      <c r="H18" s="82"/>
      <c r="J18" s="83"/>
      <c r="K18" s="84"/>
      <c r="L18" s="87"/>
      <c r="M18" s="59" t="s">
        <v>86</v>
      </c>
      <c r="N18" s="60"/>
      <c r="O18" s="60"/>
      <c r="P18" s="60"/>
    </row>
    <row r="19" spans="1:18">
      <c r="B19" s="81"/>
      <c r="C19" s="82"/>
      <c r="D19" s="82"/>
      <c r="E19" s="82"/>
      <c r="F19" s="82"/>
      <c r="G19" s="82"/>
      <c r="H19" s="82"/>
      <c r="J19" s="68"/>
      <c r="K19" s="69"/>
      <c r="L19" s="85"/>
      <c r="M19" s="72" t="s">
        <v>87</v>
      </c>
      <c r="N19" s="73"/>
      <c r="O19" s="73"/>
      <c r="P19" s="73"/>
    </row>
    <row r="21" spans="1:18">
      <c r="B21" s="89" t="s">
        <v>0</v>
      </c>
      <c r="C21" s="90"/>
      <c r="D21" s="90"/>
      <c r="E21" s="90"/>
      <c r="F21" s="90"/>
      <c r="G21" s="91" t="s">
        <v>1</v>
      </c>
      <c r="H21" s="92"/>
      <c r="I21" s="92"/>
      <c r="J21" s="92"/>
      <c r="K21" s="93"/>
      <c r="O21" s="94"/>
      <c r="P21" s="94"/>
      <c r="Q21" s="95" t="s">
        <v>2</v>
      </c>
      <c r="R21" s="96"/>
    </row>
    <row r="22" spans="1:18" ht="216.75" customHeight="1">
      <c r="B22" s="97" t="s">
        <v>51</v>
      </c>
      <c r="C22" s="97" t="s">
        <v>52</v>
      </c>
      <c r="D22" s="97" t="s">
        <v>53</v>
      </c>
      <c r="E22" s="97" t="s">
        <v>54</v>
      </c>
      <c r="F22" s="97" t="s">
        <v>55</v>
      </c>
      <c r="G22" s="98" t="s">
        <v>56</v>
      </c>
      <c r="H22" s="99" t="s">
        <v>57</v>
      </c>
      <c r="I22" s="100" t="s">
        <v>58</v>
      </c>
      <c r="J22" s="101" t="s">
        <v>59</v>
      </c>
      <c r="K22" s="102" t="s">
        <v>5</v>
      </c>
      <c r="O22" s="103" t="s">
        <v>4</v>
      </c>
      <c r="P22" s="103" t="s">
        <v>3</v>
      </c>
      <c r="Q22" s="104" t="s">
        <v>60</v>
      </c>
      <c r="R22" s="105" t="s">
        <v>61</v>
      </c>
    </row>
    <row r="23" spans="1:18">
      <c r="B23" s="106">
        <v>0</v>
      </c>
      <c r="C23" s="106">
        <v>0</v>
      </c>
      <c r="D23" s="106">
        <v>0</v>
      </c>
      <c r="E23" s="106">
        <v>0</v>
      </c>
      <c r="F23" s="106">
        <v>0</v>
      </c>
      <c r="G23" s="107" t="s">
        <v>48</v>
      </c>
      <c r="H23" s="107" t="s">
        <v>48</v>
      </c>
      <c r="I23" s="107" t="s">
        <v>48</v>
      </c>
      <c r="J23" s="107" t="s">
        <v>48</v>
      </c>
      <c r="K23" s="108" t="s">
        <v>38</v>
      </c>
      <c r="N23" s="2">
        <v>0</v>
      </c>
      <c r="O23" s="107" t="s">
        <v>49</v>
      </c>
      <c r="P23" s="107" t="s">
        <v>56</v>
      </c>
      <c r="Q23" s="109">
        <v>1</v>
      </c>
      <c r="R23" s="109">
        <v>0</v>
      </c>
    </row>
    <row r="24" spans="1:18">
      <c r="B24" s="106">
        <v>0</v>
      </c>
      <c r="C24" s="106">
        <v>0</v>
      </c>
      <c r="D24" s="106">
        <v>0</v>
      </c>
      <c r="E24" s="106">
        <v>0</v>
      </c>
      <c r="F24" s="106">
        <v>1</v>
      </c>
      <c r="G24" s="107" t="s">
        <v>48</v>
      </c>
      <c r="H24" s="107" t="s">
        <v>48</v>
      </c>
      <c r="I24" s="107" t="s">
        <v>48</v>
      </c>
      <c r="J24" s="107" t="s">
        <v>48</v>
      </c>
      <c r="K24" s="110" t="s">
        <v>88</v>
      </c>
      <c r="N24" s="2">
        <v>1</v>
      </c>
      <c r="O24" s="107" t="s">
        <v>50</v>
      </c>
      <c r="P24" s="107" t="s">
        <v>56</v>
      </c>
      <c r="Q24" s="109">
        <v>1</v>
      </c>
      <c r="R24" s="109">
        <v>0</v>
      </c>
    </row>
    <row r="25" spans="1:18">
      <c r="A25" s="2" t="s">
        <v>93</v>
      </c>
      <c r="B25" s="106">
        <v>0</v>
      </c>
      <c r="C25" s="106">
        <v>0</v>
      </c>
      <c r="D25" s="106">
        <v>0</v>
      </c>
      <c r="E25" s="114">
        <v>1</v>
      </c>
      <c r="F25" s="106">
        <v>0</v>
      </c>
      <c r="G25" s="107" t="s">
        <v>48</v>
      </c>
      <c r="H25" s="107" t="s">
        <v>48</v>
      </c>
      <c r="I25" s="107" t="s">
        <v>48</v>
      </c>
      <c r="J25" s="107" t="s">
        <v>48</v>
      </c>
      <c r="K25" s="110" t="s">
        <v>89</v>
      </c>
      <c r="N25" s="2">
        <v>2</v>
      </c>
      <c r="O25" s="111" t="s">
        <v>39</v>
      </c>
      <c r="P25" s="111" t="s">
        <v>57</v>
      </c>
      <c r="Q25" s="109">
        <v>1</v>
      </c>
      <c r="R25" s="109">
        <v>1</v>
      </c>
    </row>
    <row r="26" spans="1:18">
      <c r="A26" s="2" t="s">
        <v>93</v>
      </c>
      <c r="B26" s="106">
        <v>0</v>
      </c>
      <c r="C26" s="106">
        <v>0</v>
      </c>
      <c r="D26" s="106">
        <v>0</v>
      </c>
      <c r="E26" s="114">
        <v>1</v>
      </c>
      <c r="F26" s="106">
        <v>1</v>
      </c>
      <c r="G26" s="107" t="s">
        <v>48</v>
      </c>
      <c r="H26" s="107" t="s">
        <v>48</v>
      </c>
      <c r="I26" s="107" t="s">
        <v>48</v>
      </c>
      <c r="J26" s="107" t="s">
        <v>48</v>
      </c>
      <c r="K26" s="110" t="s">
        <v>90</v>
      </c>
      <c r="N26" s="2">
        <v>3</v>
      </c>
      <c r="O26" s="111" t="s">
        <v>44</v>
      </c>
      <c r="P26" s="111" t="s">
        <v>57</v>
      </c>
      <c r="Q26" s="109">
        <v>0</v>
      </c>
      <c r="R26" s="109">
        <v>1</v>
      </c>
    </row>
    <row r="27" spans="1:18">
      <c r="B27" s="106">
        <v>0</v>
      </c>
      <c r="C27" s="106">
        <v>0</v>
      </c>
      <c r="D27" s="106">
        <v>1</v>
      </c>
      <c r="E27" s="106">
        <v>0</v>
      </c>
      <c r="F27" s="106">
        <v>0</v>
      </c>
      <c r="G27" s="107" t="s">
        <v>48</v>
      </c>
      <c r="H27" s="111" t="s">
        <v>44</v>
      </c>
      <c r="I27" s="107" t="s">
        <v>48</v>
      </c>
      <c r="J27" s="107" t="s">
        <v>48</v>
      </c>
      <c r="K27" s="110" t="s">
        <v>91</v>
      </c>
      <c r="N27" s="2">
        <v>4</v>
      </c>
      <c r="O27" s="112" t="s">
        <v>40</v>
      </c>
      <c r="P27" s="112" t="s">
        <v>58</v>
      </c>
      <c r="Q27" s="109">
        <v>1</v>
      </c>
      <c r="R27" s="109">
        <v>0</v>
      </c>
    </row>
    <row r="28" spans="1:18">
      <c r="B28" s="106">
        <v>0</v>
      </c>
      <c r="C28" s="106">
        <v>0</v>
      </c>
      <c r="D28" s="106">
        <v>1</v>
      </c>
      <c r="E28" s="106">
        <v>0</v>
      </c>
      <c r="F28" s="106">
        <v>1</v>
      </c>
      <c r="G28" s="107" t="s">
        <v>48</v>
      </c>
      <c r="H28" s="107" t="s">
        <v>50</v>
      </c>
      <c r="I28" s="107" t="s">
        <v>48</v>
      </c>
      <c r="J28" s="107" t="s">
        <v>48</v>
      </c>
      <c r="K28" s="110"/>
      <c r="N28" s="2">
        <v>5</v>
      </c>
      <c r="O28" s="112" t="s">
        <v>46</v>
      </c>
      <c r="P28" s="112" t="s">
        <v>58</v>
      </c>
      <c r="Q28" s="109">
        <v>0</v>
      </c>
      <c r="R28" s="109">
        <v>0</v>
      </c>
    </row>
    <row r="29" spans="1:18">
      <c r="A29" s="2" t="s">
        <v>93</v>
      </c>
      <c r="B29" s="106">
        <v>0</v>
      </c>
      <c r="C29" s="106">
        <v>0</v>
      </c>
      <c r="D29" s="106">
        <v>1</v>
      </c>
      <c r="E29" s="114">
        <v>1</v>
      </c>
      <c r="F29" s="106">
        <v>0</v>
      </c>
      <c r="G29" s="107" t="s">
        <v>48</v>
      </c>
      <c r="H29" s="111" t="s">
        <v>44</v>
      </c>
      <c r="I29" s="107" t="s">
        <v>48</v>
      </c>
      <c r="J29" s="107" t="s">
        <v>48</v>
      </c>
      <c r="K29" s="110"/>
      <c r="N29" s="2">
        <v>6</v>
      </c>
      <c r="O29" s="113" t="s">
        <v>41</v>
      </c>
      <c r="P29" s="113" t="s">
        <v>59</v>
      </c>
      <c r="Q29" s="109">
        <v>1</v>
      </c>
      <c r="R29" s="109">
        <v>1</v>
      </c>
    </row>
    <row r="30" spans="1:18">
      <c r="A30" s="2" t="s">
        <v>93</v>
      </c>
      <c r="B30" s="106">
        <v>0</v>
      </c>
      <c r="C30" s="106">
        <v>0</v>
      </c>
      <c r="D30" s="106">
        <v>1</v>
      </c>
      <c r="E30" s="114">
        <v>1</v>
      </c>
      <c r="F30" s="106">
        <v>1</v>
      </c>
      <c r="G30" s="107" t="s">
        <v>48</v>
      </c>
      <c r="H30" s="107" t="s">
        <v>50</v>
      </c>
      <c r="I30" s="107" t="s">
        <v>48</v>
      </c>
      <c r="J30" s="107" t="s">
        <v>48</v>
      </c>
      <c r="K30" s="110"/>
      <c r="N30" s="2">
        <v>7</v>
      </c>
      <c r="O30" s="113" t="s">
        <v>47</v>
      </c>
      <c r="P30" s="113" t="s">
        <v>59</v>
      </c>
      <c r="Q30" s="109">
        <v>0</v>
      </c>
      <c r="R30" s="109">
        <v>1</v>
      </c>
    </row>
    <row r="31" spans="1:18">
      <c r="A31" s="2" t="s">
        <v>92</v>
      </c>
      <c r="B31" s="106">
        <v>0</v>
      </c>
      <c r="C31" s="114">
        <v>1</v>
      </c>
      <c r="D31" s="114">
        <v>0</v>
      </c>
      <c r="E31" s="106">
        <v>0</v>
      </c>
      <c r="F31" s="106">
        <v>0</v>
      </c>
      <c r="G31" s="107" t="s">
        <v>48</v>
      </c>
      <c r="H31" s="107" t="s">
        <v>48</v>
      </c>
      <c r="I31" s="107" t="s">
        <v>48</v>
      </c>
      <c r="J31" s="107" t="s">
        <v>48</v>
      </c>
      <c r="K31" s="110"/>
      <c r="O31" s="115"/>
      <c r="P31" s="113"/>
      <c r="Q31" s="109"/>
      <c r="R31" s="109"/>
    </row>
    <row r="32" spans="1:18">
      <c r="A32" s="2" t="s">
        <v>92</v>
      </c>
      <c r="B32" s="106">
        <v>0</v>
      </c>
      <c r="C32" s="114">
        <v>1</v>
      </c>
      <c r="D32" s="114">
        <v>0</v>
      </c>
      <c r="E32" s="106">
        <v>0</v>
      </c>
      <c r="F32" s="106">
        <v>1</v>
      </c>
      <c r="G32" s="107" t="s">
        <v>48</v>
      </c>
      <c r="H32" s="107" t="s">
        <v>48</v>
      </c>
      <c r="I32" s="107" t="s">
        <v>48</v>
      </c>
      <c r="J32" s="107" t="s">
        <v>48</v>
      </c>
      <c r="K32" s="110"/>
      <c r="L32" s="116"/>
      <c r="N32" s="116"/>
    </row>
    <row r="33" spans="1:16">
      <c r="A33" s="2" t="s">
        <v>92</v>
      </c>
      <c r="B33" s="106">
        <v>0</v>
      </c>
      <c r="C33" s="114">
        <v>1</v>
      </c>
      <c r="D33" s="114">
        <v>0</v>
      </c>
      <c r="E33" s="114">
        <v>1</v>
      </c>
      <c r="F33" s="106">
        <v>0</v>
      </c>
      <c r="G33" s="107" t="s">
        <v>48</v>
      </c>
      <c r="H33" s="107" t="s">
        <v>48</v>
      </c>
      <c r="I33" s="107" t="s">
        <v>48</v>
      </c>
      <c r="J33" s="107" t="s">
        <v>48</v>
      </c>
      <c r="K33" s="110"/>
      <c r="O33" s="2" t="str">
        <f t="shared" ref="O33:O40" si="0">"#define OXCAN_NMWK_ARQACT_"&amp;O23&amp;" ("&amp;N23&amp;")"</f>
        <v>#define OXCAN_NMWK_ARQACT_TO_WAI_EVT (0)</v>
      </c>
      <c r="P33" s="2" t="str">
        <f>"(U1)"&amp;P23&amp;","</f>
        <v>(U1)OXCAN_NMWK_ARQSTS_WAI_EVT,</v>
      </c>
    </row>
    <row r="34" spans="1:16">
      <c r="A34" s="2" t="s">
        <v>92</v>
      </c>
      <c r="B34" s="106">
        <v>0</v>
      </c>
      <c r="C34" s="114">
        <v>1</v>
      </c>
      <c r="D34" s="114">
        <v>0</v>
      </c>
      <c r="E34" s="114">
        <v>1</v>
      </c>
      <c r="F34" s="106">
        <v>1</v>
      </c>
      <c r="G34" s="107" t="s">
        <v>48</v>
      </c>
      <c r="H34" s="107" t="s">
        <v>48</v>
      </c>
      <c r="I34" s="107" t="s">
        <v>48</v>
      </c>
      <c r="J34" s="107" t="s">
        <v>48</v>
      </c>
      <c r="K34" s="110"/>
      <c r="O34" s="2" t="str">
        <f t="shared" si="0"/>
        <v>#define OXCAN_NMWK_ARQACT_TO_WAI_WKF (1)</v>
      </c>
      <c r="P34" s="2" t="str">
        <f t="shared" ref="P34:P40" si="1">"(U1)"&amp;P24&amp;","</f>
        <v>(U1)OXCAN_NMWK_ARQSTS_WAI_EVT,</v>
      </c>
    </row>
    <row r="35" spans="1:16">
      <c r="B35" s="106">
        <v>0</v>
      </c>
      <c r="C35" s="106">
        <v>1</v>
      </c>
      <c r="D35" s="106">
        <v>1</v>
      </c>
      <c r="E35" s="106">
        <v>0</v>
      </c>
      <c r="F35" s="106">
        <v>0</v>
      </c>
      <c r="G35" s="117" t="s">
        <v>39</v>
      </c>
      <c r="H35" s="111" t="s">
        <v>44</v>
      </c>
      <c r="I35" s="111" t="s">
        <v>39</v>
      </c>
      <c r="J35" s="111" t="s">
        <v>39</v>
      </c>
      <c r="K35" s="110"/>
      <c r="O35" s="2" t="str">
        <f t="shared" si="0"/>
        <v>#define OXCAN_NMWK_ARQACT_TO_TRG_WK (2)</v>
      </c>
      <c r="P35" s="2" t="str">
        <f t="shared" si="1"/>
        <v>(U1)OXCAN_NMWK_ARQSTS_TRG_WK,</v>
      </c>
    </row>
    <row r="36" spans="1:16">
      <c r="B36" s="106">
        <v>0</v>
      </c>
      <c r="C36" s="106">
        <v>1</v>
      </c>
      <c r="D36" s="106">
        <v>1</v>
      </c>
      <c r="E36" s="106">
        <v>0</v>
      </c>
      <c r="F36" s="106">
        <v>1</v>
      </c>
      <c r="G36" s="117" t="s">
        <v>39</v>
      </c>
      <c r="H36" s="107" t="s">
        <v>50</v>
      </c>
      <c r="I36" s="111" t="s">
        <v>39</v>
      </c>
      <c r="J36" s="111" t="s">
        <v>39</v>
      </c>
      <c r="K36" s="110"/>
      <c r="L36" s="118"/>
      <c r="N36" s="118"/>
      <c r="O36" s="2" t="str">
        <f t="shared" si="0"/>
        <v>#define OXCAN_NMWK_ARQACT_TRG_WK (3)</v>
      </c>
      <c r="P36" s="2" t="str">
        <f t="shared" si="1"/>
        <v>(U1)OXCAN_NMWK_ARQSTS_TRG_WK,</v>
      </c>
    </row>
    <row r="37" spans="1:16">
      <c r="A37" s="2" t="s">
        <v>93</v>
      </c>
      <c r="B37" s="106">
        <v>0</v>
      </c>
      <c r="C37" s="106">
        <v>1</v>
      </c>
      <c r="D37" s="106">
        <v>1</v>
      </c>
      <c r="E37" s="114">
        <v>1</v>
      </c>
      <c r="F37" s="106">
        <v>0</v>
      </c>
      <c r="G37" s="117" t="s">
        <v>39</v>
      </c>
      <c r="H37" s="111" t="s">
        <v>44</v>
      </c>
      <c r="I37" s="111" t="s">
        <v>39</v>
      </c>
      <c r="J37" s="111" t="s">
        <v>39</v>
      </c>
      <c r="K37" s="110"/>
      <c r="L37" s="118"/>
      <c r="N37" s="118"/>
      <c r="O37" s="2" t="str">
        <f t="shared" si="0"/>
        <v>#define OXCAN_NMWK_ARQACT_TO_SLP_OK (4)</v>
      </c>
      <c r="P37" s="2" t="str">
        <f t="shared" si="1"/>
        <v>(U1)OXCAN_NMWK_ARQSTS_SLP_OK,</v>
      </c>
    </row>
    <row r="38" spans="1:16">
      <c r="A38" s="2" t="s">
        <v>93</v>
      </c>
      <c r="B38" s="106">
        <v>0</v>
      </c>
      <c r="C38" s="106">
        <v>1</v>
      </c>
      <c r="D38" s="106">
        <v>1</v>
      </c>
      <c r="E38" s="114">
        <v>1</v>
      </c>
      <c r="F38" s="106">
        <v>1</v>
      </c>
      <c r="G38" s="117" t="s">
        <v>39</v>
      </c>
      <c r="H38" s="107" t="s">
        <v>50</v>
      </c>
      <c r="I38" s="111" t="s">
        <v>39</v>
      </c>
      <c r="J38" s="111" t="s">
        <v>39</v>
      </c>
      <c r="K38" s="110"/>
      <c r="L38" s="118"/>
      <c r="N38" s="118"/>
      <c r="O38" s="2" t="str">
        <f t="shared" si="0"/>
        <v>#define OXCAN_NMWK_ARQACT_SLP_OK (5)</v>
      </c>
      <c r="P38" s="2" t="str">
        <f t="shared" si="1"/>
        <v>(U1)OXCAN_NMWK_ARQSTS_SLP_OK,</v>
      </c>
    </row>
    <row r="39" spans="1:16">
      <c r="B39" s="106">
        <v>1</v>
      </c>
      <c r="C39" s="106">
        <v>0</v>
      </c>
      <c r="D39" s="106">
        <v>0</v>
      </c>
      <c r="E39" s="106">
        <v>0</v>
      </c>
      <c r="F39" s="106">
        <v>0</v>
      </c>
      <c r="G39" s="119" t="s">
        <v>40</v>
      </c>
      <c r="H39" s="119" t="s">
        <v>45</v>
      </c>
      <c r="I39" s="112" t="s">
        <v>42</v>
      </c>
      <c r="J39" s="112" t="s">
        <v>42</v>
      </c>
      <c r="K39" s="110"/>
      <c r="L39" s="118"/>
      <c r="N39" s="118"/>
      <c r="O39" s="2" t="str">
        <f t="shared" si="0"/>
        <v>#define OXCAN_NMWK_ARQACT_TO_SLP_NG (6)</v>
      </c>
      <c r="P39" s="2" t="str">
        <f t="shared" si="1"/>
        <v>(U1)OXCAN_NMWK_ARQSTS_SLP_NG,</v>
      </c>
    </row>
    <row r="40" spans="1:16">
      <c r="B40" s="106">
        <v>1</v>
      </c>
      <c r="C40" s="106">
        <v>0</v>
      </c>
      <c r="D40" s="106">
        <v>0</v>
      </c>
      <c r="E40" s="106">
        <v>0</v>
      </c>
      <c r="F40" s="106">
        <v>1</v>
      </c>
      <c r="G40" s="119" t="s">
        <v>40</v>
      </c>
      <c r="H40" s="119" t="s">
        <v>40</v>
      </c>
      <c r="I40" s="112" t="s">
        <v>42</v>
      </c>
      <c r="J40" s="112" t="s">
        <v>42</v>
      </c>
      <c r="K40" s="110"/>
      <c r="O40" s="2" t="str">
        <f t="shared" si="0"/>
        <v>#define OXCAN_NMWK_ARQACT_SLP_NG (7)</v>
      </c>
      <c r="P40" s="2" t="str">
        <f t="shared" si="1"/>
        <v>(U1)OXCAN_NMWK_ARQSTS_SLP_NG,</v>
      </c>
    </row>
    <row r="41" spans="1:16">
      <c r="A41" s="2" t="s">
        <v>93</v>
      </c>
      <c r="B41" s="106">
        <v>1</v>
      </c>
      <c r="C41" s="106">
        <v>0</v>
      </c>
      <c r="D41" s="106">
        <v>0</v>
      </c>
      <c r="E41" s="114">
        <v>1</v>
      </c>
      <c r="F41" s="106">
        <v>0</v>
      </c>
      <c r="G41" s="119" t="s">
        <v>40</v>
      </c>
      <c r="H41" s="119" t="s">
        <v>40</v>
      </c>
      <c r="I41" s="112" t="s">
        <v>42</v>
      </c>
      <c r="J41" s="112" t="s">
        <v>42</v>
      </c>
      <c r="K41" s="110"/>
    </row>
    <row r="42" spans="1:16">
      <c r="A42" s="2" t="s">
        <v>93</v>
      </c>
      <c r="B42" s="106">
        <v>1</v>
      </c>
      <c r="C42" s="106">
        <v>0</v>
      </c>
      <c r="D42" s="106">
        <v>0</v>
      </c>
      <c r="E42" s="114">
        <v>1</v>
      </c>
      <c r="F42" s="106">
        <v>1</v>
      </c>
      <c r="G42" s="119" t="s">
        <v>40</v>
      </c>
      <c r="H42" s="119" t="s">
        <v>40</v>
      </c>
      <c r="I42" s="112" t="s">
        <v>42</v>
      </c>
      <c r="J42" s="112" t="s">
        <v>42</v>
      </c>
      <c r="K42" s="110"/>
    </row>
    <row r="43" spans="1:16">
      <c r="B43" s="106">
        <v>1</v>
      </c>
      <c r="C43" s="106">
        <v>0</v>
      </c>
      <c r="D43" s="106">
        <v>1</v>
      </c>
      <c r="E43" s="106">
        <v>0</v>
      </c>
      <c r="F43" s="106">
        <v>0</v>
      </c>
      <c r="G43" s="119" t="s">
        <v>40</v>
      </c>
      <c r="H43" s="115" t="s">
        <v>41</v>
      </c>
      <c r="I43" s="112" t="s">
        <v>42</v>
      </c>
      <c r="J43" s="113" t="s">
        <v>43</v>
      </c>
      <c r="K43" s="110"/>
    </row>
    <row r="44" spans="1:16">
      <c r="B44" s="106">
        <v>1</v>
      </c>
      <c r="C44" s="106">
        <v>0</v>
      </c>
      <c r="D44" s="106">
        <v>1</v>
      </c>
      <c r="E44" s="106">
        <v>0</v>
      </c>
      <c r="F44" s="106">
        <v>1</v>
      </c>
      <c r="G44" s="119" t="s">
        <v>40</v>
      </c>
      <c r="H44" s="115" t="s">
        <v>41</v>
      </c>
      <c r="I44" s="112" t="s">
        <v>42</v>
      </c>
      <c r="J44" s="113" t="s">
        <v>43</v>
      </c>
      <c r="K44" s="110"/>
    </row>
    <row r="45" spans="1:16">
      <c r="A45" s="2" t="s">
        <v>93</v>
      </c>
      <c r="B45" s="106">
        <v>1</v>
      </c>
      <c r="C45" s="106">
        <v>0</v>
      </c>
      <c r="D45" s="106">
        <v>1</v>
      </c>
      <c r="E45" s="114">
        <v>1</v>
      </c>
      <c r="F45" s="106">
        <v>0</v>
      </c>
      <c r="G45" s="119" t="s">
        <v>40</v>
      </c>
      <c r="H45" s="115" t="s">
        <v>41</v>
      </c>
      <c r="I45" s="112" t="s">
        <v>42</v>
      </c>
      <c r="J45" s="112" t="s">
        <v>42</v>
      </c>
      <c r="K45" s="110"/>
    </row>
    <row r="46" spans="1:16">
      <c r="A46" s="2" t="s">
        <v>93</v>
      </c>
      <c r="B46" s="106">
        <v>1</v>
      </c>
      <c r="C46" s="106">
        <v>0</v>
      </c>
      <c r="D46" s="106">
        <v>1</v>
      </c>
      <c r="E46" s="114">
        <v>1</v>
      </c>
      <c r="F46" s="106">
        <v>1</v>
      </c>
      <c r="G46" s="119" t="s">
        <v>40</v>
      </c>
      <c r="H46" s="115" t="s">
        <v>41</v>
      </c>
      <c r="I46" s="112" t="s">
        <v>42</v>
      </c>
      <c r="J46" s="112" t="s">
        <v>42</v>
      </c>
      <c r="K46" s="110"/>
    </row>
    <row r="47" spans="1:16">
      <c r="A47" s="2" t="s">
        <v>92</v>
      </c>
      <c r="B47" s="106">
        <v>1</v>
      </c>
      <c r="C47" s="114">
        <v>1</v>
      </c>
      <c r="D47" s="114">
        <v>0</v>
      </c>
      <c r="E47" s="106">
        <v>0</v>
      </c>
      <c r="F47" s="106">
        <v>0</v>
      </c>
      <c r="G47" s="119" t="s">
        <v>40</v>
      </c>
      <c r="H47" s="119" t="s">
        <v>40</v>
      </c>
      <c r="I47" s="112" t="s">
        <v>42</v>
      </c>
      <c r="J47" s="112" t="s">
        <v>42</v>
      </c>
      <c r="K47" s="110"/>
    </row>
    <row r="48" spans="1:16">
      <c r="A48" s="2" t="s">
        <v>92</v>
      </c>
      <c r="B48" s="106">
        <v>1</v>
      </c>
      <c r="C48" s="114">
        <v>1</v>
      </c>
      <c r="D48" s="114">
        <v>0</v>
      </c>
      <c r="E48" s="106">
        <v>0</v>
      </c>
      <c r="F48" s="106">
        <v>1</v>
      </c>
      <c r="G48" s="119" t="s">
        <v>40</v>
      </c>
      <c r="H48" s="119" t="s">
        <v>40</v>
      </c>
      <c r="I48" s="112" t="s">
        <v>42</v>
      </c>
      <c r="J48" s="112" t="s">
        <v>42</v>
      </c>
      <c r="K48" s="110"/>
    </row>
    <row r="49" spans="1:11">
      <c r="A49" s="2" t="s">
        <v>92</v>
      </c>
      <c r="B49" s="106">
        <v>1</v>
      </c>
      <c r="C49" s="114">
        <v>1</v>
      </c>
      <c r="D49" s="114">
        <v>0</v>
      </c>
      <c r="E49" s="114">
        <v>1</v>
      </c>
      <c r="F49" s="106">
        <v>0</v>
      </c>
      <c r="G49" s="119" t="s">
        <v>40</v>
      </c>
      <c r="H49" s="119" t="s">
        <v>40</v>
      </c>
      <c r="I49" s="112" t="s">
        <v>42</v>
      </c>
      <c r="J49" s="112" t="s">
        <v>42</v>
      </c>
      <c r="K49" s="110"/>
    </row>
    <row r="50" spans="1:11">
      <c r="A50" s="2" t="s">
        <v>92</v>
      </c>
      <c r="B50" s="106">
        <v>1</v>
      </c>
      <c r="C50" s="114">
        <v>1</v>
      </c>
      <c r="D50" s="114">
        <v>0</v>
      </c>
      <c r="E50" s="114">
        <v>1</v>
      </c>
      <c r="F50" s="106">
        <v>1</v>
      </c>
      <c r="G50" s="119" t="s">
        <v>40</v>
      </c>
      <c r="H50" s="119" t="s">
        <v>40</v>
      </c>
      <c r="I50" s="112" t="s">
        <v>42</v>
      </c>
      <c r="J50" s="112" t="s">
        <v>42</v>
      </c>
      <c r="K50" s="110"/>
    </row>
    <row r="51" spans="1:11">
      <c r="B51" s="106">
        <v>1</v>
      </c>
      <c r="C51" s="106">
        <v>1</v>
      </c>
      <c r="D51" s="106">
        <v>1</v>
      </c>
      <c r="E51" s="106">
        <v>0</v>
      </c>
      <c r="F51" s="106">
        <v>0</v>
      </c>
      <c r="G51" s="115" t="s">
        <v>41</v>
      </c>
      <c r="H51" s="115" t="s">
        <v>41</v>
      </c>
      <c r="I51" s="113" t="s">
        <v>43</v>
      </c>
      <c r="J51" s="113" t="s">
        <v>43</v>
      </c>
      <c r="K51" s="110"/>
    </row>
    <row r="52" spans="1:11">
      <c r="B52" s="106">
        <v>1</v>
      </c>
      <c r="C52" s="106">
        <v>1</v>
      </c>
      <c r="D52" s="106">
        <v>1</v>
      </c>
      <c r="E52" s="106">
        <v>0</v>
      </c>
      <c r="F52" s="106">
        <v>1</v>
      </c>
      <c r="G52" s="115" t="s">
        <v>41</v>
      </c>
      <c r="H52" s="115" t="s">
        <v>41</v>
      </c>
      <c r="I52" s="113" t="s">
        <v>43</v>
      </c>
      <c r="J52" s="113" t="s">
        <v>43</v>
      </c>
      <c r="K52" s="110"/>
    </row>
    <row r="53" spans="1:11">
      <c r="A53" s="2" t="s">
        <v>93</v>
      </c>
      <c r="B53" s="106">
        <v>1</v>
      </c>
      <c r="C53" s="106">
        <v>1</v>
      </c>
      <c r="D53" s="106">
        <v>1</v>
      </c>
      <c r="E53" s="114">
        <v>1</v>
      </c>
      <c r="F53" s="106">
        <v>0</v>
      </c>
      <c r="G53" s="115" t="s">
        <v>41</v>
      </c>
      <c r="H53" s="115" t="s">
        <v>41</v>
      </c>
      <c r="I53" s="112" t="s">
        <v>42</v>
      </c>
      <c r="J53" s="112" t="s">
        <v>42</v>
      </c>
      <c r="K53" s="110"/>
    </row>
    <row r="54" spans="1:11">
      <c r="A54" s="2" t="s">
        <v>93</v>
      </c>
      <c r="B54" s="106">
        <v>1</v>
      </c>
      <c r="C54" s="106">
        <v>1</v>
      </c>
      <c r="D54" s="106">
        <v>1</v>
      </c>
      <c r="E54" s="114">
        <v>1</v>
      </c>
      <c r="F54" s="106">
        <v>1</v>
      </c>
      <c r="G54" s="115" t="s">
        <v>41</v>
      </c>
      <c r="H54" s="115" t="s">
        <v>41</v>
      </c>
      <c r="I54" s="112" t="s">
        <v>42</v>
      </c>
      <c r="J54" s="112" t="s">
        <v>42</v>
      </c>
      <c r="K54" s="120"/>
    </row>
    <row r="56" spans="1:11">
      <c r="G56" s="2" t="str">
        <f t="shared" ref="G56:G87" si="2">"{(U1)OXCAN_NMWK_ARQACT_"&amp;G23&amp;","</f>
        <v>{(U1)OXCAN_NMWK_ARQACT_TO_WAI_EVT,</v>
      </c>
      <c r="H56" s="2" t="str">
        <f t="shared" ref="H56:I87" si="3">"(U1)OXCAN_NMWK_ARQACT_"&amp;H23&amp;","</f>
        <v>(U1)OXCAN_NMWK_ARQACT_TO_WAI_EVT,</v>
      </c>
      <c r="I56" s="2" t="str">
        <f t="shared" si="3"/>
        <v>(U1)OXCAN_NMWK_ARQACT_TO_WAI_EVT,</v>
      </c>
      <c r="J56" s="2" t="str">
        <f t="shared" ref="J56:J87" si="4">"(U1)OXCAN_NMWK_ARQACT_"&amp;J23&amp;"},"</f>
        <v>(U1)OXCAN_NMWK_ARQACT_TO_WAI_EVT},</v>
      </c>
    </row>
    <row r="57" spans="1:11">
      <c r="G57" s="2" t="str">
        <f t="shared" si="2"/>
        <v>{(U1)OXCAN_NMWK_ARQACT_TO_WAI_EVT,</v>
      </c>
      <c r="H57" s="2" t="str">
        <f t="shared" si="3"/>
        <v>(U1)OXCAN_NMWK_ARQACT_TO_WAI_EVT,</v>
      </c>
      <c r="I57" s="2" t="str">
        <f t="shared" si="3"/>
        <v>(U1)OXCAN_NMWK_ARQACT_TO_WAI_EVT,</v>
      </c>
      <c r="J57" s="2" t="str">
        <f t="shared" si="4"/>
        <v>(U1)OXCAN_NMWK_ARQACT_TO_WAI_EVT},</v>
      </c>
    </row>
    <row r="58" spans="1:11">
      <c r="G58" s="2" t="str">
        <f t="shared" si="2"/>
        <v>{(U1)OXCAN_NMWK_ARQACT_TO_WAI_EVT,</v>
      </c>
      <c r="H58" s="2" t="str">
        <f t="shared" si="3"/>
        <v>(U1)OXCAN_NMWK_ARQACT_TO_WAI_EVT,</v>
      </c>
      <c r="I58" s="2" t="str">
        <f t="shared" si="3"/>
        <v>(U1)OXCAN_NMWK_ARQACT_TO_WAI_EVT,</v>
      </c>
      <c r="J58" s="2" t="str">
        <f t="shared" si="4"/>
        <v>(U1)OXCAN_NMWK_ARQACT_TO_WAI_EVT},</v>
      </c>
    </row>
    <row r="59" spans="1:11">
      <c r="G59" s="2" t="str">
        <f t="shared" si="2"/>
        <v>{(U1)OXCAN_NMWK_ARQACT_TO_WAI_EVT,</v>
      </c>
      <c r="H59" s="2" t="str">
        <f t="shared" si="3"/>
        <v>(U1)OXCAN_NMWK_ARQACT_TO_WAI_EVT,</v>
      </c>
      <c r="I59" s="2" t="str">
        <f t="shared" si="3"/>
        <v>(U1)OXCAN_NMWK_ARQACT_TO_WAI_EVT,</v>
      </c>
      <c r="J59" s="2" t="str">
        <f t="shared" si="4"/>
        <v>(U1)OXCAN_NMWK_ARQACT_TO_WAI_EVT},</v>
      </c>
    </row>
    <row r="60" spans="1:11">
      <c r="G60" s="2" t="str">
        <f t="shared" si="2"/>
        <v>{(U1)OXCAN_NMWK_ARQACT_TO_WAI_EVT,</v>
      </c>
      <c r="H60" s="2" t="str">
        <f t="shared" si="3"/>
        <v>(U1)OXCAN_NMWK_ARQACT_TRG_WK,</v>
      </c>
      <c r="I60" s="2" t="str">
        <f t="shared" si="3"/>
        <v>(U1)OXCAN_NMWK_ARQACT_TO_WAI_EVT,</v>
      </c>
      <c r="J60" s="2" t="str">
        <f t="shared" si="4"/>
        <v>(U1)OXCAN_NMWK_ARQACT_TO_WAI_EVT},</v>
      </c>
    </row>
    <row r="61" spans="1:11">
      <c r="G61" s="2" t="str">
        <f t="shared" si="2"/>
        <v>{(U1)OXCAN_NMWK_ARQACT_TO_WAI_EVT,</v>
      </c>
      <c r="H61" s="2" t="str">
        <f t="shared" si="3"/>
        <v>(U1)OXCAN_NMWK_ARQACT_TO_WAI_WKF,</v>
      </c>
      <c r="I61" s="2" t="str">
        <f t="shared" si="3"/>
        <v>(U1)OXCAN_NMWK_ARQACT_TO_WAI_EVT,</v>
      </c>
      <c r="J61" s="2" t="str">
        <f t="shared" si="4"/>
        <v>(U1)OXCAN_NMWK_ARQACT_TO_WAI_EVT},</v>
      </c>
    </row>
    <row r="62" spans="1:11">
      <c r="G62" s="2" t="str">
        <f t="shared" si="2"/>
        <v>{(U1)OXCAN_NMWK_ARQACT_TO_WAI_EVT,</v>
      </c>
      <c r="H62" s="2" t="str">
        <f t="shared" si="3"/>
        <v>(U1)OXCAN_NMWK_ARQACT_TRG_WK,</v>
      </c>
      <c r="I62" s="2" t="str">
        <f t="shared" si="3"/>
        <v>(U1)OXCAN_NMWK_ARQACT_TO_WAI_EVT,</v>
      </c>
      <c r="J62" s="2" t="str">
        <f t="shared" si="4"/>
        <v>(U1)OXCAN_NMWK_ARQACT_TO_WAI_EVT},</v>
      </c>
    </row>
    <row r="63" spans="1:11">
      <c r="G63" s="2" t="str">
        <f t="shared" si="2"/>
        <v>{(U1)OXCAN_NMWK_ARQACT_TO_WAI_EVT,</v>
      </c>
      <c r="H63" s="2" t="str">
        <f t="shared" si="3"/>
        <v>(U1)OXCAN_NMWK_ARQACT_TO_WAI_WKF,</v>
      </c>
      <c r="I63" s="2" t="str">
        <f t="shared" si="3"/>
        <v>(U1)OXCAN_NMWK_ARQACT_TO_WAI_EVT,</v>
      </c>
      <c r="J63" s="2" t="str">
        <f t="shared" si="4"/>
        <v>(U1)OXCAN_NMWK_ARQACT_TO_WAI_EVT},</v>
      </c>
    </row>
    <row r="64" spans="1:11">
      <c r="G64" s="2" t="str">
        <f t="shared" si="2"/>
        <v>{(U1)OXCAN_NMWK_ARQACT_TO_WAI_EVT,</v>
      </c>
      <c r="H64" s="2" t="str">
        <f t="shared" si="3"/>
        <v>(U1)OXCAN_NMWK_ARQACT_TO_WAI_EVT,</v>
      </c>
      <c r="I64" s="2" t="str">
        <f t="shared" si="3"/>
        <v>(U1)OXCAN_NMWK_ARQACT_TO_WAI_EVT,</v>
      </c>
      <c r="J64" s="2" t="str">
        <f t="shared" si="4"/>
        <v>(U1)OXCAN_NMWK_ARQACT_TO_WAI_EVT},</v>
      </c>
    </row>
    <row r="65" spans="7:10">
      <c r="G65" s="2" t="str">
        <f t="shared" si="2"/>
        <v>{(U1)OXCAN_NMWK_ARQACT_TO_WAI_EVT,</v>
      </c>
      <c r="H65" s="2" t="str">
        <f t="shared" si="3"/>
        <v>(U1)OXCAN_NMWK_ARQACT_TO_WAI_EVT,</v>
      </c>
      <c r="I65" s="2" t="str">
        <f t="shared" si="3"/>
        <v>(U1)OXCAN_NMWK_ARQACT_TO_WAI_EVT,</v>
      </c>
      <c r="J65" s="2" t="str">
        <f t="shared" si="4"/>
        <v>(U1)OXCAN_NMWK_ARQACT_TO_WAI_EVT},</v>
      </c>
    </row>
    <row r="66" spans="7:10">
      <c r="G66" s="2" t="str">
        <f t="shared" si="2"/>
        <v>{(U1)OXCAN_NMWK_ARQACT_TO_WAI_EVT,</v>
      </c>
      <c r="H66" s="2" t="str">
        <f t="shared" si="3"/>
        <v>(U1)OXCAN_NMWK_ARQACT_TO_WAI_EVT,</v>
      </c>
      <c r="I66" s="2" t="str">
        <f t="shared" si="3"/>
        <v>(U1)OXCAN_NMWK_ARQACT_TO_WAI_EVT,</v>
      </c>
      <c r="J66" s="2" t="str">
        <f t="shared" si="4"/>
        <v>(U1)OXCAN_NMWK_ARQACT_TO_WAI_EVT},</v>
      </c>
    </row>
    <row r="67" spans="7:10">
      <c r="G67" s="2" t="str">
        <f t="shared" si="2"/>
        <v>{(U1)OXCAN_NMWK_ARQACT_TO_WAI_EVT,</v>
      </c>
      <c r="H67" s="2" t="str">
        <f t="shared" si="3"/>
        <v>(U1)OXCAN_NMWK_ARQACT_TO_WAI_EVT,</v>
      </c>
      <c r="I67" s="2" t="str">
        <f t="shared" si="3"/>
        <v>(U1)OXCAN_NMWK_ARQACT_TO_WAI_EVT,</v>
      </c>
      <c r="J67" s="2" t="str">
        <f t="shared" si="4"/>
        <v>(U1)OXCAN_NMWK_ARQACT_TO_WAI_EVT},</v>
      </c>
    </row>
    <row r="68" spans="7:10">
      <c r="G68" s="2" t="str">
        <f t="shared" si="2"/>
        <v>{(U1)OXCAN_NMWK_ARQACT_TO_TRG_WK,</v>
      </c>
      <c r="H68" s="2" t="str">
        <f t="shared" si="3"/>
        <v>(U1)OXCAN_NMWK_ARQACT_TRG_WK,</v>
      </c>
      <c r="I68" s="2" t="str">
        <f t="shared" si="3"/>
        <v>(U1)OXCAN_NMWK_ARQACT_TO_TRG_WK,</v>
      </c>
      <c r="J68" s="2" t="str">
        <f t="shared" si="4"/>
        <v>(U1)OXCAN_NMWK_ARQACT_TO_TRG_WK},</v>
      </c>
    </row>
    <row r="69" spans="7:10">
      <c r="G69" s="2" t="str">
        <f t="shared" si="2"/>
        <v>{(U1)OXCAN_NMWK_ARQACT_TO_TRG_WK,</v>
      </c>
      <c r="H69" s="2" t="str">
        <f t="shared" si="3"/>
        <v>(U1)OXCAN_NMWK_ARQACT_TO_WAI_WKF,</v>
      </c>
      <c r="I69" s="2" t="str">
        <f t="shared" si="3"/>
        <v>(U1)OXCAN_NMWK_ARQACT_TO_TRG_WK,</v>
      </c>
      <c r="J69" s="2" t="str">
        <f t="shared" si="4"/>
        <v>(U1)OXCAN_NMWK_ARQACT_TO_TRG_WK},</v>
      </c>
    </row>
    <row r="70" spans="7:10">
      <c r="G70" s="2" t="str">
        <f t="shared" si="2"/>
        <v>{(U1)OXCAN_NMWK_ARQACT_TO_TRG_WK,</v>
      </c>
      <c r="H70" s="2" t="str">
        <f t="shared" si="3"/>
        <v>(U1)OXCAN_NMWK_ARQACT_TRG_WK,</v>
      </c>
      <c r="I70" s="2" t="str">
        <f t="shared" si="3"/>
        <v>(U1)OXCAN_NMWK_ARQACT_TO_TRG_WK,</v>
      </c>
      <c r="J70" s="2" t="str">
        <f t="shared" si="4"/>
        <v>(U1)OXCAN_NMWK_ARQACT_TO_TRG_WK},</v>
      </c>
    </row>
    <row r="71" spans="7:10">
      <c r="G71" s="2" t="str">
        <f t="shared" si="2"/>
        <v>{(U1)OXCAN_NMWK_ARQACT_TO_TRG_WK,</v>
      </c>
      <c r="H71" s="2" t="str">
        <f t="shared" si="3"/>
        <v>(U1)OXCAN_NMWK_ARQACT_TO_WAI_WKF,</v>
      </c>
      <c r="I71" s="2" t="str">
        <f t="shared" si="3"/>
        <v>(U1)OXCAN_NMWK_ARQACT_TO_TRG_WK,</v>
      </c>
      <c r="J71" s="2" t="str">
        <f t="shared" si="4"/>
        <v>(U1)OXCAN_NMWK_ARQACT_TO_TRG_WK},</v>
      </c>
    </row>
    <row r="72" spans="7:10">
      <c r="G72" s="2" t="str">
        <f t="shared" si="2"/>
        <v>{(U1)OXCAN_NMWK_ARQACT_TO_SLP_OK,</v>
      </c>
      <c r="H72" s="2" t="str">
        <f t="shared" si="3"/>
        <v>(U1)OXCAN_NMWK_ARQACT_TO_SLP_OK,</v>
      </c>
      <c r="I72" s="2" t="str">
        <f t="shared" si="3"/>
        <v>(U1)OXCAN_NMWK_ARQACT_SLP_OK,</v>
      </c>
      <c r="J72" s="2" t="str">
        <f t="shared" si="4"/>
        <v>(U1)OXCAN_NMWK_ARQACT_SLP_OK},</v>
      </c>
    </row>
    <row r="73" spans="7:10">
      <c r="G73" s="2" t="str">
        <f t="shared" si="2"/>
        <v>{(U1)OXCAN_NMWK_ARQACT_TO_SLP_OK,</v>
      </c>
      <c r="H73" s="2" t="str">
        <f t="shared" si="3"/>
        <v>(U1)OXCAN_NMWK_ARQACT_TO_SLP_OK,</v>
      </c>
      <c r="I73" s="2" t="str">
        <f t="shared" si="3"/>
        <v>(U1)OXCAN_NMWK_ARQACT_SLP_OK,</v>
      </c>
      <c r="J73" s="2" t="str">
        <f t="shared" si="4"/>
        <v>(U1)OXCAN_NMWK_ARQACT_SLP_OK},</v>
      </c>
    </row>
    <row r="74" spans="7:10">
      <c r="G74" s="2" t="str">
        <f t="shared" si="2"/>
        <v>{(U1)OXCAN_NMWK_ARQACT_TO_SLP_OK,</v>
      </c>
      <c r="H74" s="2" t="str">
        <f t="shared" si="3"/>
        <v>(U1)OXCAN_NMWK_ARQACT_TO_SLP_OK,</v>
      </c>
      <c r="I74" s="2" t="str">
        <f t="shared" si="3"/>
        <v>(U1)OXCAN_NMWK_ARQACT_SLP_OK,</v>
      </c>
      <c r="J74" s="2" t="str">
        <f t="shared" si="4"/>
        <v>(U1)OXCAN_NMWK_ARQACT_SLP_OK},</v>
      </c>
    </row>
    <row r="75" spans="7:10">
      <c r="G75" s="2" t="str">
        <f t="shared" si="2"/>
        <v>{(U1)OXCAN_NMWK_ARQACT_TO_SLP_OK,</v>
      </c>
      <c r="H75" s="2" t="str">
        <f t="shared" si="3"/>
        <v>(U1)OXCAN_NMWK_ARQACT_TO_SLP_OK,</v>
      </c>
      <c r="I75" s="2" t="str">
        <f t="shared" si="3"/>
        <v>(U1)OXCAN_NMWK_ARQACT_SLP_OK,</v>
      </c>
      <c r="J75" s="2" t="str">
        <f t="shared" si="4"/>
        <v>(U1)OXCAN_NMWK_ARQACT_SLP_OK},</v>
      </c>
    </row>
    <row r="76" spans="7:10">
      <c r="G76" s="2" t="str">
        <f t="shared" si="2"/>
        <v>{(U1)OXCAN_NMWK_ARQACT_TO_SLP_OK,</v>
      </c>
      <c r="H76" s="2" t="str">
        <f t="shared" si="3"/>
        <v>(U1)OXCAN_NMWK_ARQACT_TO_SLP_NG,</v>
      </c>
      <c r="I76" s="2" t="str">
        <f t="shared" si="3"/>
        <v>(U1)OXCAN_NMWK_ARQACT_SLP_OK,</v>
      </c>
      <c r="J76" s="2" t="str">
        <f t="shared" si="4"/>
        <v>(U1)OXCAN_NMWK_ARQACT_SLP_NG},</v>
      </c>
    </row>
    <row r="77" spans="7:10">
      <c r="G77" s="2" t="str">
        <f t="shared" si="2"/>
        <v>{(U1)OXCAN_NMWK_ARQACT_TO_SLP_OK,</v>
      </c>
      <c r="H77" s="2" t="str">
        <f t="shared" si="3"/>
        <v>(U1)OXCAN_NMWK_ARQACT_TO_SLP_NG,</v>
      </c>
      <c r="I77" s="2" t="str">
        <f t="shared" si="3"/>
        <v>(U1)OXCAN_NMWK_ARQACT_SLP_OK,</v>
      </c>
      <c r="J77" s="2" t="str">
        <f t="shared" si="4"/>
        <v>(U1)OXCAN_NMWK_ARQACT_SLP_NG},</v>
      </c>
    </row>
    <row r="78" spans="7:10">
      <c r="G78" s="2" t="str">
        <f t="shared" si="2"/>
        <v>{(U1)OXCAN_NMWK_ARQACT_TO_SLP_OK,</v>
      </c>
      <c r="H78" s="2" t="str">
        <f t="shared" si="3"/>
        <v>(U1)OXCAN_NMWK_ARQACT_TO_SLP_NG,</v>
      </c>
      <c r="I78" s="2" t="str">
        <f t="shared" si="3"/>
        <v>(U1)OXCAN_NMWK_ARQACT_SLP_OK,</v>
      </c>
      <c r="J78" s="2" t="str">
        <f t="shared" si="4"/>
        <v>(U1)OXCAN_NMWK_ARQACT_SLP_OK},</v>
      </c>
    </row>
    <row r="79" spans="7:10">
      <c r="G79" s="2" t="str">
        <f t="shared" si="2"/>
        <v>{(U1)OXCAN_NMWK_ARQACT_TO_SLP_OK,</v>
      </c>
      <c r="H79" s="2" t="str">
        <f t="shared" si="3"/>
        <v>(U1)OXCAN_NMWK_ARQACT_TO_SLP_NG,</v>
      </c>
      <c r="I79" s="2" t="str">
        <f t="shared" si="3"/>
        <v>(U1)OXCAN_NMWK_ARQACT_SLP_OK,</v>
      </c>
      <c r="J79" s="2" t="str">
        <f t="shared" si="4"/>
        <v>(U1)OXCAN_NMWK_ARQACT_SLP_OK},</v>
      </c>
    </row>
    <row r="80" spans="7:10">
      <c r="G80" s="2" t="str">
        <f t="shared" si="2"/>
        <v>{(U1)OXCAN_NMWK_ARQACT_TO_SLP_OK,</v>
      </c>
      <c r="H80" s="2" t="str">
        <f t="shared" si="3"/>
        <v>(U1)OXCAN_NMWK_ARQACT_TO_SLP_OK,</v>
      </c>
      <c r="I80" s="2" t="str">
        <f t="shared" si="3"/>
        <v>(U1)OXCAN_NMWK_ARQACT_SLP_OK,</v>
      </c>
      <c r="J80" s="2" t="str">
        <f t="shared" si="4"/>
        <v>(U1)OXCAN_NMWK_ARQACT_SLP_OK},</v>
      </c>
    </row>
    <row r="81" spans="7:10">
      <c r="G81" s="2" t="str">
        <f t="shared" si="2"/>
        <v>{(U1)OXCAN_NMWK_ARQACT_TO_SLP_OK,</v>
      </c>
      <c r="H81" s="2" t="str">
        <f t="shared" si="3"/>
        <v>(U1)OXCAN_NMWK_ARQACT_TO_SLP_OK,</v>
      </c>
      <c r="I81" s="2" t="str">
        <f t="shared" si="3"/>
        <v>(U1)OXCAN_NMWK_ARQACT_SLP_OK,</v>
      </c>
      <c r="J81" s="2" t="str">
        <f t="shared" si="4"/>
        <v>(U1)OXCAN_NMWK_ARQACT_SLP_OK},</v>
      </c>
    </row>
    <row r="82" spans="7:10">
      <c r="G82" s="2" t="str">
        <f t="shared" si="2"/>
        <v>{(U1)OXCAN_NMWK_ARQACT_TO_SLP_OK,</v>
      </c>
      <c r="H82" s="2" t="str">
        <f t="shared" si="3"/>
        <v>(U1)OXCAN_NMWK_ARQACT_TO_SLP_OK,</v>
      </c>
      <c r="I82" s="2" t="str">
        <f t="shared" si="3"/>
        <v>(U1)OXCAN_NMWK_ARQACT_SLP_OK,</v>
      </c>
      <c r="J82" s="2" t="str">
        <f t="shared" si="4"/>
        <v>(U1)OXCAN_NMWK_ARQACT_SLP_OK},</v>
      </c>
    </row>
    <row r="83" spans="7:10">
      <c r="G83" s="2" t="str">
        <f t="shared" si="2"/>
        <v>{(U1)OXCAN_NMWK_ARQACT_TO_SLP_OK,</v>
      </c>
      <c r="H83" s="2" t="str">
        <f t="shared" si="3"/>
        <v>(U1)OXCAN_NMWK_ARQACT_TO_SLP_OK,</v>
      </c>
      <c r="I83" s="2" t="str">
        <f t="shared" si="3"/>
        <v>(U1)OXCAN_NMWK_ARQACT_SLP_OK,</v>
      </c>
      <c r="J83" s="2" t="str">
        <f t="shared" si="4"/>
        <v>(U1)OXCAN_NMWK_ARQACT_SLP_OK},</v>
      </c>
    </row>
    <row r="84" spans="7:10">
      <c r="G84" s="2" t="str">
        <f t="shared" si="2"/>
        <v>{(U1)OXCAN_NMWK_ARQACT_TO_SLP_NG,</v>
      </c>
      <c r="H84" s="2" t="str">
        <f t="shared" si="3"/>
        <v>(U1)OXCAN_NMWK_ARQACT_TO_SLP_NG,</v>
      </c>
      <c r="I84" s="2" t="str">
        <f t="shared" si="3"/>
        <v>(U1)OXCAN_NMWK_ARQACT_SLP_NG,</v>
      </c>
      <c r="J84" s="2" t="str">
        <f t="shared" si="4"/>
        <v>(U1)OXCAN_NMWK_ARQACT_SLP_NG},</v>
      </c>
    </row>
    <row r="85" spans="7:10">
      <c r="G85" s="2" t="str">
        <f t="shared" si="2"/>
        <v>{(U1)OXCAN_NMWK_ARQACT_TO_SLP_NG,</v>
      </c>
      <c r="H85" s="2" t="str">
        <f t="shared" si="3"/>
        <v>(U1)OXCAN_NMWK_ARQACT_TO_SLP_NG,</v>
      </c>
      <c r="I85" s="2" t="str">
        <f t="shared" si="3"/>
        <v>(U1)OXCAN_NMWK_ARQACT_SLP_NG,</v>
      </c>
      <c r="J85" s="2" t="str">
        <f t="shared" si="4"/>
        <v>(U1)OXCAN_NMWK_ARQACT_SLP_NG},</v>
      </c>
    </row>
    <row r="86" spans="7:10">
      <c r="G86" s="2" t="str">
        <f t="shared" si="2"/>
        <v>{(U1)OXCAN_NMWK_ARQACT_TO_SLP_NG,</v>
      </c>
      <c r="H86" s="2" t="str">
        <f t="shared" si="3"/>
        <v>(U1)OXCAN_NMWK_ARQACT_TO_SLP_NG,</v>
      </c>
      <c r="I86" s="2" t="str">
        <f t="shared" si="3"/>
        <v>(U1)OXCAN_NMWK_ARQACT_SLP_OK,</v>
      </c>
      <c r="J86" s="2" t="str">
        <f t="shared" si="4"/>
        <v>(U1)OXCAN_NMWK_ARQACT_SLP_OK},</v>
      </c>
    </row>
    <row r="87" spans="7:10">
      <c r="G87" s="2" t="str">
        <f t="shared" si="2"/>
        <v>{(U1)OXCAN_NMWK_ARQACT_TO_SLP_NG,</v>
      </c>
      <c r="H87" s="2" t="str">
        <f t="shared" si="3"/>
        <v>(U1)OXCAN_NMWK_ARQACT_TO_SLP_NG,</v>
      </c>
      <c r="I87" s="2" t="str">
        <f t="shared" si="3"/>
        <v>(U1)OXCAN_NMWK_ARQACT_SLP_OK,</v>
      </c>
      <c r="J87" s="2" t="str">
        <f t="shared" si="4"/>
        <v>(U1)OXCAN_NMWK_ARQACT_SLP_OK},</v>
      </c>
    </row>
  </sheetData>
  <phoneticPr fontId="15"/>
  <pageMargins left="0.7" right="0.7" top="0.75" bottom="0.75" header="0.3" footer="0.3"/>
  <pageSetup paperSize="9" scale="3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C0AD2-8718-4F5E-B3AA-DF8B59F3FFE1}">
  <dimension ref="A3:Y36"/>
  <sheetViews>
    <sheetView tabSelected="1" topLeftCell="A2" workbookViewId="0">
      <selection activeCell="D3" sqref="D3"/>
    </sheetView>
  </sheetViews>
  <sheetFormatPr defaultRowHeight="14.25"/>
  <cols>
    <col min="1" max="4" width="3" style="2" bestFit="1" customWidth="1"/>
    <col min="5" max="5" width="3" style="2" customWidth="1"/>
    <col min="6" max="7" width="29.375" style="2" bestFit="1" customWidth="1"/>
    <col min="8" max="8" width="29" style="2" bestFit="1" customWidth="1"/>
    <col min="9" max="16384" width="9" style="2"/>
  </cols>
  <sheetData>
    <row r="3" spans="1:15" ht="161.25">
      <c r="A3" s="121" t="s">
        <v>109</v>
      </c>
      <c r="B3" s="121" t="s">
        <v>110</v>
      </c>
      <c r="C3" s="121" t="s">
        <v>111</v>
      </c>
      <c r="D3" s="121" t="s">
        <v>113</v>
      </c>
      <c r="E3" s="121"/>
      <c r="F3" s="123" t="s">
        <v>95</v>
      </c>
      <c r="G3" s="124" t="s">
        <v>96</v>
      </c>
      <c r="H3" s="122" t="s">
        <v>107</v>
      </c>
      <c r="L3" s="2" t="s">
        <v>102</v>
      </c>
      <c r="M3" s="2" t="s">
        <v>100</v>
      </c>
      <c r="N3" s="2" t="s">
        <v>103</v>
      </c>
      <c r="O3" s="2" t="s">
        <v>105</v>
      </c>
    </row>
    <row r="4" spans="1:15">
      <c r="A4" s="2">
        <v>0</v>
      </c>
      <c r="B4" s="2">
        <v>0</v>
      </c>
      <c r="C4" s="2" t="s">
        <v>112</v>
      </c>
      <c r="D4" s="2" t="s">
        <v>112</v>
      </c>
      <c r="F4" s="122" t="s">
        <v>108</v>
      </c>
      <c r="G4" s="122" t="s">
        <v>108</v>
      </c>
      <c r="H4" s="122" t="s">
        <v>108</v>
      </c>
      <c r="K4" s="122" t="s">
        <v>97</v>
      </c>
      <c r="L4" s="122" t="s">
        <v>94</v>
      </c>
      <c r="M4" s="2">
        <v>0</v>
      </c>
      <c r="N4" s="2">
        <v>0</v>
      </c>
      <c r="O4" s="2">
        <v>0</v>
      </c>
    </row>
    <row r="5" spans="1:15">
      <c r="A5" s="2">
        <v>0</v>
      </c>
      <c r="B5" s="2">
        <v>0</v>
      </c>
      <c r="C5" s="2">
        <v>0</v>
      </c>
      <c r="D5" s="2">
        <v>1</v>
      </c>
      <c r="F5" s="123" t="s">
        <v>95</v>
      </c>
      <c r="G5" s="122" t="s">
        <v>108</v>
      </c>
      <c r="H5" s="122" t="s">
        <v>108</v>
      </c>
      <c r="K5" s="123" t="s">
        <v>98</v>
      </c>
      <c r="L5" s="2" t="s">
        <v>95</v>
      </c>
      <c r="M5" s="2">
        <v>1</v>
      </c>
      <c r="N5" s="2">
        <v>1</v>
      </c>
      <c r="O5" s="2" t="s">
        <v>104</v>
      </c>
    </row>
    <row r="6" spans="1:15">
      <c r="A6" s="2">
        <v>0</v>
      </c>
      <c r="B6" s="2">
        <v>0</v>
      </c>
      <c r="C6" s="2">
        <v>1</v>
      </c>
      <c r="D6" s="2">
        <v>0</v>
      </c>
      <c r="F6" s="122" t="s">
        <v>108</v>
      </c>
      <c r="G6" s="122" t="s">
        <v>108</v>
      </c>
      <c r="H6" s="122" t="s">
        <v>108</v>
      </c>
      <c r="K6" s="124" t="s">
        <v>99</v>
      </c>
      <c r="L6" s="2" t="s">
        <v>96</v>
      </c>
      <c r="M6" s="2">
        <v>1</v>
      </c>
      <c r="N6" s="2">
        <v>1</v>
      </c>
      <c r="O6" s="2" t="s">
        <v>104</v>
      </c>
    </row>
    <row r="7" spans="1:15">
      <c r="A7" s="2">
        <v>0</v>
      </c>
      <c r="B7" s="2">
        <v>0</v>
      </c>
      <c r="C7" s="2">
        <v>1</v>
      </c>
      <c r="D7" s="2">
        <v>1</v>
      </c>
      <c r="F7" s="123" t="s">
        <v>98</v>
      </c>
      <c r="G7" s="123" t="s">
        <v>98</v>
      </c>
      <c r="H7" s="123" t="s">
        <v>98</v>
      </c>
      <c r="K7" s="123" t="s">
        <v>95</v>
      </c>
      <c r="L7" s="2" t="s">
        <v>95</v>
      </c>
      <c r="M7" s="2" t="s">
        <v>101</v>
      </c>
      <c r="N7" s="2" t="s">
        <v>106</v>
      </c>
      <c r="O7" s="2" t="s">
        <v>104</v>
      </c>
    </row>
    <row r="8" spans="1:15">
      <c r="A8" s="2">
        <v>0</v>
      </c>
      <c r="B8" s="2">
        <v>1</v>
      </c>
      <c r="C8" s="2">
        <v>0</v>
      </c>
      <c r="D8" s="2">
        <v>0</v>
      </c>
      <c r="F8" s="122" t="s">
        <v>108</v>
      </c>
      <c r="G8" s="122" t="s">
        <v>108</v>
      </c>
      <c r="H8" s="122" t="s">
        <v>108</v>
      </c>
      <c r="K8" s="124" t="s">
        <v>96</v>
      </c>
      <c r="L8" s="2" t="s">
        <v>96</v>
      </c>
      <c r="M8" s="2" t="s">
        <v>101</v>
      </c>
      <c r="N8" s="2">
        <v>1</v>
      </c>
      <c r="O8" s="2" t="s">
        <v>104</v>
      </c>
    </row>
    <row r="9" spans="1:15">
      <c r="A9" s="2">
        <v>0</v>
      </c>
      <c r="B9" s="2">
        <v>1</v>
      </c>
      <c r="C9" s="2">
        <v>0</v>
      </c>
      <c r="D9" s="2">
        <v>1</v>
      </c>
      <c r="F9" s="122" t="s">
        <v>108</v>
      </c>
      <c r="G9" s="122" t="s">
        <v>108</v>
      </c>
      <c r="H9" s="122" t="s">
        <v>108</v>
      </c>
    </row>
    <row r="10" spans="1:15">
      <c r="A10" s="2">
        <v>0</v>
      </c>
      <c r="B10" s="2">
        <v>1</v>
      </c>
      <c r="C10" s="2">
        <v>1</v>
      </c>
      <c r="D10" s="2">
        <v>0</v>
      </c>
      <c r="F10" s="122" t="s">
        <v>108</v>
      </c>
      <c r="G10" s="122" t="s">
        <v>108</v>
      </c>
      <c r="H10" s="122" t="s">
        <v>108</v>
      </c>
    </row>
    <row r="11" spans="1:15">
      <c r="A11" s="2">
        <v>0</v>
      </c>
      <c r="B11" s="2">
        <v>1</v>
      </c>
      <c r="C11" s="2">
        <v>1</v>
      </c>
      <c r="D11" s="2">
        <v>1</v>
      </c>
      <c r="F11" s="123" t="s">
        <v>98</v>
      </c>
      <c r="G11" s="123" t="s">
        <v>98</v>
      </c>
      <c r="H11" s="123" t="s">
        <v>98</v>
      </c>
    </row>
    <row r="12" spans="1:15">
      <c r="A12" s="2">
        <v>1</v>
      </c>
      <c r="B12" s="2">
        <v>0</v>
      </c>
      <c r="C12" s="2">
        <v>0</v>
      </c>
      <c r="D12" s="2">
        <v>0</v>
      </c>
      <c r="F12" s="122" t="s">
        <v>108</v>
      </c>
      <c r="G12" s="122" t="s">
        <v>108</v>
      </c>
      <c r="H12" s="122" t="s">
        <v>108</v>
      </c>
    </row>
    <row r="13" spans="1:15">
      <c r="A13" s="2">
        <v>1</v>
      </c>
      <c r="B13" s="2">
        <v>0</v>
      </c>
      <c r="C13" s="2">
        <v>0</v>
      </c>
      <c r="D13" s="2">
        <v>1</v>
      </c>
      <c r="F13" s="124" t="s">
        <v>99</v>
      </c>
      <c r="G13" s="124" t="s">
        <v>96</v>
      </c>
      <c r="H13" s="122" t="s">
        <v>108</v>
      </c>
    </row>
    <row r="14" spans="1:15">
      <c r="A14" s="2">
        <v>1</v>
      </c>
      <c r="B14" s="2">
        <v>0</v>
      </c>
      <c r="C14" s="2">
        <v>1</v>
      </c>
      <c r="D14" s="2">
        <v>0</v>
      </c>
      <c r="F14" s="122" t="s">
        <v>108</v>
      </c>
      <c r="G14" s="122" t="s">
        <v>108</v>
      </c>
      <c r="H14" s="122" t="s">
        <v>108</v>
      </c>
    </row>
    <row r="15" spans="1:15">
      <c r="A15" s="2">
        <v>1</v>
      </c>
      <c r="B15" s="2">
        <v>0</v>
      </c>
      <c r="C15" s="2">
        <v>1</v>
      </c>
      <c r="D15" s="2">
        <v>1</v>
      </c>
      <c r="F15" s="124" t="s">
        <v>99</v>
      </c>
      <c r="G15" s="124" t="s">
        <v>99</v>
      </c>
      <c r="H15" s="124" t="s">
        <v>99</v>
      </c>
    </row>
    <row r="16" spans="1:15">
      <c r="A16" s="2">
        <v>1</v>
      </c>
      <c r="B16" s="2">
        <v>1</v>
      </c>
      <c r="C16" s="2">
        <v>0</v>
      </c>
      <c r="D16" s="2">
        <v>0</v>
      </c>
      <c r="F16" s="122" t="s">
        <v>108</v>
      </c>
      <c r="G16" s="122" t="s">
        <v>108</v>
      </c>
      <c r="H16" s="122" t="s">
        <v>108</v>
      </c>
    </row>
    <row r="17" spans="1:25">
      <c r="A17" s="2">
        <v>1</v>
      </c>
      <c r="B17" s="2">
        <v>1</v>
      </c>
      <c r="C17" s="2">
        <v>0</v>
      </c>
      <c r="D17" s="2">
        <v>1</v>
      </c>
      <c r="F17" s="124" t="s">
        <v>99</v>
      </c>
      <c r="G17" s="122" t="s">
        <v>108</v>
      </c>
      <c r="H17" s="122" t="s">
        <v>108</v>
      </c>
    </row>
    <row r="18" spans="1:25">
      <c r="A18" s="2">
        <v>1</v>
      </c>
      <c r="B18" s="2">
        <v>1</v>
      </c>
      <c r="C18" s="2">
        <v>1</v>
      </c>
      <c r="D18" s="2">
        <v>0</v>
      </c>
      <c r="F18" s="122" t="s">
        <v>108</v>
      </c>
      <c r="G18" s="122" t="s">
        <v>108</v>
      </c>
      <c r="H18" s="122" t="s">
        <v>108</v>
      </c>
    </row>
    <row r="19" spans="1:25">
      <c r="A19" s="2">
        <v>1</v>
      </c>
      <c r="B19" s="2">
        <v>1</v>
      </c>
      <c r="C19" s="2">
        <v>1</v>
      </c>
      <c r="D19" s="2">
        <v>1</v>
      </c>
      <c r="F19" s="124" t="s">
        <v>99</v>
      </c>
      <c r="G19" s="124" t="s">
        <v>99</v>
      </c>
      <c r="H19" s="124" t="s">
        <v>99</v>
      </c>
    </row>
    <row r="20" spans="1:25">
      <c r="J20" s="2">
        <v>0</v>
      </c>
      <c r="K20" s="2">
        <f>J20+1</f>
        <v>1</v>
      </c>
      <c r="L20" s="2">
        <f t="shared" ref="L20:Y20" si="0">K20+1</f>
        <v>2</v>
      </c>
      <c r="M20" s="2">
        <f t="shared" si="0"/>
        <v>3</v>
      </c>
      <c r="N20" s="2">
        <f t="shared" si="0"/>
        <v>4</v>
      </c>
      <c r="O20" s="2">
        <f t="shared" si="0"/>
        <v>5</v>
      </c>
      <c r="P20" s="2">
        <f t="shared" si="0"/>
        <v>6</v>
      </c>
      <c r="Q20" s="2">
        <f t="shared" si="0"/>
        <v>7</v>
      </c>
      <c r="R20" s="2">
        <f t="shared" si="0"/>
        <v>8</v>
      </c>
      <c r="S20" s="2">
        <f t="shared" si="0"/>
        <v>9</v>
      </c>
      <c r="T20" s="2">
        <f t="shared" si="0"/>
        <v>10</v>
      </c>
      <c r="U20" s="2">
        <f t="shared" si="0"/>
        <v>11</v>
      </c>
      <c r="V20" s="2">
        <f t="shared" si="0"/>
        <v>12</v>
      </c>
      <c r="W20" s="2">
        <f t="shared" si="0"/>
        <v>13</v>
      </c>
      <c r="X20" s="2">
        <f t="shared" si="0"/>
        <v>14</v>
      </c>
      <c r="Y20" s="2">
        <f t="shared" si="0"/>
        <v>15</v>
      </c>
    </row>
    <row r="21" spans="1:25">
      <c r="F21" s="2" t="str">
        <f>"(U1)OXCAN_WRQH_ACT_"&amp;F4&amp;","</f>
        <v>(U1)OXCAN_WRQH_ACT_TO_WFR,</v>
      </c>
      <c r="G21" s="2" t="str">
        <f>"(U1)OXCAN_WRQH_ACT_"&amp;G4&amp;","</f>
        <v>(U1)OXCAN_WRQH_ACT_TO_WFR,</v>
      </c>
      <c r="H21" s="2" t="str">
        <f>"(U1)OXCAN_WRQH_ACT_"&amp;H4&amp;","</f>
        <v>(U1)OXCAN_WRQH_ACT_TO_WFR,</v>
      </c>
      <c r="J21" s="2" t="str">
        <f t="array" ref="J21:Y21">TRANSPOSE(F21:F36)</f>
        <v>(U1)OXCAN_WRQH_ACT_TO_WFR,</v>
      </c>
      <c r="K21" s="2" t="str">
        <v>(U1)OXCAN_WRQH_ACT_STA,</v>
      </c>
      <c r="L21" s="2" t="str">
        <v>(U1)OXCAN_WRQH_ACT_TO_WFR,</v>
      </c>
      <c r="M21" s="2" t="str">
        <v>(U1)OXCAN_WRQH_ACT_TO_STA,</v>
      </c>
      <c r="N21" s="2" t="str">
        <v>(U1)OXCAN_WRQH_ACT_TO_WFR,</v>
      </c>
      <c r="O21" s="2" t="str">
        <v>(U1)OXCAN_WRQH_ACT_TO_WFR,</v>
      </c>
      <c r="P21" s="2" t="str">
        <v>(U1)OXCAN_WRQH_ACT_TO_WFR,</v>
      </c>
      <c r="Q21" s="2" t="str">
        <v>(U1)OXCAN_WRQH_ACT_TO_STA,</v>
      </c>
      <c r="R21" s="2" t="str">
        <v>(U1)OXCAN_WRQH_ACT_TO_WFR,</v>
      </c>
      <c r="S21" s="2" t="str">
        <v>(U1)OXCAN_WRQH_ACT_TO_RUN,</v>
      </c>
      <c r="T21" s="2" t="str">
        <v>(U1)OXCAN_WRQH_ACT_TO_WFR,</v>
      </c>
      <c r="U21" s="2" t="str">
        <v>(U1)OXCAN_WRQH_ACT_TO_RUN,</v>
      </c>
      <c r="V21" s="2" t="str">
        <v>(U1)OXCAN_WRQH_ACT_TO_WFR,</v>
      </c>
      <c r="W21" s="2" t="str">
        <v>(U1)OXCAN_WRQH_ACT_TO_RUN,</v>
      </c>
      <c r="X21" s="2" t="str">
        <v>(U1)OXCAN_WRQH_ACT_TO_WFR,</v>
      </c>
      <c r="Y21" s="2" t="str">
        <v>(U1)OXCAN_WRQH_ACT_TO_RUN,</v>
      </c>
    </row>
    <row r="22" spans="1:25">
      <c r="F22" s="2" t="str">
        <f t="shared" ref="F22:H22" si="1">"(U1)OXCAN_WRQH_ACT_"&amp;F5&amp;","</f>
        <v>(U1)OXCAN_WRQH_ACT_STA,</v>
      </c>
      <c r="G22" s="2" t="str">
        <f t="shared" si="1"/>
        <v>(U1)OXCAN_WRQH_ACT_TO_WFR,</v>
      </c>
      <c r="H22" s="2" t="str">
        <f t="shared" si="1"/>
        <v>(U1)OXCAN_WRQH_ACT_TO_WFR,</v>
      </c>
      <c r="J22" s="2" t="str">
        <f t="array" ref="J22:Y22">TRANSPOSE(G21:G36)</f>
        <v>(U1)OXCAN_WRQH_ACT_TO_WFR,</v>
      </c>
      <c r="K22" s="2" t="str">
        <v>(U1)OXCAN_WRQH_ACT_TO_WFR,</v>
      </c>
      <c r="L22" s="2" t="str">
        <v>(U1)OXCAN_WRQH_ACT_TO_WFR,</v>
      </c>
      <c r="M22" s="2" t="str">
        <v>(U1)OXCAN_WRQH_ACT_TO_STA,</v>
      </c>
      <c r="N22" s="2" t="str">
        <v>(U1)OXCAN_WRQH_ACT_TO_WFR,</v>
      </c>
      <c r="O22" s="2" t="str">
        <v>(U1)OXCAN_WRQH_ACT_TO_WFR,</v>
      </c>
      <c r="P22" s="2" t="str">
        <v>(U1)OXCAN_WRQH_ACT_TO_WFR,</v>
      </c>
      <c r="Q22" s="2" t="str">
        <v>(U1)OXCAN_WRQH_ACT_TO_STA,</v>
      </c>
      <c r="R22" s="2" t="str">
        <v>(U1)OXCAN_WRQH_ACT_TO_WFR,</v>
      </c>
      <c r="S22" s="2" t="str">
        <v>(U1)OXCAN_WRQH_ACT_RUN,</v>
      </c>
      <c r="T22" s="2" t="str">
        <v>(U1)OXCAN_WRQH_ACT_TO_WFR,</v>
      </c>
      <c r="U22" s="2" t="str">
        <v>(U1)OXCAN_WRQH_ACT_TO_RUN,</v>
      </c>
      <c r="V22" s="2" t="str">
        <v>(U1)OXCAN_WRQH_ACT_TO_WFR,</v>
      </c>
      <c r="W22" s="2" t="str">
        <v>(U1)OXCAN_WRQH_ACT_TO_WFR,</v>
      </c>
      <c r="X22" s="2" t="str">
        <v>(U1)OXCAN_WRQH_ACT_TO_WFR,</v>
      </c>
      <c r="Y22" s="2" t="str">
        <v>(U1)OXCAN_WRQH_ACT_TO_RUN,</v>
      </c>
    </row>
    <row r="23" spans="1:25">
      <c r="F23" s="2" t="str">
        <f t="shared" ref="F23:H23" si="2">"(U1)OXCAN_WRQH_ACT_"&amp;F6&amp;","</f>
        <v>(U1)OXCAN_WRQH_ACT_TO_WFR,</v>
      </c>
      <c r="G23" s="2" t="str">
        <f t="shared" si="2"/>
        <v>(U1)OXCAN_WRQH_ACT_TO_WFR,</v>
      </c>
      <c r="H23" s="2" t="str">
        <f t="shared" si="2"/>
        <v>(U1)OXCAN_WRQH_ACT_TO_WFR,</v>
      </c>
      <c r="J23" s="2" t="str">
        <f t="array" ref="J23:Y23">TRANSPOSE(H21:H36)</f>
        <v>(U1)OXCAN_WRQH_ACT_TO_WFR,</v>
      </c>
      <c r="K23" s="2" t="str">
        <v>(U1)OXCAN_WRQH_ACT_TO_WFR,</v>
      </c>
      <c r="L23" s="2" t="str">
        <v>(U1)OXCAN_WRQH_ACT_TO_WFR,</v>
      </c>
      <c r="M23" s="2" t="str">
        <v>(U1)OXCAN_WRQH_ACT_TO_STA,</v>
      </c>
      <c r="N23" s="2" t="str">
        <v>(U1)OXCAN_WRQH_ACT_TO_WFR,</v>
      </c>
      <c r="O23" s="2" t="str">
        <v>(U1)OXCAN_WRQH_ACT_TO_WFR,</v>
      </c>
      <c r="P23" s="2" t="str">
        <v>(U1)OXCAN_WRQH_ACT_TO_WFR,</v>
      </c>
      <c r="Q23" s="2" t="str">
        <v>(U1)OXCAN_WRQH_ACT_TO_STA,</v>
      </c>
      <c r="R23" s="2" t="str">
        <v>(U1)OXCAN_WRQH_ACT_TO_WFR,</v>
      </c>
      <c r="S23" s="2" t="str">
        <v>(U1)OXCAN_WRQH_ACT_TO_WFR,</v>
      </c>
      <c r="T23" s="2" t="str">
        <v>(U1)OXCAN_WRQH_ACT_TO_WFR,</v>
      </c>
      <c r="U23" s="2" t="str">
        <v>(U1)OXCAN_WRQH_ACT_TO_RUN,</v>
      </c>
      <c r="V23" s="2" t="str">
        <v>(U1)OXCAN_WRQH_ACT_TO_WFR,</v>
      </c>
      <c r="W23" s="2" t="str">
        <v>(U1)OXCAN_WRQH_ACT_TO_WFR,</v>
      </c>
      <c r="X23" s="2" t="str">
        <v>(U1)OXCAN_WRQH_ACT_TO_WFR,</v>
      </c>
      <c r="Y23" s="2" t="str">
        <v>(U1)OXCAN_WRQH_ACT_TO_RUN,</v>
      </c>
    </row>
    <row r="24" spans="1:25">
      <c r="F24" s="2" t="str">
        <f t="shared" ref="F24:H24" si="3">"(U1)OXCAN_WRQH_ACT_"&amp;F7&amp;","</f>
        <v>(U1)OXCAN_WRQH_ACT_TO_STA,</v>
      </c>
      <c r="G24" s="2" t="str">
        <f t="shared" si="3"/>
        <v>(U1)OXCAN_WRQH_ACT_TO_STA,</v>
      </c>
      <c r="H24" s="2" t="str">
        <f t="shared" si="3"/>
        <v>(U1)OXCAN_WRQH_ACT_TO_STA,</v>
      </c>
    </row>
    <row r="25" spans="1:25">
      <c r="F25" s="2" t="str">
        <f t="shared" ref="F25:H25" si="4">"(U1)OXCAN_WRQH_ACT_"&amp;F8&amp;","</f>
        <v>(U1)OXCAN_WRQH_ACT_TO_WFR,</v>
      </c>
      <c r="G25" s="2" t="str">
        <f t="shared" si="4"/>
        <v>(U1)OXCAN_WRQH_ACT_TO_WFR,</v>
      </c>
      <c r="H25" s="2" t="str">
        <f t="shared" si="4"/>
        <v>(U1)OXCAN_WRQH_ACT_TO_WFR,</v>
      </c>
    </row>
    <row r="26" spans="1:25">
      <c r="F26" s="2" t="str">
        <f t="shared" ref="F26:H26" si="5">"(U1)OXCAN_WRQH_ACT_"&amp;F9&amp;","</f>
        <v>(U1)OXCAN_WRQH_ACT_TO_WFR,</v>
      </c>
      <c r="G26" s="2" t="str">
        <f t="shared" si="5"/>
        <v>(U1)OXCAN_WRQH_ACT_TO_WFR,</v>
      </c>
      <c r="H26" s="2" t="str">
        <f t="shared" si="5"/>
        <v>(U1)OXCAN_WRQH_ACT_TO_WFR,</v>
      </c>
    </row>
    <row r="27" spans="1:25">
      <c r="F27" s="2" t="str">
        <f t="shared" ref="F27:H27" si="6">"(U1)OXCAN_WRQH_ACT_"&amp;F10&amp;","</f>
        <v>(U1)OXCAN_WRQH_ACT_TO_WFR,</v>
      </c>
      <c r="G27" s="2" t="str">
        <f t="shared" si="6"/>
        <v>(U1)OXCAN_WRQH_ACT_TO_WFR,</v>
      </c>
      <c r="H27" s="2" t="str">
        <f t="shared" si="6"/>
        <v>(U1)OXCAN_WRQH_ACT_TO_WFR,</v>
      </c>
    </row>
    <row r="28" spans="1:25">
      <c r="F28" s="2" t="str">
        <f t="shared" ref="F28:H28" si="7">"(U1)OXCAN_WRQH_ACT_"&amp;F11&amp;","</f>
        <v>(U1)OXCAN_WRQH_ACT_TO_STA,</v>
      </c>
      <c r="G28" s="2" t="str">
        <f t="shared" si="7"/>
        <v>(U1)OXCAN_WRQH_ACT_TO_STA,</v>
      </c>
      <c r="H28" s="2" t="str">
        <f t="shared" si="7"/>
        <v>(U1)OXCAN_WRQH_ACT_TO_STA,</v>
      </c>
    </row>
    <row r="29" spans="1:25">
      <c r="F29" s="2" t="str">
        <f t="shared" ref="F29:H29" si="8">"(U1)OXCAN_WRQH_ACT_"&amp;F12&amp;","</f>
        <v>(U1)OXCAN_WRQH_ACT_TO_WFR,</v>
      </c>
      <c r="G29" s="2" t="str">
        <f t="shared" si="8"/>
        <v>(U1)OXCAN_WRQH_ACT_TO_WFR,</v>
      </c>
      <c r="H29" s="2" t="str">
        <f t="shared" si="8"/>
        <v>(U1)OXCAN_WRQH_ACT_TO_WFR,</v>
      </c>
    </row>
    <row r="30" spans="1:25">
      <c r="F30" s="2" t="str">
        <f t="shared" ref="F30:H30" si="9">"(U1)OXCAN_WRQH_ACT_"&amp;F13&amp;","</f>
        <v>(U1)OXCAN_WRQH_ACT_TO_RUN,</v>
      </c>
      <c r="G30" s="2" t="str">
        <f t="shared" si="9"/>
        <v>(U1)OXCAN_WRQH_ACT_RUN,</v>
      </c>
      <c r="H30" s="2" t="str">
        <f t="shared" si="9"/>
        <v>(U1)OXCAN_WRQH_ACT_TO_WFR,</v>
      </c>
    </row>
    <row r="31" spans="1:25">
      <c r="F31" s="2" t="str">
        <f t="shared" ref="F31:H31" si="10">"(U1)OXCAN_WRQH_ACT_"&amp;F14&amp;","</f>
        <v>(U1)OXCAN_WRQH_ACT_TO_WFR,</v>
      </c>
      <c r="G31" s="2" t="str">
        <f t="shared" si="10"/>
        <v>(U1)OXCAN_WRQH_ACT_TO_WFR,</v>
      </c>
      <c r="H31" s="2" t="str">
        <f t="shared" si="10"/>
        <v>(U1)OXCAN_WRQH_ACT_TO_WFR,</v>
      </c>
    </row>
    <row r="32" spans="1:25">
      <c r="F32" s="2" t="str">
        <f t="shared" ref="F32:H32" si="11">"(U1)OXCAN_WRQH_ACT_"&amp;F15&amp;","</f>
        <v>(U1)OXCAN_WRQH_ACT_TO_RUN,</v>
      </c>
      <c r="G32" s="2" t="str">
        <f t="shared" si="11"/>
        <v>(U1)OXCAN_WRQH_ACT_TO_RUN,</v>
      </c>
      <c r="H32" s="2" t="str">
        <f t="shared" si="11"/>
        <v>(U1)OXCAN_WRQH_ACT_TO_RUN,</v>
      </c>
    </row>
    <row r="33" spans="6:8">
      <c r="F33" s="2" t="str">
        <f t="shared" ref="F33:H33" si="12">"(U1)OXCAN_WRQH_ACT_"&amp;F16&amp;","</f>
        <v>(U1)OXCAN_WRQH_ACT_TO_WFR,</v>
      </c>
      <c r="G33" s="2" t="str">
        <f t="shared" si="12"/>
        <v>(U1)OXCAN_WRQH_ACT_TO_WFR,</v>
      </c>
      <c r="H33" s="2" t="str">
        <f t="shared" si="12"/>
        <v>(U1)OXCAN_WRQH_ACT_TO_WFR,</v>
      </c>
    </row>
    <row r="34" spans="6:8">
      <c r="F34" s="2" t="str">
        <f t="shared" ref="F34:H34" si="13">"(U1)OXCAN_WRQH_ACT_"&amp;F17&amp;","</f>
        <v>(U1)OXCAN_WRQH_ACT_TO_RUN,</v>
      </c>
      <c r="G34" s="2" t="str">
        <f t="shared" si="13"/>
        <v>(U1)OXCAN_WRQH_ACT_TO_WFR,</v>
      </c>
      <c r="H34" s="2" t="str">
        <f t="shared" si="13"/>
        <v>(U1)OXCAN_WRQH_ACT_TO_WFR,</v>
      </c>
    </row>
    <row r="35" spans="6:8">
      <c r="F35" s="2" t="str">
        <f t="shared" ref="F35:H35" si="14">"(U1)OXCAN_WRQH_ACT_"&amp;F18&amp;","</f>
        <v>(U1)OXCAN_WRQH_ACT_TO_WFR,</v>
      </c>
      <c r="G35" s="2" t="str">
        <f t="shared" si="14"/>
        <v>(U1)OXCAN_WRQH_ACT_TO_WFR,</v>
      </c>
      <c r="H35" s="2" t="str">
        <f t="shared" si="14"/>
        <v>(U1)OXCAN_WRQH_ACT_TO_WFR,</v>
      </c>
    </row>
    <row r="36" spans="6:8">
      <c r="F36" s="2" t="str">
        <f t="shared" ref="F36:H36" si="15">"(U1)OXCAN_WRQH_ACT_"&amp;F19&amp;","</f>
        <v>(U1)OXCAN_WRQH_ACT_TO_RUN,</v>
      </c>
      <c r="G36" s="2" t="str">
        <f t="shared" si="15"/>
        <v>(U1)OXCAN_WRQH_ACT_TO_RUN,</v>
      </c>
      <c r="H36" s="2" t="str">
        <f t="shared" si="15"/>
        <v>(U1)OXCAN_WRQH_ACT_TO_RUN,</v>
      </c>
    </row>
  </sheetData>
  <phoneticPr fontId="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zoomScaleNormal="100" workbookViewId="0"/>
  </sheetViews>
  <sheetFormatPr defaultRowHeight="13.5"/>
  <sheetData>
    <row r="1" spans="1:1" ht="18.75">
      <c r="A1" s="1" t="s">
        <v>6</v>
      </c>
    </row>
    <row r="4" spans="1:1">
      <c r="A4" t="s">
        <v>7</v>
      </c>
    </row>
  </sheetData>
  <phoneticPr fontId="7"/>
  <pageMargins left="0.7" right="0.7" top="0.75" bottom="0.75" header="0.3" footer="0.3"/>
  <pageSetup paperSize="9" scale="4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C1"/>
  <sheetViews>
    <sheetView showGridLines="0" zoomScale="70" zoomScaleNormal="70" workbookViewId="0"/>
  </sheetViews>
  <sheetFormatPr defaultRowHeight="13.5"/>
  <sheetData>
    <row r="1" spans="1:3">
      <c r="A1" s="29" t="s">
        <v>20</v>
      </c>
      <c r="B1" s="29"/>
      <c r="C1" s="29"/>
    </row>
  </sheetData>
  <phoneticPr fontId="14"/>
  <pageMargins left="0.11811023622047245" right="0.11811023622047245" top="0.35433070866141736" bottom="0.35433070866141736" header="0.31496062992125984" footer="0.31496062992125984"/>
  <pageSetup paperSize="9" scale="76" orientation="landscape"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V61"/>
  <sheetViews>
    <sheetView showGridLines="0" zoomScaleNormal="100" workbookViewId="0"/>
  </sheetViews>
  <sheetFormatPr defaultRowHeight="13.5"/>
  <cols>
    <col min="7" max="8" width="1.625" customWidth="1"/>
  </cols>
  <sheetData>
    <row r="2" spans="2:22" ht="14.25">
      <c r="B2" s="2"/>
      <c r="C2" s="2"/>
      <c r="D2" s="2"/>
      <c r="E2" s="2"/>
      <c r="F2" s="2"/>
      <c r="G2" s="2"/>
      <c r="H2" s="2"/>
      <c r="I2" s="2"/>
      <c r="J2" s="2"/>
      <c r="K2" s="2"/>
      <c r="L2" s="2"/>
      <c r="M2" s="2"/>
      <c r="N2" s="2"/>
      <c r="O2" s="2"/>
      <c r="P2" s="2"/>
      <c r="Q2" s="2"/>
      <c r="R2" s="2"/>
      <c r="S2" s="2"/>
      <c r="T2" s="2"/>
      <c r="U2" s="2"/>
      <c r="V2" s="2"/>
    </row>
    <row r="3" spans="2:22" ht="14.25">
      <c r="B3" s="2"/>
      <c r="C3" s="2"/>
      <c r="D3" s="2"/>
      <c r="E3" s="2"/>
      <c r="F3" s="2"/>
      <c r="G3" s="2"/>
      <c r="H3" s="2"/>
      <c r="I3" s="2"/>
      <c r="J3" s="2"/>
      <c r="K3" s="2"/>
      <c r="L3" s="2"/>
      <c r="M3" s="2"/>
      <c r="N3" s="2"/>
      <c r="O3" s="2"/>
      <c r="P3" s="2"/>
      <c r="Q3" s="2"/>
      <c r="R3" s="2"/>
      <c r="S3" s="2"/>
      <c r="T3" s="2"/>
      <c r="U3" s="2"/>
      <c r="V3" s="2"/>
    </row>
    <row r="4" spans="2:22" ht="14.25">
      <c r="B4" s="2"/>
      <c r="C4" s="2"/>
      <c r="D4" s="2"/>
      <c r="E4" s="2"/>
      <c r="F4" s="2"/>
      <c r="G4" s="2"/>
      <c r="H4" s="2"/>
      <c r="I4" s="2"/>
      <c r="J4" s="2"/>
      <c r="K4" s="2"/>
      <c r="L4" s="2"/>
      <c r="M4" s="2"/>
      <c r="N4" s="2"/>
      <c r="O4" s="2"/>
      <c r="P4" s="2"/>
      <c r="Q4" s="2"/>
      <c r="R4" s="2"/>
      <c r="S4" s="2"/>
      <c r="T4" s="2"/>
      <c r="U4" s="2"/>
      <c r="V4" s="2"/>
    </row>
    <row r="5" spans="2:22" ht="14.25">
      <c r="B5" s="2"/>
      <c r="C5" s="2"/>
      <c r="D5" s="2"/>
      <c r="E5" s="2"/>
      <c r="F5" s="2"/>
      <c r="G5" s="2"/>
      <c r="H5" s="2"/>
      <c r="I5" s="2"/>
      <c r="J5" s="2"/>
      <c r="K5" s="2"/>
      <c r="L5" s="2"/>
      <c r="M5" s="2"/>
      <c r="N5" s="2"/>
      <c r="O5" s="2"/>
      <c r="P5" s="2"/>
      <c r="Q5" s="2"/>
      <c r="R5" s="2"/>
      <c r="S5" s="2"/>
      <c r="T5" s="2"/>
      <c r="U5" s="2"/>
      <c r="V5" s="2"/>
    </row>
    <row r="6" spans="2:22" ht="15" thickBot="1">
      <c r="B6" s="2"/>
      <c r="C6" s="2"/>
      <c r="D6" s="2"/>
      <c r="E6" s="2"/>
      <c r="F6" s="2"/>
      <c r="G6" s="2"/>
      <c r="H6" s="2"/>
      <c r="I6" s="2"/>
      <c r="J6" s="2"/>
      <c r="K6" s="2"/>
      <c r="L6" s="2"/>
      <c r="M6" s="2"/>
      <c r="N6" s="2"/>
      <c r="O6" s="2"/>
      <c r="P6" s="2"/>
      <c r="Q6" s="2"/>
      <c r="R6" s="2"/>
      <c r="S6" s="2"/>
      <c r="T6" s="2"/>
      <c r="U6" s="2"/>
      <c r="V6" s="2"/>
    </row>
    <row r="7" spans="2:22" ht="15" thickTop="1">
      <c r="B7" s="2"/>
      <c r="C7" s="2"/>
      <c r="D7" s="3"/>
      <c r="E7" s="4"/>
      <c r="F7" s="5"/>
      <c r="G7" s="5"/>
      <c r="H7" s="6"/>
      <c r="I7" s="3"/>
      <c r="J7" s="3"/>
      <c r="K7" s="3"/>
      <c r="L7" s="3"/>
      <c r="M7" s="3"/>
      <c r="N7" s="3"/>
      <c r="O7" s="3"/>
      <c r="P7" s="3"/>
      <c r="Q7" s="2"/>
      <c r="R7" s="2"/>
      <c r="S7" s="2"/>
      <c r="T7" s="2"/>
      <c r="U7" s="2"/>
      <c r="V7" s="2"/>
    </row>
    <row r="8" spans="2:22" ht="14.25">
      <c r="B8" s="2"/>
      <c r="C8" s="2" t="s">
        <v>8</v>
      </c>
      <c r="D8" s="3"/>
      <c r="E8" s="6"/>
      <c r="F8" s="3"/>
      <c r="G8" s="3"/>
      <c r="H8" s="6"/>
      <c r="I8" s="3"/>
      <c r="J8" s="3"/>
      <c r="K8" s="3"/>
      <c r="L8" s="3"/>
      <c r="M8" s="3"/>
      <c r="N8" s="3"/>
      <c r="O8" s="3"/>
      <c r="P8" s="3"/>
      <c r="Q8" s="2"/>
      <c r="R8" s="2"/>
      <c r="S8" s="2"/>
      <c r="T8" s="2"/>
      <c r="U8" s="2"/>
      <c r="V8" s="2"/>
    </row>
    <row r="9" spans="2:22" ht="15" thickBot="1">
      <c r="B9" s="2"/>
      <c r="C9" s="2"/>
      <c r="D9" s="7"/>
      <c r="E9" s="6"/>
      <c r="F9" s="3"/>
      <c r="G9" s="3"/>
      <c r="H9" s="8"/>
      <c r="I9" s="9"/>
      <c r="J9" s="9"/>
      <c r="K9" s="9"/>
      <c r="L9" s="9"/>
      <c r="M9" s="9"/>
      <c r="N9" s="9"/>
      <c r="O9" s="9"/>
      <c r="P9" s="9"/>
      <c r="Q9" s="9"/>
      <c r="R9" s="9"/>
      <c r="S9" s="9"/>
      <c r="T9" s="9"/>
      <c r="U9" s="9"/>
      <c r="V9" s="2"/>
    </row>
    <row r="10" spans="2:22" ht="15" thickTop="1">
      <c r="B10" s="2"/>
      <c r="C10" s="2"/>
      <c r="D10" s="2"/>
      <c r="E10" s="2"/>
      <c r="F10" s="2"/>
      <c r="G10" s="2"/>
      <c r="H10" s="2"/>
      <c r="I10" s="2"/>
      <c r="J10" s="2"/>
      <c r="K10" s="2"/>
      <c r="L10" s="2"/>
      <c r="M10" s="2"/>
      <c r="N10" s="2"/>
      <c r="O10" s="2"/>
      <c r="P10" s="2"/>
      <c r="Q10" s="2"/>
      <c r="R10" s="2"/>
      <c r="S10" s="2"/>
      <c r="T10" s="2"/>
      <c r="U10" s="2"/>
      <c r="V10" s="2"/>
    </row>
    <row r="11" spans="2:22" ht="14.25">
      <c r="B11" s="2"/>
      <c r="C11" s="2"/>
      <c r="D11" s="2"/>
      <c r="E11" s="2"/>
      <c r="F11" s="2"/>
      <c r="G11" s="2"/>
      <c r="H11" s="2"/>
      <c r="I11" s="2"/>
      <c r="J11" s="2"/>
      <c r="K11" s="2"/>
      <c r="L11" s="2"/>
      <c r="M11" s="2"/>
      <c r="N11" s="2"/>
      <c r="O11" s="2"/>
      <c r="P11" s="2"/>
      <c r="Q11" s="2"/>
      <c r="R11" s="2"/>
      <c r="S11" s="2"/>
      <c r="T11" s="2"/>
      <c r="U11" s="2"/>
      <c r="V11" s="2"/>
    </row>
    <row r="12" spans="2:22" ht="14.25">
      <c r="B12" s="2"/>
      <c r="C12" s="2"/>
      <c r="D12" s="2"/>
      <c r="E12" s="2"/>
      <c r="F12" s="2"/>
      <c r="G12" s="2"/>
      <c r="H12" s="2"/>
      <c r="I12" s="2"/>
      <c r="J12" s="2"/>
      <c r="K12" s="2"/>
      <c r="L12" s="2"/>
      <c r="M12" s="2"/>
      <c r="N12" s="2"/>
      <c r="O12" s="2"/>
      <c r="P12" s="2"/>
      <c r="Q12" s="2"/>
      <c r="R12" s="2"/>
      <c r="S12" s="2"/>
      <c r="T12" s="2"/>
      <c r="U12" s="2"/>
      <c r="V12" s="2"/>
    </row>
    <row r="13" spans="2:22" ht="15" thickBot="1">
      <c r="B13" s="2"/>
      <c r="C13" s="2"/>
      <c r="D13" s="2"/>
      <c r="E13" s="2"/>
      <c r="F13" s="2"/>
      <c r="G13" s="2"/>
      <c r="H13" s="2"/>
      <c r="I13" s="2"/>
      <c r="J13" s="2"/>
      <c r="K13" s="2"/>
      <c r="L13" s="2"/>
      <c r="M13" s="2"/>
      <c r="N13" s="2"/>
      <c r="O13" s="2"/>
      <c r="P13" s="2"/>
      <c r="Q13" s="2"/>
      <c r="R13" s="2"/>
      <c r="S13" s="2"/>
      <c r="T13" s="2"/>
      <c r="U13" s="2"/>
      <c r="V13" s="2"/>
    </row>
    <row r="14" spans="2:22" ht="15" thickTop="1">
      <c r="B14" s="2"/>
      <c r="C14" s="2" t="s">
        <v>9</v>
      </c>
      <c r="D14" s="2"/>
      <c r="E14" s="2"/>
      <c r="F14" s="2"/>
      <c r="G14" s="10"/>
      <c r="H14" s="30"/>
      <c r="I14" s="5"/>
      <c r="J14" s="5"/>
      <c r="K14" s="5"/>
      <c r="L14" s="5"/>
      <c r="M14" s="5"/>
      <c r="N14" s="5"/>
      <c r="O14" s="5"/>
      <c r="P14" s="5"/>
      <c r="Q14" s="5"/>
      <c r="R14" s="5"/>
      <c r="S14" s="5"/>
      <c r="T14" s="5"/>
      <c r="U14" s="5"/>
      <c r="V14" s="2"/>
    </row>
    <row r="15" spans="2:22" ht="14.25">
      <c r="B15" s="2"/>
      <c r="C15" s="2" t="s">
        <v>11</v>
      </c>
      <c r="D15" s="2"/>
      <c r="E15" s="11"/>
      <c r="F15" s="2"/>
      <c r="G15" s="10"/>
      <c r="H15" s="31"/>
      <c r="I15" s="3"/>
      <c r="J15" s="3"/>
      <c r="K15" s="3"/>
      <c r="L15" s="3"/>
      <c r="M15" s="3"/>
      <c r="N15" s="3"/>
      <c r="O15" s="3"/>
      <c r="P15" s="3"/>
      <c r="Q15" s="3"/>
      <c r="R15" s="3"/>
      <c r="S15" s="3"/>
      <c r="T15" s="3"/>
      <c r="U15" s="3"/>
      <c r="V15" s="2"/>
    </row>
    <row r="16" spans="2:22" ht="15" thickBot="1">
      <c r="B16" s="2"/>
      <c r="C16" s="2"/>
      <c r="D16" s="9"/>
      <c r="E16" s="12"/>
      <c r="F16" s="9"/>
      <c r="G16" s="13"/>
      <c r="H16" s="31"/>
      <c r="I16" s="3"/>
      <c r="J16" s="3"/>
      <c r="K16" s="11"/>
      <c r="L16" s="3"/>
      <c r="M16" s="3"/>
      <c r="N16" s="3"/>
      <c r="O16" s="3"/>
      <c r="P16" s="3"/>
      <c r="Q16" s="3"/>
      <c r="R16" s="3"/>
      <c r="S16" s="3"/>
      <c r="T16" s="3"/>
      <c r="U16" s="3"/>
      <c r="V16" s="2"/>
    </row>
    <row r="17" spans="2:22" ht="15" thickTop="1">
      <c r="B17" s="2"/>
      <c r="C17" s="2"/>
      <c r="D17" s="2"/>
      <c r="E17" s="11"/>
      <c r="F17" s="2"/>
      <c r="G17" s="2"/>
      <c r="H17" s="2"/>
      <c r="I17" s="2"/>
      <c r="J17" s="2"/>
      <c r="K17" s="11"/>
      <c r="L17" s="2"/>
      <c r="M17" s="2"/>
      <c r="N17" s="2"/>
      <c r="O17" s="2"/>
      <c r="P17" s="2"/>
      <c r="Q17" s="2"/>
      <c r="R17" s="2"/>
      <c r="S17" s="2"/>
      <c r="T17" s="2"/>
      <c r="U17" s="2"/>
      <c r="V17" s="2"/>
    </row>
    <row r="18" spans="2:22" ht="14.25">
      <c r="B18" s="2"/>
      <c r="C18" s="2"/>
      <c r="D18" s="2"/>
      <c r="E18" s="11"/>
      <c r="F18" s="2"/>
      <c r="G18" s="2"/>
      <c r="H18" s="2"/>
      <c r="I18" s="2"/>
      <c r="J18" s="2"/>
      <c r="K18" s="11"/>
      <c r="L18" s="2"/>
      <c r="M18" s="2"/>
      <c r="N18" s="2"/>
      <c r="O18" s="2"/>
      <c r="P18" s="2"/>
      <c r="Q18" s="2"/>
      <c r="R18" s="2"/>
      <c r="S18" s="2"/>
      <c r="T18" s="2"/>
      <c r="U18" s="2"/>
      <c r="V18" s="2"/>
    </row>
    <row r="19" spans="2:22" ht="15" thickBot="1">
      <c r="B19" s="2"/>
      <c r="C19" s="2"/>
      <c r="D19" s="14"/>
      <c r="E19" s="2"/>
      <c r="F19" s="2"/>
      <c r="G19" s="2"/>
      <c r="H19" s="2"/>
      <c r="I19" s="2"/>
      <c r="J19" s="2"/>
      <c r="K19" s="11"/>
      <c r="L19" s="2"/>
      <c r="M19" s="2"/>
      <c r="N19" s="2"/>
      <c r="O19" s="2"/>
      <c r="P19" s="2"/>
      <c r="Q19" s="2"/>
      <c r="R19" s="2"/>
      <c r="S19" s="2"/>
      <c r="T19" s="2"/>
      <c r="U19" s="2"/>
      <c r="V19" s="2"/>
    </row>
    <row r="20" spans="2:22" ht="15" thickTop="1">
      <c r="B20" s="2"/>
      <c r="C20" s="2" t="s">
        <v>10</v>
      </c>
      <c r="D20" s="14"/>
      <c r="E20" s="2"/>
      <c r="F20" s="2"/>
      <c r="G20" s="3"/>
      <c r="H20" s="3"/>
      <c r="I20" s="3"/>
      <c r="J20" s="3"/>
      <c r="K20" s="11"/>
      <c r="L20" s="3"/>
      <c r="M20" s="3"/>
      <c r="N20" s="3"/>
      <c r="O20" s="10"/>
      <c r="P20" s="5"/>
      <c r="Q20" s="5"/>
      <c r="R20" s="5"/>
      <c r="S20" s="15"/>
      <c r="T20" s="5"/>
      <c r="U20" s="5"/>
      <c r="V20" s="2"/>
    </row>
    <row r="21" spans="2:22" ht="14.25">
      <c r="B21" s="2"/>
      <c r="C21" s="2" t="s">
        <v>12</v>
      </c>
      <c r="D21" s="2"/>
      <c r="E21" s="11"/>
      <c r="F21" s="2"/>
      <c r="G21" s="3"/>
      <c r="H21" s="3"/>
      <c r="I21" s="3"/>
      <c r="J21" s="3"/>
      <c r="K21" s="11"/>
      <c r="L21" s="3"/>
      <c r="M21" s="3"/>
      <c r="N21" s="3"/>
      <c r="O21" s="10"/>
      <c r="P21" s="3"/>
      <c r="Q21" s="3"/>
      <c r="R21" s="3"/>
      <c r="S21" s="11"/>
      <c r="T21" s="3"/>
      <c r="U21" s="3"/>
      <c r="V21" s="2"/>
    </row>
    <row r="22" spans="2:22" ht="15" thickBot="1">
      <c r="B22" s="2"/>
      <c r="C22" s="2"/>
      <c r="D22" s="9"/>
      <c r="E22" s="12"/>
      <c r="F22" s="9"/>
      <c r="G22" s="9"/>
      <c r="H22" s="9"/>
      <c r="I22" s="9"/>
      <c r="J22" s="9"/>
      <c r="K22" s="12"/>
      <c r="L22" s="9"/>
      <c r="M22" s="9"/>
      <c r="N22" s="9"/>
      <c r="O22" s="13"/>
      <c r="P22" s="3"/>
      <c r="Q22" s="3"/>
      <c r="R22" s="3"/>
      <c r="S22" s="11"/>
      <c r="T22" s="3"/>
      <c r="U22" s="3"/>
      <c r="V22" s="2"/>
    </row>
    <row r="23" spans="2:22" ht="15" thickTop="1">
      <c r="B23" s="2"/>
      <c r="C23" s="2"/>
      <c r="D23" s="2"/>
      <c r="E23" s="11"/>
      <c r="F23" s="2"/>
      <c r="G23" s="2"/>
      <c r="H23" s="2"/>
      <c r="I23" s="2"/>
      <c r="J23" s="2"/>
      <c r="K23" s="11"/>
      <c r="L23" s="2"/>
      <c r="M23" s="2"/>
      <c r="N23" s="2"/>
      <c r="O23" s="2"/>
      <c r="P23" s="11"/>
      <c r="Q23" s="2"/>
      <c r="R23" s="2"/>
      <c r="S23" s="11"/>
      <c r="T23" s="2"/>
      <c r="U23" s="2"/>
      <c r="V23" s="2"/>
    </row>
    <row r="24" spans="2:22" ht="14.25">
      <c r="B24" s="2"/>
      <c r="C24" s="2"/>
      <c r="D24" s="2"/>
      <c r="E24" s="11"/>
      <c r="F24" s="2"/>
      <c r="G24" s="2"/>
      <c r="H24" s="2"/>
      <c r="I24" s="2"/>
      <c r="J24" s="2"/>
      <c r="K24" s="11"/>
      <c r="L24" s="2"/>
      <c r="M24" s="2"/>
      <c r="N24" s="2"/>
      <c r="O24" s="2"/>
      <c r="P24" s="11"/>
      <c r="Q24" s="2"/>
      <c r="R24" s="2"/>
      <c r="S24" s="11"/>
      <c r="T24" s="2"/>
      <c r="U24" s="2"/>
      <c r="V24" s="2"/>
    </row>
    <row r="25" spans="2:22" ht="14.25">
      <c r="B25" s="28" t="s">
        <v>22</v>
      </c>
      <c r="C25" s="3"/>
      <c r="D25" s="14"/>
      <c r="E25" s="3"/>
      <c r="F25" s="3"/>
      <c r="G25" s="3"/>
      <c r="H25" s="3"/>
      <c r="I25" s="3"/>
      <c r="J25" s="3"/>
      <c r="K25" s="11"/>
      <c r="L25" s="3"/>
      <c r="M25" s="3"/>
      <c r="N25" s="3"/>
      <c r="O25" s="3"/>
      <c r="P25" s="11"/>
      <c r="Q25" s="3"/>
      <c r="R25" s="3"/>
      <c r="S25" s="11"/>
      <c r="T25" s="3"/>
      <c r="U25" s="3"/>
      <c r="V25" s="3"/>
    </row>
    <row r="26" spans="2:22" ht="15" thickBot="1">
      <c r="B26" s="3"/>
      <c r="C26" s="3"/>
      <c r="D26" s="16"/>
      <c r="E26" s="3"/>
      <c r="F26" s="3"/>
      <c r="G26" s="3"/>
      <c r="H26" s="3"/>
      <c r="I26" s="3"/>
      <c r="J26" s="3"/>
      <c r="K26" s="11"/>
      <c r="L26" s="3"/>
      <c r="M26" s="3"/>
      <c r="N26" s="3"/>
      <c r="O26" s="3"/>
      <c r="P26" s="11"/>
      <c r="Q26" s="3"/>
      <c r="R26" s="3"/>
      <c r="S26" s="11"/>
      <c r="T26" s="3"/>
      <c r="U26" s="3"/>
      <c r="V26" s="3"/>
    </row>
    <row r="27" spans="2:22" ht="15" thickBot="1">
      <c r="C27" s="19" t="s">
        <v>13</v>
      </c>
      <c r="D27" s="26" t="s">
        <v>14</v>
      </c>
      <c r="E27" s="20" t="s">
        <v>15</v>
      </c>
      <c r="F27" s="21"/>
      <c r="G27" s="21"/>
      <c r="H27" s="22"/>
      <c r="I27" s="23" t="s">
        <v>14</v>
      </c>
      <c r="J27" s="23"/>
      <c r="K27" s="24"/>
      <c r="L27" s="23"/>
      <c r="M27" s="23"/>
      <c r="N27" s="23"/>
      <c r="O27" s="23"/>
      <c r="P27" s="24"/>
      <c r="Q27" s="23"/>
      <c r="R27" s="23"/>
      <c r="S27" s="24"/>
      <c r="T27" s="23"/>
      <c r="U27" s="25"/>
      <c r="V27" s="3"/>
    </row>
    <row r="28" spans="2:22" ht="15" thickBot="1">
      <c r="C28" s="19"/>
      <c r="D28" s="3"/>
      <c r="E28" s="18"/>
      <c r="F28" s="3"/>
      <c r="G28" s="3"/>
      <c r="H28" s="3"/>
      <c r="I28" s="3"/>
      <c r="J28" s="3"/>
      <c r="K28" s="11"/>
      <c r="L28" s="3"/>
      <c r="M28" s="3"/>
      <c r="N28" s="3"/>
      <c r="O28" s="3"/>
      <c r="P28" s="11"/>
      <c r="Q28" s="3"/>
      <c r="R28" s="3"/>
      <c r="S28" s="11"/>
      <c r="T28" s="3"/>
      <c r="U28" s="3"/>
      <c r="V28" s="3"/>
    </row>
    <row r="29" spans="2:22" ht="15" thickBot="1">
      <c r="C29" s="19" t="s">
        <v>16</v>
      </c>
      <c r="D29" s="27" t="s">
        <v>19</v>
      </c>
      <c r="E29" s="20" t="s">
        <v>17</v>
      </c>
      <c r="F29" s="21"/>
      <c r="G29" s="21"/>
      <c r="H29" s="21"/>
      <c r="I29" s="26" t="s">
        <v>18</v>
      </c>
      <c r="J29" s="23"/>
      <c r="K29" s="24"/>
      <c r="L29" s="23"/>
      <c r="M29" s="23"/>
      <c r="N29" s="23"/>
      <c r="O29" s="44"/>
      <c r="P29" s="23"/>
      <c r="Q29" s="23"/>
      <c r="R29" s="23"/>
      <c r="S29" s="24"/>
      <c r="T29" s="23"/>
      <c r="U29" s="25"/>
      <c r="V29" s="3"/>
    </row>
    <row r="30" spans="2:22" ht="15" thickBot="1">
      <c r="B30" s="3"/>
      <c r="C30" s="3"/>
      <c r="D30" s="43"/>
      <c r="E30" s="3"/>
      <c r="F30" s="3"/>
      <c r="G30" s="3"/>
      <c r="H30" s="3"/>
      <c r="I30" s="3"/>
      <c r="J30" s="43"/>
      <c r="K30" s="3"/>
      <c r="L30" s="3"/>
      <c r="M30" s="3"/>
      <c r="N30" s="3"/>
      <c r="O30" s="14"/>
      <c r="P30" s="3"/>
      <c r="Q30" s="3"/>
      <c r="R30" s="43"/>
      <c r="S30" s="3"/>
      <c r="T30" s="3"/>
      <c r="U30" s="3"/>
      <c r="V30" s="3"/>
    </row>
    <row r="31" spans="2:22" ht="15" thickBot="1">
      <c r="C31" s="37" t="s">
        <v>34</v>
      </c>
      <c r="D31" s="27" t="s">
        <v>25</v>
      </c>
      <c r="E31" s="38" t="s">
        <v>27</v>
      </c>
      <c r="F31" s="21"/>
      <c r="G31" s="21"/>
      <c r="H31" s="21"/>
      <c r="I31" s="26" t="s">
        <v>37</v>
      </c>
      <c r="J31" s="44"/>
      <c r="K31" s="23"/>
      <c r="L31" s="23"/>
      <c r="M31" s="23"/>
      <c r="N31" s="23"/>
      <c r="O31" s="44"/>
      <c r="P31" s="23"/>
      <c r="Q31" s="23"/>
      <c r="R31" s="44"/>
      <c r="S31" s="23"/>
      <c r="T31" s="23"/>
      <c r="U31" s="25"/>
      <c r="V31" s="3"/>
    </row>
    <row r="32" spans="2:22" ht="15" thickBot="1">
      <c r="B32" s="3"/>
      <c r="C32" s="3"/>
      <c r="D32" s="43"/>
      <c r="E32" s="3"/>
      <c r="F32" s="3"/>
      <c r="G32" s="3"/>
      <c r="H32" s="3"/>
      <c r="I32" s="3"/>
      <c r="J32" s="14"/>
      <c r="K32" s="3"/>
      <c r="L32" s="3"/>
      <c r="M32" s="3"/>
      <c r="N32" s="3"/>
      <c r="O32" s="14"/>
      <c r="P32" s="3"/>
      <c r="Q32" s="3"/>
      <c r="R32" s="14"/>
      <c r="S32" s="3"/>
      <c r="T32" s="3"/>
      <c r="U32" s="3"/>
      <c r="V32" s="3"/>
    </row>
    <row r="33" spans="2:22" ht="15" thickBot="1">
      <c r="C33" s="37" t="s">
        <v>35</v>
      </c>
      <c r="D33" s="27" t="s">
        <v>36</v>
      </c>
      <c r="E33" s="20" t="s">
        <v>28</v>
      </c>
      <c r="F33" s="21"/>
      <c r="G33" s="21"/>
      <c r="H33" s="21"/>
      <c r="I33" s="42" t="s">
        <v>26</v>
      </c>
      <c r="J33" s="44"/>
      <c r="K33" s="23"/>
      <c r="L33" s="23"/>
      <c r="M33" s="23"/>
      <c r="N33" s="23"/>
      <c r="O33" s="44"/>
      <c r="P33" s="23"/>
      <c r="Q33" s="23"/>
      <c r="R33" s="44"/>
      <c r="S33" s="23"/>
      <c r="T33" s="23"/>
      <c r="U33" s="25"/>
      <c r="V33" s="3"/>
    </row>
    <row r="34" spans="2:22" ht="14.25">
      <c r="B34" s="3"/>
      <c r="C34" s="3"/>
      <c r="D34" s="43"/>
      <c r="E34" s="3"/>
      <c r="F34" s="3"/>
      <c r="G34" s="3"/>
      <c r="H34" s="3"/>
      <c r="I34" s="3"/>
      <c r="J34" s="14"/>
      <c r="K34" s="3"/>
      <c r="L34" s="3"/>
      <c r="M34" s="3"/>
      <c r="N34" s="3"/>
      <c r="O34" s="14"/>
      <c r="P34" s="3"/>
      <c r="Q34" s="3"/>
      <c r="R34" s="14"/>
      <c r="S34" s="3"/>
      <c r="T34" s="3"/>
      <c r="U34" s="3"/>
      <c r="V34" s="3"/>
    </row>
    <row r="35" spans="2:22" ht="14.25">
      <c r="B35" s="3"/>
      <c r="C35" s="3"/>
      <c r="D35" s="14"/>
      <c r="E35" s="3"/>
      <c r="F35" s="3"/>
      <c r="G35" s="3"/>
      <c r="H35" s="3"/>
      <c r="I35" s="3"/>
      <c r="J35" s="14"/>
      <c r="K35" s="3"/>
      <c r="L35" s="3"/>
      <c r="M35" s="3"/>
      <c r="N35" s="3"/>
      <c r="O35" s="14"/>
      <c r="P35" s="3"/>
      <c r="Q35" s="3"/>
      <c r="R35" s="14"/>
      <c r="S35" s="3"/>
      <c r="T35" s="3"/>
      <c r="U35" s="3"/>
      <c r="V35" s="3"/>
    </row>
    <row r="36" spans="2:22" ht="14.25">
      <c r="B36" s="2"/>
      <c r="C36" s="2"/>
      <c r="D36" s="14"/>
      <c r="E36" s="2"/>
      <c r="F36" s="2"/>
      <c r="G36" s="2"/>
      <c r="H36" s="2"/>
      <c r="I36" s="2"/>
      <c r="J36" s="14"/>
      <c r="K36" s="3"/>
      <c r="L36" s="2"/>
      <c r="M36" s="2"/>
      <c r="N36" s="2"/>
      <c r="O36" s="14"/>
      <c r="P36" s="3"/>
      <c r="Q36" s="2"/>
      <c r="R36" s="14"/>
      <c r="S36" s="3"/>
      <c r="T36" s="2"/>
      <c r="U36" s="2"/>
      <c r="V36" s="2"/>
    </row>
    <row r="37" spans="2:22" ht="14.25">
      <c r="B37" s="2"/>
      <c r="C37" s="2"/>
      <c r="D37" s="14"/>
      <c r="E37" s="2"/>
      <c r="F37" s="2"/>
      <c r="G37" s="2"/>
      <c r="H37" s="2"/>
      <c r="I37" s="2"/>
      <c r="J37" s="2"/>
      <c r="K37" s="11"/>
      <c r="L37" s="2"/>
      <c r="M37" s="2"/>
      <c r="N37" s="2"/>
      <c r="O37" s="14"/>
      <c r="P37" s="3"/>
      <c r="Q37" s="2"/>
      <c r="R37" s="14"/>
      <c r="S37" s="3"/>
      <c r="T37" s="2"/>
      <c r="U37" s="2"/>
      <c r="V37" s="2"/>
    </row>
    <row r="38" spans="2:22" ht="14.25">
      <c r="B38" s="2"/>
      <c r="C38" s="2"/>
      <c r="D38" s="14"/>
      <c r="E38" s="2"/>
      <c r="F38" s="2"/>
      <c r="G38" s="2"/>
      <c r="H38" s="2"/>
      <c r="I38" s="2"/>
      <c r="J38" s="2"/>
      <c r="K38" s="11"/>
      <c r="L38" s="2"/>
      <c r="M38" s="2"/>
      <c r="N38" s="2"/>
      <c r="O38" s="2"/>
      <c r="P38" s="11"/>
      <c r="Q38" s="2"/>
      <c r="R38" s="14"/>
      <c r="S38" s="3"/>
      <c r="T38" s="2"/>
      <c r="U38" s="2"/>
      <c r="V38" s="2"/>
    </row>
    <row r="39" spans="2:22" ht="14.25">
      <c r="B39" s="32" t="s">
        <v>21</v>
      </c>
      <c r="C39" s="3"/>
      <c r="D39" s="14"/>
      <c r="E39" s="3"/>
      <c r="F39" s="36" t="s">
        <v>24</v>
      </c>
      <c r="G39" s="36"/>
      <c r="H39" s="36"/>
      <c r="I39" s="36"/>
      <c r="J39" s="3"/>
      <c r="K39" s="11"/>
      <c r="L39" s="3"/>
      <c r="M39" s="3"/>
      <c r="N39" s="3"/>
      <c r="O39" s="3"/>
      <c r="P39" s="11"/>
      <c r="Q39" s="3"/>
      <c r="R39" s="14"/>
      <c r="S39" s="3"/>
      <c r="T39" s="3"/>
      <c r="U39" s="3"/>
      <c r="V39" s="3"/>
    </row>
    <row r="40" spans="2:22" ht="15" thickBot="1">
      <c r="B40" s="3"/>
      <c r="C40" s="3"/>
      <c r="D40" s="16"/>
      <c r="E40" s="3"/>
      <c r="F40" s="3"/>
      <c r="G40" s="3"/>
      <c r="H40" s="3"/>
      <c r="I40" s="3"/>
      <c r="J40" s="3"/>
      <c r="K40" s="18"/>
      <c r="L40" s="3"/>
      <c r="M40" s="3"/>
      <c r="N40" s="3"/>
      <c r="O40" s="3"/>
      <c r="P40" s="18"/>
      <c r="Q40" s="3"/>
      <c r="R40" s="3"/>
      <c r="S40" s="18"/>
      <c r="T40" s="3"/>
      <c r="U40" s="3"/>
      <c r="V40" s="3"/>
    </row>
    <row r="41" spans="2:22" ht="15" thickBot="1">
      <c r="C41" s="19" t="s">
        <v>13</v>
      </c>
      <c r="D41" s="26" t="s">
        <v>14</v>
      </c>
      <c r="E41" s="20" t="s">
        <v>15</v>
      </c>
      <c r="F41" s="21"/>
      <c r="G41" s="21"/>
      <c r="H41" s="21"/>
      <c r="I41" s="33"/>
      <c r="J41" s="34"/>
      <c r="K41" s="23" t="s">
        <v>14</v>
      </c>
      <c r="L41" s="23"/>
      <c r="M41" s="23"/>
      <c r="N41" s="23"/>
      <c r="O41" s="23"/>
      <c r="P41" s="35" t="s">
        <v>15</v>
      </c>
      <c r="Q41" s="33"/>
      <c r="R41" s="33"/>
      <c r="S41" s="26" t="s">
        <v>14</v>
      </c>
      <c r="T41" s="23"/>
      <c r="U41" s="25"/>
      <c r="V41" s="3"/>
    </row>
    <row r="42" spans="2:22" ht="15" thickBot="1">
      <c r="C42" s="19"/>
      <c r="D42" s="3"/>
      <c r="E42" s="18"/>
      <c r="F42" s="3"/>
      <c r="G42" s="3"/>
      <c r="H42" s="3"/>
      <c r="I42" s="3"/>
      <c r="J42" s="3"/>
      <c r="K42" s="17"/>
      <c r="L42" s="3"/>
      <c r="M42" s="3"/>
      <c r="N42" s="3"/>
      <c r="O42" s="3"/>
      <c r="P42" s="17"/>
      <c r="Q42" s="3"/>
      <c r="R42" s="3"/>
      <c r="S42" s="17"/>
      <c r="T42" s="3"/>
      <c r="U42" s="3"/>
      <c r="V42" s="3"/>
    </row>
    <row r="43" spans="2:22" ht="15" thickBot="1">
      <c r="C43" s="19" t="s">
        <v>16</v>
      </c>
      <c r="D43" s="27" t="s">
        <v>19</v>
      </c>
      <c r="E43" s="20" t="s">
        <v>17</v>
      </c>
      <c r="F43" s="21"/>
      <c r="G43" s="21"/>
      <c r="H43" s="21"/>
      <c r="I43" s="33"/>
      <c r="J43" s="34"/>
      <c r="K43" s="23" t="s">
        <v>18</v>
      </c>
      <c r="L43" s="23"/>
      <c r="M43" s="23"/>
      <c r="N43" s="23"/>
      <c r="O43" s="23"/>
      <c r="P43" s="35" t="s">
        <v>17</v>
      </c>
      <c r="Q43" s="33"/>
      <c r="R43" s="33"/>
      <c r="S43" s="26" t="s">
        <v>18</v>
      </c>
      <c r="T43" s="23"/>
      <c r="U43" s="25"/>
      <c r="V43" s="3"/>
    </row>
    <row r="44" spans="2:22" ht="15" thickBot="1">
      <c r="B44" s="3"/>
      <c r="C44" s="3"/>
      <c r="D44" s="3"/>
      <c r="E44" s="3"/>
      <c r="F44" s="3"/>
      <c r="G44" s="3"/>
      <c r="H44" s="3"/>
      <c r="I44" s="3"/>
      <c r="J44" s="43"/>
      <c r="K44" s="3"/>
      <c r="L44" s="3"/>
      <c r="M44" s="3"/>
      <c r="N44" s="3"/>
      <c r="O44" s="43"/>
      <c r="P44" s="3"/>
      <c r="Q44" s="3"/>
      <c r="R44" s="43"/>
      <c r="S44" s="3"/>
      <c r="T44" s="3"/>
      <c r="U44" s="3"/>
      <c r="V44" s="3"/>
    </row>
    <row r="45" spans="2:22" ht="15" thickBot="1">
      <c r="C45" s="37" t="s">
        <v>34</v>
      </c>
      <c r="D45" s="27" t="s">
        <v>25</v>
      </c>
      <c r="E45" s="38" t="s">
        <v>27</v>
      </c>
      <c r="F45" s="21"/>
      <c r="G45" s="21"/>
      <c r="H45" s="21"/>
      <c r="I45" s="33"/>
      <c r="J45" s="34"/>
      <c r="K45" s="39" t="s">
        <v>29</v>
      </c>
      <c r="L45" s="23"/>
      <c r="M45" s="23"/>
      <c r="N45" s="23"/>
      <c r="O45" s="23"/>
      <c r="P45" s="41" t="s">
        <v>30</v>
      </c>
      <c r="Q45" s="33"/>
      <c r="R45" s="33"/>
      <c r="S45" s="26" t="s">
        <v>37</v>
      </c>
      <c r="T45" s="23"/>
      <c r="U45" s="25"/>
      <c r="V45" s="3"/>
    </row>
    <row r="46" spans="2:22" ht="15" thickBot="1">
      <c r="B46" s="3"/>
      <c r="C46" s="3"/>
      <c r="D46" s="3"/>
      <c r="E46" s="3"/>
      <c r="F46" s="3"/>
      <c r="G46" s="3"/>
      <c r="H46" s="3"/>
      <c r="I46" s="3"/>
      <c r="J46" s="43"/>
      <c r="K46" s="3"/>
      <c r="L46" s="3"/>
      <c r="M46" s="3"/>
      <c r="N46" s="3"/>
      <c r="O46" s="43"/>
      <c r="P46" s="3"/>
      <c r="Q46" s="3"/>
      <c r="R46" s="43"/>
      <c r="S46" s="3"/>
      <c r="T46" s="3"/>
      <c r="U46" s="3"/>
      <c r="V46" s="3"/>
    </row>
    <row r="47" spans="2:22" ht="15" thickBot="1">
      <c r="C47" s="37" t="s">
        <v>35</v>
      </c>
      <c r="D47" s="27" t="s">
        <v>36</v>
      </c>
      <c r="E47" s="20" t="s">
        <v>28</v>
      </c>
      <c r="F47" s="21"/>
      <c r="G47" s="21"/>
      <c r="H47" s="21"/>
      <c r="I47" s="33"/>
      <c r="J47" s="34"/>
      <c r="K47" s="39" t="s">
        <v>26</v>
      </c>
      <c r="L47" s="23"/>
      <c r="M47" s="23"/>
      <c r="N47" s="23"/>
      <c r="O47" s="23"/>
      <c r="P47" s="40" t="s">
        <v>31</v>
      </c>
      <c r="Q47" s="33"/>
      <c r="R47" s="33"/>
      <c r="S47" s="26" t="s">
        <v>32</v>
      </c>
      <c r="T47" s="23"/>
      <c r="U47" s="25"/>
      <c r="V47" s="3"/>
    </row>
    <row r="48" spans="2:22" ht="14.25">
      <c r="B48" s="3"/>
      <c r="C48" s="3"/>
      <c r="D48" s="43"/>
      <c r="E48" s="3"/>
      <c r="F48" s="3"/>
      <c r="G48" s="3"/>
      <c r="H48" s="3"/>
      <c r="I48" s="3"/>
      <c r="J48" s="46"/>
      <c r="K48" s="46"/>
      <c r="L48" s="3"/>
      <c r="M48" s="3"/>
      <c r="N48" s="3"/>
      <c r="O48" s="43"/>
      <c r="P48" s="3"/>
      <c r="Q48" s="3"/>
      <c r="R48" s="43"/>
      <c r="S48" s="3"/>
      <c r="T48" s="3"/>
      <c r="U48" s="3"/>
      <c r="V48" s="3"/>
    </row>
    <row r="49" spans="2:22">
      <c r="D49" s="45"/>
      <c r="J49" s="47"/>
      <c r="K49" s="47"/>
      <c r="O49" s="45"/>
      <c r="R49" s="45"/>
    </row>
    <row r="50" spans="2:22">
      <c r="D50" s="45"/>
      <c r="J50" s="47"/>
      <c r="K50" s="47"/>
      <c r="O50" s="45"/>
      <c r="R50" s="45"/>
    </row>
    <row r="51" spans="2:22" ht="14.25">
      <c r="B51" s="32" t="s">
        <v>23</v>
      </c>
      <c r="C51" s="3"/>
      <c r="D51" s="14"/>
      <c r="E51" s="3"/>
      <c r="F51" s="36" t="s">
        <v>24</v>
      </c>
      <c r="G51" s="36"/>
      <c r="H51" s="36"/>
      <c r="I51" s="36"/>
      <c r="J51" s="3"/>
      <c r="K51" s="3"/>
      <c r="L51" s="3"/>
      <c r="M51" s="3"/>
      <c r="N51" s="3"/>
      <c r="O51" s="3"/>
      <c r="P51" s="11"/>
      <c r="Q51" s="3"/>
      <c r="R51" s="3"/>
      <c r="S51" s="11"/>
      <c r="T51" s="3"/>
      <c r="U51" s="3"/>
      <c r="V51" s="3"/>
    </row>
    <row r="52" spans="2:22" ht="15" thickBot="1">
      <c r="B52" s="3"/>
      <c r="C52" s="3"/>
      <c r="D52" s="16"/>
      <c r="E52" s="3"/>
      <c r="F52" s="3"/>
      <c r="G52" s="3"/>
      <c r="H52" s="3"/>
      <c r="I52" s="3"/>
      <c r="J52" s="3"/>
      <c r="K52" s="48"/>
      <c r="L52" s="3"/>
      <c r="M52" s="3"/>
      <c r="N52" s="3"/>
      <c r="O52" s="3"/>
      <c r="P52" s="18"/>
      <c r="Q52" s="3"/>
      <c r="R52" s="3"/>
      <c r="S52" s="18"/>
      <c r="T52" s="3"/>
      <c r="U52" s="3"/>
      <c r="V52" s="3"/>
    </row>
    <row r="53" spans="2:22" ht="15" thickBot="1">
      <c r="C53" s="19" t="s">
        <v>13</v>
      </c>
      <c r="D53" s="26" t="s">
        <v>14</v>
      </c>
      <c r="E53" s="20" t="s">
        <v>15</v>
      </c>
      <c r="F53" s="21"/>
      <c r="G53" s="21"/>
      <c r="H53" s="22"/>
      <c r="I53" s="23" t="s">
        <v>14</v>
      </c>
      <c r="J53" s="23"/>
      <c r="K53" s="23"/>
      <c r="L53" s="23"/>
      <c r="M53" s="23"/>
      <c r="N53" s="23"/>
      <c r="O53" s="23"/>
      <c r="P53" s="35" t="s">
        <v>15</v>
      </c>
      <c r="Q53" s="33"/>
      <c r="R53" s="33"/>
      <c r="S53" s="26" t="s">
        <v>14</v>
      </c>
      <c r="T53" s="23"/>
      <c r="U53" s="25"/>
      <c r="V53" s="3"/>
    </row>
    <row r="54" spans="2:22" ht="15" thickBot="1">
      <c r="C54" s="19"/>
      <c r="D54" s="3"/>
      <c r="E54" s="18"/>
      <c r="F54" s="3"/>
      <c r="G54" s="3"/>
      <c r="H54" s="3"/>
      <c r="I54" s="3"/>
      <c r="J54" s="3"/>
      <c r="K54" s="3"/>
      <c r="L54" s="3"/>
      <c r="M54" s="3"/>
      <c r="N54" s="3"/>
      <c r="O54" s="3"/>
      <c r="P54" s="17"/>
      <c r="Q54" s="3"/>
      <c r="R54" s="3"/>
      <c r="S54" s="17"/>
      <c r="T54" s="3"/>
      <c r="U54" s="3"/>
      <c r="V54" s="3"/>
    </row>
    <row r="55" spans="2:22" ht="15" thickBot="1">
      <c r="C55" s="19" t="s">
        <v>16</v>
      </c>
      <c r="D55" s="27" t="s">
        <v>18</v>
      </c>
      <c r="E55" s="20" t="s">
        <v>17</v>
      </c>
      <c r="F55" s="21"/>
      <c r="G55" s="21"/>
      <c r="H55" s="21"/>
      <c r="I55" s="26" t="s">
        <v>18</v>
      </c>
      <c r="J55" s="23"/>
      <c r="K55" s="23"/>
      <c r="L55" s="23"/>
      <c r="M55" s="23"/>
      <c r="N55" s="23"/>
      <c r="O55" s="23"/>
      <c r="P55" s="35" t="s">
        <v>17</v>
      </c>
      <c r="Q55" s="33"/>
      <c r="R55" s="33"/>
      <c r="S55" s="26" t="s">
        <v>18</v>
      </c>
      <c r="T55" s="23"/>
      <c r="U55" s="25"/>
      <c r="V55" s="3"/>
    </row>
    <row r="56" spans="2:22" ht="15" thickBot="1">
      <c r="B56" s="3"/>
      <c r="C56" s="3"/>
      <c r="D56" s="3"/>
      <c r="E56" s="3"/>
      <c r="F56" s="3"/>
      <c r="G56" s="3"/>
      <c r="H56" s="3"/>
      <c r="I56" s="3"/>
      <c r="J56" s="3"/>
      <c r="K56" s="3"/>
      <c r="L56" s="3"/>
      <c r="M56" s="3"/>
      <c r="N56" s="3"/>
      <c r="O56" s="3"/>
      <c r="P56" s="3"/>
      <c r="Q56" s="3"/>
      <c r="R56" s="3"/>
      <c r="S56" s="3"/>
      <c r="T56" s="3"/>
      <c r="U56" s="3"/>
      <c r="V56" s="3"/>
    </row>
    <row r="57" spans="2:22" ht="15" thickBot="1">
      <c r="C57" s="37" t="s">
        <v>34</v>
      </c>
      <c r="D57" s="27" t="s">
        <v>25</v>
      </c>
      <c r="E57" s="38" t="s">
        <v>27</v>
      </c>
      <c r="F57" s="21"/>
      <c r="G57" s="21"/>
      <c r="H57" s="21"/>
      <c r="I57" s="42" t="s">
        <v>33</v>
      </c>
      <c r="J57" s="23"/>
      <c r="K57" s="23"/>
      <c r="L57" s="23"/>
      <c r="M57" s="23"/>
      <c r="N57" s="23"/>
      <c r="O57" s="23"/>
      <c r="P57" s="41" t="s">
        <v>30</v>
      </c>
      <c r="Q57" s="33"/>
      <c r="R57" s="33"/>
      <c r="S57" s="26" t="s">
        <v>37</v>
      </c>
      <c r="T57" s="23"/>
      <c r="U57" s="25"/>
      <c r="V57" s="3"/>
    </row>
    <row r="58" spans="2:22" ht="15" thickBot="1">
      <c r="B58" s="3"/>
      <c r="C58" s="3"/>
      <c r="D58" s="3"/>
      <c r="E58" s="3"/>
      <c r="F58" s="3"/>
      <c r="G58" s="3"/>
      <c r="H58" s="3"/>
      <c r="I58" s="3"/>
      <c r="J58" s="3"/>
      <c r="K58" s="48"/>
      <c r="L58" s="3"/>
      <c r="M58" s="3"/>
      <c r="N58" s="3"/>
      <c r="O58" s="3"/>
      <c r="P58" s="3"/>
      <c r="Q58" s="3"/>
      <c r="R58" s="3"/>
      <c r="S58" s="3"/>
      <c r="T58" s="3"/>
      <c r="U58" s="3"/>
      <c r="V58" s="3"/>
    </row>
    <row r="59" spans="2:22" ht="15" thickBot="1">
      <c r="C59" s="37" t="s">
        <v>35</v>
      </c>
      <c r="D59" s="27" t="s">
        <v>36</v>
      </c>
      <c r="E59" s="20" t="s">
        <v>28</v>
      </c>
      <c r="F59" s="21"/>
      <c r="G59" s="21"/>
      <c r="H59" s="21"/>
      <c r="I59" s="42" t="s">
        <v>26</v>
      </c>
      <c r="J59" s="23"/>
      <c r="K59" s="39"/>
      <c r="L59" s="23"/>
      <c r="M59" s="23"/>
      <c r="N59" s="23"/>
      <c r="O59" s="23"/>
      <c r="P59" s="40" t="s">
        <v>31</v>
      </c>
      <c r="Q59" s="33"/>
      <c r="R59" s="33"/>
      <c r="S59" s="26" t="s">
        <v>32</v>
      </c>
      <c r="T59" s="23"/>
      <c r="U59" s="25"/>
      <c r="V59" s="3"/>
    </row>
    <row r="60" spans="2:22" ht="14.25">
      <c r="B60" s="3"/>
      <c r="C60" s="3"/>
      <c r="D60" s="3"/>
      <c r="E60" s="3"/>
      <c r="F60" s="3"/>
      <c r="G60" s="3"/>
      <c r="H60" s="3"/>
      <c r="I60" s="3"/>
      <c r="J60" s="3"/>
      <c r="K60" s="3"/>
      <c r="L60" s="3"/>
      <c r="M60" s="3"/>
      <c r="N60" s="3"/>
      <c r="O60" s="3"/>
      <c r="P60" s="3"/>
      <c r="Q60" s="3"/>
      <c r="R60" s="3"/>
      <c r="S60" s="3"/>
      <c r="T60" s="3"/>
      <c r="U60" s="3"/>
      <c r="V60" s="3"/>
    </row>
    <row r="61" spans="2:22" ht="14.25">
      <c r="H61" s="3"/>
      <c r="I61" s="3"/>
      <c r="J61" s="3"/>
      <c r="K61" s="3"/>
      <c r="L61" s="3"/>
      <c r="M61" s="3"/>
      <c r="N61" s="3"/>
      <c r="O61" s="3"/>
    </row>
  </sheetData>
  <phoneticPr fontId="8"/>
  <pageMargins left="0.7" right="0.7" top="0.75" bottom="0.75" header="0.3" footer="0.3"/>
  <pageSetup paperSize="9" scale="4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状態遷移表</vt:lpstr>
      <vt:lpstr>Sheet1</vt:lpstr>
      <vt:lpstr>(参考)要求仕様</vt:lpstr>
      <vt:lpstr>__obsolete_STD</vt:lpstr>
      <vt:lpstr>__obsolete_TC</vt:lpstr>
    </vt:vector>
  </TitlesOfParts>
  <Company>Denso Create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hiramatsu_m</dc:creator>
  <cp:lastModifiedBy>Takashi Nagai (長井 隆)</cp:lastModifiedBy>
  <cp:lastPrinted>2015-03-11T13:28:52Z</cp:lastPrinted>
  <dcterms:created xsi:type="dcterms:W3CDTF">2015-02-13T05:13:45Z</dcterms:created>
  <dcterms:modified xsi:type="dcterms:W3CDTF">2025-06-10T23:12:26Z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2024-09-12T06:07:40Z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1f189179-7e86-44f2-b06b-e984ef684c86</vt:lpwstr>
  </property>
  <property fmtid="{D5CDD505-2E9C-101B-9397-08002B2CF9AE}" pid="8" name="MSIP_Label_6add209e-37c4-4e15-ab1b-f9befe71def1_ContentBits">
    <vt:lpwstr>0</vt:lpwstr>
  </property>
</Properties>
</file>