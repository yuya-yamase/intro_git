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F2699B41-5590-4083-AC76-5F76F88EAC87}" xr6:coauthVersionLast="47" xr6:coauthVersionMax="47" xr10:uidLastSave="{00000000-0000-0000-0000-000000000000}"/>
  <bookViews>
    <workbookView xWindow="-120" yWindow="-120" windowWidth="29040" windowHeight="15990" tabRatio="805" activeTab="1" xr2:uid="{00000000-000D-0000-FFFF-FFFF00000000}"/>
  </bookViews>
  <sheets>
    <sheet name="I2C" sheetId="36" r:id="rId1"/>
    <sheet name="BRLH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8" i="36" l="1"/>
  <c r="T34" i="36"/>
  <c r="T30" i="36"/>
  <c r="T26" i="36"/>
  <c r="T22" i="36"/>
  <c r="M6" i="37"/>
  <c r="M5" i="37"/>
  <c r="T62" i="36"/>
  <c r="T58" i="36"/>
  <c r="N5" i="37"/>
  <c r="M11" i="37" l="1"/>
  <c r="M12" i="37" s="1"/>
  <c r="M13" i="37" s="1"/>
  <c r="N6" i="37"/>
  <c r="V34" i="36" l="1"/>
  <c r="V22" i="36"/>
  <c r="V30" i="36"/>
  <c r="V58" i="36"/>
  <c r="V62" i="36"/>
  <c r="V38" i="36"/>
  <c r="V26" i="36"/>
  <c r="T42" i="36"/>
  <c r="V42" i="36" s="1"/>
  <c r="T46" i="36"/>
  <c r="S46" i="36"/>
  <c r="T50" i="36"/>
  <c r="S50" i="36"/>
  <c r="T54" i="36"/>
  <c r="S54" i="36"/>
  <c r="B11" i="36"/>
  <c r="C11" i="36" s="1"/>
  <c r="D11" i="36" s="1"/>
  <c r="E11" i="36" s="1"/>
  <c r="F11" i="36" s="1"/>
  <c r="G11" i="36" s="1"/>
  <c r="H11" i="36" s="1"/>
  <c r="I11" i="36" s="1"/>
  <c r="J11" i="36" s="1"/>
  <c r="K11" i="36" s="1"/>
  <c r="L11" i="36" s="1"/>
  <c r="M11" i="36" s="1"/>
  <c r="N11" i="36" s="1"/>
  <c r="O11" i="36" s="1"/>
  <c r="P11" i="36" s="1"/>
  <c r="Q11" i="36" s="1"/>
  <c r="V50" i="36" l="1"/>
  <c r="V46" i="36"/>
  <c r="V54" i="36"/>
</calcChain>
</file>

<file path=xl/sharedStrings.xml><?xml version="1.0" encoding="utf-8"?>
<sst xmlns="http://schemas.openxmlformats.org/spreadsheetml/2006/main" count="178" uniqueCount="112">
  <si>
    <t>refered by spi_uart as common configuration</t>
    <phoneticPr fontId="4"/>
  </si>
  <si>
    <t>read only</t>
    <phoneticPr fontId="4"/>
  </si>
  <si>
    <t>const</t>
    <phoneticPr fontId="4"/>
  </si>
  <si>
    <t xml:space="preserve"> / parameter </t>
    <phoneticPr fontId="4"/>
  </si>
  <si>
    <t>const / clear start</t>
    <phoneticPr fontId="4"/>
  </si>
  <si>
    <t>const, automatically configuration depend on other bits.</t>
    <phoneticPr fontId="4"/>
  </si>
  <si>
    <t>Reserved</t>
    <phoneticPr fontId="4"/>
  </si>
  <si>
    <t>u2_sar0</t>
  </si>
  <si>
    <t>RIICnSAR0</t>
    <phoneticPr fontId="2"/>
  </si>
  <si>
    <t>SVA9</t>
    <phoneticPr fontId="2"/>
  </si>
  <si>
    <t>SVA8</t>
    <phoneticPr fontId="2"/>
  </si>
  <si>
    <t>SVA7</t>
  </si>
  <si>
    <t>SVA6</t>
  </si>
  <si>
    <t>SVA5</t>
  </si>
  <si>
    <t>SVA4</t>
  </si>
  <si>
    <t>SVA3</t>
  </si>
  <si>
    <t>SVA2</t>
  </si>
  <si>
    <t>SVA1</t>
  </si>
  <si>
    <t>SVA0</t>
  </si>
  <si>
    <t>FS0</t>
    <phoneticPr fontId="2"/>
  </si>
  <si>
    <t>RIICnSAR1</t>
    <phoneticPr fontId="2"/>
  </si>
  <si>
    <t>RIICnSAR2</t>
    <phoneticPr fontId="2"/>
  </si>
  <si>
    <t>u2_sar2</t>
    <phoneticPr fontId="2"/>
  </si>
  <si>
    <t>u2_sar1</t>
    <phoneticPr fontId="2"/>
  </si>
  <si>
    <t>FS1</t>
    <phoneticPr fontId="2"/>
  </si>
  <si>
    <t>RIICnSER</t>
    <phoneticPr fontId="2"/>
  </si>
  <si>
    <t>DIDE</t>
    <phoneticPr fontId="2"/>
  </si>
  <si>
    <t>GCE</t>
    <phoneticPr fontId="2"/>
  </si>
  <si>
    <t>SAR2</t>
    <phoneticPr fontId="2"/>
  </si>
  <si>
    <t>SAR1</t>
    <phoneticPr fontId="2"/>
  </si>
  <si>
    <t>SAR0</t>
    <phoneticPr fontId="2"/>
  </si>
  <si>
    <t>BCWP</t>
    <phoneticPr fontId="2"/>
  </si>
  <si>
    <t>RIICnMR1</t>
    <phoneticPr fontId="2"/>
  </si>
  <si>
    <t>MTWP</t>
    <phoneticPr fontId="2"/>
  </si>
  <si>
    <t>CKS2</t>
    <phoneticPr fontId="2"/>
  </si>
  <si>
    <t>CKS1</t>
    <phoneticPr fontId="2"/>
  </si>
  <si>
    <t>CKS0</t>
    <phoneticPr fontId="2"/>
  </si>
  <si>
    <t>BC2</t>
    <phoneticPr fontId="2"/>
  </si>
  <si>
    <t>BC1</t>
    <phoneticPr fontId="2"/>
  </si>
  <si>
    <t>BC0</t>
    <phoneticPr fontId="2"/>
  </si>
  <si>
    <t>RIICnMR2</t>
    <phoneticPr fontId="2"/>
  </si>
  <si>
    <t>RIICnMR3</t>
    <phoneticPr fontId="2"/>
  </si>
  <si>
    <t>TMOH</t>
    <phoneticPr fontId="2"/>
  </si>
  <si>
    <t>TMOL</t>
    <phoneticPr fontId="2"/>
  </si>
  <si>
    <t>TOMS</t>
    <phoneticPr fontId="2"/>
  </si>
  <si>
    <t>DLCS</t>
    <phoneticPr fontId="2"/>
  </si>
  <si>
    <t>SDDL2</t>
    <phoneticPr fontId="2"/>
  </si>
  <si>
    <t>SDDL1</t>
    <phoneticPr fontId="2"/>
  </si>
  <si>
    <t>SDDL0</t>
    <phoneticPr fontId="2"/>
  </si>
  <si>
    <t>NF1</t>
    <phoneticPr fontId="2"/>
  </si>
  <si>
    <t>NF0</t>
    <phoneticPr fontId="2"/>
  </si>
  <si>
    <t>ACKBT</t>
    <phoneticPr fontId="4"/>
  </si>
  <si>
    <t>WAIT</t>
    <phoneticPr fontId="2"/>
  </si>
  <si>
    <t>RDRFS</t>
    <phoneticPr fontId="4"/>
  </si>
  <si>
    <t>ACKWP</t>
    <phoneticPr fontId="2"/>
  </si>
  <si>
    <t>ACKBR</t>
    <phoneticPr fontId="4"/>
  </si>
  <si>
    <t>u1_mr2</t>
    <phoneticPr fontId="2"/>
  </si>
  <si>
    <t>u1_mr1</t>
    <phoneticPr fontId="2"/>
  </si>
  <si>
    <t>u1_mr3</t>
    <phoneticPr fontId="2"/>
  </si>
  <si>
    <t>u1_ser</t>
    <phoneticPr fontId="2"/>
  </si>
  <si>
    <t>u1_brl</t>
    <phoneticPr fontId="2"/>
  </si>
  <si>
    <t>u1_brh</t>
    <phoneticPr fontId="2"/>
  </si>
  <si>
    <t>u1_fer</t>
    <phoneticPr fontId="2"/>
  </si>
  <si>
    <t>u1_ier</t>
    <phoneticPr fontId="2"/>
  </si>
  <si>
    <t>RIICnFER</t>
    <phoneticPr fontId="2"/>
  </si>
  <si>
    <t>RIICnIER</t>
    <phoneticPr fontId="2"/>
  </si>
  <si>
    <t>TMOE</t>
    <phoneticPr fontId="2"/>
  </si>
  <si>
    <t>SALE</t>
    <phoneticPr fontId="2"/>
  </si>
  <si>
    <t>NALE</t>
    <phoneticPr fontId="2"/>
  </si>
  <si>
    <t>MALE</t>
    <phoneticPr fontId="2"/>
  </si>
  <si>
    <t>NACKE</t>
    <phoneticPr fontId="2"/>
  </si>
  <si>
    <t>NFE</t>
    <phoneticPr fontId="2"/>
  </si>
  <si>
    <t>SCLE</t>
    <phoneticPr fontId="2"/>
  </si>
  <si>
    <t>TMOIE</t>
    <phoneticPr fontId="2"/>
  </si>
  <si>
    <t>TIE</t>
    <phoneticPr fontId="2"/>
  </si>
  <si>
    <t>TEIE</t>
    <phoneticPr fontId="2"/>
  </si>
  <si>
    <t>RIE</t>
    <phoneticPr fontId="2"/>
  </si>
  <si>
    <t>NACKIE</t>
    <phoneticPr fontId="2"/>
  </si>
  <si>
    <t>SPIE</t>
    <phoneticPr fontId="2"/>
  </si>
  <si>
    <t>STIE</t>
    <phoneticPr fontId="2"/>
  </si>
  <si>
    <t>ALIE</t>
    <phoneticPr fontId="2"/>
  </si>
  <si>
    <t>RIICnBRL</t>
    <phoneticPr fontId="2"/>
  </si>
  <si>
    <t>RIICnBRH</t>
    <phoneticPr fontId="2"/>
  </si>
  <si>
    <t>BRL</t>
    <phoneticPr fontId="2"/>
  </si>
  <si>
    <t>BRH</t>
    <phoneticPr fontId="2"/>
  </si>
  <si>
    <t>RIICnCR1</t>
    <phoneticPr fontId="2"/>
  </si>
  <si>
    <t>ICE</t>
    <phoneticPr fontId="2"/>
  </si>
  <si>
    <t>IICRST</t>
    <phoneticPr fontId="2"/>
  </si>
  <si>
    <t>CLO</t>
    <phoneticPr fontId="2"/>
  </si>
  <si>
    <t>SOWP</t>
    <phoneticPr fontId="2"/>
  </si>
  <si>
    <t>SCLO</t>
    <phoneticPr fontId="2"/>
  </si>
  <si>
    <t>SDAO</t>
    <phoneticPr fontId="2"/>
  </si>
  <si>
    <t>SCLI</t>
    <phoneticPr fontId="4"/>
  </si>
  <si>
    <t>SDAI</t>
    <phoneticPr fontId="4"/>
  </si>
  <si>
    <t>0/1</t>
    <phoneticPr fontId="2"/>
  </si>
  <si>
    <t>RIICnCR2</t>
    <phoneticPr fontId="2"/>
  </si>
  <si>
    <t>BBSY</t>
    <phoneticPr fontId="4"/>
  </si>
  <si>
    <t>MST</t>
    <phoneticPr fontId="2"/>
  </si>
  <si>
    <t>TRS</t>
    <phoneticPr fontId="2"/>
  </si>
  <si>
    <t>SP</t>
    <phoneticPr fontId="4"/>
  </si>
  <si>
    <t>RS</t>
    <phoneticPr fontId="4"/>
  </si>
  <si>
    <t>ST</t>
    <phoneticPr fontId="4"/>
  </si>
  <si>
    <t>fixed or reserved by MCAL/i2c</t>
    <phoneticPr fontId="4"/>
  </si>
  <si>
    <t xml:space="preserve">Transfer rate </t>
    <phoneticPr fontId="2"/>
  </si>
  <si>
    <t>tr</t>
    <phoneticPr fontId="2"/>
  </si>
  <si>
    <t>tf</t>
    <phoneticPr fontId="2"/>
  </si>
  <si>
    <t>nf</t>
    <phoneticPr fontId="2"/>
  </si>
  <si>
    <t>IICΦ</t>
    <phoneticPr fontId="2"/>
  </si>
  <si>
    <t>MHz</t>
    <phoneticPr fontId="2"/>
  </si>
  <si>
    <t>BRH+BRL+4+2nf</t>
    <phoneticPr fontId="2"/>
  </si>
  <si>
    <t>kHz</t>
    <phoneticPr fontId="2"/>
  </si>
  <si>
    <t>microseconds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</si>
</sst>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ahoma"/>
      <family val="2"/>
    </font>
    <font>
      <sz val="11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5" fillId="0" borderId="0">
      <alignment vertical="center"/>
    </xf>
  </cellStyleXfs>
  <cellXfs count="19">
    <xf numFmtId="0" fontId="0" fillId="0" borderId="0" xfId="0"/>
    <xf numFmtId="0" fontId="6" fillId="4" borderId="0" xfId="3" applyFont="1" applyFill="1">
      <alignment vertical="center"/>
    </xf>
    <xf numFmtId="0" fontId="6" fillId="0" borderId="0" xfId="3" applyFont="1" applyFill="1">
      <alignment vertical="center"/>
    </xf>
    <xf numFmtId="0" fontId="6" fillId="0" borderId="0" xfId="3" applyFont="1" applyFill="1" applyAlignment="1">
      <alignment horizontal="center" vertical="center"/>
    </xf>
    <xf numFmtId="0" fontId="6" fillId="2" borderId="0" xfId="3" applyFont="1" applyFill="1">
      <alignment vertical="center"/>
    </xf>
    <xf numFmtId="0" fontId="6" fillId="5" borderId="0" xfId="3" applyFont="1" applyFill="1">
      <alignment vertical="center"/>
    </xf>
    <xf numFmtId="0" fontId="6" fillId="6" borderId="0" xfId="3" applyFont="1" applyFill="1">
      <alignment vertical="center"/>
    </xf>
    <xf numFmtId="0" fontId="6" fillId="7" borderId="0" xfId="3" applyFont="1" applyFill="1">
      <alignment vertical="center"/>
    </xf>
    <xf numFmtId="0" fontId="6" fillId="8" borderId="0" xfId="3" applyFont="1" applyFill="1">
      <alignment vertical="center"/>
    </xf>
    <xf numFmtId="0" fontId="6" fillId="3" borderId="0" xfId="3" applyFont="1" applyFill="1">
      <alignment vertical="center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Fill="1" applyAlignment="1">
      <alignment horizontal="centerContinuous" vertical="center"/>
    </xf>
    <xf numFmtId="0" fontId="6" fillId="6" borderId="0" xfId="3" applyFont="1" applyFill="1" applyAlignment="1">
      <alignment vertical="center" textRotation="90"/>
    </xf>
    <xf numFmtId="0" fontId="6" fillId="2" borderId="0" xfId="3" applyFont="1" applyFill="1" applyAlignment="1">
      <alignment vertical="center" textRotation="90"/>
    </xf>
    <xf numFmtId="0" fontId="6" fillId="5" borderId="0" xfId="3" applyFont="1" applyFill="1" applyAlignment="1">
      <alignment vertical="center" textRotation="90"/>
    </xf>
    <xf numFmtId="0" fontId="6" fillId="9" borderId="0" xfId="3" applyFont="1" applyFill="1" applyAlignment="1">
      <alignment vertical="center" textRotation="90"/>
    </xf>
    <xf numFmtId="0" fontId="6" fillId="10" borderId="0" xfId="3" applyFont="1" applyFill="1" applyAlignment="1">
      <alignment vertical="center" textRotation="90"/>
    </xf>
    <xf numFmtId="0" fontId="7" fillId="0" borderId="0" xfId="0" applyFont="1"/>
  </cellXfs>
  <cellStyles count="4">
    <cellStyle name="標準" xfId="0" builtinId="0"/>
    <cellStyle name="標準 2" xfId="2" xr:uid="{00000000-0005-0000-0000-000001000000}"/>
    <cellStyle name="標準 2 2" xfId="3" xr:uid="{00000000-0005-0000-0000-000002000000}"/>
    <cellStyle name="標準 3" xfId="1" xr:uid="{00000000-0005-0000-0000-000003000000}"/>
  </cellStyles>
  <dxfs count="0"/>
  <tableStyles count="0" defaultTableStyle="TableStyleMedium2" defaultPivotStyle="PivotStyleMedium9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381000</xdr:colOff>
      <xdr:row>41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1339FA-FDFB-4DC7-B163-CD458885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53200" cy="751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2"/>
  <sheetViews>
    <sheetView zoomScale="85" zoomScaleNormal="85" workbookViewId="0">
      <pane ySplit="11" topLeftCell="A12" activePane="bottomLeft" state="frozen"/>
      <selection pane="bottomLeft" activeCell="T43" sqref="T43"/>
    </sheetView>
  </sheetViews>
  <sheetFormatPr defaultRowHeight="14.25" x14ac:dyDescent="0.15"/>
  <cols>
    <col min="1" max="1" width="9" style="2"/>
    <col min="2" max="17" width="3.625" style="2" customWidth="1"/>
    <col min="18" max="18" width="9" style="2"/>
    <col min="19" max="20" width="3.5" style="3" bestFit="1" customWidth="1"/>
    <col min="21" max="21" width="9" style="2"/>
    <col min="22" max="22" width="15.875" style="3" bestFit="1" customWidth="1"/>
    <col min="23" max="212" width="9" style="2"/>
    <col min="213" max="244" width="3.625" style="2" customWidth="1"/>
    <col min="245" max="245" width="9" style="2"/>
    <col min="246" max="249" width="3.5" style="2" bestFit="1" customWidth="1"/>
    <col min="250" max="250" width="9" style="2"/>
    <col min="251" max="251" width="15.875" style="2" bestFit="1" customWidth="1"/>
    <col min="252" max="468" width="9" style="2"/>
    <col min="469" max="500" width="3.625" style="2" customWidth="1"/>
    <col min="501" max="501" width="9" style="2"/>
    <col min="502" max="505" width="3.5" style="2" bestFit="1" customWidth="1"/>
    <col min="506" max="506" width="9" style="2"/>
    <col min="507" max="507" width="15.875" style="2" bestFit="1" customWidth="1"/>
    <col min="508" max="724" width="9" style="2"/>
    <col min="725" max="756" width="3.625" style="2" customWidth="1"/>
    <col min="757" max="757" width="9" style="2"/>
    <col min="758" max="761" width="3.5" style="2" bestFit="1" customWidth="1"/>
    <col min="762" max="762" width="9" style="2"/>
    <col min="763" max="763" width="15.875" style="2" bestFit="1" customWidth="1"/>
    <col min="764" max="980" width="9" style="2"/>
    <col min="981" max="1012" width="3.625" style="2" customWidth="1"/>
    <col min="1013" max="1013" width="9" style="2"/>
    <col min="1014" max="1017" width="3.5" style="2" bestFit="1" customWidth="1"/>
    <col min="1018" max="1018" width="9" style="2"/>
    <col min="1019" max="1019" width="15.875" style="2" bestFit="1" customWidth="1"/>
    <col min="1020" max="1236" width="9" style="2"/>
    <col min="1237" max="1268" width="3.625" style="2" customWidth="1"/>
    <col min="1269" max="1269" width="9" style="2"/>
    <col min="1270" max="1273" width="3.5" style="2" bestFit="1" customWidth="1"/>
    <col min="1274" max="1274" width="9" style="2"/>
    <col min="1275" max="1275" width="15.875" style="2" bestFit="1" customWidth="1"/>
    <col min="1276" max="1492" width="9" style="2"/>
    <col min="1493" max="1524" width="3.625" style="2" customWidth="1"/>
    <col min="1525" max="1525" width="9" style="2"/>
    <col min="1526" max="1529" width="3.5" style="2" bestFit="1" customWidth="1"/>
    <col min="1530" max="1530" width="9" style="2"/>
    <col min="1531" max="1531" width="15.875" style="2" bestFit="1" customWidth="1"/>
    <col min="1532" max="1748" width="9" style="2"/>
    <col min="1749" max="1780" width="3.625" style="2" customWidth="1"/>
    <col min="1781" max="1781" width="9" style="2"/>
    <col min="1782" max="1785" width="3.5" style="2" bestFit="1" customWidth="1"/>
    <col min="1786" max="1786" width="9" style="2"/>
    <col min="1787" max="1787" width="15.875" style="2" bestFit="1" customWidth="1"/>
    <col min="1788" max="2004" width="9" style="2"/>
    <col min="2005" max="2036" width="3.625" style="2" customWidth="1"/>
    <col min="2037" max="2037" width="9" style="2"/>
    <col min="2038" max="2041" width="3.5" style="2" bestFit="1" customWidth="1"/>
    <col min="2042" max="2042" width="9" style="2"/>
    <col min="2043" max="2043" width="15.875" style="2" bestFit="1" customWidth="1"/>
    <col min="2044" max="2260" width="9" style="2"/>
    <col min="2261" max="2292" width="3.625" style="2" customWidth="1"/>
    <col min="2293" max="2293" width="9" style="2"/>
    <col min="2294" max="2297" width="3.5" style="2" bestFit="1" customWidth="1"/>
    <col min="2298" max="2298" width="9" style="2"/>
    <col min="2299" max="2299" width="15.875" style="2" bestFit="1" customWidth="1"/>
    <col min="2300" max="2516" width="9" style="2"/>
    <col min="2517" max="2548" width="3.625" style="2" customWidth="1"/>
    <col min="2549" max="2549" width="9" style="2"/>
    <col min="2550" max="2553" width="3.5" style="2" bestFit="1" customWidth="1"/>
    <col min="2554" max="2554" width="9" style="2"/>
    <col min="2555" max="2555" width="15.875" style="2" bestFit="1" customWidth="1"/>
    <col min="2556" max="2772" width="9" style="2"/>
    <col min="2773" max="2804" width="3.625" style="2" customWidth="1"/>
    <col min="2805" max="2805" width="9" style="2"/>
    <col min="2806" max="2809" width="3.5" style="2" bestFit="1" customWidth="1"/>
    <col min="2810" max="2810" width="9" style="2"/>
    <col min="2811" max="2811" width="15.875" style="2" bestFit="1" customWidth="1"/>
    <col min="2812" max="3028" width="9" style="2"/>
    <col min="3029" max="3060" width="3.625" style="2" customWidth="1"/>
    <col min="3061" max="3061" width="9" style="2"/>
    <col min="3062" max="3065" width="3.5" style="2" bestFit="1" customWidth="1"/>
    <col min="3066" max="3066" width="9" style="2"/>
    <col min="3067" max="3067" width="15.875" style="2" bestFit="1" customWidth="1"/>
    <col min="3068" max="3284" width="9" style="2"/>
    <col min="3285" max="3316" width="3.625" style="2" customWidth="1"/>
    <col min="3317" max="3317" width="9" style="2"/>
    <col min="3318" max="3321" width="3.5" style="2" bestFit="1" customWidth="1"/>
    <col min="3322" max="3322" width="9" style="2"/>
    <col min="3323" max="3323" width="15.875" style="2" bestFit="1" customWidth="1"/>
    <col min="3324" max="3540" width="9" style="2"/>
    <col min="3541" max="3572" width="3.625" style="2" customWidth="1"/>
    <col min="3573" max="3573" width="9" style="2"/>
    <col min="3574" max="3577" width="3.5" style="2" bestFit="1" customWidth="1"/>
    <col min="3578" max="3578" width="9" style="2"/>
    <col min="3579" max="3579" width="15.875" style="2" bestFit="1" customWidth="1"/>
    <col min="3580" max="3796" width="9" style="2"/>
    <col min="3797" max="3828" width="3.625" style="2" customWidth="1"/>
    <col min="3829" max="3829" width="9" style="2"/>
    <col min="3830" max="3833" width="3.5" style="2" bestFit="1" customWidth="1"/>
    <col min="3834" max="3834" width="9" style="2"/>
    <col min="3835" max="3835" width="15.875" style="2" bestFit="1" customWidth="1"/>
    <col min="3836" max="4052" width="9" style="2"/>
    <col min="4053" max="4084" width="3.625" style="2" customWidth="1"/>
    <col min="4085" max="4085" width="9" style="2"/>
    <col min="4086" max="4089" width="3.5" style="2" bestFit="1" customWidth="1"/>
    <col min="4090" max="4090" width="9" style="2"/>
    <col min="4091" max="4091" width="15.875" style="2" bestFit="1" customWidth="1"/>
    <col min="4092" max="4308" width="9" style="2"/>
    <col min="4309" max="4340" width="3.625" style="2" customWidth="1"/>
    <col min="4341" max="4341" width="9" style="2"/>
    <col min="4342" max="4345" width="3.5" style="2" bestFit="1" customWidth="1"/>
    <col min="4346" max="4346" width="9" style="2"/>
    <col min="4347" max="4347" width="15.875" style="2" bestFit="1" customWidth="1"/>
    <col min="4348" max="4564" width="9" style="2"/>
    <col min="4565" max="4596" width="3.625" style="2" customWidth="1"/>
    <col min="4597" max="4597" width="9" style="2"/>
    <col min="4598" max="4601" width="3.5" style="2" bestFit="1" customWidth="1"/>
    <col min="4602" max="4602" width="9" style="2"/>
    <col min="4603" max="4603" width="15.875" style="2" bestFit="1" customWidth="1"/>
    <col min="4604" max="4820" width="9" style="2"/>
    <col min="4821" max="4852" width="3.625" style="2" customWidth="1"/>
    <col min="4853" max="4853" width="9" style="2"/>
    <col min="4854" max="4857" width="3.5" style="2" bestFit="1" customWidth="1"/>
    <col min="4858" max="4858" width="9" style="2"/>
    <col min="4859" max="4859" width="15.875" style="2" bestFit="1" customWidth="1"/>
    <col min="4860" max="5076" width="9" style="2"/>
    <col min="5077" max="5108" width="3.625" style="2" customWidth="1"/>
    <col min="5109" max="5109" width="9" style="2"/>
    <col min="5110" max="5113" width="3.5" style="2" bestFit="1" customWidth="1"/>
    <col min="5114" max="5114" width="9" style="2"/>
    <col min="5115" max="5115" width="15.875" style="2" bestFit="1" customWidth="1"/>
    <col min="5116" max="5332" width="9" style="2"/>
    <col min="5333" max="5364" width="3.625" style="2" customWidth="1"/>
    <col min="5365" max="5365" width="9" style="2"/>
    <col min="5366" max="5369" width="3.5" style="2" bestFit="1" customWidth="1"/>
    <col min="5370" max="5370" width="9" style="2"/>
    <col min="5371" max="5371" width="15.875" style="2" bestFit="1" customWidth="1"/>
    <col min="5372" max="5588" width="9" style="2"/>
    <col min="5589" max="5620" width="3.625" style="2" customWidth="1"/>
    <col min="5621" max="5621" width="9" style="2"/>
    <col min="5622" max="5625" width="3.5" style="2" bestFit="1" customWidth="1"/>
    <col min="5626" max="5626" width="9" style="2"/>
    <col min="5627" max="5627" width="15.875" style="2" bestFit="1" customWidth="1"/>
    <col min="5628" max="5844" width="9" style="2"/>
    <col min="5845" max="5876" width="3.625" style="2" customWidth="1"/>
    <col min="5877" max="5877" width="9" style="2"/>
    <col min="5878" max="5881" width="3.5" style="2" bestFit="1" customWidth="1"/>
    <col min="5882" max="5882" width="9" style="2"/>
    <col min="5883" max="5883" width="15.875" style="2" bestFit="1" customWidth="1"/>
    <col min="5884" max="6100" width="9" style="2"/>
    <col min="6101" max="6132" width="3.625" style="2" customWidth="1"/>
    <col min="6133" max="6133" width="9" style="2"/>
    <col min="6134" max="6137" width="3.5" style="2" bestFit="1" customWidth="1"/>
    <col min="6138" max="6138" width="9" style="2"/>
    <col min="6139" max="6139" width="15.875" style="2" bestFit="1" customWidth="1"/>
    <col min="6140" max="6356" width="9" style="2"/>
    <col min="6357" max="6388" width="3.625" style="2" customWidth="1"/>
    <col min="6389" max="6389" width="9" style="2"/>
    <col min="6390" max="6393" width="3.5" style="2" bestFit="1" customWidth="1"/>
    <col min="6394" max="6394" width="9" style="2"/>
    <col min="6395" max="6395" width="15.875" style="2" bestFit="1" customWidth="1"/>
    <col min="6396" max="6612" width="9" style="2"/>
    <col min="6613" max="6644" width="3.625" style="2" customWidth="1"/>
    <col min="6645" max="6645" width="9" style="2"/>
    <col min="6646" max="6649" width="3.5" style="2" bestFit="1" customWidth="1"/>
    <col min="6650" max="6650" width="9" style="2"/>
    <col min="6651" max="6651" width="15.875" style="2" bestFit="1" customWidth="1"/>
    <col min="6652" max="6868" width="9" style="2"/>
    <col min="6869" max="6900" width="3.625" style="2" customWidth="1"/>
    <col min="6901" max="6901" width="9" style="2"/>
    <col min="6902" max="6905" width="3.5" style="2" bestFit="1" customWidth="1"/>
    <col min="6906" max="6906" width="9" style="2"/>
    <col min="6907" max="6907" width="15.875" style="2" bestFit="1" customWidth="1"/>
    <col min="6908" max="7124" width="9" style="2"/>
    <col min="7125" max="7156" width="3.625" style="2" customWidth="1"/>
    <col min="7157" max="7157" width="9" style="2"/>
    <col min="7158" max="7161" width="3.5" style="2" bestFit="1" customWidth="1"/>
    <col min="7162" max="7162" width="9" style="2"/>
    <col min="7163" max="7163" width="15.875" style="2" bestFit="1" customWidth="1"/>
    <col min="7164" max="7380" width="9" style="2"/>
    <col min="7381" max="7412" width="3.625" style="2" customWidth="1"/>
    <col min="7413" max="7413" width="9" style="2"/>
    <col min="7414" max="7417" width="3.5" style="2" bestFit="1" customWidth="1"/>
    <col min="7418" max="7418" width="9" style="2"/>
    <col min="7419" max="7419" width="15.875" style="2" bestFit="1" customWidth="1"/>
    <col min="7420" max="7636" width="9" style="2"/>
    <col min="7637" max="7668" width="3.625" style="2" customWidth="1"/>
    <col min="7669" max="7669" width="9" style="2"/>
    <col min="7670" max="7673" width="3.5" style="2" bestFit="1" customWidth="1"/>
    <col min="7674" max="7674" width="9" style="2"/>
    <col min="7675" max="7675" width="15.875" style="2" bestFit="1" customWidth="1"/>
    <col min="7676" max="7892" width="9" style="2"/>
    <col min="7893" max="7924" width="3.625" style="2" customWidth="1"/>
    <col min="7925" max="7925" width="9" style="2"/>
    <col min="7926" max="7929" width="3.5" style="2" bestFit="1" customWidth="1"/>
    <col min="7930" max="7930" width="9" style="2"/>
    <col min="7931" max="7931" width="15.875" style="2" bestFit="1" customWidth="1"/>
    <col min="7932" max="8148" width="9" style="2"/>
    <col min="8149" max="8180" width="3.625" style="2" customWidth="1"/>
    <col min="8181" max="8181" width="9" style="2"/>
    <col min="8182" max="8185" width="3.5" style="2" bestFit="1" customWidth="1"/>
    <col min="8186" max="8186" width="9" style="2"/>
    <col min="8187" max="8187" width="15.875" style="2" bestFit="1" customWidth="1"/>
    <col min="8188" max="8404" width="9" style="2"/>
    <col min="8405" max="8436" width="3.625" style="2" customWidth="1"/>
    <col min="8437" max="8437" width="9" style="2"/>
    <col min="8438" max="8441" width="3.5" style="2" bestFit="1" customWidth="1"/>
    <col min="8442" max="8442" width="9" style="2"/>
    <col min="8443" max="8443" width="15.875" style="2" bestFit="1" customWidth="1"/>
    <col min="8444" max="8660" width="9" style="2"/>
    <col min="8661" max="8692" width="3.625" style="2" customWidth="1"/>
    <col min="8693" max="8693" width="9" style="2"/>
    <col min="8694" max="8697" width="3.5" style="2" bestFit="1" customWidth="1"/>
    <col min="8698" max="8698" width="9" style="2"/>
    <col min="8699" max="8699" width="15.875" style="2" bestFit="1" customWidth="1"/>
    <col min="8700" max="8916" width="9" style="2"/>
    <col min="8917" max="8948" width="3.625" style="2" customWidth="1"/>
    <col min="8949" max="8949" width="9" style="2"/>
    <col min="8950" max="8953" width="3.5" style="2" bestFit="1" customWidth="1"/>
    <col min="8954" max="8954" width="9" style="2"/>
    <col min="8955" max="8955" width="15.875" style="2" bestFit="1" customWidth="1"/>
    <col min="8956" max="9172" width="9" style="2"/>
    <col min="9173" max="9204" width="3.625" style="2" customWidth="1"/>
    <col min="9205" max="9205" width="9" style="2"/>
    <col min="9206" max="9209" width="3.5" style="2" bestFit="1" customWidth="1"/>
    <col min="9210" max="9210" width="9" style="2"/>
    <col min="9211" max="9211" width="15.875" style="2" bestFit="1" customWidth="1"/>
    <col min="9212" max="9428" width="9" style="2"/>
    <col min="9429" max="9460" width="3.625" style="2" customWidth="1"/>
    <col min="9461" max="9461" width="9" style="2"/>
    <col min="9462" max="9465" width="3.5" style="2" bestFit="1" customWidth="1"/>
    <col min="9466" max="9466" width="9" style="2"/>
    <col min="9467" max="9467" width="15.875" style="2" bestFit="1" customWidth="1"/>
    <col min="9468" max="9684" width="9" style="2"/>
    <col min="9685" max="9716" width="3.625" style="2" customWidth="1"/>
    <col min="9717" max="9717" width="9" style="2"/>
    <col min="9718" max="9721" width="3.5" style="2" bestFit="1" customWidth="1"/>
    <col min="9722" max="9722" width="9" style="2"/>
    <col min="9723" max="9723" width="15.875" style="2" bestFit="1" customWidth="1"/>
    <col min="9724" max="9940" width="9" style="2"/>
    <col min="9941" max="9972" width="3.625" style="2" customWidth="1"/>
    <col min="9973" max="9973" width="9" style="2"/>
    <col min="9974" max="9977" width="3.5" style="2" bestFit="1" customWidth="1"/>
    <col min="9978" max="9978" width="9" style="2"/>
    <col min="9979" max="9979" width="15.875" style="2" bestFit="1" customWidth="1"/>
    <col min="9980" max="10196" width="9" style="2"/>
    <col min="10197" max="10228" width="3.625" style="2" customWidth="1"/>
    <col min="10229" max="10229" width="9" style="2"/>
    <col min="10230" max="10233" width="3.5" style="2" bestFit="1" customWidth="1"/>
    <col min="10234" max="10234" width="9" style="2"/>
    <col min="10235" max="10235" width="15.875" style="2" bestFit="1" customWidth="1"/>
    <col min="10236" max="10452" width="9" style="2"/>
    <col min="10453" max="10484" width="3.625" style="2" customWidth="1"/>
    <col min="10485" max="10485" width="9" style="2"/>
    <col min="10486" max="10489" width="3.5" style="2" bestFit="1" customWidth="1"/>
    <col min="10490" max="10490" width="9" style="2"/>
    <col min="10491" max="10491" width="15.875" style="2" bestFit="1" customWidth="1"/>
    <col min="10492" max="10708" width="9" style="2"/>
    <col min="10709" max="10740" width="3.625" style="2" customWidth="1"/>
    <col min="10741" max="10741" width="9" style="2"/>
    <col min="10742" max="10745" width="3.5" style="2" bestFit="1" customWidth="1"/>
    <col min="10746" max="10746" width="9" style="2"/>
    <col min="10747" max="10747" width="15.875" style="2" bestFit="1" customWidth="1"/>
    <col min="10748" max="10964" width="9" style="2"/>
    <col min="10965" max="10996" width="3.625" style="2" customWidth="1"/>
    <col min="10997" max="10997" width="9" style="2"/>
    <col min="10998" max="11001" width="3.5" style="2" bestFit="1" customWidth="1"/>
    <col min="11002" max="11002" width="9" style="2"/>
    <col min="11003" max="11003" width="15.875" style="2" bestFit="1" customWidth="1"/>
    <col min="11004" max="11220" width="9" style="2"/>
    <col min="11221" max="11252" width="3.625" style="2" customWidth="1"/>
    <col min="11253" max="11253" width="9" style="2"/>
    <col min="11254" max="11257" width="3.5" style="2" bestFit="1" customWidth="1"/>
    <col min="11258" max="11258" width="9" style="2"/>
    <col min="11259" max="11259" width="15.875" style="2" bestFit="1" customWidth="1"/>
    <col min="11260" max="11476" width="9" style="2"/>
    <col min="11477" max="11508" width="3.625" style="2" customWidth="1"/>
    <col min="11509" max="11509" width="9" style="2"/>
    <col min="11510" max="11513" width="3.5" style="2" bestFit="1" customWidth="1"/>
    <col min="11514" max="11514" width="9" style="2"/>
    <col min="11515" max="11515" width="15.875" style="2" bestFit="1" customWidth="1"/>
    <col min="11516" max="11732" width="9" style="2"/>
    <col min="11733" max="11764" width="3.625" style="2" customWidth="1"/>
    <col min="11765" max="11765" width="9" style="2"/>
    <col min="11766" max="11769" width="3.5" style="2" bestFit="1" customWidth="1"/>
    <col min="11770" max="11770" width="9" style="2"/>
    <col min="11771" max="11771" width="15.875" style="2" bestFit="1" customWidth="1"/>
    <col min="11772" max="11988" width="9" style="2"/>
    <col min="11989" max="12020" width="3.625" style="2" customWidth="1"/>
    <col min="12021" max="12021" width="9" style="2"/>
    <col min="12022" max="12025" width="3.5" style="2" bestFit="1" customWidth="1"/>
    <col min="12026" max="12026" width="9" style="2"/>
    <col min="12027" max="12027" width="15.875" style="2" bestFit="1" customWidth="1"/>
    <col min="12028" max="12244" width="9" style="2"/>
    <col min="12245" max="12276" width="3.625" style="2" customWidth="1"/>
    <col min="12277" max="12277" width="9" style="2"/>
    <col min="12278" max="12281" width="3.5" style="2" bestFit="1" customWidth="1"/>
    <col min="12282" max="12282" width="9" style="2"/>
    <col min="12283" max="12283" width="15.875" style="2" bestFit="1" customWidth="1"/>
    <col min="12284" max="12500" width="9" style="2"/>
    <col min="12501" max="12532" width="3.625" style="2" customWidth="1"/>
    <col min="12533" max="12533" width="9" style="2"/>
    <col min="12534" max="12537" width="3.5" style="2" bestFit="1" customWidth="1"/>
    <col min="12538" max="12538" width="9" style="2"/>
    <col min="12539" max="12539" width="15.875" style="2" bestFit="1" customWidth="1"/>
    <col min="12540" max="12756" width="9" style="2"/>
    <col min="12757" max="12788" width="3.625" style="2" customWidth="1"/>
    <col min="12789" max="12789" width="9" style="2"/>
    <col min="12790" max="12793" width="3.5" style="2" bestFit="1" customWidth="1"/>
    <col min="12794" max="12794" width="9" style="2"/>
    <col min="12795" max="12795" width="15.875" style="2" bestFit="1" customWidth="1"/>
    <col min="12796" max="13012" width="9" style="2"/>
    <col min="13013" max="13044" width="3.625" style="2" customWidth="1"/>
    <col min="13045" max="13045" width="9" style="2"/>
    <col min="13046" max="13049" width="3.5" style="2" bestFit="1" customWidth="1"/>
    <col min="13050" max="13050" width="9" style="2"/>
    <col min="13051" max="13051" width="15.875" style="2" bestFit="1" customWidth="1"/>
    <col min="13052" max="13268" width="9" style="2"/>
    <col min="13269" max="13300" width="3.625" style="2" customWidth="1"/>
    <col min="13301" max="13301" width="9" style="2"/>
    <col min="13302" max="13305" width="3.5" style="2" bestFit="1" customWidth="1"/>
    <col min="13306" max="13306" width="9" style="2"/>
    <col min="13307" max="13307" width="15.875" style="2" bestFit="1" customWidth="1"/>
    <col min="13308" max="13524" width="9" style="2"/>
    <col min="13525" max="13556" width="3.625" style="2" customWidth="1"/>
    <col min="13557" max="13557" width="9" style="2"/>
    <col min="13558" max="13561" width="3.5" style="2" bestFit="1" customWidth="1"/>
    <col min="13562" max="13562" width="9" style="2"/>
    <col min="13563" max="13563" width="15.875" style="2" bestFit="1" customWidth="1"/>
    <col min="13564" max="13780" width="9" style="2"/>
    <col min="13781" max="13812" width="3.625" style="2" customWidth="1"/>
    <col min="13813" max="13813" width="9" style="2"/>
    <col min="13814" max="13817" width="3.5" style="2" bestFit="1" customWidth="1"/>
    <col min="13818" max="13818" width="9" style="2"/>
    <col min="13819" max="13819" width="15.875" style="2" bestFit="1" customWidth="1"/>
    <col min="13820" max="14036" width="9" style="2"/>
    <col min="14037" max="14068" width="3.625" style="2" customWidth="1"/>
    <col min="14069" max="14069" width="9" style="2"/>
    <col min="14070" max="14073" width="3.5" style="2" bestFit="1" customWidth="1"/>
    <col min="14074" max="14074" width="9" style="2"/>
    <col min="14075" max="14075" width="15.875" style="2" bestFit="1" customWidth="1"/>
    <col min="14076" max="14292" width="9" style="2"/>
    <col min="14293" max="14324" width="3.625" style="2" customWidth="1"/>
    <col min="14325" max="14325" width="9" style="2"/>
    <col min="14326" max="14329" width="3.5" style="2" bestFit="1" customWidth="1"/>
    <col min="14330" max="14330" width="9" style="2"/>
    <col min="14331" max="14331" width="15.875" style="2" bestFit="1" customWidth="1"/>
    <col min="14332" max="14548" width="9" style="2"/>
    <col min="14549" max="14580" width="3.625" style="2" customWidth="1"/>
    <col min="14581" max="14581" width="9" style="2"/>
    <col min="14582" max="14585" width="3.5" style="2" bestFit="1" customWidth="1"/>
    <col min="14586" max="14586" width="9" style="2"/>
    <col min="14587" max="14587" width="15.875" style="2" bestFit="1" customWidth="1"/>
    <col min="14588" max="14804" width="9" style="2"/>
    <col min="14805" max="14836" width="3.625" style="2" customWidth="1"/>
    <col min="14837" max="14837" width="9" style="2"/>
    <col min="14838" max="14841" width="3.5" style="2" bestFit="1" customWidth="1"/>
    <col min="14842" max="14842" width="9" style="2"/>
    <col min="14843" max="14843" width="15.875" style="2" bestFit="1" customWidth="1"/>
    <col min="14844" max="15060" width="9" style="2"/>
    <col min="15061" max="15092" width="3.625" style="2" customWidth="1"/>
    <col min="15093" max="15093" width="9" style="2"/>
    <col min="15094" max="15097" width="3.5" style="2" bestFit="1" customWidth="1"/>
    <col min="15098" max="15098" width="9" style="2"/>
    <col min="15099" max="15099" width="15.875" style="2" bestFit="1" customWidth="1"/>
    <col min="15100" max="15316" width="9" style="2"/>
    <col min="15317" max="15348" width="3.625" style="2" customWidth="1"/>
    <col min="15349" max="15349" width="9" style="2"/>
    <col min="15350" max="15353" width="3.5" style="2" bestFit="1" customWidth="1"/>
    <col min="15354" max="15354" width="9" style="2"/>
    <col min="15355" max="15355" width="15.875" style="2" bestFit="1" customWidth="1"/>
    <col min="15356" max="15572" width="9" style="2"/>
    <col min="15573" max="15604" width="3.625" style="2" customWidth="1"/>
    <col min="15605" max="15605" width="9" style="2"/>
    <col min="15606" max="15609" width="3.5" style="2" bestFit="1" customWidth="1"/>
    <col min="15610" max="15610" width="9" style="2"/>
    <col min="15611" max="15611" width="15.875" style="2" bestFit="1" customWidth="1"/>
    <col min="15612" max="15828" width="9" style="2"/>
    <col min="15829" max="15860" width="3.625" style="2" customWidth="1"/>
    <col min="15861" max="15861" width="9" style="2"/>
    <col min="15862" max="15865" width="3.5" style="2" bestFit="1" customWidth="1"/>
    <col min="15866" max="15866" width="9" style="2"/>
    <col min="15867" max="15867" width="15.875" style="2" bestFit="1" customWidth="1"/>
    <col min="15868" max="16084" width="9" style="2"/>
    <col min="16085" max="16116" width="3.625" style="2" customWidth="1"/>
    <col min="16117" max="16117" width="9" style="2"/>
    <col min="16118" max="16121" width="3.5" style="2" bestFit="1" customWidth="1"/>
    <col min="16122" max="16122" width="9" style="2"/>
    <col min="16123" max="16123" width="15.875" style="2" bestFit="1" customWidth="1"/>
    <col min="16124" max="16384" width="9" style="2"/>
  </cols>
  <sheetData>
    <row r="2" spans="2:22" x14ac:dyDescent="0.15">
      <c r="B2" s="1"/>
      <c r="C2" s="2" t="s">
        <v>0</v>
      </c>
    </row>
    <row r="4" spans="2:22" x14ac:dyDescent="0.15">
      <c r="B4" s="4"/>
      <c r="C4" s="2" t="s">
        <v>1</v>
      </c>
    </row>
    <row r="5" spans="2:22" x14ac:dyDescent="0.15">
      <c r="B5" s="5"/>
      <c r="C5" s="2" t="s">
        <v>102</v>
      </c>
    </row>
    <row r="6" spans="2:22" x14ac:dyDescent="0.15">
      <c r="B6" s="6"/>
      <c r="C6" s="2" t="s">
        <v>2</v>
      </c>
    </row>
    <row r="7" spans="2:22" x14ac:dyDescent="0.15">
      <c r="B7" s="7"/>
      <c r="C7" s="2" t="s">
        <v>3</v>
      </c>
    </row>
    <row r="8" spans="2:22" x14ac:dyDescent="0.15">
      <c r="B8" s="8"/>
      <c r="C8" s="2" t="s">
        <v>4</v>
      </c>
    </row>
    <row r="9" spans="2:22" x14ac:dyDescent="0.15">
      <c r="B9" s="9"/>
      <c r="C9" s="2" t="s">
        <v>5</v>
      </c>
    </row>
    <row r="10" spans="2:22" s="10" customFormat="1" x14ac:dyDescent="0.15">
      <c r="S10" s="11"/>
      <c r="T10" s="11"/>
      <c r="V10" s="11"/>
    </row>
    <row r="11" spans="2:22" x14ac:dyDescent="0.15">
      <c r="B11" s="2">
        <f>15</f>
        <v>15</v>
      </c>
      <c r="C11" s="2">
        <f t="shared" ref="C11:Q11" si="0">B11-1</f>
        <v>14</v>
      </c>
      <c r="D11" s="2">
        <f t="shared" si="0"/>
        <v>13</v>
      </c>
      <c r="E11" s="2">
        <f t="shared" si="0"/>
        <v>12</v>
      </c>
      <c r="F11" s="2">
        <f t="shared" si="0"/>
        <v>11</v>
      </c>
      <c r="G11" s="2">
        <f t="shared" si="0"/>
        <v>10</v>
      </c>
      <c r="H11" s="2">
        <f t="shared" si="0"/>
        <v>9</v>
      </c>
      <c r="I11" s="2">
        <f t="shared" si="0"/>
        <v>8</v>
      </c>
      <c r="J11" s="2">
        <f t="shared" si="0"/>
        <v>7</v>
      </c>
      <c r="K11" s="2">
        <f t="shared" si="0"/>
        <v>6</v>
      </c>
      <c r="L11" s="2">
        <f t="shared" si="0"/>
        <v>5</v>
      </c>
      <c r="M11" s="2">
        <f t="shared" si="0"/>
        <v>4</v>
      </c>
      <c r="N11" s="2">
        <f t="shared" si="0"/>
        <v>3</v>
      </c>
      <c r="O11" s="2">
        <f t="shared" si="0"/>
        <v>2</v>
      </c>
      <c r="P11" s="2">
        <f t="shared" si="0"/>
        <v>1</v>
      </c>
      <c r="Q11" s="2">
        <f t="shared" si="0"/>
        <v>0</v>
      </c>
    </row>
    <row r="12" spans="2:22" x14ac:dyDescent="0.15">
      <c r="B12" s="12"/>
      <c r="C12" s="12"/>
      <c r="D12" s="12"/>
      <c r="E12" s="12"/>
      <c r="F12" s="12"/>
      <c r="G12" s="12"/>
      <c r="H12" s="12"/>
      <c r="I12" s="12"/>
      <c r="J12" s="12" t="s">
        <v>85</v>
      </c>
      <c r="K12" s="12"/>
      <c r="L12" s="12"/>
      <c r="M12" s="12"/>
      <c r="N12" s="12"/>
      <c r="O12" s="12"/>
      <c r="P12" s="12"/>
      <c r="Q12" s="12"/>
    </row>
    <row r="13" spans="2:22" ht="72" customHeight="1" x14ac:dyDescent="0.15">
      <c r="J13" s="15" t="s">
        <v>86</v>
      </c>
      <c r="K13" s="15" t="s">
        <v>87</v>
      </c>
      <c r="L13" s="15" t="s">
        <v>88</v>
      </c>
      <c r="M13" s="15" t="s">
        <v>89</v>
      </c>
      <c r="N13" s="15" t="s">
        <v>90</v>
      </c>
      <c r="O13" s="15" t="s">
        <v>91</v>
      </c>
      <c r="P13" s="14" t="s">
        <v>92</v>
      </c>
      <c r="Q13" s="14" t="s">
        <v>93</v>
      </c>
    </row>
    <row r="14" spans="2:22" x14ac:dyDescent="0.15">
      <c r="J14" s="5" t="s">
        <v>94</v>
      </c>
      <c r="K14" s="5" t="s">
        <v>94</v>
      </c>
      <c r="L14" s="5">
        <v>0</v>
      </c>
      <c r="M14" s="5">
        <v>1</v>
      </c>
      <c r="N14" s="5">
        <v>0</v>
      </c>
      <c r="O14" s="5">
        <v>0</v>
      </c>
      <c r="P14" s="4" t="s">
        <v>94</v>
      </c>
      <c r="Q14" s="4" t="s">
        <v>94</v>
      </c>
    </row>
    <row r="16" spans="2:22" x14ac:dyDescent="0.15">
      <c r="B16" s="12"/>
      <c r="C16" s="12"/>
      <c r="D16" s="12"/>
      <c r="E16" s="12"/>
      <c r="F16" s="12"/>
      <c r="G16" s="12"/>
      <c r="H16" s="12"/>
      <c r="I16" s="12"/>
      <c r="J16" s="12" t="s">
        <v>95</v>
      </c>
      <c r="K16" s="12"/>
      <c r="L16" s="12"/>
      <c r="M16" s="12"/>
      <c r="N16" s="12"/>
      <c r="O16" s="12"/>
      <c r="P16" s="12"/>
      <c r="Q16" s="12"/>
    </row>
    <row r="17" spans="2:24" ht="72" customHeight="1" x14ac:dyDescent="0.15">
      <c r="J17" s="14" t="s">
        <v>96</v>
      </c>
      <c r="K17" s="15" t="s">
        <v>97</v>
      </c>
      <c r="L17" s="15" t="s">
        <v>98</v>
      </c>
      <c r="M17" s="14" t="s">
        <v>6</v>
      </c>
      <c r="N17" s="16" t="s">
        <v>99</v>
      </c>
      <c r="O17" s="16" t="s">
        <v>100</v>
      </c>
      <c r="P17" s="16" t="s">
        <v>101</v>
      </c>
      <c r="Q17" s="14" t="s">
        <v>6</v>
      </c>
    </row>
    <row r="18" spans="2:24" x14ac:dyDescent="0.15">
      <c r="J18" s="4">
        <v>0</v>
      </c>
      <c r="K18" s="5" t="s">
        <v>94</v>
      </c>
      <c r="L18" s="5" t="s">
        <v>94</v>
      </c>
      <c r="M18" s="4">
        <v>0</v>
      </c>
      <c r="N18" s="2">
        <v>0</v>
      </c>
      <c r="O18" s="2">
        <v>0</v>
      </c>
      <c r="P18" s="2">
        <v>0</v>
      </c>
      <c r="Q18" s="4">
        <v>0</v>
      </c>
    </row>
    <row r="20" spans="2:24" x14ac:dyDescent="0.15">
      <c r="B20" s="12"/>
      <c r="C20" s="12"/>
      <c r="D20" s="12"/>
      <c r="E20" s="12"/>
      <c r="F20" s="12"/>
      <c r="G20" s="12"/>
      <c r="H20" s="12"/>
      <c r="I20" s="12"/>
      <c r="J20" s="12" t="s">
        <v>32</v>
      </c>
      <c r="K20" s="12"/>
      <c r="L20" s="12"/>
      <c r="M20" s="12"/>
      <c r="N20" s="12"/>
      <c r="O20" s="12"/>
      <c r="P20" s="12"/>
      <c r="Q20" s="12"/>
    </row>
    <row r="21" spans="2:24" ht="72" customHeight="1" x14ac:dyDescent="0.15">
      <c r="J21" s="15" t="s">
        <v>33</v>
      </c>
      <c r="K21" s="13" t="s">
        <v>34</v>
      </c>
      <c r="L21" s="13" t="s">
        <v>35</v>
      </c>
      <c r="M21" s="13" t="s">
        <v>36</v>
      </c>
      <c r="N21" s="15" t="s">
        <v>31</v>
      </c>
      <c r="O21" s="15" t="s">
        <v>37</v>
      </c>
      <c r="P21" s="15" t="s">
        <v>38</v>
      </c>
      <c r="Q21" s="15" t="s">
        <v>39</v>
      </c>
    </row>
    <row r="22" spans="2:24" x14ac:dyDescent="0.15">
      <c r="J22" s="5">
        <v>0</v>
      </c>
      <c r="K22" s="2">
        <v>0</v>
      </c>
      <c r="L22" s="2">
        <v>0</v>
      </c>
      <c r="M22" s="2">
        <v>1</v>
      </c>
      <c r="N22" s="5">
        <v>1</v>
      </c>
      <c r="O22" s="5">
        <v>0</v>
      </c>
      <c r="P22" s="5">
        <v>0</v>
      </c>
      <c r="Q22" s="5">
        <v>0</v>
      </c>
      <c r="T22" s="3" t="str">
        <f>BIN2HEX("0"&amp;K22&amp;L22&amp;M22&amp;"0000",2)</f>
        <v>10</v>
      </c>
      <c r="V22" s="3" t="str">
        <f>"(U1)0x"&amp;T22&amp;"U,"</f>
        <v>(U1)0x10U,</v>
      </c>
      <c r="X22" s="2" t="s">
        <v>57</v>
      </c>
    </row>
    <row r="24" spans="2:24" x14ac:dyDescent="0.15">
      <c r="B24" s="12"/>
      <c r="C24" s="12"/>
      <c r="D24" s="12"/>
      <c r="E24" s="12"/>
      <c r="F24" s="12"/>
      <c r="G24" s="12"/>
      <c r="H24" s="12"/>
      <c r="I24" s="12"/>
      <c r="J24" s="12" t="s">
        <v>40</v>
      </c>
      <c r="K24" s="12"/>
      <c r="L24" s="12"/>
      <c r="M24" s="12"/>
      <c r="N24" s="12"/>
      <c r="O24" s="12"/>
      <c r="P24" s="12"/>
      <c r="Q24" s="12"/>
    </row>
    <row r="25" spans="2:24" ht="72" customHeight="1" x14ac:dyDescent="0.15">
      <c r="J25" s="13" t="s">
        <v>45</v>
      </c>
      <c r="K25" s="13" t="s">
        <v>46</v>
      </c>
      <c r="L25" s="13" t="s">
        <v>47</v>
      </c>
      <c r="M25" s="13" t="s">
        <v>48</v>
      </c>
      <c r="N25" s="14" t="s">
        <v>6</v>
      </c>
      <c r="O25" s="13" t="s">
        <v>42</v>
      </c>
      <c r="P25" s="13" t="s">
        <v>43</v>
      </c>
      <c r="Q25" s="13" t="s">
        <v>44</v>
      </c>
    </row>
    <row r="26" spans="2:24" x14ac:dyDescent="0.15">
      <c r="J26" s="2">
        <v>0</v>
      </c>
      <c r="K26" s="2">
        <v>1</v>
      </c>
      <c r="L26" s="2">
        <v>1</v>
      </c>
      <c r="M26" s="2">
        <v>1</v>
      </c>
      <c r="N26" s="4">
        <v>0</v>
      </c>
      <c r="O26" s="2">
        <v>0</v>
      </c>
      <c r="P26" s="2">
        <v>0</v>
      </c>
      <c r="Q26" s="2">
        <v>0</v>
      </c>
      <c r="T26" s="3" t="str">
        <f>BIN2HEX(J26&amp;K26&amp;L26&amp;M26&amp;"0"&amp;O26&amp;P26&amp;Q26,2)</f>
        <v>70</v>
      </c>
      <c r="V26" s="3" t="str">
        <f>"(U1)0x"&amp;T26&amp;"U,"</f>
        <v>(U1)0x70U,</v>
      </c>
      <c r="X26" s="2" t="s">
        <v>56</v>
      </c>
    </row>
    <row r="28" spans="2:24" x14ac:dyDescent="0.15">
      <c r="B28" s="12"/>
      <c r="C28" s="12"/>
      <c r="D28" s="12"/>
      <c r="E28" s="12"/>
      <c r="F28" s="12"/>
      <c r="G28" s="12"/>
      <c r="H28" s="12"/>
      <c r="I28" s="12"/>
      <c r="J28" s="12" t="s">
        <v>41</v>
      </c>
      <c r="K28" s="12"/>
      <c r="L28" s="12"/>
      <c r="M28" s="12"/>
      <c r="N28" s="12"/>
      <c r="O28" s="12"/>
      <c r="P28" s="12"/>
      <c r="Q28" s="12"/>
    </row>
    <row r="29" spans="2:24" ht="72" customHeight="1" x14ac:dyDescent="0.15">
      <c r="J29" s="14" t="s">
        <v>6</v>
      </c>
      <c r="K29" s="15" t="s">
        <v>52</v>
      </c>
      <c r="L29" s="16" t="s">
        <v>53</v>
      </c>
      <c r="M29" s="15" t="s">
        <v>54</v>
      </c>
      <c r="N29" s="16" t="s">
        <v>51</v>
      </c>
      <c r="O29" s="14" t="s">
        <v>55</v>
      </c>
      <c r="P29" s="13" t="s">
        <v>49</v>
      </c>
      <c r="Q29" s="13" t="s">
        <v>50</v>
      </c>
    </row>
    <row r="30" spans="2:24" x14ac:dyDescent="0.15">
      <c r="J30" s="4">
        <v>0</v>
      </c>
      <c r="K30" s="5">
        <v>1</v>
      </c>
      <c r="L30" s="2">
        <v>0</v>
      </c>
      <c r="M30" s="5">
        <v>1</v>
      </c>
      <c r="N30" s="2">
        <v>0</v>
      </c>
      <c r="O30" s="4">
        <v>0</v>
      </c>
      <c r="P30" s="2">
        <v>0</v>
      </c>
      <c r="Q30" s="2">
        <v>0</v>
      </c>
      <c r="T30" s="3" t="str">
        <f>BIN2HEX("000000"&amp;P30&amp;Q30,2)</f>
        <v>00</v>
      </c>
      <c r="V30" s="3" t="str">
        <f>"(U1)0x"&amp;T30&amp;"U,"</f>
        <v>(U1)0x00U,</v>
      </c>
      <c r="X30" s="2" t="s">
        <v>58</v>
      </c>
    </row>
    <row r="32" spans="2:24" x14ac:dyDescent="0.15">
      <c r="B32" s="12"/>
      <c r="C32" s="12"/>
      <c r="D32" s="12"/>
      <c r="E32" s="12"/>
      <c r="F32" s="12"/>
      <c r="G32" s="12"/>
      <c r="H32" s="12"/>
      <c r="I32" s="12"/>
      <c r="J32" s="12" t="s">
        <v>64</v>
      </c>
      <c r="K32" s="12"/>
      <c r="L32" s="12"/>
      <c r="M32" s="12"/>
      <c r="N32" s="12"/>
      <c r="O32" s="12"/>
      <c r="P32" s="12"/>
      <c r="Q32" s="12"/>
    </row>
    <row r="33" spans="2:24" ht="72" customHeight="1" x14ac:dyDescent="0.15">
      <c r="J33" s="14" t="s">
        <v>6</v>
      </c>
      <c r="K33" s="13" t="s">
        <v>72</v>
      </c>
      <c r="L33" s="13" t="s">
        <v>71</v>
      </c>
      <c r="M33" s="15" t="s">
        <v>70</v>
      </c>
      <c r="N33" s="13" t="s">
        <v>67</v>
      </c>
      <c r="O33" s="13" t="s">
        <v>68</v>
      </c>
      <c r="P33" s="13" t="s">
        <v>69</v>
      </c>
      <c r="Q33" s="13" t="s">
        <v>66</v>
      </c>
    </row>
    <row r="34" spans="2:24" x14ac:dyDescent="0.15">
      <c r="J34" s="4">
        <v>0</v>
      </c>
      <c r="K34" s="2">
        <v>1</v>
      </c>
      <c r="L34" s="2">
        <v>1</v>
      </c>
      <c r="M34" s="5">
        <v>1</v>
      </c>
      <c r="N34" s="2">
        <v>0</v>
      </c>
      <c r="O34" s="2">
        <v>1</v>
      </c>
      <c r="P34" s="2">
        <v>1</v>
      </c>
      <c r="Q34" s="2">
        <v>0</v>
      </c>
      <c r="T34" s="3" t="str">
        <f>BIN2HEX("0"&amp;K34&amp;L34&amp;"0"&amp;N34&amp;O34&amp;P34&amp;Q34,2)</f>
        <v>66</v>
      </c>
      <c r="V34" s="3" t="str">
        <f>"(U1)0x"&amp;T34&amp;"U,"</f>
        <v>(U1)0x66U,</v>
      </c>
      <c r="X34" s="2" t="s">
        <v>62</v>
      </c>
    </row>
    <row r="36" spans="2:24" x14ac:dyDescent="0.15">
      <c r="B36" s="12"/>
      <c r="C36" s="12"/>
      <c r="D36" s="12"/>
      <c r="E36" s="12"/>
      <c r="F36" s="12"/>
      <c r="G36" s="12"/>
      <c r="H36" s="12"/>
      <c r="I36" s="12"/>
      <c r="J36" s="12" t="s">
        <v>25</v>
      </c>
      <c r="K36" s="12"/>
      <c r="L36" s="12"/>
      <c r="M36" s="12"/>
      <c r="N36" s="12"/>
      <c r="O36" s="12"/>
      <c r="P36" s="12"/>
      <c r="Q36" s="12"/>
    </row>
    <row r="37" spans="2:24" ht="72" customHeight="1" x14ac:dyDescent="0.15">
      <c r="J37" s="14" t="s">
        <v>6</v>
      </c>
      <c r="K37" s="14" t="s">
        <v>6</v>
      </c>
      <c r="L37" s="15" t="s">
        <v>26</v>
      </c>
      <c r="M37" s="14" t="s">
        <v>6</v>
      </c>
      <c r="N37" s="13" t="s">
        <v>27</v>
      </c>
      <c r="O37" s="13" t="s">
        <v>28</v>
      </c>
      <c r="P37" s="13" t="s">
        <v>29</v>
      </c>
      <c r="Q37" s="13" t="s">
        <v>30</v>
      </c>
    </row>
    <row r="38" spans="2:24" x14ac:dyDescent="0.15">
      <c r="J38" s="4">
        <v>0</v>
      </c>
      <c r="K38" s="4">
        <v>0</v>
      </c>
      <c r="L38" s="5">
        <v>0</v>
      </c>
      <c r="M38" s="4">
        <v>0</v>
      </c>
      <c r="N38" s="2">
        <v>0</v>
      </c>
      <c r="O38" s="2">
        <v>0</v>
      </c>
      <c r="P38" s="2">
        <v>0</v>
      </c>
      <c r="Q38" s="2">
        <v>0</v>
      </c>
      <c r="T38" s="3" t="str">
        <f>BIN2HEX("0000"&amp;N38&amp;O38&amp;P38&amp;Q38,2)</f>
        <v>00</v>
      </c>
      <c r="V38" s="3" t="str">
        <f>"(U1)0x"&amp;T38&amp;"U,"</f>
        <v>(U1)0x00U,</v>
      </c>
      <c r="X38" s="2" t="s">
        <v>59</v>
      </c>
    </row>
    <row r="40" spans="2:24" x14ac:dyDescent="0.15">
      <c r="B40" s="12"/>
      <c r="C40" s="12"/>
      <c r="D40" s="12"/>
      <c r="E40" s="12"/>
      <c r="F40" s="12"/>
      <c r="G40" s="12"/>
      <c r="H40" s="12"/>
      <c r="I40" s="12"/>
      <c r="J40" s="12" t="s">
        <v>65</v>
      </c>
      <c r="K40" s="12"/>
      <c r="L40" s="12"/>
      <c r="M40" s="12"/>
      <c r="N40" s="12"/>
      <c r="O40" s="12"/>
      <c r="P40" s="12"/>
      <c r="Q40" s="12"/>
    </row>
    <row r="41" spans="2:24" ht="72" customHeight="1" x14ac:dyDescent="0.15">
      <c r="J41" s="17" t="s">
        <v>74</v>
      </c>
      <c r="K41" s="17" t="s">
        <v>75</v>
      </c>
      <c r="L41" s="17" t="s">
        <v>76</v>
      </c>
      <c r="M41" s="17" t="s">
        <v>77</v>
      </c>
      <c r="N41" s="17" t="s">
        <v>78</v>
      </c>
      <c r="O41" s="17" t="s">
        <v>79</v>
      </c>
      <c r="P41" s="17" t="s">
        <v>80</v>
      </c>
      <c r="Q41" s="17" t="s">
        <v>73</v>
      </c>
    </row>
    <row r="42" spans="2:24" x14ac:dyDescent="0.15"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T42" s="3" t="str">
        <f>BIN2HEX(J42&amp;K42&amp;L42&amp;M42&amp;N42&amp;O42&amp;P42&amp;Q42,2)</f>
        <v>00</v>
      </c>
      <c r="V42" s="3" t="str">
        <f>"(U1)0x"&amp;T42&amp;"U,"</f>
        <v>(U1)0x00U,</v>
      </c>
      <c r="X42" s="2" t="s">
        <v>63</v>
      </c>
    </row>
    <row r="44" spans="2:24" x14ac:dyDescent="0.15">
      <c r="B44" s="12" t="s">
        <v>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24" ht="72" customHeight="1" x14ac:dyDescent="0.15">
      <c r="B45" s="13" t="s">
        <v>19</v>
      </c>
      <c r="C45" s="14" t="s">
        <v>6</v>
      </c>
      <c r="D45" s="14" t="s">
        <v>6</v>
      </c>
      <c r="E45" s="14" t="s">
        <v>6</v>
      </c>
      <c r="F45" s="14" t="s">
        <v>6</v>
      </c>
      <c r="G45" s="14" t="s">
        <v>6</v>
      </c>
      <c r="H45" s="13" t="s">
        <v>9</v>
      </c>
      <c r="I45" s="13" t="s">
        <v>10</v>
      </c>
      <c r="J45" s="13" t="s">
        <v>11</v>
      </c>
      <c r="K45" s="13" t="s">
        <v>12</v>
      </c>
      <c r="L45" s="13" t="s">
        <v>13</v>
      </c>
      <c r="M45" s="13" t="s">
        <v>14</v>
      </c>
      <c r="N45" s="13" t="s">
        <v>15</v>
      </c>
      <c r="O45" s="13" t="s">
        <v>16</v>
      </c>
      <c r="P45" s="13" t="s">
        <v>17</v>
      </c>
      <c r="Q45" s="13" t="s">
        <v>18</v>
      </c>
    </row>
    <row r="46" spans="2:24" x14ac:dyDescent="0.15">
      <c r="B46" s="2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S46" s="3" t="str">
        <f>BIN2HEX(B46&amp;C46&amp;D46&amp;E46&amp;F46&amp;G46&amp;H46&amp;I46,2)</f>
        <v>00</v>
      </c>
      <c r="T46" s="3" t="str">
        <f>BIN2HEX(J46&amp;K46&amp;L46&amp;M46&amp;N46&amp;O46&amp;P46&amp;Q46,2)</f>
        <v>00</v>
      </c>
      <c r="V46" s="3" t="str">
        <f>"(U2)0x"&amp;S46&amp;T46&amp;"U,"</f>
        <v>(U2)0x0000U,</v>
      </c>
      <c r="X46" s="2" t="s">
        <v>7</v>
      </c>
    </row>
    <row r="48" spans="2:24" x14ac:dyDescent="0.15">
      <c r="B48" s="12" t="s">
        <v>20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2:24" ht="72" customHeight="1" x14ac:dyDescent="0.15">
      <c r="B49" s="13" t="s">
        <v>24</v>
      </c>
      <c r="C49" s="14" t="s">
        <v>6</v>
      </c>
      <c r="D49" s="14" t="s">
        <v>6</v>
      </c>
      <c r="E49" s="14" t="s">
        <v>6</v>
      </c>
      <c r="F49" s="14" t="s">
        <v>6</v>
      </c>
      <c r="G49" s="14" t="s">
        <v>6</v>
      </c>
      <c r="H49" s="13" t="s">
        <v>9</v>
      </c>
      <c r="I49" s="13" t="s">
        <v>10</v>
      </c>
      <c r="J49" s="13" t="s">
        <v>11</v>
      </c>
      <c r="K49" s="13" t="s">
        <v>12</v>
      </c>
      <c r="L49" s="13" t="s">
        <v>13</v>
      </c>
      <c r="M49" s="13" t="s">
        <v>14</v>
      </c>
      <c r="N49" s="13" t="s">
        <v>15</v>
      </c>
      <c r="O49" s="13" t="s">
        <v>16</v>
      </c>
      <c r="P49" s="13" t="s">
        <v>17</v>
      </c>
      <c r="Q49" s="13" t="s">
        <v>18</v>
      </c>
    </row>
    <row r="50" spans="2:24" x14ac:dyDescent="0.15">
      <c r="B50" s="2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S50" s="3" t="str">
        <f>BIN2HEX(B50&amp;C50&amp;D50&amp;E50&amp;F50&amp;G50&amp;H50&amp;I50,2)</f>
        <v>00</v>
      </c>
      <c r="T50" s="3" t="str">
        <f>BIN2HEX(J50&amp;K50&amp;L50&amp;M50&amp;N50&amp;O50&amp;P50&amp;Q50,2)</f>
        <v>00</v>
      </c>
      <c r="V50" s="3" t="str">
        <f>"(U2)0x"&amp;S50&amp;T50&amp;"U,"</f>
        <v>(U2)0x0000U,</v>
      </c>
      <c r="X50" s="2" t="s">
        <v>23</v>
      </c>
    </row>
    <row r="52" spans="2:24" x14ac:dyDescent="0.15">
      <c r="B52" s="12" t="s">
        <v>21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2:24" ht="72" customHeight="1" x14ac:dyDescent="0.15">
      <c r="B53" s="13" t="s">
        <v>24</v>
      </c>
      <c r="C53" s="14" t="s">
        <v>6</v>
      </c>
      <c r="D53" s="14" t="s">
        <v>6</v>
      </c>
      <c r="E53" s="14" t="s">
        <v>6</v>
      </c>
      <c r="F53" s="14" t="s">
        <v>6</v>
      </c>
      <c r="G53" s="14" t="s">
        <v>6</v>
      </c>
      <c r="H53" s="13" t="s">
        <v>9</v>
      </c>
      <c r="I53" s="13" t="s">
        <v>10</v>
      </c>
      <c r="J53" s="13" t="s">
        <v>11</v>
      </c>
      <c r="K53" s="13" t="s">
        <v>12</v>
      </c>
      <c r="L53" s="13" t="s">
        <v>13</v>
      </c>
      <c r="M53" s="13" t="s">
        <v>14</v>
      </c>
      <c r="N53" s="13" t="s">
        <v>15</v>
      </c>
      <c r="O53" s="13" t="s">
        <v>16</v>
      </c>
      <c r="P53" s="13" t="s">
        <v>17</v>
      </c>
      <c r="Q53" s="13" t="s">
        <v>18</v>
      </c>
    </row>
    <row r="54" spans="2:24" x14ac:dyDescent="0.15">
      <c r="B54" s="2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S54" s="3" t="str">
        <f>BIN2HEX(B54&amp;C54&amp;D54&amp;E54&amp;F54&amp;G54&amp;H54&amp;I54,2)</f>
        <v>00</v>
      </c>
      <c r="T54" s="3" t="str">
        <f>BIN2HEX(J54&amp;K54&amp;L54&amp;M54&amp;N54&amp;O54&amp;P54&amp;Q54,2)</f>
        <v>00</v>
      </c>
      <c r="V54" s="3" t="str">
        <f>"(U2)0x"&amp;S54&amp;T54&amp;"U,"</f>
        <v>(U2)0x0000U,</v>
      </c>
      <c r="X54" s="2" t="s">
        <v>22</v>
      </c>
    </row>
    <row r="56" spans="2:24" x14ac:dyDescent="0.15">
      <c r="B56" s="12"/>
      <c r="C56" s="12"/>
      <c r="D56" s="12"/>
      <c r="E56" s="12"/>
      <c r="F56" s="12"/>
      <c r="G56" s="12"/>
      <c r="H56" s="12"/>
      <c r="I56" s="12"/>
      <c r="J56" s="12" t="s">
        <v>81</v>
      </c>
      <c r="K56" s="12"/>
      <c r="L56" s="12"/>
      <c r="M56" s="12"/>
      <c r="N56" s="12"/>
      <c r="O56" s="12"/>
      <c r="P56" s="12"/>
      <c r="Q56" s="12"/>
    </row>
    <row r="57" spans="2:24" ht="72" customHeight="1" x14ac:dyDescent="0.15">
      <c r="J57" s="14" t="s">
        <v>6</v>
      </c>
      <c r="K57" s="14" t="s">
        <v>6</v>
      </c>
      <c r="L57" s="14" t="s">
        <v>6</v>
      </c>
      <c r="M57" s="13" t="s">
        <v>83</v>
      </c>
      <c r="N57" s="13" t="s">
        <v>83</v>
      </c>
      <c r="O57" s="13" t="s">
        <v>83</v>
      </c>
      <c r="P57" s="13" t="s">
        <v>83</v>
      </c>
      <c r="Q57" s="13" t="s">
        <v>83</v>
      </c>
    </row>
    <row r="58" spans="2:24" x14ac:dyDescent="0.15">
      <c r="J58" s="4">
        <v>1</v>
      </c>
      <c r="K58" s="4">
        <v>1</v>
      </c>
      <c r="L58" s="4">
        <v>1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T58" s="3" t="str">
        <f>BIN2HEX("000"&amp;M58&amp;N58&amp;O58&amp;P58&amp;Q58,2)</f>
        <v>1D</v>
      </c>
      <c r="V58" s="3" t="str">
        <f>"(U1)0x"&amp;T58&amp;"U,"</f>
        <v>(U1)0x1DU,</v>
      </c>
      <c r="X58" s="2" t="s">
        <v>60</v>
      </c>
    </row>
    <row r="60" spans="2:24" x14ac:dyDescent="0.15">
      <c r="B60" s="12"/>
      <c r="C60" s="12"/>
      <c r="D60" s="12"/>
      <c r="E60" s="12"/>
      <c r="F60" s="12"/>
      <c r="G60" s="12"/>
      <c r="H60" s="12"/>
      <c r="I60" s="12"/>
      <c r="J60" s="12" t="s">
        <v>82</v>
      </c>
      <c r="K60" s="12"/>
      <c r="L60" s="12"/>
      <c r="M60" s="12"/>
      <c r="N60" s="12"/>
      <c r="O60" s="12"/>
      <c r="P60" s="12"/>
      <c r="Q60" s="12"/>
    </row>
    <row r="61" spans="2:24" ht="72" customHeight="1" x14ac:dyDescent="0.15">
      <c r="J61" s="14" t="s">
        <v>6</v>
      </c>
      <c r="K61" s="14" t="s">
        <v>6</v>
      </c>
      <c r="L61" s="14" t="s">
        <v>6</v>
      </c>
      <c r="M61" s="13" t="s">
        <v>84</v>
      </c>
      <c r="N61" s="13" t="s">
        <v>84</v>
      </c>
      <c r="O61" s="13" t="s">
        <v>84</v>
      </c>
      <c r="P61" s="13" t="s">
        <v>84</v>
      </c>
      <c r="Q61" s="13" t="s">
        <v>84</v>
      </c>
    </row>
    <row r="62" spans="2:24" x14ac:dyDescent="0.15">
      <c r="J62" s="4">
        <v>1</v>
      </c>
      <c r="K62" s="4">
        <v>1</v>
      </c>
      <c r="L62" s="4">
        <v>1</v>
      </c>
      <c r="M62" s="2">
        <v>0</v>
      </c>
      <c r="N62" s="2">
        <v>1</v>
      </c>
      <c r="O62" s="2">
        <v>1</v>
      </c>
      <c r="P62" s="2">
        <v>1</v>
      </c>
      <c r="Q62" s="2">
        <v>1</v>
      </c>
      <c r="T62" s="3" t="str">
        <f>BIN2HEX("000"&amp;M62&amp;N62&amp;O62&amp;P62&amp;Q62,2)</f>
        <v>0F</v>
      </c>
      <c r="V62" s="3" t="str">
        <f>"(U1)0x"&amp;T62&amp;"U,"</f>
        <v>(U1)0x0FU,</v>
      </c>
      <c r="X62" s="2" t="s">
        <v>61</v>
      </c>
    </row>
  </sheetData>
  <phoneticPr fontId="2"/>
  <pageMargins left="0.25" right="0.25" top="0.75" bottom="0.75" header="0.3" footer="0.3"/>
  <pageSetup paperSize="9" scale="5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F503-B60C-4D5A-A88B-067EFD789A74}">
  <dimension ref="L4:O38"/>
  <sheetViews>
    <sheetView tabSelected="1" workbookViewId="0">
      <selection activeCell="N31" sqref="N31"/>
    </sheetView>
  </sheetViews>
  <sheetFormatPr defaultRowHeight="14.25" x14ac:dyDescent="0.2"/>
  <cols>
    <col min="1" max="11" width="9" style="18"/>
    <col min="12" max="12" width="12.875" style="18" bestFit="1" customWidth="1"/>
    <col min="13" max="13" width="9" style="18"/>
    <col min="14" max="15" width="12.75" style="18" bestFit="1" customWidth="1"/>
    <col min="16" max="16384" width="9" style="18"/>
  </cols>
  <sheetData>
    <row r="4" spans="12:15" s="18" customFormat="1" x14ac:dyDescent="0.2">
      <c r="L4" s="18" t="s">
        <v>107</v>
      </c>
      <c r="M4" s="18">
        <v>20</v>
      </c>
      <c r="N4" s="18" t="s">
        <v>108</v>
      </c>
    </row>
    <row r="5" spans="12:15" s="18" customFormat="1" x14ac:dyDescent="0.2">
      <c r="L5" s="18" t="s">
        <v>84</v>
      </c>
      <c r="M5" s="18">
        <f>HEX2DEC(I2C!T62)</f>
        <v>15</v>
      </c>
      <c r="N5" s="18">
        <f>M5/$M$4</f>
        <v>0.75</v>
      </c>
      <c r="O5" s="18" t="s">
        <v>111</v>
      </c>
    </row>
    <row r="6" spans="12:15" s="18" customFormat="1" x14ac:dyDescent="0.2">
      <c r="L6" s="18" t="s">
        <v>83</v>
      </c>
      <c r="M6" s="18">
        <f>HEX2DEC(I2C!T58)</f>
        <v>29</v>
      </c>
      <c r="N6" s="18">
        <f>M6/$M$4</f>
        <v>1.45</v>
      </c>
      <c r="O6" s="18" t="s">
        <v>111</v>
      </c>
    </row>
    <row r="7" spans="12:15" s="18" customFormat="1" x14ac:dyDescent="0.2">
      <c r="L7" s="18" t="s">
        <v>106</v>
      </c>
      <c r="M7" s="18">
        <v>1</v>
      </c>
    </row>
    <row r="8" spans="12:15" s="18" customFormat="1" x14ac:dyDescent="0.2">
      <c r="L8" s="18" t="s">
        <v>104</v>
      </c>
      <c r="M8" s="18">
        <v>0</v>
      </c>
    </row>
    <row r="9" spans="12:15" s="18" customFormat="1" x14ac:dyDescent="0.2">
      <c r="L9" s="18" t="s">
        <v>105</v>
      </c>
      <c r="M9" s="18">
        <v>0</v>
      </c>
    </row>
    <row r="11" spans="12:15" s="18" customFormat="1" x14ac:dyDescent="0.2">
      <c r="L11" s="18" t="s">
        <v>109</v>
      </c>
      <c r="M11" s="18">
        <f>M5+M6+4+(2*M7)</f>
        <v>50</v>
      </c>
    </row>
    <row r="12" spans="12:15" s="18" customFormat="1" x14ac:dyDescent="0.2">
      <c r="M12" s="18">
        <f>M11/M4</f>
        <v>2.5</v>
      </c>
      <c r="N12" s="18" t="s">
        <v>111</v>
      </c>
    </row>
    <row r="13" spans="12:15" s="18" customFormat="1" x14ac:dyDescent="0.2">
      <c r="L13" s="18" t="s">
        <v>103</v>
      </c>
      <c r="M13" s="18">
        <f>1000/(M12+M8+M9)</f>
        <v>400</v>
      </c>
      <c r="N13" s="18" t="s">
        <v>110</v>
      </c>
    </row>
    <row r="37" s="18" customFormat="1" x14ac:dyDescent="0.2"/>
    <row r="38" s="18" customFormat="1" x14ac:dyDescent="0.2"/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I2C</vt:lpstr>
      <vt:lpstr>BRLH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2024-11-04T23:16:32Z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6fd91c2e-193c-483b-84eb-aea448a872dc</vt:lpwstr>
  </property>
  <property fmtid="{D5CDD505-2E9C-101B-9397-08002B2CF9AE}" pid="8" name="MSIP_Label_6add209e-37c4-4e15-ab1b-f9befe71def1_ContentBits">
    <vt:lpwstr>0</vt:lpwstr>
  </property>
</Properties>
</file>