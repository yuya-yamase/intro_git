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AC11F2EE-8AA4-4990-882E-0B92B93E1477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stm_v110" sheetId="5" r:id="rId1"/>
    <sheet name="u4_g_GpI2cMaIfIRQst" sheetId="2" r:id="rId2"/>
    <sheet name="u4_g_GpI2cSlIfIRQst" sheetId="6" r:id="rId3"/>
    <sheet name="Que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9" i="2" l="1"/>
  <c r="AT18" i="2"/>
  <c r="AT17" i="2"/>
  <c r="AT16" i="2"/>
  <c r="AT15" i="2"/>
  <c r="AT14" i="2"/>
  <c r="AT10" i="2"/>
  <c r="AT9" i="2"/>
  <c r="AT8" i="2"/>
  <c r="AT7" i="2"/>
  <c r="AT6" i="2"/>
  <c r="AT5" i="2"/>
  <c r="AL18" i="2"/>
  <c r="AK18" i="2"/>
  <c r="AJ18" i="2"/>
  <c r="AI18" i="2"/>
  <c r="AL9" i="2"/>
  <c r="AK9" i="2"/>
  <c r="AJ9" i="2"/>
  <c r="AI9" i="2"/>
  <c r="Q19" i="5"/>
  <c r="P19" i="5"/>
  <c r="O19" i="5"/>
  <c r="N19" i="5"/>
  <c r="M19" i="5"/>
  <c r="Q7" i="5" a="1"/>
  <c r="Q7" i="5" s="1"/>
  <c r="Q14" i="5" s="1"/>
  <c r="P7" i="5" a="1"/>
  <c r="P11" i="5" s="1"/>
  <c r="O7" i="5" a="1"/>
  <c r="O11" i="5" s="1"/>
  <c r="N7" i="5" a="1"/>
  <c r="N11" i="5" s="1"/>
  <c r="N18" i="5" s="1"/>
  <c r="M7" i="5" a="1"/>
  <c r="M7" i="5" s="1"/>
  <c r="M14" i="5" s="1"/>
  <c r="Q16" i="7"/>
  <c r="J15" i="7"/>
  <c r="K15" i="7" s="1"/>
  <c r="L15" i="7" s="1"/>
  <c r="M15" i="7" s="1"/>
  <c r="N15" i="7" s="1"/>
  <c r="O15" i="7" s="1"/>
  <c r="P15" i="7" s="1"/>
  <c r="G18" i="7"/>
  <c r="G17" i="7"/>
  <c r="G16" i="7"/>
  <c r="G13" i="7"/>
  <c r="G12" i="7"/>
  <c r="Q11" i="7"/>
  <c r="J10" i="7"/>
  <c r="K10" i="7" s="1"/>
  <c r="L10" i="7" s="1"/>
  <c r="M10" i="7" s="1"/>
  <c r="N10" i="7" s="1"/>
  <c r="O10" i="7" s="1"/>
  <c r="P10" i="7" s="1"/>
  <c r="G11" i="7"/>
  <c r="Q5" i="7"/>
  <c r="K4" i="7"/>
  <c r="L4" i="7" s="1"/>
  <c r="M4" i="7" s="1"/>
  <c r="N4" i="7" s="1"/>
  <c r="O4" i="7" s="1"/>
  <c r="P4" i="7" s="1"/>
  <c r="J4" i="7"/>
  <c r="G7" i="7"/>
  <c r="G6" i="7"/>
  <c r="G5" i="7"/>
  <c r="AN25" i="6"/>
  <c r="AN26" i="6" s="1"/>
  <c r="AN27" i="6" s="1"/>
  <c r="AN28" i="6" s="1"/>
  <c r="AN29" i="6" s="1"/>
  <c r="AN30" i="6" s="1"/>
  <c r="AN31" i="6" s="1"/>
  <c r="AN32" i="6" s="1"/>
  <c r="AN33" i="6" s="1"/>
  <c r="AP23" i="6"/>
  <c r="AO23" i="6"/>
  <c r="AO24" i="6" s="1"/>
  <c r="AO21" i="6"/>
  <c r="AS17" i="6"/>
  <c r="AL17" i="6"/>
  <c r="AK17" i="6"/>
  <c r="AJ17" i="6"/>
  <c r="AI17" i="6"/>
  <c r="AS16" i="6"/>
  <c r="AL16" i="6"/>
  <c r="AK16" i="6"/>
  <c r="AJ16" i="6"/>
  <c r="AI16" i="6"/>
  <c r="AS15" i="6"/>
  <c r="AL15" i="6"/>
  <c r="AK15" i="6"/>
  <c r="AN15" i="6" s="1"/>
  <c r="AQ15" i="6" s="1"/>
  <c r="AJ15" i="6"/>
  <c r="AI15" i="6"/>
  <c r="AS14" i="6"/>
  <c r="AL14" i="6"/>
  <c r="AK14" i="6"/>
  <c r="AJ14" i="6"/>
  <c r="AI14" i="6"/>
  <c r="AS13" i="6"/>
  <c r="AL13" i="6"/>
  <c r="AK13" i="6"/>
  <c r="AJ13" i="6"/>
  <c r="AI13" i="6"/>
  <c r="AN13" i="6" s="1"/>
  <c r="AQ13" i="6" s="1"/>
  <c r="AS9" i="6"/>
  <c r="AL9" i="6"/>
  <c r="AK9" i="6"/>
  <c r="AJ9" i="6"/>
  <c r="AI9" i="6"/>
  <c r="AS8" i="6"/>
  <c r="AL8" i="6"/>
  <c r="AK8" i="6"/>
  <c r="AJ8" i="6"/>
  <c r="AI8" i="6"/>
  <c r="AS7" i="6"/>
  <c r="AL7" i="6"/>
  <c r="AK7" i="6"/>
  <c r="AJ7" i="6"/>
  <c r="AI7" i="6"/>
  <c r="AN7" i="6" s="1"/>
  <c r="AQ7" i="6" s="1"/>
  <c r="AS6" i="6"/>
  <c r="AL6" i="6"/>
  <c r="AK6" i="6"/>
  <c r="AJ6" i="6"/>
  <c r="AI6" i="6"/>
  <c r="AS5" i="6"/>
  <c r="AL5" i="6"/>
  <c r="AK5" i="6"/>
  <c r="AJ5" i="6"/>
  <c r="AI5" i="6"/>
  <c r="AL2" i="6"/>
  <c r="AK2" i="6"/>
  <c r="AJ2" i="6"/>
  <c r="AI2" i="6"/>
  <c r="D1" i="6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C1" i="6"/>
  <c r="AO23" i="2"/>
  <c r="AO25" i="2"/>
  <c r="AO26" i="2" s="1"/>
  <c r="N2" i="5" a="1"/>
  <c r="N2" i="5" s="1"/>
  <c r="E4" i="5"/>
  <c r="E5" i="5" s="1"/>
  <c r="E6" i="5" s="1"/>
  <c r="Q2" i="5" s="1" a="1"/>
  <c r="Q2" i="5" s="1"/>
  <c r="AL2" i="2"/>
  <c r="AK2" i="2"/>
  <c r="AJ2" i="2"/>
  <c r="AI2" i="2"/>
  <c r="AL19" i="2"/>
  <c r="AK19" i="2"/>
  <c r="AJ19" i="2"/>
  <c r="AI19" i="2"/>
  <c r="AL14" i="2"/>
  <c r="AK14" i="2"/>
  <c r="AJ14" i="2"/>
  <c r="AI14" i="2"/>
  <c r="AL17" i="2"/>
  <c r="AK17" i="2"/>
  <c r="AJ17" i="2"/>
  <c r="AI17" i="2"/>
  <c r="AL16" i="2"/>
  <c r="AK16" i="2"/>
  <c r="AJ16" i="2"/>
  <c r="AI16" i="2"/>
  <c r="AL15" i="2"/>
  <c r="AK15" i="2"/>
  <c r="AJ15" i="2"/>
  <c r="AI15" i="2"/>
  <c r="AL10" i="2"/>
  <c r="AK10" i="2"/>
  <c r="AJ10" i="2"/>
  <c r="AI10" i="2"/>
  <c r="AL5" i="2"/>
  <c r="AK5" i="2"/>
  <c r="AJ5" i="2"/>
  <c r="AI5" i="2"/>
  <c r="AL8" i="2"/>
  <c r="AK8" i="2"/>
  <c r="AJ8" i="2"/>
  <c r="AI8" i="2"/>
  <c r="AL7" i="2"/>
  <c r="AK7" i="2"/>
  <c r="AJ7" i="2"/>
  <c r="AI7" i="2"/>
  <c r="AL6" i="2"/>
  <c r="AK6" i="2"/>
  <c r="AJ6" i="2"/>
  <c r="AI6" i="2"/>
  <c r="AN18" i="2" l="1"/>
  <c r="AR18" i="2" s="1"/>
  <c r="AN9" i="2"/>
  <c r="AR9" i="2" s="1"/>
  <c r="Q12" i="5"/>
  <c r="Q11" i="5"/>
  <c r="Q18" i="5" s="1"/>
  <c r="Q10" i="5"/>
  <c r="Q17" i="5" s="1"/>
  <c r="Q9" i="5"/>
  <c r="Q8" i="5"/>
  <c r="Q15" i="5" s="1"/>
  <c r="P10" i="5"/>
  <c r="P17" i="5" s="1"/>
  <c r="P9" i="5"/>
  <c r="P16" i="5" s="1"/>
  <c r="P8" i="5"/>
  <c r="P15" i="5" s="1"/>
  <c r="P7" i="5"/>
  <c r="P14" i="5" s="1"/>
  <c r="P12" i="5"/>
  <c r="O10" i="5"/>
  <c r="O17" i="5" s="1"/>
  <c r="O9" i="5"/>
  <c r="O16" i="5" s="1"/>
  <c r="O8" i="5"/>
  <c r="O15" i="5" s="1"/>
  <c r="O7" i="5"/>
  <c r="O14" i="5" s="1"/>
  <c r="O12" i="5"/>
  <c r="N8" i="5"/>
  <c r="N10" i="5"/>
  <c r="N9" i="5"/>
  <c r="N7" i="5"/>
  <c r="N12" i="5"/>
  <c r="M11" i="5"/>
  <c r="M18" i="5" s="1"/>
  <c r="M9" i="5"/>
  <c r="M8" i="5"/>
  <c r="M12" i="5"/>
  <c r="M10" i="5"/>
  <c r="M17" i="5" s="1"/>
  <c r="P2" i="5" a="1"/>
  <c r="P4" i="5" s="1"/>
  <c r="O2" i="5" a="1"/>
  <c r="O2" i="5" s="1"/>
  <c r="O18" i="5"/>
  <c r="AP25" i="2"/>
  <c r="AP26" i="2"/>
  <c r="AO27" i="2"/>
  <c r="AP27" i="2" s="1"/>
  <c r="AN2" i="6"/>
  <c r="AN9" i="6"/>
  <c r="AQ9" i="6" s="1"/>
  <c r="AN17" i="6"/>
  <c r="AQ17" i="6" s="1"/>
  <c r="AN14" i="6"/>
  <c r="AQ14" i="6" s="1"/>
  <c r="AN5" i="6"/>
  <c r="AQ5" i="6" s="1"/>
  <c r="AN6" i="6"/>
  <c r="AQ6" i="6" s="1"/>
  <c r="AN8" i="6"/>
  <c r="AQ8" i="6" s="1"/>
  <c r="AN16" i="6"/>
  <c r="AQ16" i="6" s="1"/>
  <c r="AO25" i="6"/>
  <c r="AP24" i="6"/>
  <c r="Q16" i="5"/>
  <c r="P18" i="5"/>
  <c r="N17" i="5"/>
  <c r="N16" i="5"/>
  <c r="N15" i="5"/>
  <c r="N14" i="5"/>
  <c r="M16" i="5"/>
  <c r="M15" i="5"/>
  <c r="Q5" i="5"/>
  <c r="Q4" i="5"/>
  <c r="Q3" i="5"/>
  <c r="P3" i="5"/>
  <c r="P2" i="5"/>
  <c r="N5" i="5"/>
  <c r="N4" i="5"/>
  <c r="N3" i="5"/>
  <c r="O3" i="5" l="1"/>
  <c r="O4" i="5"/>
  <c r="O5" i="5"/>
  <c r="P5" i="5"/>
  <c r="AP25" i="6"/>
  <c r="AO26" i="6"/>
  <c r="AN27" i="2"/>
  <c r="AN28" i="2" s="1"/>
  <c r="AN29" i="2" s="1"/>
  <c r="AN30" i="2" s="1"/>
  <c r="AN31" i="2" s="1"/>
  <c r="AN32" i="2" s="1"/>
  <c r="AN33" i="2" s="1"/>
  <c r="AN34" i="2" s="1"/>
  <c r="AN35" i="2" s="1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O27" i="6" l="1"/>
  <c r="AP26" i="6"/>
  <c r="AN6" i="2"/>
  <c r="AR6" i="2" s="1"/>
  <c r="AN5" i="2"/>
  <c r="AR5" i="2" s="1"/>
  <c r="AN10" i="2"/>
  <c r="AR10" i="2" s="1"/>
  <c r="AN14" i="2"/>
  <c r="AR14" i="2" s="1"/>
  <c r="AN7" i="2"/>
  <c r="AR7" i="2" s="1"/>
  <c r="AN16" i="2"/>
  <c r="AR16" i="2" s="1"/>
  <c r="AN19" i="2"/>
  <c r="AR19" i="2" s="1"/>
  <c r="AN8" i="2"/>
  <c r="AR8" i="2" s="1"/>
  <c r="AN17" i="2"/>
  <c r="AR17" i="2" s="1"/>
  <c r="AN15" i="2"/>
  <c r="AR15" i="2" s="1"/>
  <c r="AN2" i="2"/>
  <c r="AO28" i="6" l="1"/>
  <c r="AP27" i="6"/>
  <c r="AO28" i="2"/>
  <c r="AO29" i="6" l="1"/>
  <c r="AP28" i="6"/>
  <c r="AP28" i="2"/>
  <c r="AO29" i="2"/>
  <c r="AP29" i="6" l="1"/>
  <c r="AO30" i="6"/>
  <c r="AP29" i="2"/>
  <c r="AO30" i="2"/>
  <c r="AO31" i="6" l="1"/>
  <c r="AP30" i="6"/>
  <c r="AN21" i="6" s="1"/>
  <c r="AN22" i="6" s="1"/>
  <c r="AP30" i="2"/>
  <c r="AO31" i="2"/>
  <c r="AO32" i="6" l="1"/>
  <c r="AP31" i="6"/>
  <c r="AP31" i="2"/>
  <c r="AO32" i="2"/>
  <c r="AP32" i="2" s="1"/>
  <c r="AN23" i="2" s="1"/>
  <c r="AO33" i="6" l="1"/>
  <c r="AP33" i="6" s="1"/>
  <c r="AP32" i="6"/>
  <c r="AN24" i="2"/>
  <c r="AO33" i="2"/>
  <c r="AP33" i="2" l="1"/>
  <c r="AO34" i="2"/>
  <c r="AP34" i="2" l="1"/>
  <c r="AO35" i="2"/>
  <c r="AP35" i="2" s="1"/>
</calcChain>
</file>

<file path=xl/sharedStrings.xml><?xml version="1.0" encoding="utf-8"?>
<sst xmlns="http://schemas.openxmlformats.org/spreadsheetml/2006/main" count="168" uniqueCount="62">
  <si>
    <t>STA</t>
    <phoneticPr fontId="1"/>
  </si>
  <si>
    <t>FIN</t>
    <phoneticPr fontId="1"/>
  </si>
  <si>
    <t>TX</t>
    <phoneticPr fontId="1"/>
  </si>
  <si>
    <t>RX</t>
    <phoneticPr fontId="1"/>
  </si>
  <si>
    <t>TO_STA</t>
    <phoneticPr fontId="1"/>
  </si>
  <si>
    <t>AAS0</t>
  </si>
  <si>
    <t>AAS1</t>
    <phoneticPr fontId="1"/>
  </si>
  <si>
    <t>AAS2</t>
  </si>
  <si>
    <t>GCA</t>
  </si>
  <si>
    <t>DID</t>
  </si>
  <si>
    <t>TMOF</t>
  </si>
  <si>
    <t>AL</t>
  </si>
  <si>
    <t>START</t>
  </si>
  <si>
    <t>STOP</t>
  </si>
  <si>
    <t>NACKF</t>
  </si>
  <si>
    <t>RDRF</t>
  </si>
  <si>
    <t>TEND</t>
  </si>
  <si>
    <t>TDRE</t>
  </si>
  <si>
    <t>TRS</t>
  </si>
  <si>
    <t>MST</t>
  </si>
  <si>
    <t>BBSY</t>
  </si>
  <si>
    <t>START</t>
    <phoneticPr fontId="1"/>
  </si>
  <si>
    <t>STOP</t>
    <phoneticPr fontId="1"/>
  </si>
  <si>
    <t>RE_FIN</t>
    <phoneticPr fontId="1"/>
  </si>
  <si>
    <t>[us]</t>
    <phoneticPr fontId="1"/>
  </si>
  <si>
    <t>Master/mask</t>
    <phoneticPr fontId="1"/>
  </si>
  <si>
    <t>Master/crit</t>
    <phoneticPr fontId="1"/>
  </si>
  <si>
    <t>Slave/mask</t>
    <phoneticPr fontId="1"/>
  </si>
  <si>
    <t>Slave/crit</t>
    <phoneticPr fontId="1"/>
  </si>
  <si>
    <t>WRI</t>
    <phoneticPr fontId="1"/>
  </si>
  <si>
    <t>WEN</t>
    <phoneticPr fontId="1"/>
  </si>
  <si>
    <t>REA</t>
    <phoneticPr fontId="1"/>
  </si>
  <si>
    <t>WR_NEX</t>
    <phoneticPr fontId="1"/>
  </si>
  <si>
    <t>TO_WRI</t>
    <phoneticPr fontId="1"/>
  </si>
  <si>
    <t>TO_REA</t>
    <phoneticPr fontId="1"/>
  </si>
  <si>
    <t>SEQ_ABT</t>
    <phoneticPr fontId="1"/>
  </si>
  <si>
    <t>OPE_REA/STA
RWC_MAX/WRI, REA
REQ_NEX/FIN, UNK</t>
    <phoneticPr fontId="1"/>
  </si>
  <si>
    <t>eas</t>
    <phoneticPr fontId="1"/>
  </si>
  <si>
    <t>req &gt;= run</t>
    <phoneticPr fontId="1"/>
  </si>
  <si>
    <t>run &gt;=ack</t>
    <phoneticPr fontId="1"/>
  </si>
  <si>
    <t>ack &gt; req</t>
    <phoneticPr fontId="1"/>
  </si>
  <si>
    <t>req &gt;= run &gt;= ack</t>
    <phoneticPr fontId="1"/>
  </si>
  <si>
    <t>run &gt;= ack &gt; req</t>
    <phoneticPr fontId="1"/>
  </si>
  <si>
    <t>ack &gt; req &gt;= run</t>
    <phoneticPr fontId="1"/>
  </si>
  <si>
    <t>(req+1) &gt; run</t>
    <phoneticPr fontId="1"/>
  </si>
  <si>
    <t>ack &gt; (req+1)</t>
    <phoneticPr fontId="1"/>
  </si>
  <si>
    <t>(req+1)&gt;run&gt;=ack</t>
    <phoneticPr fontId="1"/>
  </si>
  <si>
    <t>run &gt;= ack &gt; (req+1)</t>
    <phoneticPr fontId="1"/>
  </si>
  <si>
    <t>ack &gt; (req+1) &gt; run</t>
    <phoneticPr fontId="1"/>
  </si>
  <si>
    <t>(run + 1) &gt;ack</t>
    <phoneticPr fontId="1"/>
  </si>
  <si>
    <t>(run + 1) &gt; ack &gt; req</t>
    <phoneticPr fontId="1"/>
  </si>
  <si>
    <t>req &gt;= (run+ 1)</t>
    <phoneticPr fontId="1"/>
  </si>
  <si>
    <t>req &gt;= (run + 1) &gt; ack</t>
    <phoneticPr fontId="1"/>
  </si>
  <si>
    <t>ack &gt; req &gt;= (run + 1)</t>
    <phoneticPr fontId="1"/>
  </si>
  <si>
    <t>WR_FIN</t>
    <phoneticPr fontId="1"/>
  </si>
  <si>
    <t>TO_REQ</t>
    <phoneticPr fontId="1"/>
  </si>
  <si>
    <t>RE_ACK</t>
    <phoneticPr fontId="1"/>
  </si>
  <si>
    <t>RE_NAK</t>
    <phoneticPr fontId="1"/>
  </si>
  <si>
    <t>RE_ABT</t>
    <phoneticPr fontId="1"/>
  </si>
  <si>
    <t>RLA</t>
    <phoneticPr fontId="1"/>
  </si>
  <si>
    <t>WR_LAS</t>
    <phoneticPr fontId="1"/>
  </si>
  <si>
    <t>SQ_ABT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</si>
</sst>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rgb="FFFF0000"/>
      <name val="游ゴシック"/>
      <family val="2"/>
      <scheme val="minor"/>
    </font>
    <font>
      <sz val="11"/>
      <color theme="0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 applyAlignment="1">
      <alignment textRotation="90"/>
    </xf>
    <xf numFmtId="0" fontId="0" fillId="0" borderId="0" xfId="0" applyFill="1"/>
    <xf numFmtId="0" fontId="0" fillId="0" borderId="0" xfId="0" applyAlignment="1">
      <alignment textRotation="90" wrapText="1"/>
    </xf>
    <xf numFmtId="0" fontId="2" fillId="3" borderId="0" xfId="0" applyFont="1" applyFill="1" applyAlignment="1">
      <alignment textRotation="90"/>
    </xf>
    <xf numFmtId="0" fontId="2" fillId="3" borderId="0" xfId="0" applyFont="1" applyFill="1"/>
    <xf numFmtId="0" fontId="0" fillId="3" borderId="0" xfId="0" applyFill="1"/>
    <xf numFmtId="0" fontId="0" fillId="0" borderId="0" xfId="0" applyFont="1"/>
    <xf numFmtId="0" fontId="3" fillId="4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7036-5DDD-4E3F-AC57-A96B6572B013}">
  <dimension ref="B1:Q19"/>
  <sheetViews>
    <sheetView workbookViewId="0">
      <pane ySplit="2" topLeftCell="A3" activePane="bottomLeft" state="frozen"/>
      <selection pane="bottomLeft" activeCell="E3" sqref="E3"/>
    </sheetView>
  </sheetViews>
  <sheetFormatPr defaultColWidth="8.625" defaultRowHeight="18.75" x14ac:dyDescent="0.4"/>
  <cols>
    <col min="1" max="1" width="8.625" style="2"/>
    <col min="2" max="2" width="3.625" style="2" bestFit="1" customWidth="1"/>
    <col min="3" max="3" width="10.125" style="2" bestFit="1" customWidth="1"/>
    <col min="4" max="4" width="3.625" style="2" bestFit="1" customWidth="1"/>
    <col min="5" max="5" width="2.5" style="2" bestFit="1" customWidth="1"/>
    <col min="6" max="6" width="8.625" style="2" bestFit="1" customWidth="1"/>
    <col min="7" max="7" width="9.25" style="2" bestFit="1" customWidth="1"/>
    <col min="8" max="9" width="8.625" style="2" bestFit="1" customWidth="1"/>
    <col min="10" max="10" width="8.625" style="2" customWidth="1"/>
    <col min="11" max="11" width="9" style="2" bestFit="1" customWidth="1"/>
    <col min="12" max="13" width="8.625" style="2"/>
    <col min="14" max="15" width="31.75" style="2" bestFit="1" customWidth="1"/>
    <col min="16" max="17" width="31.125" style="2" bestFit="1" customWidth="1"/>
    <col min="18" max="16384" width="8.625" style="2"/>
  </cols>
  <sheetData>
    <row r="1" spans="2:17" x14ac:dyDescent="0.4">
      <c r="B1" s="3"/>
      <c r="C1" s="3"/>
    </row>
    <row r="2" spans="2:17" ht="114.75" x14ac:dyDescent="0.4">
      <c r="B2" s="3" t="s">
        <v>35</v>
      </c>
      <c r="C2" s="5" t="s">
        <v>36</v>
      </c>
      <c r="F2" s="2" t="s">
        <v>0</v>
      </c>
      <c r="G2" s="2" t="s">
        <v>29</v>
      </c>
      <c r="H2" s="2" t="s">
        <v>30</v>
      </c>
      <c r="I2" s="2" t="s">
        <v>31</v>
      </c>
      <c r="J2" s="2" t="s">
        <v>59</v>
      </c>
      <c r="K2" s="2" t="s">
        <v>1</v>
      </c>
      <c r="N2" s="2">
        <f t="array" ref="N2:N5">TRANSPOSE(B3:E3)</f>
        <v>0</v>
      </c>
      <c r="O2" s="2">
        <f t="array" ref="O2:O5">TRANSPOSE(B4:E4)</f>
        <v>0</v>
      </c>
      <c r="P2" s="2">
        <f t="array" ref="P2:P5">TRANSPOSE(B5:E5)</f>
        <v>1</v>
      </c>
      <c r="Q2" s="2">
        <f t="array" ref="Q2:Q5">TRANSPOSE(B6:E6)</f>
        <v>1</v>
      </c>
    </row>
    <row r="3" spans="2:17" x14ac:dyDescent="0.4">
      <c r="B3" s="2">
        <v>0</v>
      </c>
      <c r="C3" s="2">
        <v>0</v>
      </c>
      <c r="D3" s="2" t="s">
        <v>37</v>
      </c>
      <c r="E3" s="2">
        <v>0</v>
      </c>
      <c r="F3" s="2" t="s">
        <v>33</v>
      </c>
      <c r="G3" s="2" t="s">
        <v>32</v>
      </c>
      <c r="H3" s="4" t="s">
        <v>54</v>
      </c>
      <c r="I3" s="2" t="s">
        <v>56</v>
      </c>
      <c r="J3" s="2" t="s">
        <v>23</v>
      </c>
      <c r="K3" s="2" t="s">
        <v>55</v>
      </c>
      <c r="N3" s="2">
        <v>0</v>
      </c>
      <c r="O3" s="2">
        <v>1</v>
      </c>
      <c r="P3" s="2">
        <v>0</v>
      </c>
      <c r="Q3" s="2">
        <v>1</v>
      </c>
    </row>
    <row r="4" spans="2:17" x14ac:dyDescent="0.4">
      <c r="B4" s="2">
        <v>0</v>
      </c>
      <c r="C4" s="2">
        <v>1</v>
      </c>
      <c r="D4" s="2" t="s">
        <v>37</v>
      </c>
      <c r="E4" s="2">
        <f>E3+1</f>
        <v>1</v>
      </c>
      <c r="F4" s="2" t="s">
        <v>34</v>
      </c>
      <c r="G4" s="4" t="s">
        <v>60</v>
      </c>
      <c r="H4" s="1" t="s">
        <v>61</v>
      </c>
      <c r="I4" s="2" t="s">
        <v>57</v>
      </c>
      <c r="J4" s="1" t="s">
        <v>61</v>
      </c>
      <c r="K4" s="2" t="s">
        <v>4</v>
      </c>
      <c r="N4" s="2" t="str">
        <v>eas</v>
      </c>
      <c r="O4" s="2" t="str">
        <v>eas</v>
      </c>
      <c r="P4" s="2" t="str">
        <v>eas</v>
      </c>
      <c r="Q4" s="2" t="str">
        <v>eas</v>
      </c>
    </row>
    <row r="5" spans="2:17" x14ac:dyDescent="0.4">
      <c r="B5" s="2">
        <v>1</v>
      </c>
      <c r="C5" s="2">
        <v>0</v>
      </c>
      <c r="D5" s="2" t="s">
        <v>37</v>
      </c>
      <c r="E5" s="2">
        <f t="shared" ref="E5:E6" si="0">E4+1</f>
        <v>2</v>
      </c>
      <c r="F5" s="1" t="s">
        <v>61</v>
      </c>
      <c r="G5" s="1" t="s">
        <v>61</v>
      </c>
      <c r="H5" s="1" t="s">
        <v>61</v>
      </c>
      <c r="I5" s="2" t="s">
        <v>58</v>
      </c>
      <c r="J5" s="1" t="s">
        <v>61</v>
      </c>
      <c r="K5" s="1" t="s">
        <v>61</v>
      </c>
      <c r="N5" s="2">
        <v>0</v>
      </c>
      <c r="O5" s="2">
        <v>1</v>
      </c>
      <c r="P5" s="2">
        <v>2</v>
      </c>
      <c r="Q5" s="2">
        <v>3</v>
      </c>
    </row>
    <row r="6" spans="2:17" x14ac:dyDescent="0.4">
      <c r="B6" s="2">
        <v>1</v>
      </c>
      <c r="C6" s="2">
        <v>1</v>
      </c>
      <c r="D6" s="2" t="s">
        <v>37</v>
      </c>
      <c r="E6" s="2">
        <f t="shared" si="0"/>
        <v>3</v>
      </c>
      <c r="F6" s="1" t="s">
        <v>61</v>
      </c>
      <c r="G6" s="1" t="s">
        <v>61</v>
      </c>
      <c r="H6" s="1" t="s">
        <v>61</v>
      </c>
      <c r="I6" s="2" t="s">
        <v>58</v>
      </c>
      <c r="J6" s="1" t="s">
        <v>61</v>
      </c>
      <c r="K6" s="1" t="s">
        <v>61</v>
      </c>
    </row>
    <row r="7" spans="2:17" x14ac:dyDescent="0.4">
      <c r="M7" s="2" t="str">
        <f t="array" ref="M7:M12">TRANSPOSE(F2:K2)</f>
        <v>STA</v>
      </c>
      <c r="N7" s="2" t="str">
        <f t="array" ref="N7:N12">TRANSPOSE(F3:K3)</f>
        <v>TO_WRI</v>
      </c>
      <c r="O7" s="2" t="str">
        <f t="array" ref="O7:O12">TRANSPOSE(F4:K4)</f>
        <v>TO_REA</v>
      </c>
      <c r="P7" s="2" t="str">
        <f t="array" ref="P7:P12">TRANSPOSE(F5:K5)</f>
        <v>SQ_ABT</v>
      </c>
      <c r="Q7" s="2" t="str">
        <f t="array" ref="Q7:Q12">TRANSPOSE(F6:K6)</f>
        <v>SQ_ABT</v>
      </c>
    </row>
    <row r="8" spans="2:17" x14ac:dyDescent="0.4">
      <c r="M8" s="2" t="str">
        <v>WRI</v>
      </c>
      <c r="N8" s="2" t="str">
        <v>WR_NEX</v>
      </c>
      <c r="O8" s="2" t="str">
        <v>WR_LAS</v>
      </c>
      <c r="P8" s="2" t="str">
        <v>SQ_ABT</v>
      </c>
      <c r="Q8" s="2" t="str">
        <v>SQ_ABT</v>
      </c>
    </row>
    <row r="9" spans="2:17" x14ac:dyDescent="0.4">
      <c r="M9" s="2" t="str">
        <v>WEN</v>
      </c>
      <c r="N9" s="2" t="str">
        <v>WR_FIN</v>
      </c>
      <c r="O9" s="2" t="str">
        <v>SQ_ABT</v>
      </c>
      <c r="P9" s="2" t="str">
        <v>SQ_ABT</v>
      </c>
      <c r="Q9" s="2" t="str">
        <v>SQ_ABT</v>
      </c>
    </row>
    <row r="10" spans="2:17" x14ac:dyDescent="0.4">
      <c r="M10" s="2" t="str">
        <v>REA</v>
      </c>
      <c r="N10" s="2" t="str">
        <v>RE_ACK</v>
      </c>
      <c r="O10" s="2" t="str">
        <v>RE_NAK</v>
      </c>
      <c r="P10" s="2" t="str">
        <v>RE_ABT</v>
      </c>
      <c r="Q10" s="2" t="str">
        <v>RE_ABT</v>
      </c>
    </row>
    <row r="11" spans="2:17" x14ac:dyDescent="0.4">
      <c r="M11" s="2" t="str">
        <v>RLA</v>
      </c>
      <c r="N11" s="2" t="str">
        <v>RE_FIN</v>
      </c>
      <c r="O11" s="2" t="str">
        <v>SQ_ABT</v>
      </c>
      <c r="P11" s="2" t="str">
        <v>SQ_ABT</v>
      </c>
      <c r="Q11" s="2" t="str">
        <v>SQ_ABT</v>
      </c>
    </row>
    <row r="12" spans="2:17" x14ac:dyDescent="0.4">
      <c r="M12" s="2" t="str">
        <v>FIN</v>
      </c>
      <c r="N12" s="2" t="str">
        <v>TO_REQ</v>
      </c>
      <c r="O12" s="2" t="str">
        <v>TO_STA</v>
      </c>
      <c r="P12" s="2" t="str">
        <v>SQ_ABT</v>
      </c>
      <c r="Q12" s="2" t="str">
        <v>SQ_ABT</v>
      </c>
    </row>
    <row r="14" spans="2:17" x14ac:dyDescent="0.4">
      <c r="M14" s="2" t="str">
        <f t="shared" ref="M14:M19" si="1">M7</f>
        <v>STA</v>
      </c>
      <c r="N14" s="2" t="str">
        <f t="shared" ref="N14:Q19" si="2">"(U1)GP_I2C_MA_ACT_"&amp;N7&amp;","</f>
        <v>(U1)GP_I2C_MA_ACT_TO_WRI,</v>
      </c>
      <c r="O14" s="2" t="str">
        <f t="shared" si="2"/>
        <v>(U1)GP_I2C_MA_ACT_TO_REA,</v>
      </c>
      <c r="P14" s="2" t="str">
        <f t="shared" si="2"/>
        <v>(U1)GP_I2C_MA_ACT_SQ_ABT,</v>
      </c>
      <c r="Q14" s="2" t="str">
        <f t="shared" si="2"/>
        <v>(U1)GP_I2C_MA_ACT_SQ_ABT,</v>
      </c>
    </row>
    <row r="15" spans="2:17" x14ac:dyDescent="0.4">
      <c r="M15" s="2" t="str">
        <f t="shared" si="1"/>
        <v>WRI</v>
      </c>
      <c r="N15" s="2" t="str">
        <f t="shared" si="2"/>
        <v>(U1)GP_I2C_MA_ACT_WR_NEX,</v>
      </c>
      <c r="O15" s="2" t="str">
        <f t="shared" si="2"/>
        <v>(U1)GP_I2C_MA_ACT_WR_LAS,</v>
      </c>
      <c r="P15" s="2" t="str">
        <f t="shared" si="2"/>
        <v>(U1)GP_I2C_MA_ACT_SQ_ABT,</v>
      </c>
      <c r="Q15" s="2" t="str">
        <f t="shared" si="2"/>
        <v>(U1)GP_I2C_MA_ACT_SQ_ABT,</v>
      </c>
    </row>
    <row r="16" spans="2:17" x14ac:dyDescent="0.4">
      <c r="M16" s="2" t="str">
        <f t="shared" si="1"/>
        <v>WEN</v>
      </c>
      <c r="N16" s="2" t="str">
        <f t="shared" si="2"/>
        <v>(U1)GP_I2C_MA_ACT_WR_FIN,</v>
      </c>
      <c r="O16" s="2" t="str">
        <f t="shared" si="2"/>
        <v>(U1)GP_I2C_MA_ACT_SQ_ABT,</v>
      </c>
      <c r="P16" s="2" t="str">
        <f t="shared" si="2"/>
        <v>(U1)GP_I2C_MA_ACT_SQ_ABT,</v>
      </c>
      <c r="Q16" s="2" t="str">
        <f t="shared" si="2"/>
        <v>(U1)GP_I2C_MA_ACT_SQ_ABT,</v>
      </c>
    </row>
    <row r="17" spans="13:17" x14ac:dyDescent="0.4">
      <c r="M17" s="2" t="str">
        <f t="shared" si="1"/>
        <v>REA</v>
      </c>
      <c r="N17" s="2" t="str">
        <f t="shared" si="2"/>
        <v>(U1)GP_I2C_MA_ACT_RE_ACK,</v>
      </c>
      <c r="O17" s="2" t="str">
        <f t="shared" si="2"/>
        <v>(U1)GP_I2C_MA_ACT_RE_NAK,</v>
      </c>
      <c r="P17" s="2" t="str">
        <f t="shared" si="2"/>
        <v>(U1)GP_I2C_MA_ACT_RE_ABT,</v>
      </c>
      <c r="Q17" s="2" t="str">
        <f t="shared" si="2"/>
        <v>(U1)GP_I2C_MA_ACT_RE_ABT,</v>
      </c>
    </row>
    <row r="18" spans="13:17" x14ac:dyDescent="0.4">
      <c r="M18" s="2" t="str">
        <f t="shared" si="1"/>
        <v>RLA</v>
      </c>
      <c r="N18" s="2" t="str">
        <f t="shared" si="2"/>
        <v>(U1)GP_I2C_MA_ACT_RE_FIN,</v>
      </c>
      <c r="O18" s="2" t="str">
        <f t="shared" si="2"/>
        <v>(U1)GP_I2C_MA_ACT_SQ_ABT,</v>
      </c>
      <c r="P18" s="2" t="str">
        <f t="shared" si="2"/>
        <v>(U1)GP_I2C_MA_ACT_SQ_ABT,</v>
      </c>
      <c r="Q18" s="2" t="str">
        <f t="shared" si="2"/>
        <v>(U1)GP_I2C_MA_ACT_SQ_ABT,</v>
      </c>
    </row>
    <row r="19" spans="13:17" x14ac:dyDescent="0.4">
      <c r="M19" s="2" t="str">
        <f t="shared" si="1"/>
        <v>FIN</v>
      </c>
      <c r="N19" s="2" t="str">
        <f t="shared" si="2"/>
        <v>(U1)GP_I2C_MA_ACT_TO_REQ,</v>
      </c>
      <c r="O19" s="2" t="str">
        <f t="shared" si="2"/>
        <v>(U1)GP_I2C_MA_ACT_TO_STA,</v>
      </c>
      <c r="P19" s="2" t="str">
        <f t="shared" si="2"/>
        <v>(U1)GP_I2C_MA_ACT_SQ_ABT,</v>
      </c>
      <c r="Q19" s="2" t="str">
        <f t="shared" si="2"/>
        <v>(U1)GP_I2C_MA_ACT_SQ_ABT,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T35"/>
  <sheetViews>
    <sheetView tabSelected="1" zoomScale="130" zoomScaleNormal="130" workbookViewId="0">
      <selection activeCell="U18" sqref="U18"/>
    </sheetView>
  </sheetViews>
  <sheetFormatPr defaultColWidth="8.5" defaultRowHeight="18.75" x14ac:dyDescent="0.4"/>
  <cols>
    <col min="1" max="1" width="1.75" customWidth="1"/>
    <col min="2" max="33" width="3.625" customWidth="1"/>
    <col min="34" max="34" width="2.625" customWidth="1"/>
    <col min="35" max="38" width="3.125" bestFit="1" customWidth="1"/>
    <col min="39" max="39" width="1.5" customWidth="1"/>
    <col min="40" max="40" width="13.875" bestFit="1" customWidth="1"/>
    <col min="41" max="41" width="12.375" bestFit="1" customWidth="1"/>
    <col min="43" max="43" width="8.5" style="2"/>
  </cols>
  <sheetData>
    <row r="1" spans="2:46" s="2" customFormat="1" x14ac:dyDescent="0.4">
      <c r="B1" s="2">
        <v>31</v>
      </c>
      <c r="C1" s="2">
        <f>B1-1</f>
        <v>30</v>
      </c>
      <c r="D1" s="2">
        <f t="shared" ref="D1:AG1" si="0">C1-1</f>
        <v>29</v>
      </c>
      <c r="E1" s="2">
        <f t="shared" si="0"/>
        <v>28</v>
      </c>
      <c r="F1" s="2">
        <f t="shared" si="0"/>
        <v>27</v>
      </c>
      <c r="G1" s="2">
        <f t="shared" si="0"/>
        <v>26</v>
      </c>
      <c r="H1" s="2">
        <f t="shared" si="0"/>
        <v>25</v>
      </c>
      <c r="I1" s="2">
        <f t="shared" si="0"/>
        <v>24</v>
      </c>
      <c r="J1" s="2">
        <f t="shared" si="0"/>
        <v>23</v>
      </c>
      <c r="K1" s="2">
        <f t="shared" si="0"/>
        <v>22</v>
      </c>
      <c r="L1" s="2">
        <f t="shared" si="0"/>
        <v>21</v>
      </c>
      <c r="M1" s="2">
        <f t="shared" si="0"/>
        <v>20</v>
      </c>
      <c r="N1" s="2">
        <f t="shared" si="0"/>
        <v>19</v>
      </c>
      <c r="O1" s="2">
        <f t="shared" si="0"/>
        <v>18</v>
      </c>
      <c r="P1" s="2">
        <f t="shared" si="0"/>
        <v>17</v>
      </c>
      <c r="Q1" s="2">
        <f t="shared" si="0"/>
        <v>16</v>
      </c>
      <c r="R1" s="2">
        <f t="shared" si="0"/>
        <v>15</v>
      </c>
      <c r="S1" s="2">
        <f t="shared" si="0"/>
        <v>14</v>
      </c>
      <c r="T1" s="2">
        <f t="shared" si="0"/>
        <v>13</v>
      </c>
      <c r="U1" s="2">
        <f t="shared" si="0"/>
        <v>12</v>
      </c>
      <c r="V1" s="2">
        <f t="shared" si="0"/>
        <v>11</v>
      </c>
      <c r="W1" s="2">
        <f t="shared" si="0"/>
        <v>10</v>
      </c>
      <c r="X1" s="2">
        <f t="shared" si="0"/>
        <v>9</v>
      </c>
      <c r="Y1" s="2">
        <f t="shared" si="0"/>
        <v>8</v>
      </c>
      <c r="Z1" s="2">
        <f t="shared" si="0"/>
        <v>7</v>
      </c>
      <c r="AA1" s="2">
        <f t="shared" si="0"/>
        <v>6</v>
      </c>
      <c r="AB1" s="2">
        <f t="shared" si="0"/>
        <v>5</v>
      </c>
      <c r="AC1" s="2">
        <f t="shared" si="0"/>
        <v>4</v>
      </c>
      <c r="AD1" s="2">
        <f t="shared" si="0"/>
        <v>3</v>
      </c>
      <c r="AE1" s="2">
        <f t="shared" si="0"/>
        <v>2</v>
      </c>
      <c r="AF1" s="2">
        <f t="shared" si="0"/>
        <v>1</v>
      </c>
      <c r="AG1" s="2">
        <f t="shared" si="0"/>
        <v>0</v>
      </c>
    </row>
    <row r="2" spans="2:46" s="2" customFormat="1" x14ac:dyDescent="0.4"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I2" s="2" t="str">
        <f>LOWER(BIN2HEX(B2&amp;C2&amp;D2&amp;E2&amp;F2&amp;G2&amp;H2&amp;I2,2))</f>
        <v>00</v>
      </c>
      <c r="AJ2" s="2" t="str">
        <f>LOWER(BIN2HEX(J2&amp;K2&amp;L2&amp;M2&amp;N2&amp;O2&amp;P2&amp;Q2,2))</f>
        <v>00</v>
      </c>
      <c r="AK2" s="2" t="str">
        <f>LOWER(BIN2HEX(R2&amp;S2&amp;T2&amp;U2&amp;V2&amp;W2&amp;X2&amp;Y2,2))</f>
        <v>00</v>
      </c>
      <c r="AL2" s="2" t="str">
        <f>LOWER(BIN2HEX(Z2&amp;AA2&amp;AB2&amp;AC2&amp;AD2&amp;AE2&amp;AF2&amp;AG2,2))</f>
        <v>00</v>
      </c>
      <c r="AN2" s="2" t="str">
        <f>"0x"&amp;AI2&amp;AJ2&amp;AK2&amp;AL2&amp;"U"</f>
        <v>0x00000000U</v>
      </c>
    </row>
    <row r="3" spans="2:46" x14ac:dyDescent="0.4">
      <c r="B3" s="2" t="s">
        <v>25</v>
      </c>
    </row>
    <row r="4" spans="2:46" s="3" customFormat="1" ht="41.25" x14ac:dyDescent="0.4">
      <c r="J4" s="3" t="s">
        <v>20</v>
      </c>
      <c r="K4" s="3" t="s">
        <v>19</v>
      </c>
      <c r="L4" s="3" t="s">
        <v>18</v>
      </c>
      <c r="R4" s="3" t="s">
        <v>17</v>
      </c>
      <c r="S4" s="3" t="s">
        <v>16</v>
      </c>
      <c r="T4" s="3" t="s">
        <v>15</v>
      </c>
      <c r="U4" s="6" t="s">
        <v>14</v>
      </c>
      <c r="V4" s="3" t="s">
        <v>13</v>
      </c>
      <c r="W4" s="3" t="s">
        <v>12</v>
      </c>
      <c r="X4" s="3" t="s">
        <v>11</v>
      </c>
      <c r="Y4" s="3" t="s">
        <v>10</v>
      </c>
      <c r="AC4" s="3" t="s">
        <v>9</v>
      </c>
      <c r="AD4" s="3" t="s">
        <v>8</v>
      </c>
      <c r="AE4" s="3" t="s">
        <v>7</v>
      </c>
      <c r="AF4" s="3" t="s">
        <v>6</v>
      </c>
      <c r="AG4" s="3" t="s">
        <v>5</v>
      </c>
    </row>
    <row r="5" spans="2:46" x14ac:dyDescent="0.4"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>
        <v>1</v>
      </c>
      <c r="K5">
        <v>1</v>
      </c>
      <c r="L5">
        <v>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>
        <v>1</v>
      </c>
      <c r="S5">
        <v>1</v>
      </c>
      <c r="T5">
        <v>1</v>
      </c>
      <c r="U5" s="7">
        <v>1</v>
      </c>
      <c r="V5">
        <v>1</v>
      </c>
      <c r="W5">
        <v>1</v>
      </c>
      <c r="X5">
        <v>1</v>
      </c>
      <c r="Y5">
        <v>1</v>
      </c>
      <c r="Z5" s="2">
        <v>0</v>
      </c>
      <c r="AA5" s="2">
        <v>0</v>
      </c>
      <c r="AB5" s="2">
        <v>0</v>
      </c>
      <c r="AC5">
        <v>0</v>
      </c>
      <c r="AD5" s="2">
        <v>0</v>
      </c>
      <c r="AE5" s="2">
        <v>0</v>
      </c>
      <c r="AF5" s="2">
        <v>0</v>
      </c>
      <c r="AG5" s="2">
        <v>0</v>
      </c>
      <c r="AI5" s="2" t="str">
        <f>LOWER(BIN2HEX(B5&amp;C5&amp;D5&amp;E5&amp;F5&amp;G5&amp;H5&amp;I5,2))</f>
        <v>00</v>
      </c>
      <c r="AJ5" s="2" t="str">
        <f>LOWER(BIN2HEX(J5&amp;K5&amp;L5&amp;M5&amp;N5&amp;O5&amp;P5&amp;Q5,2))</f>
        <v>e0</v>
      </c>
      <c r="AK5" s="2" t="str">
        <f>LOWER(BIN2HEX(R5&amp;S5&amp;T5&amp;U5&amp;V5&amp;W5&amp;X5&amp;Y5,2))</f>
        <v>ff</v>
      </c>
      <c r="AL5" s="2" t="str">
        <f>LOWER(BIN2HEX(Z5&amp;AA5&amp;AB5&amp;AC5&amp;AD5&amp;AE5&amp;AF5&amp;AG5,2))</f>
        <v>00</v>
      </c>
      <c r="AM5" s="2"/>
      <c r="AN5" s="2" t="str">
        <f>"0x"&amp;AI5&amp;AJ5&amp;AK5&amp;AL5&amp;"U"</f>
        <v>0x00e0ff00U</v>
      </c>
      <c r="AO5" t="s">
        <v>21</v>
      </c>
      <c r="AP5" t="s">
        <v>0</v>
      </c>
      <c r="AQ5" s="2">
        <v>0</v>
      </c>
      <c r="AR5" s="2" t="str">
        <f>"(U4)"&amp;AN5&amp;","</f>
        <v>(U4)0x00e0ff00U,</v>
      </c>
      <c r="AT5" s="2" t="str">
        <f>"/* GP_I2C_MA_SEQ_"&amp;AP5&amp;" ("&amp;AQ5&amp;"U) */"</f>
        <v>/* GP_I2C_MA_SEQ_STA (0U) */</v>
      </c>
    </row>
    <row r="6" spans="2:46" s="2" customFormat="1" x14ac:dyDescent="0.4"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1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9">
        <v>0</v>
      </c>
      <c r="T6" s="2">
        <v>1</v>
      </c>
      <c r="U6" s="8">
        <v>1</v>
      </c>
      <c r="V6" s="2">
        <v>1</v>
      </c>
      <c r="W6" s="2">
        <v>1</v>
      </c>
      <c r="X6" s="2">
        <v>1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I6" s="2" t="str">
        <f>LOWER(BIN2HEX(B6&amp;C6&amp;D6&amp;E6&amp;F6&amp;G6&amp;H6&amp;I6,2))</f>
        <v>00</v>
      </c>
      <c r="AJ6" s="2" t="str">
        <f>LOWER(BIN2HEX(J6&amp;K6&amp;L6&amp;M6&amp;N6&amp;O6&amp;P6&amp;Q6,2))</f>
        <v>e0</v>
      </c>
      <c r="AK6" s="2" t="str">
        <f>LOWER(BIN2HEX(R6&amp;S6&amp;T6&amp;U6&amp;V6&amp;W6&amp;X6&amp;Y6,2))</f>
        <v>bf</v>
      </c>
      <c r="AL6" s="2" t="str">
        <f>LOWER(BIN2HEX(Z6&amp;AA6&amp;AB6&amp;AC6&amp;AD6&amp;AE6&amp;AF6&amp;AG6,2))</f>
        <v>00</v>
      </c>
      <c r="AN6" s="2" t="str">
        <f>"0x"&amp;AI6&amp;AJ6&amp;AK6&amp;AL6&amp;"U"</f>
        <v>0x00e0bf00U</v>
      </c>
      <c r="AO6" s="2" t="s">
        <v>2</v>
      </c>
      <c r="AP6" s="2" t="s">
        <v>29</v>
      </c>
      <c r="AQ6" s="2">
        <v>1</v>
      </c>
      <c r="AR6" s="2" t="str">
        <f>"(U4)"&amp;AN6&amp;","</f>
        <v>(U4)0x00e0bf00U,</v>
      </c>
      <c r="AT6" s="2" t="str">
        <f t="shared" ref="AT6:AT10" si="1">"/* GP_I2C_MA_SEQ_"&amp;AP6&amp;" ("&amp;AQ6&amp;"U) */"</f>
        <v>/* GP_I2C_MA_SEQ_WRI (1U) */</v>
      </c>
    </row>
    <row r="7" spans="2:46" s="2" customFormat="1" x14ac:dyDescent="0.4"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1</v>
      </c>
      <c r="T7" s="2">
        <v>1</v>
      </c>
      <c r="U7" s="8">
        <v>1</v>
      </c>
      <c r="V7" s="2">
        <v>1</v>
      </c>
      <c r="W7" s="2">
        <v>1</v>
      </c>
      <c r="X7" s="2">
        <v>1</v>
      </c>
      <c r="Y7" s="2">
        <v>1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I7" s="2" t="str">
        <f t="shared" ref="AI7:AI10" si="2">LOWER(BIN2HEX(B7&amp;C7&amp;D7&amp;E7&amp;F7&amp;G7&amp;H7&amp;I7,2))</f>
        <v>00</v>
      </c>
      <c r="AJ7" s="2" t="str">
        <f t="shared" ref="AJ7:AJ10" si="3">LOWER(BIN2HEX(J7&amp;K7&amp;L7&amp;M7&amp;N7&amp;O7&amp;P7&amp;Q7,2))</f>
        <v>e0</v>
      </c>
      <c r="AK7" s="2" t="str">
        <f t="shared" ref="AK7:AK10" si="4">LOWER(BIN2HEX(R7&amp;S7&amp;T7&amp;U7&amp;V7&amp;W7&amp;X7&amp;Y7,2))</f>
        <v>ff</v>
      </c>
      <c r="AL7" s="2" t="str">
        <f t="shared" ref="AL7:AL10" si="5">LOWER(BIN2HEX(Z7&amp;AA7&amp;AB7&amp;AC7&amp;AD7&amp;AE7&amp;AF7&amp;AG7,2))</f>
        <v>00</v>
      </c>
      <c r="AN7" s="2" t="str">
        <f t="shared" ref="AN7:AN10" si="6">"0x"&amp;AI7&amp;AJ7&amp;AK7&amp;AL7&amp;"U"</f>
        <v>0x00e0ff00U</v>
      </c>
      <c r="AO7" s="2" t="s">
        <v>2</v>
      </c>
      <c r="AP7" s="2" t="s">
        <v>30</v>
      </c>
      <c r="AQ7" s="2">
        <v>2</v>
      </c>
      <c r="AR7" s="2" t="str">
        <f>"(U4)"&amp;AN7&amp;","</f>
        <v>(U4)0x00e0ff00U,</v>
      </c>
      <c r="AT7" s="2" t="str">
        <f t="shared" si="1"/>
        <v>/* GP_I2C_MA_SEQ_WEN (2U) */</v>
      </c>
    </row>
    <row r="8" spans="2:46" s="2" customFormat="1" x14ac:dyDescent="0.4"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10">
        <v>1</v>
      </c>
      <c r="V8" s="2">
        <v>1</v>
      </c>
      <c r="W8" s="2">
        <v>1</v>
      </c>
      <c r="X8" s="2">
        <v>1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I8" s="2" t="str">
        <f t="shared" si="2"/>
        <v>00</v>
      </c>
      <c r="AJ8" s="2" t="str">
        <f t="shared" si="3"/>
        <v>e0</v>
      </c>
      <c r="AK8" s="2" t="str">
        <f t="shared" si="4"/>
        <v>3f</v>
      </c>
      <c r="AL8" s="2" t="str">
        <f t="shared" si="5"/>
        <v>00</v>
      </c>
      <c r="AN8" s="2" t="str">
        <f t="shared" si="6"/>
        <v>0x00e03f00U</v>
      </c>
      <c r="AO8" s="2" t="s">
        <v>3</v>
      </c>
      <c r="AP8" s="2" t="s">
        <v>31</v>
      </c>
      <c r="AQ8" s="2">
        <v>3</v>
      </c>
      <c r="AR8" s="2" t="str">
        <f>"(U4)"&amp;AN8&amp;","</f>
        <v>(U4)0x00e03f00U,</v>
      </c>
      <c r="AT8" s="2" t="str">
        <f t="shared" si="1"/>
        <v>/* GP_I2C_MA_SEQ_REA (3U) */</v>
      </c>
    </row>
    <row r="9" spans="2:46" s="2" customFormat="1" x14ac:dyDescent="0.4"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1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10">
        <v>1</v>
      </c>
      <c r="V9" s="2">
        <v>1</v>
      </c>
      <c r="W9" s="2">
        <v>1</v>
      </c>
      <c r="X9" s="2">
        <v>1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I9" s="2" t="str">
        <f t="shared" ref="AI9" si="7">LOWER(BIN2HEX(B9&amp;C9&amp;D9&amp;E9&amp;F9&amp;G9&amp;H9&amp;I9,2))</f>
        <v>00</v>
      </c>
      <c r="AJ9" s="2" t="str">
        <f t="shared" ref="AJ9" si="8">LOWER(BIN2HEX(J9&amp;K9&amp;L9&amp;M9&amp;N9&amp;O9&amp;P9&amp;Q9,2))</f>
        <v>e0</v>
      </c>
      <c r="AK9" s="2" t="str">
        <f t="shared" ref="AK9" si="9">LOWER(BIN2HEX(R9&amp;S9&amp;T9&amp;U9&amp;V9&amp;W9&amp;X9&amp;Y9,2))</f>
        <v>3f</v>
      </c>
      <c r="AL9" s="2" t="str">
        <f t="shared" ref="AL9" si="10">LOWER(BIN2HEX(Z9&amp;AA9&amp;AB9&amp;AC9&amp;AD9&amp;AE9&amp;AF9&amp;AG9,2))</f>
        <v>00</v>
      </c>
      <c r="AN9" s="2" t="str">
        <f t="shared" ref="AN9" si="11">"0x"&amp;AI9&amp;AJ9&amp;AK9&amp;AL9&amp;"U"</f>
        <v>0x00e03f00U</v>
      </c>
      <c r="AO9" s="2" t="s">
        <v>3</v>
      </c>
      <c r="AP9" s="2" t="s">
        <v>59</v>
      </c>
      <c r="AQ9" s="2">
        <v>4</v>
      </c>
      <c r="AR9" s="2" t="str">
        <f>"(U4)"&amp;AN9&amp;","</f>
        <v>(U4)0x00e03f00U,</v>
      </c>
      <c r="AT9" s="2" t="str">
        <f t="shared" si="1"/>
        <v>/* GP_I2C_MA_SEQ_RLA (4U) */</v>
      </c>
    </row>
    <row r="10" spans="2:46" s="2" customFormat="1" x14ac:dyDescent="0.4"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1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8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I10" s="2" t="str">
        <f t="shared" si="2"/>
        <v>00</v>
      </c>
      <c r="AJ10" s="2" t="str">
        <f t="shared" si="3"/>
        <v>e0</v>
      </c>
      <c r="AK10" s="2" t="str">
        <f t="shared" si="4"/>
        <v>08</v>
      </c>
      <c r="AL10" s="2" t="str">
        <f t="shared" si="5"/>
        <v>00</v>
      </c>
      <c r="AN10" s="2" t="str">
        <f t="shared" si="6"/>
        <v>0x00e00800U</v>
      </c>
      <c r="AO10" s="2" t="s">
        <v>22</v>
      </c>
      <c r="AP10" s="2" t="s">
        <v>1</v>
      </c>
      <c r="AQ10" s="2">
        <v>5</v>
      </c>
      <c r="AR10" s="2" t="str">
        <f>"(U4)"&amp;AN10&amp;","</f>
        <v>(U4)0x00e00800U,</v>
      </c>
      <c r="AT10" s="2" t="str">
        <f t="shared" si="1"/>
        <v>/* GP_I2C_MA_SEQ_FIN (5U) */</v>
      </c>
    </row>
    <row r="11" spans="2:46" s="2" customFormat="1" x14ac:dyDescent="0.4"/>
    <row r="12" spans="2:46" s="2" customFormat="1" x14ac:dyDescent="0.4">
      <c r="B12" s="2" t="s">
        <v>26</v>
      </c>
    </row>
    <row r="13" spans="2:46" s="3" customFormat="1" ht="41.25" x14ac:dyDescent="0.4">
      <c r="J13" s="3" t="s">
        <v>20</v>
      </c>
      <c r="K13" s="3" t="s">
        <v>19</v>
      </c>
      <c r="L13" s="3" t="s">
        <v>18</v>
      </c>
      <c r="R13" s="3" t="s">
        <v>17</v>
      </c>
      <c r="S13" s="3" t="s">
        <v>16</v>
      </c>
      <c r="T13" s="3" t="s">
        <v>15</v>
      </c>
      <c r="U13" s="3" t="s">
        <v>14</v>
      </c>
      <c r="V13" s="3" t="s">
        <v>13</v>
      </c>
      <c r="W13" s="3" t="s">
        <v>12</v>
      </c>
      <c r="X13" s="3" t="s">
        <v>11</v>
      </c>
      <c r="Y13" s="3" t="s">
        <v>10</v>
      </c>
      <c r="AC13" s="3" t="s">
        <v>9</v>
      </c>
      <c r="AD13" s="3" t="s">
        <v>8</v>
      </c>
      <c r="AE13" s="3" t="s">
        <v>7</v>
      </c>
      <c r="AF13" s="3" t="s">
        <v>6</v>
      </c>
      <c r="AG13" s="3" t="s">
        <v>5</v>
      </c>
    </row>
    <row r="14" spans="2:46" x14ac:dyDescent="0.4"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>
        <v>1</v>
      </c>
      <c r="K14">
        <v>1</v>
      </c>
      <c r="L14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I14" s="2" t="str">
        <f>LOWER(BIN2HEX(B14&amp;C14&amp;D14&amp;E14&amp;F14&amp;G14&amp;H14&amp;I14,2))</f>
        <v>00</v>
      </c>
      <c r="AJ14" s="2" t="str">
        <f>LOWER(BIN2HEX(J14&amp;K14&amp;L14&amp;M14&amp;N14&amp;O14&amp;P14&amp;Q14,2))</f>
        <v>e0</v>
      </c>
      <c r="AK14" s="2" t="str">
        <f>LOWER(BIN2HEX(R14&amp;S14&amp;T14&amp;U14&amp;V14&amp;W14&amp;X14&amp;Y14,2))</f>
        <v>84</v>
      </c>
      <c r="AL14" s="2" t="str">
        <f>LOWER(BIN2HEX(Z14&amp;AA14&amp;AB14&amp;AC14&amp;AD14&amp;AE14&amp;AF14&amp;AG14,2))</f>
        <v>00</v>
      </c>
      <c r="AM14" s="2"/>
      <c r="AN14" s="2" t="str">
        <f>"0x"&amp;AI14&amp;AJ14&amp;AK14&amp;AL14&amp;"U"</f>
        <v>0x00e08400U</v>
      </c>
      <c r="AO14" s="2" t="s">
        <v>21</v>
      </c>
      <c r="AP14" s="2" t="s">
        <v>0</v>
      </c>
      <c r="AQ14" s="2">
        <v>0</v>
      </c>
      <c r="AR14" s="2" t="str">
        <f>"(U4)"&amp;AN14&amp;","</f>
        <v>(U4)0x00e08400U,</v>
      </c>
      <c r="AT14" s="2" t="str">
        <f t="shared" ref="AT14:AT19" si="12">"/* GP_I2C_MA_SEQ_"&amp;AP14&amp;" ("&amp;AQ14&amp;"U) */"</f>
        <v>/* GP_I2C_MA_SEQ_STA (0U) */</v>
      </c>
    </row>
    <row r="15" spans="2:46" s="2" customFormat="1" x14ac:dyDescent="0.4"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1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I15" s="2" t="str">
        <f t="shared" ref="AI15:AI19" si="13">LOWER(BIN2HEX(B15&amp;C15&amp;D15&amp;E15&amp;F15&amp;G15&amp;H15&amp;I15,2))</f>
        <v>00</v>
      </c>
      <c r="AJ15" s="2" t="str">
        <f t="shared" ref="AJ15:AJ19" si="14">LOWER(BIN2HEX(J15&amp;K15&amp;L15&amp;M15&amp;N15&amp;O15&amp;P15&amp;Q15,2))</f>
        <v>e0</v>
      </c>
      <c r="AK15" s="2" t="str">
        <f t="shared" ref="AK15:AK19" si="15">LOWER(BIN2HEX(R15&amp;S15&amp;T15&amp;U15&amp;V15&amp;W15&amp;X15&amp;Y15,2))</f>
        <v>80</v>
      </c>
      <c r="AL15" s="2" t="str">
        <f t="shared" ref="AL15:AL19" si="16">LOWER(BIN2HEX(Z15&amp;AA15&amp;AB15&amp;AC15&amp;AD15&amp;AE15&amp;AF15&amp;AG15,2))</f>
        <v>00</v>
      </c>
      <c r="AN15" s="2" t="str">
        <f>"0x"&amp;AI15&amp;AJ15&amp;AK15&amp;AL15&amp;"U"</f>
        <v>0x00e08000U</v>
      </c>
      <c r="AO15" s="2" t="s">
        <v>2</v>
      </c>
      <c r="AP15" s="2" t="s">
        <v>29</v>
      </c>
      <c r="AQ15" s="2">
        <v>1</v>
      </c>
      <c r="AR15" s="2" t="str">
        <f>"(U4)"&amp;AN15&amp;","</f>
        <v>(U4)0x00e08000U,</v>
      </c>
      <c r="AT15" s="2" t="str">
        <f t="shared" si="12"/>
        <v>/* GP_I2C_MA_SEQ_WRI (1U) */</v>
      </c>
    </row>
    <row r="16" spans="2:46" s="2" customFormat="1" x14ac:dyDescent="0.4"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1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I16" s="2" t="str">
        <f t="shared" si="13"/>
        <v>00</v>
      </c>
      <c r="AJ16" s="2" t="str">
        <f t="shared" si="14"/>
        <v>e0</v>
      </c>
      <c r="AK16" s="2" t="str">
        <f t="shared" si="15"/>
        <v>c0</v>
      </c>
      <c r="AL16" s="2" t="str">
        <f t="shared" si="16"/>
        <v>00</v>
      </c>
      <c r="AN16" s="2" t="str">
        <f t="shared" ref="AN16:AN19" si="17">"0x"&amp;AI16&amp;AJ16&amp;AK16&amp;AL16&amp;"U"</f>
        <v>0x00e0c000U</v>
      </c>
      <c r="AO16" s="2" t="s">
        <v>2</v>
      </c>
      <c r="AP16" s="2" t="s">
        <v>30</v>
      </c>
      <c r="AQ16" s="2">
        <v>2</v>
      </c>
      <c r="AR16" s="2" t="str">
        <f>"(U4)"&amp;AN16&amp;","</f>
        <v>(U4)0x00e0c000U,</v>
      </c>
      <c r="AT16" s="2" t="str">
        <f t="shared" si="12"/>
        <v>/* GP_I2C_MA_SEQ_WEN (2U) */</v>
      </c>
    </row>
    <row r="17" spans="2:46" s="2" customFormat="1" x14ac:dyDescent="0.4"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I17" s="2" t="str">
        <f t="shared" si="13"/>
        <v>00</v>
      </c>
      <c r="AJ17" s="2" t="str">
        <f t="shared" si="14"/>
        <v>c0</v>
      </c>
      <c r="AK17" s="2" t="str">
        <f t="shared" si="15"/>
        <v>20</v>
      </c>
      <c r="AL17" s="2" t="str">
        <f t="shared" si="16"/>
        <v>00</v>
      </c>
      <c r="AN17" s="2" t="str">
        <f t="shared" si="17"/>
        <v>0x00c02000U</v>
      </c>
      <c r="AO17" s="2" t="s">
        <v>3</v>
      </c>
      <c r="AP17" s="2" t="s">
        <v>31</v>
      </c>
      <c r="AQ17" s="2">
        <v>3</v>
      </c>
      <c r="AR17" s="2" t="str">
        <f>"(U4)"&amp;AN17&amp;","</f>
        <v>(U4)0x00c02000U,</v>
      </c>
      <c r="AT17" s="2" t="str">
        <f t="shared" si="12"/>
        <v>/* GP_I2C_MA_SEQ_REA (3U) */</v>
      </c>
    </row>
    <row r="18" spans="2:46" s="2" customFormat="1" x14ac:dyDescent="0.4"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I18" s="2" t="str">
        <f t="shared" ref="AI18" si="18">LOWER(BIN2HEX(B18&amp;C18&amp;D18&amp;E18&amp;F18&amp;G18&amp;H18&amp;I18,2))</f>
        <v>00</v>
      </c>
      <c r="AJ18" s="2" t="str">
        <f t="shared" ref="AJ18" si="19">LOWER(BIN2HEX(J18&amp;K18&amp;L18&amp;M18&amp;N18&amp;O18&amp;P18&amp;Q18,2))</f>
        <v>c0</v>
      </c>
      <c r="AK18" s="2" t="str">
        <f t="shared" ref="AK18" si="20">LOWER(BIN2HEX(R18&amp;S18&amp;T18&amp;U18&amp;V18&amp;W18&amp;X18&amp;Y18,2))</f>
        <v>20</v>
      </c>
      <c r="AL18" s="2" t="str">
        <f t="shared" ref="AL18" si="21">LOWER(BIN2HEX(Z18&amp;AA18&amp;AB18&amp;AC18&amp;AD18&amp;AE18&amp;AF18&amp;AG18,2))</f>
        <v>00</v>
      </c>
      <c r="AN18" s="2" t="str">
        <f t="shared" ref="AN18" si="22">"0x"&amp;AI18&amp;AJ18&amp;AK18&amp;AL18&amp;"U"</f>
        <v>0x00c02000U</v>
      </c>
      <c r="AO18" s="2" t="s">
        <v>3</v>
      </c>
      <c r="AP18" s="2" t="s">
        <v>59</v>
      </c>
      <c r="AQ18" s="2">
        <v>4</v>
      </c>
      <c r="AR18" s="2" t="str">
        <f>"(U4)"&amp;AN18&amp;","</f>
        <v>(U4)0x00c02000U,</v>
      </c>
      <c r="AT18" s="2" t="str">
        <f t="shared" si="12"/>
        <v>/* GP_I2C_MA_SEQ_RLA (4U) */</v>
      </c>
    </row>
    <row r="19" spans="2:46" s="2" customFormat="1" x14ac:dyDescent="0.4"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I19" s="2" t="str">
        <f t="shared" si="13"/>
        <v>00</v>
      </c>
      <c r="AJ19" s="2" t="str">
        <f t="shared" si="14"/>
        <v>00</v>
      </c>
      <c r="AK19" s="2" t="str">
        <f t="shared" si="15"/>
        <v>08</v>
      </c>
      <c r="AL19" s="2" t="str">
        <f t="shared" si="16"/>
        <v>00</v>
      </c>
      <c r="AN19" s="2" t="str">
        <f t="shared" si="17"/>
        <v>0x00000800U</v>
      </c>
      <c r="AO19" s="2" t="s">
        <v>22</v>
      </c>
      <c r="AP19" s="2" t="s">
        <v>1</v>
      </c>
      <c r="AQ19" s="2">
        <v>5</v>
      </c>
      <c r="AR19" s="2" t="str">
        <f>"(U4)"&amp;AN19&amp;","</f>
        <v>(U4)0x00000800U,</v>
      </c>
      <c r="AT19" s="2" t="str">
        <f t="shared" si="12"/>
        <v>/* GP_I2C_MA_SEQ_FIN (5U) */</v>
      </c>
    </row>
    <row r="21" spans="2:46" s="2" customFormat="1" x14ac:dyDescent="0.4"/>
    <row r="22" spans="2:46" x14ac:dyDescent="0.4">
      <c r="AN22">
        <v>65535</v>
      </c>
      <c r="AO22">
        <v>0.1</v>
      </c>
      <c r="AP22" t="s">
        <v>24</v>
      </c>
    </row>
    <row r="23" spans="2:46" x14ac:dyDescent="0.4">
      <c r="AN23">
        <f>AN22*AP32</f>
        <v>838848</v>
      </c>
      <c r="AO23">
        <f>AO22/2</f>
        <v>0.05</v>
      </c>
    </row>
    <row r="24" spans="2:46" x14ac:dyDescent="0.4">
      <c r="AN24">
        <f>AN23/1000</f>
        <v>838.84799999999996</v>
      </c>
      <c r="AO24">
        <v>80</v>
      </c>
    </row>
    <row r="25" spans="2:46" x14ac:dyDescent="0.4">
      <c r="AN25">
        <v>0</v>
      </c>
      <c r="AO25">
        <f>AO24/8</f>
        <v>10</v>
      </c>
      <c r="AP25">
        <f>1/AO25</f>
        <v>0.1</v>
      </c>
    </row>
    <row r="26" spans="2:46" x14ac:dyDescent="0.4">
      <c r="AN26">
        <v>1</v>
      </c>
      <c r="AO26">
        <f>AO25/2</f>
        <v>5</v>
      </c>
      <c r="AP26" s="2">
        <f>1/AO26</f>
        <v>0.2</v>
      </c>
    </row>
    <row r="27" spans="2:46" x14ac:dyDescent="0.4">
      <c r="AN27">
        <f>AN26+1</f>
        <v>2</v>
      </c>
      <c r="AO27">
        <f>AO26/2</f>
        <v>2.5</v>
      </c>
      <c r="AP27" s="2">
        <f>1/AO27</f>
        <v>0.4</v>
      </c>
    </row>
    <row r="28" spans="2:46" x14ac:dyDescent="0.4">
      <c r="AN28" s="2">
        <f t="shared" ref="AN28:AN35" si="23">AN27+1</f>
        <v>3</v>
      </c>
      <c r="AO28" s="2">
        <f t="shared" ref="AO28:AO35" si="24">AO27/2</f>
        <v>1.25</v>
      </c>
      <c r="AP28" s="2">
        <f t="shared" ref="AP28:AP35" si="25">1/AO28</f>
        <v>0.8</v>
      </c>
    </row>
    <row r="29" spans="2:46" x14ac:dyDescent="0.4">
      <c r="AN29" s="2">
        <f t="shared" si="23"/>
        <v>4</v>
      </c>
      <c r="AO29" s="2">
        <f t="shared" si="24"/>
        <v>0.625</v>
      </c>
      <c r="AP29" s="2">
        <f t="shared" si="25"/>
        <v>1.6</v>
      </c>
    </row>
    <row r="30" spans="2:46" x14ac:dyDescent="0.4">
      <c r="AN30" s="2">
        <f t="shared" si="23"/>
        <v>5</v>
      </c>
      <c r="AO30" s="2">
        <f t="shared" si="24"/>
        <v>0.3125</v>
      </c>
      <c r="AP30" s="2">
        <f t="shared" si="25"/>
        <v>3.2</v>
      </c>
    </row>
    <row r="31" spans="2:46" x14ac:dyDescent="0.4">
      <c r="AN31" s="2">
        <f t="shared" si="23"/>
        <v>6</v>
      </c>
      <c r="AO31" s="2">
        <f t="shared" si="24"/>
        <v>0.15625</v>
      </c>
      <c r="AP31" s="2">
        <f t="shared" si="25"/>
        <v>6.4</v>
      </c>
    </row>
    <row r="32" spans="2:46" x14ac:dyDescent="0.4">
      <c r="AN32" s="2">
        <f t="shared" si="23"/>
        <v>7</v>
      </c>
      <c r="AO32" s="2">
        <f t="shared" si="24"/>
        <v>7.8125E-2</v>
      </c>
      <c r="AP32" s="2">
        <f>1/AO32</f>
        <v>12.8</v>
      </c>
    </row>
    <row r="33" spans="40:42" x14ac:dyDescent="0.4">
      <c r="AN33" s="2">
        <f t="shared" si="23"/>
        <v>8</v>
      </c>
      <c r="AO33" s="2">
        <f t="shared" si="24"/>
        <v>3.90625E-2</v>
      </c>
      <c r="AP33" s="2">
        <f t="shared" si="25"/>
        <v>25.6</v>
      </c>
    </row>
    <row r="34" spans="40:42" x14ac:dyDescent="0.4">
      <c r="AN34" s="2">
        <f t="shared" si="23"/>
        <v>9</v>
      </c>
      <c r="AO34" s="2">
        <f t="shared" si="24"/>
        <v>1.953125E-2</v>
      </c>
      <c r="AP34" s="2">
        <f t="shared" si="25"/>
        <v>51.2</v>
      </c>
    </row>
    <row r="35" spans="40:42" x14ac:dyDescent="0.4">
      <c r="AN35" s="2">
        <f t="shared" si="23"/>
        <v>10</v>
      </c>
      <c r="AO35" s="2">
        <f t="shared" si="24"/>
        <v>9.765625E-3</v>
      </c>
      <c r="AP35" s="2">
        <f t="shared" si="25"/>
        <v>102.4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DD44-F842-43CC-B745-1F07318EB3A0}">
  <dimension ref="B1:AS33"/>
  <sheetViews>
    <sheetView zoomScale="85" zoomScaleNormal="85" workbookViewId="0">
      <selection activeCell="V17" sqref="V17"/>
    </sheetView>
  </sheetViews>
  <sheetFormatPr defaultColWidth="8.5" defaultRowHeight="18.75" x14ac:dyDescent="0.4"/>
  <cols>
    <col min="1" max="1" width="1.75" style="2" customWidth="1"/>
    <col min="2" max="33" width="3.625" style="2" customWidth="1"/>
    <col min="34" max="34" width="2.625" style="2" customWidth="1"/>
    <col min="35" max="38" width="3.125" style="2" bestFit="1" customWidth="1"/>
    <col min="39" max="39" width="1.5" style="2" customWidth="1"/>
    <col min="40" max="40" width="13.875" style="2" bestFit="1" customWidth="1"/>
    <col min="41" max="41" width="12.375" style="2" bestFit="1" customWidth="1"/>
    <col min="42" max="16384" width="8.5" style="2"/>
  </cols>
  <sheetData>
    <row r="1" spans="2:45" x14ac:dyDescent="0.4">
      <c r="B1" s="2">
        <v>31</v>
      </c>
      <c r="C1" s="2">
        <f>B1-1</f>
        <v>30</v>
      </c>
      <c r="D1" s="2">
        <f t="shared" ref="D1:AG1" si="0">C1-1</f>
        <v>29</v>
      </c>
      <c r="E1" s="2">
        <f t="shared" si="0"/>
        <v>28</v>
      </c>
      <c r="F1" s="2">
        <f t="shared" si="0"/>
        <v>27</v>
      </c>
      <c r="G1" s="2">
        <f t="shared" si="0"/>
        <v>26</v>
      </c>
      <c r="H1" s="2">
        <f t="shared" si="0"/>
        <v>25</v>
      </c>
      <c r="I1" s="2">
        <f t="shared" si="0"/>
        <v>24</v>
      </c>
      <c r="J1" s="2">
        <f t="shared" si="0"/>
        <v>23</v>
      </c>
      <c r="K1" s="2">
        <f t="shared" si="0"/>
        <v>22</v>
      </c>
      <c r="L1" s="2">
        <f t="shared" si="0"/>
        <v>21</v>
      </c>
      <c r="M1" s="2">
        <f t="shared" si="0"/>
        <v>20</v>
      </c>
      <c r="N1" s="2">
        <f t="shared" si="0"/>
        <v>19</v>
      </c>
      <c r="O1" s="2">
        <f t="shared" si="0"/>
        <v>18</v>
      </c>
      <c r="P1" s="2">
        <f t="shared" si="0"/>
        <v>17</v>
      </c>
      <c r="Q1" s="2">
        <f t="shared" si="0"/>
        <v>16</v>
      </c>
      <c r="R1" s="2">
        <f t="shared" si="0"/>
        <v>15</v>
      </c>
      <c r="S1" s="2">
        <f t="shared" si="0"/>
        <v>14</v>
      </c>
      <c r="T1" s="2">
        <f t="shared" si="0"/>
        <v>13</v>
      </c>
      <c r="U1" s="2">
        <f t="shared" si="0"/>
        <v>12</v>
      </c>
      <c r="V1" s="2">
        <f t="shared" si="0"/>
        <v>11</v>
      </c>
      <c r="W1" s="2">
        <f t="shared" si="0"/>
        <v>10</v>
      </c>
      <c r="X1" s="2">
        <f t="shared" si="0"/>
        <v>9</v>
      </c>
      <c r="Y1" s="2">
        <f t="shared" si="0"/>
        <v>8</v>
      </c>
      <c r="Z1" s="2">
        <f t="shared" si="0"/>
        <v>7</v>
      </c>
      <c r="AA1" s="2">
        <f t="shared" si="0"/>
        <v>6</v>
      </c>
      <c r="AB1" s="2">
        <f t="shared" si="0"/>
        <v>5</v>
      </c>
      <c r="AC1" s="2">
        <f t="shared" si="0"/>
        <v>4</v>
      </c>
      <c r="AD1" s="2">
        <f t="shared" si="0"/>
        <v>3</v>
      </c>
      <c r="AE1" s="2">
        <f t="shared" si="0"/>
        <v>2</v>
      </c>
      <c r="AF1" s="2">
        <f t="shared" si="0"/>
        <v>1</v>
      </c>
      <c r="AG1" s="2">
        <f t="shared" si="0"/>
        <v>0</v>
      </c>
    </row>
    <row r="2" spans="2:45" x14ac:dyDescent="0.4"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I2" s="2" t="str">
        <f>LOWER(BIN2HEX(B2&amp;C2&amp;D2&amp;E2&amp;F2&amp;G2&amp;H2&amp;I2,2))</f>
        <v>00</v>
      </c>
      <c r="AJ2" s="2" t="str">
        <f>LOWER(BIN2HEX(J2&amp;K2&amp;L2&amp;M2&amp;N2&amp;O2&amp;P2&amp;Q2,2))</f>
        <v>00</v>
      </c>
      <c r="AK2" s="2" t="str">
        <f>LOWER(BIN2HEX(R2&amp;S2&amp;T2&amp;U2&amp;V2&amp;W2&amp;X2&amp;Y2,2))</f>
        <v>00</v>
      </c>
      <c r="AL2" s="2" t="str">
        <f>LOWER(BIN2HEX(Z2&amp;AA2&amp;AB2&amp;AC2&amp;AD2&amp;AE2&amp;AF2&amp;AG2,2))</f>
        <v>00</v>
      </c>
      <c r="AN2" s="2" t="str">
        <f>"0x"&amp;AI2&amp;AJ2&amp;AK2&amp;AL2&amp;"U"</f>
        <v>0x00000000U</v>
      </c>
    </row>
    <row r="3" spans="2:45" x14ac:dyDescent="0.4">
      <c r="B3" s="2" t="s">
        <v>27</v>
      </c>
    </row>
    <row r="4" spans="2:45" s="3" customFormat="1" ht="41.25" x14ac:dyDescent="0.4">
      <c r="J4" s="3" t="s">
        <v>20</v>
      </c>
      <c r="K4" s="3" t="s">
        <v>19</v>
      </c>
      <c r="L4" s="3" t="s">
        <v>18</v>
      </c>
      <c r="R4" s="3" t="s">
        <v>17</v>
      </c>
      <c r="S4" s="3" t="s">
        <v>16</v>
      </c>
      <c r="T4" s="3" t="s">
        <v>15</v>
      </c>
      <c r="U4" s="3" t="s">
        <v>14</v>
      </c>
      <c r="V4" s="3" t="s">
        <v>13</v>
      </c>
      <c r="W4" s="3" t="s">
        <v>12</v>
      </c>
      <c r="X4" s="3" t="s">
        <v>11</v>
      </c>
      <c r="Y4" s="3" t="s">
        <v>10</v>
      </c>
      <c r="AC4" s="3" t="s">
        <v>9</v>
      </c>
      <c r="AD4" s="3" t="s">
        <v>8</v>
      </c>
      <c r="AE4" s="3" t="s">
        <v>7</v>
      </c>
      <c r="AF4" s="3" t="s">
        <v>6</v>
      </c>
      <c r="AG4" s="3" t="s">
        <v>5</v>
      </c>
    </row>
    <row r="5" spans="2:45" x14ac:dyDescent="0.4"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1</v>
      </c>
      <c r="L5" s="2">
        <v>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1</v>
      </c>
      <c r="T5" s="2">
        <v>1</v>
      </c>
      <c r="U5" s="2">
        <v>0</v>
      </c>
      <c r="V5" s="2">
        <v>1</v>
      </c>
      <c r="W5" s="2">
        <v>1</v>
      </c>
      <c r="X5" s="2">
        <v>1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I5" s="2" t="str">
        <f>LOWER(BIN2HEX(B5&amp;C5&amp;D5&amp;E5&amp;F5&amp;G5&amp;H5&amp;I5,2))</f>
        <v>00</v>
      </c>
      <c r="AJ5" s="2" t="str">
        <f>LOWER(BIN2HEX(J5&amp;K5&amp;L5&amp;M5&amp;N5&amp;O5&amp;P5&amp;Q5,2))</f>
        <v>e0</v>
      </c>
      <c r="AK5" s="2" t="str">
        <f>LOWER(BIN2HEX(R5&amp;S5&amp;T5&amp;U5&amp;V5&amp;W5&amp;X5&amp;Y5,2))</f>
        <v>ef</v>
      </c>
      <c r="AL5" s="2" t="str">
        <f>LOWER(BIN2HEX(Z5&amp;AA5&amp;AB5&amp;AC5&amp;AD5&amp;AE5&amp;AF5&amp;AG5,2))</f>
        <v>00</v>
      </c>
      <c r="AN5" s="2" t="str">
        <f>"0x"&amp;AI5&amp;AJ5&amp;AK5&amp;AL5&amp;"U"</f>
        <v>0x00e0ef00U</v>
      </c>
      <c r="AO5" s="2" t="s">
        <v>21</v>
      </c>
      <c r="AP5" s="2" t="s">
        <v>0</v>
      </c>
      <c r="AQ5" s="2" t="str">
        <f>"(U4)"&amp;AN5&amp;","</f>
        <v>(U4)0x00e0ef00U,</v>
      </c>
      <c r="AS5" s="2" t="str">
        <f>"/* "&amp;AP5&amp;" */"</f>
        <v>/* STA */</v>
      </c>
    </row>
    <row r="6" spans="2:45" x14ac:dyDescent="0.4"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1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I6" s="2" t="str">
        <f t="shared" ref="AI6:AI9" si="1">LOWER(BIN2HEX(B6&amp;C6&amp;D6&amp;E6&amp;F6&amp;G6&amp;H6&amp;I6,2))</f>
        <v>00</v>
      </c>
      <c r="AJ6" s="2" t="str">
        <f t="shared" ref="AJ6:AJ9" si="2">LOWER(BIN2HEX(J6&amp;K6&amp;L6&amp;M6&amp;N6&amp;O6&amp;P6&amp;Q6,2))</f>
        <v>e0</v>
      </c>
      <c r="AK6" s="2" t="str">
        <f t="shared" ref="AK6:AK9" si="3">LOWER(BIN2HEX(R6&amp;S6&amp;T6&amp;U6&amp;V6&amp;W6&amp;X6&amp;Y6,2))</f>
        <v>ff</v>
      </c>
      <c r="AL6" s="2" t="str">
        <f t="shared" ref="AL6:AL9" si="4">LOWER(BIN2HEX(Z6&amp;AA6&amp;AB6&amp;AC6&amp;AD6&amp;AE6&amp;AF6&amp;AG6,2))</f>
        <v>00</v>
      </c>
      <c r="AN6" s="2" t="str">
        <f>"0x"&amp;AI6&amp;AJ6&amp;AK6&amp;AL6&amp;"U"</f>
        <v>0x00e0ff00U</v>
      </c>
      <c r="AO6" s="2" t="s">
        <v>2</v>
      </c>
      <c r="AP6" s="2" t="s">
        <v>29</v>
      </c>
      <c r="AQ6" s="2" t="str">
        <f>"(U4)"&amp;AN6&amp;","</f>
        <v>(U4)0x00e0ff00U,</v>
      </c>
      <c r="AS6" s="2" t="str">
        <f>"/* "&amp;AP6&amp;" */"</f>
        <v>/* WRI */</v>
      </c>
    </row>
    <row r="7" spans="2:45" x14ac:dyDescent="0.4"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1</v>
      </c>
      <c r="T7" s="2">
        <v>1</v>
      </c>
      <c r="U7" s="2">
        <v>0</v>
      </c>
      <c r="V7" s="2">
        <v>1</v>
      </c>
      <c r="W7" s="2">
        <v>1</v>
      </c>
      <c r="X7" s="2">
        <v>1</v>
      </c>
      <c r="Y7" s="2">
        <v>1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I7" s="2" t="str">
        <f t="shared" si="1"/>
        <v>00</v>
      </c>
      <c r="AJ7" s="2" t="str">
        <f t="shared" si="2"/>
        <v>e0</v>
      </c>
      <c r="AK7" s="2" t="str">
        <f t="shared" si="3"/>
        <v>ef</v>
      </c>
      <c r="AL7" s="2" t="str">
        <f t="shared" si="4"/>
        <v>00</v>
      </c>
      <c r="AN7" s="2" t="str">
        <f t="shared" ref="AN7:AN9" si="5">"0x"&amp;AI7&amp;AJ7&amp;AK7&amp;AL7&amp;"U"</f>
        <v>0x00e0ef00U</v>
      </c>
      <c r="AO7" s="2" t="s">
        <v>2</v>
      </c>
      <c r="AP7" s="2" t="s">
        <v>30</v>
      </c>
      <c r="AQ7" s="2" t="str">
        <f>"(U4)"&amp;AN7&amp;","</f>
        <v>(U4)0x00e0ef00U,</v>
      </c>
      <c r="AS7" s="2" t="str">
        <f t="shared" ref="AS7:AS9" si="6">"/* "&amp;AP7&amp;" */"</f>
        <v>/* WEN */</v>
      </c>
    </row>
    <row r="8" spans="2:45" x14ac:dyDescent="0.4"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>
        <v>1</v>
      </c>
      <c r="W8" s="2">
        <v>1</v>
      </c>
      <c r="X8" s="2">
        <v>1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I8" s="2" t="str">
        <f t="shared" si="1"/>
        <v>00</v>
      </c>
      <c r="AJ8" s="2" t="str">
        <f t="shared" si="2"/>
        <v>e0</v>
      </c>
      <c r="AK8" s="2" t="str">
        <f t="shared" si="3"/>
        <v>2f</v>
      </c>
      <c r="AL8" s="2" t="str">
        <f t="shared" si="4"/>
        <v>00</v>
      </c>
      <c r="AN8" s="2" t="str">
        <f t="shared" si="5"/>
        <v>0x00e02f00U</v>
      </c>
      <c r="AO8" s="2" t="s">
        <v>3</v>
      </c>
      <c r="AP8" s="2" t="s">
        <v>31</v>
      </c>
      <c r="AQ8" s="2" t="str">
        <f>"(U4)"&amp;AN8&amp;","</f>
        <v>(U4)0x00e02f00U,</v>
      </c>
      <c r="AS8" s="2" t="str">
        <f t="shared" si="6"/>
        <v>/* REA */</v>
      </c>
    </row>
    <row r="9" spans="2:45" x14ac:dyDescent="0.4"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1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I9" s="2" t="str">
        <f t="shared" si="1"/>
        <v>00</v>
      </c>
      <c r="AJ9" s="2" t="str">
        <f t="shared" si="2"/>
        <v>e0</v>
      </c>
      <c r="AK9" s="2" t="str">
        <f t="shared" si="3"/>
        <v>08</v>
      </c>
      <c r="AL9" s="2" t="str">
        <f t="shared" si="4"/>
        <v>00</v>
      </c>
      <c r="AN9" s="2" t="str">
        <f t="shared" si="5"/>
        <v>0x00e00800U</v>
      </c>
      <c r="AO9" s="2" t="s">
        <v>22</v>
      </c>
      <c r="AP9" s="2" t="s">
        <v>1</v>
      </c>
      <c r="AQ9" s="2" t="str">
        <f>"(U4)"&amp;AN9&amp;","</f>
        <v>(U4)0x00e00800U,</v>
      </c>
      <c r="AS9" s="2" t="str">
        <f t="shared" si="6"/>
        <v>/* FIN */</v>
      </c>
    </row>
    <row r="11" spans="2:45" x14ac:dyDescent="0.4">
      <c r="B11" s="2" t="s">
        <v>28</v>
      </c>
    </row>
    <row r="12" spans="2:45" s="3" customFormat="1" ht="41.25" x14ac:dyDescent="0.4">
      <c r="J12" s="3" t="s">
        <v>20</v>
      </c>
      <c r="K12" s="3" t="s">
        <v>19</v>
      </c>
      <c r="L12" s="3" t="s">
        <v>18</v>
      </c>
      <c r="R12" s="3" t="s">
        <v>17</v>
      </c>
      <c r="S12" s="3" t="s">
        <v>16</v>
      </c>
      <c r="T12" s="3" t="s">
        <v>15</v>
      </c>
      <c r="U12" s="3" t="s">
        <v>14</v>
      </c>
      <c r="V12" s="3" t="s">
        <v>13</v>
      </c>
      <c r="W12" s="3" t="s">
        <v>12</v>
      </c>
      <c r="X12" s="3" t="s">
        <v>11</v>
      </c>
      <c r="Y12" s="3" t="s">
        <v>10</v>
      </c>
      <c r="AC12" s="3" t="s">
        <v>9</v>
      </c>
      <c r="AD12" s="3" t="s">
        <v>8</v>
      </c>
      <c r="AE12" s="3" t="s">
        <v>7</v>
      </c>
      <c r="AF12" s="3" t="s">
        <v>6</v>
      </c>
      <c r="AG12" s="3" t="s">
        <v>5</v>
      </c>
    </row>
    <row r="13" spans="2:45" x14ac:dyDescent="0.4"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I13" s="2" t="str">
        <f>LOWER(BIN2HEX(B13&amp;C13&amp;D13&amp;E13&amp;F13&amp;G13&amp;H13&amp;I13,2))</f>
        <v>00</v>
      </c>
      <c r="AJ13" s="2" t="str">
        <f>LOWER(BIN2HEX(J13&amp;K13&amp;L13&amp;M13&amp;N13&amp;O13&amp;P13&amp;Q13,2))</f>
        <v>a0</v>
      </c>
      <c r="AK13" s="2" t="str">
        <f>LOWER(BIN2HEX(R13&amp;S13&amp;T13&amp;U13&amp;V13&amp;W13&amp;X13&amp;Y13,2))</f>
        <v>84</v>
      </c>
      <c r="AL13" s="2" t="str">
        <f>LOWER(BIN2HEX(Z13&amp;AA13&amp;AB13&amp;AC13&amp;AD13&amp;AE13&amp;AF13&amp;AG13,2))</f>
        <v>00</v>
      </c>
      <c r="AN13" s="2" t="str">
        <f>"0x"&amp;AI13&amp;AJ13&amp;AK13&amp;AL13&amp;"U"</f>
        <v>0x00a08400U</v>
      </c>
      <c r="AO13" s="2" t="s">
        <v>21</v>
      </c>
      <c r="AP13" s="2" t="s">
        <v>0</v>
      </c>
      <c r="AQ13" s="2" t="str">
        <f>"(U4)"&amp;AN13&amp;","</f>
        <v>(U4)0x00a08400U,</v>
      </c>
      <c r="AS13" s="2" t="str">
        <f>"/* "&amp;AP13&amp;" */"</f>
        <v>/* STA */</v>
      </c>
    </row>
    <row r="14" spans="2:45" x14ac:dyDescent="0.4"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I14" s="2" t="str">
        <f t="shared" ref="AI14:AI17" si="7">LOWER(BIN2HEX(B14&amp;C14&amp;D14&amp;E14&amp;F14&amp;G14&amp;H14&amp;I14,2))</f>
        <v>00</v>
      </c>
      <c r="AJ14" s="2" t="str">
        <f t="shared" ref="AJ14:AJ17" si="8">LOWER(BIN2HEX(J14&amp;K14&amp;L14&amp;M14&amp;N14&amp;O14&amp;P14&amp;Q14,2))</f>
        <v>a0</v>
      </c>
      <c r="AK14" s="2" t="str">
        <f t="shared" ref="AK14:AK17" si="9">LOWER(BIN2HEX(R14&amp;S14&amp;T14&amp;U14&amp;V14&amp;W14&amp;X14&amp;Y14,2))</f>
        <v>80</v>
      </c>
      <c r="AL14" s="2" t="str">
        <f t="shared" ref="AL14:AL17" si="10">LOWER(BIN2HEX(Z14&amp;AA14&amp;AB14&amp;AC14&amp;AD14&amp;AE14&amp;AF14&amp;AG14,2))</f>
        <v>00</v>
      </c>
      <c r="AN14" s="2" t="str">
        <f>"0x"&amp;AI14&amp;AJ14&amp;AK14&amp;AL14&amp;"U"</f>
        <v>0x00a08000U</v>
      </c>
      <c r="AO14" s="2" t="s">
        <v>2</v>
      </c>
      <c r="AP14" s="2" t="s">
        <v>29</v>
      </c>
      <c r="AQ14" s="2" t="str">
        <f>"(U4)"&amp;AN14&amp;","</f>
        <v>(U4)0x00a08000U,</v>
      </c>
      <c r="AS14" s="2" t="str">
        <f t="shared" ref="AS14:AS17" si="11">"/* "&amp;AP14&amp;" */"</f>
        <v>/* WRI */</v>
      </c>
    </row>
    <row r="15" spans="2:45" x14ac:dyDescent="0.4"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I15" s="2" t="str">
        <f t="shared" si="7"/>
        <v>00</v>
      </c>
      <c r="AJ15" s="2" t="str">
        <f t="shared" si="8"/>
        <v>a0</v>
      </c>
      <c r="AK15" s="2" t="str">
        <f t="shared" si="9"/>
        <v>c0</v>
      </c>
      <c r="AL15" s="2" t="str">
        <f t="shared" si="10"/>
        <v>00</v>
      </c>
      <c r="AN15" s="2" t="str">
        <f t="shared" ref="AN15:AN17" si="12">"0x"&amp;AI15&amp;AJ15&amp;AK15&amp;AL15&amp;"U"</f>
        <v>0x00a0c000U</v>
      </c>
      <c r="AO15" s="2" t="s">
        <v>2</v>
      </c>
      <c r="AP15" s="2" t="s">
        <v>30</v>
      </c>
      <c r="AQ15" s="2" t="str">
        <f>"(U4)"&amp;AN15&amp;","</f>
        <v>(U4)0x00a0c000U,</v>
      </c>
      <c r="AS15" s="2" t="str">
        <f t="shared" si="11"/>
        <v>/* WEN */</v>
      </c>
    </row>
    <row r="16" spans="2:45" x14ac:dyDescent="0.4"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I16" s="2" t="str">
        <f t="shared" si="7"/>
        <v>00</v>
      </c>
      <c r="AJ16" s="2" t="str">
        <f t="shared" si="8"/>
        <v>80</v>
      </c>
      <c r="AK16" s="2" t="str">
        <f t="shared" si="9"/>
        <v>20</v>
      </c>
      <c r="AL16" s="2" t="str">
        <f t="shared" si="10"/>
        <v>00</v>
      </c>
      <c r="AN16" s="2" t="str">
        <f t="shared" si="12"/>
        <v>0x00802000U</v>
      </c>
      <c r="AO16" s="2" t="s">
        <v>3</v>
      </c>
      <c r="AP16" s="2" t="s">
        <v>31</v>
      </c>
      <c r="AQ16" s="2" t="str">
        <f>"(U4)"&amp;AN16&amp;","</f>
        <v>(U4)0x00802000U,</v>
      </c>
      <c r="AS16" s="2" t="str">
        <f t="shared" si="11"/>
        <v>/* REA */</v>
      </c>
    </row>
    <row r="17" spans="2:45" x14ac:dyDescent="0.4"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I17" s="2" t="str">
        <f t="shared" si="7"/>
        <v>00</v>
      </c>
      <c r="AJ17" s="2" t="str">
        <f t="shared" si="8"/>
        <v>00</v>
      </c>
      <c r="AK17" s="2" t="str">
        <f t="shared" si="9"/>
        <v>08</v>
      </c>
      <c r="AL17" s="2" t="str">
        <f t="shared" si="10"/>
        <v>00</v>
      </c>
      <c r="AN17" s="2" t="str">
        <f t="shared" si="12"/>
        <v>0x00000800U</v>
      </c>
      <c r="AO17" s="2" t="s">
        <v>22</v>
      </c>
      <c r="AP17" s="2" t="s">
        <v>1</v>
      </c>
      <c r="AQ17" s="2" t="str">
        <f>"(U4)"&amp;AN17&amp;","</f>
        <v>(U4)0x00000800U,</v>
      </c>
      <c r="AS17" s="2" t="str">
        <f t="shared" si="11"/>
        <v>/* FIN */</v>
      </c>
    </row>
    <row r="20" spans="2:45" x14ac:dyDescent="0.4">
      <c r="AN20" s="2">
        <v>65535</v>
      </c>
      <c r="AO20" s="2">
        <v>0.1</v>
      </c>
      <c r="AP20" s="2" t="s">
        <v>24</v>
      </c>
    </row>
    <row r="21" spans="2:45" x14ac:dyDescent="0.4">
      <c r="AN21" s="2">
        <f>AN20*AP30</f>
        <v>838848</v>
      </c>
      <c r="AO21" s="2">
        <f>AO20/2</f>
        <v>0.05</v>
      </c>
    </row>
    <row r="22" spans="2:45" x14ac:dyDescent="0.4">
      <c r="AN22" s="2">
        <f>AN21/1000</f>
        <v>838.84799999999996</v>
      </c>
      <c r="AO22" s="2">
        <v>80</v>
      </c>
    </row>
    <row r="23" spans="2:45" x14ac:dyDescent="0.4">
      <c r="AN23" s="2">
        <v>0</v>
      </c>
      <c r="AO23" s="2">
        <f>AO22/8</f>
        <v>10</v>
      </c>
      <c r="AP23" s="2">
        <f>1/AO23</f>
        <v>0.1</v>
      </c>
    </row>
    <row r="24" spans="2:45" x14ac:dyDescent="0.4">
      <c r="AN24" s="2">
        <v>1</v>
      </c>
      <c r="AO24" s="2">
        <f>AO23/2</f>
        <v>5</v>
      </c>
      <c r="AP24" s="2">
        <f>1/AO24</f>
        <v>0.2</v>
      </c>
    </row>
    <row r="25" spans="2:45" x14ac:dyDescent="0.4">
      <c r="AN25" s="2">
        <f>AN24+1</f>
        <v>2</v>
      </c>
      <c r="AO25" s="2">
        <f>AO24/2</f>
        <v>2.5</v>
      </c>
      <c r="AP25" s="2">
        <f>1/AO25</f>
        <v>0.4</v>
      </c>
    </row>
    <row r="26" spans="2:45" x14ac:dyDescent="0.4">
      <c r="AN26" s="2">
        <f t="shared" ref="AN26:AN33" si="13">AN25+1</f>
        <v>3</v>
      </c>
      <c r="AO26" s="2">
        <f t="shared" ref="AO26:AO33" si="14">AO25/2</f>
        <v>1.25</v>
      </c>
      <c r="AP26" s="2">
        <f t="shared" ref="AP26:AP33" si="15">1/AO26</f>
        <v>0.8</v>
      </c>
    </row>
    <row r="27" spans="2:45" x14ac:dyDescent="0.4">
      <c r="AN27" s="2">
        <f t="shared" si="13"/>
        <v>4</v>
      </c>
      <c r="AO27" s="2">
        <f t="shared" si="14"/>
        <v>0.625</v>
      </c>
      <c r="AP27" s="2">
        <f t="shared" si="15"/>
        <v>1.6</v>
      </c>
    </row>
    <row r="28" spans="2:45" x14ac:dyDescent="0.4">
      <c r="AN28" s="2">
        <f t="shared" si="13"/>
        <v>5</v>
      </c>
      <c r="AO28" s="2">
        <f t="shared" si="14"/>
        <v>0.3125</v>
      </c>
      <c r="AP28" s="2">
        <f t="shared" si="15"/>
        <v>3.2</v>
      </c>
    </row>
    <row r="29" spans="2:45" x14ac:dyDescent="0.4">
      <c r="AN29" s="2">
        <f t="shared" si="13"/>
        <v>6</v>
      </c>
      <c r="AO29" s="2">
        <f t="shared" si="14"/>
        <v>0.15625</v>
      </c>
      <c r="AP29" s="2">
        <f t="shared" si="15"/>
        <v>6.4</v>
      </c>
    </row>
    <row r="30" spans="2:45" x14ac:dyDescent="0.4">
      <c r="AN30" s="2">
        <f t="shared" si="13"/>
        <v>7</v>
      </c>
      <c r="AO30" s="2">
        <f t="shared" si="14"/>
        <v>7.8125E-2</v>
      </c>
      <c r="AP30" s="2">
        <f>1/AO30</f>
        <v>12.8</v>
      </c>
    </row>
    <row r="31" spans="2:45" x14ac:dyDescent="0.4">
      <c r="AN31" s="2">
        <f t="shared" si="13"/>
        <v>8</v>
      </c>
      <c r="AO31" s="2">
        <f t="shared" si="14"/>
        <v>3.90625E-2</v>
      </c>
      <c r="AP31" s="2">
        <f t="shared" si="15"/>
        <v>25.6</v>
      </c>
    </row>
    <row r="32" spans="2:45" x14ac:dyDescent="0.4">
      <c r="AN32" s="2">
        <f t="shared" si="13"/>
        <v>9</v>
      </c>
      <c r="AO32" s="2">
        <f t="shared" si="14"/>
        <v>1.953125E-2</v>
      </c>
      <c r="AP32" s="2">
        <f t="shared" si="15"/>
        <v>51.2</v>
      </c>
    </row>
    <row r="33" spans="40:42" x14ac:dyDescent="0.4">
      <c r="AN33" s="2">
        <f t="shared" si="13"/>
        <v>10</v>
      </c>
      <c r="AO33" s="2">
        <f t="shared" si="14"/>
        <v>9.765625E-3</v>
      </c>
      <c r="AP33" s="2">
        <f t="shared" si="15"/>
        <v>102.4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5376-337F-4835-A743-58D6C9A3FB4F}">
  <dimension ref="C4:U18"/>
  <sheetViews>
    <sheetView workbookViewId="0">
      <selection activeCell="C19" sqref="C19"/>
    </sheetView>
  </sheetViews>
  <sheetFormatPr defaultRowHeight="18.75" x14ac:dyDescent="0.4"/>
  <cols>
    <col min="3" max="3" width="21.25" bestFit="1" customWidth="1"/>
    <col min="4" max="6" width="3.875" bestFit="1" customWidth="1"/>
    <col min="9" max="16" width="2.5" bestFit="1" customWidth="1"/>
  </cols>
  <sheetData>
    <row r="4" spans="3:21" ht="60" x14ac:dyDescent="0.4">
      <c r="D4" s="3" t="s">
        <v>38</v>
      </c>
      <c r="E4" s="3" t="s">
        <v>39</v>
      </c>
      <c r="F4" s="3" t="s">
        <v>40</v>
      </c>
      <c r="G4" s="3"/>
      <c r="I4">
        <v>7</v>
      </c>
      <c r="J4">
        <f>I4-1</f>
        <v>6</v>
      </c>
      <c r="K4" s="2">
        <f t="shared" ref="K4:P4" si="0">J4-1</f>
        <v>5</v>
      </c>
      <c r="L4" s="2">
        <f t="shared" si="0"/>
        <v>4</v>
      </c>
      <c r="M4" s="2">
        <f t="shared" si="0"/>
        <v>3</v>
      </c>
      <c r="N4" s="2">
        <f t="shared" si="0"/>
        <v>2</v>
      </c>
      <c r="O4" s="2">
        <f t="shared" si="0"/>
        <v>1</v>
      </c>
      <c r="P4" s="2">
        <f t="shared" si="0"/>
        <v>0</v>
      </c>
      <c r="Q4" s="2"/>
      <c r="R4" s="2"/>
      <c r="S4" s="2"/>
      <c r="T4" s="2"/>
      <c r="U4" s="2"/>
    </row>
    <row r="5" spans="3:21" x14ac:dyDescent="0.4">
      <c r="C5" s="2" t="s">
        <v>41</v>
      </c>
      <c r="D5">
        <v>1</v>
      </c>
      <c r="E5">
        <v>1</v>
      </c>
      <c r="F5">
        <v>0</v>
      </c>
      <c r="G5">
        <f>BIN2DEC(D5&amp;E5&amp;F5)</f>
        <v>6</v>
      </c>
      <c r="I5">
        <v>0</v>
      </c>
      <c r="J5" s="2">
        <v>1</v>
      </c>
      <c r="K5" s="2">
        <v>1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t="str">
        <f>"0x"&amp;BIN2HEX(I5&amp;J5&amp;K5&amp;L5&amp;M5&amp;N5&amp;O5&amp;P5,2)</f>
        <v>0x68</v>
      </c>
    </row>
    <row r="6" spans="3:21" x14ac:dyDescent="0.4">
      <c r="C6" s="2" t="s">
        <v>42</v>
      </c>
      <c r="D6">
        <v>0</v>
      </c>
      <c r="E6">
        <v>1</v>
      </c>
      <c r="F6">
        <v>1</v>
      </c>
      <c r="G6" s="2">
        <f>BIN2DEC(D6&amp;E6&amp;F6)</f>
        <v>3</v>
      </c>
    </row>
    <row r="7" spans="3:21" x14ac:dyDescent="0.4">
      <c r="C7" s="2" t="s">
        <v>43</v>
      </c>
      <c r="D7">
        <v>1</v>
      </c>
      <c r="E7">
        <v>0</v>
      </c>
      <c r="F7">
        <v>1</v>
      </c>
      <c r="G7" s="2">
        <f>BIN2DEC(D7&amp;E7&amp;F7)</f>
        <v>5</v>
      </c>
    </row>
    <row r="10" spans="3:21" ht="75.75" x14ac:dyDescent="0.4">
      <c r="D10" s="3" t="s">
        <v>44</v>
      </c>
      <c r="E10" s="3" t="s">
        <v>39</v>
      </c>
      <c r="F10" s="3" t="s">
        <v>45</v>
      </c>
      <c r="I10" s="2">
        <v>7</v>
      </c>
      <c r="J10" s="2">
        <f>I10-1</f>
        <v>6</v>
      </c>
      <c r="K10" s="2">
        <f t="shared" ref="K10:P10" si="1">J10-1</f>
        <v>5</v>
      </c>
      <c r="L10" s="2">
        <f t="shared" si="1"/>
        <v>4</v>
      </c>
      <c r="M10" s="2">
        <f t="shared" si="1"/>
        <v>3</v>
      </c>
      <c r="N10" s="2">
        <f t="shared" si="1"/>
        <v>2</v>
      </c>
      <c r="O10" s="2">
        <f t="shared" si="1"/>
        <v>1</v>
      </c>
      <c r="P10" s="2">
        <f t="shared" si="1"/>
        <v>0</v>
      </c>
      <c r="Q10" s="2"/>
    </row>
    <row r="11" spans="3:21" x14ac:dyDescent="0.4">
      <c r="C11" t="s">
        <v>46</v>
      </c>
      <c r="D11">
        <v>1</v>
      </c>
      <c r="E11">
        <v>1</v>
      </c>
      <c r="F11">
        <v>0</v>
      </c>
      <c r="G11" s="2">
        <f>BIN2DEC(D11&amp;E11&amp;F11)</f>
        <v>6</v>
      </c>
      <c r="I11" s="2">
        <v>0</v>
      </c>
      <c r="J11" s="2">
        <v>1</v>
      </c>
      <c r="K11" s="2">
        <v>1</v>
      </c>
      <c r="L11" s="2">
        <v>0</v>
      </c>
      <c r="M11" s="2">
        <v>1</v>
      </c>
      <c r="N11" s="2">
        <v>0</v>
      </c>
      <c r="O11" s="2">
        <v>0</v>
      </c>
      <c r="P11" s="2">
        <v>0</v>
      </c>
      <c r="Q11" s="2" t="str">
        <f>"0x"&amp;BIN2HEX(I11&amp;J11&amp;K11&amp;L11&amp;M11&amp;N11&amp;O11&amp;P11,2)</f>
        <v>0x68</v>
      </c>
    </row>
    <row r="12" spans="3:21" x14ac:dyDescent="0.4">
      <c r="C12" t="s">
        <v>47</v>
      </c>
      <c r="D12">
        <v>0</v>
      </c>
      <c r="E12">
        <v>1</v>
      </c>
      <c r="F12">
        <v>1</v>
      </c>
      <c r="G12" s="2">
        <f>BIN2DEC(D12&amp;E12&amp;F12)</f>
        <v>3</v>
      </c>
    </row>
    <row r="13" spans="3:21" x14ac:dyDescent="0.4">
      <c r="C13" t="s">
        <v>48</v>
      </c>
      <c r="D13">
        <v>1</v>
      </c>
      <c r="E13">
        <v>0</v>
      </c>
      <c r="F13">
        <v>1</v>
      </c>
      <c r="G13" s="2">
        <f>BIN2DEC(D13&amp;E13&amp;F13)</f>
        <v>5</v>
      </c>
    </row>
    <row r="15" spans="3:21" ht="86.25" x14ac:dyDescent="0.4">
      <c r="D15" s="3" t="s">
        <v>51</v>
      </c>
      <c r="E15" s="3" t="s">
        <v>49</v>
      </c>
      <c r="F15" s="3" t="s">
        <v>40</v>
      </c>
      <c r="I15" s="2">
        <v>7</v>
      </c>
      <c r="J15" s="2">
        <f>I15-1</f>
        <v>6</v>
      </c>
      <c r="K15" s="2">
        <f t="shared" ref="K15:P15" si="2">J15-1</f>
        <v>5</v>
      </c>
      <c r="L15" s="2">
        <f t="shared" si="2"/>
        <v>4</v>
      </c>
      <c r="M15" s="2">
        <f t="shared" si="2"/>
        <v>3</v>
      </c>
      <c r="N15" s="2">
        <f t="shared" si="2"/>
        <v>2</v>
      </c>
      <c r="O15" s="2">
        <f t="shared" si="2"/>
        <v>1</v>
      </c>
      <c r="P15" s="2">
        <f t="shared" si="2"/>
        <v>0</v>
      </c>
      <c r="Q15" s="2"/>
      <c r="R15" s="2"/>
    </row>
    <row r="16" spans="3:21" x14ac:dyDescent="0.4">
      <c r="C16" s="2" t="s">
        <v>52</v>
      </c>
      <c r="D16">
        <v>1</v>
      </c>
      <c r="E16">
        <v>1</v>
      </c>
      <c r="F16">
        <v>0</v>
      </c>
      <c r="G16" s="2">
        <f>BIN2DEC(D16&amp;E16&amp;F16)</f>
        <v>6</v>
      </c>
      <c r="I16" s="2">
        <v>0</v>
      </c>
      <c r="J16" s="2">
        <v>1</v>
      </c>
      <c r="K16" s="2">
        <v>1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2" t="str">
        <f>"0x"&amp;BIN2HEX(I16&amp;J16&amp;K16&amp;L16&amp;M16&amp;N16&amp;O16&amp;P16,2)</f>
        <v>0x68</v>
      </c>
      <c r="R16" s="2"/>
    </row>
    <row r="17" spans="3:7" x14ac:dyDescent="0.4">
      <c r="C17" s="2" t="s">
        <v>50</v>
      </c>
      <c r="D17">
        <v>0</v>
      </c>
      <c r="E17">
        <v>1</v>
      </c>
      <c r="F17">
        <v>1</v>
      </c>
      <c r="G17" s="2">
        <f>BIN2DEC(D17&amp;E17&amp;F17)</f>
        <v>3</v>
      </c>
    </row>
    <row r="18" spans="3:7" x14ac:dyDescent="0.4">
      <c r="C18" s="2" t="s">
        <v>53</v>
      </c>
      <c r="D18">
        <v>1</v>
      </c>
      <c r="E18">
        <v>0</v>
      </c>
      <c r="F18">
        <v>1</v>
      </c>
      <c r="G18" s="2">
        <f>BIN2DEC(D18&amp;E18&amp;F18)</f>
        <v>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stm_v110</vt:lpstr>
      <vt:lpstr>u4_g_GpI2cMaIfIRQst</vt:lpstr>
      <vt:lpstr>u4_g_GpI2cSlIfIRQst</vt:lpstr>
      <vt:lpstr>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2024-11-20T03:21:57Z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dd209e-37c4-4e15-ab1b-f9befe71def1_Enabled">
    <vt:lpwstr>true</vt:lpwstr>
  </property>
  <property fmtid="{D5CDD505-2E9C-101B-9397-08002B2CF9AE}" pid="3" name="MSIP_Label_6add209e-37c4-4e15-ab1b-f9befe71def1_SetDate">
    <vt:lpwstr>2024-10-08T09:10:15Z</vt:lpwstr>
  </property>
  <property fmtid="{D5CDD505-2E9C-101B-9397-08002B2CF9AE}" pid="4" name="MSIP_Label_6add209e-37c4-4e15-ab1b-f9befe71def1_Method">
    <vt:lpwstr>Standard</vt:lpwstr>
  </property>
  <property fmtid="{D5CDD505-2E9C-101B-9397-08002B2CF9AE}" pid="5" name="MSIP_Label_6add209e-37c4-4e15-ab1b-f9befe71def1_Name">
    <vt:lpwstr>G_MIP_Confidential_Exception</vt:lpwstr>
  </property>
  <property fmtid="{D5CDD505-2E9C-101B-9397-08002B2CF9AE}" pid="6" name="MSIP_Label_6add209e-37c4-4e15-ab1b-f9befe71def1_SiteId">
    <vt:lpwstr>69405920-b673-4f7c-8845-e124e9d08af2</vt:lpwstr>
  </property>
  <property fmtid="{D5CDD505-2E9C-101B-9397-08002B2CF9AE}" pid="7" name="MSIP_Label_6add209e-37c4-4e15-ab1b-f9befe71def1_ActionId">
    <vt:lpwstr>25db6064-134b-4f01-b3b6-a001dd209983</vt:lpwstr>
  </property>
  <property fmtid="{D5CDD505-2E9C-101B-9397-08002B2CF9AE}" pid="8" name="MSIP_Label_6add209e-37c4-4e15-ab1b-f9befe71def1_ContentBits">
    <vt:lpwstr>0</vt:lpwstr>
  </property>
</Properties>
</file>