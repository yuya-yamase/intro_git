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10001140895\Documents\Git\rh850_u2a\oXCAN_tybev3_v0\src\PE0VM0\BSW\ComplexDriver\Vehopemd\config_tybev3\"/>
    </mc:Choice>
  </mc:AlternateContent>
  <xr:revisionPtr revIDLastSave="0" documentId="13_ncr:1_{9C59FAFD-D930-417D-8FFF-4406D55958E7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vps_chk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13" i="1" l="1"/>
  <c r="AO13" i="1"/>
  <c r="AP12" i="1"/>
  <c r="AO12" i="1"/>
  <c r="AQ12" i="1" s="1"/>
  <c r="AP10" i="1"/>
  <c r="AO10" i="1"/>
  <c r="AP9" i="1"/>
  <c r="AO9" i="1"/>
  <c r="AP8" i="1"/>
  <c r="AQ8" i="1" s="1"/>
  <c r="AO8" i="1"/>
  <c r="AP7" i="1"/>
  <c r="AQ7" i="1" s="1"/>
  <c r="AO7" i="1"/>
  <c r="AP6" i="1"/>
  <c r="AO6" i="1"/>
  <c r="AP5" i="1"/>
  <c r="AO5" i="1"/>
  <c r="Y3" i="1"/>
  <c r="Z3" i="1" s="1"/>
  <c r="AA3" i="1" s="1"/>
  <c r="AB3" i="1" s="1"/>
  <c r="AC3" i="1" s="1"/>
  <c r="AD3" i="1" s="1"/>
  <c r="AE3" i="1" s="1"/>
  <c r="AF3" i="1" s="1"/>
  <c r="AG3" i="1" s="1"/>
  <c r="AH3" i="1" s="1"/>
  <c r="AI3" i="1" s="1"/>
  <c r="AJ3" i="1" s="1"/>
  <c r="AK3" i="1" s="1"/>
  <c r="AL3" i="1" s="1"/>
  <c r="AM3" i="1" s="1"/>
  <c r="V5" i="1"/>
  <c r="U10" i="1"/>
  <c r="T10" i="1"/>
  <c r="U9" i="1"/>
  <c r="T9" i="1"/>
  <c r="U8" i="1"/>
  <c r="V8" i="1" s="1"/>
  <c r="T8" i="1"/>
  <c r="U7" i="1"/>
  <c r="V7" i="1" s="1"/>
  <c r="T7" i="1"/>
  <c r="U6" i="1"/>
  <c r="V6" i="1" s="1"/>
  <c r="T6" i="1"/>
  <c r="U5" i="1"/>
  <c r="T5" i="1"/>
  <c r="A6" i="1"/>
  <c r="A7" i="1" s="1"/>
  <c r="A8" i="1" s="1"/>
  <c r="A9" i="1" s="1"/>
  <c r="A10" i="1" s="1"/>
  <c r="D3" i="1"/>
  <c r="E3" i="1" s="1"/>
  <c r="F3" i="1" s="1"/>
  <c r="G3" i="1" s="1"/>
  <c r="H3" i="1" s="1"/>
  <c r="I3" i="1" s="1"/>
  <c r="J3" i="1" s="1"/>
  <c r="K3" i="1" s="1"/>
  <c r="L3" i="1" s="1"/>
  <c r="M3" i="1" s="1"/>
  <c r="N3" i="1" s="1"/>
  <c r="O3" i="1" s="1"/>
  <c r="P3" i="1" s="1"/>
  <c r="Q3" i="1" s="1"/>
  <c r="R3" i="1" s="1"/>
  <c r="AQ13" i="1" l="1"/>
  <c r="AQ6" i="1"/>
  <c r="AQ9" i="1"/>
  <c r="AQ5" i="1"/>
  <c r="AQ10" i="1"/>
  <c r="V9" i="1"/>
  <c r="V10" i="1"/>
</calcChain>
</file>

<file path=xl/sharedStrings.xml><?xml version="1.0" encoding="utf-8"?>
<sst xmlns="http://schemas.openxmlformats.org/spreadsheetml/2006/main" count="81" uniqueCount="60">
  <si>
    <t>Bit#</t>
    <phoneticPr fontId="1"/>
  </si>
  <si>
    <t>BDC1S81</t>
  </si>
  <si>
    <t>65</t>
  </si>
  <si>
    <t>vehicle power state information</t>
  </si>
  <si>
    <t>車両電源ステート情報</t>
  </si>
  <si>
    <t>1E3</t>
  </si>
  <si>
    <t>1</t>
  </si>
  <si>
    <t>-</t>
  </si>
  <si>
    <t>0</t>
  </si>
  <si>
    <t>【Msg. Comment】</t>
  </si>
  <si>
    <t>2</t>
  </si>
  <si>
    <t>16</t>
  </si>
  <si>
    <t>E_CRC1E3</t>
  </si>
  <si>
    <t>車両電源ステート(特殊)：輸送中一部OFF,OTA,有線リプロ,縮退走行,電源ALLOFF</t>
  </si>
  <si>
    <t>3</t>
  </si>
  <si>
    <t>8</t>
  </si>
  <si>
    <t>E_CNT1E3</t>
  </si>
  <si>
    <t>4.6</t>
  </si>
  <si>
    <t>4.5</t>
  </si>
  <si>
    <t>4.4</t>
  </si>
  <si>
    <t>4.3</t>
  </si>
  <si>
    <t>4.2</t>
  </si>
  <si>
    <t>4.1</t>
  </si>
  <si>
    <t>4.0</t>
  </si>
  <si>
    <t>5</t>
  </si>
  <si>
    <t>VPSINFOS</t>
  </si>
  <si>
    <t>6</t>
  </si>
  <si>
    <t>D00976</t>
  </si>
  <si>
    <t>7</t>
  </si>
  <si>
    <t>VPSISOTA</t>
  </si>
  <si>
    <t>9.0</t>
  </si>
  <si>
    <t>APOFRQ</t>
  </si>
  <si>
    <t>28</t>
  </si>
  <si>
    <t>56</t>
  </si>
  <si>
    <t>FV1E3</t>
  </si>
  <si>
    <t>32</t>
  </si>
  <si>
    <t>KZK1E3</t>
  </si>
  <si>
    <t>VPSINFO7</t>
    <phoneticPr fontId="1"/>
  </si>
  <si>
    <t>VPSINFO6</t>
    <phoneticPr fontId="1"/>
  </si>
  <si>
    <t>VPSINFO5</t>
    <phoneticPr fontId="1"/>
  </si>
  <si>
    <t>VPSINFO4</t>
    <phoneticPr fontId="1"/>
  </si>
  <si>
    <t>VPSINFO3</t>
    <phoneticPr fontId="1"/>
  </si>
  <si>
    <t>VPSINFO2</t>
    <phoneticPr fontId="1"/>
  </si>
  <si>
    <t>VPSINFO1</t>
    <phoneticPr fontId="1"/>
  </si>
  <si>
    <t>Byte</t>
    <phoneticPr fontId="1"/>
  </si>
  <si>
    <t>VEH_OPEMD_MDBIT_ACC</t>
  </si>
  <si>
    <t>VEH_OPEMD_MDBIT_IG_P</t>
    <phoneticPr fontId="1"/>
  </si>
  <si>
    <t>VEH_OPEMD_MDBIT_IG_R</t>
    <phoneticPr fontId="1"/>
  </si>
  <si>
    <t>VEH_OPEMD_MDBIT_IGCT</t>
    <phoneticPr fontId="1"/>
  </si>
  <si>
    <r>
      <t>VPSINFO7/</t>
    </r>
    <r>
      <rPr>
        <sz val="11"/>
        <color theme="1"/>
        <rFont val="HG丸ｺﾞｼｯｸM-PRO"/>
        <family val="3"/>
        <charset val="128"/>
      </rPr>
      <t>駐車中高圧・温調</t>
    </r>
    <rPh sb="9" eb="11">
      <t>チュウシャ</t>
    </rPh>
    <rPh sb="11" eb="12">
      <t>チュウ</t>
    </rPh>
    <rPh sb="12" eb="14">
      <t>コウアツ</t>
    </rPh>
    <rPh sb="15" eb="17">
      <t>オンチョウ</t>
    </rPh>
    <phoneticPr fontId="1"/>
  </si>
  <si>
    <r>
      <t>VPSINFO6/</t>
    </r>
    <r>
      <rPr>
        <sz val="11"/>
        <color theme="1"/>
        <rFont val="HG丸ｺﾞｼｯｸM-PRO"/>
        <family val="3"/>
        <charset val="128"/>
      </rPr>
      <t>駐車中高圧</t>
    </r>
    <rPh sb="9" eb="11">
      <t>チュウシャ</t>
    </rPh>
    <rPh sb="11" eb="12">
      <t>チュウ</t>
    </rPh>
    <rPh sb="12" eb="14">
      <t>コウアツ</t>
    </rPh>
    <phoneticPr fontId="1"/>
  </si>
  <si>
    <r>
      <t>VPSINFO5/PowerON</t>
    </r>
    <r>
      <rPr>
        <sz val="11"/>
        <color theme="1"/>
        <rFont val="HG丸ｺﾞｼｯｸM-PRO"/>
        <family val="3"/>
        <charset val="128"/>
      </rPr>
      <t>緊急停止</t>
    </r>
    <phoneticPr fontId="1"/>
  </si>
  <si>
    <r>
      <t>VPSINFO4/PowerON</t>
    </r>
    <r>
      <rPr>
        <sz val="11"/>
        <color theme="1"/>
        <rFont val="HG丸ｺﾞｼｯｸM-PRO"/>
        <family val="3"/>
        <charset val="128"/>
      </rPr>
      <t>通常</t>
    </r>
    <phoneticPr fontId="1"/>
  </si>
  <si>
    <r>
      <t>VPSINFO3/</t>
    </r>
    <r>
      <rPr>
        <sz val="11"/>
        <color theme="1"/>
        <rFont val="HG丸ｺﾞｼｯｸM-PRO"/>
        <family val="3"/>
        <charset val="128"/>
      </rPr>
      <t>乗車中</t>
    </r>
    <phoneticPr fontId="1"/>
  </si>
  <si>
    <r>
      <t>VPSINFO2/</t>
    </r>
    <r>
      <rPr>
        <sz val="11"/>
        <color theme="1"/>
        <rFont val="HG丸ｺﾞｼｯｸM-PRO"/>
        <family val="3"/>
        <charset val="128"/>
      </rPr>
      <t>駐車中</t>
    </r>
    <rPh sb="9" eb="11">
      <t>チュウシャ</t>
    </rPh>
    <rPh sb="11" eb="12">
      <t>チュウ</t>
    </rPh>
    <phoneticPr fontId="1"/>
  </si>
  <si>
    <r>
      <t>VPSINFO1/</t>
    </r>
    <r>
      <rPr>
        <sz val="11"/>
        <color theme="1"/>
        <rFont val="HG丸ｺﾞｼｯｸM-PRO"/>
        <family val="3"/>
        <charset val="128"/>
      </rPr>
      <t>判定中</t>
    </r>
    <rPh sb="9" eb="12">
      <t>ハンテイチュウ</t>
    </rPh>
    <phoneticPr fontId="1"/>
  </si>
  <si>
    <t>VEH_OPEMD_MDBIT_IGBD</t>
    <phoneticPr fontId="1"/>
  </si>
  <si>
    <t>VEH_OPEMD_MDBIT_PBA/+BA</t>
    <phoneticPr fontId="1"/>
  </si>
  <si>
    <t>Battery Connect/MCU Reset</t>
    <phoneticPr fontId="1"/>
  </si>
  <si>
    <t>ECU Wakeup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</si>
</sst>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sz val="10"/>
      <name val="ＭＳ Ｐゴシック"/>
      <family val="3"/>
      <charset val="128"/>
    </font>
    <font>
      <sz val="11"/>
      <color theme="1"/>
      <name val="Tahoma"/>
      <family val="2"/>
    </font>
    <font>
      <sz val="11"/>
      <color theme="1"/>
      <name val="HG丸ｺﾞｼｯｸM-PRO"/>
      <family val="3"/>
      <charset val="128"/>
    </font>
    <font>
      <sz val="11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8"/>
        <bgColor indexed="64"/>
      </patternFill>
    </fill>
  </fills>
  <borders count="12">
    <border>
      <left/>
      <right/>
      <top/>
      <bottom/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24">
    <xf numFmtId="0" fontId="0" fillId="0" borderId="0" xfId="0"/>
    <xf numFmtId="49" fontId="2" fillId="2" borderId="1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vertical="center"/>
    </xf>
    <xf numFmtId="49" fontId="2" fillId="2" borderId="4" xfId="0" applyNumberFormat="1" applyFont="1" applyFill="1" applyBorder="1" applyAlignment="1">
      <alignment horizontal="center" vertical="center"/>
    </xf>
    <xf numFmtId="49" fontId="2" fillId="0" borderId="5" xfId="0" applyNumberFormat="1" applyFont="1" applyBorder="1" applyAlignment="1">
      <alignment vertical="center"/>
    </xf>
    <xf numFmtId="49" fontId="2" fillId="0" borderId="0" xfId="0" applyNumberFormat="1" applyFont="1" applyAlignment="1">
      <alignment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3" borderId="0" xfId="0" applyNumberFormat="1" applyFont="1" applyFill="1" applyAlignment="1">
      <alignment vertical="center"/>
    </xf>
    <xf numFmtId="49" fontId="2" fillId="4" borderId="1" xfId="0" applyNumberFormat="1" applyFont="1" applyFill="1" applyBorder="1" applyAlignment="1">
      <alignment horizontal="center" vertical="center"/>
    </xf>
    <xf numFmtId="49" fontId="2" fillId="4" borderId="3" xfId="0" applyNumberFormat="1" applyFont="1" applyFill="1" applyBorder="1" applyAlignment="1">
      <alignment horizontal="center" vertical="center"/>
    </xf>
    <xf numFmtId="49" fontId="2" fillId="2" borderId="6" xfId="0" applyNumberFormat="1" applyFont="1" applyFill="1" applyBorder="1" applyAlignment="1">
      <alignment horizontal="center" vertical="center"/>
    </xf>
    <xf numFmtId="49" fontId="2" fillId="2" borderId="7" xfId="0" applyNumberFormat="1" applyFont="1" applyFill="1" applyBorder="1" applyAlignment="1">
      <alignment horizontal="center" vertical="center"/>
    </xf>
    <xf numFmtId="49" fontId="2" fillId="0" borderId="8" xfId="0" applyNumberFormat="1" applyFont="1" applyBorder="1" applyAlignment="1">
      <alignment vertical="center"/>
    </xf>
    <xf numFmtId="49" fontId="2" fillId="0" borderId="9" xfId="0" applyNumberFormat="1" applyFont="1" applyBorder="1" applyAlignment="1">
      <alignment vertical="center"/>
    </xf>
    <xf numFmtId="49" fontId="2" fillId="2" borderId="10" xfId="0" applyNumberFormat="1" applyFont="1" applyFill="1" applyBorder="1" applyAlignment="1">
      <alignment horizontal="center" vertical="center"/>
    </xf>
    <xf numFmtId="49" fontId="2" fillId="2" borderId="1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textRotation="90"/>
    </xf>
    <xf numFmtId="0" fontId="3" fillId="0" borderId="0" xfId="0" applyFont="1" applyAlignment="1">
      <alignment textRotation="90" wrapText="1"/>
    </xf>
    <xf numFmtId="0" fontId="3" fillId="0" borderId="0" xfId="0" applyFont="1"/>
    <xf numFmtId="0" fontId="3" fillId="0" borderId="0" xfId="0" applyFont="1" applyAlignment="1">
      <alignment horizontal="center" vertical="center" textRotation="90"/>
    </xf>
    <xf numFmtId="0" fontId="3" fillId="0" borderId="0" xfId="0" applyFont="1" applyAlignment="1">
      <alignment horizontal="center" vertical="center" textRotation="90" wrapText="1"/>
    </xf>
    <xf numFmtId="0" fontId="5" fillId="0" borderId="0" xfId="0" applyFont="1" applyAlignment="1">
      <alignment horizontal="center" vertical="center" textRotation="90"/>
    </xf>
  </cellXfs>
  <cellStyles count="1">
    <cellStyle name="標準" xfId="0" builtinId="0"/>
  </cellStyles>
  <dxfs count="4"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141751</xdr:colOff>
      <xdr:row>15</xdr:row>
      <xdr:rowOff>112059</xdr:rowOff>
    </xdr:from>
    <xdr:to>
      <xdr:col>28</xdr:col>
      <xdr:colOff>137792</xdr:colOff>
      <xdr:row>44</xdr:row>
      <xdr:rowOff>9355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5ABA4DB8-67CC-BAEC-E827-9F57F4E37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3104" y="4650441"/>
          <a:ext cx="9140041" cy="50968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3"/>
  <sheetViews>
    <sheetView tabSelected="1" zoomScale="85" zoomScaleNormal="85" workbookViewId="0">
      <pane ySplit="3" topLeftCell="A4" activePane="bottomLeft" state="frozen"/>
      <selection pane="bottomLeft" activeCell="AP22" sqref="AP22"/>
    </sheetView>
  </sheetViews>
  <sheetFormatPr defaultRowHeight="14.25" x14ac:dyDescent="0.2"/>
  <cols>
    <col min="1" max="1" width="3.875" style="20" bestFit="1" customWidth="1"/>
    <col min="2" max="2" width="5" style="20" bestFit="1" customWidth="1"/>
    <col min="3" max="18" width="3.625" style="20" customWidth="1"/>
    <col min="19" max="19" width="9" style="20"/>
    <col min="20" max="21" width="3.5" style="20" bestFit="1" customWidth="1"/>
    <col min="22" max="22" width="18.375" style="20" bestFit="1" customWidth="1"/>
    <col min="23" max="23" width="3.375" style="20" customWidth="1"/>
    <col min="24" max="39" width="3.625" style="20" customWidth="1"/>
    <col min="40" max="40" width="9" style="20"/>
    <col min="41" max="42" width="3.5" style="20" bestFit="1" customWidth="1"/>
    <col min="43" max="43" width="18.375" style="20" bestFit="1" customWidth="1"/>
    <col min="44" max="44" width="26.25" style="20" bestFit="1" customWidth="1"/>
    <col min="45" max="16384" width="9" style="20"/>
  </cols>
  <sheetData>
    <row r="1" spans="1:44" ht="159.75" x14ac:dyDescent="0.2">
      <c r="A1" s="18"/>
      <c r="C1" s="18"/>
      <c r="D1" s="18"/>
      <c r="E1" s="18"/>
      <c r="F1" s="18"/>
      <c r="G1" s="18"/>
      <c r="H1" s="18"/>
      <c r="I1" s="18"/>
      <c r="J1" s="18"/>
      <c r="K1" s="18"/>
      <c r="L1" s="18" t="s">
        <v>49</v>
      </c>
      <c r="M1" s="19" t="s">
        <v>50</v>
      </c>
      <c r="N1" s="19" t="s">
        <v>51</v>
      </c>
      <c r="O1" s="18" t="s">
        <v>52</v>
      </c>
      <c r="P1" s="18" t="s">
        <v>53</v>
      </c>
      <c r="Q1" s="18" t="s">
        <v>54</v>
      </c>
      <c r="R1" s="18" t="s">
        <v>55</v>
      </c>
      <c r="X1" s="18"/>
      <c r="Y1" s="18"/>
      <c r="Z1" s="18"/>
      <c r="AA1" s="18"/>
      <c r="AB1" s="18"/>
      <c r="AC1" s="18"/>
      <c r="AD1" s="18"/>
      <c r="AE1" s="18"/>
      <c r="AF1" s="18"/>
      <c r="AG1" s="21" t="s">
        <v>56</v>
      </c>
      <c r="AH1" s="22" t="s">
        <v>48</v>
      </c>
      <c r="AI1" s="22" t="s">
        <v>47</v>
      </c>
      <c r="AJ1" s="21" t="s">
        <v>57</v>
      </c>
      <c r="AK1" s="21" t="s">
        <v>46</v>
      </c>
      <c r="AL1" s="23" t="s">
        <v>45</v>
      </c>
      <c r="AM1" s="18"/>
    </row>
    <row r="2" spans="1:44" x14ac:dyDescent="0.2">
      <c r="A2" s="18"/>
      <c r="B2" s="20" t="s">
        <v>44</v>
      </c>
      <c r="C2" s="20">
        <v>2</v>
      </c>
      <c r="D2" s="20">
        <v>2</v>
      </c>
      <c r="E2" s="20">
        <v>2</v>
      </c>
      <c r="F2" s="20">
        <v>2</v>
      </c>
      <c r="G2" s="20">
        <v>2</v>
      </c>
      <c r="H2" s="20">
        <v>2</v>
      </c>
      <c r="I2" s="20">
        <v>2</v>
      </c>
      <c r="J2" s="20">
        <v>2</v>
      </c>
      <c r="K2" s="20">
        <v>1</v>
      </c>
      <c r="L2" s="20">
        <v>1</v>
      </c>
      <c r="M2" s="20">
        <v>1</v>
      </c>
      <c r="N2" s="20">
        <v>1</v>
      </c>
      <c r="O2" s="20">
        <v>1</v>
      </c>
      <c r="P2" s="20">
        <v>1</v>
      </c>
      <c r="Q2" s="20">
        <v>1</v>
      </c>
      <c r="R2" s="20">
        <v>1</v>
      </c>
      <c r="X2" s="20">
        <v>2</v>
      </c>
      <c r="Y2" s="20">
        <v>2</v>
      </c>
      <c r="Z2" s="20">
        <v>2</v>
      </c>
      <c r="AA2" s="20">
        <v>2</v>
      </c>
      <c r="AB2" s="20">
        <v>2</v>
      </c>
      <c r="AC2" s="20">
        <v>2</v>
      </c>
      <c r="AD2" s="20">
        <v>2</v>
      </c>
      <c r="AE2" s="20">
        <v>2</v>
      </c>
      <c r="AF2" s="20">
        <v>1</v>
      </c>
      <c r="AG2" s="20">
        <v>1</v>
      </c>
      <c r="AH2" s="20">
        <v>1</v>
      </c>
      <c r="AI2" s="20">
        <v>1</v>
      </c>
      <c r="AJ2" s="20">
        <v>1</v>
      </c>
      <c r="AK2" s="20">
        <v>1</v>
      </c>
      <c r="AL2" s="20">
        <v>1</v>
      </c>
      <c r="AM2" s="20">
        <v>1</v>
      </c>
    </row>
    <row r="3" spans="1:44" x14ac:dyDescent="0.2">
      <c r="B3" s="20" t="s">
        <v>0</v>
      </c>
      <c r="C3" s="20">
        <v>15</v>
      </c>
      <c r="D3" s="20">
        <f t="shared" ref="D3:R3" si="0">C3-1</f>
        <v>14</v>
      </c>
      <c r="E3" s="20">
        <f t="shared" si="0"/>
        <v>13</v>
      </c>
      <c r="F3" s="20">
        <f t="shared" si="0"/>
        <v>12</v>
      </c>
      <c r="G3" s="20">
        <f t="shared" si="0"/>
        <v>11</v>
      </c>
      <c r="H3" s="20">
        <f t="shared" si="0"/>
        <v>10</v>
      </c>
      <c r="I3" s="20">
        <f t="shared" si="0"/>
        <v>9</v>
      </c>
      <c r="J3" s="20">
        <f t="shared" si="0"/>
        <v>8</v>
      </c>
      <c r="K3" s="20">
        <f t="shared" si="0"/>
        <v>7</v>
      </c>
      <c r="L3" s="20">
        <f t="shared" si="0"/>
        <v>6</v>
      </c>
      <c r="M3" s="20">
        <f t="shared" si="0"/>
        <v>5</v>
      </c>
      <c r="N3" s="20">
        <f t="shared" si="0"/>
        <v>4</v>
      </c>
      <c r="O3" s="20">
        <f t="shared" si="0"/>
        <v>3</v>
      </c>
      <c r="P3" s="20">
        <f t="shared" si="0"/>
        <v>2</v>
      </c>
      <c r="Q3" s="20">
        <f t="shared" si="0"/>
        <v>1</v>
      </c>
      <c r="R3" s="20">
        <f t="shared" si="0"/>
        <v>0</v>
      </c>
      <c r="X3" s="20">
        <v>15</v>
      </c>
      <c r="Y3" s="20">
        <f t="shared" ref="Y3" si="1">X3-1</f>
        <v>14</v>
      </c>
      <c r="Z3" s="20">
        <f t="shared" ref="Z3" si="2">Y3-1</f>
        <v>13</v>
      </c>
      <c r="AA3" s="20">
        <f t="shared" ref="AA3" si="3">Z3-1</f>
        <v>12</v>
      </c>
      <c r="AB3" s="20">
        <f t="shared" ref="AB3" si="4">AA3-1</f>
        <v>11</v>
      </c>
      <c r="AC3" s="20">
        <f t="shared" ref="AC3" si="5">AB3-1</f>
        <v>10</v>
      </c>
      <c r="AD3" s="20">
        <f t="shared" ref="AD3" si="6">AC3-1</f>
        <v>9</v>
      </c>
      <c r="AE3" s="20">
        <f t="shared" ref="AE3" si="7">AD3-1</f>
        <v>8</v>
      </c>
      <c r="AF3" s="20">
        <f t="shared" ref="AF3" si="8">AE3-1</f>
        <v>7</v>
      </c>
      <c r="AG3" s="20">
        <f t="shared" ref="AG3" si="9">AF3-1</f>
        <v>6</v>
      </c>
      <c r="AH3" s="20">
        <f t="shared" ref="AH3" si="10">AG3-1</f>
        <v>5</v>
      </c>
      <c r="AI3" s="20">
        <f t="shared" ref="AI3" si="11">AH3-1</f>
        <v>4</v>
      </c>
      <c r="AJ3" s="20">
        <f t="shared" ref="AJ3" si="12">AI3-1</f>
        <v>3</v>
      </c>
      <c r="AK3" s="20">
        <f t="shared" ref="AK3" si="13">AJ3-1</f>
        <v>2</v>
      </c>
      <c r="AL3" s="20">
        <f t="shared" ref="AL3" si="14">AK3-1</f>
        <v>1</v>
      </c>
      <c r="AM3" s="20">
        <f t="shared" ref="AM3" si="15">AL3-1</f>
        <v>0</v>
      </c>
    </row>
    <row r="5" spans="1:44" x14ac:dyDescent="0.2">
      <c r="A5" s="20">
        <v>0</v>
      </c>
      <c r="C5" s="20">
        <v>0</v>
      </c>
      <c r="D5" s="20">
        <v>0</v>
      </c>
      <c r="E5" s="20">
        <v>0</v>
      </c>
      <c r="F5" s="20">
        <v>0</v>
      </c>
      <c r="G5" s="20">
        <v>0</v>
      </c>
      <c r="H5" s="20">
        <v>0</v>
      </c>
      <c r="I5" s="20">
        <v>0</v>
      </c>
      <c r="J5" s="20">
        <v>0</v>
      </c>
      <c r="K5" s="20">
        <v>0</v>
      </c>
      <c r="L5" s="20">
        <v>1</v>
      </c>
      <c r="M5" s="20">
        <v>1</v>
      </c>
      <c r="N5" s="20">
        <v>0</v>
      </c>
      <c r="O5" s="20">
        <v>0</v>
      </c>
      <c r="P5" s="20">
        <v>0</v>
      </c>
      <c r="Q5" s="20">
        <v>1</v>
      </c>
      <c r="R5" s="20">
        <v>0</v>
      </c>
      <c r="T5" s="20" t="str">
        <f t="shared" ref="T5:T10" si="16">BIN2HEX(C5&amp;D5&amp;E5&amp;F5&amp;G5&amp;H5&amp;I5&amp;J5,2)</f>
        <v>00</v>
      </c>
      <c r="U5" s="20" t="str">
        <f t="shared" ref="U5:U10" si="17">BIN2HEX(K5&amp;L5&amp;M5&amp;N5&amp;O5&amp;P5&amp;Q5&amp;R5,2)</f>
        <v>62</v>
      </c>
      <c r="V5" s="20" t="str">
        <f>"(U4)0x"&amp;T5&amp;U5&amp;"U,"</f>
        <v>(U4)0x0062U,</v>
      </c>
      <c r="X5" s="20">
        <v>0</v>
      </c>
      <c r="Y5" s="20">
        <v>0</v>
      </c>
      <c r="Z5" s="20">
        <v>0</v>
      </c>
      <c r="AA5" s="20">
        <v>0</v>
      </c>
      <c r="AB5" s="20">
        <v>0</v>
      </c>
      <c r="AC5" s="20">
        <v>0</v>
      </c>
      <c r="AD5" s="20">
        <v>0</v>
      </c>
      <c r="AE5" s="20">
        <v>0</v>
      </c>
      <c r="AF5" s="20">
        <v>0</v>
      </c>
      <c r="AG5" s="20">
        <v>1</v>
      </c>
      <c r="AH5" s="20">
        <v>1</v>
      </c>
      <c r="AI5" s="20">
        <v>0</v>
      </c>
      <c r="AJ5" s="20">
        <v>1</v>
      </c>
      <c r="AK5" s="20">
        <v>0</v>
      </c>
      <c r="AL5" s="20">
        <v>0</v>
      </c>
      <c r="AM5" s="20">
        <v>0</v>
      </c>
      <c r="AO5" s="20" t="str">
        <f t="shared" ref="AO5:AO10" si="18">BIN2HEX(X5&amp;Y5&amp;Z5&amp;AA5&amp;AB5&amp;AC5&amp;AD5&amp;AE5,2)</f>
        <v>00</v>
      </c>
      <c r="AP5" s="20" t="str">
        <f t="shared" ref="AP5:AP10" si="19">BIN2HEX(AF5&amp;AG5&amp;AH5&amp;AI5&amp;AJ5&amp;AK5&amp;AL5&amp;AM5,2)</f>
        <v>68</v>
      </c>
      <c r="AQ5" s="20" t="str">
        <f>"(U4)0x"&amp;AO5&amp;AP5&amp;"U,"</f>
        <v>(U4)0x0068U,</v>
      </c>
    </row>
    <row r="6" spans="1:44" x14ac:dyDescent="0.2">
      <c r="A6" s="20">
        <f>A5+1</f>
        <v>1</v>
      </c>
      <c r="C6" s="20">
        <v>0</v>
      </c>
      <c r="D6" s="20">
        <v>0</v>
      </c>
      <c r="E6" s="20">
        <v>0</v>
      </c>
      <c r="F6" s="20">
        <v>0</v>
      </c>
      <c r="G6" s="20">
        <v>0</v>
      </c>
      <c r="H6" s="20">
        <v>0</v>
      </c>
      <c r="I6" s="20">
        <v>0</v>
      </c>
      <c r="J6" s="20">
        <v>0</v>
      </c>
      <c r="K6" s="20">
        <v>0</v>
      </c>
      <c r="L6" s="20">
        <v>0</v>
      </c>
      <c r="M6" s="20">
        <v>1</v>
      </c>
      <c r="N6" s="20">
        <v>0</v>
      </c>
      <c r="O6" s="20">
        <v>0</v>
      </c>
      <c r="P6" s="20">
        <v>0</v>
      </c>
      <c r="Q6" s="20">
        <v>1</v>
      </c>
      <c r="R6" s="20">
        <v>0</v>
      </c>
      <c r="T6" s="20" t="str">
        <f t="shared" si="16"/>
        <v>00</v>
      </c>
      <c r="U6" s="20" t="str">
        <f t="shared" si="17"/>
        <v>22</v>
      </c>
      <c r="V6" s="20" t="str">
        <f t="shared" ref="V6:V10" si="20">"(U4)0x"&amp;T6&amp;U6&amp;"U,"</f>
        <v>(U4)0x0022U,</v>
      </c>
      <c r="X6" s="20">
        <v>0</v>
      </c>
      <c r="Y6" s="20">
        <v>0</v>
      </c>
      <c r="Z6" s="20">
        <v>0</v>
      </c>
      <c r="AA6" s="20">
        <v>0</v>
      </c>
      <c r="AB6" s="20">
        <v>0</v>
      </c>
      <c r="AC6" s="20">
        <v>0</v>
      </c>
      <c r="AD6" s="20">
        <v>0</v>
      </c>
      <c r="AE6" s="20">
        <v>0</v>
      </c>
      <c r="AF6" s="20">
        <v>0</v>
      </c>
      <c r="AG6" s="20">
        <v>0</v>
      </c>
      <c r="AH6" s="20">
        <v>1</v>
      </c>
      <c r="AI6" s="20">
        <v>0</v>
      </c>
      <c r="AJ6" s="20">
        <v>1</v>
      </c>
      <c r="AK6" s="20">
        <v>0</v>
      </c>
      <c r="AL6" s="20">
        <v>0</v>
      </c>
      <c r="AM6" s="20">
        <v>0</v>
      </c>
      <c r="AO6" s="20" t="str">
        <f t="shared" si="18"/>
        <v>00</v>
      </c>
      <c r="AP6" s="20" t="str">
        <f t="shared" si="19"/>
        <v>28</v>
      </c>
      <c r="AQ6" s="20" t="str">
        <f t="shared" ref="AQ6:AQ10" si="21">"(U4)0x"&amp;AO6&amp;AP6&amp;"U,"</f>
        <v>(U4)0x0028U,</v>
      </c>
    </row>
    <row r="7" spans="1:44" x14ac:dyDescent="0.2">
      <c r="A7" s="20">
        <f>A6+1</f>
        <v>2</v>
      </c>
      <c r="C7" s="20">
        <v>0</v>
      </c>
      <c r="D7" s="20">
        <v>0</v>
      </c>
      <c r="E7" s="20">
        <v>0</v>
      </c>
      <c r="F7" s="20">
        <v>0</v>
      </c>
      <c r="G7" s="20">
        <v>0</v>
      </c>
      <c r="H7" s="20">
        <v>0</v>
      </c>
      <c r="I7" s="20">
        <v>0</v>
      </c>
      <c r="J7" s="20">
        <v>0</v>
      </c>
      <c r="K7" s="20">
        <v>0</v>
      </c>
      <c r="L7" s="20">
        <v>1</v>
      </c>
      <c r="M7" s="20">
        <v>1</v>
      </c>
      <c r="N7" s="20">
        <v>1</v>
      </c>
      <c r="O7" s="20">
        <v>0</v>
      </c>
      <c r="P7" s="20">
        <v>1</v>
      </c>
      <c r="Q7" s="20">
        <v>1</v>
      </c>
      <c r="R7" s="20">
        <v>0</v>
      </c>
      <c r="T7" s="20" t="str">
        <f t="shared" si="16"/>
        <v>00</v>
      </c>
      <c r="U7" s="20" t="str">
        <f t="shared" si="17"/>
        <v>76</v>
      </c>
      <c r="V7" s="20" t="str">
        <f t="shared" si="20"/>
        <v>(U4)0x0076U,</v>
      </c>
      <c r="X7" s="20">
        <v>0</v>
      </c>
      <c r="Y7" s="20">
        <v>0</v>
      </c>
      <c r="Z7" s="20">
        <v>0</v>
      </c>
      <c r="AA7" s="20">
        <v>0</v>
      </c>
      <c r="AB7" s="20">
        <v>0</v>
      </c>
      <c r="AC7" s="20">
        <v>0</v>
      </c>
      <c r="AD7" s="20">
        <v>0</v>
      </c>
      <c r="AE7" s="20">
        <v>0</v>
      </c>
      <c r="AF7" s="20">
        <v>0</v>
      </c>
      <c r="AG7" s="20">
        <v>1</v>
      </c>
      <c r="AH7" s="20">
        <v>1</v>
      </c>
      <c r="AI7" s="20">
        <v>1</v>
      </c>
      <c r="AJ7" s="20">
        <v>1</v>
      </c>
      <c r="AK7" s="20">
        <v>0</v>
      </c>
      <c r="AL7" s="20">
        <v>1</v>
      </c>
      <c r="AM7" s="20">
        <v>0</v>
      </c>
      <c r="AO7" s="20" t="str">
        <f t="shared" si="18"/>
        <v>00</v>
      </c>
      <c r="AP7" s="20" t="str">
        <f t="shared" si="19"/>
        <v>7A</v>
      </c>
      <c r="AQ7" s="20" t="str">
        <f t="shared" si="21"/>
        <v>(U4)0x007AU,</v>
      </c>
    </row>
    <row r="8" spans="1:44" x14ac:dyDescent="0.2">
      <c r="A8" s="20">
        <f t="shared" ref="A8:A10" si="22">A7+1</f>
        <v>3</v>
      </c>
      <c r="C8" s="20">
        <v>0</v>
      </c>
      <c r="D8" s="20">
        <v>0</v>
      </c>
      <c r="E8" s="20">
        <v>0</v>
      </c>
      <c r="F8" s="20">
        <v>0</v>
      </c>
      <c r="G8" s="20">
        <v>0</v>
      </c>
      <c r="H8" s="20">
        <v>0</v>
      </c>
      <c r="I8" s="20">
        <v>0</v>
      </c>
      <c r="J8" s="20">
        <v>0</v>
      </c>
      <c r="K8" s="20">
        <v>0</v>
      </c>
      <c r="L8" s="20">
        <v>1</v>
      </c>
      <c r="M8" s="20">
        <v>1</v>
      </c>
      <c r="N8" s="20">
        <v>1</v>
      </c>
      <c r="O8" s="20">
        <v>1</v>
      </c>
      <c r="P8" s="20">
        <v>1</v>
      </c>
      <c r="Q8" s="20">
        <v>1</v>
      </c>
      <c r="R8" s="20">
        <v>0</v>
      </c>
      <c r="T8" s="20" t="str">
        <f t="shared" si="16"/>
        <v>00</v>
      </c>
      <c r="U8" s="20" t="str">
        <f t="shared" si="17"/>
        <v>7E</v>
      </c>
      <c r="V8" s="20" t="str">
        <f t="shared" si="20"/>
        <v>(U4)0x007EU,</v>
      </c>
      <c r="X8" s="20">
        <v>0</v>
      </c>
      <c r="Y8" s="20">
        <v>0</v>
      </c>
      <c r="Z8" s="20">
        <v>0</v>
      </c>
      <c r="AA8" s="20">
        <v>0</v>
      </c>
      <c r="AB8" s="20">
        <v>0</v>
      </c>
      <c r="AC8" s="20">
        <v>0</v>
      </c>
      <c r="AD8" s="20">
        <v>0</v>
      </c>
      <c r="AE8" s="20">
        <v>0</v>
      </c>
      <c r="AF8" s="20">
        <v>0</v>
      </c>
      <c r="AG8" s="20">
        <v>1</v>
      </c>
      <c r="AH8" s="20">
        <v>1</v>
      </c>
      <c r="AI8" s="20">
        <v>1</v>
      </c>
      <c r="AJ8" s="20">
        <v>1</v>
      </c>
      <c r="AK8" s="20">
        <v>1</v>
      </c>
      <c r="AL8" s="20">
        <v>1</v>
      </c>
      <c r="AM8" s="20">
        <v>0</v>
      </c>
      <c r="AO8" s="20" t="str">
        <f t="shared" si="18"/>
        <v>00</v>
      </c>
      <c r="AP8" s="20" t="str">
        <f t="shared" si="19"/>
        <v>7E</v>
      </c>
      <c r="AQ8" s="20" t="str">
        <f t="shared" si="21"/>
        <v>(U4)0x007EU,</v>
      </c>
    </row>
    <row r="9" spans="1:44" x14ac:dyDescent="0.2">
      <c r="A9" s="20">
        <f t="shared" si="22"/>
        <v>4</v>
      </c>
      <c r="C9" s="20">
        <v>0</v>
      </c>
      <c r="D9" s="20">
        <v>0</v>
      </c>
      <c r="E9" s="20">
        <v>0</v>
      </c>
      <c r="F9" s="20">
        <v>0</v>
      </c>
      <c r="G9" s="20">
        <v>0</v>
      </c>
      <c r="H9" s="20">
        <v>0</v>
      </c>
      <c r="I9" s="20">
        <v>0</v>
      </c>
      <c r="J9" s="20">
        <v>0</v>
      </c>
      <c r="K9" s="20">
        <v>0</v>
      </c>
      <c r="L9" s="20">
        <v>1</v>
      </c>
      <c r="M9" s="20">
        <v>1</v>
      </c>
      <c r="N9" s="20">
        <v>0</v>
      </c>
      <c r="O9" s="20">
        <v>0</v>
      </c>
      <c r="P9" s="20">
        <v>1</v>
      </c>
      <c r="Q9" s="20">
        <v>1</v>
      </c>
      <c r="R9" s="20">
        <v>0</v>
      </c>
      <c r="T9" s="20" t="str">
        <f t="shared" si="16"/>
        <v>00</v>
      </c>
      <c r="U9" s="20" t="str">
        <f t="shared" si="17"/>
        <v>66</v>
      </c>
      <c r="V9" s="20" t="str">
        <f t="shared" si="20"/>
        <v>(U4)0x0066U,</v>
      </c>
      <c r="X9" s="20">
        <v>0</v>
      </c>
      <c r="Y9" s="20">
        <v>0</v>
      </c>
      <c r="Z9" s="20">
        <v>0</v>
      </c>
      <c r="AA9" s="20">
        <v>0</v>
      </c>
      <c r="AB9" s="20">
        <v>0</v>
      </c>
      <c r="AC9" s="20">
        <v>0</v>
      </c>
      <c r="AD9" s="20">
        <v>0</v>
      </c>
      <c r="AE9" s="20">
        <v>0</v>
      </c>
      <c r="AF9" s="20">
        <v>0</v>
      </c>
      <c r="AG9" s="20">
        <v>1</v>
      </c>
      <c r="AH9" s="20">
        <v>1</v>
      </c>
      <c r="AI9" s="20">
        <v>0</v>
      </c>
      <c r="AJ9" s="20">
        <v>1</v>
      </c>
      <c r="AK9" s="20">
        <v>0</v>
      </c>
      <c r="AL9" s="20">
        <v>1</v>
      </c>
      <c r="AM9" s="20">
        <v>0</v>
      </c>
      <c r="AO9" s="20" t="str">
        <f t="shared" si="18"/>
        <v>00</v>
      </c>
      <c r="AP9" s="20" t="str">
        <f t="shared" si="19"/>
        <v>6A</v>
      </c>
      <c r="AQ9" s="20" t="str">
        <f t="shared" si="21"/>
        <v>(U4)0x006AU,</v>
      </c>
    </row>
    <row r="10" spans="1:44" x14ac:dyDescent="0.2">
      <c r="A10" s="20">
        <f t="shared" si="22"/>
        <v>5</v>
      </c>
      <c r="C10" s="20">
        <v>0</v>
      </c>
      <c r="D10" s="20">
        <v>0</v>
      </c>
      <c r="E10" s="20">
        <v>0</v>
      </c>
      <c r="F10" s="20">
        <v>0</v>
      </c>
      <c r="G10" s="20">
        <v>0</v>
      </c>
      <c r="H10" s="20">
        <v>0</v>
      </c>
      <c r="I10" s="20">
        <v>0</v>
      </c>
      <c r="J10" s="20">
        <v>0</v>
      </c>
      <c r="K10" s="20">
        <v>0</v>
      </c>
      <c r="L10" s="20">
        <v>0</v>
      </c>
      <c r="M10" s="20">
        <v>0</v>
      </c>
      <c r="N10" s="20">
        <v>0</v>
      </c>
      <c r="O10" s="20">
        <v>0</v>
      </c>
      <c r="P10" s="20">
        <v>0</v>
      </c>
      <c r="Q10" s="20">
        <v>1</v>
      </c>
      <c r="R10" s="20">
        <v>0</v>
      </c>
      <c r="T10" s="20" t="str">
        <f t="shared" si="16"/>
        <v>00</v>
      </c>
      <c r="U10" s="20" t="str">
        <f t="shared" si="17"/>
        <v>02</v>
      </c>
      <c r="V10" s="20" t="str">
        <f t="shared" si="20"/>
        <v>(U4)0x0002U,</v>
      </c>
      <c r="X10" s="20">
        <v>0</v>
      </c>
      <c r="Y10" s="20">
        <v>0</v>
      </c>
      <c r="Z10" s="20">
        <v>0</v>
      </c>
      <c r="AA10" s="20">
        <v>0</v>
      </c>
      <c r="AB10" s="20">
        <v>0</v>
      </c>
      <c r="AC10" s="20">
        <v>0</v>
      </c>
      <c r="AD10" s="20">
        <v>0</v>
      </c>
      <c r="AE10" s="20">
        <v>0</v>
      </c>
      <c r="AF10" s="20">
        <v>0</v>
      </c>
      <c r="AG10" s="20">
        <v>0</v>
      </c>
      <c r="AH10" s="20">
        <v>0</v>
      </c>
      <c r="AI10" s="20">
        <v>0</v>
      </c>
      <c r="AJ10" s="20">
        <v>1</v>
      </c>
      <c r="AK10" s="20">
        <v>0</v>
      </c>
      <c r="AL10" s="20">
        <v>0</v>
      </c>
      <c r="AM10" s="20">
        <v>0</v>
      </c>
      <c r="AO10" s="20" t="str">
        <f t="shared" si="18"/>
        <v>00</v>
      </c>
      <c r="AP10" s="20" t="str">
        <f t="shared" si="19"/>
        <v>08</v>
      </c>
      <c r="AQ10" s="20" t="str">
        <f t="shared" si="21"/>
        <v>(U4)0x0008U,</v>
      </c>
    </row>
    <row r="12" spans="1:44" x14ac:dyDescent="0.2">
      <c r="X12" s="20">
        <v>0</v>
      </c>
      <c r="Y12" s="20">
        <v>0</v>
      </c>
      <c r="Z12" s="20">
        <v>0</v>
      </c>
      <c r="AA12" s="20">
        <v>0</v>
      </c>
      <c r="AB12" s="20">
        <v>0</v>
      </c>
      <c r="AC12" s="20">
        <v>0</v>
      </c>
      <c r="AD12" s="20">
        <v>0</v>
      </c>
      <c r="AE12" s="20">
        <v>0</v>
      </c>
      <c r="AF12" s="20">
        <v>0</v>
      </c>
      <c r="AG12" s="20">
        <v>0</v>
      </c>
      <c r="AH12" s="20">
        <v>0</v>
      </c>
      <c r="AI12" s="20">
        <v>0</v>
      </c>
      <c r="AJ12" s="20">
        <v>0</v>
      </c>
      <c r="AK12" s="20">
        <v>0</v>
      </c>
      <c r="AL12" s="20">
        <v>0</v>
      </c>
      <c r="AM12" s="20">
        <v>0</v>
      </c>
      <c r="AO12" s="20" t="str">
        <f t="shared" ref="AO12" si="23">BIN2HEX(X12&amp;Y12&amp;Z12&amp;AA12&amp;AB12&amp;AC12&amp;AD12&amp;AE12,2)</f>
        <v>00</v>
      </c>
      <c r="AP12" s="20" t="str">
        <f t="shared" ref="AP12" si="24">BIN2HEX(AF12&amp;AG12&amp;AH12&amp;AI12&amp;AJ12&amp;AK12&amp;AL12&amp;AM12,2)</f>
        <v>00</v>
      </c>
      <c r="AQ12" s="20" t="str">
        <f t="shared" ref="AQ12" si="25">"(U4)0x"&amp;AO12&amp;AP12&amp;"U,"</f>
        <v>(U4)0x0000U,</v>
      </c>
      <c r="AR12" s="20" t="s">
        <v>58</v>
      </c>
    </row>
    <row r="13" spans="1:44" x14ac:dyDescent="0.2">
      <c r="X13" s="20">
        <v>0</v>
      </c>
      <c r="Y13" s="20">
        <v>0</v>
      </c>
      <c r="Z13" s="20">
        <v>0</v>
      </c>
      <c r="AA13" s="20">
        <v>0</v>
      </c>
      <c r="AB13" s="20">
        <v>0</v>
      </c>
      <c r="AC13" s="20">
        <v>0</v>
      </c>
      <c r="AD13" s="20">
        <v>0</v>
      </c>
      <c r="AE13" s="20">
        <v>0</v>
      </c>
      <c r="AF13" s="20">
        <v>0</v>
      </c>
      <c r="AG13" s="20">
        <v>0</v>
      </c>
      <c r="AH13" s="20">
        <v>0</v>
      </c>
      <c r="AI13" s="20">
        <v>0</v>
      </c>
      <c r="AJ13" s="20">
        <v>0</v>
      </c>
      <c r="AK13" s="20">
        <v>0</v>
      </c>
      <c r="AL13" s="20">
        <v>0</v>
      </c>
      <c r="AM13" s="20">
        <v>1</v>
      </c>
      <c r="AO13" s="20" t="str">
        <f t="shared" ref="AO13" si="26">BIN2HEX(X13&amp;Y13&amp;Z13&amp;AA13&amp;AB13&amp;AC13&amp;AD13&amp;AE13,2)</f>
        <v>00</v>
      </c>
      <c r="AP13" s="20" t="str">
        <f t="shared" ref="AP13" si="27">BIN2HEX(AF13&amp;AG13&amp;AH13&amp;AI13&amp;AJ13&amp;AK13&amp;AL13&amp;AM13,2)</f>
        <v>01</v>
      </c>
      <c r="AQ13" s="20" t="str">
        <f t="shared" ref="AQ13" si="28">"(U4)0x"&amp;AO13&amp;AP13&amp;"U,"</f>
        <v>(U4)0x0001U,</v>
      </c>
      <c r="AR13" s="20" t="s">
        <v>59</v>
      </c>
    </row>
  </sheetData>
  <phoneticPr fontId="1"/>
  <conditionalFormatting sqref="C5:R10">
    <cfRule type="cellIs" dxfId="3" priority="11" operator="equal">
      <formula>0</formula>
    </cfRule>
  </conditionalFormatting>
  <conditionalFormatting sqref="X5:AM10">
    <cfRule type="cellIs" dxfId="2" priority="3" operator="equal">
      <formula>0</formula>
    </cfRule>
  </conditionalFormatting>
  <conditionalFormatting sqref="X12:AM12">
    <cfRule type="cellIs" dxfId="1" priority="2" operator="equal">
      <formula>0</formula>
    </cfRule>
  </conditionalFormatting>
  <conditionalFormatting sqref="X13:AM13">
    <cfRule type="cellIs" dxfId="0" priority="1" operator="equal">
      <formula>0</formula>
    </cfRule>
  </conditionalFormatting>
  <pageMargins left="0.7" right="0.7" top="0.75" bottom="0.75" header="0.3" footer="0.3"/>
  <pageSetup paperSize="9" orientation="portrait" r:id="rId1"/>
  <headerFooter>
    <oddHeader>&amp;C&amp;"Calibri"&amp;10&amp;KFF0000 CONFIDENTIAL&amp;1#_x000D_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8D4CB-35CA-4108-8DE2-8DA0930024F7}">
  <dimension ref="A1:V16"/>
  <sheetViews>
    <sheetView zoomScaleNormal="100" workbookViewId="0">
      <selection activeCell="C23" sqref="C23"/>
    </sheetView>
  </sheetViews>
  <sheetFormatPr defaultRowHeight="18.75" x14ac:dyDescent="0.4"/>
  <cols>
    <col min="1" max="1" width="8.25" bestFit="1" customWidth="1"/>
    <col min="2" max="2" width="62" bestFit="1" customWidth="1"/>
    <col min="3" max="3" width="25.25" bestFit="1" customWidth="1"/>
    <col min="4" max="4" width="17.5" bestFit="1" customWidth="1"/>
    <col min="5" max="5" width="4.125" bestFit="1" customWidth="1"/>
    <col min="6" max="6" width="2.375" bestFit="1" customWidth="1"/>
    <col min="7" max="7" width="3.25" bestFit="1" customWidth="1"/>
    <col min="8" max="8" width="2.375" bestFit="1" customWidth="1"/>
    <col min="9" max="9" width="4.125" bestFit="1" customWidth="1"/>
    <col min="10" max="19" width="2.375" bestFit="1" customWidth="1"/>
    <col min="20" max="20" width="3.625" bestFit="1" customWidth="1"/>
    <col min="21" max="21" width="3.25" bestFit="1" customWidth="1"/>
  </cols>
  <sheetData>
    <row r="1" spans="1:22" x14ac:dyDescent="0.4">
      <c r="A1" s="1" t="s">
        <v>1</v>
      </c>
      <c r="B1" s="2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>
        <v>32</v>
      </c>
      <c r="H1" s="3" t="s">
        <v>7</v>
      </c>
      <c r="I1" s="3">
        <v>300</v>
      </c>
      <c r="J1" s="3" t="s">
        <v>7</v>
      </c>
      <c r="K1" s="3" t="s">
        <v>6</v>
      </c>
      <c r="L1" s="3" t="s">
        <v>8</v>
      </c>
      <c r="M1" s="3" t="s">
        <v>8</v>
      </c>
      <c r="N1" s="3" t="s">
        <v>6</v>
      </c>
      <c r="O1" s="3" t="s">
        <v>6</v>
      </c>
      <c r="P1" s="3" t="s">
        <v>6</v>
      </c>
      <c r="Q1" s="3" t="s">
        <v>6</v>
      </c>
      <c r="R1" s="3" t="s">
        <v>6</v>
      </c>
      <c r="S1" s="4" t="s">
        <v>8</v>
      </c>
      <c r="T1" s="1"/>
      <c r="U1" s="3"/>
      <c r="V1" s="3"/>
    </row>
    <row r="2" spans="1:22" x14ac:dyDescent="0.4">
      <c r="A2" s="5"/>
      <c r="B2" s="6" t="s">
        <v>9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7" t="s">
        <v>10</v>
      </c>
      <c r="U2" s="8" t="s">
        <v>11</v>
      </c>
      <c r="V2" s="8" t="s">
        <v>12</v>
      </c>
    </row>
    <row r="3" spans="1:22" x14ac:dyDescent="0.4">
      <c r="A3" s="5"/>
      <c r="B3" s="9" t="s">
        <v>13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7" t="s">
        <v>14</v>
      </c>
      <c r="U3" s="8" t="s">
        <v>15</v>
      </c>
      <c r="V3" s="8" t="s">
        <v>16</v>
      </c>
    </row>
    <row r="4" spans="1:22" x14ac:dyDescent="0.4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7" t="s">
        <v>17</v>
      </c>
      <c r="U4" s="8" t="s">
        <v>6</v>
      </c>
      <c r="V4" s="8" t="s">
        <v>37</v>
      </c>
    </row>
    <row r="5" spans="1:22" x14ac:dyDescent="0.4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7" t="s">
        <v>18</v>
      </c>
      <c r="U5" s="8" t="s">
        <v>6</v>
      </c>
      <c r="V5" s="8" t="s">
        <v>38</v>
      </c>
    </row>
    <row r="6" spans="1:22" x14ac:dyDescent="0.4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7" t="s">
        <v>19</v>
      </c>
      <c r="U6" s="8" t="s">
        <v>6</v>
      </c>
      <c r="V6" s="8" t="s">
        <v>39</v>
      </c>
    </row>
    <row r="7" spans="1:22" x14ac:dyDescent="0.4">
      <c r="A7" s="5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7" t="s">
        <v>20</v>
      </c>
      <c r="U7" s="8" t="s">
        <v>6</v>
      </c>
      <c r="V7" s="8" t="s">
        <v>40</v>
      </c>
    </row>
    <row r="8" spans="1:22" x14ac:dyDescent="0.4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7" t="s">
        <v>21</v>
      </c>
      <c r="U8" s="8" t="s">
        <v>6</v>
      </c>
      <c r="V8" s="8" t="s">
        <v>41</v>
      </c>
    </row>
    <row r="9" spans="1:22" x14ac:dyDescent="0.4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7" t="s">
        <v>22</v>
      </c>
      <c r="U9" s="8" t="s">
        <v>6</v>
      </c>
      <c r="V9" s="8" t="s">
        <v>42</v>
      </c>
    </row>
    <row r="10" spans="1:22" x14ac:dyDescent="0.4">
      <c r="A10" s="5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7" t="s">
        <v>23</v>
      </c>
      <c r="U10" s="8" t="s">
        <v>6</v>
      </c>
      <c r="V10" s="8" t="s">
        <v>43</v>
      </c>
    </row>
    <row r="11" spans="1:22" x14ac:dyDescent="0.4">
      <c r="A11" s="5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7" t="s">
        <v>24</v>
      </c>
      <c r="U11" s="8" t="s">
        <v>15</v>
      </c>
      <c r="V11" s="8" t="s">
        <v>25</v>
      </c>
    </row>
    <row r="12" spans="1:22" x14ac:dyDescent="0.4">
      <c r="A12" s="5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10" t="s">
        <v>26</v>
      </c>
      <c r="U12" s="11" t="s">
        <v>15</v>
      </c>
      <c r="V12" s="11" t="s">
        <v>27</v>
      </c>
    </row>
    <row r="13" spans="1:22" x14ac:dyDescent="0.4">
      <c r="A13" s="5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7" t="s">
        <v>28</v>
      </c>
      <c r="U13" s="8" t="s">
        <v>15</v>
      </c>
      <c r="V13" s="8" t="s">
        <v>29</v>
      </c>
    </row>
    <row r="14" spans="1:22" x14ac:dyDescent="0.4">
      <c r="A14" s="5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1" t="s">
        <v>30</v>
      </c>
      <c r="U14" s="3" t="s">
        <v>6</v>
      </c>
      <c r="V14" s="3" t="s">
        <v>31</v>
      </c>
    </row>
    <row r="15" spans="1:22" x14ac:dyDescent="0.4">
      <c r="A15" s="5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12" t="s">
        <v>32</v>
      </c>
      <c r="U15" s="13" t="s">
        <v>33</v>
      </c>
      <c r="V15" s="13" t="s">
        <v>34</v>
      </c>
    </row>
    <row r="16" spans="1:22" ht="19.5" thickBot="1" x14ac:dyDescent="0.45">
      <c r="A16" s="14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6" t="s">
        <v>35</v>
      </c>
      <c r="U16" s="17" t="s">
        <v>35</v>
      </c>
      <c r="V16" s="17" t="s">
        <v>36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vps_chk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TAKASHI NAGAI</dc:creator>
  <cp:lastModifiedBy>Takashi Nagai (長井 隆)</cp:lastModifiedBy>
  <dcterms:created xsi:type="dcterms:W3CDTF">2015-06-05T18:17:20Z</dcterms:created>
  <dcterms:modified xsi:type="dcterms:W3CDTF">2025-02-20T09:43:37Z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ed1414a-99f2-46f9-bbe5-740af8d1b502_Enabled">
    <vt:lpwstr>true</vt:lpwstr>
  </property>
  <property fmtid="{D5CDD505-2E9C-101B-9397-08002B2CF9AE}" pid="3" name="MSIP_Label_7ed1414a-99f2-46f9-bbe5-740af8d1b502_SetDate">
    <vt:lpwstr>2025-01-23T12:16:38Z</vt:lpwstr>
  </property>
  <property fmtid="{D5CDD505-2E9C-101B-9397-08002B2CF9AE}" pid="4" name="MSIP_Label_7ed1414a-99f2-46f9-bbe5-740af8d1b502_Method">
    <vt:lpwstr>Standard</vt:lpwstr>
  </property>
  <property fmtid="{D5CDD505-2E9C-101B-9397-08002B2CF9AE}" pid="5" name="MSIP_Label_7ed1414a-99f2-46f9-bbe5-740af8d1b502_Name">
    <vt:lpwstr>G_MIP_Confidential_Standard</vt:lpwstr>
  </property>
  <property fmtid="{D5CDD505-2E9C-101B-9397-08002B2CF9AE}" pid="6" name="MSIP_Label_7ed1414a-99f2-46f9-bbe5-740af8d1b502_SiteId">
    <vt:lpwstr>69405920-b673-4f7c-8845-e124e9d08af2</vt:lpwstr>
  </property>
  <property fmtid="{D5CDD505-2E9C-101B-9397-08002B2CF9AE}" pid="7" name="MSIP_Label_7ed1414a-99f2-46f9-bbe5-740af8d1b502_ActionId">
    <vt:lpwstr>a6d1307c-6825-41b5-9707-06057864df0c</vt:lpwstr>
  </property>
  <property fmtid="{D5CDD505-2E9C-101B-9397-08002B2CF9AE}" pid="8" name="MSIP_Label_7ed1414a-99f2-46f9-bbe5-740af8d1b502_ContentBits">
    <vt:lpwstr>1</vt:lpwstr>
  </property>
</Properties>
</file>