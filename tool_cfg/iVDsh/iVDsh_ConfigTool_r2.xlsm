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work\01.業務\BEV\03.制作\デバック用\起動ログ対応_dn-cdc-mcu-AA_BEVS3_CDC_MCU_030\tool_cfg\iVDsh\"/>
    </mc:Choice>
  </mc:AlternateContent>
  <xr:revisionPtr revIDLastSave="0" documentId="13_ncr:1_{985EBF3F-D9FE-4947-8B78-35FA21FEBA0C}" xr6:coauthVersionLast="47" xr6:coauthVersionMax="47" xr10:uidLastSave="{00000000-0000-0000-0000-000000000000}"/>
  <bookViews>
    <workbookView xWindow="-120" yWindow="-120" windowWidth="29040" windowHeight="15720"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Table'!$A$1:$P$47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AH41" i="84"/>
  <c r="BN41" i="84" s="1"/>
  <c r="Z41" i="84"/>
  <c r="BG41" i="84" s="1"/>
  <c r="R41" i="84"/>
  <c r="BL41" i="84" s="1"/>
  <c r="J41" i="84"/>
  <c r="BK40" i="84"/>
  <c r="BE40" i="84"/>
  <c r="AP40" i="84"/>
  <c r="BO40" i="84" s="1"/>
  <c r="AH40" i="84"/>
  <c r="BN40" i="84" s="1"/>
  <c r="Z40" i="84"/>
  <c r="BG40" i="84" s="1"/>
  <c r="R40" i="84"/>
  <c r="BL40" i="84" s="1"/>
  <c r="J40" i="84"/>
  <c r="BK39" i="84"/>
  <c r="BE39" i="84"/>
  <c r="AP39" i="84"/>
  <c r="BO39" i="84" s="1"/>
  <c r="AH39" i="84"/>
  <c r="BN39" i="84" s="1"/>
  <c r="Z39" i="84"/>
  <c r="BG39" i="84" s="1"/>
  <c r="R39" i="84"/>
  <c r="BL39" i="84" s="1"/>
  <c r="J39" i="84"/>
  <c r="BK38" i="84"/>
  <c r="BE38" i="84"/>
  <c r="AP38" i="84"/>
  <c r="BI38" i="84" s="1"/>
  <c r="AH38" i="84"/>
  <c r="BN38" i="84" s="1"/>
  <c r="Z38" i="84"/>
  <c r="BG38" i="84" s="1"/>
  <c r="R38" i="84"/>
  <c r="BL38" i="84" s="1"/>
  <c r="J38" i="84"/>
  <c r="BK37" i="84"/>
  <c r="BE37" i="84"/>
  <c r="AP37" i="84"/>
  <c r="BO37" i="84" s="1"/>
  <c r="AH37" i="84"/>
  <c r="BN37" i="84" s="1"/>
  <c r="Z37" i="84"/>
  <c r="BM37" i="84" s="1"/>
  <c r="R37" i="84"/>
  <c r="BL37" i="84" s="1"/>
  <c r="J37" i="84"/>
  <c r="BK36" i="84"/>
  <c r="BE36" i="84"/>
  <c r="AP36" i="84"/>
  <c r="BO36" i="84" s="1"/>
  <c r="AH36" i="84"/>
  <c r="BH36" i="84" s="1"/>
  <c r="Z36" i="84"/>
  <c r="BM36" i="84" s="1"/>
  <c r="R36" i="84"/>
  <c r="BF36" i="84" s="1"/>
  <c r="J36" i="84"/>
  <c r="BK35" i="84"/>
  <c r="BE35" i="84"/>
  <c r="AP35" i="84"/>
  <c r="BO35" i="84" s="1"/>
  <c r="AH35" i="84"/>
  <c r="BN35" i="84" s="1"/>
  <c r="Z35" i="84"/>
  <c r="BM35" i="84" s="1"/>
  <c r="R35" i="84"/>
  <c r="BL35" i="84" s="1"/>
  <c r="J35" i="84"/>
  <c r="BK34" i="84"/>
  <c r="BE34" i="84"/>
  <c r="AP34" i="84"/>
  <c r="BI34" i="84" s="1"/>
  <c r="AH34" i="84"/>
  <c r="BN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BK28" i="84"/>
  <c r="BE28" i="84"/>
  <c r="AP28" i="84"/>
  <c r="BI28" i="84" s="1"/>
  <c r="R28" i="84"/>
  <c r="BF28" i="84" s="1"/>
  <c r="J28" i="84"/>
  <c r="BK27" i="84"/>
  <c r="BE27" i="84"/>
  <c r="AP27" i="84"/>
  <c r="BI27" i="84" s="1"/>
  <c r="R27" i="84"/>
  <c r="BF27" i="84" s="1"/>
  <c r="J27" i="84"/>
  <c r="BK26" i="84"/>
  <c r="BE26" i="84"/>
  <c r="AP26" i="84"/>
  <c r="BI26" i="84" s="1"/>
  <c r="R26" i="84"/>
  <c r="BF26" i="84" s="1"/>
  <c r="J26" i="84"/>
  <c r="BK25" i="84"/>
  <c r="BE25" i="84"/>
  <c r="BB25" i="84"/>
  <c r="AP25" i="84"/>
  <c r="BI25" i="84" s="1"/>
  <c r="R25" i="84"/>
  <c r="BF25" i="84" s="1"/>
  <c r="J25" i="84"/>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H32" i="84" s="1"/>
  <c r="BH32" i="84" s="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BK41" i="83"/>
  <c r="BE41" i="83"/>
  <c r="AP41" i="83"/>
  <c r="BI41" i="83" s="1"/>
  <c r="AH41" i="83"/>
  <c r="BH41" i="83" s="1"/>
  <c r="Z41" i="83"/>
  <c r="BM41" i="83" s="1"/>
  <c r="R41" i="83"/>
  <c r="BF41" i="83" s="1"/>
  <c r="J41" i="83"/>
  <c r="BK40" i="83"/>
  <c r="BE40" i="83"/>
  <c r="AP40" i="83"/>
  <c r="BI40" i="83" s="1"/>
  <c r="AH40" i="83"/>
  <c r="BH40" i="83" s="1"/>
  <c r="Z40" i="83"/>
  <c r="BM40" i="83" s="1"/>
  <c r="R40" i="83"/>
  <c r="BF40" i="83" s="1"/>
  <c r="J40" i="83"/>
  <c r="BK39" i="83"/>
  <c r="BE39" i="83"/>
  <c r="AP39" i="83"/>
  <c r="BO39" i="83" s="1"/>
  <c r="AH39" i="83"/>
  <c r="BH39" i="83" s="1"/>
  <c r="Z39" i="83"/>
  <c r="BM39" i="83" s="1"/>
  <c r="R39" i="83"/>
  <c r="BF39" i="83" s="1"/>
  <c r="J39" i="83"/>
  <c r="BK38" i="83"/>
  <c r="BE38" i="83"/>
  <c r="AP38" i="83"/>
  <c r="BO38" i="83" s="1"/>
  <c r="AH38" i="83"/>
  <c r="BN38" i="83" s="1"/>
  <c r="Z38" i="83"/>
  <c r="BG38" i="83" s="1"/>
  <c r="R38" i="83"/>
  <c r="BF38" i="83" s="1"/>
  <c r="J38" i="83"/>
  <c r="BK37" i="83"/>
  <c r="BE37" i="83"/>
  <c r="AP37" i="83"/>
  <c r="BI37" i="83" s="1"/>
  <c r="AH37" i="83"/>
  <c r="BN37" i="83" s="1"/>
  <c r="Z37" i="83"/>
  <c r="BG37" i="83" s="1"/>
  <c r="R37" i="83"/>
  <c r="BF37" i="83" s="1"/>
  <c r="J37" i="83"/>
  <c r="BK36" i="83"/>
  <c r="BE36" i="83"/>
  <c r="AP36" i="83"/>
  <c r="BI36" i="83" s="1"/>
  <c r="AH36" i="83"/>
  <c r="BN36" i="83" s="1"/>
  <c r="Z36" i="83"/>
  <c r="BG36" i="83" s="1"/>
  <c r="R36" i="83"/>
  <c r="BF36" i="83" s="1"/>
  <c r="J36" i="83"/>
  <c r="BK35" i="83"/>
  <c r="BE35" i="83"/>
  <c r="AP35" i="83"/>
  <c r="BO35" i="83" s="1"/>
  <c r="AH35" i="83"/>
  <c r="BH35" i="83" s="1"/>
  <c r="Z35" i="83"/>
  <c r="BM35" i="83" s="1"/>
  <c r="R35" i="83"/>
  <c r="BF35" i="83" s="1"/>
  <c r="J35" i="83"/>
  <c r="BK34" i="83"/>
  <c r="BE34" i="83"/>
  <c r="AP34" i="83"/>
  <c r="BI34" i="83" s="1"/>
  <c r="AH34" i="83"/>
  <c r="BH34" i="83" s="1"/>
  <c r="Z34" i="83"/>
  <c r="BM34" i="83" s="1"/>
  <c r="R34" i="83"/>
  <c r="BF34" i="83" s="1"/>
  <c r="J34" i="83"/>
  <c r="AP33" i="83"/>
  <c r="BI33" i="83" s="1"/>
  <c r="R33" i="83"/>
  <c r="BF33" i="83" s="1"/>
  <c r="AP32" i="83"/>
  <c r="BI32" i="83" s="1"/>
  <c r="R32" i="83"/>
  <c r="BF32" i="83" s="1"/>
  <c r="AP31" i="83"/>
  <c r="BI31" i="83" s="1"/>
  <c r="R31" i="83"/>
  <c r="BL31" i="83" s="1"/>
  <c r="AP30" i="83"/>
  <c r="BO30" i="83" s="1"/>
  <c r="R30" i="83"/>
  <c r="BF30" i="83" s="1"/>
  <c r="AP29" i="83"/>
  <c r="BO29" i="83" s="1"/>
  <c r="R29" i="83"/>
  <c r="BL29" i="83" s="1"/>
  <c r="AP28" i="83"/>
  <c r="BI28" i="83" s="1"/>
  <c r="R28" i="83"/>
  <c r="BF28" i="83" s="1"/>
  <c r="AP27" i="83"/>
  <c r="BO27" i="83" s="1"/>
  <c r="R27" i="83"/>
  <c r="BL27" i="83" s="1"/>
  <c r="AP26" i="83"/>
  <c r="BI26" i="83" s="1"/>
  <c r="R26" i="83"/>
  <c r="BF26" i="83" s="1"/>
  <c r="BB25" i="83"/>
  <c r="AP25" i="83"/>
  <c r="BO25" i="83" s="1"/>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AH41" i="82"/>
  <c r="BN41" i="82" s="1"/>
  <c r="Z41" i="82"/>
  <c r="BG41" i="82" s="1"/>
  <c r="R41" i="82"/>
  <c r="BF41" i="82" s="1"/>
  <c r="J41" i="82"/>
  <c r="BK40" i="82"/>
  <c r="BE40" i="82"/>
  <c r="AP40" i="82"/>
  <c r="BO40" i="82" s="1"/>
  <c r="AH40" i="82"/>
  <c r="BN40" i="82" s="1"/>
  <c r="Z40" i="82"/>
  <c r="BG40" i="82" s="1"/>
  <c r="R40" i="82"/>
  <c r="BF40" i="82" s="1"/>
  <c r="J40" i="82"/>
  <c r="BK39" i="82"/>
  <c r="BE39" i="82"/>
  <c r="AP39" i="82"/>
  <c r="BO39" i="82" s="1"/>
  <c r="AH39" i="82"/>
  <c r="BN39" i="82" s="1"/>
  <c r="Z39" i="82"/>
  <c r="BG39" i="82" s="1"/>
  <c r="R39" i="82"/>
  <c r="BL39" i="82" s="1"/>
  <c r="J39" i="82"/>
  <c r="BK38" i="82"/>
  <c r="BE38" i="82"/>
  <c r="AP38" i="82"/>
  <c r="BI38" i="82" s="1"/>
  <c r="AH38" i="82"/>
  <c r="BH38" i="82" s="1"/>
  <c r="Z38" i="82"/>
  <c r="BG38" i="82" s="1"/>
  <c r="R38" i="82"/>
  <c r="BF38" i="82" s="1"/>
  <c r="J38" i="82"/>
  <c r="BK37" i="82"/>
  <c r="BE37" i="82"/>
  <c r="AP37" i="82"/>
  <c r="BI37" i="82" s="1"/>
  <c r="AH37" i="82"/>
  <c r="BH37" i="82" s="1"/>
  <c r="Z37" i="82"/>
  <c r="BM37" i="82" s="1"/>
  <c r="R37" i="82"/>
  <c r="BL37" i="82" s="1"/>
  <c r="J37" i="82"/>
  <c r="BK36" i="82"/>
  <c r="BE36" i="82"/>
  <c r="AP36" i="82"/>
  <c r="BO36" i="82" s="1"/>
  <c r="AH36" i="82"/>
  <c r="BH36" i="82" s="1"/>
  <c r="Z36" i="82"/>
  <c r="BG36" i="82" s="1"/>
  <c r="R36" i="82"/>
  <c r="BL36" i="82" s="1"/>
  <c r="J36" i="82"/>
  <c r="BK35" i="82"/>
  <c r="BE35" i="82"/>
  <c r="AP35" i="82"/>
  <c r="BI35" i="82" s="1"/>
  <c r="AH35" i="82"/>
  <c r="BH35" i="82" s="1"/>
  <c r="Z35" i="82"/>
  <c r="BG35" i="82" s="1"/>
  <c r="R35" i="82"/>
  <c r="BL35" i="82" s="1"/>
  <c r="J35" i="82"/>
  <c r="BK34" i="82"/>
  <c r="BE34" i="82"/>
  <c r="AP34" i="82"/>
  <c r="BI34" i="82" s="1"/>
  <c r="AH34" i="82"/>
  <c r="BH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AP28" i="82"/>
  <c r="BI28" i="82" s="1"/>
  <c r="R28" i="82"/>
  <c r="BF28" i="82" s="1"/>
  <c r="AP27" i="82"/>
  <c r="BI27" i="82" s="1"/>
  <c r="R27" i="82"/>
  <c r="BF27" i="82" s="1"/>
  <c r="AP26" i="82"/>
  <c r="BO26" i="82" s="1"/>
  <c r="R26" i="82"/>
  <c r="BL26" i="82" s="1"/>
  <c r="BB25" i="82"/>
  <c r="AP25" i="82"/>
  <c r="BI25" i="82" s="1"/>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R23" i="83" l="1"/>
  <c r="BF23" i="83" s="1"/>
  <c r="R23" i="82"/>
  <c r="BF23" i="82" s="1"/>
  <c r="Z33" i="82"/>
  <c r="BM33" i="82" s="1"/>
  <c r="AH31" i="82"/>
  <c r="BH31" i="82" s="1"/>
  <c r="AH33" i="82"/>
  <c r="BN33" i="82" s="1"/>
  <c r="Z33" i="83"/>
  <c r="BG33" i="83" s="1"/>
  <c r="AH33" i="83"/>
  <c r="BN33" i="83" s="1"/>
  <c r="Z33" i="84"/>
  <c r="BM33" i="84" s="1"/>
  <c r="AP24" i="82"/>
  <c r="BI24" i="82" s="1"/>
  <c r="AP24" i="84"/>
  <c r="BI24" i="84" s="1"/>
  <c r="Z31" i="82"/>
  <c r="BG31" i="82" s="1"/>
  <c r="AH32" i="83"/>
  <c r="BN32" i="83" s="1"/>
  <c r="AH30" i="83"/>
  <c r="BN30" i="83" s="1"/>
  <c r="Z32" i="82"/>
  <c r="BG32" i="82" s="1"/>
  <c r="Z31" i="84"/>
  <c r="BG31" i="84" s="1"/>
  <c r="AP23" i="82"/>
  <c r="BI23" i="82" s="1"/>
  <c r="AP22" i="82"/>
  <c r="BI22" i="82" s="1"/>
  <c r="AP22" i="84"/>
  <c r="BO22" i="84" s="1"/>
  <c r="BI253" i="82"/>
  <c r="AH30" i="82"/>
  <c r="BN30" i="82" s="1"/>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H40" i="84"/>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0"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O22"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N35"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I27" i="83"/>
  <c r="BO32" i="83"/>
  <c r="BG34" i="83"/>
  <c r="BG35" i="83"/>
  <c r="BH37"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O26" i="84"/>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K17" i="84" s="1"/>
  <c r="BE17"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Z27" i="84"/>
  <c r="BG27" i="84" s="1"/>
  <c r="BH35"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O24" i="84"/>
  <c r="BI35" i="84"/>
  <c r="BH38"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39"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N41"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N40"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G33" i="82"/>
  <c r="BH41"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L23" i="82"/>
  <c r="BH30"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Z24" i="84"/>
  <c r="BL26" i="84"/>
  <c r="BI33" i="84"/>
  <c r="BH34" i="84"/>
  <c r="BG35" i="84"/>
  <c r="BH37"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N32" i="84"/>
  <c r="BN36"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AH26" i="84"/>
  <c r="Z28" i="84"/>
  <c r="N17" i="84"/>
  <c r="U17" i="84" s="1" a="1"/>
  <c r="U17" i="84" s="1"/>
  <c r="U15" i="84" s="1"/>
  <c r="R18" i="84"/>
  <c r="AP20" i="84"/>
  <c r="Z23"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H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BH32" i="83"/>
  <c r="T35" i="83"/>
  <c r="BL35" i="83"/>
  <c r="S36" i="83"/>
  <c r="BH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BL23" i="83"/>
  <c r="S24" i="83"/>
  <c r="BL25" i="83"/>
  <c r="S26" i="83"/>
  <c r="AH28" i="83"/>
  <c r="BO28" i="83"/>
  <c r="S30" i="83"/>
  <c r="BO34" i="83"/>
  <c r="BN35"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O24" i="82"/>
  <c r="BM31" i="82"/>
  <c r="BF33" i="82"/>
  <c r="BO33" i="82"/>
  <c r="BN34" i="82"/>
  <c r="BM35" i="82"/>
  <c r="BN37" i="82"/>
  <c r="BH39" i="82"/>
  <c r="BG77" i="82"/>
  <c r="BO79" i="82"/>
  <c r="BO83" i="82"/>
  <c r="BO91" i="82"/>
  <c r="BL94" i="82"/>
  <c r="BF94" i="82"/>
  <c r="BL114" i="82"/>
  <c r="BF114" i="82"/>
  <c r="BI115" i="82"/>
  <c r="BL119" i="82"/>
  <c r="BF119" i="82"/>
  <c r="Z20" i="82"/>
  <c r="BI26" i="82"/>
  <c r="AH28" i="82"/>
  <c r="Z29" i="82"/>
  <c r="BN31" i="82"/>
  <c r="BL38" i="82"/>
  <c r="BN80" i="82"/>
  <c r="BO84" i="82"/>
  <c r="BI92" i="82"/>
  <c r="BO92" i="82"/>
  <c r="BH95" i="82"/>
  <c r="BN95" i="82"/>
  <c r="AN17" i="82"/>
  <c r="Z18" i="82"/>
  <c r="R21" i="82"/>
  <c r="Z22" i="82"/>
  <c r="BI30" i="82"/>
  <c r="BF35" i="82"/>
  <c r="BG37" i="82"/>
  <c r="BO80" i="82"/>
  <c r="BO85" i="82"/>
  <c r="P17" i="82"/>
  <c r="R19" i="82"/>
  <c r="Z24" i="82"/>
  <c r="Z26" i="82"/>
  <c r="Z30" i="82"/>
  <c r="BM36" i="82"/>
  <c r="BN38"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O25" i="82"/>
  <c r="BL27" i="82"/>
  <c r="AH29" i="82"/>
  <c r="BO29" i="82"/>
  <c r="BN36"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AI56" i="83" l="1"/>
  <c r="AJ173" i="83"/>
  <c r="AJ137" i="83"/>
  <c r="AJ379" i="83"/>
  <c r="AI479" i="83"/>
  <c r="BM33" i="83"/>
  <c r="BH33" i="82"/>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BM31" i="84"/>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BE33" i="83" s="1"/>
  <c r="F15" i="83"/>
  <c r="Q15" i="83" s="1"/>
  <c r="BE19" i="84"/>
  <c r="BM27" i="84"/>
  <c r="BN22" i="83"/>
  <c r="BE20" i="84"/>
  <c r="BK17" i="84"/>
  <c r="BK18" i="84"/>
  <c r="BE18" i="84"/>
  <c r="AP17" i="84"/>
  <c r="AP15" i="84"/>
  <c r="BF12" i="83"/>
  <c r="BL14" i="83"/>
  <c r="BL12" i="83"/>
  <c r="BL13" i="83"/>
  <c r="AW22" i="83"/>
  <c r="AV22" i="83" s="1"/>
  <c r="BN21" i="84"/>
  <c r="BH21" i="84"/>
  <c r="BH20" i="84"/>
  <c r="BN20" i="84"/>
  <c r="BM24" i="84"/>
  <c r="BG24" i="84"/>
  <c r="BG22" i="84"/>
  <c r="BM22" i="84"/>
  <c r="BI20" i="84"/>
  <c r="BO20" i="84"/>
  <c r="BI19" i="84"/>
  <c r="BO19" i="84"/>
  <c r="BM12" i="84"/>
  <c r="BM14" i="84"/>
  <c r="BG12" i="84"/>
  <c r="BM13" i="84"/>
  <c r="BF18" i="84"/>
  <c r="BL18" i="84"/>
  <c r="BM28" i="84"/>
  <c r="BG28" i="84"/>
  <c r="BF20" i="84"/>
  <c r="BL20" i="84"/>
  <c r="BL21" i="84"/>
  <c r="BF21" i="84"/>
  <c r="BH26" i="84"/>
  <c r="BN26"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41" i="84"/>
  <c r="AI40" i="84"/>
  <c r="AJ39" i="84"/>
  <c r="AI39" i="84"/>
  <c r="AJ36" i="84"/>
  <c r="AI69" i="84"/>
  <c r="AI67" i="84"/>
  <c r="AI65" i="84"/>
  <c r="AJ38" i="84"/>
  <c r="AI36" i="84"/>
  <c r="AJ35" i="84"/>
  <c r="AI119" i="84"/>
  <c r="AI117" i="84"/>
  <c r="AI38" i="84"/>
  <c r="AI35" i="84"/>
  <c r="AJ34"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I34" i="84"/>
  <c r="AW32" i="84"/>
  <c r="AI115" i="84"/>
  <c r="AJ37" i="84"/>
  <c r="AJ17" i="84"/>
  <c r="AJ18" i="84" s="1"/>
  <c r="AJ19" i="84" s="1"/>
  <c r="AJ20" i="84" s="1"/>
  <c r="AJ21" i="84" s="1"/>
  <c r="AJ22" i="84" s="1"/>
  <c r="AJ23" i="84" s="1"/>
  <c r="AJ24" i="84" s="1"/>
  <c r="AJ25" i="84" s="1"/>
  <c r="AJ26" i="84" s="1"/>
  <c r="AJ27" i="84" s="1"/>
  <c r="AJ28" i="84" s="1"/>
  <c r="AJ29" i="84" s="1"/>
  <c r="AJ30" i="84" s="1"/>
  <c r="AJ31" i="84" s="1"/>
  <c r="AJ32" i="84" s="1"/>
  <c r="AJ33"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AJ41" i="84"/>
  <c r="AJ40" i="84"/>
  <c r="AI37" i="84"/>
  <c r="BG23" i="84"/>
  <c r="BM23" i="84"/>
  <c r="BH23" i="84"/>
  <c r="BN23" i="84"/>
  <c r="BG20" i="84"/>
  <c r="BM20" i="84"/>
  <c r="BG18" i="84"/>
  <c r="BM18" i="84"/>
  <c r="BN19" i="84"/>
  <c r="BH19" i="84"/>
  <c r="BK14" i="84"/>
  <c r="BB17" i="84"/>
  <c r="BK12" i="84"/>
  <c r="BK13" i="84"/>
  <c r="J20" i="83"/>
  <c r="BN20" i="83"/>
  <c r="BH20" i="83"/>
  <c r="BH27" i="83"/>
  <c r="BN27" i="83"/>
  <c r="BN25" i="83"/>
  <c r="BH25" i="83"/>
  <c r="AW24" i="83"/>
  <c r="BH12" i="83"/>
  <c r="BN14" i="83"/>
  <c r="BN12" i="83"/>
  <c r="BN13"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H29" i="82"/>
  <c r="BN29" i="82"/>
  <c r="BG26" i="82"/>
  <c r="BM26" i="82"/>
  <c r="BH28" i="82"/>
  <c r="BN28"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N17" i="83" l="1"/>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27"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26" i="83"/>
  <c r="AR147" i="83"/>
  <c r="AR129" i="83"/>
  <c r="AR105" i="83"/>
  <c r="AQ95" i="83"/>
  <c r="AR94" i="83"/>
  <c r="AQ87" i="83"/>
  <c r="AR86" i="83"/>
  <c r="AQ79" i="83"/>
  <c r="AR78" i="83"/>
  <c r="AQ69" i="83"/>
  <c r="AR67" i="83"/>
  <c r="AQ64" i="83"/>
  <c r="AR59" i="83"/>
  <c r="AQ56" i="83"/>
  <c r="AR39" i="83"/>
  <c r="AQ30" i="83"/>
  <c r="AQ26" i="83"/>
  <c r="AR116" i="83"/>
  <c r="AR73" i="83"/>
  <c r="AR122" i="83"/>
  <c r="AR106" i="83"/>
  <c r="AQ94" i="83"/>
  <c r="AR93" i="83"/>
  <c r="AQ86" i="83"/>
  <c r="AR85" i="83"/>
  <c r="AQ78" i="83"/>
  <c r="AR77" i="83"/>
  <c r="AR71" i="83"/>
  <c r="AQ67" i="83"/>
  <c r="AR62" i="83"/>
  <c r="AQ59" i="83"/>
  <c r="AQ39" i="83"/>
  <c r="AR36" i="83"/>
  <c r="AR32" i="83"/>
  <c r="AR29" i="83"/>
  <c r="AR27" i="83"/>
  <c r="AR115" i="83"/>
  <c r="AR102" i="83"/>
  <c r="AR101" i="83"/>
  <c r="AR100" i="83"/>
  <c r="AQ93" i="83"/>
  <c r="AR92" i="83"/>
  <c r="AQ85" i="83"/>
  <c r="AR84" i="83"/>
  <c r="AQ77" i="83"/>
  <c r="AR76" i="83"/>
  <c r="AQ71" i="83"/>
  <c r="AR65" i="83"/>
  <c r="AQ62" i="83"/>
  <c r="AR57" i="83"/>
  <c r="AR38" i="83"/>
  <c r="AQ36" i="83"/>
  <c r="AR35" i="83"/>
  <c r="AQ32" i="83"/>
  <c r="AQ29" i="83"/>
  <c r="AQ90" i="83"/>
  <c r="AR89" i="83"/>
  <c r="AQ70" i="83"/>
  <c r="AQ28" i="83"/>
  <c r="AQ100" i="83"/>
  <c r="AR99" i="83"/>
  <c r="AQ92" i="83"/>
  <c r="AR91" i="83"/>
  <c r="AQ84" i="83"/>
  <c r="AR83" i="83"/>
  <c r="AQ76" i="83"/>
  <c r="AR75" i="83"/>
  <c r="AR68" i="83"/>
  <c r="AQ65" i="83"/>
  <c r="AR60" i="83"/>
  <c r="AQ57" i="83"/>
  <c r="AQ38" i="83"/>
  <c r="AQ35" i="83"/>
  <c r="AR34" i="83"/>
  <c r="AR25" i="83"/>
  <c r="AR17" i="83"/>
  <c r="AR18" i="83" s="1"/>
  <c r="AR19" i="83" s="1"/>
  <c r="AR20" i="83" s="1"/>
  <c r="AR21" i="83" s="1"/>
  <c r="AR22" i="83" s="1"/>
  <c r="AR23" i="83" s="1"/>
  <c r="AR24" i="83" s="1"/>
  <c r="AQ74" i="83"/>
  <c r="AR37" i="83"/>
  <c r="AR123" i="83"/>
  <c r="AR113" i="83"/>
  <c r="AQ99" i="83"/>
  <c r="AR98" i="83"/>
  <c r="AQ91" i="83"/>
  <c r="AR90" i="83"/>
  <c r="AQ83" i="83"/>
  <c r="AR82" i="83"/>
  <c r="AQ75" i="83"/>
  <c r="AR74" i="83"/>
  <c r="AR70" i="83"/>
  <c r="AQ68" i="83"/>
  <c r="AR63" i="83"/>
  <c r="AQ60" i="83"/>
  <c r="AQ34" i="83"/>
  <c r="AW33" i="83"/>
  <c r="AR31" i="83"/>
  <c r="AR28" i="83"/>
  <c r="AQ25"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25" i="82"/>
  <c r="AR17" i="82"/>
  <c r="AR18" i="82" s="1"/>
  <c r="AR19" i="82" s="1"/>
  <c r="AR20" i="82" s="1"/>
  <c r="AR21" i="82" s="1"/>
  <c r="AR22" i="82" s="1"/>
  <c r="AR23" i="82" s="1"/>
  <c r="AR24" i="82" s="1"/>
  <c r="AQ88" i="82"/>
  <c r="AR75" i="82"/>
  <c r="AR73" i="82"/>
  <c r="AR71" i="82"/>
  <c r="AR69" i="82"/>
  <c r="AQ34" i="82"/>
  <c r="AW33" i="82"/>
  <c r="AR31" i="82"/>
  <c r="AR28" i="82"/>
  <c r="AQ25" i="82"/>
  <c r="AQ87" i="82"/>
  <c r="AQ81" i="82"/>
  <c r="AQ77" i="82"/>
  <c r="AQ75" i="82"/>
  <c r="AQ73" i="82"/>
  <c r="AQ71" i="82"/>
  <c r="AQ69" i="82"/>
  <c r="AR37" i="82"/>
  <c r="AQ31" i="82"/>
  <c r="AQ28" i="82"/>
  <c r="AR2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27"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R26" i="82"/>
  <c r="AQ92" i="82"/>
  <c r="AQ84" i="82"/>
  <c r="AR76" i="82"/>
  <c r="AR74" i="82"/>
  <c r="AR72" i="82"/>
  <c r="AR70" i="82"/>
  <c r="AR68" i="82"/>
  <c r="AR39" i="82"/>
  <c r="AQ30" i="82"/>
  <c r="AQ26"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39" i="82"/>
  <c r="AJ105" i="82"/>
  <c r="AJ100" i="82"/>
  <c r="AI39" i="82"/>
  <c r="AJ36" i="82"/>
  <c r="AI108" i="82"/>
  <c r="AJ101" i="82"/>
  <c r="AI100" i="82"/>
  <c r="AJ38" i="82"/>
  <c r="AI36" i="82"/>
  <c r="AJ35" i="82"/>
  <c r="AI101" i="82"/>
  <c r="AI38" i="82"/>
  <c r="AI35" i="82"/>
  <c r="AJ34" i="82"/>
  <c r="AI117" i="82"/>
  <c r="AI114" i="82"/>
  <c r="AJ106" i="82"/>
  <c r="AJ97" i="82"/>
  <c r="AI34" i="82"/>
  <c r="AW32" i="82"/>
  <c r="AI109" i="82"/>
  <c r="AI95" i="82"/>
  <c r="AJ37" i="82"/>
  <c r="AJ17" i="82"/>
  <c r="AJ18" i="82" s="1"/>
  <c r="AJ19" i="82" s="1"/>
  <c r="AJ20" i="82" s="1"/>
  <c r="AJ21" i="82" s="1"/>
  <c r="AJ22" i="82" s="1"/>
  <c r="AJ23" i="82" s="1"/>
  <c r="AJ24" i="82" s="1"/>
  <c r="AJ25" i="82" s="1"/>
  <c r="AJ26" i="82" s="1"/>
  <c r="AJ27" i="82" s="1"/>
  <c r="AJ28" i="82" s="1"/>
  <c r="AJ29" i="82" s="1"/>
  <c r="AJ30" i="82" s="1"/>
  <c r="AJ31" i="82" s="1"/>
  <c r="AJ32" i="82" s="1"/>
  <c r="AJ33"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41" i="82"/>
  <c r="AJ40" i="82"/>
  <c r="AI37"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AI41" i="82"/>
  <c r="AI40"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O15" i="82"/>
  <c r="AP20" i="82" s="1"/>
  <c r="AQ17" i="82"/>
  <c r="AQ18" i="82" s="1"/>
  <c r="AQ19" i="82" s="1"/>
  <c r="AQ20" i="82" s="1"/>
  <c r="AQ21" i="82" s="1"/>
  <c r="AQ22" i="82" s="1"/>
  <c r="AQ23" i="82" s="1"/>
  <c r="AQ24"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17" i="83" l="1"/>
  <c r="BI17" i="83" s="1"/>
  <c r="Z18" i="83"/>
  <c r="Z19" i="83" s="1"/>
  <c r="BG19" i="83" s="1"/>
  <c r="BG25" i="84"/>
  <c r="BM25" i="84"/>
  <c r="Z29"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BG17" i="84"/>
  <c r="BM17" i="84"/>
  <c r="Z26" i="84"/>
  <c r="BQ17" i="84" a="1"/>
  <c r="BQ17" i="84" s="1"/>
  <c r="AO15" i="84"/>
  <c r="AH17" i="84"/>
  <c r="BK22" i="83"/>
  <c r="J23" i="83"/>
  <c r="BQ17" i="83" a="1"/>
  <c r="BQ17" i="83" s="1"/>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AP18" i="83" l="1"/>
  <c r="BI18" i="83" s="1"/>
  <c r="BO17" i="83"/>
  <c r="BG18" i="83"/>
  <c r="BM19" i="83"/>
  <c r="BM18" i="83"/>
  <c r="Z20" i="83"/>
  <c r="Z21" i="83" s="1"/>
  <c r="Z22" i="83" s="1"/>
  <c r="BM22" i="83" s="1"/>
  <c r="BK22" i="84"/>
  <c r="J23" i="84"/>
  <c r="BG29" i="84"/>
  <c r="BM29" i="84"/>
  <c r="BP17" i="84" a="1"/>
  <c r="BP17" i="84" s="1"/>
  <c r="BP17" i="83" a="1"/>
  <c r="BP17" i="83" s="1"/>
  <c r="AH24" i="84"/>
  <c r="AH25" i="84" s="1"/>
  <c r="BP17" i="82" a="1"/>
  <c r="BP17" i="82" s="1"/>
  <c r="BH17" i="84"/>
  <c r="BN17" i="84"/>
  <c r="BG26" i="84"/>
  <c r="BM26" i="84"/>
  <c r="Z30" i="84"/>
  <c r="Z32" i="84" s="1"/>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O18" i="83" l="1"/>
  <c r="AP19" i="83"/>
  <c r="BI19" i="83" s="1"/>
  <c r="BG22" i="83"/>
  <c r="BG20" i="83"/>
  <c r="BM20" i="83"/>
  <c r="BG21" i="83"/>
  <c r="Z23" i="83"/>
  <c r="Z24" i="83" s="1"/>
  <c r="BK23" i="84"/>
  <c r="J24" i="84"/>
  <c r="BK24" i="84" s="1"/>
  <c r="BM21" i="83"/>
  <c r="BM32" i="84"/>
  <c r="BG32" i="84"/>
  <c r="BN25" i="84"/>
  <c r="BH25" i="84"/>
  <c r="BN24" i="84"/>
  <c r="BH24" i="84"/>
  <c r="AH27"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AP20" i="83" l="1"/>
  <c r="AP21" i="83" s="1"/>
  <c r="BI21" i="83" s="1"/>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AH23" i="82" s="1"/>
  <c r="BO21" i="83" l="1"/>
  <c r="BI20" i="83"/>
  <c r="BO20" i="83"/>
  <c r="AP22" i="83"/>
  <c r="AP23" i="83" s="1"/>
  <c r="AP24" i="83" s="1"/>
  <c r="BN30" i="84"/>
  <c r="BH30" i="84"/>
  <c r="AH31" i="84"/>
  <c r="AH33" i="84" s="1"/>
  <c r="BM26" i="83"/>
  <c r="Z27" i="83"/>
  <c r="Z28" i="83" s="1"/>
  <c r="BG28" i="83" s="1"/>
  <c r="BM25" i="83"/>
  <c r="BG25" i="83"/>
  <c r="BH29" i="84"/>
  <c r="BN29" i="84"/>
  <c r="BH28" i="84"/>
  <c r="BN28" i="84"/>
  <c r="AH24" i="82"/>
  <c r="BH24" i="82" s="1"/>
  <c r="BK26" i="83"/>
  <c r="J27" i="83"/>
  <c r="J26" i="82"/>
  <c r="BK25" i="82"/>
  <c r="BN22" i="82"/>
  <c r="BH22" i="82"/>
  <c r="BH23" i="82"/>
  <c r="BN23" i="82"/>
  <c r="BO22" i="83" l="1"/>
  <c r="BI22" i="83"/>
  <c r="BN33" i="84"/>
  <c r="BH33" i="84"/>
  <c r="BO24" i="83"/>
  <c r="BI24" i="83"/>
  <c r="BN31" i="84"/>
  <c r="BH31" i="84"/>
  <c r="BO23" i="83"/>
  <c r="BI23" i="83"/>
  <c r="BM28" i="83"/>
  <c r="Z29" i="83"/>
  <c r="BM29" i="83" s="1"/>
  <c r="BG27" i="83"/>
  <c r="BN24" i="82"/>
  <c r="BM27" i="83"/>
  <c r="AH25" i="82"/>
  <c r="J28" i="83"/>
  <c r="BK27" i="83"/>
  <c r="BK26" i="82"/>
  <c r="J27" i="82"/>
  <c r="Z30" i="83" l="1"/>
  <c r="BG30" i="83" s="1"/>
  <c r="BG29" i="83"/>
  <c r="BN25" i="82"/>
  <c r="BH25" i="82"/>
  <c r="AH26" i="82"/>
  <c r="AH27" i="82" s="1"/>
  <c r="J29" i="83"/>
  <c r="BK28" i="83"/>
  <c r="J28" i="82"/>
  <c r="BK27" i="82"/>
  <c r="BM30" i="83" l="1"/>
  <c r="Z31" i="83"/>
  <c r="BH27" i="82"/>
  <c r="AH32" i="82"/>
  <c r="BK29" i="83"/>
  <c r="J30" i="83"/>
  <c r="BN27" i="82"/>
  <c r="BN26" i="82"/>
  <c r="BH26" i="82"/>
  <c r="BK28" i="82"/>
  <c r="J29" i="82"/>
  <c r="BH32" i="82" l="1"/>
  <c r="BN32" i="82"/>
  <c r="BM31" i="83"/>
  <c r="BG31" i="83"/>
  <c r="BK30" i="83"/>
  <c r="J31" i="83"/>
  <c r="J30" i="82"/>
  <c r="BK29" i="82"/>
  <c r="BK30" i="82" l="1"/>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BK32" i="83" l="1"/>
  <c r="J33" i="83"/>
  <c r="BK33" i="83" s="1"/>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K32" i="82" l="1"/>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BK17" i="79" l="1"/>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AW26" i="79" l="1"/>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BQ17" i="79" l="1"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P17" i="79" l="1"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R18" i="79" l="1"/>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O18" i="79" l="1"/>
  <c r="BI18" i="79"/>
  <c r="AP19" i="79"/>
  <c r="AP20" i="79" s="1"/>
  <c r="BK25" i="79"/>
  <c r="J26" i="79"/>
  <c r="Z21" i="79"/>
  <c r="BG20" i="79"/>
  <c r="BM20" i="79"/>
  <c r="BI20" i="79" l="1"/>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<sst xmlns="http://schemas.openxmlformats.org/spreadsheetml/2006/main" count="1724" uniqueCount="465">
  <si>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</si>
  <si>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</si>
  <si>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</si>
  <si>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</si>
  <si>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</si>
  <si>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</si>
  <si>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</si>
  <si>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</si>
  <si>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</si>
  <si>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</si>
  <si>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</si>
  <si>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</si>
  <si>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</si>
  <si>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</si>
  <si>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</si>
  <si>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</si>
  <si>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</si>
  <si>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</si>
  <si>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</si>
  <si>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</si>
  <si>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</si>
  <si>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</si>
  <si>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</si>
  <si>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</si>
  <si>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</si>
  <si>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</si>
  <si>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</si>
  <si>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</si>
  <si>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</si>
  <si>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</si>
  <si>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</si>
  <si>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</si>
  <si>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</si>
  <si>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</si>
  <si>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</si>
  <si>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</si>
  <si>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</si>
  <si>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</si>
  <si>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</si>
  <si>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</si>
  <si>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</si>
  <si>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</si>
  <si>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</si>
  <si>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</si>
  <si>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</si>
  <si>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</si>
  <si>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</si>
  <si>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</si>
  <si>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</si>
  <si>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</si>
  <si>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</si>
  <si>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</si>
  <si>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</si>
  <si>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</si>
  <si>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</si>
  <si>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</si>
  <si>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</si>
  <si>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</si>
  <si>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</si>
  <si>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</si>
  <si>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</si>
  <si>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</si>
  <si>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</si>
  <si>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</si>
  <si>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</si>
  <si>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</si>
  <si>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</si>
  <si>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</si>
  <si>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</si>
  <si>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</si>
  <si>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</si>
  <si>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</si>
  <si>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</si>
  <si>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</si>
  <si>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</si>
  <si>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</si>
  <si>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</si>
  <si>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</si>
  <si>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</si>
  <si>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</si>
  <si>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</si>
  <si>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</si>
  <si>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</si>
  <si>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</si>
  <si>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</si>
  <si>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</si>
  <si>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</si>
  <si>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</si>
  <si>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</si>
  <si>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</si>
  <si>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</si>
  <si>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</si>
  <si>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</si>
  <si>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</si>
  <si>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</si>
  <si>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</si>
  <si>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</si>
  <si>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</si>
  <si>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</si>
  <si>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</si>
  <si>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</si>
  <si>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</si>
  <si>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</si>
  <si>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</si>
  <si>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</si>
  <si>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</si>
  <si>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</si>
  <si>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</si>
  <si>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</si>
  <si>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</si>
  <si>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</si>
  <si>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</si>
  <si>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</si>
  <si>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</si>
  <si>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</si>
  <si>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</si>
  <si>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</si>
  <si>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</si>
  <si>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</si>
  <si>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</si>
  <si>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</si>
  <si>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</si>
  <si>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</si>
  <si>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</si>
  <si>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</si>
  <si>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</si>
  <si>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</si>
  <si>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</si>
  <si>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</si>
  <si>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</si>
  <si>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車両信号</t>
  </si>
  <si>
    <t>BOOT端子検知結果
2025/04/17 向けは不要
※VM2に移す予定
IVIでこれが必要かも含めて確認</t>
  </si>
  <si>
    <t>=HYPERLINK("https://wiki.geniie.net/display/~toru.kimura.j7d@jp.denso.com";"2025/04/25 
PreCV向け
2025/04/07 
T.Nagai コメント
木村 徹 Toru KIMURA ,
袁 振明 Zhenming YUAN")</t>
  </si>
  <si>
    <t>OTAアクティベート状態
によるSiP電源OFF通知</t>
  </si>
  <si>
    <t>2025/04/25 
PreCV向け？</t>
  </si>
  <si>
    <t>TEST端子検知結果
2025/04/17 向けは不要
※VM2に移す予定
IVIでこれが必要かも含めて確認</t>
  </si>
  <si>
    <t>24H/12H切替
※不揮発性メモリ保持必要</t>
  </si>
  <si>
    <t>タイムゾーン</t>
  </si>
  <si>
    <t>2025/04/25
PreCV向け</t>
  </si>
  <si>
    <t>タイムゾーン符号</t>
  </si>
  <si>
    <t>夏時間情報</t>
  </si>
  <si>
    <t>カレンダ(年月日)
※不揮発性メモリ保持必要</t>
  </si>
  <si>
    <t>調整日付</t>
  </si>
  <si>
    <t>デフォルト年月日</t>
  </si>
  <si>
    <t>下限年</t>
  </si>
  <si>
    <t>SPI通信監視</t>
  </si>
  <si>
    <t>途絶結果</t>
  </si>
  <si>
    <t>2025/06/06
PreCV向け</t>
  </si>
  <si>
    <t>映像/カメラ制御</t>
  </si>
  <si>
    <t>2025/06/13 
PreCV向け</t>
  </si>
  <si>
    <t>表示用映像サイズ(CenterDisp)</t>
  </si>
  <si>
    <t>CAN制御</t>
  </si>
  <si>
    <t>レジスタ固着状態
CAN通信異常ステータス(G2M-1用)</t>
  </si>
  <si>
    <t>2025/05/21
2025/05/29 
データの持たせ方を変更</t>
  </si>
  <si>
    <t>2025/06/27 
PreCV向け</t>
  </si>
  <si>
    <t>レジスタ固着状態
CAN通信異常ステータス(G5M用)</t>
  </si>
  <si>
    <t>レジスタ固着状態
CAN通信異常ステータス(G2M-2用)</t>
  </si>
  <si>
    <t>レジスタ固着状態
CAN通信異常ステータス(LCAN用)</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</si>
  <si>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</si>
  <si>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</si>
  <si>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</si>
  <si>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</si>
  <si>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</si>
  <si>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</si>
  <si>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</si>
  <si>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</si>
  <si>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</si>
  <si>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</si>
  <si>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</si>
  <si>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</si>
  <si>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</si>
  <si>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</si>
  <si>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</si>
  <si>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</si>
  <si>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</si>
  <si>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</si>
  <si>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</si>
  <si>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</si>
  <si>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</si>
  <si>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</si>
  <si>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</si>
  <si>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</si>
  <si>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</si>
  <si>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</si>
  <si>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</si>
  <si>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</si>
  <si>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</si>
  <si>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</si>
  <si>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</si>
  <si>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</si>
  <si>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</si>
  <si>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</si>
  <si>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</si>
  <si>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</si>
  <si>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</si>
  <si>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</si>
  <si>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</si>
  <si>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</si>
  <si>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</si>
  <si>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</si>
  <si>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</si>
  <si>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</si>
  <si>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</si>
  <si>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</si>
  <si>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</si>
  <si>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</si>
  <si>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</si>
  <si>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</si>
  <si>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</si>
  <si>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</si>
  <si>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</si>
  <si>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</si>
  <si>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</si>
  <si>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</si>
  <si>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</si>
  <si>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</si>
  <si>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</si>
  <si>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</si>
  <si>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</si>
  <si>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</si>
  <si>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</si>
  <si>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</si>
  <si>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</si>
  <si>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</si>
  <si>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</si>
  <si>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</si>
  <si>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</si>
  <si>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</si>
  <si>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</si>
  <si>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</si>
  <si>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</si>
  <si>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</si>
  <si>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</si>
  <si>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</si>
  <si>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</si>
  <si>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</si>
  <si>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</si>
  <si>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</si>
  <si>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</si>
  <si>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</si>
  <si>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</si>
  <si>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</si>
  <si>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</si>
  <si>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</si>
  <si>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</si>
  <si>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</si>
  <si>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</si>
  <si>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</si>
  <si>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</si>
  <si>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</si>
  <si>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</si>
  <si>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</si>
  <si>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</si>
  <si>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</si>
  <si>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</si>
  <si>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</si>
  <si>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</si>
  <si>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</si>
  <si>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</si>
  <si>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</si>
  <si>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</si>
  <si>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</si>
  <si>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</si>
  <si>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</si>
  <si>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</si>
  <si>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</si>
  <si>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</si>
  <si>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</si>
  <si>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</si>
  <si>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</si>
  <si>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</si>
  <si>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</si>
  <si>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</si>
  <si>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</si>
  <si>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</si>
  <si>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</si>
  <si>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</si>
  <si>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</si>
  <si>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</si>
  <si>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</si>
  <si>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</si>
  <si>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</si>
  <si>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</si>
  <si>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</si>
  <si>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</si>
  <si>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</si>
  <si>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</si>
  <si>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</si>
  <si>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</si>
  <si>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</si>
  <si>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</si>
  <si>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</si>
  <si>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</si>
  <si>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</si>
  <si>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</si>
  <si>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</si>
  <si>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</si>
  <si>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</si>
  <si>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</si>
  <si>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</si>
  <si>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</si>
  <si>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</si>
  <si>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</si>
  <si>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</si>
  <si>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</si>
  <si>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</si>
  <si>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</si>
  <si>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</si>
  <si>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</si>
  <si>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</si>
  <si>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</si>
  <si>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</si>
  <si>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</si>
  <si>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</si>
  <si>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</si>
  <si>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</si>
  <si>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</si>
  <si>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</si>
  <si>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</si>
  <si>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</si>
  <si>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</si>
  <si>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</si>
  <si>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</si>
  <si>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</si>
  <si>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</si>
  <si>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</si>
  <si>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</si>
  <si>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</si>
  <si>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</si>
  <si>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</si>
  <si>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</si>
  <si>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</si>
  <si>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</si>
  <si>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</si>
  <si>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</si>
  <si>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</si>
  <si>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</si>
  <si>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</si>
  <si>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</si>
  <si>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</si>
  <si>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</si>
  <si>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</si>
  <si>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</si>
  <si>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</si>
  <si>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</si>
  <si>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</si>
  <si>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</si>
  <si>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</si>
  <si>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</si>
  <si>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</si>
  <si>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</si>
  <si>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</si>
  <si>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</si>
  <si>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</si>
  <si>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</si>
  <si>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</si>
  <si>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</si>
  <si>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</si>
  <si>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</si>
  <si>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</si>
  <si>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</si>
  <si>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</si>
  <si>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</si>
  <si>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</si>
  <si>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</si>
  <si>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</si>
  <si>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</si>
  <si>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</si>
  <si>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</si>
  <si>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</si>
  <si>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</si>
  <si>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</si>
  <si>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</si>
  <si>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</si>
  <si>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</si>
  <si>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</si>
  <si>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</si>
  <si>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</si>
  <si>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</si>
  <si>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</si>
  <si>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</si>
  <si>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</si>
  <si>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</si>
  <si>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</si>
  <si>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</si>
  <si>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</si>
  <si>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</si>
  <si>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</si>
  <si>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</si>
  <si>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</si>
  <si>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</si>
  <si>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</si>
  <si>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</si>
  <si>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</si>
  <si>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</si>
  <si>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</si>
  <si>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</si>
  <si>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</si>
  <si>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</si>
  <si>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</si>
  <si>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</si>
  <si>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</si>
  <si>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</si>
  <si>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</si>
  <si>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</si>
  <si>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</si>
  <si>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</si>
  <si>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</si>
  <si>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</si>
  <si>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</si>
  <si>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</si>
  <si>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</si>
  <si>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</si>
  <si>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</si>
  <si>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</si>
  <si>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</si>
  <si>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</si>
  <si>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</si>
  <si>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</si>
  <si>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</si>
  <si>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</si>
  <si>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</si>
  <si>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</si>
  <si>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</si>
  <si>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</si>
  <si>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</si>
  <si>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</si>
  <si>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</si>
  <si>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</si>
  <si>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</si>
  <si>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</si>
  <si>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</si>
  <si>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</si>
  <si>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</si>
  <si>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</si>
  <si>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</si>
  <si>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</si>
  <si>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</si>
  <si>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</si>
  <si>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</si>
  <si>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</si>
  <si>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</si>
  <si>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</si>
  <si>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</si>
  <si>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</si>
  <si>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</si>
  <si>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</si>
  <si>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</si>
  <si>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</si>
  <si>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</si>
  <si>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</si>
  <si>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</si>
  <si>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</si>
  <si>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</si>
  <si>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</si>
  <si>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</si>
  <si>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</si>
  <si>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</si>
  <si>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</si>
  <si>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</si>
  <si>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</si>
  <si>
    <t>起動ログ</t>
    <rPh sb="0" eb="2">
      <t>キドウ</t>
    </rPh>
    <phoneticPr fontId="18"/>
  </si>
  <si>
    <t>VM3TO2_BOOTLOG_INF</t>
  </si>
  <si>
    <t>T</t>
    <phoneticPr fontId="18"/>
  </si>
  <si>
    <t>起動ログ計測点検知データ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</si>
</sst>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4">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47" fillId="0" borderId="0" xfId="0" applyFont="1">
      <alignment vertical="center"/>
    </xf>
    <xf numFmtId="14" fontId="47" fillId="0" borderId="0" xfId="0" applyNumberFormat="1" applyFont="1">
      <alignment vertical="center"/>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37" zoomScale="115" zoomScaleNormal="115" workbookViewId="0">
      <selection activeCell="P59" sqref="P59"/>
    </sheetView>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11"/>
  <sheetViews>
    <sheetView tabSelected="1" zoomScaleNormal="100" workbookViewId="0">
      <pane ySplit="1" topLeftCell="A2" activePane="bottomLeft" state="frozen"/>
      <selection pane="bottomLeft" activeCell="G4" sqref="G4"/>
    </sheetView>
  </sheetViews>
  <sheetFormatPr defaultRowHeight="18.75"/>
  <cols>
    <col min="1" max="1" width="9.125" bestFit="1" customWidth="1"/>
    <col min="9" max="9" width="9.125" bestFit="1" customWidth="1"/>
    <col min="14" max="14" width="9.125" bestFit="1" customWidth="1"/>
    <col min="15"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100">
        <v>2</v>
      </c>
      <c r="B2" s="31" t="s">
        <v>115</v>
      </c>
      <c r="C2" s="31" t="s">
        <v>116</v>
      </c>
      <c r="D2" s="100"/>
      <c r="E2" s="100" t="s">
        <v>117</v>
      </c>
      <c r="F2" s="100" t="s">
        <v>118</v>
      </c>
      <c r="G2" s="100" t="s">
        <v>117</v>
      </c>
      <c r="H2" s="100" t="s">
        <v>119</v>
      </c>
      <c r="I2" s="100">
        <v>1</v>
      </c>
      <c r="J2" s="31" t="s">
        <v>120</v>
      </c>
      <c r="K2" s="31" t="s">
        <v>120</v>
      </c>
      <c r="L2" s="31" t="s">
        <v>121</v>
      </c>
      <c r="M2" s="31" t="s">
        <v>122</v>
      </c>
      <c r="N2" s="31">
        <v>1</v>
      </c>
      <c r="O2" s="31"/>
      <c r="P2" s="101" t="s">
        <v>123</v>
      </c>
    </row>
    <row r="3" spans="1:16" ht="47.25">
      <c r="A3" s="100">
        <v>3</v>
      </c>
      <c r="B3" s="31" t="s">
        <v>115</v>
      </c>
      <c r="C3" s="31" t="s">
        <v>116</v>
      </c>
      <c r="D3" s="100"/>
      <c r="E3" s="100" t="s">
        <v>117</v>
      </c>
      <c r="F3" s="100" t="s">
        <v>117</v>
      </c>
      <c r="G3" s="100" t="s">
        <v>118</v>
      </c>
      <c r="H3" s="100" t="s">
        <v>119</v>
      </c>
      <c r="I3" s="100">
        <v>1</v>
      </c>
      <c r="J3" s="31" t="s">
        <v>120</v>
      </c>
      <c r="K3" s="31" t="s">
        <v>120</v>
      </c>
      <c r="L3" s="31" t="s">
        <v>121</v>
      </c>
      <c r="M3" s="31" t="s">
        <v>122</v>
      </c>
      <c r="N3" s="31">
        <v>1</v>
      </c>
      <c r="O3" s="31"/>
      <c r="P3" s="101" t="s">
        <v>123</v>
      </c>
    </row>
    <row r="4" spans="1:16" ht="94.5">
      <c r="A4" s="100">
        <v>4</v>
      </c>
      <c r="B4" s="31" t="s">
        <v>124</v>
      </c>
      <c r="C4" s="101" t="s">
        <v>125</v>
      </c>
      <c r="D4" s="100"/>
      <c r="E4" s="100" t="s">
        <v>117</v>
      </c>
      <c r="F4" s="100" t="s">
        <v>118</v>
      </c>
      <c r="G4" s="100" t="s">
        <v>119</v>
      </c>
      <c r="H4" s="100" t="s">
        <v>117</v>
      </c>
      <c r="I4" s="100">
        <v>2</v>
      </c>
      <c r="J4" s="31" t="s">
        <v>126</v>
      </c>
      <c r="K4" s="31" t="s">
        <v>126</v>
      </c>
      <c r="L4" s="31" t="s">
        <v>121</v>
      </c>
      <c r="M4" s="31" t="s">
        <v>122</v>
      </c>
      <c r="N4" s="31">
        <v>1</v>
      </c>
      <c r="O4" s="101" t="s">
        <v>127</v>
      </c>
      <c r="P4" s="101" t="s">
        <v>128</v>
      </c>
    </row>
    <row r="5" spans="1:16" ht="47.25">
      <c r="A5" s="100">
        <v>5</v>
      </c>
      <c r="B5" s="31" t="s">
        <v>115</v>
      </c>
      <c r="C5" s="31" t="s">
        <v>129</v>
      </c>
      <c r="D5" s="100"/>
      <c r="E5" s="100" t="s">
        <v>117</v>
      </c>
      <c r="F5" s="100" t="s">
        <v>117</v>
      </c>
      <c r="G5" s="100" t="s">
        <v>119</v>
      </c>
      <c r="H5" s="100" t="s">
        <v>118</v>
      </c>
      <c r="I5" s="100">
        <v>1</v>
      </c>
      <c r="J5" s="31" t="s">
        <v>120</v>
      </c>
      <c r="K5" s="31" t="s">
        <v>120</v>
      </c>
      <c r="L5" s="31" t="s">
        <v>121</v>
      </c>
      <c r="M5" s="31" t="s">
        <v>122</v>
      </c>
      <c r="N5" s="31">
        <v>1</v>
      </c>
      <c r="O5" s="102">
        <v>45715</v>
      </c>
      <c r="P5" s="101" t="s">
        <v>128</v>
      </c>
    </row>
    <row r="6" spans="1:16" ht="315">
      <c r="A6" s="100">
        <v>6</v>
      </c>
      <c r="B6" s="31" t="s">
        <v>130</v>
      </c>
      <c r="C6" s="101" t="s">
        <v>131</v>
      </c>
      <c r="D6" s="100"/>
      <c r="E6" s="100" t="s">
        <v>118</v>
      </c>
      <c r="F6" s="100" t="s">
        <v>117</v>
      </c>
      <c r="G6" s="100" t="s">
        <v>119</v>
      </c>
      <c r="H6" s="100" t="s">
        <v>117</v>
      </c>
      <c r="I6" s="100">
        <v>1</v>
      </c>
      <c r="J6" s="31" t="s">
        <v>120</v>
      </c>
      <c r="K6" s="31" t="s">
        <v>120</v>
      </c>
      <c r="L6" s="31" t="s">
        <v>121</v>
      </c>
      <c r="M6" s="31" t="s">
        <v>122</v>
      </c>
      <c r="N6" s="31"/>
      <c r="O6" s="102">
        <v>45715</v>
      </c>
      <c r="P6" s="101" t="s">
        <v>132</v>
      </c>
    </row>
    <row r="7" spans="1:16" ht="94.5">
      <c r="A7" s="100">
        <v>7</v>
      </c>
      <c r="B7" s="31" t="s">
        <v>115</v>
      </c>
      <c r="C7" s="101" t="s">
        <v>133</v>
      </c>
      <c r="D7" s="100"/>
      <c r="E7" s="100" t="s">
        <v>117</v>
      </c>
      <c r="F7" s="100" t="s">
        <v>117</v>
      </c>
      <c r="G7" s="100" t="s">
        <v>119</v>
      </c>
      <c r="H7" s="100" t="s">
        <v>118</v>
      </c>
      <c r="I7" s="100">
        <v>1</v>
      </c>
      <c r="J7" s="31" t="s">
        <v>120</v>
      </c>
      <c r="K7" s="31" t="s">
        <v>120</v>
      </c>
      <c r="L7" s="31" t="s">
        <v>121</v>
      </c>
      <c r="M7" s="31" t="s">
        <v>122</v>
      </c>
      <c r="N7" s="31">
        <v>1</v>
      </c>
      <c r="O7" s="102">
        <v>45715</v>
      </c>
      <c r="P7" s="101" t="s">
        <v>134</v>
      </c>
    </row>
    <row r="8" spans="1:16" ht="189">
      <c r="A8" s="100">
        <v>8</v>
      </c>
      <c r="B8" s="31" t="s">
        <v>130</v>
      </c>
      <c r="C8" s="101" t="s">
        <v>135</v>
      </c>
      <c r="D8" s="100"/>
      <c r="E8" s="100" t="s">
        <v>118</v>
      </c>
      <c r="F8" s="100" t="s">
        <v>117</v>
      </c>
      <c r="G8" s="100" t="s">
        <v>119</v>
      </c>
      <c r="H8" s="100" t="s">
        <v>117</v>
      </c>
      <c r="I8" s="100">
        <v>1</v>
      </c>
      <c r="J8" s="31" t="s">
        <v>120</v>
      </c>
      <c r="K8" s="31" t="s">
        <v>120</v>
      </c>
      <c r="L8" s="31" t="s">
        <v>121</v>
      </c>
      <c r="M8" s="31" t="s">
        <v>122</v>
      </c>
      <c r="N8" s="31"/>
      <c r="O8" s="102">
        <v>45715</v>
      </c>
      <c r="P8" s="101" t="s">
        <v>128</v>
      </c>
    </row>
    <row r="9" spans="1:16" ht="78.75">
      <c r="A9" s="100">
        <v>9</v>
      </c>
      <c r="B9" s="31" t="s">
        <v>124</v>
      </c>
      <c r="C9" s="101" t="s">
        <v>125</v>
      </c>
      <c r="D9" s="100"/>
      <c r="E9" s="100" t="s">
        <v>117</v>
      </c>
      <c r="F9" s="100" t="s">
        <v>119</v>
      </c>
      <c r="G9" s="100" t="s">
        <v>118</v>
      </c>
      <c r="H9" s="100" t="s">
        <v>117</v>
      </c>
      <c r="I9" s="100">
        <v>2</v>
      </c>
      <c r="J9" s="31" t="s">
        <v>126</v>
      </c>
      <c r="K9" s="31" t="s">
        <v>126</v>
      </c>
      <c r="L9" s="31" t="s">
        <v>121</v>
      </c>
      <c r="M9" s="31" t="s">
        <v>122</v>
      </c>
      <c r="N9" s="31">
        <v>1</v>
      </c>
      <c r="O9" s="102">
        <v>45756</v>
      </c>
      <c r="P9" s="101" t="s">
        <v>128</v>
      </c>
    </row>
    <row r="10" spans="1:16" ht="78.75">
      <c r="A10" s="100">
        <v>10</v>
      </c>
      <c r="B10" s="31" t="s">
        <v>124</v>
      </c>
      <c r="C10" s="101" t="s">
        <v>136</v>
      </c>
      <c r="D10" s="100"/>
      <c r="E10" s="100" t="s">
        <v>117</v>
      </c>
      <c r="F10" s="100" t="s">
        <v>118</v>
      </c>
      <c r="G10" s="100" t="s">
        <v>119</v>
      </c>
      <c r="H10" s="100" t="s">
        <v>117</v>
      </c>
      <c r="I10" s="100">
        <v>1</v>
      </c>
      <c r="J10" s="31" t="s">
        <v>126</v>
      </c>
      <c r="K10" s="31" t="s">
        <v>126</v>
      </c>
      <c r="L10" s="31" t="s">
        <v>121</v>
      </c>
      <c r="M10" s="31" t="s">
        <v>122</v>
      </c>
      <c r="N10" s="31">
        <v>1</v>
      </c>
      <c r="O10" s="102">
        <v>45756</v>
      </c>
      <c r="P10" s="101" t="s">
        <v>128</v>
      </c>
    </row>
    <row r="11" spans="1:16" ht="78.75">
      <c r="A11" s="100">
        <v>11</v>
      </c>
      <c r="B11" s="31" t="s">
        <v>124</v>
      </c>
      <c r="C11" s="101" t="s">
        <v>136</v>
      </c>
      <c r="D11" s="100"/>
      <c r="E11" s="100" t="s">
        <v>117</v>
      </c>
      <c r="F11" s="100" t="s">
        <v>119</v>
      </c>
      <c r="G11" s="100" t="s">
        <v>118</v>
      </c>
      <c r="H11" s="100" t="s">
        <v>117</v>
      </c>
      <c r="I11" s="100">
        <v>1</v>
      </c>
      <c r="J11" s="31" t="s">
        <v>126</v>
      </c>
      <c r="K11" s="31" t="s">
        <v>126</v>
      </c>
      <c r="L11" s="31" t="s">
        <v>121</v>
      </c>
      <c r="M11" s="31" t="s">
        <v>122</v>
      </c>
      <c r="N11" s="31">
        <v>1</v>
      </c>
      <c r="O11" s="102">
        <v>45756</v>
      </c>
      <c r="P11" s="101" t="s">
        <v>128</v>
      </c>
    </row>
    <row r="12" spans="1:16" ht="47.25">
      <c r="A12" s="100">
        <v>12</v>
      </c>
      <c r="B12" s="31" t="s">
        <v>124</v>
      </c>
      <c r="C12" s="31" t="s">
        <v>137</v>
      </c>
      <c r="D12" s="100"/>
      <c r="E12" s="100" t="s">
        <v>117</v>
      </c>
      <c r="F12" s="100" t="s">
        <v>118</v>
      </c>
      <c r="G12" s="100" t="s">
        <v>119</v>
      </c>
      <c r="H12" s="100" t="s">
        <v>117</v>
      </c>
      <c r="I12" s="100">
        <v>1</v>
      </c>
      <c r="J12" s="31" t="s">
        <v>126</v>
      </c>
      <c r="K12" s="31" t="s">
        <v>126</v>
      </c>
      <c r="L12" s="31" t="s">
        <v>121</v>
      </c>
      <c r="M12" s="31" t="s">
        <v>122</v>
      </c>
      <c r="N12" s="31">
        <v>1</v>
      </c>
      <c r="O12" s="102">
        <v>45762</v>
      </c>
      <c r="P12" s="101" t="s">
        <v>138</v>
      </c>
    </row>
    <row r="13" spans="1:16" ht="47.25">
      <c r="A13" s="100">
        <v>13</v>
      </c>
      <c r="B13" s="31" t="s">
        <v>124</v>
      </c>
      <c r="C13" s="31" t="s">
        <v>137</v>
      </c>
      <c r="D13" s="100"/>
      <c r="E13" s="100" t="s">
        <v>117</v>
      </c>
      <c r="F13" s="100" t="s">
        <v>119</v>
      </c>
      <c r="G13" s="100" t="s">
        <v>118</v>
      </c>
      <c r="H13" s="100" t="s">
        <v>117</v>
      </c>
      <c r="I13" s="100">
        <v>1</v>
      </c>
      <c r="J13" s="31" t="s">
        <v>126</v>
      </c>
      <c r="K13" s="31" t="s">
        <v>126</v>
      </c>
      <c r="L13" s="31" t="s">
        <v>121</v>
      </c>
      <c r="M13" s="31" t="s">
        <v>122</v>
      </c>
      <c r="N13" s="31">
        <v>1</v>
      </c>
      <c r="O13" s="102">
        <v>45762</v>
      </c>
      <c r="P13" s="101" t="s">
        <v>138</v>
      </c>
    </row>
    <row r="14" spans="1:16" ht="47.25">
      <c r="A14" s="100">
        <v>14</v>
      </c>
      <c r="B14" s="31" t="s">
        <v>124</v>
      </c>
      <c r="C14" s="31" t="s">
        <v>139</v>
      </c>
      <c r="D14" s="100"/>
      <c r="E14" s="100" t="s">
        <v>117</v>
      </c>
      <c r="F14" s="100" t="s">
        <v>118</v>
      </c>
      <c r="G14" s="100" t="s">
        <v>119</v>
      </c>
      <c r="H14" s="100" t="s">
        <v>117</v>
      </c>
      <c r="I14" s="100">
        <v>1</v>
      </c>
      <c r="J14" s="31" t="s">
        <v>126</v>
      </c>
      <c r="K14" s="31" t="s">
        <v>126</v>
      </c>
      <c r="L14" s="31" t="s">
        <v>121</v>
      </c>
      <c r="M14" s="31" t="s">
        <v>122</v>
      </c>
      <c r="N14" s="31">
        <v>1</v>
      </c>
      <c r="O14" s="102">
        <v>45762</v>
      </c>
      <c r="P14" s="101" t="s">
        <v>138</v>
      </c>
    </row>
    <row r="15" spans="1:16" ht="47.25">
      <c r="A15" s="100">
        <v>15</v>
      </c>
      <c r="B15" s="31" t="s">
        <v>124</v>
      </c>
      <c r="C15" s="31" t="s">
        <v>139</v>
      </c>
      <c r="D15" s="100"/>
      <c r="E15" s="100" t="s">
        <v>117</v>
      </c>
      <c r="F15" s="100" t="s">
        <v>119</v>
      </c>
      <c r="G15" s="100" t="s">
        <v>118</v>
      </c>
      <c r="H15" s="100" t="s">
        <v>117</v>
      </c>
      <c r="I15" s="100">
        <v>1</v>
      </c>
      <c r="J15" s="31" t="s">
        <v>126</v>
      </c>
      <c r="K15" s="31" t="s">
        <v>126</v>
      </c>
      <c r="L15" s="31" t="s">
        <v>121</v>
      </c>
      <c r="M15" s="31" t="s">
        <v>122</v>
      </c>
      <c r="N15" s="31">
        <v>1</v>
      </c>
      <c r="O15" s="102">
        <v>45762</v>
      </c>
      <c r="P15" s="101" t="s">
        <v>138</v>
      </c>
    </row>
    <row r="16" spans="1:16" ht="47.25">
      <c r="A16" s="100">
        <v>16</v>
      </c>
      <c r="B16" s="31" t="s">
        <v>124</v>
      </c>
      <c r="C16" s="31" t="s">
        <v>140</v>
      </c>
      <c r="D16" s="100"/>
      <c r="E16" s="100" t="s">
        <v>117</v>
      </c>
      <c r="F16" s="100" t="s">
        <v>118</v>
      </c>
      <c r="G16" s="100" t="s">
        <v>119</v>
      </c>
      <c r="H16" s="100" t="s">
        <v>117</v>
      </c>
      <c r="I16" s="100">
        <v>1</v>
      </c>
      <c r="J16" s="31" t="s">
        <v>126</v>
      </c>
      <c r="K16" s="31" t="s">
        <v>126</v>
      </c>
      <c r="L16" s="31" t="s">
        <v>121</v>
      </c>
      <c r="M16" s="31" t="s">
        <v>122</v>
      </c>
      <c r="N16" s="31">
        <v>1</v>
      </c>
      <c r="O16" s="102">
        <v>45762</v>
      </c>
      <c r="P16" s="101" t="s">
        <v>138</v>
      </c>
    </row>
    <row r="17" spans="1:16" ht="47.25">
      <c r="A17" s="100">
        <v>17</v>
      </c>
      <c r="B17" s="31" t="s">
        <v>124</v>
      </c>
      <c r="C17" s="31" t="s">
        <v>140</v>
      </c>
      <c r="D17" s="100"/>
      <c r="E17" s="100" t="s">
        <v>117</v>
      </c>
      <c r="F17" s="100" t="s">
        <v>119</v>
      </c>
      <c r="G17" s="100" t="s">
        <v>118</v>
      </c>
      <c r="H17" s="100" t="s">
        <v>117</v>
      </c>
      <c r="I17" s="100">
        <v>1</v>
      </c>
      <c r="J17" s="31" t="s">
        <v>126</v>
      </c>
      <c r="K17" s="31" t="s">
        <v>126</v>
      </c>
      <c r="L17" s="31" t="s">
        <v>121</v>
      </c>
      <c r="M17" s="31" t="s">
        <v>122</v>
      </c>
      <c r="N17" s="31">
        <v>1</v>
      </c>
      <c r="O17" s="102">
        <v>45762</v>
      </c>
      <c r="P17" s="101" t="s">
        <v>138</v>
      </c>
    </row>
    <row r="18" spans="1:16" ht="78.75">
      <c r="A18" s="100">
        <v>18</v>
      </c>
      <c r="B18" s="31" t="s">
        <v>124</v>
      </c>
      <c r="C18" s="101" t="s">
        <v>141</v>
      </c>
      <c r="D18" s="100"/>
      <c r="E18" s="100" t="s">
        <v>117</v>
      </c>
      <c r="F18" s="100" t="s">
        <v>118</v>
      </c>
      <c r="G18" s="100" t="s">
        <v>119</v>
      </c>
      <c r="H18" s="100" t="s">
        <v>117</v>
      </c>
      <c r="I18" s="100">
        <v>2</v>
      </c>
      <c r="J18" s="31" t="s">
        <v>126</v>
      </c>
      <c r="K18" s="31" t="s">
        <v>126</v>
      </c>
      <c r="L18" s="31" t="s">
        <v>121</v>
      </c>
      <c r="M18" s="31" t="s">
        <v>122</v>
      </c>
      <c r="N18" s="31">
        <v>1</v>
      </c>
      <c r="O18" s="102">
        <v>45762</v>
      </c>
      <c r="P18" s="101" t="s">
        <v>138</v>
      </c>
    </row>
    <row r="19" spans="1:16" ht="78.75">
      <c r="A19" s="100">
        <v>19</v>
      </c>
      <c r="B19" s="31" t="s">
        <v>124</v>
      </c>
      <c r="C19" s="101" t="s">
        <v>141</v>
      </c>
      <c r="D19" s="100"/>
      <c r="E19" s="100" t="s">
        <v>117</v>
      </c>
      <c r="F19" s="100" t="s">
        <v>119</v>
      </c>
      <c r="G19" s="100" t="s">
        <v>118</v>
      </c>
      <c r="H19" s="100" t="s">
        <v>117</v>
      </c>
      <c r="I19" s="100">
        <v>2</v>
      </c>
      <c r="J19" s="31" t="s">
        <v>126</v>
      </c>
      <c r="K19" s="31" t="s">
        <v>126</v>
      </c>
      <c r="L19" s="31" t="s">
        <v>121</v>
      </c>
      <c r="M19" s="31" t="s">
        <v>122</v>
      </c>
      <c r="N19" s="31">
        <v>1</v>
      </c>
      <c r="O19" s="102">
        <v>45762</v>
      </c>
      <c r="P19" s="101" t="s">
        <v>138</v>
      </c>
    </row>
    <row r="20" spans="1:16" ht="47.25">
      <c r="A20" s="100">
        <v>20</v>
      </c>
      <c r="B20" s="31" t="s">
        <v>124</v>
      </c>
      <c r="C20" s="31" t="s">
        <v>142</v>
      </c>
      <c r="D20" s="100"/>
      <c r="E20" s="100" t="s">
        <v>117</v>
      </c>
      <c r="F20" s="100" t="s">
        <v>119</v>
      </c>
      <c r="G20" s="100" t="s">
        <v>118</v>
      </c>
      <c r="H20" s="100" t="s">
        <v>117</v>
      </c>
      <c r="I20" s="100">
        <v>4</v>
      </c>
      <c r="J20" s="31" t="s">
        <v>126</v>
      </c>
      <c r="K20" s="31" t="s">
        <v>126</v>
      </c>
      <c r="L20" s="31" t="s">
        <v>121</v>
      </c>
      <c r="M20" s="31" t="s">
        <v>122</v>
      </c>
      <c r="N20" s="31">
        <v>1</v>
      </c>
      <c r="O20" s="102">
        <v>45762</v>
      </c>
      <c r="P20" s="101" t="s">
        <v>138</v>
      </c>
    </row>
    <row r="21" spans="1:16" ht="47.25">
      <c r="A21" s="100">
        <v>21</v>
      </c>
      <c r="B21" s="31" t="s">
        <v>124</v>
      </c>
      <c r="C21" s="31" t="s">
        <v>143</v>
      </c>
      <c r="D21" s="100"/>
      <c r="E21" s="100" t="s">
        <v>117</v>
      </c>
      <c r="F21" s="100" t="s">
        <v>118</v>
      </c>
      <c r="G21" s="100" t="s">
        <v>119</v>
      </c>
      <c r="H21" s="100" t="s">
        <v>117</v>
      </c>
      <c r="I21" s="100">
        <v>2</v>
      </c>
      <c r="J21" s="31" t="s">
        <v>126</v>
      </c>
      <c r="K21" s="31" t="s">
        <v>126</v>
      </c>
      <c r="L21" s="31" t="s">
        <v>121</v>
      </c>
      <c r="M21" s="31" t="s">
        <v>122</v>
      </c>
      <c r="N21" s="31">
        <v>1</v>
      </c>
      <c r="O21" s="102">
        <v>45762</v>
      </c>
      <c r="P21" s="101" t="s">
        <v>138</v>
      </c>
    </row>
    <row r="22" spans="1:16" ht="47.25">
      <c r="A22" s="100">
        <v>22</v>
      </c>
      <c r="B22" s="31" t="s">
        <v>124</v>
      </c>
      <c r="C22" s="31" t="s">
        <v>144</v>
      </c>
      <c r="D22" s="100"/>
      <c r="E22" s="100" t="s">
        <v>117</v>
      </c>
      <c r="F22" s="100" t="s">
        <v>118</v>
      </c>
      <c r="G22" s="100" t="s">
        <v>119</v>
      </c>
      <c r="H22" s="100" t="s">
        <v>117</v>
      </c>
      <c r="I22" s="100">
        <v>2</v>
      </c>
      <c r="J22" s="31" t="s">
        <v>126</v>
      </c>
      <c r="K22" s="31" t="s">
        <v>126</v>
      </c>
      <c r="L22" s="31" t="s">
        <v>121</v>
      </c>
      <c r="M22" s="31" t="s">
        <v>122</v>
      </c>
      <c r="N22" s="31">
        <v>1</v>
      </c>
      <c r="O22" s="102">
        <v>45762</v>
      </c>
      <c r="P22" s="101" t="s">
        <v>138</v>
      </c>
    </row>
    <row r="23" spans="1:16" ht="47.25">
      <c r="A23" s="100">
        <v>23</v>
      </c>
      <c r="B23" s="31" t="s">
        <v>145</v>
      </c>
      <c r="C23" s="31" t="s">
        <v>146</v>
      </c>
      <c r="D23" s="100"/>
      <c r="E23" s="100" t="s">
        <v>117</v>
      </c>
      <c r="F23" s="100" t="s">
        <v>118</v>
      </c>
      <c r="G23" s="100" t="s">
        <v>117</v>
      </c>
      <c r="H23" s="100" t="s">
        <v>119</v>
      </c>
      <c r="I23" s="100">
        <v>1</v>
      </c>
      <c r="J23" s="31" t="s">
        <v>120</v>
      </c>
      <c r="K23" s="31" t="s">
        <v>120</v>
      </c>
      <c r="L23" s="31" t="s">
        <v>121</v>
      </c>
      <c r="M23" s="31" t="s">
        <v>122</v>
      </c>
      <c r="N23" s="31">
        <v>1</v>
      </c>
      <c r="O23" s="102">
        <v>45785</v>
      </c>
      <c r="P23" s="101" t="s">
        <v>147</v>
      </c>
    </row>
    <row r="24" spans="1:16" ht="47.25">
      <c r="A24" s="100">
        <v>24</v>
      </c>
      <c r="B24" s="31" t="s">
        <v>145</v>
      </c>
      <c r="C24" s="31" t="s">
        <v>146</v>
      </c>
      <c r="D24" s="100"/>
      <c r="E24" s="100" t="s">
        <v>117</v>
      </c>
      <c r="F24" s="100" t="s">
        <v>117</v>
      </c>
      <c r="G24" s="100" t="s">
        <v>118</v>
      </c>
      <c r="H24" s="100" t="s">
        <v>119</v>
      </c>
      <c r="I24" s="100">
        <v>1</v>
      </c>
      <c r="J24" s="31" t="s">
        <v>120</v>
      </c>
      <c r="K24" s="31" t="s">
        <v>120</v>
      </c>
      <c r="L24" s="31" t="s">
        <v>121</v>
      </c>
      <c r="M24" s="31" t="s">
        <v>122</v>
      </c>
      <c r="N24" s="31">
        <v>1</v>
      </c>
      <c r="O24" s="102">
        <v>45785</v>
      </c>
      <c r="P24" s="101" t="s">
        <v>147</v>
      </c>
    </row>
    <row r="25" spans="1:16" s="95" customFormat="1" ht="157.5">
      <c r="A25" s="100">
        <v>25</v>
      </c>
      <c r="B25" s="31" t="s">
        <v>148</v>
      </c>
      <c r="C25" s="101" t="s">
        <v>458</v>
      </c>
      <c r="D25" s="100" t="s">
        <v>459</v>
      </c>
      <c r="E25" s="100" t="s">
        <v>117</v>
      </c>
      <c r="F25" s="100" t="s">
        <v>119</v>
      </c>
      <c r="G25" s="100" t="s">
        <v>118</v>
      </c>
      <c r="H25" s="100" t="s">
        <v>117</v>
      </c>
      <c r="I25" s="100">
        <v>1</v>
      </c>
      <c r="J25" s="31" t="s">
        <v>120</v>
      </c>
      <c r="K25" s="31" t="s">
        <v>120</v>
      </c>
      <c r="L25" s="31" t="s">
        <v>121</v>
      </c>
      <c r="M25" s="31" t="s">
        <v>122</v>
      </c>
      <c r="N25" s="31">
        <v>1</v>
      </c>
      <c r="O25" s="102">
        <v>45797</v>
      </c>
      <c r="P25" s="101" t="s">
        <v>149</v>
      </c>
    </row>
    <row r="26" spans="1:16" s="95" customFormat="1" ht="157.5">
      <c r="A26" s="100">
        <v>26</v>
      </c>
      <c r="B26" s="31" t="s">
        <v>148</v>
      </c>
      <c r="C26" s="101" t="s">
        <v>458</v>
      </c>
      <c r="D26" s="100" t="s">
        <v>460</v>
      </c>
      <c r="E26" s="100" t="s">
        <v>117</v>
      </c>
      <c r="F26" s="100" t="s">
        <v>118</v>
      </c>
      <c r="G26" s="100" t="s">
        <v>119</v>
      </c>
      <c r="H26" s="100" t="s">
        <v>117</v>
      </c>
      <c r="I26" s="100">
        <v>1</v>
      </c>
      <c r="J26" s="31" t="s">
        <v>120</v>
      </c>
      <c r="K26" s="31" t="s">
        <v>120</v>
      </c>
      <c r="L26" s="31" t="s">
        <v>121</v>
      </c>
      <c r="M26" s="31" t="s">
        <v>122</v>
      </c>
      <c r="N26" s="31">
        <v>1</v>
      </c>
      <c r="O26" s="102">
        <v>45797</v>
      </c>
      <c r="P26" s="101" t="s">
        <v>149</v>
      </c>
    </row>
    <row r="27" spans="1:16" ht="47.25">
      <c r="A27" s="100">
        <v>27</v>
      </c>
      <c r="B27" s="31" t="s">
        <v>148</v>
      </c>
      <c r="C27" s="31" t="s">
        <v>150</v>
      </c>
      <c r="D27" s="100"/>
      <c r="E27" s="100" t="s">
        <v>117</v>
      </c>
      <c r="F27" s="100" t="s">
        <v>119</v>
      </c>
      <c r="G27" s="100" t="s">
        <v>118</v>
      </c>
      <c r="H27" s="100" t="s">
        <v>117</v>
      </c>
      <c r="I27" s="100">
        <v>1</v>
      </c>
      <c r="J27" s="31" t="s">
        <v>120</v>
      </c>
      <c r="K27" s="31" t="s">
        <v>120</v>
      </c>
      <c r="L27" s="31" t="s">
        <v>121</v>
      </c>
      <c r="M27" s="31" t="s">
        <v>122</v>
      </c>
      <c r="N27" s="31">
        <v>1</v>
      </c>
      <c r="O27" s="102">
        <v>45797</v>
      </c>
      <c r="P27" s="101" t="s">
        <v>149</v>
      </c>
    </row>
    <row r="28" spans="1:16" ht="47.25">
      <c r="A28" s="100">
        <v>28</v>
      </c>
      <c r="B28" s="31" t="s">
        <v>148</v>
      </c>
      <c r="C28" s="31" t="s">
        <v>150</v>
      </c>
      <c r="D28" s="100"/>
      <c r="E28" s="100" t="s">
        <v>117</v>
      </c>
      <c r="F28" s="100" t="s">
        <v>118</v>
      </c>
      <c r="G28" s="100" t="s">
        <v>119</v>
      </c>
      <c r="H28" s="100" t="s">
        <v>117</v>
      </c>
      <c r="I28" s="100">
        <v>1</v>
      </c>
      <c r="J28" s="31" t="s">
        <v>120</v>
      </c>
      <c r="K28" s="31" t="s">
        <v>120</v>
      </c>
      <c r="L28" s="31" t="s">
        <v>121</v>
      </c>
      <c r="M28" s="31" t="s">
        <v>122</v>
      </c>
      <c r="N28" s="31">
        <v>1</v>
      </c>
      <c r="O28" s="102">
        <v>45797</v>
      </c>
      <c r="P28" s="101" t="s">
        <v>149</v>
      </c>
    </row>
    <row r="29" spans="1:16" ht="110.25">
      <c r="A29" s="100">
        <v>29</v>
      </c>
      <c r="B29" s="31" t="s">
        <v>151</v>
      </c>
      <c r="C29" s="101" t="s">
        <v>152</v>
      </c>
      <c r="D29" s="100"/>
      <c r="E29" s="100" t="s">
        <v>118</v>
      </c>
      <c r="F29" s="100" t="s">
        <v>117</v>
      </c>
      <c r="G29" s="100" t="s">
        <v>119</v>
      </c>
      <c r="H29" s="100" t="s">
        <v>117</v>
      </c>
      <c r="I29" s="100">
        <v>1</v>
      </c>
      <c r="J29" s="31" t="s">
        <v>120</v>
      </c>
      <c r="K29" s="31" t="s">
        <v>120</v>
      </c>
      <c r="L29" s="31" t="s">
        <v>121</v>
      </c>
      <c r="M29" s="31" t="s">
        <v>122</v>
      </c>
      <c r="N29" s="31">
        <v>1</v>
      </c>
      <c r="O29" s="101" t="s">
        <v>153</v>
      </c>
      <c r="P29" s="101" t="s">
        <v>154</v>
      </c>
    </row>
    <row r="30" spans="1:16" ht="94.5">
      <c r="A30" s="100">
        <v>32</v>
      </c>
      <c r="B30" s="31" t="s">
        <v>151</v>
      </c>
      <c r="C30" s="101" t="s">
        <v>155</v>
      </c>
      <c r="D30" s="100"/>
      <c r="E30" s="100" t="s">
        <v>118</v>
      </c>
      <c r="F30" s="100" t="s">
        <v>117</v>
      </c>
      <c r="G30" s="100" t="s">
        <v>119</v>
      </c>
      <c r="H30" s="100" t="s">
        <v>117</v>
      </c>
      <c r="I30" s="100">
        <v>1</v>
      </c>
      <c r="J30" s="31" t="s">
        <v>120</v>
      </c>
      <c r="K30" s="31" t="s">
        <v>120</v>
      </c>
      <c r="L30" s="31" t="s">
        <v>121</v>
      </c>
      <c r="M30" s="31" t="s">
        <v>122</v>
      </c>
      <c r="N30" s="31">
        <v>1</v>
      </c>
      <c r="O30" s="102">
        <v>45798</v>
      </c>
      <c r="P30" s="101" t="s">
        <v>154</v>
      </c>
    </row>
    <row r="31" spans="1:16" ht="110.25">
      <c r="A31" s="100">
        <v>35</v>
      </c>
      <c r="B31" s="31" t="s">
        <v>151</v>
      </c>
      <c r="C31" s="101" t="s">
        <v>156</v>
      </c>
      <c r="D31" s="100"/>
      <c r="E31" s="100" t="s">
        <v>118</v>
      </c>
      <c r="F31" s="100" t="s">
        <v>117</v>
      </c>
      <c r="G31" s="100" t="s">
        <v>119</v>
      </c>
      <c r="H31" s="100" t="s">
        <v>117</v>
      </c>
      <c r="I31" s="100">
        <v>1</v>
      </c>
      <c r="J31" s="31" t="s">
        <v>120</v>
      </c>
      <c r="K31" s="31" t="s">
        <v>120</v>
      </c>
      <c r="L31" s="31" t="s">
        <v>121</v>
      </c>
      <c r="M31" s="31" t="s">
        <v>122</v>
      </c>
      <c r="N31" s="31">
        <v>1</v>
      </c>
      <c r="O31" s="102">
        <v>45804</v>
      </c>
      <c r="P31" s="101" t="s">
        <v>154</v>
      </c>
    </row>
    <row r="32" spans="1:16" ht="110.25">
      <c r="A32" s="100">
        <v>38</v>
      </c>
      <c r="B32" s="31" t="s">
        <v>151</v>
      </c>
      <c r="C32" s="101" t="s">
        <v>157</v>
      </c>
      <c r="D32" s="100"/>
      <c r="E32" s="100" t="s">
        <v>118</v>
      </c>
      <c r="F32" s="100" t="s">
        <v>117</v>
      </c>
      <c r="G32" s="100" t="s">
        <v>119</v>
      </c>
      <c r="H32" s="100" t="s">
        <v>117</v>
      </c>
      <c r="I32" s="100">
        <v>1</v>
      </c>
      <c r="J32" s="31" t="s">
        <v>120</v>
      </c>
      <c r="K32" s="31" t="s">
        <v>120</v>
      </c>
      <c r="L32" s="31" t="s">
        <v>121</v>
      </c>
      <c r="M32" s="31" t="s">
        <v>122</v>
      </c>
      <c r="N32" s="31">
        <v>1</v>
      </c>
      <c r="O32" s="102">
        <v>45804</v>
      </c>
      <c r="P32" s="101" t="s">
        <v>154</v>
      </c>
    </row>
    <row r="33" spans="1:16" s="95" customFormat="1" ht="173.25">
      <c r="A33" s="100">
        <v>41</v>
      </c>
      <c r="B33" s="31" t="s">
        <v>158</v>
      </c>
      <c r="C33" s="31" t="s">
        <v>159</v>
      </c>
      <c r="D33" s="100" t="s">
        <v>160</v>
      </c>
      <c r="E33" s="100" t="s">
        <v>117</v>
      </c>
      <c r="F33" s="100" t="s">
        <v>118</v>
      </c>
      <c r="G33" s="100" t="s">
        <v>119</v>
      </c>
      <c r="H33" s="100" t="s">
        <v>117</v>
      </c>
      <c r="I33" s="100">
        <v>1</v>
      </c>
      <c r="J33" s="31" t="s">
        <v>120</v>
      </c>
      <c r="K33" s="31" t="s">
        <v>120</v>
      </c>
      <c r="L33" s="31" t="s">
        <v>121</v>
      </c>
      <c r="M33" s="31" t="s">
        <v>122</v>
      </c>
      <c r="N33" s="31">
        <v>1</v>
      </c>
      <c r="O33" s="102">
        <v>45806</v>
      </c>
      <c r="P33" s="101" t="s">
        <v>161</v>
      </c>
    </row>
    <row r="34" spans="1:16" s="95" customFormat="1">
      <c r="A34" s="100">
        <v>42</v>
      </c>
      <c r="B34" s="31" t="s">
        <v>115</v>
      </c>
      <c r="C34" s="31" t="s">
        <v>162</v>
      </c>
      <c r="D34" s="100" t="s">
        <v>457</v>
      </c>
      <c r="E34" s="100" t="s">
        <v>117</v>
      </c>
      <c r="F34" s="100" t="s">
        <v>117</v>
      </c>
      <c r="G34" s="100" t="s">
        <v>118</v>
      </c>
      <c r="H34" s="100" t="s">
        <v>119</v>
      </c>
      <c r="I34" s="100">
        <v>1</v>
      </c>
      <c r="J34" s="31" t="s">
        <v>120</v>
      </c>
      <c r="K34" s="31" t="s">
        <v>120</v>
      </c>
      <c r="L34" s="31" t="s">
        <v>121</v>
      </c>
      <c r="M34" s="31" t="s">
        <v>122</v>
      </c>
      <c r="N34" s="31">
        <v>1</v>
      </c>
      <c r="O34" s="102">
        <v>45806</v>
      </c>
      <c r="P34" s="102">
        <v>45835</v>
      </c>
    </row>
    <row r="35" spans="1:16">
      <c r="A35" s="1">
        <v>43</v>
      </c>
      <c r="B35" s="98" t="s">
        <v>461</v>
      </c>
      <c r="C35" s="98" t="s">
        <v>464</v>
      </c>
      <c r="D35" s="96" t="s">
        <v>462</v>
      </c>
      <c r="E35" s="96" t="s">
        <v>117</v>
      </c>
      <c r="F35" s="96" t="s">
        <v>117</v>
      </c>
      <c r="G35" s="96" t="s">
        <v>119</v>
      </c>
      <c r="H35" s="96" t="s">
        <v>118</v>
      </c>
      <c r="I35" s="96">
        <v>4</v>
      </c>
      <c r="J35" s="98" t="s">
        <v>120</v>
      </c>
      <c r="K35" s="98" t="s">
        <v>117</v>
      </c>
      <c r="L35" s="98" t="s">
        <v>117</v>
      </c>
      <c r="M35" s="98" t="s">
        <v>117</v>
      </c>
      <c r="N35" s="98" t="s">
        <v>117</v>
      </c>
      <c r="O35" s="99">
        <v>45912</v>
      </c>
      <c r="P35" s="92"/>
    </row>
    <row r="36" spans="1:16" ht="94.5">
      <c r="A36" s="1">
        <v>44</v>
      </c>
      <c r="B36" s="6" t="s">
        <v>115</v>
      </c>
      <c r="C36" s="6" t="s">
        <v>163</v>
      </c>
      <c r="D36" s="1"/>
      <c r="E36" s="1" t="s">
        <v>117</v>
      </c>
      <c r="F36" s="1" t="s">
        <v>118</v>
      </c>
      <c r="G36" s="1" t="s">
        <v>119</v>
      </c>
      <c r="H36" s="1" t="s">
        <v>119</v>
      </c>
      <c r="I36" s="1">
        <v>1</v>
      </c>
      <c r="J36" s="6" t="s">
        <v>120</v>
      </c>
      <c r="K36" s="6" t="s">
        <v>120</v>
      </c>
      <c r="L36" s="6" t="s">
        <v>121</v>
      </c>
      <c r="M36" s="6" t="s">
        <v>122</v>
      </c>
      <c r="N36" s="6">
        <v>1</v>
      </c>
      <c r="O36" s="92">
        <v>45812</v>
      </c>
      <c r="P36" s="91" t="s">
        <v>164</v>
      </c>
    </row>
    <row r="37" spans="1:16" ht="94.5">
      <c r="A37" s="1">
        <v>45</v>
      </c>
      <c r="B37" s="6" t="s">
        <v>115</v>
      </c>
      <c r="C37" s="6" t="s">
        <v>165</v>
      </c>
      <c r="D37" s="1"/>
      <c r="E37" s="1" t="s">
        <v>117</v>
      </c>
      <c r="F37" s="1" t="s">
        <v>119</v>
      </c>
      <c r="G37" s="1" t="s">
        <v>119</v>
      </c>
      <c r="H37" s="1" t="s">
        <v>118</v>
      </c>
      <c r="I37" s="1">
        <v>1</v>
      </c>
      <c r="J37" s="6" t="s">
        <v>120</v>
      </c>
      <c r="K37" s="6" t="s">
        <v>120</v>
      </c>
      <c r="L37" s="6" t="s">
        <v>121</v>
      </c>
      <c r="M37" s="6" t="s">
        <v>122</v>
      </c>
      <c r="N37" s="6">
        <v>1</v>
      </c>
      <c r="O37" s="92">
        <v>45812</v>
      </c>
      <c r="P37" s="91" t="s">
        <v>164</v>
      </c>
    </row>
    <row r="38" spans="1:16" ht="94.5">
      <c r="A38" s="1">
        <v>46</v>
      </c>
      <c r="B38" s="6" t="s">
        <v>115</v>
      </c>
      <c r="C38" s="6" t="s">
        <v>166</v>
      </c>
      <c r="D38" s="1"/>
      <c r="E38" s="1" t="s">
        <v>117</v>
      </c>
      <c r="F38" s="1" t="s">
        <v>117</v>
      </c>
      <c r="G38" s="1" t="s">
        <v>118</v>
      </c>
      <c r="H38" s="1" t="s">
        <v>119</v>
      </c>
      <c r="I38" s="1">
        <v>1</v>
      </c>
      <c r="J38" s="6" t="s">
        <v>120</v>
      </c>
      <c r="K38" s="6" t="s">
        <v>120</v>
      </c>
      <c r="L38" s="6" t="s">
        <v>121</v>
      </c>
      <c r="M38" s="6" t="s">
        <v>122</v>
      </c>
      <c r="N38" s="6">
        <v>1</v>
      </c>
      <c r="O38" s="92">
        <v>45813</v>
      </c>
      <c r="P38" s="91" t="s">
        <v>167</v>
      </c>
    </row>
    <row r="39" spans="1:16" ht="47.25">
      <c r="A39" s="1">
        <v>47</v>
      </c>
      <c r="B39" s="6" t="s">
        <v>115</v>
      </c>
      <c r="C39" s="6" t="s">
        <v>168</v>
      </c>
      <c r="D39" s="1"/>
      <c r="E39" s="1" t="s">
        <v>117</v>
      </c>
      <c r="F39" s="1" t="s">
        <v>117</v>
      </c>
      <c r="G39" s="1" t="s">
        <v>118</v>
      </c>
      <c r="H39" s="1" t="s">
        <v>119</v>
      </c>
      <c r="I39" s="1">
        <v>2</v>
      </c>
      <c r="J39" s="6" t="s">
        <v>117</v>
      </c>
      <c r="K39" s="6" t="s">
        <v>117</v>
      </c>
      <c r="L39" s="6" t="s">
        <v>117</v>
      </c>
      <c r="M39" s="6" t="s">
        <v>117</v>
      </c>
      <c r="N39" s="6" t="s">
        <v>117</v>
      </c>
      <c r="O39" s="92" t="s">
        <v>169</v>
      </c>
      <c r="P39" s="91" t="s">
        <v>170</v>
      </c>
    </row>
    <row r="40" spans="1:16" ht="47.25">
      <c r="A40" s="1">
        <v>48</v>
      </c>
      <c r="B40" s="6" t="s">
        <v>115</v>
      </c>
      <c r="C40" s="6" t="s">
        <v>171</v>
      </c>
      <c r="D40" s="1"/>
      <c r="E40" s="1" t="s">
        <v>117</v>
      </c>
      <c r="F40" s="1" t="s">
        <v>117</v>
      </c>
      <c r="G40" s="1" t="s">
        <v>119</v>
      </c>
      <c r="H40" s="1" t="s">
        <v>118</v>
      </c>
      <c r="I40" s="1">
        <v>2</v>
      </c>
      <c r="J40" s="6" t="s">
        <v>117</v>
      </c>
      <c r="K40" s="6" t="s">
        <v>117</v>
      </c>
      <c r="L40" s="6" t="s">
        <v>117</v>
      </c>
      <c r="M40" s="6" t="s">
        <v>117</v>
      </c>
      <c r="N40" s="6" t="s">
        <v>117</v>
      </c>
      <c r="O40" s="92" t="s">
        <v>169</v>
      </c>
      <c r="P40" s="91" t="s">
        <v>170</v>
      </c>
    </row>
    <row r="41" spans="1:16" ht="47.25">
      <c r="A41" s="1">
        <v>49</v>
      </c>
      <c r="B41" s="6" t="s">
        <v>115</v>
      </c>
      <c r="C41" s="6" t="s">
        <v>172</v>
      </c>
      <c r="D41" s="1"/>
      <c r="E41" s="1" t="s">
        <v>117</v>
      </c>
      <c r="F41" s="1" t="s">
        <v>117</v>
      </c>
      <c r="G41" s="1" t="s">
        <v>119</v>
      </c>
      <c r="H41" s="1" t="s">
        <v>118</v>
      </c>
      <c r="I41" s="1">
        <v>4</v>
      </c>
      <c r="J41" s="6" t="s">
        <v>117</v>
      </c>
      <c r="K41" s="6" t="s">
        <v>117</v>
      </c>
      <c r="L41" s="6" t="s">
        <v>117</v>
      </c>
      <c r="M41" s="6" t="s">
        <v>117</v>
      </c>
      <c r="N41" s="6" t="s">
        <v>117</v>
      </c>
      <c r="O41" s="92" t="s">
        <v>169</v>
      </c>
      <c r="P41" s="91" t="s">
        <v>170</v>
      </c>
    </row>
    <row r="42" spans="1:16">
      <c r="A42" s="1">
        <v>50</v>
      </c>
      <c r="B42" s="6" t="s">
        <v>173</v>
      </c>
      <c r="C42" s="6" t="s">
        <v>174</v>
      </c>
      <c r="D42" s="1" t="s">
        <v>175</v>
      </c>
      <c r="E42" s="1" t="s">
        <v>117</v>
      </c>
      <c r="F42" s="1" t="s">
        <v>117</v>
      </c>
      <c r="G42" s="1" t="s">
        <v>119</v>
      </c>
      <c r="H42" s="1" t="s">
        <v>118</v>
      </c>
      <c r="I42" s="1">
        <v>1</v>
      </c>
      <c r="J42" s="6" t="s">
        <v>117</v>
      </c>
      <c r="K42" s="6" t="s">
        <v>117</v>
      </c>
      <c r="L42" s="6" t="s">
        <v>117</v>
      </c>
      <c r="M42" s="6" t="s">
        <v>117</v>
      </c>
      <c r="N42" s="6" t="s">
        <v>117</v>
      </c>
      <c r="O42" s="92" t="s">
        <v>176</v>
      </c>
      <c r="P42" s="91"/>
    </row>
    <row r="43" spans="1:16">
      <c r="A43" s="1">
        <v>51</v>
      </c>
      <c r="B43" s="6" t="s">
        <v>173</v>
      </c>
      <c r="C43" s="6" t="s">
        <v>177</v>
      </c>
      <c r="D43" s="1" t="s">
        <v>178</v>
      </c>
      <c r="E43" s="1" t="s">
        <v>117</v>
      </c>
      <c r="F43" s="1" t="s">
        <v>117</v>
      </c>
      <c r="G43" s="1" t="s">
        <v>118</v>
      </c>
      <c r="H43" s="1" t="s">
        <v>119</v>
      </c>
      <c r="I43" s="1">
        <v>1</v>
      </c>
      <c r="J43" s="6" t="s">
        <v>117</v>
      </c>
      <c r="K43" s="6" t="s">
        <v>117</v>
      </c>
      <c r="L43" s="6" t="s">
        <v>117</v>
      </c>
      <c r="M43" s="6" t="s">
        <v>117</v>
      </c>
      <c r="N43" s="6" t="s">
        <v>117</v>
      </c>
      <c r="O43" s="92" t="s">
        <v>176</v>
      </c>
      <c r="P43" s="91"/>
    </row>
    <row r="44" spans="1:16" s="95" customFormat="1">
      <c r="A44" s="100">
        <v>52</v>
      </c>
      <c r="B44" s="31" t="s">
        <v>115</v>
      </c>
      <c r="C44" s="31" t="s">
        <v>451</v>
      </c>
      <c r="D44" s="100" t="s">
        <v>452</v>
      </c>
      <c r="E44" s="100" t="s">
        <v>117</v>
      </c>
      <c r="F44" s="100" t="s">
        <v>119</v>
      </c>
      <c r="G44" s="100" t="s">
        <v>118</v>
      </c>
      <c r="H44" s="100" t="s">
        <v>117</v>
      </c>
      <c r="I44" s="100">
        <v>2</v>
      </c>
      <c r="J44" s="31" t="s">
        <v>120</v>
      </c>
      <c r="K44" s="31" t="s">
        <v>117</v>
      </c>
      <c r="L44" s="31" t="s">
        <v>117</v>
      </c>
      <c r="M44" s="31" t="s">
        <v>117</v>
      </c>
      <c r="N44" s="31" t="s">
        <v>117</v>
      </c>
      <c r="O44" s="102">
        <v>45895</v>
      </c>
      <c r="P44" s="97"/>
    </row>
    <row r="45" spans="1:16" s="95" customFormat="1">
      <c r="A45" s="100">
        <v>53</v>
      </c>
      <c r="B45" s="31" t="s">
        <v>115</v>
      </c>
      <c r="C45" s="31" t="s">
        <v>453</v>
      </c>
      <c r="D45" s="100" t="s">
        <v>454</v>
      </c>
      <c r="E45" s="100" t="s">
        <v>117</v>
      </c>
      <c r="F45" s="100" t="s">
        <v>118</v>
      </c>
      <c r="G45" s="100" t="s">
        <v>119</v>
      </c>
      <c r="H45" s="100" t="s">
        <v>117</v>
      </c>
      <c r="I45" s="100">
        <v>2</v>
      </c>
      <c r="J45" s="31" t="s">
        <v>120</v>
      </c>
      <c r="K45" s="31" t="s">
        <v>117</v>
      </c>
      <c r="L45" s="31" t="s">
        <v>117</v>
      </c>
      <c r="M45" s="31" t="s">
        <v>117</v>
      </c>
      <c r="N45" s="31" t="s">
        <v>117</v>
      </c>
      <c r="O45" s="102">
        <v>45895</v>
      </c>
      <c r="P45" s="97"/>
    </row>
    <row r="46" spans="1:16" s="95" customFormat="1">
      <c r="A46" s="100">
        <v>54</v>
      </c>
      <c r="B46" s="31" t="s">
        <v>115</v>
      </c>
      <c r="C46" s="31" t="s">
        <v>455</v>
      </c>
      <c r="D46" s="100" t="s">
        <v>456</v>
      </c>
      <c r="E46" s="100" t="s">
        <v>117</v>
      </c>
      <c r="F46" s="100" t="s">
        <v>463</v>
      </c>
      <c r="G46" s="100" t="s">
        <v>117</v>
      </c>
      <c r="H46" s="100" t="s">
        <v>119</v>
      </c>
      <c r="I46" s="100">
        <v>1</v>
      </c>
      <c r="J46" s="31" t="s">
        <v>120</v>
      </c>
      <c r="K46" s="31" t="s">
        <v>117</v>
      </c>
      <c r="L46" s="31" t="s">
        <v>117</v>
      </c>
      <c r="M46" s="31" t="s">
        <v>117</v>
      </c>
      <c r="N46" s="31" t="s">
        <v>117</v>
      </c>
      <c r="O46" s="102">
        <v>45895</v>
      </c>
      <c r="P46" s="97"/>
    </row>
    <row r="47" spans="1:16">
      <c r="A47" s="1"/>
      <c r="B47" s="6"/>
      <c r="C47" s="6"/>
      <c r="D47" s="1"/>
      <c r="E47" s="96"/>
      <c r="F47" s="96"/>
      <c r="G47" s="96"/>
      <c r="H47" s="96"/>
      <c r="I47" s="1"/>
      <c r="J47" s="6"/>
      <c r="K47" s="6"/>
      <c r="L47" s="6"/>
      <c r="M47" s="6"/>
      <c r="N47" s="6"/>
      <c r="O47" s="92"/>
      <c r="P47" s="91"/>
    </row>
    <row r="48" spans="1:16">
      <c r="A48" s="55"/>
      <c r="D48" s="55"/>
      <c r="E48" s="55"/>
      <c r="F48" s="55"/>
      <c r="G48" s="55"/>
      <c r="H48" s="55"/>
      <c r="I48" s="55"/>
    </row>
    <row r="49" spans="1:9">
      <c r="A49" s="55"/>
      <c r="D49" s="55"/>
      <c r="E49" s="55"/>
      <c r="F49" s="55"/>
      <c r="G49" s="55"/>
      <c r="H49" s="55"/>
      <c r="I49" s="55"/>
    </row>
    <row r="50" spans="1:9">
      <c r="A50" s="55"/>
      <c r="D50" s="55"/>
      <c r="E50" s="55"/>
      <c r="F50" s="55"/>
      <c r="G50" s="55"/>
      <c r="H50" s="55"/>
      <c r="I50" s="55"/>
    </row>
    <row r="51" spans="1:9">
      <c r="A51" s="55"/>
      <c r="D51" s="55"/>
      <c r="E51" s="55"/>
      <c r="F51" s="55"/>
      <c r="G51" s="55"/>
      <c r="H51" s="55"/>
      <c r="I51" s="55"/>
    </row>
    <row r="52" spans="1:9">
      <c r="A52" s="55"/>
      <c r="D52" s="55"/>
      <c r="E52" s="55"/>
      <c r="F52" s="55"/>
      <c r="G52" s="55"/>
      <c r="H52" s="55"/>
      <c r="I52" s="55"/>
    </row>
    <row r="53" spans="1:9">
      <c r="A53" s="55"/>
      <c r="D53" s="55"/>
      <c r="E53" s="55"/>
      <c r="F53" s="55"/>
      <c r="G53" s="55"/>
      <c r="H53" s="55"/>
      <c r="I53" s="55"/>
    </row>
    <row r="54" spans="1:9">
      <c r="A54" s="55"/>
      <c r="D54" s="55"/>
      <c r="E54" s="55"/>
      <c r="F54" s="55"/>
      <c r="G54" s="55"/>
      <c r="H54" s="55"/>
      <c r="I54" s="55"/>
    </row>
    <row r="55" spans="1:9">
      <c r="A55" s="55"/>
      <c r="D55" s="55"/>
      <c r="E55" s="55"/>
      <c r="F55" s="55"/>
      <c r="G55" s="55"/>
      <c r="H55" s="55"/>
      <c r="I55" s="55"/>
    </row>
    <row r="56" spans="1:9">
      <c r="A56" s="55"/>
      <c r="D56" s="55"/>
      <c r="E56" s="55"/>
      <c r="F56" s="55"/>
      <c r="G56" s="55"/>
      <c r="H56" s="55"/>
      <c r="I56" s="55"/>
    </row>
    <row r="57" spans="1:9">
      <c r="A57" s="55"/>
      <c r="D57" s="55"/>
      <c r="E57" s="55"/>
      <c r="F57" s="55"/>
      <c r="G57" s="55"/>
      <c r="H57" s="55"/>
      <c r="I57" s="55"/>
    </row>
    <row r="58" spans="1:9">
      <c r="A58" s="55"/>
      <c r="D58" s="55"/>
      <c r="E58" s="55"/>
      <c r="F58" s="55"/>
      <c r="G58" s="55"/>
      <c r="H58" s="55"/>
      <c r="I58" s="55"/>
    </row>
    <row r="59" spans="1:9">
      <c r="A59" s="55"/>
      <c r="D59" s="55"/>
      <c r="E59" s="55"/>
      <c r="F59" s="55"/>
      <c r="G59" s="55"/>
      <c r="H59" s="55"/>
      <c r="I59" s="55"/>
    </row>
    <row r="60" spans="1:9">
      <c r="A60" s="55"/>
      <c r="D60" s="55"/>
      <c r="E60" s="55"/>
      <c r="F60" s="55"/>
      <c r="G60" s="55"/>
      <c r="H60" s="55"/>
      <c r="I60" s="55"/>
    </row>
    <row r="61" spans="1:9">
      <c r="A61" s="55"/>
      <c r="D61" s="55"/>
      <c r="E61" s="55"/>
      <c r="F61" s="55"/>
      <c r="G61" s="55"/>
      <c r="H61" s="55"/>
      <c r="I61" s="55"/>
    </row>
    <row r="62" spans="1:9">
      <c r="A62" s="55"/>
      <c r="D62" s="55"/>
      <c r="E62" s="55"/>
      <c r="F62" s="55"/>
      <c r="G62" s="55"/>
      <c r="H62" s="55"/>
      <c r="I62" s="55"/>
    </row>
    <row r="63" spans="1:9">
      <c r="A63" s="55"/>
      <c r="D63" s="55"/>
      <c r="E63" s="55"/>
      <c r="F63" s="55"/>
      <c r="G63" s="55"/>
      <c r="H63" s="55"/>
      <c r="I63" s="55"/>
    </row>
    <row r="64" spans="1:9">
      <c r="A64" s="55"/>
      <c r="D64" s="55"/>
      <c r="E64" s="55"/>
      <c r="F64" s="55"/>
      <c r="G64" s="55"/>
      <c r="H64" s="55"/>
      <c r="I64" s="55"/>
    </row>
    <row r="65" spans="1:9">
      <c r="A65" s="55"/>
      <c r="D65" s="55"/>
      <c r="E65" s="55"/>
      <c r="F65" s="55"/>
      <c r="G65" s="55"/>
      <c r="H65" s="55"/>
      <c r="I65" s="55"/>
    </row>
    <row r="66" spans="1:9">
      <c r="A66" s="55"/>
      <c r="D66" s="55"/>
      <c r="E66" s="55"/>
      <c r="F66" s="55"/>
      <c r="G66" s="55"/>
      <c r="H66" s="55"/>
      <c r="I66" s="55"/>
    </row>
    <row r="67" spans="1:9">
      <c r="A67" s="55"/>
      <c r="D67" s="55"/>
      <c r="E67" s="55"/>
      <c r="F67" s="55"/>
      <c r="G67" s="55"/>
      <c r="H67" s="55"/>
      <c r="I67" s="55"/>
    </row>
    <row r="68" spans="1:9">
      <c r="A68" s="55"/>
      <c r="D68" s="55"/>
      <c r="E68" s="55"/>
      <c r="F68" s="55"/>
      <c r="G68" s="55"/>
      <c r="H68" s="55"/>
      <c r="I68" s="55"/>
    </row>
    <row r="69" spans="1:9">
      <c r="A69" s="55"/>
      <c r="D69" s="55"/>
      <c r="E69" s="55"/>
      <c r="F69" s="55"/>
      <c r="G69" s="55"/>
      <c r="H69" s="55"/>
      <c r="I69" s="55"/>
    </row>
    <row r="70" spans="1:9">
      <c r="A70" s="55"/>
      <c r="D70" s="55"/>
      <c r="E70" s="55"/>
      <c r="F70" s="55"/>
      <c r="G70" s="55"/>
      <c r="H70" s="55"/>
      <c r="I70" s="55"/>
    </row>
    <row r="71" spans="1:9">
      <c r="A71" s="55"/>
      <c r="D71" s="55"/>
      <c r="E71" s="55"/>
      <c r="F71" s="55"/>
      <c r="G71" s="55"/>
      <c r="H71" s="55"/>
      <c r="I71" s="55"/>
    </row>
    <row r="72" spans="1:9">
      <c r="A72" s="55"/>
      <c r="D72" s="55"/>
      <c r="E72" s="55"/>
      <c r="F72" s="55"/>
      <c r="G72" s="55"/>
      <c r="H72" s="55"/>
      <c r="I72" s="55"/>
    </row>
    <row r="73" spans="1:9">
      <c r="A73" s="55"/>
      <c r="D73" s="55"/>
      <c r="E73" s="55"/>
      <c r="F73" s="55"/>
      <c r="G73" s="55"/>
      <c r="H73" s="55"/>
      <c r="I73" s="55"/>
    </row>
    <row r="74" spans="1:9">
      <c r="A74" s="55"/>
      <c r="D74" s="55"/>
      <c r="E74" s="55"/>
      <c r="F74" s="55"/>
      <c r="G74" s="55"/>
      <c r="H74" s="55"/>
      <c r="I74" s="55"/>
    </row>
    <row r="75" spans="1:9">
      <c r="A75" s="55"/>
      <c r="D75" s="55"/>
      <c r="E75" s="55"/>
      <c r="F75" s="55"/>
      <c r="G75" s="55"/>
      <c r="H75" s="55"/>
      <c r="I75" s="55"/>
    </row>
    <row r="76" spans="1:9">
      <c r="A76" s="55"/>
      <c r="D76" s="55"/>
      <c r="E76" s="55"/>
      <c r="F76" s="55"/>
      <c r="G76" s="55"/>
      <c r="H76" s="55"/>
      <c r="I76" s="55"/>
    </row>
    <row r="77" spans="1:9">
      <c r="A77" s="55"/>
      <c r="D77" s="55"/>
      <c r="E77" s="55"/>
      <c r="F77" s="55"/>
      <c r="G77" s="55"/>
      <c r="H77" s="55"/>
      <c r="I77" s="55"/>
    </row>
    <row r="78" spans="1:9">
      <c r="A78" s="55"/>
      <c r="D78" s="55"/>
      <c r="E78" s="55"/>
      <c r="F78" s="55"/>
      <c r="G78" s="55"/>
      <c r="H78" s="55"/>
      <c r="I78" s="55"/>
    </row>
    <row r="79" spans="1:9">
      <c r="A79" s="55"/>
      <c r="D79" s="55"/>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row r="902" spans="1:9">
      <c r="A902" s="55"/>
      <c r="D902" s="55"/>
      <c r="E902" s="55"/>
      <c r="F902" s="55"/>
      <c r="G902" s="55"/>
      <c r="H902" s="55"/>
      <c r="I902" s="55"/>
    </row>
    <row r="903" spans="1:9">
      <c r="A903" s="55"/>
      <c r="D903" s="55"/>
      <c r="E903" s="55"/>
      <c r="F903" s="55"/>
      <c r="G903" s="55"/>
      <c r="H903" s="55"/>
      <c r="I903" s="55"/>
    </row>
    <row r="904" spans="1:9">
      <c r="A904" s="55"/>
      <c r="D904" s="55"/>
      <c r="E904" s="55"/>
      <c r="F904" s="55"/>
      <c r="G904" s="55"/>
      <c r="H904" s="55"/>
      <c r="I904" s="55"/>
    </row>
    <row r="905" spans="1:9">
      <c r="A905" s="55"/>
      <c r="D905" s="55"/>
      <c r="E905" s="55"/>
      <c r="F905" s="55"/>
      <c r="G905" s="55"/>
      <c r="H905" s="55"/>
      <c r="I905" s="55"/>
    </row>
    <row r="906" spans="1:9">
      <c r="A906" s="55"/>
      <c r="D906" s="55"/>
      <c r="E906" s="55"/>
      <c r="F906" s="55"/>
      <c r="G906" s="55"/>
      <c r="H906" s="55"/>
      <c r="I906" s="55"/>
    </row>
    <row r="907" spans="1:9">
      <c r="A907" s="55"/>
      <c r="D907" s="55"/>
      <c r="E907" s="55"/>
      <c r="F907" s="55"/>
      <c r="G907" s="55"/>
      <c r="H907" s="55"/>
      <c r="I907" s="55"/>
    </row>
    <row r="908" spans="1:9">
      <c r="A908" s="55"/>
      <c r="D908" s="55"/>
      <c r="E908" s="55"/>
      <c r="F908" s="55"/>
      <c r="G908" s="55"/>
      <c r="H908" s="55"/>
      <c r="I908" s="55"/>
    </row>
    <row r="909" spans="1:9">
      <c r="A909" s="55"/>
      <c r="D909" s="55"/>
      <c r="E909" s="55"/>
      <c r="F909" s="55"/>
      <c r="G909" s="55"/>
      <c r="H909" s="55"/>
      <c r="I909" s="55"/>
    </row>
    <row r="910" spans="1:9">
      <c r="A910" s="55"/>
      <c r="D910" s="55"/>
      <c r="E910" s="55"/>
      <c r="F910" s="55"/>
      <c r="G910" s="55"/>
      <c r="H910" s="55"/>
      <c r="I910" s="55"/>
    </row>
    <row r="911" spans="1:9">
      <c r="A911" s="55"/>
      <c r="D911" s="55"/>
      <c r="E911" s="55"/>
      <c r="F911" s="55"/>
      <c r="G911" s="55"/>
      <c r="H911" s="55"/>
      <c r="I911" s="55"/>
    </row>
  </sheetData>
  <autoFilter ref="A1:P4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E13" sqref="E13"/>
    </sheetView>
  </sheetViews>
  <sheetFormatPr defaultRowHeight="18.75"/>
  <cols>
    <col min="1" max="1" width="16.25" customWidth="1"/>
    <col min="2" max="2" width="25.875" customWidth="1"/>
    <col min="3" max="3" width="71.875" customWidth="1"/>
  </cols>
  <sheetData>
    <row r="1" spans="1:5">
      <c r="A1" s="47" t="s">
        <v>179</v>
      </c>
      <c r="B1" s="48" t="s">
        <v>180</v>
      </c>
      <c r="C1" s="47" t="s">
        <v>181</v>
      </c>
      <c r="E1" s="6"/>
    </row>
    <row r="2" spans="1:5">
      <c r="A2" s="6" t="s">
        <v>182</v>
      </c>
      <c r="B2" s="46" t="s">
        <v>183</v>
      </c>
      <c r="C2" s="1" t="s">
        <v>184</v>
      </c>
    </row>
    <row r="3" spans="1:5">
      <c r="A3" s="6" t="s">
        <v>103</v>
      </c>
      <c r="B3" s="46" t="s">
        <v>185</v>
      </c>
      <c r="C3" s="1" t="s">
        <v>186</v>
      </c>
    </row>
    <row r="4" spans="1:5">
      <c r="A4" s="49" t="s">
        <v>187</v>
      </c>
      <c r="B4" s="50" t="s">
        <v>183</v>
      </c>
      <c r="C4" s="51" t="s">
        <v>188</v>
      </c>
    </row>
    <row r="5" spans="1:5">
      <c r="A5" s="52" t="s">
        <v>187</v>
      </c>
      <c r="B5" s="53" t="s">
        <v>185</v>
      </c>
      <c r="C5" s="54" t="s">
        <v>189</v>
      </c>
    </row>
    <row r="6" spans="1:5">
      <c r="A6" s="49" t="s">
        <v>190</v>
      </c>
      <c r="B6" s="50" t="s">
        <v>183</v>
      </c>
      <c r="C6" s="51" t="s">
        <v>191</v>
      </c>
    </row>
    <row r="7" spans="1:5">
      <c r="A7" s="52" t="s">
        <v>190</v>
      </c>
      <c r="B7" s="53" t="s">
        <v>185</v>
      </c>
      <c r="C7" s="54" t="s">
        <v>192</v>
      </c>
    </row>
    <row r="8" spans="1:5">
      <c r="A8" s="6" t="s">
        <v>193</v>
      </c>
      <c r="B8" s="46" t="s">
        <v>183</v>
      </c>
      <c r="C8" s="1" t="s">
        <v>194</v>
      </c>
    </row>
    <row r="9" spans="1:5">
      <c r="A9" s="6" t="s">
        <v>193</v>
      </c>
      <c r="B9" s="46" t="s">
        <v>185</v>
      </c>
      <c r="C9" s="1" t="s">
        <v>195</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cols>
    <col min="1" max="1" width="3.625" customWidth="1"/>
  </cols>
  <sheetData>
    <row r="2" spans="2:6">
      <c r="B2" s="6" t="s">
        <v>196</v>
      </c>
    </row>
    <row r="3" spans="2:6">
      <c r="B3" s="6" t="s">
        <v>197</v>
      </c>
    </row>
    <row r="5" spans="2:6">
      <c r="B5" s="6" t="s">
        <v>198</v>
      </c>
    </row>
    <row r="6" spans="2:6">
      <c r="B6" s="93" t="s">
        <v>99</v>
      </c>
      <c r="F6" s="6" t="s">
        <v>199</v>
      </c>
    </row>
    <row r="7" spans="2:6">
      <c r="B7" s="93"/>
      <c r="F7" s="6"/>
    </row>
    <row r="8" spans="2:6">
      <c r="B8" s="72" t="s">
        <v>200</v>
      </c>
    </row>
    <row r="10" spans="2:6">
      <c r="B10" s="6" t="s">
        <v>201</v>
      </c>
    </row>
    <row r="11" spans="2:6">
      <c r="B11" s="6" t="s">
        <v>202</v>
      </c>
    </row>
    <row r="31" spans="2:2">
      <c r="B31" s="6" t="s">
        <v>203</v>
      </c>
    </row>
    <row r="51" spans="2:2">
      <c r="B51" s="6" t="s">
        <v>204</v>
      </c>
    </row>
    <row r="53" spans="2:2">
      <c r="B53" s="6" t="s">
        <v>205</v>
      </c>
    </row>
    <row r="55" spans="2:2">
      <c r="B55" s="6" t="s">
        <v>206</v>
      </c>
    </row>
    <row r="72" spans="2:2">
      <c r="B72" s="94" t="s">
        <v>207</v>
      </c>
    </row>
    <row r="73" spans="2:2">
      <c r="B73" s="94" t="s">
        <v>208</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103</v>
      </c>
      <c r="N3" s="21" t="s">
        <v>218</v>
      </c>
      <c r="O3" s="21"/>
      <c r="BA3" s="21" t="s">
        <v>219</v>
      </c>
      <c r="BE3" s="21" t="s">
        <v>220</v>
      </c>
    </row>
    <row r="4" spans="1:84">
      <c r="A4" s="6" t="s">
        <v>221</v>
      </c>
      <c r="B4" s="1" t="s">
        <v>222</v>
      </c>
      <c r="AY4" s="23"/>
      <c r="AZ4" s="13"/>
      <c r="BD4" s="13"/>
    </row>
    <row r="5" spans="1:84">
      <c r="A5" s="6" t="s">
        <v>223</v>
      </c>
      <c r="B5" s="1" t="s">
        <v>224</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6</v>
      </c>
      <c r="G15" s="6" t="s">
        <v>261</v>
      </c>
      <c r="J15" s="14">
        <v>0</v>
      </c>
      <c r="N15" s="9" t="str">
        <f>N1</f>
        <v>VM#0</v>
      </c>
      <c r="O15" s="6" t="s">
        <v>261</v>
      </c>
      <c r="Q15" s="6">
        <f>F15</f>
        <v>6</v>
      </c>
      <c r="R15" s="6">
        <f>COUNTIF(P17:P529,"R")</f>
        <v>0</v>
      </c>
      <c r="S15" s="6">
        <f>COUNTIF(R$15,"&lt;&gt;0")</f>
        <v>0</v>
      </c>
      <c r="T15" s="14">
        <v>0</v>
      </c>
      <c r="U15" s="6">
        <f>COUNTA(U$17:U529)</f>
        <v>6</v>
      </c>
      <c r="V15" s="9" t="str">
        <f>V1</f>
        <v>VM#1(MET)</v>
      </c>
      <c r="W15" s="6" t="str">
        <f>O15</f>
        <v>CPREQ_</v>
      </c>
      <c r="Y15" s="6">
        <f>Q15+R15</f>
        <v>6</v>
      </c>
      <c r="Z15" s="6">
        <f>COUNTIF(X17:X529,"R")</f>
        <v>0</v>
      </c>
      <c r="AA15" s="6">
        <f>S15+COUNTIF(Z$15,"&lt;&gt;0")</f>
        <v>0</v>
      </c>
      <c r="AB15" s="14">
        <v>0</v>
      </c>
      <c r="AC15" s="6">
        <f>COUNTA(AC$17:AC529)</f>
        <v>16</v>
      </c>
      <c r="AD15" s="9" t="str">
        <f>AD1</f>
        <v>VM#2(IVI)</v>
      </c>
      <c r="AE15" s="6" t="str">
        <f>W15</f>
        <v>CPREQ_</v>
      </c>
      <c r="AG15" s="6">
        <f>Y15+Z15</f>
        <v>6</v>
      </c>
      <c r="AH15" s="6">
        <f>COUNTIF(AF17:AF529,"R")</f>
        <v>0</v>
      </c>
      <c r="AI15" s="6">
        <f>AA15+COUNTIF(AH$15,"&lt;&gt;0")</f>
        <v>0</v>
      </c>
      <c r="AJ15" s="14">
        <v>0</v>
      </c>
      <c r="AK15" s="6">
        <f>COUNTA(AK$17:AK529)</f>
        <v>16</v>
      </c>
      <c r="AL15" s="9" t="str">
        <f>AL1</f>
        <v>VM#3(CEN)</v>
      </c>
      <c r="AM15" s="6" t="str">
        <f>AE15</f>
        <v>CPREQ_</v>
      </c>
      <c r="AO15" s="6">
        <f>AG15+AH15</f>
        <v>6</v>
      </c>
      <c r="AP15" s="6">
        <f>COUNTIF(AN17:AN529,"R")</f>
        <v>0</v>
      </c>
      <c r="AQ15" s="6">
        <f>AI15+COUNTIF(AP$15,"&lt;&gt;0")</f>
        <v>0</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22">IFERROR(_xlfn._xlws.FILTER('Inter-VM Data Table'!$A2:$A911,INDEX('Inter-VM Data Table'!2:911,,MATCH(B3,'Inter-VM Data Table'!1:1,0))="T"),"")</f>
        <v>6</v>
      </c>
      <c r="G17" s="6" cm="1">
        <f t="array" ref="G17:G22">IFERROR(_xlfn._xlws.FILTER('Inter-VM Data Table'!$D2:$D911,INDEX('Inter-VM Data Table'!2:911,,MATCH(B3,'Inter-VM Data Table'!1:1,0))="T"),"")</f>
        <v>0</v>
      </c>
      <c r="H17" s="6" t="str" cm="1">
        <f t="array" ref="H17:H22">IFERROR(_xlfn._xlws.FILTER(INDEX('Inter-VM Data Table'!2:911,,MATCH($B$3,'Inter-VM Data Table'!1:1,0)),INDEX('Inter-VM Data Table'!2:911,,MATCH(B3,'Inter-VM Data Table'!1:1,0))="T"),"")</f>
        <v>T</v>
      </c>
      <c r="I17" s="6" cm="1">
        <f t="array" ref="I17:I22">IFERROR(ROUNDDOWN(     (_xlfn._xlws.FILTER('Inter-VM Data Table'!$I2:$I911,INDEX('Inter-VM Data Table'!2:911,,MATCH(B3,'Inter-VM Data Table'!1:1,0))="T")+3)/4,    0       ),"")</f>
        <v>1</v>
      </c>
      <c r="J17" s="6">
        <v>0</v>
      </c>
      <c r="K17" s="6" t="str" cm="1">
        <f t="array" ref="K17:K22">IF(_xlfn.ANCHORARRAY(G17)=0,K1&amp;G15&amp;TEXT(_xlfn.ANCHORARRAY(F17),"000"),K1&amp;_xlfn.ANCHORARRAY(G17))</f>
        <v>IVDSH_DID_WRI_CPREQ_006</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T</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v>
      </c>
      <c r="Y17" s="6" cm="1">
        <f t="array" ref="Y17:Y32">IFERROR(ROUNDDOWN(     (_xlfn._xlws.FILTER('Inter-VM Data Table'!$I2:$I911,INDEX('Inter-VM Data Table'!2:911,,MATCH(V1,'Inter-VM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v>
      </c>
      <c r="AG17" s="6" cm="1">
        <f t="array" ref="AG17:AG32">IFERROR(ROUNDDOWN(     (_xlfn._xlws.FILTER('Inter-VM Data Table'!$I2:$I911,INDEX('Inter-VM Data Table'!2:911,,MATCH(AD1,'Inter-VM Data Table'!1:1,0))="T")+3)/4,      0),"")</f>
        <v>1</v>
      </c>
      <c r="AH17" s="6" t="str">
        <f>IF(AF17="R",AG$15+0,"")</f>
        <v/>
      </c>
      <c r="AI17" s="6" t="str">
        <f>IF(AH$15=0,"",AA15)</f>
        <v/>
      </c>
      <c r="AJ17" s="6" t="str">
        <f>IF(AH$15=0,"",AB$15)</f>
        <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271</v>
      </c>
      <c r="AW17" s="6">
        <f>F15</f>
        <v>6</v>
      </c>
      <c r="BA17" s="12" t="s">
        <v>272</v>
      </c>
      <c r="BB17" s="11">
        <f>AW17</f>
        <v>6</v>
      </c>
      <c r="BD17" s="27" t="s">
        <v>273</v>
      </c>
      <c r="BE17" s="11" t="str">
        <f t="shared" ref="BE17:BE80" si="0">IF(F17="","","#define "&amp;K17&amp;REPT(" ",41-LEN(K17))&amp;"("&amp;E17&amp;"U)")</f>
        <v>#define IVDSH_DID_WRI_CPREQ_006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IVDSH_DID_WRI_CPREQ_006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8</v>
      </c>
      <c r="G18" s="6">
        <v>0</v>
      </c>
      <c r="H18" s="6" t="str">
        <v>T</v>
      </c>
      <c r="I18" s="6">
        <v>1</v>
      </c>
      <c r="J18" s="6">
        <f>IF(F18="","",I17+J17)</f>
        <v>1</v>
      </c>
      <c r="K18" s="6" t="str">
        <v>IVDSH_DID_WRI_CPREQ_008</v>
      </c>
      <c r="N18" s="6">
        <v>8</v>
      </c>
      <c r="O18" s="6">
        <v>0</v>
      </c>
      <c r="P18" s="6" t="str">
        <v>T</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t="str">
        <f>IF(OR(Z$15=0,V18=""),"",AA17)</f>
        <v/>
      </c>
      <c r="AB18" s="6" t="str">
        <f>IF(OR(V18="",Z$15=0),"",AB17+Y17)</f>
        <v/>
      </c>
      <c r="AC18" s="6" t="str">
        <v>IVDSH_DID_REA_CPREQ_004</v>
      </c>
      <c r="AD18" s="6">
        <v>9</v>
      </c>
      <c r="AE18" s="6">
        <v>0</v>
      </c>
      <c r="AF18" s="6" t="str">
        <v>-</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v>
      </c>
      <c r="AO18" s="6">
        <v>1</v>
      </c>
      <c r="AP18" s="6" t="str">
        <f>IF(AN18="R",MAX(AP$17:AP17,AO$15-1)+1,"")</f>
        <v/>
      </c>
      <c r="AQ18" s="6" t="str">
        <f>IF(OR(AP$15=0,AL18=""),"",AQ17)</f>
        <v/>
      </c>
      <c r="AR18" s="6" t="str">
        <f>IF(OR(AL18="",AP$15=0),"",AR17+AO17)</f>
        <v/>
      </c>
      <c r="AS18" s="6" t="str">
        <v>IVDSH_DID_REA_CPREQ_007</v>
      </c>
      <c r="AV18" s="6" t="s">
        <v>274</v>
      </c>
      <c r="AW18" s="6">
        <f>R15+Z15+AH15+AP15</f>
        <v>0</v>
      </c>
      <c r="BA18" s="12" t="s">
        <v>275</v>
      </c>
      <c r="BB18" s="11">
        <f>AW18</f>
        <v>0</v>
      </c>
      <c r="BE18" s="11" t="str">
        <f t="shared" si="0"/>
        <v>#define IVDSH_DID_WRI_CPREQ_008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IVDSH_DID_WRI_CPREQ_008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29</v>
      </c>
      <c r="G19" s="6">
        <v>0</v>
      </c>
      <c r="H19" s="6" t="str">
        <v>T</v>
      </c>
      <c r="I19" s="6">
        <v>1</v>
      </c>
      <c r="J19" s="6">
        <f>IF(F19="","",I18+J18)</f>
        <v>2</v>
      </c>
      <c r="K19" s="6" t="str">
        <v>IVDSH_DID_WRI_CPREQ_029</v>
      </c>
      <c r="N19" s="6">
        <v>29</v>
      </c>
      <c r="O19" s="6">
        <v>0</v>
      </c>
      <c r="P19" s="6" t="str">
        <v>T</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v>
      </c>
      <c r="AG19" s="6">
        <v>1</v>
      </c>
      <c r="AH19" s="6" t="str">
        <f>IF(AF19="R",MAX(AH$17:AH18,AG$15-1)+1,"")</f>
        <v/>
      </c>
      <c r="AI19" s="6" t="str">
        <f t="shared" si="5"/>
        <v/>
      </c>
      <c r="AJ19" s="6" t="str">
        <f t="shared" si="6"/>
        <v/>
      </c>
      <c r="AK19" s="6" t="str">
        <v>IVDSH_DID_REA_CPREQ_011</v>
      </c>
      <c r="AL19" s="6">
        <v>43</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276</v>
      </c>
      <c r="BB19" s="11">
        <f>AW20</f>
        <v>1</v>
      </c>
      <c r="BE19" s="11" t="str">
        <f t="shared" si="0"/>
        <v>#define IVDSH_DID_WRI_CPREQ_029                  (2U)</v>
      </c>
      <c r="BF19" s="11" t="str">
        <f t="shared" si="1"/>
        <v/>
      </c>
      <c r="BG19" s="11" t="str">
        <f t="shared" si="2"/>
        <v/>
      </c>
      <c r="BH19" s="11" t="str">
        <f t="shared" si="3"/>
        <v/>
      </c>
      <c r="BI19" s="11" t="str">
        <f t="shared" si="4"/>
        <v/>
      </c>
      <c r="BJ19" s="11"/>
      <c r="BK19" s="11" t="str">
        <f t="shared" si="7"/>
        <v xml:space="preserve">    {(U2)2U,        (U2)1U,         (U2)IVDSH_FQ_CH_WRI  },     /* IVDSH_DID_WRI_CPREQ_029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32</v>
      </c>
      <c r="G20" s="6">
        <v>0</v>
      </c>
      <c r="H20" s="6" t="str">
        <v>T</v>
      </c>
      <c r="I20" s="6">
        <v>1</v>
      </c>
      <c r="J20" s="6">
        <f t="shared" ref="J20:J83" si="19">IF(F20="","",I19+J19)</f>
        <v>3</v>
      </c>
      <c r="K20" s="6" t="str">
        <v>IVDSH_DID_WRI_CPREQ_032</v>
      </c>
      <c r="N20" s="6">
        <v>32</v>
      </c>
      <c r="O20" s="6">
        <v>0</v>
      </c>
      <c r="P20" s="6" t="str">
        <v>T</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t="str">
        <f t="shared" si="15"/>
        <v/>
      </c>
      <c r="AB20" s="6" t="str">
        <f t="shared" si="16"/>
        <v/>
      </c>
      <c r="AC20" s="6" t="str">
        <v>IVDSH_DID_REA_CPREQ_012</v>
      </c>
      <c r="AD20" s="6">
        <v>13</v>
      </c>
      <c r="AE20" s="6">
        <v>0</v>
      </c>
      <c r="AF20" s="6" t="str">
        <v>-</v>
      </c>
      <c r="AG20" s="6">
        <v>1</v>
      </c>
      <c r="AH20" s="6" t="str">
        <f>IF(AF20="R",MAX(AH$17:AH19,AG$15-1)+1,"")</f>
        <v/>
      </c>
      <c r="AI20" s="6" t="str">
        <f t="shared" si="5"/>
        <v/>
      </c>
      <c r="AJ20" s="6" t="str">
        <f t="shared" si="6"/>
        <v/>
      </c>
      <c r="AK20" s="6" t="str">
        <v>IVDSH_DID_REA_CPREQ_013</v>
      </c>
      <c r="AL20" s="6">
        <v>45</v>
      </c>
      <c r="AM20" s="6">
        <v>0</v>
      </c>
      <c r="AN20" s="6" t="str">
        <v>-</v>
      </c>
      <c r="AO20" s="6">
        <v>1</v>
      </c>
      <c r="AP20" s="6" t="str">
        <f>IF(AN20="R",MAX(AP$17:AP19,AO$15-1)+1,"")</f>
        <v/>
      </c>
      <c r="AQ20" s="6" t="str">
        <f t="shared" si="17"/>
        <v/>
      </c>
      <c r="AR20" s="6" t="str">
        <f t="shared" si="18"/>
        <v/>
      </c>
      <c r="AS20" s="6" t="str">
        <v>IVDSH_DID_REA_CPREQ_045</v>
      </c>
      <c r="AV20" s="6" t="s">
        <v>277</v>
      </c>
      <c r="AW20" s="6">
        <f>MAX(AW22:AW26)+1</f>
        <v>1</v>
      </c>
      <c r="BA20" s="12" t="s">
        <v>278</v>
      </c>
      <c r="BB20" s="11">
        <f>AW21</f>
        <v>0</v>
      </c>
      <c r="BE20" s="11" t="str">
        <f t="shared" si="0"/>
        <v>#define IVDSH_DID_WRI_CPREQ_032                  (3U)</v>
      </c>
      <c r="BF20" s="11" t="str">
        <f t="shared" si="1"/>
        <v/>
      </c>
      <c r="BG20" s="11" t="str">
        <f t="shared" si="2"/>
        <v/>
      </c>
      <c r="BH20" s="11" t="str">
        <f t="shared" si="3"/>
        <v/>
      </c>
      <c r="BI20" s="11" t="str">
        <f t="shared" si="4"/>
        <v/>
      </c>
      <c r="BJ20" s="11"/>
      <c r="BK20" s="11" t="str">
        <f t="shared" si="7"/>
        <v xml:space="preserve">    {(U2)3U,        (U2)1U,         (U2)IVDSH_FQ_CH_WRI  },     /* IVDSH_DID_WRI_CPREQ_032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F21" s="6">
        <v>35</v>
      </c>
      <c r="G21" s="6">
        <v>0</v>
      </c>
      <c r="H21" s="6" t="str">
        <v>T</v>
      </c>
      <c r="I21" s="6">
        <v>1</v>
      </c>
      <c r="J21" s="6">
        <f t="shared" si="19"/>
        <v>4</v>
      </c>
      <c r="K21" s="6" t="str">
        <v>IVDSH_DID_WRI_CPREQ_035</v>
      </c>
      <c r="N21" s="6">
        <v>35</v>
      </c>
      <c r="O21" s="6">
        <v>0</v>
      </c>
      <c r="P21" s="6" t="str">
        <v>T</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t="str">
        <f t="shared" si="15"/>
        <v/>
      </c>
      <c r="AB21" s="6" t="str">
        <f t="shared" si="16"/>
        <v/>
      </c>
      <c r="AC21" s="6" t="str">
        <v>IVDSH_DID_REA_CPREQ_014</v>
      </c>
      <c r="AD21" s="6">
        <v>15</v>
      </c>
      <c r="AE21" s="6">
        <v>0</v>
      </c>
      <c r="AF21" s="6" t="str">
        <v>-</v>
      </c>
      <c r="AG21" s="6">
        <v>1</v>
      </c>
      <c r="AH21" s="6" t="str">
        <f>IF(AF21="R",MAX(AH$17:AH20,AG$15-1)+1,"")</f>
        <v/>
      </c>
      <c r="AI21" s="6" t="str">
        <f t="shared" si="5"/>
        <v/>
      </c>
      <c r="AJ21" s="6" t="str">
        <f t="shared" si="6"/>
        <v/>
      </c>
      <c r="AK21" s="6" t="str">
        <v>IVDSH_DID_REA_CPREQ_015</v>
      </c>
      <c r="AL21" s="6">
        <v>48</v>
      </c>
      <c r="AM21" s="6">
        <v>0</v>
      </c>
      <c r="AN21" s="6" t="str">
        <v>-</v>
      </c>
      <c r="AO21" s="6">
        <v>1</v>
      </c>
      <c r="AP21" s="6" t="str">
        <f>IF(AN21="R",MAX(AP$17:AP20,AO$15-1)+1,"")</f>
        <v/>
      </c>
      <c r="AQ21" s="6" t="str">
        <f t="shared" si="17"/>
        <v/>
      </c>
      <c r="AR21" s="6" t="str">
        <f t="shared" si="18"/>
        <v/>
      </c>
      <c r="AS21" s="6" t="str">
        <v>IVDSH_DID_REA_CPREQ_048</v>
      </c>
      <c r="AV21" s="6" t="s">
        <v>279</v>
      </c>
      <c r="AW21" s="6">
        <f>COUNTIF(AW22:AW25,"&gt;=0")</f>
        <v>0</v>
      </c>
      <c r="AX21" s="30" t="s">
        <v>280</v>
      </c>
      <c r="BA21" s="12" t="s">
        <v>281</v>
      </c>
      <c r="BB21" s="11">
        <f>AW29</f>
        <v>6</v>
      </c>
      <c r="BE21" s="11" t="str">
        <f t="shared" si="0"/>
        <v>#define IVDSH_DID_WRI_CPREQ_035                  (4U)</v>
      </c>
      <c r="BF21" s="11" t="str">
        <f t="shared" si="1"/>
        <v/>
      </c>
      <c r="BG21" s="11" t="str">
        <f t="shared" si="2"/>
        <v/>
      </c>
      <c r="BH21" s="11" t="str">
        <f t="shared" si="3"/>
        <v/>
      </c>
      <c r="BI21" s="11" t="str">
        <f t="shared" si="4"/>
        <v/>
      </c>
      <c r="BJ21" s="11"/>
      <c r="BK21" s="11" t="str">
        <f t="shared" si="7"/>
        <v xml:space="preserve">    {(U2)4U,        (U2)1U,         (U2)IVDSH_FQ_CH_WRI  },     /* IVDSH_DID_WRI_CPREQ_035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F22" s="6">
        <v>38</v>
      </c>
      <c r="G22" s="6">
        <v>0</v>
      </c>
      <c r="H22" s="6" t="str">
        <v>T</v>
      </c>
      <c r="I22" s="6">
        <v>1</v>
      </c>
      <c r="J22" s="6">
        <f t="shared" si="19"/>
        <v>5</v>
      </c>
      <c r="K22" s="6" t="str">
        <v>IVDSH_DID_WRI_CPREQ_038</v>
      </c>
      <c r="N22" s="6">
        <v>38</v>
      </c>
      <c r="O22" s="6">
        <v>0</v>
      </c>
      <c r="P22" s="6" t="str">
        <v>T</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t="str">
        <f t="shared" si="15"/>
        <v/>
      </c>
      <c r="AB22" s="6" t="str">
        <f t="shared" si="16"/>
        <v/>
      </c>
      <c r="AC22" s="6" t="str">
        <v>IVDSH_DID_REA_CPREQ_016</v>
      </c>
      <c r="AD22" s="6">
        <v>17</v>
      </c>
      <c r="AE22" s="6">
        <v>0</v>
      </c>
      <c r="AF22" s="6" t="str">
        <v>-</v>
      </c>
      <c r="AG22" s="6">
        <v>1</v>
      </c>
      <c r="AH22" s="6" t="str">
        <f>IF(AF22="R",MAX(AH$17:AH21,AG$15-1)+1,"")</f>
        <v/>
      </c>
      <c r="AI22" s="6" t="str">
        <f t="shared" si="5"/>
        <v/>
      </c>
      <c r="AJ22" s="6" t="str">
        <f t="shared" si="6"/>
        <v/>
      </c>
      <c r="AK22" s="6" t="str">
        <v>IVDSH_DID_REA_CPREQ_017</v>
      </c>
      <c r="AL22" s="6">
        <v>49</v>
      </c>
      <c r="AM22" s="6">
        <v>0</v>
      </c>
      <c r="AN22" s="6" t="str">
        <v>-</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282</v>
      </c>
      <c r="BB22" s="11">
        <f>AW28</f>
        <v>6</v>
      </c>
      <c r="BE22" s="11" t="str">
        <f t="shared" si="0"/>
        <v>#define IVDSH_DID_WRI_CPREQ_038                  (5U)</v>
      </c>
      <c r="BF22" s="11" t="str">
        <f t="shared" si="1"/>
        <v/>
      </c>
      <c r="BG22" s="11" t="str">
        <f t="shared" si="2"/>
        <v/>
      </c>
      <c r="BH22" s="11" t="str">
        <f t="shared" si="3"/>
        <v/>
      </c>
      <c r="BI22" s="11" t="str">
        <f t="shared" si="4"/>
        <v/>
      </c>
      <c r="BJ22" s="11"/>
      <c r="BK22" s="11" t="str">
        <f t="shared" si="7"/>
        <v xml:space="preserve">    {(U2)5U,        (U2)1U,         (U2)IVDSH_FQ_CH_WRI  },     /* IVDSH_DID_WRI_CPREQ_038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18</v>
      </c>
      <c r="W23" s="6">
        <v>0</v>
      </c>
      <c r="X23" s="6" t="str">
        <v>-</v>
      </c>
      <c r="Y23" s="6">
        <v>1</v>
      </c>
      <c r="Z23" s="6" t="str">
        <f>IF(X23="R",MAX(Z$17:Z22,Y$15-1)+1,"")</f>
        <v/>
      </c>
      <c r="AA23" s="6" t="str">
        <f t="shared" si="15"/>
        <v/>
      </c>
      <c r="AB23" s="6" t="str">
        <f t="shared" si="16"/>
        <v/>
      </c>
      <c r="AC23" s="6" t="str">
        <v>IVDSH_DID_REA_CPREQ_018</v>
      </c>
      <c r="AD23" s="6">
        <v>19</v>
      </c>
      <c r="AE23" s="6">
        <v>0</v>
      </c>
      <c r="AF23" s="6" t="str">
        <v>-</v>
      </c>
      <c r="AG23" s="6">
        <v>1</v>
      </c>
      <c r="AH23" s="6" t="str">
        <f>IF(AF23="R",MAX(AH$17:AH22,AG$15-1)+1,"")</f>
        <v/>
      </c>
      <c r="AI23" s="6" t="str">
        <f t="shared" si="5"/>
        <v/>
      </c>
      <c r="AJ23" s="6" t="str">
        <f t="shared" si="6"/>
        <v/>
      </c>
      <c r="AK23" s="6" t="str">
        <v>IVDSH_DID_REA_CPREQ_019</v>
      </c>
      <c r="AL23" s="6">
        <v>50</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283</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t="str">
        <f t="shared" si="15"/>
        <v/>
      </c>
      <c r="AB24" s="6" t="str">
        <f t="shared" si="16"/>
        <v/>
      </c>
      <c r="AC24" s="6" t="str">
        <v>IVDSH_DID_REA_CPREQ_021</v>
      </c>
      <c r="AD24" s="6">
        <v>20</v>
      </c>
      <c r="AE24" s="6">
        <v>0</v>
      </c>
      <c r="AF24" s="6" t="str">
        <v>-</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284</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285</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23</v>
      </c>
      <c r="W26" s="6">
        <v>0</v>
      </c>
      <c r="X26" s="6" t="str">
        <v>-</v>
      </c>
      <c r="Y26" s="6">
        <v>1</v>
      </c>
      <c r="Z26" s="6" t="str">
        <f>IF(X26="R",MAX(Z$17:Z25,Y$15-1)+1,"")</f>
        <v/>
      </c>
      <c r="AA26" s="6" t="str">
        <f t="shared" si="15"/>
        <v/>
      </c>
      <c r="AB26" s="6" t="str">
        <f t="shared" si="16"/>
        <v/>
      </c>
      <c r="AC26" s="6" t="str">
        <v>IVDSH_DID_REA_CPREQ_023</v>
      </c>
      <c r="AD26" s="6">
        <v>25</v>
      </c>
      <c r="AE26" s="6" t="str">
        <v>VM2TO1_CAM_DIAP</v>
      </c>
      <c r="AF26" s="6" t="str">
        <v>-</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286</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t="str">
        <f t="shared" si="15"/>
        <v/>
      </c>
      <c r="AB27" s="6" t="str">
        <f t="shared" si="16"/>
        <v/>
      </c>
      <c r="AC27" s="6" t="str">
        <v>IVDSH_DID_REA_VM1TO2_CAM_DIAP</v>
      </c>
      <c r="AD27" s="6">
        <v>27</v>
      </c>
      <c r="AE27" s="6">
        <v>0</v>
      </c>
      <c r="AF27" s="6" t="str">
        <v>-</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287</v>
      </c>
      <c r="AW28" s="6">
        <f>AW29+SUM(AW30:AW33)*2</f>
        <v>6</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288</v>
      </c>
      <c r="AW29" s="6">
        <f>SUM(I$17:I529)</f>
        <v>6</v>
      </c>
      <c r="AX29" s="30" t="s">
        <v>280</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44</v>
      </c>
      <c r="W30" s="6">
        <v>0</v>
      </c>
      <c r="X30" s="6" t="str">
        <v>-</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v>
      </c>
      <c r="Y32" s="6">
        <v>1</v>
      </c>
      <c r="Z32" s="6" t="str">
        <f>IF(X32="R",MAX(Z$17:Z31,Y$15-1)+1,"")</f>
        <v/>
      </c>
      <c r="AA32" s="6" t="str">
        <f t="shared" si="15"/>
        <v/>
      </c>
      <c r="AB32" s="6" t="str">
        <f t="shared" si="16"/>
        <v/>
      </c>
      <c r="AC32" s="6" t="str">
        <v>IVDSH_DID_REA_VM1TO3_WHLINI_INF</v>
      </c>
      <c r="AD32" s="6">
        <v>52</v>
      </c>
      <c r="AE32" s="6" t="str">
        <v>VM2TO1_WHLINI_REQ</v>
      </c>
      <c r="AF32" s="6" t="str">
        <v>-</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290</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291</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296</v>
      </c>
      <c r="N3" s="21" t="s">
        <v>218</v>
      </c>
      <c r="O3" s="21"/>
      <c r="BA3" s="21" t="s">
        <v>219</v>
      </c>
      <c r="BE3" s="21" t="s">
        <v>220</v>
      </c>
    </row>
    <row r="4" spans="1:84">
      <c r="A4" s="6" t="s">
        <v>221</v>
      </c>
      <c r="B4" s="1" t="s">
        <v>297</v>
      </c>
      <c r="AY4" s="23"/>
      <c r="AZ4" s="13"/>
      <c r="BD4" s="13"/>
    </row>
    <row r="5" spans="1:84">
      <c r="A5" s="6" t="s">
        <v>223</v>
      </c>
      <c r="B5" s="1" t="s">
        <v>298</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16</v>
      </c>
      <c r="G15" s="6" t="s">
        <v>261</v>
      </c>
      <c r="J15" s="14">
        <v>0</v>
      </c>
      <c r="N15" s="9" t="str">
        <f>N1</f>
        <v>VM#0</v>
      </c>
      <c r="O15" s="6" t="s">
        <v>261</v>
      </c>
      <c r="Q15" s="6">
        <f>F15</f>
        <v>16</v>
      </c>
      <c r="R15" s="6">
        <f>COUNTIF(P17:P529,"R")</f>
        <v>0</v>
      </c>
      <c r="S15" s="6">
        <f>COUNTIF(R$15,"&lt;&gt;0")</f>
        <v>0</v>
      </c>
      <c r="T15" s="14">
        <v>0</v>
      </c>
      <c r="U15" s="6">
        <f>COUNTA(U$17:U529)</f>
        <v>6</v>
      </c>
      <c r="V15" s="9" t="str">
        <f>V1</f>
        <v>VM#1(MET)</v>
      </c>
      <c r="W15" s="6" t="str">
        <f>O15</f>
        <v>CPREQ_</v>
      </c>
      <c r="Y15" s="6">
        <f>Q15+R15</f>
        <v>16</v>
      </c>
      <c r="Z15" s="6">
        <f>COUNTIF(X17:X529,"R")</f>
        <v>0</v>
      </c>
      <c r="AA15" s="6">
        <f>S15+COUNTIF(Z$15,"&lt;&gt;0")</f>
        <v>0</v>
      </c>
      <c r="AB15" s="14">
        <v>0</v>
      </c>
      <c r="AC15" s="6">
        <f>COUNTA(AC$17:AC529)</f>
        <v>16</v>
      </c>
      <c r="AD15" s="9" t="str">
        <f>AD1</f>
        <v>VM#2(IVI)</v>
      </c>
      <c r="AE15" s="6" t="str">
        <f>W15</f>
        <v>CPREQ_</v>
      </c>
      <c r="AG15" s="6">
        <f>Y15+Z15</f>
        <v>16</v>
      </c>
      <c r="AH15" s="6">
        <f>COUNTIF(AF17:AF529,"R")</f>
        <v>10</v>
      </c>
      <c r="AI15" s="6">
        <f>AA15+COUNTIF(AH$15,"&lt;&gt;0")</f>
        <v>1</v>
      </c>
      <c r="AJ15" s="14">
        <v>0</v>
      </c>
      <c r="AK15" s="6">
        <f>COUNTA(AK$17:AK529)</f>
        <v>16</v>
      </c>
      <c r="AL15" s="9" t="str">
        <f>AL1</f>
        <v>VM#3(CEN)</v>
      </c>
      <c r="AM15" s="6" t="str">
        <f>AE15</f>
        <v>CPREQ_</v>
      </c>
      <c r="AO15" s="6">
        <f>AG15+AH15</f>
        <v>26</v>
      </c>
      <c r="AP15" s="6">
        <f>COUNTIF(AN17:AN529,"R")</f>
        <v>1</v>
      </c>
      <c r="AQ15" s="6">
        <f>AI15+COUNTIF(AP$15,"&lt;&gt;0")</f>
        <v>2</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32">IFERROR(_xlfn._xlws.FILTER('Inter-VM Data Table'!$A2:$A911,INDEX('Inter-VM Data Table'!2:911,,MATCH(B3,'Inter-VM Data Table'!1:1,0))="T"),"")</f>
        <v>2</v>
      </c>
      <c r="G17" s="6" cm="1">
        <f t="array" ref="G17:G32">IFERROR(_xlfn._xlws.FILTER('Inter-VM Data Table'!$D2:$D911,INDEX('Inter-VM Data Table'!2:911,,MATCH(B3,'Inter-VM Data Table'!1:1,0))="T"),"")</f>
        <v>0</v>
      </c>
      <c r="H17" s="6" t="str" cm="1">
        <f t="array" ref="H17:H32">IFERROR(_xlfn._xlws.FILTER(INDEX('Inter-VM Data Table'!2:911,,MATCH($B$3,'Inter-VM Data Table'!1:1,0)),INDEX('Inter-VM Data Table'!2:911,,MATCH(B3,'Inter-VM Data Table'!1:1,0))="T"),"")</f>
        <v>T</v>
      </c>
      <c r="I17" s="6" cm="1">
        <f t="array" ref="I17:I32">IFERROR(ROUNDDOWN(     (_xlfn._xlws.FILTER('Inter-VM Data Table'!$I2:$I911,INDEX('Inter-VM Data Table'!2:911,,MATCH(B3,'Inter-VM Data Table'!1:1,0))="T")+3)/4,    0       ),"")</f>
        <v>1</v>
      </c>
      <c r="J17" s="6">
        <v>0</v>
      </c>
      <c r="K17" s="6" t="str" cm="1">
        <f t="array" ref="K17:K32">IF(_xlfn.ANCHORARRAY(G17)=0,K1&amp;G15&amp;TEXT(_xlfn.ANCHORARRAY(F17),"000"),K1&amp;_xlfn.ANCHORARRAY(G17))</f>
        <v>IVDSH_DID_WRI_CPREQ_002</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T</v>
      </c>
      <c r="Y17" s="6" cm="1">
        <f t="array" ref="Y17:Y32">IFERROR(ROUNDDOWN(     (_xlfn._xlws.FILTER('Inter-VM Data Table'!$I2:$I911,INDEX('Inter-VM Data Table'!2:911,,MATCH(V1,'Inter-VM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v>
      </c>
      <c r="AG17" s="6" cm="1">
        <f t="array" ref="AG17:AG32">IFERROR(ROUNDDOWN(     (_xlfn._xlws.FILTER('Inter-VM Data Table'!$I2:$I911,INDEX('Inter-VM Data Table'!2:911,,MATCH(AD1,'Inter-VM Data Table'!1:1,0))="T")+3)/4,      0),"")</f>
        <v>1</v>
      </c>
      <c r="AH17" s="6" t="str">
        <f>IF(AF17="R",AG$15+0,"")</f>
        <v/>
      </c>
      <c r="AI17" s="6">
        <f>IF(AH$15=0,"",AA15)</f>
        <v>0</v>
      </c>
      <c r="AJ17" s="6">
        <f>IF(AH$15=0,"",AB$15)</f>
        <v>0</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f>IF(AP$15=0,"",AI15)</f>
        <v>1</v>
      </c>
      <c r="AR17" s="6">
        <f>IF(AP$15=0,"",AJ$15)</f>
        <v>0</v>
      </c>
      <c r="AS17" s="6" t="str" cm="1">
        <f t="array" ref="AS17:AS23">IF(_xlfn.ANCHORARRAY(AM17)=0,AS1&amp;AM15&amp;TEXT(_xlfn.ANCHORARRAY(AL17),"000"),AS1&amp;_xlfn.ANCHORARRAY(AM17))</f>
        <v>IVDSH_DID_REA_CPREQ_005</v>
      </c>
      <c r="AV17" s="6" t="s">
        <v>271</v>
      </c>
      <c r="AW17" s="6">
        <f>F15</f>
        <v>16</v>
      </c>
      <c r="BA17" s="12" t="s">
        <v>272</v>
      </c>
      <c r="BB17" s="11">
        <f>AW17</f>
        <v>16</v>
      </c>
      <c r="BD17" s="27" t="s">
        <v>273</v>
      </c>
      <c r="BE17" s="11" t="str">
        <f t="shared" ref="BE17:BE80" si="0">IF(F17="","","#define "&amp;K17&amp;REPT(" ",41-LEN(K17))&amp;"("&amp;E17&amp;"U)")</f>
        <v>#define IVDSH_DID_WRI_CPREQ_002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IVDSH_DID_WRI_CPREQ_002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4</v>
      </c>
      <c r="G18" s="6">
        <v>0</v>
      </c>
      <c r="H18" s="6" t="str">
        <v>T</v>
      </c>
      <c r="I18" s="6">
        <v>1</v>
      </c>
      <c r="J18" s="6">
        <f>IF(F18="","",I17+J17)</f>
        <v>1</v>
      </c>
      <c r="K18" s="6" t="str">
        <v>IVDSH_DID_WRI_CPREQ_004</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T</v>
      </c>
      <c r="Y18" s="6">
        <v>1</v>
      </c>
      <c r="Z18" s="6" t="str">
        <f>IF(X18="R",MAX(Z$17:Z17,Y$15-1)+1,"")</f>
        <v/>
      </c>
      <c r="AA18" s="6" t="str">
        <f>IF(OR(Z$15=0,V18=""),"",AA17)</f>
        <v/>
      </c>
      <c r="AB18" s="6" t="str">
        <f>IF(OR(V18="",Z$15=0),"",AB17+Y17)</f>
        <v/>
      </c>
      <c r="AC18" s="6" t="str">
        <v>IVDSH_DID_REA_CPREQ_004</v>
      </c>
      <c r="AD18" s="6">
        <v>9</v>
      </c>
      <c r="AE18" s="6">
        <v>0</v>
      </c>
      <c r="AF18" s="6" t="str">
        <v>R</v>
      </c>
      <c r="AG18" s="6">
        <v>1</v>
      </c>
      <c r="AH18" s="6">
        <f>IF(AF18="R",MAX(AH$17:AH17,AG$15-1)+1,"")</f>
        <v>16</v>
      </c>
      <c r="AI18" s="6">
        <f t="shared" ref="AI18:AI81" si="5">IF(OR(AH$15=0,AD18=""),"",AI17)</f>
        <v>0</v>
      </c>
      <c r="AJ18" s="6">
        <f t="shared" ref="AJ18:AJ81" si="6">IF(OR(AD18="",AH$15=0),"",AJ17+AG17)</f>
        <v>1</v>
      </c>
      <c r="AK18" s="6" t="str">
        <v>IVDSH_DID_REA_CPREQ_009</v>
      </c>
      <c r="AL18" s="6">
        <v>7</v>
      </c>
      <c r="AM18" s="6">
        <v>0</v>
      </c>
      <c r="AN18" s="6" t="str">
        <v>-</v>
      </c>
      <c r="AO18" s="6">
        <v>1</v>
      </c>
      <c r="AP18" s="6" t="str">
        <f>IF(AN18="R",MAX(AP$17:AP17,AO$15-1)+1,"")</f>
        <v/>
      </c>
      <c r="AQ18" s="6">
        <f>IF(OR(AP$15=0,AL18=""),"",AQ17)</f>
        <v>1</v>
      </c>
      <c r="AR18" s="6">
        <f>IF(OR(AL18="",AP$15=0),"",AR17+AO17)</f>
        <v>1</v>
      </c>
      <c r="AS18" s="6" t="str">
        <v>IVDSH_DID_REA_CPREQ_007</v>
      </c>
      <c r="AV18" s="6" t="s">
        <v>274</v>
      </c>
      <c r="AW18" s="6">
        <f>R15+Z15+AH15+AP15</f>
        <v>11</v>
      </c>
      <c r="BA18" s="12" t="s">
        <v>275</v>
      </c>
      <c r="BB18" s="11">
        <f>AW18</f>
        <v>11</v>
      </c>
      <c r="BE18" s="11" t="str">
        <f t="shared" si="0"/>
        <v>#define IVDSH_DID_WRI_CPREQ_004                  (1U)</v>
      </c>
      <c r="BF18" s="11" t="str">
        <f t="shared" si="1"/>
        <v/>
      </c>
      <c r="BG18" s="11" t="str">
        <f t="shared" si="2"/>
        <v/>
      </c>
      <c r="BH18" s="11" t="str">
        <f t="shared" si="3"/>
        <v>#define IVDSH_DID_REA_CPREQ_009                  (16U)</v>
      </c>
      <c r="BI18" s="11" t="str">
        <f t="shared" si="4"/>
        <v/>
      </c>
      <c r="BJ18" s="11"/>
      <c r="BK18" s="11" t="str">
        <f t="shared" ref="BK18:BK81" si="7">IF(F18="","","    {(U2)"&amp;J18&amp;"U,"&amp;REPT(" ",9-LEN(J18))&amp;"(U2)"&amp;I18&amp;"U,"&amp;REPT(" ",10-LEN(I18))&amp;"(U2)IVDSH_FQ_CH_WRI  },     /* "&amp;K18&amp;REPT(" ",32-LEN(K18))&amp;"*/")</f>
        <v xml:space="preserve">    {(U2)1U,        (U2)1U,         (U2)IVDSH_FQ_CH_WRI  },     /* IVDSH_DID_WRI_CPREQ_004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IVDSH_DID_REA_CPREQ_009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10</v>
      </c>
      <c r="G19" s="6">
        <v>0</v>
      </c>
      <c r="H19" s="6" t="str">
        <v>T</v>
      </c>
      <c r="I19" s="6">
        <v>1</v>
      </c>
      <c r="J19" s="6">
        <f>IF(F19="","",I18+J18)</f>
        <v>2</v>
      </c>
      <c r="K19" s="6" t="str">
        <v>IVDSH_DID_WRI_CPREQ_010</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T</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R</v>
      </c>
      <c r="AG19" s="6">
        <v>1</v>
      </c>
      <c r="AH19" s="6">
        <f>IF(AF19="R",MAX(AH$17:AH18,AG$15-1)+1,"")</f>
        <v>17</v>
      </c>
      <c r="AI19" s="6">
        <f t="shared" si="5"/>
        <v>0</v>
      </c>
      <c r="AJ19" s="6">
        <f t="shared" si="6"/>
        <v>2</v>
      </c>
      <c r="AK19" s="6" t="str">
        <v>IVDSH_DID_REA_CPREQ_011</v>
      </c>
      <c r="AL19" s="6">
        <v>43</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276</v>
      </c>
      <c r="BB19" s="11">
        <f>AW20</f>
        <v>3</v>
      </c>
      <c r="BE19" s="11" t="str">
        <f t="shared" si="0"/>
        <v>#define IVDSH_DID_WRI_CPREQ_010                  (2U)</v>
      </c>
      <c r="BF19" s="11" t="str">
        <f t="shared" si="1"/>
        <v/>
      </c>
      <c r="BG19" s="11" t="str">
        <f t="shared" si="2"/>
        <v/>
      </c>
      <c r="BH19" s="11" t="str">
        <f t="shared" si="3"/>
        <v>#define IVDSH_DID_REA_CPREQ_011                  (17U)</v>
      </c>
      <c r="BI19" s="11" t="str">
        <f t="shared" si="4"/>
        <v/>
      </c>
      <c r="BJ19" s="11"/>
      <c r="BK19" s="11" t="str">
        <f t="shared" si="7"/>
        <v xml:space="preserve">    {(U2)2U,        (U2)1U,         (U2)IVDSH_FQ_CH_WRI  },     /* IVDSH_DID_WRI_CPREQ_010         */</v>
      </c>
      <c r="BL19" s="11" t="str">
        <f t="shared" si="8"/>
        <v/>
      </c>
      <c r="BM19" s="11" t="str">
        <f t="shared" si="9"/>
        <v/>
      </c>
      <c r="BN19" s="11" t="str">
        <f t="shared" si="10"/>
        <v xml:space="preserve">    {(U2)2U,        (U2)1U,         (U2)IVDSH_FQ_CH_REA_0},     /* IVDSH_DID_REA_CPREQ_011         */</v>
      </c>
      <c r="BO19" s="11" t="str">
        <f t="shared" si="11"/>
        <v/>
      </c>
      <c r="BP19" s="11" t="str">
        <v>#define IVDSH_FQ_CH_REA_0                        (0U)</v>
      </c>
      <c r="BQ19" s="11" t="str">
        <v>#define IVDSH_WA_NWORD_REA_0                     (16U)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12</v>
      </c>
      <c r="G20" s="6">
        <v>0</v>
      </c>
      <c r="H20" s="6" t="str">
        <v>T</v>
      </c>
      <c r="I20" s="6">
        <v>1</v>
      </c>
      <c r="J20" s="6">
        <f t="shared" ref="J20:J83" si="19">IF(F20="","",I19+J19)</f>
        <v>3</v>
      </c>
      <c r="K20" s="6" t="str">
        <v>IVDSH_DID_WRI_CPREQ_012</v>
      </c>
      <c r="N20" s="6">
        <v>32</v>
      </c>
      <c r="O20" s="6">
        <v>0</v>
      </c>
      <c r="P20" s="6" t="str">
        <v>-</v>
      </c>
      <c r="Q20" s="6">
        <v>1</v>
      </c>
      <c r="R20" s="6" t="str">
        <f>IF(P20="R",MAX(R$17:R19,Q$15-1)+1,"")</f>
        <v/>
      </c>
      <c r="S20" s="6" t="str">
        <f t="shared" si="13"/>
        <v/>
      </c>
      <c r="T20" s="6" t="str">
        <f t="shared" si="14"/>
        <v/>
      </c>
      <c r="U20" s="6" t="str">
        <v>IVDSH_DID_REA_CPREQ_032</v>
      </c>
      <c r="V20" s="6">
        <v>12</v>
      </c>
      <c r="W20" s="6">
        <v>0</v>
      </c>
      <c r="X20" s="6" t="str">
        <v>T</v>
      </c>
      <c r="Y20" s="6">
        <v>1</v>
      </c>
      <c r="Z20" s="6" t="str">
        <f>IF(X20="R",MAX(Z$17:Z19,Y$15-1)+1,"")</f>
        <v/>
      </c>
      <c r="AA20" s="6" t="str">
        <f t="shared" si="15"/>
        <v/>
      </c>
      <c r="AB20" s="6" t="str">
        <f t="shared" si="16"/>
        <v/>
      </c>
      <c r="AC20" s="6" t="str">
        <v>IVDSH_DID_REA_CPREQ_012</v>
      </c>
      <c r="AD20" s="6">
        <v>13</v>
      </c>
      <c r="AE20" s="6">
        <v>0</v>
      </c>
      <c r="AF20" s="6" t="str">
        <v>R</v>
      </c>
      <c r="AG20" s="6">
        <v>1</v>
      </c>
      <c r="AH20" s="6">
        <f>IF(AF20="R",MAX(AH$17:AH19,AG$15-1)+1,"")</f>
        <v>18</v>
      </c>
      <c r="AI20" s="6">
        <f t="shared" si="5"/>
        <v>0</v>
      </c>
      <c r="AJ20" s="6">
        <f t="shared" si="6"/>
        <v>3</v>
      </c>
      <c r="AK20" s="6" t="str">
        <v>IVDSH_DID_REA_CPREQ_013</v>
      </c>
      <c r="AL20" s="6">
        <v>45</v>
      </c>
      <c r="AM20" s="6">
        <v>0</v>
      </c>
      <c r="AN20" s="6" t="str">
        <v>R</v>
      </c>
      <c r="AO20" s="6">
        <v>1</v>
      </c>
      <c r="AP20" s="6">
        <f>IF(AN20="R",MAX(AP$17:AP19,AO$15-1)+1,"")</f>
        <v>26</v>
      </c>
      <c r="AQ20" s="6">
        <f t="shared" si="17"/>
        <v>1</v>
      </c>
      <c r="AR20" s="6">
        <f t="shared" si="18"/>
        <v>3</v>
      </c>
      <c r="AS20" s="6" t="str">
        <v>IVDSH_DID_REA_CPREQ_045</v>
      </c>
      <c r="AV20" s="6" t="s">
        <v>277</v>
      </c>
      <c r="AW20" s="6">
        <f>MAX(AW22:AW26)+1</f>
        <v>3</v>
      </c>
      <c r="BA20" s="12" t="s">
        <v>278</v>
      </c>
      <c r="BB20" s="11">
        <f>AW21</f>
        <v>2</v>
      </c>
      <c r="BE20" s="11" t="str">
        <f t="shared" si="0"/>
        <v>#define IVDSH_DID_WRI_CPREQ_012                  (3U)</v>
      </c>
      <c r="BF20" s="11" t="str">
        <f t="shared" si="1"/>
        <v/>
      </c>
      <c r="BG20" s="11" t="str">
        <f t="shared" si="2"/>
        <v/>
      </c>
      <c r="BH20" s="11" t="str">
        <f t="shared" si="3"/>
        <v>#define IVDSH_DID_REA_CPREQ_013                  (18U)</v>
      </c>
      <c r="BI20" s="11" t="str">
        <f t="shared" si="4"/>
        <v>#define IVDSH_DID_REA_CPREQ_045                  (26U)</v>
      </c>
      <c r="BJ20" s="11"/>
      <c r="BK20" s="11" t="str">
        <f t="shared" si="7"/>
        <v xml:space="preserve">    {(U2)3U,        (U2)1U,         (U2)IVDSH_FQ_CH_WRI  },     /* IVDSH_DID_WRI_CPREQ_012         */</v>
      </c>
      <c r="BL20" s="11" t="str">
        <f t="shared" si="8"/>
        <v/>
      </c>
      <c r="BM20" s="11" t="str">
        <f t="shared" si="9"/>
        <v/>
      </c>
      <c r="BN20" s="11" t="str">
        <f t="shared" si="10"/>
        <v xml:space="preserve">    {(U2)3U,        (U2)1U,         (U2)IVDSH_FQ_CH_REA_0},     /* IVDSH_DID_REA_CPREQ_013         */</v>
      </c>
      <c r="BO20" s="11" t="str">
        <f t="shared" si="11"/>
        <v xml:space="preserve">    {(U2)3U,        (U2)1U,         (U2)IVDSH_FQ_CH_REA_1},     /* IVDSH_DID_REA_CPREQ_045         */</v>
      </c>
      <c r="BP20" s="11" t="str">
        <v>#define IVDSH_FQ_CH_REA_1                        (1U)</v>
      </c>
      <c r="BQ20" s="11" t="str">
        <v>#define IVDSH_WA_NWORD_REA_1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14</v>
      </c>
      <c r="G21" s="6">
        <v>0</v>
      </c>
      <c r="H21" s="6" t="str">
        <v>T</v>
      </c>
      <c r="I21" s="6">
        <v>1</v>
      </c>
      <c r="J21" s="6">
        <f t="shared" si="19"/>
        <v>4</v>
      </c>
      <c r="K21" s="6" t="str">
        <v>IVDSH_DID_WRI_CPREQ_014</v>
      </c>
      <c r="N21" s="6">
        <v>35</v>
      </c>
      <c r="O21" s="6">
        <v>0</v>
      </c>
      <c r="P21" s="6" t="str">
        <v>-</v>
      </c>
      <c r="Q21" s="6">
        <v>1</v>
      </c>
      <c r="R21" s="6" t="str">
        <f>IF(P21="R",MAX(R$17:R20,Q$15-1)+1,"")</f>
        <v/>
      </c>
      <c r="S21" s="6" t="str">
        <f t="shared" si="13"/>
        <v/>
      </c>
      <c r="T21" s="6" t="str">
        <f t="shared" si="14"/>
        <v/>
      </c>
      <c r="U21" s="6" t="str">
        <v>IVDSH_DID_REA_CPREQ_035</v>
      </c>
      <c r="V21" s="6">
        <v>14</v>
      </c>
      <c r="W21" s="6">
        <v>0</v>
      </c>
      <c r="X21" s="6" t="str">
        <v>T</v>
      </c>
      <c r="Y21" s="6">
        <v>1</v>
      </c>
      <c r="Z21" s="6" t="str">
        <f>IF(X21="R",MAX(Z$17:Z20,Y$15-1)+1,"")</f>
        <v/>
      </c>
      <c r="AA21" s="6" t="str">
        <f t="shared" si="15"/>
        <v/>
      </c>
      <c r="AB21" s="6" t="str">
        <f t="shared" si="16"/>
        <v/>
      </c>
      <c r="AC21" s="6" t="str">
        <v>IVDSH_DID_REA_CPREQ_014</v>
      </c>
      <c r="AD21" s="6">
        <v>15</v>
      </c>
      <c r="AE21" s="6">
        <v>0</v>
      </c>
      <c r="AF21" s="6" t="str">
        <v>R</v>
      </c>
      <c r="AG21" s="6">
        <v>1</v>
      </c>
      <c r="AH21" s="6">
        <f>IF(AF21="R",MAX(AH$17:AH20,AG$15-1)+1,"")</f>
        <v>19</v>
      </c>
      <c r="AI21" s="6">
        <f t="shared" si="5"/>
        <v>0</v>
      </c>
      <c r="AJ21" s="6">
        <f t="shared" si="6"/>
        <v>4</v>
      </c>
      <c r="AK21" s="6" t="str">
        <v>IVDSH_DID_REA_CPREQ_015</v>
      </c>
      <c r="AL21" s="6">
        <v>48</v>
      </c>
      <c r="AM21" s="6">
        <v>0</v>
      </c>
      <c r="AN21" s="6" t="str">
        <v>-</v>
      </c>
      <c r="AO21" s="6">
        <v>1</v>
      </c>
      <c r="AP21" s="6" t="str">
        <f>IF(AN21="R",MAX(AP$17:AP20,AO$15-1)+1,"")</f>
        <v/>
      </c>
      <c r="AQ21" s="6">
        <f t="shared" si="17"/>
        <v>1</v>
      </c>
      <c r="AR21" s="6">
        <f t="shared" si="18"/>
        <v>4</v>
      </c>
      <c r="AS21" s="6" t="str">
        <v>IVDSH_DID_REA_CPREQ_048</v>
      </c>
      <c r="AV21" s="6" t="s">
        <v>279</v>
      </c>
      <c r="AW21" s="6">
        <f>COUNTIF(AW22:AW25,"&gt;=0")</f>
        <v>2</v>
      </c>
      <c r="AX21" s="30" t="s">
        <v>280</v>
      </c>
      <c r="BA21" s="12" t="s">
        <v>281</v>
      </c>
      <c r="BB21" s="11">
        <f>AW29</f>
        <v>16</v>
      </c>
      <c r="BE21" s="11" t="str">
        <f t="shared" si="0"/>
        <v>#define IVDSH_DID_WRI_CPREQ_014                  (4U)</v>
      </c>
      <c r="BF21" s="11" t="str">
        <f t="shared" si="1"/>
        <v/>
      </c>
      <c r="BG21" s="11" t="str">
        <f t="shared" si="2"/>
        <v/>
      </c>
      <c r="BH21" s="11" t="str">
        <f t="shared" si="3"/>
        <v>#define IVDSH_DID_REA_CPREQ_015                  (19U)</v>
      </c>
      <c r="BI21" s="11" t="str">
        <f t="shared" si="4"/>
        <v/>
      </c>
      <c r="BJ21" s="11"/>
      <c r="BK21" s="11" t="str">
        <f t="shared" si="7"/>
        <v xml:space="preserve">    {(U2)4U,        (U2)1U,         (U2)IVDSH_FQ_CH_WRI  },     /* IVDSH_DID_WRI_CPREQ_014         */</v>
      </c>
      <c r="BL21" s="11" t="str">
        <f t="shared" si="8"/>
        <v/>
      </c>
      <c r="BM21" s="11" t="str">
        <f t="shared" si="9"/>
        <v/>
      </c>
      <c r="BN21" s="11" t="str">
        <f t="shared" si="10"/>
        <v xml:space="preserve">    {(U2)4U,        (U2)1U,         (U2)IVDSH_FQ_CH_REA_0},     /* IVDSH_DID_REA_CPREQ_015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16</v>
      </c>
      <c r="G22" s="6">
        <v>0</v>
      </c>
      <c r="H22" s="6" t="str">
        <v>T</v>
      </c>
      <c r="I22" s="6">
        <v>1</v>
      </c>
      <c r="J22" s="6">
        <f t="shared" si="19"/>
        <v>5</v>
      </c>
      <c r="K22" s="6" t="str">
        <v>IVDSH_DID_WRI_CPREQ_016</v>
      </c>
      <c r="N22" s="6">
        <v>38</v>
      </c>
      <c r="O22" s="6">
        <v>0</v>
      </c>
      <c r="P22" s="6" t="str">
        <v>-</v>
      </c>
      <c r="Q22" s="6">
        <v>1</v>
      </c>
      <c r="R22" s="6" t="str">
        <f>IF(P22="R",MAX(R$17:R21,Q$15-1)+1,"")</f>
        <v/>
      </c>
      <c r="S22" s="6" t="str">
        <f t="shared" si="13"/>
        <v/>
      </c>
      <c r="T22" s="6" t="str">
        <f t="shared" si="14"/>
        <v/>
      </c>
      <c r="U22" s="6" t="str">
        <v>IVDSH_DID_REA_CPREQ_038</v>
      </c>
      <c r="V22" s="6">
        <v>16</v>
      </c>
      <c r="W22" s="6">
        <v>0</v>
      </c>
      <c r="X22" s="6" t="str">
        <v>T</v>
      </c>
      <c r="Y22" s="6">
        <v>1</v>
      </c>
      <c r="Z22" s="6" t="str">
        <f>IF(X22="R",MAX(Z$17:Z21,Y$15-1)+1,"")</f>
        <v/>
      </c>
      <c r="AA22" s="6" t="str">
        <f t="shared" si="15"/>
        <v/>
      </c>
      <c r="AB22" s="6" t="str">
        <f t="shared" si="16"/>
        <v/>
      </c>
      <c r="AC22" s="6" t="str">
        <v>IVDSH_DID_REA_CPREQ_016</v>
      </c>
      <c r="AD22" s="6">
        <v>17</v>
      </c>
      <c r="AE22" s="6">
        <v>0</v>
      </c>
      <c r="AF22" s="6" t="str">
        <v>R</v>
      </c>
      <c r="AG22" s="6">
        <v>1</v>
      </c>
      <c r="AH22" s="6">
        <f>IF(AF22="R",MAX(AH$17:AH21,AG$15-1)+1,"")</f>
        <v>20</v>
      </c>
      <c r="AI22" s="6">
        <f t="shared" si="5"/>
        <v>0</v>
      </c>
      <c r="AJ22" s="6">
        <f t="shared" si="6"/>
        <v>5</v>
      </c>
      <c r="AK22" s="6" t="str">
        <v>IVDSH_DID_REA_CPREQ_017</v>
      </c>
      <c r="AL22" s="6">
        <v>49</v>
      </c>
      <c r="AM22" s="6">
        <v>0</v>
      </c>
      <c r="AN22" s="6" t="str">
        <v>-</v>
      </c>
      <c r="AO22" s="6">
        <v>1</v>
      </c>
      <c r="AP22" s="6" t="str">
        <f>IF(AN22="R",MAX(AP$17:AP21,AO$15-1)+1,"")</f>
        <v/>
      </c>
      <c r="AQ22" s="6">
        <f t="shared" si="17"/>
        <v>1</v>
      </c>
      <c r="AR22" s="6">
        <f t="shared" si="18"/>
        <v>5</v>
      </c>
      <c r="AS22" s="6" t="str">
        <v>IVDSH_DID_REA_CPREQ_049</v>
      </c>
      <c r="AV22" s="6" t="str">
        <f>"IVDSH_FQ_CH_REA_"&amp;COUNTIF(AW$22:AW22,"&gt;=0")-1</f>
        <v>IVDSH_FQ_CH_REA_-1</v>
      </c>
      <c r="AW22" s="6" t="str">
        <f>IF(AW30="","",COUNTIF(AW$30:AW30,"&gt;0")-1)</f>
        <v/>
      </c>
      <c r="AX22" s="31">
        <v>0</v>
      </c>
      <c r="BA22" s="12" t="s">
        <v>282</v>
      </c>
      <c r="BB22" s="11">
        <f>AW28</f>
        <v>62</v>
      </c>
      <c r="BE22" s="11" t="str">
        <f t="shared" si="0"/>
        <v>#define IVDSH_DID_WRI_CPREQ_016                  (5U)</v>
      </c>
      <c r="BF22" s="11" t="str">
        <f t="shared" si="1"/>
        <v/>
      </c>
      <c r="BG22" s="11" t="str">
        <f t="shared" si="2"/>
        <v/>
      </c>
      <c r="BH22" s="11" t="str">
        <f t="shared" si="3"/>
        <v>#define IVDSH_DID_REA_CPREQ_017                  (20U)</v>
      </c>
      <c r="BI22" s="11" t="str">
        <f t="shared" si="4"/>
        <v/>
      </c>
      <c r="BJ22" s="11"/>
      <c r="BK22" s="11" t="str">
        <f t="shared" si="7"/>
        <v xml:space="preserve">    {(U2)5U,        (U2)1U,         (U2)IVDSH_FQ_CH_WRI  },     /* IVDSH_DID_WRI_CPREQ_016         */</v>
      </c>
      <c r="BL22" s="11" t="str">
        <f t="shared" si="8"/>
        <v/>
      </c>
      <c r="BM22" s="11" t="str">
        <f t="shared" si="9"/>
        <v/>
      </c>
      <c r="BN22" s="11" t="str">
        <f t="shared" si="10"/>
        <v xml:space="preserve">    {(U2)5U,        (U2)1U,         (U2)IVDSH_FQ_CH_REA_0},     /* IVDSH_DID_REA_CPREQ_017         */</v>
      </c>
      <c r="BO22" s="11" t="str">
        <f t="shared" si="11"/>
        <v/>
      </c>
      <c r="BP22" s="11"/>
      <c r="BQ22" s="11"/>
      <c r="BR22" s="28" t="str">
        <f>IF(AW36="","","    },")</f>
        <v xml:space="preserve">    },</v>
      </c>
      <c r="BS22" s="11" t="str">
        <f>IF(AW26&lt;&gt;"","    },","")</f>
        <v xml:space="preserve">    },</v>
      </c>
    </row>
    <row r="23" spans="5:71">
      <c r="E23" s="6">
        <f t="shared" si="12"/>
        <v>6</v>
      </c>
      <c r="F23" s="6">
        <v>18</v>
      </c>
      <c r="G23" s="6">
        <v>0</v>
      </c>
      <c r="H23" s="6" t="str">
        <v>T</v>
      </c>
      <c r="I23" s="6">
        <v>1</v>
      </c>
      <c r="J23" s="6">
        <f t="shared" si="19"/>
        <v>6</v>
      </c>
      <c r="K23" s="6" t="str">
        <v>IVDSH_DID_WRI_CPREQ_018</v>
      </c>
      <c r="R23" s="6" t="str">
        <f>IF(P23="R",MAX(R$17:R22,Q$15-1)+1,"")</f>
        <v/>
      </c>
      <c r="S23" s="6" t="str">
        <f t="shared" si="13"/>
        <v/>
      </c>
      <c r="T23" s="6" t="str">
        <f t="shared" si="14"/>
        <v/>
      </c>
      <c r="V23" s="6">
        <v>18</v>
      </c>
      <c r="W23" s="6">
        <v>0</v>
      </c>
      <c r="X23" s="6" t="str">
        <v>T</v>
      </c>
      <c r="Y23" s="6">
        <v>1</v>
      </c>
      <c r="Z23" s="6" t="str">
        <f>IF(X23="R",MAX(Z$17:Z22,Y$15-1)+1,"")</f>
        <v/>
      </c>
      <c r="AA23" s="6" t="str">
        <f t="shared" si="15"/>
        <v/>
      </c>
      <c r="AB23" s="6" t="str">
        <f t="shared" si="16"/>
        <v/>
      </c>
      <c r="AC23" s="6" t="str">
        <v>IVDSH_DID_REA_CPREQ_018</v>
      </c>
      <c r="AD23" s="6">
        <v>19</v>
      </c>
      <c r="AE23" s="6">
        <v>0</v>
      </c>
      <c r="AF23" s="6" t="str">
        <v>R</v>
      </c>
      <c r="AG23" s="6">
        <v>1</v>
      </c>
      <c r="AH23" s="6">
        <f>IF(AF23="R",MAX(AH$17:AH22,AG$15-1)+1,"")</f>
        <v>21</v>
      </c>
      <c r="AI23" s="6">
        <f t="shared" si="5"/>
        <v>0</v>
      </c>
      <c r="AJ23" s="6">
        <f t="shared" si="6"/>
        <v>6</v>
      </c>
      <c r="AK23" s="6" t="str">
        <v>IVDSH_DID_REA_CPREQ_019</v>
      </c>
      <c r="AL23" s="6">
        <v>50</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283</v>
      </c>
      <c r="BB23" s="11" t="str">
        <f>IF(AW29&lt;&gt;0,"&amp;st_sp_IVDSH_FQ_CH[IVDSH_FQ_CH_WRI]","vdp_PTR_NA")</f>
        <v>&amp;st_sp_IVDSH_FQ_CH[IVDSH_FQ_CH_WRI]</v>
      </c>
      <c r="BE23" s="11" t="str">
        <f t="shared" si="0"/>
        <v>#define IVDSH_DID_WRI_CPREQ_018                  (6U)</v>
      </c>
      <c r="BF23" s="11" t="str">
        <f t="shared" si="1"/>
        <v/>
      </c>
      <c r="BG23" s="11" t="str">
        <f t="shared" si="2"/>
        <v/>
      </c>
      <c r="BH23" s="11" t="str">
        <f t="shared" si="3"/>
        <v>#define IVDSH_DID_REA_CPREQ_019                  (21U)</v>
      </c>
      <c r="BI23" s="11" t="str">
        <f t="shared" si="4"/>
        <v/>
      </c>
      <c r="BJ23" s="11"/>
      <c r="BK23" s="11" t="str">
        <f t="shared" si="7"/>
        <v xml:space="preserve">    {(U2)6U,        (U2)1U,         (U2)IVDSH_FQ_CH_WRI  },     /* IVDSH_DID_WRI_CPREQ_018         */</v>
      </c>
      <c r="BL23" s="11" t="str">
        <f t="shared" si="8"/>
        <v/>
      </c>
      <c r="BM23" s="11" t="str">
        <f t="shared" si="9"/>
        <v/>
      </c>
      <c r="BN23" s="11" t="str">
        <f t="shared" si="10"/>
        <v xml:space="preserve">    {(U2)6U,        (U2)1U,         (U2)IVDSH_FQ_CH_REA_0},     /* IVDSH_DID_REA_CPREQ_019         */</v>
      </c>
      <c r="BO23" s="11" t="str">
        <f t="shared" si="11"/>
        <v/>
      </c>
      <c r="BP23" s="11"/>
      <c r="BQ23" s="11"/>
      <c r="BR23" s="11" t="str">
        <f>IF(AW37="","","    /* IVDSH_FQ_CH_REA_1 */")</f>
        <v xml:space="preserve">    /* IVDSH_FQ_CH_REA_1 */</v>
      </c>
      <c r="BS23" s="11"/>
    </row>
    <row r="24" spans="5:71">
      <c r="E24" s="6">
        <f t="shared" si="12"/>
        <v>7</v>
      </c>
      <c r="F24" s="6">
        <v>21</v>
      </c>
      <c r="G24" s="6">
        <v>0</v>
      </c>
      <c r="H24" s="6" t="str">
        <v>T</v>
      </c>
      <c r="I24" s="6">
        <v>1</v>
      </c>
      <c r="J24" s="6">
        <f t="shared" si="19"/>
        <v>7</v>
      </c>
      <c r="K24" s="6" t="str">
        <v>IVDSH_DID_WRI_CPREQ_021</v>
      </c>
      <c r="R24" s="6" t="str">
        <f>IF(P24="R",MAX(R$17:R23,Q$15-1)+1,"")</f>
        <v/>
      </c>
      <c r="S24" s="6" t="str">
        <f t="shared" si="13"/>
        <v/>
      </c>
      <c r="T24" s="6" t="str">
        <f t="shared" si="14"/>
        <v/>
      </c>
      <c r="V24" s="6">
        <v>21</v>
      </c>
      <c r="W24" s="6">
        <v>0</v>
      </c>
      <c r="X24" s="6" t="str">
        <v>T</v>
      </c>
      <c r="Y24" s="6">
        <v>1</v>
      </c>
      <c r="Z24" s="6" t="str">
        <f>IF(X24="R",MAX(Z$17:Z23,Y$15-1)+1,"")</f>
        <v/>
      </c>
      <c r="AA24" s="6" t="str">
        <f t="shared" si="15"/>
        <v/>
      </c>
      <c r="AB24" s="6" t="str">
        <f t="shared" si="16"/>
        <v/>
      </c>
      <c r="AC24" s="6" t="str">
        <v>IVDSH_DID_REA_CPREQ_021</v>
      </c>
      <c r="AD24" s="6">
        <v>20</v>
      </c>
      <c r="AE24" s="6">
        <v>0</v>
      </c>
      <c r="AF24" s="6" t="str">
        <v>R</v>
      </c>
      <c r="AG24" s="6">
        <v>1</v>
      </c>
      <c r="AH24" s="6">
        <f>IF(AF24="R",MAX(AH$17:AH23,AG$15-1)+1,"")</f>
        <v>22</v>
      </c>
      <c r="AI24" s="6">
        <f t="shared" si="5"/>
        <v>0</v>
      </c>
      <c r="AJ24" s="6">
        <f t="shared" si="6"/>
        <v>7</v>
      </c>
      <c r="AK24" s="6" t="str">
        <v>IVDSH_DID_REA_CPREQ_020</v>
      </c>
      <c r="AP24" s="6" t="str">
        <f>IF(AN24="R",MAX(AP$17:AP23,AO$15-1)+1,"")</f>
        <v/>
      </c>
      <c r="AQ24" s="6" t="str">
        <f t="shared" si="17"/>
        <v/>
      </c>
      <c r="AR24" s="6" t="str">
        <f t="shared" si="18"/>
        <v/>
      </c>
      <c r="AV24" s="6" t="str">
        <f>"IVDSH_FQ_CH_REA_"&amp;COUNTIF(AW$22:AW24,"&gt;=0")-1</f>
        <v>IVDSH_FQ_CH_REA_0</v>
      </c>
      <c r="AW24" s="6">
        <f>IF(AW32="","",COUNTIF(AW$30:AW32,"&gt;0")-1)</f>
        <v>0</v>
      </c>
      <c r="AX24" s="31">
        <v>2</v>
      </c>
      <c r="BA24" s="12" t="s">
        <v>284</v>
      </c>
      <c r="BB24" s="11" t="str">
        <f>IF(AW21&lt;&gt;0,"&amp;st_sp_IVDSH_FQ_CH[IVDSH_FQ_CH_REA_0]","&amp;st_sp_IVDSH_FQ_CH[IVDSH_FQ_CH_WRI]")</f>
        <v>&amp;st_sp_IVDSH_FQ_CH[IVDSH_FQ_CH_REA_0]</v>
      </c>
      <c r="BE24" s="11" t="str">
        <f t="shared" si="0"/>
        <v>#define IVDSH_DID_WRI_CPREQ_021                  (7U)</v>
      </c>
      <c r="BF24" s="11" t="str">
        <f t="shared" si="1"/>
        <v/>
      </c>
      <c r="BG24" s="11" t="str">
        <f t="shared" si="2"/>
        <v/>
      </c>
      <c r="BH24" s="11" t="str">
        <f t="shared" si="3"/>
        <v>#define IVDSH_DID_REA_CPREQ_020                  (22U)</v>
      </c>
      <c r="BI24" s="11" t="str">
        <f t="shared" si="4"/>
        <v/>
      </c>
      <c r="BJ24" s="11"/>
      <c r="BK24" s="11" t="str">
        <f t="shared" si="7"/>
        <v xml:space="preserve">    {(U2)7U,        (U2)1U,         (U2)IVDSH_FQ_CH_WRI  },     /* IVDSH_DID_WRI_CPREQ_021         */</v>
      </c>
      <c r="BL24" s="11" t="str">
        <f t="shared" si="8"/>
        <v/>
      </c>
      <c r="BM24" s="11" t="str">
        <f t="shared" si="9"/>
        <v/>
      </c>
      <c r="BN24" s="11" t="str">
        <f t="shared" si="10"/>
        <v xml:space="preserve">    {(U2)7U,        (U2)1U,         (U2)IVDSH_FQ_CH_REA_0},     /* IVDSH_DID_REA_CPREQ_020         */</v>
      </c>
      <c r="BO24" s="11" t="str">
        <f t="shared" si="11"/>
        <v/>
      </c>
      <c r="BP24" s="11"/>
      <c r="BQ24" s="11"/>
      <c r="BR24" s="11" t="str">
        <f>IF(AW37="","","    {")</f>
        <v xml:space="preserve">    {</v>
      </c>
      <c r="BS24" s="11"/>
    </row>
    <row r="25" spans="5:71">
      <c r="E25" s="6">
        <f t="shared" si="12"/>
        <v>8</v>
      </c>
      <c r="F25" s="6">
        <v>22</v>
      </c>
      <c r="G25" s="6">
        <v>0</v>
      </c>
      <c r="H25" s="6" t="str">
        <v>T</v>
      </c>
      <c r="I25" s="6">
        <v>1</v>
      </c>
      <c r="J25" s="6">
        <f t="shared" si="19"/>
        <v>8</v>
      </c>
      <c r="K25" s="6" t="str">
        <v>IVDSH_DID_WRI_CPREQ_022</v>
      </c>
      <c r="R25" s="6" t="str">
        <f>IF(P25="R",MAX(R$17:R24,Q$15-1)+1,"")</f>
        <v/>
      </c>
      <c r="S25" s="6" t="str">
        <f t="shared" si="13"/>
        <v/>
      </c>
      <c r="T25" s="6" t="str">
        <f t="shared" si="14"/>
        <v/>
      </c>
      <c r="V25" s="6">
        <v>22</v>
      </c>
      <c r="W25" s="6">
        <v>0</v>
      </c>
      <c r="X25" s="6" t="str">
        <v>T</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f t="shared" si="5"/>
        <v>0</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f>IF(AW33="","",COUNTIF(AW$30:AW33,"&gt;0")-1)</f>
        <v>1</v>
      </c>
      <c r="AX25" s="31">
        <v>3</v>
      </c>
      <c r="BA25" s="12" t="s">
        <v>285</v>
      </c>
      <c r="BB25" s="11" t="str">
        <f>B4</f>
        <v>"ehvm_cfg_pe1_vm0.h"</v>
      </c>
      <c r="BE25" s="11" t="str">
        <f t="shared" si="0"/>
        <v>#define IVDSH_DID_WRI_CPREQ_022                  (8U)</v>
      </c>
      <c r="BF25" s="11" t="str">
        <f t="shared" si="1"/>
        <v/>
      </c>
      <c r="BG25" s="11" t="str">
        <f t="shared" si="2"/>
        <v/>
      </c>
      <c r="BH25" s="11" t="str">
        <f t="shared" si="3"/>
        <v/>
      </c>
      <c r="BI25" s="11" t="str">
        <f t="shared" si="4"/>
        <v/>
      </c>
      <c r="BJ25" s="11"/>
      <c r="BK25" s="11" t="str">
        <f t="shared" si="7"/>
        <v xml:space="preserve">    {(U2)8U,        (U2)1U,         (U2)IVDSH_FQ_CH_WRI  },     /* IVDSH_DID_WRI_CPREQ_022         */</v>
      </c>
      <c r="BL25" s="11" t="str">
        <f t="shared" si="8"/>
        <v/>
      </c>
      <c r="BM25" s="11" t="str">
        <f t="shared" si="9"/>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23</v>
      </c>
      <c r="G26" s="6">
        <v>0</v>
      </c>
      <c r="H26" s="6" t="str">
        <v>T</v>
      </c>
      <c r="I26" s="6">
        <v>1</v>
      </c>
      <c r="J26" s="6">
        <f t="shared" si="19"/>
        <v>9</v>
      </c>
      <c r="K26" s="6" t="str">
        <v>IVDSH_DID_WRI_CPREQ_023</v>
      </c>
      <c r="R26" s="6" t="str">
        <f>IF(P26="R",MAX(R$17:R25,Q$15-1)+1,"")</f>
        <v/>
      </c>
      <c r="S26" s="6" t="str">
        <f t="shared" si="13"/>
        <v/>
      </c>
      <c r="T26" s="6" t="str">
        <f t="shared" si="14"/>
        <v/>
      </c>
      <c r="V26" s="6">
        <v>23</v>
      </c>
      <c r="W26" s="6">
        <v>0</v>
      </c>
      <c r="X26" s="6" t="str">
        <v>T</v>
      </c>
      <c r="Y26" s="6">
        <v>1</v>
      </c>
      <c r="Z26" s="6" t="str">
        <f>IF(X26="R",MAX(Z$17:Z25,Y$15-1)+1,"")</f>
        <v/>
      </c>
      <c r="AA26" s="6" t="str">
        <f t="shared" si="15"/>
        <v/>
      </c>
      <c r="AB26" s="6" t="str">
        <f t="shared" si="16"/>
        <v/>
      </c>
      <c r="AC26" s="6" t="str">
        <v>IVDSH_DID_REA_CPREQ_023</v>
      </c>
      <c r="AD26" s="6">
        <v>25</v>
      </c>
      <c r="AE26" s="6" t="str">
        <v>VM2TO1_CAM_DIAP</v>
      </c>
      <c r="AF26" s="6" t="str">
        <v>R</v>
      </c>
      <c r="AG26" s="6">
        <v>1</v>
      </c>
      <c r="AH26" s="6">
        <f>IF(AF26="R",MAX(AH$17:AH25,AG$15-1)+1,"")</f>
        <v>23</v>
      </c>
      <c r="AI26" s="6">
        <f t="shared" si="5"/>
        <v>0</v>
      </c>
      <c r="AJ26" s="6">
        <f t="shared" si="6"/>
        <v>9</v>
      </c>
      <c r="AK26" s="6" t="str">
        <v>IVDSH_DID_REA_VM2TO1_CAM_DIAP</v>
      </c>
      <c r="AP26" s="6" t="str">
        <f>IF(AN26="R",MAX(AP$17:AP25,AO$15-1)+1,"")</f>
        <v/>
      </c>
      <c r="AQ26" s="6" t="str">
        <f t="shared" si="17"/>
        <v/>
      </c>
      <c r="AR26" s="6" t="str">
        <f t="shared" si="18"/>
        <v/>
      </c>
      <c r="AV26" s="6" t="s">
        <v>286</v>
      </c>
      <c r="AW26" s="6">
        <f>IF(AW29=0,"",COUNTIF(AW$29:AW33,"&gt;0")-1)</f>
        <v>2</v>
      </c>
      <c r="BA26" s="12"/>
      <c r="BE26" s="11" t="str">
        <f t="shared" si="0"/>
        <v>#define IVDSH_DID_WRI_CPREQ_023                  (9U)</v>
      </c>
      <c r="BF26" s="11" t="str">
        <f t="shared" si="1"/>
        <v/>
      </c>
      <c r="BG26" s="11" t="str">
        <f t="shared" si="2"/>
        <v/>
      </c>
      <c r="BH26" s="11" t="str">
        <f t="shared" si="3"/>
        <v>#define IVDSH_DID_REA_VM2TO1_CAM_DIAP            (23U)</v>
      </c>
      <c r="BI26" s="11" t="str">
        <f t="shared" si="4"/>
        <v/>
      </c>
      <c r="BJ26" s="11"/>
      <c r="BK26" s="11" t="str">
        <f t="shared" si="7"/>
        <v xml:space="preserve">    {(U2)9U,        (U2)1U,         (U2)IVDSH_FQ_CH_WRI  },     /* IVDSH_DID_WRI_CPREQ_023         */</v>
      </c>
      <c r="BL26" s="11" t="str">
        <f t="shared" si="8"/>
        <v/>
      </c>
      <c r="BM26" s="11" t="str">
        <f t="shared" si="9"/>
        <v/>
      </c>
      <c r="BN26" s="11" t="str">
        <f t="shared" si="10"/>
        <v xml:space="preserve">    {(U2)9U,        (U2)1U,         (U2)IVDSH_FQ_CH_REA_0},     /* IVDSH_DID_REA_VM2TO1_CAM_DIAP   */</v>
      </c>
      <c r="BO26" s="11" t="str">
        <f t="shared" si="11"/>
        <v/>
      </c>
      <c r="BP26" s="11"/>
      <c r="BQ26" s="11"/>
      <c r="BR26" s="11" t="str">
        <f>IF(AW37="","",IF(AW26&lt;&gt;"",
  "         ((U2)IVDSH_WA_NWORD_REA_0 &lt;&lt; 1)),",
  "")
)</f>
        <v xml:space="preserve">         ((U2)IVDSH_WA_NWORD_REA_0 &lt;&lt; 1)),</v>
      </c>
      <c r="BS26" s="11"/>
    </row>
    <row r="27" spans="5:71">
      <c r="E27" s="6">
        <f t="shared" si="12"/>
        <v>10</v>
      </c>
      <c r="F27" s="6">
        <v>26</v>
      </c>
      <c r="G27" s="6" t="str">
        <v>VM1TO2_CAM_DIAP</v>
      </c>
      <c r="H27" s="6" t="str">
        <v>T</v>
      </c>
      <c r="I27" s="6">
        <v>1</v>
      </c>
      <c r="J27" s="6">
        <f t="shared" si="19"/>
        <v>10</v>
      </c>
      <c r="K27" s="6" t="str">
        <v>IVDSH_DID_WRI_VM1TO2_CAM_DIAP</v>
      </c>
      <c r="R27" s="6" t="str">
        <f>IF(P27="R",MAX(R$17:R26,Q$15-1)+1,"")</f>
        <v/>
      </c>
      <c r="S27" s="6" t="str">
        <f t="shared" si="13"/>
        <v/>
      </c>
      <c r="T27" s="6" t="str">
        <f t="shared" si="14"/>
        <v/>
      </c>
      <c r="V27" s="6">
        <v>26</v>
      </c>
      <c r="W27" s="6" t="str">
        <v>VM1TO2_CAM_DIAP</v>
      </c>
      <c r="X27" s="6" t="str">
        <v>T</v>
      </c>
      <c r="Y27" s="6">
        <v>1</v>
      </c>
      <c r="Z27" s="6" t="str">
        <f>IF(X27="R",MAX(Z$17:Z26,Y$15-1)+1,"")</f>
        <v/>
      </c>
      <c r="AA27" s="6" t="str">
        <f t="shared" si="15"/>
        <v/>
      </c>
      <c r="AB27" s="6" t="str">
        <f t="shared" si="16"/>
        <v/>
      </c>
      <c r="AC27" s="6" t="str">
        <v>IVDSH_DID_REA_VM1TO2_CAM_DIAP</v>
      </c>
      <c r="AD27" s="6">
        <v>27</v>
      </c>
      <c r="AE27" s="6">
        <v>0</v>
      </c>
      <c r="AF27" s="6" t="str">
        <v>R</v>
      </c>
      <c r="AG27" s="6">
        <v>1</v>
      </c>
      <c r="AH27" s="6">
        <f>IF(AF27="R",MAX(AH$17:AH26,AG$15-1)+1,"")</f>
        <v>24</v>
      </c>
      <c r="AI27" s="6">
        <f t="shared" si="5"/>
        <v>0</v>
      </c>
      <c r="AJ27" s="6">
        <f t="shared" si="6"/>
        <v>10</v>
      </c>
      <c r="AK27" s="6" t="str">
        <v>IVDSH_DID_REA_CPREQ_027</v>
      </c>
      <c r="AP27" s="6" t="str">
        <f>IF(AN27="R",MAX(AP$17:AP26,AO$15-1)+1,"")</f>
        <v/>
      </c>
      <c r="AQ27" s="6" t="str">
        <f t="shared" si="17"/>
        <v/>
      </c>
      <c r="AR27" s="6" t="str">
        <f t="shared" si="18"/>
        <v/>
      </c>
      <c r="BA27" s="12"/>
      <c r="BE27" s="11" t="str">
        <f t="shared" si="0"/>
        <v>#define IVDSH_DID_WRI_VM1TO2_CAM_DIAP            (10U)</v>
      </c>
      <c r="BF27" s="11" t="str">
        <f t="shared" si="1"/>
        <v/>
      </c>
      <c r="BG27" s="11" t="str">
        <f t="shared" si="2"/>
        <v/>
      </c>
      <c r="BH27" s="11" t="str">
        <f t="shared" si="3"/>
        <v>#define IVDSH_DID_REA_CPREQ_027                  (24U)</v>
      </c>
      <c r="BI27" s="11" t="str">
        <f t="shared" si="4"/>
        <v/>
      </c>
      <c r="BJ27" s="11"/>
      <c r="BK27" s="11" t="str">
        <f t="shared" si="7"/>
        <v xml:space="preserve">    {(U2)10U,       (U2)1U,         (U2)IVDSH_FQ_CH_WRI  },     /* IVDSH_DID_WRI_VM1TO2_CAM_DIAP   */</v>
      </c>
      <c r="BL27" s="11" t="str">
        <f t="shared" si="8"/>
        <v/>
      </c>
      <c r="BM27" s="11" t="str">
        <f t="shared" si="9"/>
        <v/>
      </c>
      <c r="BN27" s="11" t="str">
        <f t="shared" si="10"/>
        <v xml:space="preserve">    {(U2)10U,       (U2)1U,         (U2)IVDSH_FQ_CH_REA_0},     /* IVDSH_DID_REA_CPREQ_027         */</v>
      </c>
      <c r="BO27" s="11" t="str">
        <f t="shared" si="11"/>
        <v/>
      </c>
      <c r="BP27" s="11"/>
      <c r="BQ27" s="11"/>
      <c r="BR27" s="11" t="str">
        <f>IF(AW37="","","        (U2)IVDSH_WA_NWORD_REA_1,                                 /* u2_nword */")</f>
        <v xml:space="preserve">        (U2)IVDSH_WA_NWORD_REA_1,                                 /* u2_nword */</v>
      </c>
      <c r="BS27" s="11"/>
    </row>
    <row r="28" spans="5:71">
      <c r="E28" s="6">
        <f t="shared" si="12"/>
        <v>11</v>
      </c>
      <c r="F28" s="6">
        <v>28</v>
      </c>
      <c r="G28" s="6">
        <v>0</v>
      </c>
      <c r="H28" s="6" t="str">
        <v>T</v>
      </c>
      <c r="I28" s="6">
        <v>1</v>
      </c>
      <c r="J28" s="6">
        <f t="shared" si="19"/>
        <v>11</v>
      </c>
      <c r="K28" s="6" t="str">
        <v>IVDSH_DID_WRI_CPREQ_028</v>
      </c>
      <c r="R28" s="6" t="str">
        <f>IF(P28="R",MAX(R$17:R27,Q$15-1)+1,"")</f>
        <v/>
      </c>
      <c r="S28" s="6" t="str">
        <f t="shared" si="13"/>
        <v/>
      </c>
      <c r="T28" s="6" t="str">
        <f t="shared" si="14"/>
        <v/>
      </c>
      <c r="V28" s="6">
        <v>28</v>
      </c>
      <c r="W28" s="6">
        <v>0</v>
      </c>
      <c r="X28" s="6" t="str">
        <v>T</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f t="shared" si="5"/>
        <v>0</v>
      </c>
      <c r="AJ28" s="6">
        <f t="shared" si="6"/>
        <v>11</v>
      </c>
      <c r="AK28" s="6" t="str">
        <v>IVDSH_DID_REA_VM2TO3_WHLINI_REQ</v>
      </c>
      <c r="AP28" s="6" t="str">
        <f>IF(AN28="R",MAX(AP$17:AP27,AO$15-1)+1,"")</f>
        <v/>
      </c>
      <c r="AQ28" s="6" t="str">
        <f t="shared" si="17"/>
        <v/>
      </c>
      <c r="AR28" s="6" t="str">
        <f t="shared" si="18"/>
        <v/>
      </c>
      <c r="AV28" s="6" t="s">
        <v>287</v>
      </c>
      <c r="AW28" s="6">
        <f>AW29+SUM(AW30:AW33)*2</f>
        <v>62</v>
      </c>
      <c r="BA28" s="12"/>
      <c r="BE28" s="11" t="str">
        <f t="shared" si="0"/>
        <v>#define IVDSH_DID_WRI_CPREQ_028                  (11U)</v>
      </c>
      <c r="BF28" s="11" t="str">
        <f t="shared" si="1"/>
        <v/>
      </c>
      <c r="BG28" s="11" t="str">
        <f t="shared" si="2"/>
        <v/>
      </c>
      <c r="BH28" s="11" t="str">
        <f t="shared" si="3"/>
        <v/>
      </c>
      <c r="BI28" s="11" t="str">
        <f t="shared" si="4"/>
        <v/>
      </c>
      <c r="BJ28" s="11"/>
      <c r="BK28" s="11" t="str">
        <f t="shared" si="7"/>
        <v xml:space="preserve">    {(U2)11U,       (U2)1U,         (U2)IVDSH_FQ_CH_WRI  },     /* IVDSH_DID_WRI_CPREQ_028         */</v>
      </c>
      <c r="BL28" s="11" t="str">
        <f t="shared" si="8"/>
        <v/>
      </c>
      <c r="BM28" s="11" t="str">
        <f t="shared" si="9"/>
        <v/>
      </c>
      <c r="BN28" s="11" t="str">
        <f t="shared" si="10"/>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41</v>
      </c>
      <c r="G29" s="6" t="str">
        <v>VM1TO2_FLYNOP</v>
      </c>
      <c r="H29" s="6" t="str">
        <v>T</v>
      </c>
      <c r="I29" s="6">
        <v>1</v>
      </c>
      <c r="J29" s="6">
        <f t="shared" si="19"/>
        <v>12</v>
      </c>
      <c r="K29" s="6" t="str">
        <v>IVDSH_DID_WRI_VM1TO2_FLYNOP</v>
      </c>
      <c r="R29" s="6" t="str">
        <f>IF(P29="R",MAX(R$17:R28,Q$15-1)+1,"")</f>
        <v/>
      </c>
      <c r="S29" s="6" t="str">
        <f t="shared" si="13"/>
        <v/>
      </c>
      <c r="T29" s="6" t="str">
        <f t="shared" si="14"/>
        <v/>
      </c>
      <c r="V29" s="6">
        <v>41</v>
      </c>
      <c r="W29" s="6" t="str">
        <v>VM1TO2_FLYNOP</v>
      </c>
      <c r="X29" s="6" t="str">
        <v>T</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f t="shared" si="5"/>
        <v>0</v>
      </c>
      <c r="AJ29" s="6">
        <f t="shared" si="6"/>
        <v>12</v>
      </c>
      <c r="AK29" s="6" t="str">
        <v>IVDSH_DID_REA_CPREQ_046</v>
      </c>
      <c r="AP29" s="6" t="str">
        <f>IF(AN29="R",MAX(AP$17:AP28,AO$15-1)+1,"")</f>
        <v/>
      </c>
      <c r="AQ29" s="6" t="str">
        <f t="shared" si="17"/>
        <v/>
      </c>
      <c r="AR29" s="6" t="str">
        <f t="shared" si="18"/>
        <v/>
      </c>
      <c r="AV29" s="6" t="s">
        <v>288</v>
      </c>
      <c r="AW29" s="6">
        <f>SUM(I$17:I529)</f>
        <v>16</v>
      </c>
      <c r="AX29" s="30" t="s">
        <v>280</v>
      </c>
      <c r="BA29" s="12"/>
      <c r="BE29" s="11" t="str">
        <f t="shared" si="0"/>
        <v>#define IVDSH_DID_WRI_VM1TO2_FLYNOP              (12U)</v>
      </c>
      <c r="BF29" s="11" t="str">
        <f t="shared" si="1"/>
        <v/>
      </c>
      <c r="BG29" s="11" t="str">
        <f t="shared" si="2"/>
        <v/>
      </c>
      <c r="BH29" s="11" t="str">
        <f t="shared" si="3"/>
        <v/>
      </c>
      <c r="BI29" s="11" t="str">
        <f t="shared" si="4"/>
        <v/>
      </c>
      <c r="BJ29" s="11"/>
      <c r="BK29" s="11" t="str">
        <f t="shared" si="7"/>
        <v xml:space="preserve">    {(U2)12U,       (U2)1U,         (U2)IVDSH_FQ_CH_WRI  },     /* IVDSH_DID_WRI_VM1TO2_FLYNOP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44</v>
      </c>
      <c r="G30" s="6">
        <v>0</v>
      </c>
      <c r="H30" s="6" t="str">
        <v>T</v>
      </c>
      <c r="I30" s="6">
        <v>1</v>
      </c>
      <c r="J30" s="6">
        <f t="shared" si="19"/>
        <v>13</v>
      </c>
      <c r="K30" s="6" t="str">
        <v>IVDSH_DID_WRI_CPREQ_044</v>
      </c>
      <c r="R30" s="6" t="str">
        <f>IF(P30="R",MAX(R$17:R29,Q$15-1)+1,"")</f>
        <v/>
      </c>
      <c r="S30" s="6" t="str">
        <f t="shared" si="13"/>
        <v/>
      </c>
      <c r="T30" s="6" t="str">
        <f t="shared" si="14"/>
        <v/>
      </c>
      <c r="V30" s="6">
        <v>44</v>
      </c>
      <c r="W30" s="6">
        <v>0</v>
      </c>
      <c r="X30" s="6" t="str">
        <v>T</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f t="shared" si="5"/>
        <v>0</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IVDSH_DID_WRI_CPREQ_044                  (13U)</v>
      </c>
      <c r="BF30" s="11" t="str">
        <f t="shared" si="1"/>
        <v/>
      </c>
      <c r="BG30" s="11" t="str">
        <f t="shared" si="2"/>
        <v/>
      </c>
      <c r="BH30" s="11" t="str">
        <f t="shared" si="3"/>
        <v/>
      </c>
      <c r="BI30" s="11" t="str">
        <f t="shared" si="4"/>
        <v/>
      </c>
      <c r="BJ30" s="11"/>
      <c r="BK30" s="11" t="str">
        <f t="shared" si="7"/>
        <v xml:space="preserve">    {(U2)13U,       (U2)1U,         (U2)IVDSH_FQ_CH_WRI  },     /* IVDSH_DID_WRI_CPREQ_044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F31" s="6">
        <v>53</v>
      </c>
      <c r="G31" s="6" t="str">
        <v>VM1TO2_WHLINI_RES</v>
      </c>
      <c r="H31" s="6" t="str">
        <v>T</v>
      </c>
      <c r="I31" s="6">
        <v>1</v>
      </c>
      <c r="J31" s="6">
        <f t="shared" si="19"/>
        <v>14</v>
      </c>
      <c r="K31" s="6" t="str">
        <v>IVDSH_DID_WRI_VM1TO2_WHLINI_RES</v>
      </c>
      <c r="R31" s="6" t="str">
        <f>IF(P31="R",MAX(R$17:R30,Q$15-1)+1,"")</f>
        <v/>
      </c>
      <c r="S31" s="6" t="str">
        <f t="shared" si="13"/>
        <v/>
      </c>
      <c r="T31" s="6" t="str">
        <f t="shared" si="14"/>
        <v/>
      </c>
      <c r="V31" s="6">
        <v>53</v>
      </c>
      <c r="W31" s="6" t="str">
        <v>VM1TO2_WHLINI_RES</v>
      </c>
      <c r="X31" s="6" t="str">
        <v>T</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f t="shared" si="5"/>
        <v>0</v>
      </c>
      <c r="AJ31" s="6">
        <f t="shared" si="6"/>
        <v>14</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#define IVDSH_DID_WRI_VM1TO2_WHLINI_RES          (14U)</v>
      </c>
      <c r="BF31" s="11" t="str">
        <f t="shared" si="1"/>
        <v/>
      </c>
      <c r="BG31" s="11" t="str">
        <f t="shared" si="2"/>
        <v/>
      </c>
      <c r="BH31" s="11" t="str">
        <f t="shared" si="3"/>
        <v/>
      </c>
      <c r="BI31" s="11" t="str">
        <f t="shared" si="4"/>
        <v/>
      </c>
      <c r="BJ31" s="11"/>
      <c r="BK31" s="11" t="str">
        <f t="shared" si="7"/>
        <v xml:space="preserve">    {(U2)14U,       (U2)1U,         (U2)IVDSH_FQ_CH_WRI  },     /* IVDSH_DID_WRI_VM1TO2_WHLINI_RES */</v>
      </c>
      <c r="BL31" s="11" t="str">
        <f t="shared" si="8"/>
        <v/>
      </c>
      <c r="BM31" s="11" t="str">
        <f t="shared" si="9"/>
        <v/>
      </c>
      <c r="BN31" s="11" t="str">
        <f t="shared" si="10"/>
        <v/>
      </c>
      <c r="BO31" s="11" t="str">
        <f t="shared" si="11"/>
        <v/>
      </c>
      <c r="BP31" s="11"/>
      <c r="BQ31" s="11"/>
      <c r="BR31" s="11" t="str">
        <f>IF(AW38="","","    {")</f>
        <v/>
      </c>
      <c r="BS31" s="11"/>
    </row>
    <row r="32" spans="5:71">
      <c r="E32" s="6">
        <f t="shared" si="12"/>
        <v>15</v>
      </c>
      <c r="F32" s="6">
        <v>54</v>
      </c>
      <c r="G32" s="6" t="str">
        <v>VM1TO3_WHLINI_INF</v>
      </c>
      <c r="H32" s="6" t="str">
        <v>T</v>
      </c>
      <c r="I32" s="6">
        <v>1</v>
      </c>
      <c r="J32" s="6">
        <f t="shared" si="19"/>
        <v>15</v>
      </c>
      <c r="K32" s="6" t="str">
        <v>IVDSH_DID_WRI_VM1TO3_WHLINI_INF</v>
      </c>
      <c r="R32" s="6" t="str">
        <f>IF(P32="R",MAX(R$17:R31,Q$15-1)+1,"")</f>
        <v/>
      </c>
      <c r="S32" s="6" t="str">
        <f t="shared" si="13"/>
        <v/>
      </c>
      <c r="T32" s="6" t="str">
        <f t="shared" si="14"/>
        <v/>
      </c>
      <c r="V32" s="6">
        <v>54</v>
      </c>
      <c r="W32" s="6" t="str">
        <v>VM1TO3_WHLINI_INF</v>
      </c>
      <c r="X32" s="6" t="str">
        <v>T</v>
      </c>
      <c r="Y32" s="6">
        <v>1</v>
      </c>
      <c r="Z32" s="6" t="str">
        <f>IF(X32="R",MAX(Z$17:Z31,Y$15-1)+1,"")</f>
        <v/>
      </c>
      <c r="AA32" s="6" t="str">
        <f t="shared" si="15"/>
        <v/>
      </c>
      <c r="AB32" s="6" t="str">
        <f t="shared" si="16"/>
        <v/>
      </c>
      <c r="AC32" s="6" t="str">
        <v>IVDSH_DID_REA_VM1TO3_WHLINI_INF</v>
      </c>
      <c r="AD32" s="6">
        <v>52</v>
      </c>
      <c r="AE32" s="6" t="str">
        <v>VM2TO1_WHLINI_REQ</v>
      </c>
      <c r="AF32" s="6" t="str">
        <v>R</v>
      </c>
      <c r="AG32" s="6">
        <v>1</v>
      </c>
      <c r="AH32" s="6">
        <f>IF(AF32="R",MAX(AH$17:AH31,AG$15-1)+1,"")</f>
        <v>25</v>
      </c>
      <c r="AI32" s="6">
        <f t="shared" si="5"/>
        <v>0</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IVDSH_WA_NWORD_REA_0</v>
      </c>
      <c r="AW32" s="6">
        <f>IF(AH15&lt;&gt;0,SUM(AG$17:AG529),"")</f>
        <v>16</v>
      </c>
      <c r="AX32" s="31">
        <v>2</v>
      </c>
      <c r="BE32" s="11" t="str">
        <f t="shared" si="0"/>
        <v>#define IVDSH_DID_WRI_VM1TO3_WHLINI_INF          (15U)</v>
      </c>
      <c r="BF32" s="11" t="str">
        <f t="shared" si="1"/>
        <v/>
      </c>
      <c r="BG32" s="11" t="str">
        <f t="shared" si="2"/>
        <v/>
      </c>
      <c r="BH32" s="11" t="str">
        <f t="shared" si="3"/>
        <v>#define IVDSH_DID_REA_VM2TO1_WHLINI_REQ          (25U)</v>
      </c>
      <c r="BI32" s="11" t="str">
        <f t="shared" si="4"/>
        <v/>
      </c>
      <c r="BJ32" s="11"/>
      <c r="BK32" s="11" t="str">
        <f t="shared" si="7"/>
        <v xml:space="preserve">    {(U2)15U,       (U2)1U,         (U2)IVDSH_FQ_CH_WRI  },     /* IVDSH_DID_WRI_VM1TO3_WHLINI_INF */</v>
      </c>
      <c r="BL32" s="11" t="str">
        <f t="shared" si="8"/>
        <v/>
      </c>
      <c r="BM32" s="11" t="str">
        <f t="shared" si="9"/>
        <v/>
      </c>
      <c r="BN32" s="11" t="str">
        <f t="shared" si="10"/>
        <v xml:space="preserve">    {(U2)15U,       (U2)1U,         (U2)IVDSH_FQ_CH_REA_0},     /* IVDSH_DID_REA_VM2TO1_WHLINI_REQ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IVDSH_WA_NWORD_REA_1</v>
      </c>
      <c r="AW33" s="6">
        <f>IF(AP15&lt;&gt;0,SUM(AO$17:AO529),"")</f>
        <v>7</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290</v>
      </c>
      <c r="AW36" s="6">
        <f>IFERROR(INDEX(AW$22:AW$25,MATCH(AV36,AV$22:AV$25,0)),"")</f>
        <v>0</v>
      </c>
      <c r="AX36" s="6">
        <f>IFERROR(INDEX(AX$22:AX$25,MATCH(AV36,AV$22:AV$25,0)),"")</f>
        <v>2</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291</v>
      </c>
      <c r="AW37" s="6">
        <f>IFERROR(INDEX(AW$22:AW$25,MATCH(AV37,AV$22:AV$25,0)),"")</f>
        <v>1</v>
      </c>
      <c r="AX37" s="6">
        <f>IFERROR(INDEX(AX$22:AX$25,MATCH(AV37,AV$22:AV$25,0)),"")</f>
        <v>3</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299</v>
      </c>
      <c r="N3" s="21" t="s">
        <v>218</v>
      </c>
      <c r="O3" s="21"/>
      <c r="BA3" s="21" t="s">
        <v>219</v>
      </c>
      <c r="BE3" s="21" t="s">
        <v>220</v>
      </c>
    </row>
    <row r="4" spans="1:84">
      <c r="A4" s="6" t="s">
        <v>221</v>
      </c>
      <c r="B4" s="1" t="s">
        <v>300</v>
      </c>
      <c r="AY4" s="23"/>
      <c r="AZ4" s="13"/>
      <c r="BD4" s="13"/>
    </row>
    <row r="5" spans="1:84">
      <c r="A5" s="6" t="s">
        <v>223</v>
      </c>
      <c r="B5" s="1" t="s">
        <v>301</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16</v>
      </c>
      <c r="G15" s="6" t="s">
        <v>261</v>
      </c>
      <c r="J15" s="14">
        <v>0</v>
      </c>
      <c r="N15" s="9" t="str">
        <f>N1</f>
        <v>VM#0</v>
      </c>
      <c r="O15" s="6" t="s">
        <v>261</v>
      </c>
      <c r="Q15" s="6">
        <f>F15</f>
        <v>16</v>
      </c>
      <c r="R15" s="6">
        <f>COUNTIF(P17:P529,"R")</f>
        <v>6</v>
      </c>
      <c r="S15" s="6">
        <f>COUNTIF(R$15,"&lt;&gt;0")</f>
        <v>1</v>
      </c>
      <c r="T15" s="14">
        <v>0</v>
      </c>
      <c r="U15" s="6">
        <f>COUNTA(U$17:U529)</f>
        <v>6</v>
      </c>
      <c r="V15" s="9" t="str">
        <f>V1</f>
        <v>VM#1(MET)</v>
      </c>
      <c r="W15" s="6" t="str">
        <f>O15</f>
        <v>CPREQ_</v>
      </c>
      <c r="Y15" s="6">
        <f>Q15+R15</f>
        <v>22</v>
      </c>
      <c r="Z15" s="6">
        <f>COUNTIF(X17:X529,"R")</f>
        <v>13</v>
      </c>
      <c r="AA15" s="6">
        <f>S15+COUNTIF(Z$15,"&lt;&gt;0")</f>
        <v>2</v>
      </c>
      <c r="AB15" s="14">
        <v>0</v>
      </c>
      <c r="AC15" s="6">
        <f>COUNTA(AC$17:AC529)</f>
        <v>16</v>
      </c>
      <c r="AD15" s="9" t="str">
        <f>AD1</f>
        <v>VM#2(IVI)</v>
      </c>
      <c r="AE15" s="6" t="str">
        <f>W15</f>
        <v>CPREQ_</v>
      </c>
      <c r="AG15" s="6">
        <f>Y15+Z15</f>
        <v>35</v>
      </c>
      <c r="AH15" s="6">
        <f>COUNTIF(AF17:AF529,"R")</f>
        <v>0</v>
      </c>
      <c r="AI15" s="6">
        <f>AA15+COUNTIF(AH$15,"&lt;&gt;0")</f>
        <v>2</v>
      </c>
      <c r="AJ15" s="14">
        <v>0</v>
      </c>
      <c r="AK15" s="6">
        <f>COUNTA(AK$17:AK529)</f>
        <v>16</v>
      </c>
      <c r="AL15" s="9" t="str">
        <f>AL1</f>
        <v>VM#3(CEN)</v>
      </c>
      <c r="AM15" s="6" t="str">
        <f>AE15</f>
        <v>CPREQ_</v>
      </c>
      <c r="AO15" s="6">
        <f>AG15+AH15</f>
        <v>35</v>
      </c>
      <c r="AP15" s="6">
        <f>COUNTIF(AN17:AN529,"R")</f>
        <v>7</v>
      </c>
      <c r="AQ15" s="6">
        <f>AI15+COUNTIF(AP$15,"&lt;&gt;0")</f>
        <v>3</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32">IFERROR(_xlfn._xlws.FILTER('Inter-VM Data Table'!$A2:$A911,INDEX('Inter-VM Data Table'!2:911,,MATCH(B3,'Inter-VM Data Table'!1:1,0))="T"),"")</f>
        <v>3</v>
      </c>
      <c r="G17" s="6" cm="1">
        <f t="array" ref="G17:G32">IFERROR(_xlfn._xlws.FILTER('Inter-VM Data Table'!$D2:$D911,INDEX('Inter-VM Data Table'!2:911,,MATCH(B3,'Inter-VM Data Table'!1:1,0))="T"),"")</f>
        <v>0</v>
      </c>
      <c r="H17" s="6" t="str" cm="1">
        <f t="array" ref="H17:H32">IFERROR(_xlfn._xlws.FILTER(INDEX('Inter-VM Data Table'!2:911,,MATCH($B$3,'Inter-VM Data Table'!1:1,0)),INDEX('Inter-VM Data Table'!2:911,,MATCH(B3,'Inter-VM Data Table'!1:1,0))="T"),"")</f>
        <v>T</v>
      </c>
      <c r="I17" s="6" cm="1">
        <f t="array" ref="I17:I32">IFERROR(ROUNDDOWN(     (_xlfn._xlws.FILTER('Inter-VM Data Table'!$I2:$I911,INDEX('Inter-VM Data Table'!2:911,,MATCH(B3,'Inter-VM Data Table'!1:1,0))="T")+3)/4,    0       ),"")</f>
        <v>1</v>
      </c>
      <c r="J17" s="6">
        <v>0</v>
      </c>
      <c r="K17" s="6" t="str" cm="1">
        <f t="array" ref="K17:K32">IF(_xlfn.ANCHORARRAY(G17)=0,K1&amp;G15&amp;TEXT(_xlfn.ANCHORARRAY(F17),"000"),K1&amp;_xlfn.ANCHORARRAY(G17))</f>
        <v>IVDSH_DID_WRI_CPREQ_003</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R</v>
      </c>
      <c r="Q17" s="6" cm="1">
        <f t="array" ref="Q17:Q22">IFERROR(ROUNDDOWN(     (_xlfn._xlws.FILTER('Inter-VM Data Table'!$I2:$I911,INDEX('Inter-VM Data Table'!2:911,,MATCH(N1,'Inter-VM Data Table'!1:1,0))="T")+3)/4,      0),"")</f>
        <v>1</v>
      </c>
      <c r="R17" s="6">
        <f>IF(P17="R",Q$15+0,"")</f>
        <v>16</v>
      </c>
      <c r="S17" s="6">
        <f>IF(R$15=0,"",0)</f>
        <v>0</v>
      </c>
      <c r="T17" s="6">
        <f>IF(R$15=0,"",$J$15)</f>
        <v>0</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v>
      </c>
      <c r="Y17" s="6" cm="1">
        <f t="array" ref="Y17:Y32">IFERROR(ROUNDDOWN(     (_xlfn._xlws.FILTER('Inter-VM Data Table'!$I2:$I911,INDEX('Inter-VM Data Table'!2:911,,MATCH(V1,'Inter-VM Data Table'!1:1,0))="T")+3)/4,      0),"")</f>
        <v>1</v>
      </c>
      <c r="Z17" s="6" t="str">
        <f>IF(X17="R",Y$15+0,"")</f>
        <v/>
      </c>
      <c r="AA17" s="6">
        <f>IF(Z$15=0,"",S15)</f>
        <v>1</v>
      </c>
      <c r="AB17" s="6">
        <f>IF(Z$15=0,"",T$15)</f>
        <v>0</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T</v>
      </c>
      <c r="AG17" s="6" cm="1">
        <f t="array" ref="AG17:AG32">IFERROR(ROUNDDOWN(     (_xlfn._xlws.FILTER('Inter-VM Data Table'!$I2:$I911,INDEX('Inter-VM Data Table'!2:911,,MATCH(AD1,'Inter-VM Data Table'!1:1,0))="T")+3)/4,      0),"")</f>
        <v>1</v>
      </c>
      <c r="AH17" s="6" t="str">
        <f>IF(AF17="R",AG$15+0,"")</f>
        <v/>
      </c>
      <c r="AI17" s="6" t="str">
        <f>IF(AH$15=0,"",AA15)</f>
        <v/>
      </c>
      <c r="AJ17" s="6" t="str">
        <f>IF(AH$15=0,"",AB$15)</f>
        <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R</v>
      </c>
      <c r="AO17" s="6" cm="1">
        <f t="array" ref="AO17:AO23">IFERROR(ROUNDDOWN(     (_xlfn._xlws.FILTER('Inter-VM Data Table'!$I2:$I911,INDEX('Inter-VM Data Table'!2:911,,MATCH(AL1,'Inter-VM Data Table'!1:1,0))="T")+3)/4,      0),"")</f>
        <v>1</v>
      </c>
      <c r="AP17" s="6">
        <f>IF(AN17="R",AO$15+0,"")</f>
        <v>35</v>
      </c>
      <c r="AQ17" s="6">
        <f>IF(AP$15=0,"",AI15)</f>
        <v>2</v>
      </c>
      <c r="AR17" s="6">
        <f>IF(AP$15=0,"",AJ$15)</f>
        <v>0</v>
      </c>
      <c r="AS17" s="6" t="str" cm="1">
        <f t="array" ref="AS17:AS23">IF(_xlfn.ANCHORARRAY(AM17)=0,AS1&amp;AM15&amp;TEXT(_xlfn.ANCHORARRAY(AL17),"000"),AS1&amp;_xlfn.ANCHORARRAY(AM17))</f>
        <v>IVDSH_DID_REA_CPREQ_005</v>
      </c>
      <c r="AV17" s="6" t="s">
        <v>271</v>
      </c>
      <c r="AW17" s="6">
        <f>F15</f>
        <v>16</v>
      </c>
      <c r="BA17" s="12" t="s">
        <v>272</v>
      </c>
      <c r="BB17" s="11">
        <f>AW17</f>
        <v>16</v>
      </c>
      <c r="BD17" s="27" t="s">
        <v>273</v>
      </c>
      <c r="BE17" s="11" t="str">
        <f t="shared" ref="BE17:BE80" si="0">IF(F17="","","#define "&amp;K17&amp;REPT(" ",41-LEN(K17))&amp;"("&amp;E17&amp;"U)")</f>
        <v>#define IVDSH_DID_WRI_CPREQ_003                  (0U)</v>
      </c>
      <c r="BF17" s="11" t="str">
        <f t="shared" ref="BF17:BF80" si="1">IF(R17="","","#define "&amp;U17&amp;REPT(" ",41-LEN(U17))&amp;"("&amp;R17&amp;"U)")</f>
        <v>#define IVDSH_DID_REA_CPREQ_006                  (16U)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IVDSH_DID_REA_CPREQ_005                  (35U)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IVDSH_DID_WRI_CPREQ_003         */</v>
      </c>
      <c r="BL17" s="11" t="str">
        <f>IF(R17="","","    {(U2)"&amp;T17&amp;"U,"&amp;REPT(" ",9-LEN(T17))&amp;"(U2)"&amp;Q17&amp;"U,"&amp;REPT(" ",10-LEN(Q17))&amp;"(U2)IVDSH_FQ_CH_REA_"&amp;S17&amp;"},     /* "&amp;U17&amp;REPT(" ",32-LEN(U17))&amp;"*/")</f>
        <v xml:space="preserve">    {(U2)0U,        (U2)1U,         (U2)IVDSH_FQ_CH_REA_0},     /* IVDSH_DID_REA_CPREQ_006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IVDSH_DID_REA_CPREQ_005         */</v>
      </c>
      <c r="BP17" s="11" t="str" cm="1">
        <f t="array" ref="BP17:BP20">IF(AW22:AW25&lt;&gt;"","#define "&amp;AV22:AV25&amp;"                        ("&amp;AW22:AW25&amp;"U)","")</f>
        <v>#define IVDSH_FQ_CH_REA_0                        (0U)</v>
      </c>
      <c r="BQ17" s="11" t="str" cm="1">
        <f t="array" ref="BQ17:BQ20">IF(AW30:AW33&lt;&gt;"","#define "&amp;AV30:AV33&amp;"                     ("&amp;AW30:AW33&amp;"U)","")</f>
        <v>#define IVDSH_WA_NWORD_REA_0                     (6U)</v>
      </c>
      <c r="BR17" s="11" t="str">
        <f>IF(AW36="","","    /* IVDSH_FQ_CH_REA_0 */")</f>
        <v xml:space="preserve">    /* IVDSH_FQ_CH_REA_0 */</v>
      </c>
      <c r="BS17" s="11" t="str">
        <f>IF(AW26&lt;&gt;"","    /* IVDSH_FQ_CH_WRI   */","")</f>
        <v xml:space="preserve">    /* IVDSH_FQ_CH_WRI   */</v>
      </c>
    </row>
    <row r="18" spans="5:71">
      <c r="E18" s="6">
        <f>E17+1</f>
        <v>1</v>
      </c>
      <c r="F18" s="6">
        <v>9</v>
      </c>
      <c r="G18" s="6">
        <v>0</v>
      </c>
      <c r="H18" s="6" t="str">
        <v>T</v>
      </c>
      <c r="I18" s="6">
        <v>1</v>
      </c>
      <c r="J18" s="6">
        <f>IF(F18="","",I17+J17)</f>
        <v>1</v>
      </c>
      <c r="K18" s="6" t="str">
        <v>IVDSH_DID_WRI_CPREQ_009</v>
      </c>
      <c r="N18" s="6">
        <v>8</v>
      </c>
      <c r="O18" s="6">
        <v>0</v>
      </c>
      <c r="P18" s="6" t="str">
        <v>R</v>
      </c>
      <c r="Q18" s="6">
        <v>1</v>
      </c>
      <c r="R18" s="6">
        <f>IF(P18="R",MAX(R$17:R17,Q$15-1)+1,"")</f>
        <v>17</v>
      </c>
      <c r="S18" s="6">
        <f>IF(OR(R$15=0,N18=""),"",S17)</f>
        <v>0</v>
      </c>
      <c r="T18" s="6">
        <f>IF(OR(N18="",R$15=0),"",T17+Q17)</f>
        <v>1</v>
      </c>
      <c r="U18" s="6" t="str">
        <v>IVDSH_DID_REA_CPREQ_008</v>
      </c>
      <c r="V18" s="6">
        <v>4</v>
      </c>
      <c r="W18" s="6">
        <v>0</v>
      </c>
      <c r="X18" s="6" t="str">
        <v>R</v>
      </c>
      <c r="Y18" s="6">
        <v>1</v>
      </c>
      <c r="Z18" s="6">
        <f>IF(X18="R",MAX(Z$17:Z17,Y$15-1)+1,"")</f>
        <v>22</v>
      </c>
      <c r="AA18" s="6">
        <f>IF(OR(Z$15=0,V18=""),"",AA17)</f>
        <v>1</v>
      </c>
      <c r="AB18" s="6">
        <f>IF(OR(V18="",Z$15=0),"",AB17+Y17)</f>
        <v>1</v>
      </c>
      <c r="AC18" s="6" t="str">
        <v>IVDSH_DID_REA_CPREQ_004</v>
      </c>
      <c r="AD18" s="6">
        <v>9</v>
      </c>
      <c r="AE18" s="6">
        <v>0</v>
      </c>
      <c r="AF18" s="6" t="str">
        <v>T</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R</v>
      </c>
      <c r="AO18" s="6">
        <v>1</v>
      </c>
      <c r="AP18" s="6">
        <f>IF(AN18="R",MAX(AP$17:AP17,AO$15-1)+1,"")</f>
        <v>36</v>
      </c>
      <c r="AQ18" s="6">
        <f>IF(OR(AP$15=0,AL18=""),"",AQ17)</f>
        <v>2</v>
      </c>
      <c r="AR18" s="6">
        <f>IF(OR(AL18="",AP$15=0),"",AR17+AO17)</f>
        <v>1</v>
      </c>
      <c r="AS18" s="6" t="str">
        <v>IVDSH_DID_REA_CPREQ_007</v>
      </c>
      <c r="AV18" s="6" t="s">
        <v>274</v>
      </c>
      <c r="AW18" s="6">
        <f>R15+Z15+AH15+AP15</f>
        <v>26</v>
      </c>
      <c r="BA18" s="12" t="s">
        <v>275</v>
      </c>
      <c r="BB18" s="11">
        <f>AW18</f>
        <v>26</v>
      </c>
      <c r="BE18" s="11" t="str">
        <f t="shared" si="0"/>
        <v>#define IVDSH_DID_WRI_CPREQ_009                  (1U)</v>
      </c>
      <c r="BF18" s="11" t="str">
        <f t="shared" si="1"/>
        <v>#define IVDSH_DID_REA_CPREQ_008                  (17U)</v>
      </c>
      <c r="BG18" s="11" t="str">
        <f t="shared" si="2"/>
        <v>#define IVDSH_DID_REA_CPREQ_004                  (22U)</v>
      </c>
      <c r="BH18" s="11" t="str">
        <f t="shared" si="3"/>
        <v/>
      </c>
      <c r="BI18" s="11" t="str">
        <f t="shared" si="4"/>
        <v>#define IVDSH_DID_REA_CPREQ_007                  (36U)</v>
      </c>
      <c r="BJ18" s="11"/>
      <c r="BK18" s="11" t="str">
        <f t="shared" ref="BK18:BK81" si="7">IF(F18="","","    {(U2)"&amp;J18&amp;"U,"&amp;REPT(" ",9-LEN(J18))&amp;"(U2)"&amp;I18&amp;"U,"&amp;REPT(" ",10-LEN(I18))&amp;"(U2)IVDSH_FQ_CH_WRI  },     /* "&amp;K18&amp;REPT(" ",32-LEN(K18))&amp;"*/")</f>
        <v xml:space="preserve">    {(U2)1U,        (U2)1U,         (U2)IVDSH_FQ_CH_WRI  },     /* IVDSH_DID_WRI_CPREQ_009         */</v>
      </c>
      <c r="BL18" s="11" t="str">
        <f t="shared" ref="BL18:BL81" si="8">IF(R18="","","    {(U2)"&amp;T18&amp;"U,"&amp;REPT(" ",9-LEN(T18))&amp;"(U2)"&amp;Q18&amp;"U,"&amp;REPT(" ",10-LEN(Q18))&amp;"(U2)IVDSH_FQ_CH_REA_"&amp;S18&amp;"},     /* "&amp;U18&amp;REPT(" ",32-LEN(U18))&amp;"*/")</f>
        <v xml:space="preserve">    {(U2)1U,        (U2)1U,         (U2)IVDSH_FQ_CH_REA_0},     /* IVDSH_DID_REA_CPREQ_008         */</v>
      </c>
      <c r="BM18" s="11" t="str">
        <f t="shared" ref="BM18:BM81" si="9">IF(Z18="","","    {(U2)"&amp;AB18&amp;"U,"&amp;REPT(" ",9-LEN(AB18))&amp;"(U2)"&amp;Y18&amp;"U,"&amp;REPT(" ",10-LEN(Y18))&amp;"(U2)IVDSH_FQ_CH_REA_"&amp;AA18&amp;"},     /* "&amp;AC18&amp;REPT(" ",32-LEN(AC18))&amp;"*/")</f>
        <v xml:space="preserve">    {(U2)1U,        (U2)1U,         (U2)IVDSH_FQ_CH_REA_1},     /* IVDSH_DID_REA_CPREQ_004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IVDSH_DID_REA_CPREQ_007         */</v>
      </c>
      <c r="BP18" s="11" t="str">
        <v>#define IVDSH_FQ_CH_REA_1                        (1U)</v>
      </c>
      <c r="BQ18" s="11" t="str">
        <v>#define IVDSH_WA_NWORD_REA_1                     (16U)</v>
      </c>
      <c r="BR18" s="11" t="str">
        <f>IF(AW36="","","    {")</f>
        <v xml:space="preserve">    {</v>
      </c>
      <c r="BS18" s="11" t="str">
        <f>IF(AW26&lt;&gt;"","    {","")</f>
        <v xml:space="preserve">    {</v>
      </c>
    </row>
    <row r="19" spans="5:71">
      <c r="E19" s="6">
        <f t="shared" ref="E19:E82" si="12">E18+1</f>
        <v>2</v>
      </c>
      <c r="F19" s="6">
        <v>11</v>
      </c>
      <c r="G19" s="6">
        <v>0</v>
      </c>
      <c r="H19" s="6" t="str">
        <v>T</v>
      </c>
      <c r="I19" s="6">
        <v>1</v>
      </c>
      <c r="J19" s="6">
        <f>IF(F19="","",I18+J18)</f>
        <v>2</v>
      </c>
      <c r="K19" s="6" t="str">
        <v>IVDSH_DID_WRI_CPREQ_011</v>
      </c>
      <c r="N19" s="6">
        <v>29</v>
      </c>
      <c r="O19" s="6">
        <v>0</v>
      </c>
      <c r="P19" s="6" t="str">
        <v>R</v>
      </c>
      <c r="Q19" s="6">
        <v>1</v>
      </c>
      <c r="R19" s="6">
        <f>IF(P19="R",MAX(R$17:R18,Q$15-1)+1,"")</f>
        <v>18</v>
      </c>
      <c r="S19" s="6">
        <f t="shared" ref="S19:S82" si="13">IF(OR(R$15=0,N19=""),"",S18)</f>
        <v>0</v>
      </c>
      <c r="T19" s="6">
        <f t="shared" ref="T19:T82" si="14">IF(OR(N19="",R$15=0),"",T18+Q18)</f>
        <v>2</v>
      </c>
      <c r="U19" s="6" t="str">
        <v>IVDSH_DID_REA_CPREQ_029</v>
      </c>
      <c r="V19" s="6">
        <v>10</v>
      </c>
      <c r="W19" s="6">
        <v>0</v>
      </c>
      <c r="X19" s="6" t="str">
        <v>R</v>
      </c>
      <c r="Y19" s="6">
        <v>1</v>
      </c>
      <c r="Z19" s="6">
        <f>IF(X19="R",MAX(Z$17:Z18,Y$15-1)+1,"")</f>
        <v>23</v>
      </c>
      <c r="AA19" s="6">
        <f t="shared" ref="AA19:AA82" si="15">IF(OR(Z$15=0,V19=""),"",AA18)</f>
        <v>1</v>
      </c>
      <c r="AB19" s="6">
        <f t="shared" ref="AB19:AB82" si="16">IF(OR(V19="",Z$15=0),"",AB18+Y18)</f>
        <v>2</v>
      </c>
      <c r="AC19" s="6" t="str">
        <v>IVDSH_DID_REA_CPREQ_010</v>
      </c>
      <c r="AD19" s="6">
        <v>11</v>
      </c>
      <c r="AE19" s="6">
        <v>0</v>
      </c>
      <c r="AF19" s="6" t="str">
        <v>T</v>
      </c>
      <c r="AG19" s="6">
        <v>1</v>
      </c>
      <c r="AH19" s="6" t="str">
        <f>IF(AF19="R",MAX(AH$17:AH18,AG$15-1)+1,"")</f>
        <v/>
      </c>
      <c r="AI19" s="6" t="str">
        <f t="shared" si="5"/>
        <v/>
      </c>
      <c r="AJ19" s="6" t="str">
        <f t="shared" si="6"/>
        <v/>
      </c>
      <c r="AK19" s="6" t="str">
        <v>IVDSH_DID_REA_CPREQ_011</v>
      </c>
      <c r="AL19" s="6">
        <v>43</v>
      </c>
      <c r="AM19" s="6" t="str">
        <v>VM3TO2_BOOTLOG_INF</v>
      </c>
      <c r="AN19" s="6" t="str">
        <v>R</v>
      </c>
      <c r="AO19" s="6">
        <v>1</v>
      </c>
      <c r="AP19" s="6">
        <f>IF(AN19="R",MAX(AP$17:AP18,AO$15-1)+1,"")</f>
        <v>37</v>
      </c>
      <c r="AQ19" s="6">
        <f t="shared" ref="AQ19:AQ82" si="17">IF(OR(AP$15=0,AL19=""),"",AQ18)</f>
        <v>2</v>
      </c>
      <c r="AR19" s="6">
        <f t="shared" ref="AR19:AR82" si="18">IF(OR(AL19="",AP$15=0),"",AR18+AO18)</f>
        <v>2</v>
      </c>
      <c r="AS19" s="6" t="str">
        <v>IVDSH_DID_REA_VM3TO2_BOOTLOG_INF</v>
      </c>
      <c r="BA19" s="12" t="s">
        <v>276</v>
      </c>
      <c r="BB19" s="11">
        <f>AW20</f>
        <v>4</v>
      </c>
      <c r="BE19" s="11" t="str">
        <f t="shared" si="0"/>
        <v>#define IVDSH_DID_WRI_CPREQ_011                  (2U)</v>
      </c>
      <c r="BF19" s="11" t="str">
        <f t="shared" si="1"/>
        <v>#define IVDSH_DID_REA_CPREQ_029                  (18U)</v>
      </c>
      <c r="BG19" s="11" t="str">
        <f t="shared" si="2"/>
        <v>#define IVDSH_DID_REA_CPREQ_010                  (23U)</v>
      </c>
      <c r="BH19" s="11" t="str">
        <f t="shared" si="3"/>
        <v/>
      </c>
      <c r="BI19" s="11" t="str">
        <f t="shared" si="4"/>
        <v>#define IVDSH_DID_REA_VM3TO2_BOOTLOG_INF         (37U)</v>
      </c>
      <c r="BJ19" s="11"/>
      <c r="BK19" s="11" t="str">
        <f t="shared" si="7"/>
        <v xml:space="preserve">    {(U2)2U,        (U2)1U,         (U2)IVDSH_FQ_CH_WRI  },     /* IVDSH_DID_WRI_CPREQ_011         */</v>
      </c>
      <c r="BL19" s="11" t="str">
        <f t="shared" si="8"/>
        <v xml:space="preserve">    {(U2)2U,        (U2)1U,         (U2)IVDSH_FQ_CH_REA_0},     /* IVDSH_DID_REA_CPREQ_029         */</v>
      </c>
      <c r="BM19" s="11" t="str">
        <f t="shared" si="9"/>
        <v xml:space="preserve">    {(U2)2U,        (U2)1U,         (U2)IVDSH_FQ_CH_REA_1},     /* IVDSH_DID_REA_CPREQ_010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13</v>
      </c>
      <c r="G20" s="6">
        <v>0</v>
      </c>
      <c r="H20" s="6" t="str">
        <v>T</v>
      </c>
      <c r="I20" s="6">
        <v>1</v>
      </c>
      <c r="J20" s="6">
        <f t="shared" ref="J20:J83" si="19">IF(F20="","",I19+J19)</f>
        <v>3</v>
      </c>
      <c r="K20" s="6" t="str">
        <v>IVDSH_DID_WRI_CPREQ_013</v>
      </c>
      <c r="N20" s="6">
        <v>32</v>
      </c>
      <c r="O20" s="6">
        <v>0</v>
      </c>
      <c r="P20" s="6" t="str">
        <v>R</v>
      </c>
      <c r="Q20" s="6">
        <v>1</v>
      </c>
      <c r="R20" s="6">
        <f>IF(P20="R",MAX(R$17:R19,Q$15-1)+1,"")</f>
        <v>19</v>
      </c>
      <c r="S20" s="6">
        <f t="shared" si="13"/>
        <v>0</v>
      </c>
      <c r="T20" s="6">
        <f t="shared" si="14"/>
        <v>3</v>
      </c>
      <c r="U20" s="6" t="str">
        <v>IVDSH_DID_REA_CPREQ_032</v>
      </c>
      <c r="V20" s="6">
        <v>12</v>
      </c>
      <c r="W20" s="6">
        <v>0</v>
      </c>
      <c r="X20" s="6" t="str">
        <v>R</v>
      </c>
      <c r="Y20" s="6">
        <v>1</v>
      </c>
      <c r="Z20" s="6">
        <f>IF(X20="R",MAX(Z$17:Z19,Y$15-1)+1,"")</f>
        <v>24</v>
      </c>
      <c r="AA20" s="6">
        <f t="shared" si="15"/>
        <v>1</v>
      </c>
      <c r="AB20" s="6">
        <f t="shared" si="16"/>
        <v>3</v>
      </c>
      <c r="AC20" s="6" t="str">
        <v>IVDSH_DID_REA_CPREQ_012</v>
      </c>
      <c r="AD20" s="6">
        <v>13</v>
      </c>
      <c r="AE20" s="6">
        <v>0</v>
      </c>
      <c r="AF20" s="6" t="str">
        <v>T</v>
      </c>
      <c r="AG20" s="6">
        <v>1</v>
      </c>
      <c r="AH20" s="6" t="str">
        <f>IF(AF20="R",MAX(AH$17:AH19,AG$15-1)+1,"")</f>
        <v/>
      </c>
      <c r="AI20" s="6" t="str">
        <f t="shared" si="5"/>
        <v/>
      </c>
      <c r="AJ20" s="6" t="str">
        <f t="shared" si="6"/>
        <v/>
      </c>
      <c r="AK20" s="6" t="str">
        <v>IVDSH_DID_REA_CPREQ_013</v>
      </c>
      <c r="AL20" s="6">
        <v>45</v>
      </c>
      <c r="AM20" s="6">
        <v>0</v>
      </c>
      <c r="AN20" s="6" t="str">
        <v>R</v>
      </c>
      <c r="AO20" s="6">
        <v>1</v>
      </c>
      <c r="AP20" s="6">
        <f>IF(AN20="R",MAX(AP$17:AP19,AO$15-1)+1,"")</f>
        <v>38</v>
      </c>
      <c r="AQ20" s="6">
        <f t="shared" si="17"/>
        <v>2</v>
      </c>
      <c r="AR20" s="6">
        <f t="shared" si="18"/>
        <v>3</v>
      </c>
      <c r="AS20" s="6" t="str">
        <v>IVDSH_DID_REA_CPREQ_045</v>
      </c>
      <c r="AV20" s="6" t="s">
        <v>277</v>
      </c>
      <c r="AW20" s="6">
        <f>MAX(AW22:AW26)+1</f>
        <v>4</v>
      </c>
      <c r="BA20" s="12" t="s">
        <v>278</v>
      </c>
      <c r="BB20" s="11">
        <f>AW21</f>
        <v>3</v>
      </c>
      <c r="BE20" s="11" t="str">
        <f t="shared" si="0"/>
        <v>#define IVDSH_DID_WRI_CPREQ_013                  (3U)</v>
      </c>
      <c r="BF20" s="11" t="str">
        <f t="shared" si="1"/>
        <v>#define IVDSH_DID_REA_CPREQ_032                  (19U)</v>
      </c>
      <c r="BG20" s="11" t="str">
        <f t="shared" si="2"/>
        <v>#define IVDSH_DID_REA_CPREQ_012                  (24U)</v>
      </c>
      <c r="BH20" s="11" t="str">
        <f t="shared" si="3"/>
        <v/>
      </c>
      <c r="BI20" s="11" t="str">
        <f t="shared" si="4"/>
        <v>#define IVDSH_DID_REA_CPREQ_045                  (38U)</v>
      </c>
      <c r="BJ20" s="11"/>
      <c r="BK20" s="11" t="str">
        <f t="shared" si="7"/>
        <v xml:space="preserve">    {(U2)3U,        (U2)1U,         (U2)IVDSH_FQ_CH_WRI  },     /* IVDSH_DID_WRI_CPREQ_013         */</v>
      </c>
      <c r="BL20" s="11" t="str">
        <f t="shared" si="8"/>
        <v xml:space="preserve">    {(U2)3U,        (U2)1U,         (U2)IVDSH_FQ_CH_REA_0},     /* IVDSH_DID_REA_CPREQ_032         */</v>
      </c>
      <c r="BM20" s="11" t="str">
        <f t="shared" si="9"/>
        <v xml:space="preserve">    {(U2)3U,        (U2)1U,         (U2)IVDSH_FQ_CH_REA_1},     /* IVDSH_DID_REA_CPREQ_012         */</v>
      </c>
      <c r="BN20" s="11" t="str">
        <f t="shared" si="10"/>
        <v/>
      </c>
      <c r="BO20" s="11" t="str">
        <f t="shared" si="11"/>
        <v xml:space="preserve">    {(U2)3U,        (U2)1U,         (U2)IVDSH_FQ_CH_REA_2},     /* IVDSH_DID_REA_CPREQ_045         */</v>
      </c>
      <c r="BP20" s="11" t="str">
        <v>#define IVDSH_FQ_CH_REA_2                        (2U)</v>
      </c>
      <c r="BQ20" s="11" t="str">
        <v>#define IVDSH_WA_NWORD_REA_2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15</v>
      </c>
      <c r="G21" s="6">
        <v>0</v>
      </c>
      <c r="H21" s="6" t="str">
        <v>T</v>
      </c>
      <c r="I21" s="6">
        <v>1</v>
      </c>
      <c r="J21" s="6">
        <f t="shared" si="19"/>
        <v>4</v>
      </c>
      <c r="K21" s="6" t="str">
        <v>IVDSH_DID_WRI_CPREQ_015</v>
      </c>
      <c r="N21" s="6">
        <v>35</v>
      </c>
      <c r="O21" s="6">
        <v>0</v>
      </c>
      <c r="P21" s="6" t="str">
        <v>R</v>
      </c>
      <c r="Q21" s="6">
        <v>1</v>
      </c>
      <c r="R21" s="6">
        <f>IF(P21="R",MAX(R$17:R20,Q$15-1)+1,"")</f>
        <v>20</v>
      </c>
      <c r="S21" s="6">
        <f t="shared" si="13"/>
        <v>0</v>
      </c>
      <c r="T21" s="6">
        <f t="shared" si="14"/>
        <v>4</v>
      </c>
      <c r="U21" s="6" t="str">
        <v>IVDSH_DID_REA_CPREQ_035</v>
      </c>
      <c r="V21" s="6">
        <v>14</v>
      </c>
      <c r="W21" s="6">
        <v>0</v>
      </c>
      <c r="X21" s="6" t="str">
        <v>R</v>
      </c>
      <c r="Y21" s="6">
        <v>1</v>
      </c>
      <c r="Z21" s="6">
        <f>IF(X21="R",MAX(Z$17:Z20,Y$15-1)+1,"")</f>
        <v>25</v>
      </c>
      <c r="AA21" s="6">
        <f t="shared" si="15"/>
        <v>1</v>
      </c>
      <c r="AB21" s="6">
        <f t="shared" si="16"/>
        <v>4</v>
      </c>
      <c r="AC21" s="6" t="str">
        <v>IVDSH_DID_REA_CPREQ_014</v>
      </c>
      <c r="AD21" s="6">
        <v>15</v>
      </c>
      <c r="AE21" s="6">
        <v>0</v>
      </c>
      <c r="AF21" s="6" t="str">
        <v>T</v>
      </c>
      <c r="AG21" s="6">
        <v>1</v>
      </c>
      <c r="AH21" s="6" t="str">
        <f>IF(AF21="R",MAX(AH$17:AH20,AG$15-1)+1,"")</f>
        <v/>
      </c>
      <c r="AI21" s="6" t="str">
        <f t="shared" si="5"/>
        <v/>
      </c>
      <c r="AJ21" s="6" t="str">
        <f t="shared" si="6"/>
        <v/>
      </c>
      <c r="AK21" s="6" t="str">
        <v>IVDSH_DID_REA_CPREQ_015</v>
      </c>
      <c r="AL21" s="6">
        <v>48</v>
      </c>
      <c r="AM21" s="6">
        <v>0</v>
      </c>
      <c r="AN21" s="6" t="str">
        <v>R</v>
      </c>
      <c r="AO21" s="6">
        <v>1</v>
      </c>
      <c r="AP21" s="6">
        <f>IF(AN21="R",MAX(AP$17:AP20,AO$15-1)+1,"")</f>
        <v>39</v>
      </c>
      <c r="AQ21" s="6">
        <f t="shared" si="17"/>
        <v>2</v>
      </c>
      <c r="AR21" s="6">
        <f t="shared" si="18"/>
        <v>4</v>
      </c>
      <c r="AS21" s="6" t="str">
        <v>IVDSH_DID_REA_CPREQ_048</v>
      </c>
      <c r="AV21" s="6" t="s">
        <v>279</v>
      </c>
      <c r="AW21" s="6">
        <f>COUNTIF(AW22:AW25,"&gt;=0")</f>
        <v>3</v>
      </c>
      <c r="AX21" s="30" t="s">
        <v>280</v>
      </c>
      <c r="BA21" s="12" t="s">
        <v>281</v>
      </c>
      <c r="BB21" s="11">
        <f>AW29</f>
        <v>16</v>
      </c>
      <c r="BE21" s="11" t="str">
        <f t="shared" si="0"/>
        <v>#define IVDSH_DID_WRI_CPREQ_015                  (4U)</v>
      </c>
      <c r="BF21" s="11" t="str">
        <f t="shared" si="1"/>
        <v>#define IVDSH_DID_REA_CPREQ_035                  (20U)</v>
      </c>
      <c r="BG21" s="11" t="str">
        <f t="shared" si="2"/>
        <v>#define IVDSH_DID_REA_CPREQ_014                  (25U)</v>
      </c>
      <c r="BH21" s="11" t="str">
        <f t="shared" si="3"/>
        <v/>
      </c>
      <c r="BI21" s="11" t="str">
        <f t="shared" si="4"/>
        <v>#define IVDSH_DID_REA_CPREQ_048                  (39U)</v>
      </c>
      <c r="BJ21" s="11"/>
      <c r="BK21" s="11" t="str">
        <f t="shared" si="7"/>
        <v xml:space="preserve">    {(U2)4U,        (U2)1U,         (U2)IVDSH_FQ_CH_WRI  },     /* IVDSH_DID_WRI_CPREQ_015         */</v>
      </c>
      <c r="BL21" s="11" t="str">
        <f t="shared" si="8"/>
        <v xml:space="preserve">    {(U2)4U,        (U2)1U,         (U2)IVDSH_FQ_CH_REA_0},     /* IVDSH_DID_REA_CPREQ_035         */</v>
      </c>
      <c r="BM21" s="11" t="str">
        <f t="shared" si="9"/>
        <v xml:space="preserve">    {(U2)4U,        (U2)1U,         (U2)IVDSH_FQ_CH_REA_1},     /* IVDSH_DID_REA_CPREQ_014         */</v>
      </c>
      <c r="BN21" s="11" t="str">
        <f t="shared" si="10"/>
        <v/>
      </c>
      <c r="BO21" s="11" t="str">
        <f t="shared" si="11"/>
        <v xml:space="preserve">    {(U2)4U,        (U2)1U,         (U2)IVDSH_FQ_CH_REA_2},     /* IVDSH_DID_REA_CPREQ_048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17</v>
      </c>
      <c r="G22" s="6">
        <v>0</v>
      </c>
      <c r="H22" s="6" t="str">
        <v>T</v>
      </c>
      <c r="I22" s="6">
        <v>1</v>
      </c>
      <c r="J22" s="6">
        <f t="shared" si="19"/>
        <v>5</v>
      </c>
      <c r="K22" s="6" t="str">
        <v>IVDSH_DID_WRI_CPREQ_017</v>
      </c>
      <c r="N22" s="6">
        <v>38</v>
      </c>
      <c r="O22" s="6">
        <v>0</v>
      </c>
      <c r="P22" s="6" t="str">
        <v>R</v>
      </c>
      <c r="Q22" s="6">
        <v>1</v>
      </c>
      <c r="R22" s="6">
        <f>IF(P22="R",MAX(R$17:R21,Q$15-1)+1,"")</f>
        <v>21</v>
      </c>
      <c r="S22" s="6">
        <f t="shared" si="13"/>
        <v>0</v>
      </c>
      <c r="T22" s="6">
        <f t="shared" si="14"/>
        <v>5</v>
      </c>
      <c r="U22" s="6" t="str">
        <v>IVDSH_DID_REA_CPREQ_038</v>
      </c>
      <c r="V22" s="6">
        <v>16</v>
      </c>
      <c r="W22" s="6">
        <v>0</v>
      </c>
      <c r="X22" s="6" t="str">
        <v>R</v>
      </c>
      <c r="Y22" s="6">
        <v>1</v>
      </c>
      <c r="Z22" s="6">
        <f>IF(X22="R",MAX(Z$17:Z21,Y$15-1)+1,"")</f>
        <v>26</v>
      </c>
      <c r="AA22" s="6">
        <f t="shared" si="15"/>
        <v>1</v>
      </c>
      <c r="AB22" s="6">
        <f t="shared" si="16"/>
        <v>5</v>
      </c>
      <c r="AC22" s="6" t="str">
        <v>IVDSH_DID_REA_CPREQ_016</v>
      </c>
      <c r="AD22" s="6">
        <v>17</v>
      </c>
      <c r="AE22" s="6">
        <v>0</v>
      </c>
      <c r="AF22" s="6" t="str">
        <v>T</v>
      </c>
      <c r="AG22" s="6">
        <v>1</v>
      </c>
      <c r="AH22" s="6" t="str">
        <f>IF(AF22="R",MAX(AH$17:AH21,AG$15-1)+1,"")</f>
        <v/>
      </c>
      <c r="AI22" s="6" t="str">
        <f t="shared" si="5"/>
        <v/>
      </c>
      <c r="AJ22" s="6" t="str">
        <f t="shared" si="6"/>
        <v/>
      </c>
      <c r="AK22" s="6" t="str">
        <v>IVDSH_DID_REA_CPREQ_017</v>
      </c>
      <c r="AL22" s="6">
        <v>49</v>
      </c>
      <c r="AM22" s="6">
        <v>0</v>
      </c>
      <c r="AN22" s="6" t="str">
        <v>R</v>
      </c>
      <c r="AO22" s="6">
        <v>1</v>
      </c>
      <c r="AP22" s="6">
        <f>IF(AN22="R",MAX(AP$17:AP21,AO$15-1)+1,"")</f>
        <v>40</v>
      </c>
      <c r="AQ22" s="6">
        <f t="shared" si="17"/>
        <v>2</v>
      </c>
      <c r="AR22" s="6">
        <f t="shared" si="18"/>
        <v>5</v>
      </c>
      <c r="AS22" s="6" t="str">
        <v>IVDSH_DID_REA_CPREQ_049</v>
      </c>
      <c r="AV22" s="6" t="str">
        <f>"IVDSH_FQ_CH_REA_"&amp;COUNTIF(AW$22:AW22,"&gt;=0")-1</f>
        <v>IVDSH_FQ_CH_REA_0</v>
      </c>
      <c r="AW22" s="6">
        <f>IF(AW30="","",COUNTIF(AW$30:AW30,"&gt;0")-1)</f>
        <v>0</v>
      </c>
      <c r="AX22" s="31">
        <v>0</v>
      </c>
      <c r="BA22" s="12" t="s">
        <v>282</v>
      </c>
      <c r="BB22" s="11">
        <f>AW28</f>
        <v>74</v>
      </c>
      <c r="BE22" s="11" t="str">
        <f t="shared" si="0"/>
        <v>#define IVDSH_DID_WRI_CPREQ_017                  (5U)</v>
      </c>
      <c r="BF22" s="11" t="str">
        <f t="shared" si="1"/>
        <v>#define IVDSH_DID_REA_CPREQ_038                  (21U)</v>
      </c>
      <c r="BG22" s="11" t="str">
        <f t="shared" si="2"/>
        <v>#define IVDSH_DID_REA_CPREQ_016                  (26U)</v>
      </c>
      <c r="BH22" s="11" t="str">
        <f t="shared" si="3"/>
        <v/>
      </c>
      <c r="BI22" s="11" t="str">
        <f t="shared" si="4"/>
        <v>#define IVDSH_DID_REA_CPREQ_049                  (40U)</v>
      </c>
      <c r="BJ22" s="11"/>
      <c r="BK22" s="11" t="str">
        <f t="shared" si="7"/>
        <v xml:space="preserve">    {(U2)5U,        (U2)1U,         (U2)IVDSH_FQ_CH_WRI  },     /* IVDSH_DID_WRI_CPREQ_017         */</v>
      </c>
      <c r="BL22" s="11" t="str">
        <f t="shared" si="8"/>
        <v xml:space="preserve">    {(U2)5U,        (U2)1U,         (U2)IVDSH_FQ_CH_REA_0},     /* IVDSH_DID_REA_CPREQ_038         */</v>
      </c>
      <c r="BM22" s="11" t="str">
        <f t="shared" si="9"/>
        <v xml:space="preserve">    {(U2)5U,        (U2)1U,         (U2)IVDSH_FQ_CH_REA_1},     /* IVDSH_DID_REA_CPREQ_016         */</v>
      </c>
      <c r="BN22" s="11" t="str">
        <f t="shared" si="10"/>
        <v/>
      </c>
      <c r="BO22" s="11" t="str">
        <f t="shared" si="11"/>
        <v xml:space="preserve">    {(U2)5U,        (U2)1U,         (U2)IVDSH_FQ_CH_REA_2},     /* IVDSH_DID_REA_CPREQ_049         */</v>
      </c>
      <c r="BP22" s="11"/>
      <c r="BQ22" s="11"/>
      <c r="BR22" s="28" t="str">
        <f>IF(AW36="","","    },")</f>
        <v xml:space="preserve">    },</v>
      </c>
      <c r="BS22" s="11" t="str">
        <f>IF(AW26&lt;&gt;"","    },","")</f>
        <v xml:space="preserve">    },</v>
      </c>
    </row>
    <row r="23" spans="5:71">
      <c r="E23" s="6">
        <f t="shared" si="12"/>
        <v>6</v>
      </c>
      <c r="F23" s="6">
        <v>19</v>
      </c>
      <c r="G23" s="6">
        <v>0</v>
      </c>
      <c r="H23" s="6" t="str">
        <v>T</v>
      </c>
      <c r="I23" s="6">
        <v>1</v>
      </c>
      <c r="J23" s="6">
        <f t="shared" si="19"/>
        <v>6</v>
      </c>
      <c r="K23" s="6" t="str">
        <v>IVDSH_DID_WRI_CPREQ_019</v>
      </c>
      <c r="R23" s="6" t="str">
        <f>IF(P23="R",MAX(R$17:R22,Q$15-1)+1,"")</f>
        <v/>
      </c>
      <c r="S23" s="6" t="str">
        <f t="shared" si="13"/>
        <v/>
      </c>
      <c r="T23" s="6" t="str">
        <f t="shared" si="14"/>
        <v/>
      </c>
      <c r="V23" s="6">
        <v>18</v>
      </c>
      <c r="W23" s="6">
        <v>0</v>
      </c>
      <c r="X23" s="6" t="str">
        <v>R</v>
      </c>
      <c r="Y23" s="6">
        <v>1</v>
      </c>
      <c r="Z23" s="6">
        <f>IF(X23="R",MAX(Z$17:Z22,Y$15-1)+1,"")</f>
        <v>27</v>
      </c>
      <c r="AA23" s="6">
        <f t="shared" si="15"/>
        <v>1</v>
      </c>
      <c r="AB23" s="6">
        <f t="shared" si="16"/>
        <v>6</v>
      </c>
      <c r="AC23" s="6" t="str">
        <v>IVDSH_DID_REA_CPREQ_018</v>
      </c>
      <c r="AD23" s="6">
        <v>19</v>
      </c>
      <c r="AE23" s="6">
        <v>0</v>
      </c>
      <c r="AF23" s="6" t="str">
        <v>T</v>
      </c>
      <c r="AG23" s="6">
        <v>1</v>
      </c>
      <c r="AH23" s="6" t="str">
        <f>IF(AF23="R",MAX(AH$17:AH22,AG$15-1)+1,"")</f>
        <v/>
      </c>
      <c r="AI23" s="6" t="str">
        <f t="shared" si="5"/>
        <v/>
      </c>
      <c r="AJ23" s="6" t="str">
        <f t="shared" si="6"/>
        <v/>
      </c>
      <c r="AK23" s="6" t="str">
        <v>IVDSH_DID_REA_CPREQ_019</v>
      </c>
      <c r="AL23" s="6">
        <v>50</v>
      </c>
      <c r="AM23" s="6" t="str">
        <v>GPS_STS</v>
      </c>
      <c r="AN23" s="6" t="str">
        <v>R</v>
      </c>
      <c r="AO23" s="6">
        <v>1</v>
      </c>
      <c r="AP23" s="6">
        <f>IF(AN23="R",MAX(AP$17:AP22,AO$15-1)+1,"")</f>
        <v>41</v>
      </c>
      <c r="AQ23" s="6">
        <f t="shared" si="17"/>
        <v>2</v>
      </c>
      <c r="AR23" s="6">
        <f t="shared" si="18"/>
        <v>6</v>
      </c>
      <c r="AS23" s="6" t="str">
        <v>IVDSH_DID_REA_GPS_STS</v>
      </c>
      <c r="AV23" s="6" t="str">
        <f>"IVDSH_FQ_CH_REA_"&amp;COUNTIF(AW$22:AW23,"&gt;=0")-1</f>
        <v>IVDSH_FQ_CH_REA_1</v>
      </c>
      <c r="AW23" s="6">
        <f>IF(AW31="","",COUNTIF(AW$30:AW31,"&gt;0")-1)</f>
        <v>1</v>
      </c>
      <c r="AX23" s="31">
        <v>1</v>
      </c>
      <c r="BA23" s="12" t="s">
        <v>283</v>
      </c>
      <c r="BB23" s="11" t="str">
        <f>IF(AW29&lt;&gt;0,"&amp;st_sp_IVDSH_FQ_CH[IVDSH_FQ_CH_WRI]","vdp_PTR_NA")</f>
        <v>&amp;st_sp_IVDSH_FQ_CH[IVDSH_FQ_CH_WRI]</v>
      </c>
      <c r="BE23" s="11" t="str">
        <f t="shared" si="0"/>
        <v>#define IVDSH_DID_WRI_CPREQ_019                  (6U)</v>
      </c>
      <c r="BF23" s="11" t="str">
        <f t="shared" si="1"/>
        <v/>
      </c>
      <c r="BG23" s="11" t="str">
        <f t="shared" si="2"/>
        <v>#define IVDSH_DID_REA_CPREQ_018                  (27U)</v>
      </c>
      <c r="BH23" s="11" t="str">
        <f t="shared" si="3"/>
        <v/>
      </c>
      <c r="BI23" s="11" t="str">
        <f t="shared" si="4"/>
        <v>#define IVDSH_DID_REA_GPS_STS                    (41U)</v>
      </c>
      <c r="BJ23" s="11"/>
      <c r="BK23" s="11" t="str">
        <f t="shared" si="7"/>
        <v xml:space="preserve">    {(U2)6U,        (U2)1U,         (U2)IVDSH_FQ_CH_WRI  },     /* IVDSH_DID_WRI_CPREQ_019         */</v>
      </c>
      <c r="BL23" s="11" t="str">
        <f t="shared" si="8"/>
        <v/>
      </c>
      <c r="BM23" s="11" t="str">
        <f t="shared" si="9"/>
        <v xml:space="preserve">    {(U2)6U,        (U2)1U,         (U2)IVDSH_FQ_CH_REA_1},     /* IVDSH_DID_REA_CPREQ_018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20</v>
      </c>
      <c r="G24" s="6">
        <v>0</v>
      </c>
      <c r="H24" s="6" t="str">
        <v>T</v>
      </c>
      <c r="I24" s="6">
        <v>1</v>
      </c>
      <c r="J24" s="6">
        <f t="shared" si="19"/>
        <v>7</v>
      </c>
      <c r="K24" s="6" t="str">
        <v>IVDSH_DID_WRI_CPREQ_020</v>
      </c>
      <c r="R24" s="6" t="str">
        <f>IF(P24="R",MAX(R$17:R23,Q$15-1)+1,"")</f>
        <v/>
      </c>
      <c r="S24" s="6" t="str">
        <f t="shared" si="13"/>
        <v/>
      </c>
      <c r="T24" s="6" t="str">
        <f t="shared" si="14"/>
        <v/>
      </c>
      <c r="V24" s="6">
        <v>21</v>
      </c>
      <c r="W24" s="6">
        <v>0</v>
      </c>
      <c r="X24" s="6" t="str">
        <v>R</v>
      </c>
      <c r="Y24" s="6">
        <v>1</v>
      </c>
      <c r="Z24" s="6">
        <f>IF(X24="R",MAX(Z$17:Z23,Y$15-1)+1,"")</f>
        <v>28</v>
      </c>
      <c r="AA24" s="6">
        <f t="shared" si="15"/>
        <v>1</v>
      </c>
      <c r="AB24" s="6">
        <f t="shared" si="16"/>
        <v>7</v>
      </c>
      <c r="AC24" s="6" t="str">
        <v>IVDSH_DID_REA_CPREQ_021</v>
      </c>
      <c r="AD24" s="6">
        <v>20</v>
      </c>
      <c r="AE24" s="6">
        <v>0</v>
      </c>
      <c r="AF24" s="6" t="str">
        <v>T</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284</v>
      </c>
      <c r="BB24" s="11" t="str">
        <f>IF(AW21&lt;&gt;0,"&amp;st_sp_IVDSH_FQ_CH[IVDSH_FQ_CH_REA_0]","&amp;st_sp_IVDSH_FQ_CH[IVDSH_FQ_CH_WRI]")</f>
        <v>&amp;st_sp_IVDSH_FQ_CH[IVDSH_FQ_CH_REA_0]</v>
      </c>
      <c r="BE24" s="11" t="str">
        <f t="shared" si="0"/>
        <v>#define IVDSH_DID_WRI_CPREQ_020                  (7U)</v>
      </c>
      <c r="BF24" s="11" t="str">
        <f t="shared" si="1"/>
        <v/>
      </c>
      <c r="BG24" s="11" t="str">
        <f t="shared" si="2"/>
        <v>#define IVDSH_DID_REA_CPREQ_021                  (28U)</v>
      </c>
      <c r="BH24" s="11" t="str">
        <f t="shared" si="3"/>
        <v/>
      </c>
      <c r="BI24" s="11" t="str">
        <f t="shared" si="4"/>
        <v/>
      </c>
      <c r="BJ24" s="11"/>
      <c r="BK24" s="11" t="str">
        <f t="shared" si="7"/>
        <v xml:space="preserve">    {(U2)7U,        (U2)1U,         (U2)IVDSH_FQ_CH_WRI  },     /* IVDSH_DID_WRI_CPREQ_020         */</v>
      </c>
      <c r="BL24" s="11" t="str">
        <f t="shared" si="8"/>
        <v/>
      </c>
      <c r="BM24" s="11" t="str">
        <f t="shared" si="9"/>
        <v xml:space="preserve">    {(U2)7U,        (U2)1U,         (U2)IVDSH_FQ_CH_REA_1},     /* IVDSH_DID_REA_CPREQ_021         */</v>
      </c>
      <c r="BN24" s="11" t="str">
        <f t="shared" si="10"/>
        <v/>
      </c>
      <c r="BO24" s="11" t="str">
        <f t="shared" si="11"/>
        <v/>
      </c>
      <c r="BP24" s="11"/>
      <c r="BQ24" s="11"/>
      <c r="BR24" s="11" t="str">
        <f>IF(AW37="","","    {")</f>
        <v xml:space="preserve">    {</v>
      </c>
      <c r="BS24" s="11"/>
    </row>
    <row r="25" spans="5:71">
      <c r="E25" s="6">
        <f t="shared" si="12"/>
        <v>8</v>
      </c>
      <c r="F25" s="6">
        <v>24</v>
      </c>
      <c r="G25" s="6">
        <v>0</v>
      </c>
      <c r="H25" s="6" t="str">
        <v>T</v>
      </c>
      <c r="I25" s="6">
        <v>1</v>
      </c>
      <c r="J25" s="6">
        <f t="shared" si="19"/>
        <v>8</v>
      </c>
      <c r="K25" s="6" t="str">
        <v>IVDSH_DID_WRI_CPREQ_024</v>
      </c>
      <c r="R25" s="6" t="str">
        <f>IF(P25="R",MAX(R$17:R24,Q$15-1)+1,"")</f>
        <v/>
      </c>
      <c r="S25" s="6" t="str">
        <f t="shared" si="13"/>
        <v/>
      </c>
      <c r="T25" s="6" t="str">
        <f t="shared" si="14"/>
        <v/>
      </c>
      <c r="V25" s="6">
        <v>22</v>
      </c>
      <c r="W25" s="6">
        <v>0</v>
      </c>
      <c r="X25" s="6" t="str">
        <v>R</v>
      </c>
      <c r="Y25" s="6">
        <v>1</v>
      </c>
      <c r="Z25" s="6">
        <f>IF(X25="R",MAX(Z$17:Z24,Y$15-1)+1,"")</f>
        <v>29</v>
      </c>
      <c r="AA25" s="6">
        <f t="shared" si="15"/>
        <v>1</v>
      </c>
      <c r="AB25" s="6">
        <f t="shared" si="16"/>
        <v>8</v>
      </c>
      <c r="AC25" s="6" t="str">
        <v>IVDSH_DID_REA_CPREQ_022</v>
      </c>
      <c r="AD25" s="6">
        <v>24</v>
      </c>
      <c r="AE25" s="6">
        <v>0</v>
      </c>
      <c r="AF25" s="6" t="str">
        <v>T</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IVDSH_FQ_CH_REA_2</v>
      </c>
      <c r="AW25" s="6">
        <f>IF(AW33="","",COUNTIF(AW$30:AW33,"&gt;0")-1)</f>
        <v>2</v>
      </c>
      <c r="AX25" s="31">
        <v>3</v>
      </c>
      <c r="BA25" s="12" t="s">
        <v>285</v>
      </c>
      <c r="BB25" s="11" t="str">
        <f>B4</f>
        <v>"ehvm_cfg_pe2_vm0.h"</v>
      </c>
      <c r="BE25" s="11" t="str">
        <f t="shared" si="0"/>
        <v>#define IVDSH_DID_WRI_CPREQ_024                  (8U)</v>
      </c>
      <c r="BF25" s="11" t="str">
        <f t="shared" si="1"/>
        <v/>
      </c>
      <c r="BG25" s="11" t="str">
        <f t="shared" si="2"/>
        <v>#define IVDSH_DID_REA_CPREQ_022                  (29U)</v>
      </c>
      <c r="BH25" s="11" t="str">
        <f t="shared" si="3"/>
        <v/>
      </c>
      <c r="BI25" s="11" t="str">
        <f t="shared" si="4"/>
        <v/>
      </c>
      <c r="BJ25" s="11"/>
      <c r="BK25" s="11" t="str">
        <f t="shared" si="7"/>
        <v xml:space="preserve">    {(U2)8U,        (U2)1U,         (U2)IVDSH_FQ_CH_WRI  },     /* IVDSH_DID_WRI_CPREQ_024         */</v>
      </c>
      <c r="BL25" s="11" t="str">
        <f t="shared" si="8"/>
        <v/>
      </c>
      <c r="BM25" s="11" t="str">
        <f t="shared" si="9"/>
        <v xml:space="preserve">    {(U2)8U,        (U2)1U,         (U2)IVDSH_FQ_CH_REA_1},     /* IVDSH_DID_REA_CPREQ_022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VM2TO1_CAM_DIAP</v>
      </c>
      <c r="H26" s="6" t="str">
        <v>T</v>
      </c>
      <c r="I26" s="6">
        <v>1</v>
      </c>
      <c r="J26" s="6">
        <f t="shared" si="19"/>
        <v>9</v>
      </c>
      <c r="K26" s="6" t="str">
        <v>IVDSH_DID_WRI_VM2TO1_CAM_DIAP</v>
      </c>
      <c r="R26" s="6" t="str">
        <f>IF(P26="R",MAX(R$17:R25,Q$15-1)+1,"")</f>
        <v/>
      </c>
      <c r="S26" s="6" t="str">
        <f t="shared" si="13"/>
        <v/>
      </c>
      <c r="T26" s="6" t="str">
        <f t="shared" si="14"/>
        <v/>
      </c>
      <c r="V26" s="6">
        <v>23</v>
      </c>
      <c r="W26" s="6">
        <v>0</v>
      </c>
      <c r="X26" s="6" t="str">
        <v>-</v>
      </c>
      <c r="Y26" s="6">
        <v>1</v>
      </c>
      <c r="Z26" s="6" t="str">
        <f>IF(X26="R",MAX(Z$17:Z25,Y$15-1)+1,"")</f>
        <v/>
      </c>
      <c r="AA26" s="6">
        <f t="shared" si="15"/>
        <v>1</v>
      </c>
      <c r="AB26" s="6">
        <f t="shared" si="16"/>
        <v>9</v>
      </c>
      <c r="AC26" s="6" t="str">
        <v>IVDSH_DID_REA_CPREQ_023</v>
      </c>
      <c r="AD26" s="6">
        <v>25</v>
      </c>
      <c r="AE26" s="6" t="str">
        <v>VM2TO1_CAM_DIAP</v>
      </c>
      <c r="AF26" s="6" t="str">
        <v>T</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286</v>
      </c>
      <c r="AW26" s="6">
        <f>IF(AW29=0,"",COUNTIF(AW$29:AW33,"&gt;0")-1)</f>
        <v>3</v>
      </c>
      <c r="BA26" s="12"/>
      <c r="BE26" s="11" t="str">
        <f t="shared" si="0"/>
        <v>#define IVDSH_DID_WRI_VM2TO1_CAM_DIAP            (9U)</v>
      </c>
      <c r="BF26" s="11" t="str">
        <f t="shared" si="1"/>
        <v/>
      </c>
      <c r="BG26" s="11" t="str">
        <f t="shared" si="2"/>
        <v/>
      </c>
      <c r="BH26" s="11" t="str">
        <f t="shared" si="3"/>
        <v/>
      </c>
      <c r="BI26" s="11" t="str">
        <f t="shared" si="4"/>
        <v/>
      </c>
      <c r="BJ26" s="11"/>
      <c r="BK26" s="11" t="str">
        <f t="shared" si="7"/>
        <v xml:space="preserve">    {(U2)9U,        (U2)1U,         (U2)IVDSH_FQ_CH_WRI  },     /* IVDSH_DID_WRI_VM2TO1_CAM_DIAP   */</v>
      </c>
      <c r="BL26" s="11" t="str">
        <f t="shared" si="8"/>
        <v/>
      </c>
      <c r="BM26" s="11" t="str">
        <f t="shared" si="9"/>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27</v>
      </c>
      <c r="G27" s="6">
        <v>0</v>
      </c>
      <c r="H27" s="6" t="str">
        <v>T</v>
      </c>
      <c r="I27" s="6">
        <v>1</v>
      </c>
      <c r="J27" s="6">
        <f t="shared" si="19"/>
        <v>10</v>
      </c>
      <c r="K27" s="6" t="str">
        <v>IVDSH_DID_WRI_CPREQ_027</v>
      </c>
      <c r="R27" s="6" t="str">
        <f>IF(P27="R",MAX(R$17:R26,Q$15-1)+1,"")</f>
        <v/>
      </c>
      <c r="S27" s="6" t="str">
        <f t="shared" si="13"/>
        <v/>
      </c>
      <c r="T27" s="6" t="str">
        <f t="shared" si="14"/>
        <v/>
      </c>
      <c r="V27" s="6">
        <v>26</v>
      </c>
      <c r="W27" s="6" t="str">
        <v>VM1TO2_CAM_DIAP</v>
      </c>
      <c r="X27" s="6" t="str">
        <v>R</v>
      </c>
      <c r="Y27" s="6">
        <v>1</v>
      </c>
      <c r="Z27" s="6">
        <f>IF(X27="R",MAX(Z$17:Z26,Y$15-1)+1,"")</f>
        <v>30</v>
      </c>
      <c r="AA27" s="6">
        <f t="shared" si="15"/>
        <v>1</v>
      </c>
      <c r="AB27" s="6">
        <f t="shared" si="16"/>
        <v>10</v>
      </c>
      <c r="AC27" s="6" t="str">
        <v>IVDSH_DID_REA_VM1TO2_CAM_DIAP</v>
      </c>
      <c r="AD27" s="6">
        <v>27</v>
      </c>
      <c r="AE27" s="6">
        <v>0</v>
      </c>
      <c r="AF27" s="6" t="str">
        <v>T</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#define IVDSH_DID_WRI_CPREQ_027                  (10U)</v>
      </c>
      <c r="BF27" s="11" t="str">
        <f t="shared" si="1"/>
        <v/>
      </c>
      <c r="BG27" s="11" t="str">
        <f t="shared" si="2"/>
        <v>#define IVDSH_DID_REA_VM1TO2_CAM_DIAP            (30U)</v>
      </c>
      <c r="BH27" s="11" t="str">
        <f t="shared" si="3"/>
        <v/>
      </c>
      <c r="BI27" s="11" t="str">
        <f t="shared" si="4"/>
        <v/>
      </c>
      <c r="BJ27" s="11"/>
      <c r="BK27" s="11" t="str">
        <f t="shared" si="7"/>
        <v xml:space="preserve">    {(U2)10U,       (U2)1U,         (U2)IVDSH_FQ_CH_WRI  },     /* IVDSH_DID_WRI_CPREQ_027         */</v>
      </c>
      <c r="BL27" s="11" t="str">
        <f t="shared" si="8"/>
        <v/>
      </c>
      <c r="BM27" s="11" t="str">
        <f t="shared" si="9"/>
        <v xml:space="preserve">    {(U2)10U,       (U2)1U,         (U2)IVDSH_FQ_CH_REA_1},     /* IVDSH_DID_REA_VM1TO2_CAM_DIAP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42</v>
      </c>
      <c r="G28" s="6" t="str">
        <v>VM2TO3_WHLINI_REQ</v>
      </c>
      <c r="H28" s="6" t="str">
        <v>T</v>
      </c>
      <c r="I28" s="6">
        <v>1</v>
      </c>
      <c r="J28" s="6">
        <f t="shared" si="19"/>
        <v>11</v>
      </c>
      <c r="K28" s="6" t="str">
        <v>IVDSH_DID_WRI_VM2TO3_WHLINI_REQ</v>
      </c>
      <c r="R28" s="6" t="str">
        <f>IF(P28="R",MAX(R$17:R27,Q$15-1)+1,"")</f>
        <v/>
      </c>
      <c r="S28" s="6" t="str">
        <f t="shared" si="13"/>
        <v/>
      </c>
      <c r="T28" s="6" t="str">
        <f t="shared" si="14"/>
        <v/>
      </c>
      <c r="V28" s="6">
        <v>28</v>
      </c>
      <c r="W28" s="6">
        <v>0</v>
      </c>
      <c r="X28" s="6" t="str">
        <v>R</v>
      </c>
      <c r="Y28" s="6">
        <v>1</v>
      </c>
      <c r="Z28" s="6">
        <f>IF(X28="R",MAX(Z$17:Z27,Y$15-1)+1,"")</f>
        <v>31</v>
      </c>
      <c r="AA28" s="6">
        <f t="shared" si="15"/>
        <v>1</v>
      </c>
      <c r="AB28" s="6">
        <f t="shared" si="16"/>
        <v>11</v>
      </c>
      <c r="AC28" s="6" t="str">
        <v>IVDSH_DID_REA_CPREQ_028</v>
      </c>
      <c r="AD28" s="6">
        <v>42</v>
      </c>
      <c r="AE28" s="6" t="str">
        <v>VM2TO3_WHLINI_REQ</v>
      </c>
      <c r="AF28" s="6" t="str">
        <v>T</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287</v>
      </c>
      <c r="AW28" s="6">
        <f>AW29+SUM(AW30:AW33)*2</f>
        <v>74</v>
      </c>
      <c r="BA28" s="12"/>
      <c r="BE28" s="11" t="str">
        <f t="shared" si="0"/>
        <v>#define IVDSH_DID_WRI_VM2TO3_WHLINI_REQ          (11U)</v>
      </c>
      <c r="BF28" s="11" t="str">
        <f t="shared" si="1"/>
        <v/>
      </c>
      <c r="BG28" s="11" t="str">
        <f t="shared" si="2"/>
        <v>#define IVDSH_DID_REA_CPREQ_028                  (31U)</v>
      </c>
      <c r="BH28" s="11" t="str">
        <f t="shared" si="3"/>
        <v/>
      </c>
      <c r="BI28" s="11" t="str">
        <f t="shared" si="4"/>
        <v/>
      </c>
      <c r="BJ28" s="11"/>
      <c r="BK28" s="11" t="str">
        <f t="shared" si="7"/>
        <v xml:space="preserve">    {(U2)11U,       (U2)1U,         (U2)IVDSH_FQ_CH_WRI  },     /* IVDSH_DID_WRI_VM2TO3_WHLINI_REQ */</v>
      </c>
      <c r="BL28" s="11" t="str">
        <f t="shared" si="8"/>
        <v/>
      </c>
      <c r="BM28" s="11" t="str">
        <f t="shared" si="9"/>
        <v xml:space="preserve">    {(U2)11U,       (U2)1U,         (U2)IVDSH_FQ_CH_REA_1},     /* IVDSH_DID_REA_CPREQ_028         */</v>
      </c>
      <c r="BN28" s="11" t="str">
        <f t="shared" si="10"/>
        <v/>
      </c>
      <c r="BO28" s="11" t="str">
        <f t="shared" si="11"/>
        <v/>
      </c>
      <c r="BP28" s="11"/>
      <c r="BQ28" s="11"/>
      <c r="BR28" s="11" t="str" cm="1">
        <f t="array" ref="BR28">IF(AW37="","","        (U2)"&amp;INDEX(B6:B9,AX37+1)&amp;"                       /* u2_fq_ch */")</f>
        <v xml:space="preserve">        (U2)EHVM_RX_VCCID_VCC_SHARED_TX_VM1                       /* u2_fq_ch */</v>
      </c>
      <c r="BS28" s="11"/>
    </row>
    <row r="29" spans="5:71">
      <c r="E29" s="6">
        <f t="shared" si="12"/>
        <v>12</v>
      </c>
      <c r="F29" s="6">
        <v>46</v>
      </c>
      <c r="G29" s="6">
        <v>0</v>
      </c>
      <c r="H29" s="6" t="str">
        <v>T</v>
      </c>
      <c r="I29" s="6">
        <v>1</v>
      </c>
      <c r="J29" s="6">
        <f t="shared" si="19"/>
        <v>12</v>
      </c>
      <c r="K29" s="6" t="str">
        <v>IVDSH_DID_WRI_CPREQ_046</v>
      </c>
      <c r="R29" s="6" t="str">
        <f>IF(P29="R",MAX(R$17:R28,Q$15-1)+1,"")</f>
        <v/>
      </c>
      <c r="S29" s="6" t="str">
        <f t="shared" si="13"/>
        <v/>
      </c>
      <c r="T29" s="6" t="str">
        <f t="shared" si="14"/>
        <v/>
      </c>
      <c r="V29" s="6">
        <v>41</v>
      </c>
      <c r="W29" s="6" t="str">
        <v>VM1TO2_FLYNOP</v>
      </c>
      <c r="X29" s="6" t="str">
        <v>R</v>
      </c>
      <c r="Y29" s="6">
        <v>1</v>
      </c>
      <c r="Z29" s="6">
        <f>IF(X29="R",MAX(Z$17:Z28,Y$15-1)+1,"")</f>
        <v>32</v>
      </c>
      <c r="AA29" s="6">
        <f t="shared" si="15"/>
        <v>1</v>
      </c>
      <c r="AB29" s="6">
        <f t="shared" si="16"/>
        <v>12</v>
      </c>
      <c r="AC29" s="6" t="str">
        <v>IVDSH_DID_REA_VM1TO2_FLYNOP</v>
      </c>
      <c r="AD29" s="6">
        <v>46</v>
      </c>
      <c r="AE29" s="6">
        <v>0</v>
      </c>
      <c r="AF29" s="6" t="str">
        <v>T</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288</v>
      </c>
      <c r="AW29" s="6">
        <f>SUM(I$17:I529)</f>
        <v>16</v>
      </c>
      <c r="AX29" s="30" t="s">
        <v>280</v>
      </c>
      <c r="BA29" s="12"/>
      <c r="BE29" s="11" t="str">
        <f t="shared" si="0"/>
        <v>#define IVDSH_DID_WRI_CPREQ_046                  (12U)</v>
      </c>
      <c r="BF29" s="11" t="str">
        <f t="shared" si="1"/>
        <v/>
      </c>
      <c r="BG29" s="11" t="str">
        <f t="shared" si="2"/>
        <v>#define IVDSH_DID_REA_VM1TO2_FLYNOP              (32U)</v>
      </c>
      <c r="BH29" s="11" t="str">
        <f t="shared" si="3"/>
        <v/>
      </c>
      <c r="BI29" s="11" t="str">
        <f t="shared" si="4"/>
        <v/>
      </c>
      <c r="BJ29" s="11"/>
      <c r="BK29" s="11" t="str">
        <f t="shared" si="7"/>
        <v xml:space="preserve">    {(U2)12U,       (U2)1U,         (U2)IVDSH_FQ_CH_WRI  },     /* IVDSH_DID_WRI_CPREQ_046         */</v>
      </c>
      <c r="BL29" s="11" t="str">
        <f t="shared" si="8"/>
        <v/>
      </c>
      <c r="BM29" s="11" t="str">
        <f t="shared" si="9"/>
        <v xml:space="preserve">    {(U2)12U,       (U2)1U,         (U2)IVDSH_FQ_CH_REA_1},     /* IVDSH_DID_REA_VM1TO2_FLYNOP     */</v>
      </c>
      <c r="BN29" s="11" t="str">
        <f t="shared" si="10"/>
        <v/>
      </c>
      <c r="BO29" s="11" t="str">
        <f t="shared" si="11"/>
        <v/>
      </c>
      <c r="BP29" s="11"/>
      <c r="BQ29" s="11"/>
      <c r="BR29" s="28" t="str">
        <f>IF(AW37="","","    },")</f>
        <v xml:space="preserve">    },</v>
      </c>
      <c r="BS29" s="11"/>
    </row>
    <row r="30" spans="5:71">
      <c r="E30" s="6">
        <f t="shared" si="12"/>
        <v>13</v>
      </c>
      <c r="F30" s="6">
        <v>47</v>
      </c>
      <c r="G30" s="6">
        <v>0</v>
      </c>
      <c r="H30" s="6" t="str">
        <v>T</v>
      </c>
      <c r="I30" s="6">
        <v>1</v>
      </c>
      <c r="J30" s="6">
        <f t="shared" si="19"/>
        <v>13</v>
      </c>
      <c r="K30" s="6" t="str">
        <v>IVDSH_DID_WRI_CPREQ_047</v>
      </c>
      <c r="R30" s="6" t="str">
        <f>IF(P30="R",MAX(R$17:R29,Q$15-1)+1,"")</f>
        <v/>
      </c>
      <c r="S30" s="6" t="str">
        <f t="shared" si="13"/>
        <v/>
      </c>
      <c r="T30" s="6" t="str">
        <f t="shared" si="14"/>
        <v/>
      </c>
      <c r="V30" s="6">
        <v>44</v>
      </c>
      <c r="W30" s="6">
        <v>0</v>
      </c>
      <c r="X30" s="6" t="str">
        <v>R</v>
      </c>
      <c r="Y30" s="6">
        <v>1</v>
      </c>
      <c r="Z30" s="6">
        <f>IF(X30="R",MAX(Z$17:Z29,Y$15-1)+1,"")</f>
        <v>33</v>
      </c>
      <c r="AA30" s="6">
        <f t="shared" si="15"/>
        <v>1</v>
      </c>
      <c r="AB30" s="6">
        <f t="shared" si="16"/>
        <v>13</v>
      </c>
      <c r="AC30" s="6" t="str">
        <v>IVDSH_DID_REA_CPREQ_044</v>
      </c>
      <c r="AD30" s="6">
        <v>47</v>
      </c>
      <c r="AE30" s="6">
        <v>0</v>
      </c>
      <c r="AF30" s="6" t="str">
        <v>T</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IVDSH_WA_NWORD_REA_0</v>
      </c>
      <c r="AW30" s="6">
        <f>IF(R15&lt;&gt;0,SUM(Q$17:Q529),"")</f>
        <v>6</v>
      </c>
      <c r="AX30" s="31">
        <v>0</v>
      </c>
      <c r="BE30" s="11" t="str">
        <f t="shared" si="0"/>
        <v>#define IVDSH_DID_WRI_CPREQ_047                  (13U)</v>
      </c>
      <c r="BF30" s="11" t="str">
        <f t="shared" si="1"/>
        <v/>
      </c>
      <c r="BG30" s="11" t="str">
        <f t="shared" si="2"/>
        <v>#define IVDSH_DID_REA_CPREQ_044                  (33U)</v>
      </c>
      <c r="BH30" s="11" t="str">
        <f t="shared" si="3"/>
        <v/>
      </c>
      <c r="BI30" s="11" t="str">
        <f t="shared" si="4"/>
        <v/>
      </c>
      <c r="BJ30" s="11"/>
      <c r="BK30" s="11" t="str">
        <f t="shared" si="7"/>
        <v xml:space="preserve">    {(U2)13U,       (U2)1U,         (U2)IVDSH_FQ_CH_WRI  },     /* IVDSH_DID_WRI_CPREQ_047         */</v>
      </c>
      <c r="BL30" s="11" t="str">
        <f t="shared" si="8"/>
        <v/>
      </c>
      <c r="BM30" s="11" t="str">
        <f t="shared" si="9"/>
        <v xml:space="preserve">    {(U2)13U,       (U2)1U,         (U2)IVDSH_FQ_CH_REA_1},     /* IVDSH_DID_REA_CPREQ_044         */</v>
      </c>
      <c r="BN30" s="11" t="str">
        <f t="shared" si="10"/>
        <v/>
      </c>
      <c r="BO30" s="11" t="str">
        <f t="shared" si="11"/>
        <v/>
      </c>
      <c r="BP30" s="11"/>
      <c r="BQ30" s="11"/>
      <c r="BR30" s="11" t="str">
        <f>IF(AW38="","","    /* IVDSH_FQ_CH_REA_2 */")</f>
        <v xml:space="preserve">    /* IVDSH_FQ_CH_REA_2 */</v>
      </c>
      <c r="BS30" s="11"/>
    </row>
    <row r="31" spans="5:71">
      <c r="E31" s="6">
        <f t="shared" si="12"/>
        <v>14</v>
      </c>
      <c r="F31" s="6">
        <v>51</v>
      </c>
      <c r="G31" s="6" t="str">
        <v>GPS_REQ</v>
      </c>
      <c r="H31" s="6" t="str">
        <v>T</v>
      </c>
      <c r="I31" s="6">
        <v>1</v>
      </c>
      <c r="J31" s="6">
        <f t="shared" si="19"/>
        <v>14</v>
      </c>
      <c r="K31" s="6" t="str">
        <v>IVDSH_DID_WRI_GPS_REQ</v>
      </c>
      <c r="R31" s="6" t="str">
        <f>IF(P31="R",MAX(R$17:R30,Q$15-1)+1,"")</f>
        <v/>
      </c>
      <c r="S31" s="6" t="str">
        <f t="shared" si="13"/>
        <v/>
      </c>
      <c r="T31" s="6" t="str">
        <f t="shared" si="14"/>
        <v/>
      </c>
      <c r="V31" s="6">
        <v>53</v>
      </c>
      <c r="W31" s="6" t="str">
        <v>VM1TO2_WHLINI_RES</v>
      </c>
      <c r="X31" s="6" t="str">
        <v>R</v>
      </c>
      <c r="Y31" s="6">
        <v>1</v>
      </c>
      <c r="Z31" s="6">
        <f>IF(X31="R",MAX(Z$17:Z30,Y$15-1)+1,"")</f>
        <v>34</v>
      </c>
      <c r="AA31" s="6">
        <f t="shared" si="15"/>
        <v>1</v>
      </c>
      <c r="AB31" s="6">
        <f t="shared" si="16"/>
        <v>14</v>
      </c>
      <c r="AC31" s="6" t="str">
        <v>IVDSH_DID_REA_VM1TO2_WHLINI_RES</v>
      </c>
      <c r="AD31" s="6">
        <v>51</v>
      </c>
      <c r="AE31" s="6" t="str">
        <v>GPS_REQ</v>
      </c>
      <c r="AF31" s="6" t="str">
        <v>T</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f>IF(Z15&lt;&gt;0,SUM(Y$17:Y529),"")</f>
        <v>16</v>
      </c>
      <c r="AX31" s="31">
        <v>1</v>
      </c>
      <c r="BE31" s="11" t="str">
        <f t="shared" si="0"/>
        <v>#define IVDSH_DID_WRI_GPS_REQ                    (14U)</v>
      </c>
      <c r="BF31" s="11" t="str">
        <f t="shared" si="1"/>
        <v/>
      </c>
      <c r="BG31" s="11" t="str">
        <f t="shared" si="2"/>
        <v>#define IVDSH_DID_REA_VM1TO2_WHLINI_RES          (34U)</v>
      </c>
      <c r="BH31" s="11" t="str">
        <f t="shared" si="3"/>
        <v/>
      </c>
      <c r="BI31" s="11" t="str">
        <f t="shared" si="4"/>
        <v/>
      </c>
      <c r="BJ31" s="11"/>
      <c r="BK31" s="11" t="str">
        <f t="shared" si="7"/>
        <v xml:space="preserve">    {(U2)14U,       (U2)1U,         (U2)IVDSH_FQ_CH_WRI  },     /* IVDSH_DID_WRI_GPS_REQ           */</v>
      </c>
      <c r="BL31" s="11" t="str">
        <f t="shared" si="8"/>
        <v/>
      </c>
      <c r="BM31" s="11" t="str">
        <f t="shared" si="9"/>
        <v xml:space="preserve">    {(U2)14U,       (U2)1U,         (U2)IVDSH_FQ_CH_REA_1},     /* IVDSH_DID_REA_VM1TO2_WHLINI_RES */</v>
      </c>
      <c r="BN31" s="11" t="str">
        <f t="shared" si="10"/>
        <v/>
      </c>
      <c r="BO31" s="11" t="str">
        <f t="shared" si="11"/>
        <v/>
      </c>
      <c r="BP31" s="11"/>
      <c r="BQ31" s="11"/>
      <c r="BR31" s="11" t="str">
        <f>IF(AW38="","","    {")</f>
        <v xml:space="preserve">    {</v>
      </c>
      <c r="BS31" s="11"/>
    </row>
    <row r="32" spans="5:71">
      <c r="E32" s="6">
        <f t="shared" si="12"/>
        <v>15</v>
      </c>
      <c r="F32" s="6">
        <v>52</v>
      </c>
      <c r="G32" s="6" t="str">
        <v>VM2TO1_WHLINI_REQ</v>
      </c>
      <c r="H32" s="6" t="str">
        <v>T</v>
      </c>
      <c r="I32" s="6">
        <v>1</v>
      </c>
      <c r="J32" s="6">
        <f t="shared" si="19"/>
        <v>15</v>
      </c>
      <c r="K32" s="6" t="str">
        <v>IVDSH_DID_WRI_VM2TO1_WHLINI_REQ</v>
      </c>
      <c r="R32" s="6" t="str">
        <f>IF(P32="R",MAX(R$17:R31,Q$15-1)+1,"")</f>
        <v/>
      </c>
      <c r="S32" s="6" t="str">
        <f t="shared" si="13"/>
        <v/>
      </c>
      <c r="T32" s="6" t="str">
        <f t="shared" si="14"/>
        <v/>
      </c>
      <c r="V32" s="6">
        <v>54</v>
      </c>
      <c r="W32" s="6" t="str">
        <v>VM1TO3_WHLINI_INF</v>
      </c>
      <c r="X32" s="6" t="str">
        <v>-</v>
      </c>
      <c r="Y32" s="6">
        <v>1</v>
      </c>
      <c r="Z32" s="6" t="str">
        <f>IF(X32="R",MAX(Z$17:Z31,Y$15-1)+1,"")</f>
        <v/>
      </c>
      <c r="AA32" s="6">
        <f t="shared" si="15"/>
        <v>1</v>
      </c>
      <c r="AB32" s="6">
        <f t="shared" si="16"/>
        <v>15</v>
      </c>
      <c r="AC32" s="6" t="str">
        <v>IVDSH_DID_REA_VM1TO3_WHLINI_INF</v>
      </c>
      <c r="AD32" s="6">
        <v>52</v>
      </c>
      <c r="AE32" s="6" t="str">
        <v>VM2TO1_WHLINI_REQ</v>
      </c>
      <c r="AF32" s="6" t="str">
        <v>T</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IVDSH_DID_WRI_VM2TO1_WHLINI_REQ          (15U)</v>
      </c>
      <c r="BF32" s="11" t="str">
        <f t="shared" si="1"/>
        <v/>
      </c>
      <c r="BG32" s="11" t="str">
        <f t="shared" si="2"/>
        <v/>
      </c>
      <c r="BH32" s="11" t="str">
        <f t="shared" si="3"/>
        <v/>
      </c>
      <c r="BI32" s="11" t="str">
        <f t="shared" si="4"/>
        <v/>
      </c>
      <c r="BJ32" s="11"/>
      <c r="BK32" s="11" t="str">
        <f t="shared" si="7"/>
        <v xml:space="preserve">    {(U2)15U,       (U2)1U,         (U2)IVDSH_FQ_CH_WRI  },     /* IVDSH_DID_WRI_VM2TO1_WHLINI_REQ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IVDSH_WA_NWORD_REA_2</v>
      </c>
      <c r="AW33" s="6">
        <f>IF(AP15&lt;&gt;0,SUM(AO$17:AO529),"")</f>
        <v>7</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290</v>
      </c>
      <c r="AW36" s="6">
        <f>IFERROR(INDEX(AW$22:AW$25,MATCH(AV36,AV$22:AV$25,0)),"")</f>
        <v>0</v>
      </c>
      <c r="AX36" s="6">
        <f>IFERROR(INDEX(AX$22:AX$25,MATCH(AV36,AV$22:AV$25,0)),"")</f>
        <v>0</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291</v>
      </c>
      <c r="AW37" s="6">
        <f>IFERROR(INDEX(AW$22:AW$25,MATCH(AV37,AV$22:AV$25,0)),"")</f>
        <v>1</v>
      </c>
      <c r="AX37" s="6">
        <f>IFERROR(INDEX(AX$22:AX$25,MATCH(AV37,AV$22:AV$25,0)),"")</f>
        <v>1</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292</v>
      </c>
      <c r="AW38" s="6">
        <f>IFERROR(INDEX(AW$22:AW$25,MATCH(AV38,AV$22:AV$25,0)),"")</f>
        <v>2</v>
      </c>
      <c r="AX38" s="6">
        <f>IFERROR(INDEX(AX$22:AX$25,MATCH(AV38,AV$22:AV$25,0)),"")</f>
        <v>3</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209</v>
      </c>
      <c r="K1" s="1" t="s">
        <v>210</v>
      </c>
      <c r="L1" s="4"/>
      <c r="N1" s="1" t="s">
        <v>103</v>
      </c>
      <c r="U1" s="1" t="s">
        <v>211</v>
      </c>
      <c r="V1" s="1" t="s">
        <v>104</v>
      </c>
      <c r="AC1" s="2" t="str">
        <f>U1</f>
        <v>IVDSH_DID_REA_</v>
      </c>
      <c r="AD1" s="1" t="s">
        <v>105</v>
      </c>
      <c r="AK1" s="2" t="str">
        <f>AC1</f>
        <v>IVDSH_DID_REA_</v>
      </c>
      <c r="AL1" s="1" t="s">
        <v>106</v>
      </c>
      <c r="AS1" s="2" t="str">
        <f>AK1</f>
        <v>IVDSH_DID_REA_</v>
      </c>
      <c r="AU1" s="5"/>
      <c r="AY1" s="4"/>
    </row>
    <row r="2" spans="1:84" ht="21">
      <c r="A2" s="22" t="s">
        <v>212</v>
      </c>
      <c r="E2" s="22" t="s">
        <v>213</v>
      </c>
      <c r="N2" s="22" t="s">
        <v>214</v>
      </c>
      <c r="O2" s="22"/>
      <c r="AV2" s="22" t="s">
        <v>215</v>
      </c>
      <c r="AY2" s="23"/>
      <c r="AZ2" s="13"/>
      <c r="BA2" s="22" t="s">
        <v>216</v>
      </c>
      <c r="BD2" s="13"/>
    </row>
    <row r="3" spans="1:84">
      <c r="A3" s="6" t="s">
        <v>217</v>
      </c>
      <c r="B3" s="1" t="s">
        <v>106</v>
      </c>
      <c r="N3" s="21" t="s">
        <v>218</v>
      </c>
      <c r="O3" s="21"/>
      <c r="BA3" s="21" t="s">
        <v>219</v>
      </c>
      <c r="BE3" s="21" t="s">
        <v>220</v>
      </c>
    </row>
    <row r="4" spans="1:84">
      <c r="A4" s="6" t="s">
        <v>221</v>
      </c>
      <c r="B4" s="1" t="s">
        <v>302</v>
      </c>
      <c r="AY4" s="23"/>
      <c r="AZ4" s="13"/>
      <c r="BD4" s="13"/>
    </row>
    <row r="5" spans="1:84">
      <c r="A5" s="6" t="s">
        <v>223</v>
      </c>
      <c r="B5" s="1" t="s">
        <v>303</v>
      </c>
      <c r="AY5" s="23"/>
      <c r="AZ5" s="13"/>
      <c r="BD5" s="13"/>
    </row>
    <row r="6" spans="1:84">
      <c r="A6" s="6" t="s">
        <v>225</v>
      </c>
      <c r="B6" s="1" t="s">
        <v>226</v>
      </c>
      <c r="AY6" s="23"/>
      <c r="AZ6" s="13"/>
      <c r="BD6" s="13"/>
    </row>
    <row r="7" spans="1:84">
      <c r="A7" s="6" t="s">
        <v>227</v>
      </c>
      <c r="B7" s="1" t="s">
        <v>228</v>
      </c>
      <c r="AY7" s="23"/>
      <c r="AZ7" s="13"/>
      <c r="BD7" s="13"/>
    </row>
    <row r="8" spans="1:84">
      <c r="A8" s="6" t="s">
        <v>229</v>
      </c>
      <c r="B8" s="1" t="s">
        <v>230</v>
      </c>
    </row>
    <row r="9" spans="1:84">
      <c r="A9" s="6" t="s">
        <v>231</v>
      </c>
      <c r="B9" s="1" t="s">
        <v>232</v>
      </c>
      <c r="BJ9" s="29" t="s">
        <v>233</v>
      </c>
      <c r="BR9" s="29" t="s">
        <v>234</v>
      </c>
      <c r="BS9" s="29" t="s">
        <v>235</v>
      </c>
    </row>
    <row r="10" spans="1:84">
      <c r="BE10" s="6" t="s">
        <v>236</v>
      </c>
      <c r="BJ10" s="6" t="s">
        <v>237</v>
      </c>
      <c r="BR10" s="29" t="s">
        <v>238</v>
      </c>
      <c r="BS10" s="29" t="s">
        <v>238</v>
      </c>
    </row>
    <row r="11" spans="1:84">
      <c r="AY11" s="23"/>
      <c r="AZ11" s="13"/>
      <c r="BD11" s="13"/>
      <c r="BE11" s="6" t="s">
        <v>239</v>
      </c>
      <c r="BF11" s="6" t="s">
        <v>240</v>
      </c>
      <c r="BG11" s="6" t="s">
        <v>241</v>
      </c>
      <c r="BH11" s="6" t="s">
        <v>242</v>
      </c>
      <c r="BI11" s="6" t="s">
        <v>243</v>
      </c>
      <c r="BJ11" s="6" t="s">
        <v>244</v>
      </c>
      <c r="BK11" s="6" t="s">
        <v>245</v>
      </c>
      <c r="BL11" s="6" t="s">
        <v>246</v>
      </c>
      <c r="BM11" s="6" t="s">
        <v>247</v>
      </c>
      <c r="BN11" s="6" t="s">
        <v>248</v>
      </c>
      <c r="BO11" s="6" t="s">
        <v>249</v>
      </c>
      <c r="BP11" s="6" t="s">
        <v>250</v>
      </c>
      <c r="BQ11" s="6" t="s">
        <v>251</v>
      </c>
      <c r="BR11" s="6" t="s">
        <v>252</v>
      </c>
      <c r="BS11" s="6" t="s">
        <v>253</v>
      </c>
    </row>
    <row r="12" spans="1:84">
      <c r="BD12" s="26" t="s">
        <v>254</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254</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255</v>
      </c>
      <c r="G14" s="6" t="s">
        <v>256</v>
      </c>
      <c r="J14" s="6" t="s">
        <v>257</v>
      </c>
      <c r="O14" s="6" t="s">
        <v>256</v>
      </c>
      <c r="Q14" s="6" t="s">
        <v>258</v>
      </c>
      <c r="R14" s="6" t="s">
        <v>255</v>
      </c>
      <c r="S14" s="6" t="s">
        <v>259</v>
      </c>
      <c r="T14" s="6" t="s">
        <v>257</v>
      </c>
      <c r="U14" s="6" t="s">
        <v>260</v>
      </c>
      <c r="W14" s="6" t="s">
        <v>256</v>
      </c>
      <c r="Y14" s="6" t="s">
        <v>258</v>
      </c>
      <c r="Z14" s="6" t="s">
        <v>255</v>
      </c>
      <c r="AA14" s="6" t="s">
        <v>259</v>
      </c>
      <c r="AB14" s="6" t="s">
        <v>257</v>
      </c>
      <c r="AC14" s="6" t="s">
        <v>260</v>
      </c>
      <c r="AE14" s="6" t="s">
        <v>256</v>
      </c>
      <c r="AG14" s="6" t="s">
        <v>258</v>
      </c>
      <c r="AH14" s="6" t="s">
        <v>255</v>
      </c>
      <c r="AI14" s="6" t="s">
        <v>259</v>
      </c>
      <c r="AJ14" s="6" t="s">
        <v>257</v>
      </c>
      <c r="AK14" s="6" t="s">
        <v>260</v>
      </c>
      <c r="AM14" s="6" t="s">
        <v>256</v>
      </c>
      <c r="AO14" s="6" t="s">
        <v>258</v>
      </c>
      <c r="AP14" s="6" t="s">
        <v>255</v>
      </c>
      <c r="AQ14" s="6" t="s">
        <v>259</v>
      </c>
      <c r="AR14" s="6" t="s">
        <v>257</v>
      </c>
      <c r="AS14" s="6" t="s">
        <v>260</v>
      </c>
      <c r="BD14" s="26" t="s">
        <v>254</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7</v>
      </c>
      <c r="G15" s="6" t="s">
        <v>261</v>
      </c>
      <c r="J15" s="14">
        <v>0</v>
      </c>
      <c r="N15" s="9" t="str">
        <f>N1</f>
        <v>VM#0</v>
      </c>
      <c r="O15" s="6" t="s">
        <v>261</v>
      </c>
      <c r="Q15" s="6">
        <f>F15</f>
        <v>7</v>
      </c>
      <c r="R15" s="6">
        <f>COUNTIF(P17:P529,"R")</f>
        <v>0</v>
      </c>
      <c r="S15" s="6">
        <f>COUNTIF(R$15,"&lt;&gt;0")</f>
        <v>0</v>
      </c>
      <c r="T15" s="14">
        <v>0</v>
      </c>
      <c r="U15" s="6">
        <f>COUNTA(U$17:U529)</f>
        <v>6</v>
      </c>
      <c r="V15" s="9" t="str">
        <f>V1</f>
        <v>VM#1(MET)</v>
      </c>
      <c r="W15" s="6" t="str">
        <f>O15</f>
        <v>CPREQ_</v>
      </c>
      <c r="Y15" s="6">
        <f>Q15+R15</f>
        <v>7</v>
      </c>
      <c r="Z15" s="6">
        <f>COUNTIF(X17:X529,"R")</f>
        <v>4</v>
      </c>
      <c r="AA15" s="6">
        <f>S15+COUNTIF(Z$15,"&lt;&gt;0")</f>
        <v>1</v>
      </c>
      <c r="AB15" s="14">
        <v>0</v>
      </c>
      <c r="AC15" s="6">
        <f>COUNTA(AC$17:AC529)</f>
        <v>16</v>
      </c>
      <c r="AD15" s="9" t="str">
        <f>AD1</f>
        <v>VM#2(IVI)</v>
      </c>
      <c r="AE15" s="6" t="str">
        <f>W15</f>
        <v>CPREQ_</v>
      </c>
      <c r="AG15" s="6">
        <f>Y15+Z15</f>
        <v>11</v>
      </c>
      <c r="AH15" s="6">
        <f>COUNTIF(AF17:AF529,"R")</f>
        <v>6</v>
      </c>
      <c r="AI15" s="6">
        <f>AA15+COUNTIF(AH$15,"&lt;&gt;0")</f>
        <v>2</v>
      </c>
      <c r="AJ15" s="14">
        <v>0</v>
      </c>
      <c r="AK15" s="6">
        <f>COUNTA(AK$17:AK529)</f>
        <v>16</v>
      </c>
      <c r="AL15" s="9" t="str">
        <f>AL1</f>
        <v>VM#3(CEN)</v>
      </c>
      <c r="AM15" s="6" t="str">
        <f>AE15</f>
        <v>CPREQ_</v>
      </c>
      <c r="AO15" s="6">
        <f>AG15+AH15</f>
        <v>17</v>
      </c>
      <c r="AP15" s="6">
        <f>COUNTIF(AN17:AN529,"R")</f>
        <v>0</v>
      </c>
      <c r="AQ15" s="6">
        <f>AI15+COUNTIF(AP$15,"&lt;&gt;0")</f>
        <v>2</v>
      </c>
      <c r="AR15" s="14">
        <v>0</v>
      </c>
      <c r="AS15" s="6">
        <f>COUNTA(AS$17:AS529)</f>
        <v>7</v>
      </c>
      <c r="BD15" s="26" t="s">
        <v>254</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262</v>
      </c>
      <c r="F16" s="2" t="s">
        <v>263</v>
      </c>
      <c r="G16" s="2" t="s">
        <v>264</v>
      </c>
      <c r="H16" s="2" t="s">
        <v>265</v>
      </c>
      <c r="I16" s="2" t="s">
        <v>266</v>
      </c>
      <c r="J16" s="2" t="s">
        <v>267</v>
      </c>
      <c r="K16" s="2" t="s">
        <v>268</v>
      </c>
      <c r="L16" s="4"/>
      <c r="N16" s="2" t="s">
        <v>263</v>
      </c>
      <c r="O16" s="2" t="s">
        <v>102</v>
      </c>
      <c r="P16" s="2" t="s">
        <v>265</v>
      </c>
      <c r="Q16" s="2" t="s">
        <v>266</v>
      </c>
      <c r="R16" s="2" t="s">
        <v>262</v>
      </c>
      <c r="S16" s="2" t="s">
        <v>269</v>
      </c>
      <c r="T16" s="2" t="s">
        <v>267</v>
      </c>
      <c r="U16" s="2" t="s">
        <v>270</v>
      </c>
      <c r="V16" s="2" t="s">
        <v>263</v>
      </c>
      <c r="W16" s="2" t="s">
        <v>102</v>
      </c>
      <c r="X16" s="2" t="s">
        <v>265</v>
      </c>
      <c r="Y16" s="2" t="s">
        <v>266</v>
      </c>
      <c r="Z16" s="2" t="s">
        <v>262</v>
      </c>
      <c r="AA16" s="2" t="s">
        <v>269</v>
      </c>
      <c r="AB16" s="2" t="s">
        <v>267</v>
      </c>
      <c r="AC16" s="2" t="s">
        <v>270</v>
      </c>
      <c r="AD16" s="2" t="s">
        <v>263</v>
      </c>
      <c r="AE16" s="2" t="s">
        <v>102</v>
      </c>
      <c r="AF16" s="2" t="s">
        <v>265</v>
      </c>
      <c r="AG16" s="2" t="s">
        <v>266</v>
      </c>
      <c r="AH16" s="2" t="s">
        <v>262</v>
      </c>
      <c r="AI16" s="2" t="s">
        <v>269</v>
      </c>
      <c r="AJ16" s="2" t="s">
        <v>267</v>
      </c>
      <c r="AK16" s="2" t="s">
        <v>270</v>
      </c>
      <c r="AL16" s="2" t="s">
        <v>263</v>
      </c>
      <c r="AM16" s="2" t="s">
        <v>102</v>
      </c>
      <c r="AN16" s="2" t="s">
        <v>265</v>
      </c>
      <c r="AO16" s="2" t="s">
        <v>266</v>
      </c>
      <c r="AP16" s="2" t="s">
        <v>262</v>
      </c>
      <c r="AQ16" s="2" t="s">
        <v>269</v>
      </c>
      <c r="AR16" s="2" t="s">
        <v>267</v>
      </c>
      <c r="AS16" s="2" t="s">
        <v>270</v>
      </c>
      <c r="AU16" s="5"/>
      <c r="AY16" s="4"/>
      <c r="AZ16" s="6"/>
      <c r="BA16" s="6"/>
      <c r="BB16" s="6"/>
      <c r="BC16" s="6"/>
      <c r="BD16" s="26" t="s">
        <v>254</v>
      </c>
      <c r="BE16" s="24"/>
      <c r="BF16" s="24"/>
      <c r="BG16" s="24"/>
      <c r="BH16" s="24"/>
      <c r="BI16" s="24"/>
      <c r="BJ16" s="24"/>
      <c r="BK16" s="24"/>
      <c r="BL16" s="24"/>
      <c r="BM16" s="24"/>
      <c r="BN16" s="24"/>
      <c r="BO16" s="24"/>
      <c r="BP16" s="25"/>
      <c r="BQ16" s="25"/>
      <c r="BR16" s="25"/>
      <c r="BS16" s="25"/>
    </row>
    <row r="17" spans="5:71">
      <c r="E17" s="6">
        <v>0</v>
      </c>
      <c r="F17" s="6" cm="1">
        <f t="array" ref="F17:F23">IFERROR(_xlfn._xlws.FILTER('Inter-VM Data Table'!$A2:$A911,INDEX('Inter-VM Data Table'!2:911,,MATCH(B3,'Inter-VM Data Table'!1:1,0))="T"),"")</f>
        <v>5</v>
      </c>
      <c r="G17" s="6" cm="1">
        <f t="array" ref="G17:G23">IFERROR(_xlfn._xlws.FILTER('Inter-VM Data Table'!$D2:$D911,INDEX('Inter-VM Data Table'!2:911,,MATCH(B3,'Inter-VM Data Table'!1:1,0))="T"),"")</f>
        <v>0</v>
      </c>
      <c r="H17" s="6" t="str" cm="1">
        <f t="array" ref="H17:H23">IFERROR(_xlfn._xlws.FILTER(INDEX('Inter-VM Data Table'!2:911,,MATCH($B$3,'Inter-VM Data Table'!1:1,0)),INDEX('Inter-VM Data Table'!2:911,,MATCH(B3,'Inter-VM Data Table'!1:1,0))="T"),"")</f>
        <v>T</v>
      </c>
      <c r="I17" s="6" cm="1">
        <f t="array" ref="I17:I23">IFERROR(ROUNDDOWN(     (_xlfn._xlws.FILTER('Inter-VM Data Table'!$I2:$I911,INDEX('Inter-VM Data Table'!2:911,,MATCH(B3,'Inter-VM Data Table'!1:1,0))="T")+3)/4,    0       ),"")</f>
        <v>1</v>
      </c>
      <c r="J17" s="6">
        <v>0</v>
      </c>
      <c r="K17" s="6" t="str" cm="1">
        <f t="array" ref="K17:K23">IF(_xlfn.ANCHORARRAY(G17)=0,K1&amp;G15&amp;TEXT(_xlfn.ANCHORARRAY(F17),"000"),K1&amp;_xlfn.ANCHORARRAY(G17))</f>
        <v>IVDSH_DID_WRI_CPREQ_005</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R</v>
      </c>
      <c r="Y17" s="6" cm="1">
        <f t="array" ref="Y17:Y32">IFERROR(ROUNDDOWN(     (_xlfn._xlws.FILTER('Inter-VM Data Table'!$I2:$I911,INDEX('Inter-VM Data Table'!2:911,,MATCH(V1,'Inter-VM Data Table'!1:1,0))="T")+3)/4,      0),"")</f>
        <v>1</v>
      </c>
      <c r="Z17" s="6">
        <f>IF(X17="R",Y$15+0,"")</f>
        <v>7</v>
      </c>
      <c r="AA17" s="6">
        <f>IF(Z$15=0,"",S15)</f>
        <v>0</v>
      </c>
      <c r="AB17" s="6">
        <f>IF(Z$15=0,"",T$15)</f>
        <v>0</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R</v>
      </c>
      <c r="AG17" s="6" cm="1">
        <f t="array" ref="AG17:AG32">IFERROR(ROUNDDOWN(     (_xlfn._xlws.FILTER('Inter-VM Data Table'!$I2:$I911,INDEX('Inter-VM Data Table'!2:911,,MATCH(AD1,'Inter-VM Data Table'!1:1,0))="T")+3)/4,      0),"")</f>
        <v>1</v>
      </c>
      <c r="AH17" s="6">
        <f>IF(AF17="R",AG$15+0,"")</f>
        <v>11</v>
      </c>
      <c r="AI17" s="6">
        <f>IF(AH$15=0,"",AA15)</f>
        <v>1</v>
      </c>
      <c r="AJ17" s="6">
        <f>IF(AH$15=0,"",AB$15)</f>
        <v>0</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T</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271</v>
      </c>
      <c r="AW17" s="6">
        <f>F15</f>
        <v>7</v>
      </c>
      <c r="BA17" s="12" t="s">
        <v>272</v>
      </c>
      <c r="BB17" s="11">
        <f>AW17</f>
        <v>7</v>
      </c>
      <c r="BD17" s="27" t="s">
        <v>273</v>
      </c>
      <c r="BE17" s="11" t="str">
        <f t="shared" ref="BE17:BE80" si="0">IF(F17="","","#define "&amp;K17&amp;REPT(" ",41-LEN(K17))&amp;"("&amp;E17&amp;"U)")</f>
        <v>#define IVDSH_DID_WRI_CPREQ_005                  (0U)</v>
      </c>
      <c r="BF17" s="11" t="str">
        <f t="shared" ref="BF17:BF80" si="1">IF(R17="","","#define "&amp;U17&amp;REPT(" ",41-LEN(U17))&amp;"("&amp;R17&amp;"U)")</f>
        <v/>
      </c>
      <c r="BG17" s="11" t="str">
        <f t="shared" ref="BG17:BG80" si="2">IF(Z17="","","#define "&amp;AC17&amp;REPT(" ",41-LEN(AC17))&amp;"("&amp;Z17&amp;"U)")</f>
        <v>#define IVDSH_DID_REA_CPREQ_002                  (7U)</v>
      </c>
      <c r="BH17" s="11" t="str">
        <f t="shared" ref="BH17:BH80" si="3">IF(AH17="","","#define "&amp;AK17&amp;REPT(" ",41-LEN(AK17))&amp;"("&amp;AH17&amp;"U)")</f>
        <v>#define IVDSH_DID_REA_CPREQ_003                  (11U)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IVDSH_DID_WRI_CPREQ_005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IVDSH_DID_REA_CPREQ_002         */</v>
      </c>
      <c r="BN17" s="11" t="str">
        <f>IF(AH17="","","    {(U2)"&amp;AJ17&amp;"U,"&amp;REPT(" ",9-LEN(AJ17))&amp;"(U2)"&amp;AG17&amp;"U,"&amp;REPT(" ",10-LEN(AG17))&amp;"(U2)IVDSH_FQ_CH_REA_"&amp;AI17&amp;"},     /* "&amp;AK17&amp;REPT(" ",32-LEN(AK17))&amp;"*/")</f>
        <v xml:space="preserve">    {(U2)0U,        (U2)1U,         (U2)IVDSH_FQ_CH_REA_1},     /* IVDSH_DID_REA_CPREQ_003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7</v>
      </c>
      <c r="G18" s="6">
        <v>0</v>
      </c>
      <c r="H18" s="6" t="str">
        <v>T</v>
      </c>
      <c r="I18" s="6">
        <v>1</v>
      </c>
      <c r="J18" s="6">
        <f>IF(F18="","",I17+J17)</f>
        <v>1</v>
      </c>
      <c r="K18" s="6" t="str">
        <v>IVDSH_DID_WRI_CPREQ_007</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f>IF(OR(Z$15=0,V18=""),"",AA17)</f>
        <v>0</v>
      </c>
      <c r="AB18" s="6">
        <f>IF(OR(V18="",Z$15=0),"",AB17+Y17)</f>
        <v>1</v>
      </c>
      <c r="AC18" s="6" t="str">
        <v>IVDSH_DID_REA_CPREQ_004</v>
      </c>
      <c r="AD18" s="6">
        <v>9</v>
      </c>
      <c r="AE18" s="6">
        <v>0</v>
      </c>
      <c r="AF18" s="6" t="str">
        <v>-</v>
      </c>
      <c r="AG18" s="6">
        <v>1</v>
      </c>
      <c r="AH18" s="6" t="str">
        <f>IF(AF18="R",MAX(AH$17:AH17,AG$15-1)+1,"")</f>
        <v/>
      </c>
      <c r="AI18" s="6">
        <f t="shared" ref="AI18:AI81" si="5">IF(OR(AH$15=0,AD18=""),"",AI17)</f>
        <v>1</v>
      </c>
      <c r="AJ18" s="6">
        <f t="shared" ref="AJ18:AJ81" si="6">IF(OR(AD18="",AH$15=0),"",AJ17+AG17)</f>
        <v>1</v>
      </c>
      <c r="AK18" s="6" t="str">
        <v>IVDSH_DID_REA_CPREQ_009</v>
      </c>
      <c r="AL18" s="6">
        <v>7</v>
      </c>
      <c r="AM18" s="6">
        <v>0</v>
      </c>
      <c r="AN18" s="6" t="str">
        <v>T</v>
      </c>
      <c r="AO18" s="6">
        <v>1</v>
      </c>
      <c r="AP18" s="6" t="str">
        <f>IF(AN18="R",MAX(AP$17:AP17,AO$15-1)+1,"")</f>
        <v/>
      </c>
      <c r="AQ18" s="6" t="str">
        <f>IF(OR(AP$15=0,AL18=""),"",AQ17)</f>
        <v/>
      </c>
      <c r="AR18" s="6" t="str">
        <f>IF(OR(AL18="",AP$15=0),"",AR17+AO17)</f>
        <v/>
      </c>
      <c r="AS18" s="6" t="str">
        <v>IVDSH_DID_REA_CPREQ_007</v>
      </c>
      <c r="AV18" s="6" t="s">
        <v>274</v>
      </c>
      <c r="AW18" s="6">
        <f>R15+Z15+AH15+AP15</f>
        <v>10</v>
      </c>
      <c r="BA18" s="12" t="s">
        <v>275</v>
      </c>
      <c r="BB18" s="11">
        <f>AW18</f>
        <v>10</v>
      </c>
      <c r="BE18" s="11" t="str">
        <f t="shared" si="0"/>
        <v>#define IVDSH_DID_WRI_CPREQ_007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IVDSH_DID_WRI_CPREQ_007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(16U)</v>
      </c>
      <c r="BR18" s="11" t="str">
        <f>IF(AW36="","","    {")</f>
        <v xml:space="preserve">    {</v>
      </c>
      <c r="BS18" s="11" t="str">
        <f>IF(AW26&lt;&gt;"","    {","")</f>
        <v xml:space="preserve">    {</v>
      </c>
    </row>
    <row r="19" spans="5:71">
      <c r="E19" s="6">
        <f t="shared" ref="E19:E82" si="12">E18+1</f>
        <v>2</v>
      </c>
      <c r="F19" s="6">
        <v>43</v>
      </c>
      <c r="G19" s="6" t="str">
        <v>VM3TO2_BOOTLOG_INF</v>
      </c>
      <c r="H19" s="6" t="str">
        <v>T</v>
      </c>
      <c r="I19" s="6">
        <v>1</v>
      </c>
      <c r="J19" s="6">
        <f>IF(F19="","",I18+J18)</f>
        <v>2</v>
      </c>
      <c r="K19" s="6" t="str">
        <v>IVDSH_DID_WRI_VM3TO2_BOOTLOG_INF</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f t="shared" ref="AA19:AA82" si="15">IF(OR(Z$15=0,V19=""),"",AA18)</f>
        <v>0</v>
      </c>
      <c r="AB19" s="6">
        <f t="shared" ref="AB19:AB82" si="16">IF(OR(V19="",Z$15=0),"",AB18+Y18)</f>
        <v>2</v>
      </c>
      <c r="AC19" s="6" t="str">
        <v>IVDSH_DID_REA_CPREQ_010</v>
      </c>
      <c r="AD19" s="6">
        <v>11</v>
      </c>
      <c r="AE19" s="6">
        <v>0</v>
      </c>
      <c r="AF19" s="6" t="str">
        <v>-</v>
      </c>
      <c r="AG19" s="6">
        <v>1</v>
      </c>
      <c r="AH19" s="6" t="str">
        <f>IF(AF19="R",MAX(AH$17:AH18,AG$15-1)+1,"")</f>
        <v/>
      </c>
      <c r="AI19" s="6">
        <f t="shared" si="5"/>
        <v>1</v>
      </c>
      <c r="AJ19" s="6">
        <f t="shared" si="6"/>
        <v>2</v>
      </c>
      <c r="AK19" s="6" t="str">
        <v>IVDSH_DID_REA_CPREQ_011</v>
      </c>
      <c r="AL19" s="6">
        <v>43</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276</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(16U)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45</v>
      </c>
      <c r="G20" s="6">
        <v>0</v>
      </c>
      <c r="H20" s="6" t="str">
        <v>T</v>
      </c>
      <c r="I20" s="6">
        <v>1</v>
      </c>
      <c r="J20" s="6">
        <f t="shared" ref="J20:J83" si="19">IF(F20="","",I19+J19)</f>
        <v>3</v>
      </c>
      <c r="K20" s="6" t="str">
        <v>IVDSH_DID_WRI_CPREQ_045</v>
      </c>
      <c r="N20" s="6">
        <v>32</v>
      </c>
      <c r="O20" s="6">
        <v>0</v>
      </c>
      <c r="P20" s="6" t="str">
        <v>-</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f t="shared" si="15"/>
        <v>0</v>
      </c>
      <c r="AB20" s="6">
        <f t="shared" si="16"/>
        <v>3</v>
      </c>
      <c r="AC20" s="6" t="str">
        <v>IVDSH_DID_REA_CPREQ_012</v>
      </c>
      <c r="AD20" s="6">
        <v>13</v>
      </c>
      <c r="AE20" s="6">
        <v>0</v>
      </c>
      <c r="AF20" s="6" t="str">
        <v>-</v>
      </c>
      <c r="AG20" s="6">
        <v>1</v>
      </c>
      <c r="AH20" s="6" t="str">
        <f>IF(AF20="R",MAX(AH$17:AH19,AG$15-1)+1,"")</f>
        <v/>
      </c>
      <c r="AI20" s="6">
        <f t="shared" si="5"/>
        <v>1</v>
      </c>
      <c r="AJ20" s="6">
        <f t="shared" si="6"/>
        <v>3</v>
      </c>
      <c r="AK20" s="6" t="str">
        <v>IVDSH_DID_REA_CPREQ_013</v>
      </c>
      <c r="AL20" s="6">
        <v>45</v>
      </c>
      <c r="AM20" s="6">
        <v>0</v>
      </c>
      <c r="AN20" s="6" t="str">
        <v>T</v>
      </c>
      <c r="AO20" s="6">
        <v>1</v>
      </c>
      <c r="AP20" s="6" t="str">
        <f>IF(AN20="R",MAX(AP$17:AP19,AO$15-1)+1,"")</f>
        <v/>
      </c>
      <c r="AQ20" s="6" t="str">
        <f t="shared" si="17"/>
        <v/>
      </c>
      <c r="AR20" s="6" t="str">
        <f t="shared" si="18"/>
        <v/>
      </c>
      <c r="AS20" s="6" t="str">
        <v>IVDSH_DID_REA_CPREQ_045</v>
      </c>
      <c r="AV20" s="6" t="s">
        <v>277</v>
      </c>
      <c r="AW20" s="6">
        <f>MAX(AW22:AW26)+1</f>
        <v>3</v>
      </c>
      <c r="BA20" s="12" t="s">
        <v>278</v>
      </c>
      <c r="BB20" s="11">
        <f>AW21</f>
        <v>2</v>
      </c>
      <c r="BE20" s="11" t="str">
        <f t="shared" si="0"/>
        <v>#define IVDSH_DID_WRI_CPREQ_045                  (3U)</v>
      </c>
      <c r="BF20" s="11" t="str">
        <f t="shared" si="1"/>
        <v/>
      </c>
      <c r="BG20" s="11" t="str">
        <f t="shared" si="2"/>
        <v/>
      </c>
      <c r="BH20" s="11" t="str">
        <f t="shared" si="3"/>
        <v/>
      </c>
      <c r="BI20" s="11" t="str">
        <f t="shared" si="4"/>
        <v/>
      </c>
      <c r="BJ20" s="11"/>
      <c r="BK20" s="11" t="str">
        <f t="shared" si="7"/>
        <v xml:space="preserve">    {(U2)3U,        (U2)1U,         (U2)IVDSH_FQ_CH_WRI  },     /* IVDSH_DID_WRI_CPREQ_045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48</v>
      </c>
      <c r="G21" s="6">
        <v>0</v>
      </c>
      <c r="H21" s="6" t="str">
        <v>T</v>
      </c>
      <c r="I21" s="6">
        <v>1</v>
      </c>
      <c r="J21" s="6">
        <f t="shared" si="19"/>
        <v>4</v>
      </c>
      <c r="K21" s="6" t="str">
        <v>IVDSH_DID_WRI_CPREQ_048</v>
      </c>
      <c r="N21" s="6">
        <v>35</v>
      </c>
      <c r="O21" s="6">
        <v>0</v>
      </c>
      <c r="P21" s="6" t="str">
        <v>-</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f t="shared" si="15"/>
        <v>0</v>
      </c>
      <c r="AB21" s="6">
        <f t="shared" si="16"/>
        <v>4</v>
      </c>
      <c r="AC21" s="6" t="str">
        <v>IVDSH_DID_REA_CPREQ_014</v>
      </c>
      <c r="AD21" s="6">
        <v>15</v>
      </c>
      <c r="AE21" s="6">
        <v>0</v>
      </c>
      <c r="AF21" s="6" t="str">
        <v>-</v>
      </c>
      <c r="AG21" s="6">
        <v>1</v>
      </c>
      <c r="AH21" s="6" t="str">
        <f>IF(AF21="R",MAX(AH$17:AH20,AG$15-1)+1,"")</f>
        <v/>
      </c>
      <c r="AI21" s="6">
        <f t="shared" si="5"/>
        <v>1</v>
      </c>
      <c r="AJ21" s="6">
        <f t="shared" si="6"/>
        <v>4</v>
      </c>
      <c r="AK21" s="6" t="str">
        <v>IVDSH_DID_REA_CPREQ_015</v>
      </c>
      <c r="AL21" s="6">
        <v>48</v>
      </c>
      <c r="AM21" s="6">
        <v>0</v>
      </c>
      <c r="AN21" s="6" t="str">
        <v>T</v>
      </c>
      <c r="AO21" s="6">
        <v>1</v>
      </c>
      <c r="AP21" s="6" t="str">
        <f>IF(AN21="R",MAX(AP$17:AP20,AO$15-1)+1,"")</f>
        <v/>
      </c>
      <c r="AQ21" s="6" t="str">
        <f t="shared" si="17"/>
        <v/>
      </c>
      <c r="AR21" s="6" t="str">
        <f t="shared" si="18"/>
        <v/>
      </c>
      <c r="AS21" s="6" t="str">
        <v>IVDSH_DID_REA_CPREQ_048</v>
      </c>
      <c r="AV21" s="6" t="s">
        <v>279</v>
      </c>
      <c r="AW21" s="6">
        <f>COUNTIF(AW22:AW25,"&gt;=0")</f>
        <v>2</v>
      </c>
      <c r="AX21" s="30" t="s">
        <v>280</v>
      </c>
      <c r="BA21" s="12" t="s">
        <v>281</v>
      </c>
      <c r="BB21" s="11">
        <f>AW29</f>
        <v>7</v>
      </c>
      <c r="BE21" s="11" t="str">
        <f t="shared" si="0"/>
        <v>#define IVDSH_DID_WRI_CPREQ_048                  (4U)</v>
      </c>
      <c r="BF21" s="11" t="str">
        <f t="shared" si="1"/>
        <v/>
      </c>
      <c r="BG21" s="11" t="str">
        <f t="shared" si="2"/>
        <v/>
      </c>
      <c r="BH21" s="11" t="str">
        <f t="shared" si="3"/>
        <v/>
      </c>
      <c r="BI21" s="11" t="str">
        <f t="shared" si="4"/>
        <v/>
      </c>
      <c r="BJ21" s="11"/>
      <c r="BK21" s="11" t="str">
        <f t="shared" si="7"/>
        <v xml:space="preserve">    {(U2)4U,        (U2)1U,         (U2)IVDSH_FQ_CH_WRI  },     /* IVDSH_DID_WRI_CPREQ_048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49</v>
      </c>
      <c r="G22" s="6">
        <v>0</v>
      </c>
      <c r="H22" s="6" t="str">
        <v>T</v>
      </c>
      <c r="I22" s="6">
        <v>1</v>
      </c>
      <c r="J22" s="6">
        <f t="shared" si="19"/>
        <v>5</v>
      </c>
      <c r="K22" s="6" t="str">
        <v>IVDSH_DID_WRI_CPREQ_049</v>
      </c>
      <c r="N22" s="6">
        <v>38</v>
      </c>
      <c r="O22" s="6">
        <v>0</v>
      </c>
      <c r="P22" s="6" t="str">
        <v>-</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f t="shared" si="15"/>
        <v>0</v>
      </c>
      <c r="AB22" s="6">
        <f t="shared" si="16"/>
        <v>5</v>
      </c>
      <c r="AC22" s="6" t="str">
        <v>IVDSH_DID_REA_CPREQ_016</v>
      </c>
      <c r="AD22" s="6">
        <v>17</v>
      </c>
      <c r="AE22" s="6">
        <v>0</v>
      </c>
      <c r="AF22" s="6" t="str">
        <v>-</v>
      </c>
      <c r="AG22" s="6">
        <v>1</v>
      </c>
      <c r="AH22" s="6" t="str">
        <f>IF(AF22="R",MAX(AH$17:AH21,AG$15-1)+1,"")</f>
        <v/>
      </c>
      <c r="AI22" s="6">
        <f t="shared" si="5"/>
        <v>1</v>
      </c>
      <c r="AJ22" s="6">
        <f t="shared" si="6"/>
        <v>5</v>
      </c>
      <c r="AK22" s="6" t="str">
        <v>IVDSH_DID_REA_CPREQ_017</v>
      </c>
      <c r="AL22" s="6">
        <v>49</v>
      </c>
      <c r="AM22" s="6">
        <v>0</v>
      </c>
      <c r="AN22" s="6" t="str">
        <v>T</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282</v>
      </c>
      <c r="BB22" s="11">
        <f>AW28</f>
        <v>71</v>
      </c>
      <c r="BE22" s="11" t="str">
        <f t="shared" si="0"/>
        <v>#define IVDSH_DID_WRI_CPREQ_049                  (5U)</v>
      </c>
      <c r="BF22" s="11" t="str">
        <f t="shared" si="1"/>
        <v/>
      </c>
      <c r="BG22" s="11" t="str">
        <f t="shared" si="2"/>
        <v/>
      </c>
      <c r="BH22" s="11" t="str">
        <f t="shared" si="3"/>
        <v/>
      </c>
      <c r="BI22" s="11" t="str">
        <f t="shared" si="4"/>
        <v/>
      </c>
      <c r="BJ22" s="11"/>
      <c r="BK22" s="11" t="str">
        <f t="shared" si="7"/>
        <v xml:space="preserve">    {(U2)5U,        (U2)1U,         (U2)IVDSH_FQ_CH_WRI  },     /* IVDSH_DID_WRI_CPREQ_049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50</v>
      </c>
      <c r="G23" s="6" t="str">
        <v>GPS_STS</v>
      </c>
      <c r="H23" s="6" t="str">
        <v>T</v>
      </c>
      <c r="I23" s="6">
        <v>1</v>
      </c>
      <c r="J23" s="6">
        <f t="shared" si="19"/>
        <v>6</v>
      </c>
      <c r="K23" s="6" t="str">
        <v>IVDSH_DID_WRI_GPS_STS</v>
      </c>
      <c r="R23" s="6" t="str">
        <f>IF(P23="R",MAX(R$17:R22,Q$15-1)+1,"")</f>
        <v/>
      </c>
      <c r="S23" s="6" t="str">
        <f t="shared" si="13"/>
        <v/>
      </c>
      <c r="T23" s="6" t="str">
        <f t="shared" si="14"/>
        <v/>
      </c>
      <c r="V23" s="6">
        <v>18</v>
      </c>
      <c r="W23" s="6">
        <v>0</v>
      </c>
      <c r="X23" s="6" t="str">
        <v>-</v>
      </c>
      <c r="Y23" s="6">
        <v>1</v>
      </c>
      <c r="Z23" s="6" t="str">
        <f>IF(X23="R",MAX(Z$17:Z22,Y$15-1)+1,"")</f>
        <v/>
      </c>
      <c r="AA23" s="6">
        <f t="shared" si="15"/>
        <v>0</v>
      </c>
      <c r="AB23" s="6">
        <f t="shared" si="16"/>
        <v>6</v>
      </c>
      <c r="AC23" s="6" t="str">
        <v>IVDSH_DID_REA_CPREQ_018</v>
      </c>
      <c r="AD23" s="6">
        <v>19</v>
      </c>
      <c r="AE23" s="6">
        <v>0</v>
      </c>
      <c r="AF23" s="6" t="str">
        <v>-</v>
      </c>
      <c r="AG23" s="6">
        <v>1</v>
      </c>
      <c r="AH23" s="6" t="str">
        <f>IF(AF23="R",MAX(AH$17:AH22,AG$15-1)+1,"")</f>
        <v/>
      </c>
      <c r="AI23" s="6">
        <f t="shared" si="5"/>
        <v>1</v>
      </c>
      <c r="AJ23" s="6">
        <f t="shared" si="6"/>
        <v>6</v>
      </c>
      <c r="AK23" s="6" t="str">
        <v>IVDSH_DID_REA_CPREQ_019</v>
      </c>
      <c r="AL23" s="6">
        <v>50</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283</v>
      </c>
      <c r="BB23" s="11" t="str">
        <f>IF(AW29&lt;&gt;0,"&amp;st_sp_IVDSH_FQ_CH[IVDSH_FQ_CH_WRI]","vdp_PTR_NA")</f>
        <v>&amp;st_sp_IVDSH_FQ_CH[IVDSH_FQ_CH_WRI]</v>
      </c>
      <c r="BE23" s="11" t="str">
        <f t="shared" si="0"/>
        <v>#define IVDSH_DID_WRI_GPS_STS                    (6U)</v>
      </c>
      <c r="BF23" s="11" t="str">
        <f t="shared" si="1"/>
        <v/>
      </c>
      <c r="BG23" s="11" t="str">
        <f t="shared" si="2"/>
        <v/>
      </c>
      <c r="BH23" s="11" t="str">
        <f t="shared" si="3"/>
        <v/>
      </c>
      <c r="BI23" s="11" t="str">
        <f t="shared" si="4"/>
        <v/>
      </c>
      <c r="BJ23" s="11"/>
      <c r="BK23" s="11" t="str">
        <f t="shared" si="7"/>
        <v xml:space="preserve">    {(U2)6U,        (U2)1U,         (U2)IVDSH_FQ_CH_WRI  },     /* IVDSH_DID_WRI_GPS_STS           */</v>
      </c>
      <c r="BL23" s="11" t="str">
        <f t="shared" si="8"/>
        <v/>
      </c>
      <c r="BM23" s="11" t="str">
        <f t="shared" si="9"/>
        <v/>
      </c>
      <c r="BN23" s="11" t="str">
        <f t="shared" si="10"/>
        <v/>
      </c>
      <c r="BO23" s="11" t="str">
        <f t="shared" si="11"/>
        <v/>
      </c>
      <c r="BP23" s="11"/>
      <c r="BQ23" s="11"/>
      <c r="BR23" s="11" t="str">
        <f>IF(AW37="","","    /* IVDSH_FQ_CH_REA_1 */")</f>
        <v xml:space="preserve">    /* IVDSH_FQ_CH_REA_1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f t="shared" si="15"/>
        <v>0</v>
      </c>
      <c r="AB24" s="6">
        <f t="shared" si="16"/>
        <v>7</v>
      </c>
      <c r="AC24" s="6" t="str">
        <v>IVDSH_DID_REA_CPREQ_021</v>
      </c>
      <c r="AD24" s="6">
        <v>20</v>
      </c>
      <c r="AE24" s="6">
        <v>0</v>
      </c>
      <c r="AF24" s="6" t="str">
        <v>-</v>
      </c>
      <c r="AG24" s="6">
        <v>1</v>
      </c>
      <c r="AH24" s="6" t="str">
        <f>IF(AF24="R",MAX(AH$17:AH23,AG$15-1)+1,"")</f>
        <v/>
      </c>
      <c r="AI24" s="6">
        <f t="shared" si="5"/>
        <v>1</v>
      </c>
      <c r="AJ24" s="6">
        <f t="shared" si="6"/>
        <v>7</v>
      </c>
      <c r="AK24" s="6" t="str">
        <v>IVDSH_DID_REA_CPREQ_020</v>
      </c>
      <c r="AP24" s="6" t="str">
        <f>IF(AN24="R",MAX(AP$17:AP23,AO$15-1)+1,"")</f>
        <v/>
      </c>
      <c r="AQ24" s="6" t="str">
        <f t="shared" si="17"/>
        <v/>
      </c>
      <c r="AR24" s="6" t="str">
        <f t="shared" si="18"/>
        <v/>
      </c>
      <c r="AV24" s="6" t="str">
        <f>"IVDSH_FQ_CH_REA_"&amp;COUNTIF(AW$22:AW24,"&gt;=0")-1</f>
        <v>IVDSH_FQ_CH_REA_1</v>
      </c>
      <c r="AW24" s="6">
        <f>IF(AW32="","",COUNTIF(AW$30:AW32,"&gt;0")-1)</f>
        <v>1</v>
      </c>
      <c r="AX24" s="31">
        <v>2</v>
      </c>
      <c r="BA24" s="12" t="s">
        <v>284</v>
      </c>
      <c r="BB24" s="11" t="str">
        <f>IF(AW21&lt;&gt;0,"&amp;st_sp_IVDSH_FQ_CH[IVDSH_FQ_CH_REA_0]","&amp;st_sp_IVDSH_FQ_CH[IVDSH_FQ_CH_WRI]")</f>
        <v>&amp;st_sp_IVDSH_FQ_CH[IVDSH_FQ_CH_REA_0]</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f t="shared" si="15"/>
        <v>0</v>
      </c>
      <c r="AB25" s="6">
        <f t="shared" si="16"/>
        <v>8</v>
      </c>
      <c r="AC25" s="6" t="str">
        <v>IVDSH_DID_REA_CPREQ_022</v>
      </c>
      <c r="AD25" s="6">
        <v>24</v>
      </c>
      <c r="AE25" s="6">
        <v>0</v>
      </c>
      <c r="AF25" s="6" t="str">
        <v>R</v>
      </c>
      <c r="AG25" s="6">
        <v>1</v>
      </c>
      <c r="AH25" s="6">
        <f>IF(AF25="R",MAX(AH$17:AH24,AG$15-1)+1,"")</f>
        <v>12</v>
      </c>
      <c r="AI25" s="6">
        <f t="shared" si="5"/>
        <v>1</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285</v>
      </c>
      <c r="BB25" s="11" t="str">
        <f>B4</f>
        <v>"ehvm_cfg_pe3_vm0.h"</v>
      </c>
      <c r="BE25" s="11" t="str">
        <f t="shared" si="0"/>
        <v/>
      </c>
      <c r="BF25" s="11" t="str">
        <f t="shared" si="1"/>
        <v/>
      </c>
      <c r="BG25" s="11" t="str">
        <f t="shared" si="2"/>
        <v/>
      </c>
      <c r="BH25" s="11" t="str">
        <f t="shared" si="3"/>
        <v>#define IVDSH_DID_REA_CPREQ_024                  (12U)</v>
      </c>
      <c r="BI25" s="11" t="str">
        <f t="shared" si="4"/>
        <v/>
      </c>
      <c r="BJ25" s="11"/>
      <c r="BK25" s="11" t="str">
        <f t="shared" si="7"/>
        <v/>
      </c>
      <c r="BL25" s="11" t="str">
        <f t="shared" si="8"/>
        <v/>
      </c>
      <c r="BM25" s="11" t="str">
        <f t="shared" si="9"/>
        <v/>
      </c>
      <c r="BN25" s="11" t="str">
        <f t="shared" si="10"/>
        <v xml:space="preserve">    {(U2)8U,        (U2)1U,         (U2)IVDSH_FQ_CH_REA_1},     /* IVDSH_DID_REA_CPREQ_024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J26" s="6" t="str">
        <f t="shared" si="19"/>
        <v/>
      </c>
      <c r="R26" s="6" t="str">
        <f>IF(P26="R",MAX(R$17:R25,Q$15-1)+1,"")</f>
        <v/>
      </c>
      <c r="S26" s="6" t="str">
        <f t="shared" si="13"/>
        <v/>
      </c>
      <c r="T26" s="6" t="str">
        <f t="shared" si="14"/>
        <v/>
      </c>
      <c r="V26" s="6">
        <v>23</v>
      </c>
      <c r="W26" s="6">
        <v>0</v>
      </c>
      <c r="X26" s="6" t="str">
        <v>R</v>
      </c>
      <c r="Y26" s="6">
        <v>1</v>
      </c>
      <c r="Z26" s="6">
        <f>IF(X26="R",MAX(Z$17:Z25,Y$15-1)+1,"")</f>
        <v>8</v>
      </c>
      <c r="AA26" s="6">
        <f t="shared" si="15"/>
        <v>0</v>
      </c>
      <c r="AB26" s="6">
        <f t="shared" si="16"/>
        <v>9</v>
      </c>
      <c r="AC26" s="6" t="str">
        <v>IVDSH_DID_REA_CPREQ_023</v>
      </c>
      <c r="AD26" s="6">
        <v>25</v>
      </c>
      <c r="AE26" s="6" t="str">
        <v>VM2TO1_CAM_DIAP</v>
      </c>
      <c r="AF26" s="6" t="str">
        <v>-</v>
      </c>
      <c r="AG26" s="6">
        <v>1</v>
      </c>
      <c r="AH26" s="6" t="str">
        <f>IF(AF26="R",MAX(AH$17:AH25,AG$15-1)+1,"")</f>
        <v/>
      </c>
      <c r="AI26" s="6">
        <f t="shared" si="5"/>
        <v>1</v>
      </c>
      <c r="AJ26" s="6">
        <f t="shared" si="6"/>
        <v>9</v>
      </c>
      <c r="AK26" s="6" t="str">
        <v>IVDSH_DID_REA_VM2TO1_CAM_DIAP</v>
      </c>
      <c r="AP26" s="6" t="str">
        <f>IF(AN26="R",MAX(AP$17:AP25,AO$15-1)+1,"")</f>
        <v/>
      </c>
      <c r="AQ26" s="6" t="str">
        <f t="shared" si="17"/>
        <v/>
      </c>
      <c r="AR26" s="6" t="str">
        <f t="shared" si="18"/>
        <v/>
      </c>
      <c r="AV26" s="6" t="s">
        <v>286</v>
      </c>
      <c r="AW26" s="6">
        <f>IF(AW29=0,"",COUNTIF(AW$29:AW33,"&gt;0")-1)</f>
        <v>2</v>
      </c>
      <c r="BA26" s="12"/>
      <c r="BE26" s="11" t="str">
        <f t="shared" si="0"/>
        <v/>
      </c>
      <c r="BF26" s="11" t="str">
        <f t="shared" si="1"/>
        <v/>
      </c>
      <c r="BG26" s="11" t="str">
        <f t="shared" si="2"/>
        <v>#define IVDSH_DID_REA_CPREQ_023                  (8U)</v>
      </c>
      <c r="BH26" s="11" t="str">
        <f t="shared" si="3"/>
        <v/>
      </c>
      <c r="BI26" s="11" t="str">
        <f t="shared" si="4"/>
        <v/>
      </c>
      <c r="BJ26" s="11"/>
      <c r="BK26" s="11" t="str">
        <f t="shared" si="7"/>
        <v/>
      </c>
      <c r="BL26" s="11" t="str">
        <f t="shared" si="8"/>
        <v/>
      </c>
      <c r="BM26" s="11" t="str">
        <f t="shared" si="9"/>
        <v xml:space="preserve">    {(U2)9U,        (U2)1U,         (U2)IVDSH_FQ_CH_REA_0},     /* IVDSH_DID_REA_CPREQ_023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f t="shared" si="15"/>
        <v>0</v>
      </c>
      <c r="AB27" s="6">
        <f t="shared" si="16"/>
        <v>10</v>
      </c>
      <c r="AC27" s="6" t="str">
        <v>IVDSH_DID_REA_VM1TO2_CAM_DIAP</v>
      </c>
      <c r="AD27" s="6">
        <v>27</v>
      </c>
      <c r="AE27" s="6">
        <v>0</v>
      </c>
      <c r="AF27" s="6" t="str">
        <v>-</v>
      </c>
      <c r="AG27" s="6">
        <v>1</v>
      </c>
      <c r="AH27" s="6" t="str">
        <f>IF(AF27="R",MAX(AH$17:AH26,AG$15-1)+1,"")</f>
        <v/>
      </c>
      <c r="AI27" s="6">
        <f t="shared" si="5"/>
        <v>1</v>
      </c>
      <c r="AJ27" s="6">
        <f t="shared" si="6"/>
        <v>10</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f t="shared" si="15"/>
        <v>0</v>
      </c>
      <c r="AB28" s="6">
        <f t="shared" si="16"/>
        <v>11</v>
      </c>
      <c r="AC28" s="6" t="str">
        <v>IVDSH_DID_REA_CPREQ_028</v>
      </c>
      <c r="AD28" s="6">
        <v>42</v>
      </c>
      <c r="AE28" s="6" t="str">
        <v>VM2TO3_WHLINI_REQ</v>
      </c>
      <c r="AF28" s="6" t="str">
        <v>R</v>
      </c>
      <c r="AG28" s="6">
        <v>1</v>
      </c>
      <c r="AH28" s="6">
        <f>IF(AF28="R",MAX(AH$17:AH27,AG$15-1)+1,"")</f>
        <v>13</v>
      </c>
      <c r="AI28" s="6">
        <f t="shared" si="5"/>
        <v>1</v>
      </c>
      <c r="AJ28" s="6">
        <f t="shared" si="6"/>
        <v>11</v>
      </c>
      <c r="AK28" s="6" t="str">
        <v>IVDSH_DID_REA_VM2TO3_WHLINI_REQ</v>
      </c>
      <c r="AP28" s="6" t="str">
        <f>IF(AN28="R",MAX(AP$17:AP27,AO$15-1)+1,"")</f>
        <v/>
      </c>
      <c r="AQ28" s="6" t="str">
        <f t="shared" si="17"/>
        <v/>
      </c>
      <c r="AR28" s="6" t="str">
        <f t="shared" si="18"/>
        <v/>
      </c>
      <c r="AV28" s="6" t="s">
        <v>287</v>
      </c>
      <c r="AW28" s="6">
        <f>AW29+SUM(AW30:AW33)*2</f>
        <v>71</v>
      </c>
      <c r="BA28" s="12"/>
      <c r="BE28" s="11" t="str">
        <f t="shared" si="0"/>
        <v/>
      </c>
      <c r="BF28" s="11" t="str">
        <f t="shared" si="1"/>
        <v/>
      </c>
      <c r="BG28" s="11" t="str">
        <f t="shared" si="2"/>
        <v/>
      </c>
      <c r="BH28" s="11" t="str">
        <f t="shared" si="3"/>
        <v>#define IVDSH_DID_REA_VM2TO3_WHLINI_REQ          (13U)</v>
      </c>
      <c r="BI28" s="11" t="str">
        <f t="shared" si="4"/>
        <v/>
      </c>
      <c r="BJ28" s="11"/>
      <c r="BK28" s="11" t="str">
        <f t="shared" si="7"/>
        <v/>
      </c>
      <c r="BL28" s="11" t="str">
        <f t="shared" si="8"/>
        <v/>
      </c>
      <c r="BM28" s="11" t="str">
        <f t="shared" si="9"/>
        <v/>
      </c>
      <c r="BN28" s="11" t="str">
        <f t="shared" si="10"/>
        <v xml:space="preserve">    {(U2)11U,       (U2)1U,         (U2)IVDSH_FQ_CH_REA_1},     /* IVDSH_DID_REA_VM2TO3_WHLINI_REQ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f t="shared" si="15"/>
        <v>0</v>
      </c>
      <c r="AB29" s="6">
        <f t="shared" si="16"/>
        <v>12</v>
      </c>
      <c r="AC29" s="6" t="str">
        <v>IVDSH_DID_REA_VM1TO2_FLYNOP</v>
      </c>
      <c r="AD29" s="6">
        <v>46</v>
      </c>
      <c r="AE29" s="6">
        <v>0</v>
      </c>
      <c r="AF29" s="6" t="str">
        <v>R</v>
      </c>
      <c r="AG29" s="6">
        <v>1</v>
      </c>
      <c r="AH29" s="6">
        <f>IF(AF29="R",MAX(AH$17:AH28,AG$15-1)+1,"")</f>
        <v>14</v>
      </c>
      <c r="AI29" s="6">
        <f t="shared" si="5"/>
        <v>1</v>
      </c>
      <c r="AJ29" s="6">
        <f t="shared" si="6"/>
        <v>12</v>
      </c>
      <c r="AK29" s="6" t="str">
        <v>IVDSH_DID_REA_CPREQ_046</v>
      </c>
      <c r="AP29" s="6" t="str">
        <f>IF(AN29="R",MAX(AP$17:AP28,AO$15-1)+1,"")</f>
        <v/>
      </c>
      <c r="AQ29" s="6" t="str">
        <f t="shared" si="17"/>
        <v/>
      </c>
      <c r="AR29" s="6" t="str">
        <f t="shared" si="18"/>
        <v/>
      </c>
      <c r="AV29" s="6" t="s">
        <v>288</v>
      </c>
      <c r="AW29" s="6">
        <f>SUM(I$17:I529)</f>
        <v>7</v>
      </c>
      <c r="AX29" s="30" t="s">
        <v>280</v>
      </c>
      <c r="BA29" s="12"/>
      <c r="BE29" s="11" t="str">
        <f t="shared" si="0"/>
        <v/>
      </c>
      <c r="BF29" s="11" t="str">
        <f t="shared" si="1"/>
        <v/>
      </c>
      <c r="BG29" s="11" t="str">
        <f t="shared" si="2"/>
        <v/>
      </c>
      <c r="BH29" s="11" t="str">
        <f t="shared" si="3"/>
        <v>#define IVDSH_DID_REA_CPREQ_046                  (14U)</v>
      </c>
      <c r="BI29" s="11" t="str">
        <f t="shared" si="4"/>
        <v/>
      </c>
      <c r="BJ29" s="11"/>
      <c r="BK29" s="11" t="str">
        <f t="shared" si="7"/>
        <v/>
      </c>
      <c r="BL29" s="11" t="str">
        <f t="shared" si="8"/>
        <v/>
      </c>
      <c r="BM29" s="11" t="str">
        <f t="shared" si="9"/>
        <v/>
      </c>
      <c r="BN29" s="11" t="str">
        <f t="shared" si="10"/>
        <v xml:space="preserve">    {(U2)12U,       (U2)1U,         (U2)IVDSH_FQ_CH_REA_1},     /* IVDSH_DID_REA_CPREQ_046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V30" s="6">
        <v>44</v>
      </c>
      <c r="W30" s="6">
        <v>0</v>
      </c>
      <c r="X30" s="6" t="str">
        <v>R</v>
      </c>
      <c r="Y30" s="6">
        <v>1</v>
      </c>
      <c r="Z30" s="6">
        <f>IF(X30="R",MAX(Z$17:Z29,Y$15-1)+1,"")</f>
        <v>9</v>
      </c>
      <c r="AA30" s="6">
        <f t="shared" si="15"/>
        <v>0</v>
      </c>
      <c r="AB30" s="6">
        <f t="shared" si="16"/>
        <v>13</v>
      </c>
      <c r="AC30" s="6" t="str">
        <v>IVDSH_DID_REA_CPREQ_044</v>
      </c>
      <c r="AD30" s="6">
        <v>47</v>
      </c>
      <c r="AE30" s="6">
        <v>0</v>
      </c>
      <c r="AF30" s="6" t="str">
        <v>R</v>
      </c>
      <c r="AG30" s="6">
        <v>1</v>
      </c>
      <c r="AH30" s="6">
        <f>IF(AF30="R",MAX(AH$17:AH29,AG$15-1)+1,"")</f>
        <v>15</v>
      </c>
      <c r="AI30" s="6">
        <f t="shared" si="5"/>
        <v>1</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#define IVDSH_DID_REA_CPREQ_044                  (9U)</v>
      </c>
      <c r="BH30" s="11" t="str">
        <f t="shared" si="3"/>
        <v>#define IVDSH_DID_REA_CPREQ_047                  (15U)</v>
      </c>
      <c r="BI30" s="11" t="str">
        <f t="shared" si="4"/>
        <v/>
      </c>
      <c r="BJ30" s="11"/>
      <c r="BK30" s="11" t="str">
        <f t="shared" si="7"/>
        <v/>
      </c>
      <c r="BL30" s="11" t="str">
        <f t="shared" si="8"/>
        <v/>
      </c>
      <c r="BM30" s="11" t="str">
        <f t="shared" si="9"/>
        <v xml:space="preserve">    {(U2)13U,       (U2)1U,         (U2)IVDSH_FQ_CH_REA_0},     /* IVDSH_DID_REA_CPREQ_044         */</v>
      </c>
      <c r="BN30" s="11" t="str">
        <f t="shared" si="10"/>
        <v xml:space="preserve">    {(U2)13U,       (U2)1U,         (U2)IVDSH_FQ_CH_REA_1},     /* IVDSH_DID_REA_CPREQ_047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f t="shared" si="15"/>
        <v>0</v>
      </c>
      <c r="AB31" s="6">
        <f t="shared" si="16"/>
        <v>14</v>
      </c>
      <c r="AC31" s="6" t="str">
        <v>IVDSH_DID_REA_VM1TO2_WHLINI_RES</v>
      </c>
      <c r="AD31" s="6">
        <v>51</v>
      </c>
      <c r="AE31" s="6" t="str">
        <v>GPS_REQ</v>
      </c>
      <c r="AF31" s="6" t="str">
        <v>R</v>
      </c>
      <c r="AG31" s="6">
        <v>1</v>
      </c>
      <c r="AH31" s="6">
        <f>IF(AF31="R",MAX(AH$17:AH30,AG$15-1)+1,"")</f>
        <v>16</v>
      </c>
      <c r="AI31" s="6">
        <f t="shared" si="5"/>
        <v>1</v>
      </c>
      <c r="AJ31" s="6">
        <f t="shared" si="6"/>
        <v>14</v>
      </c>
      <c r="AK31" s="6" t="str">
        <v>IVDSH_DID_REA_GPS_REQ</v>
      </c>
      <c r="AP31" s="6" t="str">
        <f>IF(AN31="R",MAX(AP$17:AP30,AO$15-1)+1,"")</f>
        <v/>
      </c>
      <c r="AQ31" s="6" t="str">
        <f t="shared" si="17"/>
        <v/>
      </c>
      <c r="AR31" s="6" t="str">
        <f t="shared" si="18"/>
        <v/>
      </c>
      <c r="AV31" s="6" t="str">
        <f>"IVDSH_WA_NWORD_REA_"&amp;COUNTIF(AW$30:AW31,"&gt;0")-1</f>
        <v>IVDSH_WA_NWORD_REA_0</v>
      </c>
      <c r="AW31" s="6">
        <f>IF(Z15&lt;&gt;0,SUM(Y$17:Y529),"")</f>
        <v>16</v>
      </c>
      <c r="AX31" s="31">
        <v>1</v>
      </c>
      <c r="BE31" s="11" t="str">
        <f t="shared" si="0"/>
        <v/>
      </c>
      <c r="BF31" s="11" t="str">
        <f t="shared" si="1"/>
        <v/>
      </c>
      <c r="BG31" s="11" t="str">
        <f t="shared" si="2"/>
        <v/>
      </c>
      <c r="BH31" s="11" t="str">
        <f t="shared" si="3"/>
        <v>#define IVDSH_DID_REA_GPS_REQ                    (16U)</v>
      </c>
      <c r="BI31" s="11" t="str">
        <f t="shared" si="4"/>
        <v/>
      </c>
      <c r="BJ31" s="11"/>
      <c r="BK31" s="11" t="str">
        <f t="shared" si="7"/>
        <v/>
      </c>
      <c r="BL31" s="11" t="str">
        <f t="shared" si="8"/>
        <v/>
      </c>
      <c r="BM31" s="11" t="str">
        <f t="shared" si="9"/>
        <v/>
      </c>
      <c r="BN31" s="11" t="str">
        <f t="shared" si="10"/>
        <v xml:space="preserve">    {(U2)14U,       (U2)1U,         (U2)IVDSH_FQ_CH_REA_1},     /* IVDSH_DID_REA_GPS_REQ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R</v>
      </c>
      <c r="Y32" s="6">
        <v>1</v>
      </c>
      <c r="Z32" s="6">
        <f>IF(X32="R",MAX(Z$17:Z31,Y$15-1)+1,"")</f>
        <v>10</v>
      </c>
      <c r="AA32" s="6">
        <f t="shared" si="15"/>
        <v>0</v>
      </c>
      <c r="AB32" s="6">
        <f t="shared" si="16"/>
        <v>15</v>
      </c>
      <c r="AC32" s="6" t="str">
        <v>IVDSH_DID_REA_VM1TO3_WHLINI_INF</v>
      </c>
      <c r="AD32" s="6">
        <v>52</v>
      </c>
      <c r="AE32" s="6" t="str">
        <v>VM2TO1_WHLINI_REQ</v>
      </c>
      <c r="AF32" s="6" t="str">
        <v>-</v>
      </c>
      <c r="AG32" s="6">
        <v>1</v>
      </c>
      <c r="AH32" s="6" t="str">
        <f>IF(AF32="R",MAX(AH$17:AH31,AG$15-1)+1,"")</f>
        <v/>
      </c>
      <c r="AI32" s="6">
        <f t="shared" si="5"/>
        <v>1</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IVDSH_WA_NWORD_REA_1</v>
      </c>
      <c r="AW32" s="6">
        <f>IF(AH15&lt;&gt;0,SUM(AG$17:AG529),"")</f>
        <v>16</v>
      </c>
      <c r="AX32" s="31">
        <v>2</v>
      </c>
      <c r="BE32" s="11" t="str">
        <f t="shared" si="0"/>
        <v/>
      </c>
      <c r="BF32" s="11" t="str">
        <f t="shared" si="1"/>
        <v/>
      </c>
      <c r="BG32" s="11" t="str">
        <f t="shared" si="2"/>
        <v>#define IVDSH_DID_REA_VM1TO3_WHLINI_INF          (10U)</v>
      </c>
      <c r="BH32" s="11" t="str">
        <f t="shared" si="3"/>
        <v/>
      </c>
      <c r="BI32" s="11" t="str">
        <f t="shared" si="4"/>
        <v/>
      </c>
      <c r="BJ32" s="11"/>
      <c r="BK32" s="11" t="str">
        <f t="shared" si="7"/>
        <v/>
      </c>
      <c r="BL32" s="11" t="str">
        <f t="shared" si="8"/>
        <v/>
      </c>
      <c r="BM32" s="11" t="str">
        <f t="shared" si="9"/>
        <v xml:space="preserve">    {(U2)15U,       (U2)1U,         (U2)IVDSH_FQ_CH_REA_0},     /* IVDSH_DID_REA_VM1TO3_WHLINI_INF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289</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290</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291</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292</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293</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294</v>
      </c>
      <c r="D530" s="6" t="s">
        <v>294</v>
      </c>
      <c r="E530" s="6" t="s">
        <v>294</v>
      </c>
      <c r="F530" s="6" t="s">
        <v>294</v>
      </c>
      <c r="H530" s="6" t="s">
        <v>294</v>
      </c>
      <c r="I530" s="6" t="s">
        <v>294</v>
      </c>
      <c r="J530" s="6" t="s">
        <v>294</v>
      </c>
      <c r="K530" s="6" t="s">
        <v>294</v>
      </c>
      <c r="L530" s="7" t="s">
        <v>294</v>
      </c>
      <c r="M530" s="6" t="s">
        <v>294</v>
      </c>
      <c r="N530" s="6" t="s">
        <v>294</v>
      </c>
      <c r="P530" s="6" t="s">
        <v>294</v>
      </c>
      <c r="Q530" s="6" t="s">
        <v>294</v>
      </c>
      <c r="R530" s="6" t="s">
        <v>294</v>
      </c>
      <c r="S530" s="6" t="s">
        <v>294</v>
      </c>
      <c r="T530" s="6" t="s">
        <v>294</v>
      </c>
      <c r="U530" s="6" t="s">
        <v>294</v>
      </c>
      <c r="V530" s="6" t="s">
        <v>294</v>
      </c>
      <c r="X530" s="6" t="s">
        <v>294</v>
      </c>
      <c r="Y530" s="6" t="s">
        <v>294</v>
      </c>
      <c r="Z530" s="6" t="s">
        <v>294</v>
      </c>
      <c r="AA530" s="6" t="s">
        <v>294</v>
      </c>
      <c r="AB530" s="6" t="s">
        <v>294</v>
      </c>
      <c r="AC530" s="6" t="s">
        <v>294</v>
      </c>
      <c r="AD530" s="6" t="s">
        <v>294</v>
      </c>
      <c r="AF530" s="6" t="s">
        <v>294</v>
      </c>
      <c r="AG530" s="6" t="s">
        <v>294</v>
      </c>
      <c r="AH530" s="6" t="s">
        <v>294</v>
      </c>
      <c r="AI530" s="6" t="s">
        <v>294</v>
      </c>
      <c r="AJ530" s="6" t="s">
        <v>294</v>
      </c>
      <c r="AK530" s="6" t="s">
        <v>294</v>
      </c>
      <c r="AL530" s="6" t="s">
        <v>294</v>
      </c>
      <c r="AN530" s="6" t="s">
        <v>294</v>
      </c>
      <c r="AO530" s="6" t="s">
        <v>294</v>
      </c>
      <c r="AP530" s="6" t="s">
        <v>294</v>
      </c>
      <c r="AQ530" s="6" t="s">
        <v>294</v>
      </c>
      <c r="AR530" s="6" t="s">
        <v>294</v>
      </c>
      <c r="AS530" s="6" t="s">
        <v>294</v>
      </c>
      <c r="AT530" s="6" t="s">
        <v>294</v>
      </c>
      <c r="AU530" s="8" t="s">
        <v>294</v>
      </c>
      <c r="AV530" s="6" t="s">
        <v>295</v>
      </c>
      <c r="AW530" s="6" t="s">
        <v>294</v>
      </c>
      <c r="AX530" s="6" t="s">
        <v>294</v>
      </c>
      <c r="BE530" s="6" t="s">
        <v>294</v>
      </c>
      <c r="BF530" s="6" t="s">
        <v>294</v>
      </c>
      <c r="BG530" s="6" t="s">
        <v>294</v>
      </c>
      <c r="BH530" s="6" t="s">
        <v>294</v>
      </c>
      <c r="BI530" s="6" t="s">
        <v>294</v>
      </c>
      <c r="BJ530" s="6" t="s">
        <v>294</v>
      </c>
      <c r="BK530" s="6" t="s">
        <v>294</v>
      </c>
      <c r="BL530" s="6" t="s">
        <v>294</v>
      </c>
      <c r="BM530" s="6" t="s">
        <v>294</v>
      </c>
      <c r="BN530" s="6" t="s">
        <v>294</v>
      </c>
      <c r="BO530" s="6" t="s">
        <v>294</v>
      </c>
      <c r="BP530" s="6" t="s">
        <v>294</v>
      </c>
      <c r="BQ530" s="6" t="s">
        <v>294</v>
      </c>
      <c r="BR530" s="6" t="s">
        <v>294</v>
      </c>
      <c r="BS530" s="6" t="s">
        <v>294</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304</v>
      </c>
    </row>
    <row r="2" spans="1:1">
      <c r="A2" s="15" t="s">
        <v>305</v>
      </c>
    </row>
    <row r="3" spans="1:1">
      <c r="A3" s="15" t="s">
        <v>306</v>
      </c>
    </row>
    <row r="4" spans="1:1">
      <c r="A4" s="15" t="s">
        <v>305</v>
      </c>
    </row>
    <row r="5" spans="1:1">
      <c r="A5" s="15" t="s">
        <v>307</v>
      </c>
    </row>
    <row r="6" spans="1:1">
      <c r="A6" s="15" t="s">
        <v>308</v>
      </c>
    </row>
    <row r="7" spans="1:1">
      <c r="A7" s="15" t="s">
        <v>305</v>
      </c>
    </row>
    <row r="8" spans="1:1">
      <c r="A8" s="19"/>
    </row>
    <row r="9" spans="1:1">
      <c r="A9" s="15" t="s">
        <v>309</v>
      </c>
    </row>
    <row r="10" spans="1:1">
      <c r="A10" s="15" t="s">
        <v>310</v>
      </c>
    </row>
    <row r="11" spans="1:1">
      <c r="A11" s="15" t="s">
        <v>309</v>
      </c>
    </row>
    <row r="12" spans="1:1">
      <c r="A12" s="15" t="s">
        <v>311</v>
      </c>
    </row>
    <row r="13" spans="1:1">
      <c r="A13" s="15" t="s">
        <v>312</v>
      </c>
    </row>
    <row r="14" spans="1:1">
      <c r="A14" s="15" t="s">
        <v>313</v>
      </c>
    </row>
    <row r="15" spans="1:1">
      <c r="A15" s="19"/>
    </row>
    <row r="16" spans="1:1">
      <c r="A16" s="15" t="s">
        <v>309</v>
      </c>
    </row>
    <row r="17" spans="1:1">
      <c r="A17" s="15" t="s">
        <v>314</v>
      </c>
    </row>
    <row r="18" spans="1:1">
      <c r="A18" s="15" t="s">
        <v>309</v>
      </c>
    </row>
    <row r="19" spans="1:1">
      <c r="A19" s="15" t="s">
        <v>315</v>
      </c>
    </row>
    <row r="20" spans="1:1">
      <c r="A20" s="20" t="s">
        <v>316</v>
      </c>
    </row>
    <row r="21" spans="1:1">
      <c r="A21" s="19"/>
    </row>
    <row r="22" spans="1:1">
      <c r="A22" s="15" t="s">
        <v>309</v>
      </c>
    </row>
    <row r="23" spans="1:1">
      <c r="A23" s="15" t="s">
        <v>317</v>
      </c>
    </row>
    <row r="24" spans="1:1">
      <c r="A24" s="15" t="s">
        <v>309</v>
      </c>
    </row>
    <row r="25" spans="1:1">
      <c r="A25" s="15" t="s">
        <v>318</v>
      </c>
    </row>
    <row r="26" spans="1:1">
      <c r="A26" s="15" t="s">
        <v>319</v>
      </c>
    </row>
    <row r="27" spans="1:1">
      <c r="A27" s="15" t="s">
        <v>320</v>
      </c>
    </row>
    <row r="28" spans="1:1">
      <c r="A28" s="15" t="s">
        <v>321</v>
      </c>
    </row>
    <row r="29" spans="1:1">
      <c r="A29" s="15" t="s">
        <v>322</v>
      </c>
    </row>
    <row r="30" spans="1:1">
      <c r="A30" s="19"/>
    </row>
    <row r="31" spans="1:1">
      <c r="A31" s="15" t="s">
        <v>323</v>
      </c>
    </row>
    <row r="32" spans="1:1">
      <c r="A32" s="15" t="s">
        <v>324</v>
      </c>
    </row>
    <row r="33" spans="1:1">
      <c r="A33" s="15" t="s">
        <v>325</v>
      </c>
    </row>
    <row r="34" spans="1:1">
      <c r="A34" s="15" t="s">
        <v>326</v>
      </c>
    </row>
    <row r="35" spans="1:1">
      <c r="A35" s="15" t="s">
        <v>322</v>
      </c>
    </row>
    <row r="36" spans="1:1">
      <c r="A36" s="19"/>
    </row>
    <row r="37" spans="1:1">
      <c r="A37" s="15" t="s">
        <v>309</v>
      </c>
    </row>
    <row r="38" spans="1:1">
      <c r="A38" s="15" t="s">
        <v>327</v>
      </c>
    </row>
    <row r="39" spans="1:1">
      <c r="A39" s="15" t="s">
        <v>309</v>
      </c>
    </row>
    <row r="40" spans="1:1">
      <c r="A40" s="20" t="s">
        <v>328</v>
      </c>
    </row>
    <row r="41" spans="1:1">
      <c r="A41" s="20" t="s">
        <v>329</v>
      </c>
    </row>
    <row r="42" spans="1:1">
      <c r="A42" s="16" t="s">
        <v>250</v>
      </c>
    </row>
    <row r="43" spans="1:1">
      <c r="A43" s="17" t="s">
        <v>244</v>
      </c>
    </row>
    <row r="44" spans="1:1">
      <c r="A44" s="19"/>
    </row>
    <row r="45" spans="1:1">
      <c r="A45" s="15" t="s">
        <v>309</v>
      </c>
    </row>
    <row r="46" spans="1:1">
      <c r="A46" s="20" t="s">
        <v>330</v>
      </c>
    </row>
    <row r="47" spans="1:1">
      <c r="A47" s="17" t="s">
        <v>331</v>
      </c>
    </row>
    <row r="48" spans="1:1">
      <c r="A48" s="19"/>
    </row>
    <row r="49" spans="1:1">
      <c r="A49" s="20" t="s">
        <v>332</v>
      </c>
    </row>
    <row r="50" spans="1:1">
      <c r="A50" s="19"/>
    </row>
    <row r="51" spans="1:1">
      <c r="A51" s="15" t="s">
        <v>309</v>
      </c>
    </row>
    <row r="52" spans="1:1">
      <c r="A52" s="15" t="s">
        <v>333</v>
      </c>
    </row>
    <row r="53" spans="1:1">
      <c r="A53" s="15" t="s">
        <v>309</v>
      </c>
    </row>
    <row r="54" spans="1:1">
      <c r="A54" s="15" t="s">
        <v>309</v>
      </c>
    </row>
    <row r="55" spans="1:1">
      <c r="A55" s="15" t="s">
        <v>334</v>
      </c>
    </row>
    <row r="56" spans="1:1">
      <c r="A56" s="15" t="s">
        <v>309</v>
      </c>
    </row>
    <row r="57" spans="1:1">
      <c r="A57" s="15" t="s">
        <v>309</v>
      </c>
    </row>
    <row r="58" spans="1:1">
      <c r="A58" s="15" t="s">
        <v>335</v>
      </c>
    </row>
    <row r="59" spans="1:1">
      <c r="A59" s="15" t="s">
        <v>309</v>
      </c>
    </row>
    <row r="60" spans="1:1">
      <c r="A60" s="15" t="s">
        <v>336</v>
      </c>
    </row>
    <row r="61" spans="1:1">
      <c r="A61" s="15"/>
    </row>
    <row r="62" spans="1:1">
      <c r="A62" s="15" t="s">
        <v>337</v>
      </c>
    </row>
    <row r="63" spans="1:1">
      <c r="A63" s="19"/>
    </row>
    <row r="64" spans="1:1">
      <c r="A64" s="15" t="s">
        <v>338</v>
      </c>
    </row>
    <row r="65" spans="1:1">
      <c r="A65" s="15" t="s">
        <v>339</v>
      </c>
    </row>
    <row r="66" spans="1:1">
      <c r="A66" s="15" t="s">
        <v>340</v>
      </c>
    </row>
    <row r="67" spans="1:1">
      <c r="A67" s="15" t="s">
        <v>341</v>
      </c>
    </row>
    <row r="68" spans="1:1">
      <c r="A68" s="15" t="s">
        <v>322</v>
      </c>
    </row>
    <row r="69" spans="1:1">
      <c r="A69" s="19"/>
    </row>
    <row r="70" spans="1:1">
      <c r="A70" s="19" t="s">
        <v>342</v>
      </c>
    </row>
    <row r="71" spans="1:1">
      <c r="A71" s="19"/>
    </row>
    <row r="72" spans="1:1">
      <c r="A72" s="15" t="s">
        <v>309</v>
      </c>
    </row>
    <row r="73" spans="1:1">
      <c r="A73" s="15" t="s">
        <v>343</v>
      </c>
    </row>
    <row r="74" spans="1:1">
      <c r="A74" s="15" t="s">
        <v>309</v>
      </c>
    </row>
    <row r="75" spans="1:1">
      <c r="A75" s="15" t="s">
        <v>309</v>
      </c>
    </row>
    <row r="76" spans="1:1">
      <c r="A76" s="15" t="s">
        <v>344</v>
      </c>
    </row>
    <row r="77" spans="1:1">
      <c r="A77" s="15" t="s">
        <v>309</v>
      </c>
    </row>
    <row r="78" spans="1:1">
      <c r="A78" s="15" t="s">
        <v>345</v>
      </c>
    </row>
    <row r="79" spans="1:1">
      <c r="A79" s="15"/>
    </row>
    <row r="80" spans="1:1">
      <c r="A80" s="15" t="s">
        <v>346</v>
      </c>
    </row>
    <row r="81" spans="1:1">
      <c r="A81" s="19"/>
    </row>
    <row r="82" spans="1:1">
      <c r="A82" s="15" t="s">
        <v>309</v>
      </c>
    </row>
    <row r="83" spans="1:1">
      <c r="A83" s="15" t="s">
        <v>347</v>
      </c>
    </row>
    <row r="84" spans="1:1">
      <c r="A84" s="15" t="s">
        <v>348</v>
      </c>
    </row>
    <row r="85" spans="1:1">
      <c r="A85" s="15" t="s">
        <v>349</v>
      </c>
    </row>
    <row r="86" spans="1:1">
      <c r="A86" s="17" t="s">
        <v>245</v>
      </c>
    </row>
    <row r="87" spans="1:1">
      <c r="A87" s="17" t="s">
        <v>246</v>
      </c>
    </row>
    <row r="88" spans="1:1">
      <c r="A88" s="17" t="s">
        <v>247</v>
      </c>
    </row>
    <row r="89" spans="1:1">
      <c r="A89" s="17" t="s">
        <v>248</v>
      </c>
    </row>
    <row r="90" spans="1:1">
      <c r="A90" s="17" t="s">
        <v>249</v>
      </c>
    </row>
    <row r="91" spans="1:1">
      <c r="A91" s="15" t="s">
        <v>350</v>
      </c>
    </row>
    <row r="92" spans="1:1">
      <c r="A92" s="15" t="s">
        <v>351</v>
      </c>
    </row>
    <row r="93" spans="1:1">
      <c r="A93" s="19"/>
    </row>
    <row r="94" spans="1:1">
      <c r="A94" s="15" t="s">
        <v>309</v>
      </c>
    </row>
    <row r="95" spans="1:1">
      <c r="A95" s="15" t="s">
        <v>352</v>
      </c>
    </row>
    <row r="96" spans="1:1">
      <c r="A96" s="17" t="s">
        <v>252</v>
      </c>
    </row>
    <row r="97" spans="1:1">
      <c r="A97" s="17" t="s">
        <v>253</v>
      </c>
    </row>
    <row r="98" spans="1:1">
      <c r="A98" s="15" t="s">
        <v>353</v>
      </c>
    </row>
    <row r="99" spans="1:1">
      <c r="A99" s="19"/>
    </row>
    <row r="100" spans="1:1">
      <c r="A100" s="15" t="s">
        <v>309</v>
      </c>
    </row>
    <row r="101" spans="1:1">
      <c r="A101" s="20" t="s">
        <v>354</v>
      </c>
    </row>
    <row r="102" spans="1:1">
      <c r="A102" s="20" t="s">
        <v>355</v>
      </c>
    </row>
    <row r="103" spans="1:1">
      <c r="A103" s="15" t="s">
        <v>356</v>
      </c>
    </row>
    <row r="104" spans="1:1">
      <c r="A104" s="19"/>
    </row>
    <row r="105" spans="1:1">
      <c r="A105" s="19" t="s">
        <v>357</v>
      </c>
    </row>
    <row r="106" spans="1:1">
      <c r="A106" s="19"/>
    </row>
    <row r="107" spans="1:1">
      <c r="A107" s="15" t="s">
        <v>309</v>
      </c>
    </row>
    <row r="108" spans="1:1">
      <c r="A108" s="15" t="s">
        <v>358</v>
      </c>
    </row>
    <row r="109" spans="1:1">
      <c r="A109" s="15" t="s">
        <v>309</v>
      </c>
    </row>
    <row r="110" spans="1:1">
      <c r="A110" s="15" t="s">
        <v>305</v>
      </c>
    </row>
    <row r="111" spans="1:1">
      <c r="A111" s="15" t="s">
        <v>359</v>
      </c>
    </row>
    <row r="112" spans="1:1">
      <c r="A112" s="15" t="s">
        <v>360</v>
      </c>
    </row>
    <row r="113" spans="1:1">
      <c r="A113" s="15" t="s">
        <v>359</v>
      </c>
    </row>
    <row r="114" spans="1:1">
      <c r="A114" s="15" t="s">
        <v>305</v>
      </c>
    </row>
    <row r="115" spans="1:1">
      <c r="A115" s="15" t="s">
        <v>359</v>
      </c>
    </row>
    <row r="116" spans="1:1">
      <c r="A116" s="15" t="s">
        <v>361</v>
      </c>
    </row>
    <row r="117" spans="1:1">
      <c r="A117" s="15" t="s">
        <v>362</v>
      </c>
    </row>
    <row r="118" spans="1:1">
      <c r="A118" s="15" t="s">
        <v>363</v>
      </c>
    </row>
    <row r="119" spans="1:1">
      <c r="A119" s="15" t="s">
        <v>359</v>
      </c>
    </row>
    <row r="120" spans="1:1">
      <c r="A120" s="15" t="s">
        <v>364</v>
      </c>
    </row>
    <row r="121" spans="1:1">
      <c r="A121" s="15" t="s">
        <v>362</v>
      </c>
    </row>
    <row r="122" spans="1:1">
      <c r="A122" s="15" t="s">
        <v>359</v>
      </c>
    </row>
    <row r="123" spans="1:1">
      <c r="A123" s="15" t="s">
        <v>359</v>
      </c>
    </row>
    <row r="124" spans="1:1">
      <c r="A124" s="15" t="s">
        <v>365</v>
      </c>
    </row>
    <row r="125" spans="1:1">
      <c r="A125" s="15" t="s">
        <v>359</v>
      </c>
    </row>
    <row r="126" spans="1:1">
      <c r="A126" s="15" t="s">
        <v>305</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304</v>
      </c>
    </row>
    <row r="2" spans="1:1">
      <c r="A2" s="15" t="s">
        <v>305</v>
      </c>
    </row>
    <row r="3" spans="1:1">
      <c r="A3" s="15" t="s">
        <v>366</v>
      </c>
    </row>
    <row r="4" spans="1:1">
      <c r="A4" s="15" t="s">
        <v>305</v>
      </c>
    </row>
    <row r="5" spans="1:1">
      <c r="A5" s="15" t="s">
        <v>367</v>
      </c>
    </row>
    <row r="6" spans="1:1">
      <c r="A6" s="15" t="s">
        <v>368</v>
      </c>
    </row>
    <row r="7" spans="1:1">
      <c r="A7" s="15" t="s">
        <v>368</v>
      </c>
    </row>
    <row r="8" spans="1:1">
      <c r="A8" s="15" t="s">
        <v>369</v>
      </c>
    </row>
    <row r="9" spans="1:1">
      <c r="A9" s="15" t="s">
        <v>370</v>
      </c>
    </row>
    <row r="10" spans="1:1">
      <c r="A10" s="15" t="s">
        <v>371</v>
      </c>
    </row>
    <row r="11" spans="1:1">
      <c r="A11" s="15" t="s">
        <v>368</v>
      </c>
    </row>
    <row r="12" spans="1:1">
      <c r="A12" s="15" t="s">
        <v>305</v>
      </c>
    </row>
    <row r="14" spans="1:1">
      <c r="A14" s="15" t="s">
        <v>372</v>
      </c>
    </row>
    <row r="15" spans="1:1">
      <c r="A15" s="15" t="s">
        <v>373</v>
      </c>
    </row>
    <row r="17" spans="1:1">
      <c r="A17" s="15" t="s">
        <v>309</v>
      </c>
    </row>
    <row r="18" spans="1:1">
      <c r="A18" s="15" t="s">
        <v>374</v>
      </c>
    </row>
    <row r="19" spans="1:1">
      <c r="A19" s="15" t="s">
        <v>309</v>
      </c>
    </row>
    <row r="20" spans="1:1">
      <c r="A20" s="15" t="s">
        <v>375</v>
      </c>
    </row>
    <row r="21" spans="1:1">
      <c r="A21" s="15" t="s">
        <v>376</v>
      </c>
    </row>
    <row r="22" spans="1:1">
      <c r="A22" s="15" t="s">
        <v>377</v>
      </c>
    </row>
    <row r="24" spans="1:1">
      <c r="A24" s="15" t="s">
        <v>309</v>
      </c>
    </row>
    <row r="25" spans="1:1">
      <c r="A25" s="15" t="s">
        <v>378</v>
      </c>
    </row>
    <row r="26" spans="1:1">
      <c r="A26" s="15" t="s">
        <v>309</v>
      </c>
    </row>
    <row r="27" spans="1:1">
      <c r="A27" s="20" t="s">
        <v>379</v>
      </c>
    </row>
    <row r="29" spans="1:1">
      <c r="A29" s="15" t="s">
        <v>380</v>
      </c>
    </row>
    <row r="30" spans="1:1">
      <c r="A30" s="15" t="s">
        <v>381</v>
      </c>
    </row>
    <row r="31" spans="1:1">
      <c r="A31" s="15" t="s">
        <v>380</v>
      </c>
    </row>
    <row r="32" spans="1:1">
      <c r="A32" s="17" t="s">
        <v>239</v>
      </c>
    </row>
    <row r="34" spans="1:1">
      <c r="A34" s="15" t="s">
        <v>309</v>
      </c>
    </row>
    <row r="35" spans="1:1">
      <c r="A35" s="20" t="s">
        <v>382</v>
      </c>
    </row>
    <row r="37" spans="1:1">
      <c r="A37" s="17" t="s">
        <v>240</v>
      </c>
    </row>
    <row r="38" spans="1:1">
      <c r="A38" s="17" t="s">
        <v>241</v>
      </c>
    </row>
    <row r="39" spans="1:1">
      <c r="A39" s="17" t="s">
        <v>242</v>
      </c>
    </row>
    <row r="40" spans="1:1">
      <c r="A40" s="17" t="s">
        <v>243</v>
      </c>
    </row>
    <row r="42" spans="1:1">
      <c r="A42" s="15" t="s">
        <v>309</v>
      </c>
    </row>
    <row r="43" spans="1:1">
      <c r="A43" s="15" t="s">
        <v>383</v>
      </c>
    </row>
    <row r="45" spans="1:1">
      <c r="A45" s="15" t="s">
        <v>309</v>
      </c>
    </row>
    <row r="46" spans="1:1">
      <c r="A46" s="15" t="s">
        <v>384</v>
      </c>
    </row>
    <row r="47" spans="1:1">
      <c r="A47" s="15" t="s">
        <v>309</v>
      </c>
    </row>
    <row r="48" spans="1:1">
      <c r="A48" s="15" t="s">
        <v>309</v>
      </c>
    </row>
    <row r="49" spans="1:1">
      <c r="A49" s="15" t="s">
        <v>385</v>
      </c>
    </row>
    <row r="50" spans="1:1">
      <c r="A50" s="15" t="s">
        <v>309</v>
      </c>
    </row>
    <row r="51" spans="1:1">
      <c r="A51" s="15" t="s">
        <v>309</v>
      </c>
    </row>
    <row r="52" spans="1:1">
      <c r="A52" s="15" t="s">
        <v>386</v>
      </c>
    </row>
    <row r="53" spans="1:1">
      <c r="A53" s="15" t="s">
        <v>309</v>
      </c>
    </row>
    <row r="54" spans="1:1">
      <c r="A54" s="15" t="s">
        <v>309</v>
      </c>
    </row>
    <row r="55" spans="1:1">
      <c r="A55" s="15" t="s">
        <v>387</v>
      </c>
    </row>
    <row r="56" spans="1:1">
      <c r="A56" s="15" t="s">
        <v>309</v>
      </c>
    </row>
    <row r="58" spans="1:1">
      <c r="A58" s="15" t="s">
        <v>388</v>
      </c>
    </row>
    <row r="60" spans="1:1">
      <c r="A60" s="15" t="s">
        <v>305</v>
      </c>
    </row>
    <row r="61" spans="1:1">
      <c r="A61" s="15" t="s">
        <v>368</v>
      </c>
    </row>
    <row r="62" spans="1:1">
      <c r="A62" s="15" t="s">
        <v>389</v>
      </c>
    </row>
    <row r="63" spans="1:1">
      <c r="A63" s="15" t="s">
        <v>368</v>
      </c>
    </row>
    <row r="64" spans="1:1">
      <c r="A64" s="15" t="s">
        <v>305</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390</v>
      </c>
    </row>
    <row r="2" spans="1:3">
      <c r="A2" s="45" t="s">
        <v>391</v>
      </c>
    </row>
    <row r="3" spans="1:3">
      <c r="A3" s="34" t="s">
        <v>392</v>
      </c>
      <c r="B3" s="34" t="s">
        <v>393</v>
      </c>
    </row>
    <row r="4" spans="1:3">
      <c r="A4" s="103" t="s">
        <v>394</v>
      </c>
      <c r="B4" s="36" t="s">
        <v>395</v>
      </c>
    </row>
    <row r="5" spans="1:3">
      <c r="A5" s="103"/>
      <c r="B5" s="37" t="s">
        <v>396</v>
      </c>
    </row>
    <row r="6" spans="1:3">
      <c r="A6" s="103" t="s">
        <v>397</v>
      </c>
      <c r="B6" s="38" t="s">
        <v>398</v>
      </c>
    </row>
    <row r="7" spans="1:3">
      <c r="A7" s="103"/>
      <c r="B7" s="39" t="s">
        <v>399</v>
      </c>
    </row>
    <row r="8" spans="1:3">
      <c r="A8" s="103"/>
      <c r="B8" s="40" t="s">
        <v>400</v>
      </c>
    </row>
    <row r="9" spans="1:3">
      <c r="A9" s="103" t="s">
        <v>401</v>
      </c>
      <c r="B9" s="41" t="s">
        <v>402</v>
      </c>
    </row>
    <row r="10" spans="1:3">
      <c r="A10" s="103"/>
      <c r="B10" s="37" t="s">
        <v>403</v>
      </c>
    </row>
    <row r="11" spans="1:3">
      <c r="A11" s="103" t="s">
        <v>404</v>
      </c>
      <c r="B11" s="36" t="s">
        <v>405</v>
      </c>
    </row>
    <row r="12" spans="1:3">
      <c r="A12" s="103"/>
      <c r="B12" s="37" t="s">
        <v>406</v>
      </c>
    </row>
    <row r="13" spans="1:3">
      <c r="A13" s="103" t="s">
        <v>407</v>
      </c>
      <c r="B13" s="36" t="s">
        <v>408</v>
      </c>
    </row>
    <row r="14" spans="1:3">
      <c r="A14" s="103"/>
      <c r="B14" s="37" t="s">
        <v>409</v>
      </c>
      <c r="C14" s="6"/>
    </row>
    <row r="15" spans="1:3">
      <c r="A15" s="103" t="s">
        <v>410</v>
      </c>
      <c r="B15" s="36" t="s">
        <v>411</v>
      </c>
    </row>
    <row r="16" spans="1:3">
      <c r="A16" s="103"/>
      <c r="B16" s="42" t="s">
        <v>412</v>
      </c>
    </row>
    <row r="17" spans="1:2">
      <c r="A17" s="103"/>
      <c r="B17" s="37" t="s">
        <v>413</v>
      </c>
    </row>
    <row r="18" spans="1:2">
      <c r="A18" s="103" t="s">
        <v>414</v>
      </c>
      <c r="B18" s="36" t="s">
        <v>415</v>
      </c>
    </row>
    <row r="19" spans="1:2">
      <c r="A19" s="103"/>
      <c r="B19" s="42" t="s">
        <v>416</v>
      </c>
    </row>
    <row r="20" spans="1:2">
      <c r="A20" s="103"/>
      <c r="B20" s="37" t="s">
        <v>417</v>
      </c>
    </row>
    <row r="21" spans="1:2">
      <c r="A21" s="35" t="s">
        <v>418</v>
      </c>
      <c r="B21" s="35" t="s">
        <v>419</v>
      </c>
    </row>
    <row r="22" spans="1:2">
      <c r="A22" s="103" t="s">
        <v>420</v>
      </c>
      <c r="B22" s="36" t="s">
        <v>421</v>
      </c>
    </row>
    <row r="23" spans="1:2">
      <c r="A23" s="103"/>
      <c r="B23" s="42" t="s">
        <v>422</v>
      </c>
    </row>
    <row r="24" spans="1:2">
      <c r="A24" s="103"/>
      <c r="B24" s="37" t="s">
        <v>423</v>
      </c>
    </row>
    <row r="25" spans="1:2">
      <c r="A25" s="103" t="s">
        <v>424</v>
      </c>
      <c r="B25" s="36" t="s">
        <v>425</v>
      </c>
    </row>
    <row r="26" spans="1:2">
      <c r="A26" s="103"/>
      <c r="B26" s="37" t="s">
        <v>426</v>
      </c>
    </row>
    <row r="27" spans="1:2">
      <c r="A27" s="103" t="s">
        <v>427</v>
      </c>
      <c r="B27" s="36" t="s">
        <v>428</v>
      </c>
    </row>
    <row r="28" spans="1:2">
      <c r="A28" s="103"/>
      <c r="B28" s="37" t="s">
        <v>429</v>
      </c>
    </row>
    <row r="29" spans="1:2">
      <c r="A29" s="35" t="s">
        <v>430</v>
      </c>
      <c r="B29" s="35" t="s">
        <v>431</v>
      </c>
    </row>
    <row r="30" spans="1:2">
      <c r="A30" s="103" t="s">
        <v>432</v>
      </c>
      <c r="B30" s="38" t="s">
        <v>433</v>
      </c>
    </row>
    <row r="31" spans="1:2">
      <c r="A31" s="103"/>
      <c r="B31" s="39" t="s">
        <v>434</v>
      </c>
    </row>
    <row r="32" spans="1:2">
      <c r="A32" s="103"/>
      <c r="B32" s="40" t="s">
        <v>435</v>
      </c>
    </row>
    <row r="33" spans="1:2">
      <c r="A33" s="35" t="s">
        <v>436</v>
      </c>
      <c r="B33" s="35" t="s">
        <v>437</v>
      </c>
    </row>
    <row r="34" spans="1:2">
      <c r="A34" s="103" t="s">
        <v>438</v>
      </c>
      <c r="B34" s="41" t="s">
        <v>439</v>
      </c>
    </row>
    <row r="35" spans="1:2">
      <c r="A35" s="103"/>
      <c r="B35" s="43" t="s">
        <v>440</v>
      </c>
    </row>
    <row r="36" spans="1:2">
      <c r="A36" s="103" t="s">
        <v>441</v>
      </c>
      <c r="B36" s="36" t="s">
        <v>442</v>
      </c>
    </row>
    <row r="37" spans="1:2">
      <c r="A37" s="103"/>
      <c r="B37" s="37" t="s">
        <v>443</v>
      </c>
    </row>
    <row r="38" spans="1:2">
      <c r="A38" s="35" t="s">
        <v>444</v>
      </c>
      <c r="B38" s="35" t="s">
        <v>445</v>
      </c>
    </row>
    <row r="39" spans="1:2">
      <c r="A39" s="32"/>
      <c r="B39" s="32"/>
    </row>
    <row r="40" spans="1:2">
      <c r="A40" s="32" t="s">
        <v>446</v>
      </c>
      <c r="B40" s="32"/>
    </row>
    <row r="41" spans="1:2">
      <c r="A41" s="32"/>
      <c r="B41" s="32"/>
    </row>
    <row r="42" spans="1:2">
      <c r="A42" s="32" t="s">
        <v>447</v>
      </c>
      <c r="B42" s="32"/>
    </row>
    <row r="43" spans="1:2">
      <c r="A43" s="32"/>
      <c r="B43" s="32"/>
    </row>
    <row r="44" spans="1:2">
      <c r="A44" s="33"/>
      <c r="B44" s="6"/>
    </row>
    <row r="45" spans="1:2">
      <c r="A45" s="44" t="s">
        <v>448</v>
      </c>
      <c r="B45" s="6"/>
    </row>
    <row r="46" spans="1:2">
      <c r="A46" s="44" t="s">
        <v>449</v>
      </c>
      <c r="B46" s="6"/>
    </row>
    <row r="47" spans="1:2">
      <c r="A47" s="44" t="s">
        <v>450</v>
      </c>
      <c r="B47" s="6"/>
    </row>
  </sheetData>
  <mergeCells count="13">
    <mergeCell ref="A36:A37"/>
    <mergeCell ref="A18:A20"/>
    <mergeCell ref="A22:A24"/>
    <mergeCell ref="A25:A26"/>
    <mergeCell ref="A27:A28"/>
    <mergeCell ref="A30:A32"/>
    <mergeCell ref="A34:A35"/>
    <mergeCell ref="A15:A17"/>
    <mergeCell ref="A4:A5"/>
    <mergeCell ref="A6:A8"/>
    <mergeCell ref="A9:A10"/>
    <mergeCell ref="A11:A12"/>
    <mergeCell ref="A13:A14"/>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Tatsuya Niimi (新美　龍哉)</cp:lastModifiedBy>
  <cp:revision/>
  <dcterms:created xsi:type="dcterms:W3CDTF">2025-06-13T10:44:17Z</dcterms:created>
  <dcterms:modified xsi:type="dcterms:W3CDTF">2025-09-12T06:14:06Z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