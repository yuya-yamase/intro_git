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work\01.業務\共有\BEV\iVDsh_AddLabel_dn-cdc-mcu\tool_cfg\iVDsh\"/>
    </mc:Choice>
  </mc:AlternateContent>
  <xr:revisionPtr revIDLastSave="0" documentId="13_ncr:1_{C5B21AF0-8E42-45A8-A85D-E7F7C60D71AD}" xr6:coauthVersionLast="47" xr6:coauthVersionMax="47" xr10:uidLastSave="{00000000-0000-0000-0000-000000000000}"/>
  <bookViews>
    <workbookView xWindow="-120" yWindow="-120" windowWidth="29040" windowHeight="15720" activeTab="2" xr2:uid="{73665BF1-5B85-40F2-AF9C-B960052A5A7D}"/>
  </bookViews>
  <sheets>
    <sheet name="Tool Version" sheetId="85" r:id="rId1"/>
    <sheet name="Readme" sheetId="86" r:id="rId2"/>
    <sheet name="Inter-VM Data Table" sheetId="1" r:id="rId3"/>
    <sheet name="ファイル出力先" sheetId="37" r:id="rId4"/>
    <sheet name="Appendix.VM間通信ページからのExport" sheetId="87" r:id="rId5"/>
    <sheet name="→開発者用シート" sheetId="65" state="hidden" r:id="rId6"/>
    <sheet name="VM#0" sheetId="79" state="hidden" r:id="rId7"/>
    <sheet name="VM#1" sheetId="82" state="hidden" r:id="rId8"/>
    <sheet name="VM#2" sheetId="83" state="hidden" r:id="rId9"/>
    <sheet name="VM#3" sheetId="84" state="hidden" r:id="rId10"/>
    <sheet name="ivdsh_cfg.c" sheetId="43" state="hidden" r:id="rId11"/>
    <sheet name="ivdsh_did.h" sheetId="46" state="hidden" r:id="rId12"/>
    <sheet name="→ツールの解説" sheetId="64" state="hidden" r:id="rId13"/>
    <sheet name="シート間の関係図" sheetId="66" state="hidden" r:id="rId14"/>
    <sheet name="マクロマニュアル" sheetId="63" state="hidden" r:id="rId15"/>
  </sheets>
  <functionGroups builtInGroupCount="19"/>
  <definedNames>
    <definedName name="__NAMEARRAY__IVDSH_DID_REA_VM0__" localSheetId="6">'VM#0'!$BF$12:$BF$529</definedName>
    <definedName name="__NAMEARRAY__IVDSH_DID_REA_VM0__" localSheetId="7">'VM#1'!$BF$12:$BF$529</definedName>
    <definedName name="__NAMEARRAY__IVDSH_DID_REA_VM0__" localSheetId="8">'VM#2'!$BF$12:$BF$529</definedName>
    <definedName name="__NAMEARRAY__IVDSH_DID_REA_VM0__" localSheetId="9">'VM#3'!$BF$12:$BF$529</definedName>
    <definedName name="__NAMEARRAY__IVDSH_DID_REA_VM1__" localSheetId="6">'VM#0'!$BG$12:$BG$529</definedName>
    <definedName name="__NAMEARRAY__IVDSH_DID_REA_VM1__" localSheetId="7">'VM#1'!$BG$12:$BG$529</definedName>
    <definedName name="__NAMEARRAY__IVDSH_DID_REA_VM1__" localSheetId="8">'VM#2'!$BG$12:$BG$529</definedName>
    <definedName name="__NAMEARRAY__IVDSH_DID_REA_VM1__" localSheetId="9">'VM#3'!$BG$12:$BG$529</definedName>
    <definedName name="__NAMEARRAY__IVDSH_DID_REA_VM2__" localSheetId="6">'VM#0'!$BH$12:$BH$529</definedName>
    <definedName name="__NAMEARRAY__IVDSH_DID_REA_VM2__" localSheetId="7">'VM#1'!$BH$12:$BH$529</definedName>
    <definedName name="__NAMEARRAY__IVDSH_DID_REA_VM2__" localSheetId="8">'VM#2'!$BH$12:$BH$529</definedName>
    <definedName name="__NAMEARRAY__IVDSH_DID_REA_VM2__" localSheetId="9">'VM#3'!$BH$12:$BH$529</definedName>
    <definedName name="__NAMEARRAY__IVDSH_DID_REA_VM3__" localSheetId="6">'VM#0'!$BI$12:$BI$529</definedName>
    <definedName name="__NAMEARRAY__IVDSH_DID_REA_VM3__" localSheetId="7">'VM#1'!$BI$12:$BI$529</definedName>
    <definedName name="__NAMEARRAY__IVDSH_DID_REA_VM3__" localSheetId="8">'VM#2'!$BI$12:$BI$529</definedName>
    <definedName name="__NAMEARRAY__IVDSH_DID_REA_VM3__" localSheetId="9">'VM#3'!$BI$12:$BI$529</definedName>
    <definedName name="__NAMEARRAY__IVDSH_DID_WRI__" localSheetId="6">'VM#0'!$BE$12:$BE$529</definedName>
    <definedName name="__NAMEARRAY__IVDSH_DID_WRI__" localSheetId="7">'VM#1'!$BE$12:$BE$529</definedName>
    <definedName name="__NAMEARRAY__IVDSH_DID_WRI__" localSheetId="8">'VM#2'!$BE$12:$BE$529</definedName>
    <definedName name="__NAMEARRAY__IVDSH_DID_WRI__" localSheetId="9">'VM#3'!$BE$12:$BE$529</definedName>
    <definedName name="__NAMEARRAY__IVDSH_FQ_CH_REA_XXX__" localSheetId="6">'VM#0'!$BP$12:$BP$529</definedName>
    <definedName name="__NAMEARRAY__IVDSH_FQ_CH_REA_XXX__" localSheetId="7">'VM#1'!$BP$12:$BP$529</definedName>
    <definedName name="__NAMEARRAY__IVDSH_FQ_CH_REA_XXX__" localSheetId="8">'VM#2'!$BP$12:$BP$529</definedName>
    <definedName name="__NAMEARRAY__IVDSH_FQ_CH_REA_XXX__" localSheetId="9">'VM#3'!$BP$12:$BP$529</definedName>
    <definedName name="__NAMEARRAY__IVDSH_FQ_CH_WRI__" localSheetId="6">'VM#0'!$BJ$12:$BJ$529</definedName>
    <definedName name="__NAMEARRAY__IVDSH_FQ_CH_WRI__" localSheetId="7">'VM#1'!$BJ$12:$BJ$529</definedName>
    <definedName name="__NAMEARRAY__IVDSH_FQ_CH_WRI__" localSheetId="8">'VM#2'!$BJ$12:$BJ$529</definedName>
    <definedName name="__NAMEARRAY__IVDSH_FQ_CH_WRI__" localSheetId="9">'VM#3'!$BJ$12:$BJ$529</definedName>
    <definedName name="__NAMEARRAY__IVDSH_WA_NWORD_REA_XXX__" localSheetId="6">'VM#0'!$BQ$12:$BQ$529</definedName>
    <definedName name="__NAMEARRAY__IVDSH_WA_NWORD_REA_XXX__" localSheetId="7">'VM#1'!$BQ$12:$BQ$529</definedName>
    <definedName name="__NAMEARRAY__IVDSH_WA_NWORD_REA_XXX__" localSheetId="8">'VM#2'!$BQ$12:$BQ$529</definedName>
    <definedName name="__NAMEARRAY__IVDSH_WA_NWORD_REA_XXX__" localSheetId="9">'VM#3'!$BQ$12:$BQ$529</definedName>
    <definedName name="__NAMEARRAY__st_gp_IVDSH_WA_BY_DID_ReadVM0__" localSheetId="6">'VM#0'!$BL$12:$BL$529</definedName>
    <definedName name="__NAMEARRAY__st_gp_IVDSH_WA_BY_DID_ReadVM0__" localSheetId="7">'VM#1'!$BL$12:$BL$529</definedName>
    <definedName name="__NAMEARRAY__st_gp_IVDSH_WA_BY_DID_ReadVM0__" localSheetId="8">'VM#2'!$BL$12:$BL$529</definedName>
    <definedName name="__NAMEARRAY__st_gp_IVDSH_WA_BY_DID_ReadVM0__" localSheetId="9">'VM#3'!$BL$12:$BL$529</definedName>
    <definedName name="__NAMEARRAY__st_gp_IVDSH_WA_BY_DID_ReadVM1__" localSheetId="6">'VM#0'!$BM$12:$BM$529</definedName>
    <definedName name="__NAMEARRAY__st_gp_IVDSH_WA_BY_DID_ReadVM1__" localSheetId="7">'VM#1'!$BM$12:$BM$529</definedName>
    <definedName name="__NAMEARRAY__st_gp_IVDSH_WA_BY_DID_ReadVM1__" localSheetId="8">'VM#2'!$BM$12:$BM$529</definedName>
    <definedName name="__NAMEARRAY__st_gp_IVDSH_WA_BY_DID_ReadVM1__" localSheetId="9">'VM#3'!$BM$12:$BM$529</definedName>
    <definedName name="__NAMEARRAY__st_gp_IVDSH_WA_BY_DID_ReadVM2__" localSheetId="6">'VM#0'!$BN$12:$BN$529</definedName>
    <definedName name="__NAMEARRAY__st_gp_IVDSH_WA_BY_DID_ReadVM2__" localSheetId="7">'VM#1'!$BN$12:$BN$529</definedName>
    <definedName name="__NAMEARRAY__st_gp_IVDSH_WA_BY_DID_ReadVM2__" localSheetId="8">'VM#2'!$BN$12:$BN$529</definedName>
    <definedName name="__NAMEARRAY__st_gp_IVDSH_WA_BY_DID_ReadVM2__" localSheetId="9">'VM#3'!$BN$12:$BN$529</definedName>
    <definedName name="__NAMEARRAY__st_gp_IVDSH_WA_BY_DID_ReadVM3__" localSheetId="6">'VM#0'!$BO$12:$BO$529</definedName>
    <definedName name="__NAMEARRAY__st_gp_IVDSH_WA_BY_DID_ReadVM3__" localSheetId="7">'VM#1'!$BO$12:$BO$529</definedName>
    <definedName name="__NAMEARRAY__st_gp_IVDSH_WA_BY_DID_ReadVM3__" localSheetId="8">'VM#2'!$BO$12:$BO$529</definedName>
    <definedName name="__NAMEARRAY__st_gp_IVDSH_WA_BY_DID_ReadVM3__" localSheetId="9">'VM#3'!$BO$12:$BO$529</definedName>
    <definedName name="__NAMEARRAY__st_gp_IVDSH_WA_BY_DID_Write__" localSheetId="6">'VM#0'!$BK$12:$BK$529</definedName>
    <definedName name="__NAMEARRAY__st_gp_IVDSH_WA_BY_DID_Write__" localSheetId="7">'VM#1'!$BK$12:$BK$529</definedName>
    <definedName name="__NAMEARRAY__st_gp_IVDSH_WA_BY_DID_Write__" localSheetId="8">'VM#2'!$BK$12:$BK$529</definedName>
    <definedName name="__NAMEARRAY__st_gp_IVDSH_WA_BY_DID_Write__" localSheetId="9">'VM#3'!$BK$12:$BK$529</definedName>
    <definedName name="__NAMEARRAY__st_sp_IVDSH_FQ_CH_REA_XXX___" localSheetId="6">'VM#0'!$BR$17:$BR$529</definedName>
    <definedName name="__NAMEARRAY__st_sp_IVDSH_FQ_CH_REA_XXX___" localSheetId="7">'VM#1'!$BR$17:$BR$529</definedName>
    <definedName name="__NAMEARRAY__st_sp_IVDSH_FQ_CH_REA_XXX___" localSheetId="8">'VM#2'!$BR$17:$BR$529</definedName>
    <definedName name="__NAMEARRAY__st_sp_IVDSH_FQ_CH_REA_XXX___" localSheetId="9">'VM#3'!$BR$17:$BR$529</definedName>
    <definedName name="__NAMEARRAY__st_sp_IVDSH_FQ_CH_WRI_XXX___" localSheetId="6">'VM#0'!$BS$17:$BS$529</definedName>
    <definedName name="__NAMEARRAY__st_sp_IVDSH_FQ_CH_WRI_XXX___" localSheetId="7">'VM#1'!$BS$17:$BS$529</definedName>
    <definedName name="__NAMEARRAY__st_sp_IVDSH_FQ_CH_WRI_XXX___" localSheetId="8">'VM#2'!$BS$17:$BS$529</definedName>
    <definedName name="__NAMEARRAY__st_sp_IVDSH_FQ_CH_WRI_XXX___" localSheetId="9">'VM#3'!$BS$17:$BS$529</definedName>
    <definedName name="__NAMEVAL__IVDSH_NUM_DID_REA__" localSheetId="6">'VM#0'!$BB$18</definedName>
    <definedName name="__NAMEVAL__IVDSH_NUM_DID_REA__" localSheetId="7">'VM#1'!$BB$18</definedName>
    <definedName name="__NAMEVAL__IVDSH_NUM_DID_REA__" localSheetId="8">'VM#2'!$BB$18</definedName>
    <definedName name="__NAMEVAL__IVDSH_NUM_DID_REA__" localSheetId="9">'VM#3'!$BB$18</definedName>
    <definedName name="__NAMEVAL__IVDSH_NUM_DID_WRI__" localSheetId="6">'VM#0'!$BB$17</definedName>
    <definedName name="__NAMEVAL__IVDSH_NUM_DID_WRI__" localSheetId="7">'VM#1'!$BB$17</definedName>
    <definedName name="__NAMEVAL__IVDSH_NUM_DID_WRI__" localSheetId="8">'VM#2'!$BB$17</definedName>
    <definedName name="__NAMEVAL__IVDSH_NUM_DID_WRI__" localSheetId="9">'VM#3'!$BB$17</definedName>
    <definedName name="__NAMEVAL__IVDSH_NUM_FQ_CH__" localSheetId="6">'VM#0'!$BB$19</definedName>
    <definedName name="__NAMEVAL__IVDSH_NUM_FQ_CH__" localSheetId="7">'VM#1'!$BB$19</definedName>
    <definedName name="__NAMEVAL__IVDSH_NUM_FQ_CH__" localSheetId="8">'VM#2'!$BB$19</definedName>
    <definedName name="__NAMEVAL__IVDSH_NUM_FQ_CH__" localSheetId="9">'VM#3'!$BB$19</definedName>
    <definedName name="__NAMEVAL__IVDSH_NUM_FQ_REA__" localSheetId="6">'VM#0'!$BB$20</definedName>
    <definedName name="__NAMEVAL__IVDSH_NUM_FQ_REA__" localSheetId="7">'VM#1'!$BB$20</definedName>
    <definedName name="__NAMEVAL__IVDSH_NUM_FQ_REA__" localSheetId="8">'VM#2'!$BB$20</definedName>
    <definedName name="__NAMEVAL__IVDSH_NUM_FQ_REA__" localSheetId="9">'VM#3'!$BB$20</definedName>
    <definedName name="__NAMEVAL__IVDSH_WA_NWORD__" localSheetId="6">'VM#0'!$BB$22</definedName>
    <definedName name="__NAMEVAL__IVDSH_WA_NWORD__" localSheetId="7">'VM#1'!$BB$22</definedName>
    <definedName name="__NAMEVAL__IVDSH_WA_NWORD__" localSheetId="8">'VM#2'!$BB$22</definedName>
    <definedName name="__NAMEVAL__IVDSH_WA_NWORD__" localSheetId="9">'VM#3'!$BB$22</definedName>
    <definedName name="__NAMEVAL__IVDSH_WA_NWORD_WRI__" localSheetId="6">'VM#0'!$BB$21</definedName>
    <definedName name="__NAMEVAL__IVDSH_WA_NWORD_WRI__" localSheetId="7">'VM#1'!$BB$21</definedName>
    <definedName name="__NAMEVAL__IVDSH_WA_NWORD_WRI__" localSheetId="8">'VM#2'!$BB$21</definedName>
    <definedName name="__NAMEVAL__IVDSH_WA_NWORD_WRI__" localSheetId="9">'VM#3'!$BB$21</definedName>
    <definedName name="__NAMEVAL__stp_g_IVDSH_FQ_REA__" localSheetId="6">'VM#0'!$BB$24</definedName>
    <definedName name="__NAMEVAL__stp_g_IVDSH_FQ_REA__" localSheetId="7">'VM#1'!$BB$24</definedName>
    <definedName name="__NAMEVAL__stp_g_IVDSH_FQ_REA__" localSheetId="8">'VM#2'!$BB$24</definedName>
    <definedName name="__NAMEVAL__stp_g_IVDSH_FQ_REA__" localSheetId="9">'VM#3'!$BB$24</definedName>
    <definedName name="__NAMEVAL__stp_g_IVDSH_FQ_WRI__" localSheetId="6">'VM#0'!$BB$23</definedName>
    <definedName name="__NAMEVAL__stp_g_IVDSH_FQ_WRI__" localSheetId="7">'VM#1'!$BB$23</definedName>
    <definedName name="__NAMEVAL__stp_g_IVDSH_FQ_WRI__" localSheetId="8">'VM#2'!$BB$23</definedName>
    <definedName name="__NAMEVAL__stp_g_IVDSH_FQ_WRI__" localSheetId="9">'VM#3'!$BB$23</definedName>
    <definedName name="__NAMEVAL__VCCID_INCLUDE_HEADER__" localSheetId="6">'VM#0'!$BB$25</definedName>
    <definedName name="__NAMEVAL__VCCID_INCLUDE_HEADER__" localSheetId="7">'VM#1'!$BB$25</definedName>
    <definedName name="__NAMEVAL__VCCID_INCLUDE_HEADER__" localSheetId="8">'VM#2'!$BB$25</definedName>
    <definedName name="__NAMEVAL__VCCID_INCLUDE_HEADER__" localSheetId="9">'VM#3'!$BB$25</definedName>
    <definedName name="_xlnm._FilterDatabase" localSheetId="2" hidden="1">'Inter-VM Data Table'!$A$1:$P$37</definedName>
    <definedName name="_xlpm.data" hidden="1" xlm="1">#NAME?</definedName>
    <definedName name="_xlpm.label_col" hidden="1" xlm="1">#NAME?</definedName>
    <definedName name="_xlpm.vm_col" hidden="1" xlm="1">#NAME?</definedName>
  </definedNames>
  <calcPr calcId="191028"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K529" i="84" l="1"/>
  <c r="BE529" i="84"/>
  <c r="AP529" i="84"/>
  <c r="BO529" i="84" s="1"/>
  <c r="AH529" i="84"/>
  <c r="Z529" i="84"/>
  <c r="R529" i="84"/>
  <c r="BF529" i="84" s="1"/>
  <c r="J529" i="84"/>
  <c r="BK528" i="84"/>
  <c r="BE528" i="84"/>
  <c r="AP528" i="84"/>
  <c r="BO528" i="84" s="1"/>
  <c r="AH528" i="84"/>
  <c r="BH528" i="84" s="1"/>
  <c r="Z528" i="84"/>
  <c r="R528" i="84"/>
  <c r="BF528" i="84" s="1"/>
  <c r="J528" i="84"/>
  <c r="BK527" i="84"/>
  <c r="BE527" i="84"/>
  <c r="AP527" i="84"/>
  <c r="BO527" i="84" s="1"/>
  <c r="AH527" i="84"/>
  <c r="BH527" i="84" s="1"/>
  <c r="Z527" i="84"/>
  <c r="BM527" i="84" s="1"/>
  <c r="R527" i="84"/>
  <c r="BF527" i="84" s="1"/>
  <c r="J527" i="84"/>
  <c r="BK526" i="84"/>
  <c r="BE526" i="84"/>
  <c r="AP526" i="84"/>
  <c r="BI526" i="84" s="1"/>
  <c r="AH526" i="84"/>
  <c r="BH526" i="84" s="1"/>
  <c r="Z526" i="84"/>
  <c r="BM526" i="84" s="1"/>
  <c r="R526" i="84"/>
  <c r="BF526" i="84" s="1"/>
  <c r="J526" i="84"/>
  <c r="BK525" i="84"/>
  <c r="BE525" i="84"/>
  <c r="AP525" i="84"/>
  <c r="BO525" i="84" s="1"/>
  <c r="AH525" i="84"/>
  <c r="BH525" i="84" s="1"/>
  <c r="Z525" i="84"/>
  <c r="R525" i="84"/>
  <c r="BF525" i="84" s="1"/>
  <c r="J525" i="84"/>
  <c r="BK524" i="84"/>
  <c r="BE524" i="84"/>
  <c r="AP524" i="84"/>
  <c r="AH524" i="84"/>
  <c r="BH524" i="84" s="1"/>
  <c r="Z524" i="84"/>
  <c r="BM524" i="84" s="1"/>
  <c r="R524" i="84"/>
  <c r="BF524" i="84" s="1"/>
  <c r="J524" i="84"/>
  <c r="BK523" i="84"/>
  <c r="BE523" i="84"/>
  <c r="AP523" i="84"/>
  <c r="BO523" i="84" s="1"/>
  <c r="AH523" i="84"/>
  <c r="BH523" i="84" s="1"/>
  <c r="Z523" i="84"/>
  <c r="BG523" i="84" s="1"/>
  <c r="R523" i="84"/>
  <c r="BF523" i="84" s="1"/>
  <c r="J523" i="84"/>
  <c r="BK522" i="84"/>
  <c r="BE522" i="84"/>
  <c r="AP522" i="84"/>
  <c r="BI522" i="84" s="1"/>
  <c r="AH522" i="84"/>
  <c r="Z522" i="84"/>
  <c r="BM522" i="84" s="1"/>
  <c r="R522" i="84"/>
  <c r="BF522" i="84" s="1"/>
  <c r="J522" i="84"/>
  <c r="BK521" i="84"/>
  <c r="BE521" i="84"/>
  <c r="AP521" i="84"/>
  <c r="BI521" i="84" s="1"/>
  <c r="AH521" i="84"/>
  <c r="BH521" i="84" s="1"/>
  <c r="Z521" i="84"/>
  <c r="BG521" i="84" s="1"/>
  <c r="R521" i="84"/>
  <c r="BF521" i="84" s="1"/>
  <c r="J521" i="84"/>
  <c r="BK520" i="84"/>
  <c r="BE520" i="84"/>
  <c r="AP520" i="84"/>
  <c r="BO520" i="84" s="1"/>
  <c r="AH520" i="84"/>
  <c r="Z520" i="84"/>
  <c r="BG520" i="84" s="1"/>
  <c r="R520" i="84"/>
  <c r="J520" i="84"/>
  <c r="BK519" i="84"/>
  <c r="BE519" i="84"/>
  <c r="AP519" i="84"/>
  <c r="BO519" i="84" s="1"/>
  <c r="AH519" i="84"/>
  <c r="BH519" i="84" s="1"/>
  <c r="Z519" i="84"/>
  <c r="BG519" i="84" s="1"/>
  <c r="R519" i="84"/>
  <c r="BL519" i="84" s="1"/>
  <c r="J519" i="84"/>
  <c r="BK518" i="84"/>
  <c r="BE518" i="84"/>
  <c r="AP518" i="84"/>
  <c r="BI518" i="84" s="1"/>
  <c r="AH518" i="84"/>
  <c r="BH518" i="84" s="1"/>
  <c r="Z518" i="84"/>
  <c r="BM518" i="84" s="1"/>
  <c r="R518" i="84"/>
  <c r="J518" i="84"/>
  <c r="BK517" i="84"/>
  <c r="BE517" i="84"/>
  <c r="AP517" i="84"/>
  <c r="AH517" i="84"/>
  <c r="BH517" i="84" s="1"/>
  <c r="Z517" i="84"/>
  <c r="R517" i="84"/>
  <c r="BL517" i="84" s="1"/>
  <c r="J517" i="84"/>
  <c r="BK516" i="84"/>
  <c r="BE516" i="84"/>
  <c r="AP516" i="84"/>
  <c r="BO516" i="84" s="1"/>
  <c r="AH516" i="84"/>
  <c r="BH516" i="84" s="1"/>
  <c r="Z516" i="84"/>
  <c r="BG516" i="84" s="1"/>
  <c r="R516" i="84"/>
  <c r="BL516" i="84" s="1"/>
  <c r="J516" i="84"/>
  <c r="BK515" i="84"/>
  <c r="BE515" i="84"/>
  <c r="AP515" i="84"/>
  <c r="BI515" i="84" s="1"/>
  <c r="AH515" i="84"/>
  <c r="BH515" i="84" s="1"/>
  <c r="Z515" i="84"/>
  <c r="BG515" i="84" s="1"/>
  <c r="R515" i="84"/>
  <c r="J515" i="84"/>
  <c r="BK514" i="84"/>
  <c r="BE514" i="84"/>
  <c r="AP514" i="84"/>
  <c r="AH514" i="84"/>
  <c r="BH514" i="84" s="1"/>
  <c r="Z514" i="84"/>
  <c r="BM514" i="84" s="1"/>
  <c r="R514" i="84"/>
  <c r="BL514" i="84" s="1"/>
  <c r="J514" i="84"/>
  <c r="BK513" i="84"/>
  <c r="BE513" i="84"/>
  <c r="AP513" i="84"/>
  <c r="BO513" i="84" s="1"/>
  <c r="AH513" i="84"/>
  <c r="BH513" i="84" s="1"/>
  <c r="Z513" i="84"/>
  <c r="R513" i="84"/>
  <c r="BL513" i="84" s="1"/>
  <c r="J513" i="84"/>
  <c r="BK512" i="84"/>
  <c r="BE512" i="84"/>
  <c r="AP512" i="84"/>
  <c r="BI512" i="84" s="1"/>
  <c r="AH512" i="84"/>
  <c r="BH512" i="84" s="1"/>
  <c r="Z512" i="84"/>
  <c r="BG512" i="84" s="1"/>
  <c r="R512" i="84"/>
  <c r="J512" i="84"/>
  <c r="BK511" i="84"/>
  <c r="BE511" i="84"/>
  <c r="AP511" i="84"/>
  <c r="AH511" i="84"/>
  <c r="BH511" i="84" s="1"/>
  <c r="Z511" i="84"/>
  <c r="BG511" i="84" s="1"/>
  <c r="R511" i="84"/>
  <c r="BL511" i="84" s="1"/>
  <c r="J511" i="84"/>
  <c r="BK510" i="84"/>
  <c r="BE510" i="84"/>
  <c r="AP510" i="84"/>
  <c r="BO510" i="84" s="1"/>
  <c r="AH510" i="84"/>
  <c r="BH510" i="84" s="1"/>
  <c r="Z510" i="84"/>
  <c r="BM510" i="84" s="1"/>
  <c r="R510" i="84"/>
  <c r="BL510" i="84" s="1"/>
  <c r="J510" i="84"/>
  <c r="BK509" i="84"/>
  <c r="BE509" i="84"/>
  <c r="AP509" i="84"/>
  <c r="BI509" i="84" s="1"/>
  <c r="AH509" i="84"/>
  <c r="BH509" i="84" s="1"/>
  <c r="Z509" i="84"/>
  <c r="R509" i="84"/>
  <c r="BL509" i="84" s="1"/>
  <c r="J509" i="84"/>
  <c r="BK508" i="84"/>
  <c r="BE508" i="84"/>
  <c r="AP508" i="84"/>
  <c r="AH508" i="84"/>
  <c r="BH508" i="84" s="1"/>
  <c r="Z508" i="84"/>
  <c r="BG508" i="84" s="1"/>
  <c r="R508" i="84"/>
  <c r="BL508" i="84" s="1"/>
  <c r="J508" i="84"/>
  <c r="BK507" i="84"/>
  <c r="BE507" i="84"/>
  <c r="AP507" i="84"/>
  <c r="BO507" i="84" s="1"/>
  <c r="AH507" i="84"/>
  <c r="BH507" i="84" s="1"/>
  <c r="Z507" i="84"/>
  <c r="BG507" i="84" s="1"/>
  <c r="R507" i="84"/>
  <c r="BL507" i="84" s="1"/>
  <c r="J507" i="84"/>
  <c r="BK506" i="84"/>
  <c r="BE506" i="84"/>
  <c r="AP506" i="84"/>
  <c r="BI506" i="84" s="1"/>
  <c r="AH506" i="84"/>
  <c r="BH506" i="84" s="1"/>
  <c r="Z506" i="84"/>
  <c r="BM506" i="84" s="1"/>
  <c r="R506" i="84"/>
  <c r="BL506" i="84" s="1"/>
  <c r="J506" i="84"/>
  <c r="BK505" i="84"/>
  <c r="BE505" i="84"/>
  <c r="AP505" i="84"/>
  <c r="BO505" i="84" s="1"/>
  <c r="AH505" i="84"/>
  <c r="BH505" i="84" s="1"/>
  <c r="Z505" i="84"/>
  <c r="R505" i="84"/>
  <c r="BL505" i="84" s="1"/>
  <c r="J505" i="84"/>
  <c r="BK504" i="84"/>
  <c r="BE504" i="84"/>
  <c r="AP504" i="84"/>
  <c r="BO504" i="84" s="1"/>
  <c r="AH504" i="84"/>
  <c r="BH504" i="84" s="1"/>
  <c r="Z504" i="84"/>
  <c r="BM504" i="84" s="1"/>
  <c r="R504" i="84"/>
  <c r="BL504" i="84" s="1"/>
  <c r="J504" i="84"/>
  <c r="BK503" i="84"/>
  <c r="BE503" i="84"/>
  <c r="AP503" i="84"/>
  <c r="BI503" i="84" s="1"/>
  <c r="AH503" i="84"/>
  <c r="BH503" i="84" s="1"/>
  <c r="Z503" i="84"/>
  <c r="BM503" i="84" s="1"/>
  <c r="R503" i="84"/>
  <c r="BL503" i="84" s="1"/>
  <c r="J503" i="84"/>
  <c r="BK502" i="84"/>
  <c r="BE502" i="84"/>
  <c r="AP502" i="84"/>
  <c r="BI502" i="84" s="1"/>
  <c r="AH502" i="84"/>
  <c r="Z502" i="84"/>
  <c r="BG502" i="84" s="1"/>
  <c r="R502" i="84"/>
  <c r="BL502" i="84" s="1"/>
  <c r="J502" i="84"/>
  <c r="BK501" i="84"/>
  <c r="BE501" i="84"/>
  <c r="AP501" i="84"/>
  <c r="BO501" i="84" s="1"/>
  <c r="AH501" i="84"/>
  <c r="Z501" i="84"/>
  <c r="BM501" i="84" s="1"/>
  <c r="R501" i="84"/>
  <c r="J501" i="84"/>
  <c r="BK500" i="84"/>
  <c r="BE500" i="84"/>
  <c r="AP500" i="84"/>
  <c r="BI500" i="84" s="1"/>
  <c r="AH500" i="84"/>
  <c r="Z500" i="84"/>
  <c r="BM500" i="84" s="1"/>
  <c r="R500" i="84"/>
  <c r="BF500" i="84" s="1"/>
  <c r="J500" i="84"/>
  <c r="BK499" i="84"/>
  <c r="BE499" i="84"/>
  <c r="AP499" i="84"/>
  <c r="BO499" i="84" s="1"/>
  <c r="AH499" i="84"/>
  <c r="Z499" i="84"/>
  <c r="BM499" i="84" s="1"/>
  <c r="R499" i="84"/>
  <c r="BF499" i="84" s="1"/>
  <c r="J499" i="84"/>
  <c r="BK498" i="84"/>
  <c r="BE498" i="84"/>
  <c r="AP498" i="84"/>
  <c r="BO498" i="84" s="1"/>
  <c r="AH498" i="84"/>
  <c r="Z498" i="84"/>
  <c r="BM498" i="84" s="1"/>
  <c r="R498" i="84"/>
  <c r="BF498" i="84" s="1"/>
  <c r="J498" i="84"/>
  <c r="BK497" i="84"/>
  <c r="BE497" i="84"/>
  <c r="AP497" i="84"/>
  <c r="BI497" i="84" s="1"/>
  <c r="AH497" i="84"/>
  <c r="Z497" i="84"/>
  <c r="BM497" i="84" s="1"/>
  <c r="R497" i="84"/>
  <c r="BF497" i="84" s="1"/>
  <c r="J497" i="84"/>
  <c r="BK496" i="84"/>
  <c r="BE496" i="84"/>
  <c r="AP496" i="84"/>
  <c r="BO496" i="84" s="1"/>
  <c r="AH496" i="84"/>
  <c r="Z496" i="84"/>
  <c r="BM496" i="84" s="1"/>
  <c r="R496" i="84"/>
  <c r="BF496" i="84" s="1"/>
  <c r="J496" i="84"/>
  <c r="BK495" i="84"/>
  <c r="BE495" i="84"/>
  <c r="AP495" i="84"/>
  <c r="BO495" i="84" s="1"/>
  <c r="AH495" i="84"/>
  <c r="Z495" i="84"/>
  <c r="BM495" i="84" s="1"/>
  <c r="R495" i="84"/>
  <c r="BF495" i="84" s="1"/>
  <c r="J495" i="84"/>
  <c r="BK494" i="84"/>
  <c r="BE494" i="84"/>
  <c r="AP494" i="84"/>
  <c r="BI494" i="84" s="1"/>
  <c r="AH494" i="84"/>
  <c r="Z494" i="84"/>
  <c r="BM494" i="84" s="1"/>
  <c r="R494" i="84"/>
  <c r="BF494" i="84" s="1"/>
  <c r="J494" i="84"/>
  <c r="BK493" i="84"/>
  <c r="BE493" i="84"/>
  <c r="AP493" i="84"/>
  <c r="BO493" i="84" s="1"/>
  <c r="AH493" i="84"/>
  <c r="Z493" i="84"/>
  <c r="BM493" i="84" s="1"/>
  <c r="R493" i="84"/>
  <c r="BF493" i="84" s="1"/>
  <c r="J493" i="84"/>
  <c r="BK492" i="84"/>
  <c r="BE492" i="84"/>
  <c r="AP492" i="84"/>
  <c r="BO492" i="84" s="1"/>
  <c r="AH492" i="84"/>
  <c r="BN492" i="84" s="1"/>
  <c r="Z492" i="84"/>
  <c r="BM492" i="84" s="1"/>
  <c r="R492" i="84"/>
  <c r="BF492" i="84" s="1"/>
  <c r="J492" i="84"/>
  <c r="BK491" i="84"/>
  <c r="BE491" i="84"/>
  <c r="AP491" i="84"/>
  <c r="BI491" i="84" s="1"/>
  <c r="AH491" i="84"/>
  <c r="Z491" i="84"/>
  <c r="BM491" i="84" s="1"/>
  <c r="R491" i="84"/>
  <c r="BF491" i="84" s="1"/>
  <c r="J491" i="84"/>
  <c r="BK490" i="84"/>
  <c r="BE490" i="84"/>
  <c r="AP490" i="84"/>
  <c r="BO490" i="84" s="1"/>
  <c r="AH490" i="84"/>
  <c r="Z490" i="84"/>
  <c r="BM490" i="84" s="1"/>
  <c r="R490" i="84"/>
  <c r="BF490" i="84" s="1"/>
  <c r="J490" i="84"/>
  <c r="BK489" i="84"/>
  <c r="BE489" i="84"/>
  <c r="AP489" i="84"/>
  <c r="BI489" i="84" s="1"/>
  <c r="AH489" i="84"/>
  <c r="BH489" i="84" s="1"/>
  <c r="Z489" i="84"/>
  <c r="BM489" i="84" s="1"/>
  <c r="R489" i="84"/>
  <c r="BF489" i="84" s="1"/>
  <c r="J489" i="84"/>
  <c r="BK488" i="84"/>
  <c r="BE488" i="84"/>
  <c r="AP488" i="84"/>
  <c r="AH488" i="84"/>
  <c r="BH488" i="84" s="1"/>
  <c r="Z488" i="84"/>
  <c r="BM488" i="84" s="1"/>
  <c r="R488" i="84"/>
  <c r="BF488" i="84" s="1"/>
  <c r="J488" i="84"/>
  <c r="BK487" i="84"/>
  <c r="BE487" i="84"/>
  <c r="AP487" i="84"/>
  <c r="BI487" i="84" s="1"/>
  <c r="AH487" i="84"/>
  <c r="BH487" i="84" s="1"/>
  <c r="Z487" i="84"/>
  <c r="BM487" i="84" s="1"/>
  <c r="R487" i="84"/>
  <c r="J487" i="84"/>
  <c r="BK486" i="84"/>
  <c r="BE486" i="84"/>
  <c r="AP486" i="84"/>
  <c r="AH486" i="84"/>
  <c r="BN486" i="84" s="1"/>
  <c r="Z486" i="84"/>
  <c r="BM486" i="84" s="1"/>
  <c r="R486" i="84"/>
  <c r="J486" i="84"/>
  <c r="BK485" i="84"/>
  <c r="BE485" i="84"/>
  <c r="AP485" i="84"/>
  <c r="BO485" i="84" s="1"/>
  <c r="AH485" i="84"/>
  <c r="BN485" i="84" s="1"/>
  <c r="Z485" i="84"/>
  <c r="BM485" i="84" s="1"/>
  <c r="R485" i="84"/>
  <c r="BF485" i="84" s="1"/>
  <c r="J485" i="84"/>
  <c r="BK484" i="84"/>
  <c r="BE484" i="84"/>
  <c r="AP484" i="84"/>
  <c r="BI484" i="84" s="1"/>
  <c r="AH484" i="84"/>
  <c r="BH484" i="84" s="1"/>
  <c r="Z484" i="84"/>
  <c r="R484" i="84"/>
  <c r="BF484" i="84" s="1"/>
  <c r="J484" i="84"/>
  <c r="BK483" i="84"/>
  <c r="BE483" i="84"/>
  <c r="AP483" i="84"/>
  <c r="BO483" i="84" s="1"/>
  <c r="AH483" i="84"/>
  <c r="BN483" i="84" s="1"/>
  <c r="Z483" i="84"/>
  <c r="BM483" i="84" s="1"/>
  <c r="R483" i="84"/>
  <c r="BF483" i="84" s="1"/>
  <c r="J483" i="84"/>
  <c r="BK482" i="84"/>
  <c r="BE482" i="84"/>
  <c r="AP482" i="84"/>
  <c r="BI482" i="84" s="1"/>
  <c r="AH482" i="84"/>
  <c r="Z482" i="84"/>
  <c r="R482" i="84"/>
  <c r="BF482" i="84" s="1"/>
  <c r="J482" i="84"/>
  <c r="BK481" i="84"/>
  <c r="BE481" i="84"/>
  <c r="AP481" i="84"/>
  <c r="BO481" i="84" s="1"/>
  <c r="AH481" i="84"/>
  <c r="BH481" i="84" s="1"/>
  <c r="Z481" i="84"/>
  <c r="BM481" i="84" s="1"/>
  <c r="R481" i="84"/>
  <c r="BF481" i="84" s="1"/>
  <c r="J481" i="84"/>
  <c r="BK480" i="84"/>
  <c r="BE480" i="84"/>
  <c r="AP480" i="84"/>
  <c r="BI480" i="84" s="1"/>
  <c r="AH480" i="84"/>
  <c r="BH480" i="84" s="1"/>
  <c r="Z480" i="84"/>
  <c r="BM480" i="84" s="1"/>
  <c r="R480" i="84"/>
  <c r="J480" i="84"/>
  <c r="BK479" i="84"/>
  <c r="BE479" i="84"/>
  <c r="AP479" i="84"/>
  <c r="AH479" i="84"/>
  <c r="BN479" i="84" s="1"/>
  <c r="Z479" i="84"/>
  <c r="BM479" i="84" s="1"/>
  <c r="R479" i="84"/>
  <c r="BF479" i="84" s="1"/>
  <c r="J479" i="84"/>
  <c r="BK478" i="84"/>
  <c r="BE478" i="84"/>
  <c r="AP478" i="84"/>
  <c r="BO478" i="84" s="1"/>
  <c r="AH478" i="84"/>
  <c r="BN478" i="84" s="1"/>
  <c r="Z478" i="84"/>
  <c r="BM478" i="84" s="1"/>
  <c r="R478" i="84"/>
  <c r="BF478" i="84" s="1"/>
  <c r="J478" i="84"/>
  <c r="BK477" i="84"/>
  <c r="BE477" i="84"/>
  <c r="AP477" i="84"/>
  <c r="BI477" i="84" s="1"/>
  <c r="AH477" i="84"/>
  <c r="BN477" i="84" s="1"/>
  <c r="Z477" i="84"/>
  <c r="R477" i="84"/>
  <c r="J477" i="84"/>
  <c r="BK476" i="84"/>
  <c r="BE476" i="84"/>
  <c r="AP476" i="84"/>
  <c r="BO476" i="84" s="1"/>
  <c r="AH476" i="84"/>
  <c r="BN476" i="84" s="1"/>
  <c r="Z476" i="84"/>
  <c r="BM476" i="84" s="1"/>
  <c r="R476" i="84"/>
  <c r="BF476" i="84" s="1"/>
  <c r="J476" i="84"/>
  <c r="BK475" i="84"/>
  <c r="BE475" i="84"/>
  <c r="AP475" i="84"/>
  <c r="BI475" i="84" s="1"/>
  <c r="AH475" i="84"/>
  <c r="BH475" i="84" s="1"/>
  <c r="Z475" i="84"/>
  <c r="R475" i="84"/>
  <c r="BL475" i="84" s="1"/>
  <c r="J475" i="84"/>
  <c r="BK474" i="84"/>
  <c r="BE474" i="84"/>
  <c r="AP474" i="84"/>
  <c r="AH474" i="84"/>
  <c r="BN474" i="84" s="1"/>
  <c r="Z474" i="84"/>
  <c r="BM474" i="84" s="1"/>
  <c r="R474" i="84"/>
  <c r="BF474" i="84" s="1"/>
  <c r="J474" i="84"/>
  <c r="BK473" i="84"/>
  <c r="BE473" i="84"/>
  <c r="AP473" i="84"/>
  <c r="BO473" i="84" s="1"/>
  <c r="AH473" i="84"/>
  <c r="Z473" i="84"/>
  <c r="BM473" i="84" s="1"/>
  <c r="R473" i="84"/>
  <c r="BL473" i="84" s="1"/>
  <c r="J473" i="84"/>
  <c r="BK472" i="84"/>
  <c r="BE472" i="84"/>
  <c r="AP472" i="84"/>
  <c r="BI472" i="84" s="1"/>
  <c r="AH472" i="84"/>
  <c r="BN472" i="84" s="1"/>
  <c r="Z472" i="84"/>
  <c r="R472" i="84"/>
  <c r="BF472" i="84" s="1"/>
  <c r="J472" i="84"/>
  <c r="BK471" i="84"/>
  <c r="BE471" i="84"/>
  <c r="AP471" i="84"/>
  <c r="BO471" i="84" s="1"/>
  <c r="AH471" i="84"/>
  <c r="BH471" i="84" s="1"/>
  <c r="Z471" i="84"/>
  <c r="BG471" i="84" s="1"/>
  <c r="R471" i="84"/>
  <c r="J471" i="84"/>
  <c r="BK470" i="84"/>
  <c r="BE470" i="84"/>
  <c r="AP470" i="84"/>
  <c r="BO470" i="84" s="1"/>
  <c r="AH470" i="84"/>
  <c r="BH470" i="84" s="1"/>
  <c r="Z470" i="84"/>
  <c r="BG470" i="84" s="1"/>
  <c r="R470" i="84"/>
  <c r="J470" i="84"/>
  <c r="BK469" i="84"/>
  <c r="BE469" i="84"/>
  <c r="AP469" i="84"/>
  <c r="BO469" i="84" s="1"/>
  <c r="AH469" i="84"/>
  <c r="BH469" i="84" s="1"/>
  <c r="Z469" i="84"/>
  <c r="BG469" i="84" s="1"/>
  <c r="R469" i="84"/>
  <c r="J469" i="84"/>
  <c r="BK468" i="84"/>
  <c r="BE468" i="84"/>
  <c r="AP468" i="84"/>
  <c r="BO468" i="84" s="1"/>
  <c r="AH468" i="84"/>
  <c r="BH468" i="84" s="1"/>
  <c r="Z468" i="84"/>
  <c r="BG468" i="84" s="1"/>
  <c r="R468" i="84"/>
  <c r="J468" i="84"/>
  <c r="BK467" i="84"/>
  <c r="BE467" i="84"/>
  <c r="AP467" i="84"/>
  <c r="BO467" i="84" s="1"/>
  <c r="AH467" i="84"/>
  <c r="BH467" i="84" s="1"/>
  <c r="Z467" i="84"/>
  <c r="BG467" i="84" s="1"/>
  <c r="R467" i="84"/>
  <c r="J467" i="84"/>
  <c r="BK466" i="84"/>
  <c r="BE466" i="84"/>
  <c r="AP466" i="84"/>
  <c r="BO466" i="84" s="1"/>
  <c r="AH466" i="84"/>
  <c r="BN466" i="84" s="1"/>
  <c r="Z466" i="84"/>
  <c r="BG466" i="84" s="1"/>
  <c r="R466" i="84"/>
  <c r="J466" i="84"/>
  <c r="BK465" i="84"/>
  <c r="BE465" i="84"/>
  <c r="AP465" i="84"/>
  <c r="AH465" i="84"/>
  <c r="BN465" i="84" s="1"/>
  <c r="Z465" i="84"/>
  <c r="BG465" i="84" s="1"/>
  <c r="R465" i="84"/>
  <c r="J465" i="84"/>
  <c r="BK464" i="84"/>
  <c r="BE464" i="84"/>
  <c r="AP464" i="84"/>
  <c r="AH464" i="84"/>
  <c r="BN464" i="84" s="1"/>
  <c r="Z464" i="84"/>
  <c r="R464" i="84"/>
  <c r="J464" i="84"/>
  <c r="BK463" i="84"/>
  <c r="BE463" i="84"/>
  <c r="AP463" i="84"/>
  <c r="AH463" i="84"/>
  <c r="BN463" i="84" s="1"/>
  <c r="Z463" i="84"/>
  <c r="R463" i="84"/>
  <c r="J463" i="84"/>
  <c r="BK462" i="84"/>
  <c r="BE462" i="84"/>
  <c r="AP462" i="84"/>
  <c r="BO462" i="84" s="1"/>
  <c r="AH462" i="84"/>
  <c r="BN462" i="84" s="1"/>
  <c r="Z462" i="84"/>
  <c r="R462" i="84"/>
  <c r="J462" i="84"/>
  <c r="BK461" i="84"/>
  <c r="BE461" i="84"/>
  <c r="AP461" i="84"/>
  <c r="AH461" i="84"/>
  <c r="BN461" i="84" s="1"/>
  <c r="Z461" i="84"/>
  <c r="BG461" i="84" s="1"/>
  <c r="R461" i="84"/>
  <c r="J461" i="84"/>
  <c r="BK460" i="84"/>
  <c r="BE460" i="84"/>
  <c r="AP460" i="84"/>
  <c r="AH460" i="84"/>
  <c r="BN460" i="84" s="1"/>
  <c r="Z460" i="84"/>
  <c r="BG460" i="84" s="1"/>
  <c r="R460" i="84"/>
  <c r="J460" i="84"/>
  <c r="BK459" i="84"/>
  <c r="BE459" i="84"/>
  <c r="AP459" i="84"/>
  <c r="AH459" i="84"/>
  <c r="Z459" i="84"/>
  <c r="BG459" i="84" s="1"/>
  <c r="R459" i="84"/>
  <c r="J459" i="84"/>
  <c r="BK458" i="84"/>
  <c r="BE458" i="84"/>
  <c r="AP458" i="84"/>
  <c r="BO458" i="84" s="1"/>
  <c r="AH458" i="84"/>
  <c r="Z458" i="84"/>
  <c r="BG458" i="84" s="1"/>
  <c r="R458" i="84"/>
  <c r="J458" i="84"/>
  <c r="BK457" i="84"/>
  <c r="BE457" i="84"/>
  <c r="AP457" i="84"/>
  <c r="BO457" i="84" s="1"/>
  <c r="AH457" i="84"/>
  <c r="Z457" i="84"/>
  <c r="BM457" i="84" s="1"/>
  <c r="R457" i="84"/>
  <c r="J457" i="84"/>
  <c r="BK456" i="84"/>
  <c r="BE456" i="84"/>
  <c r="AP456" i="84"/>
  <c r="BO456" i="84" s="1"/>
  <c r="AH456" i="84"/>
  <c r="BH456" i="84" s="1"/>
  <c r="Z456" i="84"/>
  <c r="BG456" i="84" s="1"/>
  <c r="R456" i="84"/>
  <c r="J456" i="84"/>
  <c r="BK455" i="84"/>
  <c r="BE455" i="84"/>
  <c r="AP455" i="84"/>
  <c r="AH455" i="84"/>
  <c r="BH455" i="84" s="1"/>
  <c r="Z455" i="84"/>
  <c r="BG455" i="84" s="1"/>
  <c r="R455" i="84"/>
  <c r="J455" i="84"/>
  <c r="BK454" i="84"/>
  <c r="BE454" i="84"/>
  <c r="AP454" i="84"/>
  <c r="BO454" i="84" s="1"/>
  <c r="AH454" i="84"/>
  <c r="BN454" i="84" s="1"/>
  <c r="Z454" i="84"/>
  <c r="BM454" i="84" s="1"/>
  <c r="R454" i="84"/>
  <c r="J454" i="84"/>
  <c r="BK453" i="84"/>
  <c r="BE453" i="84"/>
  <c r="AP453" i="84"/>
  <c r="BO453" i="84" s="1"/>
  <c r="AH453" i="84"/>
  <c r="Z453" i="84"/>
  <c r="BM453" i="84" s="1"/>
  <c r="R453" i="84"/>
  <c r="BF453" i="84" s="1"/>
  <c r="J453" i="84"/>
  <c r="BK452" i="84"/>
  <c r="BE452" i="84"/>
  <c r="AP452" i="84"/>
  <c r="BO452" i="84" s="1"/>
  <c r="AH452" i="84"/>
  <c r="Z452" i="84"/>
  <c r="BG452" i="84" s="1"/>
  <c r="R452" i="84"/>
  <c r="J452" i="84"/>
  <c r="BK451" i="84"/>
  <c r="BE451" i="84"/>
  <c r="AP451" i="84"/>
  <c r="BO451" i="84" s="1"/>
  <c r="AH451" i="84"/>
  <c r="Z451" i="84"/>
  <c r="BG451" i="84" s="1"/>
  <c r="R451" i="84"/>
  <c r="BF451" i="84" s="1"/>
  <c r="J451" i="84"/>
  <c r="BK450" i="84"/>
  <c r="BE450" i="84"/>
  <c r="AP450" i="84"/>
  <c r="BO450" i="84" s="1"/>
  <c r="AH450" i="84"/>
  <c r="Z450" i="84"/>
  <c r="BM450" i="84" s="1"/>
  <c r="R450" i="84"/>
  <c r="BF450" i="84" s="1"/>
  <c r="J450" i="84"/>
  <c r="BK449" i="84"/>
  <c r="BE449" i="84"/>
  <c r="AP449" i="84"/>
  <c r="BO449" i="84" s="1"/>
  <c r="AH449" i="84"/>
  <c r="Z449" i="84"/>
  <c r="R449" i="84"/>
  <c r="BF449" i="84" s="1"/>
  <c r="J449" i="84"/>
  <c r="BK448" i="84"/>
  <c r="BE448" i="84"/>
  <c r="AP448" i="84"/>
  <c r="BO448" i="84" s="1"/>
  <c r="AH448" i="84"/>
  <c r="Z448" i="84"/>
  <c r="BM448" i="84" s="1"/>
  <c r="R448" i="84"/>
  <c r="BF448" i="84" s="1"/>
  <c r="J448" i="84"/>
  <c r="BK447" i="84"/>
  <c r="BE447" i="84"/>
  <c r="AP447" i="84"/>
  <c r="AH447" i="84"/>
  <c r="Z447" i="84"/>
  <c r="BG447" i="84" s="1"/>
  <c r="R447" i="84"/>
  <c r="BF447" i="84" s="1"/>
  <c r="J447" i="84"/>
  <c r="BK446" i="84"/>
  <c r="BE446" i="84"/>
  <c r="AP446" i="84"/>
  <c r="AH446" i="84"/>
  <c r="Z446" i="84"/>
  <c r="BG446" i="84" s="1"/>
  <c r="R446" i="84"/>
  <c r="BF446" i="84" s="1"/>
  <c r="J446" i="84"/>
  <c r="BK445" i="84"/>
  <c r="BE445" i="84"/>
  <c r="AP445" i="84"/>
  <c r="BO445" i="84" s="1"/>
  <c r="AH445" i="84"/>
  <c r="Z445" i="84"/>
  <c r="BM445" i="84" s="1"/>
  <c r="R445" i="84"/>
  <c r="BF445" i="84" s="1"/>
  <c r="J445" i="84"/>
  <c r="BK444" i="84"/>
  <c r="BE444" i="84"/>
  <c r="AP444" i="84"/>
  <c r="BO444" i="84" s="1"/>
  <c r="AH444" i="84"/>
  <c r="Z444" i="84"/>
  <c r="BG444" i="84" s="1"/>
  <c r="R444" i="84"/>
  <c r="J444" i="84"/>
  <c r="BK443" i="84"/>
  <c r="BE443" i="84"/>
  <c r="AP443" i="84"/>
  <c r="BO443" i="84" s="1"/>
  <c r="AH443" i="84"/>
  <c r="Z443" i="84"/>
  <c r="BG443" i="84" s="1"/>
  <c r="R443" i="84"/>
  <c r="BF443" i="84" s="1"/>
  <c r="J443" i="84"/>
  <c r="BK442" i="84"/>
  <c r="BE442" i="84"/>
  <c r="AP442" i="84"/>
  <c r="BO442" i="84" s="1"/>
  <c r="AH442" i="84"/>
  <c r="Z442" i="84"/>
  <c r="BM442" i="84" s="1"/>
  <c r="R442" i="84"/>
  <c r="BF442" i="84" s="1"/>
  <c r="J442" i="84"/>
  <c r="BK441" i="84"/>
  <c r="BE441" i="84"/>
  <c r="AP441" i="84"/>
  <c r="BO441" i="84" s="1"/>
  <c r="AH441" i="84"/>
  <c r="Z441" i="84"/>
  <c r="R441" i="84"/>
  <c r="BF441" i="84" s="1"/>
  <c r="J441" i="84"/>
  <c r="BK440" i="84"/>
  <c r="BE440" i="84"/>
  <c r="AP440" i="84"/>
  <c r="BO440" i="84" s="1"/>
  <c r="AH440" i="84"/>
  <c r="Z440" i="84"/>
  <c r="BG440" i="84" s="1"/>
  <c r="R440" i="84"/>
  <c r="BF440" i="84" s="1"/>
  <c r="J440" i="84"/>
  <c r="BK439" i="84"/>
  <c r="BE439" i="84"/>
  <c r="AP439" i="84"/>
  <c r="BO439" i="84" s="1"/>
  <c r="AH439" i="84"/>
  <c r="Z439" i="84"/>
  <c r="BG439" i="84" s="1"/>
  <c r="R439" i="84"/>
  <c r="J439" i="84"/>
  <c r="BK438" i="84"/>
  <c r="BE438" i="84"/>
  <c r="AP438" i="84"/>
  <c r="AH438" i="84"/>
  <c r="Z438" i="84"/>
  <c r="BG438" i="84" s="1"/>
  <c r="R438" i="84"/>
  <c r="BF438" i="84" s="1"/>
  <c r="J438" i="84"/>
  <c r="BK437" i="84"/>
  <c r="BE437" i="84"/>
  <c r="AP437" i="84"/>
  <c r="BO437" i="84" s="1"/>
  <c r="AH437" i="84"/>
  <c r="Z437" i="84"/>
  <c r="BM437" i="84" s="1"/>
  <c r="R437" i="84"/>
  <c r="BF437" i="84" s="1"/>
  <c r="J437" i="84"/>
  <c r="BK436" i="84"/>
  <c r="BE436" i="84"/>
  <c r="AP436" i="84"/>
  <c r="BO436" i="84" s="1"/>
  <c r="AH436" i="84"/>
  <c r="Z436" i="84"/>
  <c r="BG436" i="84" s="1"/>
  <c r="R436" i="84"/>
  <c r="J436" i="84"/>
  <c r="BK435" i="84"/>
  <c r="BE435" i="84"/>
  <c r="AP435" i="84"/>
  <c r="BO435" i="84" s="1"/>
  <c r="AH435" i="84"/>
  <c r="Z435" i="84"/>
  <c r="BG435" i="84" s="1"/>
  <c r="R435" i="84"/>
  <c r="BF435" i="84" s="1"/>
  <c r="J435" i="84"/>
  <c r="BK434" i="84"/>
  <c r="BE434" i="84"/>
  <c r="AP434" i="84"/>
  <c r="BO434" i="84" s="1"/>
  <c r="AH434" i="84"/>
  <c r="Z434" i="84"/>
  <c r="BG434" i="84" s="1"/>
  <c r="R434" i="84"/>
  <c r="BF434" i="84" s="1"/>
  <c r="J434" i="84"/>
  <c r="BK433" i="84"/>
  <c r="BE433" i="84"/>
  <c r="AP433" i="84"/>
  <c r="BO433" i="84" s="1"/>
  <c r="AH433" i="84"/>
  <c r="BH433" i="84" s="1"/>
  <c r="Z433" i="84"/>
  <c r="BM433" i="84" s="1"/>
  <c r="R433" i="84"/>
  <c r="BF433" i="84" s="1"/>
  <c r="J433" i="84"/>
  <c r="BK432" i="84"/>
  <c r="BE432" i="84"/>
  <c r="AP432" i="84"/>
  <c r="BI432" i="84" s="1"/>
  <c r="AH432" i="84"/>
  <c r="BH432" i="84" s="1"/>
  <c r="Z432" i="84"/>
  <c r="BM432" i="84" s="1"/>
  <c r="R432" i="84"/>
  <c r="BL432" i="84" s="1"/>
  <c r="J432" i="84"/>
  <c r="BK431" i="84"/>
  <c r="BE431" i="84"/>
  <c r="AP431" i="84"/>
  <c r="BI431" i="84" s="1"/>
  <c r="AH431" i="84"/>
  <c r="Z431" i="84"/>
  <c r="BM431" i="84" s="1"/>
  <c r="R431" i="84"/>
  <c r="BF431" i="84" s="1"/>
  <c r="J431" i="84"/>
  <c r="BK430" i="84"/>
  <c r="BE430" i="84"/>
  <c r="AP430" i="84"/>
  <c r="BO430" i="84" s="1"/>
  <c r="AH430" i="84"/>
  <c r="Z430" i="84"/>
  <c r="R430" i="84"/>
  <c r="BF430" i="84" s="1"/>
  <c r="J430" i="84"/>
  <c r="BK429" i="84"/>
  <c r="BE429" i="84"/>
  <c r="AP429" i="84"/>
  <c r="BO429" i="84" s="1"/>
  <c r="AH429" i="84"/>
  <c r="Z429" i="84"/>
  <c r="BM429" i="84" s="1"/>
  <c r="R429" i="84"/>
  <c r="BF429" i="84" s="1"/>
  <c r="J429" i="84"/>
  <c r="BK428" i="84"/>
  <c r="BE428" i="84"/>
  <c r="AP428" i="84"/>
  <c r="BO428" i="84" s="1"/>
  <c r="AH428" i="84"/>
  <c r="Z428" i="84"/>
  <c r="BM428" i="84" s="1"/>
  <c r="R428" i="84"/>
  <c r="BF428" i="84" s="1"/>
  <c r="J428" i="84"/>
  <c r="BK427" i="84"/>
  <c r="BE427" i="84"/>
  <c r="AP427" i="84"/>
  <c r="BO427" i="84" s="1"/>
  <c r="AH427" i="84"/>
  <c r="Z427" i="84"/>
  <c r="BM427" i="84" s="1"/>
  <c r="R427" i="84"/>
  <c r="BF427" i="84" s="1"/>
  <c r="J427" i="84"/>
  <c r="BK426" i="84"/>
  <c r="BE426" i="84"/>
  <c r="AP426" i="84"/>
  <c r="BO426" i="84" s="1"/>
  <c r="AH426" i="84"/>
  <c r="Z426" i="84"/>
  <c r="BM426" i="84" s="1"/>
  <c r="R426" i="84"/>
  <c r="BF426" i="84" s="1"/>
  <c r="J426" i="84"/>
  <c r="BK425" i="84"/>
  <c r="BE425" i="84"/>
  <c r="AP425" i="84"/>
  <c r="BO425" i="84" s="1"/>
  <c r="AH425" i="84"/>
  <c r="Z425" i="84"/>
  <c r="BM425" i="84" s="1"/>
  <c r="R425" i="84"/>
  <c r="BF425" i="84" s="1"/>
  <c r="J425" i="84"/>
  <c r="BK424" i="84"/>
  <c r="BE424" i="84"/>
  <c r="AP424" i="84"/>
  <c r="BO424" i="84" s="1"/>
  <c r="AH424" i="84"/>
  <c r="Z424" i="84"/>
  <c r="BM424" i="84" s="1"/>
  <c r="R424" i="84"/>
  <c r="BF424" i="84" s="1"/>
  <c r="J424" i="84"/>
  <c r="BK423" i="84"/>
  <c r="BE423" i="84"/>
  <c r="AP423" i="84"/>
  <c r="BO423" i="84" s="1"/>
  <c r="AH423" i="84"/>
  <c r="Z423" i="84"/>
  <c r="BM423" i="84" s="1"/>
  <c r="R423" i="84"/>
  <c r="J423" i="84"/>
  <c r="BK422" i="84"/>
  <c r="BE422" i="84"/>
  <c r="AP422" i="84"/>
  <c r="BO422" i="84" s="1"/>
  <c r="AH422" i="84"/>
  <c r="Z422" i="84"/>
  <c r="BM422" i="84" s="1"/>
  <c r="R422" i="84"/>
  <c r="BF422" i="84" s="1"/>
  <c r="J422" i="84"/>
  <c r="BK421" i="84"/>
  <c r="BE421" i="84"/>
  <c r="AP421" i="84"/>
  <c r="BO421" i="84" s="1"/>
  <c r="AH421" i="84"/>
  <c r="BH421" i="84" s="1"/>
  <c r="Z421" i="84"/>
  <c r="BM421" i="84" s="1"/>
  <c r="R421" i="84"/>
  <c r="BF421" i="84" s="1"/>
  <c r="J421" i="84"/>
  <c r="BK420" i="84"/>
  <c r="BE420" i="84"/>
  <c r="AP420" i="84"/>
  <c r="BO420" i="84" s="1"/>
  <c r="AH420" i="84"/>
  <c r="BH420" i="84" s="1"/>
  <c r="Z420" i="84"/>
  <c r="BG420" i="84" s="1"/>
  <c r="R420" i="84"/>
  <c r="BF420" i="84" s="1"/>
  <c r="J420" i="84"/>
  <c r="BK419" i="84"/>
  <c r="BE419" i="84"/>
  <c r="AP419" i="84"/>
  <c r="BO419" i="84" s="1"/>
  <c r="AH419" i="84"/>
  <c r="BH419" i="84" s="1"/>
  <c r="Z419" i="84"/>
  <c r="BM419" i="84" s="1"/>
  <c r="R419" i="84"/>
  <c r="BF419" i="84" s="1"/>
  <c r="J419" i="84"/>
  <c r="BK418" i="84"/>
  <c r="BE418" i="84"/>
  <c r="AP418" i="84"/>
  <c r="BO418" i="84" s="1"/>
  <c r="AH418" i="84"/>
  <c r="BH418" i="84" s="1"/>
  <c r="Z418" i="84"/>
  <c r="BM418" i="84" s="1"/>
  <c r="R418" i="84"/>
  <c r="BF418" i="84" s="1"/>
  <c r="J418" i="84"/>
  <c r="BK417" i="84"/>
  <c r="BE417" i="84"/>
  <c r="AP417" i="84"/>
  <c r="BO417" i="84" s="1"/>
  <c r="AH417" i="84"/>
  <c r="BH417" i="84" s="1"/>
  <c r="Z417" i="84"/>
  <c r="BM417" i="84" s="1"/>
  <c r="R417" i="84"/>
  <c r="BF417" i="84" s="1"/>
  <c r="J417" i="84"/>
  <c r="BK416" i="84"/>
  <c r="BE416" i="84"/>
  <c r="AP416" i="84"/>
  <c r="BO416" i="84" s="1"/>
  <c r="AH416" i="84"/>
  <c r="BH416" i="84" s="1"/>
  <c r="Z416" i="84"/>
  <c r="BG416" i="84" s="1"/>
  <c r="R416" i="84"/>
  <c r="BF416" i="84" s="1"/>
  <c r="J416" i="84"/>
  <c r="BK415" i="84"/>
  <c r="BE415" i="84"/>
  <c r="AP415" i="84"/>
  <c r="BO415" i="84" s="1"/>
  <c r="AH415" i="84"/>
  <c r="BH415" i="84" s="1"/>
  <c r="Z415" i="84"/>
  <c r="BM415" i="84" s="1"/>
  <c r="R415" i="84"/>
  <c r="BF415" i="84" s="1"/>
  <c r="J415" i="84"/>
  <c r="BK414" i="84"/>
  <c r="BE414" i="84"/>
  <c r="AP414" i="84"/>
  <c r="BO414" i="84" s="1"/>
  <c r="AH414" i="84"/>
  <c r="BH414" i="84" s="1"/>
  <c r="Z414" i="84"/>
  <c r="BM414" i="84" s="1"/>
  <c r="R414" i="84"/>
  <c r="BF414" i="84" s="1"/>
  <c r="J414" i="84"/>
  <c r="BK413" i="84"/>
  <c r="BE413" i="84"/>
  <c r="AP413" i="84"/>
  <c r="BO413" i="84" s="1"/>
  <c r="AH413" i="84"/>
  <c r="BH413" i="84" s="1"/>
  <c r="Z413" i="84"/>
  <c r="BM413" i="84" s="1"/>
  <c r="R413" i="84"/>
  <c r="BF413" i="84" s="1"/>
  <c r="J413" i="84"/>
  <c r="BK412" i="84"/>
  <c r="BE412" i="84"/>
  <c r="AP412" i="84"/>
  <c r="BO412" i="84" s="1"/>
  <c r="AH412" i="84"/>
  <c r="BH412" i="84" s="1"/>
  <c r="Z412" i="84"/>
  <c r="BG412" i="84" s="1"/>
  <c r="R412" i="84"/>
  <c r="BF412" i="84" s="1"/>
  <c r="J412" i="84"/>
  <c r="BK411" i="84"/>
  <c r="BE411" i="84"/>
  <c r="AP411" i="84"/>
  <c r="BO411" i="84" s="1"/>
  <c r="AH411" i="84"/>
  <c r="BH411" i="84" s="1"/>
  <c r="Z411" i="84"/>
  <c r="BM411" i="84" s="1"/>
  <c r="R411" i="84"/>
  <c r="BF411" i="84" s="1"/>
  <c r="J411" i="84"/>
  <c r="BK410" i="84"/>
  <c r="BE410" i="84"/>
  <c r="AP410" i="84"/>
  <c r="BO410" i="84" s="1"/>
  <c r="AH410" i="84"/>
  <c r="BH410" i="84" s="1"/>
  <c r="Z410" i="84"/>
  <c r="BG410" i="84" s="1"/>
  <c r="R410" i="84"/>
  <c r="J410" i="84"/>
  <c r="BK409" i="84"/>
  <c r="BE409" i="84"/>
  <c r="AP409" i="84"/>
  <c r="AH409" i="84"/>
  <c r="BH409" i="84" s="1"/>
  <c r="Z409" i="84"/>
  <c r="BM409" i="84" s="1"/>
  <c r="R409" i="84"/>
  <c r="J409" i="84"/>
  <c r="BK408" i="84"/>
  <c r="BE408" i="84"/>
  <c r="AP408" i="84"/>
  <c r="AH408" i="84"/>
  <c r="BH408" i="84" s="1"/>
  <c r="Z408" i="84"/>
  <c r="BM408" i="84" s="1"/>
  <c r="R408" i="84"/>
  <c r="BF408" i="84" s="1"/>
  <c r="J408" i="84"/>
  <c r="BK407" i="84"/>
  <c r="BE407" i="84"/>
  <c r="AP407" i="84"/>
  <c r="AH407" i="84"/>
  <c r="BH407" i="84" s="1"/>
  <c r="Z407" i="84"/>
  <c r="BG407" i="84" s="1"/>
  <c r="R407" i="84"/>
  <c r="BF407" i="84" s="1"/>
  <c r="J407" i="84"/>
  <c r="BK406" i="84"/>
  <c r="BE406" i="84"/>
  <c r="AP406" i="84"/>
  <c r="AH406" i="84"/>
  <c r="BH406" i="84" s="1"/>
  <c r="Z406" i="84"/>
  <c r="BG406" i="84" s="1"/>
  <c r="R406" i="84"/>
  <c r="BF406" i="84" s="1"/>
  <c r="J406" i="84"/>
  <c r="BK405" i="84"/>
  <c r="BE405" i="84"/>
  <c r="AP405" i="84"/>
  <c r="AH405" i="84"/>
  <c r="BH405" i="84" s="1"/>
  <c r="Z405" i="84"/>
  <c r="BG405" i="84" s="1"/>
  <c r="R405" i="84"/>
  <c r="BF405" i="84" s="1"/>
  <c r="J405" i="84"/>
  <c r="BK404" i="84"/>
  <c r="BE404" i="84"/>
  <c r="AP404" i="84"/>
  <c r="AH404" i="84"/>
  <c r="BH404" i="84" s="1"/>
  <c r="Z404" i="84"/>
  <c r="BG404" i="84" s="1"/>
  <c r="R404" i="84"/>
  <c r="J404" i="84"/>
  <c r="BK403" i="84"/>
  <c r="BE403" i="84"/>
  <c r="AP403" i="84"/>
  <c r="AH403" i="84"/>
  <c r="BN403" i="84" s="1"/>
  <c r="Z403" i="84"/>
  <c r="BM403" i="84" s="1"/>
  <c r="R403" i="84"/>
  <c r="BF403" i="84" s="1"/>
  <c r="J403" i="84"/>
  <c r="BK402" i="84"/>
  <c r="BE402" i="84"/>
  <c r="AP402" i="84"/>
  <c r="AH402" i="84"/>
  <c r="BN402" i="84" s="1"/>
  <c r="Z402" i="84"/>
  <c r="BG402" i="84" s="1"/>
  <c r="R402" i="84"/>
  <c r="BF402" i="84" s="1"/>
  <c r="J402" i="84"/>
  <c r="BK401" i="84"/>
  <c r="BE401" i="84"/>
  <c r="AP401" i="84"/>
  <c r="AH401" i="84"/>
  <c r="BH401" i="84" s="1"/>
  <c r="Z401" i="84"/>
  <c r="BG401" i="84" s="1"/>
  <c r="R401" i="84"/>
  <c r="BF401" i="84" s="1"/>
  <c r="J401" i="84"/>
  <c r="BK400" i="84"/>
  <c r="BE400" i="84"/>
  <c r="AP400" i="84"/>
  <c r="BO400" i="84" s="1"/>
  <c r="AH400" i="84"/>
  <c r="BN400" i="84" s="1"/>
  <c r="Z400" i="84"/>
  <c r="BG400" i="84" s="1"/>
  <c r="R400" i="84"/>
  <c r="BF400" i="84" s="1"/>
  <c r="J400" i="84"/>
  <c r="BK399" i="84"/>
  <c r="BE399" i="84"/>
  <c r="AP399" i="84"/>
  <c r="BO399" i="84" s="1"/>
  <c r="AH399" i="84"/>
  <c r="BH399" i="84" s="1"/>
  <c r="Z399" i="84"/>
  <c r="BG399" i="84" s="1"/>
  <c r="R399" i="84"/>
  <c r="BF399" i="84" s="1"/>
  <c r="J399" i="84"/>
  <c r="BK398" i="84"/>
  <c r="BE398" i="84"/>
  <c r="AP398" i="84"/>
  <c r="BO398" i="84" s="1"/>
  <c r="AH398" i="84"/>
  <c r="BH398" i="84" s="1"/>
  <c r="Z398" i="84"/>
  <c r="BM398" i="84" s="1"/>
  <c r="R398" i="84"/>
  <c r="BF398" i="84" s="1"/>
  <c r="J398" i="84"/>
  <c r="BK397" i="84"/>
  <c r="BE397" i="84"/>
  <c r="AP397" i="84"/>
  <c r="BO397" i="84" s="1"/>
  <c r="AH397" i="84"/>
  <c r="BN397" i="84" s="1"/>
  <c r="Z397" i="84"/>
  <c r="R397" i="84"/>
  <c r="J397" i="84"/>
  <c r="BK396" i="84"/>
  <c r="BE396" i="84"/>
  <c r="AP396" i="84"/>
  <c r="BO396" i="84" s="1"/>
  <c r="AH396" i="84"/>
  <c r="BN396" i="84" s="1"/>
  <c r="Z396" i="84"/>
  <c r="BM396" i="84" s="1"/>
  <c r="R396" i="84"/>
  <c r="J396" i="84"/>
  <c r="BK395" i="84"/>
  <c r="BE395" i="84"/>
  <c r="AP395" i="84"/>
  <c r="AH395" i="84"/>
  <c r="BN395" i="84" s="1"/>
  <c r="Z395" i="84"/>
  <c r="BM395" i="84" s="1"/>
  <c r="R395" i="84"/>
  <c r="J395" i="84"/>
  <c r="BK394" i="84"/>
  <c r="BE394" i="84"/>
  <c r="AP394" i="84"/>
  <c r="BO394" i="84" s="1"/>
  <c r="AH394" i="84"/>
  <c r="BN394" i="84" s="1"/>
  <c r="Z394" i="84"/>
  <c r="BM394" i="84" s="1"/>
  <c r="R394" i="84"/>
  <c r="J394" i="84"/>
  <c r="BK393" i="84"/>
  <c r="BE393" i="84"/>
  <c r="AP393" i="84"/>
  <c r="BO393" i="84" s="1"/>
  <c r="AH393" i="84"/>
  <c r="BN393" i="84" s="1"/>
  <c r="Z393" i="84"/>
  <c r="BM393" i="84" s="1"/>
  <c r="R393" i="84"/>
  <c r="J393" i="84"/>
  <c r="BK392" i="84"/>
  <c r="BE392" i="84"/>
  <c r="AP392" i="84"/>
  <c r="BO392" i="84" s="1"/>
  <c r="AH392" i="84"/>
  <c r="BN392" i="84" s="1"/>
  <c r="Z392" i="84"/>
  <c r="BM392" i="84" s="1"/>
  <c r="R392" i="84"/>
  <c r="J392" i="84"/>
  <c r="BK391" i="84"/>
  <c r="BE391" i="84"/>
  <c r="AP391" i="84"/>
  <c r="BO391" i="84" s="1"/>
  <c r="AH391" i="84"/>
  <c r="BN391" i="84" s="1"/>
  <c r="Z391" i="84"/>
  <c r="BM391" i="84" s="1"/>
  <c r="R391" i="84"/>
  <c r="J391" i="84"/>
  <c r="BK390" i="84"/>
  <c r="BE390" i="84"/>
  <c r="AP390" i="84"/>
  <c r="BO390" i="84" s="1"/>
  <c r="AH390" i="84"/>
  <c r="BN390" i="84" s="1"/>
  <c r="Z390" i="84"/>
  <c r="BM390" i="84" s="1"/>
  <c r="R390" i="84"/>
  <c r="J390" i="84"/>
  <c r="BK389" i="84"/>
  <c r="BE389" i="84"/>
  <c r="AP389" i="84"/>
  <c r="BO389" i="84" s="1"/>
  <c r="AH389" i="84"/>
  <c r="BN389" i="84" s="1"/>
  <c r="Z389" i="84"/>
  <c r="R389" i="84"/>
  <c r="J389" i="84"/>
  <c r="BK388" i="84"/>
  <c r="BE388" i="84"/>
  <c r="AP388" i="84"/>
  <c r="BO388" i="84" s="1"/>
  <c r="AH388" i="84"/>
  <c r="BN388" i="84" s="1"/>
  <c r="Z388" i="84"/>
  <c r="BM388" i="84" s="1"/>
  <c r="R388" i="84"/>
  <c r="J388" i="84"/>
  <c r="BK387" i="84"/>
  <c r="BE387" i="84"/>
  <c r="AP387" i="84"/>
  <c r="AH387" i="84"/>
  <c r="BN387" i="84" s="1"/>
  <c r="Z387" i="84"/>
  <c r="BM387" i="84" s="1"/>
  <c r="R387" i="84"/>
  <c r="J387" i="84"/>
  <c r="BK386" i="84"/>
  <c r="BE386" i="84"/>
  <c r="AP386" i="84"/>
  <c r="BO386" i="84" s="1"/>
  <c r="AH386" i="84"/>
  <c r="BN386" i="84" s="1"/>
  <c r="Z386" i="84"/>
  <c r="BM386" i="84" s="1"/>
  <c r="R386" i="84"/>
  <c r="J386" i="84"/>
  <c r="BK385" i="84"/>
  <c r="BE385" i="84"/>
  <c r="AP385" i="84"/>
  <c r="BO385" i="84" s="1"/>
  <c r="AH385" i="84"/>
  <c r="BN385" i="84" s="1"/>
  <c r="Z385" i="84"/>
  <c r="BM385" i="84" s="1"/>
  <c r="R385" i="84"/>
  <c r="J385" i="84"/>
  <c r="BK384" i="84"/>
  <c r="BE384" i="84"/>
  <c r="AP384" i="84"/>
  <c r="BO384" i="84" s="1"/>
  <c r="AH384" i="84"/>
  <c r="BN384" i="84" s="1"/>
  <c r="Z384" i="84"/>
  <c r="BM384" i="84" s="1"/>
  <c r="R384" i="84"/>
  <c r="J384" i="84"/>
  <c r="BK383" i="84"/>
  <c r="BE383" i="84"/>
  <c r="AP383" i="84"/>
  <c r="BO383" i="84" s="1"/>
  <c r="AH383" i="84"/>
  <c r="BN383" i="84" s="1"/>
  <c r="Z383" i="84"/>
  <c r="BM383" i="84" s="1"/>
  <c r="R383" i="84"/>
  <c r="J383" i="84"/>
  <c r="BK382" i="84"/>
  <c r="BE382" i="84"/>
  <c r="AP382" i="84"/>
  <c r="BO382" i="84" s="1"/>
  <c r="AH382" i="84"/>
  <c r="BN382" i="84" s="1"/>
  <c r="Z382" i="84"/>
  <c r="BM382" i="84" s="1"/>
  <c r="R382" i="84"/>
  <c r="J382" i="84"/>
  <c r="BK381" i="84"/>
  <c r="BE381" i="84"/>
  <c r="AP381" i="84"/>
  <c r="BO381" i="84" s="1"/>
  <c r="AH381" i="84"/>
  <c r="Z381" i="84"/>
  <c r="R381" i="84"/>
  <c r="J381" i="84"/>
  <c r="BK380" i="84"/>
  <c r="BE380" i="84"/>
  <c r="AP380" i="84"/>
  <c r="BO380" i="84" s="1"/>
  <c r="AH380" i="84"/>
  <c r="Z380" i="84"/>
  <c r="BM380" i="84" s="1"/>
  <c r="R380" i="84"/>
  <c r="J380" i="84"/>
  <c r="BK379" i="84"/>
  <c r="BE379" i="84"/>
  <c r="AP379" i="84"/>
  <c r="AH379" i="84"/>
  <c r="Z379" i="84"/>
  <c r="BM379" i="84" s="1"/>
  <c r="R379" i="84"/>
  <c r="J379" i="84"/>
  <c r="BK378" i="84"/>
  <c r="BE378" i="84"/>
  <c r="AP378" i="84"/>
  <c r="BO378" i="84" s="1"/>
  <c r="AH378" i="84"/>
  <c r="Z378" i="84"/>
  <c r="BM378" i="84" s="1"/>
  <c r="R378" i="84"/>
  <c r="J378" i="84"/>
  <c r="BK377" i="84"/>
  <c r="BE377" i="84"/>
  <c r="AP377" i="84"/>
  <c r="BO377" i="84" s="1"/>
  <c r="AH377" i="84"/>
  <c r="Z377" i="84"/>
  <c r="BM377" i="84" s="1"/>
  <c r="R377" i="84"/>
  <c r="J377" i="84"/>
  <c r="BK376" i="84"/>
  <c r="BE376" i="84"/>
  <c r="AP376" i="84"/>
  <c r="BO376" i="84" s="1"/>
  <c r="AH376" i="84"/>
  <c r="Z376" i="84"/>
  <c r="BM376" i="84" s="1"/>
  <c r="R376" i="84"/>
  <c r="J376" i="84"/>
  <c r="BK375" i="84"/>
  <c r="BE375" i="84"/>
  <c r="AP375" i="84"/>
  <c r="BO375" i="84" s="1"/>
  <c r="AH375" i="84"/>
  <c r="Z375" i="84"/>
  <c r="BM375" i="84" s="1"/>
  <c r="R375" i="84"/>
  <c r="J375" i="84"/>
  <c r="BK374" i="84"/>
  <c r="BE374" i="84"/>
  <c r="AP374" i="84"/>
  <c r="BO374" i="84" s="1"/>
  <c r="AH374" i="84"/>
  <c r="BN374" i="84" s="1"/>
  <c r="Z374" i="84"/>
  <c r="BM374" i="84" s="1"/>
  <c r="R374" i="84"/>
  <c r="J374" i="84"/>
  <c r="BK373" i="84"/>
  <c r="BE373" i="84"/>
  <c r="AP373" i="84"/>
  <c r="BO373" i="84" s="1"/>
  <c r="AH373" i="84"/>
  <c r="BN373" i="84" s="1"/>
  <c r="Z373" i="84"/>
  <c r="BM373" i="84" s="1"/>
  <c r="R373" i="84"/>
  <c r="J373" i="84"/>
  <c r="BK372" i="84"/>
  <c r="BE372" i="84"/>
  <c r="AP372" i="84"/>
  <c r="BO372" i="84" s="1"/>
  <c r="AH372" i="84"/>
  <c r="BN372" i="84" s="1"/>
  <c r="Z372" i="84"/>
  <c r="BM372" i="84" s="1"/>
  <c r="R372" i="84"/>
  <c r="J372" i="84"/>
  <c r="BK371" i="84"/>
  <c r="BE371" i="84"/>
  <c r="AP371" i="84"/>
  <c r="BO371" i="84" s="1"/>
  <c r="AH371" i="84"/>
  <c r="BN371" i="84" s="1"/>
  <c r="Z371" i="84"/>
  <c r="BM371" i="84" s="1"/>
  <c r="R371" i="84"/>
  <c r="J371" i="84"/>
  <c r="BK370" i="84"/>
  <c r="BE370" i="84"/>
  <c r="AP370" i="84"/>
  <c r="BO370" i="84" s="1"/>
  <c r="AH370" i="84"/>
  <c r="BH370" i="84" s="1"/>
  <c r="Z370" i="84"/>
  <c r="R370" i="84"/>
  <c r="J370" i="84"/>
  <c r="BK369" i="84"/>
  <c r="BE369" i="84"/>
  <c r="AP369" i="84"/>
  <c r="BO369" i="84" s="1"/>
  <c r="AH369" i="84"/>
  <c r="BH369" i="84" s="1"/>
  <c r="Z369" i="84"/>
  <c r="BM369" i="84" s="1"/>
  <c r="R369" i="84"/>
  <c r="J369" i="84"/>
  <c r="BK368" i="84"/>
  <c r="BE368" i="84"/>
  <c r="AP368" i="84"/>
  <c r="BO368" i="84" s="1"/>
  <c r="AH368" i="84"/>
  <c r="BH368" i="84" s="1"/>
  <c r="Z368" i="84"/>
  <c r="BM368" i="84" s="1"/>
  <c r="R368" i="84"/>
  <c r="J368" i="84"/>
  <c r="BK367" i="84"/>
  <c r="BE367" i="84"/>
  <c r="AP367" i="84"/>
  <c r="BO367" i="84" s="1"/>
  <c r="AH367" i="84"/>
  <c r="Z367" i="84"/>
  <c r="BM367" i="84" s="1"/>
  <c r="R367" i="84"/>
  <c r="J367" i="84"/>
  <c r="BK366" i="84"/>
  <c r="BE366" i="84"/>
  <c r="AP366" i="84"/>
  <c r="BO366" i="84" s="1"/>
  <c r="AH366" i="84"/>
  <c r="BN366" i="84" s="1"/>
  <c r="Z366" i="84"/>
  <c r="BG366" i="84" s="1"/>
  <c r="R366" i="84"/>
  <c r="J366" i="84"/>
  <c r="BK365" i="84"/>
  <c r="BE365" i="84"/>
  <c r="AP365" i="84"/>
  <c r="BO365" i="84" s="1"/>
  <c r="AH365" i="84"/>
  <c r="BH365" i="84" s="1"/>
  <c r="Z365" i="84"/>
  <c r="BG365" i="84" s="1"/>
  <c r="R365" i="84"/>
  <c r="J365" i="84"/>
  <c r="BK364" i="84"/>
  <c r="BE364" i="84"/>
  <c r="AP364" i="84"/>
  <c r="BO364" i="84" s="1"/>
  <c r="AH364" i="84"/>
  <c r="BN364" i="84" s="1"/>
  <c r="Z364" i="84"/>
  <c r="BM364" i="84" s="1"/>
  <c r="R364" i="84"/>
  <c r="BF364" i="84" s="1"/>
  <c r="J364" i="84"/>
  <c r="BK363" i="84"/>
  <c r="BE363" i="84"/>
  <c r="AP363" i="84"/>
  <c r="BO363" i="84" s="1"/>
  <c r="AH363" i="84"/>
  <c r="BN363" i="84" s="1"/>
  <c r="Z363" i="84"/>
  <c r="BM363" i="84" s="1"/>
  <c r="R363" i="84"/>
  <c r="BF363" i="84" s="1"/>
  <c r="J363" i="84"/>
  <c r="BK362" i="84"/>
  <c r="BE362" i="84"/>
  <c r="AP362" i="84"/>
  <c r="BO362" i="84" s="1"/>
  <c r="AH362" i="84"/>
  <c r="BN362" i="84" s="1"/>
  <c r="Z362" i="84"/>
  <c r="BM362" i="84" s="1"/>
  <c r="R362" i="84"/>
  <c r="BF362" i="84" s="1"/>
  <c r="J362" i="84"/>
  <c r="BK361" i="84"/>
  <c r="BE361" i="84"/>
  <c r="AP361" i="84"/>
  <c r="BO361" i="84" s="1"/>
  <c r="AH361" i="84"/>
  <c r="BN361" i="84" s="1"/>
  <c r="Z361" i="84"/>
  <c r="R361" i="84"/>
  <c r="BF361" i="84" s="1"/>
  <c r="J361" i="84"/>
  <c r="BK360" i="84"/>
  <c r="BE360" i="84"/>
  <c r="AP360" i="84"/>
  <c r="BO360" i="84" s="1"/>
  <c r="AH360" i="84"/>
  <c r="BN360" i="84" s="1"/>
  <c r="Z360" i="84"/>
  <c r="BM360" i="84" s="1"/>
  <c r="R360" i="84"/>
  <c r="BF360" i="84" s="1"/>
  <c r="J360" i="84"/>
  <c r="BK359" i="84"/>
  <c r="BE359" i="84"/>
  <c r="AP359" i="84"/>
  <c r="AH359" i="84"/>
  <c r="BN359" i="84" s="1"/>
  <c r="Z359" i="84"/>
  <c r="BM359" i="84" s="1"/>
  <c r="R359" i="84"/>
  <c r="BF359" i="84" s="1"/>
  <c r="J359" i="84"/>
  <c r="BK358" i="84"/>
  <c r="BE358" i="84"/>
  <c r="AP358" i="84"/>
  <c r="BO358" i="84" s="1"/>
  <c r="AH358" i="84"/>
  <c r="BN358" i="84" s="1"/>
  <c r="Z358" i="84"/>
  <c r="BM358" i="84" s="1"/>
  <c r="R358" i="84"/>
  <c r="BF358" i="84" s="1"/>
  <c r="J358" i="84"/>
  <c r="BK357" i="84"/>
  <c r="BE357" i="84"/>
  <c r="AP357" i="84"/>
  <c r="BO357" i="84" s="1"/>
  <c r="AH357" i="84"/>
  <c r="BN357" i="84" s="1"/>
  <c r="Z357" i="84"/>
  <c r="BM357" i="84" s="1"/>
  <c r="R357" i="84"/>
  <c r="BF357" i="84" s="1"/>
  <c r="J357" i="84"/>
  <c r="BK356" i="84"/>
  <c r="BE356" i="84"/>
  <c r="AP356" i="84"/>
  <c r="BO356" i="84" s="1"/>
  <c r="AH356" i="84"/>
  <c r="BN356" i="84" s="1"/>
  <c r="Z356" i="84"/>
  <c r="BM356" i="84" s="1"/>
  <c r="R356" i="84"/>
  <c r="BF356" i="84" s="1"/>
  <c r="J356" i="84"/>
  <c r="BK355" i="84"/>
  <c r="BE355" i="84"/>
  <c r="AP355" i="84"/>
  <c r="BO355" i="84" s="1"/>
  <c r="AH355" i="84"/>
  <c r="BN355" i="84" s="1"/>
  <c r="Z355" i="84"/>
  <c r="BM355" i="84" s="1"/>
  <c r="R355" i="84"/>
  <c r="BF355" i="84" s="1"/>
  <c r="J355" i="84"/>
  <c r="BK354" i="84"/>
  <c r="BE354" i="84"/>
  <c r="AP354" i="84"/>
  <c r="BO354" i="84" s="1"/>
  <c r="AH354" i="84"/>
  <c r="BN354" i="84" s="1"/>
  <c r="Z354" i="84"/>
  <c r="BM354" i="84" s="1"/>
  <c r="R354" i="84"/>
  <c r="BF354" i="84" s="1"/>
  <c r="J354" i="84"/>
  <c r="BK353" i="84"/>
  <c r="BE353" i="84"/>
  <c r="AP353" i="84"/>
  <c r="BO353" i="84" s="1"/>
  <c r="AH353" i="84"/>
  <c r="BN353" i="84" s="1"/>
  <c r="Z353" i="84"/>
  <c r="R353" i="84"/>
  <c r="BF353" i="84" s="1"/>
  <c r="J353" i="84"/>
  <c r="BK352" i="84"/>
  <c r="BE352" i="84"/>
  <c r="AP352" i="84"/>
  <c r="BO352" i="84" s="1"/>
  <c r="AH352" i="84"/>
  <c r="BN352" i="84" s="1"/>
  <c r="Z352" i="84"/>
  <c r="BM352" i="84" s="1"/>
  <c r="R352" i="84"/>
  <c r="BF352" i="84" s="1"/>
  <c r="J352" i="84"/>
  <c r="BK351" i="84"/>
  <c r="BE351" i="84"/>
  <c r="AP351" i="84"/>
  <c r="AH351" i="84"/>
  <c r="BN351" i="84" s="1"/>
  <c r="Z351" i="84"/>
  <c r="BM351" i="84" s="1"/>
  <c r="R351" i="84"/>
  <c r="BF351" i="84" s="1"/>
  <c r="J351" i="84"/>
  <c r="BK350" i="84"/>
  <c r="BE350" i="84"/>
  <c r="AP350" i="84"/>
  <c r="BO350" i="84" s="1"/>
  <c r="AH350" i="84"/>
  <c r="BN350" i="84" s="1"/>
  <c r="Z350" i="84"/>
  <c r="BM350" i="84" s="1"/>
  <c r="R350" i="84"/>
  <c r="BF350" i="84" s="1"/>
  <c r="J350" i="84"/>
  <c r="BK349" i="84"/>
  <c r="BE349" i="84"/>
  <c r="AP349" i="84"/>
  <c r="BO349" i="84" s="1"/>
  <c r="AH349" i="84"/>
  <c r="BN349" i="84" s="1"/>
  <c r="Z349" i="84"/>
  <c r="BM349" i="84" s="1"/>
  <c r="R349" i="84"/>
  <c r="BF349" i="84" s="1"/>
  <c r="J349" i="84"/>
  <c r="BK348" i="84"/>
  <c r="BE348" i="84"/>
  <c r="AP348" i="84"/>
  <c r="BO348" i="84" s="1"/>
  <c r="AH348" i="84"/>
  <c r="BN348" i="84" s="1"/>
  <c r="Z348" i="84"/>
  <c r="BM348" i="84" s="1"/>
  <c r="R348" i="84"/>
  <c r="BF348" i="84" s="1"/>
  <c r="J348" i="84"/>
  <c r="BK347" i="84"/>
  <c r="BE347" i="84"/>
  <c r="AP347" i="84"/>
  <c r="BO347" i="84" s="1"/>
  <c r="AH347" i="84"/>
  <c r="BN347" i="84" s="1"/>
  <c r="Z347" i="84"/>
  <c r="BM347" i="84" s="1"/>
  <c r="R347" i="84"/>
  <c r="BF347" i="84" s="1"/>
  <c r="J347" i="84"/>
  <c r="BK346" i="84"/>
  <c r="BE346" i="84"/>
  <c r="AP346" i="84"/>
  <c r="BO346" i="84" s="1"/>
  <c r="AH346" i="84"/>
  <c r="BN346" i="84" s="1"/>
  <c r="Z346" i="84"/>
  <c r="BM346" i="84" s="1"/>
  <c r="R346" i="84"/>
  <c r="BF346" i="84" s="1"/>
  <c r="J346" i="84"/>
  <c r="BK345" i="84"/>
  <c r="BE345" i="84"/>
  <c r="AP345" i="84"/>
  <c r="BO345" i="84" s="1"/>
  <c r="AH345" i="84"/>
  <c r="BN345" i="84" s="1"/>
  <c r="Z345" i="84"/>
  <c r="R345" i="84"/>
  <c r="BF345" i="84" s="1"/>
  <c r="J345" i="84"/>
  <c r="BK344" i="84"/>
  <c r="BE344" i="84"/>
  <c r="AP344" i="84"/>
  <c r="BO344" i="84" s="1"/>
  <c r="AH344" i="84"/>
  <c r="BN344" i="84" s="1"/>
  <c r="Z344" i="84"/>
  <c r="BM344" i="84" s="1"/>
  <c r="R344" i="84"/>
  <c r="BF344" i="84" s="1"/>
  <c r="J344" i="84"/>
  <c r="BK343" i="84"/>
  <c r="BE343" i="84"/>
  <c r="AP343" i="84"/>
  <c r="AH343" i="84"/>
  <c r="BN343" i="84" s="1"/>
  <c r="Z343" i="84"/>
  <c r="BM343" i="84" s="1"/>
  <c r="R343" i="84"/>
  <c r="BF343" i="84" s="1"/>
  <c r="J343" i="84"/>
  <c r="BK342" i="84"/>
  <c r="BE342" i="84"/>
  <c r="AP342" i="84"/>
  <c r="BO342" i="84" s="1"/>
  <c r="AH342" i="84"/>
  <c r="BN342" i="84" s="1"/>
  <c r="Z342" i="84"/>
  <c r="BM342" i="84" s="1"/>
  <c r="R342" i="84"/>
  <c r="BF342" i="84" s="1"/>
  <c r="J342" i="84"/>
  <c r="BK341" i="84"/>
  <c r="BE341" i="84"/>
  <c r="AP341" i="84"/>
  <c r="BO341" i="84" s="1"/>
  <c r="AH341" i="84"/>
  <c r="BN341" i="84" s="1"/>
  <c r="Z341" i="84"/>
  <c r="BM341" i="84" s="1"/>
  <c r="R341" i="84"/>
  <c r="BF341" i="84" s="1"/>
  <c r="J341" i="84"/>
  <c r="BK340" i="84"/>
  <c r="BE340" i="84"/>
  <c r="AP340" i="84"/>
  <c r="BO340" i="84" s="1"/>
  <c r="AH340" i="84"/>
  <c r="BN340" i="84" s="1"/>
  <c r="Z340" i="84"/>
  <c r="BM340" i="84" s="1"/>
  <c r="R340" i="84"/>
  <c r="J340" i="84"/>
  <c r="BK339" i="84"/>
  <c r="BE339" i="84"/>
  <c r="AP339" i="84"/>
  <c r="BO339" i="84" s="1"/>
  <c r="AH339" i="84"/>
  <c r="Z339" i="84"/>
  <c r="BM339" i="84" s="1"/>
  <c r="R339" i="84"/>
  <c r="J339" i="84"/>
  <c r="BK338" i="84"/>
  <c r="BE338" i="84"/>
  <c r="AP338" i="84"/>
  <c r="BO338" i="84" s="1"/>
  <c r="AH338" i="84"/>
  <c r="Z338" i="84"/>
  <c r="BM338" i="84" s="1"/>
  <c r="R338" i="84"/>
  <c r="J338" i="84"/>
  <c r="BK337" i="84"/>
  <c r="BE337" i="84"/>
  <c r="AP337" i="84"/>
  <c r="BO337" i="84" s="1"/>
  <c r="AH337" i="84"/>
  <c r="Z337" i="84"/>
  <c r="R337" i="84"/>
  <c r="J337" i="84"/>
  <c r="BK336" i="84"/>
  <c r="BE336" i="84"/>
  <c r="AP336" i="84"/>
  <c r="BO336" i="84" s="1"/>
  <c r="AH336" i="84"/>
  <c r="Z336" i="84"/>
  <c r="BM336" i="84" s="1"/>
  <c r="R336" i="84"/>
  <c r="J336" i="84"/>
  <c r="BK335" i="84"/>
  <c r="BE335" i="84"/>
  <c r="AP335" i="84"/>
  <c r="BO335" i="84" s="1"/>
  <c r="AH335" i="84"/>
  <c r="Z335" i="84"/>
  <c r="BM335" i="84" s="1"/>
  <c r="R335" i="84"/>
  <c r="J335" i="84"/>
  <c r="BK334" i="84"/>
  <c r="BE334" i="84"/>
  <c r="AP334" i="84"/>
  <c r="BO334" i="84" s="1"/>
  <c r="AH334" i="84"/>
  <c r="Z334" i="84"/>
  <c r="BM334" i="84" s="1"/>
  <c r="R334" i="84"/>
  <c r="J334" i="84"/>
  <c r="BK333" i="84"/>
  <c r="BE333" i="84"/>
  <c r="AP333" i="84"/>
  <c r="BO333" i="84" s="1"/>
  <c r="AH333" i="84"/>
  <c r="Z333" i="84"/>
  <c r="BM333" i="84" s="1"/>
  <c r="R333" i="84"/>
  <c r="J333" i="84"/>
  <c r="BK332" i="84"/>
  <c r="BE332" i="84"/>
  <c r="AP332" i="84"/>
  <c r="BO332" i="84" s="1"/>
  <c r="AH332" i="84"/>
  <c r="Z332" i="84"/>
  <c r="BM332" i="84" s="1"/>
  <c r="R332" i="84"/>
  <c r="J332" i="84"/>
  <c r="BK331" i="84"/>
  <c r="BE331" i="84"/>
  <c r="AP331" i="84"/>
  <c r="BO331" i="84" s="1"/>
  <c r="AH331" i="84"/>
  <c r="Z331" i="84"/>
  <c r="BM331" i="84" s="1"/>
  <c r="R331" i="84"/>
  <c r="J331" i="84"/>
  <c r="BK330" i="84"/>
  <c r="BE330" i="84"/>
  <c r="AP330" i="84"/>
  <c r="BO330" i="84" s="1"/>
  <c r="AH330" i="84"/>
  <c r="Z330" i="84"/>
  <c r="R330" i="84"/>
  <c r="J330" i="84"/>
  <c r="BK329" i="84"/>
  <c r="BE329" i="84"/>
  <c r="AP329" i="84"/>
  <c r="BO329" i="84" s="1"/>
  <c r="AH329" i="84"/>
  <c r="BH329" i="84" s="1"/>
  <c r="Z329" i="84"/>
  <c r="R329" i="84"/>
  <c r="J329" i="84"/>
  <c r="BK328" i="84"/>
  <c r="BE328" i="84"/>
  <c r="AP328" i="84"/>
  <c r="BO328" i="84" s="1"/>
  <c r="AH328" i="84"/>
  <c r="BH328" i="84" s="1"/>
  <c r="Z328" i="84"/>
  <c r="R328" i="84"/>
  <c r="J328" i="84"/>
  <c r="BK327" i="84"/>
  <c r="BE327" i="84"/>
  <c r="AP327" i="84"/>
  <c r="BO327" i="84" s="1"/>
  <c r="AH327" i="84"/>
  <c r="Z327" i="84"/>
  <c r="R327" i="84"/>
  <c r="J327" i="84"/>
  <c r="BK326" i="84"/>
  <c r="BE326" i="84"/>
  <c r="AP326" i="84"/>
  <c r="BO326" i="84" s="1"/>
  <c r="AH326" i="84"/>
  <c r="BN326" i="84" s="1"/>
  <c r="Z326" i="84"/>
  <c r="BM326" i="84" s="1"/>
  <c r="R326" i="84"/>
  <c r="J326" i="84"/>
  <c r="BK325" i="84"/>
  <c r="BE325" i="84"/>
  <c r="AP325" i="84"/>
  <c r="BO325" i="84" s="1"/>
  <c r="AH325" i="84"/>
  <c r="Z325" i="84"/>
  <c r="BG325" i="84" s="1"/>
  <c r="R325" i="84"/>
  <c r="J325" i="84"/>
  <c r="BK324" i="84"/>
  <c r="BE324" i="84"/>
  <c r="AP324" i="84"/>
  <c r="BO324" i="84" s="1"/>
  <c r="AH324" i="84"/>
  <c r="BH324" i="84" s="1"/>
  <c r="Z324" i="84"/>
  <c r="BM324" i="84" s="1"/>
  <c r="R324" i="84"/>
  <c r="J324" i="84"/>
  <c r="BK323" i="84"/>
  <c r="BE323" i="84"/>
  <c r="AP323" i="84"/>
  <c r="AH323" i="84"/>
  <c r="Z323" i="84"/>
  <c r="BG323" i="84" s="1"/>
  <c r="R323" i="84"/>
  <c r="J323" i="84"/>
  <c r="BK322" i="84"/>
  <c r="BE322" i="84"/>
  <c r="AP322" i="84"/>
  <c r="BO322" i="84" s="1"/>
  <c r="AH322" i="84"/>
  <c r="BN322" i="84" s="1"/>
  <c r="Z322" i="84"/>
  <c r="BM322" i="84" s="1"/>
  <c r="R322" i="84"/>
  <c r="J322" i="84"/>
  <c r="BK321" i="84"/>
  <c r="BE321" i="84"/>
  <c r="AP321" i="84"/>
  <c r="BO321" i="84" s="1"/>
  <c r="AH321" i="84"/>
  <c r="Z321" i="84"/>
  <c r="BG321" i="84" s="1"/>
  <c r="R321" i="84"/>
  <c r="J321" i="84"/>
  <c r="BK320" i="84"/>
  <c r="BE320" i="84"/>
  <c r="AP320" i="84"/>
  <c r="BO320" i="84" s="1"/>
  <c r="AH320" i="84"/>
  <c r="BH320" i="84" s="1"/>
  <c r="Z320" i="84"/>
  <c r="BG320" i="84" s="1"/>
  <c r="R320" i="84"/>
  <c r="J320" i="84"/>
  <c r="BK319" i="84"/>
  <c r="BE319" i="84"/>
  <c r="AP319" i="84"/>
  <c r="BI319" i="84" s="1"/>
  <c r="AH319" i="84"/>
  <c r="BN319" i="84" s="1"/>
  <c r="Z319" i="84"/>
  <c r="BG319" i="84" s="1"/>
  <c r="R319" i="84"/>
  <c r="BL319" i="84" s="1"/>
  <c r="J319" i="84"/>
  <c r="BK318" i="84"/>
  <c r="BE318" i="84"/>
  <c r="AP318" i="84"/>
  <c r="BI318" i="84" s="1"/>
  <c r="AH318" i="84"/>
  <c r="BN318" i="84" s="1"/>
  <c r="Z318" i="84"/>
  <c r="BG318" i="84" s="1"/>
  <c r="R318" i="84"/>
  <c r="BL318" i="84" s="1"/>
  <c r="J318" i="84"/>
  <c r="BK317" i="84"/>
  <c r="BE317" i="84"/>
  <c r="AP317" i="84"/>
  <c r="BI317" i="84" s="1"/>
  <c r="AH317" i="84"/>
  <c r="BN317" i="84" s="1"/>
  <c r="Z317" i="84"/>
  <c r="BG317" i="84" s="1"/>
  <c r="R317" i="84"/>
  <c r="BF317" i="84" s="1"/>
  <c r="J317" i="84"/>
  <c r="BK316" i="84"/>
  <c r="BE316" i="84"/>
  <c r="AP316" i="84"/>
  <c r="BI316" i="84" s="1"/>
  <c r="AH316" i="84"/>
  <c r="BN316" i="84" s="1"/>
  <c r="Z316" i="84"/>
  <c r="BG316" i="84" s="1"/>
  <c r="R316" i="84"/>
  <c r="BL316" i="84" s="1"/>
  <c r="J316" i="84"/>
  <c r="BK315" i="84"/>
  <c r="BE315" i="84"/>
  <c r="AP315" i="84"/>
  <c r="BI315" i="84" s="1"/>
  <c r="AH315" i="84"/>
  <c r="BN315" i="84" s="1"/>
  <c r="Z315" i="84"/>
  <c r="BG315" i="84" s="1"/>
  <c r="R315" i="84"/>
  <c r="BL315" i="84" s="1"/>
  <c r="J315" i="84"/>
  <c r="BK314" i="84"/>
  <c r="BE314" i="84"/>
  <c r="AP314" i="84"/>
  <c r="BI314" i="84" s="1"/>
  <c r="AH314" i="84"/>
  <c r="BN314" i="84" s="1"/>
  <c r="Z314" i="84"/>
  <c r="BG314" i="84" s="1"/>
  <c r="R314" i="84"/>
  <c r="BL314" i="84" s="1"/>
  <c r="J314" i="84"/>
  <c r="BK313" i="84"/>
  <c r="BE313" i="84"/>
  <c r="AP313" i="84"/>
  <c r="BI313" i="84" s="1"/>
  <c r="AH313" i="84"/>
  <c r="BN313" i="84" s="1"/>
  <c r="Z313" i="84"/>
  <c r="BG313" i="84" s="1"/>
  <c r="R313" i="84"/>
  <c r="BF313" i="84" s="1"/>
  <c r="J313" i="84"/>
  <c r="BK312" i="84"/>
  <c r="BE312" i="84"/>
  <c r="AP312" i="84"/>
  <c r="BI312" i="84" s="1"/>
  <c r="AH312" i="84"/>
  <c r="BN312" i="84" s="1"/>
  <c r="Z312" i="84"/>
  <c r="BG312" i="84" s="1"/>
  <c r="R312" i="84"/>
  <c r="BL312" i="84" s="1"/>
  <c r="J312" i="84"/>
  <c r="BK311" i="84"/>
  <c r="BE311" i="84"/>
  <c r="AP311" i="84"/>
  <c r="BI311" i="84" s="1"/>
  <c r="AH311" i="84"/>
  <c r="BN311" i="84" s="1"/>
  <c r="Z311" i="84"/>
  <c r="BG311" i="84" s="1"/>
  <c r="R311" i="84"/>
  <c r="BL311" i="84" s="1"/>
  <c r="J311" i="84"/>
  <c r="BK310" i="84"/>
  <c r="BE310" i="84"/>
  <c r="AP310" i="84"/>
  <c r="BI310" i="84" s="1"/>
  <c r="AH310" i="84"/>
  <c r="BN310" i="84" s="1"/>
  <c r="Z310" i="84"/>
  <c r="BG310" i="84" s="1"/>
  <c r="R310" i="84"/>
  <c r="BL310" i="84" s="1"/>
  <c r="J310" i="84"/>
  <c r="BK309" i="84"/>
  <c r="BE309" i="84"/>
  <c r="AP309" i="84"/>
  <c r="BI309" i="84" s="1"/>
  <c r="AH309" i="84"/>
  <c r="BN309" i="84" s="1"/>
  <c r="Z309" i="84"/>
  <c r="BG309" i="84" s="1"/>
  <c r="R309" i="84"/>
  <c r="BF309" i="84" s="1"/>
  <c r="J309" i="84"/>
  <c r="BK308" i="84"/>
  <c r="BE308" i="84"/>
  <c r="AP308" i="84"/>
  <c r="BI308" i="84" s="1"/>
  <c r="AH308" i="84"/>
  <c r="BN308" i="84" s="1"/>
  <c r="Z308" i="84"/>
  <c r="BG308" i="84" s="1"/>
  <c r="R308" i="84"/>
  <c r="BL308" i="84" s="1"/>
  <c r="J308" i="84"/>
  <c r="BK307" i="84"/>
  <c r="BE307" i="84"/>
  <c r="AP307" i="84"/>
  <c r="BI307" i="84" s="1"/>
  <c r="AH307" i="84"/>
  <c r="BN307" i="84" s="1"/>
  <c r="Z307" i="84"/>
  <c r="BG307" i="84" s="1"/>
  <c r="R307" i="84"/>
  <c r="BL307" i="84" s="1"/>
  <c r="J307" i="84"/>
  <c r="BK306" i="84"/>
  <c r="BE306" i="84"/>
  <c r="AP306" i="84"/>
  <c r="BI306" i="84" s="1"/>
  <c r="AH306" i="84"/>
  <c r="BN306" i="84" s="1"/>
  <c r="Z306" i="84"/>
  <c r="BG306" i="84" s="1"/>
  <c r="R306" i="84"/>
  <c r="BL306" i="84" s="1"/>
  <c r="J306" i="84"/>
  <c r="BK305" i="84"/>
  <c r="BE305" i="84"/>
  <c r="AP305" i="84"/>
  <c r="BI305" i="84" s="1"/>
  <c r="AH305" i="84"/>
  <c r="BN305" i="84" s="1"/>
  <c r="Z305" i="84"/>
  <c r="BG305" i="84" s="1"/>
  <c r="R305" i="84"/>
  <c r="BF305" i="84" s="1"/>
  <c r="J305" i="84"/>
  <c r="BK304" i="84"/>
  <c r="BE304" i="84"/>
  <c r="AP304" i="84"/>
  <c r="BI304" i="84" s="1"/>
  <c r="AH304" i="84"/>
  <c r="BN304" i="84" s="1"/>
  <c r="Z304" i="84"/>
  <c r="BG304" i="84" s="1"/>
  <c r="R304" i="84"/>
  <c r="BL304" i="84" s="1"/>
  <c r="J304" i="84"/>
  <c r="BK303" i="84"/>
  <c r="BE303" i="84"/>
  <c r="AP303" i="84"/>
  <c r="BI303" i="84" s="1"/>
  <c r="AH303" i="84"/>
  <c r="BN303" i="84" s="1"/>
  <c r="Z303" i="84"/>
  <c r="BG303" i="84" s="1"/>
  <c r="R303" i="84"/>
  <c r="BL303" i="84" s="1"/>
  <c r="J303" i="84"/>
  <c r="BK302" i="84"/>
  <c r="BE302" i="84"/>
  <c r="AP302" i="84"/>
  <c r="BI302" i="84" s="1"/>
  <c r="AH302" i="84"/>
  <c r="BN302" i="84" s="1"/>
  <c r="Z302" i="84"/>
  <c r="BG302" i="84" s="1"/>
  <c r="R302" i="84"/>
  <c r="BL302" i="84" s="1"/>
  <c r="J302" i="84"/>
  <c r="BK301" i="84"/>
  <c r="BE301" i="84"/>
  <c r="AP301" i="84"/>
  <c r="BI301" i="84" s="1"/>
  <c r="AH301" i="84"/>
  <c r="BN301" i="84" s="1"/>
  <c r="Z301" i="84"/>
  <c r="BG301" i="84" s="1"/>
  <c r="R301" i="84"/>
  <c r="BL301" i="84" s="1"/>
  <c r="J301" i="84"/>
  <c r="BK300" i="84"/>
  <c r="BE300" i="84"/>
  <c r="AP300" i="84"/>
  <c r="BI300" i="84" s="1"/>
  <c r="AH300" i="84"/>
  <c r="BN300" i="84" s="1"/>
  <c r="Z300" i="84"/>
  <c r="R300" i="84"/>
  <c r="BL300" i="84" s="1"/>
  <c r="J300" i="84"/>
  <c r="BK299" i="84"/>
  <c r="BE299" i="84"/>
  <c r="AP299" i="84"/>
  <c r="AH299" i="84"/>
  <c r="BN299" i="84" s="1"/>
  <c r="Z299" i="84"/>
  <c r="BG299" i="84" s="1"/>
  <c r="R299" i="84"/>
  <c r="BL299" i="84" s="1"/>
  <c r="J299" i="84"/>
  <c r="BK298" i="84"/>
  <c r="BE298" i="84"/>
  <c r="AP298" i="84"/>
  <c r="BI298" i="84" s="1"/>
  <c r="AH298" i="84"/>
  <c r="BN298" i="84" s="1"/>
  <c r="Z298" i="84"/>
  <c r="BG298" i="84" s="1"/>
  <c r="R298" i="84"/>
  <c r="BL298" i="84" s="1"/>
  <c r="J298" i="84"/>
  <c r="BK297" i="84"/>
  <c r="BE297" i="84"/>
  <c r="AP297" i="84"/>
  <c r="BI297" i="84" s="1"/>
  <c r="AH297" i="84"/>
  <c r="BN297" i="84" s="1"/>
  <c r="Z297" i="84"/>
  <c r="BG297" i="84" s="1"/>
  <c r="R297" i="84"/>
  <c r="BL297" i="84" s="1"/>
  <c r="J297" i="84"/>
  <c r="BK296" i="84"/>
  <c r="BE296" i="84"/>
  <c r="AP296" i="84"/>
  <c r="BI296" i="84" s="1"/>
  <c r="AH296" i="84"/>
  <c r="Z296" i="84"/>
  <c r="BG296" i="84" s="1"/>
  <c r="R296" i="84"/>
  <c r="BL296" i="84" s="1"/>
  <c r="J296" i="84"/>
  <c r="BK295" i="84"/>
  <c r="BE295" i="84"/>
  <c r="AP295" i="84"/>
  <c r="BI295" i="84" s="1"/>
  <c r="AH295" i="84"/>
  <c r="BH295" i="84" s="1"/>
  <c r="Z295" i="84"/>
  <c r="BG295" i="84" s="1"/>
  <c r="R295" i="84"/>
  <c r="BL295" i="84" s="1"/>
  <c r="J295" i="84"/>
  <c r="BK294" i="84"/>
  <c r="BE294" i="84"/>
  <c r="AP294" i="84"/>
  <c r="BI294" i="84" s="1"/>
  <c r="AH294" i="84"/>
  <c r="BH294" i="84" s="1"/>
  <c r="Z294" i="84"/>
  <c r="BG294" i="84" s="1"/>
  <c r="R294" i="84"/>
  <c r="J294" i="84"/>
  <c r="BK293" i="84"/>
  <c r="BE293" i="84"/>
  <c r="AP293" i="84"/>
  <c r="BI293" i="84" s="1"/>
  <c r="AH293" i="84"/>
  <c r="BH293" i="84" s="1"/>
  <c r="Z293" i="84"/>
  <c r="BG293" i="84" s="1"/>
  <c r="R293" i="84"/>
  <c r="BL293" i="84" s="1"/>
  <c r="J293" i="84"/>
  <c r="BK292" i="84"/>
  <c r="BE292" i="84"/>
  <c r="AP292" i="84"/>
  <c r="BI292" i="84" s="1"/>
  <c r="AH292" i="84"/>
  <c r="BN292" i="84" s="1"/>
  <c r="Z292" i="84"/>
  <c r="BG292" i="84" s="1"/>
  <c r="R292" i="84"/>
  <c r="BL292" i="84" s="1"/>
  <c r="J292" i="84"/>
  <c r="BK291" i="84"/>
  <c r="BE291" i="84"/>
  <c r="AP291" i="84"/>
  <c r="BI291" i="84" s="1"/>
  <c r="AH291" i="84"/>
  <c r="BH291" i="84" s="1"/>
  <c r="Z291" i="84"/>
  <c r="BG291" i="84" s="1"/>
  <c r="R291" i="84"/>
  <c r="J291" i="84"/>
  <c r="BK290" i="84"/>
  <c r="BE290" i="84"/>
  <c r="AP290" i="84"/>
  <c r="BI290" i="84" s="1"/>
  <c r="AH290" i="84"/>
  <c r="Z290" i="84"/>
  <c r="BG290" i="84" s="1"/>
  <c r="R290" i="84"/>
  <c r="BL290" i="84" s="1"/>
  <c r="J290" i="84"/>
  <c r="BK289" i="84"/>
  <c r="BE289" i="84"/>
  <c r="AP289" i="84"/>
  <c r="BI289" i="84" s="1"/>
  <c r="AH289" i="84"/>
  <c r="BN289" i="84" s="1"/>
  <c r="Z289" i="84"/>
  <c r="BG289" i="84" s="1"/>
  <c r="R289" i="84"/>
  <c r="BL289" i="84" s="1"/>
  <c r="J289" i="84"/>
  <c r="BK288" i="84"/>
  <c r="BE288" i="84"/>
  <c r="AP288" i="84"/>
  <c r="BI288" i="84" s="1"/>
  <c r="AH288" i="84"/>
  <c r="BH288" i="84" s="1"/>
  <c r="Z288" i="84"/>
  <c r="R288" i="84"/>
  <c r="BL288" i="84" s="1"/>
  <c r="J288" i="84"/>
  <c r="BK287" i="84"/>
  <c r="BE287" i="84"/>
  <c r="AP287" i="84"/>
  <c r="BI287" i="84" s="1"/>
  <c r="AH287" i="84"/>
  <c r="BN287" i="84" s="1"/>
  <c r="Z287" i="84"/>
  <c r="BG287" i="84" s="1"/>
  <c r="R287" i="84"/>
  <c r="BL287" i="84" s="1"/>
  <c r="J287" i="84"/>
  <c r="BK286" i="84"/>
  <c r="BE286" i="84"/>
  <c r="AP286" i="84"/>
  <c r="BO286" i="84" s="1"/>
  <c r="AH286" i="84"/>
  <c r="BN286" i="84" s="1"/>
  <c r="Z286" i="84"/>
  <c r="BG286" i="84" s="1"/>
  <c r="R286" i="84"/>
  <c r="BL286" i="84" s="1"/>
  <c r="J286" i="84"/>
  <c r="BK285" i="84"/>
  <c r="BE285" i="84"/>
  <c r="AP285" i="84"/>
  <c r="BI285" i="84" s="1"/>
  <c r="AH285" i="84"/>
  <c r="BN285" i="84" s="1"/>
  <c r="Z285" i="84"/>
  <c r="R285" i="84"/>
  <c r="J285" i="84"/>
  <c r="BK284" i="84"/>
  <c r="BE284" i="84"/>
  <c r="AP284" i="84"/>
  <c r="AH284" i="84"/>
  <c r="BH284" i="84" s="1"/>
  <c r="Z284" i="84"/>
  <c r="BM284" i="84" s="1"/>
  <c r="R284" i="84"/>
  <c r="J284" i="84"/>
  <c r="BK283" i="84"/>
  <c r="BE283" i="84"/>
  <c r="AP283" i="84"/>
  <c r="BO283" i="84" s="1"/>
  <c r="AH283" i="84"/>
  <c r="BH283" i="84" s="1"/>
  <c r="Z283" i="84"/>
  <c r="BM283" i="84" s="1"/>
  <c r="R283" i="84"/>
  <c r="J283" i="84"/>
  <c r="BK282" i="84"/>
  <c r="BE282" i="84"/>
  <c r="AP282" i="84"/>
  <c r="BO282" i="84" s="1"/>
  <c r="AH282" i="84"/>
  <c r="BH282" i="84" s="1"/>
  <c r="Z282" i="84"/>
  <c r="BM282" i="84" s="1"/>
  <c r="R282" i="84"/>
  <c r="J282" i="84"/>
  <c r="BK281" i="84"/>
  <c r="BE281" i="84"/>
  <c r="AP281" i="84"/>
  <c r="BO281" i="84" s="1"/>
  <c r="AH281" i="84"/>
  <c r="BH281" i="84" s="1"/>
  <c r="Z281" i="84"/>
  <c r="R281" i="84"/>
  <c r="J281" i="84"/>
  <c r="BK280" i="84"/>
  <c r="BE280" i="84"/>
  <c r="AP280" i="84"/>
  <c r="AH280" i="84"/>
  <c r="BH280" i="84" s="1"/>
  <c r="Z280" i="84"/>
  <c r="BM280" i="84" s="1"/>
  <c r="R280" i="84"/>
  <c r="J280" i="84"/>
  <c r="BK279" i="84"/>
  <c r="BE279" i="84"/>
  <c r="AP279" i="84"/>
  <c r="BO279" i="84" s="1"/>
  <c r="AH279" i="84"/>
  <c r="BH279" i="84" s="1"/>
  <c r="Z279" i="84"/>
  <c r="BM279" i="84" s="1"/>
  <c r="R279" i="84"/>
  <c r="J279" i="84"/>
  <c r="BK278" i="84"/>
  <c r="BE278" i="84"/>
  <c r="AP278" i="84"/>
  <c r="BO278" i="84" s="1"/>
  <c r="AH278" i="84"/>
  <c r="BH278" i="84" s="1"/>
  <c r="Z278" i="84"/>
  <c r="BM278" i="84" s="1"/>
  <c r="R278" i="84"/>
  <c r="J278" i="84"/>
  <c r="BK277" i="84"/>
  <c r="BE277" i="84"/>
  <c r="AP277" i="84"/>
  <c r="BO277" i="84" s="1"/>
  <c r="AH277" i="84"/>
  <c r="BH277" i="84" s="1"/>
  <c r="Z277" i="84"/>
  <c r="R277" i="84"/>
  <c r="J277" i="84"/>
  <c r="BK276" i="84"/>
  <c r="BE276" i="84"/>
  <c r="AP276" i="84"/>
  <c r="AH276" i="84"/>
  <c r="BH276" i="84" s="1"/>
  <c r="Z276" i="84"/>
  <c r="BM276" i="84" s="1"/>
  <c r="R276" i="84"/>
  <c r="J276" i="84"/>
  <c r="BK275" i="84"/>
  <c r="BE275" i="84"/>
  <c r="AP275" i="84"/>
  <c r="BO275" i="84" s="1"/>
  <c r="AH275" i="84"/>
  <c r="BH275" i="84" s="1"/>
  <c r="Z275" i="84"/>
  <c r="BM275" i="84" s="1"/>
  <c r="R275" i="84"/>
  <c r="J275" i="84"/>
  <c r="BK274" i="84"/>
  <c r="BE274" i="84"/>
  <c r="AP274" i="84"/>
  <c r="BO274" i="84" s="1"/>
  <c r="AH274" i="84"/>
  <c r="BH274" i="84" s="1"/>
  <c r="Z274" i="84"/>
  <c r="BM274" i="84" s="1"/>
  <c r="R274" i="84"/>
  <c r="J274" i="84"/>
  <c r="BK273" i="84"/>
  <c r="BE273" i="84"/>
  <c r="AP273" i="84"/>
  <c r="BO273" i="84" s="1"/>
  <c r="AH273" i="84"/>
  <c r="BH273" i="84" s="1"/>
  <c r="Z273" i="84"/>
  <c r="R273" i="84"/>
  <c r="J273" i="84"/>
  <c r="BK272" i="84"/>
  <c r="BE272" i="84"/>
  <c r="AP272" i="84"/>
  <c r="AH272" i="84"/>
  <c r="BH272" i="84" s="1"/>
  <c r="Z272" i="84"/>
  <c r="BM272" i="84" s="1"/>
  <c r="R272" i="84"/>
  <c r="J272" i="84"/>
  <c r="BK271" i="84"/>
  <c r="BE271" i="84"/>
  <c r="AP271" i="84"/>
  <c r="BO271" i="84" s="1"/>
  <c r="AH271" i="84"/>
  <c r="BH271" i="84" s="1"/>
  <c r="Z271" i="84"/>
  <c r="BM271" i="84" s="1"/>
  <c r="R271" i="84"/>
  <c r="J271" i="84"/>
  <c r="BK270" i="84"/>
  <c r="BE270" i="84"/>
  <c r="AP270" i="84"/>
  <c r="BO270" i="84" s="1"/>
  <c r="AH270" i="84"/>
  <c r="BH270" i="84" s="1"/>
  <c r="Z270" i="84"/>
  <c r="BM270" i="84" s="1"/>
  <c r="R270" i="84"/>
  <c r="J270" i="84"/>
  <c r="BK269" i="84"/>
  <c r="BE269" i="84"/>
  <c r="AP269" i="84"/>
  <c r="BO269" i="84" s="1"/>
  <c r="AH269" i="84"/>
  <c r="BH269" i="84" s="1"/>
  <c r="Z269" i="84"/>
  <c r="R269" i="84"/>
  <c r="J269" i="84"/>
  <c r="BK268" i="84"/>
  <c r="BE268" i="84"/>
  <c r="AP268" i="84"/>
  <c r="AH268" i="84"/>
  <c r="BH268" i="84" s="1"/>
  <c r="Z268" i="84"/>
  <c r="BM268" i="84" s="1"/>
  <c r="R268" i="84"/>
  <c r="J268" i="84"/>
  <c r="BK267" i="84"/>
  <c r="BE267" i="84"/>
  <c r="AP267" i="84"/>
  <c r="BO267" i="84" s="1"/>
  <c r="AH267" i="84"/>
  <c r="BH267" i="84" s="1"/>
  <c r="Z267" i="84"/>
  <c r="BM267" i="84" s="1"/>
  <c r="R267" i="84"/>
  <c r="J267" i="84"/>
  <c r="BK266" i="84"/>
  <c r="BE266" i="84"/>
  <c r="AP266" i="84"/>
  <c r="BO266" i="84" s="1"/>
  <c r="AH266" i="84"/>
  <c r="BH266" i="84" s="1"/>
  <c r="Z266" i="84"/>
  <c r="BM266" i="84" s="1"/>
  <c r="R266" i="84"/>
  <c r="J266" i="84"/>
  <c r="BK265" i="84"/>
  <c r="BE265" i="84"/>
  <c r="AP265" i="84"/>
  <c r="BO265" i="84" s="1"/>
  <c r="AH265" i="84"/>
  <c r="BH265" i="84" s="1"/>
  <c r="Z265" i="84"/>
  <c r="BM265" i="84" s="1"/>
  <c r="R265" i="84"/>
  <c r="J265" i="84"/>
  <c r="BK264" i="84"/>
  <c r="BE264" i="84"/>
  <c r="AP264" i="84"/>
  <c r="BO264" i="84" s="1"/>
  <c r="AH264" i="84"/>
  <c r="BH264" i="84" s="1"/>
  <c r="Z264" i="84"/>
  <c r="R264" i="84"/>
  <c r="J264" i="84"/>
  <c r="BK263" i="84"/>
  <c r="BE263" i="84"/>
  <c r="AP263" i="84"/>
  <c r="AH263" i="84"/>
  <c r="BH263" i="84" s="1"/>
  <c r="Z263" i="84"/>
  <c r="BM263" i="84" s="1"/>
  <c r="R263" i="84"/>
  <c r="J263" i="84"/>
  <c r="BK262" i="84"/>
  <c r="BE262" i="84"/>
  <c r="AP262" i="84"/>
  <c r="BO262" i="84" s="1"/>
  <c r="AH262" i="84"/>
  <c r="BH262" i="84" s="1"/>
  <c r="Z262" i="84"/>
  <c r="BM262" i="84" s="1"/>
  <c r="R262" i="84"/>
  <c r="J262" i="84"/>
  <c r="BK261" i="84"/>
  <c r="BE261" i="84"/>
  <c r="AP261" i="84"/>
  <c r="BO261" i="84" s="1"/>
  <c r="AH261" i="84"/>
  <c r="BH261" i="84" s="1"/>
  <c r="Z261" i="84"/>
  <c r="BM261" i="84" s="1"/>
  <c r="R261" i="84"/>
  <c r="J261" i="84"/>
  <c r="BK260" i="84"/>
  <c r="BE260" i="84"/>
  <c r="AP260" i="84"/>
  <c r="BO260" i="84" s="1"/>
  <c r="AH260" i="84"/>
  <c r="BH260" i="84" s="1"/>
  <c r="Z260" i="84"/>
  <c r="BM260" i="84" s="1"/>
  <c r="R260" i="84"/>
  <c r="J260" i="84"/>
  <c r="BK259" i="84"/>
  <c r="BE259" i="84"/>
  <c r="AP259" i="84"/>
  <c r="BO259" i="84" s="1"/>
  <c r="AH259" i="84"/>
  <c r="BH259" i="84" s="1"/>
  <c r="Z259" i="84"/>
  <c r="BM259" i="84" s="1"/>
  <c r="R259" i="84"/>
  <c r="J259" i="84"/>
  <c r="BK258" i="84"/>
  <c r="BE258" i="84"/>
  <c r="AP258" i="84"/>
  <c r="BO258" i="84" s="1"/>
  <c r="AH258" i="84"/>
  <c r="BH258" i="84" s="1"/>
  <c r="Z258" i="84"/>
  <c r="BM258" i="84" s="1"/>
  <c r="R258" i="84"/>
  <c r="BF258" i="84" s="1"/>
  <c r="J258" i="84"/>
  <c r="BK257" i="84"/>
  <c r="BE257" i="84"/>
  <c r="AP257" i="84"/>
  <c r="BO257" i="84" s="1"/>
  <c r="AH257" i="84"/>
  <c r="BH257" i="84" s="1"/>
  <c r="Z257" i="84"/>
  <c r="BM257" i="84" s="1"/>
  <c r="R257" i="84"/>
  <c r="BF257" i="84" s="1"/>
  <c r="J257" i="84"/>
  <c r="BK256" i="84"/>
  <c r="BE256" i="84"/>
  <c r="AP256" i="84"/>
  <c r="BO256" i="84" s="1"/>
  <c r="AH256" i="84"/>
  <c r="BH256" i="84" s="1"/>
  <c r="Z256" i="84"/>
  <c r="BM256" i="84" s="1"/>
  <c r="R256" i="84"/>
  <c r="BF256" i="84" s="1"/>
  <c r="J256" i="84"/>
  <c r="BK255" i="84"/>
  <c r="BE255" i="84"/>
  <c r="AP255" i="84"/>
  <c r="BO255" i="84" s="1"/>
  <c r="AH255" i="84"/>
  <c r="BH255" i="84" s="1"/>
  <c r="Z255" i="84"/>
  <c r="BM255" i="84" s="1"/>
  <c r="R255" i="84"/>
  <c r="BF255" i="84" s="1"/>
  <c r="J255" i="84"/>
  <c r="BK254" i="84"/>
  <c r="BE254" i="84"/>
  <c r="AP254" i="84"/>
  <c r="BO254" i="84" s="1"/>
  <c r="AH254" i="84"/>
  <c r="BH254" i="84" s="1"/>
  <c r="Z254" i="84"/>
  <c r="BM254" i="84" s="1"/>
  <c r="R254" i="84"/>
  <c r="BF254" i="84" s="1"/>
  <c r="J254" i="84"/>
  <c r="BK253" i="84"/>
  <c r="BE253" i="84"/>
  <c r="AP253" i="84"/>
  <c r="BO253" i="84" s="1"/>
  <c r="AH253" i="84"/>
  <c r="BH253" i="84" s="1"/>
  <c r="Z253" i="84"/>
  <c r="BM253" i="84" s="1"/>
  <c r="R253" i="84"/>
  <c r="BF253" i="84" s="1"/>
  <c r="J253" i="84"/>
  <c r="BK252" i="84"/>
  <c r="BE252" i="84"/>
  <c r="AP252" i="84"/>
  <c r="BO252" i="84" s="1"/>
  <c r="AH252" i="84"/>
  <c r="BH252" i="84" s="1"/>
  <c r="Z252" i="84"/>
  <c r="R252" i="84"/>
  <c r="BF252" i="84" s="1"/>
  <c r="J252" i="84"/>
  <c r="BK251" i="84"/>
  <c r="BE251" i="84"/>
  <c r="AP251" i="84"/>
  <c r="BO251" i="84" s="1"/>
  <c r="AH251" i="84"/>
  <c r="BH251" i="84" s="1"/>
  <c r="Z251" i="84"/>
  <c r="BM251" i="84" s="1"/>
  <c r="R251" i="84"/>
  <c r="BF251" i="84" s="1"/>
  <c r="J251" i="84"/>
  <c r="BK250" i="84"/>
  <c r="BE250" i="84"/>
  <c r="AP250" i="84"/>
  <c r="AH250" i="84"/>
  <c r="BH250" i="84" s="1"/>
  <c r="Z250" i="84"/>
  <c r="BM250" i="84" s="1"/>
  <c r="R250" i="84"/>
  <c r="BF250" i="84" s="1"/>
  <c r="J250" i="84"/>
  <c r="BK249" i="84"/>
  <c r="BE249" i="84"/>
  <c r="AP249" i="84"/>
  <c r="BO249" i="84" s="1"/>
  <c r="AH249" i="84"/>
  <c r="BH249" i="84" s="1"/>
  <c r="Z249" i="84"/>
  <c r="BM249" i="84" s="1"/>
  <c r="R249" i="84"/>
  <c r="BF249" i="84" s="1"/>
  <c r="J249" i="84"/>
  <c r="BK248" i="84"/>
  <c r="BE248" i="84"/>
  <c r="AP248" i="84"/>
  <c r="BO248" i="84" s="1"/>
  <c r="AH248" i="84"/>
  <c r="BH248" i="84" s="1"/>
  <c r="Z248" i="84"/>
  <c r="BM248" i="84" s="1"/>
  <c r="R248" i="84"/>
  <c r="BF248" i="84" s="1"/>
  <c r="J248" i="84"/>
  <c r="BK247" i="84"/>
  <c r="BE247" i="84"/>
  <c r="AP247" i="84"/>
  <c r="BO247" i="84" s="1"/>
  <c r="AH247" i="84"/>
  <c r="BH247" i="84" s="1"/>
  <c r="Z247" i="84"/>
  <c r="BM247" i="84" s="1"/>
  <c r="R247" i="84"/>
  <c r="BF247" i="84" s="1"/>
  <c r="J247" i="84"/>
  <c r="BK246" i="84"/>
  <c r="BE246" i="84"/>
  <c r="AP246" i="84"/>
  <c r="BO246" i="84" s="1"/>
  <c r="AH246" i="84"/>
  <c r="Z246" i="84"/>
  <c r="R246" i="84"/>
  <c r="BF246" i="84" s="1"/>
  <c r="J246" i="84"/>
  <c r="BK245" i="84"/>
  <c r="BE245" i="84"/>
  <c r="AP245" i="84"/>
  <c r="AH245" i="84"/>
  <c r="BH245" i="84" s="1"/>
  <c r="Z245" i="84"/>
  <c r="BM245" i="84" s="1"/>
  <c r="R245" i="84"/>
  <c r="J245" i="84"/>
  <c r="BK244" i="84"/>
  <c r="BE244" i="84"/>
  <c r="AP244" i="84"/>
  <c r="BO244" i="84" s="1"/>
  <c r="AH244" i="84"/>
  <c r="Z244" i="84"/>
  <c r="BM244" i="84" s="1"/>
  <c r="R244" i="84"/>
  <c r="BF244" i="84" s="1"/>
  <c r="J244" i="84"/>
  <c r="BK243" i="84"/>
  <c r="BE243" i="84"/>
  <c r="AP243" i="84"/>
  <c r="BO243" i="84" s="1"/>
  <c r="AH243" i="84"/>
  <c r="BH243" i="84" s="1"/>
  <c r="Z243" i="84"/>
  <c r="BM243" i="84" s="1"/>
  <c r="R243" i="84"/>
  <c r="J243" i="84"/>
  <c r="BK242" i="84"/>
  <c r="BE242" i="84"/>
  <c r="AP242" i="84"/>
  <c r="BO242" i="84" s="1"/>
  <c r="AH242" i="84"/>
  <c r="Z242" i="84"/>
  <c r="R242" i="84"/>
  <c r="BF242" i="84" s="1"/>
  <c r="J242" i="84"/>
  <c r="BK241" i="84"/>
  <c r="BE241" i="84"/>
  <c r="AP241" i="84"/>
  <c r="BO241" i="84" s="1"/>
  <c r="AH241" i="84"/>
  <c r="Z241" i="84"/>
  <c r="BM241" i="84" s="1"/>
  <c r="R241" i="84"/>
  <c r="J241" i="84"/>
  <c r="BK240" i="84"/>
  <c r="BE240" i="84"/>
  <c r="AP240" i="84"/>
  <c r="BO240" i="84" s="1"/>
  <c r="AH240" i="84"/>
  <c r="Z240" i="84"/>
  <c r="BM240" i="84" s="1"/>
  <c r="R240" i="84"/>
  <c r="BF240" i="84" s="1"/>
  <c r="J240" i="84"/>
  <c r="BK239" i="84"/>
  <c r="BE239" i="84"/>
  <c r="AP239" i="84"/>
  <c r="BO239" i="84" s="1"/>
  <c r="AH239" i="84"/>
  <c r="BH239" i="84" s="1"/>
  <c r="Z239" i="84"/>
  <c r="BM239" i="84" s="1"/>
  <c r="R239" i="84"/>
  <c r="J239" i="84"/>
  <c r="BK238" i="84"/>
  <c r="BE238" i="84"/>
  <c r="AP238" i="84"/>
  <c r="BO238" i="84" s="1"/>
  <c r="AH238" i="84"/>
  <c r="BN238" i="84" s="1"/>
  <c r="Z238" i="84"/>
  <c r="R238" i="84"/>
  <c r="J238" i="84"/>
  <c r="BK237" i="84"/>
  <c r="BE237" i="84"/>
  <c r="AP237" i="84"/>
  <c r="AH237" i="84"/>
  <c r="BH237" i="84" s="1"/>
  <c r="Z237" i="84"/>
  <c r="BM237" i="84" s="1"/>
  <c r="R237" i="84"/>
  <c r="BF237" i="84" s="1"/>
  <c r="J237" i="84"/>
  <c r="BK236" i="84"/>
  <c r="BE236" i="84"/>
  <c r="AP236" i="84"/>
  <c r="BO236" i="84" s="1"/>
  <c r="AH236" i="84"/>
  <c r="BH236" i="84" s="1"/>
  <c r="Z236" i="84"/>
  <c r="BM236" i="84" s="1"/>
  <c r="R236" i="84"/>
  <c r="BF236" i="84" s="1"/>
  <c r="J236" i="84"/>
  <c r="BK235" i="84"/>
  <c r="BE235" i="84"/>
  <c r="AP235" i="84"/>
  <c r="BO235" i="84" s="1"/>
  <c r="AH235" i="84"/>
  <c r="BH235" i="84" s="1"/>
  <c r="Z235" i="84"/>
  <c r="R235" i="84"/>
  <c r="BF235" i="84" s="1"/>
  <c r="J235" i="84"/>
  <c r="BK234" i="84"/>
  <c r="BE234" i="84"/>
  <c r="AP234" i="84"/>
  <c r="BO234" i="84" s="1"/>
  <c r="AH234" i="84"/>
  <c r="BH234" i="84" s="1"/>
  <c r="Z234" i="84"/>
  <c r="BM234" i="84" s="1"/>
  <c r="R234" i="84"/>
  <c r="BF234" i="84" s="1"/>
  <c r="J234" i="84"/>
  <c r="BK233" i="84"/>
  <c r="BE233" i="84"/>
  <c r="AP233" i="84"/>
  <c r="BO233" i="84" s="1"/>
  <c r="AH233" i="84"/>
  <c r="BH233" i="84" s="1"/>
  <c r="Z233" i="84"/>
  <c r="BM233" i="84" s="1"/>
  <c r="R233" i="84"/>
  <c r="BF233" i="84" s="1"/>
  <c r="J233" i="84"/>
  <c r="BK232" i="84"/>
  <c r="BE232" i="84"/>
  <c r="AP232" i="84"/>
  <c r="AH232" i="84"/>
  <c r="Z232" i="84"/>
  <c r="BM232" i="84" s="1"/>
  <c r="R232" i="84"/>
  <c r="BF232" i="84" s="1"/>
  <c r="J232" i="84"/>
  <c r="BK231" i="84"/>
  <c r="BE231" i="84"/>
  <c r="AP231" i="84"/>
  <c r="BO231" i="84" s="1"/>
  <c r="AH231" i="84"/>
  <c r="BH231" i="84" s="1"/>
  <c r="Z231" i="84"/>
  <c r="BM231" i="84" s="1"/>
  <c r="R231" i="84"/>
  <c r="BF231" i="84" s="1"/>
  <c r="J231" i="84"/>
  <c r="BK230" i="84"/>
  <c r="BE230" i="84"/>
  <c r="AP230" i="84"/>
  <c r="BO230" i="84" s="1"/>
  <c r="AH230" i="84"/>
  <c r="BH230" i="84" s="1"/>
  <c r="Z230" i="84"/>
  <c r="R230" i="84"/>
  <c r="BF230" i="84" s="1"/>
  <c r="J230" i="84"/>
  <c r="BK229" i="84"/>
  <c r="BE229" i="84"/>
  <c r="AP229" i="84"/>
  <c r="AH229" i="84"/>
  <c r="BH229" i="84" s="1"/>
  <c r="Z229" i="84"/>
  <c r="BM229" i="84" s="1"/>
  <c r="R229" i="84"/>
  <c r="BF229" i="84" s="1"/>
  <c r="J229" i="84"/>
  <c r="BK228" i="84"/>
  <c r="BE228" i="84"/>
  <c r="AP228" i="84"/>
  <c r="BO228" i="84" s="1"/>
  <c r="AH228" i="84"/>
  <c r="BH228" i="84" s="1"/>
  <c r="Z228" i="84"/>
  <c r="BM228" i="84" s="1"/>
  <c r="R228" i="84"/>
  <c r="BF228" i="84" s="1"/>
  <c r="J228" i="84"/>
  <c r="BK227" i="84"/>
  <c r="BE227" i="84"/>
  <c r="AP227" i="84"/>
  <c r="BO227" i="84" s="1"/>
  <c r="AH227" i="84"/>
  <c r="BH227" i="84" s="1"/>
  <c r="Z227" i="84"/>
  <c r="R227" i="84"/>
  <c r="BF227" i="84" s="1"/>
  <c r="J227" i="84"/>
  <c r="BK226" i="84"/>
  <c r="BE226" i="84"/>
  <c r="AP226" i="84"/>
  <c r="BO226" i="84" s="1"/>
  <c r="AH226" i="84"/>
  <c r="BH226" i="84" s="1"/>
  <c r="Z226" i="84"/>
  <c r="BM226" i="84" s="1"/>
  <c r="R226" i="84"/>
  <c r="BF226" i="84" s="1"/>
  <c r="J226" i="84"/>
  <c r="BK225" i="84"/>
  <c r="BE225" i="84"/>
  <c r="AP225" i="84"/>
  <c r="BO225" i="84" s="1"/>
  <c r="AH225" i="84"/>
  <c r="BH225" i="84" s="1"/>
  <c r="Z225" i="84"/>
  <c r="BM225" i="84" s="1"/>
  <c r="R225" i="84"/>
  <c r="BF225" i="84" s="1"/>
  <c r="J225" i="84"/>
  <c r="BK224" i="84"/>
  <c r="BE224" i="84"/>
  <c r="AP224" i="84"/>
  <c r="AH224" i="84"/>
  <c r="Z224" i="84"/>
  <c r="BM224" i="84" s="1"/>
  <c r="R224" i="84"/>
  <c r="BF224" i="84" s="1"/>
  <c r="J224" i="84"/>
  <c r="BK223" i="84"/>
  <c r="BE223" i="84"/>
  <c r="AP223" i="84"/>
  <c r="BO223" i="84" s="1"/>
  <c r="AH223" i="84"/>
  <c r="BH223" i="84" s="1"/>
  <c r="Z223" i="84"/>
  <c r="BM223" i="84" s="1"/>
  <c r="R223" i="84"/>
  <c r="BF223" i="84" s="1"/>
  <c r="J223" i="84"/>
  <c r="BK222" i="84"/>
  <c r="BE222" i="84"/>
  <c r="AP222" i="84"/>
  <c r="BO222" i="84" s="1"/>
  <c r="AH222" i="84"/>
  <c r="BH222" i="84" s="1"/>
  <c r="Z222" i="84"/>
  <c r="R222" i="84"/>
  <c r="BF222" i="84" s="1"/>
  <c r="J222" i="84"/>
  <c r="BK221" i="84"/>
  <c r="BE221" i="84"/>
  <c r="AP221" i="84"/>
  <c r="AH221" i="84"/>
  <c r="BH221" i="84" s="1"/>
  <c r="Z221" i="84"/>
  <c r="BM221" i="84" s="1"/>
  <c r="R221" i="84"/>
  <c r="BF221" i="84" s="1"/>
  <c r="J221" i="84"/>
  <c r="BK220" i="84"/>
  <c r="BE220" i="84"/>
  <c r="AP220" i="84"/>
  <c r="BO220" i="84" s="1"/>
  <c r="AH220" i="84"/>
  <c r="BH220" i="84" s="1"/>
  <c r="Z220" i="84"/>
  <c r="BM220" i="84" s="1"/>
  <c r="R220" i="84"/>
  <c r="BF220" i="84" s="1"/>
  <c r="J220" i="84"/>
  <c r="BK219" i="84"/>
  <c r="BE219" i="84"/>
  <c r="AP219" i="84"/>
  <c r="BO219" i="84" s="1"/>
  <c r="AH219" i="84"/>
  <c r="BH219" i="84" s="1"/>
  <c r="Z219" i="84"/>
  <c r="R219" i="84"/>
  <c r="BF219" i="84" s="1"/>
  <c r="J219" i="84"/>
  <c r="BK218" i="84"/>
  <c r="BE218" i="84"/>
  <c r="AP218" i="84"/>
  <c r="BO218" i="84" s="1"/>
  <c r="AH218" i="84"/>
  <c r="BH218" i="84" s="1"/>
  <c r="Z218" i="84"/>
  <c r="BM218" i="84" s="1"/>
  <c r="R218" i="84"/>
  <c r="BF218" i="84" s="1"/>
  <c r="J218" i="84"/>
  <c r="BK217" i="84"/>
  <c r="BE217" i="84"/>
  <c r="AP217" i="84"/>
  <c r="BO217" i="84" s="1"/>
  <c r="AH217" i="84"/>
  <c r="BH217" i="84" s="1"/>
  <c r="Z217" i="84"/>
  <c r="BM217" i="84" s="1"/>
  <c r="R217" i="84"/>
  <c r="BF217" i="84" s="1"/>
  <c r="J217" i="84"/>
  <c r="BK216" i="84"/>
  <c r="BE216" i="84"/>
  <c r="AP216" i="84"/>
  <c r="AH216" i="84"/>
  <c r="Z216" i="84"/>
  <c r="BM216" i="84" s="1"/>
  <c r="R216" i="84"/>
  <c r="BF216" i="84" s="1"/>
  <c r="J216" i="84"/>
  <c r="BK215" i="84"/>
  <c r="BE215" i="84"/>
  <c r="AP215" i="84"/>
  <c r="BO215" i="84" s="1"/>
  <c r="AH215" i="84"/>
  <c r="BH215" i="84" s="1"/>
  <c r="Z215" i="84"/>
  <c r="BM215" i="84" s="1"/>
  <c r="R215" i="84"/>
  <c r="BF215" i="84" s="1"/>
  <c r="J215" i="84"/>
  <c r="BK214" i="84"/>
  <c r="BE214" i="84"/>
  <c r="AP214" i="84"/>
  <c r="BO214" i="84" s="1"/>
  <c r="AH214" i="84"/>
  <c r="BH214" i="84" s="1"/>
  <c r="Z214" i="84"/>
  <c r="R214" i="84"/>
  <c r="BF214" i="84" s="1"/>
  <c r="J214" i="84"/>
  <c r="BK213" i="84"/>
  <c r="BE213" i="84"/>
  <c r="AP213" i="84"/>
  <c r="AH213" i="84"/>
  <c r="Z213" i="84"/>
  <c r="BM213" i="84" s="1"/>
  <c r="R213" i="84"/>
  <c r="BF213" i="84" s="1"/>
  <c r="J213" i="84"/>
  <c r="BK212" i="84"/>
  <c r="BE212" i="84"/>
  <c r="AP212" i="84"/>
  <c r="BO212" i="84" s="1"/>
  <c r="AH212" i="84"/>
  <c r="BH212" i="84" s="1"/>
  <c r="Z212" i="84"/>
  <c r="BM212" i="84" s="1"/>
  <c r="R212" i="84"/>
  <c r="BF212" i="84" s="1"/>
  <c r="J212" i="84"/>
  <c r="BK211" i="84"/>
  <c r="BE211" i="84"/>
  <c r="AP211" i="84"/>
  <c r="BO211" i="84" s="1"/>
  <c r="AH211" i="84"/>
  <c r="BH211" i="84" s="1"/>
  <c r="Z211" i="84"/>
  <c r="BM211" i="84" s="1"/>
  <c r="R211" i="84"/>
  <c r="BF211" i="84" s="1"/>
  <c r="J211" i="84"/>
  <c r="BK210" i="84"/>
  <c r="BE210" i="84"/>
  <c r="AP210" i="84"/>
  <c r="BO210" i="84" s="1"/>
  <c r="AH210" i="84"/>
  <c r="BH210" i="84" s="1"/>
  <c r="Z210" i="84"/>
  <c r="BM210" i="84" s="1"/>
  <c r="R210" i="84"/>
  <c r="BF210" i="84" s="1"/>
  <c r="J210" i="84"/>
  <c r="BK209" i="84"/>
  <c r="BE209" i="84"/>
  <c r="AP209" i="84"/>
  <c r="BO209" i="84" s="1"/>
  <c r="AH209" i="84"/>
  <c r="BH209" i="84" s="1"/>
  <c r="Z209" i="84"/>
  <c r="BM209" i="84" s="1"/>
  <c r="R209" i="84"/>
  <c r="BF209" i="84" s="1"/>
  <c r="J209" i="84"/>
  <c r="BK208" i="84"/>
  <c r="BE208" i="84"/>
  <c r="AP208" i="84"/>
  <c r="BO208" i="84" s="1"/>
  <c r="AH208" i="84"/>
  <c r="BH208" i="84" s="1"/>
  <c r="Z208" i="84"/>
  <c r="BM208" i="84" s="1"/>
  <c r="R208" i="84"/>
  <c r="BF208" i="84" s="1"/>
  <c r="J208" i="84"/>
  <c r="BK207" i="84"/>
  <c r="BE207" i="84"/>
  <c r="AP207" i="84"/>
  <c r="BO207" i="84" s="1"/>
  <c r="AH207" i="84"/>
  <c r="Z207" i="84"/>
  <c r="R207" i="84"/>
  <c r="BF207" i="84" s="1"/>
  <c r="J207" i="84"/>
  <c r="BK206" i="84"/>
  <c r="BE206" i="84"/>
  <c r="AP206" i="84"/>
  <c r="BO206" i="84" s="1"/>
  <c r="AH206" i="84"/>
  <c r="BH206" i="84" s="1"/>
  <c r="Z206" i="84"/>
  <c r="BM206" i="84" s="1"/>
  <c r="R206" i="84"/>
  <c r="BF206" i="84" s="1"/>
  <c r="J206" i="84"/>
  <c r="BK205" i="84"/>
  <c r="BE205" i="84"/>
  <c r="AP205" i="84"/>
  <c r="BO205" i="84" s="1"/>
  <c r="AH205" i="84"/>
  <c r="BH205" i="84" s="1"/>
  <c r="Z205" i="84"/>
  <c r="BM205" i="84" s="1"/>
  <c r="R205" i="84"/>
  <c r="BF205" i="84" s="1"/>
  <c r="J205" i="84"/>
  <c r="BK204" i="84"/>
  <c r="BE204" i="84"/>
  <c r="AP204" i="84"/>
  <c r="BO204" i="84" s="1"/>
  <c r="AH204" i="84"/>
  <c r="BH204" i="84" s="1"/>
  <c r="Z204" i="84"/>
  <c r="BM204" i="84" s="1"/>
  <c r="R204" i="84"/>
  <c r="BF204" i="84" s="1"/>
  <c r="J204" i="84"/>
  <c r="BK203" i="84"/>
  <c r="BE203" i="84"/>
  <c r="AP203" i="84"/>
  <c r="BO203" i="84" s="1"/>
  <c r="AH203" i="84"/>
  <c r="BH203" i="84" s="1"/>
  <c r="Z203" i="84"/>
  <c r="BM203" i="84" s="1"/>
  <c r="R203" i="84"/>
  <c r="BF203" i="84" s="1"/>
  <c r="J203" i="84"/>
  <c r="BK202" i="84"/>
  <c r="BE202" i="84"/>
  <c r="AP202" i="84"/>
  <c r="BO202" i="84" s="1"/>
  <c r="AH202" i="84"/>
  <c r="BH202" i="84" s="1"/>
  <c r="Z202" i="84"/>
  <c r="R202" i="84"/>
  <c r="BF202" i="84" s="1"/>
  <c r="J202" i="84"/>
  <c r="BK201" i="84"/>
  <c r="BE201" i="84"/>
  <c r="AP201" i="84"/>
  <c r="BO201" i="84" s="1"/>
  <c r="AH201" i="84"/>
  <c r="Z201" i="84"/>
  <c r="R201" i="84"/>
  <c r="BF201" i="84" s="1"/>
  <c r="J201" i="84"/>
  <c r="BK200" i="84"/>
  <c r="BE200" i="84"/>
  <c r="AP200" i="84"/>
  <c r="BO200" i="84" s="1"/>
  <c r="AH200" i="84"/>
  <c r="BH200" i="84" s="1"/>
  <c r="Z200" i="84"/>
  <c r="BM200" i="84" s="1"/>
  <c r="R200" i="84"/>
  <c r="BF200" i="84" s="1"/>
  <c r="J200" i="84"/>
  <c r="BK199" i="84"/>
  <c r="BE199" i="84"/>
  <c r="AP199" i="84"/>
  <c r="BO199" i="84" s="1"/>
  <c r="AH199" i="84"/>
  <c r="BH199" i="84" s="1"/>
  <c r="Z199" i="84"/>
  <c r="BM199" i="84" s="1"/>
  <c r="R199" i="84"/>
  <c r="BF199" i="84" s="1"/>
  <c r="J199" i="84"/>
  <c r="BK198" i="84"/>
  <c r="BE198" i="84"/>
  <c r="AP198" i="84"/>
  <c r="BO198" i="84" s="1"/>
  <c r="AH198" i="84"/>
  <c r="BH198" i="84" s="1"/>
  <c r="Z198" i="84"/>
  <c r="BM198" i="84" s="1"/>
  <c r="R198" i="84"/>
  <c r="BF198" i="84" s="1"/>
  <c r="J198" i="84"/>
  <c r="BK197" i="84"/>
  <c r="BE197" i="84"/>
  <c r="AP197" i="84"/>
  <c r="BO197" i="84" s="1"/>
  <c r="AH197" i="84"/>
  <c r="BN197" i="84" s="1"/>
  <c r="Z197" i="84"/>
  <c r="BG197" i="84" s="1"/>
  <c r="R197" i="84"/>
  <c r="BL197" i="84" s="1"/>
  <c r="J197" i="84"/>
  <c r="BK196" i="84"/>
  <c r="BE196" i="84"/>
  <c r="AP196" i="84"/>
  <c r="BI196" i="84" s="1"/>
  <c r="AH196" i="84"/>
  <c r="BH196" i="84" s="1"/>
  <c r="Z196" i="84"/>
  <c r="BG196" i="84" s="1"/>
  <c r="R196" i="84"/>
  <c r="J196" i="84"/>
  <c r="BK195" i="84"/>
  <c r="BE195" i="84"/>
  <c r="AP195" i="84"/>
  <c r="BI195" i="84" s="1"/>
  <c r="AH195" i="84"/>
  <c r="Z195" i="84"/>
  <c r="BG195" i="84" s="1"/>
  <c r="R195" i="84"/>
  <c r="BL195" i="84" s="1"/>
  <c r="J195" i="84"/>
  <c r="BK194" i="84"/>
  <c r="BE194" i="84"/>
  <c r="AP194" i="84"/>
  <c r="BI194" i="84" s="1"/>
  <c r="AH194" i="84"/>
  <c r="BN194" i="84" s="1"/>
  <c r="Z194" i="84"/>
  <c r="BG194" i="84" s="1"/>
  <c r="R194" i="84"/>
  <c r="BL194" i="84" s="1"/>
  <c r="J194" i="84"/>
  <c r="BK193" i="84"/>
  <c r="BE193" i="84"/>
  <c r="AP193" i="84"/>
  <c r="BI193" i="84" s="1"/>
  <c r="AH193" i="84"/>
  <c r="BN193" i="84" s="1"/>
  <c r="Z193" i="84"/>
  <c r="BG193" i="84" s="1"/>
  <c r="R193" i="84"/>
  <c r="BL193" i="84" s="1"/>
  <c r="J193" i="84"/>
  <c r="BK192" i="84"/>
  <c r="BE192" i="84"/>
  <c r="AP192" i="84"/>
  <c r="BI192" i="84" s="1"/>
  <c r="AH192" i="84"/>
  <c r="BH192" i="84" s="1"/>
  <c r="Z192" i="84"/>
  <c r="BG192" i="84" s="1"/>
  <c r="R192" i="84"/>
  <c r="J192" i="84"/>
  <c r="BK191" i="84"/>
  <c r="BE191" i="84"/>
  <c r="AP191" i="84"/>
  <c r="BI191" i="84" s="1"/>
  <c r="AH191" i="84"/>
  <c r="Z191" i="84"/>
  <c r="BG191" i="84" s="1"/>
  <c r="R191" i="84"/>
  <c r="BL191" i="84" s="1"/>
  <c r="J191" i="84"/>
  <c r="BK190" i="84"/>
  <c r="BE190" i="84"/>
  <c r="AP190" i="84"/>
  <c r="BI190" i="84" s="1"/>
  <c r="AH190" i="84"/>
  <c r="BN190" i="84" s="1"/>
  <c r="Z190" i="84"/>
  <c r="BG190" i="84" s="1"/>
  <c r="R190" i="84"/>
  <c r="BL190" i="84" s="1"/>
  <c r="J190" i="84"/>
  <c r="BK189" i="84"/>
  <c r="BE189" i="84"/>
  <c r="AP189" i="84"/>
  <c r="BI189" i="84" s="1"/>
  <c r="AH189" i="84"/>
  <c r="BN189" i="84" s="1"/>
  <c r="Z189" i="84"/>
  <c r="BG189" i="84" s="1"/>
  <c r="R189" i="84"/>
  <c r="BL189" i="84" s="1"/>
  <c r="J189" i="84"/>
  <c r="BK188" i="84"/>
  <c r="BE188" i="84"/>
  <c r="AP188" i="84"/>
  <c r="BI188" i="84" s="1"/>
  <c r="AH188" i="84"/>
  <c r="BH188" i="84" s="1"/>
  <c r="Z188" i="84"/>
  <c r="BG188" i="84" s="1"/>
  <c r="R188" i="84"/>
  <c r="J188" i="84"/>
  <c r="BK187" i="84"/>
  <c r="BE187" i="84"/>
  <c r="AP187" i="84"/>
  <c r="BI187" i="84" s="1"/>
  <c r="AH187" i="84"/>
  <c r="Z187" i="84"/>
  <c r="BG187" i="84" s="1"/>
  <c r="R187" i="84"/>
  <c r="BL187" i="84" s="1"/>
  <c r="J187" i="84"/>
  <c r="BK186" i="84"/>
  <c r="BE186" i="84"/>
  <c r="AP186" i="84"/>
  <c r="BI186" i="84" s="1"/>
  <c r="AH186" i="84"/>
  <c r="BN186" i="84" s="1"/>
  <c r="Z186" i="84"/>
  <c r="BG186" i="84" s="1"/>
  <c r="R186" i="84"/>
  <c r="BL186" i="84" s="1"/>
  <c r="J186" i="84"/>
  <c r="BK185" i="84"/>
  <c r="BE185" i="84"/>
  <c r="AP185" i="84"/>
  <c r="BI185" i="84" s="1"/>
  <c r="AH185" i="84"/>
  <c r="BN185" i="84" s="1"/>
  <c r="Z185" i="84"/>
  <c r="BG185" i="84" s="1"/>
  <c r="R185" i="84"/>
  <c r="BL185" i="84" s="1"/>
  <c r="J185" i="84"/>
  <c r="BK184" i="84"/>
  <c r="BE184" i="84"/>
  <c r="AP184" i="84"/>
  <c r="BI184" i="84" s="1"/>
  <c r="AH184" i="84"/>
  <c r="BH184" i="84" s="1"/>
  <c r="Z184" i="84"/>
  <c r="BG184" i="84" s="1"/>
  <c r="R184" i="84"/>
  <c r="J184" i="84"/>
  <c r="BK183" i="84"/>
  <c r="BE183" i="84"/>
  <c r="AP183" i="84"/>
  <c r="BI183" i="84" s="1"/>
  <c r="AH183" i="84"/>
  <c r="Z183" i="84"/>
  <c r="BG183" i="84" s="1"/>
  <c r="R183" i="84"/>
  <c r="BL183" i="84" s="1"/>
  <c r="J183" i="84"/>
  <c r="BK182" i="84"/>
  <c r="BE182" i="84"/>
  <c r="AP182" i="84"/>
  <c r="BI182" i="84" s="1"/>
  <c r="AH182" i="84"/>
  <c r="BN182" i="84" s="1"/>
  <c r="Z182" i="84"/>
  <c r="BG182" i="84" s="1"/>
  <c r="R182" i="84"/>
  <c r="BL182" i="84" s="1"/>
  <c r="J182" i="84"/>
  <c r="BK181" i="84"/>
  <c r="BE181" i="84"/>
  <c r="AP181" i="84"/>
  <c r="BI181" i="84" s="1"/>
  <c r="AH181" i="84"/>
  <c r="BN181" i="84" s="1"/>
  <c r="Z181" i="84"/>
  <c r="BG181" i="84" s="1"/>
  <c r="R181" i="84"/>
  <c r="BL181" i="84" s="1"/>
  <c r="J181" i="84"/>
  <c r="BK180" i="84"/>
  <c r="BE180" i="84"/>
  <c r="AP180" i="84"/>
  <c r="BI180" i="84" s="1"/>
  <c r="AH180" i="84"/>
  <c r="BH180" i="84" s="1"/>
  <c r="Z180" i="84"/>
  <c r="BG180" i="84" s="1"/>
  <c r="R180" i="84"/>
  <c r="J180" i="84"/>
  <c r="BK179" i="84"/>
  <c r="BE179" i="84"/>
  <c r="AP179" i="84"/>
  <c r="BI179" i="84" s="1"/>
  <c r="AH179" i="84"/>
  <c r="Z179" i="84"/>
  <c r="BG179" i="84" s="1"/>
  <c r="R179" i="84"/>
  <c r="BL179" i="84" s="1"/>
  <c r="J179" i="84"/>
  <c r="BK178" i="84"/>
  <c r="BE178" i="84"/>
  <c r="AP178" i="84"/>
  <c r="BI178" i="84" s="1"/>
  <c r="AH178" i="84"/>
  <c r="BN178" i="84" s="1"/>
  <c r="Z178" i="84"/>
  <c r="BG178" i="84" s="1"/>
  <c r="R178" i="84"/>
  <c r="BL178" i="84" s="1"/>
  <c r="J178" i="84"/>
  <c r="BK177" i="84"/>
  <c r="BE177" i="84"/>
  <c r="AP177" i="84"/>
  <c r="BI177" i="84" s="1"/>
  <c r="AH177" i="84"/>
  <c r="BN177" i="84" s="1"/>
  <c r="Z177" i="84"/>
  <c r="BG177" i="84" s="1"/>
  <c r="R177" i="84"/>
  <c r="BL177" i="84" s="1"/>
  <c r="J177" i="84"/>
  <c r="BK176" i="84"/>
  <c r="BE176" i="84"/>
  <c r="AP176" i="84"/>
  <c r="AH176" i="84"/>
  <c r="BH176" i="84" s="1"/>
  <c r="Z176" i="84"/>
  <c r="BG176" i="84" s="1"/>
  <c r="R176" i="84"/>
  <c r="J176" i="84"/>
  <c r="BK175" i="84"/>
  <c r="BE175" i="84"/>
  <c r="AP175" i="84"/>
  <c r="AH175" i="84"/>
  <c r="Z175" i="84"/>
  <c r="BG175" i="84" s="1"/>
  <c r="R175" i="84"/>
  <c r="BL175" i="84" s="1"/>
  <c r="J175" i="84"/>
  <c r="BK174" i="84"/>
  <c r="BE174" i="84"/>
  <c r="AP174" i="84"/>
  <c r="AH174" i="84"/>
  <c r="BN174" i="84" s="1"/>
  <c r="Z174" i="84"/>
  <c r="BG174" i="84" s="1"/>
  <c r="R174" i="84"/>
  <c r="BL174" i="84" s="1"/>
  <c r="J174" i="84"/>
  <c r="BK173" i="84"/>
  <c r="BE173" i="84"/>
  <c r="AP173" i="84"/>
  <c r="AH173" i="84"/>
  <c r="BN173" i="84" s="1"/>
  <c r="Z173" i="84"/>
  <c r="BG173" i="84" s="1"/>
  <c r="R173" i="84"/>
  <c r="BL173" i="84" s="1"/>
  <c r="J173" i="84"/>
  <c r="BK172" i="84"/>
  <c r="BE172" i="84"/>
  <c r="AP172" i="84"/>
  <c r="AH172" i="84"/>
  <c r="BH172" i="84" s="1"/>
  <c r="Z172" i="84"/>
  <c r="BG172" i="84" s="1"/>
  <c r="R172" i="84"/>
  <c r="J172" i="84"/>
  <c r="BK171" i="84"/>
  <c r="BE171" i="84"/>
  <c r="AP171" i="84"/>
  <c r="AH171" i="84"/>
  <c r="Z171" i="84"/>
  <c r="BG171" i="84" s="1"/>
  <c r="R171" i="84"/>
  <c r="BL171" i="84" s="1"/>
  <c r="J171" i="84"/>
  <c r="BK170" i="84"/>
  <c r="BE170" i="84"/>
  <c r="AP170" i="84"/>
  <c r="AH170" i="84"/>
  <c r="BN170" i="84" s="1"/>
  <c r="Z170" i="84"/>
  <c r="BG170" i="84" s="1"/>
  <c r="R170" i="84"/>
  <c r="BL170" i="84" s="1"/>
  <c r="J170" i="84"/>
  <c r="BK169" i="84"/>
  <c r="BE169" i="84"/>
  <c r="AP169" i="84"/>
  <c r="AH169" i="84"/>
  <c r="BN169" i="84" s="1"/>
  <c r="Z169" i="84"/>
  <c r="BG169" i="84" s="1"/>
  <c r="R169" i="84"/>
  <c r="BL169" i="84" s="1"/>
  <c r="J169" i="84"/>
  <c r="BK168" i="84"/>
  <c r="BE168" i="84"/>
  <c r="AP168" i="84"/>
  <c r="AH168" i="84"/>
  <c r="BH168" i="84" s="1"/>
  <c r="Z168" i="84"/>
  <c r="R168" i="84"/>
  <c r="J168" i="84"/>
  <c r="BK167" i="84"/>
  <c r="BE167" i="84"/>
  <c r="AP167" i="84"/>
  <c r="AH167" i="84"/>
  <c r="BN167" i="84" s="1"/>
  <c r="Z167" i="84"/>
  <c r="BG167" i="84" s="1"/>
  <c r="R167" i="84"/>
  <c r="BL167" i="84" s="1"/>
  <c r="J167" i="84"/>
  <c r="BK166" i="84"/>
  <c r="BE166" i="84"/>
  <c r="AP166" i="84"/>
  <c r="BI166" i="84" s="1"/>
  <c r="AH166" i="84"/>
  <c r="BN166" i="84" s="1"/>
  <c r="Z166" i="84"/>
  <c r="BG166" i="84" s="1"/>
  <c r="R166" i="84"/>
  <c r="BL166" i="84" s="1"/>
  <c r="J166" i="84"/>
  <c r="BK165" i="84"/>
  <c r="BE165" i="84"/>
  <c r="AP165" i="84"/>
  <c r="BI165" i="84" s="1"/>
  <c r="AH165" i="84"/>
  <c r="BH165" i="84" s="1"/>
  <c r="Z165" i="84"/>
  <c r="R165" i="84"/>
  <c r="BL165" i="84" s="1"/>
  <c r="J165" i="84"/>
  <c r="BK164" i="84"/>
  <c r="BE164" i="84"/>
  <c r="AP164" i="84"/>
  <c r="BI164" i="84" s="1"/>
  <c r="AH164" i="84"/>
  <c r="BN164" i="84" s="1"/>
  <c r="Z164" i="84"/>
  <c r="BG164" i="84" s="1"/>
  <c r="R164" i="84"/>
  <c r="BL164" i="84" s="1"/>
  <c r="J164" i="84"/>
  <c r="BK163" i="84"/>
  <c r="BE163" i="84"/>
  <c r="AP163" i="84"/>
  <c r="BI163" i="84" s="1"/>
  <c r="AH163" i="84"/>
  <c r="BN163" i="84" s="1"/>
  <c r="Z163" i="84"/>
  <c r="BG163" i="84" s="1"/>
  <c r="R163" i="84"/>
  <c r="J163" i="84"/>
  <c r="BK162" i="84"/>
  <c r="BE162" i="84"/>
  <c r="AP162" i="84"/>
  <c r="BI162" i="84" s="1"/>
  <c r="AH162" i="84"/>
  <c r="Z162" i="84"/>
  <c r="BG162" i="84" s="1"/>
  <c r="R162" i="84"/>
  <c r="BL162" i="84" s="1"/>
  <c r="J162" i="84"/>
  <c r="BK161" i="84"/>
  <c r="BE161" i="84"/>
  <c r="AP161" i="84"/>
  <c r="BI161" i="84" s="1"/>
  <c r="AH161" i="84"/>
  <c r="BN161" i="84" s="1"/>
  <c r="Z161" i="84"/>
  <c r="BG161" i="84" s="1"/>
  <c r="R161" i="84"/>
  <c r="BL161" i="84" s="1"/>
  <c r="J161" i="84"/>
  <c r="BK160" i="84"/>
  <c r="BE160" i="84"/>
  <c r="AP160" i="84"/>
  <c r="BI160" i="84" s="1"/>
  <c r="AH160" i="84"/>
  <c r="BN160" i="84" s="1"/>
  <c r="Z160" i="84"/>
  <c r="BG160" i="84" s="1"/>
  <c r="R160" i="84"/>
  <c r="J160" i="84"/>
  <c r="BK159" i="84"/>
  <c r="BE159" i="84"/>
  <c r="AP159" i="84"/>
  <c r="BI159" i="84" s="1"/>
  <c r="AH159" i="84"/>
  <c r="Z159" i="84"/>
  <c r="BG159" i="84" s="1"/>
  <c r="R159" i="84"/>
  <c r="BL159" i="84" s="1"/>
  <c r="J159" i="84"/>
  <c r="BK158" i="84"/>
  <c r="BE158" i="84"/>
  <c r="AP158" i="84"/>
  <c r="BI158" i="84" s="1"/>
  <c r="AH158" i="84"/>
  <c r="BH158" i="84" s="1"/>
  <c r="Z158" i="84"/>
  <c r="BG158" i="84" s="1"/>
  <c r="R158" i="84"/>
  <c r="BL158" i="84" s="1"/>
  <c r="J158" i="84"/>
  <c r="BK157" i="84"/>
  <c r="BE157" i="84"/>
  <c r="AP157" i="84"/>
  <c r="BI157" i="84" s="1"/>
  <c r="AH157" i="84"/>
  <c r="BN157" i="84" s="1"/>
  <c r="Z157" i="84"/>
  <c r="BG157" i="84" s="1"/>
  <c r="R157" i="84"/>
  <c r="BL157" i="84" s="1"/>
  <c r="J157" i="84"/>
  <c r="BK156" i="84"/>
  <c r="BE156" i="84"/>
  <c r="AP156" i="84"/>
  <c r="BI156" i="84" s="1"/>
  <c r="AH156" i="84"/>
  <c r="BN156" i="84" s="1"/>
  <c r="Z156" i="84"/>
  <c r="BG156" i="84" s="1"/>
  <c r="R156" i="84"/>
  <c r="BL156" i="84" s="1"/>
  <c r="J156" i="84"/>
  <c r="BK155" i="84"/>
  <c r="BE155" i="84"/>
  <c r="AP155" i="84"/>
  <c r="BO155" i="84" s="1"/>
  <c r="AH155" i="84"/>
  <c r="BN155" i="84" s="1"/>
  <c r="Z155" i="84"/>
  <c r="BG155" i="84" s="1"/>
  <c r="R155" i="84"/>
  <c r="BL155" i="84" s="1"/>
  <c r="J155" i="84"/>
  <c r="BK154" i="84"/>
  <c r="BE154" i="84"/>
  <c r="AP154" i="84"/>
  <c r="BI154" i="84" s="1"/>
  <c r="AH154" i="84"/>
  <c r="BH154" i="84" s="1"/>
  <c r="Z154" i="84"/>
  <c r="BG154" i="84" s="1"/>
  <c r="R154" i="84"/>
  <c r="BL154" i="84" s="1"/>
  <c r="J154" i="84"/>
  <c r="BK153" i="84"/>
  <c r="BE153" i="84"/>
  <c r="AP153" i="84"/>
  <c r="BI153" i="84" s="1"/>
  <c r="AH153" i="84"/>
  <c r="Z153" i="84"/>
  <c r="BG153" i="84" s="1"/>
  <c r="R153" i="84"/>
  <c r="BL153" i="84" s="1"/>
  <c r="J153" i="84"/>
  <c r="BK152" i="84"/>
  <c r="BE152" i="84"/>
  <c r="AP152" i="84"/>
  <c r="BO152" i="84" s="1"/>
  <c r="AH152" i="84"/>
  <c r="BN152" i="84" s="1"/>
  <c r="Z152" i="84"/>
  <c r="BG152" i="84" s="1"/>
  <c r="R152" i="84"/>
  <c r="J152" i="84"/>
  <c r="BK151" i="84"/>
  <c r="BE151" i="84"/>
  <c r="AP151" i="84"/>
  <c r="BI151" i="84" s="1"/>
  <c r="AH151" i="84"/>
  <c r="BH151" i="84" s="1"/>
  <c r="Z151" i="84"/>
  <c r="BG151" i="84" s="1"/>
  <c r="R151" i="84"/>
  <c r="BL151" i="84" s="1"/>
  <c r="J151" i="84"/>
  <c r="BK150" i="84"/>
  <c r="BE150" i="84"/>
  <c r="AP150" i="84"/>
  <c r="BO150" i="84" s="1"/>
  <c r="AH150" i="84"/>
  <c r="BN150" i="84" s="1"/>
  <c r="Z150" i="84"/>
  <c r="BG150" i="84" s="1"/>
  <c r="R150" i="84"/>
  <c r="BL150" i="84" s="1"/>
  <c r="J150" i="84"/>
  <c r="BK149" i="84"/>
  <c r="BE149" i="84"/>
  <c r="AP149" i="84"/>
  <c r="BO149" i="84" s="1"/>
  <c r="AH149" i="84"/>
  <c r="BH149" i="84" s="1"/>
  <c r="Z149" i="84"/>
  <c r="BG149" i="84" s="1"/>
  <c r="R149" i="84"/>
  <c r="BL149" i="84" s="1"/>
  <c r="J149" i="84"/>
  <c r="BK148" i="84"/>
  <c r="BE148" i="84"/>
  <c r="AP148" i="84"/>
  <c r="BI148" i="84" s="1"/>
  <c r="AH148" i="84"/>
  <c r="BN148" i="84" s="1"/>
  <c r="Z148" i="84"/>
  <c r="BG148" i="84" s="1"/>
  <c r="R148" i="84"/>
  <c r="BL148" i="84" s="1"/>
  <c r="J148" i="84"/>
  <c r="BK147" i="84"/>
  <c r="BE147" i="84"/>
  <c r="AP147" i="84"/>
  <c r="BO147" i="84" s="1"/>
  <c r="AH147" i="84"/>
  <c r="BH147" i="84" s="1"/>
  <c r="Z147" i="84"/>
  <c r="BG147" i="84" s="1"/>
  <c r="R147" i="84"/>
  <c r="BL147" i="84" s="1"/>
  <c r="J147" i="84"/>
  <c r="BK146" i="84"/>
  <c r="BE146" i="84"/>
  <c r="AP146" i="84"/>
  <c r="BI146" i="84" s="1"/>
  <c r="AH146" i="84"/>
  <c r="BH146" i="84" s="1"/>
  <c r="Z146" i="84"/>
  <c r="BG146" i="84" s="1"/>
  <c r="R146" i="84"/>
  <c r="BL146" i="84" s="1"/>
  <c r="J146" i="84"/>
  <c r="BK145" i="84"/>
  <c r="BE145" i="84"/>
  <c r="AP145" i="84"/>
  <c r="BI145" i="84" s="1"/>
  <c r="AH145" i="84"/>
  <c r="Z145" i="84"/>
  <c r="BG145" i="84" s="1"/>
  <c r="R145" i="84"/>
  <c r="BL145" i="84" s="1"/>
  <c r="J145" i="84"/>
  <c r="BK144" i="84"/>
  <c r="BE144" i="84"/>
  <c r="AP144" i="84"/>
  <c r="BO144" i="84" s="1"/>
  <c r="AH144" i="84"/>
  <c r="BN144" i="84" s="1"/>
  <c r="Z144" i="84"/>
  <c r="BG144" i="84" s="1"/>
  <c r="R144" i="84"/>
  <c r="J144" i="84"/>
  <c r="BK143" i="84"/>
  <c r="BE143" i="84"/>
  <c r="AP143" i="84"/>
  <c r="BI143" i="84" s="1"/>
  <c r="AH143" i="84"/>
  <c r="BH143" i="84" s="1"/>
  <c r="Z143" i="84"/>
  <c r="BG143" i="84" s="1"/>
  <c r="R143" i="84"/>
  <c r="BL143" i="84" s="1"/>
  <c r="J143" i="84"/>
  <c r="BK142" i="84"/>
  <c r="BE142" i="84"/>
  <c r="AP142" i="84"/>
  <c r="BO142" i="84" s="1"/>
  <c r="AH142" i="84"/>
  <c r="BN142" i="84" s="1"/>
  <c r="Z142" i="84"/>
  <c r="BG142" i="84" s="1"/>
  <c r="R142" i="84"/>
  <c r="BL142" i="84" s="1"/>
  <c r="J142" i="84"/>
  <c r="BK141" i="84"/>
  <c r="BE141" i="84"/>
  <c r="AP141" i="84"/>
  <c r="BO141" i="84" s="1"/>
  <c r="AH141" i="84"/>
  <c r="BH141" i="84" s="1"/>
  <c r="Z141" i="84"/>
  <c r="BG141" i="84" s="1"/>
  <c r="R141" i="84"/>
  <c r="BL141" i="84" s="1"/>
  <c r="J141" i="84"/>
  <c r="BK140" i="84"/>
  <c r="BE140" i="84"/>
  <c r="AP140" i="84"/>
  <c r="BI140" i="84" s="1"/>
  <c r="AH140" i="84"/>
  <c r="BN140" i="84" s="1"/>
  <c r="Z140" i="84"/>
  <c r="BG140" i="84" s="1"/>
  <c r="R140" i="84"/>
  <c r="BL140" i="84" s="1"/>
  <c r="J140" i="84"/>
  <c r="BK139" i="84"/>
  <c r="BE139" i="84"/>
  <c r="AP139" i="84"/>
  <c r="BO139" i="84" s="1"/>
  <c r="AH139" i="84"/>
  <c r="BH139" i="84" s="1"/>
  <c r="Z139" i="84"/>
  <c r="BG139" i="84" s="1"/>
  <c r="R139" i="84"/>
  <c r="BL139" i="84" s="1"/>
  <c r="J139" i="84"/>
  <c r="BK138" i="84"/>
  <c r="BE138" i="84"/>
  <c r="AP138" i="84"/>
  <c r="BI138" i="84" s="1"/>
  <c r="AH138" i="84"/>
  <c r="BH138" i="84" s="1"/>
  <c r="Z138" i="84"/>
  <c r="BG138" i="84" s="1"/>
  <c r="R138" i="84"/>
  <c r="BL138" i="84" s="1"/>
  <c r="J138" i="84"/>
  <c r="BK137" i="84"/>
  <c r="BE137" i="84"/>
  <c r="AP137" i="84"/>
  <c r="BI137" i="84" s="1"/>
  <c r="AH137" i="84"/>
  <c r="Z137" i="84"/>
  <c r="BG137" i="84" s="1"/>
  <c r="R137" i="84"/>
  <c r="BL137" i="84" s="1"/>
  <c r="J137" i="84"/>
  <c r="BK136" i="84"/>
  <c r="BE136" i="84"/>
  <c r="AP136" i="84"/>
  <c r="BO136" i="84" s="1"/>
  <c r="AH136" i="84"/>
  <c r="BN136" i="84" s="1"/>
  <c r="Z136" i="84"/>
  <c r="BG136" i="84" s="1"/>
  <c r="R136" i="84"/>
  <c r="J136" i="84"/>
  <c r="BK135" i="84"/>
  <c r="BE135" i="84"/>
  <c r="AP135" i="84"/>
  <c r="BI135" i="84" s="1"/>
  <c r="AH135" i="84"/>
  <c r="BH135" i="84" s="1"/>
  <c r="Z135" i="84"/>
  <c r="BG135" i="84" s="1"/>
  <c r="R135" i="84"/>
  <c r="BL135" i="84" s="1"/>
  <c r="J135" i="84"/>
  <c r="BK134" i="84"/>
  <c r="BE134" i="84"/>
  <c r="AP134" i="84"/>
  <c r="AH134" i="84"/>
  <c r="BN134" i="84" s="1"/>
  <c r="Z134" i="84"/>
  <c r="BM134" i="84" s="1"/>
  <c r="R134" i="84"/>
  <c r="BL134" i="84" s="1"/>
  <c r="J134" i="84"/>
  <c r="BK133" i="84"/>
  <c r="BE133" i="84"/>
  <c r="AP133" i="84"/>
  <c r="BI133" i="84" s="1"/>
  <c r="AH133" i="84"/>
  <c r="BN133" i="84" s="1"/>
  <c r="Z133" i="84"/>
  <c r="BM133" i="84" s="1"/>
  <c r="R133" i="84"/>
  <c r="BL133" i="84" s="1"/>
  <c r="J133" i="84"/>
  <c r="BK132" i="84"/>
  <c r="BE132" i="84"/>
  <c r="AP132" i="84"/>
  <c r="BI132" i="84" s="1"/>
  <c r="AH132" i="84"/>
  <c r="BN132" i="84" s="1"/>
  <c r="Z132" i="84"/>
  <c r="BM132" i="84" s="1"/>
  <c r="R132" i="84"/>
  <c r="BL132" i="84" s="1"/>
  <c r="J132" i="84"/>
  <c r="BK131" i="84"/>
  <c r="BE131" i="84"/>
  <c r="AP131" i="84"/>
  <c r="BI131" i="84" s="1"/>
  <c r="AH131" i="84"/>
  <c r="BN131" i="84" s="1"/>
  <c r="Z131" i="84"/>
  <c r="BM131" i="84" s="1"/>
  <c r="R131" i="84"/>
  <c r="BF131" i="84" s="1"/>
  <c r="J131" i="84"/>
  <c r="BK130" i="84"/>
  <c r="BE130" i="84"/>
  <c r="AP130" i="84"/>
  <c r="BI130" i="84" s="1"/>
  <c r="AH130" i="84"/>
  <c r="Z130" i="84"/>
  <c r="BM130" i="84" s="1"/>
  <c r="R130" i="84"/>
  <c r="BL130" i="84" s="1"/>
  <c r="J130" i="84"/>
  <c r="BK129" i="84"/>
  <c r="BE129" i="84"/>
  <c r="AP129" i="84"/>
  <c r="BI129" i="84" s="1"/>
  <c r="AH129" i="84"/>
  <c r="BN129" i="84" s="1"/>
  <c r="Z129" i="84"/>
  <c r="BM129" i="84" s="1"/>
  <c r="R129" i="84"/>
  <c r="BL129" i="84" s="1"/>
  <c r="J129" i="84"/>
  <c r="BK128" i="84"/>
  <c r="BE128" i="84"/>
  <c r="AP128" i="84"/>
  <c r="BI128" i="84" s="1"/>
  <c r="AH128" i="84"/>
  <c r="BN128" i="84" s="1"/>
  <c r="Z128" i="84"/>
  <c r="BM128" i="84" s="1"/>
  <c r="R128" i="84"/>
  <c r="BL128" i="84" s="1"/>
  <c r="J128" i="84"/>
  <c r="BK127" i="84"/>
  <c r="BE127" i="84"/>
  <c r="AP127" i="84"/>
  <c r="BI127" i="84" s="1"/>
  <c r="AH127" i="84"/>
  <c r="BN127" i="84" s="1"/>
  <c r="Z127" i="84"/>
  <c r="BM127" i="84" s="1"/>
  <c r="R127" i="84"/>
  <c r="BF127" i="84" s="1"/>
  <c r="J127" i="84"/>
  <c r="BK126" i="84"/>
  <c r="BE126" i="84"/>
  <c r="AP126" i="84"/>
  <c r="BI126" i="84" s="1"/>
  <c r="AH126" i="84"/>
  <c r="Z126" i="84"/>
  <c r="BM126" i="84" s="1"/>
  <c r="R126" i="84"/>
  <c r="BL126" i="84" s="1"/>
  <c r="J126" i="84"/>
  <c r="BK125" i="84"/>
  <c r="BE125" i="84"/>
  <c r="AP125" i="84"/>
  <c r="BI125" i="84" s="1"/>
  <c r="AH125" i="84"/>
  <c r="BN125" i="84" s="1"/>
  <c r="Z125" i="84"/>
  <c r="BM125" i="84" s="1"/>
  <c r="R125" i="84"/>
  <c r="BL125" i="84" s="1"/>
  <c r="J125" i="84"/>
  <c r="BK124" i="84"/>
  <c r="BE124" i="84"/>
  <c r="AP124" i="84"/>
  <c r="BI124" i="84" s="1"/>
  <c r="AH124" i="84"/>
  <c r="BN124" i="84" s="1"/>
  <c r="Z124" i="84"/>
  <c r="BM124" i="84" s="1"/>
  <c r="R124" i="84"/>
  <c r="BL124" i="84" s="1"/>
  <c r="J124" i="84"/>
  <c r="BK123" i="84"/>
  <c r="BE123" i="84"/>
  <c r="AP123" i="84"/>
  <c r="BI123" i="84" s="1"/>
  <c r="AH123" i="84"/>
  <c r="BN123" i="84" s="1"/>
  <c r="Z123" i="84"/>
  <c r="BM123" i="84" s="1"/>
  <c r="R123" i="84"/>
  <c r="BF123" i="84" s="1"/>
  <c r="J123" i="84"/>
  <c r="BK122" i="84"/>
  <c r="BE122" i="84"/>
  <c r="AP122" i="84"/>
  <c r="BI122" i="84" s="1"/>
  <c r="AH122" i="84"/>
  <c r="Z122" i="84"/>
  <c r="BM122" i="84" s="1"/>
  <c r="R122" i="84"/>
  <c r="BL122" i="84" s="1"/>
  <c r="J122" i="84"/>
  <c r="BK121" i="84"/>
  <c r="BE121" i="84"/>
  <c r="AP121" i="84"/>
  <c r="BI121" i="84" s="1"/>
  <c r="AH121" i="84"/>
  <c r="BN121" i="84" s="1"/>
  <c r="Z121" i="84"/>
  <c r="BM121" i="84" s="1"/>
  <c r="R121" i="84"/>
  <c r="BL121" i="84" s="1"/>
  <c r="J121" i="84"/>
  <c r="BK120" i="84"/>
  <c r="BE120" i="84"/>
  <c r="AP120" i="84"/>
  <c r="AH120" i="84"/>
  <c r="BN120" i="84" s="1"/>
  <c r="Z120" i="84"/>
  <c r="BM120" i="84" s="1"/>
  <c r="R120" i="84"/>
  <c r="BL120" i="84" s="1"/>
  <c r="J120" i="84"/>
  <c r="BK119" i="84"/>
  <c r="BE119" i="84"/>
  <c r="AP119" i="84"/>
  <c r="AH119" i="84"/>
  <c r="BN119" i="84" s="1"/>
  <c r="Z119" i="84"/>
  <c r="BM119" i="84" s="1"/>
  <c r="R119" i="84"/>
  <c r="BF119" i="84" s="1"/>
  <c r="J119" i="84"/>
  <c r="BK118" i="84"/>
  <c r="BE118" i="84"/>
  <c r="AP118" i="84"/>
  <c r="AH118" i="84"/>
  <c r="Z118" i="84"/>
  <c r="BM118" i="84" s="1"/>
  <c r="R118" i="84"/>
  <c r="BL118" i="84" s="1"/>
  <c r="J118" i="84"/>
  <c r="BK117" i="84"/>
  <c r="BE117" i="84"/>
  <c r="AP117" i="84"/>
  <c r="AH117" i="84"/>
  <c r="BN117" i="84" s="1"/>
  <c r="Z117" i="84"/>
  <c r="BM117" i="84" s="1"/>
  <c r="R117" i="84"/>
  <c r="BL117" i="84" s="1"/>
  <c r="J117" i="84"/>
  <c r="BK116" i="84"/>
  <c r="BE116" i="84"/>
  <c r="AP116" i="84"/>
  <c r="AH116" i="84"/>
  <c r="BN116" i="84" s="1"/>
  <c r="Z116" i="84"/>
  <c r="BM116" i="84" s="1"/>
  <c r="R116" i="84"/>
  <c r="BL116" i="84" s="1"/>
  <c r="J116" i="84"/>
  <c r="BK115" i="84"/>
  <c r="BE115" i="84"/>
  <c r="AP115" i="84"/>
  <c r="BI115" i="84" s="1"/>
  <c r="AH115" i="84"/>
  <c r="BN115" i="84" s="1"/>
  <c r="Z115" i="84"/>
  <c r="BM115" i="84" s="1"/>
  <c r="R115" i="84"/>
  <c r="BF115" i="84" s="1"/>
  <c r="J115" i="84"/>
  <c r="BK114" i="84"/>
  <c r="BE114" i="84"/>
  <c r="AP114" i="84"/>
  <c r="BI114" i="84" s="1"/>
  <c r="AH114" i="84"/>
  <c r="Z114" i="84"/>
  <c r="R114" i="84"/>
  <c r="BL114" i="84" s="1"/>
  <c r="J114" i="84"/>
  <c r="BK113" i="84"/>
  <c r="BE113" i="84"/>
  <c r="AP113" i="84"/>
  <c r="BI113" i="84" s="1"/>
  <c r="AH113" i="84"/>
  <c r="BN113" i="84" s="1"/>
  <c r="Z113" i="84"/>
  <c r="BG113" i="84" s="1"/>
  <c r="R113" i="84"/>
  <c r="BL113" i="84" s="1"/>
  <c r="J113" i="84"/>
  <c r="BK112" i="84"/>
  <c r="BE112" i="84"/>
  <c r="AP112" i="84"/>
  <c r="BI112" i="84" s="1"/>
  <c r="AH112" i="84"/>
  <c r="BN112" i="84" s="1"/>
  <c r="Z112" i="84"/>
  <c r="BG112" i="84" s="1"/>
  <c r="R112" i="84"/>
  <c r="BL112" i="84" s="1"/>
  <c r="J112" i="84"/>
  <c r="BK111" i="84"/>
  <c r="BE111" i="84"/>
  <c r="AP111" i="84"/>
  <c r="BI111" i="84" s="1"/>
  <c r="AH111" i="84"/>
  <c r="BN111" i="84" s="1"/>
  <c r="Z111" i="84"/>
  <c r="BG111" i="84" s="1"/>
  <c r="R111" i="84"/>
  <c r="BF111" i="84" s="1"/>
  <c r="J111" i="84"/>
  <c r="BK110" i="84"/>
  <c r="BE110" i="84"/>
  <c r="AP110" i="84"/>
  <c r="BI110" i="84" s="1"/>
  <c r="AH110" i="84"/>
  <c r="Z110" i="84"/>
  <c r="BG110" i="84" s="1"/>
  <c r="R110" i="84"/>
  <c r="BL110" i="84" s="1"/>
  <c r="J110" i="84"/>
  <c r="BK109" i="84"/>
  <c r="BE109" i="84"/>
  <c r="AP109" i="84"/>
  <c r="BI109" i="84" s="1"/>
  <c r="AH109" i="84"/>
  <c r="BN109" i="84" s="1"/>
  <c r="Z109" i="84"/>
  <c r="BG109" i="84" s="1"/>
  <c r="R109" i="84"/>
  <c r="BL109" i="84" s="1"/>
  <c r="J109" i="84"/>
  <c r="BK108" i="84"/>
  <c r="BE108" i="84"/>
  <c r="AP108" i="84"/>
  <c r="BI108" i="84" s="1"/>
  <c r="AH108" i="84"/>
  <c r="BN108" i="84" s="1"/>
  <c r="Z108" i="84"/>
  <c r="BG108" i="84" s="1"/>
  <c r="R108" i="84"/>
  <c r="BL108" i="84" s="1"/>
  <c r="J108" i="84"/>
  <c r="BK107" i="84"/>
  <c r="BE107" i="84"/>
  <c r="AP107" i="84"/>
  <c r="BI107" i="84" s="1"/>
  <c r="AH107" i="84"/>
  <c r="BN107" i="84" s="1"/>
  <c r="Z107" i="84"/>
  <c r="BG107" i="84" s="1"/>
  <c r="R107" i="84"/>
  <c r="BF107" i="84" s="1"/>
  <c r="J107" i="84"/>
  <c r="BK106" i="84"/>
  <c r="BE106" i="84"/>
  <c r="AP106" i="84"/>
  <c r="BI106" i="84" s="1"/>
  <c r="AH106" i="84"/>
  <c r="Z106" i="84"/>
  <c r="BG106" i="84" s="1"/>
  <c r="R106" i="84"/>
  <c r="BL106" i="84" s="1"/>
  <c r="J106" i="84"/>
  <c r="BK105" i="84"/>
  <c r="BE105" i="84"/>
  <c r="AP105" i="84"/>
  <c r="BI105" i="84" s="1"/>
  <c r="AH105" i="84"/>
  <c r="BN105" i="84" s="1"/>
  <c r="Z105" i="84"/>
  <c r="BG105" i="84" s="1"/>
  <c r="R105" i="84"/>
  <c r="BL105" i="84" s="1"/>
  <c r="J105" i="84"/>
  <c r="BK104" i="84"/>
  <c r="BE104" i="84"/>
  <c r="AP104" i="84"/>
  <c r="BI104" i="84" s="1"/>
  <c r="AH104" i="84"/>
  <c r="BN104" i="84" s="1"/>
  <c r="Z104" i="84"/>
  <c r="BG104" i="84" s="1"/>
  <c r="R104" i="84"/>
  <c r="BL104" i="84" s="1"/>
  <c r="J104" i="84"/>
  <c r="BK103" i="84"/>
  <c r="BE103" i="84"/>
  <c r="AP103" i="84"/>
  <c r="BI103" i="84" s="1"/>
  <c r="AH103" i="84"/>
  <c r="BN103" i="84" s="1"/>
  <c r="Z103" i="84"/>
  <c r="BG103" i="84" s="1"/>
  <c r="R103" i="84"/>
  <c r="BF103" i="84" s="1"/>
  <c r="J103" i="84"/>
  <c r="BK102" i="84"/>
  <c r="BE102" i="84"/>
  <c r="AP102" i="84"/>
  <c r="BI102" i="84" s="1"/>
  <c r="AH102" i="84"/>
  <c r="Z102" i="84"/>
  <c r="BG102" i="84" s="1"/>
  <c r="R102" i="84"/>
  <c r="BL102" i="84" s="1"/>
  <c r="J102" i="84"/>
  <c r="BK101" i="84"/>
  <c r="BE101" i="84"/>
  <c r="AP101" i="84"/>
  <c r="BI101" i="84" s="1"/>
  <c r="AH101" i="84"/>
  <c r="BN101" i="84" s="1"/>
  <c r="Z101" i="84"/>
  <c r="BG101" i="84" s="1"/>
  <c r="R101" i="84"/>
  <c r="BL101" i="84" s="1"/>
  <c r="J101" i="84"/>
  <c r="BK100" i="84"/>
  <c r="BE100" i="84"/>
  <c r="AP100" i="84"/>
  <c r="BI100" i="84" s="1"/>
  <c r="AH100" i="84"/>
  <c r="BN100" i="84" s="1"/>
  <c r="Z100" i="84"/>
  <c r="BG100" i="84" s="1"/>
  <c r="R100" i="84"/>
  <c r="BL100" i="84" s="1"/>
  <c r="J100" i="84"/>
  <c r="BK99" i="84"/>
  <c r="BE99" i="84"/>
  <c r="AP99" i="84"/>
  <c r="BI99" i="84" s="1"/>
  <c r="AH99" i="84"/>
  <c r="BN99" i="84" s="1"/>
  <c r="Z99" i="84"/>
  <c r="BG99" i="84" s="1"/>
  <c r="R99" i="84"/>
  <c r="BF99" i="84" s="1"/>
  <c r="J99" i="84"/>
  <c r="BK98" i="84"/>
  <c r="BE98" i="84"/>
  <c r="AP98" i="84"/>
  <c r="BI98" i="84" s="1"/>
  <c r="AH98" i="84"/>
  <c r="Z98" i="84"/>
  <c r="BG98" i="84" s="1"/>
  <c r="R98" i="84"/>
  <c r="BL98" i="84" s="1"/>
  <c r="J98" i="84"/>
  <c r="BK97" i="84"/>
  <c r="BE97" i="84"/>
  <c r="AP97" i="84"/>
  <c r="BI97" i="84" s="1"/>
  <c r="AH97" i="84"/>
  <c r="BN97" i="84" s="1"/>
  <c r="Z97" i="84"/>
  <c r="BG97" i="84" s="1"/>
  <c r="R97" i="84"/>
  <c r="BL97" i="84" s="1"/>
  <c r="J97" i="84"/>
  <c r="BK96" i="84"/>
  <c r="BE96" i="84"/>
  <c r="AP96" i="84"/>
  <c r="BI96" i="84" s="1"/>
  <c r="AH96" i="84"/>
  <c r="BN96" i="84" s="1"/>
  <c r="Z96" i="84"/>
  <c r="BG96" i="84" s="1"/>
  <c r="R96" i="84"/>
  <c r="BL96" i="84" s="1"/>
  <c r="J96" i="84"/>
  <c r="BK95" i="84"/>
  <c r="BE95" i="84"/>
  <c r="AP95" i="84"/>
  <c r="BI95" i="84" s="1"/>
  <c r="AH95" i="84"/>
  <c r="BN95" i="84" s="1"/>
  <c r="Z95" i="84"/>
  <c r="BG95" i="84" s="1"/>
  <c r="R95" i="84"/>
  <c r="BF95" i="84" s="1"/>
  <c r="J95" i="84"/>
  <c r="BK94" i="84"/>
  <c r="BE94" i="84"/>
  <c r="AP94" i="84"/>
  <c r="BI94" i="84" s="1"/>
  <c r="AH94" i="84"/>
  <c r="Z94" i="84"/>
  <c r="BG94" i="84" s="1"/>
  <c r="R94" i="84"/>
  <c r="BL94" i="84" s="1"/>
  <c r="J94" i="84"/>
  <c r="BK93" i="84"/>
  <c r="BE93" i="84"/>
  <c r="AP93" i="84"/>
  <c r="BI93" i="84" s="1"/>
  <c r="AH93" i="84"/>
  <c r="BN93" i="84" s="1"/>
  <c r="Z93" i="84"/>
  <c r="BG93" i="84" s="1"/>
  <c r="R93" i="84"/>
  <c r="BL93" i="84" s="1"/>
  <c r="J93" i="84"/>
  <c r="BK92" i="84"/>
  <c r="BE92" i="84"/>
  <c r="AP92" i="84"/>
  <c r="BI92" i="84" s="1"/>
  <c r="AH92" i="84"/>
  <c r="BN92" i="84" s="1"/>
  <c r="Z92" i="84"/>
  <c r="BG92" i="84" s="1"/>
  <c r="R92" i="84"/>
  <c r="BL92" i="84" s="1"/>
  <c r="J92" i="84"/>
  <c r="BK91" i="84"/>
  <c r="BE91" i="84"/>
  <c r="AP91" i="84"/>
  <c r="BI91" i="84" s="1"/>
  <c r="AH91" i="84"/>
  <c r="BN91" i="84" s="1"/>
  <c r="Z91" i="84"/>
  <c r="BG91" i="84" s="1"/>
  <c r="R91" i="84"/>
  <c r="BF91" i="84" s="1"/>
  <c r="J91" i="84"/>
  <c r="BK90" i="84"/>
  <c r="BE90" i="84"/>
  <c r="AP90" i="84"/>
  <c r="BI90" i="84" s="1"/>
  <c r="AH90" i="84"/>
  <c r="Z90" i="84"/>
  <c r="BG90" i="84" s="1"/>
  <c r="R90" i="84"/>
  <c r="BL90" i="84" s="1"/>
  <c r="J90" i="84"/>
  <c r="BK89" i="84"/>
  <c r="BE89" i="84"/>
  <c r="AP89" i="84"/>
  <c r="BI89" i="84" s="1"/>
  <c r="AH89" i="84"/>
  <c r="BN89" i="84" s="1"/>
  <c r="Z89" i="84"/>
  <c r="BG89" i="84" s="1"/>
  <c r="R89" i="84"/>
  <c r="BL89" i="84" s="1"/>
  <c r="J89" i="84"/>
  <c r="BK88" i="84"/>
  <c r="BE88" i="84"/>
  <c r="AP88" i="84"/>
  <c r="BI88" i="84" s="1"/>
  <c r="AH88" i="84"/>
  <c r="BN88" i="84" s="1"/>
  <c r="Z88" i="84"/>
  <c r="BG88" i="84" s="1"/>
  <c r="R88" i="84"/>
  <c r="BL88" i="84" s="1"/>
  <c r="J88" i="84"/>
  <c r="BK87" i="84"/>
  <c r="BE87" i="84"/>
  <c r="AP87" i="84"/>
  <c r="BI87" i="84" s="1"/>
  <c r="AH87" i="84"/>
  <c r="BN87" i="84" s="1"/>
  <c r="Z87" i="84"/>
  <c r="BG87" i="84" s="1"/>
  <c r="R87" i="84"/>
  <c r="BF87" i="84" s="1"/>
  <c r="J87" i="84"/>
  <c r="BK86" i="84"/>
  <c r="BE86" i="84"/>
  <c r="AP86" i="84"/>
  <c r="BI86" i="84" s="1"/>
  <c r="AH86" i="84"/>
  <c r="Z86" i="84"/>
  <c r="BG86" i="84" s="1"/>
  <c r="R86" i="84"/>
  <c r="BL86" i="84" s="1"/>
  <c r="J86" i="84"/>
  <c r="BK85" i="84"/>
  <c r="BE85" i="84"/>
  <c r="AP85" i="84"/>
  <c r="BI85" i="84" s="1"/>
  <c r="AH85" i="84"/>
  <c r="BN85" i="84" s="1"/>
  <c r="Z85" i="84"/>
  <c r="BG85" i="84" s="1"/>
  <c r="R85" i="84"/>
  <c r="BL85" i="84" s="1"/>
  <c r="J85" i="84"/>
  <c r="BK84" i="84"/>
  <c r="BE84" i="84"/>
  <c r="AP84" i="84"/>
  <c r="BI84" i="84" s="1"/>
  <c r="AH84" i="84"/>
  <c r="BN84" i="84" s="1"/>
  <c r="Z84" i="84"/>
  <c r="BG84" i="84" s="1"/>
  <c r="R84" i="84"/>
  <c r="BL84" i="84" s="1"/>
  <c r="J84" i="84"/>
  <c r="BK83" i="84"/>
  <c r="BE83" i="84"/>
  <c r="AP83" i="84"/>
  <c r="BI83" i="84" s="1"/>
  <c r="AH83" i="84"/>
  <c r="BN83" i="84" s="1"/>
  <c r="Z83" i="84"/>
  <c r="BG83" i="84" s="1"/>
  <c r="R83" i="84"/>
  <c r="BF83" i="84" s="1"/>
  <c r="J83" i="84"/>
  <c r="BK82" i="84"/>
  <c r="BE82" i="84"/>
  <c r="AP82" i="84"/>
  <c r="BI82" i="84" s="1"/>
  <c r="AH82" i="84"/>
  <c r="Z82" i="84"/>
  <c r="BG82" i="84" s="1"/>
  <c r="R82" i="84"/>
  <c r="BL82" i="84" s="1"/>
  <c r="J82" i="84"/>
  <c r="BK81" i="84"/>
  <c r="BE81" i="84"/>
  <c r="AP81" i="84"/>
  <c r="BI81" i="84" s="1"/>
  <c r="AH81" i="84"/>
  <c r="BN81" i="84" s="1"/>
  <c r="Z81" i="84"/>
  <c r="BG81" i="84" s="1"/>
  <c r="R81" i="84"/>
  <c r="BL81" i="84" s="1"/>
  <c r="J81" i="84"/>
  <c r="BK80" i="84"/>
  <c r="BE80" i="84"/>
  <c r="AP80" i="84"/>
  <c r="BI80" i="84" s="1"/>
  <c r="AH80" i="84"/>
  <c r="BN80" i="84" s="1"/>
  <c r="Z80" i="84"/>
  <c r="BG80" i="84" s="1"/>
  <c r="R80" i="84"/>
  <c r="BL80" i="84" s="1"/>
  <c r="J80" i="84"/>
  <c r="BK79" i="84"/>
  <c r="BE79" i="84"/>
  <c r="AP79" i="84"/>
  <c r="BI79" i="84" s="1"/>
  <c r="AH79" i="84"/>
  <c r="BN79" i="84" s="1"/>
  <c r="Z79" i="84"/>
  <c r="BG79" i="84" s="1"/>
  <c r="R79" i="84"/>
  <c r="BL79" i="84" s="1"/>
  <c r="J79" i="84"/>
  <c r="BK78" i="84"/>
  <c r="BE78" i="84"/>
  <c r="AP78" i="84"/>
  <c r="BI78" i="84" s="1"/>
  <c r="AH78" i="84"/>
  <c r="Z78" i="84"/>
  <c r="BG78" i="84" s="1"/>
  <c r="R78" i="84"/>
  <c r="BL78" i="84" s="1"/>
  <c r="J78" i="84"/>
  <c r="BK77" i="84"/>
  <c r="BE77" i="84"/>
  <c r="AP77" i="84"/>
  <c r="BI77" i="84" s="1"/>
  <c r="AH77" i="84"/>
  <c r="BN77" i="84" s="1"/>
  <c r="Z77" i="84"/>
  <c r="BG77" i="84" s="1"/>
  <c r="R77" i="84"/>
  <c r="BL77" i="84" s="1"/>
  <c r="J77" i="84"/>
  <c r="BK76" i="84"/>
  <c r="BE76" i="84"/>
  <c r="AP76" i="84"/>
  <c r="BI76" i="84" s="1"/>
  <c r="AH76" i="84"/>
  <c r="BN76" i="84" s="1"/>
  <c r="Z76" i="84"/>
  <c r="BG76" i="84" s="1"/>
  <c r="R76" i="84"/>
  <c r="BL76" i="84" s="1"/>
  <c r="J76" i="84"/>
  <c r="BK75" i="84"/>
  <c r="BE75" i="84"/>
  <c r="AP75" i="84"/>
  <c r="BI75" i="84" s="1"/>
  <c r="AH75" i="84"/>
  <c r="BN75" i="84" s="1"/>
  <c r="Z75" i="84"/>
  <c r="BG75" i="84" s="1"/>
  <c r="R75" i="84"/>
  <c r="BL75" i="84" s="1"/>
  <c r="J75" i="84"/>
  <c r="BK74" i="84"/>
  <c r="BE74" i="84"/>
  <c r="AP74" i="84"/>
  <c r="BI74" i="84" s="1"/>
  <c r="AH74" i="84"/>
  <c r="Z74" i="84"/>
  <c r="BG74" i="84" s="1"/>
  <c r="R74" i="84"/>
  <c r="BL74" i="84" s="1"/>
  <c r="J74" i="84"/>
  <c r="BK73" i="84"/>
  <c r="BE73" i="84"/>
  <c r="AP73" i="84"/>
  <c r="BI73" i="84" s="1"/>
  <c r="AH73" i="84"/>
  <c r="BN73" i="84" s="1"/>
  <c r="Z73" i="84"/>
  <c r="BG73" i="84" s="1"/>
  <c r="R73" i="84"/>
  <c r="BL73" i="84" s="1"/>
  <c r="J73" i="84"/>
  <c r="BK72" i="84"/>
  <c r="BE72" i="84"/>
  <c r="AP72" i="84"/>
  <c r="BI72" i="84" s="1"/>
  <c r="AH72" i="84"/>
  <c r="BN72" i="84" s="1"/>
  <c r="Z72" i="84"/>
  <c r="BG72" i="84" s="1"/>
  <c r="R72" i="84"/>
  <c r="BL72" i="84" s="1"/>
  <c r="J72" i="84"/>
  <c r="BK71" i="84"/>
  <c r="BE71" i="84"/>
  <c r="AP71" i="84"/>
  <c r="BI71" i="84" s="1"/>
  <c r="AH71" i="84"/>
  <c r="Z71" i="84"/>
  <c r="BG71" i="84" s="1"/>
  <c r="R71" i="84"/>
  <c r="BL71" i="84" s="1"/>
  <c r="J71" i="84"/>
  <c r="BK70" i="84"/>
  <c r="BE70" i="84"/>
  <c r="AP70" i="84"/>
  <c r="BI70" i="84" s="1"/>
  <c r="AH70" i="84"/>
  <c r="BN70" i="84" s="1"/>
  <c r="Z70" i="84"/>
  <c r="BG70" i="84" s="1"/>
  <c r="R70" i="84"/>
  <c r="J70" i="84"/>
  <c r="BK69" i="84"/>
  <c r="BE69" i="84"/>
  <c r="AP69" i="84"/>
  <c r="BI69" i="84" s="1"/>
  <c r="AH69" i="84"/>
  <c r="BN69" i="84" s="1"/>
  <c r="Z69" i="84"/>
  <c r="BM69" i="84" s="1"/>
  <c r="R69" i="84"/>
  <c r="BL69" i="84" s="1"/>
  <c r="J69" i="84"/>
  <c r="BK68" i="84"/>
  <c r="BE68" i="84"/>
  <c r="AP68" i="84"/>
  <c r="BI68" i="84" s="1"/>
  <c r="AH68" i="84"/>
  <c r="BN68" i="84" s="1"/>
  <c r="Z68" i="84"/>
  <c r="BG68" i="84" s="1"/>
  <c r="R68" i="84"/>
  <c r="BL68" i="84" s="1"/>
  <c r="J68" i="84"/>
  <c r="BK67" i="84"/>
  <c r="BE67" i="84"/>
  <c r="AP67" i="84"/>
  <c r="BI67" i="84" s="1"/>
  <c r="AH67" i="84"/>
  <c r="BN67" i="84" s="1"/>
  <c r="Z67" i="84"/>
  <c r="BM67" i="84" s="1"/>
  <c r="R67" i="84"/>
  <c r="BL67" i="84" s="1"/>
  <c r="J67" i="84"/>
  <c r="BK66" i="84"/>
  <c r="BE66" i="84"/>
  <c r="AP66" i="84"/>
  <c r="BI66" i="84" s="1"/>
  <c r="AH66" i="84"/>
  <c r="BN66" i="84" s="1"/>
  <c r="Z66" i="84"/>
  <c r="BG66" i="84" s="1"/>
  <c r="R66" i="84"/>
  <c r="BL66" i="84" s="1"/>
  <c r="J66" i="84"/>
  <c r="BK65" i="84"/>
  <c r="BE65" i="84"/>
  <c r="AP65" i="84"/>
  <c r="BI65" i="84" s="1"/>
  <c r="AH65" i="84"/>
  <c r="BN65" i="84" s="1"/>
  <c r="Z65" i="84"/>
  <c r="BM65" i="84" s="1"/>
  <c r="R65" i="84"/>
  <c r="BF65" i="84" s="1"/>
  <c r="J65" i="84"/>
  <c r="BK64" i="84"/>
  <c r="BE64" i="84"/>
  <c r="AP64" i="84"/>
  <c r="BI64" i="84" s="1"/>
  <c r="AH64" i="84"/>
  <c r="BN64" i="84" s="1"/>
  <c r="Z64" i="84"/>
  <c r="BG64" i="84" s="1"/>
  <c r="R64" i="84"/>
  <c r="BL64" i="84" s="1"/>
  <c r="J64" i="84"/>
  <c r="BK63" i="84"/>
  <c r="BE63" i="84"/>
  <c r="AP63" i="84"/>
  <c r="BO63" i="84" s="1"/>
  <c r="AH63" i="84"/>
  <c r="BN63" i="84" s="1"/>
  <c r="Z63" i="84"/>
  <c r="BG63" i="84" s="1"/>
  <c r="R63" i="84"/>
  <c r="BL63" i="84" s="1"/>
  <c r="J63" i="84"/>
  <c r="BK62" i="84"/>
  <c r="BE62" i="84"/>
  <c r="AP62" i="84"/>
  <c r="BO62" i="84" s="1"/>
  <c r="AH62" i="84"/>
  <c r="BN62" i="84" s="1"/>
  <c r="Z62" i="84"/>
  <c r="BG62" i="84" s="1"/>
  <c r="R62" i="84"/>
  <c r="BL62" i="84" s="1"/>
  <c r="J62" i="84"/>
  <c r="BK61" i="84"/>
  <c r="BE61" i="84"/>
  <c r="AP61" i="84"/>
  <c r="BO61" i="84" s="1"/>
  <c r="AH61" i="84"/>
  <c r="BN61" i="84" s="1"/>
  <c r="Z61" i="84"/>
  <c r="BG61" i="84" s="1"/>
  <c r="R61" i="84"/>
  <c r="BL61" i="84" s="1"/>
  <c r="J61" i="84"/>
  <c r="BK60" i="84"/>
  <c r="BE60" i="84"/>
  <c r="AP60" i="84"/>
  <c r="BO60" i="84" s="1"/>
  <c r="AH60" i="84"/>
  <c r="BN60" i="84" s="1"/>
  <c r="Z60" i="84"/>
  <c r="BG60" i="84" s="1"/>
  <c r="R60" i="84"/>
  <c r="BL60" i="84" s="1"/>
  <c r="J60" i="84"/>
  <c r="BK59" i="84"/>
  <c r="BE59" i="84"/>
  <c r="AP59" i="84"/>
  <c r="BO59" i="84" s="1"/>
  <c r="AH59" i="84"/>
  <c r="BN59" i="84" s="1"/>
  <c r="Z59" i="84"/>
  <c r="BG59" i="84" s="1"/>
  <c r="R59" i="84"/>
  <c r="BL59" i="84" s="1"/>
  <c r="J59" i="84"/>
  <c r="BK58" i="84"/>
  <c r="BE58" i="84"/>
  <c r="AP58" i="84"/>
  <c r="BO58" i="84" s="1"/>
  <c r="AH58" i="84"/>
  <c r="BN58" i="84" s="1"/>
  <c r="Z58" i="84"/>
  <c r="BG58" i="84" s="1"/>
  <c r="R58" i="84"/>
  <c r="BL58" i="84" s="1"/>
  <c r="J58" i="84"/>
  <c r="BK57" i="84"/>
  <c r="BE57" i="84"/>
  <c r="AP57" i="84"/>
  <c r="BO57" i="84" s="1"/>
  <c r="AH57" i="84"/>
  <c r="BN57" i="84" s="1"/>
  <c r="Z57" i="84"/>
  <c r="BG57" i="84" s="1"/>
  <c r="R57" i="84"/>
  <c r="BL57" i="84" s="1"/>
  <c r="J57" i="84"/>
  <c r="BK56" i="84"/>
  <c r="BE56" i="84"/>
  <c r="AP56" i="84"/>
  <c r="BO56" i="84" s="1"/>
  <c r="AH56" i="84"/>
  <c r="BN56" i="84" s="1"/>
  <c r="Z56" i="84"/>
  <c r="BG56" i="84" s="1"/>
  <c r="R56" i="84"/>
  <c r="BL56" i="84" s="1"/>
  <c r="J56" i="84"/>
  <c r="BK55" i="84"/>
  <c r="BE55" i="84"/>
  <c r="AP55" i="84"/>
  <c r="BO55" i="84" s="1"/>
  <c r="AH55" i="84"/>
  <c r="BN55" i="84" s="1"/>
  <c r="Z55" i="84"/>
  <c r="BG55" i="84" s="1"/>
  <c r="R55" i="84"/>
  <c r="BL55" i="84" s="1"/>
  <c r="J55" i="84"/>
  <c r="BK54" i="84"/>
  <c r="BE54" i="84"/>
  <c r="AP54" i="84"/>
  <c r="BO54" i="84" s="1"/>
  <c r="AH54" i="84"/>
  <c r="BN54" i="84" s="1"/>
  <c r="Z54" i="84"/>
  <c r="BG54" i="84" s="1"/>
  <c r="R54" i="84"/>
  <c r="BL54" i="84" s="1"/>
  <c r="J54" i="84"/>
  <c r="BK53" i="84"/>
  <c r="BE53" i="84"/>
  <c r="AP53" i="84"/>
  <c r="BO53" i="84" s="1"/>
  <c r="AH53" i="84"/>
  <c r="BN53" i="84" s="1"/>
  <c r="Z53" i="84"/>
  <c r="BG53" i="84" s="1"/>
  <c r="R53" i="84"/>
  <c r="BL53" i="84" s="1"/>
  <c r="J53" i="84"/>
  <c r="BK52" i="84"/>
  <c r="BE52" i="84"/>
  <c r="AP52" i="84"/>
  <c r="BO52" i="84" s="1"/>
  <c r="AH52" i="84"/>
  <c r="BN52" i="84" s="1"/>
  <c r="Z52" i="84"/>
  <c r="BG52" i="84" s="1"/>
  <c r="R52" i="84"/>
  <c r="BL52" i="84" s="1"/>
  <c r="J52" i="84"/>
  <c r="BK51" i="84"/>
  <c r="BE51" i="84"/>
  <c r="AP51" i="84"/>
  <c r="BO51" i="84" s="1"/>
  <c r="AH51" i="84"/>
  <c r="BN51" i="84" s="1"/>
  <c r="Z51" i="84"/>
  <c r="BG51" i="84" s="1"/>
  <c r="R51" i="84"/>
  <c r="BL51" i="84" s="1"/>
  <c r="J51" i="84"/>
  <c r="BK50" i="84"/>
  <c r="BE50" i="84"/>
  <c r="AP50" i="84"/>
  <c r="BO50" i="84" s="1"/>
  <c r="AH50" i="84"/>
  <c r="BN50" i="84" s="1"/>
  <c r="Z50" i="84"/>
  <c r="BG50" i="84" s="1"/>
  <c r="R50" i="84"/>
  <c r="BL50" i="84" s="1"/>
  <c r="J50" i="84"/>
  <c r="BK49" i="84"/>
  <c r="BE49" i="84"/>
  <c r="AP49" i="84"/>
  <c r="BO49" i="84" s="1"/>
  <c r="AH49" i="84"/>
  <c r="BN49" i="84" s="1"/>
  <c r="Z49" i="84"/>
  <c r="BG49" i="84" s="1"/>
  <c r="R49" i="84"/>
  <c r="BL49" i="84" s="1"/>
  <c r="J49" i="84"/>
  <c r="BK48" i="84"/>
  <c r="BE48" i="84"/>
  <c r="AP48" i="84"/>
  <c r="BO48" i="84" s="1"/>
  <c r="AH48" i="84"/>
  <c r="BN48" i="84" s="1"/>
  <c r="Z48" i="84"/>
  <c r="BG48" i="84" s="1"/>
  <c r="R48" i="84"/>
  <c r="BL48" i="84" s="1"/>
  <c r="J48" i="84"/>
  <c r="BK47" i="84"/>
  <c r="BE47" i="84"/>
  <c r="AP47" i="84"/>
  <c r="BO47" i="84" s="1"/>
  <c r="AH47" i="84"/>
  <c r="BN47" i="84" s="1"/>
  <c r="Z47" i="84"/>
  <c r="BG47" i="84" s="1"/>
  <c r="R47" i="84"/>
  <c r="BL47" i="84" s="1"/>
  <c r="J47" i="84"/>
  <c r="BK46" i="84"/>
  <c r="BE46" i="84"/>
  <c r="AP46" i="84"/>
  <c r="BO46" i="84" s="1"/>
  <c r="AH46" i="84"/>
  <c r="BN46" i="84" s="1"/>
  <c r="Z46" i="84"/>
  <c r="BG46" i="84" s="1"/>
  <c r="R46" i="84"/>
  <c r="BL46" i="84" s="1"/>
  <c r="J46" i="84"/>
  <c r="BK45" i="84"/>
  <c r="BE45" i="84"/>
  <c r="AP45" i="84"/>
  <c r="BO45" i="84" s="1"/>
  <c r="AH45" i="84"/>
  <c r="BN45" i="84" s="1"/>
  <c r="Z45" i="84"/>
  <c r="BG45" i="84" s="1"/>
  <c r="R45" i="84"/>
  <c r="BL45" i="84" s="1"/>
  <c r="J45" i="84"/>
  <c r="BK44" i="84"/>
  <c r="BE44" i="84"/>
  <c r="AP44" i="84"/>
  <c r="BO44" i="84" s="1"/>
  <c r="AH44" i="84"/>
  <c r="BN44" i="84" s="1"/>
  <c r="Z44" i="84"/>
  <c r="BG44" i="84" s="1"/>
  <c r="R44" i="84"/>
  <c r="BL44" i="84" s="1"/>
  <c r="J44" i="84"/>
  <c r="BK43" i="84"/>
  <c r="BE43" i="84"/>
  <c r="AP43" i="84"/>
  <c r="BO43" i="84" s="1"/>
  <c r="AH43" i="84"/>
  <c r="BN43" i="84" s="1"/>
  <c r="Z43" i="84"/>
  <c r="BG43" i="84" s="1"/>
  <c r="R43" i="84"/>
  <c r="BL43" i="84" s="1"/>
  <c r="J43" i="84"/>
  <c r="BK42" i="84"/>
  <c r="BE42" i="84"/>
  <c r="AP42" i="84"/>
  <c r="BO42" i="84" s="1"/>
  <c r="AH42" i="84"/>
  <c r="BN42" i="84" s="1"/>
  <c r="Z42" i="84"/>
  <c r="BG42" i="84" s="1"/>
  <c r="R42" i="84"/>
  <c r="BL42" i="84" s="1"/>
  <c r="J42" i="84"/>
  <c r="BK41" i="84"/>
  <c r="BE41" i="84"/>
  <c r="AP41" i="84"/>
  <c r="BO41" i="84" s="1"/>
  <c r="Z41" i="84"/>
  <c r="BG41" i="84" s="1"/>
  <c r="R41" i="84"/>
  <c r="BL41" i="84" s="1"/>
  <c r="J41" i="84"/>
  <c r="BK40" i="84"/>
  <c r="BE40" i="84"/>
  <c r="AP40" i="84"/>
  <c r="BO40" i="84" s="1"/>
  <c r="Z40" i="84"/>
  <c r="BG40" i="84" s="1"/>
  <c r="R40" i="84"/>
  <c r="BL40" i="84" s="1"/>
  <c r="J40" i="84"/>
  <c r="BK39" i="84"/>
  <c r="BE39" i="84"/>
  <c r="AP39" i="84"/>
  <c r="BO39" i="84" s="1"/>
  <c r="Z39" i="84"/>
  <c r="BG39" i="84" s="1"/>
  <c r="R39" i="84"/>
  <c r="BL39" i="84" s="1"/>
  <c r="J39" i="84"/>
  <c r="BK38" i="84"/>
  <c r="BE38" i="84"/>
  <c r="AP38" i="84"/>
  <c r="BI38" i="84" s="1"/>
  <c r="Z38" i="84"/>
  <c r="BG38" i="84" s="1"/>
  <c r="R38" i="84"/>
  <c r="BL38" i="84" s="1"/>
  <c r="J38" i="84"/>
  <c r="BK37" i="84"/>
  <c r="BE37" i="84"/>
  <c r="AP37" i="84"/>
  <c r="BO37" i="84" s="1"/>
  <c r="Z37" i="84"/>
  <c r="BM37" i="84" s="1"/>
  <c r="R37" i="84"/>
  <c r="BL37" i="84" s="1"/>
  <c r="J37" i="84"/>
  <c r="BK36" i="84"/>
  <c r="BE36" i="84"/>
  <c r="AP36" i="84"/>
  <c r="BO36" i="84" s="1"/>
  <c r="Z36" i="84"/>
  <c r="BM36" i="84" s="1"/>
  <c r="R36" i="84"/>
  <c r="BF36" i="84" s="1"/>
  <c r="J36" i="84"/>
  <c r="BK35" i="84"/>
  <c r="BE35" i="84"/>
  <c r="AP35" i="84"/>
  <c r="BO35" i="84" s="1"/>
  <c r="Z35" i="84"/>
  <c r="BM35" i="84" s="1"/>
  <c r="R35" i="84"/>
  <c r="BL35" i="84" s="1"/>
  <c r="J35" i="84"/>
  <c r="BK34" i="84"/>
  <c r="BE34" i="84"/>
  <c r="AP34" i="84"/>
  <c r="BI34" i="84" s="1"/>
  <c r="Z34" i="84"/>
  <c r="BM34" i="84" s="1"/>
  <c r="R34" i="84"/>
  <c r="BL34" i="84" s="1"/>
  <c r="J34" i="84"/>
  <c r="BK33" i="84"/>
  <c r="BE33" i="84"/>
  <c r="AP33" i="84"/>
  <c r="BO33" i="84" s="1"/>
  <c r="R33" i="84"/>
  <c r="BL33" i="84" s="1"/>
  <c r="J33" i="84"/>
  <c r="BK32" i="84"/>
  <c r="BE32" i="84"/>
  <c r="AP32" i="84"/>
  <c r="BI32" i="84" s="1"/>
  <c r="R32" i="84"/>
  <c r="BF32" i="84" s="1"/>
  <c r="J32" i="84"/>
  <c r="BK31" i="84"/>
  <c r="BE31" i="84"/>
  <c r="AP31" i="84"/>
  <c r="BI31" i="84" s="1"/>
  <c r="R31" i="84"/>
  <c r="BL31" i="84" s="1"/>
  <c r="J31" i="84"/>
  <c r="BK30" i="84"/>
  <c r="BE30" i="84"/>
  <c r="AP30" i="84"/>
  <c r="BO30" i="84" s="1"/>
  <c r="R30" i="84"/>
  <c r="BF30" i="84" s="1"/>
  <c r="J30" i="84"/>
  <c r="BK29" i="84"/>
  <c r="BE29" i="84"/>
  <c r="AP29" i="84"/>
  <c r="BI29" i="84" s="1"/>
  <c r="R29" i="84"/>
  <c r="BL29" i="84" s="1"/>
  <c r="J29" i="84"/>
  <c r="BK28" i="84"/>
  <c r="BE28" i="84"/>
  <c r="AP28" i="84"/>
  <c r="BI28" i="84" s="1"/>
  <c r="R28" i="84"/>
  <c r="BF28" i="84" s="1"/>
  <c r="J28" i="84"/>
  <c r="BK27" i="84"/>
  <c r="BE27" i="84"/>
  <c r="AP27" i="84"/>
  <c r="BI27" i="84" s="1"/>
  <c r="R27" i="84"/>
  <c r="BF27" i="84" s="1"/>
  <c r="J27" i="84"/>
  <c r="BK26" i="84"/>
  <c r="BE26" i="84"/>
  <c r="AP26" i="84"/>
  <c r="BI26" i="84" s="1"/>
  <c r="R26" i="84"/>
  <c r="BF26" i="84" s="1"/>
  <c r="J26" i="84"/>
  <c r="BK25" i="84"/>
  <c r="BE25" i="84"/>
  <c r="BB25" i="84"/>
  <c r="AP25" i="84"/>
  <c r="BI25" i="84" s="1"/>
  <c r="R25" i="84"/>
  <c r="BF25" i="84" s="1"/>
  <c r="J25" i="84"/>
  <c r="R24" i="84"/>
  <c r="BF24" i="84" s="1"/>
  <c r="E18" i="84"/>
  <c r="E19" i="84" s="1"/>
  <c r="E20" i="84" s="1"/>
  <c r="E21" i="84" s="1"/>
  <c r="E22" i="84" s="1"/>
  <c r="E23" i="84" s="1"/>
  <c r="E24" i="84" s="1"/>
  <c r="E25" i="84" s="1"/>
  <c r="E26" i="84" s="1"/>
  <c r="E27" i="84" s="1"/>
  <c r="E28" i="84" s="1"/>
  <c r="E29" i="84" s="1"/>
  <c r="E30" i="84" s="1"/>
  <c r="E31" i="84" s="1"/>
  <c r="E32" i="84" s="1"/>
  <c r="E33" i="84" s="1"/>
  <c r="E34" i="84" s="1"/>
  <c r="E35" i="84" s="1"/>
  <c r="E36" i="84" s="1"/>
  <c r="E37" i="84" s="1"/>
  <c r="E38" i="84" s="1"/>
  <c r="E39" i="84" s="1"/>
  <c r="E40" i="84" s="1"/>
  <c r="E41" i="84" s="1"/>
  <c r="E42" i="84" s="1"/>
  <c r="E43" i="84" s="1"/>
  <c r="E44" i="84" s="1"/>
  <c r="E45" i="84" s="1"/>
  <c r="E46" i="84" s="1"/>
  <c r="E47" i="84" s="1"/>
  <c r="E48" i="84" s="1"/>
  <c r="E49" i="84" s="1"/>
  <c r="E50" i="84" s="1"/>
  <c r="E51" i="84" s="1"/>
  <c r="E52" i="84" s="1"/>
  <c r="E53" i="84" s="1"/>
  <c r="E54" i="84" s="1"/>
  <c r="E55" i="84" s="1"/>
  <c r="E56" i="84" s="1"/>
  <c r="E57" i="84" s="1"/>
  <c r="E58" i="84" s="1"/>
  <c r="E59" i="84" s="1"/>
  <c r="E60" i="84" s="1"/>
  <c r="E61" i="84" s="1"/>
  <c r="E62" i="84" s="1"/>
  <c r="E63" i="84" s="1"/>
  <c r="E64" i="84" s="1"/>
  <c r="E65" i="84" s="1"/>
  <c r="E66" i="84" s="1"/>
  <c r="E67" i="84" s="1"/>
  <c r="E68" i="84" s="1"/>
  <c r="E69" i="84" s="1"/>
  <c r="E70" i="84" s="1"/>
  <c r="E71" i="84" s="1"/>
  <c r="E72" i="84" s="1"/>
  <c r="E73" i="84" s="1"/>
  <c r="E74" i="84" s="1"/>
  <c r="E75" i="84" s="1"/>
  <c r="E76" i="84" s="1"/>
  <c r="E77" i="84" s="1"/>
  <c r="E78" i="84" s="1"/>
  <c r="E79" i="84" s="1"/>
  <c r="E80" i="84" s="1"/>
  <c r="E81" i="84" s="1"/>
  <c r="E82" i="84" s="1"/>
  <c r="E83" i="84" s="1"/>
  <c r="E84" i="84" s="1"/>
  <c r="E85" i="84" s="1"/>
  <c r="E86" i="84" s="1"/>
  <c r="E87" i="84" s="1"/>
  <c r="E88" i="84" s="1"/>
  <c r="E89" i="84" s="1"/>
  <c r="E90" i="84" s="1"/>
  <c r="E91" i="84" s="1"/>
  <c r="E92" i="84" s="1"/>
  <c r="E93" i="84" s="1"/>
  <c r="E94" i="84" s="1"/>
  <c r="E95" i="84" s="1"/>
  <c r="E96" i="84" s="1"/>
  <c r="E97" i="84" s="1"/>
  <c r="E98" i="84" s="1"/>
  <c r="E99" i="84" s="1"/>
  <c r="E100" i="84" s="1"/>
  <c r="E101" i="84" s="1"/>
  <c r="E102" i="84" s="1"/>
  <c r="E103" i="84" s="1"/>
  <c r="E104" i="84" s="1"/>
  <c r="E105" i="84" s="1"/>
  <c r="E106" i="84" s="1"/>
  <c r="E107" i="84" s="1"/>
  <c r="E108" i="84" s="1"/>
  <c r="E109" i="84" s="1"/>
  <c r="E110" i="84" s="1"/>
  <c r="E111" i="84" s="1"/>
  <c r="E112" i="84" s="1"/>
  <c r="E113" i="84" s="1"/>
  <c r="E114" i="84" s="1"/>
  <c r="E115" i="84" s="1"/>
  <c r="E116" i="84" s="1"/>
  <c r="E117" i="84" s="1"/>
  <c r="E118" i="84" s="1"/>
  <c r="E119" i="84" s="1"/>
  <c r="E120" i="84" s="1"/>
  <c r="E121" i="84" s="1"/>
  <c r="E122" i="84" s="1"/>
  <c r="E123" i="84" s="1"/>
  <c r="E124" i="84" s="1"/>
  <c r="E125" i="84" s="1"/>
  <c r="E126" i="84" s="1"/>
  <c r="E127" i="84" s="1"/>
  <c r="E128" i="84" s="1"/>
  <c r="E129" i="84" s="1"/>
  <c r="E130" i="84" s="1"/>
  <c r="E131" i="84" s="1"/>
  <c r="E132" i="84" s="1"/>
  <c r="E133" i="84" s="1"/>
  <c r="E134" i="84" s="1"/>
  <c r="E135" i="84" s="1"/>
  <c r="E136" i="84" s="1"/>
  <c r="E137" i="84" s="1"/>
  <c r="E138" i="84" s="1"/>
  <c r="E139" i="84" s="1"/>
  <c r="E140" i="84" s="1"/>
  <c r="E141" i="84" s="1"/>
  <c r="E142" i="84" s="1"/>
  <c r="E143" i="84" s="1"/>
  <c r="E144" i="84" s="1"/>
  <c r="E145" i="84" s="1"/>
  <c r="E146" i="84" s="1"/>
  <c r="E147" i="84" s="1"/>
  <c r="E148" i="84" s="1"/>
  <c r="E149" i="84" s="1"/>
  <c r="E150" i="84" s="1"/>
  <c r="E151" i="84" s="1"/>
  <c r="E152" i="84" s="1"/>
  <c r="E153" i="84" s="1"/>
  <c r="E154" i="84" s="1"/>
  <c r="E155" i="84" s="1"/>
  <c r="E156" i="84" s="1"/>
  <c r="E157" i="84" s="1"/>
  <c r="E158" i="84" s="1"/>
  <c r="E159" i="84" s="1"/>
  <c r="E160" i="84" s="1"/>
  <c r="E161" i="84" s="1"/>
  <c r="E162" i="84" s="1"/>
  <c r="E163" i="84" s="1"/>
  <c r="E164" i="84" s="1"/>
  <c r="E165" i="84" s="1"/>
  <c r="E166" i="84" s="1"/>
  <c r="E167" i="84" s="1"/>
  <c r="E168" i="84" s="1"/>
  <c r="E169" i="84" s="1"/>
  <c r="E170" i="84" s="1"/>
  <c r="E171" i="84" s="1"/>
  <c r="E172" i="84" s="1"/>
  <c r="E173" i="84" s="1"/>
  <c r="E174" i="84" s="1"/>
  <c r="E175" i="84" s="1"/>
  <c r="E176" i="84" s="1"/>
  <c r="E177" i="84" s="1"/>
  <c r="E178" i="84" s="1"/>
  <c r="E179" i="84" s="1"/>
  <c r="E180" i="84" s="1"/>
  <c r="E181" i="84" s="1"/>
  <c r="E182" i="84" s="1"/>
  <c r="E183" i="84" s="1"/>
  <c r="E184" i="84" s="1"/>
  <c r="E185" i="84" s="1"/>
  <c r="E186" i="84" s="1"/>
  <c r="E187" i="84" s="1"/>
  <c r="E188" i="84" s="1"/>
  <c r="E189" i="84" s="1"/>
  <c r="E190" i="84" s="1"/>
  <c r="E191" i="84" s="1"/>
  <c r="E192" i="84" s="1"/>
  <c r="E193" i="84" s="1"/>
  <c r="E194" i="84" s="1"/>
  <c r="E195" i="84" s="1"/>
  <c r="E196" i="84" s="1"/>
  <c r="E197" i="84" s="1"/>
  <c r="E198" i="84" s="1"/>
  <c r="E199" i="84" s="1"/>
  <c r="E200" i="84" s="1"/>
  <c r="E201" i="84" s="1"/>
  <c r="E202" i="84" s="1"/>
  <c r="E203" i="84" s="1"/>
  <c r="E204" i="84" s="1"/>
  <c r="E205" i="84" s="1"/>
  <c r="E206" i="84" s="1"/>
  <c r="E207" i="84" s="1"/>
  <c r="E208" i="84" s="1"/>
  <c r="E209" i="84" s="1"/>
  <c r="E210" i="84" s="1"/>
  <c r="E211" i="84" s="1"/>
  <c r="E212" i="84" s="1"/>
  <c r="E213" i="84" s="1"/>
  <c r="E214" i="84" s="1"/>
  <c r="E215" i="84" s="1"/>
  <c r="E216" i="84" s="1"/>
  <c r="E217" i="84" s="1"/>
  <c r="E218" i="84" s="1"/>
  <c r="E219" i="84" s="1"/>
  <c r="E220" i="84" s="1"/>
  <c r="E221" i="84" s="1"/>
  <c r="E222" i="84" s="1"/>
  <c r="E223" i="84" s="1"/>
  <c r="E224" i="84" s="1"/>
  <c r="E225" i="84" s="1"/>
  <c r="E226" i="84" s="1"/>
  <c r="E227" i="84" s="1"/>
  <c r="E228" i="84" s="1"/>
  <c r="E229" i="84" s="1"/>
  <c r="E230" i="84" s="1"/>
  <c r="E231" i="84" s="1"/>
  <c r="E232" i="84" s="1"/>
  <c r="E233" i="84" s="1"/>
  <c r="E234" i="84" s="1"/>
  <c r="E235" i="84" s="1"/>
  <c r="E236" i="84" s="1"/>
  <c r="E237" i="84" s="1"/>
  <c r="E238" i="84" s="1"/>
  <c r="E239" i="84" s="1"/>
  <c r="E240" i="84" s="1"/>
  <c r="E241" i="84" s="1"/>
  <c r="E242" i="84" s="1"/>
  <c r="E243" i="84" s="1"/>
  <c r="E244" i="84" s="1"/>
  <c r="E245" i="84" s="1"/>
  <c r="E246" i="84" s="1"/>
  <c r="E247" i="84" s="1"/>
  <c r="E248" i="84" s="1"/>
  <c r="E249" i="84" s="1"/>
  <c r="E250" i="84" s="1"/>
  <c r="E251" i="84" s="1"/>
  <c r="E252" i="84" s="1"/>
  <c r="E253" i="84" s="1"/>
  <c r="E254" i="84" s="1"/>
  <c r="E255" i="84" s="1"/>
  <c r="E256" i="84" s="1"/>
  <c r="E257" i="84" s="1"/>
  <c r="E258" i="84" s="1"/>
  <c r="E259" i="84" s="1"/>
  <c r="E260" i="84" s="1"/>
  <c r="E261" i="84" s="1"/>
  <c r="E262" i="84" s="1"/>
  <c r="E263" i="84" s="1"/>
  <c r="E264" i="84" s="1"/>
  <c r="E265" i="84" s="1"/>
  <c r="E266" i="84" s="1"/>
  <c r="E267" i="84" s="1"/>
  <c r="E268" i="84" s="1"/>
  <c r="E269" i="84" s="1"/>
  <c r="E270" i="84" s="1"/>
  <c r="E271" i="84" s="1"/>
  <c r="E272" i="84" s="1"/>
  <c r="E273" i="84" s="1"/>
  <c r="E274" i="84" s="1"/>
  <c r="E275" i="84" s="1"/>
  <c r="E276" i="84" s="1"/>
  <c r="E277" i="84" s="1"/>
  <c r="E278" i="84" s="1"/>
  <c r="E279" i="84" s="1"/>
  <c r="E280" i="84" s="1"/>
  <c r="E281" i="84" s="1"/>
  <c r="E282" i="84" s="1"/>
  <c r="E283" i="84" s="1"/>
  <c r="E284" i="84" s="1"/>
  <c r="E285" i="84" s="1"/>
  <c r="E286" i="84" s="1"/>
  <c r="E287" i="84" s="1"/>
  <c r="E288" i="84" s="1"/>
  <c r="E289" i="84" s="1"/>
  <c r="E290" i="84" s="1"/>
  <c r="E291" i="84" s="1"/>
  <c r="E292" i="84" s="1"/>
  <c r="E293" i="84" s="1"/>
  <c r="E294" i="84" s="1"/>
  <c r="E295" i="84" s="1"/>
  <c r="E296" i="84" s="1"/>
  <c r="E297" i="84" s="1"/>
  <c r="E298" i="84" s="1"/>
  <c r="E299" i="84" s="1"/>
  <c r="E300" i="84" s="1"/>
  <c r="E301" i="84" s="1"/>
  <c r="E302" i="84" s="1"/>
  <c r="E303" i="84" s="1"/>
  <c r="E304" i="84" s="1"/>
  <c r="E305" i="84" s="1"/>
  <c r="E306" i="84" s="1"/>
  <c r="E307" i="84" s="1"/>
  <c r="E308" i="84" s="1"/>
  <c r="E309" i="84" s="1"/>
  <c r="E310" i="84" s="1"/>
  <c r="E311" i="84" s="1"/>
  <c r="E312" i="84" s="1"/>
  <c r="E313" i="84" s="1"/>
  <c r="E314" i="84" s="1"/>
  <c r="E315" i="84" s="1"/>
  <c r="E316" i="84" s="1"/>
  <c r="E317" i="84" s="1"/>
  <c r="E318" i="84" s="1"/>
  <c r="E319" i="84" s="1"/>
  <c r="E320" i="84" s="1"/>
  <c r="E321" i="84" s="1"/>
  <c r="E322" i="84" s="1"/>
  <c r="E323" i="84" s="1"/>
  <c r="E324" i="84" s="1"/>
  <c r="E325" i="84" s="1"/>
  <c r="E326" i="84" s="1"/>
  <c r="E327" i="84" s="1"/>
  <c r="E328" i="84" s="1"/>
  <c r="E329" i="84" s="1"/>
  <c r="E330" i="84" s="1"/>
  <c r="E331" i="84" s="1"/>
  <c r="E332" i="84" s="1"/>
  <c r="E333" i="84" s="1"/>
  <c r="E334" i="84" s="1"/>
  <c r="E335" i="84" s="1"/>
  <c r="E336" i="84" s="1"/>
  <c r="E337" i="84" s="1"/>
  <c r="E338" i="84" s="1"/>
  <c r="E339" i="84" s="1"/>
  <c r="E340" i="84" s="1"/>
  <c r="E341" i="84" s="1"/>
  <c r="E342" i="84" s="1"/>
  <c r="E343" i="84" s="1"/>
  <c r="E344" i="84" s="1"/>
  <c r="E345" i="84" s="1"/>
  <c r="E346" i="84" s="1"/>
  <c r="E347" i="84" s="1"/>
  <c r="E348" i="84" s="1"/>
  <c r="E349" i="84" s="1"/>
  <c r="E350" i="84" s="1"/>
  <c r="E351" i="84" s="1"/>
  <c r="E352" i="84" s="1"/>
  <c r="E353" i="84" s="1"/>
  <c r="E354" i="84" s="1"/>
  <c r="E355" i="84" s="1"/>
  <c r="E356" i="84" s="1"/>
  <c r="E357" i="84" s="1"/>
  <c r="E358" i="84" s="1"/>
  <c r="E359" i="84" s="1"/>
  <c r="E360" i="84" s="1"/>
  <c r="E361" i="84" s="1"/>
  <c r="E362" i="84" s="1"/>
  <c r="E363" i="84" s="1"/>
  <c r="E364" i="84" s="1"/>
  <c r="E365" i="84" s="1"/>
  <c r="E366" i="84" s="1"/>
  <c r="E367" i="84" s="1"/>
  <c r="E368" i="84" s="1"/>
  <c r="E369" i="84" s="1"/>
  <c r="E370" i="84" s="1"/>
  <c r="E371" i="84" s="1"/>
  <c r="E372" i="84" s="1"/>
  <c r="E373" i="84" s="1"/>
  <c r="E374" i="84" s="1"/>
  <c r="E375" i="84" s="1"/>
  <c r="E376" i="84" s="1"/>
  <c r="E377" i="84" s="1"/>
  <c r="E378" i="84" s="1"/>
  <c r="E379" i="84" s="1"/>
  <c r="E380" i="84" s="1"/>
  <c r="E381" i="84" s="1"/>
  <c r="E382" i="84" s="1"/>
  <c r="E383" i="84" s="1"/>
  <c r="E384" i="84" s="1"/>
  <c r="E385" i="84" s="1"/>
  <c r="E386" i="84" s="1"/>
  <c r="E387" i="84" s="1"/>
  <c r="E388" i="84" s="1"/>
  <c r="E389" i="84" s="1"/>
  <c r="E390" i="84" s="1"/>
  <c r="E391" i="84" s="1"/>
  <c r="E392" i="84" s="1"/>
  <c r="E393" i="84" s="1"/>
  <c r="E394" i="84" s="1"/>
  <c r="E395" i="84" s="1"/>
  <c r="E396" i="84" s="1"/>
  <c r="E397" i="84" s="1"/>
  <c r="E398" i="84" s="1"/>
  <c r="E399" i="84" s="1"/>
  <c r="E400" i="84" s="1"/>
  <c r="E401" i="84" s="1"/>
  <c r="E402" i="84" s="1"/>
  <c r="E403" i="84" s="1"/>
  <c r="E404" i="84" s="1"/>
  <c r="E405" i="84" s="1"/>
  <c r="E406" i="84" s="1"/>
  <c r="E407" i="84" s="1"/>
  <c r="E408" i="84" s="1"/>
  <c r="E409" i="84" s="1"/>
  <c r="E410" i="84" s="1"/>
  <c r="E411" i="84" s="1"/>
  <c r="E412" i="84" s="1"/>
  <c r="E413" i="84" s="1"/>
  <c r="E414" i="84" s="1"/>
  <c r="E415" i="84" s="1"/>
  <c r="E416" i="84" s="1"/>
  <c r="E417" i="84" s="1"/>
  <c r="E418" i="84" s="1"/>
  <c r="E419" i="84" s="1"/>
  <c r="E420" i="84" s="1"/>
  <c r="E421" i="84" s="1"/>
  <c r="E422" i="84" s="1"/>
  <c r="E423" i="84" s="1"/>
  <c r="E424" i="84" s="1"/>
  <c r="E425" i="84" s="1"/>
  <c r="E426" i="84" s="1"/>
  <c r="E427" i="84" s="1"/>
  <c r="E428" i="84" s="1"/>
  <c r="E429" i="84" s="1"/>
  <c r="E430" i="84" s="1"/>
  <c r="E431" i="84" s="1"/>
  <c r="E432" i="84" s="1"/>
  <c r="E433" i="84" s="1"/>
  <c r="E434" i="84" s="1"/>
  <c r="E435" i="84" s="1"/>
  <c r="E436" i="84" s="1"/>
  <c r="E437" i="84" s="1"/>
  <c r="E438" i="84" s="1"/>
  <c r="E439" i="84" s="1"/>
  <c r="E440" i="84" s="1"/>
  <c r="E441" i="84" s="1"/>
  <c r="E442" i="84" s="1"/>
  <c r="E443" i="84" s="1"/>
  <c r="E444" i="84" s="1"/>
  <c r="E445" i="84" s="1"/>
  <c r="E446" i="84" s="1"/>
  <c r="E447" i="84" s="1"/>
  <c r="E448" i="84" s="1"/>
  <c r="E449" i="84" s="1"/>
  <c r="E450" i="84" s="1"/>
  <c r="E451" i="84" s="1"/>
  <c r="E452" i="84" s="1"/>
  <c r="E453" i="84" s="1"/>
  <c r="E454" i="84" s="1"/>
  <c r="E455" i="84" s="1"/>
  <c r="E456" i="84" s="1"/>
  <c r="E457" i="84" s="1"/>
  <c r="E458" i="84" s="1"/>
  <c r="E459" i="84" s="1"/>
  <c r="E460" i="84" s="1"/>
  <c r="E461" i="84" s="1"/>
  <c r="E462" i="84" s="1"/>
  <c r="E463" i="84" s="1"/>
  <c r="E464" i="84" s="1"/>
  <c r="E465" i="84" s="1"/>
  <c r="E466" i="84" s="1"/>
  <c r="E467" i="84" s="1"/>
  <c r="E468" i="84" s="1"/>
  <c r="E469" i="84" s="1"/>
  <c r="E470" i="84" s="1"/>
  <c r="E471" i="84" s="1"/>
  <c r="E472" i="84" s="1"/>
  <c r="E473" i="84" s="1"/>
  <c r="E474" i="84" s="1"/>
  <c r="E475" i="84" s="1"/>
  <c r="E476" i="84" s="1"/>
  <c r="E477" i="84" s="1"/>
  <c r="E478" i="84" s="1"/>
  <c r="E479" i="84" s="1"/>
  <c r="E480" i="84" s="1"/>
  <c r="E481" i="84" s="1"/>
  <c r="E482" i="84" s="1"/>
  <c r="E483" i="84" s="1"/>
  <c r="E484" i="84" s="1"/>
  <c r="E485" i="84" s="1"/>
  <c r="E486" i="84" s="1"/>
  <c r="E487" i="84" s="1"/>
  <c r="E488" i="84" s="1"/>
  <c r="E489" i="84" s="1"/>
  <c r="E490" i="84" s="1"/>
  <c r="E491" i="84" s="1"/>
  <c r="E492" i="84" s="1"/>
  <c r="E493" i="84" s="1"/>
  <c r="E494" i="84" s="1"/>
  <c r="E495" i="84" s="1"/>
  <c r="E496" i="84" s="1"/>
  <c r="E497" i="84" s="1"/>
  <c r="E498" i="84" s="1"/>
  <c r="E499" i="84" s="1"/>
  <c r="E500" i="84" s="1"/>
  <c r="E501" i="84" s="1"/>
  <c r="E502" i="84" s="1"/>
  <c r="E503" i="84" s="1"/>
  <c r="E504" i="84" s="1"/>
  <c r="E505" i="84" s="1"/>
  <c r="E506" i="84" s="1"/>
  <c r="E507" i="84" s="1"/>
  <c r="E508" i="84" s="1"/>
  <c r="E509" i="84" s="1"/>
  <c r="E510" i="84" s="1"/>
  <c r="E511" i="84" s="1"/>
  <c r="E512" i="84" s="1"/>
  <c r="E513" i="84" s="1"/>
  <c r="E514" i="84" s="1"/>
  <c r="E515" i="84" s="1"/>
  <c r="E516" i="84" s="1"/>
  <c r="E517" i="84" s="1"/>
  <c r="E518" i="84" s="1"/>
  <c r="E519" i="84" s="1"/>
  <c r="E520" i="84" s="1"/>
  <c r="E521" i="84" s="1"/>
  <c r="E522" i="84" s="1"/>
  <c r="E523" i="84" s="1"/>
  <c r="E524" i="84" s="1"/>
  <c r="E525" i="84" s="1"/>
  <c r="E526" i="84" s="1"/>
  <c r="E527" i="84" s="1"/>
  <c r="E528" i="84" s="1"/>
  <c r="E529" i="84" s="1"/>
  <c r="AO17" i="84" a="1"/>
  <c r="AO17" i="84" s="1"/>
  <c r="AN17" i="84" a="1"/>
  <c r="AP18" i="84" s="1"/>
  <c r="AM17" i="84" a="1"/>
  <c r="AM17" i="84" s="1"/>
  <c r="AL17" i="84" a="1"/>
  <c r="AG17" i="84" a="1"/>
  <c r="AG17" i="84" s="1"/>
  <c r="AF17" i="84" a="1"/>
  <c r="AE17" i="84" a="1"/>
  <c r="AE17" i="84" s="1"/>
  <c r="AD17" i="84" a="1"/>
  <c r="Y17" i="84" a="1"/>
  <c r="Y17" i="84" s="1"/>
  <c r="X17" i="84" a="1"/>
  <c r="X17" i="84" s="1"/>
  <c r="Z15" i="84" s="1"/>
  <c r="W17" i="84" a="1"/>
  <c r="W17" i="84" s="1"/>
  <c r="V17" i="84" a="1"/>
  <c r="Q17" i="84" a="1"/>
  <c r="Q17" i="84" s="1"/>
  <c r="P17" i="84" a="1"/>
  <c r="R22" i="84" s="1"/>
  <c r="O17" i="84" a="1"/>
  <c r="O17" i="84" s="1"/>
  <c r="N17" i="84" a="1"/>
  <c r="I17" i="84" a="1"/>
  <c r="I17" i="84" s="1"/>
  <c r="AW29" i="84" s="1"/>
  <c r="H17" i="84" a="1"/>
  <c r="H17" i="84" s="1"/>
  <c r="G17" i="84" a="1"/>
  <c r="G17" i="84" s="1"/>
  <c r="F17" i="84" a="1"/>
  <c r="F17" i="84" s="1"/>
  <c r="F15" i="84" s="1"/>
  <c r="AL15" i="84"/>
  <c r="AD15" i="84"/>
  <c r="W15" i="84"/>
  <c r="AE15" i="84" s="1"/>
  <c r="AM15" i="84" s="1"/>
  <c r="V15" i="84"/>
  <c r="N15" i="84"/>
  <c r="AC1" i="84"/>
  <c r="AK1" i="84" s="1"/>
  <c r="AS1" i="84" s="1"/>
  <c r="BK529" i="83"/>
  <c r="BE529" i="83"/>
  <c r="AP529" i="83"/>
  <c r="BO529" i="83" s="1"/>
  <c r="AH529" i="83"/>
  <c r="Z529" i="83"/>
  <c r="BM529" i="83" s="1"/>
  <c r="R529" i="83"/>
  <c r="J529" i="83"/>
  <c r="BK528" i="83"/>
  <c r="BE528" i="83"/>
  <c r="AP528" i="83"/>
  <c r="BO528" i="83" s="1"/>
  <c r="AH528" i="83"/>
  <c r="Z528" i="83"/>
  <c r="BM528" i="83" s="1"/>
  <c r="R528" i="83"/>
  <c r="J528" i="83"/>
  <c r="BK527" i="83"/>
  <c r="BE527" i="83"/>
  <c r="AP527" i="83"/>
  <c r="AH527" i="83"/>
  <c r="Z527" i="83"/>
  <c r="R527" i="83"/>
  <c r="J527" i="83"/>
  <c r="BK526" i="83"/>
  <c r="BE526" i="83"/>
  <c r="AP526" i="83"/>
  <c r="AH526" i="83"/>
  <c r="Z526" i="83"/>
  <c r="BM526" i="83" s="1"/>
  <c r="R526" i="83"/>
  <c r="J526" i="83"/>
  <c r="BK525" i="83"/>
  <c r="BE525" i="83"/>
  <c r="AP525" i="83"/>
  <c r="BO525" i="83" s="1"/>
  <c r="AH525" i="83"/>
  <c r="Z525" i="83"/>
  <c r="R525" i="83"/>
  <c r="J525" i="83"/>
  <c r="BK524" i="83"/>
  <c r="BE524" i="83"/>
  <c r="AP524" i="83"/>
  <c r="AH524" i="83"/>
  <c r="Z524" i="83"/>
  <c r="R524" i="83"/>
  <c r="J524" i="83"/>
  <c r="BK523" i="83"/>
  <c r="BE523" i="83"/>
  <c r="AP523" i="83"/>
  <c r="BO523" i="83" s="1"/>
  <c r="AH523" i="83"/>
  <c r="Z523" i="83"/>
  <c r="BM523" i="83" s="1"/>
  <c r="R523" i="83"/>
  <c r="J523" i="83"/>
  <c r="BK522" i="83"/>
  <c r="BE522" i="83"/>
  <c r="AP522" i="83"/>
  <c r="AH522" i="83"/>
  <c r="Z522" i="83"/>
  <c r="BM522" i="83" s="1"/>
  <c r="R522" i="83"/>
  <c r="J522" i="83"/>
  <c r="BK521" i="83"/>
  <c r="BE521" i="83"/>
  <c r="AP521" i="83"/>
  <c r="BO521" i="83" s="1"/>
  <c r="AH521" i="83"/>
  <c r="Z521" i="83"/>
  <c r="BM521" i="83" s="1"/>
  <c r="R521" i="83"/>
  <c r="J521" i="83"/>
  <c r="BK520" i="83"/>
  <c r="BE520" i="83"/>
  <c r="AP520" i="83"/>
  <c r="BO520" i="83" s="1"/>
  <c r="AH520" i="83"/>
  <c r="Z520" i="83"/>
  <c r="BM520" i="83" s="1"/>
  <c r="R520" i="83"/>
  <c r="J520" i="83"/>
  <c r="BK519" i="83"/>
  <c r="BE519" i="83"/>
  <c r="AP519" i="83"/>
  <c r="BO519" i="83" s="1"/>
  <c r="AH519" i="83"/>
  <c r="Z519" i="83"/>
  <c r="R519" i="83"/>
  <c r="J519" i="83"/>
  <c r="BK518" i="83"/>
  <c r="BE518" i="83"/>
  <c r="AP518" i="83"/>
  <c r="BO518" i="83" s="1"/>
  <c r="AH518" i="83"/>
  <c r="Z518" i="83"/>
  <c r="BM518" i="83" s="1"/>
  <c r="R518" i="83"/>
  <c r="J518" i="83"/>
  <c r="BK517" i="83"/>
  <c r="BE517" i="83"/>
  <c r="AP517" i="83"/>
  <c r="BO517" i="83" s="1"/>
  <c r="AH517" i="83"/>
  <c r="Z517" i="83"/>
  <c r="R517" i="83"/>
  <c r="J517" i="83"/>
  <c r="BK516" i="83"/>
  <c r="BE516" i="83"/>
  <c r="AP516" i="83"/>
  <c r="BO516" i="83" s="1"/>
  <c r="AH516" i="83"/>
  <c r="Z516" i="83"/>
  <c r="R516" i="83"/>
  <c r="J516" i="83"/>
  <c r="BK515" i="83"/>
  <c r="BE515" i="83"/>
  <c r="AP515" i="83"/>
  <c r="BO515" i="83" s="1"/>
  <c r="AH515" i="83"/>
  <c r="Z515" i="83"/>
  <c r="BM515" i="83" s="1"/>
  <c r="R515" i="83"/>
  <c r="J515" i="83"/>
  <c r="BK514" i="83"/>
  <c r="BE514" i="83"/>
  <c r="AP514" i="83"/>
  <c r="AH514" i="83"/>
  <c r="Z514" i="83"/>
  <c r="BM514" i="83" s="1"/>
  <c r="R514" i="83"/>
  <c r="J514" i="83"/>
  <c r="BK513" i="83"/>
  <c r="BE513" i="83"/>
  <c r="AP513" i="83"/>
  <c r="BO513" i="83" s="1"/>
  <c r="AH513" i="83"/>
  <c r="Z513" i="83"/>
  <c r="BM513" i="83" s="1"/>
  <c r="R513" i="83"/>
  <c r="J513" i="83"/>
  <c r="BK512" i="83"/>
  <c r="BE512" i="83"/>
  <c r="AP512" i="83"/>
  <c r="BO512" i="83" s="1"/>
  <c r="AH512" i="83"/>
  <c r="Z512" i="83"/>
  <c r="BM512" i="83" s="1"/>
  <c r="R512" i="83"/>
  <c r="J512" i="83"/>
  <c r="BK511" i="83"/>
  <c r="BE511" i="83"/>
  <c r="AP511" i="83"/>
  <c r="BO511" i="83" s="1"/>
  <c r="AH511" i="83"/>
  <c r="Z511" i="83"/>
  <c r="BM511" i="83" s="1"/>
  <c r="R511" i="83"/>
  <c r="J511" i="83"/>
  <c r="BK510" i="83"/>
  <c r="BE510" i="83"/>
  <c r="AP510" i="83"/>
  <c r="BO510" i="83" s="1"/>
  <c r="AH510" i="83"/>
  <c r="Z510" i="83"/>
  <c r="BM510" i="83" s="1"/>
  <c r="R510" i="83"/>
  <c r="J510" i="83"/>
  <c r="BK509" i="83"/>
  <c r="BE509" i="83"/>
  <c r="AP509" i="83"/>
  <c r="BO509" i="83" s="1"/>
  <c r="AH509" i="83"/>
  <c r="Z509" i="83"/>
  <c r="R509" i="83"/>
  <c r="J509" i="83"/>
  <c r="BK508" i="83"/>
  <c r="BE508" i="83"/>
  <c r="AP508" i="83"/>
  <c r="BO508" i="83" s="1"/>
  <c r="AH508" i="83"/>
  <c r="Z508" i="83"/>
  <c r="BM508" i="83" s="1"/>
  <c r="R508" i="83"/>
  <c r="J508" i="83"/>
  <c r="BK507" i="83"/>
  <c r="BE507" i="83"/>
  <c r="AP507" i="83"/>
  <c r="BO507" i="83" s="1"/>
  <c r="AH507" i="83"/>
  <c r="BN507" i="83" s="1"/>
  <c r="Z507" i="83"/>
  <c r="BG507" i="83" s="1"/>
  <c r="R507" i="83"/>
  <c r="J507" i="83"/>
  <c r="BK506" i="83"/>
  <c r="BE506" i="83"/>
  <c r="AP506" i="83"/>
  <c r="AH506" i="83"/>
  <c r="BH506" i="83" s="1"/>
  <c r="Z506" i="83"/>
  <c r="BG506" i="83" s="1"/>
  <c r="R506" i="83"/>
  <c r="J506" i="83"/>
  <c r="BK505" i="83"/>
  <c r="BE505" i="83"/>
  <c r="AP505" i="83"/>
  <c r="AH505" i="83"/>
  <c r="BN505" i="83" s="1"/>
  <c r="Z505" i="83"/>
  <c r="BG505" i="83" s="1"/>
  <c r="R505" i="83"/>
  <c r="J505" i="83"/>
  <c r="BK504" i="83"/>
  <c r="BE504" i="83"/>
  <c r="AP504" i="83"/>
  <c r="BO504" i="83" s="1"/>
  <c r="AH504" i="83"/>
  <c r="BN504" i="83" s="1"/>
  <c r="Z504" i="83"/>
  <c r="BG504" i="83" s="1"/>
  <c r="R504" i="83"/>
  <c r="J504" i="83"/>
  <c r="BK503" i="83"/>
  <c r="BE503" i="83"/>
  <c r="AP503" i="83"/>
  <c r="BO503" i="83" s="1"/>
  <c r="AH503" i="83"/>
  <c r="BN503" i="83" s="1"/>
  <c r="Z503" i="83"/>
  <c r="BG503" i="83" s="1"/>
  <c r="R503" i="83"/>
  <c r="J503" i="83"/>
  <c r="BK502" i="83"/>
  <c r="BE502" i="83"/>
  <c r="AP502" i="83"/>
  <c r="AH502" i="83"/>
  <c r="BH502" i="83" s="1"/>
  <c r="Z502" i="83"/>
  <c r="BG502" i="83" s="1"/>
  <c r="R502" i="83"/>
  <c r="J502" i="83"/>
  <c r="BK501" i="83"/>
  <c r="BE501" i="83"/>
  <c r="AP501" i="83"/>
  <c r="BO501" i="83" s="1"/>
  <c r="AH501" i="83"/>
  <c r="BN501" i="83" s="1"/>
  <c r="Z501" i="83"/>
  <c r="R501" i="83"/>
  <c r="BL501" i="83" s="1"/>
  <c r="J501" i="83"/>
  <c r="BK500" i="83"/>
  <c r="BE500" i="83"/>
  <c r="AP500" i="83"/>
  <c r="BI500" i="83" s="1"/>
  <c r="AH500" i="83"/>
  <c r="BN500" i="83" s="1"/>
  <c r="Z500" i="83"/>
  <c r="BG500" i="83" s="1"/>
  <c r="R500" i="83"/>
  <c r="BL500" i="83" s="1"/>
  <c r="J500" i="83"/>
  <c r="BK499" i="83"/>
  <c r="BE499" i="83"/>
  <c r="AP499" i="83"/>
  <c r="BI499" i="83" s="1"/>
  <c r="AH499" i="83"/>
  <c r="BN499" i="83" s="1"/>
  <c r="Z499" i="83"/>
  <c r="BG499" i="83" s="1"/>
  <c r="R499" i="83"/>
  <c r="BL499" i="83" s="1"/>
  <c r="J499" i="83"/>
  <c r="BK498" i="83"/>
  <c r="BE498" i="83"/>
  <c r="AP498" i="83"/>
  <c r="BI498" i="83" s="1"/>
  <c r="AH498" i="83"/>
  <c r="BN498" i="83" s="1"/>
  <c r="Z498" i="83"/>
  <c r="R498" i="83"/>
  <c r="BL498" i="83" s="1"/>
  <c r="J498" i="83"/>
  <c r="BK497" i="83"/>
  <c r="BE497" i="83"/>
  <c r="AP497" i="83"/>
  <c r="BI497" i="83" s="1"/>
  <c r="AH497" i="83"/>
  <c r="BN497" i="83" s="1"/>
  <c r="Z497" i="83"/>
  <c r="BG497" i="83" s="1"/>
  <c r="R497" i="83"/>
  <c r="BF497" i="83" s="1"/>
  <c r="J497" i="83"/>
  <c r="BK496" i="83"/>
  <c r="BE496" i="83"/>
  <c r="AP496" i="83"/>
  <c r="BI496" i="83" s="1"/>
  <c r="AH496" i="83"/>
  <c r="BN496" i="83" s="1"/>
  <c r="Z496" i="83"/>
  <c r="BG496" i="83" s="1"/>
  <c r="R496" i="83"/>
  <c r="BL496" i="83" s="1"/>
  <c r="J496" i="83"/>
  <c r="BK495" i="83"/>
  <c r="BE495" i="83"/>
  <c r="AP495" i="83"/>
  <c r="BI495" i="83" s="1"/>
  <c r="AH495" i="83"/>
  <c r="BN495" i="83" s="1"/>
  <c r="Z495" i="83"/>
  <c r="BG495" i="83" s="1"/>
  <c r="R495" i="83"/>
  <c r="J495" i="83"/>
  <c r="BK494" i="83"/>
  <c r="BE494" i="83"/>
  <c r="AP494" i="83"/>
  <c r="AH494" i="83"/>
  <c r="BN494" i="83" s="1"/>
  <c r="Z494" i="83"/>
  <c r="R494" i="83"/>
  <c r="J494" i="83"/>
  <c r="BK493" i="83"/>
  <c r="BE493" i="83"/>
  <c r="AP493" i="83"/>
  <c r="BI493" i="83" s="1"/>
  <c r="AH493" i="83"/>
  <c r="BN493" i="83" s="1"/>
  <c r="Z493" i="83"/>
  <c r="BG493" i="83" s="1"/>
  <c r="R493" i="83"/>
  <c r="BL493" i="83" s="1"/>
  <c r="J493" i="83"/>
  <c r="BK492" i="83"/>
  <c r="BE492" i="83"/>
  <c r="AP492" i="83"/>
  <c r="AH492" i="83"/>
  <c r="BN492" i="83" s="1"/>
  <c r="Z492" i="83"/>
  <c r="BG492" i="83" s="1"/>
  <c r="R492" i="83"/>
  <c r="BL492" i="83" s="1"/>
  <c r="J492" i="83"/>
  <c r="BK491" i="83"/>
  <c r="BE491" i="83"/>
  <c r="AP491" i="83"/>
  <c r="BI491" i="83" s="1"/>
  <c r="AH491" i="83"/>
  <c r="Z491" i="83"/>
  <c r="BG491" i="83" s="1"/>
  <c r="R491" i="83"/>
  <c r="BL491" i="83" s="1"/>
  <c r="J491" i="83"/>
  <c r="BK490" i="83"/>
  <c r="BE490" i="83"/>
  <c r="AP490" i="83"/>
  <c r="BI490" i="83" s="1"/>
  <c r="AH490" i="83"/>
  <c r="Z490" i="83"/>
  <c r="R490" i="83"/>
  <c r="BL490" i="83" s="1"/>
  <c r="J490" i="83"/>
  <c r="BK489" i="83"/>
  <c r="BE489" i="83"/>
  <c r="AP489" i="83"/>
  <c r="BI489" i="83" s="1"/>
  <c r="AH489" i="83"/>
  <c r="BN489" i="83" s="1"/>
  <c r="Z489" i="83"/>
  <c r="BG489" i="83" s="1"/>
  <c r="R489" i="83"/>
  <c r="BL489" i="83" s="1"/>
  <c r="J489" i="83"/>
  <c r="BK488" i="83"/>
  <c r="BE488" i="83"/>
  <c r="AP488" i="83"/>
  <c r="AH488" i="83"/>
  <c r="Z488" i="83"/>
  <c r="BG488" i="83" s="1"/>
  <c r="R488" i="83"/>
  <c r="BL488" i="83" s="1"/>
  <c r="J488" i="83"/>
  <c r="BK487" i="83"/>
  <c r="BE487" i="83"/>
  <c r="AP487" i="83"/>
  <c r="BI487" i="83" s="1"/>
  <c r="AH487" i="83"/>
  <c r="BN487" i="83" s="1"/>
  <c r="Z487" i="83"/>
  <c r="BG487" i="83" s="1"/>
  <c r="R487" i="83"/>
  <c r="BL487" i="83" s="1"/>
  <c r="J487" i="83"/>
  <c r="BK486" i="83"/>
  <c r="BE486" i="83"/>
  <c r="AP486" i="83"/>
  <c r="BI486" i="83" s="1"/>
  <c r="AH486" i="83"/>
  <c r="BN486" i="83" s="1"/>
  <c r="Z486" i="83"/>
  <c r="BG486" i="83" s="1"/>
  <c r="R486" i="83"/>
  <c r="BL486" i="83" s="1"/>
  <c r="J486" i="83"/>
  <c r="BK485" i="83"/>
  <c r="BE485" i="83"/>
  <c r="AP485" i="83"/>
  <c r="BI485" i="83" s="1"/>
  <c r="AH485" i="83"/>
  <c r="BN485" i="83" s="1"/>
  <c r="Z485" i="83"/>
  <c r="BG485" i="83" s="1"/>
  <c r="R485" i="83"/>
  <c r="BL485" i="83" s="1"/>
  <c r="J485" i="83"/>
  <c r="BK484" i="83"/>
  <c r="BE484" i="83"/>
  <c r="AP484" i="83"/>
  <c r="AH484" i="83"/>
  <c r="BN484" i="83" s="1"/>
  <c r="Z484" i="83"/>
  <c r="BG484" i="83" s="1"/>
  <c r="R484" i="83"/>
  <c r="BF484" i="83" s="1"/>
  <c r="J484" i="83"/>
  <c r="BK483" i="83"/>
  <c r="BE483" i="83"/>
  <c r="AP483" i="83"/>
  <c r="AH483" i="83"/>
  <c r="BN483" i="83" s="1"/>
  <c r="Z483" i="83"/>
  <c r="BG483" i="83" s="1"/>
  <c r="R483" i="83"/>
  <c r="BL483" i="83" s="1"/>
  <c r="J483" i="83"/>
  <c r="BK482" i="83"/>
  <c r="BE482" i="83"/>
  <c r="AP482" i="83"/>
  <c r="BI482" i="83" s="1"/>
  <c r="AH482" i="83"/>
  <c r="BN482" i="83" s="1"/>
  <c r="Z482" i="83"/>
  <c r="R482" i="83"/>
  <c r="BL482" i="83" s="1"/>
  <c r="J482" i="83"/>
  <c r="BK481" i="83"/>
  <c r="BE481" i="83"/>
  <c r="AP481" i="83"/>
  <c r="BI481" i="83" s="1"/>
  <c r="AH481" i="83"/>
  <c r="BN481" i="83" s="1"/>
  <c r="Z481" i="83"/>
  <c r="BG481" i="83" s="1"/>
  <c r="R481" i="83"/>
  <c r="BL481" i="83" s="1"/>
  <c r="J481" i="83"/>
  <c r="BK480" i="83"/>
  <c r="BE480" i="83"/>
  <c r="AP480" i="83"/>
  <c r="AH480" i="83"/>
  <c r="BN480" i="83" s="1"/>
  <c r="Z480" i="83"/>
  <c r="BG480" i="83" s="1"/>
  <c r="R480" i="83"/>
  <c r="BL480" i="83" s="1"/>
  <c r="J480" i="83"/>
  <c r="BK479" i="83"/>
  <c r="BE479" i="83"/>
  <c r="AP479" i="83"/>
  <c r="BI479" i="83" s="1"/>
  <c r="AH479" i="83"/>
  <c r="BN479" i="83" s="1"/>
  <c r="Z479" i="83"/>
  <c r="BG479" i="83" s="1"/>
  <c r="R479" i="83"/>
  <c r="BF479" i="83" s="1"/>
  <c r="J479" i="83"/>
  <c r="BK478" i="83"/>
  <c r="BE478" i="83"/>
  <c r="AP478" i="83"/>
  <c r="AH478" i="83"/>
  <c r="BN478" i="83" s="1"/>
  <c r="Z478" i="83"/>
  <c r="R478" i="83"/>
  <c r="BL478" i="83" s="1"/>
  <c r="J478" i="83"/>
  <c r="BK477" i="83"/>
  <c r="BE477" i="83"/>
  <c r="AP477" i="83"/>
  <c r="BI477" i="83" s="1"/>
  <c r="AH477" i="83"/>
  <c r="BN477" i="83" s="1"/>
  <c r="Z477" i="83"/>
  <c r="BG477" i="83" s="1"/>
  <c r="R477" i="83"/>
  <c r="BL477" i="83" s="1"/>
  <c r="J477" i="83"/>
  <c r="BK476" i="83"/>
  <c r="BE476" i="83"/>
  <c r="AP476" i="83"/>
  <c r="AH476" i="83"/>
  <c r="BN476" i="83" s="1"/>
  <c r="Z476" i="83"/>
  <c r="BG476" i="83" s="1"/>
  <c r="R476" i="83"/>
  <c r="BL476" i="83" s="1"/>
  <c r="J476" i="83"/>
  <c r="BK475" i="83"/>
  <c r="BE475" i="83"/>
  <c r="AP475" i="83"/>
  <c r="BI475" i="83" s="1"/>
  <c r="AH475" i="83"/>
  <c r="BN475" i="83" s="1"/>
  <c r="Z475" i="83"/>
  <c r="BG475" i="83" s="1"/>
  <c r="R475" i="83"/>
  <c r="BL475" i="83" s="1"/>
  <c r="J475" i="83"/>
  <c r="BK474" i="83"/>
  <c r="BE474" i="83"/>
  <c r="AP474" i="83"/>
  <c r="BI474" i="83" s="1"/>
  <c r="AH474" i="83"/>
  <c r="BN474" i="83" s="1"/>
  <c r="Z474" i="83"/>
  <c r="BM474" i="83" s="1"/>
  <c r="R474" i="83"/>
  <c r="BL474" i="83" s="1"/>
  <c r="J474" i="83"/>
  <c r="BK473" i="83"/>
  <c r="BE473" i="83"/>
  <c r="AP473" i="83"/>
  <c r="BI473" i="83" s="1"/>
  <c r="AH473" i="83"/>
  <c r="BN473" i="83" s="1"/>
  <c r="Z473" i="83"/>
  <c r="BG473" i="83" s="1"/>
  <c r="R473" i="83"/>
  <c r="BF473" i="83" s="1"/>
  <c r="J473" i="83"/>
  <c r="BK472" i="83"/>
  <c r="BE472" i="83"/>
  <c r="AP472" i="83"/>
  <c r="BI472" i="83" s="1"/>
  <c r="AH472" i="83"/>
  <c r="BN472" i="83" s="1"/>
  <c r="Z472" i="83"/>
  <c r="BM472" i="83" s="1"/>
  <c r="R472" i="83"/>
  <c r="J472" i="83"/>
  <c r="BK471" i="83"/>
  <c r="BE471" i="83"/>
  <c r="AP471" i="83"/>
  <c r="BI471" i="83" s="1"/>
  <c r="AH471" i="83"/>
  <c r="BN471" i="83" s="1"/>
  <c r="Z471" i="83"/>
  <c r="BG471" i="83" s="1"/>
  <c r="R471" i="83"/>
  <c r="BF471" i="83" s="1"/>
  <c r="J471" i="83"/>
  <c r="BK470" i="83"/>
  <c r="BE470" i="83"/>
  <c r="AP470" i="83"/>
  <c r="BI470" i="83" s="1"/>
  <c r="AH470" i="83"/>
  <c r="BN470" i="83" s="1"/>
  <c r="Z470" i="83"/>
  <c r="R470" i="83"/>
  <c r="BL470" i="83" s="1"/>
  <c r="J470" i="83"/>
  <c r="BK469" i="83"/>
  <c r="BE469" i="83"/>
  <c r="AP469" i="83"/>
  <c r="BI469" i="83" s="1"/>
  <c r="AH469" i="83"/>
  <c r="BN469" i="83" s="1"/>
  <c r="Z469" i="83"/>
  <c r="BG469" i="83" s="1"/>
  <c r="R469" i="83"/>
  <c r="BL469" i="83" s="1"/>
  <c r="J469" i="83"/>
  <c r="BK468" i="83"/>
  <c r="BE468" i="83"/>
  <c r="AP468" i="83"/>
  <c r="BO468" i="83" s="1"/>
  <c r="AH468" i="83"/>
  <c r="Z468" i="83"/>
  <c r="BM468" i="83" s="1"/>
  <c r="R468" i="83"/>
  <c r="BL468" i="83" s="1"/>
  <c r="J468" i="83"/>
  <c r="BK467" i="83"/>
  <c r="BE467" i="83"/>
  <c r="AP467" i="83"/>
  <c r="BO467" i="83" s="1"/>
  <c r="AH467" i="83"/>
  <c r="Z467" i="83"/>
  <c r="BM467" i="83" s="1"/>
  <c r="R467" i="83"/>
  <c r="BL467" i="83" s="1"/>
  <c r="J467" i="83"/>
  <c r="BK466" i="83"/>
  <c r="BE466" i="83"/>
  <c r="AP466" i="83"/>
  <c r="BI466" i="83" s="1"/>
  <c r="AH466" i="83"/>
  <c r="Z466" i="83"/>
  <c r="R466" i="83"/>
  <c r="BL466" i="83" s="1"/>
  <c r="J466" i="83"/>
  <c r="BK465" i="83"/>
  <c r="BE465" i="83"/>
  <c r="AP465" i="83"/>
  <c r="AH465" i="83"/>
  <c r="Z465" i="83"/>
  <c r="BM465" i="83" s="1"/>
  <c r="R465" i="83"/>
  <c r="BL465" i="83" s="1"/>
  <c r="J465" i="83"/>
  <c r="BK464" i="83"/>
  <c r="BE464" i="83"/>
  <c r="AP464" i="83"/>
  <c r="BO464" i="83" s="1"/>
  <c r="AH464" i="83"/>
  <c r="Z464" i="83"/>
  <c r="BM464" i="83" s="1"/>
  <c r="R464" i="83"/>
  <c r="BL464" i="83" s="1"/>
  <c r="J464" i="83"/>
  <c r="BK463" i="83"/>
  <c r="BE463" i="83"/>
  <c r="AP463" i="83"/>
  <c r="BO463" i="83" s="1"/>
  <c r="AH463" i="83"/>
  <c r="Z463" i="83"/>
  <c r="BM463" i="83" s="1"/>
  <c r="R463" i="83"/>
  <c r="BL463" i="83" s="1"/>
  <c r="J463" i="83"/>
  <c r="BK462" i="83"/>
  <c r="BE462" i="83"/>
  <c r="AP462" i="83"/>
  <c r="BI462" i="83" s="1"/>
  <c r="AH462" i="83"/>
  <c r="Z462" i="83"/>
  <c r="R462" i="83"/>
  <c r="BL462" i="83" s="1"/>
  <c r="J462" i="83"/>
  <c r="BK461" i="83"/>
  <c r="BE461" i="83"/>
  <c r="AP461" i="83"/>
  <c r="AH461" i="83"/>
  <c r="Z461" i="83"/>
  <c r="BM461" i="83" s="1"/>
  <c r="R461" i="83"/>
  <c r="BL461" i="83" s="1"/>
  <c r="J461" i="83"/>
  <c r="BK460" i="83"/>
  <c r="BE460" i="83"/>
  <c r="AP460" i="83"/>
  <c r="BO460" i="83" s="1"/>
  <c r="AH460" i="83"/>
  <c r="Z460" i="83"/>
  <c r="BM460" i="83" s="1"/>
  <c r="R460" i="83"/>
  <c r="BL460" i="83" s="1"/>
  <c r="J460" i="83"/>
  <c r="BK459" i="83"/>
  <c r="BE459" i="83"/>
  <c r="AP459" i="83"/>
  <c r="BO459" i="83" s="1"/>
  <c r="AH459" i="83"/>
  <c r="Z459" i="83"/>
  <c r="BM459" i="83" s="1"/>
  <c r="R459" i="83"/>
  <c r="BL459" i="83" s="1"/>
  <c r="J459" i="83"/>
  <c r="BK458" i="83"/>
  <c r="BE458" i="83"/>
  <c r="AP458" i="83"/>
  <c r="BI458" i="83" s="1"/>
  <c r="AH458" i="83"/>
  <c r="Z458" i="83"/>
  <c r="R458" i="83"/>
  <c r="BL458" i="83" s="1"/>
  <c r="J458" i="83"/>
  <c r="BK457" i="83"/>
  <c r="BE457" i="83"/>
  <c r="AP457" i="83"/>
  <c r="AH457" i="83"/>
  <c r="Z457" i="83"/>
  <c r="BM457" i="83" s="1"/>
  <c r="R457" i="83"/>
  <c r="BL457" i="83" s="1"/>
  <c r="J457" i="83"/>
  <c r="BK456" i="83"/>
  <c r="BE456" i="83"/>
  <c r="AP456" i="83"/>
  <c r="BO456" i="83" s="1"/>
  <c r="AH456" i="83"/>
  <c r="Z456" i="83"/>
  <c r="BM456" i="83" s="1"/>
  <c r="R456" i="83"/>
  <c r="J456" i="83"/>
  <c r="BK455" i="83"/>
  <c r="BE455" i="83"/>
  <c r="AP455" i="83"/>
  <c r="BI455" i="83" s="1"/>
  <c r="AH455" i="83"/>
  <c r="Z455" i="83"/>
  <c r="R455" i="83"/>
  <c r="BL455" i="83" s="1"/>
  <c r="J455" i="83"/>
  <c r="BK454" i="83"/>
  <c r="BE454" i="83"/>
  <c r="AP454" i="83"/>
  <c r="AH454" i="83"/>
  <c r="Z454" i="83"/>
  <c r="BM454" i="83" s="1"/>
  <c r="R454" i="83"/>
  <c r="BL454" i="83" s="1"/>
  <c r="J454" i="83"/>
  <c r="BK453" i="83"/>
  <c r="BE453" i="83"/>
  <c r="AP453" i="83"/>
  <c r="BO453" i="83" s="1"/>
  <c r="AH453" i="83"/>
  <c r="Z453" i="83"/>
  <c r="R453" i="83"/>
  <c r="BL453" i="83" s="1"/>
  <c r="J453" i="83"/>
  <c r="BK452" i="83"/>
  <c r="BE452" i="83"/>
  <c r="AP452" i="83"/>
  <c r="BO452" i="83" s="1"/>
  <c r="AH452" i="83"/>
  <c r="Z452" i="83"/>
  <c r="BM452" i="83" s="1"/>
  <c r="R452" i="83"/>
  <c r="J452" i="83"/>
  <c r="BK451" i="83"/>
  <c r="BE451" i="83"/>
  <c r="AP451" i="83"/>
  <c r="BI451" i="83" s="1"/>
  <c r="AH451" i="83"/>
  <c r="Z451" i="83"/>
  <c r="R451" i="83"/>
  <c r="BL451" i="83" s="1"/>
  <c r="J451" i="83"/>
  <c r="BK450" i="83"/>
  <c r="BE450" i="83"/>
  <c r="AP450" i="83"/>
  <c r="BO450" i="83" s="1"/>
  <c r="AH450" i="83"/>
  <c r="Z450" i="83"/>
  <c r="R450" i="83"/>
  <c r="BL450" i="83" s="1"/>
  <c r="J450" i="83"/>
  <c r="BK449" i="83"/>
  <c r="BE449" i="83"/>
  <c r="AP449" i="83"/>
  <c r="BO449" i="83" s="1"/>
  <c r="AH449" i="83"/>
  <c r="Z449" i="83"/>
  <c r="BM449" i="83" s="1"/>
  <c r="R449" i="83"/>
  <c r="BL449" i="83" s="1"/>
  <c r="J449" i="83"/>
  <c r="BK448" i="83"/>
  <c r="BE448" i="83"/>
  <c r="AP448" i="83"/>
  <c r="BO448" i="83" s="1"/>
  <c r="AH448" i="83"/>
  <c r="Z448" i="83"/>
  <c r="BM448" i="83" s="1"/>
  <c r="R448" i="83"/>
  <c r="BL448" i="83" s="1"/>
  <c r="J448" i="83"/>
  <c r="BK447" i="83"/>
  <c r="BE447" i="83"/>
  <c r="AP447" i="83"/>
  <c r="BO447" i="83" s="1"/>
  <c r="AH447" i="83"/>
  <c r="BH447" i="83" s="1"/>
  <c r="Z447" i="83"/>
  <c r="BG447" i="83" s="1"/>
  <c r="R447" i="83"/>
  <c r="J447" i="83"/>
  <c r="BK446" i="83"/>
  <c r="BE446" i="83"/>
  <c r="AP446" i="83"/>
  <c r="BO446" i="83" s="1"/>
  <c r="AH446" i="83"/>
  <c r="BN446" i="83" s="1"/>
  <c r="Z446" i="83"/>
  <c r="R446" i="83"/>
  <c r="J446" i="83"/>
  <c r="BK445" i="83"/>
  <c r="BE445" i="83"/>
  <c r="AP445" i="83"/>
  <c r="BO445" i="83" s="1"/>
  <c r="AH445" i="83"/>
  <c r="Z445" i="83"/>
  <c r="BM445" i="83" s="1"/>
  <c r="R445" i="83"/>
  <c r="BF445" i="83" s="1"/>
  <c r="J445" i="83"/>
  <c r="BK444" i="83"/>
  <c r="BE444" i="83"/>
  <c r="AP444" i="83"/>
  <c r="BO444" i="83" s="1"/>
  <c r="AH444" i="83"/>
  <c r="BH444" i="83" s="1"/>
  <c r="Z444" i="83"/>
  <c r="R444" i="83"/>
  <c r="BF444" i="83" s="1"/>
  <c r="J444" i="83"/>
  <c r="BK443" i="83"/>
  <c r="BE443" i="83"/>
  <c r="AP443" i="83"/>
  <c r="BO443" i="83" s="1"/>
  <c r="AH443" i="83"/>
  <c r="BH443" i="83" s="1"/>
  <c r="Z443" i="83"/>
  <c r="BM443" i="83" s="1"/>
  <c r="R443" i="83"/>
  <c r="BF443" i="83" s="1"/>
  <c r="J443" i="83"/>
  <c r="BK442" i="83"/>
  <c r="BE442" i="83"/>
  <c r="AP442" i="83"/>
  <c r="BI442" i="83" s="1"/>
  <c r="AH442" i="83"/>
  <c r="BN442" i="83" s="1"/>
  <c r="Z442" i="83"/>
  <c r="BM442" i="83" s="1"/>
  <c r="R442" i="83"/>
  <c r="BF442" i="83" s="1"/>
  <c r="J442" i="83"/>
  <c r="BK441" i="83"/>
  <c r="BE441" i="83"/>
  <c r="AP441" i="83"/>
  <c r="AH441" i="83"/>
  <c r="BH441" i="83" s="1"/>
  <c r="Z441" i="83"/>
  <c r="R441" i="83"/>
  <c r="J441" i="83"/>
  <c r="BK440" i="83"/>
  <c r="BE440" i="83"/>
  <c r="AP440" i="83"/>
  <c r="BO440" i="83" s="1"/>
  <c r="AH440" i="83"/>
  <c r="Z440" i="83"/>
  <c r="BG440" i="83" s="1"/>
  <c r="R440" i="83"/>
  <c r="BF440" i="83" s="1"/>
  <c r="J440" i="83"/>
  <c r="BK439" i="83"/>
  <c r="BE439" i="83"/>
  <c r="AP439" i="83"/>
  <c r="AH439" i="83"/>
  <c r="BH439" i="83" s="1"/>
  <c r="Z439" i="83"/>
  <c r="BM439" i="83" s="1"/>
  <c r="R439" i="83"/>
  <c r="J439" i="83"/>
  <c r="BK438" i="83"/>
  <c r="BE438" i="83"/>
  <c r="AP438" i="83"/>
  <c r="AH438" i="83"/>
  <c r="BN438" i="83" s="1"/>
  <c r="Z438" i="83"/>
  <c r="R438" i="83"/>
  <c r="J438" i="83"/>
  <c r="BK437" i="83"/>
  <c r="BE437" i="83"/>
  <c r="AP437" i="83"/>
  <c r="AH437" i="83"/>
  <c r="Z437" i="83"/>
  <c r="R437" i="83"/>
  <c r="J437" i="83"/>
  <c r="BK436" i="83"/>
  <c r="BE436" i="83"/>
  <c r="AP436" i="83"/>
  <c r="BO436" i="83" s="1"/>
  <c r="AH436" i="83"/>
  <c r="Z436" i="83"/>
  <c r="BM436" i="83" s="1"/>
  <c r="R436" i="83"/>
  <c r="BF436" i="83" s="1"/>
  <c r="J436" i="83"/>
  <c r="BK435" i="83"/>
  <c r="BE435" i="83"/>
  <c r="AP435" i="83"/>
  <c r="BO435" i="83" s="1"/>
  <c r="AH435" i="83"/>
  <c r="Z435" i="83"/>
  <c r="BG435" i="83" s="1"/>
  <c r="R435" i="83"/>
  <c r="J435" i="83"/>
  <c r="BK434" i="83"/>
  <c r="BE434" i="83"/>
  <c r="AP434" i="83"/>
  <c r="BO434" i="83" s="1"/>
  <c r="AH434" i="83"/>
  <c r="BH434" i="83" s="1"/>
  <c r="Z434" i="83"/>
  <c r="BM434" i="83" s="1"/>
  <c r="R434" i="83"/>
  <c r="BF434" i="83" s="1"/>
  <c r="J434" i="83"/>
  <c r="BK433" i="83"/>
  <c r="BE433" i="83"/>
  <c r="AP433" i="83"/>
  <c r="BO433" i="83" s="1"/>
  <c r="AH433" i="83"/>
  <c r="BH433" i="83" s="1"/>
  <c r="Z433" i="83"/>
  <c r="BM433" i="83" s="1"/>
  <c r="R433" i="83"/>
  <c r="BF433" i="83" s="1"/>
  <c r="J433" i="83"/>
  <c r="BK432" i="83"/>
  <c r="BE432" i="83"/>
  <c r="AP432" i="83"/>
  <c r="BO432" i="83" s="1"/>
  <c r="AH432" i="83"/>
  <c r="Z432" i="83"/>
  <c r="BM432" i="83" s="1"/>
  <c r="R432" i="83"/>
  <c r="BF432" i="83" s="1"/>
  <c r="J432" i="83"/>
  <c r="BK431" i="83"/>
  <c r="BE431" i="83"/>
  <c r="AP431" i="83"/>
  <c r="BO431" i="83" s="1"/>
  <c r="AH431" i="83"/>
  <c r="Z431" i="83"/>
  <c r="R431" i="83"/>
  <c r="J431" i="83"/>
  <c r="BK430" i="83"/>
  <c r="BE430" i="83"/>
  <c r="AP430" i="83"/>
  <c r="BO430" i="83" s="1"/>
  <c r="AH430" i="83"/>
  <c r="Z430" i="83"/>
  <c r="R430" i="83"/>
  <c r="BF430" i="83" s="1"/>
  <c r="J430" i="83"/>
  <c r="BK429" i="83"/>
  <c r="BE429" i="83"/>
  <c r="AP429" i="83"/>
  <c r="AH429" i="83"/>
  <c r="Z429" i="83"/>
  <c r="R429" i="83"/>
  <c r="J429" i="83"/>
  <c r="BK428" i="83"/>
  <c r="BE428" i="83"/>
  <c r="AP428" i="83"/>
  <c r="AH428" i="83"/>
  <c r="Z428" i="83"/>
  <c r="BM428" i="83" s="1"/>
  <c r="R428" i="83"/>
  <c r="BF428" i="83" s="1"/>
  <c r="J428" i="83"/>
  <c r="BK427" i="83"/>
  <c r="BE427" i="83"/>
  <c r="AP427" i="83"/>
  <c r="AH427" i="83"/>
  <c r="Z427" i="83"/>
  <c r="BM427" i="83" s="1"/>
  <c r="R427" i="83"/>
  <c r="BF427" i="83" s="1"/>
  <c r="J427" i="83"/>
  <c r="BK426" i="83"/>
  <c r="BE426" i="83"/>
  <c r="AP426" i="83"/>
  <c r="AH426" i="83"/>
  <c r="Z426" i="83"/>
  <c r="BM426" i="83" s="1"/>
  <c r="R426" i="83"/>
  <c r="BF426" i="83" s="1"/>
  <c r="J426" i="83"/>
  <c r="BK425" i="83"/>
  <c r="BE425" i="83"/>
  <c r="AP425" i="83"/>
  <c r="BO425" i="83" s="1"/>
  <c r="AH425" i="83"/>
  <c r="Z425" i="83"/>
  <c r="BM425" i="83" s="1"/>
  <c r="R425" i="83"/>
  <c r="BF425" i="83" s="1"/>
  <c r="J425" i="83"/>
  <c r="BK424" i="83"/>
  <c r="BE424" i="83"/>
  <c r="AP424" i="83"/>
  <c r="BO424" i="83" s="1"/>
  <c r="AH424" i="83"/>
  <c r="Z424" i="83"/>
  <c r="BM424" i="83" s="1"/>
  <c r="R424" i="83"/>
  <c r="BF424" i="83" s="1"/>
  <c r="J424" i="83"/>
  <c r="BK423" i="83"/>
  <c r="BE423" i="83"/>
  <c r="AP423" i="83"/>
  <c r="BO423" i="83" s="1"/>
  <c r="AH423" i="83"/>
  <c r="Z423" i="83"/>
  <c r="R423" i="83"/>
  <c r="J423" i="83"/>
  <c r="BK422" i="83"/>
  <c r="BE422" i="83"/>
  <c r="AP422" i="83"/>
  <c r="BO422" i="83" s="1"/>
  <c r="AH422" i="83"/>
  <c r="Z422" i="83"/>
  <c r="R422" i="83"/>
  <c r="BF422" i="83" s="1"/>
  <c r="J422" i="83"/>
  <c r="BK421" i="83"/>
  <c r="BE421" i="83"/>
  <c r="AP421" i="83"/>
  <c r="AH421" i="83"/>
  <c r="Z421" i="83"/>
  <c r="R421" i="83"/>
  <c r="J421" i="83"/>
  <c r="BK420" i="83"/>
  <c r="BE420" i="83"/>
  <c r="AP420" i="83"/>
  <c r="AH420" i="83"/>
  <c r="Z420" i="83"/>
  <c r="BM420" i="83" s="1"/>
  <c r="R420" i="83"/>
  <c r="BF420" i="83" s="1"/>
  <c r="J420" i="83"/>
  <c r="BK419" i="83"/>
  <c r="BE419" i="83"/>
  <c r="AP419" i="83"/>
  <c r="AH419" i="83"/>
  <c r="Z419" i="83"/>
  <c r="BM419" i="83" s="1"/>
  <c r="R419" i="83"/>
  <c r="BF419" i="83" s="1"/>
  <c r="J419" i="83"/>
  <c r="BK418" i="83"/>
  <c r="BE418" i="83"/>
  <c r="AP418" i="83"/>
  <c r="BO418" i="83" s="1"/>
  <c r="AH418" i="83"/>
  <c r="Z418" i="83"/>
  <c r="BM418" i="83" s="1"/>
  <c r="R418" i="83"/>
  <c r="BF418" i="83" s="1"/>
  <c r="J418" i="83"/>
  <c r="BK417" i="83"/>
  <c r="BE417" i="83"/>
  <c r="AP417" i="83"/>
  <c r="BO417" i="83" s="1"/>
  <c r="AH417" i="83"/>
  <c r="Z417" i="83"/>
  <c r="BM417" i="83" s="1"/>
  <c r="R417" i="83"/>
  <c r="BF417" i="83" s="1"/>
  <c r="J417" i="83"/>
  <c r="BK416" i="83"/>
  <c r="BE416" i="83"/>
  <c r="AP416" i="83"/>
  <c r="BO416" i="83" s="1"/>
  <c r="AH416" i="83"/>
  <c r="Z416" i="83"/>
  <c r="R416" i="83"/>
  <c r="BF416" i="83" s="1"/>
  <c r="J416" i="83"/>
  <c r="BK415" i="83"/>
  <c r="BE415" i="83"/>
  <c r="AP415" i="83"/>
  <c r="AH415" i="83"/>
  <c r="Z415" i="83"/>
  <c r="BM415" i="83" s="1"/>
  <c r="R415" i="83"/>
  <c r="BF415" i="83" s="1"/>
  <c r="J415" i="83"/>
  <c r="BK414" i="83"/>
  <c r="BE414" i="83"/>
  <c r="AP414" i="83"/>
  <c r="BO414" i="83" s="1"/>
  <c r="AH414" i="83"/>
  <c r="BH414" i="83" s="1"/>
  <c r="Z414" i="83"/>
  <c r="BM414" i="83" s="1"/>
  <c r="R414" i="83"/>
  <c r="J414" i="83"/>
  <c r="BK413" i="83"/>
  <c r="BE413" i="83"/>
  <c r="AP413" i="83"/>
  <c r="AH413" i="83"/>
  <c r="BH413" i="83" s="1"/>
  <c r="Z413" i="83"/>
  <c r="BM413" i="83" s="1"/>
  <c r="R413" i="83"/>
  <c r="BF413" i="83" s="1"/>
  <c r="J413" i="83"/>
  <c r="BK412" i="83"/>
  <c r="BE412" i="83"/>
  <c r="AP412" i="83"/>
  <c r="BO412" i="83" s="1"/>
  <c r="AH412" i="83"/>
  <c r="BH412" i="83" s="1"/>
  <c r="Z412" i="83"/>
  <c r="BM412" i="83" s="1"/>
  <c r="R412" i="83"/>
  <c r="J412" i="83"/>
  <c r="BK411" i="83"/>
  <c r="BE411" i="83"/>
  <c r="AP411" i="83"/>
  <c r="BO411" i="83" s="1"/>
  <c r="AH411" i="83"/>
  <c r="BH411" i="83" s="1"/>
  <c r="Z411" i="83"/>
  <c r="R411" i="83"/>
  <c r="BF411" i="83" s="1"/>
  <c r="J411" i="83"/>
  <c r="BK410" i="83"/>
  <c r="BE410" i="83"/>
  <c r="AP410" i="83"/>
  <c r="BO410" i="83" s="1"/>
  <c r="AH410" i="83"/>
  <c r="BH410" i="83" s="1"/>
  <c r="Z410" i="83"/>
  <c r="R410" i="83"/>
  <c r="BF410" i="83" s="1"/>
  <c r="J410" i="83"/>
  <c r="BK409" i="83"/>
  <c r="BE409" i="83"/>
  <c r="AP409" i="83"/>
  <c r="AH409" i="83"/>
  <c r="Z409" i="83"/>
  <c r="BM409" i="83" s="1"/>
  <c r="R409" i="83"/>
  <c r="BF409" i="83" s="1"/>
  <c r="J409" i="83"/>
  <c r="BK408" i="83"/>
  <c r="BE408" i="83"/>
  <c r="AP408" i="83"/>
  <c r="BO408" i="83" s="1"/>
  <c r="AH408" i="83"/>
  <c r="BH408" i="83" s="1"/>
  <c r="Z408" i="83"/>
  <c r="BM408" i="83" s="1"/>
  <c r="R408" i="83"/>
  <c r="BF408" i="83" s="1"/>
  <c r="J408" i="83"/>
  <c r="BK407" i="83"/>
  <c r="BE407" i="83"/>
  <c r="AP407" i="83"/>
  <c r="AH407" i="83"/>
  <c r="Z407" i="83"/>
  <c r="BM407" i="83" s="1"/>
  <c r="R407" i="83"/>
  <c r="BF407" i="83" s="1"/>
  <c r="J407" i="83"/>
  <c r="BK406" i="83"/>
  <c r="BE406" i="83"/>
  <c r="AP406" i="83"/>
  <c r="BO406" i="83" s="1"/>
  <c r="AH406" i="83"/>
  <c r="BH406" i="83" s="1"/>
  <c r="Z406" i="83"/>
  <c r="BM406" i="83" s="1"/>
  <c r="R406" i="83"/>
  <c r="J406" i="83"/>
  <c r="BK405" i="83"/>
  <c r="BE405" i="83"/>
  <c r="AP405" i="83"/>
  <c r="AH405" i="83"/>
  <c r="BH405" i="83" s="1"/>
  <c r="Z405" i="83"/>
  <c r="R405" i="83"/>
  <c r="J405" i="83"/>
  <c r="BK404" i="83"/>
  <c r="BE404" i="83"/>
  <c r="AP404" i="83"/>
  <c r="BO404" i="83" s="1"/>
  <c r="AH404" i="83"/>
  <c r="Z404" i="83"/>
  <c r="R404" i="83"/>
  <c r="J404" i="83"/>
  <c r="BK403" i="83"/>
  <c r="BE403" i="83"/>
  <c r="AP403" i="83"/>
  <c r="AH403" i="83"/>
  <c r="BH403" i="83" s="1"/>
  <c r="Z403" i="83"/>
  <c r="BM403" i="83" s="1"/>
  <c r="R403" i="83"/>
  <c r="BF403" i="83" s="1"/>
  <c r="J403" i="83"/>
  <c r="BK402" i="83"/>
  <c r="BE402" i="83"/>
  <c r="AP402" i="83"/>
  <c r="BO402" i="83" s="1"/>
  <c r="AH402" i="83"/>
  <c r="BH402" i="83" s="1"/>
  <c r="Z402" i="83"/>
  <c r="BM402" i="83" s="1"/>
  <c r="R402" i="83"/>
  <c r="BF402" i="83" s="1"/>
  <c r="J402" i="83"/>
  <c r="BK401" i="83"/>
  <c r="BE401" i="83"/>
  <c r="AP401" i="83"/>
  <c r="AH401" i="83"/>
  <c r="Z401" i="83"/>
  <c r="BM401" i="83" s="1"/>
  <c r="R401" i="83"/>
  <c r="BF401" i="83" s="1"/>
  <c r="J401" i="83"/>
  <c r="BK400" i="83"/>
  <c r="BE400" i="83"/>
  <c r="AP400" i="83"/>
  <c r="BO400" i="83" s="1"/>
  <c r="AH400" i="83"/>
  <c r="BH400" i="83" s="1"/>
  <c r="Z400" i="83"/>
  <c r="BM400" i="83" s="1"/>
  <c r="R400" i="83"/>
  <c r="J400" i="83"/>
  <c r="BK399" i="83"/>
  <c r="BE399" i="83"/>
  <c r="AP399" i="83"/>
  <c r="AH399" i="83"/>
  <c r="BN399" i="83" s="1"/>
  <c r="Z399" i="83"/>
  <c r="BM399" i="83" s="1"/>
  <c r="R399" i="83"/>
  <c r="J399" i="83"/>
  <c r="BK398" i="83"/>
  <c r="BE398" i="83"/>
  <c r="AP398" i="83"/>
  <c r="BI398" i="83" s="1"/>
  <c r="AH398" i="83"/>
  <c r="BH398" i="83" s="1"/>
  <c r="Z398" i="83"/>
  <c r="BM398" i="83" s="1"/>
  <c r="R398" i="83"/>
  <c r="J398" i="83"/>
  <c r="BK397" i="83"/>
  <c r="BE397" i="83"/>
  <c r="AP397" i="83"/>
  <c r="AH397" i="83"/>
  <c r="BN397" i="83" s="1"/>
  <c r="Z397" i="83"/>
  <c r="BM397" i="83" s="1"/>
  <c r="R397" i="83"/>
  <c r="BL397" i="83" s="1"/>
  <c r="J397" i="83"/>
  <c r="BK396" i="83"/>
  <c r="BE396" i="83"/>
  <c r="AP396" i="83"/>
  <c r="BI396" i="83" s="1"/>
  <c r="AH396" i="83"/>
  <c r="BH396" i="83" s="1"/>
  <c r="Z396" i="83"/>
  <c r="BM396" i="83" s="1"/>
  <c r="R396" i="83"/>
  <c r="J396" i="83"/>
  <c r="BK395" i="83"/>
  <c r="BE395" i="83"/>
  <c r="AP395" i="83"/>
  <c r="AH395" i="83"/>
  <c r="BN395" i="83" s="1"/>
  <c r="Z395" i="83"/>
  <c r="BM395" i="83" s="1"/>
  <c r="R395" i="83"/>
  <c r="BL395" i="83" s="1"/>
  <c r="J395" i="83"/>
  <c r="BK394" i="83"/>
  <c r="BE394" i="83"/>
  <c r="AP394" i="83"/>
  <c r="BO394" i="83" s="1"/>
  <c r="AH394" i="83"/>
  <c r="BH394" i="83" s="1"/>
  <c r="Z394" i="83"/>
  <c r="BM394" i="83" s="1"/>
  <c r="R394" i="83"/>
  <c r="J394" i="83"/>
  <c r="BK393" i="83"/>
  <c r="BE393" i="83"/>
  <c r="AP393" i="83"/>
  <c r="AH393" i="83"/>
  <c r="BN393" i="83" s="1"/>
  <c r="Z393" i="83"/>
  <c r="BM393" i="83" s="1"/>
  <c r="R393" i="83"/>
  <c r="BL393" i="83" s="1"/>
  <c r="J393" i="83"/>
  <c r="BK392" i="83"/>
  <c r="BE392" i="83"/>
  <c r="AP392" i="83"/>
  <c r="BO392" i="83" s="1"/>
  <c r="AH392" i="83"/>
  <c r="BH392" i="83" s="1"/>
  <c r="Z392" i="83"/>
  <c r="BM392" i="83" s="1"/>
  <c r="R392" i="83"/>
  <c r="J392" i="83"/>
  <c r="BK391" i="83"/>
  <c r="BE391" i="83"/>
  <c r="AP391" i="83"/>
  <c r="AH391" i="83"/>
  <c r="Z391" i="83"/>
  <c r="BM391" i="83" s="1"/>
  <c r="R391" i="83"/>
  <c r="BL391" i="83" s="1"/>
  <c r="J391" i="83"/>
  <c r="BK390" i="83"/>
  <c r="BE390" i="83"/>
  <c r="AP390" i="83"/>
  <c r="BO390" i="83" s="1"/>
  <c r="AH390" i="83"/>
  <c r="BH390" i="83" s="1"/>
  <c r="Z390" i="83"/>
  <c r="BM390" i="83" s="1"/>
  <c r="R390" i="83"/>
  <c r="J390" i="83"/>
  <c r="BK389" i="83"/>
  <c r="BE389" i="83"/>
  <c r="AP389" i="83"/>
  <c r="AH389" i="83"/>
  <c r="BH389" i="83" s="1"/>
  <c r="Z389" i="83"/>
  <c r="BM389" i="83" s="1"/>
  <c r="R389" i="83"/>
  <c r="BL389" i="83" s="1"/>
  <c r="J389" i="83"/>
  <c r="BK388" i="83"/>
  <c r="BE388" i="83"/>
  <c r="AP388" i="83"/>
  <c r="BO388" i="83" s="1"/>
  <c r="AH388" i="83"/>
  <c r="BH388" i="83" s="1"/>
  <c r="Z388" i="83"/>
  <c r="BM388" i="83" s="1"/>
  <c r="R388" i="83"/>
  <c r="J388" i="83"/>
  <c r="BK387" i="83"/>
  <c r="BE387" i="83"/>
  <c r="AP387" i="83"/>
  <c r="AH387" i="83"/>
  <c r="BH387" i="83" s="1"/>
  <c r="Z387" i="83"/>
  <c r="BM387" i="83" s="1"/>
  <c r="R387" i="83"/>
  <c r="J387" i="83"/>
  <c r="BK386" i="83"/>
  <c r="BE386" i="83"/>
  <c r="AP386" i="83"/>
  <c r="BO386" i="83" s="1"/>
  <c r="AH386" i="83"/>
  <c r="BH386" i="83" s="1"/>
  <c r="Z386" i="83"/>
  <c r="BM386" i="83" s="1"/>
  <c r="R386" i="83"/>
  <c r="J386" i="83"/>
  <c r="BK385" i="83"/>
  <c r="BE385" i="83"/>
  <c r="AP385" i="83"/>
  <c r="AH385" i="83"/>
  <c r="BN385" i="83" s="1"/>
  <c r="Z385" i="83"/>
  <c r="BM385" i="83" s="1"/>
  <c r="R385" i="83"/>
  <c r="BL385" i="83" s="1"/>
  <c r="J385" i="83"/>
  <c r="BK384" i="83"/>
  <c r="BE384" i="83"/>
  <c r="AP384" i="83"/>
  <c r="BI384" i="83" s="1"/>
  <c r="AH384" i="83"/>
  <c r="BH384" i="83" s="1"/>
  <c r="Z384" i="83"/>
  <c r="BM384" i="83" s="1"/>
  <c r="R384" i="83"/>
  <c r="J384" i="83"/>
  <c r="BK383" i="83"/>
  <c r="BE383" i="83"/>
  <c r="AP383" i="83"/>
  <c r="AH383" i="83"/>
  <c r="BN383" i="83" s="1"/>
  <c r="Z383" i="83"/>
  <c r="BM383" i="83" s="1"/>
  <c r="R383" i="83"/>
  <c r="J383" i="83"/>
  <c r="BK382" i="83"/>
  <c r="BE382" i="83"/>
  <c r="AP382" i="83"/>
  <c r="BI382" i="83" s="1"/>
  <c r="AH382" i="83"/>
  <c r="BH382" i="83" s="1"/>
  <c r="Z382" i="83"/>
  <c r="R382" i="83"/>
  <c r="J382" i="83"/>
  <c r="BK381" i="83"/>
  <c r="BE381" i="83"/>
  <c r="AP381" i="83"/>
  <c r="AH381" i="83"/>
  <c r="BN381" i="83" s="1"/>
  <c r="Z381" i="83"/>
  <c r="BG381" i="83" s="1"/>
  <c r="R381" i="83"/>
  <c r="BL381" i="83" s="1"/>
  <c r="J381" i="83"/>
  <c r="BK380" i="83"/>
  <c r="BE380" i="83"/>
  <c r="AP380" i="83"/>
  <c r="BO380" i="83" s="1"/>
  <c r="AH380" i="83"/>
  <c r="BH380" i="83" s="1"/>
  <c r="Z380" i="83"/>
  <c r="R380" i="83"/>
  <c r="J380" i="83"/>
  <c r="BK379" i="83"/>
  <c r="BE379" i="83"/>
  <c r="AP379" i="83"/>
  <c r="BO379" i="83" s="1"/>
  <c r="AH379" i="83"/>
  <c r="BN379" i="83" s="1"/>
  <c r="Z379" i="83"/>
  <c r="R379" i="83"/>
  <c r="BL379" i="83" s="1"/>
  <c r="J379" i="83"/>
  <c r="BK378" i="83"/>
  <c r="BE378" i="83"/>
  <c r="AP378" i="83"/>
  <c r="BO378" i="83" s="1"/>
  <c r="AH378" i="83"/>
  <c r="BN378" i="83" s="1"/>
  <c r="Z378" i="83"/>
  <c r="BG378" i="83" s="1"/>
  <c r="R378" i="83"/>
  <c r="J378" i="83"/>
  <c r="BK377" i="83"/>
  <c r="BE377" i="83"/>
  <c r="AP377" i="83"/>
  <c r="BI377" i="83" s="1"/>
  <c r="AH377" i="83"/>
  <c r="BN377" i="83" s="1"/>
  <c r="Z377" i="83"/>
  <c r="BG377" i="83" s="1"/>
  <c r="R377" i="83"/>
  <c r="BL377" i="83" s="1"/>
  <c r="J377" i="83"/>
  <c r="BK376" i="83"/>
  <c r="BE376" i="83"/>
  <c r="AP376" i="83"/>
  <c r="BI376" i="83" s="1"/>
  <c r="AH376" i="83"/>
  <c r="BN376" i="83" s="1"/>
  <c r="Z376" i="83"/>
  <c r="BG376" i="83" s="1"/>
  <c r="R376" i="83"/>
  <c r="J376" i="83"/>
  <c r="BK375" i="83"/>
  <c r="BE375" i="83"/>
  <c r="AP375" i="83"/>
  <c r="BO375" i="83" s="1"/>
  <c r="AH375" i="83"/>
  <c r="Z375" i="83"/>
  <c r="BG375" i="83" s="1"/>
  <c r="R375" i="83"/>
  <c r="BL375" i="83" s="1"/>
  <c r="J375" i="83"/>
  <c r="BK374" i="83"/>
  <c r="BE374" i="83"/>
  <c r="AP374" i="83"/>
  <c r="BI374" i="83" s="1"/>
  <c r="AH374" i="83"/>
  <c r="Z374" i="83"/>
  <c r="R374" i="83"/>
  <c r="BL374" i="83" s="1"/>
  <c r="J374" i="83"/>
  <c r="BK373" i="83"/>
  <c r="BE373" i="83"/>
  <c r="AP373" i="83"/>
  <c r="AH373" i="83"/>
  <c r="BN373" i="83" s="1"/>
  <c r="Z373" i="83"/>
  <c r="BG373" i="83" s="1"/>
  <c r="R373" i="83"/>
  <c r="BL373" i="83" s="1"/>
  <c r="J373" i="83"/>
  <c r="BK372" i="83"/>
  <c r="BE372" i="83"/>
  <c r="AP372" i="83"/>
  <c r="AH372" i="83"/>
  <c r="Z372" i="83"/>
  <c r="BG372" i="83" s="1"/>
  <c r="R372" i="83"/>
  <c r="J372" i="83"/>
  <c r="BK371" i="83"/>
  <c r="BE371" i="83"/>
  <c r="AP371" i="83"/>
  <c r="BI371" i="83" s="1"/>
  <c r="AH371" i="83"/>
  <c r="Z371" i="83"/>
  <c r="BG371" i="83" s="1"/>
  <c r="R371" i="83"/>
  <c r="J371" i="83"/>
  <c r="BK370" i="83"/>
  <c r="BE370" i="83"/>
  <c r="AP370" i="83"/>
  <c r="BI370" i="83" s="1"/>
  <c r="AH370" i="83"/>
  <c r="BN370" i="83" s="1"/>
  <c r="Z370" i="83"/>
  <c r="R370" i="83"/>
  <c r="BL370" i="83" s="1"/>
  <c r="J370" i="83"/>
  <c r="BK369" i="83"/>
  <c r="BE369" i="83"/>
  <c r="AP369" i="83"/>
  <c r="AH369" i="83"/>
  <c r="Z369" i="83"/>
  <c r="BG369" i="83" s="1"/>
  <c r="R369" i="83"/>
  <c r="BL369" i="83" s="1"/>
  <c r="J369" i="83"/>
  <c r="BK368" i="83"/>
  <c r="BE368" i="83"/>
  <c r="AP368" i="83"/>
  <c r="BO368" i="83" s="1"/>
  <c r="AH368" i="83"/>
  <c r="BN368" i="83" s="1"/>
  <c r="Z368" i="83"/>
  <c r="R368" i="83"/>
  <c r="BL368" i="83" s="1"/>
  <c r="J368" i="83"/>
  <c r="BK367" i="83"/>
  <c r="BE367" i="83"/>
  <c r="AP367" i="83"/>
  <c r="BI367" i="83" s="1"/>
  <c r="AH367" i="83"/>
  <c r="BH367" i="83" s="1"/>
  <c r="Z367" i="83"/>
  <c r="BG367" i="83" s="1"/>
  <c r="R367" i="83"/>
  <c r="BL367" i="83" s="1"/>
  <c r="J367" i="83"/>
  <c r="BK366" i="83"/>
  <c r="BE366" i="83"/>
  <c r="AP366" i="83"/>
  <c r="BO366" i="83" s="1"/>
  <c r="AH366" i="83"/>
  <c r="BH366" i="83" s="1"/>
  <c r="Z366" i="83"/>
  <c r="R366" i="83"/>
  <c r="BL366" i="83" s="1"/>
  <c r="J366" i="83"/>
  <c r="BK365" i="83"/>
  <c r="BE365" i="83"/>
  <c r="AP365" i="83"/>
  <c r="AH365" i="83"/>
  <c r="BH365" i="83" s="1"/>
  <c r="Z365" i="83"/>
  <c r="R365" i="83"/>
  <c r="BL365" i="83" s="1"/>
  <c r="J365" i="83"/>
  <c r="BK364" i="83"/>
  <c r="BE364" i="83"/>
  <c r="AP364" i="83"/>
  <c r="AH364" i="83"/>
  <c r="BN364" i="83" s="1"/>
  <c r="Z364" i="83"/>
  <c r="BG364" i="83" s="1"/>
  <c r="R364" i="83"/>
  <c r="J364" i="83"/>
  <c r="BK363" i="83"/>
  <c r="BE363" i="83"/>
  <c r="AP363" i="83"/>
  <c r="AH363" i="83"/>
  <c r="Z363" i="83"/>
  <c r="BG363" i="83" s="1"/>
  <c r="R363" i="83"/>
  <c r="BL363" i="83" s="1"/>
  <c r="J363" i="83"/>
  <c r="BK362" i="83"/>
  <c r="BE362" i="83"/>
  <c r="AP362" i="83"/>
  <c r="BI362" i="83" s="1"/>
  <c r="AH362" i="83"/>
  <c r="BN362" i="83" s="1"/>
  <c r="Z362" i="83"/>
  <c r="R362" i="83"/>
  <c r="BL362" i="83" s="1"/>
  <c r="J362" i="83"/>
  <c r="BK361" i="83"/>
  <c r="BE361" i="83"/>
  <c r="AP361" i="83"/>
  <c r="BO361" i="83" s="1"/>
  <c r="AH361" i="83"/>
  <c r="BN361" i="83" s="1"/>
  <c r="Z361" i="83"/>
  <c r="BG361" i="83" s="1"/>
  <c r="R361" i="83"/>
  <c r="BL361" i="83" s="1"/>
  <c r="J361" i="83"/>
  <c r="BK360" i="83"/>
  <c r="BE360" i="83"/>
  <c r="AP360" i="83"/>
  <c r="BO360" i="83" s="1"/>
  <c r="AH360" i="83"/>
  <c r="BH360" i="83" s="1"/>
  <c r="Z360" i="83"/>
  <c r="R360" i="83"/>
  <c r="BL360" i="83" s="1"/>
  <c r="J360" i="83"/>
  <c r="BK359" i="83"/>
  <c r="BE359" i="83"/>
  <c r="AP359" i="83"/>
  <c r="BI359" i="83" s="1"/>
  <c r="AH359" i="83"/>
  <c r="BH359" i="83" s="1"/>
  <c r="Z359" i="83"/>
  <c r="R359" i="83"/>
  <c r="BL359" i="83" s="1"/>
  <c r="J359" i="83"/>
  <c r="BK358" i="83"/>
  <c r="BE358" i="83"/>
  <c r="AP358" i="83"/>
  <c r="BO358" i="83" s="1"/>
  <c r="AH358" i="83"/>
  <c r="BN358" i="83" s="1"/>
  <c r="Z358" i="83"/>
  <c r="R358" i="83"/>
  <c r="BL358" i="83" s="1"/>
  <c r="J358" i="83"/>
  <c r="BK357" i="83"/>
  <c r="BE357" i="83"/>
  <c r="AP357" i="83"/>
  <c r="AH357" i="83"/>
  <c r="BN357" i="83" s="1"/>
  <c r="Z357" i="83"/>
  <c r="R357" i="83"/>
  <c r="BL357" i="83" s="1"/>
  <c r="J357" i="83"/>
  <c r="BK356" i="83"/>
  <c r="BE356" i="83"/>
  <c r="AP356" i="83"/>
  <c r="AH356" i="83"/>
  <c r="Z356" i="83"/>
  <c r="R356" i="83"/>
  <c r="BL356" i="83" s="1"/>
  <c r="J356" i="83"/>
  <c r="BK355" i="83"/>
  <c r="BE355" i="83"/>
  <c r="AP355" i="83"/>
  <c r="AH355" i="83"/>
  <c r="Z355" i="83"/>
  <c r="R355" i="83"/>
  <c r="BL355" i="83" s="1"/>
  <c r="J355" i="83"/>
  <c r="BK354" i="83"/>
  <c r="BE354" i="83"/>
  <c r="AP354" i="83"/>
  <c r="AH354" i="83"/>
  <c r="BH354" i="83" s="1"/>
  <c r="Z354" i="83"/>
  <c r="R354" i="83"/>
  <c r="J354" i="83"/>
  <c r="BK353" i="83"/>
  <c r="BE353" i="83"/>
  <c r="AP353" i="83"/>
  <c r="BI353" i="83" s="1"/>
  <c r="AH353" i="83"/>
  <c r="Z353" i="83"/>
  <c r="BG353" i="83" s="1"/>
  <c r="R353" i="83"/>
  <c r="J353" i="83"/>
  <c r="BK352" i="83"/>
  <c r="BE352" i="83"/>
  <c r="AP352" i="83"/>
  <c r="AH352" i="83"/>
  <c r="Z352" i="83"/>
  <c r="BG352" i="83" s="1"/>
  <c r="R352" i="83"/>
  <c r="BL352" i="83" s="1"/>
  <c r="J352" i="83"/>
  <c r="BK351" i="83"/>
  <c r="BE351" i="83"/>
  <c r="AP351" i="83"/>
  <c r="BI351" i="83" s="1"/>
  <c r="AH351" i="83"/>
  <c r="Z351" i="83"/>
  <c r="BG351" i="83" s="1"/>
  <c r="R351" i="83"/>
  <c r="BL351" i="83" s="1"/>
  <c r="J351" i="83"/>
  <c r="BK350" i="83"/>
  <c r="BE350" i="83"/>
  <c r="AP350" i="83"/>
  <c r="BI350" i="83" s="1"/>
  <c r="AH350" i="83"/>
  <c r="BH350" i="83" s="1"/>
  <c r="Z350" i="83"/>
  <c r="R350" i="83"/>
  <c r="BL350" i="83" s="1"/>
  <c r="J350" i="83"/>
  <c r="BK349" i="83"/>
  <c r="BE349" i="83"/>
  <c r="AP349" i="83"/>
  <c r="AH349" i="83"/>
  <c r="BH349" i="83" s="1"/>
  <c r="Z349" i="83"/>
  <c r="BG349" i="83" s="1"/>
  <c r="R349" i="83"/>
  <c r="BL349" i="83" s="1"/>
  <c r="J349" i="83"/>
  <c r="BK348" i="83"/>
  <c r="BE348" i="83"/>
  <c r="AP348" i="83"/>
  <c r="BI348" i="83" s="1"/>
  <c r="AH348" i="83"/>
  <c r="BH348" i="83" s="1"/>
  <c r="Z348" i="83"/>
  <c r="BG348" i="83" s="1"/>
  <c r="R348" i="83"/>
  <c r="BL348" i="83" s="1"/>
  <c r="J348" i="83"/>
  <c r="BK347" i="83"/>
  <c r="BE347" i="83"/>
  <c r="AP347" i="83"/>
  <c r="BI347" i="83" s="1"/>
  <c r="AH347" i="83"/>
  <c r="BH347" i="83" s="1"/>
  <c r="Z347" i="83"/>
  <c r="BG347" i="83" s="1"/>
  <c r="R347" i="83"/>
  <c r="BL347" i="83" s="1"/>
  <c r="J347" i="83"/>
  <c r="BK346" i="83"/>
  <c r="BE346" i="83"/>
  <c r="AP346" i="83"/>
  <c r="BI346" i="83" s="1"/>
  <c r="AH346" i="83"/>
  <c r="BH346" i="83" s="1"/>
  <c r="Z346" i="83"/>
  <c r="R346" i="83"/>
  <c r="BL346" i="83" s="1"/>
  <c r="J346" i="83"/>
  <c r="BK345" i="83"/>
  <c r="BE345" i="83"/>
  <c r="AP345" i="83"/>
  <c r="BI345" i="83" s="1"/>
  <c r="AH345" i="83"/>
  <c r="BH345" i="83" s="1"/>
  <c r="Z345" i="83"/>
  <c r="BG345" i="83" s="1"/>
  <c r="R345" i="83"/>
  <c r="BL345" i="83" s="1"/>
  <c r="J345" i="83"/>
  <c r="BK344" i="83"/>
  <c r="BE344" i="83"/>
  <c r="AP344" i="83"/>
  <c r="BI344" i="83" s="1"/>
  <c r="AH344" i="83"/>
  <c r="BH344" i="83" s="1"/>
  <c r="Z344" i="83"/>
  <c r="R344" i="83"/>
  <c r="BF344" i="83" s="1"/>
  <c r="J344" i="83"/>
  <c r="BK343" i="83"/>
  <c r="BE343" i="83"/>
  <c r="AP343" i="83"/>
  <c r="BI343" i="83" s="1"/>
  <c r="AH343" i="83"/>
  <c r="BH343" i="83" s="1"/>
  <c r="Z343" i="83"/>
  <c r="R343" i="83"/>
  <c r="BL343" i="83" s="1"/>
  <c r="J343" i="83"/>
  <c r="BK342" i="83"/>
  <c r="BE342" i="83"/>
  <c r="AP342" i="83"/>
  <c r="BI342" i="83" s="1"/>
  <c r="AH342" i="83"/>
  <c r="BH342" i="83" s="1"/>
  <c r="Z342" i="83"/>
  <c r="R342" i="83"/>
  <c r="BF342" i="83" s="1"/>
  <c r="J342" i="83"/>
  <c r="BK341" i="83"/>
  <c r="BE341" i="83"/>
  <c r="AP341" i="83"/>
  <c r="BI341" i="83" s="1"/>
  <c r="AH341" i="83"/>
  <c r="BH341" i="83" s="1"/>
  <c r="Z341" i="83"/>
  <c r="BG341" i="83" s="1"/>
  <c r="R341" i="83"/>
  <c r="BL341" i="83" s="1"/>
  <c r="J341" i="83"/>
  <c r="BK340" i="83"/>
  <c r="BE340" i="83"/>
  <c r="AP340" i="83"/>
  <c r="BI340" i="83" s="1"/>
  <c r="AH340" i="83"/>
  <c r="BH340" i="83" s="1"/>
  <c r="Z340" i="83"/>
  <c r="R340" i="83"/>
  <c r="BL340" i="83" s="1"/>
  <c r="J340" i="83"/>
  <c r="BK339" i="83"/>
  <c r="BE339" i="83"/>
  <c r="AP339" i="83"/>
  <c r="BI339" i="83" s="1"/>
  <c r="AH339" i="83"/>
  <c r="BH339" i="83" s="1"/>
  <c r="Z339" i="83"/>
  <c r="BG339" i="83" s="1"/>
  <c r="R339" i="83"/>
  <c r="BL339" i="83" s="1"/>
  <c r="J339" i="83"/>
  <c r="BK338" i="83"/>
  <c r="BE338" i="83"/>
  <c r="AP338" i="83"/>
  <c r="BI338" i="83" s="1"/>
  <c r="AH338" i="83"/>
  <c r="BH338" i="83" s="1"/>
  <c r="Z338" i="83"/>
  <c r="R338" i="83"/>
  <c r="BL338" i="83" s="1"/>
  <c r="J338" i="83"/>
  <c r="BK337" i="83"/>
  <c r="BE337" i="83"/>
  <c r="AP337" i="83"/>
  <c r="BI337" i="83" s="1"/>
  <c r="AH337" i="83"/>
  <c r="BH337" i="83" s="1"/>
  <c r="Z337" i="83"/>
  <c r="R337" i="83"/>
  <c r="BL337" i="83" s="1"/>
  <c r="J337" i="83"/>
  <c r="BK336" i="83"/>
  <c r="BE336" i="83"/>
  <c r="AP336" i="83"/>
  <c r="BI336" i="83" s="1"/>
  <c r="AH336" i="83"/>
  <c r="BH336" i="83" s="1"/>
  <c r="Z336" i="83"/>
  <c r="R336" i="83"/>
  <c r="BF336" i="83" s="1"/>
  <c r="J336" i="83"/>
  <c r="BK335" i="83"/>
  <c r="BE335" i="83"/>
  <c r="AP335" i="83"/>
  <c r="BI335" i="83" s="1"/>
  <c r="AH335" i="83"/>
  <c r="BH335" i="83" s="1"/>
  <c r="Z335" i="83"/>
  <c r="BG335" i="83" s="1"/>
  <c r="R335" i="83"/>
  <c r="BL335" i="83" s="1"/>
  <c r="J335" i="83"/>
  <c r="BK334" i="83"/>
  <c r="BE334" i="83"/>
  <c r="AP334" i="83"/>
  <c r="BI334" i="83" s="1"/>
  <c r="AH334" i="83"/>
  <c r="BH334" i="83" s="1"/>
  <c r="Z334" i="83"/>
  <c r="BG334" i="83" s="1"/>
  <c r="R334" i="83"/>
  <c r="BL334" i="83" s="1"/>
  <c r="J334" i="83"/>
  <c r="BK333" i="83"/>
  <c r="BE333" i="83"/>
  <c r="AP333" i="83"/>
  <c r="BI333" i="83" s="1"/>
  <c r="AH333" i="83"/>
  <c r="BH333" i="83" s="1"/>
  <c r="Z333" i="83"/>
  <c r="BG333" i="83" s="1"/>
  <c r="R333" i="83"/>
  <c r="BF333" i="83" s="1"/>
  <c r="J333" i="83"/>
  <c r="BK332" i="83"/>
  <c r="BE332" i="83"/>
  <c r="AP332" i="83"/>
  <c r="BI332" i="83" s="1"/>
  <c r="AH332" i="83"/>
  <c r="BH332" i="83" s="1"/>
  <c r="Z332" i="83"/>
  <c r="BG332" i="83" s="1"/>
  <c r="R332" i="83"/>
  <c r="J332" i="83"/>
  <c r="BK331" i="83"/>
  <c r="BE331" i="83"/>
  <c r="AP331" i="83"/>
  <c r="BI331" i="83" s="1"/>
  <c r="AH331" i="83"/>
  <c r="BH331" i="83" s="1"/>
  <c r="Z331" i="83"/>
  <c r="BG331" i="83" s="1"/>
  <c r="R331" i="83"/>
  <c r="BL331" i="83" s="1"/>
  <c r="J331" i="83"/>
  <c r="BK330" i="83"/>
  <c r="BE330" i="83"/>
  <c r="AP330" i="83"/>
  <c r="BI330" i="83" s="1"/>
  <c r="AH330" i="83"/>
  <c r="BH330" i="83" s="1"/>
  <c r="Z330" i="83"/>
  <c r="BG330" i="83" s="1"/>
  <c r="R330" i="83"/>
  <c r="BF330" i="83" s="1"/>
  <c r="J330" i="83"/>
  <c r="BK329" i="83"/>
  <c r="BE329" i="83"/>
  <c r="AP329" i="83"/>
  <c r="AH329" i="83"/>
  <c r="BH329" i="83" s="1"/>
  <c r="Z329" i="83"/>
  <c r="BG329" i="83" s="1"/>
  <c r="R329" i="83"/>
  <c r="BL329" i="83" s="1"/>
  <c r="J329" i="83"/>
  <c r="BK328" i="83"/>
  <c r="BE328" i="83"/>
  <c r="AP328" i="83"/>
  <c r="BI328" i="83" s="1"/>
  <c r="AH328" i="83"/>
  <c r="BH328" i="83" s="1"/>
  <c r="Z328" i="83"/>
  <c r="BG328" i="83" s="1"/>
  <c r="R328" i="83"/>
  <c r="BF328" i="83" s="1"/>
  <c r="J328" i="83"/>
  <c r="BK327" i="83"/>
  <c r="BE327" i="83"/>
  <c r="AP327" i="83"/>
  <c r="AH327" i="83"/>
  <c r="BH327" i="83" s="1"/>
  <c r="Z327" i="83"/>
  <c r="BG327" i="83" s="1"/>
  <c r="R327" i="83"/>
  <c r="BL327" i="83" s="1"/>
  <c r="J327" i="83"/>
  <c r="BK326" i="83"/>
  <c r="BE326" i="83"/>
  <c r="AP326" i="83"/>
  <c r="BI326" i="83" s="1"/>
  <c r="AH326" i="83"/>
  <c r="BH326" i="83" s="1"/>
  <c r="Z326" i="83"/>
  <c r="BG326" i="83" s="1"/>
  <c r="R326" i="83"/>
  <c r="BL326" i="83" s="1"/>
  <c r="J326" i="83"/>
  <c r="BK325" i="83"/>
  <c r="BE325" i="83"/>
  <c r="AP325" i="83"/>
  <c r="BI325" i="83" s="1"/>
  <c r="AH325" i="83"/>
  <c r="Z325" i="83"/>
  <c r="BG325" i="83" s="1"/>
  <c r="R325" i="83"/>
  <c r="BF325" i="83" s="1"/>
  <c r="J325" i="83"/>
  <c r="BK324" i="83"/>
  <c r="BE324" i="83"/>
  <c r="AP324" i="83"/>
  <c r="BI324" i="83" s="1"/>
  <c r="AH324" i="83"/>
  <c r="BH324" i="83" s="1"/>
  <c r="Z324" i="83"/>
  <c r="BG324" i="83" s="1"/>
  <c r="R324" i="83"/>
  <c r="BL324" i="83" s="1"/>
  <c r="J324" i="83"/>
  <c r="BK323" i="83"/>
  <c r="BE323" i="83"/>
  <c r="AP323" i="83"/>
  <c r="BI323" i="83" s="1"/>
  <c r="AH323" i="83"/>
  <c r="BH323" i="83" s="1"/>
  <c r="Z323" i="83"/>
  <c r="BG323" i="83" s="1"/>
  <c r="R323" i="83"/>
  <c r="BL323" i="83" s="1"/>
  <c r="J323" i="83"/>
  <c r="BK322" i="83"/>
  <c r="BE322" i="83"/>
  <c r="AP322" i="83"/>
  <c r="BI322" i="83" s="1"/>
  <c r="AH322" i="83"/>
  <c r="BH322" i="83" s="1"/>
  <c r="Z322" i="83"/>
  <c r="BG322" i="83" s="1"/>
  <c r="R322" i="83"/>
  <c r="BF322" i="83" s="1"/>
  <c r="J322" i="83"/>
  <c r="BK321" i="83"/>
  <c r="BE321" i="83"/>
  <c r="AP321" i="83"/>
  <c r="BI321" i="83" s="1"/>
  <c r="AH321" i="83"/>
  <c r="BH321" i="83" s="1"/>
  <c r="Z321" i="83"/>
  <c r="BG321" i="83" s="1"/>
  <c r="R321" i="83"/>
  <c r="J321" i="83"/>
  <c r="BK320" i="83"/>
  <c r="BE320" i="83"/>
  <c r="AP320" i="83"/>
  <c r="AH320" i="83"/>
  <c r="BH320" i="83" s="1"/>
  <c r="Z320" i="83"/>
  <c r="BG320" i="83" s="1"/>
  <c r="R320" i="83"/>
  <c r="BL320" i="83" s="1"/>
  <c r="J320" i="83"/>
  <c r="BK319" i="83"/>
  <c r="BE319" i="83"/>
  <c r="AP319" i="83"/>
  <c r="BI319" i="83" s="1"/>
  <c r="AH319" i="83"/>
  <c r="BH319" i="83" s="1"/>
  <c r="Z319" i="83"/>
  <c r="BG319" i="83" s="1"/>
  <c r="R319" i="83"/>
  <c r="BL319" i="83" s="1"/>
  <c r="J319" i="83"/>
  <c r="BK318" i="83"/>
  <c r="BE318" i="83"/>
  <c r="AP318" i="83"/>
  <c r="BI318" i="83" s="1"/>
  <c r="AH318" i="83"/>
  <c r="BH318" i="83" s="1"/>
  <c r="Z318" i="83"/>
  <c r="R318" i="83"/>
  <c r="BF318" i="83" s="1"/>
  <c r="J318" i="83"/>
  <c r="BK317" i="83"/>
  <c r="BE317" i="83"/>
  <c r="AP317" i="83"/>
  <c r="AH317" i="83"/>
  <c r="BH317" i="83" s="1"/>
  <c r="Z317" i="83"/>
  <c r="BG317" i="83" s="1"/>
  <c r="R317" i="83"/>
  <c r="BL317" i="83" s="1"/>
  <c r="J317" i="83"/>
  <c r="BK316" i="83"/>
  <c r="BE316" i="83"/>
  <c r="AP316" i="83"/>
  <c r="BI316" i="83" s="1"/>
  <c r="AH316" i="83"/>
  <c r="Z316" i="83"/>
  <c r="BG316" i="83" s="1"/>
  <c r="R316" i="83"/>
  <c r="BL316" i="83" s="1"/>
  <c r="J316" i="83"/>
  <c r="BK315" i="83"/>
  <c r="BE315" i="83"/>
  <c r="AP315" i="83"/>
  <c r="BI315" i="83" s="1"/>
  <c r="AH315" i="83"/>
  <c r="BH315" i="83" s="1"/>
  <c r="Z315" i="83"/>
  <c r="R315" i="83"/>
  <c r="BL315" i="83" s="1"/>
  <c r="J315" i="83"/>
  <c r="BK314" i="83"/>
  <c r="BE314" i="83"/>
  <c r="AP314" i="83"/>
  <c r="BI314" i="83" s="1"/>
  <c r="AH314" i="83"/>
  <c r="BH314" i="83" s="1"/>
  <c r="Z314" i="83"/>
  <c r="BM314" i="83" s="1"/>
  <c r="R314" i="83"/>
  <c r="BL314" i="83" s="1"/>
  <c r="J314" i="83"/>
  <c r="BK313" i="83"/>
  <c r="BE313" i="83"/>
  <c r="AP313" i="83"/>
  <c r="BI313" i="83" s="1"/>
  <c r="AH313" i="83"/>
  <c r="BH313" i="83" s="1"/>
  <c r="Z313" i="83"/>
  <c r="BG313" i="83" s="1"/>
  <c r="R313" i="83"/>
  <c r="BL313" i="83" s="1"/>
  <c r="J313" i="83"/>
  <c r="BK312" i="83"/>
  <c r="BE312" i="83"/>
  <c r="AP312" i="83"/>
  <c r="BI312" i="83" s="1"/>
  <c r="AH312" i="83"/>
  <c r="BH312" i="83" s="1"/>
  <c r="Z312" i="83"/>
  <c r="BM312" i="83" s="1"/>
  <c r="R312" i="83"/>
  <c r="BL312" i="83" s="1"/>
  <c r="J312" i="83"/>
  <c r="BK311" i="83"/>
  <c r="BE311" i="83"/>
  <c r="AP311" i="83"/>
  <c r="BI311" i="83" s="1"/>
  <c r="AH311" i="83"/>
  <c r="BH311" i="83" s="1"/>
  <c r="Z311" i="83"/>
  <c r="BG311" i="83" s="1"/>
  <c r="R311" i="83"/>
  <c r="BL311" i="83" s="1"/>
  <c r="J311" i="83"/>
  <c r="BK310" i="83"/>
  <c r="BE310" i="83"/>
  <c r="AP310" i="83"/>
  <c r="BI310" i="83" s="1"/>
  <c r="AH310" i="83"/>
  <c r="Z310" i="83"/>
  <c r="BG310" i="83" s="1"/>
  <c r="R310" i="83"/>
  <c r="BL310" i="83" s="1"/>
  <c r="J310" i="83"/>
  <c r="BK309" i="83"/>
  <c r="BE309" i="83"/>
  <c r="AP309" i="83"/>
  <c r="BI309" i="83" s="1"/>
  <c r="AH309" i="83"/>
  <c r="BN309" i="83" s="1"/>
  <c r="Z309" i="83"/>
  <c r="BG309" i="83" s="1"/>
  <c r="R309" i="83"/>
  <c r="BL309" i="83" s="1"/>
  <c r="J309" i="83"/>
  <c r="BK308" i="83"/>
  <c r="BE308" i="83"/>
  <c r="AP308" i="83"/>
  <c r="BI308" i="83" s="1"/>
  <c r="AH308" i="83"/>
  <c r="BN308" i="83" s="1"/>
  <c r="Z308" i="83"/>
  <c r="BM308" i="83" s="1"/>
  <c r="R308" i="83"/>
  <c r="BL308" i="83" s="1"/>
  <c r="J308" i="83"/>
  <c r="BK307" i="83"/>
  <c r="BE307" i="83"/>
  <c r="AP307" i="83"/>
  <c r="AH307" i="83"/>
  <c r="BN307" i="83" s="1"/>
  <c r="Z307" i="83"/>
  <c r="BG307" i="83" s="1"/>
  <c r="R307" i="83"/>
  <c r="BL307" i="83" s="1"/>
  <c r="J307" i="83"/>
  <c r="BK306" i="83"/>
  <c r="BE306" i="83"/>
  <c r="AP306" i="83"/>
  <c r="BI306" i="83" s="1"/>
  <c r="AH306" i="83"/>
  <c r="BH306" i="83" s="1"/>
  <c r="Z306" i="83"/>
  <c r="BG306" i="83" s="1"/>
  <c r="R306" i="83"/>
  <c r="BL306" i="83" s="1"/>
  <c r="J306" i="83"/>
  <c r="BK305" i="83"/>
  <c r="BE305" i="83"/>
  <c r="AP305" i="83"/>
  <c r="BI305" i="83" s="1"/>
  <c r="AH305" i="83"/>
  <c r="BN305" i="83" s="1"/>
  <c r="Z305" i="83"/>
  <c r="BG305" i="83" s="1"/>
  <c r="R305" i="83"/>
  <c r="J305" i="83"/>
  <c r="BK304" i="83"/>
  <c r="BE304" i="83"/>
  <c r="AP304" i="83"/>
  <c r="AH304" i="83"/>
  <c r="BH304" i="83" s="1"/>
  <c r="Z304" i="83"/>
  <c r="BG304" i="83" s="1"/>
  <c r="R304" i="83"/>
  <c r="BL304" i="83" s="1"/>
  <c r="J304" i="83"/>
  <c r="BK303" i="83"/>
  <c r="BE303" i="83"/>
  <c r="AP303" i="83"/>
  <c r="BI303" i="83" s="1"/>
  <c r="AH303" i="83"/>
  <c r="BN303" i="83" s="1"/>
  <c r="Z303" i="83"/>
  <c r="R303" i="83"/>
  <c r="BL303" i="83" s="1"/>
  <c r="J303" i="83"/>
  <c r="BK302" i="83"/>
  <c r="BE302" i="83"/>
  <c r="AP302" i="83"/>
  <c r="BI302" i="83" s="1"/>
  <c r="AH302" i="83"/>
  <c r="Z302" i="83"/>
  <c r="BG302" i="83" s="1"/>
  <c r="R302" i="83"/>
  <c r="BL302" i="83" s="1"/>
  <c r="J302" i="83"/>
  <c r="BK301" i="83"/>
  <c r="BE301" i="83"/>
  <c r="AP301" i="83"/>
  <c r="BI301" i="83" s="1"/>
  <c r="AH301" i="83"/>
  <c r="BH301" i="83" s="1"/>
  <c r="Z301" i="83"/>
  <c r="R301" i="83"/>
  <c r="BL301" i="83" s="1"/>
  <c r="J301" i="83"/>
  <c r="BK300" i="83"/>
  <c r="BE300" i="83"/>
  <c r="AP300" i="83"/>
  <c r="BO300" i="83" s="1"/>
  <c r="AH300" i="83"/>
  <c r="BH300" i="83" s="1"/>
  <c r="Z300" i="83"/>
  <c r="BM300" i="83" s="1"/>
  <c r="R300" i="83"/>
  <c r="BF300" i="83" s="1"/>
  <c r="J300" i="83"/>
  <c r="BK299" i="83"/>
  <c r="BE299" i="83"/>
  <c r="AP299" i="83"/>
  <c r="BO299" i="83" s="1"/>
  <c r="AH299" i="83"/>
  <c r="BN299" i="83" s="1"/>
  <c r="Z299" i="83"/>
  <c r="BM299" i="83" s="1"/>
  <c r="R299" i="83"/>
  <c r="BF299" i="83" s="1"/>
  <c r="J299" i="83"/>
  <c r="BK298" i="83"/>
  <c r="BE298" i="83"/>
  <c r="AP298" i="83"/>
  <c r="BO298" i="83" s="1"/>
  <c r="AH298" i="83"/>
  <c r="BN298" i="83" s="1"/>
  <c r="Z298" i="83"/>
  <c r="BM298" i="83" s="1"/>
  <c r="R298" i="83"/>
  <c r="BF298" i="83" s="1"/>
  <c r="J298" i="83"/>
  <c r="BK297" i="83"/>
  <c r="BE297" i="83"/>
  <c r="AP297" i="83"/>
  <c r="AH297" i="83"/>
  <c r="BH297" i="83" s="1"/>
  <c r="Z297" i="83"/>
  <c r="BM297" i="83" s="1"/>
  <c r="R297" i="83"/>
  <c r="BF297" i="83" s="1"/>
  <c r="J297" i="83"/>
  <c r="BK296" i="83"/>
  <c r="BE296" i="83"/>
  <c r="AP296" i="83"/>
  <c r="BO296" i="83" s="1"/>
  <c r="AH296" i="83"/>
  <c r="BN296" i="83" s="1"/>
  <c r="Z296" i="83"/>
  <c r="BM296" i="83" s="1"/>
  <c r="R296" i="83"/>
  <c r="BF296" i="83" s="1"/>
  <c r="J296" i="83"/>
  <c r="BK295" i="83"/>
  <c r="BE295" i="83"/>
  <c r="AP295" i="83"/>
  <c r="BO295" i="83" s="1"/>
  <c r="AH295" i="83"/>
  <c r="BH295" i="83" s="1"/>
  <c r="Z295" i="83"/>
  <c r="R295" i="83"/>
  <c r="BF295" i="83" s="1"/>
  <c r="J295" i="83"/>
  <c r="BK294" i="83"/>
  <c r="BE294" i="83"/>
  <c r="AP294" i="83"/>
  <c r="BO294" i="83" s="1"/>
  <c r="AH294" i="83"/>
  <c r="BN294" i="83" s="1"/>
  <c r="Z294" i="83"/>
  <c r="BM294" i="83" s="1"/>
  <c r="R294" i="83"/>
  <c r="BF294" i="83" s="1"/>
  <c r="J294" i="83"/>
  <c r="BK293" i="83"/>
  <c r="BE293" i="83"/>
  <c r="AP293" i="83"/>
  <c r="BO293" i="83" s="1"/>
  <c r="AH293" i="83"/>
  <c r="BN293" i="83" s="1"/>
  <c r="Z293" i="83"/>
  <c r="R293" i="83"/>
  <c r="BF293" i="83" s="1"/>
  <c r="J293" i="83"/>
  <c r="BK292" i="83"/>
  <c r="BE292" i="83"/>
  <c r="AP292" i="83"/>
  <c r="BO292" i="83" s="1"/>
  <c r="AH292" i="83"/>
  <c r="BN292" i="83" s="1"/>
  <c r="Z292" i="83"/>
  <c r="BM292" i="83" s="1"/>
  <c r="R292" i="83"/>
  <c r="BF292" i="83" s="1"/>
  <c r="J292" i="83"/>
  <c r="BK291" i="83"/>
  <c r="BE291" i="83"/>
  <c r="AP291" i="83"/>
  <c r="BO291" i="83" s="1"/>
  <c r="AH291" i="83"/>
  <c r="BN291" i="83" s="1"/>
  <c r="Z291" i="83"/>
  <c r="R291" i="83"/>
  <c r="BF291" i="83" s="1"/>
  <c r="J291" i="83"/>
  <c r="BK290" i="83"/>
  <c r="BE290" i="83"/>
  <c r="AP290" i="83"/>
  <c r="BO290" i="83" s="1"/>
  <c r="AH290" i="83"/>
  <c r="BN290" i="83" s="1"/>
  <c r="Z290" i="83"/>
  <c r="BM290" i="83" s="1"/>
  <c r="R290" i="83"/>
  <c r="BF290" i="83" s="1"/>
  <c r="J290" i="83"/>
  <c r="BK289" i="83"/>
  <c r="BE289" i="83"/>
  <c r="AP289" i="83"/>
  <c r="BO289" i="83" s="1"/>
  <c r="AH289" i="83"/>
  <c r="BN289" i="83" s="1"/>
  <c r="Z289" i="83"/>
  <c r="BM289" i="83" s="1"/>
  <c r="R289" i="83"/>
  <c r="BF289" i="83" s="1"/>
  <c r="J289" i="83"/>
  <c r="BK288" i="83"/>
  <c r="BE288" i="83"/>
  <c r="AP288" i="83"/>
  <c r="BO288" i="83" s="1"/>
  <c r="AH288" i="83"/>
  <c r="BH288" i="83" s="1"/>
  <c r="Z288" i="83"/>
  <c r="BM288" i="83" s="1"/>
  <c r="R288" i="83"/>
  <c r="BF288" i="83" s="1"/>
  <c r="J288" i="83"/>
  <c r="BK287" i="83"/>
  <c r="BE287" i="83"/>
  <c r="AP287" i="83"/>
  <c r="BO287" i="83" s="1"/>
  <c r="AH287" i="83"/>
  <c r="BN287" i="83" s="1"/>
  <c r="Z287" i="83"/>
  <c r="BM287" i="83" s="1"/>
  <c r="R287" i="83"/>
  <c r="J287" i="83"/>
  <c r="BK286" i="83"/>
  <c r="BE286" i="83"/>
  <c r="AP286" i="83"/>
  <c r="BO286" i="83" s="1"/>
  <c r="AH286" i="83"/>
  <c r="BH286" i="83" s="1"/>
  <c r="Z286" i="83"/>
  <c r="BM286" i="83" s="1"/>
  <c r="R286" i="83"/>
  <c r="BF286" i="83" s="1"/>
  <c r="J286" i="83"/>
  <c r="BK285" i="83"/>
  <c r="BE285" i="83"/>
  <c r="AP285" i="83"/>
  <c r="BO285" i="83" s="1"/>
  <c r="AH285" i="83"/>
  <c r="BN285" i="83" s="1"/>
  <c r="Z285" i="83"/>
  <c r="BM285" i="83" s="1"/>
  <c r="R285" i="83"/>
  <c r="BF285" i="83" s="1"/>
  <c r="J285" i="83"/>
  <c r="BK284" i="83"/>
  <c r="BE284" i="83"/>
  <c r="AP284" i="83"/>
  <c r="AH284" i="83"/>
  <c r="BH284" i="83" s="1"/>
  <c r="Z284" i="83"/>
  <c r="BM284" i="83" s="1"/>
  <c r="R284" i="83"/>
  <c r="BF284" i="83" s="1"/>
  <c r="J284" i="83"/>
  <c r="BK283" i="83"/>
  <c r="BE283" i="83"/>
  <c r="AP283" i="83"/>
  <c r="BO283" i="83" s="1"/>
  <c r="AH283" i="83"/>
  <c r="BN283" i="83" s="1"/>
  <c r="Z283" i="83"/>
  <c r="BM283" i="83" s="1"/>
  <c r="R283" i="83"/>
  <c r="BF283" i="83" s="1"/>
  <c r="J283" i="83"/>
  <c r="BK282" i="83"/>
  <c r="BE282" i="83"/>
  <c r="AP282" i="83"/>
  <c r="AH282" i="83"/>
  <c r="BH282" i="83" s="1"/>
  <c r="Z282" i="83"/>
  <c r="R282" i="83"/>
  <c r="J282" i="83"/>
  <c r="BK281" i="83"/>
  <c r="BE281" i="83"/>
  <c r="AP281" i="83"/>
  <c r="AH281" i="83"/>
  <c r="BN281" i="83" s="1"/>
  <c r="Z281" i="83"/>
  <c r="BM281" i="83" s="1"/>
  <c r="R281" i="83"/>
  <c r="BF281" i="83" s="1"/>
  <c r="J281" i="83"/>
  <c r="BK280" i="83"/>
  <c r="BE280" i="83"/>
  <c r="AP280" i="83"/>
  <c r="BO280" i="83" s="1"/>
  <c r="AH280" i="83"/>
  <c r="BN280" i="83" s="1"/>
  <c r="Z280" i="83"/>
  <c r="BM280" i="83" s="1"/>
  <c r="R280" i="83"/>
  <c r="BF280" i="83" s="1"/>
  <c r="J280" i="83"/>
  <c r="BK279" i="83"/>
  <c r="BE279" i="83"/>
  <c r="AP279" i="83"/>
  <c r="BO279" i="83" s="1"/>
  <c r="AH279" i="83"/>
  <c r="BH279" i="83" s="1"/>
  <c r="Z279" i="83"/>
  <c r="BM279" i="83" s="1"/>
  <c r="R279" i="83"/>
  <c r="BF279" i="83" s="1"/>
  <c r="J279" i="83"/>
  <c r="BK278" i="83"/>
  <c r="BE278" i="83"/>
  <c r="AP278" i="83"/>
  <c r="BO278" i="83" s="1"/>
  <c r="AH278" i="83"/>
  <c r="BH278" i="83" s="1"/>
  <c r="Z278" i="83"/>
  <c r="R278" i="83"/>
  <c r="BF278" i="83" s="1"/>
  <c r="J278" i="83"/>
  <c r="BK277" i="83"/>
  <c r="BE277" i="83"/>
  <c r="AP277" i="83"/>
  <c r="AH277" i="83"/>
  <c r="BH277" i="83" s="1"/>
  <c r="Z277" i="83"/>
  <c r="BM277" i="83" s="1"/>
  <c r="R277" i="83"/>
  <c r="BF277" i="83" s="1"/>
  <c r="J277" i="83"/>
  <c r="BK276" i="83"/>
  <c r="BE276" i="83"/>
  <c r="AP276" i="83"/>
  <c r="BO276" i="83" s="1"/>
  <c r="AH276" i="83"/>
  <c r="BN276" i="83" s="1"/>
  <c r="Z276" i="83"/>
  <c r="BM276" i="83" s="1"/>
  <c r="R276" i="83"/>
  <c r="BF276" i="83" s="1"/>
  <c r="J276" i="83"/>
  <c r="BK275" i="83"/>
  <c r="BE275" i="83"/>
  <c r="AP275" i="83"/>
  <c r="BO275" i="83" s="1"/>
  <c r="AH275" i="83"/>
  <c r="Z275" i="83"/>
  <c r="BM275" i="83" s="1"/>
  <c r="R275" i="83"/>
  <c r="BF275" i="83" s="1"/>
  <c r="J275" i="83"/>
  <c r="BK274" i="83"/>
  <c r="BE274" i="83"/>
  <c r="AP274" i="83"/>
  <c r="AH274" i="83"/>
  <c r="BN274" i="83" s="1"/>
  <c r="Z274" i="83"/>
  <c r="R274" i="83"/>
  <c r="J274" i="83"/>
  <c r="BK273" i="83"/>
  <c r="BE273" i="83"/>
  <c r="AP273" i="83"/>
  <c r="AH273" i="83"/>
  <c r="BN273" i="83" s="1"/>
  <c r="Z273" i="83"/>
  <c r="BM273" i="83" s="1"/>
  <c r="R273" i="83"/>
  <c r="BF273" i="83" s="1"/>
  <c r="J273" i="83"/>
  <c r="BK272" i="83"/>
  <c r="BE272" i="83"/>
  <c r="AP272" i="83"/>
  <c r="BO272" i="83" s="1"/>
  <c r="AH272" i="83"/>
  <c r="BN272" i="83" s="1"/>
  <c r="Z272" i="83"/>
  <c r="BM272" i="83" s="1"/>
  <c r="R272" i="83"/>
  <c r="BF272" i="83" s="1"/>
  <c r="J272" i="83"/>
  <c r="BK271" i="83"/>
  <c r="BE271" i="83"/>
  <c r="AP271" i="83"/>
  <c r="BO271" i="83" s="1"/>
  <c r="AH271" i="83"/>
  <c r="BN271" i="83" s="1"/>
  <c r="Z271" i="83"/>
  <c r="BM271" i="83" s="1"/>
  <c r="R271" i="83"/>
  <c r="BF271" i="83" s="1"/>
  <c r="J271" i="83"/>
  <c r="BK270" i="83"/>
  <c r="BE270" i="83"/>
  <c r="AP270" i="83"/>
  <c r="BO270" i="83" s="1"/>
  <c r="AH270" i="83"/>
  <c r="BN270" i="83" s="1"/>
  <c r="Z270" i="83"/>
  <c r="BM270" i="83" s="1"/>
  <c r="R270" i="83"/>
  <c r="BF270" i="83" s="1"/>
  <c r="J270" i="83"/>
  <c r="BK269" i="83"/>
  <c r="BE269" i="83"/>
  <c r="AP269" i="83"/>
  <c r="AH269" i="83"/>
  <c r="BN269" i="83" s="1"/>
  <c r="Z269" i="83"/>
  <c r="BM269" i="83" s="1"/>
  <c r="R269" i="83"/>
  <c r="BF269" i="83" s="1"/>
  <c r="J269" i="83"/>
  <c r="BK268" i="83"/>
  <c r="BE268" i="83"/>
  <c r="AP268" i="83"/>
  <c r="BO268" i="83" s="1"/>
  <c r="AH268" i="83"/>
  <c r="BN268" i="83" s="1"/>
  <c r="Z268" i="83"/>
  <c r="BM268" i="83" s="1"/>
  <c r="R268" i="83"/>
  <c r="BF268" i="83" s="1"/>
  <c r="J268" i="83"/>
  <c r="BK267" i="83"/>
  <c r="BE267" i="83"/>
  <c r="AP267" i="83"/>
  <c r="BO267" i="83" s="1"/>
  <c r="AH267" i="83"/>
  <c r="Z267" i="83"/>
  <c r="BM267" i="83" s="1"/>
  <c r="R267" i="83"/>
  <c r="BF267" i="83" s="1"/>
  <c r="J267" i="83"/>
  <c r="BK266" i="83"/>
  <c r="BE266" i="83"/>
  <c r="AP266" i="83"/>
  <c r="BO266" i="83" s="1"/>
  <c r="AH266" i="83"/>
  <c r="Z266" i="83"/>
  <c r="R266" i="83"/>
  <c r="J266" i="83"/>
  <c r="BK265" i="83"/>
  <c r="BE265" i="83"/>
  <c r="AP265" i="83"/>
  <c r="AH265" i="83"/>
  <c r="Z265" i="83"/>
  <c r="BM265" i="83" s="1"/>
  <c r="R265" i="83"/>
  <c r="J265" i="83"/>
  <c r="BK264" i="83"/>
  <c r="BE264" i="83"/>
  <c r="AP264" i="83"/>
  <c r="BO264" i="83" s="1"/>
  <c r="AH264" i="83"/>
  <c r="BN264" i="83" s="1"/>
  <c r="Z264" i="83"/>
  <c r="BM264" i="83" s="1"/>
  <c r="R264" i="83"/>
  <c r="BF264" i="83" s="1"/>
  <c r="J264" i="83"/>
  <c r="BK263" i="83"/>
  <c r="BE263" i="83"/>
  <c r="AP263" i="83"/>
  <c r="BO263" i="83" s="1"/>
  <c r="AH263" i="83"/>
  <c r="BN263" i="83" s="1"/>
  <c r="Z263" i="83"/>
  <c r="BM263" i="83" s="1"/>
  <c r="R263" i="83"/>
  <c r="BF263" i="83" s="1"/>
  <c r="J263" i="83"/>
  <c r="BK262" i="83"/>
  <c r="BE262" i="83"/>
  <c r="AP262" i="83"/>
  <c r="BO262" i="83" s="1"/>
  <c r="AH262" i="83"/>
  <c r="BN262" i="83" s="1"/>
  <c r="Z262" i="83"/>
  <c r="BM262" i="83" s="1"/>
  <c r="R262" i="83"/>
  <c r="BF262" i="83" s="1"/>
  <c r="J262" i="83"/>
  <c r="BK261" i="83"/>
  <c r="BE261" i="83"/>
  <c r="AP261" i="83"/>
  <c r="BO261" i="83" s="1"/>
  <c r="AH261" i="83"/>
  <c r="Z261" i="83"/>
  <c r="BM261" i="83" s="1"/>
  <c r="R261" i="83"/>
  <c r="BF261" i="83" s="1"/>
  <c r="J261" i="83"/>
  <c r="BK260" i="83"/>
  <c r="BE260" i="83"/>
  <c r="AP260" i="83"/>
  <c r="BO260" i="83" s="1"/>
  <c r="AH260" i="83"/>
  <c r="BN260" i="83" s="1"/>
  <c r="Z260" i="83"/>
  <c r="BM260" i="83" s="1"/>
  <c r="R260" i="83"/>
  <c r="BF260" i="83" s="1"/>
  <c r="J260" i="83"/>
  <c r="BK259" i="83"/>
  <c r="BE259" i="83"/>
  <c r="AP259" i="83"/>
  <c r="BO259" i="83" s="1"/>
  <c r="AH259" i="83"/>
  <c r="Z259" i="83"/>
  <c r="BM259" i="83" s="1"/>
  <c r="R259" i="83"/>
  <c r="BF259" i="83" s="1"/>
  <c r="J259" i="83"/>
  <c r="BK258" i="83"/>
  <c r="BE258" i="83"/>
  <c r="AP258" i="83"/>
  <c r="BO258" i="83" s="1"/>
  <c r="AH258" i="83"/>
  <c r="BH258" i="83" s="1"/>
  <c r="Z258" i="83"/>
  <c r="R258" i="83"/>
  <c r="J258" i="83"/>
  <c r="BK257" i="83"/>
  <c r="BE257" i="83"/>
  <c r="AP257" i="83"/>
  <c r="AH257" i="83"/>
  <c r="Z257" i="83"/>
  <c r="BM257" i="83" s="1"/>
  <c r="R257" i="83"/>
  <c r="J257" i="83"/>
  <c r="BK256" i="83"/>
  <c r="BE256" i="83"/>
  <c r="AP256" i="83"/>
  <c r="AH256" i="83"/>
  <c r="BH256" i="83" s="1"/>
  <c r="Z256" i="83"/>
  <c r="BM256" i="83" s="1"/>
  <c r="R256" i="83"/>
  <c r="BF256" i="83" s="1"/>
  <c r="J256" i="83"/>
  <c r="BK255" i="83"/>
  <c r="BE255" i="83"/>
  <c r="AP255" i="83"/>
  <c r="BO255" i="83" s="1"/>
  <c r="AH255" i="83"/>
  <c r="BN255" i="83" s="1"/>
  <c r="Z255" i="83"/>
  <c r="BG255" i="83" s="1"/>
  <c r="R255" i="83"/>
  <c r="BL255" i="83" s="1"/>
  <c r="J255" i="83"/>
  <c r="BK254" i="83"/>
  <c r="BE254" i="83"/>
  <c r="AP254" i="83"/>
  <c r="BO254" i="83" s="1"/>
  <c r="AH254" i="83"/>
  <c r="BN254" i="83" s="1"/>
  <c r="Z254" i="83"/>
  <c r="BG254" i="83" s="1"/>
  <c r="R254" i="83"/>
  <c r="BL254" i="83" s="1"/>
  <c r="J254" i="83"/>
  <c r="BK253" i="83"/>
  <c r="BE253" i="83"/>
  <c r="AP253" i="83"/>
  <c r="BO253" i="83" s="1"/>
  <c r="AH253" i="83"/>
  <c r="BH253" i="83" s="1"/>
  <c r="Z253" i="83"/>
  <c r="BG253" i="83" s="1"/>
  <c r="R253" i="83"/>
  <c r="BL253" i="83" s="1"/>
  <c r="J253" i="83"/>
  <c r="BK252" i="83"/>
  <c r="BE252" i="83"/>
  <c r="AP252" i="83"/>
  <c r="BO252" i="83" s="1"/>
  <c r="AH252" i="83"/>
  <c r="BN252" i="83" s="1"/>
  <c r="Z252" i="83"/>
  <c r="BG252" i="83" s="1"/>
  <c r="R252" i="83"/>
  <c r="BL252" i="83" s="1"/>
  <c r="J252" i="83"/>
  <c r="BK251" i="83"/>
  <c r="BE251" i="83"/>
  <c r="AP251" i="83"/>
  <c r="BO251" i="83" s="1"/>
  <c r="AH251" i="83"/>
  <c r="BN251" i="83" s="1"/>
  <c r="Z251" i="83"/>
  <c r="BG251" i="83" s="1"/>
  <c r="R251" i="83"/>
  <c r="BL251" i="83" s="1"/>
  <c r="J251" i="83"/>
  <c r="BK250" i="83"/>
  <c r="BE250" i="83"/>
  <c r="AP250" i="83"/>
  <c r="BO250" i="83" s="1"/>
  <c r="AH250" i="83"/>
  <c r="BN250" i="83" s="1"/>
  <c r="Z250" i="83"/>
  <c r="BG250" i="83" s="1"/>
  <c r="R250" i="83"/>
  <c r="BL250" i="83" s="1"/>
  <c r="J250" i="83"/>
  <c r="BK249" i="83"/>
  <c r="BE249" i="83"/>
  <c r="AP249" i="83"/>
  <c r="BO249" i="83" s="1"/>
  <c r="AH249" i="83"/>
  <c r="BH249" i="83" s="1"/>
  <c r="Z249" i="83"/>
  <c r="BG249" i="83" s="1"/>
  <c r="R249" i="83"/>
  <c r="BL249" i="83" s="1"/>
  <c r="J249" i="83"/>
  <c r="BK248" i="83"/>
  <c r="BE248" i="83"/>
  <c r="AP248" i="83"/>
  <c r="BO248" i="83" s="1"/>
  <c r="AH248" i="83"/>
  <c r="BN248" i="83" s="1"/>
  <c r="Z248" i="83"/>
  <c r="BG248" i="83" s="1"/>
  <c r="R248" i="83"/>
  <c r="BL248" i="83" s="1"/>
  <c r="J248" i="83"/>
  <c r="BK247" i="83"/>
  <c r="BE247" i="83"/>
  <c r="AP247" i="83"/>
  <c r="BO247" i="83" s="1"/>
  <c r="AH247" i="83"/>
  <c r="BN247" i="83" s="1"/>
  <c r="Z247" i="83"/>
  <c r="BG247" i="83" s="1"/>
  <c r="R247" i="83"/>
  <c r="BL247" i="83" s="1"/>
  <c r="J247" i="83"/>
  <c r="BK246" i="83"/>
  <c r="BE246" i="83"/>
  <c r="AP246" i="83"/>
  <c r="BO246" i="83" s="1"/>
  <c r="AH246" i="83"/>
  <c r="BN246" i="83" s="1"/>
  <c r="Z246" i="83"/>
  <c r="BG246" i="83" s="1"/>
  <c r="R246" i="83"/>
  <c r="BL246" i="83" s="1"/>
  <c r="J246" i="83"/>
  <c r="BK245" i="83"/>
  <c r="BE245" i="83"/>
  <c r="AP245" i="83"/>
  <c r="BO245" i="83" s="1"/>
  <c r="AH245" i="83"/>
  <c r="BH245" i="83" s="1"/>
  <c r="Z245" i="83"/>
  <c r="BG245" i="83" s="1"/>
  <c r="R245" i="83"/>
  <c r="BL245" i="83" s="1"/>
  <c r="J245" i="83"/>
  <c r="BK244" i="83"/>
  <c r="BE244" i="83"/>
  <c r="AP244" i="83"/>
  <c r="BO244" i="83" s="1"/>
  <c r="AH244" i="83"/>
  <c r="BN244" i="83" s="1"/>
  <c r="Z244" i="83"/>
  <c r="BG244" i="83" s="1"/>
  <c r="R244" i="83"/>
  <c r="BL244" i="83" s="1"/>
  <c r="J244" i="83"/>
  <c r="BK243" i="83"/>
  <c r="BE243" i="83"/>
  <c r="AP243" i="83"/>
  <c r="BO243" i="83" s="1"/>
  <c r="AH243" i="83"/>
  <c r="BN243" i="83" s="1"/>
  <c r="Z243" i="83"/>
  <c r="BG243" i="83" s="1"/>
  <c r="R243" i="83"/>
  <c r="BL243" i="83" s="1"/>
  <c r="J243" i="83"/>
  <c r="BK242" i="83"/>
  <c r="BE242" i="83"/>
  <c r="AP242" i="83"/>
  <c r="BO242" i="83" s="1"/>
  <c r="AH242" i="83"/>
  <c r="BN242" i="83" s="1"/>
  <c r="Z242" i="83"/>
  <c r="BG242" i="83" s="1"/>
  <c r="R242" i="83"/>
  <c r="BL242" i="83" s="1"/>
  <c r="J242" i="83"/>
  <c r="BK241" i="83"/>
  <c r="BE241" i="83"/>
  <c r="AP241" i="83"/>
  <c r="BO241" i="83" s="1"/>
  <c r="AH241" i="83"/>
  <c r="BH241" i="83" s="1"/>
  <c r="Z241" i="83"/>
  <c r="BG241" i="83" s="1"/>
  <c r="R241" i="83"/>
  <c r="BL241" i="83" s="1"/>
  <c r="J241" i="83"/>
  <c r="BK240" i="83"/>
  <c r="BE240" i="83"/>
  <c r="AP240" i="83"/>
  <c r="BO240" i="83" s="1"/>
  <c r="AH240" i="83"/>
  <c r="BN240" i="83" s="1"/>
  <c r="Z240" i="83"/>
  <c r="BG240" i="83" s="1"/>
  <c r="R240" i="83"/>
  <c r="BL240" i="83" s="1"/>
  <c r="J240" i="83"/>
  <c r="BK239" i="83"/>
  <c r="BE239" i="83"/>
  <c r="AP239" i="83"/>
  <c r="BO239" i="83" s="1"/>
  <c r="AH239" i="83"/>
  <c r="BN239" i="83" s="1"/>
  <c r="Z239" i="83"/>
  <c r="BG239" i="83" s="1"/>
  <c r="R239" i="83"/>
  <c r="BL239" i="83" s="1"/>
  <c r="J239" i="83"/>
  <c r="BK238" i="83"/>
  <c r="BE238" i="83"/>
  <c r="AP238" i="83"/>
  <c r="BO238" i="83" s="1"/>
  <c r="AH238" i="83"/>
  <c r="BN238" i="83" s="1"/>
  <c r="Z238" i="83"/>
  <c r="BG238" i="83" s="1"/>
  <c r="R238" i="83"/>
  <c r="BL238" i="83" s="1"/>
  <c r="J238" i="83"/>
  <c r="BK237" i="83"/>
  <c r="BE237" i="83"/>
  <c r="AP237" i="83"/>
  <c r="BO237" i="83" s="1"/>
  <c r="AH237" i="83"/>
  <c r="BH237" i="83" s="1"/>
  <c r="Z237" i="83"/>
  <c r="BG237" i="83" s="1"/>
  <c r="R237" i="83"/>
  <c r="BL237" i="83" s="1"/>
  <c r="J237" i="83"/>
  <c r="BK236" i="83"/>
  <c r="BE236" i="83"/>
  <c r="AP236" i="83"/>
  <c r="BO236" i="83" s="1"/>
  <c r="AH236" i="83"/>
  <c r="BN236" i="83" s="1"/>
  <c r="Z236" i="83"/>
  <c r="BG236" i="83" s="1"/>
  <c r="R236" i="83"/>
  <c r="BL236" i="83" s="1"/>
  <c r="J236" i="83"/>
  <c r="BK235" i="83"/>
  <c r="BE235" i="83"/>
  <c r="AP235" i="83"/>
  <c r="BO235" i="83" s="1"/>
  <c r="AH235" i="83"/>
  <c r="BN235" i="83" s="1"/>
  <c r="Z235" i="83"/>
  <c r="BG235" i="83" s="1"/>
  <c r="R235" i="83"/>
  <c r="BL235" i="83" s="1"/>
  <c r="J235" i="83"/>
  <c r="BK234" i="83"/>
  <c r="BE234" i="83"/>
  <c r="AP234" i="83"/>
  <c r="AH234" i="83"/>
  <c r="BN234" i="83" s="1"/>
  <c r="Z234" i="83"/>
  <c r="BG234" i="83" s="1"/>
  <c r="R234" i="83"/>
  <c r="BL234" i="83" s="1"/>
  <c r="J234" i="83"/>
  <c r="BK233" i="83"/>
  <c r="BE233" i="83"/>
  <c r="AP233" i="83"/>
  <c r="AH233" i="83"/>
  <c r="BH233" i="83" s="1"/>
  <c r="Z233" i="83"/>
  <c r="BG233" i="83" s="1"/>
  <c r="R233" i="83"/>
  <c r="BL233" i="83" s="1"/>
  <c r="J233" i="83"/>
  <c r="BK232" i="83"/>
  <c r="BE232" i="83"/>
  <c r="AP232" i="83"/>
  <c r="AH232" i="83"/>
  <c r="BN232" i="83" s="1"/>
  <c r="Z232" i="83"/>
  <c r="BG232" i="83" s="1"/>
  <c r="R232" i="83"/>
  <c r="BL232" i="83" s="1"/>
  <c r="J232" i="83"/>
  <c r="BK231" i="83"/>
  <c r="BE231" i="83"/>
  <c r="AP231" i="83"/>
  <c r="AH231" i="83"/>
  <c r="BN231" i="83" s="1"/>
  <c r="Z231" i="83"/>
  <c r="BG231" i="83" s="1"/>
  <c r="R231" i="83"/>
  <c r="BL231" i="83" s="1"/>
  <c r="J231" i="83"/>
  <c r="BK230" i="83"/>
  <c r="BE230" i="83"/>
  <c r="AP230" i="83"/>
  <c r="BI230" i="83" s="1"/>
  <c r="AH230" i="83"/>
  <c r="BH230" i="83" s="1"/>
  <c r="Z230" i="83"/>
  <c r="BG230" i="83" s="1"/>
  <c r="R230" i="83"/>
  <c r="J230" i="83"/>
  <c r="BK229" i="83"/>
  <c r="BE229" i="83"/>
  <c r="AP229" i="83"/>
  <c r="AH229" i="83"/>
  <c r="BN229" i="83" s="1"/>
  <c r="Z229" i="83"/>
  <c r="BG229" i="83" s="1"/>
  <c r="R229" i="83"/>
  <c r="BL229" i="83" s="1"/>
  <c r="J229" i="83"/>
  <c r="BK228" i="83"/>
  <c r="BE228" i="83"/>
  <c r="AP228" i="83"/>
  <c r="BI228" i="83" s="1"/>
  <c r="AH228" i="83"/>
  <c r="BN228" i="83" s="1"/>
  <c r="Z228" i="83"/>
  <c r="BG228" i="83" s="1"/>
  <c r="R228" i="83"/>
  <c r="BL228" i="83" s="1"/>
  <c r="J228" i="83"/>
  <c r="BK227" i="83"/>
  <c r="BE227" i="83"/>
  <c r="AP227" i="83"/>
  <c r="BI227" i="83" s="1"/>
  <c r="AH227" i="83"/>
  <c r="BH227" i="83" s="1"/>
  <c r="Z227" i="83"/>
  <c r="BG227" i="83" s="1"/>
  <c r="R227" i="83"/>
  <c r="BL227" i="83" s="1"/>
  <c r="J227" i="83"/>
  <c r="BK226" i="83"/>
  <c r="BE226" i="83"/>
  <c r="AP226" i="83"/>
  <c r="BI226" i="83" s="1"/>
  <c r="AH226" i="83"/>
  <c r="BN226" i="83" s="1"/>
  <c r="Z226" i="83"/>
  <c r="BG226" i="83" s="1"/>
  <c r="R226" i="83"/>
  <c r="BL226" i="83" s="1"/>
  <c r="J226" i="83"/>
  <c r="BK225" i="83"/>
  <c r="BE225" i="83"/>
  <c r="AP225" i="83"/>
  <c r="BI225" i="83" s="1"/>
  <c r="AH225" i="83"/>
  <c r="BH225" i="83" s="1"/>
  <c r="Z225" i="83"/>
  <c r="BG225" i="83" s="1"/>
  <c r="R225" i="83"/>
  <c r="BL225" i="83" s="1"/>
  <c r="J225" i="83"/>
  <c r="BK224" i="83"/>
  <c r="BE224" i="83"/>
  <c r="AP224" i="83"/>
  <c r="BI224" i="83" s="1"/>
  <c r="AH224" i="83"/>
  <c r="BH224" i="83" s="1"/>
  <c r="Z224" i="83"/>
  <c r="BG224" i="83" s="1"/>
  <c r="R224" i="83"/>
  <c r="J224" i="83"/>
  <c r="BK223" i="83"/>
  <c r="BE223" i="83"/>
  <c r="AP223" i="83"/>
  <c r="AH223" i="83"/>
  <c r="Z223" i="83"/>
  <c r="BG223" i="83" s="1"/>
  <c r="R223" i="83"/>
  <c r="BL223" i="83" s="1"/>
  <c r="J223" i="83"/>
  <c r="BK222" i="83"/>
  <c r="BE222" i="83"/>
  <c r="AP222" i="83"/>
  <c r="BI222" i="83" s="1"/>
  <c r="AH222" i="83"/>
  <c r="BH222" i="83" s="1"/>
  <c r="Z222" i="83"/>
  <c r="BG222" i="83" s="1"/>
  <c r="R222" i="83"/>
  <c r="BL222" i="83" s="1"/>
  <c r="J222" i="83"/>
  <c r="BK221" i="83"/>
  <c r="BE221" i="83"/>
  <c r="AP221" i="83"/>
  <c r="BI221" i="83" s="1"/>
  <c r="AH221" i="83"/>
  <c r="BN221" i="83" s="1"/>
  <c r="Z221" i="83"/>
  <c r="BG221" i="83" s="1"/>
  <c r="R221" i="83"/>
  <c r="J221" i="83"/>
  <c r="BK220" i="83"/>
  <c r="BE220" i="83"/>
  <c r="AP220" i="83"/>
  <c r="AH220" i="83"/>
  <c r="BN220" i="83" s="1"/>
  <c r="Z220" i="83"/>
  <c r="BG220" i="83" s="1"/>
  <c r="R220" i="83"/>
  <c r="BL220" i="83" s="1"/>
  <c r="J220" i="83"/>
  <c r="BK219" i="83"/>
  <c r="BE219" i="83"/>
  <c r="AP219" i="83"/>
  <c r="BI219" i="83" s="1"/>
  <c r="AH219" i="83"/>
  <c r="BH219" i="83" s="1"/>
  <c r="Z219" i="83"/>
  <c r="BG219" i="83" s="1"/>
  <c r="R219" i="83"/>
  <c r="BL219" i="83" s="1"/>
  <c r="J219" i="83"/>
  <c r="BK218" i="83"/>
  <c r="BE218" i="83"/>
  <c r="AP218" i="83"/>
  <c r="BI218" i="83" s="1"/>
  <c r="AH218" i="83"/>
  <c r="BN218" i="83" s="1"/>
  <c r="Z218" i="83"/>
  <c r="BG218" i="83" s="1"/>
  <c r="R218" i="83"/>
  <c r="J218" i="83"/>
  <c r="BK217" i="83"/>
  <c r="BE217" i="83"/>
  <c r="AP217" i="83"/>
  <c r="BI217" i="83" s="1"/>
  <c r="AH217" i="83"/>
  <c r="Z217" i="83"/>
  <c r="BG217" i="83" s="1"/>
  <c r="R217" i="83"/>
  <c r="BL217" i="83" s="1"/>
  <c r="J217" i="83"/>
  <c r="BK216" i="83"/>
  <c r="BE216" i="83"/>
  <c r="AP216" i="83"/>
  <c r="BI216" i="83" s="1"/>
  <c r="AH216" i="83"/>
  <c r="BN216" i="83" s="1"/>
  <c r="Z216" i="83"/>
  <c r="BG216" i="83" s="1"/>
  <c r="R216" i="83"/>
  <c r="BL216" i="83" s="1"/>
  <c r="J216" i="83"/>
  <c r="BK215" i="83"/>
  <c r="BE215" i="83"/>
  <c r="AP215" i="83"/>
  <c r="AH215" i="83"/>
  <c r="BH215" i="83" s="1"/>
  <c r="Z215" i="83"/>
  <c r="BM215" i="83" s="1"/>
  <c r="R215" i="83"/>
  <c r="BL215" i="83" s="1"/>
  <c r="J215" i="83"/>
  <c r="BK214" i="83"/>
  <c r="BE214" i="83"/>
  <c r="AP214" i="83"/>
  <c r="BI214" i="83" s="1"/>
  <c r="AH214" i="83"/>
  <c r="BH214" i="83" s="1"/>
  <c r="Z214" i="83"/>
  <c r="R214" i="83"/>
  <c r="BL214" i="83" s="1"/>
  <c r="J214" i="83"/>
  <c r="BK213" i="83"/>
  <c r="BE213" i="83"/>
  <c r="AP213" i="83"/>
  <c r="BI213" i="83" s="1"/>
  <c r="AH213" i="83"/>
  <c r="Z213" i="83"/>
  <c r="BG213" i="83" s="1"/>
  <c r="R213" i="83"/>
  <c r="BL213" i="83" s="1"/>
  <c r="J213" i="83"/>
  <c r="BK212" i="83"/>
  <c r="BE212" i="83"/>
  <c r="AP212" i="83"/>
  <c r="AH212" i="83"/>
  <c r="BN212" i="83" s="1"/>
  <c r="Z212" i="83"/>
  <c r="BG212" i="83" s="1"/>
  <c r="R212" i="83"/>
  <c r="BL212" i="83" s="1"/>
  <c r="J212" i="83"/>
  <c r="BK211" i="83"/>
  <c r="BE211" i="83"/>
  <c r="AP211" i="83"/>
  <c r="BI211" i="83" s="1"/>
  <c r="AH211" i="83"/>
  <c r="BN211" i="83" s="1"/>
  <c r="Z211" i="83"/>
  <c r="BM211" i="83" s="1"/>
  <c r="R211" i="83"/>
  <c r="BL211" i="83" s="1"/>
  <c r="J211" i="83"/>
  <c r="BK210" i="83"/>
  <c r="BE210" i="83"/>
  <c r="AP210" i="83"/>
  <c r="BI210" i="83" s="1"/>
  <c r="AH210" i="83"/>
  <c r="BN210" i="83" s="1"/>
  <c r="Z210" i="83"/>
  <c r="BG210" i="83" s="1"/>
  <c r="R210" i="83"/>
  <c r="BL210" i="83" s="1"/>
  <c r="J210" i="83"/>
  <c r="BK209" i="83"/>
  <c r="BE209" i="83"/>
  <c r="AP209" i="83"/>
  <c r="BI209" i="83" s="1"/>
  <c r="AH209" i="83"/>
  <c r="BH209" i="83" s="1"/>
  <c r="Z209" i="83"/>
  <c r="BM209" i="83" s="1"/>
  <c r="R209" i="83"/>
  <c r="BL209" i="83" s="1"/>
  <c r="J209" i="83"/>
  <c r="BK208" i="83"/>
  <c r="BE208" i="83"/>
  <c r="AP208" i="83"/>
  <c r="BI208" i="83" s="1"/>
  <c r="AH208" i="83"/>
  <c r="BN208" i="83" s="1"/>
  <c r="Z208" i="83"/>
  <c r="BG208" i="83" s="1"/>
  <c r="R208" i="83"/>
  <c r="BL208" i="83" s="1"/>
  <c r="J208" i="83"/>
  <c r="BK207" i="83"/>
  <c r="BE207" i="83"/>
  <c r="AP207" i="83"/>
  <c r="AH207" i="83"/>
  <c r="BH207" i="83" s="1"/>
  <c r="Z207" i="83"/>
  <c r="R207" i="83"/>
  <c r="BL207" i="83" s="1"/>
  <c r="J207" i="83"/>
  <c r="BK206" i="83"/>
  <c r="BE206" i="83"/>
  <c r="AP206" i="83"/>
  <c r="BI206" i="83" s="1"/>
  <c r="AH206" i="83"/>
  <c r="BN206" i="83" s="1"/>
  <c r="Z206" i="83"/>
  <c r="R206" i="83"/>
  <c r="BL206" i="83" s="1"/>
  <c r="J206" i="83"/>
  <c r="BK205" i="83"/>
  <c r="BE205" i="83"/>
  <c r="AP205" i="83"/>
  <c r="BI205" i="83" s="1"/>
  <c r="AH205" i="83"/>
  <c r="Z205" i="83"/>
  <c r="BG205" i="83" s="1"/>
  <c r="R205" i="83"/>
  <c r="BL205" i="83" s="1"/>
  <c r="J205" i="83"/>
  <c r="BK204" i="83"/>
  <c r="BE204" i="83"/>
  <c r="AP204" i="83"/>
  <c r="BI204" i="83" s="1"/>
  <c r="AH204" i="83"/>
  <c r="BN204" i="83" s="1"/>
  <c r="Z204" i="83"/>
  <c r="BG204" i="83" s="1"/>
  <c r="R204" i="83"/>
  <c r="BL204" i="83" s="1"/>
  <c r="J204" i="83"/>
  <c r="BK203" i="83"/>
  <c r="BE203" i="83"/>
  <c r="AP203" i="83"/>
  <c r="BI203" i="83" s="1"/>
  <c r="AH203" i="83"/>
  <c r="BN203" i="83" s="1"/>
  <c r="Z203" i="83"/>
  <c r="BM203" i="83" s="1"/>
  <c r="R203" i="83"/>
  <c r="J203" i="83"/>
  <c r="BK202" i="83"/>
  <c r="BE202" i="83"/>
  <c r="AP202" i="83"/>
  <c r="BI202" i="83" s="1"/>
  <c r="AH202" i="83"/>
  <c r="BN202" i="83" s="1"/>
  <c r="Z202" i="83"/>
  <c r="BM202" i="83" s="1"/>
  <c r="R202" i="83"/>
  <c r="BL202" i="83" s="1"/>
  <c r="J202" i="83"/>
  <c r="BK201" i="83"/>
  <c r="BE201" i="83"/>
  <c r="AP201" i="83"/>
  <c r="BI201" i="83" s="1"/>
  <c r="AH201" i="83"/>
  <c r="BH201" i="83" s="1"/>
  <c r="Z201" i="83"/>
  <c r="R201" i="83"/>
  <c r="BL201" i="83" s="1"/>
  <c r="J201" i="83"/>
  <c r="BK200" i="83"/>
  <c r="BE200" i="83"/>
  <c r="AP200" i="83"/>
  <c r="BO200" i="83" s="1"/>
  <c r="AH200" i="83"/>
  <c r="BH200" i="83" s="1"/>
  <c r="Z200" i="83"/>
  <c r="BM200" i="83" s="1"/>
  <c r="R200" i="83"/>
  <c r="BL200" i="83" s="1"/>
  <c r="J200" i="83"/>
  <c r="BK199" i="83"/>
  <c r="BE199" i="83"/>
  <c r="AP199" i="83"/>
  <c r="BI199" i="83" s="1"/>
  <c r="AH199" i="83"/>
  <c r="Z199" i="83"/>
  <c r="BM199" i="83" s="1"/>
  <c r="R199" i="83"/>
  <c r="BL199" i="83" s="1"/>
  <c r="J199" i="83"/>
  <c r="BK198" i="83"/>
  <c r="BE198" i="83"/>
  <c r="AP198" i="83"/>
  <c r="BI198" i="83" s="1"/>
  <c r="AH198" i="83"/>
  <c r="BN198" i="83" s="1"/>
  <c r="Z198" i="83"/>
  <c r="BM198" i="83" s="1"/>
  <c r="R198" i="83"/>
  <c r="BL198" i="83" s="1"/>
  <c r="J198" i="83"/>
  <c r="BK197" i="83"/>
  <c r="BE197" i="83"/>
  <c r="AP197" i="83"/>
  <c r="BI197" i="83" s="1"/>
  <c r="AH197" i="83"/>
  <c r="Z197" i="83"/>
  <c r="BM197" i="83" s="1"/>
  <c r="R197" i="83"/>
  <c r="BL197" i="83" s="1"/>
  <c r="J197" i="83"/>
  <c r="BK196" i="83"/>
  <c r="BE196" i="83"/>
  <c r="AP196" i="83"/>
  <c r="BI196" i="83" s="1"/>
  <c r="AH196" i="83"/>
  <c r="BN196" i="83" s="1"/>
  <c r="Z196" i="83"/>
  <c r="BM196" i="83" s="1"/>
  <c r="R196" i="83"/>
  <c r="BL196" i="83" s="1"/>
  <c r="J196" i="83"/>
  <c r="BK195" i="83"/>
  <c r="BE195" i="83"/>
  <c r="AP195" i="83"/>
  <c r="BI195" i="83" s="1"/>
  <c r="AH195" i="83"/>
  <c r="BH195" i="83" s="1"/>
  <c r="Z195" i="83"/>
  <c r="R195" i="83"/>
  <c r="BL195" i="83" s="1"/>
  <c r="J195" i="83"/>
  <c r="BK194" i="83"/>
  <c r="BE194" i="83"/>
  <c r="AP194" i="83"/>
  <c r="BI194" i="83" s="1"/>
  <c r="AH194" i="83"/>
  <c r="BN194" i="83" s="1"/>
  <c r="Z194" i="83"/>
  <c r="BM194" i="83" s="1"/>
  <c r="R194" i="83"/>
  <c r="BL194" i="83" s="1"/>
  <c r="J194" i="83"/>
  <c r="BK193" i="83"/>
  <c r="BE193" i="83"/>
  <c r="AP193" i="83"/>
  <c r="BI193" i="83" s="1"/>
  <c r="AH193" i="83"/>
  <c r="BH193" i="83" s="1"/>
  <c r="Z193" i="83"/>
  <c r="R193" i="83"/>
  <c r="BL193" i="83" s="1"/>
  <c r="J193" i="83"/>
  <c r="BK192" i="83"/>
  <c r="BE192" i="83"/>
  <c r="AP192" i="83"/>
  <c r="BI192" i="83" s="1"/>
  <c r="AH192" i="83"/>
  <c r="BN192" i="83" s="1"/>
  <c r="Z192" i="83"/>
  <c r="BM192" i="83" s="1"/>
  <c r="R192" i="83"/>
  <c r="BL192" i="83" s="1"/>
  <c r="J192" i="83"/>
  <c r="BK191" i="83"/>
  <c r="BE191" i="83"/>
  <c r="AP191" i="83"/>
  <c r="BI191" i="83" s="1"/>
  <c r="AH191" i="83"/>
  <c r="BH191" i="83" s="1"/>
  <c r="Z191" i="83"/>
  <c r="R191" i="83"/>
  <c r="BL191" i="83" s="1"/>
  <c r="J191" i="83"/>
  <c r="BK190" i="83"/>
  <c r="BE190" i="83"/>
  <c r="AP190" i="83"/>
  <c r="BI190" i="83" s="1"/>
  <c r="AH190" i="83"/>
  <c r="BH190" i="83" s="1"/>
  <c r="Z190" i="83"/>
  <c r="BM190" i="83" s="1"/>
  <c r="R190" i="83"/>
  <c r="BL190" i="83" s="1"/>
  <c r="J190" i="83"/>
  <c r="BK189" i="83"/>
  <c r="BE189" i="83"/>
  <c r="AP189" i="83"/>
  <c r="BI189" i="83" s="1"/>
  <c r="AH189" i="83"/>
  <c r="BH189" i="83" s="1"/>
  <c r="Z189" i="83"/>
  <c r="R189" i="83"/>
  <c r="BL189" i="83" s="1"/>
  <c r="J189" i="83"/>
  <c r="BK188" i="83"/>
  <c r="BE188" i="83"/>
  <c r="AP188" i="83"/>
  <c r="BI188" i="83" s="1"/>
  <c r="AH188" i="83"/>
  <c r="BH188" i="83" s="1"/>
  <c r="Z188" i="83"/>
  <c r="BM188" i="83" s="1"/>
  <c r="R188" i="83"/>
  <c r="BL188" i="83" s="1"/>
  <c r="J188" i="83"/>
  <c r="BK187" i="83"/>
  <c r="BE187" i="83"/>
  <c r="AP187" i="83"/>
  <c r="BI187" i="83" s="1"/>
  <c r="AH187" i="83"/>
  <c r="BH187" i="83" s="1"/>
  <c r="Z187" i="83"/>
  <c r="R187" i="83"/>
  <c r="BL187" i="83" s="1"/>
  <c r="J187" i="83"/>
  <c r="BK186" i="83"/>
  <c r="BE186" i="83"/>
  <c r="AP186" i="83"/>
  <c r="BI186" i="83" s="1"/>
  <c r="AH186" i="83"/>
  <c r="BN186" i="83" s="1"/>
  <c r="Z186" i="83"/>
  <c r="BM186" i="83" s="1"/>
  <c r="R186" i="83"/>
  <c r="BL186" i="83" s="1"/>
  <c r="J186" i="83"/>
  <c r="BK185" i="83"/>
  <c r="BE185" i="83"/>
  <c r="AP185" i="83"/>
  <c r="BI185" i="83" s="1"/>
  <c r="AH185" i="83"/>
  <c r="BH185" i="83" s="1"/>
  <c r="Z185" i="83"/>
  <c r="R185" i="83"/>
  <c r="BL185" i="83" s="1"/>
  <c r="J185" i="83"/>
  <c r="BK184" i="83"/>
  <c r="BE184" i="83"/>
  <c r="AP184" i="83"/>
  <c r="BI184" i="83" s="1"/>
  <c r="AH184" i="83"/>
  <c r="BN184" i="83" s="1"/>
  <c r="Z184" i="83"/>
  <c r="BM184" i="83" s="1"/>
  <c r="R184" i="83"/>
  <c r="BL184" i="83" s="1"/>
  <c r="J184" i="83"/>
  <c r="BK183" i="83"/>
  <c r="BE183" i="83"/>
  <c r="AP183" i="83"/>
  <c r="BI183" i="83" s="1"/>
  <c r="AH183" i="83"/>
  <c r="BH183" i="83" s="1"/>
  <c r="Z183" i="83"/>
  <c r="R183" i="83"/>
  <c r="BL183" i="83" s="1"/>
  <c r="J183" i="83"/>
  <c r="BK182" i="83"/>
  <c r="BE182" i="83"/>
  <c r="AP182" i="83"/>
  <c r="BI182" i="83" s="1"/>
  <c r="AH182" i="83"/>
  <c r="BH182" i="83" s="1"/>
  <c r="Z182" i="83"/>
  <c r="BM182" i="83" s="1"/>
  <c r="R182" i="83"/>
  <c r="BL182" i="83" s="1"/>
  <c r="J182" i="83"/>
  <c r="BK181" i="83"/>
  <c r="BE181" i="83"/>
  <c r="AP181" i="83"/>
  <c r="BI181" i="83" s="1"/>
  <c r="AH181" i="83"/>
  <c r="BH181" i="83" s="1"/>
  <c r="Z181" i="83"/>
  <c r="R181" i="83"/>
  <c r="BL181" i="83" s="1"/>
  <c r="J181" i="83"/>
  <c r="BK180" i="83"/>
  <c r="BE180" i="83"/>
  <c r="AP180" i="83"/>
  <c r="BI180" i="83" s="1"/>
  <c r="AH180" i="83"/>
  <c r="BN180" i="83" s="1"/>
  <c r="Z180" i="83"/>
  <c r="BM180" i="83" s="1"/>
  <c r="R180" i="83"/>
  <c r="BL180" i="83" s="1"/>
  <c r="J180" i="83"/>
  <c r="BK179" i="83"/>
  <c r="BE179" i="83"/>
  <c r="AP179" i="83"/>
  <c r="BI179" i="83" s="1"/>
  <c r="AH179" i="83"/>
  <c r="BH179" i="83" s="1"/>
  <c r="Z179" i="83"/>
  <c r="R179" i="83"/>
  <c r="BL179" i="83" s="1"/>
  <c r="J179" i="83"/>
  <c r="BK178" i="83"/>
  <c r="BE178" i="83"/>
  <c r="AP178" i="83"/>
  <c r="BI178" i="83" s="1"/>
  <c r="AH178" i="83"/>
  <c r="BH178" i="83" s="1"/>
  <c r="Z178" i="83"/>
  <c r="BM178" i="83" s="1"/>
  <c r="R178" i="83"/>
  <c r="BL178" i="83" s="1"/>
  <c r="J178" i="83"/>
  <c r="BK177" i="83"/>
  <c r="BE177" i="83"/>
  <c r="AP177" i="83"/>
  <c r="BI177" i="83" s="1"/>
  <c r="AH177" i="83"/>
  <c r="BH177" i="83" s="1"/>
  <c r="Z177" i="83"/>
  <c r="R177" i="83"/>
  <c r="BL177" i="83" s="1"/>
  <c r="J177" i="83"/>
  <c r="BK176" i="83"/>
  <c r="BE176" i="83"/>
  <c r="AP176" i="83"/>
  <c r="BI176" i="83" s="1"/>
  <c r="AH176" i="83"/>
  <c r="BH176" i="83" s="1"/>
  <c r="Z176" i="83"/>
  <c r="BM176" i="83" s="1"/>
  <c r="R176" i="83"/>
  <c r="BL176" i="83" s="1"/>
  <c r="J176" i="83"/>
  <c r="BK175" i="83"/>
  <c r="BE175" i="83"/>
  <c r="AP175" i="83"/>
  <c r="BI175" i="83" s="1"/>
  <c r="AH175" i="83"/>
  <c r="BH175" i="83" s="1"/>
  <c r="Z175" i="83"/>
  <c r="R175" i="83"/>
  <c r="BL175" i="83" s="1"/>
  <c r="J175" i="83"/>
  <c r="BK174" i="83"/>
  <c r="BE174" i="83"/>
  <c r="AP174" i="83"/>
  <c r="BI174" i="83" s="1"/>
  <c r="AH174" i="83"/>
  <c r="BH174" i="83" s="1"/>
  <c r="Z174" i="83"/>
  <c r="BM174" i="83" s="1"/>
  <c r="R174" i="83"/>
  <c r="BL174" i="83" s="1"/>
  <c r="J174" i="83"/>
  <c r="BK173" i="83"/>
  <c r="BE173" i="83"/>
  <c r="AP173" i="83"/>
  <c r="BI173" i="83" s="1"/>
  <c r="AH173" i="83"/>
  <c r="BH173" i="83" s="1"/>
  <c r="Z173" i="83"/>
  <c r="R173" i="83"/>
  <c r="BL173" i="83" s="1"/>
  <c r="J173" i="83"/>
  <c r="BK172" i="83"/>
  <c r="BE172" i="83"/>
  <c r="AP172" i="83"/>
  <c r="AH172" i="83"/>
  <c r="BN172" i="83" s="1"/>
  <c r="Z172" i="83"/>
  <c r="BM172" i="83" s="1"/>
  <c r="R172" i="83"/>
  <c r="BL172" i="83" s="1"/>
  <c r="J172" i="83"/>
  <c r="BK171" i="83"/>
  <c r="BE171" i="83"/>
  <c r="AP171" i="83"/>
  <c r="BI171" i="83" s="1"/>
  <c r="AH171" i="83"/>
  <c r="BN171" i="83" s="1"/>
  <c r="Z171" i="83"/>
  <c r="R171" i="83"/>
  <c r="BL171" i="83" s="1"/>
  <c r="J171" i="83"/>
  <c r="BK170" i="83"/>
  <c r="BE170" i="83"/>
  <c r="AP170" i="83"/>
  <c r="BI170" i="83" s="1"/>
  <c r="AH170" i="83"/>
  <c r="BH170" i="83" s="1"/>
  <c r="Z170" i="83"/>
  <c r="BM170" i="83" s="1"/>
  <c r="R170" i="83"/>
  <c r="BL170" i="83" s="1"/>
  <c r="J170" i="83"/>
  <c r="BK169" i="83"/>
  <c r="BE169" i="83"/>
  <c r="AP169" i="83"/>
  <c r="BI169" i="83" s="1"/>
  <c r="AH169" i="83"/>
  <c r="BN169" i="83" s="1"/>
  <c r="Z169" i="83"/>
  <c r="BM169" i="83" s="1"/>
  <c r="R169" i="83"/>
  <c r="BL169" i="83" s="1"/>
  <c r="J169" i="83"/>
  <c r="BK168" i="83"/>
  <c r="BE168" i="83"/>
  <c r="AP168" i="83"/>
  <c r="BI168" i="83" s="1"/>
  <c r="AH168" i="83"/>
  <c r="BH168" i="83" s="1"/>
  <c r="Z168" i="83"/>
  <c r="BM168" i="83" s="1"/>
  <c r="R168" i="83"/>
  <c r="BL168" i="83" s="1"/>
  <c r="J168" i="83"/>
  <c r="BK167" i="83"/>
  <c r="BE167" i="83"/>
  <c r="AP167" i="83"/>
  <c r="BI167" i="83" s="1"/>
  <c r="AH167" i="83"/>
  <c r="BN167" i="83" s="1"/>
  <c r="Z167" i="83"/>
  <c r="BM167" i="83" s="1"/>
  <c r="R167" i="83"/>
  <c r="BL167" i="83" s="1"/>
  <c r="J167" i="83"/>
  <c r="BK166" i="83"/>
  <c r="BE166" i="83"/>
  <c r="AP166" i="83"/>
  <c r="BI166" i="83" s="1"/>
  <c r="AH166" i="83"/>
  <c r="BH166" i="83" s="1"/>
  <c r="Z166" i="83"/>
  <c r="BM166" i="83" s="1"/>
  <c r="R166" i="83"/>
  <c r="BL166" i="83" s="1"/>
  <c r="J166" i="83"/>
  <c r="BK165" i="83"/>
  <c r="BE165" i="83"/>
  <c r="AP165" i="83"/>
  <c r="BI165" i="83" s="1"/>
  <c r="AH165" i="83"/>
  <c r="BN165" i="83" s="1"/>
  <c r="Z165" i="83"/>
  <c r="BM165" i="83" s="1"/>
  <c r="R165" i="83"/>
  <c r="BL165" i="83" s="1"/>
  <c r="J165" i="83"/>
  <c r="BK164" i="83"/>
  <c r="BE164" i="83"/>
  <c r="AP164" i="83"/>
  <c r="BI164" i="83" s="1"/>
  <c r="AH164" i="83"/>
  <c r="BH164" i="83" s="1"/>
  <c r="Z164" i="83"/>
  <c r="BM164" i="83" s="1"/>
  <c r="R164" i="83"/>
  <c r="BL164" i="83" s="1"/>
  <c r="J164" i="83"/>
  <c r="BK163" i="83"/>
  <c r="BE163" i="83"/>
  <c r="AP163" i="83"/>
  <c r="BI163" i="83" s="1"/>
  <c r="AH163" i="83"/>
  <c r="BN163" i="83" s="1"/>
  <c r="Z163" i="83"/>
  <c r="BM163" i="83" s="1"/>
  <c r="R163" i="83"/>
  <c r="BL163" i="83" s="1"/>
  <c r="J163" i="83"/>
  <c r="BK162" i="83"/>
  <c r="BE162" i="83"/>
  <c r="AP162" i="83"/>
  <c r="BI162" i="83" s="1"/>
  <c r="AH162" i="83"/>
  <c r="BH162" i="83" s="1"/>
  <c r="Z162" i="83"/>
  <c r="BM162" i="83" s="1"/>
  <c r="R162" i="83"/>
  <c r="BL162" i="83" s="1"/>
  <c r="J162" i="83"/>
  <c r="BK161" i="83"/>
  <c r="BE161" i="83"/>
  <c r="AP161" i="83"/>
  <c r="BI161" i="83" s="1"/>
  <c r="AH161" i="83"/>
  <c r="BN161" i="83" s="1"/>
  <c r="Z161" i="83"/>
  <c r="BM161" i="83" s="1"/>
  <c r="R161" i="83"/>
  <c r="BL161" i="83" s="1"/>
  <c r="J161" i="83"/>
  <c r="BK160" i="83"/>
  <c r="BE160" i="83"/>
  <c r="AP160" i="83"/>
  <c r="AH160" i="83"/>
  <c r="BN160" i="83" s="1"/>
  <c r="Z160" i="83"/>
  <c r="BM160" i="83" s="1"/>
  <c r="R160" i="83"/>
  <c r="BL160" i="83" s="1"/>
  <c r="J160" i="83"/>
  <c r="BK159" i="83"/>
  <c r="BE159" i="83"/>
  <c r="AP159" i="83"/>
  <c r="BI159" i="83" s="1"/>
  <c r="AH159" i="83"/>
  <c r="BN159" i="83" s="1"/>
  <c r="Z159" i="83"/>
  <c r="BM159" i="83" s="1"/>
  <c r="R159" i="83"/>
  <c r="BL159" i="83" s="1"/>
  <c r="J159" i="83"/>
  <c r="BK158" i="83"/>
  <c r="BE158" i="83"/>
  <c r="AP158" i="83"/>
  <c r="BI158" i="83" s="1"/>
  <c r="AH158" i="83"/>
  <c r="BN158" i="83" s="1"/>
  <c r="Z158" i="83"/>
  <c r="BM158" i="83" s="1"/>
  <c r="R158" i="83"/>
  <c r="BL158" i="83" s="1"/>
  <c r="J158" i="83"/>
  <c r="BK157" i="83"/>
  <c r="BE157" i="83"/>
  <c r="AP157" i="83"/>
  <c r="BI157" i="83" s="1"/>
  <c r="AH157" i="83"/>
  <c r="BN157" i="83" s="1"/>
  <c r="Z157" i="83"/>
  <c r="BM157" i="83" s="1"/>
  <c r="R157" i="83"/>
  <c r="BL157" i="83" s="1"/>
  <c r="J157" i="83"/>
  <c r="BK156" i="83"/>
  <c r="BE156" i="83"/>
  <c r="AP156" i="83"/>
  <c r="BI156" i="83" s="1"/>
  <c r="AH156" i="83"/>
  <c r="BN156" i="83" s="1"/>
  <c r="Z156" i="83"/>
  <c r="BM156" i="83" s="1"/>
  <c r="R156" i="83"/>
  <c r="BL156" i="83" s="1"/>
  <c r="J156" i="83"/>
  <c r="BK155" i="83"/>
  <c r="BE155" i="83"/>
  <c r="AP155" i="83"/>
  <c r="BI155" i="83" s="1"/>
  <c r="AH155" i="83"/>
  <c r="BN155" i="83" s="1"/>
  <c r="Z155" i="83"/>
  <c r="BM155" i="83" s="1"/>
  <c r="R155" i="83"/>
  <c r="BL155" i="83" s="1"/>
  <c r="J155" i="83"/>
  <c r="BK154" i="83"/>
  <c r="BE154" i="83"/>
  <c r="AP154" i="83"/>
  <c r="BI154" i="83" s="1"/>
  <c r="AH154" i="83"/>
  <c r="BH154" i="83" s="1"/>
  <c r="Z154" i="83"/>
  <c r="BM154" i="83" s="1"/>
  <c r="R154" i="83"/>
  <c r="BL154" i="83" s="1"/>
  <c r="J154" i="83"/>
  <c r="BK153" i="83"/>
  <c r="BE153" i="83"/>
  <c r="AP153" i="83"/>
  <c r="BI153" i="83" s="1"/>
  <c r="AH153" i="83"/>
  <c r="BN153" i="83" s="1"/>
  <c r="Z153" i="83"/>
  <c r="BM153" i="83" s="1"/>
  <c r="R153" i="83"/>
  <c r="BL153" i="83" s="1"/>
  <c r="J153" i="83"/>
  <c r="BK152" i="83"/>
  <c r="BE152" i="83"/>
  <c r="AP152" i="83"/>
  <c r="AH152" i="83"/>
  <c r="BN152" i="83" s="1"/>
  <c r="Z152" i="83"/>
  <c r="BM152" i="83" s="1"/>
  <c r="R152" i="83"/>
  <c r="BL152" i="83" s="1"/>
  <c r="J152" i="83"/>
  <c r="BK151" i="83"/>
  <c r="BE151" i="83"/>
  <c r="AP151" i="83"/>
  <c r="BI151" i="83" s="1"/>
  <c r="AH151" i="83"/>
  <c r="BN151" i="83" s="1"/>
  <c r="Z151" i="83"/>
  <c r="BM151" i="83" s="1"/>
  <c r="R151" i="83"/>
  <c r="BL151" i="83" s="1"/>
  <c r="J151" i="83"/>
  <c r="BK150" i="83"/>
  <c r="BE150" i="83"/>
  <c r="AP150" i="83"/>
  <c r="BI150" i="83" s="1"/>
  <c r="AH150" i="83"/>
  <c r="BN150" i="83" s="1"/>
  <c r="Z150" i="83"/>
  <c r="BM150" i="83" s="1"/>
  <c r="R150" i="83"/>
  <c r="BL150" i="83" s="1"/>
  <c r="J150" i="83"/>
  <c r="BK149" i="83"/>
  <c r="BE149" i="83"/>
  <c r="AP149" i="83"/>
  <c r="BI149" i="83" s="1"/>
  <c r="AH149" i="83"/>
  <c r="BN149" i="83" s="1"/>
  <c r="Z149" i="83"/>
  <c r="BM149" i="83" s="1"/>
  <c r="R149" i="83"/>
  <c r="BL149" i="83" s="1"/>
  <c r="J149" i="83"/>
  <c r="BK148" i="83"/>
  <c r="BE148" i="83"/>
  <c r="AP148" i="83"/>
  <c r="BI148" i="83" s="1"/>
  <c r="AH148" i="83"/>
  <c r="Z148" i="83"/>
  <c r="BG148" i="83" s="1"/>
  <c r="R148" i="83"/>
  <c r="BL148" i="83" s="1"/>
  <c r="J148" i="83"/>
  <c r="BK147" i="83"/>
  <c r="BE147" i="83"/>
  <c r="AP147" i="83"/>
  <c r="BI147" i="83" s="1"/>
  <c r="AH147" i="83"/>
  <c r="BN147" i="83" s="1"/>
  <c r="Z147" i="83"/>
  <c r="BG147" i="83" s="1"/>
  <c r="R147" i="83"/>
  <c r="BL147" i="83" s="1"/>
  <c r="J147" i="83"/>
  <c r="BK146" i="83"/>
  <c r="BE146" i="83"/>
  <c r="AP146" i="83"/>
  <c r="BI146" i="83" s="1"/>
  <c r="AH146" i="83"/>
  <c r="BN146" i="83" s="1"/>
  <c r="Z146" i="83"/>
  <c r="BG146" i="83" s="1"/>
  <c r="R146" i="83"/>
  <c r="BL146" i="83" s="1"/>
  <c r="J146" i="83"/>
  <c r="BK145" i="83"/>
  <c r="BE145" i="83"/>
  <c r="AP145" i="83"/>
  <c r="BO145" i="83" s="1"/>
  <c r="AH145" i="83"/>
  <c r="Z145" i="83"/>
  <c r="BM145" i="83" s="1"/>
  <c r="R145" i="83"/>
  <c r="BF145" i="83" s="1"/>
  <c r="J145" i="83"/>
  <c r="BK144" i="83"/>
  <c r="BE144" i="83"/>
  <c r="AP144" i="83"/>
  <c r="BO144" i="83" s="1"/>
  <c r="AH144" i="83"/>
  <c r="Z144" i="83"/>
  <c r="BM144" i="83" s="1"/>
  <c r="R144" i="83"/>
  <c r="BF144" i="83" s="1"/>
  <c r="J144" i="83"/>
  <c r="BK143" i="83"/>
  <c r="BE143" i="83"/>
  <c r="AP143" i="83"/>
  <c r="BI143" i="83" s="1"/>
  <c r="AH143" i="83"/>
  <c r="Z143" i="83"/>
  <c r="BM143" i="83" s="1"/>
  <c r="R143" i="83"/>
  <c r="BF143" i="83" s="1"/>
  <c r="J143" i="83"/>
  <c r="BK142" i="83"/>
  <c r="BE142" i="83"/>
  <c r="AP142" i="83"/>
  <c r="BI142" i="83" s="1"/>
  <c r="AH142" i="83"/>
  <c r="Z142" i="83"/>
  <c r="BM142" i="83" s="1"/>
  <c r="R142" i="83"/>
  <c r="BF142" i="83" s="1"/>
  <c r="J142" i="83"/>
  <c r="BK141" i="83"/>
  <c r="BE141" i="83"/>
  <c r="AP141" i="83"/>
  <c r="BO141" i="83" s="1"/>
  <c r="AH141" i="83"/>
  <c r="Z141" i="83"/>
  <c r="BM141" i="83" s="1"/>
  <c r="R141" i="83"/>
  <c r="BF141" i="83" s="1"/>
  <c r="J141" i="83"/>
  <c r="BK140" i="83"/>
  <c r="BE140" i="83"/>
  <c r="AP140" i="83"/>
  <c r="BO140" i="83" s="1"/>
  <c r="AH140" i="83"/>
  <c r="Z140" i="83"/>
  <c r="BM140" i="83" s="1"/>
  <c r="R140" i="83"/>
  <c r="BF140" i="83" s="1"/>
  <c r="J140" i="83"/>
  <c r="BK139" i="83"/>
  <c r="BE139" i="83"/>
  <c r="AP139" i="83"/>
  <c r="BI139" i="83" s="1"/>
  <c r="AH139" i="83"/>
  <c r="Z139" i="83"/>
  <c r="BM139" i="83" s="1"/>
  <c r="R139" i="83"/>
  <c r="BF139" i="83" s="1"/>
  <c r="J139" i="83"/>
  <c r="BK138" i="83"/>
  <c r="BE138" i="83"/>
  <c r="AP138" i="83"/>
  <c r="BI138" i="83" s="1"/>
  <c r="AH138" i="83"/>
  <c r="Z138" i="83"/>
  <c r="BM138" i="83" s="1"/>
  <c r="R138" i="83"/>
  <c r="BF138" i="83" s="1"/>
  <c r="J138" i="83"/>
  <c r="BK137" i="83"/>
  <c r="BE137" i="83"/>
  <c r="AP137" i="83"/>
  <c r="BO137" i="83" s="1"/>
  <c r="AH137" i="83"/>
  <c r="Z137" i="83"/>
  <c r="BM137" i="83" s="1"/>
  <c r="R137" i="83"/>
  <c r="BF137" i="83" s="1"/>
  <c r="J137" i="83"/>
  <c r="BK136" i="83"/>
  <c r="BE136" i="83"/>
  <c r="AP136" i="83"/>
  <c r="BO136" i="83" s="1"/>
  <c r="AH136" i="83"/>
  <c r="Z136" i="83"/>
  <c r="BM136" i="83" s="1"/>
  <c r="R136" i="83"/>
  <c r="BF136" i="83" s="1"/>
  <c r="J136" i="83"/>
  <c r="BK135" i="83"/>
  <c r="BE135" i="83"/>
  <c r="AP135" i="83"/>
  <c r="BI135" i="83" s="1"/>
  <c r="AH135" i="83"/>
  <c r="Z135" i="83"/>
  <c r="BM135" i="83" s="1"/>
  <c r="R135" i="83"/>
  <c r="BF135" i="83" s="1"/>
  <c r="J135" i="83"/>
  <c r="BK134" i="83"/>
  <c r="BE134" i="83"/>
  <c r="AP134" i="83"/>
  <c r="BI134" i="83" s="1"/>
  <c r="AH134" i="83"/>
  <c r="Z134" i="83"/>
  <c r="BM134" i="83" s="1"/>
  <c r="R134" i="83"/>
  <c r="BF134" i="83" s="1"/>
  <c r="J134" i="83"/>
  <c r="BK133" i="83"/>
  <c r="BE133" i="83"/>
  <c r="AP133" i="83"/>
  <c r="BO133" i="83" s="1"/>
  <c r="AH133" i="83"/>
  <c r="Z133" i="83"/>
  <c r="BM133" i="83" s="1"/>
  <c r="R133" i="83"/>
  <c r="BF133" i="83" s="1"/>
  <c r="J133" i="83"/>
  <c r="BK132" i="83"/>
  <c r="BE132" i="83"/>
  <c r="AP132" i="83"/>
  <c r="BO132" i="83" s="1"/>
  <c r="AH132" i="83"/>
  <c r="Z132" i="83"/>
  <c r="BM132" i="83" s="1"/>
  <c r="R132" i="83"/>
  <c r="BF132" i="83" s="1"/>
  <c r="J132" i="83"/>
  <c r="BK131" i="83"/>
  <c r="BE131" i="83"/>
  <c r="AP131" i="83"/>
  <c r="BI131" i="83" s="1"/>
  <c r="AH131" i="83"/>
  <c r="Z131" i="83"/>
  <c r="BM131" i="83" s="1"/>
  <c r="R131" i="83"/>
  <c r="BF131" i="83" s="1"/>
  <c r="J131" i="83"/>
  <c r="BK130" i="83"/>
  <c r="BE130" i="83"/>
  <c r="AP130" i="83"/>
  <c r="BI130" i="83" s="1"/>
  <c r="AH130" i="83"/>
  <c r="Z130" i="83"/>
  <c r="BM130" i="83" s="1"/>
  <c r="R130" i="83"/>
  <c r="BF130" i="83" s="1"/>
  <c r="J130" i="83"/>
  <c r="BK129" i="83"/>
  <c r="BE129" i="83"/>
  <c r="AP129" i="83"/>
  <c r="BO129" i="83" s="1"/>
  <c r="AH129" i="83"/>
  <c r="Z129" i="83"/>
  <c r="BG129" i="83" s="1"/>
  <c r="R129" i="83"/>
  <c r="BF129" i="83" s="1"/>
  <c r="J129" i="83"/>
  <c r="BK128" i="83"/>
  <c r="BE128" i="83"/>
  <c r="AP128" i="83"/>
  <c r="BO128" i="83" s="1"/>
  <c r="AH128" i="83"/>
  <c r="BH128" i="83" s="1"/>
  <c r="Z128" i="83"/>
  <c r="BM128" i="83" s="1"/>
  <c r="R128" i="83"/>
  <c r="BF128" i="83" s="1"/>
  <c r="J128" i="83"/>
  <c r="BK127" i="83"/>
  <c r="BE127" i="83"/>
  <c r="AP127" i="83"/>
  <c r="BI127" i="83" s="1"/>
  <c r="AH127" i="83"/>
  <c r="BH127" i="83" s="1"/>
  <c r="Z127" i="83"/>
  <c r="BG127" i="83" s="1"/>
  <c r="R127" i="83"/>
  <c r="BF127" i="83" s="1"/>
  <c r="J127" i="83"/>
  <c r="BK126" i="83"/>
  <c r="BE126" i="83"/>
  <c r="AP126" i="83"/>
  <c r="BO126" i="83" s="1"/>
  <c r="AH126" i="83"/>
  <c r="BH126" i="83" s="1"/>
  <c r="Z126" i="83"/>
  <c r="BM126" i="83" s="1"/>
  <c r="R126" i="83"/>
  <c r="BF126" i="83" s="1"/>
  <c r="J126" i="83"/>
  <c r="BK125" i="83"/>
  <c r="BE125" i="83"/>
  <c r="AP125" i="83"/>
  <c r="BO125" i="83" s="1"/>
  <c r="AH125" i="83"/>
  <c r="BH125" i="83" s="1"/>
  <c r="Z125" i="83"/>
  <c r="BM125" i="83" s="1"/>
  <c r="R125" i="83"/>
  <c r="BF125" i="83" s="1"/>
  <c r="J125" i="83"/>
  <c r="BK124" i="83"/>
  <c r="BE124" i="83"/>
  <c r="AP124" i="83"/>
  <c r="BO124" i="83" s="1"/>
  <c r="AH124" i="83"/>
  <c r="BH124" i="83" s="1"/>
  <c r="Z124" i="83"/>
  <c r="BM124" i="83" s="1"/>
  <c r="R124" i="83"/>
  <c r="BF124" i="83" s="1"/>
  <c r="J124" i="83"/>
  <c r="BK123" i="83"/>
  <c r="BE123" i="83"/>
  <c r="AP123" i="83"/>
  <c r="BO123" i="83" s="1"/>
  <c r="AH123" i="83"/>
  <c r="BH123" i="83" s="1"/>
  <c r="Z123" i="83"/>
  <c r="BG123" i="83" s="1"/>
  <c r="R123" i="83"/>
  <c r="BF123" i="83" s="1"/>
  <c r="J123" i="83"/>
  <c r="BK122" i="83"/>
  <c r="BE122" i="83"/>
  <c r="AP122" i="83"/>
  <c r="BO122" i="83" s="1"/>
  <c r="AH122" i="83"/>
  <c r="BH122" i="83" s="1"/>
  <c r="Z122" i="83"/>
  <c r="R122" i="83"/>
  <c r="BF122" i="83" s="1"/>
  <c r="J122" i="83"/>
  <c r="BK121" i="83"/>
  <c r="BE121" i="83"/>
  <c r="AP121" i="83"/>
  <c r="BI121" i="83" s="1"/>
  <c r="AH121" i="83"/>
  <c r="BH121" i="83" s="1"/>
  <c r="Z121" i="83"/>
  <c r="BG121" i="83" s="1"/>
  <c r="R121" i="83"/>
  <c r="BF121" i="83" s="1"/>
  <c r="J121" i="83"/>
  <c r="BK120" i="83"/>
  <c r="BE120" i="83"/>
  <c r="AP120" i="83"/>
  <c r="BO120" i="83" s="1"/>
  <c r="AH120" i="83"/>
  <c r="BH120" i="83" s="1"/>
  <c r="Z120" i="83"/>
  <c r="BM120" i="83" s="1"/>
  <c r="R120" i="83"/>
  <c r="BF120" i="83" s="1"/>
  <c r="J120" i="83"/>
  <c r="BK119" i="83"/>
  <c r="BE119" i="83"/>
  <c r="AP119" i="83"/>
  <c r="BO119" i="83" s="1"/>
  <c r="AH119" i="83"/>
  <c r="BH119" i="83" s="1"/>
  <c r="Z119" i="83"/>
  <c r="BG119" i="83" s="1"/>
  <c r="R119" i="83"/>
  <c r="BF119" i="83" s="1"/>
  <c r="J119" i="83"/>
  <c r="BK118" i="83"/>
  <c r="BE118" i="83"/>
  <c r="AP118" i="83"/>
  <c r="BI118" i="83" s="1"/>
  <c r="AH118" i="83"/>
  <c r="BH118" i="83" s="1"/>
  <c r="Z118" i="83"/>
  <c r="BM118" i="83" s="1"/>
  <c r="R118" i="83"/>
  <c r="BF118" i="83" s="1"/>
  <c r="J118" i="83"/>
  <c r="BK117" i="83"/>
  <c r="BE117" i="83"/>
  <c r="AP117" i="83"/>
  <c r="BO117" i="83" s="1"/>
  <c r="AH117" i="83"/>
  <c r="BH117" i="83" s="1"/>
  <c r="Z117" i="83"/>
  <c r="BM117" i="83" s="1"/>
  <c r="R117" i="83"/>
  <c r="BF117" i="83" s="1"/>
  <c r="J117" i="83"/>
  <c r="BK116" i="83"/>
  <c r="BE116" i="83"/>
  <c r="AP116" i="83"/>
  <c r="BO116" i="83" s="1"/>
  <c r="AH116" i="83"/>
  <c r="BH116" i="83" s="1"/>
  <c r="Z116" i="83"/>
  <c r="BM116" i="83" s="1"/>
  <c r="R116" i="83"/>
  <c r="BF116" i="83" s="1"/>
  <c r="J116" i="83"/>
  <c r="BK115" i="83"/>
  <c r="BE115" i="83"/>
  <c r="AP115" i="83"/>
  <c r="BI115" i="83" s="1"/>
  <c r="AH115" i="83"/>
  <c r="Z115" i="83"/>
  <c r="BM115" i="83" s="1"/>
  <c r="R115" i="83"/>
  <c r="J115" i="83"/>
  <c r="BK114" i="83"/>
  <c r="BE114" i="83"/>
  <c r="AP114" i="83"/>
  <c r="BO114" i="83" s="1"/>
  <c r="AH114" i="83"/>
  <c r="Z114" i="83"/>
  <c r="BM114" i="83" s="1"/>
  <c r="R114" i="83"/>
  <c r="J114" i="83"/>
  <c r="BK113" i="83"/>
  <c r="BE113" i="83"/>
  <c r="AP113" i="83"/>
  <c r="BI113" i="83" s="1"/>
  <c r="AH113" i="83"/>
  <c r="Z113" i="83"/>
  <c r="BM113" i="83" s="1"/>
  <c r="R113" i="83"/>
  <c r="J113" i="83"/>
  <c r="BK112" i="83"/>
  <c r="BE112" i="83"/>
  <c r="AP112" i="83"/>
  <c r="BI112" i="83" s="1"/>
  <c r="AH112" i="83"/>
  <c r="BH112" i="83" s="1"/>
  <c r="Z112" i="83"/>
  <c r="BM112" i="83" s="1"/>
  <c r="R112" i="83"/>
  <c r="BL112" i="83" s="1"/>
  <c r="J112" i="83"/>
  <c r="BK111" i="83"/>
  <c r="BE111" i="83"/>
  <c r="AP111" i="83"/>
  <c r="BO111" i="83" s="1"/>
  <c r="AH111" i="83"/>
  <c r="Z111" i="83"/>
  <c r="BM111" i="83" s="1"/>
  <c r="R111" i="83"/>
  <c r="J111" i="83"/>
  <c r="BK110" i="83"/>
  <c r="BE110" i="83"/>
  <c r="AP110" i="83"/>
  <c r="BO110" i="83" s="1"/>
  <c r="AH110" i="83"/>
  <c r="BH110" i="83" s="1"/>
  <c r="Z110" i="83"/>
  <c r="BG110" i="83" s="1"/>
  <c r="R110" i="83"/>
  <c r="BL110" i="83" s="1"/>
  <c r="J110" i="83"/>
  <c r="BK109" i="83"/>
  <c r="BE109" i="83"/>
  <c r="AP109" i="83"/>
  <c r="BI109" i="83" s="1"/>
  <c r="AH109" i="83"/>
  <c r="BH109" i="83" s="1"/>
  <c r="Z109" i="83"/>
  <c r="R109" i="83"/>
  <c r="BL109" i="83" s="1"/>
  <c r="J109" i="83"/>
  <c r="BK108" i="83"/>
  <c r="BE108" i="83"/>
  <c r="AP108" i="83"/>
  <c r="BO108" i="83" s="1"/>
  <c r="AH108" i="83"/>
  <c r="BH108" i="83" s="1"/>
  <c r="Z108" i="83"/>
  <c r="BM108" i="83" s="1"/>
  <c r="R108" i="83"/>
  <c r="BL108" i="83" s="1"/>
  <c r="J108" i="83"/>
  <c r="BK107" i="83"/>
  <c r="BE107" i="83"/>
  <c r="AP107" i="83"/>
  <c r="BI107" i="83" s="1"/>
  <c r="AH107" i="83"/>
  <c r="Z107" i="83"/>
  <c r="BM107" i="83" s="1"/>
  <c r="R107" i="83"/>
  <c r="J107" i="83"/>
  <c r="BK106" i="83"/>
  <c r="BE106" i="83"/>
  <c r="AP106" i="83"/>
  <c r="BI106" i="83" s="1"/>
  <c r="AH106" i="83"/>
  <c r="BH106" i="83" s="1"/>
  <c r="Z106" i="83"/>
  <c r="BG106" i="83" s="1"/>
  <c r="R106" i="83"/>
  <c r="BL106" i="83" s="1"/>
  <c r="J106" i="83"/>
  <c r="BK105" i="83"/>
  <c r="BE105" i="83"/>
  <c r="AP105" i="83"/>
  <c r="BO105" i="83" s="1"/>
  <c r="AH105" i="83"/>
  <c r="BH105" i="83" s="1"/>
  <c r="Z105" i="83"/>
  <c r="R105" i="83"/>
  <c r="BL105" i="83" s="1"/>
  <c r="J105" i="83"/>
  <c r="BK104" i="83"/>
  <c r="BE104" i="83"/>
  <c r="AP104" i="83"/>
  <c r="BI104" i="83" s="1"/>
  <c r="AH104" i="83"/>
  <c r="BH104" i="83" s="1"/>
  <c r="Z104" i="83"/>
  <c r="BM104" i="83" s="1"/>
  <c r="R104" i="83"/>
  <c r="BL104" i="83" s="1"/>
  <c r="J104" i="83"/>
  <c r="BK103" i="83"/>
  <c r="BE103" i="83"/>
  <c r="AP103" i="83"/>
  <c r="BO103" i="83" s="1"/>
  <c r="AH103" i="83"/>
  <c r="Z103" i="83"/>
  <c r="BM103" i="83" s="1"/>
  <c r="R103" i="83"/>
  <c r="J103" i="83"/>
  <c r="BK102" i="83"/>
  <c r="BE102" i="83"/>
  <c r="AP102" i="83"/>
  <c r="BI102" i="83" s="1"/>
  <c r="AH102" i="83"/>
  <c r="BH102" i="83" s="1"/>
  <c r="Z102" i="83"/>
  <c r="BM102" i="83" s="1"/>
  <c r="R102" i="83"/>
  <c r="J102" i="83"/>
  <c r="BK101" i="83"/>
  <c r="BE101" i="83"/>
  <c r="AP101" i="83"/>
  <c r="BI101" i="83" s="1"/>
  <c r="AH101" i="83"/>
  <c r="BH101" i="83" s="1"/>
  <c r="Z101" i="83"/>
  <c r="BG101" i="83" s="1"/>
  <c r="R101" i="83"/>
  <c r="BL101" i="83" s="1"/>
  <c r="J101" i="83"/>
  <c r="BK100" i="83"/>
  <c r="BE100" i="83"/>
  <c r="AP100" i="83"/>
  <c r="BO100" i="83" s="1"/>
  <c r="AH100" i="83"/>
  <c r="Z100" i="83"/>
  <c r="BM100" i="83" s="1"/>
  <c r="R100" i="83"/>
  <c r="BF100" i="83" s="1"/>
  <c r="J100" i="83"/>
  <c r="BK99" i="83"/>
  <c r="BE99" i="83"/>
  <c r="AP99" i="83"/>
  <c r="BO99" i="83" s="1"/>
  <c r="AH99" i="83"/>
  <c r="Z99" i="83"/>
  <c r="BG99" i="83" s="1"/>
  <c r="R99" i="83"/>
  <c r="BF99" i="83" s="1"/>
  <c r="J99" i="83"/>
  <c r="BK98" i="83"/>
  <c r="BE98" i="83"/>
  <c r="AP98" i="83"/>
  <c r="BO98" i="83" s="1"/>
  <c r="AH98" i="83"/>
  <c r="Z98" i="83"/>
  <c r="BM98" i="83" s="1"/>
  <c r="R98" i="83"/>
  <c r="BF98" i="83" s="1"/>
  <c r="J98" i="83"/>
  <c r="BK97" i="83"/>
  <c r="BE97" i="83"/>
  <c r="AP97" i="83"/>
  <c r="BO97" i="83" s="1"/>
  <c r="AH97" i="83"/>
  <c r="Z97" i="83"/>
  <c r="BM97" i="83" s="1"/>
  <c r="R97" i="83"/>
  <c r="BF97" i="83" s="1"/>
  <c r="J97" i="83"/>
  <c r="BK96" i="83"/>
  <c r="BE96" i="83"/>
  <c r="AP96" i="83"/>
  <c r="BO96" i="83" s="1"/>
  <c r="AH96" i="83"/>
  <c r="Z96" i="83"/>
  <c r="BG96" i="83" s="1"/>
  <c r="R96" i="83"/>
  <c r="BF96" i="83" s="1"/>
  <c r="J96" i="83"/>
  <c r="BK95" i="83"/>
  <c r="BE95" i="83"/>
  <c r="AP95" i="83"/>
  <c r="BO95" i="83" s="1"/>
  <c r="AH95" i="83"/>
  <c r="Z95" i="83"/>
  <c r="BM95" i="83" s="1"/>
  <c r="R95" i="83"/>
  <c r="BF95" i="83" s="1"/>
  <c r="J95" i="83"/>
  <c r="BK94" i="83"/>
  <c r="BE94" i="83"/>
  <c r="AP94" i="83"/>
  <c r="BO94" i="83" s="1"/>
  <c r="AH94" i="83"/>
  <c r="Z94" i="83"/>
  <c r="BG94" i="83" s="1"/>
  <c r="R94" i="83"/>
  <c r="BF94" i="83" s="1"/>
  <c r="J94" i="83"/>
  <c r="BK93" i="83"/>
  <c r="BE93" i="83"/>
  <c r="AP93" i="83"/>
  <c r="BO93" i="83" s="1"/>
  <c r="AH93" i="83"/>
  <c r="Z93" i="83"/>
  <c r="BG93" i="83" s="1"/>
  <c r="R93" i="83"/>
  <c r="BF93" i="83" s="1"/>
  <c r="J93" i="83"/>
  <c r="BK92" i="83"/>
  <c r="BE92" i="83"/>
  <c r="AP92" i="83"/>
  <c r="BO92" i="83" s="1"/>
  <c r="AH92" i="83"/>
  <c r="Z92" i="83"/>
  <c r="BG92" i="83" s="1"/>
  <c r="R92" i="83"/>
  <c r="BF92" i="83" s="1"/>
  <c r="J92" i="83"/>
  <c r="BK91" i="83"/>
  <c r="BE91" i="83"/>
  <c r="AP91" i="83"/>
  <c r="BO91" i="83" s="1"/>
  <c r="AH91" i="83"/>
  <c r="Z91" i="83"/>
  <c r="BG91" i="83" s="1"/>
  <c r="R91" i="83"/>
  <c r="BF91" i="83" s="1"/>
  <c r="J91" i="83"/>
  <c r="BK90" i="83"/>
  <c r="BE90" i="83"/>
  <c r="AP90" i="83"/>
  <c r="BO90" i="83" s="1"/>
  <c r="AH90" i="83"/>
  <c r="Z90" i="83"/>
  <c r="BM90" i="83" s="1"/>
  <c r="R90" i="83"/>
  <c r="BF90" i="83" s="1"/>
  <c r="J90" i="83"/>
  <c r="BK89" i="83"/>
  <c r="BE89" i="83"/>
  <c r="AP89" i="83"/>
  <c r="BO89" i="83" s="1"/>
  <c r="AH89" i="83"/>
  <c r="Z89" i="83"/>
  <c r="BM89" i="83" s="1"/>
  <c r="R89" i="83"/>
  <c r="BF89" i="83" s="1"/>
  <c r="J89" i="83"/>
  <c r="BK88" i="83"/>
  <c r="BE88" i="83"/>
  <c r="AP88" i="83"/>
  <c r="BO88" i="83" s="1"/>
  <c r="AH88" i="83"/>
  <c r="Z88" i="83"/>
  <c r="BG88" i="83" s="1"/>
  <c r="R88" i="83"/>
  <c r="BF88" i="83" s="1"/>
  <c r="J88" i="83"/>
  <c r="BK87" i="83"/>
  <c r="BE87" i="83"/>
  <c r="AP87" i="83"/>
  <c r="BO87" i="83" s="1"/>
  <c r="AH87" i="83"/>
  <c r="Z87" i="83"/>
  <c r="BM87" i="83" s="1"/>
  <c r="R87" i="83"/>
  <c r="BF87" i="83" s="1"/>
  <c r="J87" i="83"/>
  <c r="BK86" i="83"/>
  <c r="BE86" i="83"/>
  <c r="AP86" i="83"/>
  <c r="BO86" i="83" s="1"/>
  <c r="AH86" i="83"/>
  <c r="Z86" i="83"/>
  <c r="BG86" i="83" s="1"/>
  <c r="R86" i="83"/>
  <c r="BF86" i="83" s="1"/>
  <c r="J86" i="83"/>
  <c r="BK85" i="83"/>
  <c r="BE85" i="83"/>
  <c r="AP85" i="83"/>
  <c r="BO85" i="83" s="1"/>
  <c r="AH85" i="83"/>
  <c r="Z85" i="83"/>
  <c r="BM85" i="83" s="1"/>
  <c r="R85" i="83"/>
  <c r="BF85" i="83" s="1"/>
  <c r="J85" i="83"/>
  <c r="BK84" i="83"/>
  <c r="BE84" i="83"/>
  <c r="AP84" i="83"/>
  <c r="BO84" i="83" s="1"/>
  <c r="AH84" i="83"/>
  <c r="Z84" i="83"/>
  <c r="BG84" i="83" s="1"/>
  <c r="R84" i="83"/>
  <c r="BF84" i="83" s="1"/>
  <c r="J84" i="83"/>
  <c r="BK83" i="83"/>
  <c r="BE83" i="83"/>
  <c r="AP83" i="83"/>
  <c r="BO83" i="83" s="1"/>
  <c r="AH83" i="83"/>
  <c r="Z83" i="83"/>
  <c r="BG83" i="83" s="1"/>
  <c r="R83" i="83"/>
  <c r="BF83" i="83" s="1"/>
  <c r="J83" i="83"/>
  <c r="BK82" i="83"/>
  <c r="BE82" i="83"/>
  <c r="AP82" i="83"/>
  <c r="BO82" i="83" s="1"/>
  <c r="AH82" i="83"/>
  <c r="Z82" i="83"/>
  <c r="BM82" i="83" s="1"/>
  <c r="R82" i="83"/>
  <c r="BF82" i="83" s="1"/>
  <c r="J82" i="83"/>
  <c r="BK81" i="83"/>
  <c r="BE81" i="83"/>
  <c r="AP81" i="83"/>
  <c r="BO81" i="83" s="1"/>
  <c r="AH81" i="83"/>
  <c r="Z81" i="83"/>
  <c r="BM81" i="83" s="1"/>
  <c r="R81" i="83"/>
  <c r="BF81" i="83" s="1"/>
  <c r="J81" i="83"/>
  <c r="BK80" i="83"/>
  <c r="BE80" i="83"/>
  <c r="AP80" i="83"/>
  <c r="BO80" i="83" s="1"/>
  <c r="AH80" i="83"/>
  <c r="Z80" i="83"/>
  <c r="BG80" i="83" s="1"/>
  <c r="R80" i="83"/>
  <c r="BF80" i="83" s="1"/>
  <c r="J80" i="83"/>
  <c r="BK79" i="83"/>
  <c r="BE79" i="83"/>
  <c r="AP79" i="83"/>
  <c r="BO79" i="83" s="1"/>
  <c r="AH79" i="83"/>
  <c r="Z79" i="83"/>
  <c r="BM79" i="83" s="1"/>
  <c r="R79" i="83"/>
  <c r="BF79" i="83" s="1"/>
  <c r="J79" i="83"/>
  <c r="BK78" i="83"/>
  <c r="BE78" i="83"/>
  <c r="AP78" i="83"/>
  <c r="BO78" i="83" s="1"/>
  <c r="AH78" i="83"/>
  <c r="Z78" i="83"/>
  <c r="BG78" i="83" s="1"/>
  <c r="R78" i="83"/>
  <c r="BF78" i="83" s="1"/>
  <c r="J78" i="83"/>
  <c r="BK77" i="83"/>
  <c r="BE77" i="83"/>
  <c r="AP77" i="83"/>
  <c r="BO77" i="83" s="1"/>
  <c r="AH77" i="83"/>
  <c r="Z77" i="83"/>
  <c r="BM77" i="83" s="1"/>
  <c r="R77" i="83"/>
  <c r="BF77" i="83" s="1"/>
  <c r="J77" i="83"/>
  <c r="BK76" i="83"/>
  <c r="BE76" i="83"/>
  <c r="AP76" i="83"/>
  <c r="BO76" i="83" s="1"/>
  <c r="AH76" i="83"/>
  <c r="Z76" i="83"/>
  <c r="BG76" i="83" s="1"/>
  <c r="R76" i="83"/>
  <c r="BF76" i="83" s="1"/>
  <c r="J76" i="83"/>
  <c r="BK75" i="83"/>
  <c r="BE75" i="83"/>
  <c r="AP75" i="83"/>
  <c r="BO75" i="83" s="1"/>
  <c r="AH75" i="83"/>
  <c r="Z75" i="83"/>
  <c r="BG75" i="83" s="1"/>
  <c r="R75" i="83"/>
  <c r="BF75" i="83" s="1"/>
  <c r="J75" i="83"/>
  <c r="BK74" i="83"/>
  <c r="BE74" i="83"/>
  <c r="AP74" i="83"/>
  <c r="BO74" i="83" s="1"/>
  <c r="AH74" i="83"/>
  <c r="Z74" i="83"/>
  <c r="BG74" i="83" s="1"/>
  <c r="R74" i="83"/>
  <c r="BF74" i="83" s="1"/>
  <c r="J74" i="83"/>
  <c r="BK73" i="83"/>
  <c r="BE73" i="83"/>
  <c r="AP73" i="83"/>
  <c r="BO73" i="83" s="1"/>
  <c r="AH73" i="83"/>
  <c r="Z73" i="83"/>
  <c r="BM73" i="83" s="1"/>
  <c r="R73" i="83"/>
  <c r="BF73" i="83" s="1"/>
  <c r="J73" i="83"/>
  <c r="BK72" i="83"/>
  <c r="BE72" i="83"/>
  <c r="AP72" i="83"/>
  <c r="BO72" i="83" s="1"/>
  <c r="AH72" i="83"/>
  <c r="Z72" i="83"/>
  <c r="BG72" i="83" s="1"/>
  <c r="R72" i="83"/>
  <c r="BF72" i="83" s="1"/>
  <c r="J72" i="83"/>
  <c r="BK71" i="83"/>
  <c r="BE71" i="83"/>
  <c r="AP71" i="83"/>
  <c r="BO71" i="83" s="1"/>
  <c r="AH71" i="83"/>
  <c r="BH71" i="83" s="1"/>
  <c r="Z71" i="83"/>
  <c r="BG71" i="83" s="1"/>
  <c r="R71" i="83"/>
  <c r="BF71" i="83" s="1"/>
  <c r="J71" i="83"/>
  <c r="BK70" i="83"/>
  <c r="BE70" i="83"/>
  <c r="AP70" i="83"/>
  <c r="BO70" i="83" s="1"/>
  <c r="AH70" i="83"/>
  <c r="BH70" i="83" s="1"/>
  <c r="Z70" i="83"/>
  <c r="BG70" i="83" s="1"/>
  <c r="R70" i="83"/>
  <c r="BF70" i="83" s="1"/>
  <c r="J70" i="83"/>
  <c r="BK69" i="83"/>
  <c r="BE69" i="83"/>
  <c r="AP69" i="83"/>
  <c r="BO69" i="83" s="1"/>
  <c r="AH69" i="83"/>
  <c r="BH69" i="83" s="1"/>
  <c r="Z69" i="83"/>
  <c r="BM69" i="83" s="1"/>
  <c r="R69" i="83"/>
  <c r="BF69" i="83" s="1"/>
  <c r="J69" i="83"/>
  <c r="BK68" i="83"/>
  <c r="BE68" i="83"/>
  <c r="AP68" i="83"/>
  <c r="BO68" i="83" s="1"/>
  <c r="AH68" i="83"/>
  <c r="BH68" i="83" s="1"/>
  <c r="Z68" i="83"/>
  <c r="BG68" i="83" s="1"/>
  <c r="R68" i="83"/>
  <c r="BF68" i="83" s="1"/>
  <c r="J68" i="83"/>
  <c r="BK67" i="83"/>
  <c r="BE67" i="83"/>
  <c r="AP67" i="83"/>
  <c r="BO67" i="83" s="1"/>
  <c r="AH67" i="83"/>
  <c r="BN67" i="83" s="1"/>
  <c r="Z67" i="83"/>
  <c r="BG67" i="83" s="1"/>
  <c r="R67" i="83"/>
  <c r="BF67" i="83" s="1"/>
  <c r="J67" i="83"/>
  <c r="BK66" i="83"/>
  <c r="BE66" i="83"/>
  <c r="AP66" i="83"/>
  <c r="BO66" i="83" s="1"/>
  <c r="AH66" i="83"/>
  <c r="BH66" i="83" s="1"/>
  <c r="Z66" i="83"/>
  <c r="BG66" i="83" s="1"/>
  <c r="R66" i="83"/>
  <c r="BF66" i="83" s="1"/>
  <c r="J66" i="83"/>
  <c r="BK65" i="83"/>
  <c r="BE65" i="83"/>
  <c r="AP65" i="83"/>
  <c r="BO65" i="83" s="1"/>
  <c r="AH65" i="83"/>
  <c r="BH65" i="83" s="1"/>
  <c r="Z65" i="83"/>
  <c r="BM65" i="83" s="1"/>
  <c r="R65" i="83"/>
  <c r="BF65" i="83" s="1"/>
  <c r="J65" i="83"/>
  <c r="BK64" i="83"/>
  <c r="BE64" i="83"/>
  <c r="AP64" i="83"/>
  <c r="BO64" i="83" s="1"/>
  <c r="AH64" i="83"/>
  <c r="BH64" i="83" s="1"/>
  <c r="Z64" i="83"/>
  <c r="BM64" i="83" s="1"/>
  <c r="R64" i="83"/>
  <c r="BF64" i="83" s="1"/>
  <c r="J64" i="83"/>
  <c r="BK63" i="83"/>
  <c r="BE63" i="83"/>
  <c r="AP63" i="83"/>
  <c r="BO63" i="83" s="1"/>
  <c r="AH63" i="83"/>
  <c r="BH63" i="83" s="1"/>
  <c r="Z63" i="83"/>
  <c r="BG63" i="83" s="1"/>
  <c r="R63" i="83"/>
  <c r="BF63" i="83" s="1"/>
  <c r="J63" i="83"/>
  <c r="BK62" i="83"/>
  <c r="BE62" i="83"/>
  <c r="AP62" i="83"/>
  <c r="BO62" i="83" s="1"/>
  <c r="AH62" i="83"/>
  <c r="BH62" i="83" s="1"/>
  <c r="Z62" i="83"/>
  <c r="BG62" i="83" s="1"/>
  <c r="R62" i="83"/>
  <c r="BF62" i="83" s="1"/>
  <c r="J62" i="83"/>
  <c r="BK61" i="83"/>
  <c r="BE61" i="83"/>
  <c r="AP61" i="83"/>
  <c r="BO61" i="83" s="1"/>
  <c r="AH61" i="83"/>
  <c r="BN61" i="83" s="1"/>
  <c r="Z61" i="83"/>
  <c r="BM61" i="83" s="1"/>
  <c r="R61" i="83"/>
  <c r="BF61" i="83" s="1"/>
  <c r="J61" i="83"/>
  <c r="BK60" i="83"/>
  <c r="BE60" i="83"/>
  <c r="AP60" i="83"/>
  <c r="BO60" i="83" s="1"/>
  <c r="AH60" i="83"/>
  <c r="BH60" i="83" s="1"/>
  <c r="Z60" i="83"/>
  <c r="BG60" i="83" s="1"/>
  <c r="R60" i="83"/>
  <c r="BF60" i="83" s="1"/>
  <c r="J60" i="83"/>
  <c r="BK59" i="83"/>
  <c r="BE59" i="83"/>
  <c r="AP59" i="83"/>
  <c r="BO59" i="83" s="1"/>
  <c r="AH59" i="83"/>
  <c r="BH59" i="83" s="1"/>
  <c r="Z59" i="83"/>
  <c r="BG59" i="83" s="1"/>
  <c r="R59" i="83"/>
  <c r="BF59" i="83" s="1"/>
  <c r="J59" i="83"/>
  <c r="BK58" i="83"/>
  <c r="BE58" i="83"/>
  <c r="AP58" i="83"/>
  <c r="BO58" i="83" s="1"/>
  <c r="AH58" i="83"/>
  <c r="BH58" i="83" s="1"/>
  <c r="Z58" i="83"/>
  <c r="BG58" i="83" s="1"/>
  <c r="R58" i="83"/>
  <c r="BF58" i="83" s="1"/>
  <c r="J58" i="83"/>
  <c r="BK57" i="83"/>
  <c r="BE57" i="83"/>
  <c r="AP57" i="83"/>
  <c r="BO57" i="83" s="1"/>
  <c r="AH57" i="83"/>
  <c r="BH57" i="83" s="1"/>
  <c r="Z57" i="83"/>
  <c r="BM57" i="83" s="1"/>
  <c r="R57" i="83"/>
  <c r="BF57" i="83" s="1"/>
  <c r="J57" i="83"/>
  <c r="BK56" i="83"/>
  <c r="BE56" i="83"/>
  <c r="AP56" i="83"/>
  <c r="BO56" i="83" s="1"/>
  <c r="AH56" i="83"/>
  <c r="BH56" i="83" s="1"/>
  <c r="Z56" i="83"/>
  <c r="BM56" i="83" s="1"/>
  <c r="R56" i="83"/>
  <c r="BF56" i="83" s="1"/>
  <c r="J56" i="83"/>
  <c r="BK55" i="83"/>
  <c r="BE55" i="83"/>
  <c r="AP55" i="83"/>
  <c r="BI55" i="83" s="1"/>
  <c r="AH55" i="83"/>
  <c r="BH55" i="83" s="1"/>
  <c r="Z55" i="83"/>
  <c r="BM55" i="83" s="1"/>
  <c r="R55" i="83"/>
  <c r="BF55" i="83" s="1"/>
  <c r="J55" i="83"/>
  <c r="BK54" i="83"/>
  <c r="BE54" i="83"/>
  <c r="AP54" i="83"/>
  <c r="BI54" i="83" s="1"/>
  <c r="AH54" i="83"/>
  <c r="BH54" i="83" s="1"/>
  <c r="Z54" i="83"/>
  <c r="BM54" i="83" s="1"/>
  <c r="R54" i="83"/>
  <c r="BL54" i="83" s="1"/>
  <c r="J54" i="83"/>
  <c r="BK53" i="83"/>
  <c r="BE53" i="83"/>
  <c r="AP53" i="83"/>
  <c r="BI53" i="83" s="1"/>
  <c r="AH53" i="83"/>
  <c r="BH53" i="83" s="1"/>
  <c r="Z53" i="83"/>
  <c r="BM53" i="83" s="1"/>
  <c r="R53" i="83"/>
  <c r="BF53" i="83" s="1"/>
  <c r="J53" i="83"/>
  <c r="BK52" i="83"/>
  <c r="BE52" i="83"/>
  <c r="AP52" i="83"/>
  <c r="BI52" i="83" s="1"/>
  <c r="AH52" i="83"/>
  <c r="BH52" i="83" s="1"/>
  <c r="Z52" i="83"/>
  <c r="BM52" i="83" s="1"/>
  <c r="R52" i="83"/>
  <c r="BF52" i="83" s="1"/>
  <c r="J52" i="83"/>
  <c r="BK51" i="83"/>
  <c r="BE51" i="83"/>
  <c r="AP51" i="83"/>
  <c r="BI51" i="83" s="1"/>
  <c r="AH51" i="83"/>
  <c r="BH51" i="83" s="1"/>
  <c r="Z51" i="83"/>
  <c r="BM51" i="83" s="1"/>
  <c r="R51" i="83"/>
  <c r="BF51" i="83" s="1"/>
  <c r="J51" i="83"/>
  <c r="BK50" i="83"/>
  <c r="BE50" i="83"/>
  <c r="AP50" i="83"/>
  <c r="BI50" i="83" s="1"/>
  <c r="AH50" i="83"/>
  <c r="BH50" i="83" s="1"/>
  <c r="Z50" i="83"/>
  <c r="BM50" i="83" s="1"/>
  <c r="R50" i="83"/>
  <c r="BF50" i="83" s="1"/>
  <c r="J50" i="83"/>
  <c r="BK49" i="83"/>
  <c r="BE49" i="83"/>
  <c r="AP49" i="83"/>
  <c r="BI49" i="83" s="1"/>
  <c r="AH49" i="83"/>
  <c r="BH49" i="83" s="1"/>
  <c r="Z49" i="83"/>
  <c r="BM49" i="83" s="1"/>
  <c r="R49" i="83"/>
  <c r="BF49" i="83" s="1"/>
  <c r="J49" i="83"/>
  <c r="BK48" i="83"/>
  <c r="BE48" i="83"/>
  <c r="AP48" i="83"/>
  <c r="BI48" i="83" s="1"/>
  <c r="AH48" i="83"/>
  <c r="BH48" i="83" s="1"/>
  <c r="Z48" i="83"/>
  <c r="BM48" i="83" s="1"/>
  <c r="R48" i="83"/>
  <c r="BF48" i="83" s="1"/>
  <c r="J48" i="83"/>
  <c r="BK47" i="83"/>
  <c r="BE47" i="83"/>
  <c r="AP47" i="83"/>
  <c r="BI47" i="83" s="1"/>
  <c r="AH47" i="83"/>
  <c r="BH47" i="83" s="1"/>
  <c r="Z47" i="83"/>
  <c r="BM47" i="83" s="1"/>
  <c r="R47" i="83"/>
  <c r="BF47" i="83" s="1"/>
  <c r="J47" i="83"/>
  <c r="BK46" i="83"/>
  <c r="BE46" i="83"/>
  <c r="AP46" i="83"/>
  <c r="BI46" i="83" s="1"/>
  <c r="AH46" i="83"/>
  <c r="BH46" i="83" s="1"/>
  <c r="Z46" i="83"/>
  <c r="BM46" i="83" s="1"/>
  <c r="R46" i="83"/>
  <c r="BF46" i="83" s="1"/>
  <c r="J46" i="83"/>
  <c r="BK45" i="83"/>
  <c r="BE45" i="83"/>
  <c r="AP45" i="83"/>
  <c r="BI45" i="83" s="1"/>
  <c r="AH45" i="83"/>
  <c r="BH45" i="83" s="1"/>
  <c r="Z45" i="83"/>
  <c r="BM45" i="83" s="1"/>
  <c r="R45" i="83"/>
  <c r="BF45" i="83" s="1"/>
  <c r="J45" i="83"/>
  <c r="BK44" i="83"/>
  <c r="BE44" i="83"/>
  <c r="AP44" i="83"/>
  <c r="BI44" i="83" s="1"/>
  <c r="AH44" i="83"/>
  <c r="BH44" i="83" s="1"/>
  <c r="Z44" i="83"/>
  <c r="BM44" i="83" s="1"/>
  <c r="R44" i="83"/>
  <c r="BF44" i="83" s="1"/>
  <c r="J44" i="83"/>
  <c r="BK43" i="83"/>
  <c r="BE43" i="83"/>
  <c r="AP43" i="83"/>
  <c r="BI43" i="83" s="1"/>
  <c r="AH43" i="83"/>
  <c r="BH43" i="83" s="1"/>
  <c r="Z43" i="83"/>
  <c r="BM43" i="83" s="1"/>
  <c r="R43" i="83"/>
  <c r="BF43" i="83" s="1"/>
  <c r="J43" i="83"/>
  <c r="BK42" i="83"/>
  <c r="BE42" i="83"/>
  <c r="AP42" i="83"/>
  <c r="BI42" i="83" s="1"/>
  <c r="AH42" i="83"/>
  <c r="BH42" i="83" s="1"/>
  <c r="Z42" i="83"/>
  <c r="BM42" i="83" s="1"/>
  <c r="R42" i="83"/>
  <c r="BF42" i="83" s="1"/>
  <c r="J42" i="83"/>
  <c r="AP41" i="83"/>
  <c r="BI41" i="83" s="1"/>
  <c r="Z41" i="83"/>
  <c r="BM41" i="83" s="1"/>
  <c r="R41" i="83"/>
  <c r="BF41" i="83" s="1"/>
  <c r="AP40" i="83"/>
  <c r="BI40" i="83" s="1"/>
  <c r="Z40" i="83"/>
  <c r="BM40" i="83" s="1"/>
  <c r="R40" i="83"/>
  <c r="BF40" i="83" s="1"/>
  <c r="AP39" i="83"/>
  <c r="BO39" i="83" s="1"/>
  <c r="Z39" i="83"/>
  <c r="BM39" i="83" s="1"/>
  <c r="R39" i="83"/>
  <c r="BF39" i="83" s="1"/>
  <c r="AP38" i="83"/>
  <c r="BO38" i="83" s="1"/>
  <c r="Z38" i="83"/>
  <c r="BG38" i="83" s="1"/>
  <c r="R38" i="83"/>
  <c r="BF38" i="83" s="1"/>
  <c r="AP37" i="83"/>
  <c r="BI37" i="83" s="1"/>
  <c r="Z37" i="83"/>
  <c r="BG37" i="83" s="1"/>
  <c r="R37" i="83"/>
  <c r="BF37" i="83" s="1"/>
  <c r="AP36" i="83"/>
  <c r="BI36" i="83" s="1"/>
  <c r="Z36" i="83"/>
  <c r="BG36" i="83" s="1"/>
  <c r="R36" i="83"/>
  <c r="BF36" i="83" s="1"/>
  <c r="AP35" i="83"/>
  <c r="BO35" i="83" s="1"/>
  <c r="Z35" i="83"/>
  <c r="BM35" i="83" s="1"/>
  <c r="R35" i="83"/>
  <c r="BF35" i="83" s="1"/>
  <c r="AP34" i="83"/>
  <c r="BI34" i="83" s="1"/>
  <c r="Z34" i="83"/>
  <c r="BM34" i="83" s="1"/>
  <c r="R34" i="83"/>
  <c r="BF34" i="83" s="1"/>
  <c r="AP33" i="83"/>
  <c r="BI33" i="83" s="1"/>
  <c r="R33" i="83"/>
  <c r="BF33" i="83" s="1"/>
  <c r="AP32" i="83"/>
  <c r="BI32" i="83" s="1"/>
  <c r="R32" i="83"/>
  <c r="BF32" i="83" s="1"/>
  <c r="AP31" i="83"/>
  <c r="BI31" i="83" s="1"/>
  <c r="R31" i="83"/>
  <c r="BL31" i="83" s="1"/>
  <c r="AP30" i="83"/>
  <c r="BO30" i="83" s="1"/>
  <c r="R30" i="83"/>
  <c r="BF30" i="83" s="1"/>
  <c r="AP29" i="83"/>
  <c r="BO29" i="83" s="1"/>
  <c r="R29" i="83"/>
  <c r="BL29" i="83" s="1"/>
  <c r="AP28" i="83"/>
  <c r="BI28" i="83" s="1"/>
  <c r="R28" i="83"/>
  <c r="BF28" i="83" s="1"/>
  <c r="AP27" i="83"/>
  <c r="BO27" i="83" s="1"/>
  <c r="R27" i="83"/>
  <c r="BL27" i="83" s="1"/>
  <c r="AP26" i="83"/>
  <c r="BI26" i="83" s="1"/>
  <c r="R26" i="83"/>
  <c r="BF26" i="83" s="1"/>
  <c r="BB25" i="83"/>
  <c r="AP25" i="83"/>
  <c r="BO25" i="83" s="1"/>
  <c r="R25" i="83"/>
  <c r="BF25" i="83" s="1"/>
  <c r="R24" i="83"/>
  <c r="BF24" i="83" s="1"/>
  <c r="E18" i="83"/>
  <c r="E19" i="83" s="1"/>
  <c r="E20" i="83" s="1"/>
  <c r="E21" i="83" s="1"/>
  <c r="E22" i="83" s="1"/>
  <c r="E23" i="83" s="1"/>
  <c r="E24" i="83" s="1"/>
  <c r="E25" i="83" s="1"/>
  <c r="E26" i="83" s="1"/>
  <c r="E27" i="83" s="1"/>
  <c r="E28" i="83" s="1"/>
  <c r="E29" i="83" s="1"/>
  <c r="E30" i="83" s="1"/>
  <c r="E31" i="83" s="1"/>
  <c r="E32" i="83" s="1"/>
  <c r="E33" i="83" s="1"/>
  <c r="E34" i="83" s="1"/>
  <c r="E35" i="83" s="1"/>
  <c r="E36" i="83" s="1"/>
  <c r="E37" i="83" s="1"/>
  <c r="E38" i="83" s="1"/>
  <c r="E39" i="83" s="1"/>
  <c r="E40" i="83" s="1"/>
  <c r="E41" i="83" s="1"/>
  <c r="E42" i="83" s="1"/>
  <c r="E43" i="83" s="1"/>
  <c r="E44" i="83" s="1"/>
  <c r="E45" i="83" s="1"/>
  <c r="E46" i="83" s="1"/>
  <c r="E47" i="83" s="1"/>
  <c r="E48" i="83" s="1"/>
  <c r="E49" i="83" s="1"/>
  <c r="E50" i="83" s="1"/>
  <c r="E51" i="83" s="1"/>
  <c r="E52" i="83" s="1"/>
  <c r="E53" i="83" s="1"/>
  <c r="E54" i="83" s="1"/>
  <c r="E55" i="83" s="1"/>
  <c r="E56" i="83" s="1"/>
  <c r="E57" i="83" s="1"/>
  <c r="E58" i="83" s="1"/>
  <c r="E59" i="83" s="1"/>
  <c r="E60" i="83" s="1"/>
  <c r="E61" i="83" s="1"/>
  <c r="E62" i="83" s="1"/>
  <c r="E63" i="83" s="1"/>
  <c r="E64" i="83" s="1"/>
  <c r="E65" i="83" s="1"/>
  <c r="E66" i="83" s="1"/>
  <c r="E67" i="83" s="1"/>
  <c r="E68" i="83" s="1"/>
  <c r="E69" i="83" s="1"/>
  <c r="E70" i="83" s="1"/>
  <c r="E71" i="83" s="1"/>
  <c r="E72" i="83" s="1"/>
  <c r="E73" i="83" s="1"/>
  <c r="E74" i="83" s="1"/>
  <c r="E75" i="83" s="1"/>
  <c r="E76" i="83" s="1"/>
  <c r="E77" i="83" s="1"/>
  <c r="E78" i="83" s="1"/>
  <c r="E79" i="83" s="1"/>
  <c r="E80" i="83" s="1"/>
  <c r="E81" i="83" s="1"/>
  <c r="E82" i="83" s="1"/>
  <c r="E83" i="83" s="1"/>
  <c r="E84" i="83" s="1"/>
  <c r="E85" i="83" s="1"/>
  <c r="E86" i="83" s="1"/>
  <c r="E87" i="83" s="1"/>
  <c r="E88" i="83" s="1"/>
  <c r="E89" i="83" s="1"/>
  <c r="E90" i="83" s="1"/>
  <c r="E91" i="83" s="1"/>
  <c r="E92" i="83" s="1"/>
  <c r="E93" i="83" s="1"/>
  <c r="E94" i="83" s="1"/>
  <c r="E95" i="83" s="1"/>
  <c r="E96" i="83" s="1"/>
  <c r="E97" i="83" s="1"/>
  <c r="E98" i="83" s="1"/>
  <c r="E99" i="83" s="1"/>
  <c r="E100" i="83" s="1"/>
  <c r="E101" i="83" s="1"/>
  <c r="E102" i="83" s="1"/>
  <c r="E103" i="83" s="1"/>
  <c r="E104" i="83" s="1"/>
  <c r="E105" i="83" s="1"/>
  <c r="E106" i="83" s="1"/>
  <c r="E107" i="83" s="1"/>
  <c r="E108" i="83" s="1"/>
  <c r="E109" i="83" s="1"/>
  <c r="E110" i="83" s="1"/>
  <c r="E111" i="83" s="1"/>
  <c r="E112" i="83" s="1"/>
  <c r="E113" i="83" s="1"/>
  <c r="E114" i="83" s="1"/>
  <c r="E115" i="83" s="1"/>
  <c r="E116" i="83" s="1"/>
  <c r="E117" i="83" s="1"/>
  <c r="E118" i="83" s="1"/>
  <c r="E119" i="83" s="1"/>
  <c r="E120" i="83" s="1"/>
  <c r="E121" i="83" s="1"/>
  <c r="E122" i="83" s="1"/>
  <c r="E123" i="83" s="1"/>
  <c r="E124" i="83" s="1"/>
  <c r="E125" i="83" s="1"/>
  <c r="E126" i="83" s="1"/>
  <c r="E127" i="83" s="1"/>
  <c r="E128" i="83" s="1"/>
  <c r="E129" i="83" s="1"/>
  <c r="E130" i="83" s="1"/>
  <c r="E131" i="83" s="1"/>
  <c r="E132" i="83" s="1"/>
  <c r="E133" i="83" s="1"/>
  <c r="E134" i="83" s="1"/>
  <c r="E135" i="83" s="1"/>
  <c r="E136" i="83" s="1"/>
  <c r="E137" i="83" s="1"/>
  <c r="E138" i="83" s="1"/>
  <c r="E139" i="83" s="1"/>
  <c r="E140" i="83" s="1"/>
  <c r="E141" i="83" s="1"/>
  <c r="E142" i="83" s="1"/>
  <c r="E143" i="83" s="1"/>
  <c r="E144" i="83" s="1"/>
  <c r="E145" i="83" s="1"/>
  <c r="E146" i="83" s="1"/>
  <c r="E147" i="83" s="1"/>
  <c r="E148" i="83" s="1"/>
  <c r="E149" i="83" s="1"/>
  <c r="E150" i="83" s="1"/>
  <c r="E151" i="83" s="1"/>
  <c r="E152" i="83" s="1"/>
  <c r="E153" i="83" s="1"/>
  <c r="E154" i="83" s="1"/>
  <c r="E155" i="83" s="1"/>
  <c r="E156" i="83" s="1"/>
  <c r="E157" i="83" s="1"/>
  <c r="E158" i="83" s="1"/>
  <c r="E159" i="83" s="1"/>
  <c r="E160" i="83" s="1"/>
  <c r="E161" i="83" s="1"/>
  <c r="E162" i="83" s="1"/>
  <c r="E163" i="83" s="1"/>
  <c r="E164" i="83" s="1"/>
  <c r="E165" i="83" s="1"/>
  <c r="E166" i="83" s="1"/>
  <c r="E167" i="83" s="1"/>
  <c r="E168" i="83" s="1"/>
  <c r="E169" i="83" s="1"/>
  <c r="E170" i="83" s="1"/>
  <c r="E171" i="83" s="1"/>
  <c r="E172" i="83" s="1"/>
  <c r="E173" i="83" s="1"/>
  <c r="E174" i="83" s="1"/>
  <c r="E175" i="83" s="1"/>
  <c r="E176" i="83" s="1"/>
  <c r="E177" i="83" s="1"/>
  <c r="E178" i="83" s="1"/>
  <c r="E179" i="83" s="1"/>
  <c r="E180" i="83" s="1"/>
  <c r="E181" i="83" s="1"/>
  <c r="E182" i="83" s="1"/>
  <c r="E183" i="83" s="1"/>
  <c r="E184" i="83" s="1"/>
  <c r="E185" i="83" s="1"/>
  <c r="E186" i="83" s="1"/>
  <c r="E187" i="83" s="1"/>
  <c r="E188" i="83" s="1"/>
  <c r="E189" i="83" s="1"/>
  <c r="E190" i="83" s="1"/>
  <c r="E191" i="83" s="1"/>
  <c r="E192" i="83" s="1"/>
  <c r="E193" i="83" s="1"/>
  <c r="E194" i="83" s="1"/>
  <c r="E195" i="83" s="1"/>
  <c r="E196" i="83" s="1"/>
  <c r="E197" i="83" s="1"/>
  <c r="E198" i="83" s="1"/>
  <c r="E199" i="83" s="1"/>
  <c r="E200" i="83" s="1"/>
  <c r="E201" i="83" s="1"/>
  <c r="E202" i="83" s="1"/>
  <c r="E203" i="83" s="1"/>
  <c r="E204" i="83" s="1"/>
  <c r="E205" i="83" s="1"/>
  <c r="E206" i="83" s="1"/>
  <c r="E207" i="83" s="1"/>
  <c r="E208" i="83" s="1"/>
  <c r="E209" i="83" s="1"/>
  <c r="E210" i="83" s="1"/>
  <c r="E211" i="83" s="1"/>
  <c r="E212" i="83" s="1"/>
  <c r="E213" i="83" s="1"/>
  <c r="E214" i="83" s="1"/>
  <c r="E215" i="83" s="1"/>
  <c r="E216" i="83" s="1"/>
  <c r="E217" i="83" s="1"/>
  <c r="E218" i="83" s="1"/>
  <c r="E219" i="83" s="1"/>
  <c r="E220" i="83" s="1"/>
  <c r="E221" i="83" s="1"/>
  <c r="E222" i="83" s="1"/>
  <c r="E223" i="83" s="1"/>
  <c r="E224" i="83" s="1"/>
  <c r="E225" i="83" s="1"/>
  <c r="E226" i="83" s="1"/>
  <c r="E227" i="83" s="1"/>
  <c r="E228" i="83" s="1"/>
  <c r="E229" i="83" s="1"/>
  <c r="E230" i="83" s="1"/>
  <c r="E231" i="83" s="1"/>
  <c r="E232" i="83" s="1"/>
  <c r="E233" i="83" s="1"/>
  <c r="E234" i="83" s="1"/>
  <c r="E235" i="83" s="1"/>
  <c r="E236" i="83" s="1"/>
  <c r="E237" i="83" s="1"/>
  <c r="E238" i="83" s="1"/>
  <c r="E239" i="83" s="1"/>
  <c r="E240" i="83" s="1"/>
  <c r="E241" i="83" s="1"/>
  <c r="E242" i="83" s="1"/>
  <c r="E243" i="83" s="1"/>
  <c r="E244" i="83" s="1"/>
  <c r="E245" i="83" s="1"/>
  <c r="E246" i="83" s="1"/>
  <c r="E247" i="83" s="1"/>
  <c r="E248" i="83" s="1"/>
  <c r="E249" i="83" s="1"/>
  <c r="E250" i="83" s="1"/>
  <c r="E251" i="83" s="1"/>
  <c r="E252" i="83" s="1"/>
  <c r="E253" i="83" s="1"/>
  <c r="E254" i="83" s="1"/>
  <c r="E255" i="83" s="1"/>
  <c r="E256" i="83" s="1"/>
  <c r="E257" i="83" s="1"/>
  <c r="E258" i="83" s="1"/>
  <c r="E259" i="83" s="1"/>
  <c r="E260" i="83" s="1"/>
  <c r="E261" i="83" s="1"/>
  <c r="E262" i="83" s="1"/>
  <c r="E263" i="83" s="1"/>
  <c r="E264" i="83" s="1"/>
  <c r="E265" i="83" s="1"/>
  <c r="E266" i="83" s="1"/>
  <c r="E267" i="83" s="1"/>
  <c r="E268" i="83" s="1"/>
  <c r="E269" i="83" s="1"/>
  <c r="E270" i="83" s="1"/>
  <c r="E271" i="83" s="1"/>
  <c r="E272" i="83" s="1"/>
  <c r="E273" i="83" s="1"/>
  <c r="E274" i="83" s="1"/>
  <c r="E275" i="83" s="1"/>
  <c r="E276" i="83" s="1"/>
  <c r="E277" i="83" s="1"/>
  <c r="E278" i="83" s="1"/>
  <c r="E279" i="83" s="1"/>
  <c r="E280" i="83" s="1"/>
  <c r="E281" i="83" s="1"/>
  <c r="E282" i="83" s="1"/>
  <c r="E283" i="83" s="1"/>
  <c r="E284" i="83" s="1"/>
  <c r="E285" i="83" s="1"/>
  <c r="E286" i="83" s="1"/>
  <c r="E287" i="83" s="1"/>
  <c r="E288" i="83" s="1"/>
  <c r="E289" i="83" s="1"/>
  <c r="E290" i="83" s="1"/>
  <c r="E291" i="83" s="1"/>
  <c r="E292" i="83" s="1"/>
  <c r="E293" i="83" s="1"/>
  <c r="E294" i="83" s="1"/>
  <c r="E295" i="83" s="1"/>
  <c r="E296" i="83" s="1"/>
  <c r="E297" i="83" s="1"/>
  <c r="E298" i="83" s="1"/>
  <c r="E299" i="83" s="1"/>
  <c r="E300" i="83" s="1"/>
  <c r="E301" i="83" s="1"/>
  <c r="E302" i="83" s="1"/>
  <c r="E303" i="83" s="1"/>
  <c r="E304" i="83" s="1"/>
  <c r="E305" i="83" s="1"/>
  <c r="E306" i="83" s="1"/>
  <c r="E307" i="83" s="1"/>
  <c r="E308" i="83" s="1"/>
  <c r="E309" i="83" s="1"/>
  <c r="E310" i="83" s="1"/>
  <c r="E311" i="83" s="1"/>
  <c r="E312" i="83" s="1"/>
  <c r="E313" i="83" s="1"/>
  <c r="E314" i="83" s="1"/>
  <c r="E315" i="83" s="1"/>
  <c r="E316" i="83" s="1"/>
  <c r="E317" i="83" s="1"/>
  <c r="E318" i="83" s="1"/>
  <c r="E319" i="83" s="1"/>
  <c r="E320" i="83" s="1"/>
  <c r="E321" i="83" s="1"/>
  <c r="E322" i="83" s="1"/>
  <c r="E323" i="83" s="1"/>
  <c r="E324" i="83" s="1"/>
  <c r="E325" i="83" s="1"/>
  <c r="E326" i="83" s="1"/>
  <c r="E327" i="83" s="1"/>
  <c r="E328" i="83" s="1"/>
  <c r="E329" i="83" s="1"/>
  <c r="E330" i="83" s="1"/>
  <c r="E331" i="83" s="1"/>
  <c r="E332" i="83" s="1"/>
  <c r="E333" i="83" s="1"/>
  <c r="E334" i="83" s="1"/>
  <c r="E335" i="83" s="1"/>
  <c r="E336" i="83" s="1"/>
  <c r="E337" i="83" s="1"/>
  <c r="E338" i="83" s="1"/>
  <c r="E339" i="83" s="1"/>
  <c r="E340" i="83" s="1"/>
  <c r="E341" i="83" s="1"/>
  <c r="E342" i="83" s="1"/>
  <c r="E343" i="83" s="1"/>
  <c r="E344" i="83" s="1"/>
  <c r="E345" i="83" s="1"/>
  <c r="E346" i="83" s="1"/>
  <c r="E347" i="83" s="1"/>
  <c r="E348" i="83" s="1"/>
  <c r="E349" i="83" s="1"/>
  <c r="E350" i="83" s="1"/>
  <c r="E351" i="83" s="1"/>
  <c r="E352" i="83" s="1"/>
  <c r="E353" i="83" s="1"/>
  <c r="E354" i="83" s="1"/>
  <c r="E355" i="83" s="1"/>
  <c r="E356" i="83" s="1"/>
  <c r="E357" i="83" s="1"/>
  <c r="E358" i="83" s="1"/>
  <c r="E359" i="83" s="1"/>
  <c r="E360" i="83" s="1"/>
  <c r="E361" i="83" s="1"/>
  <c r="E362" i="83" s="1"/>
  <c r="E363" i="83" s="1"/>
  <c r="E364" i="83" s="1"/>
  <c r="E365" i="83" s="1"/>
  <c r="E366" i="83" s="1"/>
  <c r="E367" i="83" s="1"/>
  <c r="E368" i="83" s="1"/>
  <c r="E369" i="83" s="1"/>
  <c r="E370" i="83" s="1"/>
  <c r="E371" i="83" s="1"/>
  <c r="E372" i="83" s="1"/>
  <c r="E373" i="83" s="1"/>
  <c r="E374" i="83" s="1"/>
  <c r="E375" i="83" s="1"/>
  <c r="E376" i="83" s="1"/>
  <c r="E377" i="83" s="1"/>
  <c r="E378" i="83" s="1"/>
  <c r="E379" i="83" s="1"/>
  <c r="E380" i="83" s="1"/>
  <c r="E381" i="83" s="1"/>
  <c r="E382" i="83" s="1"/>
  <c r="E383" i="83" s="1"/>
  <c r="E384" i="83" s="1"/>
  <c r="E385" i="83" s="1"/>
  <c r="E386" i="83" s="1"/>
  <c r="E387" i="83" s="1"/>
  <c r="E388" i="83" s="1"/>
  <c r="E389" i="83" s="1"/>
  <c r="E390" i="83" s="1"/>
  <c r="E391" i="83" s="1"/>
  <c r="E392" i="83" s="1"/>
  <c r="E393" i="83" s="1"/>
  <c r="E394" i="83" s="1"/>
  <c r="E395" i="83" s="1"/>
  <c r="E396" i="83" s="1"/>
  <c r="E397" i="83" s="1"/>
  <c r="E398" i="83" s="1"/>
  <c r="E399" i="83" s="1"/>
  <c r="E400" i="83" s="1"/>
  <c r="E401" i="83" s="1"/>
  <c r="E402" i="83" s="1"/>
  <c r="E403" i="83" s="1"/>
  <c r="E404" i="83" s="1"/>
  <c r="E405" i="83" s="1"/>
  <c r="E406" i="83" s="1"/>
  <c r="E407" i="83" s="1"/>
  <c r="E408" i="83" s="1"/>
  <c r="E409" i="83" s="1"/>
  <c r="E410" i="83" s="1"/>
  <c r="E411" i="83" s="1"/>
  <c r="E412" i="83" s="1"/>
  <c r="E413" i="83" s="1"/>
  <c r="E414" i="83" s="1"/>
  <c r="E415" i="83" s="1"/>
  <c r="E416" i="83" s="1"/>
  <c r="E417" i="83" s="1"/>
  <c r="E418" i="83" s="1"/>
  <c r="E419" i="83" s="1"/>
  <c r="E420" i="83" s="1"/>
  <c r="E421" i="83" s="1"/>
  <c r="E422" i="83" s="1"/>
  <c r="E423" i="83" s="1"/>
  <c r="E424" i="83" s="1"/>
  <c r="E425" i="83" s="1"/>
  <c r="E426" i="83" s="1"/>
  <c r="E427" i="83" s="1"/>
  <c r="E428" i="83" s="1"/>
  <c r="E429" i="83" s="1"/>
  <c r="E430" i="83" s="1"/>
  <c r="E431" i="83" s="1"/>
  <c r="E432" i="83" s="1"/>
  <c r="E433" i="83" s="1"/>
  <c r="E434" i="83" s="1"/>
  <c r="E435" i="83" s="1"/>
  <c r="E436" i="83" s="1"/>
  <c r="E437" i="83" s="1"/>
  <c r="E438" i="83" s="1"/>
  <c r="E439" i="83" s="1"/>
  <c r="E440" i="83" s="1"/>
  <c r="E441" i="83" s="1"/>
  <c r="E442" i="83" s="1"/>
  <c r="E443" i="83" s="1"/>
  <c r="E444" i="83" s="1"/>
  <c r="E445" i="83" s="1"/>
  <c r="E446" i="83" s="1"/>
  <c r="E447" i="83" s="1"/>
  <c r="E448" i="83" s="1"/>
  <c r="E449" i="83" s="1"/>
  <c r="E450" i="83" s="1"/>
  <c r="E451" i="83" s="1"/>
  <c r="E452" i="83" s="1"/>
  <c r="E453" i="83" s="1"/>
  <c r="E454" i="83" s="1"/>
  <c r="E455" i="83" s="1"/>
  <c r="E456" i="83" s="1"/>
  <c r="E457" i="83" s="1"/>
  <c r="E458" i="83" s="1"/>
  <c r="E459" i="83" s="1"/>
  <c r="E460" i="83" s="1"/>
  <c r="E461" i="83" s="1"/>
  <c r="E462" i="83" s="1"/>
  <c r="E463" i="83" s="1"/>
  <c r="E464" i="83" s="1"/>
  <c r="E465" i="83" s="1"/>
  <c r="E466" i="83" s="1"/>
  <c r="E467" i="83" s="1"/>
  <c r="E468" i="83" s="1"/>
  <c r="E469" i="83" s="1"/>
  <c r="E470" i="83" s="1"/>
  <c r="E471" i="83" s="1"/>
  <c r="E472" i="83" s="1"/>
  <c r="E473" i="83" s="1"/>
  <c r="E474" i="83" s="1"/>
  <c r="E475" i="83" s="1"/>
  <c r="E476" i="83" s="1"/>
  <c r="E477" i="83" s="1"/>
  <c r="E478" i="83" s="1"/>
  <c r="E479" i="83" s="1"/>
  <c r="E480" i="83" s="1"/>
  <c r="E481" i="83" s="1"/>
  <c r="E482" i="83" s="1"/>
  <c r="E483" i="83" s="1"/>
  <c r="E484" i="83" s="1"/>
  <c r="E485" i="83" s="1"/>
  <c r="E486" i="83" s="1"/>
  <c r="E487" i="83" s="1"/>
  <c r="E488" i="83" s="1"/>
  <c r="E489" i="83" s="1"/>
  <c r="E490" i="83" s="1"/>
  <c r="E491" i="83" s="1"/>
  <c r="E492" i="83" s="1"/>
  <c r="E493" i="83" s="1"/>
  <c r="E494" i="83" s="1"/>
  <c r="E495" i="83" s="1"/>
  <c r="E496" i="83" s="1"/>
  <c r="E497" i="83" s="1"/>
  <c r="E498" i="83" s="1"/>
  <c r="E499" i="83" s="1"/>
  <c r="E500" i="83" s="1"/>
  <c r="E501" i="83" s="1"/>
  <c r="E502" i="83" s="1"/>
  <c r="E503" i="83" s="1"/>
  <c r="E504" i="83" s="1"/>
  <c r="E505" i="83" s="1"/>
  <c r="E506" i="83" s="1"/>
  <c r="E507" i="83" s="1"/>
  <c r="E508" i="83" s="1"/>
  <c r="E509" i="83" s="1"/>
  <c r="E510" i="83" s="1"/>
  <c r="E511" i="83" s="1"/>
  <c r="E512" i="83" s="1"/>
  <c r="E513" i="83" s="1"/>
  <c r="E514" i="83" s="1"/>
  <c r="E515" i="83" s="1"/>
  <c r="E516" i="83" s="1"/>
  <c r="E517" i="83" s="1"/>
  <c r="E518" i="83" s="1"/>
  <c r="E519" i="83" s="1"/>
  <c r="E520" i="83" s="1"/>
  <c r="E521" i="83" s="1"/>
  <c r="E522" i="83" s="1"/>
  <c r="E523" i="83" s="1"/>
  <c r="E524" i="83" s="1"/>
  <c r="E525" i="83" s="1"/>
  <c r="E526" i="83" s="1"/>
  <c r="E527" i="83" s="1"/>
  <c r="E528" i="83" s="1"/>
  <c r="E529" i="83" s="1"/>
  <c r="AO17" i="83" a="1"/>
  <c r="AO17" i="83" s="1"/>
  <c r="AN17" i="83" a="1"/>
  <c r="AM17" i="83" a="1"/>
  <c r="AM17" i="83" s="1"/>
  <c r="AL17" i="83" a="1"/>
  <c r="AG17" i="83" a="1"/>
  <c r="AG17" i="83" s="1"/>
  <c r="AF17" i="83" a="1"/>
  <c r="AH31" i="83" s="1"/>
  <c r="BN31" i="83" s="1"/>
  <c r="AE17" i="83" a="1"/>
  <c r="AE17" i="83" s="1"/>
  <c r="AD17" i="83" a="1"/>
  <c r="AD17" i="83" s="1"/>
  <c r="Y17" i="83" a="1"/>
  <c r="Y17" i="83" s="1"/>
  <c r="X17" i="83" a="1"/>
  <c r="Z32" i="83" s="1"/>
  <c r="BG32" i="83" s="1"/>
  <c r="W17" i="83" a="1"/>
  <c r="W17" i="83" s="1"/>
  <c r="V17" i="83" a="1"/>
  <c r="Q17" i="83" a="1"/>
  <c r="Q17" i="83" s="1"/>
  <c r="P17" i="83" a="1"/>
  <c r="P17" i="83" s="1"/>
  <c r="R15" i="83" s="1"/>
  <c r="O17" i="83" a="1"/>
  <c r="O17" i="83" s="1"/>
  <c r="N17" i="83" a="1"/>
  <c r="N17" i="83" s="1"/>
  <c r="I17" i="83" a="1"/>
  <c r="I17" i="83" s="1"/>
  <c r="AW29" i="83" s="1"/>
  <c r="H17" i="83" a="1"/>
  <c r="H17" i="83" s="1"/>
  <c r="G17" i="83" a="1"/>
  <c r="G17" i="83" s="1"/>
  <c r="F17" i="83" a="1"/>
  <c r="AL15" i="83"/>
  <c r="AE15" i="83"/>
  <c r="AM15" i="83" s="1"/>
  <c r="AD15" i="83"/>
  <c r="W15" i="83"/>
  <c r="V15" i="83"/>
  <c r="N15" i="83"/>
  <c r="AK1" i="83"/>
  <c r="AC1" i="83"/>
  <c r="BK529" i="82"/>
  <c r="BE529" i="82"/>
  <c r="AP529" i="82"/>
  <c r="BO529" i="82" s="1"/>
  <c r="AH529" i="82"/>
  <c r="Z529" i="82"/>
  <c r="BM529" i="82" s="1"/>
  <c r="R529" i="82"/>
  <c r="J529" i="82"/>
  <c r="BK528" i="82"/>
  <c r="BE528" i="82"/>
  <c r="AP528" i="82"/>
  <c r="BO528" i="82" s="1"/>
  <c r="AH528" i="82"/>
  <c r="Z528" i="82"/>
  <c r="BM528" i="82" s="1"/>
  <c r="R528" i="82"/>
  <c r="J528" i="82"/>
  <c r="BK527" i="82"/>
  <c r="BE527" i="82"/>
  <c r="AP527" i="82"/>
  <c r="AH527" i="82"/>
  <c r="Z527" i="82"/>
  <c r="BM527" i="82" s="1"/>
  <c r="R527" i="82"/>
  <c r="J527" i="82"/>
  <c r="BK526" i="82"/>
  <c r="BE526" i="82"/>
  <c r="AP526" i="82"/>
  <c r="BO526" i="82" s="1"/>
  <c r="AH526" i="82"/>
  <c r="Z526" i="82"/>
  <c r="BM526" i="82" s="1"/>
  <c r="R526" i="82"/>
  <c r="J526" i="82"/>
  <c r="BK525" i="82"/>
  <c r="BE525" i="82"/>
  <c r="AP525" i="82"/>
  <c r="AH525" i="82"/>
  <c r="Z525" i="82"/>
  <c r="BM525" i="82" s="1"/>
  <c r="R525" i="82"/>
  <c r="J525" i="82"/>
  <c r="BK524" i="82"/>
  <c r="BE524" i="82"/>
  <c r="AP524" i="82"/>
  <c r="BO524" i="82" s="1"/>
  <c r="AH524" i="82"/>
  <c r="Z524" i="82"/>
  <c r="BM524" i="82" s="1"/>
  <c r="R524" i="82"/>
  <c r="J524" i="82"/>
  <c r="BK523" i="82"/>
  <c r="BE523" i="82"/>
  <c r="AP523" i="82"/>
  <c r="AH523" i="82"/>
  <c r="Z523" i="82"/>
  <c r="BM523" i="82" s="1"/>
  <c r="R523" i="82"/>
  <c r="J523" i="82"/>
  <c r="BK522" i="82"/>
  <c r="BE522" i="82"/>
  <c r="AP522" i="82"/>
  <c r="BO522" i="82" s="1"/>
  <c r="AH522" i="82"/>
  <c r="Z522" i="82"/>
  <c r="R522" i="82"/>
  <c r="J522" i="82"/>
  <c r="BK521" i="82"/>
  <c r="BE521" i="82"/>
  <c r="AP521" i="82"/>
  <c r="AH521" i="82"/>
  <c r="Z521" i="82"/>
  <c r="R521" i="82"/>
  <c r="J521" i="82"/>
  <c r="BK520" i="82"/>
  <c r="BE520" i="82"/>
  <c r="AP520" i="82"/>
  <c r="BO520" i="82" s="1"/>
  <c r="AH520" i="82"/>
  <c r="Z520" i="82"/>
  <c r="R520" i="82"/>
  <c r="J520" i="82"/>
  <c r="BK519" i="82"/>
  <c r="BE519" i="82"/>
  <c r="AP519" i="82"/>
  <c r="AH519" i="82"/>
  <c r="Z519" i="82"/>
  <c r="R519" i="82"/>
  <c r="J519" i="82"/>
  <c r="BK518" i="82"/>
  <c r="BE518" i="82"/>
  <c r="AP518" i="82"/>
  <c r="BO518" i="82" s="1"/>
  <c r="AH518" i="82"/>
  <c r="Z518" i="82"/>
  <c r="R518" i="82"/>
  <c r="J518" i="82"/>
  <c r="BK517" i="82"/>
  <c r="BE517" i="82"/>
  <c r="AP517" i="82"/>
  <c r="AH517" i="82"/>
  <c r="Z517" i="82"/>
  <c r="BM517" i="82" s="1"/>
  <c r="R517" i="82"/>
  <c r="J517" i="82"/>
  <c r="BK516" i="82"/>
  <c r="BE516" i="82"/>
  <c r="AP516" i="82"/>
  <c r="BO516" i="82" s="1"/>
  <c r="AH516" i="82"/>
  <c r="Z516" i="82"/>
  <c r="BM516" i="82" s="1"/>
  <c r="R516" i="82"/>
  <c r="J516" i="82"/>
  <c r="BK515" i="82"/>
  <c r="BE515" i="82"/>
  <c r="AP515" i="82"/>
  <c r="AH515" i="82"/>
  <c r="Z515" i="82"/>
  <c r="BM515" i="82" s="1"/>
  <c r="R515" i="82"/>
  <c r="J515" i="82"/>
  <c r="BK514" i="82"/>
  <c r="BE514" i="82"/>
  <c r="AP514" i="82"/>
  <c r="AH514" i="82"/>
  <c r="BH514" i="82" s="1"/>
  <c r="Z514" i="82"/>
  <c r="BG514" i="82" s="1"/>
  <c r="R514" i="82"/>
  <c r="J514" i="82"/>
  <c r="BK513" i="82"/>
  <c r="BE513" i="82"/>
  <c r="AP513" i="82"/>
  <c r="AH513" i="82"/>
  <c r="BH513" i="82" s="1"/>
  <c r="Z513" i="82"/>
  <c r="BG513" i="82" s="1"/>
  <c r="R513" i="82"/>
  <c r="J513" i="82"/>
  <c r="BK512" i="82"/>
  <c r="BE512" i="82"/>
  <c r="AP512" i="82"/>
  <c r="AH512" i="82"/>
  <c r="BH512" i="82" s="1"/>
  <c r="Z512" i="82"/>
  <c r="BM512" i="82" s="1"/>
  <c r="R512" i="82"/>
  <c r="J512" i="82"/>
  <c r="BK511" i="82"/>
  <c r="BE511" i="82"/>
  <c r="AP511" i="82"/>
  <c r="BO511" i="82" s="1"/>
  <c r="AH511" i="82"/>
  <c r="BN511" i="82" s="1"/>
  <c r="Z511" i="82"/>
  <c r="BG511" i="82" s="1"/>
  <c r="R511" i="82"/>
  <c r="J511" i="82"/>
  <c r="BK510" i="82"/>
  <c r="BE510" i="82"/>
  <c r="AP510" i="82"/>
  <c r="BO510" i="82" s="1"/>
  <c r="AH510" i="82"/>
  <c r="BN510" i="82" s="1"/>
  <c r="Z510" i="82"/>
  <c r="R510" i="82"/>
  <c r="J510" i="82"/>
  <c r="BK509" i="82"/>
  <c r="BE509" i="82"/>
  <c r="AP509" i="82"/>
  <c r="AH509" i="82"/>
  <c r="Z509" i="82"/>
  <c r="BM509" i="82" s="1"/>
  <c r="R509" i="82"/>
  <c r="J509" i="82"/>
  <c r="BK508" i="82"/>
  <c r="BE508" i="82"/>
  <c r="AP508" i="82"/>
  <c r="BO508" i="82" s="1"/>
  <c r="AH508" i="82"/>
  <c r="BH508" i="82" s="1"/>
  <c r="Z508" i="82"/>
  <c r="BM508" i="82" s="1"/>
  <c r="R508" i="82"/>
  <c r="J508" i="82"/>
  <c r="BK507" i="82"/>
  <c r="BE507" i="82"/>
  <c r="AP507" i="82"/>
  <c r="BO507" i="82" s="1"/>
  <c r="AH507" i="82"/>
  <c r="BN507" i="82" s="1"/>
  <c r="Z507" i="82"/>
  <c r="BG507" i="82" s="1"/>
  <c r="R507" i="82"/>
  <c r="J507" i="82"/>
  <c r="BK506" i="82"/>
  <c r="BE506" i="82"/>
  <c r="AP506" i="82"/>
  <c r="BO506" i="82" s="1"/>
  <c r="AH506" i="82"/>
  <c r="BN506" i="82" s="1"/>
  <c r="Z506" i="82"/>
  <c r="BG506" i="82" s="1"/>
  <c r="R506" i="82"/>
  <c r="J506" i="82"/>
  <c r="BK505" i="82"/>
  <c r="BE505" i="82"/>
  <c r="AP505" i="82"/>
  <c r="AH505" i="82"/>
  <c r="BH505" i="82" s="1"/>
  <c r="Z505" i="82"/>
  <c r="BG505" i="82" s="1"/>
  <c r="R505" i="82"/>
  <c r="J505" i="82"/>
  <c r="BK504" i="82"/>
  <c r="BE504" i="82"/>
  <c r="AP504" i="82"/>
  <c r="BO504" i="82" s="1"/>
  <c r="AH504" i="82"/>
  <c r="BH504" i="82" s="1"/>
  <c r="Z504" i="82"/>
  <c r="BM504" i="82" s="1"/>
  <c r="R504" i="82"/>
  <c r="J504" i="82"/>
  <c r="BK503" i="82"/>
  <c r="BE503" i="82"/>
  <c r="AP503" i="82"/>
  <c r="BO503" i="82" s="1"/>
  <c r="AH503" i="82"/>
  <c r="BN503" i="82" s="1"/>
  <c r="Z503" i="82"/>
  <c r="BG503" i="82" s="1"/>
  <c r="R503" i="82"/>
  <c r="J503" i="82"/>
  <c r="BK502" i="82"/>
  <c r="BE502" i="82"/>
  <c r="AP502" i="82"/>
  <c r="BO502" i="82" s="1"/>
  <c r="AH502" i="82"/>
  <c r="Z502" i="82"/>
  <c r="BG502" i="82" s="1"/>
  <c r="R502" i="82"/>
  <c r="J502" i="82"/>
  <c r="BK501" i="82"/>
  <c r="BE501" i="82"/>
  <c r="AP501" i="82"/>
  <c r="AH501" i="82"/>
  <c r="BH501" i="82" s="1"/>
  <c r="Z501" i="82"/>
  <c r="BG501" i="82" s="1"/>
  <c r="R501" i="82"/>
  <c r="BL501" i="82" s="1"/>
  <c r="J501" i="82"/>
  <c r="BK500" i="82"/>
  <c r="BE500" i="82"/>
  <c r="AP500" i="82"/>
  <c r="AH500" i="82"/>
  <c r="Z500" i="82"/>
  <c r="BG500" i="82" s="1"/>
  <c r="R500" i="82"/>
  <c r="BF500" i="82" s="1"/>
  <c r="J500" i="82"/>
  <c r="BK499" i="82"/>
  <c r="BE499" i="82"/>
  <c r="AP499" i="82"/>
  <c r="AH499" i="82"/>
  <c r="BH499" i="82" s="1"/>
  <c r="Z499" i="82"/>
  <c r="BG499" i="82" s="1"/>
  <c r="R499" i="82"/>
  <c r="BF499" i="82" s="1"/>
  <c r="J499" i="82"/>
  <c r="BK498" i="82"/>
  <c r="BE498" i="82"/>
  <c r="AP498" i="82"/>
  <c r="AH498" i="82"/>
  <c r="Z498" i="82"/>
  <c r="BG498" i="82" s="1"/>
  <c r="R498" i="82"/>
  <c r="BF498" i="82" s="1"/>
  <c r="J498" i="82"/>
  <c r="BK497" i="82"/>
  <c r="BE497" i="82"/>
  <c r="AP497" i="82"/>
  <c r="AH497" i="82"/>
  <c r="BH497" i="82" s="1"/>
  <c r="Z497" i="82"/>
  <c r="R497" i="82"/>
  <c r="J497" i="82"/>
  <c r="BK496" i="82"/>
  <c r="BE496" i="82"/>
  <c r="AP496" i="82"/>
  <c r="AH496" i="82"/>
  <c r="BH496" i="82" s="1"/>
  <c r="Z496" i="82"/>
  <c r="BM496" i="82" s="1"/>
  <c r="R496" i="82"/>
  <c r="BF496" i="82" s="1"/>
  <c r="J496" i="82"/>
  <c r="BK495" i="82"/>
  <c r="BE495" i="82"/>
  <c r="AP495" i="82"/>
  <c r="AH495" i="82"/>
  <c r="BH495" i="82" s="1"/>
  <c r="Z495" i="82"/>
  <c r="BM495" i="82" s="1"/>
  <c r="R495" i="82"/>
  <c r="J495" i="82"/>
  <c r="BK494" i="82"/>
  <c r="BE494" i="82"/>
  <c r="AP494" i="82"/>
  <c r="AH494" i="82"/>
  <c r="BH494" i="82" s="1"/>
  <c r="Z494" i="82"/>
  <c r="R494" i="82"/>
  <c r="BF494" i="82" s="1"/>
  <c r="J494" i="82"/>
  <c r="BK493" i="82"/>
  <c r="BE493" i="82"/>
  <c r="AP493" i="82"/>
  <c r="AH493" i="82"/>
  <c r="BH493" i="82" s="1"/>
  <c r="Z493" i="82"/>
  <c r="BM493" i="82" s="1"/>
  <c r="R493" i="82"/>
  <c r="BF493" i="82" s="1"/>
  <c r="J493" i="82"/>
  <c r="BK492" i="82"/>
  <c r="BE492" i="82"/>
  <c r="AP492" i="82"/>
  <c r="AH492" i="82"/>
  <c r="Z492" i="82"/>
  <c r="BG492" i="82" s="1"/>
  <c r="R492" i="82"/>
  <c r="BF492" i="82" s="1"/>
  <c r="J492" i="82"/>
  <c r="BK491" i="82"/>
  <c r="BE491" i="82"/>
  <c r="AP491" i="82"/>
  <c r="AH491" i="82"/>
  <c r="BH491" i="82" s="1"/>
  <c r="Z491" i="82"/>
  <c r="BG491" i="82" s="1"/>
  <c r="R491" i="82"/>
  <c r="BF491" i="82" s="1"/>
  <c r="J491" i="82"/>
  <c r="BK490" i="82"/>
  <c r="BE490" i="82"/>
  <c r="AP490" i="82"/>
  <c r="AH490" i="82"/>
  <c r="Z490" i="82"/>
  <c r="BG490" i="82" s="1"/>
  <c r="R490" i="82"/>
  <c r="BF490" i="82" s="1"/>
  <c r="J490" i="82"/>
  <c r="BK489" i="82"/>
  <c r="BE489" i="82"/>
  <c r="AP489" i="82"/>
  <c r="AH489" i="82"/>
  <c r="BH489" i="82" s="1"/>
  <c r="Z489" i="82"/>
  <c r="BG489" i="82" s="1"/>
  <c r="R489" i="82"/>
  <c r="BF489" i="82" s="1"/>
  <c r="J489" i="82"/>
  <c r="BK488" i="82"/>
  <c r="BE488" i="82"/>
  <c r="AP488" i="82"/>
  <c r="AH488" i="82"/>
  <c r="BH488" i="82" s="1"/>
  <c r="Z488" i="82"/>
  <c r="BG488" i="82" s="1"/>
  <c r="R488" i="82"/>
  <c r="BF488" i="82" s="1"/>
  <c r="J488" i="82"/>
  <c r="BK487" i="82"/>
  <c r="BE487" i="82"/>
  <c r="AP487" i="82"/>
  <c r="BO487" i="82" s="1"/>
  <c r="AH487" i="82"/>
  <c r="BH487" i="82" s="1"/>
  <c r="Z487" i="82"/>
  <c r="BM487" i="82" s="1"/>
  <c r="R487" i="82"/>
  <c r="BF487" i="82" s="1"/>
  <c r="J487" i="82"/>
  <c r="BK486" i="82"/>
  <c r="BE486" i="82"/>
  <c r="AP486" i="82"/>
  <c r="AH486" i="82"/>
  <c r="Z486" i="82"/>
  <c r="BG486" i="82" s="1"/>
  <c r="R486" i="82"/>
  <c r="BF486" i="82" s="1"/>
  <c r="J486" i="82"/>
  <c r="BK485" i="82"/>
  <c r="BE485" i="82"/>
  <c r="AP485" i="82"/>
  <c r="BO485" i="82" s="1"/>
  <c r="AH485" i="82"/>
  <c r="BH485" i="82" s="1"/>
  <c r="Z485" i="82"/>
  <c r="BG485" i="82" s="1"/>
  <c r="R485" i="82"/>
  <c r="J485" i="82"/>
  <c r="BK484" i="82"/>
  <c r="BE484" i="82"/>
  <c r="AP484" i="82"/>
  <c r="BO484" i="82" s="1"/>
  <c r="AH484" i="82"/>
  <c r="Z484" i="82"/>
  <c r="R484" i="82"/>
  <c r="BF484" i="82" s="1"/>
  <c r="J484" i="82"/>
  <c r="BK483" i="82"/>
  <c r="BE483" i="82"/>
  <c r="AP483" i="82"/>
  <c r="AH483" i="82"/>
  <c r="BH483" i="82" s="1"/>
  <c r="Z483" i="82"/>
  <c r="BG483" i="82" s="1"/>
  <c r="R483" i="82"/>
  <c r="BF483" i="82" s="1"/>
  <c r="J483" i="82"/>
  <c r="BK482" i="82"/>
  <c r="BE482" i="82"/>
  <c r="AP482" i="82"/>
  <c r="BO482" i="82" s="1"/>
  <c r="AH482" i="82"/>
  <c r="BH482" i="82" s="1"/>
  <c r="Z482" i="82"/>
  <c r="R482" i="82"/>
  <c r="BF482" i="82" s="1"/>
  <c r="J482" i="82"/>
  <c r="BK481" i="82"/>
  <c r="BE481" i="82"/>
  <c r="AP481" i="82"/>
  <c r="AH481" i="82"/>
  <c r="BH481" i="82" s="1"/>
  <c r="Z481" i="82"/>
  <c r="BG481" i="82" s="1"/>
  <c r="R481" i="82"/>
  <c r="BF481" i="82" s="1"/>
  <c r="J481" i="82"/>
  <c r="BK480" i="82"/>
  <c r="BE480" i="82"/>
  <c r="AP480" i="82"/>
  <c r="AH480" i="82"/>
  <c r="BH480" i="82" s="1"/>
  <c r="Z480" i="82"/>
  <c r="BG480" i="82" s="1"/>
  <c r="R480" i="82"/>
  <c r="BF480" i="82" s="1"/>
  <c r="J480" i="82"/>
  <c r="BK479" i="82"/>
  <c r="BE479" i="82"/>
  <c r="AP479" i="82"/>
  <c r="BO479" i="82" s="1"/>
  <c r="AH479" i="82"/>
  <c r="BH479" i="82" s="1"/>
  <c r="Z479" i="82"/>
  <c r="BM479" i="82" s="1"/>
  <c r="R479" i="82"/>
  <c r="BF479" i="82" s="1"/>
  <c r="J479" i="82"/>
  <c r="BK478" i="82"/>
  <c r="BE478" i="82"/>
  <c r="AP478" i="82"/>
  <c r="AH478" i="82"/>
  <c r="Z478" i="82"/>
  <c r="BM478" i="82" s="1"/>
  <c r="R478" i="82"/>
  <c r="BF478" i="82" s="1"/>
  <c r="J478" i="82"/>
  <c r="BK477" i="82"/>
  <c r="BE477" i="82"/>
  <c r="AP477" i="82"/>
  <c r="AH477" i="82"/>
  <c r="BH477" i="82" s="1"/>
  <c r="Z477" i="82"/>
  <c r="BG477" i="82" s="1"/>
  <c r="R477" i="82"/>
  <c r="BF477" i="82" s="1"/>
  <c r="J477" i="82"/>
  <c r="BK476" i="82"/>
  <c r="BE476" i="82"/>
  <c r="AP476" i="82"/>
  <c r="BO476" i="82" s="1"/>
  <c r="AH476" i="82"/>
  <c r="BN476" i="82" s="1"/>
  <c r="Z476" i="82"/>
  <c r="BM476" i="82" s="1"/>
  <c r="R476" i="82"/>
  <c r="J476" i="82"/>
  <c r="BK475" i="82"/>
  <c r="BE475" i="82"/>
  <c r="AP475" i="82"/>
  <c r="BI475" i="82" s="1"/>
  <c r="AH475" i="82"/>
  <c r="BH475" i="82" s="1"/>
  <c r="Z475" i="82"/>
  <c r="BM475" i="82" s="1"/>
  <c r="R475" i="82"/>
  <c r="BL475" i="82" s="1"/>
  <c r="J475" i="82"/>
  <c r="BK474" i="82"/>
  <c r="BE474" i="82"/>
  <c r="AP474" i="82"/>
  <c r="BO474" i="82" s="1"/>
  <c r="AH474" i="82"/>
  <c r="BH474" i="82" s="1"/>
  <c r="Z474" i="82"/>
  <c r="BM474" i="82" s="1"/>
  <c r="R474" i="82"/>
  <c r="BL474" i="82" s="1"/>
  <c r="J474" i="82"/>
  <c r="BK473" i="82"/>
  <c r="BE473" i="82"/>
  <c r="AP473" i="82"/>
  <c r="BI473" i="82" s="1"/>
  <c r="AH473" i="82"/>
  <c r="BH473" i="82" s="1"/>
  <c r="Z473" i="82"/>
  <c r="BM473" i="82" s="1"/>
  <c r="R473" i="82"/>
  <c r="BL473" i="82" s="1"/>
  <c r="J473" i="82"/>
  <c r="BK472" i="82"/>
  <c r="BE472" i="82"/>
  <c r="AP472" i="82"/>
  <c r="BO472" i="82" s="1"/>
  <c r="AH472" i="82"/>
  <c r="BH472" i="82" s="1"/>
  <c r="Z472" i="82"/>
  <c r="BM472" i="82" s="1"/>
  <c r="R472" i="82"/>
  <c r="BL472" i="82" s="1"/>
  <c r="J472" i="82"/>
  <c r="BK471" i="82"/>
  <c r="BE471" i="82"/>
  <c r="AP471" i="82"/>
  <c r="BI471" i="82" s="1"/>
  <c r="AH471" i="82"/>
  <c r="BH471" i="82" s="1"/>
  <c r="Z471" i="82"/>
  <c r="BM471" i="82" s="1"/>
  <c r="R471" i="82"/>
  <c r="BL471" i="82" s="1"/>
  <c r="J471" i="82"/>
  <c r="BK470" i="82"/>
  <c r="BE470" i="82"/>
  <c r="AP470" i="82"/>
  <c r="BO470" i="82" s="1"/>
  <c r="AH470" i="82"/>
  <c r="BH470" i="82" s="1"/>
  <c r="Z470" i="82"/>
  <c r="BM470" i="82" s="1"/>
  <c r="R470" i="82"/>
  <c r="BL470" i="82" s="1"/>
  <c r="J470" i="82"/>
  <c r="BK469" i="82"/>
  <c r="BE469" i="82"/>
  <c r="AP469" i="82"/>
  <c r="BI469" i="82" s="1"/>
  <c r="AH469" i="82"/>
  <c r="BH469" i="82" s="1"/>
  <c r="Z469" i="82"/>
  <c r="BM469" i="82" s="1"/>
  <c r="R469" i="82"/>
  <c r="BL469" i="82" s="1"/>
  <c r="J469" i="82"/>
  <c r="BK468" i="82"/>
  <c r="BE468" i="82"/>
  <c r="AP468" i="82"/>
  <c r="BO468" i="82" s="1"/>
  <c r="AH468" i="82"/>
  <c r="BH468" i="82" s="1"/>
  <c r="Z468" i="82"/>
  <c r="BM468" i="82" s="1"/>
  <c r="R468" i="82"/>
  <c r="BL468" i="82" s="1"/>
  <c r="J468" i="82"/>
  <c r="BK467" i="82"/>
  <c r="BE467" i="82"/>
  <c r="AP467" i="82"/>
  <c r="BI467" i="82" s="1"/>
  <c r="AH467" i="82"/>
  <c r="BH467" i="82" s="1"/>
  <c r="Z467" i="82"/>
  <c r="BM467" i="82" s="1"/>
  <c r="R467" i="82"/>
  <c r="BL467" i="82" s="1"/>
  <c r="J467" i="82"/>
  <c r="BK466" i="82"/>
  <c r="BE466" i="82"/>
  <c r="AP466" i="82"/>
  <c r="BO466" i="82" s="1"/>
  <c r="AH466" i="82"/>
  <c r="BH466" i="82" s="1"/>
  <c r="Z466" i="82"/>
  <c r="BM466" i="82" s="1"/>
  <c r="R466" i="82"/>
  <c r="BL466" i="82" s="1"/>
  <c r="J466" i="82"/>
  <c r="BK465" i="82"/>
  <c r="BE465" i="82"/>
  <c r="AP465" i="82"/>
  <c r="BI465" i="82" s="1"/>
  <c r="AH465" i="82"/>
  <c r="BH465" i="82" s="1"/>
  <c r="Z465" i="82"/>
  <c r="BM465" i="82" s="1"/>
  <c r="R465" i="82"/>
  <c r="BL465" i="82" s="1"/>
  <c r="J465" i="82"/>
  <c r="BK464" i="82"/>
  <c r="BE464" i="82"/>
  <c r="AP464" i="82"/>
  <c r="BO464" i="82" s="1"/>
  <c r="AH464" i="82"/>
  <c r="BH464" i="82" s="1"/>
  <c r="Z464" i="82"/>
  <c r="BM464" i="82" s="1"/>
  <c r="R464" i="82"/>
  <c r="BL464" i="82" s="1"/>
  <c r="J464" i="82"/>
  <c r="BK463" i="82"/>
  <c r="BE463" i="82"/>
  <c r="AP463" i="82"/>
  <c r="BO463" i="82" s="1"/>
  <c r="AH463" i="82"/>
  <c r="BH463" i="82" s="1"/>
  <c r="Z463" i="82"/>
  <c r="BM463" i="82" s="1"/>
  <c r="R463" i="82"/>
  <c r="BL463" i="82" s="1"/>
  <c r="J463" i="82"/>
  <c r="BK462" i="82"/>
  <c r="BE462" i="82"/>
  <c r="AP462" i="82"/>
  <c r="BO462" i="82" s="1"/>
  <c r="AH462" i="82"/>
  <c r="BH462" i="82" s="1"/>
  <c r="Z462" i="82"/>
  <c r="BM462" i="82" s="1"/>
  <c r="R462" i="82"/>
  <c r="BL462" i="82" s="1"/>
  <c r="J462" i="82"/>
  <c r="BK461" i="82"/>
  <c r="BE461" i="82"/>
  <c r="AP461" i="82"/>
  <c r="BI461" i="82" s="1"/>
  <c r="AH461" i="82"/>
  <c r="BH461" i="82" s="1"/>
  <c r="Z461" i="82"/>
  <c r="BM461" i="82" s="1"/>
  <c r="R461" i="82"/>
  <c r="BL461" i="82" s="1"/>
  <c r="J461" i="82"/>
  <c r="BK460" i="82"/>
  <c r="BE460" i="82"/>
  <c r="AP460" i="82"/>
  <c r="BO460" i="82" s="1"/>
  <c r="AH460" i="82"/>
  <c r="BH460" i="82" s="1"/>
  <c r="Z460" i="82"/>
  <c r="BM460" i="82" s="1"/>
  <c r="R460" i="82"/>
  <c r="BL460" i="82" s="1"/>
  <c r="J460" i="82"/>
  <c r="BK459" i="82"/>
  <c r="BE459" i="82"/>
  <c r="AP459" i="82"/>
  <c r="BO459" i="82" s="1"/>
  <c r="AH459" i="82"/>
  <c r="BH459" i="82" s="1"/>
  <c r="Z459" i="82"/>
  <c r="R459" i="82"/>
  <c r="BL459" i="82" s="1"/>
  <c r="J459" i="82"/>
  <c r="BK458" i="82"/>
  <c r="BE458" i="82"/>
  <c r="AP458" i="82"/>
  <c r="BI458" i="82" s="1"/>
  <c r="AH458" i="82"/>
  <c r="BH458" i="82" s="1"/>
  <c r="Z458" i="82"/>
  <c r="BM458" i="82" s="1"/>
  <c r="R458" i="82"/>
  <c r="J458" i="82"/>
  <c r="BK457" i="82"/>
  <c r="BE457" i="82"/>
  <c r="AP457" i="82"/>
  <c r="BO457" i="82" s="1"/>
  <c r="AH457" i="82"/>
  <c r="BH457" i="82" s="1"/>
  <c r="Z457" i="82"/>
  <c r="BM457" i="82" s="1"/>
  <c r="R457" i="82"/>
  <c r="BL457" i="82" s="1"/>
  <c r="J457" i="82"/>
  <c r="BK456" i="82"/>
  <c r="BE456" i="82"/>
  <c r="AP456" i="82"/>
  <c r="BO456" i="82" s="1"/>
  <c r="AH456" i="82"/>
  <c r="BH456" i="82" s="1"/>
  <c r="Z456" i="82"/>
  <c r="BM456" i="82" s="1"/>
  <c r="R456" i="82"/>
  <c r="BL456" i="82" s="1"/>
  <c r="J456" i="82"/>
  <c r="BK455" i="82"/>
  <c r="BE455" i="82"/>
  <c r="AP455" i="82"/>
  <c r="AH455" i="82"/>
  <c r="BH455" i="82" s="1"/>
  <c r="Z455" i="82"/>
  <c r="R455" i="82"/>
  <c r="J455" i="82"/>
  <c r="BK454" i="82"/>
  <c r="BE454" i="82"/>
  <c r="AP454" i="82"/>
  <c r="BI454" i="82" s="1"/>
  <c r="AH454" i="82"/>
  <c r="BH454" i="82" s="1"/>
  <c r="Z454" i="82"/>
  <c r="R454" i="82"/>
  <c r="BL454" i="82" s="1"/>
  <c r="J454" i="82"/>
  <c r="BK453" i="82"/>
  <c r="BE453" i="82"/>
  <c r="AP453" i="82"/>
  <c r="BI453" i="82" s="1"/>
  <c r="AH453" i="82"/>
  <c r="Z453" i="82"/>
  <c r="BM453" i="82" s="1"/>
  <c r="R453" i="82"/>
  <c r="BL453" i="82" s="1"/>
  <c r="J453" i="82"/>
  <c r="BK452" i="82"/>
  <c r="BE452" i="82"/>
  <c r="AP452" i="82"/>
  <c r="BO452" i="82" s="1"/>
  <c r="AH452" i="82"/>
  <c r="BH452" i="82" s="1"/>
  <c r="Z452" i="82"/>
  <c r="BG452" i="82" s="1"/>
  <c r="R452" i="82"/>
  <c r="J452" i="82"/>
  <c r="BK451" i="82"/>
  <c r="BE451" i="82"/>
  <c r="AP451" i="82"/>
  <c r="BI451" i="82" s="1"/>
  <c r="AH451" i="82"/>
  <c r="BN451" i="82" s="1"/>
  <c r="Z451" i="82"/>
  <c r="BM451" i="82" s="1"/>
  <c r="R451" i="82"/>
  <c r="BL451" i="82" s="1"/>
  <c r="J451" i="82"/>
  <c r="BK450" i="82"/>
  <c r="BE450" i="82"/>
  <c r="AP450" i="82"/>
  <c r="BI450" i="82" s="1"/>
  <c r="AH450" i="82"/>
  <c r="BH450" i="82" s="1"/>
  <c r="Z450" i="82"/>
  <c r="R450" i="82"/>
  <c r="J450" i="82"/>
  <c r="BK449" i="82"/>
  <c r="BE449" i="82"/>
  <c r="AP449" i="82"/>
  <c r="BI449" i="82" s="1"/>
  <c r="AH449" i="82"/>
  <c r="BN449" i="82" s="1"/>
  <c r="Z449" i="82"/>
  <c r="BM449" i="82" s="1"/>
  <c r="R449" i="82"/>
  <c r="BL449" i="82" s="1"/>
  <c r="J449" i="82"/>
  <c r="BK448" i="82"/>
  <c r="BE448" i="82"/>
  <c r="AP448" i="82"/>
  <c r="BI448" i="82" s="1"/>
  <c r="AH448" i="82"/>
  <c r="BH448" i="82" s="1"/>
  <c r="Z448" i="82"/>
  <c r="BG448" i="82" s="1"/>
  <c r="R448" i="82"/>
  <c r="J448" i="82"/>
  <c r="BK447" i="82"/>
  <c r="BE447" i="82"/>
  <c r="AP447" i="82"/>
  <c r="BI447" i="82" s="1"/>
  <c r="AH447" i="82"/>
  <c r="BN447" i="82" s="1"/>
  <c r="Z447" i="82"/>
  <c r="BM447" i="82" s="1"/>
  <c r="R447" i="82"/>
  <c r="BL447" i="82" s="1"/>
  <c r="J447" i="82"/>
  <c r="BK446" i="82"/>
  <c r="BE446" i="82"/>
  <c r="AP446" i="82"/>
  <c r="BI446" i="82" s="1"/>
  <c r="AH446" i="82"/>
  <c r="BH446" i="82" s="1"/>
  <c r="Z446" i="82"/>
  <c r="BM446" i="82" s="1"/>
  <c r="R446" i="82"/>
  <c r="BL446" i="82" s="1"/>
  <c r="J446" i="82"/>
  <c r="BK445" i="82"/>
  <c r="BE445" i="82"/>
  <c r="AP445" i="82"/>
  <c r="AH445" i="82"/>
  <c r="BH445" i="82" s="1"/>
  <c r="Z445" i="82"/>
  <c r="BG445" i="82" s="1"/>
  <c r="R445" i="82"/>
  <c r="BL445" i="82" s="1"/>
  <c r="J445" i="82"/>
  <c r="BK444" i="82"/>
  <c r="BE444" i="82"/>
  <c r="AP444" i="82"/>
  <c r="BI444" i="82" s="1"/>
  <c r="AH444" i="82"/>
  <c r="BH444" i="82" s="1"/>
  <c r="Z444" i="82"/>
  <c r="BG444" i="82" s="1"/>
  <c r="R444" i="82"/>
  <c r="BL444" i="82" s="1"/>
  <c r="J444" i="82"/>
  <c r="BK443" i="82"/>
  <c r="BE443" i="82"/>
  <c r="AP443" i="82"/>
  <c r="BI443" i="82" s="1"/>
  <c r="AH443" i="82"/>
  <c r="BH443" i="82" s="1"/>
  <c r="Z443" i="82"/>
  <c r="R443" i="82"/>
  <c r="BL443" i="82" s="1"/>
  <c r="J443" i="82"/>
  <c r="BK442" i="82"/>
  <c r="BE442" i="82"/>
  <c r="AP442" i="82"/>
  <c r="BI442" i="82" s="1"/>
  <c r="AH442" i="82"/>
  <c r="BH442" i="82" s="1"/>
  <c r="Z442" i="82"/>
  <c r="BG442" i="82" s="1"/>
  <c r="R442" i="82"/>
  <c r="BF442" i="82" s="1"/>
  <c r="J442" i="82"/>
  <c r="BK441" i="82"/>
  <c r="BE441" i="82"/>
  <c r="AP441" i="82"/>
  <c r="BI441" i="82" s="1"/>
  <c r="AH441" i="82"/>
  <c r="BH441" i="82" s="1"/>
  <c r="Z441" i="82"/>
  <c r="BG441" i="82" s="1"/>
  <c r="R441" i="82"/>
  <c r="BL441" i="82" s="1"/>
  <c r="J441" i="82"/>
  <c r="BK440" i="82"/>
  <c r="BE440" i="82"/>
  <c r="AP440" i="82"/>
  <c r="BI440" i="82" s="1"/>
  <c r="AH440" i="82"/>
  <c r="BH440" i="82" s="1"/>
  <c r="Z440" i="82"/>
  <c r="BG440" i="82" s="1"/>
  <c r="R440" i="82"/>
  <c r="BL440" i="82" s="1"/>
  <c r="J440" i="82"/>
  <c r="BK439" i="82"/>
  <c r="BE439" i="82"/>
  <c r="AP439" i="82"/>
  <c r="BI439" i="82" s="1"/>
  <c r="AH439" i="82"/>
  <c r="BH439" i="82" s="1"/>
  <c r="Z439" i="82"/>
  <c r="BG439" i="82" s="1"/>
  <c r="R439" i="82"/>
  <c r="BL439" i="82" s="1"/>
  <c r="J439" i="82"/>
  <c r="BK438" i="82"/>
  <c r="BE438" i="82"/>
  <c r="AP438" i="82"/>
  <c r="BI438" i="82" s="1"/>
  <c r="AH438" i="82"/>
  <c r="BH438" i="82" s="1"/>
  <c r="Z438" i="82"/>
  <c r="BG438" i="82" s="1"/>
  <c r="R438" i="82"/>
  <c r="BF438" i="82" s="1"/>
  <c r="J438" i="82"/>
  <c r="BK437" i="82"/>
  <c r="BE437" i="82"/>
  <c r="AP437" i="82"/>
  <c r="BI437" i="82" s="1"/>
  <c r="AH437" i="82"/>
  <c r="BH437" i="82" s="1"/>
  <c r="Z437" i="82"/>
  <c r="BG437" i="82" s="1"/>
  <c r="R437" i="82"/>
  <c r="BL437" i="82" s="1"/>
  <c r="J437" i="82"/>
  <c r="BK436" i="82"/>
  <c r="BE436" i="82"/>
  <c r="AP436" i="82"/>
  <c r="BI436" i="82" s="1"/>
  <c r="AH436" i="82"/>
  <c r="BH436" i="82" s="1"/>
  <c r="Z436" i="82"/>
  <c r="BG436" i="82" s="1"/>
  <c r="R436" i="82"/>
  <c r="BF436" i="82" s="1"/>
  <c r="J436" i="82"/>
  <c r="BK435" i="82"/>
  <c r="BE435" i="82"/>
  <c r="AP435" i="82"/>
  <c r="BI435" i="82" s="1"/>
  <c r="AH435" i="82"/>
  <c r="BH435" i="82" s="1"/>
  <c r="Z435" i="82"/>
  <c r="BG435" i="82" s="1"/>
  <c r="R435" i="82"/>
  <c r="J435" i="82"/>
  <c r="BK434" i="82"/>
  <c r="BE434" i="82"/>
  <c r="AP434" i="82"/>
  <c r="BI434" i="82" s="1"/>
  <c r="AH434" i="82"/>
  <c r="BH434" i="82" s="1"/>
  <c r="Z434" i="82"/>
  <c r="BG434" i="82" s="1"/>
  <c r="R434" i="82"/>
  <c r="BF434" i="82" s="1"/>
  <c r="J434" i="82"/>
  <c r="BK433" i="82"/>
  <c r="BE433" i="82"/>
  <c r="AP433" i="82"/>
  <c r="BI433" i="82" s="1"/>
  <c r="AH433" i="82"/>
  <c r="BH433" i="82" s="1"/>
  <c r="Z433" i="82"/>
  <c r="BG433" i="82" s="1"/>
  <c r="R433" i="82"/>
  <c r="BL433" i="82" s="1"/>
  <c r="J433" i="82"/>
  <c r="BK432" i="82"/>
  <c r="BE432" i="82"/>
  <c r="AP432" i="82"/>
  <c r="BI432" i="82" s="1"/>
  <c r="AH432" i="82"/>
  <c r="BH432" i="82" s="1"/>
  <c r="Z432" i="82"/>
  <c r="BG432" i="82" s="1"/>
  <c r="R432" i="82"/>
  <c r="BF432" i="82" s="1"/>
  <c r="J432" i="82"/>
  <c r="BK431" i="82"/>
  <c r="BE431" i="82"/>
  <c r="AP431" i="82"/>
  <c r="BI431" i="82" s="1"/>
  <c r="AH431" i="82"/>
  <c r="BH431" i="82" s="1"/>
  <c r="Z431" i="82"/>
  <c r="BG431" i="82" s="1"/>
  <c r="R431" i="82"/>
  <c r="J431" i="82"/>
  <c r="BK430" i="82"/>
  <c r="BE430" i="82"/>
  <c r="AP430" i="82"/>
  <c r="BI430" i="82" s="1"/>
  <c r="AH430" i="82"/>
  <c r="BH430" i="82" s="1"/>
  <c r="Z430" i="82"/>
  <c r="BG430" i="82" s="1"/>
  <c r="R430" i="82"/>
  <c r="BL430" i="82" s="1"/>
  <c r="J430" i="82"/>
  <c r="BK429" i="82"/>
  <c r="BE429" i="82"/>
  <c r="AP429" i="82"/>
  <c r="BI429" i="82" s="1"/>
  <c r="AH429" i="82"/>
  <c r="BH429" i="82" s="1"/>
  <c r="Z429" i="82"/>
  <c r="BG429" i="82" s="1"/>
  <c r="R429" i="82"/>
  <c r="BL429" i="82" s="1"/>
  <c r="J429" i="82"/>
  <c r="BK428" i="82"/>
  <c r="BE428" i="82"/>
  <c r="AP428" i="82"/>
  <c r="BO428" i="82" s="1"/>
  <c r="AH428" i="82"/>
  <c r="BH428" i="82" s="1"/>
  <c r="Z428" i="82"/>
  <c r="R428" i="82"/>
  <c r="BL428" i="82" s="1"/>
  <c r="J428" i="82"/>
  <c r="BK427" i="82"/>
  <c r="BE427" i="82"/>
  <c r="AP427" i="82"/>
  <c r="AH427" i="82"/>
  <c r="BH427" i="82" s="1"/>
  <c r="Z427" i="82"/>
  <c r="BG427" i="82" s="1"/>
  <c r="R427" i="82"/>
  <c r="BL427" i="82" s="1"/>
  <c r="J427" i="82"/>
  <c r="BK426" i="82"/>
  <c r="BE426" i="82"/>
  <c r="AP426" i="82"/>
  <c r="AH426" i="82"/>
  <c r="Z426" i="82"/>
  <c r="BG426" i="82" s="1"/>
  <c r="R426" i="82"/>
  <c r="BF426" i="82" s="1"/>
  <c r="J426" i="82"/>
  <c r="BK425" i="82"/>
  <c r="BE425" i="82"/>
  <c r="AP425" i="82"/>
  <c r="BO425" i="82" s="1"/>
  <c r="AH425" i="82"/>
  <c r="Z425" i="82"/>
  <c r="BM425" i="82" s="1"/>
  <c r="R425" i="82"/>
  <c r="BL425" i="82" s="1"/>
  <c r="J425" i="82"/>
  <c r="BK424" i="82"/>
  <c r="BE424" i="82"/>
  <c r="AP424" i="82"/>
  <c r="AH424" i="82"/>
  <c r="Z424" i="82"/>
  <c r="BG424" i="82" s="1"/>
  <c r="R424" i="82"/>
  <c r="BF424" i="82" s="1"/>
  <c r="J424" i="82"/>
  <c r="BK423" i="82"/>
  <c r="BE423" i="82"/>
  <c r="AP423" i="82"/>
  <c r="BO423" i="82" s="1"/>
  <c r="AH423" i="82"/>
  <c r="Z423" i="82"/>
  <c r="BM423" i="82" s="1"/>
  <c r="R423" i="82"/>
  <c r="BL423" i="82" s="1"/>
  <c r="J423" i="82"/>
  <c r="BK422" i="82"/>
  <c r="BE422" i="82"/>
  <c r="AP422" i="82"/>
  <c r="AH422" i="82"/>
  <c r="Z422" i="82"/>
  <c r="BG422" i="82" s="1"/>
  <c r="R422" i="82"/>
  <c r="BF422" i="82" s="1"/>
  <c r="J422" i="82"/>
  <c r="BK421" i="82"/>
  <c r="BE421" i="82"/>
  <c r="AP421" i="82"/>
  <c r="BO421" i="82" s="1"/>
  <c r="AH421" i="82"/>
  <c r="Z421" i="82"/>
  <c r="BM421" i="82" s="1"/>
  <c r="R421" i="82"/>
  <c r="BF421" i="82" s="1"/>
  <c r="J421" i="82"/>
  <c r="BK420" i="82"/>
  <c r="BE420" i="82"/>
  <c r="AP420" i="82"/>
  <c r="AH420" i="82"/>
  <c r="Z420" i="82"/>
  <c r="BG420" i="82" s="1"/>
  <c r="R420" i="82"/>
  <c r="BF420" i="82" s="1"/>
  <c r="J420" i="82"/>
  <c r="BK419" i="82"/>
  <c r="BE419" i="82"/>
  <c r="AP419" i="82"/>
  <c r="BO419" i="82" s="1"/>
  <c r="AH419" i="82"/>
  <c r="Z419" i="82"/>
  <c r="BM419" i="82" s="1"/>
  <c r="R419" i="82"/>
  <c r="BF419" i="82" s="1"/>
  <c r="J419" i="82"/>
  <c r="BK418" i="82"/>
  <c r="BE418" i="82"/>
  <c r="AP418" i="82"/>
  <c r="AH418" i="82"/>
  <c r="Z418" i="82"/>
  <c r="BG418" i="82" s="1"/>
  <c r="R418" i="82"/>
  <c r="BF418" i="82" s="1"/>
  <c r="J418" i="82"/>
  <c r="BK417" i="82"/>
  <c r="BE417" i="82"/>
  <c r="AP417" i="82"/>
  <c r="BO417" i="82" s="1"/>
  <c r="AH417" i="82"/>
  <c r="Z417" i="82"/>
  <c r="R417" i="82"/>
  <c r="BL417" i="82" s="1"/>
  <c r="J417" i="82"/>
  <c r="BK416" i="82"/>
  <c r="BE416" i="82"/>
  <c r="AP416" i="82"/>
  <c r="AH416" i="82"/>
  <c r="Z416" i="82"/>
  <c r="BG416" i="82" s="1"/>
  <c r="R416" i="82"/>
  <c r="J416" i="82"/>
  <c r="BK415" i="82"/>
  <c r="BE415" i="82"/>
  <c r="AP415" i="82"/>
  <c r="BO415" i="82" s="1"/>
  <c r="AH415" i="82"/>
  <c r="Z415" i="82"/>
  <c r="BM415" i="82" s="1"/>
  <c r="R415" i="82"/>
  <c r="BL415" i="82" s="1"/>
  <c r="J415" i="82"/>
  <c r="BK414" i="82"/>
  <c r="BE414" i="82"/>
  <c r="AP414" i="82"/>
  <c r="BI414" i="82" s="1"/>
  <c r="AH414" i="82"/>
  <c r="BH414" i="82" s="1"/>
  <c r="Z414" i="82"/>
  <c r="BG414" i="82" s="1"/>
  <c r="R414" i="82"/>
  <c r="BL414" i="82" s="1"/>
  <c r="J414" i="82"/>
  <c r="BK413" i="82"/>
  <c r="BE413" i="82"/>
  <c r="AP413" i="82"/>
  <c r="BI413" i="82" s="1"/>
  <c r="AH413" i="82"/>
  <c r="BH413" i="82" s="1"/>
  <c r="Z413" i="82"/>
  <c r="BG413" i="82" s="1"/>
  <c r="R413" i="82"/>
  <c r="BF413" i="82" s="1"/>
  <c r="J413" i="82"/>
  <c r="BK412" i="82"/>
  <c r="BE412" i="82"/>
  <c r="AP412" i="82"/>
  <c r="BO412" i="82" s="1"/>
  <c r="AH412" i="82"/>
  <c r="BH412" i="82" s="1"/>
  <c r="Z412" i="82"/>
  <c r="R412" i="82"/>
  <c r="J412" i="82"/>
  <c r="BK411" i="82"/>
  <c r="BE411" i="82"/>
  <c r="AP411" i="82"/>
  <c r="BO411" i="82" s="1"/>
  <c r="AH411" i="82"/>
  <c r="BN411" i="82" s="1"/>
  <c r="Z411" i="82"/>
  <c r="BG411" i="82" s="1"/>
  <c r="R411" i="82"/>
  <c r="J411" i="82"/>
  <c r="BK410" i="82"/>
  <c r="BE410" i="82"/>
  <c r="AP410" i="82"/>
  <c r="BO410" i="82" s="1"/>
  <c r="AH410" i="82"/>
  <c r="BN410" i="82" s="1"/>
  <c r="Z410" i="82"/>
  <c r="BG410" i="82" s="1"/>
  <c r="R410" i="82"/>
  <c r="J410" i="82"/>
  <c r="BK409" i="82"/>
  <c r="BE409" i="82"/>
  <c r="AP409" i="82"/>
  <c r="AH409" i="82"/>
  <c r="BN409" i="82" s="1"/>
  <c r="Z409" i="82"/>
  <c r="BG409" i="82" s="1"/>
  <c r="R409" i="82"/>
  <c r="J409" i="82"/>
  <c r="BK408" i="82"/>
  <c r="BE408" i="82"/>
  <c r="AP408" i="82"/>
  <c r="AH408" i="82"/>
  <c r="BH408" i="82" s="1"/>
  <c r="Z408" i="82"/>
  <c r="BG408" i="82" s="1"/>
  <c r="R408" i="82"/>
  <c r="J408" i="82"/>
  <c r="BK407" i="82"/>
  <c r="BE407" i="82"/>
  <c r="AP407" i="82"/>
  <c r="BO407" i="82" s="1"/>
  <c r="AH407" i="82"/>
  <c r="BN407" i="82" s="1"/>
  <c r="Z407" i="82"/>
  <c r="BG407" i="82" s="1"/>
  <c r="R407" i="82"/>
  <c r="J407" i="82"/>
  <c r="BK406" i="82"/>
  <c r="BE406" i="82"/>
  <c r="AP406" i="82"/>
  <c r="BO406" i="82" s="1"/>
  <c r="AH406" i="82"/>
  <c r="BN406" i="82" s="1"/>
  <c r="Z406" i="82"/>
  <c r="BG406" i="82" s="1"/>
  <c r="R406" i="82"/>
  <c r="J406" i="82"/>
  <c r="BK405" i="82"/>
  <c r="BE405" i="82"/>
  <c r="AP405" i="82"/>
  <c r="BO405" i="82" s="1"/>
  <c r="AH405" i="82"/>
  <c r="BN405" i="82" s="1"/>
  <c r="Z405" i="82"/>
  <c r="R405" i="82"/>
  <c r="J405" i="82"/>
  <c r="BK404" i="82"/>
  <c r="BE404" i="82"/>
  <c r="AP404" i="82"/>
  <c r="BO404" i="82" s="1"/>
  <c r="AH404" i="82"/>
  <c r="BN404" i="82" s="1"/>
  <c r="Z404" i="82"/>
  <c r="R404" i="82"/>
  <c r="J404" i="82"/>
  <c r="BK403" i="82"/>
  <c r="BE403" i="82"/>
  <c r="AP403" i="82"/>
  <c r="BO403" i="82" s="1"/>
  <c r="AH403" i="82"/>
  <c r="BH403" i="82" s="1"/>
  <c r="Z403" i="82"/>
  <c r="BG403" i="82" s="1"/>
  <c r="R403" i="82"/>
  <c r="J403" i="82"/>
  <c r="BK402" i="82"/>
  <c r="BE402" i="82"/>
  <c r="AP402" i="82"/>
  <c r="BO402" i="82" s="1"/>
  <c r="AH402" i="82"/>
  <c r="Z402" i="82"/>
  <c r="BG402" i="82" s="1"/>
  <c r="R402" i="82"/>
  <c r="J402" i="82"/>
  <c r="BK401" i="82"/>
  <c r="BE401" i="82"/>
  <c r="AP401" i="82"/>
  <c r="BO401" i="82" s="1"/>
  <c r="AH401" i="82"/>
  <c r="BN401" i="82" s="1"/>
  <c r="Z401" i="82"/>
  <c r="R401" i="82"/>
  <c r="J401" i="82"/>
  <c r="BK400" i="82"/>
  <c r="BE400" i="82"/>
  <c r="AP400" i="82"/>
  <c r="BO400" i="82" s="1"/>
  <c r="AH400" i="82"/>
  <c r="BN400" i="82" s="1"/>
  <c r="Z400" i="82"/>
  <c r="BG400" i="82" s="1"/>
  <c r="R400" i="82"/>
  <c r="J400" i="82"/>
  <c r="BK399" i="82"/>
  <c r="BE399" i="82"/>
  <c r="AP399" i="82"/>
  <c r="BO399" i="82" s="1"/>
  <c r="AH399" i="82"/>
  <c r="BH399" i="82" s="1"/>
  <c r="Z399" i="82"/>
  <c r="BG399" i="82" s="1"/>
  <c r="R399" i="82"/>
  <c r="J399" i="82"/>
  <c r="BK398" i="82"/>
  <c r="BE398" i="82"/>
  <c r="AP398" i="82"/>
  <c r="BO398" i="82" s="1"/>
  <c r="AH398" i="82"/>
  <c r="Z398" i="82"/>
  <c r="BG398" i="82" s="1"/>
  <c r="R398" i="82"/>
  <c r="J398" i="82"/>
  <c r="BK397" i="82"/>
  <c r="BE397" i="82"/>
  <c r="AP397" i="82"/>
  <c r="AH397" i="82"/>
  <c r="BH397" i="82" s="1"/>
  <c r="Z397" i="82"/>
  <c r="BG397" i="82" s="1"/>
  <c r="R397" i="82"/>
  <c r="J397" i="82"/>
  <c r="BK396" i="82"/>
  <c r="BE396" i="82"/>
  <c r="AP396" i="82"/>
  <c r="AH396" i="82"/>
  <c r="BN396" i="82" s="1"/>
  <c r="Z396" i="82"/>
  <c r="BG396" i="82" s="1"/>
  <c r="R396" i="82"/>
  <c r="J396" i="82"/>
  <c r="BK395" i="82"/>
  <c r="BE395" i="82"/>
  <c r="AP395" i="82"/>
  <c r="BO395" i="82" s="1"/>
  <c r="AH395" i="82"/>
  <c r="Z395" i="82"/>
  <c r="BM395" i="82" s="1"/>
  <c r="R395" i="82"/>
  <c r="J395" i="82"/>
  <c r="BK394" i="82"/>
  <c r="BE394" i="82"/>
  <c r="AP394" i="82"/>
  <c r="BO394" i="82" s="1"/>
  <c r="AH394" i="82"/>
  <c r="Z394" i="82"/>
  <c r="BG394" i="82" s="1"/>
  <c r="R394" i="82"/>
  <c r="J394" i="82"/>
  <c r="BK393" i="82"/>
  <c r="BE393" i="82"/>
  <c r="AP393" i="82"/>
  <c r="BI393" i="82" s="1"/>
  <c r="AH393" i="82"/>
  <c r="BN393" i="82" s="1"/>
  <c r="Z393" i="82"/>
  <c r="R393" i="82"/>
  <c r="BL393" i="82" s="1"/>
  <c r="J393" i="82"/>
  <c r="BK392" i="82"/>
  <c r="BE392" i="82"/>
  <c r="AP392" i="82"/>
  <c r="AH392" i="82"/>
  <c r="BH392" i="82" s="1"/>
  <c r="Z392" i="82"/>
  <c r="BG392" i="82" s="1"/>
  <c r="R392" i="82"/>
  <c r="J392" i="82"/>
  <c r="BK391" i="82"/>
  <c r="BE391" i="82"/>
  <c r="AP391" i="82"/>
  <c r="BI391" i="82" s="1"/>
  <c r="AH391" i="82"/>
  <c r="BN391" i="82" s="1"/>
  <c r="Z391" i="82"/>
  <c r="BM391" i="82" s="1"/>
  <c r="R391" i="82"/>
  <c r="BL391" i="82" s="1"/>
  <c r="J391" i="82"/>
  <c r="BK390" i="82"/>
  <c r="BE390" i="82"/>
  <c r="AP390" i="82"/>
  <c r="BO390" i="82" s="1"/>
  <c r="AH390" i="82"/>
  <c r="BH390" i="82" s="1"/>
  <c r="Z390" i="82"/>
  <c r="R390" i="82"/>
  <c r="BL390" i="82" s="1"/>
  <c r="J390" i="82"/>
  <c r="BK389" i="82"/>
  <c r="BE389" i="82"/>
  <c r="AP389" i="82"/>
  <c r="AH389" i="82"/>
  <c r="BH389" i="82" s="1"/>
  <c r="Z389" i="82"/>
  <c r="BM389" i="82" s="1"/>
  <c r="R389" i="82"/>
  <c r="BL389" i="82" s="1"/>
  <c r="J389" i="82"/>
  <c r="BK388" i="82"/>
  <c r="BE388" i="82"/>
  <c r="AP388" i="82"/>
  <c r="BO388" i="82" s="1"/>
  <c r="AH388" i="82"/>
  <c r="BH388" i="82" s="1"/>
  <c r="Z388" i="82"/>
  <c r="BM388" i="82" s="1"/>
  <c r="R388" i="82"/>
  <c r="BL388" i="82" s="1"/>
  <c r="J388" i="82"/>
  <c r="BK387" i="82"/>
  <c r="BE387" i="82"/>
  <c r="AP387" i="82"/>
  <c r="AH387" i="82"/>
  <c r="BH387" i="82" s="1"/>
  <c r="Z387" i="82"/>
  <c r="R387" i="82"/>
  <c r="J387" i="82"/>
  <c r="BK386" i="82"/>
  <c r="BE386" i="82"/>
  <c r="AP386" i="82"/>
  <c r="BO386" i="82" s="1"/>
  <c r="AH386" i="82"/>
  <c r="Z386" i="82"/>
  <c r="R386" i="82"/>
  <c r="BL386" i="82" s="1"/>
  <c r="J386" i="82"/>
  <c r="BK385" i="82"/>
  <c r="BE385" i="82"/>
  <c r="AP385" i="82"/>
  <c r="BI385" i="82" s="1"/>
  <c r="AH385" i="82"/>
  <c r="BN385" i="82" s="1"/>
  <c r="Z385" i="82"/>
  <c r="R385" i="82"/>
  <c r="BL385" i="82" s="1"/>
  <c r="J385" i="82"/>
  <c r="BK384" i="82"/>
  <c r="BE384" i="82"/>
  <c r="AP384" i="82"/>
  <c r="AH384" i="82"/>
  <c r="BH384" i="82" s="1"/>
  <c r="Z384" i="82"/>
  <c r="R384" i="82"/>
  <c r="J384" i="82"/>
  <c r="BK383" i="82"/>
  <c r="BE383" i="82"/>
  <c r="AP383" i="82"/>
  <c r="BI383" i="82" s="1"/>
  <c r="AH383" i="82"/>
  <c r="BN383" i="82" s="1"/>
  <c r="Z383" i="82"/>
  <c r="BM383" i="82" s="1"/>
  <c r="R383" i="82"/>
  <c r="BL383" i="82" s="1"/>
  <c r="J383" i="82"/>
  <c r="BK382" i="82"/>
  <c r="BE382" i="82"/>
  <c r="AP382" i="82"/>
  <c r="AH382" i="82"/>
  <c r="BH382" i="82" s="1"/>
  <c r="Z382" i="82"/>
  <c r="R382" i="82"/>
  <c r="BL382" i="82" s="1"/>
  <c r="J382" i="82"/>
  <c r="BK381" i="82"/>
  <c r="BE381" i="82"/>
  <c r="AP381" i="82"/>
  <c r="AH381" i="82"/>
  <c r="BH381" i="82" s="1"/>
  <c r="Z381" i="82"/>
  <c r="BM381" i="82" s="1"/>
  <c r="R381" i="82"/>
  <c r="J381" i="82"/>
  <c r="BK380" i="82"/>
  <c r="BE380" i="82"/>
  <c r="AP380" i="82"/>
  <c r="BO380" i="82" s="1"/>
  <c r="AH380" i="82"/>
  <c r="BN380" i="82" s="1"/>
  <c r="Z380" i="82"/>
  <c r="BG380" i="82" s="1"/>
  <c r="R380" i="82"/>
  <c r="J380" i="82"/>
  <c r="BK379" i="82"/>
  <c r="BE379" i="82"/>
  <c r="AP379" i="82"/>
  <c r="BO379" i="82" s="1"/>
  <c r="AH379" i="82"/>
  <c r="BN379" i="82" s="1"/>
  <c r="Z379" i="82"/>
  <c r="BG379" i="82" s="1"/>
  <c r="R379" i="82"/>
  <c r="J379" i="82"/>
  <c r="BK378" i="82"/>
  <c r="BE378" i="82"/>
  <c r="AP378" i="82"/>
  <c r="AH378" i="82"/>
  <c r="BH378" i="82" s="1"/>
  <c r="Z378" i="82"/>
  <c r="BG378" i="82" s="1"/>
  <c r="R378" i="82"/>
  <c r="J378" i="82"/>
  <c r="BK377" i="82"/>
  <c r="BE377" i="82"/>
  <c r="AP377" i="82"/>
  <c r="BO377" i="82" s="1"/>
  <c r="AH377" i="82"/>
  <c r="Z377" i="82"/>
  <c r="BG377" i="82" s="1"/>
  <c r="R377" i="82"/>
  <c r="J377" i="82"/>
  <c r="BK376" i="82"/>
  <c r="BE376" i="82"/>
  <c r="AP376" i="82"/>
  <c r="BO376" i="82" s="1"/>
  <c r="AH376" i="82"/>
  <c r="BN376" i="82" s="1"/>
  <c r="Z376" i="82"/>
  <c r="BG376" i="82" s="1"/>
  <c r="R376" i="82"/>
  <c r="J376" i="82"/>
  <c r="BK375" i="82"/>
  <c r="BE375" i="82"/>
  <c r="AP375" i="82"/>
  <c r="BI375" i="82" s="1"/>
  <c r="AH375" i="82"/>
  <c r="BH375" i="82" s="1"/>
  <c r="Z375" i="82"/>
  <c r="BG375" i="82" s="1"/>
  <c r="R375" i="82"/>
  <c r="J375" i="82"/>
  <c r="BK374" i="82"/>
  <c r="BE374" i="82"/>
  <c r="AP374" i="82"/>
  <c r="AH374" i="82"/>
  <c r="BN374" i="82" s="1"/>
  <c r="Z374" i="82"/>
  <c r="BG374" i="82" s="1"/>
  <c r="R374" i="82"/>
  <c r="J374" i="82"/>
  <c r="BK373" i="82"/>
  <c r="BE373" i="82"/>
  <c r="AP373" i="82"/>
  <c r="BO373" i="82" s="1"/>
  <c r="AH373" i="82"/>
  <c r="BN373" i="82" s="1"/>
  <c r="Z373" i="82"/>
  <c r="BG373" i="82" s="1"/>
  <c r="R373" i="82"/>
  <c r="J373" i="82"/>
  <c r="BK372" i="82"/>
  <c r="BE372" i="82"/>
  <c r="AP372" i="82"/>
  <c r="BO372" i="82" s="1"/>
  <c r="AH372" i="82"/>
  <c r="BH372" i="82" s="1"/>
  <c r="Z372" i="82"/>
  <c r="BG372" i="82" s="1"/>
  <c r="R372" i="82"/>
  <c r="J372" i="82"/>
  <c r="BK371" i="82"/>
  <c r="BE371" i="82"/>
  <c r="AP371" i="82"/>
  <c r="AH371" i="82"/>
  <c r="BN371" i="82" s="1"/>
  <c r="Z371" i="82"/>
  <c r="BG371" i="82" s="1"/>
  <c r="R371" i="82"/>
  <c r="J371" i="82"/>
  <c r="BK370" i="82"/>
  <c r="BE370" i="82"/>
  <c r="AP370" i="82"/>
  <c r="BO370" i="82" s="1"/>
  <c r="AH370" i="82"/>
  <c r="BH370" i="82" s="1"/>
  <c r="Z370" i="82"/>
  <c r="BG370" i="82" s="1"/>
  <c r="R370" i="82"/>
  <c r="J370" i="82"/>
  <c r="BK369" i="82"/>
  <c r="BE369" i="82"/>
  <c r="AP369" i="82"/>
  <c r="BI369" i="82" s="1"/>
  <c r="AH369" i="82"/>
  <c r="Z369" i="82"/>
  <c r="BG369" i="82" s="1"/>
  <c r="R369" i="82"/>
  <c r="J369" i="82"/>
  <c r="BK368" i="82"/>
  <c r="BE368" i="82"/>
  <c r="AP368" i="82"/>
  <c r="BO368" i="82" s="1"/>
  <c r="AH368" i="82"/>
  <c r="BN368" i="82" s="1"/>
  <c r="Z368" i="82"/>
  <c r="BG368" i="82" s="1"/>
  <c r="R368" i="82"/>
  <c r="J368" i="82"/>
  <c r="BK367" i="82"/>
  <c r="BE367" i="82"/>
  <c r="AP367" i="82"/>
  <c r="BI367" i="82" s="1"/>
  <c r="AH367" i="82"/>
  <c r="BH367" i="82" s="1"/>
  <c r="Z367" i="82"/>
  <c r="BG367" i="82" s="1"/>
  <c r="R367" i="82"/>
  <c r="J367" i="82"/>
  <c r="BK366" i="82"/>
  <c r="BE366" i="82"/>
  <c r="AP366" i="82"/>
  <c r="BO366" i="82" s="1"/>
  <c r="AH366" i="82"/>
  <c r="BN366" i="82" s="1"/>
  <c r="Z366" i="82"/>
  <c r="BG366" i="82" s="1"/>
  <c r="R366" i="82"/>
  <c r="J366" i="82"/>
  <c r="BK365" i="82"/>
  <c r="BE365" i="82"/>
  <c r="AP365" i="82"/>
  <c r="AH365" i="82"/>
  <c r="BN365" i="82" s="1"/>
  <c r="Z365" i="82"/>
  <c r="BG365" i="82" s="1"/>
  <c r="R365" i="82"/>
  <c r="J365" i="82"/>
  <c r="BK364" i="82"/>
  <c r="BE364" i="82"/>
  <c r="AP364" i="82"/>
  <c r="BO364" i="82" s="1"/>
  <c r="AH364" i="82"/>
  <c r="BN364" i="82" s="1"/>
  <c r="Z364" i="82"/>
  <c r="BG364" i="82" s="1"/>
  <c r="R364" i="82"/>
  <c r="J364" i="82"/>
  <c r="BK363" i="82"/>
  <c r="BE363" i="82"/>
  <c r="AP363" i="82"/>
  <c r="BO363" i="82" s="1"/>
  <c r="AH363" i="82"/>
  <c r="BN363" i="82" s="1"/>
  <c r="Z363" i="82"/>
  <c r="BG363" i="82" s="1"/>
  <c r="R363" i="82"/>
  <c r="J363" i="82"/>
  <c r="BK362" i="82"/>
  <c r="BE362" i="82"/>
  <c r="AP362" i="82"/>
  <c r="AH362" i="82"/>
  <c r="BN362" i="82" s="1"/>
  <c r="Z362" i="82"/>
  <c r="BG362" i="82" s="1"/>
  <c r="R362" i="82"/>
  <c r="J362" i="82"/>
  <c r="BK361" i="82"/>
  <c r="BE361" i="82"/>
  <c r="AP361" i="82"/>
  <c r="AH361" i="82"/>
  <c r="BH361" i="82" s="1"/>
  <c r="Z361" i="82"/>
  <c r="BG361" i="82" s="1"/>
  <c r="R361" i="82"/>
  <c r="J361" i="82"/>
  <c r="BK360" i="82"/>
  <c r="BE360" i="82"/>
  <c r="AP360" i="82"/>
  <c r="BO360" i="82" s="1"/>
  <c r="AH360" i="82"/>
  <c r="Z360" i="82"/>
  <c r="BG360" i="82" s="1"/>
  <c r="R360" i="82"/>
  <c r="J360" i="82"/>
  <c r="BK359" i="82"/>
  <c r="BE359" i="82"/>
  <c r="AP359" i="82"/>
  <c r="BO359" i="82" s="1"/>
  <c r="AH359" i="82"/>
  <c r="BH359" i="82" s="1"/>
  <c r="Z359" i="82"/>
  <c r="BG359" i="82" s="1"/>
  <c r="R359" i="82"/>
  <c r="J359" i="82"/>
  <c r="BK358" i="82"/>
  <c r="BE358" i="82"/>
  <c r="AP358" i="82"/>
  <c r="AH358" i="82"/>
  <c r="BN358" i="82" s="1"/>
  <c r="Z358" i="82"/>
  <c r="BG358" i="82" s="1"/>
  <c r="R358" i="82"/>
  <c r="J358" i="82"/>
  <c r="BK357" i="82"/>
  <c r="BE357" i="82"/>
  <c r="AP357" i="82"/>
  <c r="AH357" i="82"/>
  <c r="BN357" i="82" s="1"/>
  <c r="Z357" i="82"/>
  <c r="BG357" i="82" s="1"/>
  <c r="R357" i="82"/>
  <c r="J357" i="82"/>
  <c r="BK356" i="82"/>
  <c r="BE356" i="82"/>
  <c r="AP356" i="82"/>
  <c r="BO356" i="82" s="1"/>
  <c r="AH356" i="82"/>
  <c r="BN356" i="82" s="1"/>
  <c r="Z356" i="82"/>
  <c r="BG356" i="82" s="1"/>
  <c r="R356" i="82"/>
  <c r="J356" i="82"/>
  <c r="BK355" i="82"/>
  <c r="BE355" i="82"/>
  <c r="AP355" i="82"/>
  <c r="BO355" i="82" s="1"/>
  <c r="AH355" i="82"/>
  <c r="BN355" i="82" s="1"/>
  <c r="Z355" i="82"/>
  <c r="BG355" i="82" s="1"/>
  <c r="R355" i="82"/>
  <c r="J355" i="82"/>
  <c r="BK354" i="82"/>
  <c r="BE354" i="82"/>
  <c r="AP354" i="82"/>
  <c r="AH354" i="82"/>
  <c r="BN354" i="82" s="1"/>
  <c r="Z354" i="82"/>
  <c r="BG354" i="82" s="1"/>
  <c r="R354" i="82"/>
  <c r="J354" i="82"/>
  <c r="BK353" i="82"/>
  <c r="BE353" i="82"/>
  <c r="AP353" i="82"/>
  <c r="AH353" i="82"/>
  <c r="BH353" i="82" s="1"/>
  <c r="Z353" i="82"/>
  <c r="BG353" i="82" s="1"/>
  <c r="R353" i="82"/>
  <c r="J353" i="82"/>
  <c r="BK352" i="82"/>
  <c r="BE352" i="82"/>
  <c r="AP352" i="82"/>
  <c r="BO352" i="82" s="1"/>
  <c r="AH352" i="82"/>
  <c r="BN352" i="82" s="1"/>
  <c r="Z352" i="82"/>
  <c r="BG352" i="82" s="1"/>
  <c r="R352" i="82"/>
  <c r="J352" i="82"/>
  <c r="BK351" i="82"/>
  <c r="BE351" i="82"/>
  <c r="AP351" i="82"/>
  <c r="BO351" i="82" s="1"/>
  <c r="AH351" i="82"/>
  <c r="BH351" i="82" s="1"/>
  <c r="Z351" i="82"/>
  <c r="BG351" i="82" s="1"/>
  <c r="R351" i="82"/>
  <c r="J351" i="82"/>
  <c r="BK350" i="82"/>
  <c r="BE350" i="82"/>
  <c r="AP350" i="82"/>
  <c r="BO350" i="82" s="1"/>
  <c r="AH350" i="82"/>
  <c r="BN350" i="82" s="1"/>
  <c r="Z350" i="82"/>
  <c r="BG350" i="82" s="1"/>
  <c r="R350" i="82"/>
  <c r="J350" i="82"/>
  <c r="BK349" i="82"/>
  <c r="BE349" i="82"/>
  <c r="AP349" i="82"/>
  <c r="AH349" i="82"/>
  <c r="BN349" i="82" s="1"/>
  <c r="Z349" i="82"/>
  <c r="BG349" i="82" s="1"/>
  <c r="R349" i="82"/>
  <c r="J349" i="82"/>
  <c r="BK348" i="82"/>
  <c r="BE348" i="82"/>
  <c r="AP348" i="82"/>
  <c r="AH348" i="82"/>
  <c r="Z348" i="82"/>
  <c r="BG348" i="82" s="1"/>
  <c r="R348" i="82"/>
  <c r="J348" i="82"/>
  <c r="BK347" i="82"/>
  <c r="BE347" i="82"/>
  <c r="AP347" i="82"/>
  <c r="BO347" i="82" s="1"/>
  <c r="AH347" i="82"/>
  <c r="BH347" i="82" s="1"/>
  <c r="Z347" i="82"/>
  <c r="BG347" i="82" s="1"/>
  <c r="R347" i="82"/>
  <c r="J347" i="82"/>
  <c r="BK346" i="82"/>
  <c r="BE346" i="82"/>
  <c r="AP346" i="82"/>
  <c r="BO346" i="82" s="1"/>
  <c r="AH346" i="82"/>
  <c r="BH346" i="82" s="1"/>
  <c r="Z346" i="82"/>
  <c r="BG346" i="82" s="1"/>
  <c r="R346" i="82"/>
  <c r="J346" i="82"/>
  <c r="BK345" i="82"/>
  <c r="BE345" i="82"/>
  <c r="AP345" i="82"/>
  <c r="BO345" i="82" s="1"/>
  <c r="AH345" i="82"/>
  <c r="Z345" i="82"/>
  <c r="BG345" i="82" s="1"/>
  <c r="R345" i="82"/>
  <c r="J345" i="82"/>
  <c r="BK344" i="82"/>
  <c r="BE344" i="82"/>
  <c r="AP344" i="82"/>
  <c r="AH344" i="82"/>
  <c r="BN344" i="82" s="1"/>
  <c r="Z344" i="82"/>
  <c r="BG344" i="82" s="1"/>
  <c r="R344" i="82"/>
  <c r="J344" i="82"/>
  <c r="BK343" i="82"/>
  <c r="BE343" i="82"/>
  <c r="AP343" i="82"/>
  <c r="BO343" i="82" s="1"/>
  <c r="AH343" i="82"/>
  <c r="Z343" i="82"/>
  <c r="BG343" i="82" s="1"/>
  <c r="R343" i="82"/>
  <c r="J343" i="82"/>
  <c r="BK342" i="82"/>
  <c r="BE342" i="82"/>
  <c r="AP342" i="82"/>
  <c r="AH342" i="82"/>
  <c r="BN342" i="82" s="1"/>
  <c r="Z342" i="82"/>
  <c r="R342" i="82"/>
  <c r="J342" i="82"/>
  <c r="BK341" i="82"/>
  <c r="BE341" i="82"/>
  <c r="AP341" i="82"/>
  <c r="BO341" i="82" s="1"/>
  <c r="AH341" i="82"/>
  <c r="Z341" i="82"/>
  <c r="BG341" i="82" s="1"/>
  <c r="R341" i="82"/>
  <c r="J341" i="82"/>
  <c r="BK340" i="82"/>
  <c r="BE340" i="82"/>
  <c r="AP340" i="82"/>
  <c r="AH340" i="82"/>
  <c r="BH340" i="82" s="1"/>
  <c r="Z340" i="82"/>
  <c r="BM340" i="82" s="1"/>
  <c r="R340" i="82"/>
  <c r="J340" i="82"/>
  <c r="BK339" i="82"/>
  <c r="BE339" i="82"/>
  <c r="AP339" i="82"/>
  <c r="AH339" i="82"/>
  <c r="BH339" i="82" s="1"/>
  <c r="Z339" i="82"/>
  <c r="BM339" i="82" s="1"/>
  <c r="R339" i="82"/>
  <c r="J339" i="82"/>
  <c r="BK338" i="82"/>
  <c r="BE338" i="82"/>
  <c r="AP338" i="82"/>
  <c r="AH338" i="82"/>
  <c r="BH338" i="82" s="1"/>
  <c r="Z338" i="82"/>
  <c r="BM338" i="82" s="1"/>
  <c r="R338" i="82"/>
  <c r="J338" i="82"/>
  <c r="BK337" i="82"/>
  <c r="BE337" i="82"/>
  <c r="AP337" i="82"/>
  <c r="AH337" i="82"/>
  <c r="Z337" i="82"/>
  <c r="BM337" i="82" s="1"/>
  <c r="R337" i="82"/>
  <c r="BL337" i="82" s="1"/>
  <c r="J337" i="82"/>
  <c r="BK336" i="82"/>
  <c r="BE336" i="82"/>
  <c r="AP336" i="82"/>
  <c r="AH336" i="82"/>
  <c r="BH336" i="82" s="1"/>
  <c r="Z336" i="82"/>
  <c r="BM336" i="82" s="1"/>
  <c r="R336" i="82"/>
  <c r="J336" i="82"/>
  <c r="BK335" i="82"/>
  <c r="BE335" i="82"/>
  <c r="AP335" i="82"/>
  <c r="AH335" i="82"/>
  <c r="BH335" i="82" s="1"/>
  <c r="Z335" i="82"/>
  <c r="BM335" i="82" s="1"/>
  <c r="R335" i="82"/>
  <c r="J335" i="82"/>
  <c r="BK334" i="82"/>
  <c r="BE334" i="82"/>
  <c r="AP334" i="82"/>
  <c r="AH334" i="82"/>
  <c r="BH334" i="82" s="1"/>
  <c r="Z334" i="82"/>
  <c r="BM334" i="82" s="1"/>
  <c r="R334" i="82"/>
  <c r="J334" i="82"/>
  <c r="BK333" i="82"/>
  <c r="BE333" i="82"/>
  <c r="AP333" i="82"/>
  <c r="AH333" i="82"/>
  <c r="Z333" i="82"/>
  <c r="BM333" i="82" s="1"/>
  <c r="R333" i="82"/>
  <c r="BL333" i="82" s="1"/>
  <c r="J333" i="82"/>
  <c r="BK332" i="82"/>
  <c r="BE332" i="82"/>
  <c r="AP332" i="82"/>
  <c r="AH332" i="82"/>
  <c r="BH332" i="82" s="1"/>
  <c r="Z332" i="82"/>
  <c r="BM332" i="82" s="1"/>
  <c r="R332" i="82"/>
  <c r="J332" i="82"/>
  <c r="BK331" i="82"/>
  <c r="BE331" i="82"/>
  <c r="AP331" i="82"/>
  <c r="AH331" i="82"/>
  <c r="BH331" i="82" s="1"/>
  <c r="Z331" i="82"/>
  <c r="BM331" i="82" s="1"/>
  <c r="R331" i="82"/>
  <c r="J331" i="82"/>
  <c r="BK330" i="82"/>
  <c r="BE330" i="82"/>
  <c r="AP330" i="82"/>
  <c r="AH330" i="82"/>
  <c r="BH330" i="82" s="1"/>
  <c r="Z330" i="82"/>
  <c r="BM330" i="82" s="1"/>
  <c r="R330" i="82"/>
  <c r="J330" i="82"/>
  <c r="BK329" i="82"/>
  <c r="BE329" i="82"/>
  <c r="AP329" i="82"/>
  <c r="AH329" i="82"/>
  <c r="Z329" i="82"/>
  <c r="BM329" i="82" s="1"/>
  <c r="R329" i="82"/>
  <c r="BL329" i="82" s="1"/>
  <c r="J329" i="82"/>
  <c r="BK328" i="82"/>
  <c r="BE328" i="82"/>
  <c r="AP328" i="82"/>
  <c r="AH328" i="82"/>
  <c r="BH328" i="82" s="1"/>
  <c r="Z328" i="82"/>
  <c r="BM328" i="82" s="1"/>
  <c r="R328" i="82"/>
  <c r="J328" i="82"/>
  <c r="BK327" i="82"/>
  <c r="BE327" i="82"/>
  <c r="AP327" i="82"/>
  <c r="AH327" i="82"/>
  <c r="BH327" i="82" s="1"/>
  <c r="Z327" i="82"/>
  <c r="BM327" i="82" s="1"/>
  <c r="R327" i="82"/>
  <c r="J327" i="82"/>
  <c r="BK326" i="82"/>
  <c r="BE326" i="82"/>
  <c r="AP326" i="82"/>
  <c r="AH326" i="82"/>
  <c r="Z326" i="82"/>
  <c r="BM326" i="82" s="1"/>
  <c r="R326" i="82"/>
  <c r="J326" i="82"/>
  <c r="BK325" i="82"/>
  <c r="BE325" i="82"/>
  <c r="AP325" i="82"/>
  <c r="AH325" i="82"/>
  <c r="Z325" i="82"/>
  <c r="BM325" i="82" s="1"/>
  <c r="R325" i="82"/>
  <c r="BL325" i="82" s="1"/>
  <c r="J325" i="82"/>
  <c r="BK324" i="82"/>
  <c r="BE324" i="82"/>
  <c r="AP324" i="82"/>
  <c r="AH324" i="82"/>
  <c r="BH324" i="82" s="1"/>
  <c r="Z324" i="82"/>
  <c r="BM324" i="82" s="1"/>
  <c r="R324" i="82"/>
  <c r="J324" i="82"/>
  <c r="BK323" i="82"/>
  <c r="BE323" i="82"/>
  <c r="AP323" i="82"/>
  <c r="AH323" i="82"/>
  <c r="BH323" i="82" s="1"/>
  <c r="Z323" i="82"/>
  <c r="BM323" i="82" s="1"/>
  <c r="R323" i="82"/>
  <c r="J323" i="82"/>
  <c r="BK322" i="82"/>
  <c r="BE322" i="82"/>
  <c r="AP322" i="82"/>
  <c r="AH322" i="82"/>
  <c r="BH322" i="82" s="1"/>
  <c r="Z322" i="82"/>
  <c r="BM322" i="82" s="1"/>
  <c r="R322" i="82"/>
  <c r="J322" i="82"/>
  <c r="BK321" i="82"/>
  <c r="BE321" i="82"/>
  <c r="AP321" i="82"/>
  <c r="AH321" i="82"/>
  <c r="Z321" i="82"/>
  <c r="BM321" i="82" s="1"/>
  <c r="R321" i="82"/>
  <c r="BL321" i="82" s="1"/>
  <c r="J321" i="82"/>
  <c r="BK320" i="82"/>
  <c r="BE320" i="82"/>
  <c r="AP320" i="82"/>
  <c r="AH320" i="82"/>
  <c r="BN320" i="82" s="1"/>
  <c r="Z320" i="82"/>
  <c r="R320" i="82"/>
  <c r="BL320" i="82" s="1"/>
  <c r="J320" i="82"/>
  <c r="BK319" i="82"/>
  <c r="BE319" i="82"/>
  <c r="AP319" i="82"/>
  <c r="AH319" i="82"/>
  <c r="Z319" i="82"/>
  <c r="BM319" i="82" s="1"/>
  <c r="R319" i="82"/>
  <c r="J319" i="82"/>
  <c r="BK318" i="82"/>
  <c r="BE318" i="82"/>
  <c r="AP318" i="82"/>
  <c r="AH318" i="82"/>
  <c r="BH318" i="82" s="1"/>
  <c r="Z318" i="82"/>
  <c r="BM318" i="82" s="1"/>
  <c r="R318" i="82"/>
  <c r="BL318" i="82" s="1"/>
  <c r="J318" i="82"/>
  <c r="BK317" i="82"/>
  <c r="BE317" i="82"/>
  <c r="AP317" i="82"/>
  <c r="AH317" i="82"/>
  <c r="Z317" i="82"/>
  <c r="BM317" i="82" s="1"/>
  <c r="R317" i="82"/>
  <c r="J317" i="82"/>
  <c r="BK316" i="82"/>
  <c r="BE316" i="82"/>
  <c r="AP316" i="82"/>
  <c r="AH316" i="82"/>
  <c r="BH316" i="82" s="1"/>
  <c r="Z316" i="82"/>
  <c r="R316" i="82"/>
  <c r="BL316" i="82" s="1"/>
  <c r="J316" i="82"/>
  <c r="BK315" i="82"/>
  <c r="BE315" i="82"/>
  <c r="AP315" i="82"/>
  <c r="AH315" i="82"/>
  <c r="BN315" i="82" s="1"/>
  <c r="Z315" i="82"/>
  <c r="BM315" i="82" s="1"/>
  <c r="R315" i="82"/>
  <c r="J315" i="82"/>
  <c r="BK314" i="82"/>
  <c r="BE314" i="82"/>
  <c r="AP314" i="82"/>
  <c r="AH314" i="82"/>
  <c r="BN314" i="82" s="1"/>
  <c r="Z314" i="82"/>
  <c r="R314" i="82"/>
  <c r="BL314" i="82" s="1"/>
  <c r="J314" i="82"/>
  <c r="BK313" i="82"/>
  <c r="BE313" i="82"/>
  <c r="AP313" i="82"/>
  <c r="AH313" i="82"/>
  <c r="Z313" i="82"/>
  <c r="BM313" i="82" s="1"/>
  <c r="R313" i="82"/>
  <c r="BL313" i="82" s="1"/>
  <c r="J313" i="82"/>
  <c r="BK312" i="82"/>
  <c r="BE312" i="82"/>
  <c r="AP312" i="82"/>
  <c r="AH312" i="82"/>
  <c r="BN312" i="82" s="1"/>
  <c r="Z312" i="82"/>
  <c r="R312" i="82"/>
  <c r="BL312" i="82" s="1"/>
  <c r="J312" i="82"/>
  <c r="BK311" i="82"/>
  <c r="BE311" i="82"/>
  <c r="AP311" i="82"/>
  <c r="AH311" i="82"/>
  <c r="Z311" i="82"/>
  <c r="BM311" i="82" s="1"/>
  <c r="R311" i="82"/>
  <c r="J311" i="82"/>
  <c r="BK310" i="82"/>
  <c r="BE310" i="82"/>
  <c r="AP310" i="82"/>
  <c r="AH310" i="82"/>
  <c r="BH310" i="82" s="1"/>
  <c r="Z310" i="82"/>
  <c r="BM310" i="82" s="1"/>
  <c r="R310" i="82"/>
  <c r="BL310" i="82" s="1"/>
  <c r="J310" i="82"/>
  <c r="BK309" i="82"/>
  <c r="BE309" i="82"/>
  <c r="AP309" i="82"/>
  <c r="AH309" i="82"/>
  <c r="Z309" i="82"/>
  <c r="BM309" i="82" s="1"/>
  <c r="R309" i="82"/>
  <c r="J309" i="82"/>
  <c r="BK308" i="82"/>
  <c r="BE308" i="82"/>
  <c r="AP308" i="82"/>
  <c r="AH308" i="82"/>
  <c r="BH308" i="82" s="1"/>
  <c r="Z308" i="82"/>
  <c r="R308" i="82"/>
  <c r="BL308" i="82" s="1"/>
  <c r="J308" i="82"/>
  <c r="BK307" i="82"/>
  <c r="BE307" i="82"/>
  <c r="AP307" i="82"/>
  <c r="AH307" i="82"/>
  <c r="BN307" i="82" s="1"/>
  <c r="Z307" i="82"/>
  <c r="BM307" i="82" s="1"/>
  <c r="R307" i="82"/>
  <c r="J307" i="82"/>
  <c r="BK306" i="82"/>
  <c r="BE306" i="82"/>
  <c r="AP306" i="82"/>
  <c r="AH306" i="82"/>
  <c r="BH306" i="82" s="1"/>
  <c r="Z306" i="82"/>
  <c r="R306" i="82"/>
  <c r="BL306" i="82" s="1"/>
  <c r="J306" i="82"/>
  <c r="BK305" i="82"/>
  <c r="BE305" i="82"/>
  <c r="AP305" i="82"/>
  <c r="AH305" i="82"/>
  <c r="Z305" i="82"/>
  <c r="BM305" i="82" s="1"/>
  <c r="R305" i="82"/>
  <c r="BL305" i="82" s="1"/>
  <c r="J305" i="82"/>
  <c r="BK304" i="82"/>
  <c r="BE304" i="82"/>
  <c r="AP304" i="82"/>
  <c r="AH304" i="82"/>
  <c r="BN304" i="82" s="1"/>
  <c r="Z304" i="82"/>
  <c r="R304" i="82"/>
  <c r="BL304" i="82" s="1"/>
  <c r="J304" i="82"/>
  <c r="BK303" i="82"/>
  <c r="BE303" i="82"/>
  <c r="AP303" i="82"/>
  <c r="AH303" i="82"/>
  <c r="Z303" i="82"/>
  <c r="BM303" i="82" s="1"/>
  <c r="R303" i="82"/>
  <c r="J303" i="82"/>
  <c r="BK302" i="82"/>
  <c r="BE302" i="82"/>
  <c r="AP302" i="82"/>
  <c r="AH302" i="82"/>
  <c r="BH302" i="82" s="1"/>
  <c r="Z302" i="82"/>
  <c r="BM302" i="82" s="1"/>
  <c r="R302" i="82"/>
  <c r="BL302" i="82" s="1"/>
  <c r="J302" i="82"/>
  <c r="BK301" i="82"/>
  <c r="BE301" i="82"/>
  <c r="AP301" i="82"/>
  <c r="AH301" i="82"/>
  <c r="Z301" i="82"/>
  <c r="BM301" i="82" s="1"/>
  <c r="R301" i="82"/>
  <c r="J301" i="82"/>
  <c r="BK300" i="82"/>
  <c r="BE300" i="82"/>
  <c r="AP300" i="82"/>
  <c r="AH300" i="82"/>
  <c r="BH300" i="82" s="1"/>
  <c r="Z300" i="82"/>
  <c r="R300" i="82"/>
  <c r="BL300" i="82" s="1"/>
  <c r="J300" i="82"/>
  <c r="BK299" i="82"/>
  <c r="BE299" i="82"/>
  <c r="AP299" i="82"/>
  <c r="AH299" i="82"/>
  <c r="BN299" i="82" s="1"/>
  <c r="Z299" i="82"/>
  <c r="BM299" i="82" s="1"/>
  <c r="R299" i="82"/>
  <c r="J299" i="82"/>
  <c r="BK298" i="82"/>
  <c r="BE298" i="82"/>
  <c r="AP298" i="82"/>
  <c r="AH298" i="82"/>
  <c r="BN298" i="82" s="1"/>
  <c r="Z298" i="82"/>
  <c r="R298" i="82"/>
  <c r="BL298" i="82" s="1"/>
  <c r="J298" i="82"/>
  <c r="BK297" i="82"/>
  <c r="BE297" i="82"/>
  <c r="AP297" i="82"/>
  <c r="AH297" i="82"/>
  <c r="Z297" i="82"/>
  <c r="BM297" i="82" s="1"/>
  <c r="R297" i="82"/>
  <c r="BL297" i="82" s="1"/>
  <c r="J297" i="82"/>
  <c r="BK296" i="82"/>
  <c r="BE296" i="82"/>
  <c r="AP296" i="82"/>
  <c r="AH296" i="82"/>
  <c r="BN296" i="82" s="1"/>
  <c r="Z296" i="82"/>
  <c r="R296" i="82"/>
  <c r="BL296" i="82" s="1"/>
  <c r="J296" i="82"/>
  <c r="BK295" i="82"/>
  <c r="BE295" i="82"/>
  <c r="AP295" i="82"/>
  <c r="AH295" i="82"/>
  <c r="Z295" i="82"/>
  <c r="BM295" i="82" s="1"/>
  <c r="R295" i="82"/>
  <c r="J295" i="82"/>
  <c r="BK294" i="82"/>
  <c r="BE294" i="82"/>
  <c r="AP294" i="82"/>
  <c r="AH294" i="82"/>
  <c r="BN294" i="82" s="1"/>
  <c r="Z294" i="82"/>
  <c r="BM294" i="82" s="1"/>
  <c r="R294" i="82"/>
  <c r="BL294" i="82" s="1"/>
  <c r="J294" i="82"/>
  <c r="BK293" i="82"/>
  <c r="BE293" i="82"/>
  <c r="AP293" i="82"/>
  <c r="AH293" i="82"/>
  <c r="Z293" i="82"/>
  <c r="BM293" i="82" s="1"/>
  <c r="R293" i="82"/>
  <c r="J293" i="82"/>
  <c r="BK292" i="82"/>
  <c r="BE292" i="82"/>
  <c r="AP292" i="82"/>
  <c r="AH292" i="82"/>
  <c r="BN292" i="82" s="1"/>
  <c r="Z292" i="82"/>
  <c r="R292" i="82"/>
  <c r="BL292" i="82" s="1"/>
  <c r="J292" i="82"/>
  <c r="BK291" i="82"/>
  <c r="BE291" i="82"/>
  <c r="AP291" i="82"/>
  <c r="AH291" i="82"/>
  <c r="BN291" i="82" s="1"/>
  <c r="Z291" i="82"/>
  <c r="R291" i="82"/>
  <c r="BL291" i="82" s="1"/>
  <c r="J291" i="82"/>
  <c r="BK290" i="82"/>
  <c r="BE290" i="82"/>
  <c r="AP290" i="82"/>
  <c r="AH290" i="82"/>
  <c r="BH290" i="82" s="1"/>
  <c r="Z290" i="82"/>
  <c r="BM290" i="82" s="1"/>
  <c r="R290" i="82"/>
  <c r="BL290" i="82" s="1"/>
  <c r="J290" i="82"/>
  <c r="BK289" i="82"/>
  <c r="BE289" i="82"/>
  <c r="AP289" i="82"/>
  <c r="AH289" i="82"/>
  <c r="BH289" i="82" s="1"/>
  <c r="Z289" i="82"/>
  <c r="BM289" i="82" s="1"/>
  <c r="R289" i="82"/>
  <c r="J289" i="82"/>
  <c r="BK288" i="82"/>
  <c r="BE288" i="82"/>
  <c r="AP288" i="82"/>
  <c r="AH288" i="82"/>
  <c r="Z288" i="82"/>
  <c r="BM288" i="82" s="1"/>
  <c r="R288" i="82"/>
  <c r="J288" i="82"/>
  <c r="BK287" i="82"/>
  <c r="BE287" i="82"/>
  <c r="AP287" i="82"/>
  <c r="BI287" i="82" s="1"/>
  <c r="AH287" i="82"/>
  <c r="Z287" i="82"/>
  <c r="BM287" i="82" s="1"/>
  <c r="R287" i="82"/>
  <c r="J287" i="82"/>
  <c r="BK286" i="82"/>
  <c r="BE286" i="82"/>
  <c r="AP286" i="82"/>
  <c r="BI286" i="82" s="1"/>
  <c r="AH286" i="82"/>
  <c r="BH286" i="82" s="1"/>
  <c r="Z286" i="82"/>
  <c r="BM286" i="82" s="1"/>
  <c r="R286" i="82"/>
  <c r="J286" i="82"/>
  <c r="BK285" i="82"/>
  <c r="BE285" i="82"/>
  <c r="AP285" i="82"/>
  <c r="BI285" i="82" s="1"/>
  <c r="AH285" i="82"/>
  <c r="BH285" i="82" s="1"/>
  <c r="Z285" i="82"/>
  <c r="R285" i="82"/>
  <c r="BL285" i="82" s="1"/>
  <c r="J285" i="82"/>
  <c r="BK284" i="82"/>
  <c r="BE284" i="82"/>
  <c r="AP284" i="82"/>
  <c r="BI284" i="82" s="1"/>
  <c r="AH284" i="82"/>
  <c r="Z284" i="82"/>
  <c r="BM284" i="82" s="1"/>
  <c r="R284" i="82"/>
  <c r="J284" i="82"/>
  <c r="BK283" i="82"/>
  <c r="BE283" i="82"/>
  <c r="AP283" i="82"/>
  <c r="AH283" i="82"/>
  <c r="BN283" i="82" s="1"/>
  <c r="Z283" i="82"/>
  <c r="R283" i="82"/>
  <c r="BL283" i="82" s="1"/>
  <c r="J283" i="82"/>
  <c r="BK282" i="82"/>
  <c r="BE282" i="82"/>
  <c r="AP282" i="82"/>
  <c r="BI282" i="82" s="1"/>
  <c r="AH282" i="82"/>
  <c r="Z282" i="82"/>
  <c r="BM282" i="82" s="1"/>
  <c r="R282" i="82"/>
  <c r="BL282" i="82" s="1"/>
  <c r="J282" i="82"/>
  <c r="BK281" i="82"/>
  <c r="BE281" i="82"/>
  <c r="AP281" i="82"/>
  <c r="BI281" i="82" s="1"/>
  <c r="AH281" i="82"/>
  <c r="BN281" i="82" s="1"/>
  <c r="Z281" i="82"/>
  <c r="BM281" i="82" s="1"/>
  <c r="R281" i="82"/>
  <c r="BL281" i="82" s="1"/>
  <c r="J281" i="82"/>
  <c r="BK280" i="82"/>
  <c r="BE280" i="82"/>
  <c r="AP280" i="82"/>
  <c r="BI280" i="82" s="1"/>
  <c r="AH280" i="82"/>
  <c r="Z280" i="82"/>
  <c r="BM280" i="82" s="1"/>
  <c r="R280" i="82"/>
  <c r="BL280" i="82" s="1"/>
  <c r="J280" i="82"/>
  <c r="BK279" i="82"/>
  <c r="BE279" i="82"/>
  <c r="AP279" i="82"/>
  <c r="BI279" i="82" s="1"/>
  <c r="AH279" i="82"/>
  <c r="BN279" i="82" s="1"/>
  <c r="Z279" i="82"/>
  <c r="BM279" i="82" s="1"/>
  <c r="R279" i="82"/>
  <c r="BL279" i="82" s="1"/>
  <c r="J279" i="82"/>
  <c r="BK278" i="82"/>
  <c r="BE278" i="82"/>
  <c r="AP278" i="82"/>
  <c r="BI278" i="82" s="1"/>
  <c r="AH278" i="82"/>
  <c r="BH278" i="82" s="1"/>
  <c r="Z278" i="82"/>
  <c r="BM278" i="82" s="1"/>
  <c r="R278" i="82"/>
  <c r="BL278" i="82" s="1"/>
  <c r="J278" i="82"/>
  <c r="BK277" i="82"/>
  <c r="BE277" i="82"/>
  <c r="AP277" i="82"/>
  <c r="BI277" i="82" s="1"/>
  <c r="AH277" i="82"/>
  <c r="BH277" i="82" s="1"/>
  <c r="Z277" i="82"/>
  <c r="BM277" i="82" s="1"/>
  <c r="R277" i="82"/>
  <c r="BL277" i="82" s="1"/>
  <c r="J277" i="82"/>
  <c r="BK276" i="82"/>
  <c r="BE276" i="82"/>
  <c r="AP276" i="82"/>
  <c r="BI276" i="82" s="1"/>
  <c r="AH276" i="82"/>
  <c r="Z276" i="82"/>
  <c r="BM276" i="82" s="1"/>
  <c r="R276" i="82"/>
  <c r="BL276" i="82" s="1"/>
  <c r="J276" i="82"/>
  <c r="BK275" i="82"/>
  <c r="BE275" i="82"/>
  <c r="AP275" i="82"/>
  <c r="AH275" i="82"/>
  <c r="BN275" i="82" s="1"/>
  <c r="Z275" i="82"/>
  <c r="BM275" i="82" s="1"/>
  <c r="R275" i="82"/>
  <c r="BL275" i="82" s="1"/>
  <c r="J275" i="82"/>
  <c r="BK274" i="82"/>
  <c r="BE274" i="82"/>
  <c r="AP274" i="82"/>
  <c r="BI274" i="82" s="1"/>
  <c r="AH274" i="82"/>
  <c r="BN274" i="82" s="1"/>
  <c r="Z274" i="82"/>
  <c r="BM274" i="82" s="1"/>
  <c r="R274" i="82"/>
  <c r="BL274" i="82" s="1"/>
  <c r="J274" i="82"/>
  <c r="BK273" i="82"/>
  <c r="BE273" i="82"/>
  <c r="AP273" i="82"/>
  <c r="BI273" i="82" s="1"/>
  <c r="AH273" i="82"/>
  <c r="BN273" i="82" s="1"/>
  <c r="Z273" i="82"/>
  <c r="BM273" i="82" s="1"/>
  <c r="R273" i="82"/>
  <c r="J273" i="82"/>
  <c r="BK272" i="82"/>
  <c r="BE272" i="82"/>
  <c r="AP272" i="82"/>
  <c r="BI272" i="82" s="1"/>
  <c r="AH272" i="82"/>
  <c r="Z272" i="82"/>
  <c r="BM272" i="82" s="1"/>
  <c r="R272" i="82"/>
  <c r="BL272" i="82" s="1"/>
  <c r="J272" i="82"/>
  <c r="BK271" i="82"/>
  <c r="BE271" i="82"/>
  <c r="AP271" i="82"/>
  <c r="BO271" i="82" s="1"/>
  <c r="AH271" i="82"/>
  <c r="BH271" i="82" s="1"/>
  <c r="Z271" i="82"/>
  <c r="BM271" i="82" s="1"/>
  <c r="R271" i="82"/>
  <c r="BL271" i="82" s="1"/>
  <c r="J271" i="82"/>
  <c r="BK270" i="82"/>
  <c r="BE270" i="82"/>
  <c r="AP270" i="82"/>
  <c r="BO270" i="82" s="1"/>
  <c r="AH270" i="82"/>
  <c r="BN270" i="82" s="1"/>
  <c r="Z270" i="82"/>
  <c r="BM270" i="82" s="1"/>
  <c r="R270" i="82"/>
  <c r="BL270" i="82" s="1"/>
  <c r="J270" i="82"/>
  <c r="BK269" i="82"/>
  <c r="BE269" i="82"/>
  <c r="AP269" i="82"/>
  <c r="AH269" i="82"/>
  <c r="BH269" i="82" s="1"/>
  <c r="Z269" i="82"/>
  <c r="BG269" i="82" s="1"/>
  <c r="R269" i="82"/>
  <c r="J269" i="82"/>
  <c r="BK268" i="82"/>
  <c r="BE268" i="82"/>
  <c r="AP268" i="82"/>
  <c r="AH268" i="82"/>
  <c r="BN268" i="82" s="1"/>
  <c r="Z268" i="82"/>
  <c r="BG268" i="82" s="1"/>
  <c r="R268" i="82"/>
  <c r="BL268" i="82" s="1"/>
  <c r="J268" i="82"/>
  <c r="BK267" i="82"/>
  <c r="BE267" i="82"/>
  <c r="AP267" i="82"/>
  <c r="BO267" i="82" s="1"/>
  <c r="AH267" i="82"/>
  <c r="BN267" i="82" s="1"/>
  <c r="Z267" i="82"/>
  <c r="BM267" i="82" s="1"/>
  <c r="R267" i="82"/>
  <c r="BL267" i="82" s="1"/>
  <c r="J267" i="82"/>
  <c r="BK266" i="82"/>
  <c r="BE266" i="82"/>
  <c r="AP266" i="82"/>
  <c r="BO266" i="82" s="1"/>
  <c r="AH266" i="82"/>
  <c r="BH266" i="82" s="1"/>
  <c r="Z266" i="82"/>
  <c r="BM266" i="82" s="1"/>
  <c r="R266" i="82"/>
  <c r="BL266" i="82" s="1"/>
  <c r="J266" i="82"/>
  <c r="BK265" i="82"/>
  <c r="BE265" i="82"/>
  <c r="AP265" i="82"/>
  <c r="BO265" i="82" s="1"/>
  <c r="AH265" i="82"/>
  <c r="BH265" i="82" s="1"/>
  <c r="Z265" i="82"/>
  <c r="R265" i="82"/>
  <c r="BF265" i="82" s="1"/>
  <c r="J265" i="82"/>
  <c r="BK264" i="82"/>
  <c r="BE264" i="82"/>
  <c r="AP264" i="82"/>
  <c r="BO264" i="82" s="1"/>
  <c r="AH264" i="82"/>
  <c r="BH264" i="82" s="1"/>
  <c r="Z264" i="82"/>
  <c r="BM264" i="82" s="1"/>
  <c r="R264" i="82"/>
  <c r="BL264" i="82" s="1"/>
  <c r="J264" i="82"/>
  <c r="BK263" i="82"/>
  <c r="BE263" i="82"/>
  <c r="AP263" i="82"/>
  <c r="BI263" i="82" s="1"/>
  <c r="AH263" i="82"/>
  <c r="BH263" i="82" s="1"/>
  <c r="Z263" i="82"/>
  <c r="BM263" i="82" s="1"/>
  <c r="R263" i="82"/>
  <c r="BL263" i="82" s="1"/>
  <c r="J263" i="82"/>
  <c r="BK262" i="82"/>
  <c r="BE262" i="82"/>
  <c r="AP262" i="82"/>
  <c r="BO262" i="82" s="1"/>
  <c r="AH262" i="82"/>
  <c r="BH262" i="82" s="1"/>
  <c r="Z262" i="82"/>
  <c r="BM262" i="82" s="1"/>
  <c r="R262" i="82"/>
  <c r="J262" i="82"/>
  <c r="BK261" i="82"/>
  <c r="BE261" i="82"/>
  <c r="AP261" i="82"/>
  <c r="BO261" i="82" s="1"/>
  <c r="AH261" i="82"/>
  <c r="BH261" i="82" s="1"/>
  <c r="Z261" i="82"/>
  <c r="BM261" i="82" s="1"/>
  <c r="R261" i="82"/>
  <c r="BL261" i="82" s="1"/>
  <c r="J261" i="82"/>
  <c r="BK260" i="82"/>
  <c r="BE260" i="82"/>
  <c r="AP260" i="82"/>
  <c r="BI260" i="82" s="1"/>
  <c r="AH260" i="82"/>
  <c r="BH260" i="82" s="1"/>
  <c r="Z260" i="82"/>
  <c r="BM260" i="82" s="1"/>
  <c r="R260" i="82"/>
  <c r="BF260" i="82" s="1"/>
  <c r="J260" i="82"/>
  <c r="BK259" i="82"/>
  <c r="BE259" i="82"/>
  <c r="AP259" i="82"/>
  <c r="BO259" i="82" s="1"/>
  <c r="AH259" i="82"/>
  <c r="BH259" i="82" s="1"/>
  <c r="Z259" i="82"/>
  <c r="BM259" i="82" s="1"/>
  <c r="R259" i="82"/>
  <c r="BF259" i="82" s="1"/>
  <c r="J259" i="82"/>
  <c r="BK258" i="82"/>
  <c r="BE258" i="82"/>
  <c r="AP258" i="82"/>
  <c r="BO258" i="82" s="1"/>
  <c r="AH258" i="82"/>
  <c r="BH258" i="82" s="1"/>
  <c r="Z258" i="82"/>
  <c r="BM258" i="82" s="1"/>
  <c r="R258" i="82"/>
  <c r="BL258" i="82" s="1"/>
  <c r="J258" i="82"/>
  <c r="BK257" i="82"/>
  <c r="BE257" i="82"/>
  <c r="AP257" i="82"/>
  <c r="BO257" i="82" s="1"/>
  <c r="AH257" i="82"/>
  <c r="BH257" i="82" s="1"/>
  <c r="Z257" i="82"/>
  <c r="R257" i="82"/>
  <c r="BF257" i="82" s="1"/>
  <c r="J257" i="82"/>
  <c r="BK256" i="82"/>
  <c r="BE256" i="82"/>
  <c r="AP256" i="82"/>
  <c r="BO256" i="82" s="1"/>
  <c r="AH256" i="82"/>
  <c r="BH256" i="82" s="1"/>
  <c r="Z256" i="82"/>
  <c r="BM256" i="82" s="1"/>
  <c r="R256" i="82"/>
  <c r="BL256" i="82" s="1"/>
  <c r="J256" i="82"/>
  <c r="BK255" i="82"/>
  <c r="BE255" i="82"/>
  <c r="AP255" i="82"/>
  <c r="BI255" i="82" s="1"/>
  <c r="AH255" i="82"/>
  <c r="BH255" i="82" s="1"/>
  <c r="Z255" i="82"/>
  <c r="BM255" i="82" s="1"/>
  <c r="R255" i="82"/>
  <c r="BL255" i="82" s="1"/>
  <c r="J255" i="82"/>
  <c r="BK254" i="82"/>
  <c r="BE254" i="82"/>
  <c r="AP254" i="82"/>
  <c r="BO254" i="82" s="1"/>
  <c r="AH254" i="82"/>
  <c r="BH254" i="82" s="1"/>
  <c r="Z254" i="82"/>
  <c r="BM254" i="82" s="1"/>
  <c r="R254" i="82"/>
  <c r="J254" i="82"/>
  <c r="BK253" i="82"/>
  <c r="BE253" i="82"/>
  <c r="AP253" i="82"/>
  <c r="BO253" i="82" s="1"/>
  <c r="AH253" i="82"/>
  <c r="BH253" i="82" s="1"/>
  <c r="Z253" i="82"/>
  <c r="BM253" i="82" s="1"/>
  <c r="R253" i="82"/>
  <c r="BL253" i="82" s="1"/>
  <c r="J253" i="82"/>
  <c r="BK252" i="82"/>
  <c r="BE252" i="82"/>
  <c r="AP252" i="82"/>
  <c r="BI252" i="82" s="1"/>
  <c r="AH252" i="82"/>
  <c r="BH252" i="82" s="1"/>
  <c r="Z252" i="82"/>
  <c r="BM252" i="82" s="1"/>
  <c r="R252" i="82"/>
  <c r="BF252" i="82" s="1"/>
  <c r="J252" i="82"/>
  <c r="BK251" i="82"/>
  <c r="BE251" i="82"/>
  <c r="AP251" i="82"/>
  <c r="BO251" i="82" s="1"/>
  <c r="AH251" i="82"/>
  <c r="BH251" i="82" s="1"/>
  <c r="Z251" i="82"/>
  <c r="BM251" i="82" s="1"/>
  <c r="R251" i="82"/>
  <c r="BL251" i="82" s="1"/>
  <c r="J251" i="82"/>
  <c r="BK250" i="82"/>
  <c r="BE250" i="82"/>
  <c r="AP250" i="82"/>
  <c r="BI250" i="82" s="1"/>
  <c r="AH250" i="82"/>
  <c r="BH250" i="82" s="1"/>
  <c r="Z250" i="82"/>
  <c r="BM250" i="82" s="1"/>
  <c r="R250" i="82"/>
  <c r="BL250" i="82" s="1"/>
  <c r="J250" i="82"/>
  <c r="BK249" i="82"/>
  <c r="BE249" i="82"/>
  <c r="AP249" i="82"/>
  <c r="BO249" i="82" s="1"/>
  <c r="AH249" i="82"/>
  <c r="BH249" i="82" s="1"/>
  <c r="Z249" i="82"/>
  <c r="R249" i="82"/>
  <c r="BF249" i="82" s="1"/>
  <c r="J249" i="82"/>
  <c r="BK248" i="82"/>
  <c r="BE248" i="82"/>
  <c r="AP248" i="82"/>
  <c r="BO248" i="82" s="1"/>
  <c r="AH248" i="82"/>
  <c r="BH248" i="82" s="1"/>
  <c r="Z248" i="82"/>
  <c r="BM248" i="82" s="1"/>
  <c r="R248" i="82"/>
  <c r="BL248" i="82" s="1"/>
  <c r="J248" i="82"/>
  <c r="BK247" i="82"/>
  <c r="BE247" i="82"/>
  <c r="AP247" i="82"/>
  <c r="BI247" i="82" s="1"/>
  <c r="AH247" i="82"/>
  <c r="BH247" i="82" s="1"/>
  <c r="Z247" i="82"/>
  <c r="BM247" i="82" s="1"/>
  <c r="R247" i="82"/>
  <c r="BL247" i="82" s="1"/>
  <c r="J247" i="82"/>
  <c r="BK246" i="82"/>
  <c r="BE246" i="82"/>
  <c r="AP246" i="82"/>
  <c r="BO246" i="82" s="1"/>
  <c r="AH246" i="82"/>
  <c r="BH246" i="82" s="1"/>
  <c r="Z246" i="82"/>
  <c r="BM246" i="82" s="1"/>
  <c r="R246" i="82"/>
  <c r="J246" i="82"/>
  <c r="BK245" i="82"/>
  <c r="BE245" i="82"/>
  <c r="AP245" i="82"/>
  <c r="BO245" i="82" s="1"/>
  <c r="AH245" i="82"/>
  <c r="BH245" i="82" s="1"/>
  <c r="Z245" i="82"/>
  <c r="BM245" i="82" s="1"/>
  <c r="R245" i="82"/>
  <c r="BL245" i="82" s="1"/>
  <c r="J245" i="82"/>
  <c r="BK244" i="82"/>
  <c r="BE244" i="82"/>
  <c r="AP244" i="82"/>
  <c r="BI244" i="82" s="1"/>
  <c r="AH244" i="82"/>
  <c r="BH244" i="82" s="1"/>
  <c r="Z244" i="82"/>
  <c r="BM244" i="82" s="1"/>
  <c r="R244" i="82"/>
  <c r="BF244" i="82" s="1"/>
  <c r="J244" i="82"/>
  <c r="BK243" i="82"/>
  <c r="BE243" i="82"/>
  <c r="AP243" i="82"/>
  <c r="BO243" i="82" s="1"/>
  <c r="AH243" i="82"/>
  <c r="BH243" i="82" s="1"/>
  <c r="Z243" i="82"/>
  <c r="BM243" i="82" s="1"/>
  <c r="R243" i="82"/>
  <c r="BL243" i="82" s="1"/>
  <c r="J243" i="82"/>
  <c r="BK242" i="82"/>
  <c r="BE242" i="82"/>
  <c r="AP242" i="82"/>
  <c r="AH242" i="82"/>
  <c r="BH242" i="82" s="1"/>
  <c r="Z242" i="82"/>
  <c r="BM242" i="82" s="1"/>
  <c r="R242" i="82"/>
  <c r="BL242" i="82" s="1"/>
  <c r="J242" i="82"/>
  <c r="BK241" i="82"/>
  <c r="BE241" i="82"/>
  <c r="AP241" i="82"/>
  <c r="BO241" i="82" s="1"/>
  <c r="AH241" i="82"/>
  <c r="BH241" i="82" s="1"/>
  <c r="Z241" i="82"/>
  <c r="BM241" i="82" s="1"/>
  <c r="R241" i="82"/>
  <c r="BL241" i="82" s="1"/>
  <c r="J241" i="82"/>
  <c r="BK240" i="82"/>
  <c r="BE240" i="82"/>
  <c r="AP240" i="82"/>
  <c r="AH240" i="82"/>
  <c r="BH240" i="82" s="1"/>
  <c r="Z240" i="82"/>
  <c r="BM240" i="82" s="1"/>
  <c r="R240" i="82"/>
  <c r="BL240" i="82" s="1"/>
  <c r="J240" i="82"/>
  <c r="BK239" i="82"/>
  <c r="BE239" i="82"/>
  <c r="AP239" i="82"/>
  <c r="BI239" i="82" s="1"/>
  <c r="AH239" i="82"/>
  <c r="BH239" i="82" s="1"/>
  <c r="Z239" i="82"/>
  <c r="BM239" i="82" s="1"/>
  <c r="R239" i="82"/>
  <c r="BL239" i="82" s="1"/>
  <c r="J239" i="82"/>
  <c r="BK238" i="82"/>
  <c r="BE238" i="82"/>
  <c r="AP238" i="82"/>
  <c r="AH238" i="82"/>
  <c r="BH238" i="82" s="1"/>
  <c r="Z238" i="82"/>
  <c r="BM238" i="82" s="1"/>
  <c r="R238" i="82"/>
  <c r="BL238" i="82" s="1"/>
  <c r="J238" i="82"/>
  <c r="BK237" i="82"/>
  <c r="BE237" i="82"/>
  <c r="AP237" i="82"/>
  <c r="BO237" i="82" s="1"/>
  <c r="AH237" i="82"/>
  <c r="BH237" i="82" s="1"/>
  <c r="Z237" i="82"/>
  <c r="BM237" i="82" s="1"/>
  <c r="R237" i="82"/>
  <c r="BL237" i="82" s="1"/>
  <c r="J237" i="82"/>
  <c r="BK236" i="82"/>
  <c r="BE236" i="82"/>
  <c r="AP236" i="82"/>
  <c r="AH236" i="82"/>
  <c r="BH236" i="82" s="1"/>
  <c r="Z236" i="82"/>
  <c r="BM236" i="82" s="1"/>
  <c r="R236" i="82"/>
  <c r="BL236" i="82" s="1"/>
  <c r="J236" i="82"/>
  <c r="BK235" i="82"/>
  <c r="BE235" i="82"/>
  <c r="AP235" i="82"/>
  <c r="BI235" i="82" s="1"/>
  <c r="AH235" i="82"/>
  <c r="BH235" i="82" s="1"/>
  <c r="Z235" i="82"/>
  <c r="BM235" i="82" s="1"/>
  <c r="R235" i="82"/>
  <c r="BL235" i="82" s="1"/>
  <c r="J235" i="82"/>
  <c r="BK234" i="82"/>
  <c r="BE234" i="82"/>
  <c r="AP234" i="82"/>
  <c r="AH234" i="82"/>
  <c r="BH234" i="82" s="1"/>
  <c r="Z234" i="82"/>
  <c r="BM234" i="82" s="1"/>
  <c r="R234" i="82"/>
  <c r="BL234" i="82" s="1"/>
  <c r="J234" i="82"/>
  <c r="BK233" i="82"/>
  <c r="BE233" i="82"/>
  <c r="AP233" i="82"/>
  <c r="BO233" i="82" s="1"/>
  <c r="AH233" i="82"/>
  <c r="BH233" i="82" s="1"/>
  <c r="Z233" i="82"/>
  <c r="BM233" i="82" s="1"/>
  <c r="R233" i="82"/>
  <c r="BL233" i="82" s="1"/>
  <c r="J233" i="82"/>
  <c r="BK232" i="82"/>
  <c r="BE232" i="82"/>
  <c r="AP232" i="82"/>
  <c r="AH232" i="82"/>
  <c r="BH232" i="82" s="1"/>
  <c r="Z232" i="82"/>
  <c r="BM232" i="82" s="1"/>
  <c r="R232" i="82"/>
  <c r="BL232" i="82" s="1"/>
  <c r="J232" i="82"/>
  <c r="BK231" i="82"/>
  <c r="BE231" i="82"/>
  <c r="AP231" i="82"/>
  <c r="BI231" i="82" s="1"/>
  <c r="AH231" i="82"/>
  <c r="BH231" i="82" s="1"/>
  <c r="Z231" i="82"/>
  <c r="BM231" i="82" s="1"/>
  <c r="R231" i="82"/>
  <c r="BL231" i="82" s="1"/>
  <c r="J231" i="82"/>
  <c r="BK230" i="82"/>
  <c r="BE230" i="82"/>
  <c r="AP230" i="82"/>
  <c r="AH230" i="82"/>
  <c r="BH230" i="82" s="1"/>
  <c r="Z230" i="82"/>
  <c r="BM230" i="82" s="1"/>
  <c r="R230" i="82"/>
  <c r="BL230" i="82" s="1"/>
  <c r="J230" i="82"/>
  <c r="BK229" i="82"/>
  <c r="BE229" i="82"/>
  <c r="AP229" i="82"/>
  <c r="BO229" i="82" s="1"/>
  <c r="AH229" i="82"/>
  <c r="BH229" i="82" s="1"/>
  <c r="Z229" i="82"/>
  <c r="BM229" i="82" s="1"/>
  <c r="R229" i="82"/>
  <c r="BL229" i="82" s="1"/>
  <c r="J229" i="82"/>
  <c r="BK228" i="82"/>
  <c r="BE228" i="82"/>
  <c r="AP228" i="82"/>
  <c r="BI228" i="82" s="1"/>
  <c r="AH228" i="82"/>
  <c r="BH228" i="82" s="1"/>
  <c r="Z228" i="82"/>
  <c r="BM228" i="82" s="1"/>
  <c r="R228" i="82"/>
  <c r="BL228" i="82" s="1"/>
  <c r="J228" i="82"/>
  <c r="BK227" i="82"/>
  <c r="BE227" i="82"/>
  <c r="AP227" i="82"/>
  <c r="BO227" i="82" s="1"/>
  <c r="AH227" i="82"/>
  <c r="BH227" i="82" s="1"/>
  <c r="Z227" i="82"/>
  <c r="BM227" i="82" s="1"/>
  <c r="R227" i="82"/>
  <c r="BL227" i="82" s="1"/>
  <c r="J227" i="82"/>
  <c r="BK226" i="82"/>
  <c r="BE226" i="82"/>
  <c r="AP226" i="82"/>
  <c r="BO226" i="82" s="1"/>
  <c r="AH226" i="82"/>
  <c r="BH226" i="82" s="1"/>
  <c r="Z226" i="82"/>
  <c r="R226" i="82"/>
  <c r="BL226" i="82" s="1"/>
  <c r="J226" i="82"/>
  <c r="BK225" i="82"/>
  <c r="BE225" i="82"/>
  <c r="AP225" i="82"/>
  <c r="BO225" i="82" s="1"/>
  <c r="AH225" i="82"/>
  <c r="BH225" i="82" s="1"/>
  <c r="Z225" i="82"/>
  <c r="BM225" i="82" s="1"/>
  <c r="R225" i="82"/>
  <c r="BL225" i="82" s="1"/>
  <c r="J225" i="82"/>
  <c r="BK224" i="82"/>
  <c r="BE224" i="82"/>
  <c r="AP224" i="82"/>
  <c r="BI224" i="82" s="1"/>
  <c r="AH224" i="82"/>
  <c r="Z224" i="82"/>
  <c r="BM224" i="82" s="1"/>
  <c r="R224" i="82"/>
  <c r="BL224" i="82" s="1"/>
  <c r="J224" i="82"/>
  <c r="BK223" i="82"/>
  <c r="BE223" i="82"/>
  <c r="AP223" i="82"/>
  <c r="AH223" i="82"/>
  <c r="BH223" i="82" s="1"/>
  <c r="Z223" i="82"/>
  <c r="BM223" i="82" s="1"/>
  <c r="R223" i="82"/>
  <c r="BL223" i="82" s="1"/>
  <c r="J223" i="82"/>
  <c r="BK222" i="82"/>
  <c r="BE222" i="82"/>
  <c r="AP222" i="82"/>
  <c r="BO222" i="82" s="1"/>
  <c r="AH222" i="82"/>
  <c r="BH222" i="82" s="1"/>
  <c r="Z222" i="82"/>
  <c r="BM222" i="82" s="1"/>
  <c r="R222" i="82"/>
  <c r="BL222" i="82" s="1"/>
  <c r="J222" i="82"/>
  <c r="BK221" i="82"/>
  <c r="BE221" i="82"/>
  <c r="AP221" i="82"/>
  <c r="BO221" i="82" s="1"/>
  <c r="AH221" i="82"/>
  <c r="BH221" i="82" s="1"/>
  <c r="Z221" i="82"/>
  <c r="BM221" i="82" s="1"/>
  <c r="R221" i="82"/>
  <c r="J221" i="82"/>
  <c r="BK220" i="82"/>
  <c r="BE220" i="82"/>
  <c r="AP220" i="82"/>
  <c r="BI220" i="82" s="1"/>
  <c r="AH220" i="82"/>
  <c r="Z220" i="82"/>
  <c r="BM220" i="82" s="1"/>
  <c r="R220" i="82"/>
  <c r="BL220" i="82" s="1"/>
  <c r="J220" i="82"/>
  <c r="BK219" i="82"/>
  <c r="BE219" i="82"/>
  <c r="AP219" i="82"/>
  <c r="BO219" i="82" s="1"/>
  <c r="AH219" i="82"/>
  <c r="BH219" i="82" s="1"/>
  <c r="Z219" i="82"/>
  <c r="BM219" i="82" s="1"/>
  <c r="R219" i="82"/>
  <c r="BL219" i="82" s="1"/>
  <c r="J219" i="82"/>
  <c r="BK218" i="82"/>
  <c r="BE218" i="82"/>
  <c r="AP218" i="82"/>
  <c r="AH218" i="82"/>
  <c r="BH218" i="82" s="1"/>
  <c r="Z218" i="82"/>
  <c r="BM218" i="82" s="1"/>
  <c r="R218" i="82"/>
  <c r="BL218" i="82" s="1"/>
  <c r="J218" i="82"/>
  <c r="BK217" i="82"/>
  <c r="BE217" i="82"/>
  <c r="AP217" i="82"/>
  <c r="BO217" i="82" s="1"/>
  <c r="AH217" i="82"/>
  <c r="BH217" i="82" s="1"/>
  <c r="Z217" i="82"/>
  <c r="BM217" i="82" s="1"/>
  <c r="R217" i="82"/>
  <c r="J217" i="82"/>
  <c r="BK216" i="82"/>
  <c r="BE216" i="82"/>
  <c r="AP216" i="82"/>
  <c r="BO216" i="82" s="1"/>
  <c r="AH216" i="82"/>
  <c r="BH216" i="82" s="1"/>
  <c r="Z216" i="82"/>
  <c r="R216" i="82"/>
  <c r="BL216" i="82" s="1"/>
  <c r="J216" i="82"/>
  <c r="BK215" i="82"/>
  <c r="BE215" i="82"/>
  <c r="AP215" i="82"/>
  <c r="AH215" i="82"/>
  <c r="BH215" i="82" s="1"/>
  <c r="Z215" i="82"/>
  <c r="BG215" i="82" s="1"/>
  <c r="R215" i="82"/>
  <c r="BL215" i="82" s="1"/>
  <c r="J215" i="82"/>
  <c r="BK214" i="82"/>
  <c r="BE214" i="82"/>
  <c r="AP214" i="82"/>
  <c r="BO214" i="82" s="1"/>
  <c r="AH214" i="82"/>
  <c r="BH214" i="82" s="1"/>
  <c r="Z214" i="82"/>
  <c r="BM214" i="82" s="1"/>
  <c r="R214" i="82"/>
  <c r="BL214" i="82" s="1"/>
  <c r="J214" i="82"/>
  <c r="BK213" i="82"/>
  <c r="BE213" i="82"/>
  <c r="AP213" i="82"/>
  <c r="BI213" i="82" s="1"/>
  <c r="AH213" i="82"/>
  <c r="Z213" i="82"/>
  <c r="R213" i="82"/>
  <c r="BL213" i="82" s="1"/>
  <c r="J213" i="82"/>
  <c r="BK212" i="82"/>
  <c r="BE212" i="82"/>
  <c r="AP212" i="82"/>
  <c r="BO212" i="82" s="1"/>
  <c r="AH212" i="82"/>
  <c r="Z212" i="82"/>
  <c r="BM212" i="82" s="1"/>
  <c r="R212" i="82"/>
  <c r="BL212" i="82" s="1"/>
  <c r="J212" i="82"/>
  <c r="BK211" i="82"/>
  <c r="BE211" i="82"/>
  <c r="AP211" i="82"/>
  <c r="BI211" i="82" s="1"/>
  <c r="AH211" i="82"/>
  <c r="Z211" i="82"/>
  <c r="BM211" i="82" s="1"/>
  <c r="R211" i="82"/>
  <c r="BL211" i="82" s="1"/>
  <c r="J211" i="82"/>
  <c r="BK210" i="82"/>
  <c r="BE210" i="82"/>
  <c r="AP210" i="82"/>
  <c r="BI210" i="82" s="1"/>
  <c r="AH210" i="82"/>
  <c r="Z210" i="82"/>
  <c r="BM210" i="82" s="1"/>
  <c r="R210" i="82"/>
  <c r="BL210" i="82" s="1"/>
  <c r="J210" i="82"/>
  <c r="BK209" i="82"/>
  <c r="BE209" i="82"/>
  <c r="AP209" i="82"/>
  <c r="BO209" i="82" s="1"/>
  <c r="AH209" i="82"/>
  <c r="Z209" i="82"/>
  <c r="BM209" i="82" s="1"/>
  <c r="R209" i="82"/>
  <c r="BL209" i="82" s="1"/>
  <c r="J209" i="82"/>
  <c r="BK208" i="82"/>
  <c r="BE208" i="82"/>
  <c r="AP208" i="82"/>
  <c r="BO208" i="82" s="1"/>
  <c r="AH208" i="82"/>
  <c r="Z208" i="82"/>
  <c r="BM208" i="82" s="1"/>
  <c r="R208" i="82"/>
  <c r="J208" i="82"/>
  <c r="BK207" i="82"/>
  <c r="BE207" i="82"/>
  <c r="AP207" i="82"/>
  <c r="AH207" i="82"/>
  <c r="Z207" i="82"/>
  <c r="BM207" i="82" s="1"/>
  <c r="R207" i="82"/>
  <c r="BL207" i="82" s="1"/>
  <c r="J207" i="82"/>
  <c r="BK206" i="82"/>
  <c r="BE206" i="82"/>
  <c r="AP206" i="82"/>
  <c r="BO206" i="82" s="1"/>
  <c r="AH206" i="82"/>
  <c r="Z206" i="82"/>
  <c r="BM206" i="82" s="1"/>
  <c r="R206" i="82"/>
  <c r="BL206" i="82" s="1"/>
  <c r="J206" i="82"/>
  <c r="BK205" i="82"/>
  <c r="BE205" i="82"/>
  <c r="AP205" i="82"/>
  <c r="BI205" i="82" s="1"/>
  <c r="AH205" i="82"/>
  <c r="Z205" i="82"/>
  <c r="R205" i="82"/>
  <c r="BL205" i="82" s="1"/>
  <c r="J205" i="82"/>
  <c r="BK204" i="82"/>
  <c r="BE204" i="82"/>
  <c r="AP204" i="82"/>
  <c r="BO204" i="82" s="1"/>
  <c r="AH204" i="82"/>
  <c r="Z204" i="82"/>
  <c r="BM204" i="82" s="1"/>
  <c r="R204" i="82"/>
  <c r="BL204" i="82" s="1"/>
  <c r="J204" i="82"/>
  <c r="BK203" i="82"/>
  <c r="BE203" i="82"/>
  <c r="AP203" i="82"/>
  <c r="BO203" i="82" s="1"/>
  <c r="AH203" i="82"/>
  <c r="Z203" i="82"/>
  <c r="BM203" i="82" s="1"/>
  <c r="R203" i="82"/>
  <c r="BL203" i="82" s="1"/>
  <c r="J203" i="82"/>
  <c r="BK202" i="82"/>
  <c r="BE202" i="82"/>
  <c r="AP202" i="82"/>
  <c r="BO202" i="82" s="1"/>
  <c r="AH202" i="82"/>
  <c r="Z202" i="82"/>
  <c r="BM202" i="82" s="1"/>
  <c r="R202" i="82"/>
  <c r="BL202" i="82" s="1"/>
  <c r="J202" i="82"/>
  <c r="BK201" i="82"/>
  <c r="BE201" i="82"/>
  <c r="AP201" i="82"/>
  <c r="BO201" i="82" s="1"/>
  <c r="AH201" i="82"/>
  <c r="Z201" i="82"/>
  <c r="BM201" i="82" s="1"/>
  <c r="R201" i="82"/>
  <c r="BL201" i="82" s="1"/>
  <c r="J201" i="82"/>
  <c r="BK200" i="82"/>
  <c r="BE200" i="82"/>
  <c r="AP200" i="82"/>
  <c r="BO200" i="82" s="1"/>
  <c r="AH200" i="82"/>
  <c r="Z200" i="82"/>
  <c r="BM200" i="82" s="1"/>
  <c r="R200" i="82"/>
  <c r="J200" i="82"/>
  <c r="BK199" i="82"/>
  <c r="BE199" i="82"/>
  <c r="AP199" i="82"/>
  <c r="AH199" i="82"/>
  <c r="Z199" i="82"/>
  <c r="BM199" i="82" s="1"/>
  <c r="R199" i="82"/>
  <c r="BL199" i="82" s="1"/>
  <c r="J199" i="82"/>
  <c r="BK198" i="82"/>
  <c r="BE198" i="82"/>
  <c r="AP198" i="82"/>
  <c r="BO198" i="82" s="1"/>
  <c r="AH198" i="82"/>
  <c r="Z198" i="82"/>
  <c r="BM198" i="82" s="1"/>
  <c r="R198" i="82"/>
  <c r="BL198" i="82" s="1"/>
  <c r="J198" i="82"/>
  <c r="BK197" i="82"/>
  <c r="BE197" i="82"/>
  <c r="AP197" i="82"/>
  <c r="BI197" i="82" s="1"/>
  <c r="AH197" i="82"/>
  <c r="Z197" i="82"/>
  <c r="R197" i="82"/>
  <c r="BL197" i="82" s="1"/>
  <c r="J197" i="82"/>
  <c r="BK196" i="82"/>
  <c r="BE196" i="82"/>
  <c r="AP196" i="82"/>
  <c r="BO196" i="82" s="1"/>
  <c r="AH196" i="82"/>
  <c r="Z196" i="82"/>
  <c r="BM196" i="82" s="1"/>
  <c r="R196" i="82"/>
  <c r="BL196" i="82" s="1"/>
  <c r="J196" i="82"/>
  <c r="BK195" i="82"/>
  <c r="BE195" i="82"/>
  <c r="AP195" i="82"/>
  <c r="BO195" i="82" s="1"/>
  <c r="AH195" i="82"/>
  <c r="Z195" i="82"/>
  <c r="BM195" i="82" s="1"/>
  <c r="R195" i="82"/>
  <c r="BL195" i="82" s="1"/>
  <c r="J195" i="82"/>
  <c r="BK194" i="82"/>
  <c r="BE194" i="82"/>
  <c r="AP194" i="82"/>
  <c r="BI194" i="82" s="1"/>
  <c r="AH194" i="82"/>
  <c r="Z194" i="82"/>
  <c r="BM194" i="82" s="1"/>
  <c r="R194" i="82"/>
  <c r="BL194" i="82" s="1"/>
  <c r="J194" i="82"/>
  <c r="BK193" i="82"/>
  <c r="BE193" i="82"/>
  <c r="AP193" i="82"/>
  <c r="BO193" i="82" s="1"/>
  <c r="AH193" i="82"/>
  <c r="Z193" i="82"/>
  <c r="BM193" i="82" s="1"/>
  <c r="R193" i="82"/>
  <c r="BL193" i="82" s="1"/>
  <c r="J193" i="82"/>
  <c r="BK192" i="82"/>
  <c r="BE192" i="82"/>
  <c r="AP192" i="82"/>
  <c r="BO192" i="82" s="1"/>
  <c r="AH192" i="82"/>
  <c r="Z192" i="82"/>
  <c r="BM192" i="82" s="1"/>
  <c r="R192" i="82"/>
  <c r="J192" i="82"/>
  <c r="BK191" i="82"/>
  <c r="BE191" i="82"/>
  <c r="AP191" i="82"/>
  <c r="AH191" i="82"/>
  <c r="Z191" i="82"/>
  <c r="BM191" i="82" s="1"/>
  <c r="R191" i="82"/>
  <c r="BL191" i="82" s="1"/>
  <c r="J191" i="82"/>
  <c r="BK190" i="82"/>
  <c r="BE190" i="82"/>
  <c r="AP190" i="82"/>
  <c r="BO190" i="82" s="1"/>
  <c r="AH190" i="82"/>
  <c r="Z190" i="82"/>
  <c r="BM190" i="82" s="1"/>
  <c r="R190" i="82"/>
  <c r="BL190" i="82" s="1"/>
  <c r="J190" i="82"/>
  <c r="BK189" i="82"/>
  <c r="BE189" i="82"/>
  <c r="AP189" i="82"/>
  <c r="BI189" i="82" s="1"/>
  <c r="AH189" i="82"/>
  <c r="Z189" i="82"/>
  <c r="R189" i="82"/>
  <c r="BL189" i="82" s="1"/>
  <c r="J189" i="82"/>
  <c r="BK188" i="82"/>
  <c r="BE188" i="82"/>
  <c r="AP188" i="82"/>
  <c r="BO188" i="82" s="1"/>
  <c r="AH188" i="82"/>
  <c r="Z188" i="82"/>
  <c r="BM188" i="82" s="1"/>
  <c r="R188" i="82"/>
  <c r="BL188" i="82" s="1"/>
  <c r="J188" i="82"/>
  <c r="BK187" i="82"/>
  <c r="BE187" i="82"/>
  <c r="AP187" i="82"/>
  <c r="BO187" i="82" s="1"/>
  <c r="AH187" i="82"/>
  <c r="Z187" i="82"/>
  <c r="BM187" i="82" s="1"/>
  <c r="R187" i="82"/>
  <c r="BL187" i="82" s="1"/>
  <c r="J187" i="82"/>
  <c r="BK186" i="82"/>
  <c r="BE186" i="82"/>
  <c r="AP186" i="82"/>
  <c r="BO186" i="82" s="1"/>
  <c r="AH186" i="82"/>
  <c r="Z186" i="82"/>
  <c r="BM186" i="82" s="1"/>
  <c r="R186" i="82"/>
  <c r="BL186" i="82" s="1"/>
  <c r="J186" i="82"/>
  <c r="BK185" i="82"/>
  <c r="BE185" i="82"/>
  <c r="AP185" i="82"/>
  <c r="BI185" i="82" s="1"/>
  <c r="AH185" i="82"/>
  <c r="Z185" i="82"/>
  <c r="BM185" i="82" s="1"/>
  <c r="R185" i="82"/>
  <c r="BL185" i="82" s="1"/>
  <c r="J185" i="82"/>
  <c r="BK184" i="82"/>
  <c r="BE184" i="82"/>
  <c r="AP184" i="82"/>
  <c r="BO184" i="82" s="1"/>
  <c r="AH184" i="82"/>
  <c r="Z184" i="82"/>
  <c r="BM184" i="82" s="1"/>
  <c r="R184" i="82"/>
  <c r="J184" i="82"/>
  <c r="BK183" i="82"/>
  <c r="BE183" i="82"/>
  <c r="AP183" i="82"/>
  <c r="BO183" i="82" s="1"/>
  <c r="AH183" i="82"/>
  <c r="Z183" i="82"/>
  <c r="BM183" i="82" s="1"/>
  <c r="R183" i="82"/>
  <c r="BL183" i="82" s="1"/>
  <c r="J183" i="82"/>
  <c r="BK182" i="82"/>
  <c r="BE182" i="82"/>
  <c r="AP182" i="82"/>
  <c r="AH182" i="82"/>
  <c r="Z182" i="82"/>
  <c r="BM182" i="82" s="1"/>
  <c r="R182" i="82"/>
  <c r="BL182" i="82" s="1"/>
  <c r="J182" i="82"/>
  <c r="BK181" i="82"/>
  <c r="BE181" i="82"/>
  <c r="AP181" i="82"/>
  <c r="BO181" i="82" s="1"/>
  <c r="AH181" i="82"/>
  <c r="Z181" i="82"/>
  <c r="BM181" i="82" s="1"/>
  <c r="R181" i="82"/>
  <c r="BL181" i="82" s="1"/>
  <c r="J181" i="82"/>
  <c r="BK180" i="82"/>
  <c r="BE180" i="82"/>
  <c r="AP180" i="82"/>
  <c r="BO180" i="82" s="1"/>
  <c r="AH180" i="82"/>
  <c r="Z180" i="82"/>
  <c r="BG180" i="82" s="1"/>
  <c r="R180" i="82"/>
  <c r="BL180" i="82" s="1"/>
  <c r="J180" i="82"/>
  <c r="BK179" i="82"/>
  <c r="BE179" i="82"/>
  <c r="AP179" i="82"/>
  <c r="BO179" i="82" s="1"/>
  <c r="AH179" i="82"/>
  <c r="Z179" i="82"/>
  <c r="R179" i="82"/>
  <c r="BL179" i="82" s="1"/>
  <c r="J179" i="82"/>
  <c r="BK178" i="82"/>
  <c r="BE178" i="82"/>
  <c r="AP178" i="82"/>
  <c r="AH178" i="82"/>
  <c r="Z178" i="82"/>
  <c r="BG178" i="82" s="1"/>
  <c r="R178" i="82"/>
  <c r="BL178" i="82" s="1"/>
  <c r="J178" i="82"/>
  <c r="BK177" i="82"/>
  <c r="BE177" i="82"/>
  <c r="AP177" i="82"/>
  <c r="BO177" i="82" s="1"/>
  <c r="AH177" i="82"/>
  <c r="Z177" i="82"/>
  <c r="BG177" i="82" s="1"/>
  <c r="R177" i="82"/>
  <c r="BL177" i="82" s="1"/>
  <c r="J177" i="82"/>
  <c r="BK176" i="82"/>
  <c r="BE176" i="82"/>
  <c r="AP176" i="82"/>
  <c r="BO176" i="82" s="1"/>
  <c r="AH176" i="82"/>
  <c r="Z176" i="82"/>
  <c r="BG176" i="82" s="1"/>
  <c r="R176" i="82"/>
  <c r="BL176" i="82" s="1"/>
  <c r="J176" i="82"/>
  <c r="BK175" i="82"/>
  <c r="BE175" i="82"/>
  <c r="AP175" i="82"/>
  <c r="BO175" i="82" s="1"/>
  <c r="AH175" i="82"/>
  <c r="Z175" i="82"/>
  <c r="R175" i="82"/>
  <c r="BL175" i="82" s="1"/>
  <c r="J175" i="82"/>
  <c r="BK174" i="82"/>
  <c r="BE174" i="82"/>
  <c r="AP174" i="82"/>
  <c r="AH174" i="82"/>
  <c r="Z174" i="82"/>
  <c r="BG174" i="82" s="1"/>
  <c r="R174" i="82"/>
  <c r="BL174" i="82" s="1"/>
  <c r="J174" i="82"/>
  <c r="BK173" i="82"/>
  <c r="BE173" i="82"/>
  <c r="AP173" i="82"/>
  <c r="BI173" i="82" s="1"/>
  <c r="AH173" i="82"/>
  <c r="Z173" i="82"/>
  <c r="BG173" i="82" s="1"/>
  <c r="R173" i="82"/>
  <c r="BL173" i="82" s="1"/>
  <c r="J173" i="82"/>
  <c r="BK172" i="82"/>
  <c r="BE172" i="82"/>
  <c r="AP172" i="82"/>
  <c r="AH172" i="82"/>
  <c r="Z172" i="82"/>
  <c r="BM172" i="82" s="1"/>
  <c r="R172" i="82"/>
  <c r="BL172" i="82" s="1"/>
  <c r="J172" i="82"/>
  <c r="BK171" i="82"/>
  <c r="BE171" i="82"/>
  <c r="AP171" i="82"/>
  <c r="BO171" i="82" s="1"/>
  <c r="AH171" i="82"/>
  <c r="Z171" i="82"/>
  <c r="BG171" i="82" s="1"/>
  <c r="R171" i="82"/>
  <c r="J171" i="82"/>
  <c r="BK170" i="82"/>
  <c r="BE170" i="82"/>
  <c r="AP170" i="82"/>
  <c r="AH170" i="82"/>
  <c r="Z170" i="82"/>
  <c r="BM170" i="82" s="1"/>
  <c r="R170" i="82"/>
  <c r="BL170" i="82" s="1"/>
  <c r="J170" i="82"/>
  <c r="BK169" i="82"/>
  <c r="BE169" i="82"/>
  <c r="AP169" i="82"/>
  <c r="BO169" i="82" s="1"/>
  <c r="AH169" i="82"/>
  <c r="Z169" i="82"/>
  <c r="BM169" i="82" s="1"/>
  <c r="R169" i="82"/>
  <c r="BL169" i="82" s="1"/>
  <c r="J169" i="82"/>
  <c r="BK168" i="82"/>
  <c r="BE168" i="82"/>
  <c r="AP168" i="82"/>
  <c r="BO168" i="82" s="1"/>
  <c r="AH168" i="82"/>
  <c r="Z168" i="82"/>
  <c r="BM168" i="82" s="1"/>
  <c r="R168" i="82"/>
  <c r="J168" i="82"/>
  <c r="BK167" i="82"/>
  <c r="BE167" i="82"/>
  <c r="AP167" i="82"/>
  <c r="BO167" i="82" s="1"/>
  <c r="AH167" i="82"/>
  <c r="Z167" i="82"/>
  <c r="BG167" i="82" s="1"/>
  <c r="R167" i="82"/>
  <c r="J167" i="82"/>
  <c r="BK166" i="82"/>
  <c r="BE166" i="82"/>
  <c r="AP166" i="82"/>
  <c r="BI166" i="82" s="1"/>
  <c r="AH166" i="82"/>
  <c r="Z166" i="82"/>
  <c r="BM166" i="82" s="1"/>
  <c r="R166" i="82"/>
  <c r="BL166" i="82" s="1"/>
  <c r="J166" i="82"/>
  <c r="BK165" i="82"/>
  <c r="BE165" i="82"/>
  <c r="AP165" i="82"/>
  <c r="BI165" i="82" s="1"/>
  <c r="AH165" i="82"/>
  <c r="Z165" i="82"/>
  <c r="BG165" i="82" s="1"/>
  <c r="R165" i="82"/>
  <c r="BL165" i="82" s="1"/>
  <c r="J165" i="82"/>
  <c r="BK164" i="82"/>
  <c r="BE164" i="82"/>
  <c r="AP164" i="82"/>
  <c r="AH164" i="82"/>
  <c r="Z164" i="82"/>
  <c r="BM164" i="82" s="1"/>
  <c r="R164" i="82"/>
  <c r="J164" i="82"/>
  <c r="BK163" i="82"/>
  <c r="BE163" i="82"/>
  <c r="AP163" i="82"/>
  <c r="AH163" i="82"/>
  <c r="Z163" i="82"/>
  <c r="R163" i="82"/>
  <c r="BL163" i="82" s="1"/>
  <c r="J163" i="82"/>
  <c r="BK162" i="82"/>
  <c r="BE162" i="82"/>
  <c r="AP162" i="82"/>
  <c r="BO162" i="82" s="1"/>
  <c r="AH162" i="82"/>
  <c r="BH162" i="82" s="1"/>
  <c r="Z162" i="82"/>
  <c r="R162" i="82"/>
  <c r="BL162" i="82" s="1"/>
  <c r="J162" i="82"/>
  <c r="BK161" i="82"/>
  <c r="BE161" i="82"/>
  <c r="AP161" i="82"/>
  <c r="BI161" i="82" s="1"/>
  <c r="AH161" i="82"/>
  <c r="BH161" i="82" s="1"/>
  <c r="Z161" i="82"/>
  <c r="R161" i="82"/>
  <c r="J161" i="82"/>
  <c r="BK160" i="82"/>
  <c r="BE160" i="82"/>
  <c r="AP160" i="82"/>
  <c r="BO160" i="82" s="1"/>
  <c r="AH160" i="82"/>
  <c r="BN160" i="82" s="1"/>
  <c r="Z160" i="82"/>
  <c r="BG160" i="82" s="1"/>
  <c r="R160" i="82"/>
  <c r="BL160" i="82" s="1"/>
  <c r="J160" i="82"/>
  <c r="BK159" i="82"/>
  <c r="BE159" i="82"/>
  <c r="AP159" i="82"/>
  <c r="BO159" i="82" s="1"/>
  <c r="AH159" i="82"/>
  <c r="BN159" i="82" s="1"/>
  <c r="Z159" i="82"/>
  <c r="R159" i="82"/>
  <c r="BL159" i="82" s="1"/>
  <c r="J159" i="82"/>
  <c r="BK158" i="82"/>
  <c r="BE158" i="82"/>
  <c r="AP158" i="82"/>
  <c r="AH158" i="82"/>
  <c r="BN158" i="82" s="1"/>
  <c r="Z158" i="82"/>
  <c r="BG158" i="82" s="1"/>
  <c r="R158" i="82"/>
  <c r="J158" i="82"/>
  <c r="BK157" i="82"/>
  <c r="BE157" i="82"/>
  <c r="AP157" i="82"/>
  <c r="BO157" i="82" s="1"/>
  <c r="AH157" i="82"/>
  <c r="BN157" i="82" s="1"/>
  <c r="Z157" i="82"/>
  <c r="R157" i="82"/>
  <c r="BL157" i="82" s="1"/>
  <c r="J157" i="82"/>
  <c r="BK156" i="82"/>
  <c r="BE156" i="82"/>
  <c r="AP156" i="82"/>
  <c r="BI156" i="82" s="1"/>
  <c r="AH156" i="82"/>
  <c r="Z156" i="82"/>
  <c r="R156" i="82"/>
  <c r="BL156" i="82" s="1"/>
  <c r="J156" i="82"/>
  <c r="BK155" i="82"/>
  <c r="BE155" i="82"/>
  <c r="AP155" i="82"/>
  <c r="BI155" i="82" s="1"/>
  <c r="AH155" i="82"/>
  <c r="BN155" i="82" s="1"/>
  <c r="Z155" i="82"/>
  <c r="BG155" i="82" s="1"/>
  <c r="R155" i="82"/>
  <c r="J155" i="82"/>
  <c r="BK154" i="82"/>
  <c r="BE154" i="82"/>
  <c r="AP154" i="82"/>
  <c r="BO154" i="82" s="1"/>
  <c r="AH154" i="82"/>
  <c r="BN154" i="82" s="1"/>
  <c r="Z154" i="82"/>
  <c r="R154" i="82"/>
  <c r="J154" i="82"/>
  <c r="BK153" i="82"/>
  <c r="BE153" i="82"/>
  <c r="AP153" i="82"/>
  <c r="AH153" i="82"/>
  <c r="BN153" i="82" s="1"/>
  <c r="Z153" i="82"/>
  <c r="BG153" i="82" s="1"/>
  <c r="R153" i="82"/>
  <c r="BL153" i="82" s="1"/>
  <c r="J153" i="82"/>
  <c r="BK152" i="82"/>
  <c r="BE152" i="82"/>
  <c r="AP152" i="82"/>
  <c r="BI152" i="82" s="1"/>
  <c r="AH152" i="82"/>
  <c r="BN152" i="82" s="1"/>
  <c r="Z152" i="82"/>
  <c r="BG152" i="82" s="1"/>
  <c r="R152" i="82"/>
  <c r="J152" i="82"/>
  <c r="BK151" i="82"/>
  <c r="BE151" i="82"/>
  <c r="AP151" i="82"/>
  <c r="BO151" i="82" s="1"/>
  <c r="AH151" i="82"/>
  <c r="Z151" i="82"/>
  <c r="R151" i="82"/>
  <c r="BL151" i="82" s="1"/>
  <c r="J151" i="82"/>
  <c r="BK150" i="82"/>
  <c r="BE150" i="82"/>
  <c r="AP150" i="82"/>
  <c r="BO150" i="82" s="1"/>
  <c r="AH150" i="82"/>
  <c r="BH150" i="82" s="1"/>
  <c r="Z150" i="82"/>
  <c r="R150" i="82"/>
  <c r="BL150" i="82" s="1"/>
  <c r="J150" i="82"/>
  <c r="BK149" i="82"/>
  <c r="BE149" i="82"/>
  <c r="AP149" i="82"/>
  <c r="BO149" i="82" s="1"/>
  <c r="AH149" i="82"/>
  <c r="BN149" i="82" s="1"/>
  <c r="Z149" i="82"/>
  <c r="BG149" i="82" s="1"/>
  <c r="R149" i="82"/>
  <c r="BL149" i="82" s="1"/>
  <c r="J149" i="82"/>
  <c r="BK148" i="82"/>
  <c r="BE148" i="82"/>
  <c r="AP148" i="82"/>
  <c r="BI148" i="82" s="1"/>
  <c r="AH148" i="82"/>
  <c r="Z148" i="82"/>
  <c r="BG148" i="82" s="1"/>
  <c r="R148" i="82"/>
  <c r="J148" i="82"/>
  <c r="BK147" i="82"/>
  <c r="BE147" i="82"/>
  <c r="AP147" i="82"/>
  <c r="BI147" i="82" s="1"/>
  <c r="AH147" i="82"/>
  <c r="BN147" i="82" s="1"/>
  <c r="Z147" i="82"/>
  <c r="R147" i="82"/>
  <c r="BL147" i="82" s="1"/>
  <c r="J147" i="82"/>
  <c r="BK146" i="82"/>
  <c r="BE146" i="82"/>
  <c r="AP146" i="82"/>
  <c r="BO146" i="82" s="1"/>
  <c r="AH146" i="82"/>
  <c r="BN146" i="82" s="1"/>
  <c r="Z146" i="82"/>
  <c r="R146" i="82"/>
  <c r="BL146" i="82" s="1"/>
  <c r="J146" i="82"/>
  <c r="BK145" i="82"/>
  <c r="BE145" i="82"/>
  <c r="AP145" i="82"/>
  <c r="BO145" i="82" s="1"/>
  <c r="AH145" i="82"/>
  <c r="BH145" i="82" s="1"/>
  <c r="Z145" i="82"/>
  <c r="BG145" i="82" s="1"/>
  <c r="R145" i="82"/>
  <c r="BL145" i="82" s="1"/>
  <c r="J145" i="82"/>
  <c r="BK144" i="82"/>
  <c r="BE144" i="82"/>
  <c r="AP144" i="82"/>
  <c r="BI144" i="82" s="1"/>
  <c r="AH144" i="82"/>
  <c r="BN144" i="82" s="1"/>
  <c r="Z144" i="82"/>
  <c r="BG144" i="82" s="1"/>
  <c r="R144" i="82"/>
  <c r="BL144" i="82" s="1"/>
  <c r="J144" i="82"/>
  <c r="BK143" i="82"/>
  <c r="BE143" i="82"/>
  <c r="AP143" i="82"/>
  <c r="BO143" i="82" s="1"/>
  <c r="AH143" i="82"/>
  <c r="Z143" i="82"/>
  <c r="R143" i="82"/>
  <c r="BL143" i="82" s="1"/>
  <c r="J143" i="82"/>
  <c r="BK142" i="82"/>
  <c r="BE142" i="82"/>
  <c r="AP142" i="82"/>
  <c r="BO142" i="82" s="1"/>
  <c r="AH142" i="82"/>
  <c r="BH142" i="82" s="1"/>
  <c r="Z142" i="82"/>
  <c r="BG142" i="82" s="1"/>
  <c r="R142" i="82"/>
  <c r="J142" i="82"/>
  <c r="BK141" i="82"/>
  <c r="BE141" i="82"/>
  <c r="AP141" i="82"/>
  <c r="BO141" i="82" s="1"/>
  <c r="AH141" i="82"/>
  <c r="BN141" i="82" s="1"/>
  <c r="Z141" i="82"/>
  <c r="BM141" i="82" s="1"/>
  <c r="R141" i="82"/>
  <c r="BL141" i="82" s="1"/>
  <c r="J141" i="82"/>
  <c r="BK140" i="82"/>
  <c r="BE140" i="82"/>
  <c r="AP140" i="82"/>
  <c r="BI140" i="82" s="1"/>
  <c r="AH140" i="82"/>
  <c r="BH140" i="82" s="1"/>
  <c r="Z140" i="82"/>
  <c r="R140" i="82"/>
  <c r="BL140" i="82" s="1"/>
  <c r="J140" i="82"/>
  <c r="BK139" i="82"/>
  <c r="BE139" i="82"/>
  <c r="AP139" i="82"/>
  <c r="BO139" i="82" s="1"/>
  <c r="AH139" i="82"/>
  <c r="BH139" i="82" s="1"/>
  <c r="Z139" i="82"/>
  <c r="BM139" i="82" s="1"/>
  <c r="R139" i="82"/>
  <c r="J139" i="82"/>
  <c r="BK138" i="82"/>
  <c r="BE138" i="82"/>
  <c r="AP138" i="82"/>
  <c r="AH138" i="82"/>
  <c r="BN138" i="82" s="1"/>
  <c r="Z138" i="82"/>
  <c r="BM138" i="82" s="1"/>
  <c r="R138" i="82"/>
  <c r="BL138" i="82" s="1"/>
  <c r="J138" i="82"/>
  <c r="BK137" i="82"/>
  <c r="BE137" i="82"/>
  <c r="AP137" i="82"/>
  <c r="BO137" i="82" s="1"/>
  <c r="AH137" i="82"/>
  <c r="BN137" i="82" s="1"/>
  <c r="Z137" i="82"/>
  <c r="BM137" i="82" s="1"/>
  <c r="R137" i="82"/>
  <c r="BL137" i="82" s="1"/>
  <c r="J137" i="82"/>
  <c r="BK136" i="82"/>
  <c r="BE136" i="82"/>
  <c r="AP136" i="82"/>
  <c r="BI136" i="82" s="1"/>
  <c r="AH136" i="82"/>
  <c r="BN136" i="82" s="1"/>
  <c r="Z136" i="82"/>
  <c r="R136" i="82"/>
  <c r="BL136" i="82" s="1"/>
  <c r="J136" i="82"/>
  <c r="BK135" i="82"/>
  <c r="BE135" i="82"/>
  <c r="AP135" i="82"/>
  <c r="BI135" i="82" s="1"/>
  <c r="AH135" i="82"/>
  <c r="BN135" i="82" s="1"/>
  <c r="Z135" i="82"/>
  <c r="BM135" i="82" s="1"/>
  <c r="R135" i="82"/>
  <c r="BL135" i="82" s="1"/>
  <c r="J135" i="82"/>
  <c r="BK134" i="82"/>
  <c r="BE134" i="82"/>
  <c r="AP134" i="82"/>
  <c r="BO134" i="82" s="1"/>
  <c r="AH134" i="82"/>
  <c r="BN134" i="82" s="1"/>
  <c r="Z134" i="82"/>
  <c r="BM134" i="82" s="1"/>
  <c r="R134" i="82"/>
  <c r="BL134" i="82" s="1"/>
  <c r="J134" i="82"/>
  <c r="BK133" i="82"/>
  <c r="BE133" i="82"/>
  <c r="AP133" i="82"/>
  <c r="BO133" i="82" s="1"/>
  <c r="AH133" i="82"/>
  <c r="Z133" i="82"/>
  <c r="BM133" i="82" s="1"/>
  <c r="R133" i="82"/>
  <c r="BL133" i="82" s="1"/>
  <c r="J133" i="82"/>
  <c r="BK132" i="82"/>
  <c r="BE132" i="82"/>
  <c r="AP132" i="82"/>
  <c r="BO132" i="82" s="1"/>
  <c r="AH132" i="82"/>
  <c r="BN132" i="82" s="1"/>
  <c r="Z132" i="82"/>
  <c r="BM132" i="82" s="1"/>
  <c r="R132" i="82"/>
  <c r="BL132" i="82" s="1"/>
  <c r="J132" i="82"/>
  <c r="BK131" i="82"/>
  <c r="BE131" i="82"/>
  <c r="AP131" i="82"/>
  <c r="BO131" i="82" s="1"/>
  <c r="AH131" i="82"/>
  <c r="BN131" i="82" s="1"/>
  <c r="Z131" i="82"/>
  <c r="BM131" i="82" s="1"/>
  <c r="R131" i="82"/>
  <c r="BL131" i="82" s="1"/>
  <c r="J131" i="82"/>
  <c r="BK130" i="82"/>
  <c r="BE130" i="82"/>
  <c r="AP130" i="82"/>
  <c r="AH130" i="82"/>
  <c r="BN130" i="82" s="1"/>
  <c r="Z130" i="82"/>
  <c r="BM130" i="82" s="1"/>
  <c r="R130" i="82"/>
  <c r="BL130" i="82" s="1"/>
  <c r="J130" i="82"/>
  <c r="BK129" i="82"/>
  <c r="BE129" i="82"/>
  <c r="AP129" i="82"/>
  <c r="BO129" i="82" s="1"/>
  <c r="AH129" i="82"/>
  <c r="Z129" i="82"/>
  <c r="BM129" i="82" s="1"/>
  <c r="R129" i="82"/>
  <c r="BL129" i="82" s="1"/>
  <c r="J129" i="82"/>
  <c r="BK128" i="82"/>
  <c r="BE128" i="82"/>
  <c r="AP128" i="82"/>
  <c r="BI128" i="82" s="1"/>
  <c r="AH128" i="82"/>
  <c r="BN128" i="82" s="1"/>
  <c r="Z128" i="82"/>
  <c r="R128" i="82"/>
  <c r="BL128" i="82" s="1"/>
  <c r="J128" i="82"/>
  <c r="BK127" i="82"/>
  <c r="BE127" i="82"/>
  <c r="AP127" i="82"/>
  <c r="AH127" i="82"/>
  <c r="Z127" i="82"/>
  <c r="BM127" i="82" s="1"/>
  <c r="R127" i="82"/>
  <c r="BL127" i="82" s="1"/>
  <c r="J127" i="82"/>
  <c r="BK126" i="82"/>
  <c r="BE126" i="82"/>
  <c r="AP126" i="82"/>
  <c r="AH126" i="82"/>
  <c r="BN126" i="82" s="1"/>
  <c r="Z126" i="82"/>
  <c r="BM126" i="82" s="1"/>
  <c r="R126" i="82"/>
  <c r="BL126" i="82" s="1"/>
  <c r="J126" i="82"/>
  <c r="BK125" i="82"/>
  <c r="BE125" i="82"/>
  <c r="AP125" i="82"/>
  <c r="AH125" i="82"/>
  <c r="BN125" i="82" s="1"/>
  <c r="Z125" i="82"/>
  <c r="BM125" i="82" s="1"/>
  <c r="R125" i="82"/>
  <c r="BL125" i="82" s="1"/>
  <c r="J125" i="82"/>
  <c r="BK124" i="82"/>
  <c r="BE124" i="82"/>
  <c r="AP124" i="82"/>
  <c r="BO124" i="82" s="1"/>
  <c r="AH124" i="82"/>
  <c r="Z124" i="82"/>
  <c r="BM124" i="82" s="1"/>
  <c r="R124" i="82"/>
  <c r="BL124" i="82" s="1"/>
  <c r="J124" i="82"/>
  <c r="BK123" i="82"/>
  <c r="BE123" i="82"/>
  <c r="AP123" i="82"/>
  <c r="BO123" i="82" s="1"/>
  <c r="AH123" i="82"/>
  <c r="Z123" i="82"/>
  <c r="BM123" i="82" s="1"/>
  <c r="R123" i="82"/>
  <c r="BL123" i="82" s="1"/>
  <c r="J123" i="82"/>
  <c r="BK122" i="82"/>
  <c r="BE122" i="82"/>
  <c r="AP122" i="82"/>
  <c r="BO122" i="82" s="1"/>
  <c r="AH122" i="82"/>
  <c r="BN122" i="82" s="1"/>
  <c r="Z122" i="82"/>
  <c r="BM122" i="82" s="1"/>
  <c r="R122" i="82"/>
  <c r="BL122" i="82" s="1"/>
  <c r="J122" i="82"/>
  <c r="BK121" i="82"/>
  <c r="BE121" i="82"/>
  <c r="AP121" i="82"/>
  <c r="AH121" i="82"/>
  <c r="BN121" i="82" s="1"/>
  <c r="Z121" i="82"/>
  <c r="BM121" i="82" s="1"/>
  <c r="R121" i="82"/>
  <c r="BL121" i="82" s="1"/>
  <c r="J121" i="82"/>
  <c r="BK120" i="82"/>
  <c r="BE120" i="82"/>
  <c r="AP120" i="82"/>
  <c r="AH120" i="82"/>
  <c r="Z120" i="82"/>
  <c r="R120" i="82"/>
  <c r="BL120" i="82" s="1"/>
  <c r="J120" i="82"/>
  <c r="BK119" i="82"/>
  <c r="BE119" i="82"/>
  <c r="AP119" i="82"/>
  <c r="AH119" i="82"/>
  <c r="BN119" i="82" s="1"/>
  <c r="Z119" i="82"/>
  <c r="BM119" i="82" s="1"/>
  <c r="R119" i="82"/>
  <c r="J119" i="82"/>
  <c r="BK118" i="82"/>
  <c r="BE118" i="82"/>
  <c r="AP118" i="82"/>
  <c r="BI118" i="82" s="1"/>
  <c r="AH118" i="82"/>
  <c r="Z118" i="82"/>
  <c r="BM118" i="82" s="1"/>
  <c r="R118" i="82"/>
  <c r="BL118" i="82" s="1"/>
  <c r="J118" i="82"/>
  <c r="BK117" i="82"/>
  <c r="BE117" i="82"/>
  <c r="AP117" i="82"/>
  <c r="BI117" i="82" s="1"/>
  <c r="AH117" i="82"/>
  <c r="BN117" i="82" s="1"/>
  <c r="Z117" i="82"/>
  <c r="BM117" i="82" s="1"/>
  <c r="R117" i="82"/>
  <c r="BL117" i="82" s="1"/>
  <c r="J117" i="82"/>
  <c r="BK116" i="82"/>
  <c r="BE116" i="82"/>
  <c r="AP116" i="82"/>
  <c r="BI116" i="82" s="1"/>
  <c r="AH116" i="82"/>
  <c r="BN116" i="82" s="1"/>
  <c r="Z116" i="82"/>
  <c r="BM116" i="82" s="1"/>
  <c r="R116" i="82"/>
  <c r="BL116" i="82" s="1"/>
  <c r="J116" i="82"/>
  <c r="BK115" i="82"/>
  <c r="BE115" i="82"/>
  <c r="AP115" i="82"/>
  <c r="BO115" i="82" s="1"/>
  <c r="AH115" i="82"/>
  <c r="Z115" i="82"/>
  <c r="BM115" i="82" s="1"/>
  <c r="R115" i="82"/>
  <c r="BL115" i="82" s="1"/>
  <c r="J115" i="82"/>
  <c r="BK114" i="82"/>
  <c r="BE114" i="82"/>
  <c r="AP114" i="82"/>
  <c r="BI114" i="82" s="1"/>
  <c r="AH114" i="82"/>
  <c r="BN114" i="82" s="1"/>
  <c r="Z114" i="82"/>
  <c r="BM114" i="82" s="1"/>
  <c r="R114" i="82"/>
  <c r="J114" i="82"/>
  <c r="BK113" i="82"/>
  <c r="BE113" i="82"/>
  <c r="AP113" i="82"/>
  <c r="BI113" i="82" s="1"/>
  <c r="AH113" i="82"/>
  <c r="BN113" i="82" s="1"/>
  <c r="Z113" i="82"/>
  <c r="BM113" i="82" s="1"/>
  <c r="R113" i="82"/>
  <c r="BL113" i="82" s="1"/>
  <c r="J113" i="82"/>
  <c r="BK112" i="82"/>
  <c r="BE112" i="82"/>
  <c r="AP112" i="82"/>
  <c r="AH112" i="82"/>
  <c r="BN112" i="82" s="1"/>
  <c r="Z112" i="82"/>
  <c r="BM112" i="82" s="1"/>
  <c r="R112" i="82"/>
  <c r="BL112" i="82" s="1"/>
  <c r="J112" i="82"/>
  <c r="BK111" i="82"/>
  <c r="BE111" i="82"/>
  <c r="AP111" i="82"/>
  <c r="BO111" i="82" s="1"/>
  <c r="AH111" i="82"/>
  <c r="BN111" i="82" s="1"/>
  <c r="Z111" i="82"/>
  <c r="BM111" i="82" s="1"/>
  <c r="R111" i="82"/>
  <c r="J111" i="82"/>
  <c r="BK110" i="82"/>
  <c r="BE110" i="82"/>
  <c r="AP110" i="82"/>
  <c r="BI110" i="82" s="1"/>
  <c r="AH110" i="82"/>
  <c r="Z110" i="82"/>
  <c r="BM110" i="82" s="1"/>
  <c r="R110" i="82"/>
  <c r="BL110" i="82" s="1"/>
  <c r="J110" i="82"/>
  <c r="BK109" i="82"/>
  <c r="BE109" i="82"/>
  <c r="AP109" i="82"/>
  <c r="BI109" i="82" s="1"/>
  <c r="AH109" i="82"/>
  <c r="BN109" i="82" s="1"/>
  <c r="Z109" i="82"/>
  <c r="BM109" i="82" s="1"/>
  <c r="R109" i="82"/>
  <c r="BL109" i="82" s="1"/>
  <c r="J109" i="82"/>
  <c r="BK108" i="82"/>
  <c r="BE108" i="82"/>
  <c r="AP108" i="82"/>
  <c r="BI108" i="82" s="1"/>
  <c r="AH108" i="82"/>
  <c r="BH108" i="82" s="1"/>
  <c r="Z108" i="82"/>
  <c r="BM108" i="82" s="1"/>
  <c r="R108" i="82"/>
  <c r="BL108" i="82" s="1"/>
  <c r="J108" i="82"/>
  <c r="BK107" i="82"/>
  <c r="BE107" i="82"/>
  <c r="AP107" i="82"/>
  <c r="BO107" i="82" s="1"/>
  <c r="AH107" i="82"/>
  <c r="BN107" i="82" s="1"/>
  <c r="Z107" i="82"/>
  <c r="BM107" i="82" s="1"/>
  <c r="R107" i="82"/>
  <c r="BL107" i="82" s="1"/>
  <c r="J107" i="82"/>
  <c r="BK106" i="82"/>
  <c r="BE106" i="82"/>
  <c r="AP106" i="82"/>
  <c r="BI106" i="82" s="1"/>
  <c r="AH106" i="82"/>
  <c r="BH106" i="82" s="1"/>
  <c r="Z106" i="82"/>
  <c r="BM106" i="82" s="1"/>
  <c r="R106" i="82"/>
  <c r="BL106" i="82" s="1"/>
  <c r="J106" i="82"/>
  <c r="BK105" i="82"/>
  <c r="BE105" i="82"/>
  <c r="AP105" i="82"/>
  <c r="BO105" i="82" s="1"/>
  <c r="AH105" i="82"/>
  <c r="BN105" i="82" s="1"/>
  <c r="Z105" i="82"/>
  <c r="BM105" i="82" s="1"/>
  <c r="R105" i="82"/>
  <c r="BL105" i="82" s="1"/>
  <c r="J105" i="82"/>
  <c r="BK104" i="82"/>
  <c r="BE104" i="82"/>
  <c r="AP104" i="82"/>
  <c r="BO104" i="82" s="1"/>
  <c r="AH104" i="82"/>
  <c r="Z104" i="82"/>
  <c r="BM104" i="82" s="1"/>
  <c r="R104" i="82"/>
  <c r="BL104" i="82" s="1"/>
  <c r="J104" i="82"/>
  <c r="BK103" i="82"/>
  <c r="BE103" i="82"/>
  <c r="AP103" i="82"/>
  <c r="BI103" i="82" s="1"/>
  <c r="AH103" i="82"/>
  <c r="Z103" i="82"/>
  <c r="BM103" i="82" s="1"/>
  <c r="R103" i="82"/>
  <c r="J103" i="82"/>
  <c r="BK102" i="82"/>
  <c r="BE102" i="82"/>
  <c r="AP102" i="82"/>
  <c r="BI102" i="82" s="1"/>
  <c r="AH102" i="82"/>
  <c r="BN102" i="82" s="1"/>
  <c r="Z102" i="82"/>
  <c r="BM102" i="82" s="1"/>
  <c r="R102" i="82"/>
  <c r="J102" i="82"/>
  <c r="BK101" i="82"/>
  <c r="BE101" i="82"/>
  <c r="AP101" i="82"/>
  <c r="BO101" i="82" s="1"/>
  <c r="AH101" i="82"/>
  <c r="BN101" i="82" s="1"/>
  <c r="Z101" i="82"/>
  <c r="BM101" i="82" s="1"/>
  <c r="R101" i="82"/>
  <c r="BL101" i="82" s="1"/>
  <c r="J101" i="82"/>
  <c r="BK100" i="82"/>
  <c r="BE100" i="82"/>
  <c r="AP100" i="82"/>
  <c r="BI100" i="82" s="1"/>
  <c r="AH100" i="82"/>
  <c r="BH100" i="82" s="1"/>
  <c r="Z100" i="82"/>
  <c r="BM100" i="82" s="1"/>
  <c r="R100" i="82"/>
  <c r="BL100" i="82" s="1"/>
  <c r="J100" i="82"/>
  <c r="BK99" i="82"/>
  <c r="BE99" i="82"/>
  <c r="AP99" i="82"/>
  <c r="BO99" i="82" s="1"/>
  <c r="AH99" i="82"/>
  <c r="BN99" i="82" s="1"/>
  <c r="Z99" i="82"/>
  <c r="BM99" i="82" s="1"/>
  <c r="R99" i="82"/>
  <c r="BL99" i="82" s="1"/>
  <c r="J99" i="82"/>
  <c r="BK98" i="82"/>
  <c r="BE98" i="82"/>
  <c r="AP98" i="82"/>
  <c r="BO98" i="82" s="1"/>
  <c r="AH98" i="82"/>
  <c r="BN98" i="82" s="1"/>
  <c r="Z98" i="82"/>
  <c r="BM98" i="82" s="1"/>
  <c r="R98" i="82"/>
  <c r="J98" i="82"/>
  <c r="BK97" i="82"/>
  <c r="BE97" i="82"/>
  <c r="AP97" i="82"/>
  <c r="BI97" i="82" s="1"/>
  <c r="AH97" i="82"/>
  <c r="BN97" i="82" s="1"/>
  <c r="Z97" i="82"/>
  <c r="BM97" i="82" s="1"/>
  <c r="R97" i="82"/>
  <c r="BL97" i="82" s="1"/>
  <c r="J97" i="82"/>
  <c r="BK96" i="82"/>
  <c r="BE96" i="82"/>
  <c r="AP96" i="82"/>
  <c r="BO96" i="82" s="1"/>
  <c r="AH96" i="82"/>
  <c r="Z96" i="82"/>
  <c r="BM96" i="82" s="1"/>
  <c r="R96" i="82"/>
  <c r="BL96" i="82" s="1"/>
  <c r="J96" i="82"/>
  <c r="BK95" i="82"/>
  <c r="BE95" i="82"/>
  <c r="AP95" i="82"/>
  <c r="BO95" i="82" s="1"/>
  <c r="AH95" i="82"/>
  <c r="Z95" i="82"/>
  <c r="BM95" i="82" s="1"/>
  <c r="R95" i="82"/>
  <c r="J95" i="82"/>
  <c r="BK94" i="82"/>
  <c r="BE94" i="82"/>
  <c r="AP94" i="82"/>
  <c r="BI94" i="82" s="1"/>
  <c r="AH94" i="82"/>
  <c r="BN94" i="82" s="1"/>
  <c r="Z94" i="82"/>
  <c r="BM94" i="82" s="1"/>
  <c r="R94" i="82"/>
  <c r="J94" i="82"/>
  <c r="BK93" i="82"/>
  <c r="BE93" i="82"/>
  <c r="AP93" i="82"/>
  <c r="BO93" i="82" s="1"/>
  <c r="AH93" i="82"/>
  <c r="BN93" i="82" s="1"/>
  <c r="Z93" i="82"/>
  <c r="BM93" i="82" s="1"/>
  <c r="R93" i="82"/>
  <c r="BL93" i="82" s="1"/>
  <c r="J93" i="82"/>
  <c r="BK92" i="82"/>
  <c r="BE92" i="82"/>
  <c r="AP92" i="82"/>
  <c r="AH92" i="82"/>
  <c r="BH92" i="82" s="1"/>
  <c r="Z92" i="82"/>
  <c r="BM92" i="82" s="1"/>
  <c r="R92" i="82"/>
  <c r="BL92" i="82" s="1"/>
  <c r="J92" i="82"/>
  <c r="BK91" i="82"/>
  <c r="BE91" i="82"/>
  <c r="AP91" i="82"/>
  <c r="BI91" i="82" s="1"/>
  <c r="AH91" i="82"/>
  <c r="BH91" i="82" s="1"/>
  <c r="Z91" i="82"/>
  <c r="BM91" i="82" s="1"/>
  <c r="R91" i="82"/>
  <c r="BL91" i="82" s="1"/>
  <c r="J91" i="82"/>
  <c r="BK90" i="82"/>
  <c r="BE90" i="82"/>
  <c r="AP90" i="82"/>
  <c r="BI90" i="82" s="1"/>
  <c r="AH90" i="82"/>
  <c r="BH90" i="82" s="1"/>
  <c r="Z90" i="82"/>
  <c r="BM90" i="82" s="1"/>
  <c r="R90" i="82"/>
  <c r="BL90" i="82" s="1"/>
  <c r="J90" i="82"/>
  <c r="BK89" i="82"/>
  <c r="BE89" i="82"/>
  <c r="AP89" i="82"/>
  <c r="BI89" i="82" s="1"/>
  <c r="AH89" i="82"/>
  <c r="BH89" i="82" s="1"/>
  <c r="Z89" i="82"/>
  <c r="BM89" i="82" s="1"/>
  <c r="R89" i="82"/>
  <c r="BF89" i="82" s="1"/>
  <c r="J89" i="82"/>
  <c r="BK88" i="82"/>
  <c r="BE88" i="82"/>
  <c r="AP88" i="82"/>
  <c r="BI88" i="82" s="1"/>
  <c r="AH88" i="82"/>
  <c r="BH88" i="82" s="1"/>
  <c r="Z88" i="82"/>
  <c r="BM88" i="82" s="1"/>
  <c r="R88" i="82"/>
  <c r="BL88" i="82" s="1"/>
  <c r="J88" i="82"/>
  <c r="BK87" i="82"/>
  <c r="BE87" i="82"/>
  <c r="AP87" i="82"/>
  <c r="BI87" i="82" s="1"/>
  <c r="AH87" i="82"/>
  <c r="BH87" i="82" s="1"/>
  <c r="Z87" i="82"/>
  <c r="BM87" i="82" s="1"/>
  <c r="R87" i="82"/>
  <c r="BL87" i="82" s="1"/>
  <c r="J87" i="82"/>
  <c r="BK86" i="82"/>
  <c r="BE86" i="82"/>
  <c r="AP86" i="82"/>
  <c r="BI86" i="82" s="1"/>
  <c r="AH86" i="82"/>
  <c r="BH86" i="82" s="1"/>
  <c r="Z86" i="82"/>
  <c r="BM86" i="82" s="1"/>
  <c r="R86" i="82"/>
  <c r="BL86" i="82" s="1"/>
  <c r="J86" i="82"/>
  <c r="BK85" i="82"/>
  <c r="BE85" i="82"/>
  <c r="AP85" i="82"/>
  <c r="BI85" i="82" s="1"/>
  <c r="AH85" i="82"/>
  <c r="BH85" i="82" s="1"/>
  <c r="Z85" i="82"/>
  <c r="BM85" i="82" s="1"/>
  <c r="R85" i="82"/>
  <c r="BL85" i="82" s="1"/>
  <c r="J85" i="82"/>
  <c r="BK84" i="82"/>
  <c r="BE84" i="82"/>
  <c r="AP84" i="82"/>
  <c r="BI84" i="82" s="1"/>
  <c r="AH84" i="82"/>
  <c r="BH84" i="82" s="1"/>
  <c r="Z84" i="82"/>
  <c r="BM84" i="82" s="1"/>
  <c r="R84" i="82"/>
  <c r="BF84" i="82" s="1"/>
  <c r="J84" i="82"/>
  <c r="BK83" i="82"/>
  <c r="BE83" i="82"/>
  <c r="AP83" i="82"/>
  <c r="BI83" i="82" s="1"/>
  <c r="AH83" i="82"/>
  <c r="BH83" i="82" s="1"/>
  <c r="Z83" i="82"/>
  <c r="BM83" i="82" s="1"/>
  <c r="R83" i="82"/>
  <c r="BL83" i="82" s="1"/>
  <c r="J83" i="82"/>
  <c r="BK82" i="82"/>
  <c r="BE82" i="82"/>
  <c r="AP82" i="82"/>
  <c r="BI82" i="82" s="1"/>
  <c r="AH82" i="82"/>
  <c r="BH82" i="82" s="1"/>
  <c r="Z82" i="82"/>
  <c r="BM82" i="82" s="1"/>
  <c r="R82" i="82"/>
  <c r="BL82" i="82" s="1"/>
  <c r="J82" i="82"/>
  <c r="BK81" i="82"/>
  <c r="BE81" i="82"/>
  <c r="AP81" i="82"/>
  <c r="BI81" i="82" s="1"/>
  <c r="AH81" i="82"/>
  <c r="BH81" i="82" s="1"/>
  <c r="Z81" i="82"/>
  <c r="BM81" i="82" s="1"/>
  <c r="R81" i="82"/>
  <c r="BL81" i="82" s="1"/>
  <c r="J81" i="82"/>
  <c r="BK80" i="82"/>
  <c r="BE80" i="82"/>
  <c r="AP80" i="82"/>
  <c r="BI80" i="82" s="1"/>
  <c r="AH80" i="82"/>
  <c r="BH80" i="82" s="1"/>
  <c r="Z80" i="82"/>
  <c r="BM80" i="82" s="1"/>
  <c r="R80" i="82"/>
  <c r="BF80" i="82" s="1"/>
  <c r="J80" i="82"/>
  <c r="BK79" i="82"/>
  <c r="BE79" i="82"/>
  <c r="AP79" i="82"/>
  <c r="BI79" i="82" s="1"/>
  <c r="AH79" i="82"/>
  <c r="BH79" i="82" s="1"/>
  <c r="Z79" i="82"/>
  <c r="BM79" i="82" s="1"/>
  <c r="R79" i="82"/>
  <c r="BL79" i="82" s="1"/>
  <c r="J79" i="82"/>
  <c r="BK78" i="82"/>
  <c r="BE78" i="82"/>
  <c r="AP78" i="82"/>
  <c r="BI78" i="82" s="1"/>
  <c r="AH78" i="82"/>
  <c r="BH78" i="82" s="1"/>
  <c r="Z78" i="82"/>
  <c r="BM78" i="82" s="1"/>
  <c r="R78" i="82"/>
  <c r="BL78" i="82" s="1"/>
  <c r="J78" i="82"/>
  <c r="BK77" i="82"/>
  <c r="BE77" i="82"/>
  <c r="AP77" i="82"/>
  <c r="BI77" i="82" s="1"/>
  <c r="AH77" i="82"/>
  <c r="BH77" i="82" s="1"/>
  <c r="Z77" i="82"/>
  <c r="BM77" i="82" s="1"/>
  <c r="R77" i="82"/>
  <c r="BL77" i="82" s="1"/>
  <c r="J77" i="82"/>
  <c r="BK76" i="82"/>
  <c r="BE76" i="82"/>
  <c r="AP76" i="82"/>
  <c r="BI76" i="82" s="1"/>
  <c r="AH76" i="82"/>
  <c r="BH76" i="82" s="1"/>
  <c r="Z76" i="82"/>
  <c r="BM76" i="82" s="1"/>
  <c r="R76" i="82"/>
  <c r="BF76" i="82" s="1"/>
  <c r="J76" i="82"/>
  <c r="BK75" i="82"/>
  <c r="BE75" i="82"/>
  <c r="AP75" i="82"/>
  <c r="BI75" i="82" s="1"/>
  <c r="AH75" i="82"/>
  <c r="BH75" i="82" s="1"/>
  <c r="Z75" i="82"/>
  <c r="BM75" i="82" s="1"/>
  <c r="R75" i="82"/>
  <c r="BL75" i="82" s="1"/>
  <c r="J75" i="82"/>
  <c r="BK74" i="82"/>
  <c r="BE74" i="82"/>
  <c r="AP74" i="82"/>
  <c r="BI74" i="82" s="1"/>
  <c r="AH74" i="82"/>
  <c r="BH74" i="82" s="1"/>
  <c r="Z74" i="82"/>
  <c r="BM74" i="82" s="1"/>
  <c r="R74" i="82"/>
  <c r="BF74" i="82" s="1"/>
  <c r="J74" i="82"/>
  <c r="BK73" i="82"/>
  <c r="BE73" i="82"/>
  <c r="AP73" i="82"/>
  <c r="BI73" i="82" s="1"/>
  <c r="AH73" i="82"/>
  <c r="BH73" i="82" s="1"/>
  <c r="Z73" i="82"/>
  <c r="BM73" i="82" s="1"/>
  <c r="R73" i="82"/>
  <c r="BL73" i="82" s="1"/>
  <c r="J73" i="82"/>
  <c r="BK72" i="82"/>
  <c r="BE72" i="82"/>
  <c r="AP72" i="82"/>
  <c r="BI72" i="82" s="1"/>
  <c r="AH72" i="82"/>
  <c r="BH72" i="82" s="1"/>
  <c r="Z72" i="82"/>
  <c r="BM72" i="82" s="1"/>
  <c r="R72" i="82"/>
  <c r="BF72" i="82" s="1"/>
  <c r="J72" i="82"/>
  <c r="BK71" i="82"/>
  <c r="BE71" i="82"/>
  <c r="AP71" i="82"/>
  <c r="BI71" i="82" s="1"/>
  <c r="AH71" i="82"/>
  <c r="BH71" i="82" s="1"/>
  <c r="Z71" i="82"/>
  <c r="BM71" i="82" s="1"/>
  <c r="R71" i="82"/>
  <c r="BL71" i="82" s="1"/>
  <c r="J71" i="82"/>
  <c r="BK70" i="82"/>
  <c r="BE70" i="82"/>
  <c r="AP70" i="82"/>
  <c r="BI70" i="82" s="1"/>
  <c r="AH70" i="82"/>
  <c r="BH70" i="82" s="1"/>
  <c r="Z70" i="82"/>
  <c r="BM70" i="82" s="1"/>
  <c r="R70" i="82"/>
  <c r="BF70" i="82" s="1"/>
  <c r="J70" i="82"/>
  <c r="BK69" i="82"/>
  <c r="BE69" i="82"/>
  <c r="AP69" i="82"/>
  <c r="BI69" i="82" s="1"/>
  <c r="AH69" i="82"/>
  <c r="BH69" i="82" s="1"/>
  <c r="Z69" i="82"/>
  <c r="BM69" i="82" s="1"/>
  <c r="R69" i="82"/>
  <c r="BL69" i="82" s="1"/>
  <c r="J69" i="82"/>
  <c r="BK68" i="82"/>
  <c r="BE68" i="82"/>
  <c r="AP68" i="82"/>
  <c r="BI68" i="82" s="1"/>
  <c r="AH68" i="82"/>
  <c r="BH68" i="82" s="1"/>
  <c r="Z68" i="82"/>
  <c r="BM68" i="82" s="1"/>
  <c r="R68" i="82"/>
  <c r="BL68" i="82" s="1"/>
  <c r="J68" i="82"/>
  <c r="BK67" i="82"/>
  <c r="BE67" i="82"/>
  <c r="AP67" i="82"/>
  <c r="BO67" i="82" s="1"/>
  <c r="AH67" i="82"/>
  <c r="BN67" i="82" s="1"/>
  <c r="Z67" i="82"/>
  <c r="BG67" i="82" s="1"/>
  <c r="R67" i="82"/>
  <c r="BF67" i="82" s="1"/>
  <c r="J67" i="82"/>
  <c r="BK66" i="82"/>
  <c r="BE66" i="82"/>
  <c r="AP66" i="82"/>
  <c r="BO66" i="82" s="1"/>
  <c r="AH66" i="82"/>
  <c r="BH66" i="82" s="1"/>
  <c r="Z66" i="82"/>
  <c r="BG66" i="82" s="1"/>
  <c r="R66" i="82"/>
  <c r="BF66" i="82" s="1"/>
  <c r="J66" i="82"/>
  <c r="BK65" i="82"/>
  <c r="BE65" i="82"/>
  <c r="AP65" i="82"/>
  <c r="BO65" i="82" s="1"/>
  <c r="AH65" i="82"/>
  <c r="BN65" i="82" s="1"/>
  <c r="Z65" i="82"/>
  <c r="BG65" i="82" s="1"/>
  <c r="R65" i="82"/>
  <c r="BF65" i="82" s="1"/>
  <c r="J65" i="82"/>
  <c r="BK64" i="82"/>
  <c r="BE64" i="82"/>
  <c r="AP64" i="82"/>
  <c r="BO64" i="82" s="1"/>
  <c r="AH64" i="82"/>
  <c r="BH64" i="82" s="1"/>
  <c r="Z64" i="82"/>
  <c r="BG64" i="82" s="1"/>
  <c r="R64" i="82"/>
  <c r="BF64" i="82" s="1"/>
  <c r="J64" i="82"/>
  <c r="BK63" i="82"/>
  <c r="BE63" i="82"/>
  <c r="AP63" i="82"/>
  <c r="BI63" i="82" s="1"/>
  <c r="AH63" i="82"/>
  <c r="BH63" i="82" s="1"/>
  <c r="Z63" i="82"/>
  <c r="BG63" i="82" s="1"/>
  <c r="R63" i="82"/>
  <c r="BF63" i="82" s="1"/>
  <c r="J63" i="82"/>
  <c r="BK62" i="82"/>
  <c r="BE62" i="82"/>
  <c r="AP62" i="82"/>
  <c r="BO62" i="82" s="1"/>
  <c r="AH62" i="82"/>
  <c r="BN62" i="82" s="1"/>
  <c r="Z62" i="82"/>
  <c r="BG62" i="82" s="1"/>
  <c r="R62" i="82"/>
  <c r="BF62" i="82" s="1"/>
  <c r="J62" i="82"/>
  <c r="BK61" i="82"/>
  <c r="BE61" i="82"/>
  <c r="AP61" i="82"/>
  <c r="BI61" i="82" s="1"/>
  <c r="AH61" i="82"/>
  <c r="BN61" i="82" s="1"/>
  <c r="Z61" i="82"/>
  <c r="BG61" i="82" s="1"/>
  <c r="R61" i="82"/>
  <c r="BF61" i="82" s="1"/>
  <c r="J61" i="82"/>
  <c r="BK60" i="82"/>
  <c r="BE60" i="82"/>
  <c r="AP60" i="82"/>
  <c r="BI60" i="82" s="1"/>
  <c r="AH60" i="82"/>
  <c r="BN60" i="82" s="1"/>
  <c r="Z60" i="82"/>
  <c r="BG60" i="82" s="1"/>
  <c r="R60" i="82"/>
  <c r="BF60" i="82" s="1"/>
  <c r="J60" i="82"/>
  <c r="BK59" i="82"/>
  <c r="BE59" i="82"/>
  <c r="AP59" i="82"/>
  <c r="BO59" i="82" s="1"/>
  <c r="AH59" i="82"/>
  <c r="BN59" i="82" s="1"/>
  <c r="Z59" i="82"/>
  <c r="BG59" i="82" s="1"/>
  <c r="R59" i="82"/>
  <c r="BF59" i="82" s="1"/>
  <c r="J59" i="82"/>
  <c r="BK58" i="82"/>
  <c r="BE58" i="82"/>
  <c r="AP58" i="82"/>
  <c r="BO58" i="82" s="1"/>
  <c r="AH58" i="82"/>
  <c r="BH58" i="82" s="1"/>
  <c r="Z58" i="82"/>
  <c r="BG58" i="82" s="1"/>
  <c r="R58" i="82"/>
  <c r="BF58" i="82" s="1"/>
  <c r="J58" i="82"/>
  <c r="BK57" i="82"/>
  <c r="BE57" i="82"/>
  <c r="AP57" i="82"/>
  <c r="BO57" i="82" s="1"/>
  <c r="AH57" i="82"/>
  <c r="BN57" i="82" s="1"/>
  <c r="Z57" i="82"/>
  <c r="BG57" i="82" s="1"/>
  <c r="R57" i="82"/>
  <c r="BF57" i="82" s="1"/>
  <c r="J57" i="82"/>
  <c r="BK56" i="82"/>
  <c r="BE56" i="82"/>
  <c r="AP56" i="82"/>
  <c r="BO56" i="82" s="1"/>
  <c r="AH56" i="82"/>
  <c r="BN56" i="82" s="1"/>
  <c r="Z56" i="82"/>
  <c r="BG56" i="82" s="1"/>
  <c r="R56" i="82"/>
  <c r="BF56" i="82" s="1"/>
  <c r="J56" i="82"/>
  <c r="BK55" i="82"/>
  <c r="BE55" i="82"/>
  <c r="AP55" i="82"/>
  <c r="BO55" i="82" s="1"/>
  <c r="AH55" i="82"/>
  <c r="BH55" i="82" s="1"/>
  <c r="Z55" i="82"/>
  <c r="BG55" i="82" s="1"/>
  <c r="R55" i="82"/>
  <c r="BF55" i="82" s="1"/>
  <c r="J55" i="82"/>
  <c r="BK54" i="82"/>
  <c r="BE54" i="82"/>
  <c r="AP54" i="82"/>
  <c r="BO54" i="82" s="1"/>
  <c r="AH54" i="82"/>
  <c r="BH54" i="82" s="1"/>
  <c r="Z54" i="82"/>
  <c r="BG54" i="82" s="1"/>
  <c r="R54" i="82"/>
  <c r="BF54" i="82" s="1"/>
  <c r="J54" i="82"/>
  <c r="BK53" i="82"/>
  <c r="BE53" i="82"/>
  <c r="AP53" i="82"/>
  <c r="BO53" i="82" s="1"/>
  <c r="AH53" i="82"/>
  <c r="BN53" i="82" s="1"/>
  <c r="Z53" i="82"/>
  <c r="BG53" i="82" s="1"/>
  <c r="R53" i="82"/>
  <c r="BF53" i="82" s="1"/>
  <c r="J53" i="82"/>
  <c r="BK52" i="82"/>
  <c r="BE52" i="82"/>
  <c r="AP52" i="82"/>
  <c r="BO52" i="82" s="1"/>
  <c r="AH52" i="82"/>
  <c r="BN52" i="82" s="1"/>
  <c r="Z52" i="82"/>
  <c r="BG52" i="82" s="1"/>
  <c r="R52" i="82"/>
  <c r="BF52" i="82" s="1"/>
  <c r="J52" i="82"/>
  <c r="BK51" i="82"/>
  <c r="BE51" i="82"/>
  <c r="AP51" i="82"/>
  <c r="BO51" i="82" s="1"/>
  <c r="AH51" i="82"/>
  <c r="BH51" i="82" s="1"/>
  <c r="Z51" i="82"/>
  <c r="BG51" i="82" s="1"/>
  <c r="R51" i="82"/>
  <c r="BF51" i="82" s="1"/>
  <c r="J51" i="82"/>
  <c r="BK50" i="82"/>
  <c r="BE50" i="82"/>
  <c r="AP50" i="82"/>
  <c r="BO50" i="82" s="1"/>
  <c r="AH50" i="82"/>
  <c r="BH50" i="82" s="1"/>
  <c r="Z50" i="82"/>
  <c r="BG50" i="82" s="1"/>
  <c r="R50" i="82"/>
  <c r="BF50" i="82" s="1"/>
  <c r="J50" i="82"/>
  <c r="BK49" i="82"/>
  <c r="BE49" i="82"/>
  <c r="AP49" i="82"/>
  <c r="BO49" i="82" s="1"/>
  <c r="AH49" i="82"/>
  <c r="BN49" i="82" s="1"/>
  <c r="Z49" i="82"/>
  <c r="BG49" i="82" s="1"/>
  <c r="R49" i="82"/>
  <c r="BF49" i="82" s="1"/>
  <c r="J49" i="82"/>
  <c r="BK48" i="82"/>
  <c r="BE48" i="82"/>
  <c r="AP48" i="82"/>
  <c r="BO48" i="82" s="1"/>
  <c r="AH48" i="82"/>
  <c r="BN48" i="82" s="1"/>
  <c r="Z48" i="82"/>
  <c r="BG48" i="82" s="1"/>
  <c r="R48" i="82"/>
  <c r="BF48" i="82" s="1"/>
  <c r="J48" i="82"/>
  <c r="BK47" i="82"/>
  <c r="BE47" i="82"/>
  <c r="AP47" i="82"/>
  <c r="BO47" i="82" s="1"/>
  <c r="AH47" i="82"/>
  <c r="BN47" i="82" s="1"/>
  <c r="Z47" i="82"/>
  <c r="BG47" i="82" s="1"/>
  <c r="R47" i="82"/>
  <c r="BF47" i="82" s="1"/>
  <c r="J47" i="82"/>
  <c r="BK46" i="82"/>
  <c r="BE46" i="82"/>
  <c r="AP46" i="82"/>
  <c r="BO46" i="82" s="1"/>
  <c r="AH46" i="82"/>
  <c r="BH46" i="82" s="1"/>
  <c r="Z46" i="82"/>
  <c r="BG46" i="82" s="1"/>
  <c r="R46" i="82"/>
  <c r="BF46" i="82" s="1"/>
  <c r="J46" i="82"/>
  <c r="BK45" i="82"/>
  <c r="BE45" i="82"/>
  <c r="AP45" i="82"/>
  <c r="BO45" i="82" s="1"/>
  <c r="AH45" i="82"/>
  <c r="BN45" i="82" s="1"/>
  <c r="Z45" i="82"/>
  <c r="BG45" i="82" s="1"/>
  <c r="R45" i="82"/>
  <c r="BF45" i="82" s="1"/>
  <c r="J45" i="82"/>
  <c r="BK44" i="82"/>
  <c r="BE44" i="82"/>
  <c r="AP44" i="82"/>
  <c r="BO44" i="82" s="1"/>
  <c r="AH44" i="82"/>
  <c r="BN44" i="82" s="1"/>
  <c r="Z44" i="82"/>
  <c r="BG44" i="82" s="1"/>
  <c r="R44" i="82"/>
  <c r="BF44" i="82" s="1"/>
  <c r="J44" i="82"/>
  <c r="BK43" i="82"/>
  <c r="BE43" i="82"/>
  <c r="AP43" i="82"/>
  <c r="BO43" i="82" s="1"/>
  <c r="AH43" i="82"/>
  <c r="BN43" i="82" s="1"/>
  <c r="Z43" i="82"/>
  <c r="BG43" i="82" s="1"/>
  <c r="R43" i="82"/>
  <c r="BF43" i="82" s="1"/>
  <c r="J43" i="82"/>
  <c r="BK42" i="82"/>
  <c r="BE42" i="82"/>
  <c r="AP42" i="82"/>
  <c r="BO42" i="82" s="1"/>
  <c r="AH42" i="82"/>
  <c r="BH42" i="82" s="1"/>
  <c r="Z42" i="82"/>
  <c r="BG42" i="82" s="1"/>
  <c r="R42" i="82"/>
  <c r="BF42" i="82" s="1"/>
  <c r="J42" i="82"/>
  <c r="BK41" i="82"/>
  <c r="BE41" i="82"/>
  <c r="AP41" i="82"/>
  <c r="BO41" i="82" s="1"/>
  <c r="Z41" i="82"/>
  <c r="BG41" i="82" s="1"/>
  <c r="R41" i="82"/>
  <c r="BF41" i="82" s="1"/>
  <c r="J41" i="82"/>
  <c r="BK40" i="82"/>
  <c r="BE40" i="82"/>
  <c r="AP40" i="82"/>
  <c r="BO40" i="82" s="1"/>
  <c r="Z40" i="82"/>
  <c r="BG40" i="82" s="1"/>
  <c r="R40" i="82"/>
  <c r="BF40" i="82" s="1"/>
  <c r="J40" i="82"/>
  <c r="BK39" i="82"/>
  <c r="BE39" i="82"/>
  <c r="AP39" i="82"/>
  <c r="BO39" i="82" s="1"/>
  <c r="Z39" i="82"/>
  <c r="BG39" i="82" s="1"/>
  <c r="R39" i="82"/>
  <c r="BL39" i="82" s="1"/>
  <c r="J39" i="82"/>
  <c r="BK38" i="82"/>
  <c r="BE38" i="82"/>
  <c r="AP38" i="82"/>
  <c r="BI38" i="82" s="1"/>
  <c r="Z38" i="82"/>
  <c r="BG38" i="82" s="1"/>
  <c r="R38" i="82"/>
  <c r="BF38" i="82" s="1"/>
  <c r="J38" i="82"/>
  <c r="BK37" i="82"/>
  <c r="BE37" i="82"/>
  <c r="AP37" i="82"/>
  <c r="BI37" i="82" s="1"/>
  <c r="Z37" i="82"/>
  <c r="BM37" i="82" s="1"/>
  <c r="R37" i="82"/>
  <c r="BL37" i="82" s="1"/>
  <c r="J37" i="82"/>
  <c r="BK36" i="82"/>
  <c r="BE36" i="82"/>
  <c r="AP36" i="82"/>
  <c r="BO36" i="82" s="1"/>
  <c r="Z36" i="82"/>
  <c r="BG36" i="82" s="1"/>
  <c r="R36" i="82"/>
  <c r="BL36" i="82" s="1"/>
  <c r="J36" i="82"/>
  <c r="BK35" i="82"/>
  <c r="BE35" i="82"/>
  <c r="AP35" i="82"/>
  <c r="BI35" i="82" s="1"/>
  <c r="Z35" i="82"/>
  <c r="BG35" i="82" s="1"/>
  <c r="R35" i="82"/>
  <c r="BL35" i="82" s="1"/>
  <c r="J35" i="82"/>
  <c r="BK34" i="82"/>
  <c r="BE34" i="82"/>
  <c r="AP34" i="82"/>
  <c r="BI34" i="82" s="1"/>
  <c r="Z34" i="82"/>
  <c r="BM34" i="82" s="1"/>
  <c r="R34" i="82"/>
  <c r="BL34" i="82" s="1"/>
  <c r="J34" i="82"/>
  <c r="AP33" i="82"/>
  <c r="BI33" i="82" s="1"/>
  <c r="R33" i="82"/>
  <c r="BL33" i="82" s="1"/>
  <c r="AP32" i="82"/>
  <c r="BO32" i="82" s="1"/>
  <c r="R32" i="82"/>
  <c r="BL32" i="82" s="1"/>
  <c r="AP31" i="82"/>
  <c r="BI31" i="82" s="1"/>
  <c r="R31" i="82"/>
  <c r="BL31" i="82" s="1"/>
  <c r="AP30" i="82"/>
  <c r="BO30" i="82" s="1"/>
  <c r="R30" i="82"/>
  <c r="BL30" i="82" s="1"/>
  <c r="AP29" i="82"/>
  <c r="BI29" i="82" s="1"/>
  <c r="R29" i="82"/>
  <c r="BF29" i="82" s="1"/>
  <c r="AP28" i="82"/>
  <c r="BI28" i="82" s="1"/>
  <c r="R28" i="82"/>
  <c r="BF28" i="82" s="1"/>
  <c r="AP27" i="82"/>
  <c r="BI27" i="82" s="1"/>
  <c r="R27" i="82"/>
  <c r="BF27" i="82" s="1"/>
  <c r="AP26" i="82"/>
  <c r="BO26" i="82" s="1"/>
  <c r="R26" i="82"/>
  <c r="BL26" i="82" s="1"/>
  <c r="BB25" i="82"/>
  <c r="AP25" i="82"/>
  <c r="BI25" i="82" s="1"/>
  <c r="R25" i="82"/>
  <c r="BF25" i="82" s="1"/>
  <c r="R24" i="82"/>
  <c r="BF24" i="82" s="1"/>
  <c r="E18" i="82"/>
  <c r="E19" i="82" s="1"/>
  <c r="E20" i="82" s="1"/>
  <c r="E21" i="82" s="1"/>
  <c r="E22" i="82" s="1"/>
  <c r="E23" i="82" s="1"/>
  <c r="E24" i="82" s="1"/>
  <c r="E25" i="82" s="1"/>
  <c r="E26" i="82" s="1"/>
  <c r="E27" i="82" s="1"/>
  <c r="E28" i="82" s="1"/>
  <c r="E29" i="82" s="1"/>
  <c r="E30" i="82" s="1"/>
  <c r="E31" i="82" s="1"/>
  <c r="E32" i="82" s="1"/>
  <c r="E33" i="82" s="1"/>
  <c r="E34" i="82" s="1"/>
  <c r="E35" i="82" s="1"/>
  <c r="E36" i="82" s="1"/>
  <c r="E37" i="82" s="1"/>
  <c r="E38" i="82" s="1"/>
  <c r="E39" i="82" s="1"/>
  <c r="E40" i="82" s="1"/>
  <c r="E41" i="82" s="1"/>
  <c r="E42" i="82" s="1"/>
  <c r="E43" i="82" s="1"/>
  <c r="E44" i="82" s="1"/>
  <c r="E45" i="82" s="1"/>
  <c r="E46" i="82" s="1"/>
  <c r="E47" i="82" s="1"/>
  <c r="E48" i="82" s="1"/>
  <c r="E49" i="82" s="1"/>
  <c r="E50" i="82" s="1"/>
  <c r="E51" i="82" s="1"/>
  <c r="E52" i="82" s="1"/>
  <c r="E53" i="82" s="1"/>
  <c r="E54" i="82" s="1"/>
  <c r="E55" i="82" s="1"/>
  <c r="E56" i="82" s="1"/>
  <c r="E57" i="82" s="1"/>
  <c r="E58" i="82" s="1"/>
  <c r="E59" i="82" s="1"/>
  <c r="E60" i="82" s="1"/>
  <c r="E61" i="82" s="1"/>
  <c r="E62" i="82" s="1"/>
  <c r="E63" i="82" s="1"/>
  <c r="E64" i="82" s="1"/>
  <c r="E65" i="82" s="1"/>
  <c r="E66" i="82" s="1"/>
  <c r="E67" i="82" s="1"/>
  <c r="E68" i="82" s="1"/>
  <c r="E69" i="82" s="1"/>
  <c r="E70" i="82" s="1"/>
  <c r="E71" i="82" s="1"/>
  <c r="E72" i="82" s="1"/>
  <c r="E73" i="82" s="1"/>
  <c r="E74" i="82" s="1"/>
  <c r="E75" i="82" s="1"/>
  <c r="E76" i="82" s="1"/>
  <c r="E77" i="82" s="1"/>
  <c r="E78" i="82" s="1"/>
  <c r="E79" i="82" s="1"/>
  <c r="E80" i="82" s="1"/>
  <c r="E81" i="82" s="1"/>
  <c r="E82" i="82" s="1"/>
  <c r="E83" i="82" s="1"/>
  <c r="E84" i="82" s="1"/>
  <c r="E85" i="82" s="1"/>
  <c r="E86" i="82" s="1"/>
  <c r="E87" i="82" s="1"/>
  <c r="E88" i="82" s="1"/>
  <c r="E89" i="82" s="1"/>
  <c r="E90" i="82" s="1"/>
  <c r="E91" i="82" s="1"/>
  <c r="E92" i="82" s="1"/>
  <c r="E93" i="82" s="1"/>
  <c r="E94" i="82" s="1"/>
  <c r="E95" i="82" s="1"/>
  <c r="E96" i="82" s="1"/>
  <c r="E97" i="82" s="1"/>
  <c r="E98" i="82" s="1"/>
  <c r="E99" i="82" s="1"/>
  <c r="E100" i="82" s="1"/>
  <c r="E101" i="82" s="1"/>
  <c r="E102" i="82" s="1"/>
  <c r="E103" i="82" s="1"/>
  <c r="E104" i="82" s="1"/>
  <c r="E105" i="82" s="1"/>
  <c r="E106" i="82" s="1"/>
  <c r="E107" i="82" s="1"/>
  <c r="E108" i="82" s="1"/>
  <c r="E109" i="82" s="1"/>
  <c r="E110" i="82" s="1"/>
  <c r="E111" i="82" s="1"/>
  <c r="E112" i="82" s="1"/>
  <c r="E113" i="82" s="1"/>
  <c r="E114" i="82" s="1"/>
  <c r="E115" i="82" s="1"/>
  <c r="E116" i="82" s="1"/>
  <c r="E117" i="82" s="1"/>
  <c r="E118" i="82" s="1"/>
  <c r="E119" i="82" s="1"/>
  <c r="E120" i="82" s="1"/>
  <c r="E121" i="82" s="1"/>
  <c r="E122" i="82" s="1"/>
  <c r="E123" i="82" s="1"/>
  <c r="E124" i="82" s="1"/>
  <c r="E125" i="82" s="1"/>
  <c r="E126" i="82" s="1"/>
  <c r="E127" i="82" s="1"/>
  <c r="E128" i="82" s="1"/>
  <c r="E129" i="82" s="1"/>
  <c r="E130" i="82" s="1"/>
  <c r="E131" i="82" s="1"/>
  <c r="E132" i="82" s="1"/>
  <c r="E133" i="82" s="1"/>
  <c r="E134" i="82" s="1"/>
  <c r="E135" i="82" s="1"/>
  <c r="E136" i="82" s="1"/>
  <c r="E137" i="82" s="1"/>
  <c r="E138" i="82" s="1"/>
  <c r="E139" i="82" s="1"/>
  <c r="E140" i="82" s="1"/>
  <c r="E141" i="82" s="1"/>
  <c r="E142" i="82" s="1"/>
  <c r="E143" i="82" s="1"/>
  <c r="E144" i="82" s="1"/>
  <c r="E145" i="82" s="1"/>
  <c r="E146" i="82" s="1"/>
  <c r="E147" i="82" s="1"/>
  <c r="E148" i="82" s="1"/>
  <c r="E149" i="82" s="1"/>
  <c r="E150" i="82" s="1"/>
  <c r="E151" i="82" s="1"/>
  <c r="E152" i="82" s="1"/>
  <c r="E153" i="82" s="1"/>
  <c r="E154" i="82" s="1"/>
  <c r="E155" i="82" s="1"/>
  <c r="E156" i="82" s="1"/>
  <c r="E157" i="82" s="1"/>
  <c r="E158" i="82" s="1"/>
  <c r="E159" i="82" s="1"/>
  <c r="E160" i="82" s="1"/>
  <c r="E161" i="82" s="1"/>
  <c r="E162" i="82" s="1"/>
  <c r="E163" i="82" s="1"/>
  <c r="E164" i="82" s="1"/>
  <c r="E165" i="82" s="1"/>
  <c r="E166" i="82" s="1"/>
  <c r="E167" i="82" s="1"/>
  <c r="E168" i="82" s="1"/>
  <c r="E169" i="82" s="1"/>
  <c r="E170" i="82" s="1"/>
  <c r="E171" i="82" s="1"/>
  <c r="E172" i="82" s="1"/>
  <c r="E173" i="82" s="1"/>
  <c r="E174" i="82" s="1"/>
  <c r="E175" i="82" s="1"/>
  <c r="E176" i="82" s="1"/>
  <c r="E177" i="82" s="1"/>
  <c r="E178" i="82" s="1"/>
  <c r="E179" i="82" s="1"/>
  <c r="E180" i="82" s="1"/>
  <c r="E181" i="82" s="1"/>
  <c r="E182" i="82" s="1"/>
  <c r="E183" i="82" s="1"/>
  <c r="E184" i="82" s="1"/>
  <c r="E185" i="82" s="1"/>
  <c r="E186" i="82" s="1"/>
  <c r="E187" i="82" s="1"/>
  <c r="E188" i="82" s="1"/>
  <c r="E189" i="82" s="1"/>
  <c r="E190" i="82" s="1"/>
  <c r="E191" i="82" s="1"/>
  <c r="E192" i="82" s="1"/>
  <c r="E193" i="82" s="1"/>
  <c r="E194" i="82" s="1"/>
  <c r="E195" i="82" s="1"/>
  <c r="E196" i="82" s="1"/>
  <c r="E197" i="82" s="1"/>
  <c r="E198" i="82" s="1"/>
  <c r="E199" i="82" s="1"/>
  <c r="E200" i="82" s="1"/>
  <c r="E201" i="82" s="1"/>
  <c r="E202" i="82" s="1"/>
  <c r="E203" i="82" s="1"/>
  <c r="E204" i="82" s="1"/>
  <c r="E205" i="82" s="1"/>
  <c r="E206" i="82" s="1"/>
  <c r="E207" i="82" s="1"/>
  <c r="E208" i="82" s="1"/>
  <c r="E209" i="82" s="1"/>
  <c r="E210" i="82" s="1"/>
  <c r="E211" i="82" s="1"/>
  <c r="E212" i="82" s="1"/>
  <c r="E213" i="82" s="1"/>
  <c r="E214" i="82" s="1"/>
  <c r="E215" i="82" s="1"/>
  <c r="E216" i="82" s="1"/>
  <c r="E217" i="82" s="1"/>
  <c r="E218" i="82" s="1"/>
  <c r="E219" i="82" s="1"/>
  <c r="E220" i="82" s="1"/>
  <c r="E221" i="82" s="1"/>
  <c r="E222" i="82" s="1"/>
  <c r="E223" i="82" s="1"/>
  <c r="E224" i="82" s="1"/>
  <c r="E225" i="82" s="1"/>
  <c r="E226" i="82" s="1"/>
  <c r="E227" i="82" s="1"/>
  <c r="E228" i="82" s="1"/>
  <c r="E229" i="82" s="1"/>
  <c r="E230" i="82" s="1"/>
  <c r="E231" i="82" s="1"/>
  <c r="E232" i="82" s="1"/>
  <c r="E233" i="82" s="1"/>
  <c r="E234" i="82" s="1"/>
  <c r="E235" i="82" s="1"/>
  <c r="E236" i="82" s="1"/>
  <c r="E237" i="82" s="1"/>
  <c r="E238" i="82" s="1"/>
  <c r="E239" i="82" s="1"/>
  <c r="E240" i="82" s="1"/>
  <c r="E241" i="82" s="1"/>
  <c r="E242" i="82" s="1"/>
  <c r="E243" i="82" s="1"/>
  <c r="E244" i="82" s="1"/>
  <c r="E245" i="82" s="1"/>
  <c r="E246" i="82" s="1"/>
  <c r="E247" i="82" s="1"/>
  <c r="E248" i="82" s="1"/>
  <c r="E249" i="82" s="1"/>
  <c r="E250" i="82" s="1"/>
  <c r="E251" i="82" s="1"/>
  <c r="E252" i="82" s="1"/>
  <c r="E253" i="82" s="1"/>
  <c r="E254" i="82" s="1"/>
  <c r="E255" i="82" s="1"/>
  <c r="E256" i="82" s="1"/>
  <c r="E257" i="82" s="1"/>
  <c r="E258" i="82" s="1"/>
  <c r="E259" i="82" s="1"/>
  <c r="E260" i="82" s="1"/>
  <c r="E261" i="82" s="1"/>
  <c r="E262" i="82" s="1"/>
  <c r="E263" i="82" s="1"/>
  <c r="E264" i="82" s="1"/>
  <c r="E265" i="82" s="1"/>
  <c r="E266" i="82" s="1"/>
  <c r="E267" i="82" s="1"/>
  <c r="E268" i="82" s="1"/>
  <c r="E269" i="82" s="1"/>
  <c r="E270" i="82" s="1"/>
  <c r="E271" i="82" s="1"/>
  <c r="E272" i="82" s="1"/>
  <c r="E273" i="82" s="1"/>
  <c r="E274" i="82" s="1"/>
  <c r="E275" i="82" s="1"/>
  <c r="E276" i="82" s="1"/>
  <c r="E277" i="82" s="1"/>
  <c r="E278" i="82" s="1"/>
  <c r="E279" i="82" s="1"/>
  <c r="E280" i="82" s="1"/>
  <c r="E281" i="82" s="1"/>
  <c r="E282" i="82" s="1"/>
  <c r="E283" i="82" s="1"/>
  <c r="E284" i="82" s="1"/>
  <c r="E285" i="82" s="1"/>
  <c r="E286" i="82" s="1"/>
  <c r="E287" i="82" s="1"/>
  <c r="E288" i="82" s="1"/>
  <c r="E289" i="82" s="1"/>
  <c r="E290" i="82" s="1"/>
  <c r="E291" i="82" s="1"/>
  <c r="E292" i="82" s="1"/>
  <c r="E293" i="82" s="1"/>
  <c r="E294" i="82" s="1"/>
  <c r="E295" i="82" s="1"/>
  <c r="E296" i="82" s="1"/>
  <c r="E297" i="82" s="1"/>
  <c r="E298" i="82" s="1"/>
  <c r="E299" i="82" s="1"/>
  <c r="E300" i="82" s="1"/>
  <c r="E301" i="82" s="1"/>
  <c r="E302" i="82" s="1"/>
  <c r="E303" i="82" s="1"/>
  <c r="E304" i="82" s="1"/>
  <c r="E305" i="82" s="1"/>
  <c r="E306" i="82" s="1"/>
  <c r="E307" i="82" s="1"/>
  <c r="E308" i="82" s="1"/>
  <c r="E309" i="82" s="1"/>
  <c r="E310" i="82" s="1"/>
  <c r="E311" i="82" s="1"/>
  <c r="E312" i="82" s="1"/>
  <c r="E313" i="82" s="1"/>
  <c r="E314" i="82" s="1"/>
  <c r="E315" i="82" s="1"/>
  <c r="E316" i="82" s="1"/>
  <c r="E317" i="82" s="1"/>
  <c r="E318" i="82" s="1"/>
  <c r="E319" i="82" s="1"/>
  <c r="E320" i="82" s="1"/>
  <c r="E321" i="82" s="1"/>
  <c r="E322" i="82" s="1"/>
  <c r="E323" i="82" s="1"/>
  <c r="E324" i="82" s="1"/>
  <c r="E325" i="82" s="1"/>
  <c r="E326" i="82" s="1"/>
  <c r="E327" i="82" s="1"/>
  <c r="E328" i="82" s="1"/>
  <c r="E329" i="82" s="1"/>
  <c r="E330" i="82" s="1"/>
  <c r="E331" i="82" s="1"/>
  <c r="E332" i="82" s="1"/>
  <c r="E333" i="82" s="1"/>
  <c r="E334" i="82" s="1"/>
  <c r="E335" i="82" s="1"/>
  <c r="E336" i="82" s="1"/>
  <c r="E337" i="82" s="1"/>
  <c r="E338" i="82" s="1"/>
  <c r="E339" i="82" s="1"/>
  <c r="E340" i="82" s="1"/>
  <c r="E341" i="82" s="1"/>
  <c r="E342" i="82" s="1"/>
  <c r="E343" i="82" s="1"/>
  <c r="E344" i="82" s="1"/>
  <c r="E345" i="82" s="1"/>
  <c r="E346" i="82" s="1"/>
  <c r="E347" i="82" s="1"/>
  <c r="E348" i="82" s="1"/>
  <c r="E349" i="82" s="1"/>
  <c r="E350" i="82" s="1"/>
  <c r="E351" i="82" s="1"/>
  <c r="E352" i="82" s="1"/>
  <c r="E353" i="82" s="1"/>
  <c r="E354" i="82" s="1"/>
  <c r="E355" i="82" s="1"/>
  <c r="E356" i="82" s="1"/>
  <c r="E357" i="82" s="1"/>
  <c r="E358" i="82" s="1"/>
  <c r="E359" i="82" s="1"/>
  <c r="E360" i="82" s="1"/>
  <c r="E361" i="82" s="1"/>
  <c r="E362" i="82" s="1"/>
  <c r="E363" i="82" s="1"/>
  <c r="E364" i="82" s="1"/>
  <c r="E365" i="82" s="1"/>
  <c r="E366" i="82" s="1"/>
  <c r="E367" i="82" s="1"/>
  <c r="E368" i="82" s="1"/>
  <c r="E369" i="82" s="1"/>
  <c r="E370" i="82" s="1"/>
  <c r="E371" i="82" s="1"/>
  <c r="E372" i="82" s="1"/>
  <c r="E373" i="82" s="1"/>
  <c r="E374" i="82" s="1"/>
  <c r="E375" i="82" s="1"/>
  <c r="E376" i="82" s="1"/>
  <c r="E377" i="82" s="1"/>
  <c r="E378" i="82" s="1"/>
  <c r="E379" i="82" s="1"/>
  <c r="E380" i="82" s="1"/>
  <c r="E381" i="82" s="1"/>
  <c r="E382" i="82" s="1"/>
  <c r="E383" i="82" s="1"/>
  <c r="E384" i="82" s="1"/>
  <c r="E385" i="82" s="1"/>
  <c r="E386" i="82" s="1"/>
  <c r="E387" i="82" s="1"/>
  <c r="E388" i="82" s="1"/>
  <c r="E389" i="82" s="1"/>
  <c r="E390" i="82" s="1"/>
  <c r="E391" i="82" s="1"/>
  <c r="E392" i="82" s="1"/>
  <c r="E393" i="82" s="1"/>
  <c r="E394" i="82" s="1"/>
  <c r="E395" i="82" s="1"/>
  <c r="E396" i="82" s="1"/>
  <c r="E397" i="82" s="1"/>
  <c r="E398" i="82" s="1"/>
  <c r="E399" i="82" s="1"/>
  <c r="E400" i="82" s="1"/>
  <c r="E401" i="82" s="1"/>
  <c r="E402" i="82" s="1"/>
  <c r="E403" i="82" s="1"/>
  <c r="E404" i="82" s="1"/>
  <c r="E405" i="82" s="1"/>
  <c r="E406" i="82" s="1"/>
  <c r="E407" i="82" s="1"/>
  <c r="E408" i="82" s="1"/>
  <c r="E409" i="82" s="1"/>
  <c r="E410" i="82" s="1"/>
  <c r="E411" i="82" s="1"/>
  <c r="E412" i="82" s="1"/>
  <c r="E413" i="82" s="1"/>
  <c r="E414" i="82" s="1"/>
  <c r="E415" i="82" s="1"/>
  <c r="E416" i="82" s="1"/>
  <c r="E417" i="82" s="1"/>
  <c r="E418" i="82" s="1"/>
  <c r="E419" i="82" s="1"/>
  <c r="E420" i="82" s="1"/>
  <c r="E421" i="82" s="1"/>
  <c r="E422" i="82" s="1"/>
  <c r="E423" i="82" s="1"/>
  <c r="E424" i="82" s="1"/>
  <c r="E425" i="82" s="1"/>
  <c r="E426" i="82" s="1"/>
  <c r="E427" i="82" s="1"/>
  <c r="E428" i="82" s="1"/>
  <c r="E429" i="82" s="1"/>
  <c r="E430" i="82" s="1"/>
  <c r="E431" i="82" s="1"/>
  <c r="E432" i="82" s="1"/>
  <c r="E433" i="82" s="1"/>
  <c r="E434" i="82" s="1"/>
  <c r="E435" i="82" s="1"/>
  <c r="E436" i="82" s="1"/>
  <c r="E437" i="82" s="1"/>
  <c r="E438" i="82" s="1"/>
  <c r="E439" i="82" s="1"/>
  <c r="E440" i="82" s="1"/>
  <c r="E441" i="82" s="1"/>
  <c r="E442" i="82" s="1"/>
  <c r="E443" i="82" s="1"/>
  <c r="E444" i="82" s="1"/>
  <c r="E445" i="82" s="1"/>
  <c r="E446" i="82" s="1"/>
  <c r="E447" i="82" s="1"/>
  <c r="E448" i="82" s="1"/>
  <c r="E449" i="82" s="1"/>
  <c r="E450" i="82" s="1"/>
  <c r="E451" i="82" s="1"/>
  <c r="E452" i="82" s="1"/>
  <c r="E453" i="82" s="1"/>
  <c r="E454" i="82" s="1"/>
  <c r="E455" i="82" s="1"/>
  <c r="E456" i="82" s="1"/>
  <c r="E457" i="82" s="1"/>
  <c r="E458" i="82" s="1"/>
  <c r="E459" i="82" s="1"/>
  <c r="E460" i="82" s="1"/>
  <c r="E461" i="82" s="1"/>
  <c r="E462" i="82" s="1"/>
  <c r="E463" i="82" s="1"/>
  <c r="E464" i="82" s="1"/>
  <c r="E465" i="82" s="1"/>
  <c r="E466" i="82" s="1"/>
  <c r="E467" i="82" s="1"/>
  <c r="E468" i="82" s="1"/>
  <c r="E469" i="82" s="1"/>
  <c r="E470" i="82" s="1"/>
  <c r="E471" i="82" s="1"/>
  <c r="E472" i="82" s="1"/>
  <c r="E473" i="82" s="1"/>
  <c r="E474" i="82" s="1"/>
  <c r="E475" i="82" s="1"/>
  <c r="E476" i="82" s="1"/>
  <c r="E477" i="82" s="1"/>
  <c r="E478" i="82" s="1"/>
  <c r="E479" i="82" s="1"/>
  <c r="E480" i="82" s="1"/>
  <c r="E481" i="82" s="1"/>
  <c r="E482" i="82" s="1"/>
  <c r="E483" i="82" s="1"/>
  <c r="E484" i="82" s="1"/>
  <c r="E485" i="82" s="1"/>
  <c r="E486" i="82" s="1"/>
  <c r="E487" i="82" s="1"/>
  <c r="E488" i="82" s="1"/>
  <c r="E489" i="82" s="1"/>
  <c r="E490" i="82" s="1"/>
  <c r="E491" i="82" s="1"/>
  <c r="E492" i="82" s="1"/>
  <c r="E493" i="82" s="1"/>
  <c r="E494" i="82" s="1"/>
  <c r="E495" i="82" s="1"/>
  <c r="E496" i="82" s="1"/>
  <c r="E497" i="82" s="1"/>
  <c r="E498" i="82" s="1"/>
  <c r="E499" i="82" s="1"/>
  <c r="E500" i="82" s="1"/>
  <c r="E501" i="82" s="1"/>
  <c r="E502" i="82" s="1"/>
  <c r="E503" i="82" s="1"/>
  <c r="E504" i="82" s="1"/>
  <c r="E505" i="82" s="1"/>
  <c r="E506" i="82" s="1"/>
  <c r="E507" i="82" s="1"/>
  <c r="E508" i="82" s="1"/>
  <c r="E509" i="82" s="1"/>
  <c r="E510" i="82" s="1"/>
  <c r="E511" i="82" s="1"/>
  <c r="E512" i="82" s="1"/>
  <c r="E513" i="82" s="1"/>
  <c r="E514" i="82" s="1"/>
  <c r="E515" i="82" s="1"/>
  <c r="E516" i="82" s="1"/>
  <c r="E517" i="82" s="1"/>
  <c r="E518" i="82" s="1"/>
  <c r="E519" i="82" s="1"/>
  <c r="E520" i="82" s="1"/>
  <c r="E521" i="82" s="1"/>
  <c r="E522" i="82" s="1"/>
  <c r="E523" i="82" s="1"/>
  <c r="E524" i="82" s="1"/>
  <c r="E525" i="82" s="1"/>
  <c r="E526" i="82" s="1"/>
  <c r="E527" i="82" s="1"/>
  <c r="E528" i="82" s="1"/>
  <c r="E529" i="82" s="1"/>
  <c r="AO17" i="82" a="1"/>
  <c r="AO17" i="82" s="1"/>
  <c r="AN17" i="82" a="1"/>
  <c r="AP21" i="82" s="1"/>
  <c r="BO21" i="82" s="1"/>
  <c r="AM17" i="82" a="1"/>
  <c r="AM17" i="82" s="1"/>
  <c r="AL17" i="82" a="1"/>
  <c r="AG17" i="82" a="1"/>
  <c r="AG17" i="82" s="1"/>
  <c r="AF17" i="82" a="1"/>
  <c r="AE17" i="82" a="1"/>
  <c r="AE17" i="82" s="1"/>
  <c r="AD17" i="82" a="1"/>
  <c r="AD17" i="82" s="1"/>
  <c r="Y17" i="82" a="1"/>
  <c r="Y17" i="82" s="1"/>
  <c r="X17" i="82" a="1"/>
  <c r="Z25" i="82" s="1"/>
  <c r="W17" i="82" a="1"/>
  <c r="W17" i="82" s="1"/>
  <c r="V17" i="82" a="1"/>
  <c r="Q17" i="82" a="1"/>
  <c r="Q17" i="82" s="1"/>
  <c r="P17" i="82" a="1"/>
  <c r="R22" i="82" s="1"/>
  <c r="O17" i="82" a="1"/>
  <c r="O17" i="82" s="1"/>
  <c r="N17" i="82" a="1"/>
  <c r="N17" i="82" s="1"/>
  <c r="I17" i="82" a="1"/>
  <c r="I17" i="82" s="1"/>
  <c r="AW29" i="82" s="1"/>
  <c r="H17" i="82" a="1"/>
  <c r="H17" i="82" s="1"/>
  <c r="G17" i="82" a="1"/>
  <c r="G17" i="82" s="1"/>
  <c r="F17" i="82" a="1"/>
  <c r="AL15" i="82"/>
  <c r="AE15" i="82"/>
  <c r="AM15" i="82" s="1"/>
  <c r="AD15" i="82"/>
  <c r="W15" i="82"/>
  <c r="V15" i="82"/>
  <c r="N15" i="82"/>
  <c r="AC1" i="82"/>
  <c r="AK1" i="82" s="1"/>
  <c r="AO17" i="79" a="1"/>
  <c r="AO17" i="79" s="1"/>
  <c r="AN17" i="79" a="1"/>
  <c r="AN17" i="79" s="1"/>
  <c r="AM17" i="79" a="1"/>
  <c r="AM17" i="79" s="1"/>
  <c r="AL17" i="79" a="1"/>
  <c r="AL17" i="79" s="1"/>
  <c r="AG17" i="79" a="1"/>
  <c r="AG17" i="79" s="1"/>
  <c r="AF17" i="79" a="1"/>
  <c r="AF17" i="79" s="1"/>
  <c r="AE17" i="79" a="1"/>
  <c r="AE17" i="79" s="1"/>
  <c r="AD17" i="79" a="1"/>
  <c r="AD17" i="79" s="1"/>
  <c r="Y17" i="79" a="1"/>
  <c r="Y17" i="79" s="1"/>
  <c r="X17" i="79" a="1"/>
  <c r="X17" i="79" s="1"/>
  <c r="W17" i="79" a="1"/>
  <c r="W17" i="79" s="1"/>
  <c r="V17" i="79" a="1"/>
  <c r="V17" i="79" s="1"/>
  <c r="Q17" i="79" a="1"/>
  <c r="Q17" i="79" s="1"/>
  <c r="P17" i="79" a="1"/>
  <c r="P17" i="79" s="1"/>
  <c r="O17" i="79" a="1"/>
  <c r="O17" i="79" s="1"/>
  <c r="N17" i="79" a="1"/>
  <c r="N17" i="79" s="1"/>
  <c r="I17" i="79" a="1"/>
  <c r="I17" i="79" s="1"/>
  <c r="H17" i="79" a="1"/>
  <c r="H17" i="79" s="1"/>
  <c r="G17" i="79" a="1"/>
  <c r="G17" i="79" s="1"/>
  <c r="F17" i="79" a="1"/>
  <c r="F17" i="79" s="1"/>
  <c r="F15" i="79" s="1"/>
  <c r="AH37" i="84" l="1"/>
  <c r="BN37" i="84" s="1"/>
  <c r="AH34" i="83"/>
  <c r="BH34" i="83" s="1"/>
  <c r="AH39" i="83"/>
  <c r="BH39" i="83" s="1"/>
  <c r="AH36" i="84"/>
  <c r="BH36" i="84" s="1"/>
  <c r="AH36" i="83"/>
  <c r="BN36" i="83" s="1"/>
  <c r="AH35" i="84"/>
  <c r="BN35" i="84" s="1"/>
  <c r="AH41" i="83"/>
  <c r="BH41" i="83" s="1"/>
  <c r="AH34" i="84"/>
  <c r="BN34" i="84" s="1"/>
  <c r="AH38" i="83"/>
  <c r="BN38" i="83" s="1"/>
  <c r="AH41" i="84"/>
  <c r="BN41" i="84" s="1"/>
  <c r="AH35" i="83"/>
  <c r="BH35" i="83" s="1"/>
  <c r="AH40" i="84"/>
  <c r="BN40" i="84" s="1"/>
  <c r="AH40" i="83"/>
  <c r="BH40" i="83" s="1"/>
  <c r="AH39" i="84"/>
  <c r="BN39" i="84" s="1"/>
  <c r="AH37" i="83"/>
  <c r="BN37" i="83" s="1"/>
  <c r="AH38" i="84"/>
  <c r="BN38" i="84" s="1"/>
  <c r="R23" i="83"/>
  <c r="BF23" i="83" s="1"/>
  <c r="R23" i="82"/>
  <c r="BF23" i="82" s="1"/>
  <c r="Z33" i="82"/>
  <c r="BM33" i="82" s="1"/>
  <c r="Z33" i="83"/>
  <c r="BG33" i="83" s="1"/>
  <c r="AH33" i="83"/>
  <c r="BN33" i="83" s="1"/>
  <c r="Z33" i="84"/>
  <c r="BM33" i="84" s="1"/>
  <c r="AP24" i="82"/>
  <c r="BI24" i="82" s="1"/>
  <c r="AP24" i="84"/>
  <c r="BI24" i="84" s="1"/>
  <c r="Z31" i="82"/>
  <c r="BG31" i="82" s="1"/>
  <c r="AH32" i="83"/>
  <c r="BN32" i="83" s="1"/>
  <c r="AH30" i="83"/>
  <c r="BN30" i="83" s="1"/>
  <c r="Z32" i="82"/>
  <c r="BG32" i="82" s="1"/>
  <c r="AP23" i="82"/>
  <c r="BI23" i="82" s="1"/>
  <c r="AP22" i="82"/>
  <c r="BI22" i="82" s="1"/>
  <c r="AP22" i="84"/>
  <c r="BO22" i="84" s="1"/>
  <c r="BI253" i="82"/>
  <c r="AP21" i="84"/>
  <c r="BO21" i="84" s="1"/>
  <c r="AP23" i="84"/>
  <c r="BI23" i="84" s="1"/>
  <c r="BN367" i="82"/>
  <c r="BF379" i="83"/>
  <c r="BI368" i="82"/>
  <c r="BF381" i="83"/>
  <c r="BO490" i="83"/>
  <c r="BI256" i="82"/>
  <c r="BN182" i="83"/>
  <c r="BF346" i="83"/>
  <c r="BO512" i="84"/>
  <c r="BG254" i="82"/>
  <c r="BH399" i="83"/>
  <c r="BG255" i="82"/>
  <c r="BG511" i="83"/>
  <c r="BI320" i="84"/>
  <c r="BO503" i="84"/>
  <c r="BO509" i="84"/>
  <c r="BL318" i="83"/>
  <c r="BO121" i="83"/>
  <c r="BI128" i="83"/>
  <c r="BL344" i="83"/>
  <c r="BN332" i="82"/>
  <c r="BN306" i="82"/>
  <c r="BF443" i="82"/>
  <c r="BF203" i="82"/>
  <c r="BN339" i="82"/>
  <c r="BI347" i="82"/>
  <c r="BN489" i="84"/>
  <c r="BG526" i="84"/>
  <c r="BG527" i="84"/>
  <c r="BH65" i="82"/>
  <c r="BL336" i="83"/>
  <c r="BI378" i="83"/>
  <c r="BI380" i="83"/>
  <c r="BH228" i="83"/>
  <c r="BM448" i="82"/>
  <c r="BO107" i="83"/>
  <c r="BN227" i="83"/>
  <c r="BM396" i="82"/>
  <c r="BO446" i="82"/>
  <c r="BH156" i="83"/>
  <c r="BF157" i="83"/>
  <c r="BH184" i="83"/>
  <c r="BI266" i="84"/>
  <c r="BM96" i="83"/>
  <c r="BN183" i="83"/>
  <c r="BI507" i="84"/>
  <c r="BN510" i="84"/>
  <c r="BN226" i="82"/>
  <c r="BH296" i="82"/>
  <c r="BN224" i="83"/>
  <c r="BO315" i="83"/>
  <c r="BH487" i="83"/>
  <c r="BH498" i="83"/>
  <c r="BN295" i="83"/>
  <c r="BH318" i="84"/>
  <c r="BG336" i="84"/>
  <c r="BM502" i="84"/>
  <c r="BI523" i="84"/>
  <c r="BO162" i="83"/>
  <c r="BG267" i="83"/>
  <c r="BH268" i="83"/>
  <c r="BN367" i="83"/>
  <c r="BG514" i="83"/>
  <c r="BN433" i="84"/>
  <c r="BL434" i="84"/>
  <c r="BL443" i="84"/>
  <c r="BI64" i="82"/>
  <c r="BF239" i="82"/>
  <c r="BN241" i="82"/>
  <c r="BM442" i="82"/>
  <c r="BL488" i="82"/>
  <c r="BM489" i="82"/>
  <c r="BL490" i="82"/>
  <c r="BL491" i="82"/>
  <c r="BL500" i="82"/>
  <c r="BM38" i="83"/>
  <c r="BO495" i="83"/>
  <c r="BN243" i="84"/>
  <c r="BN336" i="82"/>
  <c r="BF390" i="82"/>
  <c r="BI452" i="82"/>
  <c r="BL46" i="83"/>
  <c r="BM88" i="83"/>
  <c r="BM106" i="83"/>
  <c r="BF238" i="83"/>
  <c r="BF239" i="83"/>
  <c r="BF240" i="83"/>
  <c r="BF474" i="83"/>
  <c r="BG232" i="84"/>
  <c r="BI200" i="82"/>
  <c r="BI201" i="82"/>
  <c r="BI202" i="82"/>
  <c r="BL87" i="84"/>
  <c r="BI43" i="82"/>
  <c r="BH44" i="82"/>
  <c r="BN372" i="82"/>
  <c r="BG475" i="82"/>
  <c r="BL77" i="83"/>
  <c r="BF314" i="83"/>
  <c r="BF315" i="83"/>
  <c r="BF334" i="83"/>
  <c r="BH84" i="84"/>
  <c r="BH107" i="82"/>
  <c r="BG108" i="82"/>
  <c r="BF187" i="82"/>
  <c r="BO189" i="82"/>
  <c r="BI203" i="82"/>
  <c r="BO224" i="82"/>
  <c r="BF439" i="82"/>
  <c r="BN45" i="83"/>
  <c r="BG126" i="83"/>
  <c r="BH153" i="83"/>
  <c r="BG154" i="83"/>
  <c r="BH157" i="83"/>
  <c r="BH169" i="83"/>
  <c r="BH208" i="83"/>
  <c r="BH218" i="83"/>
  <c r="BN278" i="83"/>
  <c r="BL279" i="83"/>
  <c r="BH291" i="83"/>
  <c r="BO332" i="83"/>
  <c r="BO344" i="83"/>
  <c r="BO345" i="83"/>
  <c r="BF348" i="83"/>
  <c r="BN350" i="83"/>
  <c r="BM351" i="83"/>
  <c r="BI360" i="83"/>
  <c r="BI375" i="83"/>
  <c r="BO377" i="83"/>
  <c r="BG432" i="83"/>
  <c r="BG433" i="83"/>
  <c r="BI443" i="83"/>
  <c r="BI445" i="83"/>
  <c r="BH481" i="83"/>
  <c r="BN158" i="84"/>
  <c r="BH177" i="84"/>
  <c r="BN205" i="84"/>
  <c r="BI341" i="84"/>
  <c r="BI350" i="84"/>
  <c r="BG351" i="84"/>
  <c r="BG352" i="84"/>
  <c r="BH476" i="84"/>
  <c r="BG486" i="84"/>
  <c r="BI39" i="82"/>
  <c r="BI40" i="82"/>
  <c r="BI104" i="82"/>
  <c r="BG105" i="82"/>
  <c r="BI132" i="82"/>
  <c r="BG133" i="82"/>
  <c r="BH379" i="82"/>
  <c r="BI380" i="82"/>
  <c r="BO430" i="82"/>
  <c r="BI507" i="82"/>
  <c r="BN58" i="83"/>
  <c r="BG124" i="83"/>
  <c r="BG143" i="83"/>
  <c r="BG178" i="83"/>
  <c r="BN207" i="83"/>
  <c r="BH246" i="83"/>
  <c r="BH289" i="83"/>
  <c r="BO330" i="83"/>
  <c r="BO346" i="83"/>
  <c r="BN347" i="83"/>
  <c r="BI358" i="83"/>
  <c r="BO374" i="83"/>
  <c r="BO442" i="83"/>
  <c r="BI446" i="83"/>
  <c r="BI447" i="83"/>
  <c r="BF449" i="83"/>
  <c r="BF42" i="84"/>
  <c r="BF43" i="84"/>
  <c r="BL99" i="84"/>
  <c r="BH155" i="84"/>
  <c r="BN176" i="84"/>
  <c r="BN230" i="84"/>
  <c r="BH302" i="84"/>
  <c r="BN475" i="84"/>
  <c r="BO38" i="82"/>
  <c r="BG238" i="82"/>
  <c r="BI376" i="82"/>
  <c r="BI516" i="82"/>
  <c r="BG517" i="82"/>
  <c r="BF54" i="83"/>
  <c r="BF190" i="83"/>
  <c r="BF204" i="83"/>
  <c r="BG215" i="83"/>
  <c r="BO219" i="83"/>
  <c r="BH274" i="83"/>
  <c r="BL288" i="83"/>
  <c r="BN406" i="83"/>
  <c r="BG449" i="83"/>
  <c r="BI467" i="83"/>
  <c r="BG468" i="83"/>
  <c r="BF469" i="83"/>
  <c r="BF489" i="83"/>
  <c r="BF125" i="84"/>
  <c r="BF126" i="84"/>
  <c r="BF128" i="84"/>
  <c r="BF129" i="84"/>
  <c r="BF130" i="84"/>
  <c r="BF132" i="84"/>
  <c r="BN135" i="84"/>
  <c r="BH164" i="84"/>
  <c r="BH173" i="84"/>
  <c r="BI265" i="84"/>
  <c r="BL421" i="84"/>
  <c r="BO484" i="84"/>
  <c r="BF516" i="84"/>
  <c r="BF519" i="84"/>
  <c r="BM523" i="84"/>
  <c r="BF173" i="82"/>
  <c r="BM176" i="82"/>
  <c r="BO211" i="82"/>
  <c r="BN237" i="82"/>
  <c r="BG328" i="82"/>
  <c r="BN389" i="82"/>
  <c r="BO391" i="82"/>
  <c r="BM392" i="82"/>
  <c r="BO393" i="82"/>
  <c r="BN403" i="82"/>
  <c r="BG453" i="82"/>
  <c r="BG462" i="82"/>
  <c r="BG463" i="82"/>
  <c r="BM505" i="82"/>
  <c r="BN52" i="83"/>
  <c r="BL53" i="83"/>
  <c r="BN55" i="83"/>
  <c r="BN101" i="83"/>
  <c r="BG165" i="83"/>
  <c r="BH192" i="83"/>
  <c r="BN233" i="83"/>
  <c r="BH285" i="83"/>
  <c r="BF323" i="83"/>
  <c r="BM327" i="83"/>
  <c r="BI366" i="83"/>
  <c r="BM447" i="83"/>
  <c r="BG465" i="83"/>
  <c r="BH58" i="84"/>
  <c r="BO69" i="84"/>
  <c r="BL127" i="84"/>
  <c r="BL131" i="84"/>
  <c r="BH132" i="84"/>
  <c r="BF142" i="84"/>
  <c r="BN227" i="84"/>
  <c r="BN284" i="84"/>
  <c r="BM410" i="84"/>
  <c r="BG418" i="84"/>
  <c r="BG495" i="84"/>
  <c r="BG496" i="84"/>
  <c r="BM515" i="84"/>
  <c r="BI516" i="84"/>
  <c r="BO518" i="84"/>
  <c r="BI519" i="84"/>
  <c r="BI58" i="82"/>
  <c r="BI171" i="82"/>
  <c r="BM174" i="82"/>
  <c r="BI193" i="82"/>
  <c r="BG194" i="82"/>
  <c r="BI229" i="82"/>
  <c r="BN231" i="82"/>
  <c r="BF232" i="82"/>
  <c r="BG279" i="82"/>
  <c r="BN327" i="82"/>
  <c r="BI386" i="82"/>
  <c r="BF446" i="82"/>
  <c r="BI502" i="82"/>
  <c r="BM514" i="82"/>
  <c r="BL30" i="83"/>
  <c r="BI111" i="83"/>
  <c r="BN188" i="83"/>
  <c r="BN190" i="83"/>
  <c r="BN191" i="83"/>
  <c r="BG283" i="83"/>
  <c r="BG298" i="83"/>
  <c r="BO325" i="83"/>
  <c r="BF369" i="83"/>
  <c r="BF393" i="83"/>
  <c r="BH499" i="83"/>
  <c r="BF85" i="84"/>
  <c r="BH120" i="84"/>
  <c r="BF121" i="84"/>
  <c r="BF122" i="84"/>
  <c r="BN143" i="84"/>
  <c r="BF182" i="84"/>
  <c r="BF183" i="84"/>
  <c r="BF185" i="84"/>
  <c r="BF189" i="84"/>
  <c r="BF190" i="84"/>
  <c r="BF191" i="84"/>
  <c r="BN282" i="84"/>
  <c r="BO319" i="84"/>
  <c r="BH366" i="84"/>
  <c r="BM455" i="84"/>
  <c r="U17" i="82" a="1"/>
  <c r="U17" i="82" s="1"/>
  <c r="U15" i="82" s="1"/>
  <c r="BH47" i="82"/>
  <c r="BI56" i="82"/>
  <c r="BG217" i="82"/>
  <c r="BO231" i="82"/>
  <c r="BG232" i="82"/>
  <c r="BF233" i="82"/>
  <c r="BG276" i="82"/>
  <c r="BO278" i="82"/>
  <c r="BH279" i="82"/>
  <c r="BG280" i="82"/>
  <c r="BH281" i="82"/>
  <c r="BF282" i="82"/>
  <c r="BG337" i="82"/>
  <c r="BG338" i="82"/>
  <c r="BG339" i="82"/>
  <c r="BN359" i="82"/>
  <c r="BH368" i="82"/>
  <c r="BH371" i="82"/>
  <c r="BG446" i="82"/>
  <c r="BF449" i="82"/>
  <c r="BM480" i="82"/>
  <c r="BM80" i="83"/>
  <c r="BM110" i="83"/>
  <c r="BG161" i="83"/>
  <c r="BN174" i="83"/>
  <c r="BO193" i="83"/>
  <c r="BF226" i="83"/>
  <c r="BG259" i="83"/>
  <c r="BH270" i="83"/>
  <c r="BI298" i="83"/>
  <c r="BM321" i="83"/>
  <c r="BN366" i="83"/>
  <c r="BM367" i="83"/>
  <c r="BF150" i="84"/>
  <c r="BN184" i="84"/>
  <c r="BH185" i="84"/>
  <c r="BF186" i="84"/>
  <c r="BF187" i="84"/>
  <c r="BG261" i="84"/>
  <c r="BF315" i="84"/>
  <c r="BM365" i="84"/>
  <c r="BI366" i="84"/>
  <c r="BG491" i="84"/>
  <c r="BH492" i="84"/>
  <c r="BM511" i="84"/>
  <c r="BF32" i="82"/>
  <c r="BG206" i="82"/>
  <c r="BF245" i="82"/>
  <c r="BG258" i="82"/>
  <c r="BO29" i="84"/>
  <c r="BF64" i="84"/>
  <c r="BI234" i="84"/>
  <c r="BN505" i="84"/>
  <c r="BO506" i="84"/>
  <c r="BH117" i="82"/>
  <c r="F17" i="83"/>
  <c r="BN129" i="82"/>
  <c r="BH129" i="82"/>
  <c r="BO27" i="82"/>
  <c r="BH43" i="82"/>
  <c r="BH56" i="82"/>
  <c r="BH101" i="82"/>
  <c r="BO103" i="82"/>
  <c r="BH105" i="82"/>
  <c r="BI107" i="82"/>
  <c r="BF108" i="82"/>
  <c r="BN42" i="82"/>
  <c r="BN55" i="82"/>
  <c r="BI66" i="82"/>
  <c r="BN100" i="82"/>
  <c r="BN127" i="82"/>
  <c r="BH127" i="82"/>
  <c r="BN58" i="82"/>
  <c r="BH59" i="82"/>
  <c r="BH61" i="82"/>
  <c r="BN74" i="82"/>
  <c r="BG75" i="82"/>
  <c r="BF81" i="82"/>
  <c r="BG97" i="82"/>
  <c r="BH116" i="82"/>
  <c r="BI127" i="82"/>
  <c r="BO127" i="82"/>
  <c r="BL25" i="82"/>
  <c r="BI59" i="82"/>
  <c r="BN66" i="82"/>
  <c r="BH67" i="82"/>
  <c r="BF71" i="82"/>
  <c r="BO74" i="82"/>
  <c r="BF77" i="82"/>
  <c r="BF78" i="82"/>
  <c r="BF79" i="82"/>
  <c r="BG81" i="82"/>
  <c r="BF82" i="82"/>
  <c r="BG91" i="82"/>
  <c r="BG93" i="82"/>
  <c r="BF117" i="82"/>
  <c r="BO126" i="82"/>
  <c r="BI126" i="82"/>
  <c r="BI67" i="82"/>
  <c r="BG68" i="82"/>
  <c r="BG69" i="82"/>
  <c r="BO75" i="82"/>
  <c r="BN76" i="82"/>
  <c r="BN92" i="82"/>
  <c r="BH93" i="82"/>
  <c r="BG94" i="82"/>
  <c r="BO116" i="82"/>
  <c r="BG117" i="82"/>
  <c r="BO125" i="82"/>
  <c r="BI125" i="82"/>
  <c r="AH29" i="83"/>
  <c r="BN29" i="83" s="1"/>
  <c r="AF17" i="83"/>
  <c r="AH15" i="83" s="1"/>
  <c r="AI509" i="83" s="1"/>
  <c r="BO367" i="82"/>
  <c r="BL419" i="82"/>
  <c r="BL420" i="82"/>
  <c r="BM422" i="82"/>
  <c r="BM72" i="83"/>
  <c r="BG131" i="83"/>
  <c r="BG203" i="83"/>
  <c r="BO208" i="83"/>
  <c r="BF250" i="83"/>
  <c r="BG299" i="83"/>
  <c r="BI300" i="83"/>
  <c r="BL322" i="83"/>
  <c r="BN326" i="83"/>
  <c r="BO396" i="83"/>
  <c r="BH397" i="83"/>
  <c r="BG402" i="83"/>
  <c r="BG403" i="83"/>
  <c r="BH507" i="83"/>
  <c r="BG508" i="83"/>
  <c r="BI510" i="83"/>
  <c r="BO27" i="84"/>
  <c r="BF31" i="84"/>
  <c r="BH48" i="84"/>
  <c r="BH72" i="84"/>
  <c r="BH73" i="84"/>
  <c r="BF74" i="84"/>
  <c r="BF75" i="84"/>
  <c r="BF76" i="84"/>
  <c r="BF77" i="84"/>
  <c r="BF78" i="84"/>
  <c r="BH93" i="84"/>
  <c r="BF94" i="84"/>
  <c r="BH97" i="84"/>
  <c r="BF98" i="84"/>
  <c r="BF100" i="84"/>
  <c r="BF101" i="84"/>
  <c r="BF113" i="84"/>
  <c r="BF114" i="84"/>
  <c r="BN180" i="84"/>
  <c r="BH181" i="84"/>
  <c r="BH314" i="84"/>
  <c r="BL427" i="84"/>
  <c r="BO491" i="84"/>
  <c r="BH160" i="82"/>
  <c r="BG190" i="82"/>
  <c r="BF191" i="82"/>
  <c r="BG192" i="82"/>
  <c r="BF193" i="82"/>
  <c r="BG204" i="82"/>
  <c r="BH312" i="82"/>
  <c r="BG313" i="82"/>
  <c r="BF314" i="82"/>
  <c r="BH320" i="82"/>
  <c r="BG321" i="82"/>
  <c r="BG322" i="82"/>
  <c r="BG323" i="82"/>
  <c r="BG324" i="82"/>
  <c r="BI370" i="82"/>
  <c r="BI372" i="82"/>
  <c r="BN375" i="82"/>
  <c r="BN378" i="82"/>
  <c r="BL442" i="82"/>
  <c r="BN445" i="82"/>
  <c r="BO451" i="82"/>
  <c r="BM483" i="82"/>
  <c r="BH506" i="82"/>
  <c r="BF31" i="83"/>
  <c r="BN44" i="83"/>
  <c r="BL45" i="83"/>
  <c r="BL93" i="83"/>
  <c r="BF158" i="83"/>
  <c r="BF222" i="83"/>
  <c r="BF247" i="83"/>
  <c r="BF248" i="83"/>
  <c r="BM316" i="83"/>
  <c r="BN346" i="83"/>
  <c r="BF347" i="83"/>
  <c r="BF351" i="83"/>
  <c r="BN149" i="84"/>
  <c r="BN401" i="84"/>
  <c r="BL425" i="84"/>
  <c r="BI445" i="84"/>
  <c r="BL447" i="84"/>
  <c r="BL448" i="84"/>
  <c r="BF141" i="82"/>
  <c r="BI143" i="82"/>
  <c r="BI145" i="82"/>
  <c r="BI150" i="82"/>
  <c r="BH158" i="82"/>
  <c r="BI186" i="82"/>
  <c r="BI270" i="82"/>
  <c r="BG271" i="82"/>
  <c r="BH304" i="82"/>
  <c r="BG305" i="82"/>
  <c r="BF306" i="82"/>
  <c r="BH314" i="82"/>
  <c r="BH349" i="82"/>
  <c r="BH350" i="82"/>
  <c r="BH352" i="82"/>
  <c r="BH354" i="82"/>
  <c r="BH355" i="82"/>
  <c r="BH356" i="82"/>
  <c r="BH357" i="82"/>
  <c r="BO369" i="82"/>
  <c r="BG118" i="83"/>
  <c r="BI124" i="83"/>
  <c r="BO127" i="83"/>
  <c r="BG139" i="83"/>
  <c r="BG150" i="83"/>
  <c r="BO153" i="83"/>
  <c r="BH172" i="83"/>
  <c r="BG174" i="83"/>
  <c r="BG188" i="83"/>
  <c r="BG200" i="83"/>
  <c r="BN245" i="83"/>
  <c r="BG287" i="83"/>
  <c r="BO398" i="83"/>
  <c r="BI463" i="83"/>
  <c r="BG464" i="83"/>
  <c r="BH482" i="83"/>
  <c r="BH503" i="83"/>
  <c r="BH504" i="83"/>
  <c r="BO31" i="84"/>
  <c r="BF57" i="84"/>
  <c r="BF109" i="84"/>
  <c r="BF110" i="84"/>
  <c r="BN141" i="84"/>
  <c r="BH142" i="84"/>
  <c r="BM146" i="84"/>
  <c r="BN147" i="84"/>
  <c r="BF161" i="84"/>
  <c r="BF162" i="84"/>
  <c r="BH163" i="84"/>
  <c r="BL240" i="84"/>
  <c r="BG262" i="84"/>
  <c r="BN278" i="84"/>
  <c r="BF295" i="84"/>
  <c r="BH310" i="84"/>
  <c r="BF311" i="84"/>
  <c r="BL411" i="84"/>
  <c r="BL412" i="84"/>
  <c r="BL413" i="84"/>
  <c r="BG504" i="84"/>
  <c r="BO515" i="84"/>
  <c r="BN518" i="84"/>
  <c r="BN140" i="82"/>
  <c r="BN142" i="82"/>
  <c r="BI151" i="82"/>
  <c r="BH153" i="82"/>
  <c r="BH155" i="82"/>
  <c r="BG181" i="82"/>
  <c r="BF182" i="82"/>
  <c r="BG183" i="82"/>
  <c r="BO185" i="82"/>
  <c r="BF218" i="82"/>
  <c r="BI219" i="82"/>
  <c r="BI233" i="82"/>
  <c r="BG263" i="82"/>
  <c r="BH268" i="82"/>
  <c r="BG307" i="82"/>
  <c r="BF308" i="82"/>
  <c r="BN310" i="82"/>
  <c r="BG315" i="82"/>
  <c r="BF316" i="82"/>
  <c r="BN318" i="82"/>
  <c r="BN353" i="82"/>
  <c r="BL438" i="82"/>
  <c r="BH31" i="83"/>
  <c r="BI119" i="83"/>
  <c r="BO173" i="83"/>
  <c r="BF175" i="83"/>
  <c r="BF176" i="83"/>
  <c r="BG180" i="83"/>
  <c r="BF184" i="83"/>
  <c r="BO187" i="83"/>
  <c r="BF192" i="83"/>
  <c r="BO199" i="83"/>
  <c r="BF242" i="83"/>
  <c r="BH287" i="83"/>
  <c r="BG290" i="83"/>
  <c r="BF308" i="83"/>
  <c r="BF309" i="83"/>
  <c r="BF337" i="83"/>
  <c r="BF338" i="83"/>
  <c r="BF340" i="83"/>
  <c r="BH368" i="83"/>
  <c r="BI411" i="83"/>
  <c r="BG412" i="83"/>
  <c r="BG417" i="83"/>
  <c r="BI433" i="83"/>
  <c r="BG436" i="83"/>
  <c r="BI459" i="83"/>
  <c r="BG460" i="83"/>
  <c r="BG461" i="83"/>
  <c r="BO481" i="83"/>
  <c r="BF500" i="83"/>
  <c r="BI518" i="83"/>
  <c r="BI519" i="83"/>
  <c r="BG520" i="83"/>
  <c r="BF40" i="84"/>
  <c r="BM138" i="84"/>
  <c r="BN139" i="84"/>
  <c r="BM160" i="84"/>
  <c r="BF164" i="84"/>
  <c r="BF166" i="84"/>
  <c r="BN199" i="84"/>
  <c r="BG212" i="84"/>
  <c r="BG213" i="84"/>
  <c r="BG215" i="84"/>
  <c r="BI228" i="84"/>
  <c r="BG229" i="84"/>
  <c r="BG231" i="84"/>
  <c r="BG234" i="84"/>
  <c r="BI236" i="84"/>
  <c r="BI248" i="84"/>
  <c r="BG249" i="84"/>
  <c r="BN261" i="84"/>
  <c r="BI262" i="84"/>
  <c r="BF287" i="84"/>
  <c r="BF293" i="84"/>
  <c r="BO521" i="84"/>
  <c r="BM145" i="82"/>
  <c r="BF146" i="82"/>
  <c r="BN150" i="82"/>
  <c r="BM180" i="82"/>
  <c r="BG264" i="82"/>
  <c r="BG266" i="82"/>
  <c r="BG299" i="82"/>
  <c r="BF300" i="82"/>
  <c r="BN302" i="82"/>
  <c r="BG333" i="82"/>
  <c r="BG334" i="82"/>
  <c r="BG335" i="82"/>
  <c r="BG336" i="82"/>
  <c r="BN347" i="82"/>
  <c r="BN387" i="82"/>
  <c r="BH401" i="82"/>
  <c r="BH404" i="82"/>
  <c r="BH405" i="82"/>
  <c r="BH407" i="82"/>
  <c r="BI56" i="83"/>
  <c r="BI394" i="83"/>
  <c r="BG414" i="83"/>
  <c r="BG415" i="83"/>
  <c r="BG418" i="83"/>
  <c r="BI423" i="83"/>
  <c r="BG424" i="83"/>
  <c r="BG425" i="83"/>
  <c r="BL430" i="83"/>
  <c r="BG434" i="83"/>
  <c r="BF454" i="83"/>
  <c r="BG456" i="83"/>
  <c r="BG457" i="83"/>
  <c r="BH476" i="83"/>
  <c r="BF477" i="83"/>
  <c r="BF492" i="83"/>
  <c r="BF493" i="83"/>
  <c r="BH496" i="83"/>
  <c r="BG528" i="83"/>
  <c r="BO67" i="84"/>
  <c r="BH88" i="84"/>
  <c r="BH124" i="84"/>
  <c r="BM163" i="84"/>
  <c r="BN211" i="84"/>
  <c r="BN214" i="84"/>
  <c r="BI215" i="84"/>
  <c r="BG216" i="84"/>
  <c r="BI249" i="84"/>
  <c r="BH289" i="84"/>
  <c r="BM292" i="84"/>
  <c r="BN295" i="84"/>
  <c r="BM296" i="84"/>
  <c r="BH306" i="84"/>
  <c r="BF307" i="84"/>
  <c r="BG342" i="84"/>
  <c r="BM507" i="84"/>
  <c r="BN145" i="82"/>
  <c r="BH146" i="82"/>
  <c r="BM153" i="82"/>
  <c r="BO155" i="82"/>
  <c r="BM178" i="82"/>
  <c r="BO263" i="82"/>
  <c r="BI264" i="82"/>
  <c r="BG278" i="82"/>
  <c r="BH294" i="82"/>
  <c r="BF296" i="82"/>
  <c r="BH342" i="82"/>
  <c r="BI343" i="82"/>
  <c r="BH364" i="82"/>
  <c r="BH365" i="82"/>
  <c r="BH366" i="82"/>
  <c r="BH409" i="82"/>
  <c r="BH410" i="82"/>
  <c r="BN412" i="82"/>
  <c r="BO413" i="82"/>
  <c r="BH476" i="82"/>
  <c r="BL26" i="83"/>
  <c r="BG114" i="83"/>
  <c r="BG135" i="83"/>
  <c r="BO147" i="83"/>
  <c r="BN176" i="83"/>
  <c r="BO177" i="83"/>
  <c r="BF194" i="83"/>
  <c r="BF211" i="83"/>
  <c r="BF212" i="83"/>
  <c r="BN214" i="83"/>
  <c r="BH234" i="83"/>
  <c r="BF235" i="83"/>
  <c r="BF236" i="83"/>
  <c r="BF254" i="83"/>
  <c r="BG280" i="83"/>
  <c r="BN282" i="83"/>
  <c r="BO305" i="83"/>
  <c r="BM306" i="83"/>
  <c r="BF331" i="83"/>
  <c r="BN341" i="83"/>
  <c r="BL342" i="83"/>
  <c r="BF343" i="83"/>
  <c r="BN359" i="83"/>
  <c r="BI361" i="83"/>
  <c r="BF389" i="83"/>
  <c r="BF391" i="83"/>
  <c r="BH395" i="83"/>
  <c r="BN412" i="83"/>
  <c r="BL413" i="83"/>
  <c r="BL417" i="83"/>
  <c r="BI418" i="83"/>
  <c r="BG419" i="83"/>
  <c r="BL422" i="83"/>
  <c r="BG426" i="83"/>
  <c r="BG427" i="83"/>
  <c r="BO455" i="83"/>
  <c r="BH493" i="83"/>
  <c r="BO500" i="83"/>
  <c r="BG206" i="84"/>
  <c r="BL208" i="84"/>
  <c r="BN209" i="84"/>
  <c r="BN217" i="84"/>
  <c r="BN231" i="84"/>
  <c r="BN236" i="84"/>
  <c r="BG271" i="84"/>
  <c r="BG272" i="84"/>
  <c r="BN274" i="84"/>
  <c r="BO287" i="84"/>
  <c r="BN288" i="84"/>
  <c r="BG322" i="84"/>
  <c r="BI481" i="84"/>
  <c r="BH483" i="84"/>
  <c r="BG488" i="84"/>
  <c r="BG490" i="84"/>
  <c r="BG498" i="84"/>
  <c r="BG130" i="82"/>
  <c r="BG340" i="82"/>
  <c r="BN408" i="82"/>
  <c r="BN56" i="83"/>
  <c r="BG111" i="83"/>
  <c r="BG194" i="83"/>
  <c r="BO342" i="83"/>
  <c r="BN360" i="83"/>
  <c r="BF385" i="83"/>
  <c r="BG406" i="83"/>
  <c r="BL425" i="83"/>
  <c r="BI36" i="84"/>
  <c r="BF104" i="84"/>
  <c r="BF117" i="84"/>
  <c r="BF118" i="84"/>
  <c r="BF174" i="84"/>
  <c r="BF175" i="84"/>
  <c r="BF177" i="84"/>
  <c r="BF303" i="84"/>
  <c r="BN405" i="84"/>
  <c r="BO480" i="84"/>
  <c r="BO482" i="84"/>
  <c r="BI483" i="84"/>
  <c r="BH485" i="84"/>
  <c r="BI490" i="84"/>
  <c r="BO128" i="82"/>
  <c r="BH130" i="82"/>
  <c r="BG131" i="82"/>
  <c r="BG132" i="82"/>
  <c r="BG198" i="82"/>
  <c r="BF199" i="82"/>
  <c r="BG200" i="82"/>
  <c r="BG208" i="82"/>
  <c r="BO210" i="82"/>
  <c r="BO213" i="82"/>
  <c r="BI227" i="82"/>
  <c r="BF228" i="82"/>
  <c r="BF229" i="82"/>
  <c r="BG242" i="82"/>
  <c r="BF243" i="82"/>
  <c r="BF253" i="82"/>
  <c r="BF280" i="82"/>
  <c r="BL422" i="82"/>
  <c r="BF423" i="82"/>
  <c r="BH510" i="82"/>
  <c r="BM74" i="83"/>
  <c r="BL85" i="83"/>
  <c r="BF105" i="83"/>
  <c r="BF108" i="83"/>
  <c r="BH163" i="83"/>
  <c r="BO166" i="83"/>
  <c r="BH262" i="83"/>
  <c r="BG263" i="83"/>
  <c r="BH376" i="83"/>
  <c r="BH377" i="83"/>
  <c r="BO384" i="83"/>
  <c r="BH385" i="83"/>
  <c r="BN387" i="83"/>
  <c r="BN389" i="83"/>
  <c r="BF397" i="83"/>
  <c r="BL419" i="83"/>
  <c r="BL24" i="84"/>
  <c r="BG34" i="84"/>
  <c r="BF48" i="84"/>
  <c r="BF50" i="84"/>
  <c r="BH51" i="84"/>
  <c r="BF80" i="84"/>
  <c r="BF81" i="84"/>
  <c r="BH96" i="84"/>
  <c r="BF97" i="84"/>
  <c r="BH152" i="84"/>
  <c r="BN172" i="84"/>
  <c r="BF178" i="84"/>
  <c r="BF179" i="84"/>
  <c r="BF181" i="84"/>
  <c r="BF193" i="84"/>
  <c r="BG476" i="84"/>
  <c r="BG493" i="84"/>
  <c r="BF118" i="82"/>
  <c r="BH122" i="82"/>
  <c r="BO156" i="82"/>
  <c r="BI160" i="82"/>
  <c r="BI183" i="82"/>
  <c r="BI192" i="82"/>
  <c r="BO235" i="82"/>
  <c r="BG236" i="82"/>
  <c r="BF237" i="82"/>
  <c r="BO239" i="82"/>
  <c r="BG240" i="82"/>
  <c r="BF241" i="82"/>
  <c r="BG247" i="82"/>
  <c r="BG248" i="82"/>
  <c r="BG250" i="82"/>
  <c r="BF251" i="82"/>
  <c r="BG260" i="82"/>
  <c r="BF261" i="82"/>
  <c r="BG272" i="82"/>
  <c r="BF275" i="82"/>
  <c r="BN300" i="82"/>
  <c r="BN308" i="82"/>
  <c r="BN316" i="82"/>
  <c r="BN330" i="82"/>
  <c r="BN346" i="82"/>
  <c r="BG384" i="82"/>
  <c r="BM384" i="82"/>
  <c r="BM397" i="82"/>
  <c r="BM400" i="82"/>
  <c r="BM414" i="82"/>
  <c r="BF497" i="82"/>
  <c r="BL497" i="82"/>
  <c r="S97" i="83"/>
  <c r="T87" i="83"/>
  <c r="T79" i="83"/>
  <c r="BI44" i="82"/>
  <c r="BN46" i="82"/>
  <c r="BI47" i="82"/>
  <c r="BH62" i="82"/>
  <c r="BO70" i="82"/>
  <c r="BG71" i="82"/>
  <c r="BO76" i="82"/>
  <c r="BG82" i="82"/>
  <c r="BF83" i="82"/>
  <c r="BF85" i="82"/>
  <c r="BH94" i="82"/>
  <c r="BG95" i="82"/>
  <c r="BH97" i="82"/>
  <c r="BG98" i="82"/>
  <c r="BG109" i="82"/>
  <c r="BG111" i="82"/>
  <c r="BO117" i="82"/>
  <c r="BH119" i="82"/>
  <c r="BI122" i="82"/>
  <c r="BG123" i="82"/>
  <c r="BG124" i="82"/>
  <c r="BI133" i="82"/>
  <c r="BI134" i="82"/>
  <c r="BH135" i="82"/>
  <c r="BH147" i="82"/>
  <c r="BM158" i="82"/>
  <c r="BG164" i="82"/>
  <c r="BF165" i="82"/>
  <c r="BG169" i="82"/>
  <c r="BG184" i="82"/>
  <c r="BO228" i="82"/>
  <c r="BI237" i="82"/>
  <c r="BI241" i="82"/>
  <c r="BL249" i="82"/>
  <c r="BI251" i="82"/>
  <c r="BL259" i="82"/>
  <c r="BG261" i="82"/>
  <c r="BF263" i="82"/>
  <c r="BN271" i="82"/>
  <c r="BO274" i="82"/>
  <c r="BG275" i="82"/>
  <c r="BF276" i="82"/>
  <c r="BG295" i="82"/>
  <c r="BG303" i="82"/>
  <c r="BF304" i="82"/>
  <c r="BG311" i="82"/>
  <c r="BF312" i="82"/>
  <c r="BG319" i="82"/>
  <c r="BF320" i="82"/>
  <c r="BL431" i="82"/>
  <c r="BF431" i="82"/>
  <c r="BM459" i="82"/>
  <c r="BG459" i="82"/>
  <c r="BF495" i="82"/>
  <c r="BL495" i="82"/>
  <c r="BG497" i="82"/>
  <c r="BM497" i="82"/>
  <c r="BO31" i="82"/>
  <c r="BI32" i="82"/>
  <c r="BF34" i="82"/>
  <c r="BH48" i="82"/>
  <c r="BI51" i="82"/>
  <c r="BO61" i="82"/>
  <c r="BI62" i="82"/>
  <c r="BN72" i="82"/>
  <c r="BF73" i="82"/>
  <c r="BN84" i="82"/>
  <c r="BG85" i="82"/>
  <c r="BF86" i="82"/>
  <c r="BG87" i="82"/>
  <c r="BF88" i="82"/>
  <c r="BH98" i="82"/>
  <c r="BI99" i="82"/>
  <c r="BF100" i="82"/>
  <c r="BN108" i="82"/>
  <c r="BO110" i="82"/>
  <c r="BH111" i="82"/>
  <c r="BO118" i="82"/>
  <c r="BI124" i="82"/>
  <c r="BH136" i="82"/>
  <c r="BH149" i="82"/>
  <c r="BI162" i="82"/>
  <c r="BG166" i="82"/>
  <c r="BI184" i="82"/>
  <c r="BF207" i="82"/>
  <c r="BF209" i="82"/>
  <c r="BG252" i="82"/>
  <c r="BI261" i="82"/>
  <c r="BF26" i="82"/>
  <c r="BO28" i="82"/>
  <c r="BF36" i="82"/>
  <c r="BI48" i="82"/>
  <c r="BN50" i="82"/>
  <c r="BH52" i="82"/>
  <c r="BI54" i="82"/>
  <c r="BO72" i="82"/>
  <c r="BG73" i="82"/>
  <c r="BG88" i="82"/>
  <c r="BF90" i="82"/>
  <c r="BG100" i="82"/>
  <c r="BI111" i="82"/>
  <c r="BG112" i="82"/>
  <c r="BO135" i="82"/>
  <c r="BH137" i="82"/>
  <c r="BG138" i="82"/>
  <c r="BO147" i="82"/>
  <c r="BM148" i="82"/>
  <c r="BF150" i="82"/>
  <c r="BO161" i="82"/>
  <c r="BM165" i="82"/>
  <c r="BM167" i="82"/>
  <c r="BF195" i="82"/>
  <c r="BO205" i="82"/>
  <c r="BI209" i="82"/>
  <c r="BN229" i="82"/>
  <c r="BF230" i="82"/>
  <c r="BN233" i="82"/>
  <c r="BF234" i="82"/>
  <c r="BF238" i="82"/>
  <c r="BF242" i="82"/>
  <c r="BF255" i="82"/>
  <c r="BG297" i="82"/>
  <c r="BF298" i="82"/>
  <c r="BN360" i="82"/>
  <c r="BH360" i="82"/>
  <c r="BG401" i="82"/>
  <c r="BM401" i="82"/>
  <c r="BG404" i="82"/>
  <c r="BM404" i="82"/>
  <c r="BG405" i="82"/>
  <c r="BM405" i="82"/>
  <c r="BO483" i="82"/>
  <c r="BI483" i="82"/>
  <c r="BG510" i="82"/>
  <c r="BM510" i="82"/>
  <c r="BM522" i="82"/>
  <c r="BG522" i="82"/>
  <c r="BO35" i="82"/>
  <c r="BI36" i="82"/>
  <c r="BF37" i="82"/>
  <c r="BN51" i="82"/>
  <c r="BI52" i="82"/>
  <c r="BI55" i="82"/>
  <c r="BO63" i="82"/>
  <c r="BN89" i="82"/>
  <c r="BG90" i="82"/>
  <c r="BG101" i="82"/>
  <c r="BG104" i="82"/>
  <c r="BH112" i="82"/>
  <c r="BF113" i="82"/>
  <c r="BH128" i="82"/>
  <c r="BO136" i="82"/>
  <c r="BH138" i="82"/>
  <c r="BG139" i="82"/>
  <c r="BM149" i="82"/>
  <c r="BG186" i="82"/>
  <c r="BO194" i="82"/>
  <c r="BI195" i="82"/>
  <c r="BG196" i="82"/>
  <c r="BF197" i="82"/>
  <c r="BF211" i="82"/>
  <c r="BG221" i="82"/>
  <c r="BG222" i="82"/>
  <c r="BF223" i="82"/>
  <c r="BF224" i="82"/>
  <c r="BG230" i="82"/>
  <c r="BF231" i="82"/>
  <c r="BG234" i="82"/>
  <c r="BF235" i="82"/>
  <c r="BH298" i="82"/>
  <c r="BG325" i="82"/>
  <c r="BG326" i="82"/>
  <c r="BG327" i="82"/>
  <c r="BN340" i="82"/>
  <c r="BH344" i="82"/>
  <c r="BN370" i="82"/>
  <c r="BO374" i="82"/>
  <c r="BI374" i="82"/>
  <c r="BO382" i="82"/>
  <c r="BI382" i="82"/>
  <c r="BG423" i="82"/>
  <c r="BL436" i="82"/>
  <c r="BM438" i="82"/>
  <c r="BL455" i="82"/>
  <c r="BF455" i="82"/>
  <c r="BO481" i="82"/>
  <c r="BI481" i="82"/>
  <c r="BH509" i="82"/>
  <c r="BN509" i="82"/>
  <c r="BM521" i="82"/>
  <c r="BG521" i="82"/>
  <c r="BM38" i="82"/>
  <c r="BF39" i="82"/>
  <c r="BN54" i="82"/>
  <c r="BN64" i="82"/>
  <c r="BO73" i="82"/>
  <c r="BF75" i="82"/>
  <c r="BF91" i="82"/>
  <c r="BF105" i="82"/>
  <c r="BG113" i="82"/>
  <c r="BI243" i="82"/>
  <c r="BG256" i="82"/>
  <c r="BL265" i="82"/>
  <c r="BI266" i="82"/>
  <c r="BI267" i="82"/>
  <c r="BF268" i="82"/>
  <c r="BF270" i="82"/>
  <c r="BF283" i="82"/>
  <c r="BG284" i="82"/>
  <c r="BF285" i="82"/>
  <c r="BG286" i="82"/>
  <c r="BN324" i="82"/>
  <c r="BM343" i="82"/>
  <c r="BI345" i="82"/>
  <c r="BH362" i="82"/>
  <c r="BH363" i="82"/>
  <c r="BH373" i="82"/>
  <c r="BN377" i="82"/>
  <c r="BH377" i="82"/>
  <c r="BO378" i="82"/>
  <c r="BI378" i="82"/>
  <c r="BI381" i="82"/>
  <c r="BO381" i="82"/>
  <c r="BN395" i="82"/>
  <c r="BH395" i="82"/>
  <c r="BO396" i="82"/>
  <c r="BI396" i="82"/>
  <c r="BN402" i="82"/>
  <c r="BH402" i="82"/>
  <c r="BL434" i="82"/>
  <c r="BM439" i="82"/>
  <c r="BM455" i="82"/>
  <c r="BG455" i="82"/>
  <c r="BO471" i="82"/>
  <c r="BG496" i="82"/>
  <c r="BM520" i="82"/>
  <c r="BG520" i="82"/>
  <c r="BN90" i="82"/>
  <c r="BO114" i="82"/>
  <c r="BI187" i="82"/>
  <c r="BG188" i="82"/>
  <c r="BF189" i="82"/>
  <c r="BO197" i="82"/>
  <c r="BF201" i="82"/>
  <c r="BG212" i="82"/>
  <c r="BG214" i="82"/>
  <c r="BN216" i="82"/>
  <c r="BG225" i="82"/>
  <c r="BF227" i="82"/>
  <c r="BO282" i="82"/>
  <c r="BG287" i="82"/>
  <c r="BG288" i="82"/>
  <c r="BG289" i="82"/>
  <c r="BF290" i="82"/>
  <c r="BF291" i="82"/>
  <c r="BG329" i="82"/>
  <c r="BG330" i="82"/>
  <c r="BN361" i="82"/>
  <c r="BI373" i="82"/>
  <c r="BH376" i="82"/>
  <c r="BG386" i="82"/>
  <c r="BM386" i="82"/>
  <c r="BM387" i="82"/>
  <c r="BG387" i="82"/>
  <c r="BH400" i="82"/>
  <c r="BL432" i="82"/>
  <c r="BN482" i="82"/>
  <c r="BN502" i="82"/>
  <c r="BH502" i="82"/>
  <c r="BM519" i="82"/>
  <c r="BG519" i="82"/>
  <c r="BG122" i="82"/>
  <c r="BI157" i="82"/>
  <c r="BI175" i="82"/>
  <c r="BI177" i="82"/>
  <c r="BI179" i="82"/>
  <c r="BN235" i="82"/>
  <c r="BF236" i="82"/>
  <c r="BN239" i="82"/>
  <c r="BF240" i="82"/>
  <c r="BN244" i="82"/>
  <c r="BI245" i="82"/>
  <c r="BG246" i="82"/>
  <c r="BF247" i="82"/>
  <c r="BL257" i="82"/>
  <c r="BI258" i="82"/>
  <c r="BI259" i="82"/>
  <c r="BI271" i="82"/>
  <c r="BG274" i="82"/>
  <c r="BO286" i="82"/>
  <c r="BH291" i="82"/>
  <c r="BF292" i="82"/>
  <c r="BG293" i="82"/>
  <c r="BF294" i="82"/>
  <c r="BG301" i="82"/>
  <c r="BF302" i="82"/>
  <c r="BG309" i="82"/>
  <c r="BF310" i="82"/>
  <c r="BG317" i="82"/>
  <c r="BF318" i="82"/>
  <c r="BN328" i="82"/>
  <c r="BG331" i="82"/>
  <c r="BG332" i="82"/>
  <c r="BM345" i="82"/>
  <c r="BN369" i="82"/>
  <c r="BH369" i="82"/>
  <c r="BO375" i="82"/>
  <c r="BO389" i="82"/>
  <c r="BI389" i="82"/>
  <c r="BN399" i="82"/>
  <c r="BL435" i="82"/>
  <c r="BF435" i="82"/>
  <c r="BG443" i="82"/>
  <c r="BM443" i="82"/>
  <c r="BG467" i="82"/>
  <c r="BG508" i="82"/>
  <c r="BG509" i="82"/>
  <c r="BM518" i="82"/>
  <c r="BG518" i="82"/>
  <c r="U17" i="83" a="1"/>
  <c r="U17" i="83" s="1"/>
  <c r="U15" i="83" s="1"/>
  <c r="BG388" i="82"/>
  <c r="BO453" i="82"/>
  <c r="BN454" i="82"/>
  <c r="BG456" i="82"/>
  <c r="BG457" i="82"/>
  <c r="BG471" i="82"/>
  <c r="BO475" i="82"/>
  <c r="BG73" i="83"/>
  <c r="BG79" i="83"/>
  <c r="BG81" i="83"/>
  <c r="BG82" i="83"/>
  <c r="BG87" i="83"/>
  <c r="BG89" i="83"/>
  <c r="BG90" i="83"/>
  <c r="BI94" i="83"/>
  <c r="BI95" i="83"/>
  <c r="BG97" i="83"/>
  <c r="BM101" i="83"/>
  <c r="BG102" i="83"/>
  <c r="BO112" i="83"/>
  <c r="BO113" i="83"/>
  <c r="BI114" i="83"/>
  <c r="BN119" i="83"/>
  <c r="BI120" i="83"/>
  <c r="BO164" i="83"/>
  <c r="BH165" i="83"/>
  <c r="BG167" i="83"/>
  <c r="BN178" i="83"/>
  <c r="BN179" i="83"/>
  <c r="BF180" i="83"/>
  <c r="BO183" i="83"/>
  <c r="BG184" i="83"/>
  <c r="BM210" i="83"/>
  <c r="BN219" i="83"/>
  <c r="BF220" i="83"/>
  <c r="BH221" i="83"/>
  <c r="BN230" i="83"/>
  <c r="BL291" i="83"/>
  <c r="BI293" i="83"/>
  <c r="BH307" i="83"/>
  <c r="BI354" i="83"/>
  <c r="BO354" i="83"/>
  <c r="BH361" i="83"/>
  <c r="BI379" i="83"/>
  <c r="BH383" i="83"/>
  <c r="BO426" i="83"/>
  <c r="BI426" i="83"/>
  <c r="BG441" i="83"/>
  <c r="BM441" i="83"/>
  <c r="BL494" i="83"/>
  <c r="BF494" i="83"/>
  <c r="BM517" i="83"/>
  <c r="BG517" i="83"/>
  <c r="AK17" i="83" a="1"/>
  <c r="AK17" i="83" s="1"/>
  <c r="AK15" i="83" s="1"/>
  <c r="BI64" i="83"/>
  <c r="BN69" i="83"/>
  <c r="BM70" i="83"/>
  <c r="BN104" i="83"/>
  <c r="BG115" i="83"/>
  <c r="BI123" i="83"/>
  <c r="BH167" i="83"/>
  <c r="BG169" i="83"/>
  <c r="BO179" i="83"/>
  <c r="BN237" i="83"/>
  <c r="BH238" i="83"/>
  <c r="BH283" i="83"/>
  <c r="BG285" i="83"/>
  <c r="BG294" i="83"/>
  <c r="BN318" i="83"/>
  <c r="BM319" i="83"/>
  <c r="BM320" i="83"/>
  <c r="BN327" i="83"/>
  <c r="BL328" i="83"/>
  <c r="BL333" i="83"/>
  <c r="BO338" i="83"/>
  <c r="BN339" i="83"/>
  <c r="BN344" i="83"/>
  <c r="BF345" i="83"/>
  <c r="BO347" i="83"/>
  <c r="BO350" i="83"/>
  <c r="BI368" i="83"/>
  <c r="BO382" i="83"/>
  <c r="BL399" i="83"/>
  <c r="BF399" i="83"/>
  <c r="BL472" i="83"/>
  <c r="BF472" i="83"/>
  <c r="BM527" i="83"/>
  <c r="BG527" i="83"/>
  <c r="BM32" i="83"/>
  <c r="BN63" i="83"/>
  <c r="BN66" i="83"/>
  <c r="BN70" i="83"/>
  <c r="BL74" i="83"/>
  <c r="BL82" i="83"/>
  <c r="BL90" i="83"/>
  <c r="BL98" i="83"/>
  <c r="BO104" i="83"/>
  <c r="BI105" i="83"/>
  <c r="BG116" i="83"/>
  <c r="BM121" i="83"/>
  <c r="BO168" i="83"/>
  <c r="BH171" i="83"/>
  <c r="BG176" i="83"/>
  <c r="BH180" i="83"/>
  <c r="BF186" i="83"/>
  <c r="BO189" i="83"/>
  <c r="BG190" i="83"/>
  <c r="BH194" i="83"/>
  <c r="BF196" i="83"/>
  <c r="BF225" i="83"/>
  <c r="BN241" i="83"/>
  <c r="BH242" i="83"/>
  <c r="BF243" i="83"/>
  <c r="BF244" i="83"/>
  <c r="BF246" i="83"/>
  <c r="BI258" i="83"/>
  <c r="BI283" i="83"/>
  <c r="BL293" i="83"/>
  <c r="BI295" i="83"/>
  <c r="BO321" i="83"/>
  <c r="BN328" i="83"/>
  <c r="BM329" i="83"/>
  <c r="BO333" i="83"/>
  <c r="BM335" i="83"/>
  <c r="BM352" i="83"/>
  <c r="BM353" i="83"/>
  <c r="BL378" i="83"/>
  <c r="BF378" i="83"/>
  <c r="BI386" i="83"/>
  <c r="BI390" i="83"/>
  <c r="BO441" i="83"/>
  <c r="BI441" i="83"/>
  <c r="BM450" i="83"/>
  <c r="BG450" i="83"/>
  <c r="BN491" i="83"/>
  <c r="BH491" i="83"/>
  <c r="BI27" i="83"/>
  <c r="BO32" i="83"/>
  <c r="BG34" i="83"/>
  <c r="BG35" i="83"/>
  <c r="BN42" i="83"/>
  <c r="BL43" i="83"/>
  <c r="BN50" i="83"/>
  <c r="BL51" i="83"/>
  <c r="BN64" i="83"/>
  <c r="BG117" i="83"/>
  <c r="BG132" i="83"/>
  <c r="BG136" i="83"/>
  <c r="BG140" i="83"/>
  <c r="BG144" i="83"/>
  <c r="BG149" i="83"/>
  <c r="BO170" i="83"/>
  <c r="BF172" i="83"/>
  <c r="BF182" i="83"/>
  <c r="BO185" i="83"/>
  <c r="BG186" i="83"/>
  <c r="BO195" i="83"/>
  <c r="BG196" i="83"/>
  <c r="BF198" i="83"/>
  <c r="BN222" i="83"/>
  <c r="BI266" i="83"/>
  <c r="BL286" i="83"/>
  <c r="BG296" i="83"/>
  <c r="BN329" i="83"/>
  <c r="BL330" i="83"/>
  <c r="BN335" i="83"/>
  <c r="BO340" i="83"/>
  <c r="BM341" i="83"/>
  <c r="BN345" i="83"/>
  <c r="BO353" i="83"/>
  <c r="BG359" i="83"/>
  <c r="BM359" i="83"/>
  <c r="BH375" i="83"/>
  <c r="BN375" i="83"/>
  <c r="BL383" i="83"/>
  <c r="BF383" i="83"/>
  <c r="BG438" i="83"/>
  <c r="BM438" i="83"/>
  <c r="BM525" i="83"/>
  <c r="BG525" i="83"/>
  <c r="BO527" i="83"/>
  <c r="BI527" i="83"/>
  <c r="BF451" i="82"/>
  <c r="BO467" i="82"/>
  <c r="BG504" i="82"/>
  <c r="BG515" i="82"/>
  <c r="BG516" i="82"/>
  <c r="BL33" i="83"/>
  <c r="BO36" i="83"/>
  <c r="BI38" i="83"/>
  <c r="BN43" i="83"/>
  <c r="BL44" i="83"/>
  <c r="BN51" i="83"/>
  <c r="BL52" i="83"/>
  <c r="BN105" i="83"/>
  <c r="BN116" i="83"/>
  <c r="BI117" i="83"/>
  <c r="BN128" i="83"/>
  <c r="BO131" i="83"/>
  <c r="BI132" i="83"/>
  <c r="BO135" i="83"/>
  <c r="BI136" i="83"/>
  <c r="BO139" i="83"/>
  <c r="BI140" i="83"/>
  <c r="BO143" i="83"/>
  <c r="BI144" i="83"/>
  <c r="BM147" i="83"/>
  <c r="BH149" i="83"/>
  <c r="BF150" i="83"/>
  <c r="BF154" i="83"/>
  <c r="BF178" i="83"/>
  <c r="BO181" i="83"/>
  <c r="BG182" i="83"/>
  <c r="BH186" i="83"/>
  <c r="BO197" i="83"/>
  <c r="BG198" i="83"/>
  <c r="BF200" i="83"/>
  <c r="BG202" i="83"/>
  <c r="BF206" i="83"/>
  <c r="BF208" i="83"/>
  <c r="BN225" i="83"/>
  <c r="BN249" i="83"/>
  <c r="BH250" i="83"/>
  <c r="BF251" i="83"/>
  <c r="BN253" i="83"/>
  <c r="BH254" i="83"/>
  <c r="BF255" i="83"/>
  <c r="BN258" i="83"/>
  <c r="BI259" i="83"/>
  <c r="BG260" i="83"/>
  <c r="BI261" i="83"/>
  <c r="BG262" i="83"/>
  <c r="BI267" i="83"/>
  <c r="BG268" i="83"/>
  <c r="BG270" i="83"/>
  <c r="BI287" i="83"/>
  <c r="BG289" i="83"/>
  <c r="BH296" i="83"/>
  <c r="BH298" i="83"/>
  <c r="BO322" i="83"/>
  <c r="BN330" i="83"/>
  <c r="BO335" i="83"/>
  <c r="BO365" i="83"/>
  <c r="BI365" i="83"/>
  <c r="BH372" i="83"/>
  <c r="BN372" i="83"/>
  <c r="BO373" i="83"/>
  <c r="BI373" i="83"/>
  <c r="BM437" i="83"/>
  <c r="BG437" i="83"/>
  <c r="BI488" i="83"/>
  <c r="BO488" i="83"/>
  <c r="BO526" i="83"/>
  <c r="BI526" i="83"/>
  <c r="BL354" i="83"/>
  <c r="BF354" i="83"/>
  <c r="BH356" i="83"/>
  <c r="BN356" i="83"/>
  <c r="BO357" i="83"/>
  <c r="BI357" i="83"/>
  <c r="BG362" i="83"/>
  <c r="BM362" i="83"/>
  <c r="BH363" i="83"/>
  <c r="BN363" i="83"/>
  <c r="BG370" i="83"/>
  <c r="BM370" i="83"/>
  <c r="BN371" i="83"/>
  <c r="BH371" i="83"/>
  <c r="BL387" i="83"/>
  <c r="BF387" i="83"/>
  <c r="BO438" i="83"/>
  <c r="BI438" i="83"/>
  <c r="BI448" i="83"/>
  <c r="BL456" i="83"/>
  <c r="BF456" i="83"/>
  <c r="BO155" i="83"/>
  <c r="BG157" i="83"/>
  <c r="BH161" i="83"/>
  <c r="BG163" i="83"/>
  <c r="BN173" i="83"/>
  <c r="BF174" i="83"/>
  <c r="BN187" i="83"/>
  <c r="BF188" i="83"/>
  <c r="BO191" i="83"/>
  <c r="BG192" i="83"/>
  <c r="BO203" i="83"/>
  <c r="BG209" i="83"/>
  <c r="BH210" i="83"/>
  <c r="BF215" i="83"/>
  <c r="BO227" i="83"/>
  <c r="BF229" i="83"/>
  <c r="BG271" i="83"/>
  <c r="BG272" i="83"/>
  <c r="BG275" i="83"/>
  <c r="BI291" i="83"/>
  <c r="BF302" i="83"/>
  <c r="BF303" i="83"/>
  <c r="BH305" i="83"/>
  <c r="BM313" i="83"/>
  <c r="BO323" i="83"/>
  <c r="BM324" i="83"/>
  <c r="BL325" i="83"/>
  <c r="BN331" i="83"/>
  <c r="BO336" i="83"/>
  <c r="BH353" i="83"/>
  <c r="BN353" i="83"/>
  <c r="BH435" i="83"/>
  <c r="BN435" i="83"/>
  <c r="BM455" i="83"/>
  <c r="BG455" i="83"/>
  <c r="BL473" i="83"/>
  <c r="BO524" i="83"/>
  <c r="BI524" i="83"/>
  <c r="BH358" i="82"/>
  <c r="BO385" i="82"/>
  <c r="BL24" i="83"/>
  <c r="BI69" i="83"/>
  <c r="BO228" i="83"/>
  <c r="BF231" i="83"/>
  <c r="BF232" i="83"/>
  <c r="BF234" i="83"/>
  <c r="BI275" i="83"/>
  <c r="BG276" i="83"/>
  <c r="BG279" i="83"/>
  <c r="BG292" i="83"/>
  <c r="BH293" i="83"/>
  <c r="BL300" i="83"/>
  <c r="BN301" i="83"/>
  <c r="BM304" i="83"/>
  <c r="BM325" i="83"/>
  <c r="BO331" i="83"/>
  <c r="BN332" i="83"/>
  <c r="BO337" i="83"/>
  <c r="BN343" i="83"/>
  <c r="BM347" i="83"/>
  <c r="BI355" i="83"/>
  <c r="BO355" i="83"/>
  <c r="BH357" i="83"/>
  <c r="BN365" i="83"/>
  <c r="BO369" i="83"/>
  <c r="BI369" i="83"/>
  <c r="BM373" i="83"/>
  <c r="BH391" i="83"/>
  <c r="BN391" i="83"/>
  <c r="BM453" i="83"/>
  <c r="BG453" i="83"/>
  <c r="BL471" i="83"/>
  <c r="BF495" i="83"/>
  <c r="BL495" i="83"/>
  <c r="BM519" i="83"/>
  <c r="BG519" i="83"/>
  <c r="BH381" i="83"/>
  <c r="BI392" i="83"/>
  <c r="BL427" i="83"/>
  <c r="BI449" i="83"/>
  <c r="BF52" i="84"/>
  <c r="BF59" i="84"/>
  <c r="BF66" i="84"/>
  <c r="BF69" i="84"/>
  <c r="BF71" i="84"/>
  <c r="BF89" i="84"/>
  <c r="BF92" i="84"/>
  <c r="BF133" i="84"/>
  <c r="BF134" i="84"/>
  <c r="BN165" i="84"/>
  <c r="BH166" i="84"/>
  <c r="BN192" i="84"/>
  <c r="BH193" i="84"/>
  <c r="BF194" i="84"/>
  <c r="BF195" i="84"/>
  <c r="BF197" i="84"/>
  <c r="BN220" i="84"/>
  <c r="BN222" i="84"/>
  <c r="BI223" i="84"/>
  <c r="BG224" i="84"/>
  <c r="BN235" i="84"/>
  <c r="BG237" i="84"/>
  <c r="BN239" i="84"/>
  <c r="BG241" i="84"/>
  <c r="BN265" i="84"/>
  <c r="BF289" i="84"/>
  <c r="BO318" i="84"/>
  <c r="BI356" i="84"/>
  <c r="BG357" i="84"/>
  <c r="BM435" i="84"/>
  <c r="BI437" i="84"/>
  <c r="BO472" i="84"/>
  <c r="BI513" i="84"/>
  <c r="BI452" i="83"/>
  <c r="BO26" i="84"/>
  <c r="BH59" i="84"/>
  <c r="BF60" i="84"/>
  <c r="BL65" i="84"/>
  <c r="BF72" i="84"/>
  <c r="BH89" i="84"/>
  <c r="BF90" i="84"/>
  <c r="BH92" i="84"/>
  <c r="BF93" i="84"/>
  <c r="BF96" i="84"/>
  <c r="BH136" i="84"/>
  <c r="BN151" i="84"/>
  <c r="BI152" i="84"/>
  <c r="BN154" i="84"/>
  <c r="BF157" i="84"/>
  <c r="BF169" i="84"/>
  <c r="BN196" i="84"/>
  <c r="BH197" i="84"/>
  <c r="BI198" i="84"/>
  <c r="BG199" i="84"/>
  <c r="BG204" i="84"/>
  <c r="BG205" i="84"/>
  <c r="BL225" i="84"/>
  <c r="BG226" i="84"/>
  <c r="BH292" i="84"/>
  <c r="BI348" i="84"/>
  <c r="BG349" i="84"/>
  <c r="BI357" i="84"/>
  <c r="BG358" i="84"/>
  <c r="BN365" i="84"/>
  <c r="BI375" i="84"/>
  <c r="BI376" i="84"/>
  <c r="BG377" i="84"/>
  <c r="BI383" i="84"/>
  <c r="BI384" i="84"/>
  <c r="BG385" i="84"/>
  <c r="BI391" i="84"/>
  <c r="BI392" i="84"/>
  <c r="BG393" i="84"/>
  <c r="BI400" i="84"/>
  <c r="BN404" i="84"/>
  <c r="BL405" i="84"/>
  <c r="BL408" i="84"/>
  <c r="BL414" i="84"/>
  <c r="BM436" i="84"/>
  <c r="BI492" i="84"/>
  <c r="BI495" i="84"/>
  <c r="BN514" i="84"/>
  <c r="BI388" i="83"/>
  <c r="BH393" i="83"/>
  <c r="BG443" i="83"/>
  <c r="BO451" i="83"/>
  <c r="BO497" i="83"/>
  <c r="BH501" i="83"/>
  <c r="BI30" i="84"/>
  <c r="BF73" i="84"/>
  <c r="BI136" i="84"/>
  <c r="BO156" i="84"/>
  <c r="BH157" i="84"/>
  <c r="BF158" i="84"/>
  <c r="BH160" i="84"/>
  <c r="BM167" i="84"/>
  <c r="BN168" i="84"/>
  <c r="BH169" i="84"/>
  <c r="BF170" i="84"/>
  <c r="BF171" i="84"/>
  <c r="BF173" i="84"/>
  <c r="BG200" i="84"/>
  <c r="BL202" i="84"/>
  <c r="BN203" i="84"/>
  <c r="BI205" i="84"/>
  <c r="BG210" i="84"/>
  <c r="BG211" i="84"/>
  <c r="BN225" i="84"/>
  <c r="BI226" i="84"/>
  <c r="BN291" i="84"/>
  <c r="BM320" i="84"/>
  <c r="BI340" i="84"/>
  <c r="BG341" i="84"/>
  <c r="BI349" i="84"/>
  <c r="BG350" i="84"/>
  <c r="BI358" i="84"/>
  <c r="BG359" i="84"/>
  <c r="BG360" i="84"/>
  <c r="BI377" i="84"/>
  <c r="BG378" i="84"/>
  <c r="BG379" i="84"/>
  <c r="BG380" i="84"/>
  <c r="BI381" i="84"/>
  <c r="BI385" i="84"/>
  <c r="BG386" i="84"/>
  <c r="BG387" i="84"/>
  <c r="BG388" i="84"/>
  <c r="BI389" i="84"/>
  <c r="BI393" i="84"/>
  <c r="BG394" i="84"/>
  <c r="BG395" i="84"/>
  <c r="BG396" i="84"/>
  <c r="BI397" i="84"/>
  <c r="BN399" i="84"/>
  <c r="BM402" i="84"/>
  <c r="BI453" i="84"/>
  <c r="BH454" i="84"/>
  <c r="BI476" i="84"/>
  <c r="BH478" i="84"/>
  <c r="BO497" i="84"/>
  <c r="BI498" i="84"/>
  <c r="BG499" i="84"/>
  <c r="BG501" i="84"/>
  <c r="BI454" i="84"/>
  <c r="BI456" i="84"/>
  <c r="BI457" i="84"/>
  <c r="BI458" i="84"/>
  <c r="BI467" i="84"/>
  <c r="BO477" i="84"/>
  <c r="BI478" i="84"/>
  <c r="BG479" i="84"/>
  <c r="BO500" i="84"/>
  <c r="BI501" i="84"/>
  <c r="BF395" i="83"/>
  <c r="BI400" i="83"/>
  <c r="BG407" i="83"/>
  <c r="BG408" i="83"/>
  <c r="BG409" i="83"/>
  <c r="BO458" i="83"/>
  <c r="BO462" i="83"/>
  <c r="BO466" i="83"/>
  <c r="BO473" i="83"/>
  <c r="BG474" i="83"/>
  <c r="BF475" i="83"/>
  <c r="BF482" i="83"/>
  <c r="BH484" i="83"/>
  <c r="BH485" i="83"/>
  <c r="BH486" i="83"/>
  <c r="BF487" i="83"/>
  <c r="BN502" i="83"/>
  <c r="BM505" i="83"/>
  <c r="BN506" i="83"/>
  <c r="BI511" i="83"/>
  <c r="BG512" i="83"/>
  <c r="BG36" i="84"/>
  <c r="BH76" i="84"/>
  <c r="BH80" i="84"/>
  <c r="BH100" i="84"/>
  <c r="BI142" i="84"/>
  <c r="BH161" i="84"/>
  <c r="BN228" i="84"/>
  <c r="BL230" i="84"/>
  <c r="BI255" i="84"/>
  <c r="BG256" i="84"/>
  <c r="BG257" i="84"/>
  <c r="BN293" i="84"/>
  <c r="BM294" i="84"/>
  <c r="BI342" i="84"/>
  <c r="BG343" i="84"/>
  <c r="BG344" i="84"/>
  <c r="BG422" i="84"/>
  <c r="BG426" i="84"/>
  <c r="BG427" i="84"/>
  <c r="BG448" i="84"/>
  <c r="BL451" i="84"/>
  <c r="BF502" i="84"/>
  <c r="BF33" i="84"/>
  <c r="BF38" i="84"/>
  <c r="BF41" i="84"/>
  <c r="BF49" i="84"/>
  <c r="BF56" i="84"/>
  <c r="BH81" i="84"/>
  <c r="BF82" i="84"/>
  <c r="BF84" i="84"/>
  <c r="BH101" i="84"/>
  <c r="BF102" i="84"/>
  <c r="BH104" i="84"/>
  <c r="BF105" i="84"/>
  <c r="BF106" i="84"/>
  <c r="BF108" i="84"/>
  <c r="BF112" i="84"/>
  <c r="BF116" i="84"/>
  <c r="BF120" i="84"/>
  <c r="BF124" i="84"/>
  <c r="BH144" i="84"/>
  <c r="BL217" i="84"/>
  <c r="BG218" i="84"/>
  <c r="BI231" i="84"/>
  <c r="BI257" i="84"/>
  <c r="BI258" i="84"/>
  <c r="BI259" i="84"/>
  <c r="BI261" i="84"/>
  <c r="BG275" i="84"/>
  <c r="BG276" i="84"/>
  <c r="BG279" i="84"/>
  <c r="BG280" i="84"/>
  <c r="BG283" i="84"/>
  <c r="BH286" i="84"/>
  <c r="BH297" i="84"/>
  <c r="BH298" i="84"/>
  <c r="BF299" i="84"/>
  <c r="BF300" i="84"/>
  <c r="BH301" i="84"/>
  <c r="BF302" i="84"/>
  <c r="BH305" i="84"/>
  <c r="BF306" i="84"/>
  <c r="BH309" i="84"/>
  <c r="BF310" i="84"/>
  <c r="BH313" i="84"/>
  <c r="BF314" i="84"/>
  <c r="BH317" i="84"/>
  <c r="BF318" i="84"/>
  <c r="BG334" i="84"/>
  <c r="BG335" i="84"/>
  <c r="BL424" i="84"/>
  <c r="BG428" i="84"/>
  <c r="BG429" i="84"/>
  <c r="BG432" i="84"/>
  <c r="BI433" i="84"/>
  <c r="BL445" i="84"/>
  <c r="BM446" i="84"/>
  <c r="BN480" i="84"/>
  <c r="BG481" i="84"/>
  <c r="BL401" i="83"/>
  <c r="BO475" i="83"/>
  <c r="BH477" i="83"/>
  <c r="BH489" i="83"/>
  <c r="BF491" i="83"/>
  <c r="BL28" i="84"/>
  <c r="BL32" i="84"/>
  <c r="BH41" i="84"/>
  <c r="BH49" i="84"/>
  <c r="BH56" i="84"/>
  <c r="BL83" i="84"/>
  <c r="BL107" i="84"/>
  <c r="BH108" i="84"/>
  <c r="BH112" i="84"/>
  <c r="BH116" i="84"/>
  <c r="BI144" i="84"/>
  <c r="BI218" i="84"/>
  <c r="BI220" i="84"/>
  <c r="BO285" i="84"/>
  <c r="BI286" i="84"/>
  <c r="BL422" i="84"/>
  <c r="BO431" i="84"/>
  <c r="BI505" i="84"/>
  <c r="BI436" i="83"/>
  <c r="AH18" i="84"/>
  <c r="BH18" i="84" s="1"/>
  <c r="BH43" i="84"/>
  <c r="BF44" i="84"/>
  <c r="BH50" i="84"/>
  <c r="BF51" i="84"/>
  <c r="BH57" i="84"/>
  <c r="BF58" i="84"/>
  <c r="BH64" i="84"/>
  <c r="BH85" i="84"/>
  <c r="BF86" i="84"/>
  <c r="BF88" i="84"/>
  <c r="BH128" i="84"/>
  <c r="BH150" i="84"/>
  <c r="BN188" i="84"/>
  <c r="BH189" i="84"/>
  <c r="BN219" i="84"/>
  <c r="BG221" i="84"/>
  <c r="BG223" i="84"/>
  <c r="BN233" i="84"/>
  <c r="BG240" i="84"/>
  <c r="BG243" i="84"/>
  <c r="BG245" i="84"/>
  <c r="BN247" i="84"/>
  <c r="BG250" i="84"/>
  <c r="BG251" i="84"/>
  <c r="BG263" i="84"/>
  <c r="BG267" i="84"/>
  <c r="BG268" i="84"/>
  <c r="BN270" i="84"/>
  <c r="BN276" i="84"/>
  <c r="BN280" i="84"/>
  <c r="BH287" i="84"/>
  <c r="BI364" i="84"/>
  <c r="BG408" i="84"/>
  <c r="BG414" i="84"/>
  <c r="BL418" i="84"/>
  <c r="BL429" i="84"/>
  <c r="BL433" i="84"/>
  <c r="BM440" i="84"/>
  <c r="BG473" i="84"/>
  <c r="BG474" i="84"/>
  <c r="BF475" i="84"/>
  <c r="BI510" i="84"/>
  <c r="K17" i="84" a="1"/>
  <c r="K17" i="84" s="1"/>
  <c r="BE17" i="84" s="1"/>
  <c r="BN187" i="84"/>
  <c r="BH187" i="84"/>
  <c r="BO216" i="84"/>
  <c r="BI216" i="84"/>
  <c r="BO229" i="84"/>
  <c r="BI229" i="84"/>
  <c r="BG327" i="84"/>
  <c r="BM327" i="84"/>
  <c r="BO395" i="84"/>
  <c r="BI395" i="84"/>
  <c r="BO517" i="84"/>
  <c r="BI517" i="84"/>
  <c r="Z21" i="84"/>
  <c r="BM21" i="84" s="1"/>
  <c r="BO32" i="84"/>
  <c r="BL36" i="84"/>
  <c r="BI37" i="84"/>
  <c r="BH42" i="84"/>
  <c r="BN94" i="84"/>
  <c r="BH94" i="84"/>
  <c r="BL103" i="84"/>
  <c r="BN118" i="84"/>
  <c r="BH118" i="84"/>
  <c r="BN146" i="84"/>
  <c r="BL168" i="84"/>
  <c r="BF168" i="84"/>
  <c r="BN191" i="84"/>
  <c r="BH191" i="84"/>
  <c r="BL214" i="84"/>
  <c r="BM222" i="84"/>
  <c r="BG222" i="84"/>
  <c r="BN78" i="84"/>
  <c r="BH78" i="84"/>
  <c r="BL70" i="84"/>
  <c r="BF70" i="84"/>
  <c r="BN122" i="84"/>
  <c r="BH122" i="84"/>
  <c r="BL144" i="84"/>
  <c r="BF144" i="84"/>
  <c r="BO148" i="84"/>
  <c r="BN153" i="84"/>
  <c r="BH153" i="84"/>
  <c r="BL160" i="84"/>
  <c r="BF160" i="84"/>
  <c r="BL172" i="84"/>
  <c r="BF172" i="84"/>
  <c r="BN195" i="84"/>
  <c r="BH195" i="84"/>
  <c r="BM202" i="84"/>
  <c r="BG202" i="84"/>
  <c r="BH232" i="84"/>
  <c r="BN232" i="84"/>
  <c r="BG165" i="84"/>
  <c r="BM165" i="84"/>
  <c r="BI35" i="84"/>
  <c r="BH44" i="84"/>
  <c r="BF45" i="84"/>
  <c r="BH52" i="84"/>
  <c r="BF53" i="84"/>
  <c r="BH60" i="84"/>
  <c r="BF61" i="84"/>
  <c r="BO65" i="84"/>
  <c r="BF67" i="84"/>
  <c r="BN71" i="84"/>
  <c r="BH71" i="84"/>
  <c r="BF79" i="84"/>
  <c r="BN82" i="84"/>
  <c r="BH82" i="84"/>
  <c r="BL91" i="84"/>
  <c r="BN98" i="84"/>
  <c r="BH98" i="84"/>
  <c r="BL111" i="84"/>
  <c r="BN126" i="84"/>
  <c r="BH126" i="84"/>
  <c r="BN138" i="84"/>
  <c r="BL176" i="84"/>
  <c r="BF176" i="84"/>
  <c r="BM201" i="84"/>
  <c r="BG201" i="84"/>
  <c r="BO221" i="84"/>
  <c r="BI221" i="84"/>
  <c r="BO232" i="84"/>
  <c r="BI232" i="84"/>
  <c r="BM235" i="84"/>
  <c r="BG235" i="84"/>
  <c r="BL196" i="84"/>
  <c r="BF196" i="84"/>
  <c r="AN17" i="84"/>
  <c r="BH45" i="84"/>
  <c r="BF46" i="84"/>
  <c r="BH53" i="84"/>
  <c r="BF54" i="84"/>
  <c r="BH61" i="84"/>
  <c r="BF62" i="84"/>
  <c r="BL115" i="84"/>
  <c r="BN130" i="84"/>
  <c r="BH130" i="84"/>
  <c r="BL136" i="84"/>
  <c r="BF136" i="84"/>
  <c r="BO140" i="84"/>
  <c r="BL163" i="84"/>
  <c r="BF163" i="84"/>
  <c r="BN171" i="84"/>
  <c r="BH171" i="84"/>
  <c r="BL180" i="84"/>
  <c r="BF180" i="84"/>
  <c r="BH201" i="84"/>
  <c r="BN201" i="84"/>
  <c r="BM207" i="84"/>
  <c r="BG207" i="84"/>
  <c r="BM214" i="84"/>
  <c r="BG214" i="84"/>
  <c r="BH224" i="84"/>
  <c r="BN224" i="84"/>
  <c r="BM238" i="84"/>
  <c r="BG238" i="84"/>
  <c r="BM219" i="84"/>
  <c r="BG219" i="84"/>
  <c r="BO387" i="84"/>
  <c r="BI387" i="84"/>
  <c r="BF423" i="84"/>
  <c r="BL423" i="84"/>
  <c r="BH520" i="84"/>
  <c r="BN520" i="84"/>
  <c r="AH22" i="84"/>
  <c r="BN22" i="84" s="1"/>
  <c r="BF29" i="84"/>
  <c r="BM38" i="84"/>
  <c r="BF39" i="84"/>
  <c r="BH46" i="84"/>
  <c r="BF47" i="84"/>
  <c r="BH54" i="84"/>
  <c r="BF55" i="84"/>
  <c r="BH62" i="84"/>
  <c r="BF63" i="84"/>
  <c r="BF68" i="84"/>
  <c r="BN86" i="84"/>
  <c r="BH86" i="84"/>
  <c r="BL95" i="84"/>
  <c r="BN102" i="84"/>
  <c r="BH102" i="84"/>
  <c r="BL119" i="84"/>
  <c r="BN145" i="84"/>
  <c r="BH145" i="84"/>
  <c r="BM154" i="84"/>
  <c r="BN159" i="84"/>
  <c r="BH159" i="84"/>
  <c r="BN175" i="84"/>
  <c r="BH175" i="84"/>
  <c r="BL184" i="84"/>
  <c r="BF184" i="84"/>
  <c r="BH207" i="84"/>
  <c r="BN207" i="84"/>
  <c r="BH213" i="84"/>
  <c r="BN213" i="84"/>
  <c r="BO224" i="84"/>
  <c r="BI224" i="84"/>
  <c r="BM227" i="84"/>
  <c r="BG227" i="84"/>
  <c r="BN114" i="84"/>
  <c r="BH114" i="84"/>
  <c r="BO524" i="84"/>
  <c r="BI524" i="84"/>
  <c r="BO38" i="84"/>
  <c r="BH47" i="84"/>
  <c r="BH55" i="84"/>
  <c r="BH63" i="84"/>
  <c r="BN74" i="84"/>
  <c r="BH74" i="84"/>
  <c r="BN106" i="84"/>
  <c r="BH106" i="84"/>
  <c r="BL123" i="84"/>
  <c r="BO134" i="84"/>
  <c r="BI134" i="84"/>
  <c r="BN162" i="84"/>
  <c r="BH162" i="84"/>
  <c r="BN179" i="84"/>
  <c r="BH179" i="84"/>
  <c r="BL188" i="84"/>
  <c r="BF188" i="84"/>
  <c r="BO213" i="84"/>
  <c r="BI213" i="84"/>
  <c r="BL222" i="84"/>
  <c r="BM230" i="84"/>
  <c r="BG230" i="84"/>
  <c r="BL233" i="84"/>
  <c r="BO237" i="84"/>
  <c r="BI237" i="84"/>
  <c r="BM345" i="84"/>
  <c r="BG345" i="84"/>
  <c r="BO359" i="84"/>
  <c r="BI359" i="84"/>
  <c r="BO379" i="84"/>
  <c r="BI379" i="84"/>
  <c r="BN458" i="84"/>
  <c r="BH458" i="84"/>
  <c r="AF17" i="84"/>
  <c r="AH15" i="84" s="1"/>
  <c r="BN90" i="84"/>
  <c r="BH90" i="84"/>
  <c r="BN110" i="84"/>
  <c r="BH110" i="84"/>
  <c r="BN137" i="84"/>
  <c r="BH137" i="84"/>
  <c r="BL152" i="84"/>
  <c r="BF152" i="84"/>
  <c r="BN183" i="84"/>
  <c r="BH183" i="84"/>
  <c r="BL192" i="84"/>
  <c r="BF192" i="84"/>
  <c r="BH216" i="84"/>
  <c r="BN216" i="84"/>
  <c r="BN290" i="84"/>
  <c r="BH290" i="84"/>
  <c r="BH77" i="84"/>
  <c r="BH105" i="84"/>
  <c r="BH109" i="84"/>
  <c r="BH113" i="84"/>
  <c r="BH117" i="84"/>
  <c r="BH121" i="84"/>
  <c r="BH125" i="84"/>
  <c r="BH129" i="84"/>
  <c r="BH133" i="84"/>
  <c r="BM136" i="84"/>
  <c r="BO138" i="84"/>
  <c r="BF140" i="84"/>
  <c r="BM144" i="84"/>
  <c r="BO146" i="84"/>
  <c r="BF148" i="84"/>
  <c r="BI150" i="84"/>
  <c r="BM152" i="84"/>
  <c r="BO154" i="84"/>
  <c r="BF156" i="84"/>
  <c r="BM166" i="84"/>
  <c r="BF167" i="84"/>
  <c r="BH170" i="84"/>
  <c r="BH174" i="84"/>
  <c r="BH178" i="84"/>
  <c r="BH182" i="84"/>
  <c r="BH186" i="84"/>
  <c r="BH190" i="84"/>
  <c r="BH194" i="84"/>
  <c r="BI199" i="84"/>
  <c r="BL204" i="84"/>
  <c r="BL210" i="84"/>
  <c r="BL220" i="84"/>
  <c r="BL228" i="84"/>
  <c r="BL236" i="84"/>
  <c r="BM285" i="84"/>
  <c r="BG285" i="84"/>
  <c r="BG300" i="84"/>
  <c r="BM300" i="84"/>
  <c r="BM337" i="84"/>
  <c r="BG337" i="84"/>
  <c r="BO351" i="84"/>
  <c r="BI351" i="84"/>
  <c r="BO455" i="84"/>
  <c r="BI455" i="84"/>
  <c r="BO479" i="84"/>
  <c r="BI479" i="84"/>
  <c r="BH502" i="84"/>
  <c r="BN502" i="84"/>
  <c r="BH140" i="84"/>
  <c r="BH148" i="84"/>
  <c r="BH156" i="84"/>
  <c r="BH167" i="84"/>
  <c r="BL215" i="84"/>
  <c r="BL223" i="84"/>
  <c r="BL231" i="84"/>
  <c r="BM273" i="84"/>
  <c r="BG273" i="84"/>
  <c r="BM277" i="84"/>
  <c r="BG277" i="84"/>
  <c r="BM281" i="84"/>
  <c r="BG281" i="84"/>
  <c r="BN296" i="84"/>
  <c r="BH296" i="84"/>
  <c r="BO343" i="84"/>
  <c r="BI343" i="84"/>
  <c r="BM370" i="84"/>
  <c r="BG370" i="84"/>
  <c r="BF410" i="84"/>
  <c r="BL410" i="84"/>
  <c r="BM430" i="84"/>
  <c r="BG430" i="84"/>
  <c r="BF439" i="84"/>
  <c r="BL439" i="84"/>
  <c r="BO447" i="84"/>
  <c r="BI447" i="84"/>
  <c r="BM482" i="84"/>
  <c r="BG482" i="84"/>
  <c r="BF487" i="84"/>
  <c r="BL487" i="84"/>
  <c r="BF138" i="84"/>
  <c r="BM142" i="84"/>
  <c r="BF146" i="84"/>
  <c r="BM150" i="84"/>
  <c r="BF154" i="84"/>
  <c r="BM158" i="84"/>
  <c r="BF159" i="84"/>
  <c r="BM164" i="84"/>
  <c r="BF165" i="84"/>
  <c r="BL212" i="84"/>
  <c r="BN215" i="84"/>
  <c r="BL218" i="84"/>
  <c r="BN223" i="84"/>
  <c r="BL226" i="84"/>
  <c r="BL234" i="84"/>
  <c r="BM246" i="84"/>
  <c r="BG246" i="84"/>
  <c r="BM252" i="84"/>
  <c r="BG252" i="84"/>
  <c r="BM264" i="84"/>
  <c r="BG264" i="84"/>
  <c r="BM269" i="84"/>
  <c r="BG269" i="84"/>
  <c r="BO276" i="84"/>
  <c r="BI276" i="84"/>
  <c r="BO280" i="84"/>
  <c r="BI280" i="84"/>
  <c r="BO284" i="84"/>
  <c r="BI284" i="84"/>
  <c r="BI299" i="84"/>
  <c r="BO299" i="84"/>
  <c r="BF404" i="84"/>
  <c r="BL404" i="84"/>
  <c r="BF409" i="84"/>
  <c r="BL409" i="84"/>
  <c r="BM475" i="84"/>
  <c r="BG475" i="84"/>
  <c r="BM484" i="84"/>
  <c r="BG484" i="84"/>
  <c r="BL512" i="84"/>
  <c r="BF512" i="84"/>
  <c r="BL515" i="84"/>
  <c r="BF515" i="84"/>
  <c r="BM529" i="84"/>
  <c r="BG529" i="84"/>
  <c r="BL200" i="84"/>
  <c r="BL206" i="84"/>
  <c r="BI207" i="84"/>
  <c r="BN218" i="84"/>
  <c r="BI219" i="84"/>
  <c r="BL221" i="84"/>
  <c r="BN226" i="84"/>
  <c r="BI227" i="84"/>
  <c r="BL229" i="84"/>
  <c r="BN234" i="84"/>
  <c r="BI235" i="84"/>
  <c r="BL237" i="84"/>
  <c r="BM242" i="84"/>
  <c r="BG242" i="84"/>
  <c r="BO272" i="84"/>
  <c r="BI272" i="84"/>
  <c r="BL291" i="84"/>
  <c r="BF291" i="84"/>
  <c r="BO488" i="84"/>
  <c r="BI488" i="84"/>
  <c r="BH491" i="84"/>
  <c r="BN491" i="84"/>
  <c r="BL518" i="84"/>
  <c r="BF518" i="84"/>
  <c r="BH75" i="84"/>
  <c r="BH79" i="84"/>
  <c r="BH83" i="84"/>
  <c r="BH87" i="84"/>
  <c r="BH91" i="84"/>
  <c r="BH95" i="84"/>
  <c r="BH99" i="84"/>
  <c r="BH103" i="84"/>
  <c r="BH107" i="84"/>
  <c r="BH111" i="84"/>
  <c r="BH115" i="84"/>
  <c r="BH119" i="84"/>
  <c r="BH123" i="84"/>
  <c r="BH127" i="84"/>
  <c r="BH131" i="84"/>
  <c r="BM140" i="84"/>
  <c r="BM148" i="84"/>
  <c r="BM156" i="84"/>
  <c r="BM162" i="84"/>
  <c r="BI202" i="84"/>
  <c r="BG208" i="84"/>
  <c r="BI214" i="84"/>
  <c r="BL216" i="84"/>
  <c r="BG217" i="84"/>
  <c r="BN221" i="84"/>
  <c r="BI222" i="84"/>
  <c r="BL224" i="84"/>
  <c r="BG225" i="84"/>
  <c r="BN229" i="84"/>
  <c r="BI230" i="84"/>
  <c r="BL232" i="84"/>
  <c r="BG233" i="84"/>
  <c r="BN237" i="84"/>
  <c r="BG239" i="84"/>
  <c r="BH241" i="84"/>
  <c r="BN241" i="84"/>
  <c r="BO245" i="84"/>
  <c r="BI245" i="84"/>
  <c r="BO250" i="84"/>
  <c r="BI250" i="84"/>
  <c r="BO263" i="84"/>
  <c r="BI263" i="84"/>
  <c r="BO268" i="84"/>
  <c r="BI268" i="84"/>
  <c r="BO474" i="84"/>
  <c r="BI474" i="84"/>
  <c r="BO486" i="84"/>
  <c r="BI486" i="84"/>
  <c r="BG525" i="84"/>
  <c r="BM525" i="84"/>
  <c r="BG203" i="84"/>
  <c r="BG209" i="84"/>
  <c r="BI217" i="84"/>
  <c r="BL219" i="84"/>
  <c r="BG220" i="84"/>
  <c r="BI225" i="84"/>
  <c r="BL227" i="84"/>
  <c r="BG228" i="84"/>
  <c r="BI233" i="84"/>
  <c r="BL235" i="84"/>
  <c r="BG236" i="84"/>
  <c r="BI239" i="84"/>
  <c r="BL294" i="84"/>
  <c r="BF294" i="84"/>
  <c r="BO323" i="84"/>
  <c r="BI323" i="84"/>
  <c r="BM361" i="84"/>
  <c r="BG361" i="84"/>
  <c r="BN367" i="84"/>
  <c r="BH367" i="84"/>
  <c r="BM381" i="84"/>
  <c r="BG381" i="84"/>
  <c r="BM389" i="84"/>
  <c r="BG389" i="84"/>
  <c r="BM397" i="84"/>
  <c r="BG397" i="84"/>
  <c r="BM477" i="84"/>
  <c r="BG477" i="84"/>
  <c r="BN493" i="84"/>
  <c r="BH493" i="84"/>
  <c r="BO508" i="84"/>
  <c r="BI508" i="84"/>
  <c r="BO511" i="84"/>
  <c r="BI511" i="84"/>
  <c r="BO514" i="84"/>
  <c r="BI514" i="84"/>
  <c r="BM353" i="84"/>
  <c r="BG353" i="84"/>
  <c r="BL242" i="84"/>
  <c r="BG244" i="84"/>
  <c r="BI256" i="84"/>
  <c r="BI267" i="84"/>
  <c r="BI271" i="84"/>
  <c r="BI275" i="84"/>
  <c r="BI279" i="84"/>
  <c r="BI283" i="84"/>
  <c r="BN294" i="84"/>
  <c r="BM297" i="84"/>
  <c r="BF298" i="84"/>
  <c r="BO301" i="84"/>
  <c r="BL305" i="84"/>
  <c r="BL309" i="84"/>
  <c r="BL313" i="84"/>
  <c r="BL317" i="84"/>
  <c r="BI321" i="84"/>
  <c r="BM451" i="84"/>
  <c r="BM452" i="84"/>
  <c r="BM466" i="84"/>
  <c r="BI473" i="84"/>
  <c r="BO475" i="84"/>
  <c r="BI485" i="84"/>
  <c r="BO489" i="84"/>
  <c r="BL494" i="84"/>
  <c r="BI504" i="84"/>
  <c r="BF505" i="84"/>
  <c r="BO522" i="84"/>
  <c r="BO526" i="84"/>
  <c r="BI527" i="84"/>
  <c r="BL248" i="84"/>
  <c r="BG284" i="84"/>
  <c r="BO297" i="84"/>
  <c r="BI322" i="84"/>
  <c r="BI378" i="84"/>
  <c r="BI386" i="84"/>
  <c r="BI394" i="84"/>
  <c r="BM400" i="84"/>
  <c r="BM401" i="84"/>
  <c r="BH402" i="84"/>
  <c r="BM405" i="84"/>
  <c r="BL415" i="84"/>
  <c r="BL416" i="84"/>
  <c r="BL417" i="84"/>
  <c r="BL426" i="84"/>
  <c r="BN432" i="84"/>
  <c r="BM443" i="84"/>
  <c r="BM444" i="84"/>
  <c r="BL453" i="84"/>
  <c r="BN487" i="84"/>
  <c r="BO494" i="84"/>
  <c r="BF508" i="84"/>
  <c r="BF511" i="84"/>
  <c r="BN513" i="84"/>
  <c r="BF514" i="84"/>
  <c r="BF517" i="84"/>
  <c r="BG524" i="84"/>
  <c r="BL244" i="84"/>
  <c r="BG258" i="84"/>
  <c r="BN267" i="84"/>
  <c r="BN271" i="84"/>
  <c r="BN275" i="84"/>
  <c r="BN279" i="84"/>
  <c r="BN283" i="84"/>
  <c r="BM289" i="84"/>
  <c r="BF290" i="84"/>
  <c r="BM295" i="84"/>
  <c r="BF296" i="84"/>
  <c r="BH299" i="84"/>
  <c r="BH303" i="84"/>
  <c r="BH307" i="84"/>
  <c r="BH311" i="84"/>
  <c r="BH315" i="84"/>
  <c r="BG324" i="84"/>
  <c r="BG331" i="84"/>
  <c r="BG332" i="84"/>
  <c r="BG333" i="84"/>
  <c r="BL406" i="84"/>
  <c r="BH479" i="84"/>
  <c r="BL483" i="84"/>
  <c r="BH486" i="84"/>
  <c r="BO487" i="84"/>
  <c r="BL490" i="84"/>
  <c r="BL492" i="84"/>
  <c r="BL498" i="84"/>
  <c r="BM519" i="84"/>
  <c r="BI520" i="84"/>
  <c r="BI528" i="84"/>
  <c r="BI251" i="84"/>
  <c r="BL257" i="84"/>
  <c r="BF304" i="84"/>
  <c r="BF308" i="84"/>
  <c r="BF312" i="84"/>
  <c r="BF316" i="84"/>
  <c r="BM318" i="84"/>
  <c r="BF319" i="84"/>
  <c r="BM323" i="84"/>
  <c r="BI324" i="84"/>
  <c r="BI325" i="84"/>
  <c r="BI326" i="84"/>
  <c r="BI327" i="84"/>
  <c r="BI336" i="84"/>
  <c r="BI344" i="84"/>
  <c r="BI352" i="84"/>
  <c r="BI360" i="84"/>
  <c r="BM366" i="84"/>
  <c r="BI367" i="84"/>
  <c r="BI380" i="84"/>
  <c r="BI388" i="84"/>
  <c r="BI396" i="84"/>
  <c r="BL402" i="84"/>
  <c r="BH403" i="84"/>
  <c r="BM406" i="84"/>
  <c r="BL407" i="84"/>
  <c r="BL419" i="84"/>
  <c r="BL420" i="84"/>
  <c r="BL428" i="84"/>
  <c r="BL476" i="84"/>
  <c r="BN481" i="84"/>
  <c r="BI496" i="84"/>
  <c r="BI499" i="84"/>
  <c r="BF506" i="84"/>
  <c r="BF509" i="84"/>
  <c r="BI525" i="84"/>
  <c r="BN245" i="84"/>
  <c r="BG247" i="84"/>
  <c r="BI252" i="84"/>
  <c r="BG253" i="84"/>
  <c r="BG259" i="84"/>
  <c r="BN263" i="84"/>
  <c r="BI264" i="84"/>
  <c r="BG265" i="84"/>
  <c r="BN268" i="84"/>
  <c r="BI269" i="84"/>
  <c r="BN272" i="84"/>
  <c r="BI273" i="84"/>
  <c r="BI277" i="84"/>
  <c r="BI281" i="84"/>
  <c r="BM293" i="84"/>
  <c r="BH300" i="84"/>
  <c r="BH304" i="84"/>
  <c r="BH308" i="84"/>
  <c r="BH312" i="84"/>
  <c r="BH316" i="84"/>
  <c r="BH319" i="84"/>
  <c r="BI328" i="84"/>
  <c r="BI337" i="84"/>
  <c r="BG338" i="84"/>
  <c r="BI345" i="84"/>
  <c r="BG346" i="84"/>
  <c r="BI353" i="84"/>
  <c r="BG354" i="84"/>
  <c r="BI361" i="84"/>
  <c r="BG362" i="84"/>
  <c r="BN368" i="84"/>
  <c r="BN369" i="84"/>
  <c r="BG371" i="84"/>
  <c r="BG372" i="84"/>
  <c r="BG382" i="84"/>
  <c r="BG390" i="84"/>
  <c r="BG398" i="84"/>
  <c r="BG423" i="84"/>
  <c r="BG431" i="84"/>
  <c r="BI439" i="84"/>
  <c r="BI449" i="84"/>
  <c r="BG450" i="84"/>
  <c r="BH460" i="84"/>
  <c r="BH477" i="84"/>
  <c r="BG487" i="84"/>
  <c r="BN488" i="84"/>
  <c r="BG489" i="84"/>
  <c r="BI493" i="84"/>
  <c r="BN517" i="84"/>
  <c r="BI529" i="84"/>
  <c r="BL246" i="84"/>
  <c r="BI247" i="84"/>
  <c r="BI253" i="84"/>
  <c r="BG254" i="84"/>
  <c r="BL258" i="84"/>
  <c r="BG260" i="84"/>
  <c r="BG270" i="84"/>
  <c r="BG274" i="84"/>
  <c r="BG278" i="84"/>
  <c r="BG282" i="84"/>
  <c r="BM287" i="84"/>
  <c r="BF297" i="84"/>
  <c r="BF301" i="84"/>
  <c r="BI338" i="84"/>
  <c r="BG339" i="84"/>
  <c r="BI346" i="84"/>
  <c r="BG347" i="84"/>
  <c r="BI354" i="84"/>
  <c r="BG355" i="84"/>
  <c r="BI362" i="84"/>
  <c r="BG363" i="84"/>
  <c r="BN370" i="84"/>
  <c r="BH372" i="84"/>
  <c r="BG373" i="84"/>
  <c r="BG374" i="84"/>
  <c r="BG375" i="84"/>
  <c r="BI382" i="84"/>
  <c r="BG383" i="84"/>
  <c r="BI390" i="84"/>
  <c r="BG391" i="84"/>
  <c r="BI399" i="84"/>
  <c r="BL403" i="84"/>
  <c r="BG424" i="84"/>
  <c r="BL430" i="84"/>
  <c r="BL437" i="84"/>
  <c r="BM438" i="84"/>
  <c r="BI450" i="84"/>
  <c r="BM458" i="84"/>
  <c r="BM459" i="84"/>
  <c r="BH461" i="84"/>
  <c r="BH462" i="84"/>
  <c r="BI471" i="84"/>
  <c r="BG480" i="84"/>
  <c r="BL491" i="84"/>
  <c r="BG494" i="84"/>
  <c r="BL496" i="84"/>
  <c r="BG497" i="84"/>
  <c r="BL499" i="84"/>
  <c r="BG500" i="84"/>
  <c r="BI242" i="84"/>
  <c r="BG248" i="84"/>
  <c r="BI254" i="84"/>
  <c r="BG255" i="84"/>
  <c r="BI260" i="84"/>
  <c r="BG266" i="84"/>
  <c r="BN269" i="84"/>
  <c r="BI270" i="84"/>
  <c r="BN273" i="84"/>
  <c r="BI274" i="84"/>
  <c r="BN277" i="84"/>
  <c r="BI278" i="84"/>
  <c r="BN281" i="84"/>
  <c r="BI282" i="84"/>
  <c r="BF286" i="84"/>
  <c r="BF292" i="84"/>
  <c r="BI339" i="84"/>
  <c r="BG340" i="84"/>
  <c r="BI347" i="84"/>
  <c r="BG348" i="84"/>
  <c r="BI355" i="84"/>
  <c r="BG356" i="84"/>
  <c r="BI363" i="84"/>
  <c r="BG364" i="84"/>
  <c r="BG376" i="84"/>
  <c r="BG384" i="84"/>
  <c r="BG392" i="84"/>
  <c r="BM404" i="84"/>
  <c r="BG425" i="84"/>
  <c r="BF432" i="84"/>
  <c r="BI441" i="84"/>
  <c r="BG442" i="84"/>
  <c r="BM460" i="84"/>
  <c r="BI462" i="84"/>
  <c r="BH463" i="84"/>
  <c r="BH464" i="84"/>
  <c r="BH465" i="84"/>
  <c r="BH466" i="84"/>
  <c r="BI469" i="84"/>
  <c r="BF473" i="84"/>
  <c r="BG478" i="84"/>
  <c r="BL482" i="84"/>
  <c r="BG483" i="84"/>
  <c r="BL484" i="84"/>
  <c r="BG485" i="84"/>
  <c r="BG492" i="84"/>
  <c r="BN503" i="84"/>
  <c r="BF504" i="84"/>
  <c r="BN506" i="84"/>
  <c r="BF507" i="84"/>
  <c r="BN509" i="84"/>
  <c r="BF510" i="84"/>
  <c r="BF513" i="84"/>
  <c r="BM521" i="84"/>
  <c r="BM191" i="83"/>
  <c r="BG191" i="83"/>
  <c r="BM416" i="83"/>
  <c r="BG416" i="83"/>
  <c r="BI30" i="83"/>
  <c r="BO31" i="83"/>
  <c r="BL36" i="83"/>
  <c r="BN41" i="83"/>
  <c r="BL42" i="83"/>
  <c r="BN49" i="83"/>
  <c r="BL50" i="83"/>
  <c r="BL55" i="83"/>
  <c r="BG56" i="83"/>
  <c r="BM58" i="83"/>
  <c r="BM63" i="83"/>
  <c r="BG64" i="83"/>
  <c r="BM66" i="83"/>
  <c r="BH67" i="83"/>
  <c r="BI79" i="83"/>
  <c r="BI87" i="83"/>
  <c r="BM93" i="83"/>
  <c r="BG95" i="83"/>
  <c r="BL100" i="83"/>
  <c r="BN106" i="83"/>
  <c r="BG107" i="83"/>
  <c r="BO109" i="83"/>
  <c r="BI110" i="83"/>
  <c r="BN112" i="83"/>
  <c r="BO115" i="83"/>
  <c r="BI116" i="83"/>
  <c r="BO118" i="83"/>
  <c r="BN127" i="83"/>
  <c r="BG128" i="83"/>
  <c r="BO130" i="83"/>
  <c r="BO134" i="83"/>
  <c r="BO138" i="83"/>
  <c r="BO142" i="83"/>
  <c r="BO146" i="83"/>
  <c r="BO151" i="83"/>
  <c r="BG152" i="83"/>
  <c r="BF153" i="83"/>
  <c r="BF156" i="83"/>
  <c r="BF160" i="83"/>
  <c r="BO175" i="83"/>
  <c r="BL224" i="83"/>
  <c r="BF224" i="83"/>
  <c r="BI229" i="83"/>
  <c r="BO229" i="83"/>
  <c r="BO269" i="83"/>
  <c r="BI269" i="83"/>
  <c r="BM282" i="83"/>
  <c r="BG282" i="83"/>
  <c r="BO297" i="83"/>
  <c r="BI297" i="83"/>
  <c r="BL305" i="83"/>
  <c r="BF305" i="83"/>
  <c r="BG315" i="83"/>
  <c r="BM315" i="83"/>
  <c r="BL332" i="83"/>
  <c r="BF332" i="83"/>
  <c r="BG337" i="83"/>
  <c r="BM337" i="83"/>
  <c r="BG343" i="83"/>
  <c r="BM343" i="83"/>
  <c r="BL376" i="83"/>
  <c r="BF376" i="83"/>
  <c r="BI220" i="83"/>
  <c r="BO220" i="83"/>
  <c r="BL267" i="83"/>
  <c r="BF287" i="83"/>
  <c r="BL287" i="83"/>
  <c r="BM405" i="83"/>
  <c r="BG405" i="83"/>
  <c r="AH18" i="83"/>
  <c r="BN18" i="83" s="1"/>
  <c r="S25" i="83"/>
  <c r="BL32" i="83"/>
  <c r="BM36" i="83"/>
  <c r="T58" i="83"/>
  <c r="S63" i="83"/>
  <c r="T66" i="83"/>
  <c r="BO106" i="83"/>
  <c r="BM123" i="83"/>
  <c r="BF148" i="83"/>
  <c r="BF149" i="83"/>
  <c r="BG153" i="83"/>
  <c r="BG156" i="83"/>
  <c r="BO159" i="83"/>
  <c r="BG160" i="83"/>
  <c r="BF161" i="83"/>
  <c r="BN162" i="83"/>
  <c r="BF163" i="83"/>
  <c r="BN164" i="83"/>
  <c r="BF165" i="83"/>
  <c r="BN166" i="83"/>
  <c r="BF167" i="83"/>
  <c r="BN168" i="83"/>
  <c r="BF169" i="83"/>
  <c r="BN170" i="83"/>
  <c r="BF171" i="83"/>
  <c r="BM175" i="83"/>
  <c r="BG175" i="83"/>
  <c r="BM195" i="83"/>
  <c r="BG195" i="83"/>
  <c r="BI212" i="83"/>
  <c r="BO212" i="83"/>
  <c r="BO273" i="83"/>
  <c r="BI273" i="83"/>
  <c r="BM293" i="83"/>
  <c r="BG293" i="83"/>
  <c r="BG318" i="83"/>
  <c r="BM318" i="83"/>
  <c r="BH325" i="83"/>
  <c r="BN325" i="83"/>
  <c r="BO363" i="83"/>
  <c r="BI363" i="83"/>
  <c r="BN374" i="83"/>
  <c r="BH374" i="83"/>
  <c r="BO439" i="83"/>
  <c r="BI439" i="83"/>
  <c r="BF321" i="83"/>
  <c r="BL321" i="83"/>
  <c r="BO399" i="83"/>
  <c r="BI399" i="83"/>
  <c r="BG57" i="83"/>
  <c r="BG65" i="83"/>
  <c r="T95" i="83"/>
  <c r="BG98" i="83"/>
  <c r="BO101" i="83"/>
  <c r="BG103" i="83"/>
  <c r="BI125" i="83"/>
  <c r="BI129" i="83"/>
  <c r="BG133" i="83"/>
  <c r="BG137" i="83"/>
  <c r="BG141" i="83"/>
  <c r="BG145" i="83"/>
  <c r="BM173" i="83"/>
  <c r="BG173" i="83"/>
  <c r="BN177" i="83"/>
  <c r="BN181" i="83"/>
  <c r="BN185" i="83"/>
  <c r="BN189" i="83"/>
  <c r="BN193" i="83"/>
  <c r="BL203" i="83"/>
  <c r="BF203" i="83"/>
  <c r="BH223" i="83"/>
  <c r="BN223" i="83"/>
  <c r="BM266" i="83"/>
  <c r="BG266" i="83"/>
  <c r="BO281" i="83"/>
  <c r="BI281" i="83"/>
  <c r="BM295" i="83"/>
  <c r="BG295" i="83"/>
  <c r="BG340" i="83"/>
  <c r="BM340" i="83"/>
  <c r="BG379" i="83"/>
  <c r="BM379" i="83"/>
  <c r="BM183" i="83"/>
  <c r="BG183" i="83"/>
  <c r="BO383" i="83"/>
  <c r="BI383" i="83"/>
  <c r="BM423" i="83"/>
  <c r="BG423" i="83"/>
  <c r="AW30" i="83"/>
  <c r="AV30" i="83" s="1"/>
  <c r="BI39" i="83"/>
  <c r="BI57" i="83"/>
  <c r="BI65" i="83"/>
  <c r="T72" i="83"/>
  <c r="BI76" i="83"/>
  <c r="S80" i="83"/>
  <c r="BI84" i="83"/>
  <c r="S88" i="83"/>
  <c r="BI92" i="83"/>
  <c r="BI103" i="83"/>
  <c r="BI108" i="83"/>
  <c r="BI122" i="83"/>
  <c r="BI133" i="83"/>
  <c r="BI137" i="83"/>
  <c r="BI141" i="83"/>
  <c r="BI145" i="83"/>
  <c r="BH197" i="83"/>
  <c r="BN197" i="83"/>
  <c r="BG207" i="83"/>
  <c r="BM207" i="83"/>
  <c r="BL218" i="83"/>
  <c r="BF218" i="83"/>
  <c r="BH257" i="83"/>
  <c r="BN257" i="83"/>
  <c r="BL289" i="83"/>
  <c r="BI317" i="83"/>
  <c r="BO317" i="83"/>
  <c r="BI327" i="83"/>
  <c r="BO327" i="83"/>
  <c r="BH351" i="83"/>
  <c r="BN351" i="83"/>
  <c r="BM187" i="83"/>
  <c r="BG187" i="83"/>
  <c r="BM258" i="83"/>
  <c r="BG258" i="83"/>
  <c r="BG360" i="83"/>
  <c r="BM360" i="83"/>
  <c r="BO522" i="83"/>
  <c r="BI522" i="83"/>
  <c r="AH22" i="83"/>
  <c r="BH22" i="83" s="1"/>
  <c r="T28" i="83"/>
  <c r="BF29" i="83"/>
  <c r="BI35" i="83"/>
  <c r="BN46" i="83"/>
  <c r="BL47" i="83"/>
  <c r="BN53" i="83"/>
  <c r="BI62" i="83"/>
  <c r="BM75" i="83"/>
  <c r="BG77" i="83"/>
  <c r="BM83" i="83"/>
  <c r="BG85" i="83"/>
  <c r="BM91" i="83"/>
  <c r="S96" i="83"/>
  <c r="BG100" i="83"/>
  <c r="BG112" i="83"/>
  <c r="BI126" i="83"/>
  <c r="BM129" i="83"/>
  <c r="BG130" i="83"/>
  <c r="BG134" i="83"/>
  <c r="BG138" i="83"/>
  <c r="BG142" i="83"/>
  <c r="BF146" i="83"/>
  <c r="BH150" i="83"/>
  <c r="BF151" i="83"/>
  <c r="BF155" i="83"/>
  <c r="BG158" i="83"/>
  <c r="BF162" i="83"/>
  <c r="BF164" i="83"/>
  <c r="BF166" i="83"/>
  <c r="BF168" i="83"/>
  <c r="BF170" i="83"/>
  <c r="BM171" i="83"/>
  <c r="BG171" i="83"/>
  <c r="BO171" i="83"/>
  <c r="BG172" i="83"/>
  <c r="BH199" i="83"/>
  <c r="BN199" i="83"/>
  <c r="BL230" i="83"/>
  <c r="BF230" i="83"/>
  <c r="BN261" i="83"/>
  <c r="BH261" i="83"/>
  <c r="BH265" i="83"/>
  <c r="BN265" i="83"/>
  <c r="BO284" i="83"/>
  <c r="BI284" i="83"/>
  <c r="BI307" i="83"/>
  <c r="BO307" i="83"/>
  <c r="BI320" i="83"/>
  <c r="BO320" i="83"/>
  <c r="BM179" i="83"/>
  <c r="BG179" i="83"/>
  <c r="BM410" i="83"/>
  <c r="BG410" i="83"/>
  <c r="T31" i="83"/>
  <c r="BL39" i="83"/>
  <c r="BL40" i="83"/>
  <c r="BN47" i="83"/>
  <c r="BL48" i="83"/>
  <c r="BI63" i="83"/>
  <c r="BL76" i="83"/>
  <c r="BI78" i="83"/>
  <c r="BL84" i="83"/>
  <c r="BI86" i="83"/>
  <c r="BL92" i="83"/>
  <c r="BM99" i="83"/>
  <c r="BI100" i="83"/>
  <c r="BG104" i="83"/>
  <c r="BN108" i="83"/>
  <c r="BN122" i="83"/>
  <c r="BH146" i="83"/>
  <c r="BG151" i="83"/>
  <c r="BN154" i="83"/>
  <c r="BG155" i="83"/>
  <c r="BH158" i="83"/>
  <c r="BF159" i="83"/>
  <c r="BO161" i="83"/>
  <c r="BG162" i="83"/>
  <c r="BO163" i="83"/>
  <c r="BG164" i="83"/>
  <c r="BO165" i="83"/>
  <c r="BG166" i="83"/>
  <c r="BO167" i="83"/>
  <c r="BG168" i="83"/>
  <c r="BO169" i="83"/>
  <c r="BG170" i="83"/>
  <c r="BM177" i="83"/>
  <c r="BG177" i="83"/>
  <c r="BM181" i="83"/>
  <c r="BG181" i="83"/>
  <c r="BM185" i="83"/>
  <c r="BG185" i="83"/>
  <c r="BM189" i="83"/>
  <c r="BG189" i="83"/>
  <c r="BM193" i="83"/>
  <c r="BG193" i="83"/>
  <c r="BN195" i="83"/>
  <c r="BO256" i="83"/>
  <c r="BI256" i="83"/>
  <c r="BM274" i="83"/>
  <c r="BG274" i="83"/>
  <c r="BN300" i="83"/>
  <c r="BI329" i="83"/>
  <c r="BO329" i="83"/>
  <c r="BG346" i="83"/>
  <c r="BM346" i="83"/>
  <c r="BG365" i="83"/>
  <c r="BM365" i="83"/>
  <c r="BH369" i="83"/>
  <c r="BN369" i="83"/>
  <c r="BI172" i="83"/>
  <c r="BO172" i="83"/>
  <c r="BO277" i="83"/>
  <c r="BI277" i="83"/>
  <c r="BL390" i="83"/>
  <c r="BF390" i="83"/>
  <c r="BM422" i="83"/>
  <c r="BG422" i="83"/>
  <c r="S34" i="83"/>
  <c r="BL41" i="83"/>
  <c r="BN48" i="83"/>
  <c r="BL49" i="83"/>
  <c r="BN54" i="83"/>
  <c r="BF101" i="83"/>
  <c r="BF147" i="83"/>
  <c r="BF152" i="83"/>
  <c r="BH155" i="83"/>
  <c r="BG159" i="83"/>
  <c r="BF173" i="83"/>
  <c r="BN175" i="83"/>
  <c r="BH217" i="83"/>
  <c r="BN217" i="83"/>
  <c r="BL221" i="83"/>
  <c r="BF221" i="83"/>
  <c r="BM278" i="83"/>
  <c r="BG278" i="83"/>
  <c r="BM291" i="83"/>
  <c r="BG291" i="83"/>
  <c r="BL443" i="83"/>
  <c r="BO202" i="83"/>
  <c r="BL269" i="83"/>
  <c r="BL284" i="83"/>
  <c r="BN286" i="83"/>
  <c r="BN288" i="83"/>
  <c r="BN297" i="83"/>
  <c r="BN304" i="83"/>
  <c r="BM307" i="83"/>
  <c r="BN334" i="83"/>
  <c r="BF335" i="83"/>
  <c r="BO387" i="83"/>
  <c r="BI387" i="83"/>
  <c r="BL394" i="83"/>
  <c r="BF394" i="83"/>
  <c r="BO437" i="83"/>
  <c r="BI437" i="83"/>
  <c r="BF219" i="83"/>
  <c r="BF228" i="83"/>
  <c r="BL261" i="83"/>
  <c r="BN284" i="83"/>
  <c r="BF306" i="83"/>
  <c r="BG308" i="83"/>
  <c r="BF316" i="83"/>
  <c r="BF319" i="83"/>
  <c r="BN323" i="83"/>
  <c r="BF324" i="83"/>
  <c r="BF326" i="83"/>
  <c r="BM332" i="83"/>
  <c r="BO334" i="83"/>
  <c r="BN337" i="83"/>
  <c r="BN340" i="83"/>
  <c r="BF341" i="83"/>
  <c r="BI349" i="83"/>
  <c r="BO349" i="83"/>
  <c r="BL353" i="83"/>
  <c r="BF353" i="83"/>
  <c r="BH370" i="83"/>
  <c r="BO376" i="83"/>
  <c r="BL384" i="83"/>
  <c r="BF384" i="83"/>
  <c r="BO393" i="83"/>
  <c r="BI393" i="83"/>
  <c r="BL400" i="83"/>
  <c r="BF400" i="83"/>
  <c r="BF405" i="83"/>
  <c r="BL405" i="83"/>
  <c r="BM411" i="83"/>
  <c r="BG411" i="83"/>
  <c r="BM435" i="83"/>
  <c r="BM516" i="83"/>
  <c r="BG516" i="83"/>
  <c r="BH196" i="83"/>
  <c r="BH198" i="83"/>
  <c r="BI200" i="83"/>
  <c r="BF202" i="83"/>
  <c r="BM204" i="83"/>
  <c r="BF205" i="83"/>
  <c r="BF209" i="83"/>
  <c r="BO210" i="83"/>
  <c r="BG211" i="83"/>
  <c r="BF216" i="83"/>
  <c r="BO221" i="83"/>
  <c r="BO224" i="83"/>
  <c r="BO230" i="83"/>
  <c r="BH231" i="83"/>
  <c r="BH235" i="83"/>
  <c r="BH239" i="83"/>
  <c r="BH243" i="83"/>
  <c r="BH247" i="83"/>
  <c r="BH251" i="83"/>
  <c r="BH255" i="83"/>
  <c r="BL259" i="83"/>
  <c r="BH260" i="83"/>
  <c r="BG264" i="83"/>
  <c r="BL271" i="83"/>
  <c r="BH272" i="83"/>
  <c r="BL275" i="83"/>
  <c r="BH276" i="83"/>
  <c r="BN279" i="83"/>
  <c r="BH280" i="83"/>
  <c r="BL285" i="83"/>
  <c r="BG286" i="83"/>
  <c r="BG288" i="83"/>
  <c r="BH290" i="83"/>
  <c r="BH292" i="83"/>
  <c r="BH294" i="83"/>
  <c r="BI296" i="83"/>
  <c r="BH299" i="83"/>
  <c r="BO301" i="83"/>
  <c r="BH303" i="83"/>
  <c r="BO308" i="83"/>
  <c r="BM328" i="83"/>
  <c r="BF350" i="83"/>
  <c r="BH352" i="83"/>
  <c r="BN352" i="83"/>
  <c r="BH358" i="83"/>
  <c r="BH362" i="83"/>
  <c r="BH373" i="83"/>
  <c r="BH378" i="83"/>
  <c r="BL380" i="83"/>
  <c r="BF380" i="83"/>
  <c r="BO389" i="83"/>
  <c r="BI389" i="83"/>
  <c r="BL396" i="83"/>
  <c r="BF396" i="83"/>
  <c r="BM404" i="83"/>
  <c r="BG404" i="83"/>
  <c r="BH416" i="83"/>
  <c r="BN416" i="83"/>
  <c r="BM421" i="83"/>
  <c r="BG421" i="83"/>
  <c r="BM430" i="83"/>
  <c r="BG430" i="83"/>
  <c r="BM431" i="83"/>
  <c r="BG431" i="83"/>
  <c r="BM451" i="83"/>
  <c r="BG451" i="83"/>
  <c r="BI478" i="83"/>
  <c r="BO478" i="83"/>
  <c r="BI483" i="83"/>
  <c r="BO483" i="83"/>
  <c r="BN488" i="83"/>
  <c r="BH488" i="83"/>
  <c r="BL497" i="83"/>
  <c r="BN201" i="83"/>
  <c r="BO204" i="83"/>
  <c r="BH206" i="83"/>
  <c r="BN215" i="83"/>
  <c r="BH216" i="83"/>
  <c r="BF252" i="83"/>
  <c r="BG256" i="83"/>
  <c r="BL263" i="83"/>
  <c r="BH264" i="83"/>
  <c r="BL268" i="83"/>
  <c r="BG269" i="83"/>
  <c r="BG273" i="83"/>
  <c r="BG277" i="83"/>
  <c r="BG281" i="83"/>
  <c r="BL283" i="83"/>
  <c r="BG284" i="83"/>
  <c r="BI290" i="83"/>
  <c r="BI292" i="83"/>
  <c r="BI294" i="83"/>
  <c r="BG297" i="83"/>
  <c r="BI299" i="83"/>
  <c r="BF304" i="83"/>
  <c r="BF307" i="83"/>
  <c r="BM309" i="83"/>
  <c r="BF310" i="83"/>
  <c r="BF317" i="83"/>
  <c r="BF320" i="83"/>
  <c r="BF327" i="83"/>
  <c r="BF329" i="83"/>
  <c r="BN338" i="83"/>
  <c r="BF339" i="83"/>
  <c r="BG344" i="83"/>
  <c r="BM344" i="83"/>
  <c r="BN349" i="83"/>
  <c r="BI352" i="83"/>
  <c r="BO352" i="83"/>
  <c r="BG354" i="83"/>
  <c r="BM354" i="83"/>
  <c r="BO371" i="83"/>
  <c r="BL386" i="83"/>
  <c r="BF386" i="83"/>
  <c r="BO395" i="83"/>
  <c r="BI395" i="83"/>
  <c r="BH404" i="83"/>
  <c r="BN404" i="83"/>
  <c r="BO409" i="83"/>
  <c r="BI409" i="83"/>
  <c r="BM429" i="83"/>
  <c r="BG429" i="83"/>
  <c r="BL440" i="83"/>
  <c r="BN490" i="83"/>
  <c r="BH490" i="83"/>
  <c r="BO514" i="83"/>
  <c r="BI514" i="83"/>
  <c r="BF177" i="83"/>
  <c r="BF179" i="83"/>
  <c r="BF181" i="83"/>
  <c r="BF183" i="83"/>
  <c r="BF185" i="83"/>
  <c r="BF187" i="83"/>
  <c r="BF189" i="83"/>
  <c r="BF191" i="83"/>
  <c r="BF193" i="83"/>
  <c r="BF195" i="83"/>
  <c r="BF197" i="83"/>
  <c r="BF199" i="83"/>
  <c r="BH202" i="83"/>
  <c r="BO211" i="83"/>
  <c r="BF217" i="83"/>
  <c r="BH220" i="83"/>
  <c r="BF223" i="83"/>
  <c r="BH226" i="83"/>
  <c r="BH229" i="83"/>
  <c r="BH232" i="83"/>
  <c r="BH236" i="83"/>
  <c r="BH240" i="83"/>
  <c r="BH244" i="83"/>
  <c r="BH248" i="83"/>
  <c r="BH252" i="83"/>
  <c r="BG257" i="83"/>
  <c r="BL260" i="83"/>
  <c r="BG261" i="83"/>
  <c r="BG265" i="83"/>
  <c r="BH269" i="83"/>
  <c r="BI286" i="83"/>
  <c r="BI288" i="83"/>
  <c r="BG300" i="83"/>
  <c r="BN306" i="83"/>
  <c r="BO309" i="83"/>
  <c r="BF311" i="83"/>
  <c r="BF312" i="83"/>
  <c r="BF313" i="83"/>
  <c r="BO316" i="83"/>
  <c r="BO319" i="83"/>
  <c r="BM322" i="83"/>
  <c r="BN324" i="83"/>
  <c r="BO326" i="83"/>
  <c r="BO328" i="83"/>
  <c r="BM333" i="83"/>
  <c r="BG338" i="83"/>
  <c r="BM338" i="83"/>
  <c r="BM345" i="83"/>
  <c r="BG355" i="83"/>
  <c r="BM355" i="83"/>
  <c r="BG357" i="83"/>
  <c r="BM357" i="83"/>
  <c r="BL371" i="83"/>
  <c r="BF371" i="83"/>
  <c r="BO385" i="83"/>
  <c r="BI385" i="83"/>
  <c r="BL392" i="83"/>
  <c r="BF392" i="83"/>
  <c r="BO401" i="83"/>
  <c r="BI401" i="83"/>
  <c r="BO403" i="83"/>
  <c r="BI403" i="83"/>
  <c r="BF438" i="83"/>
  <c r="BL438" i="83"/>
  <c r="BM440" i="83"/>
  <c r="BO454" i="83"/>
  <c r="BI454" i="83"/>
  <c r="BM458" i="83"/>
  <c r="BG458" i="83"/>
  <c r="BM462" i="83"/>
  <c r="BG462" i="83"/>
  <c r="BM466" i="83"/>
  <c r="BG466" i="83"/>
  <c r="BM470" i="83"/>
  <c r="BG470" i="83"/>
  <c r="BM476" i="83"/>
  <c r="BL479" i="83"/>
  <c r="BM499" i="83"/>
  <c r="BO174" i="83"/>
  <c r="BO176" i="83"/>
  <c r="BO178" i="83"/>
  <c r="BO180" i="83"/>
  <c r="BO182" i="83"/>
  <c r="BO184" i="83"/>
  <c r="BO186" i="83"/>
  <c r="BO188" i="83"/>
  <c r="BO190" i="83"/>
  <c r="BO192" i="83"/>
  <c r="BO194" i="83"/>
  <c r="BO196" i="83"/>
  <c r="BG197" i="83"/>
  <c r="BO198" i="83"/>
  <c r="BG199" i="83"/>
  <c r="BF207" i="83"/>
  <c r="BF210" i="83"/>
  <c r="BM212" i="83"/>
  <c r="BF213" i="83"/>
  <c r="BF214" i="83"/>
  <c r="BO216" i="83"/>
  <c r="BO222" i="83"/>
  <c r="BF227" i="83"/>
  <c r="BF233" i="83"/>
  <c r="BF237" i="83"/>
  <c r="BF241" i="83"/>
  <c r="BF245" i="83"/>
  <c r="BF249" i="83"/>
  <c r="BF253" i="83"/>
  <c r="BL290" i="83"/>
  <c r="BL292" i="83"/>
  <c r="BL294" i="83"/>
  <c r="BM310" i="83"/>
  <c r="BN322" i="83"/>
  <c r="BO324" i="83"/>
  <c r="BM331" i="83"/>
  <c r="BN333" i="83"/>
  <c r="BN336" i="83"/>
  <c r="BM339" i="83"/>
  <c r="BN342" i="83"/>
  <c r="BH355" i="83"/>
  <c r="BN355" i="83"/>
  <c r="BH364" i="83"/>
  <c r="BM378" i="83"/>
  <c r="BL382" i="83"/>
  <c r="BF382" i="83"/>
  <c r="BO391" i="83"/>
  <c r="BI391" i="83"/>
  <c r="BL398" i="83"/>
  <c r="BF398" i="83"/>
  <c r="BO420" i="83"/>
  <c r="BI420" i="83"/>
  <c r="BM486" i="83"/>
  <c r="BI492" i="83"/>
  <c r="BO492" i="83"/>
  <c r="BM524" i="83"/>
  <c r="BG524" i="83"/>
  <c r="BO206" i="83"/>
  <c r="BN209" i="83"/>
  <c r="BL273" i="83"/>
  <c r="BL277" i="83"/>
  <c r="BL281" i="83"/>
  <c r="BG336" i="83"/>
  <c r="BM336" i="83"/>
  <c r="BG342" i="83"/>
  <c r="BM342" i="83"/>
  <c r="BG350" i="83"/>
  <c r="BM350" i="83"/>
  <c r="BI356" i="83"/>
  <c r="BO356" i="83"/>
  <c r="BG368" i="83"/>
  <c r="BM368" i="83"/>
  <c r="BO381" i="83"/>
  <c r="BI381" i="83"/>
  <c r="BL388" i="83"/>
  <c r="BF388" i="83"/>
  <c r="BO397" i="83"/>
  <c r="BI397" i="83"/>
  <c r="BO428" i="83"/>
  <c r="BI428" i="83"/>
  <c r="BH437" i="83"/>
  <c r="BN437" i="83"/>
  <c r="BO457" i="83"/>
  <c r="BI457" i="83"/>
  <c r="BO461" i="83"/>
  <c r="BI461" i="83"/>
  <c r="BO465" i="83"/>
  <c r="BI465" i="83"/>
  <c r="BI494" i="83"/>
  <c r="BO494" i="83"/>
  <c r="BO339" i="83"/>
  <c r="BO341" i="83"/>
  <c r="BO343" i="83"/>
  <c r="BH379" i="83"/>
  <c r="BN380" i="83"/>
  <c r="BN382" i="83"/>
  <c r="BN384" i="83"/>
  <c r="BN386" i="83"/>
  <c r="BN388" i="83"/>
  <c r="BN390" i="83"/>
  <c r="BN392" i="83"/>
  <c r="BN394" i="83"/>
  <c r="BN396" i="83"/>
  <c r="BN398" i="83"/>
  <c r="BN400" i="83"/>
  <c r="BL407" i="83"/>
  <c r="BI408" i="83"/>
  <c r="BN413" i="83"/>
  <c r="BI414" i="83"/>
  <c r="BG420" i="83"/>
  <c r="BG428" i="83"/>
  <c r="BN433" i="83"/>
  <c r="BI434" i="83"/>
  <c r="BG439" i="83"/>
  <c r="BN443" i="83"/>
  <c r="BI444" i="83"/>
  <c r="BF450" i="83"/>
  <c r="BI453" i="83"/>
  <c r="BI456" i="83"/>
  <c r="BI460" i="83"/>
  <c r="BI464" i="83"/>
  <c r="BI468" i="83"/>
  <c r="BM471" i="83"/>
  <c r="BG472" i="83"/>
  <c r="BH475" i="83"/>
  <c r="BM479" i="83"/>
  <c r="BF480" i="83"/>
  <c r="BL484" i="83"/>
  <c r="BF485" i="83"/>
  <c r="BM495" i="83"/>
  <c r="BF496" i="83"/>
  <c r="BM497" i="83"/>
  <c r="BF498" i="83"/>
  <c r="BO499" i="83"/>
  <c r="BH500" i="83"/>
  <c r="BI512" i="83"/>
  <c r="BG513" i="83"/>
  <c r="BI520" i="83"/>
  <c r="BG521" i="83"/>
  <c r="BI528" i="83"/>
  <c r="BG529" i="83"/>
  <c r="BN348" i="83"/>
  <c r="BF349" i="83"/>
  <c r="BF352" i="83"/>
  <c r="BF363" i="83"/>
  <c r="BF374" i="83"/>
  <c r="BM377" i="83"/>
  <c r="BL436" i="83"/>
  <c r="BH472" i="83"/>
  <c r="BF478" i="83"/>
  <c r="BO479" i="83"/>
  <c r="BH480" i="83"/>
  <c r="BF483" i="83"/>
  <c r="BM484" i="83"/>
  <c r="BM491" i="83"/>
  <c r="BM493" i="83"/>
  <c r="BM504" i="83"/>
  <c r="BH505" i="83"/>
  <c r="BI513" i="83"/>
  <c r="BI521" i="83"/>
  <c r="BG522" i="83"/>
  <c r="BI529" i="83"/>
  <c r="BO348" i="83"/>
  <c r="BO351" i="83"/>
  <c r="BN354" i="83"/>
  <c r="BF355" i="83"/>
  <c r="BF358" i="83"/>
  <c r="BF361" i="83"/>
  <c r="BO362" i="83"/>
  <c r="BF366" i="83"/>
  <c r="BN408" i="83"/>
  <c r="BN414" i="83"/>
  <c r="BL434" i="83"/>
  <c r="BN441" i="83"/>
  <c r="BG442" i="83"/>
  <c r="BN444" i="83"/>
  <c r="BG445" i="83"/>
  <c r="BN447" i="83"/>
  <c r="BF448" i="83"/>
  <c r="BI450" i="83"/>
  <c r="BG454" i="83"/>
  <c r="BO477" i="83"/>
  <c r="BH478" i="83"/>
  <c r="BO482" i="83"/>
  <c r="BH483" i="83"/>
  <c r="BM487" i="83"/>
  <c r="BF488" i="83"/>
  <c r="BM489" i="83"/>
  <c r="BF490" i="83"/>
  <c r="BO491" i="83"/>
  <c r="BH492" i="83"/>
  <c r="BO493" i="83"/>
  <c r="BH494" i="83"/>
  <c r="BG515" i="83"/>
  <c r="BG523" i="83"/>
  <c r="BL415" i="83"/>
  <c r="BI416" i="83"/>
  <c r="BL420" i="83"/>
  <c r="BL428" i="83"/>
  <c r="BG448" i="83"/>
  <c r="BF470" i="83"/>
  <c r="BM475" i="83"/>
  <c r="BF476" i="83"/>
  <c r="BF481" i="83"/>
  <c r="BF486" i="83"/>
  <c r="BO487" i="83"/>
  <c r="BO489" i="83"/>
  <c r="BF499" i="83"/>
  <c r="BM500" i="83"/>
  <c r="BF501" i="83"/>
  <c r="BI515" i="83"/>
  <c r="BI523" i="83"/>
  <c r="BM371" i="83"/>
  <c r="BM376" i="83"/>
  <c r="BL409" i="83"/>
  <c r="BI431" i="83"/>
  <c r="BN434" i="83"/>
  <c r="BI435" i="83"/>
  <c r="BN439" i="83"/>
  <c r="BI440" i="83"/>
  <c r="BM469" i="83"/>
  <c r="BM480" i="83"/>
  <c r="BM485" i="83"/>
  <c r="BM496" i="83"/>
  <c r="BO498" i="83"/>
  <c r="BI516" i="83"/>
  <c r="BF356" i="83"/>
  <c r="BM363" i="83"/>
  <c r="BF377" i="83"/>
  <c r="BI406" i="83"/>
  <c r="BG413" i="83"/>
  <c r="BI417" i="83"/>
  <c r="BI425" i="83"/>
  <c r="BH438" i="83"/>
  <c r="BL445" i="83"/>
  <c r="BG452" i="83"/>
  <c r="BG459" i="83"/>
  <c r="BG463" i="83"/>
  <c r="BG467" i="83"/>
  <c r="BM473" i="83"/>
  <c r="BH479" i="83"/>
  <c r="BM483" i="83"/>
  <c r="BM492" i="83"/>
  <c r="BH495" i="83"/>
  <c r="BO496" i="83"/>
  <c r="BH497" i="83"/>
  <c r="BI509" i="83"/>
  <c r="BG510" i="83"/>
  <c r="BI517" i="83"/>
  <c r="BG518" i="83"/>
  <c r="BI525" i="83"/>
  <c r="BG526" i="83"/>
  <c r="BM488" i="83"/>
  <c r="BL28" i="82"/>
  <c r="BL29" i="82"/>
  <c r="BO34" i="82"/>
  <c r="BO37" i="82"/>
  <c r="BO60" i="82"/>
  <c r="BN63" i="82"/>
  <c r="BN68" i="82"/>
  <c r="BF69" i="82"/>
  <c r="BL70" i="82"/>
  <c r="BG80" i="82"/>
  <c r="BG84" i="82"/>
  <c r="BF87" i="82"/>
  <c r="BN91" i="82"/>
  <c r="BG92" i="82"/>
  <c r="BI96" i="82"/>
  <c r="BF97" i="82"/>
  <c r="BH99" i="82"/>
  <c r="BO102" i="82"/>
  <c r="BF104" i="82"/>
  <c r="BN106" i="82"/>
  <c r="BG107" i="82"/>
  <c r="BO113" i="82"/>
  <c r="BG115" i="82"/>
  <c r="BG116" i="82"/>
  <c r="BG119" i="82"/>
  <c r="BH121" i="82"/>
  <c r="BM136" i="82"/>
  <c r="BG136" i="82"/>
  <c r="BM161" i="82"/>
  <c r="BG161" i="82"/>
  <c r="BM205" i="82"/>
  <c r="BG205" i="82"/>
  <c r="BO68" i="82"/>
  <c r="BN70" i="82"/>
  <c r="BL72" i="82"/>
  <c r="BL74" i="82"/>
  <c r="BL76" i="82"/>
  <c r="BN86" i="82"/>
  <c r="BL89" i="82"/>
  <c r="BH148" i="82"/>
  <c r="BN148" i="82"/>
  <c r="BI164" i="82"/>
  <c r="BO164" i="82"/>
  <c r="BL221" i="82"/>
  <c r="BF221" i="82"/>
  <c r="BO268" i="82"/>
  <c r="BI268" i="82"/>
  <c r="BL273" i="82"/>
  <c r="BF273" i="82"/>
  <c r="BN287" i="82"/>
  <c r="BH287" i="82"/>
  <c r="BN288" i="82"/>
  <c r="BH288" i="82"/>
  <c r="BM292" i="82"/>
  <c r="BG292" i="82"/>
  <c r="BL80" i="82"/>
  <c r="BL84" i="82"/>
  <c r="BM128" i="82"/>
  <c r="BG128" i="82"/>
  <c r="BI163" i="82"/>
  <c r="BO163" i="82"/>
  <c r="BM197" i="82"/>
  <c r="BG197" i="82"/>
  <c r="BL200" i="82"/>
  <c r="BF200" i="82"/>
  <c r="BI207" i="82"/>
  <c r="BO207" i="82"/>
  <c r="BF254" i="82"/>
  <c r="BL254" i="82"/>
  <c r="BL339" i="82"/>
  <c r="BF339" i="82"/>
  <c r="BI138" i="82"/>
  <c r="BO138" i="82"/>
  <c r="BL154" i="82"/>
  <c r="BF154" i="82"/>
  <c r="BM216" i="82"/>
  <c r="BG216" i="82"/>
  <c r="BI230" i="82"/>
  <c r="BO230" i="82"/>
  <c r="BI234" i="82"/>
  <c r="BO234" i="82"/>
  <c r="BI238" i="82"/>
  <c r="BO238" i="82"/>
  <c r="BI242" i="82"/>
  <c r="BO242" i="82"/>
  <c r="BO255" i="82"/>
  <c r="BF262" i="82"/>
  <c r="BL262" i="82"/>
  <c r="BN272" i="82"/>
  <c r="BH272" i="82"/>
  <c r="BH45" i="82"/>
  <c r="BH49" i="82"/>
  <c r="BH53" i="82"/>
  <c r="BH57" i="82"/>
  <c r="BH60" i="82"/>
  <c r="BI65" i="82"/>
  <c r="BF68" i="82"/>
  <c r="BG78" i="82"/>
  <c r="BN87" i="82"/>
  <c r="BH125" i="82"/>
  <c r="BH143" i="82"/>
  <c r="BN143" i="82"/>
  <c r="BH151" i="82"/>
  <c r="BN151" i="82"/>
  <c r="BM189" i="82"/>
  <c r="BG189" i="82"/>
  <c r="BL192" i="82"/>
  <c r="BF192" i="82"/>
  <c r="BM213" i="82"/>
  <c r="BG213" i="82"/>
  <c r="BH220" i="82"/>
  <c r="BN220" i="82"/>
  <c r="BI223" i="82"/>
  <c r="BO223" i="82"/>
  <c r="BM226" i="82"/>
  <c r="BG226" i="82"/>
  <c r="BF246" i="82"/>
  <c r="BL246" i="82"/>
  <c r="BO247" i="82"/>
  <c r="BN276" i="82"/>
  <c r="BH276" i="82"/>
  <c r="BI21" i="82"/>
  <c r="BL24" i="82"/>
  <c r="BI41" i="82"/>
  <c r="BI45" i="82"/>
  <c r="BI49" i="82"/>
  <c r="BI53" i="82"/>
  <c r="BI57" i="82"/>
  <c r="BN69" i="82"/>
  <c r="BI95" i="82"/>
  <c r="BI98" i="82"/>
  <c r="BG102" i="82"/>
  <c r="BG106" i="82"/>
  <c r="BH109" i="82"/>
  <c r="BM120" i="82"/>
  <c r="BG120" i="82"/>
  <c r="BI130" i="82"/>
  <c r="BO130" i="82"/>
  <c r="BO153" i="82"/>
  <c r="BI153" i="82"/>
  <c r="BH156" i="82"/>
  <c r="BN156" i="82"/>
  <c r="BG175" i="82"/>
  <c r="BM175" i="82"/>
  <c r="BG179" i="82"/>
  <c r="BM179" i="82"/>
  <c r="BI199" i="82"/>
  <c r="BO199" i="82"/>
  <c r="BF30" i="82"/>
  <c r="BG34" i="82"/>
  <c r="BO69" i="82"/>
  <c r="BG70" i="82"/>
  <c r="BN71" i="82"/>
  <c r="BN73" i="82"/>
  <c r="BN75" i="82"/>
  <c r="BG79" i="82"/>
  <c r="BG83" i="82"/>
  <c r="BN85" i="82"/>
  <c r="BG86" i="82"/>
  <c r="BF96" i="82"/>
  <c r="BF99" i="82"/>
  <c r="BH102" i="82"/>
  <c r="BF110" i="82"/>
  <c r="BH113" i="82"/>
  <c r="BG118" i="82"/>
  <c r="BO119" i="82"/>
  <c r="BI119" i="82"/>
  <c r="BN120" i="82"/>
  <c r="BH120" i="82"/>
  <c r="BO121" i="82"/>
  <c r="BI121" i="82"/>
  <c r="BO215" i="82"/>
  <c r="BI215" i="82"/>
  <c r="BM265" i="82"/>
  <c r="BG265" i="82"/>
  <c r="BN280" i="82"/>
  <c r="BH280" i="82"/>
  <c r="BL328" i="82"/>
  <c r="BF328" i="82"/>
  <c r="BL23" i="82"/>
  <c r="BF31" i="82"/>
  <c r="BI42" i="82"/>
  <c r="BI46" i="82"/>
  <c r="BI50" i="82"/>
  <c r="BO71" i="82"/>
  <c r="BG72" i="82"/>
  <c r="BG74" i="82"/>
  <c r="BG76" i="82"/>
  <c r="BN88" i="82"/>
  <c r="BG89" i="82"/>
  <c r="BF92" i="82"/>
  <c r="BG96" i="82"/>
  <c r="BG99" i="82"/>
  <c r="BG103" i="82"/>
  <c r="BF107" i="82"/>
  <c r="BO109" i="82"/>
  <c r="BG110" i="82"/>
  <c r="BG114" i="82"/>
  <c r="BN123" i="82"/>
  <c r="BH123" i="82"/>
  <c r="BN124" i="82"/>
  <c r="BH124" i="82"/>
  <c r="BN133" i="82"/>
  <c r="BH133" i="82"/>
  <c r="BI158" i="82"/>
  <c r="BO158" i="82"/>
  <c r="BL167" i="82"/>
  <c r="BF167" i="82"/>
  <c r="BO174" i="82"/>
  <c r="BI174" i="82"/>
  <c r="BO178" i="82"/>
  <c r="BI178" i="82"/>
  <c r="BI182" i="82"/>
  <c r="BO182" i="82"/>
  <c r="BI191" i="82"/>
  <c r="BO191" i="82"/>
  <c r="BL208" i="82"/>
  <c r="BF208" i="82"/>
  <c r="BI232" i="82"/>
  <c r="BO232" i="82"/>
  <c r="BI236" i="82"/>
  <c r="BO236" i="82"/>
  <c r="BI240" i="82"/>
  <c r="BO240" i="82"/>
  <c r="BM249" i="82"/>
  <c r="BG249" i="82"/>
  <c r="BN252" i="82"/>
  <c r="BM257" i="82"/>
  <c r="BG257" i="82"/>
  <c r="BN260" i="82"/>
  <c r="BH325" i="82"/>
  <c r="BN325" i="82"/>
  <c r="BH326" i="82"/>
  <c r="BN326" i="82"/>
  <c r="BG126" i="82"/>
  <c r="BH131" i="82"/>
  <c r="BG134" i="82"/>
  <c r="BI139" i="82"/>
  <c r="BI146" i="82"/>
  <c r="BH154" i="82"/>
  <c r="BH159" i="82"/>
  <c r="BO165" i="82"/>
  <c r="BI167" i="82"/>
  <c r="BI176" i="82"/>
  <c r="BI180" i="82"/>
  <c r="BI216" i="82"/>
  <c r="BN223" i="82"/>
  <c r="BI226" i="82"/>
  <c r="BN230" i="82"/>
  <c r="BN232" i="82"/>
  <c r="BN234" i="82"/>
  <c r="BN236" i="82"/>
  <c r="BN238" i="82"/>
  <c r="BN240" i="82"/>
  <c r="BN242" i="82"/>
  <c r="BI249" i="82"/>
  <c r="BN250" i="82"/>
  <c r="BI257" i="82"/>
  <c r="BN258" i="82"/>
  <c r="BG262" i="82"/>
  <c r="BI265" i="82"/>
  <c r="BN266" i="82"/>
  <c r="BF267" i="82"/>
  <c r="BM268" i="82"/>
  <c r="BM269" i="82"/>
  <c r="BO272" i="82"/>
  <c r="BG273" i="82"/>
  <c r="BF277" i="82"/>
  <c r="BF281" i="82"/>
  <c r="BM283" i="82"/>
  <c r="BG283" i="82"/>
  <c r="BM285" i="82"/>
  <c r="BG285" i="82"/>
  <c r="BL287" i="82"/>
  <c r="BF287" i="82"/>
  <c r="BL288" i="82"/>
  <c r="BF288" i="82"/>
  <c r="BL289" i="82"/>
  <c r="BF289" i="82"/>
  <c r="BM300" i="82"/>
  <c r="BG300" i="82"/>
  <c r="BM308" i="82"/>
  <c r="BG308" i="82"/>
  <c r="BM316" i="82"/>
  <c r="BG316" i="82"/>
  <c r="BL326" i="82"/>
  <c r="BF326" i="82"/>
  <c r="BH333" i="82"/>
  <c r="BN333" i="82"/>
  <c r="BL336" i="82"/>
  <c r="BF336" i="82"/>
  <c r="BN338" i="82"/>
  <c r="BO344" i="82"/>
  <c r="BI344" i="82"/>
  <c r="BH345" i="82"/>
  <c r="BN345" i="82"/>
  <c r="BO362" i="82"/>
  <c r="BI362" i="82"/>
  <c r="BG121" i="82"/>
  <c r="BI123" i="82"/>
  <c r="BH126" i="82"/>
  <c r="BG129" i="82"/>
  <c r="BI131" i="82"/>
  <c r="BH134" i="82"/>
  <c r="BG137" i="82"/>
  <c r="BH144" i="82"/>
  <c r="BF147" i="82"/>
  <c r="BO148" i="82"/>
  <c r="BH152" i="82"/>
  <c r="BI154" i="82"/>
  <c r="BH157" i="82"/>
  <c r="BI159" i="82"/>
  <c r="BN161" i="82"/>
  <c r="BF162" i="82"/>
  <c r="BI168" i="82"/>
  <c r="BF169" i="82"/>
  <c r="BG187" i="82"/>
  <c r="BF190" i="82"/>
  <c r="BG195" i="82"/>
  <c r="BF198" i="82"/>
  <c r="BG203" i="82"/>
  <c r="BF206" i="82"/>
  <c r="BI208" i="82"/>
  <c r="BG211" i="82"/>
  <c r="BF214" i="82"/>
  <c r="BI221" i="82"/>
  <c r="BG224" i="82"/>
  <c r="BG229" i="82"/>
  <c r="BG231" i="82"/>
  <c r="BG233" i="82"/>
  <c r="BG235" i="82"/>
  <c r="BG237" i="82"/>
  <c r="BG239" i="82"/>
  <c r="BG241" i="82"/>
  <c r="BG243" i="82"/>
  <c r="BL244" i="82"/>
  <c r="BI246" i="82"/>
  <c r="BN247" i="82"/>
  <c r="BF248" i="82"/>
  <c r="BO250" i="82"/>
  <c r="BG251" i="82"/>
  <c r="BL252" i="82"/>
  <c r="BI254" i="82"/>
  <c r="BN255" i="82"/>
  <c r="BF256" i="82"/>
  <c r="BG259" i="82"/>
  <c r="BL260" i="82"/>
  <c r="BI262" i="82"/>
  <c r="BN263" i="82"/>
  <c r="BF264" i="82"/>
  <c r="BG267" i="82"/>
  <c r="BN269" i="82"/>
  <c r="BG270" i="82"/>
  <c r="BH273" i="82"/>
  <c r="BF274" i="82"/>
  <c r="BO276" i="82"/>
  <c r="BG277" i="82"/>
  <c r="BF278" i="82"/>
  <c r="BO280" i="82"/>
  <c r="BG281" i="82"/>
  <c r="BN284" i="82"/>
  <c r="BH284" i="82"/>
  <c r="BM291" i="82"/>
  <c r="BG291" i="82"/>
  <c r="BL293" i="82"/>
  <c r="BF293" i="82"/>
  <c r="BL301" i="82"/>
  <c r="BF301" i="82"/>
  <c r="BL309" i="82"/>
  <c r="BF309" i="82"/>
  <c r="BL317" i="82"/>
  <c r="BF317" i="82"/>
  <c r="BL327" i="82"/>
  <c r="BF327" i="82"/>
  <c r="BL338" i="82"/>
  <c r="BF338" i="82"/>
  <c r="BO365" i="82"/>
  <c r="BI365" i="82"/>
  <c r="BO371" i="82"/>
  <c r="BI371" i="82"/>
  <c r="BG127" i="82"/>
  <c r="BI129" i="82"/>
  <c r="BH132" i="82"/>
  <c r="BG135" i="82"/>
  <c r="BI137" i="82"/>
  <c r="BO140" i="82"/>
  <c r="BI141" i="82"/>
  <c r="BM152" i="82"/>
  <c r="BI169" i="82"/>
  <c r="BI181" i="82"/>
  <c r="BG185" i="82"/>
  <c r="BF188" i="82"/>
  <c r="BI190" i="82"/>
  <c r="BG193" i="82"/>
  <c r="BF196" i="82"/>
  <c r="BI198" i="82"/>
  <c r="BG201" i="82"/>
  <c r="BF204" i="82"/>
  <c r="BI206" i="82"/>
  <c r="BG209" i="82"/>
  <c r="BF212" i="82"/>
  <c r="BI214" i="82"/>
  <c r="BG218" i="82"/>
  <c r="BG219" i="82"/>
  <c r="BI222" i="82"/>
  <c r="BF225" i="82"/>
  <c r="BG227" i="82"/>
  <c r="BO244" i="82"/>
  <c r="BG245" i="82"/>
  <c r="BI248" i="82"/>
  <c r="BN249" i="82"/>
  <c r="BF250" i="82"/>
  <c r="BO252" i="82"/>
  <c r="BG253" i="82"/>
  <c r="BN257" i="82"/>
  <c r="BF258" i="82"/>
  <c r="BO260" i="82"/>
  <c r="BN265" i="82"/>
  <c r="BF266" i="82"/>
  <c r="BH274" i="82"/>
  <c r="BF279" i="82"/>
  <c r="BG282" i="82"/>
  <c r="BN293" i="82"/>
  <c r="BH293" i="82"/>
  <c r="BL295" i="82"/>
  <c r="BF295" i="82"/>
  <c r="BN301" i="82"/>
  <c r="BH301" i="82"/>
  <c r="BL303" i="82"/>
  <c r="BF303" i="82"/>
  <c r="BN309" i="82"/>
  <c r="BH309" i="82"/>
  <c r="BL311" i="82"/>
  <c r="BF311" i="82"/>
  <c r="BN317" i="82"/>
  <c r="BH317" i="82"/>
  <c r="BL319" i="82"/>
  <c r="BF319" i="82"/>
  <c r="BL330" i="82"/>
  <c r="BF330" i="82"/>
  <c r="BN331" i="82"/>
  <c r="BH337" i="82"/>
  <c r="BN337" i="82"/>
  <c r="BL340" i="82"/>
  <c r="BF340" i="82"/>
  <c r="BN348" i="82"/>
  <c r="BH348" i="82"/>
  <c r="BO349" i="82"/>
  <c r="BI349" i="82"/>
  <c r="BO353" i="82"/>
  <c r="BI353" i="82"/>
  <c r="BO144" i="82"/>
  <c r="BN162" i="82"/>
  <c r="BM171" i="82"/>
  <c r="BM173" i="82"/>
  <c r="BM177" i="82"/>
  <c r="BN246" i="82"/>
  <c r="BN254" i="82"/>
  <c r="BN262" i="82"/>
  <c r="BM296" i="82"/>
  <c r="BG296" i="82"/>
  <c r="BM304" i="82"/>
  <c r="BG304" i="82"/>
  <c r="BM312" i="82"/>
  <c r="BG312" i="82"/>
  <c r="BM320" i="82"/>
  <c r="BG320" i="82"/>
  <c r="BN322" i="82"/>
  <c r="BL331" i="82"/>
  <c r="BF331" i="82"/>
  <c r="BG342" i="82"/>
  <c r="BM342" i="82"/>
  <c r="BO354" i="82"/>
  <c r="BI354" i="82"/>
  <c r="BG125" i="82"/>
  <c r="BM142" i="82"/>
  <c r="BF143" i="82"/>
  <c r="BF151" i="82"/>
  <c r="BO152" i="82"/>
  <c r="BF156" i="82"/>
  <c r="BO173" i="82"/>
  <c r="BG182" i="82"/>
  <c r="BF186" i="82"/>
  <c r="BI188" i="82"/>
  <c r="BG191" i="82"/>
  <c r="BF194" i="82"/>
  <c r="BI196" i="82"/>
  <c r="BG199" i="82"/>
  <c r="BF202" i="82"/>
  <c r="BI204" i="82"/>
  <c r="BG207" i="82"/>
  <c r="BF210" i="82"/>
  <c r="BI212" i="82"/>
  <c r="BF220" i="82"/>
  <c r="BG223" i="82"/>
  <c r="BI225" i="82"/>
  <c r="BN243" i="82"/>
  <c r="BN251" i="82"/>
  <c r="BN259" i="82"/>
  <c r="BH295" i="82"/>
  <c r="BN295" i="82"/>
  <c r="BH303" i="82"/>
  <c r="BN303" i="82"/>
  <c r="BH311" i="82"/>
  <c r="BN311" i="82"/>
  <c r="BH319" i="82"/>
  <c r="BN319" i="82"/>
  <c r="BL322" i="82"/>
  <c r="BF322" i="82"/>
  <c r="BN323" i="82"/>
  <c r="BH329" i="82"/>
  <c r="BN329" i="82"/>
  <c r="BL332" i="82"/>
  <c r="BF332" i="82"/>
  <c r="BN334" i="82"/>
  <c r="BO357" i="82"/>
  <c r="BI357" i="82"/>
  <c r="BG202" i="82"/>
  <c r="BF205" i="82"/>
  <c r="BG210" i="82"/>
  <c r="BF213" i="82"/>
  <c r="BM215" i="82"/>
  <c r="BF216" i="82"/>
  <c r="BG220" i="82"/>
  <c r="BF226" i="82"/>
  <c r="BG228" i="82"/>
  <c r="BG244" i="82"/>
  <c r="BN248" i="82"/>
  <c r="BN256" i="82"/>
  <c r="BN264" i="82"/>
  <c r="BM298" i="82"/>
  <c r="BG298" i="82"/>
  <c r="BM306" i="82"/>
  <c r="BG306" i="82"/>
  <c r="BM314" i="82"/>
  <c r="BG314" i="82"/>
  <c r="BL323" i="82"/>
  <c r="BF323" i="82"/>
  <c r="BL334" i="82"/>
  <c r="BF334" i="82"/>
  <c r="BN335" i="82"/>
  <c r="BO342" i="82"/>
  <c r="BI342" i="82"/>
  <c r="BH343" i="82"/>
  <c r="BN343" i="82"/>
  <c r="BO358" i="82"/>
  <c r="BI358" i="82"/>
  <c r="BN215" i="82"/>
  <c r="BN245" i="82"/>
  <c r="BN253" i="82"/>
  <c r="BN261" i="82"/>
  <c r="BN282" i="82"/>
  <c r="BH282" i="82"/>
  <c r="BL284" i="82"/>
  <c r="BF284" i="82"/>
  <c r="BL286" i="82"/>
  <c r="BF286" i="82"/>
  <c r="BN297" i="82"/>
  <c r="BH297" i="82"/>
  <c r="BL299" i="82"/>
  <c r="BF299" i="82"/>
  <c r="BN305" i="82"/>
  <c r="BH305" i="82"/>
  <c r="BL307" i="82"/>
  <c r="BF307" i="82"/>
  <c r="BN313" i="82"/>
  <c r="BH313" i="82"/>
  <c r="BL315" i="82"/>
  <c r="BF315" i="82"/>
  <c r="BH321" i="82"/>
  <c r="BN321" i="82"/>
  <c r="BL324" i="82"/>
  <c r="BF324" i="82"/>
  <c r="BL335" i="82"/>
  <c r="BF335" i="82"/>
  <c r="BO361" i="82"/>
  <c r="BI361" i="82"/>
  <c r="BN351" i="82"/>
  <c r="BI352" i="82"/>
  <c r="BI356" i="82"/>
  <c r="BI360" i="82"/>
  <c r="BI364" i="82"/>
  <c r="BI394" i="82"/>
  <c r="BL421" i="82"/>
  <c r="BM430" i="82"/>
  <c r="BM433" i="82"/>
  <c r="BM437" i="82"/>
  <c r="BM441" i="82"/>
  <c r="BO447" i="82"/>
  <c r="BM452" i="82"/>
  <c r="BF453" i="82"/>
  <c r="BI457" i="82"/>
  <c r="BG458" i="82"/>
  <c r="BO461" i="82"/>
  <c r="BI462" i="82"/>
  <c r="BO465" i="82"/>
  <c r="BI466" i="82"/>
  <c r="BO469" i="82"/>
  <c r="BI470" i="82"/>
  <c r="BO473" i="82"/>
  <c r="BI474" i="82"/>
  <c r="BN479" i="82"/>
  <c r="BL480" i="82"/>
  <c r="BN487" i="82"/>
  <c r="BN494" i="82"/>
  <c r="BN499" i="82"/>
  <c r="BM506" i="82"/>
  <c r="BN512" i="82"/>
  <c r="BN513" i="82"/>
  <c r="BM501" i="82"/>
  <c r="BN514" i="82"/>
  <c r="BO284" i="82"/>
  <c r="BG290" i="82"/>
  <c r="BG294" i="82"/>
  <c r="BF297" i="82"/>
  <c r="BH299" i="82"/>
  <c r="BG302" i="82"/>
  <c r="BF305" i="82"/>
  <c r="BH307" i="82"/>
  <c r="BG310" i="82"/>
  <c r="BF313" i="82"/>
  <c r="BH315" i="82"/>
  <c r="BG318" i="82"/>
  <c r="BF321" i="82"/>
  <c r="BF325" i="82"/>
  <c r="BF329" i="82"/>
  <c r="BF333" i="82"/>
  <c r="BF337" i="82"/>
  <c r="BI341" i="82"/>
  <c r="BH374" i="82"/>
  <c r="BI379" i="82"/>
  <c r="BN381" i="82"/>
  <c r="BF382" i="82"/>
  <c r="BF388" i="82"/>
  <c r="BI390" i="82"/>
  <c r="BM394" i="82"/>
  <c r="BI395" i="82"/>
  <c r="BH396" i="82"/>
  <c r="BI410" i="82"/>
  <c r="BN414" i="82"/>
  <c r="BF415" i="82"/>
  <c r="BF417" i="82"/>
  <c r="BF425" i="82"/>
  <c r="BM434" i="82"/>
  <c r="BN448" i="82"/>
  <c r="BO458" i="82"/>
  <c r="BI459" i="82"/>
  <c r="BI463" i="82"/>
  <c r="BL481" i="82"/>
  <c r="BM488" i="82"/>
  <c r="BL489" i="82"/>
  <c r="BN495" i="82"/>
  <c r="BH503" i="82"/>
  <c r="BI518" i="82"/>
  <c r="BH406" i="82"/>
  <c r="BH411" i="82"/>
  <c r="BO414" i="82"/>
  <c r="BM416" i="82"/>
  <c r="BM424" i="82"/>
  <c r="BG425" i="82"/>
  <c r="BM431" i="82"/>
  <c r="BF440" i="82"/>
  <c r="BF444" i="82"/>
  <c r="BN446" i="82"/>
  <c r="BG447" i="82"/>
  <c r="BO448" i="82"/>
  <c r="BG449" i="82"/>
  <c r="BG460" i="82"/>
  <c r="BG464" i="82"/>
  <c r="BG468" i="82"/>
  <c r="BG472" i="82"/>
  <c r="BG476" i="82"/>
  <c r="BL483" i="82"/>
  <c r="BL496" i="82"/>
  <c r="BM502" i="82"/>
  <c r="BI503" i="82"/>
  <c r="BI510" i="82"/>
  <c r="BI520" i="82"/>
  <c r="BN290" i="82"/>
  <c r="BM341" i="82"/>
  <c r="BM344" i="82"/>
  <c r="BI366" i="82"/>
  <c r="BI377" i="82"/>
  <c r="BH380" i="82"/>
  <c r="BI388" i="82"/>
  <c r="BN390" i="82"/>
  <c r="BG391" i="82"/>
  <c r="BM418" i="82"/>
  <c r="BF427" i="82"/>
  <c r="BF428" i="82"/>
  <c r="BO431" i="82"/>
  <c r="BM435" i="82"/>
  <c r="BH447" i="82"/>
  <c r="BI460" i="82"/>
  <c r="BI464" i="82"/>
  <c r="BI468" i="82"/>
  <c r="BI472" i="82"/>
  <c r="BI484" i="82"/>
  <c r="BN489" i="82"/>
  <c r="BH511" i="82"/>
  <c r="BI522" i="82"/>
  <c r="BG523" i="82"/>
  <c r="BG524" i="82"/>
  <c r="BN382" i="82"/>
  <c r="BG383" i="82"/>
  <c r="BH391" i="82"/>
  <c r="BM402" i="82"/>
  <c r="BM406" i="82"/>
  <c r="BM411" i="82"/>
  <c r="BM426" i="82"/>
  <c r="BF430" i="82"/>
  <c r="BF433" i="82"/>
  <c r="BF437" i="82"/>
  <c r="BF441" i="82"/>
  <c r="BF445" i="82"/>
  <c r="BO449" i="82"/>
  <c r="BO450" i="82"/>
  <c r="BO454" i="82"/>
  <c r="BG461" i="82"/>
  <c r="BG465" i="82"/>
  <c r="BG469" i="82"/>
  <c r="BG473" i="82"/>
  <c r="BL477" i="82"/>
  <c r="BN483" i="82"/>
  <c r="BM485" i="82"/>
  <c r="BM490" i="82"/>
  <c r="BG493" i="82"/>
  <c r="BI511" i="82"/>
  <c r="BI524" i="82"/>
  <c r="BG525" i="82"/>
  <c r="BG526" i="82"/>
  <c r="BI355" i="82"/>
  <c r="BI359" i="82"/>
  <c r="BI363" i="82"/>
  <c r="BF385" i="82"/>
  <c r="BG389" i="82"/>
  <c r="BF393" i="82"/>
  <c r="BN397" i="82"/>
  <c r="BM398" i="82"/>
  <c r="BI412" i="82"/>
  <c r="BM420" i="82"/>
  <c r="BG421" i="82"/>
  <c r="BO429" i="82"/>
  <c r="BM432" i="82"/>
  <c r="BM436" i="82"/>
  <c r="BM440" i="82"/>
  <c r="BM444" i="82"/>
  <c r="BF457" i="82"/>
  <c r="BM477" i="82"/>
  <c r="BI479" i="82"/>
  <c r="BN485" i="82"/>
  <c r="BL486" i="82"/>
  <c r="BI487" i="82"/>
  <c r="BN491" i="82"/>
  <c r="BL492" i="82"/>
  <c r="BN497" i="82"/>
  <c r="BL498" i="82"/>
  <c r="BN505" i="82"/>
  <c r="BI506" i="82"/>
  <c r="BG512" i="82"/>
  <c r="BI526" i="82"/>
  <c r="BG527" i="82"/>
  <c r="BG528" i="82"/>
  <c r="BG381" i="82"/>
  <c r="BO383" i="82"/>
  <c r="BN388" i="82"/>
  <c r="BM399" i="82"/>
  <c r="BM403" i="82"/>
  <c r="BM407" i="82"/>
  <c r="BM445" i="82"/>
  <c r="BN455" i="82"/>
  <c r="BG466" i="82"/>
  <c r="BG470" i="82"/>
  <c r="BG474" i="82"/>
  <c r="BN477" i="82"/>
  <c r="BL478" i="82"/>
  <c r="BM486" i="82"/>
  <c r="BL493" i="82"/>
  <c r="BL494" i="82"/>
  <c r="BG495" i="82"/>
  <c r="BM498" i="82"/>
  <c r="BL499" i="82"/>
  <c r="BH507" i="82"/>
  <c r="BM511" i="82"/>
  <c r="BI528" i="82"/>
  <c r="BG529" i="82"/>
  <c r="AB529" i="84"/>
  <c r="AB528" i="84"/>
  <c r="AB527" i="84"/>
  <c r="AB526" i="84"/>
  <c r="AB525" i="84"/>
  <c r="AB524" i="84"/>
  <c r="AB523" i="84"/>
  <c r="AB522" i="84"/>
  <c r="AB521" i="84"/>
  <c r="AA522" i="84"/>
  <c r="AA520" i="84"/>
  <c r="AA516" i="84"/>
  <c r="AA512" i="84"/>
  <c r="AA508" i="84"/>
  <c r="AA503" i="84"/>
  <c r="AA523" i="84"/>
  <c r="AB519" i="84"/>
  <c r="AB515" i="84"/>
  <c r="AB511" i="84"/>
  <c r="AB507" i="84"/>
  <c r="AA524" i="84"/>
  <c r="AA519" i="84"/>
  <c r="AA515" i="84"/>
  <c r="AA511" i="84"/>
  <c r="AA507" i="84"/>
  <c r="AB504" i="84"/>
  <c r="AB501" i="84"/>
  <c r="AB500" i="84"/>
  <c r="AB499" i="84"/>
  <c r="AB498" i="84"/>
  <c r="AB497" i="84"/>
  <c r="AB496" i="84"/>
  <c r="AB495" i="84"/>
  <c r="AB494" i="84"/>
  <c r="AB493" i="84"/>
  <c r="AB492" i="84"/>
  <c r="AB491" i="84"/>
  <c r="AB490" i="84"/>
  <c r="AB489" i="84"/>
  <c r="AB488" i="84"/>
  <c r="AB487" i="84"/>
  <c r="AB486" i="84"/>
  <c r="AB485" i="84"/>
  <c r="AB484" i="84"/>
  <c r="AB483" i="84"/>
  <c r="AB482" i="84"/>
  <c r="AB481" i="84"/>
  <c r="AB480" i="84"/>
  <c r="AB479" i="84"/>
  <c r="AB478" i="84"/>
  <c r="AB477" i="84"/>
  <c r="AB476" i="84"/>
  <c r="AA525" i="84"/>
  <c r="AB518" i="84"/>
  <c r="AB514" i="84"/>
  <c r="AB510" i="84"/>
  <c r="AB506" i="84"/>
  <c r="AA504" i="84"/>
  <c r="AA501" i="84"/>
  <c r="AA500" i="84"/>
  <c r="AA499" i="84"/>
  <c r="AA498" i="84"/>
  <c r="AA497" i="84"/>
  <c r="AA496" i="84"/>
  <c r="AA495" i="84"/>
  <c r="AA494" i="84"/>
  <c r="AA526" i="84"/>
  <c r="AA518" i="84"/>
  <c r="AA514" i="84"/>
  <c r="AA510" i="84"/>
  <c r="AA506" i="84"/>
  <c r="AB502" i="84"/>
  <c r="AA527" i="84"/>
  <c r="AB517" i="84"/>
  <c r="AB513" i="84"/>
  <c r="AB509" i="84"/>
  <c r="AB505" i="84"/>
  <c r="AA528" i="84"/>
  <c r="AA517" i="84"/>
  <c r="AA513" i="84"/>
  <c r="AA509" i="84"/>
  <c r="AA505" i="84"/>
  <c r="AA490" i="84"/>
  <c r="AA482" i="84"/>
  <c r="AB473" i="84"/>
  <c r="AB512" i="84"/>
  <c r="AB503" i="84"/>
  <c r="AA487" i="84"/>
  <c r="AA521" i="84"/>
  <c r="AA492" i="84"/>
  <c r="AA484" i="84"/>
  <c r="AB516" i="84"/>
  <c r="AA489" i="84"/>
  <c r="AA481" i="84"/>
  <c r="AB474" i="84"/>
  <c r="AA486" i="84"/>
  <c r="AA478" i="84"/>
  <c r="AA474" i="84"/>
  <c r="AB520" i="84"/>
  <c r="AA491" i="84"/>
  <c r="AA483" i="84"/>
  <c r="AB472" i="84"/>
  <c r="AB471" i="84"/>
  <c r="AB470" i="84"/>
  <c r="AB469" i="84"/>
  <c r="AB468" i="84"/>
  <c r="AB467" i="84"/>
  <c r="AB466" i="84"/>
  <c r="AB465" i="84"/>
  <c r="AB464" i="84"/>
  <c r="AB463" i="84"/>
  <c r="AB462" i="84"/>
  <c r="AB461" i="84"/>
  <c r="AB460" i="84"/>
  <c r="AB459" i="84"/>
  <c r="AB458" i="84"/>
  <c r="AB457" i="84"/>
  <c r="AB456" i="84"/>
  <c r="AB455" i="84"/>
  <c r="AB454" i="84"/>
  <c r="AA502" i="84"/>
  <c r="AA488" i="84"/>
  <c r="AA480" i="84"/>
  <c r="AB475" i="84"/>
  <c r="AA472" i="84"/>
  <c r="AA471" i="84"/>
  <c r="AA470" i="84"/>
  <c r="AA469" i="84"/>
  <c r="AA468" i="84"/>
  <c r="AA467" i="84"/>
  <c r="AA466" i="84"/>
  <c r="AA465" i="84"/>
  <c r="AA464" i="84"/>
  <c r="AA463" i="84"/>
  <c r="AA462" i="84"/>
  <c r="AA461" i="84"/>
  <c r="AA460" i="84"/>
  <c r="AA479" i="84"/>
  <c r="AA473" i="84"/>
  <c r="AA485" i="84"/>
  <c r="AB508" i="84"/>
  <c r="AA456" i="84"/>
  <c r="AA476" i="84"/>
  <c r="AA475" i="84"/>
  <c r="AA477" i="84"/>
  <c r="AA459" i="84"/>
  <c r="AA455" i="84"/>
  <c r="AB453" i="84"/>
  <c r="AB452" i="84"/>
  <c r="AB451" i="84"/>
  <c r="AB450" i="84"/>
  <c r="AB449" i="84"/>
  <c r="AB448" i="84"/>
  <c r="AB447" i="84"/>
  <c r="AB446" i="84"/>
  <c r="AB445" i="84"/>
  <c r="AB444" i="84"/>
  <c r="AB443" i="84"/>
  <c r="AB442" i="84"/>
  <c r="AB441" i="84"/>
  <c r="AB440" i="84"/>
  <c r="AB439" i="84"/>
  <c r="AB438" i="84"/>
  <c r="AB437" i="84"/>
  <c r="AB436" i="84"/>
  <c r="AB435" i="84"/>
  <c r="AB434" i="84"/>
  <c r="AA453" i="84"/>
  <c r="AA452" i="84"/>
  <c r="AA451" i="84"/>
  <c r="AA450" i="84"/>
  <c r="AA449" i="84"/>
  <c r="AA448" i="84"/>
  <c r="AA447" i="84"/>
  <c r="AA446" i="84"/>
  <c r="AA445" i="84"/>
  <c r="AA444" i="84"/>
  <c r="AA443" i="84"/>
  <c r="AA442" i="84"/>
  <c r="AA441" i="84"/>
  <c r="AA440" i="84"/>
  <c r="AA439" i="84"/>
  <c r="AA438" i="84"/>
  <c r="AA437" i="84"/>
  <c r="AA436" i="84"/>
  <c r="AA457" i="84"/>
  <c r="AA434" i="84"/>
  <c r="AB431" i="84"/>
  <c r="AB430" i="84"/>
  <c r="AB429" i="84"/>
  <c r="AB428" i="84"/>
  <c r="AB427" i="84"/>
  <c r="AB426" i="84"/>
  <c r="AB425" i="84"/>
  <c r="AB424" i="84"/>
  <c r="AB423" i="84"/>
  <c r="AB422" i="84"/>
  <c r="AB421" i="84"/>
  <c r="AB420" i="84"/>
  <c r="AB419" i="84"/>
  <c r="AB418" i="84"/>
  <c r="AB417" i="84"/>
  <c r="AB416" i="84"/>
  <c r="AB415" i="84"/>
  <c r="AB414" i="84"/>
  <c r="AB413" i="84"/>
  <c r="AB412" i="84"/>
  <c r="AB411" i="84"/>
  <c r="AB410" i="84"/>
  <c r="AB409" i="84"/>
  <c r="AB408" i="84"/>
  <c r="AB407" i="84"/>
  <c r="AB406" i="84"/>
  <c r="AB405" i="84"/>
  <c r="AB404" i="84"/>
  <c r="AB403" i="84"/>
  <c r="AB402" i="84"/>
  <c r="AB401" i="84"/>
  <c r="AB400" i="84"/>
  <c r="AB399" i="84"/>
  <c r="AB398" i="84"/>
  <c r="AA458" i="84"/>
  <c r="AB432" i="84"/>
  <c r="AA431" i="84"/>
  <c r="AA430" i="84"/>
  <c r="AA429" i="84"/>
  <c r="AA428" i="84"/>
  <c r="AA427" i="84"/>
  <c r="AA426" i="84"/>
  <c r="AA425" i="84"/>
  <c r="AA424" i="84"/>
  <c r="AA423" i="84"/>
  <c r="AA493" i="84"/>
  <c r="AA454" i="84"/>
  <c r="AA432" i="84"/>
  <c r="AB433" i="84"/>
  <c r="AA433" i="84"/>
  <c r="AA435" i="84"/>
  <c r="AA421" i="84"/>
  <c r="AA417" i="84"/>
  <c r="AA413" i="84"/>
  <c r="AA409" i="84"/>
  <c r="AB397" i="84"/>
  <c r="AB396" i="84"/>
  <c r="AB395" i="84"/>
  <c r="AB394" i="84"/>
  <c r="AB393" i="84"/>
  <c r="AB392" i="84"/>
  <c r="AB391" i="84"/>
  <c r="AB390" i="84"/>
  <c r="AB389" i="84"/>
  <c r="AB388" i="84"/>
  <c r="AB387" i="84"/>
  <c r="AB386" i="84"/>
  <c r="AB385" i="84"/>
  <c r="AB384" i="84"/>
  <c r="AB383" i="84"/>
  <c r="AB382" i="84"/>
  <c r="AB381" i="84"/>
  <c r="AB380" i="84"/>
  <c r="AB379" i="84"/>
  <c r="AB378" i="84"/>
  <c r="AB377" i="84"/>
  <c r="AB376" i="84"/>
  <c r="AB375" i="84"/>
  <c r="AB374" i="84"/>
  <c r="AB373" i="84"/>
  <c r="AB372" i="84"/>
  <c r="AB371" i="84"/>
  <c r="AB370" i="84"/>
  <c r="AB369" i="84"/>
  <c r="AB368" i="84"/>
  <c r="AB367" i="84"/>
  <c r="AB366" i="84"/>
  <c r="AB365" i="84"/>
  <c r="AA404" i="84"/>
  <c r="AA398" i="84"/>
  <c r="AA397" i="84"/>
  <c r="AA396" i="84"/>
  <c r="AA395" i="84"/>
  <c r="AA394" i="84"/>
  <c r="AA393" i="84"/>
  <c r="AA392" i="84"/>
  <c r="AA391" i="84"/>
  <c r="AA390" i="84"/>
  <c r="AA389" i="84"/>
  <c r="AA388" i="84"/>
  <c r="AA387" i="84"/>
  <c r="AA386" i="84"/>
  <c r="AA385" i="84"/>
  <c r="AA384" i="84"/>
  <c r="AA383" i="84"/>
  <c r="AA382" i="84"/>
  <c r="AA381" i="84"/>
  <c r="AA380" i="84"/>
  <c r="AA379" i="84"/>
  <c r="AA378" i="84"/>
  <c r="AA377" i="84"/>
  <c r="AA376" i="84"/>
  <c r="AA375" i="84"/>
  <c r="AA374" i="84"/>
  <c r="AA373" i="84"/>
  <c r="AA372" i="84"/>
  <c r="AA371" i="84"/>
  <c r="AA422" i="84"/>
  <c r="AA418" i="84"/>
  <c r="AA414" i="84"/>
  <c r="AA410" i="84"/>
  <c r="AA401" i="84"/>
  <c r="AA419" i="84"/>
  <c r="AA415" i="84"/>
  <c r="AA411" i="84"/>
  <c r="AA403" i="84"/>
  <c r="AA399" i="84"/>
  <c r="AA420" i="84"/>
  <c r="AA416" i="84"/>
  <c r="AA412" i="84"/>
  <c r="AA407" i="84"/>
  <c r="AA406" i="84"/>
  <c r="AA529" i="84"/>
  <c r="AA408" i="84"/>
  <c r="AA405" i="84"/>
  <c r="AA402" i="84"/>
  <c r="AA400" i="84"/>
  <c r="AB364" i="84"/>
  <c r="AB363" i="84"/>
  <c r="AB362" i="84"/>
  <c r="AB361" i="84"/>
  <c r="AB360" i="84"/>
  <c r="AB359" i="84"/>
  <c r="AB358" i="84"/>
  <c r="AB357" i="84"/>
  <c r="AB356" i="84"/>
  <c r="AB355" i="84"/>
  <c r="AB354" i="84"/>
  <c r="AB353" i="84"/>
  <c r="AB352" i="84"/>
  <c r="AB351" i="84"/>
  <c r="AB350" i="84"/>
  <c r="AB349" i="84"/>
  <c r="AB348" i="84"/>
  <c r="AB347" i="84"/>
  <c r="AB346" i="84"/>
  <c r="AB345" i="84"/>
  <c r="AB344" i="84"/>
  <c r="AB343" i="84"/>
  <c r="AB342" i="84"/>
  <c r="AB341" i="84"/>
  <c r="AB340" i="84"/>
  <c r="AB339" i="84"/>
  <c r="AB338" i="84"/>
  <c r="AB337" i="84"/>
  <c r="AB336" i="84"/>
  <c r="AB335" i="84"/>
  <c r="AB334" i="84"/>
  <c r="AB333" i="84"/>
  <c r="AB332" i="84"/>
  <c r="AB331" i="84"/>
  <c r="AB330" i="84"/>
  <c r="AB329" i="84"/>
  <c r="AB328" i="84"/>
  <c r="AB327" i="84"/>
  <c r="AB326" i="84"/>
  <c r="AB325" i="84"/>
  <c r="AB324" i="84"/>
  <c r="AB323" i="84"/>
  <c r="AB322" i="84"/>
  <c r="AB321" i="84"/>
  <c r="AA370" i="84"/>
  <c r="AA369" i="84"/>
  <c r="AA365" i="84"/>
  <c r="AA364" i="84"/>
  <c r="AA363" i="84"/>
  <c r="AA362" i="84"/>
  <c r="AA361" i="84"/>
  <c r="AA360" i="84"/>
  <c r="AA359" i="84"/>
  <c r="AA358" i="84"/>
  <c r="AA357" i="84"/>
  <c r="AA356" i="84"/>
  <c r="AA355" i="84"/>
  <c r="AA354" i="84"/>
  <c r="AA353" i="84"/>
  <c r="AA352" i="84"/>
  <c r="AA351" i="84"/>
  <c r="AA350" i="84"/>
  <c r="AA349" i="84"/>
  <c r="AA348" i="84"/>
  <c r="AA347" i="84"/>
  <c r="AA346" i="84"/>
  <c r="AA345" i="84"/>
  <c r="AA344" i="84"/>
  <c r="AA343" i="84"/>
  <c r="AA342" i="84"/>
  <c r="AA341" i="84"/>
  <c r="AA340" i="84"/>
  <c r="AA339" i="84"/>
  <c r="AA338" i="84"/>
  <c r="AA337" i="84"/>
  <c r="AA336" i="84"/>
  <c r="AA335" i="84"/>
  <c r="AA334" i="84"/>
  <c r="AA333" i="84"/>
  <c r="AA332" i="84"/>
  <c r="AA331" i="84"/>
  <c r="AA368" i="84"/>
  <c r="AA367" i="84"/>
  <c r="AA366" i="84"/>
  <c r="AA330" i="84"/>
  <c r="AA329" i="84"/>
  <c r="AA328" i="84"/>
  <c r="AA324" i="84"/>
  <c r="AB320" i="84"/>
  <c r="AA319" i="84"/>
  <c r="AA318" i="84"/>
  <c r="AA317" i="84"/>
  <c r="AA316" i="84"/>
  <c r="AA315" i="84"/>
  <c r="AA314" i="84"/>
  <c r="AA313" i="84"/>
  <c r="AA312" i="84"/>
  <c r="AA311" i="84"/>
  <c r="AA310" i="84"/>
  <c r="AA309" i="84"/>
  <c r="AA308" i="84"/>
  <c r="AA307" i="84"/>
  <c r="AA306" i="84"/>
  <c r="AA305" i="84"/>
  <c r="AA304" i="84"/>
  <c r="AA303" i="84"/>
  <c r="AA302" i="84"/>
  <c r="AA301" i="84"/>
  <c r="AA300" i="84"/>
  <c r="AA299" i="84"/>
  <c r="AA298" i="84"/>
  <c r="AA297" i="84"/>
  <c r="AA296" i="84"/>
  <c r="AA295" i="84"/>
  <c r="AA294" i="84"/>
  <c r="AA293" i="84"/>
  <c r="AA292" i="84"/>
  <c r="AA291" i="84"/>
  <c r="AA327" i="84"/>
  <c r="AA323" i="84"/>
  <c r="AA326" i="84"/>
  <c r="AA322" i="84"/>
  <c r="AA325" i="84"/>
  <c r="AA321" i="84"/>
  <c r="AA320" i="84"/>
  <c r="AB297" i="84"/>
  <c r="AB296" i="84"/>
  <c r="AB295" i="84"/>
  <c r="AB294" i="84"/>
  <c r="AB293" i="84"/>
  <c r="AB292" i="84"/>
  <c r="AB291" i="84"/>
  <c r="AB290" i="84"/>
  <c r="AA287" i="84"/>
  <c r="AB298" i="84"/>
  <c r="AA290" i="84"/>
  <c r="AB289" i="84"/>
  <c r="AB285" i="84"/>
  <c r="AB284" i="84"/>
  <c r="AB283" i="84"/>
  <c r="AB282" i="84"/>
  <c r="AB281" i="84"/>
  <c r="AB280" i="84"/>
  <c r="AB279" i="84"/>
  <c r="AB278" i="84"/>
  <c r="AB277" i="84"/>
  <c r="AB276" i="84"/>
  <c r="AB275" i="84"/>
  <c r="AB274" i="84"/>
  <c r="AB273" i="84"/>
  <c r="AB272" i="84"/>
  <c r="AB271" i="84"/>
  <c r="AB270" i="84"/>
  <c r="AB269" i="84"/>
  <c r="AB268" i="84"/>
  <c r="AB267" i="84"/>
  <c r="AB266" i="84"/>
  <c r="AB265" i="84"/>
  <c r="AB264" i="84"/>
  <c r="AB263" i="84"/>
  <c r="AB262" i="84"/>
  <c r="AB261" i="84"/>
  <c r="AB260" i="84"/>
  <c r="AB259" i="84"/>
  <c r="AB258" i="84"/>
  <c r="AB257" i="84"/>
  <c r="AB256" i="84"/>
  <c r="AB255" i="84"/>
  <c r="AB254" i="84"/>
  <c r="AB253" i="84"/>
  <c r="AB252" i="84"/>
  <c r="AB251" i="84"/>
  <c r="AB250" i="84"/>
  <c r="AB249" i="84"/>
  <c r="AB248" i="84"/>
  <c r="AB247" i="84"/>
  <c r="AB246" i="84"/>
  <c r="AB245" i="84"/>
  <c r="AB244" i="84"/>
  <c r="AB243" i="84"/>
  <c r="AB242" i="84"/>
  <c r="AB241" i="84"/>
  <c r="AB240" i="84"/>
  <c r="AB239" i="84"/>
  <c r="AB299" i="84"/>
  <c r="AB300" i="84"/>
  <c r="AB286" i="84"/>
  <c r="AB301" i="84"/>
  <c r="AB288" i="84"/>
  <c r="AA286" i="84"/>
  <c r="AB317" i="84"/>
  <c r="AB316" i="84"/>
  <c r="AB315" i="84"/>
  <c r="AB314" i="84"/>
  <c r="AB313" i="84"/>
  <c r="AB312" i="84"/>
  <c r="AB311" i="84"/>
  <c r="AB310" i="84"/>
  <c r="AB309" i="84"/>
  <c r="AB308" i="84"/>
  <c r="AB307" i="84"/>
  <c r="AB306" i="84"/>
  <c r="AB305" i="84"/>
  <c r="AB304" i="84"/>
  <c r="AB303" i="84"/>
  <c r="AB302" i="84"/>
  <c r="AA288" i="84"/>
  <c r="AB318" i="84"/>
  <c r="AB319" i="84"/>
  <c r="AB287" i="84"/>
  <c r="AA267" i="84"/>
  <c r="AA262" i="84"/>
  <c r="AA259" i="84"/>
  <c r="AA258" i="84"/>
  <c r="AA257" i="84"/>
  <c r="AA256" i="84"/>
  <c r="AA255" i="84"/>
  <c r="AA254" i="84"/>
  <c r="AA253" i="84"/>
  <c r="AA252" i="84"/>
  <c r="AA251" i="84"/>
  <c r="AA250" i="84"/>
  <c r="AA249" i="84"/>
  <c r="AA248" i="84"/>
  <c r="AA240" i="84"/>
  <c r="AA265" i="84"/>
  <c r="AA289" i="84"/>
  <c r="AA284" i="84"/>
  <c r="AA282" i="84"/>
  <c r="AA280" i="84"/>
  <c r="AA278" i="84"/>
  <c r="AA276" i="84"/>
  <c r="AA274" i="84"/>
  <c r="AA272" i="84"/>
  <c r="AA270" i="84"/>
  <c r="AA268" i="84"/>
  <c r="AA260" i="84"/>
  <c r="AA246" i="84"/>
  <c r="AA263" i="84"/>
  <c r="AA245" i="84"/>
  <c r="AA266" i="84"/>
  <c r="AA244" i="84"/>
  <c r="AA261" i="84"/>
  <c r="AA285" i="84"/>
  <c r="AA283" i="84"/>
  <c r="AA281" i="84"/>
  <c r="AA279" i="84"/>
  <c r="AA277" i="84"/>
  <c r="AA275" i="84"/>
  <c r="AA273" i="84"/>
  <c r="AA271" i="84"/>
  <c r="AA269" i="84"/>
  <c r="AA264" i="84"/>
  <c r="AA242" i="84"/>
  <c r="AB238" i="84"/>
  <c r="AB237" i="84"/>
  <c r="AB236" i="84"/>
  <c r="AB235" i="84"/>
  <c r="AB234" i="84"/>
  <c r="AB233" i="84"/>
  <c r="AB232" i="84"/>
  <c r="AB231" i="84"/>
  <c r="AB230" i="84"/>
  <c r="AB229" i="84"/>
  <c r="AB228" i="84"/>
  <c r="AB227" i="84"/>
  <c r="AB226" i="84"/>
  <c r="AB225" i="84"/>
  <c r="AB224" i="84"/>
  <c r="AB223" i="84"/>
  <c r="AB222" i="84"/>
  <c r="AB221" i="84"/>
  <c r="AB220" i="84"/>
  <c r="AB219" i="84"/>
  <c r="AB218" i="84"/>
  <c r="AB217" i="84"/>
  <c r="AB216" i="84"/>
  <c r="AB215" i="84"/>
  <c r="AB214" i="84"/>
  <c r="AB213" i="84"/>
  <c r="AB212" i="84"/>
  <c r="AB211" i="84"/>
  <c r="AB210" i="84"/>
  <c r="AB209" i="84"/>
  <c r="AB208" i="84"/>
  <c r="AB207" i="84"/>
  <c r="AB206" i="84"/>
  <c r="AB205" i="84"/>
  <c r="AB204" i="84"/>
  <c r="AB203" i="84"/>
  <c r="AB202" i="84"/>
  <c r="AB201" i="84"/>
  <c r="AB200" i="84"/>
  <c r="AB199" i="84"/>
  <c r="AB198" i="84"/>
  <c r="AA211" i="84"/>
  <c r="AA203" i="84"/>
  <c r="AA210" i="84"/>
  <c r="AA202" i="84"/>
  <c r="AA209" i="84"/>
  <c r="AA201" i="84"/>
  <c r="AA208" i="84"/>
  <c r="AA200" i="84"/>
  <c r="AA243" i="84"/>
  <c r="AA207" i="84"/>
  <c r="AA199" i="84"/>
  <c r="AB197" i="84"/>
  <c r="AB196" i="84"/>
  <c r="AB195" i="84"/>
  <c r="AB194" i="84"/>
  <c r="AB193" i="84"/>
  <c r="AB192" i="84"/>
  <c r="AB191" i="84"/>
  <c r="AB190" i="84"/>
  <c r="AB189" i="84"/>
  <c r="AB188" i="84"/>
  <c r="AB187" i="84"/>
  <c r="AB186" i="84"/>
  <c r="AB185" i="84"/>
  <c r="AB184" i="84"/>
  <c r="AB183" i="84"/>
  <c r="AB182" i="84"/>
  <c r="AB181" i="84"/>
  <c r="AB180" i="84"/>
  <c r="AB179" i="84"/>
  <c r="AB178" i="84"/>
  <c r="AB177" i="84"/>
  <c r="AB176" i="84"/>
  <c r="AB175" i="84"/>
  <c r="AB174" i="84"/>
  <c r="AB173" i="84"/>
  <c r="AB172" i="84"/>
  <c r="AB171" i="84"/>
  <c r="AB170" i="84"/>
  <c r="AB169" i="84"/>
  <c r="AB168" i="84"/>
  <c r="AA241" i="84"/>
  <c r="AA206" i="84"/>
  <c r="AA197" i="84"/>
  <c r="AA196" i="84"/>
  <c r="AA195" i="84"/>
  <c r="AA194" i="84"/>
  <c r="AA193" i="84"/>
  <c r="AA192" i="84"/>
  <c r="AA191" i="84"/>
  <c r="AA190" i="84"/>
  <c r="AA189" i="84"/>
  <c r="AA188" i="84"/>
  <c r="AA187" i="84"/>
  <c r="AA186" i="84"/>
  <c r="AA185" i="84"/>
  <c r="AA184" i="84"/>
  <c r="AA183" i="84"/>
  <c r="AA182" i="84"/>
  <c r="AA181" i="84"/>
  <c r="AA180" i="84"/>
  <c r="AA179" i="84"/>
  <c r="AA178" i="84"/>
  <c r="AA177" i="84"/>
  <c r="AA176" i="84"/>
  <c r="AA175" i="84"/>
  <c r="AA174" i="84"/>
  <c r="AA173" i="84"/>
  <c r="AA172" i="84"/>
  <c r="AA171" i="84"/>
  <c r="AA170" i="84"/>
  <c r="AA169" i="84"/>
  <c r="AA168" i="84"/>
  <c r="AA167" i="84"/>
  <c r="AA166" i="84"/>
  <c r="AA165" i="84"/>
  <c r="AA164" i="84"/>
  <c r="AA163" i="84"/>
  <c r="AA247" i="84"/>
  <c r="AA238" i="84"/>
  <c r="AA237" i="84"/>
  <c r="AA236" i="84"/>
  <c r="AA235" i="84"/>
  <c r="AA234" i="84"/>
  <c r="AA233" i="84"/>
  <c r="AA232" i="84"/>
  <c r="AA231" i="84"/>
  <c r="AA230" i="84"/>
  <c r="AA229" i="84"/>
  <c r="AA228" i="84"/>
  <c r="AA227" i="84"/>
  <c r="AA226" i="84"/>
  <c r="AA225" i="84"/>
  <c r="AA224" i="84"/>
  <c r="AA223" i="84"/>
  <c r="AA222" i="84"/>
  <c r="AA221" i="84"/>
  <c r="AA220" i="84"/>
  <c r="AA219" i="84"/>
  <c r="AA218" i="84"/>
  <c r="AA217" i="84"/>
  <c r="AA216" i="84"/>
  <c r="AA215" i="84"/>
  <c r="AA214" i="84"/>
  <c r="AA213" i="84"/>
  <c r="AA205" i="84"/>
  <c r="AA198" i="84"/>
  <c r="AA239" i="84"/>
  <c r="AA212" i="84"/>
  <c r="AA204" i="84"/>
  <c r="AA158" i="84"/>
  <c r="AB157" i="84"/>
  <c r="AA152" i="84"/>
  <c r="AB149" i="84"/>
  <c r="AA144" i="84"/>
  <c r="AB141" i="84"/>
  <c r="AA136" i="84"/>
  <c r="AA134" i="84"/>
  <c r="AA157" i="84"/>
  <c r="AB154" i="84"/>
  <c r="AA149" i="84"/>
  <c r="AB146" i="84"/>
  <c r="AA141" i="84"/>
  <c r="AB138" i="84"/>
  <c r="AA154" i="84"/>
  <c r="AB151" i="84"/>
  <c r="AA146" i="84"/>
  <c r="AB143" i="84"/>
  <c r="AA138" i="84"/>
  <c r="AB135" i="84"/>
  <c r="AB167" i="84"/>
  <c r="AB166" i="84"/>
  <c r="AB165" i="84"/>
  <c r="AB164" i="84"/>
  <c r="AB163" i="84"/>
  <c r="AB162" i="84"/>
  <c r="AB156" i="84"/>
  <c r="AA151" i="84"/>
  <c r="AB148" i="84"/>
  <c r="AA143" i="84"/>
  <c r="AB140" i="84"/>
  <c r="AA135" i="84"/>
  <c r="AA162" i="84"/>
  <c r="AB161" i="84"/>
  <c r="AA156" i="84"/>
  <c r="AB153" i="84"/>
  <c r="AA148" i="84"/>
  <c r="AB145" i="84"/>
  <c r="AA140" i="84"/>
  <c r="AB137" i="84"/>
  <c r="AA161" i="84"/>
  <c r="AB160" i="84"/>
  <c r="AA153" i="84"/>
  <c r="AB150" i="84"/>
  <c r="AA145" i="84"/>
  <c r="AB142" i="84"/>
  <c r="AA137" i="84"/>
  <c r="AA160" i="84"/>
  <c r="AB159" i="84"/>
  <c r="AB155" i="84"/>
  <c r="AA150" i="84"/>
  <c r="AB147" i="84"/>
  <c r="AA142" i="84"/>
  <c r="AB139" i="84"/>
  <c r="AB133" i="84"/>
  <c r="AB132" i="84"/>
  <c r="AB131" i="84"/>
  <c r="AB130" i="84"/>
  <c r="AB129" i="84"/>
  <c r="AB128" i="84"/>
  <c r="AB127" i="84"/>
  <c r="AB126" i="84"/>
  <c r="AB125" i="84"/>
  <c r="AB124" i="84"/>
  <c r="AB123" i="84"/>
  <c r="AB122" i="84"/>
  <c r="AB121" i="84"/>
  <c r="AB120" i="84"/>
  <c r="AB119" i="84"/>
  <c r="AB118" i="84"/>
  <c r="AB117" i="84"/>
  <c r="AA159" i="84"/>
  <c r="AB158" i="84"/>
  <c r="AA155" i="84"/>
  <c r="AB152" i="84"/>
  <c r="AA147" i="84"/>
  <c r="AB144" i="84"/>
  <c r="AA139" i="84"/>
  <c r="AB136" i="84"/>
  <c r="AB134" i="84"/>
  <c r="AA133" i="84"/>
  <c r="AA132" i="84"/>
  <c r="AA131" i="84"/>
  <c r="AA130" i="84"/>
  <c r="AA129" i="84"/>
  <c r="AA128" i="84"/>
  <c r="AA127" i="84"/>
  <c r="AA126" i="84"/>
  <c r="AA125" i="84"/>
  <c r="AA124" i="84"/>
  <c r="AA123" i="84"/>
  <c r="AA122" i="84"/>
  <c r="AA121" i="84"/>
  <c r="AA120" i="84"/>
  <c r="AA119" i="84"/>
  <c r="AA118" i="84"/>
  <c r="AA117" i="84"/>
  <c r="AA116" i="84"/>
  <c r="AA115" i="84"/>
  <c r="AA114" i="84"/>
  <c r="AA113" i="84"/>
  <c r="AA112" i="84"/>
  <c r="AA111" i="84"/>
  <c r="AA110" i="84"/>
  <c r="AA109" i="84"/>
  <c r="AA108" i="84"/>
  <c r="AA107" i="84"/>
  <c r="AA106" i="84"/>
  <c r="AA105" i="84"/>
  <c r="AA104" i="84"/>
  <c r="AA103" i="84"/>
  <c r="AA102" i="84"/>
  <c r="AA101" i="84"/>
  <c r="AA100" i="84"/>
  <c r="AA99" i="84"/>
  <c r="AA98" i="84"/>
  <c r="AA97" i="84"/>
  <c r="AA96" i="84"/>
  <c r="AA95" i="84"/>
  <c r="AA94" i="84"/>
  <c r="AA93" i="84"/>
  <c r="AA92" i="84"/>
  <c r="AA91" i="84"/>
  <c r="AA90" i="84"/>
  <c r="AA89" i="84"/>
  <c r="AA88" i="84"/>
  <c r="AA87" i="84"/>
  <c r="AA86" i="84"/>
  <c r="AA85" i="84"/>
  <c r="AA84" i="84"/>
  <c r="AA83" i="84"/>
  <c r="AA82" i="84"/>
  <c r="AA81" i="84"/>
  <c r="AA80" i="84"/>
  <c r="AA79" i="84"/>
  <c r="AA78" i="84"/>
  <c r="AA77" i="84"/>
  <c r="AA76" i="84"/>
  <c r="AA75" i="84"/>
  <c r="AA74" i="84"/>
  <c r="AA73" i="84"/>
  <c r="AA72" i="84"/>
  <c r="AA71" i="84"/>
  <c r="AA70" i="84"/>
  <c r="AA69" i="84"/>
  <c r="AA68" i="84"/>
  <c r="AA67" i="84"/>
  <c r="AA66" i="84"/>
  <c r="AA65" i="84"/>
  <c r="AB115" i="84"/>
  <c r="AA34" i="84"/>
  <c r="AW31" i="84"/>
  <c r="AB70" i="84"/>
  <c r="AB68" i="84"/>
  <c r="AB66" i="84"/>
  <c r="AB37" i="84"/>
  <c r="AB116" i="84"/>
  <c r="AB64" i="84"/>
  <c r="AB63" i="84"/>
  <c r="AB62" i="84"/>
  <c r="AB61" i="84"/>
  <c r="AB60" i="84"/>
  <c r="AB59" i="84"/>
  <c r="AB58" i="84"/>
  <c r="AB57" i="84"/>
  <c r="AB56" i="84"/>
  <c r="AB55" i="84"/>
  <c r="AB54" i="84"/>
  <c r="AB53" i="84"/>
  <c r="AB52" i="84"/>
  <c r="AB51" i="84"/>
  <c r="AB50" i="84"/>
  <c r="AB49" i="84"/>
  <c r="AB48" i="84"/>
  <c r="AB47" i="84"/>
  <c r="AB46" i="84"/>
  <c r="AB45" i="84"/>
  <c r="AB44" i="84"/>
  <c r="AB43" i="84"/>
  <c r="AB42" i="84"/>
  <c r="AB41" i="84"/>
  <c r="AB40" i="84"/>
  <c r="AA37" i="84"/>
  <c r="AA64" i="84"/>
  <c r="AA63" i="84"/>
  <c r="AA62" i="84"/>
  <c r="AA61" i="84"/>
  <c r="AA60" i="84"/>
  <c r="AA59" i="84"/>
  <c r="AA58" i="84"/>
  <c r="AA57" i="84"/>
  <c r="AA56" i="84"/>
  <c r="AA55" i="84"/>
  <c r="AA54" i="84"/>
  <c r="AA53" i="84"/>
  <c r="AA52" i="84"/>
  <c r="AA51" i="84"/>
  <c r="AA50" i="84"/>
  <c r="AA49" i="84"/>
  <c r="AA48" i="84"/>
  <c r="AA47" i="84"/>
  <c r="AA46" i="84"/>
  <c r="AA45" i="84"/>
  <c r="AA44" i="84"/>
  <c r="AA43" i="84"/>
  <c r="AA42" i="84"/>
  <c r="AA41" i="84"/>
  <c r="AA40" i="84"/>
  <c r="AB39" i="84"/>
  <c r="AB69" i="84"/>
  <c r="AB67" i="84"/>
  <c r="AB65" i="84"/>
  <c r="AA39" i="84"/>
  <c r="AB36" i="84"/>
  <c r="AB38" i="84"/>
  <c r="AA36" i="84"/>
  <c r="AB35" i="84"/>
  <c r="AB114" i="84"/>
  <c r="AB113" i="84"/>
  <c r="AB112" i="84"/>
  <c r="AB111" i="84"/>
  <c r="AB110" i="84"/>
  <c r="AB109" i="84"/>
  <c r="AB108" i="84"/>
  <c r="AB107" i="84"/>
  <c r="AB106" i="84"/>
  <c r="AB105" i="84"/>
  <c r="AB104" i="84"/>
  <c r="AB103" i="84"/>
  <c r="AB102" i="84"/>
  <c r="AB101" i="84"/>
  <c r="AB100" i="84"/>
  <c r="AB99" i="84"/>
  <c r="AB98" i="84"/>
  <c r="AB97" i="84"/>
  <c r="AB96" i="84"/>
  <c r="AB95" i="84"/>
  <c r="AB94" i="84"/>
  <c r="AB93" i="84"/>
  <c r="AB92" i="84"/>
  <c r="AB91" i="84"/>
  <c r="AB90" i="84"/>
  <c r="AB89" i="84"/>
  <c r="AB88" i="84"/>
  <c r="AB87" i="84"/>
  <c r="AB86" i="84"/>
  <c r="AB85" i="84"/>
  <c r="AB84" i="84"/>
  <c r="AB83" i="84"/>
  <c r="AB82" i="84"/>
  <c r="AB81" i="84"/>
  <c r="AB80" i="84"/>
  <c r="AB79" i="84"/>
  <c r="AB78" i="84"/>
  <c r="AB77" i="84"/>
  <c r="AB76" i="84"/>
  <c r="AB75" i="84"/>
  <c r="AB74" i="84"/>
  <c r="AB73" i="84"/>
  <c r="AB72" i="84"/>
  <c r="AB71" i="84"/>
  <c r="AA38" i="84"/>
  <c r="AA35" i="84"/>
  <c r="AB34" i="84"/>
  <c r="BF22" i="84"/>
  <c r="BL22" i="84"/>
  <c r="AB17" i="84"/>
  <c r="AB18" i="84" s="1"/>
  <c r="AB19" i="84" s="1"/>
  <c r="AB20" i="84" s="1"/>
  <c r="AB21" i="84" s="1"/>
  <c r="AB22" i="84" s="1"/>
  <c r="AB23" i="84" s="1"/>
  <c r="AB24" i="84" s="1"/>
  <c r="AB25" i="84" s="1"/>
  <c r="AB26" i="84" s="1"/>
  <c r="AB27" i="84" s="1"/>
  <c r="AB28" i="84" s="1"/>
  <c r="AB29" i="84" s="1"/>
  <c r="AB30" i="84" s="1"/>
  <c r="AB31" i="84" s="1"/>
  <c r="AB32" i="84" s="1"/>
  <c r="AB33" i="84" s="1"/>
  <c r="BO18" i="84"/>
  <c r="BI18" i="84"/>
  <c r="Q15" i="84"/>
  <c r="AW17" i="84"/>
  <c r="BB21" i="84"/>
  <c r="BB23" i="84"/>
  <c r="AD17" i="84"/>
  <c r="AK17" i="84" s="1" a="1"/>
  <c r="AK17" i="84" s="1"/>
  <c r="AK15" i="84" s="1"/>
  <c r="AH19" i="84"/>
  <c r="Z20" i="84"/>
  <c r="BL25" i="84"/>
  <c r="BO28" i="84"/>
  <c r="BF34" i="84"/>
  <c r="BO34" i="84"/>
  <c r="BF37" i="84"/>
  <c r="BI39" i="84"/>
  <c r="BI40" i="84"/>
  <c r="BI41" i="84"/>
  <c r="BI42" i="84"/>
  <c r="BI43" i="84"/>
  <c r="BI44" i="84"/>
  <c r="BI45" i="84"/>
  <c r="BI46" i="84"/>
  <c r="BI47" i="84"/>
  <c r="BI48" i="84"/>
  <c r="BI49" i="84"/>
  <c r="BI50" i="84"/>
  <c r="BI51" i="84"/>
  <c r="BI52" i="84"/>
  <c r="BI53" i="84"/>
  <c r="BI54" i="84"/>
  <c r="BI55" i="84"/>
  <c r="BI56" i="84"/>
  <c r="BI57" i="84"/>
  <c r="BI58" i="84"/>
  <c r="BI59" i="84"/>
  <c r="BI60" i="84"/>
  <c r="BI61" i="84"/>
  <c r="BI62" i="84"/>
  <c r="BI63" i="84"/>
  <c r="BO115" i="84"/>
  <c r="BI116" i="84"/>
  <c r="BO116" i="84"/>
  <c r="BI118" i="84"/>
  <c r="BO118" i="84"/>
  <c r="BI120" i="84"/>
  <c r="BO120" i="84"/>
  <c r="Z18" i="84"/>
  <c r="R21" i="84"/>
  <c r="Z22" i="84"/>
  <c r="AH23" i="84"/>
  <c r="BF35" i="84"/>
  <c r="BG37" i="84"/>
  <c r="P17" i="84"/>
  <c r="R19" i="84"/>
  <c r="BL26" i="84"/>
  <c r="BI33" i="84"/>
  <c r="BG35" i="84"/>
  <c r="BH37" i="84"/>
  <c r="BM64" i="84"/>
  <c r="BG65" i="84"/>
  <c r="BM66" i="84"/>
  <c r="BG67" i="84"/>
  <c r="BM68" i="84"/>
  <c r="BG69" i="84"/>
  <c r="BM70" i="84"/>
  <c r="BM71" i="84"/>
  <c r="BM72" i="84"/>
  <c r="BM73" i="84"/>
  <c r="BM74" i="84"/>
  <c r="BM75" i="84"/>
  <c r="BM76" i="84"/>
  <c r="BM77" i="84"/>
  <c r="BM78" i="84"/>
  <c r="BM79" i="84"/>
  <c r="BM80" i="84"/>
  <c r="BM81" i="84"/>
  <c r="BM82" i="84"/>
  <c r="BM83" i="84"/>
  <c r="BM84" i="84"/>
  <c r="BM85" i="84"/>
  <c r="BM86" i="84"/>
  <c r="BM87" i="84"/>
  <c r="BM88" i="84"/>
  <c r="BM89" i="84"/>
  <c r="BM90" i="84"/>
  <c r="BM91" i="84"/>
  <c r="BM92" i="84"/>
  <c r="BM93" i="84"/>
  <c r="BM94" i="84"/>
  <c r="BM95" i="84"/>
  <c r="BM96" i="84"/>
  <c r="BM97" i="84"/>
  <c r="BM98" i="84"/>
  <c r="BM99" i="84"/>
  <c r="BM100" i="84"/>
  <c r="BM101" i="84"/>
  <c r="BM102" i="84"/>
  <c r="BM103" i="84"/>
  <c r="BM104" i="84"/>
  <c r="BM105" i="84"/>
  <c r="BM106" i="84"/>
  <c r="BM107" i="84"/>
  <c r="BM108" i="84"/>
  <c r="BM109" i="84"/>
  <c r="BM110" i="84"/>
  <c r="BM111" i="84"/>
  <c r="BM112" i="84"/>
  <c r="BM113" i="84"/>
  <c r="BO114" i="84"/>
  <c r="V17" i="84"/>
  <c r="AC17" i="84" s="1" a="1"/>
  <c r="AC17" i="84" s="1"/>
  <c r="AC15" i="84" s="1"/>
  <c r="AP19" i="84"/>
  <c r="AH20" i="84"/>
  <c r="BO25" i="84"/>
  <c r="BL27" i="84"/>
  <c r="BL30" i="84"/>
  <c r="BN36" i="84"/>
  <c r="BM39" i="84"/>
  <c r="BM40" i="84"/>
  <c r="BM41" i="84"/>
  <c r="BM42" i="84"/>
  <c r="BM43" i="84"/>
  <c r="BM44" i="84"/>
  <c r="BM45" i="84"/>
  <c r="BM46" i="84"/>
  <c r="BM47" i="84"/>
  <c r="BM48" i="84"/>
  <c r="BM49" i="84"/>
  <c r="BM50" i="84"/>
  <c r="BM51" i="84"/>
  <c r="BM52" i="84"/>
  <c r="BM53" i="84"/>
  <c r="BM54" i="84"/>
  <c r="BM55" i="84"/>
  <c r="BM56" i="84"/>
  <c r="BM57" i="84"/>
  <c r="BM58" i="84"/>
  <c r="BM59" i="84"/>
  <c r="BM60" i="84"/>
  <c r="BM61" i="84"/>
  <c r="BM62" i="84"/>
  <c r="BM63" i="84"/>
  <c r="BO64" i="84"/>
  <c r="BH65" i="84"/>
  <c r="BO66" i="84"/>
  <c r="BH67" i="84"/>
  <c r="BO68" i="84"/>
  <c r="BH69" i="84"/>
  <c r="BO70" i="84"/>
  <c r="BO71" i="84"/>
  <c r="BO72" i="84"/>
  <c r="BO73" i="84"/>
  <c r="BO74" i="84"/>
  <c r="BO75" i="84"/>
  <c r="BO76" i="84"/>
  <c r="BO77" i="84"/>
  <c r="BO78" i="84"/>
  <c r="BO79" i="84"/>
  <c r="BO80" i="84"/>
  <c r="BO81" i="84"/>
  <c r="BO82" i="84"/>
  <c r="BO83" i="84"/>
  <c r="BO84" i="84"/>
  <c r="BO85" i="84"/>
  <c r="BO86" i="84"/>
  <c r="BO87" i="84"/>
  <c r="BO88" i="84"/>
  <c r="BO89" i="84"/>
  <c r="BO90" i="84"/>
  <c r="BO91" i="84"/>
  <c r="BO92" i="84"/>
  <c r="BO93" i="84"/>
  <c r="BO94" i="84"/>
  <c r="BO95" i="84"/>
  <c r="BO96" i="84"/>
  <c r="BO97" i="84"/>
  <c r="BO98" i="84"/>
  <c r="BO99" i="84"/>
  <c r="BO100" i="84"/>
  <c r="BO101" i="84"/>
  <c r="BO102" i="84"/>
  <c r="BO103" i="84"/>
  <c r="BO104" i="84"/>
  <c r="BO105" i="84"/>
  <c r="BO106" i="84"/>
  <c r="BO107" i="84"/>
  <c r="BO108" i="84"/>
  <c r="BO109" i="84"/>
  <c r="BO110" i="84"/>
  <c r="BO111" i="84"/>
  <c r="BO112" i="84"/>
  <c r="BO113" i="84"/>
  <c r="BI117" i="84"/>
  <c r="BO117" i="84"/>
  <c r="BI119" i="84"/>
  <c r="BO119" i="84"/>
  <c r="AL17" i="84"/>
  <c r="AS17" i="84" s="1" a="1"/>
  <c r="AS17" i="84" s="1"/>
  <c r="AS15" i="84" s="1"/>
  <c r="J18" i="84"/>
  <c r="Z19" i="84"/>
  <c r="R20" i="84"/>
  <c r="N17" i="84"/>
  <c r="U17" i="84" s="1" a="1"/>
  <c r="U17" i="84" s="1"/>
  <c r="U15" i="84" s="1"/>
  <c r="R18" i="84"/>
  <c r="AP20" i="84"/>
  <c r="AH21" i="84"/>
  <c r="BH66" i="84"/>
  <c r="BH68" i="84"/>
  <c r="BH70" i="84"/>
  <c r="BM114" i="84"/>
  <c r="BG114" i="84"/>
  <c r="BG134" i="84"/>
  <c r="BM135" i="84"/>
  <c r="BO137" i="84"/>
  <c r="BF139" i="84"/>
  <c r="BI141" i="84"/>
  <c r="BM143" i="84"/>
  <c r="BO145" i="84"/>
  <c r="BF147" i="84"/>
  <c r="BI149" i="84"/>
  <c r="BM151" i="84"/>
  <c r="BO153" i="84"/>
  <c r="BF155" i="84"/>
  <c r="BM157" i="84"/>
  <c r="BO121" i="84"/>
  <c r="BO122" i="84"/>
  <c r="BO123" i="84"/>
  <c r="BO124" i="84"/>
  <c r="BO125" i="84"/>
  <c r="BO126" i="84"/>
  <c r="BO127" i="84"/>
  <c r="BO128" i="84"/>
  <c r="BO129" i="84"/>
  <c r="BO130" i="84"/>
  <c r="BO131" i="84"/>
  <c r="BO132" i="84"/>
  <c r="BO133" i="84"/>
  <c r="BH134" i="84"/>
  <c r="BG115" i="84"/>
  <c r="BG116" i="84"/>
  <c r="BG117" i="84"/>
  <c r="BG118" i="84"/>
  <c r="BG119" i="84"/>
  <c r="BG120" i="84"/>
  <c r="BG121" i="84"/>
  <c r="BG122" i="84"/>
  <c r="BG123" i="84"/>
  <c r="BG124" i="84"/>
  <c r="BG125" i="84"/>
  <c r="BG126" i="84"/>
  <c r="BG127" i="84"/>
  <c r="BG128" i="84"/>
  <c r="BG129" i="84"/>
  <c r="BG130" i="84"/>
  <c r="BG131" i="84"/>
  <c r="BG132" i="84"/>
  <c r="BG133" i="84"/>
  <c r="BO135" i="84"/>
  <c r="BF137" i="84"/>
  <c r="BI139" i="84"/>
  <c r="BM141" i="84"/>
  <c r="BO143" i="84"/>
  <c r="BF145" i="84"/>
  <c r="BI147" i="84"/>
  <c r="BM149" i="84"/>
  <c r="BO151" i="84"/>
  <c r="BF153" i="84"/>
  <c r="BI155" i="84"/>
  <c r="BO157" i="84"/>
  <c r="BM159" i="84"/>
  <c r="BG168" i="84"/>
  <c r="BM168" i="84"/>
  <c r="BI169" i="84"/>
  <c r="BO169" i="84"/>
  <c r="BI171" i="84"/>
  <c r="BO171" i="84"/>
  <c r="BI173" i="84"/>
  <c r="BO173" i="84"/>
  <c r="BI175" i="84"/>
  <c r="BO175" i="84"/>
  <c r="BO158" i="84"/>
  <c r="BF135" i="84"/>
  <c r="BM139" i="84"/>
  <c r="BF143" i="84"/>
  <c r="BM147" i="84"/>
  <c r="BF151" i="84"/>
  <c r="BM155" i="84"/>
  <c r="BO159" i="84"/>
  <c r="BM161" i="84"/>
  <c r="BO160" i="84"/>
  <c r="BI168" i="84"/>
  <c r="BO168" i="84"/>
  <c r="BM137" i="84"/>
  <c r="BF141" i="84"/>
  <c r="BM145" i="84"/>
  <c r="BF149" i="84"/>
  <c r="BM153" i="84"/>
  <c r="BO161" i="84"/>
  <c r="BI170" i="84"/>
  <c r="BO170" i="84"/>
  <c r="BI172" i="84"/>
  <c r="BO172" i="84"/>
  <c r="BI174" i="84"/>
  <c r="BO174" i="84"/>
  <c r="BI176" i="84"/>
  <c r="BO176" i="84"/>
  <c r="BO162" i="84"/>
  <c r="BO163" i="84"/>
  <c r="BO164" i="84"/>
  <c r="BO165" i="84"/>
  <c r="BO166" i="84"/>
  <c r="BI167" i="84"/>
  <c r="BO167" i="84"/>
  <c r="BG198" i="84"/>
  <c r="BN202" i="84"/>
  <c r="BL203" i="84"/>
  <c r="BN210" i="84"/>
  <c r="BL211" i="84"/>
  <c r="BH238" i="84"/>
  <c r="BF243" i="84"/>
  <c r="BL243" i="84"/>
  <c r="BH244" i="84"/>
  <c r="BN244" i="84"/>
  <c r="BH246" i="84"/>
  <c r="BN246" i="84"/>
  <c r="BM169" i="84"/>
  <c r="BM170" i="84"/>
  <c r="BM171" i="84"/>
  <c r="BM172" i="84"/>
  <c r="BM173" i="84"/>
  <c r="BM174" i="84"/>
  <c r="BM175" i="84"/>
  <c r="BM176" i="84"/>
  <c r="BM177" i="84"/>
  <c r="BM178" i="84"/>
  <c r="BM179" i="84"/>
  <c r="BM180" i="84"/>
  <c r="BM181" i="84"/>
  <c r="BM182" i="84"/>
  <c r="BM183" i="84"/>
  <c r="BM184" i="84"/>
  <c r="BM185" i="84"/>
  <c r="BM186" i="84"/>
  <c r="BM187" i="84"/>
  <c r="BM188" i="84"/>
  <c r="BM189" i="84"/>
  <c r="BM190" i="84"/>
  <c r="BM191" i="84"/>
  <c r="BM192" i="84"/>
  <c r="BM193" i="84"/>
  <c r="BM194" i="84"/>
  <c r="BM195" i="84"/>
  <c r="BM196" i="84"/>
  <c r="BM197" i="84"/>
  <c r="BI206" i="84"/>
  <c r="BF245" i="84"/>
  <c r="BL245" i="84"/>
  <c r="BN204" i="84"/>
  <c r="BL205" i="84"/>
  <c r="BN212" i="84"/>
  <c r="BL213" i="84"/>
  <c r="BI240" i="84"/>
  <c r="BO177" i="84"/>
  <c r="BO178" i="84"/>
  <c r="BO179" i="84"/>
  <c r="BO180" i="84"/>
  <c r="BO181" i="84"/>
  <c r="BO182" i="84"/>
  <c r="BO183" i="84"/>
  <c r="BO184" i="84"/>
  <c r="BO185" i="84"/>
  <c r="BO186" i="84"/>
  <c r="BO187" i="84"/>
  <c r="BO188" i="84"/>
  <c r="BO189" i="84"/>
  <c r="BO190" i="84"/>
  <c r="BO191" i="84"/>
  <c r="BO192" i="84"/>
  <c r="BO193" i="84"/>
  <c r="BO194" i="84"/>
  <c r="BO195" i="84"/>
  <c r="BO196" i="84"/>
  <c r="BL198" i="84"/>
  <c r="BI200" i="84"/>
  <c r="BI208" i="84"/>
  <c r="BN198" i="84"/>
  <c r="BL199" i="84"/>
  <c r="BI201" i="84"/>
  <c r="BN206" i="84"/>
  <c r="BL207" i="84"/>
  <c r="BI209" i="84"/>
  <c r="BI244" i="84"/>
  <c r="BI210" i="84"/>
  <c r="BF239" i="84"/>
  <c r="BL239" i="84"/>
  <c r="BI197" i="84"/>
  <c r="BN200" i="84"/>
  <c r="BL201" i="84"/>
  <c r="BI203" i="84"/>
  <c r="BN208" i="84"/>
  <c r="BL209" i="84"/>
  <c r="BI211" i="84"/>
  <c r="BF238" i="84"/>
  <c r="BL238" i="84"/>
  <c r="BH240" i="84"/>
  <c r="BN240" i="84"/>
  <c r="BI204" i="84"/>
  <c r="BI212" i="84"/>
  <c r="BF241" i="84"/>
  <c r="BL241" i="84"/>
  <c r="BH242" i="84"/>
  <c r="BN242" i="84"/>
  <c r="BI243" i="84"/>
  <c r="BN248" i="84"/>
  <c r="BN249" i="84"/>
  <c r="BN250" i="84"/>
  <c r="BN251" i="84"/>
  <c r="BN252" i="84"/>
  <c r="BN253" i="84"/>
  <c r="BN254" i="84"/>
  <c r="BN255" i="84"/>
  <c r="BN256" i="84"/>
  <c r="BN257" i="84"/>
  <c r="BN258" i="84"/>
  <c r="BN264" i="84"/>
  <c r="BF266" i="84"/>
  <c r="BL266" i="84"/>
  <c r="BF263" i="84"/>
  <c r="BL263" i="84"/>
  <c r="BG288" i="84"/>
  <c r="BM288" i="84"/>
  <c r="BI238" i="84"/>
  <c r="BF260" i="84"/>
  <c r="BL260" i="84"/>
  <c r="BN266" i="84"/>
  <c r="BF268" i="84"/>
  <c r="BL268" i="84"/>
  <c r="BF270" i="84"/>
  <c r="BL270" i="84"/>
  <c r="BF272" i="84"/>
  <c r="BL272" i="84"/>
  <c r="BF274" i="84"/>
  <c r="BL274" i="84"/>
  <c r="BF276" i="84"/>
  <c r="BL276" i="84"/>
  <c r="BF278" i="84"/>
  <c r="BL278" i="84"/>
  <c r="BF280" i="84"/>
  <c r="BL280" i="84"/>
  <c r="BF282" i="84"/>
  <c r="BL282" i="84"/>
  <c r="BF284" i="84"/>
  <c r="BL284" i="84"/>
  <c r="BI246" i="84"/>
  <c r="BF259" i="84"/>
  <c r="BL259" i="84"/>
  <c r="BF265" i="84"/>
  <c r="BL265" i="84"/>
  <c r="BN260" i="84"/>
  <c r="BF262" i="84"/>
  <c r="BL262" i="84"/>
  <c r="BF267" i="84"/>
  <c r="BL267" i="84"/>
  <c r="BI241" i="84"/>
  <c r="BL247" i="84"/>
  <c r="BN262" i="84"/>
  <c r="BF264" i="84"/>
  <c r="BL264" i="84"/>
  <c r="BF269" i="84"/>
  <c r="BL269" i="84"/>
  <c r="BF271" i="84"/>
  <c r="BL271" i="84"/>
  <c r="BF273" i="84"/>
  <c r="BL273" i="84"/>
  <c r="BF275" i="84"/>
  <c r="BL275" i="84"/>
  <c r="BF277" i="84"/>
  <c r="BL277" i="84"/>
  <c r="BF279" i="84"/>
  <c r="BL279" i="84"/>
  <c r="BF281" i="84"/>
  <c r="BL281" i="84"/>
  <c r="BF283" i="84"/>
  <c r="BL283" i="84"/>
  <c r="BL285" i="84"/>
  <c r="BF285" i="84"/>
  <c r="BL249" i="84"/>
  <c r="BL250" i="84"/>
  <c r="BL251" i="84"/>
  <c r="BL252" i="84"/>
  <c r="BL253" i="84"/>
  <c r="BL254" i="84"/>
  <c r="BL255" i="84"/>
  <c r="BL256" i="84"/>
  <c r="BN259" i="84"/>
  <c r="BF261" i="84"/>
  <c r="BL261" i="84"/>
  <c r="BH285" i="84"/>
  <c r="BM286" i="84"/>
  <c r="BO288" i="84"/>
  <c r="BM290" i="84"/>
  <c r="BM291" i="84"/>
  <c r="BO298" i="84"/>
  <c r="BH323" i="84"/>
  <c r="BN323" i="84"/>
  <c r="BN331" i="84"/>
  <c r="BH331" i="84"/>
  <c r="BO289" i="84"/>
  <c r="BF321" i="84"/>
  <c r="BL321" i="84"/>
  <c r="BF327" i="84"/>
  <c r="BL327" i="84"/>
  <c r="BF288" i="84"/>
  <c r="BO290" i="84"/>
  <c r="BO291" i="84"/>
  <c r="BO292" i="84"/>
  <c r="BO293" i="84"/>
  <c r="BO294" i="84"/>
  <c r="BO295" i="84"/>
  <c r="BO296" i="84"/>
  <c r="BM319" i="84"/>
  <c r="BI329" i="84"/>
  <c r="BN321" i="84"/>
  <c r="BH321" i="84"/>
  <c r="BH327" i="84"/>
  <c r="BN327" i="84"/>
  <c r="BI330" i="84"/>
  <c r="BM301" i="84"/>
  <c r="BM302" i="84"/>
  <c r="BM303" i="84"/>
  <c r="BM304" i="84"/>
  <c r="BM305" i="84"/>
  <c r="BM306" i="84"/>
  <c r="BM307" i="84"/>
  <c r="BM308" i="84"/>
  <c r="BM309" i="84"/>
  <c r="BM310" i="84"/>
  <c r="BM311" i="84"/>
  <c r="BM312" i="84"/>
  <c r="BM313" i="84"/>
  <c r="BM314" i="84"/>
  <c r="BM315" i="84"/>
  <c r="BM316" i="84"/>
  <c r="BM317" i="84"/>
  <c r="BF325" i="84"/>
  <c r="BL325" i="84"/>
  <c r="BG326" i="84"/>
  <c r="BO302" i="84"/>
  <c r="BO303" i="84"/>
  <c r="BO304" i="84"/>
  <c r="BO305" i="84"/>
  <c r="BO306" i="84"/>
  <c r="BO307" i="84"/>
  <c r="BO308" i="84"/>
  <c r="BO309" i="84"/>
  <c r="BO310" i="84"/>
  <c r="BO311" i="84"/>
  <c r="BO312" i="84"/>
  <c r="BO313" i="84"/>
  <c r="BO314" i="84"/>
  <c r="BO315" i="84"/>
  <c r="BO316" i="84"/>
  <c r="BO317" i="84"/>
  <c r="BM328" i="84"/>
  <c r="BG328" i="84"/>
  <c r="BM299" i="84"/>
  <c r="BO300" i="84"/>
  <c r="BF323" i="84"/>
  <c r="BL323" i="84"/>
  <c r="BN325" i="84"/>
  <c r="BH325" i="84"/>
  <c r="BM329" i="84"/>
  <c r="BG329" i="84"/>
  <c r="BM298" i="84"/>
  <c r="BM330" i="84"/>
  <c r="BG330" i="84"/>
  <c r="BN328" i="84"/>
  <c r="BN329" i="84"/>
  <c r="BN336" i="84"/>
  <c r="BH336" i="84"/>
  <c r="BN332" i="84"/>
  <c r="BH332" i="84"/>
  <c r="BN334" i="84"/>
  <c r="BH334" i="84"/>
  <c r="BF337" i="84"/>
  <c r="BL337" i="84"/>
  <c r="BN339" i="84"/>
  <c r="BH339" i="84"/>
  <c r="BF340" i="84"/>
  <c r="BL340" i="84"/>
  <c r="BF320" i="84"/>
  <c r="BL320" i="84"/>
  <c r="BN320" i="84"/>
  <c r="BH322" i="84"/>
  <c r="BN324" i="84"/>
  <c r="BH326" i="84"/>
  <c r="BF331" i="84"/>
  <c r="BL331" i="84"/>
  <c r="BI331" i="84"/>
  <c r="BF333" i="84"/>
  <c r="BL333" i="84"/>
  <c r="BI333" i="84"/>
  <c r="BF335" i="84"/>
  <c r="BL335" i="84"/>
  <c r="BI335" i="84"/>
  <c r="BM321" i="84"/>
  <c r="BF324" i="84"/>
  <c r="BL324" i="84"/>
  <c r="BM325" i="84"/>
  <c r="BF328" i="84"/>
  <c r="BL328" i="84"/>
  <c r="BF329" i="84"/>
  <c r="BL329" i="84"/>
  <c r="BF330" i="84"/>
  <c r="BL330" i="84"/>
  <c r="BN337" i="84"/>
  <c r="BH337" i="84"/>
  <c r="BF338" i="84"/>
  <c r="BL338" i="84"/>
  <c r="BN333" i="84"/>
  <c r="BH333" i="84"/>
  <c r="BN335" i="84"/>
  <c r="BH335" i="84"/>
  <c r="BF332" i="84"/>
  <c r="BL332" i="84"/>
  <c r="BI332" i="84"/>
  <c r="BF334" i="84"/>
  <c r="BL334" i="84"/>
  <c r="BI334" i="84"/>
  <c r="BF336" i="84"/>
  <c r="BL336" i="84"/>
  <c r="BN338" i="84"/>
  <c r="BH338" i="84"/>
  <c r="BF322" i="84"/>
  <c r="BL322" i="84"/>
  <c r="BF326" i="84"/>
  <c r="BL326" i="84"/>
  <c r="BN330" i="84"/>
  <c r="BH330" i="84"/>
  <c r="BF339" i="84"/>
  <c r="BL339" i="84"/>
  <c r="BH373" i="84"/>
  <c r="BF379" i="84"/>
  <c r="BL379" i="84"/>
  <c r="BN381" i="84"/>
  <c r="BH381" i="84"/>
  <c r="BF382" i="84"/>
  <c r="BL382" i="84"/>
  <c r="BF386" i="84"/>
  <c r="BL386" i="84"/>
  <c r="BF390" i="84"/>
  <c r="BL390" i="84"/>
  <c r="BF394" i="84"/>
  <c r="BL394" i="84"/>
  <c r="BH340" i="84"/>
  <c r="BH341" i="84"/>
  <c r="BH342" i="84"/>
  <c r="BH343" i="84"/>
  <c r="BH344" i="84"/>
  <c r="BH345" i="84"/>
  <c r="BH346" i="84"/>
  <c r="BH347" i="84"/>
  <c r="BH348" i="84"/>
  <c r="BH349" i="84"/>
  <c r="BH350" i="84"/>
  <c r="BH351" i="84"/>
  <c r="BH352" i="84"/>
  <c r="BH353" i="84"/>
  <c r="BH354" i="84"/>
  <c r="BH355" i="84"/>
  <c r="BH356" i="84"/>
  <c r="BH357" i="84"/>
  <c r="BH358" i="84"/>
  <c r="BH359" i="84"/>
  <c r="BH360" i="84"/>
  <c r="BH361" i="84"/>
  <c r="BH362" i="84"/>
  <c r="BH363" i="84"/>
  <c r="BH364" i="84"/>
  <c r="BG367" i="84"/>
  <c r="BF368" i="84"/>
  <c r="BL368" i="84"/>
  <c r="BF372" i="84"/>
  <c r="BL372" i="84"/>
  <c r="BI373" i="84"/>
  <c r="BN376" i="84"/>
  <c r="BH376" i="84"/>
  <c r="BF365" i="84"/>
  <c r="BL365" i="84"/>
  <c r="BF377" i="84"/>
  <c r="BL377" i="84"/>
  <c r="BN379" i="84"/>
  <c r="BH379" i="84"/>
  <c r="BF383" i="84"/>
  <c r="BL383" i="84"/>
  <c r="BF387" i="84"/>
  <c r="BL387" i="84"/>
  <c r="BF391" i="84"/>
  <c r="BL391" i="84"/>
  <c r="BF395" i="84"/>
  <c r="BL395" i="84"/>
  <c r="BG368" i="84"/>
  <c r="BF369" i="84"/>
  <c r="BL369" i="84"/>
  <c r="BF370" i="84"/>
  <c r="BL370" i="84"/>
  <c r="BF371" i="84"/>
  <c r="BL371" i="84"/>
  <c r="BI372" i="84"/>
  <c r="BF375" i="84"/>
  <c r="BL375" i="84"/>
  <c r="BF380" i="84"/>
  <c r="BL380" i="84"/>
  <c r="BL341" i="84"/>
  <c r="BL342" i="84"/>
  <c r="BL343" i="84"/>
  <c r="BL344" i="84"/>
  <c r="BL345" i="84"/>
  <c r="BL346" i="84"/>
  <c r="BL347" i="84"/>
  <c r="BL348" i="84"/>
  <c r="BL349" i="84"/>
  <c r="BL350" i="84"/>
  <c r="BL351" i="84"/>
  <c r="BL352" i="84"/>
  <c r="BL353" i="84"/>
  <c r="BL354" i="84"/>
  <c r="BL355" i="84"/>
  <c r="BL356" i="84"/>
  <c r="BL357" i="84"/>
  <c r="BL358" i="84"/>
  <c r="BL359" i="84"/>
  <c r="BL360" i="84"/>
  <c r="BL361" i="84"/>
  <c r="BL362" i="84"/>
  <c r="BL363" i="84"/>
  <c r="BL364" i="84"/>
  <c r="BG369" i="84"/>
  <c r="BH371" i="84"/>
  <c r="BN377" i="84"/>
  <c r="BH377" i="84"/>
  <c r="BF384" i="84"/>
  <c r="BL384" i="84"/>
  <c r="BF388" i="84"/>
  <c r="BL388" i="84"/>
  <c r="BF392" i="84"/>
  <c r="BL392" i="84"/>
  <c r="BF396" i="84"/>
  <c r="BL396" i="84"/>
  <c r="BF366" i="84"/>
  <c r="BL366" i="84"/>
  <c r="BI368" i="84"/>
  <c r="BI371" i="84"/>
  <c r="BF374" i="84"/>
  <c r="BL374" i="84"/>
  <c r="BF378" i="84"/>
  <c r="BL378" i="84"/>
  <c r="BN380" i="84"/>
  <c r="BH380" i="84"/>
  <c r="BI369" i="84"/>
  <c r="BI370" i="84"/>
  <c r="BH374" i="84"/>
  <c r="BN375" i="84"/>
  <c r="BH375" i="84"/>
  <c r="BF381" i="84"/>
  <c r="BL381" i="84"/>
  <c r="BF385" i="84"/>
  <c r="BL385" i="84"/>
  <c r="BF389" i="84"/>
  <c r="BL389" i="84"/>
  <c r="BF393" i="84"/>
  <c r="BL393" i="84"/>
  <c r="BF397" i="84"/>
  <c r="BL397" i="84"/>
  <c r="BI365" i="84"/>
  <c r="BF367" i="84"/>
  <c r="BL367" i="84"/>
  <c r="BF373" i="84"/>
  <c r="BL373" i="84"/>
  <c r="BI374" i="84"/>
  <c r="BF376" i="84"/>
  <c r="BL376" i="84"/>
  <c r="BN378" i="84"/>
  <c r="BH378" i="84"/>
  <c r="BI398" i="84"/>
  <c r="BM399" i="84"/>
  <c r="BO401" i="84"/>
  <c r="BI401" i="84"/>
  <c r="BN409" i="84"/>
  <c r="BG411" i="84"/>
  <c r="BN413" i="84"/>
  <c r="BG415" i="84"/>
  <c r="BN417" i="84"/>
  <c r="BG419" i="84"/>
  <c r="BN421" i="84"/>
  <c r="BN426" i="84"/>
  <c r="BH426" i="84"/>
  <c r="BN430" i="84"/>
  <c r="BH430" i="84"/>
  <c r="BH382" i="84"/>
  <c r="BH383" i="84"/>
  <c r="BH384" i="84"/>
  <c r="BH385" i="84"/>
  <c r="BH386" i="84"/>
  <c r="BH387" i="84"/>
  <c r="BH388" i="84"/>
  <c r="BH389" i="84"/>
  <c r="BH390" i="84"/>
  <c r="BH391" i="84"/>
  <c r="BH392" i="84"/>
  <c r="BH393" i="84"/>
  <c r="BH394" i="84"/>
  <c r="BH395" i="84"/>
  <c r="BH396" i="84"/>
  <c r="BH397" i="84"/>
  <c r="BH400" i="84"/>
  <c r="BO404" i="84"/>
  <c r="BI404" i="84"/>
  <c r="BM407" i="84"/>
  <c r="BN408" i="84"/>
  <c r="BO409" i="84"/>
  <c r="BI409" i="84"/>
  <c r="BM412" i="84"/>
  <c r="BM416" i="84"/>
  <c r="BM420" i="84"/>
  <c r="BO459" i="84"/>
  <c r="BI459" i="84"/>
  <c r="BL398" i="84"/>
  <c r="BG403" i="84"/>
  <c r="BO405" i="84"/>
  <c r="BI405" i="84"/>
  <c r="BN407" i="84"/>
  <c r="BO408" i="84"/>
  <c r="BI408" i="84"/>
  <c r="BN412" i="84"/>
  <c r="BN416" i="84"/>
  <c r="BN420" i="84"/>
  <c r="BN423" i="84"/>
  <c r="BH423" i="84"/>
  <c r="BN427" i="84"/>
  <c r="BH427" i="84"/>
  <c r="BH431" i="84"/>
  <c r="BN431" i="84"/>
  <c r="BF436" i="84"/>
  <c r="BL436" i="84"/>
  <c r="BO438" i="84"/>
  <c r="BI438" i="84"/>
  <c r="BO402" i="84"/>
  <c r="BI402" i="84"/>
  <c r="BO406" i="84"/>
  <c r="BI406" i="84"/>
  <c r="BN406" i="84"/>
  <c r="BO407" i="84"/>
  <c r="BI407" i="84"/>
  <c r="BH434" i="84"/>
  <c r="BN434" i="84"/>
  <c r="BH440" i="84"/>
  <c r="BN440" i="84"/>
  <c r="BG441" i="84"/>
  <c r="BM441" i="84"/>
  <c r="BF452" i="84"/>
  <c r="BL452" i="84"/>
  <c r="BN473" i="84"/>
  <c r="BH473" i="84"/>
  <c r="BN398" i="84"/>
  <c r="BL400" i="84"/>
  <c r="BG409" i="84"/>
  <c r="BN411" i="84"/>
  <c r="BG413" i="84"/>
  <c r="BN415" i="84"/>
  <c r="BG417" i="84"/>
  <c r="BN419" i="84"/>
  <c r="BG421" i="84"/>
  <c r="BN424" i="84"/>
  <c r="BH424" i="84"/>
  <c r="BN428" i="84"/>
  <c r="BH428" i="84"/>
  <c r="BO446" i="84"/>
  <c r="BI446" i="84"/>
  <c r="BN457" i="84"/>
  <c r="BH457" i="84"/>
  <c r="BO403" i="84"/>
  <c r="BI403" i="84"/>
  <c r="BN410" i="84"/>
  <c r="BN414" i="84"/>
  <c r="BN418" i="84"/>
  <c r="BN422" i="84"/>
  <c r="BH422" i="84"/>
  <c r="BN425" i="84"/>
  <c r="BH425" i="84"/>
  <c r="BN429" i="84"/>
  <c r="BH429" i="84"/>
  <c r="BF444" i="84"/>
  <c r="BL444" i="84"/>
  <c r="BH448" i="84"/>
  <c r="BN448" i="84"/>
  <c r="BL399" i="84"/>
  <c r="BL401" i="84"/>
  <c r="BG449" i="84"/>
  <c r="BM449" i="84"/>
  <c r="BM439" i="84"/>
  <c r="BL440" i="84"/>
  <c r="BH441" i="84"/>
  <c r="BN441" i="84"/>
  <c r="BI442" i="84"/>
  <c r="BM447" i="84"/>
  <c r="BH449" i="84"/>
  <c r="BN449" i="84"/>
  <c r="BO463" i="84"/>
  <c r="BI463" i="84"/>
  <c r="BO464" i="84"/>
  <c r="BI464" i="84"/>
  <c r="BO465" i="84"/>
  <c r="BI465" i="84"/>
  <c r="BI410" i="84"/>
  <c r="BI411" i="84"/>
  <c r="BI412" i="84"/>
  <c r="BI413" i="84"/>
  <c r="BI414" i="84"/>
  <c r="BI415" i="84"/>
  <c r="BI416" i="84"/>
  <c r="BI417" i="84"/>
  <c r="BI418" i="84"/>
  <c r="BI419" i="84"/>
  <c r="BI420" i="84"/>
  <c r="BI421" i="84"/>
  <c r="BI422" i="84"/>
  <c r="BI423" i="84"/>
  <c r="BI424" i="84"/>
  <c r="BI425" i="84"/>
  <c r="BI426" i="84"/>
  <c r="BI427" i="84"/>
  <c r="BI428" i="84"/>
  <c r="BI429" i="84"/>
  <c r="BI430" i="84"/>
  <c r="BM434" i="84"/>
  <c r="BI435" i="84"/>
  <c r="BL441" i="84"/>
  <c r="BH442" i="84"/>
  <c r="BN442" i="84"/>
  <c r="BI443" i="84"/>
  <c r="BL449" i="84"/>
  <c r="BH450" i="84"/>
  <c r="BN450" i="84"/>
  <c r="BI451" i="84"/>
  <c r="BL454" i="84"/>
  <c r="BF454" i="84"/>
  <c r="BL455" i="84"/>
  <c r="BF455" i="84"/>
  <c r="BM456" i="84"/>
  <c r="BF486" i="84"/>
  <c r="BL486" i="84"/>
  <c r="BL501" i="84"/>
  <c r="BF501" i="84"/>
  <c r="BL431" i="84"/>
  <c r="BG433" i="84"/>
  <c r="BH435" i="84"/>
  <c r="BN435" i="84"/>
  <c r="BI436" i="84"/>
  <c r="BG437" i="84"/>
  <c r="BL442" i="84"/>
  <c r="BH443" i="84"/>
  <c r="BN443" i="84"/>
  <c r="BI444" i="84"/>
  <c r="BG445" i="84"/>
  <c r="BL450" i="84"/>
  <c r="BH451" i="84"/>
  <c r="BN451" i="84"/>
  <c r="BI452" i="84"/>
  <c r="BG453" i="84"/>
  <c r="BG454" i="84"/>
  <c r="BN456" i="84"/>
  <c r="BL458" i="84"/>
  <c r="BF458" i="84"/>
  <c r="BL459" i="84"/>
  <c r="BF459" i="84"/>
  <c r="BL461" i="84"/>
  <c r="BF461" i="84"/>
  <c r="BO432" i="84"/>
  <c r="BL435" i="84"/>
  <c r="BH436" i="84"/>
  <c r="BN436" i="84"/>
  <c r="BH444" i="84"/>
  <c r="BN444" i="84"/>
  <c r="BH452" i="84"/>
  <c r="BN452" i="84"/>
  <c r="BO460" i="84"/>
  <c r="BI460" i="84"/>
  <c r="BL462" i="84"/>
  <c r="BF462" i="84"/>
  <c r="BH437" i="84"/>
  <c r="BN437" i="84"/>
  <c r="BH445" i="84"/>
  <c r="BN445" i="84"/>
  <c r="BH453" i="84"/>
  <c r="BN453" i="84"/>
  <c r="BN455" i="84"/>
  <c r="BL457" i="84"/>
  <c r="BF457" i="84"/>
  <c r="BG457" i="84"/>
  <c r="BG462" i="84"/>
  <c r="BM462" i="84"/>
  <c r="BH438" i="84"/>
  <c r="BN438" i="84"/>
  <c r="BH446" i="84"/>
  <c r="BN446" i="84"/>
  <c r="BN459" i="84"/>
  <c r="BH459" i="84"/>
  <c r="BL465" i="84"/>
  <c r="BF465" i="84"/>
  <c r="BL466" i="84"/>
  <c r="BF466" i="84"/>
  <c r="BI434" i="84"/>
  <c r="BL438" i="84"/>
  <c r="BH439" i="84"/>
  <c r="BN439" i="84"/>
  <c r="BI440" i="84"/>
  <c r="BL446" i="84"/>
  <c r="BH447" i="84"/>
  <c r="BN447" i="84"/>
  <c r="BI448" i="84"/>
  <c r="BO461" i="84"/>
  <c r="BI461" i="84"/>
  <c r="BG463" i="84"/>
  <c r="BM463" i="84"/>
  <c r="BG464" i="84"/>
  <c r="BM464" i="84"/>
  <c r="BL456" i="84"/>
  <c r="BF456" i="84"/>
  <c r="BM461" i="84"/>
  <c r="BL463" i="84"/>
  <c r="BF463" i="84"/>
  <c r="BI466" i="84"/>
  <c r="BL468" i="84"/>
  <c r="BF468" i="84"/>
  <c r="BI468" i="84"/>
  <c r="BL470" i="84"/>
  <c r="BF470" i="84"/>
  <c r="BI470" i="84"/>
  <c r="BL472" i="84"/>
  <c r="BH474" i="84"/>
  <c r="BL478" i="84"/>
  <c r="BH490" i="84"/>
  <c r="BN490" i="84"/>
  <c r="BH496" i="84"/>
  <c r="BN496" i="84"/>
  <c r="BM513" i="84"/>
  <c r="BG513" i="84"/>
  <c r="BM468" i="84"/>
  <c r="BM470" i="84"/>
  <c r="BM472" i="84"/>
  <c r="BG472" i="84"/>
  <c r="BF480" i="84"/>
  <c r="BL480" i="84"/>
  <c r="BH522" i="84"/>
  <c r="BN522" i="84"/>
  <c r="BL467" i="84"/>
  <c r="BF467" i="84"/>
  <c r="BL469" i="84"/>
  <c r="BF469" i="84"/>
  <c r="BL471" i="84"/>
  <c r="BF471" i="84"/>
  <c r="BL474" i="84"/>
  <c r="BL464" i="84"/>
  <c r="BF464" i="84"/>
  <c r="BM465" i="84"/>
  <c r="BH482" i="84"/>
  <c r="BN482" i="84"/>
  <c r="BL460" i="84"/>
  <c r="BF460" i="84"/>
  <c r="BM467" i="84"/>
  <c r="BM469" i="84"/>
  <c r="BM471" i="84"/>
  <c r="BF477" i="84"/>
  <c r="BL477" i="84"/>
  <c r="BN467" i="84"/>
  <c r="BN468" i="84"/>
  <c r="BN469" i="84"/>
  <c r="BN470" i="84"/>
  <c r="BN471" i="84"/>
  <c r="BL479" i="84"/>
  <c r="BN484" i="84"/>
  <c r="BH495" i="84"/>
  <c r="BN495" i="84"/>
  <c r="BL495" i="84"/>
  <c r="BH494" i="84"/>
  <c r="BN494" i="84"/>
  <c r="BG503" i="84"/>
  <c r="BM509" i="84"/>
  <c r="BG509" i="84"/>
  <c r="BH472" i="84"/>
  <c r="BL485" i="84"/>
  <c r="BL493" i="84"/>
  <c r="BH501" i="84"/>
  <c r="BN501" i="84"/>
  <c r="BL488" i="84"/>
  <c r="BH500" i="84"/>
  <c r="BN500" i="84"/>
  <c r="BL500" i="84"/>
  <c r="BM505" i="84"/>
  <c r="BG505" i="84"/>
  <c r="BH499" i="84"/>
  <c r="BN499" i="84"/>
  <c r="BH498" i="84"/>
  <c r="BN498" i="84"/>
  <c r="BM517" i="84"/>
  <c r="BG517" i="84"/>
  <c r="BG528" i="84"/>
  <c r="BM528" i="84"/>
  <c r="BL481" i="84"/>
  <c r="BL489" i="84"/>
  <c r="BH497" i="84"/>
  <c r="BN497" i="84"/>
  <c r="BL497" i="84"/>
  <c r="BO502" i="84"/>
  <c r="BN507" i="84"/>
  <c r="BN511" i="84"/>
  <c r="BN515" i="84"/>
  <c r="BN519" i="84"/>
  <c r="BM520" i="84"/>
  <c r="BN521" i="84"/>
  <c r="BN529" i="84"/>
  <c r="BH529" i="84"/>
  <c r="BN504" i="84"/>
  <c r="BM508" i="84"/>
  <c r="BM512" i="84"/>
  <c r="BM516" i="84"/>
  <c r="BN528" i="84"/>
  <c r="BG506" i="84"/>
  <c r="BN508" i="84"/>
  <c r="BG510" i="84"/>
  <c r="BN512" i="84"/>
  <c r="BG514" i="84"/>
  <c r="BN516" i="84"/>
  <c r="BG518" i="84"/>
  <c r="BN527" i="84"/>
  <c r="BG522" i="84"/>
  <c r="BN526" i="84"/>
  <c r="BF520" i="84"/>
  <c r="BL520" i="84"/>
  <c r="BN525" i="84"/>
  <c r="BN524" i="84"/>
  <c r="BF503" i="84"/>
  <c r="BN523" i="84"/>
  <c r="BL521" i="84"/>
  <c r="BL522" i="84"/>
  <c r="BL523" i="84"/>
  <c r="BL524" i="84"/>
  <c r="BL525" i="84"/>
  <c r="BL526" i="84"/>
  <c r="BL527" i="84"/>
  <c r="BL528" i="84"/>
  <c r="BL529" i="84"/>
  <c r="BB23" i="83"/>
  <c r="BB21" i="83"/>
  <c r="BN39" i="83"/>
  <c r="AL17" i="83"/>
  <c r="J18" i="83"/>
  <c r="J19" i="83" s="1"/>
  <c r="AH24" i="83"/>
  <c r="T25" i="83"/>
  <c r="AH26" i="83"/>
  <c r="BO26" i="83"/>
  <c r="BL28" i="83"/>
  <c r="T34" i="83"/>
  <c r="BL34" i="83"/>
  <c r="S35" i="83"/>
  <c r="BL37" i="83"/>
  <c r="S38" i="83"/>
  <c r="BH38" i="83"/>
  <c r="BO40" i="83"/>
  <c r="BO41" i="83"/>
  <c r="BO42" i="83"/>
  <c r="BO43" i="83"/>
  <c r="BO44" i="83"/>
  <c r="BO45" i="83"/>
  <c r="BO46" i="83"/>
  <c r="BO47" i="83"/>
  <c r="BO48" i="83"/>
  <c r="BO49" i="83"/>
  <c r="BO50" i="83"/>
  <c r="BO51" i="83"/>
  <c r="BO52" i="83"/>
  <c r="BO53" i="83"/>
  <c r="BO54" i="83"/>
  <c r="BO55" i="83"/>
  <c r="BL57" i="83"/>
  <c r="BI59" i="83"/>
  <c r="S60" i="83"/>
  <c r="BM60" i="83"/>
  <c r="BG61" i="83"/>
  <c r="T63" i="83"/>
  <c r="BL65" i="83"/>
  <c r="BI67" i="83"/>
  <c r="S68" i="83"/>
  <c r="BM68" i="83"/>
  <c r="S70" i="83"/>
  <c r="BL71" i="83"/>
  <c r="S73" i="83"/>
  <c r="BM76" i="83"/>
  <c r="BH78" i="83"/>
  <c r="BN78" i="83"/>
  <c r="T80" i="83"/>
  <c r="S81" i="83"/>
  <c r="BM84" i="83"/>
  <c r="BH86" i="83"/>
  <c r="BN86" i="83"/>
  <c r="T88" i="83"/>
  <c r="S89" i="83"/>
  <c r="BM92" i="83"/>
  <c r="BH94" i="83"/>
  <c r="BN94" i="83"/>
  <c r="T96" i="83"/>
  <c r="BO102" i="83"/>
  <c r="BF104" i="83"/>
  <c r="BH107" i="83"/>
  <c r="BN107" i="83"/>
  <c r="BF109" i="83"/>
  <c r="BH115" i="83"/>
  <c r="BN115" i="83"/>
  <c r="BM119" i="83"/>
  <c r="BM122" i="83"/>
  <c r="BG122" i="83"/>
  <c r="BN131" i="83"/>
  <c r="BH131" i="83"/>
  <c r="BN137" i="83"/>
  <c r="BH137" i="83"/>
  <c r="BH77" i="83"/>
  <c r="BN77" i="83"/>
  <c r="T529" i="83"/>
  <c r="T528" i="83"/>
  <c r="T527" i="83"/>
  <c r="T526" i="83"/>
  <c r="T525" i="83"/>
  <c r="T524" i="83"/>
  <c r="T523" i="83"/>
  <c r="T522" i="83"/>
  <c r="T521" i="83"/>
  <c r="T520" i="83"/>
  <c r="T519" i="83"/>
  <c r="T518" i="83"/>
  <c r="T517" i="83"/>
  <c r="T516" i="83"/>
  <c r="T515" i="83"/>
  <c r="T514" i="83"/>
  <c r="T513" i="83"/>
  <c r="T512" i="83"/>
  <c r="T511" i="83"/>
  <c r="T510" i="83"/>
  <c r="T509" i="83"/>
  <c r="T508" i="83"/>
  <c r="T507" i="83"/>
  <c r="T506" i="83"/>
  <c r="T505" i="83"/>
  <c r="T504" i="83"/>
  <c r="T503" i="83"/>
  <c r="T502" i="83"/>
  <c r="S529" i="83"/>
  <c r="S528" i="83"/>
  <c r="S527" i="83"/>
  <c r="S526" i="83"/>
  <c r="S525" i="83"/>
  <c r="S524" i="83"/>
  <c r="S523" i="83"/>
  <c r="S522" i="83"/>
  <c r="S521" i="83"/>
  <c r="S520" i="83"/>
  <c r="S519" i="83"/>
  <c r="S518" i="83"/>
  <c r="S517" i="83"/>
  <c r="S516" i="83"/>
  <c r="S515" i="83"/>
  <c r="S514" i="83"/>
  <c r="S513" i="83"/>
  <c r="S512" i="83"/>
  <c r="S509" i="83"/>
  <c r="T501" i="83"/>
  <c r="T500" i="83"/>
  <c r="T499" i="83"/>
  <c r="T498" i="83"/>
  <c r="T497" i="83"/>
  <c r="T496" i="83"/>
  <c r="T495" i="83"/>
  <c r="T494" i="83"/>
  <c r="T493" i="83"/>
  <c r="T492" i="83"/>
  <c r="T491" i="83"/>
  <c r="T490" i="83"/>
  <c r="T489" i="83"/>
  <c r="T488" i="83"/>
  <c r="T487" i="83"/>
  <c r="T486" i="83"/>
  <c r="T485" i="83"/>
  <c r="S507" i="83"/>
  <c r="S503" i="83"/>
  <c r="S501" i="83"/>
  <c r="S500" i="83"/>
  <c r="S499" i="83"/>
  <c r="S498" i="83"/>
  <c r="S497" i="83"/>
  <c r="S496" i="83"/>
  <c r="S495" i="83"/>
  <c r="S494" i="83"/>
  <c r="S493" i="83"/>
  <c r="S492" i="83"/>
  <c r="S491" i="83"/>
  <c r="S490" i="83"/>
  <c r="S489" i="83"/>
  <c r="S488" i="83"/>
  <c r="S510" i="83"/>
  <c r="S506" i="83"/>
  <c r="S502" i="83"/>
  <c r="S511" i="83"/>
  <c r="S505" i="83"/>
  <c r="S482" i="83"/>
  <c r="S478" i="83"/>
  <c r="S508" i="83"/>
  <c r="T481" i="83"/>
  <c r="T477" i="83"/>
  <c r="T474" i="83"/>
  <c r="S487" i="83"/>
  <c r="S486" i="83"/>
  <c r="S485" i="83"/>
  <c r="S481" i="83"/>
  <c r="S477" i="83"/>
  <c r="S474" i="83"/>
  <c r="S472" i="83"/>
  <c r="S470" i="83"/>
  <c r="T484" i="83"/>
  <c r="T480" i="83"/>
  <c r="T476" i="83"/>
  <c r="S504" i="83"/>
  <c r="S484" i="83"/>
  <c r="S480" i="83"/>
  <c r="S476" i="83"/>
  <c r="T468" i="83"/>
  <c r="T467" i="83"/>
  <c r="T466" i="83"/>
  <c r="T465" i="83"/>
  <c r="T464" i="83"/>
  <c r="T463" i="83"/>
  <c r="T462" i="83"/>
  <c r="T461" i="83"/>
  <c r="T460" i="83"/>
  <c r="T459" i="83"/>
  <c r="T458" i="83"/>
  <c r="T457" i="83"/>
  <c r="T456" i="83"/>
  <c r="T455" i="83"/>
  <c r="T454" i="83"/>
  <c r="T453" i="83"/>
  <c r="T452" i="83"/>
  <c r="T451" i="83"/>
  <c r="T450" i="83"/>
  <c r="T449" i="83"/>
  <c r="T448" i="83"/>
  <c r="T447" i="83"/>
  <c r="T483" i="83"/>
  <c r="T479" i="83"/>
  <c r="T475" i="83"/>
  <c r="T473" i="83"/>
  <c r="T471" i="83"/>
  <c r="T469" i="83"/>
  <c r="S468" i="83"/>
  <c r="S467" i="83"/>
  <c r="S466" i="83"/>
  <c r="S465" i="83"/>
  <c r="S464" i="83"/>
  <c r="S463" i="83"/>
  <c r="S462" i="83"/>
  <c r="S461" i="83"/>
  <c r="S460" i="83"/>
  <c r="S459" i="83"/>
  <c r="S458" i="83"/>
  <c r="S457" i="83"/>
  <c r="S456" i="83"/>
  <c r="S455" i="83"/>
  <c r="S454" i="83"/>
  <c r="S453" i="83"/>
  <c r="S452" i="83"/>
  <c r="S451" i="83"/>
  <c r="S450" i="83"/>
  <c r="S449" i="83"/>
  <c r="S448" i="83"/>
  <c r="S483" i="83"/>
  <c r="S473" i="83"/>
  <c r="S479" i="83"/>
  <c r="S469" i="83"/>
  <c r="T482" i="83"/>
  <c r="T470" i="83"/>
  <c r="S475" i="83"/>
  <c r="S471" i="83"/>
  <c r="S446" i="83"/>
  <c r="S445" i="83"/>
  <c r="S444" i="83"/>
  <c r="S443" i="83"/>
  <c r="S442" i="83"/>
  <c r="S441" i="83"/>
  <c r="S440" i="83"/>
  <c r="S439" i="83"/>
  <c r="S438" i="83"/>
  <c r="S437" i="83"/>
  <c r="S436" i="83"/>
  <c r="S435" i="83"/>
  <c r="S434" i="83"/>
  <c r="T442" i="83"/>
  <c r="T445" i="83"/>
  <c r="T440" i="83"/>
  <c r="T438" i="83"/>
  <c r="T436" i="83"/>
  <c r="S447" i="83"/>
  <c r="T472" i="83"/>
  <c r="T443" i="83"/>
  <c r="T446" i="83"/>
  <c r="S433" i="83"/>
  <c r="T426" i="83"/>
  <c r="S425" i="83"/>
  <c r="T418" i="83"/>
  <c r="T417" i="83"/>
  <c r="S410" i="83"/>
  <c r="T409" i="83"/>
  <c r="S402" i="83"/>
  <c r="T478" i="83"/>
  <c r="T437" i="83"/>
  <c r="T427" i="83"/>
  <c r="S426" i="83"/>
  <c r="T419" i="83"/>
  <c r="S418" i="83"/>
  <c r="S417" i="83"/>
  <c r="T416" i="83"/>
  <c r="S409" i="83"/>
  <c r="T408" i="83"/>
  <c r="T444" i="83"/>
  <c r="T428" i="83"/>
  <c r="S427" i="83"/>
  <c r="T420" i="83"/>
  <c r="S419" i="83"/>
  <c r="S416" i="83"/>
  <c r="T415" i="83"/>
  <c r="S408" i="83"/>
  <c r="T407" i="83"/>
  <c r="T401" i="83"/>
  <c r="T400" i="83"/>
  <c r="T399" i="83"/>
  <c r="T398" i="83"/>
  <c r="T397" i="83"/>
  <c r="T396" i="83"/>
  <c r="T395" i="83"/>
  <c r="T394" i="83"/>
  <c r="T393" i="83"/>
  <c r="T392" i="83"/>
  <c r="T391" i="83"/>
  <c r="T390" i="83"/>
  <c r="T389" i="83"/>
  <c r="T388" i="83"/>
  <c r="T387" i="83"/>
  <c r="T386" i="83"/>
  <c r="T385" i="83"/>
  <c r="T384" i="83"/>
  <c r="T383" i="83"/>
  <c r="T382" i="83"/>
  <c r="T381" i="83"/>
  <c r="T380" i="83"/>
  <c r="T379" i="83"/>
  <c r="T378" i="83"/>
  <c r="T377" i="83"/>
  <c r="T376" i="83"/>
  <c r="T375" i="83"/>
  <c r="T374" i="83"/>
  <c r="T373" i="83"/>
  <c r="T372" i="83"/>
  <c r="T371" i="83"/>
  <c r="T370" i="83"/>
  <c r="T369" i="83"/>
  <c r="T368" i="83"/>
  <c r="T367" i="83"/>
  <c r="T366" i="83"/>
  <c r="T365" i="83"/>
  <c r="T364" i="83"/>
  <c r="T363" i="83"/>
  <c r="T362" i="83"/>
  <c r="T361" i="83"/>
  <c r="T360" i="83"/>
  <c r="T359" i="83"/>
  <c r="T358" i="83"/>
  <c r="T357" i="83"/>
  <c r="T441" i="83"/>
  <c r="T429" i="83"/>
  <c r="S428" i="83"/>
  <c r="T421" i="83"/>
  <c r="S420" i="83"/>
  <c r="S415" i="83"/>
  <c r="T414" i="83"/>
  <c r="S407" i="83"/>
  <c r="T406" i="83"/>
  <c r="S401" i="83"/>
  <c r="S400" i="83"/>
  <c r="S399" i="83"/>
  <c r="S398" i="83"/>
  <c r="S397" i="83"/>
  <c r="S396" i="83"/>
  <c r="S395" i="83"/>
  <c r="S394" i="83"/>
  <c r="S393" i="83"/>
  <c r="S392" i="83"/>
  <c r="S391" i="83"/>
  <c r="S390" i="83"/>
  <c r="S389" i="83"/>
  <c r="S388" i="83"/>
  <c r="S387" i="83"/>
  <c r="S386" i="83"/>
  <c r="S385" i="83"/>
  <c r="S384" i="83"/>
  <c r="S383" i="83"/>
  <c r="S382" i="83"/>
  <c r="S381" i="83"/>
  <c r="S380" i="83"/>
  <c r="S379" i="83"/>
  <c r="S378" i="83"/>
  <c r="S377" i="83"/>
  <c r="S376" i="83"/>
  <c r="S375" i="83"/>
  <c r="T430" i="83"/>
  <c r="S429" i="83"/>
  <c r="T422" i="83"/>
  <c r="S421" i="83"/>
  <c r="S414" i="83"/>
  <c r="T413" i="83"/>
  <c r="S406" i="83"/>
  <c r="T405" i="83"/>
  <c r="T439" i="83"/>
  <c r="T435" i="83"/>
  <c r="T432" i="83"/>
  <c r="S431" i="83"/>
  <c r="T424" i="83"/>
  <c r="S423" i="83"/>
  <c r="S412" i="83"/>
  <c r="T411" i="83"/>
  <c r="S404" i="83"/>
  <c r="T403" i="83"/>
  <c r="T425" i="83"/>
  <c r="T404" i="83"/>
  <c r="S374" i="83"/>
  <c r="S366" i="83"/>
  <c r="S358" i="83"/>
  <c r="T356" i="83"/>
  <c r="T355" i="83"/>
  <c r="T354" i="83"/>
  <c r="T353" i="83"/>
  <c r="T352" i="83"/>
  <c r="T351" i="83"/>
  <c r="T350" i="83"/>
  <c r="T349" i="83"/>
  <c r="T348" i="83"/>
  <c r="T347" i="83"/>
  <c r="T346" i="83"/>
  <c r="T345" i="83"/>
  <c r="T344" i="83"/>
  <c r="T343" i="83"/>
  <c r="T342" i="83"/>
  <c r="T341" i="83"/>
  <c r="T340" i="83"/>
  <c r="T339" i="83"/>
  <c r="T338" i="83"/>
  <c r="T337" i="83"/>
  <c r="T336" i="83"/>
  <c r="T335" i="83"/>
  <c r="T334" i="83"/>
  <c r="T333" i="83"/>
  <c r="T332" i="83"/>
  <c r="T331" i="83"/>
  <c r="T330" i="83"/>
  <c r="T329" i="83"/>
  <c r="T328" i="83"/>
  <c r="T327" i="83"/>
  <c r="T326" i="83"/>
  <c r="T325" i="83"/>
  <c r="T324" i="83"/>
  <c r="T323" i="83"/>
  <c r="T322" i="83"/>
  <c r="T321" i="83"/>
  <c r="T320" i="83"/>
  <c r="T319" i="83"/>
  <c r="T318" i="83"/>
  <c r="T317" i="83"/>
  <c r="T316" i="83"/>
  <c r="T315" i="83"/>
  <c r="T314" i="83"/>
  <c r="T313" i="83"/>
  <c r="T312" i="83"/>
  <c r="T311" i="83"/>
  <c r="T310" i="83"/>
  <c r="T309" i="83"/>
  <c r="T308" i="83"/>
  <c r="T307" i="83"/>
  <c r="T306" i="83"/>
  <c r="T305" i="83"/>
  <c r="T304" i="83"/>
  <c r="T303" i="83"/>
  <c r="T302" i="83"/>
  <c r="T301" i="83"/>
  <c r="T431" i="83"/>
  <c r="S424" i="83"/>
  <c r="S371" i="83"/>
  <c r="S363" i="83"/>
  <c r="S356" i="83"/>
  <c r="S355" i="83"/>
  <c r="S354" i="83"/>
  <c r="S353" i="83"/>
  <c r="S352" i="83"/>
  <c r="S351" i="83"/>
  <c r="S350" i="83"/>
  <c r="S349" i="83"/>
  <c r="S348" i="83"/>
  <c r="S347" i="83"/>
  <c r="S346" i="83"/>
  <c r="S345" i="83"/>
  <c r="S344" i="83"/>
  <c r="S343" i="83"/>
  <c r="S342" i="83"/>
  <c r="S341" i="83"/>
  <c r="S340" i="83"/>
  <c r="S339" i="83"/>
  <c r="S338" i="83"/>
  <c r="S337" i="83"/>
  <c r="S336" i="83"/>
  <c r="S335" i="83"/>
  <c r="S334" i="83"/>
  <c r="S333" i="83"/>
  <c r="S332" i="83"/>
  <c r="S331" i="83"/>
  <c r="S330" i="83"/>
  <c r="S329" i="83"/>
  <c r="S328" i="83"/>
  <c r="S327" i="83"/>
  <c r="S326" i="83"/>
  <c r="S325" i="83"/>
  <c r="S324" i="83"/>
  <c r="S323" i="83"/>
  <c r="S322" i="83"/>
  <c r="S321" i="83"/>
  <c r="S320" i="83"/>
  <c r="S319" i="83"/>
  <c r="T434" i="83"/>
  <c r="T412" i="83"/>
  <c r="S403" i="83"/>
  <c r="S368" i="83"/>
  <c r="S360" i="83"/>
  <c r="T423" i="83"/>
  <c r="S373" i="83"/>
  <c r="S365" i="83"/>
  <c r="S357" i="83"/>
  <c r="S430" i="83"/>
  <c r="S411" i="83"/>
  <c r="T402" i="83"/>
  <c r="S370" i="83"/>
  <c r="S362" i="83"/>
  <c r="S405" i="83"/>
  <c r="S367" i="83"/>
  <c r="S359" i="83"/>
  <c r="T433" i="83"/>
  <c r="S422" i="83"/>
  <c r="T410" i="83"/>
  <c r="S372" i="83"/>
  <c r="S364" i="83"/>
  <c r="S312" i="83"/>
  <c r="S303" i="83"/>
  <c r="S301" i="83"/>
  <c r="S300" i="83"/>
  <c r="S299" i="83"/>
  <c r="S298" i="83"/>
  <c r="S297" i="83"/>
  <c r="S296" i="83"/>
  <c r="S295" i="83"/>
  <c r="S317" i="83"/>
  <c r="S311" i="83"/>
  <c r="S308" i="83"/>
  <c r="S413" i="83"/>
  <c r="S305" i="83"/>
  <c r="S316" i="83"/>
  <c r="S310" i="83"/>
  <c r="S302" i="83"/>
  <c r="S361" i="83"/>
  <c r="S307" i="83"/>
  <c r="S432" i="83"/>
  <c r="S315" i="83"/>
  <c r="S304" i="83"/>
  <c r="S369" i="83"/>
  <c r="S314" i="83"/>
  <c r="S309" i="83"/>
  <c r="S313" i="83"/>
  <c r="T292" i="83"/>
  <c r="T288" i="83"/>
  <c r="T284" i="83"/>
  <c r="T281" i="83"/>
  <c r="S276" i="83"/>
  <c r="T273" i="83"/>
  <c r="S268" i="83"/>
  <c r="T265" i="83"/>
  <c r="S260" i="83"/>
  <c r="T257" i="83"/>
  <c r="S292" i="83"/>
  <c r="S288" i="83"/>
  <c r="S284" i="83"/>
  <c r="S281" i="83"/>
  <c r="T278" i="83"/>
  <c r="S273" i="83"/>
  <c r="T270" i="83"/>
  <c r="S265" i="83"/>
  <c r="T262" i="83"/>
  <c r="S257" i="83"/>
  <c r="T300" i="83"/>
  <c r="T299" i="83"/>
  <c r="T298" i="83"/>
  <c r="T297" i="83"/>
  <c r="T296" i="83"/>
  <c r="T291" i="83"/>
  <c r="T287" i="83"/>
  <c r="T283" i="83"/>
  <c r="S278" i="83"/>
  <c r="T275" i="83"/>
  <c r="S270" i="83"/>
  <c r="S306" i="83"/>
  <c r="T295" i="83"/>
  <c r="S291" i="83"/>
  <c r="S287" i="83"/>
  <c r="S283" i="83"/>
  <c r="T280" i="83"/>
  <c r="S275" i="83"/>
  <c r="T272" i="83"/>
  <c r="S267" i="83"/>
  <c r="T264" i="83"/>
  <c r="S259" i="83"/>
  <c r="S318" i="83"/>
  <c r="T294" i="83"/>
  <c r="T290" i="83"/>
  <c r="T286" i="83"/>
  <c r="S280" i="83"/>
  <c r="T277" i="83"/>
  <c r="S272" i="83"/>
  <c r="T269" i="83"/>
  <c r="S264" i="83"/>
  <c r="T261" i="83"/>
  <c r="T256" i="83"/>
  <c r="T255" i="83"/>
  <c r="T254" i="83"/>
  <c r="T253" i="83"/>
  <c r="T252" i="83"/>
  <c r="T251" i="83"/>
  <c r="T250" i="83"/>
  <c r="T249" i="83"/>
  <c r="T248" i="83"/>
  <c r="T247" i="83"/>
  <c r="T246" i="83"/>
  <c r="T245" i="83"/>
  <c r="T244" i="83"/>
  <c r="T243" i="83"/>
  <c r="T242" i="83"/>
  <c r="T241" i="83"/>
  <c r="T240" i="83"/>
  <c r="T239" i="83"/>
  <c r="T238" i="83"/>
  <c r="T237" i="83"/>
  <c r="T236" i="83"/>
  <c r="T235" i="83"/>
  <c r="T234" i="83"/>
  <c r="T233" i="83"/>
  <c r="T232" i="83"/>
  <c r="T231" i="83"/>
  <c r="T230" i="83"/>
  <c r="T229" i="83"/>
  <c r="T228" i="83"/>
  <c r="T227" i="83"/>
  <c r="T226" i="83"/>
  <c r="T225" i="83"/>
  <c r="T224" i="83"/>
  <c r="T223" i="83"/>
  <c r="T222" i="83"/>
  <c r="T221" i="83"/>
  <c r="T220" i="83"/>
  <c r="T219" i="83"/>
  <c r="T218" i="83"/>
  <c r="T217" i="83"/>
  <c r="T216" i="83"/>
  <c r="T215" i="83"/>
  <c r="T214" i="83"/>
  <c r="T213" i="83"/>
  <c r="T212" i="83"/>
  <c r="T211" i="83"/>
  <c r="T210" i="83"/>
  <c r="T209" i="83"/>
  <c r="T208" i="83"/>
  <c r="T207" i="83"/>
  <c r="T206" i="83"/>
  <c r="T205" i="83"/>
  <c r="T204" i="83"/>
  <c r="T203" i="83"/>
  <c r="T202" i="83"/>
  <c r="T201" i="83"/>
  <c r="T200" i="83"/>
  <c r="S294" i="83"/>
  <c r="S290" i="83"/>
  <c r="S286" i="83"/>
  <c r="T282" i="83"/>
  <c r="S277" i="83"/>
  <c r="T274" i="83"/>
  <c r="S269" i="83"/>
  <c r="T266" i="83"/>
  <c r="S261" i="83"/>
  <c r="T258" i="83"/>
  <c r="S256" i="83"/>
  <c r="S255" i="83"/>
  <c r="S254" i="83"/>
  <c r="S253" i="83"/>
  <c r="S252" i="83"/>
  <c r="S251" i="83"/>
  <c r="S250" i="83"/>
  <c r="S249" i="83"/>
  <c r="S248" i="83"/>
  <c r="S247" i="83"/>
  <c r="S246" i="83"/>
  <c r="S245" i="83"/>
  <c r="S244" i="83"/>
  <c r="S243" i="83"/>
  <c r="S242" i="83"/>
  <c r="S241" i="83"/>
  <c r="S240" i="83"/>
  <c r="S239" i="83"/>
  <c r="S238" i="83"/>
  <c r="S237" i="83"/>
  <c r="S236" i="83"/>
  <c r="S235" i="83"/>
  <c r="T293" i="83"/>
  <c r="T289" i="83"/>
  <c r="T285" i="83"/>
  <c r="S282" i="83"/>
  <c r="T279" i="83"/>
  <c r="S274" i="83"/>
  <c r="T271" i="83"/>
  <c r="S266" i="83"/>
  <c r="T263" i="83"/>
  <c r="S258" i="83"/>
  <c r="S233" i="83"/>
  <c r="S226" i="83"/>
  <c r="S218" i="83"/>
  <c r="S214" i="83"/>
  <c r="S206" i="83"/>
  <c r="S201" i="83"/>
  <c r="S293" i="83"/>
  <c r="S279" i="83"/>
  <c r="S263" i="83"/>
  <c r="T260" i="83"/>
  <c r="S227" i="83"/>
  <c r="S219" i="83"/>
  <c r="S211" i="83"/>
  <c r="S203" i="83"/>
  <c r="T276" i="83"/>
  <c r="S228" i="83"/>
  <c r="S220" i="83"/>
  <c r="S216" i="83"/>
  <c r="S208" i="83"/>
  <c r="S289" i="83"/>
  <c r="T268" i="83"/>
  <c r="S234" i="83"/>
  <c r="S229" i="83"/>
  <c r="S221" i="83"/>
  <c r="S213" i="83"/>
  <c r="S205" i="83"/>
  <c r="T259" i="83"/>
  <c r="S230" i="83"/>
  <c r="S222" i="83"/>
  <c r="S210" i="83"/>
  <c r="S202" i="83"/>
  <c r="T199" i="83"/>
  <c r="T198" i="83"/>
  <c r="T197" i="83"/>
  <c r="T196" i="83"/>
  <c r="T195" i="83"/>
  <c r="T194" i="83"/>
  <c r="T193" i="83"/>
  <c r="T192" i="83"/>
  <c r="T191" i="83"/>
  <c r="T190" i="83"/>
  <c r="T189" i="83"/>
  <c r="T188" i="83"/>
  <c r="T187" i="83"/>
  <c r="T186" i="83"/>
  <c r="T185" i="83"/>
  <c r="T184" i="83"/>
  <c r="T183" i="83"/>
  <c r="T182" i="83"/>
  <c r="T181" i="83"/>
  <c r="T180" i="83"/>
  <c r="T179" i="83"/>
  <c r="T178" i="83"/>
  <c r="T177" i="83"/>
  <c r="T176" i="83"/>
  <c r="T175" i="83"/>
  <c r="T174" i="83"/>
  <c r="T173" i="83"/>
  <c r="T172" i="83"/>
  <c r="T171" i="83"/>
  <c r="T170" i="83"/>
  <c r="T169" i="83"/>
  <c r="T168" i="83"/>
  <c r="T167" i="83"/>
  <c r="T166" i="83"/>
  <c r="T165" i="83"/>
  <c r="T164" i="83"/>
  <c r="T163" i="83"/>
  <c r="T162" i="83"/>
  <c r="T161" i="83"/>
  <c r="T160" i="83"/>
  <c r="T159" i="83"/>
  <c r="T158" i="83"/>
  <c r="T157" i="83"/>
  <c r="T156" i="83"/>
  <c r="T155" i="83"/>
  <c r="T154" i="83"/>
  <c r="T153" i="83"/>
  <c r="T152" i="83"/>
  <c r="T151" i="83"/>
  <c r="T150" i="83"/>
  <c r="T149" i="83"/>
  <c r="T148" i="83"/>
  <c r="T147" i="83"/>
  <c r="S285" i="83"/>
  <c r="S231" i="83"/>
  <c r="S223" i="83"/>
  <c r="S215" i="83"/>
  <c r="S207" i="83"/>
  <c r="S200" i="83"/>
  <c r="S199" i="83"/>
  <c r="S198" i="83"/>
  <c r="S197" i="83"/>
  <c r="S196" i="83"/>
  <c r="S195" i="83"/>
  <c r="S194" i="83"/>
  <c r="S193" i="83"/>
  <c r="S192" i="83"/>
  <c r="S191" i="83"/>
  <c r="S190" i="83"/>
  <c r="S189" i="83"/>
  <c r="S188" i="83"/>
  <c r="S187" i="83"/>
  <c r="S186" i="83"/>
  <c r="S185" i="83"/>
  <c r="S184" i="83"/>
  <c r="S183" i="83"/>
  <c r="S182" i="83"/>
  <c r="S181" i="83"/>
  <c r="S180" i="83"/>
  <c r="S179" i="83"/>
  <c r="S178" i="83"/>
  <c r="S177" i="83"/>
  <c r="S176" i="83"/>
  <c r="S175" i="83"/>
  <c r="S174" i="83"/>
  <c r="S173" i="83"/>
  <c r="S172" i="83"/>
  <c r="S171" i="83"/>
  <c r="S170" i="83"/>
  <c r="S169" i="83"/>
  <c r="S168" i="83"/>
  <c r="S167" i="83"/>
  <c r="S166" i="83"/>
  <c r="S165" i="83"/>
  <c r="S164" i="83"/>
  <c r="S163" i="83"/>
  <c r="S162" i="83"/>
  <c r="S161" i="83"/>
  <c r="T267" i="83"/>
  <c r="S232" i="83"/>
  <c r="S224" i="83"/>
  <c r="S212" i="83"/>
  <c r="S204" i="83"/>
  <c r="S225" i="83"/>
  <c r="S157" i="83"/>
  <c r="S149" i="83"/>
  <c r="S217" i="83"/>
  <c r="S209" i="83"/>
  <c r="S156" i="83"/>
  <c r="S262" i="83"/>
  <c r="S155" i="83"/>
  <c r="S154" i="83"/>
  <c r="S148" i="83"/>
  <c r="T146" i="83"/>
  <c r="T145" i="83"/>
  <c r="T144" i="83"/>
  <c r="T143" i="83"/>
  <c r="T142" i="83"/>
  <c r="T141" i="83"/>
  <c r="T140" i="83"/>
  <c r="T139" i="83"/>
  <c r="T138" i="83"/>
  <c r="T137" i="83"/>
  <c r="T136" i="83"/>
  <c r="T135" i="83"/>
  <c r="T134" i="83"/>
  <c r="T133" i="83"/>
  <c r="T132" i="83"/>
  <c r="T131" i="83"/>
  <c r="T130" i="83"/>
  <c r="T129" i="83"/>
  <c r="T128" i="83"/>
  <c r="T127" i="83"/>
  <c r="T126" i="83"/>
  <c r="T125" i="83"/>
  <c r="T124" i="83"/>
  <c r="T123" i="83"/>
  <c r="T122" i="83"/>
  <c r="T121" i="83"/>
  <c r="T120" i="83"/>
  <c r="T119" i="83"/>
  <c r="T118" i="83"/>
  <c r="T117" i="83"/>
  <c r="T116" i="83"/>
  <c r="T115" i="83"/>
  <c r="T114" i="83"/>
  <c r="T113" i="83"/>
  <c r="T112" i="83"/>
  <c r="T111" i="83"/>
  <c r="T110" i="83"/>
  <c r="T109" i="83"/>
  <c r="T108" i="83"/>
  <c r="T107" i="83"/>
  <c r="T106" i="83"/>
  <c r="T105" i="83"/>
  <c r="T104" i="83"/>
  <c r="T103" i="83"/>
  <c r="T102" i="83"/>
  <c r="T101" i="83"/>
  <c r="S153" i="83"/>
  <c r="S146" i="83"/>
  <c r="S145" i="83"/>
  <c r="S144" i="83"/>
  <c r="S143" i="83"/>
  <c r="S142" i="83"/>
  <c r="S141" i="83"/>
  <c r="S140" i="83"/>
  <c r="S139" i="83"/>
  <c r="S138" i="83"/>
  <c r="S137" i="83"/>
  <c r="S136" i="83"/>
  <c r="S135" i="83"/>
  <c r="S134" i="83"/>
  <c r="S133" i="83"/>
  <c r="S132" i="83"/>
  <c r="S131" i="83"/>
  <c r="S130" i="83"/>
  <c r="S129" i="83"/>
  <c r="S128" i="83"/>
  <c r="S127" i="83"/>
  <c r="S126" i="83"/>
  <c r="S125" i="83"/>
  <c r="S124" i="83"/>
  <c r="S123" i="83"/>
  <c r="S122" i="83"/>
  <c r="S121" i="83"/>
  <c r="S120" i="83"/>
  <c r="S119" i="83"/>
  <c r="S118" i="83"/>
  <c r="S117" i="83"/>
  <c r="S116" i="83"/>
  <c r="S115" i="83"/>
  <c r="S114" i="83"/>
  <c r="S113" i="83"/>
  <c r="S112" i="83"/>
  <c r="S111" i="83"/>
  <c r="S110" i="83"/>
  <c r="S109" i="83"/>
  <c r="S108" i="83"/>
  <c r="S107" i="83"/>
  <c r="S106" i="83"/>
  <c r="S105" i="83"/>
  <c r="S104" i="83"/>
  <c r="S103" i="83"/>
  <c r="S160" i="83"/>
  <c r="S152" i="83"/>
  <c r="S159" i="83"/>
  <c r="S151" i="83"/>
  <c r="S147" i="83"/>
  <c r="S271" i="83"/>
  <c r="S150" i="83"/>
  <c r="S102" i="83"/>
  <c r="S17" i="83"/>
  <c r="S18" i="83" s="1"/>
  <c r="S19" i="83" s="1"/>
  <c r="S20" i="83" s="1"/>
  <c r="S21" i="83" s="1"/>
  <c r="S22" i="83" s="1"/>
  <c r="S23" i="83" s="1"/>
  <c r="BI25" i="83"/>
  <c r="BF27" i="83"/>
  <c r="S29" i="83"/>
  <c r="BI29" i="83"/>
  <c r="S32" i="83"/>
  <c r="T35" i="83"/>
  <c r="BL35" i="83"/>
  <c r="S36" i="83"/>
  <c r="BM37" i="83"/>
  <c r="T38" i="83"/>
  <c r="BG39" i="83"/>
  <c r="BG40" i="83"/>
  <c r="BG41" i="83"/>
  <c r="BG42" i="83"/>
  <c r="BG43" i="83"/>
  <c r="BG44" i="83"/>
  <c r="BG45" i="83"/>
  <c r="BG46" i="83"/>
  <c r="BG47" i="83"/>
  <c r="BG48" i="83"/>
  <c r="BG49" i="83"/>
  <c r="BG50" i="83"/>
  <c r="BG51" i="83"/>
  <c r="BG52" i="83"/>
  <c r="BG53" i="83"/>
  <c r="BG54" i="83"/>
  <c r="BG55" i="83"/>
  <c r="S57" i="83"/>
  <c r="T60" i="83"/>
  <c r="BN60" i="83"/>
  <c r="BH61" i="83"/>
  <c r="BL62" i="83"/>
  <c r="S65" i="83"/>
  <c r="T68" i="83"/>
  <c r="BN68" i="83"/>
  <c r="T70" i="83"/>
  <c r="BM71" i="83"/>
  <c r="BI72" i="83"/>
  <c r="T73" i="83"/>
  <c r="S74" i="83"/>
  <c r="BL78" i="83"/>
  <c r="BH79" i="83"/>
  <c r="BN79" i="83"/>
  <c r="BI80" i="83"/>
  <c r="T81" i="83"/>
  <c r="S82" i="83"/>
  <c r="BL86" i="83"/>
  <c r="BH87" i="83"/>
  <c r="BN87" i="83"/>
  <c r="BI88" i="83"/>
  <c r="T89" i="83"/>
  <c r="S90" i="83"/>
  <c r="BL94" i="83"/>
  <c r="BH95" i="83"/>
  <c r="BN95" i="83"/>
  <c r="BI96" i="83"/>
  <c r="T97" i="83"/>
  <c r="S98" i="83"/>
  <c r="BM105" i="83"/>
  <c r="BG105" i="83"/>
  <c r="BF114" i="83"/>
  <c r="BL114" i="83"/>
  <c r="BN134" i="83"/>
  <c r="BH134" i="83"/>
  <c r="BI160" i="83"/>
  <c r="BO160" i="83"/>
  <c r="AS1" i="83"/>
  <c r="S15" i="83"/>
  <c r="T17" i="83"/>
  <c r="T18" i="83" s="1"/>
  <c r="T19" i="83" s="1"/>
  <c r="T20" i="83" s="1"/>
  <c r="T21" i="83" s="1"/>
  <c r="T22" i="83" s="1"/>
  <c r="T23" i="83" s="1"/>
  <c r="X17" i="83"/>
  <c r="AH21" i="83"/>
  <c r="AH27" i="83"/>
  <c r="T29" i="83"/>
  <c r="T32" i="83"/>
  <c r="BO33" i="83"/>
  <c r="BN34" i="83"/>
  <c r="T36" i="83"/>
  <c r="S39" i="83"/>
  <c r="T57" i="83"/>
  <c r="BN57" i="83"/>
  <c r="BL59" i="83"/>
  <c r="BI61" i="83"/>
  <c r="S62" i="83"/>
  <c r="BM62" i="83"/>
  <c r="T65" i="83"/>
  <c r="BN65" i="83"/>
  <c r="BL67" i="83"/>
  <c r="BL69" i="83"/>
  <c r="BN71" i="83"/>
  <c r="BH72" i="83"/>
  <c r="BN72" i="83"/>
  <c r="BI73" i="83"/>
  <c r="T74" i="83"/>
  <c r="S75" i="83"/>
  <c r="BM78" i="83"/>
  <c r="BL79" i="83"/>
  <c r="BH80" i="83"/>
  <c r="BN80" i="83"/>
  <c r="BI81" i="83"/>
  <c r="T82" i="83"/>
  <c r="S83" i="83"/>
  <c r="BM86" i="83"/>
  <c r="BL87" i="83"/>
  <c r="BH88" i="83"/>
  <c r="BN88" i="83"/>
  <c r="BI89" i="83"/>
  <c r="T90" i="83"/>
  <c r="S91" i="83"/>
  <c r="BM94" i="83"/>
  <c r="BL95" i="83"/>
  <c r="BH96" i="83"/>
  <c r="BN96" i="83"/>
  <c r="BI97" i="83"/>
  <c r="T98" i="83"/>
  <c r="S99" i="83"/>
  <c r="BL103" i="83"/>
  <c r="BF103" i="83"/>
  <c r="BH111" i="83"/>
  <c r="BN111" i="83"/>
  <c r="BG113" i="83"/>
  <c r="BG120" i="83"/>
  <c r="BN124" i="83"/>
  <c r="BN129" i="83"/>
  <c r="BH129" i="83"/>
  <c r="S158" i="83"/>
  <c r="BG69" i="83"/>
  <c r="BN102" i="83"/>
  <c r="AH19" i="83"/>
  <c r="BL23" i="83"/>
  <c r="S24" i="83"/>
  <c r="BL25" i="83"/>
  <c r="S26" i="83"/>
  <c r="AH28" i="83"/>
  <c r="BO28" i="83"/>
  <c r="S30" i="83"/>
  <c r="BO34" i="83"/>
  <c r="BN35" i="83"/>
  <c r="BO37" i="83"/>
  <c r="BL38" i="83"/>
  <c r="T39" i="83"/>
  <c r="BL56" i="83"/>
  <c r="BI58" i="83"/>
  <c r="S59" i="83"/>
  <c r="BM59" i="83"/>
  <c r="T62" i="83"/>
  <c r="BN62" i="83"/>
  <c r="BL64" i="83"/>
  <c r="BI66" i="83"/>
  <c r="S67" i="83"/>
  <c r="BM67" i="83"/>
  <c r="BI70" i="83"/>
  <c r="S71" i="83"/>
  <c r="BL72" i="83"/>
  <c r="BH73" i="83"/>
  <c r="BN73" i="83"/>
  <c r="BI74" i="83"/>
  <c r="T75" i="83"/>
  <c r="S76" i="83"/>
  <c r="BL80" i="83"/>
  <c r="BH81" i="83"/>
  <c r="BN81" i="83"/>
  <c r="BI82" i="83"/>
  <c r="T83" i="83"/>
  <c r="S84" i="83"/>
  <c r="BL88" i="83"/>
  <c r="BH89" i="83"/>
  <c r="BN89" i="83"/>
  <c r="BI90" i="83"/>
  <c r="T91" i="83"/>
  <c r="S92" i="83"/>
  <c r="BL96" i="83"/>
  <c r="BH97" i="83"/>
  <c r="BN97" i="83"/>
  <c r="BI98" i="83"/>
  <c r="T99" i="83"/>
  <c r="S100" i="83"/>
  <c r="BG108" i="83"/>
  <c r="BM109" i="83"/>
  <c r="BG109" i="83"/>
  <c r="BN109" i="83"/>
  <c r="BN110" i="83"/>
  <c r="BH114" i="83"/>
  <c r="BN114" i="83"/>
  <c r="BN121" i="83"/>
  <c r="BG125" i="83"/>
  <c r="BN138" i="83"/>
  <c r="BH138" i="83"/>
  <c r="BN144" i="83"/>
  <c r="BH144" i="83"/>
  <c r="BL68" i="83"/>
  <c r="AN17" i="83"/>
  <c r="AH23" i="83"/>
  <c r="T24" i="83"/>
  <c r="AH25" i="83"/>
  <c r="T26" i="83"/>
  <c r="T30" i="83"/>
  <c r="S33" i="83"/>
  <c r="S40" i="83"/>
  <c r="S41" i="83"/>
  <c r="S42" i="83"/>
  <c r="S43" i="83"/>
  <c r="S44" i="83"/>
  <c r="S45" i="83"/>
  <c r="S46" i="83"/>
  <c r="S47" i="83"/>
  <c r="S48" i="83"/>
  <c r="S49" i="83"/>
  <c r="S50" i="83"/>
  <c r="S51" i="83"/>
  <c r="S52" i="83"/>
  <c r="S53" i="83"/>
  <c r="S54" i="83"/>
  <c r="S55" i="83"/>
  <c r="S56" i="83"/>
  <c r="T59" i="83"/>
  <c r="BN59" i="83"/>
  <c r="BL61" i="83"/>
  <c r="S64" i="83"/>
  <c r="T67" i="83"/>
  <c r="T71" i="83"/>
  <c r="BL73" i="83"/>
  <c r="BH74" i="83"/>
  <c r="BN74" i="83"/>
  <c r="BI75" i="83"/>
  <c r="T76" i="83"/>
  <c r="S77" i="83"/>
  <c r="BL81" i="83"/>
  <c r="BH82" i="83"/>
  <c r="BN82" i="83"/>
  <c r="BI83" i="83"/>
  <c r="T84" i="83"/>
  <c r="S85" i="83"/>
  <c r="BL89" i="83"/>
  <c r="BH90" i="83"/>
  <c r="BN90" i="83"/>
  <c r="BI91" i="83"/>
  <c r="T92" i="83"/>
  <c r="S93" i="83"/>
  <c r="BL97" i="83"/>
  <c r="BH98" i="83"/>
  <c r="BN98" i="83"/>
  <c r="BI99" i="83"/>
  <c r="T100" i="83"/>
  <c r="S101" i="83"/>
  <c r="BL102" i="83"/>
  <c r="BF102" i="83"/>
  <c r="BL107" i="83"/>
  <c r="BF107" i="83"/>
  <c r="BF112" i="83"/>
  <c r="BF113" i="83"/>
  <c r="BL113" i="83"/>
  <c r="BI152" i="83"/>
  <c r="BO152" i="83"/>
  <c r="S27" i="83"/>
  <c r="T33" i="83"/>
  <c r="S37" i="83"/>
  <c r="T40" i="83"/>
  <c r="T41" i="83"/>
  <c r="T42" i="83"/>
  <c r="T43" i="83"/>
  <c r="T44" i="83"/>
  <c r="T45" i="83"/>
  <c r="T46" i="83"/>
  <c r="T47" i="83"/>
  <c r="T48" i="83"/>
  <c r="T49" i="83"/>
  <c r="T50" i="83"/>
  <c r="T51" i="83"/>
  <c r="T52" i="83"/>
  <c r="T53" i="83"/>
  <c r="T54" i="83"/>
  <c r="T55" i="83"/>
  <c r="T56" i="83"/>
  <c r="BL58" i="83"/>
  <c r="BI60" i="83"/>
  <c r="S61" i="83"/>
  <c r="T64" i="83"/>
  <c r="BL66" i="83"/>
  <c r="BI68" i="83"/>
  <c r="S69" i="83"/>
  <c r="BL70" i="83"/>
  <c r="BH75" i="83"/>
  <c r="BN75" i="83"/>
  <c r="T77" i="83"/>
  <c r="S78" i="83"/>
  <c r="BH83" i="83"/>
  <c r="BN83" i="83"/>
  <c r="T85" i="83"/>
  <c r="S86" i="83"/>
  <c r="BH91" i="83"/>
  <c r="BN91" i="83"/>
  <c r="T93" i="83"/>
  <c r="S94" i="83"/>
  <c r="BH99" i="83"/>
  <c r="BN99" i="83"/>
  <c r="BN139" i="83"/>
  <c r="BH139" i="83"/>
  <c r="BN145" i="83"/>
  <c r="BH145" i="83"/>
  <c r="BH148" i="83"/>
  <c r="BN148" i="83"/>
  <c r="BL60" i="83"/>
  <c r="BH85" i="83"/>
  <c r="BN85" i="83"/>
  <c r="BH93" i="83"/>
  <c r="BN93" i="83"/>
  <c r="V17" i="83"/>
  <c r="AC17" i="83" s="1" a="1"/>
  <c r="AC17" i="83" s="1"/>
  <c r="AC15" i="83" s="1"/>
  <c r="AH20" i="83"/>
  <c r="T27" i="83"/>
  <c r="S28" i="83"/>
  <c r="S31" i="83"/>
  <c r="T37" i="83"/>
  <c r="S58" i="83"/>
  <c r="T61" i="83"/>
  <c r="BL63" i="83"/>
  <c r="S66" i="83"/>
  <c r="T69" i="83"/>
  <c r="BI71" i="83"/>
  <c r="S72" i="83"/>
  <c r="BL75" i="83"/>
  <c r="BH76" i="83"/>
  <c r="BN76" i="83"/>
  <c r="BI77" i="83"/>
  <c r="T78" i="83"/>
  <c r="S79" i="83"/>
  <c r="BL83" i="83"/>
  <c r="BH84" i="83"/>
  <c r="BN84" i="83"/>
  <c r="BI85" i="83"/>
  <c r="T86" i="83"/>
  <c r="S87" i="83"/>
  <c r="BL91" i="83"/>
  <c r="BH92" i="83"/>
  <c r="BN92" i="83"/>
  <c r="BI93" i="83"/>
  <c r="T94" i="83"/>
  <c r="S95" i="83"/>
  <c r="BL99" i="83"/>
  <c r="BH100" i="83"/>
  <c r="BN100" i="83"/>
  <c r="BH103" i="83"/>
  <c r="BN103" i="83"/>
  <c r="BL111" i="83"/>
  <c r="BF111" i="83"/>
  <c r="BH113" i="83"/>
  <c r="BN113" i="83"/>
  <c r="BF115" i="83"/>
  <c r="BL115" i="83"/>
  <c r="BN120" i="83"/>
  <c r="BM127" i="83"/>
  <c r="BN130" i="83"/>
  <c r="BH130" i="83"/>
  <c r="BN136" i="83"/>
  <c r="BH136" i="83"/>
  <c r="BN142" i="83"/>
  <c r="BH142" i="83"/>
  <c r="BN118" i="83"/>
  <c r="BN126" i="83"/>
  <c r="BN132" i="83"/>
  <c r="BH132" i="83"/>
  <c r="BN140" i="83"/>
  <c r="BH140" i="83"/>
  <c r="BF106" i="83"/>
  <c r="BF110" i="83"/>
  <c r="BN117" i="83"/>
  <c r="BN125" i="83"/>
  <c r="BN135" i="83"/>
  <c r="BH135" i="83"/>
  <c r="BN143" i="83"/>
  <c r="BH143" i="83"/>
  <c r="BN123" i="83"/>
  <c r="BN133" i="83"/>
  <c r="BH133" i="83"/>
  <c r="BN141" i="83"/>
  <c r="BH141" i="83"/>
  <c r="BM148" i="83"/>
  <c r="BO154" i="83"/>
  <c r="BM201" i="83"/>
  <c r="BG201" i="83"/>
  <c r="BI207" i="83"/>
  <c r="BO207" i="83"/>
  <c r="BI215" i="83"/>
  <c r="BO215" i="83"/>
  <c r="BF258" i="83"/>
  <c r="BL258" i="83"/>
  <c r="BM146" i="83"/>
  <c r="BO148" i="83"/>
  <c r="BH151" i="83"/>
  <c r="BO156" i="83"/>
  <c r="BH159" i="83"/>
  <c r="BL116" i="83"/>
  <c r="BL117" i="83"/>
  <c r="BL118" i="83"/>
  <c r="BL119" i="83"/>
  <c r="BL120" i="83"/>
  <c r="BL121" i="83"/>
  <c r="BL122" i="83"/>
  <c r="BL123" i="83"/>
  <c r="BL124" i="83"/>
  <c r="BL125" i="83"/>
  <c r="BL126" i="83"/>
  <c r="BL127" i="83"/>
  <c r="BL128" i="83"/>
  <c r="BL129" i="83"/>
  <c r="BL130" i="83"/>
  <c r="BL131" i="83"/>
  <c r="BL132" i="83"/>
  <c r="BL133" i="83"/>
  <c r="BL134" i="83"/>
  <c r="BL135" i="83"/>
  <c r="BL136" i="83"/>
  <c r="BL137" i="83"/>
  <c r="BL138" i="83"/>
  <c r="BL139" i="83"/>
  <c r="BL140" i="83"/>
  <c r="BL141" i="83"/>
  <c r="BL142" i="83"/>
  <c r="BL143" i="83"/>
  <c r="BL144" i="83"/>
  <c r="BL145" i="83"/>
  <c r="BH147" i="83"/>
  <c r="BO149" i="83"/>
  <c r="BH152" i="83"/>
  <c r="BO157" i="83"/>
  <c r="BH160" i="83"/>
  <c r="BI223" i="83"/>
  <c r="BO223" i="83"/>
  <c r="BO150" i="83"/>
  <c r="BO158" i="83"/>
  <c r="BM206" i="83"/>
  <c r="BG206" i="83"/>
  <c r="BI231" i="83"/>
  <c r="BO231" i="83"/>
  <c r="BF274" i="83"/>
  <c r="BL274" i="83"/>
  <c r="BH205" i="83"/>
  <c r="BN205" i="83"/>
  <c r="BM214" i="83"/>
  <c r="BG214" i="83"/>
  <c r="BO265" i="83"/>
  <c r="BI265" i="83"/>
  <c r="BH266" i="83"/>
  <c r="BN266" i="83"/>
  <c r="BH213" i="83"/>
  <c r="BN213" i="83"/>
  <c r="BF201" i="83"/>
  <c r="BH203" i="83"/>
  <c r="BM205" i="83"/>
  <c r="BH211" i="83"/>
  <c r="BM213" i="83"/>
  <c r="BO234" i="83"/>
  <c r="BI234" i="83"/>
  <c r="BN200" i="83"/>
  <c r="BM208" i="83"/>
  <c r="BM216" i="83"/>
  <c r="BO257" i="83"/>
  <c r="BI257" i="83"/>
  <c r="BO282" i="83"/>
  <c r="BI282" i="83"/>
  <c r="BO205" i="83"/>
  <c r="BO213" i="83"/>
  <c r="BO218" i="83"/>
  <c r="BO226" i="83"/>
  <c r="BH267" i="83"/>
  <c r="BN267" i="83"/>
  <c r="BO274" i="83"/>
  <c r="BI274" i="83"/>
  <c r="BH204" i="83"/>
  <c r="BH212" i="83"/>
  <c r="BO217" i="83"/>
  <c r="BO225" i="83"/>
  <c r="BO233" i="83"/>
  <c r="BI233" i="83"/>
  <c r="BH275" i="83"/>
  <c r="BN275" i="83"/>
  <c r="BH259" i="83"/>
  <c r="BN259" i="83"/>
  <c r="BF265" i="83"/>
  <c r="BL265" i="83"/>
  <c r="BO214" i="83"/>
  <c r="BF266" i="83"/>
  <c r="BL266" i="83"/>
  <c r="BI304" i="83"/>
  <c r="BO304" i="83"/>
  <c r="BO201" i="83"/>
  <c r="BO209" i="83"/>
  <c r="BO232" i="83"/>
  <c r="BI232" i="83"/>
  <c r="BF257" i="83"/>
  <c r="BL257" i="83"/>
  <c r="BF282" i="83"/>
  <c r="BL282" i="83"/>
  <c r="BI235" i="83"/>
  <c r="BI236" i="83"/>
  <c r="BI237" i="83"/>
  <c r="BI238" i="83"/>
  <c r="BI239" i="83"/>
  <c r="BI240" i="83"/>
  <c r="BI241" i="83"/>
  <c r="BI242" i="83"/>
  <c r="BI243" i="83"/>
  <c r="BI244" i="83"/>
  <c r="BI245" i="83"/>
  <c r="BI246" i="83"/>
  <c r="BI247" i="83"/>
  <c r="BI248" i="83"/>
  <c r="BI249" i="83"/>
  <c r="BI250" i="83"/>
  <c r="BI251" i="83"/>
  <c r="BI252" i="83"/>
  <c r="BI253" i="83"/>
  <c r="BI254" i="83"/>
  <c r="BI255" i="83"/>
  <c r="BL256" i="83"/>
  <c r="BI262" i="83"/>
  <c r="BL264" i="83"/>
  <c r="BI270" i="83"/>
  <c r="BL272" i="83"/>
  <c r="BH273" i="83"/>
  <c r="BN277" i="83"/>
  <c r="BI278" i="83"/>
  <c r="BL280" i="83"/>
  <c r="BH281" i="83"/>
  <c r="BL295" i="83"/>
  <c r="BL296" i="83"/>
  <c r="BL297" i="83"/>
  <c r="BL298" i="83"/>
  <c r="BL299" i="83"/>
  <c r="BN256" i="83"/>
  <c r="BI260" i="83"/>
  <c r="BL262" i="83"/>
  <c r="BH263" i="83"/>
  <c r="BI268" i="83"/>
  <c r="BL270" i="83"/>
  <c r="BH271" i="83"/>
  <c r="BI276" i="83"/>
  <c r="BL278" i="83"/>
  <c r="BM301" i="83"/>
  <c r="BG301" i="83"/>
  <c r="BG312" i="83"/>
  <c r="BM217" i="83"/>
  <c r="BM218" i="83"/>
  <c r="BM219" i="83"/>
  <c r="BM220" i="83"/>
  <c r="BM221" i="83"/>
  <c r="BM222" i="83"/>
  <c r="BM223" i="83"/>
  <c r="BM224" i="83"/>
  <c r="BM225" i="83"/>
  <c r="BM226" i="83"/>
  <c r="BM227" i="83"/>
  <c r="BM228" i="83"/>
  <c r="BM229" i="83"/>
  <c r="BM230" i="83"/>
  <c r="BM231" i="83"/>
  <c r="BM232" i="83"/>
  <c r="BM233" i="83"/>
  <c r="BM234" i="83"/>
  <c r="BM235" i="83"/>
  <c r="BM236" i="83"/>
  <c r="BM237" i="83"/>
  <c r="BM238" i="83"/>
  <c r="BM239" i="83"/>
  <c r="BM240" i="83"/>
  <c r="BM241" i="83"/>
  <c r="BM242" i="83"/>
  <c r="BM243" i="83"/>
  <c r="BM244" i="83"/>
  <c r="BM245" i="83"/>
  <c r="BM246" i="83"/>
  <c r="BM247" i="83"/>
  <c r="BM248" i="83"/>
  <c r="BM249" i="83"/>
  <c r="BM250" i="83"/>
  <c r="BM251" i="83"/>
  <c r="BM252" i="83"/>
  <c r="BM253" i="83"/>
  <c r="BM254" i="83"/>
  <c r="BM255" i="83"/>
  <c r="BI263" i="83"/>
  <c r="BI271" i="83"/>
  <c r="BI279" i="83"/>
  <c r="BI285" i="83"/>
  <c r="BI289" i="83"/>
  <c r="BM303" i="83"/>
  <c r="BG303" i="83"/>
  <c r="BL276" i="83"/>
  <c r="BH302" i="83"/>
  <c r="BN302" i="83"/>
  <c r="BH310" i="83"/>
  <c r="BN310" i="83"/>
  <c r="BH316" i="83"/>
  <c r="BN316" i="83"/>
  <c r="BI264" i="83"/>
  <c r="BI272" i="83"/>
  <c r="BI280" i="83"/>
  <c r="BF301" i="83"/>
  <c r="BM302" i="83"/>
  <c r="BH308" i="83"/>
  <c r="BM311" i="83"/>
  <c r="BM348" i="83"/>
  <c r="BG358" i="83"/>
  <c r="BM358" i="83"/>
  <c r="BM305" i="83"/>
  <c r="BO310" i="83"/>
  <c r="BN311" i="83"/>
  <c r="BG314" i="83"/>
  <c r="BM317" i="83"/>
  <c r="BL364" i="83"/>
  <c r="BF364" i="83"/>
  <c r="BI372" i="83"/>
  <c r="BO372" i="83"/>
  <c r="BG380" i="83"/>
  <c r="BM380" i="83"/>
  <c r="BH409" i="83"/>
  <c r="BN409" i="83"/>
  <c r="BO302" i="83"/>
  <c r="BO311" i="83"/>
  <c r="BN312" i="83"/>
  <c r="BN317" i="83"/>
  <c r="BM356" i="83"/>
  <c r="BG356" i="83"/>
  <c r="BH309" i="83"/>
  <c r="BO312" i="83"/>
  <c r="BN313" i="83"/>
  <c r="BM323" i="83"/>
  <c r="BG374" i="83"/>
  <c r="BM374" i="83"/>
  <c r="BO313" i="83"/>
  <c r="BN314" i="83"/>
  <c r="BI364" i="83"/>
  <c r="BO364" i="83"/>
  <c r="BF421" i="83"/>
  <c r="BL421" i="83"/>
  <c r="BO303" i="83"/>
  <c r="BO314" i="83"/>
  <c r="BO318" i="83"/>
  <c r="BN319" i="83"/>
  <c r="BM326" i="83"/>
  <c r="BM330" i="83"/>
  <c r="BM334" i="83"/>
  <c r="BM349" i="83"/>
  <c r="BF439" i="83"/>
  <c r="BL439" i="83"/>
  <c r="BO306" i="83"/>
  <c r="BN315" i="83"/>
  <c r="BN320" i="83"/>
  <c r="BN321" i="83"/>
  <c r="BG366" i="83"/>
  <c r="BM366" i="83"/>
  <c r="BL372" i="83"/>
  <c r="BF372" i="83"/>
  <c r="BH415" i="83"/>
  <c r="BN415" i="83"/>
  <c r="BH425" i="83"/>
  <c r="BN425" i="83"/>
  <c r="BL452" i="83"/>
  <c r="BF452" i="83"/>
  <c r="BO359" i="83"/>
  <c r="BO367" i="83"/>
  <c r="BM382" i="83"/>
  <c r="BG382" i="83"/>
  <c r="BH401" i="83"/>
  <c r="BN401" i="83"/>
  <c r="BH407" i="83"/>
  <c r="BN407" i="83"/>
  <c r="BO415" i="83"/>
  <c r="BI415" i="83"/>
  <c r="BF429" i="83"/>
  <c r="BL429" i="83"/>
  <c r="BF435" i="83"/>
  <c r="BL435" i="83"/>
  <c r="BO370" i="83"/>
  <c r="BF375" i="83"/>
  <c r="BO407" i="83"/>
  <c r="BI407" i="83"/>
  <c r="BO413" i="83"/>
  <c r="BI413" i="83"/>
  <c r="BF414" i="83"/>
  <c r="BL414" i="83"/>
  <c r="BO421" i="83"/>
  <c r="BI421" i="83"/>
  <c r="BF423" i="83"/>
  <c r="BL423" i="83"/>
  <c r="BF359" i="83"/>
  <c r="BF367" i="83"/>
  <c r="BF406" i="83"/>
  <c r="BL406" i="83"/>
  <c r="BF412" i="83"/>
  <c r="BL412" i="83"/>
  <c r="BH419" i="83"/>
  <c r="BN419" i="83"/>
  <c r="BF362" i="83"/>
  <c r="BF370" i="83"/>
  <c r="BM381" i="83"/>
  <c r="BO405" i="83"/>
  <c r="BI405" i="83"/>
  <c r="BO419" i="83"/>
  <c r="BI419" i="83"/>
  <c r="BO429" i="83"/>
  <c r="BI429" i="83"/>
  <c r="BF431" i="83"/>
  <c r="BL431" i="83"/>
  <c r="BN440" i="83"/>
  <c r="BH440" i="83"/>
  <c r="BF357" i="83"/>
  <c r="BM361" i="83"/>
  <c r="BF365" i="83"/>
  <c r="BM369" i="83"/>
  <c r="BF373" i="83"/>
  <c r="BF404" i="83"/>
  <c r="BL404" i="83"/>
  <c r="BH427" i="83"/>
  <c r="BN427" i="83"/>
  <c r="BN445" i="83"/>
  <c r="BH445" i="83"/>
  <c r="BF360" i="83"/>
  <c r="BM364" i="83"/>
  <c r="BF368" i="83"/>
  <c r="BM372" i="83"/>
  <c r="BM375" i="83"/>
  <c r="BH417" i="83"/>
  <c r="BN417" i="83"/>
  <c r="BO427" i="83"/>
  <c r="BI427" i="83"/>
  <c r="BN436" i="83"/>
  <c r="BH436" i="83"/>
  <c r="BG383" i="83"/>
  <c r="BG384" i="83"/>
  <c r="BG385" i="83"/>
  <c r="BG386" i="83"/>
  <c r="BG387" i="83"/>
  <c r="BG388" i="83"/>
  <c r="BG389" i="83"/>
  <c r="BG390" i="83"/>
  <c r="BG391" i="83"/>
  <c r="BG392" i="83"/>
  <c r="BG393" i="83"/>
  <c r="BG394" i="83"/>
  <c r="BG395" i="83"/>
  <c r="BG396" i="83"/>
  <c r="BG397" i="83"/>
  <c r="BG398" i="83"/>
  <c r="BG399" i="83"/>
  <c r="BG400" i="83"/>
  <c r="BI402" i="83"/>
  <c r="BL408" i="83"/>
  <c r="BI410" i="83"/>
  <c r="BL416" i="83"/>
  <c r="BH418" i="83"/>
  <c r="BN418" i="83"/>
  <c r="BL418" i="83"/>
  <c r="BI424" i="83"/>
  <c r="BH426" i="83"/>
  <c r="BN426" i="83"/>
  <c r="BL426" i="83"/>
  <c r="BI432" i="83"/>
  <c r="BH442" i="83"/>
  <c r="BL402" i="83"/>
  <c r="BI404" i="83"/>
  <c r="BL410" i="83"/>
  <c r="BI412" i="83"/>
  <c r="BI422" i="83"/>
  <c r="BH424" i="83"/>
  <c r="BN424" i="83"/>
  <c r="BL424" i="83"/>
  <c r="BI430" i="83"/>
  <c r="BH432" i="83"/>
  <c r="BN432" i="83"/>
  <c r="BL432" i="83"/>
  <c r="BL433" i="83"/>
  <c r="BF441" i="83"/>
  <c r="BL441" i="83"/>
  <c r="BN402" i="83"/>
  <c r="BL403" i="83"/>
  <c r="BN410" i="83"/>
  <c r="BL411" i="83"/>
  <c r="BH423" i="83"/>
  <c r="BN423" i="83"/>
  <c r="BH431" i="83"/>
  <c r="BN431" i="83"/>
  <c r="BN403" i="83"/>
  <c r="BN411" i="83"/>
  <c r="BH422" i="83"/>
  <c r="BN422" i="83"/>
  <c r="BH430" i="83"/>
  <c r="BN430" i="83"/>
  <c r="BF437" i="83"/>
  <c r="BL437" i="83"/>
  <c r="BN455" i="83"/>
  <c r="BH455" i="83"/>
  <c r="BH421" i="83"/>
  <c r="BN421" i="83"/>
  <c r="BH429" i="83"/>
  <c r="BN429" i="83"/>
  <c r="BM444" i="83"/>
  <c r="BG444" i="83"/>
  <c r="BL446" i="83"/>
  <c r="BF446" i="83"/>
  <c r="BN450" i="83"/>
  <c r="BH450" i="83"/>
  <c r="BG401" i="83"/>
  <c r="BN405" i="83"/>
  <c r="BH420" i="83"/>
  <c r="BN420" i="83"/>
  <c r="BH428" i="83"/>
  <c r="BN428" i="83"/>
  <c r="BF451" i="83"/>
  <c r="BN452" i="83"/>
  <c r="BH452" i="83"/>
  <c r="BG446" i="83"/>
  <c r="BM446" i="83"/>
  <c r="BL447" i="83"/>
  <c r="BF447" i="83"/>
  <c r="BN449" i="83"/>
  <c r="BH449" i="83"/>
  <c r="BN457" i="83"/>
  <c r="BH457" i="83"/>
  <c r="BN459" i="83"/>
  <c r="BH459" i="83"/>
  <c r="BN461" i="83"/>
  <c r="BH461" i="83"/>
  <c r="BN463" i="83"/>
  <c r="BH463" i="83"/>
  <c r="BN465" i="83"/>
  <c r="BH465" i="83"/>
  <c r="BN467" i="83"/>
  <c r="BH467" i="83"/>
  <c r="BL442" i="83"/>
  <c r="BH446" i="83"/>
  <c r="BF453" i="83"/>
  <c r="BN454" i="83"/>
  <c r="BH454" i="83"/>
  <c r="BO469" i="83"/>
  <c r="BN451" i="83"/>
  <c r="BH451" i="83"/>
  <c r="BL444" i="83"/>
  <c r="BN448" i="83"/>
  <c r="BH448" i="83"/>
  <c r="BF455" i="83"/>
  <c r="BN456" i="83"/>
  <c r="BH456" i="83"/>
  <c r="BN453" i="83"/>
  <c r="BH453" i="83"/>
  <c r="BN458" i="83"/>
  <c r="BH458" i="83"/>
  <c r="BN460" i="83"/>
  <c r="BH460" i="83"/>
  <c r="BN462" i="83"/>
  <c r="BH462" i="83"/>
  <c r="BN464" i="83"/>
  <c r="BH464" i="83"/>
  <c r="BN466" i="83"/>
  <c r="BH466" i="83"/>
  <c r="BN468" i="83"/>
  <c r="BH468" i="83"/>
  <c r="BG494" i="83"/>
  <c r="BM494" i="83"/>
  <c r="BG478" i="83"/>
  <c r="BM478" i="83"/>
  <c r="BI484" i="83"/>
  <c r="BO484" i="83"/>
  <c r="BG498" i="83"/>
  <c r="BM498" i="83"/>
  <c r="BF457" i="83"/>
  <c r="BF458" i="83"/>
  <c r="BF459" i="83"/>
  <c r="BF460" i="83"/>
  <c r="BF461" i="83"/>
  <c r="BF462" i="83"/>
  <c r="BF463" i="83"/>
  <c r="BF464" i="83"/>
  <c r="BF465" i="83"/>
  <c r="BF466" i="83"/>
  <c r="BF467" i="83"/>
  <c r="BF468" i="83"/>
  <c r="BH470" i="83"/>
  <c r="BI476" i="83"/>
  <c r="BO476" i="83"/>
  <c r="BO502" i="83"/>
  <c r="BI502" i="83"/>
  <c r="BG509" i="83"/>
  <c r="BM509" i="83"/>
  <c r="BF524" i="83"/>
  <c r="BL524" i="83"/>
  <c r="BH474" i="83"/>
  <c r="BG482" i="83"/>
  <c r="BM482" i="83"/>
  <c r="BO471" i="83"/>
  <c r="BI480" i="83"/>
  <c r="BO480" i="83"/>
  <c r="BN518" i="83"/>
  <c r="BH518" i="83"/>
  <c r="BG490" i="83"/>
  <c r="BM490" i="83"/>
  <c r="BO485" i="83"/>
  <c r="BO486" i="83"/>
  <c r="BM501" i="83"/>
  <c r="BG501" i="83"/>
  <c r="BO505" i="83"/>
  <c r="BI505" i="83"/>
  <c r="BF514" i="83"/>
  <c r="BL514" i="83"/>
  <c r="BM477" i="83"/>
  <c r="BM481" i="83"/>
  <c r="BN524" i="83"/>
  <c r="BH524" i="83"/>
  <c r="BF511" i="83"/>
  <c r="BL511" i="83"/>
  <c r="BH469" i="83"/>
  <c r="BO470" i="83"/>
  <c r="BH471" i="83"/>
  <c r="BO472" i="83"/>
  <c r="BH473" i="83"/>
  <c r="BO474" i="83"/>
  <c r="BO506" i="83"/>
  <c r="BI506" i="83"/>
  <c r="BF516" i="83"/>
  <c r="BL516" i="83"/>
  <c r="BN526" i="83"/>
  <c r="BH526" i="83"/>
  <c r="BF522" i="83"/>
  <c r="BL522" i="83"/>
  <c r="BN516" i="83"/>
  <c r="BH516" i="83"/>
  <c r="BM502" i="83"/>
  <c r="BI503" i="83"/>
  <c r="BF505" i="83"/>
  <c r="BL505" i="83"/>
  <c r="BM506" i="83"/>
  <c r="BI507" i="83"/>
  <c r="BI508" i="83"/>
  <c r="BN509" i="83"/>
  <c r="BH509" i="83"/>
  <c r="BN513" i="83"/>
  <c r="BH513" i="83"/>
  <c r="BF519" i="83"/>
  <c r="BL519" i="83"/>
  <c r="BN521" i="83"/>
  <c r="BH521" i="83"/>
  <c r="BF527" i="83"/>
  <c r="BL527" i="83"/>
  <c r="BN529" i="83"/>
  <c r="BH529" i="83"/>
  <c r="BF502" i="83"/>
  <c r="BL502" i="83"/>
  <c r="BM503" i="83"/>
  <c r="BI504" i="83"/>
  <c r="BF506" i="83"/>
  <c r="BL506" i="83"/>
  <c r="BM507" i="83"/>
  <c r="BN508" i="83"/>
  <c r="BH508" i="83"/>
  <c r="BN511" i="83"/>
  <c r="BH511" i="83"/>
  <c r="BF517" i="83"/>
  <c r="BL517" i="83"/>
  <c r="BN519" i="83"/>
  <c r="BH519" i="83"/>
  <c r="BF525" i="83"/>
  <c r="BL525" i="83"/>
  <c r="BN527" i="83"/>
  <c r="BH527" i="83"/>
  <c r="BF510" i="83"/>
  <c r="BL510" i="83"/>
  <c r="BF512" i="83"/>
  <c r="BL512" i="83"/>
  <c r="BN514" i="83"/>
  <c r="BH514" i="83"/>
  <c r="BF520" i="83"/>
  <c r="BL520" i="83"/>
  <c r="BN522" i="83"/>
  <c r="BH522" i="83"/>
  <c r="BF528" i="83"/>
  <c r="BL528" i="83"/>
  <c r="BI501" i="83"/>
  <c r="BF503" i="83"/>
  <c r="BL503" i="83"/>
  <c r="BF507" i="83"/>
  <c r="BL507" i="83"/>
  <c r="BF515" i="83"/>
  <c r="BL515" i="83"/>
  <c r="BN517" i="83"/>
  <c r="BH517" i="83"/>
  <c r="BF523" i="83"/>
  <c r="BL523" i="83"/>
  <c r="BN525" i="83"/>
  <c r="BH525" i="83"/>
  <c r="BF509" i="83"/>
  <c r="BL509" i="83"/>
  <c r="BN512" i="83"/>
  <c r="BH512" i="83"/>
  <c r="BF518" i="83"/>
  <c r="BL518" i="83"/>
  <c r="BN520" i="83"/>
  <c r="BH520" i="83"/>
  <c r="BF526" i="83"/>
  <c r="BL526" i="83"/>
  <c r="BN528" i="83"/>
  <c r="BH528" i="83"/>
  <c r="BF504" i="83"/>
  <c r="BL504" i="83"/>
  <c r="BF508" i="83"/>
  <c r="BL508" i="83"/>
  <c r="BN510" i="83"/>
  <c r="BH510" i="83"/>
  <c r="BF513" i="83"/>
  <c r="BL513" i="83"/>
  <c r="BN515" i="83"/>
  <c r="BH515" i="83"/>
  <c r="BF521" i="83"/>
  <c r="BL521" i="83"/>
  <c r="BN523" i="83"/>
  <c r="BH523" i="83"/>
  <c r="BF529" i="83"/>
  <c r="BL529" i="83"/>
  <c r="BF22" i="82"/>
  <c r="BL22" i="82"/>
  <c r="AK17" i="82" a="1"/>
  <c r="AK17" i="82" s="1"/>
  <c r="AK15" i="82" s="1"/>
  <c r="AS1" i="82"/>
  <c r="BB21" i="82"/>
  <c r="BB23" i="82"/>
  <c r="BG25" i="82"/>
  <c r="BM25" i="82"/>
  <c r="X17" i="82"/>
  <c r="AP18" i="82"/>
  <c r="BO24" i="82"/>
  <c r="BM31" i="82"/>
  <c r="BF33" i="82"/>
  <c r="BO33" i="82"/>
  <c r="BM35" i="82"/>
  <c r="BG77" i="82"/>
  <c r="BO79" i="82"/>
  <c r="BO83" i="82"/>
  <c r="BO91" i="82"/>
  <c r="BL94" i="82"/>
  <c r="BF94" i="82"/>
  <c r="BL114" i="82"/>
  <c r="BF114" i="82"/>
  <c r="BI115" i="82"/>
  <c r="BL119" i="82"/>
  <c r="BF119" i="82"/>
  <c r="Z20" i="82"/>
  <c r="BI26" i="82"/>
  <c r="Z29" i="82"/>
  <c r="BL38" i="82"/>
  <c r="BN80" i="82"/>
  <c r="BO84" i="82"/>
  <c r="BI92" i="82"/>
  <c r="BO92" i="82"/>
  <c r="BH95" i="82"/>
  <c r="BN95" i="82"/>
  <c r="AN17" i="82"/>
  <c r="Z18" i="82"/>
  <c r="R21" i="82"/>
  <c r="Z22" i="82"/>
  <c r="BI30" i="82"/>
  <c r="BF35" i="82"/>
  <c r="BG37" i="82"/>
  <c r="BO80" i="82"/>
  <c r="BO85" i="82"/>
  <c r="P17" i="82"/>
  <c r="R19" i="82"/>
  <c r="Z24" i="82"/>
  <c r="Z26" i="82"/>
  <c r="Z30" i="82"/>
  <c r="BM36" i="82"/>
  <c r="BL40" i="82"/>
  <c r="BL41" i="82"/>
  <c r="BL42" i="82"/>
  <c r="BL43" i="82"/>
  <c r="BL44" i="82"/>
  <c r="BL45" i="82"/>
  <c r="BL46" i="82"/>
  <c r="BL47" i="82"/>
  <c r="BL48" i="82"/>
  <c r="BL49" i="82"/>
  <c r="BL50" i="82"/>
  <c r="BL51" i="82"/>
  <c r="BL52" i="82"/>
  <c r="BL53" i="82"/>
  <c r="BL54" i="82"/>
  <c r="BL55" i="82"/>
  <c r="BL56" i="82"/>
  <c r="BL57" i="82"/>
  <c r="BL58" i="82"/>
  <c r="BL59" i="82"/>
  <c r="BL60" i="82"/>
  <c r="BL61" i="82"/>
  <c r="BL62" i="82"/>
  <c r="BL63" i="82"/>
  <c r="BL64" i="82"/>
  <c r="BL65" i="82"/>
  <c r="BL66" i="82"/>
  <c r="BL67" i="82"/>
  <c r="BN77" i="82"/>
  <c r="BN81" i="82"/>
  <c r="BO86" i="82"/>
  <c r="BO94" i="82"/>
  <c r="BO97" i="82"/>
  <c r="BL103" i="82"/>
  <c r="BF103" i="82"/>
  <c r="BN104" i="82"/>
  <c r="BH104" i="82"/>
  <c r="V17" i="82"/>
  <c r="AC17" i="82" s="1" a="1"/>
  <c r="AC17" i="82" s="1"/>
  <c r="AC15" i="82" s="1"/>
  <c r="AP19" i="82"/>
  <c r="BO25" i="82"/>
  <c r="BL27" i="82"/>
  <c r="BO29" i="82"/>
  <c r="BM39" i="82"/>
  <c r="BM40" i="82"/>
  <c r="BM41" i="82"/>
  <c r="BM42" i="82"/>
  <c r="BM43" i="82"/>
  <c r="BM44" i="82"/>
  <c r="BM45" i="82"/>
  <c r="BM46" i="82"/>
  <c r="BM47" i="82"/>
  <c r="BM48" i="82"/>
  <c r="BM49" i="82"/>
  <c r="BM50" i="82"/>
  <c r="BM51" i="82"/>
  <c r="BM52" i="82"/>
  <c r="BM53" i="82"/>
  <c r="BM54" i="82"/>
  <c r="BM55" i="82"/>
  <c r="BM56" i="82"/>
  <c r="BM57" i="82"/>
  <c r="BM58" i="82"/>
  <c r="BM59" i="82"/>
  <c r="BM60" i="82"/>
  <c r="BM61" i="82"/>
  <c r="BM62" i="82"/>
  <c r="BM63" i="82"/>
  <c r="BM64" i="82"/>
  <c r="BM65" i="82"/>
  <c r="BM66" i="82"/>
  <c r="BM67" i="82"/>
  <c r="BO77" i="82"/>
  <c r="BO81" i="82"/>
  <c r="BO87" i="82"/>
  <c r="BO112" i="82"/>
  <c r="BI112" i="82"/>
  <c r="BN115" i="82"/>
  <c r="BH115" i="82"/>
  <c r="F17" i="82"/>
  <c r="AF17" i="82"/>
  <c r="Z21" i="82"/>
  <c r="Z27" i="82"/>
  <c r="BN78" i="82"/>
  <c r="BN82" i="82"/>
  <c r="BO88" i="82"/>
  <c r="BL98" i="82"/>
  <c r="BF98" i="82"/>
  <c r="BL102" i="82"/>
  <c r="BF102" i="82"/>
  <c r="BN110" i="82"/>
  <c r="BH110" i="82"/>
  <c r="AL17" i="82"/>
  <c r="AS17" i="82" s="1" a="1"/>
  <c r="AS17" i="82" s="1"/>
  <c r="AS15" i="82" s="1"/>
  <c r="J18" i="82"/>
  <c r="Z19" i="82"/>
  <c r="R20" i="82"/>
  <c r="Z28" i="82"/>
  <c r="BO78" i="82"/>
  <c r="BO82" i="82"/>
  <c r="BO89" i="82"/>
  <c r="BL95" i="82"/>
  <c r="BF95" i="82"/>
  <c r="BN96" i="82"/>
  <c r="BH96" i="82"/>
  <c r="BH103" i="82"/>
  <c r="BN103" i="82"/>
  <c r="BL111" i="82"/>
  <c r="BF111" i="82"/>
  <c r="BO120" i="82"/>
  <c r="BI120" i="82"/>
  <c r="R18" i="82"/>
  <c r="Z23" i="82"/>
  <c r="BN79" i="82"/>
  <c r="BN83" i="82"/>
  <c r="BO90" i="82"/>
  <c r="BN118" i="82"/>
  <c r="BH118" i="82"/>
  <c r="BI93" i="82"/>
  <c r="BO100" i="82"/>
  <c r="BI101" i="82"/>
  <c r="BO108" i="82"/>
  <c r="BF112" i="82"/>
  <c r="BF120" i="82"/>
  <c r="BF121" i="82"/>
  <c r="BF122" i="82"/>
  <c r="BF123" i="82"/>
  <c r="BF124" i="82"/>
  <c r="BF125" i="82"/>
  <c r="BF126" i="82"/>
  <c r="BF127" i="82"/>
  <c r="BF135" i="82"/>
  <c r="BI142" i="82"/>
  <c r="BL155" i="82"/>
  <c r="BF155" i="82"/>
  <c r="BF134" i="82"/>
  <c r="BG147" i="82"/>
  <c r="BM147" i="82"/>
  <c r="BG150" i="82"/>
  <c r="BM150" i="82"/>
  <c r="BN208" i="82"/>
  <c r="BH208" i="82"/>
  <c r="BO106" i="82"/>
  <c r="BF133" i="82"/>
  <c r="BL142" i="82"/>
  <c r="BF142" i="82"/>
  <c r="BL152" i="82"/>
  <c r="BF152" i="82"/>
  <c r="BI170" i="82"/>
  <c r="BO170" i="82"/>
  <c r="BF115" i="82"/>
  <c r="BF132" i="82"/>
  <c r="BM140" i="82"/>
  <c r="BG140" i="82"/>
  <c r="BI149" i="82"/>
  <c r="BG157" i="82"/>
  <c r="BM157" i="82"/>
  <c r="BM162" i="82"/>
  <c r="BG162" i="82"/>
  <c r="BN167" i="82"/>
  <c r="BH167" i="82"/>
  <c r="BL168" i="82"/>
  <c r="BF168" i="82"/>
  <c r="BI172" i="82"/>
  <c r="BO172" i="82"/>
  <c r="BI105" i="82"/>
  <c r="BF106" i="82"/>
  <c r="BH114" i="82"/>
  <c r="BF116" i="82"/>
  <c r="BF131" i="82"/>
  <c r="BL139" i="82"/>
  <c r="BF139" i="82"/>
  <c r="BG141" i="82"/>
  <c r="BM144" i="82"/>
  <c r="BF93" i="82"/>
  <c r="BF101" i="82"/>
  <c r="BF109" i="82"/>
  <c r="BF130" i="82"/>
  <c r="BF138" i="82"/>
  <c r="BH141" i="82"/>
  <c r="BG146" i="82"/>
  <c r="BM146" i="82"/>
  <c r="BG151" i="82"/>
  <c r="BM151" i="82"/>
  <c r="BG154" i="82"/>
  <c r="BM154" i="82"/>
  <c r="BG156" i="82"/>
  <c r="BM156" i="82"/>
  <c r="BL161" i="82"/>
  <c r="BF161" i="82"/>
  <c r="BL164" i="82"/>
  <c r="BF164" i="82"/>
  <c r="BF129" i="82"/>
  <c r="BF137" i="82"/>
  <c r="BG143" i="82"/>
  <c r="BM143" i="82"/>
  <c r="BL148" i="82"/>
  <c r="BF148" i="82"/>
  <c r="BL158" i="82"/>
  <c r="BF158" i="82"/>
  <c r="BM163" i="82"/>
  <c r="BG163" i="82"/>
  <c r="BN202" i="82"/>
  <c r="BH202" i="82"/>
  <c r="BF128" i="82"/>
  <c r="BF136" i="82"/>
  <c r="BF157" i="82"/>
  <c r="BN163" i="82"/>
  <c r="BH163" i="82"/>
  <c r="BN192" i="82"/>
  <c r="BH192" i="82"/>
  <c r="BF140" i="82"/>
  <c r="BF144" i="82"/>
  <c r="BF160" i="82"/>
  <c r="BN164" i="82"/>
  <c r="BH164" i="82"/>
  <c r="BN166" i="82"/>
  <c r="BH166" i="82"/>
  <c r="BL184" i="82"/>
  <c r="BF184" i="82"/>
  <c r="BN200" i="82"/>
  <c r="BH200" i="82"/>
  <c r="BN139" i="82"/>
  <c r="BM155" i="82"/>
  <c r="BG159" i="82"/>
  <c r="BM159" i="82"/>
  <c r="BF159" i="82"/>
  <c r="BF170" i="82"/>
  <c r="BN198" i="82"/>
  <c r="BH198" i="82"/>
  <c r="BF145" i="82"/>
  <c r="BF149" i="82"/>
  <c r="BF153" i="82"/>
  <c r="BG168" i="82"/>
  <c r="BN184" i="82"/>
  <c r="BH184" i="82"/>
  <c r="BN196" i="82"/>
  <c r="BH196" i="82"/>
  <c r="BN212" i="82"/>
  <c r="BH212" i="82"/>
  <c r="BN172" i="82"/>
  <c r="BH172" i="82"/>
  <c r="BN194" i="82"/>
  <c r="BH194" i="82"/>
  <c r="BN210" i="82"/>
  <c r="BH210" i="82"/>
  <c r="BH224" i="82"/>
  <c r="BN224" i="82"/>
  <c r="BL171" i="82"/>
  <c r="BF171" i="82"/>
  <c r="BN190" i="82"/>
  <c r="BH190" i="82"/>
  <c r="BN206" i="82"/>
  <c r="BH206" i="82"/>
  <c r="BN188" i="82"/>
  <c r="BH188" i="82"/>
  <c r="BN204" i="82"/>
  <c r="BH204" i="82"/>
  <c r="BL217" i="82"/>
  <c r="BF217" i="82"/>
  <c r="BO166" i="82"/>
  <c r="BN168" i="82"/>
  <c r="BH168" i="82"/>
  <c r="BG170" i="82"/>
  <c r="BN187" i="82"/>
  <c r="BH187" i="82"/>
  <c r="BN189" i="82"/>
  <c r="BH189" i="82"/>
  <c r="BN191" i="82"/>
  <c r="BH191" i="82"/>
  <c r="BN193" i="82"/>
  <c r="BH193" i="82"/>
  <c r="BN195" i="82"/>
  <c r="BH195" i="82"/>
  <c r="BN197" i="82"/>
  <c r="BH197" i="82"/>
  <c r="BN199" i="82"/>
  <c r="BH199" i="82"/>
  <c r="BN201" i="82"/>
  <c r="BH201" i="82"/>
  <c r="BN203" i="82"/>
  <c r="BH203" i="82"/>
  <c r="BN205" i="82"/>
  <c r="BH205" i="82"/>
  <c r="BN207" i="82"/>
  <c r="BH207" i="82"/>
  <c r="BN209" i="82"/>
  <c r="BH209" i="82"/>
  <c r="BN211" i="82"/>
  <c r="BH211" i="82"/>
  <c r="BN213" i="82"/>
  <c r="BH213" i="82"/>
  <c r="BI269" i="82"/>
  <c r="BO269" i="82"/>
  <c r="BN169" i="82"/>
  <c r="BH169" i="82"/>
  <c r="BF172" i="82"/>
  <c r="BF181" i="82"/>
  <c r="BN183" i="82"/>
  <c r="BH183" i="82"/>
  <c r="BF185" i="82"/>
  <c r="BI283" i="82"/>
  <c r="BO283" i="82"/>
  <c r="BO292" i="82"/>
  <c r="BI292" i="82"/>
  <c r="BM160" i="82"/>
  <c r="BN170" i="82"/>
  <c r="BH170" i="82"/>
  <c r="BG172" i="82"/>
  <c r="BF174" i="82"/>
  <c r="BF175" i="82"/>
  <c r="BF176" i="82"/>
  <c r="BF177" i="82"/>
  <c r="BF178" i="82"/>
  <c r="BF179" i="82"/>
  <c r="BF180" i="82"/>
  <c r="BO218" i="82"/>
  <c r="BI218" i="82"/>
  <c r="BF166" i="82"/>
  <c r="BN171" i="82"/>
  <c r="BH171" i="82"/>
  <c r="BN182" i="82"/>
  <c r="BH182" i="82"/>
  <c r="BN186" i="82"/>
  <c r="BH186" i="82"/>
  <c r="BF163" i="82"/>
  <c r="BN165" i="82"/>
  <c r="BH165" i="82"/>
  <c r="BN173" i="82"/>
  <c r="BH173" i="82"/>
  <c r="BN174" i="82"/>
  <c r="BH174" i="82"/>
  <c r="BN175" i="82"/>
  <c r="BH175" i="82"/>
  <c r="BN176" i="82"/>
  <c r="BH176" i="82"/>
  <c r="BN177" i="82"/>
  <c r="BH177" i="82"/>
  <c r="BN178" i="82"/>
  <c r="BH178" i="82"/>
  <c r="BN179" i="82"/>
  <c r="BH179" i="82"/>
  <c r="BN180" i="82"/>
  <c r="BH180" i="82"/>
  <c r="BN181" i="82"/>
  <c r="BH181" i="82"/>
  <c r="BF183" i="82"/>
  <c r="BN185" i="82"/>
  <c r="BH185" i="82"/>
  <c r="BO220" i="82"/>
  <c r="BN221" i="82"/>
  <c r="BN222" i="82"/>
  <c r="BI275" i="82"/>
  <c r="BO275" i="82"/>
  <c r="BF215" i="82"/>
  <c r="BO296" i="82"/>
  <c r="BI296" i="82"/>
  <c r="BO304" i="82"/>
  <c r="BI304" i="82"/>
  <c r="BO312" i="82"/>
  <c r="BI312" i="82"/>
  <c r="BO320" i="82"/>
  <c r="BI320" i="82"/>
  <c r="BN214" i="82"/>
  <c r="BI217" i="82"/>
  <c r="BF219" i="82"/>
  <c r="BN228" i="82"/>
  <c r="BN285" i="82"/>
  <c r="BN227" i="82"/>
  <c r="BN277" i="82"/>
  <c r="BN217" i="82"/>
  <c r="BF222" i="82"/>
  <c r="BL269" i="82"/>
  <c r="BF269" i="82"/>
  <c r="BN218" i="82"/>
  <c r="BN225" i="82"/>
  <c r="BO300" i="82"/>
  <c r="BI300" i="82"/>
  <c r="BO308" i="82"/>
  <c r="BI308" i="82"/>
  <c r="BO316" i="82"/>
  <c r="BI316" i="82"/>
  <c r="BN219" i="82"/>
  <c r="BF350" i="82"/>
  <c r="BL350" i="82"/>
  <c r="BO277" i="82"/>
  <c r="BN278" i="82"/>
  <c r="BO285" i="82"/>
  <c r="BN286" i="82"/>
  <c r="BN289" i="82"/>
  <c r="BO291" i="82"/>
  <c r="BI291" i="82"/>
  <c r="BO322" i="82"/>
  <c r="BI322" i="82"/>
  <c r="BO324" i="82"/>
  <c r="BI324" i="82"/>
  <c r="BO326" i="82"/>
  <c r="BI326" i="82"/>
  <c r="BO328" i="82"/>
  <c r="BI328" i="82"/>
  <c r="BO330" i="82"/>
  <c r="BI330" i="82"/>
  <c r="BO332" i="82"/>
  <c r="BI332" i="82"/>
  <c r="BO334" i="82"/>
  <c r="BI334" i="82"/>
  <c r="BO336" i="82"/>
  <c r="BI336" i="82"/>
  <c r="BO338" i="82"/>
  <c r="BI338" i="82"/>
  <c r="BO340" i="82"/>
  <c r="BI340" i="82"/>
  <c r="BF345" i="82"/>
  <c r="BL345" i="82"/>
  <c r="BH270" i="82"/>
  <c r="BO290" i="82"/>
  <c r="BI290" i="82"/>
  <c r="BO295" i="82"/>
  <c r="BI295" i="82"/>
  <c r="BO299" i="82"/>
  <c r="BI299" i="82"/>
  <c r="BO303" i="82"/>
  <c r="BI303" i="82"/>
  <c r="BO307" i="82"/>
  <c r="BI307" i="82"/>
  <c r="BO311" i="82"/>
  <c r="BI311" i="82"/>
  <c r="BO315" i="82"/>
  <c r="BI315" i="82"/>
  <c r="BO319" i="82"/>
  <c r="BI319" i="82"/>
  <c r="BF342" i="82"/>
  <c r="BL342" i="82"/>
  <c r="BH267" i="82"/>
  <c r="BO279" i="82"/>
  <c r="BO287" i="82"/>
  <c r="BO289" i="82"/>
  <c r="BI289" i="82"/>
  <c r="BH341" i="82"/>
  <c r="BN341" i="82"/>
  <c r="BF372" i="82"/>
  <c r="BL372" i="82"/>
  <c r="BN386" i="82"/>
  <c r="BH386" i="82"/>
  <c r="BH275" i="82"/>
  <c r="BH283" i="82"/>
  <c r="BO288" i="82"/>
  <c r="BI288" i="82"/>
  <c r="BH292" i="82"/>
  <c r="BO294" i="82"/>
  <c r="BI294" i="82"/>
  <c r="BO298" i="82"/>
  <c r="BI298" i="82"/>
  <c r="BO302" i="82"/>
  <c r="BI302" i="82"/>
  <c r="BO306" i="82"/>
  <c r="BI306" i="82"/>
  <c r="BO310" i="82"/>
  <c r="BI310" i="82"/>
  <c r="BO314" i="82"/>
  <c r="BI314" i="82"/>
  <c r="BO318" i="82"/>
  <c r="BI318" i="82"/>
  <c r="BF344" i="82"/>
  <c r="BL344" i="82"/>
  <c r="BF352" i="82"/>
  <c r="BL352" i="82"/>
  <c r="BF271" i="82"/>
  <c r="BO273" i="82"/>
  <c r="BO281" i="82"/>
  <c r="BO321" i="82"/>
  <c r="BI321" i="82"/>
  <c r="BO323" i="82"/>
  <c r="BI323" i="82"/>
  <c r="BO325" i="82"/>
  <c r="BI325" i="82"/>
  <c r="BO327" i="82"/>
  <c r="BI327" i="82"/>
  <c r="BO329" i="82"/>
  <c r="BI329" i="82"/>
  <c r="BO331" i="82"/>
  <c r="BI331" i="82"/>
  <c r="BO333" i="82"/>
  <c r="BI333" i="82"/>
  <c r="BO335" i="82"/>
  <c r="BI335" i="82"/>
  <c r="BO337" i="82"/>
  <c r="BI337" i="82"/>
  <c r="BO339" i="82"/>
  <c r="BI339" i="82"/>
  <c r="BF380" i="82"/>
  <c r="BL380" i="82"/>
  <c r="BO293" i="82"/>
  <c r="BI293" i="82"/>
  <c r="BO297" i="82"/>
  <c r="BI297" i="82"/>
  <c r="BO301" i="82"/>
  <c r="BI301" i="82"/>
  <c r="BO305" i="82"/>
  <c r="BI305" i="82"/>
  <c r="BO309" i="82"/>
  <c r="BI309" i="82"/>
  <c r="BO313" i="82"/>
  <c r="BI313" i="82"/>
  <c r="BO317" i="82"/>
  <c r="BI317" i="82"/>
  <c r="BF346" i="82"/>
  <c r="BL346" i="82"/>
  <c r="BO348" i="82"/>
  <c r="BI348" i="82"/>
  <c r="BF272" i="82"/>
  <c r="BF343" i="82"/>
  <c r="BL343" i="82"/>
  <c r="BF347" i="82"/>
  <c r="BL347" i="82"/>
  <c r="BF351" i="82"/>
  <c r="BL351" i="82"/>
  <c r="BF370" i="82"/>
  <c r="BL370" i="82"/>
  <c r="BF378" i="82"/>
  <c r="BL378" i="82"/>
  <c r="BH383" i="82"/>
  <c r="BI384" i="82"/>
  <c r="BO384" i="82"/>
  <c r="BG395" i="82"/>
  <c r="BF411" i="82"/>
  <c r="BL411" i="82"/>
  <c r="BF341" i="82"/>
  <c r="BL341" i="82"/>
  <c r="BI351" i="82"/>
  <c r="BF353" i="82"/>
  <c r="BL353" i="82"/>
  <c r="BF355" i="82"/>
  <c r="BL355" i="82"/>
  <c r="BF357" i="82"/>
  <c r="BL357" i="82"/>
  <c r="BF359" i="82"/>
  <c r="BL359" i="82"/>
  <c r="BF361" i="82"/>
  <c r="BL361" i="82"/>
  <c r="BF363" i="82"/>
  <c r="BL363" i="82"/>
  <c r="BF365" i="82"/>
  <c r="BL365" i="82"/>
  <c r="BF367" i="82"/>
  <c r="BL367" i="82"/>
  <c r="BF375" i="82"/>
  <c r="BL375" i="82"/>
  <c r="BH394" i="82"/>
  <c r="BN394" i="82"/>
  <c r="BI418" i="82"/>
  <c r="BO418" i="82"/>
  <c r="BH498" i="82"/>
  <c r="BN498" i="82"/>
  <c r="BF369" i="82"/>
  <c r="BL369" i="82"/>
  <c r="BF377" i="82"/>
  <c r="BL377" i="82"/>
  <c r="BL387" i="82"/>
  <c r="BF387" i="82"/>
  <c r="BL392" i="82"/>
  <c r="BF392" i="82"/>
  <c r="BF416" i="82"/>
  <c r="BL416" i="82"/>
  <c r="BO427" i="82"/>
  <c r="BI427" i="82"/>
  <c r="BI346" i="82"/>
  <c r="BF349" i="82"/>
  <c r="BL349" i="82"/>
  <c r="BI350" i="82"/>
  <c r="BF374" i="82"/>
  <c r="BL374" i="82"/>
  <c r="BL384" i="82"/>
  <c r="BF384" i="82"/>
  <c r="BM413" i="82"/>
  <c r="BM417" i="82"/>
  <c r="BG417" i="82"/>
  <c r="BF354" i="82"/>
  <c r="BL354" i="82"/>
  <c r="BF356" i="82"/>
  <c r="BL356" i="82"/>
  <c r="BF358" i="82"/>
  <c r="BL358" i="82"/>
  <c r="BF360" i="82"/>
  <c r="BL360" i="82"/>
  <c r="BF362" i="82"/>
  <c r="BL362" i="82"/>
  <c r="BF364" i="82"/>
  <c r="BL364" i="82"/>
  <c r="BF366" i="82"/>
  <c r="BL366" i="82"/>
  <c r="BF371" i="82"/>
  <c r="BL371" i="82"/>
  <c r="BF379" i="82"/>
  <c r="BL379" i="82"/>
  <c r="BM390" i="82"/>
  <c r="BG390" i="82"/>
  <c r="BM393" i="82"/>
  <c r="BG393" i="82"/>
  <c r="BF396" i="82"/>
  <c r="BL396" i="82"/>
  <c r="BO408" i="82"/>
  <c r="BI408" i="82"/>
  <c r="BF410" i="82"/>
  <c r="BL410" i="82"/>
  <c r="BG412" i="82"/>
  <c r="BM412" i="82"/>
  <c r="BL426" i="82"/>
  <c r="BF348" i="82"/>
  <c r="BL348" i="82"/>
  <c r="BF368" i="82"/>
  <c r="BL368" i="82"/>
  <c r="BF376" i="82"/>
  <c r="BL376" i="82"/>
  <c r="BM382" i="82"/>
  <c r="BG382" i="82"/>
  <c r="BM385" i="82"/>
  <c r="BG385" i="82"/>
  <c r="BO397" i="82"/>
  <c r="BI397" i="82"/>
  <c r="BH398" i="82"/>
  <c r="BN398" i="82"/>
  <c r="BO409" i="82"/>
  <c r="BI409" i="82"/>
  <c r="BF373" i="82"/>
  <c r="BL373" i="82"/>
  <c r="BL381" i="82"/>
  <c r="BF381" i="82"/>
  <c r="BI387" i="82"/>
  <c r="BO387" i="82"/>
  <c r="BI392" i="82"/>
  <c r="BO392" i="82"/>
  <c r="BN384" i="82"/>
  <c r="BN392" i="82"/>
  <c r="BF397" i="82"/>
  <c r="BL397" i="82"/>
  <c r="BF409" i="82"/>
  <c r="BL409" i="82"/>
  <c r="BI411" i="82"/>
  <c r="BG419" i="82"/>
  <c r="BI424" i="82"/>
  <c r="BO424" i="82"/>
  <c r="BG428" i="82"/>
  <c r="BM428" i="82"/>
  <c r="BM454" i="82"/>
  <c r="BG454" i="82"/>
  <c r="BH385" i="82"/>
  <c r="BH393" i="82"/>
  <c r="BF394" i="82"/>
  <c r="BL394" i="82"/>
  <c r="BF408" i="82"/>
  <c r="BL408" i="82"/>
  <c r="BF429" i="82"/>
  <c r="BL448" i="82"/>
  <c r="BF448" i="82"/>
  <c r="BG450" i="82"/>
  <c r="BM450" i="82"/>
  <c r="BM346" i="82"/>
  <c r="BM347" i="82"/>
  <c r="BM348" i="82"/>
  <c r="BM349" i="82"/>
  <c r="BM350" i="82"/>
  <c r="BM351" i="82"/>
  <c r="BM352" i="82"/>
  <c r="BM353" i="82"/>
  <c r="BM354" i="82"/>
  <c r="BM355" i="82"/>
  <c r="BM356" i="82"/>
  <c r="BM357" i="82"/>
  <c r="BM358" i="82"/>
  <c r="BM359" i="82"/>
  <c r="BM360" i="82"/>
  <c r="BM361" i="82"/>
  <c r="BM362" i="82"/>
  <c r="BM363" i="82"/>
  <c r="BM364" i="82"/>
  <c r="BM365" i="82"/>
  <c r="BM366" i="82"/>
  <c r="BM367" i="82"/>
  <c r="BM368" i="82"/>
  <c r="BM369" i="82"/>
  <c r="BM370" i="82"/>
  <c r="BM371" i="82"/>
  <c r="BM372" i="82"/>
  <c r="BM373" i="82"/>
  <c r="BM374" i="82"/>
  <c r="BM375" i="82"/>
  <c r="BM376" i="82"/>
  <c r="BM377" i="82"/>
  <c r="BM378" i="82"/>
  <c r="BM379" i="82"/>
  <c r="BM380" i="82"/>
  <c r="BF398" i="82"/>
  <c r="BL398" i="82"/>
  <c r="BF399" i="82"/>
  <c r="BL399" i="82"/>
  <c r="BF400" i="82"/>
  <c r="BL400" i="82"/>
  <c r="BF401" i="82"/>
  <c r="BL401" i="82"/>
  <c r="BF402" i="82"/>
  <c r="BL402" i="82"/>
  <c r="BF403" i="82"/>
  <c r="BL403" i="82"/>
  <c r="BF404" i="82"/>
  <c r="BL404" i="82"/>
  <c r="BF405" i="82"/>
  <c r="BL405" i="82"/>
  <c r="BF406" i="82"/>
  <c r="BL406" i="82"/>
  <c r="BF407" i="82"/>
  <c r="BL407" i="82"/>
  <c r="BI420" i="82"/>
  <c r="BO420" i="82"/>
  <c r="BF389" i="82"/>
  <c r="BM410" i="82"/>
  <c r="BG415" i="82"/>
  <c r="BL418" i="82"/>
  <c r="BI426" i="82"/>
  <c r="BO426" i="82"/>
  <c r="BM427" i="82"/>
  <c r="BM429" i="82"/>
  <c r="BF485" i="82"/>
  <c r="BL485" i="82"/>
  <c r="BF386" i="82"/>
  <c r="BF395" i="82"/>
  <c r="BL395" i="82"/>
  <c r="BI407" i="82"/>
  <c r="BM409" i="82"/>
  <c r="BI416" i="82"/>
  <c r="BO416" i="82"/>
  <c r="BL424" i="82"/>
  <c r="BF383" i="82"/>
  <c r="BF391" i="82"/>
  <c r="BI398" i="82"/>
  <c r="BI399" i="82"/>
  <c r="BI400" i="82"/>
  <c r="BI401" i="82"/>
  <c r="BI402" i="82"/>
  <c r="BI403" i="82"/>
  <c r="BI404" i="82"/>
  <c r="BI405" i="82"/>
  <c r="BI406" i="82"/>
  <c r="BM408" i="82"/>
  <c r="BF412" i="82"/>
  <c r="BL412" i="82"/>
  <c r="BL413" i="82"/>
  <c r="BI422" i="82"/>
  <c r="BO422" i="82"/>
  <c r="BN413" i="82"/>
  <c r="BF414" i="82"/>
  <c r="BH415" i="82"/>
  <c r="BN415" i="82"/>
  <c r="BI415" i="82"/>
  <c r="BH417" i="82"/>
  <c r="BN417" i="82"/>
  <c r="BI417" i="82"/>
  <c r="BH419" i="82"/>
  <c r="BN419" i="82"/>
  <c r="BI419" i="82"/>
  <c r="BH421" i="82"/>
  <c r="BN421" i="82"/>
  <c r="BI421" i="82"/>
  <c r="BH423" i="82"/>
  <c r="BN423" i="82"/>
  <c r="BI423" i="82"/>
  <c r="BH425" i="82"/>
  <c r="BN425" i="82"/>
  <c r="BI425" i="82"/>
  <c r="BI428" i="82"/>
  <c r="BL450" i="82"/>
  <c r="BF450" i="82"/>
  <c r="BH451" i="82"/>
  <c r="BL458" i="82"/>
  <c r="BF458" i="82"/>
  <c r="BM484" i="82"/>
  <c r="BG484" i="82"/>
  <c r="BO523" i="82"/>
  <c r="BI523" i="82"/>
  <c r="BO486" i="82"/>
  <c r="BI486" i="82"/>
  <c r="BO515" i="82"/>
  <c r="BI515" i="82"/>
  <c r="BH416" i="82"/>
  <c r="BN416" i="82"/>
  <c r="BH418" i="82"/>
  <c r="BN418" i="82"/>
  <c r="BH420" i="82"/>
  <c r="BN420" i="82"/>
  <c r="BH422" i="82"/>
  <c r="BN422" i="82"/>
  <c r="BH424" i="82"/>
  <c r="BN424" i="82"/>
  <c r="BH426" i="82"/>
  <c r="BN426" i="82"/>
  <c r="BH449" i="82"/>
  <c r="BF454" i="82"/>
  <c r="BI455" i="82"/>
  <c r="BO455" i="82"/>
  <c r="BM482" i="82"/>
  <c r="BG482" i="82"/>
  <c r="BL452" i="82"/>
  <c r="BF452" i="82"/>
  <c r="BH453" i="82"/>
  <c r="BN453" i="82"/>
  <c r="BI491" i="82"/>
  <c r="BO491" i="82"/>
  <c r="BH492" i="82"/>
  <c r="BN492" i="82"/>
  <c r="BO432" i="82"/>
  <c r="BO433" i="82"/>
  <c r="BO434" i="82"/>
  <c r="BO435" i="82"/>
  <c r="BO436" i="82"/>
  <c r="BO437" i="82"/>
  <c r="BO438" i="82"/>
  <c r="BO439" i="82"/>
  <c r="BO440" i="82"/>
  <c r="BO441" i="82"/>
  <c r="BO442" i="82"/>
  <c r="BO443" i="82"/>
  <c r="BO444" i="82"/>
  <c r="BI445" i="82"/>
  <c r="BO445" i="82"/>
  <c r="BI497" i="82"/>
  <c r="BO497" i="82"/>
  <c r="BN427" i="82"/>
  <c r="BN428" i="82"/>
  <c r="BN429" i="82"/>
  <c r="BN430" i="82"/>
  <c r="BN431" i="82"/>
  <c r="BN432" i="82"/>
  <c r="BN433" i="82"/>
  <c r="BN434" i="82"/>
  <c r="BN435" i="82"/>
  <c r="BN436" i="82"/>
  <c r="BN437" i="82"/>
  <c r="BN438" i="82"/>
  <c r="BN439" i="82"/>
  <c r="BN440" i="82"/>
  <c r="BN441" i="82"/>
  <c r="BN442" i="82"/>
  <c r="BN443" i="82"/>
  <c r="BN444" i="82"/>
  <c r="BN450" i="82"/>
  <c r="BG451" i="82"/>
  <c r="BN452" i="82"/>
  <c r="BI456" i="82"/>
  <c r="BF459" i="82"/>
  <c r="BF460" i="82"/>
  <c r="BF461" i="82"/>
  <c r="BF462" i="82"/>
  <c r="BF463" i="82"/>
  <c r="BF464" i="82"/>
  <c r="BF465" i="82"/>
  <c r="BF466" i="82"/>
  <c r="BF467" i="82"/>
  <c r="BF468" i="82"/>
  <c r="BF469" i="82"/>
  <c r="BF470" i="82"/>
  <c r="BF471" i="82"/>
  <c r="BF472" i="82"/>
  <c r="BF473" i="82"/>
  <c r="BF474" i="82"/>
  <c r="BF475" i="82"/>
  <c r="BF476" i="82"/>
  <c r="BL476" i="82"/>
  <c r="BG478" i="82"/>
  <c r="BI489" i="82"/>
  <c r="BO489" i="82"/>
  <c r="BF505" i="82"/>
  <c r="BL505" i="82"/>
  <c r="BO513" i="82"/>
  <c r="BI513" i="82"/>
  <c r="BF518" i="82"/>
  <c r="BL518" i="82"/>
  <c r="BN456" i="82"/>
  <c r="BO477" i="82"/>
  <c r="BI477" i="82"/>
  <c r="BH484" i="82"/>
  <c r="BN484" i="82"/>
  <c r="BH490" i="82"/>
  <c r="BN490" i="82"/>
  <c r="BF509" i="82"/>
  <c r="BL509" i="82"/>
  <c r="BO527" i="82"/>
  <c r="BI527" i="82"/>
  <c r="BF447" i="82"/>
  <c r="BN457" i="82"/>
  <c r="BM494" i="82"/>
  <c r="BG494" i="82"/>
  <c r="BM500" i="82"/>
  <c r="BF522" i="82"/>
  <c r="BL522" i="82"/>
  <c r="BN458" i="82"/>
  <c r="BN459" i="82"/>
  <c r="BN460" i="82"/>
  <c r="BN461" i="82"/>
  <c r="BN462" i="82"/>
  <c r="BN463" i="82"/>
  <c r="BN464" i="82"/>
  <c r="BN465" i="82"/>
  <c r="BN466" i="82"/>
  <c r="BN467" i="82"/>
  <c r="BN468" i="82"/>
  <c r="BN469" i="82"/>
  <c r="BN470" i="82"/>
  <c r="BN471" i="82"/>
  <c r="BN472" i="82"/>
  <c r="BN473" i="82"/>
  <c r="BN474" i="82"/>
  <c r="BN475" i="82"/>
  <c r="BO480" i="82"/>
  <c r="BI480" i="82"/>
  <c r="BM492" i="82"/>
  <c r="BO519" i="82"/>
  <c r="BI519" i="82"/>
  <c r="BH478" i="82"/>
  <c r="BN478" i="82"/>
  <c r="BF456" i="82"/>
  <c r="BO478" i="82"/>
  <c r="BI478" i="82"/>
  <c r="BH486" i="82"/>
  <c r="BN486" i="82"/>
  <c r="BI499" i="82"/>
  <c r="BO499" i="82"/>
  <c r="BH500" i="82"/>
  <c r="BN500" i="82"/>
  <c r="BF526" i="82"/>
  <c r="BL526" i="82"/>
  <c r="BI476" i="82"/>
  <c r="BG479" i="82"/>
  <c r="BN480" i="82"/>
  <c r="BG487" i="82"/>
  <c r="BI490" i="82"/>
  <c r="BO490" i="82"/>
  <c r="BM491" i="82"/>
  <c r="BI498" i="82"/>
  <c r="BO498" i="82"/>
  <c r="BM499" i="82"/>
  <c r="BM503" i="82"/>
  <c r="BM507" i="82"/>
  <c r="BM481" i="82"/>
  <c r="BI482" i="82"/>
  <c r="BL484" i="82"/>
  <c r="BI492" i="82"/>
  <c r="BO492" i="82"/>
  <c r="BI500" i="82"/>
  <c r="BO500" i="82"/>
  <c r="BN501" i="82"/>
  <c r="BF504" i="82"/>
  <c r="BL504" i="82"/>
  <c r="BI504" i="82"/>
  <c r="BF508" i="82"/>
  <c r="BL508" i="82"/>
  <c r="BI508" i="82"/>
  <c r="BL479" i="82"/>
  <c r="BN481" i="82"/>
  <c r="BI485" i="82"/>
  <c r="BL487" i="82"/>
  <c r="BI493" i="82"/>
  <c r="BO493" i="82"/>
  <c r="BN493" i="82"/>
  <c r="BO501" i="82"/>
  <c r="BI501" i="82"/>
  <c r="BF513" i="82"/>
  <c r="BL513" i="82"/>
  <c r="BO514" i="82"/>
  <c r="BI514" i="82"/>
  <c r="BO517" i="82"/>
  <c r="BI517" i="82"/>
  <c r="BO521" i="82"/>
  <c r="BI521" i="82"/>
  <c r="BO525" i="82"/>
  <c r="BI525" i="82"/>
  <c r="BL482" i="82"/>
  <c r="BI494" i="82"/>
  <c r="BO494" i="82"/>
  <c r="BN504" i="82"/>
  <c r="BO505" i="82"/>
  <c r="BI505" i="82"/>
  <c r="BN508" i="82"/>
  <c r="BO509" i="82"/>
  <c r="BI509" i="82"/>
  <c r="BI495" i="82"/>
  <c r="BO495" i="82"/>
  <c r="BF502" i="82"/>
  <c r="BL502" i="82"/>
  <c r="BF506" i="82"/>
  <c r="BL506" i="82"/>
  <c r="BF510" i="82"/>
  <c r="BL510" i="82"/>
  <c r="BO512" i="82"/>
  <c r="BI512" i="82"/>
  <c r="BF516" i="82"/>
  <c r="BL516" i="82"/>
  <c r="BF520" i="82"/>
  <c r="BL520" i="82"/>
  <c r="BF524" i="82"/>
  <c r="BL524" i="82"/>
  <c r="BF528" i="82"/>
  <c r="BL528" i="82"/>
  <c r="BI488" i="82"/>
  <c r="BO488" i="82"/>
  <c r="BN488" i="82"/>
  <c r="BI496" i="82"/>
  <c r="BO496" i="82"/>
  <c r="BN496" i="82"/>
  <c r="BF512" i="82"/>
  <c r="BL512" i="82"/>
  <c r="BM513" i="82"/>
  <c r="BN515" i="82"/>
  <c r="BH515" i="82"/>
  <c r="BN517" i="82"/>
  <c r="BH517" i="82"/>
  <c r="BN519" i="82"/>
  <c r="BH519" i="82"/>
  <c r="BN521" i="82"/>
  <c r="BH521" i="82"/>
  <c r="BN523" i="82"/>
  <c r="BH523" i="82"/>
  <c r="BN525" i="82"/>
  <c r="BH525" i="82"/>
  <c r="BN527" i="82"/>
  <c r="BH527" i="82"/>
  <c r="BN529" i="82"/>
  <c r="BH529" i="82"/>
  <c r="BF501" i="82"/>
  <c r="BF514" i="82"/>
  <c r="BL514" i="82"/>
  <c r="BF515" i="82"/>
  <c r="BL515" i="82"/>
  <c r="BN516" i="82"/>
  <c r="BH516" i="82"/>
  <c r="BN518" i="82"/>
  <c r="BH518" i="82"/>
  <c r="BN520" i="82"/>
  <c r="BH520" i="82"/>
  <c r="BN522" i="82"/>
  <c r="BH522" i="82"/>
  <c r="BN524" i="82"/>
  <c r="BH524" i="82"/>
  <c r="BN526" i="82"/>
  <c r="BH526" i="82"/>
  <c r="BN528" i="82"/>
  <c r="BH528" i="82"/>
  <c r="BF517" i="82"/>
  <c r="BL517" i="82"/>
  <c r="BF519" i="82"/>
  <c r="BL519" i="82"/>
  <c r="BF521" i="82"/>
  <c r="BL521" i="82"/>
  <c r="BF523" i="82"/>
  <c r="BL523" i="82"/>
  <c r="BF525" i="82"/>
  <c r="BL525" i="82"/>
  <c r="BF527" i="82"/>
  <c r="BL527" i="82"/>
  <c r="BF529" i="82"/>
  <c r="BL529" i="82"/>
  <c r="BI529" i="82"/>
  <c r="BF503" i="82"/>
  <c r="BL503" i="82"/>
  <c r="BF507" i="82"/>
  <c r="BL507" i="82"/>
  <c r="BF511" i="82"/>
  <c r="BL511" i="82"/>
  <c r="BN40" i="83" l="1"/>
  <c r="BO22" i="82"/>
  <c r="BH36" i="83"/>
  <c r="BO24" i="84"/>
  <c r="BH32" i="83"/>
  <c r="BH39" i="84"/>
  <c r="BH35" i="84"/>
  <c r="BH34" i="84"/>
  <c r="BH38" i="84"/>
  <c r="BH37" i="83"/>
  <c r="BG33" i="82"/>
  <c r="BH40" i="84"/>
  <c r="AI56" i="83"/>
  <c r="AJ173" i="83"/>
  <c r="AJ137" i="83"/>
  <c r="AJ379" i="83"/>
  <c r="AI479" i="83"/>
  <c r="BM33" i="83"/>
  <c r="BH33" i="83"/>
  <c r="AI30" i="83"/>
  <c r="AJ161" i="83"/>
  <c r="AJ437" i="83"/>
  <c r="AJ58" i="83"/>
  <c r="AJ220" i="83"/>
  <c r="AJ66" i="83"/>
  <c r="AI259" i="83"/>
  <c r="AJ114" i="83"/>
  <c r="AI312" i="83"/>
  <c r="AI103" i="83"/>
  <c r="AI316" i="83"/>
  <c r="BG33" i="84"/>
  <c r="AJ133" i="83"/>
  <c r="AJ361" i="83"/>
  <c r="AJ22" i="83"/>
  <c r="AJ94" i="83"/>
  <c r="AI25" i="83"/>
  <c r="AI109" i="83"/>
  <c r="AI174" i="83"/>
  <c r="AJ193" i="83"/>
  <c r="AI291" i="83"/>
  <c r="AI324" i="83"/>
  <c r="AJ387" i="83"/>
  <c r="AJ521" i="83"/>
  <c r="AI55" i="83"/>
  <c r="AJ99" i="83"/>
  <c r="AI133" i="83"/>
  <c r="AI196" i="83"/>
  <c r="AI213" i="83"/>
  <c r="AI276" i="83"/>
  <c r="AI348" i="83"/>
  <c r="AI484" i="83"/>
  <c r="AJ472" i="83"/>
  <c r="AJ69" i="83"/>
  <c r="AJ104" i="83"/>
  <c r="AI137" i="83"/>
  <c r="AI185" i="83"/>
  <c r="AI255" i="83"/>
  <c r="AJ292" i="83"/>
  <c r="AI352" i="83"/>
  <c r="AJ430" i="83"/>
  <c r="AJ480" i="83"/>
  <c r="AI192" i="83"/>
  <c r="AJ112" i="83"/>
  <c r="AI139" i="83"/>
  <c r="AI210" i="83"/>
  <c r="AI225" i="83"/>
  <c r="AJ276" i="83"/>
  <c r="AJ321" i="83"/>
  <c r="AI467" i="83"/>
  <c r="AI512" i="83"/>
  <c r="AJ44" i="83"/>
  <c r="AI76" i="83"/>
  <c r="AI145" i="83"/>
  <c r="AI162" i="83"/>
  <c r="AI280" i="83"/>
  <c r="AI387" i="83"/>
  <c r="AJ329" i="83"/>
  <c r="AI439" i="83"/>
  <c r="AI516" i="83"/>
  <c r="BO23" i="82"/>
  <c r="AJ57" i="83"/>
  <c r="AJ111" i="83"/>
  <c r="AI96" i="83"/>
  <c r="AJ129" i="83"/>
  <c r="AJ157" i="83"/>
  <c r="AJ216" i="83"/>
  <c r="AI300" i="83"/>
  <c r="AJ374" i="83"/>
  <c r="AI427" i="83"/>
  <c r="BH29" i="83"/>
  <c r="BE22" i="84"/>
  <c r="BM32" i="82"/>
  <c r="BO23" i="84"/>
  <c r="BE21" i="84"/>
  <c r="BE24" i="84"/>
  <c r="BI22" i="84"/>
  <c r="BH30" i="83"/>
  <c r="BI21" i="84"/>
  <c r="BH18" i="83"/>
  <c r="AJ84" i="83"/>
  <c r="AJ56" i="83"/>
  <c r="AJ17" i="83"/>
  <c r="AI252" i="83"/>
  <c r="AI97" i="83"/>
  <c r="AI134" i="83"/>
  <c r="AJ130" i="83"/>
  <c r="AI150" i="83"/>
  <c r="AJ158" i="83"/>
  <c r="AJ194" i="83"/>
  <c r="AJ201" i="83"/>
  <c r="AJ217" i="83"/>
  <c r="AJ272" i="83"/>
  <c r="AJ281" i="83"/>
  <c r="AI308" i="83"/>
  <c r="AI313" i="83"/>
  <c r="AI349" i="83"/>
  <c r="AJ324" i="83"/>
  <c r="AI381" i="83"/>
  <c r="AJ380" i="83"/>
  <c r="AJ404" i="83"/>
  <c r="AI469" i="83"/>
  <c r="AI430" i="83"/>
  <c r="AI483" i="83"/>
  <c r="AJ473" i="83"/>
  <c r="AI513" i="83"/>
  <c r="AI24" i="83"/>
  <c r="AI61" i="83"/>
  <c r="AI31" i="83"/>
  <c r="AI176" i="83"/>
  <c r="AI100" i="83"/>
  <c r="AI135" i="83"/>
  <c r="AJ131" i="83"/>
  <c r="AI171" i="83"/>
  <c r="AJ159" i="83"/>
  <c r="AJ197" i="83"/>
  <c r="AI209" i="83"/>
  <c r="AJ218" i="83"/>
  <c r="AI283" i="83"/>
  <c r="AJ284" i="83"/>
  <c r="AI303" i="83"/>
  <c r="AI314" i="83"/>
  <c r="AI350" i="83"/>
  <c r="AJ327" i="83"/>
  <c r="AI384" i="83"/>
  <c r="AJ383" i="83"/>
  <c r="AJ412" i="83"/>
  <c r="AI435" i="83"/>
  <c r="AJ433" i="83"/>
  <c r="AI507" i="83"/>
  <c r="AJ476" i="83"/>
  <c r="AI514" i="83"/>
  <c r="BN18" i="84"/>
  <c r="AI26" i="83"/>
  <c r="AJ64" i="83"/>
  <c r="AJ37" i="83"/>
  <c r="AI222" i="83"/>
  <c r="AJ109" i="83"/>
  <c r="AI136" i="83"/>
  <c r="AJ132" i="83"/>
  <c r="AI177" i="83"/>
  <c r="AJ160" i="83"/>
  <c r="AJ199" i="83"/>
  <c r="AI217" i="83"/>
  <c r="AJ219" i="83"/>
  <c r="AI287" i="83"/>
  <c r="AJ288" i="83"/>
  <c r="AI391" i="83"/>
  <c r="AI315" i="83"/>
  <c r="AI351" i="83"/>
  <c r="AJ328" i="83"/>
  <c r="AJ416" i="83"/>
  <c r="AJ385" i="83"/>
  <c r="AJ422" i="83"/>
  <c r="AI437" i="83"/>
  <c r="AJ435" i="83"/>
  <c r="AJ515" i="83"/>
  <c r="AJ478" i="83"/>
  <c r="AI515" i="83"/>
  <c r="AJ39" i="83"/>
  <c r="AJ79" i="83"/>
  <c r="AI63" i="83"/>
  <c r="AJ108" i="83"/>
  <c r="AI236" i="83"/>
  <c r="AI138" i="83"/>
  <c r="AJ134" i="83"/>
  <c r="AI193" i="83"/>
  <c r="AJ162" i="83"/>
  <c r="AJ260" i="83"/>
  <c r="AI264" i="83"/>
  <c r="AJ221" i="83"/>
  <c r="AJ295" i="83"/>
  <c r="AI271" i="83"/>
  <c r="AI376" i="83"/>
  <c r="AI317" i="83"/>
  <c r="AI353" i="83"/>
  <c r="AJ330" i="83"/>
  <c r="AI364" i="83"/>
  <c r="AJ390" i="83"/>
  <c r="AI438" i="83"/>
  <c r="AI441" i="83"/>
  <c r="AJ439" i="83"/>
  <c r="AJ502" i="83"/>
  <c r="AJ483" i="83"/>
  <c r="AI517" i="83"/>
  <c r="AJ441" i="83"/>
  <c r="AJ18" i="83"/>
  <c r="AJ29" i="83"/>
  <c r="AJ59" i="83"/>
  <c r="AI36" i="83"/>
  <c r="AJ73" i="83"/>
  <c r="AI153" i="83"/>
  <c r="AI104" i="83"/>
  <c r="AI140" i="83"/>
  <c r="AJ139" i="83"/>
  <c r="AI238" i="83"/>
  <c r="AJ164" i="83"/>
  <c r="AI216" i="83"/>
  <c r="AI204" i="83"/>
  <c r="AJ226" i="83"/>
  <c r="AJ297" i="83"/>
  <c r="AI279" i="83"/>
  <c r="AJ359" i="83"/>
  <c r="AI319" i="83"/>
  <c r="AJ363" i="83"/>
  <c r="AJ332" i="83"/>
  <c r="AI372" i="83"/>
  <c r="AJ394" i="83"/>
  <c r="AI466" i="83"/>
  <c r="AJ459" i="83"/>
  <c r="AI446" i="83"/>
  <c r="AJ518" i="83"/>
  <c r="AJ487" i="83"/>
  <c r="AI519" i="83"/>
  <c r="AI454" i="83"/>
  <c r="AI64" i="83"/>
  <c r="AI184" i="83"/>
  <c r="AI141" i="83"/>
  <c r="AJ165" i="83"/>
  <c r="AJ228" i="83"/>
  <c r="AI285" i="83"/>
  <c r="AI320" i="83"/>
  <c r="AJ333" i="83"/>
  <c r="AJ395" i="83"/>
  <c r="AJ463" i="83"/>
  <c r="AI451" i="83"/>
  <c r="AJ488" i="83"/>
  <c r="AJ506" i="83"/>
  <c r="AI254" i="83"/>
  <c r="AI224" i="83"/>
  <c r="AJ396" i="83"/>
  <c r="AI521" i="83"/>
  <c r="AJ163" i="83"/>
  <c r="AI208" i="83"/>
  <c r="AJ224" i="83"/>
  <c r="AJ296" i="83"/>
  <c r="AI309" i="83"/>
  <c r="AI318" i="83"/>
  <c r="AI356" i="83"/>
  <c r="AJ331" i="83"/>
  <c r="AJ369" i="83"/>
  <c r="AJ393" i="83"/>
  <c r="AI458" i="83"/>
  <c r="AJ486" i="83"/>
  <c r="AI21" i="83"/>
  <c r="AJ81" i="83"/>
  <c r="AI105" i="83"/>
  <c r="AJ141" i="83"/>
  <c r="AI220" i="83"/>
  <c r="AI212" i="83"/>
  <c r="AJ298" i="83"/>
  <c r="AI395" i="83"/>
  <c r="AJ371" i="83"/>
  <c r="AI375" i="83"/>
  <c r="AJ405" i="83"/>
  <c r="AJ526" i="83"/>
  <c r="AI520" i="83"/>
  <c r="AJ67" i="83"/>
  <c r="AI37" i="83"/>
  <c r="AJ89" i="83"/>
  <c r="AI69" i="83"/>
  <c r="AI106" i="83"/>
  <c r="AI142" i="83"/>
  <c r="AJ144" i="83"/>
  <c r="AI147" i="83"/>
  <c r="AJ166" i="83"/>
  <c r="AI228" i="83"/>
  <c r="AJ231" i="83"/>
  <c r="AJ299" i="83"/>
  <c r="AI289" i="83"/>
  <c r="AJ428" i="83"/>
  <c r="AI321" i="83"/>
  <c r="AI385" i="83"/>
  <c r="AJ334" i="83"/>
  <c r="AI382" i="83"/>
  <c r="AJ413" i="83"/>
  <c r="AI402" i="83"/>
  <c r="AJ454" i="83"/>
  <c r="AJ503" i="83"/>
  <c r="AJ489" i="83"/>
  <c r="AJ78" i="83"/>
  <c r="AJ42" i="83"/>
  <c r="AJ97" i="83"/>
  <c r="AI72" i="83"/>
  <c r="AI107" i="83"/>
  <c r="AI143" i="83"/>
  <c r="AI155" i="83"/>
  <c r="AI151" i="83"/>
  <c r="AJ169" i="83"/>
  <c r="AJ277" i="83"/>
  <c r="AI232" i="83"/>
  <c r="AJ234" i="83"/>
  <c r="AJ259" i="83"/>
  <c r="AJ263" i="83"/>
  <c r="AI304" i="83"/>
  <c r="AI322" i="83"/>
  <c r="AI397" i="83"/>
  <c r="AJ335" i="83"/>
  <c r="AI392" i="83"/>
  <c r="AJ397" i="83"/>
  <c r="AJ421" i="83"/>
  <c r="AI405" i="83"/>
  <c r="AI502" i="83"/>
  <c r="AJ524" i="83"/>
  <c r="AJ490" i="83"/>
  <c r="AI522" i="83"/>
  <c r="BG21" i="84"/>
  <c r="AI518" i="83"/>
  <c r="AJ86" i="83"/>
  <c r="AJ43" i="83"/>
  <c r="AI23" i="83"/>
  <c r="AI74" i="83"/>
  <c r="AI108" i="83"/>
  <c r="AI144" i="83"/>
  <c r="AI166" i="83"/>
  <c r="AI159" i="83"/>
  <c r="AJ171" i="83"/>
  <c r="AI203" i="83"/>
  <c r="AJ261" i="83"/>
  <c r="AJ235" i="83"/>
  <c r="AI262" i="83"/>
  <c r="AJ271" i="83"/>
  <c r="AI357" i="83"/>
  <c r="AI323" i="83"/>
  <c r="AJ426" i="83"/>
  <c r="AJ336" i="83"/>
  <c r="AI400" i="83"/>
  <c r="AJ398" i="83"/>
  <c r="AJ429" i="83"/>
  <c r="AI406" i="83"/>
  <c r="AI443" i="83"/>
  <c r="AI488" i="83"/>
  <c r="AJ491" i="83"/>
  <c r="AI523" i="83"/>
  <c r="AJ446" i="83"/>
  <c r="AJ26" i="83"/>
  <c r="AJ106" i="83"/>
  <c r="AJ45" i="83"/>
  <c r="AJ31" i="83"/>
  <c r="AI79" i="83"/>
  <c r="AI110" i="83"/>
  <c r="AI146" i="83"/>
  <c r="AI178" i="83"/>
  <c r="AI170" i="83"/>
  <c r="AJ176" i="83"/>
  <c r="AI219" i="83"/>
  <c r="AJ294" i="83"/>
  <c r="AJ237" i="83"/>
  <c r="AI270" i="83"/>
  <c r="AJ289" i="83"/>
  <c r="AI365" i="83"/>
  <c r="AI325" i="83"/>
  <c r="AJ302" i="83"/>
  <c r="AJ338" i="83"/>
  <c r="AJ456" i="83"/>
  <c r="AJ400" i="83"/>
  <c r="AI453" i="83"/>
  <c r="AI408" i="83"/>
  <c r="AI448" i="83"/>
  <c r="AI493" i="83"/>
  <c r="AJ493" i="83"/>
  <c r="AI525" i="83"/>
  <c r="AJ399" i="83"/>
  <c r="AJ24" i="83"/>
  <c r="AJ20" i="83"/>
  <c r="AJ92" i="83"/>
  <c r="AJ46" i="83"/>
  <c r="AW32" i="83"/>
  <c r="AW24" i="83" s="1"/>
  <c r="AI82" i="83"/>
  <c r="AI111" i="83"/>
  <c r="AI167" i="83"/>
  <c r="AI186" i="83"/>
  <c r="AI182" i="83"/>
  <c r="AJ179" i="83"/>
  <c r="AI227" i="83"/>
  <c r="AI215" i="83"/>
  <c r="AJ238" i="83"/>
  <c r="AJ275" i="83"/>
  <c r="AJ258" i="83"/>
  <c r="AJ370" i="83"/>
  <c r="AI328" i="83"/>
  <c r="AJ303" i="83"/>
  <c r="AJ339" i="83"/>
  <c r="AI367" i="83"/>
  <c r="AJ409" i="83"/>
  <c r="AJ434" i="83"/>
  <c r="AI409" i="83"/>
  <c r="AJ451" i="83"/>
  <c r="AI496" i="83"/>
  <c r="AJ494" i="83"/>
  <c r="AI528" i="83"/>
  <c r="AJ103" i="83"/>
  <c r="AJ47" i="83"/>
  <c r="AI34" i="83"/>
  <c r="AI83" i="83"/>
  <c r="AI112" i="83"/>
  <c r="AI181" i="83"/>
  <c r="AI194" i="83"/>
  <c r="AI190" i="83"/>
  <c r="AJ180" i="83"/>
  <c r="AI233" i="83"/>
  <c r="AI231" i="83"/>
  <c r="AJ239" i="83"/>
  <c r="AI278" i="83"/>
  <c r="AI261" i="83"/>
  <c r="AI373" i="83"/>
  <c r="AI330" i="83"/>
  <c r="AJ304" i="83"/>
  <c r="AJ340" i="83"/>
  <c r="AJ372" i="83"/>
  <c r="AJ417" i="83"/>
  <c r="AJ438" i="83"/>
  <c r="AI410" i="83"/>
  <c r="AI456" i="83"/>
  <c r="AI497" i="83"/>
  <c r="AJ495" i="83"/>
  <c r="AI33" i="83"/>
  <c r="AJ48" i="83"/>
  <c r="AI60" i="83"/>
  <c r="AI84" i="83"/>
  <c r="AI113" i="83"/>
  <c r="AI197" i="83"/>
  <c r="AI240" i="83"/>
  <c r="AI198" i="83"/>
  <c r="AJ181" i="83"/>
  <c r="AJ269" i="83"/>
  <c r="AI296" i="83"/>
  <c r="AJ240" i="83"/>
  <c r="AJ283" i="83"/>
  <c r="AJ266" i="83"/>
  <c r="AI377" i="83"/>
  <c r="AI332" i="83"/>
  <c r="AJ305" i="83"/>
  <c r="AJ341" i="83"/>
  <c r="AJ375" i="83"/>
  <c r="AJ425" i="83"/>
  <c r="AI442" i="83"/>
  <c r="AI411" i="83"/>
  <c r="AI473" i="83"/>
  <c r="AI498" i="83"/>
  <c r="AJ496" i="83"/>
  <c r="AI464" i="83"/>
  <c r="AI85" i="83"/>
  <c r="AJ183" i="83"/>
  <c r="AJ256" i="83"/>
  <c r="AI436" i="83"/>
  <c r="AJ38" i="83"/>
  <c r="AI46" i="83"/>
  <c r="AJ51" i="83"/>
  <c r="AJ90" i="83"/>
  <c r="AI87" i="83"/>
  <c r="AI116" i="83"/>
  <c r="AJ120" i="83"/>
  <c r="AI165" i="83"/>
  <c r="AI179" i="83"/>
  <c r="AJ184" i="83"/>
  <c r="AI297" i="83"/>
  <c r="AJ207" i="83"/>
  <c r="AJ243" i="83"/>
  <c r="AI265" i="83"/>
  <c r="AI277" i="83"/>
  <c r="AI360" i="83"/>
  <c r="AI339" i="83"/>
  <c r="AJ308" i="83"/>
  <c r="AJ347" i="83"/>
  <c r="AJ407" i="83"/>
  <c r="AI445" i="83"/>
  <c r="AI476" i="83"/>
  <c r="AI414" i="83"/>
  <c r="AI472" i="83"/>
  <c r="AI501" i="83"/>
  <c r="AJ499" i="83"/>
  <c r="AI299" i="83"/>
  <c r="AI504" i="83"/>
  <c r="AI211" i="83"/>
  <c r="AI272" i="83"/>
  <c r="AJ236" i="83"/>
  <c r="AJ267" i="83"/>
  <c r="AJ279" i="83"/>
  <c r="AJ362" i="83"/>
  <c r="AI462" i="83"/>
  <c r="AJ337" i="83"/>
  <c r="AI450" i="83"/>
  <c r="AI524" i="83"/>
  <c r="AI42" i="83"/>
  <c r="AJ63" i="83"/>
  <c r="AJ116" i="83"/>
  <c r="AI248" i="83"/>
  <c r="AJ290" i="83"/>
  <c r="AJ203" i="83"/>
  <c r="AJ287" i="83"/>
  <c r="AI269" i="83"/>
  <c r="AI335" i="83"/>
  <c r="AJ342" i="83"/>
  <c r="AJ406" i="83"/>
  <c r="AI433" i="83"/>
  <c r="AI455" i="83"/>
  <c r="AI471" i="83"/>
  <c r="AI499" i="83"/>
  <c r="AJ497" i="83"/>
  <c r="AJ25" i="83"/>
  <c r="AJ50" i="83"/>
  <c r="AI86" i="83"/>
  <c r="AI156" i="83"/>
  <c r="AJ206" i="83"/>
  <c r="AJ274" i="83"/>
  <c r="AI338" i="83"/>
  <c r="AJ345" i="83"/>
  <c r="AI413" i="83"/>
  <c r="AJ65" i="83"/>
  <c r="AI47" i="83"/>
  <c r="AJ52" i="83"/>
  <c r="AI20" i="83"/>
  <c r="AI88" i="83"/>
  <c r="AI117" i="83"/>
  <c r="AJ121" i="83"/>
  <c r="AI173" i="83"/>
  <c r="AI195" i="83"/>
  <c r="AJ185" i="83"/>
  <c r="AJ208" i="83"/>
  <c r="AJ244" i="83"/>
  <c r="AI273" i="83"/>
  <c r="AJ282" i="83"/>
  <c r="AJ365" i="83"/>
  <c r="AI340" i="83"/>
  <c r="AJ309" i="83"/>
  <c r="AJ349" i="83"/>
  <c r="AJ415" i="83"/>
  <c r="AJ462" i="83"/>
  <c r="AI444" i="83"/>
  <c r="AI415" i="83"/>
  <c r="AI477" i="83"/>
  <c r="AJ500" i="83"/>
  <c r="AI18" i="83"/>
  <c r="AI48" i="83"/>
  <c r="AJ53" i="83"/>
  <c r="AI35" i="83"/>
  <c r="AI89" i="83"/>
  <c r="AI118" i="83"/>
  <c r="AJ122" i="83"/>
  <c r="AI183" i="83"/>
  <c r="AJ148" i="83"/>
  <c r="AJ186" i="83"/>
  <c r="AI201" i="83"/>
  <c r="AJ209" i="83"/>
  <c r="AJ245" i="83"/>
  <c r="AI284" i="83"/>
  <c r="AI286" i="83"/>
  <c r="AI368" i="83"/>
  <c r="AI341" i="83"/>
  <c r="AJ310" i="83"/>
  <c r="AJ352" i="83"/>
  <c r="AJ419" i="83"/>
  <c r="AJ402" i="83"/>
  <c r="AI449" i="83"/>
  <c r="AI416" i="83"/>
  <c r="AJ523" i="83"/>
  <c r="AJ508" i="83"/>
  <c r="AJ501" i="83"/>
  <c r="AI490" i="83"/>
  <c r="AH17" i="83"/>
  <c r="BH17" i="83" s="1"/>
  <c r="AJ49" i="83"/>
  <c r="AI114" i="83"/>
  <c r="AJ182" i="83"/>
  <c r="AJ241" i="83"/>
  <c r="AJ306" i="83"/>
  <c r="AI412" i="83"/>
  <c r="AI45" i="83"/>
  <c r="AJ74" i="83"/>
  <c r="AI115" i="83"/>
  <c r="AJ119" i="83"/>
  <c r="AI161" i="83"/>
  <c r="AI295" i="83"/>
  <c r="AJ242" i="83"/>
  <c r="AI257" i="83"/>
  <c r="AJ357" i="83"/>
  <c r="AJ307" i="83"/>
  <c r="AI401" i="83"/>
  <c r="AJ455" i="83"/>
  <c r="AI480" i="83"/>
  <c r="AI500" i="83"/>
  <c r="AJ498" i="83"/>
  <c r="AJ36" i="83"/>
  <c r="AI49" i="83"/>
  <c r="AJ54" i="83"/>
  <c r="AJ60" i="83"/>
  <c r="AI90" i="83"/>
  <c r="AI121" i="83"/>
  <c r="AJ123" i="83"/>
  <c r="AI191" i="83"/>
  <c r="AJ151" i="83"/>
  <c r="AJ187" i="83"/>
  <c r="AI218" i="83"/>
  <c r="AJ210" i="83"/>
  <c r="AJ246" i="83"/>
  <c r="AI307" i="83"/>
  <c r="AI290" i="83"/>
  <c r="AI386" i="83"/>
  <c r="AI342" i="83"/>
  <c r="AJ311" i="83"/>
  <c r="AJ355" i="83"/>
  <c r="AJ427" i="83"/>
  <c r="AJ432" i="83"/>
  <c r="AJ452" i="83"/>
  <c r="AI417" i="83"/>
  <c r="AJ509" i="83"/>
  <c r="AJ511" i="83"/>
  <c r="AJ522" i="83"/>
  <c r="BE23" i="84"/>
  <c r="AJ257" i="83"/>
  <c r="AJ519" i="83"/>
  <c r="AJ55" i="83"/>
  <c r="AI91" i="83"/>
  <c r="AJ124" i="83"/>
  <c r="AJ152" i="83"/>
  <c r="AI235" i="83"/>
  <c r="AJ247" i="83"/>
  <c r="AI294" i="83"/>
  <c r="AI343" i="83"/>
  <c r="AJ356" i="83"/>
  <c r="AI447" i="83"/>
  <c r="AI457" i="83"/>
  <c r="AI418" i="83"/>
  <c r="AJ517" i="83"/>
  <c r="AI67" i="83"/>
  <c r="AI51" i="83"/>
  <c r="AI58" i="83"/>
  <c r="AJ68" i="83"/>
  <c r="AI92" i="83"/>
  <c r="AI125" i="83"/>
  <c r="AJ125" i="83"/>
  <c r="AI234" i="83"/>
  <c r="AJ153" i="83"/>
  <c r="AJ189" i="83"/>
  <c r="AI239" i="83"/>
  <c r="AJ212" i="83"/>
  <c r="AJ248" i="83"/>
  <c r="AI260" i="83"/>
  <c r="AI302" i="83"/>
  <c r="AJ418" i="83"/>
  <c r="AI344" i="83"/>
  <c r="AJ313" i="83"/>
  <c r="AJ358" i="83"/>
  <c r="AJ464" i="83"/>
  <c r="AI468" i="83"/>
  <c r="AI459" i="83"/>
  <c r="AI419" i="83"/>
  <c r="AI482" i="83"/>
  <c r="AJ527" i="83"/>
  <c r="AJ505" i="83"/>
  <c r="AI407" i="83"/>
  <c r="AI59" i="83"/>
  <c r="AI50" i="83"/>
  <c r="AI65" i="83"/>
  <c r="AI123" i="83"/>
  <c r="AI199" i="83"/>
  <c r="AJ188" i="83"/>
  <c r="AJ211" i="83"/>
  <c r="AI394" i="83"/>
  <c r="AJ312" i="83"/>
  <c r="AI440" i="83"/>
  <c r="AI478" i="83"/>
  <c r="AJ28" i="83"/>
  <c r="AJ85" i="83"/>
  <c r="AI52" i="83"/>
  <c r="AJ61" i="83"/>
  <c r="AJ75" i="83"/>
  <c r="AI93" i="83"/>
  <c r="AI128" i="83"/>
  <c r="AJ126" i="83"/>
  <c r="AI250" i="83"/>
  <c r="AJ154" i="83"/>
  <c r="AJ190" i="83"/>
  <c r="AI245" i="83"/>
  <c r="AJ213" i="83"/>
  <c r="AJ249" i="83"/>
  <c r="AJ265" i="83"/>
  <c r="AI310" i="83"/>
  <c r="AJ368" i="83"/>
  <c r="AI345" i="83"/>
  <c r="AJ314" i="83"/>
  <c r="AI361" i="83"/>
  <c r="AJ376" i="83"/>
  <c r="AJ411" i="83"/>
  <c r="AI461" i="83"/>
  <c r="AI420" i="83"/>
  <c r="AI506" i="83"/>
  <c r="AJ469" i="83"/>
  <c r="AJ528" i="83"/>
  <c r="AJ492" i="83"/>
  <c r="AJ23" i="83"/>
  <c r="AJ102" i="83"/>
  <c r="AI53" i="83"/>
  <c r="AJ80" i="83"/>
  <c r="AJ83" i="83"/>
  <c r="AI94" i="83"/>
  <c r="AI131" i="83"/>
  <c r="AJ127" i="83"/>
  <c r="AI164" i="83"/>
  <c r="AJ155" i="83"/>
  <c r="AJ191" i="83"/>
  <c r="AI251" i="83"/>
  <c r="AJ214" i="83"/>
  <c r="AJ252" i="83"/>
  <c r="AI268" i="83"/>
  <c r="AI370" i="83"/>
  <c r="AJ401" i="83"/>
  <c r="AI346" i="83"/>
  <c r="AJ317" i="83"/>
  <c r="AJ366" i="83"/>
  <c r="AJ377" i="83"/>
  <c r="AJ460" i="83"/>
  <c r="AI463" i="83"/>
  <c r="AI423" i="83"/>
  <c r="AJ510" i="83"/>
  <c r="AJ470" i="83"/>
  <c r="AI510" i="83"/>
  <c r="AJ414" i="83"/>
  <c r="AI168" i="83"/>
  <c r="AI54" i="83"/>
  <c r="AJ96" i="83"/>
  <c r="AJ91" i="83"/>
  <c r="AI95" i="83"/>
  <c r="AI132" i="83"/>
  <c r="AJ128" i="83"/>
  <c r="AI180" i="83"/>
  <c r="AJ156" i="83"/>
  <c r="AJ192" i="83"/>
  <c r="AI253" i="83"/>
  <c r="AJ215" i="83"/>
  <c r="AJ254" i="83"/>
  <c r="AJ273" i="83"/>
  <c r="AI305" i="83"/>
  <c r="AI311" i="83"/>
  <c r="AI347" i="83"/>
  <c r="AJ319" i="83"/>
  <c r="AI369" i="83"/>
  <c r="AJ378" i="83"/>
  <c r="AJ468" i="83"/>
  <c r="AI465" i="83"/>
  <c r="AI425" i="83"/>
  <c r="AI475" i="83"/>
  <c r="AJ471" i="83"/>
  <c r="AI511" i="83"/>
  <c r="AJ19" i="83"/>
  <c r="AI22" i="83"/>
  <c r="AJ107" i="83"/>
  <c r="AJ87" i="83"/>
  <c r="AI66" i="83"/>
  <c r="AI68" i="83"/>
  <c r="AI70" i="83"/>
  <c r="AI98" i="83"/>
  <c r="AI119" i="83"/>
  <c r="AI148" i="83"/>
  <c r="AJ135" i="83"/>
  <c r="AI149" i="83"/>
  <c r="AI152" i="83"/>
  <c r="AJ167" i="83"/>
  <c r="AJ195" i="83"/>
  <c r="AI206" i="83"/>
  <c r="AI200" i="83"/>
  <c r="AJ222" i="83"/>
  <c r="AJ250" i="83"/>
  <c r="AJ291" i="83"/>
  <c r="AI293" i="83"/>
  <c r="AI362" i="83"/>
  <c r="AJ373" i="83"/>
  <c r="AI326" i="83"/>
  <c r="AI354" i="83"/>
  <c r="AJ315" i="83"/>
  <c r="AJ343" i="83"/>
  <c r="AI383" i="83"/>
  <c r="AJ381" i="83"/>
  <c r="AJ410" i="83"/>
  <c r="AJ458" i="83"/>
  <c r="AJ444" i="83"/>
  <c r="AI421" i="83"/>
  <c r="AI485" i="83"/>
  <c r="AJ507" i="83"/>
  <c r="AJ474" i="83"/>
  <c r="AJ504" i="83"/>
  <c r="AI526" i="83"/>
  <c r="AJ32" i="83"/>
  <c r="AI29" i="83"/>
  <c r="AJ95" i="83"/>
  <c r="AJ72" i="83"/>
  <c r="AJ70" i="83"/>
  <c r="AI71" i="83"/>
  <c r="AI99" i="83"/>
  <c r="AI120" i="83"/>
  <c r="AI154" i="83"/>
  <c r="AJ136" i="83"/>
  <c r="AI157" i="83"/>
  <c r="AI160" i="83"/>
  <c r="AJ168" i="83"/>
  <c r="AJ196" i="83"/>
  <c r="AI214" i="83"/>
  <c r="AI207" i="83"/>
  <c r="AJ223" i="83"/>
  <c r="AJ251" i="83"/>
  <c r="AI399" i="83"/>
  <c r="AI258" i="83"/>
  <c r="AI301" i="83"/>
  <c r="AI378" i="83"/>
  <c r="AI327" i="83"/>
  <c r="AI355" i="83"/>
  <c r="AJ316" i="83"/>
  <c r="AJ344" i="83"/>
  <c r="AI388" i="83"/>
  <c r="AJ382" i="83"/>
  <c r="AJ424" i="83"/>
  <c r="AJ466" i="83"/>
  <c r="AJ449" i="83"/>
  <c r="AI422" i="83"/>
  <c r="AJ447" i="83"/>
  <c r="AJ516" i="83"/>
  <c r="AJ475" i="83"/>
  <c r="AJ514" i="83"/>
  <c r="AI527" i="83"/>
  <c r="AS17" i="83" a="1"/>
  <c r="AS17" i="83" s="1"/>
  <c r="AS15" i="83" s="1"/>
  <c r="AJ27" i="83"/>
  <c r="AI39" i="83"/>
  <c r="AJ100" i="83"/>
  <c r="AI32" i="83"/>
  <c r="AJ88" i="83"/>
  <c r="AJ82" i="83"/>
  <c r="AI73" i="83"/>
  <c r="AJ105" i="83"/>
  <c r="AI122" i="83"/>
  <c r="AI175" i="83"/>
  <c r="AJ138" i="83"/>
  <c r="AI172" i="83"/>
  <c r="AI169" i="83"/>
  <c r="AJ170" i="83"/>
  <c r="AJ198" i="83"/>
  <c r="AI226" i="83"/>
  <c r="AI223" i="83"/>
  <c r="AJ225" i="83"/>
  <c r="AJ253" i="83"/>
  <c r="AJ262" i="83"/>
  <c r="AI266" i="83"/>
  <c r="AJ367" i="83"/>
  <c r="AI390" i="83"/>
  <c r="AI329" i="83"/>
  <c r="AI358" i="83"/>
  <c r="AJ318" i="83"/>
  <c r="AJ346" i="83"/>
  <c r="AI396" i="83"/>
  <c r="AJ384" i="83"/>
  <c r="AI434" i="83"/>
  <c r="AJ436" i="83"/>
  <c r="AJ457" i="83"/>
  <c r="AI424" i="83"/>
  <c r="AI470" i="83"/>
  <c r="AI487" i="83"/>
  <c r="AJ477" i="83"/>
  <c r="AI505" i="83"/>
  <c r="AI529" i="83"/>
  <c r="AJ62" i="83"/>
  <c r="AJ30" i="83"/>
  <c r="AI17" i="83"/>
  <c r="AJ110" i="83"/>
  <c r="AJ98" i="83"/>
  <c r="AI75" i="83"/>
  <c r="AJ113" i="83"/>
  <c r="AI124" i="83"/>
  <c r="AI189" i="83"/>
  <c r="AJ140" i="83"/>
  <c r="AI188" i="83"/>
  <c r="AI187" i="83"/>
  <c r="AJ172" i="83"/>
  <c r="AI205" i="83"/>
  <c r="AI237" i="83"/>
  <c r="AJ268" i="83"/>
  <c r="AJ227" i="83"/>
  <c r="AJ255" i="83"/>
  <c r="AJ270" i="83"/>
  <c r="AI274" i="83"/>
  <c r="AJ448" i="83"/>
  <c r="AI398" i="83"/>
  <c r="AI331" i="83"/>
  <c r="AI366" i="83"/>
  <c r="AJ320" i="83"/>
  <c r="AJ348" i="83"/>
  <c r="AJ408" i="83"/>
  <c r="AJ386" i="83"/>
  <c r="AI460" i="83"/>
  <c r="AJ440" i="83"/>
  <c r="AJ461" i="83"/>
  <c r="AI426" i="83"/>
  <c r="AI474" i="83"/>
  <c r="AI489" i="83"/>
  <c r="AJ479" i="83"/>
  <c r="AJ525" i="83"/>
  <c r="AI27" i="83"/>
  <c r="AJ278" i="83"/>
  <c r="AJ420" i="83"/>
  <c r="AJ465" i="83"/>
  <c r="AI481" i="83"/>
  <c r="AI491" i="83"/>
  <c r="AJ481" i="83"/>
  <c r="AJ71" i="83"/>
  <c r="AI40" i="83"/>
  <c r="AJ35" i="83"/>
  <c r="AI62" i="83"/>
  <c r="AI77" i="83"/>
  <c r="AJ115" i="83"/>
  <c r="AI126" i="83"/>
  <c r="AI230" i="83"/>
  <c r="AJ142" i="83"/>
  <c r="AI202" i="83"/>
  <c r="AI242" i="83"/>
  <c r="AJ174" i="83"/>
  <c r="AI221" i="83"/>
  <c r="AI241" i="83"/>
  <c r="AI298" i="83"/>
  <c r="AJ229" i="83"/>
  <c r="AJ264" i="83"/>
  <c r="AI282" i="83"/>
  <c r="AJ301" i="83"/>
  <c r="AJ360" i="83"/>
  <c r="AI333" i="83"/>
  <c r="AI374" i="83"/>
  <c r="AJ322" i="83"/>
  <c r="AJ350" i="83"/>
  <c r="AJ388" i="83"/>
  <c r="AI486" i="83"/>
  <c r="AJ445" i="83"/>
  <c r="AI428" i="83"/>
  <c r="AJ512" i="83"/>
  <c r="AJ21" i="83"/>
  <c r="AJ77" i="83"/>
  <c r="AI41" i="83"/>
  <c r="AJ33" i="83"/>
  <c r="AJ76" i="83"/>
  <c r="AJ34" i="83"/>
  <c r="AI78" i="83"/>
  <c r="AJ200" i="83"/>
  <c r="AI127" i="83"/>
  <c r="AI246" i="83"/>
  <c r="AJ143" i="83"/>
  <c r="AI244" i="83"/>
  <c r="AJ147" i="83"/>
  <c r="AJ175" i="83"/>
  <c r="AI229" i="83"/>
  <c r="AI243" i="83"/>
  <c r="AJ202" i="83"/>
  <c r="AJ230" i="83"/>
  <c r="AI267" i="83"/>
  <c r="AI281" i="83"/>
  <c r="AJ285" i="83"/>
  <c r="AI306" i="83"/>
  <c r="AI363" i="83"/>
  <c r="AI334" i="83"/>
  <c r="AI380" i="83"/>
  <c r="AJ323" i="83"/>
  <c r="AJ351" i="83"/>
  <c r="AJ453" i="83"/>
  <c r="AJ389" i="83"/>
  <c r="AJ403" i="83"/>
  <c r="AJ450" i="83"/>
  <c r="AJ467" i="83"/>
  <c r="AI429" i="83"/>
  <c r="AJ513" i="83"/>
  <c r="AI492" i="83"/>
  <c r="AJ482" i="83"/>
  <c r="AJ520" i="83"/>
  <c r="AJ93" i="83"/>
  <c r="AI43" i="83"/>
  <c r="AJ40" i="83"/>
  <c r="AI19" i="83"/>
  <c r="AI38" i="83"/>
  <c r="AI80" i="83"/>
  <c r="AI101" i="83"/>
  <c r="AI129" i="83"/>
  <c r="AJ117" i="83"/>
  <c r="AJ145" i="83"/>
  <c r="AI158" i="83"/>
  <c r="AJ149" i="83"/>
  <c r="AJ177" i="83"/>
  <c r="AI263" i="83"/>
  <c r="AI247" i="83"/>
  <c r="AJ204" i="83"/>
  <c r="AJ232" i="83"/>
  <c r="AI275" i="83"/>
  <c r="AI288" i="83"/>
  <c r="AJ293" i="83"/>
  <c r="AJ443" i="83"/>
  <c r="AI371" i="83"/>
  <c r="AI336" i="83"/>
  <c r="AI389" i="83"/>
  <c r="AJ325" i="83"/>
  <c r="AJ353" i="83"/>
  <c r="AI359" i="83"/>
  <c r="AJ391" i="83"/>
  <c r="AJ423" i="83"/>
  <c r="AJ442" i="83"/>
  <c r="AI403" i="83"/>
  <c r="AI431" i="83"/>
  <c r="AJ529" i="83"/>
  <c r="AI494" i="83"/>
  <c r="AJ484" i="83"/>
  <c r="AI508" i="83"/>
  <c r="AJ101" i="83"/>
  <c r="AI44" i="83"/>
  <c r="AJ41" i="83"/>
  <c r="AI28" i="83"/>
  <c r="AI57" i="83"/>
  <c r="AI81" i="83"/>
  <c r="AI102" i="83"/>
  <c r="AI130" i="83"/>
  <c r="AJ118" i="83"/>
  <c r="AJ146" i="83"/>
  <c r="AI163" i="83"/>
  <c r="AJ150" i="83"/>
  <c r="AJ178" i="83"/>
  <c r="AJ286" i="83"/>
  <c r="AI249" i="83"/>
  <c r="AJ205" i="83"/>
  <c r="AJ233" i="83"/>
  <c r="AJ280" i="83"/>
  <c r="AI292" i="83"/>
  <c r="AI256" i="83"/>
  <c r="AJ300" i="83"/>
  <c r="AI379" i="83"/>
  <c r="AI337" i="83"/>
  <c r="AI393" i="83"/>
  <c r="AJ326" i="83"/>
  <c r="AJ354" i="83"/>
  <c r="AJ364" i="83"/>
  <c r="AJ392" i="83"/>
  <c r="AJ431" i="83"/>
  <c r="AI452" i="83"/>
  <c r="AI404" i="83"/>
  <c r="AI432" i="83"/>
  <c r="AI503" i="83"/>
  <c r="AI495" i="83"/>
  <c r="AJ485" i="83"/>
  <c r="BH22" i="84"/>
  <c r="K17" i="82" a="1"/>
  <c r="BE33" i="82" s="1"/>
  <c r="F15" i="82"/>
  <c r="K17" i="83" a="1"/>
  <c r="F15" i="83"/>
  <c r="Q15" i="83" s="1"/>
  <c r="BE19" i="84"/>
  <c r="BN22" i="83"/>
  <c r="BE20" i="84"/>
  <c r="BK17" i="84"/>
  <c r="BK18" i="84"/>
  <c r="BE18" i="84"/>
  <c r="AP17" i="84"/>
  <c r="AP15" i="84"/>
  <c r="BF12" i="83"/>
  <c r="BL14" i="83"/>
  <c r="BL12" i="83"/>
  <c r="BL13" i="83"/>
  <c r="AW22" i="83"/>
  <c r="AV22" i="83" s="1"/>
  <c r="BN21" i="84"/>
  <c r="BH21" i="84"/>
  <c r="BH20" i="84"/>
  <c r="BN20" i="84"/>
  <c r="BG22" i="84"/>
  <c r="BM22" i="84"/>
  <c r="BI20" i="84"/>
  <c r="BO20" i="84"/>
  <c r="BI19" i="84"/>
  <c r="BO19" i="84"/>
  <c r="BM12" i="84"/>
  <c r="BM14" i="84"/>
  <c r="BG12" i="84"/>
  <c r="BM13" i="84"/>
  <c r="BF18" i="84"/>
  <c r="BL18" i="84"/>
  <c r="BF20" i="84"/>
  <c r="BL20" i="84"/>
  <c r="BL21" i="84"/>
  <c r="BF21" i="84"/>
  <c r="BM19" i="84"/>
  <c r="BG19" i="84"/>
  <c r="BL19" i="84"/>
  <c r="BF19" i="84"/>
  <c r="J19" i="84"/>
  <c r="R15" i="84"/>
  <c r="R17" i="84"/>
  <c r="R23" i="84" s="1"/>
  <c r="AJ529" i="84"/>
  <c r="AJ528" i="84"/>
  <c r="AJ527" i="84"/>
  <c r="AJ526" i="84"/>
  <c r="AJ525" i="84"/>
  <c r="AJ524" i="84"/>
  <c r="AJ523" i="84"/>
  <c r="AJ522" i="84"/>
  <c r="AJ521" i="84"/>
  <c r="AI529" i="84"/>
  <c r="AI528" i="84"/>
  <c r="AI527" i="84"/>
  <c r="AI526" i="84"/>
  <c r="AI525" i="84"/>
  <c r="AI524" i="84"/>
  <c r="AI523" i="84"/>
  <c r="AI522" i="84"/>
  <c r="AI521" i="84"/>
  <c r="AI520" i="84"/>
  <c r="AI519" i="84"/>
  <c r="AI518" i="84"/>
  <c r="AI517" i="84"/>
  <c r="AI516" i="84"/>
  <c r="AI515" i="84"/>
  <c r="AI514" i="84"/>
  <c r="AI513" i="84"/>
  <c r="AI512" i="84"/>
  <c r="AI511" i="84"/>
  <c r="AI510" i="84"/>
  <c r="AI509" i="84"/>
  <c r="AI508" i="84"/>
  <c r="AI507" i="84"/>
  <c r="AI506" i="84"/>
  <c r="AI505" i="84"/>
  <c r="AI504" i="84"/>
  <c r="AI501" i="84"/>
  <c r="AI500" i="84"/>
  <c r="AI499" i="84"/>
  <c r="AI498" i="84"/>
  <c r="AI497" i="84"/>
  <c r="AI496" i="84"/>
  <c r="AI495" i="84"/>
  <c r="AI494" i="84"/>
  <c r="AJ518" i="84"/>
  <c r="AJ514" i="84"/>
  <c r="AJ510" i="84"/>
  <c r="AJ506" i="84"/>
  <c r="AI502" i="84"/>
  <c r="AJ517" i="84"/>
  <c r="AJ513" i="84"/>
  <c r="AJ509" i="84"/>
  <c r="AJ505" i="84"/>
  <c r="AJ503" i="84"/>
  <c r="AJ520" i="84"/>
  <c r="AJ516" i="84"/>
  <c r="AJ512" i="84"/>
  <c r="AJ508" i="84"/>
  <c r="AI503" i="84"/>
  <c r="AJ519" i="84"/>
  <c r="AJ498" i="84"/>
  <c r="AI492" i="84"/>
  <c r="AJ489" i="84"/>
  <c r="AI484" i="84"/>
  <c r="AJ481" i="84"/>
  <c r="AI476" i="84"/>
  <c r="AJ474" i="84"/>
  <c r="AJ499" i="84"/>
  <c r="AI489" i="84"/>
  <c r="AJ486" i="84"/>
  <c r="AJ507" i="84"/>
  <c r="AJ500" i="84"/>
  <c r="AJ491" i="84"/>
  <c r="AI486" i="84"/>
  <c r="AJ501" i="84"/>
  <c r="AI491" i="84"/>
  <c r="AJ488" i="84"/>
  <c r="AI483" i="84"/>
  <c r="AJ480" i="84"/>
  <c r="AJ475" i="84"/>
  <c r="AI472" i="84"/>
  <c r="AI471" i="84"/>
  <c r="AI470" i="84"/>
  <c r="AI469" i="84"/>
  <c r="AI468" i="84"/>
  <c r="AI467" i="84"/>
  <c r="AI466" i="84"/>
  <c r="AI465" i="84"/>
  <c r="AI464" i="84"/>
  <c r="AI463" i="84"/>
  <c r="AJ511" i="84"/>
  <c r="AJ504" i="84"/>
  <c r="AJ502" i="84"/>
  <c r="AJ494" i="84"/>
  <c r="AJ493" i="84"/>
  <c r="AI488" i="84"/>
  <c r="AJ485" i="84"/>
  <c r="AI480" i="84"/>
  <c r="AJ477" i="84"/>
  <c r="AI475" i="84"/>
  <c r="AJ495" i="84"/>
  <c r="AI493" i="84"/>
  <c r="AJ490" i="84"/>
  <c r="AI485" i="84"/>
  <c r="AJ482" i="84"/>
  <c r="AI477" i="84"/>
  <c r="AJ473" i="84"/>
  <c r="AJ515" i="84"/>
  <c r="AJ496" i="84"/>
  <c r="AI490" i="84"/>
  <c r="AJ487" i="84"/>
  <c r="AI482" i="84"/>
  <c r="AJ479" i="84"/>
  <c r="AI473" i="84"/>
  <c r="AI487" i="84"/>
  <c r="AJ465" i="84"/>
  <c r="AI462" i="84"/>
  <c r="AJ497" i="84"/>
  <c r="AI474" i="84"/>
  <c r="AJ476" i="84"/>
  <c r="AJ472" i="84"/>
  <c r="AJ470" i="84"/>
  <c r="AJ468" i="84"/>
  <c r="AJ463" i="84"/>
  <c r="AJ492" i="84"/>
  <c r="AJ483" i="84"/>
  <c r="AJ466" i="84"/>
  <c r="AJ460" i="84"/>
  <c r="AI459" i="84"/>
  <c r="AI455" i="84"/>
  <c r="AI453" i="84"/>
  <c r="AI452" i="84"/>
  <c r="AI451" i="84"/>
  <c r="AI450" i="84"/>
  <c r="AI449" i="84"/>
  <c r="AI448" i="84"/>
  <c r="AI447" i="84"/>
  <c r="AI446" i="84"/>
  <c r="AI445" i="84"/>
  <c r="AI444" i="84"/>
  <c r="AI443" i="84"/>
  <c r="AI442" i="84"/>
  <c r="AI441" i="84"/>
  <c r="AI440" i="84"/>
  <c r="AI439" i="84"/>
  <c r="AI438" i="84"/>
  <c r="AI437" i="84"/>
  <c r="AI436" i="84"/>
  <c r="AI435" i="84"/>
  <c r="AI434" i="84"/>
  <c r="AI433" i="84"/>
  <c r="AI432" i="84"/>
  <c r="AJ484" i="84"/>
  <c r="AI481" i="84"/>
  <c r="AJ478" i="84"/>
  <c r="AJ464" i="84"/>
  <c r="AJ461" i="84"/>
  <c r="AI458" i="84"/>
  <c r="AI454" i="84"/>
  <c r="AI479" i="84"/>
  <c r="AI478" i="84"/>
  <c r="AJ471" i="84"/>
  <c r="AJ469" i="84"/>
  <c r="AJ467" i="84"/>
  <c r="AI461" i="84"/>
  <c r="AJ457" i="84"/>
  <c r="AJ462" i="84"/>
  <c r="AJ459" i="84"/>
  <c r="AJ454" i="84"/>
  <c r="AJ446" i="84"/>
  <c r="AJ438" i="84"/>
  <c r="AJ455" i="84"/>
  <c r="AJ453" i="84"/>
  <c r="AJ445" i="84"/>
  <c r="AJ437" i="84"/>
  <c r="AJ433" i="84"/>
  <c r="AJ452" i="84"/>
  <c r="AJ444" i="84"/>
  <c r="AJ436" i="84"/>
  <c r="AJ456" i="84"/>
  <c r="AJ451" i="84"/>
  <c r="AJ443" i="84"/>
  <c r="AJ435" i="84"/>
  <c r="AI460" i="84"/>
  <c r="AI456" i="84"/>
  <c r="AJ450" i="84"/>
  <c r="AJ442" i="84"/>
  <c r="AJ449" i="84"/>
  <c r="AJ441" i="84"/>
  <c r="AJ431" i="84"/>
  <c r="AJ430" i="84"/>
  <c r="AJ429" i="84"/>
  <c r="AJ428" i="84"/>
  <c r="AJ427" i="84"/>
  <c r="AJ426" i="84"/>
  <c r="AJ425" i="84"/>
  <c r="AJ424" i="84"/>
  <c r="AJ423" i="84"/>
  <c r="AJ422" i="84"/>
  <c r="AJ421" i="84"/>
  <c r="AJ420" i="84"/>
  <c r="AJ419" i="84"/>
  <c r="AJ418" i="84"/>
  <c r="AJ417" i="84"/>
  <c r="AJ416" i="84"/>
  <c r="AJ415" i="84"/>
  <c r="AJ414" i="84"/>
  <c r="AJ413" i="84"/>
  <c r="AJ412" i="84"/>
  <c r="AJ411" i="84"/>
  <c r="AJ410" i="84"/>
  <c r="AJ409" i="84"/>
  <c r="AJ408" i="84"/>
  <c r="AJ407" i="84"/>
  <c r="AJ406" i="84"/>
  <c r="AJ405" i="84"/>
  <c r="AJ404" i="84"/>
  <c r="AJ403" i="84"/>
  <c r="AJ402" i="84"/>
  <c r="AJ401" i="84"/>
  <c r="AI457" i="84"/>
  <c r="AJ448" i="84"/>
  <c r="AJ440" i="84"/>
  <c r="AJ434" i="84"/>
  <c r="AI431" i="84"/>
  <c r="AI430" i="84"/>
  <c r="AI429" i="84"/>
  <c r="AI428" i="84"/>
  <c r="AI427" i="84"/>
  <c r="AI426" i="84"/>
  <c r="AI425" i="84"/>
  <c r="AI424" i="84"/>
  <c r="AI423" i="84"/>
  <c r="AI422" i="84"/>
  <c r="AI421" i="84"/>
  <c r="AI420" i="84"/>
  <c r="AI419" i="84"/>
  <c r="AI418" i="84"/>
  <c r="AI417" i="84"/>
  <c r="AI416" i="84"/>
  <c r="AI415" i="84"/>
  <c r="AI414" i="84"/>
  <c r="AI413" i="84"/>
  <c r="AI412" i="84"/>
  <c r="AI411" i="84"/>
  <c r="AI410" i="84"/>
  <c r="AI409" i="84"/>
  <c r="AI408" i="84"/>
  <c r="AI407" i="84"/>
  <c r="AI406" i="84"/>
  <c r="AI405" i="84"/>
  <c r="AI401" i="84"/>
  <c r="AJ458" i="84"/>
  <c r="AJ399" i="84"/>
  <c r="AJ447" i="84"/>
  <c r="AJ432" i="84"/>
  <c r="AI403" i="84"/>
  <c r="AI399" i="84"/>
  <c r="AJ400" i="84"/>
  <c r="AJ439" i="84"/>
  <c r="AI402" i="84"/>
  <c r="AI400" i="84"/>
  <c r="AJ398" i="84"/>
  <c r="AI397" i="84"/>
  <c r="AI396" i="84"/>
  <c r="AI395" i="84"/>
  <c r="AI394" i="84"/>
  <c r="AI393" i="84"/>
  <c r="AI392" i="84"/>
  <c r="AI391" i="84"/>
  <c r="AI390" i="84"/>
  <c r="AI389" i="84"/>
  <c r="AI388" i="84"/>
  <c r="AI387" i="84"/>
  <c r="AI386" i="84"/>
  <c r="AI385" i="84"/>
  <c r="AI384" i="84"/>
  <c r="AI383" i="84"/>
  <c r="AI382" i="84"/>
  <c r="AI381" i="84"/>
  <c r="AI380" i="84"/>
  <c r="AI379" i="84"/>
  <c r="AI378" i="84"/>
  <c r="AI377" i="84"/>
  <c r="AI376" i="84"/>
  <c r="AI375" i="84"/>
  <c r="AI404" i="84"/>
  <c r="AI398" i="84"/>
  <c r="AJ396" i="84"/>
  <c r="AJ392" i="84"/>
  <c r="AJ388" i="84"/>
  <c r="AJ384" i="84"/>
  <c r="AJ375" i="84"/>
  <c r="AI371" i="84"/>
  <c r="AJ368" i="84"/>
  <c r="AJ380" i="84"/>
  <c r="AJ372" i="84"/>
  <c r="AI368" i="84"/>
  <c r="AJ395" i="84"/>
  <c r="AJ391" i="84"/>
  <c r="AJ387" i="84"/>
  <c r="AJ383" i="84"/>
  <c r="AJ377" i="84"/>
  <c r="AI372" i="84"/>
  <c r="AJ367" i="84"/>
  <c r="AJ373" i="84"/>
  <c r="AI367" i="84"/>
  <c r="AJ394" i="84"/>
  <c r="AJ390" i="84"/>
  <c r="AJ386" i="84"/>
  <c r="AJ382" i="84"/>
  <c r="AJ379" i="84"/>
  <c r="AI373" i="84"/>
  <c r="AJ366" i="84"/>
  <c r="AJ376" i="84"/>
  <c r="AJ374" i="84"/>
  <c r="AI366" i="84"/>
  <c r="AJ364" i="84"/>
  <c r="AJ363" i="84"/>
  <c r="AJ362" i="84"/>
  <c r="AJ361" i="84"/>
  <c r="AJ360" i="84"/>
  <c r="AJ359" i="84"/>
  <c r="AJ358" i="84"/>
  <c r="AJ357" i="84"/>
  <c r="AJ356" i="84"/>
  <c r="AJ355" i="84"/>
  <c r="AJ354" i="84"/>
  <c r="AJ353" i="84"/>
  <c r="AJ352" i="84"/>
  <c r="AJ351" i="84"/>
  <c r="AJ350" i="84"/>
  <c r="AJ349" i="84"/>
  <c r="AJ348" i="84"/>
  <c r="AJ347" i="84"/>
  <c r="AJ346" i="84"/>
  <c r="AJ345" i="84"/>
  <c r="AJ344" i="84"/>
  <c r="AJ343" i="84"/>
  <c r="AJ342" i="84"/>
  <c r="AJ341" i="84"/>
  <c r="AJ397" i="84"/>
  <c r="AJ393" i="84"/>
  <c r="AJ389" i="84"/>
  <c r="AJ385" i="84"/>
  <c r="AJ381" i="84"/>
  <c r="AI374" i="84"/>
  <c r="AJ370" i="84"/>
  <c r="AJ369" i="84"/>
  <c r="AJ365" i="84"/>
  <c r="AI364" i="84"/>
  <c r="AI363" i="84"/>
  <c r="AI362" i="84"/>
  <c r="AI361" i="84"/>
  <c r="AI360" i="84"/>
  <c r="AI359" i="84"/>
  <c r="AI358" i="84"/>
  <c r="AI357" i="84"/>
  <c r="AI356" i="84"/>
  <c r="AI355" i="84"/>
  <c r="AI354" i="84"/>
  <c r="AI353" i="84"/>
  <c r="AI352" i="84"/>
  <c r="AI351" i="84"/>
  <c r="AI350" i="84"/>
  <c r="AI349" i="84"/>
  <c r="AI348" i="84"/>
  <c r="AI347" i="84"/>
  <c r="AI346" i="84"/>
  <c r="AI345" i="84"/>
  <c r="AI344" i="84"/>
  <c r="AI343" i="84"/>
  <c r="AI342" i="84"/>
  <c r="AI341" i="84"/>
  <c r="AI340" i="84"/>
  <c r="AI339" i="84"/>
  <c r="AI338" i="84"/>
  <c r="AI337" i="84"/>
  <c r="AI336" i="84"/>
  <c r="AI335" i="84"/>
  <c r="AI334" i="84"/>
  <c r="AI333" i="84"/>
  <c r="AI332" i="84"/>
  <c r="AI331" i="84"/>
  <c r="AI330" i="84"/>
  <c r="AI329" i="84"/>
  <c r="AI328" i="84"/>
  <c r="AJ378" i="84"/>
  <c r="AJ371" i="84"/>
  <c r="AI370" i="84"/>
  <c r="AI369" i="84"/>
  <c r="AI365" i="84"/>
  <c r="AJ338" i="84"/>
  <c r="AJ327" i="84"/>
  <c r="AJ323" i="84"/>
  <c r="AJ335" i="84"/>
  <c r="AJ333" i="84"/>
  <c r="AJ331" i="84"/>
  <c r="AI327" i="84"/>
  <c r="AI323" i="84"/>
  <c r="AJ340" i="84"/>
  <c r="AJ337" i="84"/>
  <c r="AI326" i="84"/>
  <c r="AI322" i="84"/>
  <c r="AJ325" i="84"/>
  <c r="AJ321" i="84"/>
  <c r="AJ339" i="84"/>
  <c r="AJ334" i="84"/>
  <c r="AJ332" i="84"/>
  <c r="AI325" i="84"/>
  <c r="AI321" i="84"/>
  <c r="AJ319" i="84"/>
  <c r="AJ318" i="84"/>
  <c r="AJ317" i="84"/>
  <c r="AJ316" i="84"/>
  <c r="AJ315" i="84"/>
  <c r="AJ314" i="84"/>
  <c r="AJ313" i="84"/>
  <c r="AJ312" i="84"/>
  <c r="AJ311" i="84"/>
  <c r="AJ310" i="84"/>
  <c r="AJ309" i="84"/>
  <c r="AJ308" i="84"/>
  <c r="AJ307" i="84"/>
  <c r="AJ306" i="84"/>
  <c r="AJ305" i="84"/>
  <c r="AJ304" i="84"/>
  <c r="AJ303" i="84"/>
  <c r="AJ302" i="84"/>
  <c r="AJ301" i="84"/>
  <c r="AJ300" i="84"/>
  <c r="AJ299" i="84"/>
  <c r="AJ298" i="84"/>
  <c r="AJ297" i="84"/>
  <c r="AJ296" i="84"/>
  <c r="AJ295" i="84"/>
  <c r="AJ294" i="84"/>
  <c r="AJ293" i="84"/>
  <c r="AJ292" i="84"/>
  <c r="AJ291" i="84"/>
  <c r="AJ290" i="84"/>
  <c r="AJ289" i="84"/>
  <c r="AJ336" i="84"/>
  <c r="AJ330" i="84"/>
  <c r="AJ329" i="84"/>
  <c r="AJ328" i="84"/>
  <c r="AI324" i="84"/>
  <c r="AI320" i="84"/>
  <c r="AI299" i="84"/>
  <c r="AJ286" i="84"/>
  <c r="AJ322" i="84"/>
  <c r="AI300" i="84"/>
  <c r="AJ288" i="84"/>
  <c r="AI286" i="84"/>
  <c r="AI301" i="84"/>
  <c r="AJ324" i="84"/>
  <c r="AI317" i="84"/>
  <c r="AI316" i="84"/>
  <c r="AI315" i="84"/>
  <c r="AI314" i="84"/>
  <c r="AI313" i="84"/>
  <c r="AI312" i="84"/>
  <c r="AI311" i="84"/>
  <c r="AI310" i="84"/>
  <c r="AI309" i="84"/>
  <c r="AI308" i="84"/>
  <c r="AI307" i="84"/>
  <c r="AI306" i="84"/>
  <c r="AI305" i="84"/>
  <c r="AI304" i="84"/>
  <c r="AI303" i="84"/>
  <c r="AI302" i="84"/>
  <c r="AI318" i="84"/>
  <c r="AJ287" i="84"/>
  <c r="AI319" i="84"/>
  <c r="AI287" i="84"/>
  <c r="AJ326" i="84"/>
  <c r="AJ320" i="84"/>
  <c r="AI297" i="84"/>
  <c r="AI296" i="84"/>
  <c r="AI295" i="84"/>
  <c r="AI294" i="84"/>
  <c r="AI293" i="84"/>
  <c r="AI292" i="84"/>
  <c r="AI291" i="84"/>
  <c r="AI290" i="84"/>
  <c r="AI298" i="84"/>
  <c r="AI289" i="84"/>
  <c r="AI285" i="84"/>
  <c r="AI284" i="84"/>
  <c r="AI283" i="84"/>
  <c r="AI282" i="84"/>
  <c r="AI281" i="84"/>
  <c r="AI280" i="84"/>
  <c r="AI279" i="84"/>
  <c r="AI278" i="84"/>
  <c r="AI277" i="84"/>
  <c r="AI276" i="84"/>
  <c r="AI275" i="84"/>
  <c r="AI274" i="84"/>
  <c r="AI273" i="84"/>
  <c r="AI272" i="84"/>
  <c r="AI271" i="84"/>
  <c r="AI270" i="84"/>
  <c r="AI269" i="84"/>
  <c r="AI268" i="84"/>
  <c r="AI267" i="84"/>
  <c r="AI266" i="84"/>
  <c r="AI265" i="84"/>
  <c r="AI264" i="84"/>
  <c r="AI263" i="84"/>
  <c r="AI262" i="84"/>
  <c r="AI261" i="84"/>
  <c r="AI260" i="84"/>
  <c r="AI259" i="84"/>
  <c r="AI258" i="84"/>
  <c r="AI257" i="84"/>
  <c r="AI256" i="84"/>
  <c r="AI255" i="84"/>
  <c r="AI254" i="84"/>
  <c r="AI253" i="84"/>
  <c r="AI252" i="84"/>
  <c r="AI251" i="84"/>
  <c r="AI250" i="84"/>
  <c r="AI249" i="84"/>
  <c r="AI248" i="84"/>
  <c r="AI247" i="84"/>
  <c r="AI246" i="84"/>
  <c r="AI245" i="84"/>
  <c r="AI244" i="84"/>
  <c r="AI243" i="84"/>
  <c r="AI242" i="84"/>
  <c r="AI241" i="84"/>
  <c r="AI240" i="84"/>
  <c r="AI239" i="84"/>
  <c r="AJ265" i="84"/>
  <c r="AJ247" i="84"/>
  <c r="AJ284" i="84"/>
  <c r="AJ282" i="84"/>
  <c r="AJ280" i="84"/>
  <c r="AJ278" i="84"/>
  <c r="AJ276" i="84"/>
  <c r="AJ274" i="84"/>
  <c r="AJ272" i="84"/>
  <c r="AJ270" i="84"/>
  <c r="AJ268" i="84"/>
  <c r="AJ260" i="84"/>
  <c r="AJ246" i="84"/>
  <c r="AJ263" i="84"/>
  <c r="AJ266" i="84"/>
  <c r="AJ244" i="84"/>
  <c r="AI288" i="84"/>
  <c r="AJ261" i="84"/>
  <c r="AJ285" i="84"/>
  <c r="AJ283" i="84"/>
  <c r="AJ281" i="84"/>
  <c r="AJ279" i="84"/>
  <c r="AJ277" i="84"/>
  <c r="AJ275" i="84"/>
  <c r="AJ273" i="84"/>
  <c r="AJ271" i="84"/>
  <c r="AJ269" i="84"/>
  <c r="AJ264" i="84"/>
  <c r="AJ242" i="84"/>
  <c r="AI238" i="84"/>
  <c r="AI237" i="84"/>
  <c r="AI236" i="84"/>
  <c r="AI235" i="84"/>
  <c r="AI234" i="84"/>
  <c r="AI233" i="84"/>
  <c r="AI232" i="84"/>
  <c r="AI231" i="84"/>
  <c r="AI230" i="84"/>
  <c r="AI229" i="84"/>
  <c r="AI228" i="84"/>
  <c r="AI227" i="84"/>
  <c r="AI226" i="84"/>
  <c r="AI225" i="84"/>
  <c r="AI224" i="84"/>
  <c r="AI223" i="84"/>
  <c r="AI222" i="84"/>
  <c r="AI221" i="84"/>
  <c r="AI220" i="84"/>
  <c r="AI219" i="84"/>
  <c r="AI218" i="84"/>
  <c r="AI217" i="84"/>
  <c r="AI216" i="84"/>
  <c r="AI215" i="84"/>
  <c r="AI214" i="84"/>
  <c r="AI213" i="84"/>
  <c r="AI212" i="84"/>
  <c r="AI211" i="84"/>
  <c r="AI210" i="84"/>
  <c r="AI209" i="84"/>
  <c r="AI208" i="84"/>
  <c r="AI207" i="84"/>
  <c r="AI206" i="84"/>
  <c r="AI205" i="84"/>
  <c r="AI204" i="84"/>
  <c r="AI203" i="84"/>
  <c r="AI202" i="84"/>
  <c r="AI201" i="84"/>
  <c r="AI200" i="84"/>
  <c r="AI199" i="84"/>
  <c r="AI198" i="84"/>
  <c r="AJ267" i="84"/>
  <c r="AJ262" i="84"/>
  <c r="AJ259" i="84"/>
  <c r="AJ258" i="84"/>
  <c r="AJ257" i="84"/>
  <c r="AJ256" i="84"/>
  <c r="AJ255" i="84"/>
  <c r="AJ254" i="84"/>
  <c r="AJ253" i="84"/>
  <c r="AJ252" i="84"/>
  <c r="AJ251" i="84"/>
  <c r="AJ250" i="84"/>
  <c r="AJ249" i="84"/>
  <c r="AJ248" i="84"/>
  <c r="AJ240" i="84"/>
  <c r="AJ209" i="84"/>
  <c r="AJ201" i="84"/>
  <c r="AJ208" i="84"/>
  <c r="AJ200" i="84"/>
  <c r="AJ197" i="84"/>
  <c r="AJ196" i="84"/>
  <c r="AJ195" i="84"/>
  <c r="AJ194" i="84"/>
  <c r="AJ193" i="84"/>
  <c r="AJ192" i="84"/>
  <c r="AJ191" i="84"/>
  <c r="AJ190" i="84"/>
  <c r="AJ189" i="84"/>
  <c r="AJ188" i="84"/>
  <c r="AJ187" i="84"/>
  <c r="AJ186" i="84"/>
  <c r="AJ185" i="84"/>
  <c r="AJ184" i="84"/>
  <c r="AJ183" i="84"/>
  <c r="AJ182" i="84"/>
  <c r="AJ181" i="84"/>
  <c r="AJ180" i="84"/>
  <c r="AJ179" i="84"/>
  <c r="AJ178" i="84"/>
  <c r="AJ177" i="84"/>
  <c r="AJ176" i="84"/>
  <c r="AJ175" i="84"/>
  <c r="AJ174" i="84"/>
  <c r="AJ173" i="84"/>
  <c r="AJ172" i="84"/>
  <c r="AJ171" i="84"/>
  <c r="AJ170" i="84"/>
  <c r="AJ169" i="84"/>
  <c r="AJ168" i="84"/>
  <c r="AJ167" i="84"/>
  <c r="AJ166" i="84"/>
  <c r="AJ165" i="84"/>
  <c r="AJ164" i="84"/>
  <c r="AJ163" i="84"/>
  <c r="AJ162" i="84"/>
  <c r="AJ161" i="84"/>
  <c r="AJ160" i="84"/>
  <c r="AJ159" i="84"/>
  <c r="AJ158" i="84"/>
  <c r="AJ157" i="84"/>
  <c r="AJ245" i="84"/>
  <c r="AJ243" i="84"/>
  <c r="AJ207" i="84"/>
  <c r="AJ199" i="84"/>
  <c r="AI197" i="84"/>
  <c r="AI196" i="84"/>
  <c r="AI195" i="84"/>
  <c r="AI194" i="84"/>
  <c r="AI193" i="84"/>
  <c r="AI192" i="84"/>
  <c r="AI191" i="84"/>
  <c r="AI190" i="84"/>
  <c r="AI189" i="84"/>
  <c r="AI188" i="84"/>
  <c r="AI187" i="84"/>
  <c r="AI186" i="84"/>
  <c r="AI185" i="84"/>
  <c r="AI184" i="84"/>
  <c r="AI183" i="84"/>
  <c r="AI182" i="84"/>
  <c r="AI181" i="84"/>
  <c r="AI180" i="84"/>
  <c r="AI179" i="84"/>
  <c r="AI178" i="84"/>
  <c r="AJ241" i="84"/>
  <c r="AJ206" i="84"/>
  <c r="AJ238" i="84"/>
  <c r="AJ237" i="84"/>
  <c r="AJ236" i="84"/>
  <c r="AJ235" i="84"/>
  <c r="AJ234" i="84"/>
  <c r="AJ233" i="84"/>
  <c r="AJ232" i="84"/>
  <c r="AJ231" i="84"/>
  <c r="AJ230" i="84"/>
  <c r="AJ229" i="84"/>
  <c r="AJ228" i="84"/>
  <c r="AJ227" i="84"/>
  <c r="AJ226" i="84"/>
  <c r="AJ225" i="84"/>
  <c r="AJ224" i="84"/>
  <c r="AJ223" i="84"/>
  <c r="AJ222" i="84"/>
  <c r="AJ221" i="84"/>
  <c r="AJ220" i="84"/>
  <c r="AJ219" i="84"/>
  <c r="AJ218" i="84"/>
  <c r="AJ217" i="84"/>
  <c r="AJ216" i="84"/>
  <c r="AJ215" i="84"/>
  <c r="AJ214" i="84"/>
  <c r="AJ213" i="84"/>
  <c r="AJ205" i="84"/>
  <c r="AJ198" i="84"/>
  <c r="AJ239" i="84"/>
  <c r="AJ212" i="84"/>
  <c r="AJ204" i="84"/>
  <c r="AJ211" i="84"/>
  <c r="AJ203" i="84"/>
  <c r="AJ210" i="84"/>
  <c r="AJ202" i="84"/>
  <c r="AJ156" i="84"/>
  <c r="AI151" i="84"/>
  <c r="AJ148" i="84"/>
  <c r="AI143" i="84"/>
  <c r="AJ140" i="84"/>
  <c r="AI135" i="84"/>
  <c r="AI167" i="84"/>
  <c r="AI166" i="84"/>
  <c r="AI165" i="84"/>
  <c r="AI164" i="84"/>
  <c r="AI163" i="84"/>
  <c r="AI162" i="84"/>
  <c r="AI156" i="84"/>
  <c r="AJ153" i="84"/>
  <c r="AI148" i="84"/>
  <c r="AJ145" i="84"/>
  <c r="AI140" i="84"/>
  <c r="AJ137" i="84"/>
  <c r="AI176" i="84"/>
  <c r="AI174" i="84"/>
  <c r="AI172" i="84"/>
  <c r="AI170" i="84"/>
  <c r="AI161" i="84"/>
  <c r="AI153" i="84"/>
  <c r="AJ150" i="84"/>
  <c r="AI145" i="84"/>
  <c r="AJ142" i="84"/>
  <c r="AI137" i="84"/>
  <c r="AI168" i="84"/>
  <c r="AI160" i="84"/>
  <c r="AJ155" i="84"/>
  <c r="AI150" i="84"/>
  <c r="AJ147" i="84"/>
  <c r="AI142" i="84"/>
  <c r="AJ139" i="84"/>
  <c r="AJ133" i="84"/>
  <c r="AJ132" i="84"/>
  <c r="AJ131" i="84"/>
  <c r="AJ130" i="84"/>
  <c r="AJ129" i="84"/>
  <c r="AJ128" i="84"/>
  <c r="AJ127" i="84"/>
  <c r="AJ126" i="84"/>
  <c r="AJ125" i="84"/>
  <c r="AJ124" i="84"/>
  <c r="AJ123" i="84"/>
  <c r="AJ122" i="84"/>
  <c r="AJ121" i="84"/>
  <c r="AJ120" i="84"/>
  <c r="AJ119" i="84"/>
  <c r="AJ118" i="84"/>
  <c r="AJ117" i="84"/>
  <c r="AJ116" i="84"/>
  <c r="AJ115" i="84"/>
  <c r="AJ114" i="84"/>
  <c r="AJ113" i="84"/>
  <c r="AJ112" i="84"/>
  <c r="AJ111" i="84"/>
  <c r="AJ110" i="84"/>
  <c r="AJ109" i="84"/>
  <c r="AJ108" i="84"/>
  <c r="AJ107" i="84"/>
  <c r="AJ106" i="84"/>
  <c r="AJ105" i="84"/>
  <c r="AJ104" i="84"/>
  <c r="AJ103" i="84"/>
  <c r="AJ102" i="84"/>
  <c r="AJ101" i="84"/>
  <c r="AJ100" i="84"/>
  <c r="AJ99" i="84"/>
  <c r="AJ98" i="84"/>
  <c r="AJ97" i="84"/>
  <c r="AJ96" i="84"/>
  <c r="AJ95" i="84"/>
  <c r="AJ94" i="84"/>
  <c r="AJ93" i="84"/>
  <c r="AJ92" i="84"/>
  <c r="AJ91" i="84"/>
  <c r="AJ90" i="84"/>
  <c r="AJ89" i="84"/>
  <c r="AJ88" i="84"/>
  <c r="AJ87" i="84"/>
  <c r="AJ86" i="84"/>
  <c r="AJ85" i="84"/>
  <c r="AJ84" i="84"/>
  <c r="AJ83" i="84"/>
  <c r="AJ82" i="84"/>
  <c r="AJ81" i="84"/>
  <c r="AJ80" i="84"/>
  <c r="AJ79" i="84"/>
  <c r="AJ78" i="84"/>
  <c r="AJ77" i="84"/>
  <c r="AJ76" i="84"/>
  <c r="AJ75" i="84"/>
  <c r="AJ74" i="84"/>
  <c r="AJ73" i="84"/>
  <c r="AJ72" i="84"/>
  <c r="AJ71" i="84"/>
  <c r="AJ70" i="84"/>
  <c r="AJ69" i="84"/>
  <c r="AJ68" i="84"/>
  <c r="AJ67" i="84"/>
  <c r="AJ66" i="84"/>
  <c r="AJ65" i="84"/>
  <c r="AI159" i="84"/>
  <c r="AI155" i="84"/>
  <c r="AJ152" i="84"/>
  <c r="AI147" i="84"/>
  <c r="AJ144" i="84"/>
  <c r="AI139" i="84"/>
  <c r="AJ136" i="84"/>
  <c r="AJ134" i="84"/>
  <c r="AI133" i="84"/>
  <c r="AI132" i="84"/>
  <c r="AI131" i="84"/>
  <c r="AI130" i="84"/>
  <c r="AI129" i="84"/>
  <c r="AI128" i="84"/>
  <c r="AI127" i="84"/>
  <c r="AI126" i="84"/>
  <c r="AI125" i="84"/>
  <c r="AI124" i="84"/>
  <c r="AI123" i="84"/>
  <c r="AI122" i="84"/>
  <c r="AI121" i="84"/>
  <c r="AI158" i="84"/>
  <c r="AI152" i="84"/>
  <c r="AJ149" i="84"/>
  <c r="AI144" i="84"/>
  <c r="AJ141" i="84"/>
  <c r="AI136" i="84"/>
  <c r="AI134" i="84"/>
  <c r="AI175" i="84"/>
  <c r="AI173" i="84"/>
  <c r="AI171" i="84"/>
  <c r="AI169" i="84"/>
  <c r="AI157" i="84"/>
  <c r="AJ154" i="84"/>
  <c r="AI149" i="84"/>
  <c r="AJ146" i="84"/>
  <c r="AI141" i="84"/>
  <c r="AJ138" i="84"/>
  <c r="AI177" i="84"/>
  <c r="AI154" i="84"/>
  <c r="AJ151" i="84"/>
  <c r="AI146" i="84"/>
  <c r="AJ143" i="84"/>
  <c r="AI138" i="84"/>
  <c r="AJ135" i="84"/>
  <c r="AI120" i="84"/>
  <c r="AI118" i="84"/>
  <c r="AI116" i="84"/>
  <c r="AI64" i="84"/>
  <c r="AI63" i="84"/>
  <c r="AI62" i="84"/>
  <c r="AI61" i="84"/>
  <c r="AI60" i="84"/>
  <c r="AI59" i="84"/>
  <c r="AI58" i="84"/>
  <c r="AI57" i="84"/>
  <c r="AI56" i="84"/>
  <c r="AI55" i="84"/>
  <c r="AI54" i="84"/>
  <c r="AI53" i="84"/>
  <c r="AI52" i="84"/>
  <c r="AI51" i="84"/>
  <c r="AI50" i="84"/>
  <c r="AI49" i="84"/>
  <c r="AI48" i="84"/>
  <c r="AI47" i="84"/>
  <c r="AI46" i="84"/>
  <c r="AI45" i="84"/>
  <c r="AI44" i="84"/>
  <c r="AI43" i="84"/>
  <c r="AI42" i="84"/>
  <c r="AI69" i="84"/>
  <c r="AI67" i="84"/>
  <c r="AI65" i="84"/>
  <c r="AI119" i="84"/>
  <c r="AI117" i="84"/>
  <c r="AI114" i="84"/>
  <c r="AI113" i="84"/>
  <c r="AI112" i="84"/>
  <c r="AI111" i="84"/>
  <c r="AI110" i="84"/>
  <c r="AI109" i="84"/>
  <c r="AI108" i="84"/>
  <c r="AI107" i="84"/>
  <c r="AI106" i="84"/>
  <c r="AI105" i="84"/>
  <c r="AI104" i="84"/>
  <c r="AI103" i="84"/>
  <c r="AI102" i="84"/>
  <c r="AI101" i="84"/>
  <c r="AI100" i="84"/>
  <c r="AI99" i="84"/>
  <c r="AI98" i="84"/>
  <c r="AI97" i="84"/>
  <c r="AI96" i="84"/>
  <c r="AI95" i="84"/>
  <c r="AI94" i="84"/>
  <c r="AI93" i="84"/>
  <c r="AI92" i="84"/>
  <c r="AI91" i="84"/>
  <c r="AI90" i="84"/>
  <c r="AI89" i="84"/>
  <c r="AI88" i="84"/>
  <c r="AI87" i="84"/>
  <c r="AI86" i="84"/>
  <c r="AI85" i="84"/>
  <c r="AI84" i="84"/>
  <c r="AI83" i="84"/>
  <c r="AI82" i="84"/>
  <c r="AI81" i="84"/>
  <c r="AI80" i="84"/>
  <c r="AI79" i="84"/>
  <c r="AI78" i="84"/>
  <c r="AI77" i="84"/>
  <c r="AI76" i="84"/>
  <c r="AI75" i="84"/>
  <c r="AI74" i="84"/>
  <c r="AI73" i="84"/>
  <c r="AI72" i="84"/>
  <c r="AI71" i="84"/>
  <c r="AW32" i="84"/>
  <c r="AI115" i="84"/>
  <c r="AJ17" i="84"/>
  <c r="AJ18" i="84" s="1"/>
  <c r="AJ19" i="84" s="1"/>
  <c r="AJ20" i="84" s="1"/>
  <c r="AJ21" i="84" s="1"/>
  <c r="AJ22" i="84" s="1"/>
  <c r="AJ23" i="84" s="1"/>
  <c r="AJ24" i="84" s="1"/>
  <c r="AJ25" i="84" s="1"/>
  <c r="AJ26" i="84" s="1"/>
  <c r="AJ27" i="84" s="1"/>
  <c r="AJ28" i="84" s="1"/>
  <c r="AJ29" i="84" s="1"/>
  <c r="AJ30" i="84" s="1"/>
  <c r="AJ31" i="84" s="1"/>
  <c r="AJ32" i="84" s="1"/>
  <c r="AJ33" i="84" s="1"/>
  <c r="AJ34" i="84" s="1"/>
  <c r="AJ35" i="84" s="1"/>
  <c r="AJ36" i="84" s="1"/>
  <c r="AJ37" i="84" s="1"/>
  <c r="AJ38" i="84" s="1"/>
  <c r="AJ39" i="84" s="1"/>
  <c r="AJ40" i="84" s="1"/>
  <c r="AJ41" i="84" s="1"/>
  <c r="AI70" i="84"/>
  <c r="AI68" i="84"/>
  <c r="AI66" i="84"/>
  <c r="AJ64" i="84"/>
  <c r="AJ63" i="84"/>
  <c r="AJ62" i="84"/>
  <c r="AJ61" i="84"/>
  <c r="AJ60" i="84"/>
  <c r="AJ59" i="84"/>
  <c r="AJ58" i="84"/>
  <c r="AJ57" i="84"/>
  <c r="AJ56" i="84"/>
  <c r="AJ55" i="84"/>
  <c r="AJ54" i="84"/>
  <c r="AJ53" i="84"/>
  <c r="AJ52" i="84"/>
  <c r="AJ51" i="84"/>
  <c r="AJ50" i="84"/>
  <c r="AJ49" i="84"/>
  <c r="AJ48" i="84"/>
  <c r="AJ47" i="84"/>
  <c r="AJ46" i="84"/>
  <c r="AJ45" i="84"/>
  <c r="AJ44" i="84"/>
  <c r="AJ43" i="84"/>
  <c r="AJ42" i="84"/>
  <c r="BH23" i="84"/>
  <c r="BN23" i="84"/>
  <c r="BG20" i="84"/>
  <c r="BM20" i="84"/>
  <c r="BG18" i="84"/>
  <c r="BM18" i="84"/>
  <c r="BN19" i="84"/>
  <c r="BH19" i="84"/>
  <c r="BK14" i="84"/>
  <c r="BB17" i="84"/>
  <c r="BK12" i="84"/>
  <c r="BK13" i="84"/>
  <c r="J20" i="83"/>
  <c r="BN20" i="83"/>
  <c r="BH20" i="83"/>
  <c r="BH27" i="83"/>
  <c r="BN27" i="83"/>
  <c r="BN25" i="83"/>
  <c r="BH25" i="83"/>
  <c r="BN26" i="83"/>
  <c r="BH26" i="83"/>
  <c r="BN23" i="83"/>
  <c r="BH23" i="83"/>
  <c r="AP15" i="83"/>
  <c r="BH19" i="83"/>
  <c r="BN19" i="83"/>
  <c r="BH24" i="83"/>
  <c r="BN24" i="83"/>
  <c r="BH21" i="83"/>
  <c r="BN21" i="83"/>
  <c r="Z15" i="83"/>
  <c r="BH28" i="83"/>
  <c r="BN28" i="83"/>
  <c r="BF20" i="82"/>
  <c r="BL20" i="82"/>
  <c r="AH15" i="82"/>
  <c r="BM22" i="82"/>
  <c r="BG22" i="82"/>
  <c r="BG29" i="82"/>
  <c r="BM29" i="82"/>
  <c r="BO18" i="82"/>
  <c r="BI18" i="82"/>
  <c r="BM19" i="82"/>
  <c r="BG19" i="82"/>
  <c r="BG26" i="82"/>
  <c r="BM26" i="82"/>
  <c r="BG20" i="82"/>
  <c r="BM20" i="82"/>
  <c r="Z15" i="82"/>
  <c r="Z17" i="82"/>
  <c r="BG23" i="82"/>
  <c r="BM23" i="82"/>
  <c r="BM24" i="82"/>
  <c r="BG24" i="82"/>
  <c r="BL21" i="82"/>
  <c r="BF21" i="82"/>
  <c r="BM21" i="82"/>
  <c r="BG21" i="82"/>
  <c r="BI19" i="82"/>
  <c r="BO19" i="82"/>
  <c r="J19" i="82"/>
  <c r="BM28" i="82"/>
  <c r="BG28" i="82"/>
  <c r="BF18" i="82"/>
  <c r="BL18" i="82"/>
  <c r="BM27" i="82"/>
  <c r="BG27" i="82"/>
  <c r="BM30" i="82"/>
  <c r="BG30" i="82"/>
  <c r="BL19" i="82"/>
  <c r="BF19" i="82"/>
  <c r="BG18" i="82"/>
  <c r="BM18" i="82"/>
  <c r="R15" i="82"/>
  <c r="R17" i="82"/>
  <c r="AP17" i="82"/>
  <c r="AP15" i="82"/>
  <c r="BN13" i="83" l="1"/>
  <c r="BN12" i="83"/>
  <c r="BN14" i="83"/>
  <c r="BH12" i="83"/>
  <c r="BE33" i="83"/>
  <c r="BE40" i="83"/>
  <c r="BE35" i="83"/>
  <c r="BE38" i="83"/>
  <c r="BE37" i="83"/>
  <c r="BE36" i="83"/>
  <c r="BE34" i="83"/>
  <c r="BE39" i="83"/>
  <c r="BE41" i="83"/>
  <c r="BN17" i="83"/>
  <c r="BF23" i="84"/>
  <c r="BE18" i="83"/>
  <c r="BE32" i="83"/>
  <c r="BE24" i="82"/>
  <c r="BE31" i="82"/>
  <c r="BE32" i="82"/>
  <c r="BK19" i="83"/>
  <c r="BE30" i="83"/>
  <c r="BE31" i="83"/>
  <c r="BE18" i="82"/>
  <c r="BE20" i="83"/>
  <c r="AW17" i="83"/>
  <c r="BB17" i="83" s="1"/>
  <c r="BE25" i="83"/>
  <c r="BE20" i="82"/>
  <c r="BE19" i="83"/>
  <c r="BK18" i="83"/>
  <c r="BE27" i="83"/>
  <c r="BK18" i="82"/>
  <c r="BE21" i="82"/>
  <c r="BE27" i="82"/>
  <c r="BE23" i="82"/>
  <c r="K17" i="82"/>
  <c r="K17" i="83"/>
  <c r="BE17" i="83" s="1"/>
  <c r="BE25" i="82"/>
  <c r="BE22" i="82"/>
  <c r="BE26" i="83"/>
  <c r="BE19" i="82"/>
  <c r="BE28" i="83"/>
  <c r="BE24" i="83"/>
  <c r="BE29" i="83"/>
  <c r="BE21" i="83"/>
  <c r="BE23" i="83"/>
  <c r="BE22" i="83"/>
  <c r="BE29" i="82"/>
  <c r="BE26" i="82"/>
  <c r="BE28" i="82"/>
  <c r="BE30" i="82"/>
  <c r="AQ31" i="84"/>
  <c r="AQ28" i="84"/>
  <c r="AR27" i="84"/>
  <c r="AR21" i="84"/>
  <c r="AQ529" i="84"/>
  <c r="AQ521" i="84"/>
  <c r="AQ513" i="84"/>
  <c r="AQ505" i="84"/>
  <c r="AR509" i="84"/>
  <c r="AR508" i="84"/>
  <c r="AR495" i="84"/>
  <c r="AR487" i="84"/>
  <c r="AR479" i="84"/>
  <c r="AR522" i="84"/>
  <c r="AQ491" i="84"/>
  <c r="AQ466" i="84"/>
  <c r="AQ458" i="84"/>
  <c r="AQ488" i="84"/>
  <c r="AQ482" i="84"/>
  <c r="AQ484" i="84"/>
  <c r="AR468" i="84"/>
  <c r="AQ478" i="84"/>
  <c r="AR456" i="84"/>
  <c r="AR450" i="84"/>
  <c r="AR441" i="84"/>
  <c r="AR424" i="84"/>
  <c r="AQ430" i="84"/>
  <c r="AQ422" i="84"/>
  <c r="AQ414" i="84"/>
  <c r="AR457" i="84"/>
  <c r="AQ447" i="84"/>
  <c r="AQ446" i="84"/>
  <c r="AR419" i="84"/>
  <c r="AR397" i="84"/>
  <c r="AR389" i="84"/>
  <c r="AR381" i="84"/>
  <c r="AR373" i="84"/>
  <c r="AR407" i="84"/>
  <c r="AQ394" i="84"/>
  <c r="AQ386" i="84"/>
  <c r="AQ378" i="84"/>
  <c r="AQ370" i="84"/>
  <c r="AQ405" i="84"/>
  <c r="AR409" i="84"/>
  <c r="AR418" i="84"/>
  <c r="AR363" i="84"/>
  <c r="AR355" i="84"/>
  <c r="AR347" i="84"/>
  <c r="AR339" i="84"/>
  <c r="AR331" i="84"/>
  <c r="AQ357" i="84"/>
  <c r="AQ349" i="84"/>
  <c r="AQ341" i="84"/>
  <c r="AQ333" i="84"/>
  <c r="AQ325" i="84"/>
  <c r="AR326" i="84"/>
  <c r="AQ313" i="84"/>
  <c r="AQ305" i="84"/>
  <c r="AQ297" i="84"/>
  <c r="AQ289" i="84"/>
  <c r="AR328" i="84"/>
  <c r="AR311" i="84"/>
  <c r="AR303" i="84"/>
  <c r="AR283" i="84"/>
  <c r="AR275" i="84"/>
  <c r="AR267" i="84"/>
  <c r="AR259" i="84"/>
  <c r="AR251" i="84"/>
  <c r="AR243" i="84"/>
  <c r="AR294" i="84"/>
  <c r="AQ282" i="84"/>
  <c r="AQ274" i="84"/>
  <c r="AQ266" i="84"/>
  <c r="AR298" i="84"/>
  <c r="AQ244" i="84"/>
  <c r="AR231" i="84"/>
  <c r="AR223" i="84"/>
  <c r="AR215" i="84"/>
  <c r="AR207" i="84"/>
  <c r="AR199" i="84"/>
  <c r="AQ253" i="84"/>
  <c r="AR286" i="84"/>
  <c r="AQ238" i="84"/>
  <c r="AQ230" i="84"/>
  <c r="AQ222" i="84"/>
  <c r="AQ214" i="84"/>
  <c r="AQ528" i="84"/>
  <c r="AQ520" i="84"/>
  <c r="AQ512" i="84"/>
  <c r="AQ504" i="84"/>
  <c r="AR505" i="84"/>
  <c r="AR521" i="84"/>
  <c r="AR494" i="84"/>
  <c r="AR486" i="84"/>
  <c r="AR478" i="84"/>
  <c r="AR519" i="84"/>
  <c r="AQ483" i="84"/>
  <c r="AQ465" i="84"/>
  <c r="AQ457" i="84"/>
  <c r="AR502" i="84"/>
  <c r="AQ473" i="84"/>
  <c r="AQ476" i="84"/>
  <c r="AR463" i="84"/>
  <c r="AR464" i="84"/>
  <c r="AQ452" i="84"/>
  <c r="AQ443" i="84"/>
  <c r="AR431" i="84"/>
  <c r="AR423" i="84"/>
  <c r="AQ429" i="84"/>
  <c r="AQ421" i="84"/>
  <c r="AQ413" i="84"/>
  <c r="AQ448" i="84"/>
  <c r="AR446" i="84"/>
  <c r="AR445" i="84"/>
  <c r="AR415" i="84"/>
  <c r="AR396" i="84"/>
  <c r="AR388" i="84"/>
  <c r="AR380" i="84"/>
  <c r="AR372" i="84"/>
  <c r="AQ406" i="84"/>
  <c r="AQ393" i="84"/>
  <c r="AQ385" i="84"/>
  <c r="AQ377" i="84"/>
  <c r="AQ369" i="84"/>
  <c r="AR404" i="84"/>
  <c r="AQ404" i="84"/>
  <c r="AR414" i="84"/>
  <c r="AR362" i="84"/>
  <c r="AR354" i="84"/>
  <c r="AR346" i="84"/>
  <c r="AR338" i="84"/>
  <c r="AQ364" i="84"/>
  <c r="AQ356" i="84"/>
  <c r="AQ348" i="84"/>
  <c r="AQ340" i="84"/>
  <c r="AQ332" i="84"/>
  <c r="AQ324" i="84"/>
  <c r="AR322" i="84"/>
  <c r="AQ312" i="84"/>
  <c r="AQ304" i="84"/>
  <c r="AQ296" i="84"/>
  <c r="AQ288" i="84"/>
  <c r="AR301" i="84"/>
  <c r="AR310" i="84"/>
  <c r="AR302" i="84"/>
  <c r="AR282" i="84"/>
  <c r="AR274" i="84"/>
  <c r="AR266" i="84"/>
  <c r="AR258" i="84"/>
  <c r="AR250" i="84"/>
  <c r="AR242" i="84"/>
  <c r="AR293" i="84"/>
  <c r="AQ281" i="84"/>
  <c r="AQ273" i="84"/>
  <c r="AQ265" i="84"/>
  <c r="AR289" i="84"/>
  <c r="AR238" i="84"/>
  <c r="AR230" i="84"/>
  <c r="AR222" i="84"/>
  <c r="AR214" i="84"/>
  <c r="AR206" i="84"/>
  <c r="AQ242" i="84"/>
  <c r="AQ252" i="84"/>
  <c r="AQ246" i="84"/>
  <c r="AQ237" i="84"/>
  <c r="AQ229" i="84"/>
  <c r="AQ221" i="84"/>
  <c r="AQ213" i="84"/>
  <c r="AQ527" i="84"/>
  <c r="AQ519" i="84"/>
  <c r="AQ511" i="84"/>
  <c r="AQ503" i="84"/>
  <c r="AR527" i="84"/>
  <c r="AR501" i="84"/>
  <c r="AR493" i="84"/>
  <c r="AR485" i="84"/>
  <c r="AR477" i="84"/>
  <c r="AR515" i="84"/>
  <c r="AQ472" i="84"/>
  <c r="AQ464" i="84"/>
  <c r="AQ456" i="84"/>
  <c r="AQ494" i="84"/>
  <c r="AQ496" i="84"/>
  <c r="AQ498" i="84"/>
  <c r="AQ499" i="84"/>
  <c r="AR461" i="84"/>
  <c r="AR451" i="84"/>
  <c r="AR442" i="84"/>
  <c r="AR430" i="84"/>
  <c r="AQ449" i="84"/>
  <c r="AQ428" i="84"/>
  <c r="AQ420" i="84"/>
  <c r="AQ412" i="84"/>
  <c r="AR447" i="84"/>
  <c r="AQ439" i="84"/>
  <c r="AQ438" i="84"/>
  <c r="AR411" i="84"/>
  <c r="AR395" i="84"/>
  <c r="AR387" i="84"/>
  <c r="AR379" i="84"/>
  <c r="AR371" i="84"/>
  <c r="AR405" i="84"/>
  <c r="AQ392" i="84"/>
  <c r="AQ384" i="84"/>
  <c r="AQ376" i="84"/>
  <c r="AQ368" i="84"/>
  <c r="AQ398" i="84"/>
  <c r="AR401" i="84"/>
  <c r="AR410" i="84"/>
  <c r="AR361" i="84"/>
  <c r="AR353" i="84"/>
  <c r="AR345" i="84"/>
  <c r="AR337" i="84"/>
  <c r="AQ363" i="84"/>
  <c r="AQ355" i="84"/>
  <c r="AQ347" i="84"/>
  <c r="AQ339" i="84"/>
  <c r="AQ331" i="84"/>
  <c r="AQ323" i="84"/>
  <c r="AQ319" i="84"/>
  <c r="AQ311" i="84"/>
  <c r="AQ303" i="84"/>
  <c r="AQ295" i="84"/>
  <c r="AQ287" i="84"/>
  <c r="AR317" i="84"/>
  <c r="AR309" i="84"/>
  <c r="AR327" i="84"/>
  <c r="AR281" i="84"/>
  <c r="AR273" i="84"/>
  <c r="AR265" i="84"/>
  <c r="AR257" i="84"/>
  <c r="AR249" i="84"/>
  <c r="AR241" i="84"/>
  <c r="AR292" i="84"/>
  <c r="AQ280" i="84"/>
  <c r="AQ272" i="84"/>
  <c r="AQ264" i="84"/>
  <c r="AR299" i="84"/>
  <c r="AR237" i="84"/>
  <c r="AR229" i="84"/>
  <c r="AR221" i="84"/>
  <c r="AR213" i="84"/>
  <c r="AR205" i="84"/>
  <c r="AQ259" i="84"/>
  <c r="AQ251" i="84"/>
  <c r="AQ243" i="84"/>
  <c r="AQ236" i="84"/>
  <c r="AQ228" i="84"/>
  <c r="AQ220" i="84"/>
  <c r="AQ205" i="84"/>
  <c r="AQ526" i="84"/>
  <c r="AQ518" i="84"/>
  <c r="AQ510" i="84"/>
  <c r="AQ502" i="84"/>
  <c r="AR503" i="84"/>
  <c r="AR500" i="84"/>
  <c r="AR492" i="84"/>
  <c r="AR484" i="84"/>
  <c r="AR476" i="84"/>
  <c r="AR511" i="84"/>
  <c r="AQ471" i="84"/>
  <c r="AQ463" i="84"/>
  <c r="AQ455" i="84"/>
  <c r="AQ493" i="84"/>
  <c r="AQ487" i="84"/>
  <c r="AQ489" i="84"/>
  <c r="AQ475" i="84"/>
  <c r="AR471" i="84"/>
  <c r="AQ444" i="84"/>
  <c r="AQ435" i="84"/>
  <c r="AR429" i="84"/>
  <c r="AR448" i="84"/>
  <c r="AQ427" i="84"/>
  <c r="AQ419" i="84"/>
  <c r="AQ411" i="84"/>
  <c r="AQ440" i="84"/>
  <c r="AR438" i="84"/>
  <c r="AR437" i="84"/>
  <c r="AR400" i="84"/>
  <c r="AR394" i="84"/>
  <c r="AR386" i="84"/>
  <c r="AR378" i="84"/>
  <c r="AR370" i="84"/>
  <c r="AQ402" i="84"/>
  <c r="AQ391" i="84"/>
  <c r="AQ383" i="84"/>
  <c r="AQ375" i="84"/>
  <c r="AQ367" i="84"/>
  <c r="AR444" i="84"/>
  <c r="AQ401" i="84"/>
  <c r="AR403" i="84"/>
  <c r="AR360" i="84"/>
  <c r="AR352" i="84"/>
  <c r="AR344" i="84"/>
  <c r="AR336" i="84"/>
  <c r="AQ362" i="84"/>
  <c r="AQ354" i="84"/>
  <c r="AQ346" i="84"/>
  <c r="AQ338" i="84"/>
  <c r="AQ330" i="84"/>
  <c r="AQ322" i="84"/>
  <c r="AQ318" i="84"/>
  <c r="AQ310" i="84"/>
  <c r="AQ302" i="84"/>
  <c r="AQ294" i="84"/>
  <c r="AQ286" i="84"/>
  <c r="AR316" i="84"/>
  <c r="AR308" i="84"/>
  <c r="AR321" i="84"/>
  <c r="AR280" i="84"/>
  <c r="AR272" i="84"/>
  <c r="AR264" i="84"/>
  <c r="AR256" i="84"/>
  <c r="AR248" i="84"/>
  <c r="AR240" i="84"/>
  <c r="AR291" i="84"/>
  <c r="AQ279" i="84"/>
  <c r="AQ271" i="84"/>
  <c r="AQ263" i="84"/>
  <c r="AR325" i="84"/>
  <c r="AR236" i="84"/>
  <c r="AR228" i="84"/>
  <c r="AR220" i="84"/>
  <c r="AR212" i="84"/>
  <c r="AR204" i="84"/>
  <c r="AQ258" i="84"/>
  <c r="AQ250" i="84"/>
  <c r="AQ207" i="84"/>
  <c r="AQ235" i="84"/>
  <c r="AQ227" i="84"/>
  <c r="AQ219" i="84"/>
  <c r="AQ525" i="84"/>
  <c r="AQ517" i="84"/>
  <c r="AQ509" i="84"/>
  <c r="AR525" i="84"/>
  <c r="AR528" i="84"/>
  <c r="AR499" i="84"/>
  <c r="AR491" i="84"/>
  <c r="AR483" i="84"/>
  <c r="AR475" i="84"/>
  <c r="AR507" i="84"/>
  <c r="AQ470" i="84"/>
  <c r="AQ462" i="84"/>
  <c r="AQ454" i="84"/>
  <c r="AQ485" i="84"/>
  <c r="AQ479" i="84"/>
  <c r="AQ481" i="84"/>
  <c r="AR466" i="84"/>
  <c r="AR469" i="84"/>
  <c r="AR443" i="84"/>
  <c r="AR460" i="84"/>
  <c r="AR428" i="84"/>
  <c r="AQ441" i="84"/>
  <c r="AQ426" i="84"/>
  <c r="AQ418" i="84"/>
  <c r="AQ410" i="84"/>
  <c r="AR439" i="84"/>
  <c r="AQ432" i="84"/>
  <c r="AR433" i="84"/>
  <c r="AR455" i="84"/>
  <c r="AR393" i="84"/>
  <c r="AR385" i="84"/>
  <c r="AR377" i="84"/>
  <c r="AR369" i="84"/>
  <c r="AR398" i="84"/>
  <c r="AQ390" i="84"/>
  <c r="AQ382" i="84"/>
  <c r="AQ374" i="84"/>
  <c r="AQ366" i="84"/>
  <c r="AQ433" i="84"/>
  <c r="AR399" i="84"/>
  <c r="AQ399" i="84"/>
  <c r="AR359" i="84"/>
  <c r="AR351" i="84"/>
  <c r="AR343" i="84"/>
  <c r="AR335" i="84"/>
  <c r="AQ361" i="84"/>
  <c r="AQ353" i="84"/>
  <c r="AQ345" i="84"/>
  <c r="AQ337" i="84"/>
  <c r="AQ329" i="84"/>
  <c r="AQ321" i="84"/>
  <c r="AQ317" i="84"/>
  <c r="AQ309" i="84"/>
  <c r="AQ301" i="84"/>
  <c r="AQ293" i="84"/>
  <c r="AR324" i="84"/>
  <c r="AR315" i="84"/>
  <c r="AR307" i="84"/>
  <c r="AR318" i="84"/>
  <c r="AR279" i="84"/>
  <c r="AR271" i="84"/>
  <c r="AR263" i="84"/>
  <c r="AR255" i="84"/>
  <c r="AR247" i="84"/>
  <c r="AR239" i="84"/>
  <c r="AR290" i="84"/>
  <c r="AQ278" i="84"/>
  <c r="AQ270" i="84"/>
  <c r="AQ262" i="84"/>
  <c r="AR300" i="84"/>
  <c r="AR235" i="84"/>
  <c r="AR227" i="84"/>
  <c r="AR219" i="84"/>
  <c r="AR211" i="84"/>
  <c r="AR203" i="84"/>
  <c r="AQ257" i="84"/>
  <c r="AQ249" i="84"/>
  <c r="AQ199" i="84"/>
  <c r="AQ234" i="84"/>
  <c r="AQ226" i="84"/>
  <c r="AQ218" i="84"/>
  <c r="AQ239" i="84"/>
  <c r="AR19" i="84"/>
  <c r="AR529" i="84"/>
  <c r="AQ522" i="84"/>
  <c r="AQ514" i="84"/>
  <c r="AQ506" i="84"/>
  <c r="AR513" i="84"/>
  <c r="AR512" i="84"/>
  <c r="AR496" i="84"/>
  <c r="AR488" i="84"/>
  <c r="AR480" i="84"/>
  <c r="AR472" i="84"/>
  <c r="AQ500" i="84"/>
  <c r="AQ467" i="84"/>
  <c r="AQ459" i="84"/>
  <c r="AQ501" i="84"/>
  <c r="AQ490" i="84"/>
  <c r="AQ492" i="84"/>
  <c r="AR470" i="84"/>
  <c r="AQ486" i="84"/>
  <c r="AR465" i="84"/>
  <c r="AQ451" i="84"/>
  <c r="AQ442" i="84"/>
  <c r="AR425" i="84"/>
  <c r="AQ431" i="84"/>
  <c r="AQ423" i="84"/>
  <c r="AQ415" i="84"/>
  <c r="AQ407" i="84"/>
  <c r="AR458" i="84"/>
  <c r="AR453" i="84"/>
  <c r="AR436" i="84"/>
  <c r="AQ400" i="84"/>
  <c r="AR390" i="84"/>
  <c r="AR382" i="84"/>
  <c r="AR374" i="84"/>
  <c r="AR412" i="84"/>
  <c r="AQ395" i="84"/>
  <c r="AQ387" i="84"/>
  <c r="AQ379" i="84"/>
  <c r="AQ371" i="84"/>
  <c r="AR408" i="84"/>
  <c r="AR413" i="84"/>
  <c r="AR422" i="84"/>
  <c r="AR364" i="84"/>
  <c r="AR356" i="84"/>
  <c r="AR348" i="84"/>
  <c r="AR340" i="84"/>
  <c r="AR332" i="84"/>
  <c r="AQ358" i="84"/>
  <c r="AQ350" i="84"/>
  <c r="AQ342" i="84"/>
  <c r="AQ334" i="84"/>
  <c r="AQ326" i="84"/>
  <c r="AR368" i="84"/>
  <c r="AQ314" i="84"/>
  <c r="AQ306" i="84"/>
  <c r="AQ298" i="84"/>
  <c r="AQ290" i="84"/>
  <c r="AR329" i="84"/>
  <c r="AR312" i="84"/>
  <c r="AR304" i="84"/>
  <c r="AR284" i="84"/>
  <c r="AR276" i="84"/>
  <c r="AR268" i="84"/>
  <c r="AR260" i="84"/>
  <c r="AR252" i="84"/>
  <c r="AR244" i="84"/>
  <c r="AR295" i="84"/>
  <c r="AQ283" i="84"/>
  <c r="AQ275" i="84"/>
  <c r="AQ267" i="84"/>
  <c r="AR323" i="84"/>
  <c r="AR287" i="84"/>
  <c r="AR232" i="84"/>
  <c r="AR224" i="84"/>
  <c r="AR216" i="84"/>
  <c r="AR208" i="84"/>
  <c r="AR200" i="84"/>
  <c r="AQ254" i="84"/>
  <c r="AQ247" i="84"/>
  <c r="AR198" i="84"/>
  <c r="AQ231" i="84"/>
  <c r="AQ223" i="84"/>
  <c r="AQ215" i="84"/>
  <c r="AQ515" i="84"/>
  <c r="AR497" i="84"/>
  <c r="AR523" i="84"/>
  <c r="AQ495" i="84"/>
  <c r="AR462" i="84"/>
  <c r="AR434" i="84"/>
  <c r="AR432" i="84"/>
  <c r="AR391" i="84"/>
  <c r="AQ396" i="84"/>
  <c r="AQ445" i="84"/>
  <c r="AR357" i="84"/>
  <c r="AQ359" i="84"/>
  <c r="AQ327" i="84"/>
  <c r="AQ299" i="84"/>
  <c r="AR305" i="84"/>
  <c r="AR261" i="84"/>
  <c r="AQ284" i="84"/>
  <c r="AQ245" i="84"/>
  <c r="AR209" i="84"/>
  <c r="AQ206" i="84"/>
  <c r="AQ212" i="84"/>
  <c r="AR197" i="84"/>
  <c r="AR189" i="84"/>
  <c r="AR181" i="84"/>
  <c r="AR173" i="84"/>
  <c r="AQ196" i="84"/>
  <c r="AQ188" i="84"/>
  <c r="AQ180" i="84"/>
  <c r="AQ172" i="84"/>
  <c r="AQ164" i="84"/>
  <c r="AQ156" i="84"/>
  <c r="AQ148" i="84"/>
  <c r="AQ140" i="84"/>
  <c r="AR150" i="84"/>
  <c r="AR127" i="84"/>
  <c r="AR119" i="84"/>
  <c r="AR147" i="84"/>
  <c r="AQ127" i="84"/>
  <c r="AQ119" i="84"/>
  <c r="AQ111" i="84"/>
  <c r="AQ103" i="84"/>
  <c r="AQ95" i="84"/>
  <c r="AQ87" i="84"/>
  <c r="AQ79" i="84"/>
  <c r="AQ71" i="84"/>
  <c r="AR141" i="84"/>
  <c r="AR156" i="84"/>
  <c r="AR162" i="84"/>
  <c r="AR20" i="84"/>
  <c r="AR36" i="84"/>
  <c r="AR24" i="84"/>
  <c r="AQ33" i="84"/>
  <c r="AQ43" i="84"/>
  <c r="AQ51" i="84"/>
  <c r="AQ59" i="84"/>
  <c r="AQ66" i="84"/>
  <c r="AR40" i="84"/>
  <c r="AR44" i="84"/>
  <c r="AR48" i="84"/>
  <c r="AR52" i="84"/>
  <c r="AR56" i="84"/>
  <c r="AR60" i="84"/>
  <c r="AR64" i="84"/>
  <c r="AQ19" i="84"/>
  <c r="AR76" i="84"/>
  <c r="AR84" i="84"/>
  <c r="AR92" i="84"/>
  <c r="AR100" i="84"/>
  <c r="AR108" i="84"/>
  <c r="AR28" i="84"/>
  <c r="AR38" i="84"/>
  <c r="AR392" i="84"/>
  <c r="AR190" i="84"/>
  <c r="AQ149" i="84"/>
  <c r="AQ120" i="84"/>
  <c r="AQ88" i="84"/>
  <c r="AQ508" i="84"/>
  <c r="AR490" i="84"/>
  <c r="AQ469" i="84"/>
  <c r="AR506" i="84"/>
  <c r="AQ436" i="84"/>
  <c r="AQ425" i="84"/>
  <c r="AR459" i="84"/>
  <c r="AR384" i="84"/>
  <c r="AQ389" i="84"/>
  <c r="AR421" i="84"/>
  <c r="AR350" i="84"/>
  <c r="AQ352" i="84"/>
  <c r="AQ320" i="84"/>
  <c r="AQ292" i="84"/>
  <c r="AR319" i="84"/>
  <c r="AR254" i="84"/>
  <c r="AQ277" i="84"/>
  <c r="AR234" i="84"/>
  <c r="AR202" i="84"/>
  <c r="AQ233" i="84"/>
  <c r="AQ204" i="84"/>
  <c r="AR196" i="84"/>
  <c r="AR188" i="84"/>
  <c r="AR180" i="84"/>
  <c r="AR172" i="84"/>
  <c r="AQ195" i="84"/>
  <c r="AQ187" i="84"/>
  <c r="AQ179" i="84"/>
  <c r="AQ171" i="84"/>
  <c r="AQ163" i="84"/>
  <c r="AQ155" i="84"/>
  <c r="AQ147" i="84"/>
  <c r="AQ139" i="84"/>
  <c r="AR142" i="84"/>
  <c r="AR126" i="84"/>
  <c r="AR118" i="84"/>
  <c r="AR139" i="84"/>
  <c r="AQ126" i="84"/>
  <c r="AQ118" i="84"/>
  <c r="AQ110" i="84"/>
  <c r="AQ102" i="84"/>
  <c r="AQ94" i="84"/>
  <c r="AQ86" i="84"/>
  <c r="AQ78" i="84"/>
  <c r="AR159" i="84"/>
  <c r="AR157" i="84"/>
  <c r="AR148" i="84"/>
  <c r="AR153" i="84"/>
  <c r="AQ22" i="84"/>
  <c r="AR22" i="84"/>
  <c r="AQ44" i="84"/>
  <c r="AQ52" i="84"/>
  <c r="AQ60" i="84"/>
  <c r="AQ21" i="84"/>
  <c r="AR70" i="84"/>
  <c r="AR77" i="84"/>
  <c r="AR85" i="84"/>
  <c r="AR93" i="84"/>
  <c r="AR101" i="84"/>
  <c r="AR109" i="84"/>
  <c r="AR34" i="84"/>
  <c r="AQ20" i="84"/>
  <c r="AR65" i="84"/>
  <c r="AR358" i="84"/>
  <c r="AQ128" i="84"/>
  <c r="AQ507" i="84"/>
  <c r="AR489" i="84"/>
  <c r="AQ468" i="84"/>
  <c r="AQ497" i="84"/>
  <c r="AR435" i="84"/>
  <c r="AQ424" i="84"/>
  <c r="AR454" i="84"/>
  <c r="AR383" i="84"/>
  <c r="AQ388" i="84"/>
  <c r="AR417" i="84"/>
  <c r="AR349" i="84"/>
  <c r="AQ351" i="84"/>
  <c r="AR365" i="84"/>
  <c r="AQ291" i="84"/>
  <c r="AR285" i="84"/>
  <c r="AR253" i="84"/>
  <c r="AQ276" i="84"/>
  <c r="AR233" i="84"/>
  <c r="AR201" i="84"/>
  <c r="AQ232" i="84"/>
  <c r="AQ211" i="84"/>
  <c r="AR195" i="84"/>
  <c r="AR187" i="84"/>
  <c r="AR179" i="84"/>
  <c r="AR171" i="84"/>
  <c r="AQ194" i="84"/>
  <c r="AQ186" i="84"/>
  <c r="AQ178" i="84"/>
  <c r="AQ170" i="84"/>
  <c r="AQ162" i="84"/>
  <c r="AQ154" i="84"/>
  <c r="AQ146" i="84"/>
  <c r="AQ138" i="84"/>
  <c r="AR133" i="84"/>
  <c r="AR125" i="84"/>
  <c r="AR117" i="84"/>
  <c r="AQ133" i="84"/>
  <c r="AQ125" i="84"/>
  <c r="AQ117" i="84"/>
  <c r="AQ109" i="84"/>
  <c r="AQ101" i="84"/>
  <c r="AQ93" i="84"/>
  <c r="AQ85" i="84"/>
  <c r="AQ77" i="84"/>
  <c r="AR152" i="84"/>
  <c r="AR154" i="84"/>
  <c r="AR140" i="84"/>
  <c r="AR145" i="84"/>
  <c r="AR29" i="84"/>
  <c r="AQ39" i="84"/>
  <c r="AR39" i="84"/>
  <c r="AR26" i="84"/>
  <c r="AQ45" i="84"/>
  <c r="AQ53" i="84"/>
  <c r="AQ61" i="84"/>
  <c r="AR41" i="84"/>
  <c r="AR45" i="84"/>
  <c r="AR49" i="84"/>
  <c r="AR53" i="84"/>
  <c r="AR57" i="84"/>
  <c r="AR61" i="84"/>
  <c r="AR37" i="84"/>
  <c r="AR78" i="84"/>
  <c r="AR86" i="84"/>
  <c r="AR94" i="84"/>
  <c r="AR102" i="84"/>
  <c r="AR110" i="84"/>
  <c r="AR31" i="84"/>
  <c r="AQ35" i="84"/>
  <c r="AQ397" i="84"/>
  <c r="AR306" i="84"/>
  <c r="AQ198" i="84"/>
  <c r="AQ189" i="84"/>
  <c r="AQ141" i="84"/>
  <c r="AQ112" i="84"/>
  <c r="AR149" i="84"/>
  <c r="AR526" i="84"/>
  <c r="AR482" i="84"/>
  <c r="AQ461" i="84"/>
  <c r="AQ474" i="84"/>
  <c r="AQ450" i="84"/>
  <c r="AQ417" i="84"/>
  <c r="AR452" i="84"/>
  <c r="AR376" i="84"/>
  <c r="AQ381" i="84"/>
  <c r="AQ453" i="84"/>
  <c r="AR342" i="84"/>
  <c r="AQ344" i="84"/>
  <c r="AQ316" i="84"/>
  <c r="AR320" i="84"/>
  <c r="AR278" i="84"/>
  <c r="AR246" i="84"/>
  <c r="AQ269" i="84"/>
  <c r="AR226" i="84"/>
  <c r="AQ256" i="84"/>
  <c r="AQ225" i="84"/>
  <c r="AQ203" i="84"/>
  <c r="AR194" i="84"/>
  <c r="AR186" i="84"/>
  <c r="AR178" i="84"/>
  <c r="AR170" i="84"/>
  <c r="AQ193" i="84"/>
  <c r="AQ185" i="84"/>
  <c r="AQ177" i="84"/>
  <c r="AQ169" i="84"/>
  <c r="AQ161" i="84"/>
  <c r="AQ153" i="84"/>
  <c r="AQ145" i="84"/>
  <c r="AQ137" i="84"/>
  <c r="AR132" i="84"/>
  <c r="AR124" i="84"/>
  <c r="AR116" i="84"/>
  <c r="AQ132" i="84"/>
  <c r="AQ124" i="84"/>
  <c r="AQ116" i="84"/>
  <c r="AQ108" i="84"/>
  <c r="AQ100" i="84"/>
  <c r="AQ92" i="84"/>
  <c r="AQ84" i="84"/>
  <c r="AQ76" i="84"/>
  <c r="AR144" i="84"/>
  <c r="AR146" i="84"/>
  <c r="AR167" i="84"/>
  <c r="AR137" i="84"/>
  <c r="AQ24" i="84"/>
  <c r="AQ46" i="84"/>
  <c r="AQ54" i="84"/>
  <c r="AQ62" i="84"/>
  <c r="AQ68" i="84"/>
  <c r="AR66" i="84"/>
  <c r="AR71" i="84"/>
  <c r="AR79" i="84"/>
  <c r="AR87" i="84"/>
  <c r="AR95" i="84"/>
  <c r="AR103" i="84"/>
  <c r="AR111" i="84"/>
  <c r="AQ23" i="84"/>
  <c r="AW33" i="84"/>
  <c r="AQ38" i="84"/>
  <c r="AR67" i="84"/>
  <c r="AR467" i="84"/>
  <c r="AR288" i="84"/>
  <c r="AQ181" i="84"/>
  <c r="AR120" i="84"/>
  <c r="AQ80" i="84"/>
  <c r="AR517" i="84"/>
  <c r="AR481" i="84"/>
  <c r="AQ460" i="84"/>
  <c r="AQ480" i="84"/>
  <c r="AR449" i="84"/>
  <c r="AQ416" i="84"/>
  <c r="AQ403" i="84"/>
  <c r="AR375" i="84"/>
  <c r="AQ380" i="84"/>
  <c r="AQ437" i="84"/>
  <c r="AR341" i="84"/>
  <c r="AQ343" i="84"/>
  <c r="AQ315" i="84"/>
  <c r="AR330" i="84"/>
  <c r="AR277" i="84"/>
  <c r="AR245" i="84"/>
  <c r="AQ268" i="84"/>
  <c r="AR225" i="84"/>
  <c r="AQ255" i="84"/>
  <c r="AQ224" i="84"/>
  <c r="AQ210" i="84"/>
  <c r="AR193" i="84"/>
  <c r="AR185" i="84"/>
  <c r="AR177" i="84"/>
  <c r="AR169" i="84"/>
  <c r="AQ192" i="84"/>
  <c r="AQ184" i="84"/>
  <c r="AQ176" i="84"/>
  <c r="AQ168" i="84"/>
  <c r="AQ160" i="84"/>
  <c r="AQ152" i="84"/>
  <c r="AQ144" i="84"/>
  <c r="AQ136" i="84"/>
  <c r="AR131" i="84"/>
  <c r="AR123" i="84"/>
  <c r="AR115" i="84"/>
  <c r="AQ131" i="84"/>
  <c r="AQ123" i="84"/>
  <c r="AQ115" i="84"/>
  <c r="AQ107" i="84"/>
  <c r="AQ99" i="84"/>
  <c r="AQ91" i="84"/>
  <c r="AQ83" i="84"/>
  <c r="AQ75" i="84"/>
  <c r="AR136" i="84"/>
  <c r="AR138" i="84"/>
  <c r="AR166" i="84"/>
  <c r="AR32" i="84"/>
  <c r="AR18" i="84"/>
  <c r="AQ47" i="84"/>
  <c r="AQ55" i="84"/>
  <c r="AQ63" i="84"/>
  <c r="AR33" i="84"/>
  <c r="AR42" i="84"/>
  <c r="AR46" i="84"/>
  <c r="AR50" i="84"/>
  <c r="AR54" i="84"/>
  <c r="AR58" i="84"/>
  <c r="AR62" i="84"/>
  <c r="AR72" i="84"/>
  <c r="AR80" i="84"/>
  <c r="AR88" i="84"/>
  <c r="AR96" i="84"/>
  <c r="AR104" i="84"/>
  <c r="AR112" i="84"/>
  <c r="AQ17" i="84"/>
  <c r="AQ34" i="84"/>
  <c r="AQ65" i="84"/>
  <c r="AQ29" i="84"/>
  <c r="AQ516" i="84"/>
  <c r="AR504" i="84"/>
  <c r="AR440" i="84"/>
  <c r="AQ360" i="84"/>
  <c r="AQ285" i="84"/>
  <c r="AQ241" i="84"/>
  <c r="AR182" i="84"/>
  <c r="AQ173" i="84"/>
  <c r="AR161" i="84"/>
  <c r="AQ104" i="84"/>
  <c r="AR135" i="84"/>
  <c r="AQ524" i="84"/>
  <c r="AR520" i="84"/>
  <c r="AR474" i="84"/>
  <c r="AR524" i="84"/>
  <c r="AQ477" i="84"/>
  <c r="AR427" i="84"/>
  <c r="AQ409" i="84"/>
  <c r="AR406" i="84"/>
  <c r="AR420" i="84"/>
  <c r="AQ373" i="84"/>
  <c r="AR367" i="84"/>
  <c r="AR334" i="84"/>
  <c r="AQ336" i="84"/>
  <c r="AQ308" i="84"/>
  <c r="AR314" i="84"/>
  <c r="AR270" i="84"/>
  <c r="AR297" i="84"/>
  <c r="AQ261" i="84"/>
  <c r="AR218" i="84"/>
  <c r="AQ248" i="84"/>
  <c r="AQ217" i="84"/>
  <c r="AQ202" i="84"/>
  <c r="AR192" i="84"/>
  <c r="AR184" i="84"/>
  <c r="AR176" i="84"/>
  <c r="AQ208" i="84"/>
  <c r="AQ191" i="84"/>
  <c r="AQ183" i="84"/>
  <c r="AQ175" i="84"/>
  <c r="AQ167" i="84"/>
  <c r="AQ159" i="84"/>
  <c r="AQ151" i="84"/>
  <c r="AQ143" i="84"/>
  <c r="AQ135" i="84"/>
  <c r="AR130" i="84"/>
  <c r="AR122" i="84"/>
  <c r="AR168" i="84"/>
  <c r="AQ130" i="84"/>
  <c r="AQ122" i="84"/>
  <c r="AQ114" i="84"/>
  <c r="AQ106" i="84"/>
  <c r="AQ98" i="84"/>
  <c r="AQ90" i="84"/>
  <c r="AQ82" i="84"/>
  <c r="AQ74" i="84"/>
  <c r="AR134" i="84"/>
  <c r="AR151" i="84"/>
  <c r="AR165" i="84"/>
  <c r="AQ18" i="84"/>
  <c r="AQ26" i="84"/>
  <c r="AQ40" i="84"/>
  <c r="AQ48" i="84"/>
  <c r="AQ56" i="84"/>
  <c r="AQ64" i="84"/>
  <c r="AR73" i="84"/>
  <c r="AR81" i="84"/>
  <c r="AR89" i="84"/>
  <c r="AR97" i="84"/>
  <c r="AR105" i="84"/>
  <c r="AR113" i="84"/>
  <c r="AQ25" i="84"/>
  <c r="AR23" i="84"/>
  <c r="AQ67" i="84"/>
  <c r="AQ32" i="84"/>
  <c r="AR69" i="84"/>
  <c r="AQ434" i="84"/>
  <c r="AQ300" i="84"/>
  <c r="AR210" i="84"/>
  <c r="AR174" i="84"/>
  <c r="AQ165" i="84"/>
  <c r="AR128" i="84"/>
  <c r="AQ96" i="84"/>
  <c r="AR163" i="84"/>
  <c r="AQ30" i="84"/>
  <c r="AQ523" i="84"/>
  <c r="AR516" i="84"/>
  <c r="AR473" i="84"/>
  <c r="AR514" i="84"/>
  <c r="AR510" i="84"/>
  <c r="AR426" i="84"/>
  <c r="AQ408" i="84"/>
  <c r="AR402" i="84"/>
  <c r="AR416" i="84"/>
  <c r="AQ372" i="84"/>
  <c r="AR366" i="84"/>
  <c r="AR333" i="84"/>
  <c r="AQ335" i="84"/>
  <c r="AQ307" i="84"/>
  <c r="AR313" i="84"/>
  <c r="AR269" i="84"/>
  <c r="AR296" i="84"/>
  <c r="AQ260" i="84"/>
  <c r="AR217" i="84"/>
  <c r="AQ240" i="84"/>
  <c r="AQ216" i="84"/>
  <c r="AQ209" i="84"/>
  <c r="AR191" i="84"/>
  <c r="AR183" i="84"/>
  <c r="AR175" i="84"/>
  <c r="AQ200" i="84"/>
  <c r="AQ190" i="84"/>
  <c r="AQ182" i="84"/>
  <c r="AQ174" i="84"/>
  <c r="AQ166" i="84"/>
  <c r="AQ158" i="84"/>
  <c r="AQ150" i="84"/>
  <c r="AQ142" i="84"/>
  <c r="AQ134" i="84"/>
  <c r="AR129" i="84"/>
  <c r="AR121" i="84"/>
  <c r="AR160" i="84"/>
  <c r="AQ129" i="84"/>
  <c r="AQ121" i="84"/>
  <c r="AQ113" i="84"/>
  <c r="AQ105" i="84"/>
  <c r="AQ97" i="84"/>
  <c r="AQ89" i="84"/>
  <c r="AQ81" i="84"/>
  <c r="AQ73" i="84"/>
  <c r="AR158" i="84"/>
  <c r="AR143" i="84"/>
  <c r="AR164" i="84"/>
  <c r="AQ41" i="84"/>
  <c r="AQ49" i="84"/>
  <c r="AQ57" i="84"/>
  <c r="AQ70" i="84"/>
  <c r="AQ37" i="84"/>
  <c r="AR43" i="84"/>
  <c r="AR47" i="84"/>
  <c r="AR51" i="84"/>
  <c r="AR55" i="84"/>
  <c r="AR59" i="84"/>
  <c r="AR63" i="84"/>
  <c r="AR68" i="84"/>
  <c r="AR74" i="84"/>
  <c r="AR82" i="84"/>
  <c r="AR90" i="84"/>
  <c r="AR98" i="84"/>
  <c r="AR106" i="84"/>
  <c r="AR114" i="84"/>
  <c r="AR17" i="84"/>
  <c r="AQ69" i="84"/>
  <c r="AR35" i="84"/>
  <c r="AR498" i="84"/>
  <c r="AR518" i="84"/>
  <c r="AQ365" i="84"/>
  <c r="AQ328" i="84"/>
  <c r="AR262" i="84"/>
  <c r="AQ201" i="84"/>
  <c r="AQ197" i="84"/>
  <c r="AQ157" i="84"/>
  <c r="AR155" i="84"/>
  <c r="AQ72" i="84"/>
  <c r="AR107" i="84"/>
  <c r="AQ27" i="84"/>
  <c r="AQ50" i="84"/>
  <c r="AR25" i="84"/>
  <c r="AR83" i="84"/>
  <c r="AQ42" i="84"/>
  <c r="AR75" i="84"/>
  <c r="AQ58" i="84"/>
  <c r="AR91" i="84"/>
  <c r="AQ36" i="84"/>
  <c r="AR30" i="84"/>
  <c r="AR99" i="84"/>
  <c r="BI17" i="84"/>
  <c r="BO17" i="84"/>
  <c r="Y15" i="83"/>
  <c r="R17" i="83"/>
  <c r="BF17" i="84"/>
  <c r="BL17" i="84"/>
  <c r="T529" i="84"/>
  <c r="T528" i="84"/>
  <c r="T527" i="84"/>
  <c r="T526" i="84"/>
  <c r="T525" i="84"/>
  <c r="T524" i="84"/>
  <c r="T523" i="84"/>
  <c r="T522" i="84"/>
  <c r="T521" i="84"/>
  <c r="T520" i="84"/>
  <c r="T519" i="84"/>
  <c r="T518" i="84"/>
  <c r="T517" i="84"/>
  <c r="T516" i="84"/>
  <c r="T515" i="84"/>
  <c r="T514" i="84"/>
  <c r="T513" i="84"/>
  <c r="T512" i="84"/>
  <c r="T511" i="84"/>
  <c r="T510" i="84"/>
  <c r="T509" i="84"/>
  <c r="T508" i="84"/>
  <c r="T507" i="84"/>
  <c r="T506" i="84"/>
  <c r="T505" i="84"/>
  <c r="T504" i="84"/>
  <c r="T503" i="84"/>
  <c r="T502" i="84"/>
  <c r="S529" i="84"/>
  <c r="S528" i="84"/>
  <c r="S527" i="84"/>
  <c r="S526" i="84"/>
  <c r="S525" i="84"/>
  <c r="S524" i="84"/>
  <c r="S523" i="84"/>
  <c r="S522" i="84"/>
  <c r="S521" i="84"/>
  <c r="S520" i="84"/>
  <c r="S519" i="84"/>
  <c r="S518" i="84"/>
  <c r="S517" i="84"/>
  <c r="S516" i="84"/>
  <c r="S515" i="84"/>
  <c r="S514" i="84"/>
  <c r="S513" i="84"/>
  <c r="S512" i="84"/>
  <c r="S511" i="84"/>
  <c r="S510" i="84"/>
  <c r="S509" i="84"/>
  <c r="S508" i="84"/>
  <c r="S507" i="84"/>
  <c r="S506" i="84"/>
  <c r="S505" i="84"/>
  <c r="S503" i="84"/>
  <c r="S504" i="84"/>
  <c r="S501" i="84"/>
  <c r="S500" i="84"/>
  <c r="S499" i="84"/>
  <c r="S498" i="84"/>
  <c r="S497" i="84"/>
  <c r="S496" i="84"/>
  <c r="S495" i="84"/>
  <c r="S494" i="84"/>
  <c r="S493" i="84"/>
  <c r="S492" i="84"/>
  <c r="S491" i="84"/>
  <c r="S490" i="84"/>
  <c r="S489" i="84"/>
  <c r="S488" i="84"/>
  <c r="S487" i="84"/>
  <c r="S486" i="84"/>
  <c r="S485" i="84"/>
  <c r="S484" i="84"/>
  <c r="S483" i="84"/>
  <c r="S482" i="84"/>
  <c r="S481" i="84"/>
  <c r="S480" i="84"/>
  <c r="S479" i="84"/>
  <c r="S478" i="84"/>
  <c r="S477" i="84"/>
  <c r="S476" i="84"/>
  <c r="S475" i="84"/>
  <c r="S474" i="84"/>
  <c r="S473" i="84"/>
  <c r="S502" i="84"/>
  <c r="T495" i="84"/>
  <c r="T488" i="84"/>
  <c r="T480" i="84"/>
  <c r="T472" i="84"/>
  <c r="T471" i="84"/>
  <c r="T470" i="84"/>
  <c r="T469" i="84"/>
  <c r="T468" i="84"/>
  <c r="T467" i="84"/>
  <c r="T466" i="84"/>
  <c r="T465" i="84"/>
  <c r="T464" i="84"/>
  <c r="T463" i="84"/>
  <c r="T462" i="84"/>
  <c r="T461" i="84"/>
  <c r="T460" i="84"/>
  <c r="T459" i="84"/>
  <c r="T458" i="84"/>
  <c r="T457" i="84"/>
  <c r="T456" i="84"/>
  <c r="T455" i="84"/>
  <c r="T454" i="84"/>
  <c r="T496" i="84"/>
  <c r="T493" i="84"/>
  <c r="T485" i="84"/>
  <c r="T497" i="84"/>
  <c r="T490" i="84"/>
  <c r="T498" i="84"/>
  <c r="T487" i="84"/>
  <c r="T479" i="84"/>
  <c r="T473" i="84"/>
  <c r="T499" i="84"/>
  <c r="T492" i="84"/>
  <c r="T484" i="84"/>
  <c r="T476" i="84"/>
  <c r="T500" i="84"/>
  <c r="T489" i="84"/>
  <c r="T481" i="84"/>
  <c r="T501" i="84"/>
  <c r="T486" i="84"/>
  <c r="T478" i="84"/>
  <c r="T474" i="84"/>
  <c r="S464" i="84"/>
  <c r="S471" i="84"/>
  <c r="S469" i="84"/>
  <c r="S467" i="84"/>
  <c r="T491" i="84"/>
  <c r="T482" i="84"/>
  <c r="S465" i="84"/>
  <c r="S462" i="84"/>
  <c r="S457" i="84"/>
  <c r="T494" i="84"/>
  <c r="S472" i="84"/>
  <c r="S470" i="84"/>
  <c r="S468" i="84"/>
  <c r="S463" i="84"/>
  <c r="S456" i="84"/>
  <c r="T483" i="84"/>
  <c r="T475" i="84"/>
  <c r="S466" i="84"/>
  <c r="S450" i="84"/>
  <c r="T449" i="84"/>
  <c r="S442" i="84"/>
  <c r="T441" i="84"/>
  <c r="S435" i="84"/>
  <c r="S449" i="84"/>
  <c r="T448" i="84"/>
  <c r="S441" i="84"/>
  <c r="T440" i="84"/>
  <c r="S448" i="84"/>
  <c r="T447" i="84"/>
  <c r="S440" i="84"/>
  <c r="T439" i="84"/>
  <c r="T434" i="84"/>
  <c r="T477" i="84"/>
  <c r="S461" i="84"/>
  <c r="S459" i="84"/>
  <c r="S458" i="84"/>
  <c r="S447" i="84"/>
  <c r="T446" i="84"/>
  <c r="S439" i="84"/>
  <c r="T438" i="84"/>
  <c r="S434" i="84"/>
  <c r="T431" i="84"/>
  <c r="T430" i="84"/>
  <c r="T429" i="84"/>
  <c r="T428" i="84"/>
  <c r="T427" i="84"/>
  <c r="T426" i="84"/>
  <c r="T425" i="84"/>
  <c r="T424" i="84"/>
  <c r="T423" i="84"/>
  <c r="T422" i="84"/>
  <c r="T421" i="84"/>
  <c r="T420" i="84"/>
  <c r="T419" i="84"/>
  <c r="T418" i="84"/>
  <c r="T417" i="84"/>
  <c r="T416" i="84"/>
  <c r="T415" i="84"/>
  <c r="T414" i="84"/>
  <c r="T413" i="84"/>
  <c r="T412" i="84"/>
  <c r="T411" i="84"/>
  <c r="T410" i="84"/>
  <c r="T409" i="84"/>
  <c r="T408" i="84"/>
  <c r="T407" i="84"/>
  <c r="S455" i="84"/>
  <c r="S454" i="84"/>
  <c r="T453" i="84"/>
  <c r="S446" i="84"/>
  <c r="T445" i="84"/>
  <c r="S438" i="84"/>
  <c r="T437" i="84"/>
  <c r="T432" i="84"/>
  <c r="S431" i="84"/>
  <c r="S430" i="84"/>
  <c r="S429" i="84"/>
  <c r="S428" i="84"/>
  <c r="S427" i="84"/>
  <c r="S426" i="84"/>
  <c r="S425" i="84"/>
  <c r="S424" i="84"/>
  <c r="S423" i="84"/>
  <c r="S422" i="84"/>
  <c r="S421" i="84"/>
  <c r="S420" i="84"/>
  <c r="S419" i="84"/>
  <c r="S418" i="84"/>
  <c r="S417" i="84"/>
  <c r="S416" i="84"/>
  <c r="S415" i="84"/>
  <c r="S414" i="84"/>
  <c r="S413" i="84"/>
  <c r="S412" i="84"/>
  <c r="S411" i="84"/>
  <c r="S410" i="84"/>
  <c r="S453" i="84"/>
  <c r="T452" i="84"/>
  <c r="S445" i="84"/>
  <c r="T444" i="84"/>
  <c r="S437" i="84"/>
  <c r="T436" i="84"/>
  <c r="S432" i="84"/>
  <c r="S452" i="84"/>
  <c r="T451" i="84"/>
  <c r="S444" i="84"/>
  <c r="T443" i="84"/>
  <c r="S436" i="84"/>
  <c r="T433" i="84"/>
  <c r="S460" i="84"/>
  <c r="T450" i="84"/>
  <c r="S407" i="84"/>
  <c r="T406" i="84"/>
  <c r="S433" i="84"/>
  <c r="S408" i="84"/>
  <c r="S406" i="84"/>
  <c r="T405" i="84"/>
  <c r="T402" i="84"/>
  <c r="T400" i="84"/>
  <c r="S409" i="84"/>
  <c r="S405" i="84"/>
  <c r="S402" i="84"/>
  <c r="S400" i="84"/>
  <c r="S443" i="84"/>
  <c r="T404" i="84"/>
  <c r="T398" i="84"/>
  <c r="T397" i="84"/>
  <c r="T396" i="84"/>
  <c r="T395" i="84"/>
  <c r="T394" i="84"/>
  <c r="T393" i="84"/>
  <c r="T392" i="84"/>
  <c r="T391" i="84"/>
  <c r="T390" i="84"/>
  <c r="T389" i="84"/>
  <c r="T388" i="84"/>
  <c r="T387" i="84"/>
  <c r="T386" i="84"/>
  <c r="T385" i="84"/>
  <c r="T384" i="84"/>
  <c r="T383" i="84"/>
  <c r="T382" i="84"/>
  <c r="T381" i="84"/>
  <c r="T380" i="84"/>
  <c r="T379" i="84"/>
  <c r="T378" i="84"/>
  <c r="T377" i="84"/>
  <c r="T376" i="84"/>
  <c r="T375" i="84"/>
  <c r="T374" i="84"/>
  <c r="T373" i="84"/>
  <c r="T372" i="84"/>
  <c r="T371" i="84"/>
  <c r="T370" i="84"/>
  <c r="T369" i="84"/>
  <c r="T368" i="84"/>
  <c r="T367" i="84"/>
  <c r="T366" i="84"/>
  <c r="T442" i="84"/>
  <c r="S404" i="84"/>
  <c r="T401" i="84"/>
  <c r="S398" i="84"/>
  <c r="S397" i="84"/>
  <c r="S396" i="84"/>
  <c r="S395" i="84"/>
  <c r="S394" i="84"/>
  <c r="S393" i="84"/>
  <c r="S392" i="84"/>
  <c r="S391" i="84"/>
  <c r="S390" i="84"/>
  <c r="S389" i="84"/>
  <c r="S388" i="84"/>
  <c r="S387" i="84"/>
  <c r="S386" i="84"/>
  <c r="S385" i="84"/>
  <c r="S384" i="84"/>
  <c r="S383" i="84"/>
  <c r="S382" i="84"/>
  <c r="S381" i="84"/>
  <c r="S380" i="84"/>
  <c r="S379" i="84"/>
  <c r="S378" i="84"/>
  <c r="S377" i="84"/>
  <c r="S376" i="84"/>
  <c r="T435" i="84"/>
  <c r="S401" i="84"/>
  <c r="S451" i="84"/>
  <c r="T403" i="84"/>
  <c r="T399" i="84"/>
  <c r="S403" i="84"/>
  <c r="S399" i="84"/>
  <c r="S374" i="84"/>
  <c r="S366" i="84"/>
  <c r="S375" i="84"/>
  <c r="S371" i="84"/>
  <c r="S370" i="84"/>
  <c r="S369" i="84"/>
  <c r="T365" i="84"/>
  <c r="T364" i="84"/>
  <c r="T363" i="84"/>
  <c r="T362" i="84"/>
  <c r="T361" i="84"/>
  <c r="T360" i="84"/>
  <c r="T359" i="84"/>
  <c r="T358" i="84"/>
  <c r="T357" i="84"/>
  <c r="T356" i="84"/>
  <c r="T355" i="84"/>
  <c r="T354" i="84"/>
  <c r="T353" i="84"/>
  <c r="T352" i="84"/>
  <c r="T351" i="84"/>
  <c r="T350" i="84"/>
  <c r="T349" i="84"/>
  <c r="T348" i="84"/>
  <c r="T347" i="84"/>
  <c r="T346" i="84"/>
  <c r="T345" i="84"/>
  <c r="T344" i="84"/>
  <c r="T343" i="84"/>
  <c r="T342" i="84"/>
  <c r="T341" i="84"/>
  <c r="T340" i="84"/>
  <c r="T339" i="84"/>
  <c r="T338" i="84"/>
  <c r="T337" i="84"/>
  <c r="T336" i="84"/>
  <c r="T335" i="84"/>
  <c r="T334" i="84"/>
  <c r="T333" i="84"/>
  <c r="T332" i="84"/>
  <c r="T331" i="84"/>
  <c r="T330" i="84"/>
  <c r="T329" i="84"/>
  <c r="T328" i="84"/>
  <c r="T327" i="84"/>
  <c r="T326" i="84"/>
  <c r="T325" i="84"/>
  <c r="T324" i="84"/>
  <c r="T323" i="84"/>
  <c r="T322" i="84"/>
  <c r="T321" i="84"/>
  <c r="T320" i="84"/>
  <c r="S365" i="84"/>
  <c r="S364" i="84"/>
  <c r="S363" i="84"/>
  <c r="S362" i="84"/>
  <c r="S361" i="84"/>
  <c r="S360" i="84"/>
  <c r="S359" i="84"/>
  <c r="S358" i="84"/>
  <c r="S357" i="84"/>
  <c r="S356" i="84"/>
  <c r="S355" i="84"/>
  <c r="S354" i="84"/>
  <c r="S353" i="84"/>
  <c r="S352" i="84"/>
  <c r="S351" i="84"/>
  <c r="S350" i="84"/>
  <c r="S349" i="84"/>
  <c r="S348" i="84"/>
  <c r="S347" i="84"/>
  <c r="S346" i="84"/>
  <c r="S345" i="84"/>
  <c r="S344" i="84"/>
  <c r="S343" i="84"/>
  <c r="S342" i="84"/>
  <c r="S341" i="84"/>
  <c r="S340" i="84"/>
  <c r="S339" i="84"/>
  <c r="S338" i="84"/>
  <c r="S337" i="84"/>
  <c r="S336" i="84"/>
  <c r="S372" i="84"/>
  <c r="S368" i="84"/>
  <c r="S373" i="84"/>
  <c r="S367" i="84"/>
  <c r="S334" i="84"/>
  <c r="S332" i="84"/>
  <c r="S325" i="84"/>
  <c r="S321" i="84"/>
  <c r="S330" i="84"/>
  <c r="S329" i="84"/>
  <c r="S328" i="84"/>
  <c r="S324" i="84"/>
  <c r="T319" i="84"/>
  <c r="T318" i="84"/>
  <c r="T317" i="84"/>
  <c r="T316" i="84"/>
  <c r="T315" i="84"/>
  <c r="T314" i="84"/>
  <c r="T313" i="84"/>
  <c r="T312" i="84"/>
  <c r="T311" i="84"/>
  <c r="T310" i="84"/>
  <c r="T309" i="84"/>
  <c r="T308" i="84"/>
  <c r="T307" i="84"/>
  <c r="T306" i="84"/>
  <c r="T305" i="84"/>
  <c r="T304" i="84"/>
  <c r="T303" i="84"/>
  <c r="T302" i="84"/>
  <c r="T301" i="84"/>
  <c r="T300" i="84"/>
  <c r="T299" i="84"/>
  <c r="T298" i="84"/>
  <c r="T297" i="84"/>
  <c r="T296" i="84"/>
  <c r="T295" i="84"/>
  <c r="T294" i="84"/>
  <c r="T293" i="84"/>
  <c r="T292" i="84"/>
  <c r="T291" i="84"/>
  <c r="T290" i="84"/>
  <c r="T289" i="84"/>
  <c r="T288" i="84"/>
  <c r="T287" i="84"/>
  <c r="T286" i="84"/>
  <c r="S335" i="84"/>
  <c r="S333" i="84"/>
  <c r="S331" i="84"/>
  <c r="S320" i="84"/>
  <c r="S319" i="84"/>
  <c r="S318" i="84"/>
  <c r="S327" i="84"/>
  <c r="S323" i="84"/>
  <c r="S326" i="84"/>
  <c r="S322" i="84"/>
  <c r="S297" i="84"/>
  <c r="S296" i="84"/>
  <c r="S295" i="84"/>
  <c r="S294" i="84"/>
  <c r="S293" i="84"/>
  <c r="S292" i="84"/>
  <c r="S291" i="84"/>
  <c r="S298" i="84"/>
  <c r="S290" i="84"/>
  <c r="S299" i="84"/>
  <c r="S289" i="84"/>
  <c r="T285" i="84"/>
  <c r="T284" i="84"/>
  <c r="T283" i="84"/>
  <c r="T282" i="84"/>
  <c r="T281" i="84"/>
  <c r="T280" i="84"/>
  <c r="T279" i="84"/>
  <c r="T278" i="84"/>
  <c r="T277" i="84"/>
  <c r="T276" i="84"/>
  <c r="T275" i="84"/>
  <c r="T274" i="84"/>
  <c r="T273" i="84"/>
  <c r="T272" i="84"/>
  <c r="T271" i="84"/>
  <c r="T270" i="84"/>
  <c r="T269" i="84"/>
  <c r="T268" i="84"/>
  <c r="T267" i="84"/>
  <c r="T266" i="84"/>
  <c r="T265" i="84"/>
  <c r="T264" i="84"/>
  <c r="T263" i="84"/>
  <c r="T262" i="84"/>
  <c r="T261" i="84"/>
  <c r="T260" i="84"/>
  <c r="S300" i="84"/>
  <c r="S285" i="84"/>
  <c r="S284" i="84"/>
  <c r="S283" i="84"/>
  <c r="S282" i="84"/>
  <c r="S281" i="84"/>
  <c r="S280" i="84"/>
  <c r="S279" i="84"/>
  <c r="S278" i="84"/>
  <c r="S277" i="84"/>
  <c r="S276" i="84"/>
  <c r="S275" i="84"/>
  <c r="S274" i="84"/>
  <c r="S273" i="84"/>
  <c r="S272" i="84"/>
  <c r="S271" i="84"/>
  <c r="S270" i="84"/>
  <c r="S269" i="84"/>
  <c r="S268" i="84"/>
  <c r="S267" i="84"/>
  <c r="S266" i="84"/>
  <c r="S265" i="84"/>
  <c r="S264" i="84"/>
  <c r="S263" i="84"/>
  <c r="S262" i="84"/>
  <c r="S261" i="84"/>
  <c r="S260" i="84"/>
  <c r="S259" i="84"/>
  <c r="S258" i="84"/>
  <c r="S257" i="84"/>
  <c r="S256" i="84"/>
  <c r="S255" i="84"/>
  <c r="S254" i="84"/>
  <c r="S253" i="84"/>
  <c r="S252" i="84"/>
  <c r="S251" i="84"/>
  <c r="S250" i="84"/>
  <c r="S249" i="84"/>
  <c r="S301" i="84"/>
  <c r="S317" i="84"/>
  <c r="S316" i="84"/>
  <c r="S315" i="84"/>
  <c r="S314" i="84"/>
  <c r="S313" i="84"/>
  <c r="S312" i="84"/>
  <c r="S311" i="84"/>
  <c r="S310" i="84"/>
  <c r="S309" i="84"/>
  <c r="S308" i="84"/>
  <c r="S307" i="84"/>
  <c r="S306" i="84"/>
  <c r="S305" i="84"/>
  <c r="S304" i="84"/>
  <c r="S303" i="84"/>
  <c r="S302" i="84"/>
  <c r="S288" i="84"/>
  <c r="S243" i="84"/>
  <c r="T242" i="84"/>
  <c r="S286" i="84"/>
  <c r="T259" i="84"/>
  <c r="T258" i="84"/>
  <c r="T257" i="84"/>
  <c r="T256" i="84"/>
  <c r="T255" i="84"/>
  <c r="T254" i="84"/>
  <c r="T253" i="84"/>
  <c r="T252" i="84"/>
  <c r="T251" i="84"/>
  <c r="T250" i="84"/>
  <c r="T249" i="84"/>
  <c r="T248" i="84"/>
  <c r="S241" i="84"/>
  <c r="T240" i="84"/>
  <c r="S238" i="84"/>
  <c r="S237" i="84"/>
  <c r="S236" i="84"/>
  <c r="S235" i="84"/>
  <c r="S234" i="84"/>
  <c r="S233" i="84"/>
  <c r="S232" i="84"/>
  <c r="S231" i="84"/>
  <c r="S230" i="84"/>
  <c r="S229" i="84"/>
  <c r="S228" i="84"/>
  <c r="S227" i="84"/>
  <c r="S226" i="84"/>
  <c r="S225" i="84"/>
  <c r="S224" i="84"/>
  <c r="S223" i="84"/>
  <c r="S222" i="84"/>
  <c r="S221" i="84"/>
  <c r="S220" i="84"/>
  <c r="S219" i="84"/>
  <c r="S218" i="84"/>
  <c r="S217" i="84"/>
  <c r="S216" i="84"/>
  <c r="S215" i="84"/>
  <c r="S214" i="84"/>
  <c r="S248" i="84"/>
  <c r="T247" i="84"/>
  <c r="S287" i="84"/>
  <c r="S247" i="84"/>
  <c r="T246" i="84"/>
  <c r="S239" i="84"/>
  <c r="S245" i="84"/>
  <c r="T244" i="84"/>
  <c r="T238" i="84"/>
  <c r="T237" i="84"/>
  <c r="T236" i="84"/>
  <c r="T235" i="84"/>
  <c r="T234" i="84"/>
  <c r="T233" i="84"/>
  <c r="T232" i="84"/>
  <c r="T231" i="84"/>
  <c r="T230" i="84"/>
  <c r="T229" i="84"/>
  <c r="T228" i="84"/>
  <c r="T227" i="84"/>
  <c r="T226" i="84"/>
  <c r="T225" i="84"/>
  <c r="T224" i="84"/>
  <c r="T223" i="84"/>
  <c r="T222" i="84"/>
  <c r="T221" i="84"/>
  <c r="T220" i="84"/>
  <c r="T219" i="84"/>
  <c r="T218" i="84"/>
  <c r="T217" i="84"/>
  <c r="T216" i="84"/>
  <c r="T215" i="84"/>
  <c r="T214" i="84"/>
  <c r="T213" i="84"/>
  <c r="S206" i="84"/>
  <c r="T205" i="84"/>
  <c r="T198" i="84"/>
  <c r="S197" i="84"/>
  <c r="S196" i="84"/>
  <c r="S195" i="84"/>
  <c r="S194" i="84"/>
  <c r="S193" i="84"/>
  <c r="S192" i="84"/>
  <c r="S191" i="84"/>
  <c r="S190" i="84"/>
  <c r="S189" i="84"/>
  <c r="S188" i="84"/>
  <c r="S187" i="84"/>
  <c r="S186" i="84"/>
  <c r="S185" i="84"/>
  <c r="S184" i="84"/>
  <c r="S183" i="84"/>
  <c r="S182" i="84"/>
  <c r="S181" i="84"/>
  <c r="S180" i="84"/>
  <c r="S179" i="84"/>
  <c r="S178" i="84"/>
  <c r="S177" i="84"/>
  <c r="S246" i="84"/>
  <c r="S244" i="84"/>
  <c r="T239" i="84"/>
  <c r="S213" i="84"/>
  <c r="T212" i="84"/>
  <c r="S205" i="84"/>
  <c r="T204" i="84"/>
  <c r="S198" i="84"/>
  <c r="S242" i="84"/>
  <c r="S212" i="84"/>
  <c r="T211" i="84"/>
  <c r="S204" i="84"/>
  <c r="T203" i="84"/>
  <c r="S240" i="84"/>
  <c r="S211" i="84"/>
  <c r="T210" i="84"/>
  <c r="S203" i="84"/>
  <c r="T202" i="84"/>
  <c r="S210" i="84"/>
  <c r="T209" i="84"/>
  <c r="S202" i="84"/>
  <c r="T201" i="84"/>
  <c r="T245" i="84"/>
  <c r="S209" i="84"/>
  <c r="T208" i="84"/>
  <c r="S201" i="84"/>
  <c r="T200" i="84"/>
  <c r="T243" i="84"/>
  <c r="S208" i="84"/>
  <c r="T207" i="84"/>
  <c r="S200" i="84"/>
  <c r="T199" i="84"/>
  <c r="T241" i="84"/>
  <c r="S207" i="84"/>
  <c r="T206" i="84"/>
  <c r="S199" i="84"/>
  <c r="T197" i="84"/>
  <c r="T196" i="84"/>
  <c r="T195" i="84"/>
  <c r="T194" i="84"/>
  <c r="T193" i="84"/>
  <c r="T192" i="84"/>
  <c r="T191" i="84"/>
  <c r="T190" i="84"/>
  <c r="T189" i="84"/>
  <c r="T188" i="84"/>
  <c r="T187" i="84"/>
  <c r="T186" i="84"/>
  <c r="T185" i="84"/>
  <c r="T184" i="84"/>
  <c r="T183" i="84"/>
  <c r="T182" i="84"/>
  <c r="T181" i="84"/>
  <c r="T180" i="84"/>
  <c r="T179" i="84"/>
  <c r="T178" i="84"/>
  <c r="T177" i="84"/>
  <c r="T176" i="84"/>
  <c r="T175" i="84"/>
  <c r="T174" i="84"/>
  <c r="T173" i="84"/>
  <c r="T172" i="84"/>
  <c r="T171" i="84"/>
  <c r="T170" i="84"/>
  <c r="T169" i="84"/>
  <c r="T168" i="84"/>
  <c r="T167" i="84"/>
  <c r="T166" i="84"/>
  <c r="T165" i="84"/>
  <c r="T164" i="84"/>
  <c r="T163" i="84"/>
  <c r="T162" i="84"/>
  <c r="T161" i="84"/>
  <c r="T160" i="84"/>
  <c r="T159" i="84"/>
  <c r="T158" i="84"/>
  <c r="T157" i="84"/>
  <c r="T156" i="84"/>
  <c r="T155" i="84"/>
  <c r="T154" i="84"/>
  <c r="T153" i="84"/>
  <c r="T152" i="84"/>
  <c r="T151" i="84"/>
  <c r="T150" i="84"/>
  <c r="T149" i="84"/>
  <c r="T148" i="84"/>
  <c r="T147" i="84"/>
  <c r="T146" i="84"/>
  <c r="T145" i="84"/>
  <c r="T144" i="84"/>
  <c r="T143" i="84"/>
  <c r="T142" i="84"/>
  <c r="T141" i="84"/>
  <c r="T140" i="84"/>
  <c r="T139" i="84"/>
  <c r="T138" i="84"/>
  <c r="T137" i="84"/>
  <c r="T136" i="84"/>
  <c r="T135" i="84"/>
  <c r="T134" i="84"/>
  <c r="S160" i="84"/>
  <c r="S150" i="84"/>
  <c r="S142" i="84"/>
  <c r="S175" i="84"/>
  <c r="S173" i="84"/>
  <c r="S171" i="84"/>
  <c r="S169" i="84"/>
  <c r="S159" i="84"/>
  <c r="S155" i="84"/>
  <c r="S147" i="84"/>
  <c r="S139" i="84"/>
  <c r="T133" i="84"/>
  <c r="T132" i="84"/>
  <c r="T131" i="84"/>
  <c r="T130" i="84"/>
  <c r="T129" i="84"/>
  <c r="T128" i="84"/>
  <c r="T127" i="84"/>
  <c r="T126" i="84"/>
  <c r="T125" i="84"/>
  <c r="T124" i="84"/>
  <c r="T123" i="84"/>
  <c r="T122" i="84"/>
  <c r="T121" i="84"/>
  <c r="T120" i="84"/>
  <c r="T119" i="84"/>
  <c r="T118" i="84"/>
  <c r="T117" i="84"/>
  <c r="T116" i="84"/>
  <c r="T115" i="84"/>
  <c r="T114" i="84"/>
  <c r="T113" i="84"/>
  <c r="T112" i="84"/>
  <c r="T111" i="84"/>
  <c r="T110" i="84"/>
  <c r="T109" i="84"/>
  <c r="T108" i="84"/>
  <c r="T107" i="84"/>
  <c r="T106" i="84"/>
  <c r="T105" i="84"/>
  <c r="T104" i="84"/>
  <c r="T103" i="84"/>
  <c r="T102" i="84"/>
  <c r="T101" i="84"/>
  <c r="T100" i="84"/>
  <c r="T99" i="84"/>
  <c r="T98" i="84"/>
  <c r="T97" i="84"/>
  <c r="T96" i="84"/>
  <c r="T95" i="84"/>
  <c r="T94" i="84"/>
  <c r="T93" i="84"/>
  <c r="T92" i="84"/>
  <c r="T91" i="84"/>
  <c r="T90" i="84"/>
  <c r="T89" i="84"/>
  <c r="T88" i="84"/>
  <c r="T87" i="84"/>
  <c r="T86" i="84"/>
  <c r="T85" i="84"/>
  <c r="T84" i="84"/>
  <c r="T83" i="84"/>
  <c r="T82" i="84"/>
  <c r="T81" i="84"/>
  <c r="T80" i="84"/>
  <c r="T79" i="84"/>
  <c r="T78" i="84"/>
  <c r="T77" i="84"/>
  <c r="T76" i="84"/>
  <c r="T75" i="84"/>
  <c r="T74" i="84"/>
  <c r="T73" i="84"/>
  <c r="T72" i="84"/>
  <c r="T71" i="84"/>
  <c r="S158" i="84"/>
  <c r="S152" i="84"/>
  <c r="S144" i="84"/>
  <c r="S136" i="84"/>
  <c r="S134" i="84"/>
  <c r="S133" i="84"/>
  <c r="S132" i="84"/>
  <c r="S131" i="84"/>
  <c r="S130" i="84"/>
  <c r="S129" i="84"/>
  <c r="S128" i="84"/>
  <c r="S127" i="84"/>
  <c r="S126" i="84"/>
  <c r="S125" i="84"/>
  <c r="S124" i="84"/>
  <c r="S123" i="84"/>
  <c r="S122" i="84"/>
  <c r="S157" i="84"/>
  <c r="S149" i="84"/>
  <c r="S141" i="84"/>
  <c r="S154" i="84"/>
  <c r="S146" i="84"/>
  <c r="S138" i="84"/>
  <c r="S176" i="84"/>
  <c r="S174" i="84"/>
  <c r="S172" i="84"/>
  <c r="S170" i="84"/>
  <c r="S167" i="84"/>
  <c r="S166" i="84"/>
  <c r="S165" i="84"/>
  <c r="S164" i="84"/>
  <c r="S163" i="84"/>
  <c r="S151" i="84"/>
  <c r="S143" i="84"/>
  <c r="S135" i="84"/>
  <c r="S168" i="84"/>
  <c r="S162" i="84"/>
  <c r="S156" i="84"/>
  <c r="S148" i="84"/>
  <c r="S140" i="84"/>
  <c r="S161" i="84"/>
  <c r="S153" i="84"/>
  <c r="S145" i="84"/>
  <c r="S137" i="84"/>
  <c r="S69" i="84"/>
  <c r="S67" i="84"/>
  <c r="S65" i="84"/>
  <c r="S39" i="84"/>
  <c r="T36" i="84"/>
  <c r="T32" i="84"/>
  <c r="T29" i="84"/>
  <c r="T17" i="84"/>
  <c r="S114" i="84"/>
  <c r="S113" i="84"/>
  <c r="S112" i="84"/>
  <c r="S111" i="84"/>
  <c r="S110" i="84"/>
  <c r="S109" i="84"/>
  <c r="S108" i="84"/>
  <c r="S107" i="84"/>
  <c r="S106" i="84"/>
  <c r="S105" i="84"/>
  <c r="S104" i="84"/>
  <c r="S103" i="84"/>
  <c r="S102" i="84"/>
  <c r="S101" i="84"/>
  <c r="S100" i="84"/>
  <c r="S99" i="84"/>
  <c r="S98" i="84"/>
  <c r="S97" i="84"/>
  <c r="S96" i="84"/>
  <c r="S95" i="84"/>
  <c r="S94" i="84"/>
  <c r="S93" i="84"/>
  <c r="S92" i="84"/>
  <c r="S91" i="84"/>
  <c r="S90" i="84"/>
  <c r="S89" i="84"/>
  <c r="S88" i="84"/>
  <c r="S87" i="84"/>
  <c r="S86" i="84"/>
  <c r="S85" i="84"/>
  <c r="S84" i="84"/>
  <c r="S83" i="84"/>
  <c r="S82" i="84"/>
  <c r="S81" i="84"/>
  <c r="S80" i="84"/>
  <c r="S79" i="84"/>
  <c r="S78" i="84"/>
  <c r="S77" i="84"/>
  <c r="S76" i="84"/>
  <c r="S75" i="84"/>
  <c r="S74" i="84"/>
  <c r="S73" i="84"/>
  <c r="S72" i="84"/>
  <c r="S71" i="84"/>
  <c r="T38" i="84"/>
  <c r="S36" i="84"/>
  <c r="T35" i="84"/>
  <c r="S32" i="84"/>
  <c r="S29" i="84"/>
  <c r="S17" i="84"/>
  <c r="S18" i="84" s="1"/>
  <c r="S19" i="84" s="1"/>
  <c r="S20" i="84" s="1"/>
  <c r="S21" i="84" s="1"/>
  <c r="S22" i="84" s="1"/>
  <c r="S23" i="84" s="1"/>
  <c r="S115" i="84"/>
  <c r="S38" i="84"/>
  <c r="S35" i="84"/>
  <c r="T34" i="84"/>
  <c r="T25" i="84"/>
  <c r="S120" i="84"/>
  <c r="S118" i="84"/>
  <c r="T70" i="84"/>
  <c r="T68" i="84"/>
  <c r="T66" i="84"/>
  <c r="S34" i="84"/>
  <c r="T31" i="84"/>
  <c r="AW30" i="84"/>
  <c r="AW23" i="84" s="1"/>
  <c r="T28" i="84"/>
  <c r="S25" i="84"/>
  <c r="S116" i="84"/>
  <c r="S70" i="84"/>
  <c r="S68" i="84"/>
  <c r="S66" i="84"/>
  <c r="T37" i="84"/>
  <c r="S31" i="84"/>
  <c r="S28" i="84"/>
  <c r="T27" i="84"/>
  <c r="T64" i="84"/>
  <c r="T63" i="84"/>
  <c r="T62" i="84"/>
  <c r="T61" i="84"/>
  <c r="T60" i="84"/>
  <c r="T59" i="84"/>
  <c r="T58" i="84"/>
  <c r="T57" i="84"/>
  <c r="T56" i="84"/>
  <c r="T55" i="84"/>
  <c r="T54" i="84"/>
  <c r="T53" i="84"/>
  <c r="T52" i="84"/>
  <c r="T51" i="84"/>
  <c r="T50" i="84"/>
  <c r="T49" i="84"/>
  <c r="T48" i="84"/>
  <c r="T47" i="84"/>
  <c r="T46" i="84"/>
  <c r="T45" i="84"/>
  <c r="T44" i="84"/>
  <c r="T43" i="84"/>
  <c r="T42" i="84"/>
  <c r="T41" i="84"/>
  <c r="T40" i="84"/>
  <c r="S37" i="84"/>
  <c r="T33" i="84"/>
  <c r="S27" i="84"/>
  <c r="AW18" i="84"/>
  <c r="BB18" i="84" s="1"/>
  <c r="S64" i="84"/>
  <c r="S63" i="84"/>
  <c r="S62" i="84"/>
  <c r="S61" i="84"/>
  <c r="S60" i="84"/>
  <c r="S59" i="84"/>
  <c r="S58" i="84"/>
  <c r="S57" i="84"/>
  <c r="S56" i="84"/>
  <c r="S55" i="84"/>
  <c r="S54" i="84"/>
  <c r="S53" i="84"/>
  <c r="S52" i="84"/>
  <c r="S51" i="84"/>
  <c r="S50" i="84"/>
  <c r="S49" i="84"/>
  <c r="S48" i="84"/>
  <c r="S47" i="84"/>
  <c r="S46" i="84"/>
  <c r="S45" i="84"/>
  <c r="S44" i="84"/>
  <c r="S43" i="84"/>
  <c r="S42" i="84"/>
  <c r="S41" i="84"/>
  <c r="S40" i="84"/>
  <c r="S33" i="84"/>
  <c r="T30" i="84"/>
  <c r="T26" i="84"/>
  <c r="T24" i="84"/>
  <c r="S121" i="84"/>
  <c r="S119" i="84"/>
  <c r="S117" i="84"/>
  <c r="T69" i="84"/>
  <c r="T67" i="84"/>
  <c r="T65" i="84"/>
  <c r="T39" i="84"/>
  <c r="S30" i="84"/>
  <c r="S26" i="84"/>
  <c r="S24" i="84"/>
  <c r="S15" i="84"/>
  <c r="T18" i="84"/>
  <c r="T19" i="84" s="1"/>
  <c r="T20" i="84" s="1"/>
  <c r="T21" i="84" s="1"/>
  <c r="T22" i="84" s="1"/>
  <c r="T23" i="84" s="1"/>
  <c r="BL23" i="84" s="1"/>
  <c r="BH12" i="84"/>
  <c r="BN14" i="84"/>
  <c r="BN13" i="84"/>
  <c r="BN12" i="84"/>
  <c r="BK19" i="84"/>
  <c r="J20" i="84"/>
  <c r="Y15" i="84"/>
  <c r="AB529" i="83"/>
  <c r="AB528" i="83"/>
  <c r="AB527" i="83"/>
  <c r="AB526" i="83"/>
  <c r="AB525" i="83"/>
  <c r="AB524" i="83"/>
  <c r="AB523" i="83"/>
  <c r="AB522" i="83"/>
  <c r="AB521" i="83"/>
  <c r="AB520" i="83"/>
  <c r="AB519" i="83"/>
  <c r="AB518" i="83"/>
  <c r="AB517" i="83"/>
  <c r="AB516" i="83"/>
  <c r="AB515" i="83"/>
  <c r="AB514" i="83"/>
  <c r="AB513" i="83"/>
  <c r="AB512" i="83"/>
  <c r="AB511" i="83"/>
  <c r="AB510" i="83"/>
  <c r="AB509" i="83"/>
  <c r="AB508" i="83"/>
  <c r="AB507" i="83"/>
  <c r="AB506" i="83"/>
  <c r="AB505" i="83"/>
  <c r="AB504" i="83"/>
  <c r="AB503" i="83"/>
  <c r="AB502" i="83"/>
  <c r="AA529" i="83"/>
  <c r="AA528" i="83"/>
  <c r="AA527" i="83"/>
  <c r="AA526" i="83"/>
  <c r="AA525" i="83"/>
  <c r="AA524" i="83"/>
  <c r="AA523" i="83"/>
  <c r="AA522" i="83"/>
  <c r="AA521" i="83"/>
  <c r="AA520" i="83"/>
  <c r="AA519" i="83"/>
  <c r="AA518" i="83"/>
  <c r="AA517" i="83"/>
  <c r="AA516" i="83"/>
  <c r="AA515" i="83"/>
  <c r="AA514" i="83"/>
  <c r="AA513" i="83"/>
  <c r="AA512" i="83"/>
  <c r="AA511" i="83"/>
  <c r="AA510" i="83"/>
  <c r="AA509" i="83"/>
  <c r="AA506" i="83"/>
  <c r="AA502" i="83"/>
  <c r="AA505" i="83"/>
  <c r="AA501" i="83"/>
  <c r="AA500" i="83"/>
  <c r="AA499" i="83"/>
  <c r="AA498" i="83"/>
  <c r="AA497" i="83"/>
  <c r="AA496" i="83"/>
  <c r="AA495" i="83"/>
  <c r="AA494" i="83"/>
  <c r="AA493" i="83"/>
  <c r="AA492" i="83"/>
  <c r="AA491" i="83"/>
  <c r="AA490" i="83"/>
  <c r="AA489" i="83"/>
  <c r="AA488" i="83"/>
  <c r="AA487" i="83"/>
  <c r="AA486" i="83"/>
  <c r="AA485" i="83"/>
  <c r="AA484" i="83"/>
  <c r="AA483" i="83"/>
  <c r="AA482" i="83"/>
  <c r="AA481" i="83"/>
  <c r="AA480" i="83"/>
  <c r="AA479" i="83"/>
  <c r="AA478" i="83"/>
  <c r="AA477" i="83"/>
  <c r="AA476" i="83"/>
  <c r="AA475" i="83"/>
  <c r="AA474" i="83"/>
  <c r="AA473" i="83"/>
  <c r="AA472" i="83"/>
  <c r="AA471" i="83"/>
  <c r="AA470" i="83"/>
  <c r="AA469" i="83"/>
  <c r="AB499" i="83"/>
  <c r="AB495" i="83"/>
  <c r="AB491" i="83"/>
  <c r="AB487" i="83"/>
  <c r="AB486" i="83"/>
  <c r="AB485" i="83"/>
  <c r="AB484" i="83"/>
  <c r="AB480" i="83"/>
  <c r="AB476" i="83"/>
  <c r="AA504" i="83"/>
  <c r="AB500" i="83"/>
  <c r="AB496" i="83"/>
  <c r="AB492" i="83"/>
  <c r="AB488" i="83"/>
  <c r="AA468" i="83"/>
  <c r="AA467" i="83"/>
  <c r="AA466" i="83"/>
  <c r="AA465" i="83"/>
  <c r="AA464" i="83"/>
  <c r="AA463" i="83"/>
  <c r="AA462" i="83"/>
  <c r="AA461" i="83"/>
  <c r="AA460" i="83"/>
  <c r="AA459" i="83"/>
  <c r="AA458" i="83"/>
  <c r="AA457" i="83"/>
  <c r="AA456" i="83"/>
  <c r="AA455" i="83"/>
  <c r="AA454" i="83"/>
  <c r="AA453" i="83"/>
  <c r="AA452" i="83"/>
  <c r="AA451" i="83"/>
  <c r="AA450" i="83"/>
  <c r="AA449" i="83"/>
  <c r="AA448" i="83"/>
  <c r="AA507" i="83"/>
  <c r="AB483" i="83"/>
  <c r="AB479" i="83"/>
  <c r="AB475" i="83"/>
  <c r="AB473" i="83"/>
  <c r="AB471" i="83"/>
  <c r="AB469" i="83"/>
  <c r="AB501" i="83"/>
  <c r="AB497" i="83"/>
  <c r="AB493" i="83"/>
  <c r="AB489" i="83"/>
  <c r="AB482" i="83"/>
  <c r="AB478" i="83"/>
  <c r="AB474" i="83"/>
  <c r="AB477" i="83"/>
  <c r="AB470" i="83"/>
  <c r="AB468" i="83"/>
  <c r="AB467" i="83"/>
  <c r="AB466" i="83"/>
  <c r="AB465" i="83"/>
  <c r="AB464" i="83"/>
  <c r="AB463" i="83"/>
  <c r="AB462" i="83"/>
  <c r="AB461" i="83"/>
  <c r="AB460" i="83"/>
  <c r="AB459" i="83"/>
  <c r="AB458" i="83"/>
  <c r="AB457" i="83"/>
  <c r="AB456" i="83"/>
  <c r="AB455" i="83"/>
  <c r="AB454" i="83"/>
  <c r="AB453" i="83"/>
  <c r="AB452" i="83"/>
  <c r="AB451" i="83"/>
  <c r="AB450" i="83"/>
  <c r="AB449" i="83"/>
  <c r="AB448" i="83"/>
  <c r="AB446" i="83"/>
  <c r="AB445" i="83"/>
  <c r="AB444" i="83"/>
  <c r="AB443" i="83"/>
  <c r="AB442" i="83"/>
  <c r="AB441" i="83"/>
  <c r="AB440" i="83"/>
  <c r="AB439" i="83"/>
  <c r="AB438" i="83"/>
  <c r="AB437" i="83"/>
  <c r="AB436" i="83"/>
  <c r="AB435" i="83"/>
  <c r="AB434" i="83"/>
  <c r="AB433" i="83"/>
  <c r="AA503" i="83"/>
  <c r="AB494" i="83"/>
  <c r="AA447" i="83"/>
  <c r="AB498" i="83"/>
  <c r="AB490" i="83"/>
  <c r="AA445" i="83"/>
  <c r="AA440" i="83"/>
  <c r="AA438" i="83"/>
  <c r="AB447" i="83"/>
  <c r="AA508" i="83"/>
  <c r="AB481" i="83"/>
  <c r="AB472" i="83"/>
  <c r="AA443" i="83"/>
  <c r="AA446" i="83"/>
  <c r="AB432" i="83"/>
  <c r="AB431" i="83"/>
  <c r="AB430" i="83"/>
  <c r="AB429" i="83"/>
  <c r="AB428" i="83"/>
  <c r="AB427" i="83"/>
  <c r="AB426" i="83"/>
  <c r="AB425" i="83"/>
  <c r="AB424" i="83"/>
  <c r="AB423" i="83"/>
  <c r="AB422" i="83"/>
  <c r="AB421" i="83"/>
  <c r="AB420" i="83"/>
  <c r="AB419" i="83"/>
  <c r="AB418" i="83"/>
  <c r="AB417" i="83"/>
  <c r="AB416" i="83"/>
  <c r="AB415" i="83"/>
  <c r="AB414" i="83"/>
  <c r="AB413" i="83"/>
  <c r="AB412" i="83"/>
  <c r="AB411" i="83"/>
  <c r="AB410" i="83"/>
  <c r="AB409" i="83"/>
  <c r="AB408" i="83"/>
  <c r="AB407" i="83"/>
  <c r="AB406" i="83"/>
  <c r="AB405" i="83"/>
  <c r="AB404" i="83"/>
  <c r="AB403" i="83"/>
  <c r="AB402" i="83"/>
  <c r="AB401" i="83"/>
  <c r="AA441" i="83"/>
  <c r="AA439" i="83"/>
  <c r="AA437" i="83"/>
  <c r="AA435" i="83"/>
  <c r="AA433" i="83"/>
  <c r="AA432" i="83"/>
  <c r="AA431" i="83"/>
  <c r="AA430" i="83"/>
  <c r="AA429" i="83"/>
  <c r="AA428" i="83"/>
  <c r="AA427" i="83"/>
  <c r="AA426" i="83"/>
  <c r="AA425" i="83"/>
  <c r="AA424" i="83"/>
  <c r="AA423" i="83"/>
  <c r="AA422" i="83"/>
  <c r="AA421" i="83"/>
  <c r="AA420" i="83"/>
  <c r="AA419" i="83"/>
  <c r="AA418" i="83"/>
  <c r="AA444" i="83"/>
  <c r="AA415" i="83"/>
  <c r="AA407" i="83"/>
  <c r="AA401" i="83"/>
  <c r="AA400" i="83"/>
  <c r="AA399" i="83"/>
  <c r="AA398" i="83"/>
  <c r="AA397" i="83"/>
  <c r="AA396" i="83"/>
  <c r="AA395" i="83"/>
  <c r="AA394" i="83"/>
  <c r="AA393" i="83"/>
  <c r="AA392" i="83"/>
  <c r="AA391" i="83"/>
  <c r="AA390" i="83"/>
  <c r="AA389" i="83"/>
  <c r="AA388" i="83"/>
  <c r="AA387" i="83"/>
  <c r="AA386" i="83"/>
  <c r="AA414" i="83"/>
  <c r="AA406" i="83"/>
  <c r="AA413" i="83"/>
  <c r="AA405" i="83"/>
  <c r="AA442" i="83"/>
  <c r="AA412" i="83"/>
  <c r="AA404" i="83"/>
  <c r="AA411" i="83"/>
  <c r="AA403" i="83"/>
  <c r="AA436" i="83"/>
  <c r="AA417" i="83"/>
  <c r="AA409" i="83"/>
  <c r="AA434" i="83"/>
  <c r="AA378" i="83"/>
  <c r="AB377" i="83"/>
  <c r="AB373" i="83"/>
  <c r="AA368" i="83"/>
  <c r="AB365" i="83"/>
  <c r="AA360" i="83"/>
  <c r="AB357" i="83"/>
  <c r="AB399" i="83"/>
  <c r="AB395" i="83"/>
  <c r="AB391" i="83"/>
  <c r="AB387" i="83"/>
  <c r="AA377" i="83"/>
  <c r="AB376" i="83"/>
  <c r="AA373" i="83"/>
  <c r="AB370" i="83"/>
  <c r="AA365" i="83"/>
  <c r="AB362" i="83"/>
  <c r="AA357" i="83"/>
  <c r="AA402" i="83"/>
  <c r="AA376" i="83"/>
  <c r="AA370" i="83"/>
  <c r="AB367" i="83"/>
  <c r="AA362" i="83"/>
  <c r="AB359" i="83"/>
  <c r="AA408" i="83"/>
  <c r="AB400" i="83"/>
  <c r="AB396" i="83"/>
  <c r="AB392" i="83"/>
  <c r="AB388" i="83"/>
  <c r="AB383" i="83"/>
  <c r="AB382" i="83"/>
  <c r="AB375" i="83"/>
  <c r="AB372" i="83"/>
  <c r="AA367" i="83"/>
  <c r="AB364" i="83"/>
  <c r="AA359" i="83"/>
  <c r="AA416" i="83"/>
  <c r="AA410" i="83"/>
  <c r="AB384" i="83"/>
  <c r="AA383" i="83"/>
  <c r="AA382" i="83"/>
  <c r="AB381" i="83"/>
  <c r="AA375" i="83"/>
  <c r="AA372" i="83"/>
  <c r="AB369" i="83"/>
  <c r="AA364" i="83"/>
  <c r="AB361" i="83"/>
  <c r="AB397" i="83"/>
  <c r="AB393" i="83"/>
  <c r="AB389" i="83"/>
  <c r="AB385" i="83"/>
  <c r="AA384" i="83"/>
  <c r="AA381" i="83"/>
  <c r="AB380" i="83"/>
  <c r="AB374" i="83"/>
  <c r="AA369" i="83"/>
  <c r="AB366" i="83"/>
  <c r="AA361" i="83"/>
  <c r="AB358" i="83"/>
  <c r="AB356" i="83"/>
  <c r="AB355" i="83"/>
  <c r="AB354" i="83"/>
  <c r="AB353" i="83"/>
  <c r="AB352" i="83"/>
  <c r="AB351" i="83"/>
  <c r="AB350" i="83"/>
  <c r="AB349" i="83"/>
  <c r="AB348" i="83"/>
  <c r="AB347" i="83"/>
  <c r="AB346" i="83"/>
  <c r="AB345" i="83"/>
  <c r="AB344" i="83"/>
  <c r="AB343" i="83"/>
  <c r="AB342" i="83"/>
  <c r="AB341" i="83"/>
  <c r="AB340" i="83"/>
  <c r="AB339" i="83"/>
  <c r="AB338" i="83"/>
  <c r="AB337" i="83"/>
  <c r="AB336" i="83"/>
  <c r="AB335" i="83"/>
  <c r="AB334" i="83"/>
  <c r="AB333" i="83"/>
  <c r="AB332" i="83"/>
  <c r="AB331" i="83"/>
  <c r="AB330" i="83"/>
  <c r="AB329" i="83"/>
  <c r="AB328" i="83"/>
  <c r="AB327" i="83"/>
  <c r="AB326" i="83"/>
  <c r="AB325" i="83"/>
  <c r="AB324" i="83"/>
  <c r="AA385" i="83"/>
  <c r="AA380" i="83"/>
  <c r="AB379" i="83"/>
  <c r="AA374" i="83"/>
  <c r="AB371" i="83"/>
  <c r="AA366" i="83"/>
  <c r="AB363" i="83"/>
  <c r="AA358" i="83"/>
  <c r="AA356" i="83"/>
  <c r="AA355" i="83"/>
  <c r="AA354" i="83"/>
  <c r="AA353" i="83"/>
  <c r="AA352" i="83"/>
  <c r="AA351" i="83"/>
  <c r="AA350" i="83"/>
  <c r="AB378" i="83"/>
  <c r="AA349" i="83"/>
  <c r="AB316" i="83"/>
  <c r="AB310" i="83"/>
  <c r="AA305" i="83"/>
  <c r="AB302" i="83"/>
  <c r="AB390" i="83"/>
  <c r="AB368" i="83"/>
  <c r="AA363" i="83"/>
  <c r="AA346" i="83"/>
  <c r="AA342" i="83"/>
  <c r="AA338" i="83"/>
  <c r="AA334" i="83"/>
  <c r="AA330" i="83"/>
  <c r="AA326" i="83"/>
  <c r="AB321" i="83"/>
  <c r="AA316" i="83"/>
  <c r="AA310" i="83"/>
  <c r="AB307" i="83"/>
  <c r="AA302" i="83"/>
  <c r="AA379" i="83"/>
  <c r="AB322" i="83"/>
  <c r="AA321" i="83"/>
  <c r="AB320" i="83"/>
  <c r="AB315" i="83"/>
  <c r="AA307" i="83"/>
  <c r="AB304" i="83"/>
  <c r="AB386" i="83"/>
  <c r="AA347" i="83"/>
  <c r="AA343" i="83"/>
  <c r="AA339" i="83"/>
  <c r="AA335" i="83"/>
  <c r="AA331" i="83"/>
  <c r="AA327" i="83"/>
  <c r="AB323" i="83"/>
  <c r="AA322" i="83"/>
  <c r="AA320" i="83"/>
  <c r="AB319" i="83"/>
  <c r="AA315" i="83"/>
  <c r="AB314" i="83"/>
  <c r="AB309" i="83"/>
  <c r="AA304" i="83"/>
  <c r="AA371" i="83"/>
  <c r="AA323" i="83"/>
  <c r="AA319" i="83"/>
  <c r="AB318" i="83"/>
  <c r="AA314" i="83"/>
  <c r="AB313" i="83"/>
  <c r="AA309" i="83"/>
  <c r="AB306" i="83"/>
  <c r="AB300" i="83"/>
  <c r="AB299" i="83"/>
  <c r="AB298" i="83"/>
  <c r="AB297" i="83"/>
  <c r="AB296" i="83"/>
  <c r="AB295" i="83"/>
  <c r="AB294" i="83"/>
  <c r="AB293" i="83"/>
  <c r="AB292" i="83"/>
  <c r="AB291" i="83"/>
  <c r="AB290" i="83"/>
  <c r="AB289" i="83"/>
  <c r="AB288" i="83"/>
  <c r="AB287" i="83"/>
  <c r="AB286" i="83"/>
  <c r="AB285" i="83"/>
  <c r="AB284" i="83"/>
  <c r="AB283" i="83"/>
  <c r="AB282" i="83"/>
  <c r="AB281" i="83"/>
  <c r="AB280" i="83"/>
  <c r="AB279" i="83"/>
  <c r="AB278" i="83"/>
  <c r="AB277" i="83"/>
  <c r="AB276" i="83"/>
  <c r="AB275" i="83"/>
  <c r="AB274" i="83"/>
  <c r="AB273" i="83"/>
  <c r="AB272" i="83"/>
  <c r="AB271" i="83"/>
  <c r="AB270" i="83"/>
  <c r="AB269" i="83"/>
  <c r="AB268" i="83"/>
  <c r="AB267" i="83"/>
  <c r="AB266" i="83"/>
  <c r="AB265" i="83"/>
  <c r="AB264" i="83"/>
  <c r="AB263" i="83"/>
  <c r="AB262" i="83"/>
  <c r="AB261" i="83"/>
  <c r="AB260" i="83"/>
  <c r="AB259" i="83"/>
  <c r="AB258" i="83"/>
  <c r="AB257" i="83"/>
  <c r="AB256" i="83"/>
  <c r="AB398" i="83"/>
  <c r="AA348" i="83"/>
  <c r="AA344" i="83"/>
  <c r="AA340" i="83"/>
  <c r="AA336" i="83"/>
  <c r="AA332" i="83"/>
  <c r="AA328" i="83"/>
  <c r="AA324" i="83"/>
  <c r="AA318" i="83"/>
  <c r="AA313" i="83"/>
  <c r="AB312" i="83"/>
  <c r="AA306" i="83"/>
  <c r="AB303" i="83"/>
  <c r="AB301" i="83"/>
  <c r="AA300" i="83"/>
  <c r="AA299" i="83"/>
  <c r="AA298" i="83"/>
  <c r="AA297" i="83"/>
  <c r="AA296" i="83"/>
  <c r="AB317" i="83"/>
  <c r="AA312" i="83"/>
  <c r="AB311" i="83"/>
  <c r="AB308" i="83"/>
  <c r="AA303" i="83"/>
  <c r="AA301" i="83"/>
  <c r="AA337" i="83"/>
  <c r="AA333" i="83"/>
  <c r="AA329" i="83"/>
  <c r="AA325" i="83"/>
  <c r="AA308" i="83"/>
  <c r="AA291" i="83"/>
  <c r="AA287" i="83"/>
  <c r="AA283" i="83"/>
  <c r="AA275" i="83"/>
  <c r="AA267" i="83"/>
  <c r="AA259" i="83"/>
  <c r="AB360" i="83"/>
  <c r="AA311" i="83"/>
  <c r="AA295" i="83"/>
  <c r="AA280" i="83"/>
  <c r="AA272" i="83"/>
  <c r="AA264" i="83"/>
  <c r="AB255" i="83"/>
  <c r="AB254" i="83"/>
  <c r="AB253" i="83"/>
  <c r="AB252" i="83"/>
  <c r="AB251" i="83"/>
  <c r="AB250" i="83"/>
  <c r="AB249" i="83"/>
  <c r="AB248" i="83"/>
  <c r="AB247" i="83"/>
  <c r="AB246" i="83"/>
  <c r="AB245" i="83"/>
  <c r="AB244" i="83"/>
  <c r="AB243" i="83"/>
  <c r="AB242" i="83"/>
  <c r="AB241" i="83"/>
  <c r="AB240" i="83"/>
  <c r="AB239" i="83"/>
  <c r="AB238" i="83"/>
  <c r="AB237" i="83"/>
  <c r="AB236" i="83"/>
  <c r="AB235" i="83"/>
  <c r="AB234" i="83"/>
  <c r="AB233" i="83"/>
  <c r="AA294" i="83"/>
  <c r="AA290" i="83"/>
  <c r="AA286" i="83"/>
  <c r="AA277" i="83"/>
  <c r="AA269" i="83"/>
  <c r="AB394" i="83"/>
  <c r="AA282" i="83"/>
  <c r="AA274" i="83"/>
  <c r="AA266" i="83"/>
  <c r="AA258" i="83"/>
  <c r="AA293" i="83"/>
  <c r="AA289" i="83"/>
  <c r="AA285" i="83"/>
  <c r="AA279" i="83"/>
  <c r="AA271" i="83"/>
  <c r="AA263" i="83"/>
  <c r="AB305" i="83"/>
  <c r="AA276" i="83"/>
  <c r="AA268" i="83"/>
  <c r="AA260" i="83"/>
  <c r="AA345" i="83"/>
  <c r="AA317" i="83"/>
  <c r="AA292" i="83"/>
  <c r="AA288" i="83"/>
  <c r="AA284" i="83"/>
  <c r="AA281" i="83"/>
  <c r="AA273" i="83"/>
  <c r="AA265" i="83"/>
  <c r="AA257" i="83"/>
  <c r="AB229" i="83"/>
  <c r="AA228" i="83"/>
  <c r="AB221" i="83"/>
  <c r="AA220" i="83"/>
  <c r="AA216" i="83"/>
  <c r="AB213" i="83"/>
  <c r="AA208" i="83"/>
  <c r="AB205" i="83"/>
  <c r="AA270" i="83"/>
  <c r="AA256" i="83"/>
  <c r="AA254" i="83"/>
  <c r="AA252" i="83"/>
  <c r="AA250" i="83"/>
  <c r="AA248" i="83"/>
  <c r="AA246" i="83"/>
  <c r="AA244" i="83"/>
  <c r="AA242" i="83"/>
  <c r="AA240" i="83"/>
  <c r="AA238" i="83"/>
  <c r="AA236" i="83"/>
  <c r="AA234" i="83"/>
  <c r="AB230" i="83"/>
  <c r="AA229" i="83"/>
  <c r="AB222" i="83"/>
  <c r="AA221" i="83"/>
  <c r="AA213" i="83"/>
  <c r="AB210" i="83"/>
  <c r="AA205" i="83"/>
  <c r="AB202" i="83"/>
  <c r="AB199" i="83"/>
  <c r="AB198" i="83"/>
  <c r="AB197" i="83"/>
  <c r="AB196" i="83"/>
  <c r="AB195" i="83"/>
  <c r="AB194" i="83"/>
  <c r="AB193" i="83"/>
  <c r="AB192" i="83"/>
  <c r="AB191" i="83"/>
  <c r="AB190" i="83"/>
  <c r="AB189" i="83"/>
  <c r="AB188" i="83"/>
  <c r="AB187" i="83"/>
  <c r="AB186" i="83"/>
  <c r="AB185" i="83"/>
  <c r="AB184" i="83"/>
  <c r="AB183" i="83"/>
  <c r="AB182" i="83"/>
  <c r="AB181" i="83"/>
  <c r="AB180" i="83"/>
  <c r="AB179" i="83"/>
  <c r="AB178" i="83"/>
  <c r="AB177" i="83"/>
  <c r="AB231" i="83"/>
  <c r="AA230" i="83"/>
  <c r="AB223" i="83"/>
  <c r="AA222" i="83"/>
  <c r="AB215" i="83"/>
  <c r="AA210" i="83"/>
  <c r="AB207" i="83"/>
  <c r="AA202" i="83"/>
  <c r="AB200" i="83"/>
  <c r="AA199" i="83"/>
  <c r="AA198" i="83"/>
  <c r="AA197" i="83"/>
  <c r="AA196" i="83"/>
  <c r="AA195" i="83"/>
  <c r="AA194" i="83"/>
  <c r="AA193" i="83"/>
  <c r="AA192" i="83"/>
  <c r="AA191" i="83"/>
  <c r="AA190" i="83"/>
  <c r="AA189" i="83"/>
  <c r="AA188" i="83"/>
  <c r="AA187" i="83"/>
  <c r="AA186" i="83"/>
  <c r="AA185" i="83"/>
  <c r="AA184" i="83"/>
  <c r="AA183" i="83"/>
  <c r="AA182" i="83"/>
  <c r="AA181" i="83"/>
  <c r="AA180" i="83"/>
  <c r="AA179" i="83"/>
  <c r="AA178" i="83"/>
  <c r="AA177" i="83"/>
  <c r="AA341" i="83"/>
  <c r="AA278" i="83"/>
  <c r="AA261" i="83"/>
  <c r="AB232" i="83"/>
  <c r="AA231" i="83"/>
  <c r="AB224" i="83"/>
  <c r="AA223" i="83"/>
  <c r="AA215" i="83"/>
  <c r="AB212" i="83"/>
  <c r="AA207" i="83"/>
  <c r="AB204" i="83"/>
  <c r="AA200" i="83"/>
  <c r="AA232" i="83"/>
  <c r="AB225" i="83"/>
  <c r="AA224" i="83"/>
  <c r="AB217" i="83"/>
  <c r="AA212" i="83"/>
  <c r="AB209" i="83"/>
  <c r="AA204" i="83"/>
  <c r="AA262" i="83"/>
  <c r="AA255" i="83"/>
  <c r="AA253" i="83"/>
  <c r="AA251" i="83"/>
  <c r="AA249" i="83"/>
  <c r="AA247" i="83"/>
  <c r="AA245" i="83"/>
  <c r="AA243" i="83"/>
  <c r="AA241" i="83"/>
  <c r="AA239" i="83"/>
  <c r="AA237" i="83"/>
  <c r="AA235" i="83"/>
  <c r="AB226" i="83"/>
  <c r="AA225" i="83"/>
  <c r="AB218" i="83"/>
  <c r="AA217" i="83"/>
  <c r="AB214" i="83"/>
  <c r="AA209" i="83"/>
  <c r="AB206" i="83"/>
  <c r="AB201" i="83"/>
  <c r="AA233" i="83"/>
  <c r="AB227" i="83"/>
  <c r="AA226" i="83"/>
  <c r="AB219" i="83"/>
  <c r="AA218" i="83"/>
  <c r="AA214" i="83"/>
  <c r="AB211" i="83"/>
  <c r="AA206" i="83"/>
  <c r="AB203" i="83"/>
  <c r="AA201" i="83"/>
  <c r="AB175" i="83"/>
  <c r="AA174" i="83"/>
  <c r="AB167" i="83"/>
  <c r="AA166" i="83"/>
  <c r="AA155" i="83"/>
  <c r="AB154" i="83"/>
  <c r="AB148" i="83"/>
  <c r="AB146" i="83"/>
  <c r="AB145" i="83"/>
  <c r="AB144" i="83"/>
  <c r="AB143" i="83"/>
  <c r="AB142" i="83"/>
  <c r="AB141" i="83"/>
  <c r="AB140" i="83"/>
  <c r="AB139" i="83"/>
  <c r="AB138" i="83"/>
  <c r="AB137" i="83"/>
  <c r="AB136" i="83"/>
  <c r="AB135" i="83"/>
  <c r="AB134" i="83"/>
  <c r="AB133" i="83"/>
  <c r="AB132" i="83"/>
  <c r="AB131" i="83"/>
  <c r="AB130" i="83"/>
  <c r="AB129" i="83"/>
  <c r="AB128" i="83"/>
  <c r="AB127" i="83"/>
  <c r="AB126" i="83"/>
  <c r="AB125" i="83"/>
  <c r="AB124" i="83"/>
  <c r="AB123" i="83"/>
  <c r="AB122" i="83"/>
  <c r="AB121" i="83"/>
  <c r="AB120" i="83"/>
  <c r="AB119" i="83"/>
  <c r="AB118" i="83"/>
  <c r="AB117" i="83"/>
  <c r="AB116" i="83"/>
  <c r="AB115" i="83"/>
  <c r="AB114" i="83"/>
  <c r="AB176" i="83"/>
  <c r="AA175" i="83"/>
  <c r="AB168" i="83"/>
  <c r="AA167" i="83"/>
  <c r="AA154" i="83"/>
  <c r="AB153" i="83"/>
  <c r="AA148" i="83"/>
  <c r="AA146" i="83"/>
  <c r="AA145" i="83"/>
  <c r="AA144" i="83"/>
  <c r="AA143" i="83"/>
  <c r="AA142" i="83"/>
  <c r="AA141" i="83"/>
  <c r="AA140" i="83"/>
  <c r="AA139" i="83"/>
  <c r="AA138" i="83"/>
  <c r="AA137" i="83"/>
  <c r="AA136" i="83"/>
  <c r="AA135" i="83"/>
  <c r="AA134" i="83"/>
  <c r="AA133" i="83"/>
  <c r="AA132" i="83"/>
  <c r="AA131" i="83"/>
  <c r="AA130" i="83"/>
  <c r="AA227" i="83"/>
  <c r="AA176" i="83"/>
  <c r="AB169" i="83"/>
  <c r="AA168" i="83"/>
  <c r="AB161" i="83"/>
  <c r="AB160" i="83"/>
  <c r="AA153" i="83"/>
  <c r="AB152" i="83"/>
  <c r="AA219" i="83"/>
  <c r="AB216" i="83"/>
  <c r="AB208" i="83"/>
  <c r="AB170" i="83"/>
  <c r="AA169" i="83"/>
  <c r="AB162" i="83"/>
  <c r="AA161" i="83"/>
  <c r="AA160" i="83"/>
  <c r="AB159" i="83"/>
  <c r="AA152" i="83"/>
  <c r="AB151" i="83"/>
  <c r="AB147" i="83"/>
  <c r="AB171" i="83"/>
  <c r="AA170" i="83"/>
  <c r="AB163" i="83"/>
  <c r="AA162" i="83"/>
  <c r="AA159" i="83"/>
  <c r="AB158" i="83"/>
  <c r="AA151" i="83"/>
  <c r="AB150" i="83"/>
  <c r="AA147" i="83"/>
  <c r="AB172" i="83"/>
  <c r="AA171" i="83"/>
  <c r="AB164" i="83"/>
  <c r="AA163" i="83"/>
  <c r="AA158" i="83"/>
  <c r="AB157" i="83"/>
  <c r="AA150" i="83"/>
  <c r="AB149" i="83"/>
  <c r="AB228" i="83"/>
  <c r="AA211" i="83"/>
  <c r="AB173" i="83"/>
  <c r="AA172" i="83"/>
  <c r="AB165" i="83"/>
  <c r="AA164" i="83"/>
  <c r="AA157" i="83"/>
  <c r="AB156" i="83"/>
  <c r="AA149" i="83"/>
  <c r="AB166" i="83"/>
  <c r="AA122" i="83"/>
  <c r="AB110" i="83"/>
  <c r="AB106" i="83"/>
  <c r="AB102" i="83"/>
  <c r="AA203" i="83"/>
  <c r="AA173" i="83"/>
  <c r="AA124" i="83"/>
  <c r="AA116" i="83"/>
  <c r="AA115" i="83"/>
  <c r="AA114" i="83"/>
  <c r="AB113" i="83"/>
  <c r="AB109" i="83"/>
  <c r="AB105" i="83"/>
  <c r="AB100" i="83"/>
  <c r="AB99" i="83"/>
  <c r="AB98" i="83"/>
  <c r="AB97" i="83"/>
  <c r="AB96" i="83"/>
  <c r="AB95" i="83"/>
  <c r="AB94" i="83"/>
  <c r="AB93" i="83"/>
  <c r="AB92" i="83"/>
  <c r="AB91" i="83"/>
  <c r="AB90" i="83"/>
  <c r="AB89" i="83"/>
  <c r="AB88" i="83"/>
  <c r="AB87" i="83"/>
  <c r="AB86" i="83"/>
  <c r="AB85" i="83"/>
  <c r="AB84" i="83"/>
  <c r="AB83" i="83"/>
  <c r="AB82" i="83"/>
  <c r="AB81" i="83"/>
  <c r="AB80" i="83"/>
  <c r="AB79" i="83"/>
  <c r="AB78" i="83"/>
  <c r="AB77" i="83"/>
  <c r="AB76" i="83"/>
  <c r="AB75" i="83"/>
  <c r="AB74" i="83"/>
  <c r="AB73" i="83"/>
  <c r="AB72" i="83"/>
  <c r="AB71" i="83"/>
  <c r="AB70" i="83"/>
  <c r="AB69" i="83"/>
  <c r="AB68" i="83"/>
  <c r="AB67" i="83"/>
  <c r="AB66" i="83"/>
  <c r="AB65" i="83"/>
  <c r="AB64" i="83"/>
  <c r="AB63" i="83"/>
  <c r="AB62" i="83"/>
  <c r="AB61" i="83"/>
  <c r="AB60" i="83"/>
  <c r="AB59" i="83"/>
  <c r="AB58" i="83"/>
  <c r="AB57" i="83"/>
  <c r="AB56" i="83"/>
  <c r="AB220" i="83"/>
  <c r="AA125" i="83"/>
  <c r="AA117" i="83"/>
  <c r="AA113" i="83"/>
  <c r="AA109" i="83"/>
  <c r="AA105" i="83"/>
  <c r="AB101" i="83"/>
  <c r="AA100" i="83"/>
  <c r="AA99" i="83"/>
  <c r="AA98" i="83"/>
  <c r="AA97" i="83"/>
  <c r="AA96" i="83"/>
  <c r="AA95" i="83"/>
  <c r="AA94" i="83"/>
  <c r="AA93" i="83"/>
  <c r="AA92" i="83"/>
  <c r="AA91" i="83"/>
  <c r="AA90" i="83"/>
  <c r="AA89" i="83"/>
  <c r="AA88" i="83"/>
  <c r="AA87" i="83"/>
  <c r="AA86" i="83"/>
  <c r="AA85" i="83"/>
  <c r="AA84" i="83"/>
  <c r="AA83" i="83"/>
  <c r="AA82" i="83"/>
  <c r="AA81" i="83"/>
  <c r="AA80" i="83"/>
  <c r="AA79" i="83"/>
  <c r="AA78" i="83"/>
  <c r="AA77" i="83"/>
  <c r="AA76" i="83"/>
  <c r="AA75" i="83"/>
  <c r="AA74" i="83"/>
  <c r="AA73" i="83"/>
  <c r="AA156" i="83"/>
  <c r="AA120" i="83"/>
  <c r="AB108" i="83"/>
  <c r="AA107" i="83"/>
  <c r="AA102" i="83"/>
  <c r="AA101" i="83"/>
  <c r="AA71" i="83"/>
  <c r="AA67" i="83"/>
  <c r="AA59" i="83"/>
  <c r="AB39" i="83"/>
  <c r="AA17" i="83"/>
  <c r="AA18" i="83" s="1"/>
  <c r="AA19" i="83" s="1"/>
  <c r="AA20" i="83" s="1"/>
  <c r="AA21" i="83" s="1"/>
  <c r="AA22" i="83" s="1"/>
  <c r="AA23" i="83" s="1"/>
  <c r="AA24" i="83" s="1"/>
  <c r="AA25" i="83" s="1"/>
  <c r="AA26" i="83" s="1"/>
  <c r="AA27" i="83" s="1"/>
  <c r="AA28" i="83" s="1"/>
  <c r="AA29" i="83" s="1"/>
  <c r="AA30" i="83" s="1"/>
  <c r="AA31" i="83" s="1"/>
  <c r="AA32" i="83" s="1"/>
  <c r="AA33" i="83" s="1"/>
  <c r="AA49" i="83"/>
  <c r="AA45" i="83"/>
  <c r="AA44" i="83"/>
  <c r="AA43" i="83"/>
  <c r="AA123" i="83"/>
  <c r="AA108" i="83"/>
  <c r="AB103" i="83"/>
  <c r="AA62" i="83"/>
  <c r="AA39" i="83"/>
  <c r="AB36" i="83"/>
  <c r="AA55" i="83"/>
  <c r="AA53" i="83"/>
  <c r="AA52" i="83"/>
  <c r="AA46" i="83"/>
  <c r="AA128" i="83"/>
  <c r="AA118" i="83"/>
  <c r="AB104" i="83"/>
  <c r="AA103" i="83"/>
  <c r="AA65" i="83"/>
  <c r="AA57" i="83"/>
  <c r="AB38" i="83"/>
  <c r="AA36" i="83"/>
  <c r="AB35" i="83"/>
  <c r="AA56" i="83"/>
  <c r="AB17" i="83"/>
  <c r="AB18" i="83" s="1"/>
  <c r="AB19" i="83" s="1"/>
  <c r="AB20" i="83" s="1"/>
  <c r="AB21" i="83" s="1"/>
  <c r="AB22" i="83" s="1"/>
  <c r="AB23" i="83" s="1"/>
  <c r="AB24" i="83" s="1"/>
  <c r="AB25" i="83" s="1"/>
  <c r="AB26" i="83" s="1"/>
  <c r="AB27" i="83" s="1"/>
  <c r="AB28" i="83" s="1"/>
  <c r="AB29" i="83" s="1"/>
  <c r="AB30" i="83" s="1"/>
  <c r="AB31" i="83" s="1"/>
  <c r="AB32" i="83" s="1"/>
  <c r="AB33" i="83" s="1"/>
  <c r="AA121" i="83"/>
  <c r="AA104" i="83"/>
  <c r="AA70" i="83"/>
  <c r="AA68" i="83"/>
  <c r="AA60" i="83"/>
  <c r="AA38" i="83"/>
  <c r="AA35" i="83"/>
  <c r="AB34" i="83"/>
  <c r="AA54" i="83"/>
  <c r="AA48" i="83"/>
  <c r="AA165" i="83"/>
  <c r="AB155" i="83"/>
  <c r="AA126" i="83"/>
  <c r="AA119" i="83"/>
  <c r="AA63" i="83"/>
  <c r="AA34" i="83"/>
  <c r="AW31" i="83"/>
  <c r="AA64" i="83"/>
  <c r="AA50" i="83"/>
  <c r="AA42" i="83"/>
  <c r="AA41" i="83"/>
  <c r="AA40" i="83"/>
  <c r="AA129" i="83"/>
  <c r="AB111" i="83"/>
  <c r="AA110" i="83"/>
  <c r="AA72" i="83"/>
  <c r="AA66" i="83"/>
  <c r="AA58" i="83"/>
  <c r="AB37" i="83"/>
  <c r="AA112" i="83"/>
  <c r="AB107" i="83"/>
  <c r="AA106" i="83"/>
  <c r="AA47" i="83"/>
  <c r="AB174" i="83"/>
  <c r="AA127" i="83"/>
  <c r="AB112" i="83"/>
  <c r="AA111" i="83"/>
  <c r="AA69" i="83"/>
  <c r="AA61" i="83"/>
  <c r="AB55" i="83"/>
  <c r="AB54" i="83"/>
  <c r="AB53" i="83"/>
  <c r="AB52" i="83"/>
  <c r="AB51" i="83"/>
  <c r="AB50" i="83"/>
  <c r="AB49" i="83"/>
  <c r="AB48" i="83"/>
  <c r="AB47" i="83"/>
  <c r="AB46" i="83"/>
  <c r="AB45" i="83"/>
  <c r="AB44" i="83"/>
  <c r="AB43" i="83"/>
  <c r="AB42" i="83"/>
  <c r="AB41" i="83"/>
  <c r="AB40" i="83"/>
  <c r="AA37" i="83"/>
  <c r="AA51" i="83"/>
  <c r="AW18" i="83"/>
  <c r="BB18" i="83" s="1"/>
  <c r="AR529" i="83"/>
  <c r="AR528" i="83"/>
  <c r="AR527" i="83"/>
  <c r="AR526" i="83"/>
  <c r="AR525" i="83"/>
  <c r="AR524" i="83"/>
  <c r="AR523" i="83"/>
  <c r="AR522" i="83"/>
  <c r="AR521" i="83"/>
  <c r="AR520" i="83"/>
  <c r="AR519" i="83"/>
  <c r="AR518" i="83"/>
  <c r="AR517" i="83"/>
  <c r="AR516" i="83"/>
  <c r="AR515" i="83"/>
  <c r="AR514" i="83"/>
  <c r="AR513" i="83"/>
  <c r="AR512" i="83"/>
  <c r="AR511" i="83"/>
  <c r="AR510" i="83"/>
  <c r="AQ529" i="83"/>
  <c r="AQ528" i="83"/>
  <c r="AQ527" i="83"/>
  <c r="AQ526" i="83"/>
  <c r="AQ525" i="83"/>
  <c r="AQ524" i="83"/>
  <c r="AQ523" i="83"/>
  <c r="AQ522" i="83"/>
  <c r="AQ521" i="83"/>
  <c r="AQ520" i="83"/>
  <c r="AQ519" i="83"/>
  <c r="AQ518" i="83"/>
  <c r="AQ517" i="83"/>
  <c r="AQ516" i="83"/>
  <c r="AQ515" i="83"/>
  <c r="AQ514" i="83"/>
  <c r="AQ513" i="83"/>
  <c r="AQ512" i="83"/>
  <c r="AQ511" i="83"/>
  <c r="AQ510" i="83"/>
  <c r="AQ509" i="83"/>
  <c r="AQ508" i="83"/>
  <c r="AQ507" i="83"/>
  <c r="AQ506" i="83"/>
  <c r="AQ505" i="83"/>
  <c r="AQ504" i="83"/>
  <c r="AQ503" i="83"/>
  <c r="AQ502" i="83"/>
  <c r="AR504" i="83"/>
  <c r="AQ501" i="83"/>
  <c r="AQ500" i="83"/>
  <c r="AQ499" i="83"/>
  <c r="AQ498" i="83"/>
  <c r="AQ497" i="83"/>
  <c r="AQ496" i="83"/>
  <c r="AQ495" i="83"/>
  <c r="AQ494" i="83"/>
  <c r="AQ493" i="83"/>
  <c r="AQ492" i="83"/>
  <c r="AQ491" i="83"/>
  <c r="AQ490" i="83"/>
  <c r="AQ489" i="83"/>
  <c r="AQ488" i="83"/>
  <c r="AQ487" i="83"/>
  <c r="AQ486" i="83"/>
  <c r="AQ485" i="83"/>
  <c r="AR508" i="83"/>
  <c r="AR507" i="83"/>
  <c r="AR503" i="83"/>
  <c r="AR509" i="83"/>
  <c r="AR506" i="83"/>
  <c r="AR502" i="83"/>
  <c r="AR505" i="83"/>
  <c r="AR482" i="83"/>
  <c r="AR478" i="83"/>
  <c r="AR501" i="83"/>
  <c r="AR497" i="83"/>
  <c r="AR493" i="83"/>
  <c r="AR489" i="83"/>
  <c r="AQ482" i="83"/>
  <c r="AQ478" i="83"/>
  <c r="AR481" i="83"/>
  <c r="AR477" i="83"/>
  <c r="AR474" i="83"/>
  <c r="AR472" i="83"/>
  <c r="AR470" i="83"/>
  <c r="AR498" i="83"/>
  <c r="AR494" i="83"/>
  <c r="AR490" i="83"/>
  <c r="AQ481" i="83"/>
  <c r="AQ477" i="83"/>
  <c r="AQ474" i="83"/>
  <c r="AQ472" i="83"/>
  <c r="AQ470" i="83"/>
  <c r="AR468" i="83"/>
  <c r="AR467" i="83"/>
  <c r="AR466" i="83"/>
  <c r="AR465" i="83"/>
  <c r="AR464" i="83"/>
  <c r="AR463" i="83"/>
  <c r="AR462" i="83"/>
  <c r="AR461" i="83"/>
  <c r="AR460" i="83"/>
  <c r="AR459" i="83"/>
  <c r="AR458" i="83"/>
  <c r="AR457" i="83"/>
  <c r="AR456" i="83"/>
  <c r="AR455" i="83"/>
  <c r="AR454" i="83"/>
  <c r="AR453" i="83"/>
  <c r="AR452" i="83"/>
  <c r="AR451" i="83"/>
  <c r="AR450" i="83"/>
  <c r="AR449" i="83"/>
  <c r="AR448" i="83"/>
  <c r="AR486" i="83"/>
  <c r="AR485" i="83"/>
  <c r="AR484" i="83"/>
  <c r="AR480" i="83"/>
  <c r="AR476" i="83"/>
  <c r="AQ468" i="83"/>
  <c r="AQ467" i="83"/>
  <c r="AQ466" i="83"/>
  <c r="AQ465" i="83"/>
  <c r="AQ464" i="83"/>
  <c r="AQ463" i="83"/>
  <c r="AQ462" i="83"/>
  <c r="AQ461" i="83"/>
  <c r="AQ460" i="83"/>
  <c r="AQ459" i="83"/>
  <c r="AQ458" i="83"/>
  <c r="AQ457" i="83"/>
  <c r="AQ456" i="83"/>
  <c r="AQ455" i="83"/>
  <c r="AQ454" i="83"/>
  <c r="AQ453" i="83"/>
  <c r="AQ452" i="83"/>
  <c r="AQ451" i="83"/>
  <c r="AQ450" i="83"/>
  <c r="AQ449" i="83"/>
  <c r="AQ448" i="83"/>
  <c r="AQ447" i="83"/>
  <c r="AQ446" i="83"/>
  <c r="AR499" i="83"/>
  <c r="AR495" i="83"/>
  <c r="AR491" i="83"/>
  <c r="AR487" i="83"/>
  <c r="AQ484" i="83"/>
  <c r="AQ480" i="83"/>
  <c r="AQ476" i="83"/>
  <c r="AR471" i="83"/>
  <c r="AR475" i="83"/>
  <c r="AQ471" i="83"/>
  <c r="AQ475" i="83"/>
  <c r="AR500" i="83"/>
  <c r="AR483" i="83"/>
  <c r="AR473" i="83"/>
  <c r="AR496" i="83"/>
  <c r="AQ483" i="83"/>
  <c r="AQ473" i="83"/>
  <c r="AR488" i="83"/>
  <c r="AR479" i="83"/>
  <c r="AQ469" i="83"/>
  <c r="AQ479" i="83"/>
  <c r="AQ444" i="83"/>
  <c r="AR469" i="83"/>
  <c r="AR442" i="83"/>
  <c r="AR445" i="83"/>
  <c r="AQ442" i="83"/>
  <c r="AR440" i="83"/>
  <c r="AR438" i="83"/>
  <c r="AR436" i="83"/>
  <c r="AQ445" i="83"/>
  <c r="AQ440" i="83"/>
  <c r="AQ438" i="83"/>
  <c r="AQ436" i="83"/>
  <c r="AQ434" i="83"/>
  <c r="AR443" i="83"/>
  <c r="AR447" i="83"/>
  <c r="AQ443" i="83"/>
  <c r="AR432" i="83"/>
  <c r="AR431" i="83"/>
  <c r="AR430" i="83"/>
  <c r="AR429" i="83"/>
  <c r="AR428" i="83"/>
  <c r="AR427" i="83"/>
  <c r="AR426" i="83"/>
  <c r="AR425" i="83"/>
  <c r="AR424" i="83"/>
  <c r="AR423" i="83"/>
  <c r="AR422" i="83"/>
  <c r="AR421" i="83"/>
  <c r="AR420" i="83"/>
  <c r="AR419" i="83"/>
  <c r="AR418" i="83"/>
  <c r="AR417" i="83"/>
  <c r="AR416" i="83"/>
  <c r="AR415" i="83"/>
  <c r="AR414" i="83"/>
  <c r="AR413" i="83"/>
  <c r="AR412" i="83"/>
  <c r="AR411" i="83"/>
  <c r="AR410" i="83"/>
  <c r="AR409" i="83"/>
  <c r="AR408" i="83"/>
  <c r="AR407" i="83"/>
  <c r="AR406" i="83"/>
  <c r="AR405" i="83"/>
  <c r="AR404" i="83"/>
  <c r="AR403" i="83"/>
  <c r="AR402" i="83"/>
  <c r="AQ431" i="83"/>
  <c r="AQ423" i="83"/>
  <c r="AQ411" i="83"/>
  <c r="AQ403" i="83"/>
  <c r="AR439" i="83"/>
  <c r="AR435" i="83"/>
  <c r="AR434" i="83"/>
  <c r="AR433" i="83"/>
  <c r="AQ432" i="83"/>
  <c r="AQ424" i="83"/>
  <c r="AQ410" i="83"/>
  <c r="AQ402" i="83"/>
  <c r="AR400" i="83"/>
  <c r="AR399" i="83"/>
  <c r="AR398" i="83"/>
  <c r="AR397" i="83"/>
  <c r="AR396" i="83"/>
  <c r="AR395" i="83"/>
  <c r="AR394" i="83"/>
  <c r="AR393" i="83"/>
  <c r="AR392" i="83"/>
  <c r="AR391" i="83"/>
  <c r="AR390" i="83"/>
  <c r="AR389" i="83"/>
  <c r="AR388" i="83"/>
  <c r="AR387" i="83"/>
  <c r="AR386" i="83"/>
  <c r="AR385" i="83"/>
  <c r="AR384" i="83"/>
  <c r="AR383" i="83"/>
  <c r="AQ439" i="83"/>
  <c r="AQ435" i="83"/>
  <c r="AQ433" i="83"/>
  <c r="AQ425" i="83"/>
  <c r="AQ417" i="83"/>
  <c r="AQ409" i="83"/>
  <c r="AR401" i="83"/>
  <c r="AQ400" i="83"/>
  <c r="AQ399" i="83"/>
  <c r="AQ398" i="83"/>
  <c r="AQ397" i="83"/>
  <c r="AQ396" i="83"/>
  <c r="AQ395" i="83"/>
  <c r="AQ394" i="83"/>
  <c r="AQ393" i="83"/>
  <c r="AQ392" i="83"/>
  <c r="AQ391" i="83"/>
  <c r="AQ390" i="83"/>
  <c r="AQ389" i="83"/>
  <c r="AQ388" i="83"/>
  <c r="AQ387" i="83"/>
  <c r="AQ386" i="83"/>
  <c r="AQ385" i="83"/>
  <c r="AQ384" i="83"/>
  <c r="AQ383" i="83"/>
  <c r="AQ382" i="83"/>
  <c r="AQ381" i="83"/>
  <c r="AQ380" i="83"/>
  <c r="AQ379" i="83"/>
  <c r="AQ378" i="83"/>
  <c r="AQ377" i="83"/>
  <c r="AQ376" i="83"/>
  <c r="AQ375" i="83"/>
  <c r="AQ374" i="83"/>
  <c r="AQ373" i="83"/>
  <c r="AQ372" i="83"/>
  <c r="AQ371" i="83"/>
  <c r="AQ370" i="83"/>
  <c r="AQ369" i="83"/>
  <c r="AQ368" i="83"/>
  <c r="AQ367" i="83"/>
  <c r="AQ366" i="83"/>
  <c r="AQ365" i="83"/>
  <c r="AQ364" i="83"/>
  <c r="AQ363" i="83"/>
  <c r="AQ362" i="83"/>
  <c r="AQ361" i="83"/>
  <c r="AQ360" i="83"/>
  <c r="AQ359" i="83"/>
  <c r="AQ358" i="83"/>
  <c r="AQ357" i="83"/>
  <c r="AR492" i="83"/>
  <c r="AQ426" i="83"/>
  <c r="AQ418" i="83"/>
  <c r="AQ416" i="83"/>
  <c r="AQ408" i="83"/>
  <c r="AQ401" i="83"/>
  <c r="AR437" i="83"/>
  <c r="AQ427" i="83"/>
  <c r="AQ419" i="83"/>
  <c r="AQ415" i="83"/>
  <c r="AQ407" i="83"/>
  <c r="AR444" i="83"/>
  <c r="AR441" i="83"/>
  <c r="AQ429" i="83"/>
  <c r="AQ421" i="83"/>
  <c r="AQ413" i="83"/>
  <c r="AQ405" i="83"/>
  <c r="AQ430" i="83"/>
  <c r="AR381" i="83"/>
  <c r="AR374" i="83"/>
  <c r="AR366" i="83"/>
  <c r="AR358" i="83"/>
  <c r="AQ356" i="83"/>
  <c r="AQ355" i="83"/>
  <c r="AQ354" i="83"/>
  <c r="AQ353" i="83"/>
  <c r="AQ352" i="83"/>
  <c r="AQ351" i="83"/>
  <c r="AQ350" i="83"/>
  <c r="AQ349" i="83"/>
  <c r="AQ348" i="83"/>
  <c r="AQ347" i="83"/>
  <c r="AQ346" i="83"/>
  <c r="AQ345" i="83"/>
  <c r="AQ344" i="83"/>
  <c r="AQ343" i="83"/>
  <c r="AQ342" i="83"/>
  <c r="AQ341" i="83"/>
  <c r="AQ340" i="83"/>
  <c r="AQ339" i="83"/>
  <c r="AQ338" i="83"/>
  <c r="AQ337" i="83"/>
  <c r="AQ336" i="83"/>
  <c r="AQ335" i="83"/>
  <c r="AQ334" i="83"/>
  <c r="AQ333" i="83"/>
  <c r="AQ332" i="83"/>
  <c r="AQ331" i="83"/>
  <c r="AQ330" i="83"/>
  <c r="AQ329" i="83"/>
  <c r="AQ328" i="83"/>
  <c r="AQ327" i="83"/>
  <c r="AQ326" i="83"/>
  <c r="AQ325" i="83"/>
  <c r="AQ324" i="83"/>
  <c r="AQ323" i="83"/>
  <c r="AQ322" i="83"/>
  <c r="AQ321" i="83"/>
  <c r="AQ320" i="83"/>
  <c r="AQ319" i="83"/>
  <c r="AQ318" i="83"/>
  <c r="AQ317" i="83"/>
  <c r="AQ316" i="83"/>
  <c r="AQ315" i="83"/>
  <c r="AQ314" i="83"/>
  <c r="AQ313" i="83"/>
  <c r="AQ312" i="83"/>
  <c r="AQ311" i="83"/>
  <c r="AQ310" i="83"/>
  <c r="AQ309" i="83"/>
  <c r="AQ308" i="83"/>
  <c r="AQ307" i="83"/>
  <c r="AQ306" i="83"/>
  <c r="AQ305" i="83"/>
  <c r="AQ304" i="83"/>
  <c r="AQ303" i="83"/>
  <c r="AQ302" i="83"/>
  <c r="AQ301" i="83"/>
  <c r="AR380" i="83"/>
  <c r="AR371" i="83"/>
  <c r="AR363" i="83"/>
  <c r="AQ422" i="83"/>
  <c r="AR379" i="83"/>
  <c r="AR368" i="83"/>
  <c r="AR360" i="83"/>
  <c r="AR446" i="83"/>
  <c r="AQ437" i="83"/>
  <c r="AR378" i="83"/>
  <c r="AR373" i="83"/>
  <c r="AR365" i="83"/>
  <c r="AR357" i="83"/>
  <c r="AQ404" i="83"/>
  <c r="AR377" i="83"/>
  <c r="AR370" i="83"/>
  <c r="AR362" i="83"/>
  <c r="AQ441" i="83"/>
  <c r="AQ428" i="83"/>
  <c r="AR376" i="83"/>
  <c r="AR367" i="83"/>
  <c r="AR359" i="83"/>
  <c r="AQ412" i="83"/>
  <c r="AQ406" i="83"/>
  <c r="AR375" i="83"/>
  <c r="AR372" i="83"/>
  <c r="AR364" i="83"/>
  <c r="AR361" i="83"/>
  <c r="AR347" i="83"/>
  <c r="AR343" i="83"/>
  <c r="AR339" i="83"/>
  <c r="AR335" i="83"/>
  <c r="AR331" i="83"/>
  <c r="AR327" i="83"/>
  <c r="AR323" i="83"/>
  <c r="AR319" i="83"/>
  <c r="AR314" i="83"/>
  <c r="AR306" i="83"/>
  <c r="AR301" i="83"/>
  <c r="AQ420" i="83"/>
  <c r="AR356" i="83"/>
  <c r="AR354" i="83"/>
  <c r="AR352" i="83"/>
  <c r="AR350" i="83"/>
  <c r="AR318" i="83"/>
  <c r="AR313" i="83"/>
  <c r="AR303" i="83"/>
  <c r="AR382" i="83"/>
  <c r="AR369" i="83"/>
  <c r="AR348" i="83"/>
  <c r="AR344" i="83"/>
  <c r="AR340" i="83"/>
  <c r="AR336" i="83"/>
  <c r="AR332" i="83"/>
  <c r="AR328" i="83"/>
  <c r="AR324" i="83"/>
  <c r="AR312" i="83"/>
  <c r="AR308" i="83"/>
  <c r="AR317" i="83"/>
  <c r="AR311" i="83"/>
  <c r="AR305" i="83"/>
  <c r="AQ414" i="83"/>
  <c r="AR345" i="83"/>
  <c r="AR341" i="83"/>
  <c r="AR337" i="83"/>
  <c r="AR333" i="83"/>
  <c r="AR329" i="83"/>
  <c r="AR325" i="83"/>
  <c r="AR310" i="83"/>
  <c r="AR302" i="83"/>
  <c r="AR355" i="83"/>
  <c r="AR353" i="83"/>
  <c r="AR351" i="83"/>
  <c r="AR349" i="83"/>
  <c r="AR316" i="83"/>
  <c r="AR307" i="83"/>
  <c r="AR346" i="83"/>
  <c r="AR342" i="83"/>
  <c r="AR338" i="83"/>
  <c r="AR334" i="83"/>
  <c r="AR330" i="83"/>
  <c r="AR326" i="83"/>
  <c r="AR321" i="83"/>
  <c r="AR304" i="83"/>
  <c r="AR300" i="83"/>
  <c r="AR299" i="83"/>
  <c r="AR298" i="83"/>
  <c r="AR297" i="83"/>
  <c r="AR296" i="83"/>
  <c r="AR295" i="83"/>
  <c r="AR294" i="83"/>
  <c r="AR293" i="83"/>
  <c r="AR292" i="83"/>
  <c r="AR291" i="83"/>
  <c r="AR290" i="83"/>
  <c r="AR289" i="83"/>
  <c r="AR288" i="83"/>
  <c r="AR287" i="83"/>
  <c r="AR286" i="83"/>
  <c r="AR285" i="83"/>
  <c r="AR284" i="83"/>
  <c r="AR283" i="83"/>
  <c r="AR282" i="83"/>
  <c r="AR281" i="83"/>
  <c r="AR280" i="83"/>
  <c r="AR279" i="83"/>
  <c r="AR278" i="83"/>
  <c r="AR277" i="83"/>
  <c r="AR276" i="83"/>
  <c r="AR275" i="83"/>
  <c r="AR274" i="83"/>
  <c r="AR273" i="83"/>
  <c r="AR272" i="83"/>
  <c r="AR271" i="83"/>
  <c r="AR270" i="83"/>
  <c r="AR269" i="83"/>
  <c r="AR268" i="83"/>
  <c r="AR267" i="83"/>
  <c r="AR266" i="83"/>
  <c r="AR265" i="83"/>
  <c r="AR264" i="83"/>
  <c r="AR263" i="83"/>
  <c r="AR262" i="83"/>
  <c r="AR261" i="83"/>
  <c r="AR260" i="83"/>
  <c r="AR259" i="83"/>
  <c r="AR258" i="83"/>
  <c r="AR257" i="83"/>
  <c r="AQ276" i="83"/>
  <c r="AQ268" i="83"/>
  <c r="AQ260" i="83"/>
  <c r="AR320" i="83"/>
  <c r="AQ292" i="83"/>
  <c r="AQ288" i="83"/>
  <c r="AQ284" i="83"/>
  <c r="AQ281" i="83"/>
  <c r="AQ273" i="83"/>
  <c r="AQ265" i="83"/>
  <c r="AQ257" i="83"/>
  <c r="AR322" i="83"/>
  <c r="AQ278" i="83"/>
  <c r="AQ270" i="83"/>
  <c r="AR315" i="83"/>
  <c r="AR309" i="83"/>
  <c r="AQ291" i="83"/>
  <c r="AQ287" i="83"/>
  <c r="AQ283" i="83"/>
  <c r="AQ275" i="83"/>
  <c r="AQ267" i="83"/>
  <c r="AQ259" i="83"/>
  <c r="AR255" i="83"/>
  <c r="AR254" i="83"/>
  <c r="AR253" i="83"/>
  <c r="AR252" i="83"/>
  <c r="AR251" i="83"/>
  <c r="AR250" i="83"/>
  <c r="AR249" i="83"/>
  <c r="AR248" i="83"/>
  <c r="AR247" i="83"/>
  <c r="AR246" i="83"/>
  <c r="AR245" i="83"/>
  <c r="AR244" i="83"/>
  <c r="AR243" i="83"/>
  <c r="AR242" i="83"/>
  <c r="AR241" i="83"/>
  <c r="AR240" i="83"/>
  <c r="AR239" i="83"/>
  <c r="AR238" i="83"/>
  <c r="AR237" i="83"/>
  <c r="AR236" i="83"/>
  <c r="AR235" i="83"/>
  <c r="AR234" i="83"/>
  <c r="AR233" i="83"/>
  <c r="AR232" i="83"/>
  <c r="AR231" i="83"/>
  <c r="AR230" i="83"/>
  <c r="AR229" i="83"/>
  <c r="AR228" i="83"/>
  <c r="AR227" i="83"/>
  <c r="AR226" i="83"/>
  <c r="AR225" i="83"/>
  <c r="AR224" i="83"/>
  <c r="AR223" i="83"/>
  <c r="AR222" i="83"/>
  <c r="AR221" i="83"/>
  <c r="AR220" i="83"/>
  <c r="AR219" i="83"/>
  <c r="AR218" i="83"/>
  <c r="AR217" i="83"/>
  <c r="AQ299" i="83"/>
  <c r="AQ298" i="83"/>
  <c r="AQ297" i="83"/>
  <c r="AQ296" i="83"/>
  <c r="AQ295" i="83"/>
  <c r="AQ280" i="83"/>
  <c r="AQ272" i="83"/>
  <c r="AQ264" i="83"/>
  <c r="AR256" i="83"/>
  <c r="AQ255" i="83"/>
  <c r="AQ254" i="83"/>
  <c r="AQ253" i="83"/>
  <c r="AQ252" i="83"/>
  <c r="AQ251" i="83"/>
  <c r="AQ250" i="83"/>
  <c r="AQ249" i="83"/>
  <c r="AQ248" i="83"/>
  <c r="AQ247" i="83"/>
  <c r="AQ246" i="83"/>
  <c r="AQ245" i="83"/>
  <c r="AQ244" i="83"/>
  <c r="AQ243" i="83"/>
  <c r="AQ242" i="83"/>
  <c r="AQ241" i="83"/>
  <c r="AQ240" i="83"/>
  <c r="AQ239" i="83"/>
  <c r="AQ238" i="83"/>
  <c r="AQ237" i="83"/>
  <c r="AQ236" i="83"/>
  <c r="AQ235" i="83"/>
  <c r="AQ234" i="83"/>
  <c r="AQ233" i="83"/>
  <c r="AQ232" i="83"/>
  <c r="AQ231" i="83"/>
  <c r="AQ230" i="83"/>
  <c r="AQ229" i="83"/>
  <c r="AQ228" i="83"/>
  <c r="AQ227" i="83"/>
  <c r="AQ226" i="83"/>
  <c r="AQ225" i="83"/>
  <c r="AQ224" i="83"/>
  <c r="AQ223" i="83"/>
  <c r="AQ222" i="83"/>
  <c r="AQ221" i="83"/>
  <c r="AQ220" i="83"/>
  <c r="AQ219" i="83"/>
  <c r="AQ218" i="83"/>
  <c r="AQ217" i="83"/>
  <c r="AQ216" i="83"/>
  <c r="AQ215" i="83"/>
  <c r="AQ214" i="83"/>
  <c r="AQ213" i="83"/>
  <c r="AQ212" i="83"/>
  <c r="AQ211" i="83"/>
  <c r="AQ210" i="83"/>
  <c r="AQ209" i="83"/>
  <c r="AQ208" i="83"/>
  <c r="AQ207" i="83"/>
  <c r="AQ206" i="83"/>
  <c r="AQ205" i="83"/>
  <c r="AQ204" i="83"/>
  <c r="AQ203" i="83"/>
  <c r="AQ202" i="83"/>
  <c r="AQ201" i="83"/>
  <c r="AQ200" i="83"/>
  <c r="AQ294" i="83"/>
  <c r="AQ290" i="83"/>
  <c r="AQ286" i="83"/>
  <c r="AQ277" i="83"/>
  <c r="AQ269" i="83"/>
  <c r="AQ261" i="83"/>
  <c r="AQ256" i="83"/>
  <c r="AQ300" i="83"/>
  <c r="AQ282" i="83"/>
  <c r="AQ274" i="83"/>
  <c r="AQ266" i="83"/>
  <c r="AQ258" i="83"/>
  <c r="AR209" i="83"/>
  <c r="AR201" i="83"/>
  <c r="AQ285" i="83"/>
  <c r="AR214" i="83"/>
  <c r="AR206" i="83"/>
  <c r="AQ262" i="83"/>
  <c r="AR211" i="83"/>
  <c r="AR203" i="83"/>
  <c r="AQ271" i="83"/>
  <c r="AR216" i="83"/>
  <c r="AR208" i="83"/>
  <c r="AR199" i="83"/>
  <c r="AR198" i="83"/>
  <c r="AR197" i="83"/>
  <c r="AR196" i="83"/>
  <c r="AR195" i="83"/>
  <c r="AR194" i="83"/>
  <c r="AR193" i="83"/>
  <c r="AR192" i="83"/>
  <c r="AR191" i="83"/>
  <c r="AR190" i="83"/>
  <c r="AR189" i="83"/>
  <c r="AR188" i="83"/>
  <c r="AR187" i="83"/>
  <c r="AR186" i="83"/>
  <c r="AR185" i="83"/>
  <c r="AR184" i="83"/>
  <c r="AR183" i="83"/>
  <c r="AR182" i="83"/>
  <c r="AR181" i="83"/>
  <c r="AR180" i="83"/>
  <c r="AR179" i="83"/>
  <c r="AR178" i="83"/>
  <c r="AR177" i="83"/>
  <c r="AR176" i="83"/>
  <c r="AR175" i="83"/>
  <c r="AR174" i="83"/>
  <c r="AR173" i="83"/>
  <c r="AR172" i="83"/>
  <c r="AR171" i="83"/>
  <c r="AR170" i="83"/>
  <c r="AR169" i="83"/>
  <c r="AR168" i="83"/>
  <c r="AR167" i="83"/>
  <c r="AR166" i="83"/>
  <c r="AR165" i="83"/>
  <c r="AR164" i="83"/>
  <c r="AR163" i="83"/>
  <c r="AR162" i="83"/>
  <c r="AR161" i="83"/>
  <c r="AR160" i="83"/>
  <c r="AR159" i="83"/>
  <c r="AR158" i="83"/>
  <c r="AR157" i="83"/>
  <c r="AR156" i="83"/>
  <c r="AR155" i="83"/>
  <c r="AR154" i="83"/>
  <c r="AR153" i="83"/>
  <c r="AR152" i="83"/>
  <c r="AR151" i="83"/>
  <c r="AR150" i="83"/>
  <c r="AR149" i="83"/>
  <c r="AQ263" i="83"/>
  <c r="AR213" i="83"/>
  <c r="AR205" i="83"/>
  <c r="AQ199" i="83"/>
  <c r="AQ198" i="83"/>
  <c r="AQ197" i="83"/>
  <c r="AQ196" i="83"/>
  <c r="AQ195" i="83"/>
  <c r="AQ194" i="83"/>
  <c r="AQ193" i="83"/>
  <c r="AQ192" i="83"/>
  <c r="AQ191" i="83"/>
  <c r="AQ190" i="83"/>
  <c r="AQ189" i="83"/>
  <c r="AQ188" i="83"/>
  <c r="AQ187" i="83"/>
  <c r="AQ186" i="83"/>
  <c r="AQ185" i="83"/>
  <c r="AQ184" i="83"/>
  <c r="AQ183" i="83"/>
  <c r="AQ182" i="83"/>
  <c r="AQ181" i="83"/>
  <c r="AQ180" i="83"/>
  <c r="AQ179" i="83"/>
  <c r="AQ178" i="83"/>
  <c r="AQ177" i="83"/>
  <c r="AQ176" i="83"/>
  <c r="AQ175" i="83"/>
  <c r="AQ174" i="83"/>
  <c r="AQ173" i="83"/>
  <c r="AQ172" i="83"/>
  <c r="AQ171" i="83"/>
  <c r="AQ170" i="83"/>
  <c r="AQ169" i="83"/>
  <c r="AQ168" i="83"/>
  <c r="AQ167" i="83"/>
  <c r="AQ166" i="83"/>
  <c r="AQ165" i="83"/>
  <c r="AQ164" i="83"/>
  <c r="AQ163" i="83"/>
  <c r="AQ162" i="83"/>
  <c r="AQ161" i="83"/>
  <c r="AQ160" i="83"/>
  <c r="AQ159" i="83"/>
  <c r="AQ158" i="83"/>
  <c r="AQ157" i="83"/>
  <c r="AQ156" i="83"/>
  <c r="AQ155" i="83"/>
  <c r="AQ154" i="83"/>
  <c r="AQ153" i="83"/>
  <c r="AQ152" i="83"/>
  <c r="AQ151" i="83"/>
  <c r="AQ150" i="83"/>
  <c r="AQ149" i="83"/>
  <c r="AQ148" i="83"/>
  <c r="AQ147" i="83"/>
  <c r="AQ146" i="83"/>
  <c r="AQ293" i="83"/>
  <c r="AQ279" i="83"/>
  <c r="AR210" i="83"/>
  <c r="AR202" i="83"/>
  <c r="AR200" i="83"/>
  <c r="AR215" i="83"/>
  <c r="AR207" i="83"/>
  <c r="AR212" i="83"/>
  <c r="AR204" i="83"/>
  <c r="AR145" i="83"/>
  <c r="AR144" i="83"/>
  <c r="AR143" i="83"/>
  <c r="AR142" i="83"/>
  <c r="AR141" i="83"/>
  <c r="AR140" i="83"/>
  <c r="AR139" i="83"/>
  <c r="AR138" i="83"/>
  <c r="AR137" i="83"/>
  <c r="AR136" i="83"/>
  <c r="AR135" i="83"/>
  <c r="AR134" i="83"/>
  <c r="AR133" i="83"/>
  <c r="AR132" i="83"/>
  <c r="AR131" i="83"/>
  <c r="AR130" i="83"/>
  <c r="AR146" i="83"/>
  <c r="AQ145" i="83"/>
  <c r="AQ144" i="83"/>
  <c r="AQ143" i="83"/>
  <c r="AQ142" i="83"/>
  <c r="AQ141" i="83"/>
  <c r="AQ140" i="83"/>
  <c r="AQ139" i="83"/>
  <c r="AQ138" i="83"/>
  <c r="AQ137" i="83"/>
  <c r="AQ136" i="83"/>
  <c r="AQ135" i="83"/>
  <c r="AQ134" i="83"/>
  <c r="AQ133" i="83"/>
  <c r="AQ132" i="83"/>
  <c r="AQ131" i="83"/>
  <c r="AQ130" i="83"/>
  <c r="AQ129" i="83"/>
  <c r="AQ128" i="83"/>
  <c r="AQ127" i="83"/>
  <c r="AQ126" i="83"/>
  <c r="AQ125" i="83"/>
  <c r="AQ124" i="83"/>
  <c r="AQ123" i="83"/>
  <c r="AQ122" i="83"/>
  <c r="AQ121" i="83"/>
  <c r="AQ120" i="83"/>
  <c r="AQ119" i="83"/>
  <c r="AQ118" i="83"/>
  <c r="AQ117" i="83"/>
  <c r="AQ116" i="83"/>
  <c r="AQ115" i="83"/>
  <c r="AQ114" i="83"/>
  <c r="AQ113" i="83"/>
  <c r="AQ112" i="83"/>
  <c r="AQ111" i="83"/>
  <c r="AQ110" i="83"/>
  <c r="AQ109" i="83"/>
  <c r="AQ108" i="83"/>
  <c r="AQ107" i="83"/>
  <c r="AQ106" i="83"/>
  <c r="AQ105" i="83"/>
  <c r="AQ104" i="83"/>
  <c r="AQ103" i="83"/>
  <c r="AQ102" i="83"/>
  <c r="AQ101" i="83"/>
  <c r="AQ289" i="83"/>
  <c r="AR148" i="83"/>
  <c r="AR125" i="83"/>
  <c r="AR117" i="83"/>
  <c r="AR112" i="83"/>
  <c r="AR108" i="83"/>
  <c r="AR104" i="83"/>
  <c r="AR127" i="83"/>
  <c r="AR119" i="83"/>
  <c r="AR111" i="83"/>
  <c r="AR107" i="83"/>
  <c r="AR103" i="83"/>
  <c r="AR128" i="83"/>
  <c r="AR120" i="83"/>
  <c r="AR121" i="83"/>
  <c r="AR109" i="83"/>
  <c r="AQ97" i="83"/>
  <c r="AR96" i="83"/>
  <c r="AQ89" i="83"/>
  <c r="AR88" i="83"/>
  <c r="AQ81" i="83"/>
  <c r="AR80" i="83"/>
  <c r="AQ73" i="83"/>
  <c r="AR72" i="83"/>
  <c r="AQ66" i="83"/>
  <c r="AR61" i="83"/>
  <c r="AQ58" i="83"/>
  <c r="AR55" i="83"/>
  <c r="AR54" i="83"/>
  <c r="AR53" i="83"/>
  <c r="AR52" i="83"/>
  <c r="AR51" i="83"/>
  <c r="AR50" i="83"/>
  <c r="AR49" i="83"/>
  <c r="AR48" i="83"/>
  <c r="AR47" i="83"/>
  <c r="AR46" i="83"/>
  <c r="AR45" i="83"/>
  <c r="AR44" i="83"/>
  <c r="AR43" i="83"/>
  <c r="AR42" i="83"/>
  <c r="AR41" i="83"/>
  <c r="AR40" i="83"/>
  <c r="AQ37" i="83"/>
  <c r="AR33" i="83"/>
  <c r="AQ27" i="83"/>
  <c r="AQ98" i="83"/>
  <c r="AQ82" i="83"/>
  <c r="AQ63" i="83"/>
  <c r="AR58" i="83"/>
  <c r="AQ31" i="83"/>
  <c r="AR126" i="83"/>
  <c r="AR124" i="83"/>
  <c r="AR114" i="83"/>
  <c r="AR110" i="83"/>
  <c r="AQ96" i="83"/>
  <c r="AR95" i="83"/>
  <c r="AQ88" i="83"/>
  <c r="AR87" i="83"/>
  <c r="AQ80" i="83"/>
  <c r="AR79" i="83"/>
  <c r="AQ72" i="83"/>
  <c r="AR69" i="83"/>
  <c r="AR64" i="83"/>
  <c r="AQ61" i="83"/>
  <c r="AR56" i="83"/>
  <c r="AQ55" i="83"/>
  <c r="AQ54" i="83"/>
  <c r="AQ53" i="83"/>
  <c r="AQ52" i="83"/>
  <c r="AQ51" i="83"/>
  <c r="AQ50" i="83"/>
  <c r="AQ49" i="83"/>
  <c r="AQ48" i="83"/>
  <c r="AQ47" i="83"/>
  <c r="AQ46" i="83"/>
  <c r="AQ45" i="83"/>
  <c r="AQ44" i="83"/>
  <c r="AQ43" i="83"/>
  <c r="AQ42" i="83"/>
  <c r="AQ41" i="83"/>
  <c r="AQ40" i="83"/>
  <c r="AQ33" i="83"/>
  <c r="AR30" i="83"/>
  <c r="AR26" i="83"/>
  <c r="AR147" i="83"/>
  <c r="AR129" i="83"/>
  <c r="AR105" i="83"/>
  <c r="AQ95" i="83"/>
  <c r="AR94" i="83"/>
  <c r="AQ87" i="83"/>
  <c r="AR86" i="83"/>
  <c r="AQ79" i="83"/>
  <c r="AR78" i="83"/>
  <c r="AQ69" i="83"/>
  <c r="AR67" i="83"/>
  <c r="AQ64" i="83"/>
  <c r="AR59" i="83"/>
  <c r="AQ56" i="83"/>
  <c r="AR39" i="83"/>
  <c r="AQ30" i="83"/>
  <c r="AQ26" i="83"/>
  <c r="AR116" i="83"/>
  <c r="AR73" i="83"/>
  <c r="AR122" i="83"/>
  <c r="AR106" i="83"/>
  <c r="AQ94" i="83"/>
  <c r="AR93" i="83"/>
  <c r="AQ86" i="83"/>
  <c r="AR85" i="83"/>
  <c r="AQ78" i="83"/>
  <c r="AR77" i="83"/>
  <c r="AR71" i="83"/>
  <c r="AQ67" i="83"/>
  <c r="AR62" i="83"/>
  <c r="AQ59" i="83"/>
  <c r="AQ39" i="83"/>
  <c r="AR36" i="83"/>
  <c r="AR32" i="83"/>
  <c r="AR29" i="83"/>
  <c r="AR27" i="83"/>
  <c r="AR115" i="83"/>
  <c r="AR102" i="83"/>
  <c r="AR101" i="83"/>
  <c r="AR100" i="83"/>
  <c r="AQ93" i="83"/>
  <c r="AR92" i="83"/>
  <c r="AQ85" i="83"/>
  <c r="AR84" i="83"/>
  <c r="AQ77" i="83"/>
  <c r="AR76" i="83"/>
  <c r="AQ71" i="83"/>
  <c r="AR65" i="83"/>
  <c r="AQ62" i="83"/>
  <c r="AR57" i="83"/>
  <c r="AR38" i="83"/>
  <c r="AQ36" i="83"/>
  <c r="AR35" i="83"/>
  <c r="AQ32" i="83"/>
  <c r="AQ29" i="83"/>
  <c r="AQ90" i="83"/>
  <c r="AR89" i="83"/>
  <c r="AQ70" i="83"/>
  <c r="AQ28" i="83"/>
  <c r="AQ100" i="83"/>
  <c r="AR99" i="83"/>
  <c r="AQ92" i="83"/>
  <c r="AR91" i="83"/>
  <c r="AQ84" i="83"/>
  <c r="AR83" i="83"/>
  <c r="AQ76" i="83"/>
  <c r="AR75" i="83"/>
  <c r="AR68" i="83"/>
  <c r="AQ65" i="83"/>
  <c r="AR60" i="83"/>
  <c r="AQ57" i="83"/>
  <c r="AQ38" i="83"/>
  <c r="AQ35" i="83"/>
  <c r="AR34" i="83"/>
  <c r="AR25" i="83"/>
  <c r="AR17" i="83"/>
  <c r="AR18" i="83" s="1"/>
  <c r="AR19" i="83" s="1"/>
  <c r="AR20" i="83" s="1"/>
  <c r="AR21" i="83" s="1"/>
  <c r="AR22" i="83" s="1"/>
  <c r="AR23" i="83" s="1"/>
  <c r="AR24" i="83" s="1"/>
  <c r="AQ74" i="83"/>
  <c r="AR37" i="83"/>
  <c r="AR123" i="83"/>
  <c r="AR113" i="83"/>
  <c r="AQ99" i="83"/>
  <c r="AR98" i="83"/>
  <c r="AQ91" i="83"/>
  <c r="AR90" i="83"/>
  <c r="AQ83" i="83"/>
  <c r="AR82" i="83"/>
  <c r="AQ75" i="83"/>
  <c r="AR74" i="83"/>
  <c r="AR70" i="83"/>
  <c r="AQ68" i="83"/>
  <c r="AR63" i="83"/>
  <c r="AQ60" i="83"/>
  <c r="AQ34" i="83"/>
  <c r="AW33" i="83"/>
  <c r="AR31" i="83"/>
  <c r="AR28" i="83"/>
  <c r="AQ25" i="83"/>
  <c r="AR118" i="83"/>
  <c r="AR97" i="83"/>
  <c r="AR81" i="83"/>
  <c r="AR66" i="83"/>
  <c r="AA15" i="83"/>
  <c r="AI15" i="83" s="1"/>
  <c r="AQ15" i="83" s="1"/>
  <c r="BK20" i="83"/>
  <c r="J21" i="83"/>
  <c r="AR529" i="82"/>
  <c r="AR528" i="82"/>
  <c r="AR527" i="82"/>
  <c r="AR526" i="82"/>
  <c r="AR525" i="82"/>
  <c r="AR524" i="82"/>
  <c r="AR523" i="82"/>
  <c r="AR522" i="82"/>
  <c r="AR521" i="82"/>
  <c r="AR520" i="82"/>
  <c r="AR519" i="82"/>
  <c r="AR518" i="82"/>
  <c r="AR517" i="82"/>
  <c r="AR516" i="82"/>
  <c r="AR515" i="82"/>
  <c r="AQ529" i="82"/>
  <c r="AQ528" i="82"/>
  <c r="AQ527" i="82"/>
  <c r="AQ526" i="82"/>
  <c r="AQ525" i="82"/>
  <c r="AQ524" i="82"/>
  <c r="AQ523" i="82"/>
  <c r="AQ522" i="82"/>
  <c r="AQ521" i="82"/>
  <c r="AQ520" i="82"/>
  <c r="AQ519" i="82"/>
  <c r="AQ518" i="82"/>
  <c r="AQ517" i="82"/>
  <c r="AQ516" i="82"/>
  <c r="AQ515" i="82"/>
  <c r="AQ514" i="82"/>
  <c r="AQ513" i="82"/>
  <c r="AQ512" i="82"/>
  <c r="AQ511" i="82"/>
  <c r="AQ510" i="82"/>
  <c r="AQ509" i="82"/>
  <c r="AQ508" i="82"/>
  <c r="AQ507" i="82"/>
  <c r="AQ506" i="82"/>
  <c r="AQ505" i="82"/>
  <c r="AQ504" i="82"/>
  <c r="AQ503" i="82"/>
  <c r="AQ502" i="82"/>
  <c r="AR511" i="82"/>
  <c r="AR507" i="82"/>
  <c r="AR503" i="82"/>
  <c r="AR514" i="82"/>
  <c r="AR512" i="82"/>
  <c r="AQ495" i="82"/>
  <c r="AR494" i="82"/>
  <c r="AR487" i="82"/>
  <c r="AQ482" i="82"/>
  <c r="AR479" i="82"/>
  <c r="AR509" i="82"/>
  <c r="AR505" i="82"/>
  <c r="AR501" i="82"/>
  <c r="AQ494" i="82"/>
  <c r="AR493" i="82"/>
  <c r="AQ487" i="82"/>
  <c r="AR484" i="82"/>
  <c r="AQ479" i="82"/>
  <c r="AR510" i="82"/>
  <c r="AR506" i="82"/>
  <c r="AR502" i="82"/>
  <c r="AQ501" i="82"/>
  <c r="AR500" i="82"/>
  <c r="AQ493" i="82"/>
  <c r="AR492" i="82"/>
  <c r="AQ484" i="82"/>
  <c r="AR481" i="82"/>
  <c r="AR476" i="82"/>
  <c r="AR475" i="82"/>
  <c r="AR474" i="82"/>
  <c r="AR473" i="82"/>
  <c r="AR472" i="82"/>
  <c r="AR471" i="82"/>
  <c r="AR470" i="82"/>
  <c r="AR469" i="82"/>
  <c r="AR468" i="82"/>
  <c r="AR467" i="82"/>
  <c r="AR466" i="82"/>
  <c r="AR465" i="82"/>
  <c r="AR464" i="82"/>
  <c r="AR463" i="82"/>
  <c r="AR462" i="82"/>
  <c r="AR461" i="82"/>
  <c r="AR460" i="82"/>
  <c r="AR459" i="82"/>
  <c r="AR458" i="82"/>
  <c r="AR457" i="82"/>
  <c r="AR456" i="82"/>
  <c r="AQ500" i="82"/>
  <c r="AR499" i="82"/>
  <c r="AQ492" i="82"/>
  <c r="AR491" i="82"/>
  <c r="AR486" i="82"/>
  <c r="AQ481" i="82"/>
  <c r="AR478" i="82"/>
  <c r="AQ476" i="82"/>
  <c r="AQ475" i="82"/>
  <c r="AQ474" i="82"/>
  <c r="AQ473" i="82"/>
  <c r="AQ472" i="82"/>
  <c r="AQ471" i="82"/>
  <c r="AQ470" i="82"/>
  <c r="AQ469" i="82"/>
  <c r="AQ468" i="82"/>
  <c r="AQ467" i="82"/>
  <c r="AQ466" i="82"/>
  <c r="AQ465" i="82"/>
  <c r="AQ464" i="82"/>
  <c r="AQ463" i="82"/>
  <c r="AQ462" i="82"/>
  <c r="AQ461" i="82"/>
  <c r="AQ460" i="82"/>
  <c r="AQ459" i="82"/>
  <c r="AQ458" i="82"/>
  <c r="AQ457" i="82"/>
  <c r="AQ456" i="82"/>
  <c r="AQ455" i="82"/>
  <c r="AQ454" i="82"/>
  <c r="AQ453" i="82"/>
  <c r="AQ452" i="82"/>
  <c r="AQ451" i="82"/>
  <c r="AQ450" i="82"/>
  <c r="AQ449" i="82"/>
  <c r="AQ448" i="82"/>
  <c r="AQ447" i="82"/>
  <c r="AQ446" i="82"/>
  <c r="AQ499" i="82"/>
  <c r="AR498" i="82"/>
  <c r="AQ491" i="82"/>
  <c r="AR490" i="82"/>
  <c r="AQ486" i="82"/>
  <c r="AR483" i="82"/>
  <c r="AQ478" i="82"/>
  <c r="AR513" i="82"/>
  <c r="AQ497" i="82"/>
  <c r="AR496" i="82"/>
  <c r="AQ489" i="82"/>
  <c r="AR488" i="82"/>
  <c r="AR485" i="82"/>
  <c r="AQ480" i="82"/>
  <c r="AR477" i="82"/>
  <c r="AQ485" i="82"/>
  <c r="AR448" i="82"/>
  <c r="AR508" i="82"/>
  <c r="AQ488" i="82"/>
  <c r="AR480" i="82"/>
  <c r="AR451" i="82"/>
  <c r="AQ496" i="82"/>
  <c r="AQ490" i="82"/>
  <c r="AR482" i="82"/>
  <c r="AR453" i="82"/>
  <c r="AR446" i="82"/>
  <c r="AR504" i="82"/>
  <c r="AQ498" i="82"/>
  <c r="AQ477" i="82"/>
  <c r="AR449" i="82"/>
  <c r="AR455" i="82"/>
  <c r="AR497" i="82"/>
  <c r="AR495" i="82"/>
  <c r="AQ483" i="82"/>
  <c r="AR450" i="82"/>
  <c r="AR447" i="82"/>
  <c r="AQ428" i="82"/>
  <c r="AR425" i="82"/>
  <c r="AR423" i="82"/>
  <c r="AR421" i="82"/>
  <c r="AR419" i="82"/>
  <c r="AR417" i="82"/>
  <c r="AR415" i="82"/>
  <c r="AR427" i="82"/>
  <c r="AQ425" i="82"/>
  <c r="AQ423" i="82"/>
  <c r="AQ421" i="82"/>
  <c r="AQ419" i="82"/>
  <c r="AQ417" i="82"/>
  <c r="AQ415" i="82"/>
  <c r="AR454" i="82"/>
  <c r="AR452" i="82"/>
  <c r="AQ427" i="82"/>
  <c r="AR445" i="82"/>
  <c r="AR444" i="82"/>
  <c r="AR443" i="82"/>
  <c r="AR442" i="82"/>
  <c r="AR441" i="82"/>
  <c r="AR440" i="82"/>
  <c r="AR439" i="82"/>
  <c r="AR438" i="82"/>
  <c r="AR437" i="82"/>
  <c r="AR436" i="82"/>
  <c r="AR435" i="82"/>
  <c r="AR434" i="82"/>
  <c r="AR433" i="82"/>
  <c r="AR432" i="82"/>
  <c r="AR431" i="82"/>
  <c r="AR430" i="82"/>
  <c r="AR426" i="82"/>
  <c r="AR424" i="82"/>
  <c r="AR422" i="82"/>
  <c r="AR420" i="82"/>
  <c r="AR418" i="82"/>
  <c r="AR416" i="82"/>
  <c r="AR413" i="82"/>
  <c r="AQ412" i="82"/>
  <c r="AQ411" i="82"/>
  <c r="AQ410" i="82"/>
  <c r="AQ409" i="82"/>
  <c r="AQ408" i="82"/>
  <c r="AQ407" i="82"/>
  <c r="AQ406" i="82"/>
  <c r="AQ405" i="82"/>
  <c r="AQ404" i="82"/>
  <c r="AQ403" i="82"/>
  <c r="AQ402" i="82"/>
  <c r="AQ401" i="82"/>
  <c r="AQ400" i="82"/>
  <c r="AQ399" i="82"/>
  <c r="AQ398" i="82"/>
  <c r="AQ397" i="82"/>
  <c r="AQ396" i="82"/>
  <c r="AQ395" i="82"/>
  <c r="AQ394" i="82"/>
  <c r="AQ393" i="82"/>
  <c r="AQ392" i="82"/>
  <c r="AQ391" i="82"/>
  <c r="AQ390" i="82"/>
  <c r="AQ389" i="82"/>
  <c r="AQ388" i="82"/>
  <c r="AQ387" i="82"/>
  <c r="AQ386" i="82"/>
  <c r="AQ385" i="82"/>
  <c r="AQ384" i="82"/>
  <c r="AQ383" i="82"/>
  <c r="AQ382" i="82"/>
  <c r="AQ381" i="82"/>
  <c r="AQ444" i="82"/>
  <c r="AQ442" i="82"/>
  <c r="AQ440" i="82"/>
  <c r="AQ438" i="82"/>
  <c r="AQ436" i="82"/>
  <c r="AQ434" i="82"/>
  <c r="AQ432" i="82"/>
  <c r="AQ416" i="82"/>
  <c r="AR411" i="82"/>
  <c r="AR393" i="82"/>
  <c r="AR385" i="82"/>
  <c r="AR489" i="82"/>
  <c r="AQ426" i="82"/>
  <c r="AR412" i="82"/>
  <c r="AR395" i="82"/>
  <c r="AR388" i="82"/>
  <c r="AQ430" i="82"/>
  <c r="AR428" i="82"/>
  <c r="AQ420" i="82"/>
  <c r="AR391" i="82"/>
  <c r="AR383" i="82"/>
  <c r="AQ413" i="82"/>
  <c r="AR406" i="82"/>
  <c r="AR405" i="82"/>
  <c r="AR404" i="82"/>
  <c r="AR403" i="82"/>
  <c r="AR402" i="82"/>
  <c r="AR401" i="82"/>
  <c r="AR400" i="82"/>
  <c r="AR399" i="82"/>
  <c r="AR398" i="82"/>
  <c r="AR394" i="82"/>
  <c r="AR386" i="82"/>
  <c r="AR380" i="82"/>
  <c r="AR379" i="82"/>
  <c r="AR378" i="82"/>
  <c r="AR377" i="82"/>
  <c r="AR376" i="82"/>
  <c r="AR375" i="82"/>
  <c r="AR374" i="82"/>
  <c r="AR373" i="82"/>
  <c r="AR372" i="82"/>
  <c r="AR371" i="82"/>
  <c r="AR370" i="82"/>
  <c r="AR369" i="82"/>
  <c r="AR368" i="82"/>
  <c r="AR367" i="82"/>
  <c r="AR366" i="82"/>
  <c r="AR365" i="82"/>
  <c r="AR364" i="82"/>
  <c r="AR363" i="82"/>
  <c r="AR362" i="82"/>
  <c r="AR361" i="82"/>
  <c r="AR360" i="82"/>
  <c r="AR359" i="82"/>
  <c r="AR358" i="82"/>
  <c r="AR357" i="82"/>
  <c r="AR356" i="82"/>
  <c r="AR355" i="82"/>
  <c r="AR354" i="82"/>
  <c r="AR353" i="82"/>
  <c r="AR352" i="82"/>
  <c r="AR351" i="82"/>
  <c r="AR350" i="82"/>
  <c r="AR349" i="82"/>
  <c r="AR348" i="82"/>
  <c r="AR347" i="82"/>
  <c r="AR346" i="82"/>
  <c r="AQ445" i="82"/>
  <c r="AQ443" i="82"/>
  <c r="AQ441" i="82"/>
  <c r="AQ439" i="82"/>
  <c r="AQ437" i="82"/>
  <c r="AQ435" i="82"/>
  <c r="AQ433" i="82"/>
  <c r="AQ424" i="82"/>
  <c r="AR414" i="82"/>
  <c r="AR407" i="82"/>
  <c r="AR389" i="82"/>
  <c r="AR381" i="82"/>
  <c r="AQ380" i="82"/>
  <c r="AQ379" i="82"/>
  <c r="AQ378" i="82"/>
  <c r="AQ377" i="82"/>
  <c r="AQ376" i="82"/>
  <c r="AQ375" i="82"/>
  <c r="AQ374" i="82"/>
  <c r="AQ373" i="82"/>
  <c r="AQ372" i="82"/>
  <c r="AQ371" i="82"/>
  <c r="AQ370" i="82"/>
  <c r="AQ369" i="82"/>
  <c r="AQ368" i="82"/>
  <c r="AQ367" i="82"/>
  <c r="AQ366" i="82"/>
  <c r="AQ365" i="82"/>
  <c r="AQ364" i="82"/>
  <c r="AQ363" i="82"/>
  <c r="AQ362" i="82"/>
  <c r="AQ361" i="82"/>
  <c r="AQ360" i="82"/>
  <c r="AQ359" i="82"/>
  <c r="AQ358" i="82"/>
  <c r="AQ357" i="82"/>
  <c r="AQ356" i="82"/>
  <c r="AQ355" i="82"/>
  <c r="AQ354" i="82"/>
  <c r="AQ353" i="82"/>
  <c r="AQ352" i="82"/>
  <c r="AQ351" i="82"/>
  <c r="AQ350" i="82"/>
  <c r="AQ349" i="82"/>
  <c r="AQ348" i="82"/>
  <c r="AQ347" i="82"/>
  <c r="AQ346" i="82"/>
  <c r="AQ345" i="82"/>
  <c r="AQ344" i="82"/>
  <c r="AQ343" i="82"/>
  <c r="AQ342" i="82"/>
  <c r="AQ341" i="82"/>
  <c r="AQ431" i="82"/>
  <c r="AQ418" i="82"/>
  <c r="AQ414" i="82"/>
  <c r="AR408" i="82"/>
  <c r="AR397" i="82"/>
  <c r="AR392" i="82"/>
  <c r="AR384" i="82"/>
  <c r="AQ429" i="82"/>
  <c r="AR409" i="82"/>
  <c r="AR340" i="82"/>
  <c r="AR339" i="82"/>
  <c r="AR338" i="82"/>
  <c r="AR337" i="82"/>
  <c r="AR336" i="82"/>
  <c r="AR335" i="82"/>
  <c r="AR334" i="82"/>
  <c r="AR333" i="82"/>
  <c r="AR332" i="82"/>
  <c r="AR331" i="82"/>
  <c r="AR330" i="82"/>
  <c r="AR329" i="82"/>
  <c r="AR328" i="82"/>
  <c r="AR327" i="82"/>
  <c r="AR326" i="82"/>
  <c r="AR325" i="82"/>
  <c r="AR324" i="82"/>
  <c r="AR323" i="82"/>
  <c r="AR322" i="82"/>
  <c r="AR321" i="82"/>
  <c r="AR320" i="82"/>
  <c r="AR319" i="82"/>
  <c r="AR318" i="82"/>
  <c r="AR317" i="82"/>
  <c r="AR316" i="82"/>
  <c r="AR315" i="82"/>
  <c r="AR314" i="82"/>
  <c r="AR313" i="82"/>
  <c r="AR312" i="82"/>
  <c r="AR311" i="82"/>
  <c r="AR310" i="82"/>
  <c r="AR309" i="82"/>
  <c r="AR308" i="82"/>
  <c r="AR307" i="82"/>
  <c r="AR306" i="82"/>
  <c r="AR305" i="82"/>
  <c r="AR304" i="82"/>
  <c r="AR303" i="82"/>
  <c r="AR302" i="82"/>
  <c r="AR301" i="82"/>
  <c r="AR300" i="82"/>
  <c r="AR299" i="82"/>
  <c r="AR298" i="82"/>
  <c r="AR297" i="82"/>
  <c r="AR296" i="82"/>
  <c r="AR295" i="82"/>
  <c r="AR294" i="82"/>
  <c r="AR293" i="82"/>
  <c r="AR292" i="82"/>
  <c r="AR291" i="82"/>
  <c r="AR290" i="82"/>
  <c r="AR289" i="82"/>
  <c r="AR288" i="82"/>
  <c r="AR287" i="82"/>
  <c r="AR286" i="82"/>
  <c r="AR285" i="82"/>
  <c r="AR284" i="82"/>
  <c r="AR283" i="82"/>
  <c r="AR282" i="82"/>
  <c r="AR281" i="82"/>
  <c r="AR280" i="82"/>
  <c r="AR279" i="82"/>
  <c r="AR278" i="82"/>
  <c r="AR277" i="82"/>
  <c r="AR276" i="82"/>
  <c r="AR275" i="82"/>
  <c r="AR274" i="82"/>
  <c r="AR273" i="82"/>
  <c r="AR272" i="82"/>
  <c r="AQ340" i="82"/>
  <c r="AQ339" i="82"/>
  <c r="AQ338" i="82"/>
  <c r="AQ337" i="82"/>
  <c r="AQ336" i="82"/>
  <c r="AQ335" i="82"/>
  <c r="AQ334" i="82"/>
  <c r="AQ333" i="82"/>
  <c r="AQ332" i="82"/>
  <c r="AQ331" i="82"/>
  <c r="AQ330" i="82"/>
  <c r="AQ329" i="82"/>
  <c r="AQ328" i="82"/>
  <c r="AQ327" i="82"/>
  <c r="AQ326" i="82"/>
  <c r="AQ325" i="82"/>
  <c r="AQ324" i="82"/>
  <c r="AQ323" i="82"/>
  <c r="AQ322" i="82"/>
  <c r="AQ321" i="82"/>
  <c r="AQ320" i="82"/>
  <c r="AQ319" i="82"/>
  <c r="AQ318" i="82"/>
  <c r="AQ317" i="82"/>
  <c r="AQ316" i="82"/>
  <c r="AQ315" i="82"/>
  <c r="AQ314" i="82"/>
  <c r="AQ313" i="82"/>
  <c r="AQ312" i="82"/>
  <c r="AQ311" i="82"/>
  <c r="AQ310" i="82"/>
  <c r="AQ309" i="82"/>
  <c r="AQ308" i="82"/>
  <c r="AQ307" i="82"/>
  <c r="AQ306" i="82"/>
  <c r="AQ305" i="82"/>
  <c r="AQ304" i="82"/>
  <c r="AQ303" i="82"/>
  <c r="AQ302" i="82"/>
  <c r="AQ301" i="82"/>
  <c r="AQ300" i="82"/>
  <c r="AQ299" i="82"/>
  <c r="AQ298" i="82"/>
  <c r="AQ297" i="82"/>
  <c r="AQ296" i="82"/>
  <c r="AQ295" i="82"/>
  <c r="AQ294" i="82"/>
  <c r="AQ293" i="82"/>
  <c r="AQ292" i="82"/>
  <c r="AQ291" i="82"/>
  <c r="AQ290" i="82"/>
  <c r="AQ289" i="82"/>
  <c r="AQ288" i="82"/>
  <c r="AQ287" i="82"/>
  <c r="AQ286" i="82"/>
  <c r="AQ285" i="82"/>
  <c r="AQ284" i="82"/>
  <c r="AQ283" i="82"/>
  <c r="AQ282" i="82"/>
  <c r="AQ281" i="82"/>
  <c r="AQ280" i="82"/>
  <c r="AQ279" i="82"/>
  <c r="AQ278" i="82"/>
  <c r="AQ277" i="82"/>
  <c r="AQ276" i="82"/>
  <c r="AQ275" i="82"/>
  <c r="AQ274" i="82"/>
  <c r="AQ273" i="82"/>
  <c r="AQ272" i="82"/>
  <c r="AQ271" i="82"/>
  <c r="AQ270" i="82"/>
  <c r="AQ269" i="82"/>
  <c r="AQ268" i="82"/>
  <c r="AQ422" i="82"/>
  <c r="AR410" i="82"/>
  <c r="AR382" i="82"/>
  <c r="AR341" i="82"/>
  <c r="AR429" i="82"/>
  <c r="AR390" i="82"/>
  <c r="AR387" i="82"/>
  <c r="AR342" i="82"/>
  <c r="AR267" i="82"/>
  <c r="AR266" i="82"/>
  <c r="AR265" i="82"/>
  <c r="AR264" i="82"/>
  <c r="AR263" i="82"/>
  <c r="AR262" i="82"/>
  <c r="AR261" i="82"/>
  <c r="AR260" i="82"/>
  <c r="AR259" i="82"/>
  <c r="AR258" i="82"/>
  <c r="AR257" i="82"/>
  <c r="AR256" i="82"/>
  <c r="AR255" i="82"/>
  <c r="AR254" i="82"/>
  <c r="AR253" i="82"/>
  <c r="AR252" i="82"/>
  <c r="AR251" i="82"/>
  <c r="AR250" i="82"/>
  <c r="AR249" i="82"/>
  <c r="AR248" i="82"/>
  <c r="AR247" i="82"/>
  <c r="AR246" i="82"/>
  <c r="AR245" i="82"/>
  <c r="AR244" i="82"/>
  <c r="AR243" i="82"/>
  <c r="AR242" i="82"/>
  <c r="AR241" i="82"/>
  <c r="AR240" i="82"/>
  <c r="AR239" i="82"/>
  <c r="AR238" i="82"/>
  <c r="AR237" i="82"/>
  <c r="AR236" i="82"/>
  <c r="AR235" i="82"/>
  <c r="AR234" i="82"/>
  <c r="AR233" i="82"/>
  <c r="AR232" i="82"/>
  <c r="AR231" i="82"/>
  <c r="AR230" i="82"/>
  <c r="AR229" i="82"/>
  <c r="AR228" i="82"/>
  <c r="AR227" i="82"/>
  <c r="AR226" i="82"/>
  <c r="AR225" i="82"/>
  <c r="AR224" i="82"/>
  <c r="AR223" i="82"/>
  <c r="AR222" i="82"/>
  <c r="AR221" i="82"/>
  <c r="AR220" i="82"/>
  <c r="AR219" i="82"/>
  <c r="AR218" i="82"/>
  <c r="AR217" i="82"/>
  <c r="AR345" i="82"/>
  <c r="AR270" i="82"/>
  <c r="AQ267" i="82"/>
  <c r="AQ266" i="82"/>
  <c r="AQ265" i="82"/>
  <c r="AQ264" i="82"/>
  <c r="AQ263" i="82"/>
  <c r="AQ262" i="82"/>
  <c r="AQ261" i="82"/>
  <c r="AQ260" i="82"/>
  <c r="AQ259" i="82"/>
  <c r="AQ258" i="82"/>
  <c r="AQ257" i="82"/>
  <c r="AQ256" i="82"/>
  <c r="AQ255" i="82"/>
  <c r="AQ254" i="82"/>
  <c r="AQ253" i="82"/>
  <c r="AQ252" i="82"/>
  <c r="AQ251" i="82"/>
  <c r="AQ250" i="82"/>
  <c r="AQ249" i="82"/>
  <c r="AQ248" i="82"/>
  <c r="AQ247" i="82"/>
  <c r="AQ246" i="82"/>
  <c r="AQ245" i="82"/>
  <c r="AQ244" i="82"/>
  <c r="AQ243" i="82"/>
  <c r="AQ242" i="82"/>
  <c r="AQ241" i="82"/>
  <c r="AQ240" i="82"/>
  <c r="AQ239" i="82"/>
  <c r="AQ238" i="82"/>
  <c r="AQ237" i="82"/>
  <c r="AQ236" i="82"/>
  <c r="AQ235" i="82"/>
  <c r="AQ234" i="82"/>
  <c r="AQ233" i="82"/>
  <c r="AQ232" i="82"/>
  <c r="AQ231" i="82"/>
  <c r="AQ230" i="82"/>
  <c r="AQ229" i="82"/>
  <c r="AQ228" i="82"/>
  <c r="AQ227" i="82"/>
  <c r="AQ226" i="82"/>
  <c r="AQ225" i="82"/>
  <c r="AQ224" i="82"/>
  <c r="AQ223" i="82"/>
  <c r="AQ222" i="82"/>
  <c r="AQ221" i="82"/>
  <c r="AQ220" i="82"/>
  <c r="AQ219" i="82"/>
  <c r="AQ218" i="82"/>
  <c r="AQ217" i="82"/>
  <c r="AQ216" i="82"/>
  <c r="AQ215" i="82"/>
  <c r="AQ214" i="82"/>
  <c r="AR396" i="82"/>
  <c r="AR343" i="82"/>
  <c r="AR268" i="82"/>
  <c r="AR271" i="82"/>
  <c r="AR344" i="82"/>
  <c r="AR269" i="82"/>
  <c r="AR216" i="82"/>
  <c r="AR213" i="82"/>
  <c r="AR212" i="82"/>
  <c r="AR211" i="82"/>
  <c r="AR210" i="82"/>
  <c r="AR209" i="82"/>
  <c r="AR208" i="82"/>
  <c r="AR207" i="82"/>
  <c r="AR206" i="82"/>
  <c r="AR205" i="82"/>
  <c r="AR204" i="82"/>
  <c r="AR203" i="82"/>
  <c r="AR202" i="82"/>
  <c r="AR201" i="82"/>
  <c r="AR200" i="82"/>
  <c r="AR199" i="82"/>
  <c r="AR198" i="82"/>
  <c r="AR197" i="82"/>
  <c r="AR196" i="82"/>
  <c r="AR195" i="82"/>
  <c r="AR194" i="82"/>
  <c r="AR193" i="82"/>
  <c r="AR192" i="82"/>
  <c r="AR191" i="82"/>
  <c r="AR190" i="82"/>
  <c r="AR189" i="82"/>
  <c r="AR188" i="82"/>
  <c r="AR187" i="82"/>
  <c r="AR186" i="82"/>
  <c r="AR185" i="82"/>
  <c r="AR184" i="82"/>
  <c r="AR183" i="82"/>
  <c r="AR182" i="82"/>
  <c r="AR181" i="82"/>
  <c r="AQ213" i="82"/>
  <c r="AQ212" i="82"/>
  <c r="AQ211" i="82"/>
  <c r="AQ210" i="82"/>
  <c r="AQ209" i="82"/>
  <c r="AQ208" i="82"/>
  <c r="AQ207" i="82"/>
  <c r="AQ206" i="82"/>
  <c r="AQ205" i="82"/>
  <c r="AQ204" i="82"/>
  <c r="AQ203" i="82"/>
  <c r="AQ202" i="82"/>
  <c r="AQ201" i="82"/>
  <c r="AQ200" i="82"/>
  <c r="AQ199" i="82"/>
  <c r="AQ198" i="82"/>
  <c r="AQ197" i="82"/>
  <c r="AQ196" i="82"/>
  <c r="AQ195" i="82"/>
  <c r="AQ194" i="82"/>
  <c r="AQ193" i="82"/>
  <c r="AQ192" i="82"/>
  <c r="AQ191" i="82"/>
  <c r="AQ190" i="82"/>
  <c r="AQ189" i="82"/>
  <c r="AQ188" i="82"/>
  <c r="AQ187" i="82"/>
  <c r="AQ186" i="82"/>
  <c r="AQ185" i="82"/>
  <c r="AQ184" i="82"/>
  <c r="AQ183" i="82"/>
  <c r="AQ182" i="82"/>
  <c r="AQ181" i="82"/>
  <c r="AQ180" i="82"/>
  <c r="AQ179" i="82"/>
  <c r="AQ178" i="82"/>
  <c r="AQ177" i="82"/>
  <c r="AQ176" i="82"/>
  <c r="AQ175" i="82"/>
  <c r="AQ174" i="82"/>
  <c r="AQ173" i="82"/>
  <c r="AQ172" i="82"/>
  <c r="AQ171" i="82"/>
  <c r="AQ170" i="82"/>
  <c r="AQ169" i="82"/>
  <c r="AQ168" i="82"/>
  <c r="AQ167" i="82"/>
  <c r="AQ166" i="82"/>
  <c r="AQ165" i="82"/>
  <c r="AQ164" i="82"/>
  <c r="AQ163" i="82"/>
  <c r="AQ162" i="82"/>
  <c r="AQ161" i="82"/>
  <c r="AR214" i="82"/>
  <c r="AR170" i="82"/>
  <c r="AR215" i="82"/>
  <c r="AR168" i="82"/>
  <c r="AR163" i="82"/>
  <c r="AR167" i="82"/>
  <c r="AR160" i="82"/>
  <c r="AR166" i="82"/>
  <c r="AR161" i="82"/>
  <c r="AQ160" i="82"/>
  <c r="AQ159" i="82"/>
  <c r="AQ158" i="82"/>
  <c r="AQ157" i="82"/>
  <c r="AQ156" i="82"/>
  <c r="AQ155" i="82"/>
  <c r="AQ154" i="82"/>
  <c r="AQ153" i="82"/>
  <c r="AQ152" i="82"/>
  <c r="AQ151" i="82"/>
  <c r="AQ150" i="82"/>
  <c r="AQ149" i="82"/>
  <c r="AQ148" i="82"/>
  <c r="AQ147" i="82"/>
  <c r="AQ146" i="82"/>
  <c r="AQ145" i="82"/>
  <c r="AQ144" i="82"/>
  <c r="AQ143" i="82"/>
  <c r="AQ142" i="82"/>
  <c r="AQ141" i="82"/>
  <c r="AQ140" i="82"/>
  <c r="AQ139" i="82"/>
  <c r="AR180" i="82"/>
  <c r="AR179" i="82"/>
  <c r="AR178" i="82"/>
  <c r="AR177" i="82"/>
  <c r="AR176" i="82"/>
  <c r="AR175" i="82"/>
  <c r="AR174" i="82"/>
  <c r="AR173" i="82"/>
  <c r="AR165" i="82"/>
  <c r="AR172" i="82"/>
  <c r="AR157" i="82"/>
  <c r="AR169" i="82"/>
  <c r="AR162" i="82"/>
  <c r="AR155" i="82"/>
  <c r="AR143" i="82"/>
  <c r="AR141" i="82"/>
  <c r="AR171" i="82"/>
  <c r="AR164" i="82"/>
  <c r="AR154" i="82"/>
  <c r="AR150" i="82"/>
  <c r="AR146" i="82"/>
  <c r="AR138" i="82"/>
  <c r="AR137" i="82"/>
  <c r="AR136" i="82"/>
  <c r="AR135" i="82"/>
  <c r="AR134" i="82"/>
  <c r="AR133" i="82"/>
  <c r="AR132" i="82"/>
  <c r="AR131" i="82"/>
  <c r="AR130" i="82"/>
  <c r="AR129" i="82"/>
  <c r="AR128" i="82"/>
  <c r="AR127" i="82"/>
  <c r="AR126" i="82"/>
  <c r="AR125" i="82"/>
  <c r="AR124" i="82"/>
  <c r="AR123" i="82"/>
  <c r="AR122" i="82"/>
  <c r="AR121" i="82"/>
  <c r="AR120" i="82"/>
  <c r="AR119" i="82"/>
  <c r="AR118" i="82"/>
  <c r="AR117" i="82"/>
  <c r="AR116" i="82"/>
  <c r="AR115" i="82"/>
  <c r="AR114" i="82"/>
  <c r="AR113" i="82"/>
  <c r="AR112" i="82"/>
  <c r="AR111" i="82"/>
  <c r="AR110" i="82"/>
  <c r="AR109" i="82"/>
  <c r="AR108" i="82"/>
  <c r="AR107" i="82"/>
  <c r="AR106" i="82"/>
  <c r="AR105" i="82"/>
  <c r="AR104" i="82"/>
  <c r="AR103" i="82"/>
  <c r="AR102" i="82"/>
  <c r="AR101" i="82"/>
  <c r="AR100" i="82"/>
  <c r="AR99" i="82"/>
  <c r="AR98" i="82"/>
  <c r="AR97" i="82"/>
  <c r="AR96" i="82"/>
  <c r="AR95" i="82"/>
  <c r="AR94" i="82"/>
  <c r="AR93" i="82"/>
  <c r="AR139" i="82"/>
  <c r="AQ138" i="82"/>
  <c r="AQ137" i="82"/>
  <c r="AQ136" i="82"/>
  <c r="AQ135" i="82"/>
  <c r="AQ134" i="82"/>
  <c r="AQ133" i="82"/>
  <c r="AQ132" i="82"/>
  <c r="AQ131" i="82"/>
  <c r="AQ130" i="82"/>
  <c r="AQ129" i="82"/>
  <c r="AQ128" i="82"/>
  <c r="AQ127" i="82"/>
  <c r="AQ126" i="82"/>
  <c r="AQ125" i="82"/>
  <c r="AQ124" i="82"/>
  <c r="AQ123" i="82"/>
  <c r="AQ122" i="82"/>
  <c r="AQ121" i="82"/>
  <c r="AQ120" i="82"/>
  <c r="AQ119" i="82"/>
  <c r="AQ118" i="82"/>
  <c r="AQ117" i="82"/>
  <c r="AQ116" i="82"/>
  <c r="AQ115" i="82"/>
  <c r="AQ114" i="82"/>
  <c r="AQ113" i="82"/>
  <c r="AQ112" i="82"/>
  <c r="AQ111" i="82"/>
  <c r="AQ110" i="82"/>
  <c r="AQ109" i="82"/>
  <c r="AQ108" i="82"/>
  <c r="AQ107" i="82"/>
  <c r="AQ106" i="82"/>
  <c r="AQ105" i="82"/>
  <c r="AQ104" i="82"/>
  <c r="AQ103" i="82"/>
  <c r="AQ102" i="82"/>
  <c r="AQ101" i="82"/>
  <c r="AQ100" i="82"/>
  <c r="AQ99" i="82"/>
  <c r="AQ98" i="82"/>
  <c r="AQ97" i="82"/>
  <c r="AQ96" i="82"/>
  <c r="AQ95" i="82"/>
  <c r="AQ94" i="82"/>
  <c r="AQ93" i="82"/>
  <c r="AR153" i="82"/>
  <c r="AR149" i="82"/>
  <c r="AR145" i="82"/>
  <c r="AR142" i="82"/>
  <c r="AR140" i="82"/>
  <c r="AR147" i="82"/>
  <c r="AR148" i="82"/>
  <c r="AR158" i="82"/>
  <c r="AR159" i="82"/>
  <c r="AR156" i="82"/>
  <c r="AR151" i="82"/>
  <c r="AR152" i="82"/>
  <c r="AR144" i="82"/>
  <c r="AR92" i="82"/>
  <c r="AR91" i="82"/>
  <c r="AR90" i="82"/>
  <c r="AR89" i="82"/>
  <c r="AR88" i="82"/>
  <c r="AR87" i="82"/>
  <c r="AR86" i="82"/>
  <c r="AR85" i="82"/>
  <c r="AR84" i="82"/>
  <c r="AR83" i="82"/>
  <c r="AR82" i="82"/>
  <c r="AR81" i="82"/>
  <c r="AR80" i="82"/>
  <c r="AR79" i="82"/>
  <c r="AR78" i="82"/>
  <c r="AR77" i="82"/>
  <c r="AQ89" i="82"/>
  <c r="AQ82" i="82"/>
  <c r="AQ78" i="82"/>
  <c r="AQ38" i="82"/>
  <c r="AQ35" i="82"/>
  <c r="AR34" i="82"/>
  <c r="AR25" i="82"/>
  <c r="AR17" i="82"/>
  <c r="AR18" i="82" s="1"/>
  <c r="AR19" i="82" s="1"/>
  <c r="AR20" i="82" s="1"/>
  <c r="AR21" i="82" s="1"/>
  <c r="AR22" i="82" s="1"/>
  <c r="AR23" i="82" s="1"/>
  <c r="AR24" i="82" s="1"/>
  <c r="AQ88" i="82"/>
  <c r="AR75" i="82"/>
  <c r="AR73" i="82"/>
  <c r="AR71" i="82"/>
  <c r="AR69" i="82"/>
  <c r="AQ34" i="82"/>
  <c r="AW33" i="82"/>
  <c r="AR31" i="82"/>
  <c r="AR28" i="82"/>
  <c r="AQ25" i="82"/>
  <c r="AQ87" i="82"/>
  <c r="AQ81" i="82"/>
  <c r="AQ77" i="82"/>
  <c r="AQ75" i="82"/>
  <c r="AQ73" i="82"/>
  <c r="AQ71" i="82"/>
  <c r="AQ69" i="82"/>
  <c r="AR37" i="82"/>
  <c r="AQ31" i="82"/>
  <c r="AQ28" i="82"/>
  <c r="AR27" i="82"/>
  <c r="AQ86" i="82"/>
  <c r="AR67" i="82"/>
  <c r="AR66" i="82"/>
  <c r="AR65" i="82"/>
  <c r="AR64" i="82"/>
  <c r="AR63" i="82"/>
  <c r="AR62" i="82"/>
  <c r="AR61" i="82"/>
  <c r="AR60" i="82"/>
  <c r="AR59" i="82"/>
  <c r="AR58" i="82"/>
  <c r="AR57" i="82"/>
  <c r="AR56" i="82"/>
  <c r="AR55" i="82"/>
  <c r="AR54" i="82"/>
  <c r="AR53" i="82"/>
  <c r="AR52" i="82"/>
  <c r="AR51" i="82"/>
  <c r="AR50" i="82"/>
  <c r="AR49" i="82"/>
  <c r="AR48" i="82"/>
  <c r="AR47" i="82"/>
  <c r="AR46" i="82"/>
  <c r="AR45" i="82"/>
  <c r="AR44" i="82"/>
  <c r="AR43" i="82"/>
  <c r="AR42" i="82"/>
  <c r="AR41" i="82"/>
  <c r="AR40" i="82"/>
  <c r="AQ37" i="82"/>
  <c r="AR33" i="82"/>
  <c r="AQ27" i="82"/>
  <c r="AQ85" i="82"/>
  <c r="AQ80" i="82"/>
  <c r="AQ67" i="82"/>
  <c r="AQ66" i="82"/>
  <c r="AQ65" i="82"/>
  <c r="AQ64" i="82"/>
  <c r="AQ63" i="82"/>
  <c r="AQ62" i="82"/>
  <c r="AQ61" i="82"/>
  <c r="AQ60" i="82"/>
  <c r="AQ59" i="82"/>
  <c r="AQ58" i="82"/>
  <c r="AQ57" i="82"/>
  <c r="AQ56" i="82"/>
  <c r="AQ55" i="82"/>
  <c r="AQ54" i="82"/>
  <c r="AQ53" i="82"/>
  <c r="AQ52" i="82"/>
  <c r="AQ51" i="82"/>
  <c r="AQ50" i="82"/>
  <c r="AQ49" i="82"/>
  <c r="AQ48" i="82"/>
  <c r="AQ47" i="82"/>
  <c r="AQ46" i="82"/>
  <c r="AQ45" i="82"/>
  <c r="AQ44" i="82"/>
  <c r="AQ43" i="82"/>
  <c r="AQ42" i="82"/>
  <c r="AQ41" i="82"/>
  <c r="AQ40" i="82"/>
  <c r="AQ33" i="82"/>
  <c r="AR30" i="82"/>
  <c r="AR26" i="82"/>
  <c r="AQ92" i="82"/>
  <c r="AQ84" i="82"/>
  <c r="AR76" i="82"/>
  <c r="AR74" i="82"/>
  <c r="AR72" i="82"/>
  <c r="AR70" i="82"/>
  <c r="AR68" i="82"/>
  <c r="AR39" i="82"/>
  <c r="AQ30" i="82"/>
  <c r="AQ26" i="82"/>
  <c r="AQ91" i="82"/>
  <c r="AQ83" i="82"/>
  <c r="AQ79" i="82"/>
  <c r="AQ76" i="82"/>
  <c r="AQ74" i="82"/>
  <c r="AQ72" i="82"/>
  <c r="AQ70" i="82"/>
  <c r="AQ68" i="82"/>
  <c r="AQ39" i="82"/>
  <c r="AR36" i="82"/>
  <c r="AR32" i="82"/>
  <c r="AR29" i="82"/>
  <c r="AQ90" i="82"/>
  <c r="AR38" i="82"/>
  <c r="AQ36" i="82"/>
  <c r="AR35" i="82"/>
  <c r="AQ32" i="82"/>
  <c r="AQ29" i="82"/>
  <c r="Q15" i="82"/>
  <c r="Y15" i="82" s="1"/>
  <c r="AG15" i="82" s="1"/>
  <c r="AW17" i="82"/>
  <c r="BO17" i="82"/>
  <c r="BI17" i="82"/>
  <c r="BF17" i="82"/>
  <c r="BL17" i="82"/>
  <c r="BG17" i="82"/>
  <c r="BM17" i="82"/>
  <c r="T529" i="82"/>
  <c r="T528" i="82"/>
  <c r="T527" i="82"/>
  <c r="T526" i="82"/>
  <c r="T525" i="82"/>
  <c r="T524" i="82"/>
  <c r="T523" i="82"/>
  <c r="T522" i="82"/>
  <c r="T521" i="82"/>
  <c r="T520" i="82"/>
  <c r="T519" i="82"/>
  <c r="T518" i="82"/>
  <c r="T517" i="82"/>
  <c r="T516" i="82"/>
  <c r="T515" i="82"/>
  <c r="T514" i="82"/>
  <c r="T513" i="82"/>
  <c r="T512" i="82"/>
  <c r="T511" i="82"/>
  <c r="T510" i="82"/>
  <c r="T509" i="82"/>
  <c r="T508" i="82"/>
  <c r="T507" i="82"/>
  <c r="T506" i="82"/>
  <c r="T505" i="82"/>
  <c r="T504" i="82"/>
  <c r="T503" i="82"/>
  <c r="T502" i="82"/>
  <c r="S529" i="82"/>
  <c r="S527" i="82"/>
  <c r="S525" i="82"/>
  <c r="S523" i="82"/>
  <c r="S521" i="82"/>
  <c r="S519" i="82"/>
  <c r="S517" i="82"/>
  <c r="S515" i="82"/>
  <c r="S514" i="82"/>
  <c r="S510" i="82"/>
  <c r="S506" i="82"/>
  <c r="S502" i="82"/>
  <c r="S513" i="82"/>
  <c r="S509" i="82"/>
  <c r="S505" i="82"/>
  <c r="S528" i="82"/>
  <c r="S524" i="82"/>
  <c r="S520" i="82"/>
  <c r="S516" i="82"/>
  <c r="S501" i="82"/>
  <c r="T500" i="82"/>
  <c r="S493" i="82"/>
  <c r="T492" i="82"/>
  <c r="S487" i="82"/>
  <c r="T484" i="82"/>
  <c r="S479" i="82"/>
  <c r="S511" i="82"/>
  <c r="S507" i="82"/>
  <c r="S503" i="82"/>
  <c r="S500" i="82"/>
  <c r="T499" i="82"/>
  <c r="S492" i="82"/>
  <c r="T491" i="82"/>
  <c r="S484" i="82"/>
  <c r="T481" i="82"/>
  <c r="S499" i="82"/>
  <c r="T498" i="82"/>
  <c r="S491" i="82"/>
  <c r="T490" i="82"/>
  <c r="T486" i="82"/>
  <c r="S481" i="82"/>
  <c r="T478" i="82"/>
  <c r="S508" i="82"/>
  <c r="S504" i="82"/>
  <c r="S498" i="82"/>
  <c r="T497" i="82"/>
  <c r="S490" i="82"/>
  <c r="T489" i="82"/>
  <c r="S486" i="82"/>
  <c r="T483" i="82"/>
  <c r="S478" i="82"/>
  <c r="T476" i="82"/>
  <c r="T475" i="82"/>
  <c r="T474" i="82"/>
  <c r="T473" i="82"/>
  <c r="T472" i="82"/>
  <c r="T471" i="82"/>
  <c r="T470" i="82"/>
  <c r="T469" i="82"/>
  <c r="T468" i="82"/>
  <c r="T467" i="82"/>
  <c r="T466" i="82"/>
  <c r="T465" i="82"/>
  <c r="T464" i="82"/>
  <c r="T463" i="82"/>
  <c r="T462" i="82"/>
  <c r="T461" i="82"/>
  <c r="T460" i="82"/>
  <c r="T459" i="82"/>
  <c r="T458" i="82"/>
  <c r="T457" i="82"/>
  <c r="T456" i="82"/>
  <c r="T455" i="82"/>
  <c r="T454" i="82"/>
  <c r="T453" i="82"/>
  <c r="T452" i="82"/>
  <c r="T451" i="82"/>
  <c r="T450" i="82"/>
  <c r="T449" i="82"/>
  <c r="T448" i="82"/>
  <c r="T447" i="82"/>
  <c r="T446" i="82"/>
  <c r="S526" i="82"/>
  <c r="S522" i="82"/>
  <c r="S518" i="82"/>
  <c r="S512" i="82"/>
  <c r="S497" i="82"/>
  <c r="T496" i="82"/>
  <c r="S489" i="82"/>
  <c r="T488" i="82"/>
  <c r="S483" i="82"/>
  <c r="T480" i="82"/>
  <c r="S476" i="82"/>
  <c r="S475" i="82"/>
  <c r="S474" i="82"/>
  <c r="S473" i="82"/>
  <c r="S472" i="82"/>
  <c r="S471" i="82"/>
  <c r="S470" i="82"/>
  <c r="S469" i="82"/>
  <c r="S468" i="82"/>
  <c r="S467" i="82"/>
  <c r="S466" i="82"/>
  <c r="S465" i="82"/>
  <c r="S464" i="82"/>
  <c r="S463" i="82"/>
  <c r="S462" i="82"/>
  <c r="S461" i="82"/>
  <c r="S460" i="82"/>
  <c r="S459" i="82"/>
  <c r="S495" i="82"/>
  <c r="T494" i="82"/>
  <c r="S485" i="82"/>
  <c r="T482" i="82"/>
  <c r="S477" i="82"/>
  <c r="T501" i="82"/>
  <c r="T487" i="82"/>
  <c r="T479" i="82"/>
  <c r="T477" i="82"/>
  <c r="S456" i="82"/>
  <c r="S448" i="82"/>
  <c r="S453" i="82"/>
  <c r="S451" i="82"/>
  <c r="T495" i="82"/>
  <c r="S446" i="82"/>
  <c r="S455" i="82"/>
  <c r="S449" i="82"/>
  <c r="S494" i="82"/>
  <c r="T485" i="82"/>
  <c r="S452" i="82"/>
  <c r="S496" i="82"/>
  <c r="S482" i="82"/>
  <c r="S458" i="82"/>
  <c r="S454" i="82"/>
  <c r="S450" i="82"/>
  <c r="S457" i="82"/>
  <c r="T493" i="82"/>
  <c r="T427" i="82"/>
  <c r="S425" i="82"/>
  <c r="S423" i="82"/>
  <c r="S421" i="82"/>
  <c r="S419" i="82"/>
  <c r="S417" i="82"/>
  <c r="T415" i="82"/>
  <c r="S488" i="82"/>
  <c r="S427" i="82"/>
  <c r="S415" i="82"/>
  <c r="T445" i="82"/>
  <c r="T444" i="82"/>
  <c r="T443" i="82"/>
  <c r="T442" i="82"/>
  <c r="T441" i="82"/>
  <c r="T440" i="82"/>
  <c r="T439" i="82"/>
  <c r="T438" i="82"/>
  <c r="T437" i="82"/>
  <c r="T436" i="82"/>
  <c r="T435" i="82"/>
  <c r="T434" i="82"/>
  <c r="T433" i="82"/>
  <c r="T432" i="82"/>
  <c r="T431" i="82"/>
  <c r="T430" i="82"/>
  <c r="T429" i="82"/>
  <c r="S426" i="82"/>
  <c r="S424" i="82"/>
  <c r="S422" i="82"/>
  <c r="S420" i="82"/>
  <c r="S418" i="82"/>
  <c r="S416" i="82"/>
  <c r="T413" i="82"/>
  <c r="T412" i="82"/>
  <c r="T411" i="82"/>
  <c r="T410" i="82"/>
  <c r="T409" i="82"/>
  <c r="T408" i="82"/>
  <c r="T407" i="82"/>
  <c r="T406" i="82"/>
  <c r="T405" i="82"/>
  <c r="T404" i="82"/>
  <c r="T403" i="82"/>
  <c r="T402" i="82"/>
  <c r="T401" i="82"/>
  <c r="T400" i="82"/>
  <c r="T399" i="82"/>
  <c r="T398" i="82"/>
  <c r="T397" i="82"/>
  <c r="T396" i="82"/>
  <c r="T395" i="82"/>
  <c r="T394" i="82"/>
  <c r="T393" i="82"/>
  <c r="T392" i="82"/>
  <c r="T391" i="82"/>
  <c r="T390" i="82"/>
  <c r="T389" i="82"/>
  <c r="T388" i="82"/>
  <c r="T387" i="82"/>
  <c r="T386" i="82"/>
  <c r="T385" i="82"/>
  <c r="T384" i="82"/>
  <c r="T383" i="82"/>
  <c r="T382" i="82"/>
  <c r="S447" i="82"/>
  <c r="S445" i="82"/>
  <c r="S443" i="82"/>
  <c r="S441" i="82"/>
  <c r="S439" i="82"/>
  <c r="S437" i="82"/>
  <c r="S435" i="82"/>
  <c r="S433" i="82"/>
  <c r="T417" i="82"/>
  <c r="S413" i="82"/>
  <c r="S395" i="82"/>
  <c r="S393" i="82"/>
  <c r="S385" i="82"/>
  <c r="S431" i="82"/>
  <c r="T424" i="82"/>
  <c r="S388" i="82"/>
  <c r="T421" i="82"/>
  <c r="T418" i="82"/>
  <c r="T414" i="82"/>
  <c r="S407" i="82"/>
  <c r="S406" i="82"/>
  <c r="S405" i="82"/>
  <c r="S404" i="82"/>
  <c r="S403" i="82"/>
  <c r="S402" i="82"/>
  <c r="S401" i="82"/>
  <c r="S400" i="82"/>
  <c r="S399" i="82"/>
  <c r="S398" i="82"/>
  <c r="S391" i="82"/>
  <c r="S383" i="82"/>
  <c r="S429" i="82"/>
  <c r="S414" i="82"/>
  <c r="S408" i="82"/>
  <c r="S394" i="82"/>
  <c r="S386" i="82"/>
  <c r="S444" i="82"/>
  <c r="S442" i="82"/>
  <c r="S440" i="82"/>
  <c r="S438" i="82"/>
  <c r="S436" i="82"/>
  <c r="S434" i="82"/>
  <c r="S432" i="82"/>
  <c r="T425" i="82"/>
  <c r="T422" i="82"/>
  <c r="S409" i="82"/>
  <c r="S397" i="82"/>
  <c r="S389" i="82"/>
  <c r="T381" i="82"/>
  <c r="T380" i="82"/>
  <c r="T379" i="82"/>
  <c r="T378" i="82"/>
  <c r="T377" i="82"/>
  <c r="T376" i="82"/>
  <c r="T375" i="82"/>
  <c r="T374" i="82"/>
  <c r="T373" i="82"/>
  <c r="T372" i="82"/>
  <c r="T371" i="82"/>
  <c r="T370" i="82"/>
  <c r="T369" i="82"/>
  <c r="T368" i="82"/>
  <c r="T367" i="82"/>
  <c r="T366" i="82"/>
  <c r="T365" i="82"/>
  <c r="T364" i="82"/>
  <c r="T363" i="82"/>
  <c r="T362" i="82"/>
  <c r="T361" i="82"/>
  <c r="T360" i="82"/>
  <c r="T359" i="82"/>
  <c r="T358" i="82"/>
  <c r="T357" i="82"/>
  <c r="T356" i="82"/>
  <c r="T355" i="82"/>
  <c r="T354" i="82"/>
  <c r="T353" i="82"/>
  <c r="T352" i="82"/>
  <c r="T351" i="82"/>
  <c r="T350" i="82"/>
  <c r="T349" i="82"/>
  <c r="T348" i="82"/>
  <c r="T347" i="82"/>
  <c r="T346" i="82"/>
  <c r="T345" i="82"/>
  <c r="T344" i="82"/>
  <c r="T343" i="82"/>
  <c r="T342" i="82"/>
  <c r="T341" i="82"/>
  <c r="T419" i="82"/>
  <c r="T416" i="82"/>
  <c r="S410" i="82"/>
  <c r="S392" i="82"/>
  <c r="S384" i="82"/>
  <c r="S381" i="82"/>
  <c r="S380" i="82"/>
  <c r="S379" i="82"/>
  <c r="S378" i="82"/>
  <c r="S377" i="82"/>
  <c r="S376" i="82"/>
  <c r="S375" i="82"/>
  <c r="S374" i="82"/>
  <c r="S373" i="82"/>
  <c r="S372" i="82"/>
  <c r="S371" i="82"/>
  <c r="S370" i="82"/>
  <c r="S369" i="82"/>
  <c r="S368" i="82"/>
  <c r="S367" i="82"/>
  <c r="S366" i="82"/>
  <c r="S365" i="82"/>
  <c r="S364" i="82"/>
  <c r="S363" i="82"/>
  <c r="S362" i="82"/>
  <c r="S361" i="82"/>
  <c r="S360" i="82"/>
  <c r="S359" i="82"/>
  <c r="S358" i="82"/>
  <c r="S357" i="82"/>
  <c r="S356" i="82"/>
  <c r="S355" i="82"/>
  <c r="S354" i="82"/>
  <c r="S353" i="82"/>
  <c r="S352" i="82"/>
  <c r="T426" i="82"/>
  <c r="S348" i="82"/>
  <c r="S430" i="82"/>
  <c r="S396" i="82"/>
  <c r="S382" i="82"/>
  <c r="S412" i="82"/>
  <c r="S390" i="82"/>
  <c r="S387" i="82"/>
  <c r="S350" i="82"/>
  <c r="S346" i="82"/>
  <c r="S345" i="82"/>
  <c r="S344" i="82"/>
  <c r="S343" i="82"/>
  <c r="S342" i="82"/>
  <c r="T340" i="82"/>
  <c r="T339" i="82"/>
  <c r="T338" i="82"/>
  <c r="T337" i="82"/>
  <c r="T336" i="82"/>
  <c r="T335" i="82"/>
  <c r="T334" i="82"/>
  <c r="T333" i="82"/>
  <c r="T332" i="82"/>
  <c r="T331" i="82"/>
  <c r="T330" i="82"/>
  <c r="T329" i="82"/>
  <c r="T328" i="82"/>
  <c r="T327" i="82"/>
  <c r="T326" i="82"/>
  <c r="T325" i="82"/>
  <c r="T324" i="82"/>
  <c r="T323" i="82"/>
  <c r="T322" i="82"/>
  <c r="T321" i="82"/>
  <c r="T320" i="82"/>
  <c r="T319" i="82"/>
  <c r="T318" i="82"/>
  <c r="T317" i="82"/>
  <c r="T316" i="82"/>
  <c r="T315" i="82"/>
  <c r="T314" i="82"/>
  <c r="T313" i="82"/>
  <c r="T312" i="82"/>
  <c r="T311" i="82"/>
  <c r="T310" i="82"/>
  <c r="T309" i="82"/>
  <c r="T308" i="82"/>
  <c r="T307" i="82"/>
  <c r="T306" i="82"/>
  <c r="T305" i="82"/>
  <c r="T304" i="82"/>
  <c r="T303" i="82"/>
  <c r="T302" i="82"/>
  <c r="T301" i="82"/>
  <c r="T300" i="82"/>
  <c r="T299" i="82"/>
  <c r="T298" i="82"/>
  <c r="T297" i="82"/>
  <c r="T296" i="82"/>
  <c r="T295" i="82"/>
  <c r="T294" i="82"/>
  <c r="T293" i="82"/>
  <c r="T292" i="82"/>
  <c r="T291" i="82"/>
  <c r="T290" i="82"/>
  <c r="T289" i="82"/>
  <c r="T288" i="82"/>
  <c r="T287" i="82"/>
  <c r="T286" i="82"/>
  <c r="T285" i="82"/>
  <c r="T284" i="82"/>
  <c r="T283" i="82"/>
  <c r="T282" i="82"/>
  <c r="T281" i="82"/>
  <c r="T280" i="82"/>
  <c r="T279" i="82"/>
  <c r="T278" i="82"/>
  <c r="T277" i="82"/>
  <c r="T276" i="82"/>
  <c r="T275" i="82"/>
  <c r="T274" i="82"/>
  <c r="T273" i="82"/>
  <c r="T272" i="82"/>
  <c r="T271" i="82"/>
  <c r="T270" i="82"/>
  <c r="T269" i="82"/>
  <c r="T268" i="82"/>
  <c r="S480" i="82"/>
  <c r="S428" i="82"/>
  <c r="S411" i="82"/>
  <c r="S351" i="82"/>
  <c r="S347" i="82"/>
  <c r="T423" i="82"/>
  <c r="T420" i="82"/>
  <c r="S318" i="82"/>
  <c r="S314" i="82"/>
  <c r="S310" i="82"/>
  <c r="S306" i="82"/>
  <c r="S302" i="82"/>
  <c r="S298" i="82"/>
  <c r="S294" i="82"/>
  <c r="S288" i="82"/>
  <c r="S280" i="82"/>
  <c r="S272" i="82"/>
  <c r="T428" i="82"/>
  <c r="S289" i="82"/>
  <c r="S287" i="82"/>
  <c r="S279" i="82"/>
  <c r="S270" i="82"/>
  <c r="T267" i="82"/>
  <c r="T266" i="82"/>
  <c r="T265" i="82"/>
  <c r="T264" i="82"/>
  <c r="T263" i="82"/>
  <c r="T262" i="82"/>
  <c r="T261" i="82"/>
  <c r="T260" i="82"/>
  <c r="T259" i="82"/>
  <c r="T258" i="82"/>
  <c r="T257" i="82"/>
  <c r="T256" i="82"/>
  <c r="T255" i="82"/>
  <c r="T254" i="82"/>
  <c r="T253" i="82"/>
  <c r="T252" i="82"/>
  <c r="T251" i="82"/>
  <c r="T250" i="82"/>
  <c r="T249" i="82"/>
  <c r="T248" i="82"/>
  <c r="T247" i="82"/>
  <c r="T246" i="82"/>
  <c r="T245" i="82"/>
  <c r="T244" i="82"/>
  <c r="T243" i="82"/>
  <c r="T242" i="82"/>
  <c r="T241" i="82"/>
  <c r="T240" i="82"/>
  <c r="T239" i="82"/>
  <c r="T238" i="82"/>
  <c r="T237" i="82"/>
  <c r="T236" i="82"/>
  <c r="T235" i="82"/>
  <c r="T234" i="82"/>
  <c r="T233" i="82"/>
  <c r="T232" i="82"/>
  <c r="T231" i="82"/>
  <c r="T230" i="82"/>
  <c r="T229" i="82"/>
  <c r="T228" i="82"/>
  <c r="T227" i="82"/>
  <c r="T226" i="82"/>
  <c r="T225" i="82"/>
  <c r="T224" i="82"/>
  <c r="T223" i="82"/>
  <c r="T222" i="82"/>
  <c r="T221" i="82"/>
  <c r="T220" i="82"/>
  <c r="T219" i="82"/>
  <c r="T218" i="82"/>
  <c r="T217" i="82"/>
  <c r="T216" i="82"/>
  <c r="T215" i="82"/>
  <c r="T214" i="82"/>
  <c r="S349" i="82"/>
  <c r="S340" i="82"/>
  <c r="S338" i="82"/>
  <c r="S336" i="82"/>
  <c r="S334" i="82"/>
  <c r="S332" i="82"/>
  <c r="S330" i="82"/>
  <c r="S328" i="82"/>
  <c r="S326" i="82"/>
  <c r="S324" i="82"/>
  <c r="S322" i="82"/>
  <c r="S319" i="82"/>
  <c r="S315" i="82"/>
  <c r="S311" i="82"/>
  <c r="S307" i="82"/>
  <c r="S303" i="82"/>
  <c r="S299" i="82"/>
  <c r="S295" i="82"/>
  <c r="S290" i="82"/>
  <c r="S286" i="82"/>
  <c r="S278" i="82"/>
  <c r="S267" i="82"/>
  <c r="S266" i="82"/>
  <c r="S265" i="82"/>
  <c r="S264" i="82"/>
  <c r="S263" i="82"/>
  <c r="S262" i="82"/>
  <c r="S261" i="82"/>
  <c r="S260" i="82"/>
  <c r="S259" i="82"/>
  <c r="S258" i="82"/>
  <c r="S257" i="82"/>
  <c r="S256" i="82"/>
  <c r="S255" i="82"/>
  <c r="S254" i="82"/>
  <c r="S253" i="82"/>
  <c r="S252" i="82"/>
  <c r="S251" i="82"/>
  <c r="S250" i="82"/>
  <c r="S249" i="82"/>
  <c r="S248" i="82"/>
  <c r="S247" i="82"/>
  <c r="S246" i="82"/>
  <c r="S245" i="82"/>
  <c r="S244" i="82"/>
  <c r="S243" i="82"/>
  <c r="S242" i="82"/>
  <c r="S241" i="82"/>
  <c r="S240" i="82"/>
  <c r="S239" i="82"/>
  <c r="S238" i="82"/>
  <c r="S237" i="82"/>
  <c r="S236" i="82"/>
  <c r="S235" i="82"/>
  <c r="S234" i="82"/>
  <c r="S233" i="82"/>
  <c r="S232" i="82"/>
  <c r="S231" i="82"/>
  <c r="S230" i="82"/>
  <c r="S229" i="82"/>
  <c r="S228" i="82"/>
  <c r="S227" i="82"/>
  <c r="S226" i="82"/>
  <c r="S225" i="82"/>
  <c r="S224" i="82"/>
  <c r="S223" i="82"/>
  <c r="S222" i="82"/>
  <c r="S291" i="82"/>
  <c r="S285" i="82"/>
  <c r="S277" i="82"/>
  <c r="S268" i="82"/>
  <c r="S320" i="82"/>
  <c r="S316" i="82"/>
  <c r="S312" i="82"/>
  <c r="S308" i="82"/>
  <c r="S304" i="82"/>
  <c r="S300" i="82"/>
  <c r="S296" i="82"/>
  <c r="S292" i="82"/>
  <c r="S284" i="82"/>
  <c r="S276" i="82"/>
  <c r="S271" i="82"/>
  <c r="S283" i="82"/>
  <c r="S275" i="82"/>
  <c r="S341" i="82"/>
  <c r="S339" i="82"/>
  <c r="S337" i="82"/>
  <c r="S335" i="82"/>
  <c r="S333" i="82"/>
  <c r="S331" i="82"/>
  <c r="S329" i="82"/>
  <c r="S327" i="82"/>
  <c r="S325" i="82"/>
  <c r="S323" i="82"/>
  <c r="S321" i="82"/>
  <c r="S317" i="82"/>
  <c r="S313" i="82"/>
  <c r="S309" i="82"/>
  <c r="S305" i="82"/>
  <c r="S301" i="82"/>
  <c r="S297" i="82"/>
  <c r="S293" i="82"/>
  <c r="S282" i="82"/>
  <c r="S274" i="82"/>
  <c r="S269" i="82"/>
  <c r="S221" i="82"/>
  <c r="S216" i="82"/>
  <c r="S220" i="82"/>
  <c r="T213" i="82"/>
  <c r="T212" i="82"/>
  <c r="T211" i="82"/>
  <c r="T210" i="82"/>
  <c r="T209" i="82"/>
  <c r="T208" i="82"/>
  <c r="T207" i="82"/>
  <c r="T206" i="82"/>
  <c r="T205" i="82"/>
  <c r="T204" i="82"/>
  <c r="T203" i="82"/>
  <c r="T202" i="82"/>
  <c r="T201" i="82"/>
  <c r="T200" i="82"/>
  <c r="T199" i="82"/>
  <c r="T198" i="82"/>
  <c r="T197" i="82"/>
  <c r="T196" i="82"/>
  <c r="T195" i="82"/>
  <c r="T194" i="82"/>
  <c r="T193" i="82"/>
  <c r="T192" i="82"/>
  <c r="T191" i="82"/>
  <c r="T190" i="82"/>
  <c r="T189" i="82"/>
  <c r="T188" i="82"/>
  <c r="T187" i="82"/>
  <c r="T186" i="82"/>
  <c r="T185" i="82"/>
  <c r="T184" i="82"/>
  <c r="T183" i="82"/>
  <c r="T182" i="82"/>
  <c r="T181" i="82"/>
  <c r="T180" i="82"/>
  <c r="T179" i="82"/>
  <c r="T178" i="82"/>
  <c r="T177" i="82"/>
  <c r="T176" i="82"/>
  <c r="T175" i="82"/>
  <c r="T174" i="82"/>
  <c r="T173" i="82"/>
  <c r="T172" i="82"/>
  <c r="T171" i="82"/>
  <c r="T170" i="82"/>
  <c r="T169" i="82"/>
  <c r="T168" i="82"/>
  <c r="T167" i="82"/>
  <c r="T166" i="82"/>
  <c r="T165" i="82"/>
  <c r="T164" i="82"/>
  <c r="T163" i="82"/>
  <c r="T162" i="82"/>
  <c r="S219" i="82"/>
  <c r="S214" i="82"/>
  <c r="S213" i="82"/>
  <c r="S212" i="82"/>
  <c r="S211" i="82"/>
  <c r="S210" i="82"/>
  <c r="S209" i="82"/>
  <c r="S208" i="82"/>
  <c r="S207" i="82"/>
  <c r="S206" i="82"/>
  <c r="S205" i="82"/>
  <c r="S204" i="82"/>
  <c r="S203" i="82"/>
  <c r="S202" i="82"/>
  <c r="S201" i="82"/>
  <c r="S200" i="82"/>
  <c r="S199" i="82"/>
  <c r="S198" i="82"/>
  <c r="S197" i="82"/>
  <c r="S196" i="82"/>
  <c r="S195" i="82"/>
  <c r="S194" i="82"/>
  <c r="S193" i="82"/>
  <c r="S192" i="82"/>
  <c r="S191" i="82"/>
  <c r="S190" i="82"/>
  <c r="S189" i="82"/>
  <c r="S188" i="82"/>
  <c r="S187" i="82"/>
  <c r="S186" i="82"/>
  <c r="S185" i="82"/>
  <c r="S184" i="82"/>
  <c r="S183" i="82"/>
  <c r="S182" i="82"/>
  <c r="S181" i="82"/>
  <c r="S180" i="82"/>
  <c r="S179" i="82"/>
  <c r="S178" i="82"/>
  <c r="S177" i="82"/>
  <c r="S176" i="82"/>
  <c r="S175" i="82"/>
  <c r="S174" i="82"/>
  <c r="S218" i="82"/>
  <c r="S273" i="82"/>
  <c r="S217" i="82"/>
  <c r="S168" i="82"/>
  <c r="S166" i="82"/>
  <c r="S163" i="82"/>
  <c r="S173" i="82"/>
  <c r="S165" i="82"/>
  <c r="S281" i="82"/>
  <c r="S172" i="82"/>
  <c r="T161" i="82"/>
  <c r="T160" i="82"/>
  <c r="T159" i="82"/>
  <c r="T158" i="82"/>
  <c r="T157" i="82"/>
  <c r="T156" i="82"/>
  <c r="T155" i="82"/>
  <c r="T154" i="82"/>
  <c r="T153" i="82"/>
  <c r="T152" i="82"/>
  <c r="T151" i="82"/>
  <c r="T150" i="82"/>
  <c r="T149" i="82"/>
  <c r="T148" i="82"/>
  <c r="T147" i="82"/>
  <c r="T146" i="82"/>
  <c r="T145" i="82"/>
  <c r="T144" i="82"/>
  <c r="T143" i="82"/>
  <c r="T142" i="82"/>
  <c r="T141" i="82"/>
  <c r="T140" i="82"/>
  <c r="S171" i="82"/>
  <c r="S164" i="82"/>
  <c r="S161" i="82"/>
  <c r="S160" i="82"/>
  <c r="S159" i="82"/>
  <c r="S158" i="82"/>
  <c r="S157" i="82"/>
  <c r="S156" i="82"/>
  <c r="S155" i="82"/>
  <c r="S215" i="82"/>
  <c r="S151" i="82"/>
  <c r="S147" i="82"/>
  <c r="S154" i="82"/>
  <c r="S150" i="82"/>
  <c r="S146" i="82"/>
  <c r="S143" i="82"/>
  <c r="S141" i="82"/>
  <c r="S167" i="82"/>
  <c r="S153" i="82"/>
  <c r="S149" i="82"/>
  <c r="S145" i="82"/>
  <c r="T139" i="82"/>
  <c r="T138" i="82"/>
  <c r="T137" i="82"/>
  <c r="T136" i="82"/>
  <c r="T135" i="82"/>
  <c r="T134" i="82"/>
  <c r="T133" i="82"/>
  <c r="T132" i="82"/>
  <c r="T131" i="82"/>
  <c r="T130" i="82"/>
  <c r="T129" i="82"/>
  <c r="T128" i="82"/>
  <c r="T127" i="82"/>
  <c r="T126" i="82"/>
  <c r="T125" i="82"/>
  <c r="T124" i="82"/>
  <c r="T123" i="82"/>
  <c r="T122" i="82"/>
  <c r="T121" i="82"/>
  <c r="T120" i="82"/>
  <c r="T119" i="82"/>
  <c r="T118" i="82"/>
  <c r="T117" i="82"/>
  <c r="T116" i="82"/>
  <c r="T115" i="82"/>
  <c r="T114" i="82"/>
  <c r="T113" i="82"/>
  <c r="T112" i="82"/>
  <c r="T111" i="82"/>
  <c r="T110" i="82"/>
  <c r="T109" i="82"/>
  <c r="T108" i="82"/>
  <c r="T107" i="82"/>
  <c r="T106" i="82"/>
  <c r="T105" i="82"/>
  <c r="T104" i="82"/>
  <c r="T103" i="82"/>
  <c r="T102" i="82"/>
  <c r="T101" i="82"/>
  <c r="T100" i="82"/>
  <c r="T99" i="82"/>
  <c r="T98" i="82"/>
  <c r="T97" i="82"/>
  <c r="T96" i="82"/>
  <c r="T95" i="82"/>
  <c r="T94" i="82"/>
  <c r="T93" i="82"/>
  <c r="S142" i="82"/>
  <c r="S139" i="82"/>
  <c r="S138" i="82"/>
  <c r="S137" i="82"/>
  <c r="S136" i="82"/>
  <c r="S135" i="82"/>
  <c r="S134" i="82"/>
  <c r="S133" i="82"/>
  <c r="S132" i="82"/>
  <c r="S131" i="82"/>
  <c r="S130" i="82"/>
  <c r="S129" i="82"/>
  <c r="S128" i="82"/>
  <c r="S127" i="82"/>
  <c r="S126" i="82"/>
  <c r="S125" i="82"/>
  <c r="S124" i="82"/>
  <c r="S123" i="82"/>
  <c r="S122" i="82"/>
  <c r="S121" i="82"/>
  <c r="S170" i="82"/>
  <c r="S148" i="82"/>
  <c r="S119" i="82"/>
  <c r="S111" i="82"/>
  <c r="S117" i="82"/>
  <c r="S104" i="82"/>
  <c r="S96" i="82"/>
  <c r="S169" i="82"/>
  <c r="S116" i="82"/>
  <c r="S109" i="82"/>
  <c r="S101" i="82"/>
  <c r="S93" i="82"/>
  <c r="S152" i="82"/>
  <c r="S144" i="82"/>
  <c r="S115" i="82"/>
  <c r="S106" i="82"/>
  <c r="S98" i="82"/>
  <c r="S162" i="82"/>
  <c r="S140" i="82"/>
  <c r="S114" i="82"/>
  <c r="S120" i="82"/>
  <c r="S112" i="82"/>
  <c r="S105" i="82"/>
  <c r="S97" i="82"/>
  <c r="S95" i="82"/>
  <c r="S88" i="82"/>
  <c r="T87" i="82"/>
  <c r="T81" i="82"/>
  <c r="T77" i="82"/>
  <c r="T75" i="82"/>
  <c r="T73" i="82"/>
  <c r="T71" i="82"/>
  <c r="T69" i="82"/>
  <c r="T38" i="82"/>
  <c r="S36" i="82"/>
  <c r="T35" i="82"/>
  <c r="S32" i="82"/>
  <c r="S29" i="82"/>
  <c r="S20" i="82"/>
  <c r="S17" i="82"/>
  <c r="S102" i="82"/>
  <c r="S87" i="82"/>
  <c r="T86" i="82"/>
  <c r="S81" i="82"/>
  <c r="S77" i="82"/>
  <c r="S75" i="82"/>
  <c r="S73" i="82"/>
  <c r="S71" i="82"/>
  <c r="S69" i="82"/>
  <c r="S38" i="82"/>
  <c r="S35" i="82"/>
  <c r="T34" i="82"/>
  <c r="T25" i="82"/>
  <c r="T23" i="82"/>
  <c r="S118" i="82"/>
  <c r="S86" i="82"/>
  <c r="T85" i="82"/>
  <c r="T80" i="82"/>
  <c r="S34" i="82"/>
  <c r="T31" i="82"/>
  <c r="AW30" i="82"/>
  <c r="T28" i="82"/>
  <c r="S25" i="82"/>
  <c r="S23" i="82"/>
  <c r="S113" i="82"/>
  <c r="S107" i="82"/>
  <c r="S103" i="82"/>
  <c r="S99" i="82"/>
  <c r="T92" i="82"/>
  <c r="S85" i="82"/>
  <c r="T84" i="82"/>
  <c r="S80" i="82"/>
  <c r="T37" i="82"/>
  <c r="S31" i="82"/>
  <c r="S28" i="82"/>
  <c r="T27" i="82"/>
  <c r="S19" i="82"/>
  <c r="S110" i="82"/>
  <c r="S92" i="82"/>
  <c r="T91" i="82"/>
  <c r="S84" i="82"/>
  <c r="T83" i="82"/>
  <c r="T79" i="82"/>
  <c r="T76" i="82"/>
  <c r="T74" i="82"/>
  <c r="T72" i="82"/>
  <c r="T70" i="82"/>
  <c r="T68" i="82"/>
  <c r="T67" i="82"/>
  <c r="T66" i="82"/>
  <c r="T65" i="82"/>
  <c r="T64" i="82"/>
  <c r="T63" i="82"/>
  <c r="T62" i="82"/>
  <c r="T61" i="82"/>
  <c r="T60" i="82"/>
  <c r="T59" i="82"/>
  <c r="T58" i="82"/>
  <c r="T57" i="82"/>
  <c r="T56" i="82"/>
  <c r="T55" i="82"/>
  <c r="T54" i="82"/>
  <c r="T53" i="82"/>
  <c r="T52" i="82"/>
  <c r="T51" i="82"/>
  <c r="T50" i="82"/>
  <c r="T49" i="82"/>
  <c r="T48" i="82"/>
  <c r="T47" i="82"/>
  <c r="T46" i="82"/>
  <c r="T45" i="82"/>
  <c r="T44" i="82"/>
  <c r="T43" i="82"/>
  <c r="T42" i="82"/>
  <c r="T41" i="82"/>
  <c r="T40" i="82"/>
  <c r="S37" i="82"/>
  <c r="T33" i="82"/>
  <c r="S27" i="82"/>
  <c r="S21" i="82"/>
  <c r="AW18" i="82"/>
  <c r="BB18" i="82" s="1"/>
  <c r="S108" i="82"/>
  <c r="S100" i="82"/>
  <c r="S91" i="82"/>
  <c r="T90" i="82"/>
  <c r="S83" i="82"/>
  <c r="S79" i="82"/>
  <c r="S76" i="82"/>
  <c r="S74" i="82"/>
  <c r="S72" i="82"/>
  <c r="S70" i="82"/>
  <c r="S68" i="82"/>
  <c r="S67" i="82"/>
  <c r="S66" i="82"/>
  <c r="S65" i="82"/>
  <c r="S64" i="82"/>
  <c r="S63" i="82"/>
  <c r="S62" i="82"/>
  <c r="S61" i="82"/>
  <c r="S60" i="82"/>
  <c r="S59" i="82"/>
  <c r="S58" i="82"/>
  <c r="S57" i="82"/>
  <c r="S56" i="82"/>
  <c r="S55" i="82"/>
  <c r="S54" i="82"/>
  <c r="S53" i="82"/>
  <c r="S52" i="82"/>
  <c r="S51" i="82"/>
  <c r="S50" i="82"/>
  <c r="S49" i="82"/>
  <c r="S48" i="82"/>
  <c r="S47" i="82"/>
  <c r="S46" i="82"/>
  <c r="S45" i="82"/>
  <c r="S44" i="82"/>
  <c r="S43" i="82"/>
  <c r="S42" i="82"/>
  <c r="S41" i="82"/>
  <c r="S40" i="82"/>
  <c r="S33" i="82"/>
  <c r="T30" i="82"/>
  <c r="T26" i="82"/>
  <c r="T24" i="82"/>
  <c r="S94" i="82"/>
  <c r="S90" i="82"/>
  <c r="T89" i="82"/>
  <c r="T82" i="82"/>
  <c r="T78" i="82"/>
  <c r="T39" i="82"/>
  <c r="S30" i="82"/>
  <c r="S26" i="82"/>
  <c r="S24" i="82"/>
  <c r="S89" i="82"/>
  <c r="T88" i="82"/>
  <c r="S82" i="82"/>
  <c r="S78" i="82"/>
  <c r="S39" i="82"/>
  <c r="T36" i="82"/>
  <c r="T32" i="82"/>
  <c r="T29" i="82"/>
  <c r="S22" i="82"/>
  <c r="S18" i="82"/>
  <c r="T17" i="82"/>
  <c r="S15" i="82"/>
  <c r="AA15" i="82" s="1"/>
  <c r="AI15" i="82" s="1"/>
  <c r="AQ15" i="82" s="1"/>
  <c r="T20" i="82"/>
  <c r="T22" i="82"/>
  <c r="T18" i="82"/>
  <c r="T19" i="82"/>
  <c r="T21" i="82"/>
  <c r="BK19" i="82"/>
  <c r="J20" i="82"/>
  <c r="AB529" i="82"/>
  <c r="AB528" i="82"/>
  <c r="AB527" i="82"/>
  <c r="AB526" i="82"/>
  <c r="AB525" i="82"/>
  <c r="AB524" i="82"/>
  <c r="AB523" i="82"/>
  <c r="AB522" i="82"/>
  <c r="AB521" i="82"/>
  <c r="AB520" i="82"/>
  <c r="AB519" i="82"/>
  <c r="AB518" i="82"/>
  <c r="AB517" i="82"/>
  <c r="AB516" i="82"/>
  <c r="AB515" i="82"/>
  <c r="AB514" i="82"/>
  <c r="AB513" i="82"/>
  <c r="AB512" i="82"/>
  <c r="AB511" i="82"/>
  <c r="AB510" i="82"/>
  <c r="AB509" i="82"/>
  <c r="AB508" i="82"/>
  <c r="AB507" i="82"/>
  <c r="AB506" i="82"/>
  <c r="AB505" i="82"/>
  <c r="AB504" i="82"/>
  <c r="AB503" i="82"/>
  <c r="AB502" i="82"/>
  <c r="AA529" i="82"/>
  <c r="AA528" i="82"/>
  <c r="AA527" i="82"/>
  <c r="AA526" i="82"/>
  <c r="AA525" i="82"/>
  <c r="AA524" i="82"/>
  <c r="AA523" i="82"/>
  <c r="AA522" i="82"/>
  <c r="AA521" i="82"/>
  <c r="AA520" i="82"/>
  <c r="AA519" i="82"/>
  <c r="AA518" i="82"/>
  <c r="AA517" i="82"/>
  <c r="AA516" i="82"/>
  <c r="AA513" i="82"/>
  <c r="AA509" i="82"/>
  <c r="AA505" i="82"/>
  <c r="AA512" i="82"/>
  <c r="AA508" i="82"/>
  <c r="AA504" i="82"/>
  <c r="AB501" i="82"/>
  <c r="AB500" i="82"/>
  <c r="AB499" i="82"/>
  <c r="AB498" i="82"/>
  <c r="AB497" i="82"/>
  <c r="AB496" i="82"/>
  <c r="AB495" i="82"/>
  <c r="AB494" i="82"/>
  <c r="AB493" i="82"/>
  <c r="AB492" i="82"/>
  <c r="AB491" i="82"/>
  <c r="AB490" i="82"/>
  <c r="AB489" i="82"/>
  <c r="AB488" i="82"/>
  <c r="AB487" i="82"/>
  <c r="AB486" i="82"/>
  <c r="AB485" i="82"/>
  <c r="AB484" i="82"/>
  <c r="AB483" i="82"/>
  <c r="AB482" i="82"/>
  <c r="AB481" i="82"/>
  <c r="AB480" i="82"/>
  <c r="AB479" i="82"/>
  <c r="AB478" i="82"/>
  <c r="AB477" i="82"/>
  <c r="AA498" i="82"/>
  <c r="AA490" i="82"/>
  <c r="AA486" i="82"/>
  <c r="AA497" i="82"/>
  <c r="AA489" i="82"/>
  <c r="AA483" i="82"/>
  <c r="AA515" i="82"/>
  <c r="AA496" i="82"/>
  <c r="AA488" i="82"/>
  <c r="AA480" i="82"/>
  <c r="AA495" i="82"/>
  <c r="AA485" i="82"/>
  <c r="AA477" i="82"/>
  <c r="AA494" i="82"/>
  <c r="AA482" i="82"/>
  <c r="AA514" i="82"/>
  <c r="AA500" i="82"/>
  <c r="AA492" i="82"/>
  <c r="AA484" i="82"/>
  <c r="AA510" i="82"/>
  <c r="AA503" i="82"/>
  <c r="AA481" i="82"/>
  <c r="AB455" i="82"/>
  <c r="AB449" i="82"/>
  <c r="AA491" i="82"/>
  <c r="AA455" i="82"/>
  <c r="AB452" i="82"/>
  <c r="AA506" i="82"/>
  <c r="AA499" i="82"/>
  <c r="AA478" i="82"/>
  <c r="AA452" i="82"/>
  <c r="AB447" i="82"/>
  <c r="AB476" i="82"/>
  <c r="AB475" i="82"/>
  <c r="AB474" i="82"/>
  <c r="AB473" i="82"/>
  <c r="AB472" i="82"/>
  <c r="AB471" i="82"/>
  <c r="AB470" i="82"/>
  <c r="AB469" i="82"/>
  <c r="AB468" i="82"/>
  <c r="AB467" i="82"/>
  <c r="AB466" i="82"/>
  <c r="AB465" i="82"/>
  <c r="AB464" i="82"/>
  <c r="AB463" i="82"/>
  <c r="AB462" i="82"/>
  <c r="AB461" i="82"/>
  <c r="AB460" i="82"/>
  <c r="AB459" i="82"/>
  <c r="AB458" i="82"/>
  <c r="AB454" i="82"/>
  <c r="AB450" i="82"/>
  <c r="AA447" i="82"/>
  <c r="AA511" i="82"/>
  <c r="AA502" i="82"/>
  <c r="AA476" i="82"/>
  <c r="AA475" i="82"/>
  <c r="AA474" i="82"/>
  <c r="AA473" i="82"/>
  <c r="AA472" i="82"/>
  <c r="AA471" i="82"/>
  <c r="AA470" i="82"/>
  <c r="AA469" i="82"/>
  <c r="AA468" i="82"/>
  <c r="AA467" i="82"/>
  <c r="AA466" i="82"/>
  <c r="AA465" i="82"/>
  <c r="AA464" i="82"/>
  <c r="AA463" i="82"/>
  <c r="AA462" i="82"/>
  <c r="AA461" i="82"/>
  <c r="AA460" i="82"/>
  <c r="AA459" i="82"/>
  <c r="AA458" i="82"/>
  <c r="AB457" i="82"/>
  <c r="AA454" i="82"/>
  <c r="AA450" i="82"/>
  <c r="AA507" i="82"/>
  <c r="AA501" i="82"/>
  <c r="AA487" i="82"/>
  <c r="AA479" i="82"/>
  <c r="AA456" i="82"/>
  <c r="AB453" i="82"/>
  <c r="AB451" i="82"/>
  <c r="AA448" i="82"/>
  <c r="AA445" i="82"/>
  <c r="AA444" i="82"/>
  <c r="AA443" i="82"/>
  <c r="AA442" i="82"/>
  <c r="AA441" i="82"/>
  <c r="AA440" i="82"/>
  <c r="AA439" i="82"/>
  <c r="AA438" i="82"/>
  <c r="AA437" i="82"/>
  <c r="AA436" i="82"/>
  <c r="AA435" i="82"/>
  <c r="AA434" i="82"/>
  <c r="AA433" i="82"/>
  <c r="AA432" i="82"/>
  <c r="AA431" i="82"/>
  <c r="AA430" i="82"/>
  <c r="AA429" i="82"/>
  <c r="AA428" i="82"/>
  <c r="AA427" i="82"/>
  <c r="AA426" i="82"/>
  <c r="AA425" i="82"/>
  <c r="AA424" i="82"/>
  <c r="AA423" i="82"/>
  <c r="AA422" i="82"/>
  <c r="AA421" i="82"/>
  <c r="AA420" i="82"/>
  <c r="AA419" i="82"/>
  <c r="AA418" i="82"/>
  <c r="AA417" i="82"/>
  <c r="AA416" i="82"/>
  <c r="AA493" i="82"/>
  <c r="AB456" i="82"/>
  <c r="AA449" i="82"/>
  <c r="AA453" i="82"/>
  <c r="AB445" i="82"/>
  <c r="AB444" i="82"/>
  <c r="AB443" i="82"/>
  <c r="AB442" i="82"/>
  <c r="AB441" i="82"/>
  <c r="AB440" i="82"/>
  <c r="AB439" i="82"/>
  <c r="AB438" i="82"/>
  <c r="AB437" i="82"/>
  <c r="AB436" i="82"/>
  <c r="AB435" i="82"/>
  <c r="AB434" i="82"/>
  <c r="AB433" i="82"/>
  <c r="AB432" i="82"/>
  <c r="AB431" i="82"/>
  <c r="AB430" i="82"/>
  <c r="AA451" i="82"/>
  <c r="AB446" i="82"/>
  <c r="AB426" i="82"/>
  <c r="AB424" i="82"/>
  <c r="AB422" i="82"/>
  <c r="AB420" i="82"/>
  <c r="AB418" i="82"/>
  <c r="AB416" i="82"/>
  <c r="AB413" i="82"/>
  <c r="AB412" i="82"/>
  <c r="AB411" i="82"/>
  <c r="AB410" i="82"/>
  <c r="AB409" i="82"/>
  <c r="AB408" i="82"/>
  <c r="AB407" i="82"/>
  <c r="AB406" i="82"/>
  <c r="AB405" i="82"/>
  <c r="AB404" i="82"/>
  <c r="AB403" i="82"/>
  <c r="AB402" i="82"/>
  <c r="AB401" i="82"/>
  <c r="AB400" i="82"/>
  <c r="AB399" i="82"/>
  <c r="AB398" i="82"/>
  <c r="AB397" i="82"/>
  <c r="AB396" i="82"/>
  <c r="AB395" i="82"/>
  <c r="AA446" i="82"/>
  <c r="AB429" i="82"/>
  <c r="AA413" i="82"/>
  <c r="AA412" i="82"/>
  <c r="AA411" i="82"/>
  <c r="AA410" i="82"/>
  <c r="AA409" i="82"/>
  <c r="AA408" i="82"/>
  <c r="AA407" i="82"/>
  <c r="AB428" i="82"/>
  <c r="AA414" i="82"/>
  <c r="AB421" i="82"/>
  <c r="AB415" i="82"/>
  <c r="AB414" i="82"/>
  <c r="AA406" i="82"/>
  <c r="AA405" i="82"/>
  <c r="AA404" i="82"/>
  <c r="AA403" i="82"/>
  <c r="AA402" i="82"/>
  <c r="AA401" i="82"/>
  <c r="AA400" i="82"/>
  <c r="AA399" i="82"/>
  <c r="AA398" i="82"/>
  <c r="AB394" i="82"/>
  <c r="AA391" i="82"/>
  <c r="AB386" i="82"/>
  <c r="AA383" i="82"/>
  <c r="AA457" i="82"/>
  <c r="AB427" i="82"/>
  <c r="AA415" i="82"/>
  <c r="AA394" i="82"/>
  <c r="AB389" i="82"/>
  <c r="AA386" i="82"/>
  <c r="AB381" i="82"/>
  <c r="AB380" i="82"/>
  <c r="AB379" i="82"/>
  <c r="AB378" i="82"/>
  <c r="AB377" i="82"/>
  <c r="AB376" i="82"/>
  <c r="AB375" i="82"/>
  <c r="AB374" i="82"/>
  <c r="AB373" i="82"/>
  <c r="AB372" i="82"/>
  <c r="AB371" i="82"/>
  <c r="AB370" i="82"/>
  <c r="AB369" i="82"/>
  <c r="AB368" i="82"/>
  <c r="AB367" i="82"/>
  <c r="AB366" i="82"/>
  <c r="AB365" i="82"/>
  <c r="AB364" i="82"/>
  <c r="AB363" i="82"/>
  <c r="AB362" i="82"/>
  <c r="AB361" i="82"/>
  <c r="AB360" i="82"/>
  <c r="AB359" i="82"/>
  <c r="AB358" i="82"/>
  <c r="AB357" i="82"/>
  <c r="AB356" i="82"/>
  <c r="AB355" i="82"/>
  <c r="AB354" i="82"/>
  <c r="AB353" i="82"/>
  <c r="AB352" i="82"/>
  <c r="AB351" i="82"/>
  <c r="AB350" i="82"/>
  <c r="AB349" i="82"/>
  <c r="AB348" i="82"/>
  <c r="AB347" i="82"/>
  <c r="AB346" i="82"/>
  <c r="AB345" i="82"/>
  <c r="AB344" i="82"/>
  <c r="AB343" i="82"/>
  <c r="AB342" i="82"/>
  <c r="AB341" i="82"/>
  <c r="AB448" i="82"/>
  <c r="AB425" i="82"/>
  <c r="AA397" i="82"/>
  <c r="AB392" i="82"/>
  <c r="AA389" i="82"/>
  <c r="AB384" i="82"/>
  <c r="AA381" i="82"/>
  <c r="AA380" i="82"/>
  <c r="AA379" i="82"/>
  <c r="AA378" i="82"/>
  <c r="AA377" i="82"/>
  <c r="AA376" i="82"/>
  <c r="AA375" i="82"/>
  <c r="AA374" i="82"/>
  <c r="AA373" i="82"/>
  <c r="AA372" i="82"/>
  <c r="AA371" i="82"/>
  <c r="AA370" i="82"/>
  <c r="AA369" i="82"/>
  <c r="AA368" i="82"/>
  <c r="AA367" i="82"/>
  <c r="AA366" i="82"/>
  <c r="AA365" i="82"/>
  <c r="AA364" i="82"/>
  <c r="AA363" i="82"/>
  <c r="AA362" i="82"/>
  <c r="AA361" i="82"/>
  <c r="AA360" i="82"/>
  <c r="AA359" i="82"/>
  <c r="AA358" i="82"/>
  <c r="AA357" i="82"/>
  <c r="AA356" i="82"/>
  <c r="AA355" i="82"/>
  <c r="AA354" i="82"/>
  <c r="AA353" i="82"/>
  <c r="AA352" i="82"/>
  <c r="AA351" i="82"/>
  <c r="AB419" i="82"/>
  <c r="AA392" i="82"/>
  <c r="AB387" i="82"/>
  <c r="AA384" i="82"/>
  <c r="AA396" i="82"/>
  <c r="AB390" i="82"/>
  <c r="AA387" i="82"/>
  <c r="AB382" i="82"/>
  <c r="AB423" i="82"/>
  <c r="AB393" i="82"/>
  <c r="AA390" i="82"/>
  <c r="AB385" i="82"/>
  <c r="AA382" i="82"/>
  <c r="AA385" i="82"/>
  <c r="AA349" i="82"/>
  <c r="AA393" i="82"/>
  <c r="AB340" i="82"/>
  <c r="AB339" i="82"/>
  <c r="AB338" i="82"/>
  <c r="AB337" i="82"/>
  <c r="AB336" i="82"/>
  <c r="AB335" i="82"/>
  <c r="AB334" i="82"/>
  <c r="AB333" i="82"/>
  <c r="AB332" i="82"/>
  <c r="AB331" i="82"/>
  <c r="AB330" i="82"/>
  <c r="AB329" i="82"/>
  <c r="AB328" i="82"/>
  <c r="AB327" i="82"/>
  <c r="AB326" i="82"/>
  <c r="AB325" i="82"/>
  <c r="AB324" i="82"/>
  <c r="AB323" i="82"/>
  <c r="AB322" i="82"/>
  <c r="AB321" i="82"/>
  <c r="AB320" i="82"/>
  <c r="AB319" i="82"/>
  <c r="AB318" i="82"/>
  <c r="AB317" i="82"/>
  <c r="AB316" i="82"/>
  <c r="AB315" i="82"/>
  <c r="AB314" i="82"/>
  <c r="AB313" i="82"/>
  <c r="AB312" i="82"/>
  <c r="AB311" i="82"/>
  <c r="AB310" i="82"/>
  <c r="AB309" i="82"/>
  <c r="AB308" i="82"/>
  <c r="AB307" i="82"/>
  <c r="AB306" i="82"/>
  <c r="AB305" i="82"/>
  <c r="AB304" i="82"/>
  <c r="AB303" i="82"/>
  <c r="AB302" i="82"/>
  <c r="AB301" i="82"/>
  <c r="AB300" i="82"/>
  <c r="AB299" i="82"/>
  <c r="AB298" i="82"/>
  <c r="AB297" i="82"/>
  <c r="AB296" i="82"/>
  <c r="AB295" i="82"/>
  <c r="AB294" i="82"/>
  <c r="AB293" i="82"/>
  <c r="AB292" i="82"/>
  <c r="AB291" i="82"/>
  <c r="AB290" i="82"/>
  <c r="AB289" i="82"/>
  <c r="AB288" i="82"/>
  <c r="AB417" i="82"/>
  <c r="AA395" i="82"/>
  <c r="AA341" i="82"/>
  <c r="AB383" i="82"/>
  <c r="AA347" i="82"/>
  <c r="AA388" i="82"/>
  <c r="AA348" i="82"/>
  <c r="AA340" i="82"/>
  <c r="AA338" i="82"/>
  <c r="AA336" i="82"/>
  <c r="AA334" i="82"/>
  <c r="AA332" i="82"/>
  <c r="AA330" i="82"/>
  <c r="AA328" i="82"/>
  <c r="AA326" i="82"/>
  <c r="AA324" i="82"/>
  <c r="AA322" i="82"/>
  <c r="AA319" i="82"/>
  <c r="AA315" i="82"/>
  <c r="AA311" i="82"/>
  <c r="AA307" i="82"/>
  <c r="AA303" i="82"/>
  <c r="AA299" i="82"/>
  <c r="AA295" i="82"/>
  <c r="AA290" i="82"/>
  <c r="AA286" i="82"/>
  <c r="AB285" i="82"/>
  <c r="AA278" i="82"/>
  <c r="AB277" i="82"/>
  <c r="AB268" i="82"/>
  <c r="AB388" i="82"/>
  <c r="AA344" i="82"/>
  <c r="AA291" i="82"/>
  <c r="AA285" i="82"/>
  <c r="AB284" i="82"/>
  <c r="AA277" i="82"/>
  <c r="AB276" i="82"/>
  <c r="AB271" i="82"/>
  <c r="AA268" i="82"/>
  <c r="AA320" i="82"/>
  <c r="AA316" i="82"/>
  <c r="AA312" i="82"/>
  <c r="AA308" i="82"/>
  <c r="AA304" i="82"/>
  <c r="AA300" i="82"/>
  <c r="AA296" i="82"/>
  <c r="AA292" i="82"/>
  <c r="AA284" i="82"/>
  <c r="AB283" i="82"/>
  <c r="AA276" i="82"/>
  <c r="AB275" i="82"/>
  <c r="AA271" i="82"/>
  <c r="AA342" i="82"/>
  <c r="AA283" i="82"/>
  <c r="AB282" i="82"/>
  <c r="AA275" i="82"/>
  <c r="AB274" i="82"/>
  <c r="AB269" i="82"/>
  <c r="AA345" i="82"/>
  <c r="AA339" i="82"/>
  <c r="AA337" i="82"/>
  <c r="AA335" i="82"/>
  <c r="AA333" i="82"/>
  <c r="AA331" i="82"/>
  <c r="AA329" i="82"/>
  <c r="AA327" i="82"/>
  <c r="AA325" i="82"/>
  <c r="AA323" i="82"/>
  <c r="AA321" i="82"/>
  <c r="AA317" i="82"/>
  <c r="AA313" i="82"/>
  <c r="AA309" i="82"/>
  <c r="AA305" i="82"/>
  <c r="AA301" i="82"/>
  <c r="AA297" i="82"/>
  <c r="AA293" i="82"/>
  <c r="AA282" i="82"/>
  <c r="AB281" i="82"/>
  <c r="AA274" i="82"/>
  <c r="AB273" i="82"/>
  <c r="AA269" i="82"/>
  <c r="AB391" i="82"/>
  <c r="AA350" i="82"/>
  <c r="AA281" i="82"/>
  <c r="AB280" i="82"/>
  <c r="AA273" i="82"/>
  <c r="AB272" i="82"/>
  <c r="AA343" i="82"/>
  <c r="AA318" i="82"/>
  <c r="AA314" i="82"/>
  <c r="AA310" i="82"/>
  <c r="AA306" i="82"/>
  <c r="AA302" i="82"/>
  <c r="AA298" i="82"/>
  <c r="AA294" i="82"/>
  <c r="AA288" i="82"/>
  <c r="AB287" i="82"/>
  <c r="AA280" i="82"/>
  <c r="AB279" i="82"/>
  <c r="AA272" i="82"/>
  <c r="AB270" i="82"/>
  <c r="AB267" i="82"/>
  <c r="AB266" i="82"/>
  <c r="AB265" i="82"/>
  <c r="AB264" i="82"/>
  <c r="AB263" i="82"/>
  <c r="AB262" i="82"/>
  <c r="AB261" i="82"/>
  <c r="AB260" i="82"/>
  <c r="AB259" i="82"/>
  <c r="AB258" i="82"/>
  <c r="AB257" i="82"/>
  <c r="AB256" i="82"/>
  <c r="AB255" i="82"/>
  <c r="AB254" i="82"/>
  <c r="AB253" i="82"/>
  <c r="AB252" i="82"/>
  <c r="AB251" i="82"/>
  <c r="AB250" i="82"/>
  <c r="AB249" i="82"/>
  <c r="AB248" i="82"/>
  <c r="AB247" i="82"/>
  <c r="AB246" i="82"/>
  <c r="AB245" i="82"/>
  <c r="AB244" i="82"/>
  <c r="AB243" i="82"/>
  <c r="AB242" i="82"/>
  <c r="AB241" i="82"/>
  <c r="AB240" i="82"/>
  <c r="AB239" i="82"/>
  <c r="AB238" i="82"/>
  <c r="AB237" i="82"/>
  <c r="AB236" i="82"/>
  <c r="AB235" i="82"/>
  <c r="AB234" i="82"/>
  <c r="AB233" i="82"/>
  <c r="AB232" i="82"/>
  <c r="AB231" i="82"/>
  <c r="AB230" i="82"/>
  <c r="AA289" i="82"/>
  <c r="AB286" i="82"/>
  <c r="AA267" i="82"/>
  <c r="AA263" i="82"/>
  <c r="AA259" i="82"/>
  <c r="AA255" i="82"/>
  <c r="AA251" i="82"/>
  <c r="AA247" i="82"/>
  <c r="AA243" i="82"/>
  <c r="AA235" i="82"/>
  <c r="AB224" i="82"/>
  <c r="AA223" i="82"/>
  <c r="AA222" i="82"/>
  <c r="AA221" i="82"/>
  <c r="AB220" i="82"/>
  <c r="AA216" i="82"/>
  <c r="AB213" i="82"/>
  <c r="AB212" i="82"/>
  <c r="AB211" i="82"/>
  <c r="AB210" i="82"/>
  <c r="AB209" i="82"/>
  <c r="AB208" i="82"/>
  <c r="AB207" i="82"/>
  <c r="AB206" i="82"/>
  <c r="AB205" i="82"/>
  <c r="AB204" i="82"/>
  <c r="AB203" i="82"/>
  <c r="AB202" i="82"/>
  <c r="AB201" i="82"/>
  <c r="AB200" i="82"/>
  <c r="AB199" i="82"/>
  <c r="AB198" i="82"/>
  <c r="AB197" i="82"/>
  <c r="AB196" i="82"/>
  <c r="AB195" i="82"/>
  <c r="AB194" i="82"/>
  <c r="AB193" i="82"/>
  <c r="AB192" i="82"/>
  <c r="AB191" i="82"/>
  <c r="AB190" i="82"/>
  <c r="AB189" i="82"/>
  <c r="AB188" i="82"/>
  <c r="AA238" i="82"/>
  <c r="AA230" i="82"/>
  <c r="AB225" i="82"/>
  <c r="AA224" i="82"/>
  <c r="AA220" i="82"/>
  <c r="AB219" i="82"/>
  <c r="AB214" i="82"/>
  <c r="AA213" i="82"/>
  <c r="AA212" i="82"/>
  <c r="AA211" i="82"/>
  <c r="AA210" i="82"/>
  <c r="AA209" i="82"/>
  <c r="AA208" i="82"/>
  <c r="AA207" i="82"/>
  <c r="AA206" i="82"/>
  <c r="AA205" i="82"/>
  <c r="AA204" i="82"/>
  <c r="AA203" i="82"/>
  <c r="AA202" i="82"/>
  <c r="AA201" i="82"/>
  <c r="AA200" i="82"/>
  <c r="AA199" i="82"/>
  <c r="AA198" i="82"/>
  <c r="AA197" i="82"/>
  <c r="AA196" i="82"/>
  <c r="AA195" i="82"/>
  <c r="AA194" i="82"/>
  <c r="AA193" i="82"/>
  <c r="AA192" i="82"/>
  <c r="AA191" i="82"/>
  <c r="AA190" i="82"/>
  <c r="AA189" i="82"/>
  <c r="AA188" i="82"/>
  <c r="AA187" i="82"/>
  <c r="AA186" i="82"/>
  <c r="AA185" i="82"/>
  <c r="AA184" i="82"/>
  <c r="AA183" i="82"/>
  <c r="AA182" i="82"/>
  <c r="AA181" i="82"/>
  <c r="AA180" i="82"/>
  <c r="AA179" i="82"/>
  <c r="AA178" i="82"/>
  <c r="AA177" i="82"/>
  <c r="AA176" i="82"/>
  <c r="AA175" i="82"/>
  <c r="AA174" i="82"/>
  <c r="AA173" i="82"/>
  <c r="AA172" i="82"/>
  <c r="AA171" i="82"/>
  <c r="AA170" i="82"/>
  <c r="AA169" i="82"/>
  <c r="AA168" i="82"/>
  <c r="AA167" i="82"/>
  <c r="AA166" i="82"/>
  <c r="AA165" i="82"/>
  <c r="AA264" i="82"/>
  <c r="AA260" i="82"/>
  <c r="AA256" i="82"/>
  <c r="AA252" i="82"/>
  <c r="AA248" i="82"/>
  <c r="AA244" i="82"/>
  <c r="AA241" i="82"/>
  <c r="AA233" i="82"/>
  <c r="AB226" i="82"/>
  <c r="AA225" i="82"/>
  <c r="AA219" i="82"/>
  <c r="AB218" i="82"/>
  <c r="AA214" i="82"/>
  <c r="AA236" i="82"/>
  <c r="AB227" i="82"/>
  <c r="AA226" i="82"/>
  <c r="AA218" i="82"/>
  <c r="AB217" i="82"/>
  <c r="AA279" i="82"/>
  <c r="AA265" i="82"/>
  <c r="AA261" i="82"/>
  <c r="AA257" i="82"/>
  <c r="AA253" i="82"/>
  <c r="AA249" i="82"/>
  <c r="AA245" i="82"/>
  <c r="AA239" i="82"/>
  <c r="AA231" i="82"/>
  <c r="AB228" i="82"/>
  <c r="AA227" i="82"/>
  <c r="AA217" i="82"/>
  <c r="AB215" i="82"/>
  <c r="AA287" i="82"/>
  <c r="AA242" i="82"/>
  <c r="AA234" i="82"/>
  <c r="AA228" i="82"/>
  <c r="AA215" i="82"/>
  <c r="AA346" i="82"/>
  <c r="AA266" i="82"/>
  <c r="AA262" i="82"/>
  <c r="AA258" i="82"/>
  <c r="AA254" i="82"/>
  <c r="AA250" i="82"/>
  <c r="AA246" i="82"/>
  <c r="AA237" i="82"/>
  <c r="AB229" i="82"/>
  <c r="AB184" i="82"/>
  <c r="AA229" i="82"/>
  <c r="AB166" i="82"/>
  <c r="AA163" i="82"/>
  <c r="AA240" i="82"/>
  <c r="AB172" i="82"/>
  <c r="AB164" i="82"/>
  <c r="AA161" i="82"/>
  <c r="AA160" i="82"/>
  <c r="AA159" i="82"/>
  <c r="AA158" i="82"/>
  <c r="AA157" i="82"/>
  <c r="AA156" i="82"/>
  <c r="AA155" i="82"/>
  <c r="AA154" i="82"/>
  <c r="AA153" i="82"/>
  <c r="AA152" i="82"/>
  <c r="AA151" i="82"/>
  <c r="AA150" i="82"/>
  <c r="AA149" i="82"/>
  <c r="AA148" i="82"/>
  <c r="AA147" i="82"/>
  <c r="AA146" i="82"/>
  <c r="AA145" i="82"/>
  <c r="AB278" i="82"/>
  <c r="AA232" i="82"/>
  <c r="AB186" i="82"/>
  <c r="AB182" i="82"/>
  <c r="AB171" i="82"/>
  <c r="AA164" i="82"/>
  <c r="AB170" i="82"/>
  <c r="AB162" i="82"/>
  <c r="AA270" i="82"/>
  <c r="AB221" i="82"/>
  <c r="AB183" i="82"/>
  <c r="AB169" i="82"/>
  <c r="AA162" i="82"/>
  <c r="AB223" i="82"/>
  <c r="AB216" i="82"/>
  <c r="AB181" i="82"/>
  <c r="AB179" i="82"/>
  <c r="AB177" i="82"/>
  <c r="AB175" i="82"/>
  <c r="AB168" i="82"/>
  <c r="AB173" i="82"/>
  <c r="AB163" i="82"/>
  <c r="AB154" i="82"/>
  <c r="AB150" i="82"/>
  <c r="AB146" i="82"/>
  <c r="AA143" i="82"/>
  <c r="AA141" i="82"/>
  <c r="AB167" i="82"/>
  <c r="AB165" i="82"/>
  <c r="AB153" i="82"/>
  <c r="AB149" i="82"/>
  <c r="AB145" i="82"/>
  <c r="AB142" i="82"/>
  <c r="AA139" i="82"/>
  <c r="AA138" i="82"/>
  <c r="AA137" i="82"/>
  <c r="AA136" i="82"/>
  <c r="AA135" i="82"/>
  <c r="AA134" i="82"/>
  <c r="AA133" i="82"/>
  <c r="AA132" i="82"/>
  <c r="AA131" i="82"/>
  <c r="AA130" i="82"/>
  <c r="AA129" i="82"/>
  <c r="AA128" i="82"/>
  <c r="AA127" i="82"/>
  <c r="AA126" i="82"/>
  <c r="AA125" i="82"/>
  <c r="AA124" i="82"/>
  <c r="AA123" i="82"/>
  <c r="AA122" i="82"/>
  <c r="AA121" i="82"/>
  <c r="AA120" i="82"/>
  <c r="AA119" i="82"/>
  <c r="AA118" i="82"/>
  <c r="AA117" i="82"/>
  <c r="AA116" i="82"/>
  <c r="AA115" i="82"/>
  <c r="AA114" i="82"/>
  <c r="AA113" i="82"/>
  <c r="AA112" i="82"/>
  <c r="AA111" i="82"/>
  <c r="AA110" i="82"/>
  <c r="AB187" i="82"/>
  <c r="AB180" i="82"/>
  <c r="AB178" i="82"/>
  <c r="AB176" i="82"/>
  <c r="AB174" i="82"/>
  <c r="AB160" i="82"/>
  <c r="AB159" i="82"/>
  <c r="AA142" i="82"/>
  <c r="AB161" i="82"/>
  <c r="AB158" i="82"/>
  <c r="AB152" i="82"/>
  <c r="AB148" i="82"/>
  <c r="AB144" i="82"/>
  <c r="AB140" i="82"/>
  <c r="AB157" i="82"/>
  <c r="AA144" i="82"/>
  <c r="AA140" i="82"/>
  <c r="AB143" i="82"/>
  <c r="AB141" i="82"/>
  <c r="AB138" i="82"/>
  <c r="AB130" i="82"/>
  <c r="AB117" i="82"/>
  <c r="AB109" i="82"/>
  <c r="AB156" i="82"/>
  <c r="AB151" i="82"/>
  <c r="AB139" i="82"/>
  <c r="AB131" i="82"/>
  <c r="AB222" i="82"/>
  <c r="AB132" i="82"/>
  <c r="AB115" i="82"/>
  <c r="AA106" i="82"/>
  <c r="AB103" i="82"/>
  <c r="AA98" i="82"/>
  <c r="AB95" i="82"/>
  <c r="AB133" i="82"/>
  <c r="AB114" i="82"/>
  <c r="AB108" i="82"/>
  <c r="AA103" i="82"/>
  <c r="AB100" i="82"/>
  <c r="AA95" i="82"/>
  <c r="AB134" i="82"/>
  <c r="AB113" i="82"/>
  <c r="AA108" i="82"/>
  <c r="AB105" i="82"/>
  <c r="AA100" i="82"/>
  <c r="AB97" i="82"/>
  <c r="AB185" i="82"/>
  <c r="AB155" i="82"/>
  <c r="AB147" i="82"/>
  <c r="AB135" i="82"/>
  <c r="AB127" i="82"/>
  <c r="AB126" i="82"/>
  <c r="AB125" i="82"/>
  <c r="AB124" i="82"/>
  <c r="AB123" i="82"/>
  <c r="AB122" i="82"/>
  <c r="AB121" i="82"/>
  <c r="AB120" i="82"/>
  <c r="AB112" i="82"/>
  <c r="AA105" i="82"/>
  <c r="AB136" i="82"/>
  <c r="AB128" i="82"/>
  <c r="AB137" i="82"/>
  <c r="AB129" i="82"/>
  <c r="AB118" i="82"/>
  <c r="AB110" i="82"/>
  <c r="AA107" i="82"/>
  <c r="AB104" i="82"/>
  <c r="AA99" i="82"/>
  <c r="AB96" i="82"/>
  <c r="AB98" i="82"/>
  <c r="AB92" i="82"/>
  <c r="AA85" i="82"/>
  <c r="AB84" i="82"/>
  <c r="AA80" i="82"/>
  <c r="AB37" i="82"/>
  <c r="AA31" i="82"/>
  <c r="AA28" i="82"/>
  <c r="AA19" i="82"/>
  <c r="AB116" i="82"/>
  <c r="AB107" i="82"/>
  <c r="AB99" i="82"/>
  <c r="AA92" i="82"/>
  <c r="AB91" i="82"/>
  <c r="AA84" i="82"/>
  <c r="AB83" i="82"/>
  <c r="AB79" i="82"/>
  <c r="AB76" i="82"/>
  <c r="AB74" i="82"/>
  <c r="AB72" i="82"/>
  <c r="AB70" i="82"/>
  <c r="AB68" i="82"/>
  <c r="AB67" i="82"/>
  <c r="AB66" i="82"/>
  <c r="AB65" i="82"/>
  <c r="AB64" i="82"/>
  <c r="AB63" i="82"/>
  <c r="AB62" i="82"/>
  <c r="AB61" i="82"/>
  <c r="AB60" i="82"/>
  <c r="AB59" i="82"/>
  <c r="AB58" i="82"/>
  <c r="AB57" i="82"/>
  <c r="AB56" i="82"/>
  <c r="AB55" i="82"/>
  <c r="AB54" i="82"/>
  <c r="AB53" i="82"/>
  <c r="AB52" i="82"/>
  <c r="AB51" i="82"/>
  <c r="AB50" i="82"/>
  <c r="AB49" i="82"/>
  <c r="AB48" i="82"/>
  <c r="AB47" i="82"/>
  <c r="AB46" i="82"/>
  <c r="AB45" i="82"/>
  <c r="AB44" i="82"/>
  <c r="AB43" i="82"/>
  <c r="AB42" i="82"/>
  <c r="AB41" i="82"/>
  <c r="AB40" i="82"/>
  <c r="AA37" i="82"/>
  <c r="AB33" i="82"/>
  <c r="AA27" i="82"/>
  <c r="AA21" i="82"/>
  <c r="AA96" i="82"/>
  <c r="AB93" i="82"/>
  <c r="AA91" i="82"/>
  <c r="AB90" i="82"/>
  <c r="AA83" i="82"/>
  <c r="AA79" i="82"/>
  <c r="AA76" i="82"/>
  <c r="AA74" i="82"/>
  <c r="AA72" i="82"/>
  <c r="AA70" i="82"/>
  <c r="AA68" i="82"/>
  <c r="AA67" i="82"/>
  <c r="AA66" i="82"/>
  <c r="AA65" i="82"/>
  <c r="AA64" i="82"/>
  <c r="AA63" i="82"/>
  <c r="AA62" i="82"/>
  <c r="AA61" i="82"/>
  <c r="AA60" i="82"/>
  <c r="AA59" i="82"/>
  <c r="AA58" i="82"/>
  <c r="AA57" i="82"/>
  <c r="AA56" i="82"/>
  <c r="AA55" i="82"/>
  <c r="AA54" i="82"/>
  <c r="AA53" i="82"/>
  <c r="AA52" i="82"/>
  <c r="AA51" i="82"/>
  <c r="AA50" i="82"/>
  <c r="AA49" i="82"/>
  <c r="AA48" i="82"/>
  <c r="AA47" i="82"/>
  <c r="AA46" i="82"/>
  <c r="AA45" i="82"/>
  <c r="AA44" i="82"/>
  <c r="AA43" i="82"/>
  <c r="AA42" i="82"/>
  <c r="AA41" i="82"/>
  <c r="AA40" i="82"/>
  <c r="AA33" i="82"/>
  <c r="AB17" i="82"/>
  <c r="AB94" i="82"/>
  <c r="AA93" i="82"/>
  <c r="AA90" i="82"/>
  <c r="AB89" i="82"/>
  <c r="AB82" i="82"/>
  <c r="AB78" i="82"/>
  <c r="AB39" i="82"/>
  <c r="AA30" i="82"/>
  <c r="AA26" i="82"/>
  <c r="AA24" i="82"/>
  <c r="AA17" i="82"/>
  <c r="AA94" i="82"/>
  <c r="AA89" i="82"/>
  <c r="AB88" i="82"/>
  <c r="AA82" i="82"/>
  <c r="AA78" i="82"/>
  <c r="AA39" i="82"/>
  <c r="AB36" i="82"/>
  <c r="AB32" i="82"/>
  <c r="AA22" i="82"/>
  <c r="AA18" i="82"/>
  <c r="AB119" i="82"/>
  <c r="AA104" i="82"/>
  <c r="AB101" i="82"/>
  <c r="AA88" i="82"/>
  <c r="AB87" i="82"/>
  <c r="AB81" i="82"/>
  <c r="AB77" i="82"/>
  <c r="AB75" i="82"/>
  <c r="AB73" i="82"/>
  <c r="AB71" i="82"/>
  <c r="AB69" i="82"/>
  <c r="AB38" i="82"/>
  <c r="AA36" i="82"/>
  <c r="AB35" i="82"/>
  <c r="AA32" i="82"/>
  <c r="AA29" i="82"/>
  <c r="AA20" i="82"/>
  <c r="AB106" i="82"/>
  <c r="AB102" i="82"/>
  <c r="AA101" i="82"/>
  <c r="AA97" i="82"/>
  <c r="AA87" i="82"/>
  <c r="AB86" i="82"/>
  <c r="AA81" i="82"/>
  <c r="AA77" i="82"/>
  <c r="AA75" i="82"/>
  <c r="AA73" i="82"/>
  <c r="AA71" i="82"/>
  <c r="AA69" i="82"/>
  <c r="AA38" i="82"/>
  <c r="AA35" i="82"/>
  <c r="AB34" i="82"/>
  <c r="AB111" i="82"/>
  <c r="AA109" i="82"/>
  <c r="AA102" i="82"/>
  <c r="AA86" i="82"/>
  <c r="AB85" i="82"/>
  <c r="AB80" i="82"/>
  <c r="AA34" i="82"/>
  <c r="AW31" i="82"/>
  <c r="AB31" i="82"/>
  <c r="AA25" i="82"/>
  <c r="AA23" i="82"/>
  <c r="AB19" i="82"/>
  <c r="AB29" i="82"/>
  <c r="AB22" i="82"/>
  <c r="AB26" i="82"/>
  <c r="AB28" i="82"/>
  <c r="AB30" i="82"/>
  <c r="AB23" i="82"/>
  <c r="AB20" i="82"/>
  <c r="AB18" i="82"/>
  <c r="AB25" i="82"/>
  <c r="AB21" i="82"/>
  <c r="AB27" i="82"/>
  <c r="AB24" i="82"/>
  <c r="AI529" i="82"/>
  <c r="AI528" i="82"/>
  <c r="AI527" i="82"/>
  <c r="AI526" i="82"/>
  <c r="AI525" i="82"/>
  <c r="AI524" i="82"/>
  <c r="AI523" i="82"/>
  <c r="AI522" i="82"/>
  <c r="AI521" i="82"/>
  <c r="AI520" i="82"/>
  <c r="AI519" i="82"/>
  <c r="AI518" i="82"/>
  <c r="AI517" i="82"/>
  <c r="AI516" i="82"/>
  <c r="AI515" i="82"/>
  <c r="AI514" i="82"/>
  <c r="AJ512" i="82"/>
  <c r="AJ508" i="82"/>
  <c r="AJ504" i="82"/>
  <c r="AJ501" i="82"/>
  <c r="AJ500" i="82"/>
  <c r="AJ499" i="82"/>
  <c r="AJ498" i="82"/>
  <c r="AJ497" i="82"/>
  <c r="AJ496" i="82"/>
  <c r="AJ495" i="82"/>
  <c r="AJ494" i="82"/>
  <c r="AJ493" i="82"/>
  <c r="AJ492" i="82"/>
  <c r="AJ491" i="82"/>
  <c r="AJ490" i="82"/>
  <c r="AJ489" i="82"/>
  <c r="AJ488" i="82"/>
  <c r="AJ528" i="82"/>
  <c r="AJ526" i="82"/>
  <c r="AJ524" i="82"/>
  <c r="AJ522" i="82"/>
  <c r="AJ520" i="82"/>
  <c r="AJ518" i="82"/>
  <c r="AJ516" i="82"/>
  <c r="AI512" i="82"/>
  <c r="AI508" i="82"/>
  <c r="AI504" i="82"/>
  <c r="AI501" i="82"/>
  <c r="AI500" i="82"/>
  <c r="AI499" i="82"/>
  <c r="AI498" i="82"/>
  <c r="AI497" i="82"/>
  <c r="AI496" i="82"/>
  <c r="AI495" i="82"/>
  <c r="AI494" i="82"/>
  <c r="AI493" i="82"/>
  <c r="AI492" i="82"/>
  <c r="AI491" i="82"/>
  <c r="AI490" i="82"/>
  <c r="AI489" i="82"/>
  <c r="AI488" i="82"/>
  <c r="AI487" i="82"/>
  <c r="AI486" i="82"/>
  <c r="AI485" i="82"/>
  <c r="AI484" i="82"/>
  <c r="AI483" i="82"/>
  <c r="AI482" i="82"/>
  <c r="AI481" i="82"/>
  <c r="AI480" i="82"/>
  <c r="AI479" i="82"/>
  <c r="AI478" i="82"/>
  <c r="AI477" i="82"/>
  <c r="AI511" i="82"/>
  <c r="AI507" i="82"/>
  <c r="AI503" i="82"/>
  <c r="AJ513" i="82"/>
  <c r="AJ527" i="82"/>
  <c r="AJ523" i="82"/>
  <c r="AJ519" i="82"/>
  <c r="AJ515" i="82"/>
  <c r="AI513" i="82"/>
  <c r="AJ480" i="82"/>
  <c r="AJ485" i="82"/>
  <c r="AJ482" i="82"/>
  <c r="AJ509" i="82"/>
  <c r="AJ505" i="82"/>
  <c r="AJ487" i="82"/>
  <c r="AJ479" i="82"/>
  <c r="AJ529" i="82"/>
  <c r="AJ525" i="82"/>
  <c r="AJ521" i="82"/>
  <c r="AJ517" i="82"/>
  <c r="AJ514" i="82"/>
  <c r="AJ510" i="82"/>
  <c r="AI509" i="82"/>
  <c r="AJ506" i="82"/>
  <c r="AI505" i="82"/>
  <c r="AJ502" i="82"/>
  <c r="AJ484" i="82"/>
  <c r="AJ486" i="82"/>
  <c r="AJ478" i="82"/>
  <c r="AI476" i="82"/>
  <c r="AI475" i="82"/>
  <c r="AI474" i="82"/>
  <c r="AI473" i="82"/>
  <c r="AI472" i="82"/>
  <c r="AI471" i="82"/>
  <c r="AI470" i="82"/>
  <c r="AI469" i="82"/>
  <c r="AI468" i="82"/>
  <c r="AI467" i="82"/>
  <c r="AI466" i="82"/>
  <c r="AI465" i="82"/>
  <c r="AI464" i="82"/>
  <c r="AI463" i="82"/>
  <c r="AI462" i="82"/>
  <c r="AI461" i="82"/>
  <c r="AI460" i="82"/>
  <c r="AI459" i="82"/>
  <c r="AI458" i="82"/>
  <c r="AI457" i="82"/>
  <c r="AI456" i="82"/>
  <c r="AI455" i="82"/>
  <c r="AI454" i="82"/>
  <c r="AI453" i="82"/>
  <c r="AI452" i="82"/>
  <c r="AI506" i="82"/>
  <c r="AJ483" i="82"/>
  <c r="AJ450" i="82"/>
  <c r="AI447" i="82"/>
  <c r="AJ476" i="82"/>
  <c r="AJ475" i="82"/>
  <c r="AJ474" i="82"/>
  <c r="AJ473" i="82"/>
  <c r="AJ472" i="82"/>
  <c r="AJ471" i="82"/>
  <c r="AJ470" i="82"/>
  <c r="AJ469" i="82"/>
  <c r="AJ468" i="82"/>
  <c r="AJ467" i="82"/>
  <c r="AJ466" i="82"/>
  <c r="AJ465" i="82"/>
  <c r="AJ464" i="82"/>
  <c r="AJ463" i="82"/>
  <c r="AJ462" i="82"/>
  <c r="AJ461" i="82"/>
  <c r="AJ460" i="82"/>
  <c r="AJ459" i="82"/>
  <c r="AJ458" i="82"/>
  <c r="AJ454" i="82"/>
  <c r="AI450" i="82"/>
  <c r="AJ511" i="82"/>
  <c r="AI502" i="82"/>
  <c r="AJ457" i="82"/>
  <c r="AJ448" i="82"/>
  <c r="AJ445" i="82"/>
  <c r="AJ444" i="82"/>
  <c r="AJ443" i="82"/>
  <c r="AJ442" i="82"/>
  <c r="AJ441" i="82"/>
  <c r="AJ440" i="82"/>
  <c r="AJ439" i="82"/>
  <c r="AJ438" i="82"/>
  <c r="AJ437" i="82"/>
  <c r="AJ436" i="82"/>
  <c r="AJ435" i="82"/>
  <c r="AJ434" i="82"/>
  <c r="AJ433" i="82"/>
  <c r="AJ432" i="82"/>
  <c r="AJ431" i="82"/>
  <c r="AJ430" i="82"/>
  <c r="AJ456" i="82"/>
  <c r="AJ451" i="82"/>
  <c r="AI448" i="82"/>
  <c r="AI445" i="82"/>
  <c r="AI444" i="82"/>
  <c r="AI443" i="82"/>
  <c r="AI442" i="82"/>
  <c r="AI441" i="82"/>
  <c r="AI440" i="82"/>
  <c r="AI439" i="82"/>
  <c r="AI438" i="82"/>
  <c r="AI437" i="82"/>
  <c r="AI436" i="82"/>
  <c r="AI435" i="82"/>
  <c r="AI434" i="82"/>
  <c r="AI433" i="82"/>
  <c r="AI432" i="82"/>
  <c r="AI431" i="82"/>
  <c r="AI430" i="82"/>
  <c r="AI429" i="82"/>
  <c r="AI428" i="82"/>
  <c r="AI427" i="82"/>
  <c r="AI426" i="82"/>
  <c r="AI425" i="82"/>
  <c r="AI424" i="82"/>
  <c r="AI423" i="82"/>
  <c r="AI422" i="82"/>
  <c r="AI421" i="82"/>
  <c r="AI420" i="82"/>
  <c r="AI419" i="82"/>
  <c r="AI418" i="82"/>
  <c r="AI417" i="82"/>
  <c r="AI416" i="82"/>
  <c r="AI415" i="82"/>
  <c r="AI414" i="82"/>
  <c r="AI413" i="82"/>
  <c r="AJ507" i="82"/>
  <c r="AJ453" i="82"/>
  <c r="AI451" i="82"/>
  <c r="AJ446" i="82"/>
  <c r="AI510" i="82"/>
  <c r="AJ503" i="82"/>
  <c r="AJ481" i="82"/>
  <c r="AJ455" i="82"/>
  <c r="AI449" i="82"/>
  <c r="AI446" i="82"/>
  <c r="AJ447" i="82"/>
  <c r="AJ429" i="82"/>
  <c r="AJ414" i="82"/>
  <c r="AJ428" i="82"/>
  <c r="AJ452" i="82"/>
  <c r="AJ427" i="82"/>
  <c r="AJ425" i="82"/>
  <c r="AJ409" i="82"/>
  <c r="AI408" i="82"/>
  <c r="AI397" i="82"/>
  <c r="AI392" i="82"/>
  <c r="AJ387" i="82"/>
  <c r="AI384" i="82"/>
  <c r="AJ477" i="82"/>
  <c r="AJ422" i="82"/>
  <c r="AJ419" i="82"/>
  <c r="AJ410" i="82"/>
  <c r="AI409" i="82"/>
  <c r="AJ396" i="82"/>
  <c r="AJ390" i="82"/>
  <c r="AI387" i="82"/>
  <c r="AJ382" i="82"/>
  <c r="AJ416" i="82"/>
  <c r="AJ411" i="82"/>
  <c r="AI410" i="82"/>
  <c r="AI396" i="82"/>
  <c r="AJ393" i="82"/>
  <c r="AI390" i="82"/>
  <c r="AJ385" i="82"/>
  <c r="AI382" i="82"/>
  <c r="AJ426" i="82"/>
  <c r="AJ423" i="82"/>
  <c r="AJ412" i="82"/>
  <c r="AI411" i="82"/>
  <c r="AJ395" i="82"/>
  <c r="AI393" i="82"/>
  <c r="AJ388" i="82"/>
  <c r="AI385" i="82"/>
  <c r="AJ420" i="82"/>
  <c r="AJ417" i="82"/>
  <c r="AI412" i="82"/>
  <c r="AI395" i="82"/>
  <c r="AJ391" i="82"/>
  <c r="AI388" i="82"/>
  <c r="AJ383" i="82"/>
  <c r="AJ449" i="82"/>
  <c r="AJ413" i="82"/>
  <c r="AJ406" i="82"/>
  <c r="AJ405" i="82"/>
  <c r="AJ404" i="82"/>
  <c r="AJ403" i="82"/>
  <c r="AJ402" i="82"/>
  <c r="AJ401" i="82"/>
  <c r="AJ400" i="82"/>
  <c r="AJ399" i="82"/>
  <c r="AJ398" i="82"/>
  <c r="AJ394" i="82"/>
  <c r="AI391" i="82"/>
  <c r="AJ386" i="82"/>
  <c r="AI383" i="82"/>
  <c r="AI404" i="82"/>
  <c r="AI398" i="82"/>
  <c r="AJ384" i="82"/>
  <c r="AJ377" i="82"/>
  <c r="AI374" i="82"/>
  <c r="AJ369" i="82"/>
  <c r="AI350" i="82"/>
  <c r="AI346" i="82"/>
  <c r="AI345" i="82"/>
  <c r="AI344" i="82"/>
  <c r="AI343" i="82"/>
  <c r="AI342" i="82"/>
  <c r="AJ341" i="82"/>
  <c r="AI401" i="82"/>
  <c r="AJ392" i="82"/>
  <c r="AJ380" i="82"/>
  <c r="AI377" i="82"/>
  <c r="AJ372" i="82"/>
  <c r="AI369" i="82"/>
  <c r="AJ347" i="82"/>
  <c r="AI341" i="82"/>
  <c r="AJ424" i="82"/>
  <c r="AJ415" i="82"/>
  <c r="AI406" i="82"/>
  <c r="AJ397" i="82"/>
  <c r="AI380" i="82"/>
  <c r="AJ375" i="82"/>
  <c r="AI372" i="82"/>
  <c r="AJ367" i="82"/>
  <c r="AJ365" i="82"/>
  <c r="AJ363" i="82"/>
  <c r="AJ361" i="82"/>
  <c r="AJ359" i="82"/>
  <c r="AJ357" i="82"/>
  <c r="AJ355" i="82"/>
  <c r="AJ421" i="82"/>
  <c r="AJ408" i="82"/>
  <c r="AI403" i="82"/>
  <c r="AJ378" i="82"/>
  <c r="AI375" i="82"/>
  <c r="AJ370" i="82"/>
  <c r="AI367" i="82"/>
  <c r="AI365" i="82"/>
  <c r="AI363" i="82"/>
  <c r="AI361" i="82"/>
  <c r="AI359" i="82"/>
  <c r="AI357" i="82"/>
  <c r="AI355" i="82"/>
  <c r="AI353" i="82"/>
  <c r="AI351" i="82"/>
  <c r="AJ348" i="82"/>
  <c r="AI400" i="82"/>
  <c r="AI386" i="82"/>
  <c r="AJ381" i="82"/>
  <c r="AI378" i="82"/>
  <c r="AJ373" i="82"/>
  <c r="AI370" i="82"/>
  <c r="AI348" i="82"/>
  <c r="AJ407" i="82"/>
  <c r="AI402" i="82"/>
  <c r="AI389" i="82"/>
  <c r="AJ379" i="82"/>
  <c r="AI376" i="82"/>
  <c r="AJ371" i="82"/>
  <c r="AI368" i="82"/>
  <c r="AJ366" i="82"/>
  <c r="AJ364" i="82"/>
  <c r="AJ362" i="82"/>
  <c r="AJ360" i="82"/>
  <c r="AJ358" i="82"/>
  <c r="AJ356" i="82"/>
  <c r="AJ354" i="82"/>
  <c r="AJ352" i="82"/>
  <c r="AI349" i="82"/>
  <c r="AJ340" i="82"/>
  <c r="AJ339" i="82"/>
  <c r="AJ338" i="82"/>
  <c r="AJ337" i="82"/>
  <c r="AJ336" i="82"/>
  <c r="AJ335" i="82"/>
  <c r="AJ334" i="82"/>
  <c r="AJ333" i="82"/>
  <c r="AJ332" i="82"/>
  <c r="AJ331" i="82"/>
  <c r="AJ330" i="82"/>
  <c r="AJ329" i="82"/>
  <c r="AJ328" i="82"/>
  <c r="AJ327" i="82"/>
  <c r="AJ326" i="82"/>
  <c r="AJ325" i="82"/>
  <c r="AJ324" i="82"/>
  <c r="AJ323" i="82"/>
  <c r="AJ322" i="82"/>
  <c r="AJ321" i="82"/>
  <c r="AJ320" i="82"/>
  <c r="AJ319" i="82"/>
  <c r="AJ318" i="82"/>
  <c r="AJ317" i="82"/>
  <c r="AJ316" i="82"/>
  <c r="AJ315" i="82"/>
  <c r="AJ314" i="82"/>
  <c r="AJ313" i="82"/>
  <c r="AJ312" i="82"/>
  <c r="AJ311" i="82"/>
  <c r="AJ310" i="82"/>
  <c r="AJ309" i="82"/>
  <c r="AJ308" i="82"/>
  <c r="AJ307" i="82"/>
  <c r="AJ306" i="82"/>
  <c r="AJ305" i="82"/>
  <c r="AJ304" i="82"/>
  <c r="AJ303" i="82"/>
  <c r="AJ302" i="82"/>
  <c r="AJ301" i="82"/>
  <c r="AJ300" i="82"/>
  <c r="AJ299" i="82"/>
  <c r="AJ298" i="82"/>
  <c r="AJ297" i="82"/>
  <c r="AJ296" i="82"/>
  <c r="AJ295" i="82"/>
  <c r="AJ294" i="82"/>
  <c r="AJ293" i="82"/>
  <c r="AJ292" i="82"/>
  <c r="AJ291" i="82"/>
  <c r="AJ290" i="82"/>
  <c r="AJ289" i="82"/>
  <c r="AJ288" i="82"/>
  <c r="AJ287" i="82"/>
  <c r="AJ286" i="82"/>
  <c r="AJ285" i="82"/>
  <c r="AJ284" i="82"/>
  <c r="AJ283" i="82"/>
  <c r="AJ282" i="82"/>
  <c r="AJ281" i="82"/>
  <c r="AJ280" i="82"/>
  <c r="AJ279" i="82"/>
  <c r="AJ278" i="82"/>
  <c r="AJ277" i="82"/>
  <c r="AJ276" i="82"/>
  <c r="AJ275" i="82"/>
  <c r="AJ274" i="82"/>
  <c r="AJ273" i="82"/>
  <c r="AJ272" i="82"/>
  <c r="AJ418" i="82"/>
  <c r="AI407" i="82"/>
  <c r="AI399" i="82"/>
  <c r="AI379" i="82"/>
  <c r="AJ374" i="82"/>
  <c r="AI371" i="82"/>
  <c r="AI366" i="82"/>
  <c r="AI364" i="82"/>
  <c r="AI362" i="82"/>
  <c r="AI360" i="82"/>
  <c r="AI358" i="82"/>
  <c r="AI356" i="82"/>
  <c r="AI354" i="82"/>
  <c r="AI352" i="82"/>
  <c r="AJ350" i="82"/>
  <c r="AJ346" i="82"/>
  <c r="AJ345" i="82"/>
  <c r="AJ344" i="82"/>
  <c r="AJ343" i="82"/>
  <c r="AJ342" i="82"/>
  <c r="AI340" i="82"/>
  <c r="AI339" i="82"/>
  <c r="AI338" i="82"/>
  <c r="AI337" i="82"/>
  <c r="AI336" i="82"/>
  <c r="AI335" i="82"/>
  <c r="AI334" i="82"/>
  <c r="AI333" i="82"/>
  <c r="AI332" i="82"/>
  <c r="AI331" i="82"/>
  <c r="AI330" i="82"/>
  <c r="AI329" i="82"/>
  <c r="AI328" i="82"/>
  <c r="AI327" i="82"/>
  <c r="AI326" i="82"/>
  <c r="AI325" i="82"/>
  <c r="AI324" i="82"/>
  <c r="AI323" i="82"/>
  <c r="AI322" i="82"/>
  <c r="AI321" i="82"/>
  <c r="AI394" i="82"/>
  <c r="AI320" i="82"/>
  <c r="AI316" i="82"/>
  <c r="AI312" i="82"/>
  <c r="AI308" i="82"/>
  <c r="AI304" i="82"/>
  <c r="AI300" i="82"/>
  <c r="AI296" i="82"/>
  <c r="AI292" i="82"/>
  <c r="AI283" i="82"/>
  <c r="AI275" i="82"/>
  <c r="AJ269" i="82"/>
  <c r="AI282" i="82"/>
  <c r="AI274" i="82"/>
  <c r="AI269" i="82"/>
  <c r="AJ351" i="82"/>
  <c r="AI317" i="82"/>
  <c r="AI313" i="82"/>
  <c r="AI309" i="82"/>
  <c r="AI305" i="82"/>
  <c r="AI301" i="82"/>
  <c r="AI297" i="82"/>
  <c r="AI293" i="82"/>
  <c r="AI281" i="82"/>
  <c r="AI273" i="82"/>
  <c r="AJ389" i="82"/>
  <c r="AI280" i="82"/>
  <c r="AI272" i="82"/>
  <c r="AJ270" i="82"/>
  <c r="AJ267" i="82"/>
  <c r="AJ266" i="82"/>
  <c r="AJ265" i="82"/>
  <c r="AJ264" i="82"/>
  <c r="AJ263" i="82"/>
  <c r="AJ262" i="82"/>
  <c r="AJ261" i="82"/>
  <c r="AJ260" i="82"/>
  <c r="AJ259" i="82"/>
  <c r="AJ258" i="82"/>
  <c r="AJ257" i="82"/>
  <c r="AJ256" i="82"/>
  <c r="AJ255" i="82"/>
  <c r="AJ254" i="82"/>
  <c r="AJ253" i="82"/>
  <c r="AJ252" i="82"/>
  <c r="AJ251" i="82"/>
  <c r="AJ250" i="82"/>
  <c r="AJ249" i="82"/>
  <c r="AJ248" i="82"/>
  <c r="AJ247" i="82"/>
  <c r="AJ246" i="82"/>
  <c r="AJ245" i="82"/>
  <c r="AJ244" i="82"/>
  <c r="AJ243" i="82"/>
  <c r="AJ242" i="82"/>
  <c r="AJ241" i="82"/>
  <c r="AJ240" i="82"/>
  <c r="AJ239" i="82"/>
  <c r="AJ238" i="82"/>
  <c r="AJ237" i="82"/>
  <c r="AJ236" i="82"/>
  <c r="AJ235" i="82"/>
  <c r="AJ234" i="82"/>
  <c r="AJ233" i="82"/>
  <c r="AJ232" i="82"/>
  <c r="AJ231" i="82"/>
  <c r="AJ230" i="82"/>
  <c r="AJ229" i="82"/>
  <c r="AJ228" i="82"/>
  <c r="AJ227" i="82"/>
  <c r="AJ226" i="82"/>
  <c r="AJ225" i="82"/>
  <c r="AJ224" i="82"/>
  <c r="AJ223" i="82"/>
  <c r="AI405" i="82"/>
  <c r="AI381" i="82"/>
  <c r="AJ376" i="82"/>
  <c r="AI347" i="82"/>
  <c r="AI318" i="82"/>
  <c r="AI314" i="82"/>
  <c r="AI310" i="82"/>
  <c r="AI306" i="82"/>
  <c r="AI302" i="82"/>
  <c r="AI298" i="82"/>
  <c r="AI294" i="82"/>
  <c r="AI288" i="82"/>
  <c r="AI287" i="82"/>
  <c r="AI279" i="82"/>
  <c r="AI270" i="82"/>
  <c r="AI267" i="82"/>
  <c r="AI266" i="82"/>
  <c r="AI265" i="82"/>
  <c r="AI264" i="82"/>
  <c r="AI263" i="82"/>
  <c r="AI262" i="82"/>
  <c r="AI261" i="82"/>
  <c r="AI260" i="82"/>
  <c r="AI259" i="82"/>
  <c r="AI258" i="82"/>
  <c r="AI257" i="82"/>
  <c r="AI256" i="82"/>
  <c r="AI255" i="82"/>
  <c r="AI254" i="82"/>
  <c r="AI253" i="82"/>
  <c r="AI252" i="82"/>
  <c r="AI251" i="82"/>
  <c r="AI250" i="82"/>
  <c r="AI249" i="82"/>
  <c r="AI248" i="82"/>
  <c r="AI247" i="82"/>
  <c r="AI246" i="82"/>
  <c r="AI245" i="82"/>
  <c r="AI244" i="82"/>
  <c r="AI243" i="82"/>
  <c r="AI242" i="82"/>
  <c r="AI241" i="82"/>
  <c r="AI240" i="82"/>
  <c r="AI239" i="82"/>
  <c r="AI238" i="82"/>
  <c r="AI237" i="82"/>
  <c r="AI236" i="82"/>
  <c r="AI235" i="82"/>
  <c r="AI234" i="82"/>
  <c r="AI233" i="82"/>
  <c r="AI232" i="82"/>
  <c r="AI231" i="82"/>
  <c r="AI230" i="82"/>
  <c r="AI229" i="82"/>
  <c r="AI228" i="82"/>
  <c r="AI227" i="82"/>
  <c r="AI226" i="82"/>
  <c r="AI225" i="82"/>
  <c r="AI224" i="82"/>
  <c r="AI223" i="82"/>
  <c r="AI222" i="82"/>
  <c r="AI221" i="82"/>
  <c r="AI220" i="82"/>
  <c r="AI219" i="82"/>
  <c r="AI218" i="82"/>
  <c r="AI217" i="82"/>
  <c r="AI289" i="82"/>
  <c r="AI286" i="82"/>
  <c r="AI278" i="82"/>
  <c r="AJ268" i="82"/>
  <c r="AI373" i="82"/>
  <c r="AJ368" i="82"/>
  <c r="AJ353" i="82"/>
  <c r="AI319" i="82"/>
  <c r="AI315" i="82"/>
  <c r="AI311" i="82"/>
  <c r="AI307" i="82"/>
  <c r="AI303" i="82"/>
  <c r="AI299" i="82"/>
  <c r="AI295" i="82"/>
  <c r="AI290" i="82"/>
  <c r="AI285" i="82"/>
  <c r="AI277" i="82"/>
  <c r="AJ271" i="82"/>
  <c r="AI268" i="82"/>
  <c r="AJ349" i="82"/>
  <c r="AJ218" i="82"/>
  <c r="AI271" i="82"/>
  <c r="AJ217" i="82"/>
  <c r="AJ215" i="82"/>
  <c r="AI215" i="82"/>
  <c r="AI291" i="82"/>
  <c r="AI276" i="82"/>
  <c r="AJ216" i="82"/>
  <c r="AI284" i="82"/>
  <c r="AJ222" i="82"/>
  <c r="AJ221" i="82"/>
  <c r="AI216" i="82"/>
  <c r="AJ213" i="82"/>
  <c r="AJ212" i="82"/>
  <c r="AJ211" i="82"/>
  <c r="AJ210" i="82"/>
  <c r="AJ209" i="82"/>
  <c r="AJ208" i="82"/>
  <c r="AJ207" i="82"/>
  <c r="AJ206" i="82"/>
  <c r="AJ205" i="82"/>
  <c r="AJ204" i="82"/>
  <c r="AJ203" i="82"/>
  <c r="AJ202" i="82"/>
  <c r="AJ201" i="82"/>
  <c r="AJ200" i="82"/>
  <c r="AJ199" i="82"/>
  <c r="AJ198" i="82"/>
  <c r="AJ197" i="82"/>
  <c r="AJ196" i="82"/>
  <c r="AJ195" i="82"/>
  <c r="AJ194" i="82"/>
  <c r="AJ193" i="82"/>
  <c r="AJ192" i="82"/>
  <c r="AJ191" i="82"/>
  <c r="AJ190" i="82"/>
  <c r="AJ189" i="82"/>
  <c r="AJ188" i="82"/>
  <c r="AJ187" i="82"/>
  <c r="AJ186" i="82"/>
  <c r="AJ220" i="82"/>
  <c r="AJ214" i="82"/>
  <c r="AI213" i="82"/>
  <c r="AI212" i="82"/>
  <c r="AI211" i="82"/>
  <c r="AI210" i="82"/>
  <c r="AI209" i="82"/>
  <c r="AI208" i="82"/>
  <c r="AI207" i="82"/>
  <c r="AI206" i="82"/>
  <c r="AI205" i="82"/>
  <c r="AI204" i="82"/>
  <c r="AI203" i="82"/>
  <c r="AI202" i="82"/>
  <c r="AI201" i="82"/>
  <c r="AI200" i="82"/>
  <c r="AI199" i="82"/>
  <c r="AI198" i="82"/>
  <c r="AI197" i="82"/>
  <c r="AI196" i="82"/>
  <c r="AI195" i="82"/>
  <c r="AI194" i="82"/>
  <c r="AI193" i="82"/>
  <c r="AI192" i="82"/>
  <c r="AI191" i="82"/>
  <c r="AI190" i="82"/>
  <c r="AI189" i="82"/>
  <c r="AI188" i="82"/>
  <c r="AI187" i="82"/>
  <c r="AI186" i="82"/>
  <c r="AI185" i="82"/>
  <c r="AI184" i="82"/>
  <c r="AI183" i="82"/>
  <c r="AI182" i="82"/>
  <c r="AI181" i="82"/>
  <c r="AI180" i="82"/>
  <c r="AI179" i="82"/>
  <c r="AI178" i="82"/>
  <c r="AI177" i="82"/>
  <c r="AI176" i="82"/>
  <c r="AI175" i="82"/>
  <c r="AI174" i="82"/>
  <c r="AI173" i="82"/>
  <c r="AI172" i="82"/>
  <c r="AI171" i="82"/>
  <c r="AI170" i="82"/>
  <c r="AI169" i="82"/>
  <c r="AI168" i="82"/>
  <c r="AI167" i="82"/>
  <c r="AI166" i="82"/>
  <c r="AI165" i="82"/>
  <c r="AI164" i="82"/>
  <c r="AJ185" i="82"/>
  <c r="AI214" i="82"/>
  <c r="AJ172" i="82"/>
  <c r="AJ164" i="82"/>
  <c r="AJ170" i="82"/>
  <c r="AI162" i="82"/>
  <c r="AJ183" i="82"/>
  <c r="AJ169" i="82"/>
  <c r="AJ168" i="82"/>
  <c r="AJ163" i="82"/>
  <c r="AJ184" i="82"/>
  <c r="AJ167" i="82"/>
  <c r="AI163" i="82"/>
  <c r="AJ219" i="82"/>
  <c r="AJ165" i="82"/>
  <c r="AJ160" i="82"/>
  <c r="AJ159" i="82"/>
  <c r="AI153" i="82"/>
  <c r="AI149" i="82"/>
  <c r="AI145" i="82"/>
  <c r="AI142" i="82"/>
  <c r="AI161" i="82"/>
  <c r="AI158" i="82"/>
  <c r="AJ157" i="82"/>
  <c r="AI152" i="82"/>
  <c r="AI148" i="82"/>
  <c r="AI144" i="82"/>
  <c r="AI140" i="82"/>
  <c r="AI157" i="82"/>
  <c r="AJ156" i="82"/>
  <c r="AJ151" i="82"/>
  <c r="AJ147" i="82"/>
  <c r="AJ166" i="82"/>
  <c r="AJ162" i="82"/>
  <c r="AI156" i="82"/>
  <c r="AJ155" i="82"/>
  <c r="AI151" i="82"/>
  <c r="AI147" i="82"/>
  <c r="AJ143" i="82"/>
  <c r="AJ141" i="82"/>
  <c r="AJ181" i="82"/>
  <c r="AJ179" i="82"/>
  <c r="AJ177" i="82"/>
  <c r="AJ175" i="82"/>
  <c r="AJ171" i="82"/>
  <c r="AI155" i="82"/>
  <c r="AJ154" i="82"/>
  <c r="AJ150" i="82"/>
  <c r="AJ146" i="82"/>
  <c r="AI143" i="82"/>
  <c r="AI141" i="82"/>
  <c r="AJ178" i="82"/>
  <c r="AI159" i="82"/>
  <c r="AI154" i="82"/>
  <c r="AJ149" i="82"/>
  <c r="AI146" i="82"/>
  <c r="AJ133" i="82"/>
  <c r="AI132" i="82"/>
  <c r="AI115" i="82"/>
  <c r="AJ114" i="82"/>
  <c r="AJ108" i="82"/>
  <c r="AJ152" i="82"/>
  <c r="AJ144" i="82"/>
  <c r="AJ134" i="82"/>
  <c r="AI133" i="82"/>
  <c r="AJ174" i="82"/>
  <c r="AJ142" i="82"/>
  <c r="AJ140" i="82"/>
  <c r="AJ135" i="82"/>
  <c r="AI134" i="82"/>
  <c r="AJ127" i="82"/>
  <c r="AJ126" i="82"/>
  <c r="AJ125" i="82"/>
  <c r="AJ124" i="82"/>
  <c r="AJ123" i="82"/>
  <c r="AJ122" i="82"/>
  <c r="AJ121" i="82"/>
  <c r="AJ120" i="82"/>
  <c r="AI113" i="82"/>
  <c r="AJ112" i="82"/>
  <c r="AI105" i="82"/>
  <c r="AJ102" i="82"/>
  <c r="AI97" i="82"/>
  <c r="AJ94" i="82"/>
  <c r="AJ92" i="82"/>
  <c r="AJ91" i="82"/>
  <c r="AJ90" i="82"/>
  <c r="AJ89" i="82"/>
  <c r="AJ88" i="82"/>
  <c r="AJ87" i="82"/>
  <c r="AJ86" i="82"/>
  <c r="AJ85" i="82"/>
  <c r="AJ84" i="82"/>
  <c r="AJ83" i="82"/>
  <c r="AJ82" i="82"/>
  <c r="AJ81" i="82"/>
  <c r="AJ80" i="82"/>
  <c r="AJ79" i="82"/>
  <c r="AJ78" i="82"/>
  <c r="AJ77" i="82"/>
  <c r="AJ76" i="82"/>
  <c r="AJ75" i="82"/>
  <c r="AJ74" i="82"/>
  <c r="AJ73" i="82"/>
  <c r="AJ72" i="82"/>
  <c r="AJ71" i="82"/>
  <c r="AJ70" i="82"/>
  <c r="AJ69" i="82"/>
  <c r="AJ68" i="82"/>
  <c r="AJ180" i="82"/>
  <c r="AI160" i="82"/>
  <c r="AJ136" i="82"/>
  <c r="AI135" i="82"/>
  <c r="AJ128" i="82"/>
  <c r="AI127" i="82"/>
  <c r="AI126" i="82"/>
  <c r="AI125" i="82"/>
  <c r="AI124" i="82"/>
  <c r="AI123" i="82"/>
  <c r="AI122" i="82"/>
  <c r="AI121" i="82"/>
  <c r="AI120" i="82"/>
  <c r="AJ119" i="82"/>
  <c r="AI112" i="82"/>
  <c r="AJ111" i="82"/>
  <c r="AJ107" i="82"/>
  <c r="AI102" i="82"/>
  <c r="AJ99" i="82"/>
  <c r="AI94" i="82"/>
  <c r="AI92" i="82"/>
  <c r="AI91" i="82"/>
  <c r="AI90" i="82"/>
  <c r="AI89" i="82"/>
  <c r="AI88" i="82"/>
  <c r="AI87" i="82"/>
  <c r="AI86" i="82"/>
  <c r="AI85" i="82"/>
  <c r="AI84" i="82"/>
  <c r="AI83" i="82"/>
  <c r="AI82" i="82"/>
  <c r="AI81" i="82"/>
  <c r="AI80" i="82"/>
  <c r="AI79" i="82"/>
  <c r="AI78" i="82"/>
  <c r="AI77" i="82"/>
  <c r="AI76" i="82"/>
  <c r="AI75" i="82"/>
  <c r="AI74" i="82"/>
  <c r="AI73" i="82"/>
  <c r="AI72" i="82"/>
  <c r="AI71" i="82"/>
  <c r="AI70" i="82"/>
  <c r="AI69" i="82"/>
  <c r="AI68" i="82"/>
  <c r="AJ153" i="82"/>
  <c r="AI150" i="82"/>
  <c r="AJ145" i="82"/>
  <c r="AJ137" i="82"/>
  <c r="AI136" i="82"/>
  <c r="AJ129" i="82"/>
  <c r="AI128" i="82"/>
  <c r="AI119" i="82"/>
  <c r="AJ118" i="82"/>
  <c r="AI111" i="82"/>
  <c r="AJ110" i="82"/>
  <c r="AI107" i="82"/>
  <c r="AJ104" i="82"/>
  <c r="AI99" i="82"/>
  <c r="AJ96" i="82"/>
  <c r="AJ182" i="82"/>
  <c r="AJ176" i="82"/>
  <c r="AJ173" i="82"/>
  <c r="AJ148" i="82"/>
  <c r="AJ138" i="82"/>
  <c r="AI137" i="82"/>
  <c r="AJ130" i="82"/>
  <c r="AI129" i="82"/>
  <c r="AI118" i="82"/>
  <c r="AJ117" i="82"/>
  <c r="AI110" i="82"/>
  <c r="AJ109" i="82"/>
  <c r="AI104" i="82"/>
  <c r="AJ158" i="82"/>
  <c r="AJ139" i="82"/>
  <c r="AI138" i="82"/>
  <c r="AJ131" i="82"/>
  <c r="AI130" i="82"/>
  <c r="AJ161" i="82"/>
  <c r="AI139" i="82"/>
  <c r="AJ132" i="82"/>
  <c r="AI131" i="82"/>
  <c r="AI116" i="82"/>
  <c r="AJ115" i="82"/>
  <c r="AI106" i="82"/>
  <c r="AJ103" i="82"/>
  <c r="AI98" i="82"/>
  <c r="AJ95" i="82"/>
  <c r="AJ113" i="82"/>
  <c r="AI103" i="82"/>
  <c r="AI96" i="82"/>
  <c r="AI93" i="82"/>
  <c r="AJ105" i="82"/>
  <c r="AJ100" i="82"/>
  <c r="AI108" i="82"/>
  <c r="AJ101" i="82"/>
  <c r="AI100" i="82"/>
  <c r="AI101" i="82"/>
  <c r="AI117" i="82"/>
  <c r="AI114" i="82"/>
  <c r="AJ106" i="82"/>
  <c r="AJ97" i="82"/>
  <c r="AW32" i="82"/>
  <c r="AI109" i="82"/>
  <c r="AI95" i="82"/>
  <c r="AJ17" i="82"/>
  <c r="AJ18" i="82" s="1"/>
  <c r="AJ19" i="82" s="1"/>
  <c r="AJ20" i="82" s="1"/>
  <c r="AJ21" i="82" s="1"/>
  <c r="AJ22" i="82" s="1"/>
  <c r="AJ23" i="82" s="1"/>
  <c r="AJ24" i="82" s="1"/>
  <c r="AJ25" i="82" s="1"/>
  <c r="AJ26" i="82" s="1"/>
  <c r="AJ27" i="82" s="1"/>
  <c r="AJ28" i="82" s="1"/>
  <c r="AJ29" i="82" s="1"/>
  <c r="AJ30" i="82" s="1"/>
  <c r="AJ31" i="82" s="1"/>
  <c r="AJ32" i="82" s="1"/>
  <c r="AJ33" i="82" s="1"/>
  <c r="AJ34" i="82" s="1"/>
  <c r="AJ35" i="82" s="1"/>
  <c r="AJ36" i="82" s="1"/>
  <c r="AJ37" i="82" s="1"/>
  <c r="AJ38" i="82" s="1"/>
  <c r="AJ39" i="82" s="1"/>
  <c r="AJ40" i="82" s="1"/>
  <c r="AJ41" i="82" s="1"/>
  <c r="AJ98" i="82"/>
  <c r="AJ67" i="82"/>
  <c r="AJ66" i="82"/>
  <c r="AJ65" i="82"/>
  <c r="AJ64" i="82"/>
  <c r="AJ63" i="82"/>
  <c r="AJ62" i="82"/>
  <c r="AJ61" i="82"/>
  <c r="AJ60" i="82"/>
  <c r="AJ59" i="82"/>
  <c r="AJ58" i="82"/>
  <c r="AJ57" i="82"/>
  <c r="AJ56" i="82"/>
  <c r="AJ55" i="82"/>
  <c r="AJ54" i="82"/>
  <c r="AJ53" i="82"/>
  <c r="AJ52" i="82"/>
  <c r="AJ51" i="82"/>
  <c r="AJ50" i="82"/>
  <c r="AJ49" i="82"/>
  <c r="AJ48" i="82"/>
  <c r="AJ47" i="82"/>
  <c r="AJ46" i="82"/>
  <c r="AJ45" i="82"/>
  <c r="AJ44" i="82"/>
  <c r="AJ43" i="82"/>
  <c r="AJ42" i="82"/>
  <c r="AJ116" i="82"/>
  <c r="AJ93" i="82"/>
  <c r="AI67" i="82"/>
  <c r="AI66" i="82"/>
  <c r="AI65" i="82"/>
  <c r="AI64" i="82"/>
  <c r="AI63" i="82"/>
  <c r="AI62" i="82"/>
  <c r="AI61" i="82"/>
  <c r="AI60" i="82"/>
  <c r="AI59" i="82"/>
  <c r="AI58" i="82"/>
  <c r="AI57" i="82"/>
  <c r="AI56" i="82"/>
  <c r="AI55" i="82"/>
  <c r="AI54" i="82"/>
  <c r="AI53" i="82"/>
  <c r="AI52" i="82"/>
  <c r="AI51" i="82"/>
  <c r="AI50" i="82"/>
  <c r="AI49" i="82"/>
  <c r="AI48" i="82"/>
  <c r="AI47" i="82"/>
  <c r="AI46" i="82"/>
  <c r="AI45" i="82"/>
  <c r="AI44" i="82"/>
  <c r="AI43" i="82"/>
  <c r="AI42" i="82"/>
  <c r="BK14" i="83" l="1"/>
  <c r="BK12" i="83"/>
  <c r="BK13" i="83"/>
  <c r="AG15" i="83"/>
  <c r="AO15" i="83" s="1"/>
  <c r="AW24" i="84"/>
  <c r="BK17" i="83"/>
  <c r="BE17" i="82"/>
  <c r="BK17" i="82"/>
  <c r="AI17" i="82"/>
  <c r="AI18" i="82" s="1"/>
  <c r="AI19" i="82" s="1"/>
  <c r="AI20" i="82" s="1"/>
  <c r="AI21" i="82" s="1"/>
  <c r="AI22" i="82" s="1"/>
  <c r="AI23" i="82" s="1"/>
  <c r="AI24" i="82" s="1"/>
  <c r="AI25" i="82" s="1"/>
  <c r="AI26" i="82" s="1"/>
  <c r="AI27" i="82" s="1"/>
  <c r="AI28" i="82" s="1"/>
  <c r="AI29" i="82" s="1"/>
  <c r="AI30" i="82" s="1"/>
  <c r="AI31" i="82" s="1"/>
  <c r="AI32" i="82" s="1"/>
  <c r="AI33" i="82" s="1"/>
  <c r="AI34" i="82" s="1"/>
  <c r="AI35" i="82" s="1"/>
  <c r="AI36" i="82" s="1"/>
  <c r="AI37" i="82" s="1"/>
  <c r="AI38" i="82" s="1"/>
  <c r="AI39" i="82" s="1"/>
  <c r="AI40" i="82" s="1"/>
  <c r="AI41" i="82" s="1"/>
  <c r="Z17" i="83"/>
  <c r="AH17" i="82"/>
  <c r="AH18" i="82" s="1"/>
  <c r="AG15" i="84"/>
  <c r="Z17" i="84"/>
  <c r="Z25" i="84" s="1"/>
  <c r="AA15" i="84"/>
  <c r="AA17" i="84"/>
  <c r="AA18" i="84" s="1"/>
  <c r="AA19" i="84" s="1"/>
  <c r="AA20" i="84" s="1"/>
  <c r="AA21" i="84" s="1"/>
  <c r="AA22" i="84" s="1"/>
  <c r="AA23" i="84" s="1"/>
  <c r="AA24" i="84" s="1"/>
  <c r="AA25" i="84" s="1"/>
  <c r="AA26" i="84" s="1"/>
  <c r="AA27" i="84" s="1"/>
  <c r="AA28" i="84" s="1"/>
  <c r="AA29" i="84" s="1"/>
  <c r="AA30" i="84" s="1"/>
  <c r="AA31" i="84" s="1"/>
  <c r="AA32" i="84" s="1"/>
  <c r="AA33" i="84" s="1"/>
  <c r="BO13" i="84"/>
  <c r="BO14" i="84"/>
  <c r="AW25" i="84"/>
  <c r="BO12" i="84"/>
  <c r="BI12" i="84"/>
  <c r="BF17" i="83"/>
  <c r="BL17" i="83"/>
  <c r="R18" i="83"/>
  <c r="AQ17" i="83"/>
  <c r="AQ18" i="83" s="1"/>
  <c r="AQ19" i="83" s="1"/>
  <c r="AQ20" i="83" s="1"/>
  <c r="AQ21" i="83" s="1"/>
  <c r="AQ22" i="83" s="1"/>
  <c r="AQ23" i="83" s="1"/>
  <c r="AQ24" i="83" s="1"/>
  <c r="AO15" i="82"/>
  <c r="AP20" i="82" s="1"/>
  <c r="AQ17" i="82"/>
  <c r="AQ18" i="82" s="1"/>
  <c r="AQ19" i="82" s="1"/>
  <c r="AQ20" i="82" s="1"/>
  <c r="AQ21" i="82" s="1"/>
  <c r="AQ22" i="82" s="1"/>
  <c r="AQ23" i="82" s="1"/>
  <c r="AQ24" i="82" s="1"/>
  <c r="AV31" i="84"/>
  <c r="BL12" i="84"/>
  <c r="AV33" i="84"/>
  <c r="AV30" i="84"/>
  <c r="AW22" i="84"/>
  <c r="BL13" i="84"/>
  <c r="AV32" i="84"/>
  <c r="BF12" i="84"/>
  <c r="BL14" i="84"/>
  <c r="AW28" i="84"/>
  <c r="BB22" i="84" s="1"/>
  <c r="AW26" i="84"/>
  <c r="BK20" i="84"/>
  <c r="J21" i="84"/>
  <c r="BI12" i="83"/>
  <c r="BO14" i="83"/>
  <c r="AW25" i="83"/>
  <c r="BO12" i="83"/>
  <c r="BO13" i="83"/>
  <c r="BK21" i="83"/>
  <c r="J22" i="83"/>
  <c r="BM13" i="83"/>
  <c r="BG12" i="83"/>
  <c r="AW23" i="83"/>
  <c r="BM14" i="83"/>
  <c r="BM12" i="83"/>
  <c r="AV33" i="83"/>
  <c r="AV32" i="83"/>
  <c r="AW26" i="83"/>
  <c r="AV31" i="83"/>
  <c r="AW28" i="83"/>
  <c r="BB22" i="83" s="1"/>
  <c r="BM12" i="82"/>
  <c r="BM13" i="82"/>
  <c r="BG12" i="82"/>
  <c r="AW23" i="82"/>
  <c r="BM14" i="82"/>
  <c r="BK14" i="82"/>
  <c r="BK12" i="82"/>
  <c r="BB17" i="82"/>
  <c r="BK13" i="82"/>
  <c r="BK20" i="82"/>
  <c r="J21" i="82"/>
  <c r="AW24" i="82"/>
  <c r="BN13" i="82"/>
  <c r="BH12" i="82"/>
  <c r="BN14" i="82"/>
  <c r="BN12" i="82"/>
  <c r="BO13" i="82"/>
  <c r="BI12" i="82"/>
  <c r="BO14" i="82"/>
  <c r="AW25" i="82"/>
  <c r="BO12" i="82"/>
  <c r="AV31" i="82"/>
  <c r="BL12" i="82"/>
  <c r="AV33" i="82"/>
  <c r="AV30" i="82"/>
  <c r="AW22" i="82"/>
  <c r="BL13" i="82"/>
  <c r="AV32" i="82"/>
  <c r="BF12" i="82"/>
  <c r="BL14" i="82"/>
  <c r="AW28" i="82"/>
  <c r="BB22" i="82" s="1"/>
  <c r="AW26" i="82"/>
  <c r="Z23" i="84" l="1"/>
  <c r="Z24" i="84"/>
  <c r="AP17" i="83"/>
  <c r="BI17" i="83" s="1"/>
  <c r="Z18" i="83"/>
  <c r="Z19" i="83" s="1"/>
  <c r="BG19" i="83" s="1"/>
  <c r="BG25" i="84"/>
  <c r="BM25" i="84"/>
  <c r="BM17" i="83"/>
  <c r="BG17" i="83"/>
  <c r="BQ17" i="82" a="1"/>
  <c r="BQ17" i="82" s="1"/>
  <c r="BH17" i="82"/>
  <c r="BN17" i="82"/>
  <c r="AI15" i="84"/>
  <c r="AQ15" i="84" s="1"/>
  <c r="AI17" i="84"/>
  <c r="AI18" i="84" s="1"/>
  <c r="AI19" i="84" s="1"/>
  <c r="AI20" i="84" s="1"/>
  <c r="AI21" i="84" s="1"/>
  <c r="AI22" i="84" s="1"/>
  <c r="AI23" i="84" s="1"/>
  <c r="AI24" i="84" s="1"/>
  <c r="AI25" i="84" s="1"/>
  <c r="AI26" i="84" s="1"/>
  <c r="AI27" i="84" s="1"/>
  <c r="AI28" i="84" s="1"/>
  <c r="AI29" i="84" s="1"/>
  <c r="AI30" i="84" s="1"/>
  <c r="AI31" i="84" s="1"/>
  <c r="AI32" i="84" s="1"/>
  <c r="AI33" i="84" s="1"/>
  <c r="AI34" i="84" s="1"/>
  <c r="AI35" i="84" s="1"/>
  <c r="AI36" i="84" s="1"/>
  <c r="AI37" i="84" s="1"/>
  <c r="AI38" i="84" s="1"/>
  <c r="AI39" i="84" s="1"/>
  <c r="AI40" i="84" s="1"/>
  <c r="AI41" i="84" s="1"/>
  <c r="BG17" i="84"/>
  <c r="BM17" i="84"/>
  <c r="BQ17" i="84" a="1"/>
  <c r="BQ17" i="84" s="1"/>
  <c r="AO15" i="84"/>
  <c r="AH17" i="84"/>
  <c r="BK22" i="83"/>
  <c r="J23" i="83"/>
  <c r="BQ17" i="83" a="1"/>
  <c r="BQ17" i="83" s="1"/>
  <c r="BL18" i="83"/>
  <c r="BF18" i="83"/>
  <c r="R19" i="83"/>
  <c r="AH19" i="82"/>
  <c r="BN18" i="82"/>
  <c r="BH18" i="82"/>
  <c r="BO20" i="82"/>
  <c r="BI20" i="82"/>
  <c r="AV25" i="84"/>
  <c r="AV23" i="84"/>
  <c r="AW21" i="84"/>
  <c r="AV24" i="84"/>
  <c r="AV22" i="84"/>
  <c r="AW20" i="84"/>
  <c r="BB19" i="84" s="1"/>
  <c r="BK21" i="84"/>
  <c r="J22" i="84"/>
  <c r="BS18" i="84"/>
  <c r="BS20" i="84"/>
  <c r="BS21" i="84"/>
  <c r="BS17" i="84"/>
  <c r="BS19" i="84"/>
  <c r="BS22" i="84"/>
  <c r="BJ17" i="84"/>
  <c r="AV24" i="83"/>
  <c r="AW20" i="83"/>
  <c r="BB19" i="83" s="1"/>
  <c r="AV25" i="83"/>
  <c r="AV23" i="83"/>
  <c r="AW21" i="83"/>
  <c r="BS21" i="83"/>
  <c r="BS17" i="83"/>
  <c r="BS19" i="83"/>
  <c r="BS22" i="83"/>
  <c r="BJ17" i="83"/>
  <c r="BS18" i="83"/>
  <c r="BS20" i="83"/>
  <c r="BS20" i="82"/>
  <c r="BS21" i="82"/>
  <c r="BS17" i="82"/>
  <c r="BS19" i="82"/>
  <c r="BS22" i="82"/>
  <c r="BJ17" i="82"/>
  <c r="BS18" i="82"/>
  <c r="J22" i="82"/>
  <c r="BK21" i="82"/>
  <c r="AW21" i="82"/>
  <c r="AV24" i="82"/>
  <c r="AV22" i="82"/>
  <c r="AW20" i="82"/>
  <c r="BB19" i="82" s="1"/>
  <c r="AV25" i="82"/>
  <c r="AV23" i="82"/>
  <c r="Z26" i="84" l="1"/>
  <c r="BG26" i="84" s="1"/>
  <c r="BG23" i="84"/>
  <c r="BM23" i="84"/>
  <c r="BM24" i="84"/>
  <c r="BG24" i="84"/>
  <c r="Z27" i="84"/>
  <c r="Z29" i="84" s="1"/>
  <c r="AP18" i="83"/>
  <c r="BI18" i="83" s="1"/>
  <c r="BO17" i="83"/>
  <c r="BG18" i="83"/>
  <c r="BM19" i="83"/>
  <c r="BM18" i="83"/>
  <c r="Z20" i="83"/>
  <c r="Z21" i="83" s="1"/>
  <c r="Z22" i="83" s="1"/>
  <c r="BM22" i="83" s="1"/>
  <c r="BK22" i="84"/>
  <c r="J23" i="84"/>
  <c r="BP17" i="84" a="1"/>
  <c r="BP17" i="84" s="1"/>
  <c r="BP17" i="83" a="1"/>
  <c r="BP17" i="83" s="1"/>
  <c r="AH24" i="84"/>
  <c r="AH25" i="84" s="1"/>
  <c r="BP17" i="82" a="1"/>
  <c r="BP17" i="82" s="1"/>
  <c r="BH17" i="84"/>
  <c r="BN17" i="84"/>
  <c r="Z30" i="84"/>
  <c r="Z32" i="84" s="1"/>
  <c r="J24" i="83"/>
  <c r="BK23" i="83"/>
  <c r="BF19" i="83"/>
  <c r="BL19" i="83"/>
  <c r="R20" i="83"/>
  <c r="BH19" i="82"/>
  <c r="BN19" i="82"/>
  <c r="BK22" i="82"/>
  <c r="J23" i="82"/>
  <c r="AH20" i="82"/>
  <c r="AX37" i="84"/>
  <c r="AW37" i="84"/>
  <c r="AX39" i="84"/>
  <c r="AW39" i="84"/>
  <c r="AX36" i="84"/>
  <c r="AX38" i="84"/>
  <c r="AW36" i="84"/>
  <c r="AW38" i="84"/>
  <c r="BB24" i="84"/>
  <c r="BB20" i="84"/>
  <c r="BB20" i="83"/>
  <c r="BB24" i="83"/>
  <c r="AW37" i="83"/>
  <c r="AX39" i="83"/>
  <c r="AW39" i="83"/>
  <c r="AX36" i="83"/>
  <c r="AX38" i="83"/>
  <c r="AW36" i="83"/>
  <c r="AW38" i="83"/>
  <c r="AX37" i="83"/>
  <c r="AX37" i="82"/>
  <c r="AW37" i="82"/>
  <c r="AX39" i="82"/>
  <c r="AW39" i="82"/>
  <c r="AX36" i="82"/>
  <c r="AX38" i="82"/>
  <c r="AW36" i="82"/>
  <c r="AW38" i="82"/>
  <c r="BB24" i="82"/>
  <c r="BB20" i="82"/>
  <c r="BM26" i="84" l="1"/>
  <c r="Z28" i="84"/>
  <c r="BG28" i="84" s="1"/>
  <c r="BG29" i="84"/>
  <c r="BM29" i="84"/>
  <c r="BG27" i="84"/>
  <c r="BM27" i="84"/>
  <c r="AH26" i="84"/>
  <c r="AH27" i="84" s="1"/>
  <c r="Z31" i="84"/>
  <c r="BO18" i="83"/>
  <c r="AP19" i="83"/>
  <c r="BI19" i="83" s="1"/>
  <c r="BG22" i="83"/>
  <c r="BG20" i="83"/>
  <c r="BM20" i="83"/>
  <c r="BG21" i="83"/>
  <c r="Z23" i="83"/>
  <c r="Z24" i="83" s="1"/>
  <c r="BK23" i="84"/>
  <c r="J24" i="84"/>
  <c r="BK24" i="84" s="1"/>
  <c r="BM21" i="83"/>
  <c r="BM32" i="84"/>
  <c r="BG32" i="84"/>
  <c r="BN25" i="84"/>
  <c r="BH25" i="84"/>
  <c r="BN24" i="84"/>
  <c r="BH24" i="84"/>
  <c r="R21" i="83"/>
  <c r="R22" i="83" s="1"/>
  <c r="BG30" i="84"/>
  <c r="BM30" i="84"/>
  <c r="J25" i="83"/>
  <c r="BK24" i="83"/>
  <c r="BL20" i="83"/>
  <c r="BF20" i="83"/>
  <c r="AH21" i="82"/>
  <c r="BK23" i="82"/>
  <c r="J24" i="82"/>
  <c r="BN20" i="82"/>
  <c r="BH20" i="82"/>
  <c r="BR27" i="84"/>
  <c r="BR26" i="84"/>
  <c r="BR29" i="84"/>
  <c r="BR25" i="84"/>
  <c r="BR23" i="84"/>
  <c r="BR28" i="84" a="1"/>
  <c r="BR28" i="84" s="1"/>
  <c r="BR24" i="84"/>
  <c r="BR30" i="84"/>
  <c r="BR36" i="84" a="1"/>
  <c r="BR36" i="84" s="1"/>
  <c r="BR32" i="84"/>
  <c r="BR35" i="84"/>
  <c r="BR31" i="84"/>
  <c r="BR37" i="84"/>
  <c r="BR34" i="84"/>
  <c r="BR33" i="84"/>
  <c r="BR22" i="84"/>
  <c r="BR18" i="84"/>
  <c r="BR20" i="84"/>
  <c r="BR17" i="84"/>
  <c r="BR21" i="84" a="1"/>
  <c r="BR21" i="84" s="1"/>
  <c r="BR19" i="84"/>
  <c r="BR25" i="83"/>
  <c r="BR23" i="83"/>
  <c r="BR28" i="83" a="1"/>
  <c r="BR28" i="83" s="1"/>
  <c r="BR24" i="83"/>
  <c r="BR27" i="83"/>
  <c r="BR26" i="83"/>
  <c r="BR29" i="83"/>
  <c r="BR35" i="83"/>
  <c r="BR31" i="83"/>
  <c r="BR37" i="83"/>
  <c r="BR34" i="83"/>
  <c r="BR33" i="83"/>
  <c r="BR30" i="83"/>
  <c r="BR36" i="83" a="1"/>
  <c r="BR36" i="83" s="1"/>
  <c r="BR32" i="83"/>
  <c r="BR17" i="83"/>
  <c r="BR21" i="83" a="1"/>
  <c r="BR21" i="83" s="1"/>
  <c r="BR19" i="83"/>
  <c r="BR22" i="83"/>
  <c r="BR18" i="83"/>
  <c r="BR20" i="83"/>
  <c r="BR36" i="82" a="1"/>
  <c r="BR36" i="82" s="1"/>
  <c r="BR32" i="82"/>
  <c r="BR35" i="82"/>
  <c r="BR31" i="82"/>
  <c r="BR37" i="82"/>
  <c r="BR34" i="82"/>
  <c r="BR33" i="82"/>
  <c r="BR30" i="82"/>
  <c r="BR18" i="82"/>
  <c r="BR20" i="82"/>
  <c r="BR17" i="82"/>
  <c r="BR21" i="82" a="1"/>
  <c r="BR21" i="82" s="1"/>
  <c r="BR19" i="82"/>
  <c r="BR22" i="82"/>
  <c r="BR26" i="82"/>
  <c r="BR29" i="82"/>
  <c r="BR25" i="82"/>
  <c r="BR23" i="82"/>
  <c r="BR28" i="82" a="1"/>
  <c r="BR28" i="82" s="1"/>
  <c r="BR24" i="82"/>
  <c r="BR27" i="82"/>
  <c r="BM28" i="84" l="1"/>
  <c r="BH26" i="84"/>
  <c r="BN26" i="84"/>
  <c r="BG31" i="84"/>
  <c r="BM31" i="84"/>
  <c r="AP20" i="83"/>
  <c r="AP21" i="83" s="1"/>
  <c r="BI21" i="83" s="1"/>
  <c r="BO19" i="83"/>
  <c r="BM23" i="83"/>
  <c r="BG23" i="83"/>
  <c r="BM24" i="83"/>
  <c r="BG24" i="83"/>
  <c r="Z25" i="83"/>
  <c r="Z26" i="83" s="1"/>
  <c r="BG26" i="83" s="1"/>
  <c r="BF21" i="83"/>
  <c r="BH27" i="84"/>
  <c r="BN27" i="84"/>
  <c r="AH28" i="84"/>
  <c r="AH29" i="84" s="1"/>
  <c r="AH30" i="84" s="1"/>
  <c r="BF22" i="83"/>
  <c r="BL22" i="83"/>
  <c r="BL21" i="83"/>
  <c r="J26" i="83"/>
  <c r="BK25" i="83"/>
  <c r="BK24" i="82"/>
  <c r="J25" i="82"/>
  <c r="BN21" i="82"/>
  <c r="BH21" i="82"/>
  <c r="AH22" i="82"/>
  <c r="AH23" i="82" l="1"/>
  <c r="BH23" i="82" s="1"/>
  <c r="BO21" i="83"/>
  <c r="BI20" i="83"/>
  <c r="BO20" i="83"/>
  <c r="AP22" i="83"/>
  <c r="AP23" i="83" s="1"/>
  <c r="AP24" i="83" s="1"/>
  <c r="BN30" i="84"/>
  <c r="BH30" i="84"/>
  <c r="AH31" i="84"/>
  <c r="BM26" i="83"/>
  <c r="Z27" i="83"/>
  <c r="Z28" i="83" s="1"/>
  <c r="BG28" i="83" s="1"/>
  <c r="BM25" i="83"/>
  <c r="BG25" i="83"/>
  <c r="BH29" i="84"/>
  <c r="BN29" i="84"/>
  <c r="BH28" i="84"/>
  <c r="BN28" i="84"/>
  <c r="AH24" i="82"/>
  <c r="BH24" i="82" s="1"/>
  <c r="BK26" i="83"/>
  <c r="J27" i="83"/>
  <c r="J26" i="82"/>
  <c r="BK25" i="82"/>
  <c r="BN22" i="82"/>
  <c r="BH22" i="82"/>
  <c r="BN23" i="82" l="1"/>
  <c r="AH33" i="84"/>
  <c r="BN33" i="84" s="1"/>
  <c r="AH32" i="84"/>
  <c r="BO22" i="83"/>
  <c r="BI22" i="83"/>
  <c r="BO24" i="83"/>
  <c r="BI24" i="83"/>
  <c r="BN31" i="84"/>
  <c r="BH31" i="84"/>
  <c r="BO23" i="83"/>
  <c r="BI23" i="83"/>
  <c r="BM28" i="83"/>
  <c r="Z29" i="83"/>
  <c r="BM29" i="83" s="1"/>
  <c r="BG27" i="83"/>
  <c r="BN24" i="82"/>
  <c r="BM27" i="83"/>
  <c r="AH25" i="82"/>
  <c r="J28" i="83"/>
  <c r="BK27" i="83"/>
  <c r="BK26" i="82"/>
  <c r="J27" i="82"/>
  <c r="BH32" i="84" l="1"/>
  <c r="BN32" i="84"/>
  <c r="BH33" i="84"/>
  <c r="Z30" i="83"/>
  <c r="BG30" i="83" s="1"/>
  <c r="BG29" i="83"/>
  <c r="BN25" i="82"/>
  <c r="BH25" i="82"/>
  <c r="AH26" i="82"/>
  <c r="AH27" i="82" s="1"/>
  <c r="J29" i="83"/>
  <c r="BK28" i="83"/>
  <c r="J28" i="82"/>
  <c r="BK27" i="82"/>
  <c r="AH29" i="82" l="1"/>
  <c r="BH29" i="82" s="1"/>
  <c r="AH28" i="82"/>
  <c r="BM30" i="83"/>
  <c r="Z31" i="83"/>
  <c r="BH27" i="82"/>
  <c r="BK29" i="83"/>
  <c r="J30" i="83"/>
  <c r="BN27" i="82"/>
  <c r="BN26" i="82"/>
  <c r="BH26" i="82"/>
  <c r="BK28" i="82"/>
  <c r="J29" i="82"/>
  <c r="AH30" i="82" l="1"/>
  <c r="BN29" i="82"/>
  <c r="BN28" i="82"/>
  <c r="BH28" i="82"/>
  <c r="AH31" i="82"/>
  <c r="BN30" i="82"/>
  <c r="BH30" i="82"/>
  <c r="BM31" i="83"/>
  <c r="BG31" i="83"/>
  <c r="BK30" i="83"/>
  <c r="J31" i="83"/>
  <c r="J30" i="82"/>
  <c r="BK29" i="82"/>
  <c r="BH31" i="82" l="1"/>
  <c r="BN31" i="82"/>
  <c r="AH32" i="82"/>
  <c r="BK30" i="82"/>
  <c r="J31" i="82"/>
  <c r="BK31" i="83"/>
  <c r="J32" i="83"/>
  <c r="BK529" i="79"/>
  <c r="BE529" i="79"/>
  <c r="AP529" i="79"/>
  <c r="BO529" i="79" s="1"/>
  <c r="AH529" i="79"/>
  <c r="Z529" i="79"/>
  <c r="BG529" i="79" s="1"/>
  <c r="R529" i="79"/>
  <c r="J529" i="79"/>
  <c r="BK528" i="79"/>
  <c r="BE528" i="79"/>
  <c r="AP528" i="79"/>
  <c r="BO528" i="79" s="1"/>
  <c r="AH528" i="79"/>
  <c r="BH528" i="79" s="1"/>
  <c r="Z528" i="79"/>
  <c r="BM528" i="79" s="1"/>
  <c r="R528" i="79"/>
  <c r="BF528" i="79" s="1"/>
  <c r="J528" i="79"/>
  <c r="BK527" i="79"/>
  <c r="BE527" i="79"/>
  <c r="AP527" i="79"/>
  <c r="BO527" i="79" s="1"/>
  <c r="AH527" i="79"/>
  <c r="BH527" i="79" s="1"/>
  <c r="Z527" i="79"/>
  <c r="BM527" i="79" s="1"/>
  <c r="R527" i="79"/>
  <c r="BF527" i="79" s="1"/>
  <c r="J527" i="79"/>
  <c r="BK526" i="79"/>
  <c r="BE526" i="79"/>
  <c r="AP526" i="79"/>
  <c r="BO526" i="79" s="1"/>
  <c r="AH526" i="79"/>
  <c r="Z526" i="79"/>
  <c r="BG526" i="79" s="1"/>
  <c r="R526" i="79"/>
  <c r="BF526" i="79" s="1"/>
  <c r="J526" i="79"/>
  <c r="BK525" i="79"/>
  <c r="BE525" i="79"/>
  <c r="AP525" i="79"/>
  <c r="BO525" i="79" s="1"/>
  <c r="AH525" i="79"/>
  <c r="BH525" i="79" s="1"/>
  <c r="Z525" i="79"/>
  <c r="BM525" i="79" s="1"/>
  <c r="R525" i="79"/>
  <c r="BF525" i="79" s="1"/>
  <c r="J525" i="79"/>
  <c r="BK524" i="79"/>
  <c r="BE524" i="79"/>
  <c r="AP524" i="79"/>
  <c r="BO524" i="79" s="1"/>
  <c r="AH524" i="79"/>
  <c r="BH524" i="79" s="1"/>
  <c r="Z524" i="79"/>
  <c r="BG524" i="79" s="1"/>
  <c r="R524" i="79"/>
  <c r="BF524" i="79" s="1"/>
  <c r="J524" i="79"/>
  <c r="BK523" i="79"/>
  <c r="BE523" i="79"/>
  <c r="AP523" i="79"/>
  <c r="BO523" i="79" s="1"/>
  <c r="AH523" i="79"/>
  <c r="BN523" i="79" s="1"/>
  <c r="Z523" i="79"/>
  <c r="R523" i="79"/>
  <c r="BF523" i="79" s="1"/>
  <c r="J523" i="79"/>
  <c r="BK522" i="79"/>
  <c r="BE522" i="79"/>
  <c r="AP522" i="79"/>
  <c r="BO522" i="79" s="1"/>
  <c r="AH522" i="79"/>
  <c r="BH522" i="79" s="1"/>
  <c r="Z522" i="79"/>
  <c r="BG522" i="79" s="1"/>
  <c r="R522" i="79"/>
  <c r="BF522" i="79" s="1"/>
  <c r="J522" i="79"/>
  <c r="BK521" i="79"/>
  <c r="BE521" i="79"/>
  <c r="AP521" i="79"/>
  <c r="BO521" i="79" s="1"/>
  <c r="AH521" i="79"/>
  <c r="BH521" i="79" s="1"/>
  <c r="Z521" i="79"/>
  <c r="R521" i="79"/>
  <c r="BF521" i="79" s="1"/>
  <c r="J521" i="79"/>
  <c r="BK520" i="79"/>
  <c r="BE520" i="79"/>
  <c r="AP520" i="79"/>
  <c r="AH520" i="79"/>
  <c r="BH520" i="79" s="1"/>
  <c r="Z520" i="79"/>
  <c r="BM520" i="79" s="1"/>
  <c r="R520" i="79"/>
  <c r="BF520" i="79" s="1"/>
  <c r="J520" i="79"/>
  <c r="BK519" i="79"/>
  <c r="BE519" i="79"/>
  <c r="AP519" i="79"/>
  <c r="BO519" i="79" s="1"/>
  <c r="AH519" i="79"/>
  <c r="BN519" i="79" s="1"/>
  <c r="Z519" i="79"/>
  <c r="R519" i="79"/>
  <c r="BF519" i="79" s="1"/>
  <c r="J519" i="79"/>
  <c r="BK518" i="79"/>
  <c r="BE518" i="79"/>
  <c r="AP518" i="79"/>
  <c r="BO518" i="79" s="1"/>
  <c r="AH518" i="79"/>
  <c r="BH518" i="79" s="1"/>
  <c r="Z518" i="79"/>
  <c r="R518" i="79"/>
  <c r="BF518" i="79" s="1"/>
  <c r="J518" i="79"/>
  <c r="BK517" i="79"/>
  <c r="BE517" i="79"/>
  <c r="AP517" i="79"/>
  <c r="AH517" i="79"/>
  <c r="BH517" i="79" s="1"/>
  <c r="Z517" i="79"/>
  <c r="BM517" i="79" s="1"/>
  <c r="R517" i="79"/>
  <c r="BF517" i="79" s="1"/>
  <c r="J517" i="79"/>
  <c r="BK516" i="79"/>
  <c r="BE516" i="79"/>
  <c r="AP516" i="79"/>
  <c r="BO516" i="79" s="1"/>
  <c r="AH516" i="79"/>
  <c r="BH516" i="79" s="1"/>
  <c r="Z516" i="79"/>
  <c r="BG516" i="79" s="1"/>
  <c r="R516" i="79"/>
  <c r="BF516" i="79" s="1"/>
  <c r="J516" i="79"/>
  <c r="BK515" i="79"/>
  <c r="BE515" i="79"/>
  <c r="AP515" i="79"/>
  <c r="BO515" i="79" s="1"/>
  <c r="AH515" i="79"/>
  <c r="BN515" i="79" s="1"/>
  <c r="Z515" i="79"/>
  <c r="BG515" i="79" s="1"/>
  <c r="R515" i="79"/>
  <c r="BF515" i="79" s="1"/>
  <c r="J515" i="79"/>
  <c r="BK514" i="79"/>
  <c r="BE514" i="79"/>
  <c r="AP514" i="79"/>
  <c r="BO514" i="79" s="1"/>
  <c r="AH514" i="79"/>
  <c r="BH514" i="79" s="1"/>
  <c r="Z514" i="79"/>
  <c r="BG514" i="79" s="1"/>
  <c r="R514" i="79"/>
  <c r="BF514" i="79" s="1"/>
  <c r="J514" i="79"/>
  <c r="BK513" i="79"/>
  <c r="BE513" i="79"/>
  <c r="AP513" i="79"/>
  <c r="BO513" i="79" s="1"/>
  <c r="AH513" i="79"/>
  <c r="BH513" i="79" s="1"/>
  <c r="Z513" i="79"/>
  <c r="R513" i="79"/>
  <c r="BF513" i="79" s="1"/>
  <c r="J513" i="79"/>
  <c r="BK512" i="79"/>
  <c r="BE512" i="79"/>
  <c r="AP512" i="79"/>
  <c r="AH512" i="79"/>
  <c r="BH512" i="79" s="1"/>
  <c r="Z512" i="79"/>
  <c r="BM512" i="79" s="1"/>
  <c r="R512" i="79"/>
  <c r="BF512" i="79" s="1"/>
  <c r="J512" i="79"/>
  <c r="BK511" i="79"/>
  <c r="BE511" i="79"/>
  <c r="AP511" i="79"/>
  <c r="BO511" i="79" s="1"/>
  <c r="AH511" i="79"/>
  <c r="BN511" i="79" s="1"/>
  <c r="Z511" i="79"/>
  <c r="BM511" i="79" s="1"/>
  <c r="R511" i="79"/>
  <c r="BF511" i="79" s="1"/>
  <c r="J511" i="79"/>
  <c r="BK510" i="79"/>
  <c r="BE510" i="79"/>
  <c r="AP510" i="79"/>
  <c r="BO510" i="79" s="1"/>
  <c r="AH510" i="79"/>
  <c r="BH510" i="79" s="1"/>
  <c r="Z510" i="79"/>
  <c r="BM510" i="79" s="1"/>
  <c r="R510" i="79"/>
  <c r="BF510" i="79" s="1"/>
  <c r="J510" i="79"/>
  <c r="BK509" i="79"/>
  <c r="BE509" i="79"/>
  <c r="AP509" i="79"/>
  <c r="BO509" i="79" s="1"/>
  <c r="AH509" i="79"/>
  <c r="BH509" i="79" s="1"/>
  <c r="Z509" i="79"/>
  <c r="BM509" i="79" s="1"/>
  <c r="R509" i="79"/>
  <c r="BF509" i="79" s="1"/>
  <c r="J509" i="79"/>
  <c r="BK508" i="79"/>
  <c r="BE508" i="79"/>
  <c r="AP508" i="79"/>
  <c r="BO508" i="79" s="1"/>
  <c r="AH508" i="79"/>
  <c r="BH508" i="79" s="1"/>
  <c r="Z508" i="79"/>
  <c r="BG508" i="79" s="1"/>
  <c r="R508" i="79"/>
  <c r="BF508" i="79" s="1"/>
  <c r="J508" i="79"/>
  <c r="BK507" i="79"/>
  <c r="BE507" i="79"/>
  <c r="AP507" i="79"/>
  <c r="BO507" i="79" s="1"/>
  <c r="AH507" i="79"/>
  <c r="BN507" i="79" s="1"/>
  <c r="Z507" i="79"/>
  <c r="BG507" i="79" s="1"/>
  <c r="R507" i="79"/>
  <c r="BF507" i="79" s="1"/>
  <c r="J507" i="79"/>
  <c r="BK506" i="79"/>
  <c r="BE506" i="79"/>
  <c r="AP506" i="79"/>
  <c r="BO506" i="79" s="1"/>
  <c r="AH506" i="79"/>
  <c r="BH506" i="79" s="1"/>
  <c r="Z506" i="79"/>
  <c r="R506" i="79"/>
  <c r="BF506" i="79" s="1"/>
  <c r="J506" i="79"/>
  <c r="BK505" i="79"/>
  <c r="BE505" i="79"/>
  <c r="AP505" i="79"/>
  <c r="AH505" i="79"/>
  <c r="BH505" i="79" s="1"/>
  <c r="Z505" i="79"/>
  <c r="R505" i="79"/>
  <c r="BF505" i="79" s="1"/>
  <c r="J505" i="79"/>
  <c r="BK504" i="79"/>
  <c r="BE504" i="79"/>
  <c r="AP504" i="79"/>
  <c r="AH504" i="79"/>
  <c r="BN504" i="79" s="1"/>
  <c r="Z504" i="79"/>
  <c r="BM504" i="79" s="1"/>
  <c r="R504" i="79"/>
  <c r="BF504" i="79" s="1"/>
  <c r="J504" i="79"/>
  <c r="BK503" i="79"/>
  <c r="BE503" i="79"/>
  <c r="AP503" i="79"/>
  <c r="BO503" i="79" s="1"/>
  <c r="AH503" i="79"/>
  <c r="BN503" i="79" s="1"/>
  <c r="Z503" i="79"/>
  <c r="R503" i="79"/>
  <c r="BF503" i="79" s="1"/>
  <c r="J503" i="79"/>
  <c r="BK502" i="79"/>
  <c r="BE502" i="79"/>
  <c r="AP502" i="79"/>
  <c r="BO502" i="79" s="1"/>
  <c r="AH502" i="79"/>
  <c r="BH502" i="79" s="1"/>
  <c r="Z502" i="79"/>
  <c r="R502" i="79"/>
  <c r="BF502" i="79" s="1"/>
  <c r="J502" i="79"/>
  <c r="BK501" i="79"/>
  <c r="BE501" i="79"/>
  <c r="AP501" i="79"/>
  <c r="AH501" i="79"/>
  <c r="Z501" i="79"/>
  <c r="R501" i="79"/>
  <c r="BL501" i="79" s="1"/>
  <c r="J501" i="79"/>
  <c r="BK500" i="79"/>
  <c r="BE500" i="79"/>
  <c r="AP500" i="79"/>
  <c r="AH500" i="79"/>
  <c r="Z500" i="79"/>
  <c r="R500" i="79"/>
  <c r="BL500" i="79" s="1"/>
  <c r="J500" i="79"/>
  <c r="BK499" i="79"/>
  <c r="BE499" i="79"/>
  <c r="AP499" i="79"/>
  <c r="AH499" i="79"/>
  <c r="Z499" i="79"/>
  <c r="R499" i="79"/>
  <c r="BL499" i="79" s="1"/>
  <c r="J499" i="79"/>
  <c r="BK498" i="79"/>
  <c r="BE498" i="79"/>
  <c r="AP498" i="79"/>
  <c r="AH498" i="79"/>
  <c r="Z498" i="79"/>
  <c r="R498" i="79"/>
  <c r="BL498" i="79" s="1"/>
  <c r="J498" i="79"/>
  <c r="BK497" i="79"/>
  <c r="BE497" i="79"/>
  <c r="AP497" i="79"/>
  <c r="AH497" i="79"/>
  <c r="Z497" i="79"/>
  <c r="R497" i="79"/>
  <c r="BL497" i="79" s="1"/>
  <c r="J497" i="79"/>
  <c r="BK496" i="79"/>
  <c r="BE496" i="79"/>
  <c r="AP496" i="79"/>
  <c r="AH496" i="79"/>
  <c r="Z496" i="79"/>
  <c r="R496" i="79"/>
  <c r="BL496" i="79" s="1"/>
  <c r="J496" i="79"/>
  <c r="BK495" i="79"/>
  <c r="BE495" i="79"/>
  <c r="AP495" i="79"/>
  <c r="BO495" i="79" s="1"/>
  <c r="AH495" i="79"/>
  <c r="Z495" i="79"/>
  <c r="BM495" i="79" s="1"/>
  <c r="R495" i="79"/>
  <c r="J495" i="79"/>
  <c r="BK494" i="79"/>
  <c r="BE494" i="79"/>
  <c r="AP494" i="79"/>
  <c r="BO494" i="79" s="1"/>
  <c r="AH494" i="79"/>
  <c r="Z494" i="79"/>
  <c r="BM494" i="79" s="1"/>
  <c r="R494" i="79"/>
  <c r="J494" i="79"/>
  <c r="BK493" i="79"/>
  <c r="BE493" i="79"/>
  <c r="AP493" i="79"/>
  <c r="AH493" i="79"/>
  <c r="Z493" i="79"/>
  <c r="BM493" i="79" s="1"/>
  <c r="R493" i="79"/>
  <c r="J493" i="79"/>
  <c r="BK492" i="79"/>
  <c r="BE492" i="79"/>
  <c r="AP492" i="79"/>
  <c r="BO492" i="79" s="1"/>
  <c r="AH492" i="79"/>
  <c r="Z492" i="79"/>
  <c r="BM492" i="79" s="1"/>
  <c r="R492" i="79"/>
  <c r="J492" i="79"/>
  <c r="BK491" i="79"/>
  <c r="BE491" i="79"/>
  <c r="AP491" i="79"/>
  <c r="BI491" i="79" s="1"/>
  <c r="AH491" i="79"/>
  <c r="Z491" i="79"/>
  <c r="BM491" i="79" s="1"/>
  <c r="R491" i="79"/>
  <c r="BL491" i="79" s="1"/>
  <c r="J491" i="79"/>
  <c r="BK490" i="79"/>
  <c r="BE490" i="79"/>
  <c r="AP490" i="79"/>
  <c r="BI490" i="79" s="1"/>
  <c r="AH490" i="79"/>
  <c r="Z490" i="79"/>
  <c r="BM490" i="79" s="1"/>
  <c r="R490" i="79"/>
  <c r="BL490" i="79" s="1"/>
  <c r="J490" i="79"/>
  <c r="BK489" i="79"/>
  <c r="BE489" i="79"/>
  <c r="AP489" i="79"/>
  <c r="BO489" i="79" s="1"/>
  <c r="AH489" i="79"/>
  <c r="Z489" i="79"/>
  <c r="BM489" i="79" s="1"/>
  <c r="R489" i="79"/>
  <c r="BL489" i="79" s="1"/>
  <c r="J489" i="79"/>
  <c r="BK488" i="79"/>
  <c r="BE488" i="79"/>
  <c r="AP488" i="79"/>
  <c r="AH488" i="79"/>
  <c r="Z488" i="79"/>
  <c r="BM488" i="79" s="1"/>
  <c r="R488" i="79"/>
  <c r="BL488" i="79" s="1"/>
  <c r="J488" i="79"/>
  <c r="BK487" i="79"/>
  <c r="BE487" i="79"/>
  <c r="AP487" i="79"/>
  <c r="BI487" i="79" s="1"/>
  <c r="AH487" i="79"/>
  <c r="Z487" i="79"/>
  <c r="BM487" i="79" s="1"/>
  <c r="R487" i="79"/>
  <c r="BL487" i="79" s="1"/>
  <c r="J487" i="79"/>
  <c r="BK486" i="79"/>
  <c r="BE486" i="79"/>
  <c r="AP486" i="79"/>
  <c r="AH486" i="79"/>
  <c r="Z486" i="79"/>
  <c r="R486" i="79"/>
  <c r="BL486" i="79" s="1"/>
  <c r="J486" i="79"/>
  <c r="BK485" i="79"/>
  <c r="BE485" i="79"/>
  <c r="AP485" i="79"/>
  <c r="AH485" i="79"/>
  <c r="Z485" i="79"/>
  <c r="R485" i="79"/>
  <c r="BL485" i="79" s="1"/>
  <c r="J485" i="79"/>
  <c r="BK484" i="79"/>
  <c r="BE484" i="79"/>
  <c r="AP484" i="79"/>
  <c r="BO484" i="79" s="1"/>
  <c r="AH484" i="79"/>
  <c r="Z484" i="79"/>
  <c r="BM484" i="79" s="1"/>
  <c r="R484" i="79"/>
  <c r="BL484" i="79" s="1"/>
  <c r="J484" i="79"/>
  <c r="BK483" i="79"/>
  <c r="BE483" i="79"/>
  <c r="AP483" i="79"/>
  <c r="AH483" i="79"/>
  <c r="Z483" i="79"/>
  <c r="BM483" i="79" s="1"/>
  <c r="R483" i="79"/>
  <c r="BL483" i="79" s="1"/>
  <c r="J483" i="79"/>
  <c r="BK482" i="79"/>
  <c r="BE482" i="79"/>
  <c r="AP482" i="79"/>
  <c r="BI482" i="79" s="1"/>
  <c r="AH482" i="79"/>
  <c r="Z482" i="79"/>
  <c r="R482" i="79"/>
  <c r="BL482" i="79" s="1"/>
  <c r="J482" i="79"/>
  <c r="BK481" i="79"/>
  <c r="BE481" i="79"/>
  <c r="AP481" i="79"/>
  <c r="BO481" i="79" s="1"/>
  <c r="AH481" i="79"/>
  <c r="BH481" i="79" s="1"/>
  <c r="Z481" i="79"/>
  <c r="R481" i="79"/>
  <c r="J481" i="79"/>
  <c r="BK480" i="79"/>
  <c r="BE480" i="79"/>
  <c r="AP480" i="79"/>
  <c r="BO480" i="79" s="1"/>
  <c r="AH480" i="79"/>
  <c r="BH480" i="79" s="1"/>
  <c r="Z480" i="79"/>
  <c r="BG480" i="79" s="1"/>
  <c r="R480" i="79"/>
  <c r="BL480" i="79" s="1"/>
  <c r="J480" i="79"/>
  <c r="BK479" i="79"/>
  <c r="BE479" i="79"/>
  <c r="AP479" i="79"/>
  <c r="BO479" i="79" s="1"/>
  <c r="AH479" i="79"/>
  <c r="Z479" i="79"/>
  <c r="BM479" i="79" s="1"/>
  <c r="R479" i="79"/>
  <c r="BL479" i="79" s="1"/>
  <c r="J479" i="79"/>
  <c r="BK478" i="79"/>
  <c r="BE478" i="79"/>
  <c r="AP478" i="79"/>
  <c r="BO478" i="79" s="1"/>
  <c r="AH478" i="79"/>
  <c r="BH478" i="79" s="1"/>
  <c r="Z478" i="79"/>
  <c r="BG478" i="79" s="1"/>
  <c r="R478" i="79"/>
  <c r="BL478" i="79" s="1"/>
  <c r="J478" i="79"/>
  <c r="BK477" i="79"/>
  <c r="BE477" i="79"/>
  <c r="AP477" i="79"/>
  <c r="BI477" i="79" s="1"/>
  <c r="AH477" i="79"/>
  <c r="BH477" i="79" s="1"/>
  <c r="Z477" i="79"/>
  <c r="BG477" i="79" s="1"/>
  <c r="R477" i="79"/>
  <c r="J477" i="79"/>
  <c r="BK476" i="79"/>
  <c r="BE476" i="79"/>
  <c r="AP476" i="79"/>
  <c r="AH476" i="79"/>
  <c r="BN476" i="79" s="1"/>
  <c r="Z476" i="79"/>
  <c r="BM476" i="79" s="1"/>
  <c r="R476" i="79"/>
  <c r="BL476" i="79" s="1"/>
  <c r="J476" i="79"/>
  <c r="BK475" i="79"/>
  <c r="BE475" i="79"/>
  <c r="AP475" i="79"/>
  <c r="AH475" i="79"/>
  <c r="BN475" i="79" s="1"/>
  <c r="Z475" i="79"/>
  <c r="BM475" i="79" s="1"/>
  <c r="R475" i="79"/>
  <c r="J475" i="79"/>
  <c r="BK474" i="79"/>
  <c r="BE474" i="79"/>
  <c r="AP474" i="79"/>
  <c r="BI474" i="79" s="1"/>
  <c r="AH474" i="79"/>
  <c r="BN474" i="79" s="1"/>
  <c r="Z474" i="79"/>
  <c r="R474" i="79"/>
  <c r="BL474" i="79" s="1"/>
  <c r="J474" i="79"/>
  <c r="BK473" i="79"/>
  <c r="BE473" i="79"/>
  <c r="AP473" i="79"/>
  <c r="BI473" i="79" s="1"/>
  <c r="AH473" i="79"/>
  <c r="BH473" i="79" s="1"/>
  <c r="Z473" i="79"/>
  <c r="R473" i="79"/>
  <c r="BL473" i="79" s="1"/>
  <c r="J473" i="79"/>
  <c r="BK472" i="79"/>
  <c r="BE472" i="79"/>
  <c r="AP472" i="79"/>
  <c r="AH472" i="79"/>
  <c r="Z472" i="79"/>
  <c r="R472" i="79"/>
  <c r="BL472" i="79" s="1"/>
  <c r="J472" i="79"/>
  <c r="BK471" i="79"/>
  <c r="BE471" i="79"/>
  <c r="AP471" i="79"/>
  <c r="AH471" i="79"/>
  <c r="Z471" i="79"/>
  <c r="BM471" i="79" s="1"/>
  <c r="R471" i="79"/>
  <c r="BL471" i="79" s="1"/>
  <c r="J471" i="79"/>
  <c r="BK470" i="79"/>
  <c r="BE470" i="79"/>
  <c r="AP470" i="79"/>
  <c r="AH470" i="79"/>
  <c r="Z470" i="79"/>
  <c r="BM470" i="79" s="1"/>
  <c r="R470" i="79"/>
  <c r="BL470" i="79" s="1"/>
  <c r="J470" i="79"/>
  <c r="BK469" i="79"/>
  <c r="BE469" i="79"/>
  <c r="AP469" i="79"/>
  <c r="AH469" i="79"/>
  <c r="Z469" i="79"/>
  <c r="R469" i="79"/>
  <c r="BL469" i="79" s="1"/>
  <c r="J469" i="79"/>
  <c r="BK468" i="79"/>
  <c r="BE468" i="79"/>
  <c r="AP468" i="79"/>
  <c r="AH468" i="79"/>
  <c r="Z468" i="79"/>
  <c r="R468" i="79"/>
  <c r="BL468" i="79" s="1"/>
  <c r="J468" i="79"/>
  <c r="BK467" i="79"/>
  <c r="BE467" i="79"/>
  <c r="AP467" i="79"/>
  <c r="AH467" i="79"/>
  <c r="Z467" i="79"/>
  <c r="BM467" i="79" s="1"/>
  <c r="R467" i="79"/>
  <c r="BL467" i="79" s="1"/>
  <c r="J467" i="79"/>
  <c r="BK466" i="79"/>
  <c r="BE466" i="79"/>
  <c r="AP466" i="79"/>
  <c r="AH466" i="79"/>
  <c r="Z466" i="79"/>
  <c r="BM466" i="79" s="1"/>
  <c r="R466" i="79"/>
  <c r="BL466" i="79" s="1"/>
  <c r="J466" i="79"/>
  <c r="BK465" i="79"/>
  <c r="BE465" i="79"/>
  <c r="AP465" i="79"/>
  <c r="AH465" i="79"/>
  <c r="Z465" i="79"/>
  <c r="R465" i="79"/>
  <c r="BL465" i="79" s="1"/>
  <c r="J465" i="79"/>
  <c r="BK464" i="79"/>
  <c r="BE464" i="79"/>
  <c r="AP464" i="79"/>
  <c r="AH464" i="79"/>
  <c r="Z464" i="79"/>
  <c r="R464" i="79"/>
  <c r="BL464" i="79" s="1"/>
  <c r="J464" i="79"/>
  <c r="BK463" i="79"/>
  <c r="BE463" i="79"/>
  <c r="AP463" i="79"/>
  <c r="AH463" i="79"/>
  <c r="Z463" i="79"/>
  <c r="BM463" i="79" s="1"/>
  <c r="R463" i="79"/>
  <c r="BL463" i="79" s="1"/>
  <c r="J463" i="79"/>
  <c r="BK462" i="79"/>
  <c r="BE462" i="79"/>
  <c r="AP462" i="79"/>
  <c r="AH462" i="79"/>
  <c r="Z462" i="79"/>
  <c r="BM462" i="79" s="1"/>
  <c r="R462" i="79"/>
  <c r="BL462" i="79" s="1"/>
  <c r="J462" i="79"/>
  <c r="BK461" i="79"/>
  <c r="BE461" i="79"/>
  <c r="AP461" i="79"/>
  <c r="AH461" i="79"/>
  <c r="Z461" i="79"/>
  <c r="R461" i="79"/>
  <c r="BL461" i="79" s="1"/>
  <c r="J461" i="79"/>
  <c r="BK460" i="79"/>
  <c r="BE460" i="79"/>
  <c r="AP460" i="79"/>
  <c r="AH460" i="79"/>
  <c r="Z460" i="79"/>
  <c r="R460" i="79"/>
  <c r="BL460" i="79" s="1"/>
  <c r="J460" i="79"/>
  <c r="BK459" i="79"/>
  <c r="BE459" i="79"/>
  <c r="AP459" i="79"/>
  <c r="AH459" i="79"/>
  <c r="Z459" i="79"/>
  <c r="BM459" i="79" s="1"/>
  <c r="R459" i="79"/>
  <c r="BL459" i="79" s="1"/>
  <c r="J459" i="79"/>
  <c r="BK458" i="79"/>
  <c r="BE458" i="79"/>
  <c r="AP458" i="79"/>
  <c r="AH458" i="79"/>
  <c r="Z458" i="79"/>
  <c r="BM458" i="79" s="1"/>
  <c r="R458" i="79"/>
  <c r="BL458" i="79" s="1"/>
  <c r="J458" i="79"/>
  <c r="BK457" i="79"/>
  <c r="BE457" i="79"/>
  <c r="AP457" i="79"/>
  <c r="AH457" i="79"/>
  <c r="Z457" i="79"/>
  <c r="R457" i="79"/>
  <c r="BL457" i="79" s="1"/>
  <c r="J457" i="79"/>
  <c r="BK456" i="79"/>
  <c r="BE456" i="79"/>
  <c r="AP456" i="79"/>
  <c r="AH456" i="79"/>
  <c r="Z456" i="79"/>
  <c r="R456" i="79"/>
  <c r="BL456" i="79" s="1"/>
  <c r="J456" i="79"/>
  <c r="BK455" i="79"/>
  <c r="BE455" i="79"/>
  <c r="AP455" i="79"/>
  <c r="AH455" i="79"/>
  <c r="Z455" i="79"/>
  <c r="BM455" i="79" s="1"/>
  <c r="R455" i="79"/>
  <c r="BL455" i="79" s="1"/>
  <c r="J455" i="79"/>
  <c r="BK454" i="79"/>
  <c r="BE454" i="79"/>
  <c r="AP454" i="79"/>
  <c r="AH454" i="79"/>
  <c r="Z454" i="79"/>
  <c r="BM454" i="79" s="1"/>
  <c r="R454" i="79"/>
  <c r="BL454" i="79" s="1"/>
  <c r="J454" i="79"/>
  <c r="BK453" i="79"/>
  <c r="BE453" i="79"/>
  <c r="AP453" i="79"/>
  <c r="AH453" i="79"/>
  <c r="Z453" i="79"/>
  <c r="R453" i="79"/>
  <c r="BL453" i="79" s="1"/>
  <c r="J453" i="79"/>
  <c r="BK452" i="79"/>
  <c r="BE452" i="79"/>
  <c r="AP452" i="79"/>
  <c r="AH452" i="79"/>
  <c r="Z452" i="79"/>
  <c r="R452" i="79"/>
  <c r="BL452" i="79" s="1"/>
  <c r="J452" i="79"/>
  <c r="BK451" i="79"/>
  <c r="BE451" i="79"/>
  <c r="AP451" i="79"/>
  <c r="AH451" i="79"/>
  <c r="Z451" i="79"/>
  <c r="BM451" i="79" s="1"/>
  <c r="R451" i="79"/>
  <c r="BL451" i="79" s="1"/>
  <c r="J451" i="79"/>
  <c r="BK450" i="79"/>
  <c r="BE450" i="79"/>
  <c r="AP450" i="79"/>
  <c r="BI450" i="79" s="1"/>
  <c r="AH450" i="79"/>
  <c r="Z450" i="79"/>
  <c r="BG450" i="79" s="1"/>
  <c r="R450" i="79"/>
  <c r="BF450" i="79" s="1"/>
  <c r="J450" i="79"/>
  <c r="BK449" i="79"/>
  <c r="BE449" i="79"/>
  <c r="AP449" i="79"/>
  <c r="BI449" i="79" s="1"/>
  <c r="AH449" i="79"/>
  <c r="Z449" i="79"/>
  <c r="BG449" i="79" s="1"/>
  <c r="R449" i="79"/>
  <c r="BF449" i="79" s="1"/>
  <c r="J449" i="79"/>
  <c r="BK448" i="79"/>
  <c r="BE448" i="79"/>
  <c r="AP448" i="79"/>
  <c r="BI448" i="79" s="1"/>
  <c r="AH448" i="79"/>
  <c r="BH448" i="79" s="1"/>
  <c r="Z448" i="79"/>
  <c r="BG448" i="79" s="1"/>
  <c r="R448" i="79"/>
  <c r="BL448" i="79" s="1"/>
  <c r="J448" i="79"/>
  <c r="BK447" i="79"/>
  <c r="BE447" i="79"/>
  <c r="AP447" i="79"/>
  <c r="BI447" i="79" s="1"/>
  <c r="AH447" i="79"/>
  <c r="BH447" i="79" s="1"/>
  <c r="Z447" i="79"/>
  <c r="BM447" i="79" s="1"/>
  <c r="R447" i="79"/>
  <c r="BL447" i="79" s="1"/>
  <c r="J447" i="79"/>
  <c r="BK446" i="79"/>
  <c r="BE446" i="79"/>
  <c r="AP446" i="79"/>
  <c r="BI446" i="79" s="1"/>
  <c r="AH446" i="79"/>
  <c r="BH446" i="79" s="1"/>
  <c r="Z446" i="79"/>
  <c r="BM446" i="79" s="1"/>
  <c r="R446" i="79"/>
  <c r="BL446" i="79" s="1"/>
  <c r="J446" i="79"/>
  <c r="BK445" i="79"/>
  <c r="BE445" i="79"/>
  <c r="AP445" i="79"/>
  <c r="BI445" i="79" s="1"/>
  <c r="AH445" i="79"/>
  <c r="BH445" i="79" s="1"/>
  <c r="Z445" i="79"/>
  <c r="BM445" i="79" s="1"/>
  <c r="R445" i="79"/>
  <c r="BF445" i="79" s="1"/>
  <c r="J445" i="79"/>
  <c r="BK444" i="79"/>
  <c r="BE444" i="79"/>
  <c r="AP444" i="79"/>
  <c r="AH444" i="79"/>
  <c r="BH444" i="79" s="1"/>
  <c r="Z444" i="79"/>
  <c r="BM444" i="79" s="1"/>
  <c r="R444" i="79"/>
  <c r="BL444" i="79" s="1"/>
  <c r="J444" i="79"/>
  <c r="BK443" i="79"/>
  <c r="BE443" i="79"/>
  <c r="AP443" i="79"/>
  <c r="BI443" i="79" s="1"/>
  <c r="AH443" i="79"/>
  <c r="BH443" i="79" s="1"/>
  <c r="Z443" i="79"/>
  <c r="BM443" i="79" s="1"/>
  <c r="R443" i="79"/>
  <c r="BF443" i="79" s="1"/>
  <c r="J443" i="79"/>
  <c r="BK442" i="79"/>
  <c r="BE442" i="79"/>
  <c r="AP442" i="79"/>
  <c r="BI442" i="79" s="1"/>
  <c r="AH442" i="79"/>
  <c r="BH442" i="79" s="1"/>
  <c r="Z442" i="79"/>
  <c r="R442" i="79"/>
  <c r="BL442" i="79" s="1"/>
  <c r="J442" i="79"/>
  <c r="BK441" i="79"/>
  <c r="BE441" i="79"/>
  <c r="AP441" i="79"/>
  <c r="BI441" i="79" s="1"/>
  <c r="AH441" i="79"/>
  <c r="Z441" i="79"/>
  <c r="BM441" i="79" s="1"/>
  <c r="R441" i="79"/>
  <c r="BL441" i="79" s="1"/>
  <c r="J441" i="79"/>
  <c r="BK440" i="79"/>
  <c r="BE440" i="79"/>
  <c r="AP440" i="79"/>
  <c r="BI440" i="79" s="1"/>
  <c r="AH440" i="79"/>
  <c r="Z440" i="79"/>
  <c r="R440" i="79"/>
  <c r="BL440" i="79" s="1"/>
  <c r="J440" i="79"/>
  <c r="BK439" i="79"/>
  <c r="BE439" i="79"/>
  <c r="AP439" i="79"/>
  <c r="BI439" i="79" s="1"/>
  <c r="AH439" i="79"/>
  <c r="Z439" i="79"/>
  <c r="BM439" i="79" s="1"/>
  <c r="R439" i="79"/>
  <c r="BL439" i="79" s="1"/>
  <c r="J439" i="79"/>
  <c r="BK438" i="79"/>
  <c r="BE438" i="79"/>
  <c r="AP438" i="79"/>
  <c r="BI438" i="79" s="1"/>
  <c r="AH438" i="79"/>
  <c r="Z438" i="79"/>
  <c r="BM438" i="79" s="1"/>
  <c r="R438" i="79"/>
  <c r="BL438" i="79" s="1"/>
  <c r="J438" i="79"/>
  <c r="BK437" i="79"/>
  <c r="BE437" i="79"/>
  <c r="AP437" i="79"/>
  <c r="BI437" i="79" s="1"/>
  <c r="AH437" i="79"/>
  <c r="Z437" i="79"/>
  <c r="BM437" i="79" s="1"/>
  <c r="R437" i="79"/>
  <c r="J437" i="79"/>
  <c r="BK436" i="79"/>
  <c r="BE436" i="79"/>
  <c r="AP436" i="79"/>
  <c r="AH436" i="79"/>
  <c r="Z436" i="79"/>
  <c r="BM436" i="79" s="1"/>
  <c r="R436" i="79"/>
  <c r="BL436" i="79" s="1"/>
  <c r="J436" i="79"/>
  <c r="BK435" i="79"/>
  <c r="BE435" i="79"/>
  <c r="AP435" i="79"/>
  <c r="BI435" i="79" s="1"/>
  <c r="AH435" i="79"/>
  <c r="Z435" i="79"/>
  <c r="BM435" i="79" s="1"/>
  <c r="R435" i="79"/>
  <c r="BF435" i="79" s="1"/>
  <c r="J435" i="79"/>
  <c r="BK434" i="79"/>
  <c r="BE434" i="79"/>
  <c r="AP434" i="79"/>
  <c r="AH434" i="79"/>
  <c r="Z434" i="79"/>
  <c r="R434" i="79"/>
  <c r="BL434" i="79" s="1"/>
  <c r="J434" i="79"/>
  <c r="BK433" i="79"/>
  <c r="BE433" i="79"/>
  <c r="AP433" i="79"/>
  <c r="BI433" i="79" s="1"/>
  <c r="AH433" i="79"/>
  <c r="Z433" i="79"/>
  <c r="BM433" i="79" s="1"/>
  <c r="R433" i="79"/>
  <c r="BL433" i="79" s="1"/>
  <c r="J433" i="79"/>
  <c r="BK432" i="79"/>
  <c r="BE432" i="79"/>
  <c r="AP432" i="79"/>
  <c r="BI432" i="79" s="1"/>
  <c r="AH432" i="79"/>
  <c r="Z432" i="79"/>
  <c r="R432" i="79"/>
  <c r="BL432" i="79" s="1"/>
  <c r="J432" i="79"/>
  <c r="BK431" i="79"/>
  <c r="BE431" i="79"/>
  <c r="AP431" i="79"/>
  <c r="BI431" i="79" s="1"/>
  <c r="AH431" i="79"/>
  <c r="Z431" i="79"/>
  <c r="BM431" i="79" s="1"/>
  <c r="R431" i="79"/>
  <c r="BL431" i="79" s="1"/>
  <c r="J431" i="79"/>
  <c r="BK430" i="79"/>
  <c r="BE430" i="79"/>
  <c r="AP430" i="79"/>
  <c r="BI430" i="79" s="1"/>
  <c r="AH430" i="79"/>
  <c r="Z430" i="79"/>
  <c r="BM430" i="79" s="1"/>
  <c r="R430" i="79"/>
  <c r="BL430" i="79" s="1"/>
  <c r="J430" i="79"/>
  <c r="BK429" i="79"/>
  <c r="BE429" i="79"/>
  <c r="AP429" i="79"/>
  <c r="BI429" i="79" s="1"/>
  <c r="AH429" i="79"/>
  <c r="Z429" i="79"/>
  <c r="BM429" i="79" s="1"/>
  <c r="R429" i="79"/>
  <c r="BF429" i="79" s="1"/>
  <c r="J429" i="79"/>
  <c r="BK428" i="79"/>
  <c r="BE428" i="79"/>
  <c r="AP428" i="79"/>
  <c r="AH428" i="79"/>
  <c r="Z428" i="79"/>
  <c r="BM428" i="79" s="1"/>
  <c r="R428" i="79"/>
  <c r="BL428" i="79" s="1"/>
  <c r="J428" i="79"/>
  <c r="BK427" i="79"/>
  <c r="BE427" i="79"/>
  <c r="AP427" i="79"/>
  <c r="BI427" i="79" s="1"/>
  <c r="AH427" i="79"/>
  <c r="Z427" i="79"/>
  <c r="BM427" i="79" s="1"/>
  <c r="R427" i="79"/>
  <c r="BF427" i="79" s="1"/>
  <c r="J427" i="79"/>
  <c r="BK426" i="79"/>
  <c r="BE426" i="79"/>
  <c r="AP426" i="79"/>
  <c r="BI426" i="79" s="1"/>
  <c r="AH426" i="79"/>
  <c r="Z426" i="79"/>
  <c r="R426" i="79"/>
  <c r="BL426" i="79" s="1"/>
  <c r="J426" i="79"/>
  <c r="BK425" i="79"/>
  <c r="BE425" i="79"/>
  <c r="AP425" i="79"/>
  <c r="BI425" i="79" s="1"/>
  <c r="AH425" i="79"/>
  <c r="Z425" i="79"/>
  <c r="BM425" i="79" s="1"/>
  <c r="R425" i="79"/>
  <c r="BL425" i="79" s="1"/>
  <c r="J425" i="79"/>
  <c r="BK424" i="79"/>
  <c r="BE424" i="79"/>
  <c r="AP424" i="79"/>
  <c r="BI424" i="79" s="1"/>
  <c r="AH424" i="79"/>
  <c r="Z424" i="79"/>
  <c r="R424" i="79"/>
  <c r="BL424" i="79" s="1"/>
  <c r="J424" i="79"/>
  <c r="BK423" i="79"/>
  <c r="BE423" i="79"/>
  <c r="AP423" i="79"/>
  <c r="BI423" i="79" s="1"/>
  <c r="AH423" i="79"/>
  <c r="Z423" i="79"/>
  <c r="BM423" i="79" s="1"/>
  <c r="R423" i="79"/>
  <c r="BL423" i="79" s="1"/>
  <c r="J423" i="79"/>
  <c r="BK422" i="79"/>
  <c r="BE422" i="79"/>
  <c r="AP422" i="79"/>
  <c r="BI422" i="79" s="1"/>
  <c r="AH422" i="79"/>
  <c r="Z422" i="79"/>
  <c r="BM422" i="79" s="1"/>
  <c r="R422" i="79"/>
  <c r="BL422" i="79" s="1"/>
  <c r="J422" i="79"/>
  <c r="BK421" i="79"/>
  <c r="BE421" i="79"/>
  <c r="AP421" i="79"/>
  <c r="BI421" i="79" s="1"/>
  <c r="AH421" i="79"/>
  <c r="Z421" i="79"/>
  <c r="BM421" i="79" s="1"/>
  <c r="R421" i="79"/>
  <c r="BF421" i="79" s="1"/>
  <c r="J421" i="79"/>
  <c r="BK420" i="79"/>
  <c r="BE420" i="79"/>
  <c r="AP420" i="79"/>
  <c r="AH420" i="79"/>
  <c r="Z420" i="79"/>
  <c r="BM420" i="79" s="1"/>
  <c r="R420" i="79"/>
  <c r="BL420" i="79" s="1"/>
  <c r="J420" i="79"/>
  <c r="BK419" i="79"/>
  <c r="BE419" i="79"/>
  <c r="AP419" i="79"/>
  <c r="BI419" i="79" s="1"/>
  <c r="AH419" i="79"/>
  <c r="Z419" i="79"/>
  <c r="BM419" i="79" s="1"/>
  <c r="R419" i="79"/>
  <c r="BF419" i="79" s="1"/>
  <c r="J419" i="79"/>
  <c r="BK418" i="79"/>
  <c r="BE418" i="79"/>
  <c r="AP418" i="79"/>
  <c r="BI418" i="79" s="1"/>
  <c r="AH418" i="79"/>
  <c r="Z418" i="79"/>
  <c r="R418" i="79"/>
  <c r="BL418" i="79" s="1"/>
  <c r="J418" i="79"/>
  <c r="BK417" i="79"/>
  <c r="BE417" i="79"/>
  <c r="AP417" i="79"/>
  <c r="BI417" i="79" s="1"/>
  <c r="AH417" i="79"/>
  <c r="Z417" i="79"/>
  <c r="BM417" i="79" s="1"/>
  <c r="R417" i="79"/>
  <c r="BL417" i="79" s="1"/>
  <c r="J417" i="79"/>
  <c r="BK416" i="79"/>
  <c r="BE416" i="79"/>
  <c r="AP416" i="79"/>
  <c r="BI416" i="79" s="1"/>
  <c r="AH416" i="79"/>
  <c r="Z416" i="79"/>
  <c r="BM416" i="79" s="1"/>
  <c r="R416" i="79"/>
  <c r="BL416" i="79" s="1"/>
  <c r="J416" i="79"/>
  <c r="BK415" i="79"/>
  <c r="BE415" i="79"/>
  <c r="AP415" i="79"/>
  <c r="BI415" i="79" s="1"/>
  <c r="AH415" i="79"/>
  <c r="Z415" i="79"/>
  <c r="BM415" i="79" s="1"/>
  <c r="R415" i="79"/>
  <c r="BF415" i="79" s="1"/>
  <c r="J415" i="79"/>
  <c r="BK414" i="79"/>
  <c r="BE414" i="79"/>
  <c r="AP414" i="79"/>
  <c r="BI414" i="79" s="1"/>
  <c r="AH414" i="79"/>
  <c r="BH414" i="79" s="1"/>
  <c r="Z414" i="79"/>
  <c r="BM414" i="79" s="1"/>
  <c r="R414" i="79"/>
  <c r="J414" i="79"/>
  <c r="BK413" i="79"/>
  <c r="BE413" i="79"/>
  <c r="AP413" i="79"/>
  <c r="BI413" i="79" s="1"/>
  <c r="AH413" i="79"/>
  <c r="BH413" i="79" s="1"/>
  <c r="Z413" i="79"/>
  <c r="R413" i="79"/>
  <c r="BL413" i="79" s="1"/>
  <c r="J413" i="79"/>
  <c r="BK412" i="79"/>
  <c r="BE412" i="79"/>
  <c r="AP412" i="79"/>
  <c r="AH412" i="79"/>
  <c r="BH412" i="79" s="1"/>
  <c r="Z412" i="79"/>
  <c r="R412" i="79"/>
  <c r="BL412" i="79" s="1"/>
  <c r="J412" i="79"/>
  <c r="BK411" i="79"/>
  <c r="BE411" i="79"/>
  <c r="AP411" i="79"/>
  <c r="BI411" i="79" s="1"/>
  <c r="AH411" i="79"/>
  <c r="BH411" i="79" s="1"/>
  <c r="Z411" i="79"/>
  <c r="BM411" i="79" s="1"/>
  <c r="R411" i="79"/>
  <c r="BL411" i="79" s="1"/>
  <c r="J411" i="79"/>
  <c r="BK410" i="79"/>
  <c r="BE410" i="79"/>
  <c r="AP410" i="79"/>
  <c r="BI410" i="79" s="1"/>
  <c r="AH410" i="79"/>
  <c r="BH410" i="79" s="1"/>
  <c r="Z410" i="79"/>
  <c r="BM410" i="79" s="1"/>
  <c r="R410" i="79"/>
  <c r="BL410" i="79" s="1"/>
  <c r="J410" i="79"/>
  <c r="BK409" i="79"/>
  <c r="BE409" i="79"/>
  <c r="AP409" i="79"/>
  <c r="BI409" i="79" s="1"/>
  <c r="AH409" i="79"/>
  <c r="BH409" i="79" s="1"/>
  <c r="Z409" i="79"/>
  <c r="BM409" i="79" s="1"/>
  <c r="R409" i="79"/>
  <c r="BL409" i="79" s="1"/>
  <c r="J409" i="79"/>
  <c r="BK408" i="79"/>
  <c r="BE408" i="79"/>
  <c r="AP408" i="79"/>
  <c r="BI408" i="79" s="1"/>
  <c r="AH408" i="79"/>
  <c r="BH408" i="79" s="1"/>
  <c r="Z408" i="79"/>
  <c r="BM408" i="79" s="1"/>
  <c r="R408" i="79"/>
  <c r="BL408" i="79" s="1"/>
  <c r="J408" i="79"/>
  <c r="BK407" i="79"/>
  <c r="BE407" i="79"/>
  <c r="AP407" i="79"/>
  <c r="BI407" i="79" s="1"/>
  <c r="AH407" i="79"/>
  <c r="BH407" i="79" s="1"/>
  <c r="Z407" i="79"/>
  <c r="R407" i="79"/>
  <c r="J407" i="79"/>
  <c r="BK406" i="79"/>
  <c r="BE406" i="79"/>
  <c r="AP406" i="79"/>
  <c r="BI406" i="79" s="1"/>
  <c r="AH406" i="79"/>
  <c r="BH406" i="79" s="1"/>
  <c r="Z406" i="79"/>
  <c r="R406" i="79"/>
  <c r="BL406" i="79" s="1"/>
  <c r="J406" i="79"/>
  <c r="BK405" i="79"/>
  <c r="BE405" i="79"/>
  <c r="AP405" i="79"/>
  <c r="BI405" i="79" s="1"/>
  <c r="AH405" i="79"/>
  <c r="BH405" i="79" s="1"/>
  <c r="Z405" i="79"/>
  <c r="BM405" i="79" s="1"/>
  <c r="R405" i="79"/>
  <c r="J405" i="79"/>
  <c r="BK404" i="79"/>
  <c r="BE404" i="79"/>
  <c r="AP404" i="79"/>
  <c r="BI404" i="79" s="1"/>
  <c r="AH404" i="79"/>
  <c r="BH404" i="79" s="1"/>
  <c r="Z404" i="79"/>
  <c r="R404" i="79"/>
  <c r="BL404" i="79" s="1"/>
  <c r="J404" i="79"/>
  <c r="BK403" i="79"/>
  <c r="BE403" i="79"/>
  <c r="AP403" i="79"/>
  <c r="BI403" i="79" s="1"/>
  <c r="AH403" i="79"/>
  <c r="BH403" i="79" s="1"/>
  <c r="Z403" i="79"/>
  <c r="BM403" i="79" s="1"/>
  <c r="R403" i="79"/>
  <c r="BL403" i="79" s="1"/>
  <c r="J403" i="79"/>
  <c r="BK402" i="79"/>
  <c r="BE402" i="79"/>
  <c r="AP402" i="79"/>
  <c r="BI402" i="79" s="1"/>
  <c r="AH402" i="79"/>
  <c r="BH402" i="79" s="1"/>
  <c r="Z402" i="79"/>
  <c r="BM402" i="79" s="1"/>
  <c r="R402" i="79"/>
  <c r="BL402" i="79" s="1"/>
  <c r="J402" i="79"/>
  <c r="BK401" i="79"/>
  <c r="BE401" i="79"/>
  <c r="AP401" i="79"/>
  <c r="BI401" i="79" s="1"/>
  <c r="AH401" i="79"/>
  <c r="BH401" i="79" s="1"/>
  <c r="Z401" i="79"/>
  <c r="BM401" i="79" s="1"/>
  <c r="R401" i="79"/>
  <c r="BL401" i="79" s="1"/>
  <c r="J401" i="79"/>
  <c r="BK400" i="79"/>
  <c r="BE400" i="79"/>
  <c r="AP400" i="79"/>
  <c r="BI400" i="79" s="1"/>
  <c r="AH400" i="79"/>
  <c r="BH400" i="79" s="1"/>
  <c r="Z400" i="79"/>
  <c r="BM400" i="79" s="1"/>
  <c r="R400" i="79"/>
  <c r="BL400" i="79" s="1"/>
  <c r="J400" i="79"/>
  <c r="BK399" i="79"/>
  <c r="BE399" i="79"/>
  <c r="AP399" i="79"/>
  <c r="BI399" i="79" s="1"/>
  <c r="AH399" i="79"/>
  <c r="BH399" i="79" s="1"/>
  <c r="Z399" i="79"/>
  <c r="BM399" i="79" s="1"/>
  <c r="R399" i="79"/>
  <c r="J399" i="79"/>
  <c r="BK398" i="79"/>
  <c r="BE398" i="79"/>
  <c r="AP398" i="79"/>
  <c r="BI398" i="79" s="1"/>
  <c r="AH398" i="79"/>
  <c r="BH398" i="79" s="1"/>
  <c r="Z398" i="79"/>
  <c r="R398" i="79"/>
  <c r="BL398" i="79" s="1"/>
  <c r="J398" i="79"/>
  <c r="BK397" i="79"/>
  <c r="BE397" i="79"/>
  <c r="AP397" i="79"/>
  <c r="BI397" i="79" s="1"/>
  <c r="AH397" i="79"/>
  <c r="BH397" i="79" s="1"/>
  <c r="Z397" i="79"/>
  <c r="BM397" i="79" s="1"/>
  <c r="R397" i="79"/>
  <c r="J397" i="79"/>
  <c r="BK396" i="79"/>
  <c r="BE396" i="79"/>
  <c r="AP396" i="79"/>
  <c r="BI396" i="79" s="1"/>
  <c r="AH396" i="79"/>
  <c r="BH396" i="79" s="1"/>
  <c r="Z396" i="79"/>
  <c r="R396" i="79"/>
  <c r="BL396" i="79" s="1"/>
  <c r="J396" i="79"/>
  <c r="BK395" i="79"/>
  <c r="BE395" i="79"/>
  <c r="AP395" i="79"/>
  <c r="BI395" i="79" s="1"/>
  <c r="AH395" i="79"/>
  <c r="BH395" i="79" s="1"/>
  <c r="Z395" i="79"/>
  <c r="BM395" i="79" s="1"/>
  <c r="R395" i="79"/>
  <c r="BL395" i="79" s="1"/>
  <c r="J395" i="79"/>
  <c r="BK394" i="79"/>
  <c r="BE394" i="79"/>
  <c r="AP394" i="79"/>
  <c r="BI394" i="79" s="1"/>
  <c r="AH394" i="79"/>
  <c r="BH394" i="79" s="1"/>
  <c r="Z394" i="79"/>
  <c r="BM394" i="79" s="1"/>
  <c r="R394" i="79"/>
  <c r="BL394" i="79" s="1"/>
  <c r="J394" i="79"/>
  <c r="BK393" i="79"/>
  <c r="BE393" i="79"/>
  <c r="AP393" i="79"/>
  <c r="BI393" i="79" s="1"/>
  <c r="AH393" i="79"/>
  <c r="BH393" i="79" s="1"/>
  <c r="Z393" i="79"/>
  <c r="BM393" i="79" s="1"/>
  <c r="R393" i="79"/>
  <c r="BL393" i="79" s="1"/>
  <c r="J393" i="79"/>
  <c r="BK392" i="79"/>
  <c r="BE392" i="79"/>
  <c r="AP392" i="79"/>
  <c r="BI392" i="79" s="1"/>
  <c r="AH392" i="79"/>
  <c r="Z392" i="79"/>
  <c r="BM392" i="79" s="1"/>
  <c r="R392" i="79"/>
  <c r="BL392" i="79" s="1"/>
  <c r="J392" i="79"/>
  <c r="BK391" i="79"/>
  <c r="BE391" i="79"/>
  <c r="AP391" i="79"/>
  <c r="BI391" i="79" s="1"/>
  <c r="AH391" i="79"/>
  <c r="Z391" i="79"/>
  <c r="R391" i="79"/>
  <c r="BL391" i="79" s="1"/>
  <c r="J391" i="79"/>
  <c r="BK390" i="79"/>
  <c r="BE390" i="79"/>
  <c r="AP390" i="79"/>
  <c r="BI390" i="79" s="1"/>
  <c r="AH390" i="79"/>
  <c r="Z390" i="79"/>
  <c r="BM390" i="79" s="1"/>
  <c r="R390" i="79"/>
  <c r="J390" i="79"/>
  <c r="BK389" i="79"/>
  <c r="BE389" i="79"/>
  <c r="AP389" i="79"/>
  <c r="BI389" i="79" s="1"/>
  <c r="AH389" i="79"/>
  <c r="Z389" i="79"/>
  <c r="R389" i="79"/>
  <c r="BL389" i="79" s="1"/>
  <c r="J389" i="79"/>
  <c r="BK388" i="79"/>
  <c r="BE388" i="79"/>
  <c r="AP388" i="79"/>
  <c r="BI388" i="79" s="1"/>
  <c r="AH388" i="79"/>
  <c r="Z388" i="79"/>
  <c r="BM388" i="79" s="1"/>
  <c r="R388" i="79"/>
  <c r="BL388" i="79" s="1"/>
  <c r="J388" i="79"/>
  <c r="BK387" i="79"/>
  <c r="BE387" i="79"/>
  <c r="AP387" i="79"/>
  <c r="BI387" i="79" s="1"/>
  <c r="AH387" i="79"/>
  <c r="Z387" i="79"/>
  <c r="BM387" i="79" s="1"/>
  <c r="R387" i="79"/>
  <c r="BL387" i="79" s="1"/>
  <c r="J387" i="79"/>
  <c r="BK386" i="79"/>
  <c r="BE386" i="79"/>
  <c r="AP386" i="79"/>
  <c r="BI386" i="79" s="1"/>
  <c r="AH386" i="79"/>
  <c r="Z386" i="79"/>
  <c r="BM386" i="79" s="1"/>
  <c r="R386" i="79"/>
  <c r="BL386" i="79" s="1"/>
  <c r="J386" i="79"/>
  <c r="BK385" i="79"/>
  <c r="BE385" i="79"/>
  <c r="AP385" i="79"/>
  <c r="BI385" i="79" s="1"/>
  <c r="AH385" i="79"/>
  <c r="Z385" i="79"/>
  <c r="R385" i="79"/>
  <c r="BL385" i="79" s="1"/>
  <c r="J385" i="79"/>
  <c r="BK384" i="79"/>
  <c r="BE384" i="79"/>
  <c r="AP384" i="79"/>
  <c r="BO384" i="79" s="1"/>
  <c r="AH384" i="79"/>
  <c r="Z384" i="79"/>
  <c r="R384" i="79"/>
  <c r="BL384" i="79" s="1"/>
  <c r="J384" i="79"/>
  <c r="BK383" i="79"/>
  <c r="BE383" i="79"/>
  <c r="AP383" i="79"/>
  <c r="AH383" i="79"/>
  <c r="Z383" i="79"/>
  <c r="R383" i="79"/>
  <c r="J383" i="79"/>
  <c r="BK382" i="79"/>
  <c r="BE382" i="79"/>
  <c r="AP382" i="79"/>
  <c r="BO382" i="79" s="1"/>
  <c r="AH382" i="79"/>
  <c r="BH382" i="79" s="1"/>
  <c r="Z382" i="79"/>
  <c r="BM382" i="79" s="1"/>
  <c r="R382" i="79"/>
  <c r="BL382" i="79" s="1"/>
  <c r="J382" i="79"/>
  <c r="BK381" i="79"/>
  <c r="BE381" i="79"/>
  <c r="AP381" i="79"/>
  <c r="BO381" i="79" s="1"/>
  <c r="AH381" i="79"/>
  <c r="BH381" i="79" s="1"/>
  <c r="Z381" i="79"/>
  <c r="BM381" i="79" s="1"/>
  <c r="R381" i="79"/>
  <c r="J381" i="79"/>
  <c r="BK380" i="79"/>
  <c r="BE380" i="79"/>
  <c r="AP380" i="79"/>
  <c r="BO380" i="79" s="1"/>
  <c r="AH380" i="79"/>
  <c r="BH380" i="79" s="1"/>
  <c r="Z380" i="79"/>
  <c r="R380" i="79"/>
  <c r="BL380" i="79" s="1"/>
  <c r="J380" i="79"/>
  <c r="BK379" i="79"/>
  <c r="BE379" i="79"/>
  <c r="AP379" i="79"/>
  <c r="BO379" i="79" s="1"/>
  <c r="AH379" i="79"/>
  <c r="BH379" i="79" s="1"/>
  <c r="Z379" i="79"/>
  <c r="BM379" i="79" s="1"/>
  <c r="R379" i="79"/>
  <c r="BL379" i="79" s="1"/>
  <c r="J379" i="79"/>
  <c r="BK378" i="79"/>
  <c r="BE378" i="79"/>
  <c r="AP378" i="79"/>
  <c r="BO378" i="79" s="1"/>
  <c r="AH378" i="79"/>
  <c r="BH378" i="79" s="1"/>
  <c r="Z378" i="79"/>
  <c r="BM378" i="79" s="1"/>
  <c r="R378" i="79"/>
  <c r="BL378" i="79" s="1"/>
  <c r="J378" i="79"/>
  <c r="BK377" i="79"/>
  <c r="BE377" i="79"/>
  <c r="AP377" i="79"/>
  <c r="AH377" i="79"/>
  <c r="BH377" i="79" s="1"/>
  <c r="Z377" i="79"/>
  <c r="BM377" i="79" s="1"/>
  <c r="R377" i="79"/>
  <c r="J377" i="79"/>
  <c r="BK376" i="79"/>
  <c r="BE376" i="79"/>
  <c r="AP376" i="79"/>
  <c r="BI376" i="79" s="1"/>
  <c r="AH376" i="79"/>
  <c r="BH376" i="79" s="1"/>
  <c r="Z376" i="79"/>
  <c r="BM376" i="79" s="1"/>
  <c r="R376" i="79"/>
  <c r="BL376" i="79" s="1"/>
  <c r="J376" i="79"/>
  <c r="BK375" i="79"/>
  <c r="BE375" i="79"/>
  <c r="AP375" i="79"/>
  <c r="BO375" i="79" s="1"/>
  <c r="AH375" i="79"/>
  <c r="BH375" i="79" s="1"/>
  <c r="Z375" i="79"/>
  <c r="BM375" i="79" s="1"/>
  <c r="R375" i="79"/>
  <c r="BL375" i="79" s="1"/>
  <c r="J375" i="79"/>
  <c r="BK374" i="79"/>
  <c r="BE374" i="79"/>
  <c r="AP374" i="79"/>
  <c r="BO374" i="79" s="1"/>
  <c r="AH374" i="79"/>
  <c r="BH374" i="79" s="1"/>
  <c r="Z374" i="79"/>
  <c r="R374" i="79"/>
  <c r="BL374" i="79" s="1"/>
  <c r="J374" i="79"/>
  <c r="BK373" i="79"/>
  <c r="BE373" i="79"/>
  <c r="AP373" i="79"/>
  <c r="BI373" i="79" s="1"/>
  <c r="AH373" i="79"/>
  <c r="BH373" i="79" s="1"/>
  <c r="Z373" i="79"/>
  <c r="BM373" i="79" s="1"/>
  <c r="R373" i="79"/>
  <c r="BL373" i="79" s="1"/>
  <c r="J373" i="79"/>
  <c r="BK372" i="79"/>
  <c r="BE372" i="79"/>
  <c r="AP372" i="79"/>
  <c r="BO372" i="79" s="1"/>
  <c r="AH372" i="79"/>
  <c r="BH372" i="79" s="1"/>
  <c r="Z372" i="79"/>
  <c r="BM372" i="79" s="1"/>
  <c r="R372" i="79"/>
  <c r="BL372" i="79" s="1"/>
  <c r="J372" i="79"/>
  <c r="BK371" i="79"/>
  <c r="BE371" i="79"/>
  <c r="AP371" i="79"/>
  <c r="BO371" i="79" s="1"/>
  <c r="AH371" i="79"/>
  <c r="BH371" i="79" s="1"/>
  <c r="Z371" i="79"/>
  <c r="R371" i="79"/>
  <c r="BL371" i="79" s="1"/>
  <c r="J371" i="79"/>
  <c r="BK370" i="79"/>
  <c r="BE370" i="79"/>
  <c r="AP370" i="79"/>
  <c r="AH370" i="79"/>
  <c r="BH370" i="79" s="1"/>
  <c r="Z370" i="79"/>
  <c r="BM370" i="79" s="1"/>
  <c r="R370" i="79"/>
  <c r="J370" i="79"/>
  <c r="BK369" i="79"/>
  <c r="BE369" i="79"/>
  <c r="AP369" i="79"/>
  <c r="BO369" i="79" s="1"/>
  <c r="AH369" i="79"/>
  <c r="BH369" i="79" s="1"/>
  <c r="Z369" i="79"/>
  <c r="BM369" i="79" s="1"/>
  <c r="R369" i="79"/>
  <c r="BL369" i="79" s="1"/>
  <c r="J369" i="79"/>
  <c r="BK368" i="79"/>
  <c r="BE368" i="79"/>
  <c r="AP368" i="79"/>
  <c r="BI368" i="79" s="1"/>
  <c r="AH368" i="79"/>
  <c r="BH368" i="79" s="1"/>
  <c r="Z368" i="79"/>
  <c r="BM368" i="79" s="1"/>
  <c r="R368" i="79"/>
  <c r="BL368" i="79" s="1"/>
  <c r="J368" i="79"/>
  <c r="BK367" i="79"/>
  <c r="BE367" i="79"/>
  <c r="AP367" i="79"/>
  <c r="AH367" i="79"/>
  <c r="Z367" i="79"/>
  <c r="R367" i="79"/>
  <c r="BL367" i="79" s="1"/>
  <c r="J367" i="79"/>
  <c r="BK366" i="79"/>
  <c r="BE366" i="79"/>
  <c r="AP366" i="79"/>
  <c r="BO366" i="79" s="1"/>
  <c r="AH366" i="79"/>
  <c r="Z366" i="79"/>
  <c r="BM366" i="79" s="1"/>
  <c r="R366" i="79"/>
  <c r="BL366" i="79" s="1"/>
  <c r="J366" i="79"/>
  <c r="BK365" i="79"/>
  <c r="BE365" i="79"/>
  <c r="AP365" i="79"/>
  <c r="BO365" i="79" s="1"/>
  <c r="AH365" i="79"/>
  <c r="Z365" i="79"/>
  <c r="R365" i="79"/>
  <c r="BL365" i="79" s="1"/>
  <c r="J365" i="79"/>
  <c r="BK364" i="79"/>
  <c r="BE364" i="79"/>
  <c r="AP364" i="79"/>
  <c r="AH364" i="79"/>
  <c r="Z364" i="79"/>
  <c r="R364" i="79"/>
  <c r="BL364" i="79" s="1"/>
  <c r="J364" i="79"/>
  <c r="BK363" i="79"/>
  <c r="BE363" i="79"/>
  <c r="AP363" i="79"/>
  <c r="AH363" i="79"/>
  <c r="Z363" i="79"/>
  <c r="R363" i="79"/>
  <c r="BL363" i="79" s="1"/>
  <c r="J363" i="79"/>
  <c r="BK362" i="79"/>
  <c r="BE362" i="79"/>
  <c r="AP362" i="79"/>
  <c r="BO362" i="79" s="1"/>
  <c r="AH362" i="79"/>
  <c r="Z362" i="79"/>
  <c r="BM362" i="79" s="1"/>
  <c r="R362" i="79"/>
  <c r="J362" i="79"/>
  <c r="BK361" i="79"/>
  <c r="BE361" i="79"/>
  <c r="AP361" i="79"/>
  <c r="AH361" i="79"/>
  <c r="Z361" i="79"/>
  <c r="R361" i="79"/>
  <c r="BL361" i="79" s="1"/>
  <c r="J361" i="79"/>
  <c r="BK360" i="79"/>
  <c r="BE360" i="79"/>
  <c r="AP360" i="79"/>
  <c r="AH360" i="79"/>
  <c r="Z360" i="79"/>
  <c r="BM360" i="79" s="1"/>
  <c r="R360" i="79"/>
  <c r="BL360" i="79" s="1"/>
  <c r="J360" i="79"/>
  <c r="BK359" i="79"/>
  <c r="BE359" i="79"/>
  <c r="AP359" i="79"/>
  <c r="BO359" i="79" s="1"/>
  <c r="AH359" i="79"/>
  <c r="Z359" i="79"/>
  <c r="BM359" i="79" s="1"/>
  <c r="R359" i="79"/>
  <c r="BL359" i="79" s="1"/>
  <c r="J359" i="79"/>
  <c r="BK358" i="79"/>
  <c r="BE358" i="79"/>
  <c r="AP358" i="79"/>
  <c r="BI358" i="79" s="1"/>
  <c r="AH358" i="79"/>
  <c r="Z358" i="79"/>
  <c r="BM358" i="79" s="1"/>
  <c r="R358" i="79"/>
  <c r="J358" i="79"/>
  <c r="BK357" i="79"/>
  <c r="BE357" i="79"/>
  <c r="AP357" i="79"/>
  <c r="BI357" i="79" s="1"/>
  <c r="AH357" i="79"/>
  <c r="Z357" i="79"/>
  <c r="R357" i="79"/>
  <c r="BL357" i="79" s="1"/>
  <c r="J357" i="79"/>
  <c r="BK356" i="79"/>
  <c r="BE356" i="79"/>
  <c r="AP356" i="79"/>
  <c r="BO356" i="79" s="1"/>
  <c r="AH356" i="79"/>
  <c r="Z356" i="79"/>
  <c r="BM356" i="79" s="1"/>
  <c r="R356" i="79"/>
  <c r="BL356" i="79" s="1"/>
  <c r="J356" i="79"/>
  <c r="BK355" i="79"/>
  <c r="BE355" i="79"/>
  <c r="AP355" i="79"/>
  <c r="AH355" i="79"/>
  <c r="Z355" i="79"/>
  <c r="R355" i="79"/>
  <c r="BL355" i="79" s="1"/>
  <c r="J355" i="79"/>
  <c r="BK354" i="79"/>
  <c r="BE354" i="79"/>
  <c r="AP354" i="79"/>
  <c r="AH354" i="79"/>
  <c r="Z354" i="79"/>
  <c r="BM354" i="79" s="1"/>
  <c r="R354" i="79"/>
  <c r="BF354" i="79" s="1"/>
  <c r="J354" i="79"/>
  <c r="BK353" i="79"/>
  <c r="BE353" i="79"/>
  <c r="AP353" i="79"/>
  <c r="BO353" i="79" s="1"/>
  <c r="AH353" i="79"/>
  <c r="Z353" i="79"/>
  <c r="BM353" i="79" s="1"/>
  <c r="R353" i="79"/>
  <c r="J353" i="79"/>
  <c r="BK352" i="79"/>
  <c r="BE352" i="79"/>
  <c r="AP352" i="79"/>
  <c r="AH352" i="79"/>
  <c r="Z352" i="79"/>
  <c r="R352" i="79"/>
  <c r="BF352" i="79" s="1"/>
  <c r="J352" i="79"/>
  <c r="BK351" i="79"/>
  <c r="BE351" i="79"/>
  <c r="AP351" i="79"/>
  <c r="BI351" i="79" s="1"/>
  <c r="AH351" i="79"/>
  <c r="Z351" i="79"/>
  <c r="R351" i="79"/>
  <c r="BL351" i="79" s="1"/>
  <c r="J351" i="79"/>
  <c r="BK350" i="79"/>
  <c r="BE350" i="79"/>
  <c r="AP350" i="79"/>
  <c r="BO350" i="79" s="1"/>
  <c r="AH350" i="79"/>
  <c r="Z350" i="79"/>
  <c r="BM350" i="79" s="1"/>
  <c r="R350" i="79"/>
  <c r="BF350" i="79" s="1"/>
  <c r="J350" i="79"/>
  <c r="BK349" i="79"/>
  <c r="BE349" i="79"/>
  <c r="AP349" i="79"/>
  <c r="BO349" i="79" s="1"/>
  <c r="AH349" i="79"/>
  <c r="Z349" i="79"/>
  <c r="BM349" i="79" s="1"/>
  <c r="R349" i="79"/>
  <c r="BL349" i="79" s="1"/>
  <c r="J349" i="79"/>
  <c r="BK348" i="79"/>
  <c r="BE348" i="79"/>
  <c r="AP348" i="79"/>
  <c r="BO348" i="79" s="1"/>
  <c r="AH348" i="79"/>
  <c r="Z348" i="79"/>
  <c r="BM348" i="79" s="1"/>
  <c r="R348" i="79"/>
  <c r="J348" i="79"/>
  <c r="BK347" i="79"/>
  <c r="BE347" i="79"/>
  <c r="AP347" i="79"/>
  <c r="BI347" i="79" s="1"/>
  <c r="AH347" i="79"/>
  <c r="BH347" i="79" s="1"/>
  <c r="Z347" i="79"/>
  <c r="BM347" i="79" s="1"/>
  <c r="R347" i="79"/>
  <c r="J347" i="79"/>
  <c r="BK346" i="79"/>
  <c r="BE346" i="79"/>
  <c r="AP346" i="79"/>
  <c r="BI346" i="79" s="1"/>
  <c r="AH346" i="79"/>
  <c r="BN346" i="79" s="1"/>
  <c r="Z346" i="79"/>
  <c r="BM346" i="79" s="1"/>
  <c r="R346" i="79"/>
  <c r="BL346" i="79" s="1"/>
  <c r="J346" i="79"/>
  <c r="BK345" i="79"/>
  <c r="BE345" i="79"/>
  <c r="AP345" i="79"/>
  <c r="AH345" i="79"/>
  <c r="Z345" i="79"/>
  <c r="BM345" i="79" s="1"/>
  <c r="R345" i="79"/>
  <c r="J345" i="79"/>
  <c r="BK344" i="79"/>
  <c r="BE344" i="79"/>
  <c r="AP344" i="79"/>
  <c r="BI344" i="79" s="1"/>
  <c r="AH344" i="79"/>
  <c r="BN344" i="79" s="1"/>
  <c r="Z344" i="79"/>
  <c r="R344" i="79"/>
  <c r="BL344" i="79" s="1"/>
  <c r="J344" i="79"/>
  <c r="BK343" i="79"/>
  <c r="BE343" i="79"/>
  <c r="AP343" i="79"/>
  <c r="BI343" i="79" s="1"/>
  <c r="AH343" i="79"/>
  <c r="BH343" i="79" s="1"/>
  <c r="Z343" i="79"/>
  <c r="BM343" i="79" s="1"/>
  <c r="R343" i="79"/>
  <c r="BL343" i="79" s="1"/>
  <c r="J343" i="79"/>
  <c r="BK342" i="79"/>
  <c r="BE342" i="79"/>
  <c r="AP342" i="79"/>
  <c r="BI342" i="79" s="1"/>
  <c r="AH342" i="79"/>
  <c r="Z342" i="79"/>
  <c r="R342" i="79"/>
  <c r="BF342" i="79" s="1"/>
  <c r="J342" i="79"/>
  <c r="BK341" i="79"/>
  <c r="BE341" i="79"/>
  <c r="AP341" i="79"/>
  <c r="BI341" i="79" s="1"/>
  <c r="AH341" i="79"/>
  <c r="BN341" i="79" s="1"/>
  <c r="Z341" i="79"/>
  <c r="BM341" i="79" s="1"/>
  <c r="R341" i="79"/>
  <c r="J341" i="79"/>
  <c r="BK340" i="79"/>
  <c r="BE340" i="79"/>
  <c r="AP340" i="79"/>
  <c r="BI340" i="79" s="1"/>
  <c r="AH340" i="79"/>
  <c r="BN340" i="79" s="1"/>
  <c r="Z340" i="79"/>
  <c r="R340" i="79"/>
  <c r="BL340" i="79" s="1"/>
  <c r="J340" i="79"/>
  <c r="BK339" i="79"/>
  <c r="BE339" i="79"/>
  <c r="AP339" i="79"/>
  <c r="BI339" i="79" s="1"/>
  <c r="AH339" i="79"/>
  <c r="BH339" i="79" s="1"/>
  <c r="Z339" i="79"/>
  <c r="R339" i="79"/>
  <c r="J339" i="79"/>
  <c r="BK338" i="79"/>
  <c r="BE338" i="79"/>
  <c r="AP338" i="79"/>
  <c r="AH338" i="79"/>
  <c r="BN338" i="79" s="1"/>
  <c r="Z338" i="79"/>
  <c r="BM338" i="79" s="1"/>
  <c r="R338" i="79"/>
  <c r="BL338" i="79" s="1"/>
  <c r="J338" i="79"/>
  <c r="BK337" i="79"/>
  <c r="BE337" i="79"/>
  <c r="AP337" i="79"/>
  <c r="BI337" i="79" s="1"/>
  <c r="AH337" i="79"/>
  <c r="BH337" i="79" s="1"/>
  <c r="Z337" i="79"/>
  <c r="BM337" i="79" s="1"/>
  <c r="R337" i="79"/>
  <c r="J337" i="79"/>
  <c r="BK336" i="79"/>
  <c r="BE336" i="79"/>
  <c r="AP336" i="79"/>
  <c r="BI336" i="79" s="1"/>
  <c r="AH336" i="79"/>
  <c r="BN336" i="79" s="1"/>
  <c r="Z336" i="79"/>
  <c r="R336" i="79"/>
  <c r="BF336" i="79" s="1"/>
  <c r="J336" i="79"/>
  <c r="BK335" i="79"/>
  <c r="BE335" i="79"/>
  <c r="AP335" i="79"/>
  <c r="BI335" i="79" s="1"/>
  <c r="AH335" i="79"/>
  <c r="Z335" i="79"/>
  <c r="BM335" i="79" s="1"/>
  <c r="R335" i="79"/>
  <c r="BL335" i="79" s="1"/>
  <c r="J335" i="79"/>
  <c r="BK334" i="79"/>
  <c r="BE334" i="79"/>
  <c r="AP334" i="79"/>
  <c r="BI334" i="79" s="1"/>
  <c r="AH334" i="79"/>
  <c r="BN334" i="79" s="1"/>
  <c r="Z334" i="79"/>
  <c r="R334" i="79"/>
  <c r="BL334" i="79" s="1"/>
  <c r="J334" i="79"/>
  <c r="BK333" i="79"/>
  <c r="BE333" i="79"/>
  <c r="AP333" i="79"/>
  <c r="BI333" i="79" s="1"/>
  <c r="AH333" i="79"/>
  <c r="BN333" i="79" s="1"/>
  <c r="Z333" i="79"/>
  <c r="BM333" i="79" s="1"/>
  <c r="R333" i="79"/>
  <c r="J333" i="79"/>
  <c r="BK332" i="79"/>
  <c r="BE332" i="79"/>
  <c r="AP332" i="79"/>
  <c r="BI332" i="79" s="1"/>
  <c r="AH332" i="79"/>
  <c r="BN332" i="79" s="1"/>
  <c r="Z332" i="79"/>
  <c r="R332" i="79"/>
  <c r="BF332" i="79" s="1"/>
  <c r="J332" i="79"/>
  <c r="BK331" i="79"/>
  <c r="BE331" i="79"/>
  <c r="AP331" i="79"/>
  <c r="BI331" i="79" s="1"/>
  <c r="AH331" i="79"/>
  <c r="BH331" i="79" s="1"/>
  <c r="Z331" i="79"/>
  <c r="BM331" i="79" s="1"/>
  <c r="R331" i="79"/>
  <c r="BF331" i="79" s="1"/>
  <c r="J331" i="79"/>
  <c r="BK330" i="79"/>
  <c r="BE330" i="79"/>
  <c r="AP330" i="79"/>
  <c r="BI330" i="79" s="1"/>
  <c r="AH330" i="79"/>
  <c r="BH330" i="79" s="1"/>
  <c r="Z330" i="79"/>
  <c r="R330" i="79"/>
  <c r="BF330" i="79" s="1"/>
  <c r="J330" i="79"/>
  <c r="BK329" i="79"/>
  <c r="BE329" i="79"/>
  <c r="AP329" i="79"/>
  <c r="BI329" i="79" s="1"/>
  <c r="AH329" i="79"/>
  <c r="BN329" i="79" s="1"/>
  <c r="Z329" i="79"/>
  <c r="BM329" i="79" s="1"/>
  <c r="R329" i="79"/>
  <c r="BL329" i="79" s="1"/>
  <c r="J329" i="79"/>
  <c r="BK328" i="79"/>
  <c r="BE328" i="79"/>
  <c r="AP328" i="79"/>
  <c r="BI328" i="79" s="1"/>
  <c r="AH328" i="79"/>
  <c r="BH328" i="79" s="1"/>
  <c r="Z328" i="79"/>
  <c r="BM328" i="79" s="1"/>
  <c r="R328" i="79"/>
  <c r="BL328" i="79" s="1"/>
  <c r="J328" i="79"/>
  <c r="BK327" i="79"/>
  <c r="BE327" i="79"/>
  <c r="AP327" i="79"/>
  <c r="BI327" i="79" s="1"/>
  <c r="AH327" i="79"/>
  <c r="BN327" i="79" s="1"/>
  <c r="Z327" i="79"/>
  <c r="BM327" i="79" s="1"/>
  <c r="R327" i="79"/>
  <c r="BL327" i="79" s="1"/>
  <c r="J327" i="79"/>
  <c r="BK326" i="79"/>
  <c r="BE326" i="79"/>
  <c r="AP326" i="79"/>
  <c r="BI326" i="79" s="1"/>
  <c r="AH326" i="79"/>
  <c r="BH326" i="79" s="1"/>
  <c r="Z326" i="79"/>
  <c r="BM326" i="79" s="1"/>
  <c r="R326" i="79"/>
  <c r="BL326" i="79" s="1"/>
  <c r="J326" i="79"/>
  <c r="BK325" i="79"/>
  <c r="BE325" i="79"/>
  <c r="AP325" i="79"/>
  <c r="BI325" i="79" s="1"/>
  <c r="AH325" i="79"/>
  <c r="BN325" i="79" s="1"/>
  <c r="Z325" i="79"/>
  <c r="BM325" i="79" s="1"/>
  <c r="R325" i="79"/>
  <c r="BL325" i="79" s="1"/>
  <c r="J325" i="79"/>
  <c r="BK324" i="79"/>
  <c r="BE324" i="79"/>
  <c r="AP324" i="79"/>
  <c r="BI324" i="79" s="1"/>
  <c r="AH324" i="79"/>
  <c r="BH324" i="79" s="1"/>
  <c r="Z324" i="79"/>
  <c r="BM324" i="79" s="1"/>
  <c r="R324" i="79"/>
  <c r="BL324" i="79" s="1"/>
  <c r="J324" i="79"/>
  <c r="BK323" i="79"/>
  <c r="BE323" i="79"/>
  <c r="AP323" i="79"/>
  <c r="BI323" i="79" s="1"/>
  <c r="AH323" i="79"/>
  <c r="BN323" i="79" s="1"/>
  <c r="Z323" i="79"/>
  <c r="BM323" i="79" s="1"/>
  <c r="R323" i="79"/>
  <c r="BL323" i="79" s="1"/>
  <c r="J323" i="79"/>
  <c r="BK322" i="79"/>
  <c r="BE322" i="79"/>
  <c r="AP322" i="79"/>
  <c r="BI322" i="79" s="1"/>
  <c r="AH322" i="79"/>
  <c r="BH322" i="79" s="1"/>
  <c r="Z322" i="79"/>
  <c r="BM322" i="79" s="1"/>
  <c r="R322" i="79"/>
  <c r="BL322" i="79" s="1"/>
  <c r="J322" i="79"/>
  <c r="BK321" i="79"/>
  <c r="BE321" i="79"/>
  <c r="AP321" i="79"/>
  <c r="BI321" i="79" s="1"/>
  <c r="AH321" i="79"/>
  <c r="BN321" i="79" s="1"/>
  <c r="Z321" i="79"/>
  <c r="BM321" i="79" s="1"/>
  <c r="R321" i="79"/>
  <c r="BL321" i="79" s="1"/>
  <c r="J321" i="79"/>
  <c r="BK320" i="79"/>
  <c r="BE320" i="79"/>
  <c r="AP320" i="79"/>
  <c r="BI320" i="79" s="1"/>
  <c r="AH320" i="79"/>
  <c r="BH320" i="79" s="1"/>
  <c r="Z320" i="79"/>
  <c r="BM320" i="79" s="1"/>
  <c r="R320" i="79"/>
  <c r="BL320" i="79" s="1"/>
  <c r="J320" i="79"/>
  <c r="BK319" i="79"/>
  <c r="BE319" i="79"/>
  <c r="AP319" i="79"/>
  <c r="BI319" i="79" s="1"/>
  <c r="AH319" i="79"/>
  <c r="BN319" i="79" s="1"/>
  <c r="Z319" i="79"/>
  <c r="BM319" i="79" s="1"/>
  <c r="R319" i="79"/>
  <c r="BL319" i="79" s="1"/>
  <c r="J319" i="79"/>
  <c r="BK318" i="79"/>
  <c r="BE318" i="79"/>
  <c r="AP318" i="79"/>
  <c r="BI318" i="79" s="1"/>
  <c r="AH318" i="79"/>
  <c r="BH318" i="79" s="1"/>
  <c r="Z318" i="79"/>
  <c r="BM318" i="79" s="1"/>
  <c r="R318" i="79"/>
  <c r="BL318" i="79" s="1"/>
  <c r="J318" i="79"/>
  <c r="BK317" i="79"/>
  <c r="BE317" i="79"/>
  <c r="AP317" i="79"/>
  <c r="BI317" i="79" s="1"/>
  <c r="AH317" i="79"/>
  <c r="BN317" i="79" s="1"/>
  <c r="Z317" i="79"/>
  <c r="BM317" i="79" s="1"/>
  <c r="R317" i="79"/>
  <c r="BL317" i="79" s="1"/>
  <c r="J317" i="79"/>
  <c r="BK316" i="79"/>
  <c r="BE316" i="79"/>
  <c r="AP316" i="79"/>
  <c r="BI316" i="79" s="1"/>
  <c r="AH316" i="79"/>
  <c r="BH316" i="79" s="1"/>
  <c r="Z316" i="79"/>
  <c r="BM316" i="79" s="1"/>
  <c r="R316" i="79"/>
  <c r="BL316" i="79" s="1"/>
  <c r="J316" i="79"/>
  <c r="BK315" i="79"/>
  <c r="BE315" i="79"/>
  <c r="AP315" i="79"/>
  <c r="BI315" i="79" s="1"/>
  <c r="AH315" i="79"/>
  <c r="BN315" i="79" s="1"/>
  <c r="Z315" i="79"/>
  <c r="BM315" i="79" s="1"/>
  <c r="R315" i="79"/>
  <c r="BL315" i="79" s="1"/>
  <c r="J315" i="79"/>
  <c r="BK314" i="79"/>
  <c r="BE314" i="79"/>
  <c r="AP314" i="79"/>
  <c r="BI314" i="79" s="1"/>
  <c r="AH314" i="79"/>
  <c r="BH314" i="79" s="1"/>
  <c r="Z314" i="79"/>
  <c r="BM314" i="79" s="1"/>
  <c r="R314" i="79"/>
  <c r="BL314" i="79" s="1"/>
  <c r="J314" i="79"/>
  <c r="BK313" i="79"/>
  <c r="BE313" i="79"/>
  <c r="AP313" i="79"/>
  <c r="BI313" i="79" s="1"/>
  <c r="AH313" i="79"/>
  <c r="BN313" i="79" s="1"/>
  <c r="Z313" i="79"/>
  <c r="BM313" i="79" s="1"/>
  <c r="R313" i="79"/>
  <c r="BL313" i="79" s="1"/>
  <c r="J313" i="79"/>
  <c r="BK312" i="79"/>
  <c r="BE312" i="79"/>
  <c r="AP312" i="79"/>
  <c r="BI312" i="79" s="1"/>
  <c r="AH312" i="79"/>
  <c r="BH312" i="79" s="1"/>
  <c r="Z312" i="79"/>
  <c r="BM312" i="79" s="1"/>
  <c r="R312" i="79"/>
  <c r="J312" i="79"/>
  <c r="BK311" i="79"/>
  <c r="BE311" i="79"/>
  <c r="AP311" i="79"/>
  <c r="BI311" i="79" s="1"/>
  <c r="AH311" i="79"/>
  <c r="BN311" i="79" s="1"/>
  <c r="Z311" i="79"/>
  <c r="BM311" i="79" s="1"/>
  <c r="R311" i="79"/>
  <c r="BL311" i="79" s="1"/>
  <c r="J311" i="79"/>
  <c r="BK310" i="79"/>
  <c r="BE310" i="79"/>
  <c r="AP310" i="79"/>
  <c r="BI310" i="79" s="1"/>
  <c r="AH310" i="79"/>
  <c r="BN310" i="79" s="1"/>
  <c r="Z310" i="79"/>
  <c r="BM310" i="79" s="1"/>
  <c r="R310" i="79"/>
  <c r="BF310" i="79" s="1"/>
  <c r="J310" i="79"/>
  <c r="BK309" i="79"/>
  <c r="BE309" i="79"/>
  <c r="AP309" i="79"/>
  <c r="BI309" i="79" s="1"/>
  <c r="AH309" i="79"/>
  <c r="BH309" i="79" s="1"/>
  <c r="Z309" i="79"/>
  <c r="BM309" i="79" s="1"/>
  <c r="R309" i="79"/>
  <c r="BL309" i="79" s="1"/>
  <c r="J309" i="79"/>
  <c r="BK308" i="79"/>
  <c r="BE308" i="79"/>
  <c r="AP308" i="79"/>
  <c r="BI308" i="79" s="1"/>
  <c r="AH308" i="79"/>
  <c r="BN308" i="79" s="1"/>
  <c r="Z308" i="79"/>
  <c r="BM308" i="79" s="1"/>
  <c r="R308" i="79"/>
  <c r="BL308" i="79" s="1"/>
  <c r="J308" i="79"/>
  <c r="BK307" i="79"/>
  <c r="BE307" i="79"/>
  <c r="AP307" i="79"/>
  <c r="BI307" i="79" s="1"/>
  <c r="AH307" i="79"/>
  <c r="BH307" i="79" s="1"/>
  <c r="Z307" i="79"/>
  <c r="BM307" i="79" s="1"/>
  <c r="R307" i="79"/>
  <c r="BF307" i="79" s="1"/>
  <c r="J307" i="79"/>
  <c r="BK306" i="79"/>
  <c r="BE306" i="79"/>
  <c r="AP306" i="79"/>
  <c r="BI306" i="79" s="1"/>
  <c r="AH306" i="79"/>
  <c r="Z306" i="79"/>
  <c r="BM306" i="79" s="1"/>
  <c r="R306" i="79"/>
  <c r="BL306" i="79" s="1"/>
  <c r="J306" i="79"/>
  <c r="BK305" i="79"/>
  <c r="BE305" i="79"/>
  <c r="AP305" i="79"/>
  <c r="BI305" i="79" s="1"/>
  <c r="AH305" i="79"/>
  <c r="BN305" i="79" s="1"/>
  <c r="Z305" i="79"/>
  <c r="R305" i="79"/>
  <c r="BL305" i="79" s="1"/>
  <c r="J305" i="79"/>
  <c r="BK304" i="79"/>
  <c r="BE304" i="79"/>
  <c r="AP304" i="79"/>
  <c r="BI304" i="79" s="1"/>
  <c r="AH304" i="79"/>
  <c r="BH304" i="79" s="1"/>
  <c r="Z304" i="79"/>
  <c r="BG304" i="79" s="1"/>
  <c r="R304" i="79"/>
  <c r="BL304" i="79" s="1"/>
  <c r="J304" i="79"/>
  <c r="BK303" i="79"/>
  <c r="BE303" i="79"/>
  <c r="AP303" i="79"/>
  <c r="BI303" i="79" s="1"/>
  <c r="AH303" i="79"/>
  <c r="BH303" i="79" s="1"/>
  <c r="Z303" i="79"/>
  <c r="BG303" i="79" s="1"/>
  <c r="R303" i="79"/>
  <c r="BL303" i="79" s="1"/>
  <c r="J303" i="79"/>
  <c r="BK302" i="79"/>
  <c r="BE302" i="79"/>
  <c r="AP302" i="79"/>
  <c r="BI302" i="79" s="1"/>
  <c r="AH302" i="79"/>
  <c r="BH302" i="79" s="1"/>
  <c r="Z302" i="79"/>
  <c r="BG302" i="79" s="1"/>
  <c r="R302" i="79"/>
  <c r="J302" i="79"/>
  <c r="BK301" i="79"/>
  <c r="BE301" i="79"/>
  <c r="AP301" i="79"/>
  <c r="BI301" i="79" s="1"/>
  <c r="AH301" i="79"/>
  <c r="BH301" i="79" s="1"/>
  <c r="Z301" i="79"/>
  <c r="BG301" i="79" s="1"/>
  <c r="R301" i="79"/>
  <c r="J301" i="79"/>
  <c r="BK300" i="79"/>
  <c r="BE300" i="79"/>
  <c r="AP300" i="79"/>
  <c r="BI300" i="79" s="1"/>
  <c r="AH300" i="79"/>
  <c r="Z300" i="79"/>
  <c r="BG300" i="79" s="1"/>
  <c r="R300" i="79"/>
  <c r="J300" i="79"/>
  <c r="BK299" i="79"/>
  <c r="BE299" i="79"/>
  <c r="AP299" i="79"/>
  <c r="BI299" i="79" s="1"/>
  <c r="AH299" i="79"/>
  <c r="Z299" i="79"/>
  <c r="BG299" i="79" s="1"/>
  <c r="R299" i="79"/>
  <c r="BL299" i="79" s="1"/>
  <c r="J299" i="79"/>
  <c r="BK298" i="79"/>
  <c r="BE298" i="79"/>
  <c r="AP298" i="79"/>
  <c r="BI298" i="79" s="1"/>
  <c r="AH298" i="79"/>
  <c r="Z298" i="79"/>
  <c r="BG298" i="79" s="1"/>
  <c r="R298" i="79"/>
  <c r="BL298" i="79" s="1"/>
  <c r="J298" i="79"/>
  <c r="BK297" i="79"/>
  <c r="BE297" i="79"/>
  <c r="AP297" i="79"/>
  <c r="BI297" i="79" s="1"/>
  <c r="AH297" i="79"/>
  <c r="BH297" i="79" s="1"/>
  <c r="Z297" i="79"/>
  <c r="BG297" i="79" s="1"/>
  <c r="R297" i="79"/>
  <c r="BL297" i="79" s="1"/>
  <c r="J297" i="79"/>
  <c r="BK296" i="79"/>
  <c r="BE296" i="79"/>
  <c r="AP296" i="79"/>
  <c r="BI296" i="79" s="1"/>
  <c r="AH296" i="79"/>
  <c r="BH296" i="79" s="1"/>
  <c r="Z296" i="79"/>
  <c r="BG296" i="79" s="1"/>
  <c r="R296" i="79"/>
  <c r="BL296" i="79" s="1"/>
  <c r="J296" i="79"/>
  <c r="BK295" i="79"/>
  <c r="BE295" i="79"/>
  <c r="AP295" i="79"/>
  <c r="BI295" i="79" s="1"/>
  <c r="AH295" i="79"/>
  <c r="BH295" i="79" s="1"/>
  <c r="Z295" i="79"/>
  <c r="BG295" i="79" s="1"/>
  <c r="R295" i="79"/>
  <c r="BL295" i="79" s="1"/>
  <c r="J295" i="79"/>
  <c r="BK294" i="79"/>
  <c r="BE294" i="79"/>
  <c r="AP294" i="79"/>
  <c r="BI294" i="79" s="1"/>
  <c r="AH294" i="79"/>
  <c r="BH294" i="79" s="1"/>
  <c r="Z294" i="79"/>
  <c r="BG294" i="79" s="1"/>
  <c r="R294" i="79"/>
  <c r="J294" i="79"/>
  <c r="BK293" i="79"/>
  <c r="BE293" i="79"/>
  <c r="AP293" i="79"/>
  <c r="BI293" i="79" s="1"/>
  <c r="AH293" i="79"/>
  <c r="BH293" i="79" s="1"/>
  <c r="Z293" i="79"/>
  <c r="BG293" i="79" s="1"/>
  <c r="R293" i="79"/>
  <c r="J293" i="79"/>
  <c r="BK292" i="79"/>
  <c r="BE292" i="79"/>
  <c r="AP292" i="79"/>
  <c r="BI292" i="79" s="1"/>
  <c r="AH292" i="79"/>
  <c r="Z292" i="79"/>
  <c r="BG292" i="79" s="1"/>
  <c r="R292" i="79"/>
  <c r="J292" i="79"/>
  <c r="BK291" i="79"/>
  <c r="BE291" i="79"/>
  <c r="AP291" i="79"/>
  <c r="BI291" i="79" s="1"/>
  <c r="AH291" i="79"/>
  <c r="Z291" i="79"/>
  <c r="BG291" i="79" s="1"/>
  <c r="R291" i="79"/>
  <c r="BL291" i="79" s="1"/>
  <c r="J291" i="79"/>
  <c r="BK290" i="79"/>
  <c r="BE290" i="79"/>
  <c r="AP290" i="79"/>
  <c r="AH290" i="79"/>
  <c r="Z290" i="79"/>
  <c r="BG290" i="79" s="1"/>
  <c r="R290" i="79"/>
  <c r="BL290" i="79" s="1"/>
  <c r="J290" i="79"/>
  <c r="BK289" i="79"/>
  <c r="BE289" i="79"/>
  <c r="AP289" i="79"/>
  <c r="AH289" i="79"/>
  <c r="Z289" i="79"/>
  <c r="BG289" i="79" s="1"/>
  <c r="R289" i="79"/>
  <c r="BL289" i="79" s="1"/>
  <c r="J289" i="79"/>
  <c r="BK288" i="79"/>
  <c r="BE288" i="79"/>
  <c r="AP288" i="79"/>
  <c r="AH288" i="79"/>
  <c r="Z288" i="79"/>
  <c r="BG288" i="79" s="1"/>
  <c r="R288" i="79"/>
  <c r="BL288" i="79" s="1"/>
  <c r="J288" i="79"/>
  <c r="BK287" i="79"/>
  <c r="BE287" i="79"/>
  <c r="AP287" i="79"/>
  <c r="AH287" i="79"/>
  <c r="Z287" i="79"/>
  <c r="BG287" i="79" s="1"/>
  <c r="R287" i="79"/>
  <c r="BL287" i="79" s="1"/>
  <c r="J287" i="79"/>
  <c r="BK286" i="79"/>
  <c r="BE286" i="79"/>
  <c r="AP286" i="79"/>
  <c r="AH286" i="79"/>
  <c r="Z286" i="79"/>
  <c r="BG286" i="79" s="1"/>
  <c r="R286" i="79"/>
  <c r="BL286" i="79" s="1"/>
  <c r="J286" i="79"/>
  <c r="BK285" i="79"/>
  <c r="BE285" i="79"/>
  <c r="AP285" i="79"/>
  <c r="AH285" i="79"/>
  <c r="Z285" i="79"/>
  <c r="BG285" i="79" s="1"/>
  <c r="R285" i="79"/>
  <c r="BL285" i="79" s="1"/>
  <c r="J285" i="79"/>
  <c r="BK284" i="79"/>
  <c r="BE284" i="79"/>
  <c r="AP284" i="79"/>
  <c r="AH284" i="79"/>
  <c r="Z284" i="79"/>
  <c r="BG284" i="79" s="1"/>
  <c r="R284" i="79"/>
  <c r="BL284" i="79" s="1"/>
  <c r="J284" i="79"/>
  <c r="BK283" i="79"/>
  <c r="BE283" i="79"/>
  <c r="AP283" i="79"/>
  <c r="AH283" i="79"/>
  <c r="Z283" i="79"/>
  <c r="BG283" i="79" s="1"/>
  <c r="R283" i="79"/>
  <c r="BL283" i="79" s="1"/>
  <c r="J283" i="79"/>
  <c r="BK282" i="79"/>
  <c r="BE282" i="79"/>
  <c r="AP282" i="79"/>
  <c r="AH282" i="79"/>
  <c r="Z282" i="79"/>
  <c r="BG282" i="79" s="1"/>
  <c r="R282" i="79"/>
  <c r="BL282" i="79" s="1"/>
  <c r="J282" i="79"/>
  <c r="BK281" i="79"/>
  <c r="BE281" i="79"/>
  <c r="AP281" i="79"/>
  <c r="AH281" i="79"/>
  <c r="Z281" i="79"/>
  <c r="BG281" i="79" s="1"/>
  <c r="R281" i="79"/>
  <c r="BL281" i="79" s="1"/>
  <c r="J281" i="79"/>
  <c r="BK280" i="79"/>
  <c r="BE280" i="79"/>
  <c r="AP280" i="79"/>
  <c r="AH280" i="79"/>
  <c r="Z280" i="79"/>
  <c r="BG280" i="79" s="1"/>
  <c r="R280" i="79"/>
  <c r="BL280" i="79" s="1"/>
  <c r="J280" i="79"/>
  <c r="BK279" i="79"/>
  <c r="BE279" i="79"/>
  <c r="AP279" i="79"/>
  <c r="AH279" i="79"/>
  <c r="Z279" i="79"/>
  <c r="BG279" i="79" s="1"/>
  <c r="R279" i="79"/>
  <c r="BL279" i="79" s="1"/>
  <c r="J279" i="79"/>
  <c r="BK278" i="79"/>
  <c r="BE278" i="79"/>
  <c r="AP278" i="79"/>
  <c r="AH278" i="79"/>
  <c r="Z278" i="79"/>
  <c r="BG278" i="79" s="1"/>
  <c r="R278" i="79"/>
  <c r="BL278" i="79" s="1"/>
  <c r="J278" i="79"/>
  <c r="BK277" i="79"/>
  <c r="BE277" i="79"/>
  <c r="AP277" i="79"/>
  <c r="AH277" i="79"/>
  <c r="Z277" i="79"/>
  <c r="BG277" i="79" s="1"/>
  <c r="R277" i="79"/>
  <c r="BL277" i="79" s="1"/>
  <c r="J277" i="79"/>
  <c r="BK276" i="79"/>
  <c r="BE276" i="79"/>
  <c r="AP276" i="79"/>
  <c r="AH276" i="79"/>
  <c r="Z276" i="79"/>
  <c r="BG276" i="79" s="1"/>
  <c r="R276" i="79"/>
  <c r="BL276" i="79" s="1"/>
  <c r="J276" i="79"/>
  <c r="BK275" i="79"/>
  <c r="BE275" i="79"/>
  <c r="AP275" i="79"/>
  <c r="AH275" i="79"/>
  <c r="Z275" i="79"/>
  <c r="BG275" i="79" s="1"/>
  <c r="R275" i="79"/>
  <c r="BL275" i="79" s="1"/>
  <c r="J275" i="79"/>
  <c r="BK274" i="79"/>
  <c r="BE274" i="79"/>
  <c r="AP274" i="79"/>
  <c r="AH274" i="79"/>
  <c r="Z274" i="79"/>
  <c r="BG274" i="79" s="1"/>
  <c r="R274" i="79"/>
  <c r="BL274" i="79" s="1"/>
  <c r="J274" i="79"/>
  <c r="BK273" i="79"/>
  <c r="BE273" i="79"/>
  <c r="AP273" i="79"/>
  <c r="AH273" i="79"/>
  <c r="Z273" i="79"/>
  <c r="R273" i="79"/>
  <c r="BL273" i="79" s="1"/>
  <c r="J273" i="79"/>
  <c r="BK272" i="79"/>
  <c r="BE272" i="79"/>
  <c r="AP272" i="79"/>
  <c r="AH272" i="79"/>
  <c r="Z272" i="79"/>
  <c r="BM272" i="79" s="1"/>
  <c r="R272" i="79"/>
  <c r="BL272" i="79" s="1"/>
  <c r="J272" i="79"/>
  <c r="BK271" i="79"/>
  <c r="BE271" i="79"/>
  <c r="AP271" i="79"/>
  <c r="AH271" i="79"/>
  <c r="BH271" i="79" s="1"/>
  <c r="Z271" i="79"/>
  <c r="BM271" i="79" s="1"/>
  <c r="R271" i="79"/>
  <c r="BL271" i="79" s="1"/>
  <c r="J271" i="79"/>
  <c r="BK270" i="79"/>
  <c r="BE270" i="79"/>
  <c r="AP270" i="79"/>
  <c r="AH270" i="79"/>
  <c r="BH270" i="79" s="1"/>
  <c r="Z270" i="79"/>
  <c r="BM270" i="79" s="1"/>
  <c r="R270" i="79"/>
  <c r="BL270" i="79" s="1"/>
  <c r="J270" i="79"/>
  <c r="BK269" i="79"/>
  <c r="BE269" i="79"/>
  <c r="AP269" i="79"/>
  <c r="AH269" i="79"/>
  <c r="BH269" i="79" s="1"/>
  <c r="Z269" i="79"/>
  <c r="BM269" i="79" s="1"/>
  <c r="R269" i="79"/>
  <c r="BL269" i="79" s="1"/>
  <c r="J269" i="79"/>
  <c r="BK268" i="79"/>
  <c r="BE268" i="79"/>
  <c r="AP268" i="79"/>
  <c r="AH268" i="79"/>
  <c r="BH268" i="79" s="1"/>
  <c r="Z268" i="79"/>
  <c r="BM268" i="79" s="1"/>
  <c r="R268" i="79"/>
  <c r="BL268" i="79" s="1"/>
  <c r="J268" i="79"/>
  <c r="BK267" i="79"/>
  <c r="BE267" i="79"/>
  <c r="AP267" i="79"/>
  <c r="AH267" i="79"/>
  <c r="BH267" i="79" s="1"/>
  <c r="Z267" i="79"/>
  <c r="R267" i="79"/>
  <c r="BL267" i="79" s="1"/>
  <c r="J267" i="79"/>
  <c r="BK266" i="79"/>
  <c r="BE266" i="79"/>
  <c r="AP266" i="79"/>
  <c r="AH266" i="79"/>
  <c r="Z266" i="79"/>
  <c r="R266" i="79"/>
  <c r="BL266" i="79" s="1"/>
  <c r="J266" i="79"/>
  <c r="BK265" i="79"/>
  <c r="BE265" i="79"/>
  <c r="AP265" i="79"/>
  <c r="AH265" i="79"/>
  <c r="BH265" i="79" s="1"/>
  <c r="Z265" i="79"/>
  <c r="R265" i="79"/>
  <c r="BL265" i="79" s="1"/>
  <c r="J265" i="79"/>
  <c r="BK264" i="79"/>
  <c r="BE264" i="79"/>
  <c r="AP264" i="79"/>
  <c r="BO264" i="79" s="1"/>
  <c r="AH264" i="79"/>
  <c r="Z264" i="79"/>
  <c r="R264" i="79"/>
  <c r="J264" i="79"/>
  <c r="BK263" i="79"/>
  <c r="BE263" i="79"/>
  <c r="AP263" i="79"/>
  <c r="AH263" i="79"/>
  <c r="BH263" i="79" s="1"/>
  <c r="Z263" i="79"/>
  <c r="R263" i="79"/>
  <c r="J263" i="79"/>
  <c r="BK262" i="79"/>
  <c r="BE262" i="79"/>
  <c r="AP262" i="79"/>
  <c r="AH262" i="79"/>
  <c r="Z262" i="79"/>
  <c r="BM262" i="79" s="1"/>
  <c r="R262" i="79"/>
  <c r="J262" i="79"/>
  <c r="BK261" i="79"/>
  <c r="BE261" i="79"/>
  <c r="AP261" i="79"/>
  <c r="BO261" i="79" s="1"/>
  <c r="AH261" i="79"/>
  <c r="BN261" i="79" s="1"/>
  <c r="Z261" i="79"/>
  <c r="BM261" i="79" s="1"/>
  <c r="R261" i="79"/>
  <c r="J261" i="79"/>
  <c r="BK260" i="79"/>
  <c r="BE260" i="79"/>
  <c r="AP260" i="79"/>
  <c r="AH260" i="79"/>
  <c r="BH260" i="79" s="1"/>
  <c r="Z260" i="79"/>
  <c r="BG260" i="79" s="1"/>
  <c r="R260" i="79"/>
  <c r="J260" i="79"/>
  <c r="BK259" i="79"/>
  <c r="BE259" i="79"/>
  <c r="AP259" i="79"/>
  <c r="BO259" i="79" s="1"/>
  <c r="AH259" i="79"/>
  <c r="BH259" i="79" s="1"/>
  <c r="Z259" i="79"/>
  <c r="BG259" i="79" s="1"/>
  <c r="R259" i="79"/>
  <c r="J259" i="79"/>
  <c r="BK258" i="79"/>
  <c r="BE258" i="79"/>
  <c r="AP258" i="79"/>
  <c r="BO258" i="79" s="1"/>
  <c r="AH258" i="79"/>
  <c r="BN258" i="79" s="1"/>
  <c r="Z258" i="79"/>
  <c r="BM258" i="79" s="1"/>
  <c r="R258" i="79"/>
  <c r="J258" i="79"/>
  <c r="BK257" i="79"/>
  <c r="BE257" i="79"/>
  <c r="AP257" i="79"/>
  <c r="BO257" i="79" s="1"/>
  <c r="AH257" i="79"/>
  <c r="Z257" i="79"/>
  <c r="BM257" i="79" s="1"/>
  <c r="R257" i="79"/>
  <c r="J257" i="79"/>
  <c r="BK256" i="79"/>
  <c r="BE256" i="79"/>
  <c r="AP256" i="79"/>
  <c r="AH256" i="79"/>
  <c r="Z256" i="79"/>
  <c r="R256" i="79"/>
  <c r="J256" i="79"/>
  <c r="BK255" i="79"/>
  <c r="BE255" i="79"/>
  <c r="AP255" i="79"/>
  <c r="BO255" i="79" s="1"/>
  <c r="AH255" i="79"/>
  <c r="BN255" i="79" s="1"/>
  <c r="Z255" i="79"/>
  <c r="BG255" i="79" s="1"/>
  <c r="R255" i="79"/>
  <c r="J255" i="79"/>
  <c r="BK254" i="79"/>
  <c r="BE254" i="79"/>
  <c r="AP254" i="79"/>
  <c r="BO254" i="79" s="1"/>
  <c r="AH254" i="79"/>
  <c r="BN254" i="79" s="1"/>
  <c r="Z254" i="79"/>
  <c r="BM254" i="79" s="1"/>
  <c r="R254" i="79"/>
  <c r="J254" i="79"/>
  <c r="BK253" i="79"/>
  <c r="BE253" i="79"/>
  <c r="AP253" i="79"/>
  <c r="BO253" i="79" s="1"/>
  <c r="AH253" i="79"/>
  <c r="BN253" i="79" s="1"/>
  <c r="Z253" i="79"/>
  <c r="BM253" i="79" s="1"/>
  <c r="R253" i="79"/>
  <c r="J253" i="79"/>
  <c r="BK252" i="79"/>
  <c r="BE252" i="79"/>
  <c r="AP252" i="79"/>
  <c r="AH252" i="79"/>
  <c r="BH252" i="79" s="1"/>
  <c r="Z252" i="79"/>
  <c r="BG252" i="79" s="1"/>
  <c r="R252" i="79"/>
  <c r="J252" i="79"/>
  <c r="BK251" i="79"/>
  <c r="BE251" i="79"/>
  <c r="AP251" i="79"/>
  <c r="BI251" i="79" s="1"/>
  <c r="AH251" i="79"/>
  <c r="BN251" i="79" s="1"/>
  <c r="Z251" i="79"/>
  <c r="R251" i="79"/>
  <c r="J251" i="79"/>
  <c r="BK250" i="79"/>
  <c r="BE250" i="79"/>
  <c r="AP250" i="79"/>
  <c r="AH250" i="79"/>
  <c r="BN250" i="79" s="1"/>
  <c r="Z250" i="79"/>
  <c r="BM250" i="79" s="1"/>
  <c r="R250" i="79"/>
  <c r="J250" i="79"/>
  <c r="BK249" i="79"/>
  <c r="BE249" i="79"/>
  <c r="AP249" i="79"/>
  <c r="BO249" i="79" s="1"/>
  <c r="AH249" i="79"/>
  <c r="BN249" i="79" s="1"/>
  <c r="Z249" i="79"/>
  <c r="BM249" i="79" s="1"/>
  <c r="R249" i="79"/>
  <c r="J249" i="79"/>
  <c r="BK248" i="79"/>
  <c r="BE248" i="79"/>
  <c r="AP248" i="79"/>
  <c r="BI248" i="79" s="1"/>
  <c r="AH248" i="79"/>
  <c r="BN248" i="79" s="1"/>
  <c r="Z248" i="79"/>
  <c r="BM248" i="79" s="1"/>
  <c r="R248" i="79"/>
  <c r="J248" i="79"/>
  <c r="BK247" i="79"/>
  <c r="BE247" i="79"/>
  <c r="AP247" i="79"/>
  <c r="BI247" i="79" s="1"/>
  <c r="AH247" i="79"/>
  <c r="BN247" i="79" s="1"/>
  <c r="Z247" i="79"/>
  <c r="R247" i="79"/>
  <c r="J247" i="79"/>
  <c r="BK246" i="79"/>
  <c r="BE246" i="79"/>
  <c r="AP246" i="79"/>
  <c r="AH246" i="79"/>
  <c r="BN246" i="79" s="1"/>
  <c r="Z246" i="79"/>
  <c r="BM246" i="79" s="1"/>
  <c r="R246" i="79"/>
  <c r="J246" i="79"/>
  <c r="BK245" i="79"/>
  <c r="BE245" i="79"/>
  <c r="AP245" i="79"/>
  <c r="BO245" i="79" s="1"/>
  <c r="AH245" i="79"/>
  <c r="BN245" i="79" s="1"/>
  <c r="Z245" i="79"/>
  <c r="BM245" i="79" s="1"/>
  <c r="R245" i="79"/>
  <c r="J245" i="79"/>
  <c r="BK244" i="79"/>
  <c r="BE244" i="79"/>
  <c r="AP244" i="79"/>
  <c r="BO244" i="79" s="1"/>
  <c r="AH244" i="79"/>
  <c r="BN244" i="79" s="1"/>
  <c r="Z244" i="79"/>
  <c r="BM244" i="79" s="1"/>
  <c r="R244" i="79"/>
  <c r="J244" i="79"/>
  <c r="BK243" i="79"/>
  <c r="BE243" i="79"/>
  <c r="AP243" i="79"/>
  <c r="BI243" i="79" s="1"/>
  <c r="AH243" i="79"/>
  <c r="BN243" i="79" s="1"/>
  <c r="Z243" i="79"/>
  <c r="R243" i="79"/>
  <c r="J243" i="79"/>
  <c r="BK242" i="79"/>
  <c r="BE242" i="79"/>
  <c r="AP242" i="79"/>
  <c r="AH242" i="79"/>
  <c r="BN242" i="79" s="1"/>
  <c r="Z242" i="79"/>
  <c r="BM242" i="79" s="1"/>
  <c r="R242" i="79"/>
  <c r="J242" i="79"/>
  <c r="BK241" i="79"/>
  <c r="BE241" i="79"/>
  <c r="AP241" i="79"/>
  <c r="BO241" i="79" s="1"/>
  <c r="AH241" i="79"/>
  <c r="BN241" i="79" s="1"/>
  <c r="Z241" i="79"/>
  <c r="BM241" i="79" s="1"/>
  <c r="R241" i="79"/>
  <c r="J241" i="79"/>
  <c r="BK240" i="79"/>
  <c r="BE240" i="79"/>
  <c r="AP240" i="79"/>
  <c r="BI240" i="79" s="1"/>
  <c r="AH240" i="79"/>
  <c r="BN240" i="79" s="1"/>
  <c r="Z240" i="79"/>
  <c r="BM240" i="79" s="1"/>
  <c r="R240" i="79"/>
  <c r="J240" i="79"/>
  <c r="BK239" i="79"/>
  <c r="BE239" i="79"/>
  <c r="AP239" i="79"/>
  <c r="BI239" i="79" s="1"/>
  <c r="AH239" i="79"/>
  <c r="BN239" i="79" s="1"/>
  <c r="Z239" i="79"/>
  <c r="R239" i="79"/>
  <c r="J239" i="79"/>
  <c r="BK238" i="79"/>
  <c r="BE238" i="79"/>
  <c r="AP238" i="79"/>
  <c r="AH238" i="79"/>
  <c r="BN238" i="79" s="1"/>
  <c r="Z238" i="79"/>
  <c r="BM238" i="79" s="1"/>
  <c r="R238" i="79"/>
  <c r="J238" i="79"/>
  <c r="BK237" i="79"/>
  <c r="BE237" i="79"/>
  <c r="AP237" i="79"/>
  <c r="BO237" i="79" s="1"/>
  <c r="AH237" i="79"/>
  <c r="BN237" i="79" s="1"/>
  <c r="Z237" i="79"/>
  <c r="BM237" i="79" s="1"/>
  <c r="R237" i="79"/>
  <c r="J237" i="79"/>
  <c r="BK236" i="79"/>
  <c r="BE236" i="79"/>
  <c r="AP236" i="79"/>
  <c r="BO236" i="79" s="1"/>
  <c r="AH236" i="79"/>
  <c r="BN236" i="79" s="1"/>
  <c r="Z236" i="79"/>
  <c r="BM236" i="79" s="1"/>
  <c r="R236" i="79"/>
  <c r="J236" i="79"/>
  <c r="BK235" i="79"/>
  <c r="BE235" i="79"/>
  <c r="AP235" i="79"/>
  <c r="BI235" i="79" s="1"/>
  <c r="AH235" i="79"/>
  <c r="BN235" i="79" s="1"/>
  <c r="Z235" i="79"/>
  <c r="R235" i="79"/>
  <c r="J235" i="79"/>
  <c r="BK234" i="79"/>
  <c r="BE234" i="79"/>
  <c r="AP234" i="79"/>
  <c r="AH234" i="79"/>
  <c r="BN234" i="79" s="1"/>
  <c r="Z234" i="79"/>
  <c r="BM234" i="79" s="1"/>
  <c r="R234" i="79"/>
  <c r="J234" i="79"/>
  <c r="BK233" i="79"/>
  <c r="BE233" i="79"/>
  <c r="AP233" i="79"/>
  <c r="BO233" i="79" s="1"/>
  <c r="AH233" i="79"/>
  <c r="BN233" i="79" s="1"/>
  <c r="Z233" i="79"/>
  <c r="BM233" i="79" s="1"/>
  <c r="R233" i="79"/>
  <c r="J233" i="79"/>
  <c r="BK232" i="79"/>
  <c r="BE232" i="79"/>
  <c r="AP232" i="79"/>
  <c r="BI232" i="79" s="1"/>
  <c r="AH232" i="79"/>
  <c r="BN232" i="79" s="1"/>
  <c r="Z232" i="79"/>
  <c r="BM232" i="79" s="1"/>
  <c r="R232" i="79"/>
  <c r="J232" i="79"/>
  <c r="BK231" i="79"/>
  <c r="BE231" i="79"/>
  <c r="AP231" i="79"/>
  <c r="BI231" i="79" s="1"/>
  <c r="AH231" i="79"/>
  <c r="BN231" i="79" s="1"/>
  <c r="Z231" i="79"/>
  <c r="R231" i="79"/>
  <c r="J231" i="79"/>
  <c r="BK230" i="79"/>
  <c r="BE230" i="79"/>
  <c r="AP230" i="79"/>
  <c r="AH230" i="79"/>
  <c r="BN230" i="79" s="1"/>
  <c r="Z230" i="79"/>
  <c r="BM230" i="79" s="1"/>
  <c r="R230" i="79"/>
  <c r="J230" i="79"/>
  <c r="BK229" i="79"/>
  <c r="BE229" i="79"/>
  <c r="AP229" i="79"/>
  <c r="BO229" i="79" s="1"/>
  <c r="AH229" i="79"/>
  <c r="BN229" i="79" s="1"/>
  <c r="Z229" i="79"/>
  <c r="BM229" i="79" s="1"/>
  <c r="R229" i="79"/>
  <c r="J229" i="79"/>
  <c r="BK228" i="79"/>
  <c r="BE228" i="79"/>
  <c r="AP228" i="79"/>
  <c r="BO228" i="79" s="1"/>
  <c r="AH228" i="79"/>
  <c r="BN228" i="79" s="1"/>
  <c r="Z228" i="79"/>
  <c r="BM228" i="79" s="1"/>
  <c r="R228" i="79"/>
  <c r="J228" i="79"/>
  <c r="BK227" i="79"/>
  <c r="BE227" i="79"/>
  <c r="AP227" i="79"/>
  <c r="BI227" i="79" s="1"/>
  <c r="AH227" i="79"/>
  <c r="BN227" i="79" s="1"/>
  <c r="Z227" i="79"/>
  <c r="R227" i="79"/>
  <c r="J227" i="79"/>
  <c r="BK226" i="79"/>
  <c r="BE226" i="79"/>
  <c r="AP226" i="79"/>
  <c r="AH226" i="79"/>
  <c r="BN226" i="79" s="1"/>
  <c r="Z226" i="79"/>
  <c r="BM226" i="79" s="1"/>
  <c r="R226" i="79"/>
  <c r="J226" i="79"/>
  <c r="BK225" i="79"/>
  <c r="BE225" i="79"/>
  <c r="AP225" i="79"/>
  <c r="BO225" i="79" s="1"/>
  <c r="AH225" i="79"/>
  <c r="BN225" i="79" s="1"/>
  <c r="Z225" i="79"/>
  <c r="BM225" i="79" s="1"/>
  <c r="R225" i="79"/>
  <c r="J225" i="79"/>
  <c r="BK224" i="79"/>
  <c r="BE224" i="79"/>
  <c r="AP224" i="79"/>
  <c r="BI224" i="79" s="1"/>
  <c r="AH224" i="79"/>
  <c r="BN224" i="79" s="1"/>
  <c r="Z224" i="79"/>
  <c r="BM224" i="79" s="1"/>
  <c r="R224" i="79"/>
  <c r="J224" i="79"/>
  <c r="BK223" i="79"/>
  <c r="BE223" i="79"/>
  <c r="AP223" i="79"/>
  <c r="BI223" i="79" s="1"/>
  <c r="AH223" i="79"/>
  <c r="BN223" i="79" s="1"/>
  <c r="Z223" i="79"/>
  <c r="R223" i="79"/>
  <c r="J223" i="79"/>
  <c r="BK222" i="79"/>
  <c r="BE222" i="79"/>
  <c r="AP222" i="79"/>
  <c r="AH222" i="79"/>
  <c r="BN222" i="79" s="1"/>
  <c r="Z222" i="79"/>
  <c r="BM222" i="79" s="1"/>
  <c r="R222" i="79"/>
  <c r="J222" i="79"/>
  <c r="BK221" i="79"/>
  <c r="BE221" i="79"/>
  <c r="AP221" i="79"/>
  <c r="BO221" i="79" s="1"/>
  <c r="AH221" i="79"/>
  <c r="BN221" i="79" s="1"/>
  <c r="Z221" i="79"/>
  <c r="BM221" i="79" s="1"/>
  <c r="R221" i="79"/>
  <c r="J221" i="79"/>
  <c r="BK220" i="79"/>
  <c r="BE220" i="79"/>
  <c r="AP220" i="79"/>
  <c r="BO220" i="79" s="1"/>
  <c r="AH220" i="79"/>
  <c r="BN220" i="79" s="1"/>
  <c r="Z220" i="79"/>
  <c r="BM220" i="79" s="1"/>
  <c r="R220" i="79"/>
  <c r="J220" i="79"/>
  <c r="BK219" i="79"/>
  <c r="BE219" i="79"/>
  <c r="AP219" i="79"/>
  <c r="BI219" i="79" s="1"/>
  <c r="AH219" i="79"/>
  <c r="BN219" i="79" s="1"/>
  <c r="Z219" i="79"/>
  <c r="R219" i="79"/>
  <c r="J219" i="79"/>
  <c r="BK218" i="79"/>
  <c r="BE218" i="79"/>
  <c r="AP218" i="79"/>
  <c r="AH218" i="79"/>
  <c r="BN218" i="79" s="1"/>
  <c r="Z218" i="79"/>
  <c r="BM218" i="79" s="1"/>
  <c r="R218" i="79"/>
  <c r="J218" i="79"/>
  <c r="BK217" i="79"/>
  <c r="BE217" i="79"/>
  <c r="AP217" i="79"/>
  <c r="BO217" i="79" s="1"/>
  <c r="AH217" i="79"/>
  <c r="BN217" i="79" s="1"/>
  <c r="Z217" i="79"/>
  <c r="BM217" i="79" s="1"/>
  <c r="R217" i="79"/>
  <c r="J217" i="79"/>
  <c r="BK216" i="79"/>
  <c r="BE216" i="79"/>
  <c r="AP216" i="79"/>
  <c r="BI216" i="79" s="1"/>
  <c r="AH216" i="79"/>
  <c r="BN216" i="79" s="1"/>
  <c r="Z216" i="79"/>
  <c r="BM216" i="79" s="1"/>
  <c r="R216" i="79"/>
  <c r="J216" i="79"/>
  <c r="BK215" i="79"/>
  <c r="BE215" i="79"/>
  <c r="AP215" i="79"/>
  <c r="BI215" i="79" s="1"/>
  <c r="AH215" i="79"/>
  <c r="BN215" i="79" s="1"/>
  <c r="Z215" i="79"/>
  <c r="R215" i="79"/>
  <c r="J215" i="79"/>
  <c r="BK214" i="79"/>
  <c r="BE214" i="79"/>
  <c r="AP214" i="79"/>
  <c r="AH214" i="79"/>
  <c r="BN214" i="79" s="1"/>
  <c r="Z214" i="79"/>
  <c r="BM214" i="79" s="1"/>
  <c r="R214" i="79"/>
  <c r="J214" i="79"/>
  <c r="BK213" i="79"/>
  <c r="BE213" i="79"/>
  <c r="AP213" i="79"/>
  <c r="BO213" i="79" s="1"/>
  <c r="AH213" i="79"/>
  <c r="BN213" i="79" s="1"/>
  <c r="Z213" i="79"/>
  <c r="BM213" i="79" s="1"/>
  <c r="R213" i="79"/>
  <c r="J213" i="79"/>
  <c r="BK212" i="79"/>
  <c r="BE212" i="79"/>
  <c r="AP212" i="79"/>
  <c r="BI212" i="79" s="1"/>
  <c r="AH212" i="79"/>
  <c r="BN212" i="79" s="1"/>
  <c r="Z212" i="79"/>
  <c r="BM212" i="79" s="1"/>
  <c r="R212" i="79"/>
  <c r="J212" i="79"/>
  <c r="BK211" i="79"/>
  <c r="BE211" i="79"/>
  <c r="AP211" i="79"/>
  <c r="BI211" i="79" s="1"/>
  <c r="AH211" i="79"/>
  <c r="BN211" i="79" s="1"/>
  <c r="Z211" i="79"/>
  <c r="R211" i="79"/>
  <c r="J211" i="79"/>
  <c r="BK210" i="79"/>
  <c r="BE210" i="79"/>
  <c r="AP210" i="79"/>
  <c r="AH210" i="79"/>
  <c r="BN210" i="79" s="1"/>
  <c r="Z210" i="79"/>
  <c r="BM210" i="79" s="1"/>
  <c r="R210" i="79"/>
  <c r="J210" i="79"/>
  <c r="BK209" i="79"/>
  <c r="BE209" i="79"/>
  <c r="AP209" i="79"/>
  <c r="BO209" i="79" s="1"/>
  <c r="AH209" i="79"/>
  <c r="Z209" i="79"/>
  <c r="BM209" i="79" s="1"/>
  <c r="R209" i="79"/>
  <c r="J209" i="79"/>
  <c r="BK208" i="79"/>
  <c r="BE208" i="79"/>
  <c r="AP208" i="79"/>
  <c r="BI208" i="79" s="1"/>
  <c r="AH208" i="79"/>
  <c r="Z208" i="79"/>
  <c r="BM208" i="79" s="1"/>
  <c r="R208" i="79"/>
  <c r="J208" i="79"/>
  <c r="BK207" i="79"/>
  <c r="BE207" i="79"/>
  <c r="AP207" i="79"/>
  <c r="BI207" i="79" s="1"/>
  <c r="AH207" i="79"/>
  <c r="Z207" i="79"/>
  <c r="R207" i="79"/>
  <c r="J207" i="79"/>
  <c r="BK206" i="79"/>
  <c r="BE206" i="79"/>
  <c r="AP206" i="79"/>
  <c r="AH206" i="79"/>
  <c r="Z206" i="79"/>
  <c r="BM206" i="79" s="1"/>
  <c r="R206" i="79"/>
  <c r="BL206" i="79" s="1"/>
  <c r="J206" i="79"/>
  <c r="BK205" i="79"/>
  <c r="BE205" i="79"/>
  <c r="AP205" i="79"/>
  <c r="BO205" i="79" s="1"/>
  <c r="AH205" i="79"/>
  <c r="Z205" i="79"/>
  <c r="BM205" i="79" s="1"/>
  <c r="R205" i="79"/>
  <c r="BL205" i="79" s="1"/>
  <c r="J205" i="79"/>
  <c r="BK204" i="79"/>
  <c r="BE204" i="79"/>
  <c r="AP204" i="79"/>
  <c r="BI204" i="79" s="1"/>
  <c r="AH204" i="79"/>
  <c r="Z204" i="79"/>
  <c r="R204" i="79"/>
  <c r="J204" i="79"/>
  <c r="BK203" i="79"/>
  <c r="BE203" i="79"/>
  <c r="AP203" i="79"/>
  <c r="BO203" i="79" s="1"/>
  <c r="AH203" i="79"/>
  <c r="Z203" i="79"/>
  <c r="R203" i="79"/>
  <c r="BL203" i="79" s="1"/>
  <c r="J203" i="79"/>
  <c r="BK202" i="79"/>
  <c r="BE202" i="79"/>
  <c r="AP202" i="79"/>
  <c r="BI202" i="79" s="1"/>
  <c r="AH202" i="79"/>
  <c r="Z202" i="79"/>
  <c r="R202" i="79"/>
  <c r="BL202" i="79" s="1"/>
  <c r="J202" i="79"/>
  <c r="BK201" i="79"/>
  <c r="BE201" i="79"/>
  <c r="AP201" i="79"/>
  <c r="AH201" i="79"/>
  <c r="Z201" i="79"/>
  <c r="BM201" i="79" s="1"/>
  <c r="R201" i="79"/>
  <c r="BL201" i="79" s="1"/>
  <c r="J201" i="79"/>
  <c r="BK200" i="79"/>
  <c r="BE200" i="79"/>
  <c r="AP200" i="79"/>
  <c r="AH200" i="79"/>
  <c r="Z200" i="79"/>
  <c r="BM200" i="79" s="1"/>
  <c r="R200" i="79"/>
  <c r="BL200" i="79" s="1"/>
  <c r="J200" i="79"/>
  <c r="BK199" i="79"/>
  <c r="BE199" i="79"/>
  <c r="AP199" i="79"/>
  <c r="BO199" i="79" s="1"/>
  <c r="AH199" i="79"/>
  <c r="Z199" i="79"/>
  <c r="BM199" i="79" s="1"/>
  <c r="R199" i="79"/>
  <c r="BL199" i="79" s="1"/>
  <c r="J199" i="79"/>
  <c r="BK198" i="79"/>
  <c r="BE198" i="79"/>
  <c r="AP198" i="79"/>
  <c r="BO198" i="79" s="1"/>
  <c r="AH198" i="79"/>
  <c r="Z198" i="79"/>
  <c r="BM198" i="79" s="1"/>
  <c r="R198" i="79"/>
  <c r="BF198" i="79" s="1"/>
  <c r="J198" i="79"/>
  <c r="BK197" i="79"/>
  <c r="BE197" i="79"/>
  <c r="AP197" i="79"/>
  <c r="BI197" i="79" s="1"/>
  <c r="AH197" i="79"/>
  <c r="Z197" i="79"/>
  <c r="BM197" i="79" s="1"/>
  <c r="R197" i="79"/>
  <c r="BF197" i="79" s="1"/>
  <c r="J197" i="79"/>
  <c r="BK196" i="79"/>
  <c r="BE196" i="79"/>
  <c r="AP196" i="79"/>
  <c r="BO196" i="79" s="1"/>
  <c r="AH196" i="79"/>
  <c r="Z196" i="79"/>
  <c r="R196" i="79"/>
  <c r="BL196" i="79" s="1"/>
  <c r="J196" i="79"/>
  <c r="BK195" i="79"/>
  <c r="BE195" i="79"/>
  <c r="AP195" i="79"/>
  <c r="BO195" i="79" s="1"/>
  <c r="AH195" i="79"/>
  <c r="Z195" i="79"/>
  <c r="BM195" i="79" s="1"/>
  <c r="R195" i="79"/>
  <c r="BL195" i="79" s="1"/>
  <c r="J195" i="79"/>
  <c r="BK194" i="79"/>
  <c r="BE194" i="79"/>
  <c r="AP194" i="79"/>
  <c r="BO194" i="79" s="1"/>
  <c r="AH194" i="79"/>
  <c r="Z194" i="79"/>
  <c r="BM194" i="79" s="1"/>
  <c r="R194" i="79"/>
  <c r="BF194" i="79" s="1"/>
  <c r="J194" i="79"/>
  <c r="BK193" i="79"/>
  <c r="BE193" i="79"/>
  <c r="AP193" i="79"/>
  <c r="BI193" i="79" s="1"/>
  <c r="AH193" i="79"/>
  <c r="Z193" i="79"/>
  <c r="BM193" i="79" s="1"/>
  <c r="R193" i="79"/>
  <c r="BL193" i="79" s="1"/>
  <c r="J193" i="79"/>
  <c r="BK192" i="79"/>
  <c r="BE192" i="79"/>
  <c r="AP192" i="79"/>
  <c r="BO192" i="79" s="1"/>
  <c r="AH192" i="79"/>
  <c r="Z192" i="79"/>
  <c r="BM192" i="79" s="1"/>
  <c r="R192" i="79"/>
  <c r="BL192" i="79" s="1"/>
  <c r="J192" i="79"/>
  <c r="BK191" i="79"/>
  <c r="BE191" i="79"/>
  <c r="AP191" i="79"/>
  <c r="BO191" i="79" s="1"/>
  <c r="AH191" i="79"/>
  <c r="Z191" i="79"/>
  <c r="BM191" i="79" s="1"/>
  <c r="R191" i="79"/>
  <c r="BL191" i="79" s="1"/>
  <c r="J191" i="79"/>
  <c r="BK190" i="79"/>
  <c r="BE190" i="79"/>
  <c r="AP190" i="79"/>
  <c r="BO190" i="79" s="1"/>
  <c r="AH190" i="79"/>
  <c r="BH190" i="79" s="1"/>
  <c r="Z190" i="79"/>
  <c r="BM190" i="79" s="1"/>
  <c r="R190" i="79"/>
  <c r="BF190" i="79" s="1"/>
  <c r="J190" i="79"/>
  <c r="BK189" i="79"/>
  <c r="BE189" i="79"/>
  <c r="AP189" i="79"/>
  <c r="BO189" i="79" s="1"/>
  <c r="AH189" i="79"/>
  <c r="BH189" i="79" s="1"/>
  <c r="Z189" i="79"/>
  <c r="BM189" i="79" s="1"/>
  <c r="R189" i="79"/>
  <c r="BF189" i="79" s="1"/>
  <c r="J189" i="79"/>
  <c r="BK188" i="79"/>
  <c r="BE188" i="79"/>
  <c r="AP188" i="79"/>
  <c r="BO188" i="79" s="1"/>
  <c r="AH188" i="79"/>
  <c r="BH188" i="79" s="1"/>
  <c r="Z188" i="79"/>
  <c r="BM188" i="79" s="1"/>
  <c r="R188" i="79"/>
  <c r="BF188" i="79" s="1"/>
  <c r="J188" i="79"/>
  <c r="BK187" i="79"/>
  <c r="BE187" i="79"/>
  <c r="AP187" i="79"/>
  <c r="BO187" i="79" s="1"/>
  <c r="AH187" i="79"/>
  <c r="BH187" i="79" s="1"/>
  <c r="Z187" i="79"/>
  <c r="BM187" i="79" s="1"/>
  <c r="R187" i="79"/>
  <c r="BF187" i="79" s="1"/>
  <c r="J187" i="79"/>
  <c r="BK186" i="79"/>
  <c r="BE186" i="79"/>
  <c r="AP186" i="79"/>
  <c r="BO186" i="79" s="1"/>
  <c r="AH186" i="79"/>
  <c r="BH186" i="79" s="1"/>
  <c r="Z186" i="79"/>
  <c r="BM186" i="79" s="1"/>
  <c r="R186" i="79"/>
  <c r="BF186" i="79" s="1"/>
  <c r="J186" i="79"/>
  <c r="BK185" i="79"/>
  <c r="BE185" i="79"/>
  <c r="AP185" i="79"/>
  <c r="BO185" i="79" s="1"/>
  <c r="AH185" i="79"/>
  <c r="BH185" i="79" s="1"/>
  <c r="Z185" i="79"/>
  <c r="BM185" i="79" s="1"/>
  <c r="R185" i="79"/>
  <c r="BF185" i="79" s="1"/>
  <c r="J185" i="79"/>
  <c r="BK184" i="79"/>
  <c r="BE184" i="79"/>
  <c r="AP184" i="79"/>
  <c r="BI184" i="79" s="1"/>
  <c r="AH184" i="79"/>
  <c r="BH184" i="79" s="1"/>
  <c r="Z184" i="79"/>
  <c r="BM184" i="79" s="1"/>
  <c r="R184" i="79"/>
  <c r="BF184" i="79" s="1"/>
  <c r="J184" i="79"/>
  <c r="BK183" i="79"/>
  <c r="BE183" i="79"/>
  <c r="AP183" i="79"/>
  <c r="BI183" i="79" s="1"/>
  <c r="AH183" i="79"/>
  <c r="BH183" i="79" s="1"/>
  <c r="Z183" i="79"/>
  <c r="BM183" i="79" s="1"/>
  <c r="R183" i="79"/>
  <c r="BF183" i="79" s="1"/>
  <c r="J183" i="79"/>
  <c r="BK182" i="79"/>
  <c r="BE182" i="79"/>
  <c r="AP182" i="79"/>
  <c r="BI182" i="79" s="1"/>
  <c r="AH182" i="79"/>
  <c r="BH182" i="79" s="1"/>
  <c r="Z182" i="79"/>
  <c r="BM182" i="79" s="1"/>
  <c r="R182" i="79"/>
  <c r="BF182" i="79" s="1"/>
  <c r="J182" i="79"/>
  <c r="BK181" i="79"/>
  <c r="BE181" i="79"/>
  <c r="AP181" i="79"/>
  <c r="BI181" i="79" s="1"/>
  <c r="AH181" i="79"/>
  <c r="BH181" i="79" s="1"/>
  <c r="Z181" i="79"/>
  <c r="BM181" i="79" s="1"/>
  <c r="R181" i="79"/>
  <c r="BF181" i="79" s="1"/>
  <c r="J181" i="79"/>
  <c r="BK180" i="79"/>
  <c r="BE180" i="79"/>
  <c r="AP180" i="79"/>
  <c r="BI180" i="79" s="1"/>
  <c r="AH180" i="79"/>
  <c r="BH180" i="79" s="1"/>
  <c r="Z180" i="79"/>
  <c r="BM180" i="79" s="1"/>
  <c r="R180" i="79"/>
  <c r="BF180" i="79" s="1"/>
  <c r="J180" i="79"/>
  <c r="BK179" i="79"/>
  <c r="BE179" i="79"/>
  <c r="AP179" i="79"/>
  <c r="BI179" i="79" s="1"/>
  <c r="AH179" i="79"/>
  <c r="BH179" i="79" s="1"/>
  <c r="Z179" i="79"/>
  <c r="BM179" i="79" s="1"/>
  <c r="R179" i="79"/>
  <c r="BF179" i="79" s="1"/>
  <c r="J179" i="79"/>
  <c r="BK178" i="79"/>
  <c r="BE178" i="79"/>
  <c r="AP178" i="79"/>
  <c r="BI178" i="79" s="1"/>
  <c r="AH178" i="79"/>
  <c r="BH178" i="79" s="1"/>
  <c r="Z178" i="79"/>
  <c r="BM178" i="79" s="1"/>
  <c r="R178" i="79"/>
  <c r="BF178" i="79" s="1"/>
  <c r="J178" i="79"/>
  <c r="BK177" i="79"/>
  <c r="BE177" i="79"/>
  <c r="AP177" i="79"/>
  <c r="BI177" i="79" s="1"/>
  <c r="AH177" i="79"/>
  <c r="BH177" i="79" s="1"/>
  <c r="Z177" i="79"/>
  <c r="BM177" i="79" s="1"/>
  <c r="R177" i="79"/>
  <c r="BF177" i="79" s="1"/>
  <c r="J177" i="79"/>
  <c r="BK176" i="79"/>
  <c r="BE176" i="79"/>
  <c r="AP176" i="79"/>
  <c r="BI176" i="79" s="1"/>
  <c r="AH176" i="79"/>
  <c r="BH176" i="79" s="1"/>
  <c r="Z176" i="79"/>
  <c r="BM176" i="79" s="1"/>
  <c r="R176" i="79"/>
  <c r="BF176" i="79" s="1"/>
  <c r="J176" i="79"/>
  <c r="BK175" i="79"/>
  <c r="BE175" i="79"/>
  <c r="AP175" i="79"/>
  <c r="BI175" i="79" s="1"/>
  <c r="AH175" i="79"/>
  <c r="Z175" i="79"/>
  <c r="BM175" i="79" s="1"/>
  <c r="R175" i="79"/>
  <c r="BF175" i="79" s="1"/>
  <c r="J175" i="79"/>
  <c r="BK174" i="79"/>
  <c r="BE174" i="79"/>
  <c r="AP174" i="79"/>
  <c r="BI174" i="79" s="1"/>
  <c r="AH174" i="79"/>
  <c r="Z174" i="79"/>
  <c r="BM174" i="79" s="1"/>
  <c r="R174" i="79"/>
  <c r="BF174" i="79" s="1"/>
  <c r="J174" i="79"/>
  <c r="BK173" i="79"/>
  <c r="BE173" i="79"/>
  <c r="AP173" i="79"/>
  <c r="BI173" i="79" s="1"/>
  <c r="AH173" i="79"/>
  <c r="Z173" i="79"/>
  <c r="BM173" i="79" s="1"/>
  <c r="R173" i="79"/>
  <c r="BF173" i="79" s="1"/>
  <c r="J173" i="79"/>
  <c r="BK172" i="79"/>
  <c r="BE172" i="79"/>
  <c r="AP172" i="79"/>
  <c r="BI172" i="79" s="1"/>
  <c r="AH172" i="79"/>
  <c r="Z172" i="79"/>
  <c r="BM172" i="79" s="1"/>
  <c r="R172" i="79"/>
  <c r="BF172" i="79" s="1"/>
  <c r="J172" i="79"/>
  <c r="BK171" i="79"/>
  <c r="BE171" i="79"/>
  <c r="AP171" i="79"/>
  <c r="BI171" i="79" s="1"/>
  <c r="AH171" i="79"/>
  <c r="Z171" i="79"/>
  <c r="BM171" i="79" s="1"/>
  <c r="R171" i="79"/>
  <c r="BF171" i="79" s="1"/>
  <c r="J171" i="79"/>
  <c r="BK170" i="79"/>
  <c r="BE170" i="79"/>
  <c r="AP170" i="79"/>
  <c r="BI170" i="79" s="1"/>
  <c r="AH170" i="79"/>
  <c r="Z170" i="79"/>
  <c r="BM170" i="79" s="1"/>
  <c r="R170" i="79"/>
  <c r="BF170" i="79" s="1"/>
  <c r="J170" i="79"/>
  <c r="BK169" i="79"/>
  <c r="BE169" i="79"/>
  <c r="AP169" i="79"/>
  <c r="BI169" i="79" s="1"/>
  <c r="AH169" i="79"/>
  <c r="Z169" i="79"/>
  <c r="BM169" i="79" s="1"/>
  <c r="R169" i="79"/>
  <c r="BF169" i="79" s="1"/>
  <c r="J169" i="79"/>
  <c r="BK168" i="79"/>
  <c r="BE168" i="79"/>
  <c r="AP168" i="79"/>
  <c r="BI168" i="79" s="1"/>
  <c r="AH168" i="79"/>
  <c r="Z168" i="79"/>
  <c r="BM168" i="79" s="1"/>
  <c r="R168" i="79"/>
  <c r="BF168" i="79" s="1"/>
  <c r="J168" i="79"/>
  <c r="BK167" i="79"/>
  <c r="BE167" i="79"/>
  <c r="AP167" i="79"/>
  <c r="BI167" i="79" s="1"/>
  <c r="AH167" i="79"/>
  <c r="Z167" i="79"/>
  <c r="BM167" i="79" s="1"/>
  <c r="R167" i="79"/>
  <c r="BF167" i="79" s="1"/>
  <c r="J167" i="79"/>
  <c r="BK166" i="79"/>
  <c r="BE166" i="79"/>
  <c r="AP166" i="79"/>
  <c r="BI166" i="79" s="1"/>
  <c r="AH166" i="79"/>
  <c r="Z166" i="79"/>
  <c r="BM166" i="79" s="1"/>
  <c r="R166" i="79"/>
  <c r="BF166" i="79" s="1"/>
  <c r="J166" i="79"/>
  <c r="BK165" i="79"/>
  <c r="BE165" i="79"/>
  <c r="AP165" i="79"/>
  <c r="BI165" i="79" s="1"/>
  <c r="AH165" i="79"/>
  <c r="Z165" i="79"/>
  <c r="BM165" i="79" s="1"/>
  <c r="R165" i="79"/>
  <c r="BF165" i="79" s="1"/>
  <c r="J165" i="79"/>
  <c r="BK164" i="79"/>
  <c r="BE164" i="79"/>
  <c r="AP164" i="79"/>
  <c r="BI164" i="79" s="1"/>
  <c r="AH164" i="79"/>
  <c r="Z164" i="79"/>
  <c r="BM164" i="79" s="1"/>
  <c r="R164" i="79"/>
  <c r="BF164" i="79" s="1"/>
  <c r="J164" i="79"/>
  <c r="BK163" i="79"/>
  <c r="BE163" i="79"/>
  <c r="AP163" i="79"/>
  <c r="BI163" i="79" s="1"/>
  <c r="AH163" i="79"/>
  <c r="Z163" i="79"/>
  <c r="BM163" i="79" s="1"/>
  <c r="R163" i="79"/>
  <c r="BF163" i="79" s="1"/>
  <c r="J163" i="79"/>
  <c r="BK162" i="79"/>
  <c r="BE162" i="79"/>
  <c r="AP162" i="79"/>
  <c r="BI162" i="79" s="1"/>
  <c r="AH162" i="79"/>
  <c r="Z162" i="79"/>
  <c r="BM162" i="79" s="1"/>
  <c r="R162" i="79"/>
  <c r="BF162" i="79" s="1"/>
  <c r="J162" i="79"/>
  <c r="BK161" i="79"/>
  <c r="BE161" i="79"/>
  <c r="AP161" i="79"/>
  <c r="BI161" i="79" s="1"/>
  <c r="AH161" i="79"/>
  <c r="Z161" i="79"/>
  <c r="BM161" i="79" s="1"/>
  <c r="R161" i="79"/>
  <c r="BF161" i="79" s="1"/>
  <c r="J161" i="79"/>
  <c r="BK160" i="79"/>
  <c r="BE160" i="79"/>
  <c r="AP160" i="79"/>
  <c r="BI160" i="79" s="1"/>
  <c r="AH160" i="79"/>
  <c r="Z160" i="79"/>
  <c r="BM160" i="79" s="1"/>
  <c r="R160" i="79"/>
  <c r="BF160" i="79" s="1"/>
  <c r="J160" i="79"/>
  <c r="BK159" i="79"/>
  <c r="BE159" i="79"/>
  <c r="AP159" i="79"/>
  <c r="BI159" i="79" s="1"/>
  <c r="AH159" i="79"/>
  <c r="Z159" i="79"/>
  <c r="BM159" i="79" s="1"/>
  <c r="R159" i="79"/>
  <c r="BF159" i="79" s="1"/>
  <c r="J159" i="79"/>
  <c r="BK158" i="79"/>
  <c r="BE158" i="79"/>
  <c r="AP158" i="79"/>
  <c r="BI158" i="79" s="1"/>
  <c r="AH158" i="79"/>
  <c r="Z158" i="79"/>
  <c r="BM158" i="79" s="1"/>
  <c r="R158" i="79"/>
  <c r="BF158" i="79" s="1"/>
  <c r="J158" i="79"/>
  <c r="BK157" i="79"/>
  <c r="BE157" i="79"/>
  <c r="AP157" i="79"/>
  <c r="BI157" i="79" s="1"/>
  <c r="AH157" i="79"/>
  <c r="Z157" i="79"/>
  <c r="BM157" i="79" s="1"/>
  <c r="R157" i="79"/>
  <c r="BF157" i="79" s="1"/>
  <c r="J157" i="79"/>
  <c r="BK156" i="79"/>
  <c r="BE156" i="79"/>
  <c r="AP156" i="79"/>
  <c r="BI156" i="79" s="1"/>
  <c r="AH156" i="79"/>
  <c r="Z156" i="79"/>
  <c r="BM156" i="79" s="1"/>
  <c r="R156" i="79"/>
  <c r="BF156" i="79" s="1"/>
  <c r="J156" i="79"/>
  <c r="BK155" i="79"/>
  <c r="BE155" i="79"/>
  <c r="AP155" i="79"/>
  <c r="BI155" i="79" s="1"/>
  <c r="AH155" i="79"/>
  <c r="Z155" i="79"/>
  <c r="BM155" i="79" s="1"/>
  <c r="R155" i="79"/>
  <c r="BF155" i="79" s="1"/>
  <c r="J155" i="79"/>
  <c r="BK154" i="79"/>
  <c r="BE154" i="79"/>
  <c r="AP154" i="79"/>
  <c r="BI154" i="79" s="1"/>
  <c r="AH154" i="79"/>
  <c r="Z154" i="79"/>
  <c r="BM154" i="79" s="1"/>
  <c r="R154" i="79"/>
  <c r="BF154" i="79" s="1"/>
  <c r="J154" i="79"/>
  <c r="BK153" i="79"/>
  <c r="BE153" i="79"/>
  <c r="AP153" i="79"/>
  <c r="AH153" i="79"/>
  <c r="Z153" i="79"/>
  <c r="BM153" i="79" s="1"/>
  <c r="R153" i="79"/>
  <c r="BF153" i="79" s="1"/>
  <c r="J153" i="79"/>
  <c r="BK152" i="79"/>
  <c r="BE152" i="79"/>
  <c r="AP152" i="79"/>
  <c r="AH152" i="79"/>
  <c r="Z152" i="79"/>
  <c r="BM152" i="79" s="1"/>
  <c r="R152" i="79"/>
  <c r="BF152" i="79" s="1"/>
  <c r="J152" i="79"/>
  <c r="BK151" i="79"/>
  <c r="BE151" i="79"/>
  <c r="AP151" i="79"/>
  <c r="AH151" i="79"/>
  <c r="Z151" i="79"/>
  <c r="BM151" i="79" s="1"/>
  <c r="R151" i="79"/>
  <c r="BF151" i="79" s="1"/>
  <c r="J151" i="79"/>
  <c r="BK150" i="79"/>
  <c r="BE150" i="79"/>
  <c r="AP150" i="79"/>
  <c r="AH150" i="79"/>
  <c r="Z150" i="79"/>
  <c r="BM150" i="79" s="1"/>
  <c r="R150" i="79"/>
  <c r="BF150" i="79" s="1"/>
  <c r="J150" i="79"/>
  <c r="BK149" i="79"/>
  <c r="BE149" i="79"/>
  <c r="AP149" i="79"/>
  <c r="AH149" i="79"/>
  <c r="Z149" i="79"/>
  <c r="BM149" i="79" s="1"/>
  <c r="R149" i="79"/>
  <c r="BF149" i="79" s="1"/>
  <c r="J149" i="79"/>
  <c r="BK148" i="79"/>
  <c r="BE148" i="79"/>
  <c r="AP148" i="79"/>
  <c r="AH148" i="79"/>
  <c r="Z148" i="79"/>
  <c r="BM148" i="79" s="1"/>
  <c r="R148" i="79"/>
  <c r="BF148" i="79" s="1"/>
  <c r="J148" i="79"/>
  <c r="BK147" i="79"/>
  <c r="BE147" i="79"/>
  <c r="AP147" i="79"/>
  <c r="AH147" i="79"/>
  <c r="Z147" i="79"/>
  <c r="BM147" i="79" s="1"/>
  <c r="R147" i="79"/>
  <c r="BF147" i="79" s="1"/>
  <c r="J147" i="79"/>
  <c r="BK146" i="79"/>
  <c r="BE146" i="79"/>
  <c r="AP146" i="79"/>
  <c r="AH146" i="79"/>
  <c r="Z146" i="79"/>
  <c r="BM146" i="79" s="1"/>
  <c r="R146" i="79"/>
  <c r="BF146" i="79" s="1"/>
  <c r="J146" i="79"/>
  <c r="BK145" i="79"/>
  <c r="BE145" i="79"/>
  <c r="AP145" i="79"/>
  <c r="BO145" i="79" s="1"/>
  <c r="AH145" i="79"/>
  <c r="Z145" i="79"/>
  <c r="BM145" i="79" s="1"/>
  <c r="R145" i="79"/>
  <c r="BF145" i="79" s="1"/>
  <c r="J145" i="79"/>
  <c r="BK144" i="79"/>
  <c r="BE144" i="79"/>
  <c r="AP144" i="79"/>
  <c r="BO144" i="79" s="1"/>
  <c r="AH144" i="79"/>
  <c r="Z144" i="79"/>
  <c r="BM144" i="79" s="1"/>
  <c r="R144" i="79"/>
  <c r="BF144" i="79" s="1"/>
  <c r="J144" i="79"/>
  <c r="BK143" i="79"/>
  <c r="BE143" i="79"/>
  <c r="AP143" i="79"/>
  <c r="BO143" i="79" s="1"/>
  <c r="AH143" i="79"/>
  <c r="BH143" i="79" s="1"/>
  <c r="Z143" i="79"/>
  <c r="BM143" i="79" s="1"/>
  <c r="R143" i="79"/>
  <c r="BF143" i="79" s="1"/>
  <c r="J143" i="79"/>
  <c r="BK142" i="79"/>
  <c r="BE142" i="79"/>
  <c r="AP142" i="79"/>
  <c r="BO142" i="79" s="1"/>
  <c r="AH142" i="79"/>
  <c r="BH142" i="79" s="1"/>
  <c r="Z142" i="79"/>
  <c r="BG142" i="79" s="1"/>
  <c r="R142" i="79"/>
  <c r="BF142" i="79" s="1"/>
  <c r="J142" i="79"/>
  <c r="BK141" i="79"/>
  <c r="BE141" i="79"/>
  <c r="AP141" i="79"/>
  <c r="BO141" i="79" s="1"/>
  <c r="AH141" i="79"/>
  <c r="BH141" i="79" s="1"/>
  <c r="Z141" i="79"/>
  <c r="BM141" i="79" s="1"/>
  <c r="R141" i="79"/>
  <c r="BF141" i="79" s="1"/>
  <c r="J141" i="79"/>
  <c r="BK140" i="79"/>
  <c r="BE140" i="79"/>
  <c r="AP140" i="79"/>
  <c r="BO140" i="79" s="1"/>
  <c r="AH140" i="79"/>
  <c r="BN140" i="79" s="1"/>
  <c r="Z140" i="79"/>
  <c r="BM140" i="79" s="1"/>
  <c r="R140" i="79"/>
  <c r="BF140" i="79" s="1"/>
  <c r="J140" i="79"/>
  <c r="BK139" i="79"/>
  <c r="BE139" i="79"/>
  <c r="AP139" i="79"/>
  <c r="BI139" i="79" s="1"/>
  <c r="AH139" i="79"/>
  <c r="BN139" i="79" s="1"/>
  <c r="Z139" i="79"/>
  <c r="BM139" i="79" s="1"/>
  <c r="R139" i="79"/>
  <c r="BF139" i="79" s="1"/>
  <c r="J139" i="79"/>
  <c r="BK138" i="79"/>
  <c r="BE138" i="79"/>
  <c r="AP138" i="79"/>
  <c r="BO138" i="79" s="1"/>
  <c r="AH138" i="79"/>
  <c r="BN138" i="79" s="1"/>
  <c r="Z138" i="79"/>
  <c r="BM138" i="79" s="1"/>
  <c r="R138" i="79"/>
  <c r="BF138" i="79" s="1"/>
  <c r="J138" i="79"/>
  <c r="BK137" i="79"/>
  <c r="BE137" i="79"/>
  <c r="AP137" i="79"/>
  <c r="BO137" i="79" s="1"/>
  <c r="AH137" i="79"/>
  <c r="BH137" i="79" s="1"/>
  <c r="Z137" i="79"/>
  <c r="BM137" i="79" s="1"/>
  <c r="R137" i="79"/>
  <c r="BF137" i="79" s="1"/>
  <c r="J137" i="79"/>
  <c r="BK136" i="79"/>
  <c r="BE136" i="79"/>
  <c r="AP136" i="79"/>
  <c r="BO136" i="79" s="1"/>
  <c r="AH136" i="79"/>
  <c r="BH136" i="79" s="1"/>
  <c r="Z136" i="79"/>
  <c r="BM136" i="79" s="1"/>
  <c r="R136" i="79"/>
  <c r="BF136" i="79" s="1"/>
  <c r="J136" i="79"/>
  <c r="BK135" i="79"/>
  <c r="BE135" i="79"/>
  <c r="AP135" i="79"/>
  <c r="BO135" i="79" s="1"/>
  <c r="AH135" i="79"/>
  <c r="BN135" i="79" s="1"/>
  <c r="Z135" i="79"/>
  <c r="BM135" i="79" s="1"/>
  <c r="R135" i="79"/>
  <c r="BF135" i="79" s="1"/>
  <c r="J135" i="79"/>
  <c r="BK134" i="79"/>
  <c r="BE134" i="79"/>
  <c r="AP134" i="79"/>
  <c r="BO134" i="79" s="1"/>
  <c r="AH134" i="79"/>
  <c r="BN134" i="79" s="1"/>
  <c r="Z134" i="79"/>
  <c r="BM134" i="79" s="1"/>
  <c r="R134" i="79"/>
  <c r="BF134" i="79" s="1"/>
  <c r="J134" i="79"/>
  <c r="BK133" i="79"/>
  <c r="BE133" i="79"/>
  <c r="AP133" i="79"/>
  <c r="BO133" i="79" s="1"/>
  <c r="AH133" i="79"/>
  <c r="BH133" i="79" s="1"/>
  <c r="Z133" i="79"/>
  <c r="BM133" i="79" s="1"/>
  <c r="R133" i="79"/>
  <c r="BF133" i="79" s="1"/>
  <c r="J133" i="79"/>
  <c r="BK132" i="79"/>
  <c r="BE132" i="79"/>
  <c r="AP132" i="79"/>
  <c r="BO132" i="79" s="1"/>
  <c r="AH132" i="79"/>
  <c r="BH132" i="79" s="1"/>
  <c r="Z132" i="79"/>
  <c r="BM132" i="79" s="1"/>
  <c r="R132" i="79"/>
  <c r="BF132" i="79" s="1"/>
  <c r="J132" i="79"/>
  <c r="BK131" i="79"/>
  <c r="BE131" i="79"/>
  <c r="AP131" i="79"/>
  <c r="BO131" i="79" s="1"/>
  <c r="AH131" i="79"/>
  <c r="BN131" i="79" s="1"/>
  <c r="Z131" i="79"/>
  <c r="BM131" i="79" s="1"/>
  <c r="R131" i="79"/>
  <c r="BF131" i="79" s="1"/>
  <c r="J131" i="79"/>
  <c r="BK130" i="79"/>
  <c r="BE130" i="79"/>
  <c r="AP130" i="79"/>
  <c r="BO130" i="79" s="1"/>
  <c r="AH130" i="79"/>
  <c r="BN130" i="79" s="1"/>
  <c r="Z130" i="79"/>
  <c r="BM130" i="79" s="1"/>
  <c r="R130" i="79"/>
  <c r="BF130" i="79" s="1"/>
  <c r="J130" i="79"/>
  <c r="BK129" i="79"/>
  <c r="BE129" i="79"/>
  <c r="AP129" i="79"/>
  <c r="BO129" i="79" s="1"/>
  <c r="AH129" i="79"/>
  <c r="BH129" i="79" s="1"/>
  <c r="Z129" i="79"/>
  <c r="BM129" i="79" s="1"/>
  <c r="R129" i="79"/>
  <c r="BF129" i="79" s="1"/>
  <c r="J129" i="79"/>
  <c r="BK128" i="79"/>
  <c r="BE128" i="79"/>
  <c r="AP128" i="79"/>
  <c r="BO128" i="79" s="1"/>
  <c r="AH128" i="79"/>
  <c r="BH128" i="79" s="1"/>
  <c r="Z128" i="79"/>
  <c r="BM128" i="79" s="1"/>
  <c r="R128" i="79"/>
  <c r="BF128" i="79" s="1"/>
  <c r="J128" i="79"/>
  <c r="BK127" i="79"/>
  <c r="BE127" i="79"/>
  <c r="AP127" i="79"/>
  <c r="BO127" i="79" s="1"/>
  <c r="AH127" i="79"/>
  <c r="BN127" i="79" s="1"/>
  <c r="Z127" i="79"/>
  <c r="BM127" i="79" s="1"/>
  <c r="R127" i="79"/>
  <c r="BF127" i="79" s="1"/>
  <c r="J127" i="79"/>
  <c r="BK126" i="79"/>
  <c r="BE126" i="79"/>
  <c r="AP126" i="79"/>
  <c r="BO126" i="79" s="1"/>
  <c r="AH126" i="79"/>
  <c r="BN126" i="79" s="1"/>
  <c r="Z126" i="79"/>
  <c r="BM126" i="79" s="1"/>
  <c r="R126" i="79"/>
  <c r="BF126" i="79" s="1"/>
  <c r="J126" i="79"/>
  <c r="BK125" i="79"/>
  <c r="BE125" i="79"/>
  <c r="AP125" i="79"/>
  <c r="BO125" i="79" s="1"/>
  <c r="AH125" i="79"/>
  <c r="BH125" i="79" s="1"/>
  <c r="Z125" i="79"/>
  <c r="BM125" i="79" s="1"/>
  <c r="R125" i="79"/>
  <c r="BF125" i="79" s="1"/>
  <c r="J125" i="79"/>
  <c r="BK124" i="79"/>
  <c r="BE124" i="79"/>
  <c r="AP124" i="79"/>
  <c r="BO124" i="79" s="1"/>
  <c r="AH124" i="79"/>
  <c r="BH124" i="79" s="1"/>
  <c r="Z124" i="79"/>
  <c r="BM124" i="79" s="1"/>
  <c r="R124" i="79"/>
  <c r="BF124" i="79" s="1"/>
  <c r="J124" i="79"/>
  <c r="BK123" i="79"/>
  <c r="BE123" i="79"/>
  <c r="AP123" i="79"/>
  <c r="BO123" i="79" s="1"/>
  <c r="AH123" i="79"/>
  <c r="BN123" i="79" s="1"/>
  <c r="Z123" i="79"/>
  <c r="BM123" i="79" s="1"/>
  <c r="R123" i="79"/>
  <c r="BF123" i="79" s="1"/>
  <c r="J123" i="79"/>
  <c r="BK122" i="79"/>
  <c r="BE122" i="79"/>
  <c r="AP122" i="79"/>
  <c r="BO122" i="79" s="1"/>
  <c r="AH122" i="79"/>
  <c r="BN122" i="79" s="1"/>
  <c r="Z122" i="79"/>
  <c r="BM122" i="79" s="1"/>
  <c r="R122" i="79"/>
  <c r="BF122" i="79" s="1"/>
  <c r="J122" i="79"/>
  <c r="BK121" i="79"/>
  <c r="BE121" i="79"/>
  <c r="AP121" i="79"/>
  <c r="BO121" i="79" s="1"/>
  <c r="AH121" i="79"/>
  <c r="BH121" i="79" s="1"/>
  <c r="Z121" i="79"/>
  <c r="BM121" i="79" s="1"/>
  <c r="R121" i="79"/>
  <c r="BF121" i="79" s="1"/>
  <c r="J121" i="79"/>
  <c r="BK120" i="79"/>
  <c r="BE120" i="79"/>
  <c r="AP120" i="79"/>
  <c r="BO120" i="79" s="1"/>
  <c r="AH120" i="79"/>
  <c r="BH120" i="79" s="1"/>
  <c r="Z120" i="79"/>
  <c r="BM120" i="79" s="1"/>
  <c r="R120" i="79"/>
  <c r="BF120" i="79" s="1"/>
  <c r="J120" i="79"/>
  <c r="BK119" i="79"/>
  <c r="BE119" i="79"/>
  <c r="AP119" i="79"/>
  <c r="BO119" i="79" s="1"/>
  <c r="AH119" i="79"/>
  <c r="BN119" i="79" s="1"/>
  <c r="Z119" i="79"/>
  <c r="BM119" i="79" s="1"/>
  <c r="R119" i="79"/>
  <c r="BF119" i="79" s="1"/>
  <c r="J119" i="79"/>
  <c r="BK118" i="79"/>
  <c r="BE118" i="79"/>
  <c r="AP118" i="79"/>
  <c r="BO118" i="79" s="1"/>
  <c r="AH118" i="79"/>
  <c r="BN118" i="79" s="1"/>
  <c r="Z118" i="79"/>
  <c r="BM118" i="79" s="1"/>
  <c r="R118" i="79"/>
  <c r="BF118" i="79" s="1"/>
  <c r="J118" i="79"/>
  <c r="BK117" i="79"/>
  <c r="BE117" i="79"/>
  <c r="AP117" i="79"/>
  <c r="BO117" i="79" s="1"/>
  <c r="AH117" i="79"/>
  <c r="BH117" i="79" s="1"/>
  <c r="Z117" i="79"/>
  <c r="BM117" i="79" s="1"/>
  <c r="R117" i="79"/>
  <c r="BF117" i="79" s="1"/>
  <c r="J117" i="79"/>
  <c r="BK116" i="79"/>
  <c r="BE116" i="79"/>
  <c r="AP116" i="79"/>
  <c r="BO116" i="79" s="1"/>
  <c r="AH116" i="79"/>
  <c r="BH116" i="79" s="1"/>
  <c r="Z116" i="79"/>
  <c r="BM116" i="79" s="1"/>
  <c r="R116" i="79"/>
  <c r="BF116" i="79" s="1"/>
  <c r="J116" i="79"/>
  <c r="BK115" i="79"/>
  <c r="BE115" i="79"/>
  <c r="AP115" i="79"/>
  <c r="BO115" i="79" s="1"/>
  <c r="AH115" i="79"/>
  <c r="BN115" i="79" s="1"/>
  <c r="Z115" i="79"/>
  <c r="BM115" i="79" s="1"/>
  <c r="R115" i="79"/>
  <c r="BF115" i="79" s="1"/>
  <c r="J115" i="79"/>
  <c r="BK114" i="79"/>
  <c r="BE114" i="79"/>
  <c r="AP114" i="79"/>
  <c r="BO114" i="79" s="1"/>
  <c r="AH114" i="79"/>
  <c r="BN114" i="79" s="1"/>
  <c r="Z114" i="79"/>
  <c r="BM114" i="79" s="1"/>
  <c r="R114" i="79"/>
  <c r="BF114" i="79" s="1"/>
  <c r="J114" i="79"/>
  <c r="BK113" i="79"/>
  <c r="BE113" i="79"/>
  <c r="AP113" i="79"/>
  <c r="BO113" i="79" s="1"/>
  <c r="AH113" i="79"/>
  <c r="BH113" i="79" s="1"/>
  <c r="Z113" i="79"/>
  <c r="BM113" i="79" s="1"/>
  <c r="R113" i="79"/>
  <c r="BF113" i="79" s="1"/>
  <c r="J113" i="79"/>
  <c r="BK112" i="79"/>
  <c r="BE112" i="79"/>
  <c r="AP112" i="79"/>
  <c r="BO112" i="79" s="1"/>
  <c r="AH112" i="79"/>
  <c r="BH112" i="79" s="1"/>
  <c r="Z112" i="79"/>
  <c r="BM112" i="79" s="1"/>
  <c r="R112" i="79"/>
  <c r="BF112" i="79" s="1"/>
  <c r="J112" i="79"/>
  <c r="BK111" i="79"/>
  <c r="BE111" i="79"/>
  <c r="AP111" i="79"/>
  <c r="BO111" i="79" s="1"/>
  <c r="AH111" i="79"/>
  <c r="BH111" i="79" s="1"/>
  <c r="Z111" i="79"/>
  <c r="BM111" i="79" s="1"/>
  <c r="R111" i="79"/>
  <c r="BF111" i="79" s="1"/>
  <c r="J111" i="79"/>
  <c r="BK110" i="79"/>
  <c r="BE110" i="79"/>
  <c r="AP110" i="79"/>
  <c r="BO110" i="79" s="1"/>
  <c r="AH110" i="79"/>
  <c r="BN110" i="79" s="1"/>
  <c r="Z110" i="79"/>
  <c r="BM110" i="79" s="1"/>
  <c r="R110" i="79"/>
  <c r="BF110" i="79" s="1"/>
  <c r="J110" i="79"/>
  <c r="BK109" i="79"/>
  <c r="BE109" i="79"/>
  <c r="AP109" i="79"/>
  <c r="BO109" i="79" s="1"/>
  <c r="AH109" i="79"/>
  <c r="BN109" i="79" s="1"/>
  <c r="Z109" i="79"/>
  <c r="BM109" i="79" s="1"/>
  <c r="R109" i="79"/>
  <c r="BF109" i="79" s="1"/>
  <c r="J109" i="79"/>
  <c r="BK108" i="79"/>
  <c r="BE108" i="79"/>
  <c r="AP108" i="79"/>
  <c r="BO108" i="79" s="1"/>
  <c r="AH108" i="79"/>
  <c r="BH108" i="79" s="1"/>
  <c r="Z108" i="79"/>
  <c r="BM108" i="79" s="1"/>
  <c r="R108" i="79"/>
  <c r="BF108" i="79" s="1"/>
  <c r="J108" i="79"/>
  <c r="BK107" i="79"/>
  <c r="BE107" i="79"/>
  <c r="AP107" i="79"/>
  <c r="BO107" i="79" s="1"/>
  <c r="AH107" i="79"/>
  <c r="BH107" i="79" s="1"/>
  <c r="Z107" i="79"/>
  <c r="BM107" i="79" s="1"/>
  <c r="R107" i="79"/>
  <c r="BF107" i="79" s="1"/>
  <c r="J107" i="79"/>
  <c r="BK106" i="79"/>
  <c r="BE106" i="79"/>
  <c r="AP106" i="79"/>
  <c r="BO106" i="79" s="1"/>
  <c r="AH106" i="79"/>
  <c r="BH106" i="79" s="1"/>
  <c r="Z106" i="79"/>
  <c r="BM106" i="79" s="1"/>
  <c r="R106" i="79"/>
  <c r="BF106" i="79" s="1"/>
  <c r="J106" i="79"/>
  <c r="BK105" i="79"/>
  <c r="BE105" i="79"/>
  <c r="AP105" i="79"/>
  <c r="BO105" i="79" s="1"/>
  <c r="AH105" i="79"/>
  <c r="BH105" i="79" s="1"/>
  <c r="Z105" i="79"/>
  <c r="BM105" i="79" s="1"/>
  <c r="R105" i="79"/>
  <c r="BF105" i="79" s="1"/>
  <c r="J105" i="79"/>
  <c r="BK104" i="79"/>
  <c r="BE104" i="79"/>
  <c r="AP104" i="79"/>
  <c r="BO104" i="79" s="1"/>
  <c r="AH104" i="79"/>
  <c r="BH104" i="79" s="1"/>
  <c r="Z104" i="79"/>
  <c r="BM104" i="79" s="1"/>
  <c r="R104" i="79"/>
  <c r="BF104" i="79" s="1"/>
  <c r="J104" i="79"/>
  <c r="BK103" i="79"/>
  <c r="BE103" i="79"/>
  <c r="AP103" i="79"/>
  <c r="BO103" i="79" s="1"/>
  <c r="AH103" i="79"/>
  <c r="BH103" i="79" s="1"/>
  <c r="Z103" i="79"/>
  <c r="BM103" i="79" s="1"/>
  <c r="R103" i="79"/>
  <c r="BF103" i="79" s="1"/>
  <c r="J103" i="79"/>
  <c r="BK102" i="79"/>
  <c r="BE102" i="79"/>
  <c r="AP102" i="79"/>
  <c r="BO102" i="79" s="1"/>
  <c r="AH102" i="79"/>
  <c r="BH102" i="79" s="1"/>
  <c r="Z102" i="79"/>
  <c r="BM102" i="79" s="1"/>
  <c r="R102" i="79"/>
  <c r="BF102" i="79" s="1"/>
  <c r="J102" i="79"/>
  <c r="BK101" i="79"/>
  <c r="BE101" i="79"/>
  <c r="AP101" i="79"/>
  <c r="BO101" i="79" s="1"/>
  <c r="AH101" i="79"/>
  <c r="BH101" i="79" s="1"/>
  <c r="Z101" i="79"/>
  <c r="BM101" i="79" s="1"/>
  <c r="R101" i="79"/>
  <c r="BF101" i="79" s="1"/>
  <c r="J101" i="79"/>
  <c r="BK100" i="79"/>
  <c r="BE100" i="79"/>
  <c r="AP100" i="79"/>
  <c r="BO100" i="79" s="1"/>
  <c r="AH100" i="79"/>
  <c r="BH100" i="79" s="1"/>
  <c r="Z100" i="79"/>
  <c r="BM100" i="79" s="1"/>
  <c r="R100" i="79"/>
  <c r="BF100" i="79" s="1"/>
  <c r="J100" i="79"/>
  <c r="BK99" i="79"/>
  <c r="BE99" i="79"/>
  <c r="AP99" i="79"/>
  <c r="BO99" i="79" s="1"/>
  <c r="AH99" i="79"/>
  <c r="BH99" i="79" s="1"/>
  <c r="Z99" i="79"/>
  <c r="BM99" i="79" s="1"/>
  <c r="R99" i="79"/>
  <c r="BF99" i="79" s="1"/>
  <c r="J99" i="79"/>
  <c r="BK98" i="79"/>
  <c r="BE98" i="79"/>
  <c r="AP98" i="79"/>
  <c r="BO98" i="79" s="1"/>
  <c r="AH98" i="79"/>
  <c r="BH98" i="79" s="1"/>
  <c r="Z98" i="79"/>
  <c r="BM98" i="79" s="1"/>
  <c r="R98" i="79"/>
  <c r="BF98" i="79" s="1"/>
  <c r="J98" i="79"/>
  <c r="BK97" i="79"/>
  <c r="BE97" i="79"/>
  <c r="AP97" i="79"/>
  <c r="BO97" i="79" s="1"/>
  <c r="AH97" i="79"/>
  <c r="BH97" i="79" s="1"/>
  <c r="Z97" i="79"/>
  <c r="BM97" i="79" s="1"/>
  <c r="R97" i="79"/>
  <c r="BF97" i="79" s="1"/>
  <c r="J97" i="79"/>
  <c r="BK96" i="79"/>
  <c r="BE96" i="79"/>
  <c r="AP96" i="79"/>
  <c r="BO96" i="79" s="1"/>
  <c r="AH96" i="79"/>
  <c r="BH96" i="79" s="1"/>
  <c r="Z96" i="79"/>
  <c r="BM96" i="79" s="1"/>
  <c r="R96" i="79"/>
  <c r="BF96" i="79" s="1"/>
  <c r="J96" i="79"/>
  <c r="BK95" i="79"/>
  <c r="BE95" i="79"/>
  <c r="AP95" i="79"/>
  <c r="BO95" i="79" s="1"/>
  <c r="AH95" i="79"/>
  <c r="BH95" i="79" s="1"/>
  <c r="Z95" i="79"/>
  <c r="BM95" i="79" s="1"/>
  <c r="R95" i="79"/>
  <c r="BF95" i="79" s="1"/>
  <c r="J95" i="79"/>
  <c r="BK94" i="79"/>
  <c r="BE94" i="79"/>
  <c r="AP94" i="79"/>
  <c r="BO94" i="79" s="1"/>
  <c r="AH94" i="79"/>
  <c r="BH94" i="79" s="1"/>
  <c r="Z94" i="79"/>
  <c r="BM94" i="79" s="1"/>
  <c r="R94" i="79"/>
  <c r="BF94" i="79" s="1"/>
  <c r="J94" i="79"/>
  <c r="BK93" i="79"/>
  <c r="BE93" i="79"/>
  <c r="AP93" i="79"/>
  <c r="BO93" i="79" s="1"/>
  <c r="AH93" i="79"/>
  <c r="BH93" i="79" s="1"/>
  <c r="Z93" i="79"/>
  <c r="BM93" i="79" s="1"/>
  <c r="R93" i="79"/>
  <c r="BF93" i="79" s="1"/>
  <c r="J93" i="79"/>
  <c r="BK92" i="79"/>
  <c r="BE92" i="79"/>
  <c r="AP92" i="79"/>
  <c r="BO92" i="79" s="1"/>
  <c r="AH92" i="79"/>
  <c r="BH92" i="79" s="1"/>
  <c r="Z92" i="79"/>
  <c r="BM92" i="79" s="1"/>
  <c r="R92" i="79"/>
  <c r="BF92" i="79" s="1"/>
  <c r="J92" i="79"/>
  <c r="BK91" i="79"/>
  <c r="BE91" i="79"/>
  <c r="AP91" i="79"/>
  <c r="BO91" i="79" s="1"/>
  <c r="AH91" i="79"/>
  <c r="BH91" i="79" s="1"/>
  <c r="Z91" i="79"/>
  <c r="BM91" i="79" s="1"/>
  <c r="R91" i="79"/>
  <c r="BF91" i="79" s="1"/>
  <c r="J91" i="79"/>
  <c r="BK90" i="79"/>
  <c r="BE90" i="79"/>
  <c r="AP90" i="79"/>
  <c r="BO90" i="79" s="1"/>
  <c r="AH90" i="79"/>
  <c r="BH90" i="79" s="1"/>
  <c r="Z90" i="79"/>
  <c r="BM90" i="79" s="1"/>
  <c r="R90" i="79"/>
  <c r="BF90" i="79" s="1"/>
  <c r="J90" i="79"/>
  <c r="BK89" i="79"/>
  <c r="BE89" i="79"/>
  <c r="AP89" i="79"/>
  <c r="BO89" i="79" s="1"/>
  <c r="AH89" i="79"/>
  <c r="BH89" i="79" s="1"/>
  <c r="Z89" i="79"/>
  <c r="BM89" i="79" s="1"/>
  <c r="R89" i="79"/>
  <c r="BF89" i="79" s="1"/>
  <c r="J89" i="79"/>
  <c r="BK88" i="79"/>
  <c r="BE88" i="79"/>
  <c r="AP88" i="79"/>
  <c r="BO88" i="79" s="1"/>
  <c r="AH88" i="79"/>
  <c r="BH88" i="79" s="1"/>
  <c r="Z88" i="79"/>
  <c r="BM88" i="79" s="1"/>
  <c r="R88" i="79"/>
  <c r="BF88" i="79" s="1"/>
  <c r="J88" i="79"/>
  <c r="BK87" i="79"/>
  <c r="BE87" i="79"/>
  <c r="AP87" i="79"/>
  <c r="BO87" i="79" s="1"/>
  <c r="AH87" i="79"/>
  <c r="BH87" i="79" s="1"/>
  <c r="Z87" i="79"/>
  <c r="BM87" i="79" s="1"/>
  <c r="R87" i="79"/>
  <c r="BF87" i="79" s="1"/>
  <c r="J87" i="79"/>
  <c r="BK86" i="79"/>
  <c r="BE86" i="79"/>
  <c r="AP86" i="79"/>
  <c r="BO86" i="79" s="1"/>
  <c r="AH86" i="79"/>
  <c r="BH86" i="79" s="1"/>
  <c r="Z86" i="79"/>
  <c r="BM86" i="79" s="1"/>
  <c r="R86" i="79"/>
  <c r="BF86" i="79" s="1"/>
  <c r="J86" i="79"/>
  <c r="BK85" i="79"/>
  <c r="BE85" i="79"/>
  <c r="AP85" i="79"/>
  <c r="BO85" i="79" s="1"/>
  <c r="AH85" i="79"/>
  <c r="BH85" i="79" s="1"/>
  <c r="Z85" i="79"/>
  <c r="BM85" i="79" s="1"/>
  <c r="R85" i="79"/>
  <c r="BF85" i="79" s="1"/>
  <c r="J85" i="79"/>
  <c r="BK84" i="79"/>
  <c r="BE84" i="79"/>
  <c r="AP84" i="79"/>
  <c r="BO84" i="79" s="1"/>
  <c r="AH84" i="79"/>
  <c r="BH84" i="79" s="1"/>
  <c r="Z84" i="79"/>
  <c r="BM84" i="79" s="1"/>
  <c r="R84" i="79"/>
  <c r="BF84" i="79" s="1"/>
  <c r="J84" i="79"/>
  <c r="BK83" i="79"/>
  <c r="BE83" i="79"/>
  <c r="AP83" i="79"/>
  <c r="BO83" i="79" s="1"/>
  <c r="AH83" i="79"/>
  <c r="BH83" i="79" s="1"/>
  <c r="Z83" i="79"/>
  <c r="BM83" i="79" s="1"/>
  <c r="R83" i="79"/>
  <c r="BF83" i="79" s="1"/>
  <c r="J83" i="79"/>
  <c r="BK82" i="79"/>
  <c r="BE82" i="79"/>
  <c r="AP82" i="79"/>
  <c r="BO82" i="79" s="1"/>
  <c r="AH82" i="79"/>
  <c r="BN82" i="79" s="1"/>
  <c r="Z82" i="79"/>
  <c r="BM82" i="79" s="1"/>
  <c r="R82" i="79"/>
  <c r="BF82" i="79" s="1"/>
  <c r="J82" i="79"/>
  <c r="BK81" i="79"/>
  <c r="BE81" i="79"/>
  <c r="AP81" i="79"/>
  <c r="BO81" i="79" s="1"/>
  <c r="AH81" i="79"/>
  <c r="BH81" i="79" s="1"/>
  <c r="Z81" i="79"/>
  <c r="BM81" i="79" s="1"/>
  <c r="R81" i="79"/>
  <c r="BF81" i="79" s="1"/>
  <c r="J81" i="79"/>
  <c r="BK80" i="79"/>
  <c r="BE80" i="79"/>
  <c r="AP80" i="79"/>
  <c r="BO80" i="79" s="1"/>
  <c r="AH80" i="79"/>
  <c r="BH80" i="79" s="1"/>
  <c r="Z80" i="79"/>
  <c r="BM80" i="79" s="1"/>
  <c r="R80" i="79"/>
  <c r="BF80" i="79" s="1"/>
  <c r="J80" i="79"/>
  <c r="BK79" i="79"/>
  <c r="BE79" i="79"/>
  <c r="AP79" i="79"/>
  <c r="BO79" i="79" s="1"/>
  <c r="AH79" i="79"/>
  <c r="BH79" i="79" s="1"/>
  <c r="Z79" i="79"/>
  <c r="BM79" i="79" s="1"/>
  <c r="R79" i="79"/>
  <c r="BF79" i="79" s="1"/>
  <c r="J79" i="79"/>
  <c r="BK78" i="79"/>
  <c r="BE78" i="79"/>
  <c r="AP78" i="79"/>
  <c r="BO78" i="79" s="1"/>
  <c r="AH78" i="79"/>
  <c r="BH78" i="79" s="1"/>
  <c r="Z78" i="79"/>
  <c r="BG78" i="79" s="1"/>
  <c r="R78" i="79"/>
  <c r="BF78" i="79" s="1"/>
  <c r="J78" i="79"/>
  <c r="BK77" i="79"/>
  <c r="BE77" i="79"/>
  <c r="AP77" i="79"/>
  <c r="BO77" i="79" s="1"/>
  <c r="AH77" i="79"/>
  <c r="BH77" i="79" s="1"/>
  <c r="Z77" i="79"/>
  <c r="BM77" i="79" s="1"/>
  <c r="R77" i="79"/>
  <c r="BF77" i="79" s="1"/>
  <c r="J77" i="79"/>
  <c r="BK76" i="79"/>
  <c r="BE76" i="79"/>
  <c r="AP76" i="79"/>
  <c r="BO76" i="79" s="1"/>
  <c r="AH76" i="79"/>
  <c r="BN76" i="79" s="1"/>
  <c r="Z76" i="79"/>
  <c r="BM76" i="79" s="1"/>
  <c r="R76" i="79"/>
  <c r="BF76" i="79" s="1"/>
  <c r="J76" i="79"/>
  <c r="BK75" i="79"/>
  <c r="BE75" i="79"/>
  <c r="AP75" i="79"/>
  <c r="BO75" i="79" s="1"/>
  <c r="AH75" i="79"/>
  <c r="BN75" i="79" s="1"/>
  <c r="Z75" i="79"/>
  <c r="BM75" i="79" s="1"/>
  <c r="R75" i="79"/>
  <c r="BF75" i="79" s="1"/>
  <c r="J75" i="79"/>
  <c r="BK74" i="79"/>
  <c r="BE74" i="79"/>
  <c r="AP74" i="79"/>
  <c r="BO74" i="79" s="1"/>
  <c r="AH74" i="79"/>
  <c r="BH74" i="79" s="1"/>
  <c r="Z74" i="79"/>
  <c r="BM74" i="79" s="1"/>
  <c r="R74" i="79"/>
  <c r="BF74" i="79" s="1"/>
  <c r="J74" i="79"/>
  <c r="BK73" i="79"/>
  <c r="BE73" i="79"/>
  <c r="AP73" i="79"/>
  <c r="BO73" i="79" s="1"/>
  <c r="AH73" i="79"/>
  <c r="BH73" i="79" s="1"/>
  <c r="Z73" i="79"/>
  <c r="BM73" i="79" s="1"/>
  <c r="R73" i="79"/>
  <c r="BF73" i="79" s="1"/>
  <c r="J73" i="79"/>
  <c r="BK72" i="79"/>
  <c r="BE72" i="79"/>
  <c r="AP72" i="79"/>
  <c r="AH72" i="79"/>
  <c r="BN72" i="79" s="1"/>
  <c r="Z72" i="79"/>
  <c r="BM72" i="79" s="1"/>
  <c r="R72" i="79"/>
  <c r="BF72" i="79" s="1"/>
  <c r="J72" i="79"/>
  <c r="BK71" i="79"/>
  <c r="BE71" i="79"/>
  <c r="AP71" i="79"/>
  <c r="AH71" i="79"/>
  <c r="BN71" i="79" s="1"/>
  <c r="Z71" i="79"/>
  <c r="BM71" i="79" s="1"/>
  <c r="R71" i="79"/>
  <c r="BF71" i="79" s="1"/>
  <c r="J71" i="79"/>
  <c r="BK70" i="79"/>
  <c r="BE70" i="79"/>
  <c r="AP70" i="79"/>
  <c r="AH70" i="79"/>
  <c r="BN70" i="79" s="1"/>
  <c r="Z70" i="79"/>
  <c r="BM70" i="79" s="1"/>
  <c r="R70" i="79"/>
  <c r="BF70" i="79" s="1"/>
  <c r="J70" i="79"/>
  <c r="BK69" i="79"/>
  <c r="BE69" i="79"/>
  <c r="AP69" i="79"/>
  <c r="AH69" i="79"/>
  <c r="BN69" i="79" s="1"/>
  <c r="Z69" i="79"/>
  <c r="BM69" i="79" s="1"/>
  <c r="R69" i="79"/>
  <c r="BF69" i="79" s="1"/>
  <c r="J69" i="79"/>
  <c r="BK68" i="79"/>
  <c r="BE68" i="79"/>
  <c r="AP68" i="79"/>
  <c r="AH68" i="79"/>
  <c r="BN68" i="79" s="1"/>
  <c r="Z68" i="79"/>
  <c r="BG68" i="79" s="1"/>
  <c r="R68" i="79"/>
  <c r="BF68" i="79" s="1"/>
  <c r="J68" i="79"/>
  <c r="BK67" i="79"/>
  <c r="BE67" i="79"/>
  <c r="AP67" i="79"/>
  <c r="AH67" i="79"/>
  <c r="BN67" i="79" s="1"/>
  <c r="Z67" i="79"/>
  <c r="BM67" i="79" s="1"/>
  <c r="R67" i="79"/>
  <c r="BF67" i="79" s="1"/>
  <c r="J67" i="79"/>
  <c r="BK66" i="79"/>
  <c r="BE66" i="79"/>
  <c r="AP66" i="79"/>
  <c r="AH66" i="79"/>
  <c r="BN66" i="79" s="1"/>
  <c r="Z66" i="79"/>
  <c r="BG66" i="79" s="1"/>
  <c r="R66" i="79"/>
  <c r="BF66" i="79" s="1"/>
  <c r="J66" i="79"/>
  <c r="BK65" i="79"/>
  <c r="BE65" i="79"/>
  <c r="AP65" i="79"/>
  <c r="AH65" i="79"/>
  <c r="BN65" i="79" s="1"/>
  <c r="Z65" i="79"/>
  <c r="BG65" i="79" s="1"/>
  <c r="R65" i="79"/>
  <c r="BF65" i="79" s="1"/>
  <c r="J65" i="79"/>
  <c r="BK64" i="79"/>
  <c r="BE64" i="79"/>
  <c r="AP64" i="79"/>
  <c r="AH64" i="79"/>
  <c r="BN64" i="79" s="1"/>
  <c r="Z64" i="79"/>
  <c r="BM64" i="79" s="1"/>
  <c r="R64" i="79"/>
  <c r="BF64" i="79" s="1"/>
  <c r="J64" i="79"/>
  <c r="BK63" i="79"/>
  <c r="BE63" i="79"/>
  <c r="AP63" i="79"/>
  <c r="AH63" i="79"/>
  <c r="BN63" i="79" s="1"/>
  <c r="Z63" i="79"/>
  <c r="BM63" i="79" s="1"/>
  <c r="R63" i="79"/>
  <c r="BF63" i="79" s="1"/>
  <c r="J63" i="79"/>
  <c r="BK62" i="79"/>
  <c r="BE62" i="79"/>
  <c r="AP62" i="79"/>
  <c r="AH62" i="79"/>
  <c r="BN62" i="79" s="1"/>
  <c r="Z62" i="79"/>
  <c r="BM62" i="79" s="1"/>
  <c r="R62" i="79"/>
  <c r="BF62" i="79" s="1"/>
  <c r="J62" i="79"/>
  <c r="BK61" i="79"/>
  <c r="BE61" i="79"/>
  <c r="AP61" i="79"/>
  <c r="AH61" i="79"/>
  <c r="BN61" i="79" s="1"/>
  <c r="Z61" i="79"/>
  <c r="BM61" i="79" s="1"/>
  <c r="R61" i="79"/>
  <c r="BF61" i="79" s="1"/>
  <c r="J61" i="79"/>
  <c r="BK60" i="79"/>
  <c r="BE60" i="79"/>
  <c r="AP60" i="79"/>
  <c r="AH60" i="79"/>
  <c r="BN60" i="79" s="1"/>
  <c r="Z60" i="79"/>
  <c r="BG60" i="79" s="1"/>
  <c r="R60" i="79"/>
  <c r="BF60" i="79" s="1"/>
  <c r="J60" i="79"/>
  <c r="BK59" i="79"/>
  <c r="BE59" i="79"/>
  <c r="AP59" i="79"/>
  <c r="AH59" i="79"/>
  <c r="BN59" i="79" s="1"/>
  <c r="Z59" i="79"/>
  <c r="BM59" i="79" s="1"/>
  <c r="R59" i="79"/>
  <c r="BF59" i="79" s="1"/>
  <c r="J59" i="79"/>
  <c r="BK58" i="79"/>
  <c r="BE58" i="79"/>
  <c r="AP58" i="79"/>
  <c r="AH58" i="79"/>
  <c r="BN58" i="79" s="1"/>
  <c r="Z58" i="79"/>
  <c r="BG58" i="79" s="1"/>
  <c r="R58" i="79"/>
  <c r="BF58" i="79" s="1"/>
  <c r="J58" i="79"/>
  <c r="BK57" i="79"/>
  <c r="BE57" i="79"/>
  <c r="AP57" i="79"/>
  <c r="AH57" i="79"/>
  <c r="BN57" i="79" s="1"/>
  <c r="Z57" i="79"/>
  <c r="BG57" i="79" s="1"/>
  <c r="R57" i="79"/>
  <c r="BF57" i="79" s="1"/>
  <c r="J57" i="79"/>
  <c r="BK56" i="79"/>
  <c r="BE56" i="79"/>
  <c r="AP56" i="79"/>
  <c r="AH56" i="79"/>
  <c r="BN56" i="79" s="1"/>
  <c r="Z56" i="79"/>
  <c r="BM56" i="79" s="1"/>
  <c r="R56" i="79"/>
  <c r="BF56" i="79" s="1"/>
  <c r="J56" i="79"/>
  <c r="BK55" i="79"/>
  <c r="BE55" i="79"/>
  <c r="AP55" i="79"/>
  <c r="AH55" i="79"/>
  <c r="BN55" i="79" s="1"/>
  <c r="Z55" i="79"/>
  <c r="BM55" i="79" s="1"/>
  <c r="R55" i="79"/>
  <c r="BF55" i="79" s="1"/>
  <c r="J55" i="79"/>
  <c r="BK54" i="79"/>
  <c r="BE54" i="79"/>
  <c r="AP54" i="79"/>
  <c r="AH54" i="79"/>
  <c r="BN54" i="79" s="1"/>
  <c r="Z54" i="79"/>
  <c r="BM54" i="79" s="1"/>
  <c r="R54" i="79"/>
  <c r="BF54" i="79" s="1"/>
  <c r="J54" i="79"/>
  <c r="BK53" i="79"/>
  <c r="BE53" i="79"/>
  <c r="AP53" i="79"/>
  <c r="AH53" i="79"/>
  <c r="BN53" i="79" s="1"/>
  <c r="Z53" i="79"/>
  <c r="BM53" i="79" s="1"/>
  <c r="R53" i="79"/>
  <c r="BF53" i="79" s="1"/>
  <c r="J53" i="79"/>
  <c r="BK52" i="79"/>
  <c r="BE52" i="79"/>
  <c r="AP52" i="79"/>
  <c r="AH52" i="79"/>
  <c r="BN52" i="79" s="1"/>
  <c r="Z52" i="79"/>
  <c r="BM52" i="79" s="1"/>
  <c r="R52" i="79"/>
  <c r="BL52" i="79" s="1"/>
  <c r="J52" i="79"/>
  <c r="BK51" i="79"/>
  <c r="BE51" i="79"/>
  <c r="AP51" i="79"/>
  <c r="BO51" i="79" s="1"/>
  <c r="AH51" i="79"/>
  <c r="BH51" i="79" s="1"/>
  <c r="Z51" i="79"/>
  <c r="BM51" i="79" s="1"/>
  <c r="R51" i="79"/>
  <c r="BL51" i="79" s="1"/>
  <c r="J51" i="79"/>
  <c r="BK50" i="79"/>
  <c r="BE50" i="79"/>
  <c r="AP50" i="79"/>
  <c r="BO50" i="79" s="1"/>
  <c r="AH50" i="79"/>
  <c r="BH50" i="79" s="1"/>
  <c r="Z50" i="79"/>
  <c r="BG50" i="79" s="1"/>
  <c r="R50" i="79"/>
  <c r="BF50" i="79" s="1"/>
  <c r="J50" i="79"/>
  <c r="BK49" i="79"/>
  <c r="BE49" i="79"/>
  <c r="AP49" i="79"/>
  <c r="BO49" i="79" s="1"/>
  <c r="AH49" i="79"/>
  <c r="BN49" i="79" s="1"/>
  <c r="Z49" i="79"/>
  <c r="BG49" i="79" s="1"/>
  <c r="R49" i="79"/>
  <c r="BF49" i="79" s="1"/>
  <c r="J49" i="79"/>
  <c r="BK48" i="79"/>
  <c r="BE48" i="79"/>
  <c r="AP48" i="79"/>
  <c r="BO48" i="79" s="1"/>
  <c r="AH48" i="79"/>
  <c r="BN48" i="79" s="1"/>
  <c r="Z48" i="79"/>
  <c r="BG48" i="79" s="1"/>
  <c r="R48" i="79"/>
  <c r="BF48" i="79" s="1"/>
  <c r="J48" i="79"/>
  <c r="BK47" i="79"/>
  <c r="BE47" i="79"/>
  <c r="AP47" i="79"/>
  <c r="BO47" i="79" s="1"/>
  <c r="AH47" i="79"/>
  <c r="BN47" i="79" s="1"/>
  <c r="Z47" i="79"/>
  <c r="BG47" i="79" s="1"/>
  <c r="R47" i="79"/>
  <c r="BF47" i="79" s="1"/>
  <c r="J47" i="79"/>
  <c r="BK46" i="79"/>
  <c r="BE46" i="79"/>
  <c r="AP46" i="79"/>
  <c r="BO46" i="79" s="1"/>
  <c r="AH46" i="79"/>
  <c r="BH46" i="79" s="1"/>
  <c r="Z46" i="79"/>
  <c r="BG46" i="79" s="1"/>
  <c r="R46" i="79"/>
  <c r="BF46" i="79" s="1"/>
  <c r="J46" i="79"/>
  <c r="BK45" i="79"/>
  <c r="BE45" i="79"/>
  <c r="AP45" i="79"/>
  <c r="BO45" i="79" s="1"/>
  <c r="AH45" i="79"/>
  <c r="BN45" i="79" s="1"/>
  <c r="Z45" i="79"/>
  <c r="BG45" i="79" s="1"/>
  <c r="R45" i="79"/>
  <c r="BF45" i="79" s="1"/>
  <c r="J45" i="79"/>
  <c r="BK44" i="79"/>
  <c r="BE44" i="79"/>
  <c r="AP44" i="79"/>
  <c r="BO44" i="79" s="1"/>
  <c r="AH44" i="79"/>
  <c r="BN44" i="79" s="1"/>
  <c r="Z44" i="79"/>
  <c r="BG44" i="79" s="1"/>
  <c r="R44" i="79"/>
  <c r="BF44" i="79" s="1"/>
  <c r="J44" i="79"/>
  <c r="BK43" i="79"/>
  <c r="BE43" i="79"/>
  <c r="AP43" i="79"/>
  <c r="BO43" i="79" s="1"/>
  <c r="AH43" i="79"/>
  <c r="BN43" i="79" s="1"/>
  <c r="Z43" i="79"/>
  <c r="BG43" i="79" s="1"/>
  <c r="R43" i="79"/>
  <c r="BF43" i="79" s="1"/>
  <c r="J43" i="79"/>
  <c r="BK42" i="79"/>
  <c r="BE42" i="79"/>
  <c r="AP42" i="79"/>
  <c r="BO42" i="79" s="1"/>
  <c r="AH42" i="79"/>
  <c r="BH42" i="79" s="1"/>
  <c r="Z42" i="79"/>
  <c r="BG42" i="79" s="1"/>
  <c r="R42" i="79"/>
  <c r="BF42" i="79" s="1"/>
  <c r="J42" i="79"/>
  <c r="BK41" i="79"/>
  <c r="BE41" i="79"/>
  <c r="AP41" i="79"/>
  <c r="BO41" i="79" s="1"/>
  <c r="AH41" i="79"/>
  <c r="BN41" i="79" s="1"/>
  <c r="Z41" i="79"/>
  <c r="BG41" i="79" s="1"/>
  <c r="R41" i="79"/>
  <c r="BF41" i="79" s="1"/>
  <c r="J41" i="79"/>
  <c r="BK40" i="79"/>
  <c r="BE40" i="79"/>
  <c r="AP40" i="79"/>
  <c r="BO40" i="79" s="1"/>
  <c r="AH40" i="79"/>
  <c r="BN40" i="79" s="1"/>
  <c r="Z40" i="79"/>
  <c r="BG40" i="79" s="1"/>
  <c r="R40" i="79"/>
  <c r="BF40" i="79" s="1"/>
  <c r="J40" i="79"/>
  <c r="BK39" i="79"/>
  <c r="BE39" i="79"/>
  <c r="AP39" i="79"/>
  <c r="BI39" i="79" s="1"/>
  <c r="AH39" i="79"/>
  <c r="BN39" i="79" s="1"/>
  <c r="Z39" i="79"/>
  <c r="BG39" i="79" s="1"/>
  <c r="R39" i="79"/>
  <c r="BL39" i="79" s="1"/>
  <c r="J39" i="79"/>
  <c r="BK38" i="79"/>
  <c r="BE38" i="79"/>
  <c r="AP38" i="79"/>
  <c r="BI38" i="79" s="1"/>
  <c r="AH38" i="79"/>
  <c r="BH38" i="79" s="1"/>
  <c r="Z38" i="79"/>
  <c r="BG38" i="79" s="1"/>
  <c r="R38" i="79"/>
  <c r="BL38" i="79" s="1"/>
  <c r="J38" i="79"/>
  <c r="BK37" i="79"/>
  <c r="BE37" i="79"/>
  <c r="AP37" i="79"/>
  <c r="BI37" i="79" s="1"/>
  <c r="AH37" i="79"/>
  <c r="BN37" i="79" s="1"/>
  <c r="Z37" i="79"/>
  <c r="BM37" i="79" s="1"/>
  <c r="R37" i="79"/>
  <c r="BL37" i="79" s="1"/>
  <c r="J37" i="79"/>
  <c r="BK36" i="79"/>
  <c r="BE36" i="79"/>
  <c r="AP36" i="79"/>
  <c r="BO36" i="79" s="1"/>
  <c r="AH36" i="79"/>
  <c r="BH36" i="79" s="1"/>
  <c r="Z36" i="79"/>
  <c r="BM36" i="79" s="1"/>
  <c r="R36" i="79"/>
  <c r="BF36" i="79" s="1"/>
  <c r="J36" i="79"/>
  <c r="BK35" i="79"/>
  <c r="BE35" i="79"/>
  <c r="AP35" i="79"/>
  <c r="BI35" i="79" s="1"/>
  <c r="AH35" i="79"/>
  <c r="BH35" i="79" s="1"/>
  <c r="Z35" i="79"/>
  <c r="BM35" i="79" s="1"/>
  <c r="R35" i="79"/>
  <c r="BL35" i="79" s="1"/>
  <c r="J35" i="79"/>
  <c r="BK34" i="79"/>
  <c r="BE34" i="79"/>
  <c r="AP34" i="79"/>
  <c r="BI34" i="79" s="1"/>
  <c r="AH34" i="79"/>
  <c r="BN34" i="79" s="1"/>
  <c r="Z34" i="79"/>
  <c r="BM34" i="79" s="1"/>
  <c r="R34" i="79"/>
  <c r="BF34" i="79" s="1"/>
  <c r="J34" i="79"/>
  <c r="BK33" i="79"/>
  <c r="BE33" i="79"/>
  <c r="AP33" i="79"/>
  <c r="BO33" i="79" s="1"/>
  <c r="AH33" i="79"/>
  <c r="BN33" i="79" s="1"/>
  <c r="Z33" i="79"/>
  <c r="BG33" i="79" s="1"/>
  <c r="R33" i="79"/>
  <c r="BL33" i="79" s="1"/>
  <c r="J33" i="79"/>
  <c r="BK32" i="79"/>
  <c r="BE32" i="79"/>
  <c r="AP32" i="79"/>
  <c r="BI32" i="79" s="1"/>
  <c r="AH32" i="79"/>
  <c r="BH32" i="79" s="1"/>
  <c r="Z32" i="79"/>
  <c r="BM32" i="79" s="1"/>
  <c r="R32" i="79"/>
  <c r="BL32" i="79" s="1"/>
  <c r="J32" i="79"/>
  <c r="BK31" i="79"/>
  <c r="BE31" i="79"/>
  <c r="AP31" i="79"/>
  <c r="BO31" i="79" s="1"/>
  <c r="AH31" i="79"/>
  <c r="BH31" i="79" s="1"/>
  <c r="Z31" i="79"/>
  <c r="BG31" i="79" s="1"/>
  <c r="R31" i="79"/>
  <c r="BL31" i="79" s="1"/>
  <c r="J31" i="79"/>
  <c r="BK30" i="79"/>
  <c r="BE30" i="79"/>
  <c r="AP30" i="79"/>
  <c r="BI30" i="79" s="1"/>
  <c r="AH30" i="79"/>
  <c r="BN30" i="79" s="1"/>
  <c r="R30" i="79"/>
  <c r="BF30" i="79" s="1"/>
  <c r="J30" i="79"/>
  <c r="AP29" i="79"/>
  <c r="BI29" i="79" s="1"/>
  <c r="R29" i="79"/>
  <c r="BL29" i="79" s="1"/>
  <c r="AP28" i="79"/>
  <c r="BI28" i="79" s="1"/>
  <c r="R28" i="79"/>
  <c r="BF28" i="79" s="1"/>
  <c r="AP27" i="79"/>
  <c r="BO27" i="79" s="1"/>
  <c r="R27" i="79"/>
  <c r="BF27" i="79" s="1"/>
  <c r="BB25" i="79"/>
  <c r="AP26" i="79"/>
  <c r="BO26" i="79" s="1"/>
  <c r="R26" i="79"/>
  <c r="BF26" i="79" s="1"/>
  <c r="AP25" i="79"/>
  <c r="BI25" i="79" s="1"/>
  <c r="R25" i="79"/>
  <c r="BF25" i="79" s="1"/>
  <c r="AP24" i="79"/>
  <c r="BO24" i="79" s="1"/>
  <c r="R24" i="79"/>
  <c r="BF24" i="79" s="1"/>
  <c r="AP23" i="79"/>
  <c r="BI23" i="79" s="1"/>
  <c r="R23" i="79"/>
  <c r="BF23" i="79" s="1"/>
  <c r="AP22" i="79"/>
  <c r="BO22" i="79" s="1"/>
  <c r="AP21" i="79"/>
  <c r="BI21" i="79" s="1"/>
  <c r="E18" i="79"/>
  <c r="E19" i="79" s="1"/>
  <c r="E20" i="79" s="1"/>
  <c r="E21" i="79" s="1"/>
  <c r="E22" i="79" s="1"/>
  <c r="E23" i="79" s="1"/>
  <c r="E24" i="79" s="1"/>
  <c r="E25" i="79" s="1"/>
  <c r="E26" i="79" s="1"/>
  <c r="E27" i="79" s="1"/>
  <c r="E28" i="79" s="1"/>
  <c r="E29" i="79" s="1"/>
  <c r="E30" i="79" s="1"/>
  <c r="E31" i="79" s="1"/>
  <c r="E32" i="79" s="1"/>
  <c r="E33" i="79" s="1"/>
  <c r="E34" i="79" s="1"/>
  <c r="E35" i="79" s="1"/>
  <c r="E36" i="79" s="1"/>
  <c r="E37" i="79" s="1"/>
  <c r="E38" i="79" s="1"/>
  <c r="E39" i="79" s="1"/>
  <c r="E40" i="79" s="1"/>
  <c r="E41" i="79" s="1"/>
  <c r="E42" i="79" s="1"/>
  <c r="E43" i="79" s="1"/>
  <c r="E44" i="79" s="1"/>
  <c r="E45" i="79" s="1"/>
  <c r="E46" i="79" s="1"/>
  <c r="E47" i="79" s="1"/>
  <c r="E48" i="79" s="1"/>
  <c r="E49" i="79" s="1"/>
  <c r="E50" i="79" s="1"/>
  <c r="E51" i="79" s="1"/>
  <c r="E52" i="79" s="1"/>
  <c r="E53" i="79" s="1"/>
  <c r="E54" i="79" s="1"/>
  <c r="E55" i="79" s="1"/>
  <c r="E56" i="79" s="1"/>
  <c r="E57" i="79" s="1"/>
  <c r="E58" i="79" s="1"/>
  <c r="E59" i="79" s="1"/>
  <c r="E60" i="79" s="1"/>
  <c r="E61" i="79" s="1"/>
  <c r="E62" i="79" s="1"/>
  <c r="E63" i="79" s="1"/>
  <c r="E64" i="79" s="1"/>
  <c r="E65" i="79" s="1"/>
  <c r="E66" i="79" s="1"/>
  <c r="E67" i="79" s="1"/>
  <c r="E68" i="79" s="1"/>
  <c r="E69" i="79" s="1"/>
  <c r="E70" i="79" s="1"/>
  <c r="E71" i="79" s="1"/>
  <c r="E72" i="79" s="1"/>
  <c r="E73" i="79" s="1"/>
  <c r="E74" i="79" s="1"/>
  <c r="E75" i="79" s="1"/>
  <c r="E76" i="79" s="1"/>
  <c r="E77" i="79" s="1"/>
  <c r="E78" i="79" s="1"/>
  <c r="E79" i="79" s="1"/>
  <c r="E80" i="79" s="1"/>
  <c r="E81" i="79" s="1"/>
  <c r="E82" i="79" s="1"/>
  <c r="E83" i="79" s="1"/>
  <c r="E84" i="79" s="1"/>
  <c r="E85" i="79" s="1"/>
  <c r="E86" i="79" s="1"/>
  <c r="E87" i="79" s="1"/>
  <c r="E88" i="79" s="1"/>
  <c r="E89" i="79" s="1"/>
  <c r="E90" i="79" s="1"/>
  <c r="E91" i="79" s="1"/>
  <c r="E92" i="79" s="1"/>
  <c r="E93" i="79" s="1"/>
  <c r="E94" i="79" s="1"/>
  <c r="E95" i="79" s="1"/>
  <c r="E96" i="79" s="1"/>
  <c r="E97" i="79" s="1"/>
  <c r="E98" i="79" s="1"/>
  <c r="E99" i="79" s="1"/>
  <c r="E100" i="79" s="1"/>
  <c r="E101" i="79" s="1"/>
  <c r="E102" i="79" s="1"/>
  <c r="E103" i="79" s="1"/>
  <c r="E104" i="79" s="1"/>
  <c r="E105" i="79" s="1"/>
  <c r="E106" i="79" s="1"/>
  <c r="E107" i="79" s="1"/>
  <c r="E108" i="79" s="1"/>
  <c r="E109" i="79" s="1"/>
  <c r="E110" i="79" s="1"/>
  <c r="E111" i="79" s="1"/>
  <c r="E112" i="79" s="1"/>
  <c r="E113" i="79" s="1"/>
  <c r="E114" i="79" s="1"/>
  <c r="E115" i="79" s="1"/>
  <c r="E116" i="79" s="1"/>
  <c r="E117" i="79" s="1"/>
  <c r="E118" i="79" s="1"/>
  <c r="E119" i="79" s="1"/>
  <c r="E120" i="79" s="1"/>
  <c r="E121" i="79" s="1"/>
  <c r="E122" i="79" s="1"/>
  <c r="E123" i="79" s="1"/>
  <c r="E124" i="79" s="1"/>
  <c r="E125" i="79" s="1"/>
  <c r="E126" i="79" s="1"/>
  <c r="E127" i="79" s="1"/>
  <c r="E128" i="79" s="1"/>
  <c r="E129" i="79" s="1"/>
  <c r="E130" i="79" s="1"/>
  <c r="E131" i="79" s="1"/>
  <c r="E132" i="79" s="1"/>
  <c r="E133" i="79" s="1"/>
  <c r="E134" i="79" s="1"/>
  <c r="E135" i="79" s="1"/>
  <c r="E136" i="79" s="1"/>
  <c r="E137" i="79" s="1"/>
  <c r="E138" i="79" s="1"/>
  <c r="E139" i="79" s="1"/>
  <c r="E140" i="79" s="1"/>
  <c r="E141" i="79" s="1"/>
  <c r="E142" i="79" s="1"/>
  <c r="E143" i="79" s="1"/>
  <c r="E144" i="79" s="1"/>
  <c r="E145" i="79" s="1"/>
  <c r="E146" i="79" s="1"/>
  <c r="E147" i="79" s="1"/>
  <c r="E148" i="79" s="1"/>
  <c r="E149" i="79" s="1"/>
  <c r="E150" i="79" s="1"/>
  <c r="E151" i="79" s="1"/>
  <c r="E152" i="79" s="1"/>
  <c r="E153" i="79" s="1"/>
  <c r="E154" i="79" s="1"/>
  <c r="E155" i="79" s="1"/>
  <c r="E156" i="79" s="1"/>
  <c r="E157" i="79" s="1"/>
  <c r="E158" i="79" s="1"/>
  <c r="E159" i="79" s="1"/>
  <c r="E160" i="79" s="1"/>
  <c r="E161" i="79" s="1"/>
  <c r="E162" i="79" s="1"/>
  <c r="E163" i="79" s="1"/>
  <c r="E164" i="79" s="1"/>
  <c r="E165" i="79" s="1"/>
  <c r="E166" i="79" s="1"/>
  <c r="E167" i="79" s="1"/>
  <c r="E168" i="79" s="1"/>
  <c r="E169" i="79" s="1"/>
  <c r="E170" i="79" s="1"/>
  <c r="E171" i="79" s="1"/>
  <c r="E172" i="79" s="1"/>
  <c r="E173" i="79" s="1"/>
  <c r="E174" i="79" s="1"/>
  <c r="E175" i="79" s="1"/>
  <c r="E176" i="79" s="1"/>
  <c r="E177" i="79" s="1"/>
  <c r="E178" i="79" s="1"/>
  <c r="E179" i="79" s="1"/>
  <c r="E180" i="79" s="1"/>
  <c r="E181" i="79" s="1"/>
  <c r="E182" i="79" s="1"/>
  <c r="E183" i="79" s="1"/>
  <c r="E184" i="79" s="1"/>
  <c r="E185" i="79" s="1"/>
  <c r="E186" i="79" s="1"/>
  <c r="E187" i="79" s="1"/>
  <c r="E188" i="79" s="1"/>
  <c r="E189" i="79" s="1"/>
  <c r="E190" i="79" s="1"/>
  <c r="E191" i="79" s="1"/>
  <c r="E192" i="79" s="1"/>
  <c r="E193" i="79" s="1"/>
  <c r="E194" i="79" s="1"/>
  <c r="E195" i="79" s="1"/>
  <c r="E196" i="79" s="1"/>
  <c r="E197" i="79" s="1"/>
  <c r="E198" i="79" s="1"/>
  <c r="E199" i="79" s="1"/>
  <c r="E200" i="79" s="1"/>
  <c r="E201" i="79" s="1"/>
  <c r="E202" i="79" s="1"/>
  <c r="E203" i="79" s="1"/>
  <c r="E204" i="79" s="1"/>
  <c r="E205" i="79" s="1"/>
  <c r="E206" i="79" s="1"/>
  <c r="E207" i="79" s="1"/>
  <c r="E208" i="79" s="1"/>
  <c r="E209" i="79" s="1"/>
  <c r="E210" i="79" s="1"/>
  <c r="E211" i="79" s="1"/>
  <c r="E212" i="79" s="1"/>
  <c r="E213" i="79" s="1"/>
  <c r="E214" i="79" s="1"/>
  <c r="E215" i="79" s="1"/>
  <c r="E216" i="79" s="1"/>
  <c r="E217" i="79" s="1"/>
  <c r="E218" i="79" s="1"/>
  <c r="E219" i="79" s="1"/>
  <c r="E220" i="79" s="1"/>
  <c r="E221" i="79" s="1"/>
  <c r="E222" i="79" s="1"/>
  <c r="E223" i="79" s="1"/>
  <c r="E224" i="79" s="1"/>
  <c r="E225" i="79" s="1"/>
  <c r="E226" i="79" s="1"/>
  <c r="E227" i="79" s="1"/>
  <c r="E228" i="79" s="1"/>
  <c r="E229" i="79" s="1"/>
  <c r="E230" i="79" s="1"/>
  <c r="E231" i="79" s="1"/>
  <c r="E232" i="79" s="1"/>
  <c r="E233" i="79" s="1"/>
  <c r="E234" i="79" s="1"/>
  <c r="E235" i="79" s="1"/>
  <c r="E236" i="79" s="1"/>
  <c r="E237" i="79" s="1"/>
  <c r="E238" i="79" s="1"/>
  <c r="E239" i="79" s="1"/>
  <c r="E240" i="79" s="1"/>
  <c r="E241" i="79" s="1"/>
  <c r="E242" i="79" s="1"/>
  <c r="E243" i="79" s="1"/>
  <c r="E244" i="79" s="1"/>
  <c r="E245" i="79" s="1"/>
  <c r="E246" i="79" s="1"/>
  <c r="E247" i="79" s="1"/>
  <c r="E248" i="79" s="1"/>
  <c r="E249" i="79" s="1"/>
  <c r="E250" i="79" s="1"/>
  <c r="E251" i="79" s="1"/>
  <c r="E252" i="79" s="1"/>
  <c r="E253" i="79" s="1"/>
  <c r="E254" i="79" s="1"/>
  <c r="E255" i="79" s="1"/>
  <c r="E256" i="79" s="1"/>
  <c r="E257" i="79" s="1"/>
  <c r="E258" i="79" s="1"/>
  <c r="E259" i="79" s="1"/>
  <c r="E260" i="79" s="1"/>
  <c r="E261" i="79" s="1"/>
  <c r="E262" i="79" s="1"/>
  <c r="E263" i="79" s="1"/>
  <c r="E264" i="79" s="1"/>
  <c r="E265" i="79" s="1"/>
  <c r="E266" i="79" s="1"/>
  <c r="E267" i="79" s="1"/>
  <c r="E268" i="79" s="1"/>
  <c r="E269" i="79" s="1"/>
  <c r="E270" i="79" s="1"/>
  <c r="E271" i="79" s="1"/>
  <c r="E272" i="79" s="1"/>
  <c r="E273" i="79" s="1"/>
  <c r="E274" i="79" s="1"/>
  <c r="E275" i="79" s="1"/>
  <c r="E276" i="79" s="1"/>
  <c r="E277" i="79" s="1"/>
  <c r="E278" i="79" s="1"/>
  <c r="E279" i="79" s="1"/>
  <c r="E280" i="79" s="1"/>
  <c r="E281" i="79" s="1"/>
  <c r="E282" i="79" s="1"/>
  <c r="E283" i="79" s="1"/>
  <c r="E284" i="79" s="1"/>
  <c r="E285" i="79" s="1"/>
  <c r="E286" i="79" s="1"/>
  <c r="E287" i="79" s="1"/>
  <c r="E288" i="79" s="1"/>
  <c r="E289" i="79" s="1"/>
  <c r="E290" i="79" s="1"/>
  <c r="E291" i="79" s="1"/>
  <c r="E292" i="79" s="1"/>
  <c r="E293" i="79" s="1"/>
  <c r="E294" i="79" s="1"/>
  <c r="E295" i="79" s="1"/>
  <c r="E296" i="79" s="1"/>
  <c r="E297" i="79" s="1"/>
  <c r="E298" i="79" s="1"/>
  <c r="E299" i="79" s="1"/>
  <c r="E300" i="79" s="1"/>
  <c r="E301" i="79" s="1"/>
  <c r="E302" i="79" s="1"/>
  <c r="E303" i="79" s="1"/>
  <c r="E304" i="79" s="1"/>
  <c r="E305" i="79" s="1"/>
  <c r="E306" i="79" s="1"/>
  <c r="E307" i="79" s="1"/>
  <c r="E308" i="79" s="1"/>
  <c r="E309" i="79" s="1"/>
  <c r="E310" i="79" s="1"/>
  <c r="E311" i="79" s="1"/>
  <c r="E312" i="79" s="1"/>
  <c r="E313" i="79" s="1"/>
  <c r="E314" i="79" s="1"/>
  <c r="E315" i="79" s="1"/>
  <c r="E316" i="79" s="1"/>
  <c r="E317" i="79" s="1"/>
  <c r="E318" i="79" s="1"/>
  <c r="E319" i="79" s="1"/>
  <c r="E320" i="79" s="1"/>
  <c r="E321" i="79" s="1"/>
  <c r="E322" i="79" s="1"/>
  <c r="E323" i="79" s="1"/>
  <c r="E324" i="79" s="1"/>
  <c r="E325" i="79" s="1"/>
  <c r="E326" i="79" s="1"/>
  <c r="E327" i="79" s="1"/>
  <c r="E328" i="79" s="1"/>
  <c r="E329" i="79" s="1"/>
  <c r="E330" i="79" s="1"/>
  <c r="E331" i="79" s="1"/>
  <c r="E332" i="79" s="1"/>
  <c r="E333" i="79" s="1"/>
  <c r="E334" i="79" s="1"/>
  <c r="E335" i="79" s="1"/>
  <c r="E336" i="79" s="1"/>
  <c r="E337" i="79" s="1"/>
  <c r="E338" i="79" s="1"/>
  <c r="E339" i="79" s="1"/>
  <c r="E340" i="79" s="1"/>
  <c r="E341" i="79" s="1"/>
  <c r="E342" i="79" s="1"/>
  <c r="E343" i="79" s="1"/>
  <c r="E344" i="79" s="1"/>
  <c r="E345" i="79" s="1"/>
  <c r="E346" i="79" s="1"/>
  <c r="E347" i="79" s="1"/>
  <c r="E348" i="79" s="1"/>
  <c r="E349" i="79" s="1"/>
  <c r="E350" i="79" s="1"/>
  <c r="E351" i="79" s="1"/>
  <c r="E352" i="79" s="1"/>
  <c r="E353" i="79" s="1"/>
  <c r="E354" i="79" s="1"/>
  <c r="E355" i="79" s="1"/>
  <c r="E356" i="79" s="1"/>
  <c r="E357" i="79" s="1"/>
  <c r="E358" i="79" s="1"/>
  <c r="E359" i="79" s="1"/>
  <c r="E360" i="79" s="1"/>
  <c r="E361" i="79" s="1"/>
  <c r="E362" i="79" s="1"/>
  <c r="E363" i="79" s="1"/>
  <c r="E364" i="79" s="1"/>
  <c r="E365" i="79" s="1"/>
  <c r="E366" i="79" s="1"/>
  <c r="E367" i="79" s="1"/>
  <c r="E368" i="79" s="1"/>
  <c r="E369" i="79" s="1"/>
  <c r="E370" i="79" s="1"/>
  <c r="E371" i="79" s="1"/>
  <c r="E372" i="79" s="1"/>
  <c r="E373" i="79" s="1"/>
  <c r="E374" i="79" s="1"/>
  <c r="E375" i="79" s="1"/>
  <c r="E376" i="79" s="1"/>
  <c r="E377" i="79" s="1"/>
  <c r="E378" i="79" s="1"/>
  <c r="E379" i="79" s="1"/>
  <c r="E380" i="79" s="1"/>
  <c r="E381" i="79" s="1"/>
  <c r="E382" i="79" s="1"/>
  <c r="E383" i="79" s="1"/>
  <c r="E384" i="79" s="1"/>
  <c r="E385" i="79" s="1"/>
  <c r="E386" i="79" s="1"/>
  <c r="E387" i="79" s="1"/>
  <c r="E388" i="79" s="1"/>
  <c r="E389" i="79" s="1"/>
  <c r="E390" i="79" s="1"/>
  <c r="E391" i="79" s="1"/>
  <c r="E392" i="79" s="1"/>
  <c r="E393" i="79" s="1"/>
  <c r="E394" i="79" s="1"/>
  <c r="E395" i="79" s="1"/>
  <c r="E396" i="79" s="1"/>
  <c r="E397" i="79" s="1"/>
  <c r="E398" i="79" s="1"/>
  <c r="E399" i="79" s="1"/>
  <c r="E400" i="79" s="1"/>
  <c r="E401" i="79" s="1"/>
  <c r="E402" i="79" s="1"/>
  <c r="E403" i="79" s="1"/>
  <c r="E404" i="79" s="1"/>
  <c r="E405" i="79" s="1"/>
  <c r="E406" i="79" s="1"/>
  <c r="E407" i="79" s="1"/>
  <c r="E408" i="79" s="1"/>
  <c r="E409" i="79" s="1"/>
  <c r="E410" i="79" s="1"/>
  <c r="E411" i="79" s="1"/>
  <c r="E412" i="79" s="1"/>
  <c r="E413" i="79" s="1"/>
  <c r="E414" i="79" s="1"/>
  <c r="E415" i="79" s="1"/>
  <c r="E416" i="79" s="1"/>
  <c r="E417" i="79" s="1"/>
  <c r="E418" i="79" s="1"/>
  <c r="E419" i="79" s="1"/>
  <c r="E420" i="79" s="1"/>
  <c r="E421" i="79" s="1"/>
  <c r="E422" i="79" s="1"/>
  <c r="E423" i="79" s="1"/>
  <c r="E424" i="79" s="1"/>
  <c r="E425" i="79" s="1"/>
  <c r="E426" i="79" s="1"/>
  <c r="E427" i="79" s="1"/>
  <c r="E428" i="79" s="1"/>
  <c r="E429" i="79" s="1"/>
  <c r="E430" i="79" s="1"/>
  <c r="E431" i="79" s="1"/>
  <c r="E432" i="79" s="1"/>
  <c r="E433" i="79" s="1"/>
  <c r="E434" i="79" s="1"/>
  <c r="E435" i="79" s="1"/>
  <c r="E436" i="79" s="1"/>
  <c r="E437" i="79" s="1"/>
  <c r="E438" i="79" s="1"/>
  <c r="E439" i="79" s="1"/>
  <c r="E440" i="79" s="1"/>
  <c r="E441" i="79" s="1"/>
  <c r="E442" i="79" s="1"/>
  <c r="E443" i="79" s="1"/>
  <c r="E444" i="79" s="1"/>
  <c r="E445" i="79" s="1"/>
  <c r="E446" i="79" s="1"/>
  <c r="E447" i="79" s="1"/>
  <c r="E448" i="79" s="1"/>
  <c r="E449" i="79" s="1"/>
  <c r="E450" i="79" s="1"/>
  <c r="E451" i="79" s="1"/>
  <c r="E452" i="79" s="1"/>
  <c r="E453" i="79" s="1"/>
  <c r="E454" i="79" s="1"/>
  <c r="E455" i="79" s="1"/>
  <c r="E456" i="79" s="1"/>
  <c r="E457" i="79" s="1"/>
  <c r="E458" i="79" s="1"/>
  <c r="E459" i="79" s="1"/>
  <c r="E460" i="79" s="1"/>
  <c r="E461" i="79" s="1"/>
  <c r="E462" i="79" s="1"/>
  <c r="E463" i="79" s="1"/>
  <c r="E464" i="79" s="1"/>
  <c r="E465" i="79" s="1"/>
  <c r="E466" i="79" s="1"/>
  <c r="E467" i="79" s="1"/>
  <c r="E468" i="79" s="1"/>
  <c r="E469" i="79" s="1"/>
  <c r="E470" i="79" s="1"/>
  <c r="E471" i="79" s="1"/>
  <c r="E472" i="79" s="1"/>
  <c r="E473" i="79" s="1"/>
  <c r="E474" i="79" s="1"/>
  <c r="E475" i="79" s="1"/>
  <c r="E476" i="79" s="1"/>
  <c r="E477" i="79" s="1"/>
  <c r="E478" i="79" s="1"/>
  <c r="E479" i="79" s="1"/>
  <c r="E480" i="79" s="1"/>
  <c r="E481" i="79" s="1"/>
  <c r="E482" i="79" s="1"/>
  <c r="E483" i="79" s="1"/>
  <c r="E484" i="79" s="1"/>
  <c r="E485" i="79" s="1"/>
  <c r="E486" i="79" s="1"/>
  <c r="E487" i="79" s="1"/>
  <c r="E488" i="79" s="1"/>
  <c r="E489" i="79" s="1"/>
  <c r="E490" i="79" s="1"/>
  <c r="E491" i="79" s="1"/>
  <c r="E492" i="79" s="1"/>
  <c r="E493" i="79" s="1"/>
  <c r="E494" i="79" s="1"/>
  <c r="E495" i="79" s="1"/>
  <c r="E496" i="79" s="1"/>
  <c r="E497" i="79" s="1"/>
  <c r="E498" i="79" s="1"/>
  <c r="E499" i="79" s="1"/>
  <c r="E500" i="79" s="1"/>
  <c r="E501" i="79" s="1"/>
  <c r="E502" i="79" s="1"/>
  <c r="E503" i="79" s="1"/>
  <c r="E504" i="79" s="1"/>
  <c r="E505" i="79" s="1"/>
  <c r="E506" i="79" s="1"/>
  <c r="E507" i="79" s="1"/>
  <c r="E508" i="79" s="1"/>
  <c r="E509" i="79" s="1"/>
  <c r="E510" i="79" s="1"/>
  <c r="E511" i="79" s="1"/>
  <c r="E512" i="79" s="1"/>
  <c r="E513" i="79" s="1"/>
  <c r="E514" i="79" s="1"/>
  <c r="E515" i="79" s="1"/>
  <c r="E516" i="79" s="1"/>
  <c r="E517" i="79" s="1"/>
  <c r="E518" i="79" s="1"/>
  <c r="E519" i="79" s="1"/>
  <c r="E520" i="79" s="1"/>
  <c r="E521" i="79" s="1"/>
  <c r="E522" i="79" s="1"/>
  <c r="E523" i="79" s="1"/>
  <c r="E524" i="79" s="1"/>
  <c r="E525" i="79" s="1"/>
  <c r="E526" i="79" s="1"/>
  <c r="E527" i="79" s="1"/>
  <c r="E528" i="79" s="1"/>
  <c r="E529" i="79" s="1"/>
  <c r="AH21" i="79"/>
  <c r="R15" i="79"/>
  <c r="AW29" i="79"/>
  <c r="AL15" i="79"/>
  <c r="AE15" i="79"/>
  <c r="AM15" i="79" s="1"/>
  <c r="AD15" i="79"/>
  <c r="W15" i="79"/>
  <c r="V15" i="79"/>
  <c r="N15" i="79"/>
  <c r="AK1" i="79"/>
  <c r="AC1" i="79"/>
  <c r="AH33" i="82" l="1"/>
  <c r="BH32" i="82"/>
  <c r="BN32" i="82"/>
  <c r="BK32" i="83"/>
  <c r="J33" i="83"/>
  <c r="J32" i="82"/>
  <c r="BK31" i="82"/>
  <c r="BF394" i="79"/>
  <c r="BG77" i="79"/>
  <c r="BN303" i="79"/>
  <c r="BI525" i="79"/>
  <c r="BG427" i="79"/>
  <c r="BF357" i="79"/>
  <c r="BI508" i="79"/>
  <c r="BF338" i="79"/>
  <c r="BO212" i="79"/>
  <c r="BN295" i="79"/>
  <c r="BI142" i="79"/>
  <c r="BG175" i="79"/>
  <c r="BI228" i="79"/>
  <c r="BF344" i="79"/>
  <c r="BI362" i="79"/>
  <c r="BM480" i="79"/>
  <c r="BL184" i="79"/>
  <c r="BG217" i="79"/>
  <c r="BO227" i="79"/>
  <c r="BI378" i="79"/>
  <c r="BF379" i="79"/>
  <c r="BG73" i="79"/>
  <c r="BG74" i="79"/>
  <c r="BM65" i="79"/>
  <c r="BH75" i="79"/>
  <c r="BG212" i="79"/>
  <c r="BF391" i="79"/>
  <c r="BF392" i="79"/>
  <c r="BN337" i="79"/>
  <c r="BG343" i="79"/>
  <c r="BG376" i="79"/>
  <c r="BN104" i="79"/>
  <c r="BI244" i="79"/>
  <c r="BG209" i="79"/>
  <c r="BI241" i="79"/>
  <c r="BO243" i="79"/>
  <c r="BG271" i="79"/>
  <c r="BG272" i="79"/>
  <c r="BO337" i="79"/>
  <c r="BG338" i="79"/>
  <c r="BF340" i="79"/>
  <c r="BL342" i="79"/>
  <c r="BH344" i="79"/>
  <c r="BG345" i="79"/>
  <c r="BF346" i="79"/>
  <c r="BG369" i="79"/>
  <c r="BI374" i="79"/>
  <c r="BG377" i="79"/>
  <c r="BF378" i="79"/>
  <c r="BF424" i="79"/>
  <c r="BF426" i="79"/>
  <c r="BF428" i="79"/>
  <c r="BG54" i="79"/>
  <c r="BG32" i="79"/>
  <c r="BH126" i="79"/>
  <c r="BH127" i="79"/>
  <c r="BN137" i="79"/>
  <c r="BG162" i="79"/>
  <c r="BO208" i="79"/>
  <c r="BO240" i="79"/>
  <c r="BN269" i="79"/>
  <c r="BN270" i="79"/>
  <c r="BF297" i="79"/>
  <c r="BF298" i="79"/>
  <c r="BH332" i="79"/>
  <c r="BG333" i="79"/>
  <c r="BH338" i="79"/>
  <c r="BG346" i="79"/>
  <c r="BI369" i="79"/>
  <c r="BG370" i="79"/>
  <c r="BF371" i="79"/>
  <c r="BO373" i="79"/>
  <c r="BO376" i="79"/>
  <c r="BF422" i="79"/>
  <c r="BN505" i="79"/>
  <c r="BN51" i="79"/>
  <c r="BG89" i="79"/>
  <c r="BG90" i="79"/>
  <c r="BG91" i="79"/>
  <c r="BG189" i="79"/>
  <c r="BN259" i="79"/>
  <c r="BI365" i="79"/>
  <c r="BG366" i="79"/>
  <c r="BO424" i="79"/>
  <c r="BF451" i="79"/>
  <c r="BF452" i="79"/>
  <c r="BF453" i="79"/>
  <c r="BL179" i="79"/>
  <c r="BG362" i="79"/>
  <c r="BG397" i="79"/>
  <c r="BF398" i="79"/>
  <c r="BG399" i="79"/>
  <c r="BF400" i="79"/>
  <c r="BG401" i="79"/>
  <c r="BF402" i="79"/>
  <c r="BF38" i="79"/>
  <c r="BH47" i="79"/>
  <c r="BG225" i="79"/>
  <c r="BF418" i="79"/>
  <c r="BI209" i="79"/>
  <c r="BO211" i="79"/>
  <c r="BF380" i="79"/>
  <c r="BI49" i="79"/>
  <c r="BI50" i="79"/>
  <c r="BG62" i="79"/>
  <c r="BG85" i="79"/>
  <c r="BG86" i="79"/>
  <c r="BN88" i="79"/>
  <c r="BN92" i="79"/>
  <c r="BH122" i="79"/>
  <c r="BH123" i="79"/>
  <c r="BG149" i="79"/>
  <c r="BO224" i="79"/>
  <c r="BI225" i="79"/>
  <c r="BG226" i="79"/>
  <c r="BG229" i="79"/>
  <c r="BG242" i="79"/>
  <c r="BG245" i="79"/>
  <c r="BL331" i="79"/>
  <c r="BH333" i="79"/>
  <c r="BI356" i="79"/>
  <c r="BG390" i="79"/>
  <c r="BG393" i="79"/>
  <c r="BG417" i="79"/>
  <c r="BF313" i="79"/>
  <c r="BH315" i="79"/>
  <c r="BF319" i="79"/>
  <c r="BH321" i="79"/>
  <c r="BF323" i="79"/>
  <c r="BH346" i="79"/>
  <c r="BG358" i="79"/>
  <c r="BG359" i="79"/>
  <c r="BG433" i="79"/>
  <c r="BG435" i="79"/>
  <c r="BF436" i="79"/>
  <c r="BG437" i="79"/>
  <c r="BO440" i="79"/>
  <c r="BN477" i="79"/>
  <c r="BM524" i="79"/>
  <c r="BN83" i="79"/>
  <c r="BH118" i="79"/>
  <c r="BH119" i="79"/>
  <c r="BH134" i="79"/>
  <c r="BG146" i="79"/>
  <c r="BG165" i="79"/>
  <c r="BI220" i="79"/>
  <c r="BH305" i="79"/>
  <c r="BF306" i="79"/>
  <c r="BF308" i="79"/>
  <c r="BH310" i="79"/>
  <c r="BO314" i="79"/>
  <c r="BF316" i="79"/>
  <c r="BF317" i="79"/>
  <c r="BO320" i="79"/>
  <c r="BO322" i="79"/>
  <c r="BH323" i="79"/>
  <c r="BF325" i="79"/>
  <c r="BF327" i="79"/>
  <c r="BO357" i="79"/>
  <c r="BF386" i="79"/>
  <c r="BF387" i="79"/>
  <c r="BO418" i="79"/>
  <c r="BI31" i="79"/>
  <c r="BI236" i="79"/>
  <c r="BN307" i="79"/>
  <c r="BH308" i="79"/>
  <c r="BO324" i="79"/>
  <c r="BH325" i="79"/>
  <c r="BO433" i="79"/>
  <c r="BO437" i="79"/>
  <c r="BO474" i="79"/>
  <c r="BL30" i="79"/>
  <c r="BH34" i="79"/>
  <c r="BH114" i="79"/>
  <c r="BH115" i="79"/>
  <c r="BH130" i="79"/>
  <c r="BH131" i="79"/>
  <c r="BM260" i="79"/>
  <c r="BH261" i="79"/>
  <c r="BM33" i="79"/>
  <c r="BM57" i="79"/>
  <c r="BN96" i="79"/>
  <c r="BL182" i="79"/>
  <c r="BG208" i="79"/>
  <c r="BG233" i="79"/>
  <c r="BN260" i="79"/>
  <c r="BG269" i="79"/>
  <c r="BF369" i="79"/>
  <c r="BG509" i="79"/>
  <c r="BI140" i="79"/>
  <c r="BN508" i="79"/>
  <c r="BI509" i="79"/>
  <c r="BG51" i="79"/>
  <c r="BN78" i="79"/>
  <c r="BO139" i="79"/>
  <c r="BG157" i="79"/>
  <c r="BI188" i="79"/>
  <c r="BG198" i="79"/>
  <c r="BO204" i="79"/>
  <c r="BI205" i="79"/>
  <c r="BO216" i="79"/>
  <c r="BI217" i="79"/>
  <c r="BG218" i="79"/>
  <c r="BO232" i="79"/>
  <c r="BI233" i="79"/>
  <c r="BG234" i="79"/>
  <c r="BO248" i="79"/>
  <c r="BI249" i="79"/>
  <c r="BG250" i="79"/>
  <c r="BN267" i="79"/>
  <c r="BN268" i="79"/>
  <c r="BG270" i="79"/>
  <c r="BN296" i="79"/>
  <c r="BN304" i="79"/>
  <c r="BO358" i="79"/>
  <c r="BI366" i="79"/>
  <c r="BO368" i="79"/>
  <c r="BO421" i="79"/>
  <c r="BG425" i="79"/>
  <c r="BL450" i="79"/>
  <c r="BM508" i="79"/>
  <c r="BI526" i="79"/>
  <c r="BI27" i="79"/>
  <c r="BL34" i="79"/>
  <c r="BF35" i="79"/>
  <c r="BF39" i="79"/>
  <c r="BH43" i="79"/>
  <c r="BG70" i="79"/>
  <c r="BN74" i="79"/>
  <c r="BG100" i="79"/>
  <c r="BG101" i="79"/>
  <c r="BG102" i="79"/>
  <c r="BG103" i="79"/>
  <c r="BG104" i="79"/>
  <c r="BH109" i="79"/>
  <c r="BN111" i="79"/>
  <c r="BN113" i="79"/>
  <c r="BN117" i="79"/>
  <c r="BN121" i="79"/>
  <c r="BN125" i="79"/>
  <c r="BN129" i="79"/>
  <c r="BN133" i="79"/>
  <c r="BG154" i="79"/>
  <c r="BG170" i="79"/>
  <c r="BG172" i="79"/>
  <c r="BG173" i="79"/>
  <c r="BL176" i="79"/>
  <c r="BI189" i="79"/>
  <c r="BI190" i="79"/>
  <c r="BG191" i="79"/>
  <c r="BG192" i="79"/>
  <c r="BI198" i="79"/>
  <c r="BG199" i="79"/>
  <c r="BG200" i="79"/>
  <c r="BG201" i="79"/>
  <c r="BF206" i="79"/>
  <c r="BO219" i="79"/>
  <c r="BG221" i="79"/>
  <c r="BO235" i="79"/>
  <c r="BG237" i="79"/>
  <c r="BO251" i="79"/>
  <c r="BM252" i="79"/>
  <c r="BH253" i="79"/>
  <c r="BI258" i="79"/>
  <c r="BL332" i="79"/>
  <c r="BG429" i="79"/>
  <c r="BO34" i="79"/>
  <c r="BG35" i="79"/>
  <c r="BH40" i="79"/>
  <c r="BH41" i="79"/>
  <c r="BH44" i="79"/>
  <c r="BG67" i="79"/>
  <c r="BG95" i="79"/>
  <c r="BG96" i="79"/>
  <c r="BN99" i="79"/>
  <c r="BG105" i="79"/>
  <c r="BG106" i="79"/>
  <c r="BG107" i="79"/>
  <c r="BL155" i="79"/>
  <c r="BL171" i="79"/>
  <c r="BI192" i="79"/>
  <c r="BF193" i="79"/>
  <c r="BG194" i="79"/>
  <c r="BG195" i="79"/>
  <c r="BG206" i="79"/>
  <c r="BI221" i="79"/>
  <c r="BG222" i="79"/>
  <c r="BI237" i="79"/>
  <c r="BG238" i="79"/>
  <c r="BN252" i="79"/>
  <c r="BH254" i="79"/>
  <c r="BN309" i="79"/>
  <c r="BF311" i="79"/>
  <c r="BO316" i="79"/>
  <c r="BH317" i="79"/>
  <c r="BN326" i="79"/>
  <c r="BO332" i="79"/>
  <c r="BF334" i="79"/>
  <c r="BI371" i="79"/>
  <c r="BI380" i="79"/>
  <c r="BG382" i="79"/>
  <c r="BO386" i="79"/>
  <c r="BG387" i="79"/>
  <c r="BF388" i="79"/>
  <c r="BG394" i="79"/>
  <c r="BF395" i="79"/>
  <c r="BG402" i="79"/>
  <c r="BF403" i="79"/>
  <c r="BF408" i="79"/>
  <c r="BG409" i="79"/>
  <c r="BF410" i="79"/>
  <c r="BO425" i="79"/>
  <c r="BG487" i="79"/>
  <c r="BI489" i="79"/>
  <c r="BG490" i="79"/>
  <c r="BG492" i="79"/>
  <c r="BG493" i="79"/>
  <c r="BF31" i="79"/>
  <c r="BO39" i="79"/>
  <c r="BM68" i="79"/>
  <c r="BL152" i="79"/>
  <c r="BL168" i="79"/>
  <c r="BO207" i="79"/>
  <c r="BO223" i="79"/>
  <c r="BO239" i="79"/>
  <c r="BG241" i="79"/>
  <c r="BI254" i="79"/>
  <c r="BH255" i="79"/>
  <c r="BM259" i="79"/>
  <c r="BH311" i="79"/>
  <c r="BO326" i="79"/>
  <c r="BH327" i="79"/>
  <c r="BH334" i="79"/>
  <c r="BN339" i="79"/>
  <c r="BH340" i="79"/>
  <c r="BG347" i="79"/>
  <c r="BG353" i="79"/>
  <c r="BF355" i="79"/>
  <c r="BG372" i="79"/>
  <c r="BI382" i="79"/>
  <c r="BG403" i="79"/>
  <c r="BF404" i="79"/>
  <c r="BG405" i="79"/>
  <c r="BF406" i="79"/>
  <c r="BG410" i="79"/>
  <c r="BF411" i="79"/>
  <c r="BL429" i="79"/>
  <c r="BF430" i="79"/>
  <c r="BG431" i="79"/>
  <c r="BF432" i="79"/>
  <c r="BI516" i="79"/>
  <c r="AK17" i="79" a="1"/>
  <c r="AK17" i="79" s="1"/>
  <c r="AK15" i="79" s="1"/>
  <c r="BO312" i="79"/>
  <c r="BH313" i="79"/>
  <c r="BO318" i="79"/>
  <c r="BH319" i="79"/>
  <c r="BN328" i="79"/>
  <c r="BF329" i="79"/>
  <c r="BG341" i="79"/>
  <c r="BO346" i="79"/>
  <c r="BI348" i="79"/>
  <c r="BG349" i="79"/>
  <c r="BG350" i="79"/>
  <c r="BF351" i="79"/>
  <c r="BI353" i="79"/>
  <c r="BG356" i="79"/>
  <c r="BI372" i="79"/>
  <c r="BG411" i="79"/>
  <c r="BF412" i="79"/>
  <c r="BF413" i="79"/>
  <c r="BG414" i="79"/>
  <c r="BG415" i="79"/>
  <c r="BF416" i="79"/>
  <c r="BF417" i="79"/>
  <c r="BO429" i="79"/>
  <c r="BO487" i="79"/>
  <c r="BO490" i="79"/>
  <c r="BF32" i="79"/>
  <c r="BG59" i="79"/>
  <c r="BF295" i="79"/>
  <c r="BF303" i="79"/>
  <c r="BF314" i="79"/>
  <c r="BO328" i="79"/>
  <c r="BG329" i="79"/>
  <c r="BG331" i="79"/>
  <c r="BF335" i="79"/>
  <c r="BH341" i="79"/>
  <c r="BG373" i="79"/>
  <c r="BO432" i="79"/>
  <c r="BF434" i="79"/>
  <c r="BH475" i="79"/>
  <c r="BF476" i="79"/>
  <c r="BF478" i="79"/>
  <c r="BI481" i="79"/>
  <c r="BG483" i="79"/>
  <c r="BM516" i="79"/>
  <c r="BG517" i="79"/>
  <c r="BM60" i="79"/>
  <c r="BG80" i="79"/>
  <c r="BG81" i="79"/>
  <c r="BG82" i="79"/>
  <c r="BL147" i="79"/>
  <c r="BL163" i="79"/>
  <c r="BG213" i="79"/>
  <c r="BI229" i="79"/>
  <c r="BG230" i="79"/>
  <c r="BI245" i="79"/>
  <c r="BG246" i="79"/>
  <c r="BN293" i="79"/>
  <c r="BN294" i="79"/>
  <c r="BF296" i="79"/>
  <c r="BN301" i="79"/>
  <c r="BN302" i="79"/>
  <c r="BF304" i="79"/>
  <c r="BF315" i="79"/>
  <c r="BN320" i="79"/>
  <c r="BF321" i="79"/>
  <c r="BH329" i="79"/>
  <c r="BO334" i="79"/>
  <c r="BG335" i="79"/>
  <c r="BH336" i="79"/>
  <c r="BG337" i="79"/>
  <c r="BF343" i="79"/>
  <c r="BF361" i="79"/>
  <c r="BF366" i="79"/>
  <c r="BG419" i="79"/>
  <c r="BF420" i="79"/>
  <c r="BG421" i="79"/>
  <c r="BF438" i="79"/>
  <c r="BG439" i="79"/>
  <c r="BF440" i="79"/>
  <c r="BF469" i="79"/>
  <c r="BF470" i="79"/>
  <c r="BF471" i="79"/>
  <c r="BN516" i="79"/>
  <c r="BH140" i="79"/>
  <c r="BL160" i="79"/>
  <c r="BG178" i="79"/>
  <c r="BG180" i="79"/>
  <c r="BG181" i="79"/>
  <c r="BG183" i="79"/>
  <c r="BI185" i="79"/>
  <c r="BI186" i="79"/>
  <c r="BI187" i="79"/>
  <c r="BG188" i="79"/>
  <c r="BG205" i="79"/>
  <c r="BI213" i="79"/>
  <c r="BO215" i="79"/>
  <c r="BO231" i="79"/>
  <c r="BO247" i="79"/>
  <c r="BG249" i="79"/>
  <c r="BI375" i="79"/>
  <c r="BG423" i="79"/>
  <c r="BG441" i="79"/>
  <c r="BF442" i="79"/>
  <c r="BG443" i="79"/>
  <c r="BF444" i="79"/>
  <c r="BG445" i="79"/>
  <c r="BF446" i="79"/>
  <c r="BG447" i="79"/>
  <c r="BF448" i="79"/>
  <c r="BF454" i="79"/>
  <c r="BF455" i="79"/>
  <c r="BF456" i="79"/>
  <c r="BF457" i="79"/>
  <c r="BF458" i="79"/>
  <c r="BF459" i="79"/>
  <c r="BF460" i="79"/>
  <c r="BF461" i="79"/>
  <c r="BF462" i="79"/>
  <c r="BF463" i="79"/>
  <c r="BF464" i="79"/>
  <c r="BF465" i="79"/>
  <c r="BF466" i="79"/>
  <c r="BF467" i="79"/>
  <c r="BO214" i="79"/>
  <c r="BI214" i="79"/>
  <c r="BM265" i="79"/>
  <c r="BG265" i="79"/>
  <c r="BM273" i="79"/>
  <c r="BG273" i="79"/>
  <c r="BH282" i="79"/>
  <c r="BN282" i="79"/>
  <c r="BH290" i="79"/>
  <c r="BN290" i="79"/>
  <c r="BI352" i="79"/>
  <c r="BO352" i="79"/>
  <c r="BO354" i="79"/>
  <c r="BI354" i="79"/>
  <c r="BM364" i="79"/>
  <c r="BG364" i="79"/>
  <c r="BM518" i="79"/>
  <c r="BG518" i="79"/>
  <c r="BO30" i="79"/>
  <c r="BO38" i="79"/>
  <c r="BN42" i="79"/>
  <c r="BI43" i="79"/>
  <c r="BN46" i="79"/>
  <c r="BI47" i="79"/>
  <c r="BN50" i="79"/>
  <c r="BM58" i="79"/>
  <c r="BM66" i="79"/>
  <c r="BN73" i="79"/>
  <c r="BN80" i="79"/>
  <c r="BH82" i="79"/>
  <c r="BG83" i="79"/>
  <c r="BN94" i="79"/>
  <c r="BG97" i="79"/>
  <c r="BG98" i="79"/>
  <c r="BG99" i="79"/>
  <c r="BN112" i="79"/>
  <c r="BI113" i="79"/>
  <c r="BN116" i="79"/>
  <c r="BI117" i="79"/>
  <c r="BN120" i="79"/>
  <c r="BI121" i="79"/>
  <c r="BN124" i="79"/>
  <c r="BI125" i="79"/>
  <c r="BN128" i="79"/>
  <c r="BI129" i="79"/>
  <c r="BN132" i="79"/>
  <c r="BI133" i="79"/>
  <c r="BN136" i="79"/>
  <c r="BI137" i="79"/>
  <c r="BL145" i="79"/>
  <c r="BG147" i="79"/>
  <c r="BL153" i="79"/>
  <c r="BG155" i="79"/>
  <c r="BL161" i="79"/>
  <c r="BG163" i="79"/>
  <c r="BL169" i="79"/>
  <c r="BG171" i="79"/>
  <c r="BL177" i="79"/>
  <c r="BG179" i="79"/>
  <c r="BG186" i="79"/>
  <c r="BG190" i="79"/>
  <c r="BI194" i="79"/>
  <c r="BF195" i="79"/>
  <c r="BG197" i="79"/>
  <c r="BI200" i="79"/>
  <c r="BO200" i="79"/>
  <c r="BO201" i="79"/>
  <c r="BI201" i="79"/>
  <c r="BF205" i="79"/>
  <c r="BM207" i="79"/>
  <c r="BG207" i="79"/>
  <c r="BO218" i="79"/>
  <c r="BI218" i="79"/>
  <c r="BM223" i="79"/>
  <c r="BG223" i="79"/>
  <c r="BO234" i="79"/>
  <c r="BI234" i="79"/>
  <c r="BM239" i="79"/>
  <c r="BG239" i="79"/>
  <c r="BO250" i="79"/>
  <c r="BI250" i="79"/>
  <c r="BM264" i="79"/>
  <c r="BG264" i="79"/>
  <c r="BH272" i="79"/>
  <c r="BN272" i="79"/>
  <c r="BH273" i="79"/>
  <c r="BN273" i="79"/>
  <c r="BH281" i="79"/>
  <c r="BN281" i="79"/>
  <c r="BH289" i="79"/>
  <c r="BN289" i="79"/>
  <c r="BN312" i="79"/>
  <c r="BN316" i="79"/>
  <c r="BN322" i="79"/>
  <c r="BM363" i="79"/>
  <c r="BG363" i="79"/>
  <c r="BL427" i="79"/>
  <c r="BH48" i="79"/>
  <c r="BF52" i="79"/>
  <c r="BG53" i="79"/>
  <c r="BG61" i="79"/>
  <c r="BG69" i="79"/>
  <c r="BG76" i="79"/>
  <c r="BG84" i="79"/>
  <c r="BH138" i="79"/>
  <c r="BG141" i="79"/>
  <c r="BL146" i="79"/>
  <c r="BG148" i="79"/>
  <c r="BL154" i="79"/>
  <c r="BG156" i="79"/>
  <c r="BL162" i="79"/>
  <c r="BG164" i="79"/>
  <c r="BL170" i="79"/>
  <c r="BL178" i="79"/>
  <c r="BL185" i="79"/>
  <c r="BL189" i="79"/>
  <c r="BO206" i="79"/>
  <c r="BI206" i="79"/>
  <c r="BG256" i="79"/>
  <c r="BM256" i="79"/>
  <c r="BN257" i="79"/>
  <c r="BH257" i="79"/>
  <c r="BM263" i="79"/>
  <c r="BG263" i="79"/>
  <c r="BH280" i="79"/>
  <c r="BN280" i="79"/>
  <c r="BH288" i="79"/>
  <c r="BN288" i="79"/>
  <c r="BL330" i="79"/>
  <c r="BF339" i="79"/>
  <c r="BL339" i="79"/>
  <c r="BO361" i="79"/>
  <c r="BI361" i="79"/>
  <c r="BI434" i="79"/>
  <c r="BO434" i="79"/>
  <c r="BI483" i="79"/>
  <c r="BO483" i="79"/>
  <c r="BM497" i="79"/>
  <c r="BG497" i="79"/>
  <c r="BI40" i="79"/>
  <c r="BI44" i="79"/>
  <c r="BI48" i="79"/>
  <c r="BI114" i="79"/>
  <c r="BI118" i="79"/>
  <c r="BI122" i="79"/>
  <c r="BI126" i="79"/>
  <c r="BI130" i="79"/>
  <c r="BI134" i="79"/>
  <c r="BI138" i="79"/>
  <c r="BG187" i="79"/>
  <c r="BF191" i="79"/>
  <c r="BL197" i="79"/>
  <c r="BM211" i="79"/>
  <c r="BG211" i="79"/>
  <c r="BO222" i="79"/>
  <c r="BI222" i="79"/>
  <c r="BM227" i="79"/>
  <c r="BG227" i="79"/>
  <c r="BO238" i="79"/>
  <c r="BI238" i="79"/>
  <c r="BM243" i="79"/>
  <c r="BG243" i="79"/>
  <c r="BH256" i="79"/>
  <c r="BN256" i="79"/>
  <c r="BH279" i="79"/>
  <c r="BN279" i="79"/>
  <c r="BH287" i="79"/>
  <c r="BN287" i="79"/>
  <c r="BL293" i="79"/>
  <c r="BF293" i="79"/>
  <c r="BL294" i="79"/>
  <c r="BF294" i="79"/>
  <c r="BL301" i="79"/>
  <c r="BF301" i="79"/>
  <c r="BL302" i="79"/>
  <c r="BF302" i="79"/>
  <c r="BL307" i="79"/>
  <c r="BL312" i="79"/>
  <c r="BF312" i="79"/>
  <c r="BN324" i="79"/>
  <c r="BI338" i="79"/>
  <c r="BO338" i="79"/>
  <c r="BM339" i="79"/>
  <c r="BG339" i="79"/>
  <c r="BH345" i="79"/>
  <c r="BN345" i="79"/>
  <c r="BO360" i="79"/>
  <c r="BI360" i="79"/>
  <c r="BM426" i="79"/>
  <c r="BG426" i="79"/>
  <c r="BM496" i="79"/>
  <c r="BG496" i="79"/>
  <c r="BL188" i="79"/>
  <c r="BH266" i="79"/>
  <c r="BN266" i="79"/>
  <c r="BH274" i="79"/>
  <c r="BN274" i="79"/>
  <c r="BI26" i="79"/>
  <c r="BL28" i="79"/>
  <c r="BH45" i="79"/>
  <c r="BH49" i="79"/>
  <c r="BG55" i="79"/>
  <c r="BG63" i="79"/>
  <c r="BG71" i="79"/>
  <c r="BN84" i="79"/>
  <c r="BG87" i="79"/>
  <c r="BG88" i="79"/>
  <c r="BH135" i="79"/>
  <c r="BH139" i="79"/>
  <c r="BN141" i="79"/>
  <c r="BG143" i="79"/>
  <c r="BL148" i="79"/>
  <c r="BG150" i="79"/>
  <c r="BL156" i="79"/>
  <c r="BG158" i="79"/>
  <c r="BL164" i="79"/>
  <c r="BG166" i="79"/>
  <c r="BL172" i="79"/>
  <c r="BG174" i="79"/>
  <c r="BL180" i="79"/>
  <c r="BG182" i="79"/>
  <c r="BL186" i="79"/>
  <c r="BL204" i="79"/>
  <c r="BF204" i="79"/>
  <c r="BN262" i="79"/>
  <c r="BH262" i="79"/>
  <c r="BO263" i="79"/>
  <c r="BI263" i="79"/>
  <c r="BH278" i="79"/>
  <c r="BN278" i="79"/>
  <c r="BH286" i="79"/>
  <c r="BN286" i="79"/>
  <c r="BL292" i="79"/>
  <c r="BF292" i="79"/>
  <c r="BL300" i="79"/>
  <c r="BF300" i="79"/>
  <c r="BN318" i="79"/>
  <c r="BL336" i="79"/>
  <c r="BI345" i="79"/>
  <c r="BO345" i="79"/>
  <c r="BI444" i="79"/>
  <c r="BO444" i="79"/>
  <c r="BI24" i="79"/>
  <c r="BH33" i="79"/>
  <c r="BG36" i="79"/>
  <c r="BG37" i="79"/>
  <c r="BI41" i="79"/>
  <c r="BI45" i="79"/>
  <c r="BG56" i="79"/>
  <c r="BG64" i="79"/>
  <c r="BG72" i="79"/>
  <c r="BG79" i="79"/>
  <c r="BN86" i="79"/>
  <c r="BN107" i="79"/>
  <c r="BN108" i="79"/>
  <c r="BH110" i="79"/>
  <c r="BI115" i="79"/>
  <c r="BI119" i="79"/>
  <c r="BI123" i="79"/>
  <c r="BI127" i="79"/>
  <c r="BI131" i="79"/>
  <c r="BI135" i="79"/>
  <c r="BN142" i="79"/>
  <c r="BL149" i="79"/>
  <c r="BG151" i="79"/>
  <c r="BL157" i="79"/>
  <c r="BG159" i="79"/>
  <c r="BL165" i="79"/>
  <c r="BG167" i="79"/>
  <c r="BL173" i="79"/>
  <c r="BL181" i="79"/>
  <c r="BM204" i="79"/>
  <c r="BG204" i="79"/>
  <c r="BM215" i="79"/>
  <c r="BG215" i="79"/>
  <c r="BO226" i="79"/>
  <c r="BI226" i="79"/>
  <c r="BM231" i="79"/>
  <c r="BG231" i="79"/>
  <c r="BO242" i="79"/>
  <c r="BI242" i="79"/>
  <c r="BM247" i="79"/>
  <c r="BG247" i="79"/>
  <c r="BO262" i="79"/>
  <c r="BI262" i="79"/>
  <c r="BH277" i="79"/>
  <c r="BN277" i="79"/>
  <c r="BH285" i="79"/>
  <c r="BN285" i="79"/>
  <c r="BN314" i="79"/>
  <c r="BM330" i="79"/>
  <c r="BG330" i="79"/>
  <c r="BO342" i="79"/>
  <c r="BI370" i="79"/>
  <c r="BO370" i="79"/>
  <c r="BM383" i="79"/>
  <c r="BG383" i="79"/>
  <c r="BM404" i="79"/>
  <c r="BG404" i="79"/>
  <c r="BM406" i="79"/>
  <c r="BG406" i="79"/>
  <c r="BM407" i="79"/>
  <c r="BG407" i="79"/>
  <c r="BL414" i="79"/>
  <c r="BF414" i="79"/>
  <c r="BO32" i="79"/>
  <c r="BI33" i="79"/>
  <c r="BH37" i="79"/>
  <c r="BG92" i="79"/>
  <c r="BG144" i="79"/>
  <c r="BL150" i="79"/>
  <c r="BG152" i="79"/>
  <c r="BL158" i="79"/>
  <c r="BG160" i="79"/>
  <c r="BL166" i="79"/>
  <c r="BG168" i="79"/>
  <c r="BL174" i="79"/>
  <c r="BG176" i="79"/>
  <c r="BG184" i="79"/>
  <c r="BL187" i="79"/>
  <c r="BM196" i="79"/>
  <c r="BG196" i="79"/>
  <c r="BM203" i="79"/>
  <c r="BG203" i="79"/>
  <c r="BO210" i="79"/>
  <c r="BI210" i="79"/>
  <c r="BM267" i="79"/>
  <c r="BG267" i="79"/>
  <c r="BH276" i="79"/>
  <c r="BN276" i="79"/>
  <c r="BH284" i="79"/>
  <c r="BN284" i="79"/>
  <c r="BH292" i="79"/>
  <c r="BN292" i="79"/>
  <c r="BH300" i="79"/>
  <c r="BN300" i="79"/>
  <c r="BM332" i="79"/>
  <c r="BG332" i="79"/>
  <c r="BH335" i="79"/>
  <c r="BN335" i="79"/>
  <c r="BF29" i="79"/>
  <c r="BG34" i="79"/>
  <c r="BI42" i="79"/>
  <c r="BI46" i="79"/>
  <c r="BN79" i="79"/>
  <c r="BN91" i="79"/>
  <c r="BG93" i="79"/>
  <c r="BG94" i="79"/>
  <c r="BI116" i="79"/>
  <c r="BI120" i="79"/>
  <c r="BI124" i="79"/>
  <c r="BI128" i="79"/>
  <c r="BI132" i="79"/>
  <c r="BI136" i="79"/>
  <c r="BN143" i="79"/>
  <c r="BI144" i="79"/>
  <c r="BG145" i="79"/>
  <c r="BL151" i="79"/>
  <c r="BG153" i="79"/>
  <c r="BL159" i="79"/>
  <c r="BG161" i="79"/>
  <c r="BL167" i="79"/>
  <c r="BG169" i="79"/>
  <c r="BL175" i="79"/>
  <c r="BG177" i="79"/>
  <c r="BL183" i="79"/>
  <c r="BG185" i="79"/>
  <c r="BG193" i="79"/>
  <c r="BM202" i="79"/>
  <c r="BG202" i="79"/>
  <c r="BM219" i="79"/>
  <c r="BG219" i="79"/>
  <c r="BO230" i="79"/>
  <c r="BI230" i="79"/>
  <c r="BM235" i="79"/>
  <c r="BG235" i="79"/>
  <c r="BO246" i="79"/>
  <c r="BI246" i="79"/>
  <c r="BM251" i="79"/>
  <c r="BG251" i="79"/>
  <c r="BM266" i="79"/>
  <c r="BG266" i="79"/>
  <c r="BH275" i="79"/>
  <c r="BN275" i="79"/>
  <c r="BH283" i="79"/>
  <c r="BN283" i="79"/>
  <c r="BH291" i="79"/>
  <c r="BN291" i="79"/>
  <c r="BH298" i="79"/>
  <c r="BN298" i="79"/>
  <c r="BH299" i="79"/>
  <c r="BN299" i="79"/>
  <c r="BN306" i="79"/>
  <c r="BH306" i="79"/>
  <c r="BL310" i="79"/>
  <c r="BN342" i="79"/>
  <c r="BH342" i="79"/>
  <c r="BO355" i="79"/>
  <c r="BI355" i="79"/>
  <c r="BM365" i="79"/>
  <c r="BG365" i="79"/>
  <c r="BF437" i="79"/>
  <c r="BL437" i="79"/>
  <c r="BG210" i="79"/>
  <c r="BG214" i="79"/>
  <c r="BN330" i="79"/>
  <c r="BL333" i="79"/>
  <c r="BF333" i="79"/>
  <c r="BM336" i="79"/>
  <c r="BG336" i="79"/>
  <c r="BN343" i="79"/>
  <c r="BI350" i="79"/>
  <c r="BI359" i="79"/>
  <c r="BG360" i="79"/>
  <c r="BO383" i="79"/>
  <c r="BI383" i="79"/>
  <c r="BM412" i="79"/>
  <c r="BG412" i="79"/>
  <c r="BM413" i="79"/>
  <c r="BG413" i="79"/>
  <c r="BL419" i="79"/>
  <c r="BO442" i="79"/>
  <c r="BM503" i="79"/>
  <c r="BG503" i="79"/>
  <c r="BO517" i="79"/>
  <c r="BI517" i="79"/>
  <c r="BM255" i="79"/>
  <c r="BN271" i="79"/>
  <c r="BN297" i="79"/>
  <c r="BF299" i="79"/>
  <c r="BF309" i="79"/>
  <c r="BO330" i="79"/>
  <c r="BF337" i="79"/>
  <c r="BL337" i="79"/>
  <c r="BM340" i="79"/>
  <c r="BG340" i="79"/>
  <c r="BO340" i="79"/>
  <c r="BL347" i="79"/>
  <c r="BF347" i="79"/>
  <c r="BG354" i="79"/>
  <c r="BM357" i="79"/>
  <c r="BG357" i="79"/>
  <c r="BL358" i="79"/>
  <c r="BF358" i="79"/>
  <c r="BO363" i="79"/>
  <c r="BI363" i="79"/>
  <c r="BI364" i="79"/>
  <c r="BO364" i="79"/>
  <c r="BM374" i="79"/>
  <c r="BG374" i="79"/>
  <c r="BM418" i="79"/>
  <c r="BG418" i="79"/>
  <c r="BL421" i="79"/>
  <c r="BI436" i="79"/>
  <c r="BO436" i="79"/>
  <c r="BM440" i="79"/>
  <c r="BG440" i="79"/>
  <c r="BL443" i="79"/>
  <c r="BN480" i="79"/>
  <c r="BM502" i="79"/>
  <c r="BG502" i="79"/>
  <c r="BM515" i="79"/>
  <c r="BG523" i="79"/>
  <c r="BM523" i="79"/>
  <c r="BF318" i="79"/>
  <c r="BF320" i="79"/>
  <c r="BF322" i="79"/>
  <c r="BF324" i="79"/>
  <c r="BF326" i="79"/>
  <c r="BF328" i="79"/>
  <c r="BM334" i="79"/>
  <c r="BG334" i="79"/>
  <c r="BL348" i="79"/>
  <c r="BF348" i="79"/>
  <c r="BF365" i="79"/>
  <c r="BM367" i="79"/>
  <c r="BG367" i="79"/>
  <c r="BL377" i="79"/>
  <c r="BF377" i="79"/>
  <c r="BI412" i="79"/>
  <c r="BO412" i="79"/>
  <c r="BM442" i="79"/>
  <c r="BG442" i="79"/>
  <c r="BL445" i="79"/>
  <c r="BL477" i="79"/>
  <c r="BF477" i="79"/>
  <c r="BM486" i="79"/>
  <c r="BG486" i="79"/>
  <c r="BM501" i="79"/>
  <c r="BG501" i="79"/>
  <c r="BH526" i="79"/>
  <c r="BN526" i="79"/>
  <c r="BI196" i="79"/>
  <c r="BH258" i="79"/>
  <c r="BO313" i="79"/>
  <c r="BO315" i="79"/>
  <c r="BO317" i="79"/>
  <c r="BO319" i="79"/>
  <c r="BO321" i="79"/>
  <c r="BO323" i="79"/>
  <c r="BO325" i="79"/>
  <c r="BO327" i="79"/>
  <c r="BN331" i="79"/>
  <c r="BL341" i="79"/>
  <c r="BF341" i="79"/>
  <c r="BM344" i="79"/>
  <c r="BG344" i="79"/>
  <c r="BL353" i="79"/>
  <c r="BF353" i="79"/>
  <c r="BL370" i="79"/>
  <c r="BF370" i="79"/>
  <c r="BL390" i="79"/>
  <c r="BF390" i="79"/>
  <c r="BL397" i="79"/>
  <c r="BF397" i="79"/>
  <c r="BL399" i="79"/>
  <c r="BF399" i="79"/>
  <c r="BI428" i="79"/>
  <c r="BO428" i="79"/>
  <c r="BM432" i="79"/>
  <c r="BG432" i="79"/>
  <c r="BL481" i="79"/>
  <c r="BF481" i="79"/>
  <c r="BM485" i="79"/>
  <c r="BG485" i="79"/>
  <c r="BO493" i="79"/>
  <c r="BI493" i="79"/>
  <c r="BM500" i="79"/>
  <c r="BG500" i="79"/>
  <c r="BG216" i="79"/>
  <c r="BG220" i="79"/>
  <c r="BG224" i="79"/>
  <c r="BG228" i="79"/>
  <c r="BG232" i="79"/>
  <c r="BG236" i="79"/>
  <c r="BG240" i="79"/>
  <c r="BG244" i="79"/>
  <c r="BG248" i="79"/>
  <c r="BG268" i="79"/>
  <c r="BO329" i="79"/>
  <c r="BF345" i="79"/>
  <c r="BL345" i="79"/>
  <c r="BM351" i="79"/>
  <c r="BG351" i="79"/>
  <c r="BM352" i="79"/>
  <c r="BG352" i="79"/>
  <c r="BM361" i="79"/>
  <c r="BG361" i="79"/>
  <c r="BI367" i="79"/>
  <c r="BO367" i="79"/>
  <c r="BM371" i="79"/>
  <c r="BG371" i="79"/>
  <c r="BM380" i="79"/>
  <c r="BG380" i="79"/>
  <c r="BM385" i="79"/>
  <c r="BG385" i="79"/>
  <c r="BM391" i="79"/>
  <c r="BG391" i="79"/>
  <c r="BM398" i="79"/>
  <c r="BG398" i="79"/>
  <c r="BL435" i="79"/>
  <c r="BM469" i="79"/>
  <c r="BG469" i="79"/>
  <c r="BM472" i="79"/>
  <c r="BG472" i="79"/>
  <c r="BH479" i="79"/>
  <c r="BN479" i="79"/>
  <c r="BI486" i="79"/>
  <c r="BO486" i="79"/>
  <c r="BM499" i="79"/>
  <c r="BG499" i="79"/>
  <c r="BM342" i="79"/>
  <c r="BG342" i="79"/>
  <c r="BM355" i="79"/>
  <c r="BG355" i="79"/>
  <c r="BL362" i="79"/>
  <c r="BF362" i="79"/>
  <c r="BG368" i="79"/>
  <c r="BI377" i="79"/>
  <c r="BO377" i="79"/>
  <c r="BM384" i="79"/>
  <c r="BG384" i="79"/>
  <c r="BM389" i="79"/>
  <c r="BG389" i="79"/>
  <c r="BM396" i="79"/>
  <c r="BG396" i="79"/>
  <c r="BL405" i="79"/>
  <c r="BF405" i="79"/>
  <c r="BL407" i="79"/>
  <c r="BF407" i="79"/>
  <c r="BI420" i="79"/>
  <c r="BO420" i="79"/>
  <c r="BM424" i="79"/>
  <c r="BG424" i="79"/>
  <c r="BO426" i="79"/>
  <c r="BM434" i="79"/>
  <c r="BG434" i="79"/>
  <c r="BM452" i="79"/>
  <c r="BG452" i="79"/>
  <c r="BM453" i="79"/>
  <c r="BG453" i="79"/>
  <c r="BM456" i="79"/>
  <c r="BG456" i="79"/>
  <c r="BM457" i="79"/>
  <c r="BG457" i="79"/>
  <c r="BM460" i="79"/>
  <c r="BG460" i="79"/>
  <c r="BM461" i="79"/>
  <c r="BG461" i="79"/>
  <c r="BM464" i="79"/>
  <c r="BG464" i="79"/>
  <c r="BM465" i="79"/>
  <c r="BG465" i="79"/>
  <c r="BM468" i="79"/>
  <c r="BG468" i="79"/>
  <c r="BM498" i="79"/>
  <c r="BG498" i="79"/>
  <c r="BN510" i="79"/>
  <c r="BM519" i="79"/>
  <c r="BG519" i="79"/>
  <c r="BO335" i="79"/>
  <c r="BO343" i="79"/>
  <c r="BL352" i="79"/>
  <c r="BG375" i="79"/>
  <c r="BG378" i="79"/>
  <c r="BI381" i="79"/>
  <c r="BF382" i="79"/>
  <c r="BO385" i="79"/>
  <c r="BG386" i="79"/>
  <c r="BO391" i="79"/>
  <c r="BG392" i="79"/>
  <c r="BF393" i="79"/>
  <c r="BG400" i="79"/>
  <c r="BF401" i="79"/>
  <c r="BG408" i="79"/>
  <c r="BF409" i="79"/>
  <c r="BG416" i="79"/>
  <c r="BG422" i="79"/>
  <c r="BF425" i="79"/>
  <c r="BG430" i="79"/>
  <c r="BF433" i="79"/>
  <c r="BG438" i="79"/>
  <c r="BF441" i="79"/>
  <c r="BO445" i="79"/>
  <c r="BG446" i="79"/>
  <c r="BO448" i="79"/>
  <c r="BM449" i="79"/>
  <c r="BG454" i="79"/>
  <c r="BG458" i="79"/>
  <c r="BG462" i="79"/>
  <c r="BG466" i="79"/>
  <c r="BG470" i="79"/>
  <c r="BO473" i="79"/>
  <c r="BG475" i="79"/>
  <c r="BO477" i="79"/>
  <c r="BI478" i="79"/>
  <c r="BF482" i="79"/>
  <c r="BG491" i="79"/>
  <c r="BM507" i="79"/>
  <c r="BG525" i="79"/>
  <c r="BO419" i="79"/>
  <c r="BG420" i="79"/>
  <c r="BF423" i="79"/>
  <c r="BO427" i="79"/>
  <c r="BG428" i="79"/>
  <c r="BF431" i="79"/>
  <c r="BO435" i="79"/>
  <c r="BG436" i="79"/>
  <c r="BF439" i="79"/>
  <c r="BO443" i="79"/>
  <c r="BG444" i="79"/>
  <c r="BF447" i="79"/>
  <c r="BM450" i="79"/>
  <c r="BG451" i="79"/>
  <c r="BG455" i="79"/>
  <c r="BG459" i="79"/>
  <c r="BG463" i="79"/>
  <c r="BG467" i="79"/>
  <c r="BG471" i="79"/>
  <c r="BN478" i="79"/>
  <c r="BG479" i="79"/>
  <c r="BO482" i="79"/>
  <c r="BG484" i="79"/>
  <c r="BO491" i="79"/>
  <c r="BG494" i="79"/>
  <c r="BG495" i="79"/>
  <c r="BG379" i="79"/>
  <c r="BG388" i="79"/>
  <c r="BF389" i="79"/>
  <c r="BG395" i="79"/>
  <c r="BF396" i="79"/>
  <c r="BO422" i="79"/>
  <c r="BO430" i="79"/>
  <c r="BO438" i="79"/>
  <c r="BO446" i="79"/>
  <c r="BF468" i="79"/>
  <c r="BF472" i="79"/>
  <c r="BG476" i="79"/>
  <c r="BI484" i="79"/>
  <c r="BI495" i="79"/>
  <c r="BN525" i="79"/>
  <c r="BO331" i="79"/>
  <c r="BO339" i="79"/>
  <c r="BL350" i="79"/>
  <c r="BI379" i="79"/>
  <c r="BO441" i="79"/>
  <c r="BG510" i="79"/>
  <c r="BM526" i="79"/>
  <c r="BG527" i="79"/>
  <c r="BO336" i="79"/>
  <c r="BO344" i="79"/>
  <c r="BF473" i="79"/>
  <c r="BI514" i="79"/>
  <c r="BI515" i="79"/>
  <c r="BI522" i="79"/>
  <c r="BO333" i="79"/>
  <c r="BO341" i="79"/>
  <c r="BI384" i="79"/>
  <c r="BO423" i="79"/>
  <c r="BO431" i="79"/>
  <c r="BO439" i="79"/>
  <c r="BO447" i="79"/>
  <c r="BG488" i="79"/>
  <c r="BG489" i="79"/>
  <c r="BN502" i="79"/>
  <c r="BH503" i="79"/>
  <c r="BH504" i="79"/>
  <c r="BI506" i="79"/>
  <c r="BI507" i="79"/>
  <c r="BG511" i="79"/>
  <c r="BN513" i="79"/>
  <c r="BN518" i="79"/>
  <c r="BL520" i="79"/>
  <c r="BN521" i="79"/>
  <c r="BI523" i="79"/>
  <c r="BB23" i="79"/>
  <c r="BB21" i="79"/>
  <c r="BN21" i="79"/>
  <c r="BH21" i="79"/>
  <c r="S529" i="79"/>
  <c r="S528" i="79"/>
  <c r="T523" i="79"/>
  <c r="S520" i="79"/>
  <c r="T515" i="79"/>
  <c r="S512" i="79"/>
  <c r="T507" i="79"/>
  <c r="S504" i="79"/>
  <c r="T501" i="79"/>
  <c r="T500" i="79"/>
  <c r="T499" i="79"/>
  <c r="T498" i="79"/>
  <c r="T497" i="79"/>
  <c r="T496" i="79"/>
  <c r="T495" i="79"/>
  <c r="T494" i="79"/>
  <c r="T493" i="79"/>
  <c r="T492" i="79"/>
  <c r="T491" i="79"/>
  <c r="T490" i="79"/>
  <c r="T489" i="79"/>
  <c r="T488" i="79"/>
  <c r="T487" i="79"/>
  <c r="T486" i="79"/>
  <c r="T485" i="79"/>
  <c r="T484" i="79"/>
  <c r="T483" i="79"/>
  <c r="T482" i="79"/>
  <c r="T481" i="79"/>
  <c r="T480" i="79"/>
  <c r="T479" i="79"/>
  <c r="T478" i="79"/>
  <c r="T477" i="79"/>
  <c r="T476" i="79"/>
  <c r="T475" i="79"/>
  <c r="T474" i="79"/>
  <c r="T473" i="79"/>
  <c r="S526" i="79"/>
  <c r="T521" i="79"/>
  <c r="S518" i="79"/>
  <c r="T513" i="79"/>
  <c r="S510" i="79"/>
  <c r="T505" i="79"/>
  <c r="S502" i="79"/>
  <c r="T529" i="79"/>
  <c r="T524" i="79"/>
  <c r="S521" i="79"/>
  <c r="T516" i="79"/>
  <c r="S513" i="79"/>
  <c r="T508" i="79"/>
  <c r="S505" i="79"/>
  <c r="T527" i="79"/>
  <c r="S524" i="79"/>
  <c r="T519" i="79"/>
  <c r="S516" i="79"/>
  <c r="T511" i="79"/>
  <c r="S527" i="79"/>
  <c r="T522" i="79"/>
  <c r="S519" i="79"/>
  <c r="T514" i="79"/>
  <c r="S511" i="79"/>
  <c r="T506" i="79"/>
  <c r="S503" i="79"/>
  <c r="T525" i="79"/>
  <c r="S522" i="79"/>
  <c r="T517" i="79"/>
  <c r="S514" i="79"/>
  <c r="T509" i="79"/>
  <c r="S506" i="79"/>
  <c r="T528" i="79"/>
  <c r="S525" i="79"/>
  <c r="T520" i="79"/>
  <c r="S517" i="79"/>
  <c r="T512" i="79"/>
  <c r="S509" i="79"/>
  <c r="T504" i="79"/>
  <c r="T526" i="79"/>
  <c r="T518" i="79"/>
  <c r="S507" i="79"/>
  <c r="S490" i="79"/>
  <c r="S476" i="79"/>
  <c r="S523" i="79"/>
  <c r="T503" i="79"/>
  <c r="S500" i="79"/>
  <c r="S496" i="79"/>
  <c r="S494" i="79"/>
  <c r="S515" i="79"/>
  <c r="T510" i="79"/>
  <c r="S492" i="79"/>
  <c r="S484" i="79"/>
  <c r="S482" i="79"/>
  <c r="S474" i="79"/>
  <c r="S499" i="79"/>
  <c r="S485" i="79"/>
  <c r="S477" i="79"/>
  <c r="S508" i="79"/>
  <c r="S486" i="79"/>
  <c r="S480" i="79"/>
  <c r="S498" i="79"/>
  <c r="S495" i="79"/>
  <c r="S493" i="79"/>
  <c r="S487" i="79"/>
  <c r="S475" i="79"/>
  <c r="T472" i="79"/>
  <c r="T471" i="79"/>
  <c r="T470" i="79"/>
  <c r="T469" i="79"/>
  <c r="T468" i="79"/>
  <c r="T467" i="79"/>
  <c r="T466" i="79"/>
  <c r="T465" i="79"/>
  <c r="T464" i="79"/>
  <c r="T463" i="79"/>
  <c r="T462" i="79"/>
  <c r="T461" i="79"/>
  <c r="T460" i="79"/>
  <c r="T459" i="79"/>
  <c r="T458" i="79"/>
  <c r="T457" i="79"/>
  <c r="T456" i="79"/>
  <c r="T455" i="79"/>
  <c r="T454" i="79"/>
  <c r="T502" i="79"/>
  <c r="S501" i="79"/>
  <c r="S497" i="79"/>
  <c r="S489" i="79"/>
  <c r="S481" i="79"/>
  <c r="S473" i="79"/>
  <c r="S479" i="79"/>
  <c r="S453" i="79"/>
  <c r="T449" i="79"/>
  <c r="S449" i="79"/>
  <c r="S491" i="79"/>
  <c r="S472" i="79"/>
  <c r="S470" i="79"/>
  <c r="S468" i="79"/>
  <c r="S466" i="79"/>
  <c r="S464" i="79"/>
  <c r="S462" i="79"/>
  <c r="S460" i="79"/>
  <c r="S458" i="79"/>
  <c r="S456" i="79"/>
  <c r="S454" i="79"/>
  <c r="S483" i="79"/>
  <c r="T451" i="79"/>
  <c r="T452" i="79"/>
  <c r="S451" i="79"/>
  <c r="S478" i="79"/>
  <c r="S471" i="79"/>
  <c r="S469" i="79"/>
  <c r="S467" i="79"/>
  <c r="S465" i="79"/>
  <c r="S463" i="79"/>
  <c r="S461" i="79"/>
  <c r="S459" i="79"/>
  <c r="S457" i="79"/>
  <c r="S455" i="79"/>
  <c r="S452" i="79"/>
  <c r="T450" i="79"/>
  <c r="T448" i="79"/>
  <c r="T447" i="79"/>
  <c r="T446" i="79"/>
  <c r="T445" i="79"/>
  <c r="T444" i="79"/>
  <c r="T443" i="79"/>
  <c r="T442" i="79"/>
  <c r="S488" i="79"/>
  <c r="T453" i="79"/>
  <c r="S450" i="79"/>
  <c r="S448" i="79"/>
  <c r="S447" i="79"/>
  <c r="S446" i="79"/>
  <c r="S445" i="79"/>
  <c r="S444" i="79"/>
  <c r="S443" i="79"/>
  <c r="S442" i="79"/>
  <c r="S441" i="79"/>
  <c r="S440" i="79"/>
  <c r="S439" i="79"/>
  <c r="S438" i="79"/>
  <c r="S437" i="79"/>
  <c r="S436" i="79"/>
  <c r="S435" i="79"/>
  <c r="S434" i="79"/>
  <c r="S433" i="79"/>
  <c r="S432" i="79"/>
  <c r="S431" i="79"/>
  <c r="S430" i="79"/>
  <c r="S429" i="79"/>
  <c r="S428" i="79"/>
  <c r="S427" i="79"/>
  <c r="S426" i="79"/>
  <c r="S425" i="79"/>
  <c r="S424" i="79"/>
  <c r="S423" i="79"/>
  <c r="S422" i="79"/>
  <c r="S421" i="79"/>
  <c r="S420" i="79"/>
  <c r="S419" i="79"/>
  <c r="S418" i="79"/>
  <c r="T440" i="79"/>
  <c r="T436" i="79"/>
  <c r="T432" i="79"/>
  <c r="T428" i="79"/>
  <c r="T424" i="79"/>
  <c r="T418" i="79"/>
  <c r="S417" i="79"/>
  <c r="S416" i="79"/>
  <c r="T419" i="79"/>
  <c r="T415" i="79"/>
  <c r="T414" i="79"/>
  <c r="T413" i="79"/>
  <c r="T412" i="79"/>
  <c r="T411" i="79"/>
  <c r="T410" i="79"/>
  <c r="T409" i="79"/>
  <c r="T408" i="79"/>
  <c r="T407" i="79"/>
  <c r="T406" i="79"/>
  <c r="T405" i="79"/>
  <c r="T404" i="79"/>
  <c r="T403" i="79"/>
  <c r="T402" i="79"/>
  <c r="T401" i="79"/>
  <c r="T400" i="79"/>
  <c r="T399" i="79"/>
  <c r="T398" i="79"/>
  <c r="T397" i="79"/>
  <c r="T396" i="79"/>
  <c r="T395" i="79"/>
  <c r="T394" i="79"/>
  <c r="T393" i="79"/>
  <c r="T392" i="79"/>
  <c r="T391" i="79"/>
  <c r="T390" i="79"/>
  <c r="T389" i="79"/>
  <c r="T388" i="79"/>
  <c r="T387" i="79"/>
  <c r="T386" i="79"/>
  <c r="T385" i="79"/>
  <c r="T384" i="79"/>
  <c r="T383" i="79"/>
  <c r="T382" i="79"/>
  <c r="T381" i="79"/>
  <c r="T441" i="79"/>
  <c r="T437" i="79"/>
  <c r="T433" i="79"/>
  <c r="T429" i="79"/>
  <c r="T425" i="79"/>
  <c r="T420" i="79"/>
  <c r="T421" i="79"/>
  <c r="T438" i="79"/>
  <c r="T434" i="79"/>
  <c r="T430" i="79"/>
  <c r="T426" i="79"/>
  <c r="T422" i="79"/>
  <c r="T439" i="79"/>
  <c r="T435" i="79"/>
  <c r="T431" i="79"/>
  <c r="T427" i="79"/>
  <c r="T423" i="79"/>
  <c r="T417" i="79"/>
  <c r="T416" i="79"/>
  <c r="S387" i="79"/>
  <c r="S381" i="79"/>
  <c r="S380" i="79"/>
  <c r="S379" i="79"/>
  <c r="S378" i="79"/>
  <c r="S377" i="79"/>
  <c r="S376" i="79"/>
  <c r="S375" i="79"/>
  <c r="S374" i="79"/>
  <c r="S373" i="79"/>
  <c r="S372" i="79"/>
  <c r="S371" i="79"/>
  <c r="S370" i="79"/>
  <c r="S369" i="79"/>
  <c r="S368" i="79"/>
  <c r="S367" i="79"/>
  <c r="S366" i="79"/>
  <c r="S365" i="79"/>
  <c r="S364" i="79"/>
  <c r="S363" i="79"/>
  <c r="S362" i="79"/>
  <c r="S361" i="79"/>
  <c r="S360" i="79"/>
  <c r="S359" i="79"/>
  <c r="S358" i="79"/>
  <c r="S357" i="79"/>
  <c r="S356" i="79"/>
  <c r="S355" i="79"/>
  <c r="S354" i="79"/>
  <c r="S353" i="79"/>
  <c r="S352" i="79"/>
  <c r="S390" i="79"/>
  <c r="S415" i="79"/>
  <c r="S413" i="79"/>
  <c r="S411" i="79"/>
  <c r="S409" i="79"/>
  <c r="S407" i="79"/>
  <c r="S405" i="79"/>
  <c r="S403" i="79"/>
  <c r="S401" i="79"/>
  <c r="S399" i="79"/>
  <c r="S397" i="79"/>
  <c r="S395" i="79"/>
  <c r="S393" i="79"/>
  <c r="S388" i="79"/>
  <c r="S384" i="79"/>
  <c r="S383" i="79"/>
  <c r="S391" i="79"/>
  <c r="S386" i="79"/>
  <c r="S389" i="79"/>
  <c r="S414" i="79"/>
  <c r="S412" i="79"/>
  <c r="S410" i="79"/>
  <c r="S408" i="79"/>
  <c r="S406" i="79"/>
  <c r="S404" i="79"/>
  <c r="S402" i="79"/>
  <c r="S400" i="79"/>
  <c r="S398" i="79"/>
  <c r="S396" i="79"/>
  <c r="S394" i="79"/>
  <c r="S392" i="79"/>
  <c r="T380" i="79"/>
  <c r="T379" i="79"/>
  <c r="T378" i="79"/>
  <c r="T377" i="79"/>
  <c r="T376" i="79"/>
  <c r="T375" i="79"/>
  <c r="T374" i="79"/>
  <c r="T373" i="79"/>
  <c r="T372" i="79"/>
  <c r="T371" i="79"/>
  <c r="T370" i="79"/>
  <c r="T369" i="79"/>
  <c r="T368" i="79"/>
  <c r="T367" i="79"/>
  <c r="T366" i="79"/>
  <c r="T365" i="79"/>
  <c r="T364" i="79"/>
  <c r="T363" i="79"/>
  <c r="T362" i="79"/>
  <c r="T361" i="79"/>
  <c r="T360" i="79"/>
  <c r="T359" i="79"/>
  <c r="T358" i="79"/>
  <c r="T357" i="79"/>
  <c r="T354" i="79"/>
  <c r="S349" i="79"/>
  <c r="T353" i="79"/>
  <c r="T347" i="79"/>
  <c r="T346" i="79"/>
  <c r="T345" i="79"/>
  <c r="T344" i="79"/>
  <c r="T343" i="79"/>
  <c r="T342" i="79"/>
  <c r="T341" i="79"/>
  <c r="T340" i="79"/>
  <c r="T339" i="79"/>
  <c r="T338" i="79"/>
  <c r="T337" i="79"/>
  <c r="T336" i="79"/>
  <c r="T335" i="79"/>
  <c r="T334" i="79"/>
  <c r="T333" i="79"/>
  <c r="T332" i="79"/>
  <c r="T331" i="79"/>
  <c r="T352" i="79"/>
  <c r="T348" i="79"/>
  <c r="S347" i="79"/>
  <c r="S346" i="79"/>
  <c r="S345" i="79"/>
  <c r="S344" i="79"/>
  <c r="S343" i="79"/>
  <c r="S342" i="79"/>
  <c r="S341" i="79"/>
  <c r="S340" i="79"/>
  <c r="S339" i="79"/>
  <c r="S338" i="79"/>
  <c r="S337" i="79"/>
  <c r="S336" i="79"/>
  <c r="S335" i="79"/>
  <c r="S334" i="79"/>
  <c r="S333" i="79"/>
  <c r="S332" i="79"/>
  <c r="S331" i="79"/>
  <c r="S330" i="79"/>
  <c r="S329" i="79"/>
  <c r="S328" i="79"/>
  <c r="S327" i="79"/>
  <c r="S326" i="79"/>
  <c r="S325" i="79"/>
  <c r="S324" i="79"/>
  <c r="S323" i="79"/>
  <c r="S322" i="79"/>
  <c r="S321" i="79"/>
  <c r="S320" i="79"/>
  <c r="S319" i="79"/>
  <c r="S318" i="79"/>
  <c r="S317" i="79"/>
  <c r="S316" i="79"/>
  <c r="S315" i="79"/>
  <c r="S314" i="79"/>
  <c r="S313" i="79"/>
  <c r="S312" i="79"/>
  <c r="S385" i="79"/>
  <c r="T351" i="79"/>
  <c r="S348" i="79"/>
  <c r="S382" i="79"/>
  <c r="S351" i="79"/>
  <c r="T350" i="79"/>
  <c r="T356" i="79"/>
  <c r="S350" i="79"/>
  <c r="T355" i="79"/>
  <c r="T349" i="79"/>
  <c r="T326" i="79"/>
  <c r="T318" i="79"/>
  <c r="T309" i="79"/>
  <c r="T305" i="79"/>
  <c r="T304" i="79"/>
  <c r="T303" i="79"/>
  <c r="T302" i="79"/>
  <c r="T301" i="79"/>
  <c r="T300" i="79"/>
  <c r="T299" i="79"/>
  <c r="T298" i="79"/>
  <c r="T297" i="79"/>
  <c r="T296" i="79"/>
  <c r="T295" i="79"/>
  <c r="T294" i="79"/>
  <c r="T293" i="79"/>
  <c r="T292" i="79"/>
  <c r="T291" i="79"/>
  <c r="T290" i="79"/>
  <c r="T289" i="79"/>
  <c r="T288" i="79"/>
  <c r="T287" i="79"/>
  <c r="T286" i="79"/>
  <c r="T285" i="79"/>
  <c r="T284" i="79"/>
  <c r="T283" i="79"/>
  <c r="T282" i="79"/>
  <c r="T281" i="79"/>
  <c r="T280" i="79"/>
  <c r="T279" i="79"/>
  <c r="T278" i="79"/>
  <c r="T277" i="79"/>
  <c r="T276" i="79"/>
  <c r="T275" i="79"/>
  <c r="T274" i="79"/>
  <c r="T273" i="79"/>
  <c r="T272" i="79"/>
  <c r="T271" i="79"/>
  <c r="T270" i="79"/>
  <c r="T269" i="79"/>
  <c r="T268" i="79"/>
  <c r="T267" i="79"/>
  <c r="T266" i="79"/>
  <c r="T265" i="79"/>
  <c r="T264" i="79"/>
  <c r="T263" i="79"/>
  <c r="T262" i="79"/>
  <c r="T261" i="79"/>
  <c r="T260" i="79"/>
  <c r="T259" i="79"/>
  <c r="T258" i="79"/>
  <c r="T257" i="79"/>
  <c r="T256" i="79"/>
  <c r="T255" i="79"/>
  <c r="T254" i="79"/>
  <c r="T253" i="79"/>
  <c r="T327" i="79"/>
  <c r="T319" i="79"/>
  <c r="S309" i="79"/>
  <c r="S305" i="79"/>
  <c r="S304" i="79"/>
  <c r="S303" i="79"/>
  <c r="S302" i="79"/>
  <c r="S301" i="79"/>
  <c r="S300" i="79"/>
  <c r="S299" i="79"/>
  <c r="S298" i="79"/>
  <c r="S297" i="79"/>
  <c r="S296" i="79"/>
  <c r="S295" i="79"/>
  <c r="S294" i="79"/>
  <c r="S293" i="79"/>
  <c r="S292" i="79"/>
  <c r="T328" i="79"/>
  <c r="T320" i="79"/>
  <c r="T308" i="79"/>
  <c r="T330" i="79"/>
  <c r="T329" i="79"/>
  <c r="T321" i="79"/>
  <c r="T313" i="79"/>
  <c r="T312" i="79"/>
  <c r="S308" i="79"/>
  <c r="T322" i="79"/>
  <c r="T314" i="79"/>
  <c r="T311" i="79"/>
  <c r="T307" i="79"/>
  <c r="T323" i="79"/>
  <c r="T315" i="79"/>
  <c r="S311" i="79"/>
  <c r="S307" i="79"/>
  <c r="T324" i="79"/>
  <c r="T316" i="79"/>
  <c r="T310" i="79"/>
  <c r="T306" i="79"/>
  <c r="T325" i="79"/>
  <c r="T317" i="79"/>
  <c r="S310" i="79"/>
  <c r="S306" i="79"/>
  <c r="S273" i="79"/>
  <c r="S261" i="79"/>
  <c r="S257" i="79"/>
  <c r="S253" i="79"/>
  <c r="S288" i="79"/>
  <c r="S284" i="79"/>
  <c r="S280" i="79"/>
  <c r="S276" i="79"/>
  <c r="S270" i="79"/>
  <c r="S265" i="79"/>
  <c r="S267" i="79"/>
  <c r="S260" i="79"/>
  <c r="S256" i="79"/>
  <c r="T252" i="79"/>
  <c r="T251" i="79"/>
  <c r="T250" i="79"/>
  <c r="T249" i="79"/>
  <c r="T248" i="79"/>
  <c r="T247" i="79"/>
  <c r="T246" i="79"/>
  <c r="T245" i="79"/>
  <c r="T244" i="79"/>
  <c r="T243" i="79"/>
  <c r="T242" i="79"/>
  <c r="T241" i="79"/>
  <c r="T240" i="79"/>
  <c r="T239" i="79"/>
  <c r="T238" i="79"/>
  <c r="T237" i="79"/>
  <c r="T236" i="79"/>
  <c r="T235" i="79"/>
  <c r="T234" i="79"/>
  <c r="T233" i="79"/>
  <c r="T232" i="79"/>
  <c r="T231" i="79"/>
  <c r="T230" i="79"/>
  <c r="T229" i="79"/>
  <c r="T228" i="79"/>
  <c r="T227" i="79"/>
  <c r="T226" i="79"/>
  <c r="T225" i="79"/>
  <c r="T224" i="79"/>
  <c r="T223" i="79"/>
  <c r="T222" i="79"/>
  <c r="T221" i="79"/>
  <c r="T220" i="79"/>
  <c r="T219" i="79"/>
  <c r="T218" i="79"/>
  <c r="T217" i="79"/>
  <c r="T216" i="79"/>
  <c r="T215" i="79"/>
  <c r="T214" i="79"/>
  <c r="T213" i="79"/>
  <c r="T212" i="79"/>
  <c r="T211" i="79"/>
  <c r="T210" i="79"/>
  <c r="T209" i="79"/>
  <c r="T208" i="79"/>
  <c r="T207" i="79"/>
  <c r="T206" i="79"/>
  <c r="T205" i="79"/>
  <c r="T204" i="79"/>
  <c r="T203" i="79"/>
  <c r="T202" i="79"/>
  <c r="T201" i="79"/>
  <c r="T200" i="79"/>
  <c r="T199" i="79"/>
  <c r="S291" i="79"/>
  <c r="S287" i="79"/>
  <c r="S283" i="79"/>
  <c r="S279" i="79"/>
  <c r="S275" i="79"/>
  <c r="S272" i="79"/>
  <c r="S252" i="79"/>
  <c r="S251" i="79"/>
  <c r="S250" i="79"/>
  <c r="S249" i="79"/>
  <c r="S248" i="79"/>
  <c r="S247" i="79"/>
  <c r="S246" i="79"/>
  <c r="S245" i="79"/>
  <c r="S244" i="79"/>
  <c r="S243" i="79"/>
  <c r="S242" i="79"/>
  <c r="S241" i="79"/>
  <c r="S240" i="79"/>
  <c r="S239" i="79"/>
  <c r="S238" i="79"/>
  <c r="S237" i="79"/>
  <c r="S236" i="79"/>
  <c r="S235" i="79"/>
  <c r="S234" i="79"/>
  <c r="S233" i="79"/>
  <c r="S232" i="79"/>
  <c r="S231" i="79"/>
  <c r="S230" i="79"/>
  <c r="S229" i="79"/>
  <c r="S228" i="79"/>
  <c r="S227" i="79"/>
  <c r="S226" i="79"/>
  <c r="S225" i="79"/>
  <c r="S224" i="79"/>
  <c r="S223" i="79"/>
  <c r="S222" i="79"/>
  <c r="S221" i="79"/>
  <c r="S220" i="79"/>
  <c r="S219" i="79"/>
  <c r="S218" i="79"/>
  <c r="S217" i="79"/>
  <c r="S216" i="79"/>
  <c r="S215" i="79"/>
  <c r="S214" i="79"/>
  <c r="S213" i="79"/>
  <c r="S212" i="79"/>
  <c r="S211" i="79"/>
  <c r="S210" i="79"/>
  <c r="S209" i="79"/>
  <c r="S208" i="79"/>
  <c r="S207" i="79"/>
  <c r="S206" i="79"/>
  <c r="S205" i="79"/>
  <c r="S204" i="79"/>
  <c r="S290" i="79"/>
  <c r="S286" i="79"/>
  <c r="S282" i="79"/>
  <c r="S278" i="79"/>
  <c r="S274" i="79"/>
  <c r="S266" i="79"/>
  <c r="S263" i="79"/>
  <c r="S271" i="79"/>
  <c r="S262" i="79"/>
  <c r="S258" i="79"/>
  <c r="S254" i="79"/>
  <c r="S289" i="79"/>
  <c r="S285" i="79"/>
  <c r="S281" i="79"/>
  <c r="S277" i="79"/>
  <c r="S268" i="79"/>
  <c r="S264" i="79"/>
  <c r="S200" i="79"/>
  <c r="T198" i="79"/>
  <c r="T194" i="79"/>
  <c r="S191" i="79"/>
  <c r="S201" i="79"/>
  <c r="S198" i="79"/>
  <c r="S194" i="79"/>
  <c r="S202" i="79"/>
  <c r="T197" i="79"/>
  <c r="T193" i="79"/>
  <c r="S203" i="79"/>
  <c r="S197" i="79"/>
  <c r="S193" i="79"/>
  <c r="S259" i="79"/>
  <c r="S255" i="79"/>
  <c r="T196" i="79"/>
  <c r="T192" i="79"/>
  <c r="S196" i="79"/>
  <c r="S192" i="79"/>
  <c r="T195" i="79"/>
  <c r="T190" i="79"/>
  <c r="T189" i="79"/>
  <c r="T188" i="79"/>
  <c r="T187" i="79"/>
  <c r="T186" i="79"/>
  <c r="T185" i="79"/>
  <c r="T184" i="79"/>
  <c r="T183" i="79"/>
  <c r="T182" i="79"/>
  <c r="T181" i="79"/>
  <c r="T180" i="79"/>
  <c r="T179" i="79"/>
  <c r="T178" i="79"/>
  <c r="T177" i="79"/>
  <c r="T176" i="79"/>
  <c r="T175" i="79"/>
  <c r="T174" i="79"/>
  <c r="T173" i="79"/>
  <c r="T172" i="79"/>
  <c r="T171" i="79"/>
  <c r="S269" i="79"/>
  <c r="S199" i="79"/>
  <c r="S195" i="79"/>
  <c r="T191" i="79"/>
  <c r="S190" i="79"/>
  <c r="S189" i="79"/>
  <c r="S188" i="79"/>
  <c r="S187" i="79"/>
  <c r="S186" i="79"/>
  <c r="S185" i="79"/>
  <c r="S184" i="79"/>
  <c r="S183" i="79"/>
  <c r="S182" i="79"/>
  <c r="S181" i="79"/>
  <c r="S180" i="79"/>
  <c r="S179" i="79"/>
  <c r="S178" i="79"/>
  <c r="S177" i="79"/>
  <c r="S176" i="79"/>
  <c r="S175" i="79"/>
  <c r="S174" i="79"/>
  <c r="S173" i="79"/>
  <c r="S172" i="79"/>
  <c r="S171" i="79"/>
  <c r="S170" i="79"/>
  <c r="S169" i="79"/>
  <c r="S168" i="79"/>
  <c r="S167" i="79"/>
  <c r="S166" i="79"/>
  <c r="S165" i="79"/>
  <c r="S164" i="79"/>
  <c r="S163" i="79"/>
  <c r="S162" i="79"/>
  <c r="S161" i="79"/>
  <c r="S160" i="79"/>
  <c r="S159" i="79"/>
  <c r="S158" i="79"/>
  <c r="S157" i="79"/>
  <c r="S156" i="79"/>
  <c r="S155" i="79"/>
  <c r="S154" i="79"/>
  <c r="T151" i="79"/>
  <c r="S148" i="79"/>
  <c r="T170" i="79"/>
  <c r="T168" i="79"/>
  <c r="T166" i="79"/>
  <c r="T164" i="79"/>
  <c r="T162" i="79"/>
  <c r="T160" i="79"/>
  <c r="T158" i="79"/>
  <c r="T156" i="79"/>
  <c r="T154" i="79"/>
  <c r="T149" i="79"/>
  <c r="S146" i="79"/>
  <c r="S145" i="79"/>
  <c r="S143" i="79"/>
  <c r="T152" i="79"/>
  <c r="S149" i="79"/>
  <c r="T141" i="79"/>
  <c r="T140" i="79"/>
  <c r="T139" i="79"/>
  <c r="T138" i="79"/>
  <c r="T137" i="79"/>
  <c r="T136" i="79"/>
  <c r="T135" i="79"/>
  <c r="T134" i="79"/>
  <c r="T133" i="79"/>
  <c r="T132" i="79"/>
  <c r="T131" i="79"/>
  <c r="T130" i="79"/>
  <c r="T129" i="79"/>
  <c r="T128" i="79"/>
  <c r="T127" i="79"/>
  <c r="T126" i="79"/>
  <c r="T125" i="79"/>
  <c r="T124" i="79"/>
  <c r="T123" i="79"/>
  <c r="T122" i="79"/>
  <c r="T121" i="79"/>
  <c r="T120" i="79"/>
  <c r="T119" i="79"/>
  <c r="T118" i="79"/>
  <c r="T117" i="79"/>
  <c r="T116" i="79"/>
  <c r="T115" i="79"/>
  <c r="T114" i="79"/>
  <c r="T113" i="79"/>
  <c r="T112" i="79"/>
  <c r="T111" i="79"/>
  <c r="T110" i="79"/>
  <c r="T109" i="79"/>
  <c r="T108" i="79"/>
  <c r="T107" i="79"/>
  <c r="T106" i="79"/>
  <c r="T105" i="79"/>
  <c r="T104" i="79"/>
  <c r="T103" i="79"/>
  <c r="T102" i="79"/>
  <c r="T101" i="79"/>
  <c r="T100" i="79"/>
  <c r="T99" i="79"/>
  <c r="T98" i="79"/>
  <c r="T97" i="79"/>
  <c r="T96" i="79"/>
  <c r="T95" i="79"/>
  <c r="T94" i="79"/>
  <c r="T93" i="79"/>
  <c r="T92" i="79"/>
  <c r="T91" i="79"/>
  <c r="T90" i="79"/>
  <c r="T89" i="79"/>
  <c r="T88" i="79"/>
  <c r="T87" i="79"/>
  <c r="T86" i="79"/>
  <c r="T85" i="79"/>
  <c r="T84" i="79"/>
  <c r="T83" i="79"/>
  <c r="T82" i="79"/>
  <c r="T81" i="79"/>
  <c r="T80" i="79"/>
  <c r="T79" i="79"/>
  <c r="T78" i="79"/>
  <c r="T77" i="79"/>
  <c r="T76" i="79"/>
  <c r="T75" i="79"/>
  <c r="T74" i="79"/>
  <c r="T73" i="79"/>
  <c r="T72" i="79"/>
  <c r="T71" i="79"/>
  <c r="T70" i="79"/>
  <c r="T69" i="79"/>
  <c r="T68" i="79"/>
  <c r="T67" i="79"/>
  <c r="T66" i="79"/>
  <c r="T65" i="79"/>
  <c r="T64" i="79"/>
  <c r="T63" i="79"/>
  <c r="T62" i="79"/>
  <c r="T61" i="79"/>
  <c r="T60" i="79"/>
  <c r="T59" i="79"/>
  <c r="T58" i="79"/>
  <c r="T57" i="79"/>
  <c r="T56" i="79"/>
  <c r="T55" i="79"/>
  <c r="T54" i="79"/>
  <c r="T53" i="79"/>
  <c r="T52" i="79"/>
  <c r="S152" i="79"/>
  <c r="T147" i="79"/>
  <c r="T144" i="79"/>
  <c r="S141" i="79"/>
  <c r="S140" i="79"/>
  <c r="S139" i="79"/>
  <c r="S138" i="79"/>
  <c r="S137" i="79"/>
  <c r="S136" i="79"/>
  <c r="S135" i="79"/>
  <c r="S134" i="79"/>
  <c r="S133" i="79"/>
  <c r="S132" i="79"/>
  <c r="S131" i="79"/>
  <c r="S130" i="79"/>
  <c r="S129" i="79"/>
  <c r="S128" i="79"/>
  <c r="S127" i="79"/>
  <c r="S126" i="79"/>
  <c r="S125" i="79"/>
  <c r="S124" i="79"/>
  <c r="S123" i="79"/>
  <c r="S122" i="79"/>
  <c r="S121" i="79"/>
  <c r="S120" i="79"/>
  <c r="S119" i="79"/>
  <c r="S118" i="79"/>
  <c r="S117" i="79"/>
  <c r="S116" i="79"/>
  <c r="S115" i="79"/>
  <c r="S114" i="79"/>
  <c r="S113" i="79"/>
  <c r="S112" i="79"/>
  <c r="S111" i="79"/>
  <c r="S110" i="79"/>
  <c r="S109" i="79"/>
  <c r="S108" i="79"/>
  <c r="S107" i="79"/>
  <c r="S106" i="79"/>
  <c r="S105" i="79"/>
  <c r="S104" i="79"/>
  <c r="S103" i="79"/>
  <c r="S102" i="79"/>
  <c r="S101" i="79"/>
  <c r="S100" i="79"/>
  <c r="S99" i="79"/>
  <c r="S98" i="79"/>
  <c r="S97" i="79"/>
  <c r="S96" i="79"/>
  <c r="S95" i="79"/>
  <c r="S94" i="79"/>
  <c r="S93" i="79"/>
  <c r="S92" i="79"/>
  <c r="S91" i="79"/>
  <c r="S90" i="79"/>
  <c r="S89" i="79"/>
  <c r="S88" i="79"/>
  <c r="S87" i="79"/>
  <c r="S86" i="79"/>
  <c r="S85" i="79"/>
  <c r="S84" i="79"/>
  <c r="S83" i="79"/>
  <c r="S82" i="79"/>
  <c r="S81" i="79"/>
  <c r="S80" i="79"/>
  <c r="S79" i="79"/>
  <c r="S78" i="79"/>
  <c r="S77" i="79"/>
  <c r="S76" i="79"/>
  <c r="S75" i="79"/>
  <c r="S74" i="79"/>
  <c r="S73" i="79"/>
  <c r="T150" i="79"/>
  <c r="S147" i="79"/>
  <c r="S144" i="79"/>
  <c r="T169" i="79"/>
  <c r="T167" i="79"/>
  <c r="T165" i="79"/>
  <c r="T163" i="79"/>
  <c r="T161" i="79"/>
  <c r="T159" i="79"/>
  <c r="T157" i="79"/>
  <c r="T155" i="79"/>
  <c r="T153" i="79"/>
  <c r="S150" i="79"/>
  <c r="T142" i="79"/>
  <c r="S153" i="79"/>
  <c r="T148" i="79"/>
  <c r="S142" i="79"/>
  <c r="U17" i="79" a="1"/>
  <c r="U17" i="79" s="1"/>
  <c r="U15" i="79" s="1"/>
  <c r="AS1" i="79"/>
  <c r="AS17" i="79" s="1" a="1"/>
  <c r="AS17" i="79" s="1"/>
  <c r="AS15" i="79" s="1"/>
  <c r="S15" i="79"/>
  <c r="T17" i="79"/>
  <c r="T18" i="79" s="1"/>
  <c r="T19" i="79" s="1"/>
  <c r="T20" i="79" s="1"/>
  <c r="T21" i="79" s="1"/>
  <c r="T22" i="79" s="1"/>
  <c r="AH19" i="79"/>
  <c r="BO21" i="79"/>
  <c r="BL23" i="79"/>
  <c r="S24" i="79"/>
  <c r="BL25" i="79"/>
  <c r="S26" i="79"/>
  <c r="AH27" i="79"/>
  <c r="T29" i="79"/>
  <c r="BM31" i="79"/>
  <c r="T32" i="79"/>
  <c r="BF33" i="79"/>
  <c r="T36" i="79"/>
  <c r="BI36" i="79"/>
  <c r="S39" i="79"/>
  <c r="BH39" i="79"/>
  <c r="BI51" i="79"/>
  <c r="S52" i="79"/>
  <c r="BO53" i="79"/>
  <c r="BI53" i="79"/>
  <c r="BO54" i="79"/>
  <c r="BI54" i="79"/>
  <c r="BO55" i="79"/>
  <c r="BI55" i="79"/>
  <c r="BO56" i="79"/>
  <c r="BI56" i="79"/>
  <c r="BO57" i="79"/>
  <c r="BI57" i="79"/>
  <c r="BO58" i="79"/>
  <c r="BI58" i="79"/>
  <c r="BO59" i="79"/>
  <c r="BI59" i="79"/>
  <c r="BO60" i="79"/>
  <c r="BI60" i="79"/>
  <c r="BO61" i="79"/>
  <c r="BI61" i="79"/>
  <c r="BO62" i="79"/>
  <c r="BI62" i="79"/>
  <c r="BO63" i="79"/>
  <c r="BI63" i="79"/>
  <c r="BO64" i="79"/>
  <c r="BI64" i="79"/>
  <c r="BO65" i="79"/>
  <c r="BI65" i="79"/>
  <c r="BO66" i="79"/>
  <c r="BI66" i="79"/>
  <c r="BO67" i="79"/>
  <c r="BI67" i="79"/>
  <c r="BO68" i="79"/>
  <c r="BI68" i="79"/>
  <c r="BO69" i="79"/>
  <c r="BI69" i="79"/>
  <c r="BO70" i="79"/>
  <c r="BI70" i="79"/>
  <c r="BO71" i="79"/>
  <c r="BI71" i="79"/>
  <c r="BO72" i="79"/>
  <c r="BI72" i="79"/>
  <c r="BG75" i="79"/>
  <c r="BH76" i="79"/>
  <c r="BM78" i="79"/>
  <c r="BN81" i="79"/>
  <c r="BN85" i="79"/>
  <c r="BN93" i="79"/>
  <c r="BN101" i="79"/>
  <c r="T146" i="79"/>
  <c r="S151" i="79"/>
  <c r="BI22" i="79"/>
  <c r="AH23" i="79"/>
  <c r="T24" i="79"/>
  <c r="AH25" i="79"/>
  <c r="T26" i="79"/>
  <c r="AH28" i="79"/>
  <c r="BO28" i="79"/>
  <c r="S30" i="79"/>
  <c r="BH30" i="79"/>
  <c r="BN31" i="79"/>
  <c r="BN35" i="79"/>
  <c r="BF37" i="79"/>
  <c r="BO37" i="79"/>
  <c r="T39" i="79"/>
  <c r="T143" i="79"/>
  <c r="Z26" i="79"/>
  <c r="T30" i="79"/>
  <c r="S33" i="79"/>
  <c r="BO35" i="79"/>
  <c r="BL36" i="79"/>
  <c r="BM38" i="79"/>
  <c r="S40" i="79"/>
  <c r="S41" i="79"/>
  <c r="S42" i="79"/>
  <c r="S43" i="79"/>
  <c r="S44" i="79"/>
  <c r="S45" i="79"/>
  <c r="S46" i="79"/>
  <c r="S47" i="79"/>
  <c r="S48" i="79"/>
  <c r="S49" i="79"/>
  <c r="S50" i="79"/>
  <c r="S51" i="79"/>
  <c r="BN77" i="79"/>
  <c r="AH20" i="79"/>
  <c r="BO23" i="79"/>
  <c r="BO25" i="79"/>
  <c r="BL26" i="79"/>
  <c r="S27" i="79"/>
  <c r="T33" i="79"/>
  <c r="S37" i="79"/>
  <c r="BN38" i="79"/>
  <c r="T40" i="79"/>
  <c r="BL40" i="79"/>
  <c r="T41" i="79"/>
  <c r="BL41" i="79"/>
  <c r="T42" i="79"/>
  <c r="BL42" i="79"/>
  <c r="T43" i="79"/>
  <c r="BL43" i="79"/>
  <c r="T44" i="79"/>
  <c r="BL44" i="79"/>
  <c r="T45" i="79"/>
  <c r="BL45" i="79"/>
  <c r="T46" i="79"/>
  <c r="BL46" i="79"/>
  <c r="T47" i="79"/>
  <c r="BL47" i="79"/>
  <c r="T48" i="79"/>
  <c r="BL48" i="79"/>
  <c r="T49" i="79"/>
  <c r="BL49" i="79"/>
  <c r="T50" i="79"/>
  <c r="BL50" i="79"/>
  <c r="T51" i="79"/>
  <c r="BG52" i="79"/>
  <c r="S53" i="79"/>
  <c r="S54" i="79"/>
  <c r="S55" i="79"/>
  <c r="S56" i="79"/>
  <c r="S57" i="79"/>
  <c r="S58" i="79"/>
  <c r="S59" i="79"/>
  <c r="S60" i="79"/>
  <c r="S61" i="79"/>
  <c r="S62" i="79"/>
  <c r="S63" i="79"/>
  <c r="S64" i="79"/>
  <c r="S65" i="79"/>
  <c r="S66" i="79"/>
  <c r="S67" i="79"/>
  <c r="S68" i="79"/>
  <c r="S69" i="79"/>
  <c r="S70" i="79"/>
  <c r="S71" i="79"/>
  <c r="S72" i="79"/>
  <c r="BN102" i="79"/>
  <c r="BH152" i="79"/>
  <c r="BN152" i="79"/>
  <c r="AC17" i="79" a="1"/>
  <c r="AC17" i="79" s="1"/>
  <c r="AC15" i="79" s="1"/>
  <c r="AH18" i="79"/>
  <c r="AH22" i="79"/>
  <c r="S23" i="79"/>
  <c r="BL24" i="79"/>
  <c r="S25" i="79"/>
  <c r="T27" i="79"/>
  <c r="BL27" i="79"/>
  <c r="S28" i="79"/>
  <c r="AH29" i="79"/>
  <c r="BO29" i="79"/>
  <c r="S31" i="79"/>
  <c r="BN32" i="79"/>
  <c r="BN36" i="79"/>
  <c r="T37" i="79"/>
  <c r="BM39" i="79"/>
  <c r="BM40" i="79"/>
  <c r="BM41" i="79"/>
  <c r="BM42" i="79"/>
  <c r="BM43" i="79"/>
  <c r="BM44" i="79"/>
  <c r="BM45" i="79"/>
  <c r="BM46" i="79"/>
  <c r="BM47" i="79"/>
  <c r="BM48" i="79"/>
  <c r="BM49" i="79"/>
  <c r="BM50" i="79"/>
  <c r="BH52" i="79"/>
  <c r="BH53" i="79"/>
  <c r="BH54" i="79"/>
  <c r="BH55" i="79"/>
  <c r="BH56" i="79"/>
  <c r="BH57" i="79"/>
  <c r="BH58" i="79"/>
  <c r="BH59" i="79"/>
  <c r="BH60" i="79"/>
  <c r="BH61" i="79"/>
  <c r="BH62" i="79"/>
  <c r="BH63" i="79"/>
  <c r="BH64" i="79"/>
  <c r="BH65" i="79"/>
  <c r="BH66" i="79"/>
  <c r="BH67" i="79"/>
  <c r="BH68" i="79"/>
  <c r="BH69" i="79"/>
  <c r="BH70" i="79"/>
  <c r="BH71" i="79"/>
  <c r="BH72" i="79"/>
  <c r="BN89" i="79"/>
  <c r="BN97" i="79"/>
  <c r="BN105" i="79"/>
  <c r="BI147" i="79"/>
  <c r="BO147" i="79"/>
  <c r="K17" i="79" a="1"/>
  <c r="J18" i="79"/>
  <c r="J19" i="79" s="1"/>
  <c r="T23" i="79"/>
  <c r="AH24" i="79"/>
  <c r="T25" i="79"/>
  <c r="AH26" i="79"/>
  <c r="T28" i="79"/>
  <c r="AW30" i="79"/>
  <c r="T31" i="79"/>
  <c r="S34" i="79"/>
  <c r="BF51" i="79"/>
  <c r="BN100" i="79"/>
  <c r="T34" i="79"/>
  <c r="S35" i="79"/>
  <c r="S38" i="79"/>
  <c r="BN87" i="79"/>
  <c r="BN95" i="79"/>
  <c r="BN103" i="79"/>
  <c r="BH144" i="79"/>
  <c r="BN144" i="79"/>
  <c r="T145" i="79"/>
  <c r="S17" i="79"/>
  <c r="S18" i="79" s="1"/>
  <c r="S19" i="79" s="1"/>
  <c r="S20" i="79" s="1"/>
  <c r="S21" i="79" s="1"/>
  <c r="S22" i="79" s="1"/>
  <c r="S29" i="79"/>
  <c r="S32" i="79"/>
  <c r="T35" i="79"/>
  <c r="S36" i="79"/>
  <c r="T38" i="79"/>
  <c r="BO52" i="79"/>
  <c r="BI52" i="79"/>
  <c r="BN90" i="79"/>
  <c r="BN98" i="79"/>
  <c r="BN106" i="79"/>
  <c r="BG108" i="79"/>
  <c r="BG109" i="79"/>
  <c r="BG110" i="79"/>
  <c r="BG111" i="79"/>
  <c r="BG112" i="79"/>
  <c r="BG113" i="79"/>
  <c r="BG114" i="79"/>
  <c r="BG115" i="79"/>
  <c r="BG116" i="79"/>
  <c r="BG117" i="79"/>
  <c r="BG118" i="79"/>
  <c r="BG119" i="79"/>
  <c r="BG120" i="79"/>
  <c r="BG121" i="79"/>
  <c r="BG122" i="79"/>
  <c r="BG123" i="79"/>
  <c r="BG124" i="79"/>
  <c r="BG125" i="79"/>
  <c r="BG126" i="79"/>
  <c r="BG127" i="79"/>
  <c r="BG128" i="79"/>
  <c r="BG129" i="79"/>
  <c r="BG130" i="79"/>
  <c r="BG131" i="79"/>
  <c r="BG132" i="79"/>
  <c r="BG133" i="79"/>
  <c r="BG134" i="79"/>
  <c r="BG135" i="79"/>
  <c r="BG136" i="79"/>
  <c r="BG137" i="79"/>
  <c r="BG138" i="79"/>
  <c r="BG139" i="79"/>
  <c r="BG140" i="79"/>
  <c r="BI141" i="79"/>
  <c r="BM142" i="79"/>
  <c r="BL144" i="79"/>
  <c r="BH146" i="79"/>
  <c r="BN146" i="79"/>
  <c r="BI149" i="79"/>
  <c r="BO149" i="79"/>
  <c r="BH145" i="79"/>
  <c r="BN145" i="79"/>
  <c r="BI146" i="79"/>
  <c r="BO146" i="79"/>
  <c r="BH151" i="79"/>
  <c r="BN151" i="79"/>
  <c r="BH171" i="79"/>
  <c r="BN171" i="79"/>
  <c r="BH175" i="79"/>
  <c r="BN175" i="79"/>
  <c r="BI73" i="79"/>
  <c r="BI74" i="79"/>
  <c r="BI75" i="79"/>
  <c r="BI76" i="79"/>
  <c r="BI77" i="79"/>
  <c r="BI78" i="79"/>
  <c r="BI79" i="79"/>
  <c r="BI80" i="79"/>
  <c r="BI81" i="79"/>
  <c r="BI82" i="79"/>
  <c r="BI83" i="79"/>
  <c r="BI84" i="79"/>
  <c r="BI85" i="79"/>
  <c r="BI86" i="79"/>
  <c r="BI87" i="79"/>
  <c r="BI88" i="79"/>
  <c r="BI89" i="79"/>
  <c r="BI90" i="79"/>
  <c r="BI91" i="79"/>
  <c r="BI92" i="79"/>
  <c r="BI93" i="79"/>
  <c r="BI94" i="79"/>
  <c r="BI95" i="79"/>
  <c r="BI96" i="79"/>
  <c r="BI97" i="79"/>
  <c r="BI98" i="79"/>
  <c r="BI99" i="79"/>
  <c r="BI100" i="79"/>
  <c r="BI101" i="79"/>
  <c r="BI102" i="79"/>
  <c r="BI103" i="79"/>
  <c r="BI104" i="79"/>
  <c r="BI105" i="79"/>
  <c r="BI106" i="79"/>
  <c r="BI107" i="79"/>
  <c r="BI108" i="79"/>
  <c r="BI109" i="79"/>
  <c r="BI110" i="79"/>
  <c r="BI111" i="79"/>
  <c r="BI112" i="79"/>
  <c r="BL141" i="79"/>
  <c r="BI143" i="79"/>
  <c r="BH148" i="79"/>
  <c r="BN148" i="79"/>
  <c r="BI151" i="79"/>
  <c r="BO151" i="79"/>
  <c r="BI148" i="79"/>
  <c r="BO148" i="79"/>
  <c r="BH153" i="79"/>
  <c r="BN153" i="79"/>
  <c r="BH155" i="79"/>
  <c r="BN155" i="79"/>
  <c r="BH157" i="79"/>
  <c r="BN157" i="79"/>
  <c r="BH159" i="79"/>
  <c r="BN159" i="79"/>
  <c r="BH161" i="79"/>
  <c r="BN161" i="79"/>
  <c r="BH163" i="79"/>
  <c r="BN163" i="79"/>
  <c r="BH165" i="79"/>
  <c r="BN165" i="79"/>
  <c r="BH167" i="79"/>
  <c r="BN167" i="79"/>
  <c r="BH169" i="79"/>
  <c r="BN169" i="79"/>
  <c r="BH172" i="79"/>
  <c r="BN172" i="79"/>
  <c r="BL53" i="79"/>
  <c r="BL54" i="79"/>
  <c r="BL55" i="79"/>
  <c r="BL56" i="79"/>
  <c r="BL57" i="79"/>
  <c r="BL58" i="79"/>
  <c r="BL59" i="79"/>
  <c r="BL60" i="79"/>
  <c r="BL61" i="79"/>
  <c r="BL62" i="79"/>
  <c r="BL63" i="79"/>
  <c r="BL64" i="79"/>
  <c r="BL65" i="79"/>
  <c r="BL66" i="79"/>
  <c r="BL67" i="79"/>
  <c r="BL68" i="79"/>
  <c r="BL69" i="79"/>
  <c r="BL70" i="79"/>
  <c r="BL71" i="79"/>
  <c r="BL72" i="79"/>
  <c r="BL73" i="79"/>
  <c r="BL74" i="79"/>
  <c r="BL75" i="79"/>
  <c r="BL76" i="79"/>
  <c r="BL77" i="79"/>
  <c r="BL78" i="79"/>
  <c r="BL79" i="79"/>
  <c r="BL80" i="79"/>
  <c r="BL81" i="79"/>
  <c r="BL82" i="79"/>
  <c r="BL83" i="79"/>
  <c r="BL84" i="79"/>
  <c r="BL85" i="79"/>
  <c r="BL86" i="79"/>
  <c r="BL87" i="79"/>
  <c r="BL88" i="79"/>
  <c r="BL89" i="79"/>
  <c r="BL90" i="79"/>
  <c r="BL91" i="79"/>
  <c r="BL92" i="79"/>
  <c r="BL93" i="79"/>
  <c r="BL94" i="79"/>
  <c r="BL95" i="79"/>
  <c r="BL96" i="79"/>
  <c r="BL97" i="79"/>
  <c r="BL98" i="79"/>
  <c r="BL99" i="79"/>
  <c r="BL100" i="79"/>
  <c r="BL101" i="79"/>
  <c r="BL102" i="79"/>
  <c r="BL103" i="79"/>
  <c r="BL104" i="79"/>
  <c r="BL105" i="79"/>
  <c r="BL106" i="79"/>
  <c r="BL107" i="79"/>
  <c r="BL108" i="79"/>
  <c r="BL109" i="79"/>
  <c r="BL110" i="79"/>
  <c r="BL111" i="79"/>
  <c r="BL112" i="79"/>
  <c r="BL113" i="79"/>
  <c r="BL114" i="79"/>
  <c r="BL115" i="79"/>
  <c r="BL116" i="79"/>
  <c r="BL117" i="79"/>
  <c r="BL118" i="79"/>
  <c r="BL119" i="79"/>
  <c r="BL120" i="79"/>
  <c r="BL121" i="79"/>
  <c r="BL122" i="79"/>
  <c r="BL123" i="79"/>
  <c r="BL124" i="79"/>
  <c r="BL125" i="79"/>
  <c r="BL126" i="79"/>
  <c r="BL127" i="79"/>
  <c r="BL128" i="79"/>
  <c r="BL129" i="79"/>
  <c r="BL130" i="79"/>
  <c r="BL131" i="79"/>
  <c r="BL132" i="79"/>
  <c r="BL133" i="79"/>
  <c r="BL134" i="79"/>
  <c r="BL135" i="79"/>
  <c r="BL136" i="79"/>
  <c r="BL137" i="79"/>
  <c r="BL138" i="79"/>
  <c r="BL139" i="79"/>
  <c r="BL140" i="79"/>
  <c r="BL143" i="79"/>
  <c r="BH150" i="79"/>
  <c r="BN150" i="79"/>
  <c r="BI153" i="79"/>
  <c r="BO153" i="79"/>
  <c r="BH147" i="79"/>
  <c r="BN147" i="79"/>
  <c r="BI150" i="79"/>
  <c r="BO150" i="79"/>
  <c r="BH173" i="79"/>
  <c r="BN173" i="79"/>
  <c r="BL142" i="79"/>
  <c r="BI145" i="79"/>
  <c r="BH149" i="79"/>
  <c r="BN149" i="79"/>
  <c r="BI152" i="79"/>
  <c r="BO152" i="79"/>
  <c r="BH154" i="79"/>
  <c r="BN154" i="79"/>
  <c r="BH156" i="79"/>
  <c r="BN156" i="79"/>
  <c r="BH158" i="79"/>
  <c r="BN158" i="79"/>
  <c r="BH160" i="79"/>
  <c r="BN160" i="79"/>
  <c r="BH162" i="79"/>
  <c r="BN162" i="79"/>
  <c r="BH164" i="79"/>
  <c r="BN164" i="79"/>
  <c r="BH166" i="79"/>
  <c r="BN166" i="79"/>
  <c r="BH168" i="79"/>
  <c r="BN168" i="79"/>
  <c r="BH170" i="79"/>
  <c r="BN170" i="79"/>
  <c r="BH174" i="79"/>
  <c r="BN174" i="79"/>
  <c r="BL190" i="79"/>
  <c r="BN193" i="79"/>
  <c r="BH193" i="79"/>
  <c r="BN197" i="79"/>
  <c r="BH197" i="79"/>
  <c r="BN202" i="79"/>
  <c r="BH202" i="79"/>
  <c r="BO202" i="79"/>
  <c r="BL208" i="79"/>
  <c r="BF208" i="79"/>
  <c r="BL213" i="79"/>
  <c r="BF213" i="79"/>
  <c r="BL221" i="79"/>
  <c r="BF221" i="79"/>
  <c r="BL229" i="79"/>
  <c r="BF229" i="79"/>
  <c r="BL237" i="79"/>
  <c r="BF237" i="79"/>
  <c r="BL245" i="79"/>
  <c r="BF245" i="79"/>
  <c r="BO252" i="79"/>
  <c r="BI252" i="79"/>
  <c r="BO256" i="79"/>
  <c r="BI256" i="79"/>
  <c r="BO260" i="79"/>
  <c r="BI260" i="79"/>
  <c r="BI273" i="79"/>
  <c r="BO273" i="79"/>
  <c r="BI199" i="79"/>
  <c r="BN201" i="79"/>
  <c r="BH201" i="79"/>
  <c r="BN206" i="79"/>
  <c r="BH206" i="79"/>
  <c r="BL216" i="79"/>
  <c r="BF216" i="79"/>
  <c r="BL224" i="79"/>
  <c r="BF224" i="79"/>
  <c r="BL232" i="79"/>
  <c r="BF232" i="79"/>
  <c r="BL240" i="79"/>
  <c r="BF240" i="79"/>
  <c r="BL248" i="79"/>
  <c r="BF248" i="79"/>
  <c r="BN190" i="79"/>
  <c r="BO193" i="79"/>
  <c r="BN194" i="79"/>
  <c r="BH194" i="79"/>
  <c r="BO197" i="79"/>
  <c r="BN198" i="79"/>
  <c r="BH198" i="79"/>
  <c r="BN200" i="79"/>
  <c r="BH200" i="79"/>
  <c r="BN208" i="79"/>
  <c r="BH208" i="79"/>
  <c r="BL211" i="79"/>
  <c r="BF211" i="79"/>
  <c r="BL219" i="79"/>
  <c r="BF219" i="79"/>
  <c r="BL227" i="79"/>
  <c r="BF227" i="79"/>
  <c r="BL235" i="79"/>
  <c r="BF235" i="79"/>
  <c r="BL243" i="79"/>
  <c r="BF243" i="79"/>
  <c r="BL251" i="79"/>
  <c r="BF251" i="79"/>
  <c r="BN176" i="79"/>
  <c r="BN177" i="79"/>
  <c r="BN178" i="79"/>
  <c r="BN179" i="79"/>
  <c r="BN180" i="79"/>
  <c r="BN181" i="79"/>
  <c r="BN182" i="79"/>
  <c r="BN183" i="79"/>
  <c r="BN184" i="79"/>
  <c r="BN185" i="79"/>
  <c r="BN186" i="79"/>
  <c r="BN187" i="79"/>
  <c r="BN188" i="79"/>
  <c r="BN189" i="79"/>
  <c r="BI191" i="79"/>
  <c r="BF192" i="79"/>
  <c r="BL194" i="79"/>
  <c r="BI195" i="79"/>
  <c r="BF196" i="79"/>
  <c r="BL198" i="79"/>
  <c r="BN199" i="79"/>
  <c r="BH199" i="79"/>
  <c r="BF203" i="79"/>
  <c r="BN205" i="79"/>
  <c r="BH205" i="79"/>
  <c r="BL214" i="79"/>
  <c r="BF214" i="79"/>
  <c r="BL222" i="79"/>
  <c r="BF222" i="79"/>
  <c r="BL230" i="79"/>
  <c r="BF230" i="79"/>
  <c r="BL238" i="79"/>
  <c r="BF238" i="79"/>
  <c r="BL246" i="79"/>
  <c r="BF246" i="79"/>
  <c r="BO154" i="79"/>
  <c r="BO155" i="79"/>
  <c r="BO156" i="79"/>
  <c r="BO157" i="79"/>
  <c r="BO158" i="79"/>
  <c r="BO159" i="79"/>
  <c r="BO160" i="79"/>
  <c r="BO161" i="79"/>
  <c r="BO162" i="79"/>
  <c r="BO163" i="79"/>
  <c r="BO164" i="79"/>
  <c r="BO165" i="79"/>
  <c r="BO166" i="79"/>
  <c r="BO167" i="79"/>
  <c r="BO168" i="79"/>
  <c r="BO169" i="79"/>
  <c r="BO170" i="79"/>
  <c r="BO171" i="79"/>
  <c r="BO172" i="79"/>
  <c r="BO173" i="79"/>
  <c r="BO174" i="79"/>
  <c r="BO175" i="79"/>
  <c r="BO176" i="79"/>
  <c r="BO177" i="79"/>
  <c r="BO178" i="79"/>
  <c r="BO179" i="79"/>
  <c r="BO180" i="79"/>
  <c r="BO181" i="79"/>
  <c r="BO182" i="79"/>
  <c r="BO183" i="79"/>
  <c r="BO184" i="79"/>
  <c r="BN191" i="79"/>
  <c r="BH191" i="79"/>
  <c r="BN195" i="79"/>
  <c r="BH195" i="79"/>
  <c r="BF202" i="79"/>
  <c r="BL207" i="79"/>
  <c r="BF207" i="79"/>
  <c r="BL209" i="79"/>
  <c r="BF209" i="79"/>
  <c r="BL217" i="79"/>
  <c r="BF217" i="79"/>
  <c r="BL225" i="79"/>
  <c r="BF225" i="79"/>
  <c r="BL233" i="79"/>
  <c r="BF233" i="79"/>
  <c r="BL241" i="79"/>
  <c r="BF241" i="79"/>
  <c r="BL249" i="79"/>
  <c r="BF249" i="79"/>
  <c r="BF201" i="79"/>
  <c r="BI203" i="79"/>
  <c r="BN204" i="79"/>
  <c r="BH204" i="79"/>
  <c r="BL212" i="79"/>
  <c r="BF212" i="79"/>
  <c r="BL220" i="79"/>
  <c r="BF220" i="79"/>
  <c r="BL228" i="79"/>
  <c r="BF228" i="79"/>
  <c r="BL236" i="79"/>
  <c r="BF236" i="79"/>
  <c r="BL244" i="79"/>
  <c r="BF244" i="79"/>
  <c r="BL252" i="79"/>
  <c r="BF252" i="79"/>
  <c r="BH264" i="79"/>
  <c r="BN264" i="79"/>
  <c r="BN192" i="79"/>
  <c r="BH192" i="79"/>
  <c r="BN196" i="79"/>
  <c r="BH196" i="79"/>
  <c r="BF200" i="79"/>
  <c r="BN207" i="79"/>
  <c r="BH207" i="79"/>
  <c r="BN209" i="79"/>
  <c r="BH209" i="79"/>
  <c r="BL215" i="79"/>
  <c r="BF215" i="79"/>
  <c r="BL223" i="79"/>
  <c r="BF223" i="79"/>
  <c r="BL231" i="79"/>
  <c r="BF231" i="79"/>
  <c r="BL239" i="79"/>
  <c r="BF239" i="79"/>
  <c r="BL247" i="79"/>
  <c r="BF247" i="79"/>
  <c r="BF199" i="79"/>
  <c r="BN203" i="79"/>
  <c r="BH203" i="79"/>
  <c r="BL210" i="79"/>
  <c r="BF210" i="79"/>
  <c r="BL218" i="79"/>
  <c r="BF218" i="79"/>
  <c r="BL226" i="79"/>
  <c r="BF226" i="79"/>
  <c r="BL234" i="79"/>
  <c r="BF234" i="79"/>
  <c r="BL242" i="79"/>
  <c r="BF242" i="79"/>
  <c r="BL250" i="79"/>
  <c r="BF250" i="79"/>
  <c r="BG253" i="79"/>
  <c r="BL254" i="79"/>
  <c r="BF254" i="79"/>
  <c r="BG257" i="79"/>
  <c r="BL258" i="79"/>
  <c r="BF258" i="79"/>
  <c r="BG261" i="79"/>
  <c r="BL262" i="79"/>
  <c r="BF262" i="79"/>
  <c r="BI264" i="79"/>
  <c r="BI272" i="79"/>
  <c r="BO272" i="79"/>
  <c r="BI275" i="79"/>
  <c r="BO275" i="79"/>
  <c r="BI279" i="79"/>
  <c r="BO279" i="79"/>
  <c r="BI283" i="79"/>
  <c r="BO283" i="79"/>
  <c r="BI287" i="79"/>
  <c r="BO287" i="79"/>
  <c r="BL263" i="79"/>
  <c r="BF263" i="79"/>
  <c r="BI267" i="79"/>
  <c r="BO267" i="79"/>
  <c r="BH210" i="79"/>
  <c r="BH211" i="79"/>
  <c r="BH212" i="79"/>
  <c r="BH213" i="79"/>
  <c r="BH214" i="79"/>
  <c r="BH215" i="79"/>
  <c r="BH216" i="79"/>
  <c r="BH217" i="79"/>
  <c r="BH218" i="79"/>
  <c r="BH219" i="79"/>
  <c r="BH220" i="79"/>
  <c r="BH221" i="79"/>
  <c r="BH222" i="79"/>
  <c r="BH223" i="79"/>
  <c r="BH224" i="79"/>
  <c r="BH225" i="79"/>
  <c r="BH226" i="79"/>
  <c r="BH227" i="79"/>
  <c r="BH228" i="79"/>
  <c r="BH229" i="79"/>
  <c r="BH230" i="79"/>
  <c r="BH231" i="79"/>
  <c r="BH232" i="79"/>
  <c r="BH233" i="79"/>
  <c r="BH234" i="79"/>
  <c r="BH235" i="79"/>
  <c r="BH236" i="79"/>
  <c r="BH237" i="79"/>
  <c r="BH238" i="79"/>
  <c r="BH239" i="79"/>
  <c r="BH240" i="79"/>
  <c r="BH241" i="79"/>
  <c r="BH242" i="79"/>
  <c r="BH243" i="79"/>
  <c r="BH244" i="79"/>
  <c r="BH245" i="79"/>
  <c r="BH246" i="79"/>
  <c r="BH247" i="79"/>
  <c r="BH248" i="79"/>
  <c r="BH249" i="79"/>
  <c r="BH250" i="79"/>
  <c r="BH251" i="79"/>
  <c r="BI253" i="79"/>
  <c r="BG254" i="79"/>
  <c r="BL255" i="79"/>
  <c r="BF255" i="79"/>
  <c r="BI257" i="79"/>
  <c r="BG258" i="79"/>
  <c r="BL259" i="79"/>
  <c r="BF259" i="79"/>
  <c r="BI261" i="79"/>
  <c r="BG262" i="79"/>
  <c r="BI265" i="79"/>
  <c r="BO265" i="79"/>
  <c r="BI270" i="79"/>
  <c r="BO270" i="79"/>
  <c r="BI276" i="79"/>
  <c r="BO276" i="79"/>
  <c r="BI280" i="79"/>
  <c r="BO280" i="79"/>
  <c r="BI284" i="79"/>
  <c r="BO284" i="79"/>
  <c r="BI288" i="79"/>
  <c r="BO288" i="79"/>
  <c r="BL256" i="79"/>
  <c r="BF256" i="79"/>
  <c r="BL260" i="79"/>
  <c r="BF260" i="79"/>
  <c r="BN263" i="79"/>
  <c r="BI268" i="79"/>
  <c r="BO268" i="79"/>
  <c r="BI277" i="79"/>
  <c r="BO277" i="79"/>
  <c r="BI281" i="79"/>
  <c r="BO281" i="79"/>
  <c r="BI285" i="79"/>
  <c r="BO285" i="79"/>
  <c r="BI289" i="79"/>
  <c r="BO289" i="79"/>
  <c r="BI271" i="79"/>
  <c r="BO271" i="79"/>
  <c r="BL253" i="79"/>
  <c r="BF253" i="79"/>
  <c r="BI255" i="79"/>
  <c r="BL257" i="79"/>
  <c r="BF257" i="79"/>
  <c r="BI259" i="79"/>
  <c r="BL261" i="79"/>
  <c r="BF261" i="79"/>
  <c r="BN265" i="79"/>
  <c r="BI266" i="79"/>
  <c r="BO266" i="79"/>
  <c r="BI274" i="79"/>
  <c r="BO274" i="79"/>
  <c r="BI278" i="79"/>
  <c r="BO278" i="79"/>
  <c r="BI282" i="79"/>
  <c r="BO282" i="79"/>
  <c r="BI286" i="79"/>
  <c r="BO286" i="79"/>
  <c r="BI290" i="79"/>
  <c r="BO290" i="79"/>
  <c r="BL264" i="79"/>
  <c r="BF264" i="79"/>
  <c r="BI269" i="79"/>
  <c r="BO269" i="79"/>
  <c r="BM274" i="79"/>
  <c r="BM275" i="79"/>
  <c r="BM276" i="79"/>
  <c r="BM277" i="79"/>
  <c r="BM278" i="79"/>
  <c r="BM279" i="79"/>
  <c r="BM280" i="79"/>
  <c r="BM281" i="79"/>
  <c r="BM282" i="79"/>
  <c r="BM283" i="79"/>
  <c r="BM284" i="79"/>
  <c r="BM285" i="79"/>
  <c r="BM286" i="79"/>
  <c r="BM287" i="79"/>
  <c r="BM288" i="79"/>
  <c r="BM289" i="79"/>
  <c r="BM290" i="79"/>
  <c r="BM291" i="79"/>
  <c r="BM292" i="79"/>
  <c r="BM293" i="79"/>
  <c r="BM294" i="79"/>
  <c r="BM295" i="79"/>
  <c r="BM296" i="79"/>
  <c r="BM297" i="79"/>
  <c r="BM298" i="79"/>
  <c r="BM299" i="79"/>
  <c r="BM300" i="79"/>
  <c r="BM301" i="79"/>
  <c r="BM302" i="79"/>
  <c r="BM303" i="79"/>
  <c r="BM304" i="79"/>
  <c r="BM305" i="79"/>
  <c r="BG305" i="79"/>
  <c r="BF305" i="79"/>
  <c r="BO307" i="79"/>
  <c r="BO311" i="79"/>
  <c r="BF265" i="79"/>
  <c r="BF266" i="79"/>
  <c r="BF267" i="79"/>
  <c r="BF268" i="79"/>
  <c r="BF269" i="79"/>
  <c r="BF270" i="79"/>
  <c r="BF271" i="79"/>
  <c r="BF272" i="79"/>
  <c r="BF273" i="79"/>
  <c r="BF274" i="79"/>
  <c r="BF275" i="79"/>
  <c r="BF276" i="79"/>
  <c r="BF277" i="79"/>
  <c r="BF278" i="79"/>
  <c r="BF279" i="79"/>
  <c r="BF280" i="79"/>
  <c r="BF281" i="79"/>
  <c r="BF282" i="79"/>
  <c r="BF283" i="79"/>
  <c r="BF284" i="79"/>
  <c r="BF285" i="79"/>
  <c r="BF286" i="79"/>
  <c r="BF287" i="79"/>
  <c r="BF288" i="79"/>
  <c r="BF289" i="79"/>
  <c r="BF290" i="79"/>
  <c r="BF291" i="79"/>
  <c r="BO291" i="79"/>
  <c r="BO292" i="79"/>
  <c r="BO293" i="79"/>
  <c r="BO294" i="79"/>
  <c r="BO295" i="79"/>
  <c r="BO296" i="79"/>
  <c r="BO297" i="79"/>
  <c r="BO298" i="79"/>
  <c r="BO299" i="79"/>
  <c r="BO300" i="79"/>
  <c r="BO301" i="79"/>
  <c r="BO302" i="79"/>
  <c r="BO303" i="79"/>
  <c r="BO304" i="79"/>
  <c r="BO308" i="79"/>
  <c r="BO305" i="79"/>
  <c r="BO309" i="79"/>
  <c r="BO306" i="79"/>
  <c r="BO310" i="79"/>
  <c r="BO347" i="79"/>
  <c r="BF349" i="79"/>
  <c r="BH352" i="79"/>
  <c r="BN352" i="79"/>
  <c r="BF356" i="79"/>
  <c r="BH358" i="79"/>
  <c r="BN358" i="79"/>
  <c r="BF360" i="79"/>
  <c r="BH362" i="79"/>
  <c r="BN362" i="79"/>
  <c r="BF364" i="79"/>
  <c r="BH366" i="79"/>
  <c r="BN366" i="79"/>
  <c r="BF373" i="79"/>
  <c r="BN381" i="79"/>
  <c r="BH348" i="79"/>
  <c r="BN348" i="79"/>
  <c r="BO351" i="79"/>
  <c r="BH353" i="79"/>
  <c r="BN353" i="79"/>
  <c r="BL381" i="79"/>
  <c r="BF381" i="79"/>
  <c r="BG306" i="79"/>
  <c r="BG307" i="79"/>
  <c r="BG308" i="79"/>
  <c r="BG309" i="79"/>
  <c r="BG310" i="79"/>
  <c r="BG311" i="79"/>
  <c r="BG312" i="79"/>
  <c r="BG313" i="79"/>
  <c r="BG314" i="79"/>
  <c r="BG315" i="79"/>
  <c r="BG316" i="79"/>
  <c r="BG317" i="79"/>
  <c r="BG318" i="79"/>
  <c r="BG319" i="79"/>
  <c r="BG320" i="79"/>
  <c r="BG321" i="79"/>
  <c r="BG322" i="79"/>
  <c r="BG323" i="79"/>
  <c r="BG324" i="79"/>
  <c r="BG325" i="79"/>
  <c r="BG326" i="79"/>
  <c r="BG327" i="79"/>
  <c r="BG328" i="79"/>
  <c r="BI349" i="79"/>
  <c r="BH354" i="79"/>
  <c r="BN354" i="79"/>
  <c r="BH357" i="79"/>
  <c r="BN357" i="79"/>
  <c r="BF359" i="79"/>
  <c r="BH361" i="79"/>
  <c r="BN361" i="79"/>
  <c r="BF363" i="79"/>
  <c r="BH365" i="79"/>
  <c r="BN365" i="79"/>
  <c r="BF367" i="79"/>
  <c r="BF375" i="79"/>
  <c r="BH349" i="79"/>
  <c r="BN349" i="79"/>
  <c r="BL354" i="79"/>
  <c r="BH355" i="79"/>
  <c r="BN355" i="79"/>
  <c r="BF372" i="79"/>
  <c r="BH356" i="79"/>
  <c r="BN356" i="79"/>
  <c r="BH360" i="79"/>
  <c r="BN360" i="79"/>
  <c r="BH364" i="79"/>
  <c r="BN364" i="79"/>
  <c r="BH350" i="79"/>
  <c r="BN350" i="79"/>
  <c r="BF374" i="79"/>
  <c r="BH359" i="79"/>
  <c r="BN359" i="79"/>
  <c r="BH363" i="79"/>
  <c r="BN363" i="79"/>
  <c r="BH367" i="79"/>
  <c r="BN367" i="79"/>
  <c r="BF384" i="79"/>
  <c r="BN347" i="79"/>
  <c r="BG348" i="79"/>
  <c r="BH351" i="79"/>
  <c r="BN351" i="79"/>
  <c r="BF368" i="79"/>
  <c r="BF376" i="79"/>
  <c r="BL383" i="79"/>
  <c r="BF383" i="79"/>
  <c r="BH383" i="79"/>
  <c r="BN383" i="79"/>
  <c r="BO387" i="79"/>
  <c r="BH390" i="79"/>
  <c r="BN390" i="79"/>
  <c r="BO392" i="79"/>
  <c r="BO394" i="79"/>
  <c r="BO396" i="79"/>
  <c r="BO398" i="79"/>
  <c r="BO400" i="79"/>
  <c r="BO402" i="79"/>
  <c r="BO404" i="79"/>
  <c r="BO406" i="79"/>
  <c r="BO408" i="79"/>
  <c r="BO410" i="79"/>
  <c r="BO414" i="79"/>
  <c r="BN368" i="79"/>
  <c r="BN369" i="79"/>
  <c r="BN370" i="79"/>
  <c r="BN371" i="79"/>
  <c r="BN372" i="79"/>
  <c r="BN373" i="79"/>
  <c r="BN374" i="79"/>
  <c r="BN375" i="79"/>
  <c r="BN376" i="79"/>
  <c r="BN377" i="79"/>
  <c r="BN378" i="79"/>
  <c r="BN379" i="79"/>
  <c r="BN380" i="79"/>
  <c r="BG381" i="79"/>
  <c r="BF385" i="79"/>
  <c r="BH387" i="79"/>
  <c r="BN387" i="79"/>
  <c r="BO389" i="79"/>
  <c r="BH392" i="79"/>
  <c r="BN392" i="79"/>
  <c r="BH389" i="79"/>
  <c r="BN389" i="79"/>
  <c r="BH386" i="79"/>
  <c r="BN386" i="79"/>
  <c r="BO388" i="79"/>
  <c r="BO393" i="79"/>
  <c r="BO395" i="79"/>
  <c r="BO397" i="79"/>
  <c r="BO399" i="79"/>
  <c r="BO401" i="79"/>
  <c r="BO403" i="79"/>
  <c r="BO405" i="79"/>
  <c r="BO407" i="79"/>
  <c r="BO409" i="79"/>
  <c r="BO411" i="79"/>
  <c r="BO413" i="79"/>
  <c r="BH385" i="79"/>
  <c r="BN385" i="79"/>
  <c r="BH391" i="79"/>
  <c r="BN391" i="79"/>
  <c r="BN382" i="79"/>
  <c r="BH384" i="79"/>
  <c r="BN384" i="79"/>
  <c r="BH388" i="79"/>
  <c r="BN388" i="79"/>
  <c r="BO390" i="79"/>
  <c r="BN393" i="79"/>
  <c r="BN394" i="79"/>
  <c r="BN395" i="79"/>
  <c r="BN396" i="79"/>
  <c r="BN397" i="79"/>
  <c r="BN398" i="79"/>
  <c r="BN399" i="79"/>
  <c r="BN400" i="79"/>
  <c r="BN401" i="79"/>
  <c r="BN402" i="79"/>
  <c r="BN403" i="79"/>
  <c r="BN404" i="79"/>
  <c r="BN405" i="79"/>
  <c r="BN406" i="79"/>
  <c r="BN407" i="79"/>
  <c r="BN408" i="79"/>
  <c r="BN409" i="79"/>
  <c r="BN410" i="79"/>
  <c r="BN411" i="79"/>
  <c r="BN412" i="79"/>
  <c r="BN413" i="79"/>
  <c r="BN414" i="79"/>
  <c r="BH420" i="79"/>
  <c r="BN420" i="79"/>
  <c r="BH419" i="79"/>
  <c r="BN419" i="79"/>
  <c r="BH424" i="79"/>
  <c r="BN424" i="79"/>
  <c r="BH428" i="79"/>
  <c r="BN428" i="79"/>
  <c r="BH432" i="79"/>
  <c r="BN432" i="79"/>
  <c r="BH436" i="79"/>
  <c r="BN436" i="79"/>
  <c r="BH440" i="79"/>
  <c r="BN440" i="79"/>
  <c r="BH415" i="79"/>
  <c r="BN415" i="79"/>
  <c r="BL415" i="79"/>
  <c r="BH418" i="79"/>
  <c r="BN418" i="79"/>
  <c r="BO415" i="79"/>
  <c r="BH416" i="79"/>
  <c r="BN416" i="79"/>
  <c r="BO416" i="79"/>
  <c r="BH417" i="79"/>
  <c r="BN417" i="79"/>
  <c r="BO417" i="79"/>
  <c r="BH423" i="79"/>
  <c r="BN423" i="79"/>
  <c r="BH427" i="79"/>
  <c r="BN427" i="79"/>
  <c r="BH431" i="79"/>
  <c r="BN431" i="79"/>
  <c r="BH435" i="79"/>
  <c r="BN435" i="79"/>
  <c r="BH439" i="79"/>
  <c r="BN439" i="79"/>
  <c r="BH422" i="79"/>
  <c r="BN422" i="79"/>
  <c r="BH426" i="79"/>
  <c r="BN426" i="79"/>
  <c r="BH430" i="79"/>
  <c r="BN430" i="79"/>
  <c r="BH434" i="79"/>
  <c r="BN434" i="79"/>
  <c r="BH438" i="79"/>
  <c r="BN438" i="79"/>
  <c r="BH421" i="79"/>
  <c r="BN421" i="79"/>
  <c r="BH425" i="79"/>
  <c r="BN425" i="79"/>
  <c r="BH429" i="79"/>
  <c r="BN429" i="79"/>
  <c r="BH433" i="79"/>
  <c r="BN433" i="79"/>
  <c r="BH437" i="79"/>
  <c r="BN437" i="79"/>
  <c r="BH441" i="79"/>
  <c r="BN441" i="79"/>
  <c r="BM448" i="79"/>
  <c r="BO454" i="79"/>
  <c r="BI454" i="79"/>
  <c r="BO456" i="79"/>
  <c r="BI456" i="79"/>
  <c r="BO458" i="79"/>
  <c r="BI458" i="79"/>
  <c r="BO460" i="79"/>
  <c r="BI460" i="79"/>
  <c r="BO462" i="79"/>
  <c r="BI462" i="79"/>
  <c r="BO464" i="79"/>
  <c r="BI464" i="79"/>
  <c r="BO466" i="79"/>
  <c r="BI466" i="79"/>
  <c r="BO468" i="79"/>
  <c r="BI468" i="79"/>
  <c r="BO470" i="79"/>
  <c r="BI470" i="79"/>
  <c r="BO472" i="79"/>
  <c r="BI472" i="79"/>
  <c r="BM473" i="79"/>
  <c r="BG473" i="79"/>
  <c r="BM481" i="79"/>
  <c r="BG481" i="79"/>
  <c r="BF487" i="79"/>
  <c r="BN448" i="79"/>
  <c r="BH449" i="79"/>
  <c r="BN449" i="79"/>
  <c r="BL449" i="79"/>
  <c r="BH453" i="79"/>
  <c r="BN453" i="79"/>
  <c r="BI476" i="79"/>
  <c r="BO476" i="79"/>
  <c r="BN442" i="79"/>
  <c r="BN443" i="79"/>
  <c r="BN444" i="79"/>
  <c r="BN445" i="79"/>
  <c r="BN446" i="79"/>
  <c r="BN447" i="79"/>
  <c r="BO453" i="79"/>
  <c r="BI453" i="79"/>
  <c r="BH455" i="79"/>
  <c r="BN455" i="79"/>
  <c r="BH457" i="79"/>
  <c r="BN457" i="79"/>
  <c r="BH459" i="79"/>
  <c r="BN459" i="79"/>
  <c r="BH461" i="79"/>
  <c r="BN461" i="79"/>
  <c r="BH463" i="79"/>
  <c r="BN463" i="79"/>
  <c r="BH465" i="79"/>
  <c r="BN465" i="79"/>
  <c r="BH467" i="79"/>
  <c r="BN467" i="79"/>
  <c r="BH469" i="79"/>
  <c r="BN469" i="79"/>
  <c r="BH471" i="79"/>
  <c r="BN471" i="79"/>
  <c r="BM474" i="79"/>
  <c r="BG474" i="79"/>
  <c r="BM482" i="79"/>
  <c r="BG482" i="79"/>
  <c r="BH486" i="79"/>
  <c r="BN486" i="79"/>
  <c r="BO488" i="79"/>
  <c r="BI488" i="79"/>
  <c r="BO449" i="79"/>
  <c r="BH450" i="79"/>
  <c r="BN450" i="79"/>
  <c r="BH452" i="79"/>
  <c r="BN452" i="79"/>
  <c r="BO455" i="79"/>
  <c r="BI455" i="79"/>
  <c r="BO457" i="79"/>
  <c r="BI457" i="79"/>
  <c r="BO459" i="79"/>
  <c r="BI459" i="79"/>
  <c r="BO461" i="79"/>
  <c r="BI461" i="79"/>
  <c r="BO463" i="79"/>
  <c r="BI463" i="79"/>
  <c r="BO465" i="79"/>
  <c r="BI465" i="79"/>
  <c r="BO467" i="79"/>
  <c r="BI467" i="79"/>
  <c r="BO469" i="79"/>
  <c r="BI469" i="79"/>
  <c r="BO471" i="79"/>
  <c r="BI471" i="79"/>
  <c r="BL475" i="79"/>
  <c r="BF475" i="79"/>
  <c r="BH482" i="79"/>
  <c r="BN482" i="79"/>
  <c r="BO485" i="79"/>
  <c r="BI485" i="79"/>
  <c r="BO452" i="79"/>
  <c r="BI452" i="79"/>
  <c r="BO450" i="79"/>
  <c r="BH451" i="79"/>
  <c r="BN451" i="79"/>
  <c r="BH483" i="79"/>
  <c r="BN483" i="79"/>
  <c r="BO451" i="79"/>
  <c r="BI451" i="79"/>
  <c r="BH454" i="79"/>
  <c r="BN454" i="79"/>
  <c r="BH456" i="79"/>
  <c r="BN456" i="79"/>
  <c r="BH458" i="79"/>
  <c r="BN458" i="79"/>
  <c r="BH460" i="79"/>
  <c r="BN460" i="79"/>
  <c r="BH462" i="79"/>
  <c r="BN462" i="79"/>
  <c r="BH464" i="79"/>
  <c r="BN464" i="79"/>
  <c r="BH466" i="79"/>
  <c r="BN466" i="79"/>
  <c r="BH468" i="79"/>
  <c r="BN468" i="79"/>
  <c r="BH470" i="79"/>
  <c r="BN470" i="79"/>
  <c r="BH472" i="79"/>
  <c r="BN472" i="79"/>
  <c r="BH474" i="79"/>
  <c r="BI475" i="79"/>
  <c r="BO475" i="79"/>
  <c r="BF490" i="79"/>
  <c r="BH491" i="79"/>
  <c r="BN491" i="79"/>
  <c r="BL493" i="79"/>
  <c r="BF493" i="79"/>
  <c r="BN473" i="79"/>
  <c r="BM478" i="79"/>
  <c r="BF479" i="79"/>
  <c r="BI480" i="79"/>
  <c r="BN481" i="79"/>
  <c r="BH484" i="79"/>
  <c r="BN484" i="79"/>
  <c r="BF488" i="79"/>
  <c r="BH492" i="79"/>
  <c r="BN492" i="79"/>
  <c r="BH494" i="79"/>
  <c r="BN494" i="79"/>
  <c r="BH496" i="79"/>
  <c r="BN496" i="79"/>
  <c r="BH500" i="79"/>
  <c r="BN500" i="79"/>
  <c r="BL504" i="79"/>
  <c r="BL505" i="79"/>
  <c r="BL512" i="79"/>
  <c r="BH519" i="79"/>
  <c r="BL495" i="79"/>
  <c r="BF495" i="79"/>
  <c r="BI496" i="79"/>
  <c r="BO496" i="79"/>
  <c r="BI500" i="79"/>
  <c r="BO500" i="79"/>
  <c r="BF486" i="79"/>
  <c r="BH490" i="79"/>
  <c r="BN490" i="79"/>
  <c r="BH497" i="79"/>
  <c r="BN497" i="79"/>
  <c r="BH501" i="79"/>
  <c r="BN501" i="79"/>
  <c r="BH476" i="79"/>
  <c r="BM477" i="79"/>
  <c r="BI479" i="79"/>
  <c r="BF485" i="79"/>
  <c r="BH489" i="79"/>
  <c r="BN489" i="79"/>
  <c r="BI497" i="79"/>
  <c r="BO497" i="79"/>
  <c r="BO501" i="79"/>
  <c r="BI501" i="79"/>
  <c r="BG505" i="79"/>
  <c r="BM505" i="79"/>
  <c r="BG513" i="79"/>
  <c r="BM513" i="79"/>
  <c r="BF484" i="79"/>
  <c r="BH488" i="79"/>
  <c r="BN488" i="79"/>
  <c r="BL492" i="79"/>
  <c r="BF492" i="79"/>
  <c r="BH493" i="79"/>
  <c r="BN493" i="79"/>
  <c r="BH495" i="79"/>
  <c r="BN495" i="79"/>
  <c r="BH498" i="79"/>
  <c r="BN498" i="79"/>
  <c r="BO504" i="79"/>
  <c r="BI504" i="79"/>
  <c r="BG521" i="79"/>
  <c r="BM521" i="79"/>
  <c r="BF480" i="79"/>
  <c r="BF483" i="79"/>
  <c r="BH487" i="79"/>
  <c r="BN487" i="79"/>
  <c r="BF491" i="79"/>
  <c r="BI492" i="79"/>
  <c r="BL494" i="79"/>
  <c r="BF494" i="79"/>
  <c r="BI494" i="79"/>
  <c r="BI498" i="79"/>
  <c r="BO498" i="79"/>
  <c r="BO505" i="79"/>
  <c r="BI505" i="79"/>
  <c r="BG506" i="79"/>
  <c r="BM506" i="79"/>
  <c r="BO512" i="79"/>
  <c r="BI512" i="79"/>
  <c r="BH499" i="79"/>
  <c r="BN499" i="79"/>
  <c r="BO520" i="79"/>
  <c r="BI520" i="79"/>
  <c r="BF474" i="79"/>
  <c r="BH485" i="79"/>
  <c r="BN485" i="79"/>
  <c r="BF489" i="79"/>
  <c r="BI499" i="79"/>
  <c r="BO499" i="79"/>
  <c r="BH511" i="79"/>
  <c r="BL506" i="79"/>
  <c r="BN512" i="79"/>
  <c r="BL514" i="79"/>
  <c r="BN520" i="79"/>
  <c r="BL522" i="79"/>
  <c r="BI524" i="79"/>
  <c r="BN528" i="79"/>
  <c r="BL503" i="79"/>
  <c r="BN509" i="79"/>
  <c r="BL511" i="79"/>
  <c r="BI513" i="79"/>
  <c r="BM514" i="79"/>
  <c r="BN517" i="79"/>
  <c r="BL519" i="79"/>
  <c r="BI521" i="79"/>
  <c r="BM522" i="79"/>
  <c r="BL527" i="79"/>
  <c r="BF496" i="79"/>
  <c r="BF497" i="79"/>
  <c r="BF498" i="79"/>
  <c r="BF499" i="79"/>
  <c r="BF500" i="79"/>
  <c r="BF501" i="79"/>
  <c r="BI502" i="79"/>
  <c r="BG504" i="79"/>
  <c r="BN506" i="79"/>
  <c r="BH507" i="79"/>
  <c r="BL508" i="79"/>
  <c r="BI510" i="79"/>
  <c r="BG512" i="79"/>
  <c r="BN514" i="79"/>
  <c r="BH515" i="79"/>
  <c r="BL516" i="79"/>
  <c r="BI518" i="79"/>
  <c r="BG520" i="79"/>
  <c r="BN522" i="79"/>
  <c r="BH523" i="79"/>
  <c r="BL524" i="79"/>
  <c r="BG528" i="79"/>
  <c r="BL513" i="79"/>
  <c r="BL521" i="79"/>
  <c r="BN527" i="79"/>
  <c r="BF529" i="79"/>
  <c r="BL529" i="79"/>
  <c r="BL502" i="79"/>
  <c r="BL510" i="79"/>
  <c r="BL518" i="79"/>
  <c r="BN524" i="79"/>
  <c r="BL526" i="79"/>
  <c r="BI528" i="79"/>
  <c r="BL507" i="79"/>
  <c r="BL515" i="79"/>
  <c r="BL523" i="79"/>
  <c r="BL528" i="79"/>
  <c r="BI503" i="79"/>
  <c r="BL509" i="79"/>
  <c r="BI511" i="79"/>
  <c r="BL517" i="79"/>
  <c r="BI519" i="79"/>
  <c r="BL525" i="79"/>
  <c r="BI527" i="79"/>
  <c r="BN529" i="79"/>
  <c r="BH529" i="79"/>
  <c r="BM529" i="79"/>
  <c r="BI529" i="79"/>
  <c r="BN33" i="82" l="1"/>
  <c r="AH34" i="82"/>
  <c r="BH33" i="82"/>
  <c r="BK33" i="83"/>
  <c r="J34" i="83"/>
  <c r="BK32" i="82"/>
  <c r="J33" i="82"/>
  <c r="BK33" i="82" s="1"/>
  <c r="K17" i="79"/>
  <c r="BE17" i="79" s="1"/>
  <c r="BK18" i="79"/>
  <c r="BE18" i="79"/>
  <c r="BE28" i="79"/>
  <c r="BE25" i="79"/>
  <c r="BE29" i="79"/>
  <c r="BE22" i="79"/>
  <c r="BE24" i="79"/>
  <c r="BE19" i="79"/>
  <c r="BE26" i="79"/>
  <c r="BE20" i="79"/>
  <c r="BE21" i="79"/>
  <c r="BE27" i="79"/>
  <c r="BE23" i="79"/>
  <c r="BK19" i="79"/>
  <c r="J20" i="79"/>
  <c r="BN26" i="79"/>
  <c r="BH26" i="79"/>
  <c r="BH29" i="79"/>
  <c r="BN29" i="79"/>
  <c r="BH18" i="79"/>
  <c r="BN18" i="79"/>
  <c r="AP15" i="79"/>
  <c r="BH23" i="79"/>
  <c r="BN23" i="79"/>
  <c r="BN27" i="79"/>
  <c r="BH27" i="79"/>
  <c r="BL12" i="79"/>
  <c r="AV30" i="79"/>
  <c r="AW22" i="79"/>
  <c r="BL13" i="79"/>
  <c r="BF12" i="79"/>
  <c r="BL14" i="79"/>
  <c r="BN22" i="79"/>
  <c r="BH22" i="79"/>
  <c r="BN24" i="79"/>
  <c r="BH24" i="79"/>
  <c r="AH15" i="79"/>
  <c r="AH17" i="79"/>
  <c r="BH20" i="79"/>
  <c r="BN20" i="79"/>
  <c r="BH28" i="79"/>
  <c r="BN28" i="79"/>
  <c r="BG26" i="79"/>
  <c r="BM26" i="79"/>
  <c r="BN19" i="79"/>
  <c r="BH19" i="79"/>
  <c r="BH25" i="79"/>
  <c r="BN25" i="79"/>
  <c r="Z15" i="79"/>
  <c r="Z17" i="79"/>
  <c r="AH35" i="82" l="1"/>
  <c r="AH36" i="82" s="1"/>
  <c r="BN34" i="82"/>
  <c r="BH34" i="82"/>
  <c r="AH39" i="82"/>
  <c r="J35" i="83"/>
  <c r="BK34" i="83"/>
  <c r="BK17" i="79"/>
  <c r="BK20" i="79"/>
  <c r="J21" i="79"/>
  <c r="BG17" i="79"/>
  <c r="BM17" i="79"/>
  <c r="BH17" i="79"/>
  <c r="BN17" i="79"/>
  <c r="AQ528" i="79"/>
  <c r="AR523" i="79"/>
  <c r="AQ520" i="79"/>
  <c r="AR515" i="79"/>
  <c r="AQ512" i="79"/>
  <c r="AR507" i="79"/>
  <c r="AQ504" i="79"/>
  <c r="AQ501" i="79"/>
  <c r="AQ500" i="79"/>
  <c r="AQ499" i="79"/>
  <c r="AQ498" i="79"/>
  <c r="AQ497" i="79"/>
  <c r="AQ496" i="79"/>
  <c r="AQ495" i="79"/>
  <c r="AQ494" i="79"/>
  <c r="AQ493" i="79"/>
  <c r="AQ492" i="79"/>
  <c r="AQ491" i="79"/>
  <c r="AQ490" i="79"/>
  <c r="AQ489" i="79"/>
  <c r="AQ488" i="79"/>
  <c r="AQ487" i="79"/>
  <c r="AQ486" i="79"/>
  <c r="AQ485" i="79"/>
  <c r="AQ484" i="79"/>
  <c r="AQ483" i="79"/>
  <c r="AQ482" i="79"/>
  <c r="AQ481" i="79"/>
  <c r="AQ480" i="79"/>
  <c r="AQ479" i="79"/>
  <c r="AQ478" i="79"/>
  <c r="AQ477" i="79"/>
  <c r="AQ476" i="79"/>
  <c r="AQ475" i="79"/>
  <c r="AQ474" i="79"/>
  <c r="AQ473" i="79"/>
  <c r="AQ526" i="79"/>
  <c r="AR521" i="79"/>
  <c r="AQ518" i="79"/>
  <c r="AR513" i="79"/>
  <c r="AQ510" i="79"/>
  <c r="AR505" i="79"/>
  <c r="AQ502" i="79"/>
  <c r="AR529" i="79"/>
  <c r="AR524" i="79"/>
  <c r="AQ521" i="79"/>
  <c r="AR516" i="79"/>
  <c r="AQ513" i="79"/>
  <c r="AR508" i="79"/>
  <c r="AQ505" i="79"/>
  <c r="AQ529" i="79"/>
  <c r="AR527" i="79"/>
  <c r="AQ524" i="79"/>
  <c r="AR519" i="79"/>
  <c r="AQ516" i="79"/>
  <c r="AR511" i="79"/>
  <c r="AQ527" i="79"/>
  <c r="AR522" i="79"/>
  <c r="AQ519" i="79"/>
  <c r="AR514" i="79"/>
  <c r="AQ511" i="79"/>
  <c r="AR506" i="79"/>
  <c r="AQ503" i="79"/>
  <c r="AR525" i="79"/>
  <c r="AQ522" i="79"/>
  <c r="AR517" i="79"/>
  <c r="AQ514" i="79"/>
  <c r="AR509" i="79"/>
  <c r="AQ506" i="79"/>
  <c r="AR528" i="79"/>
  <c r="AQ525" i="79"/>
  <c r="AR520" i="79"/>
  <c r="AQ517" i="79"/>
  <c r="AR512" i="79"/>
  <c r="AQ509" i="79"/>
  <c r="AR504" i="79"/>
  <c r="AR501" i="79"/>
  <c r="AR500" i="79"/>
  <c r="AR499" i="79"/>
  <c r="AR498" i="79"/>
  <c r="AR497" i="79"/>
  <c r="AR496" i="79"/>
  <c r="AR495" i="79"/>
  <c r="AR494" i="79"/>
  <c r="AR493" i="79"/>
  <c r="AR492" i="79"/>
  <c r="AR491" i="79"/>
  <c r="AR490" i="79"/>
  <c r="AR489" i="79"/>
  <c r="AR488" i="79"/>
  <c r="AR487" i="79"/>
  <c r="AR486" i="79"/>
  <c r="AR485" i="79"/>
  <c r="AR484" i="79"/>
  <c r="AR483" i="79"/>
  <c r="AR482" i="79"/>
  <c r="AR476" i="79"/>
  <c r="AR502" i="79"/>
  <c r="AR474" i="79"/>
  <c r="AQ507" i="79"/>
  <c r="AR477" i="79"/>
  <c r="AR526" i="79"/>
  <c r="AR518" i="79"/>
  <c r="AR480" i="79"/>
  <c r="AR472" i="79"/>
  <c r="AR471" i="79"/>
  <c r="AR470" i="79"/>
  <c r="AR469" i="79"/>
  <c r="AR468" i="79"/>
  <c r="AR467" i="79"/>
  <c r="AR466" i="79"/>
  <c r="AR465" i="79"/>
  <c r="AR464" i="79"/>
  <c r="AR463" i="79"/>
  <c r="AR462" i="79"/>
  <c r="AR461" i="79"/>
  <c r="AR460" i="79"/>
  <c r="AR459" i="79"/>
  <c r="AR458" i="79"/>
  <c r="AR457" i="79"/>
  <c r="AR456" i="79"/>
  <c r="AR455" i="79"/>
  <c r="AR454" i="79"/>
  <c r="AR453" i="79"/>
  <c r="AR452" i="79"/>
  <c r="AR451" i="79"/>
  <c r="AQ523" i="79"/>
  <c r="AR510" i="79"/>
  <c r="AR503" i="79"/>
  <c r="AR475" i="79"/>
  <c r="AQ472" i="79"/>
  <c r="AQ471" i="79"/>
  <c r="AQ470" i="79"/>
  <c r="AQ469" i="79"/>
  <c r="AQ468" i="79"/>
  <c r="AQ467" i="79"/>
  <c r="AQ466" i="79"/>
  <c r="AQ465" i="79"/>
  <c r="AQ464" i="79"/>
  <c r="AQ463" i="79"/>
  <c r="AQ462" i="79"/>
  <c r="AQ461" i="79"/>
  <c r="AQ460" i="79"/>
  <c r="AQ459" i="79"/>
  <c r="AQ458" i="79"/>
  <c r="AQ457" i="79"/>
  <c r="AQ456" i="79"/>
  <c r="AQ455" i="79"/>
  <c r="AQ454" i="79"/>
  <c r="AQ515" i="79"/>
  <c r="AQ508" i="79"/>
  <c r="AR481" i="79"/>
  <c r="AR473" i="79"/>
  <c r="AR450" i="79"/>
  <c r="AR478" i="79"/>
  <c r="AQ452" i="79"/>
  <c r="AQ450" i="79"/>
  <c r="AR449" i="79"/>
  <c r="AR479" i="79"/>
  <c r="AQ453" i="79"/>
  <c r="AQ449" i="79"/>
  <c r="AR447" i="79"/>
  <c r="AR446" i="79"/>
  <c r="AR445" i="79"/>
  <c r="AR444" i="79"/>
  <c r="AR443" i="79"/>
  <c r="AR442" i="79"/>
  <c r="AR441" i="79"/>
  <c r="AR440" i="79"/>
  <c r="AR439" i="79"/>
  <c r="AR438" i="79"/>
  <c r="AR437" i="79"/>
  <c r="AR436" i="79"/>
  <c r="AR435" i="79"/>
  <c r="AR434" i="79"/>
  <c r="AR433" i="79"/>
  <c r="AR432" i="79"/>
  <c r="AR431" i="79"/>
  <c r="AR430" i="79"/>
  <c r="AR429" i="79"/>
  <c r="AR428" i="79"/>
  <c r="AR427" i="79"/>
  <c r="AR426" i="79"/>
  <c r="AR425" i="79"/>
  <c r="AR424" i="79"/>
  <c r="AR423" i="79"/>
  <c r="AR422" i="79"/>
  <c r="AR421" i="79"/>
  <c r="AR420" i="79"/>
  <c r="AR419" i="79"/>
  <c r="AR418" i="79"/>
  <c r="AR417" i="79"/>
  <c r="AR416" i="79"/>
  <c r="AR415" i="79"/>
  <c r="AR448" i="79"/>
  <c r="AQ447" i="79"/>
  <c r="AQ446" i="79"/>
  <c r="AQ445" i="79"/>
  <c r="AQ444" i="79"/>
  <c r="AQ443" i="79"/>
  <c r="AQ442" i="79"/>
  <c r="AQ441" i="79"/>
  <c r="AQ451" i="79"/>
  <c r="AQ448" i="79"/>
  <c r="AQ438" i="79"/>
  <c r="AQ434" i="79"/>
  <c r="AQ430" i="79"/>
  <c r="AQ426" i="79"/>
  <c r="AQ422" i="79"/>
  <c r="AR414" i="79"/>
  <c r="AR413" i="79"/>
  <c r="AR412" i="79"/>
  <c r="AR411" i="79"/>
  <c r="AR410" i="79"/>
  <c r="AR409" i="79"/>
  <c r="AR408" i="79"/>
  <c r="AR407" i="79"/>
  <c r="AR406" i="79"/>
  <c r="AR405" i="79"/>
  <c r="AR404" i="79"/>
  <c r="AR403" i="79"/>
  <c r="AR402" i="79"/>
  <c r="AR401" i="79"/>
  <c r="AR400" i="79"/>
  <c r="AR399" i="79"/>
  <c r="AR398" i="79"/>
  <c r="AR397" i="79"/>
  <c r="AR396" i="79"/>
  <c r="AR395" i="79"/>
  <c r="AR394" i="79"/>
  <c r="AR393" i="79"/>
  <c r="AR392" i="79"/>
  <c r="AR391" i="79"/>
  <c r="AR390" i="79"/>
  <c r="AR389" i="79"/>
  <c r="AR388" i="79"/>
  <c r="AR387" i="79"/>
  <c r="AR386" i="79"/>
  <c r="AR385" i="79"/>
  <c r="AR384" i="79"/>
  <c r="AR383" i="79"/>
  <c r="AR382" i="79"/>
  <c r="AQ414" i="79"/>
  <c r="AQ413" i="79"/>
  <c r="AQ412" i="79"/>
  <c r="AQ411" i="79"/>
  <c r="AQ410" i="79"/>
  <c r="AQ409" i="79"/>
  <c r="AQ408" i="79"/>
  <c r="AQ407" i="79"/>
  <c r="AQ406" i="79"/>
  <c r="AQ405" i="79"/>
  <c r="AQ404" i="79"/>
  <c r="AQ403" i="79"/>
  <c r="AQ402" i="79"/>
  <c r="AQ401" i="79"/>
  <c r="AQ400" i="79"/>
  <c r="AQ399" i="79"/>
  <c r="AQ398" i="79"/>
  <c r="AQ397" i="79"/>
  <c r="AQ396" i="79"/>
  <c r="AQ395" i="79"/>
  <c r="AQ394" i="79"/>
  <c r="AQ393" i="79"/>
  <c r="AQ392" i="79"/>
  <c r="AQ391" i="79"/>
  <c r="AQ390" i="79"/>
  <c r="AQ389" i="79"/>
  <c r="AQ388" i="79"/>
  <c r="AQ387" i="79"/>
  <c r="AQ386" i="79"/>
  <c r="AQ385" i="79"/>
  <c r="AQ384" i="79"/>
  <c r="AQ383" i="79"/>
  <c r="AQ382" i="79"/>
  <c r="AQ381" i="79"/>
  <c r="AQ439" i="79"/>
  <c r="AQ435" i="79"/>
  <c r="AQ431" i="79"/>
  <c r="AQ427" i="79"/>
  <c r="AQ423" i="79"/>
  <c r="AQ417" i="79"/>
  <c r="AQ416" i="79"/>
  <c r="AQ415" i="79"/>
  <c r="AQ418" i="79"/>
  <c r="AQ440" i="79"/>
  <c r="AQ436" i="79"/>
  <c r="AQ432" i="79"/>
  <c r="AQ428" i="79"/>
  <c r="AQ424" i="79"/>
  <c r="AQ419" i="79"/>
  <c r="AQ420" i="79"/>
  <c r="AQ437" i="79"/>
  <c r="AQ433" i="79"/>
  <c r="AQ429" i="79"/>
  <c r="AQ425" i="79"/>
  <c r="AQ421" i="79"/>
  <c r="AR381" i="79"/>
  <c r="AR380" i="79"/>
  <c r="AR379" i="79"/>
  <c r="AR378" i="79"/>
  <c r="AR377" i="79"/>
  <c r="AR376" i="79"/>
  <c r="AR375" i="79"/>
  <c r="AR374" i="79"/>
  <c r="AR373" i="79"/>
  <c r="AR372" i="79"/>
  <c r="AR371" i="79"/>
  <c r="AR370" i="79"/>
  <c r="AR369" i="79"/>
  <c r="AR368" i="79"/>
  <c r="AR367" i="79"/>
  <c r="AR366" i="79"/>
  <c r="AR365" i="79"/>
  <c r="AR364" i="79"/>
  <c r="AR363" i="79"/>
  <c r="AR362" i="79"/>
  <c r="AR361" i="79"/>
  <c r="AR360" i="79"/>
  <c r="AR359" i="79"/>
  <c r="AR358" i="79"/>
  <c r="AR357" i="79"/>
  <c r="AR356" i="79"/>
  <c r="AR355" i="79"/>
  <c r="AR354" i="79"/>
  <c r="AR353" i="79"/>
  <c r="AR352" i="79"/>
  <c r="AR351" i="79"/>
  <c r="AR350" i="79"/>
  <c r="AR349" i="79"/>
  <c r="AR348" i="79"/>
  <c r="AQ380" i="79"/>
  <c r="AQ379" i="79"/>
  <c r="AQ378" i="79"/>
  <c r="AQ377" i="79"/>
  <c r="AQ376" i="79"/>
  <c r="AQ375" i="79"/>
  <c r="AQ374" i="79"/>
  <c r="AQ373" i="79"/>
  <c r="AQ372" i="79"/>
  <c r="AQ371" i="79"/>
  <c r="AQ370" i="79"/>
  <c r="AQ369" i="79"/>
  <c r="AQ368" i="79"/>
  <c r="AQ367" i="79"/>
  <c r="AQ366" i="79"/>
  <c r="AQ365" i="79"/>
  <c r="AQ364" i="79"/>
  <c r="AQ363" i="79"/>
  <c r="AQ362" i="79"/>
  <c r="AQ361" i="79"/>
  <c r="AQ360" i="79"/>
  <c r="AQ359" i="79"/>
  <c r="AQ358" i="79"/>
  <c r="AQ357" i="79"/>
  <c r="AQ356" i="79"/>
  <c r="AR347" i="79"/>
  <c r="AR346" i="79"/>
  <c r="AR345" i="79"/>
  <c r="AR344" i="79"/>
  <c r="AR343" i="79"/>
  <c r="AR342" i="79"/>
  <c r="AR341" i="79"/>
  <c r="AR340" i="79"/>
  <c r="AR339" i="79"/>
  <c r="AR338" i="79"/>
  <c r="AR337" i="79"/>
  <c r="AR336" i="79"/>
  <c r="AR335" i="79"/>
  <c r="AR334" i="79"/>
  <c r="AR333" i="79"/>
  <c r="AR332" i="79"/>
  <c r="AR331" i="79"/>
  <c r="AR330" i="79"/>
  <c r="AR329" i="79"/>
  <c r="AR328" i="79"/>
  <c r="AR327" i="79"/>
  <c r="AR326" i="79"/>
  <c r="AR325" i="79"/>
  <c r="AR324" i="79"/>
  <c r="AR323" i="79"/>
  <c r="AR322" i="79"/>
  <c r="AR321" i="79"/>
  <c r="AR320" i="79"/>
  <c r="AR319" i="79"/>
  <c r="AR318" i="79"/>
  <c r="AR317" i="79"/>
  <c r="AR316" i="79"/>
  <c r="AR315" i="79"/>
  <c r="AR314" i="79"/>
  <c r="AR313" i="79"/>
  <c r="AR312" i="79"/>
  <c r="AR311" i="79"/>
  <c r="AR310" i="79"/>
  <c r="AR309" i="79"/>
  <c r="AR308" i="79"/>
  <c r="AR307" i="79"/>
  <c r="AR306" i="79"/>
  <c r="AR305" i="79"/>
  <c r="AQ355" i="79"/>
  <c r="AQ349" i="79"/>
  <c r="AQ347" i="79"/>
  <c r="AQ346" i="79"/>
  <c r="AQ345" i="79"/>
  <c r="AQ344" i="79"/>
  <c r="AQ343" i="79"/>
  <c r="AQ342" i="79"/>
  <c r="AQ341" i="79"/>
  <c r="AQ340" i="79"/>
  <c r="AQ339" i="79"/>
  <c r="AQ338" i="79"/>
  <c r="AQ337" i="79"/>
  <c r="AQ336" i="79"/>
  <c r="AQ335" i="79"/>
  <c r="AQ334" i="79"/>
  <c r="AQ333" i="79"/>
  <c r="AQ332" i="79"/>
  <c r="AQ331" i="79"/>
  <c r="AQ330" i="79"/>
  <c r="AQ354" i="79"/>
  <c r="AQ353" i="79"/>
  <c r="AQ348" i="79"/>
  <c r="AQ352" i="79"/>
  <c r="AQ351" i="79"/>
  <c r="AQ350" i="79"/>
  <c r="AQ323" i="79"/>
  <c r="AQ315" i="79"/>
  <c r="AQ304" i="79"/>
  <c r="AQ303" i="79"/>
  <c r="AQ302" i="79"/>
  <c r="AQ301" i="79"/>
  <c r="AQ300" i="79"/>
  <c r="AQ299" i="79"/>
  <c r="AQ298" i="79"/>
  <c r="AQ297" i="79"/>
  <c r="AQ296" i="79"/>
  <c r="AQ295" i="79"/>
  <c r="AQ294" i="79"/>
  <c r="AQ293" i="79"/>
  <c r="AQ292" i="79"/>
  <c r="AQ291" i="79"/>
  <c r="AQ290" i="79"/>
  <c r="AQ289" i="79"/>
  <c r="AQ288" i="79"/>
  <c r="AQ287" i="79"/>
  <c r="AQ286" i="79"/>
  <c r="AQ285" i="79"/>
  <c r="AQ284" i="79"/>
  <c r="AQ283" i="79"/>
  <c r="AQ282" i="79"/>
  <c r="AQ281" i="79"/>
  <c r="AQ280" i="79"/>
  <c r="AQ279" i="79"/>
  <c r="AQ278" i="79"/>
  <c r="AQ277" i="79"/>
  <c r="AQ276" i="79"/>
  <c r="AQ275" i="79"/>
  <c r="AQ274" i="79"/>
  <c r="AQ273" i="79"/>
  <c r="AQ272" i="79"/>
  <c r="AQ271" i="79"/>
  <c r="AQ270" i="79"/>
  <c r="AQ269" i="79"/>
  <c r="AQ268" i="79"/>
  <c r="AQ267" i="79"/>
  <c r="AQ266" i="79"/>
  <c r="AQ265" i="79"/>
  <c r="AQ264" i="79"/>
  <c r="AQ263" i="79"/>
  <c r="AQ262" i="79"/>
  <c r="AQ261" i="79"/>
  <c r="AQ260" i="79"/>
  <c r="AQ259" i="79"/>
  <c r="AQ258" i="79"/>
  <c r="AQ257" i="79"/>
  <c r="AQ256" i="79"/>
  <c r="AQ255" i="79"/>
  <c r="AQ254" i="79"/>
  <c r="AQ253" i="79"/>
  <c r="AQ252" i="79"/>
  <c r="AQ324" i="79"/>
  <c r="AQ316" i="79"/>
  <c r="AQ309" i="79"/>
  <c r="AQ305" i="79"/>
  <c r="AQ325" i="79"/>
  <c r="AQ317" i="79"/>
  <c r="AQ326" i="79"/>
  <c r="AQ318" i="79"/>
  <c r="AQ308" i="79"/>
  <c r="AQ327" i="79"/>
  <c r="AQ319" i="79"/>
  <c r="AQ328" i="79"/>
  <c r="AQ320" i="79"/>
  <c r="AQ312" i="79"/>
  <c r="AQ311" i="79"/>
  <c r="AQ307" i="79"/>
  <c r="AQ329" i="79"/>
  <c r="AQ321" i="79"/>
  <c r="AQ313" i="79"/>
  <c r="AQ322" i="79"/>
  <c r="AQ314" i="79"/>
  <c r="AQ310" i="79"/>
  <c r="AQ306" i="79"/>
  <c r="AR304" i="79"/>
  <c r="AR303" i="79"/>
  <c r="AR302" i="79"/>
  <c r="AR301" i="79"/>
  <c r="AR300" i="79"/>
  <c r="AR299" i="79"/>
  <c r="AR298" i="79"/>
  <c r="AR297" i="79"/>
  <c r="AR296" i="79"/>
  <c r="AR295" i="79"/>
  <c r="AR294" i="79"/>
  <c r="AR293" i="79"/>
  <c r="AR292" i="79"/>
  <c r="AR291" i="79"/>
  <c r="AR290" i="79"/>
  <c r="AR289" i="79"/>
  <c r="AR288" i="79"/>
  <c r="AR287" i="79"/>
  <c r="AR286" i="79"/>
  <c r="AR285" i="79"/>
  <c r="AR284" i="79"/>
  <c r="AR283" i="79"/>
  <c r="AR282" i="79"/>
  <c r="AR281" i="79"/>
  <c r="AR280" i="79"/>
  <c r="AR279" i="79"/>
  <c r="AR278" i="79"/>
  <c r="AR277" i="79"/>
  <c r="AR276" i="79"/>
  <c r="AR275" i="79"/>
  <c r="AR274" i="79"/>
  <c r="AR273" i="79"/>
  <c r="AR272" i="79"/>
  <c r="AR271" i="79"/>
  <c r="AR270" i="79"/>
  <c r="AR269" i="79"/>
  <c r="AR268" i="79"/>
  <c r="AR267" i="79"/>
  <c r="AR266" i="79"/>
  <c r="AR265" i="79"/>
  <c r="AR264" i="79"/>
  <c r="AR263" i="79"/>
  <c r="AR261" i="79"/>
  <c r="AR257" i="79"/>
  <c r="AR253" i="79"/>
  <c r="AR251" i="79"/>
  <c r="AR250" i="79"/>
  <c r="AR249" i="79"/>
  <c r="AR248" i="79"/>
  <c r="AR247" i="79"/>
  <c r="AR246" i="79"/>
  <c r="AR245" i="79"/>
  <c r="AR244" i="79"/>
  <c r="AR243" i="79"/>
  <c r="AR242" i="79"/>
  <c r="AR241" i="79"/>
  <c r="AR240" i="79"/>
  <c r="AR239" i="79"/>
  <c r="AR238" i="79"/>
  <c r="AR237" i="79"/>
  <c r="AR236" i="79"/>
  <c r="AR235" i="79"/>
  <c r="AR234" i="79"/>
  <c r="AR233" i="79"/>
  <c r="AR232" i="79"/>
  <c r="AR231" i="79"/>
  <c r="AR230" i="79"/>
  <c r="AR229" i="79"/>
  <c r="AR228" i="79"/>
  <c r="AR227" i="79"/>
  <c r="AR226" i="79"/>
  <c r="AR225" i="79"/>
  <c r="AR224" i="79"/>
  <c r="AR223" i="79"/>
  <c r="AR222" i="79"/>
  <c r="AR221" i="79"/>
  <c r="AR220" i="79"/>
  <c r="AR219" i="79"/>
  <c r="AR218" i="79"/>
  <c r="AR217" i="79"/>
  <c r="AR216" i="79"/>
  <c r="AR215" i="79"/>
  <c r="AR214" i="79"/>
  <c r="AR213" i="79"/>
  <c r="AR212" i="79"/>
  <c r="AR211" i="79"/>
  <c r="AR210" i="79"/>
  <c r="AR209" i="79"/>
  <c r="AR208" i="79"/>
  <c r="AR207" i="79"/>
  <c r="AR206" i="79"/>
  <c r="AR205" i="79"/>
  <c r="AR204" i="79"/>
  <c r="AR203" i="79"/>
  <c r="AR202" i="79"/>
  <c r="AR201" i="79"/>
  <c r="AR200" i="79"/>
  <c r="AR199" i="79"/>
  <c r="AR198" i="79"/>
  <c r="AR197" i="79"/>
  <c r="AR196" i="79"/>
  <c r="AR195" i="79"/>
  <c r="AR194" i="79"/>
  <c r="AR193" i="79"/>
  <c r="AR192" i="79"/>
  <c r="AR191" i="79"/>
  <c r="AQ251" i="79"/>
  <c r="AQ250" i="79"/>
  <c r="AQ249" i="79"/>
  <c r="AQ248" i="79"/>
  <c r="AQ247" i="79"/>
  <c r="AQ246" i="79"/>
  <c r="AQ245" i="79"/>
  <c r="AQ244" i="79"/>
  <c r="AQ243" i="79"/>
  <c r="AQ242" i="79"/>
  <c r="AQ241" i="79"/>
  <c r="AQ240" i="79"/>
  <c r="AQ239" i="79"/>
  <c r="AQ238" i="79"/>
  <c r="AQ237" i="79"/>
  <c r="AQ236" i="79"/>
  <c r="AQ235" i="79"/>
  <c r="AQ234" i="79"/>
  <c r="AQ233" i="79"/>
  <c r="AQ232" i="79"/>
  <c r="AQ231" i="79"/>
  <c r="AQ230" i="79"/>
  <c r="AQ229" i="79"/>
  <c r="AQ228" i="79"/>
  <c r="AQ227" i="79"/>
  <c r="AQ226" i="79"/>
  <c r="AQ225" i="79"/>
  <c r="AQ224" i="79"/>
  <c r="AQ223" i="79"/>
  <c r="AQ222" i="79"/>
  <c r="AQ221" i="79"/>
  <c r="AQ220" i="79"/>
  <c r="AQ219" i="79"/>
  <c r="AQ218" i="79"/>
  <c r="AQ217" i="79"/>
  <c r="AQ216" i="79"/>
  <c r="AQ215" i="79"/>
  <c r="AQ214" i="79"/>
  <c r="AQ213" i="79"/>
  <c r="AQ212" i="79"/>
  <c r="AQ211" i="79"/>
  <c r="AQ210" i="79"/>
  <c r="AQ209" i="79"/>
  <c r="AQ208" i="79"/>
  <c r="AQ207" i="79"/>
  <c r="AQ206" i="79"/>
  <c r="AQ205" i="79"/>
  <c r="AQ204" i="79"/>
  <c r="AQ203" i="79"/>
  <c r="AQ202" i="79"/>
  <c r="AQ201" i="79"/>
  <c r="AQ200" i="79"/>
  <c r="AQ199" i="79"/>
  <c r="AR260" i="79"/>
  <c r="AR256" i="79"/>
  <c r="AR252" i="79"/>
  <c r="AR259" i="79"/>
  <c r="AR255" i="79"/>
  <c r="AR262" i="79"/>
  <c r="AR258" i="79"/>
  <c r="AR254" i="79"/>
  <c r="AQ195" i="79"/>
  <c r="AQ191" i="79"/>
  <c r="AQ198" i="79"/>
  <c r="AQ194" i="79"/>
  <c r="AQ197" i="79"/>
  <c r="AQ193" i="79"/>
  <c r="AR190" i="79"/>
  <c r="AR189" i="79"/>
  <c r="AR188" i="79"/>
  <c r="AR187" i="79"/>
  <c r="AR186" i="79"/>
  <c r="AR185" i="79"/>
  <c r="AR184" i="79"/>
  <c r="AR183" i="79"/>
  <c r="AR182" i="79"/>
  <c r="AR181" i="79"/>
  <c r="AR180" i="79"/>
  <c r="AR179" i="79"/>
  <c r="AR178" i="79"/>
  <c r="AR177" i="79"/>
  <c r="AR176" i="79"/>
  <c r="AR175" i="79"/>
  <c r="AR174" i="79"/>
  <c r="AR173" i="79"/>
  <c r="AR172" i="79"/>
  <c r="AR171" i="79"/>
  <c r="AR170" i="79"/>
  <c r="AR169" i="79"/>
  <c r="AR168" i="79"/>
  <c r="AR167" i="79"/>
  <c r="AR166" i="79"/>
  <c r="AR165" i="79"/>
  <c r="AR164" i="79"/>
  <c r="AR163" i="79"/>
  <c r="AR162" i="79"/>
  <c r="AR161" i="79"/>
  <c r="AR160" i="79"/>
  <c r="AR159" i="79"/>
  <c r="AR158" i="79"/>
  <c r="AR157" i="79"/>
  <c r="AR156" i="79"/>
  <c r="AR155" i="79"/>
  <c r="AR154" i="79"/>
  <c r="AR153" i="79"/>
  <c r="AR152" i="79"/>
  <c r="AR151" i="79"/>
  <c r="AR150" i="79"/>
  <c r="AR149" i="79"/>
  <c r="AR148" i="79"/>
  <c r="AR147" i="79"/>
  <c r="AR146" i="79"/>
  <c r="AR145" i="79"/>
  <c r="AQ196" i="79"/>
  <c r="AQ192" i="79"/>
  <c r="AQ190" i="79"/>
  <c r="AQ189" i="79"/>
  <c r="AQ188" i="79"/>
  <c r="AQ187" i="79"/>
  <c r="AQ186" i="79"/>
  <c r="AQ185" i="79"/>
  <c r="AQ184" i="79"/>
  <c r="AQ183" i="79"/>
  <c r="AQ182" i="79"/>
  <c r="AQ181" i="79"/>
  <c r="AQ180" i="79"/>
  <c r="AQ179" i="79"/>
  <c r="AQ178" i="79"/>
  <c r="AQ177" i="79"/>
  <c r="AQ176" i="79"/>
  <c r="AQ175" i="79"/>
  <c r="AQ174" i="79"/>
  <c r="AQ173" i="79"/>
  <c r="AQ172" i="79"/>
  <c r="AQ171" i="79"/>
  <c r="AQ170" i="79"/>
  <c r="AQ147" i="79"/>
  <c r="AQ169" i="79"/>
  <c r="AQ167" i="79"/>
  <c r="AQ165" i="79"/>
  <c r="AQ163" i="79"/>
  <c r="AQ161" i="79"/>
  <c r="AQ159" i="79"/>
  <c r="AQ157" i="79"/>
  <c r="AQ155" i="79"/>
  <c r="AQ153" i="79"/>
  <c r="AQ143" i="79"/>
  <c r="AR140" i="79"/>
  <c r="AR139" i="79"/>
  <c r="AR138" i="79"/>
  <c r="AR137" i="79"/>
  <c r="AR136" i="79"/>
  <c r="AR135" i="79"/>
  <c r="AR134" i="79"/>
  <c r="AR133" i="79"/>
  <c r="AR132" i="79"/>
  <c r="AR131" i="79"/>
  <c r="AR130" i="79"/>
  <c r="AR129" i="79"/>
  <c r="AR128" i="79"/>
  <c r="AR127" i="79"/>
  <c r="AR126" i="79"/>
  <c r="AR125" i="79"/>
  <c r="AR124" i="79"/>
  <c r="AR123" i="79"/>
  <c r="AR122" i="79"/>
  <c r="AR121" i="79"/>
  <c r="AR120" i="79"/>
  <c r="AR119" i="79"/>
  <c r="AR118" i="79"/>
  <c r="AR117" i="79"/>
  <c r="AR116" i="79"/>
  <c r="AR115" i="79"/>
  <c r="AR114" i="79"/>
  <c r="AR113" i="79"/>
  <c r="AR112" i="79"/>
  <c r="AR111" i="79"/>
  <c r="AR110" i="79"/>
  <c r="AR109" i="79"/>
  <c r="AR108" i="79"/>
  <c r="AR107" i="79"/>
  <c r="AR106" i="79"/>
  <c r="AR105" i="79"/>
  <c r="AR104" i="79"/>
  <c r="AR103" i="79"/>
  <c r="AR102" i="79"/>
  <c r="AR101" i="79"/>
  <c r="AR100" i="79"/>
  <c r="AR99" i="79"/>
  <c r="AR98" i="79"/>
  <c r="AR97" i="79"/>
  <c r="AR96" i="79"/>
  <c r="AR95" i="79"/>
  <c r="AR94" i="79"/>
  <c r="AR93" i="79"/>
  <c r="AR92" i="79"/>
  <c r="AR91" i="79"/>
  <c r="AR90" i="79"/>
  <c r="AR89" i="79"/>
  <c r="AR88" i="79"/>
  <c r="AR87" i="79"/>
  <c r="AR86" i="79"/>
  <c r="AR85" i="79"/>
  <c r="AR84" i="79"/>
  <c r="AR83" i="79"/>
  <c r="AR82" i="79"/>
  <c r="AR81" i="79"/>
  <c r="AR80" i="79"/>
  <c r="AR79" i="79"/>
  <c r="AQ148" i="79"/>
  <c r="AQ145" i="79"/>
  <c r="AR141" i="79"/>
  <c r="AQ140" i="79"/>
  <c r="AQ139" i="79"/>
  <c r="AQ138" i="79"/>
  <c r="AQ137" i="79"/>
  <c r="AQ136" i="79"/>
  <c r="AQ135" i="79"/>
  <c r="AQ134" i="79"/>
  <c r="AQ133" i="79"/>
  <c r="AQ132" i="79"/>
  <c r="AQ131" i="79"/>
  <c r="AQ130" i="79"/>
  <c r="AQ129" i="79"/>
  <c r="AQ128" i="79"/>
  <c r="AQ127" i="79"/>
  <c r="AQ126" i="79"/>
  <c r="AQ125" i="79"/>
  <c r="AQ124" i="79"/>
  <c r="AQ123" i="79"/>
  <c r="AQ122" i="79"/>
  <c r="AQ121" i="79"/>
  <c r="AQ120" i="79"/>
  <c r="AQ119" i="79"/>
  <c r="AQ118" i="79"/>
  <c r="AQ117" i="79"/>
  <c r="AQ116" i="79"/>
  <c r="AQ115" i="79"/>
  <c r="AQ114" i="79"/>
  <c r="AQ113" i="79"/>
  <c r="AQ112" i="79"/>
  <c r="AQ111" i="79"/>
  <c r="AQ110" i="79"/>
  <c r="AQ109" i="79"/>
  <c r="AQ108" i="79"/>
  <c r="AQ107" i="79"/>
  <c r="AQ106" i="79"/>
  <c r="AQ105" i="79"/>
  <c r="AQ104" i="79"/>
  <c r="AQ103" i="79"/>
  <c r="AQ102" i="79"/>
  <c r="AQ101" i="79"/>
  <c r="AQ100" i="79"/>
  <c r="AQ99" i="79"/>
  <c r="AQ98" i="79"/>
  <c r="AQ97" i="79"/>
  <c r="AQ96" i="79"/>
  <c r="AQ95" i="79"/>
  <c r="AQ94" i="79"/>
  <c r="AQ93" i="79"/>
  <c r="AQ92" i="79"/>
  <c r="AQ91" i="79"/>
  <c r="AQ90" i="79"/>
  <c r="AQ89" i="79"/>
  <c r="AQ88" i="79"/>
  <c r="AQ87" i="79"/>
  <c r="AQ86" i="79"/>
  <c r="AQ85" i="79"/>
  <c r="AQ84" i="79"/>
  <c r="AQ83" i="79"/>
  <c r="AQ82" i="79"/>
  <c r="AQ81" i="79"/>
  <c r="AQ80" i="79"/>
  <c r="AQ79" i="79"/>
  <c r="AQ78" i="79"/>
  <c r="AQ77" i="79"/>
  <c r="AQ76" i="79"/>
  <c r="AQ75" i="79"/>
  <c r="AQ74" i="79"/>
  <c r="AQ73" i="79"/>
  <c r="AQ72" i="79"/>
  <c r="AQ71" i="79"/>
  <c r="AQ70" i="79"/>
  <c r="AQ69" i="79"/>
  <c r="AQ68" i="79"/>
  <c r="AQ67" i="79"/>
  <c r="AQ66" i="79"/>
  <c r="AQ65" i="79"/>
  <c r="AQ64" i="79"/>
  <c r="AQ63" i="79"/>
  <c r="AQ62" i="79"/>
  <c r="AQ61" i="79"/>
  <c r="AQ60" i="79"/>
  <c r="AQ59" i="79"/>
  <c r="AQ58" i="79"/>
  <c r="AQ57" i="79"/>
  <c r="AQ56" i="79"/>
  <c r="AQ55" i="79"/>
  <c r="AQ54" i="79"/>
  <c r="AQ53" i="79"/>
  <c r="AQ52" i="79"/>
  <c r="AQ51" i="79"/>
  <c r="AQ151" i="79"/>
  <c r="AR144" i="79"/>
  <c r="AQ141" i="79"/>
  <c r="AQ146" i="79"/>
  <c r="AQ144" i="79"/>
  <c r="AQ168" i="79"/>
  <c r="AQ166" i="79"/>
  <c r="AQ164" i="79"/>
  <c r="AQ162" i="79"/>
  <c r="AQ160" i="79"/>
  <c r="AQ158" i="79"/>
  <c r="AQ156" i="79"/>
  <c r="AQ154" i="79"/>
  <c r="AQ149" i="79"/>
  <c r="AR142" i="79"/>
  <c r="AQ152" i="79"/>
  <c r="AQ142" i="79"/>
  <c r="AR74" i="79"/>
  <c r="AQ38" i="79"/>
  <c r="AQ35" i="79"/>
  <c r="AR34" i="79"/>
  <c r="AR17" i="79"/>
  <c r="AR18" i="79" s="1"/>
  <c r="AR19" i="79" s="1"/>
  <c r="AR20" i="79" s="1"/>
  <c r="AR75" i="79"/>
  <c r="AQ34" i="79"/>
  <c r="AW33" i="79"/>
  <c r="AR31" i="79"/>
  <c r="AR28" i="79"/>
  <c r="AR25" i="79"/>
  <c r="AR23" i="79"/>
  <c r="AQ17" i="79"/>
  <c r="AQ18" i="79" s="1"/>
  <c r="AQ19" i="79" s="1"/>
  <c r="AQ20" i="79" s="1"/>
  <c r="AR143" i="79"/>
  <c r="AR76" i="79"/>
  <c r="AR37" i="79"/>
  <c r="AQ31" i="79"/>
  <c r="AQ28" i="79"/>
  <c r="AR27" i="79"/>
  <c r="AQ25" i="79"/>
  <c r="AQ23" i="79"/>
  <c r="AR77" i="79"/>
  <c r="AR50" i="79"/>
  <c r="AR49" i="79"/>
  <c r="AR48" i="79"/>
  <c r="AR47" i="79"/>
  <c r="AR46" i="79"/>
  <c r="AR45" i="79"/>
  <c r="AR44" i="79"/>
  <c r="AR43" i="79"/>
  <c r="AR42" i="79"/>
  <c r="AR41" i="79"/>
  <c r="AR40" i="79"/>
  <c r="AQ37" i="79"/>
  <c r="AR33" i="79"/>
  <c r="AQ27" i="79"/>
  <c r="AR21" i="79"/>
  <c r="AR78" i="79"/>
  <c r="AR51" i="79"/>
  <c r="AQ50" i="79"/>
  <c r="AQ49" i="79"/>
  <c r="AQ48" i="79"/>
  <c r="AQ47" i="79"/>
  <c r="AQ46" i="79"/>
  <c r="AQ45" i="79"/>
  <c r="AQ44" i="79"/>
  <c r="AQ43" i="79"/>
  <c r="AQ42" i="79"/>
  <c r="AQ41" i="79"/>
  <c r="AQ40" i="79"/>
  <c r="AQ33" i="79"/>
  <c r="AR30" i="79"/>
  <c r="AQ21" i="79"/>
  <c r="AR39" i="79"/>
  <c r="AQ30" i="79"/>
  <c r="AR26" i="79"/>
  <c r="AR24" i="79"/>
  <c r="AQ150" i="79"/>
  <c r="AR72" i="79"/>
  <c r="AR71" i="79"/>
  <c r="AR70" i="79"/>
  <c r="AR69" i="79"/>
  <c r="AR68" i="79"/>
  <c r="AR67" i="79"/>
  <c r="AR66" i="79"/>
  <c r="AR65" i="79"/>
  <c r="AR64" i="79"/>
  <c r="AR63" i="79"/>
  <c r="AR62" i="79"/>
  <c r="AR61" i="79"/>
  <c r="AR60" i="79"/>
  <c r="AR59" i="79"/>
  <c r="AR58" i="79"/>
  <c r="AR57" i="79"/>
  <c r="AR56" i="79"/>
  <c r="AR55" i="79"/>
  <c r="AR54" i="79"/>
  <c r="AR53" i="79"/>
  <c r="AQ39" i="79"/>
  <c r="AR36" i="79"/>
  <c r="AR32" i="79"/>
  <c r="AR29" i="79"/>
  <c r="AQ26" i="79"/>
  <c r="AQ24" i="79"/>
  <c r="AR22" i="79"/>
  <c r="AR73" i="79"/>
  <c r="AR52" i="79"/>
  <c r="AR38" i="79"/>
  <c r="AQ36" i="79"/>
  <c r="AR35" i="79"/>
  <c r="AQ32" i="79"/>
  <c r="AQ29" i="79"/>
  <c r="AQ22" i="79"/>
  <c r="AB529" i="79"/>
  <c r="AB528" i="79"/>
  <c r="AB527" i="79"/>
  <c r="AB526" i="79"/>
  <c r="AB525" i="79"/>
  <c r="AB524" i="79"/>
  <c r="AB523" i="79"/>
  <c r="AB522" i="79"/>
  <c r="AB521" i="79"/>
  <c r="AB520" i="79"/>
  <c r="AB519" i="79"/>
  <c r="AB518" i="79"/>
  <c r="AB517" i="79"/>
  <c r="AB516" i="79"/>
  <c r="AB515" i="79"/>
  <c r="AB514" i="79"/>
  <c r="AB513" i="79"/>
  <c r="AB512" i="79"/>
  <c r="AB511" i="79"/>
  <c r="AB510" i="79"/>
  <c r="AB509" i="79"/>
  <c r="AB508" i="79"/>
  <c r="AB507" i="79"/>
  <c r="AB506" i="79"/>
  <c r="AB505" i="79"/>
  <c r="AB504" i="79"/>
  <c r="AB503" i="79"/>
  <c r="AB502" i="79"/>
  <c r="AA521" i="79"/>
  <c r="AA513" i="79"/>
  <c r="AA505" i="79"/>
  <c r="AA529" i="79"/>
  <c r="AA527" i="79"/>
  <c r="AA519" i="79"/>
  <c r="AA511" i="79"/>
  <c r="AA503" i="79"/>
  <c r="AA522" i="79"/>
  <c r="AA514" i="79"/>
  <c r="AA506" i="79"/>
  <c r="AA525" i="79"/>
  <c r="AA517" i="79"/>
  <c r="AA528" i="79"/>
  <c r="AA520" i="79"/>
  <c r="AA512" i="79"/>
  <c r="AA504" i="79"/>
  <c r="AB501" i="79"/>
  <c r="AB500" i="79"/>
  <c r="AB499" i="79"/>
  <c r="AB498" i="79"/>
  <c r="AB497" i="79"/>
  <c r="AB496" i="79"/>
  <c r="AB495" i="79"/>
  <c r="AB494" i="79"/>
  <c r="AB493" i="79"/>
  <c r="AA523" i="79"/>
  <c r="AA515" i="79"/>
  <c r="AA507" i="79"/>
  <c r="AA501" i="79"/>
  <c r="AA500" i="79"/>
  <c r="AA499" i="79"/>
  <c r="AA498" i="79"/>
  <c r="AA497" i="79"/>
  <c r="AA496" i="79"/>
  <c r="AA495" i="79"/>
  <c r="AA494" i="79"/>
  <c r="AA493" i="79"/>
  <c r="AA492" i="79"/>
  <c r="AA491" i="79"/>
  <c r="AA490" i="79"/>
  <c r="AA489" i="79"/>
  <c r="AA488" i="79"/>
  <c r="AA487" i="79"/>
  <c r="AA486" i="79"/>
  <c r="AA485" i="79"/>
  <c r="AA484" i="79"/>
  <c r="AA483" i="79"/>
  <c r="AA526" i="79"/>
  <c r="AA518" i="79"/>
  <c r="AA510" i="79"/>
  <c r="AA502" i="79"/>
  <c r="AB492" i="79"/>
  <c r="AB484" i="79"/>
  <c r="AA482" i="79"/>
  <c r="AB477" i="79"/>
  <c r="AA474" i="79"/>
  <c r="AA508" i="79"/>
  <c r="AB486" i="79"/>
  <c r="AA480" i="79"/>
  <c r="AB475" i="79"/>
  <c r="AB472" i="79"/>
  <c r="AB471" i="79"/>
  <c r="AB470" i="79"/>
  <c r="AB469" i="79"/>
  <c r="AB468" i="79"/>
  <c r="AB467" i="79"/>
  <c r="AB466" i="79"/>
  <c r="AB465" i="79"/>
  <c r="AB464" i="79"/>
  <c r="AB463" i="79"/>
  <c r="AB462" i="79"/>
  <c r="AB461" i="79"/>
  <c r="AB460" i="79"/>
  <c r="AB459" i="79"/>
  <c r="AB458" i="79"/>
  <c r="AB457" i="79"/>
  <c r="AB456" i="79"/>
  <c r="AB455" i="79"/>
  <c r="AB454" i="79"/>
  <c r="AB453" i="79"/>
  <c r="AB452" i="79"/>
  <c r="AB487" i="79"/>
  <c r="AB478" i="79"/>
  <c r="AA475" i="79"/>
  <c r="AA472" i="79"/>
  <c r="AA471" i="79"/>
  <c r="AA470" i="79"/>
  <c r="AA469" i="79"/>
  <c r="AA468" i="79"/>
  <c r="AA467" i="79"/>
  <c r="AA466" i="79"/>
  <c r="AA465" i="79"/>
  <c r="AA464" i="79"/>
  <c r="AA463" i="79"/>
  <c r="AA462" i="79"/>
  <c r="AA461" i="79"/>
  <c r="AA460" i="79"/>
  <c r="AA459" i="79"/>
  <c r="AA458" i="79"/>
  <c r="AA457" i="79"/>
  <c r="AA456" i="79"/>
  <c r="AA455" i="79"/>
  <c r="AA454" i="79"/>
  <c r="AA453" i="79"/>
  <c r="AA452" i="79"/>
  <c r="AA451" i="79"/>
  <c r="AA450" i="79"/>
  <c r="AA449" i="79"/>
  <c r="AA524" i="79"/>
  <c r="AB488" i="79"/>
  <c r="AB481" i="79"/>
  <c r="AA478" i="79"/>
  <c r="AB473" i="79"/>
  <c r="AA509" i="79"/>
  <c r="AB489" i="79"/>
  <c r="AA481" i="79"/>
  <c r="AB476" i="79"/>
  <c r="AA473" i="79"/>
  <c r="AA516" i="79"/>
  <c r="AB491" i="79"/>
  <c r="AB483" i="79"/>
  <c r="AB482" i="79"/>
  <c r="AA479" i="79"/>
  <c r="AB474" i="79"/>
  <c r="AB480" i="79"/>
  <c r="AB451" i="79"/>
  <c r="AA477" i="79"/>
  <c r="AB448" i="79"/>
  <c r="AB447" i="79"/>
  <c r="AB446" i="79"/>
  <c r="AB445" i="79"/>
  <c r="AB444" i="79"/>
  <c r="AB443" i="79"/>
  <c r="AB442" i="79"/>
  <c r="AB441" i="79"/>
  <c r="AB440" i="79"/>
  <c r="AB439" i="79"/>
  <c r="AB438" i="79"/>
  <c r="AB437" i="79"/>
  <c r="AB436" i="79"/>
  <c r="AB435" i="79"/>
  <c r="AB434" i="79"/>
  <c r="AB433" i="79"/>
  <c r="AB432" i="79"/>
  <c r="AB431" i="79"/>
  <c r="AB430" i="79"/>
  <c r="AB429" i="79"/>
  <c r="AB428" i="79"/>
  <c r="AB427" i="79"/>
  <c r="AB426" i="79"/>
  <c r="AB425" i="79"/>
  <c r="AB424" i="79"/>
  <c r="AB423" i="79"/>
  <c r="AB422" i="79"/>
  <c r="AB490" i="79"/>
  <c r="AB450" i="79"/>
  <c r="AA448" i="79"/>
  <c r="AA447" i="79"/>
  <c r="AA446" i="79"/>
  <c r="AA445" i="79"/>
  <c r="AA444" i="79"/>
  <c r="AA443" i="79"/>
  <c r="AA442" i="79"/>
  <c r="AA441" i="79"/>
  <c r="AA440" i="79"/>
  <c r="AA439" i="79"/>
  <c r="AA438" i="79"/>
  <c r="AA437" i="79"/>
  <c r="AA436" i="79"/>
  <c r="AA435" i="79"/>
  <c r="AA434" i="79"/>
  <c r="AA433" i="79"/>
  <c r="AA432" i="79"/>
  <c r="AA431" i="79"/>
  <c r="AA430" i="79"/>
  <c r="AA429" i="79"/>
  <c r="AA428" i="79"/>
  <c r="AA427" i="79"/>
  <c r="AA426" i="79"/>
  <c r="AA425" i="79"/>
  <c r="AA424" i="79"/>
  <c r="AA423" i="79"/>
  <c r="AA422" i="79"/>
  <c r="AA421" i="79"/>
  <c r="AA420" i="79"/>
  <c r="AA419" i="79"/>
  <c r="AA418" i="79"/>
  <c r="AA417" i="79"/>
  <c r="AA416" i="79"/>
  <c r="AB485" i="79"/>
  <c r="AB479" i="79"/>
  <c r="AB449" i="79"/>
  <c r="AA476" i="79"/>
  <c r="AB420" i="79"/>
  <c r="AB421" i="79"/>
  <c r="AB417" i="79"/>
  <c r="AB416" i="79"/>
  <c r="AB418" i="79"/>
  <c r="AB419" i="79"/>
  <c r="AA415" i="79"/>
  <c r="AA414" i="79"/>
  <c r="AA413" i="79"/>
  <c r="AA412" i="79"/>
  <c r="AA411" i="79"/>
  <c r="AA410" i="79"/>
  <c r="AA409" i="79"/>
  <c r="AA408" i="79"/>
  <c r="AA407" i="79"/>
  <c r="AA406" i="79"/>
  <c r="AA405" i="79"/>
  <c r="AA404" i="79"/>
  <c r="AA403" i="79"/>
  <c r="AA402" i="79"/>
  <c r="AA401" i="79"/>
  <c r="AA400" i="79"/>
  <c r="AA399" i="79"/>
  <c r="AA398" i="79"/>
  <c r="AA397" i="79"/>
  <c r="AA396" i="79"/>
  <c r="AA395" i="79"/>
  <c r="AA394" i="79"/>
  <c r="AA393" i="79"/>
  <c r="AA392" i="79"/>
  <c r="AA391" i="79"/>
  <c r="AA390" i="79"/>
  <c r="AA389" i="79"/>
  <c r="AA388" i="79"/>
  <c r="AA387" i="79"/>
  <c r="AA386" i="79"/>
  <c r="AA385" i="79"/>
  <c r="AA384" i="79"/>
  <c r="AB383" i="79"/>
  <c r="AB415" i="79"/>
  <c r="AB413" i="79"/>
  <c r="AB411" i="79"/>
  <c r="AB409" i="79"/>
  <c r="AB407" i="79"/>
  <c r="AB405" i="79"/>
  <c r="AB403" i="79"/>
  <c r="AB401" i="79"/>
  <c r="AB399" i="79"/>
  <c r="AB397" i="79"/>
  <c r="AB395" i="79"/>
  <c r="AB393" i="79"/>
  <c r="AB388" i="79"/>
  <c r="AB384" i="79"/>
  <c r="AA383" i="79"/>
  <c r="AB391" i="79"/>
  <c r="AB385" i="79"/>
  <c r="AA382" i="79"/>
  <c r="AB386" i="79"/>
  <c r="AB389" i="79"/>
  <c r="AB414" i="79"/>
  <c r="AB412" i="79"/>
  <c r="AB410" i="79"/>
  <c r="AB408" i="79"/>
  <c r="AB406" i="79"/>
  <c r="AB404" i="79"/>
  <c r="AB402" i="79"/>
  <c r="AB400" i="79"/>
  <c r="AB398" i="79"/>
  <c r="AB396" i="79"/>
  <c r="AB394" i="79"/>
  <c r="AB392" i="79"/>
  <c r="AB381" i="79"/>
  <c r="AA380" i="79"/>
  <c r="AA379" i="79"/>
  <c r="AA378" i="79"/>
  <c r="AA377" i="79"/>
  <c r="AA376" i="79"/>
  <c r="AA375" i="79"/>
  <c r="AA374" i="79"/>
  <c r="AA373" i="79"/>
  <c r="AA372" i="79"/>
  <c r="AA371" i="79"/>
  <c r="AA370" i="79"/>
  <c r="AA369" i="79"/>
  <c r="AA368" i="79"/>
  <c r="AA367" i="79"/>
  <c r="AA366" i="79"/>
  <c r="AA365" i="79"/>
  <c r="AA364" i="79"/>
  <c r="AA363" i="79"/>
  <c r="AA362" i="79"/>
  <c r="AA361" i="79"/>
  <c r="AA360" i="79"/>
  <c r="AA359" i="79"/>
  <c r="AA358" i="79"/>
  <c r="AA357" i="79"/>
  <c r="AA356" i="79"/>
  <c r="AA355" i="79"/>
  <c r="AA354" i="79"/>
  <c r="AA353" i="79"/>
  <c r="AA352" i="79"/>
  <c r="AA351" i="79"/>
  <c r="AA350" i="79"/>
  <c r="AA349" i="79"/>
  <c r="AB387" i="79"/>
  <c r="AA381" i="79"/>
  <c r="AB390" i="79"/>
  <c r="AB377" i="79"/>
  <c r="AB369" i="79"/>
  <c r="AB366" i="79"/>
  <c r="AB362" i="79"/>
  <c r="AB358" i="79"/>
  <c r="AB352" i="79"/>
  <c r="AA348" i="79"/>
  <c r="AB380" i="79"/>
  <c r="AB372" i="79"/>
  <c r="AB351" i="79"/>
  <c r="AB382" i="79"/>
  <c r="AB375" i="79"/>
  <c r="AB367" i="79"/>
  <c r="AB363" i="79"/>
  <c r="AB359" i="79"/>
  <c r="AB378" i="79"/>
  <c r="AB370" i="79"/>
  <c r="AB350" i="79"/>
  <c r="AB373" i="79"/>
  <c r="AB364" i="79"/>
  <c r="AB360" i="79"/>
  <c r="AB356" i="79"/>
  <c r="AB376" i="79"/>
  <c r="AB368" i="79"/>
  <c r="AB355" i="79"/>
  <c r="AB349" i="79"/>
  <c r="AB379" i="79"/>
  <c r="AB371" i="79"/>
  <c r="AB365" i="79"/>
  <c r="AB361" i="79"/>
  <c r="AB357" i="79"/>
  <c r="AB354" i="79"/>
  <c r="AB347" i="79"/>
  <c r="AB346" i="79"/>
  <c r="AB345" i="79"/>
  <c r="AB344" i="79"/>
  <c r="AB343" i="79"/>
  <c r="AB342" i="79"/>
  <c r="AB341" i="79"/>
  <c r="AB340" i="79"/>
  <c r="AB339" i="79"/>
  <c r="AB338" i="79"/>
  <c r="AB337" i="79"/>
  <c r="AB336" i="79"/>
  <c r="AB335" i="79"/>
  <c r="AB334" i="79"/>
  <c r="AB333" i="79"/>
  <c r="AB374" i="79"/>
  <c r="AB353" i="79"/>
  <c r="AB348" i="79"/>
  <c r="AA347" i="79"/>
  <c r="AA346" i="79"/>
  <c r="AA345" i="79"/>
  <c r="AA344" i="79"/>
  <c r="AA343" i="79"/>
  <c r="AA342" i="79"/>
  <c r="AA341" i="79"/>
  <c r="AA340" i="79"/>
  <c r="AA339" i="79"/>
  <c r="AA338" i="79"/>
  <c r="AA337" i="79"/>
  <c r="AA336" i="79"/>
  <c r="AA335" i="79"/>
  <c r="AA334" i="79"/>
  <c r="AA333" i="79"/>
  <c r="AA332" i="79"/>
  <c r="AA331" i="79"/>
  <c r="AA330" i="79"/>
  <c r="AA329" i="79"/>
  <c r="AA328" i="79"/>
  <c r="AA327" i="79"/>
  <c r="AA326" i="79"/>
  <c r="AA325" i="79"/>
  <c r="AA324" i="79"/>
  <c r="AA323" i="79"/>
  <c r="AA322" i="79"/>
  <c r="AA321" i="79"/>
  <c r="AA320" i="79"/>
  <c r="AA319" i="79"/>
  <c r="AA318" i="79"/>
  <c r="AA317" i="79"/>
  <c r="AA316" i="79"/>
  <c r="AA315" i="79"/>
  <c r="AA314" i="79"/>
  <c r="AA313" i="79"/>
  <c r="AB328" i="79"/>
  <c r="AB320" i="79"/>
  <c r="AB312" i="79"/>
  <c r="AA308" i="79"/>
  <c r="AB330" i="79"/>
  <c r="AB329" i="79"/>
  <c r="AB321" i="79"/>
  <c r="AB313" i="79"/>
  <c r="AA312" i="79"/>
  <c r="AB311" i="79"/>
  <c r="AB307" i="79"/>
  <c r="AB322" i="79"/>
  <c r="AB314" i="79"/>
  <c r="AA311" i="79"/>
  <c r="AA307" i="79"/>
  <c r="AB331" i="79"/>
  <c r="AB323" i="79"/>
  <c r="AB315" i="79"/>
  <c r="AB310" i="79"/>
  <c r="AB306" i="79"/>
  <c r="AB324" i="79"/>
  <c r="AB316" i="79"/>
  <c r="AA310" i="79"/>
  <c r="AA306" i="79"/>
  <c r="AB332" i="79"/>
  <c r="AB325" i="79"/>
  <c r="AB317" i="79"/>
  <c r="AB309" i="79"/>
  <c r="AB305" i="79"/>
  <c r="AB304" i="79"/>
  <c r="AB303" i="79"/>
  <c r="AB302" i="79"/>
  <c r="AB301" i="79"/>
  <c r="AB300" i="79"/>
  <c r="AB299" i="79"/>
  <c r="AB298" i="79"/>
  <c r="AB297" i="79"/>
  <c r="AB296" i="79"/>
  <c r="AB295" i="79"/>
  <c r="AB294" i="79"/>
  <c r="AB293" i="79"/>
  <c r="AB292" i="79"/>
  <c r="AB291" i="79"/>
  <c r="AB290" i="79"/>
  <c r="AB289" i="79"/>
  <c r="AB288" i="79"/>
  <c r="AB287" i="79"/>
  <c r="AB286" i="79"/>
  <c r="AB285" i="79"/>
  <c r="AB284" i="79"/>
  <c r="AB283" i="79"/>
  <c r="AB282" i="79"/>
  <c r="AB281" i="79"/>
  <c r="AB280" i="79"/>
  <c r="AB279" i="79"/>
  <c r="AB278" i="79"/>
  <c r="AB277" i="79"/>
  <c r="AB276" i="79"/>
  <c r="AB275" i="79"/>
  <c r="AB274" i="79"/>
  <c r="AB273" i="79"/>
  <c r="AB272" i="79"/>
  <c r="AB271" i="79"/>
  <c r="AB270" i="79"/>
  <c r="AB269" i="79"/>
  <c r="AB268" i="79"/>
  <c r="AB267" i="79"/>
  <c r="AB266" i="79"/>
  <c r="AB265" i="79"/>
  <c r="AB264" i="79"/>
  <c r="AB263" i="79"/>
  <c r="AB262" i="79"/>
  <c r="AB261" i="79"/>
  <c r="AB260" i="79"/>
  <c r="AB259" i="79"/>
  <c r="AB258" i="79"/>
  <c r="AB257" i="79"/>
  <c r="AB256" i="79"/>
  <c r="AB255" i="79"/>
  <c r="AB254" i="79"/>
  <c r="AB253" i="79"/>
  <c r="AB252" i="79"/>
  <c r="AB326" i="79"/>
  <c r="AB318" i="79"/>
  <c r="AA309" i="79"/>
  <c r="AA305" i="79"/>
  <c r="AA304" i="79"/>
  <c r="AA303" i="79"/>
  <c r="AA302" i="79"/>
  <c r="AA301" i="79"/>
  <c r="AA300" i="79"/>
  <c r="AA299" i="79"/>
  <c r="AA298" i="79"/>
  <c r="AA297" i="79"/>
  <c r="AA296" i="79"/>
  <c r="AA295" i="79"/>
  <c r="AA294" i="79"/>
  <c r="AA293" i="79"/>
  <c r="AB327" i="79"/>
  <c r="AB319" i="79"/>
  <c r="AB308" i="79"/>
  <c r="AA292" i="79"/>
  <c r="AA267" i="79"/>
  <c r="AA260" i="79"/>
  <c r="AA256" i="79"/>
  <c r="AA252" i="79"/>
  <c r="AA251" i="79"/>
  <c r="AA250" i="79"/>
  <c r="AA249" i="79"/>
  <c r="AA248" i="79"/>
  <c r="AA247" i="79"/>
  <c r="AA246" i="79"/>
  <c r="AA245" i="79"/>
  <c r="AA244" i="79"/>
  <c r="AA243" i="79"/>
  <c r="AA242" i="79"/>
  <c r="AA241" i="79"/>
  <c r="AA240" i="79"/>
  <c r="AA239" i="79"/>
  <c r="AA238" i="79"/>
  <c r="AA237" i="79"/>
  <c r="AA236" i="79"/>
  <c r="AA235" i="79"/>
  <c r="AA234" i="79"/>
  <c r="AA233" i="79"/>
  <c r="AA232" i="79"/>
  <c r="AA231" i="79"/>
  <c r="AA230" i="79"/>
  <c r="AA229" i="79"/>
  <c r="AA228" i="79"/>
  <c r="AA227" i="79"/>
  <c r="AA226" i="79"/>
  <c r="AA225" i="79"/>
  <c r="AA224" i="79"/>
  <c r="AA223" i="79"/>
  <c r="AA222" i="79"/>
  <c r="AA221" i="79"/>
  <c r="AA220" i="79"/>
  <c r="AA219" i="79"/>
  <c r="AA218" i="79"/>
  <c r="AA217" i="79"/>
  <c r="AA216" i="79"/>
  <c r="AA215" i="79"/>
  <c r="AA214" i="79"/>
  <c r="AA213" i="79"/>
  <c r="AA212" i="79"/>
  <c r="AA211" i="79"/>
  <c r="AA210" i="79"/>
  <c r="AA209" i="79"/>
  <c r="AA208" i="79"/>
  <c r="AA207" i="79"/>
  <c r="AA206" i="79"/>
  <c r="AA205" i="79"/>
  <c r="AA204" i="79"/>
  <c r="AA203" i="79"/>
  <c r="AA202" i="79"/>
  <c r="AA201" i="79"/>
  <c r="AA200" i="79"/>
  <c r="AA199" i="79"/>
  <c r="AA198" i="79"/>
  <c r="AA197" i="79"/>
  <c r="AA196" i="79"/>
  <c r="AA195" i="79"/>
  <c r="AA194" i="79"/>
  <c r="AA193" i="79"/>
  <c r="AA192" i="79"/>
  <c r="AA291" i="79"/>
  <c r="AA287" i="79"/>
  <c r="AA283" i="79"/>
  <c r="AA279" i="79"/>
  <c r="AA275" i="79"/>
  <c r="AA272" i="79"/>
  <c r="AA269" i="79"/>
  <c r="AA259" i="79"/>
  <c r="AA255" i="79"/>
  <c r="AA290" i="79"/>
  <c r="AA286" i="79"/>
  <c r="AA282" i="79"/>
  <c r="AA278" i="79"/>
  <c r="AA274" i="79"/>
  <c r="AA266" i="79"/>
  <c r="AA263" i="79"/>
  <c r="AA289" i="79"/>
  <c r="AA285" i="79"/>
  <c r="AA281" i="79"/>
  <c r="AA277" i="79"/>
  <c r="AA268" i="79"/>
  <c r="AA264" i="79"/>
  <c r="AA273" i="79"/>
  <c r="AA261" i="79"/>
  <c r="AA257" i="79"/>
  <c r="AA253" i="79"/>
  <c r="AA288" i="79"/>
  <c r="AA284" i="79"/>
  <c r="AA280" i="79"/>
  <c r="AA276" i="79"/>
  <c r="AA270" i="79"/>
  <c r="AA265" i="79"/>
  <c r="AB251" i="79"/>
  <c r="AB250" i="79"/>
  <c r="AB249" i="79"/>
  <c r="AB248" i="79"/>
  <c r="AB247" i="79"/>
  <c r="AB246" i="79"/>
  <c r="AB245" i="79"/>
  <c r="AB244" i="79"/>
  <c r="AB243" i="79"/>
  <c r="AB242" i="79"/>
  <c r="AB241" i="79"/>
  <c r="AB240" i="79"/>
  <c r="AB239" i="79"/>
  <c r="AB238" i="79"/>
  <c r="AB237" i="79"/>
  <c r="AB236" i="79"/>
  <c r="AB235" i="79"/>
  <c r="AB234" i="79"/>
  <c r="AB233" i="79"/>
  <c r="AB232" i="79"/>
  <c r="AB231" i="79"/>
  <c r="AB230" i="79"/>
  <c r="AB229" i="79"/>
  <c r="AB228" i="79"/>
  <c r="AB227" i="79"/>
  <c r="AB226" i="79"/>
  <c r="AB225" i="79"/>
  <c r="AB224" i="79"/>
  <c r="AB223" i="79"/>
  <c r="AB222" i="79"/>
  <c r="AB221" i="79"/>
  <c r="AB220" i="79"/>
  <c r="AB219" i="79"/>
  <c r="AB218" i="79"/>
  <c r="AB217" i="79"/>
  <c r="AB216" i="79"/>
  <c r="AB215" i="79"/>
  <c r="AB214" i="79"/>
  <c r="AB213" i="79"/>
  <c r="AB212" i="79"/>
  <c r="AB211" i="79"/>
  <c r="AB210" i="79"/>
  <c r="AB209" i="79"/>
  <c r="AB208" i="79"/>
  <c r="AB207" i="79"/>
  <c r="AB202" i="79"/>
  <c r="AB197" i="79"/>
  <c r="AB193" i="79"/>
  <c r="AB203" i="79"/>
  <c r="AB196" i="79"/>
  <c r="AB192" i="79"/>
  <c r="AA271" i="79"/>
  <c r="AB204" i="79"/>
  <c r="AB190" i="79"/>
  <c r="AB189" i="79"/>
  <c r="AB188" i="79"/>
  <c r="AB187" i="79"/>
  <c r="AB186" i="79"/>
  <c r="AB185" i="79"/>
  <c r="AB184" i="79"/>
  <c r="AB183" i="79"/>
  <c r="AB182" i="79"/>
  <c r="AB181" i="79"/>
  <c r="AB180" i="79"/>
  <c r="AB179" i="79"/>
  <c r="AB178" i="79"/>
  <c r="AB177" i="79"/>
  <c r="AB176" i="79"/>
  <c r="AB175" i="79"/>
  <c r="AB174" i="79"/>
  <c r="AB173" i="79"/>
  <c r="AB172" i="79"/>
  <c r="AB171" i="79"/>
  <c r="AB170" i="79"/>
  <c r="AB169" i="79"/>
  <c r="AB168" i="79"/>
  <c r="AB167" i="79"/>
  <c r="AB166" i="79"/>
  <c r="AB165" i="79"/>
  <c r="AB164" i="79"/>
  <c r="AB163" i="79"/>
  <c r="AB162" i="79"/>
  <c r="AB161" i="79"/>
  <c r="AB160" i="79"/>
  <c r="AB159" i="79"/>
  <c r="AB158" i="79"/>
  <c r="AB157" i="79"/>
  <c r="AB156" i="79"/>
  <c r="AB155" i="79"/>
  <c r="AB154" i="79"/>
  <c r="AB153" i="79"/>
  <c r="AB152" i="79"/>
  <c r="AB151" i="79"/>
  <c r="AB150" i="79"/>
  <c r="AB149" i="79"/>
  <c r="AB148" i="79"/>
  <c r="AB147" i="79"/>
  <c r="AB146" i="79"/>
  <c r="AB145" i="79"/>
  <c r="AB144" i="79"/>
  <c r="AB143" i="79"/>
  <c r="AB142" i="79"/>
  <c r="AB141" i="79"/>
  <c r="AB195" i="79"/>
  <c r="AB191" i="79"/>
  <c r="AA190" i="79"/>
  <c r="AA189" i="79"/>
  <c r="AA188" i="79"/>
  <c r="AA187" i="79"/>
  <c r="AA186" i="79"/>
  <c r="AA185" i="79"/>
  <c r="AA184" i="79"/>
  <c r="AA183" i="79"/>
  <c r="AA182" i="79"/>
  <c r="AA181" i="79"/>
  <c r="AA180" i="79"/>
  <c r="AA179" i="79"/>
  <c r="AA178" i="79"/>
  <c r="AA177" i="79"/>
  <c r="AA176" i="79"/>
  <c r="AA175" i="79"/>
  <c r="AA174" i="79"/>
  <c r="AA173" i="79"/>
  <c r="AA172" i="79"/>
  <c r="AA171" i="79"/>
  <c r="AA170" i="79"/>
  <c r="AA169" i="79"/>
  <c r="AA168" i="79"/>
  <c r="AA167" i="79"/>
  <c r="AA166" i="79"/>
  <c r="AA165" i="79"/>
  <c r="AA164" i="79"/>
  <c r="AA163" i="79"/>
  <c r="AA162" i="79"/>
  <c r="AA161" i="79"/>
  <c r="AA160" i="79"/>
  <c r="AA159" i="79"/>
  <c r="AA158" i="79"/>
  <c r="AA157" i="79"/>
  <c r="AA156" i="79"/>
  <c r="AA155" i="79"/>
  <c r="AA154" i="79"/>
  <c r="AA153" i="79"/>
  <c r="AA152" i="79"/>
  <c r="AA151" i="79"/>
  <c r="AA150" i="79"/>
  <c r="AA149" i="79"/>
  <c r="AA148" i="79"/>
  <c r="AA147" i="79"/>
  <c r="AA146" i="79"/>
  <c r="AA262" i="79"/>
  <c r="AA258" i="79"/>
  <c r="AA254" i="79"/>
  <c r="AB205" i="79"/>
  <c r="AB199" i="79"/>
  <c r="AA191" i="79"/>
  <c r="AB200" i="79"/>
  <c r="AB198" i="79"/>
  <c r="AB194" i="79"/>
  <c r="AB206" i="79"/>
  <c r="AB201" i="79"/>
  <c r="AB140" i="79"/>
  <c r="AB139" i="79"/>
  <c r="AB138" i="79"/>
  <c r="AB137" i="79"/>
  <c r="AB136" i="79"/>
  <c r="AB135" i="79"/>
  <c r="AB134" i="79"/>
  <c r="AB133" i="79"/>
  <c r="AB132" i="79"/>
  <c r="AB131" i="79"/>
  <c r="AB130" i="79"/>
  <c r="AB129" i="79"/>
  <c r="AB128" i="79"/>
  <c r="AB127" i="79"/>
  <c r="AB126" i="79"/>
  <c r="AB125" i="79"/>
  <c r="AB124" i="79"/>
  <c r="AB123" i="79"/>
  <c r="AB122" i="79"/>
  <c r="AB121" i="79"/>
  <c r="AB120" i="79"/>
  <c r="AB119" i="79"/>
  <c r="AB118" i="79"/>
  <c r="AB117" i="79"/>
  <c r="AB116" i="79"/>
  <c r="AB115" i="79"/>
  <c r="AB114" i="79"/>
  <c r="AB113" i="79"/>
  <c r="AB112" i="79"/>
  <c r="AB111" i="79"/>
  <c r="AB110" i="79"/>
  <c r="AB109" i="79"/>
  <c r="AB108" i="79"/>
  <c r="AB107" i="79"/>
  <c r="AB106" i="79"/>
  <c r="AB105" i="79"/>
  <c r="AB104" i="79"/>
  <c r="AB103" i="79"/>
  <c r="AB102" i="79"/>
  <c r="AB101" i="79"/>
  <c r="AB100" i="79"/>
  <c r="AB99" i="79"/>
  <c r="AB98" i="79"/>
  <c r="AB97" i="79"/>
  <c r="AB96" i="79"/>
  <c r="AB95" i="79"/>
  <c r="AB94" i="79"/>
  <c r="AB93" i="79"/>
  <c r="AB92" i="79"/>
  <c r="AB91" i="79"/>
  <c r="AB90" i="79"/>
  <c r="AB89" i="79"/>
  <c r="AB88" i="79"/>
  <c r="AB87" i="79"/>
  <c r="AB86" i="79"/>
  <c r="AB85" i="79"/>
  <c r="AB84" i="79"/>
  <c r="AB83" i="79"/>
  <c r="AB82" i="79"/>
  <c r="AB81" i="79"/>
  <c r="AB80" i="79"/>
  <c r="AB79" i="79"/>
  <c r="AB78" i="79"/>
  <c r="AB77" i="79"/>
  <c r="AB76" i="79"/>
  <c r="AB75" i="79"/>
  <c r="AB74" i="79"/>
  <c r="AB73" i="79"/>
  <c r="AB72" i="79"/>
  <c r="AB71" i="79"/>
  <c r="AB70" i="79"/>
  <c r="AB69" i="79"/>
  <c r="AB68" i="79"/>
  <c r="AB67" i="79"/>
  <c r="AB66" i="79"/>
  <c r="AB65" i="79"/>
  <c r="AB64" i="79"/>
  <c r="AB63" i="79"/>
  <c r="AB62" i="79"/>
  <c r="AB61" i="79"/>
  <c r="AB60" i="79"/>
  <c r="AB59" i="79"/>
  <c r="AB58" i="79"/>
  <c r="AB57" i="79"/>
  <c r="AB56" i="79"/>
  <c r="AB55" i="79"/>
  <c r="AB54" i="79"/>
  <c r="AB53" i="79"/>
  <c r="AA144" i="79"/>
  <c r="AA142" i="79"/>
  <c r="AA145" i="79"/>
  <c r="AA143" i="79"/>
  <c r="AA134" i="79"/>
  <c r="AA126" i="79"/>
  <c r="AA118" i="79"/>
  <c r="AA108" i="79"/>
  <c r="AA100" i="79"/>
  <c r="AA92" i="79"/>
  <c r="AA84" i="79"/>
  <c r="AA78" i="79"/>
  <c r="AB37" i="79"/>
  <c r="AA31" i="79"/>
  <c r="AA141" i="79"/>
  <c r="AA139" i="79"/>
  <c r="AA131" i="79"/>
  <c r="AA123" i="79"/>
  <c r="AA115" i="79"/>
  <c r="AA112" i="79"/>
  <c r="AA105" i="79"/>
  <c r="AA97" i="79"/>
  <c r="AA89" i="79"/>
  <c r="AA79" i="79"/>
  <c r="AB51" i="79"/>
  <c r="AB50" i="79"/>
  <c r="AB49" i="79"/>
  <c r="AB48" i="79"/>
  <c r="AB47" i="79"/>
  <c r="AB46" i="79"/>
  <c r="AB45" i="79"/>
  <c r="AB44" i="79"/>
  <c r="AB43" i="79"/>
  <c r="AB42" i="79"/>
  <c r="AB41" i="79"/>
  <c r="AB40" i="79"/>
  <c r="AA37" i="79"/>
  <c r="AB33" i="79"/>
  <c r="AA136" i="79"/>
  <c r="AA128" i="79"/>
  <c r="AA120" i="79"/>
  <c r="AA102" i="79"/>
  <c r="AA94" i="79"/>
  <c r="AA86" i="79"/>
  <c r="AA82" i="79"/>
  <c r="AA72" i="79"/>
  <c r="AA71" i="79"/>
  <c r="AA70" i="79"/>
  <c r="AA69" i="79"/>
  <c r="AA68" i="79"/>
  <c r="AA67" i="79"/>
  <c r="AA66" i="79"/>
  <c r="AA65" i="79"/>
  <c r="AA64" i="79"/>
  <c r="AA63" i="79"/>
  <c r="AA62" i="79"/>
  <c r="AA61" i="79"/>
  <c r="AA60" i="79"/>
  <c r="AA59" i="79"/>
  <c r="AA58" i="79"/>
  <c r="AA57" i="79"/>
  <c r="AA56" i="79"/>
  <c r="AA55" i="79"/>
  <c r="AA54" i="79"/>
  <c r="AA53" i="79"/>
  <c r="AA51" i="79"/>
  <c r="AA50" i="79"/>
  <c r="AA49" i="79"/>
  <c r="AA48" i="79"/>
  <c r="AA47" i="79"/>
  <c r="AA46" i="79"/>
  <c r="AA45" i="79"/>
  <c r="AA44" i="79"/>
  <c r="AA43" i="79"/>
  <c r="AA42" i="79"/>
  <c r="AA41" i="79"/>
  <c r="AA40" i="79"/>
  <c r="AA33" i="79"/>
  <c r="AB17" i="79"/>
  <c r="AB18" i="79" s="1"/>
  <c r="AB19" i="79" s="1"/>
  <c r="AB20" i="79" s="1"/>
  <c r="AB21" i="79" s="1"/>
  <c r="AB22" i="79" s="1"/>
  <c r="AB23" i="79" s="1"/>
  <c r="AB24" i="79" s="1"/>
  <c r="AB25" i="79" s="1"/>
  <c r="AB26" i="79" s="1"/>
  <c r="AB27" i="79" s="1"/>
  <c r="AB28" i="79" s="1"/>
  <c r="AB29" i="79" s="1"/>
  <c r="AB30" i="79" s="1"/>
  <c r="AA133" i="79"/>
  <c r="AA125" i="79"/>
  <c r="AA117" i="79"/>
  <c r="AA111" i="79"/>
  <c r="AA107" i="79"/>
  <c r="AA99" i="79"/>
  <c r="AA91" i="79"/>
  <c r="AA73" i="79"/>
  <c r="AB39" i="79"/>
  <c r="AA17" i="79"/>
  <c r="AA18" i="79" s="1"/>
  <c r="AA19" i="79" s="1"/>
  <c r="AA20" i="79" s="1"/>
  <c r="AA21" i="79" s="1"/>
  <c r="AA22" i="79" s="1"/>
  <c r="AA23" i="79" s="1"/>
  <c r="AA24" i="79" s="1"/>
  <c r="AA25" i="79" s="1"/>
  <c r="AA26" i="79" s="1"/>
  <c r="AA27" i="79" s="1"/>
  <c r="AA28" i="79" s="1"/>
  <c r="AA29" i="79" s="1"/>
  <c r="AA30" i="79" s="1"/>
  <c r="AA138" i="79"/>
  <c r="AA130" i="79"/>
  <c r="AA122" i="79"/>
  <c r="AA114" i="79"/>
  <c r="AA104" i="79"/>
  <c r="AA96" i="79"/>
  <c r="AA88" i="79"/>
  <c r="AA80" i="79"/>
  <c r="AA74" i="79"/>
  <c r="AB52" i="79"/>
  <c r="AA39" i="79"/>
  <c r="AB36" i="79"/>
  <c r="AB32" i="79"/>
  <c r="AA140" i="79"/>
  <c r="AA135" i="79"/>
  <c r="AA127" i="79"/>
  <c r="AA119" i="79"/>
  <c r="AA110" i="79"/>
  <c r="AA101" i="79"/>
  <c r="AA93" i="79"/>
  <c r="AA85" i="79"/>
  <c r="AA83" i="79"/>
  <c r="AA75" i="79"/>
  <c r="AA52" i="79"/>
  <c r="AB38" i="79"/>
  <c r="AA36" i="79"/>
  <c r="AB35" i="79"/>
  <c r="AA32" i="79"/>
  <c r="AA132" i="79"/>
  <c r="AA124" i="79"/>
  <c r="AA116" i="79"/>
  <c r="AA106" i="79"/>
  <c r="AA98" i="79"/>
  <c r="AA90" i="79"/>
  <c r="AA76" i="79"/>
  <c r="AA38" i="79"/>
  <c r="AA35" i="79"/>
  <c r="AB34" i="79"/>
  <c r="AA137" i="79"/>
  <c r="AA129" i="79"/>
  <c r="AA121" i="79"/>
  <c r="AA113" i="79"/>
  <c r="AA109" i="79"/>
  <c r="AA103" i="79"/>
  <c r="AA95" i="79"/>
  <c r="AA87" i="79"/>
  <c r="AA81" i="79"/>
  <c r="AA77" i="79"/>
  <c r="AA34" i="79"/>
  <c r="AW31" i="79"/>
  <c r="AB31" i="79"/>
  <c r="AW18" i="79"/>
  <c r="BB18" i="79" s="1"/>
  <c r="Q15" i="79"/>
  <c r="AW17" i="79"/>
  <c r="AI527" i="79"/>
  <c r="AJ522" i="79"/>
  <c r="AI519" i="79"/>
  <c r="AJ514" i="79"/>
  <c r="AI511" i="79"/>
  <c r="AJ506" i="79"/>
  <c r="AI503" i="79"/>
  <c r="AJ528" i="79"/>
  <c r="AI525" i="79"/>
  <c r="AJ520" i="79"/>
  <c r="AI517" i="79"/>
  <c r="AJ512" i="79"/>
  <c r="AI509" i="79"/>
  <c r="AJ504" i="79"/>
  <c r="AJ501" i="79"/>
  <c r="AJ500" i="79"/>
  <c r="AJ499" i="79"/>
  <c r="AJ498" i="79"/>
  <c r="AJ497" i="79"/>
  <c r="AJ496" i="79"/>
  <c r="AI528" i="79"/>
  <c r="AJ523" i="79"/>
  <c r="AI520" i="79"/>
  <c r="AJ515" i="79"/>
  <c r="AI512" i="79"/>
  <c r="AJ507" i="79"/>
  <c r="AI504" i="79"/>
  <c r="AI501" i="79"/>
  <c r="AI500" i="79"/>
  <c r="AI499" i="79"/>
  <c r="AI498" i="79"/>
  <c r="AI497" i="79"/>
  <c r="AI496" i="79"/>
  <c r="AI495" i="79"/>
  <c r="AI494" i="79"/>
  <c r="AI493" i="79"/>
  <c r="AI492" i="79"/>
  <c r="AI491" i="79"/>
  <c r="AI490" i="79"/>
  <c r="AI489" i="79"/>
  <c r="AI488" i="79"/>
  <c r="AI487" i="79"/>
  <c r="AI486" i="79"/>
  <c r="AI485" i="79"/>
  <c r="AI484" i="79"/>
  <c r="AI483" i="79"/>
  <c r="AJ526" i="79"/>
  <c r="AI523" i="79"/>
  <c r="AJ518" i="79"/>
  <c r="AI515" i="79"/>
  <c r="AI526" i="79"/>
  <c r="AJ521" i="79"/>
  <c r="AI518" i="79"/>
  <c r="AJ513" i="79"/>
  <c r="AI510" i="79"/>
  <c r="AJ505" i="79"/>
  <c r="AI502" i="79"/>
  <c r="AJ529" i="79"/>
  <c r="AJ524" i="79"/>
  <c r="AI521" i="79"/>
  <c r="AJ516" i="79"/>
  <c r="AI513" i="79"/>
  <c r="AJ508" i="79"/>
  <c r="AI505" i="79"/>
  <c r="AI529" i="79"/>
  <c r="AJ527" i="79"/>
  <c r="AI524" i="79"/>
  <c r="AJ519" i="79"/>
  <c r="AI516" i="79"/>
  <c r="AJ511" i="79"/>
  <c r="AI508" i="79"/>
  <c r="AJ503" i="79"/>
  <c r="AI522" i="79"/>
  <c r="AI506" i="79"/>
  <c r="AJ486" i="79"/>
  <c r="AJ478" i="79"/>
  <c r="AI475" i="79"/>
  <c r="AI472" i="79"/>
  <c r="AI471" i="79"/>
  <c r="AI470" i="79"/>
  <c r="AI469" i="79"/>
  <c r="AI468" i="79"/>
  <c r="AI467" i="79"/>
  <c r="AI466" i="79"/>
  <c r="AI465" i="79"/>
  <c r="AI464" i="79"/>
  <c r="AI463" i="79"/>
  <c r="AI462" i="79"/>
  <c r="AI461" i="79"/>
  <c r="AI460" i="79"/>
  <c r="AI459" i="79"/>
  <c r="AI458" i="79"/>
  <c r="AI457" i="79"/>
  <c r="AI456" i="79"/>
  <c r="AI455" i="79"/>
  <c r="AI454" i="79"/>
  <c r="AI453" i="79"/>
  <c r="AI452" i="79"/>
  <c r="AI451" i="79"/>
  <c r="AI450" i="79"/>
  <c r="AI449" i="79"/>
  <c r="AI448" i="79"/>
  <c r="AJ525" i="79"/>
  <c r="AJ517" i="79"/>
  <c r="AI514" i="79"/>
  <c r="AJ495" i="79"/>
  <c r="AJ493" i="79"/>
  <c r="AJ488" i="79"/>
  <c r="AI481" i="79"/>
  <c r="AJ476" i="79"/>
  <c r="AI473" i="79"/>
  <c r="AJ509" i="79"/>
  <c r="AJ502" i="79"/>
  <c r="AJ489" i="79"/>
  <c r="AJ479" i="79"/>
  <c r="AI476" i="79"/>
  <c r="AJ490" i="79"/>
  <c r="AJ482" i="79"/>
  <c r="AI479" i="79"/>
  <c r="AJ474" i="79"/>
  <c r="AI507" i="79"/>
  <c r="AJ491" i="79"/>
  <c r="AJ483" i="79"/>
  <c r="AI482" i="79"/>
  <c r="AJ477" i="79"/>
  <c r="AI474" i="79"/>
  <c r="AJ494" i="79"/>
  <c r="AJ510" i="79"/>
  <c r="AJ485" i="79"/>
  <c r="AI480" i="79"/>
  <c r="AJ475" i="79"/>
  <c r="AJ472" i="79"/>
  <c r="AJ471" i="79"/>
  <c r="AJ470" i="79"/>
  <c r="AJ469" i="79"/>
  <c r="AJ468" i="79"/>
  <c r="AJ467" i="79"/>
  <c r="AJ466" i="79"/>
  <c r="AJ465" i="79"/>
  <c r="AJ464" i="79"/>
  <c r="AJ463" i="79"/>
  <c r="AJ462" i="79"/>
  <c r="AJ461" i="79"/>
  <c r="AJ460" i="79"/>
  <c r="AJ459" i="79"/>
  <c r="AJ458" i="79"/>
  <c r="AJ457" i="79"/>
  <c r="AJ456" i="79"/>
  <c r="AJ455" i="79"/>
  <c r="AJ454" i="79"/>
  <c r="AJ453" i="79"/>
  <c r="AJ452" i="79"/>
  <c r="AJ451" i="79"/>
  <c r="AJ450" i="79"/>
  <c r="AJ449" i="79"/>
  <c r="AJ480" i="79"/>
  <c r="AJ447" i="79"/>
  <c r="AJ446" i="79"/>
  <c r="AJ445" i="79"/>
  <c r="AJ444" i="79"/>
  <c r="AJ443" i="79"/>
  <c r="AJ442" i="79"/>
  <c r="AJ441" i="79"/>
  <c r="AJ440" i="79"/>
  <c r="AJ439" i="79"/>
  <c r="AJ438" i="79"/>
  <c r="AJ437" i="79"/>
  <c r="AJ436" i="79"/>
  <c r="AJ435" i="79"/>
  <c r="AJ434" i="79"/>
  <c r="AJ433" i="79"/>
  <c r="AJ432" i="79"/>
  <c r="AJ431" i="79"/>
  <c r="AJ430" i="79"/>
  <c r="AJ429" i="79"/>
  <c r="AJ428" i="79"/>
  <c r="AJ427" i="79"/>
  <c r="AJ426" i="79"/>
  <c r="AJ425" i="79"/>
  <c r="AJ424" i="79"/>
  <c r="AJ423" i="79"/>
  <c r="AJ422" i="79"/>
  <c r="AJ421" i="79"/>
  <c r="AJ420" i="79"/>
  <c r="AJ419" i="79"/>
  <c r="AJ418" i="79"/>
  <c r="AJ417" i="79"/>
  <c r="AJ416" i="79"/>
  <c r="AJ415" i="79"/>
  <c r="AI477" i="79"/>
  <c r="AJ448" i="79"/>
  <c r="AI447" i="79"/>
  <c r="AI446" i="79"/>
  <c r="AI445" i="79"/>
  <c r="AI444" i="79"/>
  <c r="AI443" i="79"/>
  <c r="AI442" i="79"/>
  <c r="AI441" i="79"/>
  <c r="AI440" i="79"/>
  <c r="AI439" i="79"/>
  <c r="AI438" i="79"/>
  <c r="AI437" i="79"/>
  <c r="AI436" i="79"/>
  <c r="AI435" i="79"/>
  <c r="AI434" i="79"/>
  <c r="AI433" i="79"/>
  <c r="AI432" i="79"/>
  <c r="AI431" i="79"/>
  <c r="AI430" i="79"/>
  <c r="AI429" i="79"/>
  <c r="AI428" i="79"/>
  <c r="AI427" i="79"/>
  <c r="AI426" i="79"/>
  <c r="AI425" i="79"/>
  <c r="AI424" i="79"/>
  <c r="AI423" i="79"/>
  <c r="AI422" i="79"/>
  <c r="AI421" i="79"/>
  <c r="AI420" i="79"/>
  <c r="AI419" i="79"/>
  <c r="AI418" i="79"/>
  <c r="AI417" i="79"/>
  <c r="AI416" i="79"/>
  <c r="AJ487" i="79"/>
  <c r="AI478" i="79"/>
  <c r="AJ481" i="79"/>
  <c r="AJ473" i="79"/>
  <c r="AJ492" i="79"/>
  <c r="AJ484" i="79"/>
  <c r="AJ414" i="79"/>
  <c r="AJ413" i="79"/>
  <c r="AJ412" i="79"/>
  <c r="AJ411" i="79"/>
  <c r="AJ410" i="79"/>
  <c r="AJ409" i="79"/>
  <c r="AJ408" i="79"/>
  <c r="AJ407" i="79"/>
  <c r="AJ406" i="79"/>
  <c r="AJ405" i="79"/>
  <c r="AJ404" i="79"/>
  <c r="AJ403" i="79"/>
  <c r="AJ402" i="79"/>
  <c r="AJ401" i="79"/>
  <c r="AJ400" i="79"/>
  <c r="AJ399" i="79"/>
  <c r="AJ398" i="79"/>
  <c r="AJ397" i="79"/>
  <c r="AJ396" i="79"/>
  <c r="AJ395" i="79"/>
  <c r="AJ394" i="79"/>
  <c r="AJ393" i="79"/>
  <c r="AJ392" i="79"/>
  <c r="AJ391" i="79"/>
  <c r="AJ390" i="79"/>
  <c r="AJ389" i="79"/>
  <c r="AJ388" i="79"/>
  <c r="AJ387" i="79"/>
  <c r="AJ386" i="79"/>
  <c r="AI415" i="79"/>
  <c r="AI414" i="79"/>
  <c r="AI413" i="79"/>
  <c r="AI412" i="79"/>
  <c r="AI411" i="79"/>
  <c r="AI410" i="79"/>
  <c r="AI409" i="79"/>
  <c r="AI408" i="79"/>
  <c r="AI407" i="79"/>
  <c r="AI406" i="79"/>
  <c r="AI405" i="79"/>
  <c r="AI404" i="79"/>
  <c r="AI403" i="79"/>
  <c r="AI402" i="79"/>
  <c r="AI401" i="79"/>
  <c r="AI400" i="79"/>
  <c r="AI399" i="79"/>
  <c r="AI398" i="79"/>
  <c r="AI397" i="79"/>
  <c r="AI396" i="79"/>
  <c r="AI395" i="79"/>
  <c r="AI394" i="79"/>
  <c r="AI393" i="79"/>
  <c r="AI392" i="79"/>
  <c r="AI391" i="79"/>
  <c r="AI390" i="79"/>
  <c r="AI389" i="79"/>
  <c r="AI388" i="79"/>
  <c r="AI387" i="79"/>
  <c r="AI386" i="79"/>
  <c r="AI385" i="79"/>
  <c r="AI384" i="79"/>
  <c r="AI383" i="79"/>
  <c r="AI382" i="79"/>
  <c r="AJ385" i="79"/>
  <c r="AJ381" i="79"/>
  <c r="AI380" i="79"/>
  <c r="AI379" i="79"/>
  <c r="AI378" i="79"/>
  <c r="AI377" i="79"/>
  <c r="AI376" i="79"/>
  <c r="AI375" i="79"/>
  <c r="AI374" i="79"/>
  <c r="AI373" i="79"/>
  <c r="AI372" i="79"/>
  <c r="AI371" i="79"/>
  <c r="AI370" i="79"/>
  <c r="AI369" i="79"/>
  <c r="AI368" i="79"/>
  <c r="AI367" i="79"/>
  <c r="AI366" i="79"/>
  <c r="AI365" i="79"/>
  <c r="AI364" i="79"/>
  <c r="AI363" i="79"/>
  <c r="AI362" i="79"/>
  <c r="AI361" i="79"/>
  <c r="AI360" i="79"/>
  <c r="AI359" i="79"/>
  <c r="AI358" i="79"/>
  <c r="AI357" i="79"/>
  <c r="AI356" i="79"/>
  <c r="AI355" i="79"/>
  <c r="AI354" i="79"/>
  <c r="AI353" i="79"/>
  <c r="AI352" i="79"/>
  <c r="AI351" i="79"/>
  <c r="AI350" i="79"/>
  <c r="AI349" i="79"/>
  <c r="AI348" i="79"/>
  <c r="AI381" i="79"/>
  <c r="AJ383" i="79"/>
  <c r="AJ384" i="79"/>
  <c r="AJ382" i="79"/>
  <c r="AJ375" i="79"/>
  <c r="AJ367" i="79"/>
  <c r="AJ363" i="79"/>
  <c r="AJ359" i="79"/>
  <c r="AJ378" i="79"/>
  <c r="AJ370" i="79"/>
  <c r="AJ350" i="79"/>
  <c r="AJ373" i="79"/>
  <c r="AJ364" i="79"/>
  <c r="AJ360" i="79"/>
  <c r="AJ356" i="79"/>
  <c r="AJ376" i="79"/>
  <c r="AJ368" i="79"/>
  <c r="AJ355" i="79"/>
  <c r="AJ349" i="79"/>
  <c r="AJ347" i="79"/>
  <c r="AJ346" i="79"/>
  <c r="AJ345" i="79"/>
  <c r="AJ344" i="79"/>
  <c r="AJ343" i="79"/>
  <c r="AJ342" i="79"/>
  <c r="AJ341" i="79"/>
  <c r="AJ340" i="79"/>
  <c r="AJ339" i="79"/>
  <c r="AJ338" i="79"/>
  <c r="AJ337" i="79"/>
  <c r="AJ336" i="79"/>
  <c r="AJ335" i="79"/>
  <c r="AJ334" i="79"/>
  <c r="AJ333" i="79"/>
  <c r="AJ332" i="79"/>
  <c r="AJ331" i="79"/>
  <c r="AJ330" i="79"/>
  <c r="AJ329" i="79"/>
  <c r="AJ328" i="79"/>
  <c r="AJ327" i="79"/>
  <c r="AJ326" i="79"/>
  <c r="AJ325" i="79"/>
  <c r="AJ324" i="79"/>
  <c r="AJ323" i="79"/>
  <c r="AJ322" i="79"/>
  <c r="AJ321" i="79"/>
  <c r="AJ320" i="79"/>
  <c r="AJ319" i="79"/>
  <c r="AJ318" i="79"/>
  <c r="AJ317" i="79"/>
  <c r="AJ316" i="79"/>
  <c r="AJ315" i="79"/>
  <c r="AJ314" i="79"/>
  <c r="AJ313" i="79"/>
  <c r="AJ312" i="79"/>
  <c r="AJ311" i="79"/>
  <c r="AJ310" i="79"/>
  <c r="AJ309" i="79"/>
  <c r="AJ308" i="79"/>
  <c r="AJ307" i="79"/>
  <c r="AJ306" i="79"/>
  <c r="AJ305" i="79"/>
  <c r="AJ379" i="79"/>
  <c r="AJ371" i="79"/>
  <c r="AJ365" i="79"/>
  <c r="AJ361" i="79"/>
  <c r="AJ357" i="79"/>
  <c r="AJ354" i="79"/>
  <c r="AI347" i="79"/>
  <c r="AI346" i="79"/>
  <c r="AI345" i="79"/>
  <c r="AI344" i="79"/>
  <c r="AI343" i="79"/>
  <c r="AI342" i="79"/>
  <c r="AI341" i="79"/>
  <c r="AI340" i="79"/>
  <c r="AI339" i="79"/>
  <c r="AI338" i="79"/>
  <c r="AI337" i="79"/>
  <c r="AI336" i="79"/>
  <c r="AI335" i="79"/>
  <c r="AI334" i="79"/>
  <c r="AI333" i="79"/>
  <c r="AI332" i="79"/>
  <c r="AI331" i="79"/>
  <c r="AI330" i="79"/>
  <c r="AI329" i="79"/>
  <c r="AI328" i="79"/>
  <c r="AI327" i="79"/>
  <c r="AI326" i="79"/>
  <c r="AI325" i="79"/>
  <c r="AI324" i="79"/>
  <c r="AI323" i="79"/>
  <c r="AI322" i="79"/>
  <c r="AI321" i="79"/>
  <c r="AI320" i="79"/>
  <c r="AI319" i="79"/>
  <c r="AI318" i="79"/>
  <c r="AI317" i="79"/>
  <c r="AI316" i="79"/>
  <c r="AI315" i="79"/>
  <c r="AI314" i="79"/>
  <c r="AI313" i="79"/>
  <c r="AI312" i="79"/>
  <c r="AJ374" i="79"/>
  <c r="AJ353" i="79"/>
  <c r="AJ348" i="79"/>
  <c r="AJ377" i="79"/>
  <c r="AJ369" i="79"/>
  <c r="AJ366" i="79"/>
  <c r="AJ362" i="79"/>
  <c r="AJ358" i="79"/>
  <c r="AJ352" i="79"/>
  <c r="AJ380" i="79"/>
  <c r="AJ372" i="79"/>
  <c r="AJ351" i="79"/>
  <c r="AI310" i="79"/>
  <c r="AI306" i="79"/>
  <c r="AJ304" i="79"/>
  <c r="AJ303" i="79"/>
  <c r="AJ302" i="79"/>
  <c r="AJ301" i="79"/>
  <c r="AJ300" i="79"/>
  <c r="AJ299" i="79"/>
  <c r="AJ298" i="79"/>
  <c r="AJ297" i="79"/>
  <c r="AJ296" i="79"/>
  <c r="AJ295" i="79"/>
  <c r="AJ294" i="79"/>
  <c r="AJ293" i="79"/>
  <c r="AJ292" i="79"/>
  <c r="AJ291" i="79"/>
  <c r="AJ290" i="79"/>
  <c r="AJ289" i="79"/>
  <c r="AJ288" i="79"/>
  <c r="AJ287" i="79"/>
  <c r="AJ286" i="79"/>
  <c r="AJ285" i="79"/>
  <c r="AJ284" i="79"/>
  <c r="AJ283" i="79"/>
  <c r="AJ282" i="79"/>
  <c r="AJ281" i="79"/>
  <c r="AJ280" i="79"/>
  <c r="AJ279" i="79"/>
  <c r="AJ278" i="79"/>
  <c r="AJ277" i="79"/>
  <c r="AJ276" i="79"/>
  <c r="AJ275" i="79"/>
  <c r="AJ274" i="79"/>
  <c r="AJ273" i="79"/>
  <c r="AJ272" i="79"/>
  <c r="AJ271" i="79"/>
  <c r="AJ270" i="79"/>
  <c r="AJ269" i="79"/>
  <c r="AJ268" i="79"/>
  <c r="AJ267" i="79"/>
  <c r="AJ266" i="79"/>
  <c r="AJ265" i="79"/>
  <c r="AI309" i="79"/>
  <c r="AI305" i="79"/>
  <c r="AI304" i="79"/>
  <c r="AI303" i="79"/>
  <c r="AI302" i="79"/>
  <c r="AI301" i="79"/>
  <c r="AI300" i="79"/>
  <c r="AI299" i="79"/>
  <c r="AI298" i="79"/>
  <c r="AI297" i="79"/>
  <c r="AI296" i="79"/>
  <c r="AI295" i="79"/>
  <c r="AI294" i="79"/>
  <c r="AI293" i="79"/>
  <c r="AI292" i="79"/>
  <c r="AI291" i="79"/>
  <c r="AI290" i="79"/>
  <c r="AI289" i="79"/>
  <c r="AI288" i="79"/>
  <c r="AI287" i="79"/>
  <c r="AI286" i="79"/>
  <c r="AI285" i="79"/>
  <c r="AI284" i="79"/>
  <c r="AI283" i="79"/>
  <c r="AI282" i="79"/>
  <c r="AI281" i="79"/>
  <c r="AI280" i="79"/>
  <c r="AI279" i="79"/>
  <c r="AI278" i="79"/>
  <c r="AI277" i="79"/>
  <c r="AI276" i="79"/>
  <c r="AI275" i="79"/>
  <c r="AI274" i="79"/>
  <c r="AI273" i="79"/>
  <c r="AI272" i="79"/>
  <c r="AI271" i="79"/>
  <c r="AI270" i="79"/>
  <c r="AI269" i="79"/>
  <c r="AI268" i="79"/>
  <c r="AI267" i="79"/>
  <c r="AI266" i="79"/>
  <c r="AI265" i="79"/>
  <c r="AI264" i="79"/>
  <c r="AI263" i="79"/>
  <c r="AI308" i="79"/>
  <c r="AI311" i="79"/>
  <c r="AI307" i="79"/>
  <c r="AI259" i="79"/>
  <c r="AI255" i="79"/>
  <c r="AJ263" i="79"/>
  <c r="AJ262" i="79"/>
  <c r="AJ258" i="79"/>
  <c r="AJ254" i="79"/>
  <c r="AI262" i="79"/>
  <c r="AI258" i="79"/>
  <c r="AI254" i="79"/>
  <c r="AJ264" i="79"/>
  <c r="AJ261" i="79"/>
  <c r="AJ257" i="79"/>
  <c r="AJ253" i="79"/>
  <c r="AJ260" i="79"/>
  <c r="AJ256" i="79"/>
  <c r="AJ252" i="79"/>
  <c r="AI251" i="79"/>
  <c r="AI250" i="79"/>
  <c r="AI249" i="79"/>
  <c r="AI248" i="79"/>
  <c r="AI247" i="79"/>
  <c r="AI246" i="79"/>
  <c r="AI245" i="79"/>
  <c r="AI244" i="79"/>
  <c r="AI243" i="79"/>
  <c r="AI242" i="79"/>
  <c r="AI241" i="79"/>
  <c r="AI240" i="79"/>
  <c r="AI239" i="79"/>
  <c r="AI238" i="79"/>
  <c r="AI237" i="79"/>
  <c r="AI236" i="79"/>
  <c r="AI235" i="79"/>
  <c r="AI234" i="79"/>
  <c r="AI233" i="79"/>
  <c r="AI232" i="79"/>
  <c r="AI231" i="79"/>
  <c r="AI230" i="79"/>
  <c r="AI229" i="79"/>
  <c r="AI228" i="79"/>
  <c r="AI227" i="79"/>
  <c r="AI226" i="79"/>
  <c r="AI225" i="79"/>
  <c r="AI224" i="79"/>
  <c r="AI223" i="79"/>
  <c r="AI222" i="79"/>
  <c r="AI221" i="79"/>
  <c r="AI220" i="79"/>
  <c r="AI219" i="79"/>
  <c r="AI218" i="79"/>
  <c r="AI217" i="79"/>
  <c r="AI216" i="79"/>
  <c r="AI215" i="79"/>
  <c r="AI214" i="79"/>
  <c r="AI213" i="79"/>
  <c r="AI212" i="79"/>
  <c r="AI211" i="79"/>
  <c r="AI210" i="79"/>
  <c r="AI209" i="79"/>
  <c r="AI208" i="79"/>
  <c r="AI207" i="79"/>
  <c r="AI206" i="79"/>
  <c r="AI205" i="79"/>
  <c r="AI204" i="79"/>
  <c r="AI203" i="79"/>
  <c r="AI202" i="79"/>
  <c r="AI201" i="79"/>
  <c r="AI200" i="79"/>
  <c r="AI199" i="79"/>
  <c r="AI198" i="79"/>
  <c r="AI197" i="79"/>
  <c r="AI196" i="79"/>
  <c r="AI195" i="79"/>
  <c r="AI194" i="79"/>
  <c r="AI193" i="79"/>
  <c r="AI192" i="79"/>
  <c r="AI191" i="79"/>
  <c r="AI260" i="79"/>
  <c r="AI256" i="79"/>
  <c r="AI252" i="79"/>
  <c r="AJ259" i="79"/>
  <c r="AJ255" i="79"/>
  <c r="AJ249" i="79"/>
  <c r="AJ241" i="79"/>
  <c r="AJ233" i="79"/>
  <c r="AJ225" i="79"/>
  <c r="AJ217" i="79"/>
  <c r="AJ209" i="79"/>
  <c r="AJ207" i="79"/>
  <c r="AJ196" i="79"/>
  <c r="AJ192" i="79"/>
  <c r="AJ190" i="79"/>
  <c r="AJ189" i="79"/>
  <c r="AJ188" i="79"/>
  <c r="AJ187" i="79"/>
  <c r="AJ186" i="79"/>
  <c r="AJ185" i="79"/>
  <c r="AJ184" i="79"/>
  <c r="AJ183" i="79"/>
  <c r="AJ182" i="79"/>
  <c r="AJ181" i="79"/>
  <c r="AJ180" i="79"/>
  <c r="AJ179" i="79"/>
  <c r="AJ178" i="79"/>
  <c r="AJ177" i="79"/>
  <c r="AJ176" i="79"/>
  <c r="AJ175" i="79"/>
  <c r="AJ174" i="79"/>
  <c r="AJ173" i="79"/>
  <c r="AJ172" i="79"/>
  <c r="AJ171" i="79"/>
  <c r="AJ170" i="79"/>
  <c r="AJ169" i="79"/>
  <c r="AJ168" i="79"/>
  <c r="AJ167" i="79"/>
  <c r="AJ166" i="79"/>
  <c r="AJ165" i="79"/>
  <c r="AJ164" i="79"/>
  <c r="AJ163" i="79"/>
  <c r="AJ162" i="79"/>
  <c r="AJ161" i="79"/>
  <c r="AJ160" i="79"/>
  <c r="AJ159" i="79"/>
  <c r="AJ158" i="79"/>
  <c r="AJ157" i="79"/>
  <c r="AJ156" i="79"/>
  <c r="AJ155" i="79"/>
  <c r="AJ154" i="79"/>
  <c r="AJ153" i="79"/>
  <c r="AJ152" i="79"/>
  <c r="AJ151" i="79"/>
  <c r="AJ150" i="79"/>
  <c r="AJ149" i="79"/>
  <c r="AJ148" i="79"/>
  <c r="AJ147" i="79"/>
  <c r="AJ146" i="79"/>
  <c r="AJ246" i="79"/>
  <c r="AJ238" i="79"/>
  <c r="AJ230" i="79"/>
  <c r="AJ222" i="79"/>
  <c r="AJ214" i="79"/>
  <c r="AJ204" i="79"/>
  <c r="AI190" i="79"/>
  <c r="AI189" i="79"/>
  <c r="AI188" i="79"/>
  <c r="AI187" i="79"/>
  <c r="AI186" i="79"/>
  <c r="AI185" i="79"/>
  <c r="AI184" i="79"/>
  <c r="AI183" i="79"/>
  <c r="AI182" i="79"/>
  <c r="AI181" i="79"/>
  <c r="AI180" i="79"/>
  <c r="AI179" i="79"/>
  <c r="AI178" i="79"/>
  <c r="AI177" i="79"/>
  <c r="AI176" i="79"/>
  <c r="AI175" i="79"/>
  <c r="AI174" i="79"/>
  <c r="AI173" i="79"/>
  <c r="AI172" i="79"/>
  <c r="AI171" i="79"/>
  <c r="AI170" i="79"/>
  <c r="AI169" i="79"/>
  <c r="AI168" i="79"/>
  <c r="AI167" i="79"/>
  <c r="AI166" i="79"/>
  <c r="AI165" i="79"/>
  <c r="AI164" i="79"/>
  <c r="AI163" i="79"/>
  <c r="AI162" i="79"/>
  <c r="AI161" i="79"/>
  <c r="AI160" i="79"/>
  <c r="AI159" i="79"/>
  <c r="AI158" i="79"/>
  <c r="AI157" i="79"/>
  <c r="AI156" i="79"/>
  <c r="AI155" i="79"/>
  <c r="AI154" i="79"/>
  <c r="AI153" i="79"/>
  <c r="AI152" i="79"/>
  <c r="AI151" i="79"/>
  <c r="AI150" i="79"/>
  <c r="AI149" i="79"/>
  <c r="AI148" i="79"/>
  <c r="AI147" i="79"/>
  <c r="AI146" i="79"/>
  <c r="AI145" i="79"/>
  <c r="AJ251" i="79"/>
  <c r="AJ243" i="79"/>
  <c r="AJ235" i="79"/>
  <c r="AJ227" i="79"/>
  <c r="AJ219" i="79"/>
  <c r="AJ211" i="79"/>
  <c r="AJ195" i="79"/>
  <c r="AJ191" i="79"/>
  <c r="AJ248" i="79"/>
  <c r="AJ240" i="79"/>
  <c r="AJ232" i="79"/>
  <c r="AJ224" i="79"/>
  <c r="AJ216" i="79"/>
  <c r="AJ205" i="79"/>
  <c r="AJ199" i="79"/>
  <c r="AJ245" i="79"/>
  <c r="AJ237" i="79"/>
  <c r="AJ229" i="79"/>
  <c r="AJ221" i="79"/>
  <c r="AJ213" i="79"/>
  <c r="AJ208" i="79"/>
  <c r="AJ200" i="79"/>
  <c r="AJ198" i="79"/>
  <c r="AJ194" i="79"/>
  <c r="AJ250" i="79"/>
  <c r="AJ242" i="79"/>
  <c r="AJ234" i="79"/>
  <c r="AJ226" i="79"/>
  <c r="AJ218" i="79"/>
  <c r="AJ210" i="79"/>
  <c r="AJ206" i="79"/>
  <c r="AJ201" i="79"/>
  <c r="AI261" i="79"/>
  <c r="AI257" i="79"/>
  <c r="AI253" i="79"/>
  <c r="AJ247" i="79"/>
  <c r="AJ239" i="79"/>
  <c r="AJ231" i="79"/>
  <c r="AJ223" i="79"/>
  <c r="AJ215" i="79"/>
  <c r="AJ202" i="79"/>
  <c r="AJ197" i="79"/>
  <c r="AJ193" i="79"/>
  <c r="AJ244" i="79"/>
  <c r="AJ236" i="79"/>
  <c r="AJ228" i="79"/>
  <c r="AJ220" i="79"/>
  <c r="AJ212" i="79"/>
  <c r="AJ203" i="79"/>
  <c r="AI144" i="79"/>
  <c r="AI142" i="79"/>
  <c r="AJ143" i="79"/>
  <c r="AJ145" i="79"/>
  <c r="AI143" i="79"/>
  <c r="AJ140" i="79"/>
  <c r="AJ139" i="79"/>
  <c r="AJ138" i="79"/>
  <c r="AJ137" i="79"/>
  <c r="AJ136" i="79"/>
  <c r="AJ135" i="79"/>
  <c r="AJ134" i="79"/>
  <c r="AJ133" i="79"/>
  <c r="AJ132" i="79"/>
  <c r="AJ131" i="79"/>
  <c r="AJ130" i="79"/>
  <c r="AJ129" i="79"/>
  <c r="AJ128" i="79"/>
  <c r="AJ127" i="79"/>
  <c r="AJ126" i="79"/>
  <c r="AJ125" i="79"/>
  <c r="AJ124" i="79"/>
  <c r="AJ123" i="79"/>
  <c r="AJ122" i="79"/>
  <c r="AJ121" i="79"/>
  <c r="AJ120" i="79"/>
  <c r="AJ119" i="79"/>
  <c r="AJ118" i="79"/>
  <c r="AJ117" i="79"/>
  <c r="AJ116" i="79"/>
  <c r="AJ115" i="79"/>
  <c r="AJ114" i="79"/>
  <c r="AJ113" i="79"/>
  <c r="AJ112" i="79"/>
  <c r="AJ111" i="79"/>
  <c r="AJ110" i="79"/>
  <c r="AJ109" i="79"/>
  <c r="AJ108" i="79"/>
  <c r="AJ107" i="79"/>
  <c r="AJ106" i="79"/>
  <c r="AJ105" i="79"/>
  <c r="AJ104" i="79"/>
  <c r="AJ103" i="79"/>
  <c r="AJ102" i="79"/>
  <c r="AJ101" i="79"/>
  <c r="AJ100" i="79"/>
  <c r="AJ99" i="79"/>
  <c r="AJ98" i="79"/>
  <c r="AJ97" i="79"/>
  <c r="AJ96" i="79"/>
  <c r="AJ95" i="79"/>
  <c r="AJ94" i="79"/>
  <c r="AJ93" i="79"/>
  <c r="AJ92" i="79"/>
  <c r="AJ91" i="79"/>
  <c r="AJ90" i="79"/>
  <c r="AJ89" i="79"/>
  <c r="AJ88" i="79"/>
  <c r="AJ87" i="79"/>
  <c r="AJ86" i="79"/>
  <c r="AJ85" i="79"/>
  <c r="AJ84" i="79"/>
  <c r="AJ83" i="79"/>
  <c r="AJ82" i="79"/>
  <c r="AJ81" i="79"/>
  <c r="AJ80" i="79"/>
  <c r="AJ79" i="79"/>
  <c r="AJ78" i="79"/>
  <c r="AJ77" i="79"/>
  <c r="AJ76" i="79"/>
  <c r="AJ75" i="79"/>
  <c r="AJ74" i="79"/>
  <c r="AJ73" i="79"/>
  <c r="AJ72" i="79"/>
  <c r="AJ71" i="79"/>
  <c r="AJ70" i="79"/>
  <c r="AJ69" i="79"/>
  <c r="AJ68" i="79"/>
  <c r="AJ67" i="79"/>
  <c r="AJ66" i="79"/>
  <c r="AJ65" i="79"/>
  <c r="AJ64" i="79"/>
  <c r="AJ63" i="79"/>
  <c r="AJ62" i="79"/>
  <c r="AJ61" i="79"/>
  <c r="AJ60" i="79"/>
  <c r="AJ59" i="79"/>
  <c r="AJ58" i="79"/>
  <c r="AJ57" i="79"/>
  <c r="AJ56" i="79"/>
  <c r="AJ55" i="79"/>
  <c r="AJ54" i="79"/>
  <c r="AJ53" i="79"/>
  <c r="AJ141" i="79"/>
  <c r="AI140" i="79"/>
  <c r="AI139" i="79"/>
  <c r="AI138" i="79"/>
  <c r="AI137" i="79"/>
  <c r="AI136" i="79"/>
  <c r="AI135" i="79"/>
  <c r="AI134" i="79"/>
  <c r="AI133" i="79"/>
  <c r="AI132" i="79"/>
  <c r="AI131" i="79"/>
  <c r="AI130" i="79"/>
  <c r="AI129" i="79"/>
  <c r="AI128" i="79"/>
  <c r="AI127" i="79"/>
  <c r="AI126" i="79"/>
  <c r="AI125" i="79"/>
  <c r="AI124" i="79"/>
  <c r="AI123" i="79"/>
  <c r="AI122" i="79"/>
  <c r="AI121" i="79"/>
  <c r="AI120" i="79"/>
  <c r="AI119" i="79"/>
  <c r="AI118" i="79"/>
  <c r="AI117" i="79"/>
  <c r="AI116" i="79"/>
  <c r="AI115" i="79"/>
  <c r="AI114" i="79"/>
  <c r="AI113" i="79"/>
  <c r="AI112" i="79"/>
  <c r="AI111" i="79"/>
  <c r="AI110" i="79"/>
  <c r="AI109" i="79"/>
  <c r="AI108" i="79"/>
  <c r="AI107" i="79"/>
  <c r="AI106" i="79"/>
  <c r="AI105" i="79"/>
  <c r="AI104" i="79"/>
  <c r="AI103" i="79"/>
  <c r="AI102" i="79"/>
  <c r="AI101" i="79"/>
  <c r="AI100" i="79"/>
  <c r="AI99" i="79"/>
  <c r="AI98" i="79"/>
  <c r="AI97" i="79"/>
  <c r="AI96" i="79"/>
  <c r="AI95" i="79"/>
  <c r="AI94" i="79"/>
  <c r="AI93" i="79"/>
  <c r="AI92" i="79"/>
  <c r="AI91" i="79"/>
  <c r="AI90" i="79"/>
  <c r="AI89" i="79"/>
  <c r="AI88" i="79"/>
  <c r="AI87" i="79"/>
  <c r="AI86" i="79"/>
  <c r="AI85" i="79"/>
  <c r="AI84" i="79"/>
  <c r="AJ144" i="79"/>
  <c r="AI141" i="79"/>
  <c r="AI82" i="79"/>
  <c r="AI72" i="79"/>
  <c r="AI71" i="79"/>
  <c r="AI70" i="79"/>
  <c r="AI69" i="79"/>
  <c r="AI68" i="79"/>
  <c r="AI67" i="79"/>
  <c r="AI66" i="79"/>
  <c r="AI65" i="79"/>
  <c r="AI64" i="79"/>
  <c r="AI63" i="79"/>
  <c r="AI62" i="79"/>
  <c r="AI61" i="79"/>
  <c r="AI60" i="79"/>
  <c r="AI59" i="79"/>
  <c r="AI58" i="79"/>
  <c r="AI57" i="79"/>
  <c r="AI56" i="79"/>
  <c r="AI55" i="79"/>
  <c r="AI54" i="79"/>
  <c r="AI53" i="79"/>
  <c r="AJ39" i="79"/>
  <c r="AI30" i="79"/>
  <c r="AI73" i="79"/>
  <c r="AJ52" i="79"/>
  <c r="AI39" i="79"/>
  <c r="AJ36" i="79"/>
  <c r="AJ32" i="79"/>
  <c r="AI26" i="79"/>
  <c r="AI24" i="79"/>
  <c r="AI80" i="79"/>
  <c r="AI74" i="79"/>
  <c r="AI52" i="79"/>
  <c r="AJ38" i="79"/>
  <c r="AI36" i="79"/>
  <c r="AJ35" i="79"/>
  <c r="AI32" i="79"/>
  <c r="AI29" i="79"/>
  <c r="AI22" i="79"/>
  <c r="AI18" i="79"/>
  <c r="AI83" i="79"/>
  <c r="AI75" i="79"/>
  <c r="AI38" i="79"/>
  <c r="AI35" i="79"/>
  <c r="AJ34" i="79"/>
  <c r="AI20" i="79"/>
  <c r="AI76" i="79"/>
  <c r="AI34" i="79"/>
  <c r="AW32" i="79"/>
  <c r="AJ31" i="79"/>
  <c r="AI81" i="79"/>
  <c r="AI77" i="79"/>
  <c r="AJ37" i="79"/>
  <c r="AI31" i="79"/>
  <c r="AI28" i="79"/>
  <c r="AI25" i="79"/>
  <c r="AI23" i="79"/>
  <c r="AJ17" i="79"/>
  <c r="AJ142" i="79"/>
  <c r="AI78" i="79"/>
  <c r="AJ51" i="79"/>
  <c r="AJ50" i="79"/>
  <c r="AJ49" i="79"/>
  <c r="AJ48" i="79"/>
  <c r="AJ47" i="79"/>
  <c r="AJ46" i="79"/>
  <c r="AJ45" i="79"/>
  <c r="AJ44" i="79"/>
  <c r="AJ43" i="79"/>
  <c r="AJ42" i="79"/>
  <c r="AJ41" i="79"/>
  <c r="AJ40" i="79"/>
  <c r="AI37" i="79"/>
  <c r="AJ33" i="79"/>
  <c r="AI27" i="79"/>
  <c r="AI19" i="79"/>
  <c r="AI17" i="79"/>
  <c r="AI79" i="79"/>
  <c r="AI51" i="79"/>
  <c r="AI50" i="79"/>
  <c r="AI49" i="79"/>
  <c r="AI48" i="79"/>
  <c r="AI47" i="79"/>
  <c r="AI46" i="79"/>
  <c r="AI45" i="79"/>
  <c r="AI44" i="79"/>
  <c r="AI43" i="79"/>
  <c r="AI42" i="79"/>
  <c r="AI41" i="79"/>
  <c r="AI40" i="79"/>
  <c r="AI33" i="79"/>
  <c r="AJ30" i="79"/>
  <c r="AI21" i="79"/>
  <c r="AJ20" i="79"/>
  <c r="AJ19" i="79"/>
  <c r="AJ23" i="79"/>
  <c r="AJ24" i="79"/>
  <c r="AJ25" i="79"/>
  <c r="AJ21" i="79"/>
  <c r="AJ18" i="79"/>
  <c r="AJ27" i="79"/>
  <c r="AJ26" i="79"/>
  <c r="AJ28" i="79"/>
  <c r="AJ22" i="79"/>
  <c r="AJ29" i="79"/>
  <c r="AA15" i="79"/>
  <c r="AI15" i="79" s="1"/>
  <c r="AQ15" i="79" s="1"/>
  <c r="AV22" i="79"/>
  <c r="BH36" i="82" l="1"/>
  <c r="BN36" i="82"/>
  <c r="AH37" i="82"/>
  <c r="BH35" i="82"/>
  <c r="BN35" i="82"/>
  <c r="AH38" i="82"/>
  <c r="BK35" i="83"/>
  <c r="J36" i="83"/>
  <c r="BN39" i="82"/>
  <c r="BH39" i="82"/>
  <c r="AH40" i="82"/>
  <c r="AW26" i="79"/>
  <c r="BJ17" i="79" s="1"/>
  <c r="BB17" i="79"/>
  <c r="BK14" i="79"/>
  <c r="BK12" i="79"/>
  <c r="BK13" i="79"/>
  <c r="BO13" i="79"/>
  <c r="BI12" i="79"/>
  <c r="BO14" i="79"/>
  <c r="BO12" i="79"/>
  <c r="AW25" i="79"/>
  <c r="Y15" i="79"/>
  <c r="R18" i="79"/>
  <c r="R17" i="79"/>
  <c r="BM13" i="79"/>
  <c r="BM14" i="79"/>
  <c r="BM12" i="79"/>
  <c r="BG12" i="79"/>
  <c r="AW23" i="79"/>
  <c r="AV33" i="79"/>
  <c r="AV32" i="79"/>
  <c r="AV31" i="79"/>
  <c r="AW28" i="79"/>
  <c r="BB22" i="79" s="1"/>
  <c r="AW24" i="79"/>
  <c r="BH12" i="79"/>
  <c r="BN13" i="79"/>
  <c r="BN14" i="79"/>
  <c r="BN12" i="79"/>
  <c r="J22" i="79"/>
  <c r="BK21" i="79"/>
  <c r="BH38" i="82" l="1"/>
  <c r="BN38" i="82"/>
  <c r="BH37" i="82"/>
  <c r="BN37" i="82"/>
  <c r="BN40" i="82"/>
  <c r="BH40" i="82"/>
  <c r="AH41" i="82"/>
  <c r="BK36" i="83"/>
  <c r="J37" i="83"/>
  <c r="BQ17" i="79" a="1"/>
  <c r="BQ17" i="79" s="1"/>
  <c r="BF17" i="79"/>
  <c r="BL17" i="79"/>
  <c r="BS18" i="79"/>
  <c r="BS20" i="79"/>
  <c r="BS21" i="79"/>
  <c r="BS17" i="79"/>
  <c r="BS19" i="79"/>
  <c r="BS22" i="79"/>
  <c r="BF18" i="79"/>
  <c r="BL18" i="79"/>
  <c r="AW20" i="79"/>
  <c r="BB19" i="79" s="1"/>
  <c r="AV23" i="79"/>
  <c r="AW21" i="79"/>
  <c r="AV24" i="79"/>
  <c r="AV25" i="79"/>
  <c r="R21" i="79"/>
  <c r="R20" i="79"/>
  <c r="R19" i="79"/>
  <c r="AG15" i="79"/>
  <c r="AO15" i="79" s="1"/>
  <c r="Z18" i="79"/>
  <c r="BK22" i="79"/>
  <c r="J23" i="79"/>
  <c r="J38" i="83" l="1"/>
  <c r="BK37" i="83"/>
  <c r="BN41" i="82"/>
  <c r="BH41" i="82"/>
  <c r="BP17" i="79" a="1"/>
  <c r="BP17" i="79" s="1"/>
  <c r="AX36" i="79"/>
  <c r="AW36" i="79"/>
  <c r="BB20" i="79"/>
  <c r="BB24" i="79"/>
  <c r="AP17" i="79"/>
  <c r="AW38" i="79"/>
  <c r="AX37" i="79"/>
  <c r="AW37" i="79"/>
  <c r="AX39" i="79"/>
  <c r="AW39" i="79"/>
  <c r="AX38" i="79"/>
  <c r="BL19" i="79"/>
  <c r="BF19" i="79"/>
  <c r="BF20" i="79"/>
  <c r="BL20" i="79"/>
  <c r="BL21" i="79"/>
  <c r="BF21" i="79"/>
  <c r="J24" i="79"/>
  <c r="BK23" i="79"/>
  <c r="BG18" i="79"/>
  <c r="BM18" i="79"/>
  <c r="Z19" i="79"/>
  <c r="R22" i="79"/>
  <c r="BK38" i="83" l="1"/>
  <c r="J39" i="83"/>
  <c r="BR18" i="79"/>
  <c r="BR17" i="79"/>
  <c r="BR21" i="79" a="1"/>
  <c r="BR21" i="79" s="1"/>
  <c r="BR19" i="79"/>
  <c r="BR22" i="79"/>
  <c r="BR20" i="79"/>
  <c r="BF22" i="79"/>
  <c r="BL22" i="79"/>
  <c r="BR26" i="79"/>
  <c r="BR29" i="79"/>
  <c r="BR25" i="79"/>
  <c r="BR23" i="79"/>
  <c r="BR28" i="79" a="1"/>
  <c r="BR28" i="79" s="1"/>
  <c r="BR27" i="79"/>
  <c r="BR24" i="79"/>
  <c r="BR36" i="79" a="1"/>
  <c r="BR36" i="79" s="1"/>
  <c r="BR32" i="79"/>
  <c r="BR35" i="79"/>
  <c r="BR31" i="79"/>
  <c r="BR37" i="79"/>
  <c r="BR34" i="79"/>
  <c r="BR33" i="79"/>
  <c r="BR30" i="79"/>
  <c r="BM19" i="79"/>
  <c r="BG19" i="79"/>
  <c r="BO17" i="79"/>
  <c r="BI17" i="79"/>
  <c r="J25" i="79"/>
  <c r="BK24" i="79"/>
  <c r="AP18" i="79"/>
  <c r="Z20" i="79"/>
  <c r="BK39" i="83" l="1"/>
  <c r="J40" i="83"/>
  <c r="BO18" i="79"/>
  <c r="BI18" i="79"/>
  <c r="AP19" i="79"/>
  <c r="AP20" i="79" s="1"/>
  <c r="BK25" i="79"/>
  <c r="J26" i="79"/>
  <c r="Z21" i="79"/>
  <c r="BG20" i="79"/>
  <c r="BM20" i="79"/>
  <c r="BK40" i="83" l="1"/>
  <c r="J41" i="83"/>
  <c r="BK41" i="83" s="1"/>
  <c r="BI20" i="79"/>
  <c r="BO20" i="79"/>
  <c r="BM21" i="79"/>
  <c r="BG21" i="79"/>
  <c r="J27" i="79"/>
  <c r="BK26" i="79"/>
  <c r="BI19" i="79"/>
  <c r="BO19" i="79"/>
  <c r="Z22" i="79"/>
  <c r="J28" i="79" l="1"/>
  <c r="BK27" i="79"/>
  <c r="BG22" i="79"/>
  <c r="BM22" i="79"/>
  <c r="Z23" i="79"/>
  <c r="BG23" i="79" l="1"/>
  <c r="BM23" i="79"/>
  <c r="Z24" i="79"/>
  <c r="BK28" i="79"/>
  <c r="J29" i="79"/>
  <c r="BK29" i="79" s="1"/>
  <c r="BM24" i="79" l="1"/>
  <c r="BG24" i="79"/>
  <c r="Z25" i="79"/>
  <c r="BG25" i="79" l="1"/>
  <c r="BM25" i="79"/>
  <c r="Z27" i="79"/>
  <c r="BM27" i="79" l="1"/>
  <c r="BG27" i="79"/>
  <c r="Z28" i="79"/>
  <c r="BM28" i="79" l="1"/>
  <c r="BG28" i="79"/>
  <c r="Z29" i="79"/>
  <c r="BG29" i="79" l="1"/>
  <c r="BM29" i="79"/>
  <c r="Z30" i="79"/>
  <c r="BM30" i="79" l="1"/>
  <c r="BG30" i="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tc={C6E89B1B-A80B-483F-BC83-E3FBA40C3FAF}</author>
    <author>tc={D9ADB9D9-DB63-4BDD-AB65-0CFCF44595B2}</author>
    <author>tc={1BF060A2-C6A2-4941-B63A-F3519B20D802}</author>
    <author>tc={13C15E1A-8850-4EF3-9B75-971780EE8A6E}</author>
    <author>tc={2D1C01DC-3197-43B6-84E2-BE45F2292871}</author>
  </authors>
  <commentList>
    <comment ref="J15" authorId="0" shapeId="0" xr:uid="{C6E89B1B-A80B-483F-BC83-E3FBA40C3F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D9ADB9D9-DB63-4BDD-AB65-0CFCF44595B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1BF060A2-C6A2-4941-B63A-F3519B20D80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13C15E1A-8850-4EF3-9B75-971780EE8A6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2D1C01DC-3197-43B6-84E2-BE45F22928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tc={53FD4AF0-26E1-453C-82B5-F122FCC17647}</author>
    <author>tc={0FDEDAB2-578A-4CE5-9AB0-EA7C4B3229B8}</author>
    <author>tc={E6B37C30-FC83-4D36-9716-DD92BE2FF329}</author>
    <author>tc={20AE3519-F01C-4818-B196-778675429CC8}</author>
    <author>tc={981043B6-F81D-4405-9DDB-872AEF866B43}</author>
  </authors>
  <commentList>
    <comment ref="J15" authorId="0" shapeId="0" xr:uid="{53FD4AF0-26E1-453C-82B5-F122FCC176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0FDEDAB2-578A-4CE5-9AB0-EA7C4B3229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E6B37C30-FC83-4D36-9716-DD92BE2FF3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20AE3519-F01C-4818-B196-778675429C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981043B6-F81D-4405-9DDB-872AEF866B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tc={9BDDD7F9-92B1-46F5-9320-AFC53109DD86}</author>
    <author>tc={69CF0D19-16CE-4935-86EB-EE9F0AE7FA35}</author>
    <author>tc={51ED3DF9-0A41-4517-B0C2-765D254B5934}</author>
    <author>tc={8276900F-4AA4-4D02-88CB-36DB88BEC603}</author>
    <author>tc={191861A8-7AD0-4065-9311-C0E5DB2BF03F}</author>
  </authors>
  <commentList>
    <comment ref="J15" authorId="0" shapeId="0" xr:uid="{9BDDD7F9-92B1-46F5-9320-AFC53109DD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69CF0D19-16CE-4935-86EB-EE9F0AE7FA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51ED3DF9-0A41-4517-B0C2-765D254B59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8276900F-4AA4-4D02-88CB-36DB88BEC60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191861A8-7AD0-4065-9311-C0E5DB2BF0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tc={040628AD-0E88-4A05-A155-A8F60C12F1E1}</author>
    <author>tc={A827237D-56B4-43DC-B471-D892DB36AB6B}</author>
    <author>tc={6B0FE850-D031-4BA3-AEBB-B4196843308F}</author>
    <author>tc={4F0C32B4-F6A3-4304-865E-B28D070770DB}</author>
    <author>tc={5BC5C644-51C7-4273-BA78-0A6F8578E165}</author>
  </authors>
  <commentList>
    <comment ref="J15" authorId="0" shapeId="0" xr:uid="{040628AD-0E88-4A05-A155-A8F60C12F1E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A827237D-56B4-43DC-B471-D892DB36AB6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6B0FE850-D031-4BA3-AEBB-B4196843308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4F0C32B4-F6A3-4304-865E-B28D070770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5BC5C644-51C7-4273-BA78-0A6F8578E1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<sst xmlns="http://schemas.openxmlformats.org/spreadsheetml/2006/main" count="1747" uniqueCount="502">
  <si>
    <t>Tool Version</t>
    <phoneticPr fontId="38"/>
  </si>
  <si>
    <t>Sheets/Macro</t>
    <phoneticPr fontId="38"/>
  </si>
  <si>
    <t>Change Logs</t>
    <phoneticPr fontId="38"/>
  </si>
  <si>
    <t>Y.M.D.</t>
    <phoneticPr fontId="38"/>
  </si>
  <si>
    <t>0.0.1</t>
    <phoneticPr fontId="18"/>
  </si>
  <si>
    <t>All</t>
    <phoneticPr fontId="18"/>
  </si>
  <si>
    <t>New</t>
    <phoneticPr fontId="18"/>
  </si>
  <si>
    <t>0.0.2</t>
  </si>
  <si>
    <t>ivdsh_cfg.c</t>
  </si>
  <si>
    <t>Add support for section specification in iVDsh</t>
    <phoneticPr fontId="18"/>
  </si>
  <si>
    <t>Readme1st :</t>
    <phoneticPr fontId="38"/>
  </si>
  <si>
    <t>・本ツールはiVDshのコンフィグコードを生成する機能を提供します</t>
    <rPh sb="1" eb="2">
      <t>ホン</t>
    </rPh>
    <rPh sb="21" eb="23">
      <t>セイセイ</t>
    </rPh>
    <rPh sb="25" eb="27">
      <t>キノウ</t>
    </rPh>
    <rPh sb="28" eb="30">
      <t>テイキョウ</t>
    </rPh>
    <phoneticPr fontId="18"/>
  </si>
  <si>
    <t>・コンフィグコードを生成するには、「ファイル出力先」の[Generate Code]ボタンを押下してください</t>
    <rPh sb="10" eb="12">
      <t>セイセイ</t>
    </rPh>
    <rPh sb="22" eb="24">
      <t>シュツリョク</t>
    </rPh>
    <rPh sb="24" eb="25">
      <t>サキ</t>
    </rPh>
    <rPh sb="46" eb="48">
      <t>オウカ</t>
    </rPh>
    <phoneticPr fontId="18"/>
  </si>
  <si>
    <t>Attention :</t>
    <phoneticPr fontId="38"/>
  </si>
  <si>
    <t>&lt;共通&gt;</t>
    <rPh sb="1" eb="3">
      <t>キョウツウ</t>
    </rPh>
    <phoneticPr fontId="18"/>
  </si>
  <si>
    <t>・本ツールを実行する際フォルダ・ファイルの作成を行う為、作業フォルダの権限をフルコントロール可能状態としてください。</t>
    <rPh sb="1" eb="2">
      <t>ホン</t>
    </rPh>
    <rPh sb="6" eb="8">
      <t>ジッコウ</t>
    </rPh>
    <rPh sb="10" eb="11">
      <t>サイ</t>
    </rPh>
    <rPh sb="21" eb="23">
      <t>サクセイ</t>
    </rPh>
    <rPh sb="24" eb="25">
      <t>オコナ</t>
    </rPh>
    <rPh sb="26" eb="27">
      <t>タメ</t>
    </rPh>
    <rPh sb="28" eb="30">
      <t>サギョウ</t>
    </rPh>
    <rPh sb="35" eb="37">
      <t>ケンゲン</t>
    </rPh>
    <rPh sb="46" eb="48">
      <t>カノウ</t>
    </rPh>
    <rPh sb="48" eb="50">
      <t>ジョウタイ</t>
    </rPh>
    <phoneticPr fontId="18"/>
  </si>
  <si>
    <t>・本ツールは次の環境で動作確認しています。</t>
    <rPh sb="1" eb="2">
      <t>ホン</t>
    </rPh>
    <rPh sb="6" eb="7">
      <t>ツギ</t>
    </rPh>
    <rPh sb="8" eb="10">
      <t>カンキョウ</t>
    </rPh>
    <rPh sb="11" eb="13">
      <t>ドウサ</t>
    </rPh>
    <rPh sb="13" eb="15">
      <t>カクニン</t>
    </rPh>
    <phoneticPr fontId="18"/>
  </si>
  <si>
    <t>環境</t>
    <rPh sb="0" eb="2">
      <t>カンキョウ</t>
    </rPh>
    <phoneticPr fontId="18"/>
  </si>
  <si>
    <t>ソフトウェア名称</t>
    <rPh sb="6" eb="8">
      <t>メイショウ</t>
    </rPh>
    <phoneticPr fontId="18"/>
  </si>
  <si>
    <t>バージョン</t>
    <phoneticPr fontId="18"/>
  </si>
  <si>
    <t>OS</t>
    <phoneticPr fontId="18"/>
  </si>
  <si>
    <t>Windows10 Enterprise 64bit</t>
    <phoneticPr fontId="18"/>
  </si>
  <si>
    <t>22H2</t>
    <phoneticPr fontId="18"/>
  </si>
  <si>
    <t>Excel</t>
    <phoneticPr fontId="18"/>
  </si>
  <si>
    <t>Excel 365 64bit</t>
    <phoneticPr fontId="18"/>
  </si>
  <si>
    <t>2408 ビルド</t>
    <phoneticPr fontId="18"/>
  </si>
  <si>
    <t>・非表示のシート、および、非表示のシートに定義済みの名前を削除・変更しないで下さい。コードを正常に生成できなくなります。</t>
    <rPh sb="1" eb="4">
      <t>ヒヒョウジ</t>
    </rPh>
    <rPh sb="13" eb="14">
      <t>ヒ</t>
    </rPh>
    <rPh sb="14" eb="16">
      <t>ヒョウジ</t>
    </rPh>
    <rPh sb="21" eb="23">
      <t>テイギ</t>
    </rPh>
    <rPh sb="23" eb="24">
      <t>ズ</t>
    </rPh>
    <rPh sb="26" eb="28">
      <t>ナマエ</t>
    </rPh>
    <rPh sb="29" eb="31">
      <t>サクジョ</t>
    </rPh>
    <rPh sb="46" eb="48">
      <t>セイジョウ</t>
    </rPh>
    <rPh sb="49" eb="51">
      <t>セイセイ</t>
    </rPh>
    <phoneticPr fontId="18"/>
  </si>
  <si>
    <t>&lt;コード生成&gt;</t>
    <rPh sb="4" eb="6">
      <t>セイセイ</t>
    </rPh>
    <phoneticPr fontId="18"/>
  </si>
  <si>
    <t>・コード生成は、「Inter-VM Data Table」と「ファイル出力先」シートの設定値より行います。</t>
    <rPh sb="4" eb="6">
      <t>セイセイ</t>
    </rPh>
    <rPh sb="43" eb="46">
      <t>セッテイチ</t>
    </rPh>
    <rPh sb="48" eb="49">
      <t>オコナ</t>
    </rPh>
    <phoneticPr fontId="18"/>
  </si>
  <si>
    <t>・出力先にファイルが存在していた場合、無条件で上書きします。</t>
    <rPh sb="1" eb="3">
      <t>シュツリョク</t>
    </rPh>
    <rPh sb="3" eb="4">
      <t>サキ</t>
    </rPh>
    <rPh sb="10" eb="12">
      <t>ソンザイ</t>
    </rPh>
    <rPh sb="16" eb="18">
      <t>バアイ</t>
    </rPh>
    <rPh sb="19" eb="22">
      <t>ムジョウケン</t>
    </rPh>
    <rPh sb="23" eb="25">
      <t>ウワガ</t>
    </rPh>
    <phoneticPr fontId="18"/>
  </si>
  <si>
    <t>・出力先フォルダが存在しない場合、フォルダを自動作成します。</t>
    <rPh sb="1" eb="3">
      <t>シュツリョク</t>
    </rPh>
    <rPh sb="3" eb="4">
      <t>サキ</t>
    </rPh>
    <rPh sb="9" eb="11">
      <t>ソンザイ</t>
    </rPh>
    <rPh sb="14" eb="16">
      <t>バアイ</t>
    </rPh>
    <rPh sb="22" eb="24">
      <t>ジドウ</t>
    </rPh>
    <rPh sb="24" eb="26">
      <t>サクセイ</t>
    </rPh>
    <phoneticPr fontId="18"/>
  </si>
  <si>
    <t>・「Inter-VM Data Table」の記載方法を下記します。</t>
    <rPh sb="23" eb="25">
      <t>キサイ</t>
    </rPh>
    <rPh sb="25" eb="27">
      <t>ホウホウ</t>
    </rPh>
    <rPh sb="28" eb="30">
      <t>カキ</t>
    </rPh>
    <phoneticPr fontId="18"/>
  </si>
  <si>
    <r>
      <t>Fileld description</t>
    </r>
    <r>
      <rPr>
        <sz val="11"/>
        <rFont val="HG丸ｺﾞｼｯｸM-PRO"/>
        <family val="3"/>
        <charset val="128"/>
      </rPr>
      <t>：</t>
    </r>
    <phoneticPr fontId="18"/>
  </si>
  <si>
    <t>VM間共有したいデータ単位で以下を記載する。</t>
    <rPh sb="2" eb="3">
      <t>カン</t>
    </rPh>
    <rPh sb="3" eb="5">
      <t>キョウユウ</t>
    </rPh>
    <rPh sb="11" eb="13">
      <t>タンイ</t>
    </rPh>
    <rPh sb="14" eb="16">
      <t>イカ</t>
    </rPh>
    <rPh sb="17" eb="19">
      <t>キサイ</t>
    </rPh>
    <phoneticPr fontId="18"/>
  </si>
  <si>
    <t>Field</t>
    <phoneticPr fontId="18"/>
  </si>
  <si>
    <t>Description</t>
    <phoneticPr fontId="18"/>
  </si>
  <si>
    <t>A列(ナンバリング列)</t>
    <rPh sb="1" eb="2">
      <t>レツ</t>
    </rPh>
    <rPh sb="9" eb="10">
      <t>レツ</t>
    </rPh>
    <phoneticPr fontId="18"/>
  </si>
  <si>
    <t>ユニークな数値を連番で入力する。</t>
    <rPh sb="5" eb="7">
      <t>スウチ</t>
    </rPh>
    <rPh sb="8" eb="10">
      <t>レンバン</t>
    </rPh>
    <rPh sb="11" eb="13">
      <t>ニュウリョク</t>
    </rPh>
    <phoneticPr fontId="18"/>
  </si>
  <si>
    <t>D列(ラベル列)が空白の場合、A列の連番をもとにDID名が生成される。</t>
    <rPh sb="1" eb="2">
      <t>レツ</t>
    </rPh>
    <rPh sb="6" eb="7">
      <t>レツ</t>
    </rPh>
    <rPh sb="9" eb="11">
      <t>クウハク</t>
    </rPh>
    <rPh sb="12" eb="14">
      <t>バアイ</t>
    </rPh>
    <rPh sb="16" eb="17">
      <t>レツ</t>
    </rPh>
    <rPh sb="18" eb="20">
      <t>レンバン</t>
    </rPh>
    <rPh sb="27" eb="28">
      <t>メイ</t>
    </rPh>
    <rPh sb="29" eb="31">
      <t>セイセイ</t>
    </rPh>
    <phoneticPr fontId="18"/>
  </si>
  <si>
    <t>DID名の生成ルール：</t>
    <rPh sb="3" eb="4">
      <t>メイ</t>
    </rPh>
    <rPh sb="5" eb="7">
      <t>セイセイ</t>
    </rPh>
    <phoneticPr fontId="18"/>
  </si>
  <si>
    <t>　Write DID：</t>
    <phoneticPr fontId="18"/>
  </si>
  <si>
    <t>IVDSH_DID_WRI_"CPREQ_[NNN]" ([NNN]にはA列の数値を0埋めした3桁の値が入る)</t>
    <rPh sb="37" eb="38">
      <t>レツ</t>
    </rPh>
    <rPh sb="39" eb="41">
      <t>スウチ</t>
    </rPh>
    <rPh sb="50" eb="51">
      <t>アタイ</t>
    </rPh>
    <rPh sb="52" eb="53">
      <t>ハイ</t>
    </rPh>
    <phoneticPr fontId="18"/>
  </si>
  <si>
    <t>　Read DID：</t>
    <phoneticPr fontId="18"/>
  </si>
  <si>
    <t>IVDSH_DID_REA_"CPREQ_[NNN]" ([NNN]にはA列の数値を0埋めした3桁の値が入る)</t>
    <rPh sb="37" eb="38">
      <t>レツ</t>
    </rPh>
    <rPh sb="39" eb="41">
      <t>スウチ</t>
    </rPh>
    <rPh sb="50" eb="51">
      <t>アタイ</t>
    </rPh>
    <rPh sb="52" eb="53">
      <t>ハイ</t>
    </rPh>
    <phoneticPr fontId="18"/>
  </si>
  <si>
    <t>　※D列(ラベル列)に値が記入されているときはD列からDID名が生成される</t>
    <rPh sb="11" eb="12">
      <t>アタイ</t>
    </rPh>
    <rPh sb="13" eb="15">
      <t>キニュウ</t>
    </rPh>
    <rPh sb="24" eb="25">
      <t>レツ</t>
    </rPh>
    <rPh sb="30" eb="31">
      <t>メイ</t>
    </rPh>
    <rPh sb="32" eb="34">
      <t>セイセイ</t>
    </rPh>
    <phoneticPr fontId="18"/>
  </si>
  <si>
    <t>D列(ラベル列)</t>
    <rPh sb="1" eb="2">
      <t>レツ</t>
    </rPh>
    <rPh sb="6" eb="7">
      <t>レツ</t>
    </rPh>
    <phoneticPr fontId="18"/>
  </si>
  <si>
    <t>VM間共有したいデータ名を記載する。この名前を元にDID名が生成される。</t>
    <rPh sb="2" eb="3">
      <t>カン</t>
    </rPh>
    <rPh sb="3" eb="5">
      <t>キョウユウ</t>
    </rPh>
    <rPh sb="11" eb="12">
      <t>メイ</t>
    </rPh>
    <rPh sb="13" eb="15">
      <t>キサイ</t>
    </rPh>
    <rPh sb="20" eb="22">
      <t>ナマエ</t>
    </rPh>
    <rPh sb="23" eb="24">
      <t>モト</t>
    </rPh>
    <rPh sb="28" eb="29">
      <t>メイ</t>
    </rPh>
    <rPh sb="30" eb="32">
      <t>セイセイ</t>
    </rPh>
    <phoneticPr fontId="18"/>
  </si>
  <si>
    <t>C言語で取り扱い可能な半角文字で17文字以内で記載すること</t>
    <rPh sb="1" eb="3">
      <t>ゲンゴ</t>
    </rPh>
    <rPh sb="4" eb="5">
      <t>ト</t>
    </rPh>
    <rPh sb="6" eb="7">
      <t>アツカ</t>
    </rPh>
    <rPh sb="8" eb="10">
      <t>カノウ</t>
    </rPh>
    <rPh sb="11" eb="13">
      <t>ハンカク</t>
    </rPh>
    <rPh sb="13" eb="15">
      <t>モジ</t>
    </rPh>
    <rPh sb="18" eb="20">
      <t>モジ</t>
    </rPh>
    <rPh sb="20" eb="22">
      <t>イナイ</t>
    </rPh>
    <rPh sb="23" eb="25">
      <t>キサイ</t>
    </rPh>
    <phoneticPr fontId="18"/>
  </si>
  <si>
    <t>IVDSH_DID_WRI_"ラベル"</t>
  </si>
  <si>
    <t>IVDSH_DID_REA_"ラベル"</t>
  </si>
  <si>
    <t>"VM#0"</t>
    <phoneticPr fontId="18"/>
  </si>
  <si>
    <t>データをPE0VM0で読み書きするかを記載する。"T"は1つだけ記載する。"R"は複数記載可能</t>
    <rPh sb="11" eb="12">
      <t>ヨ</t>
    </rPh>
    <rPh sb="13" eb="14">
      <t>カ</t>
    </rPh>
    <rPh sb="19" eb="21">
      <t>キサイ</t>
    </rPh>
    <phoneticPr fontId="18"/>
  </si>
  <si>
    <t>　"T"：PE0VM0から書込みする</t>
    <rPh sb="13" eb="15">
      <t>カキコ</t>
    </rPh>
    <phoneticPr fontId="18"/>
  </si>
  <si>
    <t>　"R"：PE0VM0から読み出しする</t>
    <rPh sb="13" eb="14">
      <t>ヨ</t>
    </rPh>
    <rPh sb="15" eb="16">
      <t>ダ</t>
    </rPh>
    <phoneticPr fontId="18"/>
  </si>
  <si>
    <t>"VM#1(MET)"</t>
    <phoneticPr fontId="18"/>
  </si>
  <si>
    <t>データをPE1VM1で読み書きするかを記載する。値の記入方法は"VM#0"と同じ</t>
    <rPh sb="11" eb="12">
      <t>ヨ</t>
    </rPh>
    <rPh sb="13" eb="14">
      <t>カ</t>
    </rPh>
    <rPh sb="19" eb="21">
      <t>キサイ</t>
    </rPh>
    <rPh sb="24" eb="25">
      <t>アタイ</t>
    </rPh>
    <rPh sb="26" eb="28">
      <t>キニュウ</t>
    </rPh>
    <rPh sb="28" eb="30">
      <t>ホウホウ</t>
    </rPh>
    <rPh sb="38" eb="39">
      <t>オナ</t>
    </rPh>
    <phoneticPr fontId="18"/>
  </si>
  <si>
    <t>"VM#2(IVI)"</t>
    <phoneticPr fontId="18"/>
  </si>
  <si>
    <t>データをPE2VM2で読み書きするかを記載する。値の記入方法は"VM#0"と同じ</t>
    <rPh sb="11" eb="12">
      <t>ヨ</t>
    </rPh>
    <rPh sb="13" eb="14">
      <t>カ</t>
    </rPh>
    <rPh sb="19" eb="21">
      <t>キサイ</t>
    </rPh>
    <phoneticPr fontId="18"/>
  </si>
  <si>
    <t>"VM#3(CEN)"</t>
    <phoneticPr fontId="18"/>
  </si>
  <si>
    <t>データをPE3VM3で読み書きするかを記載する。値の記入方法は"VM#0"と同じ</t>
    <rPh sb="11" eb="12">
      <t>ヨ</t>
    </rPh>
    <rPh sb="13" eb="14">
      <t>カ</t>
    </rPh>
    <rPh sb="19" eb="21">
      <t>キサイ</t>
    </rPh>
    <phoneticPr fontId="18"/>
  </si>
  <si>
    <t>※"VM#*"は「Inter-VM Data Table」シートのどの列に定義してもよいが、必ず上記名称で記載すること</t>
    <rPh sb="35" eb="36">
      <t>レツ</t>
    </rPh>
    <rPh sb="37" eb="39">
      <t>テイギ</t>
    </rPh>
    <rPh sb="46" eb="47">
      <t>カナラ</t>
    </rPh>
    <rPh sb="48" eb="50">
      <t>ジョウキ</t>
    </rPh>
    <rPh sb="50" eb="52">
      <t>メイショウ</t>
    </rPh>
    <rPh sb="53" eb="55">
      <t>キサイ</t>
    </rPh>
    <phoneticPr fontId="18"/>
  </si>
  <si>
    <t>I列(データ量[byte]列)</t>
    <rPh sb="1" eb="2">
      <t>レツ</t>
    </rPh>
    <rPh sb="13" eb="14">
      <t>レツ</t>
    </rPh>
    <phoneticPr fontId="18"/>
  </si>
  <si>
    <t>データのサイズをbyteで記載する。</t>
    <rPh sb="13" eb="15">
      <t>キサイ</t>
    </rPh>
    <phoneticPr fontId="18"/>
  </si>
  <si>
    <t>Wordアライメント（4bytes単位）で記載すること。</t>
    <rPh sb="17" eb="19">
      <t>タンイ</t>
    </rPh>
    <rPh sb="21" eb="23">
      <t>キサイ</t>
    </rPh>
    <phoneticPr fontId="18"/>
  </si>
  <si>
    <t>Wordアライメントで記載されていない場合、Wordアライメントに切り上げてコード生成される</t>
    <rPh sb="11" eb="13">
      <t>キサイ</t>
    </rPh>
    <rPh sb="19" eb="21">
      <t>バアイ</t>
    </rPh>
    <rPh sb="33" eb="34">
      <t>キ</t>
    </rPh>
    <rPh sb="35" eb="36">
      <t>ア</t>
    </rPh>
    <rPh sb="41" eb="43">
      <t>セイセイ</t>
    </rPh>
    <phoneticPr fontId="18"/>
  </si>
  <si>
    <t>（例）"1"が記載された場合、"4"に切り上げてコード生成される</t>
    <rPh sb="1" eb="2">
      <t>レイ</t>
    </rPh>
    <rPh sb="7" eb="9">
      <t>キサイ</t>
    </rPh>
    <rPh sb="12" eb="14">
      <t>バアイ</t>
    </rPh>
    <rPh sb="19" eb="20">
      <t>キ</t>
    </rPh>
    <rPh sb="21" eb="22">
      <t>ア</t>
    </rPh>
    <rPh sb="27" eb="29">
      <t>セイセイ</t>
    </rPh>
    <phoneticPr fontId="18"/>
  </si>
  <si>
    <t>上記以外の列はコード生成に影響しません。</t>
    <rPh sb="0" eb="2">
      <t>ジョウキ</t>
    </rPh>
    <rPh sb="2" eb="4">
      <t>イガイ</t>
    </rPh>
    <rPh sb="5" eb="6">
      <t>レツ</t>
    </rPh>
    <rPh sb="10" eb="12">
      <t>セイセイ</t>
    </rPh>
    <rPh sb="13" eb="15">
      <t>エイキョウ</t>
    </rPh>
    <phoneticPr fontId="18"/>
  </si>
  <si>
    <t>記載内容に関わらず、次のVCC動作となることに留意ください。</t>
    <rPh sb="0" eb="2">
      <t>キサイ</t>
    </rPh>
    <rPh sb="2" eb="4">
      <t>ナイヨウ</t>
    </rPh>
    <rPh sb="5" eb="6">
      <t>カカ</t>
    </rPh>
    <rPh sb="10" eb="11">
      <t>ツギ</t>
    </rPh>
    <rPh sb="15" eb="17">
      <t>ドウサ</t>
    </rPh>
    <rPh sb="23" eb="25">
      <t>リュウイ</t>
    </rPh>
    <phoneticPr fontId="18"/>
  </si>
  <si>
    <t>データ更新周期</t>
    <rPh sb="3" eb="5">
      <t>コウシン</t>
    </rPh>
    <rPh sb="5" eb="7">
      <t>シュウキ</t>
    </rPh>
    <phoneticPr fontId="18"/>
  </si>
  <si>
    <t>："5"[ms]固定（iVDshのMainTask周期）</t>
    <rPh sb="25" eb="27">
      <t>シュウキ</t>
    </rPh>
    <phoneticPr fontId="18"/>
  </si>
  <si>
    <t>上書き禁止/許可</t>
    <rPh sb="0" eb="2">
      <t>ウワガ</t>
    </rPh>
    <rPh sb="3" eb="5">
      <t>キンシ</t>
    </rPh>
    <rPh sb="6" eb="8">
      <t>キョカ</t>
    </rPh>
    <phoneticPr fontId="18"/>
  </si>
  <si>
    <t>："許可"固定</t>
    <phoneticPr fontId="18"/>
  </si>
  <si>
    <t>Wake要否</t>
    <rPh sb="4" eb="6">
      <t>ヨウヒ</t>
    </rPh>
    <phoneticPr fontId="18"/>
  </si>
  <si>
    <t>："否"固定</t>
    <phoneticPr fontId="18"/>
  </si>
  <si>
    <t>リングバッファ段数</t>
    <rPh sb="7" eb="9">
      <t>ダンスウ</t>
    </rPh>
    <phoneticPr fontId="18"/>
  </si>
  <si>
    <t>："2"固定</t>
    <phoneticPr fontId="18"/>
  </si>
  <si>
    <t>割込み</t>
    <rPh sb="0" eb="2">
      <t>ワリコ</t>
    </rPh>
    <phoneticPr fontId="18"/>
  </si>
  <si>
    <t>："未使用"固定</t>
    <rPh sb="6" eb="8">
      <t>コテイ</t>
    </rPh>
    <phoneticPr fontId="18"/>
  </si>
  <si>
    <t>上記以外でVCC通信・VM間データ共有したい場合は、</t>
    <rPh sb="0" eb="2">
      <t>ジョウキ</t>
    </rPh>
    <rPh sb="2" eb="4">
      <t>イガイ</t>
    </rPh>
    <rPh sb="8" eb="10">
      <t>ツウシン</t>
    </rPh>
    <rPh sb="13" eb="14">
      <t>カン</t>
    </rPh>
    <rPh sb="17" eb="19">
      <t>キョウユウ</t>
    </rPh>
    <rPh sb="22" eb="24">
      <t>バアイ</t>
    </rPh>
    <phoneticPr fontId="18"/>
  </si>
  <si>
    <t>Aubist LWH/VCCコンフィギュレーションが必要となりますので電子PFソ技へご依頼ください。</t>
    <phoneticPr fontId="18"/>
  </si>
  <si>
    <t>・「ファイル出力先」の記載方法を下記します。</t>
    <rPh sb="11" eb="13">
      <t>キサイ</t>
    </rPh>
    <rPh sb="13" eb="15">
      <t>ホウホウ</t>
    </rPh>
    <rPh sb="16" eb="18">
      <t>カキ</t>
    </rPh>
    <phoneticPr fontId="18"/>
  </si>
  <si>
    <t>A列(名前参照シート列)</t>
    <rPh sb="1" eb="2">
      <t>レツ</t>
    </rPh>
    <rPh sb="10" eb="11">
      <t>レツ</t>
    </rPh>
    <phoneticPr fontId="18"/>
  </si>
  <si>
    <t>変更禁止</t>
    <rPh sb="0" eb="2">
      <t>ヘンコウ</t>
    </rPh>
    <rPh sb="2" eb="4">
      <t>キンシ</t>
    </rPh>
    <phoneticPr fontId="18"/>
  </si>
  <si>
    <t>B列(雛形シート列)</t>
    <rPh sb="1" eb="2">
      <t>レツ</t>
    </rPh>
    <rPh sb="8" eb="9">
      <t>レツ</t>
    </rPh>
    <phoneticPr fontId="18"/>
  </si>
  <si>
    <t>C列(ファイル出力先列)</t>
    <rPh sb="1" eb="2">
      <t>レツ</t>
    </rPh>
    <rPh sb="10" eb="11">
      <t>レツ</t>
    </rPh>
    <phoneticPr fontId="18"/>
  </si>
  <si>
    <t>本ブックからの相対パスでiVDshコンフィグコードの出力先を記載する。</t>
    <rPh sb="0" eb="1">
      <t>ホン</t>
    </rPh>
    <rPh sb="7" eb="9">
      <t>ソウタイ</t>
    </rPh>
    <rPh sb="26" eb="28">
      <t>シュツリョク</t>
    </rPh>
    <rPh sb="28" eb="29">
      <t>サキ</t>
    </rPh>
    <rPh sb="30" eb="32">
      <t>キサイ</t>
    </rPh>
    <phoneticPr fontId="18"/>
  </si>
  <si>
    <t>ファイル名は"B列(雛形シート列)"の名前と一致させること</t>
    <rPh sb="4" eb="5">
      <t>メイ</t>
    </rPh>
    <rPh sb="8" eb="9">
      <t>レツ</t>
    </rPh>
    <rPh sb="10" eb="12">
      <t>ヒナガタ</t>
    </rPh>
    <rPh sb="15" eb="16">
      <t>レツ</t>
    </rPh>
    <rPh sb="19" eb="21">
      <t>ナマエ</t>
    </rPh>
    <rPh sb="22" eb="24">
      <t>イッチ</t>
    </rPh>
    <phoneticPr fontId="18"/>
  </si>
  <si>
    <t>A列：</t>
    <rPh sb="1" eb="2">
      <t>レツ</t>
    </rPh>
    <phoneticPr fontId="18"/>
  </si>
  <si>
    <t>　"VM#0"：PE0VM0の出力先を表す</t>
    <rPh sb="19" eb="20">
      <t>アラワ</t>
    </rPh>
    <phoneticPr fontId="18"/>
  </si>
  <si>
    <t>　"VM#1"：PE1VM1の出力先を表す</t>
  </si>
  <si>
    <t>　"VM#2"：PE2VM2の出力先を表す</t>
  </si>
  <si>
    <t>　"VM#3"：PE3VM3の出力先を表す</t>
  </si>
  <si>
    <t>B列：</t>
    <rPh sb="1" eb="2">
      <t>レツ</t>
    </rPh>
    <phoneticPr fontId="18"/>
  </si>
  <si>
    <t>　"ivdsh_cfg.c"：ivdsh_cfg.cファイルの出力先を表す</t>
    <phoneticPr fontId="18"/>
  </si>
  <si>
    <t>　"ivdsh_did.h"：ivdsh_did.hファイルの出力先を表す。同じVMのivdsh_cfg.cと同じフォルダに配置すること</t>
    <rPh sb="38" eb="39">
      <t>オナ</t>
    </rPh>
    <rPh sb="55" eb="56">
      <t>オナ</t>
    </rPh>
    <rPh sb="62" eb="64">
      <t>ハイチ</t>
    </rPh>
    <phoneticPr fontId="18"/>
  </si>
  <si>
    <t>&lt;特記事項&gt;</t>
    <rPh sb="1" eb="5">
      <t>トッキジコウ</t>
    </rPh>
    <phoneticPr fontId="18"/>
  </si>
  <si>
    <t>'25/6/5時点のVM間通信仕様に対して正常にコード生成できることのみ確認しています。</t>
    <rPh sb="7" eb="9">
      <t>ジテン</t>
    </rPh>
    <rPh sb="12" eb="13">
      <t>カン</t>
    </rPh>
    <rPh sb="13" eb="15">
      <t>ツウシン</t>
    </rPh>
    <rPh sb="15" eb="17">
      <t>シヨウ</t>
    </rPh>
    <rPh sb="18" eb="19">
      <t>タイ</t>
    </rPh>
    <rPh sb="21" eb="23">
      <t>セイジョウ</t>
    </rPh>
    <rPh sb="27" eb="29">
      <t>セイセイ</t>
    </rPh>
    <rPh sb="36" eb="38">
      <t>カクニン</t>
    </rPh>
    <phoneticPr fontId="18"/>
  </si>
  <si>
    <t>コード生成後、必ずDiffを取って生成コードが正しいことを確認してから使用するようにお願いします。</t>
    <rPh sb="3" eb="5">
      <t>セイセイ</t>
    </rPh>
    <rPh sb="5" eb="6">
      <t>ゴ</t>
    </rPh>
    <rPh sb="7" eb="8">
      <t>カナラ</t>
    </rPh>
    <rPh sb="14" eb="15">
      <t>ト</t>
    </rPh>
    <rPh sb="17" eb="19">
      <t>セイセイ</t>
    </rPh>
    <rPh sb="23" eb="24">
      <t>タダ</t>
    </rPh>
    <rPh sb="29" eb="31">
      <t>カクニン</t>
    </rPh>
    <rPh sb="35" eb="37">
      <t>シヨウ</t>
    </rPh>
    <rPh sb="43" eb="44">
      <t>ネガ</t>
    </rPh>
    <phoneticPr fontId="18"/>
  </si>
  <si>
    <t>VM間通信仕様：</t>
    <rPh sb="2" eb="3">
      <t>カン</t>
    </rPh>
    <rPh sb="3" eb="5">
      <t>ツウシン</t>
    </rPh>
    <rPh sb="5" eb="7">
      <t>シヨウ</t>
    </rPh>
    <phoneticPr fontId="18"/>
  </si>
  <si>
    <t>https://wiki.geniie.net/x/Wcq5pQ</t>
    <phoneticPr fontId="18"/>
  </si>
  <si>
    <t>カテゴリ</t>
  </si>
  <si>
    <t>データ</t>
  </si>
  <si>
    <t>ラベル</t>
    <phoneticPr fontId="18"/>
  </si>
  <si>
    <t>VM#0</t>
  </si>
  <si>
    <t>VM#1(MET)</t>
    <phoneticPr fontId="18"/>
  </si>
  <si>
    <t>VM#2(IVI)</t>
    <phoneticPr fontId="18"/>
  </si>
  <si>
    <t>VM#3(CEN)</t>
  </si>
  <si>
    <t>データ量[byte]</t>
  </si>
  <si>
    <t>データ更新周期[ms]</t>
  </si>
  <si>
    <t>遅延許容時間[ms]</t>
  </si>
  <si>
    <t>上書き禁止/許可</t>
  </si>
  <si>
    <t>Wake要否</t>
  </si>
  <si>
    <t>リングバッファ段数</t>
  </si>
  <si>
    <t>記載日</t>
  </si>
  <si>
    <t>BSW提供希望日</t>
  </si>
  <si>
    <t>電源制御</t>
  </si>
  <si>
    <t>スタンバイ条件成立有無</t>
  </si>
  <si>
    <t>-</t>
  </si>
  <si>
    <t>T</t>
  </si>
  <si>
    <t>R</t>
  </si>
  <si>
    <t>5ms</t>
  </si>
  <si>
    <t>許可</t>
  </si>
  <si>
    <t>否</t>
  </si>
  <si>
    <t>2025/03/31 
プレCV向け</t>
  </si>
  <si>
    <t>時計制御</t>
  </si>
  <si>
    <t>オフセット時間
※不揮発性メモリ保持必要</t>
  </si>
  <si>
    <t>20ms</t>
  </si>
  <si>
    <t>2025/02/27 
確認中項目を更新
2025/04/09</t>
  </si>
  <si>
    <t>2025/04/25 
PreCV向け</t>
  </si>
  <si>
    <t>SiP異常通知</t>
  </si>
  <si>
    <t>OTAアクティベート状態
によるSiP電源OFF通知</t>
  </si>
  <si>
    <t>2025/04/25 
PreCV向け？</t>
  </si>
  <si>
    <t>24H/12H切替
※不揮発性メモリ保持必要</t>
  </si>
  <si>
    <t>2025/04/25
PreCV向け</t>
  </si>
  <si>
    <t>カレンダ(年月日)
※不揮発性メモリ保持必要</t>
  </si>
  <si>
    <t>デフォルト年月日</t>
  </si>
  <si>
    <t>下限年</t>
  </si>
  <si>
    <t>SPI通信監視</t>
  </si>
  <si>
    <t>途絶結果</t>
  </si>
  <si>
    <t>2025/06/06
PreCV向け</t>
  </si>
  <si>
    <t>映像/カメラ制御</t>
  </si>
  <si>
    <t>2025/06/13 
PreCV向け</t>
  </si>
  <si>
    <t>CAN制御</t>
  </si>
  <si>
    <t>レジスタ固着状態
CAN通信異常ステータス(G2M-1用)</t>
  </si>
  <si>
    <t>2025/05/21
2025/05/29 
データの持たせ方を変更</t>
  </si>
  <si>
    <t>2025/06/27 
PreCV向け</t>
  </si>
  <si>
    <t>レジスタ固着状態
CAN通信異常ステータス(G5M用)</t>
  </si>
  <si>
    <t>レジスタ固着状態
CAN通信異常ステータス(G2M-2用)</t>
  </si>
  <si>
    <t>レジスタ固着状態
CAN通信異常ステータス(LCAN用)</t>
  </si>
  <si>
    <t>SW操作信号</t>
  </si>
  <si>
    <t>地点登録/削除画面　操作情報</t>
  </si>
  <si>
    <t>VM1TO2_FLYNOP</t>
  </si>
  <si>
    <t>2025/06/27 
シス検#2向け
※車高制御SW機能でシス検#2のクライテリア機能のためシス検#2に織り込みたい。</t>
  </si>
  <si>
    <t>完全初期化要求</t>
  </si>
  <si>
    <t>強制スリープ条件成立有無</t>
  </si>
  <si>
    <t>2025/06/27 
※検討中のため変更となる可能性があります</t>
  </si>
  <si>
    <t>電源制御起動/スタンバイ開始通知</t>
  </si>
  <si>
    <t>STRモード</t>
  </si>
  <si>
    <t>2025/07/25 
※検討中のため変更となる可能性があります</t>
  </si>
  <si>
    <t>動作ステータス通知</t>
  </si>
  <si>
    <t>2025/07/21 </t>
  </si>
  <si>
    <t>IvDshのConfigにて対応想定</t>
  </si>
  <si>
    <t>SoC起動回数カウンタ</t>
  </si>
  <si>
    <t>Soc起動回数カウンタ更新時間</t>
  </si>
  <si>
    <t>GPS</t>
  </si>
  <si>
    <t>GPSモジュール状態</t>
  </si>
  <si>
    <t>GPS_STS</t>
  </si>
  <si>
    <t>2025/07/30 </t>
  </si>
  <si>
    <t>GPS動作要求</t>
  </si>
  <si>
    <t>GPS_REQ</t>
  </si>
  <si>
    <t>名前参照シート</t>
    <rPh sb="0" eb="2">
      <t>ナマエ</t>
    </rPh>
    <rPh sb="2" eb="4">
      <t>サンショウ</t>
    </rPh>
    <phoneticPr fontId="18"/>
  </si>
  <si>
    <t>雛形シート</t>
    <rPh sb="0" eb="2">
      <t>ヒナガタ</t>
    </rPh>
    <phoneticPr fontId="18"/>
  </si>
  <si>
    <t>ファイル出力先</t>
    <rPh sb="4" eb="6">
      <t>シュツリョク</t>
    </rPh>
    <rPh sb="6" eb="7">
      <t>サキ</t>
    </rPh>
    <phoneticPr fontId="18"/>
  </si>
  <si>
    <t>VM#0</t>
    <phoneticPr fontId="18"/>
  </si>
  <si>
    <t>ivdsh_cfg.c</t>
    <phoneticPr fontId="18"/>
  </si>
  <si>
    <t>src\PE0VM0\BSW\Communication\iVDsh\config\ivdsh_cfg.c</t>
    <phoneticPr fontId="18"/>
  </si>
  <si>
    <t>ivdsh_did.h</t>
    <phoneticPr fontId="18"/>
  </si>
  <si>
    <t>src\PE0VM0\BSW\Communication\iVDsh\config\ivdsh_did.h</t>
    <phoneticPr fontId="18"/>
  </si>
  <si>
    <t>VM#1</t>
  </si>
  <si>
    <t>src\PE1VM1\BSW\Communication\iVDsh\config\ivdsh_cfg.c</t>
    <phoneticPr fontId="18"/>
  </si>
  <si>
    <t>src\PE1VM1\BSW\Communication\iVDsh\config\ivdsh_did.h</t>
    <phoneticPr fontId="18"/>
  </si>
  <si>
    <t>VM#2</t>
  </si>
  <si>
    <t>src\PE2VM2\BSW\Communication\iVDsh\config\ivdsh_cfg.c</t>
    <phoneticPr fontId="18"/>
  </si>
  <si>
    <t>src\PE2VM2\BSW\Communication\iVDsh\config\ivdsh_did.h</t>
    <phoneticPr fontId="18"/>
  </si>
  <si>
    <t>VM#3</t>
  </si>
  <si>
    <t>src\PE3VM3\BSW\Communication\iVDsh\config\ivdsh_cfg.c</t>
  </si>
  <si>
    <t>src\PE3VM3\BSW\Communication\iVDsh\config\ivdsh_did.h</t>
  </si>
  <si>
    <t>「Inter-VM Data Table」シートはConflueceページ"RH850/U2A 要件 ... Cockpit - VM間通信"の表からExportして作成が可能です。</t>
    <rPh sb="72" eb="73">
      <t>ヒョウ</t>
    </rPh>
    <rPh sb="83" eb="85">
      <t>サクセイ</t>
    </rPh>
    <rPh sb="86" eb="88">
      <t>カノウ</t>
    </rPh>
    <phoneticPr fontId="18"/>
  </si>
  <si>
    <t>以下にExport手順を下記します。</t>
    <rPh sb="0" eb="2">
      <t>イカ</t>
    </rPh>
    <rPh sb="9" eb="11">
      <t>テジュン</t>
    </rPh>
    <rPh sb="12" eb="14">
      <t>カキ</t>
    </rPh>
    <phoneticPr fontId="18"/>
  </si>
  <si>
    <t>Confluceページ：</t>
    <phoneticPr fontId="18"/>
  </si>
  <si>
    <t>※Confuenceページバージョン="V.55"の表フォーマットであることが前提</t>
    <rPh sb="26" eb="27">
      <t>ヒョウ</t>
    </rPh>
    <rPh sb="39" eb="41">
      <t>ゼンテイ</t>
    </rPh>
    <phoneticPr fontId="18"/>
  </si>
  <si>
    <t>&lt;Export手順&gt;</t>
    <rPh sb="7" eb="9">
      <t>テジュン</t>
    </rPh>
    <phoneticPr fontId="18"/>
  </si>
  <si>
    <t>#1. 表の右上・欄外にマウスカーソルを移動し、　　　　　　をクリック</t>
    <rPh sb="4" eb="5">
      <t>ヒョウ</t>
    </rPh>
    <rPh sb="6" eb="8">
      <t>ミギウエ</t>
    </rPh>
    <rPh sb="9" eb="11">
      <t>ランガイ</t>
    </rPh>
    <rPh sb="20" eb="22">
      <t>イドウ</t>
    </rPh>
    <phoneticPr fontId="18"/>
  </si>
  <si>
    <t>#2. "Export to CSV"をクリック</t>
    <phoneticPr fontId="18"/>
  </si>
  <si>
    <t>#3. Exportオプションはデフォルトとする</t>
    <phoneticPr fontId="18"/>
  </si>
  <si>
    <t>#4. 旧データとの混在を避けるために「Inter-VM Data Table」シートの値は全て消す</t>
    <rPh sb="4" eb="5">
      <t>キュウ</t>
    </rPh>
    <rPh sb="10" eb="12">
      <t>コンザイ</t>
    </rPh>
    <rPh sb="13" eb="14">
      <t>サ</t>
    </rPh>
    <rPh sb="44" eb="45">
      <t>アタイ</t>
    </rPh>
    <rPh sb="46" eb="47">
      <t>スベ</t>
    </rPh>
    <rPh sb="48" eb="49">
      <t>ケ</t>
    </rPh>
    <phoneticPr fontId="18"/>
  </si>
  <si>
    <t>#5. ExcelでExport結果のCSVファイルを開き、"Ctrl"＋"A"＋"C"で全セルコピーする</t>
    <rPh sb="45" eb="46">
      <t>ゼン</t>
    </rPh>
    <phoneticPr fontId="18"/>
  </si>
  <si>
    <t>#6. 「Inter-VM Data Table」シートに、[形式を選択して貼り付け]→[値(V)]で値のみ貼り付ける</t>
    <rPh sb="31" eb="33">
      <t>ケイシキ</t>
    </rPh>
    <rPh sb="34" eb="36">
      <t>センタク</t>
    </rPh>
    <rPh sb="38" eb="39">
      <t>ハ</t>
    </rPh>
    <rPh sb="40" eb="41">
      <t>ツ</t>
    </rPh>
    <rPh sb="45" eb="46">
      <t>アタイ</t>
    </rPh>
    <rPh sb="51" eb="52">
      <t>アタイ</t>
    </rPh>
    <rPh sb="54" eb="55">
      <t>ハ</t>
    </rPh>
    <rPh sb="56" eb="57">
      <t>ツ</t>
    </rPh>
    <phoneticPr fontId="18"/>
  </si>
  <si>
    <t>※Confluenceの表でグレーアウトされた値もコピーされるので、</t>
    <rPh sb="12" eb="13">
      <t>ヒョウ</t>
    </rPh>
    <rPh sb="23" eb="24">
      <t>アタイ</t>
    </rPh>
    <phoneticPr fontId="18"/>
  </si>
  <si>
    <t>　不要なデータ行は、CSVファイル、または、「Inter-VM Data Table」シートへの貼り付け後に削除してください</t>
    <rPh sb="7" eb="8">
      <t>ギョウ</t>
    </rPh>
    <phoneticPr fontId="18"/>
  </si>
  <si>
    <t>[＋]名前算出用の中間データ</t>
    <rPh sb="3" eb="5">
      <t>ナマエ</t>
    </rPh>
    <rPh sb="5" eb="7">
      <t>サンシュツ</t>
    </rPh>
    <rPh sb="7" eb="8">
      <t>ヨウ</t>
    </rPh>
    <rPh sb="9" eb="11">
      <t>チュウカン</t>
    </rPh>
    <phoneticPr fontId="18"/>
  </si>
  <si>
    <t>IVDSH_DID_WRI_</t>
    <phoneticPr fontId="18"/>
  </si>
  <si>
    <t>IVDSH_DID_REA_</t>
    <phoneticPr fontId="18"/>
  </si>
  <si>
    <t>0. VM間差異を吸収するためのパラメータ定義</t>
    <rPh sb="5" eb="6">
      <t>カン</t>
    </rPh>
    <rPh sb="6" eb="8">
      <t>サイ</t>
    </rPh>
    <rPh sb="9" eb="11">
      <t>キュウシュウ</t>
    </rPh>
    <rPh sb="21" eb="23">
      <t>テイギ</t>
    </rPh>
    <phoneticPr fontId="18"/>
  </si>
  <si>
    <t>1-1. WRI用中間データ生成</t>
    <rPh sb="8" eb="9">
      <t>ヨウ</t>
    </rPh>
    <rPh sb="9" eb="11">
      <t>チュウカン</t>
    </rPh>
    <rPh sb="14" eb="16">
      <t>セイセイ</t>
    </rPh>
    <phoneticPr fontId="18"/>
  </si>
  <si>
    <t>1-2. REA用中間データ生成</t>
    <rPh sb="8" eb="9">
      <t>ヨウ</t>
    </rPh>
    <rPh sb="9" eb="11">
      <t>チュウカン</t>
    </rPh>
    <rPh sb="14" eb="16">
      <t>セイセイ</t>
    </rPh>
    <phoneticPr fontId="18"/>
  </si>
  <si>
    <t>1-3. REA用データの集計</t>
    <rPh sb="8" eb="9">
      <t>ヨウ</t>
    </rPh>
    <rPh sb="13" eb="15">
      <t>シュウケイ</t>
    </rPh>
    <phoneticPr fontId="18"/>
  </si>
  <si>
    <t>2. コード雛形から参照される名前データ生成</t>
    <rPh sb="6" eb="8">
      <t>ヒナガタ</t>
    </rPh>
    <rPh sb="10" eb="12">
      <t>サンショウ</t>
    </rPh>
    <rPh sb="15" eb="17">
      <t>ナマエ</t>
    </rPh>
    <rPh sb="20" eb="22">
      <t>セイセイ</t>
    </rPh>
    <phoneticPr fontId="18"/>
  </si>
  <si>
    <t>「export」シート表記上のVM名称</t>
    <rPh sb="11" eb="13">
      <t>ヒョウキ</t>
    </rPh>
    <rPh sb="13" eb="14">
      <t>ジョウ</t>
    </rPh>
    <rPh sb="17" eb="19">
      <t>メイショウ</t>
    </rPh>
    <phoneticPr fontId="18"/>
  </si>
  <si>
    <t>1-2-1. データの抽出・一次加工</t>
    <rPh sb="11" eb="13">
      <t>チュウシュツ</t>
    </rPh>
    <rPh sb="16" eb="18">
      <t>カコウ</t>
    </rPh>
    <phoneticPr fontId="18"/>
  </si>
  <si>
    <t>2-1. 単一値の名前データ</t>
    <rPh sb="5" eb="7">
      <t>タンイツ</t>
    </rPh>
    <rPh sb="7" eb="8">
      <t>チ</t>
    </rPh>
    <rPh sb="9" eb="11">
      <t>ナマエ</t>
    </rPh>
    <phoneticPr fontId="18"/>
  </si>
  <si>
    <t>2-2. 配列の名前データ（空行は置き換え時に削除される）</t>
    <rPh sb="5" eb="7">
      <t>ハイレツ</t>
    </rPh>
    <rPh sb="8" eb="10">
      <t>ナマエ</t>
    </rPh>
    <rPh sb="14" eb="16">
      <t>クウギョウ</t>
    </rPh>
    <rPh sb="17" eb="18">
      <t>オ</t>
    </rPh>
    <rPh sb="19" eb="20">
      <t>カ</t>
    </rPh>
    <rPh sb="21" eb="22">
      <t>ジ</t>
    </rPh>
    <rPh sb="23" eb="25">
      <t>サクジョ</t>
    </rPh>
    <phoneticPr fontId="18"/>
  </si>
  <si>
    <t>VCCIDのインクルードヘッダ</t>
    <phoneticPr fontId="18"/>
  </si>
  <si>
    <t>"ehvm_cfg_pe0_vm0.h"</t>
  </si>
  <si>
    <t>送信VCCID</t>
    <rPh sb="0" eb="2">
      <t>ソウシン</t>
    </rPh>
    <phoneticPr fontId="18"/>
  </si>
  <si>
    <t>EHVM_TX_VCCID_VCC_SHARED_TX_VM0</t>
  </si>
  <si>
    <t>受信VCCID(VM#0)</t>
    <rPh sb="0" eb="2">
      <t>ジュシン</t>
    </rPh>
    <phoneticPr fontId="18"/>
  </si>
  <si>
    <t>EHVM_RX_VCCID_VCC_SHARED_TX_VM0</t>
  </si>
  <si>
    <t>受信VCCID(VM#1)</t>
    <rPh sb="0" eb="2">
      <t>ジュシン</t>
    </rPh>
    <phoneticPr fontId="18"/>
  </si>
  <si>
    <t>EHVM_RX_VCCID_VCC_SHARED_TX_VM1</t>
  </si>
  <si>
    <t>受信VCCID(VM#2)</t>
    <rPh sb="0" eb="2">
      <t>ジュシン</t>
    </rPh>
    <phoneticPr fontId="18"/>
  </si>
  <si>
    <t>EHVM_RX_VCCID_VCC_SHARED_TX_VM2</t>
  </si>
  <si>
    <t>受信VCCID(VM#3)</t>
    <rPh sb="0" eb="2">
      <t>ジュシン</t>
    </rPh>
    <phoneticPr fontId="18"/>
  </si>
  <si>
    <t>EHVM_RX_VCCID_VCC_SHARED_TX_VM3</t>
  </si>
  <si>
    <t>↓必ず1行データになるがWri Ch.が存在しないときはラベル自体を削除したいのでARRAYNAMEとして定義する</t>
    <rPh sb="1" eb="2">
      <t>カナラ</t>
    </rPh>
    <rPh sb="4" eb="5">
      <t>ギョウ</t>
    </rPh>
    <rPh sb="20" eb="22">
      <t>ソンザイ</t>
    </rPh>
    <rPh sb="31" eb="33">
      <t>ジタイ</t>
    </rPh>
    <rPh sb="34" eb="36">
      <t>サクジョ</t>
    </rPh>
    <rPh sb="53" eb="55">
      <t>テイギ</t>
    </rPh>
    <phoneticPr fontId="18"/>
  </si>
  <si>
    <t>↓CH_REAとCH_WRIの有無に応じてu2_beginの算出文字列をパターン分け</t>
    <rPh sb="15" eb="17">
      <t>ウム</t>
    </rPh>
    <rPh sb="18" eb="19">
      <t>オウ</t>
    </rPh>
    <rPh sb="30" eb="32">
      <t>サンシュツ</t>
    </rPh>
    <rPh sb="32" eb="35">
      <t>モジレツ</t>
    </rPh>
    <rPh sb="40" eb="41">
      <t>ワ</t>
    </rPh>
    <phoneticPr fontId="18"/>
  </si>
  <si>
    <t>↓CH_WRIありの場合は必ず0開始なので固定文字列を算出</t>
    <rPh sb="10" eb="12">
      <t>バアイ</t>
    </rPh>
    <rPh sb="13" eb="14">
      <t>カナラ</t>
    </rPh>
    <rPh sb="16" eb="18">
      <t>カイシ</t>
    </rPh>
    <rPh sb="21" eb="23">
      <t>コテイ</t>
    </rPh>
    <rPh sb="23" eb="26">
      <t>モジレツ</t>
    </rPh>
    <rPh sb="27" eb="29">
      <t>サンシュツ</t>
    </rPh>
    <phoneticPr fontId="18"/>
  </si>
  <si>
    <t>→ivdsh_did.h</t>
    <phoneticPr fontId="18"/>
  </si>
  <si>
    <t>→ivdsh_cfg.c</t>
    <phoneticPr fontId="18"/>
  </si>
  <si>
    <t>　数式は行ごとにバラバラであることに注意</t>
    <rPh sb="1" eb="3">
      <t>スウシキ</t>
    </rPh>
    <rPh sb="4" eb="5">
      <t>ギョウ</t>
    </rPh>
    <rPh sb="18" eb="20">
      <t>チュウイ</t>
    </rPh>
    <phoneticPr fontId="18"/>
  </si>
  <si>
    <t>__NAMEARRAY__IVDSH_DID_WRI__</t>
    <phoneticPr fontId="18"/>
  </si>
  <si>
    <t>__NAMEARRAY__IVDSH_DID_REA_VM0__</t>
    <phoneticPr fontId="18"/>
  </si>
  <si>
    <t>__NAMEARRAY__IVDSH_DID_REA_VM1__</t>
    <phoneticPr fontId="18"/>
  </si>
  <si>
    <t>__NAMEARRAY__IVDSH_DID_REA_VM2__</t>
    <phoneticPr fontId="18"/>
  </si>
  <si>
    <t>__NAMEARRAY__IVDSH_DID_REA_VM3__</t>
    <phoneticPr fontId="18"/>
  </si>
  <si>
    <t>__NAMEARRAY__IVDSH_FQ_CH_WRI__</t>
    <phoneticPr fontId="18"/>
  </si>
  <si>
    <t>__NAMEARRAY__st_gp_IVDSH_WA_BY_DID_Write__</t>
    <phoneticPr fontId="18"/>
  </si>
  <si>
    <t>__NAMEARRAY__st_gp_IVDSH_WA_BY_DID_ReadVM0__</t>
    <phoneticPr fontId="18"/>
  </si>
  <si>
    <t>__NAMEARRAY__st_gp_IVDSH_WA_BY_DID_ReadVM1__</t>
    <phoneticPr fontId="18"/>
  </si>
  <si>
    <t>__NAMEARRAY__st_gp_IVDSH_WA_BY_DID_ReadVM2__</t>
    <phoneticPr fontId="18"/>
  </si>
  <si>
    <t>__NAMEARRAY__st_gp_IVDSH_WA_BY_DID_ReadVM3__</t>
    <phoneticPr fontId="18"/>
  </si>
  <si>
    <t>__NAMEARRAY__IVDSH_FQ_CH_REA_XXX__</t>
    <phoneticPr fontId="18"/>
  </si>
  <si>
    <t>___NAMEARRAY__IVDSH_WA_NWORD_REA_XXX__</t>
    <phoneticPr fontId="18"/>
  </si>
  <si>
    <t>__NAMEARRAY__st_sp_IVDSH_FQ_CH_REA_XXX___</t>
    <phoneticPr fontId="18"/>
  </si>
  <si>
    <t>__NAMEARRAY__st_sp_IVDSH_FQ_CH_WRI_XXX___</t>
    <phoneticPr fontId="18"/>
  </si>
  <si>
    <t>→頭飾り(本体配列と一緒に置き換えられる)</t>
    <rPh sb="1" eb="2">
      <t>アタマ</t>
    </rPh>
    <rPh sb="2" eb="3">
      <t>カザ</t>
    </rPh>
    <rPh sb="5" eb="7">
      <t>ホンタイ</t>
    </rPh>
    <rPh sb="7" eb="9">
      <t>ハイレツ</t>
    </rPh>
    <rPh sb="10" eb="12">
      <t>イッショ</t>
    </rPh>
    <rPh sb="13" eb="14">
      <t>オ</t>
    </rPh>
    <rPh sb="15" eb="16">
      <t>カ</t>
    </rPh>
    <phoneticPr fontId="18"/>
  </si>
  <si>
    <t>↓DID数</t>
    <rPh sb="4" eb="5">
      <t>スウ</t>
    </rPh>
    <phoneticPr fontId="18"/>
  </si>
  <si>
    <t>↓ラベルが空だったときの代替文字（末尾に要求ID3桁を付与）</t>
    <rPh sb="5" eb="6">
      <t>カラ</t>
    </rPh>
    <rPh sb="12" eb="14">
      <t>ダイタイ</t>
    </rPh>
    <rPh sb="14" eb="16">
      <t>モジ</t>
    </rPh>
    <rPh sb="17" eb="19">
      <t>マツビ</t>
    </rPh>
    <rPh sb="20" eb="22">
      <t>ヨウキュウ</t>
    </rPh>
    <rPh sb="25" eb="26">
      <t>ケタ</t>
    </rPh>
    <rPh sb="27" eb="29">
      <t>フヨ</t>
    </rPh>
    <phoneticPr fontId="18"/>
  </si>
  <si>
    <t>↓次begin</t>
    <rPh sb="1" eb="2">
      <t>ツギ</t>
    </rPh>
    <phoneticPr fontId="18"/>
  </si>
  <si>
    <t>↓累計DID</t>
    <rPh sb="1" eb="3">
      <t>ルイケイ</t>
    </rPh>
    <phoneticPr fontId="18"/>
  </si>
  <si>
    <t>↓次CH</t>
    <rPh sb="1" eb="2">
      <t>ツギ</t>
    </rPh>
    <phoneticPr fontId="18"/>
  </si>
  <si>
    <t>↓REA_DID数</t>
    <rPh sb="8" eb="9">
      <t>スウ</t>
    </rPh>
    <phoneticPr fontId="18"/>
  </si>
  <si>
    <t>CPREQ_</t>
    <phoneticPr fontId="18"/>
  </si>
  <si>
    <t>DID値</t>
    <rPh sb="3" eb="4">
      <t>チ</t>
    </rPh>
    <phoneticPr fontId="18"/>
  </si>
  <si>
    <t>要求ID</t>
    <rPh sb="0" eb="2">
      <t>ヨウキュウ</t>
    </rPh>
    <phoneticPr fontId="18"/>
  </si>
  <si>
    <t>ラベル</t>
  </si>
  <si>
    <t>Tx/Rx</t>
    <phoneticPr fontId="18"/>
  </si>
  <si>
    <t>nword</t>
  </si>
  <si>
    <t>begin</t>
  </si>
  <si>
    <t>DIDラベル</t>
    <phoneticPr fontId="18"/>
  </si>
  <si>
    <t>REA_CH</t>
    <phoneticPr fontId="18"/>
  </si>
  <si>
    <t>DID_REAラベル</t>
    <phoneticPr fontId="18"/>
  </si>
  <si>
    <t>IVDSH_NUM_DID_WRI</t>
    <phoneticPr fontId="18"/>
  </si>
  <si>
    <t>__NAMEVAL__IVDSH_NUM_DID_WRI__</t>
  </si>
  <si>
    <t>→以下、本体配列</t>
    <rPh sb="1" eb="3">
      <t>イカ</t>
    </rPh>
    <rPh sb="4" eb="6">
      <t>ホンタイ</t>
    </rPh>
    <rPh sb="6" eb="8">
      <t>ハイレツ</t>
    </rPh>
    <phoneticPr fontId="18"/>
  </si>
  <si>
    <t>IVDSH_NUM_DID_REA</t>
  </si>
  <si>
    <t>__NAMEVAL__IVDSH_NUM_DID_REA__</t>
  </si>
  <si>
    <t>__NAMEVAL__IVDSH_NUM_FQ_CH__</t>
  </si>
  <si>
    <t>IVDSH_NUM_FQ_CH</t>
  </si>
  <si>
    <t>__NAMEVAL__IVDSH_NUM_FQ_REA__</t>
  </si>
  <si>
    <t>IVDSH_NUM_FQ_REA</t>
    <phoneticPr fontId="18"/>
  </si>
  <si>
    <t>↓VM#</t>
    <phoneticPr fontId="18"/>
  </si>
  <si>
    <t>__NAMEVAL__IVDSH_WA_NWORD_WRI__</t>
  </si>
  <si>
    <t>__NAMEVAL__IVDSH_WA_NWORD__</t>
  </si>
  <si>
    <t>__NAMEVAL__stp_g_IVDSH_FQ_WRI__</t>
    <phoneticPr fontId="18"/>
  </si>
  <si>
    <t>__NAMEVAL__stp_g_IVDSH_FQ_REA__</t>
    <phoneticPr fontId="18"/>
  </si>
  <si>
    <t>__NAMEVAL__VCCID_INCLUDE_HEADER__</t>
    <phoneticPr fontId="18"/>
  </si>
  <si>
    <t>IVDSH_FQ_CH_WRI</t>
  </si>
  <si>
    <t>IVDSH_WA_NWORD</t>
    <phoneticPr fontId="18"/>
  </si>
  <si>
    <t>IVDSH_WA_NWORD_WRI</t>
    <phoneticPr fontId="18"/>
  </si>
  <si>
    <t>↓st_sp_IVDSH_FQ_CH_REA_XXX___算出用に整形</t>
    <rPh sb="29" eb="31">
      <t>サンシュツ</t>
    </rPh>
    <rPh sb="31" eb="32">
      <t>ヨウ</t>
    </rPh>
    <rPh sb="33" eb="35">
      <t>セイケイ</t>
    </rPh>
    <phoneticPr fontId="18"/>
  </si>
  <si>
    <t>IVDSH_FQ_CH_REA_0</t>
  </si>
  <si>
    <t>IVDSH_FQ_CH_REA_1</t>
  </si>
  <si>
    <t>IVDSH_FQ_CH_REA_2</t>
  </si>
  <si>
    <t>IVDSH_FQ_CH_REA_3</t>
  </si>
  <si>
    <t>■</t>
  </si>
  <si>
    <t>⇒計算式はこれより↑を検索</t>
    <rPh sb="1" eb="4">
      <t>ケイサンシキ</t>
    </rPh>
    <rPh sb="11" eb="13">
      <t>ケンサク</t>
    </rPh>
    <phoneticPr fontId="18"/>
  </si>
  <si>
    <t>VM#1(MET)</t>
  </si>
  <si>
    <t>"ehvm_cfg_pe1_vm0.h"</t>
    <phoneticPr fontId="18"/>
  </si>
  <si>
    <t>EHVM_TX_VCCID_VCC_SHARED_TX_VM1</t>
    <phoneticPr fontId="18"/>
  </si>
  <si>
    <t>VM#2(IVI)</t>
  </si>
  <si>
    <t>"ehvm_cfg_pe2_vm0.h"</t>
    <phoneticPr fontId="18"/>
  </si>
  <si>
    <t>EHVM_TX_VCCID_VCC_SHARED_TX_VM2</t>
    <phoneticPr fontId="18"/>
  </si>
  <si>
    <t>"ehvm_cfg_pe3_vm0.h"</t>
    <phoneticPr fontId="18"/>
  </si>
  <si>
    <t>EHVM_TX_VCCID_VCC_SHARED_TX_VM3</t>
    <phoneticPr fontId="18"/>
  </si>
  <si>
    <t>/* 1.0.0 */</t>
  </si>
  <si>
    <t>/*===================================================================================================================================*/</t>
  </si>
  <si>
    <t>/*  Copyright DENSO Corporation                                                                                                      */</t>
  </si>
  <si>
    <t>/*  Inter-Vm Data SHaring                                                                                                            */</t>
  </si>
  <si>
    <t>/*                                                                                                                                   */</t>
    <phoneticPr fontId="18"/>
  </si>
  <si>
    <t>/*-----------------------------------------------------------------------------------------------------------------------------------*/</t>
  </si>
  <si>
    <t>/*  Version                                                                                                                          */</t>
  </si>
  <si>
    <t>#define IVDSH_CFG_C_MAJOR                        (1)</t>
  </si>
  <si>
    <t>#define IVDSH_CFG_C_MINOR                        (0)</t>
  </si>
  <si>
    <t>#define IVDSH_CFG_C_PATCH                        (0)</t>
  </si>
  <si>
    <t>/*  Include Files                                                                                                                    */</t>
  </si>
  <si>
    <t>#include "ivdsh_cfg_private.h"</t>
  </si>
  <si>
    <r>
      <t xml:space="preserve">#include </t>
    </r>
    <r>
      <rPr>
        <sz val="11"/>
        <color rgb="FFFF0000"/>
        <rFont val="Consolas"/>
        <family val="3"/>
      </rPr>
      <t>__NAMEVAL__VCCID_INCLUDE_HEADER__</t>
    </r>
    <phoneticPr fontId="18"/>
  </si>
  <si>
    <t>/*  Version Check                                                                                                                    */</t>
  </si>
  <si>
    <t>#if ((IVDSH_CFG_C_MAJOR != IVDSH_H_MAJOR) || \</t>
  </si>
  <si>
    <t>     (IVDSH_CFG_C_MINOR != IVDSH_H_MINOR) || \</t>
  </si>
  <si>
    <t>     (IVDSH_CFG_C_PATCH != IVDSH_H_PATCH))</t>
  </si>
  <si>
    <t>#error "ivdsh_cfg.c and ivdsh.h : source and header files are inconsistent!"</t>
  </si>
  <si>
    <t>#endif</t>
  </si>
  <si>
    <t>#if ((IVDSH_CFG_C_MAJOR != IVDSH_CFG_H_MAJOR) || \</t>
  </si>
  <si>
    <t>     (IVDSH_CFG_C_MINOR != IVDSH_CFG_H_MINOR) || \</t>
  </si>
  <si>
    <t>     (IVDSH_CFG_C_PATCH != IVDSH_CFG_H_PATCH))</t>
  </si>
  <si>
    <t>#error "ivdsh_cfg.c and ivdsh_cfg_private.h : source and header files are inconsistent!"</t>
  </si>
  <si>
    <t>/*  Literal Definitions                                                                                                              */</t>
  </si>
  <si>
    <r>
      <t>#define IVDSH_NUM_FQ_CH                          (</t>
    </r>
    <r>
      <rPr>
        <sz val="11"/>
        <color rgb="FFFF0000"/>
        <rFont val="Consolas"/>
        <family val="3"/>
      </rPr>
      <t>__NAMEVAL__IVDSH_NUM_FQ_CH__</t>
    </r>
    <r>
      <rPr>
        <sz val="11"/>
        <rFont val="Consolas"/>
        <family val="3"/>
      </rPr>
      <t>U)</t>
    </r>
    <phoneticPr fontId="18"/>
  </si>
  <si>
    <r>
      <t>#define IVDSH_NUM_FQ_REA                         (</t>
    </r>
    <r>
      <rPr>
        <sz val="11"/>
        <color rgb="FFFF0000"/>
        <rFont val="Consolas"/>
        <family val="3"/>
      </rPr>
      <t>__NAMEVAL__IVDSH_NUM_FQ_REA__</t>
    </r>
    <r>
      <rPr>
        <sz val="11"/>
        <rFont val="Consolas"/>
        <family val="3"/>
      </rPr>
      <t>U)</t>
    </r>
    <phoneticPr fontId="18"/>
  </si>
  <si>
    <r>
      <t>#define IVDSH_WA_NWORD_WRI                       (</t>
    </r>
    <r>
      <rPr>
        <sz val="11"/>
        <color rgb="FFFF0000"/>
        <rFont val="Consolas"/>
        <family val="3"/>
      </rPr>
      <t>__NAMEVAL__IVDSH_WA_NWORD_WRI__</t>
    </r>
    <r>
      <rPr>
        <sz val="11"/>
        <rFont val="Consolas"/>
        <family val="3"/>
      </rPr>
      <t>U)</t>
    </r>
    <phoneticPr fontId="18"/>
  </si>
  <si>
    <t>__NAMEARRAY__IVDSH_WA_NWORD_REA_XXX__</t>
    <phoneticPr fontId="18"/>
  </si>
  <si>
    <r>
      <t>#define IVDSH_WA_NWORD                           (</t>
    </r>
    <r>
      <rPr>
        <sz val="11"/>
        <color rgb="FFFF0000"/>
        <rFont val="Consolas"/>
        <family val="3"/>
      </rPr>
      <t>__NAMEVAL__IVDSH_WA_NWORD__</t>
    </r>
    <r>
      <rPr>
        <sz val="11"/>
        <rFont val="Consolas"/>
        <family val="3"/>
      </rPr>
      <t>U)</t>
    </r>
    <phoneticPr fontId="18"/>
  </si>
  <si>
    <t>/*  Macro Definitions                                                                                                                */</t>
  </si>
  <si>
    <t>/*  Type Definitions                                                                                                                 */</t>
  </si>
  <si>
    <t>/*  Variable Definitions                                                                                                             */</t>
  </si>
  <si>
    <t>#pragma ghs section bss=".IVDSH_BSS_VAR_NO_INIT"</t>
  </si>
  <si>
    <t>U4                          u4_gp_ivdsh_buf_wa[IVDSH_WA_NWORD];</t>
  </si>
  <si>
    <t>#if(IVDSH_NUM_FQ_REA &gt; 0U)</t>
  </si>
  <si>
    <t>ST_IVDSH_FQ_REA             st_gp_ivdsh_fq_rea[IVDSH_NUM_FQ_REA];</t>
  </si>
  <si>
    <t>#else</t>
  </si>
  <si>
    <t>ST_IVDSH_FQ_REA             st_gp_ivdsh_fq_rea[];</t>
  </si>
  <si>
    <t>#pragma ghs section bss=default</t>
  </si>
  <si>
    <t>/*  Static Function Prototypes                                                                                                       */</t>
  </si>
  <si>
    <t>/*  Constant Definitions                                                                                                             */</t>
  </si>
  <si>
    <t>#pragma ghs section rodata=".IVDSH_RODATA_CONST"</t>
  </si>
  <si>
    <t>const U4                    u4_g_IVDSH_WA_NWORD = (U4)IVDSH_WA_NWORD;</t>
  </si>
  <si>
    <t>const ST_IVDSH_WA           st_gp_IVDSH_WA_BY_DID[IVDSH_NUM_DID] =</t>
    <phoneticPr fontId="18"/>
  </si>
  <si>
    <t>{</t>
  </si>
  <si>
    <t>    /* u2_begin,    u2_nword,       u2_fq_ch : FIFO/Queue Channel       */</t>
  </si>
  <si>
    <t>};</t>
    <phoneticPr fontId="18"/>
  </si>
  <si>
    <t>const U2                    u2_g_IVDSH_NUM_DID = (U2)IVDSH_NUM_DID;</t>
  </si>
  <si>
    <t>static const ST_IVDSH_WA    st_sp_IVDSH_FQ_CH[IVDSH_NUM_FQ_CH] = {</t>
    <phoneticPr fontId="18"/>
  </si>
  <si>
    <t>};</t>
  </si>
  <si>
    <r>
      <t xml:space="preserve">const ST_IVDSH_WA * const   stp_g_IVDSH_FQ_WRI    = </t>
    </r>
    <r>
      <rPr>
        <sz val="11"/>
        <color rgb="FFFF0000"/>
        <rFont val="Consolas"/>
        <family val="3"/>
      </rPr>
      <t>__NAMEVAL__stp_g_IVDSH_FQ_WRI__</t>
    </r>
    <r>
      <rPr>
        <sz val="11"/>
        <rFont val="Consolas"/>
        <family val="3"/>
      </rPr>
      <t>;</t>
    </r>
    <phoneticPr fontId="18"/>
  </si>
  <si>
    <r>
      <t xml:space="preserve">const ST_IVDSH_WA * const   stp_g_IVDSH_FQ_REA    = </t>
    </r>
    <r>
      <rPr>
        <sz val="11"/>
        <color rgb="FFFF0000"/>
        <rFont val="Consolas"/>
        <family val="3"/>
      </rPr>
      <t>__NAMEVAL__stp_g_IVDSH_FQ_REA__</t>
    </r>
    <r>
      <rPr>
        <sz val="11"/>
        <rFont val="Consolas"/>
        <family val="3"/>
      </rPr>
      <t>;</t>
    </r>
    <phoneticPr fontId="18"/>
  </si>
  <si>
    <t>const U1                    u1_g_IVDSH_NUM_FQ_REA = (U1)IVDSH_NUM_FQ_REA;</t>
  </si>
  <si>
    <t>#pragma ghs section rodata=default</t>
  </si>
  <si>
    <t>/*  Function Definitions                                                                                                             */</t>
  </si>
  <si>
    <t>/*                                                                                                                                   */</t>
  </si>
  <si>
    <t>/*  Change History                                                                                                                   */</t>
  </si>
  <si>
    <t>/*  Version  Date        Author   Change Description                                                                                 */</t>
  </si>
  <si>
    <t>/* --------- ----------  -------  -------------------------------------------------------------------------------------------------- */</t>
  </si>
  <si>
    <t>/*  1.0.0     6/23/2025  TN       New.                                                                                               */</t>
  </si>
  <si>
    <t>/*  Revision Date        Author   Change Description                                                                                 */</t>
  </si>
  <si>
    <t>/*  * TN   = Takashi Nagai, DENSO                                                                                                    */</t>
  </si>
  <si>
    <t>/*  Copyright DENSO Corporation                                                                                                      */</t>
  </si>
  <si>
    <t>/*  Inter-Vm Data SHaring Data-ID                                                                                                    */</t>
  </si>
  <si>
    <t>/*                                                                                                                                   */</t>
  </si>
  <si>
    <t>/*  WARNING :                                                                                                                        */</t>
  </si>
  <si>
    <t>/*  ivdsh_did.h is included in ivdsh.h                                                                                               */</t>
  </si>
  <si>
    <t>/*  DO NOT include this file in any file even though this configuration header is public.                                            */</t>
  </si>
  <si>
    <t>#ifndef IVDSH_DID_H</t>
  </si>
  <si>
    <t>#define IVDSH_DID_H</t>
  </si>
  <si>
    <t>/*  Version                                                                                                                          */</t>
  </si>
  <si>
    <t>#define IVDSH_DID_H_MAJOR                        (1U)</t>
  </si>
  <si>
    <t>#define IVDSH_DID_H_MINOR                        (0U)</t>
  </si>
  <si>
    <t>#define IVDSH_DID_H_PATCH                        (0U)</t>
  </si>
  <si>
    <t>/*  Literal Definitions                                                                                                              */</t>
  </si>
  <si>
    <r>
      <t>#define IVDSH_NUM_DID_WRI                        (</t>
    </r>
    <r>
      <rPr>
        <sz val="11"/>
        <color rgb="FFFF0000"/>
        <rFont val="Consolas"/>
        <family val="3"/>
      </rPr>
      <t>__NAMEVAL__IVDSH_NUM_DID_WRI__</t>
    </r>
    <r>
      <rPr>
        <sz val="11"/>
        <rFont val="Consolas"/>
        <family val="3"/>
      </rPr>
      <t>U)</t>
    </r>
    <phoneticPr fontId="18"/>
  </si>
  <si>
    <t>/*-------------------------------------------------------------------------------*/</t>
  </si>
  <si>
    <t>/* CPREQ_XXX = "https://wiki.geniie.net/x/Wcq5pQ" numbering list (sample config) */</t>
  </si>
  <si>
    <r>
      <t>#define IVDSH_NUM_DID_REA                        (</t>
    </r>
    <r>
      <rPr>
        <sz val="11"/>
        <color rgb="FFFF0000"/>
        <rFont val="Consolas"/>
        <family val="3"/>
      </rPr>
      <t>__NAMEVAL__IVDSH_NUM_DID_REA__</t>
    </r>
    <r>
      <rPr>
        <sz val="11"/>
        <rFont val="Consolas"/>
        <family val="3"/>
      </rPr>
      <t>U)</t>
    </r>
    <phoneticPr fontId="18"/>
  </si>
  <si>
    <t>#define IVDSH_NUM_DID                            (IVDSH_NUM_DID_WRI + IVDSH_NUM_DID_REA)</t>
  </si>
  <si>
    <t>/*  Type Definitions                                                                                                                 */</t>
  </si>
  <si>
    <t>/*  Variable Externs                                                                                                                 */</t>
  </si>
  <si>
    <t>/*  Function Prototypes                                                                                                              */</t>
  </si>
  <si>
    <t>/*  Constant Externs                                                                                                                 */</t>
  </si>
  <si>
    <t>#endif      /* IVDSH_DID_H */</t>
  </si>
  <si>
    <t>/*  Change History  :  see  ivdsh_cfg.c                                                                                              */</t>
  </si>
  <si>
    <t>■ ExportCFileFromTemplate マクロ</t>
    <phoneticPr fontId="18"/>
  </si>
  <si>
    <t>※マクロ、マニュアル共に「Azure OpenAI Studio "GPT-41-DNJP"」で生成</t>
    <phoneticPr fontId="18"/>
  </si>
  <si>
    <t>項目</t>
  </si>
  <si>
    <t>内容</t>
  </si>
  <si>
    <t>【目的・概要】</t>
  </si>
  <si>
    <t>テンプレートシートからCファイル等のテキストを自動生成します。</t>
  </si>
  <si>
    <t>「ファイル出力先」シートで出力内容とファイルを指定し、セル名や配列を参照し置換生成します。</t>
  </si>
  <si>
    <t>【主なシート構成】</t>
  </si>
  <si>
    <t>ファイル出力先 : 指示行ごとに参照シート・雛型シート・出力パスを記入</t>
  </si>
  <si>
    <t>参照シート : 値や配列、名前定義を用意</t>
  </si>
  <si>
    <t>テンプレート : 実際の雛型（A列に記述）</t>
  </si>
  <si>
    <t>ファイル出力先シート例</t>
  </si>
  <si>
    <r>
      <t>A列</t>
    </r>
    <r>
      <rPr>
        <sz val="11"/>
        <color rgb="FF424242"/>
        <rFont val="Meiryo UI"/>
        <family val="3"/>
        <charset val="128"/>
      </rPr>
      <t>:参照シート名　</t>
    </r>
    <r>
      <rPr>
        <b/>
        <sz val="11"/>
        <color rgb="FF424242"/>
        <rFont val="Meiryo UI"/>
        <family val="3"/>
        <charset val="128"/>
      </rPr>
      <t>B列</t>
    </r>
    <r>
      <rPr>
        <sz val="11"/>
        <color rgb="FF424242"/>
        <rFont val="Meiryo UI"/>
        <family val="3"/>
        <charset val="128"/>
      </rPr>
      <t>:雛型(テンプレ)名　</t>
    </r>
    <r>
      <rPr>
        <b/>
        <sz val="11"/>
        <color rgb="FF424242"/>
        <rFont val="Meiryo UI"/>
        <family val="3"/>
        <charset val="128"/>
      </rPr>
      <t>C列</t>
    </r>
    <r>
      <rPr>
        <sz val="11"/>
        <color rgb="FF424242"/>
        <rFont val="Meiryo UI"/>
        <family val="3"/>
        <charset val="128"/>
      </rPr>
      <t>:出力ファイルパス</t>
    </r>
  </si>
  <si>
    <t>※2行目以降に1組ずつ入力</t>
  </si>
  <si>
    <t>参照シート例</t>
  </si>
  <si>
    <t>配列名や値をExcelの「名前定義」で登録　例：__NAMEARRAY_●●__、__NAMEVAL_●●__、等</t>
    <phoneticPr fontId="18"/>
  </si>
  <si>
    <t>配列はセル範囲に名前定義し、値はセル単独で　　　　　　　　　　　　　</t>
  </si>
  <si>
    <t>テンプレートシート例</t>
  </si>
  <si>
    <t>A列に変数名・配列名（名前定義）や、任意のテキスト・コメント等を記載</t>
  </si>
  <si>
    <r>
      <t>（例：「</t>
    </r>
    <r>
      <rPr>
        <b/>
        <sz val="11"/>
        <color rgb="FF424242"/>
        <rFont val="Meiryo UI"/>
        <family val="3"/>
        <charset val="128"/>
      </rPr>
      <t>example_cfg.c</t>
    </r>
    <r>
      <rPr>
        <sz val="11"/>
        <color rgb="FF424242"/>
        <rFont val="Meiryo UI"/>
        <family val="3"/>
        <charset val="128"/>
      </rPr>
      <t>」「/</t>
    </r>
    <r>
      <rPr>
        <i/>
        <sz val="11"/>
        <color rgb="FF424242"/>
        <rFont val="Meiryo UI"/>
        <family val="3"/>
        <charset val="128"/>
      </rPr>
      <t>コメント</t>
    </r>
    <r>
      <rPr>
        <sz val="11"/>
        <color rgb="FF424242"/>
        <rFont val="Meiryo UI"/>
        <family val="3"/>
        <charset val="128"/>
      </rPr>
      <t>/」「footer」など）</t>
    </r>
    <phoneticPr fontId="18"/>
  </si>
  <si>
    <t>【使い方】</t>
  </si>
  <si>
    <t>1. シートを用意し、必要な名前定義/配列/テンプレをセット</t>
  </si>
  <si>
    <t>2. Alt+F8で「ExportCFileFromTemplate」実行</t>
  </si>
  <si>
    <t>3. 指定ファイルが自動で作成されます</t>
  </si>
  <si>
    <t>【配列バッファのしくみ】</t>
  </si>
  <si>
    <t>テンプレA列に複数の配列名（定義済み範囲名）が連続:</t>
  </si>
  <si>
    <t>→まとめてバッファし一括出力</t>
  </si>
  <si>
    <t>→結合した配列全体の最終行だけカンマ制御（カンマ除去+最後のカンマをスペース）</t>
  </si>
  <si>
    <t>配列バッファの区切り</t>
  </si>
  <si>
    <t>配列名“以外”の行（空行/コメント/値/部分一致行など）が現れるとバッファごとにカンマ演算をして出力し、バッファをクリアします</t>
  </si>
  <si>
    <t>配列カンマ制御例</t>
  </si>
  <si>
    <t>a1, a2, a3,</t>
  </si>
  <si>
    <t>b1, b2, b3,</t>
  </si>
  <si>
    <t>（→連続したとき結合：一番最後のb3,だけカンマ除去＋直前のカンマのみスペース化される）</t>
  </si>
  <si>
    <t>値の置換</t>
  </si>
  <si>
    <t>完全一致：名前定義に完全一致すれば値や配列で置換</t>
  </si>
  <si>
    <t>部分一致：セル内に部分一致なら置換</t>
  </si>
  <si>
    <t>書き出し文字コード</t>
  </si>
  <si>
    <t>出力ファイルはShift-JIS（CP932）で保存</t>
  </si>
  <si>
    <t>（Excelファイルパスと同じフォルダに出力：相対パス指定時）</t>
  </si>
  <si>
    <t>カンマ制御される対象</t>
  </si>
  <si>
    <t>「連続した配列名」のバッファ最終行だけ。配列名以外や部分一致・単一値にはカンマ制御されません</t>
  </si>
  <si>
    <t>注意点</t>
  </si>
  <si>
    <t>「名前定義」や配列の誤指定や未定義、空行多発に注意</t>
  </si>
  <si>
    <t>配列の連続性は「コメント行/空行/通常値行」が挟まると途切れます</t>
  </si>
  <si>
    <t>値や配列が空だと何も出力されません</t>
  </si>
  <si>
    <t>エラー時の挙動</t>
  </si>
  <si>
    <t>参照や雛型シートが無い場合やファイル書込失敗時、MsgBoxで警告します</t>
  </si>
  <si>
    <t>よくある質問</t>
  </si>
  <si>
    <r>
      <t>Q:</t>
    </r>
    <r>
      <rPr>
        <sz val="11"/>
        <color rgb="FF424242"/>
        <rFont val="Meiryo UI"/>
        <family val="3"/>
        <charset val="128"/>
      </rPr>
      <t> テンプレートで配列名（定義済み範囲名）の間に空行/コメントがあると？</t>
    </r>
    <rPh sb="14" eb="16">
      <t>テイギ</t>
    </rPh>
    <rPh sb="16" eb="17">
      <t>ズ</t>
    </rPh>
    <rPh sb="18" eb="21">
      <t>ハンイメイ</t>
    </rPh>
    <phoneticPr fontId="18"/>
  </si>
  <si>
    <r>
      <t>A:</t>
    </r>
    <r>
      <rPr>
        <sz val="11"/>
        <color rgb="FF424242"/>
        <rFont val="Meiryo UI"/>
        <family val="3"/>
        <charset val="128"/>
      </rPr>
      <t> そこで区切られます。連続して初めて1バッファとしてカンマ制御されます。</t>
    </r>
  </si>
  <si>
    <t>カスタマイズ</t>
  </si>
  <si>
    <r>
      <t>カンマ制御ロジックは</t>
    </r>
    <r>
      <rPr>
        <sz val="10"/>
        <color rgb="FF0027B4"/>
        <rFont val="Meiryo UI"/>
        <family val="3"/>
        <charset val="128"/>
      </rPr>
      <t>FlushArrayBuffer</t>
    </r>
    <r>
      <rPr>
        <sz val="11"/>
        <color rgb="FF424242"/>
        <rFont val="Meiryo UI"/>
        <family val="3"/>
        <charset val="128"/>
      </rPr>
      <t>プロシージャで実装。</t>
    </r>
  </si>
  <si>
    <t>処理対象拡張や挙動調整はこの部分を修正して実現可能です</t>
  </si>
  <si>
    <t>参照/定義名確認方法</t>
  </si>
  <si>
    <t>Ctrl+F3 「名前の管理」で確認可能　　　　　　　　　　　　　　　　　　　　　　　　　　　　　　　　　　　　　　　　　　　　　　　　　　</t>
    <phoneticPr fontId="18"/>
  </si>
  <si>
    <t>---</t>
  </si>
  <si>
    <t>### 【Tips】</t>
  </si>
  <si>
    <t>列幅はそれぞれの項目に合わせて調整してください</t>
  </si>
  <si>
    <t>上記のまま範囲指定コピペでExcelの表として使えます</t>
  </si>
  <si>
    <t>任意で「枠線（罫線）」や「項目セルの色分け」もどうぞ</t>
  </si>
  <si>
    <t>1Byte目：完全初期化要求
2Byte目：完全初期化用メモリクリア要求</t>
  </si>
  <si>
    <t>VM2TO1_WHLINI_REQ</t>
  </si>
  <si>
    <t>1Byte目：完全初期化応答
2Byte目：完全初期化用メモリクリア応答</t>
  </si>
  <si>
    <t>VM1TO2_WHLINI_RES</t>
  </si>
  <si>
    <t>完全初期化状態通知</t>
  </si>
  <si>
    <t>VM1TO3_WHLINI_INF</t>
  </si>
  <si>
    <t>VM2TO3_WHLINI_REQ</t>
  </si>
  <si>
    <t>1Byte目：カメラシステム種別設定
2Byte目：表示用映像サイズ(CenterDisp)</t>
  </si>
  <si>
    <t>VM2TO1_CAM_DIAP</t>
  </si>
  <si>
    <t>VM1TO2_CAM_DIAP</t>
  </si>
  <si>
    <t>起動ログ</t>
    <rPh sb="0" eb="2">
      <t>キドウ</t>
    </rPh>
    <phoneticPr fontId="18"/>
  </si>
  <si>
    <t>VM3TO2_BOOTLOG_INF</t>
  </si>
  <si>
    <t>T</t>
    <phoneticPr fontId="18"/>
  </si>
  <si>
    <t>起動ログ計測点検知データ</t>
  </si>
  <si>
    <t>SWIC制御</t>
  </si>
  <si>
    <t>電源VREG_SPX8供給情報
（MCU PMICレジスタ0x19 DIN2_STATビット）</t>
  </si>
  <si>
    <t>DMS1S02フレーム</t>
  </si>
  <si>
    <t>VM2TO1_DMS1S02</t>
  </si>
  <si>
    <t>MET1S27フレーム</t>
  </si>
  <si>
    <t>VM2TO1_MET1S27</t>
  </si>
  <si>
    <t>MET1S28フレーム</t>
  </si>
  <si>
    <t>VM2TO1_MET1S28</t>
  </si>
  <si>
    <t>MET1S29フレーム</t>
  </si>
  <si>
    <t>VM2TO1_MET1S29</t>
  </si>
  <si>
    <t>MET1S30フレーム</t>
  </si>
  <si>
    <t>VM2TO1_MET1S30</t>
  </si>
  <si>
    <t>MET1S43フレーム</t>
  </si>
  <si>
    <t>VM2TO1_MET1S43</t>
  </si>
  <si>
    <t>MET1S62フレーム</t>
  </si>
  <si>
    <t>VM2TO1_MET1S62</t>
  </si>
  <si>
    <t>MET1S70フレーム</t>
  </si>
  <si>
    <t>VM2TO1_MET1S70</t>
  </si>
  <si>
    <t>VM1TO3_STBY</t>
  </si>
  <si>
    <t>VM2TO3_STBY</t>
  </si>
  <si>
    <t>VM1TO2_TIMOFST</t>
  </si>
  <si>
    <t>VM3TO2_SIPERR_INF</t>
  </si>
  <si>
    <t>VM2TO1_TIMOFST</t>
  </si>
  <si>
    <t>VM1TO2_TIMFMT</t>
  </si>
  <si>
    <t>VM2TO1_TIMFMT</t>
  </si>
  <si>
    <t>VM2TO1_DSPTIM</t>
  </si>
  <si>
    <t>VM2TO1_DSPCAL</t>
  </si>
  <si>
    <t>VM1TO2_CAL</t>
  </si>
  <si>
    <t>VM2TO1_CAL</t>
  </si>
  <si>
    <t>VM1TO2_CALDEF</t>
  </si>
  <si>
    <t>VM1TO2_CALMIN</t>
  </si>
  <si>
    <t>VM1TO3_SPI_FAIL</t>
  </si>
  <si>
    <t>CANBUS_STS_2M1</t>
  </si>
  <si>
    <t>CANBUS_STS_5M</t>
  </si>
  <si>
    <t>CANBUS_STS_2M2</t>
  </si>
  <si>
    <t>CANBUS_STS_LCAN</t>
  </si>
  <si>
    <t>VM1TO23_FSLP</t>
  </si>
  <si>
    <t>VM2TO3_STRMODE</t>
  </si>
  <si>
    <t>VM2TO3_OPESTS</t>
  </si>
  <si>
    <t>VM3TO2_BOOT_CNT</t>
  </si>
  <si>
    <t>VM2TO3_DIN2_STAT</t>
  </si>
  <si>
    <t>タイムゾーン
⇒表示時刻情報</t>
    <phoneticPr fontId="18"/>
  </si>
  <si>
    <t>タイムゾーン符号
⇒表示日付情報</t>
    <phoneticPr fontId="18"/>
  </si>
  <si>
    <t>VM3TO2_OTA_OFFSTS</t>
  </si>
  <si>
    <t>VM3TO12_RESTART</t>
  </si>
  <si>
    <t>VM3TO2_BOOT_TIME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</si>
</sst>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00.00"/>
  </numFmts>
  <fonts count="48">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Meiryo UI"/>
      <family val="3"/>
      <charset val="128"/>
    </font>
    <font>
      <b/>
      <sz val="11"/>
      <color theme="1"/>
      <name val="Meiryo UI"/>
      <family val="3"/>
      <charset val="128"/>
    </font>
    <font>
      <sz val="11"/>
      <color theme="1"/>
      <name val="Consolas"/>
      <family val="3"/>
    </font>
    <font>
      <sz val="11"/>
      <color theme="0" tint="-0.499984740745262"/>
      <name val="Meiryo UI"/>
      <family val="3"/>
      <charset val="128"/>
    </font>
    <font>
      <sz val="11"/>
      <name val="Consolas"/>
      <family val="3"/>
    </font>
    <font>
      <sz val="11"/>
      <color rgb="FFFF0000"/>
      <name val="Consolas"/>
      <family val="3"/>
    </font>
    <font>
      <sz val="11"/>
      <name val="游ゴシック"/>
      <family val="2"/>
      <charset val="128"/>
      <scheme val="minor"/>
    </font>
    <font>
      <b/>
      <sz val="11"/>
      <color rgb="FF0000FF"/>
      <name val="Meiryo UI"/>
      <family val="3"/>
      <charset val="128"/>
    </font>
    <font>
      <b/>
      <sz val="16"/>
      <color rgb="FF0000FF"/>
      <name val="Meiryo UI"/>
      <family val="3"/>
      <charset val="128"/>
    </font>
    <font>
      <sz val="11"/>
      <name val="Meiryo UI"/>
      <family val="3"/>
      <charset val="128"/>
    </font>
    <font>
      <b/>
      <sz val="11"/>
      <color theme="5"/>
      <name val="Consolas"/>
      <family val="3"/>
    </font>
    <font>
      <sz val="11"/>
      <color theme="9"/>
      <name val="Meiryo UI"/>
      <family val="3"/>
      <charset val="128"/>
    </font>
    <font>
      <b/>
      <sz val="11"/>
      <color rgb="FF424242"/>
      <name val="Meiryo UI"/>
      <family val="3"/>
      <charset val="128"/>
    </font>
    <font>
      <sz val="11"/>
      <color rgb="FF424242"/>
      <name val="Meiryo UI"/>
      <family val="3"/>
      <charset val="128"/>
    </font>
    <font>
      <i/>
      <sz val="11"/>
      <color rgb="FF424242"/>
      <name val="Meiryo UI"/>
      <family val="3"/>
      <charset val="128"/>
    </font>
    <font>
      <sz val="10"/>
      <color rgb="FF0027B4"/>
      <name val="Meiryo UI"/>
      <family val="3"/>
      <charset val="128"/>
    </font>
    <font>
      <sz val="11"/>
      <color rgb="FF00B050"/>
      <name val="Meiryo UI"/>
      <family val="3"/>
      <charset val="128"/>
    </font>
    <font>
      <sz val="11"/>
      <name val="ＭＳ Ｐゴシック"/>
      <family val="3"/>
      <charset val="128"/>
    </font>
    <font>
      <sz val="11"/>
      <name val="Tahoma"/>
      <family val="2"/>
    </font>
    <font>
      <sz val="6"/>
      <name val="ＭＳ Ｐゴシック"/>
      <family val="3"/>
      <charset val="128"/>
    </font>
    <font>
      <sz val="11"/>
      <color theme="0"/>
      <name val="Tahoma"/>
      <family val="2"/>
    </font>
    <font>
      <sz val="11"/>
      <name val="HG丸ｺﾞｼｯｸM-PRO"/>
      <family val="3"/>
      <charset val="128"/>
    </font>
    <font>
      <u/>
      <sz val="11"/>
      <color theme="10"/>
      <name val="游ゴシック"/>
      <family val="2"/>
      <charset val="128"/>
      <scheme val="minor"/>
    </font>
    <font>
      <sz val="11"/>
      <name val="Meiryo UI"/>
      <family val="2"/>
      <charset val="128"/>
    </font>
    <font>
      <u/>
      <sz val="11"/>
      <color theme="10"/>
      <name val="Meiryo UI"/>
      <family val="3"/>
      <charset val="128"/>
    </font>
    <font>
      <b/>
      <sz val="11"/>
      <name val="Meiryo UI"/>
      <family val="3"/>
      <charset val="128"/>
    </font>
    <font>
      <b/>
      <sz val="11"/>
      <color rgb="FFFF0000"/>
      <name val="Meiryo UI"/>
      <family val="3"/>
      <charset val="128"/>
    </font>
    <font>
      <sz val="14"/>
      <color rgb="FF000000"/>
      <name val="Meiryo UI"/>
      <family val="3"/>
      <charset val="128"/>
    </font>
    <font>
      <sz val="11"/>
      <color rgb="FFFF0000"/>
      <name val="Meiryo UI"/>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89999084444715716"/>
        <bgColor indexed="64"/>
      </patternFill>
    </fill>
    <fill>
      <patternFill patternType="solid">
        <fgColor rgb="FFFFC000"/>
        <bgColor indexed="64"/>
      </patternFill>
    </fill>
    <fill>
      <patternFill patternType="solid">
        <fgColor rgb="FFFFFFFF"/>
        <bgColor indexed="64"/>
      </patternFill>
    </fill>
    <fill>
      <patternFill patternType="solid">
        <fgColor indexed="26"/>
        <bgColor indexed="64"/>
      </patternFill>
    </fill>
    <fill>
      <patternFill patternType="solid">
        <fgColor indexed="9"/>
        <bgColor indexed="64"/>
      </patternFill>
    </fill>
    <fill>
      <patternFill patternType="solid">
        <fgColor theme="0" tint="-0.14999847407452621"/>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ouble">
        <color auto="1"/>
      </right>
      <top/>
      <bottom/>
      <diagonal/>
    </border>
    <border>
      <left style="double">
        <color auto="1"/>
      </left>
      <right/>
      <top/>
      <bottom/>
      <diagonal/>
    </border>
    <border>
      <left/>
      <right/>
      <top style="thin">
        <color auto="1"/>
      </top>
      <bottom/>
      <diagonal/>
    </border>
    <border>
      <left/>
      <right/>
      <top/>
      <bottom style="thin">
        <color auto="1"/>
      </bottom>
      <diagonal/>
    </border>
    <border>
      <left/>
      <right/>
      <top/>
      <bottom style="hair">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auto="1"/>
      </top>
      <bottom style="thin">
        <color auto="1"/>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auto="1"/>
      </top>
      <bottom style="thin">
        <color auto="1"/>
      </bottom>
      <diagonal/>
    </border>
    <border>
      <left/>
      <right style="thin">
        <color indexed="64"/>
      </right>
      <top style="thin">
        <color auto="1"/>
      </top>
      <bottom/>
      <diagonal/>
    </border>
  </borders>
  <cellStyleXfs count="45">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36" fillId="0" borderId="0"/>
    <xf numFmtId="0" fontId="36" fillId="0" borderId="0"/>
    <xf numFmtId="0" fontId="41" fillId="0" borderId="0" applyNumberFormat="0" applyFill="0" applyBorder="0" applyAlignment="0" applyProtection="0">
      <alignment vertical="center"/>
    </xf>
  </cellStyleXfs>
  <cellXfs count="104">
    <xf numFmtId="0" fontId="0" fillId="0" borderId="0" xfId="0">
      <alignment vertical="center"/>
    </xf>
    <xf numFmtId="0" fontId="19" fillId="33" borderId="0" xfId="0" applyFont="1" applyFill="1">
      <alignment vertical="center"/>
    </xf>
    <xf numFmtId="0" fontId="19" fillId="34" borderId="0" xfId="0" applyFont="1" applyFill="1">
      <alignment vertical="center"/>
    </xf>
    <xf numFmtId="0" fontId="19" fillId="34" borderId="10" xfId="0" quotePrefix="1" applyFont="1" applyFill="1" applyBorder="1">
      <alignment vertical="center"/>
    </xf>
    <xf numFmtId="0" fontId="19" fillId="34" borderId="10" xfId="0" applyFont="1" applyFill="1" applyBorder="1">
      <alignment vertical="center"/>
    </xf>
    <xf numFmtId="0" fontId="19" fillId="34" borderId="11" xfId="0" applyFont="1" applyFill="1" applyBorder="1">
      <alignment vertical="center"/>
    </xf>
    <xf numFmtId="0" fontId="19" fillId="0" borderId="0" xfId="0" applyFont="1">
      <alignment vertical="center"/>
    </xf>
    <xf numFmtId="0" fontId="19" fillId="0" borderId="10" xfId="0" applyFont="1" applyBorder="1">
      <alignment vertical="center"/>
    </xf>
    <xf numFmtId="0" fontId="19" fillId="0" borderId="11" xfId="0" applyFont="1" applyBorder="1">
      <alignment vertical="center"/>
    </xf>
    <xf numFmtId="0" fontId="20" fillId="0" borderId="0" xfId="0" applyFont="1">
      <alignment vertical="center"/>
    </xf>
    <xf numFmtId="0" fontId="19" fillId="0" borderId="0" xfId="0" quotePrefix="1" applyFont="1">
      <alignment vertical="center"/>
    </xf>
    <xf numFmtId="0" fontId="21" fillId="35" borderId="0" xfId="0" applyFont="1" applyFill="1">
      <alignment vertical="center"/>
    </xf>
    <xf numFmtId="0" fontId="21" fillId="0" borderId="0" xfId="0" applyFont="1">
      <alignment vertical="center"/>
    </xf>
    <xf numFmtId="0" fontId="22" fillId="0" borderId="0" xfId="0" applyFont="1">
      <alignment vertical="center"/>
    </xf>
    <xf numFmtId="0" fontId="19" fillId="36" borderId="0" xfId="0" applyFont="1" applyFill="1">
      <alignment vertical="center"/>
    </xf>
    <xf numFmtId="0" fontId="23" fillId="0" borderId="0" xfId="0" applyFont="1">
      <alignment vertical="center"/>
    </xf>
    <xf numFmtId="0" fontId="24" fillId="36" borderId="0" xfId="0" quotePrefix="1" applyFont="1" applyFill="1">
      <alignment vertical="center"/>
    </xf>
    <xf numFmtId="0" fontId="24" fillId="36" borderId="0" xfId="0" applyFont="1" applyFill="1">
      <alignment vertical="center"/>
    </xf>
    <xf numFmtId="0" fontId="25" fillId="0" borderId="0" xfId="0" applyFont="1">
      <alignment vertical="center"/>
    </xf>
    <xf numFmtId="0" fontId="25" fillId="37" borderId="0" xfId="0" applyFont="1" applyFill="1">
      <alignment vertical="center"/>
    </xf>
    <xf numFmtId="0" fontId="23" fillId="33" borderId="0" xfId="0" applyFont="1" applyFill="1">
      <alignment vertical="center"/>
    </xf>
    <xf numFmtId="0" fontId="26" fillId="0" borderId="0" xfId="0" applyFont="1">
      <alignment vertical="center"/>
    </xf>
    <xf numFmtId="0" fontId="27" fillId="0" borderId="0" xfId="0" applyFont="1">
      <alignment vertical="center"/>
    </xf>
    <xf numFmtId="0" fontId="22" fillId="0" borderId="10" xfId="0" applyFont="1" applyBorder="1">
      <alignment vertical="center"/>
    </xf>
    <xf numFmtId="0" fontId="23" fillId="35" borderId="13" xfId="0" applyFont="1" applyFill="1" applyBorder="1" applyAlignment="1">
      <alignment vertical="center" wrapText="1"/>
    </xf>
    <xf numFmtId="0" fontId="29" fillId="35" borderId="13" xfId="0" applyFont="1" applyFill="1" applyBorder="1" applyAlignment="1">
      <alignment vertical="center" wrapText="1"/>
    </xf>
    <xf numFmtId="0" fontId="19" fillId="0" borderId="0" xfId="0" applyFont="1" applyAlignment="1">
      <alignment horizontal="right" vertical="center"/>
    </xf>
    <xf numFmtId="0" fontId="19" fillId="0" borderId="12" xfId="0" applyFont="1" applyBorder="1" applyAlignment="1">
      <alignment horizontal="right" vertical="center"/>
    </xf>
    <xf numFmtId="0" fontId="21" fillId="35" borderId="14" xfId="0" applyFont="1" applyFill="1" applyBorder="1">
      <alignment vertical="center"/>
    </xf>
    <xf numFmtId="0" fontId="30" fillId="0" borderId="0" xfId="0" applyFont="1">
      <alignment vertical="center"/>
    </xf>
    <xf numFmtId="0" fontId="30" fillId="0" borderId="0" xfId="0" applyFont="1" applyAlignment="1">
      <alignment horizontal="right" vertical="center"/>
    </xf>
    <xf numFmtId="0" fontId="28" fillId="0" borderId="0" xfId="0" applyFont="1">
      <alignment vertical="center"/>
    </xf>
    <xf numFmtId="0" fontId="32" fillId="37" borderId="0" xfId="0" applyFont="1" applyFill="1" applyAlignment="1">
      <alignment vertical="center" wrapText="1"/>
    </xf>
    <xf numFmtId="0" fontId="19" fillId="0" borderId="0" xfId="0" applyFont="1" applyAlignment="1">
      <alignment horizontal="left" vertical="center" wrapText="1" indent="1"/>
    </xf>
    <xf numFmtId="0" fontId="31" fillId="37" borderId="15" xfId="0" applyFont="1" applyFill="1" applyBorder="1" applyAlignment="1">
      <alignment horizontal="center" vertical="center" wrapText="1"/>
    </xf>
    <xf numFmtId="0" fontId="32" fillId="37" borderId="15" xfId="0" applyFont="1" applyFill="1" applyBorder="1" applyAlignment="1">
      <alignment vertical="center" wrapText="1"/>
    </xf>
    <xf numFmtId="0" fontId="32" fillId="37" borderId="16" xfId="0" applyFont="1" applyFill="1" applyBorder="1" applyAlignment="1">
      <alignment vertical="center" wrapText="1"/>
    </xf>
    <xf numFmtId="0" fontId="32" fillId="37" borderId="17" xfId="0" applyFont="1" applyFill="1" applyBorder="1" applyAlignment="1">
      <alignment vertical="center" wrapText="1"/>
    </xf>
    <xf numFmtId="0" fontId="32" fillId="37" borderId="16" xfId="0" applyFont="1" applyFill="1" applyBorder="1" applyAlignment="1">
      <alignment horizontal="left" vertical="center" wrapText="1" indent="1"/>
    </xf>
    <xf numFmtId="0" fontId="32" fillId="37" borderId="18" xfId="0" applyFont="1" applyFill="1" applyBorder="1" applyAlignment="1">
      <alignment horizontal="left" vertical="center" wrapText="1" indent="1"/>
    </xf>
    <xf numFmtId="0" fontId="32" fillId="37" borderId="17" xfId="0" applyFont="1" applyFill="1" applyBorder="1" applyAlignment="1">
      <alignment horizontal="left" vertical="center" wrapText="1" indent="1"/>
    </xf>
    <xf numFmtId="0" fontId="31" fillId="37" borderId="16" xfId="0" applyFont="1" applyFill="1" applyBorder="1" applyAlignment="1">
      <alignment vertical="center" wrapText="1"/>
    </xf>
    <xf numFmtId="0" fontId="32" fillId="37" borderId="18" xfId="0" applyFont="1" applyFill="1" applyBorder="1" applyAlignment="1">
      <alignment vertical="center" wrapText="1"/>
    </xf>
    <xf numFmtId="0" fontId="31" fillId="37" borderId="17" xfId="0" applyFont="1" applyFill="1" applyBorder="1" applyAlignment="1">
      <alignment vertical="center" wrapText="1"/>
    </xf>
    <xf numFmtId="0" fontId="32" fillId="0" borderId="0" xfId="0" applyFont="1" applyAlignment="1">
      <alignment horizontal="left" vertical="center" indent="1"/>
    </xf>
    <xf numFmtId="0" fontId="35" fillId="0" borderId="0" xfId="0" applyFont="1">
      <alignment vertical="center"/>
    </xf>
    <xf numFmtId="0" fontId="19" fillId="0" borderId="18" xfId="0" applyFont="1" applyBorder="1">
      <alignment vertical="center"/>
    </xf>
    <xf numFmtId="0" fontId="19" fillId="34" borderId="13" xfId="0" applyFont="1" applyFill="1" applyBorder="1">
      <alignment vertical="center"/>
    </xf>
    <xf numFmtId="0" fontId="19" fillId="34" borderId="17" xfId="0" applyFont="1" applyFill="1" applyBorder="1">
      <alignment vertical="center"/>
    </xf>
    <xf numFmtId="0" fontId="19" fillId="0" borderId="12" xfId="0" applyFont="1" applyBorder="1">
      <alignment vertical="center"/>
    </xf>
    <xf numFmtId="0" fontId="19" fillId="0" borderId="16" xfId="0" applyFont="1" applyBorder="1">
      <alignment vertical="center"/>
    </xf>
    <xf numFmtId="0" fontId="19" fillId="33" borderId="12" xfId="0" applyFont="1" applyFill="1" applyBorder="1">
      <alignment vertical="center"/>
    </xf>
    <xf numFmtId="0" fontId="19" fillId="0" borderId="13" xfId="0" applyFont="1" applyBorder="1">
      <alignment vertical="center"/>
    </xf>
    <xf numFmtId="0" fontId="19" fillId="0" borderId="17" xfId="0" applyFont="1" applyBorder="1">
      <alignment vertical="center"/>
    </xf>
    <xf numFmtId="0" fontId="19" fillId="33" borderId="13" xfId="0" applyFont="1" applyFill="1" applyBorder="1">
      <alignment vertical="center"/>
    </xf>
    <xf numFmtId="0" fontId="0" fillId="33" borderId="0" xfId="0" applyFill="1">
      <alignment vertical="center"/>
    </xf>
    <xf numFmtId="0" fontId="37" fillId="38" borderId="15" xfId="42" applyFont="1" applyFill="1" applyBorder="1" applyAlignment="1">
      <alignment horizontal="center" vertical="center"/>
    </xf>
    <xf numFmtId="0" fontId="37" fillId="39" borderId="0" xfId="42" applyFont="1" applyFill="1" applyAlignment="1">
      <alignment vertical="center"/>
    </xf>
    <xf numFmtId="49" fontId="37" fillId="39" borderId="15" xfId="42" applyNumberFormat="1" applyFont="1" applyFill="1" applyBorder="1" applyAlignment="1">
      <alignment horizontal="center" vertical="center"/>
    </xf>
    <xf numFmtId="0" fontId="37" fillId="39" borderId="15" xfId="42" applyFont="1" applyFill="1" applyBorder="1" applyAlignment="1">
      <alignment horizontal="left" vertical="center" wrapText="1"/>
    </xf>
    <xf numFmtId="0" fontId="37" fillId="39" borderId="15" xfId="42" applyFont="1" applyFill="1" applyBorder="1" applyAlignment="1">
      <alignment vertical="center" wrapText="1"/>
    </xf>
    <xf numFmtId="176" fontId="37" fillId="39" borderId="15" xfId="42" applyNumberFormat="1" applyFont="1" applyFill="1" applyBorder="1" applyAlignment="1">
      <alignment horizontal="center" vertical="center" shrinkToFit="1"/>
    </xf>
    <xf numFmtId="49" fontId="39" fillId="39" borderId="15" xfId="42" applyNumberFormat="1" applyFont="1" applyFill="1" applyBorder="1" applyAlignment="1">
      <alignment horizontal="center" vertical="center"/>
    </xf>
    <xf numFmtId="0" fontId="37" fillId="39" borderId="15" xfId="42" applyFont="1" applyFill="1" applyBorder="1" applyAlignment="1">
      <alignment horizontal="center" vertical="center"/>
    </xf>
    <xf numFmtId="0" fontId="37" fillId="39" borderId="15" xfId="42" applyFont="1" applyFill="1" applyBorder="1" applyAlignment="1">
      <alignment horizontal="left" vertical="center"/>
    </xf>
    <xf numFmtId="0" fontId="37" fillId="39" borderId="15" xfId="42" applyFont="1" applyFill="1" applyBorder="1" applyAlignment="1">
      <alignment vertical="center"/>
    </xf>
    <xf numFmtId="177" fontId="37" fillId="39" borderId="0" xfId="42" applyNumberFormat="1" applyFont="1" applyFill="1" applyAlignment="1">
      <alignment horizontal="center" vertical="center"/>
    </xf>
    <xf numFmtId="0" fontId="37" fillId="39" borderId="0" xfId="42" applyFont="1" applyFill="1" applyAlignment="1">
      <alignment horizontal="center" vertical="center"/>
    </xf>
    <xf numFmtId="0" fontId="37" fillId="0" borderId="0" xfId="43" applyFont="1" applyAlignment="1">
      <alignment vertical="center"/>
    </xf>
    <xf numFmtId="0" fontId="37" fillId="0" borderId="13" xfId="43" applyFont="1" applyBorder="1" applyAlignment="1">
      <alignment vertical="center"/>
    </xf>
    <xf numFmtId="0" fontId="37" fillId="0" borderId="19" xfId="43" applyFont="1" applyBorder="1" applyAlignment="1">
      <alignment vertical="center"/>
    </xf>
    <xf numFmtId="0" fontId="37" fillId="0" borderId="12" xfId="43" applyFont="1" applyBorder="1" applyAlignment="1">
      <alignment vertical="center"/>
    </xf>
    <xf numFmtId="0" fontId="28" fillId="0" borderId="0" xfId="43" applyFont="1" applyAlignment="1">
      <alignment vertical="center"/>
    </xf>
    <xf numFmtId="0" fontId="37" fillId="0" borderId="20" xfId="43" applyFont="1" applyBorder="1" applyAlignment="1">
      <alignment vertical="center"/>
    </xf>
    <xf numFmtId="0" fontId="37" fillId="0" borderId="21" xfId="43" applyFont="1" applyBorder="1" applyAlignment="1">
      <alignment vertical="center"/>
    </xf>
    <xf numFmtId="0" fontId="28" fillId="0" borderId="21" xfId="43" applyFont="1" applyBorder="1" applyAlignment="1">
      <alignment vertical="center"/>
    </xf>
    <xf numFmtId="0" fontId="28" fillId="40" borderId="20" xfId="43" applyFont="1" applyFill="1" applyBorder="1" applyAlignment="1">
      <alignment vertical="center"/>
    </xf>
    <xf numFmtId="0" fontId="43" fillId="0" borderId="0" xfId="44" applyFont="1" applyAlignment="1">
      <alignment vertical="center"/>
    </xf>
    <xf numFmtId="0" fontId="28" fillId="0" borderId="13" xfId="43" applyFont="1" applyBorder="1" applyAlignment="1">
      <alignment vertical="center"/>
    </xf>
    <xf numFmtId="0" fontId="28" fillId="40" borderId="12" xfId="43" applyFont="1" applyFill="1" applyBorder="1" applyAlignment="1">
      <alignment vertical="center"/>
    </xf>
    <xf numFmtId="0" fontId="28" fillId="40" borderId="23" xfId="43" applyFont="1" applyFill="1" applyBorder="1" applyAlignment="1">
      <alignment vertical="center"/>
    </xf>
    <xf numFmtId="0" fontId="28" fillId="0" borderId="12" xfId="43" applyFont="1" applyBorder="1" applyAlignment="1">
      <alignment vertical="center"/>
    </xf>
    <xf numFmtId="0" fontId="28" fillId="0" borderId="23" xfId="43" applyFont="1" applyBorder="1" applyAlignment="1">
      <alignment vertical="center"/>
    </xf>
    <xf numFmtId="0" fontId="28" fillId="0" borderId="19" xfId="43" applyFont="1" applyBorder="1" applyAlignment="1">
      <alignment vertical="center"/>
    </xf>
    <xf numFmtId="0" fontId="28" fillId="0" borderId="22" xfId="43" applyFont="1" applyBorder="1" applyAlignment="1">
      <alignment vertical="center"/>
    </xf>
    <xf numFmtId="0" fontId="28" fillId="39" borderId="0" xfId="42" applyFont="1" applyFill="1" applyAlignment="1">
      <alignment vertical="center"/>
    </xf>
    <xf numFmtId="0" fontId="45" fillId="0" borderId="0" xfId="43" applyFont="1" applyAlignment="1">
      <alignment vertical="center"/>
    </xf>
    <xf numFmtId="0" fontId="42" fillId="0" borderId="0" xfId="43" applyFont="1" applyAlignment="1">
      <alignment vertical="center"/>
    </xf>
    <xf numFmtId="0" fontId="45" fillId="0" borderId="0" xfId="43" quotePrefix="1" applyFont="1" applyAlignment="1">
      <alignment vertical="center"/>
    </xf>
    <xf numFmtId="0" fontId="44" fillId="0" borderId="0" xfId="43" applyFont="1" applyAlignment="1">
      <alignment vertical="center"/>
    </xf>
    <xf numFmtId="0" fontId="45" fillId="0" borderId="13" xfId="43" applyFont="1" applyBorder="1" applyAlignment="1">
      <alignment vertical="center"/>
    </xf>
    <xf numFmtId="0" fontId="19" fillId="0" borderId="0" xfId="0" applyFont="1" applyAlignment="1">
      <alignment vertical="center" wrapText="1"/>
    </xf>
    <xf numFmtId="14" fontId="19" fillId="0" borderId="0" xfId="0" applyNumberFormat="1" applyFont="1">
      <alignment vertical="center"/>
    </xf>
    <xf numFmtId="0" fontId="43" fillId="0" borderId="0" xfId="44" applyFont="1">
      <alignment vertical="center"/>
    </xf>
    <xf numFmtId="0" fontId="45" fillId="0" borderId="0" xfId="0" applyFont="1">
      <alignment vertical="center"/>
    </xf>
    <xf numFmtId="0" fontId="14" fillId="0" borderId="0" xfId="0" applyFont="1">
      <alignment vertical="center"/>
    </xf>
    <xf numFmtId="0" fontId="47" fillId="33" borderId="0" xfId="0" applyFont="1" applyFill="1">
      <alignment vertical="center"/>
    </xf>
    <xf numFmtId="0" fontId="47" fillId="0" borderId="0" xfId="0" applyFont="1" applyAlignment="1">
      <alignment vertical="center" wrapText="1"/>
    </xf>
    <xf numFmtId="0" fontId="47" fillId="0" borderId="0" xfId="0" applyFont="1">
      <alignment vertical="center"/>
    </xf>
    <xf numFmtId="14" fontId="47" fillId="0" borderId="0" xfId="0" applyNumberFormat="1" applyFont="1">
      <alignment vertical="center"/>
    </xf>
    <xf numFmtId="0" fontId="28" fillId="33" borderId="0" xfId="0" applyFont="1" applyFill="1">
      <alignment vertical="center"/>
    </xf>
    <xf numFmtId="0" fontId="28" fillId="0" borderId="0" xfId="0" applyFont="1" applyAlignment="1">
      <alignment vertical="center" wrapText="1"/>
    </xf>
    <xf numFmtId="14" fontId="28" fillId="0" borderId="0" xfId="0" applyNumberFormat="1" applyFont="1">
      <alignment vertical="center"/>
    </xf>
    <xf numFmtId="0" fontId="32" fillId="37" borderId="15" xfId="0" applyFont="1" applyFill="1" applyBorder="1" applyAlignment="1">
      <alignment vertical="center" wrapText="1"/>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4"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10" xfId="43" xr:uid="{DA947C97-9F12-4CD0-A419-4361981F904B}"/>
    <cellStyle name="標準_部品ＤＲチェックシート（IC）_Ver200_20101112" xfId="42" xr:uid="{4C55F4A8-3480-4453-A243-C9E7404F7503}"/>
    <cellStyle name="良い" xfId="6" builtinId="26" customBuiltin="1"/>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17</xdr:col>
      <xdr:colOff>0</xdr:colOff>
      <xdr:row>0</xdr:row>
      <xdr:rowOff>238124</xdr:rowOff>
    </xdr:from>
    <xdr:to>
      <xdr:col>21</xdr:col>
      <xdr:colOff>180975</xdr:colOff>
      <xdr:row>3</xdr:row>
      <xdr:rowOff>476250</xdr:rowOff>
    </xdr:to>
    <xdr:sp macro="" textlink="">
      <xdr:nvSpPr>
        <xdr:cNvPr id="5" name="正方形/長方形 4">
          <a:extLst>
            <a:ext uri="{FF2B5EF4-FFF2-40B4-BE49-F238E27FC236}">
              <a16:creationId xmlns:a16="http://schemas.microsoft.com/office/drawing/2014/main" id="{7A0EADDE-7C6B-98AE-11A0-B3FC2EEFDC0F}"/>
            </a:ext>
          </a:extLst>
        </xdr:cNvPr>
        <xdr:cNvSpPr/>
      </xdr:nvSpPr>
      <xdr:spPr>
        <a:xfrm>
          <a:off x="12068175" y="238124"/>
          <a:ext cx="2924175" cy="1676401"/>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色のついた列だけがコード生成に使用される。</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a:p>
          <a:pPr algn="l"/>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en-US" altLang="ja-JP" sz="1100">
              <a:solidFill>
                <a:srgbClr val="0000FF"/>
              </a:solidFill>
              <a:latin typeface="Meiryo UI" panose="020B0604030504040204" pitchFamily="50" charset="-128"/>
              <a:ea typeface="Meiryo UI" panose="020B0604030504040204" pitchFamily="50" charset="-128"/>
            </a:rPr>
            <a:t>※</a:t>
          </a:r>
          <a:r>
            <a:rPr kumimoji="1" lang="ja-JP" altLang="en-US" sz="1100">
              <a:solidFill>
                <a:srgbClr val="0000FF"/>
              </a:solidFill>
              <a:latin typeface="Meiryo UI" panose="020B0604030504040204" pitchFamily="50" charset="-128"/>
              <a:ea typeface="Meiryo UI" panose="020B0604030504040204" pitchFamily="50" charset="-128"/>
            </a:rPr>
            <a:t>デフォルトのフォーマットは</a:t>
          </a:r>
          <a:r>
            <a:rPr kumimoji="1" lang="en-US" altLang="ja-JP" sz="1100">
              <a:solidFill>
                <a:srgbClr val="0000FF"/>
              </a:solidFill>
              <a:latin typeface="Meiryo UI" panose="020B0604030504040204" pitchFamily="50" charset="-128"/>
              <a:ea typeface="Meiryo UI" panose="020B0604030504040204" pitchFamily="50" charset="-128"/>
            </a:rPr>
            <a:t>https://wiki.geniie.net/x/Wcq5pQ</a:t>
          </a:r>
          <a:r>
            <a:rPr kumimoji="1" lang="ja-JP" altLang="en-US" sz="1100">
              <a:solidFill>
                <a:srgbClr val="0000FF"/>
              </a:solidFill>
              <a:latin typeface="Meiryo UI" panose="020B0604030504040204" pitchFamily="50" charset="-128"/>
              <a:ea typeface="Meiryo UI" panose="020B0604030504040204" pitchFamily="50" charset="-128"/>
            </a:rPr>
            <a:t>と同じにしています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8</xdr:col>
      <xdr:colOff>600075</xdr:colOff>
      <xdr:row>5</xdr:row>
      <xdr:rowOff>228600</xdr:rowOff>
    </xdr:to>
    <xdr:sp macro="" textlink="">
      <xdr:nvSpPr>
        <xdr:cNvPr id="2" name="正方形/長方形 1">
          <a:extLst>
            <a:ext uri="{FF2B5EF4-FFF2-40B4-BE49-F238E27FC236}">
              <a16:creationId xmlns:a16="http://schemas.microsoft.com/office/drawing/2014/main" id="{1F94E8A8-2D00-48EA-AC50-B0EC1C6E4B26}"/>
            </a:ext>
          </a:extLst>
        </xdr:cNvPr>
        <xdr:cNvSpPr/>
      </xdr:nvSpPr>
      <xdr:spPr>
        <a:xfrm>
          <a:off x="9372600" y="238125"/>
          <a:ext cx="3343275" cy="1181100"/>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色のついたセルのみ編集可能。</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ファイル出力先には本ブックからの相対パスを指定する。</a:t>
          </a:r>
          <a:br>
            <a:rPr kumimoji="1" lang="en-US" altLang="ja-JP" sz="1100">
              <a:solidFill>
                <a:srgbClr val="0000FF"/>
              </a:solidFill>
              <a:latin typeface="Meiryo UI" panose="020B0604030504040204" pitchFamily="50" charset="-128"/>
              <a:ea typeface="Meiryo UI" panose="020B0604030504040204" pitchFamily="50" charset="-128"/>
            </a:rPr>
          </a:br>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2</xdr:col>
          <xdr:colOff>3114675</xdr:colOff>
          <xdr:row>10</xdr:row>
          <xdr:rowOff>0</xdr:rowOff>
        </xdr:from>
        <xdr:to>
          <xdr:col>3</xdr:col>
          <xdr:colOff>0</xdr:colOff>
          <xdr:row>12</xdr:row>
          <xdr:rowOff>28575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Generate Code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559984</xdr:colOff>
      <xdr:row>11</xdr:row>
      <xdr:rowOff>0</xdr:rowOff>
    </xdr:from>
    <xdr:to>
      <xdr:col>9</xdr:col>
      <xdr:colOff>0</xdr:colOff>
      <xdr:row>29</xdr:row>
      <xdr:rowOff>20791</xdr:rowOff>
    </xdr:to>
    <xdr:pic>
      <xdr:nvPicPr>
        <xdr:cNvPr id="2" name="図 1">
          <a:extLst>
            <a:ext uri="{FF2B5EF4-FFF2-40B4-BE49-F238E27FC236}">
              <a16:creationId xmlns:a16="http://schemas.microsoft.com/office/drawing/2014/main" id="{54631BBE-3302-4E5B-BE56-9FF6E87087D8}"/>
            </a:ext>
          </a:extLst>
        </xdr:cNvPr>
        <xdr:cNvPicPr>
          <a:picLocks noChangeAspect="1"/>
        </xdr:cNvPicPr>
      </xdr:nvPicPr>
      <xdr:blipFill>
        <a:blip xmlns:r="http://schemas.openxmlformats.org/officeDocument/2006/relationships" r:embed="rId1"/>
        <a:stretch>
          <a:fillRect/>
        </a:stretch>
      </xdr:blipFill>
      <xdr:spPr>
        <a:xfrm>
          <a:off x="1245784" y="2381250"/>
          <a:ext cx="4926416" cy="4307041"/>
        </a:xfrm>
        <a:prstGeom prst="rect">
          <a:avLst/>
        </a:prstGeom>
      </xdr:spPr>
    </xdr:pic>
    <xdr:clientData/>
  </xdr:twoCellAnchor>
  <xdr:twoCellAnchor editAs="oneCell">
    <xdr:from>
      <xdr:col>5</xdr:col>
      <xdr:colOff>9525</xdr:colOff>
      <xdr:row>8</xdr:row>
      <xdr:rowOff>19050</xdr:rowOff>
    </xdr:from>
    <xdr:to>
      <xdr:col>5</xdr:col>
      <xdr:colOff>504850</xdr:colOff>
      <xdr:row>10</xdr:row>
      <xdr:rowOff>23</xdr:rowOff>
    </xdr:to>
    <xdr:pic>
      <xdr:nvPicPr>
        <xdr:cNvPr id="3" name="図 2">
          <a:extLst>
            <a:ext uri="{FF2B5EF4-FFF2-40B4-BE49-F238E27FC236}">
              <a16:creationId xmlns:a16="http://schemas.microsoft.com/office/drawing/2014/main" id="{5631E08E-2D72-809F-B5D6-DDCC6AFD4F33}"/>
            </a:ext>
          </a:extLst>
        </xdr:cNvPr>
        <xdr:cNvPicPr>
          <a:picLocks noChangeAspect="1"/>
        </xdr:cNvPicPr>
      </xdr:nvPicPr>
      <xdr:blipFill>
        <a:blip xmlns:r="http://schemas.openxmlformats.org/officeDocument/2006/relationships" r:embed="rId2"/>
        <a:stretch>
          <a:fillRect/>
        </a:stretch>
      </xdr:blipFill>
      <xdr:spPr>
        <a:xfrm>
          <a:off x="3438525" y="1685925"/>
          <a:ext cx="495325" cy="457223"/>
        </a:xfrm>
        <a:prstGeom prst="rect">
          <a:avLst/>
        </a:prstGeom>
      </xdr:spPr>
    </xdr:pic>
    <xdr:clientData/>
  </xdr:twoCellAnchor>
  <xdr:twoCellAnchor editAs="oneCell">
    <xdr:from>
      <xdr:col>1</xdr:col>
      <xdr:colOff>456906</xdr:colOff>
      <xdr:row>31</xdr:row>
      <xdr:rowOff>0</xdr:rowOff>
    </xdr:from>
    <xdr:to>
      <xdr:col>10</xdr:col>
      <xdr:colOff>0</xdr:colOff>
      <xdr:row>48</xdr:row>
      <xdr:rowOff>143090</xdr:rowOff>
    </xdr:to>
    <xdr:pic>
      <xdr:nvPicPr>
        <xdr:cNvPr id="5" name="図 4">
          <a:extLst>
            <a:ext uri="{FF2B5EF4-FFF2-40B4-BE49-F238E27FC236}">
              <a16:creationId xmlns:a16="http://schemas.microsoft.com/office/drawing/2014/main" id="{FCA80ABB-782D-DA2F-9A29-F5C99B3177A6}"/>
            </a:ext>
          </a:extLst>
        </xdr:cNvPr>
        <xdr:cNvPicPr>
          <a:picLocks noChangeAspect="1"/>
        </xdr:cNvPicPr>
      </xdr:nvPicPr>
      <xdr:blipFill>
        <a:blip xmlns:r="http://schemas.openxmlformats.org/officeDocument/2006/relationships" r:embed="rId3"/>
        <a:stretch>
          <a:fillRect/>
        </a:stretch>
      </xdr:blipFill>
      <xdr:spPr>
        <a:xfrm>
          <a:off x="1142706" y="7143750"/>
          <a:ext cx="5715294" cy="4191215"/>
        </a:xfrm>
        <a:prstGeom prst="rect">
          <a:avLst/>
        </a:prstGeom>
      </xdr:spPr>
    </xdr:pic>
    <xdr:clientData/>
  </xdr:twoCellAnchor>
  <xdr:twoCellAnchor editAs="oneCell">
    <xdr:from>
      <xdr:col>1</xdr:col>
      <xdr:colOff>0</xdr:colOff>
      <xdr:row>55</xdr:row>
      <xdr:rowOff>0</xdr:rowOff>
    </xdr:from>
    <xdr:to>
      <xdr:col>7</xdr:col>
      <xdr:colOff>40879</xdr:colOff>
      <xdr:row>69</xdr:row>
      <xdr:rowOff>202390</xdr:rowOff>
    </xdr:to>
    <xdr:pic>
      <xdr:nvPicPr>
        <xdr:cNvPr id="7" name="図 6">
          <a:extLst>
            <a:ext uri="{FF2B5EF4-FFF2-40B4-BE49-F238E27FC236}">
              <a16:creationId xmlns:a16="http://schemas.microsoft.com/office/drawing/2014/main" id="{A74F15A9-D79F-D3DB-71BF-6ECC710737ED}"/>
            </a:ext>
          </a:extLst>
        </xdr:cNvPr>
        <xdr:cNvPicPr>
          <a:picLocks noChangeAspect="1"/>
        </xdr:cNvPicPr>
      </xdr:nvPicPr>
      <xdr:blipFill>
        <a:blip xmlns:r="http://schemas.openxmlformats.org/officeDocument/2006/relationships" r:embed="rId4"/>
        <a:stretch>
          <a:fillRect/>
        </a:stretch>
      </xdr:blipFill>
      <xdr:spPr>
        <a:xfrm>
          <a:off x="685800" y="13096875"/>
          <a:ext cx="4155679" cy="35361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676275</xdr:colOff>
      <xdr:row>2</xdr:row>
      <xdr:rowOff>47625</xdr:rowOff>
    </xdr:from>
    <xdr:to>
      <xdr:col>20</xdr:col>
      <xdr:colOff>269132</xdr:colOff>
      <xdr:row>6</xdr:row>
      <xdr:rowOff>59581</xdr:rowOff>
    </xdr:to>
    <xdr:pic>
      <xdr:nvPicPr>
        <xdr:cNvPr id="4" name="Picture 4" descr="Code C Icon | IconExperience - Professional Icons » O-Collection">
          <a:extLst>
            <a:ext uri="{FF2B5EF4-FFF2-40B4-BE49-F238E27FC236}">
              <a16:creationId xmlns:a16="http://schemas.microsoft.com/office/drawing/2014/main" id="{02B3BC22-843A-4CB2-2FA5-B8E3E33BA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2387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9</xdr:row>
      <xdr:rowOff>114300</xdr:rowOff>
    </xdr:from>
    <xdr:to>
      <xdr:col>20</xdr:col>
      <xdr:colOff>269132</xdr:colOff>
      <xdr:row>13</xdr:row>
      <xdr:rowOff>126256</xdr:rowOff>
    </xdr:to>
    <xdr:pic>
      <xdr:nvPicPr>
        <xdr:cNvPr id="5" name="Picture 4" descr="Code C Icon | IconExperience - Professional Icons » O-Collection">
          <a:extLst>
            <a:ext uri="{FF2B5EF4-FFF2-40B4-BE49-F238E27FC236}">
              <a16:creationId xmlns:a16="http://schemas.microsoft.com/office/drawing/2014/main" id="{D517A8D9-3A19-CD9B-B44E-0C07493E1F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22574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16</xdr:row>
      <xdr:rowOff>152400</xdr:rowOff>
    </xdr:from>
    <xdr:to>
      <xdr:col>20</xdr:col>
      <xdr:colOff>269132</xdr:colOff>
      <xdr:row>20</xdr:row>
      <xdr:rowOff>164356</xdr:rowOff>
    </xdr:to>
    <xdr:pic>
      <xdr:nvPicPr>
        <xdr:cNvPr id="6" name="Picture 4" descr="Code C Icon | IconExperience - Professional Icons » O-Collection">
          <a:extLst>
            <a:ext uri="{FF2B5EF4-FFF2-40B4-BE49-F238E27FC236}">
              <a16:creationId xmlns:a16="http://schemas.microsoft.com/office/drawing/2014/main" id="{A3D97F2A-10E2-1099-6A1B-C055CA6889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3962400"/>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24</xdr:row>
      <xdr:rowOff>85725</xdr:rowOff>
    </xdr:from>
    <xdr:to>
      <xdr:col>20</xdr:col>
      <xdr:colOff>269132</xdr:colOff>
      <xdr:row>28</xdr:row>
      <xdr:rowOff>97681</xdr:rowOff>
    </xdr:to>
    <xdr:pic>
      <xdr:nvPicPr>
        <xdr:cNvPr id="7" name="Picture 4" descr="Code C Icon | IconExperience - Professional Icons » O-Collection">
          <a:extLst>
            <a:ext uri="{FF2B5EF4-FFF2-40B4-BE49-F238E27FC236}">
              <a16:creationId xmlns:a16="http://schemas.microsoft.com/office/drawing/2014/main" id="{0D945FF9-93D2-8C8F-E536-968C2037C2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8007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18</xdr:col>
      <xdr:colOff>285750</xdr:colOff>
      <xdr:row>6</xdr:row>
      <xdr:rowOff>76200</xdr:rowOff>
    </xdr:from>
    <xdr:ext cx="1810111" cy="325217"/>
    <xdr:sp macro="" textlink="">
      <xdr:nvSpPr>
        <xdr:cNvPr id="8" name="テキスト ボックス 7">
          <a:extLst>
            <a:ext uri="{FF2B5EF4-FFF2-40B4-BE49-F238E27FC236}">
              <a16:creationId xmlns:a16="http://schemas.microsoft.com/office/drawing/2014/main" id="{820D0E6F-8413-1AF6-7BA5-4816C58ADAF4}"/>
            </a:ext>
          </a:extLst>
        </xdr:cNvPr>
        <xdr:cNvSpPr txBox="1"/>
      </xdr:nvSpPr>
      <xdr:spPr>
        <a:xfrm>
          <a:off x="7829550" y="1504950"/>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13</xdr:row>
      <xdr:rowOff>152400</xdr:rowOff>
    </xdr:from>
    <xdr:ext cx="1810111" cy="325217"/>
    <xdr:sp macro="" textlink="">
      <xdr:nvSpPr>
        <xdr:cNvPr id="9" name="テキスト ボックス 8">
          <a:extLst>
            <a:ext uri="{FF2B5EF4-FFF2-40B4-BE49-F238E27FC236}">
              <a16:creationId xmlns:a16="http://schemas.microsoft.com/office/drawing/2014/main" id="{835B1164-3165-97E4-E643-22FB38295069}"/>
            </a:ext>
          </a:extLst>
        </xdr:cNvPr>
        <xdr:cNvSpPr txBox="1"/>
      </xdr:nvSpPr>
      <xdr:spPr>
        <a:xfrm>
          <a:off x="7829550" y="32480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20</xdr:row>
      <xdr:rowOff>123825</xdr:rowOff>
    </xdr:from>
    <xdr:ext cx="1810111" cy="325217"/>
    <xdr:sp macro="" textlink="">
      <xdr:nvSpPr>
        <xdr:cNvPr id="10" name="テキスト ボックス 9">
          <a:extLst>
            <a:ext uri="{FF2B5EF4-FFF2-40B4-BE49-F238E27FC236}">
              <a16:creationId xmlns:a16="http://schemas.microsoft.com/office/drawing/2014/main" id="{041CC4BA-C50B-3BF5-E9BE-D4B98D77B99C}"/>
            </a:ext>
          </a:extLst>
        </xdr:cNvPr>
        <xdr:cNvSpPr txBox="1"/>
      </xdr:nvSpPr>
      <xdr:spPr>
        <a:xfrm>
          <a:off x="7829550" y="48863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28</xdr:row>
      <xdr:rowOff>28575</xdr:rowOff>
    </xdr:from>
    <xdr:ext cx="1810111" cy="325217"/>
    <xdr:sp macro="" textlink="">
      <xdr:nvSpPr>
        <xdr:cNvPr id="11" name="テキスト ボックス 10">
          <a:extLst>
            <a:ext uri="{FF2B5EF4-FFF2-40B4-BE49-F238E27FC236}">
              <a16:creationId xmlns:a16="http://schemas.microsoft.com/office/drawing/2014/main" id="{D1B6FFE0-A90D-2BBC-176E-977A01217125}"/>
            </a:ext>
          </a:extLst>
        </xdr:cNvPr>
        <xdr:cNvSpPr txBox="1"/>
      </xdr:nvSpPr>
      <xdr:spPr>
        <a:xfrm>
          <a:off x="7829550" y="669607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twoCellAnchor editAs="oneCell">
    <xdr:from>
      <xdr:col>9</xdr:col>
      <xdr:colOff>559733</xdr:colOff>
      <xdr:row>12</xdr:row>
      <xdr:rowOff>63874</xdr:rowOff>
    </xdr:from>
    <xdr:to>
      <xdr:col>11</xdr:col>
      <xdr:colOff>445749</xdr:colOff>
      <xdr:row>17</xdr:row>
      <xdr:rowOff>128065</xdr:rowOff>
    </xdr:to>
    <xdr:pic>
      <xdr:nvPicPr>
        <xdr:cNvPr id="12" name="Picture 2" descr="Excel（エクセル）」アイコンのフリー素材（商用可）">
          <a:extLst>
            <a:ext uri="{FF2B5EF4-FFF2-40B4-BE49-F238E27FC236}">
              <a16:creationId xmlns:a16="http://schemas.microsoft.com/office/drawing/2014/main" id="{60B5DDD4-6CE5-092F-0290-EB629E522E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11762" y="2887756"/>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474008</xdr:colOff>
      <xdr:row>16</xdr:row>
      <xdr:rowOff>213473</xdr:rowOff>
    </xdr:from>
    <xdr:ext cx="1474314" cy="558102"/>
    <xdr:sp macro="" textlink="">
      <xdr:nvSpPr>
        <xdr:cNvPr id="14" name="テキスト ボックス 13">
          <a:extLst>
            <a:ext uri="{FF2B5EF4-FFF2-40B4-BE49-F238E27FC236}">
              <a16:creationId xmlns:a16="http://schemas.microsoft.com/office/drawing/2014/main" id="{D68B8EC2-3491-90C7-92B0-EC34D8D8A48B}"/>
            </a:ext>
          </a:extLst>
        </xdr:cNvPr>
        <xdr:cNvSpPr txBox="1"/>
      </xdr:nvSpPr>
      <xdr:spPr>
        <a:xfrm>
          <a:off x="6626037" y="3978649"/>
          <a:ext cx="1474314" cy="5581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ivdsh_cfg.c</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ivdsh_did.h</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xdr:col>
      <xdr:colOff>290792</xdr:colOff>
      <xdr:row>12</xdr:row>
      <xdr:rowOff>164726</xdr:rowOff>
    </xdr:from>
    <xdr:to>
      <xdr:col>3</xdr:col>
      <xdr:colOff>176809</xdr:colOff>
      <xdr:row>17</xdr:row>
      <xdr:rowOff>228917</xdr:rowOff>
    </xdr:to>
    <xdr:pic>
      <xdr:nvPicPr>
        <xdr:cNvPr id="15" name="Picture 2" descr="Excel（エクセル）」アイコンのフリー素材（商用可）">
          <a:extLst>
            <a:ext uri="{FF2B5EF4-FFF2-40B4-BE49-F238E27FC236}">
              <a16:creationId xmlns:a16="http://schemas.microsoft.com/office/drawing/2014/main" id="{19A47075-F8EF-5FFC-E501-38F9640D4FC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74351" y="2988608"/>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373156</xdr:colOff>
      <xdr:row>17</xdr:row>
      <xdr:rowOff>135031</xdr:rowOff>
    </xdr:from>
    <xdr:ext cx="1096839" cy="325217"/>
    <xdr:sp macro="" textlink="">
      <xdr:nvSpPr>
        <xdr:cNvPr id="16" name="テキスト ボックス 15">
          <a:extLst>
            <a:ext uri="{FF2B5EF4-FFF2-40B4-BE49-F238E27FC236}">
              <a16:creationId xmlns:a16="http://schemas.microsoft.com/office/drawing/2014/main" id="{CFE91048-CFCF-8B24-A233-0668B1800D17}"/>
            </a:ext>
          </a:extLst>
        </xdr:cNvPr>
        <xdr:cNvSpPr txBox="1"/>
      </xdr:nvSpPr>
      <xdr:spPr>
        <a:xfrm>
          <a:off x="1056715" y="4135531"/>
          <a:ext cx="1096839"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export</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12</xdr:col>
      <xdr:colOff>593351</xdr:colOff>
      <xdr:row>12</xdr:row>
      <xdr:rowOff>86285</xdr:rowOff>
    </xdr:from>
    <xdr:to>
      <xdr:col>14</xdr:col>
      <xdr:colOff>479367</xdr:colOff>
      <xdr:row>17</xdr:row>
      <xdr:rowOff>150476</xdr:rowOff>
    </xdr:to>
    <xdr:pic>
      <xdr:nvPicPr>
        <xdr:cNvPr id="17" name="Picture 2" descr="Excel（エクセル）」アイコンのフリー素材（商用可）">
          <a:extLst>
            <a:ext uri="{FF2B5EF4-FFF2-40B4-BE49-F238E27FC236}">
              <a16:creationId xmlns:a16="http://schemas.microsoft.com/office/drawing/2014/main" id="{0708101A-EF1A-B757-41BF-152491D6C7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96057" y="2910167"/>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507627</xdr:colOff>
      <xdr:row>17</xdr:row>
      <xdr:rowOff>56590</xdr:rowOff>
    </xdr:from>
    <xdr:ext cx="1474058" cy="325217"/>
    <xdr:sp macro="" textlink="">
      <xdr:nvSpPr>
        <xdr:cNvPr id="18" name="テキスト ボックス 17">
          <a:extLst>
            <a:ext uri="{FF2B5EF4-FFF2-40B4-BE49-F238E27FC236}">
              <a16:creationId xmlns:a16="http://schemas.microsoft.com/office/drawing/2014/main" id="{D587A579-33EF-474F-C405-C283751F8EB6}"/>
            </a:ext>
          </a:extLst>
        </xdr:cNvPr>
        <xdr:cNvSpPr txBox="1"/>
      </xdr:nvSpPr>
      <xdr:spPr>
        <a:xfrm>
          <a:off x="8710333" y="4057090"/>
          <a:ext cx="1474058"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「ファイル出力先」シート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5</xdr:col>
      <xdr:colOff>458880</xdr:colOff>
      <xdr:row>1</xdr:row>
      <xdr:rowOff>164725</xdr:rowOff>
    </xdr:from>
    <xdr:to>
      <xdr:col>7</xdr:col>
      <xdr:colOff>344896</xdr:colOff>
      <xdr:row>6</xdr:row>
      <xdr:rowOff>228917</xdr:rowOff>
    </xdr:to>
    <xdr:pic>
      <xdr:nvPicPr>
        <xdr:cNvPr id="19" name="Picture 2" descr="Excel（エクセル）」アイコンのフリー素材（商用可）">
          <a:extLst>
            <a:ext uri="{FF2B5EF4-FFF2-40B4-BE49-F238E27FC236}">
              <a16:creationId xmlns:a16="http://schemas.microsoft.com/office/drawing/2014/main" id="{7FEC0A5C-3870-4FD2-4738-9068A9145C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400049"/>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8</xdr:row>
      <xdr:rowOff>198342</xdr:rowOff>
    </xdr:from>
    <xdr:to>
      <xdr:col>7</xdr:col>
      <xdr:colOff>344896</xdr:colOff>
      <xdr:row>14</xdr:row>
      <xdr:rowOff>27210</xdr:rowOff>
    </xdr:to>
    <xdr:pic>
      <xdr:nvPicPr>
        <xdr:cNvPr id="20" name="Picture 2" descr="Excel（エクセル）」アイコンのフリー素材（商用可）">
          <a:extLst>
            <a:ext uri="{FF2B5EF4-FFF2-40B4-BE49-F238E27FC236}">
              <a16:creationId xmlns:a16="http://schemas.microsoft.com/office/drawing/2014/main" id="{4A84E598-56DB-0D52-F9C2-05E9A955C8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2080930"/>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15</xdr:row>
      <xdr:rowOff>231961</xdr:rowOff>
    </xdr:from>
    <xdr:to>
      <xdr:col>7</xdr:col>
      <xdr:colOff>344896</xdr:colOff>
      <xdr:row>21</xdr:row>
      <xdr:rowOff>60829</xdr:rowOff>
    </xdr:to>
    <xdr:pic>
      <xdr:nvPicPr>
        <xdr:cNvPr id="21" name="Picture 2" descr="Excel（エクセル）」アイコンのフリー素材（商用可）">
          <a:extLst>
            <a:ext uri="{FF2B5EF4-FFF2-40B4-BE49-F238E27FC236}">
              <a16:creationId xmlns:a16="http://schemas.microsoft.com/office/drawing/2014/main" id="{27C0594A-20C5-E3F8-E090-860752C085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3761814"/>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23</xdr:row>
      <xdr:rowOff>142314</xdr:rowOff>
    </xdr:from>
    <xdr:to>
      <xdr:col>7</xdr:col>
      <xdr:colOff>344896</xdr:colOff>
      <xdr:row>28</xdr:row>
      <xdr:rowOff>206505</xdr:rowOff>
    </xdr:to>
    <xdr:pic>
      <xdr:nvPicPr>
        <xdr:cNvPr id="22" name="Picture 2" descr="Excel（エクセル）」アイコンのフリー素材（商用可）">
          <a:extLst>
            <a:ext uri="{FF2B5EF4-FFF2-40B4-BE49-F238E27FC236}">
              <a16:creationId xmlns:a16="http://schemas.microsoft.com/office/drawing/2014/main" id="{85CE84B9-B48E-908E-83D9-25040E2B1B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5554755"/>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487457</xdr:colOff>
      <xdr:row>6</xdr:row>
      <xdr:rowOff>76200</xdr:rowOff>
    </xdr:from>
    <xdr:ext cx="1070165" cy="325217"/>
    <xdr:sp macro="" textlink="">
      <xdr:nvSpPr>
        <xdr:cNvPr id="27" name="テキスト ボックス 26">
          <a:extLst>
            <a:ext uri="{FF2B5EF4-FFF2-40B4-BE49-F238E27FC236}">
              <a16:creationId xmlns:a16="http://schemas.microsoft.com/office/drawing/2014/main" id="{551AC74E-9212-3C14-6892-0C6C6ED5CE7E}"/>
            </a:ext>
          </a:extLst>
        </xdr:cNvPr>
        <xdr:cNvSpPr txBox="1"/>
      </xdr:nvSpPr>
      <xdr:spPr>
        <a:xfrm>
          <a:off x="3905251" y="1488141"/>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VM#0</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13</xdr:row>
      <xdr:rowOff>87406</xdr:rowOff>
    </xdr:from>
    <xdr:ext cx="1070165" cy="325217"/>
    <xdr:sp macro="" textlink="">
      <xdr:nvSpPr>
        <xdr:cNvPr id="31" name="テキスト ボックス 30">
          <a:extLst>
            <a:ext uri="{FF2B5EF4-FFF2-40B4-BE49-F238E27FC236}">
              <a16:creationId xmlns:a16="http://schemas.microsoft.com/office/drawing/2014/main" id="{141C786D-053D-763B-498E-096D50F5930D}"/>
            </a:ext>
          </a:extLst>
        </xdr:cNvPr>
        <xdr:cNvSpPr txBox="1"/>
      </xdr:nvSpPr>
      <xdr:spPr>
        <a:xfrm>
          <a:off x="3905251" y="3146612"/>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VM#1</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20</xdr:row>
      <xdr:rowOff>143436</xdr:rowOff>
    </xdr:from>
    <xdr:ext cx="1070165" cy="325217"/>
    <xdr:sp macro="" textlink="">
      <xdr:nvSpPr>
        <xdr:cNvPr id="32" name="テキスト ボックス 31">
          <a:extLst>
            <a:ext uri="{FF2B5EF4-FFF2-40B4-BE49-F238E27FC236}">
              <a16:creationId xmlns:a16="http://schemas.microsoft.com/office/drawing/2014/main" id="{06E9EFCE-E777-1979-6927-107E9E1C80E7}"/>
            </a:ext>
          </a:extLst>
        </xdr:cNvPr>
        <xdr:cNvSpPr txBox="1"/>
      </xdr:nvSpPr>
      <xdr:spPr>
        <a:xfrm>
          <a:off x="3905251" y="4849907"/>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VM#2</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28</xdr:row>
      <xdr:rowOff>53789</xdr:rowOff>
    </xdr:from>
    <xdr:ext cx="1070165" cy="325217"/>
    <xdr:sp macro="" textlink="">
      <xdr:nvSpPr>
        <xdr:cNvPr id="33" name="テキスト ボックス 32">
          <a:extLst>
            <a:ext uri="{FF2B5EF4-FFF2-40B4-BE49-F238E27FC236}">
              <a16:creationId xmlns:a16="http://schemas.microsoft.com/office/drawing/2014/main" id="{DB368B24-0F9F-E7D5-4C91-9C05EC4F500A}"/>
            </a:ext>
          </a:extLst>
        </xdr:cNvPr>
        <xdr:cNvSpPr txBox="1"/>
      </xdr:nvSpPr>
      <xdr:spPr>
        <a:xfrm>
          <a:off x="3905251" y="6642848"/>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VM#3</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xdr:from>
      <xdr:col>5</xdr:col>
      <xdr:colOff>526675</xdr:colOff>
      <xdr:row>3</xdr:row>
      <xdr:rowOff>190499</xdr:rowOff>
    </xdr:from>
    <xdr:to>
      <xdr:col>6</xdr:col>
      <xdr:colOff>380998</xdr:colOff>
      <xdr:row>5</xdr:row>
      <xdr:rowOff>22410</xdr:rowOff>
    </xdr:to>
    <xdr:sp macro="" textlink="">
      <xdr:nvSpPr>
        <xdr:cNvPr id="35" name="テキスト ボックス 34">
          <a:extLst>
            <a:ext uri="{FF2B5EF4-FFF2-40B4-BE49-F238E27FC236}">
              <a16:creationId xmlns:a16="http://schemas.microsoft.com/office/drawing/2014/main" id="{E979AD4D-3472-335A-D0FA-9245BDE10535}"/>
            </a:ext>
          </a:extLst>
        </xdr:cNvPr>
        <xdr:cNvSpPr txBox="1"/>
      </xdr:nvSpPr>
      <xdr:spPr>
        <a:xfrm>
          <a:off x="3944469" y="89647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10</xdr:row>
      <xdr:rowOff>145676</xdr:rowOff>
    </xdr:from>
    <xdr:to>
      <xdr:col>6</xdr:col>
      <xdr:colOff>380998</xdr:colOff>
      <xdr:row>11</xdr:row>
      <xdr:rowOff>212910</xdr:rowOff>
    </xdr:to>
    <xdr:sp macro="" textlink="">
      <xdr:nvSpPr>
        <xdr:cNvPr id="36" name="テキスト ボックス 35">
          <a:extLst>
            <a:ext uri="{FF2B5EF4-FFF2-40B4-BE49-F238E27FC236}">
              <a16:creationId xmlns:a16="http://schemas.microsoft.com/office/drawing/2014/main" id="{CE5305A8-3F24-33CB-6A5C-C58E6AD6E554}"/>
            </a:ext>
          </a:extLst>
        </xdr:cNvPr>
        <xdr:cNvSpPr txBox="1"/>
      </xdr:nvSpPr>
      <xdr:spPr>
        <a:xfrm>
          <a:off x="3944469" y="2498911"/>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17</xdr:row>
      <xdr:rowOff>190500</xdr:rowOff>
    </xdr:from>
    <xdr:to>
      <xdr:col>6</xdr:col>
      <xdr:colOff>380998</xdr:colOff>
      <xdr:row>19</xdr:row>
      <xdr:rowOff>22411</xdr:rowOff>
    </xdr:to>
    <xdr:sp macro="" textlink="">
      <xdr:nvSpPr>
        <xdr:cNvPr id="37" name="テキスト ボックス 36">
          <a:extLst>
            <a:ext uri="{FF2B5EF4-FFF2-40B4-BE49-F238E27FC236}">
              <a16:creationId xmlns:a16="http://schemas.microsoft.com/office/drawing/2014/main" id="{4F529FEC-1DCD-A400-A8C9-F52199E28ABE}"/>
            </a:ext>
          </a:extLst>
        </xdr:cNvPr>
        <xdr:cNvSpPr txBox="1"/>
      </xdr:nvSpPr>
      <xdr:spPr>
        <a:xfrm>
          <a:off x="3944469" y="419100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25</xdr:row>
      <xdr:rowOff>134471</xdr:rowOff>
    </xdr:from>
    <xdr:to>
      <xdr:col>6</xdr:col>
      <xdr:colOff>380998</xdr:colOff>
      <xdr:row>26</xdr:row>
      <xdr:rowOff>201705</xdr:rowOff>
    </xdr:to>
    <xdr:sp macro="" textlink="">
      <xdr:nvSpPr>
        <xdr:cNvPr id="38" name="テキスト ボックス 37">
          <a:extLst>
            <a:ext uri="{FF2B5EF4-FFF2-40B4-BE49-F238E27FC236}">
              <a16:creationId xmlns:a16="http://schemas.microsoft.com/office/drawing/2014/main" id="{199AA740-5C87-13CE-D302-6BF72E5E1255}"/>
            </a:ext>
          </a:extLst>
        </xdr:cNvPr>
        <xdr:cNvSpPr txBox="1"/>
      </xdr:nvSpPr>
      <xdr:spPr>
        <a:xfrm>
          <a:off x="3944469" y="6017559"/>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2</xdr:col>
      <xdr:colOff>233800</xdr:colOff>
      <xdr:row>4</xdr:row>
      <xdr:rowOff>79160</xdr:rowOff>
    </xdr:from>
    <xdr:to>
      <xdr:col>5</xdr:col>
      <xdr:colOff>458880</xdr:colOff>
      <xdr:row>12</xdr:row>
      <xdr:rowOff>164726</xdr:rowOff>
    </xdr:to>
    <xdr:cxnSp macro="">
      <xdr:nvCxnSpPr>
        <xdr:cNvPr id="42" name="コネクタ: カギ線 41">
          <a:extLst>
            <a:ext uri="{FF2B5EF4-FFF2-40B4-BE49-F238E27FC236}">
              <a16:creationId xmlns:a16="http://schemas.microsoft.com/office/drawing/2014/main" id="{BB12ED6C-35E5-5B1A-B01E-A82A84BA3AB2}"/>
            </a:ext>
          </a:extLst>
        </xdr:cNvPr>
        <xdr:cNvCxnSpPr>
          <a:stCxn id="15" idx="0"/>
          <a:endCxn id="19" idx="1"/>
        </xdr:cNvCxnSpPr>
      </xdr:nvCxnSpPr>
      <xdr:spPr>
        <a:xfrm rot="5400000" flipH="1" flipV="1">
          <a:off x="1754719" y="866653"/>
          <a:ext cx="1968154" cy="2275756"/>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238016</xdr:colOff>
      <xdr:row>18</xdr:row>
      <xdr:rowOff>224924</xdr:rowOff>
    </xdr:from>
    <xdr:to>
      <xdr:col>5</xdr:col>
      <xdr:colOff>458879</xdr:colOff>
      <xdr:row>26</xdr:row>
      <xdr:rowOff>56748</xdr:rowOff>
    </xdr:to>
    <xdr:cxnSp macro="">
      <xdr:nvCxnSpPr>
        <xdr:cNvPr id="49" name="コネクタ: カギ線 48">
          <a:extLst>
            <a:ext uri="{FF2B5EF4-FFF2-40B4-BE49-F238E27FC236}">
              <a16:creationId xmlns:a16="http://schemas.microsoft.com/office/drawing/2014/main" id="{BF6FBB32-4ADF-C968-9366-173E46CC0137}"/>
            </a:ext>
          </a:extLst>
        </xdr:cNvPr>
        <xdr:cNvCxnSpPr>
          <a:stCxn id="16" idx="2"/>
          <a:endCxn id="22" idx="1"/>
        </xdr:cNvCxnSpPr>
      </xdr:nvCxnSpPr>
      <xdr:spPr>
        <a:xfrm rot="16200000" flipH="1">
          <a:off x="1883698" y="4182184"/>
          <a:ext cx="1714412" cy="2271539"/>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11</xdr:row>
      <xdr:rowOff>112776</xdr:rowOff>
    </xdr:from>
    <xdr:to>
      <xdr:col>5</xdr:col>
      <xdr:colOff>458880</xdr:colOff>
      <xdr:row>15</xdr:row>
      <xdr:rowOff>79160</xdr:rowOff>
    </xdr:to>
    <xdr:cxnSp macro="">
      <xdr:nvCxnSpPr>
        <xdr:cNvPr id="53" name="直線矢印コネクタ 52">
          <a:extLst>
            <a:ext uri="{FF2B5EF4-FFF2-40B4-BE49-F238E27FC236}">
              <a16:creationId xmlns:a16="http://schemas.microsoft.com/office/drawing/2014/main" id="{BC2913B1-2A01-1236-29EC-B24C2E7534CB}"/>
            </a:ext>
          </a:extLst>
        </xdr:cNvPr>
        <xdr:cNvCxnSpPr>
          <a:stCxn id="15" idx="3"/>
          <a:endCxn id="20" idx="1"/>
        </xdr:cNvCxnSpPr>
      </xdr:nvCxnSpPr>
      <xdr:spPr>
        <a:xfrm flipV="1">
          <a:off x="2227485" y="2701335"/>
          <a:ext cx="1649189" cy="907678"/>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15</xdr:row>
      <xdr:rowOff>79160</xdr:rowOff>
    </xdr:from>
    <xdr:to>
      <xdr:col>5</xdr:col>
      <xdr:colOff>458880</xdr:colOff>
      <xdr:row>18</xdr:row>
      <xdr:rowOff>146395</xdr:rowOff>
    </xdr:to>
    <xdr:cxnSp macro="">
      <xdr:nvCxnSpPr>
        <xdr:cNvPr id="54" name="直線矢印コネクタ 53">
          <a:extLst>
            <a:ext uri="{FF2B5EF4-FFF2-40B4-BE49-F238E27FC236}">
              <a16:creationId xmlns:a16="http://schemas.microsoft.com/office/drawing/2014/main" id="{6CBB8B6E-3677-BCEB-24B9-C2D6B198A827}"/>
            </a:ext>
          </a:extLst>
        </xdr:cNvPr>
        <xdr:cNvCxnSpPr>
          <a:stCxn id="15" idx="3"/>
          <a:endCxn id="21" idx="1"/>
        </xdr:cNvCxnSpPr>
      </xdr:nvCxnSpPr>
      <xdr:spPr>
        <a:xfrm>
          <a:off x="2227485" y="3609013"/>
          <a:ext cx="1649189" cy="773206"/>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33617</xdr:colOff>
      <xdr:row>0</xdr:row>
      <xdr:rowOff>145678</xdr:rowOff>
    </xdr:from>
    <xdr:to>
      <xdr:col>7</xdr:col>
      <xdr:colOff>627529</xdr:colOff>
      <xdr:row>31</xdr:row>
      <xdr:rowOff>44825</xdr:rowOff>
    </xdr:to>
    <xdr:sp macro="" textlink="">
      <xdr:nvSpPr>
        <xdr:cNvPr id="58" name="正方形/長方形 57">
          <a:extLst>
            <a:ext uri="{FF2B5EF4-FFF2-40B4-BE49-F238E27FC236}">
              <a16:creationId xmlns:a16="http://schemas.microsoft.com/office/drawing/2014/main" id="{B683BBCD-4DD1-798F-479A-CC131AA3C378}"/>
            </a:ext>
          </a:extLst>
        </xdr:cNvPr>
        <xdr:cNvSpPr/>
      </xdr:nvSpPr>
      <xdr:spPr>
        <a:xfrm>
          <a:off x="3451411" y="145678"/>
          <a:ext cx="1961030"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13</xdr:row>
      <xdr:rowOff>11203</xdr:rowOff>
    </xdr:from>
    <xdr:to>
      <xdr:col>15</xdr:col>
      <xdr:colOff>437026</xdr:colOff>
      <xdr:row>13</xdr:row>
      <xdr:rowOff>201707</xdr:rowOff>
    </xdr:to>
    <xdr:sp macro="" textlink="">
      <xdr:nvSpPr>
        <xdr:cNvPr id="59" name="正方形/長方形 58">
          <a:extLst>
            <a:ext uri="{FF2B5EF4-FFF2-40B4-BE49-F238E27FC236}">
              <a16:creationId xmlns:a16="http://schemas.microsoft.com/office/drawing/2014/main" id="{5850A230-083B-117C-7DC9-D0D698A9374A}"/>
            </a:ext>
          </a:extLst>
        </xdr:cNvPr>
        <xdr:cNvSpPr/>
      </xdr:nvSpPr>
      <xdr:spPr>
        <a:xfrm>
          <a:off x="9625850"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VM0</a:t>
          </a:r>
          <a:r>
            <a:rPr kumimoji="1" lang="ja-JP" altLang="en-US" sz="1100"/>
            <a:t>出力</a:t>
          </a:r>
        </a:p>
      </xdr:txBody>
    </xdr:sp>
    <xdr:clientData/>
  </xdr:twoCellAnchor>
  <xdr:twoCellAnchor>
    <xdr:from>
      <xdr:col>15</xdr:col>
      <xdr:colOff>56026</xdr:colOff>
      <xdr:row>14</xdr:row>
      <xdr:rowOff>33616</xdr:rowOff>
    </xdr:from>
    <xdr:to>
      <xdr:col>15</xdr:col>
      <xdr:colOff>437026</xdr:colOff>
      <xdr:row>14</xdr:row>
      <xdr:rowOff>224120</xdr:rowOff>
    </xdr:to>
    <xdr:sp macro="" textlink="">
      <xdr:nvSpPr>
        <xdr:cNvPr id="60" name="正方形/長方形 59">
          <a:extLst>
            <a:ext uri="{FF2B5EF4-FFF2-40B4-BE49-F238E27FC236}">
              <a16:creationId xmlns:a16="http://schemas.microsoft.com/office/drawing/2014/main" id="{C525423F-D932-68F0-4C64-9051E7130AB4}"/>
            </a:ext>
          </a:extLst>
        </xdr:cNvPr>
        <xdr:cNvSpPr/>
      </xdr:nvSpPr>
      <xdr:spPr>
        <a:xfrm>
          <a:off x="9625850"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15</xdr:row>
      <xdr:rowOff>44821</xdr:rowOff>
    </xdr:from>
    <xdr:to>
      <xdr:col>15</xdr:col>
      <xdr:colOff>437026</xdr:colOff>
      <xdr:row>16</xdr:row>
      <xdr:rowOff>2</xdr:rowOff>
    </xdr:to>
    <xdr:sp macro="" textlink="">
      <xdr:nvSpPr>
        <xdr:cNvPr id="61" name="正方形/長方形 60">
          <a:extLst>
            <a:ext uri="{FF2B5EF4-FFF2-40B4-BE49-F238E27FC236}">
              <a16:creationId xmlns:a16="http://schemas.microsoft.com/office/drawing/2014/main" id="{AC0F5855-FA6A-FF03-7568-AAF0176293E9}"/>
            </a:ext>
          </a:extLst>
        </xdr:cNvPr>
        <xdr:cNvSpPr/>
      </xdr:nvSpPr>
      <xdr:spPr>
        <a:xfrm>
          <a:off x="9625850"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16</xdr:row>
      <xdr:rowOff>56027</xdr:rowOff>
    </xdr:from>
    <xdr:to>
      <xdr:col>15</xdr:col>
      <xdr:colOff>437026</xdr:colOff>
      <xdr:row>17</xdr:row>
      <xdr:rowOff>11207</xdr:rowOff>
    </xdr:to>
    <xdr:sp macro="" textlink="">
      <xdr:nvSpPr>
        <xdr:cNvPr id="62" name="正方形/長方形 61">
          <a:extLst>
            <a:ext uri="{FF2B5EF4-FFF2-40B4-BE49-F238E27FC236}">
              <a16:creationId xmlns:a16="http://schemas.microsoft.com/office/drawing/2014/main" id="{BF4ADF5E-4D9F-43A2-E833-3BC7F21AD4DA}"/>
            </a:ext>
          </a:extLst>
        </xdr:cNvPr>
        <xdr:cNvSpPr/>
      </xdr:nvSpPr>
      <xdr:spPr>
        <a:xfrm>
          <a:off x="9625850"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13</xdr:row>
      <xdr:rowOff>11203</xdr:rowOff>
    </xdr:from>
    <xdr:to>
      <xdr:col>9</xdr:col>
      <xdr:colOff>313762</xdr:colOff>
      <xdr:row>13</xdr:row>
      <xdr:rowOff>201707</xdr:rowOff>
    </xdr:to>
    <xdr:sp macro="" textlink="">
      <xdr:nvSpPr>
        <xdr:cNvPr id="63" name="正方形/長方形 62">
          <a:extLst>
            <a:ext uri="{FF2B5EF4-FFF2-40B4-BE49-F238E27FC236}">
              <a16:creationId xmlns:a16="http://schemas.microsoft.com/office/drawing/2014/main" id="{5AA0DAE5-F63C-4C01-B153-FFECC87D9E1F}"/>
            </a:ext>
          </a:extLst>
        </xdr:cNvPr>
        <xdr:cNvSpPr/>
      </xdr:nvSpPr>
      <xdr:spPr>
        <a:xfrm>
          <a:off x="6084791"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14</xdr:row>
      <xdr:rowOff>33616</xdr:rowOff>
    </xdr:from>
    <xdr:to>
      <xdr:col>9</xdr:col>
      <xdr:colOff>313762</xdr:colOff>
      <xdr:row>14</xdr:row>
      <xdr:rowOff>224120</xdr:rowOff>
    </xdr:to>
    <xdr:sp macro="" textlink="">
      <xdr:nvSpPr>
        <xdr:cNvPr id="64" name="正方形/長方形 63">
          <a:extLst>
            <a:ext uri="{FF2B5EF4-FFF2-40B4-BE49-F238E27FC236}">
              <a16:creationId xmlns:a16="http://schemas.microsoft.com/office/drawing/2014/main" id="{3AD5DC66-B408-7DCA-574C-660CF65FF517}"/>
            </a:ext>
          </a:extLst>
        </xdr:cNvPr>
        <xdr:cNvSpPr/>
      </xdr:nvSpPr>
      <xdr:spPr>
        <a:xfrm>
          <a:off x="6084791"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15</xdr:row>
      <xdr:rowOff>44821</xdr:rowOff>
    </xdr:from>
    <xdr:to>
      <xdr:col>9</xdr:col>
      <xdr:colOff>313762</xdr:colOff>
      <xdr:row>16</xdr:row>
      <xdr:rowOff>2</xdr:rowOff>
    </xdr:to>
    <xdr:sp macro="" textlink="">
      <xdr:nvSpPr>
        <xdr:cNvPr id="65" name="正方形/長方形 64">
          <a:extLst>
            <a:ext uri="{FF2B5EF4-FFF2-40B4-BE49-F238E27FC236}">
              <a16:creationId xmlns:a16="http://schemas.microsoft.com/office/drawing/2014/main" id="{F1512E31-120D-5C5E-51A1-161964893F1F}"/>
            </a:ext>
          </a:extLst>
        </xdr:cNvPr>
        <xdr:cNvSpPr/>
      </xdr:nvSpPr>
      <xdr:spPr>
        <a:xfrm>
          <a:off x="6084791"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16</xdr:row>
      <xdr:rowOff>56027</xdr:rowOff>
    </xdr:from>
    <xdr:to>
      <xdr:col>9</xdr:col>
      <xdr:colOff>313762</xdr:colOff>
      <xdr:row>17</xdr:row>
      <xdr:rowOff>11207</xdr:rowOff>
    </xdr:to>
    <xdr:sp macro="" textlink="">
      <xdr:nvSpPr>
        <xdr:cNvPr id="66" name="正方形/長方形 65">
          <a:extLst>
            <a:ext uri="{FF2B5EF4-FFF2-40B4-BE49-F238E27FC236}">
              <a16:creationId xmlns:a16="http://schemas.microsoft.com/office/drawing/2014/main" id="{50F1131A-4ABE-836C-75D8-7F26ABDC6292}"/>
            </a:ext>
          </a:extLst>
        </xdr:cNvPr>
        <xdr:cNvSpPr/>
      </xdr:nvSpPr>
      <xdr:spPr>
        <a:xfrm>
          <a:off x="6084791"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344896</xdr:colOff>
      <xdr:row>11</xdr:row>
      <xdr:rowOff>112776</xdr:rowOff>
    </xdr:from>
    <xdr:to>
      <xdr:col>8</xdr:col>
      <xdr:colOff>616320</xdr:colOff>
      <xdr:row>14</xdr:row>
      <xdr:rowOff>128868</xdr:rowOff>
    </xdr:to>
    <xdr:cxnSp macro="">
      <xdr:nvCxnSpPr>
        <xdr:cNvPr id="70" name="直線矢印コネクタ 69">
          <a:extLst>
            <a:ext uri="{FF2B5EF4-FFF2-40B4-BE49-F238E27FC236}">
              <a16:creationId xmlns:a16="http://schemas.microsoft.com/office/drawing/2014/main" id="{6EA6D3DB-32BD-9D0A-D43B-E797AEFA6480}"/>
            </a:ext>
          </a:extLst>
        </xdr:cNvPr>
        <xdr:cNvCxnSpPr>
          <a:stCxn id="20" idx="3"/>
          <a:endCxn id="64" idx="1"/>
        </xdr:cNvCxnSpPr>
      </xdr:nvCxnSpPr>
      <xdr:spPr>
        <a:xfrm>
          <a:off x="5129808" y="2701335"/>
          <a:ext cx="954983" cy="722062"/>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15</xdr:row>
      <xdr:rowOff>140073</xdr:rowOff>
    </xdr:from>
    <xdr:to>
      <xdr:col>8</xdr:col>
      <xdr:colOff>616320</xdr:colOff>
      <xdr:row>18</xdr:row>
      <xdr:rowOff>146395</xdr:rowOff>
    </xdr:to>
    <xdr:cxnSp macro="">
      <xdr:nvCxnSpPr>
        <xdr:cNvPr id="73" name="直線矢印コネクタ 72">
          <a:extLst>
            <a:ext uri="{FF2B5EF4-FFF2-40B4-BE49-F238E27FC236}">
              <a16:creationId xmlns:a16="http://schemas.microsoft.com/office/drawing/2014/main" id="{ABA19DDC-20F2-65F7-4F77-7440EDE76626}"/>
            </a:ext>
          </a:extLst>
        </xdr:cNvPr>
        <xdr:cNvCxnSpPr>
          <a:stCxn id="21" idx="3"/>
          <a:endCxn id="65" idx="1"/>
        </xdr:cNvCxnSpPr>
      </xdr:nvCxnSpPr>
      <xdr:spPr>
        <a:xfrm flipV="1">
          <a:off x="5129808" y="3669926"/>
          <a:ext cx="954983" cy="712293"/>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4</xdr:row>
      <xdr:rowOff>79160</xdr:rowOff>
    </xdr:from>
    <xdr:to>
      <xdr:col>9</xdr:col>
      <xdr:colOff>123262</xdr:colOff>
      <xdr:row>13</xdr:row>
      <xdr:rowOff>11203</xdr:rowOff>
    </xdr:to>
    <xdr:cxnSp macro="">
      <xdr:nvCxnSpPr>
        <xdr:cNvPr id="77" name="コネクタ: カギ線 76">
          <a:extLst>
            <a:ext uri="{FF2B5EF4-FFF2-40B4-BE49-F238E27FC236}">
              <a16:creationId xmlns:a16="http://schemas.microsoft.com/office/drawing/2014/main" id="{45733B44-5A9A-FCAF-2339-135E4F309DF4}"/>
            </a:ext>
          </a:extLst>
        </xdr:cNvPr>
        <xdr:cNvCxnSpPr>
          <a:stCxn id="19" idx="3"/>
          <a:endCxn id="63" idx="0"/>
        </xdr:cNvCxnSpPr>
      </xdr:nvCxnSpPr>
      <xdr:spPr>
        <a:xfrm>
          <a:off x="5129808" y="1020454"/>
          <a:ext cx="1145483" cy="2049955"/>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17</xdr:row>
      <xdr:rowOff>11207</xdr:rowOff>
    </xdr:from>
    <xdr:to>
      <xdr:col>9</xdr:col>
      <xdr:colOff>123262</xdr:colOff>
      <xdr:row>26</xdr:row>
      <xdr:rowOff>56748</xdr:rowOff>
    </xdr:to>
    <xdr:cxnSp macro="">
      <xdr:nvCxnSpPr>
        <xdr:cNvPr id="80" name="コネクタ: カギ線 79">
          <a:extLst>
            <a:ext uri="{FF2B5EF4-FFF2-40B4-BE49-F238E27FC236}">
              <a16:creationId xmlns:a16="http://schemas.microsoft.com/office/drawing/2014/main" id="{396FD732-2F7D-7FA0-401E-C03B0490C16B}"/>
            </a:ext>
          </a:extLst>
        </xdr:cNvPr>
        <xdr:cNvCxnSpPr>
          <a:stCxn id="22" idx="3"/>
          <a:endCxn id="66" idx="2"/>
        </xdr:cNvCxnSpPr>
      </xdr:nvCxnSpPr>
      <xdr:spPr>
        <a:xfrm flipV="1">
          <a:off x="5129808" y="4011707"/>
          <a:ext cx="1145483" cy="2163453"/>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13</xdr:row>
      <xdr:rowOff>11204</xdr:rowOff>
    </xdr:from>
    <xdr:to>
      <xdr:col>15</xdr:col>
      <xdr:colOff>56025</xdr:colOff>
      <xdr:row>13</xdr:row>
      <xdr:rowOff>106456</xdr:rowOff>
    </xdr:to>
    <xdr:cxnSp macro="">
      <xdr:nvCxnSpPr>
        <xdr:cNvPr id="84" name="コネクタ: カギ線 83">
          <a:extLst>
            <a:ext uri="{FF2B5EF4-FFF2-40B4-BE49-F238E27FC236}">
              <a16:creationId xmlns:a16="http://schemas.microsoft.com/office/drawing/2014/main" id="{4E9570B3-1D05-6D01-E832-7242AC573A7F}"/>
            </a:ext>
          </a:extLst>
        </xdr:cNvPr>
        <xdr:cNvCxnSpPr>
          <a:stCxn id="63" idx="0"/>
          <a:endCxn id="59" idx="1"/>
        </xdr:cNvCxnSpPr>
      </xdr:nvCxnSpPr>
      <xdr:spPr>
        <a:xfrm rot="16200000" flipH="1">
          <a:off x="7902944" y="1442756"/>
          <a:ext cx="95252" cy="3350559"/>
        </a:xfrm>
        <a:prstGeom prst="bentConnector4">
          <a:avLst>
            <a:gd name="adj1" fmla="val 101174"/>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16</xdr:row>
      <xdr:rowOff>151279</xdr:rowOff>
    </xdr:from>
    <xdr:to>
      <xdr:col>15</xdr:col>
      <xdr:colOff>56025</xdr:colOff>
      <xdr:row>17</xdr:row>
      <xdr:rowOff>11207</xdr:rowOff>
    </xdr:to>
    <xdr:cxnSp macro="">
      <xdr:nvCxnSpPr>
        <xdr:cNvPr id="86" name="コネクタ: カギ線 85">
          <a:extLst>
            <a:ext uri="{FF2B5EF4-FFF2-40B4-BE49-F238E27FC236}">
              <a16:creationId xmlns:a16="http://schemas.microsoft.com/office/drawing/2014/main" id="{467681F6-E35E-C97A-F1BD-C973F040F492}"/>
            </a:ext>
          </a:extLst>
        </xdr:cNvPr>
        <xdr:cNvCxnSpPr>
          <a:stCxn id="66" idx="2"/>
          <a:endCxn id="62" idx="1"/>
        </xdr:cNvCxnSpPr>
      </xdr:nvCxnSpPr>
      <xdr:spPr>
        <a:xfrm rot="5400000" flipH="1" flipV="1">
          <a:off x="7902944" y="2288801"/>
          <a:ext cx="95252" cy="3350559"/>
        </a:xfrm>
        <a:prstGeom prst="bentConnector4">
          <a:avLst>
            <a:gd name="adj1" fmla="val 101175"/>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14</xdr:row>
      <xdr:rowOff>128868</xdr:rowOff>
    </xdr:from>
    <xdr:to>
      <xdr:col>15</xdr:col>
      <xdr:colOff>56026</xdr:colOff>
      <xdr:row>14</xdr:row>
      <xdr:rowOff>128868</xdr:rowOff>
    </xdr:to>
    <xdr:cxnSp macro="">
      <xdr:nvCxnSpPr>
        <xdr:cNvPr id="90" name="直線矢印コネクタ 89">
          <a:extLst>
            <a:ext uri="{FF2B5EF4-FFF2-40B4-BE49-F238E27FC236}">
              <a16:creationId xmlns:a16="http://schemas.microsoft.com/office/drawing/2014/main" id="{3422C734-3127-E21E-D38A-4D3CB9B79DBC}"/>
            </a:ext>
          </a:extLst>
        </xdr:cNvPr>
        <xdr:cNvCxnSpPr>
          <a:stCxn id="64" idx="1"/>
          <a:endCxn id="60" idx="1"/>
        </xdr:cNvCxnSpPr>
      </xdr:nvCxnSpPr>
      <xdr:spPr>
        <a:xfrm>
          <a:off x="6084791" y="3423397"/>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15</xdr:row>
      <xdr:rowOff>140073</xdr:rowOff>
    </xdr:from>
    <xdr:to>
      <xdr:col>15</xdr:col>
      <xdr:colOff>56026</xdr:colOff>
      <xdr:row>15</xdr:row>
      <xdr:rowOff>140073</xdr:rowOff>
    </xdr:to>
    <xdr:cxnSp macro="">
      <xdr:nvCxnSpPr>
        <xdr:cNvPr id="93" name="直線矢印コネクタ 92">
          <a:extLst>
            <a:ext uri="{FF2B5EF4-FFF2-40B4-BE49-F238E27FC236}">
              <a16:creationId xmlns:a16="http://schemas.microsoft.com/office/drawing/2014/main" id="{78087656-0E25-F57F-A2ED-8F68F795963F}"/>
            </a:ext>
          </a:extLst>
        </xdr:cNvPr>
        <xdr:cNvCxnSpPr>
          <a:stCxn id="65" idx="1"/>
          <a:endCxn id="61" idx="1"/>
        </xdr:cNvCxnSpPr>
      </xdr:nvCxnSpPr>
      <xdr:spPr>
        <a:xfrm>
          <a:off x="6084791" y="3669926"/>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4</xdr:row>
      <xdr:rowOff>53603</xdr:rowOff>
    </xdr:from>
    <xdr:to>
      <xdr:col>18</xdr:col>
      <xdr:colOff>676275</xdr:colOff>
      <xdr:row>13</xdr:row>
      <xdr:rowOff>106455</xdr:rowOff>
    </xdr:to>
    <xdr:cxnSp macro="">
      <xdr:nvCxnSpPr>
        <xdr:cNvPr id="103" name="コネクタ: カギ線 102">
          <a:extLst>
            <a:ext uri="{FF2B5EF4-FFF2-40B4-BE49-F238E27FC236}">
              <a16:creationId xmlns:a16="http://schemas.microsoft.com/office/drawing/2014/main" id="{7C01EAB5-EFF0-F45B-50B0-1E5662C82177}"/>
            </a:ext>
          </a:extLst>
        </xdr:cNvPr>
        <xdr:cNvCxnSpPr>
          <a:stCxn id="59" idx="1"/>
          <a:endCxn id="4" idx="1"/>
        </xdr:cNvCxnSpPr>
      </xdr:nvCxnSpPr>
      <xdr:spPr>
        <a:xfrm rot="10800000" flipH="1">
          <a:off x="9625850" y="994897"/>
          <a:ext cx="1987366" cy="2170764"/>
        </a:xfrm>
        <a:prstGeom prst="bentConnector3">
          <a:avLst>
            <a:gd name="adj1" fmla="val 1105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11</xdr:row>
      <xdr:rowOff>120278</xdr:rowOff>
    </xdr:from>
    <xdr:to>
      <xdr:col>18</xdr:col>
      <xdr:colOff>676275</xdr:colOff>
      <xdr:row>14</xdr:row>
      <xdr:rowOff>128868</xdr:rowOff>
    </xdr:to>
    <xdr:cxnSp macro="">
      <xdr:nvCxnSpPr>
        <xdr:cNvPr id="105" name="直線矢印コネクタ 104">
          <a:extLst>
            <a:ext uri="{FF2B5EF4-FFF2-40B4-BE49-F238E27FC236}">
              <a16:creationId xmlns:a16="http://schemas.microsoft.com/office/drawing/2014/main" id="{263EDC58-A99E-EE26-F376-C3BFB30E1A7D}"/>
            </a:ext>
          </a:extLst>
        </xdr:cNvPr>
        <xdr:cNvCxnSpPr>
          <a:stCxn id="60" idx="1"/>
          <a:endCxn id="5" idx="1"/>
        </xdr:cNvCxnSpPr>
      </xdr:nvCxnSpPr>
      <xdr:spPr>
        <a:xfrm flipV="1">
          <a:off x="9625850" y="2708837"/>
          <a:ext cx="1987366" cy="714560"/>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15</xdr:row>
      <xdr:rowOff>140073</xdr:rowOff>
    </xdr:from>
    <xdr:to>
      <xdr:col>18</xdr:col>
      <xdr:colOff>676275</xdr:colOff>
      <xdr:row>18</xdr:row>
      <xdr:rowOff>158378</xdr:rowOff>
    </xdr:to>
    <xdr:cxnSp macro="">
      <xdr:nvCxnSpPr>
        <xdr:cNvPr id="108" name="直線矢印コネクタ 107">
          <a:extLst>
            <a:ext uri="{FF2B5EF4-FFF2-40B4-BE49-F238E27FC236}">
              <a16:creationId xmlns:a16="http://schemas.microsoft.com/office/drawing/2014/main" id="{E7E6DF0D-B129-69E3-5E42-8A960492756F}"/>
            </a:ext>
          </a:extLst>
        </xdr:cNvPr>
        <xdr:cNvCxnSpPr>
          <a:stCxn id="61" idx="1"/>
          <a:endCxn id="6" idx="1"/>
        </xdr:cNvCxnSpPr>
      </xdr:nvCxnSpPr>
      <xdr:spPr>
        <a:xfrm>
          <a:off x="9625850" y="3669926"/>
          <a:ext cx="1987366" cy="724276"/>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16</xdr:row>
      <xdr:rowOff>151279</xdr:rowOff>
    </xdr:from>
    <xdr:to>
      <xdr:col>18</xdr:col>
      <xdr:colOff>676275</xdr:colOff>
      <xdr:row>26</xdr:row>
      <xdr:rowOff>91703</xdr:rowOff>
    </xdr:to>
    <xdr:cxnSp macro="">
      <xdr:nvCxnSpPr>
        <xdr:cNvPr id="111" name="コネクタ: カギ線 110">
          <a:extLst>
            <a:ext uri="{FF2B5EF4-FFF2-40B4-BE49-F238E27FC236}">
              <a16:creationId xmlns:a16="http://schemas.microsoft.com/office/drawing/2014/main" id="{75C4B567-51F9-E9CC-64DA-92F963B6D828}"/>
            </a:ext>
          </a:extLst>
        </xdr:cNvPr>
        <xdr:cNvCxnSpPr>
          <a:stCxn id="62" idx="1"/>
          <a:endCxn id="7" idx="1"/>
        </xdr:cNvCxnSpPr>
      </xdr:nvCxnSpPr>
      <xdr:spPr>
        <a:xfrm rot="10800000" flipH="1" flipV="1">
          <a:off x="9625850" y="3916455"/>
          <a:ext cx="1987366" cy="2293660"/>
        </a:xfrm>
        <a:prstGeom prst="bentConnector3">
          <a:avLst>
            <a:gd name="adj1" fmla="val 11615"/>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15</xdr:col>
      <xdr:colOff>526677</xdr:colOff>
      <xdr:row>3</xdr:row>
      <xdr:rowOff>67235</xdr:rowOff>
    </xdr:from>
    <xdr:ext cx="1652440" cy="431144"/>
    <xdr:sp macro="" textlink="">
      <xdr:nvSpPr>
        <xdr:cNvPr id="115" name="テキスト ボックス 114">
          <a:extLst>
            <a:ext uri="{FF2B5EF4-FFF2-40B4-BE49-F238E27FC236}">
              <a16:creationId xmlns:a16="http://schemas.microsoft.com/office/drawing/2014/main" id="{C4E3C06A-FBE1-A0A5-C0B4-553E38FDD930}"/>
            </a:ext>
          </a:extLst>
        </xdr:cNvPr>
        <xdr:cNvSpPr txBox="1"/>
      </xdr:nvSpPr>
      <xdr:spPr>
        <a:xfrm>
          <a:off x="10780059" y="773206"/>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VM#0</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11</xdr:row>
      <xdr:rowOff>123265</xdr:rowOff>
    </xdr:from>
    <xdr:ext cx="1652440" cy="431144"/>
    <xdr:sp macro="" textlink="">
      <xdr:nvSpPr>
        <xdr:cNvPr id="117" name="テキスト ボックス 116">
          <a:extLst>
            <a:ext uri="{FF2B5EF4-FFF2-40B4-BE49-F238E27FC236}">
              <a16:creationId xmlns:a16="http://schemas.microsoft.com/office/drawing/2014/main" id="{035FCA9E-6491-379F-3045-C0840B17AC05}"/>
            </a:ext>
          </a:extLst>
        </xdr:cNvPr>
        <xdr:cNvSpPr txBox="1"/>
      </xdr:nvSpPr>
      <xdr:spPr>
        <a:xfrm>
          <a:off x="10780059" y="2711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VM#1</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16</xdr:row>
      <xdr:rowOff>89648</xdr:rowOff>
    </xdr:from>
    <xdr:ext cx="1652440" cy="431144"/>
    <xdr:sp macro="" textlink="">
      <xdr:nvSpPr>
        <xdr:cNvPr id="118" name="テキスト ボックス 117">
          <a:extLst>
            <a:ext uri="{FF2B5EF4-FFF2-40B4-BE49-F238E27FC236}">
              <a16:creationId xmlns:a16="http://schemas.microsoft.com/office/drawing/2014/main" id="{D08AA9E6-CDD1-8FAB-DAE4-F89426AA3FE0}"/>
            </a:ext>
          </a:extLst>
        </xdr:cNvPr>
        <xdr:cNvSpPr txBox="1"/>
      </xdr:nvSpPr>
      <xdr:spPr>
        <a:xfrm>
          <a:off x="10780059" y="3854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VM#2</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25</xdr:row>
      <xdr:rowOff>78442</xdr:rowOff>
    </xdr:from>
    <xdr:ext cx="1652440" cy="431144"/>
    <xdr:sp macro="" textlink="">
      <xdr:nvSpPr>
        <xdr:cNvPr id="119" name="テキスト ボックス 118">
          <a:extLst>
            <a:ext uri="{FF2B5EF4-FFF2-40B4-BE49-F238E27FC236}">
              <a16:creationId xmlns:a16="http://schemas.microsoft.com/office/drawing/2014/main" id="{782BC24D-9604-57C2-49D4-6DFA2B0B099C}"/>
            </a:ext>
          </a:extLst>
        </xdr:cNvPr>
        <xdr:cNvSpPr txBox="1"/>
      </xdr:nvSpPr>
      <xdr:spPr>
        <a:xfrm>
          <a:off x="10780059" y="5961530"/>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VM#3</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twoCellAnchor>
    <xdr:from>
      <xdr:col>1</xdr:col>
      <xdr:colOff>324969</xdr:colOff>
      <xdr:row>14</xdr:row>
      <xdr:rowOff>100852</xdr:rowOff>
    </xdr:from>
    <xdr:to>
      <xdr:col>2</xdr:col>
      <xdr:colOff>179292</xdr:colOff>
      <xdr:row>15</xdr:row>
      <xdr:rowOff>168086</xdr:rowOff>
    </xdr:to>
    <xdr:sp macro="" textlink="">
      <xdr:nvSpPr>
        <xdr:cNvPr id="120" name="テキスト ボックス 119">
          <a:extLst>
            <a:ext uri="{FF2B5EF4-FFF2-40B4-BE49-F238E27FC236}">
              <a16:creationId xmlns:a16="http://schemas.microsoft.com/office/drawing/2014/main" id="{2DBD9450-8F96-6CBC-BADB-493ADEDC893E}"/>
            </a:ext>
          </a:extLst>
        </xdr:cNvPr>
        <xdr:cNvSpPr txBox="1"/>
      </xdr:nvSpPr>
      <xdr:spPr>
        <a:xfrm>
          <a:off x="1008528" y="3395381"/>
          <a:ext cx="537882" cy="302558"/>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1</xdr:col>
      <xdr:colOff>44823</xdr:colOff>
      <xdr:row>0</xdr:row>
      <xdr:rowOff>145678</xdr:rowOff>
    </xdr:from>
    <xdr:to>
      <xdr:col>3</xdr:col>
      <xdr:colOff>347382</xdr:colOff>
      <xdr:row>31</xdr:row>
      <xdr:rowOff>44825</xdr:rowOff>
    </xdr:to>
    <xdr:sp macro="" textlink="">
      <xdr:nvSpPr>
        <xdr:cNvPr id="121" name="正方形/長方形 120">
          <a:extLst>
            <a:ext uri="{FF2B5EF4-FFF2-40B4-BE49-F238E27FC236}">
              <a16:creationId xmlns:a16="http://schemas.microsoft.com/office/drawing/2014/main" id="{C6F51E9D-E70F-7B80-3FD2-86D5BEEBEC49}"/>
            </a:ext>
          </a:extLst>
        </xdr:cNvPr>
        <xdr:cNvSpPr/>
      </xdr:nvSpPr>
      <xdr:spPr>
        <a:xfrm>
          <a:off x="728382" y="145678"/>
          <a:ext cx="1669676"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336177</xdr:colOff>
      <xdr:row>0</xdr:row>
      <xdr:rowOff>145678</xdr:rowOff>
    </xdr:from>
    <xdr:to>
      <xdr:col>12</xdr:col>
      <xdr:colOff>100853</xdr:colOff>
      <xdr:row>31</xdr:row>
      <xdr:rowOff>44825</xdr:rowOff>
    </xdr:to>
    <xdr:sp macro="" textlink="">
      <xdr:nvSpPr>
        <xdr:cNvPr id="122" name="正方形/長方形 121">
          <a:extLst>
            <a:ext uri="{FF2B5EF4-FFF2-40B4-BE49-F238E27FC236}">
              <a16:creationId xmlns:a16="http://schemas.microsoft.com/office/drawing/2014/main" id="{3D785160-AB0B-70AB-C8DB-BFDBA3E744CE}"/>
            </a:ext>
          </a:extLst>
        </xdr:cNvPr>
        <xdr:cNvSpPr/>
      </xdr:nvSpPr>
      <xdr:spPr>
        <a:xfrm>
          <a:off x="6488206" y="145678"/>
          <a:ext cx="1815353"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549089</xdr:colOff>
      <xdr:row>32</xdr:row>
      <xdr:rowOff>201706</xdr:rowOff>
    </xdr:from>
    <xdr:to>
      <xdr:col>3</xdr:col>
      <xdr:colOff>499783</xdr:colOff>
      <xdr:row>39</xdr:row>
      <xdr:rowOff>80505</xdr:rowOff>
    </xdr:to>
    <xdr:sp macro="" textlink="">
      <xdr:nvSpPr>
        <xdr:cNvPr id="123" name="吹き出し: 四角形 122">
          <a:extLst>
            <a:ext uri="{FF2B5EF4-FFF2-40B4-BE49-F238E27FC236}">
              <a16:creationId xmlns:a16="http://schemas.microsoft.com/office/drawing/2014/main" id="{63FE768E-70D4-64D5-82A5-9D8C3CC83D04}"/>
            </a:ext>
          </a:extLst>
        </xdr:cNvPr>
        <xdr:cNvSpPr/>
      </xdr:nvSpPr>
      <xdr:spPr>
        <a:xfrm>
          <a:off x="549089" y="7732059"/>
          <a:ext cx="2001370" cy="1526064"/>
        </a:xfrm>
        <a:prstGeom prst="wedgeRectCallout">
          <a:avLst>
            <a:gd name="adj1" fmla="val -20274"/>
            <a:gd name="adj2" fmla="val -82970"/>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間通信データ定義</a:t>
          </a:r>
          <a:br>
            <a:rPr kumimoji="1" lang="en-US" altLang="ja-JP" sz="1600">
              <a:solidFill>
                <a:srgbClr val="0000FF"/>
              </a:solidFill>
              <a:latin typeface="Meiryo UI" panose="020B0604030504040204" pitchFamily="50" charset="-128"/>
              <a:ea typeface="Meiryo UI" panose="020B0604030504040204" pitchFamily="50" charset="-128"/>
            </a:rPr>
          </a:br>
          <a:r>
            <a:rPr kumimoji="1" lang="ja-JP" altLang="en-US" sz="1600">
              <a:solidFill>
                <a:srgbClr val="0000FF"/>
              </a:solidFill>
              <a:latin typeface="Meiryo UI" panose="020B0604030504040204" pitchFamily="50" charset="-128"/>
              <a:ea typeface="Meiryo UI" panose="020B0604030504040204" pitchFamily="50" charset="-128"/>
            </a:rPr>
            <a:t>（ユーザコンフィグ）</a:t>
          </a:r>
        </a:p>
      </xdr:txBody>
    </xdr:sp>
    <xdr:clientData/>
  </xdr:twoCellAnchor>
  <xdr:twoCellAnchor>
    <xdr:from>
      <xdr:col>5</xdr:col>
      <xdr:colOff>1</xdr:colOff>
      <xdr:row>32</xdr:row>
      <xdr:rowOff>201705</xdr:rowOff>
    </xdr:from>
    <xdr:to>
      <xdr:col>7</xdr:col>
      <xdr:colOff>634253</xdr:colOff>
      <xdr:row>39</xdr:row>
      <xdr:rowOff>67235</xdr:rowOff>
    </xdr:to>
    <xdr:sp macro="" textlink="">
      <xdr:nvSpPr>
        <xdr:cNvPr id="124" name="吹き出し: 四角形 123">
          <a:extLst>
            <a:ext uri="{FF2B5EF4-FFF2-40B4-BE49-F238E27FC236}">
              <a16:creationId xmlns:a16="http://schemas.microsoft.com/office/drawing/2014/main" id="{F7E9E5FA-045E-0DC2-75EB-059F77ECDAB7}"/>
            </a:ext>
          </a:extLst>
        </xdr:cNvPr>
        <xdr:cNvSpPr/>
      </xdr:nvSpPr>
      <xdr:spPr>
        <a:xfrm>
          <a:off x="3417795" y="7732058"/>
          <a:ext cx="2001370" cy="1512795"/>
        </a:xfrm>
        <a:prstGeom prst="wedgeRectCallout">
          <a:avLst>
            <a:gd name="adj1" fmla="val -20834"/>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間通信データから各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のコンフィグパラメータを抽出（開発者コンフィグ）</a:t>
          </a:r>
        </a:p>
      </xdr:txBody>
    </xdr:sp>
    <xdr:clientData/>
  </xdr:twoCellAnchor>
  <xdr:twoCellAnchor>
    <xdr:from>
      <xdr:col>9</xdr:col>
      <xdr:colOff>156883</xdr:colOff>
      <xdr:row>32</xdr:row>
      <xdr:rowOff>201705</xdr:rowOff>
    </xdr:from>
    <xdr:to>
      <xdr:col>12</xdr:col>
      <xdr:colOff>358588</xdr:colOff>
      <xdr:row>39</xdr:row>
      <xdr:rowOff>67235</xdr:rowOff>
    </xdr:to>
    <xdr:sp macro="" textlink="">
      <xdr:nvSpPr>
        <xdr:cNvPr id="125" name="吹き出し: 四角形 124">
          <a:extLst>
            <a:ext uri="{FF2B5EF4-FFF2-40B4-BE49-F238E27FC236}">
              <a16:creationId xmlns:a16="http://schemas.microsoft.com/office/drawing/2014/main" id="{63632E1C-F87E-4CEF-EF90-6F45375CBAB9}"/>
            </a:ext>
          </a:extLst>
        </xdr:cNvPr>
        <xdr:cNvSpPr/>
      </xdr:nvSpPr>
      <xdr:spPr>
        <a:xfrm>
          <a:off x="6308912" y="7732058"/>
          <a:ext cx="2252382" cy="1512795"/>
        </a:xfrm>
        <a:prstGeom prst="wedgeRectCallout">
          <a:avLst>
            <a:gd name="adj1" fmla="val -20212"/>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rgbClr val="0000FF"/>
              </a:solidFill>
              <a:latin typeface="Meiryo UI" panose="020B0604030504040204" pitchFamily="50" charset="-128"/>
              <a:ea typeface="Meiryo UI" panose="020B0604030504040204" pitchFamily="50" charset="-128"/>
            </a:rPr>
            <a:t>テンプレートのコンフィグパラメータを各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のコンフィグパラメータで置き換え</a:t>
          </a:r>
        </a:p>
      </xdr:txBody>
    </xdr:sp>
    <xdr:clientData/>
  </xdr:twoCellAnchor>
  <xdr:oneCellAnchor>
    <xdr:from>
      <xdr:col>10</xdr:col>
      <xdr:colOff>67235</xdr:colOff>
      <xdr:row>11</xdr:row>
      <xdr:rowOff>112059</xdr:rowOff>
    </xdr:from>
    <xdr:ext cx="825482" cy="325217"/>
    <xdr:sp macro="" textlink="">
      <xdr:nvSpPr>
        <xdr:cNvPr id="126" name="テキスト ボックス 125">
          <a:extLst>
            <a:ext uri="{FF2B5EF4-FFF2-40B4-BE49-F238E27FC236}">
              <a16:creationId xmlns:a16="http://schemas.microsoft.com/office/drawing/2014/main" id="{27B62886-1875-7747-98A9-41A3141F189A}"/>
            </a:ext>
          </a:extLst>
        </xdr:cNvPr>
        <xdr:cNvSpPr txBox="1"/>
      </xdr:nvSpPr>
      <xdr:spPr>
        <a:xfrm>
          <a:off x="6902823" y="2700618"/>
          <a:ext cx="825482"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テンプレート</a:t>
          </a:r>
        </a:p>
      </xdr:txBody>
    </xdr:sp>
    <xdr:clientData/>
  </xdr:oneCellAnchor>
</xdr:wsDr>
</file>

<file path=xl/persons/person.xml><?xml version="1.0" encoding="utf-8"?>
<personList xmlns="http://schemas.microsoft.com/office/spreadsheetml/2018/threadedcomments" xmlns:x="http://schemas.openxmlformats.org/spreadsheetml/2006/main">
  <person displayName="Akira Motomatsu (本松 明)" id="{EDDE79E9-3537-4938-84E5-A1262DEB5309}" userId="S::akira.motomatsu.j8h@jpgr.denso.com::e545a5b4-30fd-43fe-b8b4-19977f6255d2"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J15" dT="2025-06-24T10:22:17.47" personId="{EDDE79E9-3537-4938-84E5-A1262DEB5309}" id="{C6E89B1B-A80B-483F-BC83-E3FBA40C3FAF}">
    <text>長井さん再設計によりDIDのbeginはch毎に0リセットするように修正</text>
  </threadedComment>
  <threadedComment ref="T15" dT="2025-06-24T10:22:17.47" personId="{EDDE79E9-3537-4938-84E5-A1262DEB5309}" id="{D9ADB9D9-DB63-4BDD-AB65-0CFCF44595B2}">
    <text>長井さん再設計によりDIDのbeginはch毎に0リセットするように修正</text>
  </threadedComment>
  <threadedComment ref="AB15" dT="2025-06-24T10:22:17.47" personId="{EDDE79E9-3537-4938-84E5-A1262DEB5309}" id="{1BF060A2-C6A2-4941-B63A-F3519B20D802}">
    <text>長井さん再設計によりDIDのbeginはch毎に0リセットするように修正</text>
  </threadedComment>
  <threadedComment ref="AJ15" dT="2025-06-24T10:22:17.47" personId="{EDDE79E9-3537-4938-84E5-A1262DEB5309}" id="{13C15E1A-8850-4EF3-9B75-971780EE8A6E}">
    <text>長井さん再設計によりDIDのbeginはch毎に0リセットするように修正</text>
  </threadedComment>
  <threadedComment ref="AR15" dT="2025-06-24T10:22:17.47" personId="{EDDE79E9-3537-4938-84E5-A1262DEB5309}" id="{2D1C01DC-3197-43B6-84E2-BE45F2292871}">
    <text>長井さん再設計によりDIDのbeginはch毎に0リセットするように修正</text>
  </threadedComment>
</ThreadedComments>
</file>

<file path=xl/threadedComments/threadedComment2.xml><?xml version="1.0" encoding="utf-8"?>
<ThreadedComments xmlns="http://schemas.microsoft.com/office/spreadsheetml/2018/threadedcomments" xmlns:x="http://schemas.openxmlformats.org/spreadsheetml/2006/main">
  <threadedComment ref="J15" dT="2025-06-24T10:22:17.47" personId="{EDDE79E9-3537-4938-84E5-A1262DEB5309}" id="{53FD4AF0-26E1-453C-82B5-F122FCC17647}">
    <text>長井さん再設計によりDIDのbeginはch毎に0リセットするように修正</text>
  </threadedComment>
  <threadedComment ref="T15" dT="2025-06-24T10:22:17.47" personId="{EDDE79E9-3537-4938-84E5-A1262DEB5309}" id="{0FDEDAB2-578A-4CE5-9AB0-EA7C4B3229B8}">
    <text>長井さん再設計によりDIDのbeginはch毎に0リセットするように修正</text>
  </threadedComment>
  <threadedComment ref="AB15" dT="2025-06-24T10:22:17.47" personId="{EDDE79E9-3537-4938-84E5-A1262DEB5309}" id="{E6B37C30-FC83-4D36-9716-DD92BE2FF329}">
    <text>長井さん再設計によりDIDのbeginはch毎に0リセットするように修正</text>
  </threadedComment>
  <threadedComment ref="AJ15" dT="2025-06-24T10:22:17.47" personId="{EDDE79E9-3537-4938-84E5-A1262DEB5309}" id="{20AE3519-F01C-4818-B196-778675429CC8}">
    <text>長井さん再設計によりDIDのbeginはch毎に0リセットするように修正</text>
  </threadedComment>
  <threadedComment ref="AR15" dT="2025-06-24T10:22:17.47" personId="{EDDE79E9-3537-4938-84E5-A1262DEB5309}" id="{981043B6-F81D-4405-9DDB-872AEF866B43}">
    <text>長井さん再設計によりDIDのbeginはch毎に0リセットするように修正</text>
  </threadedComment>
</ThreadedComments>
</file>

<file path=xl/threadedComments/threadedComment3.xml><?xml version="1.0" encoding="utf-8"?>
<ThreadedComments xmlns="http://schemas.microsoft.com/office/spreadsheetml/2018/threadedcomments" xmlns:x="http://schemas.openxmlformats.org/spreadsheetml/2006/main">
  <threadedComment ref="J15" dT="2025-06-24T10:22:17.47" personId="{EDDE79E9-3537-4938-84E5-A1262DEB5309}" id="{9BDDD7F9-92B1-46F5-9320-AFC53109DD86}">
    <text>長井さん再設計によりDIDのbeginはch毎に0リセットするように修正</text>
  </threadedComment>
  <threadedComment ref="T15" dT="2025-06-24T10:22:17.47" personId="{EDDE79E9-3537-4938-84E5-A1262DEB5309}" id="{69CF0D19-16CE-4935-86EB-EE9F0AE7FA35}">
    <text>長井さん再設計によりDIDのbeginはch毎に0リセットするように修正</text>
  </threadedComment>
  <threadedComment ref="AB15" dT="2025-06-24T10:22:17.47" personId="{EDDE79E9-3537-4938-84E5-A1262DEB5309}" id="{51ED3DF9-0A41-4517-B0C2-765D254B5934}">
    <text>長井さん再設計によりDIDのbeginはch毎に0リセットするように修正</text>
  </threadedComment>
  <threadedComment ref="AJ15" dT="2025-06-24T10:22:17.47" personId="{EDDE79E9-3537-4938-84E5-A1262DEB5309}" id="{8276900F-4AA4-4D02-88CB-36DB88BEC603}">
    <text>長井さん再設計によりDIDのbeginはch毎に0リセットするように修正</text>
  </threadedComment>
  <threadedComment ref="AR15" dT="2025-06-24T10:22:17.47" personId="{EDDE79E9-3537-4938-84E5-A1262DEB5309}" id="{191861A8-7AD0-4065-9311-C0E5DB2BF03F}">
    <text>長井さん再設計によりDIDのbeginはch毎に0リセットするように修正</text>
  </threadedComment>
</ThreadedComments>
</file>

<file path=xl/threadedComments/threadedComment4.xml><?xml version="1.0" encoding="utf-8"?>
<ThreadedComments xmlns="http://schemas.microsoft.com/office/spreadsheetml/2018/threadedcomments" xmlns:x="http://schemas.openxmlformats.org/spreadsheetml/2006/main">
  <threadedComment ref="J15" dT="2025-06-24T10:22:17.47" personId="{EDDE79E9-3537-4938-84E5-A1262DEB5309}" id="{040628AD-0E88-4A05-A155-A8F60C12F1E1}">
    <text>長井さん再設計によりDIDのbeginはch毎に0リセットするように修正</text>
  </threadedComment>
  <threadedComment ref="T15" dT="2025-06-24T10:22:17.47" personId="{EDDE79E9-3537-4938-84E5-A1262DEB5309}" id="{A827237D-56B4-43DC-B471-D892DB36AB6B}">
    <text>長井さん再設計によりDIDのbeginはch毎に0リセットするように修正</text>
  </threadedComment>
  <threadedComment ref="AB15" dT="2025-06-24T10:22:17.47" personId="{EDDE79E9-3537-4938-84E5-A1262DEB5309}" id="{6B0FE850-D031-4BA3-AEBB-B4196843308F}">
    <text>長井さん再設計によりDIDのbeginはch毎に0リセットするように修正</text>
  </threadedComment>
  <threadedComment ref="AJ15" dT="2025-06-24T10:22:17.47" personId="{EDDE79E9-3537-4938-84E5-A1262DEB5309}" id="{4F0C32B4-F6A3-4304-865E-B28D070770DB}">
    <text>長井さん再設計によりDIDのbeginはch毎に0リセットするように修正</text>
  </threadedComment>
  <threadedComment ref="AR15" dT="2025-06-24T10:22:17.47" personId="{EDDE79E9-3537-4938-84E5-A1262DEB5309}" id="{5BC5C644-51C7-4273-BA78-0A6F8578E165}">
    <text>長井さん再設計によりDIDのbeginはch毎に0リセットするように修正</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wiki.geniie.net/x/Wcq5pQ"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iki.geniie.net/x/Wcq5pQ"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103E9-D3F2-46B0-97AE-CF07DA174A05}">
  <sheetPr codeName="Sheet21">
    <tabColor theme="0" tint="-0.499984740745262"/>
  </sheetPr>
  <dimension ref="B2:E50"/>
  <sheetViews>
    <sheetView zoomScale="85" zoomScaleNormal="85" workbookViewId="0">
      <pane ySplit="2" topLeftCell="A3" activePane="bottomLeft" state="frozen"/>
      <selection activeCell="A3" sqref="A3"/>
      <selection pane="bottomLeft" activeCell="C12" sqref="C12"/>
    </sheetView>
  </sheetViews>
  <sheetFormatPr defaultColWidth="7" defaultRowHeight="14.25"/>
  <cols>
    <col min="1" max="1" width="4.125" style="57" customWidth="1"/>
    <col min="2" max="2" width="12" style="67" bestFit="1" customWidth="1"/>
    <col min="3" max="3" width="35.375" style="67" customWidth="1"/>
    <col min="4" max="4" width="103.25" style="57" customWidth="1"/>
    <col min="5" max="5" width="12" style="67" bestFit="1" customWidth="1"/>
    <col min="6" max="16384" width="7" style="57"/>
  </cols>
  <sheetData>
    <row r="2" spans="2:5">
      <c r="B2" s="56" t="s">
        <v>0</v>
      </c>
      <c r="C2" s="56" t="s">
        <v>1</v>
      </c>
      <c r="D2" s="56" t="s">
        <v>2</v>
      </c>
      <c r="E2" s="56" t="s">
        <v>3</v>
      </c>
    </row>
    <row r="3" spans="2:5">
      <c r="B3" s="58" t="s">
        <v>4</v>
      </c>
      <c r="C3" s="59" t="s">
        <v>5</v>
      </c>
      <c r="D3" s="60" t="s">
        <v>6</v>
      </c>
      <c r="E3" s="61">
        <v>45839</v>
      </c>
    </row>
    <row r="4" spans="2:5">
      <c r="B4" s="58" t="s">
        <v>7</v>
      </c>
      <c r="C4" s="59" t="s">
        <v>8</v>
      </c>
      <c r="D4" s="60" t="s">
        <v>9</v>
      </c>
      <c r="E4" s="61">
        <v>45868</v>
      </c>
    </row>
    <row r="5" spans="2:5">
      <c r="B5" s="62"/>
      <c r="C5" s="64"/>
      <c r="D5" s="60"/>
      <c r="E5" s="63"/>
    </row>
    <row r="6" spans="2:5">
      <c r="B6" s="62"/>
      <c r="C6" s="64"/>
      <c r="D6" s="60"/>
      <c r="E6" s="63"/>
    </row>
    <row r="7" spans="2:5">
      <c r="B7" s="62"/>
      <c r="C7" s="59"/>
      <c r="D7" s="60"/>
      <c r="E7" s="63"/>
    </row>
    <row r="8" spans="2:5">
      <c r="B8" s="62"/>
      <c r="C8" s="59"/>
      <c r="D8" s="60"/>
      <c r="E8" s="61"/>
    </row>
    <row r="9" spans="2:5">
      <c r="B9" s="62"/>
      <c r="C9" s="64"/>
      <c r="D9" s="65"/>
      <c r="E9" s="63"/>
    </row>
    <row r="10" spans="2:5">
      <c r="B10" s="58"/>
      <c r="C10" s="59"/>
      <c r="D10" s="60"/>
      <c r="E10" s="61"/>
    </row>
    <row r="11" spans="2:5">
      <c r="B11" s="62"/>
      <c r="C11" s="64"/>
      <c r="D11" s="60"/>
      <c r="E11" s="63"/>
    </row>
    <row r="12" spans="2:5">
      <c r="B12" s="58"/>
      <c r="C12" s="64"/>
      <c r="D12" s="60"/>
      <c r="E12" s="61"/>
    </row>
    <row r="13" spans="2:5">
      <c r="B13" s="62"/>
      <c r="C13" s="64"/>
      <c r="D13" s="60"/>
      <c r="E13" s="61"/>
    </row>
    <row r="14" spans="2:5">
      <c r="B14" s="62"/>
      <c r="C14" s="59"/>
      <c r="D14" s="60"/>
      <c r="E14" s="61"/>
    </row>
    <row r="15" spans="2:5">
      <c r="B15" s="62"/>
      <c r="C15" s="59"/>
      <c r="D15" s="60"/>
      <c r="E15" s="61"/>
    </row>
    <row r="16" spans="2:5">
      <c r="B16" s="62"/>
      <c r="C16" s="59"/>
      <c r="D16" s="60"/>
      <c r="E16" s="61"/>
    </row>
    <row r="17" spans="2:5">
      <c r="B17" s="62"/>
      <c r="C17" s="64"/>
      <c r="D17" s="60"/>
      <c r="E17" s="61"/>
    </row>
    <row r="18" spans="2:5">
      <c r="B18" s="58"/>
      <c r="C18" s="59"/>
      <c r="D18" s="60"/>
      <c r="E18" s="61"/>
    </row>
    <row r="19" spans="2:5">
      <c r="B19" s="62"/>
      <c r="C19" s="59"/>
      <c r="D19" s="60"/>
      <c r="E19" s="61"/>
    </row>
    <row r="20" spans="2:5">
      <c r="B20" s="62"/>
      <c r="C20" s="59"/>
      <c r="D20" s="60"/>
      <c r="E20" s="61"/>
    </row>
    <row r="21" spans="2:5">
      <c r="B21" s="62"/>
      <c r="C21" s="64"/>
      <c r="D21" s="60"/>
      <c r="E21" s="61"/>
    </row>
    <row r="22" spans="2:5">
      <c r="B22" s="62"/>
      <c r="C22" s="59"/>
      <c r="D22" s="60"/>
      <c r="E22" s="61"/>
    </row>
    <row r="23" spans="2:5">
      <c r="B23" s="62"/>
      <c r="C23" s="59"/>
      <c r="D23" s="60"/>
      <c r="E23" s="61"/>
    </row>
    <row r="24" spans="2:5">
      <c r="B24" s="58"/>
      <c r="C24" s="59"/>
      <c r="D24" s="60"/>
      <c r="E24" s="61"/>
    </row>
    <row r="25" spans="2:5">
      <c r="B25" s="62"/>
      <c r="C25" s="64"/>
      <c r="D25" s="60"/>
      <c r="E25" s="61"/>
    </row>
    <row r="26" spans="2:5">
      <c r="B26" s="62"/>
      <c r="C26" s="59"/>
      <c r="D26" s="60"/>
      <c r="E26" s="61"/>
    </row>
    <row r="27" spans="2:5">
      <c r="B27" s="58"/>
      <c r="C27" s="59"/>
      <c r="D27" s="60"/>
      <c r="E27" s="61"/>
    </row>
    <row r="28" spans="2:5">
      <c r="B28" s="62"/>
      <c r="C28" s="64"/>
      <c r="D28" s="60"/>
      <c r="E28" s="61"/>
    </row>
    <row r="29" spans="2:5">
      <c r="B29" s="58"/>
      <c r="C29" s="64"/>
      <c r="D29" s="60"/>
      <c r="E29" s="61"/>
    </row>
    <row r="30" spans="2:5">
      <c r="B30" s="62"/>
      <c r="C30" s="64"/>
      <c r="D30" s="60"/>
      <c r="E30" s="61"/>
    </row>
    <row r="31" spans="2:5">
      <c r="B31" s="62"/>
      <c r="C31" s="64"/>
      <c r="D31" s="60"/>
      <c r="E31" s="61"/>
    </row>
    <row r="32" spans="2:5">
      <c r="B32" s="62"/>
      <c r="C32" s="64"/>
      <c r="D32" s="60"/>
      <c r="E32" s="61"/>
    </row>
    <row r="33" spans="2:5">
      <c r="B33" s="58"/>
      <c r="C33" s="59"/>
      <c r="D33" s="60"/>
      <c r="E33" s="61"/>
    </row>
    <row r="34" spans="2:5">
      <c r="B34" s="58"/>
      <c r="C34" s="59"/>
      <c r="D34" s="60"/>
      <c r="E34" s="61"/>
    </row>
    <row r="35" spans="2:5">
      <c r="B35" s="58"/>
      <c r="C35" s="64"/>
      <c r="D35" s="60"/>
      <c r="E35" s="61"/>
    </row>
    <row r="36" spans="2:5">
      <c r="B36" s="58"/>
      <c r="C36" s="59"/>
      <c r="D36" s="60"/>
      <c r="E36" s="61"/>
    </row>
    <row r="37" spans="2:5">
      <c r="B37" s="58"/>
      <c r="C37" s="64"/>
      <c r="D37" s="60"/>
      <c r="E37" s="61"/>
    </row>
    <row r="38" spans="2:5">
      <c r="B38" s="58"/>
      <c r="C38" s="59"/>
      <c r="D38" s="60"/>
      <c r="E38" s="61"/>
    </row>
    <row r="39" spans="2:5">
      <c r="B39" s="58"/>
      <c r="C39" s="59"/>
      <c r="D39" s="60"/>
      <c r="E39" s="61"/>
    </row>
    <row r="40" spans="2:5">
      <c r="B40" s="58"/>
      <c r="C40" s="64"/>
      <c r="D40" s="60"/>
      <c r="E40" s="61"/>
    </row>
    <row r="41" spans="2:5">
      <c r="B41" s="58"/>
      <c r="C41" s="59"/>
      <c r="D41" s="60"/>
      <c r="E41" s="61"/>
    </row>
    <row r="42" spans="2:5">
      <c r="B42" s="58"/>
      <c r="C42" s="64"/>
      <c r="D42" s="60"/>
      <c r="E42" s="61"/>
    </row>
    <row r="43" spans="2:5">
      <c r="B43" s="58"/>
      <c r="C43" s="59"/>
      <c r="D43" s="60"/>
      <c r="E43" s="61"/>
    </row>
    <row r="44" spans="2:5">
      <c r="B44" s="58"/>
      <c r="C44" s="64"/>
      <c r="D44" s="60"/>
      <c r="E44" s="61"/>
    </row>
    <row r="45" spans="2:5">
      <c r="B45" s="58"/>
      <c r="C45" s="64"/>
      <c r="D45" s="60"/>
      <c r="E45" s="61"/>
    </row>
    <row r="46" spans="2:5">
      <c r="B46" s="58"/>
      <c r="C46" s="64"/>
      <c r="D46" s="60"/>
      <c r="E46" s="61"/>
    </row>
    <row r="47" spans="2:5">
      <c r="B47" s="58"/>
      <c r="C47" s="64"/>
      <c r="D47" s="65"/>
      <c r="E47" s="63"/>
    </row>
    <row r="50" spans="2:2">
      <c r="B50" s="66"/>
    </row>
  </sheetData>
  <phoneticPr fontId="18"/>
  <pageMargins left="0.75" right="0.75" top="1" bottom="1" header="0.51200000000000001" footer="0.51200000000000001"/>
  <pageSetup paperSize="9"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69FC6-B78C-43EB-92FC-809ADD2FE69B}">
  <sheetPr codeName="Sheet10">
    <tabColor rgb="FF00B0F0"/>
  </sheetPr>
  <dimension ref="A2:W81"/>
  <sheetViews>
    <sheetView showGridLines="0" zoomScale="115" zoomScaleNormal="115" workbookViewId="0">
      <selection activeCell="S26" sqref="S26"/>
    </sheetView>
  </sheetViews>
  <sheetFormatPr defaultColWidth="7" defaultRowHeight="15.75"/>
  <cols>
    <col min="1" max="1" width="6" style="72" customWidth="1"/>
    <col min="2" max="6" width="3.125" style="72" customWidth="1"/>
    <col min="7" max="7" width="7" style="72"/>
    <col min="8" max="8" width="13.25" style="72" customWidth="1"/>
    <col min="9" max="9" width="14.375" style="72" customWidth="1"/>
    <col min="10" max="21" width="7" style="72"/>
    <col min="22" max="23" width="7" style="72" customWidth="1"/>
    <col min="24" max="16384" width="7" style="72"/>
  </cols>
  <sheetData>
    <row r="2" spans="1:20">
      <c r="B2" s="69" t="s">
        <v>10</v>
      </c>
      <c r="C2" s="78"/>
      <c r="D2" s="78"/>
      <c r="E2" s="78"/>
      <c r="F2" s="78"/>
      <c r="G2" s="78"/>
      <c r="H2" s="78"/>
      <c r="I2" s="78"/>
      <c r="J2" s="78"/>
      <c r="K2" s="78"/>
      <c r="L2" s="78"/>
      <c r="M2" s="78"/>
      <c r="N2" s="78"/>
      <c r="O2" s="78"/>
      <c r="P2" s="78"/>
      <c r="Q2" s="78"/>
      <c r="R2" s="78"/>
      <c r="S2" s="78"/>
      <c r="T2" s="78"/>
    </row>
    <row r="3" spans="1:20">
      <c r="D3" s="72" t="s">
        <v>11</v>
      </c>
    </row>
    <row r="4" spans="1:20">
      <c r="D4" s="72" t="s">
        <v>12</v>
      </c>
    </row>
    <row r="6" spans="1:20">
      <c r="B6" s="69" t="s">
        <v>13</v>
      </c>
      <c r="C6" s="78"/>
      <c r="D6" s="78"/>
      <c r="E6" s="78"/>
      <c r="F6" s="78"/>
      <c r="G6" s="78"/>
      <c r="H6" s="78"/>
      <c r="I6" s="78"/>
      <c r="J6" s="78"/>
      <c r="K6" s="78"/>
      <c r="L6" s="78"/>
      <c r="M6" s="78"/>
      <c r="N6" s="78"/>
      <c r="O6" s="78"/>
      <c r="P6" s="78"/>
      <c r="Q6" s="78"/>
      <c r="R6" s="78"/>
      <c r="S6" s="78"/>
      <c r="T6" s="78"/>
    </row>
    <row r="7" spans="1:20">
      <c r="C7" s="72" t="s">
        <v>14</v>
      </c>
    </row>
    <row r="8" spans="1:20">
      <c r="D8" s="72" t="s">
        <v>15</v>
      </c>
    </row>
    <row r="9" spans="1:20">
      <c r="D9" s="72" t="s">
        <v>16</v>
      </c>
    </row>
    <row r="11" spans="1:20">
      <c r="D11" s="76" t="s">
        <v>17</v>
      </c>
      <c r="E11" s="79"/>
      <c r="F11" s="79"/>
      <c r="G11" s="76" t="s">
        <v>18</v>
      </c>
      <c r="H11" s="79"/>
      <c r="I11" s="79"/>
      <c r="J11" s="76" t="s">
        <v>19</v>
      </c>
      <c r="K11" s="79"/>
      <c r="L11" s="79"/>
      <c r="M11" s="79"/>
      <c r="N11" s="80"/>
    </row>
    <row r="12" spans="1:20">
      <c r="D12" s="73" t="s">
        <v>20</v>
      </c>
      <c r="E12" s="71"/>
      <c r="F12" s="71"/>
      <c r="G12" s="73" t="s">
        <v>21</v>
      </c>
      <c r="H12" s="71"/>
      <c r="I12" s="71"/>
      <c r="J12" s="73" t="s">
        <v>22</v>
      </c>
      <c r="K12" s="81"/>
      <c r="L12" s="81"/>
      <c r="M12" s="81"/>
      <c r="N12" s="82"/>
    </row>
    <row r="13" spans="1:20">
      <c r="D13" s="74" t="s">
        <v>23</v>
      </c>
      <c r="E13" s="70"/>
      <c r="F13" s="70"/>
      <c r="G13" s="74" t="s">
        <v>24</v>
      </c>
      <c r="H13" s="70"/>
      <c r="I13" s="70"/>
      <c r="J13" s="75" t="s">
        <v>25</v>
      </c>
      <c r="K13" s="83"/>
      <c r="L13" s="83"/>
      <c r="M13" s="83"/>
      <c r="N13" s="84"/>
    </row>
    <row r="15" spans="1:20">
      <c r="A15" s="85"/>
      <c r="D15" s="86" t="s">
        <v>26</v>
      </c>
      <c r="E15" s="86"/>
      <c r="F15" s="86"/>
    </row>
    <row r="17" spans="1:23">
      <c r="C17" s="72" t="s">
        <v>27</v>
      </c>
    </row>
    <row r="18" spans="1:23">
      <c r="D18" s="72" t="s">
        <v>28</v>
      </c>
    </row>
    <row r="19" spans="1:23">
      <c r="D19" s="72" t="s">
        <v>29</v>
      </c>
    </row>
    <row r="20" spans="1:23">
      <c r="D20" s="72" t="s">
        <v>30</v>
      </c>
    </row>
    <row r="22" spans="1:23">
      <c r="D22" s="72" t="s">
        <v>31</v>
      </c>
    </row>
    <row r="23" spans="1:23" s="68" customFormat="1" ht="14.25">
      <c r="A23" s="57"/>
      <c r="D23" s="69" t="s">
        <v>32</v>
      </c>
      <c r="E23" s="69"/>
      <c r="F23" s="69"/>
      <c r="G23" s="69"/>
      <c r="H23" s="69"/>
      <c r="I23" s="69"/>
      <c r="J23" s="69"/>
      <c r="K23" s="69"/>
      <c r="L23" s="69"/>
      <c r="M23" s="69"/>
      <c r="N23" s="69"/>
      <c r="O23" s="69"/>
      <c r="P23" s="69"/>
      <c r="Q23" s="69"/>
      <c r="R23" s="69"/>
      <c r="S23" s="69"/>
      <c r="T23" s="69"/>
    </row>
    <row r="24" spans="1:23" s="68" customFormat="1">
      <c r="A24" s="57"/>
      <c r="E24" s="72" t="s">
        <v>33</v>
      </c>
    </row>
    <row r="25" spans="1:23" s="68" customFormat="1" ht="14.25">
      <c r="A25" s="57"/>
    </row>
    <row r="26" spans="1:23" s="68" customFormat="1" ht="14.25">
      <c r="A26" s="57"/>
      <c r="F26" s="69" t="s">
        <v>34</v>
      </c>
      <c r="G26" s="69"/>
      <c r="H26" s="69"/>
      <c r="I26" s="69" t="s">
        <v>35</v>
      </c>
      <c r="J26" s="69"/>
      <c r="K26" s="69"/>
      <c r="L26" s="69"/>
      <c r="M26" s="69"/>
      <c r="N26" s="69"/>
      <c r="O26" s="69"/>
      <c r="P26" s="69"/>
      <c r="Q26" s="69"/>
      <c r="R26" s="69"/>
      <c r="S26" s="69"/>
      <c r="T26" s="69"/>
      <c r="U26" s="69"/>
      <c r="V26" s="69"/>
      <c r="W26" s="69"/>
    </row>
    <row r="27" spans="1:23" s="68" customFormat="1">
      <c r="A27" s="57"/>
      <c r="F27" s="81" t="s">
        <v>36</v>
      </c>
      <c r="G27" s="71"/>
      <c r="H27" s="71"/>
      <c r="I27" s="81" t="s">
        <v>37</v>
      </c>
      <c r="J27" s="71"/>
      <c r="K27" s="71"/>
      <c r="L27" s="71"/>
      <c r="M27" s="71"/>
      <c r="N27" s="71"/>
      <c r="O27" s="71"/>
      <c r="P27" s="71"/>
      <c r="Q27" s="71"/>
      <c r="R27" s="71"/>
      <c r="S27" s="71"/>
      <c r="T27" s="71"/>
      <c r="U27" s="71"/>
      <c r="V27" s="71"/>
      <c r="W27" s="71"/>
    </row>
    <row r="28" spans="1:23" s="68" customFormat="1">
      <c r="A28" s="57"/>
      <c r="I28" s="72" t="s">
        <v>38</v>
      </c>
    </row>
    <row r="29" spans="1:23" s="68" customFormat="1">
      <c r="A29" s="57"/>
      <c r="I29" s="72" t="s">
        <v>39</v>
      </c>
    </row>
    <row r="30" spans="1:23" s="68" customFormat="1">
      <c r="A30" s="57"/>
      <c r="I30" s="72" t="s">
        <v>40</v>
      </c>
      <c r="J30" s="72" t="s">
        <v>41</v>
      </c>
    </row>
    <row r="31" spans="1:23" s="68" customFormat="1">
      <c r="A31" s="57"/>
      <c r="I31" s="72" t="s">
        <v>42</v>
      </c>
      <c r="J31" s="72" t="s">
        <v>43</v>
      </c>
    </row>
    <row r="32" spans="1:23" s="68" customFormat="1">
      <c r="A32" s="57"/>
      <c r="F32" s="69"/>
      <c r="G32" s="69"/>
      <c r="H32" s="69"/>
      <c r="I32" s="78" t="s">
        <v>44</v>
      </c>
      <c r="J32" s="69"/>
      <c r="K32" s="69"/>
      <c r="L32" s="69"/>
      <c r="M32" s="69"/>
      <c r="N32" s="69"/>
      <c r="O32" s="69"/>
      <c r="P32" s="69"/>
      <c r="Q32" s="69"/>
      <c r="R32" s="69"/>
      <c r="S32" s="69"/>
      <c r="T32" s="69"/>
      <c r="U32" s="69"/>
      <c r="V32" s="69"/>
      <c r="W32" s="69"/>
    </row>
    <row r="33" spans="1:23" s="68" customFormat="1">
      <c r="A33" s="57"/>
      <c r="F33" s="87" t="s">
        <v>45</v>
      </c>
      <c r="I33" s="72" t="s">
        <v>46</v>
      </c>
    </row>
    <row r="34" spans="1:23" s="68" customFormat="1">
      <c r="A34" s="57"/>
      <c r="F34" s="87"/>
      <c r="I34" s="86" t="s">
        <v>47</v>
      </c>
    </row>
    <row r="35" spans="1:23" s="68" customFormat="1">
      <c r="A35" s="57"/>
      <c r="F35" s="87"/>
      <c r="I35" s="72" t="s">
        <v>39</v>
      </c>
    </row>
    <row r="36" spans="1:23" s="68" customFormat="1">
      <c r="A36" s="57"/>
      <c r="F36" s="87"/>
      <c r="I36" s="72" t="s">
        <v>40</v>
      </c>
      <c r="J36" s="72" t="s">
        <v>48</v>
      </c>
    </row>
    <row r="37" spans="1:23" s="68" customFormat="1">
      <c r="A37" s="57"/>
      <c r="I37" s="72" t="s">
        <v>42</v>
      </c>
      <c r="J37" s="72" t="s">
        <v>49</v>
      </c>
    </row>
    <row r="38" spans="1:23" s="68" customFormat="1">
      <c r="A38" s="57"/>
      <c r="F38" s="81" t="s">
        <v>50</v>
      </c>
      <c r="G38" s="71"/>
      <c r="H38" s="71"/>
      <c r="I38" s="81" t="s">
        <v>51</v>
      </c>
      <c r="J38" s="71"/>
      <c r="K38" s="71"/>
      <c r="L38" s="71"/>
      <c r="M38" s="71"/>
      <c r="N38" s="71"/>
      <c r="O38" s="71"/>
      <c r="P38" s="71"/>
      <c r="Q38" s="71"/>
      <c r="R38" s="71"/>
      <c r="S38" s="71"/>
      <c r="T38" s="71"/>
      <c r="U38" s="71"/>
      <c r="V38" s="71"/>
      <c r="W38" s="71"/>
    </row>
    <row r="39" spans="1:23" s="68" customFormat="1">
      <c r="A39" s="57"/>
      <c r="F39" s="72"/>
      <c r="I39" s="72" t="s">
        <v>52</v>
      </c>
    </row>
    <row r="40" spans="1:23" s="68" customFormat="1">
      <c r="A40" s="57"/>
      <c r="F40" s="72"/>
      <c r="I40" s="72" t="s">
        <v>53</v>
      </c>
    </row>
    <row r="41" spans="1:23" s="68" customFormat="1">
      <c r="A41" s="57"/>
      <c r="F41" s="72" t="s">
        <v>54</v>
      </c>
      <c r="I41" s="72" t="s">
        <v>55</v>
      </c>
    </row>
    <row r="42" spans="1:23" s="68" customFormat="1">
      <c r="A42" s="57"/>
      <c r="F42" s="72" t="s">
        <v>56</v>
      </c>
      <c r="I42" s="72" t="s">
        <v>57</v>
      </c>
    </row>
    <row r="43" spans="1:23" s="68" customFormat="1">
      <c r="A43" s="57"/>
      <c r="F43" s="72" t="s">
        <v>58</v>
      </c>
      <c r="I43" s="72" t="s">
        <v>59</v>
      </c>
    </row>
    <row r="44" spans="1:23" s="68" customFormat="1">
      <c r="A44" s="57"/>
      <c r="F44" s="69"/>
      <c r="G44" s="69"/>
      <c r="H44" s="69"/>
      <c r="I44" s="90" t="s">
        <v>60</v>
      </c>
      <c r="J44" s="69"/>
      <c r="K44" s="69"/>
      <c r="L44" s="69"/>
      <c r="M44" s="69"/>
      <c r="N44" s="69"/>
      <c r="O44" s="69"/>
      <c r="P44" s="69"/>
      <c r="Q44" s="69"/>
      <c r="R44" s="69"/>
      <c r="S44" s="69"/>
      <c r="T44" s="69"/>
      <c r="U44" s="69"/>
      <c r="V44" s="69"/>
      <c r="W44" s="69"/>
    </row>
    <row r="45" spans="1:23">
      <c r="F45" s="72" t="s">
        <v>61</v>
      </c>
      <c r="I45" s="72" t="s">
        <v>62</v>
      </c>
    </row>
    <row r="46" spans="1:23">
      <c r="I46" s="72" t="s">
        <v>63</v>
      </c>
    </row>
    <row r="47" spans="1:23">
      <c r="I47" s="72" t="s">
        <v>64</v>
      </c>
    </row>
    <row r="48" spans="1:23">
      <c r="I48" s="72" t="s">
        <v>65</v>
      </c>
    </row>
    <row r="50" spans="1:20">
      <c r="F50" s="89" t="s">
        <v>66</v>
      </c>
    </row>
    <row r="51" spans="1:20">
      <c r="F51" s="72" t="s">
        <v>67</v>
      </c>
    </row>
    <row r="53" spans="1:20">
      <c r="G53" s="72" t="s">
        <v>68</v>
      </c>
      <c r="I53" s="72" t="s">
        <v>69</v>
      </c>
    </row>
    <row r="54" spans="1:20">
      <c r="G54" s="72" t="s">
        <v>70</v>
      </c>
      <c r="I54" s="72" t="s">
        <v>71</v>
      </c>
    </row>
    <row r="55" spans="1:20">
      <c r="G55" s="72" t="s">
        <v>72</v>
      </c>
      <c r="I55" s="72" t="s">
        <v>73</v>
      </c>
    </row>
    <row r="56" spans="1:20">
      <c r="G56" s="72" t="s">
        <v>74</v>
      </c>
      <c r="I56" s="72" t="s">
        <v>75</v>
      </c>
    </row>
    <row r="57" spans="1:20">
      <c r="G57" s="72" t="s">
        <v>76</v>
      </c>
      <c r="I57" s="72" t="s">
        <v>77</v>
      </c>
    </row>
    <row r="59" spans="1:20">
      <c r="F59" s="72" t="s">
        <v>78</v>
      </c>
    </row>
    <row r="60" spans="1:20">
      <c r="F60" s="72" t="s">
        <v>79</v>
      </c>
    </row>
    <row r="62" spans="1:20">
      <c r="D62" s="72" t="s">
        <v>80</v>
      </c>
    </row>
    <row r="63" spans="1:20" s="68" customFormat="1" ht="14.25">
      <c r="A63" s="57"/>
      <c r="D63" s="69" t="s">
        <v>32</v>
      </c>
      <c r="E63" s="69"/>
      <c r="F63" s="69"/>
      <c r="G63" s="69"/>
      <c r="H63" s="69"/>
      <c r="I63" s="69"/>
      <c r="J63" s="69"/>
      <c r="K63" s="69"/>
      <c r="L63" s="69"/>
      <c r="M63" s="69"/>
      <c r="N63" s="69"/>
      <c r="O63" s="69"/>
      <c r="P63" s="69"/>
      <c r="Q63" s="69"/>
      <c r="R63" s="69"/>
      <c r="S63" s="69"/>
      <c r="T63" s="69"/>
    </row>
    <row r="64" spans="1:20" s="68" customFormat="1">
      <c r="A64" s="57"/>
      <c r="E64" s="72"/>
    </row>
    <row r="65" spans="1:23" s="68" customFormat="1" ht="14.25">
      <c r="A65" s="57"/>
      <c r="F65" s="69" t="s">
        <v>34</v>
      </c>
      <c r="G65" s="69"/>
      <c r="H65" s="69"/>
      <c r="I65" s="69" t="s">
        <v>35</v>
      </c>
      <c r="J65" s="69"/>
      <c r="K65" s="69"/>
      <c r="L65" s="69"/>
      <c r="M65" s="69"/>
      <c r="N65" s="69"/>
      <c r="O65" s="69"/>
      <c r="P65" s="69"/>
      <c r="Q65" s="69"/>
      <c r="R65" s="69"/>
      <c r="S65" s="69"/>
      <c r="T65" s="69"/>
      <c r="U65" s="69"/>
      <c r="V65" s="69"/>
      <c r="W65" s="69"/>
    </row>
    <row r="66" spans="1:23" s="68" customFormat="1">
      <c r="A66" s="57"/>
      <c r="F66" s="83" t="s">
        <v>81</v>
      </c>
      <c r="G66" s="70"/>
      <c r="H66" s="70"/>
      <c r="I66" s="83" t="s">
        <v>82</v>
      </c>
      <c r="J66" s="70"/>
      <c r="K66" s="70"/>
      <c r="L66" s="70"/>
      <c r="M66" s="70"/>
      <c r="N66" s="70"/>
      <c r="O66" s="70"/>
      <c r="P66" s="70"/>
      <c r="Q66" s="70"/>
      <c r="R66" s="70"/>
      <c r="S66" s="70"/>
      <c r="T66" s="70"/>
      <c r="U66" s="70"/>
      <c r="V66" s="70"/>
      <c r="W66" s="70"/>
    </row>
    <row r="67" spans="1:23" s="68" customFormat="1">
      <c r="A67" s="57"/>
      <c r="F67" s="83" t="s">
        <v>83</v>
      </c>
      <c r="G67" s="70"/>
      <c r="H67" s="70"/>
      <c r="I67" s="83" t="s">
        <v>82</v>
      </c>
      <c r="J67" s="70"/>
      <c r="K67" s="70"/>
      <c r="L67" s="70"/>
      <c r="M67" s="70"/>
      <c r="N67" s="70"/>
      <c r="O67" s="70"/>
      <c r="P67" s="70"/>
      <c r="Q67" s="70"/>
      <c r="R67" s="70"/>
      <c r="S67" s="70"/>
      <c r="T67" s="70"/>
      <c r="U67" s="70"/>
      <c r="V67" s="70"/>
      <c r="W67" s="70"/>
    </row>
    <row r="68" spans="1:23" s="68" customFormat="1">
      <c r="A68" s="57"/>
      <c r="F68" s="81" t="s">
        <v>84</v>
      </c>
      <c r="G68" s="71"/>
      <c r="H68" s="71"/>
      <c r="I68" s="81" t="s">
        <v>85</v>
      </c>
      <c r="J68" s="71"/>
      <c r="K68" s="71"/>
      <c r="L68" s="71"/>
      <c r="M68" s="71"/>
      <c r="N68" s="71"/>
      <c r="O68" s="71"/>
      <c r="P68" s="71"/>
      <c r="Q68" s="71"/>
      <c r="R68" s="71"/>
      <c r="S68" s="71"/>
      <c r="T68" s="71"/>
      <c r="U68" s="71"/>
      <c r="V68" s="71"/>
      <c r="W68" s="71"/>
    </row>
    <row r="69" spans="1:23" s="68" customFormat="1">
      <c r="A69" s="57"/>
      <c r="F69" s="72"/>
      <c r="I69" s="72" t="s">
        <v>86</v>
      </c>
    </row>
    <row r="70" spans="1:23" s="68" customFormat="1">
      <c r="A70" s="57"/>
      <c r="F70" s="87"/>
      <c r="I70" s="72" t="s">
        <v>87</v>
      </c>
      <c r="J70" s="72"/>
    </row>
    <row r="71" spans="1:23" s="68" customFormat="1">
      <c r="A71" s="57"/>
      <c r="I71" s="72" t="s">
        <v>88</v>
      </c>
      <c r="J71" s="72"/>
    </row>
    <row r="72" spans="1:23" s="68" customFormat="1">
      <c r="A72" s="57"/>
      <c r="I72" s="72" t="s">
        <v>89</v>
      </c>
      <c r="J72" s="72"/>
    </row>
    <row r="73" spans="1:23" s="68" customFormat="1">
      <c r="A73" s="57"/>
      <c r="I73" s="72" t="s">
        <v>90</v>
      </c>
      <c r="J73" s="72"/>
    </row>
    <row r="74" spans="1:23" s="68" customFormat="1">
      <c r="A74" s="57"/>
      <c r="I74" s="72" t="s">
        <v>91</v>
      </c>
      <c r="J74" s="72"/>
    </row>
    <row r="75" spans="1:23" s="68" customFormat="1">
      <c r="A75" s="57"/>
      <c r="I75" s="72" t="s">
        <v>92</v>
      </c>
      <c r="J75" s="72"/>
    </row>
    <row r="76" spans="1:23" s="68" customFormat="1">
      <c r="A76" s="57"/>
      <c r="I76" s="72" t="s">
        <v>93</v>
      </c>
      <c r="J76" s="72"/>
    </row>
    <row r="77" spans="1:23" s="68" customFormat="1">
      <c r="A77" s="57"/>
      <c r="I77" s="72" t="s">
        <v>94</v>
      </c>
      <c r="J77" s="72"/>
    </row>
    <row r="78" spans="1:23">
      <c r="C78" s="72" t="s">
        <v>95</v>
      </c>
    </row>
    <row r="79" spans="1:23">
      <c r="D79" s="88" t="s">
        <v>96</v>
      </c>
    </row>
    <row r="80" spans="1:23">
      <c r="D80" s="88" t="s">
        <v>97</v>
      </c>
    </row>
    <row r="81" spans="5:8">
      <c r="E81" s="72" t="s">
        <v>98</v>
      </c>
      <c r="H81" s="77" t="s">
        <v>99</v>
      </c>
    </row>
  </sheetData>
  <phoneticPr fontId="18"/>
  <hyperlinks>
    <hyperlink ref="H81" r:id="rId1" xr:uid="{97114FF2-57FC-4D48-8078-8D8E84D2272C}"/>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28584-E955-4D8E-B51A-6F3FF63DD6F4}">
  <sheetPr codeName="Sheet1">
    <tabColor rgb="FF0000FF"/>
  </sheetPr>
  <dimension ref="A1:P901"/>
  <sheetViews>
    <sheetView tabSelected="1" zoomScaleNormal="100" workbookViewId="0">
      <pane ySplit="1" topLeftCell="A27" activePane="bottomLeft" state="frozen"/>
      <selection pane="bottomLeft" activeCell="D31" sqref="D31"/>
    </sheetView>
  </sheetViews>
  <sheetFormatPr defaultRowHeight="18.75"/>
  <cols>
    <col min="1" max="1" width="9.125" bestFit="1" customWidth="1"/>
    <col min="2" max="2" width="16.625" customWidth="1"/>
    <col min="3" max="3" width="36.375" customWidth="1"/>
    <col min="9" max="9" width="9.125" bestFit="1" customWidth="1"/>
    <col min="14" max="14" width="9.125" bestFit="1" customWidth="1"/>
    <col min="15" max="15" width="12.75" bestFit="1" customWidth="1"/>
    <col min="16" max="16" width="11.5" bestFit="1" customWidth="1"/>
  </cols>
  <sheetData>
    <row r="1" spans="1:16">
      <c r="A1" s="6"/>
      <c r="B1" s="6" t="s">
        <v>100</v>
      </c>
      <c r="C1" s="6" t="s">
        <v>101</v>
      </c>
      <c r="D1" s="6" t="s">
        <v>102</v>
      </c>
      <c r="E1" s="6" t="s">
        <v>103</v>
      </c>
      <c r="F1" s="6" t="s">
        <v>104</v>
      </c>
      <c r="G1" s="6" t="s">
        <v>105</v>
      </c>
      <c r="H1" s="6" t="s">
        <v>106</v>
      </c>
      <c r="I1" s="6" t="s">
        <v>107</v>
      </c>
      <c r="J1" s="6" t="s">
        <v>108</v>
      </c>
      <c r="K1" s="6" t="s">
        <v>109</v>
      </c>
      <c r="L1" s="6" t="s">
        <v>110</v>
      </c>
      <c r="M1" s="6" t="s">
        <v>111</v>
      </c>
      <c r="N1" s="6" t="s">
        <v>112</v>
      </c>
      <c r="O1" s="6" t="s">
        <v>113</v>
      </c>
      <c r="P1" s="6" t="s">
        <v>114</v>
      </c>
    </row>
    <row r="2" spans="1:16" ht="47.25">
      <c r="A2" s="100">
        <v>2</v>
      </c>
      <c r="B2" s="31" t="s">
        <v>115</v>
      </c>
      <c r="C2" s="31" t="s">
        <v>116</v>
      </c>
      <c r="D2" s="100" t="s">
        <v>474</v>
      </c>
      <c r="E2" s="100" t="s">
        <v>117</v>
      </c>
      <c r="F2" s="100" t="s">
        <v>118</v>
      </c>
      <c r="G2" s="100" t="s">
        <v>117</v>
      </c>
      <c r="H2" s="100" t="s">
        <v>119</v>
      </c>
      <c r="I2" s="100">
        <v>1</v>
      </c>
      <c r="J2" s="31" t="s">
        <v>120</v>
      </c>
      <c r="K2" s="31" t="s">
        <v>120</v>
      </c>
      <c r="L2" s="31" t="s">
        <v>121</v>
      </c>
      <c r="M2" s="31" t="s">
        <v>122</v>
      </c>
      <c r="N2" s="31">
        <v>1</v>
      </c>
      <c r="O2" s="31"/>
      <c r="P2" s="101" t="s">
        <v>123</v>
      </c>
    </row>
    <row r="3" spans="1:16" ht="47.25">
      <c r="A3" s="100">
        <v>3</v>
      </c>
      <c r="B3" s="31" t="s">
        <v>115</v>
      </c>
      <c r="C3" s="31" t="s">
        <v>116</v>
      </c>
      <c r="D3" s="100" t="s">
        <v>475</v>
      </c>
      <c r="E3" s="100" t="s">
        <v>117</v>
      </c>
      <c r="F3" s="100" t="s">
        <v>117</v>
      </c>
      <c r="G3" s="100" t="s">
        <v>118</v>
      </c>
      <c r="H3" s="100" t="s">
        <v>119</v>
      </c>
      <c r="I3" s="100">
        <v>1</v>
      </c>
      <c r="J3" s="31" t="s">
        <v>120</v>
      </c>
      <c r="K3" s="31" t="s">
        <v>120</v>
      </c>
      <c r="L3" s="31" t="s">
        <v>121</v>
      </c>
      <c r="M3" s="31" t="s">
        <v>122</v>
      </c>
      <c r="N3" s="31">
        <v>1</v>
      </c>
      <c r="O3" s="31"/>
      <c r="P3" s="101" t="s">
        <v>123</v>
      </c>
    </row>
    <row r="4" spans="1:16" ht="63">
      <c r="A4" s="100">
        <v>4</v>
      </c>
      <c r="B4" s="31" t="s">
        <v>124</v>
      </c>
      <c r="C4" s="101" t="s">
        <v>125</v>
      </c>
      <c r="D4" s="100" t="s">
        <v>476</v>
      </c>
      <c r="E4" s="100" t="s">
        <v>117</v>
      </c>
      <c r="F4" s="100" t="s">
        <v>118</v>
      </c>
      <c r="G4" s="100" t="s">
        <v>119</v>
      </c>
      <c r="H4" s="100" t="s">
        <v>117</v>
      </c>
      <c r="I4" s="100">
        <v>2</v>
      </c>
      <c r="J4" s="31" t="s">
        <v>126</v>
      </c>
      <c r="K4" s="31" t="s">
        <v>126</v>
      </c>
      <c r="L4" s="31" t="s">
        <v>121</v>
      </c>
      <c r="M4" s="31" t="s">
        <v>122</v>
      </c>
      <c r="N4" s="31">
        <v>1</v>
      </c>
      <c r="O4" s="101" t="s">
        <v>127</v>
      </c>
      <c r="P4" s="101" t="s">
        <v>128</v>
      </c>
    </row>
    <row r="5" spans="1:16" ht="47.25">
      <c r="A5" s="100">
        <v>5</v>
      </c>
      <c r="B5" s="31" t="s">
        <v>115</v>
      </c>
      <c r="C5" s="31" t="s">
        <v>129</v>
      </c>
      <c r="D5" s="100" t="s">
        <v>477</v>
      </c>
      <c r="E5" s="100" t="s">
        <v>117</v>
      </c>
      <c r="F5" s="100" t="s">
        <v>117</v>
      </c>
      <c r="G5" s="100" t="s">
        <v>119</v>
      </c>
      <c r="H5" s="100" t="s">
        <v>118</v>
      </c>
      <c r="I5" s="100">
        <v>1</v>
      </c>
      <c r="J5" s="31" t="s">
        <v>120</v>
      </c>
      <c r="K5" s="31" t="s">
        <v>120</v>
      </c>
      <c r="L5" s="31" t="s">
        <v>121</v>
      </c>
      <c r="M5" s="31" t="s">
        <v>122</v>
      </c>
      <c r="N5" s="31">
        <v>1</v>
      </c>
      <c r="O5" s="102">
        <v>45715</v>
      </c>
      <c r="P5" s="101" t="s">
        <v>128</v>
      </c>
    </row>
    <row r="6" spans="1:16" ht="63">
      <c r="A6" s="100">
        <v>7</v>
      </c>
      <c r="B6" s="31" t="s">
        <v>115</v>
      </c>
      <c r="C6" s="101" t="s">
        <v>130</v>
      </c>
      <c r="D6" s="100" t="s">
        <v>499</v>
      </c>
      <c r="E6" s="100" t="s">
        <v>117</v>
      </c>
      <c r="F6" s="100" t="s">
        <v>117</v>
      </c>
      <c r="G6" s="100" t="s">
        <v>119</v>
      </c>
      <c r="H6" s="100" t="s">
        <v>118</v>
      </c>
      <c r="I6" s="100">
        <v>1</v>
      </c>
      <c r="J6" s="31" t="s">
        <v>120</v>
      </c>
      <c r="K6" s="31" t="s">
        <v>120</v>
      </c>
      <c r="L6" s="31" t="s">
        <v>121</v>
      </c>
      <c r="M6" s="31" t="s">
        <v>122</v>
      </c>
      <c r="N6" s="31">
        <v>1</v>
      </c>
      <c r="O6" s="102">
        <v>45715</v>
      </c>
      <c r="P6" s="101" t="s">
        <v>131</v>
      </c>
    </row>
    <row r="7" spans="1:16" ht="47.25">
      <c r="A7" s="100">
        <v>9</v>
      </c>
      <c r="B7" s="31" t="s">
        <v>124</v>
      </c>
      <c r="C7" s="101" t="s">
        <v>125</v>
      </c>
      <c r="D7" s="100" t="s">
        <v>478</v>
      </c>
      <c r="E7" s="100" t="s">
        <v>117</v>
      </c>
      <c r="F7" s="100" t="s">
        <v>119</v>
      </c>
      <c r="G7" s="100" t="s">
        <v>118</v>
      </c>
      <c r="H7" s="100" t="s">
        <v>117</v>
      </c>
      <c r="I7" s="100">
        <v>2</v>
      </c>
      <c r="J7" s="31" t="s">
        <v>126</v>
      </c>
      <c r="K7" s="31" t="s">
        <v>126</v>
      </c>
      <c r="L7" s="31" t="s">
        <v>121</v>
      </c>
      <c r="M7" s="31" t="s">
        <v>122</v>
      </c>
      <c r="N7" s="31">
        <v>1</v>
      </c>
      <c r="O7" s="102">
        <v>45756</v>
      </c>
      <c r="P7" s="101" t="s">
        <v>128</v>
      </c>
    </row>
    <row r="8" spans="1:16" ht="47.25">
      <c r="A8" s="100">
        <v>10</v>
      </c>
      <c r="B8" s="31" t="s">
        <v>124</v>
      </c>
      <c r="C8" s="101" t="s">
        <v>132</v>
      </c>
      <c r="D8" s="100" t="s">
        <v>479</v>
      </c>
      <c r="E8" s="100" t="s">
        <v>117</v>
      </c>
      <c r="F8" s="100" t="s">
        <v>118</v>
      </c>
      <c r="G8" s="100" t="s">
        <v>119</v>
      </c>
      <c r="H8" s="100" t="s">
        <v>117</v>
      </c>
      <c r="I8" s="100">
        <v>1</v>
      </c>
      <c r="J8" s="31" t="s">
        <v>126</v>
      </c>
      <c r="K8" s="31" t="s">
        <v>126</v>
      </c>
      <c r="L8" s="31" t="s">
        <v>121</v>
      </c>
      <c r="M8" s="31" t="s">
        <v>122</v>
      </c>
      <c r="N8" s="31">
        <v>1</v>
      </c>
      <c r="O8" s="102">
        <v>45756</v>
      </c>
      <c r="P8" s="101" t="s">
        <v>128</v>
      </c>
    </row>
    <row r="9" spans="1:16" ht="47.25">
      <c r="A9" s="100">
        <v>11</v>
      </c>
      <c r="B9" s="31" t="s">
        <v>124</v>
      </c>
      <c r="C9" s="101" t="s">
        <v>132</v>
      </c>
      <c r="D9" s="100" t="s">
        <v>480</v>
      </c>
      <c r="E9" s="100" t="s">
        <v>117</v>
      </c>
      <c r="F9" s="100" t="s">
        <v>119</v>
      </c>
      <c r="G9" s="100" t="s">
        <v>118</v>
      </c>
      <c r="H9" s="100" t="s">
        <v>117</v>
      </c>
      <c r="I9" s="100">
        <v>1</v>
      </c>
      <c r="J9" s="31" t="s">
        <v>126</v>
      </c>
      <c r="K9" s="31" t="s">
        <v>126</v>
      </c>
      <c r="L9" s="31" t="s">
        <v>121</v>
      </c>
      <c r="M9" s="31" t="s">
        <v>122</v>
      </c>
      <c r="N9" s="31">
        <v>1</v>
      </c>
      <c r="O9" s="102">
        <v>45756</v>
      </c>
      <c r="P9" s="101" t="s">
        <v>128</v>
      </c>
    </row>
    <row r="10" spans="1:16" ht="47.25">
      <c r="A10" s="100">
        <v>13</v>
      </c>
      <c r="B10" s="31" t="s">
        <v>124</v>
      </c>
      <c r="C10" s="101" t="s">
        <v>497</v>
      </c>
      <c r="D10" s="100" t="s">
        <v>481</v>
      </c>
      <c r="E10" s="100" t="s">
        <v>117</v>
      </c>
      <c r="F10" s="100" t="s">
        <v>119</v>
      </c>
      <c r="G10" s="100" t="s">
        <v>118</v>
      </c>
      <c r="H10" s="100" t="s">
        <v>117</v>
      </c>
      <c r="I10" s="100">
        <v>1</v>
      </c>
      <c r="J10" s="31" t="s">
        <v>126</v>
      </c>
      <c r="K10" s="31" t="s">
        <v>126</v>
      </c>
      <c r="L10" s="31" t="s">
        <v>121</v>
      </c>
      <c r="M10" s="31" t="s">
        <v>122</v>
      </c>
      <c r="N10" s="31">
        <v>1</v>
      </c>
      <c r="O10" s="102">
        <v>45762</v>
      </c>
      <c r="P10" s="101" t="s">
        <v>133</v>
      </c>
    </row>
    <row r="11" spans="1:16" ht="47.25">
      <c r="A11" s="100">
        <v>15</v>
      </c>
      <c r="B11" s="31" t="s">
        <v>124</v>
      </c>
      <c r="C11" s="101" t="s">
        <v>498</v>
      </c>
      <c r="D11" s="100" t="s">
        <v>482</v>
      </c>
      <c r="E11" s="100" t="s">
        <v>117</v>
      </c>
      <c r="F11" s="100" t="s">
        <v>119</v>
      </c>
      <c r="G11" s="100" t="s">
        <v>118</v>
      </c>
      <c r="H11" s="100" t="s">
        <v>117</v>
      </c>
      <c r="I11" s="100">
        <v>1</v>
      </c>
      <c r="J11" s="31" t="s">
        <v>126</v>
      </c>
      <c r="K11" s="31" t="s">
        <v>126</v>
      </c>
      <c r="L11" s="31" t="s">
        <v>121</v>
      </c>
      <c r="M11" s="31" t="s">
        <v>122</v>
      </c>
      <c r="N11" s="31">
        <v>1</v>
      </c>
      <c r="O11" s="102">
        <v>45762</v>
      </c>
      <c r="P11" s="101" t="s">
        <v>133</v>
      </c>
    </row>
    <row r="12" spans="1:16" ht="47.25">
      <c r="A12" s="100">
        <v>18</v>
      </c>
      <c r="B12" s="31" t="s">
        <v>124</v>
      </c>
      <c r="C12" s="101" t="s">
        <v>134</v>
      </c>
      <c r="D12" s="100" t="s">
        <v>483</v>
      </c>
      <c r="E12" s="100" t="s">
        <v>117</v>
      </c>
      <c r="F12" s="100" t="s">
        <v>118</v>
      </c>
      <c r="G12" s="100" t="s">
        <v>119</v>
      </c>
      <c r="H12" s="100" t="s">
        <v>117</v>
      </c>
      <c r="I12" s="100">
        <v>2</v>
      </c>
      <c r="J12" s="31" t="s">
        <v>126</v>
      </c>
      <c r="K12" s="31" t="s">
        <v>126</v>
      </c>
      <c r="L12" s="31" t="s">
        <v>121</v>
      </c>
      <c r="M12" s="31" t="s">
        <v>122</v>
      </c>
      <c r="N12" s="31">
        <v>1</v>
      </c>
      <c r="O12" s="102">
        <v>45762</v>
      </c>
      <c r="P12" s="101" t="s">
        <v>133</v>
      </c>
    </row>
    <row r="13" spans="1:16" ht="47.25">
      <c r="A13" s="100">
        <v>19</v>
      </c>
      <c r="B13" s="31" t="s">
        <v>124</v>
      </c>
      <c r="C13" s="101" t="s">
        <v>134</v>
      </c>
      <c r="D13" s="100" t="s">
        <v>484</v>
      </c>
      <c r="E13" s="100" t="s">
        <v>117</v>
      </c>
      <c r="F13" s="100" t="s">
        <v>119</v>
      </c>
      <c r="G13" s="100" t="s">
        <v>118</v>
      </c>
      <c r="H13" s="100" t="s">
        <v>117</v>
      </c>
      <c r="I13" s="100">
        <v>2</v>
      </c>
      <c r="J13" s="31" t="s">
        <v>126</v>
      </c>
      <c r="K13" s="31" t="s">
        <v>126</v>
      </c>
      <c r="L13" s="31" t="s">
        <v>121</v>
      </c>
      <c r="M13" s="31" t="s">
        <v>122</v>
      </c>
      <c r="N13" s="31">
        <v>1</v>
      </c>
      <c r="O13" s="102">
        <v>45762</v>
      </c>
      <c r="P13" s="101" t="s">
        <v>133</v>
      </c>
    </row>
    <row r="14" spans="1:16" ht="47.25">
      <c r="A14" s="100">
        <v>21</v>
      </c>
      <c r="B14" s="31" t="s">
        <v>124</v>
      </c>
      <c r="C14" s="31" t="s">
        <v>135</v>
      </c>
      <c r="D14" s="100" t="s">
        <v>485</v>
      </c>
      <c r="E14" s="100" t="s">
        <v>117</v>
      </c>
      <c r="F14" s="100" t="s">
        <v>118</v>
      </c>
      <c r="G14" s="100" t="s">
        <v>119</v>
      </c>
      <c r="H14" s="100" t="s">
        <v>117</v>
      </c>
      <c r="I14" s="100">
        <v>2</v>
      </c>
      <c r="J14" s="31" t="s">
        <v>126</v>
      </c>
      <c r="K14" s="31" t="s">
        <v>126</v>
      </c>
      <c r="L14" s="31" t="s">
        <v>121</v>
      </c>
      <c r="M14" s="31" t="s">
        <v>122</v>
      </c>
      <c r="N14" s="31">
        <v>1</v>
      </c>
      <c r="O14" s="102">
        <v>45762</v>
      </c>
      <c r="P14" s="101" t="s">
        <v>133</v>
      </c>
    </row>
    <row r="15" spans="1:16" ht="47.25">
      <c r="A15" s="100">
        <v>22</v>
      </c>
      <c r="B15" s="31" t="s">
        <v>124</v>
      </c>
      <c r="C15" s="31" t="s">
        <v>136</v>
      </c>
      <c r="D15" s="100" t="s">
        <v>486</v>
      </c>
      <c r="E15" s="100" t="s">
        <v>117</v>
      </c>
      <c r="F15" s="100" t="s">
        <v>118</v>
      </c>
      <c r="G15" s="100" t="s">
        <v>119</v>
      </c>
      <c r="H15" s="100" t="s">
        <v>117</v>
      </c>
      <c r="I15" s="100">
        <v>2</v>
      </c>
      <c r="J15" s="31" t="s">
        <v>126</v>
      </c>
      <c r="K15" s="31" t="s">
        <v>126</v>
      </c>
      <c r="L15" s="31" t="s">
        <v>121</v>
      </c>
      <c r="M15" s="31" t="s">
        <v>122</v>
      </c>
      <c r="N15" s="31">
        <v>1</v>
      </c>
      <c r="O15" s="102">
        <v>45762</v>
      </c>
      <c r="P15" s="101" t="s">
        <v>133</v>
      </c>
    </row>
    <row r="16" spans="1:16" ht="47.25">
      <c r="A16" s="100">
        <v>23</v>
      </c>
      <c r="B16" s="31" t="s">
        <v>137</v>
      </c>
      <c r="C16" s="31" t="s">
        <v>138</v>
      </c>
      <c r="D16" s="100" t="s">
        <v>487</v>
      </c>
      <c r="E16" s="100" t="s">
        <v>117</v>
      </c>
      <c r="F16" s="100" t="s">
        <v>118</v>
      </c>
      <c r="G16" s="100" t="s">
        <v>117</v>
      </c>
      <c r="H16" s="100" t="s">
        <v>119</v>
      </c>
      <c r="I16" s="100">
        <v>1</v>
      </c>
      <c r="J16" s="31" t="s">
        <v>120</v>
      </c>
      <c r="K16" s="31" t="s">
        <v>120</v>
      </c>
      <c r="L16" s="31" t="s">
        <v>121</v>
      </c>
      <c r="M16" s="31" t="s">
        <v>122</v>
      </c>
      <c r="N16" s="31">
        <v>1</v>
      </c>
      <c r="O16" s="102">
        <v>45785</v>
      </c>
      <c r="P16" s="101" t="s">
        <v>139</v>
      </c>
    </row>
    <row r="17" spans="1:16" s="95" customFormat="1" ht="47.25">
      <c r="A17" s="100">
        <v>25</v>
      </c>
      <c r="B17" s="31" t="s">
        <v>140</v>
      </c>
      <c r="C17" s="101" t="s">
        <v>449</v>
      </c>
      <c r="D17" s="100" t="s">
        <v>450</v>
      </c>
      <c r="E17" s="100" t="s">
        <v>117</v>
      </c>
      <c r="F17" s="100" t="s">
        <v>119</v>
      </c>
      <c r="G17" s="100" t="s">
        <v>118</v>
      </c>
      <c r="H17" s="100" t="s">
        <v>117</v>
      </c>
      <c r="I17" s="100">
        <v>1</v>
      </c>
      <c r="J17" s="31" t="s">
        <v>120</v>
      </c>
      <c r="K17" s="31" t="s">
        <v>120</v>
      </c>
      <c r="L17" s="31" t="s">
        <v>121</v>
      </c>
      <c r="M17" s="31" t="s">
        <v>122</v>
      </c>
      <c r="N17" s="31">
        <v>1</v>
      </c>
      <c r="O17" s="102">
        <v>45797</v>
      </c>
      <c r="P17" s="101" t="s">
        <v>141</v>
      </c>
    </row>
    <row r="18" spans="1:16" s="95" customFormat="1" ht="47.25">
      <c r="A18" s="100">
        <v>26</v>
      </c>
      <c r="B18" s="31" t="s">
        <v>140</v>
      </c>
      <c r="C18" s="101" t="s">
        <v>449</v>
      </c>
      <c r="D18" s="100" t="s">
        <v>451</v>
      </c>
      <c r="E18" s="100" t="s">
        <v>117</v>
      </c>
      <c r="F18" s="100" t="s">
        <v>118</v>
      </c>
      <c r="G18" s="100" t="s">
        <v>119</v>
      </c>
      <c r="H18" s="100" t="s">
        <v>117</v>
      </c>
      <c r="I18" s="100">
        <v>1</v>
      </c>
      <c r="J18" s="31" t="s">
        <v>120</v>
      </c>
      <c r="K18" s="31" t="s">
        <v>120</v>
      </c>
      <c r="L18" s="31" t="s">
        <v>121</v>
      </c>
      <c r="M18" s="31" t="s">
        <v>122</v>
      </c>
      <c r="N18" s="31">
        <v>1</v>
      </c>
      <c r="O18" s="102">
        <v>45797</v>
      </c>
      <c r="P18" s="101" t="s">
        <v>141</v>
      </c>
    </row>
    <row r="19" spans="1:16" ht="63">
      <c r="A19" s="100">
        <v>29</v>
      </c>
      <c r="B19" s="31" t="s">
        <v>142</v>
      </c>
      <c r="C19" s="101" t="s">
        <v>143</v>
      </c>
      <c r="D19" s="100" t="s">
        <v>488</v>
      </c>
      <c r="E19" s="100" t="s">
        <v>118</v>
      </c>
      <c r="F19" s="100" t="s">
        <v>117</v>
      </c>
      <c r="G19" s="100" t="s">
        <v>119</v>
      </c>
      <c r="H19" s="100" t="s">
        <v>117</v>
      </c>
      <c r="I19" s="100">
        <v>1</v>
      </c>
      <c r="J19" s="31" t="s">
        <v>120</v>
      </c>
      <c r="K19" s="31" t="s">
        <v>120</v>
      </c>
      <c r="L19" s="31" t="s">
        <v>121</v>
      </c>
      <c r="M19" s="31" t="s">
        <v>122</v>
      </c>
      <c r="N19" s="31">
        <v>1</v>
      </c>
      <c r="O19" s="101" t="s">
        <v>144</v>
      </c>
      <c r="P19" s="101" t="s">
        <v>145</v>
      </c>
    </row>
    <row r="20" spans="1:16" ht="47.25">
      <c r="A20" s="100">
        <v>32</v>
      </c>
      <c r="B20" s="31" t="s">
        <v>142</v>
      </c>
      <c r="C20" s="101" t="s">
        <v>146</v>
      </c>
      <c r="D20" s="100" t="s">
        <v>489</v>
      </c>
      <c r="E20" s="100" t="s">
        <v>118</v>
      </c>
      <c r="F20" s="100" t="s">
        <v>117</v>
      </c>
      <c r="G20" s="100" t="s">
        <v>119</v>
      </c>
      <c r="H20" s="100" t="s">
        <v>117</v>
      </c>
      <c r="I20" s="100">
        <v>1</v>
      </c>
      <c r="J20" s="31" t="s">
        <v>120</v>
      </c>
      <c r="K20" s="31" t="s">
        <v>120</v>
      </c>
      <c r="L20" s="31" t="s">
        <v>121</v>
      </c>
      <c r="M20" s="31" t="s">
        <v>122</v>
      </c>
      <c r="N20" s="31">
        <v>1</v>
      </c>
      <c r="O20" s="102">
        <v>45798</v>
      </c>
      <c r="P20" s="101" t="s">
        <v>145</v>
      </c>
    </row>
    <row r="21" spans="1:16" ht="47.25">
      <c r="A21" s="100">
        <v>35</v>
      </c>
      <c r="B21" s="31" t="s">
        <v>142</v>
      </c>
      <c r="C21" s="101" t="s">
        <v>147</v>
      </c>
      <c r="D21" s="100" t="s">
        <v>490</v>
      </c>
      <c r="E21" s="100" t="s">
        <v>118</v>
      </c>
      <c r="F21" s="100" t="s">
        <v>117</v>
      </c>
      <c r="G21" s="100" t="s">
        <v>119</v>
      </c>
      <c r="H21" s="100" t="s">
        <v>117</v>
      </c>
      <c r="I21" s="100">
        <v>1</v>
      </c>
      <c r="J21" s="31" t="s">
        <v>120</v>
      </c>
      <c r="K21" s="31" t="s">
        <v>120</v>
      </c>
      <c r="L21" s="31" t="s">
        <v>121</v>
      </c>
      <c r="M21" s="31" t="s">
        <v>122</v>
      </c>
      <c r="N21" s="31">
        <v>1</v>
      </c>
      <c r="O21" s="102">
        <v>45804</v>
      </c>
      <c r="P21" s="101" t="s">
        <v>145</v>
      </c>
    </row>
    <row r="22" spans="1:16" ht="47.25">
      <c r="A22" s="100">
        <v>38</v>
      </c>
      <c r="B22" s="31" t="s">
        <v>142</v>
      </c>
      <c r="C22" s="101" t="s">
        <v>148</v>
      </c>
      <c r="D22" s="100" t="s">
        <v>491</v>
      </c>
      <c r="E22" s="100" t="s">
        <v>118</v>
      </c>
      <c r="F22" s="100" t="s">
        <v>117</v>
      </c>
      <c r="G22" s="100" t="s">
        <v>119</v>
      </c>
      <c r="H22" s="100" t="s">
        <v>117</v>
      </c>
      <c r="I22" s="100">
        <v>1</v>
      </c>
      <c r="J22" s="31" t="s">
        <v>120</v>
      </c>
      <c r="K22" s="31" t="s">
        <v>120</v>
      </c>
      <c r="L22" s="31" t="s">
        <v>121</v>
      </c>
      <c r="M22" s="31" t="s">
        <v>122</v>
      </c>
      <c r="N22" s="31">
        <v>1</v>
      </c>
      <c r="O22" s="102">
        <v>45804</v>
      </c>
      <c r="P22" s="101" t="s">
        <v>145</v>
      </c>
    </row>
    <row r="23" spans="1:16" s="95" customFormat="1" ht="173.25">
      <c r="A23" s="100">
        <v>41</v>
      </c>
      <c r="B23" s="31" t="s">
        <v>149</v>
      </c>
      <c r="C23" s="31" t="s">
        <v>150</v>
      </c>
      <c r="D23" s="100" t="s">
        <v>151</v>
      </c>
      <c r="E23" s="100" t="s">
        <v>117</v>
      </c>
      <c r="F23" s="100" t="s">
        <v>118</v>
      </c>
      <c r="G23" s="100" t="s">
        <v>119</v>
      </c>
      <c r="H23" s="100" t="s">
        <v>117</v>
      </c>
      <c r="I23" s="100">
        <v>1</v>
      </c>
      <c r="J23" s="31" t="s">
        <v>120</v>
      </c>
      <c r="K23" s="31" t="s">
        <v>120</v>
      </c>
      <c r="L23" s="31" t="s">
        <v>121</v>
      </c>
      <c r="M23" s="31" t="s">
        <v>122</v>
      </c>
      <c r="N23" s="31">
        <v>1</v>
      </c>
      <c r="O23" s="102">
        <v>45806</v>
      </c>
      <c r="P23" s="101" t="s">
        <v>152</v>
      </c>
    </row>
    <row r="24" spans="1:16" s="95" customFormat="1">
      <c r="A24" s="100">
        <v>42</v>
      </c>
      <c r="B24" s="31" t="s">
        <v>115</v>
      </c>
      <c r="C24" s="31" t="s">
        <v>153</v>
      </c>
      <c r="D24" s="100" t="s">
        <v>448</v>
      </c>
      <c r="E24" s="100" t="s">
        <v>117</v>
      </c>
      <c r="F24" s="100" t="s">
        <v>117</v>
      </c>
      <c r="G24" s="100" t="s">
        <v>118</v>
      </c>
      <c r="H24" s="100" t="s">
        <v>119</v>
      </c>
      <c r="I24" s="100">
        <v>1</v>
      </c>
      <c r="J24" s="31" t="s">
        <v>120</v>
      </c>
      <c r="K24" s="31" t="s">
        <v>120</v>
      </c>
      <c r="L24" s="31" t="s">
        <v>121</v>
      </c>
      <c r="M24" s="31" t="s">
        <v>122</v>
      </c>
      <c r="N24" s="31">
        <v>1</v>
      </c>
      <c r="O24" s="102">
        <v>45806</v>
      </c>
      <c r="P24" s="102">
        <v>45835</v>
      </c>
    </row>
    <row r="25" spans="1:16">
      <c r="A25" s="1">
        <v>43</v>
      </c>
      <c r="B25" s="98" t="s">
        <v>452</v>
      </c>
      <c r="C25" s="98" t="s">
        <v>455</v>
      </c>
      <c r="D25" s="96" t="s">
        <v>453</v>
      </c>
      <c r="E25" s="96" t="s">
        <v>117</v>
      </c>
      <c r="F25" s="96" t="s">
        <v>117</v>
      </c>
      <c r="G25" s="96" t="s">
        <v>119</v>
      </c>
      <c r="H25" s="96" t="s">
        <v>118</v>
      </c>
      <c r="I25" s="96">
        <v>4</v>
      </c>
      <c r="J25" s="98" t="s">
        <v>120</v>
      </c>
      <c r="K25" s="98" t="s">
        <v>117</v>
      </c>
      <c r="L25" s="98" t="s">
        <v>117</v>
      </c>
      <c r="M25" s="98" t="s">
        <v>117</v>
      </c>
      <c r="N25" s="98" t="s">
        <v>117</v>
      </c>
      <c r="O25" s="99">
        <v>45912</v>
      </c>
      <c r="P25" s="92"/>
    </row>
    <row r="26" spans="1:16" ht="94.5">
      <c r="A26" s="1">
        <v>44</v>
      </c>
      <c r="B26" s="6" t="s">
        <v>115</v>
      </c>
      <c r="C26" s="6" t="s">
        <v>154</v>
      </c>
      <c r="D26" s="1" t="s">
        <v>492</v>
      </c>
      <c r="E26" s="1" t="s">
        <v>117</v>
      </c>
      <c r="F26" s="1" t="s">
        <v>118</v>
      </c>
      <c r="G26" s="1" t="s">
        <v>119</v>
      </c>
      <c r="H26" s="1" t="s">
        <v>119</v>
      </c>
      <c r="I26" s="1">
        <v>1</v>
      </c>
      <c r="J26" s="6" t="s">
        <v>120</v>
      </c>
      <c r="K26" s="6" t="s">
        <v>120</v>
      </c>
      <c r="L26" s="6" t="s">
        <v>121</v>
      </c>
      <c r="M26" s="6" t="s">
        <v>122</v>
      </c>
      <c r="N26" s="6">
        <v>1</v>
      </c>
      <c r="O26" s="92">
        <v>45812</v>
      </c>
      <c r="P26" s="91" t="s">
        <v>155</v>
      </c>
    </row>
    <row r="27" spans="1:16" ht="94.5">
      <c r="A27" s="1">
        <v>45</v>
      </c>
      <c r="B27" s="6" t="s">
        <v>115</v>
      </c>
      <c r="C27" s="6" t="s">
        <v>156</v>
      </c>
      <c r="D27" s="1" t="s">
        <v>500</v>
      </c>
      <c r="E27" s="1" t="s">
        <v>117</v>
      </c>
      <c r="F27" s="1" t="s">
        <v>119</v>
      </c>
      <c r="G27" s="1" t="s">
        <v>119</v>
      </c>
      <c r="H27" s="1" t="s">
        <v>118</v>
      </c>
      <c r="I27" s="1">
        <v>1</v>
      </c>
      <c r="J27" s="6" t="s">
        <v>120</v>
      </c>
      <c r="K27" s="6" t="s">
        <v>120</v>
      </c>
      <c r="L27" s="6" t="s">
        <v>121</v>
      </c>
      <c r="M27" s="6" t="s">
        <v>122</v>
      </c>
      <c r="N27" s="6">
        <v>1</v>
      </c>
      <c r="O27" s="92">
        <v>45812</v>
      </c>
      <c r="P27" s="91" t="s">
        <v>155</v>
      </c>
    </row>
    <row r="28" spans="1:16" ht="94.5">
      <c r="A28" s="1">
        <v>46</v>
      </c>
      <c r="B28" s="6" t="s">
        <v>115</v>
      </c>
      <c r="C28" s="6" t="s">
        <v>157</v>
      </c>
      <c r="D28" s="1" t="s">
        <v>493</v>
      </c>
      <c r="E28" s="1" t="s">
        <v>117</v>
      </c>
      <c r="F28" s="1" t="s">
        <v>117</v>
      </c>
      <c r="G28" s="1" t="s">
        <v>118</v>
      </c>
      <c r="H28" s="1" t="s">
        <v>119</v>
      </c>
      <c r="I28" s="1">
        <v>1</v>
      </c>
      <c r="J28" s="6" t="s">
        <v>120</v>
      </c>
      <c r="K28" s="6" t="s">
        <v>120</v>
      </c>
      <c r="L28" s="6" t="s">
        <v>121</v>
      </c>
      <c r="M28" s="6" t="s">
        <v>122</v>
      </c>
      <c r="N28" s="6">
        <v>1</v>
      </c>
      <c r="O28" s="92">
        <v>45813</v>
      </c>
      <c r="P28" s="91" t="s">
        <v>158</v>
      </c>
    </row>
    <row r="29" spans="1:16" ht="47.25">
      <c r="A29" s="1">
        <v>47</v>
      </c>
      <c r="B29" s="6" t="s">
        <v>115</v>
      </c>
      <c r="C29" s="6" t="s">
        <v>159</v>
      </c>
      <c r="D29" s="1" t="s">
        <v>494</v>
      </c>
      <c r="E29" s="1" t="s">
        <v>117</v>
      </c>
      <c r="F29" s="1" t="s">
        <v>117</v>
      </c>
      <c r="G29" s="1" t="s">
        <v>118</v>
      </c>
      <c r="H29" s="1" t="s">
        <v>119</v>
      </c>
      <c r="I29" s="1">
        <v>2</v>
      </c>
      <c r="J29" s="6" t="s">
        <v>117</v>
      </c>
      <c r="K29" s="6" t="s">
        <v>117</v>
      </c>
      <c r="L29" s="6" t="s">
        <v>117</v>
      </c>
      <c r="M29" s="6" t="s">
        <v>117</v>
      </c>
      <c r="N29" s="6" t="s">
        <v>117</v>
      </c>
      <c r="O29" s="92" t="s">
        <v>160</v>
      </c>
      <c r="P29" s="91" t="s">
        <v>161</v>
      </c>
    </row>
    <row r="30" spans="1:16" ht="47.25">
      <c r="A30" s="1">
        <v>48</v>
      </c>
      <c r="B30" s="6" t="s">
        <v>115</v>
      </c>
      <c r="C30" s="6" t="s">
        <v>162</v>
      </c>
      <c r="D30" s="1" t="s">
        <v>495</v>
      </c>
      <c r="E30" s="1" t="s">
        <v>117</v>
      </c>
      <c r="F30" s="1" t="s">
        <v>117</v>
      </c>
      <c r="G30" s="1" t="s">
        <v>119</v>
      </c>
      <c r="H30" s="1" t="s">
        <v>118</v>
      </c>
      <c r="I30" s="1">
        <v>2</v>
      </c>
      <c r="J30" s="6" t="s">
        <v>117</v>
      </c>
      <c r="K30" s="6" t="s">
        <v>117</v>
      </c>
      <c r="L30" s="6" t="s">
        <v>117</v>
      </c>
      <c r="M30" s="6" t="s">
        <v>117</v>
      </c>
      <c r="N30" s="6" t="s">
        <v>117</v>
      </c>
      <c r="O30" s="92" t="s">
        <v>160</v>
      </c>
      <c r="P30" s="91" t="s">
        <v>161</v>
      </c>
    </row>
    <row r="31" spans="1:16" ht="47.25">
      <c r="A31" s="1">
        <v>49</v>
      </c>
      <c r="B31" s="6" t="s">
        <v>115</v>
      </c>
      <c r="C31" s="6" t="s">
        <v>163</v>
      </c>
      <c r="D31" s="1" t="s">
        <v>501</v>
      </c>
      <c r="E31" s="1" t="s">
        <v>117</v>
      </c>
      <c r="F31" s="1" t="s">
        <v>117</v>
      </c>
      <c r="G31" s="1" t="s">
        <v>119</v>
      </c>
      <c r="H31" s="1" t="s">
        <v>118</v>
      </c>
      <c r="I31" s="1">
        <v>4</v>
      </c>
      <c r="J31" s="6" t="s">
        <v>117</v>
      </c>
      <c r="K31" s="6" t="s">
        <v>117</v>
      </c>
      <c r="L31" s="6" t="s">
        <v>117</v>
      </c>
      <c r="M31" s="6" t="s">
        <v>117</v>
      </c>
      <c r="N31" s="6" t="s">
        <v>117</v>
      </c>
      <c r="O31" s="92" t="s">
        <v>160</v>
      </c>
      <c r="P31" s="91" t="s">
        <v>161</v>
      </c>
    </row>
    <row r="32" spans="1:16">
      <c r="A32" s="1">
        <v>50</v>
      </c>
      <c r="B32" s="6" t="s">
        <v>164</v>
      </c>
      <c r="C32" s="6" t="s">
        <v>165</v>
      </c>
      <c r="D32" s="1" t="s">
        <v>166</v>
      </c>
      <c r="E32" s="1" t="s">
        <v>117</v>
      </c>
      <c r="F32" s="1" t="s">
        <v>117</v>
      </c>
      <c r="G32" s="1" t="s">
        <v>119</v>
      </c>
      <c r="H32" s="1" t="s">
        <v>118</v>
      </c>
      <c r="I32" s="1">
        <v>1</v>
      </c>
      <c r="J32" s="6" t="s">
        <v>117</v>
      </c>
      <c r="K32" s="6" t="s">
        <v>117</v>
      </c>
      <c r="L32" s="6" t="s">
        <v>117</v>
      </c>
      <c r="M32" s="6" t="s">
        <v>117</v>
      </c>
      <c r="N32" s="6" t="s">
        <v>117</v>
      </c>
      <c r="O32" s="92" t="s">
        <v>167</v>
      </c>
      <c r="P32" s="91"/>
    </row>
    <row r="33" spans="1:16">
      <c r="A33" s="1">
        <v>51</v>
      </c>
      <c r="B33" s="6" t="s">
        <v>164</v>
      </c>
      <c r="C33" s="6" t="s">
        <v>168</v>
      </c>
      <c r="D33" s="1" t="s">
        <v>169</v>
      </c>
      <c r="E33" s="1" t="s">
        <v>117</v>
      </c>
      <c r="F33" s="1" t="s">
        <v>117</v>
      </c>
      <c r="G33" s="1" t="s">
        <v>118</v>
      </c>
      <c r="H33" s="1" t="s">
        <v>119</v>
      </c>
      <c r="I33" s="1">
        <v>1</v>
      </c>
      <c r="J33" s="6" t="s">
        <v>117</v>
      </c>
      <c r="K33" s="6" t="s">
        <v>117</v>
      </c>
      <c r="L33" s="6" t="s">
        <v>117</v>
      </c>
      <c r="M33" s="6" t="s">
        <v>117</v>
      </c>
      <c r="N33" s="6" t="s">
        <v>117</v>
      </c>
      <c r="O33" s="92" t="s">
        <v>167</v>
      </c>
      <c r="P33" s="91"/>
    </row>
    <row r="34" spans="1:16" s="95" customFormat="1">
      <c r="A34" s="100">
        <v>52</v>
      </c>
      <c r="B34" s="31" t="s">
        <v>115</v>
      </c>
      <c r="C34" s="31" t="s">
        <v>442</v>
      </c>
      <c r="D34" s="100" t="s">
        <v>443</v>
      </c>
      <c r="E34" s="100" t="s">
        <v>117</v>
      </c>
      <c r="F34" s="100" t="s">
        <v>119</v>
      </c>
      <c r="G34" s="100" t="s">
        <v>118</v>
      </c>
      <c r="H34" s="100" t="s">
        <v>117</v>
      </c>
      <c r="I34" s="100">
        <v>2</v>
      </c>
      <c r="J34" s="31" t="s">
        <v>120</v>
      </c>
      <c r="K34" s="31" t="s">
        <v>117</v>
      </c>
      <c r="L34" s="31" t="s">
        <v>117</v>
      </c>
      <c r="M34" s="31" t="s">
        <v>117</v>
      </c>
      <c r="N34" s="31" t="s">
        <v>117</v>
      </c>
      <c r="O34" s="102">
        <v>45895</v>
      </c>
      <c r="P34" s="97"/>
    </row>
    <row r="35" spans="1:16" s="95" customFormat="1">
      <c r="A35" s="100">
        <v>53</v>
      </c>
      <c r="B35" s="31" t="s">
        <v>115</v>
      </c>
      <c r="C35" s="31" t="s">
        <v>444</v>
      </c>
      <c r="D35" s="100" t="s">
        <v>445</v>
      </c>
      <c r="E35" s="100" t="s">
        <v>117</v>
      </c>
      <c r="F35" s="100" t="s">
        <v>118</v>
      </c>
      <c r="G35" s="100" t="s">
        <v>119</v>
      </c>
      <c r="H35" s="100" t="s">
        <v>117</v>
      </c>
      <c r="I35" s="100">
        <v>2</v>
      </c>
      <c r="J35" s="31" t="s">
        <v>120</v>
      </c>
      <c r="K35" s="31" t="s">
        <v>117</v>
      </c>
      <c r="L35" s="31" t="s">
        <v>117</v>
      </c>
      <c r="M35" s="31" t="s">
        <v>117</v>
      </c>
      <c r="N35" s="31" t="s">
        <v>117</v>
      </c>
      <c r="O35" s="102">
        <v>45895</v>
      </c>
      <c r="P35" s="97"/>
    </row>
    <row r="36" spans="1:16" s="95" customFormat="1">
      <c r="A36" s="100">
        <v>54</v>
      </c>
      <c r="B36" s="31" t="s">
        <v>115</v>
      </c>
      <c r="C36" s="31" t="s">
        <v>446</v>
      </c>
      <c r="D36" s="100" t="s">
        <v>447</v>
      </c>
      <c r="E36" s="100" t="s">
        <v>117</v>
      </c>
      <c r="F36" s="100" t="s">
        <v>454</v>
      </c>
      <c r="G36" s="100" t="s">
        <v>117</v>
      </c>
      <c r="H36" s="100" t="s">
        <v>119</v>
      </c>
      <c r="I36" s="100">
        <v>1</v>
      </c>
      <c r="J36" s="31" t="s">
        <v>120</v>
      </c>
      <c r="K36" s="31" t="s">
        <v>117</v>
      </c>
      <c r="L36" s="31" t="s">
        <v>117</v>
      </c>
      <c r="M36" s="31" t="s">
        <v>117</v>
      </c>
      <c r="N36" s="31" t="s">
        <v>117</v>
      </c>
      <c r="O36" s="102">
        <v>45895</v>
      </c>
      <c r="P36" s="97"/>
    </row>
    <row r="37" spans="1:16">
      <c r="A37" s="1">
        <v>55</v>
      </c>
      <c r="B37" s="6" t="s">
        <v>456</v>
      </c>
      <c r="C37" s="6" t="s">
        <v>457</v>
      </c>
      <c r="D37" s="1" t="s">
        <v>496</v>
      </c>
      <c r="E37" s="96" t="s">
        <v>117</v>
      </c>
      <c r="F37" s="96" t="s">
        <v>117</v>
      </c>
      <c r="G37" s="96" t="s">
        <v>118</v>
      </c>
      <c r="H37" s="96" t="s">
        <v>119</v>
      </c>
      <c r="I37" s="1">
        <v>1</v>
      </c>
      <c r="J37" s="6" t="s">
        <v>120</v>
      </c>
      <c r="K37" s="31" t="s">
        <v>117</v>
      </c>
      <c r="L37" s="31" t="s">
        <v>117</v>
      </c>
      <c r="M37" s="31" t="s">
        <v>117</v>
      </c>
      <c r="N37" s="31" t="s">
        <v>117</v>
      </c>
      <c r="O37" s="92">
        <v>45940</v>
      </c>
      <c r="P37" s="91"/>
    </row>
    <row r="38" spans="1:16" s="6" customFormat="1" ht="15.75">
      <c r="A38" s="1">
        <v>56</v>
      </c>
      <c r="B38" s="6" t="s">
        <v>142</v>
      </c>
      <c r="C38" s="6" t="s">
        <v>458</v>
      </c>
      <c r="D38" s="1" t="s">
        <v>459</v>
      </c>
      <c r="E38" s="1" t="s">
        <v>117</v>
      </c>
      <c r="F38" s="1" t="s">
        <v>119</v>
      </c>
      <c r="G38" s="1" t="s">
        <v>118</v>
      </c>
      <c r="H38" s="1" t="s">
        <v>117</v>
      </c>
      <c r="I38" s="1">
        <v>4</v>
      </c>
      <c r="J38" s="6" t="s">
        <v>117</v>
      </c>
      <c r="K38" s="31" t="s">
        <v>117</v>
      </c>
      <c r="L38" s="31" t="s">
        <v>117</v>
      </c>
      <c r="M38" s="31" t="s">
        <v>117</v>
      </c>
      <c r="N38" s="31" t="s">
        <v>117</v>
      </c>
      <c r="O38" s="92">
        <v>45971</v>
      </c>
    </row>
    <row r="39" spans="1:16" s="6" customFormat="1" ht="15.75">
      <c r="A39" s="1">
        <v>57</v>
      </c>
      <c r="B39" s="6" t="s">
        <v>142</v>
      </c>
      <c r="C39" s="6" t="s">
        <v>460</v>
      </c>
      <c r="D39" s="1" t="s">
        <v>461</v>
      </c>
      <c r="E39" s="1" t="s">
        <v>117</v>
      </c>
      <c r="F39" s="1" t="s">
        <v>119</v>
      </c>
      <c r="G39" s="1" t="s">
        <v>118</v>
      </c>
      <c r="H39" s="1" t="s">
        <v>117</v>
      </c>
      <c r="I39" s="1">
        <v>4</v>
      </c>
      <c r="J39" s="6" t="s">
        <v>117</v>
      </c>
      <c r="K39" s="31" t="s">
        <v>117</v>
      </c>
      <c r="L39" s="31" t="s">
        <v>117</v>
      </c>
      <c r="M39" s="31" t="s">
        <v>117</v>
      </c>
      <c r="N39" s="31" t="s">
        <v>117</v>
      </c>
      <c r="O39" s="92">
        <v>45971</v>
      </c>
    </row>
    <row r="40" spans="1:16" s="6" customFormat="1" ht="15.75">
      <c r="A40" s="1">
        <v>58</v>
      </c>
      <c r="B40" s="6" t="s">
        <v>142</v>
      </c>
      <c r="C40" s="6" t="s">
        <v>462</v>
      </c>
      <c r="D40" s="1" t="s">
        <v>463</v>
      </c>
      <c r="E40" s="1" t="s">
        <v>117</v>
      </c>
      <c r="F40" s="1" t="s">
        <v>119</v>
      </c>
      <c r="G40" s="1" t="s">
        <v>118</v>
      </c>
      <c r="H40" s="1" t="s">
        <v>117</v>
      </c>
      <c r="I40" s="1">
        <v>4</v>
      </c>
      <c r="J40" s="6" t="s">
        <v>117</v>
      </c>
      <c r="K40" s="31" t="s">
        <v>117</v>
      </c>
      <c r="L40" s="31" t="s">
        <v>117</v>
      </c>
      <c r="M40" s="31" t="s">
        <v>117</v>
      </c>
      <c r="N40" s="31" t="s">
        <v>117</v>
      </c>
      <c r="O40" s="92">
        <v>45971</v>
      </c>
    </row>
    <row r="41" spans="1:16" s="6" customFormat="1" ht="15.75">
      <c r="A41" s="1">
        <v>59</v>
      </c>
      <c r="B41" s="6" t="s">
        <v>142</v>
      </c>
      <c r="C41" s="6" t="s">
        <v>464</v>
      </c>
      <c r="D41" s="1" t="s">
        <v>465</v>
      </c>
      <c r="E41" s="1" t="s">
        <v>117</v>
      </c>
      <c r="F41" s="1" t="s">
        <v>119</v>
      </c>
      <c r="G41" s="1" t="s">
        <v>118</v>
      </c>
      <c r="H41" s="1" t="s">
        <v>117</v>
      </c>
      <c r="I41" s="1">
        <v>4</v>
      </c>
      <c r="J41" s="6" t="s">
        <v>117</v>
      </c>
      <c r="K41" s="31" t="s">
        <v>117</v>
      </c>
      <c r="L41" s="31" t="s">
        <v>117</v>
      </c>
      <c r="M41" s="31" t="s">
        <v>117</v>
      </c>
      <c r="N41" s="31" t="s">
        <v>117</v>
      </c>
      <c r="O41" s="92">
        <v>45971</v>
      </c>
    </row>
    <row r="42" spans="1:16" s="6" customFormat="1" ht="15.75">
      <c r="A42" s="1">
        <v>60</v>
      </c>
      <c r="B42" s="6" t="s">
        <v>142</v>
      </c>
      <c r="C42" s="6" t="s">
        <v>466</v>
      </c>
      <c r="D42" s="1" t="s">
        <v>467</v>
      </c>
      <c r="E42" s="1" t="s">
        <v>117</v>
      </c>
      <c r="F42" s="1" t="s">
        <v>119</v>
      </c>
      <c r="G42" s="1" t="s">
        <v>118</v>
      </c>
      <c r="H42" s="1" t="s">
        <v>117</v>
      </c>
      <c r="I42" s="1">
        <v>4</v>
      </c>
      <c r="J42" s="6" t="s">
        <v>117</v>
      </c>
      <c r="K42" s="31" t="s">
        <v>117</v>
      </c>
      <c r="L42" s="31" t="s">
        <v>117</v>
      </c>
      <c r="M42" s="31" t="s">
        <v>117</v>
      </c>
      <c r="N42" s="31" t="s">
        <v>117</v>
      </c>
      <c r="O42" s="92">
        <v>45971</v>
      </c>
    </row>
    <row r="43" spans="1:16" s="6" customFormat="1" ht="15.75">
      <c r="A43" s="1">
        <v>61</v>
      </c>
      <c r="B43" s="6" t="s">
        <v>142</v>
      </c>
      <c r="C43" s="6" t="s">
        <v>468</v>
      </c>
      <c r="D43" s="1" t="s">
        <v>469</v>
      </c>
      <c r="E43" s="1" t="s">
        <v>117</v>
      </c>
      <c r="F43" s="1" t="s">
        <v>119</v>
      </c>
      <c r="G43" s="1" t="s">
        <v>118</v>
      </c>
      <c r="H43" s="1" t="s">
        <v>117</v>
      </c>
      <c r="I43" s="1">
        <v>4</v>
      </c>
      <c r="J43" s="6" t="s">
        <v>117</v>
      </c>
      <c r="K43" s="31" t="s">
        <v>117</v>
      </c>
      <c r="L43" s="31" t="s">
        <v>117</v>
      </c>
      <c r="M43" s="31" t="s">
        <v>117</v>
      </c>
      <c r="N43" s="31" t="s">
        <v>117</v>
      </c>
      <c r="O43" s="92">
        <v>45971</v>
      </c>
    </row>
    <row r="44" spans="1:16" s="6" customFormat="1" ht="15.75">
      <c r="A44" s="1">
        <v>62</v>
      </c>
      <c r="B44" s="6" t="s">
        <v>142</v>
      </c>
      <c r="C44" s="6" t="s">
        <v>470</v>
      </c>
      <c r="D44" s="1" t="s">
        <v>471</v>
      </c>
      <c r="E44" s="1" t="s">
        <v>117</v>
      </c>
      <c r="F44" s="1" t="s">
        <v>119</v>
      </c>
      <c r="G44" s="1" t="s">
        <v>118</v>
      </c>
      <c r="H44" s="1" t="s">
        <v>117</v>
      </c>
      <c r="I44" s="1">
        <v>4</v>
      </c>
      <c r="J44" s="6" t="s">
        <v>117</v>
      </c>
      <c r="K44" s="31" t="s">
        <v>117</v>
      </c>
      <c r="L44" s="31" t="s">
        <v>117</v>
      </c>
      <c r="M44" s="31" t="s">
        <v>117</v>
      </c>
      <c r="N44" s="31" t="s">
        <v>117</v>
      </c>
      <c r="O44" s="92">
        <v>45971</v>
      </c>
    </row>
    <row r="45" spans="1:16" s="6" customFormat="1" ht="15.75">
      <c r="A45" s="1">
        <v>63</v>
      </c>
      <c r="B45" s="6" t="s">
        <v>142</v>
      </c>
      <c r="C45" s="6" t="s">
        <v>472</v>
      </c>
      <c r="D45" s="1" t="s">
        <v>473</v>
      </c>
      <c r="E45" s="1" t="s">
        <v>117</v>
      </c>
      <c r="F45" s="1" t="s">
        <v>119</v>
      </c>
      <c r="G45" s="1" t="s">
        <v>118</v>
      </c>
      <c r="H45" s="1" t="s">
        <v>117</v>
      </c>
      <c r="I45" s="1">
        <v>4</v>
      </c>
      <c r="J45" s="6" t="s">
        <v>117</v>
      </c>
      <c r="K45" s="31" t="s">
        <v>117</v>
      </c>
      <c r="L45" s="31" t="s">
        <v>117</v>
      </c>
      <c r="M45" s="31" t="s">
        <v>117</v>
      </c>
      <c r="N45" s="31" t="s">
        <v>117</v>
      </c>
      <c r="O45" s="92">
        <v>45971</v>
      </c>
    </row>
    <row r="46" spans="1:16">
      <c r="A46" s="1"/>
      <c r="B46" s="6"/>
      <c r="C46" s="6"/>
      <c r="D46" s="1"/>
      <c r="E46" s="55"/>
      <c r="F46" s="55"/>
      <c r="G46" s="55"/>
      <c r="H46" s="55"/>
      <c r="I46" s="55"/>
    </row>
    <row r="47" spans="1:16">
      <c r="A47" s="1"/>
      <c r="B47" s="6"/>
      <c r="C47" s="6"/>
      <c r="D47" s="1"/>
      <c r="E47" s="55"/>
      <c r="F47" s="55"/>
      <c r="G47" s="55"/>
      <c r="H47" s="55"/>
      <c r="I47" s="55"/>
    </row>
    <row r="48" spans="1:16">
      <c r="A48" s="1"/>
      <c r="B48" s="6"/>
      <c r="C48" s="6"/>
      <c r="D48" s="1"/>
      <c r="E48" s="55"/>
      <c r="F48" s="55"/>
      <c r="G48" s="55"/>
      <c r="H48" s="55"/>
      <c r="I48" s="55"/>
    </row>
    <row r="49" spans="1:9">
      <c r="A49" s="1"/>
      <c r="B49" s="6"/>
      <c r="C49" s="6"/>
      <c r="D49" s="1"/>
      <c r="E49" s="55"/>
      <c r="F49" s="55"/>
      <c r="G49" s="55"/>
      <c r="H49" s="55"/>
      <c r="I49" s="55"/>
    </row>
    <row r="50" spans="1:9">
      <c r="A50" s="1"/>
      <c r="B50" s="6"/>
      <c r="C50" s="6"/>
      <c r="D50" s="1"/>
      <c r="E50" s="55"/>
      <c r="F50" s="55"/>
      <c r="G50" s="55"/>
      <c r="H50" s="55"/>
      <c r="I50" s="55"/>
    </row>
    <row r="51" spans="1:9">
      <c r="A51" s="1"/>
      <c r="B51" s="6"/>
      <c r="C51" s="6"/>
      <c r="D51" s="1"/>
      <c r="E51" s="55"/>
      <c r="F51" s="55"/>
      <c r="G51" s="55"/>
      <c r="H51" s="55"/>
      <c r="I51" s="55"/>
    </row>
    <row r="52" spans="1:9">
      <c r="A52" s="1"/>
      <c r="B52" s="6"/>
      <c r="C52" s="6"/>
      <c r="D52" s="1"/>
      <c r="E52" s="55"/>
      <c r="F52" s="55"/>
      <c r="G52" s="55"/>
      <c r="H52" s="55"/>
      <c r="I52" s="55"/>
    </row>
    <row r="53" spans="1:9">
      <c r="A53" s="1"/>
      <c r="B53" s="6"/>
      <c r="C53" s="6"/>
      <c r="D53" s="1"/>
      <c r="E53" s="55"/>
      <c r="F53" s="55"/>
      <c r="G53" s="55"/>
      <c r="H53" s="55"/>
      <c r="I53" s="55"/>
    </row>
    <row r="54" spans="1:9">
      <c r="A54" s="1"/>
      <c r="B54" s="6"/>
      <c r="C54" s="6"/>
      <c r="D54" s="1"/>
      <c r="E54" s="55"/>
      <c r="F54" s="55"/>
      <c r="G54" s="55"/>
      <c r="H54" s="55"/>
      <c r="I54" s="55"/>
    </row>
    <row r="55" spans="1:9">
      <c r="A55" s="1"/>
      <c r="B55" s="6"/>
      <c r="C55" s="6"/>
      <c r="D55" s="1"/>
      <c r="E55" s="55"/>
      <c r="F55" s="55"/>
      <c r="G55" s="55"/>
      <c r="H55" s="55"/>
      <c r="I55" s="55"/>
    </row>
    <row r="56" spans="1:9">
      <c r="A56" s="1"/>
      <c r="B56" s="6"/>
      <c r="C56" s="6"/>
      <c r="D56" s="1"/>
      <c r="E56" s="55"/>
      <c r="F56" s="55"/>
      <c r="G56" s="55"/>
      <c r="H56" s="55"/>
      <c r="I56" s="55"/>
    </row>
    <row r="57" spans="1:9">
      <c r="A57" s="1"/>
      <c r="B57" s="6"/>
      <c r="C57" s="6"/>
      <c r="D57" s="1"/>
      <c r="E57" s="55"/>
      <c r="F57" s="55"/>
      <c r="G57" s="55"/>
      <c r="H57" s="55"/>
      <c r="I57" s="55"/>
    </row>
    <row r="58" spans="1:9">
      <c r="A58" s="1"/>
      <c r="B58" s="6"/>
      <c r="C58" s="6"/>
      <c r="D58" s="1"/>
      <c r="E58" s="55"/>
      <c r="F58" s="55"/>
      <c r="G58" s="55"/>
      <c r="H58" s="55"/>
      <c r="I58" s="55"/>
    </row>
    <row r="59" spans="1:9">
      <c r="A59" s="1"/>
      <c r="B59" s="6"/>
      <c r="C59" s="6"/>
      <c r="D59" s="1"/>
      <c r="E59" s="55"/>
      <c r="F59" s="55"/>
      <c r="G59" s="55"/>
      <c r="H59" s="55"/>
      <c r="I59" s="55"/>
    </row>
    <row r="60" spans="1:9">
      <c r="A60" s="1"/>
      <c r="B60" s="6"/>
      <c r="C60" s="6"/>
      <c r="D60" s="1"/>
      <c r="E60" s="55"/>
      <c r="F60" s="55"/>
      <c r="G60" s="55"/>
      <c r="H60" s="55"/>
      <c r="I60" s="55"/>
    </row>
    <row r="61" spans="1:9">
      <c r="A61" s="1"/>
      <c r="B61" s="6"/>
      <c r="C61" s="6"/>
      <c r="D61" s="1"/>
      <c r="E61" s="55"/>
      <c r="F61" s="55"/>
      <c r="G61" s="55"/>
      <c r="H61" s="55"/>
      <c r="I61" s="55"/>
    </row>
    <row r="62" spans="1:9">
      <c r="A62" s="1"/>
      <c r="B62" s="6"/>
      <c r="C62" s="6"/>
      <c r="D62" s="1"/>
      <c r="E62" s="55"/>
      <c r="F62" s="55"/>
      <c r="G62" s="55"/>
      <c r="H62" s="55"/>
      <c r="I62" s="55"/>
    </row>
    <row r="63" spans="1:9">
      <c r="A63" s="1"/>
      <c r="B63" s="6"/>
      <c r="C63" s="6"/>
      <c r="D63" s="1"/>
      <c r="E63" s="55"/>
      <c r="F63" s="55"/>
      <c r="G63" s="55"/>
      <c r="H63" s="55"/>
      <c r="I63" s="55"/>
    </row>
    <row r="64" spans="1:9">
      <c r="A64" s="1"/>
      <c r="B64" s="6"/>
      <c r="C64" s="6"/>
      <c r="D64" s="1"/>
      <c r="E64" s="55"/>
      <c r="F64" s="55"/>
      <c r="G64" s="55"/>
      <c r="H64" s="55"/>
      <c r="I64" s="55"/>
    </row>
    <row r="65" spans="1:9">
      <c r="A65" s="1"/>
      <c r="B65" s="6"/>
      <c r="C65" s="6"/>
      <c r="D65" s="1"/>
      <c r="E65" s="55"/>
      <c r="F65" s="55"/>
      <c r="G65" s="55"/>
      <c r="H65" s="55"/>
      <c r="I65" s="55"/>
    </row>
    <row r="66" spans="1:9">
      <c r="A66" s="1"/>
      <c r="B66" s="6"/>
      <c r="C66" s="6"/>
      <c r="D66" s="1"/>
      <c r="E66" s="55"/>
      <c r="F66" s="55"/>
      <c r="G66" s="55"/>
      <c r="H66" s="55"/>
      <c r="I66" s="55"/>
    </row>
    <row r="67" spans="1:9">
      <c r="A67" s="1"/>
      <c r="B67" s="6"/>
      <c r="C67" s="6"/>
      <c r="D67" s="1"/>
      <c r="E67" s="55"/>
      <c r="F67" s="55"/>
      <c r="G67" s="55"/>
      <c r="H67" s="55"/>
      <c r="I67" s="55"/>
    </row>
    <row r="68" spans="1:9">
      <c r="A68" s="1"/>
      <c r="B68" s="6"/>
      <c r="C68" s="6"/>
      <c r="D68" s="1"/>
      <c r="E68" s="55"/>
      <c r="F68" s="55"/>
      <c r="G68" s="55"/>
      <c r="H68" s="55"/>
      <c r="I68" s="55"/>
    </row>
    <row r="69" spans="1:9">
      <c r="A69" s="1"/>
      <c r="B69" s="6"/>
      <c r="C69" s="6"/>
      <c r="D69" s="1"/>
      <c r="E69" s="55"/>
      <c r="F69" s="55"/>
      <c r="G69" s="55"/>
      <c r="H69" s="55"/>
      <c r="I69" s="55"/>
    </row>
    <row r="70" spans="1:9">
      <c r="A70" s="55"/>
      <c r="D70" s="55"/>
      <c r="E70" s="55"/>
      <c r="F70" s="55"/>
      <c r="G70" s="55"/>
      <c r="H70" s="55"/>
      <c r="I70" s="55"/>
    </row>
    <row r="71" spans="1:9">
      <c r="A71" s="55"/>
      <c r="D71" s="55"/>
      <c r="E71" s="55"/>
      <c r="F71" s="55"/>
      <c r="G71" s="55"/>
      <c r="H71" s="55"/>
      <c r="I71" s="55"/>
    </row>
    <row r="72" spans="1:9">
      <c r="A72" s="55"/>
      <c r="D72" s="55"/>
      <c r="E72" s="55"/>
      <c r="F72" s="55"/>
      <c r="G72" s="55"/>
      <c r="H72" s="55"/>
      <c r="I72" s="55"/>
    </row>
    <row r="73" spans="1:9">
      <c r="A73" s="55"/>
      <c r="D73" s="55"/>
      <c r="E73" s="55"/>
      <c r="F73" s="55"/>
      <c r="G73" s="55"/>
      <c r="H73" s="55"/>
      <c r="I73" s="55"/>
    </row>
    <row r="74" spans="1:9">
      <c r="A74" s="55"/>
      <c r="D74" s="55"/>
      <c r="E74" s="55"/>
      <c r="F74" s="55"/>
      <c r="G74" s="55"/>
      <c r="H74" s="55"/>
      <c r="I74" s="55"/>
    </row>
    <row r="75" spans="1:9">
      <c r="A75" s="55"/>
      <c r="D75" s="55"/>
      <c r="E75" s="55"/>
      <c r="F75" s="55"/>
      <c r="G75" s="55"/>
      <c r="H75" s="55"/>
      <c r="I75" s="55"/>
    </row>
    <row r="76" spans="1:9">
      <c r="A76" s="55"/>
      <c r="D76" s="55"/>
      <c r="E76" s="55"/>
      <c r="F76" s="55"/>
      <c r="G76" s="55"/>
      <c r="H76" s="55"/>
      <c r="I76" s="55"/>
    </row>
    <row r="77" spans="1:9">
      <c r="A77" s="55"/>
      <c r="D77" s="55"/>
      <c r="E77" s="55"/>
      <c r="F77" s="55"/>
      <c r="G77" s="55"/>
      <c r="H77" s="55"/>
      <c r="I77" s="55"/>
    </row>
    <row r="78" spans="1:9">
      <c r="A78" s="55"/>
      <c r="D78" s="55"/>
      <c r="E78" s="55"/>
      <c r="F78" s="55"/>
      <c r="G78" s="55"/>
      <c r="H78" s="55"/>
      <c r="I78" s="55"/>
    </row>
    <row r="79" spans="1:9">
      <c r="A79" s="55"/>
      <c r="D79" s="55"/>
      <c r="E79" s="55"/>
      <c r="F79" s="55"/>
      <c r="G79" s="55"/>
      <c r="H79" s="55"/>
      <c r="I79" s="55"/>
    </row>
    <row r="80" spans="1:9">
      <c r="A80" s="55"/>
      <c r="D80" s="55"/>
      <c r="E80" s="55"/>
      <c r="F80" s="55"/>
      <c r="G80" s="55"/>
      <c r="H80" s="55"/>
      <c r="I80" s="55"/>
    </row>
    <row r="81" spans="1:9">
      <c r="A81" s="55"/>
      <c r="D81" s="55"/>
      <c r="E81" s="55"/>
      <c r="F81" s="55"/>
      <c r="G81" s="55"/>
      <c r="H81" s="55"/>
      <c r="I81" s="55"/>
    </row>
    <row r="82" spans="1:9">
      <c r="A82" s="55"/>
      <c r="D82" s="55"/>
      <c r="E82" s="55"/>
      <c r="F82" s="55"/>
      <c r="G82" s="55"/>
      <c r="H82" s="55"/>
      <c r="I82" s="55"/>
    </row>
    <row r="83" spans="1:9">
      <c r="A83" s="55"/>
      <c r="D83" s="55"/>
      <c r="E83" s="55"/>
      <c r="F83" s="55"/>
      <c r="G83" s="55"/>
      <c r="H83" s="55"/>
      <c r="I83" s="55"/>
    </row>
    <row r="84" spans="1:9">
      <c r="A84" s="55"/>
      <c r="D84" s="55"/>
      <c r="E84" s="55"/>
      <c r="F84" s="55"/>
      <c r="G84" s="55"/>
      <c r="H84" s="55"/>
      <c r="I84" s="55"/>
    </row>
    <row r="85" spans="1:9">
      <c r="A85" s="55"/>
      <c r="D85" s="55"/>
      <c r="E85" s="55"/>
      <c r="F85" s="55"/>
      <c r="G85" s="55"/>
      <c r="H85" s="55"/>
      <c r="I85" s="55"/>
    </row>
    <row r="86" spans="1:9">
      <c r="A86" s="55"/>
      <c r="D86" s="55"/>
      <c r="E86" s="55"/>
      <c r="F86" s="55"/>
      <c r="G86" s="55"/>
      <c r="H86" s="55"/>
      <c r="I86" s="55"/>
    </row>
    <row r="87" spans="1:9">
      <c r="A87" s="55"/>
      <c r="D87" s="55"/>
      <c r="E87" s="55"/>
      <c r="F87" s="55"/>
      <c r="G87" s="55"/>
      <c r="H87" s="55"/>
      <c r="I87" s="55"/>
    </row>
    <row r="88" spans="1:9">
      <c r="A88" s="55"/>
      <c r="D88" s="55"/>
      <c r="E88" s="55"/>
      <c r="F88" s="55"/>
      <c r="G88" s="55"/>
      <c r="H88" s="55"/>
      <c r="I88" s="55"/>
    </row>
    <row r="89" spans="1:9">
      <c r="A89" s="55"/>
      <c r="D89" s="55"/>
      <c r="E89" s="55"/>
      <c r="F89" s="55"/>
      <c r="G89" s="55"/>
      <c r="H89" s="55"/>
      <c r="I89" s="55"/>
    </row>
    <row r="90" spans="1:9">
      <c r="A90" s="55"/>
      <c r="D90" s="55"/>
      <c r="E90" s="55"/>
      <c r="F90" s="55"/>
      <c r="G90" s="55"/>
      <c r="H90" s="55"/>
      <c r="I90" s="55"/>
    </row>
    <row r="91" spans="1:9">
      <c r="A91" s="55"/>
      <c r="D91" s="55"/>
      <c r="E91" s="55"/>
      <c r="F91" s="55"/>
      <c r="G91" s="55"/>
      <c r="H91" s="55"/>
      <c r="I91" s="55"/>
    </row>
    <row r="92" spans="1:9">
      <c r="A92" s="55"/>
      <c r="D92" s="55"/>
      <c r="E92" s="55"/>
      <c r="F92" s="55"/>
      <c r="G92" s="55"/>
      <c r="H92" s="55"/>
      <c r="I92" s="55"/>
    </row>
    <row r="93" spans="1:9">
      <c r="A93" s="55"/>
      <c r="D93" s="55"/>
      <c r="E93" s="55"/>
      <c r="F93" s="55"/>
      <c r="G93" s="55"/>
      <c r="H93" s="55"/>
      <c r="I93" s="55"/>
    </row>
    <row r="94" spans="1:9">
      <c r="A94" s="55"/>
      <c r="D94" s="55"/>
      <c r="E94" s="55"/>
      <c r="F94" s="55"/>
      <c r="G94" s="55"/>
      <c r="H94" s="55"/>
      <c r="I94" s="55"/>
    </row>
    <row r="95" spans="1:9">
      <c r="A95" s="55"/>
      <c r="D95" s="55"/>
      <c r="E95" s="55"/>
      <c r="F95" s="55"/>
      <c r="G95" s="55"/>
      <c r="H95" s="55"/>
      <c r="I95" s="55"/>
    </row>
    <row r="96" spans="1:9">
      <c r="A96" s="55"/>
      <c r="D96" s="55"/>
      <c r="E96" s="55"/>
      <c r="F96" s="55"/>
      <c r="G96" s="55"/>
      <c r="H96" s="55"/>
      <c r="I96" s="55"/>
    </row>
    <row r="97" spans="1:9">
      <c r="A97" s="55"/>
      <c r="D97" s="55"/>
      <c r="E97" s="55"/>
      <c r="F97" s="55"/>
      <c r="G97" s="55"/>
      <c r="H97" s="55"/>
      <c r="I97" s="55"/>
    </row>
    <row r="98" spans="1:9">
      <c r="A98" s="55"/>
      <c r="D98" s="55"/>
      <c r="E98" s="55"/>
      <c r="F98" s="55"/>
      <c r="G98" s="55"/>
      <c r="H98" s="55"/>
      <c r="I98" s="55"/>
    </row>
    <row r="99" spans="1:9">
      <c r="A99" s="55"/>
      <c r="D99" s="55"/>
      <c r="E99" s="55"/>
      <c r="F99" s="55"/>
      <c r="G99" s="55"/>
      <c r="H99" s="55"/>
      <c r="I99" s="55"/>
    </row>
    <row r="100" spans="1:9">
      <c r="A100" s="55"/>
      <c r="D100" s="55"/>
      <c r="E100" s="55"/>
      <c r="F100" s="55"/>
      <c r="G100" s="55"/>
      <c r="H100" s="55"/>
      <c r="I100" s="55"/>
    </row>
    <row r="101" spans="1:9">
      <c r="A101" s="55"/>
      <c r="D101" s="55"/>
      <c r="E101" s="55"/>
      <c r="F101" s="55"/>
      <c r="G101" s="55"/>
      <c r="H101" s="55"/>
      <c r="I101" s="55"/>
    </row>
    <row r="102" spans="1:9">
      <c r="A102" s="55"/>
      <c r="D102" s="55"/>
      <c r="E102" s="55"/>
      <c r="F102" s="55"/>
      <c r="G102" s="55"/>
      <c r="H102" s="55"/>
      <c r="I102" s="55"/>
    </row>
    <row r="103" spans="1:9">
      <c r="A103" s="55"/>
      <c r="D103" s="55"/>
      <c r="E103" s="55"/>
      <c r="F103" s="55"/>
      <c r="G103" s="55"/>
      <c r="H103" s="55"/>
      <c r="I103" s="55"/>
    </row>
    <row r="104" spans="1:9">
      <c r="A104" s="55"/>
      <c r="D104" s="55"/>
      <c r="E104" s="55"/>
      <c r="F104" s="55"/>
      <c r="G104" s="55"/>
      <c r="H104" s="55"/>
      <c r="I104" s="55"/>
    </row>
    <row r="105" spans="1:9">
      <c r="A105" s="55"/>
      <c r="D105" s="55"/>
      <c r="E105" s="55"/>
      <c r="F105" s="55"/>
      <c r="G105" s="55"/>
      <c r="H105" s="55"/>
      <c r="I105" s="55"/>
    </row>
    <row r="106" spans="1:9">
      <c r="A106" s="55"/>
      <c r="D106" s="55"/>
      <c r="E106" s="55"/>
      <c r="F106" s="55"/>
      <c r="G106" s="55"/>
      <c r="H106" s="55"/>
      <c r="I106" s="55"/>
    </row>
    <row r="107" spans="1:9">
      <c r="A107" s="55"/>
      <c r="D107" s="55"/>
      <c r="E107" s="55"/>
      <c r="F107" s="55"/>
      <c r="G107" s="55"/>
      <c r="H107" s="55"/>
      <c r="I107" s="55"/>
    </row>
    <row r="108" spans="1:9">
      <c r="A108" s="55"/>
      <c r="D108" s="55"/>
      <c r="E108" s="55"/>
      <c r="F108" s="55"/>
      <c r="G108" s="55"/>
      <c r="H108" s="55"/>
      <c r="I108" s="55"/>
    </row>
    <row r="109" spans="1:9">
      <c r="A109" s="55"/>
      <c r="D109" s="55"/>
      <c r="E109" s="55"/>
      <c r="F109" s="55"/>
      <c r="G109" s="55"/>
      <c r="H109" s="55"/>
      <c r="I109" s="55"/>
    </row>
    <row r="110" spans="1:9">
      <c r="A110" s="55"/>
      <c r="D110" s="55"/>
      <c r="E110" s="55"/>
      <c r="F110" s="55"/>
      <c r="G110" s="55"/>
      <c r="H110" s="55"/>
      <c r="I110" s="55"/>
    </row>
    <row r="111" spans="1:9">
      <c r="A111" s="55"/>
      <c r="D111" s="55"/>
      <c r="E111" s="55"/>
      <c r="F111" s="55"/>
      <c r="G111" s="55"/>
      <c r="H111" s="55"/>
      <c r="I111" s="55"/>
    </row>
    <row r="112" spans="1:9">
      <c r="A112" s="55"/>
      <c r="D112" s="55"/>
      <c r="E112" s="55"/>
      <c r="F112" s="55"/>
      <c r="G112" s="55"/>
      <c r="H112" s="55"/>
      <c r="I112" s="55"/>
    </row>
    <row r="113" spans="1:9">
      <c r="A113" s="55"/>
      <c r="D113" s="55"/>
      <c r="E113" s="55"/>
      <c r="F113" s="55"/>
      <c r="G113" s="55"/>
      <c r="H113" s="55"/>
      <c r="I113" s="55"/>
    </row>
    <row r="114" spans="1:9">
      <c r="A114" s="55"/>
      <c r="D114" s="55"/>
      <c r="E114" s="55"/>
      <c r="F114" s="55"/>
      <c r="G114" s="55"/>
      <c r="H114" s="55"/>
      <c r="I114" s="55"/>
    </row>
    <row r="115" spans="1:9">
      <c r="A115" s="55"/>
      <c r="D115" s="55"/>
      <c r="E115" s="55"/>
      <c r="F115" s="55"/>
      <c r="G115" s="55"/>
      <c r="H115" s="55"/>
      <c r="I115" s="55"/>
    </row>
    <row r="116" spans="1:9">
      <c r="A116" s="55"/>
      <c r="D116" s="55"/>
      <c r="E116" s="55"/>
      <c r="F116" s="55"/>
      <c r="G116" s="55"/>
      <c r="H116" s="55"/>
      <c r="I116" s="55"/>
    </row>
    <row r="117" spans="1:9">
      <c r="A117" s="55"/>
      <c r="D117" s="55"/>
      <c r="E117" s="55"/>
      <c r="F117" s="55"/>
      <c r="G117" s="55"/>
      <c r="H117" s="55"/>
      <c r="I117" s="55"/>
    </row>
    <row r="118" spans="1:9">
      <c r="A118" s="55"/>
      <c r="D118" s="55"/>
      <c r="E118" s="55"/>
      <c r="F118" s="55"/>
      <c r="G118" s="55"/>
      <c r="H118" s="55"/>
      <c r="I118" s="55"/>
    </row>
    <row r="119" spans="1:9">
      <c r="A119" s="55"/>
      <c r="D119" s="55"/>
      <c r="E119" s="55"/>
      <c r="F119" s="55"/>
      <c r="G119" s="55"/>
      <c r="H119" s="55"/>
      <c r="I119" s="55"/>
    </row>
    <row r="120" spans="1:9">
      <c r="A120" s="55"/>
      <c r="D120" s="55"/>
      <c r="E120" s="55"/>
      <c r="F120" s="55"/>
      <c r="G120" s="55"/>
      <c r="H120" s="55"/>
      <c r="I120" s="55"/>
    </row>
    <row r="121" spans="1:9">
      <c r="A121" s="55"/>
      <c r="D121" s="55"/>
      <c r="E121" s="55"/>
      <c r="F121" s="55"/>
      <c r="G121" s="55"/>
      <c r="H121" s="55"/>
      <c r="I121" s="55"/>
    </row>
    <row r="122" spans="1:9">
      <c r="A122" s="55"/>
      <c r="D122" s="55"/>
      <c r="E122" s="55"/>
      <c r="F122" s="55"/>
      <c r="G122" s="55"/>
      <c r="H122" s="55"/>
      <c r="I122" s="55"/>
    </row>
    <row r="123" spans="1:9">
      <c r="A123" s="55"/>
      <c r="D123" s="55"/>
      <c r="E123" s="55"/>
      <c r="F123" s="55"/>
      <c r="G123" s="55"/>
      <c r="H123" s="55"/>
      <c r="I123" s="55"/>
    </row>
    <row r="124" spans="1:9">
      <c r="A124" s="55"/>
      <c r="D124" s="55"/>
      <c r="E124" s="55"/>
      <c r="F124" s="55"/>
      <c r="G124" s="55"/>
      <c r="H124" s="55"/>
      <c r="I124" s="55"/>
    </row>
    <row r="125" spans="1:9">
      <c r="A125" s="55"/>
      <c r="D125" s="55"/>
      <c r="E125" s="55"/>
      <c r="F125" s="55"/>
      <c r="G125" s="55"/>
      <c r="H125" s="55"/>
      <c r="I125" s="55"/>
    </row>
    <row r="126" spans="1:9">
      <c r="A126" s="55"/>
      <c r="D126" s="55"/>
      <c r="E126" s="55"/>
      <c r="F126" s="55"/>
      <c r="G126" s="55"/>
      <c r="H126" s="55"/>
      <c r="I126" s="55"/>
    </row>
    <row r="127" spans="1:9">
      <c r="A127" s="55"/>
      <c r="D127" s="55"/>
      <c r="E127" s="55"/>
      <c r="F127" s="55"/>
      <c r="G127" s="55"/>
      <c r="H127" s="55"/>
      <c r="I127" s="55"/>
    </row>
    <row r="128" spans="1:9">
      <c r="A128" s="55"/>
      <c r="D128" s="55"/>
      <c r="E128" s="55"/>
      <c r="F128" s="55"/>
      <c r="G128" s="55"/>
      <c r="H128" s="55"/>
      <c r="I128" s="55"/>
    </row>
    <row r="129" spans="1:9">
      <c r="A129" s="55"/>
      <c r="D129" s="55"/>
      <c r="E129" s="55"/>
      <c r="F129" s="55"/>
      <c r="G129" s="55"/>
      <c r="H129" s="55"/>
      <c r="I129" s="55"/>
    </row>
    <row r="130" spans="1:9">
      <c r="A130" s="55"/>
      <c r="D130" s="55"/>
      <c r="E130" s="55"/>
      <c r="F130" s="55"/>
      <c r="G130" s="55"/>
      <c r="H130" s="55"/>
      <c r="I130" s="55"/>
    </row>
    <row r="131" spans="1:9">
      <c r="A131" s="55"/>
      <c r="D131" s="55"/>
      <c r="E131" s="55"/>
      <c r="F131" s="55"/>
      <c r="G131" s="55"/>
      <c r="H131" s="55"/>
      <c r="I131" s="55"/>
    </row>
    <row r="132" spans="1:9">
      <c r="A132" s="55"/>
      <c r="D132" s="55"/>
      <c r="E132" s="55"/>
      <c r="F132" s="55"/>
      <c r="G132" s="55"/>
      <c r="H132" s="55"/>
      <c r="I132" s="55"/>
    </row>
    <row r="133" spans="1:9">
      <c r="A133" s="55"/>
      <c r="D133" s="55"/>
      <c r="E133" s="55"/>
      <c r="F133" s="55"/>
      <c r="G133" s="55"/>
      <c r="H133" s="55"/>
      <c r="I133" s="55"/>
    </row>
    <row r="134" spans="1:9">
      <c r="A134" s="55"/>
      <c r="D134" s="55"/>
      <c r="E134" s="55"/>
      <c r="F134" s="55"/>
      <c r="G134" s="55"/>
      <c r="H134" s="55"/>
      <c r="I134" s="55"/>
    </row>
    <row r="135" spans="1:9">
      <c r="A135" s="55"/>
      <c r="D135" s="55"/>
      <c r="E135" s="55"/>
      <c r="F135" s="55"/>
      <c r="G135" s="55"/>
      <c r="H135" s="55"/>
      <c r="I135" s="55"/>
    </row>
    <row r="136" spans="1:9">
      <c r="A136" s="55"/>
      <c r="D136" s="55"/>
      <c r="E136" s="55"/>
      <c r="F136" s="55"/>
      <c r="G136" s="55"/>
      <c r="H136" s="55"/>
      <c r="I136" s="55"/>
    </row>
    <row r="137" spans="1:9">
      <c r="A137" s="55"/>
      <c r="D137" s="55"/>
      <c r="E137" s="55"/>
      <c r="F137" s="55"/>
      <c r="G137" s="55"/>
      <c r="H137" s="55"/>
      <c r="I137" s="55"/>
    </row>
    <row r="138" spans="1:9">
      <c r="A138" s="55"/>
      <c r="D138" s="55"/>
      <c r="E138" s="55"/>
      <c r="F138" s="55"/>
      <c r="G138" s="55"/>
      <c r="H138" s="55"/>
      <c r="I138" s="55"/>
    </row>
    <row r="139" spans="1:9">
      <c r="A139" s="55"/>
      <c r="D139" s="55"/>
      <c r="E139" s="55"/>
      <c r="F139" s="55"/>
      <c r="G139" s="55"/>
      <c r="H139" s="55"/>
      <c r="I139" s="55"/>
    </row>
    <row r="140" spans="1:9">
      <c r="A140" s="55"/>
      <c r="D140" s="55"/>
      <c r="E140" s="55"/>
      <c r="F140" s="55"/>
      <c r="G140" s="55"/>
      <c r="H140" s="55"/>
      <c r="I140" s="55"/>
    </row>
    <row r="141" spans="1:9">
      <c r="A141" s="55"/>
      <c r="D141" s="55"/>
      <c r="E141" s="55"/>
      <c r="F141" s="55"/>
      <c r="G141" s="55"/>
      <c r="H141" s="55"/>
      <c r="I141" s="55"/>
    </row>
    <row r="142" spans="1:9">
      <c r="A142" s="55"/>
      <c r="D142" s="55"/>
      <c r="E142" s="55"/>
      <c r="F142" s="55"/>
      <c r="G142" s="55"/>
      <c r="H142" s="55"/>
      <c r="I142" s="55"/>
    </row>
    <row r="143" spans="1:9">
      <c r="A143" s="55"/>
      <c r="D143" s="55"/>
      <c r="E143" s="55"/>
      <c r="F143" s="55"/>
      <c r="G143" s="55"/>
      <c r="H143" s="55"/>
      <c r="I143" s="55"/>
    </row>
    <row r="144" spans="1:9">
      <c r="A144" s="55"/>
      <c r="D144" s="55"/>
      <c r="E144" s="55"/>
      <c r="F144" s="55"/>
      <c r="G144" s="55"/>
      <c r="H144" s="55"/>
      <c r="I144" s="55"/>
    </row>
    <row r="145" spans="1:9">
      <c r="A145" s="55"/>
      <c r="D145" s="55"/>
      <c r="E145" s="55"/>
      <c r="F145" s="55"/>
      <c r="G145" s="55"/>
      <c r="H145" s="55"/>
      <c r="I145" s="55"/>
    </row>
    <row r="146" spans="1:9">
      <c r="A146" s="55"/>
      <c r="D146" s="55"/>
      <c r="E146" s="55"/>
      <c r="F146" s="55"/>
      <c r="G146" s="55"/>
      <c r="H146" s="55"/>
      <c r="I146" s="55"/>
    </row>
    <row r="147" spans="1:9">
      <c r="A147" s="55"/>
      <c r="D147" s="55"/>
      <c r="E147" s="55"/>
      <c r="F147" s="55"/>
      <c r="G147" s="55"/>
      <c r="H147" s="55"/>
      <c r="I147" s="55"/>
    </row>
    <row r="148" spans="1:9">
      <c r="A148" s="55"/>
      <c r="D148" s="55"/>
      <c r="E148" s="55"/>
      <c r="F148" s="55"/>
      <c r="G148" s="55"/>
      <c r="H148" s="55"/>
      <c r="I148" s="55"/>
    </row>
    <row r="149" spans="1:9">
      <c r="A149" s="55"/>
      <c r="D149" s="55"/>
      <c r="E149" s="55"/>
      <c r="F149" s="55"/>
      <c r="G149" s="55"/>
      <c r="H149" s="55"/>
      <c r="I149" s="55"/>
    </row>
    <row r="150" spans="1:9">
      <c r="A150" s="55"/>
      <c r="D150" s="55"/>
      <c r="E150" s="55"/>
      <c r="F150" s="55"/>
      <c r="G150" s="55"/>
      <c r="H150" s="55"/>
      <c r="I150" s="55"/>
    </row>
    <row r="151" spans="1:9">
      <c r="A151" s="55"/>
      <c r="D151" s="55"/>
      <c r="E151" s="55"/>
      <c r="F151" s="55"/>
      <c r="G151" s="55"/>
      <c r="H151" s="55"/>
      <c r="I151" s="55"/>
    </row>
    <row r="152" spans="1:9">
      <c r="A152" s="55"/>
      <c r="D152" s="55"/>
      <c r="E152" s="55"/>
      <c r="F152" s="55"/>
      <c r="G152" s="55"/>
      <c r="H152" s="55"/>
      <c r="I152" s="55"/>
    </row>
    <row r="153" spans="1:9">
      <c r="A153" s="55"/>
      <c r="D153" s="55"/>
      <c r="E153" s="55"/>
      <c r="F153" s="55"/>
      <c r="G153" s="55"/>
      <c r="H153" s="55"/>
      <c r="I153" s="55"/>
    </row>
    <row r="154" spans="1:9">
      <c r="A154" s="55"/>
      <c r="D154" s="55"/>
      <c r="E154" s="55"/>
      <c r="F154" s="55"/>
      <c r="G154" s="55"/>
      <c r="H154" s="55"/>
      <c r="I154" s="55"/>
    </row>
    <row r="155" spans="1:9">
      <c r="A155" s="55"/>
      <c r="D155" s="55"/>
      <c r="E155" s="55"/>
      <c r="F155" s="55"/>
      <c r="G155" s="55"/>
      <c r="H155" s="55"/>
      <c r="I155" s="55"/>
    </row>
    <row r="156" spans="1:9">
      <c r="A156" s="55"/>
      <c r="D156" s="55"/>
      <c r="E156" s="55"/>
      <c r="F156" s="55"/>
      <c r="G156" s="55"/>
      <c r="H156" s="55"/>
      <c r="I156" s="55"/>
    </row>
    <row r="157" spans="1:9">
      <c r="A157" s="55"/>
      <c r="D157" s="55"/>
      <c r="E157" s="55"/>
      <c r="F157" s="55"/>
      <c r="G157" s="55"/>
      <c r="H157" s="55"/>
      <c r="I157" s="55"/>
    </row>
    <row r="158" spans="1:9">
      <c r="A158" s="55"/>
      <c r="D158" s="55"/>
      <c r="E158" s="55"/>
      <c r="F158" s="55"/>
      <c r="G158" s="55"/>
      <c r="H158" s="55"/>
      <c r="I158" s="55"/>
    </row>
    <row r="159" spans="1:9">
      <c r="A159" s="55"/>
      <c r="D159" s="55"/>
      <c r="E159" s="55"/>
      <c r="F159" s="55"/>
      <c r="G159" s="55"/>
      <c r="H159" s="55"/>
      <c r="I159" s="55"/>
    </row>
    <row r="160" spans="1:9">
      <c r="A160" s="55"/>
      <c r="D160" s="55"/>
      <c r="E160" s="55"/>
      <c r="F160" s="55"/>
      <c r="G160" s="55"/>
      <c r="H160" s="55"/>
      <c r="I160" s="55"/>
    </row>
    <row r="161" spans="1:9">
      <c r="A161" s="55"/>
      <c r="D161" s="55"/>
      <c r="E161" s="55"/>
      <c r="F161" s="55"/>
      <c r="G161" s="55"/>
      <c r="H161" s="55"/>
      <c r="I161" s="55"/>
    </row>
    <row r="162" spans="1:9">
      <c r="A162" s="55"/>
      <c r="D162" s="55"/>
      <c r="E162" s="55"/>
      <c r="F162" s="55"/>
      <c r="G162" s="55"/>
      <c r="H162" s="55"/>
      <c r="I162" s="55"/>
    </row>
    <row r="163" spans="1:9">
      <c r="A163" s="55"/>
      <c r="D163" s="55"/>
      <c r="E163" s="55"/>
      <c r="F163" s="55"/>
      <c r="G163" s="55"/>
      <c r="H163" s="55"/>
      <c r="I163" s="55"/>
    </row>
    <row r="164" spans="1:9">
      <c r="A164" s="55"/>
      <c r="D164" s="55"/>
      <c r="E164" s="55"/>
      <c r="F164" s="55"/>
      <c r="G164" s="55"/>
      <c r="H164" s="55"/>
      <c r="I164" s="55"/>
    </row>
    <row r="165" spans="1:9">
      <c r="A165" s="55"/>
      <c r="D165" s="55"/>
      <c r="E165" s="55"/>
      <c r="F165" s="55"/>
      <c r="G165" s="55"/>
      <c r="H165" s="55"/>
      <c r="I165" s="55"/>
    </row>
    <row r="166" spans="1:9">
      <c r="A166" s="55"/>
      <c r="D166" s="55"/>
      <c r="E166" s="55"/>
      <c r="F166" s="55"/>
      <c r="G166" s="55"/>
      <c r="H166" s="55"/>
      <c r="I166" s="55"/>
    </row>
    <row r="167" spans="1:9">
      <c r="A167" s="55"/>
      <c r="D167" s="55"/>
      <c r="E167" s="55"/>
      <c r="F167" s="55"/>
      <c r="G167" s="55"/>
      <c r="H167" s="55"/>
      <c r="I167" s="55"/>
    </row>
    <row r="168" spans="1:9">
      <c r="A168" s="55"/>
      <c r="D168" s="55"/>
      <c r="E168" s="55"/>
      <c r="F168" s="55"/>
      <c r="G168" s="55"/>
      <c r="H168" s="55"/>
      <c r="I168" s="55"/>
    </row>
    <row r="169" spans="1:9">
      <c r="A169" s="55"/>
      <c r="D169" s="55"/>
      <c r="E169" s="55"/>
      <c r="F169" s="55"/>
      <c r="G169" s="55"/>
      <c r="H169" s="55"/>
      <c r="I169" s="55"/>
    </row>
    <row r="170" spans="1:9">
      <c r="A170" s="55"/>
      <c r="D170" s="55"/>
      <c r="E170" s="55"/>
      <c r="F170" s="55"/>
      <c r="G170" s="55"/>
      <c r="H170" s="55"/>
      <c r="I170" s="55"/>
    </row>
    <row r="171" spans="1:9">
      <c r="A171" s="55"/>
      <c r="D171" s="55"/>
      <c r="E171" s="55"/>
      <c r="F171" s="55"/>
      <c r="G171" s="55"/>
      <c r="H171" s="55"/>
      <c r="I171" s="55"/>
    </row>
    <row r="172" spans="1:9">
      <c r="A172" s="55"/>
      <c r="D172" s="55"/>
      <c r="E172" s="55"/>
      <c r="F172" s="55"/>
      <c r="G172" s="55"/>
      <c r="H172" s="55"/>
      <c r="I172" s="55"/>
    </row>
    <row r="173" spans="1:9">
      <c r="A173" s="55"/>
      <c r="D173" s="55"/>
      <c r="E173" s="55"/>
      <c r="F173" s="55"/>
      <c r="G173" s="55"/>
      <c r="H173" s="55"/>
      <c r="I173" s="55"/>
    </row>
    <row r="174" spans="1:9">
      <c r="A174" s="55"/>
      <c r="D174" s="55"/>
      <c r="E174" s="55"/>
      <c r="F174" s="55"/>
      <c r="G174" s="55"/>
      <c r="H174" s="55"/>
      <c r="I174" s="55"/>
    </row>
    <row r="175" spans="1:9">
      <c r="A175" s="55"/>
      <c r="D175" s="55"/>
      <c r="E175" s="55"/>
      <c r="F175" s="55"/>
      <c r="G175" s="55"/>
      <c r="H175" s="55"/>
      <c r="I175" s="55"/>
    </row>
    <row r="176" spans="1:9">
      <c r="A176" s="55"/>
      <c r="D176" s="55"/>
      <c r="E176" s="55"/>
      <c r="F176" s="55"/>
      <c r="G176" s="55"/>
      <c r="H176" s="55"/>
      <c r="I176" s="55"/>
    </row>
    <row r="177" spans="1:9">
      <c r="A177" s="55"/>
      <c r="D177" s="55"/>
      <c r="E177" s="55"/>
      <c r="F177" s="55"/>
      <c r="G177" s="55"/>
      <c r="H177" s="55"/>
      <c r="I177" s="55"/>
    </row>
    <row r="178" spans="1:9">
      <c r="A178" s="55"/>
      <c r="D178" s="55"/>
      <c r="E178" s="55"/>
      <c r="F178" s="55"/>
      <c r="G178" s="55"/>
      <c r="H178" s="55"/>
      <c r="I178" s="55"/>
    </row>
    <row r="179" spans="1:9">
      <c r="A179" s="55"/>
      <c r="D179" s="55"/>
      <c r="E179" s="55"/>
      <c r="F179" s="55"/>
      <c r="G179" s="55"/>
      <c r="H179" s="55"/>
      <c r="I179" s="55"/>
    </row>
    <row r="180" spans="1:9">
      <c r="A180" s="55"/>
      <c r="D180" s="55"/>
      <c r="E180" s="55"/>
      <c r="F180" s="55"/>
      <c r="G180" s="55"/>
      <c r="H180" s="55"/>
      <c r="I180" s="55"/>
    </row>
    <row r="181" spans="1:9">
      <c r="A181" s="55"/>
      <c r="D181" s="55"/>
      <c r="E181" s="55"/>
      <c r="F181" s="55"/>
      <c r="G181" s="55"/>
      <c r="H181" s="55"/>
      <c r="I181" s="55"/>
    </row>
    <row r="182" spans="1:9">
      <c r="A182" s="55"/>
      <c r="D182" s="55"/>
      <c r="E182" s="55"/>
      <c r="F182" s="55"/>
      <c r="G182" s="55"/>
      <c r="H182" s="55"/>
      <c r="I182" s="55"/>
    </row>
    <row r="183" spans="1:9">
      <c r="A183" s="55"/>
      <c r="D183" s="55"/>
      <c r="E183" s="55"/>
      <c r="F183" s="55"/>
      <c r="G183" s="55"/>
      <c r="H183" s="55"/>
      <c r="I183" s="55"/>
    </row>
    <row r="184" spans="1:9">
      <c r="A184" s="55"/>
      <c r="D184" s="55"/>
      <c r="E184" s="55"/>
      <c r="F184" s="55"/>
      <c r="G184" s="55"/>
      <c r="H184" s="55"/>
      <c r="I184" s="55"/>
    </row>
    <row r="185" spans="1:9">
      <c r="A185" s="55"/>
      <c r="D185" s="55"/>
      <c r="E185" s="55"/>
      <c r="F185" s="55"/>
      <c r="G185" s="55"/>
      <c r="H185" s="55"/>
      <c r="I185" s="55"/>
    </row>
    <row r="186" spans="1:9">
      <c r="A186" s="55"/>
      <c r="D186" s="55"/>
      <c r="E186" s="55"/>
      <c r="F186" s="55"/>
      <c r="G186" s="55"/>
      <c r="H186" s="55"/>
      <c r="I186" s="55"/>
    </row>
    <row r="187" spans="1:9">
      <c r="A187" s="55"/>
      <c r="D187" s="55"/>
      <c r="E187" s="55"/>
      <c r="F187" s="55"/>
      <c r="G187" s="55"/>
      <c r="H187" s="55"/>
      <c r="I187" s="55"/>
    </row>
    <row r="188" spans="1:9">
      <c r="A188" s="55"/>
      <c r="D188" s="55"/>
      <c r="E188" s="55"/>
      <c r="F188" s="55"/>
      <c r="G188" s="55"/>
      <c r="H188" s="55"/>
      <c r="I188" s="55"/>
    </row>
    <row r="189" spans="1:9">
      <c r="A189" s="55"/>
      <c r="D189" s="55"/>
      <c r="E189" s="55"/>
      <c r="F189" s="55"/>
      <c r="G189" s="55"/>
      <c r="H189" s="55"/>
      <c r="I189" s="55"/>
    </row>
    <row r="190" spans="1:9">
      <c r="A190" s="55"/>
      <c r="D190" s="55"/>
      <c r="E190" s="55"/>
      <c r="F190" s="55"/>
      <c r="G190" s="55"/>
      <c r="H190" s="55"/>
      <c r="I190" s="55"/>
    </row>
    <row r="191" spans="1:9">
      <c r="A191" s="55"/>
      <c r="D191" s="55"/>
      <c r="E191" s="55"/>
      <c r="F191" s="55"/>
      <c r="G191" s="55"/>
      <c r="H191" s="55"/>
      <c r="I191" s="55"/>
    </row>
    <row r="192" spans="1:9">
      <c r="A192" s="55"/>
      <c r="D192" s="55"/>
      <c r="E192" s="55"/>
      <c r="F192" s="55"/>
      <c r="G192" s="55"/>
      <c r="H192" s="55"/>
      <c r="I192" s="55"/>
    </row>
    <row r="193" spans="1:9">
      <c r="A193" s="55"/>
      <c r="D193" s="55"/>
      <c r="E193" s="55"/>
      <c r="F193" s="55"/>
      <c r="G193" s="55"/>
      <c r="H193" s="55"/>
      <c r="I193" s="55"/>
    </row>
    <row r="194" spans="1:9">
      <c r="A194" s="55"/>
      <c r="D194" s="55"/>
      <c r="E194" s="55"/>
      <c r="F194" s="55"/>
      <c r="G194" s="55"/>
      <c r="H194" s="55"/>
      <c r="I194" s="55"/>
    </row>
    <row r="195" spans="1:9">
      <c r="A195" s="55"/>
      <c r="D195" s="55"/>
      <c r="E195" s="55"/>
      <c r="F195" s="55"/>
      <c r="G195" s="55"/>
      <c r="H195" s="55"/>
      <c r="I195" s="55"/>
    </row>
    <row r="196" spans="1:9">
      <c r="A196" s="55"/>
      <c r="D196" s="55"/>
      <c r="E196" s="55"/>
      <c r="F196" s="55"/>
      <c r="G196" s="55"/>
      <c r="H196" s="55"/>
      <c r="I196" s="55"/>
    </row>
    <row r="197" spans="1:9">
      <c r="A197" s="55"/>
      <c r="D197" s="55"/>
      <c r="E197" s="55"/>
      <c r="F197" s="55"/>
      <c r="G197" s="55"/>
      <c r="H197" s="55"/>
      <c r="I197" s="55"/>
    </row>
    <row r="198" spans="1:9">
      <c r="A198" s="55"/>
      <c r="D198" s="55"/>
      <c r="E198" s="55"/>
      <c r="F198" s="55"/>
      <c r="G198" s="55"/>
      <c r="H198" s="55"/>
      <c r="I198" s="55"/>
    </row>
    <row r="199" spans="1:9">
      <c r="A199" s="55"/>
      <c r="D199" s="55"/>
      <c r="E199" s="55"/>
      <c r="F199" s="55"/>
      <c r="G199" s="55"/>
      <c r="H199" s="55"/>
      <c r="I199" s="55"/>
    </row>
    <row r="200" spans="1:9">
      <c r="A200" s="55"/>
      <c r="D200" s="55"/>
      <c r="E200" s="55"/>
      <c r="F200" s="55"/>
      <c r="G200" s="55"/>
      <c r="H200" s="55"/>
      <c r="I200" s="55"/>
    </row>
    <row r="201" spans="1:9">
      <c r="A201" s="55"/>
      <c r="D201" s="55"/>
      <c r="E201" s="55"/>
      <c r="F201" s="55"/>
      <c r="G201" s="55"/>
      <c r="H201" s="55"/>
      <c r="I201" s="55"/>
    </row>
    <row r="202" spans="1:9">
      <c r="A202" s="55"/>
      <c r="D202" s="55"/>
      <c r="E202" s="55"/>
      <c r="F202" s="55"/>
      <c r="G202" s="55"/>
      <c r="H202" s="55"/>
      <c r="I202" s="55"/>
    </row>
    <row r="203" spans="1:9">
      <c r="A203" s="55"/>
      <c r="D203" s="55"/>
      <c r="E203" s="55"/>
      <c r="F203" s="55"/>
      <c r="G203" s="55"/>
      <c r="H203" s="55"/>
      <c r="I203" s="55"/>
    </row>
    <row r="204" spans="1:9">
      <c r="A204" s="55"/>
      <c r="D204" s="55"/>
      <c r="E204" s="55"/>
      <c r="F204" s="55"/>
      <c r="G204" s="55"/>
      <c r="H204" s="55"/>
      <c r="I204" s="55"/>
    </row>
    <row r="205" spans="1:9">
      <c r="A205" s="55"/>
      <c r="D205" s="55"/>
      <c r="E205" s="55"/>
      <c r="F205" s="55"/>
      <c r="G205" s="55"/>
      <c r="H205" s="55"/>
      <c r="I205" s="55"/>
    </row>
    <row r="206" spans="1:9">
      <c r="A206" s="55"/>
      <c r="D206" s="55"/>
      <c r="E206" s="55"/>
      <c r="F206" s="55"/>
      <c r="G206" s="55"/>
      <c r="H206" s="55"/>
      <c r="I206" s="55"/>
    </row>
    <row r="207" spans="1:9">
      <c r="A207" s="55"/>
      <c r="D207" s="55"/>
      <c r="E207" s="55"/>
      <c r="F207" s="55"/>
      <c r="G207" s="55"/>
      <c r="H207" s="55"/>
      <c r="I207" s="55"/>
    </row>
    <row r="208" spans="1:9">
      <c r="A208" s="55"/>
      <c r="D208" s="55"/>
      <c r="E208" s="55"/>
      <c r="F208" s="55"/>
      <c r="G208" s="55"/>
      <c r="H208" s="55"/>
      <c r="I208" s="55"/>
    </row>
    <row r="209" spans="1:9">
      <c r="A209" s="55"/>
      <c r="D209" s="55"/>
      <c r="E209" s="55"/>
      <c r="F209" s="55"/>
      <c r="G209" s="55"/>
      <c r="H209" s="55"/>
      <c r="I209" s="55"/>
    </row>
    <row r="210" spans="1:9">
      <c r="A210" s="55"/>
      <c r="D210" s="55"/>
      <c r="E210" s="55"/>
      <c r="F210" s="55"/>
      <c r="G210" s="55"/>
      <c r="H210" s="55"/>
      <c r="I210" s="55"/>
    </row>
    <row r="211" spans="1:9">
      <c r="A211" s="55"/>
      <c r="D211" s="55"/>
      <c r="E211" s="55"/>
      <c r="F211" s="55"/>
      <c r="G211" s="55"/>
      <c r="H211" s="55"/>
      <c r="I211" s="55"/>
    </row>
    <row r="212" spans="1:9">
      <c r="A212" s="55"/>
      <c r="D212" s="55"/>
      <c r="E212" s="55"/>
      <c r="F212" s="55"/>
      <c r="G212" s="55"/>
      <c r="H212" s="55"/>
      <c r="I212" s="55"/>
    </row>
    <row r="213" spans="1:9">
      <c r="A213" s="55"/>
      <c r="D213" s="55"/>
      <c r="E213" s="55"/>
      <c r="F213" s="55"/>
      <c r="G213" s="55"/>
      <c r="H213" s="55"/>
      <c r="I213" s="55"/>
    </row>
    <row r="214" spans="1:9">
      <c r="A214" s="55"/>
      <c r="D214" s="55"/>
      <c r="E214" s="55"/>
      <c r="F214" s="55"/>
      <c r="G214" s="55"/>
      <c r="H214" s="55"/>
      <c r="I214" s="55"/>
    </row>
    <row r="215" spans="1:9">
      <c r="A215" s="55"/>
      <c r="D215" s="55"/>
      <c r="E215" s="55"/>
      <c r="F215" s="55"/>
      <c r="G215" s="55"/>
      <c r="H215" s="55"/>
      <c r="I215" s="55"/>
    </row>
    <row r="216" spans="1:9">
      <c r="A216" s="55"/>
      <c r="D216" s="55"/>
      <c r="E216" s="55"/>
      <c r="F216" s="55"/>
      <c r="G216" s="55"/>
      <c r="H216" s="55"/>
      <c r="I216" s="55"/>
    </row>
    <row r="217" spans="1:9">
      <c r="A217" s="55"/>
      <c r="D217" s="55"/>
      <c r="E217" s="55"/>
      <c r="F217" s="55"/>
      <c r="G217" s="55"/>
      <c r="H217" s="55"/>
      <c r="I217" s="55"/>
    </row>
    <row r="218" spans="1:9">
      <c r="A218" s="55"/>
      <c r="D218" s="55"/>
      <c r="E218" s="55"/>
      <c r="F218" s="55"/>
      <c r="G218" s="55"/>
      <c r="H218" s="55"/>
      <c r="I218" s="55"/>
    </row>
    <row r="219" spans="1:9">
      <c r="A219" s="55"/>
      <c r="D219" s="55"/>
      <c r="E219" s="55"/>
      <c r="F219" s="55"/>
      <c r="G219" s="55"/>
      <c r="H219" s="55"/>
      <c r="I219" s="55"/>
    </row>
    <row r="220" spans="1:9">
      <c r="A220" s="55"/>
      <c r="D220" s="55"/>
      <c r="E220" s="55"/>
      <c r="F220" s="55"/>
      <c r="G220" s="55"/>
      <c r="H220" s="55"/>
      <c r="I220" s="55"/>
    </row>
    <row r="221" spans="1:9">
      <c r="A221" s="55"/>
      <c r="D221" s="55"/>
      <c r="E221" s="55"/>
      <c r="F221" s="55"/>
      <c r="G221" s="55"/>
      <c r="H221" s="55"/>
      <c r="I221" s="55"/>
    </row>
    <row r="222" spans="1:9">
      <c r="A222" s="55"/>
      <c r="D222" s="55"/>
      <c r="E222" s="55"/>
      <c r="F222" s="55"/>
      <c r="G222" s="55"/>
      <c r="H222" s="55"/>
      <c r="I222" s="55"/>
    </row>
    <row r="223" spans="1:9">
      <c r="A223" s="55"/>
      <c r="D223" s="55"/>
      <c r="E223" s="55"/>
      <c r="F223" s="55"/>
      <c r="G223" s="55"/>
      <c r="H223" s="55"/>
      <c r="I223" s="55"/>
    </row>
    <row r="224" spans="1:9">
      <c r="A224" s="55"/>
      <c r="D224" s="55"/>
      <c r="E224" s="55"/>
      <c r="F224" s="55"/>
      <c r="G224" s="55"/>
      <c r="H224" s="55"/>
      <c r="I224" s="55"/>
    </row>
    <row r="225" spans="1:9">
      <c r="A225" s="55"/>
      <c r="D225" s="55"/>
      <c r="E225" s="55"/>
      <c r="F225" s="55"/>
      <c r="G225" s="55"/>
      <c r="H225" s="55"/>
      <c r="I225" s="55"/>
    </row>
    <row r="226" spans="1:9">
      <c r="A226" s="55"/>
      <c r="D226" s="55"/>
      <c r="E226" s="55"/>
      <c r="F226" s="55"/>
      <c r="G226" s="55"/>
      <c r="H226" s="55"/>
      <c r="I226" s="55"/>
    </row>
    <row r="227" spans="1:9">
      <c r="A227" s="55"/>
      <c r="D227" s="55"/>
      <c r="E227" s="55"/>
      <c r="F227" s="55"/>
      <c r="G227" s="55"/>
      <c r="H227" s="55"/>
      <c r="I227" s="55"/>
    </row>
    <row r="228" spans="1:9">
      <c r="A228" s="55"/>
      <c r="D228" s="55"/>
      <c r="E228" s="55"/>
      <c r="F228" s="55"/>
      <c r="G228" s="55"/>
      <c r="H228" s="55"/>
      <c r="I228" s="55"/>
    </row>
    <row r="229" spans="1:9">
      <c r="A229" s="55"/>
      <c r="D229" s="55"/>
      <c r="E229" s="55"/>
      <c r="F229" s="55"/>
      <c r="G229" s="55"/>
      <c r="H229" s="55"/>
      <c r="I229" s="55"/>
    </row>
    <row r="230" spans="1:9">
      <c r="A230" s="55"/>
      <c r="D230" s="55"/>
      <c r="E230" s="55"/>
      <c r="F230" s="55"/>
      <c r="G230" s="55"/>
      <c r="H230" s="55"/>
      <c r="I230" s="55"/>
    </row>
    <row r="231" spans="1:9">
      <c r="A231" s="55"/>
      <c r="D231" s="55"/>
      <c r="E231" s="55"/>
      <c r="F231" s="55"/>
      <c r="G231" s="55"/>
      <c r="H231" s="55"/>
      <c r="I231" s="55"/>
    </row>
    <row r="232" spans="1:9">
      <c r="A232" s="55"/>
      <c r="D232" s="55"/>
      <c r="E232" s="55"/>
      <c r="F232" s="55"/>
      <c r="G232" s="55"/>
      <c r="H232" s="55"/>
      <c r="I232" s="55"/>
    </row>
    <row r="233" spans="1:9">
      <c r="A233" s="55"/>
      <c r="D233" s="55"/>
      <c r="E233" s="55"/>
      <c r="F233" s="55"/>
      <c r="G233" s="55"/>
      <c r="H233" s="55"/>
      <c r="I233" s="55"/>
    </row>
    <row r="234" spans="1:9">
      <c r="A234" s="55"/>
      <c r="D234" s="55"/>
      <c r="E234" s="55"/>
      <c r="F234" s="55"/>
      <c r="G234" s="55"/>
      <c r="H234" s="55"/>
      <c r="I234" s="55"/>
    </row>
    <row r="235" spans="1:9">
      <c r="A235" s="55"/>
      <c r="D235" s="55"/>
      <c r="E235" s="55"/>
      <c r="F235" s="55"/>
      <c r="G235" s="55"/>
      <c r="H235" s="55"/>
      <c r="I235" s="55"/>
    </row>
    <row r="236" spans="1:9">
      <c r="A236" s="55"/>
      <c r="D236" s="55"/>
      <c r="E236" s="55"/>
      <c r="F236" s="55"/>
      <c r="G236" s="55"/>
      <c r="H236" s="55"/>
      <c r="I236" s="55"/>
    </row>
    <row r="237" spans="1:9">
      <c r="A237" s="55"/>
      <c r="D237" s="55"/>
      <c r="E237" s="55"/>
      <c r="F237" s="55"/>
      <c r="G237" s="55"/>
      <c r="H237" s="55"/>
      <c r="I237" s="55"/>
    </row>
    <row r="238" spans="1:9">
      <c r="A238" s="55"/>
      <c r="D238" s="55"/>
      <c r="E238" s="55"/>
      <c r="F238" s="55"/>
      <c r="G238" s="55"/>
      <c r="H238" s="55"/>
      <c r="I238" s="55"/>
    </row>
    <row r="239" spans="1:9">
      <c r="A239" s="55"/>
      <c r="D239" s="55"/>
      <c r="E239" s="55"/>
      <c r="F239" s="55"/>
      <c r="G239" s="55"/>
      <c r="H239" s="55"/>
      <c r="I239" s="55"/>
    </row>
    <row r="240" spans="1:9">
      <c r="A240" s="55"/>
      <c r="D240" s="55"/>
      <c r="E240" s="55"/>
      <c r="F240" s="55"/>
      <c r="G240" s="55"/>
      <c r="H240" s="55"/>
      <c r="I240" s="55"/>
    </row>
    <row r="241" spans="1:9">
      <c r="A241" s="55"/>
      <c r="D241" s="55"/>
      <c r="E241" s="55"/>
      <c r="F241" s="55"/>
      <c r="G241" s="55"/>
      <c r="H241" s="55"/>
      <c r="I241" s="55"/>
    </row>
    <row r="242" spans="1:9">
      <c r="A242" s="55"/>
      <c r="D242" s="55"/>
      <c r="E242" s="55"/>
      <c r="F242" s="55"/>
      <c r="G242" s="55"/>
      <c r="H242" s="55"/>
      <c r="I242" s="55"/>
    </row>
    <row r="243" spans="1:9">
      <c r="A243" s="55"/>
      <c r="D243" s="55"/>
      <c r="E243" s="55"/>
      <c r="F243" s="55"/>
      <c r="G243" s="55"/>
      <c r="H243" s="55"/>
      <c r="I243" s="55"/>
    </row>
    <row r="244" spans="1:9">
      <c r="A244" s="55"/>
      <c r="D244" s="55"/>
      <c r="E244" s="55"/>
      <c r="F244" s="55"/>
      <c r="G244" s="55"/>
      <c r="H244" s="55"/>
      <c r="I244" s="55"/>
    </row>
    <row r="245" spans="1:9">
      <c r="A245" s="55"/>
      <c r="D245" s="55"/>
      <c r="E245" s="55"/>
      <c r="F245" s="55"/>
      <c r="G245" s="55"/>
      <c r="H245" s="55"/>
      <c r="I245" s="55"/>
    </row>
    <row r="246" spans="1:9">
      <c r="A246" s="55"/>
      <c r="D246" s="55"/>
      <c r="E246" s="55"/>
      <c r="F246" s="55"/>
      <c r="G246" s="55"/>
      <c r="H246" s="55"/>
      <c r="I246" s="55"/>
    </row>
    <row r="247" spans="1:9">
      <c r="A247" s="55"/>
      <c r="D247" s="55"/>
      <c r="E247" s="55"/>
      <c r="F247" s="55"/>
      <c r="G247" s="55"/>
      <c r="H247" s="55"/>
      <c r="I247" s="55"/>
    </row>
    <row r="248" spans="1:9">
      <c r="A248" s="55"/>
      <c r="D248" s="55"/>
      <c r="E248" s="55"/>
      <c r="F248" s="55"/>
      <c r="G248" s="55"/>
      <c r="H248" s="55"/>
      <c r="I248" s="55"/>
    </row>
    <row r="249" spans="1:9">
      <c r="A249" s="55"/>
      <c r="D249" s="55"/>
      <c r="E249" s="55"/>
      <c r="F249" s="55"/>
      <c r="G249" s="55"/>
      <c r="H249" s="55"/>
      <c r="I249" s="55"/>
    </row>
    <row r="250" spans="1:9">
      <c r="A250" s="55"/>
      <c r="D250" s="55"/>
      <c r="E250" s="55"/>
      <c r="F250" s="55"/>
      <c r="G250" s="55"/>
      <c r="H250" s="55"/>
      <c r="I250" s="55"/>
    </row>
    <row r="251" spans="1:9">
      <c r="A251" s="55"/>
      <c r="D251" s="55"/>
      <c r="E251" s="55"/>
      <c r="F251" s="55"/>
      <c r="G251" s="55"/>
      <c r="H251" s="55"/>
      <c r="I251" s="55"/>
    </row>
    <row r="252" spans="1:9">
      <c r="A252" s="55"/>
      <c r="D252" s="55"/>
      <c r="E252" s="55"/>
      <c r="F252" s="55"/>
      <c r="G252" s="55"/>
      <c r="H252" s="55"/>
      <c r="I252" s="55"/>
    </row>
    <row r="253" spans="1:9">
      <c r="A253" s="55"/>
      <c r="D253" s="55"/>
      <c r="E253" s="55"/>
      <c r="F253" s="55"/>
      <c r="G253" s="55"/>
      <c r="H253" s="55"/>
      <c r="I253" s="55"/>
    </row>
    <row r="254" spans="1:9">
      <c r="A254" s="55"/>
      <c r="D254" s="55"/>
      <c r="E254" s="55"/>
      <c r="F254" s="55"/>
      <c r="G254" s="55"/>
      <c r="H254" s="55"/>
      <c r="I254" s="55"/>
    </row>
    <row r="255" spans="1:9">
      <c r="A255" s="55"/>
      <c r="D255" s="55"/>
      <c r="E255" s="55"/>
      <c r="F255" s="55"/>
      <c r="G255" s="55"/>
      <c r="H255" s="55"/>
      <c r="I255" s="55"/>
    </row>
    <row r="256" spans="1:9">
      <c r="A256" s="55"/>
      <c r="D256" s="55"/>
      <c r="E256" s="55"/>
      <c r="F256" s="55"/>
      <c r="G256" s="55"/>
      <c r="H256" s="55"/>
      <c r="I256" s="55"/>
    </row>
    <row r="257" spans="1:9">
      <c r="A257" s="55"/>
      <c r="D257" s="55"/>
      <c r="E257" s="55"/>
      <c r="F257" s="55"/>
      <c r="G257" s="55"/>
      <c r="H257" s="55"/>
      <c r="I257" s="55"/>
    </row>
    <row r="258" spans="1:9">
      <c r="A258" s="55"/>
      <c r="D258" s="55"/>
      <c r="E258" s="55"/>
      <c r="F258" s="55"/>
      <c r="G258" s="55"/>
      <c r="H258" s="55"/>
      <c r="I258" s="55"/>
    </row>
    <row r="259" spans="1:9">
      <c r="A259" s="55"/>
      <c r="D259" s="55"/>
      <c r="E259" s="55"/>
      <c r="F259" s="55"/>
      <c r="G259" s="55"/>
      <c r="H259" s="55"/>
      <c r="I259" s="55"/>
    </row>
    <row r="260" spans="1:9">
      <c r="A260" s="55"/>
      <c r="D260" s="55"/>
      <c r="E260" s="55"/>
      <c r="F260" s="55"/>
      <c r="G260" s="55"/>
      <c r="H260" s="55"/>
      <c r="I260" s="55"/>
    </row>
    <row r="261" spans="1:9">
      <c r="A261" s="55"/>
      <c r="D261" s="55"/>
      <c r="E261" s="55"/>
      <c r="F261" s="55"/>
      <c r="G261" s="55"/>
      <c r="H261" s="55"/>
      <c r="I261" s="55"/>
    </row>
    <row r="262" spans="1:9">
      <c r="A262" s="55"/>
      <c r="D262" s="55"/>
      <c r="E262" s="55"/>
      <c r="F262" s="55"/>
      <c r="G262" s="55"/>
      <c r="H262" s="55"/>
      <c r="I262" s="55"/>
    </row>
    <row r="263" spans="1:9">
      <c r="A263" s="55"/>
      <c r="D263" s="55"/>
      <c r="E263" s="55"/>
      <c r="F263" s="55"/>
      <c r="G263" s="55"/>
      <c r="H263" s="55"/>
      <c r="I263" s="55"/>
    </row>
    <row r="264" spans="1:9">
      <c r="A264" s="55"/>
      <c r="D264" s="55"/>
      <c r="E264" s="55"/>
      <c r="F264" s="55"/>
      <c r="G264" s="55"/>
      <c r="H264" s="55"/>
      <c r="I264" s="55"/>
    </row>
    <row r="265" spans="1:9">
      <c r="A265" s="55"/>
      <c r="D265" s="55"/>
      <c r="E265" s="55"/>
      <c r="F265" s="55"/>
      <c r="G265" s="55"/>
      <c r="H265" s="55"/>
      <c r="I265" s="55"/>
    </row>
    <row r="266" spans="1:9">
      <c r="A266" s="55"/>
      <c r="D266" s="55"/>
      <c r="E266" s="55"/>
      <c r="F266" s="55"/>
      <c r="G266" s="55"/>
      <c r="H266" s="55"/>
      <c r="I266" s="55"/>
    </row>
    <row r="267" spans="1:9">
      <c r="A267" s="55"/>
      <c r="D267" s="55"/>
      <c r="E267" s="55"/>
      <c r="F267" s="55"/>
      <c r="G267" s="55"/>
      <c r="H267" s="55"/>
      <c r="I267" s="55"/>
    </row>
    <row r="268" spans="1:9">
      <c r="A268" s="55"/>
      <c r="D268" s="55"/>
      <c r="E268" s="55"/>
      <c r="F268" s="55"/>
      <c r="G268" s="55"/>
      <c r="H268" s="55"/>
      <c r="I268" s="55"/>
    </row>
    <row r="269" spans="1:9">
      <c r="A269" s="55"/>
      <c r="D269" s="55"/>
      <c r="E269" s="55"/>
      <c r="F269" s="55"/>
      <c r="G269" s="55"/>
      <c r="H269" s="55"/>
      <c r="I269" s="55"/>
    </row>
    <row r="270" spans="1:9">
      <c r="A270" s="55"/>
      <c r="D270" s="55"/>
      <c r="E270" s="55"/>
      <c r="F270" s="55"/>
      <c r="G270" s="55"/>
      <c r="H270" s="55"/>
      <c r="I270" s="55"/>
    </row>
    <row r="271" spans="1:9">
      <c r="A271" s="55"/>
      <c r="D271" s="55"/>
      <c r="E271" s="55"/>
      <c r="F271" s="55"/>
      <c r="G271" s="55"/>
      <c r="H271" s="55"/>
      <c r="I271" s="55"/>
    </row>
    <row r="272" spans="1:9">
      <c r="A272" s="55"/>
      <c r="D272" s="55"/>
      <c r="E272" s="55"/>
      <c r="F272" s="55"/>
      <c r="G272" s="55"/>
      <c r="H272" s="55"/>
      <c r="I272" s="55"/>
    </row>
    <row r="273" spans="1:9">
      <c r="A273" s="55"/>
      <c r="D273" s="55"/>
      <c r="E273" s="55"/>
      <c r="F273" s="55"/>
      <c r="G273" s="55"/>
      <c r="H273" s="55"/>
      <c r="I273" s="55"/>
    </row>
    <row r="274" spans="1:9">
      <c r="A274" s="55"/>
      <c r="D274" s="55"/>
      <c r="E274" s="55"/>
      <c r="F274" s="55"/>
      <c r="G274" s="55"/>
      <c r="H274" s="55"/>
      <c r="I274" s="55"/>
    </row>
    <row r="275" spans="1:9">
      <c r="A275" s="55"/>
      <c r="D275" s="55"/>
      <c r="E275" s="55"/>
      <c r="F275" s="55"/>
      <c r="G275" s="55"/>
      <c r="H275" s="55"/>
      <c r="I275" s="55"/>
    </row>
    <row r="276" spans="1:9">
      <c r="A276" s="55"/>
      <c r="D276" s="55"/>
      <c r="E276" s="55"/>
      <c r="F276" s="55"/>
      <c r="G276" s="55"/>
      <c r="H276" s="55"/>
      <c r="I276" s="55"/>
    </row>
    <row r="277" spans="1:9">
      <c r="A277" s="55"/>
      <c r="D277" s="55"/>
      <c r="E277" s="55"/>
      <c r="F277" s="55"/>
      <c r="G277" s="55"/>
      <c r="H277" s="55"/>
      <c r="I277" s="55"/>
    </row>
    <row r="278" spans="1:9">
      <c r="A278" s="55"/>
      <c r="D278" s="55"/>
      <c r="E278" s="55"/>
      <c r="F278" s="55"/>
      <c r="G278" s="55"/>
      <c r="H278" s="55"/>
      <c r="I278" s="55"/>
    </row>
    <row r="279" spans="1:9">
      <c r="A279" s="55"/>
      <c r="D279" s="55"/>
      <c r="E279" s="55"/>
      <c r="F279" s="55"/>
      <c r="G279" s="55"/>
      <c r="H279" s="55"/>
      <c r="I279" s="55"/>
    </row>
    <row r="280" spans="1:9">
      <c r="A280" s="55"/>
      <c r="D280" s="55"/>
      <c r="E280" s="55"/>
      <c r="F280" s="55"/>
      <c r="G280" s="55"/>
      <c r="H280" s="55"/>
      <c r="I280" s="55"/>
    </row>
    <row r="281" spans="1:9">
      <c r="A281" s="55"/>
      <c r="D281" s="55"/>
      <c r="E281" s="55"/>
      <c r="F281" s="55"/>
      <c r="G281" s="55"/>
      <c r="H281" s="55"/>
      <c r="I281" s="55"/>
    </row>
    <row r="282" spans="1:9">
      <c r="A282" s="55"/>
      <c r="D282" s="55"/>
      <c r="E282" s="55"/>
      <c r="F282" s="55"/>
      <c r="G282" s="55"/>
      <c r="H282" s="55"/>
      <c r="I282" s="55"/>
    </row>
    <row r="283" spans="1:9">
      <c r="A283" s="55"/>
      <c r="D283" s="55"/>
      <c r="E283" s="55"/>
      <c r="F283" s="55"/>
      <c r="G283" s="55"/>
      <c r="H283" s="55"/>
      <c r="I283" s="55"/>
    </row>
    <row r="284" spans="1:9">
      <c r="A284" s="55"/>
      <c r="D284" s="55"/>
      <c r="E284" s="55"/>
      <c r="F284" s="55"/>
      <c r="G284" s="55"/>
      <c r="H284" s="55"/>
      <c r="I284" s="55"/>
    </row>
    <row r="285" spans="1:9">
      <c r="A285" s="55"/>
      <c r="D285" s="55"/>
      <c r="E285" s="55"/>
      <c r="F285" s="55"/>
      <c r="G285" s="55"/>
      <c r="H285" s="55"/>
      <c r="I285" s="55"/>
    </row>
    <row r="286" spans="1:9">
      <c r="A286" s="55"/>
      <c r="D286" s="55"/>
      <c r="E286" s="55"/>
      <c r="F286" s="55"/>
      <c r="G286" s="55"/>
      <c r="H286" s="55"/>
      <c r="I286" s="55"/>
    </row>
    <row r="287" spans="1:9">
      <c r="A287" s="55"/>
      <c r="D287" s="55"/>
      <c r="E287" s="55"/>
      <c r="F287" s="55"/>
      <c r="G287" s="55"/>
      <c r="H287" s="55"/>
      <c r="I287" s="55"/>
    </row>
    <row r="288" spans="1:9">
      <c r="A288" s="55"/>
      <c r="D288" s="55"/>
      <c r="E288" s="55"/>
      <c r="F288" s="55"/>
      <c r="G288" s="55"/>
      <c r="H288" s="55"/>
      <c r="I288" s="55"/>
    </row>
    <row r="289" spans="1:9">
      <c r="A289" s="55"/>
      <c r="D289" s="55"/>
      <c r="E289" s="55"/>
      <c r="F289" s="55"/>
      <c r="G289" s="55"/>
      <c r="H289" s="55"/>
      <c r="I289" s="55"/>
    </row>
    <row r="290" spans="1:9">
      <c r="A290" s="55"/>
      <c r="D290" s="55"/>
      <c r="E290" s="55"/>
      <c r="F290" s="55"/>
      <c r="G290" s="55"/>
      <c r="H290" s="55"/>
      <c r="I290" s="55"/>
    </row>
    <row r="291" spans="1:9">
      <c r="A291" s="55"/>
      <c r="D291" s="55"/>
      <c r="E291" s="55"/>
      <c r="F291" s="55"/>
      <c r="G291" s="55"/>
      <c r="H291" s="55"/>
      <c r="I291" s="55"/>
    </row>
    <row r="292" spans="1:9">
      <c r="A292" s="55"/>
      <c r="D292" s="55"/>
      <c r="E292" s="55"/>
      <c r="F292" s="55"/>
      <c r="G292" s="55"/>
      <c r="H292" s="55"/>
      <c r="I292" s="55"/>
    </row>
    <row r="293" spans="1:9">
      <c r="A293" s="55"/>
      <c r="D293" s="55"/>
      <c r="E293" s="55"/>
      <c r="F293" s="55"/>
      <c r="G293" s="55"/>
      <c r="H293" s="55"/>
      <c r="I293" s="55"/>
    </row>
    <row r="294" spans="1:9">
      <c r="A294" s="55"/>
      <c r="D294" s="55"/>
      <c r="E294" s="55"/>
      <c r="F294" s="55"/>
      <c r="G294" s="55"/>
      <c r="H294" s="55"/>
      <c r="I294" s="55"/>
    </row>
    <row r="295" spans="1:9">
      <c r="A295" s="55"/>
      <c r="D295" s="55"/>
      <c r="E295" s="55"/>
      <c r="F295" s="55"/>
      <c r="G295" s="55"/>
      <c r="H295" s="55"/>
      <c r="I295" s="55"/>
    </row>
    <row r="296" spans="1:9">
      <c r="A296" s="55"/>
      <c r="D296" s="55"/>
      <c r="E296" s="55"/>
      <c r="F296" s="55"/>
      <c r="G296" s="55"/>
      <c r="H296" s="55"/>
      <c r="I296" s="55"/>
    </row>
    <row r="297" spans="1:9">
      <c r="A297" s="55"/>
      <c r="D297" s="55"/>
      <c r="E297" s="55"/>
      <c r="F297" s="55"/>
      <c r="G297" s="55"/>
      <c r="H297" s="55"/>
      <c r="I297" s="55"/>
    </row>
    <row r="298" spans="1:9">
      <c r="A298" s="55"/>
      <c r="D298" s="55"/>
      <c r="E298" s="55"/>
      <c r="F298" s="55"/>
      <c r="G298" s="55"/>
      <c r="H298" s="55"/>
      <c r="I298" s="55"/>
    </row>
    <row r="299" spans="1:9">
      <c r="A299" s="55"/>
      <c r="D299" s="55"/>
      <c r="E299" s="55"/>
      <c r="F299" s="55"/>
      <c r="G299" s="55"/>
      <c r="H299" s="55"/>
      <c r="I299" s="55"/>
    </row>
    <row r="300" spans="1:9">
      <c r="A300" s="55"/>
      <c r="D300" s="55"/>
      <c r="E300" s="55"/>
      <c r="F300" s="55"/>
      <c r="G300" s="55"/>
      <c r="H300" s="55"/>
      <c r="I300" s="55"/>
    </row>
    <row r="301" spans="1:9">
      <c r="A301" s="55"/>
      <c r="D301" s="55"/>
      <c r="E301" s="55"/>
      <c r="F301" s="55"/>
      <c r="G301" s="55"/>
      <c r="H301" s="55"/>
      <c r="I301" s="55"/>
    </row>
    <row r="302" spans="1:9">
      <c r="A302" s="55"/>
      <c r="D302" s="55"/>
      <c r="E302" s="55"/>
      <c r="F302" s="55"/>
      <c r="G302" s="55"/>
      <c r="H302" s="55"/>
      <c r="I302" s="55"/>
    </row>
    <row r="303" spans="1:9">
      <c r="A303" s="55"/>
      <c r="D303" s="55"/>
      <c r="E303" s="55"/>
      <c r="F303" s="55"/>
      <c r="G303" s="55"/>
      <c r="H303" s="55"/>
      <c r="I303" s="55"/>
    </row>
    <row r="304" spans="1:9">
      <c r="A304" s="55"/>
      <c r="D304" s="55"/>
      <c r="E304" s="55"/>
      <c r="F304" s="55"/>
      <c r="G304" s="55"/>
      <c r="H304" s="55"/>
      <c r="I304" s="55"/>
    </row>
    <row r="305" spans="1:9">
      <c r="A305" s="55"/>
      <c r="D305" s="55"/>
      <c r="E305" s="55"/>
      <c r="F305" s="55"/>
      <c r="G305" s="55"/>
      <c r="H305" s="55"/>
      <c r="I305" s="55"/>
    </row>
    <row r="306" spans="1:9">
      <c r="A306" s="55"/>
      <c r="D306" s="55"/>
      <c r="E306" s="55"/>
      <c r="F306" s="55"/>
      <c r="G306" s="55"/>
      <c r="H306" s="55"/>
      <c r="I306" s="55"/>
    </row>
    <row r="307" spans="1:9">
      <c r="A307" s="55"/>
      <c r="D307" s="55"/>
      <c r="E307" s="55"/>
      <c r="F307" s="55"/>
      <c r="G307" s="55"/>
      <c r="H307" s="55"/>
      <c r="I307" s="55"/>
    </row>
    <row r="308" spans="1:9">
      <c r="A308" s="55"/>
      <c r="D308" s="55"/>
      <c r="E308" s="55"/>
      <c r="F308" s="55"/>
      <c r="G308" s="55"/>
      <c r="H308" s="55"/>
      <c r="I308" s="55"/>
    </row>
    <row r="309" spans="1:9">
      <c r="A309" s="55"/>
      <c r="D309" s="55"/>
      <c r="E309" s="55"/>
      <c r="F309" s="55"/>
      <c r="G309" s="55"/>
      <c r="H309" s="55"/>
      <c r="I309" s="55"/>
    </row>
    <row r="310" spans="1:9">
      <c r="A310" s="55"/>
      <c r="D310" s="55"/>
      <c r="E310" s="55"/>
      <c r="F310" s="55"/>
      <c r="G310" s="55"/>
      <c r="H310" s="55"/>
      <c r="I310" s="55"/>
    </row>
    <row r="311" spans="1:9">
      <c r="A311" s="55"/>
      <c r="D311" s="55"/>
      <c r="E311" s="55"/>
      <c r="F311" s="55"/>
      <c r="G311" s="55"/>
      <c r="H311" s="55"/>
      <c r="I311" s="55"/>
    </row>
    <row r="312" spans="1:9">
      <c r="A312" s="55"/>
      <c r="D312" s="55"/>
      <c r="E312" s="55"/>
      <c r="F312" s="55"/>
      <c r="G312" s="55"/>
      <c r="H312" s="55"/>
      <c r="I312" s="55"/>
    </row>
    <row r="313" spans="1:9">
      <c r="A313" s="55"/>
      <c r="D313" s="55"/>
      <c r="E313" s="55"/>
      <c r="F313" s="55"/>
      <c r="G313" s="55"/>
      <c r="H313" s="55"/>
      <c r="I313" s="55"/>
    </row>
    <row r="314" spans="1:9">
      <c r="A314" s="55"/>
      <c r="D314" s="55"/>
      <c r="E314" s="55"/>
      <c r="F314" s="55"/>
      <c r="G314" s="55"/>
      <c r="H314" s="55"/>
      <c r="I314" s="55"/>
    </row>
    <row r="315" spans="1:9">
      <c r="A315" s="55"/>
      <c r="D315" s="55"/>
      <c r="E315" s="55"/>
      <c r="F315" s="55"/>
      <c r="G315" s="55"/>
      <c r="H315" s="55"/>
      <c r="I315" s="55"/>
    </row>
    <row r="316" spans="1:9">
      <c r="A316" s="55"/>
      <c r="D316" s="55"/>
      <c r="E316" s="55"/>
      <c r="F316" s="55"/>
      <c r="G316" s="55"/>
      <c r="H316" s="55"/>
      <c r="I316" s="55"/>
    </row>
    <row r="317" spans="1:9">
      <c r="A317" s="55"/>
      <c r="D317" s="55"/>
      <c r="E317" s="55"/>
      <c r="F317" s="55"/>
      <c r="G317" s="55"/>
      <c r="H317" s="55"/>
      <c r="I317" s="55"/>
    </row>
    <row r="318" spans="1:9">
      <c r="A318" s="55"/>
      <c r="D318" s="55"/>
      <c r="E318" s="55"/>
      <c r="F318" s="55"/>
      <c r="G318" s="55"/>
      <c r="H318" s="55"/>
      <c r="I318" s="55"/>
    </row>
    <row r="319" spans="1:9">
      <c r="A319" s="55"/>
      <c r="D319" s="55"/>
      <c r="E319" s="55"/>
      <c r="F319" s="55"/>
      <c r="G319" s="55"/>
      <c r="H319" s="55"/>
      <c r="I319" s="55"/>
    </row>
    <row r="320" spans="1:9">
      <c r="A320" s="55"/>
      <c r="D320" s="55"/>
      <c r="E320" s="55"/>
      <c r="F320" s="55"/>
      <c r="G320" s="55"/>
      <c r="H320" s="55"/>
      <c r="I320" s="55"/>
    </row>
    <row r="321" spans="1:9">
      <c r="A321" s="55"/>
      <c r="D321" s="55"/>
      <c r="E321" s="55"/>
      <c r="F321" s="55"/>
      <c r="G321" s="55"/>
      <c r="H321" s="55"/>
      <c r="I321" s="55"/>
    </row>
    <row r="322" spans="1:9">
      <c r="A322" s="55"/>
      <c r="D322" s="55"/>
      <c r="E322" s="55"/>
      <c r="F322" s="55"/>
      <c r="G322" s="55"/>
      <c r="H322" s="55"/>
      <c r="I322" s="55"/>
    </row>
    <row r="323" spans="1:9">
      <c r="A323" s="55"/>
      <c r="D323" s="55"/>
      <c r="E323" s="55"/>
      <c r="F323" s="55"/>
      <c r="G323" s="55"/>
      <c r="H323" s="55"/>
      <c r="I323" s="55"/>
    </row>
    <row r="324" spans="1:9">
      <c r="A324" s="55"/>
      <c r="D324" s="55"/>
      <c r="E324" s="55"/>
      <c r="F324" s="55"/>
      <c r="G324" s="55"/>
      <c r="H324" s="55"/>
      <c r="I324" s="55"/>
    </row>
    <row r="325" spans="1:9">
      <c r="A325" s="55"/>
      <c r="D325" s="55"/>
      <c r="E325" s="55"/>
      <c r="F325" s="55"/>
      <c r="G325" s="55"/>
      <c r="H325" s="55"/>
      <c r="I325" s="55"/>
    </row>
    <row r="326" spans="1:9">
      <c r="A326" s="55"/>
      <c r="D326" s="55"/>
      <c r="E326" s="55"/>
      <c r="F326" s="55"/>
      <c r="G326" s="55"/>
      <c r="H326" s="55"/>
      <c r="I326" s="55"/>
    </row>
    <row r="327" spans="1:9">
      <c r="A327" s="55"/>
      <c r="D327" s="55"/>
      <c r="E327" s="55"/>
      <c r="F327" s="55"/>
      <c r="G327" s="55"/>
      <c r="H327" s="55"/>
      <c r="I327" s="55"/>
    </row>
    <row r="328" spans="1:9">
      <c r="A328" s="55"/>
      <c r="D328" s="55"/>
      <c r="E328" s="55"/>
      <c r="F328" s="55"/>
      <c r="G328" s="55"/>
      <c r="H328" s="55"/>
      <c r="I328" s="55"/>
    </row>
    <row r="329" spans="1:9">
      <c r="A329" s="55"/>
      <c r="D329" s="55"/>
      <c r="E329" s="55"/>
      <c r="F329" s="55"/>
      <c r="G329" s="55"/>
      <c r="H329" s="55"/>
      <c r="I329" s="55"/>
    </row>
    <row r="330" spans="1:9">
      <c r="A330" s="55"/>
      <c r="D330" s="55"/>
      <c r="E330" s="55"/>
      <c r="F330" s="55"/>
      <c r="G330" s="55"/>
      <c r="H330" s="55"/>
      <c r="I330" s="55"/>
    </row>
    <row r="331" spans="1:9">
      <c r="A331" s="55"/>
      <c r="D331" s="55"/>
      <c r="E331" s="55"/>
      <c r="F331" s="55"/>
      <c r="G331" s="55"/>
      <c r="H331" s="55"/>
      <c r="I331" s="55"/>
    </row>
    <row r="332" spans="1:9">
      <c r="A332" s="55"/>
      <c r="D332" s="55"/>
      <c r="E332" s="55"/>
      <c r="F332" s="55"/>
      <c r="G332" s="55"/>
      <c r="H332" s="55"/>
      <c r="I332" s="55"/>
    </row>
    <row r="333" spans="1:9">
      <c r="A333" s="55"/>
      <c r="D333" s="55"/>
      <c r="E333" s="55"/>
      <c r="F333" s="55"/>
      <c r="G333" s="55"/>
      <c r="H333" s="55"/>
      <c r="I333" s="55"/>
    </row>
    <row r="334" spans="1:9">
      <c r="A334" s="55"/>
      <c r="D334" s="55"/>
      <c r="E334" s="55"/>
      <c r="F334" s="55"/>
      <c r="G334" s="55"/>
      <c r="H334" s="55"/>
      <c r="I334" s="55"/>
    </row>
    <row r="335" spans="1:9">
      <c r="A335" s="55"/>
      <c r="D335" s="55"/>
      <c r="E335" s="55"/>
      <c r="F335" s="55"/>
      <c r="G335" s="55"/>
      <c r="H335" s="55"/>
      <c r="I335" s="55"/>
    </row>
    <row r="336" spans="1:9">
      <c r="A336" s="55"/>
      <c r="D336" s="55"/>
      <c r="E336" s="55"/>
      <c r="F336" s="55"/>
      <c r="G336" s="55"/>
      <c r="H336" s="55"/>
      <c r="I336" s="55"/>
    </row>
    <row r="337" spans="1:9">
      <c r="A337" s="55"/>
      <c r="D337" s="55"/>
      <c r="E337" s="55"/>
      <c r="F337" s="55"/>
      <c r="G337" s="55"/>
      <c r="H337" s="55"/>
      <c r="I337" s="55"/>
    </row>
    <row r="338" spans="1:9">
      <c r="A338" s="55"/>
      <c r="D338" s="55"/>
      <c r="E338" s="55"/>
      <c r="F338" s="55"/>
      <c r="G338" s="55"/>
      <c r="H338" s="55"/>
      <c r="I338" s="55"/>
    </row>
    <row r="339" spans="1:9">
      <c r="A339" s="55"/>
      <c r="D339" s="55"/>
      <c r="E339" s="55"/>
      <c r="F339" s="55"/>
      <c r="G339" s="55"/>
      <c r="H339" s="55"/>
      <c r="I339" s="55"/>
    </row>
    <row r="340" spans="1:9">
      <c r="A340" s="55"/>
      <c r="D340" s="55"/>
      <c r="E340" s="55"/>
      <c r="F340" s="55"/>
      <c r="G340" s="55"/>
      <c r="H340" s="55"/>
      <c r="I340" s="55"/>
    </row>
    <row r="341" spans="1:9">
      <c r="A341" s="55"/>
      <c r="D341" s="55"/>
      <c r="E341" s="55"/>
      <c r="F341" s="55"/>
      <c r="G341" s="55"/>
      <c r="H341" s="55"/>
      <c r="I341" s="55"/>
    </row>
    <row r="342" spans="1:9">
      <c r="A342" s="55"/>
      <c r="D342" s="55"/>
      <c r="E342" s="55"/>
      <c r="F342" s="55"/>
      <c r="G342" s="55"/>
      <c r="H342" s="55"/>
      <c r="I342" s="55"/>
    </row>
    <row r="343" spans="1:9">
      <c r="A343" s="55"/>
      <c r="D343" s="55"/>
      <c r="E343" s="55"/>
      <c r="F343" s="55"/>
      <c r="G343" s="55"/>
      <c r="H343" s="55"/>
      <c r="I343" s="55"/>
    </row>
    <row r="344" spans="1:9">
      <c r="A344" s="55"/>
      <c r="D344" s="55"/>
      <c r="E344" s="55"/>
      <c r="F344" s="55"/>
      <c r="G344" s="55"/>
      <c r="H344" s="55"/>
      <c r="I344" s="55"/>
    </row>
    <row r="345" spans="1:9">
      <c r="A345" s="55"/>
      <c r="D345" s="55"/>
      <c r="E345" s="55"/>
      <c r="F345" s="55"/>
      <c r="G345" s="55"/>
      <c r="H345" s="55"/>
      <c r="I345" s="55"/>
    </row>
    <row r="346" spans="1:9">
      <c r="A346" s="55"/>
      <c r="D346" s="55"/>
      <c r="E346" s="55"/>
      <c r="F346" s="55"/>
      <c r="G346" s="55"/>
      <c r="H346" s="55"/>
      <c r="I346" s="55"/>
    </row>
    <row r="347" spans="1:9">
      <c r="A347" s="55"/>
      <c r="D347" s="55"/>
      <c r="E347" s="55"/>
      <c r="F347" s="55"/>
      <c r="G347" s="55"/>
      <c r="H347" s="55"/>
      <c r="I347" s="55"/>
    </row>
    <row r="348" spans="1:9">
      <c r="A348" s="55"/>
      <c r="D348" s="55"/>
      <c r="E348" s="55"/>
      <c r="F348" s="55"/>
      <c r="G348" s="55"/>
      <c r="H348" s="55"/>
      <c r="I348" s="55"/>
    </row>
    <row r="349" spans="1:9">
      <c r="A349" s="55"/>
      <c r="D349" s="55"/>
      <c r="E349" s="55"/>
      <c r="F349" s="55"/>
      <c r="G349" s="55"/>
      <c r="H349" s="55"/>
      <c r="I349" s="55"/>
    </row>
    <row r="350" spans="1:9">
      <c r="A350" s="55"/>
      <c r="D350" s="55"/>
      <c r="E350" s="55"/>
      <c r="F350" s="55"/>
      <c r="G350" s="55"/>
      <c r="H350" s="55"/>
      <c r="I350" s="55"/>
    </row>
    <row r="351" spans="1:9">
      <c r="A351" s="55"/>
      <c r="D351" s="55"/>
      <c r="E351" s="55"/>
      <c r="F351" s="55"/>
      <c r="G351" s="55"/>
      <c r="H351" s="55"/>
      <c r="I351" s="55"/>
    </row>
    <row r="352" spans="1:9">
      <c r="A352" s="55"/>
      <c r="D352" s="55"/>
      <c r="E352" s="55"/>
      <c r="F352" s="55"/>
      <c r="G352" s="55"/>
      <c r="H352" s="55"/>
      <c r="I352" s="55"/>
    </row>
    <row r="353" spans="1:9">
      <c r="A353" s="55"/>
      <c r="D353" s="55"/>
      <c r="E353" s="55"/>
      <c r="F353" s="55"/>
      <c r="G353" s="55"/>
      <c r="H353" s="55"/>
      <c r="I353" s="55"/>
    </row>
    <row r="354" spans="1:9">
      <c r="A354" s="55"/>
      <c r="D354" s="55"/>
      <c r="E354" s="55"/>
      <c r="F354" s="55"/>
      <c r="G354" s="55"/>
      <c r="H354" s="55"/>
      <c r="I354" s="55"/>
    </row>
    <row r="355" spans="1:9">
      <c r="A355" s="55"/>
      <c r="D355" s="55"/>
      <c r="E355" s="55"/>
      <c r="F355" s="55"/>
      <c r="G355" s="55"/>
      <c r="H355" s="55"/>
      <c r="I355" s="55"/>
    </row>
    <row r="356" spans="1:9">
      <c r="A356" s="55"/>
      <c r="D356" s="55"/>
      <c r="E356" s="55"/>
      <c r="F356" s="55"/>
      <c r="G356" s="55"/>
      <c r="H356" s="55"/>
      <c r="I356" s="55"/>
    </row>
    <row r="357" spans="1:9">
      <c r="A357" s="55"/>
      <c r="D357" s="55"/>
      <c r="E357" s="55"/>
      <c r="F357" s="55"/>
      <c r="G357" s="55"/>
      <c r="H357" s="55"/>
      <c r="I357" s="55"/>
    </row>
    <row r="358" spans="1:9">
      <c r="A358" s="55"/>
      <c r="D358" s="55"/>
      <c r="E358" s="55"/>
      <c r="F358" s="55"/>
      <c r="G358" s="55"/>
      <c r="H358" s="55"/>
      <c r="I358" s="55"/>
    </row>
    <row r="359" spans="1:9">
      <c r="A359" s="55"/>
      <c r="D359" s="55"/>
      <c r="E359" s="55"/>
      <c r="F359" s="55"/>
      <c r="G359" s="55"/>
      <c r="H359" s="55"/>
      <c r="I359" s="55"/>
    </row>
    <row r="360" spans="1:9">
      <c r="A360" s="55"/>
      <c r="D360" s="55"/>
      <c r="E360" s="55"/>
      <c r="F360" s="55"/>
      <c r="G360" s="55"/>
      <c r="H360" s="55"/>
      <c r="I360" s="55"/>
    </row>
    <row r="361" spans="1:9">
      <c r="A361" s="55"/>
      <c r="D361" s="55"/>
      <c r="E361" s="55"/>
      <c r="F361" s="55"/>
      <c r="G361" s="55"/>
      <c r="H361" s="55"/>
      <c r="I361" s="55"/>
    </row>
    <row r="362" spans="1:9">
      <c r="A362" s="55"/>
      <c r="D362" s="55"/>
      <c r="E362" s="55"/>
      <c r="F362" s="55"/>
      <c r="G362" s="55"/>
      <c r="H362" s="55"/>
      <c r="I362" s="55"/>
    </row>
    <row r="363" spans="1:9">
      <c r="A363" s="55"/>
      <c r="D363" s="55"/>
      <c r="E363" s="55"/>
      <c r="F363" s="55"/>
      <c r="G363" s="55"/>
      <c r="H363" s="55"/>
      <c r="I363" s="55"/>
    </row>
    <row r="364" spans="1:9">
      <c r="A364" s="55"/>
      <c r="D364" s="55"/>
      <c r="E364" s="55"/>
      <c r="F364" s="55"/>
      <c r="G364" s="55"/>
      <c r="H364" s="55"/>
      <c r="I364" s="55"/>
    </row>
    <row r="365" spans="1:9">
      <c r="A365" s="55"/>
      <c r="D365" s="55"/>
      <c r="E365" s="55"/>
      <c r="F365" s="55"/>
      <c r="G365" s="55"/>
      <c r="H365" s="55"/>
      <c r="I365" s="55"/>
    </row>
    <row r="366" spans="1:9">
      <c r="A366" s="55"/>
      <c r="D366" s="55"/>
      <c r="E366" s="55"/>
      <c r="F366" s="55"/>
      <c r="G366" s="55"/>
      <c r="H366" s="55"/>
      <c r="I366" s="55"/>
    </row>
    <row r="367" spans="1:9">
      <c r="A367" s="55"/>
      <c r="D367" s="55"/>
      <c r="E367" s="55"/>
      <c r="F367" s="55"/>
      <c r="G367" s="55"/>
      <c r="H367" s="55"/>
      <c r="I367" s="55"/>
    </row>
    <row r="368" spans="1:9">
      <c r="A368" s="55"/>
      <c r="D368" s="55"/>
      <c r="E368" s="55"/>
      <c r="F368" s="55"/>
      <c r="G368" s="55"/>
      <c r="H368" s="55"/>
      <c r="I368" s="55"/>
    </row>
    <row r="369" spans="1:9">
      <c r="A369" s="55"/>
      <c r="D369" s="55"/>
      <c r="E369" s="55"/>
      <c r="F369" s="55"/>
      <c r="G369" s="55"/>
      <c r="H369" s="55"/>
      <c r="I369" s="55"/>
    </row>
    <row r="370" spans="1:9">
      <c r="A370" s="55"/>
      <c r="D370" s="55"/>
      <c r="E370" s="55"/>
      <c r="F370" s="55"/>
      <c r="G370" s="55"/>
      <c r="H370" s="55"/>
      <c r="I370" s="55"/>
    </row>
    <row r="371" spans="1:9">
      <c r="A371" s="55"/>
      <c r="D371" s="55"/>
      <c r="E371" s="55"/>
      <c r="F371" s="55"/>
      <c r="G371" s="55"/>
      <c r="H371" s="55"/>
      <c r="I371" s="55"/>
    </row>
    <row r="372" spans="1:9">
      <c r="A372" s="55"/>
      <c r="D372" s="55"/>
      <c r="E372" s="55"/>
      <c r="F372" s="55"/>
      <c r="G372" s="55"/>
      <c r="H372" s="55"/>
      <c r="I372" s="55"/>
    </row>
    <row r="373" spans="1:9">
      <c r="A373" s="55"/>
      <c r="D373" s="55"/>
      <c r="E373" s="55"/>
      <c r="F373" s="55"/>
      <c r="G373" s="55"/>
      <c r="H373" s="55"/>
      <c r="I373" s="55"/>
    </row>
    <row r="374" spans="1:9">
      <c r="A374" s="55"/>
      <c r="D374" s="55"/>
      <c r="E374" s="55"/>
      <c r="F374" s="55"/>
      <c r="G374" s="55"/>
      <c r="H374" s="55"/>
      <c r="I374" s="55"/>
    </row>
    <row r="375" spans="1:9">
      <c r="A375" s="55"/>
      <c r="D375" s="55"/>
      <c r="E375" s="55"/>
      <c r="F375" s="55"/>
      <c r="G375" s="55"/>
      <c r="H375" s="55"/>
      <c r="I375" s="55"/>
    </row>
    <row r="376" spans="1:9">
      <c r="A376" s="55"/>
      <c r="D376" s="55"/>
      <c r="E376" s="55"/>
      <c r="F376" s="55"/>
      <c r="G376" s="55"/>
      <c r="H376" s="55"/>
      <c r="I376" s="55"/>
    </row>
    <row r="377" spans="1:9">
      <c r="A377" s="55"/>
      <c r="D377" s="55"/>
      <c r="E377" s="55"/>
      <c r="F377" s="55"/>
      <c r="G377" s="55"/>
      <c r="H377" s="55"/>
      <c r="I377" s="55"/>
    </row>
    <row r="378" spans="1:9">
      <c r="A378" s="55"/>
      <c r="D378" s="55"/>
      <c r="E378" s="55"/>
      <c r="F378" s="55"/>
      <c r="G378" s="55"/>
      <c r="H378" s="55"/>
      <c r="I378" s="55"/>
    </row>
    <row r="379" spans="1:9">
      <c r="A379" s="55"/>
      <c r="D379" s="55"/>
      <c r="E379" s="55"/>
      <c r="F379" s="55"/>
      <c r="G379" s="55"/>
      <c r="H379" s="55"/>
      <c r="I379" s="55"/>
    </row>
    <row r="380" spans="1:9">
      <c r="A380" s="55"/>
      <c r="D380" s="55"/>
      <c r="E380" s="55"/>
      <c r="F380" s="55"/>
      <c r="G380" s="55"/>
      <c r="H380" s="55"/>
      <c r="I380" s="55"/>
    </row>
    <row r="381" spans="1:9">
      <c r="A381" s="55"/>
      <c r="D381" s="55"/>
      <c r="E381" s="55"/>
      <c r="F381" s="55"/>
      <c r="G381" s="55"/>
      <c r="H381" s="55"/>
      <c r="I381" s="55"/>
    </row>
    <row r="382" spans="1:9">
      <c r="A382" s="55"/>
      <c r="D382" s="55"/>
      <c r="E382" s="55"/>
      <c r="F382" s="55"/>
      <c r="G382" s="55"/>
      <c r="H382" s="55"/>
      <c r="I382" s="55"/>
    </row>
    <row r="383" spans="1:9">
      <c r="A383" s="55"/>
      <c r="D383" s="55"/>
      <c r="E383" s="55"/>
      <c r="F383" s="55"/>
      <c r="G383" s="55"/>
      <c r="H383" s="55"/>
      <c r="I383" s="55"/>
    </row>
    <row r="384" spans="1:9">
      <c r="A384" s="55"/>
      <c r="D384" s="55"/>
      <c r="E384" s="55"/>
      <c r="F384" s="55"/>
      <c r="G384" s="55"/>
      <c r="H384" s="55"/>
      <c r="I384" s="55"/>
    </row>
    <row r="385" spans="1:9">
      <c r="A385" s="55"/>
      <c r="D385" s="55"/>
      <c r="E385" s="55"/>
      <c r="F385" s="55"/>
      <c r="G385" s="55"/>
      <c r="H385" s="55"/>
      <c r="I385" s="55"/>
    </row>
    <row r="386" spans="1:9">
      <c r="A386" s="55"/>
      <c r="D386" s="55"/>
      <c r="E386" s="55"/>
      <c r="F386" s="55"/>
      <c r="G386" s="55"/>
      <c r="H386" s="55"/>
      <c r="I386" s="55"/>
    </row>
    <row r="387" spans="1:9">
      <c r="A387" s="55"/>
      <c r="D387" s="55"/>
      <c r="E387" s="55"/>
      <c r="F387" s="55"/>
      <c r="G387" s="55"/>
      <c r="H387" s="55"/>
      <c r="I387" s="55"/>
    </row>
    <row r="388" spans="1:9">
      <c r="A388" s="55"/>
      <c r="D388" s="55"/>
      <c r="E388" s="55"/>
      <c r="F388" s="55"/>
      <c r="G388" s="55"/>
      <c r="H388" s="55"/>
      <c r="I388" s="55"/>
    </row>
    <row r="389" spans="1:9">
      <c r="A389" s="55"/>
      <c r="D389" s="55"/>
      <c r="E389" s="55"/>
      <c r="F389" s="55"/>
      <c r="G389" s="55"/>
      <c r="H389" s="55"/>
      <c r="I389" s="55"/>
    </row>
    <row r="390" spans="1:9">
      <c r="A390" s="55"/>
      <c r="D390" s="55"/>
      <c r="E390" s="55"/>
      <c r="F390" s="55"/>
      <c r="G390" s="55"/>
      <c r="H390" s="55"/>
      <c r="I390" s="55"/>
    </row>
    <row r="391" spans="1:9">
      <c r="A391" s="55"/>
      <c r="D391" s="55"/>
      <c r="E391" s="55"/>
      <c r="F391" s="55"/>
      <c r="G391" s="55"/>
      <c r="H391" s="55"/>
      <c r="I391" s="55"/>
    </row>
    <row r="392" spans="1:9">
      <c r="A392" s="55"/>
      <c r="D392" s="55"/>
      <c r="E392" s="55"/>
      <c r="F392" s="55"/>
      <c r="G392" s="55"/>
      <c r="H392" s="55"/>
      <c r="I392" s="55"/>
    </row>
    <row r="393" spans="1:9">
      <c r="A393" s="55"/>
      <c r="D393" s="55"/>
      <c r="E393" s="55"/>
      <c r="F393" s="55"/>
      <c r="G393" s="55"/>
      <c r="H393" s="55"/>
      <c r="I393" s="55"/>
    </row>
    <row r="394" spans="1:9">
      <c r="A394" s="55"/>
      <c r="D394" s="55"/>
      <c r="E394" s="55"/>
      <c r="F394" s="55"/>
      <c r="G394" s="55"/>
      <c r="H394" s="55"/>
      <c r="I394" s="55"/>
    </row>
    <row r="395" spans="1:9">
      <c r="A395" s="55"/>
      <c r="D395" s="55"/>
      <c r="E395" s="55"/>
      <c r="F395" s="55"/>
      <c r="G395" s="55"/>
      <c r="H395" s="55"/>
      <c r="I395" s="55"/>
    </row>
    <row r="396" spans="1:9">
      <c r="A396" s="55"/>
      <c r="D396" s="55"/>
      <c r="E396" s="55"/>
      <c r="F396" s="55"/>
      <c r="G396" s="55"/>
      <c r="H396" s="55"/>
      <c r="I396" s="55"/>
    </row>
    <row r="397" spans="1:9">
      <c r="A397" s="55"/>
      <c r="D397" s="55"/>
      <c r="E397" s="55"/>
      <c r="F397" s="55"/>
      <c r="G397" s="55"/>
      <c r="H397" s="55"/>
      <c r="I397" s="55"/>
    </row>
    <row r="398" spans="1:9">
      <c r="A398" s="55"/>
      <c r="D398" s="55"/>
      <c r="E398" s="55"/>
      <c r="F398" s="55"/>
      <c r="G398" s="55"/>
      <c r="H398" s="55"/>
      <c r="I398" s="55"/>
    </row>
    <row r="399" spans="1:9">
      <c r="A399" s="55"/>
      <c r="D399" s="55"/>
      <c r="E399" s="55"/>
      <c r="F399" s="55"/>
      <c r="G399" s="55"/>
      <c r="H399" s="55"/>
      <c r="I399" s="55"/>
    </row>
    <row r="400" spans="1:9">
      <c r="A400" s="55"/>
      <c r="D400" s="55"/>
      <c r="E400" s="55"/>
      <c r="F400" s="55"/>
      <c r="G400" s="55"/>
      <c r="H400" s="55"/>
      <c r="I400" s="55"/>
    </row>
    <row r="401" spans="1:9">
      <c r="A401" s="55"/>
      <c r="D401" s="55"/>
      <c r="E401" s="55"/>
      <c r="F401" s="55"/>
      <c r="G401" s="55"/>
      <c r="H401" s="55"/>
      <c r="I401" s="55"/>
    </row>
    <row r="402" spans="1:9">
      <c r="A402" s="55"/>
      <c r="D402" s="55"/>
      <c r="E402" s="55"/>
      <c r="F402" s="55"/>
      <c r="G402" s="55"/>
      <c r="H402" s="55"/>
      <c r="I402" s="55"/>
    </row>
    <row r="403" spans="1:9">
      <c r="A403" s="55"/>
      <c r="D403" s="55"/>
      <c r="E403" s="55"/>
      <c r="F403" s="55"/>
      <c r="G403" s="55"/>
      <c r="H403" s="55"/>
      <c r="I403" s="55"/>
    </row>
    <row r="404" spans="1:9">
      <c r="A404" s="55"/>
      <c r="D404" s="55"/>
      <c r="E404" s="55"/>
      <c r="F404" s="55"/>
      <c r="G404" s="55"/>
      <c r="H404" s="55"/>
      <c r="I404" s="55"/>
    </row>
    <row r="405" spans="1:9">
      <c r="A405" s="55"/>
      <c r="D405" s="55"/>
      <c r="E405" s="55"/>
      <c r="F405" s="55"/>
      <c r="G405" s="55"/>
      <c r="H405" s="55"/>
      <c r="I405" s="55"/>
    </row>
    <row r="406" spans="1:9">
      <c r="A406" s="55"/>
      <c r="D406" s="55"/>
      <c r="E406" s="55"/>
      <c r="F406" s="55"/>
      <c r="G406" s="55"/>
      <c r="H406" s="55"/>
      <c r="I406" s="55"/>
    </row>
    <row r="407" spans="1:9">
      <c r="A407" s="55"/>
      <c r="D407" s="55"/>
      <c r="E407" s="55"/>
      <c r="F407" s="55"/>
      <c r="G407" s="55"/>
      <c r="H407" s="55"/>
      <c r="I407" s="55"/>
    </row>
    <row r="408" spans="1:9">
      <c r="A408" s="55"/>
      <c r="D408" s="55"/>
      <c r="E408" s="55"/>
      <c r="F408" s="55"/>
      <c r="G408" s="55"/>
      <c r="H408" s="55"/>
      <c r="I408" s="55"/>
    </row>
    <row r="409" spans="1:9">
      <c r="A409" s="55"/>
      <c r="D409" s="55"/>
      <c r="E409" s="55"/>
      <c r="F409" s="55"/>
      <c r="G409" s="55"/>
      <c r="H409" s="55"/>
      <c r="I409" s="55"/>
    </row>
    <row r="410" spans="1:9">
      <c r="A410" s="55"/>
      <c r="D410" s="55"/>
      <c r="E410" s="55"/>
      <c r="F410" s="55"/>
      <c r="G410" s="55"/>
      <c r="H410" s="55"/>
      <c r="I410" s="55"/>
    </row>
    <row r="411" spans="1:9">
      <c r="A411" s="55"/>
      <c r="D411" s="55"/>
      <c r="E411" s="55"/>
      <c r="F411" s="55"/>
      <c r="G411" s="55"/>
      <c r="H411" s="55"/>
      <c r="I411" s="55"/>
    </row>
    <row r="412" spans="1:9">
      <c r="A412" s="55"/>
      <c r="D412" s="55"/>
      <c r="E412" s="55"/>
      <c r="F412" s="55"/>
      <c r="G412" s="55"/>
      <c r="H412" s="55"/>
      <c r="I412" s="55"/>
    </row>
    <row r="413" spans="1:9">
      <c r="A413" s="55"/>
      <c r="D413" s="55"/>
      <c r="E413" s="55"/>
      <c r="F413" s="55"/>
      <c r="G413" s="55"/>
      <c r="H413" s="55"/>
      <c r="I413" s="55"/>
    </row>
    <row r="414" spans="1:9">
      <c r="A414" s="55"/>
      <c r="D414" s="55"/>
      <c r="E414" s="55"/>
      <c r="F414" s="55"/>
      <c r="G414" s="55"/>
      <c r="H414" s="55"/>
      <c r="I414" s="55"/>
    </row>
    <row r="415" spans="1:9">
      <c r="A415" s="55"/>
      <c r="D415" s="55"/>
      <c r="E415" s="55"/>
      <c r="F415" s="55"/>
      <c r="G415" s="55"/>
      <c r="H415" s="55"/>
      <c r="I415" s="55"/>
    </row>
    <row r="416" spans="1:9">
      <c r="A416" s="55"/>
      <c r="D416" s="55"/>
      <c r="E416" s="55"/>
      <c r="F416" s="55"/>
      <c r="G416" s="55"/>
      <c r="H416" s="55"/>
      <c r="I416" s="55"/>
    </row>
    <row r="417" spans="1:9">
      <c r="A417" s="55"/>
      <c r="D417" s="55"/>
      <c r="E417" s="55"/>
      <c r="F417" s="55"/>
      <c r="G417" s="55"/>
      <c r="H417" s="55"/>
      <c r="I417" s="55"/>
    </row>
    <row r="418" spans="1:9">
      <c r="A418" s="55"/>
      <c r="D418" s="55"/>
      <c r="E418" s="55"/>
      <c r="F418" s="55"/>
      <c r="G418" s="55"/>
      <c r="H418" s="55"/>
      <c r="I418" s="55"/>
    </row>
    <row r="419" spans="1:9">
      <c r="A419" s="55"/>
      <c r="D419" s="55"/>
      <c r="E419" s="55"/>
      <c r="F419" s="55"/>
      <c r="G419" s="55"/>
      <c r="H419" s="55"/>
      <c r="I419" s="55"/>
    </row>
    <row r="420" spans="1:9">
      <c r="A420" s="55"/>
      <c r="D420" s="55"/>
      <c r="E420" s="55"/>
      <c r="F420" s="55"/>
      <c r="G420" s="55"/>
      <c r="H420" s="55"/>
      <c r="I420" s="55"/>
    </row>
    <row r="421" spans="1:9">
      <c r="A421" s="55"/>
      <c r="D421" s="55"/>
      <c r="E421" s="55"/>
      <c r="F421" s="55"/>
      <c r="G421" s="55"/>
      <c r="H421" s="55"/>
      <c r="I421" s="55"/>
    </row>
    <row r="422" spans="1:9">
      <c r="A422" s="55"/>
      <c r="D422" s="55"/>
      <c r="E422" s="55"/>
      <c r="F422" s="55"/>
      <c r="G422" s="55"/>
      <c r="H422" s="55"/>
      <c r="I422" s="55"/>
    </row>
    <row r="423" spans="1:9">
      <c r="A423" s="55"/>
      <c r="D423" s="55"/>
      <c r="E423" s="55"/>
      <c r="F423" s="55"/>
      <c r="G423" s="55"/>
      <c r="H423" s="55"/>
      <c r="I423" s="55"/>
    </row>
    <row r="424" spans="1:9">
      <c r="A424" s="55"/>
      <c r="D424" s="55"/>
      <c r="E424" s="55"/>
      <c r="F424" s="55"/>
      <c r="G424" s="55"/>
      <c r="H424" s="55"/>
      <c r="I424" s="55"/>
    </row>
    <row r="425" spans="1:9">
      <c r="A425" s="55"/>
      <c r="D425" s="55"/>
      <c r="E425" s="55"/>
      <c r="F425" s="55"/>
      <c r="G425" s="55"/>
      <c r="H425" s="55"/>
      <c r="I425" s="55"/>
    </row>
    <row r="426" spans="1:9">
      <c r="A426" s="55"/>
      <c r="D426" s="55"/>
      <c r="E426" s="55"/>
      <c r="F426" s="55"/>
      <c r="G426" s="55"/>
      <c r="H426" s="55"/>
      <c r="I426" s="55"/>
    </row>
    <row r="427" spans="1:9">
      <c r="A427" s="55"/>
      <c r="D427" s="55"/>
      <c r="E427" s="55"/>
      <c r="F427" s="55"/>
      <c r="G427" s="55"/>
      <c r="H427" s="55"/>
      <c r="I427" s="55"/>
    </row>
    <row r="428" spans="1:9">
      <c r="A428" s="55"/>
      <c r="D428" s="55"/>
      <c r="E428" s="55"/>
      <c r="F428" s="55"/>
      <c r="G428" s="55"/>
      <c r="H428" s="55"/>
      <c r="I428" s="55"/>
    </row>
    <row r="429" spans="1:9">
      <c r="A429" s="55"/>
      <c r="D429" s="55"/>
      <c r="E429" s="55"/>
      <c r="F429" s="55"/>
      <c r="G429" s="55"/>
      <c r="H429" s="55"/>
      <c r="I429" s="55"/>
    </row>
    <row r="430" spans="1:9">
      <c r="A430" s="55"/>
      <c r="D430" s="55"/>
      <c r="E430" s="55"/>
      <c r="F430" s="55"/>
      <c r="G430" s="55"/>
      <c r="H430" s="55"/>
      <c r="I430" s="55"/>
    </row>
    <row r="431" spans="1:9">
      <c r="A431" s="55"/>
      <c r="D431" s="55"/>
      <c r="E431" s="55"/>
      <c r="F431" s="55"/>
      <c r="G431" s="55"/>
      <c r="H431" s="55"/>
      <c r="I431" s="55"/>
    </row>
    <row r="432" spans="1:9">
      <c r="A432" s="55"/>
      <c r="D432" s="55"/>
      <c r="E432" s="55"/>
      <c r="F432" s="55"/>
      <c r="G432" s="55"/>
      <c r="H432" s="55"/>
      <c r="I432" s="55"/>
    </row>
    <row r="433" spans="1:9">
      <c r="A433" s="55"/>
      <c r="D433" s="55"/>
      <c r="E433" s="55"/>
      <c r="F433" s="55"/>
      <c r="G433" s="55"/>
      <c r="H433" s="55"/>
      <c r="I433" s="55"/>
    </row>
    <row r="434" spans="1:9">
      <c r="A434" s="55"/>
      <c r="D434" s="55"/>
      <c r="E434" s="55"/>
      <c r="F434" s="55"/>
      <c r="G434" s="55"/>
      <c r="H434" s="55"/>
      <c r="I434" s="55"/>
    </row>
    <row r="435" spans="1:9">
      <c r="A435" s="55"/>
      <c r="D435" s="55"/>
      <c r="E435" s="55"/>
      <c r="F435" s="55"/>
      <c r="G435" s="55"/>
      <c r="H435" s="55"/>
      <c r="I435" s="55"/>
    </row>
    <row r="436" spans="1:9">
      <c r="A436" s="55"/>
      <c r="D436" s="55"/>
      <c r="E436" s="55"/>
      <c r="F436" s="55"/>
      <c r="G436" s="55"/>
      <c r="H436" s="55"/>
      <c r="I436" s="55"/>
    </row>
    <row r="437" spans="1:9">
      <c r="A437" s="55"/>
      <c r="D437" s="55"/>
      <c r="E437" s="55"/>
      <c r="F437" s="55"/>
      <c r="G437" s="55"/>
      <c r="H437" s="55"/>
      <c r="I437" s="55"/>
    </row>
    <row r="438" spans="1:9">
      <c r="A438" s="55"/>
      <c r="D438" s="55"/>
      <c r="E438" s="55"/>
      <c r="F438" s="55"/>
      <c r="G438" s="55"/>
      <c r="H438" s="55"/>
      <c r="I438" s="55"/>
    </row>
    <row r="439" spans="1:9">
      <c r="A439" s="55"/>
      <c r="D439" s="55"/>
      <c r="E439" s="55"/>
      <c r="F439" s="55"/>
      <c r="G439" s="55"/>
      <c r="H439" s="55"/>
      <c r="I439" s="55"/>
    </row>
    <row r="440" spans="1:9">
      <c r="A440" s="55"/>
      <c r="D440" s="55"/>
      <c r="E440" s="55"/>
      <c r="F440" s="55"/>
      <c r="G440" s="55"/>
      <c r="H440" s="55"/>
      <c r="I440" s="55"/>
    </row>
    <row r="441" spans="1:9">
      <c r="A441" s="55"/>
      <c r="D441" s="55"/>
      <c r="E441" s="55"/>
      <c r="F441" s="55"/>
      <c r="G441" s="55"/>
      <c r="H441" s="55"/>
      <c r="I441" s="55"/>
    </row>
    <row r="442" spans="1:9">
      <c r="A442" s="55"/>
      <c r="D442" s="55"/>
      <c r="E442" s="55"/>
      <c r="F442" s="55"/>
      <c r="G442" s="55"/>
      <c r="H442" s="55"/>
      <c r="I442" s="55"/>
    </row>
    <row r="443" spans="1:9">
      <c r="A443" s="55"/>
      <c r="D443" s="55"/>
      <c r="E443" s="55"/>
      <c r="F443" s="55"/>
      <c r="G443" s="55"/>
      <c r="H443" s="55"/>
      <c r="I443" s="55"/>
    </row>
    <row r="444" spans="1:9">
      <c r="A444" s="55"/>
      <c r="D444" s="55"/>
      <c r="E444" s="55"/>
      <c r="F444" s="55"/>
      <c r="G444" s="55"/>
      <c r="H444" s="55"/>
      <c r="I444" s="55"/>
    </row>
    <row r="445" spans="1:9">
      <c r="A445" s="55"/>
      <c r="D445" s="55"/>
      <c r="E445" s="55"/>
      <c r="F445" s="55"/>
      <c r="G445" s="55"/>
      <c r="H445" s="55"/>
      <c r="I445" s="55"/>
    </row>
    <row r="446" spans="1:9">
      <c r="A446" s="55"/>
      <c r="D446" s="55"/>
      <c r="E446" s="55"/>
      <c r="F446" s="55"/>
      <c r="G446" s="55"/>
      <c r="H446" s="55"/>
      <c r="I446" s="55"/>
    </row>
    <row r="447" spans="1:9">
      <c r="A447" s="55"/>
      <c r="D447" s="55"/>
      <c r="E447" s="55"/>
      <c r="F447" s="55"/>
      <c r="G447" s="55"/>
      <c r="H447" s="55"/>
      <c r="I447" s="55"/>
    </row>
    <row r="448" spans="1:9">
      <c r="A448" s="55"/>
      <c r="D448" s="55"/>
      <c r="E448" s="55"/>
      <c r="F448" s="55"/>
      <c r="G448" s="55"/>
      <c r="H448" s="55"/>
      <c r="I448" s="55"/>
    </row>
    <row r="449" spans="1:9">
      <c r="A449" s="55"/>
      <c r="D449" s="55"/>
      <c r="E449" s="55"/>
      <c r="F449" s="55"/>
      <c r="G449" s="55"/>
      <c r="H449" s="55"/>
      <c r="I449" s="55"/>
    </row>
    <row r="450" spans="1:9">
      <c r="A450" s="55"/>
      <c r="D450" s="55"/>
      <c r="E450" s="55"/>
      <c r="F450" s="55"/>
      <c r="G450" s="55"/>
      <c r="H450" s="55"/>
      <c r="I450" s="55"/>
    </row>
    <row r="451" spans="1:9">
      <c r="A451" s="55"/>
      <c r="D451" s="55"/>
      <c r="E451" s="55"/>
      <c r="F451" s="55"/>
      <c r="G451" s="55"/>
      <c r="H451" s="55"/>
      <c r="I451" s="55"/>
    </row>
    <row r="452" spans="1:9">
      <c r="A452" s="55"/>
      <c r="D452" s="55"/>
      <c r="E452" s="55"/>
      <c r="F452" s="55"/>
      <c r="G452" s="55"/>
      <c r="H452" s="55"/>
      <c r="I452" s="55"/>
    </row>
    <row r="453" spans="1:9">
      <c r="A453" s="55"/>
      <c r="D453" s="55"/>
      <c r="E453" s="55"/>
      <c r="F453" s="55"/>
      <c r="G453" s="55"/>
      <c r="H453" s="55"/>
      <c r="I453" s="55"/>
    </row>
    <row r="454" spans="1:9">
      <c r="A454" s="55"/>
      <c r="D454" s="55"/>
      <c r="E454" s="55"/>
      <c r="F454" s="55"/>
      <c r="G454" s="55"/>
      <c r="H454" s="55"/>
      <c r="I454" s="55"/>
    </row>
    <row r="455" spans="1:9">
      <c r="A455" s="55"/>
      <c r="D455" s="55"/>
      <c r="E455" s="55"/>
      <c r="F455" s="55"/>
      <c r="G455" s="55"/>
      <c r="H455" s="55"/>
      <c r="I455" s="55"/>
    </row>
    <row r="456" spans="1:9">
      <c r="A456" s="55"/>
      <c r="D456" s="55"/>
      <c r="E456" s="55"/>
      <c r="F456" s="55"/>
      <c r="G456" s="55"/>
      <c r="H456" s="55"/>
      <c r="I456" s="55"/>
    </row>
    <row r="457" spans="1:9">
      <c r="A457" s="55"/>
      <c r="D457" s="55"/>
      <c r="E457" s="55"/>
      <c r="F457" s="55"/>
      <c r="G457" s="55"/>
      <c r="H457" s="55"/>
      <c r="I457" s="55"/>
    </row>
    <row r="458" spans="1:9">
      <c r="A458" s="55"/>
      <c r="D458" s="55"/>
      <c r="E458" s="55"/>
      <c r="F458" s="55"/>
      <c r="G458" s="55"/>
      <c r="H458" s="55"/>
      <c r="I458" s="55"/>
    </row>
    <row r="459" spans="1:9">
      <c r="A459" s="55"/>
      <c r="D459" s="55"/>
      <c r="E459" s="55"/>
      <c r="F459" s="55"/>
      <c r="G459" s="55"/>
      <c r="H459" s="55"/>
      <c r="I459" s="55"/>
    </row>
    <row r="460" spans="1:9">
      <c r="A460" s="55"/>
      <c r="D460" s="55"/>
      <c r="E460" s="55"/>
      <c r="F460" s="55"/>
      <c r="G460" s="55"/>
      <c r="H460" s="55"/>
      <c r="I460" s="55"/>
    </row>
    <row r="461" spans="1:9">
      <c r="A461" s="55"/>
      <c r="D461" s="55"/>
      <c r="E461" s="55"/>
      <c r="F461" s="55"/>
      <c r="G461" s="55"/>
      <c r="H461" s="55"/>
      <c r="I461" s="55"/>
    </row>
    <row r="462" spans="1:9">
      <c r="A462" s="55"/>
      <c r="D462" s="55"/>
      <c r="E462" s="55"/>
      <c r="F462" s="55"/>
      <c r="G462" s="55"/>
      <c r="H462" s="55"/>
      <c r="I462" s="55"/>
    </row>
    <row r="463" spans="1:9">
      <c r="A463" s="55"/>
      <c r="D463" s="55"/>
      <c r="E463" s="55"/>
      <c r="F463" s="55"/>
      <c r="G463" s="55"/>
      <c r="H463" s="55"/>
      <c r="I463" s="55"/>
    </row>
    <row r="464" spans="1:9">
      <c r="A464" s="55"/>
      <c r="D464" s="55"/>
      <c r="E464" s="55"/>
      <c r="F464" s="55"/>
      <c r="G464" s="55"/>
      <c r="H464" s="55"/>
      <c r="I464" s="55"/>
    </row>
    <row r="465" spans="1:9">
      <c r="A465" s="55"/>
      <c r="D465" s="55"/>
      <c r="E465" s="55"/>
      <c r="F465" s="55"/>
      <c r="G465" s="55"/>
      <c r="H465" s="55"/>
      <c r="I465" s="55"/>
    </row>
    <row r="466" spans="1:9">
      <c r="A466" s="55"/>
      <c r="D466" s="55"/>
      <c r="E466" s="55"/>
      <c r="F466" s="55"/>
      <c r="G466" s="55"/>
      <c r="H466" s="55"/>
      <c r="I466" s="55"/>
    </row>
    <row r="467" spans="1:9">
      <c r="A467" s="55"/>
      <c r="D467" s="55"/>
      <c r="E467" s="55"/>
      <c r="F467" s="55"/>
      <c r="G467" s="55"/>
      <c r="H467" s="55"/>
      <c r="I467" s="55"/>
    </row>
    <row r="468" spans="1:9">
      <c r="A468" s="55"/>
      <c r="D468" s="55"/>
      <c r="E468" s="55"/>
      <c r="F468" s="55"/>
      <c r="G468" s="55"/>
      <c r="H468" s="55"/>
      <c r="I468" s="55"/>
    </row>
    <row r="469" spans="1:9">
      <c r="A469" s="55"/>
      <c r="D469" s="55"/>
      <c r="E469" s="55"/>
      <c r="F469" s="55"/>
      <c r="G469" s="55"/>
      <c r="H469" s="55"/>
      <c r="I469" s="55"/>
    </row>
    <row r="470" spans="1:9">
      <c r="A470" s="55"/>
      <c r="D470" s="55"/>
      <c r="E470" s="55"/>
      <c r="F470" s="55"/>
      <c r="G470" s="55"/>
      <c r="H470" s="55"/>
      <c r="I470" s="55"/>
    </row>
    <row r="471" spans="1:9">
      <c r="A471" s="55"/>
      <c r="D471" s="55"/>
      <c r="E471" s="55"/>
      <c r="F471" s="55"/>
      <c r="G471" s="55"/>
      <c r="H471" s="55"/>
      <c r="I471" s="55"/>
    </row>
    <row r="472" spans="1:9">
      <c r="A472" s="55"/>
      <c r="D472" s="55"/>
      <c r="E472" s="55"/>
      <c r="F472" s="55"/>
      <c r="G472" s="55"/>
      <c r="H472" s="55"/>
      <c r="I472" s="55"/>
    </row>
    <row r="473" spans="1:9">
      <c r="A473" s="55"/>
      <c r="D473" s="55"/>
      <c r="E473" s="55"/>
      <c r="F473" s="55"/>
      <c r="G473" s="55"/>
      <c r="H473" s="55"/>
      <c r="I473" s="55"/>
    </row>
    <row r="474" spans="1:9">
      <c r="A474" s="55"/>
      <c r="D474" s="55"/>
      <c r="E474" s="55"/>
      <c r="F474" s="55"/>
      <c r="G474" s="55"/>
      <c r="H474" s="55"/>
      <c r="I474" s="55"/>
    </row>
    <row r="475" spans="1:9">
      <c r="A475" s="55"/>
      <c r="D475" s="55"/>
      <c r="E475" s="55"/>
      <c r="F475" s="55"/>
      <c r="G475" s="55"/>
      <c r="H475" s="55"/>
      <c r="I475" s="55"/>
    </row>
    <row r="476" spans="1:9">
      <c r="A476" s="55"/>
      <c r="D476" s="55"/>
      <c r="E476" s="55"/>
      <c r="F476" s="55"/>
      <c r="G476" s="55"/>
      <c r="H476" s="55"/>
      <c r="I476" s="55"/>
    </row>
    <row r="477" spans="1:9">
      <c r="A477" s="55"/>
      <c r="D477" s="55"/>
      <c r="E477" s="55"/>
      <c r="F477" s="55"/>
      <c r="G477" s="55"/>
      <c r="H477" s="55"/>
      <c r="I477" s="55"/>
    </row>
    <row r="478" spans="1:9">
      <c r="A478" s="55"/>
      <c r="D478" s="55"/>
      <c r="E478" s="55"/>
      <c r="F478" s="55"/>
      <c r="G478" s="55"/>
      <c r="H478" s="55"/>
      <c r="I478" s="55"/>
    </row>
    <row r="479" spans="1:9">
      <c r="A479" s="55"/>
      <c r="D479" s="55"/>
      <c r="E479" s="55"/>
      <c r="F479" s="55"/>
      <c r="G479" s="55"/>
      <c r="H479" s="55"/>
      <c r="I479" s="55"/>
    </row>
    <row r="480" spans="1:9">
      <c r="A480" s="55"/>
      <c r="D480" s="55"/>
      <c r="E480" s="55"/>
      <c r="F480" s="55"/>
      <c r="G480" s="55"/>
      <c r="H480" s="55"/>
      <c r="I480" s="55"/>
    </row>
    <row r="481" spans="1:9">
      <c r="A481" s="55"/>
      <c r="D481" s="55"/>
      <c r="E481" s="55"/>
      <c r="F481" s="55"/>
      <c r="G481" s="55"/>
      <c r="H481" s="55"/>
      <c r="I481" s="55"/>
    </row>
    <row r="482" spans="1:9">
      <c r="A482" s="55"/>
      <c r="D482" s="55"/>
      <c r="E482" s="55"/>
      <c r="F482" s="55"/>
      <c r="G482" s="55"/>
      <c r="H482" s="55"/>
      <c r="I482" s="55"/>
    </row>
    <row r="483" spans="1:9">
      <c r="A483" s="55"/>
      <c r="D483" s="55"/>
      <c r="E483" s="55"/>
      <c r="F483" s="55"/>
      <c r="G483" s="55"/>
      <c r="H483" s="55"/>
      <c r="I483" s="55"/>
    </row>
    <row r="484" spans="1:9">
      <c r="A484" s="55"/>
      <c r="D484" s="55"/>
      <c r="E484" s="55"/>
      <c r="F484" s="55"/>
      <c r="G484" s="55"/>
      <c r="H484" s="55"/>
      <c r="I484" s="55"/>
    </row>
    <row r="485" spans="1:9">
      <c r="A485" s="55"/>
      <c r="D485" s="55"/>
      <c r="E485" s="55"/>
      <c r="F485" s="55"/>
      <c r="G485" s="55"/>
      <c r="H485" s="55"/>
      <c r="I485" s="55"/>
    </row>
    <row r="486" spans="1:9">
      <c r="A486" s="55"/>
      <c r="D486" s="55"/>
      <c r="E486" s="55"/>
      <c r="F486" s="55"/>
      <c r="G486" s="55"/>
      <c r="H486" s="55"/>
      <c r="I486" s="55"/>
    </row>
    <row r="487" spans="1:9">
      <c r="A487" s="55"/>
      <c r="D487" s="55"/>
      <c r="E487" s="55"/>
      <c r="F487" s="55"/>
      <c r="G487" s="55"/>
      <c r="H487" s="55"/>
      <c r="I487" s="55"/>
    </row>
    <row r="488" spans="1:9">
      <c r="A488" s="55"/>
      <c r="D488" s="55"/>
      <c r="E488" s="55"/>
      <c r="F488" s="55"/>
      <c r="G488" s="55"/>
      <c r="H488" s="55"/>
      <c r="I488" s="55"/>
    </row>
    <row r="489" spans="1:9">
      <c r="A489" s="55"/>
      <c r="D489" s="55"/>
      <c r="E489" s="55"/>
      <c r="F489" s="55"/>
      <c r="G489" s="55"/>
      <c r="H489" s="55"/>
      <c r="I489" s="55"/>
    </row>
    <row r="490" spans="1:9">
      <c r="A490" s="55"/>
      <c r="D490" s="55"/>
      <c r="E490" s="55"/>
      <c r="F490" s="55"/>
      <c r="G490" s="55"/>
      <c r="H490" s="55"/>
      <c r="I490" s="55"/>
    </row>
    <row r="491" spans="1:9">
      <c r="A491" s="55"/>
      <c r="D491" s="55"/>
      <c r="E491" s="55"/>
      <c r="F491" s="55"/>
      <c r="G491" s="55"/>
      <c r="H491" s="55"/>
      <c r="I491" s="55"/>
    </row>
    <row r="492" spans="1:9">
      <c r="A492" s="55"/>
      <c r="D492" s="55"/>
      <c r="E492" s="55"/>
      <c r="F492" s="55"/>
      <c r="G492" s="55"/>
      <c r="H492" s="55"/>
      <c r="I492" s="55"/>
    </row>
    <row r="493" spans="1:9">
      <c r="A493" s="55"/>
      <c r="D493" s="55"/>
      <c r="E493" s="55"/>
      <c r="F493" s="55"/>
      <c r="G493" s="55"/>
      <c r="H493" s="55"/>
      <c r="I493" s="55"/>
    </row>
    <row r="494" spans="1:9">
      <c r="A494" s="55"/>
      <c r="D494" s="55"/>
      <c r="E494" s="55"/>
      <c r="F494" s="55"/>
      <c r="G494" s="55"/>
      <c r="H494" s="55"/>
      <c r="I494" s="55"/>
    </row>
    <row r="495" spans="1:9">
      <c r="A495" s="55"/>
      <c r="D495" s="55"/>
      <c r="E495" s="55"/>
      <c r="F495" s="55"/>
      <c r="G495" s="55"/>
      <c r="H495" s="55"/>
      <c r="I495" s="55"/>
    </row>
    <row r="496" spans="1:9">
      <c r="A496" s="55"/>
      <c r="D496" s="55"/>
      <c r="E496" s="55"/>
      <c r="F496" s="55"/>
      <c r="G496" s="55"/>
      <c r="H496" s="55"/>
      <c r="I496" s="55"/>
    </row>
    <row r="497" spans="1:9">
      <c r="A497" s="55"/>
      <c r="D497" s="55"/>
      <c r="E497" s="55"/>
      <c r="F497" s="55"/>
      <c r="G497" s="55"/>
      <c r="H497" s="55"/>
      <c r="I497" s="55"/>
    </row>
    <row r="498" spans="1:9">
      <c r="A498" s="55"/>
      <c r="D498" s="55"/>
      <c r="E498" s="55"/>
      <c r="F498" s="55"/>
      <c r="G498" s="55"/>
      <c r="H498" s="55"/>
      <c r="I498" s="55"/>
    </row>
    <row r="499" spans="1:9">
      <c r="A499" s="55"/>
      <c r="D499" s="55"/>
      <c r="E499" s="55"/>
      <c r="F499" s="55"/>
      <c r="G499" s="55"/>
      <c r="H499" s="55"/>
      <c r="I499" s="55"/>
    </row>
    <row r="500" spans="1:9">
      <c r="A500" s="55"/>
      <c r="D500" s="55"/>
      <c r="E500" s="55"/>
      <c r="F500" s="55"/>
      <c r="G500" s="55"/>
      <c r="H500" s="55"/>
      <c r="I500" s="55"/>
    </row>
    <row r="501" spans="1:9">
      <c r="A501" s="55"/>
      <c r="D501" s="55"/>
      <c r="E501" s="55"/>
      <c r="F501" s="55"/>
      <c r="G501" s="55"/>
      <c r="H501" s="55"/>
      <c r="I501" s="55"/>
    </row>
    <row r="502" spans="1:9">
      <c r="A502" s="55"/>
      <c r="D502" s="55"/>
      <c r="E502" s="55"/>
      <c r="F502" s="55"/>
      <c r="G502" s="55"/>
      <c r="H502" s="55"/>
      <c r="I502" s="55"/>
    </row>
    <row r="503" spans="1:9">
      <c r="A503" s="55"/>
      <c r="D503" s="55"/>
      <c r="E503" s="55"/>
      <c r="F503" s="55"/>
      <c r="G503" s="55"/>
      <c r="H503" s="55"/>
      <c r="I503" s="55"/>
    </row>
    <row r="504" spans="1:9">
      <c r="A504" s="55"/>
      <c r="D504" s="55"/>
      <c r="E504" s="55"/>
      <c r="F504" s="55"/>
      <c r="G504" s="55"/>
      <c r="H504" s="55"/>
      <c r="I504" s="55"/>
    </row>
    <row r="505" spans="1:9">
      <c r="A505" s="55"/>
      <c r="D505" s="55"/>
      <c r="E505" s="55"/>
      <c r="F505" s="55"/>
      <c r="G505" s="55"/>
      <c r="H505" s="55"/>
      <c r="I505" s="55"/>
    </row>
    <row r="506" spans="1:9">
      <c r="A506" s="55"/>
      <c r="D506" s="55"/>
      <c r="E506" s="55"/>
      <c r="F506" s="55"/>
      <c r="G506" s="55"/>
      <c r="H506" s="55"/>
      <c r="I506" s="55"/>
    </row>
    <row r="507" spans="1:9">
      <c r="A507" s="55"/>
      <c r="D507" s="55"/>
      <c r="E507" s="55"/>
      <c r="F507" s="55"/>
      <c r="G507" s="55"/>
      <c r="H507" s="55"/>
      <c r="I507" s="55"/>
    </row>
    <row r="508" spans="1:9">
      <c r="A508" s="55"/>
      <c r="D508" s="55"/>
      <c r="E508" s="55"/>
      <c r="F508" s="55"/>
      <c r="G508" s="55"/>
      <c r="H508" s="55"/>
      <c r="I508" s="55"/>
    </row>
    <row r="509" spans="1:9">
      <c r="A509" s="55"/>
      <c r="D509" s="55"/>
      <c r="E509" s="55"/>
      <c r="F509" s="55"/>
      <c r="G509" s="55"/>
      <c r="H509" s="55"/>
      <c r="I509" s="55"/>
    </row>
    <row r="510" spans="1:9">
      <c r="A510" s="55"/>
      <c r="D510" s="55"/>
      <c r="E510" s="55"/>
      <c r="F510" s="55"/>
      <c r="G510" s="55"/>
      <c r="H510" s="55"/>
      <c r="I510" s="55"/>
    </row>
    <row r="511" spans="1:9">
      <c r="A511" s="55"/>
      <c r="D511" s="55"/>
      <c r="E511" s="55"/>
      <c r="F511" s="55"/>
      <c r="G511" s="55"/>
      <c r="H511" s="55"/>
      <c r="I511" s="55"/>
    </row>
    <row r="512" spans="1:9">
      <c r="A512" s="55"/>
      <c r="D512" s="55"/>
      <c r="E512" s="55"/>
      <c r="F512" s="55"/>
      <c r="G512" s="55"/>
      <c r="H512" s="55"/>
      <c r="I512" s="55"/>
    </row>
    <row r="513" spans="1:9">
      <c r="A513" s="55"/>
      <c r="D513" s="55"/>
      <c r="E513" s="55"/>
      <c r="F513" s="55"/>
      <c r="G513" s="55"/>
      <c r="H513" s="55"/>
      <c r="I513" s="55"/>
    </row>
    <row r="514" spans="1:9">
      <c r="A514" s="55"/>
      <c r="D514" s="55"/>
      <c r="E514" s="55"/>
      <c r="F514" s="55"/>
      <c r="G514" s="55"/>
      <c r="H514" s="55"/>
      <c r="I514" s="55"/>
    </row>
    <row r="515" spans="1:9">
      <c r="A515" s="55"/>
      <c r="D515" s="55"/>
      <c r="E515" s="55"/>
      <c r="F515" s="55"/>
      <c r="G515" s="55"/>
      <c r="H515" s="55"/>
      <c r="I515" s="55"/>
    </row>
    <row r="516" spans="1:9">
      <c r="A516" s="55"/>
      <c r="D516" s="55"/>
      <c r="E516" s="55"/>
      <c r="F516" s="55"/>
      <c r="G516" s="55"/>
      <c r="H516" s="55"/>
      <c r="I516" s="55"/>
    </row>
    <row r="517" spans="1:9">
      <c r="A517" s="55"/>
      <c r="D517" s="55"/>
      <c r="E517" s="55"/>
      <c r="F517" s="55"/>
      <c r="G517" s="55"/>
      <c r="H517" s="55"/>
      <c r="I517" s="55"/>
    </row>
    <row r="518" spans="1:9">
      <c r="A518" s="55"/>
      <c r="D518" s="55"/>
      <c r="E518" s="55"/>
      <c r="F518" s="55"/>
      <c r="G518" s="55"/>
      <c r="H518" s="55"/>
      <c r="I518" s="55"/>
    </row>
    <row r="519" spans="1:9">
      <c r="A519" s="55"/>
      <c r="D519" s="55"/>
      <c r="E519" s="55"/>
      <c r="F519" s="55"/>
      <c r="G519" s="55"/>
      <c r="H519" s="55"/>
      <c r="I519" s="55"/>
    </row>
    <row r="520" spans="1:9">
      <c r="A520" s="55"/>
      <c r="D520" s="55"/>
      <c r="E520" s="55"/>
      <c r="F520" s="55"/>
      <c r="G520" s="55"/>
      <c r="H520" s="55"/>
      <c r="I520" s="55"/>
    </row>
    <row r="521" spans="1:9">
      <c r="A521" s="55"/>
      <c r="D521" s="55"/>
      <c r="E521" s="55"/>
      <c r="F521" s="55"/>
      <c r="G521" s="55"/>
      <c r="H521" s="55"/>
      <c r="I521" s="55"/>
    </row>
    <row r="522" spans="1:9">
      <c r="A522" s="55"/>
      <c r="D522" s="55"/>
      <c r="E522" s="55"/>
      <c r="F522" s="55"/>
      <c r="G522" s="55"/>
      <c r="H522" s="55"/>
      <c r="I522" s="55"/>
    </row>
    <row r="523" spans="1:9">
      <c r="A523" s="55"/>
      <c r="D523" s="55"/>
      <c r="E523" s="55"/>
      <c r="F523" s="55"/>
      <c r="G523" s="55"/>
      <c r="H523" s="55"/>
      <c r="I523" s="55"/>
    </row>
    <row r="524" spans="1:9">
      <c r="A524" s="55"/>
      <c r="D524" s="55"/>
      <c r="E524" s="55"/>
      <c r="F524" s="55"/>
      <c r="G524" s="55"/>
      <c r="H524" s="55"/>
      <c r="I524" s="55"/>
    </row>
    <row r="525" spans="1:9">
      <c r="A525" s="55"/>
      <c r="D525" s="55"/>
      <c r="E525" s="55"/>
      <c r="F525" s="55"/>
      <c r="G525" s="55"/>
      <c r="H525" s="55"/>
      <c r="I525" s="55"/>
    </row>
    <row r="526" spans="1:9">
      <c r="A526" s="55"/>
      <c r="D526" s="55"/>
      <c r="E526" s="55"/>
      <c r="F526" s="55"/>
      <c r="G526" s="55"/>
      <c r="H526" s="55"/>
      <c r="I526" s="55"/>
    </row>
    <row r="527" spans="1:9">
      <c r="A527" s="55"/>
      <c r="D527" s="55"/>
      <c r="E527" s="55"/>
      <c r="F527" s="55"/>
      <c r="G527" s="55"/>
      <c r="H527" s="55"/>
      <c r="I527" s="55"/>
    </row>
    <row r="528" spans="1:9">
      <c r="A528" s="55"/>
      <c r="D528" s="55"/>
      <c r="E528" s="55"/>
      <c r="F528" s="55"/>
      <c r="G528" s="55"/>
      <c r="H528" s="55"/>
      <c r="I528" s="55"/>
    </row>
    <row r="529" spans="1:9">
      <c r="A529" s="55"/>
      <c r="D529" s="55"/>
      <c r="E529" s="55"/>
      <c r="F529" s="55"/>
      <c r="G529" s="55"/>
      <c r="H529" s="55"/>
      <c r="I529" s="55"/>
    </row>
    <row r="530" spans="1:9">
      <c r="A530" s="55"/>
      <c r="D530" s="55"/>
      <c r="E530" s="55"/>
      <c r="F530" s="55"/>
      <c r="G530" s="55"/>
      <c r="H530" s="55"/>
      <c r="I530" s="55"/>
    </row>
    <row r="531" spans="1:9">
      <c r="A531" s="55"/>
      <c r="D531" s="55"/>
      <c r="E531" s="55"/>
      <c r="F531" s="55"/>
      <c r="G531" s="55"/>
      <c r="H531" s="55"/>
      <c r="I531" s="55"/>
    </row>
    <row r="532" spans="1:9">
      <c r="A532" s="55"/>
      <c r="D532" s="55"/>
      <c r="E532" s="55"/>
      <c r="F532" s="55"/>
      <c r="G532" s="55"/>
      <c r="H532" s="55"/>
      <c r="I532" s="55"/>
    </row>
    <row r="533" spans="1:9">
      <c r="A533" s="55"/>
      <c r="D533" s="55"/>
      <c r="E533" s="55"/>
      <c r="F533" s="55"/>
      <c r="G533" s="55"/>
      <c r="H533" s="55"/>
      <c r="I533" s="55"/>
    </row>
    <row r="534" spans="1:9">
      <c r="A534" s="55"/>
      <c r="D534" s="55"/>
      <c r="E534" s="55"/>
      <c r="F534" s="55"/>
      <c r="G534" s="55"/>
      <c r="H534" s="55"/>
      <c r="I534" s="55"/>
    </row>
    <row r="535" spans="1:9">
      <c r="A535" s="55"/>
      <c r="D535" s="55"/>
      <c r="E535" s="55"/>
      <c r="F535" s="55"/>
      <c r="G535" s="55"/>
      <c r="H535" s="55"/>
      <c r="I535" s="55"/>
    </row>
    <row r="536" spans="1:9">
      <c r="A536" s="55"/>
      <c r="D536" s="55"/>
      <c r="E536" s="55"/>
      <c r="F536" s="55"/>
      <c r="G536" s="55"/>
      <c r="H536" s="55"/>
      <c r="I536" s="55"/>
    </row>
    <row r="537" spans="1:9">
      <c r="A537" s="55"/>
      <c r="D537" s="55"/>
      <c r="E537" s="55"/>
      <c r="F537" s="55"/>
      <c r="G537" s="55"/>
      <c r="H537" s="55"/>
      <c r="I537" s="55"/>
    </row>
    <row r="538" spans="1:9">
      <c r="A538" s="55"/>
      <c r="D538" s="55"/>
      <c r="E538" s="55"/>
      <c r="F538" s="55"/>
      <c r="G538" s="55"/>
      <c r="H538" s="55"/>
      <c r="I538" s="55"/>
    </row>
    <row r="539" spans="1:9">
      <c r="A539" s="55"/>
      <c r="D539" s="55"/>
      <c r="E539" s="55"/>
      <c r="F539" s="55"/>
      <c r="G539" s="55"/>
      <c r="H539" s="55"/>
      <c r="I539" s="55"/>
    </row>
    <row r="540" spans="1:9">
      <c r="A540" s="55"/>
      <c r="D540" s="55"/>
      <c r="E540" s="55"/>
      <c r="F540" s="55"/>
      <c r="G540" s="55"/>
      <c r="H540" s="55"/>
      <c r="I540" s="55"/>
    </row>
    <row r="541" spans="1:9">
      <c r="A541" s="55"/>
      <c r="D541" s="55"/>
      <c r="E541" s="55"/>
      <c r="F541" s="55"/>
      <c r="G541" s="55"/>
      <c r="H541" s="55"/>
      <c r="I541" s="55"/>
    </row>
    <row r="542" spans="1:9">
      <c r="A542" s="55"/>
      <c r="D542" s="55"/>
      <c r="E542" s="55"/>
      <c r="F542" s="55"/>
      <c r="G542" s="55"/>
      <c r="H542" s="55"/>
      <c r="I542" s="55"/>
    </row>
    <row r="543" spans="1:9">
      <c r="A543" s="55"/>
      <c r="D543" s="55"/>
      <c r="E543" s="55"/>
      <c r="F543" s="55"/>
      <c r="G543" s="55"/>
      <c r="H543" s="55"/>
      <c r="I543" s="55"/>
    </row>
    <row r="544" spans="1:9">
      <c r="A544" s="55"/>
      <c r="D544" s="55"/>
      <c r="E544" s="55"/>
      <c r="F544" s="55"/>
      <c r="G544" s="55"/>
      <c r="H544" s="55"/>
      <c r="I544" s="55"/>
    </row>
    <row r="545" spans="1:9">
      <c r="A545" s="55"/>
      <c r="D545" s="55"/>
      <c r="E545" s="55"/>
      <c r="F545" s="55"/>
      <c r="G545" s="55"/>
      <c r="H545" s="55"/>
      <c r="I545" s="55"/>
    </row>
    <row r="546" spans="1:9">
      <c r="A546" s="55"/>
      <c r="D546" s="55"/>
      <c r="E546" s="55"/>
      <c r="F546" s="55"/>
      <c r="G546" s="55"/>
      <c r="H546" s="55"/>
      <c r="I546" s="55"/>
    </row>
    <row r="547" spans="1:9">
      <c r="A547" s="55"/>
      <c r="D547" s="55"/>
      <c r="E547" s="55"/>
      <c r="F547" s="55"/>
      <c r="G547" s="55"/>
      <c r="H547" s="55"/>
      <c r="I547" s="55"/>
    </row>
    <row r="548" spans="1:9">
      <c r="A548" s="55"/>
      <c r="D548" s="55"/>
      <c r="E548" s="55"/>
      <c r="F548" s="55"/>
      <c r="G548" s="55"/>
      <c r="H548" s="55"/>
      <c r="I548" s="55"/>
    </row>
    <row r="549" spans="1:9">
      <c r="A549" s="55"/>
      <c r="D549" s="55"/>
      <c r="E549" s="55"/>
      <c r="F549" s="55"/>
      <c r="G549" s="55"/>
      <c r="H549" s="55"/>
      <c r="I549" s="55"/>
    </row>
    <row r="550" spans="1:9">
      <c r="A550" s="55"/>
      <c r="D550" s="55"/>
      <c r="E550" s="55"/>
      <c r="F550" s="55"/>
      <c r="G550" s="55"/>
      <c r="H550" s="55"/>
      <c r="I550" s="55"/>
    </row>
    <row r="551" spans="1:9">
      <c r="A551" s="55"/>
      <c r="D551" s="55"/>
      <c r="E551" s="55"/>
      <c r="F551" s="55"/>
      <c r="G551" s="55"/>
      <c r="H551" s="55"/>
      <c r="I551" s="55"/>
    </row>
    <row r="552" spans="1:9">
      <c r="A552" s="55"/>
      <c r="D552" s="55"/>
      <c r="E552" s="55"/>
      <c r="F552" s="55"/>
      <c r="G552" s="55"/>
      <c r="H552" s="55"/>
      <c r="I552" s="55"/>
    </row>
    <row r="553" spans="1:9">
      <c r="A553" s="55"/>
      <c r="D553" s="55"/>
      <c r="E553" s="55"/>
      <c r="F553" s="55"/>
      <c r="G553" s="55"/>
      <c r="H553" s="55"/>
      <c r="I553" s="55"/>
    </row>
    <row r="554" spans="1:9">
      <c r="A554" s="55"/>
      <c r="D554" s="55"/>
      <c r="E554" s="55"/>
      <c r="F554" s="55"/>
      <c r="G554" s="55"/>
      <c r="H554" s="55"/>
      <c r="I554" s="55"/>
    </row>
    <row r="555" spans="1:9">
      <c r="A555" s="55"/>
      <c r="D555" s="55"/>
      <c r="E555" s="55"/>
      <c r="F555" s="55"/>
      <c r="G555" s="55"/>
      <c r="H555" s="55"/>
      <c r="I555" s="55"/>
    </row>
    <row r="556" spans="1:9">
      <c r="A556" s="55"/>
      <c r="D556" s="55"/>
      <c r="E556" s="55"/>
      <c r="F556" s="55"/>
      <c r="G556" s="55"/>
      <c r="H556" s="55"/>
      <c r="I556" s="55"/>
    </row>
    <row r="557" spans="1:9">
      <c r="A557" s="55"/>
      <c r="D557" s="55"/>
      <c r="E557" s="55"/>
      <c r="F557" s="55"/>
      <c r="G557" s="55"/>
      <c r="H557" s="55"/>
      <c r="I557" s="55"/>
    </row>
    <row r="558" spans="1:9">
      <c r="A558" s="55"/>
      <c r="D558" s="55"/>
      <c r="E558" s="55"/>
      <c r="F558" s="55"/>
      <c r="G558" s="55"/>
      <c r="H558" s="55"/>
      <c r="I558" s="55"/>
    </row>
    <row r="559" spans="1:9">
      <c r="A559" s="55"/>
      <c r="D559" s="55"/>
      <c r="E559" s="55"/>
      <c r="F559" s="55"/>
      <c r="G559" s="55"/>
      <c r="H559" s="55"/>
      <c r="I559" s="55"/>
    </row>
    <row r="560" spans="1:9">
      <c r="A560" s="55"/>
      <c r="D560" s="55"/>
      <c r="E560" s="55"/>
      <c r="F560" s="55"/>
      <c r="G560" s="55"/>
      <c r="H560" s="55"/>
      <c r="I560" s="55"/>
    </row>
    <row r="561" spans="1:9">
      <c r="A561" s="55"/>
      <c r="D561" s="55"/>
      <c r="E561" s="55"/>
      <c r="F561" s="55"/>
      <c r="G561" s="55"/>
      <c r="H561" s="55"/>
      <c r="I561" s="55"/>
    </row>
    <row r="562" spans="1:9">
      <c r="A562" s="55"/>
      <c r="D562" s="55"/>
      <c r="E562" s="55"/>
      <c r="F562" s="55"/>
      <c r="G562" s="55"/>
      <c r="H562" s="55"/>
      <c r="I562" s="55"/>
    </row>
    <row r="563" spans="1:9">
      <c r="A563" s="55"/>
      <c r="D563" s="55"/>
      <c r="E563" s="55"/>
      <c r="F563" s="55"/>
      <c r="G563" s="55"/>
      <c r="H563" s="55"/>
      <c r="I563" s="55"/>
    </row>
    <row r="564" spans="1:9">
      <c r="A564" s="55"/>
      <c r="D564" s="55"/>
      <c r="E564" s="55"/>
      <c r="F564" s="55"/>
      <c r="G564" s="55"/>
      <c r="H564" s="55"/>
      <c r="I564" s="55"/>
    </row>
    <row r="565" spans="1:9">
      <c r="A565" s="55"/>
      <c r="D565" s="55"/>
      <c r="E565" s="55"/>
      <c r="F565" s="55"/>
      <c r="G565" s="55"/>
      <c r="H565" s="55"/>
      <c r="I565" s="55"/>
    </row>
    <row r="566" spans="1:9">
      <c r="A566" s="55"/>
      <c r="D566" s="55"/>
      <c r="E566" s="55"/>
      <c r="F566" s="55"/>
      <c r="G566" s="55"/>
      <c r="H566" s="55"/>
      <c r="I566" s="55"/>
    </row>
    <row r="567" spans="1:9">
      <c r="A567" s="55"/>
      <c r="D567" s="55"/>
      <c r="E567" s="55"/>
      <c r="F567" s="55"/>
      <c r="G567" s="55"/>
      <c r="H567" s="55"/>
      <c r="I567" s="55"/>
    </row>
    <row r="568" spans="1:9">
      <c r="A568" s="55"/>
      <c r="D568" s="55"/>
      <c r="E568" s="55"/>
      <c r="F568" s="55"/>
      <c r="G568" s="55"/>
      <c r="H568" s="55"/>
      <c r="I568" s="55"/>
    </row>
    <row r="569" spans="1:9">
      <c r="A569" s="55"/>
      <c r="D569" s="55"/>
      <c r="E569" s="55"/>
      <c r="F569" s="55"/>
      <c r="G569" s="55"/>
      <c r="H569" s="55"/>
      <c r="I569" s="55"/>
    </row>
    <row r="570" spans="1:9">
      <c r="A570" s="55"/>
      <c r="D570" s="55"/>
      <c r="E570" s="55"/>
      <c r="F570" s="55"/>
      <c r="G570" s="55"/>
      <c r="H570" s="55"/>
      <c r="I570" s="55"/>
    </row>
    <row r="571" spans="1:9">
      <c r="A571" s="55"/>
      <c r="D571" s="55"/>
      <c r="E571" s="55"/>
      <c r="F571" s="55"/>
      <c r="G571" s="55"/>
      <c r="H571" s="55"/>
      <c r="I571" s="55"/>
    </row>
    <row r="572" spans="1:9">
      <c r="A572" s="55"/>
      <c r="D572" s="55"/>
      <c r="E572" s="55"/>
      <c r="F572" s="55"/>
      <c r="G572" s="55"/>
      <c r="H572" s="55"/>
      <c r="I572" s="55"/>
    </row>
    <row r="573" spans="1:9">
      <c r="A573" s="55"/>
      <c r="D573" s="55"/>
      <c r="E573" s="55"/>
      <c r="F573" s="55"/>
      <c r="G573" s="55"/>
      <c r="H573" s="55"/>
      <c r="I573" s="55"/>
    </row>
    <row r="574" spans="1:9">
      <c r="A574" s="55"/>
      <c r="D574" s="55"/>
      <c r="E574" s="55"/>
      <c r="F574" s="55"/>
      <c r="G574" s="55"/>
      <c r="H574" s="55"/>
      <c r="I574" s="55"/>
    </row>
    <row r="575" spans="1:9">
      <c r="A575" s="55"/>
      <c r="D575" s="55"/>
      <c r="E575" s="55"/>
      <c r="F575" s="55"/>
      <c r="G575" s="55"/>
      <c r="H575" s="55"/>
      <c r="I575" s="55"/>
    </row>
    <row r="576" spans="1:9">
      <c r="A576" s="55"/>
      <c r="D576" s="55"/>
      <c r="E576" s="55"/>
      <c r="F576" s="55"/>
      <c r="G576" s="55"/>
      <c r="H576" s="55"/>
      <c r="I576" s="55"/>
    </row>
    <row r="577" spans="1:9">
      <c r="A577" s="55"/>
      <c r="D577" s="55"/>
      <c r="E577" s="55"/>
      <c r="F577" s="55"/>
      <c r="G577" s="55"/>
      <c r="H577" s="55"/>
      <c r="I577" s="55"/>
    </row>
    <row r="578" spans="1:9">
      <c r="A578" s="55"/>
      <c r="D578" s="55"/>
      <c r="E578" s="55"/>
      <c r="F578" s="55"/>
      <c r="G578" s="55"/>
      <c r="H578" s="55"/>
      <c r="I578" s="55"/>
    </row>
    <row r="579" spans="1:9">
      <c r="A579" s="55"/>
      <c r="D579" s="55"/>
      <c r="E579" s="55"/>
      <c r="F579" s="55"/>
      <c r="G579" s="55"/>
      <c r="H579" s="55"/>
      <c r="I579" s="55"/>
    </row>
    <row r="580" spans="1:9">
      <c r="A580" s="55"/>
      <c r="D580" s="55"/>
      <c r="E580" s="55"/>
      <c r="F580" s="55"/>
      <c r="G580" s="55"/>
      <c r="H580" s="55"/>
      <c r="I580" s="55"/>
    </row>
    <row r="581" spans="1:9">
      <c r="A581" s="55"/>
      <c r="D581" s="55"/>
      <c r="E581" s="55"/>
      <c r="F581" s="55"/>
      <c r="G581" s="55"/>
      <c r="H581" s="55"/>
      <c r="I581" s="55"/>
    </row>
    <row r="582" spans="1:9">
      <c r="A582" s="55"/>
      <c r="D582" s="55"/>
      <c r="E582" s="55"/>
      <c r="F582" s="55"/>
      <c r="G582" s="55"/>
      <c r="H582" s="55"/>
      <c r="I582" s="55"/>
    </row>
    <row r="583" spans="1:9">
      <c r="A583" s="55"/>
      <c r="D583" s="55"/>
      <c r="E583" s="55"/>
      <c r="F583" s="55"/>
      <c r="G583" s="55"/>
      <c r="H583" s="55"/>
      <c r="I583" s="55"/>
    </row>
    <row r="584" spans="1:9">
      <c r="A584" s="55"/>
      <c r="D584" s="55"/>
      <c r="E584" s="55"/>
      <c r="F584" s="55"/>
      <c r="G584" s="55"/>
      <c r="H584" s="55"/>
      <c r="I584" s="55"/>
    </row>
    <row r="585" spans="1:9">
      <c r="A585" s="55"/>
      <c r="D585" s="55"/>
      <c r="E585" s="55"/>
      <c r="F585" s="55"/>
      <c r="G585" s="55"/>
      <c r="H585" s="55"/>
      <c r="I585" s="55"/>
    </row>
    <row r="586" spans="1:9">
      <c r="A586" s="55"/>
      <c r="D586" s="55"/>
      <c r="E586" s="55"/>
      <c r="F586" s="55"/>
      <c r="G586" s="55"/>
      <c r="H586" s="55"/>
      <c r="I586" s="55"/>
    </row>
    <row r="587" spans="1:9">
      <c r="A587" s="55"/>
      <c r="D587" s="55"/>
      <c r="E587" s="55"/>
      <c r="F587" s="55"/>
      <c r="G587" s="55"/>
      <c r="H587" s="55"/>
      <c r="I587" s="55"/>
    </row>
    <row r="588" spans="1:9">
      <c r="A588" s="55"/>
      <c r="D588" s="55"/>
      <c r="E588" s="55"/>
      <c r="F588" s="55"/>
      <c r="G588" s="55"/>
      <c r="H588" s="55"/>
      <c r="I588" s="55"/>
    </row>
    <row r="589" spans="1:9">
      <c r="A589" s="55"/>
      <c r="D589" s="55"/>
      <c r="E589" s="55"/>
      <c r="F589" s="55"/>
      <c r="G589" s="55"/>
      <c r="H589" s="55"/>
      <c r="I589" s="55"/>
    </row>
    <row r="590" spans="1:9">
      <c r="A590" s="55"/>
      <c r="D590" s="55"/>
      <c r="E590" s="55"/>
      <c r="F590" s="55"/>
      <c r="G590" s="55"/>
      <c r="H590" s="55"/>
      <c r="I590" s="55"/>
    </row>
    <row r="591" spans="1:9">
      <c r="A591" s="55"/>
      <c r="D591" s="55"/>
      <c r="E591" s="55"/>
      <c r="F591" s="55"/>
      <c r="G591" s="55"/>
      <c r="H591" s="55"/>
      <c r="I591" s="55"/>
    </row>
    <row r="592" spans="1:9">
      <c r="A592" s="55"/>
      <c r="D592" s="55"/>
      <c r="E592" s="55"/>
      <c r="F592" s="55"/>
      <c r="G592" s="55"/>
      <c r="H592" s="55"/>
      <c r="I592" s="55"/>
    </row>
    <row r="593" spans="1:9">
      <c r="A593" s="55"/>
      <c r="D593" s="55"/>
      <c r="E593" s="55"/>
      <c r="F593" s="55"/>
      <c r="G593" s="55"/>
      <c r="H593" s="55"/>
      <c r="I593" s="55"/>
    </row>
    <row r="594" spans="1:9">
      <c r="A594" s="55"/>
      <c r="D594" s="55"/>
      <c r="E594" s="55"/>
      <c r="F594" s="55"/>
      <c r="G594" s="55"/>
      <c r="H594" s="55"/>
      <c r="I594" s="55"/>
    </row>
    <row r="595" spans="1:9">
      <c r="A595" s="55"/>
      <c r="D595" s="55"/>
      <c r="E595" s="55"/>
      <c r="F595" s="55"/>
      <c r="G595" s="55"/>
      <c r="H595" s="55"/>
      <c r="I595" s="55"/>
    </row>
    <row r="596" spans="1:9">
      <c r="A596" s="55"/>
      <c r="D596" s="55"/>
      <c r="E596" s="55"/>
      <c r="F596" s="55"/>
      <c r="G596" s="55"/>
      <c r="H596" s="55"/>
      <c r="I596" s="55"/>
    </row>
    <row r="597" spans="1:9">
      <c r="A597" s="55"/>
      <c r="D597" s="55"/>
      <c r="E597" s="55"/>
      <c r="F597" s="55"/>
      <c r="G597" s="55"/>
      <c r="H597" s="55"/>
      <c r="I597" s="55"/>
    </row>
    <row r="598" spans="1:9">
      <c r="A598" s="55"/>
      <c r="D598" s="55"/>
      <c r="E598" s="55"/>
      <c r="F598" s="55"/>
      <c r="G598" s="55"/>
      <c r="H598" s="55"/>
      <c r="I598" s="55"/>
    </row>
    <row r="599" spans="1:9">
      <c r="A599" s="55"/>
      <c r="D599" s="55"/>
      <c r="E599" s="55"/>
      <c r="F599" s="55"/>
      <c r="G599" s="55"/>
      <c r="H599" s="55"/>
      <c r="I599" s="55"/>
    </row>
    <row r="600" spans="1:9">
      <c r="A600" s="55"/>
      <c r="D600" s="55"/>
      <c r="E600" s="55"/>
      <c r="F600" s="55"/>
      <c r="G600" s="55"/>
      <c r="H600" s="55"/>
      <c r="I600" s="55"/>
    </row>
    <row r="601" spans="1:9">
      <c r="A601" s="55"/>
      <c r="D601" s="55"/>
      <c r="E601" s="55"/>
      <c r="F601" s="55"/>
      <c r="G601" s="55"/>
      <c r="H601" s="55"/>
      <c r="I601" s="55"/>
    </row>
    <row r="602" spans="1:9">
      <c r="A602" s="55"/>
      <c r="D602" s="55"/>
      <c r="E602" s="55"/>
      <c r="F602" s="55"/>
      <c r="G602" s="55"/>
      <c r="H602" s="55"/>
      <c r="I602" s="55"/>
    </row>
    <row r="603" spans="1:9">
      <c r="A603" s="55"/>
      <c r="D603" s="55"/>
      <c r="E603" s="55"/>
      <c r="F603" s="55"/>
      <c r="G603" s="55"/>
      <c r="H603" s="55"/>
      <c r="I603" s="55"/>
    </row>
    <row r="604" spans="1:9">
      <c r="A604" s="55"/>
      <c r="D604" s="55"/>
      <c r="E604" s="55"/>
      <c r="F604" s="55"/>
      <c r="G604" s="55"/>
      <c r="H604" s="55"/>
      <c r="I604" s="55"/>
    </row>
    <row r="605" spans="1:9">
      <c r="A605" s="55"/>
      <c r="D605" s="55"/>
      <c r="E605" s="55"/>
      <c r="F605" s="55"/>
      <c r="G605" s="55"/>
      <c r="H605" s="55"/>
      <c r="I605" s="55"/>
    </row>
    <row r="606" spans="1:9">
      <c r="A606" s="55"/>
      <c r="D606" s="55"/>
      <c r="E606" s="55"/>
      <c r="F606" s="55"/>
      <c r="G606" s="55"/>
      <c r="H606" s="55"/>
      <c r="I606" s="55"/>
    </row>
    <row r="607" spans="1:9">
      <c r="A607" s="55"/>
      <c r="D607" s="55"/>
      <c r="E607" s="55"/>
      <c r="F607" s="55"/>
      <c r="G607" s="55"/>
      <c r="H607" s="55"/>
      <c r="I607" s="55"/>
    </row>
    <row r="608" spans="1:9">
      <c r="A608" s="55"/>
      <c r="D608" s="55"/>
      <c r="E608" s="55"/>
      <c r="F608" s="55"/>
      <c r="G608" s="55"/>
      <c r="H608" s="55"/>
      <c r="I608" s="55"/>
    </row>
    <row r="609" spans="1:9">
      <c r="A609" s="55"/>
      <c r="D609" s="55"/>
      <c r="E609" s="55"/>
      <c r="F609" s="55"/>
      <c r="G609" s="55"/>
      <c r="H609" s="55"/>
      <c r="I609" s="55"/>
    </row>
    <row r="610" spans="1:9">
      <c r="A610" s="55"/>
      <c r="D610" s="55"/>
      <c r="E610" s="55"/>
      <c r="F610" s="55"/>
      <c r="G610" s="55"/>
      <c r="H610" s="55"/>
      <c r="I610" s="55"/>
    </row>
    <row r="611" spans="1:9">
      <c r="A611" s="55"/>
      <c r="D611" s="55"/>
      <c r="E611" s="55"/>
      <c r="F611" s="55"/>
      <c r="G611" s="55"/>
      <c r="H611" s="55"/>
      <c r="I611" s="55"/>
    </row>
    <row r="612" spans="1:9">
      <c r="A612" s="55"/>
      <c r="D612" s="55"/>
      <c r="E612" s="55"/>
      <c r="F612" s="55"/>
      <c r="G612" s="55"/>
      <c r="H612" s="55"/>
      <c r="I612" s="55"/>
    </row>
    <row r="613" spans="1:9">
      <c r="A613" s="55"/>
      <c r="D613" s="55"/>
      <c r="E613" s="55"/>
      <c r="F613" s="55"/>
      <c r="G613" s="55"/>
      <c r="H613" s="55"/>
      <c r="I613" s="55"/>
    </row>
    <row r="614" spans="1:9">
      <c r="A614" s="55"/>
      <c r="D614" s="55"/>
      <c r="E614" s="55"/>
      <c r="F614" s="55"/>
      <c r="G614" s="55"/>
      <c r="H614" s="55"/>
      <c r="I614" s="55"/>
    </row>
    <row r="615" spans="1:9">
      <c r="A615" s="55"/>
      <c r="D615" s="55"/>
      <c r="E615" s="55"/>
      <c r="F615" s="55"/>
      <c r="G615" s="55"/>
      <c r="H615" s="55"/>
      <c r="I615" s="55"/>
    </row>
    <row r="616" spans="1:9">
      <c r="A616" s="55"/>
      <c r="D616" s="55"/>
      <c r="E616" s="55"/>
      <c r="F616" s="55"/>
      <c r="G616" s="55"/>
      <c r="H616" s="55"/>
      <c r="I616" s="55"/>
    </row>
    <row r="617" spans="1:9">
      <c r="A617" s="55"/>
      <c r="D617" s="55"/>
      <c r="E617" s="55"/>
      <c r="F617" s="55"/>
      <c r="G617" s="55"/>
      <c r="H617" s="55"/>
      <c r="I617" s="55"/>
    </row>
    <row r="618" spans="1:9">
      <c r="A618" s="55"/>
      <c r="D618" s="55"/>
      <c r="E618" s="55"/>
      <c r="F618" s="55"/>
      <c r="G618" s="55"/>
      <c r="H618" s="55"/>
      <c r="I618" s="55"/>
    </row>
    <row r="619" spans="1:9">
      <c r="A619" s="55"/>
      <c r="D619" s="55"/>
      <c r="E619" s="55"/>
      <c r="F619" s="55"/>
      <c r="G619" s="55"/>
      <c r="H619" s="55"/>
      <c r="I619" s="55"/>
    </row>
    <row r="620" spans="1:9">
      <c r="A620" s="55"/>
      <c r="D620" s="55"/>
      <c r="E620" s="55"/>
      <c r="F620" s="55"/>
      <c r="G620" s="55"/>
      <c r="H620" s="55"/>
      <c r="I620" s="55"/>
    </row>
    <row r="621" spans="1:9">
      <c r="A621" s="55"/>
      <c r="D621" s="55"/>
      <c r="E621" s="55"/>
      <c r="F621" s="55"/>
      <c r="G621" s="55"/>
      <c r="H621" s="55"/>
      <c r="I621" s="55"/>
    </row>
    <row r="622" spans="1:9">
      <c r="A622" s="55"/>
      <c r="D622" s="55"/>
      <c r="E622" s="55"/>
      <c r="F622" s="55"/>
      <c r="G622" s="55"/>
      <c r="H622" s="55"/>
      <c r="I622" s="55"/>
    </row>
    <row r="623" spans="1:9">
      <c r="A623" s="55"/>
      <c r="D623" s="55"/>
      <c r="E623" s="55"/>
      <c r="F623" s="55"/>
      <c r="G623" s="55"/>
      <c r="H623" s="55"/>
      <c r="I623" s="55"/>
    </row>
    <row r="624" spans="1:9">
      <c r="A624" s="55"/>
      <c r="D624" s="55"/>
      <c r="E624" s="55"/>
      <c r="F624" s="55"/>
      <c r="G624" s="55"/>
      <c r="H624" s="55"/>
      <c r="I624" s="55"/>
    </row>
    <row r="625" spans="1:9">
      <c r="A625" s="55"/>
      <c r="D625" s="55"/>
      <c r="E625" s="55"/>
      <c r="F625" s="55"/>
      <c r="G625" s="55"/>
      <c r="H625" s="55"/>
      <c r="I625" s="55"/>
    </row>
    <row r="626" spans="1:9">
      <c r="A626" s="55"/>
      <c r="D626" s="55"/>
      <c r="E626" s="55"/>
      <c r="F626" s="55"/>
      <c r="G626" s="55"/>
      <c r="H626" s="55"/>
      <c r="I626" s="55"/>
    </row>
    <row r="627" spans="1:9">
      <c r="A627" s="55"/>
      <c r="D627" s="55"/>
      <c r="E627" s="55"/>
      <c r="F627" s="55"/>
      <c r="G627" s="55"/>
      <c r="H627" s="55"/>
      <c r="I627" s="55"/>
    </row>
    <row r="628" spans="1:9">
      <c r="A628" s="55"/>
      <c r="D628" s="55"/>
      <c r="E628" s="55"/>
      <c r="F628" s="55"/>
      <c r="G628" s="55"/>
      <c r="H628" s="55"/>
      <c r="I628" s="55"/>
    </row>
    <row r="629" spans="1:9">
      <c r="A629" s="55"/>
      <c r="D629" s="55"/>
      <c r="E629" s="55"/>
      <c r="F629" s="55"/>
      <c r="G629" s="55"/>
      <c r="H629" s="55"/>
      <c r="I629" s="55"/>
    </row>
    <row r="630" spans="1:9">
      <c r="A630" s="55"/>
      <c r="D630" s="55"/>
      <c r="E630" s="55"/>
      <c r="F630" s="55"/>
      <c r="G630" s="55"/>
      <c r="H630" s="55"/>
      <c r="I630" s="55"/>
    </row>
    <row r="631" spans="1:9">
      <c r="A631" s="55"/>
      <c r="D631" s="55"/>
      <c r="E631" s="55"/>
      <c r="F631" s="55"/>
      <c r="G631" s="55"/>
      <c r="H631" s="55"/>
      <c r="I631" s="55"/>
    </row>
    <row r="632" spans="1:9">
      <c r="A632" s="55"/>
      <c r="D632" s="55"/>
      <c r="E632" s="55"/>
      <c r="F632" s="55"/>
      <c r="G632" s="55"/>
      <c r="H632" s="55"/>
      <c r="I632" s="55"/>
    </row>
    <row r="633" spans="1:9">
      <c r="A633" s="55"/>
      <c r="D633" s="55"/>
      <c r="E633" s="55"/>
      <c r="F633" s="55"/>
      <c r="G633" s="55"/>
      <c r="H633" s="55"/>
      <c r="I633" s="55"/>
    </row>
    <row r="634" spans="1:9">
      <c r="A634" s="55"/>
      <c r="D634" s="55"/>
      <c r="E634" s="55"/>
      <c r="F634" s="55"/>
      <c r="G634" s="55"/>
      <c r="H634" s="55"/>
      <c r="I634" s="55"/>
    </row>
    <row r="635" spans="1:9">
      <c r="A635" s="55"/>
      <c r="D635" s="55"/>
      <c r="E635" s="55"/>
      <c r="F635" s="55"/>
      <c r="G635" s="55"/>
      <c r="H635" s="55"/>
      <c r="I635" s="55"/>
    </row>
    <row r="636" spans="1:9">
      <c r="A636" s="55"/>
      <c r="D636" s="55"/>
      <c r="E636" s="55"/>
      <c r="F636" s="55"/>
      <c r="G636" s="55"/>
      <c r="H636" s="55"/>
      <c r="I636" s="55"/>
    </row>
    <row r="637" spans="1:9">
      <c r="A637" s="55"/>
      <c r="D637" s="55"/>
      <c r="E637" s="55"/>
      <c r="F637" s="55"/>
      <c r="G637" s="55"/>
      <c r="H637" s="55"/>
      <c r="I637" s="55"/>
    </row>
    <row r="638" spans="1:9">
      <c r="A638" s="55"/>
      <c r="D638" s="55"/>
      <c r="E638" s="55"/>
      <c r="F638" s="55"/>
      <c r="G638" s="55"/>
      <c r="H638" s="55"/>
      <c r="I638" s="55"/>
    </row>
    <row r="639" spans="1:9">
      <c r="A639" s="55"/>
      <c r="D639" s="55"/>
      <c r="E639" s="55"/>
      <c r="F639" s="55"/>
      <c r="G639" s="55"/>
      <c r="H639" s="55"/>
      <c r="I639" s="55"/>
    </row>
    <row r="640" spans="1:9">
      <c r="A640" s="55"/>
      <c r="D640" s="55"/>
      <c r="E640" s="55"/>
      <c r="F640" s="55"/>
      <c r="G640" s="55"/>
      <c r="H640" s="55"/>
      <c r="I640" s="55"/>
    </row>
    <row r="641" spans="1:9">
      <c r="A641" s="55"/>
      <c r="D641" s="55"/>
      <c r="E641" s="55"/>
      <c r="F641" s="55"/>
      <c r="G641" s="55"/>
      <c r="H641" s="55"/>
      <c r="I641" s="55"/>
    </row>
    <row r="642" spans="1:9">
      <c r="A642" s="55"/>
      <c r="D642" s="55"/>
      <c r="E642" s="55"/>
      <c r="F642" s="55"/>
      <c r="G642" s="55"/>
      <c r="H642" s="55"/>
      <c r="I642" s="55"/>
    </row>
    <row r="643" spans="1:9">
      <c r="A643" s="55"/>
      <c r="D643" s="55"/>
      <c r="E643" s="55"/>
      <c r="F643" s="55"/>
      <c r="G643" s="55"/>
      <c r="H643" s="55"/>
      <c r="I643" s="55"/>
    </row>
    <row r="644" spans="1:9">
      <c r="A644" s="55"/>
      <c r="D644" s="55"/>
      <c r="E644" s="55"/>
      <c r="F644" s="55"/>
      <c r="G644" s="55"/>
      <c r="H644" s="55"/>
      <c r="I644" s="55"/>
    </row>
    <row r="645" spans="1:9">
      <c r="A645" s="55"/>
      <c r="D645" s="55"/>
      <c r="E645" s="55"/>
      <c r="F645" s="55"/>
      <c r="G645" s="55"/>
      <c r="H645" s="55"/>
      <c r="I645" s="55"/>
    </row>
    <row r="646" spans="1:9">
      <c r="A646" s="55"/>
      <c r="D646" s="55"/>
      <c r="E646" s="55"/>
      <c r="F646" s="55"/>
      <c r="G646" s="55"/>
      <c r="H646" s="55"/>
      <c r="I646" s="55"/>
    </row>
    <row r="647" spans="1:9">
      <c r="A647" s="55"/>
      <c r="D647" s="55"/>
      <c r="E647" s="55"/>
      <c r="F647" s="55"/>
      <c r="G647" s="55"/>
      <c r="H647" s="55"/>
      <c r="I647" s="55"/>
    </row>
    <row r="648" spans="1:9">
      <c r="A648" s="55"/>
      <c r="D648" s="55"/>
      <c r="E648" s="55"/>
      <c r="F648" s="55"/>
      <c r="G648" s="55"/>
      <c r="H648" s="55"/>
      <c r="I648" s="55"/>
    </row>
    <row r="649" spans="1:9">
      <c r="A649" s="55"/>
      <c r="D649" s="55"/>
      <c r="E649" s="55"/>
      <c r="F649" s="55"/>
      <c r="G649" s="55"/>
      <c r="H649" s="55"/>
      <c r="I649" s="55"/>
    </row>
    <row r="650" spans="1:9">
      <c r="A650" s="55"/>
      <c r="D650" s="55"/>
      <c r="E650" s="55"/>
      <c r="F650" s="55"/>
      <c r="G650" s="55"/>
      <c r="H650" s="55"/>
      <c r="I650" s="55"/>
    </row>
    <row r="651" spans="1:9">
      <c r="A651" s="55"/>
      <c r="D651" s="55"/>
      <c r="E651" s="55"/>
      <c r="F651" s="55"/>
      <c r="G651" s="55"/>
      <c r="H651" s="55"/>
      <c r="I651" s="55"/>
    </row>
    <row r="652" spans="1:9">
      <c r="A652" s="55"/>
      <c r="D652" s="55"/>
      <c r="E652" s="55"/>
      <c r="F652" s="55"/>
      <c r="G652" s="55"/>
      <c r="H652" s="55"/>
      <c r="I652" s="55"/>
    </row>
    <row r="653" spans="1:9">
      <c r="A653" s="55"/>
      <c r="D653" s="55"/>
      <c r="E653" s="55"/>
      <c r="F653" s="55"/>
      <c r="G653" s="55"/>
      <c r="H653" s="55"/>
      <c r="I653" s="55"/>
    </row>
    <row r="654" spans="1:9">
      <c r="A654" s="55"/>
      <c r="D654" s="55"/>
      <c r="E654" s="55"/>
      <c r="F654" s="55"/>
      <c r="G654" s="55"/>
      <c r="H654" s="55"/>
      <c r="I654" s="55"/>
    </row>
    <row r="655" spans="1:9">
      <c r="A655" s="55"/>
      <c r="D655" s="55"/>
      <c r="E655" s="55"/>
      <c r="F655" s="55"/>
      <c r="G655" s="55"/>
      <c r="H655" s="55"/>
      <c r="I655" s="55"/>
    </row>
    <row r="656" spans="1:9">
      <c r="A656" s="55"/>
      <c r="D656" s="55"/>
      <c r="E656" s="55"/>
      <c r="F656" s="55"/>
      <c r="G656" s="55"/>
      <c r="H656" s="55"/>
      <c r="I656" s="55"/>
    </row>
    <row r="657" spans="1:9">
      <c r="A657" s="55"/>
      <c r="D657" s="55"/>
      <c r="E657" s="55"/>
      <c r="F657" s="55"/>
      <c r="G657" s="55"/>
      <c r="H657" s="55"/>
      <c r="I657" s="55"/>
    </row>
    <row r="658" spans="1:9">
      <c r="A658" s="55"/>
      <c r="D658" s="55"/>
      <c r="E658" s="55"/>
      <c r="F658" s="55"/>
      <c r="G658" s="55"/>
      <c r="H658" s="55"/>
      <c r="I658" s="55"/>
    </row>
    <row r="659" spans="1:9">
      <c r="A659" s="55"/>
      <c r="D659" s="55"/>
      <c r="E659" s="55"/>
      <c r="F659" s="55"/>
      <c r="G659" s="55"/>
      <c r="H659" s="55"/>
      <c r="I659" s="55"/>
    </row>
    <row r="660" spans="1:9">
      <c r="A660" s="55"/>
      <c r="D660" s="55"/>
      <c r="E660" s="55"/>
      <c r="F660" s="55"/>
      <c r="G660" s="55"/>
      <c r="H660" s="55"/>
      <c r="I660" s="55"/>
    </row>
    <row r="661" spans="1:9">
      <c r="A661" s="55"/>
      <c r="D661" s="55"/>
      <c r="E661" s="55"/>
      <c r="F661" s="55"/>
      <c r="G661" s="55"/>
      <c r="H661" s="55"/>
      <c r="I661" s="55"/>
    </row>
    <row r="662" spans="1:9">
      <c r="A662" s="55"/>
      <c r="D662" s="55"/>
      <c r="E662" s="55"/>
      <c r="F662" s="55"/>
      <c r="G662" s="55"/>
      <c r="H662" s="55"/>
      <c r="I662" s="55"/>
    </row>
    <row r="663" spans="1:9">
      <c r="A663" s="55"/>
      <c r="D663" s="55"/>
      <c r="E663" s="55"/>
      <c r="F663" s="55"/>
      <c r="G663" s="55"/>
      <c r="H663" s="55"/>
      <c r="I663" s="55"/>
    </row>
    <row r="664" spans="1:9">
      <c r="A664" s="55"/>
      <c r="D664" s="55"/>
      <c r="E664" s="55"/>
      <c r="F664" s="55"/>
      <c r="G664" s="55"/>
      <c r="H664" s="55"/>
      <c r="I664" s="55"/>
    </row>
    <row r="665" spans="1:9">
      <c r="A665" s="55"/>
      <c r="D665" s="55"/>
      <c r="E665" s="55"/>
      <c r="F665" s="55"/>
      <c r="G665" s="55"/>
      <c r="H665" s="55"/>
      <c r="I665" s="55"/>
    </row>
    <row r="666" spans="1:9">
      <c r="A666" s="55"/>
      <c r="D666" s="55"/>
      <c r="E666" s="55"/>
      <c r="F666" s="55"/>
      <c r="G666" s="55"/>
      <c r="H666" s="55"/>
      <c r="I666" s="55"/>
    </row>
    <row r="667" spans="1:9">
      <c r="A667" s="55"/>
      <c r="D667" s="55"/>
      <c r="E667" s="55"/>
      <c r="F667" s="55"/>
      <c r="G667" s="55"/>
      <c r="H667" s="55"/>
      <c r="I667" s="55"/>
    </row>
    <row r="668" spans="1:9">
      <c r="A668" s="55"/>
      <c r="D668" s="55"/>
      <c r="E668" s="55"/>
      <c r="F668" s="55"/>
      <c r="G668" s="55"/>
      <c r="H668" s="55"/>
      <c r="I668" s="55"/>
    </row>
    <row r="669" spans="1:9">
      <c r="A669" s="55"/>
      <c r="D669" s="55"/>
      <c r="E669" s="55"/>
      <c r="F669" s="55"/>
      <c r="G669" s="55"/>
      <c r="H669" s="55"/>
      <c r="I669" s="55"/>
    </row>
    <row r="670" spans="1:9">
      <c r="A670" s="55"/>
      <c r="D670" s="55"/>
      <c r="E670" s="55"/>
      <c r="F670" s="55"/>
      <c r="G670" s="55"/>
      <c r="H670" s="55"/>
      <c r="I670" s="55"/>
    </row>
    <row r="671" spans="1:9">
      <c r="A671" s="55"/>
      <c r="D671" s="55"/>
      <c r="E671" s="55"/>
      <c r="F671" s="55"/>
      <c r="G671" s="55"/>
      <c r="H671" s="55"/>
      <c r="I671" s="55"/>
    </row>
    <row r="672" spans="1:9">
      <c r="A672" s="55"/>
      <c r="D672" s="55"/>
      <c r="E672" s="55"/>
      <c r="F672" s="55"/>
      <c r="G672" s="55"/>
      <c r="H672" s="55"/>
      <c r="I672" s="55"/>
    </row>
    <row r="673" spans="1:9">
      <c r="A673" s="55"/>
      <c r="D673" s="55"/>
      <c r="E673" s="55"/>
      <c r="F673" s="55"/>
      <c r="G673" s="55"/>
      <c r="H673" s="55"/>
      <c r="I673" s="55"/>
    </row>
    <row r="674" spans="1:9">
      <c r="A674" s="55"/>
      <c r="D674" s="55"/>
      <c r="E674" s="55"/>
      <c r="F674" s="55"/>
      <c r="G674" s="55"/>
      <c r="H674" s="55"/>
      <c r="I674" s="55"/>
    </row>
    <row r="675" spans="1:9">
      <c r="A675" s="55"/>
      <c r="D675" s="55"/>
      <c r="E675" s="55"/>
      <c r="F675" s="55"/>
      <c r="G675" s="55"/>
      <c r="H675" s="55"/>
      <c r="I675" s="55"/>
    </row>
    <row r="676" spans="1:9">
      <c r="A676" s="55"/>
      <c r="D676" s="55"/>
      <c r="E676" s="55"/>
      <c r="F676" s="55"/>
      <c r="G676" s="55"/>
      <c r="H676" s="55"/>
      <c r="I676" s="55"/>
    </row>
    <row r="677" spans="1:9">
      <c r="A677" s="55"/>
      <c r="D677" s="55"/>
      <c r="E677" s="55"/>
      <c r="F677" s="55"/>
      <c r="G677" s="55"/>
      <c r="H677" s="55"/>
      <c r="I677" s="55"/>
    </row>
    <row r="678" spans="1:9">
      <c r="A678" s="55"/>
      <c r="D678" s="55"/>
      <c r="E678" s="55"/>
      <c r="F678" s="55"/>
      <c r="G678" s="55"/>
      <c r="H678" s="55"/>
      <c r="I678" s="55"/>
    </row>
    <row r="679" spans="1:9">
      <c r="A679" s="55"/>
      <c r="D679" s="55"/>
      <c r="E679" s="55"/>
      <c r="F679" s="55"/>
      <c r="G679" s="55"/>
      <c r="H679" s="55"/>
      <c r="I679" s="55"/>
    </row>
    <row r="680" spans="1:9">
      <c r="A680" s="55"/>
      <c r="D680" s="55"/>
      <c r="E680" s="55"/>
      <c r="F680" s="55"/>
      <c r="G680" s="55"/>
      <c r="H680" s="55"/>
      <c r="I680" s="55"/>
    </row>
    <row r="681" spans="1:9">
      <c r="A681" s="55"/>
      <c r="D681" s="55"/>
      <c r="E681" s="55"/>
      <c r="F681" s="55"/>
      <c r="G681" s="55"/>
      <c r="H681" s="55"/>
      <c r="I681" s="55"/>
    </row>
    <row r="682" spans="1:9">
      <c r="A682" s="55"/>
      <c r="D682" s="55"/>
      <c r="E682" s="55"/>
      <c r="F682" s="55"/>
      <c r="G682" s="55"/>
      <c r="H682" s="55"/>
      <c r="I682" s="55"/>
    </row>
    <row r="683" spans="1:9">
      <c r="A683" s="55"/>
      <c r="D683" s="55"/>
      <c r="E683" s="55"/>
      <c r="F683" s="55"/>
      <c r="G683" s="55"/>
      <c r="H683" s="55"/>
      <c r="I683" s="55"/>
    </row>
    <row r="684" spans="1:9">
      <c r="A684" s="55"/>
      <c r="D684" s="55"/>
      <c r="E684" s="55"/>
      <c r="F684" s="55"/>
      <c r="G684" s="55"/>
      <c r="H684" s="55"/>
      <c r="I684" s="55"/>
    </row>
    <row r="685" spans="1:9">
      <c r="A685" s="55"/>
      <c r="D685" s="55"/>
      <c r="E685" s="55"/>
      <c r="F685" s="55"/>
      <c r="G685" s="55"/>
      <c r="H685" s="55"/>
      <c r="I685" s="55"/>
    </row>
    <row r="686" spans="1:9">
      <c r="A686" s="55"/>
      <c r="D686" s="55"/>
      <c r="E686" s="55"/>
      <c r="F686" s="55"/>
      <c r="G686" s="55"/>
      <c r="H686" s="55"/>
      <c r="I686" s="55"/>
    </row>
    <row r="687" spans="1:9">
      <c r="A687" s="55"/>
      <c r="D687" s="55"/>
      <c r="E687" s="55"/>
      <c r="F687" s="55"/>
      <c r="G687" s="55"/>
      <c r="H687" s="55"/>
      <c r="I687" s="55"/>
    </row>
    <row r="688" spans="1:9">
      <c r="A688" s="55"/>
      <c r="D688" s="55"/>
      <c r="E688" s="55"/>
      <c r="F688" s="55"/>
      <c r="G688" s="55"/>
      <c r="H688" s="55"/>
      <c r="I688" s="55"/>
    </row>
    <row r="689" spans="1:9">
      <c r="A689" s="55"/>
      <c r="D689" s="55"/>
      <c r="E689" s="55"/>
      <c r="F689" s="55"/>
      <c r="G689" s="55"/>
      <c r="H689" s="55"/>
      <c r="I689" s="55"/>
    </row>
    <row r="690" spans="1:9">
      <c r="A690" s="55"/>
      <c r="D690" s="55"/>
      <c r="E690" s="55"/>
      <c r="F690" s="55"/>
      <c r="G690" s="55"/>
      <c r="H690" s="55"/>
      <c r="I690" s="55"/>
    </row>
    <row r="691" spans="1:9">
      <c r="A691" s="55"/>
      <c r="D691" s="55"/>
      <c r="E691" s="55"/>
      <c r="F691" s="55"/>
      <c r="G691" s="55"/>
      <c r="H691" s="55"/>
      <c r="I691" s="55"/>
    </row>
    <row r="692" spans="1:9">
      <c r="A692" s="55"/>
      <c r="D692" s="55"/>
      <c r="E692" s="55"/>
      <c r="F692" s="55"/>
      <c r="G692" s="55"/>
      <c r="H692" s="55"/>
      <c r="I692" s="55"/>
    </row>
    <row r="693" spans="1:9">
      <c r="A693" s="55"/>
      <c r="D693" s="55"/>
      <c r="E693" s="55"/>
      <c r="F693" s="55"/>
      <c r="G693" s="55"/>
      <c r="H693" s="55"/>
      <c r="I693" s="55"/>
    </row>
    <row r="694" spans="1:9">
      <c r="A694" s="55"/>
      <c r="D694" s="55"/>
      <c r="E694" s="55"/>
      <c r="F694" s="55"/>
      <c r="G694" s="55"/>
      <c r="H694" s="55"/>
      <c r="I694" s="55"/>
    </row>
    <row r="695" spans="1:9">
      <c r="A695" s="55"/>
      <c r="D695" s="55"/>
      <c r="E695" s="55"/>
      <c r="F695" s="55"/>
      <c r="G695" s="55"/>
      <c r="H695" s="55"/>
      <c r="I695" s="55"/>
    </row>
    <row r="696" spans="1:9">
      <c r="A696" s="55"/>
      <c r="D696" s="55"/>
      <c r="E696" s="55"/>
      <c r="F696" s="55"/>
      <c r="G696" s="55"/>
      <c r="H696" s="55"/>
      <c r="I696" s="55"/>
    </row>
    <row r="697" spans="1:9">
      <c r="A697" s="55"/>
      <c r="D697" s="55"/>
      <c r="E697" s="55"/>
      <c r="F697" s="55"/>
      <c r="G697" s="55"/>
      <c r="H697" s="55"/>
      <c r="I697" s="55"/>
    </row>
    <row r="698" spans="1:9">
      <c r="A698" s="55"/>
      <c r="D698" s="55"/>
      <c r="E698" s="55"/>
      <c r="F698" s="55"/>
      <c r="G698" s="55"/>
      <c r="H698" s="55"/>
      <c r="I698" s="55"/>
    </row>
    <row r="699" spans="1:9">
      <c r="A699" s="55"/>
      <c r="D699" s="55"/>
      <c r="E699" s="55"/>
      <c r="F699" s="55"/>
      <c r="G699" s="55"/>
      <c r="H699" s="55"/>
      <c r="I699" s="55"/>
    </row>
    <row r="700" spans="1:9">
      <c r="A700" s="55"/>
      <c r="D700" s="55"/>
      <c r="E700" s="55"/>
      <c r="F700" s="55"/>
      <c r="G700" s="55"/>
      <c r="H700" s="55"/>
      <c r="I700" s="55"/>
    </row>
    <row r="701" spans="1:9">
      <c r="A701" s="55"/>
      <c r="D701" s="55"/>
      <c r="E701" s="55"/>
      <c r="F701" s="55"/>
      <c r="G701" s="55"/>
      <c r="H701" s="55"/>
      <c r="I701" s="55"/>
    </row>
    <row r="702" spans="1:9">
      <c r="A702" s="55"/>
      <c r="D702" s="55"/>
      <c r="E702" s="55"/>
      <c r="F702" s="55"/>
      <c r="G702" s="55"/>
      <c r="H702" s="55"/>
      <c r="I702" s="55"/>
    </row>
    <row r="703" spans="1:9">
      <c r="A703" s="55"/>
      <c r="D703" s="55"/>
      <c r="E703" s="55"/>
      <c r="F703" s="55"/>
      <c r="G703" s="55"/>
      <c r="H703" s="55"/>
      <c r="I703" s="55"/>
    </row>
    <row r="704" spans="1:9">
      <c r="A704" s="55"/>
      <c r="D704" s="55"/>
      <c r="E704" s="55"/>
      <c r="F704" s="55"/>
      <c r="G704" s="55"/>
      <c r="H704" s="55"/>
      <c r="I704" s="55"/>
    </row>
    <row r="705" spans="1:9">
      <c r="A705" s="55"/>
      <c r="D705" s="55"/>
      <c r="E705" s="55"/>
      <c r="F705" s="55"/>
      <c r="G705" s="55"/>
      <c r="H705" s="55"/>
      <c r="I705" s="55"/>
    </row>
    <row r="706" spans="1:9">
      <c r="A706" s="55"/>
      <c r="D706" s="55"/>
      <c r="E706" s="55"/>
      <c r="F706" s="55"/>
      <c r="G706" s="55"/>
      <c r="H706" s="55"/>
      <c r="I706" s="55"/>
    </row>
    <row r="707" spans="1:9">
      <c r="A707" s="55"/>
      <c r="D707" s="55"/>
      <c r="E707" s="55"/>
      <c r="F707" s="55"/>
      <c r="G707" s="55"/>
      <c r="H707" s="55"/>
      <c r="I707" s="55"/>
    </row>
    <row r="708" spans="1:9">
      <c r="A708" s="55"/>
      <c r="D708" s="55"/>
      <c r="E708" s="55"/>
      <c r="F708" s="55"/>
      <c r="G708" s="55"/>
      <c r="H708" s="55"/>
      <c r="I708" s="55"/>
    </row>
    <row r="709" spans="1:9">
      <c r="A709" s="55"/>
      <c r="D709" s="55"/>
      <c r="E709" s="55"/>
      <c r="F709" s="55"/>
      <c r="G709" s="55"/>
      <c r="H709" s="55"/>
      <c r="I709" s="55"/>
    </row>
    <row r="710" spans="1:9">
      <c r="A710" s="55"/>
      <c r="D710" s="55"/>
      <c r="E710" s="55"/>
      <c r="F710" s="55"/>
      <c r="G710" s="55"/>
      <c r="H710" s="55"/>
      <c r="I710" s="55"/>
    </row>
    <row r="711" spans="1:9">
      <c r="A711" s="55"/>
      <c r="D711" s="55"/>
      <c r="E711" s="55"/>
      <c r="F711" s="55"/>
      <c r="G711" s="55"/>
      <c r="H711" s="55"/>
      <c r="I711" s="55"/>
    </row>
    <row r="712" spans="1:9">
      <c r="A712" s="55"/>
      <c r="D712" s="55"/>
      <c r="E712" s="55"/>
      <c r="F712" s="55"/>
      <c r="G712" s="55"/>
      <c r="H712" s="55"/>
      <c r="I712" s="55"/>
    </row>
    <row r="713" spans="1:9">
      <c r="A713" s="55"/>
      <c r="D713" s="55"/>
      <c r="E713" s="55"/>
      <c r="F713" s="55"/>
      <c r="G713" s="55"/>
      <c r="H713" s="55"/>
      <c r="I713" s="55"/>
    </row>
    <row r="714" spans="1:9">
      <c r="A714" s="55"/>
      <c r="D714" s="55"/>
      <c r="E714" s="55"/>
      <c r="F714" s="55"/>
      <c r="G714" s="55"/>
      <c r="H714" s="55"/>
      <c r="I714" s="55"/>
    </row>
    <row r="715" spans="1:9">
      <c r="A715" s="55"/>
      <c r="D715" s="55"/>
      <c r="E715" s="55"/>
      <c r="F715" s="55"/>
      <c r="G715" s="55"/>
      <c r="H715" s="55"/>
      <c r="I715" s="55"/>
    </row>
    <row r="716" spans="1:9">
      <c r="A716" s="55"/>
      <c r="D716" s="55"/>
      <c r="E716" s="55"/>
      <c r="F716" s="55"/>
      <c r="G716" s="55"/>
      <c r="H716" s="55"/>
      <c r="I716" s="55"/>
    </row>
    <row r="717" spans="1:9">
      <c r="A717" s="55"/>
      <c r="D717" s="55"/>
      <c r="E717" s="55"/>
      <c r="F717" s="55"/>
      <c r="G717" s="55"/>
      <c r="H717" s="55"/>
      <c r="I717" s="55"/>
    </row>
    <row r="718" spans="1:9">
      <c r="A718" s="55"/>
      <c r="D718" s="55"/>
      <c r="E718" s="55"/>
      <c r="F718" s="55"/>
      <c r="G718" s="55"/>
      <c r="H718" s="55"/>
      <c r="I718" s="55"/>
    </row>
    <row r="719" spans="1:9">
      <c r="A719" s="55"/>
      <c r="D719" s="55"/>
      <c r="E719" s="55"/>
      <c r="F719" s="55"/>
      <c r="G719" s="55"/>
      <c r="H719" s="55"/>
      <c r="I719" s="55"/>
    </row>
    <row r="720" spans="1:9">
      <c r="A720" s="55"/>
      <c r="D720" s="55"/>
      <c r="E720" s="55"/>
      <c r="F720" s="55"/>
      <c r="G720" s="55"/>
      <c r="H720" s="55"/>
      <c r="I720" s="55"/>
    </row>
    <row r="721" spans="1:9">
      <c r="A721" s="55"/>
      <c r="D721" s="55"/>
      <c r="E721" s="55"/>
      <c r="F721" s="55"/>
      <c r="G721" s="55"/>
      <c r="H721" s="55"/>
      <c r="I721" s="55"/>
    </row>
    <row r="722" spans="1:9">
      <c r="A722" s="55"/>
      <c r="D722" s="55"/>
      <c r="E722" s="55"/>
      <c r="F722" s="55"/>
      <c r="G722" s="55"/>
      <c r="H722" s="55"/>
      <c r="I722" s="55"/>
    </row>
    <row r="723" spans="1:9">
      <c r="A723" s="55"/>
      <c r="D723" s="55"/>
      <c r="E723" s="55"/>
      <c r="F723" s="55"/>
      <c r="G723" s="55"/>
      <c r="H723" s="55"/>
      <c r="I723" s="55"/>
    </row>
    <row r="724" spans="1:9">
      <c r="A724" s="55"/>
      <c r="D724" s="55"/>
      <c r="E724" s="55"/>
      <c r="F724" s="55"/>
      <c r="G724" s="55"/>
      <c r="H724" s="55"/>
      <c r="I724" s="55"/>
    </row>
    <row r="725" spans="1:9">
      <c r="A725" s="55"/>
      <c r="D725" s="55"/>
      <c r="E725" s="55"/>
      <c r="F725" s="55"/>
      <c r="G725" s="55"/>
      <c r="H725" s="55"/>
      <c r="I725" s="55"/>
    </row>
    <row r="726" spans="1:9">
      <c r="A726" s="55"/>
      <c r="D726" s="55"/>
      <c r="E726" s="55"/>
      <c r="F726" s="55"/>
      <c r="G726" s="55"/>
      <c r="H726" s="55"/>
      <c r="I726" s="55"/>
    </row>
    <row r="727" spans="1:9">
      <c r="A727" s="55"/>
      <c r="D727" s="55"/>
      <c r="E727" s="55"/>
      <c r="F727" s="55"/>
      <c r="G727" s="55"/>
      <c r="H727" s="55"/>
      <c r="I727" s="55"/>
    </row>
    <row r="728" spans="1:9">
      <c r="A728" s="55"/>
      <c r="D728" s="55"/>
      <c r="E728" s="55"/>
      <c r="F728" s="55"/>
      <c r="G728" s="55"/>
      <c r="H728" s="55"/>
      <c r="I728" s="55"/>
    </row>
    <row r="729" spans="1:9">
      <c r="A729" s="55"/>
      <c r="D729" s="55"/>
      <c r="E729" s="55"/>
      <c r="F729" s="55"/>
      <c r="G729" s="55"/>
      <c r="H729" s="55"/>
      <c r="I729" s="55"/>
    </row>
    <row r="730" spans="1:9">
      <c r="A730" s="55"/>
      <c r="D730" s="55"/>
      <c r="E730" s="55"/>
      <c r="F730" s="55"/>
      <c r="G730" s="55"/>
      <c r="H730" s="55"/>
      <c r="I730" s="55"/>
    </row>
    <row r="731" spans="1:9">
      <c r="A731" s="55"/>
      <c r="D731" s="55"/>
      <c r="E731" s="55"/>
      <c r="F731" s="55"/>
      <c r="G731" s="55"/>
      <c r="H731" s="55"/>
      <c r="I731" s="55"/>
    </row>
    <row r="732" spans="1:9">
      <c r="A732" s="55"/>
      <c r="D732" s="55"/>
      <c r="E732" s="55"/>
      <c r="F732" s="55"/>
      <c r="G732" s="55"/>
      <c r="H732" s="55"/>
      <c r="I732" s="55"/>
    </row>
    <row r="733" spans="1:9">
      <c r="A733" s="55"/>
      <c r="D733" s="55"/>
      <c r="E733" s="55"/>
      <c r="F733" s="55"/>
      <c r="G733" s="55"/>
      <c r="H733" s="55"/>
      <c r="I733" s="55"/>
    </row>
    <row r="734" spans="1:9">
      <c r="A734" s="55"/>
      <c r="D734" s="55"/>
      <c r="E734" s="55"/>
      <c r="F734" s="55"/>
      <c r="G734" s="55"/>
      <c r="H734" s="55"/>
      <c r="I734" s="55"/>
    </row>
    <row r="735" spans="1:9">
      <c r="A735" s="55"/>
      <c r="D735" s="55"/>
      <c r="E735" s="55"/>
      <c r="F735" s="55"/>
      <c r="G735" s="55"/>
      <c r="H735" s="55"/>
      <c r="I735" s="55"/>
    </row>
    <row r="736" spans="1:9">
      <c r="A736" s="55"/>
      <c r="D736" s="55"/>
      <c r="E736" s="55"/>
      <c r="F736" s="55"/>
      <c r="G736" s="55"/>
      <c r="H736" s="55"/>
      <c r="I736" s="55"/>
    </row>
    <row r="737" spans="1:9">
      <c r="A737" s="55"/>
      <c r="D737" s="55"/>
      <c r="E737" s="55"/>
      <c r="F737" s="55"/>
      <c r="G737" s="55"/>
      <c r="H737" s="55"/>
      <c r="I737" s="55"/>
    </row>
    <row r="738" spans="1:9">
      <c r="A738" s="55"/>
      <c r="D738" s="55"/>
      <c r="E738" s="55"/>
      <c r="F738" s="55"/>
      <c r="G738" s="55"/>
      <c r="H738" s="55"/>
      <c r="I738" s="55"/>
    </row>
    <row r="739" spans="1:9">
      <c r="A739" s="55"/>
      <c r="D739" s="55"/>
      <c r="E739" s="55"/>
      <c r="F739" s="55"/>
      <c r="G739" s="55"/>
      <c r="H739" s="55"/>
      <c r="I739" s="55"/>
    </row>
    <row r="740" spans="1:9">
      <c r="A740" s="55"/>
      <c r="D740" s="55"/>
      <c r="E740" s="55"/>
      <c r="F740" s="55"/>
      <c r="G740" s="55"/>
      <c r="H740" s="55"/>
      <c r="I740" s="55"/>
    </row>
    <row r="741" spans="1:9">
      <c r="A741" s="55"/>
      <c r="D741" s="55"/>
      <c r="E741" s="55"/>
      <c r="F741" s="55"/>
      <c r="G741" s="55"/>
      <c r="H741" s="55"/>
      <c r="I741" s="55"/>
    </row>
    <row r="742" spans="1:9">
      <c r="A742" s="55"/>
      <c r="D742" s="55"/>
      <c r="E742" s="55"/>
      <c r="F742" s="55"/>
      <c r="G742" s="55"/>
      <c r="H742" s="55"/>
      <c r="I742" s="55"/>
    </row>
    <row r="743" spans="1:9">
      <c r="A743" s="55"/>
      <c r="D743" s="55"/>
      <c r="E743" s="55"/>
      <c r="F743" s="55"/>
      <c r="G743" s="55"/>
      <c r="H743" s="55"/>
      <c r="I743" s="55"/>
    </row>
    <row r="744" spans="1:9">
      <c r="A744" s="55"/>
      <c r="D744" s="55"/>
      <c r="E744" s="55"/>
      <c r="F744" s="55"/>
      <c r="G744" s="55"/>
      <c r="H744" s="55"/>
      <c r="I744" s="55"/>
    </row>
    <row r="745" spans="1:9">
      <c r="A745" s="55"/>
      <c r="D745" s="55"/>
      <c r="E745" s="55"/>
      <c r="F745" s="55"/>
      <c r="G745" s="55"/>
      <c r="H745" s="55"/>
      <c r="I745" s="55"/>
    </row>
    <row r="746" spans="1:9">
      <c r="A746" s="55"/>
      <c r="D746" s="55"/>
      <c r="E746" s="55"/>
      <c r="F746" s="55"/>
      <c r="G746" s="55"/>
      <c r="H746" s="55"/>
      <c r="I746" s="55"/>
    </row>
    <row r="747" spans="1:9">
      <c r="A747" s="55"/>
      <c r="D747" s="55"/>
      <c r="E747" s="55"/>
      <c r="F747" s="55"/>
      <c r="G747" s="55"/>
      <c r="H747" s="55"/>
      <c r="I747" s="55"/>
    </row>
    <row r="748" spans="1:9">
      <c r="A748" s="55"/>
      <c r="D748" s="55"/>
      <c r="E748" s="55"/>
      <c r="F748" s="55"/>
      <c r="G748" s="55"/>
      <c r="H748" s="55"/>
      <c r="I748" s="55"/>
    </row>
    <row r="749" spans="1:9">
      <c r="A749" s="55"/>
      <c r="D749" s="55"/>
      <c r="E749" s="55"/>
      <c r="F749" s="55"/>
      <c r="G749" s="55"/>
      <c r="H749" s="55"/>
      <c r="I749" s="55"/>
    </row>
    <row r="750" spans="1:9">
      <c r="A750" s="55"/>
      <c r="D750" s="55"/>
      <c r="E750" s="55"/>
      <c r="F750" s="55"/>
      <c r="G750" s="55"/>
      <c r="H750" s="55"/>
      <c r="I750" s="55"/>
    </row>
    <row r="751" spans="1:9">
      <c r="A751" s="55"/>
      <c r="D751" s="55"/>
      <c r="E751" s="55"/>
      <c r="F751" s="55"/>
      <c r="G751" s="55"/>
      <c r="H751" s="55"/>
      <c r="I751" s="55"/>
    </row>
    <row r="752" spans="1:9">
      <c r="A752" s="55"/>
      <c r="D752" s="55"/>
      <c r="E752" s="55"/>
      <c r="F752" s="55"/>
      <c r="G752" s="55"/>
      <c r="H752" s="55"/>
      <c r="I752" s="55"/>
    </row>
    <row r="753" spans="1:9">
      <c r="A753" s="55"/>
      <c r="D753" s="55"/>
      <c r="E753" s="55"/>
      <c r="F753" s="55"/>
      <c r="G753" s="55"/>
      <c r="H753" s="55"/>
      <c r="I753" s="55"/>
    </row>
    <row r="754" spans="1:9">
      <c r="A754" s="55"/>
      <c r="D754" s="55"/>
      <c r="E754" s="55"/>
      <c r="F754" s="55"/>
      <c r="G754" s="55"/>
      <c r="H754" s="55"/>
      <c r="I754" s="55"/>
    </row>
    <row r="755" spans="1:9">
      <c r="A755" s="55"/>
      <c r="D755" s="55"/>
      <c r="E755" s="55"/>
      <c r="F755" s="55"/>
      <c r="G755" s="55"/>
      <c r="H755" s="55"/>
      <c r="I755" s="55"/>
    </row>
    <row r="756" spans="1:9">
      <c r="A756" s="55"/>
      <c r="D756" s="55"/>
      <c r="E756" s="55"/>
      <c r="F756" s="55"/>
      <c r="G756" s="55"/>
      <c r="H756" s="55"/>
      <c r="I756" s="55"/>
    </row>
    <row r="757" spans="1:9">
      <c r="A757" s="55"/>
      <c r="D757" s="55"/>
      <c r="E757" s="55"/>
      <c r="F757" s="55"/>
      <c r="G757" s="55"/>
      <c r="H757" s="55"/>
      <c r="I757" s="55"/>
    </row>
    <row r="758" spans="1:9">
      <c r="A758" s="55"/>
      <c r="D758" s="55"/>
      <c r="E758" s="55"/>
      <c r="F758" s="55"/>
      <c r="G758" s="55"/>
      <c r="H758" s="55"/>
      <c r="I758" s="55"/>
    </row>
    <row r="759" spans="1:9">
      <c r="A759" s="55"/>
      <c r="D759" s="55"/>
      <c r="E759" s="55"/>
      <c r="F759" s="55"/>
      <c r="G759" s="55"/>
      <c r="H759" s="55"/>
      <c r="I759" s="55"/>
    </row>
    <row r="760" spans="1:9">
      <c r="A760" s="55"/>
      <c r="D760" s="55"/>
      <c r="E760" s="55"/>
      <c r="F760" s="55"/>
      <c r="G760" s="55"/>
      <c r="H760" s="55"/>
      <c r="I760" s="55"/>
    </row>
    <row r="761" spans="1:9">
      <c r="A761" s="55"/>
      <c r="D761" s="55"/>
      <c r="E761" s="55"/>
      <c r="F761" s="55"/>
      <c r="G761" s="55"/>
      <c r="H761" s="55"/>
      <c r="I761" s="55"/>
    </row>
    <row r="762" spans="1:9">
      <c r="A762" s="55"/>
      <c r="D762" s="55"/>
      <c r="E762" s="55"/>
      <c r="F762" s="55"/>
      <c r="G762" s="55"/>
      <c r="H762" s="55"/>
      <c r="I762" s="55"/>
    </row>
    <row r="763" spans="1:9">
      <c r="A763" s="55"/>
      <c r="D763" s="55"/>
      <c r="E763" s="55"/>
      <c r="F763" s="55"/>
      <c r="G763" s="55"/>
      <c r="H763" s="55"/>
      <c r="I763" s="55"/>
    </row>
    <row r="764" spans="1:9">
      <c r="A764" s="55"/>
      <c r="D764" s="55"/>
      <c r="E764" s="55"/>
      <c r="F764" s="55"/>
      <c r="G764" s="55"/>
      <c r="H764" s="55"/>
      <c r="I764" s="55"/>
    </row>
    <row r="765" spans="1:9">
      <c r="A765" s="55"/>
      <c r="D765" s="55"/>
      <c r="E765" s="55"/>
      <c r="F765" s="55"/>
      <c r="G765" s="55"/>
      <c r="H765" s="55"/>
      <c r="I765" s="55"/>
    </row>
    <row r="766" spans="1:9">
      <c r="A766" s="55"/>
      <c r="D766" s="55"/>
      <c r="E766" s="55"/>
      <c r="F766" s="55"/>
      <c r="G766" s="55"/>
      <c r="H766" s="55"/>
      <c r="I766" s="55"/>
    </row>
    <row r="767" spans="1:9">
      <c r="A767" s="55"/>
      <c r="D767" s="55"/>
      <c r="E767" s="55"/>
      <c r="F767" s="55"/>
      <c r="G767" s="55"/>
      <c r="H767" s="55"/>
      <c r="I767" s="55"/>
    </row>
    <row r="768" spans="1:9">
      <c r="A768" s="55"/>
      <c r="D768" s="55"/>
      <c r="E768" s="55"/>
      <c r="F768" s="55"/>
      <c r="G768" s="55"/>
      <c r="H768" s="55"/>
      <c r="I768" s="55"/>
    </row>
    <row r="769" spans="1:9">
      <c r="A769" s="55"/>
      <c r="D769" s="55"/>
      <c r="E769" s="55"/>
      <c r="F769" s="55"/>
      <c r="G769" s="55"/>
      <c r="H769" s="55"/>
      <c r="I769" s="55"/>
    </row>
    <row r="770" spans="1:9">
      <c r="A770" s="55"/>
      <c r="D770" s="55"/>
      <c r="E770" s="55"/>
      <c r="F770" s="55"/>
      <c r="G770" s="55"/>
      <c r="H770" s="55"/>
      <c r="I770" s="55"/>
    </row>
    <row r="771" spans="1:9">
      <c r="A771" s="55"/>
      <c r="D771" s="55"/>
      <c r="E771" s="55"/>
      <c r="F771" s="55"/>
      <c r="G771" s="55"/>
      <c r="H771" s="55"/>
      <c r="I771" s="55"/>
    </row>
    <row r="772" spans="1:9">
      <c r="A772" s="55"/>
      <c r="D772" s="55"/>
      <c r="E772" s="55"/>
      <c r="F772" s="55"/>
      <c r="G772" s="55"/>
      <c r="H772" s="55"/>
      <c r="I772" s="55"/>
    </row>
    <row r="773" spans="1:9">
      <c r="A773" s="55"/>
      <c r="D773" s="55"/>
      <c r="E773" s="55"/>
      <c r="F773" s="55"/>
      <c r="G773" s="55"/>
      <c r="H773" s="55"/>
      <c r="I773" s="55"/>
    </row>
    <row r="774" spans="1:9">
      <c r="A774" s="55"/>
      <c r="D774" s="55"/>
      <c r="E774" s="55"/>
      <c r="F774" s="55"/>
      <c r="G774" s="55"/>
      <c r="H774" s="55"/>
      <c r="I774" s="55"/>
    </row>
    <row r="775" spans="1:9">
      <c r="A775" s="55"/>
      <c r="D775" s="55"/>
      <c r="E775" s="55"/>
      <c r="F775" s="55"/>
      <c r="G775" s="55"/>
      <c r="H775" s="55"/>
      <c r="I775" s="55"/>
    </row>
    <row r="776" spans="1:9">
      <c r="A776" s="55"/>
      <c r="D776" s="55"/>
      <c r="E776" s="55"/>
      <c r="F776" s="55"/>
      <c r="G776" s="55"/>
      <c r="H776" s="55"/>
      <c r="I776" s="55"/>
    </row>
    <row r="777" spans="1:9">
      <c r="A777" s="55"/>
      <c r="D777" s="55"/>
      <c r="E777" s="55"/>
      <c r="F777" s="55"/>
      <c r="G777" s="55"/>
      <c r="H777" s="55"/>
      <c r="I777" s="55"/>
    </row>
    <row r="778" spans="1:9">
      <c r="A778" s="55"/>
      <c r="D778" s="55"/>
      <c r="E778" s="55"/>
      <c r="F778" s="55"/>
      <c r="G778" s="55"/>
      <c r="H778" s="55"/>
      <c r="I778" s="55"/>
    </row>
    <row r="779" spans="1:9">
      <c r="A779" s="55"/>
      <c r="D779" s="55"/>
      <c r="E779" s="55"/>
      <c r="F779" s="55"/>
      <c r="G779" s="55"/>
      <c r="H779" s="55"/>
      <c r="I779" s="55"/>
    </row>
    <row r="780" spans="1:9">
      <c r="A780" s="55"/>
      <c r="D780" s="55"/>
      <c r="E780" s="55"/>
      <c r="F780" s="55"/>
      <c r="G780" s="55"/>
      <c r="H780" s="55"/>
      <c r="I780" s="55"/>
    </row>
    <row r="781" spans="1:9">
      <c r="A781" s="55"/>
      <c r="D781" s="55"/>
      <c r="E781" s="55"/>
      <c r="F781" s="55"/>
      <c r="G781" s="55"/>
      <c r="H781" s="55"/>
      <c r="I781" s="55"/>
    </row>
    <row r="782" spans="1:9">
      <c r="A782" s="55"/>
      <c r="D782" s="55"/>
      <c r="E782" s="55"/>
      <c r="F782" s="55"/>
      <c r="G782" s="55"/>
      <c r="H782" s="55"/>
      <c r="I782" s="55"/>
    </row>
    <row r="783" spans="1:9">
      <c r="A783" s="55"/>
      <c r="D783" s="55"/>
      <c r="E783" s="55"/>
      <c r="F783" s="55"/>
      <c r="G783" s="55"/>
      <c r="H783" s="55"/>
      <c r="I783" s="55"/>
    </row>
    <row r="784" spans="1:9">
      <c r="A784" s="55"/>
      <c r="D784" s="55"/>
      <c r="E784" s="55"/>
      <c r="F784" s="55"/>
      <c r="G784" s="55"/>
      <c r="H784" s="55"/>
      <c r="I784" s="55"/>
    </row>
    <row r="785" spans="1:9">
      <c r="A785" s="55"/>
      <c r="D785" s="55"/>
      <c r="E785" s="55"/>
      <c r="F785" s="55"/>
      <c r="G785" s="55"/>
      <c r="H785" s="55"/>
      <c r="I785" s="55"/>
    </row>
    <row r="786" spans="1:9">
      <c r="A786" s="55"/>
      <c r="D786" s="55"/>
      <c r="E786" s="55"/>
      <c r="F786" s="55"/>
      <c r="G786" s="55"/>
      <c r="H786" s="55"/>
      <c r="I786" s="55"/>
    </row>
    <row r="787" spans="1:9">
      <c r="A787" s="55"/>
      <c r="D787" s="55"/>
      <c r="E787" s="55"/>
      <c r="F787" s="55"/>
      <c r="G787" s="55"/>
      <c r="H787" s="55"/>
      <c r="I787" s="55"/>
    </row>
    <row r="788" spans="1:9">
      <c r="A788" s="55"/>
      <c r="D788" s="55"/>
      <c r="E788" s="55"/>
      <c r="F788" s="55"/>
      <c r="G788" s="55"/>
      <c r="H788" s="55"/>
      <c r="I788" s="55"/>
    </row>
    <row r="789" spans="1:9">
      <c r="A789" s="55"/>
      <c r="D789" s="55"/>
      <c r="E789" s="55"/>
      <c r="F789" s="55"/>
      <c r="G789" s="55"/>
      <c r="H789" s="55"/>
      <c r="I789" s="55"/>
    </row>
    <row r="790" spans="1:9">
      <c r="A790" s="55"/>
      <c r="D790" s="55"/>
      <c r="E790" s="55"/>
      <c r="F790" s="55"/>
      <c r="G790" s="55"/>
      <c r="H790" s="55"/>
      <c r="I790" s="55"/>
    </row>
    <row r="791" spans="1:9">
      <c r="A791" s="55"/>
      <c r="D791" s="55"/>
      <c r="E791" s="55"/>
      <c r="F791" s="55"/>
      <c r="G791" s="55"/>
      <c r="H791" s="55"/>
      <c r="I791" s="55"/>
    </row>
    <row r="792" spans="1:9">
      <c r="A792" s="55"/>
      <c r="D792" s="55"/>
      <c r="E792" s="55"/>
      <c r="F792" s="55"/>
      <c r="G792" s="55"/>
      <c r="H792" s="55"/>
      <c r="I792" s="55"/>
    </row>
    <row r="793" spans="1:9">
      <c r="A793" s="55"/>
      <c r="D793" s="55"/>
      <c r="E793" s="55"/>
      <c r="F793" s="55"/>
      <c r="G793" s="55"/>
      <c r="H793" s="55"/>
      <c r="I793" s="55"/>
    </row>
    <row r="794" spans="1:9">
      <c r="A794" s="55"/>
      <c r="D794" s="55"/>
      <c r="E794" s="55"/>
      <c r="F794" s="55"/>
      <c r="G794" s="55"/>
      <c r="H794" s="55"/>
      <c r="I794" s="55"/>
    </row>
    <row r="795" spans="1:9">
      <c r="A795" s="55"/>
      <c r="D795" s="55"/>
      <c r="E795" s="55"/>
      <c r="F795" s="55"/>
      <c r="G795" s="55"/>
      <c r="H795" s="55"/>
      <c r="I795" s="55"/>
    </row>
    <row r="796" spans="1:9">
      <c r="A796" s="55"/>
      <c r="D796" s="55"/>
      <c r="E796" s="55"/>
      <c r="F796" s="55"/>
      <c r="G796" s="55"/>
      <c r="H796" s="55"/>
      <c r="I796" s="55"/>
    </row>
    <row r="797" spans="1:9">
      <c r="A797" s="55"/>
      <c r="D797" s="55"/>
      <c r="E797" s="55"/>
      <c r="F797" s="55"/>
      <c r="G797" s="55"/>
      <c r="H797" s="55"/>
      <c r="I797" s="55"/>
    </row>
    <row r="798" spans="1:9">
      <c r="A798" s="55"/>
      <c r="D798" s="55"/>
      <c r="E798" s="55"/>
      <c r="F798" s="55"/>
      <c r="G798" s="55"/>
      <c r="H798" s="55"/>
      <c r="I798" s="55"/>
    </row>
    <row r="799" spans="1:9">
      <c r="A799" s="55"/>
      <c r="D799" s="55"/>
      <c r="E799" s="55"/>
      <c r="F799" s="55"/>
      <c r="G799" s="55"/>
      <c r="H799" s="55"/>
      <c r="I799" s="55"/>
    </row>
    <row r="800" spans="1:9">
      <c r="A800" s="55"/>
      <c r="D800" s="55"/>
      <c r="E800" s="55"/>
      <c r="F800" s="55"/>
      <c r="G800" s="55"/>
      <c r="H800" s="55"/>
      <c r="I800" s="55"/>
    </row>
    <row r="801" spans="1:9">
      <c r="A801" s="55"/>
      <c r="D801" s="55"/>
      <c r="E801" s="55"/>
      <c r="F801" s="55"/>
      <c r="G801" s="55"/>
      <c r="H801" s="55"/>
      <c r="I801" s="55"/>
    </row>
    <row r="802" spans="1:9">
      <c r="A802" s="55"/>
      <c r="D802" s="55"/>
      <c r="E802" s="55"/>
      <c r="F802" s="55"/>
      <c r="G802" s="55"/>
      <c r="H802" s="55"/>
      <c r="I802" s="55"/>
    </row>
    <row r="803" spans="1:9">
      <c r="A803" s="55"/>
      <c r="D803" s="55"/>
      <c r="E803" s="55"/>
      <c r="F803" s="55"/>
      <c r="G803" s="55"/>
      <c r="H803" s="55"/>
      <c r="I803" s="55"/>
    </row>
    <row r="804" spans="1:9">
      <c r="A804" s="55"/>
      <c r="D804" s="55"/>
      <c r="E804" s="55"/>
      <c r="F804" s="55"/>
      <c r="G804" s="55"/>
      <c r="H804" s="55"/>
      <c r="I804" s="55"/>
    </row>
    <row r="805" spans="1:9">
      <c r="A805" s="55"/>
      <c r="D805" s="55"/>
      <c r="E805" s="55"/>
      <c r="F805" s="55"/>
      <c r="G805" s="55"/>
      <c r="H805" s="55"/>
      <c r="I805" s="55"/>
    </row>
    <row r="806" spans="1:9">
      <c r="A806" s="55"/>
      <c r="D806" s="55"/>
      <c r="E806" s="55"/>
      <c r="F806" s="55"/>
      <c r="G806" s="55"/>
      <c r="H806" s="55"/>
      <c r="I806" s="55"/>
    </row>
    <row r="807" spans="1:9">
      <c r="A807" s="55"/>
      <c r="D807" s="55"/>
      <c r="E807" s="55"/>
      <c r="F807" s="55"/>
      <c r="G807" s="55"/>
      <c r="H807" s="55"/>
      <c r="I807" s="55"/>
    </row>
    <row r="808" spans="1:9">
      <c r="A808" s="55"/>
      <c r="D808" s="55"/>
      <c r="E808" s="55"/>
      <c r="F808" s="55"/>
      <c r="G808" s="55"/>
      <c r="H808" s="55"/>
      <c r="I808" s="55"/>
    </row>
    <row r="809" spans="1:9">
      <c r="A809" s="55"/>
      <c r="D809" s="55"/>
      <c r="E809" s="55"/>
      <c r="F809" s="55"/>
      <c r="G809" s="55"/>
      <c r="H809" s="55"/>
      <c r="I809" s="55"/>
    </row>
    <row r="810" spans="1:9">
      <c r="A810" s="55"/>
      <c r="D810" s="55"/>
      <c r="E810" s="55"/>
      <c r="F810" s="55"/>
      <c r="G810" s="55"/>
      <c r="H810" s="55"/>
      <c r="I810" s="55"/>
    </row>
    <row r="811" spans="1:9">
      <c r="A811" s="55"/>
      <c r="D811" s="55"/>
      <c r="E811" s="55"/>
      <c r="F811" s="55"/>
      <c r="G811" s="55"/>
      <c r="H811" s="55"/>
      <c r="I811" s="55"/>
    </row>
    <row r="812" spans="1:9">
      <c r="A812" s="55"/>
      <c r="D812" s="55"/>
      <c r="E812" s="55"/>
      <c r="F812" s="55"/>
      <c r="G812" s="55"/>
      <c r="H812" s="55"/>
      <c r="I812" s="55"/>
    </row>
    <row r="813" spans="1:9">
      <c r="A813" s="55"/>
      <c r="D813" s="55"/>
      <c r="E813" s="55"/>
      <c r="F813" s="55"/>
      <c r="G813" s="55"/>
      <c r="H813" s="55"/>
      <c r="I813" s="55"/>
    </row>
    <row r="814" spans="1:9">
      <c r="A814" s="55"/>
      <c r="D814" s="55"/>
      <c r="E814" s="55"/>
      <c r="F814" s="55"/>
      <c r="G814" s="55"/>
      <c r="H814" s="55"/>
      <c r="I814" s="55"/>
    </row>
    <row r="815" spans="1:9">
      <c r="A815" s="55"/>
      <c r="D815" s="55"/>
      <c r="E815" s="55"/>
      <c r="F815" s="55"/>
      <c r="G815" s="55"/>
      <c r="H815" s="55"/>
      <c r="I815" s="55"/>
    </row>
    <row r="816" spans="1:9">
      <c r="A816" s="55"/>
      <c r="D816" s="55"/>
      <c r="E816" s="55"/>
      <c r="F816" s="55"/>
      <c r="G816" s="55"/>
      <c r="H816" s="55"/>
      <c r="I816" s="55"/>
    </row>
    <row r="817" spans="1:9">
      <c r="A817" s="55"/>
      <c r="D817" s="55"/>
      <c r="E817" s="55"/>
      <c r="F817" s="55"/>
      <c r="G817" s="55"/>
      <c r="H817" s="55"/>
      <c r="I817" s="55"/>
    </row>
    <row r="818" spans="1:9">
      <c r="A818" s="55"/>
      <c r="D818" s="55"/>
      <c r="E818" s="55"/>
      <c r="F818" s="55"/>
      <c r="G818" s="55"/>
      <c r="H818" s="55"/>
      <c r="I818" s="55"/>
    </row>
    <row r="819" spans="1:9">
      <c r="A819" s="55"/>
      <c r="D819" s="55"/>
      <c r="E819" s="55"/>
      <c r="F819" s="55"/>
      <c r="G819" s="55"/>
      <c r="H819" s="55"/>
      <c r="I819" s="55"/>
    </row>
    <row r="820" spans="1:9">
      <c r="A820" s="55"/>
      <c r="D820" s="55"/>
      <c r="E820" s="55"/>
      <c r="F820" s="55"/>
      <c r="G820" s="55"/>
      <c r="H820" s="55"/>
      <c r="I820" s="55"/>
    </row>
    <row r="821" spans="1:9">
      <c r="A821" s="55"/>
      <c r="D821" s="55"/>
      <c r="E821" s="55"/>
      <c r="F821" s="55"/>
      <c r="G821" s="55"/>
      <c r="H821" s="55"/>
      <c r="I821" s="55"/>
    </row>
    <row r="822" spans="1:9">
      <c r="A822" s="55"/>
      <c r="D822" s="55"/>
      <c r="E822" s="55"/>
      <c r="F822" s="55"/>
      <c r="G822" s="55"/>
      <c r="H822" s="55"/>
      <c r="I822" s="55"/>
    </row>
    <row r="823" spans="1:9">
      <c r="A823" s="55"/>
      <c r="D823" s="55"/>
      <c r="E823" s="55"/>
      <c r="F823" s="55"/>
      <c r="G823" s="55"/>
      <c r="H823" s="55"/>
      <c r="I823" s="55"/>
    </row>
    <row r="824" spans="1:9">
      <c r="A824" s="55"/>
      <c r="D824" s="55"/>
      <c r="E824" s="55"/>
      <c r="F824" s="55"/>
      <c r="G824" s="55"/>
      <c r="H824" s="55"/>
      <c r="I824" s="55"/>
    </row>
    <row r="825" spans="1:9">
      <c r="A825" s="55"/>
      <c r="D825" s="55"/>
      <c r="E825" s="55"/>
      <c r="F825" s="55"/>
      <c r="G825" s="55"/>
      <c r="H825" s="55"/>
      <c r="I825" s="55"/>
    </row>
    <row r="826" spans="1:9">
      <c r="A826" s="55"/>
      <c r="D826" s="55"/>
      <c r="E826" s="55"/>
      <c r="F826" s="55"/>
      <c r="G826" s="55"/>
      <c r="H826" s="55"/>
      <c r="I826" s="55"/>
    </row>
    <row r="827" spans="1:9">
      <c r="A827" s="55"/>
      <c r="D827" s="55"/>
      <c r="E827" s="55"/>
      <c r="F827" s="55"/>
      <c r="G827" s="55"/>
      <c r="H827" s="55"/>
      <c r="I827" s="55"/>
    </row>
    <row r="828" spans="1:9">
      <c r="A828" s="55"/>
      <c r="D828" s="55"/>
      <c r="E828" s="55"/>
      <c r="F828" s="55"/>
      <c r="G828" s="55"/>
      <c r="H828" s="55"/>
      <c r="I828" s="55"/>
    </row>
    <row r="829" spans="1:9">
      <c r="A829" s="55"/>
      <c r="D829" s="55"/>
      <c r="E829" s="55"/>
      <c r="F829" s="55"/>
      <c r="G829" s="55"/>
      <c r="H829" s="55"/>
      <c r="I829" s="55"/>
    </row>
    <row r="830" spans="1:9">
      <c r="A830" s="55"/>
      <c r="D830" s="55"/>
      <c r="E830" s="55"/>
      <c r="F830" s="55"/>
      <c r="G830" s="55"/>
      <c r="H830" s="55"/>
      <c r="I830" s="55"/>
    </row>
    <row r="831" spans="1:9">
      <c r="A831" s="55"/>
      <c r="D831" s="55"/>
      <c r="E831" s="55"/>
      <c r="F831" s="55"/>
      <c r="G831" s="55"/>
      <c r="H831" s="55"/>
      <c r="I831" s="55"/>
    </row>
    <row r="832" spans="1:9">
      <c r="A832" s="55"/>
      <c r="D832" s="55"/>
      <c r="E832" s="55"/>
      <c r="F832" s="55"/>
      <c r="G832" s="55"/>
      <c r="H832" s="55"/>
      <c r="I832" s="55"/>
    </row>
    <row r="833" spans="1:9">
      <c r="A833" s="55"/>
      <c r="D833" s="55"/>
      <c r="E833" s="55"/>
      <c r="F833" s="55"/>
      <c r="G833" s="55"/>
      <c r="H833" s="55"/>
      <c r="I833" s="55"/>
    </row>
    <row r="834" spans="1:9">
      <c r="A834" s="55"/>
      <c r="D834" s="55"/>
      <c r="E834" s="55"/>
      <c r="F834" s="55"/>
      <c r="G834" s="55"/>
      <c r="H834" s="55"/>
      <c r="I834" s="55"/>
    </row>
    <row r="835" spans="1:9">
      <c r="A835" s="55"/>
      <c r="D835" s="55"/>
      <c r="E835" s="55"/>
      <c r="F835" s="55"/>
      <c r="G835" s="55"/>
      <c r="H835" s="55"/>
      <c r="I835" s="55"/>
    </row>
    <row r="836" spans="1:9">
      <c r="A836" s="55"/>
      <c r="D836" s="55"/>
      <c r="E836" s="55"/>
      <c r="F836" s="55"/>
      <c r="G836" s="55"/>
      <c r="H836" s="55"/>
      <c r="I836" s="55"/>
    </row>
    <row r="837" spans="1:9">
      <c r="A837" s="55"/>
      <c r="D837" s="55"/>
      <c r="E837" s="55"/>
      <c r="F837" s="55"/>
      <c r="G837" s="55"/>
      <c r="H837" s="55"/>
      <c r="I837" s="55"/>
    </row>
    <row r="838" spans="1:9">
      <c r="A838" s="55"/>
      <c r="D838" s="55"/>
      <c r="E838" s="55"/>
      <c r="F838" s="55"/>
      <c r="G838" s="55"/>
      <c r="H838" s="55"/>
      <c r="I838" s="55"/>
    </row>
    <row r="839" spans="1:9">
      <c r="A839" s="55"/>
      <c r="D839" s="55"/>
      <c r="E839" s="55"/>
      <c r="F839" s="55"/>
      <c r="G839" s="55"/>
      <c r="H839" s="55"/>
      <c r="I839" s="55"/>
    </row>
    <row r="840" spans="1:9">
      <c r="A840" s="55"/>
      <c r="D840" s="55"/>
      <c r="E840" s="55"/>
      <c r="F840" s="55"/>
      <c r="G840" s="55"/>
      <c r="H840" s="55"/>
      <c r="I840" s="55"/>
    </row>
    <row r="841" spans="1:9">
      <c r="A841" s="55"/>
      <c r="D841" s="55"/>
      <c r="E841" s="55"/>
      <c r="F841" s="55"/>
      <c r="G841" s="55"/>
      <c r="H841" s="55"/>
      <c r="I841" s="55"/>
    </row>
    <row r="842" spans="1:9">
      <c r="A842" s="55"/>
      <c r="D842" s="55"/>
      <c r="E842" s="55"/>
      <c r="F842" s="55"/>
      <c r="G842" s="55"/>
      <c r="H842" s="55"/>
      <c r="I842" s="55"/>
    </row>
    <row r="843" spans="1:9">
      <c r="A843" s="55"/>
      <c r="D843" s="55"/>
      <c r="E843" s="55"/>
      <c r="F843" s="55"/>
      <c r="G843" s="55"/>
      <c r="H843" s="55"/>
      <c r="I843" s="55"/>
    </row>
    <row r="844" spans="1:9">
      <c r="A844" s="55"/>
      <c r="D844" s="55"/>
      <c r="E844" s="55"/>
      <c r="F844" s="55"/>
      <c r="G844" s="55"/>
      <c r="H844" s="55"/>
      <c r="I844" s="55"/>
    </row>
    <row r="845" spans="1:9">
      <c r="A845" s="55"/>
      <c r="D845" s="55"/>
      <c r="E845" s="55"/>
      <c r="F845" s="55"/>
      <c r="G845" s="55"/>
      <c r="H845" s="55"/>
      <c r="I845" s="55"/>
    </row>
    <row r="846" spans="1:9">
      <c r="A846" s="55"/>
      <c r="D846" s="55"/>
      <c r="E846" s="55"/>
      <c r="F846" s="55"/>
      <c r="G846" s="55"/>
      <c r="H846" s="55"/>
      <c r="I846" s="55"/>
    </row>
    <row r="847" spans="1:9">
      <c r="A847" s="55"/>
      <c r="D847" s="55"/>
      <c r="E847" s="55"/>
      <c r="F847" s="55"/>
      <c r="G847" s="55"/>
      <c r="H847" s="55"/>
      <c r="I847" s="55"/>
    </row>
    <row r="848" spans="1:9">
      <c r="A848" s="55"/>
      <c r="D848" s="55"/>
      <c r="E848" s="55"/>
      <c r="F848" s="55"/>
      <c r="G848" s="55"/>
      <c r="H848" s="55"/>
      <c r="I848" s="55"/>
    </row>
    <row r="849" spans="1:9">
      <c r="A849" s="55"/>
      <c r="D849" s="55"/>
      <c r="E849" s="55"/>
      <c r="F849" s="55"/>
      <c r="G849" s="55"/>
      <c r="H849" s="55"/>
      <c r="I849" s="55"/>
    </row>
    <row r="850" spans="1:9">
      <c r="A850" s="55"/>
      <c r="D850" s="55"/>
      <c r="E850" s="55"/>
      <c r="F850" s="55"/>
      <c r="G850" s="55"/>
      <c r="H850" s="55"/>
      <c r="I850" s="55"/>
    </row>
    <row r="851" spans="1:9">
      <c r="A851" s="55"/>
      <c r="D851" s="55"/>
      <c r="E851" s="55"/>
      <c r="F851" s="55"/>
      <c r="G851" s="55"/>
      <c r="H851" s="55"/>
      <c r="I851" s="55"/>
    </row>
    <row r="852" spans="1:9">
      <c r="A852" s="55"/>
      <c r="D852" s="55"/>
      <c r="E852" s="55"/>
      <c r="F852" s="55"/>
      <c r="G852" s="55"/>
      <c r="H852" s="55"/>
      <c r="I852" s="55"/>
    </row>
    <row r="853" spans="1:9">
      <c r="A853" s="55"/>
      <c r="D853" s="55"/>
      <c r="E853" s="55"/>
      <c r="F853" s="55"/>
      <c r="G853" s="55"/>
      <c r="H853" s="55"/>
      <c r="I853" s="55"/>
    </row>
    <row r="854" spans="1:9">
      <c r="A854" s="55"/>
      <c r="D854" s="55"/>
      <c r="E854" s="55"/>
      <c r="F854" s="55"/>
      <c r="G854" s="55"/>
      <c r="H854" s="55"/>
      <c r="I854" s="55"/>
    </row>
    <row r="855" spans="1:9">
      <c r="A855" s="55"/>
      <c r="D855" s="55"/>
      <c r="E855" s="55"/>
      <c r="F855" s="55"/>
      <c r="G855" s="55"/>
      <c r="H855" s="55"/>
      <c r="I855" s="55"/>
    </row>
    <row r="856" spans="1:9">
      <c r="A856" s="55"/>
      <c r="D856" s="55"/>
      <c r="E856" s="55"/>
      <c r="F856" s="55"/>
      <c r="G856" s="55"/>
      <c r="H856" s="55"/>
      <c r="I856" s="55"/>
    </row>
    <row r="857" spans="1:9">
      <c r="A857" s="55"/>
      <c r="D857" s="55"/>
      <c r="E857" s="55"/>
      <c r="F857" s="55"/>
      <c r="G857" s="55"/>
      <c r="H857" s="55"/>
      <c r="I857" s="55"/>
    </row>
    <row r="858" spans="1:9">
      <c r="A858" s="55"/>
      <c r="D858" s="55"/>
      <c r="E858" s="55"/>
      <c r="F858" s="55"/>
      <c r="G858" s="55"/>
      <c r="H858" s="55"/>
      <c r="I858" s="55"/>
    </row>
    <row r="859" spans="1:9">
      <c r="A859" s="55"/>
      <c r="D859" s="55"/>
      <c r="E859" s="55"/>
      <c r="F859" s="55"/>
      <c r="G859" s="55"/>
      <c r="H859" s="55"/>
      <c r="I859" s="55"/>
    </row>
    <row r="860" spans="1:9">
      <c r="A860" s="55"/>
      <c r="D860" s="55"/>
      <c r="E860" s="55"/>
      <c r="F860" s="55"/>
      <c r="G860" s="55"/>
      <c r="H860" s="55"/>
      <c r="I860" s="55"/>
    </row>
    <row r="861" spans="1:9">
      <c r="A861" s="55"/>
      <c r="D861" s="55"/>
      <c r="E861" s="55"/>
      <c r="F861" s="55"/>
      <c r="G861" s="55"/>
      <c r="H861" s="55"/>
      <c r="I861" s="55"/>
    </row>
    <row r="862" spans="1:9">
      <c r="A862" s="55"/>
      <c r="D862" s="55"/>
      <c r="E862" s="55"/>
      <c r="F862" s="55"/>
      <c r="G862" s="55"/>
      <c r="H862" s="55"/>
      <c r="I862" s="55"/>
    </row>
    <row r="863" spans="1:9">
      <c r="A863" s="55"/>
      <c r="D863" s="55"/>
      <c r="E863" s="55"/>
      <c r="F863" s="55"/>
      <c r="G863" s="55"/>
      <c r="H863" s="55"/>
      <c r="I863" s="55"/>
    </row>
    <row r="864" spans="1:9">
      <c r="A864" s="55"/>
      <c r="D864" s="55"/>
      <c r="E864" s="55"/>
      <c r="F864" s="55"/>
      <c r="G864" s="55"/>
      <c r="H864" s="55"/>
      <c r="I864" s="55"/>
    </row>
    <row r="865" spans="1:9">
      <c r="A865" s="55"/>
      <c r="D865" s="55"/>
      <c r="E865" s="55"/>
      <c r="F865" s="55"/>
      <c r="G865" s="55"/>
      <c r="H865" s="55"/>
      <c r="I865" s="55"/>
    </row>
    <row r="866" spans="1:9">
      <c r="A866" s="55"/>
      <c r="D866" s="55"/>
      <c r="E866" s="55"/>
      <c r="F866" s="55"/>
      <c r="G866" s="55"/>
      <c r="H866" s="55"/>
      <c r="I866" s="55"/>
    </row>
    <row r="867" spans="1:9">
      <c r="A867" s="55"/>
      <c r="D867" s="55"/>
      <c r="E867" s="55"/>
      <c r="F867" s="55"/>
      <c r="G867" s="55"/>
      <c r="H867" s="55"/>
      <c r="I867" s="55"/>
    </row>
    <row r="868" spans="1:9">
      <c r="A868" s="55"/>
      <c r="D868" s="55"/>
      <c r="E868" s="55"/>
      <c r="F868" s="55"/>
      <c r="G868" s="55"/>
      <c r="H868" s="55"/>
      <c r="I868" s="55"/>
    </row>
    <row r="869" spans="1:9">
      <c r="A869" s="55"/>
      <c r="D869" s="55"/>
      <c r="E869" s="55"/>
      <c r="F869" s="55"/>
      <c r="G869" s="55"/>
      <c r="H869" s="55"/>
      <c r="I869" s="55"/>
    </row>
    <row r="870" spans="1:9">
      <c r="A870" s="55"/>
      <c r="D870" s="55"/>
      <c r="E870" s="55"/>
      <c r="F870" s="55"/>
      <c r="G870" s="55"/>
      <c r="H870" s="55"/>
      <c r="I870" s="55"/>
    </row>
    <row r="871" spans="1:9">
      <c r="A871" s="55"/>
      <c r="D871" s="55"/>
      <c r="E871" s="55"/>
      <c r="F871" s="55"/>
      <c r="G871" s="55"/>
      <c r="H871" s="55"/>
      <c r="I871" s="55"/>
    </row>
    <row r="872" spans="1:9">
      <c r="A872" s="55"/>
      <c r="D872" s="55"/>
      <c r="E872" s="55"/>
      <c r="F872" s="55"/>
      <c r="G872" s="55"/>
      <c r="H872" s="55"/>
      <c r="I872" s="55"/>
    </row>
    <row r="873" spans="1:9">
      <c r="A873" s="55"/>
      <c r="D873" s="55"/>
      <c r="E873" s="55"/>
      <c r="F873" s="55"/>
      <c r="G873" s="55"/>
      <c r="H873" s="55"/>
      <c r="I873" s="55"/>
    </row>
    <row r="874" spans="1:9">
      <c r="A874" s="55"/>
      <c r="D874" s="55"/>
      <c r="E874" s="55"/>
      <c r="F874" s="55"/>
      <c r="G874" s="55"/>
      <c r="H874" s="55"/>
      <c r="I874" s="55"/>
    </row>
    <row r="875" spans="1:9">
      <c r="A875" s="55"/>
      <c r="D875" s="55"/>
      <c r="E875" s="55"/>
      <c r="F875" s="55"/>
      <c r="G875" s="55"/>
      <c r="H875" s="55"/>
      <c r="I875" s="55"/>
    </row>
    <row r="876" spans="1:9">
      <c r="A876" s="55"/>
      <c r="D876" s="55"/>
      <c r="E876" s="55"/>
      <c r="F876" s="55"/>
      <c r="G876" s="55"/>
      <c r="H876" s="55"/>
      <c r="I876" s="55"/>
    </row>
    <row r="877" spans="1:9">
      <c r="A877" s="55"/>
      <c r="D877" s="55"/>
      <c r="E877" s="55"/>
      <c r="F877" s="55"/>
      <c r="G877" s="55"/>
      <c r="H877" s="55"/>
      <c r="I877" s="55"/>
    </row>
    <row r="878" spans="1:9">
      <c r="A878" s="55"/>
      <c r="D878" s="55"/>
      <c r="E878" s="55"/>
      <c r="F878" s="55"/>
      <c r="G878" s="55"/>
      <c r="H878" s="55"/>
      <c r="I878" s="55"/>
    </row>
    <row r="879" spans="1:9">
      <c r="A879" s="55"/>
      <c r="D879" s="55"/>
      <c r="E879" s="55"/>
      <c r="F879" s="55"/>
      <c r="G879" s="55"/>
      <c r="H879" s="55"/>
      <c r="I879" s="55"/>
    </row>
    <row r="880" spans="1:9">
      <c r="A880" s="55"/>
      <c r="D880" s="55"/>
      <c r="E880" s="55"/>
      <c r="F880" s="55"/>
      <c r="G880" s="55"/>
      <c r="H880" s="55"/>
      <c r="I880" s="55"/>
    </row>
    <row r="881" spans="1:9">
      <c r="A881" s="55"/>
      <c r="D881" s="55"/>
      <c r="E881" s="55"/>
      <c r="F881" s="55"/>
      <c r="G881" s="55"/>
      <c r="H881" s="55"/>
      <c r="I881" s="55"/>
    </row>
    <row r="882" spans="1:9">
      <c r="A882" s="55"/>
      <c r="D882" s="55"/>
      <c r="E882" s="55"/>
      <c r="F882" s="55"/>
      <c r="G882" s="55"/>
      <c r="H882" s="55"/>
      <c r="I882" s="55"/>
    </row>
    <row r="883" spans="1:9">
      <c r="A883" s="55"/>
      <c r="D883" s="55"/>
      <c r="E883" s="55"/>
      <c r="F883" s="55"/>
      <c r="G883" s="55"/>
      <c r="H883" s="55"/>
      <c r="I883" s="55"/>
    </row>
    <row r="884" spans="1:9">
      <c r="A884" s="55"/>
      <c r="D884" s="55"/>
      <c r="E884" s="55"/>
      <c r="F884" s="55"/>
      <c r="G884" s="55"/>
      <c r="H884" s="55"/>
      <c r="I884" s="55"/>
    </row>
    <row r="885" spans="1:9">
      <c r="A885" s="55"/>
      <c r="D885" s="55"/>
      <c r="E885" s="55"/>
      <c r="F885" s="55"/>
      <c r="G885" s="55"/>
      <c r="H885" s="55"/>
      <c r="I885" s="55"/>
    </row>
    <row r="886" spans="1:9">
      <c r="A886" s="55"/>
      <c r="D886" s="55"/>
      <c r="E886" s="55"/>
      <c r="F886" s="55"/>
      <c r="G886" s="55"/>
      <c r="H886" s="55"/>
      <c r="I886" s="55"/>
    </row>
    <row r="887" spans="1:9">
      <c r="A887" s="55"/>
      <c r="D887" s="55"/>
      <c r="E887" s="55"/>
      <c r="F887" s="55"/>
      <c r="G887" s="55"/>
      <c r="H887" s="55"/>
      <c r="I887" s="55"/>
    </row>
    <row r="888" spans="1:9">
      <c r="A888" s="55"/>
      <c r="D888" s="55"/>
      <c r="E888" s="55"/>
      <c r="F888" s="55"/>
      <c r="G888" s="55"/>
      <c r="H888" s="55"/>
      <c r="I888" s="55"/>
    </row>
    <row r="889" spans="1:9">
      <c r="A889" s="55"/>
      <c r="D889" s="55"/>
      <c r="E889" s="55"/>
      <c r="F889" s="55"/>
      <c r="G889" s="55"/>
      <c r="H889" s="55"/>
      <c r="I889" s="55"/>
    </row>
    <row r="890" spans="1:9">
      <c r="A890" s="55"/>
      <c r="D890" s="55"/>
      <c r="E890" s="55"/>
      <c r="F890" s="55"/>
      <c r="G890" s="55"/>
      <c r="H890" s="55"/>
      <c r="I890" s="55"/>
    </row>
    <row r="891" spans="1:9">
      <c r="A891" s="55"/>
      <c r="D891" s="55"/>
      <c r="E891" s="55"/>
      <c r="F891" s="55"/>
      <c r="G891" s="55"/>
      <c r="H891" s="55"/>
      <c r="I891" s="55"/>
    </row>
    <row r="892" spans="1:9">
      <c r="A892" s="55"/>
      <c r="D892" s="55"/>
      <c r="E892" s="55"/>
      <c r="F892" s="55"/>
      <c r="G892" s="55"/>
      <c r="H892" s="55"/>
      <c r="I892" s="55"/>
    </row>
    <row r="893" spans="1:9">
      <c r="A893" s="55"/>
      <c r="D893" s="55"/>
      <c r="E893" s="55"/>
      <c r="F893" s="55"/>
      <c r="G893" s="55"/>
      <c r="H893" s="55"/>
      <c r="I893" s="55"/>
    </row>
    <row r="894" spans="1:9">
      <c r="A894" s="55"/>
      <c r="D894" s="55"/>
      <c r="E894" s="55"/>
      <c r="F894" s="55"/>
      <c r="G894" s="55"/>
      <c r="H894" s="55"/>
      <c r="I894" s="55"/>
    </row>
    <row r="895" spans="1:9">
      <c r="A895" s="55"/>
      <c r="D895" s="55"/>
      <c r="E895" s="55"/>
      <c r="F895" s="55"/>
      <c r="G895" s="55"/>
      <c r="H895" s="55"/>
      <c r="I895" s="55"/>
    </row>
    <row r="896" spans="1:9">
      <c r="A896" s="55"/>
      <c r="D896" s="55"/>
      <c r="E896" s="55"/>
      <c r="F896" s="55"/>
      <c r="G896" s="55"/>
      <c r="H896" s="55"/>
      <c r="I896" s="55"/>
    </row>
    <row r="897" spans="1:9">
      <c r="A897" s="55"/>
      <c r="D897" s="55"/>
      <c r="E897" s="55"/>
      <c r="F897" s="55"/>
      <c r="G897" s="55"/>
      <c r="H897" s="55"/>
      <c r="I897" s="55"/>
    </row>
    <row r="898" spans="1:9">
      <c r="A898" s="55"/>
      <c r="D898" s="55"/>
      <c r="E898" s="55"/>
      <c r="F898" s="55"/>
      <c r="G898" s="55"/>
      <c r="H898" s="55"/>
      <c r="I898" s="55"/>
    </row>
    <row r="899" spans="1:9">
      <c r="A899" s="55"/>
      <c r="D899" s="55"/>
      <c r="E899" s="55"/>
      <c r="F899" s="55"/>
      <c r="G899" s="55"/>
      <c r="H899" s="55"/>
      <c r="I899" s="55"/>
    </row>
    <row r="900" spans="1:9">
      <c r="A900" s="55"/>
      <c r="D900" s="55"/>
      <c r="E900" s="55"/>
      <c r="F900" s="55"/>
      <c r="G900" s="55"/>
      <c r="H900" s="55"/>
      <c r="I900" s="55"/>
    </row>
    <row r="901" spans="1:9">
      <c r="A901" s="55"/>
      <c r="D901" s="55"/>
      <c r="E901" s="55"/>
      <c r="F901" s="55"/>
      <c r="G901" s="55"/>
      <c r="H901" s="55"/>
      <c r="I901" s="55"/>
    </row>
  </sheetData>
  <autoFilter ref="A1:P37" xr:uid="{F5128584-E955-4D8E-B51A-6F3FF63DD6F4}"/>
  <phoneticPr fontId="18"/>
  <pageMargins left="0.7" right="0.7" top="0.75" bottom="0.75" header="0.3" footer="0.3"/>
  <pageSetup paperSize="9" orientation="portrait" r:id="rId1"/>
  <headerFooter>
    <oddHeader>&amp;C&amp;"Calibri"&amp;10&amp;KFF0000 CONFIDENTIAL&amp;1#_x000D_</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8481D-F186-45F4-B3FA-2630CC1B81F9}">
  <sheetPr codeName="Sheet7">
    <tabColor rgb="FF0000FF"/>
  </sheetPr>
  <dimension ref="A1:E9"/>
  <sheetViews>
    <sheetView showGridLines="0" workbookViewId="0">
      <selection activeCell="F13" sqref="F13"/>
    </sheetView>
  </sheetViews>
  <sheetFormatPr defaultRowHeight="18.75"/>
  <cols>
    <col min="1" max="1" width="16.25" customWidth="1"/>
    <col min="2" max="2" width="25.875" customWidth="1"/>
    <col min="3" max="3" width="71.875" customWidth="1"/>
  </cols>
  <sheetData>
    <row r="1" spans="1:5">
      <c r="A1" s="47" t="s">
        <v>170</v>
      </c>
      <c r="B1" s="48" t="s">
        <v>171</v>
      </c>
      <c r="C1" s="47" t="s">
        <v>172</v>
      </c>
      <c r="E1" s="6"/>
    </row>
    <row r="2" spans="1:5">
      <c r="A2" s="6" t="s">
        <v>173</v>
      </c>
      <c r="B2" s="46" t="s">
        <v>174</v>
      </c>
      <c r="C2" s="1" t="s">
        <v>175</v>
      </c>
    </row>
    <row r="3" spans="1:5">
      <c r="A3" s="6" t="s">
        <v>103</v>
      </c>
      <c r="B3" s="46" t="s">
        <v>176</v>
      </c>
      <c r="C3" s="1" t="s">
        <v>177</v>
      </c>
    </row>
    <row r="4" spans="1:5">
      <c r="A4" s="49" t="s">
        <v>178</v>
      </c>
      <c r="B4" s="50" t="s">
        <v>174</v>
      </c>
      <c r="C4" s="51" t="s">
        <v>179</v>
      </c>
    </row>
    <row r="5" spans="1:5">
      <c r="A5" s="52" t="s">
        <v>178</v>
      </c>
      <c r="B5" s="53" t="s">
        <v>176</v>
      </c>
      <c r="C5" s="54" t="s">
        <v>180</v>
      </c>
    </row>
    <row r="6" spans="1:5">
      <c r="A6" s="49" t="s">
        <v>181</v>
      </c>
      <c r="B6" s="50" t="s">
        <v>174</v>
      </c>
      <c r="C6" s="51" t="s">
        <v>182</v>
      </c>
    </row>
    <row r="7" spans="1:5">
      <c r="A7" s="52" t="s">
        <v>181</v>
      </c>
      <c r="B7" s="53" t="s">
        <v>176</v>
      </c>
      <c r="C7" s="54" t="s">
        <v>183</v>
      </c>
    </row>
    <row r="8" spans="1:5">
      <c r="A8" s="6" t="s">
        <v>184</v>
      </c>
      <c r="B8" s="46" t="s">
        <v>174</v>
      </c>
      <c r="C8" s="1" t="s">
        <v>185</v>
      </c>
    </row>
    <row r="9" spans="1:5">
      <c r="A9" s="6" t="s">
        <v>184</v>
      </c>
      <c r="B9" s="46" t="s">
        <v>176</v>
      </c>
      <c r="C9" s="1" t="s">
        <v>186</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ExportCFileFromTemplate">
                <anchor moveWithCells="1">
                  <from>
                    <xdr:col>2</xdr:col>
                    <xdr:colOff>3114675</xdr:colOff>
                    <xdr:row>10</xdr:row>
                    <xdr:rowOff>0</xdr:rowOff>
                  </from>
                  <to>
                    <xdr:col>3</xdr:col>
                    <xdr:colOff>0</xdr:colOff>
                    <xdr:row>12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DA1B-5490-41D5-8B3D-470453EA232C}">
  <sheetPr codeName="Sheet2">
    <tabColor theme="0" tint="-0.499984740745262"/>
  </sheetPr>
  <dimension ref="B2:F73"/>
  <sheetViews>
    <sheetView showGridLines="0" workbookViewId="0">
      <selection activeCell="B6" sqref="B6"/>
    </sheetView>
  </sheetViews>
  <sheetFormatPr defaultRowHeight="18.75"/>
  <cols>
    <col min="1" max="1" width="3.625" customWidth="1"/>
  </cols>
  <sheetData>
    <row r="2" spans="2:6">
      <c r="B2" s="6" t="s">
        <v>187</v>
      </c>
    </row>
    <row r="3" spans="2:6">
      <c r="B3" s="6" t="s">
        <v>188</v>
      </c>
    </row>
    <row r="5" spans="2:6">
      <c r="B5" s="6" t="s">
        <v>189</v>
      </c>
    </row>
    <row r="6" spans="2:6">
      <c r="B6" s="93" t="s">
        <v>99</v>
      </c>
      <c r="F6" s="6" t="s">
        <v>190</v>
      </c>
    </row>
    <row r="7" spans="2:6">
      <c r="B7" s="93"/>
      <c r="F7" s="6"/>
    </row>
    <row r="8" spans="2:6">
      <c r="B8" s="72" t="s">
        <v>191</v>
      </c>
    </row>
    <row r="10" spans="2:6">
      <c r="B10" s="6" t="s">
        <v>192</v>
      </c>
    </row>
    <row r="11" spans="2:6">
      <c r="B11" s="6" t="s">
        <v>193</v>
      </c>
    </row>
    <row r="31" spans="2:2">
      <c r="B31" s="6" t="s">
        <v>194</v>
      </c>
    </row>
    <row r="51" spans="2:2">
      <c r="B51" s="6" t="s">
        <v>195</v>
      </c>
    </row>
    <row r="53" spans="2:2">
      <c r="B53" s="6" t="s">
        <v>196</v>
      </c>
    </row>
    <row r="55" spans="2:2">
      <c r="B55" s="6" t="s">
        <v>197</v>
      </c>
    </row>
    <row r="72" spans="2:2">
      <c r="B72" s="94" t="s">
        <v>198</v>
      </c>
    </row>
    <row r="73" spans="2:2">
      <c r="B73" s="94" t="s">
        <v>199</v>
      </c>
    </row>
  </sheetData>
  <phoneticPr fontId="18"/>
  <hyperlinks>
    <hyperlink ref="B6" r:id="rId1" xr:uid="{4EA364D5-B049-43C6-BBF6-840FB1F0E3FB}"/>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BA3F6-267F-4E41-9C46-03F643E760A4}">
  <sheetPr codeName="Sheet3"/>
  <dimension ref="A1"/>
  <sheetViews>
    <sheetView workbookViewId="0">
      <selection activeCell="A15" sqref="A15:A17"/>
    </sheetView>
  </sheetViews>
  <sheetFormatPr defaultRowHeight="18.75"/>
  <sheetData/>
  <phoneticPr fontId="18"/>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BBD8-A6D4-4715-AF10-8A3A67D79E13}">
  <sheetPr codeName="Sheet17">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200</v>
      </c>
      <c r="K1" s="1" t="s">
        <v>201</v>
      </c>
      <c r="L1" s="4"/>
      <c r="N1" s="1" t="s">
        <v>103</v>
      </c>
      <c r="U1" s="1" t="s">
        <v>202</v>
      </c>
      <c r="V1" s="1" t="s">
        <v>104</v>
      </c>
      <c r="AC1" s="2" t="str">
        <f>U1</f>
        <v>IVDSH_DID_REA_</v>
      </c>
      <c r="AD1" s="1" t="s">
        <v>105</v>
      </c>
      <c r="AK1" s="2" t="str">
        <f>AC1</f>
        <v>IVDSH_DID_REA_</v>
      </c>
      <c r="AL1" s="1" t="s">
        <v>106</v>
      </c>
      <c r="AS1" s="2" t="str">
        <f>AK1</f>
        <v>IVDSH_DID_REA_</v>
      </c>
      <c r="AU1" s="5"/>
      <c r="AY1" s="4"/>
    </row>
    <row r="2" spans="1:84" ht="21">
      <c r="A2" s="22" t="s">
        <v>203</v>
      </c>
      <c r="E2" s="22" t="s">
        <v>204</v>
      </c>
      <c r="N2" s="22" t="s">
        <v>205</v>
      </c>
      <c r="O2" s="22"/>
      <c r="AV2" s="22" t="s">
        <v>206</v>
      </c>
      <c r="AY2" s="23"/>
      <c r="AZ2" s="13"/>
      <c r="BA2" s="22" t="s">
        <v>207</v>
      </c>
      <c r="BD2" s="13"/>
    </row>
    <row r="3" spans="1:84">
      <c r="A3" s="6" t="s">
        <v>208</v>
      </c>
      <c r="B3" s="1" t="s">
        <v>103</v>
      </c>
      <c r="N3" s="21" t="s">
        <v>209</v>
      </c>
      <c r="O3" s="21"/>
      <c r="BA3" s="21" t="s">
        <v>210</v>
      </c>
      <c r="BE3" s="21" t="s">
        <v>211</v>
      </c>
    </row>
    <row r="4" spans="1:84">
      <c r="A4" s="6" t="s">
        <v>212</v>
      </c>
      <c r="B4" s="1" t="s">
        <v>213</v>
      </c>
      <c r="AY4" s="23"/>
      <c r="AZ4" s="13"/>
      <c r="BD4" s="13"/>
    </row>
    <row r="5" spans="1:84">
      <c r="A5" s="6" t="s">
        <v>214</v>
      </c>
      <c r="B5" s="1" t="s">
        <v>215</v>
      </c>
      <c r="AY5" s="23"/>
      <c r="AZ5" s="13"/>
      <c r="BD5" s="13"/>
    </row>
    <row r="6" spans="1:84">
      <c r="A6" s="6" t="s">
        <v>216</v>
      </c>
      <c r="B6" s="1" t="s">
        <v>217</v>
      </c>
      <c r="AY6" s="23"/>
      <c r="AZ6" s="13"/>
      <c r="BD6" s="13"/>
    </row>
    <row r="7" spans="1:84">
      <c r="A7" s="6" t="s">
        <v>218</v>
      </c>
      <c r="B7" s="1" t="s">
        <v>219</v>
      </c>
      <c r="AY7" s="23"/>
      <c r="AZ7" s="13"/>
      <c r="BD7" s="13"/>
    </row>
    <row r="8" spans="1:84">
      <c r="A8" s="6" t="s">
        <v>220</v>
      </c>
      <c r="B8" s="1" t="s">
        <v>221</v>
      </c>
    </row>
    <row r="9" spans="1:84">
      <c r="A9" s="6" t="s">
        <v>222</v>
      </c>
      <c r="B9" s="1" t="s">
        <v>223</v>
      </c>
      <c r="BJ9" s="29" t="s">
        <v>224</v>
      </c>
      <c r="BR9" s="29" t="s">
        <v>225</v>
      </c>
      <c r="BS9" s="29" t="s">
        <v>226</v>
      </c>
    </row>
    <row r="10" spans="1:84">
      <c r="BE10" s="6" t="s">
        <v>227</v>
      </c>
      <c r="BJ10" s="6" t="s">
        <v>228</v>
      </c>
      <c r="BR10" s="29" t="s">
        <v>229</v>
      </c>
      <c r="BS10" s="29" t="s">
        <v>229</v>
      </c>
    </row>
    <row r="11" spans="1:84">
      <c r="AY11" s="23"/>
      <c r="AZ11" s="13"/>
      <c r="BD11" s="13"/>
      <c r="BE11" s="6" t="s">
        <v>230</v>
      </c>
      <c r="BF11" s="6" t="s">
        <v>231</v>
      </c>
      <c r="BG11" s="6" t="s">
        <v>232</v>
      </c>
      <c r="BH11" s="6" t="s">
        <v>233</v>
      </c>
      <c r="BI11" s="6" t="s">
        <v>234</v>
      </c>
      <c r="BJ11" s="6" t="s">
        <v>235</v>
      </c>
      <c r="BK11" s="6" t="s">
        <v>236</v>
      </c>
      <c r="BL11" s="6" t="s">
        <v>237</v>
      </c>
      <c r="BM11" s="6" t="s">
        <v>238</v>
      </c>
      <c r="BN11" s="6" t="s">
        <v>239</v>
      </c>
      <c r="BO11" s="6" t="s">
        <v>240</v>
      </c>
      <c r="BP11" s="6" t="s">
        <v>241</v>
      </c>
      <c r="BQ11" s="6" t="s">
        <v>242</v>
      </c>
      <c r="BR11" s="6" t="s">
        <v>243</v>
      </c>
      <c r="BS11" s="6" t="s">
        <v>244</v>
      </c>
    </row>
    <row r="12" spans="1:84">
      <c r="BD12" s="26" t="s">
        <v>245</v>
      </c>
      <c r="BE12" s="11"/>
      <c r="BF12" s="11" t="str">
        <f>IF(AW30&lt;&gt;"","/* Read from VM#0 */","")</f>
        <v/>
      </c>
      <c r="BG12" s="11" t="str">
        <f>IF(AW31&lt;&gt;"","/* Read from VM#1 */","")</f>
        <v/>
      </c>
      <c r="BH12" s="11" t="str">
        <f>IF(AW32&lt;&gt;"","/* Read from VM#2 */","")</f>
        <v/>
      </c>
      <c r="BI12" s="11" t="str">
        <f>IF(AW33&lt;&gt;"","/* Read from VM#3 */","")</f>
        <v/>
      </c>
      <c r="BJ12" s="11"/>
      <c r="BK12" s="11" t="str">
        <f>IF(AW17&lt;&gt;"","    /*------------------------------------------------------------------*/")</f>
        <v xml:space="preserve">    /*------------------------------------------------------------------*/</v>
      </c>
      <c r="BL12" s="11" t="str">
        <f>IF(AW30&lt;&gt;"","    /*------------------------------------------------------------------*/","")</f>
        <v/>
      </c>
      <c r="BM12" s="11" t="str">
        <f>IF(AW31&lt;&gt;"","    /*------------------------------------------------------------------*/","")</f>
        <v/>
      </c>
      <c r="BN12" s="11" t="str">
        <f>IF(AW32&lt;&gt;"","    /*------------------------------------------------------------------*/","")</f>
        <v/>
      </c>
      <c r="BO12" s="11" t="str">
        <f>IF(AW33&lt;&gt;"","    /*------------------------------------------------------------------*/","")</f>
        <v/>
      </c>
      <c r="BP12" s="11"/>
      <c r="BQ12" s="11"/>
      <c r="BR12" s="11"/>
      <c r="BS12" s="11"/>
    </row>
    <row r="13" spans="1:84">
      <c r="BD13" s="26" t="s">
        <v>245</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c>
      <c r="BO13" s="11" t="str">
        <f>IF(AW33&lt;&gt;"","    /* Read from VM#3                                                   */","")</f>
        <v/>
      </c>
      <c r="BP13" s="11"/>
      <c r="BQ13" s="11"/>
      <c r="BR13" s="11"/>
      <c r="BS13" s="11"/>
    </row>
    <row r="14" spans="1:84">
      <c r="F14" s="6" t="s">
        <v>246</v>
      </c>
      <c r="G14" s="6" t="s">
        <v>247</v>
      </c>
      <c r="J14" s="6" t="s">
        <v>248</v>
      </c>
      <c r="O14" s="6" t="s">
        <v>247</v>
      </c>
      <c r="Q14" s="6" t="s">
        <v>249</v>
      </c>
      <c r="R14" s="6" t="s">
        <v>246</v>
      </c>
      <c r="S14" s="6" t="s">
        <v>250</v>
      </c>
      <c r="T14" s="6" t="s">
        <v>248</v>
      </c>
      <c r="U14" s="6" t="s">
        <v>251</v>
      </c>
      <c r="W14" s="6" t="s">
        <v>247</v>
      </c>
      <c r="Y14" s="6" t="s">
        <v>249</v>
      </c>
      <c r="Z14" s="6" t="s">
        <v>246</v>
      </c>
      <c r="AA14" s="6" t="s">
        <v>250</v>
      </c>
      <c r="AB14" s="6" t="s">
        <v>248</v>
      </c>
      <c r="AC14" s="6" t="s">
        <v>251</v>
      </c>
      <c r="AE14" s="6" t="s">
        <v>247</v>
      </c>
      <c r="AG14" s="6" t="s">
        <v>249</v>
      </c>
      <c r="AH14" s="6" t="s">
        <v>246</v>
      </c>
      <c r="AI14" s="6" t="s">
        <v>250</v>
      </c>
      <c r="AJ14" s="6" t="s">
        <v>248</v>
      </c>
      <c r="AK14" s="6" t="s">
        <v>251</v>
      </c>
      <c r="AM14" s="6" t="s">
        <v>247</v>
      </c>
      <c r="AO14" s="6" t="s">
        <v>249</v>
      </c>
      <c r="AP14" s="6" t="s">
        <v>246</v>
      </c>
      <c r="AQ14" s="6" t="s">
        <v>250</v>
      </c>
      <c r="AR14" s="6" t="s">
        <v>248</v>
      </c>
      <c r="AS14" s="6" t="s">
        <v>251</v>
      </c>
      <c r="BD14" s="26" t="s">
        <v>245</v>
      </c>
      <c r="BE14" s="11"/>
      <c r="BF14" s="11"/>
      <c r="BG14" s="11"/>
      <c r="BH14" s="11"/>
      <c r="BI14" s="11"/>
      <c r="BJ14" s="11"/>
      <c r="BK14" s="11" t="str">
        <f>IF(AW17&lt;&gt;"","    /*------------------------------------------------------------------*/")</f>
        <v xml:space="preserve">    /*------------------------------------------------------------------*/</v>
      </c>
      <c r="BL14" s="11" t="str">
        <f>IF(AW30&lt;&gt;"","    /*------------------------------------------------------------------*/","")</f>
        <v/>
      </c>
      <c r="BM14" s="11" t="str">
        <f>IF(AW31&lt;&gt;"","    /*------------------------------------------------------------------*/","")</f>
        <v/>
      </c>
      <c r="BN14" s="11" t="str">
        <f>IF(AW32&lt;&gt;"","    /*------------------------------------------------------------------*/","")</f>
        <v/>
      </c>
      <c r="BO14" s="11" t="str">
        <f>IF(AW33&lt;&gt;"","    /*------------------------------------------------------------------*/","")</f>
        <v/>
      </c>
      <c r="BP14" s="11"/>
      <c r="BQ14" s="11"/>
      <c r="BR14" s="11"/>
      <c r="BS14" s="11"/>
    </row>
    <row r="15" spans="1:84">
      <c r="F15" s="6">
        <f>IF(F17="",0,COUNTA(F$17:F529))</f>
        <v>4</v>
      </c>
      <c r="G15" s="6" t="s">
        <v>252</v>
      </c>
      <c r="J15" s="14">
        <v>0</v>
      </c>
      <c r="N15" s="9" t="str">
        <f>N1</f>
        <v>VM#0</v>
      </c>
      <c r="O15" s="6" t="s">
        <v>252</v>
      </c>
      <c r="Q15" s="6">
        <f>F15</f>
        <v>4</v>
      </c>
      <c r="R15" s="6">
        <f>COUNTIF(P17:P529,"R")</f>
        <v>0</v>
      </c>
      <c r="S15" s="6">
        <f>COUNTIF(R$15,"&lt;&gt;0")</f>
        <v>0</v>
      </c>
      <c r="T15" s="14">
        <v>0</v>
      </c>
      <c r="U15" s="6">
        <f>COUNTA(U$17:U529)</f>
        <v>4</v>
      </c>
      <c r="V15" s="9" t="str">
        <f>V1</f>
        <v>VM#1(MET)</v>
      </c>
      <c r="W15" s="6" t="str">
        <f>O15</f>
        <v>CPREQ_</v>
      </c>
      <c r="Y15" s="6">
        <f>Q15+R15</f>
        <v>4</v>
      </c>
      <c r="Z15" s="6">
        <f>COUNTIF(X17:X529,"R")</f>
        <v>0</v>
      </c>
      <c r="AA15" s="6">
        <f>S15+COUNTIF(Z$15,"&lt;&gt;0")</f>
        <v>0</v>
      </c>
      <c r="AB15" s="14">
        <v>0</v>
      </c>
      <c r="AC15" s="6">
        <f>COUNTA(AC$17:AC529)</f>
        <v>12</v>
      </c>
      <c r="AD15" s="9" t="str">
        <f>AD1</f>
        <v>VM#2(IVI)</v>
      </c>
      <c r="AE15" s="6" t="str">
        <f>W15</f>
        <v>CPREQ_</v>
      </c>
      <c r="AG15" s="6">
        <f>Y15+Z15</f>
        <v>4</v>
      </c>
      <c r="AH15" s="6">
        <f>COUNTIF(AF17:AF529,"R")</f>
        <v>0</v>
      </c>
      <c r="AI15" s="6">
        <f>AA15+COUNTIF(AH$15,"&lt;&gt;0")</f>
        <v>0</v>
      </c>
      <c r="AJ15" s="14">
        <v>0</v>
      </c>
      <c r="AK15" s="6">
        <f>COUNTA(AK$17:AK529)</f>
        <v>21</v>
      </c>
      <c r="AL15" s="9" t="str">
        <f>AL1</f>
        <v>VM#3(CEN)</v>
      </c>
      <c r="AM15" s="6" t="str">
        <f>AE15</f>
        <v>CPREQ_</v>
      </c>
      <c r="AO15" s="6">
        <f>AG15+AH15</f>
        <v>4</v>
      </c>
      <c r="AP15" s="6">
        <f>COUNTIF(AN17:AN529,"R")</f>
        <v>0</v>
      </c>
      <c r="AQ15" s="6">
        <f>AI15+COUNTIF(AP$15,"&lt;&gt;0")</f>
        <v>0</v>
      </c>
      <c r="AR15" s="14">
        <v>0</v>
      </c>
      <c r="AS15" s="6">
        <f>COUNTA(AS$17:AS529)</f>
        <v>7</v>
      </c>
      <c r="BD15" s="26" t="s">
        <v>245</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253</v>
      </c>
      <c r="F16" s="2" t="s">
        <v>254</v>
      </c>
      <c r="G16" s="2" t="s">
        <v>255</v>
      </c>
      <c r="H16" s="2" t="s">
        <v>256</v>
      </c>
      <c r="I16" s="2" t="s">
        <v>257</v>
      </c>
      <c r="J16" s="2" t="s">
        <v>258</v>
      </c>
      <c r="K16" s="2" t="s">
        <v>259</v>
      </c>
      <c r="L16" s="4"/>
      <c r="N16" s="2" t="s">
        <v>254</v>
      </c>
      <c r="O16" s="2" t="s">
        <v>102</v>
      </c>
      <c r="P16" s="2" t="s">
        <v>256</v>
      </c>
      <c r="Q16" s="2" t="s">
        <v>257</v>
      </c>
      <c r="R16" s="2" t="s">
        <v>253</v>
      </c>
      <c r="S16" s="2" t="s">
        <v>260</v>
      </c>
      <c r="T16" s="2" t="s">
        <v>258</v>
      </c>
      <c r="U16" s="2" t="s">
        <v>261</v>
      </c>
      <c r="V16" s="2" t="s">
        <v>254</v>
      </c>
      <c r="W16" s="2" t="s">
        <v>102</v>
      </c>
      <c r="X16" s="2" t="s">
        <v>256</v>
      </c>
      <c r="Y16" s="2" t="s">
        <v>257</v>
      </c>
      <c r="Z16" s="2" t="s">
        <v>253</v>
      </c>
      <c r="AA16" s="2" t="s">
        <v>260</v>
      </c>
      <c r="AB16" s="2" t="s">
        <v>258</v>
      </c>
      <c r="AC16" s="2" t="s">
        <v>261</v>
      </c>
      <c r="AD16" s="2" t="s">
        <v>254</v>
      </c>
      <c r="AE16" s="2" t="s">
        <v>102</v>
      </c>
      <c r="AF16" s="2" t="s">
        <v>256</v>
      </c>
      <c r="AG16" s="2" t="s">
        <v>257</v>
      </c>
      <c r="AH16" s="2" t="s">
        <v>253</v>
      </c>
      <c r="AI16" s="2" t="s">
        <v>260</v>
      </c>
      <c r="AJ16" s="2" t="s">
        <v>258</v>
      </c>
      <c r="AK16" s="2" t="s">
        <v>261</v>
      </c>
      <c r="AL16" s="2" t="s">
        <v>254</v>
      </c>
      <c r="AM16" s="2" t="s">
        <v>102</v>
      </c>
      <c r="AN16" s="2" t="s">
        <v>256</v>
      </c>
      <c r="AO16" s="2" t="s">
        <v>257</v>
      </c>
      <c r="AP16" s="2" t="s">
        <v>253</v>
      </c>
      <c r="AQ16" s="2" t="s">
        <v>260</v>
      </c>
      <c r="AR16" s="2" t="s">
        <v>258</v>
      </c>
      <c r="AS16" s="2" t="s">
        <v>261</v>
      </c>
      <c r="AU16" s="5"/>
      <c r="AY16" s="4"/>
      <c r="AZ16" s="6"/>
      <c r="BA16" s="6"/>
      <c r="BB16" s="6"/>
      <c r="BC16" s="6"/>
      <c r="BD16" s="26" t="s">
        <v>245</v>
      </c>
      <c r="BE16" s="24"/>
      <c r="BF16" s="24"/>
      <c r="BG16" s="24"/>
      <c r="BH16" s="24"/>
      <c r="BI16" s="24"/>
      <c r="BJ16" s="24"/>
      <c r="BK16" s="24"/>
      <c r="BL16" s="24"/>
      <c r="BM16" s="24"/>
      <c r="BN16" s="24"/>
      <c r="BO16" s="24"/>
      <c r="BP16" s="25"/>
      <c r="BQ16" s="25"/>
      <c r="BR16" s="25"/>
      <c r="BS16" s="25"/>
    </row>
    <row r="17" spans="5:71">
      <c r="E17" s="6">
        <v>0</v>
      </c>
      <c r="F17" s="6" cm="1">
        <f t="array" ref="F17:F20">IFERROR(_xlfn._xlws.FILTER('Inter-VM Data Table'!$A2:$A901,INDEX('Inter-VM Data Table'!2:901,,MATCH(B3,'Inter-VM Data Table'!1:1,0))="T"),"")</f>
        <v>29</v>
      </c>
      <c r="G17" s="6" t="str" cm="1">
        <f t="array" ref="G17:G20">IFERROR(_xlfn._xlws.FILTER('Inter-VM Data Table'!$D2:$D901,INDEX('Inter-VM Data Table'!2:901,,MATCH(B3,'Inter-VM Data Table'!1:1,0))="T"),"")</f>
        <v>CANBUS_STS_2M1</v>
      </c>
      <c r="H17" s="6" t="str" cm="1">
        <f t="array" ref="H17:H20">IFERROR(_xlfn._xlws.FILTER(INDEX('Inter-VM Data Table'!2:901,,MATCH($B$3,'Inter-VM Data Table'!1:1,0)),INDEX('Inter-VM Data Table'!2:901,,MATCH(B3,'Inter-VM Data Table'!1:1,0))="T"),"")</f>
        <v>T</v>
      </c>
      <c r="I17" s="6" cm="1">
        <f t="array" ref="I17:I20">IFERROR(ROUNDDOWN(     (_xlfn._xlws.FILTER('Inter-VM Data Table'!$I2:$I901,INDEX('Inter-VM Data Table'!2:901,,MATCH(B3,'Inter-VM Data Table'!1:1,0))="T")+3)/4,    0       ),"")</f>
        <v>1</v>
      </c>
      <c r="J17" s="6">
        <v>0</v>
      </c>
      <c r="K17" s="6" t="str" cm="1">
        <f t="array" ref="K17:K20">IF(_xlfn.ANCHORARRAY(G17)=0,K1&amp;G15&amp;TEXT(_xlfn.ANCHORARRAY(F17),"000"),K1&amp;_xlfn.ANCHORARRAY(G17))</f>
        <v>IVDSH_DID_WRI_CANBUS_STS_2M1</v>
      </c>
      <c r="N17" s="6" cm="1">
        <f t="array" ref="N17:N20">IFERROR(_xlfn._xlws.FILTER('Inter-VM Data Table'!$A2:$A901,INDEX('Inter-VM Data Table'!2:901,,MATCH(N1,'Inter-VM Data Table'!1:1,0))="T"),"")</f>
        <v>29</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T</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28">IFERROR(_xlfn._xlws.FILTER('Inter-VM Data Table'!$A2:$A901,INDEX('Inter-VM Data Table'!2:901,,MATCH(V1,'Inter-VM Data Table'!1:1,0))="T"),"")</f>
        <v>2</v>
      </c>
      <c r="W17" s="6" t="str" cm="1">
        <f t="array" ref="W17:W28">IFERROR(_xlfn._xlws.FILTER('Inter-VM Data Table'!$D2:$D901,INDEX('Inter-VM Data Table'!2:901,,MATCH(V1,'Inter-VM Data Table'!1:1,0))="T"),"")</f>
        <v>VM1TO3_STBY</v>
      </c>
      <c r="X17" s="6" t="str" cm="1">
        <f t="array" ref="X17:X28">IFERROR(_xlfn._xlws.FILTER(INDEX('Inter-VM Data Table'!2:901,,MATCH($B$3,'Inter-VM Data Table'!1:1,0)),INDEX('Inter-VM Data Table'!2:901,,MATCH(V1,'Inter-VM Data Table'!1:1,0))="T"),"")</f>
        <v>-</v>
      </c>
      <c r="Y17" s="6" cm="1">
        <f t="array" ref="Y17:Y28">IFERROR(ROUNDDOWN(     (_xlfn._xlws.FILTER('Inter-VM Data Table'!$I2:$I901,INDEX('Inter-VM Data Table'!2:901,,MATCH(V1,'Inter-VM Data Table'!1:1,0))="T")+3)/4,      0),"")</f>
        <v>1</v>
      </c>
      <c r="Z17" s="6" t="str">
        <f>IF(X17="R",Y$15+0,"")</f>
        <v/>
      </c>
      <c r="AA17" s="6" t="str">
        <f>IF(Z$15=0,"",S15)</f>
        <v/>
      </c>
      <c r="AB17" s="6" t="str">
        <f>IF(Z$15=0,"",T$15)</f>
        <v/>
      </c>
      <c r="AC17" s="6" t="str" cm="1">
        <f t="array" ref="AC17:AC28">IF(_xlfn.ANCHORARRAY(W17)=0,AC1&amp;W15&amp;TEXT(_xlfn.ANCHORARRAY(V17),"000"),AC1&amp;_xlfn.ANCHORARRAY(W17))</f>
        <v>IVDSH_DID_REA_VM1TO3_STBY</v>
      </c>
      <c r="AD17" s="6" cm="1">
        <f t="array" ref="AD17:AD37">IFERROR(_xlfn._xlws.FILTER('Inter-VM Data Table'!$A2:$A901,INDEX('Inter-VM Data Table'!2:901,,MATCH(AD1,'Inter-VM Data Table'!1:1,0))="T"),"")</f>
        <v>3</v>
      </c>
      <c r="AE17" s="6" t="str" cm="1">
        <f t="array" ref="AE17:AE37">IFERROR(_xlfn._xlws.FILTER('Inter-VM Data Table'!$D2:$D901,INDEX('Inter-VM Data Table'!2:901,,MATCH(AD1,'Inter-VM Data Table'!1:1,0))="T"),"")</f>
        <v>VM2TO3_STBY</v>
      </c>
      <c r="AF17" s="6" t="str" cm="1">
        <f t="array" ref="AF17:AF37">IFERROR(_xlfn._xlws.FILTER(INDEX('Inter-VM Data Table'!2:901,,MATCH($B$3,'Inter-VM Data Table'!1:1,0)),INDEX('Inter-VM Data Table'!2:901,,MATCH(AD1,'Inter-VM Data Table'!1:1,0))="T"),"")</f>
        <v>-</v>
      </c>
      <c r="AG17" s="6" cm="1">
        <f t="array" ref="AG17:AG37">IFERROR(ROUNDDOWN(     (_xlfn._xlws.FILTER('Inter-VM Data Table'!$I2:$I901,INDEX('Inter-VM Data Table'!2:901,,MATCH(AD1,'Inter-VM Data Table'!1:1,0))="T")+3)/4,      0),"")</f>
        <v>1</v>
      </c>
      <c r="AH17" s="6" t="str">
        <f>IF(AF17="R",AG$15+0,"")</f>
        <v/>
      </c>
      <c r="AI17" s="6" t="str">
        <f>IF(AH$15=0,"",AA15)</f>
        <v/>
      </c>
      <c r="AJ17" s="6" t="str">
        <f>IF(AH$15=0,"",AB$15)</f>
        <v/>
      </c>
      <c r="AK17" s="6" t="str" cm="1">
        <f t="array" ref="AK17:AK37">IF(_xlfn.ANCHORARRAY(AE17)=0,AK1&amp;AE15&amp;TEXT(_xlfn.ANCHORARRAY(AD17),"000"),AK1&amp;_xlfn.ANCHORARRAY(AE17))</f>
        <v>IVDSH_DID_REA_VM2TO3_STBY</v>
      </c>
      <c r="AL17" s="6" cm="1">
        <f t="array" ref="AL17:AL23">IFERROR(_xlfn._xlws.FILTER('Inter-VM Data Table'!$A2:$A901,INDEX('Inter-VM Data Table'!2:901,,MATCH(AL1,'Inter-VM Data Table'!1:1,0))="T"),"")</f>
        <v>5</v>
      </c>
      <c r="AM17" s="6" t="str" cm="1">
        <f t="array" ref="AM17:AM23">IFERROR(_xlfn._xlws.FILTER('Inter-VM Data Table'!$D2:$D901,INDEX('Inter-VM Data Table'!2:901,,MATCH(AL1,'Inter-VM Data Table'!1:1,0))="T"),"")</f>
        <v>VM3TO2_SIPERR_INF</v>
      </c>
      <c r="AN17" s="6" t="str" cm="1">
        <f t="array" ref="AN17:AN23">IFERROR(_xlfn._xlws.FILTER(INDEX('Inter-VM Data Table'!2:901,,MATCH($B$3,'Inter-VM Data Table'!1:1,0)),INDEX('Inter-VM Data Table'!2:901,,MATCH(AL1,'Inter-VM Data Table'!1:1,0))="T"),"")</f>
        <v>-</v>
      </c>
      <c r="AO17" s="6" cm="1">
        <f t="array" ref="AO17:AO23">IFERROR(ROUNDDOWN(     (_xlfn._xlws.FILTER('Inter-VM Data Table'!$I2:$I901,INDEX('Inter-VM Data Table'!2:901,,MATCH(AL1,'Inter-VM Data Table'!1:1,0))="T")+3)/4,      0),"")</f>
        <v>1</v>
      </c>
      <c r="AP17" s="6" t="str">
        <f>IF(AN17="R",AO$15+0,"")</f>
        <v/>
      </c>
      <c r="AQ17" s="6" t="str">
        <f>IF(AP$15=0,"",AI15)</f>
        <v/>
      </c>
      <c r="AR17" s="6" t="str">
        <f>IF(AP$15=0,"",AJ$15)</f>
        <v/>
      </c>
      <c r="AS17" s="6" t="str" cm="1">
        <f t="array" ref="AS17:AS23">IF(_xlfn.ANCHORARRAY(AM17)=0,AS1&amp;AM15&amp;TEXT(_xlfn.ANCHORARRAY(AL17),"000"),AS1&amp;_xlfn.ANCHORARRAY(AM17))</f>
        <v>IVDSH_DID_REA_VM3TO2_SIPERR_INF</v>
      </c>
      <c r="AV17" s="6" t="s">
        <v>262</v>
      </c>
      <c r="AW17" s="6">
        <f>F15</f>
        <v>4</v>
      </c>
      <c r="BA17" s="12" t="s">
        <v>263</v>
      </c>
      <c r="BB17" s="11">
        <f>AW17</f>
        <v>4</v>
      </c>
      <c r="BD17" s="27" t="s">
        <v>264</v>
      </c>
      <c r="BE17" s="11" t="str">
        <f t="shared" ref="BE17:BE80" si="0">IF(F17="","","#define "&amp;K17&amp;REPT(" ",41-LEN(K17))&amp;"("&amp;E17&amp;"U)")</f>
        <v>#define IVDSH_DID_WRI_CANBUS_STS_2M1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(0U)</v>
      </c>
      <c r="BK17" s="11" t="str">
        <f>IF(F17="","","    {(U2)"&amp;J17&amp;"U,"&amp;REPT(" ",9-LEN(J17))&amp;"(U2)"&amp;I17&amp;"U,"&amp;REPT(" ",10-LEN(I17))&amp;"(U2)IVDSH_FQ_CH_WRI  },     /* "&amp;K17&amp;REPT(" ",32-LEN(K17))&amp;"*/")</f>
        <v xml:space="preserve">    {(U2)0U,        (U2)1U,         (U2)IVDSH_FQ_CH_WRI  },     /* IVDSH_DID_WRI_CANBUS_STS_2M1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c>
      <c r="BS17" s="11" t="str">
        <f>IF(AW26&lt;&gt;"","    /* IVDSH_FQ_CH_WRI   */","")</f>
        <v xml:space="preserve">    /* IVDSH_FQ_CH_WRI   */</v>
      </c>
    </row>
    <row r="18" spans="5:71">
      <c r="E18" s="6">
        <f>E17+1</f>
        <v>1</v>
      </c>
      <c r="F18" s="6">
        <v>32</v>
      </c>
      <c r="G18" s="6" t="str">
        <v>CANBUS_STS_5M</v>
      </c>
      <c r="H18" s="6" t="str">
        <v>T</v>
      </c>
      <c r="I18" s="6">
        <v>1</v>
      </c>
      <c r="J18" s="6">
        <f>IF(F18="","",I17+J17)</f>
        <v>1</v>
      </c>
      <c r="K18" s="6" t="str">
        <v>IVDSH_DID_WRI_CANBUS_STS_5M</v>
      </c>
      <c r="N18" s="6">
        <v>32</v>
      </c>
      <c r="O18" s="6" t="str">
        <v>CANBUS_STS_5M</v>
      </c>
      <c r="P18" s="6" t="str">
        <v>T</v>
      </c>
      <c r="Q18" s="6">
        <v>1</v>
      </c>
      <c r="R18" s="6" t="str">
        <f>IF(P18="R",MAX(R$17:R17,Q$15-1)+1,"")</f>
        <v/>
      </c>
      <c r="S18" s="6" t="str">
        <f>IF(OR(R$15=0,N18=""),"",S17)</f>
        <v/>
      </c>
      <c r="T18" s="6" t="str">
        <f>IF(OR(N18="",R$15=0),"",T17+Q17)</f>
        <v/>
      </c>
      <c r="U18" s="6" t="str">
        <v>IVDSH_DID_REA_CANBUS_STS_5M</v>
      </c>
      <c r="V18" s="6">
        <v>4</v>
      </c>
      <c r="W18" s="6" t="str">
        <v>VM1TO2_TIMOFST</v>
      </c>
      <c r="X18" s="6" t="str">
        <v>-</v>
      </c>
      <c r="Y18" s="6">
        <v>1</v>
      </c>
      <c r="Z18" s="6" t="str">
        <f>IF(X18="R",MAX(Z$17:Z17,Y$15-1)+1,"")</f>
        <v/>
      </c>
      <c r="AA18" s="6" t="str">
        <f>IF(OR(Z$15=0,V18=""),"",AA17)</f>
        <v/>
      </c>
      <c r="AB18" s="6" t="str">
        <f>IF(OR(V18="",Z$15=0),"",AB17+Y17)</f>
        <v/>
      </c>
      <c r="AC18" s="6" t="str">
        <v>IVDSH_DID_REA_VM1TO2_TIMOFST</v>
      </c>
      <c r="AD18" s="6">
        <v>9</v>
      </c>
      <c r="AE18" s="6" t="str">
        <v>VM2TO1_TIMOFST</v>
      </c>
      <c r="AF18" s="6" t="str">
        <v>-</v>
      </c>
      <c r="AG18" s="6">
        <v>1</v>
      </c>
      <c r="AH18" s="6" t="str">
        <f>IF(AF18="R",MAX(AH$17:AH17,AG$15-1)+1,"")</f>
        <v/>
      </c>
      <c r="AI18" s="6" t="str">
        <f t="shared" ref="AI18:AI81" si="5">IF(OR(AH$15=0,AD18=""),"",AI17)</f>
        <v/>
      </c>
      <c r="AJ18" s="6" t="str">
        <f t="shared" ref="AJ18:AJ81" si="6">IF(OR(AD18="",AH$15=0),"",AJ17+AG17)</f>
        <v/>
      </c>
      <c r="AK18" s="6" t="str">
        <v>IVDSH_DID_REA_VM2TO1_TIMOFST</v>
      </c>
      <c r="AL18" s="6">
        <v>7</v>
      </c>
      <c r="AM18" s="6" t="str">
        <v>VM3TO2_OTA_OFFSTS</v>
      </c>
      <c r="AN18" s="6" t="str">
        <v>-</v>
      </c>
      <c r="AO18" s="6">
        <v>1</v>
      </c>
      <c r="AP18" s="6" t="str">
        <f>IF(AN18="R",MAX(AP$17:AP17,AO$15-1)+1,"")</f>
        <v/>
      </c>
      <c r="AQ18" s="6" t="str">
        <f>IF(OR(AP$15=0,AL18=""),"",AQ17)</f>
        <v/>
      </c>
      <c r="AR18" s="6" t="str">
        <f>IF(OR(AL18="",AP$15=0),"",AR17+AO17)</f>
        <v/>
      </c>
      <c r="AS18" s="6" t="str">
        <v>IVDSH_DID_REA_VM3TO2_OTA_OFFSTS</v>
      </c>
      <c r="AV18" s="6" t="s">
        <v>265</v>
      </c>
      <c r="AW18" s="6">
        <f>R15+Z15+AH15+AP15</f>
        <v>0</v>
      </c>
      <c r="BA18" s="12" t="s">
        <v>266</v>
      </c>
      <c r="BB18" s="11">
        <f>AW18</f>
        <v>0</v>
      </c>
      <c r="BE18" s="11" t="str">
        <f t="shared" si="0"/>
        <v>#define IVDSH_DID_WRI_CANBUS_STS_5M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IVDSH_DID_WRI_CANBUS_STS_5M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
      </c>
      <c r="BQ18" s="11" t="str">
        <v/>
      </c>
      <c r="BR18" s="11" t="str">
        <f>IF(AW36="","","    {")</f>
        <v/>
      </c>
      <c r="BS18" s="11" t="str">
        <f>IF(AW26&lt;&gt;"","    {","")</f>
        <v xml:space="preserve">    {</v>
      </c>
    </row>
    <row r="19" spans="5:71">
      <c r="E19" s="6">
        <f t="shared" ref="E19:E82" si="12">E18+1</f>
        <v>2</v>
      </c>
      <c r="F19" s="6">
        <v>35</v>
      </c>
      <c r="G19" s="6" t="str">
        <v>CANBUS_STS_2M2</v>
      </c>
      <c r="H19" s="6" t="str">
        <v>T</v>
      </c>
      <c r="I19" s="6">
        <v>1</v>
      </c>
      <c r="J19" s="6">
        <f>IF(F19="","",I18+J18)</f>
        <v>2</v>
      </c>
      <c r="K19" s="6" t="str">
        <v>IVDSH_DID_WRI_CANBUS_STS_2M2</v>
      </c>
      <c r="N19" s="6">
        <v>35</v>
      </c>
      <c r="O19" s="6" t="str">
        <v>CANBUS_STS_2M2</v>
      </c>
      <c r="P19" s="6" t="str">
        <v>T</v>
      </c>
      <c r="Q19" s="6">
        <v>1</v>
      </c>
      <c r="R19" s="6" t="str">
        <f>IF(P19="R",MAX(R$17:R18,Q$15-1)+1,"")</f>
        <v/>
      </c>
      <c r="S19" s="6" t="str">
        <f t="shared" ref="S19:S82" si="13">IF(OR(R$15=0,N19=""),"",S18)</f>
        <v/>
      </c>
      <c r="T19" s="6" t="str">
        <f t="shared" ref="T19:T82" si="14">IF(OR(N19="",R$15=0),"",T18+Q18)</f>
        <v/>
      </c>
      <c r="U19" s="6" t="str">
        <v>IVDSH_DID_REA_CANBUS_STS_2M2</v>
      </c>
      <c r="V19" s="6">
        <v>10</v>
      </c>
      <c r="W19" s="6" t="str">
        <v>VM1TO2_TIMFMT</v>
      </c>
      <c r="X19" s="6" t="str">
        <v>-</v>
      </c>
      <c r="Y19" s="6">
        <v>1</v>
      </c>
      <c r="Z19" s="6" t="str">
        <f>IF(X19="R",MAX(Z$17:Z18,Y$15-1)+1,"")</f>
        <v/>
      </c>
      <c r="AA19" s="6" t="str">
        <f t="shared" ref="AA19:AA82" si="15">IF(OR(Z$15=0,V19=""),"",AA18)</f>
        <v/>
      </c>
      <c r="AB19" s="6" t="str">
        <f t="shared" ref="AB19:AB82" si="16">IF(OR(V19="",Z$15=0),"",AB18+Y18)</f>
        <v/>
      </c>
      <c r="AC19" s="6" t="str">
        <v>IVDSH_DID_REA_VM1TO2_TIMFMT</v>
      </c>
      <c r="AD19" s="6">
        <v>11</v>
      </c>
      <c r="AE19" s="6" t="str">
        <v>VM2TO1_TIMFMT</v>
      </c>
      <c r="AF19" s="6" t="str">
        <v>-</v>
      </c>
      <c r="AG19" s="6">
        <v>1</v>
      </c>
      <c r="AH19" s="6" t="str">
        <f>IF(AF19="R",MAX(AH$17:AH18,AG$15-1)+1,"")</f>
        <v/>
      </c>
      <c r="AI19" s="6" t="str">
        <f t="shared" si="5"/>
        <v/>
      </c>
      <c r="AJ19" s="6" t="str">
        <f t="shared" si="6"/>
        <v/>
      </c>
      <c r="AK19" s="6" t="str">
        <v>IVDSH_DID_REA_VM2TO1_TIMFMT</v>
      </c>
      <c r="AL19" s="6">
        <v>43</v>
      </c>
      <c r="AM19" s="6" t="str">
        <v>VM3TO2_BOOTLOG_INF</v>
      </c>
      <c r="AN19" s="6" t="str">
        <v>-</v>
      </c>
      <c r="AO19" s="6">
        <v>1</v>
      </c>
      <c r="AP19" s="6" t="str">
        <f>IF(AN19="R",MAX(AP$17:AP18,AO$15-1)+1,"")</f>
        <v/>
      </c>
      <c r="AQ19" s="6" t="str">
        <f t="shared" ref="AQ19:AQ82" si="17">IF(OR(AP$15=0,AL19=""),"",AQ18)</f>
        <v/>
      </c>
      <c r="AR19" s="6" t="str">
        <f t="shared" ref="AR19:AR82" si="18">IF(OR(AL19="",AP$15=0),"",AR18+AO18)</f>
        <v/>
      </c>
      <c r="AS19" s="6" t="str">
        <v>IVDSH_DID_REA_VM3TO2_BOOTLOG_INF</v>
      </c>
      <c r="BA19" s="12" t="s">
        <v>267</v>
      </c>
      <c r="BB19" s="11">
        <f>AW20</f>
        <v>1</v>
      </c>
      <c r="BE19" s="11" t="str">
        <f t="shared" si="0"/>
        <v>#define IVDSH_DID_WRI_CANBUS_STS_2M2             (2U)</v>
      </c>
      <c r="BF19" s="11" t="str">
        <f t="shared" si="1"/>
        <v/>
      </c>
      <c r="BG19" s="11" t="str">
        <f t="shared" si="2"/>
        <v/>
      </c>
      <c r="BH19" s="11" t="str">
        <f t="shared" si="3"/>
        <v/>
      </c>
      <c r="BI19" s="11" t="str">
        <f t="shared" si="4"/>
        <v/>
      </c>
      <c r="BJ19" s="11"/>
      <c r="BK19" s="11" t="str">
        <f t="shared" si="7"/>
        <v xml:space="preserve">    {(U2)2U,        (U2)1U,         (U2)IVDSH_FQ_CH_WRI  },     /* IVDSH_DID_WRI_CANBUS_STS_2M2    */</v>
      </c>
      <c r="BL19" s="11" t="str">
        <f t="shared" si="8"/>
        <v/>
      </c>
      <c r="BM19" s="11" t="str">
        <f t="shared" si="9"/>
        <v/>
      </c>
      <c r="BN19" s="11" t="str">
        <f t="shared" si="10"/>
        <v/>
      </c>
      <c r="BO19" s="11" t="str">
        <f t="shared" si="11"/>
        <v/>
      </c>
      <c r="BP19" s="11" t="str">
        <v/>
      </c>
      <c r="BQ19" s="11" t="str">
        <v/>
      </c>
      <c r="BR19" s="11" t="str">
        <f>IF(AW36="","",IF(AW26&lt;&gt;"",
  "        (U2)IVDSH_WA_NWORD_WRI,                                   /* u2_begin */",
  "        (U2)0U,                                                   /* u2_begin */")
)</f>
        <v/>
      </c>
      <c r="BS19" s="11" t="str">
        <f>IF(AW26&lt;&gt;"","        (U2)0U,                                                   /* u2_begin */","")</f>
        <v xml:space="preserve">        (U2)0U,                                                   /* u2_begin */</v>
      </c>
    </row>
    <row r="20" spans="5:71">
      <c r="E20" s="6">
        <f t="shared" si="12"/>
        <v>3</v>
      </c>
      <c r="F20" s="6">
        <v>38</v>
      </c>
      <c r="G20" s="6" t="str">
        <v>CANBUS_STS_LCAN</v>
      </c>
      <c r="H20" s="6" t="str">
        <v>T</v>
      </c>
      <c r="I20" s="6">
        <v>1</v>
      </c>
      <c r="J20" s="6">
        <f t="shared" ref="J20:J83" si="19">IF(F20="","",I19+J19)</f>
        <v>3</v>
      </c>
      <c r="K20" s="6" t="str">
        <v>IVDSH_DID_WRI_CANBUS_STS_LCAN</v>
      </c>
      <c r="N20" s="6">
        <v>38</v>
      </c>
      <c r="O20" s="6" t="str">
        <v>CANBUS_STS_LCAN</v>
      </c>
      <c r="P20" s="6" t="str">
        <v>T</v>
      </c>
      <c r="Q20" s="6">
        <v>1</v>
      </c>
      <c r="R20" s="6" t="str">
        <f>IF(P20="R",MAX(R$17:R19,Q$15-1)+1,"")</f>
        <v/>
      </c>
      <c r="S20" s="6" t="str">
        <f t="shared" si="13"/>
        <v/>
      </c>
      <c r="T20" s="6" t="str">
        <f t="shared" si="14"/>
        <v/>
      </c>
      <c r="U20" s="6" t="str">
        <v>IVDSH_DID_REA_CANBUS_STS_LCAN</v>
      </c>
      <c r="V20" s="6">
        <v>18</v>
      </c>
      <c r="W20" s="6" t="str">
        <v>VM1TO2_CAL</v>
      </c>
      <c r="X20" s="6" t="str">
        <v>-</v>
      </c>
      <c r="Y20" s="6">
        <v>1</v>
      </c>
      <c r="Z20" s="6" t="str">
        <f>IF(X20="R",MAX(Z$17:Z19,Y$15-1)+1,"")</f>
        <v/>
      </c>
      <c r="AA20" s="6" t="str">
        <f t="shared" si="15"/>
        <v/>
      </c>
      <c r="AB20" s="6" t="str">
        <f t="shared" si="16"/>
        <v/>
      </c>
      <c r="AC20" s="6" t="str">
        <v>IVDSH_DID_REA_VM1TO2_CAL</v>
      </c>
      <c r="AD20" s="6">
        <v>13</v>
      </c>
      <c r="AE20" s="6" t="str">
        <v>VM2TO1_DSPTIM</v>
      </c>
      <c r="AF20" s="6" t="str">
        <v>-</v>
      </c>
      <c r="AG20" s="6">
        <v>1</v>
      </c>
      <c r="AH20" s="6" t="str">
        <f>IF(AF20="R",MAX(AH$17:AH19,AG$15-1)+1,"")</f>
        <v/>
      </c>
      <c r="AI20" s="6" t="str">
        <f t="shared" si="5"/>
        <v/>
      </c>
      <c r="AJ20" s="6" t="str">
        <f t="shared" si="6"/>
        <v/>
      </c>
      <c r="AK20" s="6" t="str">
        <v>IVDSH_DID_REA_VM2TO1_DSPTIM</v>
      </c>
      <c r="AL20" s="6">
        <v>45</v>
      </c>
      <c r="AM20" s="6" t="str">
        <v>VM3TO12_RESTART</v>
      </c>
      <c r="AN20" s="6" t="str">
        <v>-</v>
      </c>
      <c r="AO20" s="6">
        <v>1</v>
      </c>
      <c r="AP20" s="6" t="str">
        <f>IF(AN20="R",MAX(AP$17:AP19,AO$15-1)+1,"")</f>
        <v/>
      </c>
      <c r="AQ20" s="6" t="str">
        <f t="shared" si="17"/>
        <v/>
      </c>
      <c r="AR20" s="6" t="str">
        <f t="shared" si="18"/>
        <v/>
      </c>
      <c r="AS20" s="6" t="str">
        <v>IVDSH_DID_REA_VM3TO12_RESTART</v>
      </c>
      <c r="AV20" s="6" t="s">
        <v>268</v>
      </c>
      <c r="AW20" s="6">
        <f>MAX(AW22:AW26)+1</f>
        <v>1</v>
      </c>
      <c r="BA20" s="12" t="s">
        <v>269</v>
      </c>
      <c r="BB20" s="11">
        <f>AW21</f>
        <v>0</v>
      </c>
      <c r="BE20" s="11" t="str">
        <f t="shared" si="0"/>
        <v>#define IVDSH_DID_WRI_CANBUS_STS_LCAN            (3U)</v>
      </c>
      <c r="BF20" s="11" t="str">
        <f t="shared" si="1"/>
        <v/>
      </c>
      <c r="BG20" s="11" t="str">
        <f t="shared" si="2"/>
        <v/>
      </c>
      <c r="BH20" s="11" t="str">
        <f t="shared" si="3"/>
        <v/>
      </c>
      <c r="BI20" s="11" t="str">
        <f t="shared" si="4"/>
        <v/>
      </c>
      <c r="BJ20" s="11"/>
      <c r="BK20" s="11" t="str">
        <f t="shared" si="7"/>
        <v xml:space="preserve">    {(U2)3U,        (U2)1U,         (U2)IVDSH_FQ_CH_WRI  },     /* IVDSH_DID_WRI_CANBUS_STS_LCAN   */</v>
      </c>
      <c r="BL20" s="11" t="str">
        <f t="shared" si="8"/>
        <v/>
      </c>
      <c r="BM20" s="11" t="str">
        <f t="shared" si="9"/>
        <v/>
      </c>
      <c r="BN20" s="11" t="str">
        <f t="shared" si="10"/>
        <v/>
      </c>
      <c r="BO20" s="11" t="str">
        <f t="shared" si="11"/>
        <v/>
      </c>
      <c r="BP20" s="11" t="str">
        <v/>
      </c>
      <c r="BQ20" s="11" t="str">
        <v/>
      </c>
      <c r="BR20" s="11" t="str">
        <f>IF(AW36="","","        (U2)IVDSH_WA_NWORD_REA_0,                                 /* u2_nword */")</f>
        <v/>
      </c>
      <c r="BS20" s="11" t="str">
        <f>IF(AW26&lt;&gt;"","        (U2)IVDSH_WA_NWORD_WRI,                                   /* u2_nword */","")</f>
        <v xml:space="preserve">        (U2)IVDSH_WA_NWORD_WRI,                                   /* u2_nword */</v>
      </c>
    </row>
    <row r="21" spans="5:71">
      <c r="E21" s="6">
        <f t="shared" si="12"/>
        <v>4</v>
      </c>
      <c r="J21" s="6" t="str">
        <f t="shared" si="19"/>
        <v/>
      </c>
      <c r="R21" s="6" t="str">
        <f>IF(P21="R",MAX(R$17:R20,Q$15-1)+1,"")</f>
        <v/>
      </c>
      <c r="S21" s="6" t="str">
        <f t="shared" si="13"/>
        <v/>
      </c>
      <c r="T21" s="6" t="str">
        <f t="shared" si="14"/>
        <v/>
      </c>
      <c r="V21" s="6">
        <v>21</v>
      </c>
      <c r="W21" s="6" t="str">
        <v>VM1TO2_CALDEF</v>
      </c>
      <c r="X21" s="6" t="str">
        <v>-</v>
      </c>
      <c r="Y21" s="6">
        <v>1</v>
      </c>
      <c r="Z21" s="6" t="str">
        <f>IF(X21="R",MAX(Z$17:Z20,Y$15-1)+1,"")</f>
        <v/>
      </c>
      <c r="AA21" s="6" t="str">
        <f t="shared" si="15"/>
        <v/>
      </c>
      <c r="AB21" s="6" t="str">
        <f t="shared" si="16"/>
        <v/>
      </c>
      <c r="AC21" s="6" t="str">
        <v>IVDSH_DID_REA_VM1TO2_CALDEF</v>
      </c>
      <c r="AD21" s="6">
        <v>15</v>
      </c>
      <c r="AE21" s="6" t="str">
        <v>VM2TO1_DSPCAL</v>
      </c>
      <c r="AF21" s="6" t="str">
        <v>-</v>
      </c>
      <c r="AG21" s="6">
        <v>1</v>
      </c>
      <c r="AH21" s="6" t="str">
        <f>IF(AF21="R",MAX(AH$17:AH20,AG$15-1)+1,"")</f>
        <v/>
      </c>
      <c r="AI21" s="6" t="str">
        <f t="shared" si="5"/>
        <v/>
      </c>
      <c r="AJ21" s="6" t="str">
        <f t="shared" si="6"/>
        <v/>
      </c>
      <c r="AK21" s="6" t="str">
        <v>IVDSH_DID_REA_VM2TO1_DSPCAL</v>
      </c>
      <c r="AL21" s="6">
        <v>48</v>
      </c>
      <c r="AM21" s="6" t="str">
        <v>VM3TO2_BOOT_CNT</v>
      </c>
      <c r="AN21" s="6" t="str">
        <v>-</v>
      </c>
      <c r="AO21" s="6">
        <v>1</v>
      </c>
      <c r="AP21" s="6" t="str">
        <f>IF(AN21="R",MAX(AP$17:AP20,AO$15-1)+1,"")</f>
        <v/>
      </c>
      <c r="AQ21" s="6" t="str">
        <f t="shared" si="17"/>
        <v/>
      </c>
      <c r="AR21" s="6" t="str">
        <f t="shared" si="18"/>
        <v/>
      </c>
      <c r="AS21" s="6" t="str">
        <v>IVDSH_DID_REA_VM3TO2_BOOT_CNT</v>
      </c>
      <c r="AV21" s="6" t="s">
        <v>270</v>
      </c>
      <c r="AW21" s="6">
        <f>COUNTIF(AW22:AW25,"&gt;=0")</f>
        <v>0</v>
      </c>
      <c r="AX21" s="30" t="s">
        <v>271</v>
      </c>
      <c r="BA21" s="12" t="s">
        <v>272</v>
      </c>
      <c r="BB21" s="11">
        <f>AW29</f>
        <v>4</v>
      </c>
      <c r="BE21" s="11" t="str">
        <f t="shared" si="0"/>
        <v/>
      </c>
      <c r="BF21" s="11" t="str">
        <f t="shared" si="1"/>
        <v/>
      </c>
      <c r="BG21" s="11" t="str">
        <f t="shared" si="2"/>
        <v/>
      </c>
      <c r="BH21" s="11" t="str">
        <f t="shared" si="3"/>
        <v/>
      </c>
      <c r="BI21" s="11" t="str">
        <f t="shared" si="4"/>
        <v/>
      </c>
      <c r="BJ21" s="11"/>
      <c r="BK21" s="11" t="str">
        <f t="shared" si="7"/>
        <v/>
      </c>
      <c r="BL21" s="11" t="str">
        <f t="shared" si="8"/>
        <v/>
      </c>
      <c r="BM21" s="11" t="str">
        <f t="shared" si="9"/>
        <v/>
      </c>
      <c r="BN21" s="11" t="str">
        <f t="shared" si="10"/>
        <v/>
      </c>
      <c r="BO21" s="11" t="str">
        <f t="shared" si="11"/>
        <v/>
      </c>
      <c r="BP21" s="11"/>
      <c r="BQ21" s="11"/>
      <c r="BR21" s="11" t="str" cm="1">
        <f t="array" ref="BR21">IF(AW36="","","        (U2)"&amp;INDEX(B6:B9,AX36+1)&amp;"                       /* u2_fq_ch */")</f>
        <v/>
      </c>
      <c r="BS21" s="11" t="str">
        <f>IF(AW26&lt;&gt;"","        (U2)"&amp;B5&amp;"                       /* u2_fq_ch */","")</f>
        <v xml:space="preserve">        (U2)EHVM_TX_VCCID_VCC_SHARED_TX_VM0                       /* u2_fq_ch */</v>
      </c>
    </row>
    <row r="22" spans="5:71">
      <c r="E22" s="6">
        <f t="shared" si="12"/>
        <v>5</v>
      </c>
      <c r="J22" s="6" t="str">
        <f t="shared" si="19"/>
        <v/>
      </c>
      <c r="R22" s="6" t="str">
        <f>IF(P22="R",MAX(R$17:R21,Q$15-1)+1,"")</f>
        <v/>
      </c>
      <c r="S22" s="6" t="str">
        <f t="shared" si="13"/>
        <v/>
      </c>
      <c r="T22" s="6" t="str">
        <f t="shared" si="14"/>
        <v/>
      </c>
      <c r="V22" s="6">
        <v>22</v>
      </c>
      <c r="W22" s="6" t="str">
        <v>VM1TO2_CALMIN</v>
      </c>
      <c r="X22" s="6" t="str">
        <v>-</v>
      </c>
      <c r="Y22" s="6">
        <v>1</v>
      </c>
      <c r="Z22" s="6" t="str">
        <f>IF(X22="R",MAX(Z$17:Z21,Y$15-1)+1,"")</f>
        <v/>
      </c>
      <c r="AA22" s="6" t="str">
        <f t="shared" si="15"/>
        <v/>
      </c>
      <c r="AB22" s="6" t="str">
        <f t="shared" si="16"/>
        <v/>
      </c>
      <c r="AC22" s="6" t="str">
        <v>IVDSH_DID_REA_VM1TO2_CALMIN</v>
      </c>
      <c r="AD22" s="6">
        <v>19</v>
      </c>
      <c r="AE22" s="6" t="str">
        <v>VM2TO1_CAL</v>
      </c>
      <c r="AF22" s="6" t="str">
        <v>-</v>
      </c>
      <c r="AG22" s="6">
        <v>1</v>
      </c>
      <c r="AH22" s="6" t="str">
        <f>IF(AF22="R",MAX(AH$17:AH21,AG$15-1)+1,"")</f>
        <v/>
      </c>
      <c r="AI22" s="6" t="str">
        <f t="shared" si="5"/>
        <v/>
      </c>
      <c r="AJ22" s="6" t="str">
        <f t="shared" si="6"/>
        <v/>
      </c>
      <c r="AK22" s="6" t="str">
        <v>IVDSH_DID_REA_VM2TO1_CAL</v>
      </c>
      <c r="AL22" s="6">
        <v>49</v>
      </c>
      <c r="AM22" s="6" t="str">
        <v>VM3TO2_BOOT_TIME</v>
      </c>
      <c r="AN22" s="6" t="str">
        <v>-</v>
      </c>
      <c r="AO22" s="6">
        <v>1</v>
      </c>
      <c r="AP22" s="6" t="str">
        <f>IF(AN22="R",MAX(AP$17:AP21,AO$15-1)+1,"")</f>
        <v/>
      </c>
      <c r="AQ22" s="6" t="str">
        <f t="shared" si="17"/>
        <v/>
      </c>
      <c r="AR22" s="6" t="str">
        <f t="shared" si="18"/>
        <v/>
      </c>
      <c r="AS22" s="6" t="str">
        <v>IVDSH_DID_REA_VM3TO2_BOOT_TIME</v>
      </c>
      <c r="AV22" s="6" t="str">
        <f>"IVDSH_FQ_CH_REA_"&amp;COUNTIF(AW$22:AW22,"&gt;=0")-1</f>
        <v>IVDSH_FQ_CH_REA_-1</v>
      </c>
      <c r="AW22" s="6" t="str">
        <f>IF(AW30="","",COUNTIF(AW$30:AW30,"&gt;0")-1)</f>
        <v/>
      </c>
      <c r="AX22" s="31">
        <v>0</v>
      </c>
      <c r="BA22" s="12" t="s">
        <v>273</v>
      </c>
      <c r="BB22" s="11">
        <f>AW28</f>
        <v>4</v>
      </c>
      <c r="BE22" s="11" t="str">
        <f t="shared" si="0"/>
        <v/>
      </c>
      <c r="BF22" s="11" t="str">
        <f t="shared" si="1"/>
        <v/>
      </c>
      <c r="BG22" s="11" t="str">
        <f t="shared" si="2"/>
        <v/>
      </c>
      <c r="BH22" s="11" t="str">
        <f t="shared" si="3"/>
        <v/>
      </c>
      <c r="BI22" s="11" t="str">
        <f t="shared" si="4"/>
        <v/>
      </c>
      <c r="BJ22" s="11"/>
      <c r="BK22" s="11" t="str">
        <f t="shared" si="7"/>
        <v/>
      </c>
      <c r="BL22" s="11" t="str">
        <f t="shared" si="8"/>
        <v/>
      </c>
      <c r="BM22" s="11" t="str">
        <f t="shared" si="9"/>
        <v/>
      </c>
      <c r="BN22" s="11" t="str">
        <f t="shared" si="10"/>
        <v/>
      </c>
      <c r="BO22" s="11" t="str">
        <f t="shared" si="11"/>
        <v/>
      </c>
      <c r="BP22" s="11"/>
      <c r="BQ22" s="11"/>
      <c r="BR22" s="28" t="str">
        <f>IF(AW36="","","    },")</f>
        <v/>
      </c>
      <c r="BS22" s="11" t="str">
        <f>IF(AW26&lt;&gt;"","    },","")</f>
        <v xml:space="preserve">    },</v>
      </c>
    </row>
    <row r="23" spans="5:71">
      <c r="E23" s="6">
        <f t="shared" si="12"/>
        <v>6</v>
      </c>
      <c r="J23" s="6" t="str">
        <f t="shared" si="19"/>
        <v/>
      </c>
      <c r="R23" s="6" t="str">
        <f>IF(P23="R",MAX(R$17:R22,Q$15-1)+1,"")</f>
        <v/>
      </c>
      <c r="S23" s="6" t="str">
        <f t="shared" si="13"/>
        <v/>
      </c>
      <c r="T23" s="6" t="str">
        <f t="shared" si="14"/>
        <v/>
      </c>
      <c r="V23" s="6">
        <v>23</v>
      </c>
      <c r="W23" s="6" t="str">
        <v>VM1TO3_SPI_FAIL</v>
      </c>
      <c r="X23" s="6" t="str">
        <v>-</v>
      </c>
      <c r="Y23" s="6">
        <v>1</v>
      </c>
      <c r="Z23" s="6" t="str">
        <f>IF(X23="R",MAX(Z$17:Z22,Y$15-1)+1,"")</f>
        <v/>
      </c>
      <c r="AA23" s="6" t="str">
        <f t="shared" si="15"/>
        <v/>
      </c>
      <c r="AB23" s="6" t="str">
        <f t="shared" si="16"/>
        <v/>
      </c>
      <c r="AC23" s="6" t="str">
        <v>IVDSH_DID_REA_VM1TO3_SPI_FAIL</v>
      </c>
      <c r="AD23" s="6">
        <v>25</v>
      </c>
      <c r="AE23" s="6" t="str">
        <v>VM2TO1_CAM_DIAP</v>
      </c>
      <c r="AF23" s="6" t="str">
        <v>-</v>
      </c>
      <c r="AG23" s="6">
        <v>1</v>
      </c>
      <c r="AH23" s="6" t="str">
        <f>IF(AF23="R",MAX(AH$17:AH22,AG$15-1)+1,"")</f>
        <v/>
      </c>
      <c r="AI23" s="6" t="str">
        <f t="shared" si="5"/>
        <v/>
      </c>
      <c r="AJ23" s="6" t="str">
        <f t="shared" si="6"/>
        <v/>
      </c>
      <c r="AK23" s="6" t="str">
        <v>IVDSH_DID_REA_VM2TO1_CAM_DIAP</v>
      </c>
      <c r="AL23" s="6">
        <v>50</v>
      </c>
      <c r="AM23" s="6" t="str">
        <v>GPS_STS</v>
      </c>
      <c r="AN23" s="6" t="str">
        <v>-</v>
      </c>
      <c r="AO23" s="6">
        <v>1</v>
      </c>
      <c r="AP23" s="6" t="str">
        <f>IF(AN23="R",MAX(AP$17:AP22,AO$15-1)+1,"")</f>
        <v/>
      </c>
      <c r="AQ23" s="6" t="str">
        <f t="shared" si="17"/>
        <v/>
      </c>
      <c r="AR23" s="6" t="str">
        <f t="shared" si="18"/>
        <v/>
      </c>
      <c r="AS23" s="6" t="str">
        <v>IVDSH_DID_REA_GPS_STS</v>
      </c>
      <c r="AV23" s="6" t="str">
        <f>"IVDSH_FQ_CH_REA_"&amp;COUNTIF(AW$22:AW23,"&gt;=0")-1</f>
        <v>IVDSH_FQ_CH_REA_-1</v>
      </c>
      <c r="AW23" s="6" t="str">
        <f>IF(AW31="","",COUNTIF(AW$30:AW31,"&gt;0")-1)</f>
        <v/>
      </c>
      <c r="AX23" s="31">
        <v>1</v>
      </c>
      <c r="BA23" s="12" t="s">
        <v>274</v>
      </c>
      <c r="BB23" s="11" t="str">
        <f>IF(AW29&lt;&gt;0,"&amp;st_sp_IVDSH_FQ_CH[IVDSH_FQ_CH_WRI]","vdp_PTR_NA")</f>
        <v>&amp;st_sp_IVDSH_FQ_CH[IVDSH_FQ_CH_WRI]</v>
      </c>
      <c r="BE23" s="11" t="str">
        <f t="shared" si="0"/>
        <v/>
      </c>
      <c r="BF23" s="11" t="str">
        <f t="shared" si="1"/>
        <v/>
      </c>
      <c r="BG23" s="11" t="str">
        <f t="shared" si="2"/>
        <v/>
      </c>
      <c r="BH23" s="11" t="str">
        <f t="shared" si="3"/>
        <v/>
      </c>
      <c r="BI23" s="11" t="str">
        <f t="shared" si="4"/>
        <v/>
      </c>
      <c r="BJ23" s="11"/>
      <c r="BK23" s="11" t="str">
        <f t="shared" si="7"/>
        <v/>
      </c>
      <c r="BL23" s="11" t="str">
        <f t="shared" si="8"/>
        <v/>
      </c>
      <c r="BM23" s="11" t="str">
        <f t="shared" si="9"/>
        <v/>
      </c>
      <c r="BN23" s="11" t="str">
        <f t="shared" si="10"/>
        <v/>
      </c>
      <c r="BO23" s="11" t="str">
        <f t="shared" si="11"/>
        <v/>
      </c>
      <c r="BP23" s="11"/>
      <c r="BQ23" s="11"/>
      <c r="BR23" s="11" t="str">
        <f>IF(AW37="","","    /* IVDSH_FQ_CH_REA_1 */")</f>
        <v/>
      </c>
      <c r="BS23" s="11"/>
    </row>
    <row r="24" spans="5:71">
      <c r="E24" s="6">
        <f t="shared" si="12"/>
        <v>7</v>
      </c>
      <c r="J24" s="6" t="str">
        <f t="shared" si="19"/>
        <v/>
      </c>
      <c r="R24" s="6" t="str">
        <f>IF(P24="R",MAX(R$17:R23,Q$15-1)+1,"")</f>
        <v/>
      </c>
      <c r="S24" s="6" t="str">
        <f t="shared" si="13"/>
        <v/>
      </c>
      <c r="T24" s="6" t="str">
        <f t="shared" si="14"/>
        <v/>
      </c>
      <c r="V24" s="6">
        <v>26</v>
      </c>
      <c r="W24" s="6" t="str">
        <v>VM1TO2_CAM_DIAP</v>
      </c>
      <c r="X24" s="6" t="str">
        <v>-</v>
      </c>
      <c r="Y24" s="6">
        <v>1</v>
      </c>
      <c r="Z24" s="6" t="str">
        <f>IF(X24="R",MAX(Z$17:Z23,Y$15-1)+1,"")</f>
        <v/>
      </c>
      <c r="AA24" s="6" t="str">
        <f t="shared" si="15"/>
        <v/>
      </c>
      <c r="AB24" s="6" t="str">
        <f t="shared" si="16"/>
        <v/>
      </c>
      <c r="AC24" s="6" t="str">
        <v>IVDSH_DID_REA_VM1TO2_CAM_DIAP</v>
      </c>
      <c r="AD24" s="6">
        <v>42</v>
      </c>
      <c r="AE24" s="6" t="str">
        <v>VM2TO3_WHLINI_REQ</v>
      </c>
      <c r="AF24" s="6" t="str">
        <v>-</v>
      </c>
      <c r="AG24" s="6">
        <v>1</v>
      </c>
      <c r="AH24" s="6" t="str">
        <f>IF(AF24="R",MAX(AH$17:AH23,AG$15-1)+1,"")</f>
        <v/>
      </c>
      <c r="AI24" s="6" t="str">
        <f t="shared" si="5"/>
        <v/>
      </c>
      <c r="AJ24" s="6" t="str">
        <f t="shared" si="6"/>
        <v/>
      </c>
      <c r="AK24" s="6" t="str">
        <v>IVDSH_DID_REA_VM2TO3_WHLINI_REQ</v>
      </c>
      <c r="AP24" s="6" t="str">
        <f>IF(AN24="R",MAX(AP$17:AP23,AO$15-1)+1,"")</f>
        <v/>
      </c>
      <c r="AQ24" s="6" t="str">
        <f t="shared" si="17"/>
        <v/>
      </c>
      <c r="AR24" s="6" t="str">
        <f t="shared" si="18"/>
        <v/>
      </c>
      <c r="AV24" s="6" t="str">
        <f>"IVDSH_FQ_CH_REA_"&amp;COUNTIF(AW$22:AW24,"&gt;=0")-1</f>
        <v>IVDSH_FQ_CH_REA_-1</v>
      </c>
      <c r="AW24" s="6" t="str">
        <f>IF(AW32="","",COUNTIF(AW$30:AW32,"&gt;0")-1)</f>
        <v/>
      </c>
      <c r="AX24" s="31">
        <v>2</v>
      </c>
      <c r="BA24" s="12" t="s">
        <v>275</v>
      </c>
      <c r="BB24" s="11" t="str">
        <f>IF(AW21&lt;&gt;0,"&amp;st_sp_IVDSH_FQ_CH[IVDSH_FQ_CH_REA_0]","&amp;st_sp_IVDSH_FQ_CH[IVDSH_FQ_CH_WRI]")</f>
        <v>&amp;st_sp_IVDSH_FQ_CH[IVDSH_FQ_CH_WRI]</v>
      </c>
      <c r="BE24" s="11" t="str">
        <f t="shared" si="0"/>
        <v/>
      </c>
      <c r="BF24" s="11" t="str">
        <f t="shared" si="1"/>
        <v/>
      </c>
      <c r="BG24" s="11" t="str">
        <f t="shared" si="2"/>
        <v/>
      </c>
      <c r="BH24" s="11" t="str">
        <f t="shared" si="3"/>
        <v/>
      </c>
      <c r="BI24" s="11" t="str">
        <f t="shared" si="4"/>
        <v/>
      </c>
      <c r="BJ24" s="11"/>
      <c r="BK24" s="11" t="str">
        <f t="shared" si="7"/>
        <v/>
      </c>
      <c r="BL24" s="11" t="str">
        <f t="shared" si="8"/>
        <v/>
      </c>
      <c r="BM24" s="11" t="str">
        <f t="shared" si="9"/>
        <v/>
      </c>
      <c r="BN24" s="11" t="str">
        <f t="shared" si="10"/>
        <v/>
      </c>
      <c r="BO24" s="11" t="str">
        <f t="shared" si="11"/>
        <v/>
      </c>
      <c r="BP24" s="11"/>
      <c r="BQ24" s="11"/>
      <c r="BR24" s="11" t="str">
        <f>IF(AW37="","","    {")</f>
        <v/>
      </c>
      <c r="BS24" s="11"/>
    </row>
    <row r="25" spans="5:71">
      <c r="E25" s="6">
        <f t="shared" si="12"/>
        <v>8</v>
      </c>
      <c r="J25" s="6" t="str">
        <f t="shared" si="19"/>
        <v/>
      </c>
      <c r="R25" s="6" t="str">
        <f>IF(P25="R",MAX(R$17:R24,Q$15-1)+1,"")</f>
        <v/>
      </c>
      <c r="S25" s="6" t="str">
        <f t="shared" si="13"/>
        <v/>
      </c>
      <c r="T25" s="6" t="str">
        <f t="shared" si="14"/>
        <v/>
      </c>
      <c r="V25" s="6">
        <v>41</v>
      </c>
      <c r="W25" s="6" t="str">
        <v>VM1TO2_FLYNOP</v>
      </c>
      <c r="X25" s="6" t="str">
        <v>-</v>
      </c>
      <c r="Y25" s="6">
        <v>1</v>
      </c>
      <c r="Z25" s="6" t="str">
        <f>IF(X25="R",MAX(Z$17:Z24,Y$15-1)+1,"")</f>
        <v/>
      </c>
      <c r="AA25" s="6" t="str">
        <f t="shared" si="15"/>
        <v/>
      </c>
      <c r="AB25" s="6" t="str">
        <f t="shared" si="16"/>
        <v/>
      </c>
      <c r="AC25" s="6" t="str">
        <v>IVDSH_DID_REA_VM1TO2_FLYNOP</v>
      </c>
      <c r="AD25" s="6">
        <v>46</v>
      </c>
      <c r="AE25" s="6" t="str">
        <v>VM2TO3_STRMODE</v>
      </c>
      <c r="AF25" s="6" t="str">
        <v>-</v>
      </c>
      <c r="AG25" s="6">
        <v>1</v>
      </c>
      <c r="AH25" s="6" t="str">
        <f>IF(AF25="R",MAX(AH$17:AH24,AG$15-1)+1,"")</f>
        <v/>
      </c>
      <c r="AI25" s="6" t="str">
        <f t="shared" si="5"/>
        <v/>
      </c>
      <c r="AJ25" s="6" t="str">
        <f t="shared" si="6"/>
        <v/>
      </c>
      <c r="AK25" s="6" t="str">
        <v>IVDSH_DID_REA_VM2TO3_STRMODE</v>
      </c>
      <c r="AP25" s="6" t="str">
        <f>IF(AN25="R",MAX(AP$17:AP24,AO$15-1)+1,"")</f>
        <v/>
      </c>
      <c r="AQ25" s="6" t="str">
        <f t="shared" si="17"/>
        <v/>
      </c>
      <c r="AR25" s="6" t="str">
        <f t="shared" si="18"/>
        <v/>
      </c>
      <c r="AV25" s="6" t="str">
        <f>"IVDSH_FQ_CH_REA_"&amp;COUNTIF(AW$22:AW25,"&gt;=0")-1</f>
        <v>IVDSH_FQ_CH_REA_-1</v>
      </c>
      <c r="AW25" s="6" t="str">
        <f>IF(AW33="","",COUNTIF(AW$30:AW33,"&gt;0")-1)</f>
        <v/>
      </c>
      <c r="AX25" s="31">
        <v>3</v>
      </c>
      <c r="BA25" s="12" t="s">
        <v>276</v>
      </c>
      <c r="BB25" s="11" t="str">
        <f>B4</f>
        <v>"ehvm_cfg_pe0_vm0.h"</v>
      </c>
      <c r="BE25" s="11" t="str">
        <f t="shared" si="0"/>
        <v/>
      </c>
      <c r="BF25" s="11" t="str">
        <f t="shared" si="1"/>
        <v/>
      </c>
      <c r="BG25" s="11" t="str">
        <f t="shared" si="2"/>
        <v/>
      </c>
      <c r="BH25" s="11" t="str">
        <f t="shared" si="3"/>
        <v/>
      </c>
      <c r="BI25" s="11" t="str">
        <f t="shared" si="4"/>
        <v/>
      </c>
      <c r="BJ25" s="11"/>
      <c r="BK25" s="11" t="str">
        <f t="shared" si="7"/>
        <v/>
      </c>
      <c r="BL25" s="11" t="str">
        <f t="shared" si="8"/>
        <v/>
      </c>
      <c r="BM25" s="11" t="str">
        <f t="shared" si="9"/>
        <v/>
      </c>
      <c r="BN25" s="11" t="str">
        <f t="shared" si="10"/>
        <v/>
      </c>
      <c r="BO25" s="11" t="str">
        <f t="shared" si="11"/>
        <v/>
      </c>
      <c r="BP25" s="11"/>
      <c r="BQ25" s="11"/>
      <c r="BR25" s="11" t="str">
        <f>IF(AW37="","",IF(AW26&lt;&gt;"",
  "        ((U2)IVDSH_WA_NWORD_WRI          +                        /* u2_begin */",
  "       (U2)IVDSH_WA_NWORD_REA_0,                                  /* u2_begin */")
)</f>
        <v/>
      </c>
      <c r="BS25" s="11"/>
    </row>
    <row r="26" spans="5:71">
      <c r="E26" s="6">
        <f t="shared" si="12"/>
        <v>9</v>
      </c>
      <c r="J26" s="6" t="str">
        <f t="shared" si="19"/>
        <v/>
      </c>
      <c r="R26" s="6" t="str">
        <f>IF(P26="R",MAX(R$17:R25,Q$15-1)+1,"")</f>
        <v/>
      </c>
      <c r="S26" s="6" t="str">
        <f t="shared" si="13"/>
        <v/>
      </c>
      <c r="T26" s="6" t="str">
        <f t="shared" si="14"/>
        <v/>
      </c>
      <c r="V26" s="6">
        <v>44</v>
      </c>
      <c r="W26" s="6" t="str">
        <v>VM1TO23_FSLP</v>
      </c>
      <c r="X26" s="6" t="str">
        <v>-</v>
      </c>
      <c r="Y26" s="6">
        <v>1</v>
      </c>
      <c r="Z26" s="6" t="str">
        <f>IF(X26="R",MAX(Z$17:Z25,Y$15-1)+1,"")</f>
        <v/>
      </c>
      <c r="AA26" s="6" t="str">
        <f t="shared" si="15"/>
        <v/>
      </c>
      <c r="AB26" s="6" t="str">
        <f t="shared" si="16"/>
        <v/>
      </c>
      <c r="AC26" s="6" t="str">
        <v>IVDSH_DID_REA_VM1TO23_FSLP</v>
      </c>
      <c r="AD26" s="6">
        <v>47</v>
      </c>
      <c r="AE26" s="6" t="str">
        <v>VM2TO3_OPESTS</v>
      </c>
      <c r="AF26" s="6" t="str">
        <v>-</v>
      </c>
      <c r="AG26" s="6">
        <v>1</v>
      </c>
      <c r="AH26" s="6" t="str">
        <f>IF(AF26="R",MAX(AH$17:AH25,AG$15-1)+1,"")</f>
        <v/>
      </c>
      <c r="AI26" s="6" t="str">
        <f t="shared" si="5"/>
        <v/>
      </c>
      <c r="AJ26" s="6" t="str">
        <f t="shared" si="6"/>
        <v/>
      </c>
      <c r="AK26" s="6" t="str">
        <v>IVDSH_DID_REA_VM2TO3_OPESTS</v>
      </c>
      <c r="AP26" s="6" t="str">
        <f>IF(AN26="R",MAX(AP$17:AP25,AO$15-1)+1,"")</f>
        <v/>
      </c>
      <c r="AQ26" s="6" t="str">
        <f t="shared" si="17"/>
        <v/>
      </c>
      <c r="AR26" s="6" t="str">
        <f t="shared" si="18"/>
        <v/>
      </c>
      <c r="AV26" s="6" t="s">
        <v>277</v>
      </c>
      <c r="AW26" s="6">
        <f>IF(AW29=0,"",COUNTIF(AW$29:AW33,"&gt;0")-1)</f>
        <v>0</v>
      </c>
      <c r="BA26" s="12"/>
      <c r="BE26" s="11" t="str">
        <f t="shared" si="0"/>
        <v/>
      </c>
      <c r="BF26" s="11" t="str">
        <f t="shared" si="1"/>
        <v/>
      </c>
      <c r="BG26" s="11" t="str">
        <f t="shared" si="2"/>
        <v/>
      </c>
      <c r="BH26" s="11" t="str">
        <f t="shared" si="3"/>
        <v/>
      </c>
      <c r="BI26" s="11" t="str">
        <f t="shared" si="4"/>
        <v/>
      </c>
      <c r="BJ26" s="11"/>
      <c r="BK26" s="11" t="str">
        <f t="shared" si="7"/>
        <v/>
      </c>
      <c r="BL26" s="11" t="str">
        <f t="shared" si="8"/>
        <v/>
      </c>
      <c r="BM26" s="11" t="str">
        <f t="shared" si="9"/>
        <v/>
      </c>
      <c r="BN26" s="11" t="str">
        <f t="shared" si="10"/>
        <v/>
      </c>
      <c r="BO26" s="11" t="str">
        <f t="shared" si="11"/>
        <v/>
      </c>
      <c r="BP26" s="11"/>
      <c r="BQ26" s="11"/>
      <c r="BR26" s="11" t="str">
        <f>IF(AW37="","",IF(AW26&lt;&gt;"",
  "         ((U2)IVDSH_WA_NWORD_REA_0 &lt;&lt; 1)),",
  "")
)</f>
        <v/>
      </c>
      <c r="BS26" s="11"/>
    </row>
    <row r="27" spans="5:71">
      <c r="E27" s="6">
        <f t="shared" si="12"/>
        <v>10</v>
      </c>
      <c r="J27" s="6" t="str">
        <f t="shared" si="19"/>
        <v/>
      </c>
      <c r="R27" s="6" t="str">
        <f>IF(P27="R",MAX(R$17:R26,Q$15-1)+1,"")</f>
        <v/>
      </c>
      <c r="S27" s="6" t="str">
        <f t="shared" si="13"/>
        <v/>
      </c>
      <c r="T27" s="6" t="str">
        <f t="shared" si="14"/>
        <v/>
      </c>
      <c r="V27" s="6">
        <v>53</v>
      </c>
      <c r="W27" s="6" t="str">
        <v>VM1TO2_WHLINI_RES</v>
      </c>
      <c r="X27" s="6" t="str">
        <v>-</v>
      </c>
      <c r="Y27" s="6">
        <v>1</v>
      </c>
      <c r="Z27" s="6" t="str">
        <f>IF(X27="R",MAX(Z$17:Z26,Y$15-1)+1,"")</f>
        <v/>
      </c>
      <c r="AA27" s="6" t="str">
        <f t="shared" si="15"/>
        <v/>
      </c>
      <c r="AB27" s="6" t="str">
        <f t="shared" si="16"/>
        <v/>
      </c>
      <c r="AC27" s="6" t="str">
        <v>IVDSH_DID_REA_VM1TO2_WHLINI_RES</v>
      </c>
      <c r="AD27" s="6">
        <v>51</v>
      </c>
      <c r="AE27" s="6" t="str">
        <v>GPS_REQ</v>
      </c>
      <c r="AF27" s="6" t="str">
        <v>-</v>
      </c>
      <c r="AG27" s="6">
        <v>1</v>
      </c>
      <c r="AH27" s="6" t="str">
        <f>IF(AF27="R",MAX(AH$17:AH26,AG$15-1)+1,"")</f>
        <v/>
      </c>
      <c r="AI27" s="6" t="str">
        <f t="shared" si="5"/>
        <v/>
      </c>
      <c r="AJ27" s="6" t="str">
        <f t="shared" si="6"/>
        <v/>
      </c>
      <c r="AK27" s="6" t="str">
        <v>IVDSH_DID_REA_GPS_REQ</v>
      </c>
      <c r="AP27" s="6" t="str">
        <f>IF(AN27="R",MAX(AP$17:AP26,AO$15-1)+1,"")</f>
        <v/>
      </c>
      <c r="AQ27" s="6" t="str">
        <f t="shared" si="17"/>
        <v/>
      </c>
      <c r="AR27" s="6" t="str">
        <f t="shared" si="18"/>
        <v/>
      </c>
      <c r="BA27" s="12"/>
      <c r="BE27" s="11" t="str">
        <f t="shared" si="0"/>
        <v/>
      </c>
      <c r="BF27" s="11" t="str">
        <f t="shared" si="1"/>
        <v/>
      </c>
      <c r="BG27" s="11" t="str">
        <f t="shared" si="2"/>
        <v/>
      </c>
      <c r="BH27" s="11" t="str">
        <f t="shared" si="3"/>
        <v/>
      </c>
      <c r="BI27" s="11" t="str">
        <f t="shared" si="4"/>
        <v/>
      </c>
      <c r="BJ27" s="11"/>
      <c r="BK27" s="11" t="str">
        <f t="shared" si="7"/>
        <v/>
      </c>
      <c r="BL27" s="11" t="str">
        <f t="shared" si="8"/>
        <v/>
      </c>
      <c r="BM27" s="11" t="str">
        <f t="shared" si="9"/>
        <v/>
      </c>
      <c r="BN27" s="11" t="str">
        <f t="shared" si="10"/>
        <v/>
      </c>
      <c r="BO27" s="11" t="str">
        <f t="shared" si="11"/>
        <v/>
      </c>
      <c r="BP27" s="11"/>
      <c r="BQ27" s="11"/>
      <c r="BR27" s="11" t="str">
        <f>IF(AW37="","","        (U2)IVDSH_WA_NWORD_REA_1,                                 /* u2_nword */")</f>
        <v/>
      </c>
      <c r="BS27" s="11"/>
    </row>
    <row r="28" spans="5:71">
      <c r="E28" s="6">
        <f t="shared" si="12"/>
        <v>11</v>
      </c>
      <c r="J28" s="6" t="str">
        <f t="shared" si="19"/>
        <v/>
      </c>
      <c r="R28" s="6" t="str">
        <f>IF(P28="R",MAX(R$17:R27,Q$15-1)+1,"")</f>
        <v/>
      </c>
      <c r="S28" s="6" t="str">
        <f t="shared" si="13"/>
        <v/>
      </c>
      <c r="T28" s="6" t="str">
        <f t="shared" si="14"/>
        <v/>
      </c>
      <c r="V28" s="6">
        <v>54</v>
      </c>
      <c r="W28" s="6" t="str">
        <v>VM1TO3_WHLINI_INF</v>
      </c>
      <c r="X28" s="6" t="str">
        <v>-</v>
      </c>
      <c r="Y28" s="6">
        <v>1</v>
      </c>
      <c r="Z28" s="6" t="str">
        <f>IF(X28="R",MAX(Z$17:Z27,Y$15-1)+1,"")</f>
        <v/>
      </c>
      <c r="AA28" s="6" t="str">
        <f t="shared" si="15"/>
        <v/>
      </c>
      <c r="AB28" s="6" t="str">
        <f t="shared" si="16"/>
        <v/>
      </c>
      <c r="AC28" s="6" t="str">
        <v>IVDSH_DID_REA_VM1TO3_WHLINI_INF</v>
      </c>
      <c r="AD28" s="6">
        <v>52</v>
      </c>
      <c r="AE28" s="6" t="str">
        <v>VM2TO1_WHLINI_REQ</v>
      </c>
      <c r="AF28" s="6" t="str">
        <v>-</v>
      </c>
      <c r="AG28" s="6">
        <v>1</v>
      </c>
      <c r="AH28" s="6" t="str">
        <f>IF(AF28="R",MAX(AH$17:AH27,AG$15-1)+1,"")</f>
        <v/>
      </c>
      <c r="AI28" s="6" t="str">
        <f t="shared" si="5"/>
        <v/>
      </c>
      <c r="AJ28" s="6" t="str">
        <f t="shared" si="6"/>
        <v/>
      </c>
      <c r="AK28" s="6" t="str">
        <v>IVDSH_DID_REA_VM2TO1_WHLINI_REQ</v>
      </c>
      <c r="AP28" s="6" t="str">
        <f>IF(AN28="R",MAX(AP$17:AP27,AO$15-1)+1,"")</f>
        <v/>
      </c>
      <c r="AQ28" s="6" t="str">
        <f t="shared" si="17"/>
        <v/>
      </c>
      <c r="AR28" s="6" t="str">
        <f t="shared" si="18"/>
        <v/>
      </c>
      <c r="AV28" s="6" t="s">
        <v>278</v>
      </c>
      <c r="AW28" s="6">
        <f>AW29+SUM(AW30:AW33)*2</f>
        <v>4</v>
      </c>
      <c r="BA28" s="12"/>
      <c r="BE28" s="11" t="str">
        <f t="shared" si="0"/>
        <v/>
      </c>
      <c r="BF28" s="11" t="str">
        <f t="shared" si="1"/>
        <v/>
      </c>
      <c r="BG28" s="11" t="str">
        <f t="shared" si="2"/>
        <v/>
      </c>
      <c r="BH28" s="11" t="str">
        <f t="shared" si="3"/>
        <v/>
      </c>
      <c r="BI28" s="11" t="str">
        <f t="shared" si="4"/>
        <v/>
      </c>
      <c r="BJ28" s="11"/>
      <c r="BK28" s="11" t="str">
        <f t="shared" si="7"/>
        <v/>
      </c>
      <c r="BL28" s="11" t="str">
        <f t="shared" si="8"/>
        <v/>
      </c>
      <c r="BM28" s="11" t="str">
        <f t="shared" si="9"/>
        <v/>
      </c>
      <c r="BN28" s="11" t="str">
        <f t="shared" si="10"/>
        <v/>
      </c>
      <c r="BO28" s="11" t="str">
        <f t="shared" si="11"/>
        <v/>
      </c>
      <c r="BP28" s="11"/>
      <c r="BQ28" s="11"/>
      <c r="BR28" s="11" t="str" cm="1">
        <f t="array" ref="BR28">IF(AW37="","","        (U2)"&amp;INDEX(B6:B9,AX37+1)&amp;"                       /* u2_fq_ch */")</f>
        <v/>
      </c>
      <c r="BS28" s="11"/>
    </row>
    <row r="29" spans="5:71">
      <c r="E29" s="6">
        <f t="shared" si="12"/>
        <v>12</v>
      </c>
      <c r="J29" s="6" t="str">
        <f t="shared" si="19"/>
        <v/>
      </c>
      <c r="R29" s="6" t="str">
        <f>IF(P29="R",MAX(R$17:R28,Q$15-1)+1,"")</f>
        <v/>
      </c>
      <c r="S29" s="6" t="str">
        <f t="shared" si="13"/>
        <v/>
      </c>
      <c r="T29" s="6" t="str">
        <f t="shared" si="14"/>
        <v/>
      </c>
      <c r="Z29" s="6" t="str">
        <f>IF(X29="R",MAX(Z$17:Z28,Y$15-1)+1,"")</f>
        <v/>
      </c>
      <c r="AA29" s="6" t="str">
        <f t="shared" si="15"/>
        <v/>
      </c>
      <c r="AB29" s="6" t="str">
        <f t="shared" si="16"/>
        <v/>
      </c>
      <c r="AD29" s="6">
        <v>55</v>
      </c>
      <c r="AE29" s="6" t="str">
        <v>VM2TO3_DIN2_STAT</v>
      </c>
      <c r="AF29" s="6" t="str">
        <v>-</v>
      </c>
      <c r="AG29" s="6">
        <v>1</v>
      </c>
      <c r="AH29" s="6" t="str">
        <f>IF(AF29="R",MAX(AH$17:AH28,AG$15-1)+1,"")</f>
        <v/>
      </c>
      <c r="AI29" s="6" t="str">
        <f t="shared" si="5"/>
        <v/>
      </c>
      <c r="AJ29" s="6" t="str">
        <f t="shared" si="6"/>
        <v/>
      </c>
      <c r="AK29" s="6" t="str">
        <v>IVDSH_DID_REA_VM2TO3_DIN2_STAT</v>
      </c>
      <c r="AP29" s="6" t="str">
        <f>IF(AN29="R",MAX(AP$17:AP28,AO$15-1)+1,"")</f>
        <v/>
      </c>
      <c r="AQ29" s="6" t="str">
        <f t="shared" si="17"/>
        <v/>
      </c>
      <c r="AR29" s="6" t="str">
        <f t="shared" si="18"/>
        <v/>
      </c>
      <c r="AV29" s="6" t="s">
        <v>279</v>
      </c>
      <c r="AW29" s="6">
        <f>SUM(I$17:I529)</f>
        <v>4</v>
      </c>
      <c r="AX29" s="30" t="s">
        <v>271</v>
      </c>
      <c r="BA29" s="12"/>
      <c r="BE29" s="11" t="str">
        <f t="shared" si="0"/>
        <v/>
      </c>
      <c r="BF29" s="11" t="str">
        <f t="shared" si="1"/>
        <v/>
      </c>
      <c r="BG29" s="11" t="str">
        <f t="shared" si="2"/>
        <v/>
      </c>
      <c r="BH29" s="11" t="str">
        <f t="shared" si="3"/>
        <v/>
      </c>
      <c r="BI29" s="11" t="str">
        <f t="shared" si="4"/>
        <v/>
      </c>
      <c r="BJ29" s="11"/>
      <c r="BK29" s="11" t="str">
        <f t="shared" si="7"/>
        <v/>
      </c>
      <c r="BL29" s="11" t="str">
        <f t="shared" si="8"/>
        <v/>
      </c>
      <c r="BM29" s="11" t="str">
        <f t="shared" si="9"/>
        <v/>
      </c>
      <c r="BN29" s="11" t="str">
        <f t="shared" si="10"/>
        <v/>
      </c>
      <c r="BO29" s="11" t="str">
        <f t="shared" si="11"/>
        <v/>
      </c>
      <c r="BP29" s="11"/>
      <c r="BQ29" s="11"/>
      <c r="BR29" s="28" t="str">
        <f>IF(AW37="","","    },")</f>
        <v/>
      </c>
      <c r="BS29" s="11"/>
    </row>
    <row r="30" spans="5:71">
      <c r="E30" s="6">
        <f t="shared" si="12"/>
        <v>13</v>
      </c>
      <c r="J30" s="6" t="str">
        <f t="shared" si="19"/>
        <v/>
      </c>
      <c r="R30" s="6" t="str">
        <f>IF(P30="R",MAX(R$17:R29,Q$15-1)+1,"")</f>
        <v/>
      </c>
      <c r="S30" s="6" t="str">
        <f t="shared" si="13"/>
        <v/>
      </c>
      <c r="T30" s="6" t="str">
        <f t="shared" si="14"/>
        <v/>
      </c>
      <c r="Z30" s="6" t="str">
        <f>IF(X30="R",MAX(Z$17:Z29,Y$15-1)+1,"")</f>
        <v/>
      </c>
      <c r="AA30" s="6" t="str">
        <f t="shared" si="15"/>
        <v/>
      </c>
      <c r="AB30" s="6" t="str">
        <f t="shared" si="16"/>
        <v/>
      </c>
      <c r="AD30" s="6">
        <v>56</v>
      </c>
      <c r="AE30" s="6" t="str">
        <v>VM2TO1_DMS1S02</v>
      </c>
      <c r="AF30" s="6" t="str">
        <v>-</v>
      </c>
      <c r="AG30" s="6">
        <v>1</v>
      </c>
      <c r="AH30" s="6" t="str">
        <f>IF(AF30="R",MAX(AH$17:AH29,AG$15-1)+1,"")</f>
        <v/>
      </c>
      <c r="AI30" s="6" t="str">
        <f t="shared" si="5"/>
        <v/>
      </c>
      <c r="AJ30" s="6" t="str">
        <f t="shared" si="6"/>
        <v/>
      </c>
      <c r="AK30" s="6" t="str">
        <v>IVDSH_DID_REA_VM2TO1_DMS1S02</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
      </c>
      <c r="BI30" s="11" t="str">
        <f t="shared" si="4"/>
        <v/>
      </c>
      <c r="BJ30" s="11"/>
      <c r="BK30" s="11" t="str">
        <f t="shared" si="7"/>
        <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Z31" s="6" t="str">
        <f>IF(X31="R",MAX(Z$17:Z30,Y$15-1)+1,"")</f>
        <v/>
      </c>
      <c r="AA31" s="6" t="str">
        <f t="shared" si="15"/>
        <v/>
      </c>
      <c r="AB31" s="6" t="str">
        <f t="shared" si="16"/>
        <v/>
      </c>
      <c r="AD31" s="6">
        <v>57</v>
      </c>
      <c r="AE31" s="6" t="str">
        <v>VM2TO1_MET1S27</v>
      </c>
      <c r="AF31" s="6" t="str">
        <v>-</v>
      </c>
      <c r="AG31" s="6">
        <v>1</v>
      </c>
      <c r="AH31" s="6" t="str">
        <f>IF(AF31="R",MAX(AH$17:AH30,AG$15-1)+1,"")</f>
        <v/>
      </c>
      <c r="AI31" s="6" t="str">
        <f t="shared" si="5"/>
        <v/>
      </c>
      <c r="AJ31" s="6" t="str">
        <f t="shared" si="6"/>
        <v/>
      </c>
      <c r="AK31" s="6" t="str">
        <v>IVDSH_DID_REA_VM2TO1_MET1S27</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
      </c>
      <c r="BF31" s="11" t="str">
        <f t="shared" si="1"/>
        <v/>
      </c>
      <c r="BG31" s="11" t="str">
        <f t="shared" si="2"/>
        <v/>
      </c>
      <c r="BH31" s="11" t="str">
        <f t="shared" si="3"/>
        <v/>
      </c>
      <c r="BI31" s="11" t="str">
        <f t="shared" si="4"/>
        <v/>
      </c>
      <c r="BJ31" s="11"/>
      <c r="BK31" s="11" t="str">
        <f t="shared" si="7"/>
        <v/>
      </c>
      <c r="BL31" s="11" t="str">
        <f t="shared" si="8"/>
        <v/>
      </c>
      <c r="BM31" s="11" t="str">
        <f t="shared" si="9"/>
        <v/>
      </c>
      <c r="BN31" s="11" t="str">
        <f t="shared" si="10"/>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Z32" s="6" t="str">
        <f>IF(X32="R",MAX(Z$17:Z31,Y$15-1)+1,"")</f>
        <v/>
      </c>
      <c r="AA32" s="6" t="str">
        <f t="shared" si="15"/>
        <v/>
      </c>
      <c r="AB32" s="6" t="str">
        <f t="shared" si="16"/>
        <v/>
      </c>
      <c r="AD32" s="6">
        <v>58</v>
      </c>
      <c r="AE32" s="6" t="str">
        <v>VM2TO1_MET1S28</v>
      </c>
      <c r="AF32" s="6" t="str">
        <v>-</v>
      </c>
      <c r="AG32" s="6">
        <v>1</v>
      </c>
      <c r="AH32" s="6" t="str">
        <f>IF(AF32="R",MAX(AH$17:AH31,AG$15-1)+1,"")</f>
        <v/>
      </c>
      <c r="AI32" s="6" t="str">
        <f t="shared" si="5"/>
        <v/>
      </c>
      <c r="AJ32" s="6" t="str">
        <f t="shared" si="6"/>
        <v/>
      </c>
      <c r="AK32" s="6" t="str">
        <v>IVDSH_DID_REA_VM2TO1_MET1S28</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
      </c>
      <c r="BF32" s="11" t="str">
        <f t="shared" si="1"/>
        <v/>
      </c>
      <c r="BG32" s="11" t="str">
        <f t="shared" si="2"/>
        <v/>
      </c>
      <c r="BH32" s="11" t="str">
        <f t="shared" si="3"/>
        <v/>
      </c>
      <c r="BI32" s="11" t="str">
        <f t="shared" si="4"/>
        <v/>
      </c>
      <c r="BJ32" s="11"/>
      <c r="BK32" s="11" t="str">
        <f t="shared" si="7"/>
        <v/>
      </c>
      <c r="BL32" s="11" t="str">
        <f t="shared" si="8"/>
        <v/>
      </c>
      <c r="BM32" s="11" t="str">
        <f t="shared" si="9"/>
        <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59</v>
      </c>
      <c r="AE33" s="6" t="str">
        <v>VM2TO1_MET1S29</v>
      </c>
      <c r="AF33" s="6" t="str">
        <v>-</v>
      </c>
      <c r="AG33" s="6">
        <v>1</v>
      </c>
      <c r="AH33" s="6" t="str">
        <f>IF(AF33="R",MAX(AH$17:AH32,AG$15-1)+1,"")</f>
        <v/>
      </c>
      <c r="AI33" s="6" t="str">
        <f t="shared" si="5"/>
        <v/>
      </c>
      <c r="AJ33" s="6" t="str">
        <f t="shared" si="6"/>
        <v/>
      </c>
      <c r="AK33" s="6" t="str">
        <v>IVDSH_DID_REA_VM2TO1_MET1S29</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60</v>
      </c>
      <c r="AE34" s="6" t="str">
        <v>VM2TO1_MET1S30</v>
      </c>
      <c r="AF34" s="6" t="str">
        <v>-</v>
      </c>
      <c r="AG34" s="6">
        <v>1</v>
      </c>
      <c r="AH34" s="6" t="str">
        <f>IF(AF34="R",MAX(AH$17:AH33,AG$15-1)+1,"")</f>
        <v/>
      </c>
      <c r="AI34" s="6" t="str">
        <f t="shared" si="5"/>
        <v/>
      </c>
      <c r="AJ34" s="6" t="str">
        <f t="shared" si="6"/>
        <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61</v>
      </c>
      <c r="AE35" s="6" t="str">
        <v>VM2TO1_MET1S43</v>
      </c>
      <c r="AF35" s="6" t="str">
        <v>-</v>
      </c>
      <c r="AG35" s="6">
        <v>1</v>
      </c>
      <c r="AH35" s="6" t="str">
        <f>IF(AF35="R",MAX(AH$17:AH34,AG$15-1)+1,"")</f>
        <v/>
      </c>
      <c r="AI35" s="6" t="str">
        <f t="shared" si="5"/>
        <v/>
      </c>
      <c r="AJ35" s="6" t="str">
        <f t="shared" si="6"/>
        <v/>
      </c>
      <c r="AK35" s="6" t="str">
        <v>IVDSH_DID_REA_VM2TO1_MET1S43</v>
      </c>
      <c r="AP35" s="6" t="str">
        <f>IF(AN35="R",MAX(AP$17:AP34,AO$15-1)+1,"")</f>
        <v/>
      </c>
      <c r="AQ35" s="6" t="str">
        <f t="shared" si="17"/>
        <v/>
      </c>
      <c r="AR35" s="6" t="str">
        <f t="shared" si="18"/>
        <v/>
      </c>
      <c r="AV35" s="30" t="s">
        <v>280</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62</v>
      </c>
      <c r="AE36" s="6" t="str">
        <v>VM2TO1_MET1S62</v>
      </c>
      <c r="AF36" s="6" t="str">
        <v>-</v>
      </c>
      <c r="AG36" s="6">
        <v>1</v>
      </c>
      <c r="AH36" s="6" t="str">
        <f>IF(AF36="R",MAX(AH$17:AH35,AG$15-1)+1,"")</f>
        <v/>
      </c>
      <c r="AI36" s="6" t="str">
        <f t="shared" si="5"/>
        <v/>
      </c>
      <c r="AJ36" s="6" t="str">
        <f t="shared" si="6"/>
        <v/>
      </c>
      <c r="AK36" s="6" t="str">
        <v>IVDSH_DID_REA_VM2TO1_MET1S62</v>
      </c>
      <c r="AP36" s="6" t="str">
        <f>IF(AN36="R",MAX(AP$17:AP35,AO$15-1)+1,"")</f>
        <v/>
      </c>
      <c r="AQ36" s="6" t="str">
        <f t="shared" si="17"/>
        <v/>
      </c>
      <c r="AR36" s="6" t="str">
        <f t="shared" si="18"/>
        <v/>
      </c>
      <c r="AV36" s="6" t="s">
        <v>281</v>
      </c>
      <c r="AW36" s="6" t="str">
        <f>IFERROR(INDEX(AW$22:AW$25,MATCH(AV36,AV$22:AV$25,0)),"")</f>
        <v/>
      </c>
      <c r="AX36" s="6" t="str">
        <f>IFERROR(INDEX(AX$22:AX$25,MATCH(AV36,AV$22:AV$25,0)),"")</f>
        <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63</v>
      </c>
      <c r="AE37" s="6" t="str">
        <v>VM2TO1_MET1S70</v>
      </c>
      <c r="AF37" s="6" t="str">
        <v>-</v>
      </c>
      <c r="AG37" s="6">
        <v>1</v>
      </c>
      <c r="AH37" s="6" t="str">
        <f>IF(AF37="R",MAX(AH$17:AH36,AG$15-1)+1,"")</f>
        <v/>
      </c>
      <c r="AI37" s="6" t="str">
        <f t="shared" si="5"/>
        <v/>
      </c>
      <c r="AJ37" s="6" t="str">
        <f t="shared" si="6"/>
        <v/>
      </c>
      <c r="AK37" s="6" t="str">
        <v>IVDSH_DID_REA_VM2TO1_MET1S70</v>
      </c>
      <c r="AP37" s="6" t="str">
        <f>IF(AN37="R",MAX(AP$17:AP36,AO$15-1)+1,"")</f>
        <v/>
      </c>
      <c r="AQ37" s="6" t="str">
        <f t="shared" si="17"/>
        <v/>
      </c>
      <c r="AR37" s="6" t="str">
        <f t="shared" si="18"/>
        <v/>
      </c>
      <c r="AV37" s="6" t="s">
        <v>282</v>
      </c>
      <c r="AW37" s="6" t="str">
        <f>IFERROR(INDEX(AW$22:AW$25,MATCH(AV37,AV$22:AV$25,0)),"")</f>
        <v/>
      </c>
      <c r="AX37" s="6" t="str">
        <f>IFERROR(INDEX(AX$22:AX$25,MATCH(AV37,AV$22:AV$25,0)),"")</f>
        <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H38" s="6" t="str">
        <f>IF(AF38="R",MAX(AH$17:AH37,AG$15-1)+1,"")</f>
        <v/>
      </c>
      <c r="AI38" s="6" t="str">
        <f t="shared" si="5"/>
        <v/>
      </c>
      <c r="AJ38" s="6" t="str">
        <f t="shared" si="6"/>
        <v/>
      </c>
      <c r="AP38" s="6" t="str">
        <f>IF(AN38="R",MAX(AP$17:AP37,AO$15-1)+1,"")</f>
        <v/>
      </c>
      <c r="AQ38" s="6" t="str">
        <f t="shared" si="17"/>
        <v/>
      </c>
      <c r="AR38" s="6" t="str">
        <f t="shared" si="18"/>
        <v/>
      </c>
      <c r="AV38" s="6" t="s">
        <v>283</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H39" s="6" t="str">
        <f>IF(AF39="R",MAX(AH$17:AH38,AG$15-1)+1,"")</f>
        <v/>
      </c>
      <c r="AI39" s="6" t="str">
        <f t="shared" si="5"/>
        <v/>
      </c>
      <c r="AJ39" s="6" t="str">
        <f t="shared" si="6"/>
        <v/>
      </c>
      <c r="AP39" s="6" t="str">
        <f>IF(AN39="R",MAX(AP$17:AP38,AO$15-1)+1,"")</f>
        <v/>
      </c>
      <c r="AQ39" s="6" t="str">
        <f t="shared" si="17"/>
        <v/>
      </c>
      <c r="AR39" s="6" t="str">
        <f t="shared" si="18"/>
        <v/>
      </c>
      <c r="AV39" s="6" t="s">
        <v>284</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285</v>
      </c>
      <c r="D530" s="6" t="s">
        <v>285</v>
      </c>
      <c r="E530" s="6" t="s">
        <v>285</v>
      </c>
      <c r="F530" s="6" t="s">
        <v>285</v>
      </c>
      <c r="H530" s="6" t="s">
        <v>285</v>
      </c>
      <c r="I530" s="6" t="s">
        <v>285</v>
      </c>
      <c r="J530" s="6" t="s">
        <v>285</v>
      </c>
      <c r="K530" s="6" t="s">
        <v>285</v>
      </c>
      <c r="L530" s="7" t="s">
        <v>285</v>
      </c>
      <c r="M530" s="6" t="s">
        <v>285</v>
      </c>
      <c r="N530" s="6" t="s">
        <v>285</v>
      </c>
      <c r="P530" s="6" t="s">
        <v>285</v>
      </c>
      <c r="Q530" s="6" t="s">
        <v>285</v>
      </c>
      <c r="R530" s="6" t="s">
        <v>285</v>
      </c>
      <c r="S530" s="6" t="s">
        <v>285</v>
      </c>
      <c r="T530" s="6" t="s">
        <v>285</v>
      </c>
      <c r="U530" s="6" t="s">
        <v>285</v>
      </c>
      <c r="V530" s="6" t="s">
        <v>285</v>
      </c>
      <c r="X530" s="6" t="s">
        <v>285</v>
      </c>
      <c r="Y530" s="6" t="s">
        <v>285</v>
      </c>
      <c r="Z530" s="6" t="s">
        <v>285</v>
      </c>
      <c r="AA530" s="6" t="s">
        <v>285</v>
      </c>
      <c r="AB530" s="6" t="s">
        <v>285</v>
      </c>
      <c r="AC530" s="6" t="s">
        <v>285</v>
      </c>
      <c r="AD530" s="6" t="s">
        <v>285</v>
      </c>
      <c r="AF530" s="6" t="s">
        <v>285</v>
      </c>
      <c r="AG530" s="6" t="s">
        <v>285</v>
      </c>
      <c r="AH530" s="6" t="s">
        <v>285</v>
      </c>
      <c r="AI530" s="6" t="s">
        <v>285</v>
      </c>
      <c r="AJ530" s="6" t="s">
        <v>285</v>
      </c>
      <c r="AK530" s="6" t="s">
        <v>285</v>
      </c>
      <c r="AL530" s="6" t="s">
        <v>285</v>
      </c>
      <c r="AN530" s="6" t="s">
        <v>285</v>
      </c>
      <c r="AO530" s="6" t="s">
        <v>285</v>
      </c>
      <c r="AP530" s="6" t="s">
        <v>285</v>
      </c>
      <c r="AQ530" s="6" t="s">
        <v>285</v>
      </c>
      <c r="AR530" s="6" t="s">
        <v>285</v>
      </c>
      <c r="AS530" s="6" t="s">
        <v>285</v>
      </c>
      <c r="AT530" s="6" t="s">
        <v>285</v>
      </c>
      <c r="AU530" s="8" t="s">
        <v>285</v>
      </c>
      <c r="AV530" s="6" t="s">
        <v>286</v>
      </c>
      <c r="AW530" s="6" t="s">
        <v>285</v>
      </c>
      <c r="AX530" s="6" t="s">
        <v>285</v>
      </c>
      <c r="BE530" s="6" t="s">
        <v>285</v>
      </c>
      <c r="BF530" s="6" t="s">
        <v>285</v>
      </c>
      <c r="BG530" s="6" t="s">
        <v>285</v>
      </c>
      <c r="BH530" s="6" t="s">
        <v>285</v>
      </c>
      <c r="BI530" s="6" t="s">
        <v>285</v>
      </c>
      <c r="BJ530" s="6" t="s">
        <v>285</v>
      </c>
      <c r="BK530" s="6" t="s">
        <v>285</v>
      </c>
      <c r="BL530" s="6" t="s">
        <v>285</v>
      </c>
      <c r="BM530" s="6" t="s">
        <v>285</v>
      </c>
      <c r="BN530" s="6" t="s">
        <v>285</v>
      </c>
      <c r="BO530" s="6" t="s">
        <v>285</v>
      </c>
      <c r="BP530" s="6" t="s">
        <v>285</v>
      </c>
      <c r="BQ530" s="6" t="s">
        <v>285</v>
      </c>
      <c r="BR530" s="6" t="s">
        <v>285</v>
      </c>
      <c r="BS530" s="6" t="s">
        <v>285</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46D8-76A3-4875-9850-B85F352E09F5}">
  <sheetPr codeName="Sheet18">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200</v>
      </c>
      <c r="K1" s="1" t="s">
        <v>201</v>
      </c>
      <c r="L1" s="4"/>
      <c r="N1" s="1" t="s">
        <v>103</v>
      </c>
      <c r="U1" s="1" t="s">
        <v>202</v>
      </c>
      <c r="V1" s="1" t="s">
        <v>104</v>
      </c>
      <c r="AC1" s="2" t="str">
        <f>U1</f>
        <v>IVDSH_DID_REA_</v>
      </c>
      <c r="AD1" s="1" t="s">
        <v>105</v>
      </c>
      <c r="AK1" s="2" t="str">
        <f>AC1</f>
        <v>IVDSH_DID_REA_</v>
      </c>
      <c r="AL1" s="1" t="s">
        <v>106</v>
      </c>
      <c r="AS1" s="2" t="str">
        <f>AK1</f>
        <v>IVDSH_DID_REA_</v>
      </c>
      <c r="AU1" s="5"/>
      <c r="AY1" s="4"/>
    </row>
    <row r="2" spans="1:84" ht="21">
      <c r="A2" s="22" t="s">
        <v>203</v>
      </c>
      <c r="E2" s="22" t="s">
        <v>204</v>
      </c>
      <c r="N2" s="22" t="s">
        <v>205</v>
      </c>
      <c r="O2" s="22"/>
      <c r="AV2" s="22" t="s">
        <v>206</v>
      </c>
      <c r="AY2" s="23"/>
      <c r="AZ2" s="13"/>
      <c r="BA2" s="22" t="s">
        <v>207</v>
      </c>
      <c r="BD2" s="13"/>
    </row>
    <row r="3" spans="1:84">
      <c r="A3" s="6" t="s">
        <v>208</v>
      </c>
      <c r="B3" s="1" t="s">
        <v>287</v>
      </c>
      <c r="N3" s="21" t="s">
        <v>209</v>
      </c>
      <c r="O3" s="21"/>
      <c r="BA3" s="21" t="s">
        <v>210</v>
      </c>
      <c r="BE3" s="21" t="s">
        <v>211</v>
      </c>
    </row>
    <row r="4" spans="1:84">
      <c r="A4" s="6" t="s">
        <v>212</v>
      </c>
      <c r="B4" s="1" t="s">
        <v>288</v>
      </c>
      <c r="AY4" s="23"/>
      <c r="AZ4" s="13"/>
      <c r="BD4" s="13"/>
    </row>
    <row r="5" spans="1:84">
      <c r="A5" s="6" t="s">
        <v>214</v>
      </c>
      <c r="B5" s="1" t="s">
        <v>289</v>
      </c>
      <c r="AY5" s="23"/>
      <c r="AZ5" s="13"/>
      <c r="BD5" s="13"/>
    </row>
    <row r="6" spans="1:84">
      <c r="A6" s="6" t="s">
        <v>216</v>
      </c>
      <c r="B6" s="1" t="s">
        <v>217</v>
      </c>
      <c r="AY6" s="23"/>
      <c r="AZ6" s="13"/>
      <c r="BD6" s="13"/>
    </row>
    <row r="7" spans="1:84">
      <c r="A7" s="6" t="s">
        <v>218</v>
      </c>
      <c r="B7" s="1" t="s">
        <v>219</v>
      </c>
      <c r="AY7" s="23"/>
      <c r="AZ7" s="13"/>
      <c r="BD7" s="13"/>
    </row>
    <row r="8" spans="1:84">
      <c r="A8" s="6" t="s">
        <v>220</v>
      </c>
      <c r="B8" s="1" t="s">
        <v>221</v>
      </c>
    </row>
    <row r="9" spans="1:84">
      <c r="A9" s="6" t="s">
        <v>222</v>
      </c>
      <c r="B9" s="1" t="s">
        <v>223</v>
      </c>
      <c r="BJ9" s="29" t="s">
        <v>224</v>
      </c>
      <c r="BR9" s="29" t="s">
        <v>225</v>
      </c>
      <c r="BS9" s="29" t="s">
        <v>226</v>
      </c>
    </row>
    <row r="10" spans="1:84">
      <c r="BE10" s="6" t="s">
        <v>227</v>
      </c>
      <c r="BJ10" s="6" t="s">
        <v>228</v>
      </c>
      <c r="BR10" s="29" t="s">
        <v>229</v>
      </c>
      <c r="BS10" s="29" t="s">
        <v>229</v>
      </c>
    </row>
    <row r="11" spans="1:84">
      <c r="AY11" s="23"/>
      <c r="AZ11" s="13"/>
      <c r="BD11" s="13"/>
      <c r="BE11" s="6" t="s">
        <v>230</v>
      </c>
      <c r="BF11" s="6" t="s">
        <v>231</v>
      </c>
      <c r="BG11" s="6" t="s">
        <v>232</v>
      </c>
      <c r="BH11" s="6" t="s">
        <v>233</v>
      </c>
      <c r="BI11" s="6" t="s">
        <v>234</v>
      </c>
      <c r="BJ11" s="6" t="s">
        <v>235</v>
      </c>
      <c r="BK11" s="6" t="s">
        <v>236</v>
      </c>
      <c r="BL11" s="6" t="s">
        <v>237</v>
      </c>
      <c r="BM11" s="6" t="s">
        <v>238</v>
      </c>
      <c r="BN11" s="6" t="s">
        <v>239</v>
      </c>
      <c r="BO11" s="6" t="s">
        <v>240</v>
      </c>
      <c r="BP11" s="6" t="s">
        <v>241</v>
      </c>
      <c r="BQ11" s="6" t="s">
        <v>242</v>
      </c>
      <c r="BR11" s="6" t="s">
        <v>243</v>
      </c>
      <c r="BS11" s="6" t="s">
        <v>244</v>
      </c>
    </row>
    <row r="12" spans="1:84">
      <c r="BD12" s="26" t="s">
        <v>245</v>
      </c>
      <c r="BE12" s="11"/>
      <c r="BF12" s="11" t="str">
        <f>IF(AW30&lt;&gt;"","/* Read from VM#0 */","")</f>
        <v/>
      </c>
      <c r="BG12" s="11" t="str">
        <f>IF(AW31&lt;&gt;"","/* Read from VM#1 */","")</f>
        <v/>
      </c>
      <c r="BH12" s="11" t="str">
        <f>IF(AW32&lt;&gt;"","/* Read from VM#2 */","")</f>
        <v>/* Read from VM#2 */</v>
      </c>
      <c r="BI12" s="11" t="str">
        <f>IF(AW33&lt;&gt;"","/* Read from VM#3 */","")</f>
        <v>/* Read from VM#3 */</v>
      </c>
      <c r="BJ12" s="11"/>
      <c r="BK12" s="11" t="str">
        <f>IF(AW17&lt;&gt;"","    /*------------------------------------------------------------------*/")</f>
        <v xml:space="preserve">    /*------------------------------------------------------------------*/</v>
      </c>
      <c r="BL12" s="11" t="str">
        <f>IF(AW30&lt;&gt;"","    /*------------------------------------------------------------------*/","")</f>
        <v/>
      </c>
      <c r="BM12" s="11" t="str">
        <f>IF(AW31&lt;&gt;"","    /*------------------------------------------------------------------*/","")</f>
        <v/>
      </c>
      <c r="BN12" s="11" t="str">
        <f>IF(AW32&lt;&gt;"","    /*------------------------------------------------------------------*/","")</f>
        <v xml:space="preserve">    /*------------------------------------------------------------------*/</v>
      </c>
      <c r="BO12" s="11" t="str">
        <f>IF(AW33&lt;&gt;"","    /*------------------------------------------------------------------*/","")</f>
        <v xml:space="preserve">    /*------------------------------------------------------------------*/</v>
      </c>
      <c r="BP12" s="11"/>
      <c r="BQ12" s="11"/>
      <c r="BR12" s="11"/>
      <c r="BS12" s="11"/>
    </row>
    <row r="13" spans="1:84">
      <c r="BD13" s="26" t="s">
        <v>245</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xml:space="preserve">    /* Read from VM#2                                                   */</v>
      </c>
      <c r="BO13" s="11" t="str">
        <f>IF(AW33&lt;&gt;"","    /* Read from VM#3                                                   */","")</f>
        <v xml:space="preserve">    /* Read from VM#3                                                   */</v>
      </c>
      <c r="BP13" s="11"/>
      <c r="BQ13" s="11"/>
      <c r="BR13" s="11"/>
      <c r="BS13" s="11"/>
    </row>
    <row r="14" spans="1:84">
      <c r="F14" s="6" t="s">
        <v>246</v>
      </c>
      <c r="G14" s="6" t="s">
        <v>247</v>
      </c>
      <c r="J14" s="6" t="s">
        <v>248</v>
      </c>
      <c r="O14" s="6" t="s">
        <v>247</v>
      </c>
      <c r="Q14" s="6" t="s">
        <v>249</v>
      </c>
      <c r="R14" s="6" t="s">
        <v>246</v>
      </c>
      <c r="S14" s="6" t="s">
        <v>250</v>
      </c>
      <c r="T14" s="6" t="s">
        <v>248</v>
      </c>
      <c r="U14" s="6" t="s">
        <v>251</v>
      </c>
      <c r="W14" s="6" t="s">
        <v>247</v>
      </c>
      <c r="Y14" s="6" t="s">
        <v>249</v>
      </c>
      <c r="Z14" s="6" t="s">
        <v>246</v>
      </c>
      <c r="AA14" s="6" t="s">
        <v>250</v>
      </c>
      <c r="AB14" s="6" t="s">
        <v>248</v>
      </c>
      <c r="AC14" s="6" t="s">
        <v>251</v>
      </c>
      <c r="AE14" s="6" t="s">
        <v>247</v>
      </c>
      <c r="AG14" s="6" t="s">
        <v>249</v>
      </c>
      <c r="AH14" s="6" t="s">
        <v>246</v>
      </c>
      <c r="AI14" s="6" t="s">
        <v>250</v>
      </c>
      <c r="AJ14" s="6" t="s">
        <v>248</v>
      </c>
      <c r="AK14" s="6" t="s">
        <v>251</v>
      </c>
      <c r="AM14" s="6" t="s">
        <v>247</v>
      </c>
      <c r="AO14" s="6" t="s">
        <v>249</v>
      </c>
      <c r="AP14" s="6" t="s">
        <v>246</v>
      </c>
      <c r="AQ14" s="6" t="s">
        <v>250</v>
      </c>
      <c r="AR14" s="6" t="s">
        <v>248</v>
      </c>
      <c r="AS14" s="6" t="s">
        <v>251</v>
      </c>
      <c r="BD14" s="26" t="s">
        <v>245</v>
      </c>
      <c r="BE14" s="11"/>
      <c r="BF14" s="11"/>
      <c r="BG14" s="11"/>
      <c r="BH14" s="11"/>
      <c r="BI14" s="11"/>
      <c r="BJ14" s="11"/>
      <c r="BK14" s="11" t="str">
        <f>IF(AW17&lt;&gt;"","    /*------------------------------------------------------------------*/")</f>
        <v xml:space="preserve">    /*------------------------------------------------------------------*/</v>
      </c>
      <c r="BL14" s="11" t="str">
        <f>IF(AW30&lt;&gt;"","    /*------------------------------------------------------------------*/","")</f>
        <v/>
      </c>
      <c r="BM14" s="11" t="str">
        <f>IF(AW31&lt;&gt;"","    /*------------------------------------------------------------------*/","")</f>
        <v/>
      </c>
      <c r="BN14" s="11" t="str">
        <f>IF(AW32&lt;&gt;"","    /*------------------------------------------------------------------*/","")</f>
        <v xml:space="preserve">    /*------------------------------------------------------------------*/</v>
      </c>
      <c r="BO14" s="11" t="str">
        <f>IF(AW33&lt;&gt;"","    /*------------------------------------------------------------------*/","")</f>
        <v xml:space="preserve">    /*------------------------------------------------------------------*/</v>
      </c>
      <c r="BP14" s="11"/>
      <c r="BQ14" s="11"/>
      <c r="BR14" s="11"/>
      <c r="BS14" s="11"/>
    </row>
    <row r="15" spans="1:84">
      <c r="F15" s="6">
        <f>IF(F17="",0,COUNTA(F$17:F529))</f>
        <v>12</v>
      </c>
      <c r="G15" s="6" t="s">
        <v>252</v>
      </c>
      <c r="J15" s="14">
        <v>0</v>
      </c>
      <c r="N15" s="9" t="str">
        <f>N1</f>
        <v>VM#0</v>
      </c>
      <c r="O15" s="6" t="s">
        <v>252</v>
      </c>
      <c r="Q15" s="6">
        <f>F15</f>
        <v>12</v>
      </c>
      <c r="R15" s="6">
        <f>COUNTIF(P17:P529,"R")</f>
        <v>0</v>
      </c>
      <c r="S15" s="6">
        <f>COUNTIF(R$15,"&lt;&gt;0")</f>
        <v>0</v>
      </c>
      <c r="T15" s="14">
        <v>0</v>
      </c>
      <c r="U15" s="6">
        <f>COUNTA(U$17:U529)</f>
        <v>4</v>
      </c>
      <c r="V15" s="9" t="str">
        <f>V1</f>
        <v>VM#1(MET)</v>
      </c>
      <c r="W15" s="6" t="str">
        <f>O15</f>
        <v>CPREQ_</v>
      </c>
      <c r="Y15" s="6">
        <f>Q15+R15</f>
        <v>12</v>
      </c>
      <c r="Z15" s="6">
        <f>COUNTIF(X17:X529,"R")</f>
        <v>0</v>
      </c>
      <c r="AA15" s="6">
        <f>S15+COUNTIF(Z$15,"&lt;&gt;0")</f>
        <v>0</v>
      </c>
      <c r="AB15" s="14">
        <v>0</v>
      </c>
      <c r="AC15" s="6">
        <f>COUNTA(AC$17:AC529)</f>
        <v>12</v>
      </c>
      <c r="AD15" s="9" t="str">
        <f>AD1</f>
        <v>VM#2(IVI)</v>
      </c>
      <c r="AE15" s="6" t="str">
        <f>W15</f>
        <v>CPREQ_</v>
      </c>
      <c r="AG15" s="6">
        <f>Y15+Z15</f>
        <v>12</v>
      </c>
      <c r="AH15" s="6">
        <f>COUNTIF(AF17:AF529,"R")</f>
        <v>15</v>
      </c>
      <c r="AI15" s="6">
        <f>AA15+COUNTIF(AH$15,"&lt;&gt;0")</f>
        <v>1</v>
      </c>
      <c r="AJ15" s="14">
        <v>0</v>
      </c>
      <c r="AK15" s="6">
        <f>COUNTA(AK$17:AK529)</f>
        <v>21</v>
      </c>
      <c r="AL15" s="9" t="str">
        <f>AL1</f>
        <v>VM#3(CEN)</v>
      </c>
      <c r="AM15" s="6" t="str">
        <f>AE15</f>
        <v>CPREQ_</v>
      </c>
      <c r="AO15" s="6">
        <f>AG15+AH15</f>
        <v>27</v>
      </c>
      <c r="AP15" s="6">
        <f>COUNTIF(AN17:AN529,"R")</f>
        <v>1</v>
      </c>
      <c r="AQ15" s="6">
        <f>AI15+COUNTIF(AP$15,"&lt;&gt;0")</f>
        <v>2</v>
      </c>
      <c r="AR15" s="14">
        <v>0</v>
      </c>
      <c r="AS15" s="6">
        <f>COUNTA(AS$17:AS529)</f>
        <v>7</v>
      </c>
      <c r="BD15" s="26" t="s">
        <v>245</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253</v>
      </c>
      <c r="F16" s="2" t="s">
        <v>254</v>
      </c>
      <c r="G16" s="2" t="s">
        <v>255</v>
      </c>
      <c r="H16" s="2" t="s">
        <v>256</v>
      </c>
      <c r="I16" s="2" t="s">
        <v>257</v>
      </c>
      <c r="J16" s="2" t="s">
        <v>258</v>
      </c>
      <c r="K16" s="2" t="s">
        <v>259</v>
      </c>
      <c r="L16" s="4"/>
      <c r="N16" s="2" t="s">
        <v>254</v>
      </c>
      <c r="O16" s="2" t="s">
        <v>102</v>
      </c>
      <c r="P16" s="2" t="s">
        <v>256</v>
      </c>
      <c r="Q16" s="2" t="s">
        <v>257</v>
      </c>
      <c r="R16" s="2" t="s">
        <v>253</v>
      </c>
      <c r="S16" s="2" t="s">
        <v>260</v>
      </c>
      <c r="T16" s="2" t="s">
        <v>258</v>
      </c>
      <c r="U16" s="2" t="s">
        <v>261</v>
      </c>
      <c r="V16" s="2" t="s">
        <v>254</v>
      </c>
      <c r="W16" s="2" t="s">
        <v>102</v>
      </c>
      <c r="X16" s="2" t="s">
        <v>256</v>
      </c>
      <c r="Y16" s="2" t="s">
        <v>257</v>
      </c>
      <c r="Z16" s="2" t="s">
        <v>253</v>
      </c>
      <c r="AA16" s="2" t="s">
        <v>260</v>
      </c>
      <c r="AB16" s="2" t="s">
        <v>258</v>
      </c>
      <c r="AC16" s="2" t="s">
        <v>261</v>
      </c>
      <c r="AD16" s="2" t="s">
        <v>254</v>
      </c>
      <c r="AE16" s="2" t="s">
        <v>102</v>
      </c>
      <c r="AF16" s="2" t="s">
        <v>256</v>
      </c>
      <c r="AG16" s="2" t="s">
        <v>257</v>
      </c>
      <c r="AH16" s="2" t="s">
        <v>253</v>
      </c>
      <c r="AI16" s="2" t="s">
        <v>260</v>
      </c>
      <c r="AJ16" s="2" t="s">
        <v>258</v>
      </c>
      <c r="AK16" s="2" t="s">
        <v>261</v>
      </c>
      <c r="AL16" s="2" t="s">
        <v>254</v>
      </c>
      <c r="AM16" s="2" t="s">
        <v>102</v>
      </c>
      <c r="AN16" s="2" t="s">
        <v>256</v>
      </c>
      <c r="AO16" s="2" t="s">
        <v>257</v>
      </c>
      <c r="AP16" s="2" t="s">
        <v>253</v>
      </c>
      <c r="AQ16" s="2" t="s">
        <v>260</v>
      </c>
      <c r="AR16" s="2" t="s">
        <v>258</v>
      </c>
      <c r="AS16" s="2" t="s">
        <v>261</v>
      </c>
      <c r="AU16" s="5"/>
      <c r="AY16" s="4"/>
      <c r="AZ16" s="6"/>
      <c r="BA16" s="6"/>
      <c r="BB16" s="6"/>
      <c r="BC16" s="6"/>
      <c r="BD16" s="26" t="s">
        <v>245</v>
      </c>
      <c r="BE16" s="24"/>
      <c r="BF16" s="24"/>
      <c r="BG16" s="24"/>
      <c r="BH16" s="24"/>
      <c r="BI16" s="24"/>
      <c r="BJ16" s="24"/>
      <c r="BK16" s="24"/>
      <c r="BL16" s="24"/>
      <c r="BM16" s="24"/>
      <c r="BN16" s="24"/>
      <c r="BO16" s="24"/>
      <c r="BP16" s="25"/>
      <c r="BQ16" s="25"/>
      <c r="BR16" s="25"/>
      <c r="BS16" s="25"/>
    </row>
    <row r="17" spans="5:71">
      <c r="E17" s="6">
        <v>0</v>
      </c>
      <c r="F17" s="6" cm="1">
        <f t="array" ref="F17:F28">IFERROR(_xlfn._xlws.FILTER('Inter-VM Data Table'!$A2:$A901,INDEX('Inter-VM Data Table'!2:901,,MATCH(B3,'Inter-VM Data Table'!1:1,0))="T"),"")</f>
        <v>2</v>
      </c>
      <c r="G17" s="6" t="str" cm="1">
        <f t="array" ref="G17:G28">IFERROR(_xlfn._xlws.FILTER('Inter-VM Data Table'!$D2:$D901,INDEX('Inter-VM Data Table'!2:901,,MATCH(B3,'Inter-VM Data Table'!1:1,0))="T"),"")</f>
        <v>VM1TO3_STBY</v>
      </c>
      <c r="H17" s="6" t="str" cm="1">
        <f t="array" ref="H17:H28">IFERROR(_xlfn._xlws.FILTER(INDEX('Inter-VM Data Table'!2:901,,MATCH($B$3,'Inter-VM Data Table'!1:1,0)),INDEX('Inter-VM Data Table'!2:901,,MATCH(B3,'Inter-VM Data Table'!1:1,0))="T"),"")</f>
        <v>T</v>
      </c>
      <c r="I17" s="6" cm="1">
        <f t="array" ref="I17:I28">IFERROR(ROUNDDOWN(     (_xlfn._xlws.FILTER('Inter-VM Data Table'!$I2:$I901,INDEX('Inter-VM Data Table'!2:901,,MATCH(B3,'Inter-VM Data Table'!1:1,0))="T")+3)/4,    0       ),"")</f>
        <v>1</v>
      </c>
      <c r="J17" s="6">
        <v>0</v>
      </c>
      <c r="K17" s="6" t="str" cm="1">
        <f t="array" ref="K17:K28">IF(_xlfn.ANCHORARRAY(G17)=0,K1&amp;G15&amp;TEXT(_xlfn.ANCHORARRAY(F17),"000"),K1&amp;_xlfn.ANCHORARRAY(G17))</f>
        <v>IVDSH_DID_WRI_VM1TO3_STBY</v>
      </c>
      <c r="N17" s="6" cm="1">
        <f t="array" ref="N17:N20">IFERROR(_xlfn._xlws.FILTER('Inter-VM Data Table'!$A2:$A901,INDEX('Inter-VM Data Table'!2:901,,MATCH(N1,'Inter-VM Data Table'!1:1,0))="T"),"")</f>
        <v>29</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28">IFERROR(_xlfn._xlws.FILTER('Inter-VM Data Table'!$A2:$A901,INDEX('Inter-VM Data Table'!2:901,,MATCH(V1,'Inter-VM Data Table'!1:1,0))="T"),"")</f>
        <v>2</v>
      </c>
      <c r="W17" s="6" t="str" cm="1">
        <f t="array" ref="W17:W28">IFERROR(_xlfn._xlws.FILTER('Inter-VM Data Table'!$D2:$D901,INDEX('Inter-VM Data Table'!2:901,,MATCH(V1,'Inter-VM Data Table'!1:1,0))="T"),"")</f>
        <v>VM1TO3_STBY</v>
      </c>
      <c r="X17" s="6" t="str" cm="1">
        <f t="array" ref="X17:X28">IFERROR(_xlfn._xlws.FILTER(INDEX('Inter-VM Data Table'!2:901,,MATCH($B$3,'Inter-VM Data Table'!1:1,0)),INDEX('Inter-VM Data Table'!2:901,,MATCH(V1,'Inter-VM Data Table'!1:1,0))="T"),"")</f>
        <v>T</v>
      </c>
      <c r="Y17" s="6" cm="1">
        <f t="array" ref="Y17:Y28">IFERROR(ROUNDDOWN(     (_xlfn._xlws.FILTER('Inter-VM Data Table'!$I2:$I901,INDEX('Inter-VM Data Table'!2:901,,MATCH(V1,'Inter-VM Data Table'!1:1,0))="T")+3)/4,      0),"")</f>
        <v>1</v>
      </c>
      <c r="Z17" s="6" t="str">
        <f>IF(X17="R",Y$15+0,"")</f>
        <v/>
      </c>
      <c r="AA17" s="6" t="str">
        <f>IF(Z$15=0,"",S15)</f>
        <v/>
      </c>
      <c r="AB17" s="6" t="str">
        <f>IF(Z$15=0,"",T$15)</f>
        <v/>
      </c>
      <c r="AC17" s="6" t="str" cm="1">
        <f t="array" ref="AC17:AC28">IF(_xlfn.ANCHORARRAY(W17)=0,AC1&amp;W15&amp;TEXT(_xlfn.ANCHORARRAY(V17),"000"),AC1&amp;_xlfn.ANCHORARRAY(W17))</f>
        <v>IVDSH_DID_REA_VM1TO3_STBY</v>
      </c>
      <c r="AD17" s="6" cm="1">
        <f t="array" ref="AD17:AD37">IFERROR(_xlfn._xlws.FILTER('Inter-VM Data Table'!$A2:$A901,INDEX('Inter-VM Data Table'!2:901,,MATCH(AD1,'Inter-VM Data Table'!1:1,0))="T"),"")</f>
        <v>3</v>
      </c>
      <c r="AE17" s="6" t="str" cm="1">
        <f t="array" ref="AE17:AE37">IFERROR(_xlfn._xlws.FILTER('Inter-VM Data Table'!$D2:$D901,INDEX('Inter-VM Data Table'!2:901,,MATCH(AD1,'Inter-VM Data Table'!1:1,0))="T"),"")</f>
        <v>VM2TO3_STBY</v>
      </c>
      <c r="AF17" s="6" t="str" cm="1">
        <f t="array" ref="AF17:AF37">IFERROR(_xlfn._xlws.FILTER(INDEX('Inter-VM Data Table'!2:901,,MATCH($B$3,'Inter-VM Data Table'!1:1,0)),INDEX('Inter-VM Data Table'!2:901,,MATCH(AD1,'Inter-VM Data Table'!1:1,0))="T"),"")</f>
        <v>-</v>
      </c>
      <c r="AG17" s="6" cm="1">
        <f t="array" ref="AG17:AG37">IFERROR(ROUNDDOWN(     (_xlfn._xlws.FILTER('Inter-VM Data Table'!$I2:$I901,INDEX('Inter-VM Data Table'!2:901,,MATCH(AD1,'Inter-VM Data Table'!1:1,0))="T")+3)/4,      0),"")</f>
        <v>1</v>
      </c>
      <c r="AH17" s="6" t="str">
        <f>IF(AF17="R",AG$15+0,"")</f>
        <v/>
      </c>
      <c r="AI17" s="6">
        <f>IF(AH$15=0,"",AA15)</f>
        <v>0</v>
      </c>
      <c r="AJ17" s="6">
        <f>IF(AH$15=0,"",AB$15)</f>
        <v>0</v>
      </c>
      <c r="AK17" s="6" t="str" cm="1">
        <f t="array" ref="AK17:AK37">IF(_xlfn.ANCHORARRAY(AE17)=0,AK1&amp;AE15&amp;TEXT(_xlfn.ANCHORARRAY(AD17),"000"),AK1&amp;_xlfn.ANCHORARRAY(AE17))</f>
        <v>IVDSH_DID_REA_VM2TO3_STBY</v>
      </c>
      <c r="AL17" s="6" cm="1">
        <f t="array" ref="AL17:AL23">IFERROR(_xlfn._xlws.FILTER('Inter-VM Data Table'!$A2:$A901,INDEX('Inter-VM Data Table'!2:901,,MATCH(AL1,'Inter-VM Data Table'!1:1,0))="T"),"")</f>
        <v>5</v>
      </c>
      <c r="AM17" s="6" t="str" cm="1">
        <f t="array" ref="AM17:AM23">IFERROR(_xlfn._xlws.FILTER('Inter-VM Data Table'!$D2:$D901,INDEX('Inter-VM Data Table'!2:901,,MATCH(AL1,'Inter-VM Data Table'!1:1,0))="T"),"")</f>
        <v>VM3TO2_SIPERR_INF</v>
      </c>
      <c r="AN17" s="6" t="str" cm="1">
        <f t="array" ref="AN17:AN23">IFERROR(_xlfn._xlws.FILTER(INDEX('Inter-VM Data Table'!2:901,,MATCH($B$3,'Inter-VM Data Table'!1:1,0)),INDEX('Inter-VM Data Table'!2:901,,MATCH(AL1,'Inter-VM Data Table'!1:1,0))="T"),"")</f>
        <v>-</v>
      </c>
      <c r="AO17" s="6" cm="1">
        <f t="array" ref="AO17:AO23">IFERROR(ROUNDDOWN(     (_xlfn._xlws.FILTER('Inter-VM Data Table'!$I2:$I901,INDEX('Inter-VM Data Table'!2:901,,MATCH(AL1,'Inter-VM Data Table'!1:1,0))="T")+3)/4,      0),"")</f>
        <v>1</v>
      </c>
      <c r="AP17" s="6" t="str">
        <f>IF(AN17="R",AO$15+0,"")</f>
        <v/>
      </c>
      <c r="AQ17" s="6">
        <f>IF(AP$15=0,"",AI15)</f>
        <v>1</v>
      </c>
      <c r="AR17" s="6">
        <f>IF(AP$15=0,"",AJ$15)</f>
        <v>0</v>
      </c>
      <c r="AS17" s="6" t="str" cm="1">
        <f t="array" ref="AS17:AS23">IF(_xlfn.ANCHORARRAY(AM17)=0,AS1&amp;AM15&amp;TEXT(_xlfn.ANCHORARRAY(AL17),"000"),AS1&amp;_xlfn.ANCHORARRAY(AM17))</f>
        <v>IVDSH_DID_REA_VM3TO2_SIPERR_INF</v>
      </c>
      <c r="AV17" s="6" t="s">
        <v>262</v>
      </c>
      <c r="AW17" s="6">
        <f>F15</f>
        <v>12</v>
      </c>
      <c r="BA17" s="12" t="s">
        <v>263</v>
      </c>
      <c r="BB17" s="11">
        <f>AW17</f>
        <v>12</v>
      </c>
      <c r="BD17" s="27" t="s">
        <v>264</v>
      </c>
      <c r="BE17" s="11" t="str">
        <f t="shared" ref="BE17:BE80" si="0">IF(F17="","","#define "&amp;K17&amp;REPT(" ",41-LEN(K17))&amp;"("&amp;E17&amp;"U)")</f>
        <v>#define IVDSH_DID_WRI_VM1TO3_STBY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IVDSH_DID_WRI_VM1TO3_STBY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4</v>
      </c>
      <c r="G18" s="6" t="str">
        <v>VM1TO2_TIMOFST</v>
      </c>
      <c r="H18" s="6" t="str">
        <v>T</v>
      </c>
      <c r="I18" s="6">
        <v>1</v>
      </c>
      <c r="J18" s="6">
        <f>IF(F18="","",I17+J17)</f>
        <v>1</v>
      </c>
      <c r="K18" s="6" t="str">
        <v>IVDSH_DID_WRI_VM1TO2_TIMOFST</v>
      </c>
      <c r="N18" s="6">
        <v>32</v>
      </c>
      <c r="O18" s="6" t="str">
        <v>CANBUS_STS_5M</v>
      </c>
      <c r="P18" s="6" t="str">
        <v>-</v>
      </c>
      <c r="Q18" s="6">
        <v>1</v>
      </c>
      <c r="R18" s="6" t="str">
        <f>IF(P18="R",MAX(R$17:R17,Q$15-1)+1,"")</f>
        <v/>
      </c>
      <c r="S18" s="6" t="str">
        <f>IF(OR(R$15=0,N18=""),"",S17)</f>
        <v/>
      </c>
      <c r="T18" s="6" t="str">
        <f>IF(OR(N18="",R$15=0),"",T17+Q17)</f>
        <v/>
      </c>
      <c r="U18" s="6" t="str">
        <v>IVDSH_DID_REA_CANBUS_STS_5M</v>
      </c>
      <c r="V18" s="6">
        <v>4</v>
      </c>
      <c r="W18" s="6" t="str">
        <v>VM1TO2_TIMOFST</v>
      </c>
      <c r="X18" s="6" t="str">
        <v>T</v>
      </c>
      <c r="Y18" s="6">
        <v>1</v>
      </c>
      <c r="Z18" s="6" t="str">
        <f>IF(X18="R",MAX(Z$17:Z17,Y$15-1)+1,"")</f>
        <v/>
      </c>
      <c r="AA18" s="6" t="str">
        <f>IF(OR(Z$15=0,V18=""),"",AA17)</f>
        <v/>
      </c>
      <c r="AB18" s="6" t="str">
        <f>IF(OR(V18="",Z$15=0),"",AB17+Y17)</f>
        <v/>
      </c>
      <c r="AC18" s="6" t="str">
        <v>IVDSH_DID_REA_VM1TO2_TIMOFST</v>
      </c>
      <c r="AD18" s="6">
        <v>9</v>
      </c>
      <c r="AE18" s="6" t="str">
        <v>VM2TO1_TIMOFST</v>
      </c>
      <c r="AF18" s="6" t="str">
        <v>R</v>
      </c>
      <c r="AG18" s="6">
        <v>1</v>
      </c>
      <c r="AH18" s="6">
        <f>IF(AF18="R",MAX(AH$17:AH17,AG$15-1)+1,"")</f>
        <v>12</v>
      </c>
      <c r="AI18" s="6">
        <f t="shared" ref="AI18:AI81" si="5">IF(OR(AH$15=0,AD18=""),"",AI17)</f>
        <v>0</v>
      </c>
      <c r="AJ18" s="6">
        <f t="shared" ref="AJ18:AJ81" si="6">IF(OR(AD18="",AH$15=0),"",AJ17+AG17)</f>
        <v>1</v>
      </c>
      <c r="AK18" s="6" t="str">
        <v>IVDSH_DID_REA_VM2TO1_TIMOFST</v>
      </c>
      <c r="AL18" s="6">
        <v>7</v>
      </c>
      <c r="AM18" s="6" t="str">
        <v>VM3TO2_OTA_OFFSTS</v>
      </c>
      <c r="AN18" s="6" t="str">
        <v>-</v>
      </c>
      <c r="AO18" s="6">
        <v>1</v>
      </c>
      <c r="AP18" s="6" t="str">
        <f>IF(AN18="R",MAX(AP$17:AP17,AO$15-1)+1,"")</f>
        <v/>
      </c>
      <c r="AQ18" s="6">
        <f>IF(OR(AP$15=0,AL18=""),"",AQ17)</f>
        <v>1</v>
      </c>
      <c r="AR18" s="6">
        <f>IF(OR(AL18="",AP$15=0),"",AR17+AO17)</f>
        <v>1</v>
      </c>
      <c r="AS18" s="6" t="str">
        <v>IVDSH_DID_REA_VM3TO2_OTA_OFFSTS</v>
      </c>
      <c r="AV18" s="6" t="s">
        <v>265</v>
      </c>
      <c r="AW18" s="6">
        <f>R15+Z15+AH15+AP15</f>
        <v>16</v>
      </c>
      <c r="BA18" s="12" t="s">
        <v>266</v>
      </c>
      <c r="BB18" s="11">
        <f>AW18</f>
        <v>16</v>
      </c>
      <c r="BE18" s="11" t="str">
        <f t="shared" si="0"/>
        <v>#define IVDSH_DID_WRI_VM1TO2_TIMOFST             (1U)</v>
      </c>
      <c r="BF18" s="11" t="str">
        <f t="shared" si="1"/>
        <v/>
      </c>
      <c r="BG18" s="11" t="str">
        <f t="shared" si="2"/>
        <v/>
      </c>
      <c r="BH18" s="11" t="str">
        <f t="shared" si="3"/>
        <v>#define IVDSH_DID_REA_VM2TO1_TIMOFST             (12U)</v>
      </c>
      <c r="BI18" s="11" t="str">
        <f t="shared" si="4"/>
        <v/>
      </c>
      <c r="BJ18" s="11"/>
      <c r="BK18" s="11" t="str">
        <f t="shared" ref="BK18:BK81" si="7">IF(F18="","","    {(U2)"&amp;J18&amp;"U,"&amp;REPT(" ",9-LEN(J18))&amp;"(U2)"&amp;I18&amp;"U,"&amp;REPT(" ",10-LEN(I18))&amp;"(U2)IVDSH_FQ_CH_WRI  },     /* "&amp;K18&amp;REPT(" ",32-LEN(K18))&amp;"*/")</f>
        <v xml:space="preserve">    {(U2)1U,        (U2)1U,         (U2)IVDSH_FQ_CH_WRI  },     /* IVDSH_DID_WRI_VM1TO2_TIMOFST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xml:space="preserve">    {(U2)1U,        (U2)1U,         (U2)IVDSH_FQ_CH_REA_0},     /* IVDSH_DID_REA_VM2TO1_TIMOFST    */</v>
      </c>
      <c r="BO18" s="11" t="str">
        <f t="shared" ref="BO18:BO81" si="11">IF(AP18="","","    {(U2)"&amp;AR18&amp;"U,"&amp;REPT(" ",9-LEN(AR18))&amp;"(U2)"&amp;AO18&amp;"U,"&amp;REPT(" ",10-LEN(AO18))&amp;"(U2)IVDSH_FQ_CH_REA_"&amp;AQ18&amp;"},     /* "&amp;AS18&amp;REPT(" ",32-LEN(AS18))&amp;"*/")</f>
        <v/>
      </c>
      <c r="BP18" s="11" t="str">
        <v/>
      </c>
      <c r="BQ18" s="11" t="str">
        <v/>
      </c>
      <c r="BR18" s="11" t="str">
        <f>IF(AW36="","","    {")</f>
        <v xml:space="preserve">    {</v>
      </c>
      <c r="BS18" s="11" t="str">
        <f>IF(AW26&lt;&gt;"","    {","")</f>
        <v xml:space="preserve">    {</v>
      </c>
    </row>
    <row r="19" spans="5:71">
      <c r="E19" s="6">
        <f t="shared" ref="E19:E82" si="12">E18+1</f>
        <v>2</v>
      </c>
      <c r="F19" s="6">
        <v>10</v>
      </c>
      <c r="G19" s="6" t="str">
        <v>VM1TO2_TIMFMT</v>
      </c>
      <c r="H19" s="6" t="str">
        <v>T</v>
      </c>
      <c r="I19" s="6">
        <v>1</v>
      </c>
      <c r="J19" s="6">
        <f>IF(F19="","",I18+J18)</f>
        <v>2</v>
      </c>
      <c r="K19" s="6" t="str">
        <v>IVDSH_DID_WRI_VM1TO2_TIMFMT</v>
      </c>
      <c r="N19" s="6">
        <v>35</v>
      </c>
      <c r="O19" s="6" t="str">
        <v>CANBUS_STS_2M2</v>
      </c>
      <c r="P19" s="6" t="str">
        <v>-</v>
      </c>
      <c r="Q19" s="6">
        <v>1</v>
      </c>
      <c r="R19" s="6" t="str">
        <f>IF(P19="R",MAX(R$17:R18,Q$15-1)+1,"")</f>
        <v/>
      </c>
      <c r="S19" s="6" t="str">
        <f t="shared" ref="S19:S82" si="13">IF(OR(R$15=0,N19=""),"",S18)</f>
        <v/>
      </c>
      <c r="T19" s="6" t="str">
        <f t="shared" ref="T19:T82" si="14">IF(OR(N19="",R$15=0),"",T18+Q18)</f>
        <v/>
      </c>
      <c r="U19" s="6" t="str">
        <v>IVDSH_DID_REA_CANBUS_STS_2M2</v>
      </c>
      <c r="V19" s="6">
        <v>10</v>
      </c>
      <c r="W19" s="6" t="str">
        <v>VM1TO2_TIMFMT</v>
      </c>
      <c r="X19" s="6" t="str">
        <v>T</v>
      </c>
      <c r="Y19" s="6">
        <v>1</v>
      </c>
      <c r="Z19" s="6" t="str">
        <f>IF(X19="R",MAX(Z$17:Z18,Y$15-1)+1,"")</f>
        <v/>
      </c>
      <c r="AA19" s="6" t="str">
        <f t="shared" ref="AA19:AA82" si="15">IF(OR(Z$15=0,V19=""),"",AA18)</f>
        <v/>
      </c>
      <c r="AB19" s="6" t="str">
        <f t="shared" ref="AB19:AB82" si="16">IF(OR(V19="",Z$15=0),"",AB18+Y18)</f>
        <v/>
      </c>
      <c r="AC19" s="6" t="str">
        <v>IVDSH_DID_REA_VM1TO2_TIMFMT</v>
      </c>
      <c r="AD19" s="6">
        <v>11</v>
      </c>
      <c r="AE19" s="6" t="str">
        <v>VM2TO1_TIMFMT</v>
      </c>
      <c r="AF19" s="6" t="str">
        <v>R</v>
      </c>
      <c r="AG19" s="6">
        <v>1</v>
      </c>
      <c r="AH19" s="6">
        <f>IF(AF19="R",MAX(AH$17:AH18,AG$15-1)+1,"")</f>
        <v>13</v>
      </c>
      <c r="AI19" s="6">
        <f t="shared" si="5"/>
        <v>0</v>
      </c>
      <c r="AJ19" s="6">
        <f t="shared" si="6"/>
        <v>2</v>
      </c>
      <c r="AK19" s="6" t="str">
        <v>IVDSH_DID_REA_VM2TO1_TIMFMT</v>
      </c>
      <c r="AL19" s="6">
        <v>43</v>
      </c>
      <c r="AM19" s="6" t="str">
        <v>VM3TO2_BOOTLOG_INF</v>
      </c>
      <c r="AN19" s="6" t="str">
        <v>-</v>
      </c>
      <c r="AO19" s="6">
        <v>1</v>
      </c>
      <c r="AP19" s="6" t="str">
        <f>IF(AN19="R",MAX(AP$17:AP18,AO$15-1)+1,"")</f>
        <v/>
      </c>
      <c r="AQ19" s="6">
        <f t="shared" ref="AQ19:AQ82" si="17">IF(OR(AP$15=0,AL19=""),"",AQ18)</f>
        <v>1</v>
      </c>
      <c r="AR19" s="6">
        <f t="shared" ref="AR19:AR82" si="18">IF(OR(AL19="",AP$15=0),"",AR18+AO18)</f>
        <v>2</v>
      </c>
      <c r="AS19" s="6" t="str">
        <v>IVDSH_DID_REA_VM3TO2_BOOTLOG_INF</v>
      </c>
      <c r="BA19" s="12" t="s">
        <v>267</v>
      </c>
      <c r="BB19" s="11">
        <f>AW20</f>
        <v>3</v>
      </c>
      <c r="BE19" s="11" t="str">
        <f t="shared" si="0"/>
        <v>#define IVDSH_DID_WRI_VM1TO2_TIMFMT              (2U)</v>
      </c>
      <c r="BF19" s="11" t="str">
        <f t="shared" si="1"/>
        <v/>
      </c>
      <c r="BG19" s="11" t="str">
        <f t="shared" si="2"/>
        <v/>
      </c>
      <c r="BH19" s="11" t="str">
        <f t="shared" si="3"/>
        <v>#define IVDSH_DID_REA_VM2TO1_TIMFMT              (13U)</v>
      </c>
      <c r="BI19" s="11" t="str">
        <f t="shared" si="4"/>
        <v/>
      </c>
      <c r="BJ19" s="11"/>
      <c r="BK19" s="11" t="str">
        <f t="shared" si="7"/>
        <v xml:space="preserve">    {(U2)2U,        (U2)1U,         (U2)IVDSH_FQ_CH_WRI  },     /* IVDSH_DID_WRI_VM1TO2_TIMFMT     */</v>
      </c>
      <c r="BL19" s="11" t="str">
        <f t="shared" si="8"/>
        <v/>
      </c>
      <c r="BM19" s="11" t="str">
        <f t="shared" si="9"/>
        <v/>
      </c>
      <c r="BN19" s="11" t="str">
        <f t="shared" si="10"/>
        <v xml:space="preserve">    {(U2)2U,        (U2)1U,         (U2)IVDSH_FQ_CH_REA_0},     /* IVDSH_DID_REA_VM2TO1_TIMFMT     */</v>
      </c>
      <c r="BO19" s="11" t="str">
        <f t="shared" si="11"/>
        <v/>
      </c>
      <c r="BP19" s="11" t="str">
        <v>#define IVDSH_FQ_CH_REA_0                        (0U)</v>
      </c>
      <c r="BQ19" s="11" t="str">
        <v>#define IVDSH_WA_NWORD_REA_0                     (21U)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18</v>
      </c>
      <c r="G20" s="6" t="str">
        <v>VM1TO2_CAL</v>
      </c>
      <c r="H20" s="6" t="str">
        <v>T</v>
      </c>
      <c r="I20" s="6">
        <v>1</v>
      </c>
      <c r="J20" s="6">
        <f t="shared" ref="J20:J83" si="19">IF(F20="","",I19+J19)</f>
        <v>3</v>
      </c>
      <c r="K20" s="6" t="str">
        <v>IVDSH_DID_WRI_VM1TO2_CAL</v>
      </c>
      <c r="N20" s="6">
        <v>38</v>
      </c>
      <c r="O20" s="6" t="str">
        <v>CANBUS_STS_LCAN</v>
      </c>
      <c r="P20" s="6" t="str">
        <v>-</v>
      </c>
      <c r="Q20" s="6">
        <v>1</v>
      </c>
      <c r="R20" s="6" t="str">
        <f>IF(P20="R",MAX(R$17:R19,Q$15-1)+1,"")</f>
        <v/>
      </c>
      <c r="S20" s="6" t="str">
        <f t="shared" si="13"/>
        <v/>
      </c>
      <c r="T20" s="6" t="str">
        <f t="shared" si="14"/>
        <v/>
      </c>
      <c r="U20" s="6" t="str">
        <v>IVDSH_DID_REA_CANBUS_STS_LCAN</v>
      </c>
      <c r="V20" s="6">
        <v>18</v>
      </c>
      <c r="W20" s="6" t="str">
        <v>VM1TO2_CAL</v>
      </c>
      <c r="X20" s="6" t="str">
        <v>T</v>
      </c>
      <c r="Y20" s="6">
        <v>1</v>
      </c>
      <c r="Z20" s="6" t="str">
        <f>IF(X20="R",MAX(Z$17:Z19,Y$15-1)+1,"")</f>
        <v/>
      </c>
      <c r="AA20" s="6" t="str">
        <f t="shared" si="15"/>
        <v/>
      </c>
      <c r="AB20" s="6" t="str">
        <f t="shared" si="16"/>
        <v/>
      </c>
      <c r="AC20" s="6" t="str">
        <v>IVDSH_DID_REA_VM1TO2_CAL</v>
      </c>
      <c r="AD20" s="6">
        <v>13</v>
      </c>
      <c r="AE20" s="6" t="str">
        <v>VM2TO1_DSPTIM</v>
      </c>
      <c r="AF20" s="6" t="str">
        <v>R</v>
      </c>
      <c r="AG20" s="6">
        <v>1</v>
      </c>
      <c r="AH20" s="6">
        <f>IF(AF20="R",MAX(AH$17:AH19,AG$15-1)+1,"")</f>
        <v>14</v>
      </c>
      <c r="AI20" s="6">
        <f t="shared" si="5"/>
        <v>0</v>
      </c>
      <c r="AJ20" s="6">
        <f t="shared" si="6"/>
        <v>3</v>
      </c>
      <c r="AK20" s="6" t="str">
        <v>IVDSH_DID_REA_VM2TO1_DSPTIM</v>
      </c>
      <c r="AL20" s="6">
        <v>45</v>
      </c>
      <c r="AM20" s="6" t="str">
        <v>VM3TO12_RESTART</v>
      </c>
      <c r="AN20" s="6" t="str">
        <v>R</v>
      </c>
      <c r="AO20" s="6">
        <v>1</v>
      </c>
      <c r="AP20" s="6">
        <f>IF(AN20="R",MAX(AP$17:AP19,AO$15-1)+1,"")</f>
        <v>27</v>
      </c>
      <c r="AQ20" s="6">
        <f t="shared" si="17"/>
        <v>1</v>
      </c>
      <c r="AR20" s="6">
        <f t="shared" si="18"/>
        <v>3</v>
      </c>
      <c r="AS20" s="6" t="str">
        <v>IVDSH_DID_REA_VM3TO12_RESTART</v>
      </c>
      <c r="AV20" s="6" t="s">
        <v>268</v>
      </c>
      <c r="AW20" s="6">
        <f>MAX(AW22:AW26)+1</f>
        <v>3</v>
      </c>
      <c r="BA20" s="12" t="s">
        <v>269</v>
      </c>
      <c r="BB20" s="11">
        <f>AW21</f>
        <v>2</v>
      </c>
      <c r="BE20" s="11" t="str">
        <f t="shared" si="0"/>
        <v>#define IVDSH_DID_WRI_VM1TO2_CAL                 (3U)</v>
      </c>
      <c r="BF20" s="11" t="str">
        <f t="shared" si="1"/>
        <v/>
      </c>
      <c r="BG20" s="11" t="str">
        <f t="shared" si="2"/>
        <v/>
      </c>
      <c r="BH20" s="11" t="str">
        <f t="shared" si="3"/>
        <v>#define IVDSH_DID_REA_VM2TO1_DSPTIM              (14U)</v>
      </c>
      <c r="BI20" s="11" t="str">
        <f t="shared" si="4"/>
        <v>#define IVDSH_DID_REA_VM3TO12_RESTART            (27U)</v>
      </c>
      <c r="BJ20" s="11"/>
      <c r="BK20" s="11" t="str">
        <f t="shared" si="7"/>
        <v xml:space="preserve">    {(U2)3U,        (U2)1U,         (U2)IVDSH_FQ_CH_WRI  },     /* IVDSH_DID_WRI_VM1TO2_CAL        */</v>
      </c>
      <c r="BL20" s="11" t="str">
        <f t="shared" si="8"/>
        <v/>
      </c>
      <c r="BM20" s="11" t="str">
        <f t="shared" si="9"/>
        <v/>
      </c>
      <c r="BN20" s="11" t="str">
        <f t="shared" si="10"/>
        <v xml:space="preserve">    {(U2)3U,        (U2)1U,         (U2)IVDSH_FQ_CH_REA_0},     /* IVDSH_DID_REA_VM2TO1_DSPTIM     */</v>
      </c>
      <c r="BO20" s="11" t="str">
        <f t="shared" si="11"/>
        <v xml:space="preserve">    {(U2)3U,        (U2)1U,         (U2)IVDSH_FQ_CH_REA_1},     /* IVDSH_DID_REA_VM3TO12_RESTART   */</v>
      </c>
      <c r="BP20" s="11" t="str">
        <v>#define IVDSH_FQ_CH_REA_1                        (1U)</v>
      </c>
      <c r="BQ20" s="11" t="str">
        <v>#define IVDSH_WA_NWORD_REA_1                     (7U)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21</v>
      </c>
      <c r="G21" s="6" t="str">
        <v>VM1TO2_CALDEF</v>
      </c>
      <c r="H21" s="6" t="str">
        <v>T</v>
      </c>
      <c r="I21" s="6">
        <v>1</v>
      </c>
      <c r="J21" s="6">
        <f t="shared" si="19"/>
        <v>4</v>
      </c>
      <c r="K21" s="6" t="str">
        <v>IVDSH_DID_WRI_VM1TO2_CALDEF</v>
      </c>
      <c r="R21" s="6" t="str">
        <f>IF(P21="R",MAX(R$17:R20,Q$15-1)+1,"")</f>
        <v/>
      </c>
      <c r="S21" s="6" t="str">
        <f t="shared" si="13"/>
        <v/>
      </c>
      <c r="T21" s="6" t="str">
        <f t="shared" si="14"/>
        <v/>
      </c>
      <c r="V21" s="6">
        <v>21</v>
      </c>
      <c r="W21" s="6" t="str">
        <v>VM1TO2_CALDEF</v>
      </c>
      <c r="X21" s="6" t="str">
        <v>T</v>
      </c>
      <c r="Y21" s="6">
        <v>1</v>
      </c>
      <c r="Z21" s="6" t="str">
        <f>IF(X21="R",MAX(Z$17:Z20,Y$15-1)+1,"")</f>
        <v/>
      </c>
      <c r="AA21" s="6" t="str">
        <f t="shared" si="15"/>
        <v/>
      </c>
      <c r="AB21" s="6" t="str">
        <f t="shared" si="16"/>
        <v/>
      </c>
      <c r="AC21" s="6" t="str">
        <v>IVDSH_DID_REA_VM1TO2_CALDEF</v>
      </c>
      <c r="AD21" s="6">
        <v>15</v>
      </c>
      <c r="AE21" s="6" t="str">
        <v>VM2TO1_DSPCAL</v>
      </c>
      <c r="AF21" s="6" t="str">
        <v>R</v>
      </c>
      <c r="AG21" s="6">
        <v>1</v>
      </c>
      <c r="AH21" s="6">
        <f>IF(AF21="R",MAX(AH$17:AH20,AG$15-1)+1,"")</f>
        <v>15</v>
      </c>
      <c r="AI21" s="6">
        <f t="shared" si="5"/>
        <v>0</v>
      </c>
      <c r="AJ21" s="6">
        <f t="shared" si="6"/>
        <v>4</v>
      </c>
      <c r="AK21" s="6" t="str">
        <v>IVDSH_DID_REA_VM2TO1_DSPCAL</v>
      </c>
      <c r="AL21" s="6">
        <v>48</v>
      </c>
      <c r="AM21" s="6" t="str">
        <v>VM3TO2_BOOT_CNT</v>
      </c>
      <c r="AN21" s="6" t="str">
        <v>-</v>
      </c>
      <c r="AO21" s="6">
        <v>1</v>
      </c>
      <c r="AP21" s="6" t="str">
        <f>IF(AN21="R",MAX(AP$17:AP20,AO$15-1)+1,"")</f>
        <v/>
      </c>
      <c r="AQ21" s="6">
        <f t="shared" si="17"/>
        <v>1</v>
      </c>
      <c r="AR21" s="6">
        <f t="shared" si="18"/>
        <v>4</v>
      </c>
      <c r="AS21" s="6" t="str">
        <v>IVDSH_DID_REA_VM3TO2_BOOT_CNT</v>
      </c>
      <c r="AV21" s="6" t="s">
        <v>270</v>
      </c>
      <c r="AW21" s="6">
        <f>COUNTIF(AW22:AW25,"&gt;=0")</f>
        <v>2</v>
      </c>
      <c r="AX21" s="30" t="s">
        <v>271</v>
      </c>
      <c r="BA21" s="12" t="s">
        <v>272</v>
      </c>
      <c r="BB21" s="11">
        <f>AW29</f>
        <v>12</v>
      </c>
      <c r="BE21" s="11" t="str">
        <f t="shared" si="0"/>
        <v>#define IVDSH_DID_WRI_VM1TO2_CALDEF              (4U)</v>
      </c>
      <c r="BF21" s="11" t="str">
        <f t="shared" si="1"/>
        <v/>
      </c>
      <c r="BG21" s="11" t="str">
        <f t="shared" si="2"/>
        <v/>
      </c>
      <c r="BH21" s="11" t="str">
        <f t="shared" si="3"/>
        <v>#define IVDSH_DID_REA_VM2TO1_DSPCAL              (15U)</v>
      </c>
      <c r="BI21" s="11" t="str">
        <f t="shared" si="4"/>
        <v/>
      </c>
      <c r="BJ21" s="11"/>
      <c r="BK21" s="11" t="str">
        <f t="shared" si="7"/>
        <v xml:space="preserve">    {(U2)4U,        (U2)1U,         (U2)IVDSH_FQ_CH_WRI  },     /* IVDSH_DID_WRI_VM1TO2_CALDEF     */</v>
      </c>
      <c r="BL21" s="11" t="str">
        <f t="shared" si="8"/>
        <v/>
      </c>
      <c r="BM21" s="11" t="str">
        <f t="shared" si="9"/>
        <v/>
      </c>
      <c r="BN21" s="11" t="str">
        <f t="shared" si="10"/>
        <v xml:space="preserve">    {(U2)4U,        (U2)1U,         (U2)IVDSH_FQ_CH_REA_0},     /* IVDSH_DID_REA_VM2TO1_DSPCAL     */</v>
      </c>
      <c r="BO21" s="11" t="str">
        <f t="shared" si="11"/>
        <v/>
      </c>
      <c r="BP21" s="11"/>
      <c r="BQ21" s="11"/>
      <c r="BR21" s="11" t="str" cm="1">
        <f t="array" ref="BR21">IF(AW36="","","        (U2)"&amp;INDEX(B6:B9,AX36+1)&amp;"                       /* u2_fq_ch */")</f>
        <v xml:space="preserve">        (U2)EHVM_RX_VCCID_VCC_SHARED_TX_VM2                       /* u2_fq_ch */</v>
      </c>
      <c r="BS21" s="11" t="str">
        <f>IF(AW26&lt;&gt;"","        (U2)"&amp;B5&amp;"                       /* u2_fq_ch */","")</f>
        <v xml:space="preserve">        (U2)EHVM_TX_VCCID_VCC_SHARED_TX_VM1                       /* u2_fq_ch */</v>
      </c>
    </row>
    <row r="22" spans="5:71">
      <c r="E22" s="6">
        <f t="shared" si="12"/>
        <v>5</v>
      </c>
      <c r="F22" s="6">
        <v>22</v>
      </c>
      <c r="G22" s="6" t="str">
        <v>VM1TO2_CALMIN</v>
      </c>
      <c r="H22" s="6" t="str">
        <v>T</v>
      </c>
      <c r="I22" s="6">
        <v>1</v>
      </c>
      <c r="J22" s="6">
        <f t="shared" si="19"/>
        <v>5</v>
      </c>
      <c r="K22" s="6" t="str">
        <v>IVDSH_DID_WRI_VM1TO2_CALMIN</v>
      </c>
      <c r="R22" s="6" t="str">
        <f>IF(P22="R",MAX(R$17:R21,Q$15-1)+1,"")</f>
        <v/>
      </c>
      <c r="S22" s="6" t="str">
        <f t="shared" si="13"/>
        <v/>
      </c>
      <c r="T22" s="6" t="str">
        <f t="shared" si="14"/>
        <v/>
      </c>
      <c r="V22" s="6">
        <v>22</v>
      </c>
      <c r="W22" s="6" t="str">
        <v>VM1TO2_CALMIN</v>
      </c>
      <c r="X22" s="6" t="str">
        <v>T</v>
      </c>
      <c r="Y22" s="6">
        <v>1</v>
      </c>
      <c r="Z22" s="6" t="str">
        <f>IF(X22="R",MAX(Z$17:Z21,Y$15-1)+1,"")</f>
        <v/>
      </c>
      <c r="AA22" s="6" t="str">
        <f t="shared" si="15"/>
        <v/>
      </c>
      <c r="AB22" s="6" t="str">
        <f t="shared" si="16"/>
        <v/>
      </c>
      <c r="AC22" s="6" t="str">
        <v>IVDSH_DID_REA_VM1TO2_CALMIN</v>
      </c>
      <c r="AD22" s="6">
        <v>19</v>
      </c>
      <c r="AE22" s="6" t="str">
        <v>VM2TO1_CAL</v>
      </c>
      <c r="AF22" s="6" t="str">
        <v>R</v>
      </c>
      <c r="AG22" s="6">
        <v>1</v>
      </c>
      <c r="AH22" s="6">
        <f>IF(AF22="R",MAX(AH$17:AH21,AG$15-1)+1,"")</f>
        <v>16</v>
      </c>
      <c r="AI22" s="6">
        <f t="shared" si="5"/>
        <v>0</v>
      </c>
      <c r="AJ22" s="6">
        <f t="shared" si="6"/>
        <v>5</v>
      </c>
      <c r="AK22" s="6" t="str">
        <v>IVDSH_DID_REA_VM2TO1_CAL</v>
      </c>
      <c r="AL22" s="6">
        <v>49</v>
      </c>
      <c r="AM22" s="6" t="str">
        <v>VM3TO2_BOOT_TIME</v>
      </c>
      <c r="AN22" s="6" t="str">
        <v>-</v>
      </c>
      <c r="AO22" s="6">
        <v>1</v>
      </c>
      <c r="AP22" s="6" t="str">
        <f>IF(AN22="R",MAX(AP$17:AP21,AO$15-1)+1,"")</f>
        <v/>
      </c>
      <c r="AQ22" s="6">
        <f t="shared" si="17"/>
        <v>1</v>
      </c>
      <c r="AR22" s="6">
        <f t="shared" si="18"/>
        <v>5</v>
      </c>
      <c r="AS22" s="6" t="str">
        <v>IVDSH_DID_REA_VM3TO2_BOOT_TIME</v>
      </c>
      <c r="AV22" s="6" t="str">
        <f>"IVDSH_FQ_CH_REA_"&amp;COUNTIF(AW$22:AW22,"&gt;=0")-1</f>
        <v>IVDSH_FQ_CH_REA_-1</v>
      </c>
      <c r="AW22" s="6" t="str">
        <f>IF(AW30="","",COUNTIF(AW$30:AW30,"&gt;0")-1)</f>
        <v/>
      </c>
      <c r="AX22" s="31">
        <v>0</v>
      </c>
      <c r="BA22" s="12" t="s">
        <v>273</v>
      </c>
      <c r="BB22" s="11">
        <f>AW28</f>
        <v>68</v>
      </c>
      <c r="BE22" s="11" t="str">
        <f t="shared" si="0"/>
        <v>#define IVDSH_DID_WRI_VM1TO2_CALMIN              (5U)</v>
      </c>
      <c r="BF22" s="11" t="str">
        <f t="shared" si="1"/>
        <v/>
      </c>
      <c r="BG22" s="11" t="str">
        <f t="shared" si="2"/>
        <v/>
      </c>
      <c r="BH22" s="11" t="str">
        <f t="shared" si="3"/>
        <v>#define IVDSH_DID_REA_VM2TO1_CAL                 (16U)</v>
      </c>
      <c r="BI22" s="11" t="str">
        <f t="shared" si="4"/>
        <v/>
      </c>
      <c r="BJ22" s="11"/>
      <c r="BK22" s="11" t="str">
        <f t="shared" si="7"/>
        <v xml:space="preserve">    {(U2)5U,        (U2)1U,         (U2)IVDSH_FQ_CH_WRI  },     /* IVDSH_DID_WRI_VM1TO2_CALMIN     */</v>
      </c>
      <c r="BL22" s="11" t="str">
        <f t="shared" si="8"/>
        <v/>
      </c>
      <c r="BM22" s="11" t="str">
        <f t="shared" si="9"/>
        <v/>
      </c>
      <c r="BN22" s="11" t="str">
        <f t="shared" si="10"/>
        <v xml:space="preserve">    {(U2)5U,        (U2)1U,         (U2)IVDSH_FQ_CH_REA_0},     /* IVDSH_DID_REA_VM2TO1_CAL        */</v>
      </c>
      <c r="BO22" s="11" t="str">
        <f t="shared" si="11"/>
        <v/>
      </c>
      <c r="BP22" s="11"/>
      <c r="BQ22" s="11"/>
      <c r="BR22" s="28" t="str">
        <f>IF(AW36="","","    },")</f>
        <v xml:space="preserve">    },</v>
      </c>
      <c r="BS22" s="11" t="str">
        <f>IF(AW26&lt;&gt;"","    },","")</f>
        <v xml:space="preserve">    },</v>
      </c>
    </row>
    <row r="23" spans="5:71">
      <c r="E23" s="6">
        <f t="shared" si="12"/>
        <v>6</v>
      </c>
      <c r="F23" s="6">
        <v>23</v>
      </c>
      <c r="G23" s="6" t="str">
        <v>VM1TO3_SPI_FAIL</v>
      </c>
      <c r="H23" s="6" t="str">
        <v>T</v>
      </c>
      <c r="I23" s="6">
        <v>1</v>
      </c>
      <c r="J23" s="6">
        <f t="shared" si="19"/>
        <v>6</v>
      </c>
      <c r="K23" s="6" t="str">
        <v>IVDSH_DID_WRI_VM1TO3_SPI_FAIL</v>
      </c>
      <c r="R23" s="6" t="str">
        <f>IF(P23="R",MAX(R$17:R22,Q$15-1)+1,"")</f>
        <v/>
      </c>
      <c r="S23" s="6" t="str">
        <f t="shared" si="13"/>
        <v/>
      </c>
      <c r="T23" s="6" t="str">
        <f t="shared" si="14"/>
        <v/>
      </c>
      <c r="V23" s="6">
        <v>23</v>
      </c>
      <c r="W23" s="6" t="str">
        <v>VM1TO3_SPI_FAIL</v>
      </c>
      <c r="X23" s="6" t="str">
        <v>T</v>
      </c>
      <c r="Y23" s="6">
        <v>1</v>
      </c>
      <c r="Z23" s="6" t="str">
        <f>IF(X23="R",MAX(Z$17:Z22,Y$15-1)+1,"")</f>
        <v/>
      </c>
      <c r="AA23" s="6" t="str">
        <f t="shared" si="15"/>
        <v/>
      </c>
      <c r="AB23" s="6" t="str">
        <f t="shared" si="16"/>
        <v/>
      </c>
      <c r="AC23" s="6" t="str">
        <v>IVDSH_DID_REA_VM1TO3_SPI_FAIL</v>
      </c>
      <c r="AD23" s="6">
        <v>25</v>
      </c>
      <c r="AE23" s="6" t="str">
        <v>VM2TO1_CAM_DIAP</v>
      </c>
      <c r="AF23" s="6" t="str">
        <v>R</v>
      </c>
      <c r="AG23" s="6">
        <v>1</v>
      </c>
      <c r="AH23" s="6">
        <f>IF(AF23="R",MAX(AH$17:AH22,AG$15-1)+1,"")</f>
        <v>17</v>
      </c>
      <c r="AI23" s="6">
        <f t="shared" si="5"/>
        <v>0</v>
      </c>
      <c r="AJ23" s="6">
        <f t="shared" si="6"/>
        <v>6</v>
      </c>
      <c r="AK23" s="6" t="str">
        <v>IVDSH_DID_REA_VM2TO1_CAM_DIAP</v>
      </c>
      <c r="AL23" s="6">
        <v>50</v>
      </c>
      <c r="AM23" s="6" t="str">
        <v>GPS_STS</v>
      </c>
      <c r="AN23" s="6" t="str">
        <v>-</v>
      </c>
      <c r="AO23" s="6">
        <v>1</v>
      </c>
      <c r="AP23" s="6" t="str">
        <f>IF(AN23="R",MAX(AP$17:AP22,AO$15-1)+1,"")</f>
        <v/>
      </c>
      <c r="AQ23" s="6">
        <f t="shared" si="17"/>
        <v>1</v>
      </c>
      <c r="AR23" s="6">
        <f t="shared" si="18"/>
        <v>6</v>
      </c>
      <c r="AS23" s="6" t="str">
        <v>IVDSH_DID_REA_GPS_STS</v>
      </c>
      <c r="AV23" s="6" t="str">
        <f>"IVDSH_FQ_CH_REA_"&amp;COUNTIF(AW$22:AW23,"&gt;=0")-1</f>
        <v>IVDSH_FQ_CH_REA_-1</v>
      </c>
      <c r="AW23" s="6" t="str">
        <f>IF(AW31="","",COUNTIF(AW$30:AW31,"&gt;0")-1)</f>
        <v/>
      </c>
      <c r="AX23" s="31">
        <v>1</v>
      </c>
      <c r="BA23" s="12" t="s">
        <v>274</v>
      </c>
      <c r="BB23" s="11" t="str">
        <f>IF(AW29&lt;&gt;0,"&amp;st_sp_IVDSH_FQ_CH[IVDSH_FQ_CH_WRI]","vdp_PTR_NA")</f>
        <v>&amp;st_sp_IVDSH_FQ_CH[IVDSH_FQ_CH_WRI]</v>
      </c>
      <c r="BE23" s="11" t="str">
        <f t="shared" si="0"/>
        <v>#define IVDSH_DID_WRI_VM1TO3_SPI_FAIL            (6U)</v>
      </c>
      <c r="BF23" s="11" t="str">
        <f t="shared" si="1"/>
        <v/>
      </c>
      <c r="BG23" s="11" t="str">
        <f t="shared" si="2"/>
        <v/>
      </c>
      <c r="BH23" s="11" t="str">
        <f t="shared" si="3"/>
        <v>#define IVDSH_DID_REA_VM2TO1_CAM_DIAP            (17U)</v>
      </c>
      <c r="BI23" s="11" t="str">
        <f t="shared" si="4"/>
        <v/>
      </c>
      <c r="BJ23" s="11"/>
      <c r="BK23" s="11" t="str">
        <f t="shared" si="7"/>
        <v xml:space="preserve">    {(U2)6U,        (U2)1U,         (U2)IVDSH_FQ_CH_WRI  },     /* IVDSH_DID_WRI_VM1TO3_SPI_FAIL   */</v>
      </c>
      <c r="BL23" s="11" t="str">
        <f t="shared" si="8"/>
        <v/>
      </c>
      <c r="BM23" s="11" t="str">
        <f t="shared" si="9"/>
        <v/>
      </c>
      <c r="BN23" s="11" t="str">
        <f t="shared" si="10"/>
        <v xml:space="preserve">    {(U2)6U,        (U2)1U,         (U2)IVDSH_FQ_CH_REA_0},     /* IVDSH_DID_REA_VM2TO1_CAM_DIAP   */</v>
      </c>
      <c r="BO23" s="11" t="str">
        <f t="shared" si="11"/>
        <v/>
      </c>
      <c r="BP23" s="11"/>
      <c r="BQ23" s="11"/>
      <c r="BR23" s="11" t="str">
        <f>IF(AW37="","","    /* IVDSH_FQ_CH_REA_1 */")</f>
        <v xml:space="preserve">    /* IVDSH_FQ_CH_REA_1 */</v>
      </c>
      <c r="BS23" s="11"/>
    </row>
    <row r="24" spans="5:71">
      <c r="E24" s="6">
        <f t="shared" si="12"/>
        <v>7</v>
      </c>
      <c r="F24" s="6">
        <v>26</v>
      </c>
      <c r="G24" s="6" t="str">
        <v>VM1TO2_CAM_DIAP</v>
      </c>
      <c r="H24" s="6" t="str">
        <v>T</v>
      </c>
      <c r="I24" s="6">
        <v>1</v>
      </c>
      <c r="J24" s="6">
        <f t="shared" si="19"/>
        <v>7</v>
      </c>
      <c r="K24" s="6" t="str">
        <v>IVDSH_DID_WRI_VM1TO2_CAM_DIAP</v>
      </c>
      <c r="R24" s="6" t="str">
        <f>IF(P24="R",MAX(R$17:R23,Q$15-1)+1,"")</f>
        <v/>
      </c>
      <c r="S24" s="6" t="str">
        <f t="shared" si="13"/>
        <v/>
      </c>
      <c r="T24" s="6" t="str">
        <f t="shared" si="14"/>
        <v/>
      </c>
      <c r="V24" s="6">
        <v>26</v>
      </c>
      <c r="W24" s="6" t="str">
        <v>VM1TO2_CAM_DIAP</v>
      </c>
      <c r="X24" s="6" t="str">
        <v>T</v>
      </c>
      <c r="Y24" s="6">
        <v>1</v>
      </c>
      <c r="Z24" s="6" t="str">
        <f>IF(X24="R",MAX(Z$17:Z23,Y$15-1)+1,"")</f>
        <v/>
      </c>
      <c r="AA24" s="6" t="str">
        <f t="shared" si="15"/>
        <v/>
      </c>
      <c r="AB24" s="6" t="str">
        <f t="shared" si="16"/>
        <v/>
      </c>
      <c r="AC24" s="6" t="str">
        <v>IVDSH_DID_REA_VM1TO2_CAM_DIAP</v>
      </c>
      <c r="AD24" s="6">
        <v>42</v>
      </c>
      <c r="AE24" s="6" t="str">
        <v>VM2TO3_WHLINI_REQ</v>
      </c>
      <c r="AF24" s="6" t="str">
        <v>-</v>
      </c>
      <c r="AG24" s="6">
        <v>1</v>
      </c>
      <c r="AH24" s="6" t="str">
        <f>IF(AF24="R",MAX(AH$17:AH23,AG$15-1)+1,"")</f>
        <v/>
      </c>
      <c r="AI24" s="6">
        <f t="shared" si="5"/>
        <v>0</v>
      </c>
      <c r="AJ24" s="6">
        <f t="shared" si="6"/>
        <v>7</v>
      </c>
      <c r="AK24" s="6" t="str">
        <v>IVDSH_DID_REA_VM2TO3_WHLINI_REQ</v>
      </c>
      <c r="AP24" s="6" t="str">
        <f>IF(AN24="R",MAX(AP$17:AP23,AO$15-1)+1,"")</f>
        <v/>
      </c>
      <c r="AQ24" s="6" t="str">
        <f t="shared" si="17"/>
        <v/>
      </c>
      <c r="AR24" s="6" t="str">
        <f t="shared" si="18"/>
        <v/>
      </c>
      <c r="AV24" s="6" t="str">
        <f>"IVDSH_FQ_CH_REA_"&amp;COUNTIF(AW$22:AW24,"&gt;=0")-1</f>
        <v>IVDSH_FQ_CH_REA_0</v>
      </c>
      <c r="AW24" s="6">
        <f>IF(AW32="","",COUNTIF(AW$30:AW32,"&gt;0")-1)</f>
        <v>0</v>
      </c>
      <c r="AX24" s="31">
        <v>2</v>
      </c>
      <c r="BA24" s="12" t="s">
        <v>275</v>
      </c>
      <c r="BB24" s="11" t="str">
        <f>IF(AW21&lt;&gt;0,"&amp;st_sp_IVDSH_FQ_CH[IVDSH_FQ_CH_REA_0]","&amp;st_sp_IVDSH_FQ_CH[IVDSH_FQ_CH_WRI]")</f>
        <v>&amp;st_sp_IVDSH_FQ_CH[IVDSH_FQ_CH_REA_0]</v>
      </c>
      <c r="BE24" s="11" t="str">
        <f t="shared" si="0"/>
        <v>#define IVDSH_DID_WRI_VM1TO2_CAM_DIAP            (7U)</v>
      </c>
      <c r="BF24" s="11" t="str">
        <f t="shared" si="1"/>
        <v/>
      </c>
      <c r="BG24" s="11" t="str">
        <f t="shared" si="2"/>
        <v/>
      </c>
      <c r="BH24" s="11" t="str">
        <f t="shared" si="3"/>
        <v/>
      </c>
      <c r="BI24" s="11" t="str">
        <f t="shared" si="4"/>
        <v/>
      </c>
      <c r="BJ24" s="11"/>
      <c r="BK24" s="11" t="str">
        <f t="shared" si="7"/>
        <v xml:space="preserve">    {(U2)7U,        (U2)1U,         (U2)IVDSH_FQ_CH_WRI  },     /* IVDSH_DID_WRI_VM1TO2_CAM_DIAP   */</v>
      </c>
      <c r="BL24" s="11" t="str">
        <f t="shared" si="8"/>
        <v/>
      </c>
      <c r="BM24" s="11" t="str">
        <f t="shared" si="9"/>
        <v/>
      </c>
      <c r="BN24" s="11" t="str">
        <f t="shared" si="10"/>
        <v/>
      </c>
      <c r="BO24" s="11" t="str">
        <f t="shared" si="11"/>
        <v/>
      </c>
      <c r="BP24" s="11"/>
      <c r="BQ24" s="11"/>
      <c r="BR24" s="11" t="str">
        <f>IF(AW37="","","    {")</f>
        <v xml:space="preserve">    {</v>
      </c>
      <c r="BS24" s="11"/>
    </row>
    <row r="25" spans="5:71">
      <c r="E25" s="6">
        <f t="shared" si="12"/>
        <v>8</v>
      </c>
      <c r="F25" s="6">
        <v>41</v>
      </c>
      <c r="G25" s="6" t="str">
        <v>VM1TO2_FLYNOP</v>
      </c>
      <c r="H25" s="6" t="str">
        <v>T</v>
      </c>
      <c r="I25" s="6">
        <v>1</v>
      </c>
      <c r="J25" s="6">
        <f t="shared" si="19"/>
        <v>8</v>
      </c>
      <c r="K25" s="6" t="str">
        <v>IVDSH_DID_WRI_VM1TO2_FLYNOP</v>
      </c>
      <c r="R25" s="6" t="str">
        <f>IF(P25="R",MAX(R$17:R24,Q$15-1)+1,"")</f>
        <v/>
      </c>
      <c r="S25" s="6" t="str">
        <f t="shared" si="13"/>
        <v/>
      </c>
      <c r="T25" s="6" t="str">
        <f t="shared" si="14"/>
        <v/>
      </c>
      <c r="V25" s="6">
        <v>41</v>
      </c>
      <c r="W25" s="6" t="str">
        <v>VM1TO2_FLYNOP</v>
      </c>
      <c r="X25" s="6" t="str">
        <v>T</v>
      </c>
      <c r="Y25" s="6">
        <v>1</v>
      </c>
      <c r="Z25" s="6" t="str">
        <f>IF(X25="R",MAX(Z$17:Z24,Y$15-1)+1,"")</f>
        <v/>
      </c>
      <c r="AA25" s="6" t="str">
        <f t="shared" si="15"/>
        <v/>
      </c>
      <c r="AB25" s="6" t="str">
        <f t="shared" si="16"/>
        <v/>
      </c>
      <c r="AC25" s="6" t="str">
        <v>IVDSH_DID_REA_VM1TO2_FLYNOP</v>
      </c>
      <c r="AD25" s="6">
        <v>46</v>
      </c>
      <c r="AE25" s="6" t="str">
        <v>VM2TO3_STRMODE</v>
      </c>
      <c r="AF25" s="6" t="str">
        <v>-</v>
      </c>
      <c r="AG25" s="6">
        <v>1</v>
      </c>
      <c r="AH25" s="6" t="str">
        <f>IF(AF25="R",MAX(AH$17:AH24,AG$15-1)+1,"")</f>
        <v/>
      </c>
      <c r="AI25" s="6">
        <f t="shared" si="5"/>
        <v>0</v>
      </c>
      <c r="AJ25" s="6">
        <f t="shared" si="6"/>
        <v>8</v>
      </c>
      <c r="AK25" s="6" t="str">
        <v>IVDSH_DID_REA_VM2TO3_STRMODE</v>
      </c>
      <c r="AP25" s="6" t="str">
        <f>IF(AN25="R",MAX(AP$17:AP24,AO$15-1)+1,"")</f>
        <v/>
      </c>
      <c r="AQ25" s="6" t="str">
        <f t="shared" si="17"/>
        <v/>
      </c>
      <c r="AR25" s="6" t="str">
        <f t="shared" si="18"/>
        <v/>
      </c>
      <c r="AV25" s="6" t="str">
        <f>"IVDSH_FQ_CH_REA_"&amp;COUNTIF(AW$22:AW25,"&gt;=0")-1</f>
        <v>IVDSH_FQ_CH_REA_1</v>
      </c>
      <c r="AW25" s="6">
        <f>IF(AW33="","",COUNTIF(AW$30:AW33,"&gt;0")-1)</f>
        <v>1</v>
      </c>
      <c r="AX25" s="31">
        <v>3</v>
      </c>
      <c r="BA25" s="12" t="s">
        <v>276</v>
      </c>
      <c r="BB25" s="11" t="str">
        <f>B4</f>
        <v>"ehvm_cfg_pe1_vm0.h"</v>
      </c>
      <c r="BE25" s="11" t="str">
        <f t="shared" si="0"/>
        <v>#define IVDSH_DID_WRI_VM1TO2_FLYNOP              (8U)</v>
      </c>
      <c r="BF25" s="11" t="str">
        <f t="shared" si="1"/>
        <v/>
      </c>
      <c r="BG25" s="11" t="str">
        <f t="shared" si="2"/>
        <v/>
      </c>
      <c r="BH25" s="11" t="str">
        <f t="shared" si="3"/>
        <v/>
      </c>
      <c r="BI25" s="11" t="str">
        <f t="shared" si="4"/>
        <v/>
      </c>
      <c r="BJ25" s="11"/>
      <c r="BK25" s="11" t="str">
        <f t="shared" si="7"/>
        <v xml:space="preserve">    {(U2)8U,        (U2)1U,         (U2)IVDSH_FQ_CH_WRI  },     /* IVDSH_DID_WRI_VM1TO2_FLYNOP     */</v>
      </c>
      <c r="BL25" s="11" t="str">
        <f t="shared" si="8"/>
        <v/>
      </c>
      <c r="BM25" s="11" t="str">
        <f t="shared" si="9"/>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44</v>
      </c>
      <c r="G26" s="6" t="str">
        <v>VM1TO23_FSLP</v>
      </c>
      <c r="H26" s="6" t="str">
        <v>T</v>
      </c>
      <c r="I26" s="6">
        <v>1</v>
      </c>
      <c r="J26" s="6">
        <f t="shared" si="19"/>
        <v>9</v>
      </c>
      <c r="K26" s="6" t="str">
        <v>IVDSH_DID_WRI_VM1TO23_FSLP</v>
      </c>
      <c r="R26" s="6" t="str">
        <f>IF(P26="R",MAX(R$17:R25,Q$15-1)+1,"")</f>
        <v/>
      </c>
      <c r="S26" s="6" t="str">
        <f t="shared" si="13"/>
        <v/>
      </c>
      <c r="T26" s="6" t="str">
        <f t="shared" si="14"/>
        <v/>
      </c>
      <c r="V26" s="6">
        <v>44</v>
      </c>
      <c r="W26" s="6" t="str">
        <v>VM1TO23_FSLP</v>
      </c>
      <c r="X26" s="6" t="str">
        <v>T</v>
      </c>
      <c r="Y26" s="6">
        <v>1</v>
      </c>
      <c r="Z26" s="6" t="str">
        <f>IF(X26="R",MAX(Z$17:Z25,Y$15-1)+1,"")</f>
        <v/>
      </c>
      <c r="AA26" s="6" t="str">
        <f t="shared" si="15"/>
        <v/>
      </c>
      <c r="AB26" s="6" t="str">
        <f t="shared" si="16"/>
        <v/>
      </c>
      <c r="AC26" s="6" t="str">
        <v>IVDSH_DID_REA_VM1TO23_FSLP</v>
      </c>
      <c r="AD26" s="6">
        <v>47</v>
      </c>
      <c r="AE26" s="6" t="str">
        <v>VM2TO3_OPESTS</v>
      </c>
      <c r="AF26" s="6" t="str">
        <v>-</v>
      </c>
      <c r="AG26" s="6">
        <v>1</v>
      </c>
      <c r="AH26" s="6" t="str">
        <f>IF(AF26="R",MAX(AH$17:AH25,AG$15-1)+1,"")</f>
        <v/>
      </c>
      <c r="AI26" s="6">
        <f t="shared" si="5"/>
        <v>0</v>
      </c>
      <c r="AJ26" s="6">
        <f t="shared" si="6"/>
        <v>9</v>
      </c>
      <c r="AK26" s="6" t="str">
        <v>IVDSH_DID_REA_VM2TO3_OPESTS</v>
      </c>
      <c r="AP26" s="6" t="str">
        <f>IF(AN26="R",MAX(AP$17:AP25,AO$15-1)+1,"")</f>
        <v/>
      </c>
      <c r="AQ26" s="6" t="str">
        <f t="shared" si="17"/>
        <v/>
      </c>
      <c r="AR26" s="6" t="str">
        <f t="shared" si="18"/>
        <v/>
      </c>
      <c r="AV26" s="6" t="s">
        <v>277</v>
      </c>
      <c r="AW26" s="6">
        <f>IF(AW29=0,"",COUNTIF(AW$29:AW33,"&gt;0")-1)</f>
        <v>2</v>
      </c>
      <c r="BA26" s="12"/>
      <c r="BE26" s="11" t="str">
        <f t="shared" si="0"/>
        <v>#define IVDSH_DID_WRI_VM1TO23_FSLP               (9U)</v>
      </c>
      <c r="BF26" s="11" t="str">
        <f t="shared" si="1"/>
        <v/>
      </c>
      <c r="BG26" s="11" t="str">
        <f t="shared" si="2"/>
        <v/>
      </c>
      <c r="BH26" s="11" t="str">
        <f t="shared" si="3"/>
        <v/>
      </c>
      <c r="BI26" s="11" t="str">
        <f t="shared" si="4"/>
        <v/>
      </c>
      <c r="BJ26" s="11"/>
      <c r="BK26" s="11" t="str">
        <f t="shared" si="7"/>
        <v xml:space="preserve">    {(U2)9U,        (U2)1U,         (U2)IVDSH_FQ_CH_WRI  },     /* IVDSH_DID_WRI_VM1TO23_FSLP      */</v>
      </c>
      <c r="BL26" s="11" t="str">
        <f t="shared" si="8"/>
        <v/>
      </c>
      <c r="BM26" s="11" t="str">
        <f t="shared" si="9"/>
        <v/>
      </c>
      <c r="BN26" s="11" t="str">
        <f t="shared" si="10"/>
        <v/>
      </c>
      <c r="BO26" s="11" t="str">
        <f t="shared" si="11"/>
        <v/>
      </c>
      <c r="BP26" s="11"/>
      <c r="BQ26" s="11"/>
      <c r="BR26" s="11" t="str">
        <f>IF(AW37="","",IF(AW26&lt;&gt;"",
  "         ((U2)IVDSH_WA_NWORD_REA_0 &lt;&lt; 1)),",
  "")
)</f>
        <v xml:space="preserve">         ((U2)IVDSH_WA_NWORD_REA_0 &lt;&lt; 1)),</v>
      </c>
      <c r="BS26" s="11"/>
    </row>
    <row r="27" spans="5:71">
      <c r="E27" s="6">
        <f t="shared" si="12"/>
        <v>10</v>
      </c>
      <c r="F27" s="6">
        <v>53</v>
      </c>
      <c r="G27" s="6" t="str">
        <v>VM1TO2_WHLINI_RES</v>
      </c>
      <c r="H27" s="6" t="str">
        <v>T</v>
      </c>
      <c r="I27" s="6">
        <v>1</v>
      </c>
      <c r="J27" s="6">
        <f t="shared" si="19"/>
        <v>10</v>
      </c>
      <c r="K27" s="6" t="str">
        <v>IVDSH_DID_WRI_VM1TO2_WHLINI_RES</v>
      </c>
      <c r="R27" s="6" t="str">
        <f>IF(P27="R",MAX(R$17:R26,Q$15-1)+1,"")</f>
        <v/>
      </c>
      <c r="S27" s="6" t="str">
        <f t="shared" si="13"/>
        <v/>
      </c>
      <c r="T27" s="6" t="str">
        <f t="shared" si="14"/>
        <v/>
      </c>
      <c r="V27" s="6">
        <v>53</v>
      </c>
      <c r="W27" s="6" t="str">
        <v>VM1TO2_WHLINI_RES</v>
      </c>
      <c r="X27" s="6" t="str">
        <v>T</v>
      </c>
      <c r="Y27" s="6">
        <v>1</v>
      </c>
      <c r="Z27" s="6" t="str">
        <f>IF(X27="R",MAX(Z$17:Z26,Y$15-1)+1,"")</f>
        <v/>
      </c>
      <c r="AA27" s="6" t="str">
        <f t="shared" si="15"/>
        <v/>
      </c>
      <c r="AB27" s="6" t="str">
        <f t="shared" si="16"/>
        <v/>
      </c>
      <c r="AC27" s="6" t="str">
        <v>IVDSH_DID_REA_VM1TO2_WHLINI_RES</v>
      </c>
      <c r="AD27" s="6">
        <v>51</v>
      </c>
      <c r="AE27" s="6" t="str">
        <v>GPS_REQ</v>
      </c>
      <c r="AF27" s="6" t="str">
        <v>-</v>
      </c>
      <c r="AG27" s="6">
        <v>1</v>
      </c>
      <c r="AH27" s="6" t="str">
        <f>IF(AF27="R",MAX(AH$17:AH26,AG$15-1)+1,"")</f>
        <v/>
      </c>
      <c r="AI27" s="6">
        <f t="shared" si="5"/>
        <v>0</v>
      </c>
      <c r="AJ27" s="6">
        <f t="shared" si="6"/>
        <v>10</v>
      </c>
      <c r="AK27" s="6" t="str">
        <v>IVDSH_DID_REA_GPS_REQ</v>
      </c>
      <c r="AP27" s="6" t="str">
        <f>IF(AN27="R",MAX(AP$17:AP26,AO$15-1)+1,"")</f>
        <v/>
      </c>
      <c r="AQ27" s="6" t="str">
        <f t="shared" si="17"/>
        <v/>
      </c>
      <c r="AR27" s="6" t="str">
        <f t="shared" si="18"/>
        <v/>
      </c>
      <c r="BA27" s="12"/>
      <c r="BE27" s="11" t="str">
        <f t="shared" si="0"/>
        <v>#define IVDSH_DID_WRI_VM1TO2_WHLINI_RES          (10U)</v>
      </c>
      <c r="BF27" s="11" t="str">
        <f t="shared" si="1"/>
        <v/>
      </c>
      <c r="BG27" s="11" t="str">
        <f t="shared" si="2"/>
        <v/>
      </c>
      <c r="BH27" s="11" t="str">
        <f t="shared" si="3"/>
        <v/>
      </c>
      <c r="BI27" s="11" t="str">
        <f t="shared" si="4"/>
        <v/>
      </c>
      <c r="BJ27" s="11"/>
      <c r="BK27" s="11" t="str">
        <f t="shared" si="7"/>
        <v xml:space="preserve">    {(U2)10U,       (U2)1U,         (U2)IVDSH_FQ_CH_WRI  },     /* IVDSH_DID_WRI_VM1TO2_WHLINI_RES */</v>
      </c>
      <c r="BL27" s="11" t="str">
        <f t="shared" si="8"/>
        <v/>
      </c>
      <c r="BM27" s="11" t="str">
        <f t="shared" si="9"/>
        <v/>
      </c>
      <c r="BN27" s="11" t="str">
        <f t="shared" si="10"/>
        <v/>
      </c>
      <c r="BO27" s="11" t="str">
        <f t="shared" si="11"/>
        <v/>
      </c>
      <c r="BP27" s="11"/>
      <c r="BQ27" s="11"/>
      <c r="BR27" s="11" t="str">
        <f>IF(AW37="","","        (U2)IVDSH_WA_NWORD_REA_1,                                 /* u2_nword */")</f>
        <v xml:space="preserve">        (U2)IVDSH_WA_NWORD_REA_1,                                 /* u2_nword */</v>
      </c>
      <c r="BS27" s="11"/>
    </row>
    <row r="28" spans="5:71">
      <c r="E28" s="6">
        <f t="shared" si="12"/>
        <v>11</v>
      </c>
      <c r="F28" s="6">
        <v>54</v>
      </c>
      <c r="G28" s="6" t="str">
        <v>VM1TO3_WHLINI_INF</v>
      </c>
      <c r="H28" s="6" t="str">
        <v>T</v>
      </c>
      <c r="I28" s="6">
        <v>1</v>
      </c>
      <c r="J28" s="6">
        <f t="shared" si="19"/>
        <v>11</v>
      </c>
      <c r="K28" s="6" t="str">
        <v>IVDSH_DID_WRI_VM1TO3_WHLINI_INF</v>
      </c>
      <c r="R28" s="6" t="str">
        <f>IF(P28="R",MAX(R$17:R27,Q$15-1)+1,"")</f>
        <v/>
      </c>
      <c r="S28" s="6" t="str">
        <f t="shared" si="13"/>
        <v/>
      </c>
      <c r="T28" s="6" t="str">
        <f t="shared" si="14"/>
        <v/>
      </c>
      <c r="V28" s="6">
        <v>54</v>
      </c>
      <c r="W28" s="6" t="str">
        <v>VM1TO3_WHLINI_INF</v>
      </c>
      <c r="X28" s="6" t="str">
        <v>T</v>
      </c>
      <c r="Y28" s="6">
        <v>1</v>
      </c>
      <c r="Z28" s="6" t="str">
        <f>IF(X28="R",MAX(Z$17:Z27,Y$15-1)+1,"")</f>
        <v/>
      </c>
      <c r="AA28" s="6" t="str">
        <f t="shared" si="15"/>
        <v/>
      </c>
      <c r="AB28" s="6" t="str">
        <f t="shared" si="16"/>
        <v/>
      </c>
      <c r="AC28" s="6" t="str">
        <v>IVDSH_DID_REA_VM1TO3_WHLINI_INF</v>
      </c>
      <c r="AD28" s="6">
        <v>52</v>
      </c>
      <c r="AE28" s="6" t="str">
        <v>VM2TO1_WHLINI_REQ</v>
      </c>
      <c r="AF28" s="6" t="str">
        <v>R</v>
      </c>
      <c r="AG28" s="6">
        <v>1</v>
      </c>
      <c r="AH28" s="6">
        <f>IF(AF28="R",MAX(AH$17:AH27,AG$15-1)+1,"")</f>
        <v>18</v>
      </c>
      <c r="AI28" s="6">
        <f t="shared" si="5"/>
        <v>0</v>
      </c>
      <c r="AJ28" s="6">
        <f t="shared" si="6"/>
        <v>11</v>
      </c>
      <c r="AK28" s="6" t="str">
        <v>IVDSH_DID_REA_VM2TO1_WHLINI_REQ</v>
      </c>
      <c r="AP28" s="6" t="str">
        <f>IF(AN28="R",MAX(AP$17:AP27,AO$15-1)+1,"")</f>
        <v/>
      </c>
      <c r="AQ28" s="6" t="str">
        <f t="shared" si="17"/>
        <v/>
      </c>
      <c r="AR28" s="6" t="str">
        <f t="shared" si="18"/>
        <v/>
      </c>
      <c r="AV28" s="6" t="s">
        <v>278</v>
      </c>
      <c r="AW28" s="6">
        <f>AW29+SUM(AW30:AW33)*2</f>
        <v>68</v>
      </c>
      <c r="BA28" s="12"/>
      <c r="BE28" s="11" t="str">
        <f t="shared" si="0"/>
        <v>#define IVDSH_DID_WRI_VM1TO3_WHLINI_INF          (11U)</v>
      </c>
      <c r="BF28" s="11" t="str">
        <f t="shared" si="1"/>
        <v/>
      </c>
      <c r="BG28" s="11" t="str">
        <f t="shared" si="2"/>
        <v/>
      </c>
      <c r="BH28" s="11" t="str">
        <f t="shared" si="3"/>
        <v>#define IVDSH_DID_REA_VM2TO1_WHLINI_REQ          (18U)</v>
      </c>
      <c r="BI28" s="11" t="str">
        <f t="shared" si="4"/>
        <v/>
      </c>
      <c r="BJ28" s="11"/>
      <c r="BK28" s="11" t="str">
        <f t="shared" si="7"/>
        <v xml:space="preserve">    {(U2)11U,       (U2)1U,         (U2)IVDSH_FQ_CH_WRI  },     /* IVDSH_DID_WRI_VM1TO3_WHLINI_INF */</v>
      </c>
      <c r="BL28" s="11" t="str">
        <f t="shared" si="8"/>
        <v/>
      </c>
      <c r="BM28" s="11" t="str">
        <f t="shared" si="9"/>
        <v/>
      </c>
      <c r="BN28" s="11" t="str">
        <f t="shared" si="10"/>
        <v xml:space="preserve">    {(U2)11U,       (U2)1U,         (U2)IVDSH_FQ_CH_REA_0},     /* IVDSH_DID_REA_VM2TO1_WHLINI_REQ */</v>
      </c>
      <c r="BO28" s="11" t="str">
        <f t="shared" si="11"/>
        <v/>
      </c>
      <c r="BP28" s="11"/>
      <c r="BQ28" s="11"/>
      <c r="BR28" s="11" t="str" cm="1">
        <f t="array" ref="BR28">IF(AW37="","","        (U2)"&amp;INDEX(B6:B9,AX37+1)&amp;"                       /* u2_fq_ch */")</f>
        <v xml:space="preserve">        (U2)EHVM_RX_VCCID_VCC_SHARED_TX_VM3                       /* u2_fq_ch */</v>
      </c>
      <c r="BS28" s="11"/>
    </row>
    <row r="29" spans="5:71">
      <c r="E29" s="6">
        <f t="shared" si="12"/>
        <v>12</v>
      </c>
      <c r="J29" s="6" t="str">
        <f t="shared" si="19"/>
        <v/>
      </c>
      <c r="R29" s="6" t="str">
        <f>IF(P29="R",MAX(R$17:R28,Q$15-1)+1,"")</f>
        <v/>
      </c>
      <c r="S29" s="6" t="str">
        <f t="shared" si="13"/>
        <v/>
      </c>
      <c r="T29" s="6" t="str">
        <f t="shared" si="14"/>
        <v/>
      </c>
      <c r="Z29" s="6" t="str">
        <f>IF(X29="R",MAX(Z$17:Z28,Y$15-1)+1,"")</f>
        <v/>
      </c>
      <c r="AA29" s="6" t="str">
        <f t="shared" si="15"/>
        <v/>
      </c>
      <c r="AB29" s="6" t="str">
        <f t="shared" si="16"/>
        <v/>
      </c>
      <c r="AD29" s="6">
        <v>55</v>
      </c>
      <c r="AE29" s="6" t="str">
        <v>VM2TO3_DIN2_STAT</v>
      </c>
      <c r="AF29" s="6" t="str">
        <v>-</v>
      </c>
      <c r="AG29" s="6">
        <v>1</v>
      </c>
      <c r="AH29" s="6" t="str">
        <f>IF(AF29="R",MAX(AH$17:AH28,AG$15-1)+1,"")</f>
        <v/>
      </c>
      <c r="AI29" s="6">
        <f t="shared" si="5"/>
        <v>0</v>
      </c>
      <c r="AJ29" s="6">
        <f t="shared" si="6"/>
        <v>12</v>
      </c>
      <c r="AK29" s="6" t="str">
        <v>IVDSH_DID_REA_VM2TO3_DIN2_STAT</v>
      </c>
      <c r="AP29" s="6" t="str">
        <f>IF(AN29="R",MAX(AP$17:AP28,AO$15-1)+1,"")</f>
        <v/>
      </c>
      <c r="AQ29" s="6" t="str">
        <f t="shared" si="17"/>
        <v/>
      </c>
      <c r="AR29" s="6" t="str">
        <f t="shared" si="18"/>
        <v/>
      </c>
      <c r="AV29" s="6" t="s">
        <v>279</v>
      </c>
      <c r="AW29" s="6">
        <f>SUM(I$17:I529)</f>
        <v>12</v>
      </c>
      <c r="AX29" s="30" t="s">
        <v>271</v>
      </c>
      <c r="BA29" s="12"/>
      <c r="BE29" s="11" t="str">
        <f t="shared" si="0"/>
        <v/>
      </c>
      <c r="BF29" s="11" t="str">
        <f t="shared" si="1"/>
        <v/>
      </c>
      <c r="BG29" s="11" t="str">
        <f t="shared" si="2"/>
        <v/>
      </c>
      <c r="BH29" s="11" t="str">
        <f t="shared" si="3"/>
        <v/>
      </c>
      <c r="BI29" s="11" t="str">
        <f t="shared" si="4"/>
        <v/>
      </c>
      <c r="BJ29" s="11"/>
      <c r="BK29" s="11" t="str">
        <f t="shared" si="7"/>
        <v/>
      </c>
      <c r="BL29" s="11" t="str">
        <f t="shared" si="8"/>
        <v/>
      </c>
      <c r="BM29" s="11" t="str">
        <f t="shared" si="9"/>
        <v/>
      </c>
      <c r="BN29" s="11" t="str">
        <f t="shared" si="10"/>
        <v/>
      </c>
      <c r="BO29" s="11" t="str">
        <f t="shared" si="11"/>
        <v/>
      </c>
      <c r="BP29" s="11"/>
      <c r="BQ29" s="11"/>
      <c r="BR29" s="28" t="str">
        <f>IF(AW37="","","    },")</f>
        <v xml:space="preserve">    },</v>
      </c>
      <c r="BS29" s="11"/>
    </row>
    <row r="30" spans="5:71">
      <c r="E30" s="6">
        <f t="shared" si="12"/>
        <v>13</v>
      </c>
      <c r="J30" s="6" t="str">
        <f t="shared" si="19"/>
        <v/>
      </c>
      <c r="R30" s="6" t="str">
        <f>IF(P30="R",MAX(R$17:R29,Q$15-1)+1,"")</f>
        <v/>
      </c>
      <c r="S30" s="6" t="str">
        <f t="shared" si="13"/>
        <v/>
      </c>
      <c r="T30" s="6" t="str">
        <f t="shared" si="14"/>
        <v/>
      </c>
      <c r="Z30" s="6" t="str">
        <f>IF(X30="R",MAX(Z$17:Z29,Y$15-1)+1,"")</f>
        <v/>
      </c>
      <c r="AA30" s="6" t="str">
        <f t="shared" si="15"/>
        <v/>
      </c>
      <c r="AB30" s="6" t="str">
        <f t="shared" si="16"/>
        <v/>
      </c>
      <c r="AD30" s="6">
        <v>56</v>
      </c>
      <c r="AE30" s="6" t="str">
        <v>VM2TO1_DMS1S02</v>
      </c>
      <c r="AF30" s="6" t="str">
        <v>R</v>
      </c>
      <c r="AG30" s="6">
        <v>1</v>
      </c>
      <c r="AH30" s="6">
        <f>IF(AF30="R",MAX(AH$17:AH29,AG$15-1)+1,"")</f>
        <v>19</v>
      </c>
      <c r="AI30" s="6">
        <f t="shared" si="5"/>
        <v>0</v>
      </c>
      <c r="AJ30" s="6">
        <f t="shared" si="6"/>
        <v>13</v>
      </c>
      <c r="AK30" s="6" t="str">
        <v>IVDSH_DID_REA_VM2TO1_DMS1S02</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#define IVDSH_DID_REA_VM2TO1_DMS1S02             (19U)</v>
      </c>
      <c r="BI30" s="11" t="str">
        <f t="shared" si="4"/>
        <v/>
      </c>
      <c r="BJ30" s="11"/>
      <c r="BK30" s="11" t="str">
        <f t="shared" si="7"/>
        <v/>
      </c>
      <c r="BL30" s="11" t="str">
        <f t="shared" si="8"/>
        <v/>
      </c>
      <c r="BM30" s="11" t="str">
        <f t="shared" si="9"/>
        <v/>
      </c>
      <c r="BN30" s="11" t="str">
        <f t="shared" si="10"/>
        <v xml:space="preserve">    {(U2)13U,       (U2)1U,         (U2)IVDSH_FQ_CH_REA_0},     /* IVDSH_DID_REA_VM2TO1_DMS1S02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Z31" s="6" t="str">
        <f>IF(X31="R",MAX(Z$17:Z30,Y$15-1)+1,"")</f>
        <v/>
      </c>
      <c r="AA31" s="6" t="str">
        <f t="shared" si="15"/>
        <v/>
      </c>
      <c r="AB31" s="6" t="str">
        <f t="shared" si="16"/>
        <v/>
      </c>
      <c r="AD31" s="6">
        <v>57</v>
      </c>
      <c r="AE31" s="6" t="str">
        <v>VM2TO1_MET1S27</v>
      </c>
      <c r="AF31" s="6" t="str">
        <v>R</v>
      </c>
      <c r="AG31" s="6">
        <v>1</v>
      </c>
      <c r="AH31" s="6">
        <f>IF(AF31="R",MAX(AH$17:AH30,AG$15-1)+1,"")</f>
        <v>20</v>
      </c>
      <c r="AI31" s="6">
        <f t="shared" si="5"/>
        <v>0</v>
      </c>
      <c r="AJ31" s="6">
        <f t="shared" si="6"/>
        <v>14</v>
      </c>
      <c r="AK31" s="6" t="str">
        <v>IVDSH_DID_REA_VM2TO1_MET1S27</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
      </c>
      <c r="BF31" s="11" t="str">
        <f t="shared" si="1"/>
        <v/>
      </c>
      <c r="BG31" s="11" t="str">
        <f t="shared" si="2"/>
        <v/>
      </c>
      <c r="BH31" s="11" t="str">
        <f t="shared" si="3"/>
        <v>#define IVDSH_DID_REA_VM2TO1_MET1S27             (20U)</v>
      </c>
      <c r="BI31" s="11" t="str">
        <f t="shared" si="4"/>
        <v/>
      </c>
      <c r="BJ31" s="11"/>
      <c r="BK31" s="11" t="str">
        <f t="shared" si="7"/>
        <v/>
      </c>
      <c r="BL31" s="11" t="str">
        <f t="shared" si="8"/>
        <v/>
      </c>
      <c r="BM31" s="11" t="str">
        <f t="shared" si="9"/>
        <v/>
      </c>
      <c r="BN31" s="11" t="str">
        <f t="shared" si="10"/>
        <v xml:space="preserve">    {(U2)14U,       (U2)1U,         (U2)IVDSH_FQ_CH_REA_0},     /* IVDSH_DID_REA_VM2TO1_MET1S27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Z32" s="6" t="str">
        <f>IF(X32="R",MAX(Z$17:Z31,Y$15-1)+1,"")</f>
        <v/>
      </c>
      <c r="AA32" s="6" t="str">
        <f t="shared" si="15"/>
        <v/>
      </c>
      <c r="AB32" s="6" t="str">
        <f t="shared" si="16"/>
        <v/>
      </c>
      <c r="AD32" s="6">
        <v>58</v>
      </c>
      <c r="AE32" s="6" t="str">
        <v>VM2TO1_MET1S28</v>
      </c>
      <c r="AF32" s="6" t="str">
        <v>R</v>
      </c>
      <c r="AG32" s="6">
        <v>1</v>
      </c>
      <c r="AH32" s="6">
        <f>IF(AF32="R",MAX(AH$17:AH31,AG$15-1)+1,"")</f>
        <v>21</v>
      </c>
      <c r="AI32" s="6">
        <f t="shared" si="5"/>
        <v>0</v>
      </c>
      <c r="AJ32" s="6">
        <f t="shared" si="6"/>
        <v>15</v>
      </c>
      <c r="AK32" s="6" t="str">
        <v>IVDSH_DID_REA_VM2TO1_MET1S28</v>
      </c>
      <c r="AP32" s="6" t="str">
        <f>IF(AN32="R",MAX(AP$17:AP31,AO$15-1)+1,"")</f>
        <v/>
      </c>
      <c r="AQ32" s="6" t="str">
        <f t="shared" si="17"/>
        <v/>
      </c>
      <c r="AR32" s="6" t="str">
        <f t="shared" si="18"/>
        <v/>
      </c>
      <c r="AV32" s="6" t="str">
        <f>"IVDSH_WA_NWORD_REA_"&amp;COUNTIF(AW$30:AW32,"&gt;0")-1</f>
        <v>IVDSH_WA_NWORD_REA_0</v>
      </c>
      <c r="AW32" s="6">
        <f>IF(AH15&lt;&gt;0,SUM(AG$17:AG529),"")</f>
        <v>21</v>
      </c>
      <c r="AX32" s="31">
        <v>2</v>
      </c>
      <c r="BE32" s="11" t="str">
        <f t="shared" si="0"/>
        <v/>
      </c>
      <c r="BF32" s="11" t="str">
        <f t="shared" si="1"/>
        <v/>
      </c>
      <c r="BG32" s="11" t="str">
        <f t="shared" si="2"/>
        <v/>
      </c>
      <c r="BH32" s="11" t="str">
        <f t="shared" si="3"/>
        <v>#define IVDSH_DID_REA_VM2TO1_MET1S28             (21U)</v>
      </c>
      <c r="BI32" s="11" t="str">
        <f t="shared" si="4"/>
        <v/>
      </c>
      <c r="BJ32" s="11"/>
      <c r="BK32" s="11" t="str">
        <f t="shared" si="7"/>
        <v/>
      </c>
      <c r="BL32" s="11" t="str">
        <f t="shared" si="8"/>
        <v/>
      </c>
      <c r="BM32" s="11" t="str">
        <f t="shared" si="9"/>
        <v/>
      </c>
      <c r="BN32" s="11" t="str">
        <f t="shared" si="10"/>
        <v xml:space="preserve">    {(U2)15U,       (U2)1U,         (U2)IVDSH_FQ_CH_REA_0},     /* IVDSH_DID_REA_VM2TO1_MET1S28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59</v>
      </c>
      <c r="AE33" s="6" t="str">
        <v>VM2TO1_MET1S29</v>
      </c>
      <c r="AF33" s="6" t="str">
        <v>R</v>
      </c>
      <c r="AG33" s="6">
        <v>1</v>
      </c>
      <c r="AH33" s="6">
        <f>IF(AF33="R",MAX(AH$17:AH32,AG$15-1)+1,"")</f>
        <v>22</v>
      </c>
      <c r="AI33" s="6">
        <f t="shared" si="5"/>
        <v>0</v>
      </c>
      <c r="AJ33" s="6">
        <f t="shared" si="6"/>
        <v>16</v>
      </c>
      <c r="AK33" s="6" t="str">
        <v>IVDSH_DID_REA_VM2TO1_MET1S29</v>
      </c>
      <c r="AP33" s="6" t="str">
        <f>IF(AN33="R",MAX(AP$17:AP32,AO$15-1)+1,"")</f>
        <v/>
      </c>
      <c r="AQ33" s="6" t="str">
        <f t="shared" si="17"/>
        <v/>
      </c>
      <c r="AR33" s="6" t="str">
        <f t="shared" si="18"/>
        <v/>
      </c>
      <c r="AV33" s="6" t="str">
        <f>"IVDSH_WA_NWORD_REA_"&amp;COUNTIF(AW$30:AW33,"&gt;0")-1</f>
        <v>IVDSH_WA_NWORD_REA_1</v>
      </c>
      <c r="AW33" s="6">
        <f>IF(AP15&lt;&gt;0,SUM(AO$17:AO529),"")</f>
        <v>7</v>
      </c>
      <c r="AX33" s="31">
        <v>3</v>
      </c>
      <c r="BE33" s="11" t="str">
        <f t="shared" si="0"/>
        <v/>
      </c>
      <c r="BF33" s="11" t="str">
        <f t="shared" si="1"/>
        <v/>
      </c>
      <c r="BG33" s="11" t="str">
        <f t="shared" si="2"/>
        <v/>
      </c>
      <c r="BH33" s="11" t="str">
        <f t="shared" si="3"/>
        <v>#define IVDSH_DID_REA_VM2TO1_MET1S29             (22U)</v>
      </c>
      <c r="BI33" s="11" t="str">
        <f t="shared" si="4"/>
        <v/>
      </c>
      <c r="BJ33" s="11"/>
      <c r="BK33" s="11" t="str">
        <f t="shared" si="7"/>
        <v/>
      </c>
      <c r="BL33" s="11" t="str">
        <f t="shared" si="8"/>
        <v/>
      </c>
      <c r="BM33" s="11" t="str">
        <f t="shared" si="9"/>
        <v/>
      </c>
      <c r="BN33" s="11" t="str">
        <f t="shared" si="10"/>
        <v xml:space="preserve">    {(U2)16U,       (U2)1U,         (U2)IVDSH_FQ_CH_REA_0},     /* IVDSH_DID_REA_VM2TO1_MET1S29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60</v>
      </c>
      <c r="AE34" s="6" t="str">
        <v>VM2TO1_MET1S30</v>
      </c>
      <c r="AF34" s="6" t="str">
        <v>R</v>
      </c>
      <c r="AG34" s="6">
        <v>1</v>
      </c>
      <c r="AH34" s="6">
        <f>IF(AF34="R",MAX(AH$17:AH33,AG$15-1)+1,"")</f>
        <v>23</v>
      </c>
      <c r="AI34" s="6">
        <f t="shared" si="5"/>
        <v>0</v>
      </c>
      <c r="AJ34" s="6">
        <f t="shared" si="6"/>
        <v>17</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#define IVDSH_DID_REA_VM2TO1_MET1S30             (23U)</v>
      </c>
      <c r="BI34" s="11" t="str">
        <f t="shared" si="4"/>
        <v/>
      </c>
      <c r="BJ34" s="11"/>
      <c r="BK34" s="11" t="str">
        <f t="shared" si="7"/>
        <v/>
      </c>
      <c r="BL34" s="11" t="str">
        <f t="shared" si="8"/>
        <v/>
      </c>
      <c r="BM34" s="11" t="str">
        <f t="shared" si="9"/>
        <v/>
      </c>
      <c r="BN34" s="11" t="str">
        <f t="shared" si="10"/>
        <v xml:space="preserve">    {(U2)17U,       (U2)1U,         (U2)IVDSH_FQ_CH_REA_0},     /* IVDSH_DID_REA_VM2TO1_MET1S30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61</v>
      </c>
      <c r="AE35" s="6" t="str">
        <v>VM2TO1_MET1S43</v>
      </c>
      <c r="AF35" s="6" t="str">
        <v>R</v>
      </c>
      <c r="AG35" s="6">
        <v>1</v>
      </c>
      <c r="AH35" s="6">
        <f>IF(AF35="R",MAX(AH$17:AH34,AG$15-1)+1,"")</f>
        <v>24</v>
      </c>
      <c r="AI35" s="6">
        <f t="shared" si="5"/>
        <v>0</v>
      </c>
      <c r="AJ35" s="6">
        <f t="shared" si="6"/>
        <v>18</v>
      </c>
      <c r="AK35" s="6" t="str">
        <v>IVDSH_DID_REA_VM2TO1_MET1S43</v>
      </c>
      <c r="AP35" s="6" t="str">
        <f>IF(AN35="R",MAX(AP$17:AP34,AO$15-1)+1,"")</f>
        <v/>
      </c>
      <c r="AQ35" s="6" t="str">
        <f t="shared" si="17"/>
        <v/>
      </c>
      <c r="AR35" s="6" t="str">
        <f t="shared" si="18"/>
        <v/>
      </c>
      <c r="AV35" s="30" t="s">
        <v>280</v>
      </c>
      <c r="BE35" s="11" t="str">
        <f t="shared" si="0"/>
        <v/>
      </c>
      <c r="BF35" s="11" t="str">
        <f t="shared" si="1"/>
        <v/>
      </c>
      <c r="BG35" s="11" t="str">
        <f t="shared" si="2"/>
        <v/>
      </c>
      <c r="BH35" s="11" t="str">
        <f t="shared" si="3"/>
        <v>#define IVDSH_DID_REA_VM2TO1_MET1S43             (24U)</v>
      </c>
      <c r="BI35" s="11" t="str">
        <f t="shared" si="4"/>
        <v/>
      </c>
      <c r="BJ35" s="11"/>
      <c r="BK35" s="11" t="str">
        <f t="shared" si="7"/>
        <v/>
      </c>
      <c r="BL35" s="11" t="str">
        <f t="shared" si="8"/>
        <v/>
      </c>
      <c r="BM35" s="11" t="str">
        <f t="shared" si="9"/>
        <v/>
      </c>
      <c r="BN35" s="11" t="str">
        <f t="shared" si="10"/>
        <v xml:space="preserve">    {(U2)18U,       (U2)1U,         (U2)IVDSH_FQ_CH_REA_0},     /* IVDSH_DID_REA_VM2TO1_MET1S43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62</v>
      </c>
      <c r="AE36" s="6" t="str">
        <v>VM2TO1_MET1S62</v>
      </c>
      <c r="AF36" s="6" t="str">
        <v>R</v>
      </c>
      <c r="AG36" s="6">
        <v>1</v>
      </c>
      <c r="AH36" s="6">
        <f>IF(AF36="R",MAX(AH$17:AH35,AG$15-1)+1,"")</f>
        <v>25</v>
      </c>
      <c r="AI36" s="6">
        <f t="shared" si="5"/>
        <v>0</v>
      </c>
      <c r="AJ36" s="6">
        <f t="shared" si="6"/>
        <v>19</v>
      </c>
      <c r="AK36" s="6" t="str">
        <v>IVDSH_DID_REA_VM2TO1_MET1S62</v>
      </c>
      <c r="AP36" s="6" t="str">
        <f>IF(AN36="R",MAX(AP$17:AP35,AO$15-1)+1,"")</f>
        <v/>
      </c>
      <c r="AQ36" s="6" t="str">
        <f t="shared" si="17"/>
        <v/>
      </c>
      <c r="AR36" s="6" t="str">
        <f t="shared" si="18"/>
        <v/>
      </c>
      <c r="AV36" s="6" t="s">
        <v>281</v>
      </c>
      <c r="AW36" s="6">
        <f>IFERROR(INDEX(AW$22:AW$25,MATCH(AV36,AV$22:AV$25,0)),"")</f>
        <v>0</v>
      </c>
      <c r="AX36" s="6">
        <f>IFERROR(INDEX(AX$22:AX$25,MATCH(AV36,AV$22:AV$25,0)),"")</f>
        <v>2</v>
      </c>
      <c r="BE36" s="11" t="str">
        <f t="shared" si="0"/>
        <v/>
      </c>
      <c r="BF36" s="11" t="str">
        <f t="shared" si="1"/>
        <v/>
      </c>
      <c r="BG36" s="11" t="str">
        <f t="shared" si="2"/>
        <v/>
      </c>
      <c r="BH36" s="11" t="str">
        <f t="shared" si="3"/>
        <v>#define IVDSH_DID_REA_VM2TO1_MET1S62             (25U)</v>
      </c>
      <c r="BI36" s="11" t="str">
        <f t="shared" si="4"/>
        <v/>
      </c>
      <c r="BJ36" s="11"/>
      <c r="BK36" s="11" t="str">
        <f t="shared" si="7"/>
        <v/>
      </c>
      <c r="BL36" s="11" t="str">
        <f t="shared" si="8"/>
        <v/>
      </c>
      <c r="BM36" s="11" t="str">
        <f t="shared" si="9"/>
        <v/>
      </c>
      <c r="BN36" s="11" t="str">
        <f t="shared" si="10"/>
        <v xml:space="preserve">    {(U2)19U,       (U2)1U,         (U2)IVDSH_FQ_CH_REA_0},     /* IVDSH_DID_REA_VM2TO1_MET1S62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63</v>
      </c>
      <c r="AE37" s="6" t="str">
        <v>VM2TO1_MET1S70</v>
      </c>
      <c r="AF37" s="6" t="str">
        <v>R</v>
      </c>
      <c r="AG37" s="6">
        <v>1</v>
      </c>
      <c r="AH37" s="6">
        <f>IF(AF37="R",MAX(AH$17:AH36,AG$15-1)+1,"")</f>
        <v>26</v>
      </c>
      <c r="AI37" s="6">
        <f t="shared" si="5"/>
        <v>0</v>
      </c>
      <c r="AJ37" s="6">
        <f t="shared" si="6"/>
        <v>20</v>
      </c>
      <c r="AK37" s="6" t="str">
        <v>IVDSH_DID_REA_VM2TO1_MET1S70</v>
      </c>
      <c r="AP37" s="6" t="str">
        <f>IF(AN37="R",MAX(AP$17:AP36,AO$15-1)+1,"")</f>
        <v/>
      </c>
      <c r="AQ37" s="6" t="str">
        <f t="shared" si="17"/>
        <v/>
      </c>
      <c r="AR37" s="6" t="str">
        <f t="shared" si="18"/>
        <v/>
      </c>
      <c r="AV37" s="6" t="s">
        <v>282</v>
      </c>
      <c r="AW37" s="6">
        <f>IFERROR(INDEX(AW$22:AW$25,MATCH(AV37,AV$22:AV$25,0)),"")</f>
        <v>1</v>
      </c>
      <c r="AX37" s="6">
        <f>IFERROR(INDEX(AX$22:AX$25,MATCH(AV37,AV$22:AV$25,0)),"")</f>
        <v>3</v>
      </c>
      <c r="BE37" s="11" t="str">
        <f t="shared" si="0"/>
        <v/>
      </c>
      <c r="BF37" s="11" t="str">
        <f t="shared" si="1"/>
        <v/>
      </c>
      <c r="BG37" s="11" t="str">
        <f t="shared" si="2"/>
        <v/>
      </c>
      <c r="BH37" s="11" t="str">
        <f t="shared" si="3"/>
        <v>#define IVDSH_DID_REA_VM2TO1_MET1S70             (26U)</v>
      </c>
      <c r="BI37" s="11" t="str">
        <f t="shared" si="4"/>
        <v/>
      </c>
      <c r="BJ37" s="11"/>
      <c r="BK37" s="11" t="str">
        <f t="shared" si="7"/>
        <v/>
      </c>
      <c r="BL37" s="11" t="str">
        <f t="shared" si="8"/>
        <v/>
      </c>
      <c r="BM37" s="11" t="str">
        <f t="shared" si="9"/>
        <v/>
      </c>
      <c r="BN37" s="11" t="str">
        <f t="shared" si="10"/>
        <v xml:space="preserve">    {(U2)20U,       (U2)1U,         (U2)IVDSH_FQ_CH_REA_0},     /* IVDSH_DID_REA_VM2TO1_MET1S70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H38" s="6" t="str">
        <f>IF(AF38="R",MAX(AH$17:AH37,AG$15-1)+1,"")</f>
        <v/>
      </c>
      <c r="AI38" s="6" t="str">
        <f t="shared" si="5"/>
        <v/>
      </c>
      <c r="AJ38" s="6" t="str">
        <f t="shared" si="6"/>
        <v/>
      </c>
      <c r="AP38" s="6" t="str">
        <f>IF(AN38="R",MAX(AP$17:AP37,AO$15-1)+1,"")</f>
        <v/>
      </c>
      <c r="AQ38" s="6" t="str">
        <f t="shared" si="17"/>
        <v/>
      </c>
      <c r="AR38" s="6" t="str">
        <f t="shared" si="18"/>
        <v/>
      </c>
      <c r="AV38" s="6" t="s">
        <v>283</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H39" s="6" t="str">
        <f>IF(AF39="R",MAX(AH$17:AH38,AG$15-1)+1,"")</f>
        <v/>
      </c>
      <c r="AI39" s="6" t="str">
        <f t="shared" si="5"/>
        <v/>
      </c>
      <c r="AJ39" s="6" t="str">
        <f t="shared" si="6"/>
        <v/>
      </c>
      <c r="AP39" s="6" t="str">
        <f>IF(AN39="R",MAX(AP$17:AP38,AO$15-1)+1,"")</f>
        <v/>
      </c>
      <c r="AQ39" s="6" t="str">
        <f t="shared" si="17"/>
        <v/>
      </c>
      <c r="AR39" s="6" t="str">
        <f t="shared" si="18"/>
        <v/>
      </c>
      <c r="AV39" s="6" t="s">
        <v>284</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285</v>
      </c>
      <c r="D530" s="6" t="s">
        <v>285</v>
      </c>
      <c r="E530" s="6" t="s">
        <v>285</v>
      </c>
      <c r="F530" s="6" t="s">
        <v>285</v>
      </c>
      <c r="H530" s="6" t="s">
        <v>285</v>
      </c>
      <c r="I530" s="6" t="s">
        <v>285</v>
      </c>
      <c r="J530" s="6" t="s">
        <v>285</v>
      </c>
      <c r="K530" s="6" t="s">
        <v>285</v>
      </c>
      <c r="L530" s="7" t="s">
        <v>285</v>
      </c>
      <c r="M530" s="6" t="s">
        <v>285</v>
      </c>
      <c r="N530" s="6" t="s">
        <v>285</v>
      </c>
      <c r="P530" s="6" t="s">
        <v>285</v>
      </c>
      <c r="Q530" s="6" t="s">
        <v>285</v>
      </c>
      <c r="R530" s="6" t="s">
        <v>285</v>
      </c>
      <c r="S530" s="6" t="s">
        <v>285</v>
      </c>
      <c r="T530" s="6" t="s">
        <v>285</v>
      </c>
      <c r="U530" s="6" t="s">
        <v>285</v>
      </c>
      <c r="V530" s="6" t="s">
        <v>285</v>
      </c>
      <c r="X530" s="6" t="s">
        <v>285</v>
      </c>
      <c r="Y530" s="6" t="s">
        <v>285</v>
      </c>
      <c r="Z530" s="6" t="s">
        <v>285</v>
      </c>
      <c r="AA530" s="6" t="s">
        <v>285</v>
      </c>
      <c r="AB530" s="6" t="s">
        <v>285</v>
      </c>
      <c r="AC530" s="6" t="s">
        <v>285</v>
      </c>
      <c r="AD530" s="6" t="s">
        <v>285</v>
      </c>
      <c r="AF530" s="6" t="s">
        <v>285</v>
      </c>
      <c r="AG530" s="6" t="s">
        <v>285</v>
      </c>
      <c r="AH530" s="6" t="s">
        <v>285</v>
      </c>
      <c r="AI530" s="6" t="s">
        <v>285</v>
      </c>
      <c r="AJ530" s="6" t="s">
        <v>285</v>
      </c>
      <c r="AK530" s="6" t="s">
        <v>285</v>
      </c>
      <c r="AL530" s="6" t="s">
        <v>285</v>
      </c>
      <c r="AN530" s="6" t="s">
        <v>285</v>
      </c>
      <c r="AO530" s="6" t="s">
        <v>285</v>
      </c>
      <c r="AP530" s="6" t="s">
        <v>285</v>
      </c>
      <c r="AQ530" s="6" t="s">
        <v>285</v>
      </c>
      <c r="AR530" s="6" t="s">
        <v>285</v>
      </c>
      <c r="AS530" s="6" t="s">
        <v>285</v>
      </c>
      <c r="AT530" s="6" t="s">
        <v>285</v>
      </c>
      <c r="AU530" s="8" t="s">
        <v>285</v>
      </c>
      <c r="AV530" s="6" t="s">
        <v>286</v>
      </c>
      <c r="AW530" s="6" t="s">
        <v>285</v>
      </c>
      <c r="AX530" s="6" t="s">
        <v>285</v>
      </c>
      <c r="BE530" s="6" t="s">
        <v>285</v>
      </c>
      <c r="BF530" s="6" t="s">
        <v>285</v>
      </c>
      <c r="BG530" s="6" t="s">
        <v>285</v>
      </c>
      <c r="BH530" s="6" t="s">
        <v>285</v>
      </c>
      <c r="BI530" s="6" t="s">
        <v>285</v>
      </c>
      <c r="BJ530" s="6" t="s">
        <v>285</v>
      </c>
      <c r="BK530" s="6" t="s">
        <v>285</v>
      </c>
      <c r="BL530" s="6" t="s">
        <v>285</v>
      </c>
      <c r="BM530" s="6" t="s">
        <v>285</v>
      </c>
      <c r="BN530" s="6" t="s">
        <v>285</v>
      </c>
      <c r="BO530" s="6" t="s">
        <v>285</v>
      </c>
      <c r="BP530" s="6" t="s">
        <v>285</v>
      </c>
      <c r="BQ530" s="6" t="s">
        <v>285</v>
      </c>
      <c r="BR530" s="6" t="s">
        <v>285</v>
      </c>
      <c r="BS530" s="6" t="s">
        <v>285</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588F7-20C5-4006-9031-798BE46387B2}">
  <sheetPr codeName="Sheet19">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200</v>
      </c>
      <c r="K1" s="1" t="s">
        <v>201</v>
      </c>
      <c r="L1" s="4"/>
      <c r="N1" s="1" t="s">
        <v>103</v>
      </c>
      <c r="U1" s="1" t="s">
        <v>202</v>
      </c>
      <c r="V1" s="1" t="s">
        <v>104</v>
      </c>
      <c r="AC1" s="2" t="str">
        <f>U1</f>
        <v>IVDSH_DID_REA_</v>
      </c>
      <c r="AD1" s="1" t="s">
        <v>105</v>
      </c>
      <c r="AK1" s="2" t="str">
        <f>AC1</f>
        <v>IVDSH_DID_REA_</v>
      </c>
      <c r="AL1" s="1" t="s">
        <v>106</v>
      </c>
      <c r="AS1" s="2" t="str">
        <f>AK1</f>
        <v>IVDSH_DID_REA_</v>
      </c>
      <c r="AU1" s="5"/>
      <c r="AY1" s="4"/>
    </row>
    <row r="2" spans="1:84" ht="21">
      <c r="A2" s="22" t="s">
        <v>203</v>
      </c>
      <c r="E2" s="22" t="s">
        <v>204</v>
      </c>
      <c r="N2" s="22" t="s">
        <v>205</v>
      </c>
      <c r="O2" s="22"/>
      <c r="AV2" s="22" t="s">
        <v>206</v>
      </c>
      <c r="AY2" s="23"/>
      <c r="AZ2" s="13"/>
      <c r="BA2" s="22" t="s">
        <v>207</v>
      </c>
      <c r="BD2" s="13"/>
    </row>
    <row r="3" spans="1:84">
      <c r="A3" s="6" t="s">
        <v>208</v>
      </c>
      <c r="B3" s="1" t="s">
        <v>290</v>
      </c>
      <c r="N3" s="21" t="s">
        <v>209</v>
      </c>
      <c r="O3" s="21"/>
      <c r="BA3" s="21" t="s">
        <v>210</v>
      </c>
      <c r="BE3" s="21" t="s">
        <v>211</v>
      </c>
    </row>
    <row r="4" spans="1:84">
      <c r="A4" s="6" t="s">
        <v>212</v>
      </c>
      <c r="B4" s="1" t="s">
        <v>291</v>
      </c>
      <c r="AY4" s="23"/>
      <c r="AZ4" s="13"/>
      <c r="BD4" s="13"/>
    </row>
    <row r="5" spans="1:84">
      <c r="A5" s="6" t="s">
        <v>214</v>
      </c>
      <c r="B5" s="1" t="s">
        <v>292</v>
      </c>
      <c r="AY5" s="23"/>
      <c r="AZ5" s="13"/>
      <c r="BD5" s="13"/>
    </row>
    <row r="6" spans="1:84">
      <c r="A6" s="6" t="s">
        <v>216</v>
      </c>
      <c r="B6" s="1" t="s">
        <v>217</v>
      </c>
      <c r="AY6" s="23"/>
      <c r="AZ6" s="13"/>
      <c r="BD6" s="13"/>
    </row>
    <row r="7" spans="1:84">
      <c r="A7" s="6" t="s">
        <v>218</v>
      </c>
      <c r="B7" s="1" t="s">
        <v>219</v>
      </c>
      <c r="AY7" s="23"/>
      <c r="AZ7" s="13"/>
      <c r="BD7" s="13"/>
    </row>
    <row r="8" spans="1:84">
      <c r="A8" s="6" t="s">
        <v>220</v>
      </c>
      <c r="B8" s="1" t="s">
        <v>221</v>
      </c>
    </row>
    <row r="9" spans="1:84">
      <c r="A9" s="6" t="s">
        <v>222</v>
      </c>
      <c r="B9" s="1" t="s">
        <v>223</v>
      </c>
      <c r="BJ9" s="29" t="s">
        <v>224</v>
      </c>
      <c r="BR9" s="29" t="s">
        <v>225</v>
      </c>
      <c r="BS9" s="29" t="s">
        <v>226</v>
      </c>
    </row>
    <row r="10" spans="1:84">
      <c r="BE10" s="6" t="s">
        <v>227</v>
      </c>
      <c r="BJ10" s="6" t="s">
        <v>228</v>
      </c>
      <c r="BR10" s="29" t="s">
        <v>229</v>
      </c>
      <c r="BS10" s="29" t="s">
        <v>229</v>
      </c>
    </row>
    <row r="11" spans="1:84">
      <c r="AY11" s="23"/>
      <c r="AZ11" s="13"/>
      <c r="BD11" s="13"/>
      <c r="BE11" s="6" t="s">
        <v>230</v>
      </c>
      <c r="BF11" s="6" t="s">
        <v>231</v>
      </c>
      <c r="BG11" s="6" t="s">
        <v>232</v>
      </c>
      <c r="BH11" s="6" t="s">
        <v>233</v>
      </c>
      <c r="BI11" s="6" t="s">
        <v>234</v>
      </c>
      <c r="BJ11" s="6" t="s">
        <v>235</v>
      </c>
      <c r="BK11" s="6" t="s">
        <v>236</v>
      </c>
      <c r="BL11" s="6" t="s">
        <v>237</v>
      </c>
      <c r="BM11" s="6" t="s">
        <v>238</v>
      </c>
      <c r="BN11" s="6" t="s">
        <v>239</v>
      </c>
      <c r="BO11" s="6" t="s">
        <v>240</v>
      </c>
      <c r="BP11" s="6" t="s">
        <v>241</v>
      </c>
      <c r="BQ11" s="6" t="s">
        <v>242</v>
      </c>
      <c r="BR11" s="6" t="s">
        <v>243</v>
      </c>
      <c r="BS11" s="6" t="s">
        <v>244</v>
      </c>
    </row>
    <row r="12" spans="1:84">
      <c r="BD12" s="26" t="s">
        <v>245</v>
      </c>
      <c r="BE12" s="11"/>
      <c r="BF12" s="11" t="str">
        <f>IF(AW30&lt;&gt;"","/* Read from VM#0 */","")</f>
        <v>/* Read from VM#0 */</v>
      </c>
      <c r="BG12" s="11" t="str">
        <f>IF(AW31&lt;&gt;"","/* Read from VM#1 */","")</f>
        <v>/* Read from VM#1 */</v>
      </c>
      <c r="BH12" s="11" t="str">
        <f>IF(AW32&lt;&gt;"","/* Read from VM#2 */","")</f>
        <v/>
      </c>
      <c r="BI12" s="11" t="str">
        <f>IF(AW33&lt;&gt;"","/* Read from VM#3 */","")</f>
        <v>/* Read from VM#3 */</v>
      </c>
      <c r="BJ12" s="11"/>
      <c r="BK12" s="11" t="str">
        <f>IF(AW17&lt;&gt;"","    /*------------------------------------------------------------------*/")</f>
        <v xml:space="preserve">    /*------------------------------------------------------------------*/</v>
      </c>
      <c r="BL12" s="11" t="str">
        <f>IF(AW30&lt;&gt;"","    /*------------------------------------------------------------------*/","")</f>
        <v xml:space="preserve">    /*------------------------------------------------------------------*/</v>
      </c>
      <c r="BM12" s="11" t="str">
        <f>IF(AW31&lt;&gt;"","    /*------------------------------------------------------------------*/","")</f>
        <v xml:space="preserve">    /*------------------------------------------------------------------*/</v>
      </c>
      <c r="BN12" s="11" t="str">
        <f>IF(AW32&lt;&gt;"","    /*------------------------------------------------------------------*/","")</f>
        <v/>
      </c>
      <c r="BO12" s="11" t="str">
        <f>IF(AW33&lt;&gt;"","    /*------------------------------------------------------------------*/","")</f>
        <v xml:space="preserve">    /*------------------------------------------------------------------*/</v>
      </c>
      <c r="BP12" s="11"/>
      <c r="BQ12" s="11"/>
      <c r="BR12" s="11"/>
      <c r="BS12" s="11"/>
    </row>
    <row r="13" spans="1:84">
      <c r="BD13" s="26" t="s">
        <v>245</v>
      </c>
      <c r="BE13" s="11"/>
      <c r="BF13" s="11"/>
      <c r="BG13" s="11"/>
      <c r="BH13" s="11"/>
      <c r="BI13" s="11"/>
      <c r="BJ13" s="11"/>
      <c r="BK13" s="11" t="str">
        <f>IF(AW17&lt;&gt;"","    /* Write                                                            */")</f>
        <v xml:space="preserve">    /* Write                                                            */</v>
      </c>
      <c r="BL13" s="11" t="str">
        <f>IF(AW30&lt;&gt;"","    /* Read from VM#0                                                   */","")</f>
        <v xml:space="preserve">    /* Read from VM#0                                                   */</v>
      </c>
      <c r="BM13" s="11" t="str">
        <f>IF(AW31&lt;&gt;"","    /* Read from VM#1                                                   */","")</f>
        <v xml:space="preserve">    /* Read from VM#1                                                   */</v>
      </c>
      <c r="BN13" s="11" t="str">
        <f>IF(AW32&lt;&gt;"","    /* Read from VM#2                                                   */","")</f>
        <v/>
      </c>
      <c r="BO13" s="11" t="str">
        <f>IF(AW33&lt;&gt;"","    /* Read from VM#3                                                   */","")</f>
        <v xml:space="preserve">    /* Read from VM#3                                                   */</v>
      </c>
      <c r="BP13" s="11"/>
      <c r="BQ13" s="11"/>
      <c r="BR13" s="11"/>
      <c r="BS13" s="11"/>
    </row>
    <row r="14" spans="1:84">
      <c r="F14" s="6" t="s">
        <v>246</v>
      </c>
      <c r="G14" s="6" t="s">
        <v>247</v>
      </c>
      <c r="J14" s="6" t="s">
        <v>248</v>
      </c>
      <c r="O14" s="6" t="s">
        <v>247</v>
      </c>
      <c r="Q14" s="6" t="s">
        <v>249</v>
      </c>
      <c r="R14" s="6" t="s">
        <v>246</v>
      </c>
      <c r="S14" s="6" t="s">
        <v>250</v>
      </c>
      <c r="T14" s="6" t="s">
        <v>248</v>
      </c>
      <c r="U14" s="6" t="s">
        <v>251</v>
      </c>
      <c r="W14" s="6" t="s">
        <v>247</v>
      </c>
      <c r="Y14" s="6" t="s">
        <v>249</v>
      </c>
      <c r="Z14" s="6" t="s">
        <v>246</v>
      </c>
      <c r="AA14" s="6" t="s">
        <v>250</v>
      </c>
      <c r="AB14" s="6" t="s">
        <v>248</v>
      </c>
      <c r="AC14" s="6" t="s">
        <v>251</v>
      </c>
      <c r="AE14" s="6" t="s">
        <v>247</v>
      </c>
      <c r="AG14" s="6" t="s">
        <v>249</v>
      </c>
      <c r="AH14" s="6" t="s">
        <v>246</v>
      </c>
      <c r="AI14" s="6" t="s">
        <v>250</v>
      </c>
      <c r="AJ14" s="6" t="s">
        <v>248</v>
      </c>
      <c r="AK14" s="6" t="s">
        <v>251</v>
      </c>
      <c r="AM14" s="6" t="s">
        <v>247</v>
      </c>
      <c r="AO14" s="6" t="s">
        <v>249</v>
      </c>
      <c r="AP14" s="6" t="s">
        <v>246</v>
      </c>
      <c r="AQ14" s="6" t="s">
        <v>250</v>
      </c>
      <c r="AR14" s="6" t="s">
        <v>248</v>
      </c>
      <c r="AS14" s="6" t="s">
        <v>251</v>
      </c>
      <c r="BD14" s="26" t="s">
        <v>245</v>
      </c>
      <c r="BE14" s="11"/>
      <c r="BF14" s="11"/>
      <c r="BG14" s="11"/>
      <c r="BH14" s="11"/>
      <c r="BI14" s="11"/>
      <c r="BJ14" s="11"/>
      <c r="BK14" s="11" t="str">
        <f>IF(AW17&lt;&gt;"","    /*------------------------------------------------------------------*/")</f>
        <v xml:space="preserve">    /*------------------------------------------------------------------*/</v>
      </c>
      <c r="BL14" s="11" t="str">
        <f>IF(AW30&lt;&gt;"","    /*------------------------------------------------------------------*/","")</f>
        <v xml:space="preserve">    /*------------------------------------------------------------------*/</v>
      </c>
      <c r="BM14" s="11" t="str">
        <f>IF(AW31&lt;&gt;"","    /*------------------------------------------------------------------*/","")</f>
        <v xml:space="preserve">    /*------------------------------------------------------------------*/</v>
      </c>
      <c r="BN14" s="11" t="str">
        <f>IF(AW32&lt;&gt;"","    /*------------------------------------------------------------------*/","")</f>
        <v/>
      </c>
      <c r="BO14" s="11" t="str">
        <f>IF(AW33&lt;&gt;"","    /*------------------------------------------------------------------*/","")</f>
        <v xml:space="preserve">    /*------------------------------------------------------------------*/</v>
      </c>
      <c r="BP14" s="11"/>
      <c r="BQ14" s="11"/>
      <c r="BR14" s="11"/>
      <c r="BS14" s="11"/>
    </row>
    <row r="15" spans="1:84">
      <c r="F15" s="6">
        <f>IF(F17="",0,COUNTA(F$17:F529))</f>
        <v>21</v>
      </c>
      <c r="G15" s="6" t="s">
        <v>252</v>
      </c>
      <c r="J15" s="14">
        <v>0</v>
      </c>
      <c r="N15" s="9" t="str">
        <f>N1</f>
        <v>VM#0</v>
      </c>
      <c r="O15" s="6" t="s">
        <v>252</v>
      </c>
      <c r="Q15" s="6">
        <f>F15</f>
        <v>21</v>
      </c>
      <c r="R15" s="6">
        <f>COUNTIF(P17:P529,"R")</f>
        <v>4</v>
      </c>
      <c r="S15" s="6">
        <f>COUNTIF(R$15,"&lt;&gt;0")</f>
        <v>1</v>
      </c>
      <c r="T15" s="14">
        <v>0</v>
      </c>
      <c r="U15" s="6">
        <f>COUNTA(U$17:U529)</f>
        <v>4</v>
      </c>
      <c r="V15" s="9" t="str">
        <f>V1</f>
        <v>VM#1(MET)</v>
      </c>
      <c r="W15" s="6" t="str">
        <f>O15</f>
        <v>CPREQ_</v>
      </c>
      <c r="Y15" s="6">
        <f>Q15+R15</f>
        <v>25</v>
      </c>
      <c r="Z15" s="6">
        <f>COUNTIF(X17:X529,"R")</f>
        <v>9</v>
      </c>
      <c r="AA15" s="6">
        <f>S15+COUNTIF(Z$15,"&lt;&gt;0")</f>
        <v>2</v>
      </c>
      <c r="AB15" s="14">
        <v>0</v>
      </c>
      <c r="AC15" s="6">
        <f>COUNTA(AC$17:AC529)</f>
        <v>12</v>
      </c>
      <c r="AD15" s="9" t="str">
        <f>AD1</f>
        <v>VM#2(IVI)</v>
      </c>
      <c r="AE15" s="6" t="str">
        <f>W15</f>
        <v>CPREQ_</v>
      </c>
      <c r="AG15" s="6">
        <f>Y15+Z15</f>
        <v>34</v>
      </c>
      <c r="AH15" s="6">
        <f>COUNTIF(AF17:AF529,"R")</f>
        <v>0</v>
      </c>
      <c r="AI15" s="6">
        <f>AA15+COUNTIF(AH$15,"&lt;&gt;0")</f>
        <v>2</v>
      </c>
      <c r="AJ15" s="14">
        <v>0</v>
      </c>
      <c r="AK15" s="6">
        <f>COUNTA(AK$17:AK529)</f>
        <v>21</v>
      </c>
      <c r="AL15" s="9" t="str">
        <f>AL1</f>
        <v>VM#3(CEN)</v>
      </c>
      <c r="AM15" s="6" t="str">
        <f>AE15</f>
        <v>CPREQ_</v>
      </c>
      <c r="AO15" s="6">
        <f>AG15+AH15</f>
        <v>34</v>
      </c>
      <c r="AP15" s="6">
        <f>COUNTIF(AN17:AN529,"R")</f>
        <v>7</v>
      </c>
      <c r="AQ15" s="6">
        <f>AI15+COUNTIF(AP$15,"&lt;&gt;0")</f>
        <v>3</v>
      </c>
      <c r="AR15" s="14">
        <v>0</v>
      </c>
      <c r="AS15" s="6">
        <f>COUNTA(AS$17:AS529)</f>
        <v>7</v>
      </c>
      <c r="BD15" s="26" t="s">
        <v>245</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253</v>
      </c>
      <c r="F16" s="2" t="s">
        <v>254</v>
      </c>
      <c r="G16" s="2" t="s">
        <v>255</v>
      </c>
      <c r="H16" s="2" t="s">
        <v>256</v>
      </c>
      <c r="I16" s="2" t="s">
        <v>257</v>
      </c>
      <c r="J16" s="2" t="s">
        <v>258</v>
      </c>
      <c r="K16" s="2" t="s">
        <v>259</v>
      </c>
      <c r="L16" s="4"/>
      <c r="N16" s="2" t="s">
        <v>254</v>
      </c>
      <c r="O16" s="2" t="s">
        <v>102</v>
      </c>
      <c r="P16" s="2" t="s">
        <v>256</v>
      </c>
      <c r="Q16" s="2" t="s">
        <v>257</v>
      </c>
      <c r="R16" s="2" t="s">
        <v>253</v>
      </c>
      <c r="S16" s="2" t="s">
        <v>260</v>
      </c>
      <c r="T16" s="2" t="s">
        <v>258</v>
      </c>
      <c r="U16" s="2" t="s">
        <v>261</v>
      </c>
      <c r="V16" s="2" t="s">
        <v>254</v>
      </c>
      <c r="W16" s="2" t="s">
        <v>102</v>
      </c>
      <c r="X16" s="2" t="s">
        <v>256</v>
      </c>
      <c r="Y16" s="2" t="s">
        <v>257</v>
      </c>
      <c r="Z16" s="2" t="s">
        <v>253</v>
      </c>
      <c r="AA16" s="2" t="s">
        <v>260</v>
      </c>
      <c r="AB16" s="2" t="s">
        <v>258</v>
      </c>
      <c r="AC16" s="2" t="s">
        <v>261</v>
      </c>
      <c r="AD16" s="2" t="s">
        <v>254</v>
      </c>
      <c r="AE16" s="2" t="s">
        <v>102</v>
      </c>
      <c r="AF16" s="2" t="s">
        <v>256</v>
      </c>
      <c r="AG16" s="2" t="s">
        <v>257</v>
      </c>
      <c r="AH16" s="2" t="s">
        <v>253</v>
      </c>
      <c r="AI16" s="2" t="s">
        <v>260</v>
      </c>
      <c r="AJ16" s="2" t="s">
        <v>258</v>
      </c>
      <c r="AK16" s="2" t="s">
        <v>261</v>
      </c>
      <c r="AL16" s="2" t="s">
        <v>254</v>
      </c>
      <c r="AM16" s="2" t="s">
        <v>102</v>
      </c>
      <c r="AN16" s="2" t="s">
        <v>256</v>
      </c>
      <c r="AO16" s="2" t="s">
        <v>257</v>
      </c>
      <c r="AP16" s="2" t="s">
        <v>253</v>
      </c>
      <c r="AQ16" s="2" t="s">
        <v>260</v>
      </c>
      <c r="AR16" s="2" t="s">
        <v>258</v>
      </c>
      <c r="AS16" s="2" t="s">
        <v>261</v>
      </c>
      <c r="AU16" s="5"/>
      <c r="AY16" s="4"/>
      <c r="AZ16" s="6"/>
      <c r="BA16" s="6"/>
      <c r="BB16" s="6"/>
      <c r="BC16" s="6"/>
      <c r="BD16" s="26" t="s">
        <v>245</v>
      </c>
      <c r="BE16" s="24"/>
      <c r="BF16" s="24"/>
      <c r="BG16" s="24"/>
      <c r="BH16" s="24"/>
      <c r="BI16" s="24"/>
      <c r="BJ16" s="24"/>
      <c r="BK16" s="24"/>
      <c r="BL16" s="24"/>
      <c r="BM16" s="24"/>
      <c r="BN16" s="24"/>
      <c r="BO16" s="24"/>
      <c r="BP16" s="25"/>
      <c r="BQ16" s="25"/>
      <c r="BR16" s="25"/>
      <c r="BS16" s="25"/>
    </row>
    <row r="17" spans="5:71">
      <c r="E17" s="6">
        <v>0</v>
      </c>
      <c r="F17" s="6" cm="1">
        <f t="array" ref="F17:F37">IFERROR(_xlfn._xlws.FILTER('Inter-VM Data Table'!$A2:$A901,INDEX('Inter-VM Data Table'!2:901,,MATCH(B3,'Inter-VM Data Table'!1:1,0))="T"),"")</f>
        <v>3</v>
      </c>
      <c r="G17" s="6" t="str" cm="1">
        <f t="array" ref="G17:G37">IFERROR(_xlfn._xlws.FILTER('Inter-VM Data Table'!$D2:$D901,INDEX('Inter-VM Data Table'!2:901,,MATCH(B3,'Inter-VM Data Table'!1:1,0))="T"),"")</f>
        <v>VM2TO3_STBY</v>
      </c>
      <c r="H17" s="6" t="str" cm="1">
        <f t="array" ref="H17:H37">IFERROR(_xlfn._xlws.FILTER(INDEX('Inter-VM Data Table'!2:901,,MATCH($B$3,'Inter-VM Data Table'!1:1,0)),INDEX('Inter-VM Data Table'!2:901,,MATCH(B3,'Inter-VM Data Table'!1:1,0))="T"),"")</f>
        <v>T</v>
      </c>
      <c r="I17" s="6" cm="1">
        <f t="array" ref="I17:I37">IFERROR(ROUNDDOWN(     (_xlfn._xlws.FILTER('Inter-VM Data Table'!$I2:$I901,INDEX('Inter-VM Data Table'!2:901,,MATCH(B3,'Inter-VM Data Table'!1:1,0))="T")+3)/4,    0       ),"")</f>
        <v>1</v>
      </c>
      <c r="J17" s="6">
        <v>0</v>
      </c>
      <c r="K17" s="6" t="str" cm="1">
        <f t="array" ref="K17:K37">IF(_xlfn.ANCHORARRAY(G17)=0,K1&amp;G15&amp;TEXT(_xlfn.ANCHORARRAY(F17),"000"),K1&amp;_xlfn.ANCHORARRAY(G17))</f>
        <v>IVDSH_DID_WRI_VM2TO3_STBY</v>
      </c>
      <c r="N17" s="6" cm="1">
        <f t="array" ref="N17:N20">IFERROR(_xlfn._xlws.FILTER('Inter-VM Data Table'!$A2:$A901,INDEX('Inter-VM Data Table'!2:901,,MATCH(N1,'Inter-VM Data Table'!1:1,0))="T"),"")</f>
        <v>29</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R</v>
      </c>
      <c r="Q17" s="6" cm="1">
        <f t="array" ref="Q17:Q20">IFERROR(ROUNDDOWN(     (_xlfn._xlws.FILTER('Inter-VM Data Table'!$I2:$I901,INDEX('Inter-VM Data Table'!2:901,,MATCH(N1,'Inter-VM Data Table'!1:1,0))="T")+3)/4,      0),"")</f>
        <v>1</v>
      </c>
      <c r="R17" s="6">
        <f>IF(P17="R",Q$15+0,"")</f>
        <v>21</v>
      </c>
      <c r="S17" s="6">
        <f>IF(R$15=0,"",0)</f>
        <v>0</v>
      </c>
      <c r="T17" s="6">
        <f>IF(R$15=0,"",$J$15)</f>
        <v>0</v>
      </c>
      <c r="U17" s="6" t="str" cm="1">
        <f t="array" ref="U17:U20">IF(_xlfn.ANCHORARRAY(O17)=0,U1&amp;O15&amp;TEXT(_xlfn.ANCHORARRAY(N17),"000"),U1&amp;_xlfn.ANCHORARRAY(O17))</f>
        <v>IVDSH_DID_REA_CANBUS_STS_2M1</v>
      </c>
      <c r="V17" s="6" cm="1">
        <f t="array" ref="V17:V28">IFERROR(_xlfn._xlws.FILTER('Inter-VM Data Table'!$A2:$A901,INDEX('Inter-VM Data Table'!2:901,,MATCH(V1,'Inter-VM Data Table'!1:1,0))="T"),"")</f>
        <v>2</v>
      </c>
      <c r="W17" s="6" t="str" cm="1">
        <f t="array" ref="W17:W28">IFERROR(_xlfn._xlws.FILTER('Inter-VM Data Table'!$D2:$D901,INDEX('Inter-VM Data Table'!2:901,,MATCH(V1,'Inter-VM Data Table'!1:1,0))="T"),"")</f>
        <v>VM1TO3_STBY</v>
      </c>
      <c r="X17" s="6" t="str" cm="1">
        <f t="array" ref="X17:X28">IFERROR(_xlfn._xlws.FILTER(INDEX('Inter-VM Data Table'!2:901,,MATCH($B$3,'Inter-VM Data Table'!1:1,0)),INDEX('Inter-VM Data Table'!2:901,,MATCH(V1,'Inter-VM Data Table'!1:1,0))="T"),"")</f>
        <v>-</v>
      </c>
      <c r="Y17" s="6" cm="1">
        <f t="array" ref="Y17:Y28">IFERROR(ROUNDDOWN(     (_xlfn._xlws.FILTER('Inter-VM Data Table'!$I2:$I901,INDEX('Inter-VM Data Table'!2:901,,MATCH(V1,'Inter-VM Data Table'!1:1,0))="T")+3)/4,      0),"")</f>
        <v>1</v>
      </c>
      <c r="Z17" s="6" t="str">
        <f>IF(X17="R",Y$15+0,"")</f>
        <v/>
      </c>
      <c r="AA17" s="6">
        <f>IF(Z$15=0,"",S15)</f>
        <v>1</v>
      </c>
      <c r="AB17" s="6">
        <f>IF(Z$15=0,"",T$15)</f>
        <v>0</v>
      </c>
      <c r="AC17" s="6" t="str" cm="1">
        <f t="array" ref="AC17:AC28">IF(_xlfn.ANCHORARRAY(W17)=0,AC1&amp;W15&amp;TEXT(_xlfn.ANCHORARRAY(V17),"000"),AC1&amp;_xlfn.ANCHORARRAY(W17))</f>
        <v>IVDSH_DID_REA_VM1TO3_STBY</v>
      </c>
      <c r="AD17" s="6" cm="1">
        <f t="array" ref="AD17:AD37">IFERROR(_xlfn._xlws.FILTER('Inter-VM Data Table'!$A2:$A901,INDEX('Inter-VM Data Table'!2:901,,MATCH(AD1,'Inter-VM Data Table'!1:1,0))="T"),"")</f>
        <v>3</v>
      </c>
      <c r="AE17" s="6" t="str" cm="1">
        <f t="array" ref="AE17:AE37">IFERROR(_xlfn._xlws.FILTER('Inter-VM Data Table'!$D2:$D901,INDEX('Inter-VM Data Table'!2:901,,MATCH(AD1,'Inter-VM Data Table'!1:1,0))="T"),"")</f>
        <v>VM2TO3_STBY</v>
      </c>
      <c r="AF17" s="6" t="str" cm="1">
        <f t="array" ref="AF17:AF37">IFERROR(_xlfn._xlws.FILTER(INDEX('Inter-VM Data Table'!2:901,,MATCH($B$3,'Inter-VM Data Table'!1:1,0)),INDEX('Inter-VM Data Table'!2:901,,MATCH(AD1,'Inter-VM Data Table'!1:1,0))="T"),"")</f>
        <v>T</v>
      </c>
      <c r="AG17" s="6" cm="1">
        <f t="array" ref="AG17:AG37">IFERROR(ROUNDDOWN(     (_xlfn._xlws.FILTER('Inter-VM Data Table'!$I2:$I901,INDEX('Inter-VM Data Table'!2:901,,MATCH(AD1,'Inter-VM Data Table'!1:1,0))="T")+3)/4,      0),"")</f>
        <v>1</v>
      </c>
      <c r="AH17" s="6" t="str">
        <f>IF(AF17="R",AG$15+0,"")</f>
        <v/>
      </c>
      <c r="AI17" s="6" t="str">
        <f>IF(AH$15=0,"",AA15)</f>
        <v/>
      </c>
      <c r="AJ17" s="6" t="str">
        <f>IF(AH$15=0,"",AB$15)</f>
        <v/>
      </c>
      <c r="AK17" s="6" t="str" cm="1">
        <f t="array" ref="AK17:AK37">IF(_xlfn.ANCHORARRAY(AE17)=0,AK1&amp;AE15&amp;TEXT(_xlfn.ANCHORARRAY(AD17),"000"),AK1&amp;_xlfn.ANCHORARRAY(AE17))</f>
        <v>IVDSH_DID_REA_VM2TO3_STBY</v>
      </c>
      <c r="AL17" s="6" cm="1">
        <f t="array" ref="AL17:AL23">IFERROR(_xlfn._xlws.FILTER('Inter-VM Data Table'!$A2:$A901,INDEX('Inter-VM Data Table'!2:901,,MATCH(AL1,'Inter-VM Data Table'!1:1,0))="T"),"")</f>
        <v>5</v>
      </c>
      <c r="AM17" s="6" t="str" cm="1">
        <f t="array" ref="AM17:AM23">IFERROR(_xlfn._xlws.FILTER('Inter-VM Data Table'!$D2:$D901,INDEX('Inter-VM Data Table'!2:901,,MATCH(AL1,'Inter-VM Data Table'!1:1,0))="T"),"")</f>
        <v>VM3TO2_SIPERR_INF</v>
      </c>
      <c r="AN17" s="6" t="str" cm="1">
        <f t="array" ref="AN17:AN23">IFERROR(_xlfn._xlws.FILTER(INDEX('Inter-VM Data Table'!2:901,,MATCH($B$3,'Inter-VM Data Table'!1:1,0)),INDEX('Inter-VM Data Table'!2:901,,MATCH(AL1,'Inter-VM Data Table'!1:1,0))="T"),"")</f>
        <v>R</v>
      </c>
      <c r="AO17" s="6" cm="1">
        <f t="array" ref="AO17:AO23">IFERROR(ROUNDDOWN(     (_xlfn._xlws.FILTER('Inter-VM Data Table'!$I2:$I901,INDEX('Inter-VM Data Table'!2:901,,MATCH(AL1,'Inter-VM Data Table'!1:1,0))="T")+3)/4,      0),"")</f>
        <v>1</v>
      </c>
      <c r="AP17" s="6">
        <f>IF(AN17="R",AO$15+0,"")</f>
        <v>34</v>
      </c>
      <c r="AQ17" s="6">
        <f>IF(AP$15=0,"",AI15)</f>
        <v>2</v>
      </c>
      <c r="AR17" s="6">
        <f>IF(AP$15=0,"",AJ$15)</f>
        <v>0</v>
      </c>
      <c r="AS17" s="6" t="str" cm="1">
        <f t="array" ref="AS17:AS23">IF(_xlfn.ANCHORARRAY(AM17)=0,AS1&amp;AM15&amp;TEXT(_xlfn.ANCHORARRAY(AL17),"000"),AS1&amp;_xlfn.ANCHORARRAY(AM17))</f>
        <v>IVDSH_DID_REA_VM3TO2_SIPERR_INF</v>
      </c>
      <c r="AV17" s="6" t="s">
        <v>262</v>
      </c>
      <c r="AW17" s="6">
        <f>F15</f>
        <v>21</v>
      </c>
      <c r="BA17" s="12" t="s">
        <v>263</v>
      </c>
      <c r="BB17" s="11">
        <f>AW17</f>
        <v>21</v>
      </c>
      <c r="BD17" s="27" t="s">
        <v>264</v>
      </c>
      <c r="BE17" s="11" t="str">
        <f t="shared" ref="BE17:BE80" si="0">IF(F17="","","#define "&amp;K17&amp;REPT(" ",41-LEN(K17))&amp;"("&amp;E17&amp;"U)")</f>
        <v>#define IVDSH_DID_WRI_VM2TO3_STBY                (0U)</v>
      </c>
      <c r="BF17" s="11" t="str">
        <f t="shared" ref="BF17:BF80" si="1">IF(R17="","","#define "&amp;U17&amp;REPT(" ",41-LEN(U17))&amp;"("&amp;R17&amp;"U)")</f>
        <v>#define IVDSH_DID_REA_CANBUS_STS_2M1             (21U)</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#define IVDSH_DID_REA_VM3TO2_SIPERR_INF          (34U)</v>
      </c>
      <c r="BJ17" s="11" t="str">
        <f>IF(AW26="","","#define IVDSH_FQ_CH_WRI                          ("&amp;AW26&amp;"U)")</f>
        <v>#define IVDSH_FQ_CH_WRI                          (3U)</v>
      </c>
      <c r="BK17" s="11" t="str">
        <f>IF(F17="","","    {(U2)"&amp;J17&amp;"U,"&amp;REPT(" ",9-LEN(J17))&amp;"(U2)"&amp;I17&amp;"U,"&amp;REPT(" ",10-LEN(I17))&amp;"(U2)IVDSH_FQ_CH_WRI  },     /* "&amp;K17&amp;REPT(" ",32-LEN(K17))&amp;"*/")</f>
        <v xml:space="preserve">    {(U2)0U,        (U2)1U,         (U2)IVDSH_FQ_CH_WRI  },     /* IVDSH_DID_WRI_VM2TO3_STBY       */</v>
      </c>
      <c r="BL17" s="11" t="str">
        <f>IF(R17="","","    {(U2)"&amp;T17&amp;"U,"&amp;REPT(" ",9-LEN(T17))&amp;"(U2)"&amp;Q17&amp;"U,"&amp;REPT(" ",10-LEN(Q17))&amp;"(U2)IVDSH_FQ_CH_REA_"&amp;S17&amp;"},     /* "&amp;U17&amp;REPT(" ",32-LEN(U17))&amp;"*/")</f>
        <v xml:space="preserve">    {(U2)0U,        (U2)1U,         (U2)IVDSH_FQ_CH_REA_0},     /* IVDSH_DID_REA_CANBUS_STS_2M1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xml:space="preserve">    {(U2)0U,        (U2)1U,         (U2)IVDSH_FQ_CH_REA_2},     /* IVDSH_DID_REA_VM3TO2_SIPERR_INF */</v>
      </c>
      <c r="BP17" s="11" t="str" cm="1">
        <f t="array" ref="BP17:BP20">IF(AW22:AW25&lt;&gt;"","#define "&amp;AV22:AV25&amp;"                        ("&amp;AW22:AW25&amp;"U)","")</f>
        <v>#define IVDSH_FQ_CH_REA_0                        (0U)</v>
      </c>
      <c r="BQ17" s="11" t="str" cm="1">
        <f t="array" ref="BQ17:BQ20">IF(AW30:AW33&lt;&gt;"","#define "&amp;AV30:AV33&amp;"                     ("&amp;AW30:AW33&amp;"U)","")</f>
        <v>#define IVDSH_WA_NWORD_REA_0                     (4U)</v>
      </c>
      <c r="BR17" s="11" t="str">
        <f>IF(AW36="","","    /* IVDSH_FQ_CH_REA_0 */")</f>
        <v xml:space="preserve">    /* IVDSH_FQ_CH_REA_0 */</v>
      </c>
      <c r="BS17" s="11" t="str">
        <f>IF(AW26&lt;&gt;"","    /* IVDSH_FQ_CH_WRI   */","")</f>
        <v xml:space="preserve">    /* IVDSH_FQ_CH_WRI   */</v>
      </c>
    </row>
    <row r="18" spans="5:71">
      <c r="E18" s="6">
        <f>E17+1</f>
        <v>1</v>
      </c>
      <c r="F18" s="6">
        <v>9</v>
      </c>
      <c r="G18" s="6" t="str">
        <v>VM2TO1_TIMOFST</v>
      </c>
      <c r="H18" s="6" t="str">
        <v>T</v>
      </c>
      <c r="I18" s="6">
        <v>1</v>
      </c>
      <c r="J18" s="6">
        <f>IF(F18="","",I17+J17)</f>
        <v>1</v>
      </c>
      <c r="K18" s="6" t="str">
        <v>IVDSH_DID_WRI_VM2TO1_TIMOFST</v>
      </c>
      <c r="N18" s="6">
        <v>32</v>
      </c>
      <c r="O18" s="6" t="str">
        <v>CANBUS_STS_5M</v>
      </c>
      <c r="P18" s="6" t="str">
        <v>R</v>
      </c>
      <c r="Q18" s="6">
        <v>1</v>
      </c>
      <c r="R18" s="6">
        <f>IF(P18="R",MAX(R$17:R17,Q$15-1)+1,"")</f>
        <v>22</v>
      </c>
      <c r="S18" s="6">
        <f>IF(OR(R$15=0,N18=""),"",S17)</f>
        <v>0</v>
      </c>
      <c r="T18" s="6">
        <f>IF(OR(N18="",R$15=0),"",T17+Q17)</f>
        <v>1</v>
      </c>
      <c r="U18" s="6" t="str">
        <v>IVDSH_DID_REA_CANBUS_STS_5M</v>
      </c>
      <c r="V18" s="6">
        <v>4</v>
      </c>
      <c r="W18" s="6" t="str">
        <v>VM1TO2_TIMOFST</v>
      </c>
      <c r="X18" s="6" t="str">
        <v>R</v>
      </c>
      <c r="Y18" s="6">
        <v>1</v>
      </c>
      <c r="Z18" s="6">
        <f>IF(X18="R",MAX(Z$17:Z17,Y$15-1)+1,"")</f>
        <v>25</v>
      </c>
      <c r="AA18" s="6">
        <f>IF(OR(Z$15=0,V18=""),"",AA17)</f>
        <v>1</v>
      </c>
      <c r="AB18" s="6">
        <f>IF(OR(V18="",Z$15=0),"",AB17+Y17)</f>
        <v>1</v>
      </c>
      <c r="AC18" s="6" t="str">
        <v>IVDSH_DID_REA_VM1TO2_TIMOFST</v>
      </c>
      <c r="AD18" s="6">
        <v>9</v>
      </c>
      <c r="AE18" s="6" t="str">
        <v>VM2TO1_TIMOFST</v>
      </c>
      <c r="AF18" s="6" t="str">
        <v>T</v>
      </c>
      <c r="AG18" s="6">
        <v>1</v>
      </c>
      <c r="AH18" s="6" t="str">
        <f>IF(AF18="R",MAX(AH$17:AH17,AG$15-1)+1,"")</f>
        <v/>
      </c>
      <c r="AI18" s="6" t="str">
        <f t="shared" ref="AI18:AI81" si="5">IF(OR(AH$15=0,AD18=""),"",AI17)</f>
        <v/>
      </c>
      <c r="AJ18" s="6" t="str">
        <f t="shared" ref="AJ18:AJ81" si="6">IF(OR(AD18="",AH$15=0),"",AJ17+AG17)</f>
        <v/>
      </c>
      <c r="AK18" s="6" t="str">
        <v>IVDSH_DID_REA_VM2TO1_TIMOFST</v>
      </c>
      <c r="AL18" s="6">
        <v>7</v>
      </c>
      <c r="AM18" s="6" t="str">
        <v>VM3TO2_OTA_OFFSTS</v>
      </c>
      <c r="AN18" s="6" t="str">
        <v>R</v>
      </c>
      <c r="AO18" s="6">
        <v>1</v>
      </c>
      <c r="AP18" s="6">
        <f>IF(AN18="R",MAX(AP$17:AP17,AO$15-1)+1,"")</f>
        <v>35</v>
      </c>
      <c r="AQ18" s="6">
        <f>IF(OR(AP$15=0,AL18=""),"",AQ17)</f>
        <v>2</v>
      </c>
      <c r="AR18" s="6">
        <f>IF(OR(AL18="",AP$15=0),"",AR17+AO17)</f>
        <v>1</v>
      </c>
      <c r="AS18" s="6" t="str">
        <v>IVDSH_DID_REA_VM3TO2_OTA_OFFSTS</v>
      </c>
      <c r="AV18" s="6" t="s">
        <v>265</v>
      </c>
      <c r="AW18" s="6">
        <f>R15+Z15+AH15+AP15</f>
        <v>20</v>
      </c>
      <c r="BA18" s="12" t="s">
        <v>266</v>
      </c>
      <c r="BB18" s="11">
        <f>AW18</f>
        <v>20</v>
      </c>
      <c r="BE18" s="11" t="str">
        <f t="shared" si="0"/>
        <v>#define IVDSH_DID_WRI_VM2TO1_TIMOFST             (1U)</v>
      </c>
      <c r="BF18" s="11" t="str">
        <f t="shared" si="1"/>
        <v>#define IVDSH_DID_REA_CANBUS_STS_5M              (22U)</v>
      </c>
      <c r="BG18" s="11" t="str">
        <f t="shared" si="2"/>
        <v>#define IVDSH_DID_REA_VM1TO2_TIMOFST             (25U)</v>
      </c>
      <c r="BH18" s="11" t="str">
        <f t="shared" si="3"/>
        <v/>
      </c>
      <c r="BI18" s="11" t="str">
        <f t="shared" si="4"/>
        <v>#define IVDSH_DID_REA_VM3TO2_OTA_OFFSTS          (35U)</v>
      </c>
      <c r="BJ18" s="11"/>
      <c r="BK18" s="11" t="str">
        <f t="shared" ref="BK18:BK81" si="7">IF(F18="","","    {(U2)"&amp;J18&amp;"U,"&amp;REPT(" ",9-LEN(J18))&amp;"(U2)"&amp;I18&amp;"U,"&amp;REPT(" ",10-LEN(I18))&amp;"(U2)IVDSH_FQ_CH_WRI  },     /* "&amp;K18&amp;REPT(" ",32-LEN(K18))&amp;"*/")</f>
        <v xml:space="preserve">    {(U2)1U,        (U2)1U,         (U2)IVDSH_FQ_CH_WRI  },     /* IVDSH_DID_WRI_VM2TO1_TIMOFST    */</v>
      </c>
      <c r="BL18" s="11" t="str">
        <f t="shared" ref="BL18:BL81" si="8">IF(R18="","","    {(U2)"&amp;T18&amp;"U,"&amp;REPT(" ",9-LEN(T18))&amp;"(U2)"&amp;Q18&amp;"U,"&amp;REPT(" ",10-LEN(Q18))&amp;"(U2)IVDSH_FQ_CH_REA_"&amp;S18&amp;"},     /* "&amp;U18&amp;REPT(" ",32-LEN(U18))&amp;"*/")</f>
        <v xml:space="preserve">    {(U2)1U,        (U2)1U,         (U2)IVDSH_FQ_CH_REA_0},     /* IVDSH_DID_REA_CANBUS_STS_5M     */</v>
      </c>
      <c r="BM18" s="11" t="str">
        <f t="shared" ref="BM18:BM81" si="9">IF(Z18="","","    {(U2)"&amp;AB18&amp;"U,"&amp;REPT(" ",9-LEN(AB18))&amp;"(U2)"&amp;Y18&amp;"U,"&amp;REPT(" ",10-LEN(Y18))&amp;"(U2)IVDSH_FQ_CH_REA_"&amp;AA18&amp;"},     /* "&amp;AC18&amp;REPT(" ",32-LEN(AC18))&amp;"*/")</f>
        <v xml:space="preserve">    {(U2)1U,        (U2)1U,         (U2)IVDSH_FQ_CH_REA_1},     /* IVDSH_DID_REA_VM1TO2_TIMOFST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xml:space="preserve">    {(U2)1U,        (U2)1U,         (U2)IVDSH_FQ_CH_REA_2},     /* IVDSH_DID_REA_VM3TO2_OTA_OFFSTS */</v>
      </c>
      <c r="BP18" s="11" t="str">
        <v>#define IVDSH_FQ_CH_REA_1                        (1U)</v>
      </c>
      <c r="BQ18" s="11" t="str">
        <v>#define IVDSH_WA_NWORD_REA_1                     (12U)</v>
      </c>
      <c r="BR18" s="11" t="str">
        <f>IF(AW36="","","    {")</f>
        <v xml:space="preserve">    {</v>
      </c>
      <c r="BS18" s="11" t="str">
        <f>IF(AW26&lt;&gt;"","    {","")</f>
        <v xml:space="preserve">    {</v>
      </c>
    </row>
    <row r="19" spans="5:71">
      <c r="E19" s="6">
        <f t="shared" ref="E19:E82" si="12">E18+1</f>
        <v>2</v>
      </c>
      <c r="F19" s="6">
        <v>11</v>
      </c>
      <c r="G19" s="6" t="str">
        <v>VM2TO1_TIMFMT</v>
      </c>
      <c r="H19" s="6" t="str">
        <v>T</v>
      </c>
      <c r="I19" s="6">
        <v>1</v>
      </c>
      <c r="J19" s="6">
        <f>IF(F19="","",I18+J18)</f>
        <v>2</v>
      </c>
      <c r="K19" s="6" t="str">
        <v>IVDSH_DID_WRI_VM2TO1_TIMFMT</v>
      </c>
      <c r="N19" s="6">
        <v>35</v>
      </c>
      <c r="O19" s="6" t="str">
        <v>CANBUS_STS_2M2</v>
      </c>
      <c r="P19" s="6" t="str">
        <v>R</v>
      </c>
      <c r="Q19" s="6">
        <v>1</v>
      </c>
      <c r="R19" s="6">
        <f>IF(P19="R",MAX(R$17:R18,Q$15-1)+1,"")</f>
        <v>23</v>
      </c>
      <c r="S19" s="6">
        <f t="shared" ref="S19:S82" si="13">IF(OR(R$15=0,N19=""),"",S18)</f>
        <v>0</v>
      </c>
      <c r="T19" s="6">
        <f t="shared" ref="T19:T82" si="14">IF(OR(N19="",R$15=0),"",T18+Q18)</f>
        <v>2</v>
      </c>
      <c r="U19" s="6" t="str">
        <v>IVDSH_DID_REA_CANBUS_STS_2M2</v>
      </c>
      <c r="V19" s="6">
        <v>10</v>
      </c>
      <c r="W19" s="6" t="str">
        <v>VM1TO2_TIMFMT</v>
      </c>
      <c r="X19" s="6" t="str">
        <v>R</v>
      </c>
      <c r="Y19" s="6">
        <v>1</v>
      </c>
      <c r="Z19" s="6">
        <f>IF(X19="R",MAX(Z$17:Z18,Y$15-1)+1,"")</f>
        <v>26</v>
      </c>
      <c r="AA19" s="6">
        <f t="shared" ref="AA19:AA82" si="15">IF(OR(Z$15=0,V19=""),"",AA18)</f>
        <v>1</v>
      </c>
      <c r="AB19" s="6">
        <f t="shared" ref="AB19:AB82" si="16">IF(OR(V19="",Z$15=0),"",AB18+Y18)</f>
        <v>2</v>
      </c>
      <c r="AC19" s="6" t="str">
        <v>IVDSH_DID_REA_VM1TO2_TIMFMT</v>
      </c>
      <c r="AD19" s="6">
        <v>11</v>
      </c>
      <c r="AE19" s="6" t="str">
        <v>VM2TO1_TIMFMT</v>
      </c>
      <c r="AF19" s="6" t="str">
        <v>T</v>
      </c>
      <c r="AG19" s="6">
        <v>1</v>
      </c>
      <c r="AH19" s="6" t="str">
        <f>IF(AF19="R",MAX(AH$17:AH18,AG$15-1)+1,"")</f>
        <v/>
      </c>
      <c r="AI19" s="6" t="str">
        <f t="shared" si="5"/>
        <v/>
      </c>
      <c r="AJ19" s="6" t="str">
        <f t="shared" si="6"/>
        <v/>
      </c>
      <c r="AK19" s="6" t="str">
        <v>IVDSH_DID_REA_VM2TO1_TIMFMT</v>
      </c>
      <c r="AL19" s="6">
        <v>43</v>
      </c>
      <c r="AM19" s="6" t="str">
        <v>VM3TO2_BOOTLOG_INF</v>
      </c>
      <c r="AN19" s="6" t="str">
        <v>R</v>
      </c>
      <c r="AO19" s="6">
        <v>1</v>
      </c>
      <c r="AP19" s="6">
        <f>IF(AN19="R",MAX(AP$17:AP18,AO$15-1)+1,"")</f>
        <v>36</v>
      </c>
      <c r="AQ19" s="6">
        <f t="shared" ref="AQ19:AQ82" si="17">IF(OR(AP$15=0,AL19=""),"",AQ18)</f>
        <v>2</v>
      </c>
      <c r="AR19" s="6">
        <f t="shared" ref="AR19:AR82" si="18">IF(OR(AL19="",AP$15=0),"",AR18+AO18)</f>
        <v>2</v>
      </c>
      <c r="AS19" s="6" t="str">
        <v>IVDSH_DID_REA_VM3TO2_BOOTLOG_INF</v>
      </c>
      <c r="BA19" s="12" t="s">
        <v>267</v>
      </c>
      <c r="BB19" s="11">
        <f>AW20</f>
        <v>4</v>
      </c>
      <c r="BE19" s="11" t="str">
        <f t="shared" si="0"/>
        <v>#define IVDSH_DID_WRI_VM2TO1_TIMFMT              (2U)</v>
      </c>
      <c r="BF19" s="11" t="str">
        <f t="shared" si="1"/>
        <v>#define IVDSH_DID_REA_CANBUS_STS_2M2             (23U)</v>
      </c>
      <c r="BG19" s="11" t="str">
        <f t="shared" si="2"/>
        <v>#define IVDSH_DID_REA_VM1TO2_TIMFMT              (26U)</v>
      </c>
      <c r="BH19" s="11" t="str">
        <f t="shared" si="3"/>
        <v/>
      </c>
      <c r="BI19" s="11" t="str">
        <f t="shared" si="4"/>
        <v>#define IVDSH_DID_REA_VM3TO2_BOOTLOG_INF         (36U)</v>
      </c>
      <c r="BJ19" s="11"/>
      <c r="BK19" s="11" t="str">
        <f t="shared" si="7"/>
        <v xml:space="preserve">    {(U2)2U,        (U2)1U,         (U2)IVDSH_FQ_CH_WRI  },     /* IVDSH_DID_WRI_VM2TO1_TIMFMT     */</v>
      </c>
      <c r="BL19" s="11" t="str">
        <f t="shared" si="8"/>
        <v xml:space="preserve">    {(U2)2U,        (U2)1U,         (U2)IVDSH_FQ_CH_REA_0},     /* IVDSH_DID_REA_CANBUS_STS_2M2    */</v>
      </c>
      <c r="BM19" s="11" t="str">
        <f t="shared" si="9"/>
        <v xml:space="preserve">    {(U2)2U,        (U2)1U,         (U2)IVDSH_FQ_CH_REA_1},     /* IVDSH_DID_REA_VM1TO2_TIMFMT     */</v>
      </c>
      <c r="BN19" s="11" t="str">
        <f t="shared" si="10"/>
        <v/>
      </c>
      <c r="BO19" s="11" t="str">
        <f t="shared" si="11"/>
        <v xml:space="preserve">    {(U2)2U,        (U2)1U,         (U2)IVDSH_FQ_CH_REA_2},     /* IVDSH_DID_REA_VM3TO2_BOOTLOG_INF*/</v>
      </c>
      <c r="BP19" s="11" t="str">
        <v/>
      </c>
      <c r="BQ19" s="11" t="str">
        <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13</v>
      </c>
      <c r="G20" s="6" t="str">
        <v>VM2TO1_DSPTIM</v>
      </c>
      <c r="H20" s="6" t="str">
        <v>T</v>
      </c>
      <c r="I20" s="6">
        <v>1</v>
      </c>
      <c r="J20" s="6">
        <f t="shared" ref="J20:J83" si="19">IF(F20="","",I19+J19)</f>
        <v>3</v>
      </c>
      <c r="K20" s="6" t="str">
        <v>IVDSH_DID_WRI_VM2TO1_DSPTIM</v>
      </c>
      <c r="N20" s="6">
        <v>38</v>
      </c>
      <c r="O20" s="6" t="str">
        <v>CANBUS_STS_LCAN</v>
      </c>
      <c r="P20" s="6" t="str">
        <v>R</v>
      </c>
      <c r="Q20" s="6">
        <v>1</v>
      </c>
      <c r="R20" s="6">
        <f>IF(P20="R",MAX(R$17:R19,Q$15-1)+1,"")</f>
        <v>24</v>
      </c>
      <c r="S20" s="6">
        <f t="shared" si="13"/>
        <v>0</v>
      </c>
      <c r="T20" s="6">
        <f t="shared" si="14"/>
        <v>3</v>
      </c>
      <c r="U20" s="6" t="str">
        <v>IVDSH_DID_REA_CANBUS_STS_LCAN</v>
      </c>
      <c r="V20" s="6">
        <v>18</v>
      </c>
      <c r="W20" s="6" t="str">
        <v>VM1TO2_CAL</v>
      </c>
      <c r="X20" s="6" t="str">
        <v>R</v>
      </c>
      <c r="Y20" s="6">
        <v>1</v>
      </c>
      <c r="Z20" s="6">
        <f>IF(X20="R",MAX(Z$17:Z19,Y$15-1)+1,"")</f>
        <v>27</v>
      </c>
      <c r="AA20" s="6">
        <f t="shared" si="15"/>
        <v>1</v>
      </c>
      <c r="AB20" s="6">
        <f t="shared" si="16"/>
        <v>3</v>
      </c>
      <c r="AC20" s="6" t="str">
        <v>IVDSH_DID_REA_VM1TO2_CAL</v>
      </c>
      <c r="AD20" s="6">
        <v>13</v>
      </c>
      <c r="AE20" s="6" t="str">
        <v>VM2TO1_DSPTIM</v>
      </c>
      <c r="AF20" s="6" t="str">
        <v>T</v>
      </c>
      <c r="AG20" s="6">
        <v>1</v>
      </c>
      <c r="AH20" s="6" t="str">
        <f>IF(AF20="R",MAX(AH$17:AH19,AG$15-1)+1,"")</f>
        <v/>
      </c>
      <c r="AI20" s="6" t="str">
        <f t="shared" si="5"/>
        <v/>
      </c>
      <c r="AJ20" s="6" t="str">
        <f t="shared" si="6"/>
        <v/>
      </c>
      <c r="AK20" s="6" t="str">
        <v>IVDSH_DID_REA_VM2TO1_DSPTIM</v>
      </c>
      <c r="AL20" s="6">
        <v>45</v>
      </c>
      <c r="AM20" s="6" t="str">
        <v>VM3TO12_RESTART</v>
      </c>
      <c r="AN20" s="6" t="str">
        <v>R</v>
      </c>
      <c r="AO20" s="6">
        <v>1</v>
      </c>
      <c r="AP20" s="6">
        <f>IF(AN20="R",MAX(AP$17:AP19,AO$15-1)+1,"")</f>
        <v>37</v>
      </c>
      <c r="AQ20" s="6">
        <f t="shared" si="17"/>
        <v>2</v>
      </c>
      <c r="AR20" s="6">
        <f t="shared" si="18"/>
        <v>3</v>
      </c>
      <c r="AS20" s="6" t="str">
        <v>IVDSH_DID_REA_VM3TO12_RESTART</v>
      </c>
      <c r="AV20" s="6" t="s">
        <v>268</v>
      </c>
      <c r="AW20" s="6">
        <f>MAX(AW22:AW26)+1</f>
        <v>4</v>
      </c>
      <c r="BA20" s="12" t="s">
        <v>269</v>
      </c>
      <c r="BB20" s="11">
        <f>AW21</f>
        <v>3</v>
      </c>
      <c r="BE20" s="11" t="str">
        <f t="shared" si="0"/>
        <v>#define IVDSH_DID_WRI_VM2TO1_DSPTIM              (3U)</v>
      </c>
      <c r="BF20" s="11" t="str">
        <f t="shared" si="1"/>
        <v>#define IVDSH_DID_REA_CANBUS_STS_LCAN            (24U)</v>
      </c>
      <c r="BG20" s="11" t="str">
        <f t="shared" si="2"/>
        <v>#define IVDSH_DID_REA_VM1TO2_CAL                 (27U)</v>
      </c>
      <c r="BH20" s="11" t="str">
        <f t="shared" si="3"/>
        <v/>
      </c>
      <c r="BI20" s="11" t="str">
        <f t="shared" si="4"/>
        <v>#define IVDSH_DID_REA_VM3TO12_RESTART            (37U)</v>
      </c>
      <c r="BJ20" s="11"/>
      <c r="BK20" s="11" t="str">
        <f t="shared" si="7"/>
        <v xml:space="preserve">    {(U2)3U,        (U2)1U,         (U2)IVDSH_FQ_CH_WRI  },     /* IVDSH_DID_WRI_VM2TO1_DSPTIM     */</v>
      </c>
      <c r="BL20" s="11" t="str">
        <f t="shared" si="8"/>
        <v xml:space="preserve">    {(U2)3U,        (U2)1U,         (U2)IVDSH_FQ_CH_REA_0},     /* IVDSH_DID_REA_CANBUS_STS_LCAN   */</v>
      </c>
      <c r="BM20" s="11" t="str">
        <f t="shared" si="9"/>
        <v xml:space="preserve">    {(U2)3U,        (U2)1U,         (U2)IVDSH_FQ_CH_REA_1},     /* IVDSH_DID_REA_VM1TO2_CAL        */</v>
      </c>
      <c r="BN20" s="11" t="str">
        <f t="shared" si="10"/>
        <v/>
      </c>
      <c r="BO20" s="11" t="str">
        <f t="shared" si="11"/>
        <v xml:space="preserve">    {(U2)3U,        (U2)1U,         (U2)IVDSH_FQ_CH_REA_2},     /* IVDSH_DID_REA_VM3TO12_RESTART   */</v>
      </c>
      <c r="BP20" s="11" t="str">
        <v>#define IVDSH_FQ_CH_REA_2                        (2U)</v>
      </c>
      <c r="BQ20" s="11" t="str">
        <v>#define IVDSH_WA_NWORD_REA_2                     (7U)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15</v>
      </c>
      <c r="G21" s="6" t="str">
        <v>VM2TO1_DSPCAL</v>
      </c>
      <c r="H21" s="6" t="str">
        <v>T</v>
      </c>
      <c r="I21" s="6">
        <v>1</v>
      </c>
      <c r="J21" s="6">
        <f t="shared" si="19"/>
        <v>4</v>
      </c>
      <c r="K21" s="6" t="str">
        <v>IVDSH_DID_WRI_VM2TO1_DSPCAL</v>
      </c>
      <c r="R21" s="6" t="str">
        <f>IF(P21="R",MAX(R$17:R20,Q$15-1)+1,"")</f>
        <v/>
      </c>
      <c r="S21" s="6" t="str">
        <f t="shared" si="13"/>
        <v/>
      </c>
      <c r="T21" s="6" t="str">
        <f t="shared" si="14"/>
        <v/>
      </c>
      <c r="V21" s="6">
        <v>21</v>
      </c>
      <c r="W21" s="6" t="str">
        <v>VM1TO2_CALDEF</v>
      </c>
      <c r="X21" s="6" t="str">
        <v>R</v>
      </c>
      <c r="Y21" s="6">
        <v>1</v>
      </c>
      <c r="Z21" s="6">
        <f>IF(X21="R",MAX(Z$17:Z20,Y$15-1)+1,"")</f>
        <v>28</v>
      </c>
      <c r="AA21" s="6">
        <f t="shared" si="15"/>
        <v>1</v>
      </c>
      <c r="AB21" s="6">
        <f t="shared" si="16"/>
        <v>4</v>
      </c>
      <c r="AC21" s="6" t="str">
        <v>IVDSH_DID_REA_VM1TO2_CALDEF</v>
      </c>
      <c r="AD21" s="6">
        <v>15</v>
      </c>
      <c r="AE21" s="6" t="str">
        <v>VM2TO1_DSPCAL</v>
      </c>
      <c r="AF21" s="6" t="str">
        <v>T</v>
      </c>
      <c r="AG21" s="6">
        <v>1</v>
      </c>
      <c r="AH21" s="6" t="str">
        <f>IF(AF21="R",MAX(AH$17:AH20,AG$15-1)+1,"")</f>
        <v/>
      </c>
      <c r="AI21" s="6" t="str">
        <f t="shared" si="5"/>
        <v/>
      </c>
      <c r="AJ21" s="6" t="str">
        <f t="shared" si="6"/>
        <v/>
      </c>
      <c r="AK21" s="6" t="str">
        <v>IVDSH_DID_REA_VM2TO1_DSPCAL</v>
      </c>
      <c r="AL21" s="6">
        <v>48</v>
      </c>
      <c r="AM21" s="6" t="str">
        <v>VM3TO2_BOOT_CNT</v>
      </c>
      <c r="AN21" s="6" t="str">
        <v>R</v>
      </c>
      <c r="AO21" s="6">
        <v>1</v>
      </c>
      <c r="AP21" s="6">
        <f>IF(AN21="R",MAX(AP$17:AP20,AO$15-1)+1,"")</f>
        <v>38</v>
      </c>
      <c r="AQ21" s="6">
        <f t="shared" si="17"/>
        <v>2</v>
      </c>
      <c r="AR21" s="6">
        <f t="shared" si="18"/>
        <v>4</v>
      </c>
      <c r="AS21" s="6" t="str">
        <v>IVDSH_DID_REA_VM3TO2_BOOT_CNT</v>
      </c>
      <c r="AV21" s="6" t="s">
        <v>270</v>
      </c>
      <c r="AW21" s="6">
        <f>COUNTIF(AW22:AW25,"&gt;=0")</f>
        <v>3</v>
      </c>
      <c r="AX21" s="30" t="s">
        <v>271</v>
      </c>
      <c r="BA21" s="12" t="s">
        <v>272</v>
      </c>
      <c r="BB21" s="11">
        <f>AW29</f>
        <v>21</v>
      </c>
      <c r="BE21" s="11" t="str">
        <f t="shared" si="0"/>
        <v>#define IVDSH_DID_WRI_VM2TO1_DSPCAL              (4U)</v>
      </c>
      <c r="BF21" s="11" t="str">
        <f t="shared" si="1"/>
        <v/>
      </c>
      <c r="BG21" s="11" t="str">
        <f t="shared" si="2"/>
        <v>#define IVDSH_DID_REA_VM1TO2_CALDEF              (28U)</v>
      </c>
      <c r="BH21" s="11" t="str">
        <f t="shared" si="3"/>
        <v/>
      </c>
      <c r="BI21" s="11" t="str">
        <f t="shared" si="4"/>
        <v>#define IVDSH_DID_REA_VM3TO2_BOOT_CNT            (38U)</v>
      </c>
      <c r="BJ21" s="11"/>
      <c r="BK21" s="11" t="str">
        <f t="shared" si="7"/>
        <v xml:space="preserve">    {(U2)4U,        (U2)1U,         (U2)IVDSH_FQ_CH_WRI  },     /* IVDSH_DID_WRI_VM2TO1_DSPCAL     */</v>
      </c>
      <c r="BL21" s="11" t="str">
        <f t="shared" si="8"/>
        <v/>
      </c>
      <c r="BM21" s="11" t="str">
        <f t="shared" si="9"/>
        <v xml:space="preserve">    {(U2)4U,        (U2)1U,         (U2)IVDSH_FQ_CH_REA_1},     /* IVDSH_DID_REA_VM1TO2_CALDEF     */</v>
      </c>
      <c r="BN21" s="11" t="str">
        <f t="shared" si="10"/>
        <v/>
      </c>
      <c r="BO21" s="11" t="str">
        <f t="shared" si="11"/>
        <v xml:space="preserve">    {(U2)4U,        (U2)1U,         (U2)IVDSH_FQ_CH_REA_2},     /* IVDSH_DID_REA_VM3TO2_BOOT_CNT   */</v>
      </c>
      <c r="BP21" s="11"/>
      <c r="BQ21" s="11"/>
      <c r="BR21" s="11" t="str" cm="1">
        <f t="array" ref="BR21">IF(AW36="","","        (U2)"&amp;INDEX(B6:B9,AX36+1)&amp;"                       /* u2_fq_ch */")</f>
        <v xml:space="preserve">        (U2)EHVM_RX_VCCID_VCC_SHARED_TX_VM0                       /* u2_fq_ch */</v>
      </c>
      <c r="BS21" s="11" t="str">
        <f>IF(AW26&lt;&gt;"","        (U2)"&amp;B5&amp;"                       /* u2_fq_ch */","")</f>
        <v xml:space="preserve">        (U2)EHVM_TX_VCCID_VCC_SHARED_TX_VM2                       /* u2_fq_ch */</v>
      </c>
    </row>
    <row r="22" spans="5:71">
      <c r="E22" s="6">
        <f t="shared" si="12"/>
        <v>5</v>
      </c>
      <c r="F22" s="6">
        <v>19</v>
      </c>
      <c r="G22" s="6" t="str">
        <v>VM2TO1_CAL</v>
      </c>
      <c r="H22" s="6" t="str">
        <v>T</v>
      </c>
      <c r="I22" s="6">
        <v>1</v>
      </c>
      <c r="J22" s="6">
        <f t="shared" si="19"/>
        <v>5</v>
      </c>
      <c r="K22" s="6" t="str">
        <v>IVDSH_DID_WRI_VM2TO1_CAL</v>
      </c>
      <c r="R22" s="6" t="str">
        <f>IF(P22="R",MAX(R$17:R21,Q$15-1)+1,"")</f>
        <v/>
      </c>
      <c r="S22" s="6" t="str">
        <f t="shared" si="13"/>
        <v/>
      </c>
      <c r="T22" s="6" t="str">
        <f t="shared" si="14"/>
        <v/>
      </c>
      <c r="V22" s="6">
        <v>22</v>
      </c>
      <c r="W22" s="6" t="str">
        <v>VM1TO2_CALMIN</v>
      </c>
      <c r="X22" s="6" t="str">
        <v>R</v>
      </c>
      <c r="Y22" s="6">
        <v>1</v>
      </c>
      <c r="Z22" s="6">
        <f>IF(X22="R",MAX(Z$17:Z21,Y$15-1)+1,"")</f>
        <v>29</v>
      </c>
      <c r="AA22" s="6">
        <f t="shared" si="15"/>
        <v>1</v>
      </c>
      <c r="AB22" s="6">
        <f t="shared" si="16"/>
        <v>5</v>
      </c>
      <c r="AC22" s="6" t="str">
        <v>IVDSH_DID_REA_VM1TO2_CALMIN</v>
      </c>
      <c r="AD22" s="6">
        <v>19</v>
      </c>
      <c r="AE22" s="6" t="str">
        <v>VM2TO1_CAL</v>
      </c>
      <c r="AF22" s="6" t="str">
        <v>T</v>
      </c>
      <c r="AG22" s="6">
        <v>1</v>
      </c>
      <c r="AH22" s="6" t="str">
        <f>IF(AF22="R",MAX(AH$17:AH21,AG$15-1)+1,"")</f>
        <v/>
      </c>
      <c r="AI22" s="6" t="str">
        <f t="shared" si="5"/>
        <v/>
      </c>
      <c r="AJ22" s="6" t="str">
        <f t="shared" si="6"/>
        <v/>
      </c>
      <c r="AK22" s="6" t="str">
        <v>IVDSH_DID_REA_VM2TO1_CAL</v>
      </c>
      <c r="AL22" s="6">
        <v>49</v>
      </c>
      <c r="AM22" s="6" t="str">
        <v>VM3TO2_BOOT_TIME</v>
      </c>
      <c r="AN22" s="6" t="str">
        <v>R</v>
      </c>
      <c r="AO22" s="6">
        <v>1</v>
      </c>
      <c r="AP22" s="6">
        <f>IF(AN22="R",MAX(AP$17:AP21,AO$15-1)+1,"")</f>
        <v>39</v>
      </c>
      <c r="AQ22" s="6">
        <f t="shared" si="17"/>
        <v>2</v>
      </c>
      <c r="AR22" s="6">
        <f t="shared" si="18"/>
        <v>5</v>
      </c>
      <c r="AS22" s="6" t="str">
        <v>IVDSH_DID_REA_VM3TO2_BOOT_TIME</v>
      </c>
      <c r="AV22" s="6" t="str">
        <f>"IVDSH_FQ_CH_REA_"&amp;COUNTIF(AW$22:AW22,"&gt;=0")-1</f>
        <v>IVDSH_FQ_CH_REA_0</v>
      </c>
      <c r="AW22" s="6">
        <f>IF(AW30="","",COUNTIF(AW$30:AW30,"&gt;0")-1)</f>
        <v>0</v>
      </c>
      <c r="AX22" s="31">
        <v>0</v>
      </c>
      <c r="BA22" s="12" t="s">
        <v>273</v>
      </c>
      <c r="BB22" s="11">
        <f>AW28</f>
        <v>67</v>
      </c>
      <c r="BE22" s="11" t="str">
        <f t="shared" si="0"/>
        <v>#define IVDSH_DID_WRI_VM2TO1_CAL                 (5U)</v>
      </c>
      <c r="BF22" s="11" t="str">
        <f t="shared" si="1"/>
        <v/>
      </c>
      <c r="BG22" s="11" t="str">
        <f t="shared" si="2"/>
        <v>#define IVDSH_DID_REA_VM1TO2_CALMIN              (29U)</v>
      </c>
      <c r="BH22" s="11" t="str">
        <f t="shared" si="3"/>
        <v/>
      </c>
      <c r="BI22" s="11" t="str">
        <f t="shared" si="4"/>
        <v>#define IVDSH_DID_REA_VM3TO2_BOOT_TIME           (39U)</v>
      </c>
      <c r="BJ22" s="11"/>
      <c r="BK22" s="11" t="str">
        <f t="shared" si="7"/>
        <v xml:space="preserve">    {(U2)5U,        (U2)1U,         (U2)IVDSH_FQ_CH_WRI  },     /* IVDSH_DID_WRI_VM2TO1_CAL        */</v>
      </c>
      <c r="BL22" s="11" t="str">
        <f t="shared" si="8"/>
        <v/>
      </c>
      <c r="BM22" s="11" t="str">
        <f t="shared" si="9"/>
        <v xml:space="preserve">    {(U2)5U,        (U2)1U,         (U2)IVDSH_FQ_CH_REA_1},     /* IVDSH_DID_REA_VM1TO2_CALMIN     */</v>
      </c>
      <c r="BN22" s="11" t="str">
        <f t="shared" si="10"/>
        <v/>
      </c>
      <c r="BO22" s="11" t="str">
        <f t="shared" si="11"/>
        <v xml:space="preserve">    {(U2)5U,        (U2)1U,         (U2)IVDSH_FQ_CH_REA_2},     /* IVDSH_DID_REA_VM3TO2_BOOT_TIME  */</v>
      </c>
      <c r="BP22" s="11"/>
      <c r="BQ22" s="11"/>
      <c r="BR22" s="28" t="str">
        <f>IF(AW36="","","    },")</f>
        <v xml:space="preserve">    },</v>
      </c>
      <c r="BS22" s="11" t="str">
        <f>IF(AW26&lt;&gt;"","    },","")</f>
        <v xml:space="preserve">    },</v>
      </c>
    </row>
    <row r="23" spans="5:71">
      <c r="E23" s="6">
        <f t="shared" si="12"/>
        <v>6</v>
      </c>
      <c r="F23" s="6">
        <v>25</v>
      </c>
      <c r="G23" s="6" t="str">
        <v>VM2TO1_CAM_DIAP</v>
      </c>
      <c r="H23" s="6" t="str">
        <v>T</v>
      </c>
      <c r="I23" s="6">
        <v>1</v>
      </c>
      <c r="J23" s="6">
        <f t="shared" si="19"/>
        <v>6</v>
      </c>
      <c r="K23" s="6" t="str">
        <v>IVDSH_DID_WRI_VM2TO1_CAM_DIAP</v>
      </c>
      <c r="R23" s="6" t="str">
        <f>IF(P23="R",MAX(R$17:R22,Q$15-1)+1,"")</f>
        <v/>
      </c>
      <c r="S23" s="6" t="str">
        <f t="shared" si="13"/>
        <v/>
      </c>
      <c r="T23" s="6" t="str">
        <f t="shared" si="14"/>
        <v/>
      </c>
      <c r="V23" s="6">
        <v>23</v>
      </c>
      <c r="W23" s="6" t="str">
        <v>VM1TO3_SPI_FAIL</v>
      </c>
      <c r="X23" s="6" t="str">
        <v>-</v>
      </c>
      <c r="Y23" s="6">
        <v>1</v>
      </c>
      <c r="Z23" s="6" t="str">
        <f>IF(X23="R",MAX(Z$17:Z22,Y$15-1)+1,"")</f>
        <v/>
      </c>
      <c r="AA23" s="6">
        <f t="shared" si="15"/>
        <v>1</v>
      </c>
      <c r="AB23" s="6">
        <f t="shared" si="16"/>
        <v>6</v>
      </c>
      <c r="AC23" s="6" t="str">
        <v>IVDSH_DID_REA_VM1TO3_SPI_FAIL</v>
      </c>
      <c r="AD23" s="6">
        <v>25</v>
      </c>
      <c r="AE23" s="6" t="str">
        <v>VM2TO1_CAM_DIAP</v>
      </c>
      <c r="AF23" s="6" t="str">
        <v>T</v>
      </c>
      <c r="AG23" s="6">
        <v>1</v>
      </c>
      <c r="AH23" s="6" t="str">
        <f>IF(AF23="R",MAX(AH$17:AH22,AG$15-1)+1,"")</f>
        <v/>
      </c>
      <c r="AI23" s="6" t="str">
        <f t="shared" si="5"/>
        <v/>
      </c>
      <c r="AJ23" s="6" t="str">
        <f t="shared" si="6"/>
        <v/>
      </c>
      <c r="AK23" s="6" t="str">
        <v>IVDSH_DID_REA_VM2TO1_CAM_DIAP</v>
      </c>
      <c r="AL23" s="6">
        <v>50</v>
      </c>
      <c r="AM23" s="6" t="str">
        <v>GPS_STS</v>
      </c>
      <c r="AN23" s="6" t="str">
        <v>R</v>
      </c>
      <c r="AO23" s="6">
        <v>1</v>
      </c>
      <c r="AP23" s="6">
        <f>IF(AN23="R",MAX(AP$17:AP22,AO$15-1)+1,"")</f>
        <v>40</v>
      </c>
      <c r="AQ23" s="6">
        <f t="shared" si="17"/>
        <v>2</v>
      </c>
      <c r="AR23" s="6">
        <f t="shared" si="18"/>
        <v>6</v>
      </c>
      <c r="AS23" s="6" t="str">
        <v>IVDSH_DID_REA_GPS_STS</v>
      </c>
      <c r="AV23" s="6" t="str">
        <f>"IVDSH_FQ_CH_REA_"&amp;COUNTIF(AW$22:AW23,"&gt;=0")-1</f>
        <v>IVDSH_FQ_CH_REA_1</v>
      </c>
      <c r="AW23" s="6">
        <f>IF(AW31="","",COUNTIF(AW$30:AW31,"&gt;0")-1)</f>
        <v>1</v>
      </c>
      <c r="AX23" s="31">
        <v>1</v>
      </c>
      <c r="BA23" s="12" t="s">
        <v>274</v>
      </c>
      <c r="BB23" s="11" t="str">
        <f>IF(AW29&lt;&gt;0,"&amp;st_sp_IVDSH_FQ_CH[IVDSH_FQ_CH_WRI]","vdp_PTR_NA")</f>
        <v>&amp;st_sp_IVDSH_FQ_CH[IVDSH_FQ_CH_WRI]</v>
      </c>
      <c r="BE23" s="11" t="str">
        <f t="shared" si="0"/>
        <v>#define IVDSH_DID_WRI_VM2TO1_CAM_DIAP            (6U)</v>
      </c>
      <c r="BF23" s="11" t="str">
        <f t="shared" si="1"/>
        <v/>
      </c>
      <c r="BG23" s="11" t="str">
        <f t="shared" si="2"/>
        <v/>
      </c>
      <c r="BH23" s="11" t="str">
        <f t="shared" si="3"/>
        <v/>
      </c>
      <c r="BI23" s="11" t="str">
        <f t="shared" si="4"/>
        <v>#define IVDSH_DID_REA_GPS_STS                    (40U)</v>
      </c>
      <c r="BJ23" s="11"/>
      <c r="BK23" s="11" t="str">
        <f t="shared" si="7"/>
        <v xml:space="preserve">    {(U2)6U,        (U2)1U,         (U2)IVDSH_FQ_CH_WRI  },     /* IVDSH_DID_WRI_VM2TO1_CAM_DIAP   */</v>
      </c>
      <c r="BL23" s="11" t="str">
        <f t="shared" si="8"/>
        <v/>
      </c>
      <c r="BM23" s="11" t="str">
        <f t="shared" si="9"/>
        <v/>
      </c>
      <c r="BN23" s="11" t="str">
        <f t="shared" si="10"/>
        <v/>
      </c>
      <c r="BO23" s="11" t="str">
        <f t="shared" si="11"/>
        <v xml:space="preserve">    {(U2)6U,        (U2)1U,         (U2)IVDSH_FQ_CH_REA_2},     /* IVDSH_DID_REA_GPS_STS           */</v>
      </c>
      <c r="BP23" s="11"/>
      <c r="BQ23" s="11"/>
      <c r="BR23" s="11" t="str">
        <f>IF(AW37="","","    /* IVDSH_FQ_CH_REA_1 */")</f>
        <v xml:space="preserve">    /* IVDSH_FQ_CH_REA_1 */</v>
      </c>
      <c r="BS23" s="11"/>
    </row>
    <row r="24" spans="5:71">
      <c r="E24" s="6">
        <f t="shared" si="12"/>
        <v>7</v>
      </c>
      <c r="F24" s="6">
        <v>42</v>
      </c>
      <c r="G24" s="6" t="str">
        <v>VM2TO3_WHLINI_REQ</v>
      </c>
      <c r="H24" s="6" t="str">
        <v>T</v>
      </c>
      <c r="I24" s="6">
        <v>1</v>
      </c>
      <c r="J24" s="6">
        <f t="shared" si="19"/>
        <v>7</v>
      </c>
      <c r="K24" s="6" t="str">
        <v>IVDSH_DID_WRI_VM2TO3_WHLINI_REQ</v>
      </c>
      <c r="R24" s="6" t="str">
        <f>IF(P24="R",MAX(R$17:R23,Q$15-1)+1,"")</f>
        <v/>
      </c>
      <c r="S24" s="6" t="str">
        <f t="shared" si="13"/>
        <v/>
      </c>
      <c r="T24" s="6" t="str">
        <f t="shared" si="14"/>
        <v/>
      </c>
      <c r="V24" s="6">
        <v>26</v>
      </c>
      <c r="W24" s="6" t="str">
        <v>VM1TO2_CAM_DIAP</v>
      </c>
      <c r="X24" s="6" t="str">
        <v>R</v>
      </c>
      <c r="Y24" s="6">
        <v>1</v>
      </c>
      <c r="Z24" s="6">
        <f>IF(X24="R",MAX(Z$17:Z23,Y$15-1)+1,"")</f>
        <v>30</v>
      </c>
      <c r="AA24" s="6">
        <f t="shared" si="15"/>
        <v>1</v>
      </c>
      <c r="AB24" s="6">
        <f t="shared" si="16"/>
        <v>7</v>
      </c>
      <c r="AC24" s="6" t="str">
        <v>IVDSH_DID_REA_VM1TO2_CAM_DIAP</v>
      </c>
      <c r="AD24" s="6">
        <v>42</v>
      </c>
      <c r="AE24" s="6" t="str">
        <v>VM2TO3_WHLINI_REQ</v>
      </c>
      <c r="AF24" s="6" t="str">
        <v>T</v>
      </c>
      <c r="AG24" s="6">
        <v>1</v>
      </c>
      <c r="AH24" s="6" t="str">
        <f>IF(AF24="R",MAX(AH$17:AH23,AG$15-1)+1,"")</f>
        <v/>
      </c>
      <c r="AI24" s="6" t="str">
        <f t="shared" si="5"/>
        <v/>
      </c>
      <c r="AJ24" s="6" t="str">
        <f t="shared" si="6"/>
        <v/>
      </c>
      <c r="AK24" s="6" t="str">
        <v>IVDSH_DID_REA_VM2TO3_WHLINI_REQ</v>
      </c>
      <c r="AP24" s="6" t="str">
        <f>IF(AN24="R",MAX(AP$17:AP23,AO$15-1)+1,"")</f>
        <v/>
      </c>
      <c r="AQ24" s="6" t="str">
        <f t="shared" si="17"/>
        <v/>
      </c>
      <c r="AR24" s="6" t="str">
        <f t="shared" si="18"/>
        <v/>
      </c>
      <c r="AV24" s="6" t="str">
        <f>"IVDSH_FQ_CH_REA_"&amp;COUNTIF(AW$22:AW24,"&gt;=0")-1</f>
        <v>IVDSH_FQ_CH_REA_1</v>
      </c>
      <c r="AW24" s="6" t="str">
        <f>IF(AW32="","",COUNTIF(AW$30:AW32,"&gt;0")-1)</f>
        <v/>
      </c>
      <c r="AX24" s="31">
        <v>2</v>
      </c>
      <c r="BA24" s="12" t="s">
        <v>275</v>
      </c>
      <c r="BB24" s="11" t="str">
        <f>IF(AW21&lt;&gt;0,"&amp;st_sp_IVDSH_FQ_CH[IVDSH_FQ_CH_REA_0]","&amp;st_sp_IVDSH_FQ_CH[IVDSH_FQ_CH_WRI]")</f>
        <v>&amp;st_sp_IVDSH_FQ_CH[IVDSH_FQ_CH_REA_0]</v>
      </c>
      <c r="BE24" s="11" t="str">
        <f t="shared" si="0"/>
        <v>#define IVDSH_DID_WRI_VM2TO3_WHLINI_REQ          (7U)</v>
      </c>
      <c r="BF24" s="11" t="str">
        <f t="shared" si="1"/>
        <v/>
      </c>
      <c r="BG24" s="11" t="str">
        <f t="shared" si="2"/>
        <v>#define IVDSH_DID_REA_VM1TO2_CAM_DIAP            (30U)</v>
      </c>
      <c r="BH24" s="11" t="str">
        <f t="shared" si="3"/>
        <v/>
      </c>
      <c r="BI24" s="11" t="str">
        <f t="shared" si="4"/>
        <v/>
      </c>
      <c r="BJ24" s="11"/>
      <c r="BK24" s="11" t="str">
        <f t="shared" si="7"/>
        <v xml:space="preserve">    {(U2)7U,        (U2)1U,         (U2)IVDSH_FQ_CH_WRI  },     /* IVDSH_DID_WRI_VM2TO3_WHLINI_REQ */</v>
      </c>
      <c r="BL24" s="11" t="str">
        <f t="shared" si="8"/>
        <v/>
      </c>
      <c r="BM24" s="11" t="str">
        <f t="shared" si="9"/>
        <v xml:space="preserve">    {(U2)7U,        (U2)1U,         (U2)IVDSH_FQ_CH_REA_1},     /* IVDSH_DID_REA_VM1TO2_CAM_DIAP   */</v>
      </c>
      <c r="BN24" s="11" t="str">
        <f t="shared" si="10"/>
        <v/>
      </c>
      <c r="BO24" s="11" t="str">
        <f t="shared" si="11"/>
        <v/>
      </c>
      <c r="BP24" s="11"/>
      <c r="BQ24" s="11"/>
      <c r="BR24" s="11" t="str">
        <f>IF(AW37="","","    {")</f>
        <v xml:space="preserve">    {</v>
      </c>
      <c r="BS24" s="11"/>
    </row>
    <row r="25" spans="5:71">
      <c r="E25" s="6">
        <f t="shared" si="12"/>
        <v>8</v>
      </c>
      <c r="F25" s="6">
        <v>46</v>
      </c>
      <c r="G25" s="6" t="str">
        <v>VM2TO3_STRMODE</v>
      </c>
      <c r="H25" s="6" t="str">
        <v>T</v>
      </c>
      <c r="I25" s="6">
        <v>1</v>
      </c>
      <c r="J25" s="6">
        <f t="shared" si="19"/>
        <v>8</v>
      </c>
      <c r="K25" s="6" t="str">
        <v>IVDSH_DID_WRI_VM2TO3_STRMODE</v>
      </c>
      <c r="R25" s="6" t="str">
        <f>IF(P25="R",MAX(R$17:R24,Q$15-1)+1,"")</f>
        <v/>
      </c>
      <c r="S25" s="6" t="str">
        <f t="shared" si="13"/>
        <v/>
      </c>
      <c r="T25" s="6" t="str">
        <f t="shared" si="14"/>
        <v/>
      </c>
      <c r="V25" s="6">
        <v>41</v>
      </c>
      <c r="W25" s="6" t="str">
        <v>VM1TO2_FLYNOP</v>
      </c>
      <c r="X25" s="6" t="str">
        <v>R</v>
      </c>
      <c r="Y25" s="6">
        <v>1</v>
      </c>
      <c r="Z25" s="6">
        <f>IF(X25="R",MAX(Z$17:Z24,Y$15-1)+1,"")</f>
        <v>31</v>
      </c>
      <c r="AA25" s="6">
        <f t="shared" si="15"/>
        <v>1</v>
      </c>
      <c r="AB25" s="6">
        <f t="shared" si="16"/>
        <v>8</v>
      </c>
      <c r="AC25" s="6" t="str">
        <v>IVDSH_DID_REA_VM1TO2_FLYNOP</v>
      </c>
      <c r="AD25" s="6">
        <v>46</v>
      </c>
      <c r="AE25" s="6" t="str">
        <v>VM2TO3_STRMODE</v>
      </c>
      <c r="AF25" s="6" t="str">
        <v>T</v>
      </c>
      <c r="AG25" s="6">
        <v>1</v>
      </c>
      <c r="AH25" s="6" t="str">
        <f>IF(AF25="R",MAX(AH$17:AH24,AG$15-1)+1,"")</f>
        <v/>
      </c>
      <c r="AI25" s="6" t="str">
        <f t="shared" si="5"/>
        <v/>
      </c>
      <c r="AJ25" s="6" t="str">
        <f t="shared" si="6"/>
        <v/>
      </c>
      <c r="AK25" s="6" t="str">
        <v>IVDSH_DID_REA_VM2TO3_STRMODE</v>
      </c>
      <c r="AP25" s="6" t="str">
        <f>IF(AN25="R",MAX(AP$17:AP24,AO$15-1)+1,"")</f>
        <v/>
      </c>
      <c r="AQ25" s="6" t="str">
        <f t="shared" si="17"/>
        <v/>
      </c>
      <c r="AR25" s="6" t="str">
        <f t="shared" si="18"/>
        <v/>
      </c>
      <c r="AV25" s="6" t="str">
        <f>"IVDSH_FQ_CH_REA_"&amp;COUNTIF(AW$22:AW25,"&gt;=0")-1</f>
        <v>IVDSH_FQ_CH_REA_2</v>
      </c>
      <c r="AW25" s="6">
        <f>IF(AW33="","",COUNTIF(AW$30:AW33,"&gt;0")-1)</f>
        <v>2</v>
      </c>
      <c r="AX25" s="31">
        <v>3</v>
      </c>
      <c r="BA25" s="12" t="s">
        <v>276</v>
      </c>
      <c r="BB25" s="11" t="str">
        <f>B4</f>
        <v>"ehvm_cfg_pe2_vm0.h"</v>
      </c>
      <c r="BE25" s="11" t="str">
        <f t="shared" si="0"/>
        <v>#define IVDSH_DID_WRI_VM2TO3_STRMODE             (8U)</v>
      </c>
      <c r="BF25" s="11" t="str">
        <f t="shared" si="1"/>
        <v/>
      </c>
      <c r="BG25" s="11" t="str">
        <f t="shared" si="2"/>
        <v>#define IVDSH_DID_REA_VM1TO2_FLYNOP              (31U)</v>
      </c>
      <c r="BH25" s="11" t="str">
        <f t="shared" si="3"/>
        <v/>
      </c>
      <c r="BI25" s="11" t="str">
        <f t="shared" si="4"/>
        <v/>
      </c>
      <c r="BJ25" s="11"/>
      <c r="BK25" s="11" t="str">
        <f t="shared" si="7"/>
        <v xml:space="preserve">    {(U2)8U,        (U2)1U,         (U2)IVDSH_FQ_CH_WRI  },     /* IVDSH_DID_WRI_VM2TO3_STRMODE    */</v>
      </c>
      <c r="BL25" s="11" t="str">
        <f t="shared" si="8"/>
        <v/>
      </c>
      <c r="BM25" s="11" t="str">
        <f t="shared" si="9"/>
        <v xml:space="preserve">    {(U2)8U,        (U2)1U,         (U2)IVDSH_FQ_CH_REA_1},     /* IVDSH_DID_REA_VM1TO2_FLYNOP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47</v>
      </c>
      <c r="G26" s="6" t="str">
        <v>VM2TO3_OPESTS</v>
      </c>
      <c r="H26" s="6" t="str">
        <v>T</v>
      </c>
      <c r="I26" s="6">
        <v>1</v>
      </c>
      <c r="J26" s="6">
        <f t="shared" si="19"/>
        <v>9</v>
      </c>
      <c r="K26" s="6" t="str">
        <v>IVDSH_DID_WRI_VM2TO3_OPESTS</v>
      </c>
      <c r="R26" s="6" t="str">
        <f>IF(P26="R",MAX(R$17:R25,Q$15-1)+1,"")</f>
        <v/>
      </c>
      <c r="S26" s="6" t="str">
        <f t="shared" si="13"/>
        <v/>
      </c>
      <c r="T26" s="6" t="str">
        <f t="shared" si="14"/>
        <v/>
      </c>
      <c r="V26" s="6">
        <v>44</v>
      </c>
      <c r="W26" s="6" t="str">
        <v>VM1TO23_FSLP</v>
      </c>
      <c r="X26" s="6" t="str">
        <v>R</v>
      </c>
      <c r="Y26" s="6">
        <v>1</v>
      </c>
      <c r="Z26" s="6">
        <f>IF(X26="R",MAX(Z$17:Z25,Y$15-1)+1,"")</f>
        <v>32</v>
      </c>
      <c r="AA26" s="6">
        <f t="shared" si="15"/>
        <v>1</v>
      </c>
      <c r="AB26" s="6">
        <f t="shared" si="16"/>
        <v>9</v>
      </c>
      <c r="AC26" s="6" t="str">
        <v>IVDSH_DID_REA_VM1TO23_FSLP</v>
      </c>
      <c r="AD26" s="6">
        <v>47</v>
      </c>
      <c r="AE26" s="6" t="str">
        <v>VM2TO3_OPESTS</v>
      </c>
      <c r="AF26" s="6" t="str">
        <v>T</v>
      </c>
      <c r="AG26" s="6">
        <v>1</v>
      </c>
      <c r="AH26" s="6" t="str">
        <f>IF(AF26="R",MAX(AH$17:AH25,AG$15-1)+1,"")</f>
        <v/>
      </c>
      <c r="AI26" s="6" t="str">
        <f t="shared" si="5"/>
        <v/>
      </c>
      <c r="AJ26" s="6" t="str">
        <f t="shared" si="6"/>
        <v/>
      </c>
      <c r="AK26" s="6" t="str">
        <v>IVDSH_DID_REA_VM2TO3_OPESTS</v>
      </c>
      <c r="AP26" s="6" t="str">
        <f>IF(AN26="R",MAX(AP$17:AP25,AO$15-1)+1,"")</f>
        <v/>
      </c>
      <c r="AQ26" s="6" t="str">
        <f t="shared" si="17"/>
        <v/>
      </c>
      <c r="AR26" s="6" t="str">
        <f t="shared" si="18"/>
        <v/>
      </c>
      <c r="AV26" s="6" t="s">
        <v>277</v>
      </c>
      <c r="AW26" s="6">
        <f>IF(AW29=0,"",COUNTIF(AW$29:AW33,"&gt;0")-1)</f>
        <v>3</v>
      </c>
      <c r="BA26" s="12"/>
      <c r="BE26" s="11" t="str">
        <f t="shared" si="0"/>
        <v>#define IVDSH_DID_WRI_VM2TO3_OPESTS              (9U)</v>
      </c>
      <c r="BF26" s="11" t="str">
        <f t="shared" si="1"/>
        <v/>
      </c>
      <c r="BG26" s="11" t="str">
        <f t="shared" si="2"/>
        <v>#define IVDSH_DID_REA_VM1TO23_FSLP               (32U)</v>
      </c>
      <c r="BH26" s="11" t="str">
        <f t="shared" si="3"/>
        <v/>
      </c>
      <c r="BI26" s="11" t="str">
        <f t="shared" si="4"/>
        <v/>
      </c>
      <c r="BJ26" s="11"/>
      <c r="BK26" s="11" t="str">
        <f t="shared" si="7"/>
        <v xml:space="preserve">    {(U2)9U,        (U2)1U,         (U2)IVDSH_FQ_CH_WRI  },     /* IVDSH_DID_WRI_VM2TO3_OPESTS     */</v>
      </c>
      <c r="BL26" s="11" t="str">
        <f t="shared" si="8"/>
        <v/>
      </c>
      <c r="BM26" s="11" t="str">
        <f t="shared" si="9"/>
        <v xml:space="preserve">    {(U2)9U,        (U2)1U,         (U2)IVDSH_FQ_CH_REA_1},     /* IVDSH_DID_REA_VM1TO23_FSLP      */</v>
      </c>
      <c r="BN26" s="11" t="str">
        <f t="shared" si="10"/>
        <v/>
      </c>
      <c r="BO26" s="11" t="str">
        <f t="shared" si="11"/>
        <v/>
      </c>
      <c r="BP26" s="11"/>
      <c r="BQ26" s="11"/>
      <c r="BR26" s="11" t="str">
        <f>IF(AW37="","",IF(AW26&lt;&gt;"",
  "         ((U2)IVDSH_WA_NWORD_REA_0 &lt;&lt; 1)),",
  "")
)</f>
        <v xml:space="preserve">         ((U2)IVDSH_WA_NWORD_REA_0 &lt;&lt; 1)),</v>
      </c>
      <c r="BS26" s="11"/>
    </row>
    <row r="27" spans="5:71">
      <c r="E27" s="6">
        <f t="shared" si="12"/>
        <v>10</v>
      </c>
      <c r="F27" s="6">
        <v>51</v>
      </c>
      <c r="G27" s="6" t="str">
        <v>GPS_REQ</v>
      </c>
      <c r="H27" s="6" t="str">
        <v>T</v>
      </c>
      <c r="I27" s="6">
        <v>1</v>
      </c>
      <c r="J27" s="6">
        <f t="shared" si="19"/>
        <v>10</v>
      </c>
      <c r="K27" s="6" t="str">
        <v>IVDSH_DID_WRI_GPS_REQ</v>
      </c>
      <c r="R27" s="6" t="str">
        <f>IF(P27="R",MAX(R$17:R26,Q$15-1)+1,"")</f>
        <v/>
      </c>
      <c r="S27" s="6" t="str">
        <f t="shared" si="13"/>
        <v/>
      </c>
      <c r="T27" s="6" t="str">
        <f t="shared" si="14"/>
        <v/>
      </c>
      <c r="V27" s="6">
        <v>53</v>
      </c>
      <c r="W27" s="6" t="str">
        <v>VM1TO2_WHLINI_RES</v>
      </c>
      <c r="X27" s="6" t="str">
        <v>R</v>
      </c>
      <c r="Y27" s="6">
        <v>1</v>
      </c>
      <c r="Z27" s="6">
        <f>IF(X27="R",MAX(Z$17:Z26,Y$15-1)+1,"")</f>
        <v>33</v>
      </c>
      <c r="AA27" s="6">
        <f t="shared" si="15"/>
        <v>1</v>
      </c>
      <c r="AB27" s="6">
        <f t="shared" si="16"/>
        <v>10</v>
      </c>
      <c r="AC27" s="6" t="str">
        <v>IVDSH_DID_REA_VM1TO2_WHLINI_RES</v>
      </c>
      <c r="AD27" s="6">
        <v>51</v>
      </c>
      <c r="AE27" s="6" t="str">
        <v>GPS_REQ</v>
      </c>
      <c r="AF27" s="6" t="str">
        <v>T</v>
      </c>
      <c r="AG27" s="6">
        <v>1</v>
      </c>
      <c r="AH27" s="6" t="str">
        <f>IF(AF27="R",MAX(AH$17:AH26,AG$15-1)+1,"")</f>
        <v/>
      </c>
      <c r="AI27" s="6" t="str">
        <f t="shared" si="5"/>
        <v/>
      </c>
      <c r="AJ27" s="6" t="str">
        <f t="shared" si="6"/>
        <v/>
      </c>
      <c r="AK27" s="6" t="str">
        <v>IVDSH_DID_REA_GPS_REQ</v>
      </c>
      <c r="AP27" s="6" t="str">
        <f>IF(AN27="R",MAX(AP$17:AP26,AO$15-1)+1,"")</f>
        <v/>
      </c>
      <c r="AQ27" s="6" t="str">
        <f t="shared" si="17"/>
        <v/>
      </c>
      <c r="AR27" s="6" t="str">
        <f t="shared" si="18"/>
        <v/>
      </c>
      <c r="BA27" s="12"/>
      <c r="BE27" s="11" t="str">
        <f t="shared" si="0"/>
        <v>#define IVDSH_DID_WRI_GPS_REQ                    (10U)</v>
      </c>
      <c r="BF27" s="11" t="str">
        <f t="shared" si="1"/>
        <v/>
      </c>
      <c r="BG27" s="11" t="str">
        <f t="shared" si="2"/>
        <v>#define IVDSH_DID_REA_VM1TO2_WHLINI_RES          (33U)</v>
      </c>
      <c r="BH27" s="11" t="str">
        <f t="shared" si="3"/>
        <v/>
      </c>
      <c r="BI27" s="11" t="str">
        <f t="shared" si="4"/>
        <v/>
      </c>
      <c r="BJ27" s="11"/>
      <c r="BK27" s="11" t="str">
        <f t="shared" si="7"/>
        <v xml:space="preserve">    {(U2)10U,       (U2)1U,         (U2)IVDSH_FQ_CH_WRI  },     /* IVDSH_DID_WRI_GPS_REQ           */</v>
      </c>
      <c r="BL27" s="11" t="str">
        <f t="shared" si="8"/>
        <v/>
      </c>
      <c r="BM27" s="11" t="str">
        <f t="shared" si="9"/>
        <v xml:space="preserve">    {(U2)10U,       (U2)1U,         (U2)IVDSH_FQ_CH_REA_1},     /* IVDSH_DID_REA_VM1TO2_WHLINI_RES */</v>
      </c>
      <c r="BN27" s="11" t="str">
        <f t="shared" si="10"/>
        <v/>
      </c>
      <c r="BO27" s="11" t="str">
        <f t="shared" si="11"/>
        <v/>
      </c>
      <c r="BP27" s="11"/>
      <c r="BQ27" s="11"/>
      <c r="BR27" s="11" t="str">
        <f>IF(AW37="","","        (U2)IVDSH_WA_NWORD_REA_1,                                 /* u2_nword */")</f>
        <v xml:space="preserve">        (U2)IVDSH_WA_NWORD_REA_1,                                 /* u2_nword */</v>
      </c>
      <c r="BS27" s="11"/>
    </row>
    <row r="28" spans="5:71">
      <c r="E28" s="6">
        <f t="shared" si="12"/>
        <v>11</v>
      </c>
      <c r="F28" s="6">
        <v>52</v>
      </c>
      <c r="G28" s="6" t="str">
        <v>VM2TO1_WHLINI_REQ</v>
      </c>
      <c r="H28" s="6" t="str">
        <v>T</v>
      </c>
      <c r="I28" s="6">
        <v>1</v>
      </c>
      <c r="J28" s="6">
        <f t="shared" si="19"/>
        <v>11</v>
      </c>
      <c r="K28" s="6" t="str">
        <v>IVDSH_DID_WRI_VM2TO1_WHLINI_REQ</v>
      </c>
      <c r="R28" s="6" t="str">
        <f>IF(P28="R",MAX(R$17:R27,Q$15-1)+1,"")</f>
        <v/>
      </c>
      <c r="S28" s="6" t="str">
        <f t="shared" si="13"/>
        <v/>
      </c>
      <c r="T28" s="6" t="str">
        <f t="shared" si="14"/>
        <v/>
      </c>
      <c r="V28" s="6">
        <v>54</v>
      </c>
      <c r="W28" s="6" t="str">
        <v>VM1TO3_WHLINI_INF</v>
      </c>
      <c r="X28" s="6" t="str">
        <v>-</v>
      </c>
      <c r="Y28" s="6">
        <v>1</v>
      </c>
      <c r="Z28" s="6" t="str">
        <f>IF(X28="R",MAX(Z$17:Z27,Y$15-1)+1,"")</f>
        <v/>
      </c>
      <c r="AA28" s="6">
        <f t="shared" si="15"/>
        <v>1</v>
      </c>
      <c r="AB28" s="6">
        <f t="shared" si="16"/>
        <v>11</v>
      </c>
      <c r="AC28" s="6" t="str">
        <v>IVDSH_DID_REA_VM1TO3_WHLINI_INF</v>
      </c>
      <c r="AD28" s="6">
        <v>52</v>
      </c>
      <c r="AE28" s="6" t="str">
        <v>VM2TO1_WHLINI_REQ</v>
      </c>
      <c r="AF28" s="6" t="str">
        <v>T</v>
      </c>
      <c r="AG28" s="6">
        <v>1</v>
      </c>
      <c r="AH28" s="6" t="str">
        <f>IF(AF28="R",MAX(AH$17:AH27,AG$15-1)+1,"")</f>
        <v/>
      </c>
      <c r="AI28" s="6" t="str">
        <f t="shared" si="5"/>
        <v/>
      </c>
      <c r="AJ28" s="6" t="str">
        <f t="shared" si="6"/>
        <v/>
      </c>
      <c r="AK28" s="6" t="str">
        <v>IVDSH_DID_REA_VM2TO1_WHLINI_REQ</v>
      </c>
      <c r="AP28" s="6" t="str">
        <f>IF(AN28="R",MAX(AP$17:AP27,AO$15-1)+1,"")</f>
        <v/>
      </c>
      <c r="AQ28" s="6" t="str">
        <f t="shared" si="17"/>
        <v/>
      </c>
      <c r="AR28" s="6" t="str">
        <f t="shared" si="18"/>
        <v/>
      </c>
      <c r="AV28" s="6" t="s">
        <v>278</v>
      </c>
      <c r="AW28" s="6">
        <f>AW29+SUM(AW30:AW33)*2</f>
        <v>67</v>
      </c>
      <c r="BA28" s="12"/>
      <c r="BE28" s="11" t="str">
        <f t="shared" si="0"/>
        <v>#define IVDSH_DID_WRI_VM2TO1_WHLINI_REQ          (11U)</v>
      </c>
      <c r="BF28" s="11" t="str">
        <f t="shared" si="1"/>
        <v/>
      </c>
      <c r="BG28" s="11" t="str">
        <f t="shared" si="2"/>
        <v/>
      </c>
      <c r="BH28" s="11" t="str">
        <f t="shared" si="3"/>
        <v/>
      </c>
      <c r="BI28" s="11" t="str">
        <f t="shared" si="4"/>
        <v/>
      </c>
      <c r="BJ28" s="11"/>
      <c r="BK28" s="11" t="str">
        <f t="shared" si="7"/>
        <v xml:space="preserve">    {(U2)11U,       (U2)1U,         (U2)IVDSH_FQ_CH_WRI  },     /* IVDSH_DID_WRI_VM2TO1_WHLINI_REQ */</v>
      </c>
      <c r="BL28" s="11" t="str">
        <f t="shared" si="8"/>
        <v/>
      </c>
      <c r="BM28" s="11" t="str">
        <f t="shared" si="9"/>
        <v/>
      </c>
      <c r="BN28" s="11" t="str">
        <f t="shared" si="10"/>
        <v/>
      </c>
      <c r="BO28" s="11" t="str">
        <f t="shared" si="11"/>
        <v/>
      </c>
      <c r="BP28" s="11"/>
      <c r="BQ28" s="11"/>
      <c r="BR28" s="11" t="str" cm="1">
        <f t="array" ref="BR28">IF(AW37="","","        (U2)"&amp;INDEX(B6:B9,AX37+1)&amp;"                       /* u2_fq_ch */")</f>
        <v xml:space="preserve">        (U2)EHVM_RX_VCCID_VCC_SHARED_TX_VM1                       /* u2_fq_ch */</v>
      </c>
      <c r="BS28" s="11"/>
    </row>
    <row r="29" spans="5:71">
      <c r="E29" s="6">
        <f t="shared" si="12"/>
        <v>12</v>
      </c>
      <c r="F29" s="6">
        <v>55</v>
      </c>
      <c r="G29" s="6" t="str">
        <v>VM2TO3_DIN2_STAT</v>
      </c>
      <c r="H29" s="6" t="str">
        <v>T</v>
      </c>
      <c r="I29" s="6">
        <v>1</v>
      </c>
      <c r="J29" s="6">
        <f t="shared" si="19"/>
        <v>12</v>
      </c>
      <c r="K29" s="6" t="str">
        <v>IVDSH_DID_WRI_VM2TO3_DIN2_STAT</v>
      </c>
      <c r="R29" s="6" t="str">
        <f>IF(P29="R",MAX(R$17:R28,Q$15-1)+1,"")</f>
        <v/>
      </c>
      <c r="S29" s="6" t="str">
        <f t="shared" si="13"/>
        <v/>
      </c>
      <c r="T29" s="6" t="str">
        <f t="shared" si="14"/>
        <v/>
      </c>
      <c r="Z29" s="6" t="str">
        <f>IF(X29="R",MAX(Z$17:Z28,Y$15-1)+1,"")</f>
        <v/>
      </c>
      <c r="AA29" s="6" t="str">
        <f t="shared" si="15"/>
        <v/>
      </c>
      <c r="AB29" s="6" t="str">
        <f t="shared" si="16"/>
        <v/>
      </c>
      <c r="AD29" s="6">
        <v>55</v>
      </c>
      <c r="AE29" s="6" t="str">
        <v>VM2TO3_DIN2_STAT</v>
      </c>
      <c r="AF29" s="6" t="str">
        <v>T</v>
      </c>
      <c r="AG29" s="6">
        <v>1</v>
      </c>
      <c r="AH29" s="6" t="str">
        <f>IF(AF29="R",MAX(AH$17:AH28,AG$15-1)+1,"")</f>
        <v/>
      </c>
      <c r="AI29" s="6" t="str">
        <f t="shared" si="5"/>
        <v/>
      </c>
      <c r="AJ29" s="6" t="str">
        <f t="shared" si="6"/>
        <v/>
      </c>
      <c r="AK29" s="6" t="str">
        <v>IVDSH_DID_REA_VM2TO3_DIN2_STAT</v>
      </c>
      <c r="AP29" s="6" t="str">
        <f>IF(AN29="R",MAX(AP$17:AP28,AO$15-1)+1,"")</f>
        <v/>
      </c>
      <c r="AQ29" s="6" t="str">
        <f t="shared" si="17"/>
        <v/>
      </c>
      <c r="AR29" s="6" t="str">
        <f t="shared" si="18"/>
        <v/>
      </c>
      <c r="AV29" s="6" t="s">
        <v>279</v>
      </c>
      <c r="AW29" s="6">
        <f>SUM(I$17:I529)</f>
        <v>21</v>
      </c>
      <c r="AX29" s="30" t="s">
        <v>271</v>
      </c>
      <c r="BA29" s="12"/>
      <c r="BE29" s="11" t="str">
        <f t="shared" si="0"/>
        <v>#define IVDSH_DID_WRI_VM2TO3_DIN2_STAT           (12U)</v>
      </c>
      <c r="BF29" s="11" t="str">
        <f t="shared" si="1"/>
        <v/>
      </c>
      <c r="BG29" s="11" t="str">
        <f t="shared" si="2"/>
        <v/>
      </c>
      <c r="BH29" s="11" t="str">
        <f t="shared" si="3"/>
        <v/>
      </c>
      <c r="BI29" s="11" t="str">
        <f t="shared" si="4"/>
        <v/>
      </c>
      <c r="BJ29" s="11"/>
      <c r="BK29" s="11" t="str">
        <f t="shared" si="7"/>
        <v xml:space="preserve">    {(U2)12U,       (U2)1U,         (U2)IVDSH_FQ_CH_WRI  },     /* IVDSH_DID_WRI_VM2TO3_DIN2_STAT  */</v>
      </c>
      <c r="BL29" s="11" t="str">
        <f t="shared" si="8"/>
        <v/>
      </c>
      <c r="BM29" s="11" t="str">
        <f t="shared" si="9"/>
        <v/>
      </c>
      <c r="BN29" s="11" t="str">
        <f t="shared" si="10"/>
        <v/>
      </c>
      <c r="BO29" s="11" t="str">
        <f t="shared" si="11"/>
        <v/>
      </c>
      <c r="BP29" s="11"/>
      <c r="BQ29" s="11"/>
      <c r="BR29" s="28" t="str">
        <f>IF(AW37="","","    },")</f>
        <v xml:space="preserve">    },</v>
      </c>
      <c r="BS29" s="11"/>
    </row>
    <row r="30" spans="5:71">
      <c r="E30" s="6">
        <f t="shared" si="12"/>
        <v>13</v>
      </c>
      <c r="F30" s="6">
        <v>56</v>
      </c>
      <c r="G30" s="6" t="str">
        <v>VM2TO1_DMS1S02</v>
      </c>
      <c r="H30" s="6" t="str">
        <v>T</v>
      </c>
      <c r="I30" s="6">
        <v>1</v>
      </c>
      <c r="J30" s="6">
        <f t="shared" si="19"/>
        <v>13</v>
      </c>
      <c r="K30" s="6" t="str">
        <v>IVDSH_DID_WRI_VM2TO1_DMS1S02</v>
      </c>
      <c r="R30" s="6" t="str">
        <f>IF(P30="R",MAX(R$17:R29,Q$15-1)+1,"")</f>
        <v/>
      </c>
      <c r="S30" s="6" t="str">
        <f t="shared" si="13"/>
        <v/>
      </c>
      <c r="T30" s="6" t="str">
        <f t="shared" si="14"/>
        <v/>
      </c>
      <c r="Z30" s="6" t="str">
        <f>IF(X30="R",MAX(Z$17:Z29,Y$15-1)+1,"")</f>
        <v/>
      </c>
      <c r="AA30" s="6" t="str">
        <f t="shared" si="15"/>
        <v/>
      </c>
      <c r="AB30" s="6" t="str">
        <f t="shared" si="16"/>
        <v/>
      </c>
      <c r="AD30" s="6">
        <v>56</v>
      </c>
      <c r="AE30" s="6" t="str">
        <v>VM2TO1_DMS1S02</v>
      </c>
      <c r="AF30" s="6" t="str">
        <v>T</v>
      </c>
      <c r="AG30" s="6">
        <v>1</v>
      </c>
      <c r="AH30" s="6" t="str">
        <f>IF(AF30="R",MAX(AH$17:AH29,AG$15-1)+1,"")</f>
        <v/>
      </c>
      <c r="AI30" s="6" t="str">
        <f t="shared" si="5"/>
        <v/>
      </c>
      <c r="AJ30" s="6" t="str">
        <f t="shared" si="6"/>
        <v/>
      </c>
      <c r="AK30" s="6" t="str">
        <v>IVDSH_DID_REA_VM2TO1_DMS1S02</v>
      </c>
      <c r="AP30" s="6" t="str">
        <f>IF(AN30="R",MAX(AP$17:AP29,AO$15-1)+1,"")</f>
        <v/>
      </c>
      <c r="AQ30" s="6" t="str">
        <f t="shared" si="17"/>
        <v/>
      </c>
      <c r="AR30" s="6" t="str">
        <f t="shared" si="18"/>
        <v/>
      </c>
      <c r="AV30" s="6" t="str">
        <f>"IVDSH_WA_NWORD_REA_"&amp;COUNTIF(AW$30:AW30,"&gt;0")-1</f>
        <v>IVDSH_WA_NWORD_REA_0</v>
      </c>
      <c r="AW30" s="6">
        <f>IF(R15&lt;&gt;0,SUM(Q$17:Q529),"")</f>
        <v>4</v>
      </c>
      <c r="AX30" s="31">
        <v>0</v>
      </c>
      <c r="BE30" s="11" t="str">
        <f t="shared" si="0"/>
        <v>#define IVDSH_DID_WRI_VM2TO1_DMS1S02             (13U)</v>
      </c>
      <c r="BF30" s="11" t="str">
        <f t="shared" si="1"/>
        <v/>
      </c>
      <c r="BG30" s="11" t="str">
        <f t="shared" si="2"/>
        <v/>
      </c>
      <c r="BH30" s="11" t="str">
        <f t="shared" si="3"/>
        <v/>
      </c>
      <c r="BI30" s="11" t="str">
        <f t="shared" si="4"/>
        <v/>
      </c>
      <c r="BJ30" s="11"/>
      <c r="BK30" s="11" t="str">
        <f t="shared" si="7"/>
        <v xml:space="preserve">    {(U2)13U,       (U2)1U,         (U2)IVDSH_FQ_CH_WRI  },     /* IVDSH_DID_WRI_VM2TO1_DMS1S02    */</v>
      </c>
      <c r="BL30" s="11" t="str">
        <f t="shared" si="8"/>
        <v/>
      </c>
      <c r="BM30" s="11" t="str">
        <f t="shared" si="9"/>
        <v/>
      </c>
      <c r="BN30" s="11" t="str">
        <f t="shared" si="10"/>
        <v/>
      </c>
      <c r="BO30" s="11" t="str">
        <f t="shared" si="11"/>
        <v/>
      </c>
      <c r="BP30" s="11"/>
      <c r="BQ30" s="11"/>
      <c r="BR30" s="11" t="str">
        <f>IF(AW38="","","    /* IVDSH_FQ_CH_REA_2 */")</f>
        <v xml:space="preserve">    /* IVDSH_FQ_CH_REA_2 */</v>
      </c>
      <c r="BS30" s="11"/>
    </row>
    <row r="31" spans="5:71">
      <c r="E31" s="6">
        <f t="shared" si="12"/>
        <v>14</v>
      </c>
      <c r="F31" s="6">
        <v>57</v>
      </c>
      <c r="G31" s="6" t="str">
        <v>VM2TO1_MET1S27</v>
      </c>
      <c r="H31" s="6" t="str">
        <v>T</v>
      </c>
      <c r="I31" s="6">
        <v>1</v>
      </c>
      <c r="J31" s="6">
        <f t="shared" si="19"/>
        <v>14</v>
      </c>
      <c r="K31" s="6" t="str">
        <v>IVDSH_DID_WRI_VM2TO1_MET1S27</v>
      </c>
      <c r="R31" s="6" t="str">
        <f>IF(P31="R",MAX(R$17:R30,Q$15-1)+1,"")</f>
        <v/>
      </c>
      <c r="S31" s="6" t="str">
        <f t="shared" si="13"/>
        <v/>
      </c>
      <c r="T31" s="6" t="str">
        <f t="shared" si="14"/>
        <v/>
      </c>
      <c r="Z31" s="6" t="str">
        <f>IF(X31="R",MAX(Z$17:Z30,Y$15-1)+1,"")</f>
        <v/>
      </c>
      <c r="AA31" s="6" t="str">
        <f t="shared" si="15"/>
        <v/>
      </c>
      <c r="AB31" s="6" t="str">
        <f t="shared" si="16"/>
        <v/>
      </c>
      <c r="AD31" s="6">
        <v>57</v>
      </c>
      <c r="AE31" s="6" t="str">
        <v>VM2TO1_MET1S27</v>
      </c>
      <c r="AF31" s="6" t="str">
        <v>T</v>
      </c>
      <c r="AG31" s="6">
        <v>1</v>
      </c>
      <c r="AH31" s="6" t="str">
        <f>IF(AF31="R",MAX(AH$17:AH30,AG$15-1)+1,"")</f>
        <v/>
      </c>
      <c r="AI31" s="6" t="str">
        <f t="shared" si="5"/>
        <v/>
      </c>
      <c r="AJ31" s="6" t="str">
        <f t="shared" si="6"/>
        <v/>
      </c>
      <c r="AK31" s="6" t="str">
        <v>IVDSH_DID_REA_VM2TO1_MET1S27</v>
      </c>
      <c r="AP31" s="6" t="str">
        <f>IF(AN31="R",MAX(AP$17:AP30,AO$15-1)+1,"")</f>
        <v/>
      </c>
      <c r="AQ31" s="6" t="str">
        <f t="shared" si="17"/>
        <v/>
      </c>
      <c r="AR31" s="6" t="str">
        <f t="shared" si="18"/>
        <v/>
      </c>
      <c r="AV31" s="6" t="str">
        <f>"IVDSH_WA_NWORD_REA_"&amp;COUNTIF(AW$30:AW31,"&gt;0")-1</f>
        <v>IVDSH_WA_NWORD_REA_1</v>
      </c>
      <c r="AW31" s="6">
        <f>IF(Z15&lt;&gt;0,SUM(Y$17:Y529),"")</f>
        <v>12</v>
      </c>
      <c r="AX31" s="31">
        <v>1</v>
      </c>
      <c r="BE31" s="11" t="str">
        <f t="shared" si="0"/>
        <v>#define IVDSH_DID_WRI_VM2TO1_MET1S27             (14U)</v>
      </c>
      <c r="BF31" s="11" t="str">
        <f t="shared" si="1"/>
        <v/>
      </c>
      <c r="BG31" s="11" t="str">
        <f t="shared" si="2"/>
        <v/>
      </c>
      <c r="BH31" s="11" t="str">
        <f t="shared" si="3"/>
        <v/>
      </c>
      <c r="BI31" s="11" t="str">
        <f t="shared" si="4"/>
        <v/>
      </c>
      <c r="BJ31" s="11"/>
      <c r="BK31" s="11" t="str">
        <f t="shared" si="7"/>
        <v xml:space="preserve">    {(U2)14U,       (U2)1U,         (U2)IVDSH_FQ_CH_WRI  },     /* IVDSH_DID_WRI_VM2TO1_MET1S27    */</v>
      </c>
      <c r="BL31" s="11" t="str">
        <f t="shared" si="8"/>
        <v/>
      </c>
      <c r="BM31" s="11" t="str">
        <f t="shared" si="9"/>
        <v/>
      </c>
      <c r="BN31" s="11" t="str">
        <f t="shared" si="10"/>
        <v/>
      </c>
      <c r="BO31" s="11" t="str">
        <f t="shared" si="11"/>
        <v/>
      </c>
      <c r="BP31" s="11"/>
      <c r="BQ31" s="11"/>
      <c r="BR31" s="11" t="str">
        <f>IF(AW38="","","    {")</f>
        <v xml:space="preserve">    {</v>
      </c>
      <c r="BS31" s="11"/>
    </row>
    <row r="32" spans="5:71">
      <c r="E32" s="6">
        <f t="shared" si="12"/>
        <v>15</v>
      </c>
      <c r="F32" s="6">
        <v>58</v>
      </c>
      <c r="G32" s="6" t="str">
        <v>VM2TO1_MET1S28</v>
      </c>
      <c r="H32" s="6" t="str">
        <v>T</v>
      </c>
      <c r="I32" s="6">
        <v>1</v>
      </c>
      <c r="J32" s="6">
        <f t="shared" si="19"/>
        <v>15</v>
      </c>
      <c r="K32" s="6" t="str">
        <v>IVDSH_DID_WRI_VM2TO1_MET1S28</v>
      </c>
      <c r="R32" s="6" t="str">
        <f>IF(P32="R",MAX(R$17:R31,Q$15-1)+1,"")</f>
        <v/>
      </c>
      <c r="S32" s="6" t="str">
        <f t="shared" si="13"/>
        <v/>
      </c>
      <c r="T32" s="6" t="str">
        <f t="shared" si="14"/>
        <v/>
      </c>
      <c r="Z32" s="6" t="str">
        <f>IF(X32="R",MAX(Z$17:Z31,Y$15-1)+1,"")</f>
        <v/>
      </c>
      <c r="AA32" s="6" t="str">
        <f t="shared" si="15"/>
        <v/>
      </c>
      <c r="AB32" s="6" t="str">
        <f t="shared" si="16"/>
        <v/>
      </c>
      <c r="AD32" s="6">
        <v>58</v>
      </c>
      <c r="AE32" s="6" t="str">
        <v>VM2TO1_MET1S28</v>
      </c>
      <c r="AF32" s="6" t="str">
        <v>T</v>
      </c>
      <c r="AG32" s="6">
        <v>1</v>
      </c>
      <c r="AH32" s="6" t="str">
        <f>IF(AF32="R",MAX(AH$17:AH31,AG$15-1)+1,"")</f>
        <v/>
      </c>
      <c r="AI32" s="6" t="str">
        <f t="shared" si="5"/>
        <v/>
      </c>
      <c r="AJ32" s="6" t="str">
        <f t="shared" si="6"/>
        <v/>
      </c>
      <c r="AK32" s="6" t="str">
        <v>IVDSH_DID_REA_VM2TO1_MET1S28</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#define IVDSH_DID_WRI_VM2TO1_MET1S28             (15U)</v>
      </c>
      <c r="BF32" s="11" t="str">
        <f t="shared" si="1"/>
        <v/>
      </c>
      <c r="BG32" s="11" t="str">
        <f t="shared" si="2"/>
        <v/>
      </c>
      <c r="BH32" s="11" t="str">
        <f t="shared" si="3"/>
        <v/>
      </c>
      <c r="BI32" s="11" t="str">
        <f t="shared" si="4"/>
        <v/>
      </c>
      <c r="BJ32" s="11"/>
      <c r="BK32" s="11" t="str">
        <f t="shared" si="7"/>
        <v xml:space="preserve">    {(U2)15U,       (U2)1U,         (U2)IVDSH_FQ_CH_WRI  },     /* IVDSH_DID_WRI_VM2TO1_MET1S28    */</v>
      </c>
      <c r="BL32" s="11" t="str">
        <f t="shared" si="8"/>
        <v/>
      </c>
      <c r="BM32" s="11" t="str">
        <f t="shared" si="9"/>
        <v/>
      </c>
      <c r="BN32" s="11" t="str">
        <f t="shared" si="10"/>
        <v/>
      </c>
      <c r="BO32" s="11" t="str">
        <f t="shared" si="11"/>
        <v/>
      </c>
      <c r="BP32" s="11"/>
      <c r="BQ32" s="11"/>
      <c r="BR32" s="11" t="str">
        <f>IF(AW38="","",IF(AW26&lt;&gt;"",
  "        ((U2)IVDSH_WA_NWORD_WRI          +                        /* u2_begin */",
  "       (U2)IVDSH_WA_NWORD_REA_0,                                  /* u2_begin */")
)</f>
        <v xml:space="preserve">        ((U2)IVDSH_WA_NWORD_WRI          +                        /* u2_begin */</v>
      </c>
      <c r="BS32" s="11"/>
    </row>
    <row r="33" spans="5:71">
      <c r="E33" s="6">
        <f t="shared" si="12"/>
        <v>16</v>
      </c>
      <c r="F33" s="6">
        <v>59</v>
      </c>
      <c r="G33" s="6" t="str">
        <v>VM2TO1_MET1S29</v>
      </c>
      <c r="H33" s="6" t="str">
        <v>T</v>
      </c>
      <c r="I33" s="6">
        <v>1</v>
      </c>
      <c r="J33" s="6">
        <f t="shared" si="19"/>
        <v>16</v>
      </c>
      <c r="K33" s="6" t="str">
        <v>IVDSH_DID_WRI_VM2TO1_MET1S29</v>
      </c>
      <c r="P33" s="10"/>
      <c r="R33" s="6" t="str">
        <f>IF(P33="R",MAX(R$17:R32,Q$15-1)+1,"")</f>
        <v/>
      </c>
      <c r="S33" s="6" t="str">
        <f t="shared" si="13"/>
        <v/>
      </c>
      <c r="T33" s="6" t="str">
        <f t="shared" si="14"/>
        <v/>
      </c>
      <c r="Z33" s="6" t="str">
        <f>IF(X33="R",MAX(Z$17:Z32,Y$15-1)+1,"")</f>
        <v/>
      </c>
      <c r="AA33" s="6" t="str">
        <f t="shared" si="15"/>
        <v/>
      </c>
      <c r="AB33" s="6" t="str">
        <f t="shared" si="16"/>
        <v/>
      </c>
      <c r="AD33" s="6">
        <v>59</v>
      </c>
      <c r="AE33" s="6" t="str">
        <v>VM2TO1_MET1S29</v>
      </c>
      <c r="AF33" s="6" t="str">
        <v>T</v>
      </c>
      <c r="AG33" s="6">
        <v>1</v>
      </c>
      <c r="AH33" s="6" t="str">
        <f>IF(AF33="R",MAX(AH$17:AH32,AG$15-1)+1,"")</f>
        <v/>
      </c>
      <c r="AI33" s="6" t="str">
        <f t="shared" si="5"/>
        <v/>
      </c>
      <c r="AJ33" s="6" t="str">
        <f t="shared" si="6"/>
        <v/>
      </c>
      <c r="AK33" s="6" t="str">
        <v>IVDSH_DID_REA_VM2TO1_MET1S29</v>
      </c>
      <c r="AP33" s="6" t="str">
        <f>IF(AN33="R",MAX(AP$17:AP32,AO$15-1)+1,"")</f>
        <v/>
      </c>
      <c r="AQ33" s="6" t="str">
        <f t="shared" si="17"/>
        <v/>
      </c>
      <c r="AR33" s="6" t="str">
        <f t="shared" si="18"/>
        <v/>
      </c>
      <c r="AV33" s="6" t="str">
        <f>"IVDSH_WA_NWORD_REA_"&amp;COUNTIF(AW$30:AW33,"&gt;0")-1</f>
        <v>IVDSH_WA_NWORD_REA_2</v>
      </c>
      <c r="AW33" s="6">
        <f>IF(AP15&lt;&gt;0,SUM(AO$17:AO529),"")</f>
        <v>7</v>
      </c>
      <c r="AX33" s="31">
        <v>3</v>
      </c>
      <c r="BE33" s="11" t="str">
        <f t="shared" si="0"/>
        <v>#define IVDSH_DID_WRI_VM2TO1_MET1S29             (16U)</v>
      </c>
      <c r="BF33" s="11" t="str">
        <f t="shared" si="1"/>
        <v/>
      </c>
      <c r="BG33" s="11" t="str">
        <f t="shared" si="2"/>
        <v/>
      </c>
      <c r="BH33" s="11" t="str">
        <f t="shared" si="3"/>
        <v/>
      </c>
      <c r="BI33" s="11" t="str">
        <f t="shared" si="4"/>
        <v/>
      </c>
      <c r="BJ33" s="11"/>
      <c r="BK33" s="11" t="str">
        <f t="shared" si="7"/>
        <v xml:space="preserve">    {(U2)16U,       (U2)1U,         (U2)IVDSH_FQ_CH_WRI  },     /* IVDSH_DID_WRI_VM2TO1_MET1S29    */</v>
      </c>
      <c r="BL33" s="11" t="str">
        <f t="shared" si="8"/>
        <v/>
      </c>
      <c r="BM33" s="11" t="str">
        <f t="shared" si="9"/>
        <v/>
      </c>
      <c r="BN33" s="11" t="str">
        <f t="shared" si="10"/>
        <v/>
      </c>
      <c r="BO33" s="11" t="str">
        <f t="shared" si="11"/>
        <v/>
      </c>
      <c r="BP33" s="11"/>
      <c r="BQ33" s="11"/>
      <c r="BR33" s="11" t="str">
        <f>IF(AW38="","",IF(AW26&lt;&gt;"",
  "         ((U2)IVDSH_WA_NWORD_REA_0 &lt;&lt; 1) +",
  "         ((U2)IVDSH_WA_NWORD_REA_1 &lt;&lt; 1))")
)</f>
        <v xml:space="preserve">         ((U2)IVDSH_WA_NWORD_REA_0 &lt;&lt; 1) +</v>
      </c>
      <c r="BS33" s="11"/>
    </row>
    <row r="34" spans="5:71">
      <c r="E34" s="6">
        <f t="shared" si="12"/>
        <v>17</v>
      </c>
      <c r="F34" s="6">
        <v>60</v>
      </c>
      <c r="G34" s="6" t="str">
        <v>VM2TO1_MET1S30</v>
      </c>
      <c r="H34" s="6" t="str">
        <v>T</v>
      </c>
      <c r="I34" s="6">
        <v>1</v>
      </c>
      <c r="J34" s="6">
        <f t="shared" si="19"/>
        <v>17</v>
      </c>
      <c r="K34" s="6" t="str">
        <v>IVDSH_DID_WRI_VM2TO1_MET1S30</v>
      </c>
      <c r="R34" s="6" t="str">
        <f>IF(P34="R",MAX(R$17:R33,Q$15-1)+1,"")</f>
        <v/>
      </c>
      <c r="S34" s="6" t="str">
        <f t="shared" si="13"/>
        <v/>
      </c>
      <c r="T34" s="6" t="str">
        <f t="shared" si="14"/>
        <v/>
      </c>
      <c r="Z34" s="6" t="str">
        <f>IF(X34="R",MAX(Z$17:Z33,Y$15-1)+1,"")</f>
        <v/>
      </c>
      <c r="AA34" s="6" t="str">
        <f t="shared" si="15"/>
        <v/>
      </c>
      <c r="AB34" s="6" t="str">
        <f t="shared" si="16"/>
        <v/>
      </c>
      <c r="AD34" s="6">
        <v>60</v>
      </c>
      <c r="AE34" s="6" t="str">
        <v>VM2TO1_MET1S30</v>
      </c>
      <c r="AF34" s="6" t="str">
        <v>T</v>
      </c>
      <c r="AG34" s="6">
        <v>1</v>
      </c>
      <c r="AH34" s="6" t="str">
        <f>IF(AF34="R",MAX(AH$17:AH33,AG$15-1)+1,"")</f>
        <v/>
      </c>
      <c r="AI34" s="6" t="str">
        <f t="shared" si="5"/>
        <v/>
      </c>
      <c r="AJ34" s="6" t="str">
        <f t="shared" si="6"/>
        <v/>
      </c>
      <c r="AK34" s="6" t="str">
        <v>IVDSH_DID_REA_VM2TO1_MET1S30</v>
      </c>
      <c r="AP34" s="6" t="str">
        <f>IF(AN34="R",MAX(AP$17:AP33,AO$15-1)+1,"")</f>
        <v/>
      </c>
      <c r="AQ34" s="6" t="str">
        <f t="shared" si="17"/>
        <v/>
      </c>
      <c r="AR34" s="6" t="str">
        <f t="shared" si="18"/>
        <v/>
      </c>
      <c r="BE34" s="11" t="str">
        <f t="shared" si="0"/>
        <v>#define IVDSH_DID_WRI_VM2TO1_MET1S30             (17U)</v>
      </c>
      <c r="BF34" s="11" t="str">
        <f t="shared" si="1"/>
        <v/>
      </c>
      <c r="BG34" s="11" t="str">
        <f t="shared" si="2"/>
        <v/>
      </c>
      <c r="BH34" s="11" t="str">
        <f t="shared" si="3"/>
        <v/>
      </c>
      <c r="BI34" s="11" t="str">
        <f t="shared" si="4"/>
        <v/>
      </c>
      <c r="BJ34" s="11"/>
      <c r="BK34" s="11" t="str">
        <f t="shared" si="7"/>
        <v xml:space="preserve">    {(U2)17U,       (U2)1U,         (U2)IVDSH_FQ_CH_WRI  },     /* IVDSH_DID_WRI_VM2TO1_MET1S30    */</v>
      </c>
      <c r="BL34" s="11" t="str">
        <f t="shared" si="8"/>
        <v/>
      </c>
      <c r="BM34" s="11" t="str">
        <f t="shared" si="9"/>
        <v/>
      </c>
      <c r="BN34" s="11" t="str">
        <f t="shared" si="10"/>
        <v/>
      </c>
      <c r="BO34" s="11" t="str">
        <f t="shared" si="11"/>
        <v/>
      </c>
      <c r="BP34" s="11"/>
      <c r="BQ34" s="11"/>
      <c r="BR34" s="11" t="str">
        <f>IF(AW38="","",IF(AW26&lt;&gt;"",
  "         ((U2)IVDSH_WA_NWORD_REA_1 &lt;&lt; 1)),",
  "")
)</f>
        <v xml:space="preserve">         ((U2)IVDSH_WA_NWORD_REA_1 &lt;&lt; 1)),</v>
      </c>
      <c r="BS34" s="11"/>
    </row>
    <row r="35" spans="5:71">
      <c r="E35" s="6">
        <f t="shared" si="12"/>
        <v>18</v>
      </c>
      <c r="F35" s="6">
        <v>61</v>
      </c>
      <c r="G35" s="6" t="str">
        <v>VM2TO1_MET1S43</v>
      </c>
      <c r="H35" s="6" t="str">
        <v>T</v>
      </c>
      <c r="I35" s="6">
        <v>1</v>
      </c>
      <c r="J35" s="6">
        <f t="shared" si="19"/>
        <v>18</v>
      </c>
      <c r="K35" s="6" t="str">
        <v>IVDSH_DID_WRI_VM2TO1_MET1S43</v>
      </c>
      <c r="R35" s="6" t="str">
        <f>IF(P35="R",MAX(R$17:R34,Q$15-1)+1,"")</f>
        <v/>
      </c>
      <c r="S35" s="6" t="str">
        <f t="shared" si="13"/>
        <v/>
      </c>
      <c r="T35" s="6" t="str">
        <f t="shared" si="14"/>
        <v/>
      </c>
      <c r="Z35" s="6" t="str">
        <f>IF(X35="R",MAX(Z$17:Z34,Y$15-1)+1,"")</f>
        <v/>
      </c>
      <c r="AA35" s="6" t="str">
        <f t="shared" si="15"/>
        <v/>
      </c>
      <c r="AB35" s="6" t="str">
        <f t="shared" si="16"/>
        <v/>
      </c>
      <c r="AD35" s="6">
        <v>61</v>
      </c>
      <c r="AE35" s="6" t="str">
        <v>VM2TO1_MET1S43</v>
      </c>
      <c r="AF35" s="6" t="str">
        <v>T</v>
      </c>
      <c r="AG35" s="6">
        <v>1</v>
      </c>
      <c r="AH35" s="6" t="str">
        <f>IF(AF35="R",MAX(AH$17:AH34,AG$15-1)+1,"")</f>
        <v/>
      </c>
      <c r="AI35" s="6" t="str">
        <f t="shared" si="5"/>
        <v/>
      </c>
      <c r="AJ35" s="6" t="str">
        <f t="shared" si="6"/>
        <v/>
      </c>
      <c r="AK35" s="6" t="str">
        <v>IVDSH_DID_REA_VM2TO1_MET1S43</v>
      </c>
      <c r="AP35" s="6" t="str">
        <f>IF(AN35="R",MAX(AP$17:AP34,AO$15-1)+1,"")</f>
        <v/>
      </c>
      <c r="AQ35" s="6" t="str">
        <f t="shared" si="17"/>
        <v/>
      </c>
      <c r="AR35" s="6" t="str">
        <f t="shared" si="18"/>
        <v/>
      </c>
      <c r="AV35" s="30" t="s">
        <v>280</v>
      </c>
      <c r="BE35" s="11" t="str">
        <f t="shared" si="0"/>
        <v>#define IVDSH_DID_WRI_VM2TO1_MET1S43             (18U)</v>
      </c>
      <c r="BF35" s="11" t="str">
        <f t="shared" si="1"/>
        <v/>
      </c>
      <c r="BG35" s="11" t="str">
        <f t="shared" si="2"/>
        <v/>
      </c>
      <c r="BH35" s="11" t="str">
        <f t="shared" si="3"/>
        <v/>
      </c>
      <c r="BI35" s="11" t="str">
        <f t="shared" si="4"/>
        <v/>
      </c>
      <c r="BJ35" s="11"/>
      <c r="BK35" s="11" t="str">
        <f t="shared" si="7"/>
        <v xml:space="preserve">    {(U2)18U,       (U2)1U,         (U2)IVDSH_FQ_CH_WRI  },     /* IVDSH_DID_WRI_VM2TO1_MET1S43    */</v>
      </c>
      <c r="BL35" s="11" t="str">
        <f t="shared" si="8"/>
        <v/>
      </c>
      <c r="BM35" s="11" t="str">
        <f t="shared" si="9"/>
        <v/>
      </c>
      <c r="BN35" s="11" t="str">
        <f t="shared" si="10"/>
        <v/>
      </c>
      <c r="BO35" s="11" t="str">
        <f t="shared" si="11"/>
        <v/>
      </c>
      <c r="BP35" s="11"/>
      <c r="BQ35" s="11"/>
      <c r="BR35" s="11" t="str">
        <f>IF(AW38="","","        (U2)IVDSH_WA_NWORD_REA_2,                                 /* u2_nword */")</f>
        <v xml:space="preserve">        (U2)IVDSH_WA_NWORD_REA_2,                                 /* u2_nword */</v>
      </c>
      <c r="BS35" s="11"/>
    </row>
    <row r="36" spans="5:71">
      <c r="E36" s="6">
        <f t="shared" si="12"/>
        <v>19</v>
      </c>
      <c r="F36" s="6">
        <v>62</v>
      </c>
      <c r="G36" s="6" t="str">
        <v>VM2TO1_MET1S62</v>
      </c>
      <c r="H36" s="6" t="str">
        <v>T</v>
      </c>
      <c r="I36" s="6">
        <v>1</v>
      </c>
      <c r="J36" s="6">
        <f t="shared" si="19"/>
        <v>19</v>
      </c>
      <c r="K36" s="6" t="str">
        <v>IVDSH_DID_WRI_VM2TO1_MET1S62</v>
      </c>
      <c r="R36" s="6" t="str">
        <f>IF(P36="R",MAX(R$17:R35,Q$15-1)+1,"")</f>
        <v/>
      </c>
      <c r="S36" s="6" t="str">
        <f t="shared" si="13"/>
        <v/>
      </c>
      <c r="T36" s="6" t="str">
        <f t="shared" si="14"/>
        <v/>
      </c>
      <c r="Z36" s="6" t="str">
        <f>IF(X36="R",MAX(Z$17:Z35,Y$15-1)+1,"")</f>
        <v/>
      </c>
      <c r="AA36" s="6" t="str">
        <f t="shared" si="15"/>
        <v/>
      </c>
      <c r="AB36" s="6" t="str">
        <f t="shared" si="16"/>
        <v/>
      </c>
      <c r="AD36" s="6">
        <v>62</v>
      </c>
      <c r="AE36" s="6" t="str">
        <v>VM2TO1_MET1S62</v>
      </c>
      <c r="AF36" s="6" t="str">
        <v>T</v>
      </c>
      <c r="AG36" s="6">
        <v>1</v>
      </c>
      <c r="AH36" s="6" t="str">
        <f>IF(AF36="R",MAX(AH$17:AH35,AG$15-1)+1,"")</f>
        <v/>
      </c>
      <c r="AI36" s="6" t="str">
        <f t="shared" si="5"/>
        <v/>
      </c>
      <c r="AJ36" s="6" t="str">
        <f t="shared" si="6"/>
        <v/>
      </c>
      <c r="AK36" s="6" t="str">
        <v>IVDSH_DID_REA_VM2TO1_MET1S62</v>
      </c>
      <c r="AP36" s="6" t="str">
        <f>IF(AN36="R",MAX(AP$17:AP35,AO$15-1)+1,"")</f>
        <v/>
      </c>
      <c r="AQ36" s="6" t="str">
        <f t="shared" si="17"/>
        <v/>
      </c>
      <c r="AR36" s="6" t="str">
        <f t="shared" si="18"/>
        <v/>
      </c>
      <c r="AV36" s="6" t="s">
        <v>281</v>
      </c>
      <c r="AW36" s="6">
        <f>IFERROR(INDEX(AW$22:AW$25,MATCH(AV36,AV$22:AV$25,0)),"")</f>
        <v>0</v>
      </c>
      <c r="AX36" s="6">
        <f>IFERROR(INDEX(AX$22:AX$25,MATCH(AV36,AV$22:AV$25,0)),"")</f>
        <v>0</v>
      </c>
      <c r="BE36" s="11" t="str">
        <f t="shared" si="0"/>
        <v>#define IVDSH_DID_WRI_VM2TO1_MET1S62             (19U)</v>
      </c>
      <c r="BF36" s="11" t="str">
        <f t="shared" si="1"/>
        <v/>
      </c>
      <c r="BG36" s="11" t="str">
        <f t="shared" si="2"/>
        <v/>
      </c>
      <c r="BH36" s="11" t="str">
        <f t="shared" si="3"/>
        <v/>
      </c>
      <c r="BI36" s="11" t="str">
        <f t="shared" si="4"/>
        <v/>
      </c>
      <c r="BJ36" s="11"/>
      <c r="BK36" s="11" t="str">
        <f t="shared" si="7"/>
        <v xml:space="preserve">    {(U2)19U,       (U2)1U,         (U2)IVDSH_FQ_CH_WRI  },     /* IVDSH_DID_WRI_VM2TO1_MET1S62    */</v>
      </c>
      <c r="BL36" s="11" t="str">
        <f t="shared" si="8"/>
        <v/>
      </c>
      <c r="BM36" s="11" t="str">
        <f t="shared" si="9"/>
        <v/>
      </c>
      <c r="BN36" s="11" t="str">
        <f t="shared" si="10"/>
        <v/>
      </c>
      <c r="BO36" s="11" t="str">
        <f t="shared" si="11"/>
        <v/>
      </c>
      <c r="BP36" s="11"/>
      <c r="BQ36" s="11"/>
      <c r="BR36" s="11" t="str" cm="1">
        <f t="array" ref="BR36">IF(AW38="","","        (U2)"&amp;INDEX(B6:B9,AX38+1)&amp;"                       /* u2_fq_ch */")</f>
        <v xml:space="preserve">        (U2)EHVM_RX_VCCID_VCC_SHARED_TX_VM3                       /* u2_fq_ch */</v>
      </c>
      <c r="BS36" s="11"/>
    </row>
    <row r="37" spans="5:71">
      <c r="E37" s="6">
        <f t="shared" si="12"/>
        <v>20</v>
      </c>
      <c r="F37" s="6">
        <v>63</v>
      </c>
      <c r="G37" s="6" t="str">
        <v>VM2TO1_MET1S70</v>
      </c>
      <c r="H37" s="6" t="str">
        <v>T</v>
      </c>
      <c r="I37" s="6">
        <v>1</v>
      </c>
      <c r="J37" s="6">
        <f t="shared" si="19"/>
        <v>20</v>
      </c>
      <c r="K37" s="6" t="str">
        <v>IVDSH_DID_WRI_VM2TO1_MET1S70</v>
      </c>
      <c r="R37" s="6" t="str">
        <f>IF(P37="R",MAX(R$17:R36,Q$15-1)+1,"")</f>
        <v/>
      </c>
      <c r="S37" s="6" t="str">
        <f t="shared" si="13"/>
        <v/>
      </c>
      <c r="T37" s="6" t="str">
        <f t="shared" si="14"/>
        <v/>
      </c>
      <c r="Z37" s="6" t="str">
        <f>IF(X37="R",MAX(Z$17:Z36,Y$15-1)+1,"")</f>
        <v/>
      </c>
      <c r="AA37" s="6" t="str">
        <f t="shared" si="15"/>
        <v/>
      </c>
      <c r="AB37" s="6" t="str">
        <f t="shared" si="16"/>
        <v/>
      </c>
      <c r="AD37" s="6">
        <v>63</v>
      </c>
      <c r="AE37" s="6" t="str">
        <v>VM2TO1_MET1S70</v>
      </c>
      <c r="AF37" s="6" t="str">
        <v>T</v>
      </c>
      <c r="AG37" s="6">
        <v>1</v>
      </c>
      <c r="AH37" s="6" t="str">
        <f>IF(AF37="R",MAX(AH$17:AH36,AG$15-1)+1,"")</f>
        <v/>
      </c>
      <c r="AI37" s="6" t="str">
        <f t="shared" si="5"/>
        <v/>
      </c>
      <c r="AJ37" s="6" t="str">
        <f t="shared" si="6"/>
        <v/>
      </c>
      <c r="AK37" s="6" t="str">
        <v>IVDSH_DID_REA_VM2TO1_MET1S70</v>
      </c>
      <c r="AP37" s="6" t="str">
        <f>IF(AN37="R",MAX(AP$17:AP36,AO$15-1)+1,"")</f>
        <v/>
      </c>
      <c r="AQ37" s="6" t="str">
        <f t="shared" si="17"/>
        <v/>
      </c>
      <c r="AR37" s="6" t="str">
        <f t="shared" si="18"/>
        <v/>
      </c>
      <c r="AV37" s="6" t="s">
        <v>282</v>
      </c>
      <c r="AW37" s="6">
        <f>IFERROR(INDEX(AW$22:AW$25,MATCH(AV37,AV$22:AV$25,0)),"")</f>
        <v>1</v>
      </c>
      <c r="AX37" s="6">
        <f>IFERROR(INDEX(AX$22:AX$25,MATCH(AV37,AV$22:AV$25,0)),"")</f>
        <v>1</v>
      </c>
      <c r="BE37" s="11" t="str">
        <f t="shared" si="0"/>
        <v>#define IVDSH_DID_WRI_VM2TO1_MET1S70             (20U)</v>
      </c>
      <c r="BF37" s="11" t="str">
        <f t="shared" si="1"/>
        <v/>
      </c>
      <c r="BG37" s="11" t="str">
        <f t="shared" si="2"/>
        <v/>
      </c>
      <c r="BH37" s="11" t="str">
        <f t="shared" si="3"/>
        <v/>
      </c>
      <c r="BI37" s="11" t="str">
        <f t="shared" si="4"/>
        <v/>
      </c>
      <c r="BJ37" s="11"/>
      <c r="BK37" s="11" t="str">
        <f t="shared" si="7"/>
        <v xml:space="preserve">    {(U2)20U,       (U2)1U,         (U2)IVDSH_FQ_CH_WRI  },     /* IVDSH_DID_WRI_VM2TO1_MET1S70    */</v>
      </c>
      <c r="BL37" s="11" t="str">
        <f t="shared" si="8"/>
        <v/>
      </c>
      <c r="BM37" s="11" t="str">
        <f t="shared" si="9"/>
        <v/>
      </c>
      <c r="BN37" s="11" t="str">
        <f t="shared" si="10"/>
        <v/>
      </c>
      <c r="BO37" s="11" t="str">
        <f t="shared" si="11"/>
        <v/>
      </c>
      <c r="BP37" s="11"/>
      <c r="BQ37" s="11"/>
      <c r="BR37" s="28" t="str">
        <f>IF(AW38="","","    },")</f>
        <v xml:space="preserve">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H38" s="6" t="str">
        <f>IF(AF38="R",MAX(AH$17:AH37,AG$15-1)+1,"")</f>
        <v/>
      </c>
      <c r="AI38" s="6" t="str">
        <f t="shared" si="5"/>
        <v/>
      </c>
      <c r="AJ38" s="6" t="str">
        <f t="shared" si="6"/>
        <v/>
      </c>
      <c r="AP38" s="6" t="str">
        <f>IF(AN38="R",MAX(AP$17:AP37,AO$15-1)+1,"")</f>
        <v/>
      </c>
      <c r="AQ38" s="6" t="str">
        <f t="shared" si="17"/>
        <v/>
      </c>
      <c r="AR38" s="6" t="str">
        <f t="shared" si="18"/>
        <v/>
      </c>
      <c r="AV38" s="6" t="s">
        <v>283</v>
      </c>
      <c r="AW38" s="6">
        <f>IFERROR(INDEX(AW$22:AW$25,MATCH(AV38,AV$22:AV$25,0)),"")</f>
        <v>2</v>
      </c>
      <c r="AX38" s="6">
        <f>IFERROR(INDEX(AX$22:AX$25,MATCH(AV38,AV$22:AV$25,0)),"")</f>
        <v>3</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H39" s="6" t="str">
        <f>IF(AF39="R",MAX(AH$17:AH38,AG$15-1)+1,"")</f>
        <v/>
      </c>
      <c r="AI39" s="6" t="str">
        <f t="shared" si="5"/>
        <v/>
      </c>
      <c r="AJ39" s="6" t="str">
        <f t="shared" si="6"/>
        <v/>
      </c>
      <c r="AP39" s="6" t="str">
        <f>IF(AN39="R",MAX(AP$17:AP38,AO$15-1)+1,"")</f>
        <v/>
      </c>
      <c r="AQ39" s="6" t="str">
        <f t="shared" si="17"/>
        <v/>
      </c>
      <c r="AR39" s="6" t="str">
        <f t="shared" si="18"/>
        <v/>
      </c>
      <c r="AV39" s="6" t="s">
        <v>284</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285</v>
      </c>
      <c r="D530" s="6" t="s">
        <v>285</v>
      </c>
      <c r="E530" s="6" t="s">
        <v>285</v>
      </c>
      <c r="F530" s="6" t="s">
        <v>285</v>
      </c>
      <c r="H530" s="6" t="s">
        <v>285</v>
      </c>
      <c r="I530" s="6" t="s">
        <v>285</v>
      </c>
      <c r="J530" s="6" t="s">
        <v>285</v>
      </c>
      <c r="K530" s="6" t="s">
        <v>285</v>
      </c>
      <c r="L530" s="7" t="s">
        <v>285</v>
      </c>
      <c r="M530" s="6" t="s">
        <v>285</v>
      </c>
      <c r="N530" s="6" t="s">
        <v>285</v>
      </c>
      <c r="P530" s="6" t="s">
        <v>285</v>
      </c>
      <c r="Q530" s="6" t="s">
        <v>285</v>
      </c>
      <c r="R530" s="6" t="s">
        <v>285</v>
      </c>
      <c r="S530" s="6" t="s">
        <v>285</v>
      </c>
      <c r="T530" s="6" t="s">
        <v>285</v>
      </c>
      <c r="U530" s="6" t="s">
        <v>285</v>
      </c>
      <c r="V530" s="6" t="s">
        <v>285</v>
      </c>
      <c r="X530" s="6" t="s">
        <v>285</v>
      </c>
      <c r="Y530" s="6" t="s">
        <v>285</v>
      </c>
      <c r="Z530" s="6" t="s">
        <v>285</v>
      </c>
      <c r="AA530" s="6" t="s">
        <v>285</v>
      </c>
      <c r="AB530" s="6" t="s">
        <v>285</v>
      </c>
      <c r="AC530" s="6" t="s">
        <v>285</v>
      </c>
      <c r="AD530" s="6" t="s">
        <v>285</v>
      </c>
      <c r="AF530" s="6" t="s">
        <v>285</v>
      </c>
      <c r="AG530" s="6" t="s">
        <v>285</v>
      </c>
      <c r="AH530" s="6" t="s">
        <v>285</v>
      </c>
      <c r="AI530" s="6" t="s">
        <v>285</v>
      </c>
      <c r="AJ530" s="6" t="s">
        <v>285</v>
      </c>
      <c r="AK530" s="6" t="s">
        <v>285</v>
      </c>
      <c r="AL530" s="6" t="s">
        <v>285</v>
      </c>
      <c r="AN530" s="6" t="s">
        <v>285</v>
      </c>
      <c r="AO530" s="6" t="s">
        <v>285</v>
      </c>
      <c r="AP530" s="6" t="s">
        <v>285</v>
      </c>
      <c r="AQ530" s="6" t="s">
        <v>285</v>
      </c>
      <c r="AR530" s="6" t="s">
        <v>285</v>
      </c>
      <c r="AS530" s="6" t="s">
        <v>285</v>
      </c>
      <c r="AT530" s="6" t="s">
        <v>285</v>
      </c>
      <c r="AU530" s="8" t="s">
        <v>285</v>
      </c>
      <c r="AV530" s="6" t="s">
        <v>286</v>
      </c>
      <c r="AW530" s="6" t="s">
        <v>285</v>
      </c>
      <c r="AX530" s="6" t="s">
        <v>285</v>
      </c>
      <c r="BE530" s="6" t="s">
        <v>285</v>
      </c>
      <c r="BF530" s="6" t="s">
        <v>285</v>
      </c>
      <c r="BG530" s="6" t="s">
        <v>285</v>
      </c>
      <c r="BH530" s="6" t="s">
        <v>285</v>
      </c>
      <c r="BI530" s="6" t="s">
        <v>285</v>
      </c>
      <c r="BJ530" s="6" t="s">
        <v>285</v>
      </c>
      <c r="BK530" s="6" t="s">
        <v>285</v>
      </c>
      <c r="BL530" s="6" t="s">
        <v>285</v>
      </c>
      <c r="BM530" s="6" t="s">
        <v>285</v>
      </c>
      <c r="BN530" s="6" t="s">
        <v>285</v>
      </c>
      <c r="BO530" s="6" t="s">
        <v>285</v>
      </c>
      <c r="BP530" s="6" t="s">
        <v>285</v>
      </c>
      <c r="BQ530" s="6" t="s">
        <v>285</v>
      </c>
      <c r="BR530" s="6" t="s">
        <v>285</v>
      </c>
      <c r="BS530" s="6" t="s">
        <v>285</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317F-EDE4-42A9-BE31-17548650844C}">
  <sheetPr codeName="Sheet20">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200</v>
      </c>
      <c r="K1" s="1" t="s">
        <v>201</v>
      </c>
      <c r="L1" s="4"/>
      <c r="N1" s="1" t="s">
        <v>103</v>
      </c>
      <c r="U1" s="1" t="s">
        <v>202</v>
      </c>
      <c r="V1" s="1" t="s">
        <v>104</v>
      </c>
      <c r="AC1" s="2" t="str">
        <f>U1</f>
        <v>IVDSH_DID_REA_</v>
      </c>
      <c r="AD1" s="1" t="s">
        <v>105</v>
      </c>
      <c r="AK1" s="2" t="str">
        <f>AC1</f>
        <v>IVDSH_DID_REA_</v>
      </c>
      <c r="AL1" s="1" t="s">
        <v>106</v>
      </c>
      <c r="AS1" s="2" t="str">
        <f>AK1</f>
        <v>IVDSH_DID_REA_</v>
      </c>
      <c r="AU1" s="5"/>
      <c r="AY1" s="4"/>
    </row>
    <row r="2" spans="1:84" ht="21">
      <c r="A2" s="22" t="s">
        <v>203</v>
      </c>
      <c r="E2" s="22" t="s">
        <v>204</v>
      </c>
      <c r="N2" s="22" t="s">
        <v>205</v>
      </c>
      <c r="O2" s="22"/>
      <c r="AV2" s="22" t="s">
        <v>206</v>
      </c>
      <c r="AY2" s="23"/>
      <c r="AZ2" s="13"/>
      <c r="BA2" s="22" t="s">
        <v>207</v>
      </c>
      <c r="BD2" s="13"/>
    </row>
    <row r="3" spans="1:84">
      <c r="A3" s="6" t="s">
        <v>208</v>
      </c>
      <c r="B3" s="1" t="s">
        <v>106</v>
      </c>
      <c r="N3" s="21" t="s">
        <v>209</v>
      </c>
      <c r="O3" s="21"/>
      <c r="BA3" s="21" t="s">
        <v>210</v>
      </c>
      <c r="BE3" s="21" t="s">
        <v>211</v>
      </c>
    </row>
    <row r="4" spans="1:84">
      <c r="A4" s="6" t="s">
        <v>212</v>
      </c>
      <c r="B4" s="1" t="s">
        <v>293</v>
      </c>
      <c r="AY4" s="23"/>
      <c r="AZ4" s="13"/>
      <c r="BD4" s="13"/>
    </row>
    <row r="5" spans="1:84">
      <c r="A5" s="6" t="s">
        <v>214</v>
      </c>
      <c r="B5" s="1" t="s">
        <v>294</v>
      </c>
      <c r="AY5" s="23"/>
      <c r="AZ5" s="13"/>
      <c r="BD5" s="13"/>
    </row>
    <row r="6" spans="1:84">
      <c r="A6" s="6" t="s">
        <v>216</v>
      </c>
      <c r="B6" s="1" t="s">
        <v>217</v>
      </c>
      <c r="AY6" s="23"/>
      <c r="AZ6" s="13"/>
      <c r="BD6" s="13"/>
    </row>
    <row r="7" spans="1:84">
      <c r="A7" s="6" t="s">
        <v>218</v>
      </c>
      <c r="B7" s="1" t="s">
        <v>219</v>
      </c>
      <c r="AY7" s="23"/>
      <c r="AZ7" s="13"/>
      <c r="BD7" s="13"/>
    </row>
    <row r="8" spans="1:84">
      <c r="A8" s="6" t="s">
        <v>220</v>
      </c>
      <c r="B8" s="1" t="s">
        <v>221</v>
      </c>
    </row>
    <row r="9" spans="1:84">
      <c r="A9" s="6" t="s">
        <v>222</v>
      </c>
      <c r="B9" s="1" t="s">
        <v>223</v>
      </c>
      <c r="BJ9" s="29" t="s">
        <v>224</v>
      </c>
      <c r="BR9" s="29" t="s">
        <v>225</v>
      </c>
      <c r="BS9" s="29" t="s">
        <v>226</v>
      </c>
    </row>
    <row r="10" spans="1:84">
      <c r="BE10" s="6" t="s">
        <v>227</v>
      </c>
      <c r="BJ10" s="6" t="s">
        <v>228</v>
      </c>
      <c r="BR10" s="29" t="s">
        <v>229</v>
      </c>
      <c r="BS10" s="29" t="s">
        <v>229</v>
      </c>
    </row>
    <row r="11" spans="1:84">
      <c r="AY11" s="23"/>
      <c r="AZ11" s="13"/>
      <c r="BD11" s="13"/>
      <c r="BE11" s="6" t="s">
        <v>230</v>
      </c>
      <c r="BF11" s="6" t="s">
        <v>231</v>
      </c>
      <c r="BG11" s="6" t="s">
        <v>232</v>
      </c>
      <c r="BH11" s="6" t="s">
        <v>233</v>
      </c>
      <c r="BI11" s="6" t="s">
        <v>234</v>
      </c>
      <c r="BJ11" s="6" t="s">
        <v>235</v>
      </c>
      <c r="BK11" s="6" t="s">
        <v>236</v>
      </c>
      <c r="BL11" s="6" t="s">
        <v>237</v>
      </c>
      <c r="BM11" s="6" t="s">
        <v>238</v>
      </c>
      <c r="BN11" s="6" t="s">
        <v>239</v>
      </c>
      <c r="BO11" s="6" t="s">
        <v>240</v>
      </c>
      <c r="BP11" s="6" t="s">
        <v>241</v>
      </c>
      <c r="BQ11" s="6" t="s">
        <v>242</v>
      </c>
      <c r="BR11" s="6" t="s">
        <v>243</v>
      </c>
      <c r="BS11" s="6" t="s">
        <v>244</v>
      </c>
    </row>
    <row r="12" spans="1:84">
      <c r="BD12" s="26" t="s">
        <v>245</v>
      </c>
      <c r="BE12" s="11"/>
      <c r="BF12" s="11" t="str">
        <f>IF(AW30&lt;&gt;"","/* Read from VM#0 */","")</f>
        <v/>
      </c>
      <c r="BG12" s="11" t="str">
        <f>IF(AW31&lt;&gt;"","/* Read from VM#1 */","")</f>
        <v>/* Read from VM#1 */</v>
      </c>
      <c r="BH12" s="11" t="str">
        <f>IF(AW32&lt;&gt;"","/* Read from VM#2 */","")</f>
        <v>/* Read from VM#2 */</v>
      </c>
      <c r="BI12" s="11" t="str">
        <f>IF(AW33&lt;&gt;"","/* Read from VM#3 */","")</f>
        <v/>
      </c>
      <c r="BJ12" s="11"/>
      <c r="BK12" s="11" t="str">
        <f>IF(AW17&lt;&gt;"","    /*------------------------------------------------------------------*/")</f>
        <v xml:space="preserve">    /*------------------------------------------------------------------*/</v>
      </c>
      <c r="BL12" s="11" t="str">
        <f>IF(AW30&lt;&gt;"","    /*------------------------------------------------------------------*/","")</f>
        <v/>
      </c>
      <c r="BM12" s="11" t="str">
        <f>IF(AW31&lt;&gt;"","    /*------------------------------------------------------------------*/","")</f>
        <v xml:space="preserve">    /*------------------------------------------------------------------*/</v>
      </c>
      <c r="BN12" s="11" t="str">
        <f>IF(AW32&lt;&gt;"","    /*------------------------------------------------------------------*/","")</f>
        <v xml:space="preserve">    /*------------------------------------------------------------------*/</v>
      </c>
      <c r="BO12" s="11" t="str">
        <f>IF(AW33&lt;&gt;"","    /*------------------------------------------------------------------*/","")</f>
        <v/>
      </c>
      <c r="BP12" s="11"/>
      <c r="BQ12" s="11"/>
      <c r="BR12" s="11"/>
      <c r="BS12" s="11"/>
    </row>
    <row r="13" spans="1:84">
      <c r="BD13" s="26" t="s">
        <v>245</v>
      </c>
      <c r="BE13" s="11"/>
      <c r="BF13" s="11"/>
      <c r="BG13" s="11"/>
      <c r="BH13" s="11"/>
      <c r="BI13" s="11"/>
      <c r="BJ13" s="11"/>
      <c r="BK13" s="11" t="str">
        <f>IF(AW17&lt;&gt;"","    /* Write                                                            */")</f>
        <v xml:space="preserve">    /* Write                                                            */</v>
      </c>
      <c r="BL13" s="11" t="str">
        <f>IF(AW30&lt;&gt;"","    /* Read from VM#0                                                   */","")</f>
        <v/>
      </c>
      <c r="BM13" s="11" t="str">
        <f>IF(AW31&lt;&gt;"","    /* Read from VM#1                                                   */","")</f>
        <v xml:space="preserve">    /* Read from VM#1                                                   */</v>
      </c>
      <c r="BN13" s="11" t="str">
        <f>IF(AW32&lt;&gt;"","    /* Read from VM#2                                                   */","")</f>
        <v xml:space="preserve">    /* Read from VM#2                                                   */</v>
      </c>
      <c r="BO13" s="11" t="str">
        <f>IF(AW33&lt;&gt;"","    /* Read from VM#3                                                   */","")</f>
        <v/>
      </c>
      <c r="BP13" s="11"/>
      <c r="BQ13" s="11"/>
      <c r="BR13" s="11"/>
      <c r="BS13" s="11"/>
    </row>
    <row r="14" spans="1:84">
      <c r="F14" s="6" t="s">
        <v>246</v>
      </c>
      <c r="G14" s="6" t="s">
        <v>247</v>
      </c>
      <c r="J14" s="6" t="s">
        <v>248</v>
      </c>
      <c r="O14" s="6" t="s">
        <v>247</v>
      </c>
      <c r="Q14" s="6" t="s">
        <v>249</v>
      </c>
      <c r="R14" s="6" t="s">
        <v>246</v>
      </c>
      <c r="S14" s="6" t="s">
        <v>250</v>
      </c>
      <c r="T14" s="6" t="s">
        <v>248</v>
      </c>
      <c r="U14" s="6" t="s">
        <v>251</v>
      </c>
      <c r="W14" s="6" t="s">
        <v>247</v>
      </c>
      <c r="Y14" s="6" t="s">
        <v>249</v>
      </c>
      <c r="Z14" s="6" t="s">
        <v>246</v>
      </c>
      <c r="AA14" s="6" t="s">
        <v>250</v>
      </c>
      <c r="AB14" s="6" t="s">
        <v>248</v>
      </c>
      <c r="AC14" s="6" t="s">
        <v>251</v>
      </c>
      <c r="AE14" s="6" t="s">
        <v>247</v>
      </c>
      <c r="AG14" s="6" t="s">
        <v>249</v>
      </c>
      <c r="AH14" s="6" t="s">
        <v>246</v>
      </c>
      <c r="AI14" s="6" t="s">
        <v>250</v>
      </c>
      <c r="AJ14" s="6" t="s">
        <v>248</v>
      </c>
      <c r="AK14" s="6" t="s">
        <v>251</v>
      </c>
      <c r="AM14" s="6" t="s">
        <v>247</v>
      </c>
      <c r="AO14" s="6" t="s">
        <v>249</v>
      </c>
      <c r="AP14" s="6" t="s">
        <v>246</v>
      </c>
      <c r="AQ14" s="6" t="s">
        <v>250</v>
      </c>
      <c r="AR14" s="6" t="s">
        <v>248</v>
      </c>
      <c r="AS14" s="6" t="s">
        <v>251</v>
      </c>
      <c r="BD14" s="26" t="s">
        <v>245</v>
      </c>
      <c r="BE14" s="11"/>
      <c r="BF14" s="11"/>
      <c r="BG14" s="11"/>
      <c r="BH14" s="11"/>
      <c r="BI14" s="11"/>
      <c r="BJ14" s="11"/>
      <c r="BK14" s="11" t="str">
        <f>IF(AW17&lt;&gt;"","    /*------------------------------------------------------------------*/")</f>
        <v xml:space="preserve">    /*------------------------------------------------------------------*/</v>
      </c>
      <c r="BL14" s="11" t="str">
        <f>IF(AW30&lt;&gt;"","    /*------------------------------------------------------------------*/","")</f>
        <v/>
      </c>
      <c r="BM14" s="11" t="str">
        <f>IF(AW31&lt;&gt;"","    /*------------------------------------------------------------------*/","")</f>
        <v xml:space="preserve">    /*------------------------------------------------------------------*/</v>
      </c>
      <c r="BN14" s="11" t="str">
        <f>IF(AW32&lt;&gt;"","    /*------------------------------------------------------------------*/","")</f>
        <v xml:space="preserve">    /*------------------------------------------------------------------*/</v>
      </c>
      <c r="BO14" s="11" t="str">
        <f>IF(AW33&lt;&gt;"","    /*------------------------------------------------------------------*/","")</f>
        <v/>
      </c>
      <c r="BP14" s="11"/>
      <c r="BQ14" s="11"/>
      <c r="BR14" s="11"/>
      <c r="BS14" s="11"/>
    </row>
    <row r="15" spans="1:84">
      <c r="F15" s="6">
        <f>IF(F17="",0,COUNTA(F$17:F529))</f>
        <v>7</v>
      </c>
      <c r="G15" s="6" t="s">
        <v>252</v>
      </c>
      <c r="J15" s="14">
        <v>0</v>
      </c>
      <c r="N15" s="9" t="str">
        <f>N1</f>
        <v>VM#0</v>
      </c>
      <c r="O15" s="6" t="s">
        <v>252</v>
      </c>
      <c r="Q15" s="6">
        <f>F15</f>
        <v>7</v>
      </c>
      <c r="R15" s="6">
        <f>COUNTIF(P17:P529,"R")</f>
        <v>0</v>
      </c>
      <c r="S15" s="6">
        <f>COUNTIF(R$15,"&lt;&gt;0")</f>
        <v>0</v>
      </c>
      <c r="T15" s="14">
        <v>0</v>
      </c>
      <c r="U15" s="6">
        <f>COUNTA(U$17:U529)</f>
        <v>4</v>
      </c>
      <c r="V15" s="9" t="str">
        <f>V1</f>
        <v>VM#1(MET)</v>
      </c>
      <c r="W15" s="6" t="str">
        <f>O15</f>
        <v>CPREQ_</v>
      </c>
      <c r="Y15" s="6">
        <f>Q15+R15</f>
        <v>7</v>
      </c>
      <c r="Z15" s="6">
        <f>COUNTIF(X17:X529,"R")</f>
        <v>4</v>
      </c>
      <c r="AA15" s="6">
        <f>S15+COUNTIF(Z$15,"&lt;&gt;0")</f>
        <v>1</v>
      </c>
      <c r="AB15" s="14">
        <v>0</v>
      </c>
      <c r="AC15" s="6">
        <f>COUNTA(AC$17:AC529)</f>
        <v>12</v>
      </c>
      <c r="AD15" s="9" t="str">
        <f>AD1</f>
        <v>VM#2(IVI)</v>
      </c>
      <c r="AE15" s="6" t="str">
        <f>W15</f>
        <v>CPREQ_</v>
      </c>
      <c r="AG15" s="6">
        <f>Y15+Z15</f>
        <v>11</v>
      </c>
      <c r="AH15" s="6">
        <f>COUNTIF(AF17:AF529,"R")</f>
        <v>6</v>
      </c>
      <c r="AI15" s="6">
        <f>AA15+COUNTIF(AH$15,"&lt;&gt;0")</f>
        <v>2</v>
      </c>
      <c r="AJ15" s="14">
        <v>0</v>
      </c>
      <c r="AK15" s="6">
        <f>COUNTA(AK$17:AK529)</f>
        <v>21</v>
      </c>
      <c r="AL15" s="9" t="str">
        <f>AL1</f>
        <v>VM#3(CEN)</v>
      </c>
      <c r="AM15" s="6" t="str">
        <f>AE15</f>
        <v>CPREQ_</v>
      </c>
      <c r="AO15" s="6">
        <f>AG15+AH15</f>
        <v>17</v>
      </c>
      <c r="AP15" s="6">
        <f>COUNTIF(AN17:AN529,"R")</f>
        <v>0</v>
      </c>
      <c r="AQ15" s="6">
        <f>AI15+COUNTIF(AP$15,"&lt;&gt;0")</f>
        <v>2</v>
      </c>
      <c r="AR15" s="14">
        <v>0</v>
      </c>
      <c r="AS15" s="6">
        <f>COUNTA(AS$17:AS529)</f>
        <v>7</v>
      </c>
      <c r="BD15" s="26" t="s">
        <v>245</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253</v>
      </c>
      <c r="F16" s="2" t="s">
        <v>254</v>
      </c>
      <c r="G16" s="2" t="s">
        <v>255</v>
      </c>
      <c r="H16" s="2" t="s">
        <v>256</v>
      </c>
      <c r="I16" s="2" t="s">
        <v>257</v>
      </c>
      <c r="J16" s="2" t="s">
        <v>258</v>
      </c>
      <c r="K16" s="2" t="s">
        <v>259</v>
      </c>
      <c r="L16" s="4"/>
      <c r="N16" s="2" t="s">
        <v>254</v>
      </c>
      <c r="O16" s="2" t="s">
        <v>102</v>
      </c>
      <c r="P16" s="2" t="s">
        <v>256</v>
      </c>
      <c r="Q16" s="2" t="s">
        <v>257</v>
      </c>
      <c r="R16" s="2" t="s">
        <v>253</v>
      </c>
      <c r="S16" s="2" t="s">
        <v>260</v>
      </c>
      <c r="T16" s="2" t="s">
        <v>258</v>
      </c>
      <c r="U16" s="2" t="s">
        <v>261</v>
      </c>
      <c r="V16" s="2" t="s">
        <v>254</v>
      </c>
      <c r="W16" s="2" t="s">
        <v>102</v>
      </c>
      <c r="X16" s="2" t="s">
        <v>256</v>
      </c>
      <c r="Y16" s="2" t="s">
        <v>257</v>
      </c>
      <c r="Z16" s="2" t="s">
        <v>253</v>
      </c>
      <c r="AA16" s="2" t="s">
        <v>260</v>
      </c>
      <c r="AB16" s="2" t="s">
        <v>258</v>
      </c>
      <c r="AC16" s="2" t="s">
        <v>261</v>
      </c>
      <c r="AD16" s="2" t="s">
        <v>254</v>
      </c>
      <c r="AE16" s="2" t="s">
        <v>102</v>
      </c>
      <c r="AF16" s="2" t="s">
        <v>256</v>
      </c>
      <c r="AG16" s="2" t="s">
        <v>257</v>
      </c>
      <c r="AH16" s="2" t="s">
        <v>253</v>
      </c>
      <c r="AI16" s="2" t="s">
        <v>260</v>
      </c>
      <c r="AJ16" s="2" t="s">
        <v>258</v>
      </c>
      <c r="AK16" s="2" t="s">
        <v>261</v>
      </c>
      <c r="AL16" s="2" t="s">
        <v>254</v>
      </c>
      <c r="AM16" s="2" t="s">
        <v>102</v>
      </c>
      <c r="AN16" s="2" t="s">
        <v>256</v>
      </c>
      <c r="AO16" s="2" t="s">
        <v>257</v>
      </c>
      <c r="AP16" s="2" t="s">
        <v>253</v>
      </c>
      <c r="AQ16" s="2" t="s">
        <v>260</v>
      </c>
      <c r="AR16" s="2" t="s">
        <v>258</v>
      </c>
      <c r="AS16" s="2" t="s">
        <v>261</v>
      </c>
      <c r="AU16" s="5"/>
      <c r="AY16" s="4"/>
      <c r="AZ16" s="6"/>
      <c r="BA16" s="6"/>
      <c r="BB16" s="6"/>
      <c r="BC16" s="6"/>
      <c r="BD16" s="26" t="s">
        <v>245</v>
      </c>
      <c r="BE16" s="24"/>
      <c r="BF16" s="24"/>
      <c r="BG16" s="24"/>
      <c r="BH16" s="24"/>
      <c r="BI16" s="24"/>
      <c r="BJ16" s="24"/>
      <c r="BK16" s="24"/>
      <c r="BL16" s="24"/>
      <c r="BM16" s="24"/>
      <c r="BN16" s="24"/>
      <c r="BO16" s="24"/>
      <c r="BP16" s="25"/>
      <c r="BQ16" s="25"/>
      <c r="BR16" s="25"/>
      <c r="BS16" s="25"/>
    </row>
    <row r="17" spans="5:71">
      <c r="E17" s="6">
        <v>0</v>
      </c>
      <c r="F17" s="6" cm="1">
        <f t="array" ref="F17:F23">IFERROR(_xlfn._xlws.FILTER('Inter-VM Data Table'!$A2:$A901,INDEX('Inter-VM Data Table'!2:901,,MATCH(B3,'Inter-VM Data Table'!1:1,0))="T"),"")</f>
        <v>5</v>
      </c>
      <c r="G17" s="6" t="str" cm="1">
        <f t="array" ref="G17:G23">IFERROR(_xlfn._xlws.FILTER('Inter-VM Data Table'!$D2:$D901,INDEX('Inter-VM Data Table'!2:901,,MATCH(B3,'Inter-VM Data Table'!1:1,0))="T"),"")</f>
        <v>VM3TO2_SIPERR_INF</v>
      </c>
      <c r="H17" s="6" t="str" cm="1">
        <f t="array" ref="H17:H23">IFERROR(_xlfn._xlws.FILTER(INDEX('Inter-VM Data Table'!2:901,,MATCH($B$3,'Inter-VM Data Table'!1:1,0)),INDEX('Inter-VM Data Table'!2:901,,MATCH(B3,'Inter-VM Data Table'!1:1,0))="T"),"")</f>
        <v>T</v>
      </c>
      <c r="I17" s="6" cm="1">
        <f t="array" ref="I17:I23">IFERROR(ROUNDDOWN(     (_xlfn._xlws.FILTER('Inter-VM Data Table'!$I2:$I901,INDEX('Inter-VM Data Table'!2:901,,MATCH(B3,'Inter-VM Data Table'!1:1,0))="T")+3)/4,    0       ),"")</f>
        <v>1</v>
      </c>
      <c r="J17" s="6">
        <v>0</v>
      </c>
      <c r="K17" s="6" t="str" cm="1">
        <f t="array" ref="K17:K23">IF(_xlfn.ANCHORARRAY(G17)=0,K1&amp;G15&amp;TEXT(_xlfn.ANCHORARRAY(F17),"000"),K1&amp;_xlfn.ANCHORARRAY(G17))</f>
        <v>IVDSH_DID_WRI_VM3TO2_SIPERR_INF</v>
      </c>
      <c r="N17" s="6" cm="1">
        <f t="array" ref="N17:N20">IFERROR(_xlfn._xlws.FILTER('Inter-VM Data Table'!$A2:$A901,INDEX('Inter-VM Data Table'!2:901,,MATCH(N1,'Inter-VM Data Table'!1:1,0))="T"),"")</f>
        <v>29</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28">IFERROR(_xlfn._xlws.FILTER('Inter-VM Data Table'!$A2:$A901,INDEX('Inter-VM Data Table'!2:901,,MATCH(V1,'Inter-VM Data Table'!1:1,0))="T"),"")</f>
        <v>2</v>
      </c>
      <c r="W17" s="6" t="str" cm="1">
        <f t="array" ref="W17:W28">IFERROR(_xlfn._xlws.FILTER('Inter-VM Data Table'!$D2:$D901,INDEX('Inter-VM Data Table'!2:901,,MATCH(V1,'Inter-VM Data Table'!1:1,0))="T"),"")</f>
        <v>VM1TO3_STBY</v>
      </c>
      <c r="X17" s="6" t="str" cm="1">
        <f t="array" ref="X17:X28">IFERROR(_xlfn._xlws.FILTER(INDEX('Inter-VM Data Table'!2:901,,MATCH($B$3,'Inter-VM Data Table'!1:1,0)),INDEX('Inter-VM Data Table'!2:901,,MATCH(V1,'Inter-VM Data Table'!1:1,0))="T"),"")</f>
        <v>R</v>
      </c>
      <c r="Y17" s="6" cm="1">
        <f t="array" ref="Y17:Y28">IFERROR(ROUNDDOWN(     (_xlfn._xlws.FILTER('Inter-VM Data Table'!$I2:$I901,INDEX('Inter-VM Data Table'!2:901,,MATCH(V1,'Inter-VM Data Table'!1:1,0))="T")+3)/4,      0),"")</f>
        <v>1</v>
      </c>
      <c r="Z17" s="6">
        <f>IF(X17="R",Y$15+0,"")</f>
        <v>7</v>
      </c>
      <c r="AA17" s="6">
        <f>IF(Z$15=0,"",S15)</f>
        <v>0</v>
      </c>
      <c r="AB17" s="6">
        <f>IF(Z$15=0,"",T$15)</f>
        <v>0</v>
      </c>
      <c r="AC17" s="6" t="str" cm="1">
        <f t="array" ref="AC17:AC28">IF(_xlfn.ANCHORARRAY(W17)=0,AC1&amp;W15&amp;TEXT(_xlfn.ANCHORARRAY(V17),"000"),AC1&amp;_xlfn.ANCHORARRAY(W17))</f>
        <v>IVDSH_DID_REA_VM1TO3_STBY</v>
      </c>
      <c r="AD17" s="6" cm="1">
        <f t="array" ref="AD17:AD37">IFERROR(_xlfn._xlws.FILTER('Inter-VM Data Table'!$A2:$A901,INDEX('Inter-VM Data Table'!2:901,,MATCH(AD1,'Inter-VM Data Table'!1:1,0))="T"),"")</f>
        <v>3</v>
      </c>
      <c r="AE17" s="6" t="str" cm="1">
        <f t="array" ref="AE17:AE37">IFERROR(_xlfn._xlws.FILTER('Inter-VM Data Table'!$D2:$D901,INDEX('Inter-VM Data Table'!2:901,,MATCH(AD1,'Inter-VM Data Table'!1:1,0))="T"),"")</f>
        <v>VM2TO3_STBY</v>
      </c>
      <c r="AF17" s="6" t="str" cm="1">
        <f t="array" ref="AF17:AF37">IFERROR(_xlfn._xlws.FILTER(INDEX('Inter-VM Data Table'!2:901,,MATCH($B$3,'Inter-VM Data Table'!1:1,0)),INDEX('Inter-VM Data Table'!2:901,,MATCH(AD1,'Inter-VM Data Table'!1:1,0))="T"),"")</f>
        <v>R</v>
      </c>
      <c r="AG17" s="6" cm="1">
        <f t="array" ref="AG17:AG37">IFERROR(ROUNDDOWN(     (_xlfn._xlws.FILTER('Inter-VM Data Table'!$I2:$I901,INDEX('Inter-VM Data Table'!2:901,,MATCH(AD1,'Inter-VM Data Table'!1:1,0))="T")+3)/4,      0),"")</f>
        <v>1</v>
      </c>
      <c r="AH17" s="6">
        <f>IF(AF17="R",AG$15+0,"")</f>
        <v>11</v>
      </c>
      <c r="AI17" s="6">
        <f>IF(AH$15=0,"",AA15)</f>
        <v>1</v>
      </c>
      <c r="AJ17" s="6">
        <f>IF(AH$15=0,"",AB$15)</f>
        <v>0</v>
      </c>
      <c r="AK17" s="6" t="str" cm="1">
        <f t="array" ref="AK17:AK37">IF(_xlfn.ANCHORARRAY(AE17)=0,AK1&amp;AE15&amp;TEXT(_xlfn.ANCHORARRAY(AD17),"000"),AK1&amp;_xlfn.ANCHORARRAY(AE17))</f>
        <v>IVDSH_DID_REA_VM2TO3_STBY</v>
      </c>
      <c r="AL17" s="6" cm="1">
        <f t="array" ref="AL17:AL23">IFERROR(_xlfn._xlws.FILTER('Inter-VM Data Table'!$A2:$A901,INDEX('Inter-VM Data Table'!2:901,,MATCH(AL1,'Inter-VM Data Table'!1:1,0))="T"),"")</f>
        <v>5</v>
      </c>
      <c r="AM17" s="6" t="str" cm="1">
        <f t="array" ref="AM17:AM23">IFERROR(_xlfn._xlws.FILTER('Inter-VM Data Table'!$D2:$D901,INDEX('Inter-VM Data Table'!2:901,,MATCH(AL1,'Inter-VM Data Table'!1:1,0))="T"),"")</f>
        <v>VM3TO2_SIPERR_INF</v>
      </c>
      <c r="AN17" s="6" t="str" cm="1">
        <f t="array" ref="AN17:AN23">IFERROR(_xlfn._xlws.FILTER(INDEX('Inter-VM Data Table'!2:901,,MATCH($B$3,'Inter-VM Data Table'!1:1,0)),INDEX('Inter-VM Data Table'!2:901,,MATCH(AL1,'Inter-VM Data Table'!1:1,0))="T"),"")</f>
        <v>T</v>
      </c>
      <c r="AO17" s="6" cm="1">
        <f t="array" ref="AO17:AO23">IFERROR(ROUNDDOWN(     (_xlfn._xlws.FILTER('Inter-VM Data Table'!$I2:$I901,INDEX('Inter-VM Data Table'!2:901,,MATCH(AL1,'Inter-VM Data Table'!1:1,0))="T")+3)/4,      0),"")</f>
        <v>1</v>
      </c>
      <c r="AP17" s="6" t="str">
        <f>IF(AN17="R",AO$15+0,"")</f>
        <v/>
      </c>
      <c r="AQ17" s="6" t="str">
        <f>IF(AP$15=0,"",AI15)</f>
        <v/>
      </c>
      <c r="AR17" s="6" t="str">
        <f>IF(AP$15=0,"",AJ$15)</f>
        <v/>
      </c>
      <c r="AS17" s="6" t="str" cm="1">
        <f t="array" ref="AS17:AS23">IF(_xlfn.ANCHORARRAY(AM17)=0,AS1&amp;AM15&amp;TEXT(_xlfn.ANCHORARRAY(AL17),"000"),AS1&amp;_xlfn.ANCHORARRAY(AM17))</f>
        <v>IVDSH_DID_REA_VM3TO2_SIPERR_INF</v>
      </c>
      <c r="AV17" s="6" t="s">
        <v>262</v>
      </c>
      <c r="AW17" s="6">
        <f>F15</f>
        <v>7</v>
      </c>
      <c r="BA17" s="12" t="s">
        <v>263</v>
      </c>
      <c r="BB17" s="11">
        <f>AW17</f>
        <v>7</v>
      </c>
      <c r="BD17" s="27" t="s">
        <v>264</v>
      </c>
      <c r="BE17" s="11" t="str">
        <f t="shared" ref="BE17:BE80" si="0">IF(F17="","","#define "&amp;K17&amp;REPT(" ",41-LEN(K17))&amp;"("&amp;E17&amp;"U)")</f>
        <v>#define IVDSH_DID_WRI_VM3TO2_SIPERR_INF          (0U)</v>
      </c>
      <c r="BF17" s="11" t="str">
        <f t="shared" ref="BF17:BF80" si="1">IF(R17="","","#define "&amp;U17&amp;REPT(" ",41-LEN(U17))&amp;"("&amp;R17&amp;"U)")</f>
        <v/>
      </c>
      <c r="BG17" s="11" t="str">
        <f t="shared" ref="BG17:BG80" si="2">IF(Z17="","","#define "&amp;AC17&amp;REPT(" ",41-LEN(AC17))&amp;"("&amp;Z17&amp;"U)")</f>
        <v>#define IVDSH_DID_REA_VM1TO3_STBY                (7U)</v>
      </c>
      <c r="BH17" s="11" t="str">
        <f t="shared" ref="BH17:BH80" si="3">IF(AH17="","","#define "&amp;AK17&amp;REPT(" ",41-LEN(AK17))&amp;"("&amp;AH17&amp;"U)")</f>
        <v>#define IVDSH_DID_REA_VM2TO3_STBY                (11U)</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IVDSH_DID_WRI_VM3TO2_SIPERR_INF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xml:space="preserve">    {(U2)0U,        (U2)1U,         (U2)IVDSH_FQ_CH_REA_0},     /* IVDSH_DID_REA_VM1TO3_STBY       */</v>
      </c>
      <c r="BN17" s="11" t="str">
        <f>IF(AH17="","","    {(U2)"&amp;AJ17&amp;"U,"&amp;REPT(" ",9-LEN(AJ17))&amp;"(U2)"&amp;AG17&amp;"U,"&amp;REPT(" ",10-LEN(AG17))&amp;"(U2)IVDSH_FQ_CH_REA_"&amp;AI17&amp;"},     /* "&amp;AK17&amp;REPT(" ",32-LEN(AK17))&amp;"*/")</f>
        <v xml:space="preserve">    {(U2)0U,        (U2)1U,         (U2)IVDSH_FQ_CH_REA_1},     /* IVDSH_DID_REA_VM2TO3_STBY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7</v>
      </c>
      <c r="G18" s="6" t="str">
        <v>VM3TO2_OTA_OFFSTS</v>
      </c>
      <c r="H18" s="6" t="str">
        <v>T</v>
      </c>
      <c r="I18" s="6">
        <v>1</v>
      </c>
      <c r="J18" s="6">
        <f>IF(F18="","",I17+J17)</f>
        <v>1</v>
      </c>
      <c r="K18" s="6" t="str">
        <v>IVDSH_DID_WRI_VM3TO2_OTA_OFFSTS</v>
      </c>
      <c r="N18" s="6">
        <v>32</v>
      </c>
      <c r="O18" s="6" t="str">
        <v>CANBUS_STS_5M</v>
      </c>
      <c r="P18" s="6" t="str">
        <v>-</v>
      </c>
      <c r="Q18" s="6">
        <v>1</v>
      </c>
      <c r="R18" s="6" t="str">
        <f>IF(P18="R",MAX(R$17:R17,Q$15-1)+1,"")</f>
        <v/>
      </c>
      <c r="S18" s="6" t="str">
        <f>IF(OR(R$15=0,N18=""),"",S17)</f>
        <v/>
      </c>
      <c r="T18" s="6" t="str">
        <f>IF(OR(N18="",R$15=0),"",T17+Q17)</f>
        <v/>
      </c>
      <c r="U18" s="6" t="str">
        <v>IVDSH_DID_REA_CANBUS_STS_5M</v>
      </c>
      <c r="V18" s="6">
        <v>4</v>
      </c>
      <c r="W18" s="6" t="str">
        <v>VM1TO2_TIMOFST</v>
      </c>
      <c r="X18" s="6" t="str">
        <v>-</v>
      </c>
      <c r="Y18" s="6">
        <v>1</v>
      </c>
      <c r="Z18" s="6" t="str">
        <f>IF(X18="R",MAX(Z$17:Z17,Y$15-1)+1,"")</f>
        <v/>
      </c>
      <c r="AA18" s="6">
        <f>IF(OR(Z$15=0,V18=""),"",AA17)</f>
        <v>0</v>
      </c>
      <c r="AB18" s="6">
        <f>IF(OR(V18="",Z$15=0),"",AB17+Y17)</f>
        <v>1</v>
      </c>
      <c r="AC18" s="6" t="str">
        <v>IVDSH_DID_REA_VM1TO2_TIMOFST</v>
      </c>
      <c r="AD18" s="6">
        <v>9</v>
      </c>
      <c r="AE18" s="6" t="str">
        <v>VM2TO1_TIMOFST</v>
      </c>
      <c r="AF18" s="6" t="str">
        <v>-</v>
      </c>
      <c r="AG18" s="6">
        <v>1</v>
      </c>
      <c r="AH18" s="6" t="str">
        <f>IF(AF18="R",MAX(AH$17:AH17,AG$15-1)+1,"")</f>
        <v/>
      </c>
      <c r="AI18" s="6">
        <f t="shared" ref="AI18:AI81" si="5">IF(OR(AH$15=0,AD18=""),"",AI17)</f>
        <v>1</v>
      </c>
      <c r="AJ18" s="6">
        <f t="shared" ref="AJ18:AJ81" si="6">IF(OR(AD18="",AH$15=0),"",AJ17+AG17)</f>
        <v>1</v>
      </c>
      <c r="AK18" s="6" t="str">
        <v>IVDSH_DID_REA_VM2TO1_TIMOFST</v>
      </c>
      <c r="AL18" s="6">
        <v>7</v>
      </c>
      <c r="AM18" s="6" t="str">
        <v>VM3TO2_OTA_OFFSTS</v>
      </c>
      <c r="AN18" s="6" t="str">
        <v>T</v>
      </c>
      <c r="AO18" s="6">
        <v>1</v>
      </c>
      <c r="AP18" s="6" t="str">
        <f>IF(AN18="R",MAX(AP$17:AP17,AO$15-1)+1,"")</f>
        <v/>
      </c>
      <c r="AQ18" s="6" t="str">
        <f>IF(OR(AP$15=0,AL18=""),"",AQ17)</f>
        <v/>
      </c>
      <c r="AR18" s="6" t="str">
        <f>IF(OR(AL18="",AP$15=0),"",AR17+AO17)</f>
        <v/>
      </c>
      <c r="AS18" s="6" t="str">
        <v>IVDSH_DID_REA_VM3TO2_OTA_OFFSTS</v>
      </c>
      <c r="AV18" s="6" t="s">
        <v>265</v>
      </c>
      <c r="AW18" s="6">
        <f>R15+Z15+AH15+AP15</f>
        <v>10</v>
      </c>
      <c r="BA18" s="12" t="s">
        <v>266</v>
      </c>
      <c r="BB18" s="11">
        <f>AW18</f>
        <v>10</v>
      </c>
      <c r="BE18" s="11" t="str">
        <f t="shared" si="0"/>
        <v>#define IVDSH_DID_WRI_VM3TO2_OTA_OFFSTS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IVDSH_DID_WRI_VM3TO2_OTA_OFFSTS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#define IVDSH_FQ_CH_REA_0                        (0U)</v>
      </c>
      <c r="BQ18" s="11" t="str">
        <v>#define IVDSH_WA_NWORD_REA_0                     (12U)</v>
      </c>
      <c r="BR18" s="11" t="str">
        <f>IF(AW36="","","    {")</f>
        <v xml:space="preserve">    {</v>
      </c>
      <c r="BS18" s="11" t="str">
        <f>IF(AW26&lt;&gt;"","    {","")</f>
        <v xml:space="preserve">    {</v>
      </c>
    </row>
    <row r="19" spans="5:71">
      <c r="E19" s="6">
        <f t="shared" ref="E19:E82" si="12">E18+1</f>
        <v>2</v>
      </c>
      <c r="F19" s="6">
        <v>43</v>
      </c>
      <c r="G19" s="6" t="str">
        <v>VM3TO2_BOOTLOG_INF</v>
      </c>
      <c r="H19" s="6" t="str">
        <v>T</v>
      </c>
      <c r="I19" s="6">
        <v>1</v>
      </c>
      <c r="J19" s="6">
        <f>IF(F19="","",I18+J18)</f>
        <v>2</v>
      </c>
      <c r="K19" s="6" t="str">
        <v>IVDSH_DID_WRI_VM3TO2_BOOTLOG_INF</v>
      </c>
      <c r="N19" s="6">
        <v>35</v>
      </c>
      <c r="O19" s="6" t="str">
        <v>CANBUS_STS_2M2</v>
      </c>
      <c r="P19" s="6" t="str">
        <v>-</v>
      </c>
      <c r="Q19" s="6">
        <v>1</v>
      </c>
      <c r="R19" s="6" t="str">
        <f>IF(P19="R",MAX(R$17:R18,Q$15-1)+1,"")</f>
        <v/>
      </c>
      <c r="S19" s="6" t="str">
        <f t="shared" ref="S19:S82" si="13">IF(OR(R$15=0,N19=""),"",S18)</f>
        <v/>
      </c>
      <c r="T19" s="6" t="str">
        <f t="shared" ref="T19:T82" si="14">IF(OR(N19="",R$15=0),"",T18+Q18)</f>
        <v/>
      </c>
      <c r="U19" s="6" t="str">
        <v>IVDSH_DID_REA_CANBUS_STS_2M2</v>
      </c>
      <c r="V19" s="6">
        <v>10</v>
      </c>
      <c r="W19" s="6" t="str">
        <v>VM1TO2_TIMFMT</v>
      </c>
      <c r="X19" s="6" t="str">
        <v>-</v>
      </c>
      <c r="Y19" s="6">
        <v>1</v>
      </c>
      <c r="Z19" s="6" t="str">
        <f>IF(X19="R",MAX(Z$17:Z18,Y$15-1)+1,"")</f>
        <v/>
      </c>
      <c r="AA19" s="6">
        <f t="shared" ref="AA19:AA82" si="15">IF(OR(Z$15=0,V19=""),"",AA18)</f>
        <v>0</v>
      </c>
      <c r="AB19" s="6">
        <f t="shared" ref="AB19:AB82" si="16">IF(OR(V19="",Z$15=0),"",AB18+Y18)</f>
        <v>2</v>
      </c>
      <c r="AC19" s="6" t="str">
        <v>IVDSH_DID_REA_VM1TO2_TIMFMT</v>
      </c>
      <c r="AD19" s="6">
        <v>11</v>
      </c>
      <c r="AE19" s="6" t="str">
        <v>VM2TO1_TIMFMT</v>
      </c>
      <c r="AF19" s="6" t="str">
        <v>-</v>
      </c>
      <c r="AG19" s="6">
        <v>1</v>
      </c>
      <c r="AH19" s="6" t="str">
        <f>IF(AF19="R",MAX(AH$17:AH18,AG$15-1)+1,"")</f>
        <v/>
      </c>
      <c r="AI19" s="6">
        <f t="shared" si="5"/>
        <v>1</v>
      </c>
      <c r="AJ19" s="6">
        <f t="shared" si="6"/>
        <v>2</v>
      </c>
      <c r="AK19" s="6" t="str">
        <v>IVDSH_DID_REA_VM2TO1_TIMFMT</v>
      </c>
      <c r="AL19" s="6">
        <v>43</v>
      </c>
      <c r="AM19" s="6" t="str">
        <v>VM3TO2_BOOTLOG_INF</v>
      </c>
      <c r="AN19" s="6" t="str">
        <v>T</v>
      </c>
      <c r="AO19" s="6">
        <v>1</v>
      </c>
      <c r="AP19" s="6" t="str">
        <f>IF(AN19="R",MAX(AP$17:AP18,AO$15-1)+1,"")</f>
        <v/>
      </c>
      <c r="AQ19" s="6" t="str">
        <f t="shared" ref="AQ19:AQ82" si="17">IF(OR(AP$15=0,AL19=""),"",AQ18)</f>
        <v/>
      </c>
      <c r="AR19" s="6" t="str">
        <f t="shared" ref="AR19:AR82" si="18">IF(OR(AL19="",AP$15=0),"",AR18+AO18)</f>
        <v/>
      </c>
      <c r="AS19" s="6" t="str">
        <v>IVDSH_DID_REA_VM3TO2_BOOTLOG_INF</v>
      </c>
      <c r="BA19" s="12" t="s">
        <v>267</v>
      </c>
      <c r="BB19" s="11">
        <f>AW20</f>
        <v>3</v>
      </c>
      <c r="BE19" s="11" t="str">
        <f t="shared" si="0"/>
        <v>#define IVDSH_DID_WRI_VM3TO2_BOOTLOG_INF         (2U)</v>
      </c>
      <c r="BF19" s="11" t="str">
        <f t="shared" si="1"/>
        <v/>
      </c>
      <c r="BG19" s="11" t="str">
        <f t="shared" si="2"/>
        <v/>
      </c>
      <c r="BH19" s="11" t="str">
        <f t="shared" si="3"/>
        <v/>
      </c>
      <c r="BI19" s="11" t="str">
        <f t="shared" si="4"/>
        <v/>
      </c>
      <c r="BJ19" s="11"/>
      <c r="BK19" s="11" t="str">
        <f t="shared" si="7"/>
        <v xml:space="preserve">    {(U2)2U,        (U2)1U,         (U2)IVDSH_FQ_CH_WRI  },     /* IVDSH_DID_WRI_VM3TO2_BOOTLOG_INF*/</v>
      </c>
      <c r="BL19" s="11" t="str">
        <f t="shared" si="8"/>
        <v/>
      </c>
      <c r="BM19" s="11" t="str">
        <f t="shared" si="9"/>
        <v/>
      </c>
      <c r="BN19" s="11" t="str">
        <f t="shared" si="10"/>
        <v/>
      </c>
      <c r="BO19" s="11" t="str">
        <f t="shared" si="11"/>
        <v/>
      </c>
      <c r="BP19" s="11" t="str">
        <v>#define IVDSH_FQ_CH_REA_1                        (1U)</v>
      </c>
      <c r="BQ19" s="11" t="str">
        <v>#define IVDSH_WA_NWORD_REA_1                     (21U)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45</v>
      </c>
      <c r="G20" s="6" t="str">
        <v>VM3TO12_RESTART</v>
      </c>
      <c r="H20" s="6" t="str">
        <v>T</v>
      </c>
      <c r="I20" s="6">
        <v>1</v>
      </c>
      <c r="J20" s="6">
        <f t="shared" ref="J20:J83" si="19">IF(F20="","",I19+J19)</f>
        <v>3</v>
      </c>
      <c r="K20" s="6" t="str">
        <v>IVDSH_DID_WRI_VM3TO12_RESTART</v>
      </c>
      <c r="N20" s="6">
        <v>38</v>
      </c>
      <c r="O20" s="6" t="str">
        <v>CANBUS_STS_LCAN</v>
      </c>
      <c r="P20" s="6" t="str">
        <v>-</v>
      </c>
      <c r="Q20" s="6">
        <v>1</v>
      </c>
      <c r="R20" s="6" t="str">
        <f>IF(P20="R",MAX(R$17:R19,Q$15-1)+1,"")</f>
        <v/>
      </c>
      <c r="S20" s="6" t="str">
        <f t="shared" si="13"/>
        <v/>
      </c>
      <c r="T20" s="6" t="str">
        <f t="shared" si="14"/>
        <v/>
      </c>
      <c r="U20" s="6" t="str">
        <v>IVDSH_DID_REA_CANBUS_STS_LCAN</v>
      </c>
      <c r="V20" s="6">
        <v>18</v>
      </c>
      <c r="W20" s="6" t="str">
        <v>VM1TO2_CAL</v>
      </c>
      <c r="X20" s="6" t="str">
        <v>-</v>
      </c>
      <c r="Y20" s="6">
        <v>1</v>
      </c>
      <c r="Z20" s="6" t="str">
        <f>IF(X20="R",MAX(Z$17:Z19,Y$15-1)+1,"")</f>
        <v/>
      </c>
      <c r="AA20" s="6">
        <f t="shared" si="15"/>
        <v>0</v>
      </c>
      <c r="AB20" s="6">
        <f t="shared" si="16"/>
        <v>3</v>
      </c>
      <c r="AC20" s="6" t="str">
        <v>IVDSH_DID_REA_VM1TO2_CAL</v>
      </c>
      <c r="AD20" s="6">
        <v>13</v>
      </c>
      <c r="AE20" s="6" t="str">
        <v>VM2TO1_DSPTIM</v>
      </c>
      <c r="AF20" s="6" t="str">
        <v>-</v>
      </c>
      <c r="AG20" s="6">
        <v>1</v>
      </c>
      <c r="AH20" s="6" t="str">
        <f>IF(AF20="R",MAX(AH$17:AH19,AG$15-1)+1,"")</f>
        <v/>
      </c>
      <c r="AI20" s="6">
        <f t="shared" si="5"/>
        <v>1</v>
      </c>
      <c r="AJ20" s="6">
        <f t="shared" si="6"/>
        <v>3</v>
      </c>
      <c r="AK20" s="6" t="str">
        <v>IVDSH_DID_REA_VM2TO1_DSPTIM</v>
      </c>
      <c r="AL20" s="6">
        <v>45</v>
      </c>
      <c r="AM20" s="6" t="str">
        <v>VM3TO12_RESTART</v>
      </c>
      <c r="AN20" s="6" t="str">
        <v>T</v>
      </c>
      <c r="AO20" s="6">
        <v>1</v>
      </c>
      <c r="AP20" s="6" t="str">
        <f>IF(AN20="R",MAX(AP$17:AP19,AO$15-1)+1,"")</f>
        <v/>
      </c>
      <c r="AQ20" s="6" t="str">
        <f t="shared" si="17"/>
        <v/>
      </c>
      <c r="AR20" s="6" t="str">
        <f t="shared" si="18"/>
        <v/>
      </c>
      <c r="AS20" s="6" t="str">
        <v>IVDSH_DID_REA_VM3TO12_RESTART</v>
      </c>
      <c r="AV20" s="6" t="s">
        <v>268</v>
      </c>
      <c r="AW20" s="6">
        <f>MAX(AW22:AW26)+1</f>
        <v>3</v>
      </c>
      <c r="BA20" s="12" t="s">
        <v>269</v>
      </c>
      <c r="BB20" s="11">
        <f>AW21</f>
        <v>2</v>
      </c>
      <c r="BE20" s="11" t="str">
        <f t="shared" si="0"/>
        <v>#define IVDSH_DID_WRI_VM3TO12_RESTART            (3U)</v>
      </c>
      <c r="BF20" s="11" t="str">
        <f t="shared" si="1"/>
        <v/>
      </c>
      <c r="BG20" s="11" t="str">
        <f t="shared" si="2"/>
        <v/>
      </c>
      <c r="BH20" s="11" t="str">
        <f t="shared" si="3"/>
        <v/>
      </c>
      <c r="BI20" s="11" t="str">
        <f t="shared" si="4"/>
        <v/>
      </c>
      <c r="BJ20" s="11"/>
      <c r="BK20" s="11" t="str">
        <f t="shared" si="7"/>
        <v xml:space="preserve">    {(U2)3U,        (U2)1U,         (U2)IVDSH_FQ_CH_WRI  },     /* IVDSH_DID_WRI_VM3TO12_RESTART   */</v>
      </c>
      <c r="BL20" s="11" t="str">
        <f t="shared" si="8"/>
        <v/>
      </c>
      <c r="BM20" s="11" t="str">
        <f t="shared" si="9"/>
        <v/>
      </c>
      <c r="BN20" s="11" t="str">
        <f t="shared" si="10"/>
        <v/>
      </c>
      <c r="BO20" s="11" t="str">
        <f t="shared" si="11"/>
        <v/>
      </c>
      <c r="BP20" s="11" t="str">
        <v/>
      </c>
      <c r="BQ20" s="11" t="str">
        <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48</v>
      </c>
      <c r="G21" s="6" t="str">
        <v>VM3TO2_BOOT_CNT</v>
      </c>
      <c r="H21" s="6" t="str">
        <v>T</v>
      </c>
      <c r="I21" s="6">
        <v>1</v>
      </c>
      <c r="J21" s="6">
        <f t="shared" si="19"/>
        <v>4</v>
      </c>
      <c r="K21" s="6" t="str">
        <v>IVDSH_DID_WRI_VM3TO2_BOOT_CNT</v>
      </c>
      <c r="R21" s="6" t="str">
        <f>IF(P21="R",MAX(R$17:R20,Q$15-1)+1,"")</f>
        <v/>
      </c>
      <c r="S21" s="6" t="str">
        <f t="shared" si="13"/>
        <v/>
      </c>
      <c r="T21" s="6" t="str">
        <f t="shared" si="14"/>
        <v/>
      </c>
      <c r="V21" s="6">
        <v>21</v>
      </c>
      <c r="W21" s="6" t="str">
        <v>VM1TO2_CALDEF</v>
      </c>
      <c r="X21" s="6" t="str">
        <v>-</v>
      </c>
      <c r="Y21" s="6">
        <v>1</v>
      </c>
      <c r="Z21" s="6" t="str">
        <f>IF(X21="R",MAX(Z$17:Z20,Y$15-1)+1,"")</f>
        <v/>
      </c>
      <c r="AA21" s="6">
        <f t="shared" si="15"/>
        <v>0</v>
      </c>
      <c r="AB21" s="6">
        <f t="shared" si="16"/>
        <v>4</v>
      </c>
      <c r="AC21" s="6" t="str">
        <v>IVDSH_DID_REA_VM1TO2_CALDEF</v>
      </c>
      <c r="AD21" s="6">
        <v>15</v>
      </c>
      <c r="AE21" s="6" t="str">
        <v>VM2TO1_DSPCAL</v>
      </c>
      <c r="AF21" s="6" t="str">
        <v>-</v>
      </c>
      <c r="AG21" s="6">
        <v>1</v>
      </c>
      <c r="AH21" s="6" t="str">
        <f>IF(AF21="R",MAX(AH$17:AH20,AG$15-1)+1,"")</f>
        <v/>
      </c>
      <c r="AI21" s="6">
        <f t="shared" si="5"/>
        <v>1</v>
      </c>
      <c r="AJ21" s="6">
        <f t="shared" si="6"/>
        <v>4</v>
      </c>
      <c r="AK21" s="6" t="str">
        <v>IVDSH_DID_REA_VM2TO1_DSPCAL</v>
      </c>
      <c r="AL21" s="6">
        <v>48</v>
      </c>
      <c r="AM21" s="6" t="str">
        <v>VM3TO2_BOOT_CNT</v>
      </c>
      <c r="AN21" s="6" t="str">
        <v>T</v>
      </c>
      <c r="AO21" s="6">
        <v>1</v>
      </c>
      <c r="AP21" s="6" t="str">
        <f>IF(AN21="R",MAX(AP$17:AP20,AO$15-1)+1,"")</f>
        <v/>
      </c>
      <c r="AQ21" s="6" t="str">
        <f t="shared" si="17"/>
        <v/>
      </c>
      <c r="AR21" s="6" t="str">
        <f t="shared" si="18"/>
        <v/>
      </c>
      <c r="AS21" s="6" t="str">
        <v>IVDSH_DID_REA_VM3TO2_BOOT_CNT</v>
      </c>
      <c r="AV21" s="6" t="s">
        <v>270</v>
      </c>
      <c r="AW21" s="6">
        <f>COUNTIF(AW22:AW25,"&gt;=0")</f>
        <v>2</v>
      </c>
      <c r="AX21" s="30" t="s">
        <v>271</v>
      </c>
      <c r="BA21" s="12" t="s">
        <v>272</v>
      </c>
      <c r="BB21" s="11">
        <f>AW29</f>
        <v>7</v>
      </c>
      <c r="BE21" s="11" t="str">
        <f t="shared" si="0"/>
        <v>#define IVDSH_DID_WRI_VM3TO2_BOOT_CNT            (4U)</v>
      </c>
      <c r="BF21" s="11" t="str">
        <f t="shared" si="1"/>
        <v/>
      </c>
      <c r="BG21" s="11" t="str">
        <f t="shared" si="2"/>
        <v/>
      </c>
      <c r="BH21" s="11" t="str">
        <f t="shared" si="3"/>
        <v/>
      </c>
      <c r="BI21" s="11" t="str">
        <f t="shared" si="4"/>
        <v/>
      </c>
      <c r="BJ21" s="11"/>
      <c r="BK21" s="11" t="str">
        <f t="shared" si="7"/>
        <v xml:space="preserve">    {(U2)4U,        (U2)1U,         (U2)IVDSH_FQ_CH_WRI  },     /* IVDSH_DID_WRI_VM3TO2_BOOT_CNT   */</v>
      </c>
      <c r="BL21" s="11" t="str">
        <f t="shared" si="8"/>
        <v/>
      </c>
      <c r="BM21" s="11" t="str">
        <f t="shared" si="9"/>
        <v/>
      </c>
      <c r="BN21" s="11" t="str">
        <f t="shared" si="10"/>
        <v/>
      </c>
      <c r="BO21" s="11" t="str">
        <f t="shared" si="11"/>
        <v/>
      </c>
      <c r="BP21" s="11"/>
      <c r="BQ21" s="11"/>
      <c r="BR21" s="11" t="str" cm="1">
        <f t="array" ref="BR21">IF(AW36="","","        (U2)"&amp;INDEX(B6:B9,AX36+1)&amp;"                       /* u2_fq_ch */")</f>
        <v xml:space="preserve">        (U2)EHVM_RX_VCCID_VCC_SHARED_TX_VM1                       /* u2_fq_ch */</v>
      </c>
      <c r="BS21" s="11" t="str">
        <f>IF(AW26&lt;&gt;"","        (U2)"&amp;B5&amp;"                       /* u2_fq_ch */","")</f>
        <v xml:space="preserve">        (U2)EHVM_TX_VCCID_VCC_SHARED_TX_VM3                       /* u2_fq_ch */</v>
      </c>
    </row>
    <row r="22" spans="5:71">
      <c r="E22" s="6">
        <f t="shared" si="12"/>
        <v>5</v>
      </c>
      <c r="F22" s="6">
        <v>49</v>
      </c>
      <c r="G22" s="6" t="str">
        <v>VM3TO2_BOOT_TIME</v>
      </c>
      <c r="H22" s="6" t="str">
        <v>T</v>
      </c>
      <c r="I22" s="6">
        <v>1</v>
      </c>
      <c r="J22" s="6">
        <f t="shared" si="19"/>
        <v>5</v>
      </c>
      <c r="K22" s="6" t="str">
        <v>IVDSH_DID_WRI_VM3TO2_BOOT_TIME</v>
      </c>
      <c r="R22" s="6" t="str">
        <f>IF(P22="R",MAX(R$17:R21,Q$15-1)+1,"")</f>
        <v/>
      </c>
      <c r="S22" s="6" t="str">
        <f t="shared" si="13"/>
        <v/>
      </c>
      <c r="T22" s="6" t="str">
        <f t="shared" si="14"/>
        <v/>
      </c>
      <c r="V22" s="6">
        <v>22</v>
      </c>
      <c r="W22" s="6" t="str">
        <v>VM1TO2_CALMIN</v>
      </c>
      <c r="X22" s="6" t="str">
        <v>-</v>
      </c>
      <c r="Y22" s="6">
        <v>1</v>
      </c>
      <c r="Z22" s="6" t="str">
        <f>IF(X22="R",MAX(Z$17:Z21,Y$15-1)+1,"")</f>
        <v/>
      </c>
      <c r="AA22" s="6">
        <f t="shared" si="15"/>
        <v>0</v>
      </c>
      <c r="AB22" s="6">
        <f t="shared" si="16"/>
        <v>5</v>
      </c>
      <c r="AC22" s="6" t="str">
        <v>IVDSH_DID_REA_VM1TO2_CALMIN</v>
      </c>
      <c r="AD22" s="6">
        <v>19</v>
      </c>
      <c r="AE22" s="6" t="str">
        <v>VM2TO1_CAL</v>
      </c>
      <c r="AF22" s="6" t="str">
        <v>-</v>
      </c>
      <c r="AG22" s="6">
        <v>1</v>
      </c>
      <c r="AH22" s="6" t="str">
        <f>IF(AF22="R",MAX(AH$17:AH21,AG$15-1)+1,"")</f>
        <v/>
      </c>
      <c r="AI22" s="6">
        <f t="shared" si="5"/>
        <v>1</v>
      </c>
      <c r="AJ22" s="6">
        <f t="shared" si="6"/>
        <v>5</v>
      </c>
      <c r="AK22" s="6" t="str">
        <v>IVDSH_DID_REA_VM2TO1_CAL</v>
      </c>
      <c r="AL22" s="6">
        <v>49</v>
      </c>
      <c r="AM22" s="6" t="str">
        <v>VM3TO2_BOOT_TIME</v>
      </c>
      <c r="AN22" s="6" t="str">
        <v>T</v>
      </c>
      <c r="AO22" s="6">
        <v>1</v>
      </c>
      <c r="AP22" s="6" t="str">
        <f>IF(AN22="R",MAX(AP$17:AP21,AO$15-1)+1,"")</f>
        <v/>
      </c>
      <c r="AQ22" s="6" t="str">
        <f t="shared" si="17"/>
        <v/>
      </c>
      <c r="AR22" s="6" t="str">
        <f t="shared" si="18"/>
        <v/>
      </c>
      <c r="AS22" s="6" t="str">
        <v>IVDSH_DID_REA_VM3TO2_BOOT_TIME</v>
      </c>
      <c r="AV22" s="6" t="str">
        <f>"IVDSH_FQ_CH_REA_"&amp;COUNTIF(AW$22:AW22,"&gt;=0")-1</f>
        <v>IVDSH_FQ_CH_REA_-1</v>
      </c>
      <c r="AW22" s="6" t="str">
        <f>IF(AW30="","",COUNTIF(AW$30:AW30,"&gt;0")-1)</f>
        <v/>
      </c>
      <c r="AX22" s="31">
        <v>0</v>
      </c>
      <c r="BA22" s="12" t="s">
        <v>273</v>
      </c>
      <c r="BB22" s="11">
        <f>AW28</f>
        <v>73</v>
      </c>
      <c r="BE22" s="11" t="str">
        <f t="shared" si="0"/>
        <v>#define IVDSH_DID_WRI_VM3TO2_BOOT_TIME           (5U)</v>
      </c>
      <c r="BF22" s="11" t="str">
        <f t="shared" si="1"/>
        <v/>
      </c>
      <c r="BG22" s="11" t="str">
        <f t="shared" si="2"/>
        <v/>
      </c>
      <c r="BH22" s="11" t="str">
        <f t="shared" si="3"/>
        <v/>
      </c>
      <c r="BI22" s="11" t="str">
        <f t="shared" si="4"/>
        <v/>
      </c>
      <c r="BJ22" s="11"/>
      <c r="BK22" s="11" t="str">
        <f t="shared" si="7"/>
        <v xml:space="preserve">    {(U2)5U,        (U2)1U,         (U2)IVDSH_FQ_CH_WRI  },     /* IVDSH_DID_WRI_VM3TO2_BOOT_TIME  */</v>
      </c>
      <c r="BL22" s="11" t="str">
        <f t="shared" si="8"/>
        <v/>
      </c>
      <c r="BM22" s="11" t="str">
        <f t="shared" si="9"/>
        <v/>
      </c>
      <c r="BN22" s="11" t="str">
        <f t="shared" si="10"/>
        <v/>
      </c>
      <c r="BO22" s="11" t="str">
        <f t="shared" si="11"/>
        <v/>
      </c>
      <c r="BP22" s="11"/>
      <c r="BQ22" s="11"/>
      <c r="BR22" s="28" t="str">
        <f>IF(AW36="","","    },")</f>
        <v xml:space="preserve">    },</v>
      </c>
      <c r="BS22" s="11" t="str">
        <f>IF(AW26&lt;&gt;"","    },","")</f>
        <v xml:space="preserve">    },</v>
      </c>
    </row>
    <row r="23" spans="5:71">
      <c r="E23" s="6">
        <f t="shared" si="12"/>
        <v>6</v>
      </c>
      <c r="F23" s="6">
        <v>50</v>
      </c>
      <c r="G23" s="6" t="str">
        <v>GPS_STS</v>
      </c>
      <c r="H23" s="6" t="str">
        <v>T</v>
      </c>
      <c r="I23" s="6">
        <v>1</v>
      </c>
      <c r="J23" s="6">
        <f t="shared" si="19"/>
        <v>6</v>
      </c>
      <c r="K23" s="6" t="str">
        <v>IVDSH_DID_WRI_GPS_STS</v>
      </c>
      <c r="R23" s="6" t="str">
        <f>IF(P23="R",MAX(R$17:R22,Q$15-1)+1,"")</f>
        <v/>
      </c>
      <c r="S23" s="6" t="str">
        <f t="shared" si="13"/>
        <v/>
      </c>
      <c r="T23" s="6" t="str">
        <f t="shared" si="14"/>
        <v/>
      </c>
      <c r="V23" s="6">
        <v>23</v>
      </c>
      <c r="W23" s="6" t="str">
        <v>VM1TO3_SPI_FAIL</v>
      </c>
      <c r="X23" s="6" t="str">
        <v>R</v>
      </c>
      <c r="Y23" s="6">
        <v>1</v>
      </c>
      <c r="Z23" s="6">
        <f>IF(X23="R",MAX(Z$17:Z22,Y$15-1)+1,"")</f>
        <v>8</v>
      </c>
      <c r="AA23" s="6">
        <f t="shared" si="15"/>
        <v>0</v>
      </c>
      <c r="AB23" s="6">
        <f t="shared" si="16"/>
        <v>6</v>
      </c>
      <c r="AC23" s="6" t="str">
        <v>IVDSH_DID_REA_VM1TO3_SPI_FAIL</v>
      </c>
      <c r="AD23" s="6">
        <v>25</v>
      </c>
      <c r="AE23" s="6" t="str">
        <v>VM2TO1_CAM_DIAP</v>
      </c>
      <c r="AF23" s="6" t="str">
        <v>-</v>
      </c>
      <c r="AG23" s="6">
        <v>1</v>
      </c>
      <c r="AH23" s="6" t="str">
        <f>IF(AF23="R",MAX(AH$17:AH22,AG$15-1)+1,"")</f>
        <v/>
      </c>
      <c r="AI23" s="6">
        <f t="shared" si="5"/>
        <v>1</v>
      </c>
      <c r="AJ23" s="6">
        <f t="shared" si="6"/>
        <v>6</v>
      </c>
      <c r="AK23" s="6" t="str">
        <v>IVDSH_DID_REA_VM2TO1_CAM_DIAP</v>
      </c>
      <c r="AL23" s="6">
        <v>50</v>
      </c>
      <c r="AM23" s="6" t="str">
        <v>GPS_STS</v>
      </c>
      <c r="AN23" s="6" t="str">
        <v>T</v>
      </c>
      <c r="AO23" s="6">
        <v>1</v>
      </c>
      <c r="AP23" s="6" t="str">
        <f>IF(AN23="R",MAX(AP$17:AP22,AO$15-1)+1,"")</f>
        <v/>
      </c>
      <c r="AQ23" s="6" t="str">
        <f t="shared" si="17"/>
        <v/>
      </c>
      <c r="AR23" s="6" t="str">
        <f t="shared" si="18"/>
        <v/>
      </c>
      <c r="AS23" s="6" t="str">
        <v>IVDSH_DID_REA_GPS_STS</v>
      </c>
      <c r="AV23" s="6" t="str">
        <f>"IVDSH_FQ_CH_REA_"&amp;COUNTIF(AW$22:AW23,"&gt;=0")-1</f>
        <v>IVDSH_FQ_CH_REA_0</v>
      </c>
      <c r="AW23" s="6">
        <f>IF(AW31="","",COUNTIF(AW$30:AW31,"&gt;0")-1)</f>
        <v>0</v>
      </c>
      <c r="AX23" s="31">
        <v>1</v>
      </c>
      <c r="BA23" s="12" t="s">
        <v>274</v>
      </c>
      <c r="BB23" s="11" t="str">
        <f>IF(AW29&lt;&gt;0,"&amp;st_sp_IVDSH_FQ_CH[IVDSH_FQ_CH_WRI]","vdp_PTR_NA")</f>
        <v>&amp;st_sp_IVDSH_FQ_CH[IVDSH_FQ_CH_WRI]</v>
      </c>
      <c r="BE23" s="11" t="str">
        <f t="shared" si="0"/>
        <v>#define IVDSH_DID_WRI_GPS_STS                    (6U)</v>
      </c>
      <c r="BF23" s="11" t="str">
        <f t="shared" si="1"/>
        <v/>
      </c>
      <c r="BG23" s="11" t="str">
        <f t="shared" si="2"/>
        <v>#define IVDSH_DID_REA_VM1TO3_SPI_FAIL            (8U)</v>
      </c>
      <c r="BH23" s="11" t="str">
        <f t="shared" si="3"/>
        <v/>
      </c>
      <c r="BI23" s="11" t="str">
        <f t="shared" si="4"/>
        <v/>
      </c>
      <c r="BJ23" s="11"/>
      <c r="BK23" s="11" t="str">
        <f t="shared" si="7"/>
        <v xml:space="preserve">    {(U2)6U,        (U2)1U,         (U2)IVDSH_FQ_CH_WRI  },     /* IVDSH_DID_WRI_GPS_STS           */</v>
      </c>
      <c r="BL23" s="11" t="str">
        <f t="shared" si="8"/>
        <v/>
      </c>
      <c r="BM23" s="11" t="str">
        <f t="shared" si="9"/>
        <v xml:space="preserve">    {(U2)6U,        (U2)1U,         (U2)IVDSH_FQ_CH_REA_0},     /* IVDSH_DID_REA_VM1TO3_SPI_FAIL   */</v>
      </c>
      <c r="BN23" s="11" t="str">
        <f t="shared" si="10"/>
        <v/>
      </c>
      <c r="BO23" s="11" t="str">
        <f t="shared" si="11"/>
        <v/>
      </c>
      <c r="BP23" s="11"/>
      <c r="BQ23" s="11"/>
      <c r="BR23" s="11" t="str">
        <f>IF(AW37="","","    /* IVDSH_FQ_CH_REA_1 */")</f>
        <v xml:space="preserve">    /* IVDSH_FQ_CH_REA_1 */</v>
      </c>
      <c r="BS23" s="11"/>
    </row>
    <row r="24" spans="5:71">
      <c r="E24" s="6">
        <f t="shared" si="12"/>
        <v>7</v>
      </c>
      <c r="J24" s="6" t="str">
        <f t="shared" si="19"/>
        <v/>
      </c>
      <c r="R24" s="6" t="str">
        <f>IF(P24="R",MAX(R$17:R23,Q$15-1)+1,"")</f>
        <v/>
      </c>
      <c r="S24" s="6" t="str">
        <f t="shared" si="13"/>
        <v/>
      </c>
      <c r="T24" s="6" t="str">
        <f t="shared" si="14"/>
        <v/>
      </c>
      <c r="V24" s="6">
        <v>26</v>
      </c>
      <c r="W24" s="6" t="str">
        <v>VM1TO2_CAM_DIAP</v>
      </c>
      <c r="X24" s="6" t="str">
        <v>-</v>
      </c>
      <c r="Y24" s="6">
        <v>1</v>
      </c>
      <c r="Z24" s="6" t="str">
        <f>IF(X24="R",MAX(Z$17:Z23,Y$15-1)+1,"")</f>
        <v/>
      </c>
      <c r="AA24" s="6">
        <f t="shared" si="15"/>
        <v>0</v>
      </c>
      <c r="AB24" s="6">
        <f t="shared" si="16"/>
        <v>7</v>
      </c>
      <c r="AC24" s="6" t="str">
        <v>IVDSH_DID_REA_VM1TO2_CAM_DIAP</v>
      </c>
      <c r="AD24" s="6">
        <v>42</v>
      </c>
      <c r="AE24" s="6" t="str">
        <v>VM2TO3_WHLINI_REQ</v>
      </c>
      <c r="AF24" s="6" t="str">
        <v>R</v>
      </c>
      <c r="AG24" s="6">
        <v>1</v>
      </c>
      <c r="AH24" s="6">
        <f>IF(AF24="R",MAX(AH$17:AH23,AG$15-1)+1,"")</f>
        <v>12</v>
      </c>
      <c r="AI24" s="6">
        <f t="shared" si="5"/>
        <v>1</v>
      </c>
      <c r="AJ24" s="6">
        <f t="shared" si="6"/>
        <v>7</v>
      </c>
      <c r="AK24" s="6" t="str">
        <v>IVDSH_DID_REA_VM2TO3_WHLINI_REQ</v>
      </c>
      <c r="AP24" s="6" t="str">
        <f>IF(AN24="R",MAX(AP$17:AP23,AO$15-1)+1,"")</f>
        <v/>
      </c>
      <c r="AQ24" s="6" t="str">
        <f t="shared" si="17"/>
        <v/>
      </c>
      <c r="AR24" s="6" t="str">
        <f t="shared" si="18"/>
        <v/>
      </c>
      <c r="AV24" s="6" t="str">
        <f>"IVDSH_FQ_CH_REA_"&amp;COUNTIF(AW$22:AW24,"&gt;=0")-1</f>
        <v>IVDSH_FQ_CH_REA_1</v>
      </c>
      <c r="AW24" s="6">
        <f>IF(AW32="","",COUNTIF(AW$30:AW32,"&gt;0")-1)</f>
        <v>1</v>
      </c>
      <c r="AX24" s="31">
        <v>2</v>
      </c>
      <c r="BA24" s="12" t="s">
        <v>275</v>
      </c>
      <c r="BB24" s="11" t="str">
        <f>IF(AW21&lt;&gt;0,"&amp;st_sp_IVDSH_FQ_CH[IVDSH_FQ_CH_REA_0]","&amp;st_sp_IVDSH_FQ_CH[IVDSH_FQ_CH_WRI]")</f>
        <v>&amp;st_sp_IVDSH_FQ_CH[IVDSH_FQ_CH_REA_0]</v>
      </c>
      <c r="BE24" s="11" t="str">
        <f t="shared" si="0"/>
        <v/>
      </c>
      <c r="BF24" s="11" t="str">
        <f t="shared" si="1"/>
        <v/>
      </c>
      <c r="BG24" s="11" t="str">
        <f t="shared" si="2"/>
        <v/>
      </c>
      <c r="BH24" s="11" t="str">
        <f t="shared" si="3"/>
        <v>#define IVDSH_DID_REA_VM2TO3_WHLINI_REQ          (12U)</v>
      </c>
      <c r="BI24" s="11" t="str">
        <f t="shared" si="4"/>
        <v/>
      </c>
      <c r="BJ24" s="11"/>
      <c r="BK24" s="11" t="str">
        <f t="shared" si="7"/>
        <v/>
      </c>
      <c r="BL24" s="11" t="str">
        <f t="shared" si="8"/>
        <v/>
      </c>
      <c r="BM24" s="11" t="str">
        <f t="shared" si="9"/>
        <v/>
      </c>
      <c r="BN24" s="11" t="str">
        <f t="shared" si="10"/>
        <v xml:space="preserve">    {(U2)7U,        (U2)1U,         (U2)IVDSH_FQ_CH_REA_1},     /* IVDSH_DID_REA_VM2TO3_WHLINI_REQ */</v>
      </c>
      <c r="BO24" s="11" t="str">
        <f t="shared" si="11"/>
        <v/>
      </c>
      <c r="BP24" s="11"/>
      <c r="BQ24" s="11"/>
      <c r="BR24" s="11" t="str">
        <f>IF(AW37="","","    {")</f>
        <v xml:space="preserve">    {</v>
      </c>
      <c r="BS24" s="11"/>
    </row>
    <row r="25" spans="5:71">
      <c r="E25" s="6">
        <f t="shared" si="12"/>
        <v>8</v>
      </c>
      <c r="J25" s="6" t="str">
        <f t="shared" si="19"/>
        <v/>
      </c>
      <c r="R25" s="6" t="str">
        <f>IF(P25="R",MAX(R$17:R24,Q$15-1)+1,"")</f>
        <v/>
      </c>
      <c r="S25" s="6" t="str">
        <f t="shared" si="13"/>
        <v/>
      </c>
      <c r="T25" s="6" t="str">
        <f t="shared" si="14"/>
        <v/>
      </c>
      <c r="V25" s="6">
        <v>41</v>
      </c>
      <c r="W25" s="6" t="str">
        <v>VM1TO2_FLYNOP</v>
      </c>
      <c r="X25" s="6" t="str">
        <v>-</v>
      </c>
      <c r="Y25" s="6">
        <v>1</v>
      </c>
      <c r="Z25" s="6" t="str">
        <f>IF(X25="R",MAX(Z$17:Z24,Y$15-1)+1,"")</f>
        <v/>
      </c>
      <c r="AA25" s="6">
        <f t="shared" si="15"/>
        <v>0</v>
      </c>
      <c r="AB25" s="6">
        <f t="shared" si="16"/>
        <v>8</v>
      </c>
      <c r="AC25" s="6" t="str">
        <v>IVDSH_DID_REA_VM1TO2_FLYNOP</v>
      </c>
      <c r="AD25" s="6">
        <v>46</v>
      </c>
      <c r="AE25" s="6" t="str">
        <v>VM2TO3_STRMODE</v>
      </c>
      <c r="AF25" s="6" t="str">
        <v>R</v>
      </c>
      <c r="AG25" s="6">
        <v>1</v>
      </c>
      <c r="AH25" s="6">
        <f>IF(AF25="R",MAX(AH$17:AH24,AG$15-1)+1,"")</f>
        <v>13</v>
      </c>
      <c r="AI25" s="6">
        <f t="shared" si="5"/>
        <v>1</v>
      </c>
      <c r="AJ25" s="6">
        <f t="shared" si="6"/>
        <v>8</v>
      </c>
      <c r="AK25" s="6" t="str">
        <v>IVDSH_DID_REA_VM2TO3_STRMODE</v>
      </c>
      <c r="AP25" s="6" t="str">
        <f>IF(AN25="R",MAX(AP$17:AP24,AO$15-1)+1,"")</f>
        <v/>
      </c>
      <c r="AQ25" s="6" t="str">
        <f t="shared" si="17"/>
        <v/>
      </c>
      <c r="AR25" s="6" t="str">
        <f t="shared" si="18"/>
        <v/>
      </c>
      <c r="AV25" s="6" t="str">
        <f>"IVDSH_FQ_CH_REA_"&amp;COUNTIF(AW$22:AW25,"&gt;=0")-1</f>
        <v>IVDSH_FQ_CH_REA_1</v>
      </c>
      <c r="AW25" s="6" t="str">
        <f>IF(AW33="","",COUNTIF(AW$30:AW33,"&gt;0")-1)</f>
        <v/>
      </c>
      <c r="AX25" s="31">
        <v>3</v>
      </c>
      <c r="BA25" s="12" t="s">
        <v>276</v>
      </c>
      <c r="BB25" s="11" t="str">
        <f>B4</f>
        <v>"ehvm_cfg_pe3_vm0.h"</v>
      </c>
      <c r="BE25" s="11" t="str">
        <f t="shared" si="0"/>
        <v/>
      </c>
      <c r="BF25" s="11" t="str">
        <f t="shared" si="1"/>
        <v/>
      </c>
      <c r="BG25" s="11" t="str">
        <f t="shared" si="2"/>
        <v/>
      </c>
      <c r="BH25" s="11" t="str">
        <f t="shared" si="3"/>
        <v>#define IVDSH_DID_REA_VM2TO3_STRMODE             (13U)</v>
      </c>
      <c r="BI25" s="11" t="str">
        <f t="shared" si="4"/>
        <v/>
      </c>
      <c r="BJ25" s="11"/>
      <c r="BK25" s="11" t="str">
        <f t="shared" si="7"/>
        <v/>
      </c>
      <c r="BL25" s="11" t="str">
        <f t="shared" si="8"/>
        <v/>
      </c>
      <c r="BM25" s="11" t="str">
        <f t="shared" si="9"/>
        <v/>
      </c>
      <c r="BN25" s="11" t="str">
        <f t="shared" si="10"/>
        <v xml:space="preserve">    {(U2)8U,        (U2)1U,         (U2)IVDSH_FQ_CH_REA_1},     /* IVDSH_DID_REA_VM2TO3_STRMODE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J26" s="6" t="str">
        <f t="shared" si="19"/>
        <v/>
      </c>
      <c r="R26" s="6" t="str">
        <f>IF(P26="R",MAX(R$17:R25,Q$15-1)+1,"")</f>
        <v/>
      </c>
      <c r="S26" s="6" t="str">
        <f t="shared" si="13"/>
        <v/>
      </c>
      <c r="T26" s="6" t="str">
        <f t="shared" si="14"/>
        <v/>
      </c>
      <c r="V26" s="6">
        <v>44</v>
      </c>
      <c r="W26" s="6" t="str">
        <v>VM1TO23_FSLP</v>
      </c>
      <c r="X26" s="6" t="str">
        <v>R</v>
      </c>
      <c r="Y26" s="6">
        <v>1</v>
      </c>
      <c r="Z26" s="6">
        <f>IF(X26="R",MAX(Z$17:Z25,Y$15-1)+1,"")</f>
        <v>9</v>
      </c>
      <c r="AA26" s="6">
        <f t="shared" si="15"/>
        <v>0</v>
      </c>
      <c r="AB26" s="6">
        <f t="shared" si="16"/>
        <v>9</v>
      </c>
      <c r="AC26" s="6" t="str">
        <v>IVDSH_DID_REA_VM1TO23_FSLP</v>
      </c>
      <c r="AD26" s="6">
        <v>47</v>
      </c>
      <c r="AE26" s="6" t="str">
        <v>VM2TO3_OPESTS</v>
      </c>
      <c r="AF26" s="6" t="str">
        <v>R</v>
      </c>
      <c r="AG26" s="6">
        <v>1</v>
      </c>
      <c r="AH26" s="6">
        <f>IF(AF26="R",MAX(AH$17:AH25,AG$15-1)+1,"")</f>
        <v>14</v>
      </c>
      <c r="AI26" s="6">
        <f t="shared" si="5"/>
        <v>1</v>
      </c>
      <c r="AJ26" s="6">
        <f t="shared" si="6"/>
        <v>9</v>
      </c>
      <c r="AK26" s="6" t="str">
        <v>IVDSH_DID_REA_VM2TO3_OPESTS</v>
      </c>
      <c r="AP26" s="6" t="str">
        <f>IF(AN26="R",MAX(AP$17:AP25,AO$15-1)+1,"")</f>
        <v/>
      </c>
      <c r="AQ26" s="6" t="str">
        <f t="shared" si="17"/>
        <v/>
      </c>
      <c r="AR26" s="6" t="str">
        <f t="shared" si="18"/>
        <v/>
      </c>
      <c r="AV26" s="6" t="s">
        <v>277</v>
      </c>
      <c r="AW26" s="6">
        <f>IF(AW29=0,"",COUNTIF(AW$29:AW33,"&gt;0")-1)</f>
        <v>2</v>
      </c>
      <c r="BA26" s="12"/>
      <c r="BE26" s="11" t="str">
        <f t="shared" si="0"/>
        <v/>
      </c>
      <c r="BF26" s="11" t="str">
        <f t="shared" si="1"/>
        <v/>
      </c>
      <c r="BG26" s="11" t="str">
        <f t="shared" si="2"/>
        <v>#define IVDSH_DID_REA_VM1TO23_FSLP               (9U)</v>
      </c>
      <c r="BH26" s="11" t="str">
        <f t="shared" si="3"/>
        <v>#define IVDSH_DID_REA_VM2TO3_OPESTS              (14U)</v>
      </c>
      <c r="BI26" s="11" t="str">
        <f t="shared" si="4"/>
        <v/>
      </c>
      <c r="BJ26" s="11"/>
      <c r="BK26" s="11" t="str">
        <f t="shared" si="7"/>
        <v/>
      </c>
      <c r="BL26" s="11" t="str">
        <f t="shared" si="8"/>
        <v/>
      </c>
      <c r="BM26" s="11" t="str">
        <f t="shared" si="9"/>
        <v xml:space="preserve">    {(U2)9U,        (U2)1U,         (U2)IVDSH_FQ_CH_REA_0},     /* IVDSH_DID_REA_VM1TO23_FSLP      */</v>
      </c>
      <c r="BN26" s="11" t="str">
        <f t="shared" si="10"/>
        <v xml:space="preserve">    {(U2)9U,        (U2)1U,         (U2)IVDSH_FQ_CH_REA_1},     /* IVDSH_DID_REA_VM2TO3_OPESTS     */</v>
      </c>
      <c r="BO26" s="11" t="str">
        <f t="shared" si="11"/>
        <v/>
      </c>
      <c r="BP26" s="11"/>
      <c r="BQ26" s="11"/>
      <c r="BR26" s="11" t="str">
        <f>IF(AW37="","",IF(AW26&lt;&gt;"",
  "         ((U2)IVDSH_WA_NWORD_REA_0 &lt;&lt; 1)),",
  "")
)</f>
        <v xml:space="preserve">         ((U2)IVDSH_WA_NWORD_REA_0 &lt;&lt; 1)),</v>
      </c>
      <c r="BS26" s="11"/>
    </row>
    <row r="27" spans="5:71">
      <c r="E27" s="6">
        <f t="shared" si="12"/>
        <v>10</v>
      </c>
      <c r="J27" s="6" t="str">
        <f t="shared" si="19"/>
        <v/>
      </c>
      <c r="R27" s="6" t="str">
        <f>IF(P27="R",MAX(R$17:R26,Q$15-1)+1,"")</f>
        <v/>
      </c>
      <c r="S27" s="6" t="str">
        <f t="shared" si="13"/>
        <v/>
      </c>
      <c r="T27" s="6" t="str">
        <f t="shared" si="14"/>
        <v/>
      </c>
      <c r="V27" s="6">
        <v>53</v>
      </c>
      <c r="W27" s="6" t="str">
        <v>VM1TO2_WHLINI_RES</v>
      </c>
      <c r="X27" s="6" t="str">
        <v>-</v>
      </c>
      <c r="Y27" s="6">
        <v>1</v>
      </c>
      <c r="Z27" s="6" t="str">
        <f>IF(X27="R",MAX(Z$17:Z26,Y$15-1)+1,"")</f>
        <v/>
      </c>
      <c r="AA27" s="6">
        <f t="shared" si="15"/>
        <v>0</v>
      </c>
      <c r="AB27" s="6">
        <f t="shared" si="16"/>
        <v>10</v>
      </c>
      <c r="AC27" s="6" t="str">
        <v>IVDSH_DID_REA_VM1TO2_WHLINI_RES</v>
      </c>
      <c r="AD27" s="6">
        <v>51</v>
      </c>
      <c r="AE27" s="6" t="str">
        <v>GPS_REQ</v>
      </c>
      <c r="AF27" s="6" t="str">
        <v>R</v>
      </c>
      <c r="AG27" s="6">
        <v>1</v>
      </c>
      <c r="AH27" s="6">
        <f>IF(AF27="R",MAX(AH$17:AH26,AG$15-1)+1,"")</f>
        <v>15</v>
      </c>
      <c r="AI27" s="6">
        <f t="shared" si="5"/>
        <v>1</v>
      </c>
      <c r="AJ27" s="6">
        <f t="shared" si="6"/>
        <v>10</v>
      </c>
      <c r="AK27" s="6" t="str">
        <v>IVDSH_DID_REA_GPS_REQ</v>
      </c>
      <c r="AP27" s="6" t="str">
        <f>IF(AN27="R",MAX(AP$17:AP26,AO$15-1)+1,"")</f>
        <v/>
      </c>
      <c r="AQ27" s="6" t="str">
        <f t="shared" si="17"/>
        <v/>
      </c>
      <c r="AR27" s="6" t="str">
        <f t="shared" si="18"/>
        <v/>
      </c>
      <c r="BA27" s="12"/>
      <c r="BE27" s="11" t="str">
        <f t="shared" si="0"/>
        <v/>
      </c>
      <c r="BF27" s="11" t="str">
        <f t="shared" si="1"/>
        <v/>
      </c>
      <c r="BG27" s="11" t="str">
        <f t="shared" si="2"/>
        <v/>
      </c>
      <c r="BH27" s="11" t="str">
        <f t="shared" si="3"/>
        <v>#define IVDSH_DID_REA_GPS_REQ                    (15U)</v>
      </c>
      <c r="BI27" s="11" t="str">
        <f t="shared" si="4"/>
        <v/>
      </c>
      <c r="BJ27" s="11"/>
      <c r="BK27" s="11" t="str">
        <f t="shared" si="7"/>
        <v/>
      </c>
      <c r="BL27" s="11" t="str">
        <f t="shared" si="8"/>
        <v/>
      </c>
      <c r="BM27" s="11" t="str">
        <f t="shared" si="9"/>
        <v/>
      </c>
      <c r="BN27" s="11" t="str">
        <f t="shared" si="10"/>
        <v xml:space="preserve">    {(U2)10U,       (U2)1U,         (U2)IVDSH_FQ_CH_REA_1},     /* IVDSH_DID_REA_GPS_REQ           */</v>
      </c>
      <c r="BO27" s="11" t="str">
        <f t="shared" si="11"/>
        <v/>
      </c>
      <c r="BP27" s="11"/>
      <c r="BQ27" s="11"/>
      <c r="BR27" s="11" t="str">
        <f>IF(AW37="","","        (U2)IVDSH_WA_NWORD_REA_1,                                 /* u2_nword */")</f>
        <v xml:space="preserve">        (U2)IVDSH_WA_NWORD_REA_1,                                 /* u2_nword */</v>
      </c>
      <c r="BS27" s="11"/>
    </row>
    <row r="28" spans="5:71">
      <c r="E28" s="6">
        <f t="shared" si="12"/>
        <v>11</v>
      </c>
      <c r="J28" s="6" t="str">
        <f t="shared" si="19"/>
        <v/>
      </c>
      <c r="R28" s="6" t="str">
        <f>IF(P28="R",MAX(R$17:R27,Q$15-1)+1,"")</f>
        <v/>
      </c>
      <c r="S28" s="6" t="str">
        <f t="shared" si="13"/>
        <v/>
      </c>
      <c r="T28" s="6" t="str">
        <f t="shared" si="14"/>
        <v/>
      </c>
      <c r="V28" s="6">
        <v>54</v>
      </c>
      <c r="W28" s="6" t="str">
        <v>VM1TO3_WHLINI_INF</v>
      </c>
      <c r="X28" s="6" t="str">
        <v>R</v>
      </c>
      <c r="Y28" s="6">
        <v>1</v>
      </c>
      <c r="Z28" s="6">
        <f>IF(X28="R",MAX(Z$17:Z27,Y$15-1)+1,"")</f>
        <v>10</v>
      </c>
      <c r="AA28" s="6">
        <f t="shared" si="15"/>
        <v>0</v>
      </c>
      <c r="AB28" s="6">
        <f t="shared" si="16"/>
        <v>11</v>
      </c>
      <c r="AC28" s="6" t="str">
        <v>IVDSH_DID_REA_VM1TO3_WHLINI_INF</v>
      </c>
      <c r="AD28" s="6">
        <v>52</v>
      </c>
      <c r="AE28" s="6" t="str">
        <v>VM2TO1_WHLINI_REQ</v>
      </c>
      <c r="AF28" s="6" t="str">
        <v>-</v>
      </c>
      <c r="AG28" s="6">
        <v>1</v>
      </c>
      <c r="AH28" s="6" t="str">
        <f>IF(AF28="R",MAX(AH$17:AH27,AG$15-1)+1,"")</f>
        <v/>
      </c>
      <c r="AI28" s="6">
        <f t="shared" si="5"/>
        <v>1</v>
      </c>
      <c r="AJ28" s="6">
        <f t="shared" si="6"/>
        <v>11</v>
      </c>
      <c r="AK28" s="6" t="str">
        <v>IVDSH_DID_REA_VM2TO1_WHLINI_REQ</v>
      </c>
      <c r="AP28" s="6" t="str">
        <f>IF(AN28="R",MAX(AP$17:AP27,AO$15-1)+1,"")</f>
        <v/>
      </c>
      <c r="AQ28" s="6" t="str">
        <f t="shared" si="17"/>
        <v/>
      </c>
      <c r="AR28" s="6" t="str">
        <f t="shared" si="18"/>
        <v/>
      </c>
      <c r="AV28" s="6" t="s">
        <v>278</v>
      </c>
      <c r="AW28" s="6">
        <f>AW29+SUM(AW30:AW33)*2</f>
        <v>73</v>
      </c>
      <c r="BA28" s="12"/>
      <c r="BE28" s="11" t="str">
        <f t="shared" si="0"/>
        <v/>
      </c>
      <c r="BF28" s="11" t="str">
        <f t="shared" si="1"/>
        <v/>
      </c>
      <c r="BG28" s="11" t="str">
        <f t="shared" si="2"/>
        <v>#define IVDSH_DID_REA_VM1TO3_WHLINI_INF          (10U)</v>
      </c>
      <c r="BH28" s="11" t="str">
        <f t="shared" si="3"/>
        <v/>
      </c>
      <c r="BI28" s="11" t="str">
        <f t="shared" si="4"/>
        <v/>
      </c>
      <c r="BJ28" s="11"/>
      <c r="BK28" s="11" t="str">
        <f t="shared" si="7"/>
        <v/>
      </c>
      <c r="BL28" s="11" t="str">
        <f t="shared" si="8"/>
        <v/>
      </c>
      <c r="BM28" s="11" t="str">
        <f t="shared" si="9"/>
        <v xml:space="preserve">    {(U2)11U,       (U2)1U,         (U2)IVDSH_FQ_CH_REA_0},     /* IVDSH_DID_REA_VM1TO3_WHLINI_INF */</v>
      </c>
      <c r="BN28" s="11" t="str">
        <f t="shared" si="10"/>
        <v/>
      </c>
      <c r="BO28" s="11" t="str">
        <f t="shared" si="11"/>
        <v/>
      </c>
      <c r="BP28" s="11"/>
      <c r="BQ28" s="11"/>
      <c r="BR28" s="11" t="str" cm="1">
        <f t="array" ref="BR28">IF(AW37="","","        (U2)"&amp;INDEX(B6:B9,AX37+1)&amp;"                       /* u2_fq_ch */")</f>
        <v xml:space="preserve">        (U2)EHVM_RX_VCCID_VCC_SHARED_TX_VM2                       /* u2_fq_ch */</v>
      </c>
      <c r="BS28" s="11"/>
    </row>
    <row r="29" spans="5:71">
      <c r="E29" s="6">
        <f t="shared" si="12"/>
        <v>12</v>
      </c>
      <c r="J29" s="6" t="str">
        <f t="shared" si="19"/>
        <v/>
      </c>
      <c r="R29" s="6" t="str">
        <f>IF(P29="R",MAX(R$17:R28,Q$15-1)+1,"")</f>
        <v/>
      </c>
      <c r="S29" s="6" t="str">
        <f t="shared" si="13"/>
        <v/>
      </c>
      <c r="T29" s="6" t="str">
        <f t="shared" si="14"/>
        <v/>
      </c>
      <c r="Z29" s="6" t="str">
        <f>IF(X29="R",MAX(Z$17:Z28,Y$15-1)+1,"")</f>
        <v/>
      </c>
      <c r="AA29" s="6" t="str">
        <f t="shared" si="15"/>
        <v/>
      </c>
      <c r="AB29" s="6" t="str">
        <f t="shared" si="16"/>
        <v/>
      </c>
      <c r="AD29" s="6">
        <v>55</v>
      </c>
      <c r="AE29" s="6" t="str">
        <v>VM2TO3_DIN2_STAT</v>
      </c>
      <c r="AF29" s="6" t="str">
        <v>R</v>
      </c>
      <c r="AG29" s="6">
        <v>1</v>
      </c>
      <c r="AH29" s="6">
        <f>IF(AF29="R",MAX(AH$17:AH28,AG$15-1)+1,"")</f>
        <v>16</v>
      </c>
      <c r="AI29" s="6">
        <f t="shared" si="5"/>
        <v>1</v>
      </c>
      <c r="AJ29" s="6">
        <f t="shared" si="6"/>
        <v>12</v>
      </c>
      <c r="AK29" s="6" t="str">
        <v>IVDSH_DID_REA_VM2TO3_DIN2_STAT</v>
      </c>
      <c r="AP29" s="6" t="str">
        <f>IF(AN29="R",MAX(AP$17:AP28,AO$15-1)+1,"")</f>
        <v/>
      </c>
      <c r="AQ29" s="6" t="str">
        <f t="shared" si="17"/>
        <v/>
      </c>
      <c r="AR29" s="6" t="str">
        <f t="shared" si="18"/>
        <v/>
      </c>
      <c r="AV29" s="6" t="s">
        <v>279</v>
      </c>
      <c r="AW29" s="6">
        <f>SUM(I$17:I529)</f>
        <v>7</v>
      </c>
      <c r="AX29" s="30" t="s">
        <v>271</v>
      </c>
      <c r="BA29" s="12"/>
      <c r="BE29" s="11" t="str">
        <f t="shared" si="0"/>
        <v/>
      </c>
      <c r="BF29" s="11" t="str">
        <f t="shared" si="1"/>
        <v/>
      </c>
      <c r="BG29" s="11" t="str">
        <f t="shared" si="2"/>
        <v/>
      </c>
      <c r="BH29" s="11" t="str">
        <f t="shared" si="3"/>
        <v>#define IVDSH_DID_REA_VM2TO3_DIN2_STAT           (16U)</v>
      </c>
      <c r="BI29" s="11" t="str">
        <f t="shared" si="4"/>
        <v/>
      </c>
      <c r="BJ29" s="11"/>
      <c r="BK29" s="11" t="str">
        <f t="shared" si="7"/>
        <v/>
      </c>
      <c r="BL29" s="11" t="str">
        <f t="shared" si="8"/>
        <v/>
      </c>
      <c r="BM29" s="11" t="str">
        <f t="shared" si="9"/>
        <v/>
      </c>
      <c r="BN29" s="11" t="str">
        <f t="shared" si="10"/>
        <v xml:space="preserve">    {(U2)12U,       (U2)1U,         (U2)IVDSH_FQ_CH_REA_1},     /* IVDSH_DID_REA_VM2TO3_DIN2_STAT  */</v>
      </c>
      <c r="BO29" s="11" t="str">
        <f t="shared" si="11"/>
        <v/>
      </c>
      <c r="BP29" s="11"/>
      <c r="BQ29" s="11"/>
      <c r="BR29" s="28" t="str">
        <f>IF(AW37="","","    },")</f>
        <v xml:space="preserve">    },</v>
      </c>
      <c r="BS29" s="11"/>
    </row>
    <row r="30" spans="5:71">
      <c r="E30" s="6">
        <f t="shared" si="12"/>
        <v>13</v>
      </c>
      <c r="J30" s="6" t="str">
        <f t="shared" si="19"/>
        <v/>
      </c>
      <c r="R30" s="6" t="str">
        <f>IF(P30="R",MAX(R$17:R29,Q$15-1)+1,"")</f>
        <v/>
      </c>
      <c r="S30" s="6" t="str">
        <f t="shared" si="13"/>
        <v/>
      </c>
      <c r="T30" s="6" t="str">
        <f t="shared" si="14"/>
        <v/>
      </c>
      <c r="Z30" s="6" t="str">
        <f>IF(X30="R",MAX(Z$17:Z29,Y$15-1)+1,"")</f>
        <v/>
      </c>
      <c r="AA30" s="6" t="str">
        <f t="shared" si="15"/>
        <v/>
      </c>
      <c r="AB30" s="6" t="str">
        <f t="shared" si="16"/>
        <v/>
      </c>
      <c r="AD30" s="6">
        <v>56</v>
      </c>
      <c r="AE30" s="6" t="str">
        <v>VM2TO1_DMS1S02</v>
      </c>
      <c r="AF30" s="6" t="str">
        <v>-</v>
      </c>
      <c r="AG30" s="6">
        <v>1</v>
      </c>
      <c r="AH30" s="6" t="str">
        <f>IF(AF30="R",MAX(AH$17:AH29,AG$15-1)+1,"")</f>
        <v/>
      </c>
      <c r="AI30" s="6">
        <f t="shared" si="5"/>
        <v>1</v>
      </c>
      <c r="AJ30" s="6">
        <f t="shared" si="6"/>
        <v>13</v>
      </c>
      <c r="AK30" s="6" t="str">
        <v>IVDSH_DID_REA_VM2TO1_DMS1S02</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
      </c>
      <c r="BI30" s="11" t="str">
        <f t="shared" si="4"/>
        <v/>
      </c>
      <c r="BJ30" s="11"/>
      <c r="BK30" s="11" t="str">
        <f t="shared" si="7"/>
        <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Z31" s="6" t="str">
        <f>IF(X31="R",MAX(Z$17:Z30,Y$15-1)+1,"")</f>
        <v/>
      </c>
      <c r="AA31" s="6" t="str">
        <f t="shared" si="15"/>
        <v/>
      </c>
      <c r="AB31" s="6" t="str">
        <f t="shared" si="16"/>
        <v/>
      </c>
      <c r="AD31" s="6">
        <v>57</v>
      </c>
      <c r="AE31" s="6" t="str">
        <v>VM2TO1_MET1S27</v>
      </c>
      <c r="AF31" s="6" t="str">
        <v>-</v>
      </c>
      <c r="AG31" s="6">
        <v>1</v>
      </c>
      <c r="AH31" s="6" t="str">
        <f>IF(AF31="R",MAX(AH$17:AH30,AG$15-1)+1,"")</f>
        <v/>
      </c>
      <c r="AI31" s="6">
        <f t="shared" si="5"/>
        <v>1</v>
      </c>
      <c r="AJ31" s="6">
        <f t="shared" si="6"/>
        <v>14</v>
      </c>
      <c r="AK31" s="6" t="str">
        <v>IVDSH_DID_REA_VM2TO1_MET1S27</v>
      </c>
      <c r="AP31" s="6" t="str">
        <f>IF(AN31="R",MAX(AP$17:AP30,AO$15-1)+1,"")</f>
        <v/>
      </c>
      <c r="AQ31" s="6" t="str">
        <f t="shared" si="17"/>
        <v/>
      </c>
      <c r="AR31" s="6" t="str">
        <f t="shared" si="18"/>
        <v/>
      </c>
      <c r="AV31" s="6" t="str">
        <f>"IVDSH_WA_NWORD_REA_"&amp;COUNTIF(AW$30:AW31,"&gt;0")-1</f>
        <v>IVDSH_WA_NWORD_REA_0</v>
      </c>
      <c r="AW31" s="6">
        <f>IF(Z15&lt;&gt;0,SUM(Y$17:Y529),"")</f>
        <v>12</v>
      </c>
      <c r="AX31" s="31">
        <v>1</v>
      </c>
      <c r="BE31" s="11" t="str">
        <f t="shared" si="0"/>
        <v/>
      </c>
      <c r="BF31" s="11" t="str">
        <f t="shared" si="1"/>
        <v/>
      </c>
      <c r="BG31" s="11" t="str">
        <f t="shared" si="2"/>
        <v/>
      </c>
      <c r="BH31" s="11" t="str">
        <f t="shared" si="3"/>
        <v/>
      </c>
      <c r="BI31" s="11" t="str">
        <f t="shared" si="4"/>
        <v/>
      </c>
      <c r="BJ31" s="11"/>
      <c r="BK31" s="11" t="str">
        <f t="shared" si="7"/>
        <v/>
      </c>
      <c r="BL31" s="11" t="str">
        <f t="shared" si="8"/>
        <v/>
      </c>
      <c r="BM31" s="11" t="str">
        <f t="shared" si="9"/>
        <v/>
      </c>
      <c r="BN31" s="11" t="str">
        <f t="shared" si="10"/>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Z32" s="6" t="str">
        <f>IF(X32="R",MAX(Z$17:Z31,Y$15-1)+1,"")</f>
        <v/>
      </c>
      <c r="AA32" s="6" t="str">
        <f t="shared" si="15"/>
        <v/>
      </c>
      <c r="AB32" s="6" t="str">
        <f t="shared" si="16"/>
        <v/>
      </c>
      <c r="AD32" s="6">
        <v>58</v>
      </c>
      <c r="AE32" s="6" t="str">
        <v>VM2TO1_MET1S28</v>
      </c>
      <c r="AF32" s="6" t="str">
        <v>-</v>
      </c>
      <c r="AG32" s="6">
        <v>1</v>
      </c>
      <c r="AH32" s="6" t="str">
        <f>IF(AF32="R",MAX(AH$17:AH31,AG$15-1)+1,"")</f>
        <v/>
      </c>
      <c r="AI32" s="6">
        <f t="shared" si="5"/>
        <v>1</v>
      </c>
      <c r="AJ32" s="6">
        <f t="shared" si="6"/>
        <v>15</v>
      </c>
      <c r="AK32" s="6" t="str">
        <v>IVDSH_DID_REA_VM2TO1_MET1S28</v>
      </c>
      <c r="AP32" s="6" t="str">
        <f>IF(AN32="R",MAX(AP$17:AP31,AO$15-1)+1,"")</f>
        <v/>
      </c>
      <c r="AQ32" s="6" t="str">
        <f t="shared" si="17"/>
        <v/>
      </c>
      <c r="AR32" s="6" t="str">
        <f t="shared" si="18"/>
        <v/>
      </c>
      <c r="AV32" s="6" t="str">
        <f>"IVDSH_WA_NWORD_REA_"&amp;COUNTIF(AW$30:AW32,"&gt;0")-1</f>
        <v>IVDSH_WA_NWORD_REA_1</v>
      </c>
      <c r="AW32" s="6">
        <f>IF(AH15&lt;&gt;0,SUM(AG$17:AG529),"")</f>
        <v>21</v>
      </c>
      <c r="AX32" s="31">
        <v>2</v>
      </c>
      <c r="BE32" s="11" t="str">
        <f t="shared" si="0"/>
        <v/>
      </c>
      <c r="BF32" s="11" t="str">
        <f t="shared" si="1"/>
        <v/>
      </c>
      <c r="BG32" s="11" t="str">
        <f t="shared" si="2"/>
        <v/>
      </c>
      <c r="BH32" s="11" t="str">
        <f t="shared" si="3"/>
        <v/>
      </c>
      <c r="BI32" s="11" t="str">
        <f t="shared" si="4"/>
        <v/>
      </c>
      <c r="BJ32" s="11"/>
      <c r="BK32" s="11" t="str">
        <f t="shared" si="7"/>
        <v/>
      </c>
      <c r="BL32" s="11" t="str">
        <f t="shared" si="8"/>
        <v/>
      </c>
      <c r="BM32" s="11" t="str">
        <f t="shared" si="9"/>
        <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59</v>
      </c>
      <c r="AE33" s="6" t="str">
        <v>VM2TO1_MET1S29</v>
      </c>
      <c r="AF33" s="6" t="str">
        <v>-</v>
      </c>
      <c r="AG33" s="6">
        <v>1</v>
      </c>
      <c r="AH33" s="6" t="str">
        <f>IF(AF33="R",MAX(AH$17:AH32,AG$15-1)+1,"")</f>
        <v/>
      </c>
      <c r="AI33" s="6">
        <f t="shared" si="5"/>
        <v>1</v>
      </c>
      <c r="AJ33" s="6">
        <f t="shared" si="6"/>
        <v>16</v>
      </c>
      <c r="AK33" s="6" t="str">
        <v>IVDSH_DID_REA_VM2TO1_MET1S29</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60</v>
      </c>
      <c r="AE34" s="6" t="str">
        <v>VM2TO1_MET1S30</v>
      </c>
      <c r="AF34" s="6" t="str">
        <v>-</v>
      </c>
      <c r="AG34" s="6">
        <v>1</v>
      </c>
      <c r="AH34" s="6" t="str">
        <f>IF(AF34="R",MAX(AH$17:AH33,AG$15-1)+1,"")</f>
        <v/>
      </c>
      <c r="AI34" s="6">
        <f t="shared" si="5"/>
        <v>1</v>
      </c>
      <c r="AJ34" s="6">
        <f t="shared" si="6"/>
        <v>17</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61</v>
      </c>
      <c r="AE35" s="6" t="str">
        <v>VM2TO1_MET1S43</v>
      </c>
      <c r="AF35" s="6" t="str">
        <v>-</v>
      </c>
      <c r="AG35" s="6">
        <v>1</v>
      </c>
      <c r="AH35" s="6" t="str">
        <f>IF(AF35="R",MAX(AH$17:AH34,AG$15-1)+1,"")</f>
        <v/>
      </c>
      <c r="AI35" s="6">
        <f t="shared" si="5"/>
        <v>1</v>
      </c>
      <c r="AJ35" s="6">
        <f t="shared" si="6"/>
        <v>18</v>
      </c>
      <c r="AK35" s="6" t="str">
        <v>IVDSH_DID_REA_VM2TO1_MET1S43</v>
      </c>
      <c r="AP35" s="6" t="str">
        <f>IF(AN35="R",MAX(AP$17:AP34,AO$15-1)+1,"")</f>
        <v/>
      </c>
      <c r="AQ35" s="6" t="str">
        <f t="shared" si="17"/>
        <v/>
      </c>
      <c r="AR35" s="6" t="str">
        <f t="shared" si="18"/>
        <v/>
      </c>
      <c r="AV35" s="30" t="s">
        <v>280</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62</v>
      </c>
      <c r="AE36" s="6" t="str">
        <v>VM2TO1_MET1S62</v>
      </c>
      <c r="AF36" s="6" t="str">
        <v>-</v>
      </c>
      <c r="AG36" s="6">
        <v>1</v>
      </c>
      <c r="AH36" s="6" t="str">
        <f>IF(AF36="R",MAX(AH$17:AH35,AG$15-1)+1,"")</f>
        <v/>
      </c>
      <c r="AI36" s="6">
        <f t="shared" si="5"/>
        <v>1</v>
      </c>
      <c r="AJ36" s="6">
        <f t="shared" si="6"/>
        <v>19</v>
      </c>
      <c r="AK36" s="6" t="str">
        <v>IVDSH_DID_REA_VM2TO1_MET1S62</v>
      </c>
      <c r="AP36" s="6" t="str">
        <f>IF(AN36="R",MAX(AP$17:AP35,AO$15-1)+1,"")</f>
        <v/>
      </c>
      <c r="AQ36" s="6" t="str">
        <f t="shared" si="17"/>
        <v/>
      </c>
      <c r="AR36" s="6" t="str">
        <f t="shared" si="18"/>
        <v/>
      </c>
      <c r="AV36" s="6" t="s">
        <v>281</v>
      </c>
      <c r="AW36" s="6">
        <f>IFERROR(INDEX(AW$22:AW$25,MATCH(AV36,AV$22:AV$25,0)),"")</f>
        <v>0</v>
      </c>
      <c r="AX36" s="6">
        <f>IFERROR(INDEX(AX$22:AX$25,MATCH(AV36,AV$22:AV$25,0)),"")</f>
        <v>1</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63</v>
      </c>
      <c r="AE37" s="6" t="str">
        <v>VM2TO1_MET1S70</v>
      </c>
      <c r="AF37" s="6" t="str">
        <v>-</v>
      </c>
      <c r="AG37" s="6">
        <v>1</v>
      </c>
      <c r="AH37" s="6" t="str">
        <f>IF(AF37="R",MAX(AH$17:AH36,AG$15-1)+1,"")</f>
        <v/>
      </c>
      <c r="AI37" s="6">
        <f t="shared" si="5"/>
        <v>1</v>
      </c>
      <c r="AJ37" s="6">
        <f t="shared" si="6"/>
        <v>20</v>
      </c>
      <c r="AK37" s="6" t="str">
        <v>IVDSH_DID_REA_VM2TO1_MET1S70</v>
      </c>
      <c r="AP37" s="6" t="str">
        <f>IF(AN37="R",MAX(AP$17:AP36,AO$15-1)+1,"")</f>
        <v/>
      </c>
      <c r="AQ37" s="6" t="str">
        <f t="shared" si="17"/>
        <v/>
      </c>
      <c r="AR37" s="6" t="str">
        <f t="shared" si="18"/>
        <v/>
      </c>
      <c r="AV37" s="6" t="s">
        <v>282</v>
      </c>
      <c r="AW37" s="6">
        <f>IFERROR(INDEX(AW$22:AW$25,MATCH(AV37,AV$22:AV$25,0)),"")</f>
        <v>1</v>
      </c>
      <c r="AX37" s="6">
        <f>IFERROR(INDEX(AX$22:AX$25,MATCH(AV37,AV$22:AV$25,0)),"")</f>
        <v>2</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H38" s="6" t="str">
        <f>IF(AF38="R",MAX(AH$17:AH37,AG$15-1)+1,"")</f>
        <v/>
      </c>
      <c r="AI38" s="6" t="str">
        <f t="shared" si="5"/>
        <v/>
      </c>
      <c r="AJ38" s="6" t="str">
        <f t="shared" si="6"/>
        <v/>
      </c>
      <c r="AP38" s="6" t="str">
        <f>IF(AN38="R",MAX(AP$17:AP37,AO$15-1)+1,"")</f>
        <v/>
      </c>
      <c r="AQ38" s="6" t="str">
        <f t="shared" si="17"/>
        <v/>
      </c>
      <c r="AR38" s="6" t="str">
        <f t="shared" si="18"/>
        <v/>
      </c>
      <c r="AV38" s="6" t="s">
        <v>283</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H39" s="6" t="str">
        <f>IF(AF39="R",MAX(AH$17:AH38,AG$15-1)+1,"")</f>
        <v/>
      </c>
      <c r="AI39" s="6" t="str">
        <f t="shared" si="5"/>
        <v/>
      </c>
      <c r="AJ39" s="6" t="str">
        <f t="shared" si="6"/>
        <v/>
      </c>
      <c r="AP39" s="6" t="str">
        <f>IF(AN39="R",MAX(AP$17:AP38,AO$15-1)+1,"")</f>
        <v/>
      </c>
      <c r="AQ39" s="6" t="str">
        <f t="shared" si="17"/>
        <v/>
      </c>
      <c r="AR39" s="6" t="str">
        <f t="shared" si="18"/>
        <v/>
      </c>
      <c r="AV39" s="6" t="s">
        <v>284</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285</v>
      </c>
      <c r="D530" s="6" t="s">
        <v>285</v>
      </c>
      <c r="E530" s="6" t="s">
        <v>285</v>
      </c>
      <c r="F530" s="6" t="s">
        <v>285</v>
      </c>
      <c r="H530" s="6" t="s">
        <v>285</v>
      </c>
      <c r="I530" s="6" t="s">
        <v>285</v>
      </c>
      <c r="J530" s="6" t="s">
        <v>285</v>
      </c>
      <c r="K530" s="6" t="s">
        <v>285</v>
      </c>
      <c r="L530" s="7" t="s">
        <v>285</v>
      </c>
      <c r="M530" s="6" t="s">
        <v>285</v>
      </c>
      <c r="N530" s="6" t="s">
        <v>285</v>
      </c>
      <c r="P530" s="6" t="s">
        <v>285</v>
      </c>
      <c r="Q530" s="6" t="s">
        <v>285</v>
      </c>
      <c r="R530" s="6" t="s">
        <v>285</v>
      </c>
      <c r="S530" s="6" t="s">
        <v>285</v>
      </c>
      <c r="T530" s="6" t="s">
        <v>285</v>
      </c>
      <c r="U530" s="6" t="s">
        <v>285</v>
      </c>
      <c r="V530" s="6" t="s">
        <v>285</v>
      </c>
      <c r="X530" s="6" t="s">
        <v>285</v>
      </c>
      <c r="Y530" s="6" t="s">
        <v>285</v>
      </c>
      <c r="Z530" s="6" t="s">
        <v>285</v>
      </c>
      <c r="AA530" s="6" t="s">
        <v>285</v>
      </c>
      <c r="AB530" s="6" t="s">
        <v>285</v>
      </c>
      <c r="AC530" s="6" t="s">
        <v>285</v>
      </c>
      <c r="AD530" s="6" t="s">
        <v>285</v>
      </c>
      <c r="AF530" s="6" t="s">
        <v>285</v>
      </c>
      <c r="AG530" s="6" t="s">
        <v>285</v>
      </c>
      <c r="AH530" s="6" t="s">
        <v>285</v>
      </c>
      <c r="AI530" s="6" t="s">
        <v>285</v>
      </c>
      <c r="AJ530" s="6" t="s">
        <v>285</v>
      </c>
      <c r="AK530" s="6" t="s">
        <v>285</v>
      </c>
      <c r="AL530" s="6" t="s">
        <v>285</v>
      </c>
      <c r="AN530" s="6" t="s">
        <v>285</v>
      </c>
      <c r="AO530" s="6" t="s">
        <v>285</v>
      </c>
      <c r="AP530" s="6" t="s">
        <v>285</v>
      </c>
      <c r="AQ530" s="6" t="s">
        <v>285</v>
      </c>
      <c r="AR530" s="6" t="s">
        <v>285</v>
      </c>
      <c r="AS530" s="6" t="s">
        <v>285</v>
      </c>
      <c r="AT530" s="6" t="s">
        <v>285</v>
      </c>
      <c r="AU530" s="8" t="s">
        <v>285</v>
      </c>
      <c r="AV530" s="6" t="s">
        <v>286</v>
      </c>
      <c r="AW530" s="6" t="s">
        <v>285</v>
      </c>
      <c r="AX530" s="6" t="s">
        <v>285</v>
      </c>
      <c r="BE530" s="6" t="s">
        <v>285</v>
      </c>
      <c r="BF530" s="6" t="s">
        <v>285</v>
      </c>
      <c r="BG530" s="6" t="s">
        <v>285</v>
      </c>
      <c r="BH530" s="6" t="s">
        <v>285</v>
      </c>
      <c r="BI530" s="6" t="s">
        <v>285</v>
      </c>
      <c r="BJ530" s="6" t="s">
        <v>285</v>
      </c>
      <c r="BK530" s="6" t="s">
        <v>285</v>
      </c>
      <c r="BL530" s="6" t="s">
        <v>285</v>
      </c>
      <c r="BM530" s="6" t="s">
        <v>285</v>
      </c>
      <c r="BN530" s="6" t="s">
        <v>285</v>
      </c>
      <c r="BO530" s="6" t="s">
        <v>285</v>
      </c>
      <c r="BP530" s="6" t="s">
        <v>285</v>
      </c>
      <c r="BQ530" s="6" t="s">
        <v>285</v>
      </c>
      <c r="BR530" s="6" t="s">
        <v>285</v>
      </c>
      <c r="BS530" s="6" t="s">
        <v>285</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16716-6BD3-4277-A024-1EA19957EE37}">
  <sheetPr codeName="Sheet12"/>
  <dimension ref="A1:A126"/>
  <sheetViews>
    <sheetView topLeftCell="A97" workbookViewId="0">
      <selection activeCell="A105" sqref="A105:A106"/>
    </sheetView>
  </sheetViews>
  <sheetFormatPr defaultRowHeight="18.75"/>
  <cols>
    <col min="1" max="1" width="150.375" style="18" bestFit="1" customWidth="1"/>
    <col min="2" max="16384" width="9" style="18"/>
  </cols>
  <sheetData>
    <row r="1" spans="1:1">
      <c r="A1" s="15" t="s">
        <v>295</v>
      </c>
    </row>
    <row r="2" spans="1:1">
      <c r="A2" s="15" t="s">
        <v>296</v>
      </c>
    </row>
    <row r="3" spans="1:1">
      <c r="A3" s="15" t="s">
        <v>297</v>
      </c>
    </row>
    <row r="4" spans="1:1">
      <c r="A4" s="15" t="s">
        <v>296</v>
      </c>
    </row>
    <row r="5" spans="1:1">
      <c r="A5" s="15" t="s">
        <v>298</v>
      </c>
    </row>
    <row r="6" spans="1:1">
      <c r="A6" s="15" t="s">
        <v>299</v>
      </c>
    </row>
    <row r="7" spans="1:1">
      <c r="A7" s="15" t="s">
        <v>296</v>
      </c>
    </row>
    <row r="8" spans="1:1">
      <c r="A8" s="19"/>
    </row>
    <row r="9" spans="1:1">
      <c r="A9" s="15" t="s">
        <v>300</v>
      </c>
    </row>
    <row r="10" spans="1:1">
      <c r="A10" s="15" t="s">
        <v>301</v>
      </c>
    </row>
    <row r="11" spans="1:1">
      <c r="A11" s="15" t="s">
        <v>300</v>
      </c>
    </row>
    <row r="12" spans="1:1">
      <c r="A12" s="15" t="s">
        <v>302</v>
      </c>
    </row>
    <row r="13" spans="1:1">
      <c r="A13" s="15" t="s">
        <v>303</v>
      </c>
    </row>
    <row r="14" spans="1:1">
      <c r="A14" s="15" t="s">
        <v>304</v>
      </c>
    </row>
    <row r="15" spans="1:1">
      <c r="A15" s="19"/>
    </row>
    <row r="16" spans="1:1">
      <c r="A16" s="15" t="s">
        <v>300</v>
      </c>
    </row>
    <row r="17" spans="1:1">
      <c r="A17" s="15" t="s">
        <v>305</v>
      </c>
    </row>
    <row r="18" spans="1:1">
      <c r="A18" s="15" t="s">
        <v>300</v>
      </c>
    </row>
    <row r="19" spans="1:1">
      <c r="A19" s="15" t="s">
        <v>306</v>
      </c>
    </row>
    <row r="20" spans="1:1">
      <c r="A20" s="20" t="s">
        <v>307</v>
      </c>
    </row>
    <row r="21" spans="1:1">
      <c r="A21" s="19"/>
    </row>
    <row r="22" spans="1:1">
      <c r="A22" s="15" t="s">
        <v>300</v>
      </c>
    </row>
    <row r="23" spans="1:1">
      <c r="A23" s="15" t="s">
        <v>308</v>
      </c>
    </row>
    <row r="24" spans="1:1">
      <c r="A24" s="15" t="s">
        <v>300</v>
      </c>
    </row>
    <row r="25" spans="1:1">
      <c r="A25" s="15" t="s">
        <v>309</v>
      </c>
    </row>
    <row r="26" spans="1:1">
      <c r="A26" s="15" t="s">
        <v>310</v>
      </c>
    </row>
    <row r="27" spans="1:1">
      <c r="A27" s="15" t="s">
        <v>311</v>
      </c>
    </row>
    <row r="28" spans="1:1">
      <c r="A28" s="15" t="s">
        <v>312</v>
      </c>
    </row>
    <row r="29" spans="1:1">
      <c r="A29" s="15" t="s">
        <v>313</v>
      </c>
    </row>
    <row r="30" spans="1:1">
      <c r="A30" s="19"/>
    </row>
    <row r="31" spans="1:1">
      <c r="A31" s="15" t="s">
        <v>314</v>
      </c>
    </row>
    <row r="32" spans="1:1">
      <c r="A32" s="15" t="s">
        <v>315</v>
      </c>
    </row>
    <row r="33" spans="1:1">
      <c r="A33" s="15" t="s">
        <v>316</v>
      </c>
    </row>
    <row r="34" spans="1:1">
      <c r="A34" s="15" t="s">
        <v>317</v>
      </c>
    </row>
    <row r="35" spans="1:1">
      <c r="A35" s="15" t="s">
        <v>313</v>
      </c>
    </row>
    <row r="36" spans="1:1">
      <c r="A36" s="19"/>
    </row>
    <row r="37" spans="1:1">
      <c r="A37" s="15" t="s">
        <v>300</v>
      </c>
    </row>
    <row r="38" spans="1:1">
      <c r="A38" s="15" t="s">
        <v>318</v>
      </c>
    </row>
    <row r="39" spans="1:1">
      <c r="A39" s="15" t="s">
        <v>300</v>
      </c>
    </row>
    <row r="40" spans="1:1">
      <c r="A40" s="20" t="s">
        <v>319</v>
      </c>
    </row>
    <row r="41" spans="1:1">
      <c r="A41" s="20" t="s">
        <v>320</v>
      </c>
    </row>
    <row r="42" spans="1:1">
      <c r="A42" s="16" t="s">
        <v>241</v>
      </c>
    </row>
    <row r="43" spans="1:1">
      <c r="A43" s="17" t="s">
        <v>235</v>
      </c>
    </row>
    <row r="44" spans="1:1">
      <c r="A44" s="19"/>
    </row>
    <row r="45" spans="1:1">
      <c r="A45" s="15" t="s">
        <v>300</v>
      </c>
    </row>
    <row r="46" spans="1:1">
      <c r="A46" s="20" t="s">
        <v>321</v>
      </c>
    </row>
    <row r="47" spans="1:1">
      <c r="A47" s="17" t="s">
        <v>322</v>
      </c>
    </row>
    <row r="48" spans="1:1">
      <c r="A48" s="19"/>
    </row>
    <row r="49" spans="1:1">
      <c r="A49" s="20" t="s">
        <v>323</v>
      </c>
    </row>
    <row r="50" spans="1:1">
      <c r="A50" s="19"/>
    </row>
    <row r="51" spans="1:1">
      <c r="A51" s="15" t="s">
        <v>300</v>
      </c>
    </row>
    <row r="52" spans="1:1">
      <c r="A52" s="15" t="s">
        <v>324</v>
      </c>
    </row>
    <row r="53" spans="1:1">
      <c r="A53" s="15" t="s">
        <v>300</v>
      </c>
    </row>
    <row r="54" spans="1:1">
      <c r="A54" s="15" t="s">
        <v>300</v>
      </c>
    </row>
    <row r="55" spans="1:1">
      <c r="A55" s="15" t="s">
        <v>325</v>
      </c>
    </row>
    <row r="56" spans="1:1">
      <c r="A56" s="15" t="s">
        <v>300</v>
      </c>
    </row>
    <row r="57" spans="1:1">
      <c r="A57" s="15" t="s">
        <v>300</v>
      </c>
    </row>
    <row r="58" spans="1:1">
      <c r="A58" s="15" t="s">
        <v>326</v>
      </c>
    </row>
    <row r="59" spans="1:1">
      <c r="A59" s="15" t="s">
        <v>300</v>
      </c>
    </row>
    <row r="60" spans="1:1">
      <c r="A60" s="15" t="s">
        <v>327</v>
      </c>
    </row>
    <row r="61" spans="1:1">
      <c r="A61" s="15"/>
    </row>
    <row r="62" spans="1:1">
      <c r="A62" s="15" t="s">
        <v>328</v>
      </c>
    </row>
    <row r="63" spans="1:1">
      <c r="A63" s="19"/>
    </row>
    <row r="64" spans="1:1">
      <c r="A64" s="15" t="s">
        <v>329</v>
      </c>
    </row>
    <row r="65" spans="1:1">
      <c r="A65" s="15" t="s">
        <v>330</v>
      </c>
    </row>
    <row r="66" spans="1:1">
      <c r="A66" s="15" t="s">
        <v>331</v>
      </c>
    </row>
    <row r="67" spans="1:1">
      <c r="A67" s="15" t="s">
        <v>332</v>
      </c>
    </row>
    <row r="68" spans="1:1">
      <c r="A68" s="15" t="s">
        <v>313</v>
      </c>
    </row>
    <row r="69" spans="1:1">
      <c r="A69" s="19"/>
    </row>
    <row r="70" spans="1:1">
      <c r="A70" s="19" t="s">
        <v>333</v>
      </c>
    </row>
    <row r="71" spans="1:1">
      <c r="A71" s="19"/>
    </row>
    <row r="72" spans="1:1">
      <c r="A72" s="15" t="s">
        <v>300</v>
      </c>
    </row>
    <row r="73" spans="1:1">
      <c r="A73" s="15" t="s">
        <v>334</v>
      </c>
    </row>
    <row r="74" spans="1:1">
      <c r="A74" s="15" t="s">
        <v>300</v>
      </c>
    </row>
    <row r="75" spans="1:1">
      <c r="A75" s="15" t="s">
        <v>300</v>
      </c>
    </row>
    <row r="76" spans="1:1">
      <c r="A76" s="15" t="s">
        <v>335</v>
      </c>
    </row>
    <row r="77" spans="1:1">
      <c r="A77" s="15" t="s">
        <v>300</v>
      </c>
    </row>
    <row r="78" spans="1:1">
      <c r="A78" s="15" t="s">
        <v>336</v>
      </c>
    </row>
    <row r="79" spans="1:1">
      <c r="A79" s="15"/>
    </row>
    <row r="80" spans="1:1">
      <c r="A80" s="15" t="s">
        <v>337</v>
      </c>
    </row>
    <row r="81" spans="1:1">
      <c r="A81" s="19"/>
    </row>
    <row r="82" spans="1:1">
      <c r="A82" s="15" t="s">
        <v>300</v>
      </c>
    </row>
    <row r="83" spans="1:1">
      <c r="A83" s="15" t="s">
        <v>338</v>
      </c>
    </row>
    <row r="84" spans="1:1">
      <c r="A84" s="15" t="s">
        <v>339</v>
      </c>
    </row>
    <row r="85" spans="1:1">
      <c r="A85" s="15" t="s">
        <v>340</v>
      </c>
    </row>
    <row r="86" spans="1:1">
      <c r="A86" s="17" t="s">
        <v>236</v>
      </c>
    </row>
    <row r="87" spans="1:1">
      <c r="A87" s="17" t="s">
        <v>237</v>
      </c>
    </row>
    <row r="88" spans="1:1">
      <c r="A88" s="17" t="s">
        <v>238</v>
      </c>
    </row>
    <row r="89" spans="1:1">
      <c r="A89" s="17" t="s">
        <v>239</v>
      </c>
    </row>
    <row r="90" spans="1:1">
      <c r="A90" s="17" t="s">
        <v>240</v>
      </c>
    </row>
    <row r="91" spans="1:1">
      <c r="A91" s="15" t="s">
        <v>341</v>
      </c>
    </row>
    <row r="92" spans="1:1">
      <c r="A92" s="15" t="s">
        <v>342</v>
      </c>
    </row>
    <row r="93" spans="1:1">
      <c r="A93" s="19"/>
    </row>
    <row r="94" spans="1:1">
      <c r="A94" s="15" t="s">
        <v>300</v>
      </c>
    </row>
    <row r="95" spans="1:1">
      <c r="A95" s="15" t="s">
        <v>343</v>
      </c>
    </row>
    <row r="96" spans="1:1">
      <c r="A96" s="17" t="s">
        <v>243</v>
      </c>
    </row>
    <row r="97" spans="1:1">
      <c r="A97" s="17" t="s">
        <v>244</v>
      </c>
    </row>
    <row r="98" spans="1:1">
      <c r="A98" s="15" t="s">
        <v>344</v>
      </c>
    </row>
    <row r="99" spans="1:1">
      <c r="A99" s="19"/>
    </row>
    <row r="100" spans="1:1">
      <c r="A100" s="15" t="s">
        <v>300</v>
      </c>
    </row>
    <row r="101" spans="1:1">
      <c r="A101" s="20" t="s">
        <v>345</v>
      </c>
    </row>
    <row r="102" spans="1:1">
      <c r="A102" s="20" t="s">
        <v>346</v>
      </c>
    </row>
    <row r="103" spans="1:1">
      <c r="A103" s="15" t="s">
        <v>347</v>
      </c>
    </row>
    <row r="104" spans="1:1">
      <c r="A104" s="19"/>
    </row>
    <row r="105" spans="1:1">
      <c r="A105" s="19" t="s">
        <v>348</v>
      </c>
    </row>
    <row r="106" spans="1:1">
      <c r="A106" s="19"/>
    </row>
    <row r="107" spans="1:1">
      <c r="A107" s="15" t="s">
        <v>300</v>
      </c>
    </row>
    <row r="108" spans="1:1">
      <c r="A108" s="15" t="s">
        <v>349</v>
      </c>
    </row>
    <row r="109" spans="1:1">
      <c r="A109" s="15" t="s">
        <v>300</v>
      </c>
    </row>
    <row r="110" spans="1:1">
      <c r="A110" s="15" t="s">
        <v>296</v>
      </c>
    </row>
    <row r="111" spans="1:1">
      <c r="A111" s="15" t="s">
        <v>350</v>
      </c>
    </row>
    <row r="112" spans="1:1">
      <c r="A112" s="15" t="s">
        <v>351</v>
      </c>
    </row>
    <row r="113" spans="1:1">
      <c r="A113" s="15" t="s">
        <v>350</v>
      </c>
    </row>
    <row r="114" spans="1:1">
      <c r="A114" s="15" t="s">
        <v>296</v>
      </c>
    </row>
    <row r="115" spans="1:1">
      <c r="A115" s="15" t="s">
        <v>350</v>
      </c>
    </row>
    <row r="116" spans="1:1">
      <c r="A116" s="15" t="s">
        <v>352</v>
      </c>
    </row>
    <row r="117" spans="1:1">
      <c r="A117" s="15" t="s">
        <v>353</v>
      </c>
    </row>
    <row r="118" spans="1:1">
      <c r="A118" s="15" t="s">
        <v>354</v>
      </c>
    </row>
    <row r="119" spans="1:1">
      <c r="A119" s="15" t="s">
        <v>350</v>
      </c>
    </row>
    <row r="120" spans="1:1">
      <c r="A120" s="15" t="s">
        <v>355</v>
      </c>
    </row>
    <row r="121" spans="1:1">
      <c r="A121" s="15" t="s">
        <v>353</v>
      </c>
    </row>
    <row r="122" spans="1:1">
      <c r="A122" s="15" t="s">
        <v>350</v>
      </c>
    </row>
    <row r="123" spans="1:1">
      <c r="A123" s="15" t="s">
        <v>350</v>
      </c>
    </row>
    <row r="124" spans="1:1">
      <c r="A124" s="15" t="s">
        <v>356</v>
      </c>
    </row>
    <row r="125" spans="1:1">
      <c r="A125" s="15" t="s">
        <v>350</v>
      </c>
    </row>
    <row r="126" spans="1:1">
      <c r="A126" s="15" t="s">
        <v>296</v>
      </c>
    </row>
  </sheetData>
  <phoneticPr fontId="1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BACC3-C442-491B-8865-9445D0B25642}">
  <sheetPr codeName="Sheet15"/>
  <dimension ref="A1:A64"/>
  <sheetViews>
    <sheetView workbookViewId="0">
      <selection activeCell="A15" sqref="A15:A17"/>
    </sheetView>
  </sheetViews>
  <sheetFormatPr defaultRowHeight="18.75"/>
  <cols>
    <col min="1" max="1" width="150.375" style="15" bestFit="1" customWidth="1"/>
    <col min="2" max="16384" width="9" style="18"/>
  </cols>
  <sheetData>
    <row r="1" spans="1:1">
      <c r="A1" s="15" t="s">
        <v>295</v>
      </c>
    </row>
    <row r="2" spans="1:1">
      <c r="A2" s="15" t="s">
        <v>296</v>
      </c>
    </row>
    <row r="3" spans="1:1">
      <c r="A3" s="15" t="s">
        <v>357</v>
      </c>
    </row>
    <row r="4" spans="1:1">
      <c r="A4" s="15" t="s">
        <v>296</v>
      </c>
    </row>
    <row r="5" spans="1:1">
      <c r="A5" s="15" t="s">
        <v>358</v>
      </c>
    </row>
    <row r="6" spans="1:1">
      <c r="A6" s="15" t="s">
        <v>359</v>
      </c>
    </row>
    <row r="7" spans="1:1">
      <c r="A7" s="15" t="s">
        <v>359</v>
      </c>
    </row>
    <row r="8" spans="1:1">
      <c r="A8" s="15" t="s">
        <v>360</v>
      </c>
    </row>
    <row r="9" spans="1:1">
      <c r="A9" s="15" t="s">
        <v>361</v>
      </c>
    </row>
    <row r="10" spans="1:1">
      <c r="A10" s="15" t="s">
        <v>362</v>
      </c>
    </row>
    <row r="11" spans="1:1">
      <c r="A11" s="15" t="s">
        <v>359</v>
      </c>
    </row>
    <row r="12" spans="1:1">
      <c r="A12" s="15" t="s">
        <v>296</v>
      </c>
    </row>
    <row r="14" spans="1:1">
      <c r="A14" s="15" t="s">
        <v>363</v>
      </c>
    </row>
    <row r="15" spans="1:1">
      <c r="A15" s="15" t="s">
        <v>364</v>
      </c>
    </row>
    <row r="17" spans="1:1">
      <c r="A17" s="15" t="s">
        <v>300</v>
      </c>
    </row>
    <row r="18" spans="1:1">
      <c r="A18" s="15" t="s">
        <v>365</v>
      </c>
    </row>
    <row r="19" spans="1:1">
      <c r="A19" s="15" t="s">
        <v>300</v>
      </c>
    </row>
    <row r="20" spans="1:1">
      <c r="A20" s="15" t="s">
        <v>366</v>
      </c>
    </row>
    <row r="21" spans="1:1">
      <c r="A21" s="15" t="s">
        <v>367</v>
      </c>
    </row>
    <row r="22" spans="1:1">
      <c r="A22" s="15" t="s">
        <v>368</v>
      </c>
    </row>
    <row r="24" spans="1:1">
      <c r="A24" s="15" t="s">
        <v>300</v>
      </c>
    </row>
    <row r="25" spans="1:1">
      <c r="A25" s="15" t="s">
        <v>369</v>
      </c>
    </row>
    <row r="26" spans="1:1">
      <c r="A26" s="15" t="s">
        <v>300</v>
      </c>
    </row>
    <row r="27" spans="1:1">
      <c r="A27" s="20" t="s">
        <v>370</v>
      </c>
    </row>
    <row r="29" spans="1:1">
      <c r="A29" s="15" t="s">
        <v>371</v>
      </c>
    </row>
    <row r="30" spans="1:1">
      <c r="A30" s="15" t="s">
        <v>372</v>
      </c>
    </row>
    <row r="31" spans="1:1">
      <c r="A31" s="15" t="s">
        <v>371</v>
      </c>
    </row>
    <row r="32" spans="1:1">
      <c r="A32" s="17" t="s">
        <v>230</v>
      </c>
    </row>
    <row r="34" spans="1:1">
      <c r="A34" s="15" t="s">
        <v>300</v>
      </c>
    </row>
    <row r="35" spans="1:1">
      <c r="A35" s="20" t="s">
        <v>373</v>
      </c>
    </row>
    <row r="37" spans="1:1">
      <c r="A37" s="17" t="s">
        <v>231</v>
      </c>
    </row>
    <row r="38" spans="1:1">
      <c r="A38" s="17" t="s">
        <v>232</v>
      </c>
    </row>
    <row r="39" spans="1:1">
      <c r="A39" s="17" t="s">
        <v>233</v>
      </c>
    </row>
    <row r="40" spans="1:1">
      <c r="A40" s="17" t="s">
        <v>234</v>
      </c>
    </row>
    <row r="42" spans="1:1">
      <c r="A42" s="15" t="s">
        <v>300</v>
      </c>
    </row>
    <row r="43" spans="1:1">
      <c r="A43" s="15" t="s">
        <v>374</v>
      </c>
    </row>
    <row r="45" spans="1:1">
      <c r="A45" s="15" t="s">
        <v>300</v>
      </c>
    </row>
    <row r="46" spans="1:1">
      <c r="A46" s="15" t="s">
        <v>375</v>
      </c>
    </row>
    <row r="47" spans="1:1">
      <c r="A47" s="15" t="s">
        <v>300</v>
      </c>
    </row>
    <row r="48" spans="1:1">
      <c r="A48" s="15" t="s">
        <v>300</v>
      </c>
    </row>
    <row r="49" spans="1:1">
      <c r="A49" s="15" t="s">
        <v>376</v>
      </c>
    </row>
    <row r="50" spans="1:1">
      <c r="A50" s="15" t="s">
        <v>300</v>
      </c>
    </row>
    <row r="51" spans="1:1">
      <c r="A51" s="15" t="s">
        <v>300</v>
      </c>
    </row>
    <row r="52" spans="1:1">
      <c r="A52" s="15" t="s">
        <v>377</v>
      </c>
    </row>
    <row r="53" spans="1:1">
      <c r="A53" s="15" t="s">
        <v>300</v>
      </c>
    </row>
    <row r="54" spans="1:1">
      <c r="A54" s="15" t="s">
        <v>300</v>
      </c>
    </row>
    <row r="55" spans="1:1">
      <c r="A55" s="15" t="s">
        <v>378</v>
      </c>
    </row>
    <row r="56" spans="1:1">
      <c r="A56" s="15" t="s">
        <v>300</v>
      </c>
    </row>
    <row r="58" spans="1:1">
      <c r="A58" s="15" t="s">
        <v>379</v>
      </c>
    </row>
    <row r="60" spans="1:1">
      <c r="A60" s="15" t="s">
        <v>296</v>
      </c>
    </row>
    <row r="61" spans="1:1">
      <c r="A61" s="15" t="s">
        <v>359</v>
      </c>
    </row>
    <row r="62" spans="1:1">
      <c r="A62" s="15" t="s">
        <v>380</v>
      </c>
    </row>
    <row r="63" spans="1:1">
      <c r="A63" s="15" t="s">
        <v>359</v>
      </c>
    </row>
    <row r="64" spans="1:1">
      <c r="A64" s="15" t="s">
        <v>296</v>
      </c>
    </row>
  </sheetData>
  <phoneticPr fontId="1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C3976-54CE-4588-8336-468A62014985}">
  <sheetPr codeName="Sheet4"/>
  <dimension ref="A1"/>
  <sheetViews>
    <sheetView workbookViewId="0">
      <selection activeCell="A15" sqref="A15:A17"/>
    </sheetView>
  </sheetViews>
  <sheetFormatPr defaultRowHeight="18.75"/>
  <sheetData/>
  <phoneticPr fontId="1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DFC64-3E02-4DBC-BFEF-A9526776D16D}">
  <sheetPr codeName="Sheet5"/>
  <dimension ref="A1"/>
  <sheetViews>
    <sheetView showGridLines="0" zoomScale="85" zoomScaleNormal="85" workbookViewId="0">
      <selection activeCell="A15" sqref="A15:A17"/>
    </sheetView>
  </sheetViews>
  <sheetFormatPr defaultRowHeight="18.75"/>
  <sheetData/>
  <phoneticPr fontId="18"/>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CCD3-36A6-4FB4-B421-894E3BAEE787}">
  <sheetPr codeName="Sheet6"/>
  <dimension ref="A1:C47"/>
  <sheetViews>
    <sheetView workbookViewId="0">
      <selection activeCell="A15" sqref="A15:A17"/>
    </sheetView>
  </sheetViews>
  <sheetFormatPr defaultRowHeight="18.75"/>
  <cols>
    <col min="1" max="1" width="29.5" customWidth="1"/>
    <col min="2" max="2" width="136" customWidth="1"/>
  </cols>
  <sheetData>
    <row r="1" spans="1:3">
      <c r="A1" s="6" t="s">
        <v>381</v>
      </c>
    </row>
    <row r="2" spans="1:3">
      <c r="A2" s="45" t="s">
        <v>382</v>
      </c>
    </row>
    <row r="3" spans="1:3">
      <c r="A3" s="34" t="s">
        <v>383</v>
      </c>
      <c r="B3" s="34" t="s">
        <v>384</v>
      </c>
    </row>
    <row r="4" spans="1:3">
      <c r="A4" s="103" t="s">
        <v>385</v>
      </c>
      <c r="B4" s="36" t="s">
        <v>386</v>
      </c>
    </row>
    <row r="5" spans="1:3">
      <c r="A5" s="103"/>
      <c r="B5" s="37" t="s">
        <v>387</v>
      </c>
    </row>
    <row r="6" spans="1:3">
      <c r="A6" s="103" t="s">
        <v>388</v>
      </c>
      <c r="B6" s="38" t="s">
        <v>389</v>
      </c>
    </row>
    <row r="7" spans="1:3">
      <c r="A7" s="103"/>
      <c r="B7" s="39" t="s">
        <v>390</v>
      </c>
    </row>
    <row r="8" spans="1:3">
      <c r="A8" s="103"/>
      <c r="B8" s="40" t="s">
        <v>391</v>
      </c>
    </row>
    <row r="9" spans="1:3">
      <c r="A9" s="103" t="s">
        <v>392</v>
      </c>
      <c r="B9" s="41" t="s">
        <v>393</v>
      </c>
    </row>
    <row r="10" spans="1:3">
      <c r="A10" s="103"/>
      <c r="B10" s="37" t="s">
        <v>394</v>
      </c>
    </row>
    <row r="11" spans="1:3">
      <c r="A11" s="103" t="s">
        <v>395</v>
      </c>
      <c r="B11" s="36" t="s">
        <v>396</v>
      </c>
    </row>
    <row r="12" spans="1:3">
      <c r="A12" s="103"/>
      <c r="B12" s="37" t="s">
        <v>397</v>
      </c>
    </row>
    <row r="13" spans="1:3">
      <c r="A13" s="103" t="s">
        <v>398</v>
      </c>
      <c r="B13" s="36" t="s">
        <v>399</v>
      </c>
    </row>
    <row r="14" spans="1:3">
      <c r="A14" s="103"/>
      <c r="B14" s="37" t="s">
        <v>400</v>
      </c>
      <c r="C14" s="6"/>
    </row>
    <row r="15" spans="1:3">
      <c r="A15" s="103" t="s">
        <v>401</v>
      </c>
      <c r="B15" s="36" t="s">
        <v>402</v>
      </c>
    </row>
    <row r="16" spans="1:3">
      <c r="A16" s="103"/>
      <c r="B16" s="42" t="s">
        <v>403</v>
      </c>
    </row>
    <row r="17" spans="1:2">
      <c r="A17" s="103"/>
      <c r="B17" s="37" t="s">
        <v>404</v>
      </c>
    </row>
    <row r="18" spans="1:2">
      <c r="A18" s="103" t="s">
        <v>405</v>
      </c>
      <c r="B18" s="36" t="s">
        <v>406</v>
      </c>
    </row>
    <row r="19" spans="1:2">
      <c r="A19" s="103"/>
      <c r="B19" s="42" t="s">
        <v>407</v>
      </c>
    </row>
    <row r="20" spans="1:2">
      <c r="A20" s="103"/>
      <c r="B20" s="37" t="s">
        <v>408</v>
      </c>
    </row>
    <row r="21" spans="1:2">
      <c r="A21" s="35" t="s">
        <v>409</v>
      </c>
      <c r="B21" s="35" t="s">
        <v>410</v>
      </c>
    </row>
    <row r="22" spans="1:2">
      <c r="A22" s="103" t="s">
        <v>411</v>
      </c>
      <c r="B22" s="36" t="s">
        <v>412</v>
      </c>
    </row>
    <row r="23" spans="1:2">
      <c r="A23" s="103"/>
      <c r="B23" s="42" t="s">
        <v>413</v>
      </c>
    </row>
    <row r="24" spans="1:2">
      <c r="A24" s="103"/>
      <c r="B24" s="37" t="s">
        <v>414</v>
      </c>
    </row>
    <row r="25" spans="1:2">
      <c r="A25" s="103" t="s">
        <v>415</v>
      </c>
      <c r="B25" s="36" t="s">
        <v>416</v>
      </c>
    </row>
    <row r="26" spans="1:2">
      <c r="A26" s="103"/>
      <c r="B26" s="37" t="s">
        <v>417</v>
      </c>
    </row>
    <row r="27" spans="1:2">
      <c r="A27" s="103" t="s">
        <v>418</v>
      </c>
      <c r="B27" s="36" t="s">
        <v>419</v>
      </c>
    </row>
    <row r="28" spans="1:2">
      <c r="A28" s="103"/>
      <c r="B28" s="37" t="s">
        <v>420</v>
      </c>
    </row>
    <row r="29" spans="1:2">
      <c r="A29" s="35" t="s">
        <v>421</v>
      </c>
      <c r="B29" s="35" t="s">
        <v>422</v>
      </c>
    </row>
    <row r="30" spans="1:2">
      <c r="A30" s="103" t="s">
        <v>423</v>
      </c>
      <c r="B30" s="38" t="s">
        <v>424</v>
      </c>
    </row>
    <row r="31" spans="1:2">
      <c r="A31" s="103"/>
      <c r="B31" s="39" t="s">
        <v>425</v>
      </c>
    </row>
    <row r="32" spans="1:2">
      <c r="A32" s="103"/>
      <c r="B32" s="40" t="s">
        <v>426</v>
      </c>
    </row>
    <row r="33" spans="1:2">
      <c r="A33" s="35" t="s">
        <v>427</v>
      </c>
      <c r="B33" s="35" t="s">
        <v>428</v>
      </c>
    </row>
    <row r="34" spans="1:2">
      <c r="A34" s="103" t="s">
        <v>429</v>
      </c>
      <c r="B34" s="41" t="s">
        <v>430</v>
      </c>
    </row>
    <row r="35" spans="1:2">
      <c r="A35" s="103"/>
      <c r="B35" s="43" t="s">
        <v>431</v>
      </c>
    </row>
    <row r="36" spans="1:2">
      <c r="A36" s="103" t="s">
        <v>432</v>
      </c>
      <c r="B36" s="36" t="s">
        <v>433</v>
      </c>
    </row>
    <row r="37" spans="1:2">
      <c r="A37" s="103"/>
      <c r="B37" s="37" t="s">
        <v>434</v>
      </c>
    </row>
    <row r="38" spans="1:2">
      <c r="A38" s="35" t="s">
        <v>435</v>
      </c>
      <c r="B38" s="35" t="s">
        <v>436</v>
      </c>
    </row>
    <row r="39" spans="1:2">
      <c r="A39" s="32"/>
      <c r="B39" s="32"/>
    </row>
    <row r="40" spans="1:2">
      <c r="A40" s="32" t="s">
        <v>437</v>
      </c>
      <c r="B40" s="32"/>
    </row>
    <row r="41" spans="1:2">
      <c r="A41" s="32"/>
      <c r="B41" s="32"/>
    </row>
    <row r="42" spans="1:2">
      <c r="A42" s="32" t="s">
        <v>438</v>
      </c>
      <c r="B42" s="32"/>
    </row>
    <row r="43" spans="1:2">
      <c r="A43" s="32"/>
      <c r="B43" s="32"/>
    </row>
    <row r="44" spans="1:2">
      <c r="A44" s="33"/>
      <c r="B44" s="6"/>
    </row>
    <row r="45" spans="1:2">
      <c r="A45" s="44" t="s">
        <v>439</v>
      </c>
      <c r="B45" s="6"/>
    </row>
    <row r="46" spans="1:2">
      <c r="A46" s="44" t="s">
        <v>440</v>
      </c>
      <c r="B46" s="6"/>
    </row>
    <row r="47" spans="1:2">
      <c r="A47" s="44" t="s">
        <v>441</v>
      </c>
      <c r="B47" s="6"/>
    </row>
  </sheetData>
  <mergeCells count="13">
    <mergeCell ref="A15:A17"/>
    <mergeCell ref="A4:A5"/>
    <mergeCell ref="A6:A8"/>
    <mergeCell ref="A9:A10"/>
    <mergeCell ref="A11:A12"/>
    <mergeCell ref="A13:A14"/>
    <mergeCell ref="A36:A37"/>
    <mergeCell ref="A18:A20"/>
    <mergeCell ref="A22:A24"/>
    <mergeCell ref="A25:A26"/>
    <mergeCell ref="A27:A28"/>
    <mergeCell ref="A30:A32"/>
    <mergeCell ref="A34:A35"/>
  </mergeCells>
  <phoneticPr fontId="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96</vt:i4>
      </vt:variant>
    </vt:vector>
  </HeadingPairs>
  <TitlesOfParts>
    <vt:vector size="111" baseType="lpstr">
      <vt:lpstr>Tool Version</vt:lpstr>
      <vt:lpstr>Readme</vt:lpstr>
      <vt:lpstr>Inter-VM Data Table</vt:lpstr>
      <vt:lpstr>ファイル出力先</vt:lpstr>
      <vt:lpstr>Appendix.VM間通信ページからのExport</vt:lpstr>
      <vt:lpstr>→開発者用シート</vt:lpstr>
      <vt:lpstr>VM#0</vt:lpstr>
      <vt:lpstr>VM#1</vt:lpstr>
      <vt:lpstr>VM#2</vt:lpstr>
      <vt:lpstr>VM#3</vt:lpstr>
      <vt:lpstr>ivdsh_cfg.c</vt:lpstr>
      <vt:lpstr>ivdsh_did.h</vt:lpstr>
      <vt:lpstr>→ツールの解説</vt:lpstr>
      <vt:lpstr>シート間の関係図</vt:lpstr>
      <vt:lpstr>マクロマニュアル</vt:lpstr>
      <vt:lpstr>'VM#0'!__NAMEARRAY__IVDSH_DID_REA_VM0__</vt:lpstr>
      <vt:lpstr>'VM#1'!__NAMEARRAY__IVDSH_DID_REA_VM0__</vt:lpstr>
      <vt:lpstr>'VM#2'!__NAMEARRAY__IVDSH_DID_REA_VM0__</vt:lpstr>
      <vt:lpstr>'VM#3'!__NAMEARRAY__IVDSH_DID_REA_VM0__</vt:lpstr>
      <vt:lpstr>'VM#0'!__NAMEARRAY__IVDSH_DID_REA_VM1__</vt:lpstr>
      <vt:lpstr>'VM#1'!__NAMEARRAY__IVDSH_DID_REA_VM1__</vt:lpstr>
      <vt:lpstr>'VM#2'!__NAMEARRAY__IVDSH_DID_REA_VM1__</vt:lpstr>
      <vt:lpstr>'VM#3'!__NAMEARRAY__IVDSH_DID_REA_VM1__</vt:lpstr>
      <vt:lpstr>'VM#0'!__NAMEARRAY__IVDSH_DID_REA_VM2__</vt:lpstr>
      <vt:lpstr>'VM#1'!__NAMEARRAY__IVDSH_DID_REA_VM2__</vt:lpstr>
      <vt:lpstr>'VM#2'!__NAMEARRAY__IVDSH_DID_REA_VM2__</vt:lpstr>
      <vt:lpstr>'VM#3'!__NAMEARRAY__IVDSH_DID_REA_VM2__</vt:lpstr>
      <vt:lpstr>'VM#0'!__NAMEARRAY__IVDSH_DID_REA_VM3__</vt:lpstr>
      <vt:lpstr>'VM#1'!__NAMEARRAY__IVDSH_DID_REA_VM3__</vt:lpstr>
      <vt:lpstr>'VM#2'!__NAMEARRAY__IVDSH_DID_REA_VM3__</vt:lpstr>
      <vt:lpstr>'VM#3'!__NAMEARRAY__IVDSH_DID_REA_VM3__</vt:lpstr>
      <vt:lpstr>'VM#0'!__NAMEARRAY__IVDSH_DID_WRI__</vt:lpstr>
      <vt:lpstr>'VM#1'!__NAMEARRAY__IVDSH_DID_WRI__</vt:lpstr>
      <vt:lpstr>'VM#2'!__NAMEARRAY__IVDSH_DID_WRI__</vt:lpstr>
      <vt:lpstr>'VM#3'!__NAMEARRAY__IVDSH_DID_WRI__</vt:lpstr>
      <vt:lpstr>'VM#0'!__NAMEARRAY__IVDSH_FQ_CH_REA_XXX__</vt:lpstr>
      <vt:lpstr>'VM#1'!__NAMEARRAY__IVDSH_FQ_CH_REA_XXX__</vt:lpstr>
      <vt:lpstr>'VM#2'!__NAMEARRAY__IVDSH_FQ_CH_REA_XXX__</vt:lpstr>
      <vt:lpstr>'VM#3'!__NAMEARRAY__IVDSH_FQ_CH_REA_XXX__</vt:lpstr>
      <vt:lpstr>'VM#0'!__NAMEARRAY__IVDSH_FQ_CH_WRI__</vt:lpstr>
      <vt:lpstr>'VM#1'!__NAMEARRAY__IVDSH_FQ_CH_WRI__</vt:lpstr>
      <vt:lpstr>'VM#2'!__NAMEARRAY__IVDSH_FQ_CH_WRI__</vt:lpstr>
      <vt:lpstr>'VM#3'!__NAMEARRAY__IVDSH_FQ_CH_WRI__</vt:lpstr>
      <vt:lpstr>'VM#0'!__NAMEARRAY__IVDSH_WA_NWORD_REA_XXX__</vt:lpstr>
      <vt:lpstr>'VM#1'!__NAMEARRAY__IVDSH_WA_NWORD_REA_XXX__</vt:lpstr>
      <vt:lpstr>'VM#2'!__NAMEARRAY__IVDSH_WA_NWORD_REA_XXX__</vt:lpstr>
      <vt:lpstr>'VM#3'!__NAMEARRAY__IVDSH_WA_NWORD_REA_XXX__</vt:lpstr>
      <vt:lpstr>'VM#0'!__NAMEARRAY__st_gp_IVDSH_WA_BY_DID_ReadVM0__</vt:lpstr>
      <vt:lpstr>'VM#1'!__NAMEARRAY__st_gp_IVDSH_WA_BY_DID_ReadVM0__</vt:lpstr>
      <vt:lpstr>'VM#2'!__NAMEARRAY__st_gp_IVDSH_WA_BY_DID_ReadVM0__</vt:lpstr>
      <vt:lpstr>'VM#3'!__NAMEARRAY__st_gp_IVDSH_WA_BY_DID_ReadVM0__</vt:lpstr>
      <vt:lpstr>'VM#0'!__NAMEARRAY__st_gp_IVDSH_WA_BY_DID_ReadVM1__</vt:lpstr>
      <vt:lpstr>'VM#1'!__NAMEARRAY__st_gp_IVDSH_WA_BY_DID_ReadVM1__</vt:lpstr>
      <vt:lpstr>'VM#2'!__NAMEARRAY__st_gp_IVDSH_WA_BY_DID_ReadVM1__</vt:lpstr>
      <vt:lpstr>'VM#3'!__NAMEARRAY__st_gp_IVDSH_WA_BY_DID_ReadVM1__</vt:lpstr>
      <vt:lpstr>'VM#0'!__NAMEARRAY__st_gp_IVDSH_WA_BY_DID_ReadVM2__</vt:lpstr>
      <vt:lpstr>'VM#1'!__NAMEARRAY__st_gp_IVDSH_WA_BY_DID_ReadVM2__</vt:lpstr>
      <vt:lpstr>'VM#2'!__NAMEARRAY__st_gp_IVDSH_WA_BY_DID_ReadVM2__</vt:lpstr>
      <vt:lpstr>'VM#3'!__NAMEARRAY__st_gp_IVDSH_WA_BY_DID_ReadVM2__</vt:lpstr>
      <vt:lpstr>'VM#0'!__NAMEARRAY__st_gp_IVDSH_WA_BY_DID_ReadVM3__</vt:lpstr>
      <vt:lpstr>'VM#1'!__NAMEARRAY__st_gp_IVDSH_WA_BY_DID_ReadVM3__</vt:lpstr>
      <vt:lpstr>'VM#2'!__NAMEARRAY__st_gp_IVDSH_WA_BY_DID_ReadVM3__</vt:lpstr>
      <vt:lpstr>'VM#3'!__NAMEARRAY__st_gp_IVDSH_WA_BY_DID_ReadVM3__</vt:lpstr>
      <vt:lpstr>'VM#0'!__NAMEARRAY__st_gp_IVDSH_WA_BY_DID_Write__</vt:lpstr>
      <vt:lpstr>'VM#1'!__NAMEARRAY__st_gp_IVDSH_WA_BY_DID_Write__</vt:lpstr>
      <vt:lpstr>'VM#2'!__NAMEARRAY__st_gp_IVDSH_WA_BY_DID_Write__</vt:lpstr>
      <vt:lpstr>'VM#3'!__NAMEARRAY__st_gp_IVDSH_WA_BY_DID_Write__</vt:lpstr>
      <vt:lpstr>'VM#0'!__NAMEARRAY__st_sp_IVDSH_FQ_CH_REA_XXX___</vt:lpstr>
      <vt:lpstr>'VM#1'!__NAMEARRAY__st_sp_IVDSH_FQ_CH_REA_XXX___</vt:lpstr>
      <vt:lpstr>'VM#2'!__NAMEARRAY__st_sp_IVDSH_FQ_CH_REA_XXX___</vt:lpstr>
      <vt:lpstr>'VM#3'!__NAMEARRAY__st_sp_IVDSH_FQ_CH_REA_XXX___</vt:lpstr>
      <vt:lpstr>'VM#0'!__NAMEARRAY__st_sp_IVDSH_FQ_CH_WRI_XXX___</vt:lpstr>
      <vt:lpstr>'VM#1'!__NAMEARRAY__st_sp_IVDSH_FQ_CH_WRI_XXX___</vt:lpstr>
      <vt:lpstr>'VM#2'!__NAMEARRAY__st_sp_IVDSH_FQ_CH_WRI_XXX___</vt:lpstr>
      <vt:lpstr>'VM#3'!__NAMEARRAY__st_sp_IVDSH_FQ_CH_WRI_XXX___</vt:lpstr>
      <vt:lpstr>'VM#0'!__NAMEVAL__IVDSH_NUM_DID_REA__</vt:lpstr>
      <vt:lpstr>'VM#1'!__NAMEVAL__IVDSH_NUM_DID_REA__</vt:lpstr>
      <vt:lpstr>'VM#2'!__NAMEVAL__IVDSH_NUM_DID_REA__</vt:lpstr>
      <vt:lpstr>'VM#3'!__NAMEVAL__IVDSH_NUM_DID_REA__</vt:lpstr>
      <vt:lpstr>'VM#0'!__NAMEVAL__IVDSH_NUM_DID_WRI__</vt:lpstr>
      <vt:lpstr>'VM#1'!__NAMEVAL__IVDSH_NUM_DID_WRI__</vt:lpstr>
      <vt:lpstr>'VM#2'!__NAMEVAL__IVDSH_NUM_DID_WRI__</vt:lpstr>
      <vt:lpstr>'VM#3'!__NAMEVAL__IVDSH_NUM_DID_WRI__</vt:lpstr>
      <vt:lpstr>'VM#0'!__NAMEVAL__IVDSH_NUM_FQ_CH__</vt:lpstr>
      <vt:lpstr>'VM#1'!__NAMEVAL__IVDSH_NUM_FQ_CH__</vt:lpstr>
      <vt:lpstr>'VM#2'!__NAMEVAL__IVDSH_NUM_FQ_CH__</vt:lpstr>
      <vt:lpstr>'VM#3'!__NAMEVAL__IVDSH_NUM_FQ_CH__</vt:lpstr>
      <vt:lpstr>'VM#0'!__NAMEVAL__IVDSH_NUM_FQ_REA__</vt:lpstr>
      <vt:lpstr>'VM#1'!__NAMEVAL__IVDSH_NUM_FQ_REA__</vt:lpstr>
      <vt:lpstr>'VM#2'!__NAMEVAL__IVDSH_NUM_FQ_REA__</vt:lpstr>
      <vt:lpstr>'VM#3'!__NAMEVAL__IVDSH_NUM_FQ_REA__</vt:lpstr>
      <vt:lpstr>'VM#0'!__NAMEVAL__IVDSH_WA_NWORD__</vt:lpstr>
      <vt:lpstr>'VM#1'!__NAMEVAL__IVDSH_WA_NWORD__</vt:lpstr>
      <vt:lpstr>'VM#2'!__NAMEVAL__IVDSH_WA_NWORD__</vt:lpstr>
      <vt:lpstr>'VM#3'!__NAMEVAL__IVDSH_WA_NWORD__</vt:lpstr>
      <vt:lpstr>'VM#0'!__NAMEVAL__IVDSH_WA_NWORD_WRI__</vt:lpstr>
      <vt:lpstr>'VM#1'!__NAMEVAL__IVDSH_WA_NWORD_WRI__</vt:lpstr>
      <vt:lpstr>'VM#2'!__NAMEVAL__IVDSH_WA_NWORD_WRI__</vt:lpstr>
      <vt:lpstr>'VM#3'!__NAMEVAL__IVDSH_WA_NWORD_WRI__</vt:lpstr>
      <vt:lpstr>'VM#0'!__NAMEVAL__stp_g_IVDSH_FQ_REA__</vt:lpstr>
      <vt:lpstr>'VM#1'!__NAMEVAL__stp_g_IVDSH_FQ_REA__</vt:lpstr>
      <vt:lpstr>'VM#2'!__NAMEVAL__stp_g_IVDSH_FQ_REA__</vt:lpstr>
      <vt:lpstr>'VM#3'!__NAMEVAL__stp_g_IVDSH_FQ_REA__</vt:lpstr>
      <vt:lpstr>'VM#0'!__NAMEVAL__stp_g_IVDSH_FQ_WRI__</vt:lpstr>
      <vt:lpstr>'VM#1'!__NAMEVAL__stp_g_IVDSH_FQ_WRI__</vt:lpstr>
      <vt:lpstr>'VM#2'!__NAMEVAL__stp_g_IVDSH_FQ_WRI__</vt:lpstr>
      <vt:lpstr>'VM#3'!__NAMEVAL__stp_g_IVDSH_FQ_WRI__</vt:lpstr>
      <vt:lpstr>'VM#0'!__NAMEVAL__VCCID_INCLUDE_HEADER__</vt:lpstr>
      <vt:lpstr>'VM#1'!__NAMEVAL__VCCID_INCLUDE_HEADER__</vt:lpstr>
      <vt:lpstr>'VM#2'!__NAMEVAL__VCCID_INCLUDE_HEADER__</vt:lpstr>
      <vt:lpstr>'VM#3'!__NAMEVAL__VCCID_INCLUDE_HEADER__</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AKIRA MOTOMATSU</dc:creator>
  <cp:keywords/>
  <dc:description/>
  <cp:lastModifiedBy>Tatsuya Niimi (新美　龍哉)</cp:lastModifiedBy>
  <cp:revision/>
  <dcterms:created xsi:type="dcterms:W3CDTF">2025-06-13T10:44:17Z</dcterms:created>
  <dcterms:modified xsi:type="dcterms:W3CDTF">2025-11-19T06:19:53Z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ed1414a-99f2-46f9-bbe5-740af8d1b502_Enabled">
    <vt:lpwstr>true</vt:lpwstr>
  </property>
  <property fmtid="{D5CDD505-2E9C-101B-9397-08002B2CF9AE}" pid="3" name="MSIP_Label_7ed1414a-99f2-46f9-bbe5-740af8d1b502_SetDate">
    <vt:lpwstr>2025-06-13T10:42:43Z</vt:lpwstr>
  </property>
  <property fmtid="{D5CDD505-2E9C-101B-9397-08002B2CF9AE}" pid="4" name="MSIP_Label_7ed1414a-99f2-46f9-bbe5-740af8d1b502_Method">
    <vt:lpwstr>Standard</vt:lpwstr>
  </property>
  <property fmtid="{D5CDD505-2E9C-101B-9397-08002B2CF9AE}" pid="5" name="MSIP_Label_7ed1414a-99f2-46f9-bbe5-740af8d1b502_Name">
    <vt:lpwstr>G_MIP_Confidential_Standard</vt:lpwstr>
  </property>
  <property fmtid="{D5CDD505-2E9C-101B-9397-08002B2CF9AE}" pid="6" name="MSIP_Label_7ed1414a-99f2-46f9-bbe5-740af8d1b502_SiteId">
    <vt:lpwstr>69405920-b673-4f7c-8845-e124e9d08af2</vt:lpwstr>
  </property>
  <property fmtid="{D5CDD505-2E9C-101B-9397-08002B2CF9AE}" pid="7" name="MSIP_Label_7ed1414a-99f2-46f9-bbe5-740af8d1b502_ActionId">
    <vt:lpwstr>a0e3b124-f50b-4de1-9903-82b405b365b7</vt:lpwstr>
  </property>
  <property fmtid="{D5CDD505-2E9C-101B-9397-08002B2CF9AE}" pid="8" name="MSIP_Label_7ed1414a-99f2-46f9-bbe5-740af8d1b502_ContentBits">
    <vt:lpwstr>1</vt:lpwstr>
  </property>
  <property fmtid="{D5CDD505-2E9C-101B-9397-08002B2CF9AE}" pid="9" name="MSIP_Label_3c0b8f5e-a60e-4a82-afde-6afffc7420ba_Enabled">
    <vt:lpwstr>true</vt:lpwstr>
  </property>
  <property fmtid="{D5CDD505-2E9C-101B-9397-08002B2CF9AE}" pid="10" name="MSIP_Label_3c0b8f5e-a60e-4a82-afde-6afffc7420ba_SetDate">
    <vt:lpwstr>2025-08-08T01:50:12Z</vt:lpwstr>
  </property>
  <property fmtid="{D5CDD505-2E9C-101B-9397-08002B2CF9AE}" pid="11" name="MSIP_Label_3c0b8f5e-a60e-4a82-afde-6afffc7420ba_Method">
    <vt:lpwstr>Standard</vt:lpwstr>
  </property>
  <property fmtid="{D5CDD505-2E9C-101B-9397-08002B2CF9AE}" pid="12" name="MSIP_Label_3c0b8f5e-a60e-4a82-afde-6afffc7420ba_Name">
    <vt:lpwstr>未分類</vt:lpwstr>
  </property>
  <property fmtid="{D5CDD505-2E9C-101B-9397-08002B2CF9AE}" pid="13" name="MSIP_Label_3c0b8f5e-a60e-4a82-afde-6afffc7420ba_SiteId">
    <vt:lpwstr>e67df547-9d0d-4f4d-9161-51c6ed1f7d11</vt:lpwstr>
  </property>
  <property fmtid="{D5CDD505-2E9C-101B-9397-08002B2CF9AE}" pid="14" name="MSIP_Label_3c0b8f5e-a60e-4a82-afde-6afffc7420ba_ActionId">
    <vt:lpwstr>84f0d084-dc01-42b1-b434-5b487cef8cc4</vt:lpwstr>
  </property>
  <property fmtid="{D5CDD505-2E9C-101B-9397-08002B2CF9AE}" pid="15" name="MSIP_Label_3c0b8f5e-a60e-4a82-afde-6afffc7420ba_ContentBits">
    <vt:lpwstr>0</vt:lpwstr>
  </property>
</Properties>
</file>